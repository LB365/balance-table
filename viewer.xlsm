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_rels/chart6.xml.rels" ContentType="application/vnd.openxmlformats-package.relationships+xml"/>
  <Override PartName="/xl/charts/_rels/chart7.xml.rels" ContentType="application/vnd.openxmlformats-package.relationships+xml"/>
  <Override PartName="/xl/charts/_rels/chart8.xml.rels" ContentType="application/vnd.openxmlformats-package.relationships+xml"/>
  <Override PartName="/xl/charts/_rels/chart9.xml.rels" ContentType="application/vnd.openxmlformats-package.relationships+xml"/>
  <Override PartName="/xl/drawings/vmlDrawing1.vml" ContentType="application/vnd.openxmlformats-officedocument.vmlDrawing"/>
  <Override PartName="/xl/drawings/drawing4.xml" ContentType="application/vnd.openxmlformats-officedocument.drawingml.chartshapes+xml"/>
  <Override PartName="/xl/drawings/vmlDrawing2.vml" ContentType="application/vnd.openxmlformats-officedocument.vmlDrawing"/>
  <Override PartName="/xl/drawings/drawing5.xml" ContentType="application/vnd.openxmlformats-officedocument.drawing+xml"/>
  <Override PartName="/xl/drawings/vmlDrawing3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6.xml" ContentType="application/vnd.openxmlformats-officedocument.drawingml.chartshapes+xml"/>
  <Override PartName="/xl/drawings/drawing7.xml" ContentType="application/vnd.openxmlformats-officedocument.drawingml.chartshapes+xml"/>
  <Override PartName="/xl/drawings/drawing8.xml" ContentType="application/vnd.openxmlformats-officedocument.drawingml.chartshapes+xml"/>
  <Override PartName="/xl/drawings/_rels/drawing5.xml.rels" ContentType="application/vnd.openxmlformats-package.relationship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_SATURN_CFG" sheetId="1" state="visible" r:id="rId4"/>
    <sheet name="push" sheetId="2" state="visible" r:id="rId5"/>
    <sheet name="pull-as-of" sheetId="3" state="visible" r:id="rId6"/>
    <sheet name="pull" sheetId="4" state="visible" r:id="rId7"/>
    <sheet name="daily graphs" sheetId="5" state="visible" r:id="rId8"/>
    <sheet name="weekly graphs" sheetId="6" state="visible" r:id="rId9"/>
    <sheet name="monthly graphs" sheetId="7" state="visible" r:id="rId10"/>
    <sheet name="xy" sheetId="8" state="visible" r:id="rId11"/>
  </sheets>
  <definedNames>
    <definedName function="false" hidden="false" name="big_daily_table" vbProcedure="false">pull!$AB$2:$AM$4385</definedName>
    <definedName function="false" hidden="false" name="big_table" vbProcedure="false">pull!$B$2:$X$254</definedName>
    <definedName function="false" hidden="false" name="big_table_as_of" vbProcedure="false">'pull-as-of'!$B$2:$X$254</definedName>
    <definedName function="false" hidden="false" name="chart_range" vbProcedure="false">'monthly graphs'!$AH$19:$AH$20</definedName>
    <definedName function="false" hidden="false" name="daily_chart_range" vbProcedure="false">'daily graphs'!$AN$25:$AN$26</definedName>
    <definedName function="false" hidden="false" name="daily_dates" vbProcedure="false">pull!$AA$2:$AA$4385</definedName>
    <definedName function="false" hidden="false" name="daily_dropdown" vbProcedure="false">'daily graphs'!$B$3</definedName>
    <definedName function="false" hidden="false" name="daily_items" vbProcedure="false">pull!$AB$1:$AM$1</definedName>
    <definedName function="false" hidden="false" name="dates" vbProcedure="false">pull!$A$2:$A$254</definedName>
    <definedName function="false" hidden="false" name="items" vbProcedure="false">pull!$B$1:$X$1</definedName>
    <definedName function="false" hidden="false" name="monthly_dropdown" vbProcedure="false">'monthly graphs'!$B$3</definedName>
    <definedName function="false" hidden="false" name="rc_daily_gasoline" vbProcedure="false">pull!$AB$3:$AM$4385</definedName>
    <definedName function="false" hidden="false" name="rc_gasoline_pull" vbProcedure="false">pull!$B$3:$X$254</definedName>
    <definedName function="false" hidden="false" name="rwc_daily_gasoline" vbProcedure="false">pull!$AB$3:$AM$4385</definedName>
    <definedName function="false" hidden="false" name="rwc_gasoline_pull" vbProcedure="false">pull!$B$3:$X$254</definedName>
    <definedName function="false" hidden="false" name="rwc_push_gasoline_balance" vbProcedure="false">push!$B$3:$O$26</definedName>
    <definedName function="false" hidden="false" name="rwc_wdkgfjdlfjgldskjfg" vbProcedure="false">pull!$B$3:$X$254</definedName>
    <definedName function="false" hidden="false" name="wc_push_gasoline_balance" vbProcedure="false">push!$B$3:$O$26</definedName>
    <definedName function="false" hidden="false" name="weekly_chart_range" vbProcedure="false">'weekly graphs'!$AO$25:$AO$26</definedName>
    <definedName function="false" hidden="false" name="weekly_dropdown" vbProcedure="false">'weekly graphs'!$B$3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" authorId="0">
      <text>
        <r>
          <rPr>
            <sz val="10"/>
            <rFont val="Arial"/>
            <family val="2"/>
          </rPr>
          <t xml:space="preserve">ASOF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" authorId="0">
      <text>
        <r>
          <rPr>
            <sz val="10"/>
            <rFont val="Arial"/>
            <family val="2"/>
          </rPr>
          <t xml:space="preserve">ASOF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" authorId="0">
      <text>
        <r>
          <rPr>
            <sz val="10"/>
            <rFont val="Arial"/>
            <family val="2"/>
          </rPr>
          <t xml:space="preserve">ASOF</t>
        </r>
      </text>
    </comment>
    <comment ref="AA2" authorId="0">
      <text>
        <r>
          <rPr>
            <sz val="10"/>
            <rFont val="Arial"/>
            <family val="2"/>
          </rPr>
          <t xml:space="preserve">ASOF</t>
        </r>
      </text>
    </comment>
  </commentList>
</comments>
</file>

<file path=xl/sharedStrings.xml><?xml version="1.0" encoding="utf-8"?>
<sst xmlns="http://schemas.openxmlformats.org/spreadsheetml/2006/main" count="55" uniqueCount="30">
  <si>
    <t xml:space="preserve">webapi</t>
  </si>
  <si>
    <t xml:space="preserve">date</t>
  </si>
  <si>
    <t xml:space="preserve">range</t>
  </si>
  <si>
    <t xml:space="preserve">years</t>
  </si>
  <si>
    <t xml:space="preserve">eurobob_crack_barge_m1</t>
  </si>
  <si>
    <t xml:space="preserve">day</t>
  </si>
  <si>
    <t xml:space="preserve">month</t>
  </si>
  <si>
    <t xml:space="preserve">dates</t>
  </si>
  <si>
    <t xml:space="preserve">today</t>
  </si>
  <si>
    <t xml:space="preserve">min</t>
  </si>
  <si>
    <t xml:space="preserve">max</t>
  </si>
  <si>
    <t xml:space="preserve">mean</t>
  </si>
  <si>
    <t xml:space="preserve">Seasonal with forecast line</t>
  </si>
  <si>
    <t xml:space="preserve">Seasonal without forecast line</t>
  </si>
  <si>
    <t xml:space="preserve">min_graph</t>
  </si>
  <si>
    <t xml:space="preserve">max_graph</t>
  </si>
  <si>
    <t xml:space="preserve">ebob_ulsd_fob</t>
  </si>
  <si>
    <t xml:space="preserve">week</t>
  </si>
  <si>
    <t xml:space="preserve">commercial_stocks</t>
  </si>
  <si>
    <t xml:space="preserve">min-max</t>
  </si>
  <si>
    <t xml:space="preserve">jodi_time_+1</t>
  </si>
  <si>
    <t xml:space="preserve">jodi_time</t>
  </si>
  <si>
    <t xml:space="preserve">Last forecast</t>
  </si>
  <si>
    <t xml:space="preserve">Annual</t>
  </si>
  <si>
    <t xml:space="preserve">Time series</t>
  </si>
  <si>
    <t xml:space="preserve">Seasonal</t>
  </si>
  <si>
    <t xml:space="preserve">weekly</t>
  </si>
  <si>
    <t xml:space="preserve">ara_stocks</t>
  </si>
  <si>
    <t xml:space="preserve">fcc_margin_net_gas</t>
  </si>
  <si>
    <t xml:space="preserve">ending_stocks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</si>
</sst>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dd/mm/yyyy"/>
    <numFmt numFmtId="166" formatCode="dd\-mmm"/>
    <numFmt numFmtId="167" formatCode="0.00"/>
    <numFmt numFmtId="168" formatCode="General"/>
    <numFmt numFmtId="169" formatCode="0"/>
    <numFmt numFmtId="170" formatCode="#,##0"/>
    <numFmt numFmtId="171" formatCode="mmm\-yy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0"/>
      <color rgb="FF0000FF"/>
      <name val="Arial"/>
      <family val="2"/>
      <charset val="1"/>
    </font>
    <font>
      <sz val="10"/>
      <name val="Arial"/>
      <family val="2"/>
      <charset val="1"/>
    </font>
    <font>
      <u val="single"/>
      <sz val="11"/>
      <color theme="10"/>
      <name val="Calibri"/>
      <family val="2"/>
      <charset val="1"/>
    </font>
    <font>
      <b val="true"/>
      <sz val="8"/>
      <color theme="0"/>
      <name val="Calibri"/>
      <family val="2"/>
      <charset val="1"/>
    </font>
    <font>
      <sz val="10"/>
      <name val="Arial"/>
      <family val="2"/>
    </font>
    <font>
      <sz val="11"/>
      <color theme="0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9"/>
      <color rgb="FF000000"/>
      <name val="Calibri"/>
      <family val="2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C00000"/>
        <bgColor rgb="FF800000"/>
      </patternFill>
    </fill>
    <fill>
      <patternFill patternType="solid">
        <fgColor rgb="FFFFAAAA"/>
        <bgColor rgb="FFFDCDAC"/>
      </patternFill>
    </fill>
    <fill>
      <patternFill patternType="solid">
        <fgColor rgb="FFDBE5F1"/>
        <bgColor rgb="FFF2F2F2"/>
      </patternFill>
    </fill>
    <fill>
      <patternFill patternType="solid">
        <fgColor rgb="FFB3E2CD"/>
        <bgColor rgb="FFDBE5F1"/>
      </patternFill>
    </fill>
    <fill>
      <patternFill patternType="solid">
        <fgColor rgb="FFFDCDAC"/>
        <bgColor rgb="FFFFAAAA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true" indent="0" shrinkToFit="false"/>
      <protection locked="true" hidden="false"/>
    </xf>
    <xf numFmtId="164" fontId="7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6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yperlink 2" xfId="21"/>
    <cellStyle name="Normal 2" xfId="22"/>
    <cellStyle name="À‰" xfId="23"/>
    <cellStyle name="*unknown*" xfId="20" builtinId="8"/>
  </cellStyle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70C0"/>
      <rgbColor rgb="FFBFBFBF"/>
      <rgbColor rgb="FF8B8B8B"/>
      <rgbColor rgb="FF9999FF"/>
      <rgbColor rgb="FF7030A0"/>
      <rgbColor rgb="FFF2F2F2"/>
      <rgbColor rgb="FFCCFFFF"/>
      <rgbColor rgb="FF660066"/>
      <rgbColor rgb="FFFF8080"/>
      <rgbColor rgb="FF0563C1"/>
      <rgbColor rgb="FFDBE5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3E2CD"/>
      <rgbColor rgb="FFFFFF99"/>
      <rgbColor rgb="FF99CCFF"/>
      <rgbColor rgb="FFFFAAAA"/>
      <rgbColor rgb="FFCC99FF"/>
      <rgbColor rgb="FFFDCDAC"/>
      <rgbColor rgb="FF3366FF"/>
      <rgbColor rgb="FF33CCCC"/>
      <rgbColor rgb="FF99CC00"/>
      <rgbColor rgb="FFFFC000"/>
      <rgbColor rgb="FFFF9900"/>
      <rgbColor rgb="FFFF6600"/>
      <rgbColor rgb="FF666699"/>
      <rgbColor rgb="FFA6A6A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sharedStrings" Target="sharedStrings.xml"/>
</Relationships>
</file>

<file path=xl/charts/_rels/chart6.xml.rels><?xml version="1.0" encoding="UTF-8"?>
<Relationships xmlns="http://schemas.openxmlformats.org/package/2006/relationships"><Relationship Id="rId1" Type="http://schemas.openxmlformats.org/officeDocument/2006/relationships/chartUserShapes" Target="../drawings/drawing4.xml"/>
</Relationships>
</file>

<file path=xl/charts/_rels/chart7.xml.rels><?xml version="1.0" encoding="UTF-8"?>
<Relationships xmlns="http://schemas.openxmlformats.org/package/2006/relationships"><Relationship Id="rId1" Type="http://schemas.openxmlformats.org/officeDocument/2006/relationships/chartUserShapes" Target="../drawings/drawing6.xml"/>
</Relationships>
</file>

<file path=xl/charts/_rels/chart8.xml.rels><?xml version="1.0" encoding="UTF-8"?>
<Relationships xmlns="http://schemas.openxmlformats.org/package/2006/relationships"><Relationship Id="rId1" Type="http://schemas.openxmlformats.org/officeDocument/2006/relationships/chartUserShapes" Target="../drawings/drawing7.xml"/>
</Relationships>
</file>

<file path=xl/charts/_rels/chart9.xml.rels><?xml version="1.0" encoding="UTF-8"?>
<Relationships xmlns="http://schemas.openxmlformats.org/package/2006/relationships"><Relationship Id="rId1" Type="http://schemas.openxmlformats.org/officeDocument/2006/relationships/chartUserShapes" Target="../drawings/drawing8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cked"/>
        <c:ser>
          <c:idx val="0"/>
          <c:order val="0"/>
          <c:tx>
            <c:strRef>
              <c:f>'daily graphs'!$Z$5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graphs'!$Z$6:$Z$371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'daily graphs'!$AB$5</c:f>
              <c:strCache>
                <c:ptCount val="1"/>
                <c:pt idx="0">
                  <c:v>min-max (2019 -2014)</c:v>
                </c:pt>
              </c:strCache>
            </c:strRef>
          </c:tx>
          <c:spPr>
            <a:solidFill>
              <a:srgbClr val="bfbfbf">
                <a:alpha val="62000"/>
              </a:srgbClr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graphs'!$AB$6:$AB$371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87826855"/>
        <c:axId val="32346469"/>
      </c:areaChart>
      <c:lineChart>
        <c:grouping val="stacked"/>
        <c:varyColors val="0"/>
        <c:ser>
          <c:idx val="2"/>
          <c:order val="2"/>
          <c:tx>
            <c:strRef>
              <c:f>'daily graphs'!$O$5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70c0"/>
            </a:solidFill>
            <a:ln cap="rnd" w="15840">
              <a:solidFill>
                <a:srgbClr val="0070c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graphs'!$O$6:$O$371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3"/>
          <c:order val="3"/>
          <c:tx>
            <c:strRef>
              <c:f>'daily graphs'!$P$5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00b050"/>
            </a:solidFill>
            <a:ln cap="rnd" w="12600">
              <a:solidFill>
                <a:srgbClr val="00b05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graphs'!$P$6:$P$371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4"/>
          <c:order val="4"/>
          <c:tx>
            <c:strRef>
              <c:f>'daily graphs'!$Q$5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fc000"/>
            </a:solidFill>
            <a:ln cap="rnd" w="1260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graphs'!$Q$6:$Q$371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5"/>
          <c:order val="5"/>
          <c:tx>
            <c:strRef>
              <c:f>'daily graphs'!$R$5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7030a0"/>
            </a:solidFill>
            <a:ln cap="rnd" w="12600">
              <a:solidFill>
                <a:srgbClr val="7030a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graphs'!$R$6:$R$371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6"/>
          <c:order val="6"/>
          <c:tx>
            <c:strRef>
              <c:f>'daily graphs'!$AC$5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000000"/>
            </a:solidFill>
            <a:ln cap="rnd" w="9360">
              <a:solidFill>
                <a:srgbClr val="0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graphs'!$AC$6:$AC$371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7"/>
          <c:order val="7"/>
          <c:tx>
            <c:strRef>
              <c:f>'daily graphs'!$L$5</c:f>
              <c:strCache>
                <c:ptCount val="1"/>
                <c:pt idx="0">
                  <c:v>today</c:v>
                </c:pt>
              </c:strCache>
            </c:strRef>
          </c:tx>
          <c:spPr>
            <a:solidFill>
              <a:srgbClr val="000000"/>
            </a:solidFill>
            <a:ln cap="rnd" w="12600">
              <a:solidFill>
                <a:srgbClr val="0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graphs'!$L$6:$L$371</c:f>
              <c:numCache>
                <c:formatCode>General</c:formatCode>
                <c:ptCount val="366"/>
                <c:pt idx="0">
                  <c:v>-1000000</c:v>
                </c:pt>
                <c:pt idx="1">
                  <c:v>-1000000</c:v>
                </c:pt>
                <c:pt idx="2">
                  <c:v>-1000000</c:v>
                </c:pt>
                <c:pt idx="3">
                  <c:v>-1000000</c:v>
                </c:pt>
                <c:pt idx="4">
                  <c:v>-1000000</c:v>
                </c:pt>
                <c:pt idx="5">
                  <c:v>-1000000</c:v>
                </c:pt>
                <c:pt idx="6">
                  <c:v>-1000000</c:v>
                </c:pt>
                <c:pt idx="7">
                  <c:v>-1000000</c:v>
                </c:pt>
                <c:pt idx="8">
                  <c:v>-1000000</c:v>
                </c:pt>
                <c:pt idx="9">
                  <c:v>-1000000</c:v>
                </c:pt>
                <c:pt idx="10">
                  <c:v>-1000000</c:v>
                </c:pt>
                <c:pt idx="11">
                  <c:v>-1000000</c:v>
                </c:pt>
                <c:pt idx="12">
                  <c:v>-1000000</c:v>
                </c:pt>
                <c:pt idx="13">
                  <c:v>-1000000</c:v>
                </c:pt>
                <c:pt idx="14">
                  <c:v>-1000000</c:v>
                </c:pt>
                <c:pt idx="15">
                  <c:v>-1000000</c:v>
                </c:pt>
                <c:pt idx="16">
                  <c:v>-1000000</c:v>
                </c:pt>
                <c:pt idx="17">
                  <c:v>-1000000</c:v>
                </c:pt>
                <c:pt idx="18">
                  <c:v>-1000000</c:v>
                </c:pt>
                <c:pt idx="19">
                  <c:v>-1000000</c:v>
                </c:pt>
                <c:pt idx="20">
                  <c:v>-1000000</c:v>
                </c:pt>
                <c:pt idx="21">
                  <c:v>-1000000</c:v>
                </c:pt>
                <c:pt idx="22">
                  <c:v>-1000000</c:v>
                </c:pt>
                <c:pt idx="23">
                  <c:v>-1000000</c:v>
                </c:pt>
                <c:pt idx="24">
                  <c:v>-1000000</c:v>
                </c:pt>
                <c:pt idx="25">
                  <c:v>-1000000</c:v>
                </c:pt>
                <c:pt idx="26">
                  <c:v>-1000000</c:v>
                </c:pt>
                <c:pt idx="27">
                  <c:v>-1000000</c:v>
                </c:pt>
                <c:pt idx="28">
                  <c:v>-1000000</c:v>
                </c:pt>
                <c:pt idx="29">
                  <c:v>-1000000</c:v>
                </c:pt>
                <c:pt idx="30">
                  <c:v>-1000000</c:v>
                </c:pt>
                <c:pt idx="31">
                  <c:v>-1000000</c:v>
                </c:pt>
                <c:pt idx="32">
                  <c:v>-1000000</c:v>
                </c:pt>
                <c:pt idx="33">
                  <c:v>-1000000</c:v>
                </c:pt>
                <c:pt idx="34">
                  <c:v>-1000000</c:v>
                </c:pt>
                <c:pt idx="35">
                  <c:v>-1000000</c:v>
                </c:pt>
                <c:pt idx="36">
                  <c:v>-1000000</c:v>
                </c:pt>
                <c:pt idx="37">
                  <c:v>-1000000</c:v>
                </c:pt>
                <c:pt idx="38">
                  <c:v>-1000000</c:v>
                </c:pt>
                <c:pt idx="39">
                  <c:v>-1000000</c:v>
                </c:pt>
                <c:pt idx="40">
                  <c:v>-1000000</c:v>
                </c:pt>
                <c:pt idx="41">
                  <c:v>-1000000</c:v>
                </c:pt>
                <c:pt idx="42">
                  <c:v>-1000000</c:v>
                </c:pt>
                <c:pt idx="43">
                  <c:v>-1000000</c:v>
                </c:pt>
                <c:pt idx="44">
                  <c:v>-1000000</c:v>
                </c:pt>
                <c:pt idx="45">
                  <c:v>-1000000</c:v>
                </c:pt>
                <c:pt idx="46">
                  <c:v>-1000000</c:v>
                </c:pt>
                <c:pt idx="47">
                  <c:v>-1000000</c:v>
                </c:pt>
                <c:pt idx="48">
                  <c:v>-1000000</c:v>
                </c:pt>
                <c:pt idx="49">
                  <c:v>-1000000</c:v>
                </c:pt>
                <c:pt idx="50">
                  <c:v>-1000000</c:v>
                </c:pt>
                <c:pt idx="51">
                  <c:v>-1000000</c:v>
                </c:pt>
                <c:pt idx="52">
                  <c:v>-1000000</c:v>
                </c:pt>
                <c:pt idx="53">
                  <c:v>-1000000</c:v>
                </c:pt>
                <c:pt idx="54">
                  <c:v>-1000000</c:v>
                </c:pt>
                <c:pt idx="55">
                  <c:v>-1000000</c:v>
                </c:pt>
                <c:pt idx="56">
                  <c:v>-1000000</c:v>
                </c:pt>
                <c:pt idx="57">
                  <c:v>-1000000</c:v>
                </c:pt>
                <c:pt idx="58">
                  <c:v>-1000000</c:v>
                </c:pt>
                <c:pt idx="59">
                  <c:v>-1000000</c:v>
                </c:pt>
                <c:pt idx="60">
                  <c:v>-1000000</c:v>
                </c:pt>
                <c:pt idx="61">
                  <c:v>-1000000</c:v>
                </c:pt>
                <c:pt idx="62">
                  <c:v>-1000000</c:v>
                </c:pt>
                <c:pt idx="63">
                  <c:v>-1000000</c:v>
                </c:pt>
                <c:pt idx="64">
                  <c:v>-1000000</c:v>
                </c:pt>
                <c:pt idx="65">
                  <c:v>-1000000</c:v>
                </c:pt>
                <c:pt idx="66">
                  <c:v>-1000000</c:v>
                </c:pt>
                <c:pt idx="67">
                  <c:v>-1000000</c:v>
                </c:pt>
                <c:pt idx="68">
                  <c:v>-1000000</c:v>
                </c:pt>
                <c:pt idx="69">
                  <c:v>-1000000</c:v>
                </c:pt>
                <c:pt idx="70">
                  <c:v>-1000000</c:v>
                </c:pt>
                <c:pt idx="71">
                  <c:v>-1000000</c:v>
                </c:pt>
                <c:pt idx="72">
                  <c:v>-1000000</c:v>
                </c:pt>
                <c:pt idx="73">
                  <c:v>-1000000</c:v>
                </c:pt>
                <c:pt idx="74">
                  <c:v>-1000000</c:v>
                </c:pt>
                <c:pt idx="75">
                  <c:v>-1000000</c:v>
                </c:pt>
                <c:pt idx="76">
                  <c:v>-1000000</c:v>
                </c:pt>
                <c:pt idx="77">
                  <c:v>-1000000</c:v>
                </c:pt>
                <c:pt idx="78">
                  <c:v>-1000000</c:v>
                </c:pt>
                <c:pt idx="79">
                  <c:v>-1000000</c:v>
                </c:pt>
                <c:pt idx="80">
                  <c:v>-1000000</c:v>
                </c:pt>
                <c:pt idx="81">
                  <c:v>-1000000</c:v>
                </c:pt>
                <c:pt idx="82">
                  <c:v>-1000000</c:v>
                </c:pt>
                <c:pt idx="83">
                  <c:v>-1000000</c:v>
                </c:pt>
                <c:pt idx="84">
                  <c:v>-1000000</c:v>
                </c:pt>
                <c:pt idx="85">
                  <c:v>-1000000</c:v>
                </c:pt>
                <c:pt idx="86">
                  <c:v>-1000000</c:v>
                </c:pt>
                <c:pt idx="87">
                  <c:v>-1000000</c:v>
                </c:pt>
                <c:pt idx="88">
                  <c:v>-1000000</c:v>
                </c:pt>
                <c:pt idx="89">
                  <c:v>-1000000</c:v>
                </c:pt>
                <c:pt idx="90">
                  <c:v>-1000000</c:v>
                </c:pt>
                <c:pt idx="91">
                  <c:v>-1000000</c:v>
                </c:pt>
                <c:pt idx="92">
                  <c:v>-1000000</c:v>
                </c:pt>
                <c:pt idx="93">
                  <c:v>-1000000</c:v>
                </c:pt>
                <c:pt idx="94">
                  <c:v>-1000000</c:v>
                </c:pt>
                <c:pt idx="95">
                  <c:v>-1000000</c:v>
                </c:pt>
                <c:pt idx="96">
                  <c:v>-1000000</c:v>
                </c:pt>
                <c:pt idx="97">
                  <c:v>-1000000</c:v>
                </c:pt>
                <c:pt idx="98">
                  <c:v>-1000000</c:v>
                </c:pt>
                <c:pt idx="99">
                  <c:v>-1000000</c:v>
                </c:pt>
                <c:pt idx="100">
                  <c:v>-1000000</c:v>
                </c:pt>
                <c:pt idx="101">
                  <c:v>-1000000</c:v>
                </c:pt>
                <c:pt idx="102">
                  <c:v>-1000000</c:v>
                </c:pt>
                <c:pt idx="103">
                  <c:v>-1000000</c:v>
                </c:pt>
                <c:pt idx="104">
                  <c:v>-1000000</c:v>
                </c:pt>
                <c:pt idx="105">
                  <c:v>-1000000</c:v>
                </c:pt>
                <c:pt idx="106">
                  <c:v>-1000000</c:v>
                </c:pt>
                <c:pt idx="107">
                  <c:v>-1000000</c:v>
                </c:pt>
                <c:pt idx="108">
                  <c:v>-1000000</c:v>
                </c:pt>
                <c:pt idx="109">
                  <c:v>-1000000</c:v>
                </c:pt>
                <c:pt idx="110">
                  <c:v>-1000000</c:v>
                </c:pt>
                <c:pt idx="111">
                  <c:v>-1000000</c:v>
                </c:pt>
                <c:pt idx="112">
                  <c:v>-1000000</c:v>
                </c:pt>
                <c:pt idx="113">
                  <c:v>-1000000</c:v>
                </c:pt>
                <c:pt idx="114">
                  <c:v>-1000000</c:v>
                </c:pt>
                <c:pt idx="115">
                  <c:v>-1000000</c:v>
                </c:pt>
                <c:pt idx="116">
                  <c:v>-1000000</c:v>
                </c:pt>
                <c:pt idx="117">
                  <c:v>-1000000</c:v>
                </c:pt>
                <c:pt idx="118">
                  <c:v>-1000000</c:v>
                </c:pt>
                <c:pt idx="119">
                  <c:v>-1000000</c:v>
                </c:pt>
                <c:pt idx="120">
                  <c:v>-1000000</c:v>
                </c:pt>
                <c:pt idx="121">
                  <c:v>-1000000</c:v>
                </c:pt>
                <c:pt idx="122">
                  <c:v>-1000000</c:v>
                </c:pt>
                <c:pt idx="123">
                  <c:v>-1000000</c:v>
                </c:pt>
                <c:pt idx="124">
                  <c:v>-1000000</c:v>
                </c:pt>
                <c:pt idx="125">
                  <c:v>-1000000</c:v>
                </c:pt>
                <c:pt idx="126">
                  <c:v>-1000000</c:v>
                </c:pt>
                <c:pt idx="127">
                  <c:v>-1000000</c:v>
                </c:pt>
                <c:pt idx="128">
                  <c:v>-1000000</c:v>
                </c:pt>
                <c:pt idx="129">
                  <c:v>-1000000</c:v>
                </c:pt>
                <c:pt idx="130">
                  <c:v>-1000000</c:v>
                </c:pt>
                <c:pt idx="131">
                  <c:v>-1000000</c:v>
                </c:pt>
                <c:pt idx="132">
                  <c:v>-1000000</c:v>
                </c:pt>
                <c:pt idx="133">
                  <c:v>-1000000</c:v>
                </c:pt>
                <c:pt idx="134">
                  <c:v>-1000000</c:v>
                </c:pt>
                <c:pt idx="135">
                  <c:v>-1000000</c:v>
                </c:pt>
                <c:pt idx="136">
                  <c:v>-1000000</c:v>
                </c:pt>
                <c:pt idx="137">
                  <c:v>-1000000</c:v>
                </c:pt>
                <c:pt idx="138">
                  <c:v>-1000000</c:v>
                </c:pt>
                <c:pt idx="139">
                  <c:v>-1000000</c:v>
                </c:pt>
                <c:pt idx="140">
                  <c:v>-1000000</c:v>
                </c:pt>
                <c:pt idx="141">
                  <c:v>-1000000</c:v>
                </c:pt>
                <c:pt idx="142">
                  <c:v>-1000000</c:v>
                </c:pt>
                <c:pt idx="143">
                  <c:v>-1000000</c:v>
                </c:pt>
                <c:pt idx="144">
                  <c:v>-1000000</c:v>
                </c:pt>
                <c:pt idx="145">
                  <c:v>-1000000</c:v>
                </c:pt>
                <c:pt idx="146">
                  <c:v>-1000000</c:v>
                </c:pt>
                <c:pt idx="147">
                  <c:v>-1000000</c:v>
                </c:pt>
                <c:pt idx="148">
                  <c:v>-1000000</c:v>
                </c:pt>
                <c:pt idx="149">
                  <c:v>-1000000</c:v>
                </c:pt>
                <c:pt idx="150">
                  <c:v>-1000000</c:v>
                </c:pt>
                <c:pt idx="151">
                  <c:v>-1000000</c:v>
                </c:pt>
                <c:pt idx="152">
                  <c:v>-1000000</c:v>
                </c:pt>
                <c:pt idx="153">
                  <c:v>-1000000</c:v>
                </c:pt>
                <c:pt idx="154">
                  <c:v>-1000000</c:v>
                </c:pt>
                <c:pt idx="155">
                  <c:v>-1000000</c:v>
                </c:pt>
                <c:pt idx="156">
                  <c:v>-1000000</c:v>
                </c:pt>
                <c:pt idx="157">
                  <c:v>-1000000</c:v>
                </c:pt>
                <c:pt idx="158">
                  <c:v>-1000000</c:v>
                </c:pt>
                <c:pt idx="159">
                  <c:v>-1000000</c:v>
                </c:pt>
                <c:pt idx="160">
                  <c:v>-1000000</c:v>
                </c:pt>
                <c:pt idx="161">
                  <c:v>-1000000</c:v>
                </c:pt>
                <c:pt idx="162">
                  <c:v>-1000000</c:v>
                </c:pt>
                <c:pt idx="163">
                  <c:v>-1000000</c:v>
                </c:pt>
                <c:pt idx="164">
                  <c:v>-1000000</c:v>
                </c:pt>
                <c:pt idx="165">
                  <c:v>-1000000</c:v>
                </c:pt>
                <c:pt idx="166">
                  <c:v>-1000000</c:v>
                </c:pt>
                <c:pt idx="167">
                  <c:v>-1000000</c:v>
                </c:pt>
                <c:pt idx="168">
                  <c:v>-1000000</c:v>
                </c:pt>
                <c:pt idx="169">
                  <c:v>-1000000</c:v>
                </c:pt>
                <c:pt idx="170">
                  <c:v>-1000000</c:v>
                </c:pt>
                <c:pt idx="171">
                  <c:v>-1000000</c:v>
                </c:pt>
                <c:pt idx="172">
                  <c:v>-1000000</c:v>
                </c:pt>
                <c:pt idx="173">
                  <c:v>-1000000</c:v>
                </c:pt>
                <c:pt idx="174">
                  <c:v>-1000000</c:v>
                </c:pt>
                <c:pt idx="175">
                  <c:v>-1000000</c:v>
                </c:pt>
                <c:pt idx="176">
                  <c:v>-1000000</c:v>
                </c:pt>
                <c:pt idx="177">
                  <c:v>-1000000</c:v>
                </c:pt>
                <c:pt idx="178">
                  <c:v>-1000000</c:v>
                </c:pt>
                <c:pt idx="179">
                  <c:v>-1000000</c:v>
                </c:pt>
                <c:pt idx="180">
                  <c:v>-1000000</c:v>
                </c:pt>
                <c:pt idx="181">
                  <c:v>-1000000</c:v>
                </c:pt>
                <c:pt idx="182">
                  <c:v>-1000000</c:v>
                </c:pt>
                <c:pt idx="183">
                  <c:v>-1000000</c:v>
                </c:pt>
                <c:pt idx="184">
                  <c:v>-1000000</c:v>
                </c:pt>
                <c:pt idx="185">
                  <c:v>-1000000</c:v>
                </c:pt>
                <c:pt idx="186">
                  <c:v>-1000000</c:v>
                </c:pt>
                <c:pt idx="187">
                  <c:v>-1000000</c:v>
                </c:pt>
                <c:pt idx="188">
                  <c:v>-1000000</c:v>
                </c:pt>
                <c:pt idx="189">
                  <c:v>-1000000</c:v>
                </c:pt>
                <c:pt idx="190">
                  <c:v>-1000000</c:v>
                </c:pt>
                <c:pt idx="191">
                  <c:v>-1000000</c:v>
                </c:pt>
                <c:pt idx="192">
                  <c:v>-1000000</c:v>
                </c:pt>
                <c:pt idx="193">
                  <c:v>-1000000</c:v>
                </c:pt>
                <c:pt idx="194">
                  <c:v>-1000000</c:v>
                </c:pt>
                <c:pt idx="195">
                  <c:v>-1000000</c:v>
                </c:pt>
                <c:pt idx="196">
                  <c:v>-1000000</c:v>
                </c:pt>
                <c:pt idx="197">
                  <c:v>-1000000</c:v>
                </c:pt>
                <c:pt idx="198">
                  <c:v>-1000000</c:v>
                </c:pt>
                <c:pt idx="199">
                  <c:v>-1000000</c:v>
                </c:pt>
                <c:pt idx="200">
                  <c:v>-1000000</c:v>
                </c:pt>
                <c:pt idx="201">
                  <c:v>-1000000</c:v>
                </c:pt>
                <c:pt idx="202">
                  <c:v>-1000000</c:v>
                </c:pt>
                <c:pt idx="203">
                  <c:v>-1000000</c:v>
                </c:pt>
                <c:pt idx="204">
                  <c:v>-1000000</c:v>
                </c:pt>
                <c:pt idx="205">
                  <c:v>-1000000</c:v>
                </c:pt>
                <c:pt idx="206">
                  <c:v>-1000000</c:v>
                </c:pt>
                <c:pt idx="207">
                  <c:v>-1000000</c:v>
                </c:pt>
                <c:pt idx="208">
                  <c:v>-1000000</c:v>
                </c:pt>
                <c:pt idx="209">
                  <c:v>-1000000</c:v>
                </c:pt>
                <c:pt idx="210">
                  <c:v>-1000000</c:v>
                </c:pt>
                <c:pt idx="211">
                  <c:v>-1000000</c:v>
                </c:pt>
                <c:pt idx="212">
                  <c:v>-1000000</c:v>
                </c:pt>
                <c:pt idx="213">
                  <c:v>-1000000</c:v>
                </c:pt>
                <c:pt idx="214">
                  <c:v>-1000000</c:v>
                </c:pt>
                <c:pt idx="215">
                  <c:v>-1000000</c:v>
                </c:pt>
                <c:pt idx="216">
                  <c:v>-1000000</c:v>
                </c:pt>
                <c:pt idx="217">
                  <c:v>-1000000</c:v>
                </c:pt>
                <c:pt idx="218">
                  <c:v>-1000000</c:v>
                </c:pt>
                <c:pt idx="219">
                  <c:v>-1000000</c:v>
                </c:pt>
                <c:pt idx="220">
                  <c:v>-1000000</c:v>
                </c:pt>
                <c:pt idx="221">
                  <c:v>-1000000</c:v>
                </c:pt>
                <c:pt idx="222">
                  <c:v>-1000000</c:v>
                </c:pt>
                <c:pt idx="223">
                  <c:v>-1000000</c:v>
                </c:pt>
                <c:pt idx="224">
                  <c:v>-1000000</c:v>
                </c:pt>
                <c:pt idx="225">
                  <c:v>-1000000</c:v>
                </c:pt>
                <c:pt idx="226">
                  <c:v>-1000000</c:v>
                </c:pt>
                <c:pt idx="227">
                  <c:v>-1000000</c:v>
                </c:pt>
                <c:pt idx="228">
                  <c:v>-1000000</c:v>
                </c:pt>
                <c:pt idx="229">
                  <c:v>-1000000</c:v>
                </c:pt>
                <c:pt idx="230">
                  <c:v>-1000000</c:v>
                </c:pt>
                <c:pt idx="231">
                  <c:v>-1000000</c:v>
                </c:pt>
                <c:pt idx="232">
                  <c:v>-1000000</c:v>
                </c:pt>
                <c:pt idx="233">
                  <c:v>-1000000</c:v>
                </c:pt>
                <c:pt idx="234">
                  <c:v>-1000000</c:v>
                </c:pt>
                <c:pt idx="235">
                  <c:v>-1000000</c:v>
                </c:pt>
                <c:pt idx="236">
                  <c:v>-1000000</c:v>
                </c:pt>
                <c:pt idx="237">
                  <c:v>-1000000</c:v>
                </c:pt>
                <c:pt idx="238">
                  <c:v>-1000000</c:v>
                </c:pt>
                <c:pt idx="239">
                  <c:v>-1000000</c:v>
                </c:pt>
                <c:pt idx="240">
                  <c:v>-1000000</c:v>
                </c:pt>
                <c:pt idx="241">
                  <c:v>-1000000</c:v>
                </c:pt>
                <c:pt idx="242">
                  <c:v>-1000000</c:v>
                </c:pt>
                <c:pt idx="243">
                  <c:v>-1000000</c:v>
                </c:pt>
                <c:pt idx="244">
                  <c:v>-1000000</c:v>
                </c:pt>
                <c:pt idx="245">
                  <c:v>-1000000</c:v>
                </c:pt>
                <c:pt idx="246">
                  <c:v>-1000000</c:v>
                </c:pt>
                <c:pt idx="247">
                  <c:v>-1000000</c:v>
                </c:pt>
                <c:pt idx="248">
                  <c:v>-1000000</c:v>
                </c:pt>
                <c:pt idx="249">
                  <c:v>-1000000</c:v>
                </c:pt>
                <c:pt idx="250">
                  <c:v>-1000000</c:v>
                </c:pt>
                <c:pt idx="251">
                  <c:v>-1000000</c:v>
                </c:pt>
                <c:pt idx="252">
                  <c:v>-1000000</c:v>
                </c:pt>
                <c:pt idx="253">
                  <c:v>-1000000</c:v>
                </c:pt>
                <c:pt idx="254">
                  <c:v>-1000000</c:v>
                </c:pt>
                <c:pt idx="255">
                  <c:v>-1000000</c:v>
                </c:pt>
                <c:pt idx="256">
                  <c:v>-1000000</c:v>
                </c:pt>
                <c:pt idx="257">
                  <c:v>-1000000</c:v>
                </c:pt>
                <c:pt idx="258">
                  <c:v>-1000000</c:v>
                </c:pt>
                <c:pt idx="259">
                  <c:v>-1000000</c:v>
                </c:pt>
                <c:pt idx="260">
                  <c:v>-1000000</c:v>
                </c:pt>
                <c:pt idx="261">
                  <c:v>-1000000</c:v>
                </c:pt>
                <c:pt idx="262">
                  <c:v>-1000000</c:v>
                </c:pt>
                <c:pt idx="263">
                  <c:v>-1000000</c:v>
                </c:pt>
                <c:pt idx="264">
                  <c:v>-1000000</c:v>
                </c:pt>
                <c:pt idx="265">
                  <c:v>-1000000</c:v>
                </c:pt>
                <c:pt idx="266">
                  <c:v>-1000000</c:v>
                </c:pt>
                <c:pt idx="267">
                  <c:v>-1000000</c:v>
                </c:pt>
                <c:pt idx="268">
                  <c:v>-1000000</c:v>
                </c:pt>
                <c:pt idx="269">
                  <c:v>-1000000</c:v>
                </c:pt>
                <c:pt idx="270">
                  <c:v>-1000000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1000000</c:v>
                </c:pt>
                <c:pt idx="301">
                  <c:v>1000000</c:v>
                </c:pt>
                <c:pt idx="302">
                  <c:v>1000000</c:v>
                </c:pt>
                <c:pt idx="303">
                  <c:v>1000000</c:v>
                </c:pt>
                <c:pt idx="304">
                  <c:v>1000000</c:v>
                </c:pt>
                <c:pt idx="305">
                  <c:v>1000000</c:v>
                </c:pt>
                <c:pt idx="306">
                  <c:v>1000000</c:v>
                </c:pt>
                <c:pt idx="307">
                  <c:v>1000000</c:v>
                </c:pt>
                <c:pt idx="308">
                  <c:v>1000000</c:v>
                </c:pt>
                <c:pt idx="309">
                  <c:v>1000000</c:v>
                </c:pt>
                <c:pt idx="310">
                  <c:v>1000000</c:v>
                </c:pt>
                <c:pt idx="311">
                  <c:v>1000000</c:v>
                </c:pt>
                <c:pt idx="312">
                  <c:v>1000000</c:v>
                </c:pt>
                <c:pt idx="313">
                  <c:v>1000000</c:v>
                </c:pt>
                <c:pt idx="314">
                  <c:v>1000000</c:v>
                </c:pt>
                <c:pt idx="315">
                  <c:v>1000000</c:v>
                </c:pt>
                <c:pt idx="316">
                  <c:v>1000000</c:v>
                </c:pt>
                <c:pt idx="317">
                  <c:v>1000000</c:v>
                </c:pt>
                <c:pt idx="318">
                  <c:v>1000000</c:v>
                </c:pt>
                <c:pt idx="319">
                  <c:v>1000000</c:v>
                </c:pt>
                <c:pt idx="320">
                  <c:v>1000000</c:v>
                </c:pt>
                <c:pt idx="321">
                  <c:v>1000000</c:v>
                </c:pt>
                <c:pt idx="322">
                  <c:v>1000000</c:v>
                </c:pt>
                <c:pt idx="323">
                  <c:v>1000000</c:v>
                </c:pt>
                <c:pt idx="324">
                  <c:v>1000000</c:v>
                </c:pt>
                <c:pt idx="325">
                  <c:v>1000000</c:v>
                </c:pt>
                <c:pt idx="326">
                  <c:v>1000000</c:v>
                </c:pt>
                <c:pt idx="327">
                  <c:v>1000000</c:v>
                </c:pt>
                <c:pt idx="328">
                  <c:v>1000000</c:v>
                </c:pt>
                <c:pt idx="329">
                  <c:v>1000000</c:v>
                </c:pt>
                <c:pt idx="330">
                  <c:v>1000000</c:v>
                </c:pt>
                <c:pt idx="331">
                  <c:v>1000000</c:v>
                </c:pt>
                <c:pt idx="332">
                  <c:v>1000000</c:v>
                </c:pt>
                <c:pt idx="333">
                  <c:v>1000000</c:v>
                </c:pt>
                <c:pt idx="334">
                  <c:v>1000000</c:v>
                </c:pt>
                <c:pt idx="335">
                  <c:v>1000000</c:v>
                </c:pt>
                <c:pt idx="336">
                  <c:v>1000000</c:v>
                </c:pt>
                <c:pt idx="337">
                  <c:v>1000000</c:v>
                </c:pt>
                <c:pt idx="338">
                  <c:v>1000000</c:v>
                </c:pt>
                <c:pt idx="339">
                  <c:v>1000000</c:v>
                </c:pt>
                <c:pt idx="340">
                  <c:v>1000000</c:v>
                </c:pt>
                <c:pt idx="341">
                  <c:v>1000000</c:v>
                </c:pt>
                <c:pt idx="342">
                  <c:v>1000000</c:v>
                </c:pt>
                <c:pt idx="343">
                  <c:v>1000000</c:v>
                </c:pt>
                <c:pt idx="344">
                  <c:v>1000000</c:v>
                </c:pt>
                <c:pt idx="345">
                  <c:v>1000000</c:v>
                </c:pt>
                <c:pt idx="346">
                  <c:v>1000000</c:v>
                </c:pt>
                <c:pt idx="347">
                  <c:v>1000000</c:v>
                </c:pt>
                <c:pt idx="348">
                  <c:v>1000000</c:v>
                </c:pt>
                <c:pt idx="349">
                  <c:v>1000000</c:v>
                </c:pt>
                <c:pt idx="350">
                  <c:v>1000000</c:v>
                </c:pt>
                <c:pt idx="351">
                  <c:v>1000000</c:v>
                </c:pt>
                <c:pt idx="352">
                  <c:v>1000000</c:v>
                </c:pt>
                <c:pt idx="353">
                  <c:v>1000000</c:v>
                </c:pt>
                <c:pt idx="354">
                  <c:v>1000000</c:v>
                </c:pt>
                <c:pt idx="355">
                  <c:v>1000000</c:v>
                </c:pt>
                <c:pt idx="356">
                  <c:v>1000000</c:v>
                </c:pt>
                <c:pt idx="357">
                  <c:v>1000000</c:v>
                </c:pt>
                <c:pt idx="358">
                  <c:v>1000000</c:v>
                </c:pt>
                <c:pt idx="359">
                  <c:v>1000000</c:v>
                </c:pt>
                <c:pt idx="360">
                  <c:v>1000000</c:v>
                </c:pt>
                <c:pt idx="361">
                  <c:v>1000000</c:v>
                </c:pt>
                <c:pt idx="362">
                  <c:v>1000000</c:v>
                </c:pt>
                <c:pt idx="363">
                  <c:v>1000000</c:v>
                </c:pt>
                <c:pt idx="364">
                  <c:v>1000000</c:v>
                </c:pt>
                <c:pt idx="365">
                  <c:v>1000000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'daily graphs'!$M$5</c:f>
              <c:strCache>
                <c:ptCount val="1"/>
                <c:pt idx="0">
                  <c:v>2023F</c:v>
                </c:pt>
              </c:strCache>
            </c:strRef>
          </c:tx>
          <c:spPr>
            <a:solidFill>
              <a:srgbClr val="c00000"/>
            </a:solidFill>
            <a:ln cap="rnd" w="19080">
              <a:solidFill>
                <a:srgbClr val="c0000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graphs'!$M$6:$M$371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9"/>
          <c:order val="9"/>
          <c:tx>
            <c:strRef>
              <c:f>'daily graphs'!$N$5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graphs'!$N$6:$N$371</c:f>
              <c:numCache>
                <c:formatCode>General</c:formatCode>
                <c:ptCount val="366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87826855"/>
        <c:axId val="32346469"/>
      </c:lineChart>
      <c:dateAx>
        <c:axId val="87826855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2346469"/>
        <c:crosses val="autoZero"/>
        <c:auto val="1"/>
        <c:lblOffset val="100"/>
        <c:baseTimeUnit val="days"/>
        <c:majorUnit val="1"/>
        <c:majorTimeUnit val="months"/>
        <c:noMultiLvlLbl val="0"/>
      </c:dateAx>
      <c:valAx>
        <c:axId val="32346469"/>
        <c:scaling>
          <c:orientation val="minMax"/>
          <c:max val="50"/>
          <c:min val="-10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#,##0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7826855"/>
        <c:crosses val="autoZero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b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00205820118374939"/>
          <c:y val="0.897610441636762"/>
          <c:w val="0.899999920550995"/>
          <c:h val="0.066037762011508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cked"/>
        <c:ser>
          <c:idx val="0"/>
          <c:order val="0"/>
          <c:tx>
            <c:strRef>
              <c:f>'daily graphs'!$Z$5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graphs'!$Z$6:$Z$371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'daily graphs'!$AB$5</c:f>
              <c:strCache>
                <c:ptCount val="1"/>
                <c:pt idx="0">
                  <c:v>min-max (2019 -2014)</c:v>
                </c:pt>
              </c:strCache>
            </c:strRef>
          </c:tx>
          <c:spPr>
            <a:solidFill>
              <a:srgbClr val="bfbfbf">
                <a:alpha val="62000"/>
              </a:srgbClr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graphs'!$AB$6:$AB$371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2328070"/>
        <c:axId val="93658067"/>
      </c:areaChart>
      <c:lineChart>
        <c:grouping val="stacked"/>
        <c:varyColors val="0"/>
        <c:ser>
          <c:idx val="2"/>
          <c:order val="2"/>
          <c:tx>
            <c:strRef>
              <c:f>'daily graphs'!$O$5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70c0"/>
            </a:solidFill>
            <a:ln cap="rnd" w="15840">
              <a:solidFill>
                <a:srgbClr val="0070c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graphs'!$O$6:$O$371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3"/>
          <c:order val="3"/>
          <c:tx>
            <c:strRef>
              <c:f>'daily graphs'!$P$5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00b050"/>
            </a:solidFill>
            <a:ln cap="rnd" w="12600">
              <a:solidFill>
                <a:srgbClr val="00b05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graphs'!$P$6:$P$371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4"/>
          <c:order val="4"/>
          <c:tx>
            <c:strRef>
              <c:f>'daily graphs'!$Q$5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fc000"/>
            </a:solidFill>
            <a:ln cap="rnd" w="1260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graphs'!$Q$6:$Q$371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5"/>
          <c:order val="5"/>
          <c:tx>
            <c:strRef>
              <c:f>'daily graphs'!$R$5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7030a0"/>
            </a:solidFill>
            <a:ln cap="rnd" w="12600">
              <a:solidFill>
                <a:srgbClr val="7030a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graphs'!$R$6:$R$371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6"/>
          <c:order val="6"/>
          <c:tx>
            <c:strRef>
              <c:f>'daily graphs'!$AC$5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000000"/>
            </a:solidFill>
            <a:ln cap="rnd" w="9360">
              <a:solidFill>
                <a:srgbClr val="0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graphs'!$AC$6:$AC$371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7"/>
          <c:order val="7"/>
          <c:tx>
            <c:strRef>
              <c:f>'daily graphs'!$L$5</c:f>
              <c:strCache>
                <c:ptCount val="1"/>
                <c:pt idx="0">
                  <c:v>today</c:v>
                </c:pt>
              </c:strCache>
            </c:strRef>
          </c:tx>
          <c:spPr>
            <a:solidFill>
              <a:srgbClr val="000000"/>
            </a:solidFill>
            <a:ln cap="rnd" w="12600">
              <a:solidFill>
                <a:srgbClr val="0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graphs'!$L$6:$L$371</c:f>
              <c:numCache>
                <c:formatCode>General</c:formatCode>
                <c:ptCount val="366"/>
                <c:pt idx="0">
                  <c:v>-1000000</c:v>
                </c:pt>
                <c:pt idx="1">
                  <c:v>-1000000</c:v>
                </c:pt>
                <c:pt idx="2">
                  <c:v>-1000000</c:v>
                </c:pt>
                <c:pt idx="3">
                  <c:v>-1000000</c:v>
                </c:pt>
                <c:pt idx="4">
                  <c:v>-1000000</c:v>
                </c:pt>
                <c:pt idx="5">
                  <c:v>-1000000</c:v>
                </c:pt>
                <c:pt idx="6">
                  <c:v>-1000000</c:v>
                </c:pt>
                <c:pt idx="7">
                  <c:v>-1000000</c:v>
                </c:pt>
                <c:pt idx="8">
                  <c:v>-1000000</c:v>
                </c:pt>
                <c:pt idx="9">
                  <c:v>-1000000</c:v>
                </c:pt>
                <c:pt idx="10">
                  <c:v>-1000000</c:v>
                </c:pt>
                <c:pt idx="11">
                  <c:v>-1000000</c:v>
                </c:pt>
                <c:pt idx="12">
                  <c:v>-1000000</c:v>
                </c:pt>
                <c:pt idx="13">
                  <c:v>-1000000</c:v>
                </c:pt>
                <c:pt idx="14">
                  <c:v>-1000000</c:v>
                </c:pt>
                <c:pt idx="15">
                  <c:v>-1000000</c:v>
                </c:pt>
                <c:pt idx="16">
                  <c:v>-1000000</c:v>
                </c:pt>
                <c:pt idx="17">
                  <c:v>-1000000</c:v>
                </c:pt>
                <c:pt idx="18">
                  <c:v>-1000000</c:v>
                </c:pt>
                <c:pt idx="19">
                  <c:v>-1000000</c:v>
                </c:pt>
                <c:pt idx="20">
                  <c:v>-1000000</c:v>
                </c:pt>
                <c:pt idx="21">
                  <c:v>-1000000</c:v>
                </c:pt>
                <c:pt idx="22">
                  <c:v>-1000000</c:v>
                </c:pt>
                <c:pt idx="23">
                  <c:v>-1000000</c:v>
                </c:pt>
                <c:pt idx="24">
                  <c:v>-1000000</c:v>
                </c:pt>
                <c:pt idx="25">
                  <c:v>-1000000</c:v>
                </c:pt>
                <c:pt idx="26">
                  <c:v>-1000000</c:v>
                </c:pt>
                <c:pt idx="27">
                  <c:v>-1000000</c:v>
                </c:pt>
                <c:pt idx="28">
                  <c:v>-1000000</c:v>
                </c:pt>
                <c:pt idx="29">
                  <c:v>-1000000</c:v>
                </c:pt>
                <c:pt idx="30">
                  <c:v>-1000000</c:v>
                </c:pt>
                <c:pt idx="31">
                  <c:v>-1000000</c:v>
                </c:pt>
                <c:pt idx="32">
                  <c:v>-1000000</c:v>
                </c:pt>
                <c:pt idx="33">
                  <c:v>-1000000</c:v>
                </c:pt>
                <c:pt idx="34">
                  <c:v>-1000000</c:v>
                </c:pt>
                <c:pt idx="35">
                  <c:v>-1000000</c:v>
                </c:pt>
                <c:pt idx="36">
                  <c:v>-1000000</c:v>
                </c:pt>
                <c:pt idx="37">
                  <c:v>-1000000</c:v>
                </c:pt>
                <c:pt idx="38">
                  <c:v>-1000000</c:v>
                </c:pt>
                <c:pt idx="39">
                  <c:v>-1000000</c:v>
                </c:pt>
                <c:pt idx="40">
                  <c:v>-1000000</c:v>
                </c:pt>
                <c:pt idx="41">
                  <c:v>-1000000</c:v>
                </c:pt>
                <c:pt idx="42">
                  <c:v>-1000000</c:v>
                </c:pt>
                <c:pt idx="43">
                  <c:v>-1000000</c:v>
                </c:pt>
                <c:pt idx="44">
                  <c:v>-1000000</c:v>
                </c:pt>
                <c:pt idx="45">
                  <c:v>-1000000</c:v>
                </c:pt>
                <c:pt idx="46">
                  <c:v>-1000000</c:v>
                </c:pt>
                <c:pt idx="47">
                  <c:v>-1000000</c:v>
                </c:pt>
                <c:pt idx="48">
                  <c:v>-1000000</c:v>
                </c:pt>
                <c:pt idx="49">
                  <c:v>-1000000</c:v>
                </c:pt>
                <c:pt idx="50">
                  <c:v>-1000000</c:v>
                </c:pt>
                <c:pt idx="51">
                  <c:v>-1000000</c:v>
                </c:pt>
                <c:pt idx="52">
                  <c:v>-1000000</c:v>
                </c:pt>
                <c:pt idx="53">
                  <c:v>-1000000</c:v>
                </c:pt>
                <c:pt idx="54">
                  <c:v>-1000000</c:v>
                </c:pt>
                <c:pt idx="55">
                  <c:v>-1000000</c:v>
                </c:pt>
                <c:pt idx="56">
                  <c:v>-1000000</c:v>
                </c:pt>
                <c:pt idx="57">
                  <c:v>-1000000</c:v>
                </c:pt>
                <c:pt idx="58">
                  <c:v>-1000000</c:v>
                </c:pt>
                <c:pt idx="59">
                  <c:v>-1000000</c:v>
                </c:pt>
                <c:pt idx="60">
                  <c:v>-1000000</c:v>
                </c:pt>
                <c:pt idx="61">
                  <c:v>-1000000</c:v>
                </c:pt>
                <c:pt idx="62">
                  <c:v>-1000000</c:v>
                </c:pt>
                <c:pt idx="63">
                  <c:v>-1000000</c:v>
                </c:pt>
                <c:pt idx="64">
                  <c:v>-1000000</c:v>
                </c:pt>
                <c:pt idx="65">
                  <c:v>-1000000</c:v>
                </c:pt>
                <c:pt idx="66">
                  <c:v>-1000000</c:v>
                </c:pt>
                <c:pt idx="67">
                  <c:v>-1000000</c:v>
                </c:pt>
                <c:pt idx="68">
                  <c:v>-1000000</c:v>
                </c:pt>
                <c:pt idx="69">
                  <c:v>-1000000</c:v>
                </c:pt>
                <c:pt idx="70">
                  <c:v>-1000000</c:v>
                </c:pt>
                <c:pt idx="71">
                  <c:v>-1000000</c:v>
                </c:pt>
                <c:pt idx="72">
                  <c:v>-1000000</c:v>
                </c:pt>
                <c:pt idx="73">
                  <c:v>-1000000</c:v>
                </c:pt>
                <c:pt idx="74">
                  <c:v>-1000000</c:v>
                </c:pt>
                <c:pt idx="75">
                  <c:v>-1000000</c:v>
                </c:pt>
                <c:pt idx="76">
                  <c:v>-1000000</c:v>
                </c:pt>
                <c:pt idx="77">
                  <c:v>-1000000</c:v>
                </c:pt>
                <c:pt idx="78">
                  <c:v>-1000000</c:v>
                </c:pt>
                <c:pt idx="79">
                  <c:v>-1000000</c:v>
                </c:pt>
                <c:pt idx="80">
                  <c:v>-1000000</c:v>
                </c:pt>
                <c:pt idx="81">
                  <c:v>-1000000</c:v>
                </c:pt>
                <c:pt idx="82">
                  <c:v>-1000000</c:v>
                </c:pt>
                <c:pt idx="83">
                  <c:v>-1000000</c:v>
                </c:pt>
                <c:pt idx="84">
                  <c:v>-1000000</c:v>
                </c:pt>
                <c:pt idx="85">
                  <c:v>-1000000</c:v>
                </c:pt>
                <c:pt idx="86">
                  <c:v>-1000000</c:v>
                </c:pt>
                <c:pt idx="87">
                  <c:v>-1000000</c:v>
                </c:pt>
                <c:pt idx="88">
                  <c:v>-1000000</c:v>
                </c:pt>
                <c:pt idx="89">
                  <c:v>-1000000</c:v>
                </c:pt>
                <c:pt idx="90">
                  <c:v>-1000000</c:v>
                </c:pt>
                <c:pt idx="91">
                  <c:v>-1000000</c:v>
                </c:pt>
                <c:pt idx="92">
                  <c:v>-1000000</c:v>
                </c:pt>
                <c:pt idx="93">
                  <c:v>-1000000</c:v>
                </c:pt>
                <c:pt idx="94">
                  <c:v>-1000000</c:v>
                </c:pt>
                <c:pt idx="95">
                  <c:v>-1000000</c:v>
                </c:pt>
                <c:pt idx="96">
                  <c:v>-1000000</c:v>
                </c:pt>
                <c:pt idx="97">
                  <c:v>-1000000</c:v>
                </c:pt>
                <c:pt idx="98">
                  <c:v>-1000000</c:v>
                </c:pt>
                <c:pt idx="99">
                  <c:v>-1000000</c:v>
                </c:pt>
                <c:pt idx="100">
                  <c:v>-1000000</c:v>
                </c:pt>
                <c:pt idx="101">
                  <c:v>-1000000</c:v>
                </c:pt>
                <c:pt idx="102">
                  <c:v>-1000000</c:v>
                </c:pt>
                <c:pt idx="103">
                  <c:v>-1000000</c:v>
                </c:pt>
                <c:pt idx="104">
                  <c:v>-1000000</c:v>
                </c:pt>
                <c:pt idx="105">
                  <c:v>-1000000</c:v>
                </c:pt>
                <c:pt idx="106">
                  <c:v>-1000000</c:v>
                </c:pt>
                <c:pt idx="107">
                  <c:v>-1000000</c:v>
                </c:pt>
                <c:pt idx="108">
                  <c:v>-1000000</c:v>
                </c:pt>
                <c:pt idx="109">
                  <c:v>-1000000</c:v>
                </c:pt>
                <c:pt idx="110">
                  <c:v>-1000000</c:v>
                </c:pt>
                <c:pt idx="111">
                  <c:v>-1000000</c:v>
                </c:pt>
                <c:pt idx="112">
                  <c:v>-1000000</c:v>
                </c:pt>
                <c:pt idx="113">
                  <c:v>-1000000</c:v>
                </c:pt>
                <c:pt idx="114">
                  <c:v>-1000000</c:v>
                </c:pt>
                <c:pt idx="115">
                  <c:v>-1000000</c:v>
                </c:pt>
                <c:pt idx="116">
                  <c:v>-1000000</c:v>
                </c:pt>
                <c:pt idx="117">
                  <c:v>-1000000</c:v>
                </c:pt>
                <c:pt idx="118">
                  <c:v>-1000000</c:v>
                </c:pt>
                <c:pt idx="119">
                  <c:v>-1000000</c:v>
                </c:pt>
                <c:pt idx="120">
                  <c:v>-1000000</c:v>
                </c:pt>
                <c:pt idx="121">
                  <c:v>-1000000</c:v>
                </c:pt>
                <c:pt idx="122">
                  <c:v>-1000000</c:v>
                </c:pt>
                <c:pt idx="123">
                  <c:v>-1000000</c:v>
                </c:pt>
                <c:pt idx="124">
                  <c:v>-1000000</c:v>
                </c:pt>
                <c:pt idx="125">
                  <c:v>-1000000</c:v>
                </c:pt>
                <c:pt idx="126">
                  <c:v>-1000000</c:v>
                </c:pt>
                <c:pt idx="127">
                  <c:v>-1000000</c:v>
                </c:pt>
                <c:pt idx="128">
                  <c:v>-1000000</c:v>
                </c:pt>
                <c:pt idx="129">
                  <c:v>-1000000</c:v>
                </c:pt>
                <c:pt idx="130">
                  <c:v>-1000000</c:v>
                </c:pt>
                <c:pt idx="131">
                  <c:v>-1000000</c:v>
                </c:pt>
                <c:pt idx="132">
                  <c:v>-1000000</c:v>
                </c:pt>
                <c:pt idx="133">
                  <c:v>-1000000</c:v>
                </c:pt>
                <c:pt idx="134">
                  <c:v>-1000000</c:v>
                </c:pt>
                <c:pt idx="135">
                  <c:v>-1000000</c:v>
                </c:pt>
                <c:pt idx="136">
                  <c:v>-1000000</c:v>
                </c:pt>
                <c:pt idx="137">
                  <c:v>-1000000</c:v>
                </c:pt>
                <c:pt idx="138">
                  <c:v>-1000000</c:v>
                </c:pt>
                <c:pt idx="139">
                  <c:v>-1000000</c:v>
                </c:pt>
                <c:pt idx="140">
                  <c:v>-1000000</c:v>
                </c:pt>
                <c:pt idx="141">
                  <c:v>-1000000</c:v>
                </c:pt>
                <c:pt idx="142">
                  <c:v>-1000000</c:v>
                </c:pt>
                <c:pt idx="143">
                  <c:v>-1000000</c:v>
                </c:pt>
                <c:pt idx="144">
                  <c:v>-1000000</c:v>
                </c:pt>
                <c:pt idx="145">
                  <c:v>-1000000</c:v>
                </c:pt>
                <c:pt idx="146">
                  <c:v>-1000000</c:v>
                </c:pt>
                <c:pt idx="147">
                  <c:v>-1000000</c:v>
                </c:pt>
                <c:pt idx="148">
                  <c:v>-1000000</c:v>
                </c:pt>
                <c:pt idx="149">
                  <c:v>-1000000</c:v>
                </c:pt>
                <c:pt idx="150">
                  <c:v>-1000000</c:v>
                </c:pt>
                <c:pt idx="151">
                  <c:v>-1000000</c:v>
                </c:pt>
                <c:pt idx="152">
                  <c:v>-1000000</c:v>
                </c:pt>
                <c:pt idx="153">
                  <c:v>-1000000</c:v>
                </c:pt>
                <c:pt idx="154">
                  <c:v>-1000000</c:v>
                </c:pt>
                <c:pt idx="155">
                  <c:v>-1000000</c:v>
                </c:pt>
                <c:pt idx="156">
                  <c:v>-1000000</c:v>
                </c:pt>
                <c:pt idx="157">
                  <c:v>-1000000</c:v>
                </c:pt>
                <c:pt idx="158">
                  <c:v>-1000000</c:v>
                </c:pt>
                <c:pt idx="159">
                  <c:v>-1000000</c:v>
                </c:pt>
                <c:pt idx="160">
                  <c:v>-1000000</c:v>
                </c:pt>
                <c:pt idx="161">
                  <c:v>-1000000</c:v>
                </c:pt>
                <c:pt idx="162">
                  <c:v>-1000000</c:v>
                </c:pt>
                <c:pt idx="163">
                  <c:v>-1000000</c:v>
                </c:pt>
                <c:pt idx="164">
                  <c:v>-1000000</c:v>
                </c:pt>
                <c:pt idx="165">
                  <c:v>-1000000</c:v>
                </c:pt>
                <c:pt idx="166">
                  <c:v>-1000000</c:v>
                </c:pt>
                <c:pt idx="167">
                  <c:v>-1000000</c:v>
                </c:pt>
                <c:pt idx="168">
                  <c:v>-1000000</c:v>
                </c:pt>
                <c:pt idx="169">
                  <c:v>-1000000</c:v>
                </c:pt>
                <c:pt idx="170">
                  <c:v>-1000000</c:v>
                </c:pt>
                <c:pt idx="171">
                  <c:v>-1000000</c:v>
                </c:pt>
                <c:pt idx="172">
                  <c:v>-1000000</c:v>
                </c:pt>
                <c:pt idx="173">
                  <c:v>-1000000</c:v>
                </c:pt>
                <c:pt idx="174">
                  <c:v>-1000000</c:v>
                </c:pt>
                <c:pt idx="175">
                  <c:v>-1000000</c:v>
                </c:pt>
                <c:pt idx="176">
                  <c:v>-1000000</c:v>
                </c:pt>
                <c:pt idx="177">
                  <c:v>-1000000</c:v>
                </c:pt>
                <c:pt idx="178">
                  <c:v>-1000000</c:v>
                </c:pt>
                <c:pt idx="179">
                  <c:v>-1000000</c:v>
                </c:pt>
                <c:pt idx="180">
                  <c:v>-1000000</c:v>
                </c:pt>
                <c:pt idx="181">
                  <c:v>-1000000</c:v>
                </c:pt>
                <c:pt idx="182">
                  <c:v>-1000000</c:v>
                </c:pt>
                <c:pt idx="183">
                  <c:v>-1000000</c:v>
                </c:pt>
                <c:pt idx="184">
                  <c:v>-1000000</c:v>
                </c:pt>
                <c:pt idx="185">
                  <c:v>-1000000</c:v>
                </c:pt>
                <c:pt idx="186">
                  <c:v>-1000000</c:v>
                </c:pt>
                <c:pt idx="187">
                  <c:v>-1000000</c:v>
                </c:pt>
                <c:pt idx="188">
                  <c:v>-1000000</c:v>
                </c:pt>
                <c:pt idx="189">
                  <c:v>-1000000</c:v>
                </c:pt>
                <c:pt idx="190">
                  <c:v>-1000000</c:v>
                </c:pt>
                <c:pt idx="191">
                  <c:v>-1000000</c:v>
                </c:pt>
                <c:pt idx="192">
                  <c:v>-1000000</c:v>
                </c:pt>
                <c:pt idx="193">
                  <c:v>-1000000</c:v>
                </c:pt>
                <c:pt idx="194">
                  <c:v>-1000000</c:v>
                </c:pt>
                <c:pt idx="195">
                  <c:v>-1000000</c:v>
                </c:pt>
                <c:pt idx="196">
                  <c:v>-1000000</c:v>
                </c:pt>
                <c:pt idx="197">
                  <c:v>-1000000</c:v>
                </c:pt>
                <c:pt idx="198">
                  <c:v>-1000000</c:v>
                </c:pt>
                <c:pt idx="199">
                  <c:v>-1000000</c:v>
                </c:pt>
                <c:pt idx="200">
                  <c:v>-1000000</c:v>
                </c:pt>
                <c:pt idx="201">
                  <c:v>-1000000</c:v>
                </c:pt>
                <c:pt idx="202">
                  <c:v>-1000000</c:v>
                </c:pt>
                <c:pt idx="203">
                  <c:v>-1000000</c:v>
                </c:pt>
                <c:pt idx="204">
                  <c:v>-1000000</c:v>
                </c:pt>
                <c:pt idx="205">
                  <c:v>-1000000</c:v>
                </c:pt>
                <c:pt idx="206">
                  <c:v>-1000000</c:v>
                </c:pt>
                <c:pt idx="207">
                  <c:v>-1000000</c:v>
                </c:pt>
                <c:pt idx="208">
                  <c:v>-1000000</c:v>
                </c:pt>
                <c:pt idx="209">
                  <c:v>-1000000</c:v>
                </c:pt>
                <c:pt idx="210">
                  <c:v>-1000000</c:v>
                </c:pt>
                <c:pt idx="211">
                  <c:v>-1000000</c:v>
                </c:pt>
                <c:pt idx="212">
                  <c:v>-1000000</c:v>
                </c:pt>
                <c:pt idx="213">
                  <c:v>-1000000</c:v>
                </c:pt>
                <c:pt idx="214">
                  <c:v>-1000000</c:v>
                </c:pt>
                <c:pt idx="215">
                  <c:v>-1000000</c:v>
                </c:pt>
                <c:pt idx="216">
                  <c:v>-1000000</c:v>
                </c:pt>
                <c:pt idx="217">
                  <c:v>-1000000</c:v>
                </c:pt>
                <c:pt idx="218">
                  <c:v>-1000000</c:v>
                </c:pt>
                <c:pt idx="219">
                  <c:v>-1000000</c:v>
                </c:pt>
                <c:pt idx="220">
                  <c:v>-1000000</c:v>
                </c:pt>
                <c:pt idx="221">
                  <c:v>-1000000</c:v>
                </c:pt>
                <c:pt idx="222">
                  <c:v>-1000000</c:v>
                </c:pt>
                <c:pt idx="223">
                  <c:v>-1000000</c:v>
                </c:pt>
                <c:pt idx="224">
                  <c:v>-1000000</c:v>
                </c:pt>
                <c:pt idx="225">
                  <c:v>-1000000</c:v>
                </c:pt>
                <c:pt idx="226">
                  <c:v>-1000000</c:v>
                </c:pt>
                <c:pt idx="227">
                  <c:v>-1000000</c:v>
                </c:pt>
                <c:pt idx="228">
                  <c:v>-1000000</c:v>
                </c:pt>
                <c:pt idx="229">
                  <c:v>-1000000</c:v>
                </c:pt>
                <c:pt idx="230">
                  <c:v>-1000000</c:v>
                </c:pt>
                <c:pt idx="231">
                  <c:v>-1000000</c:v>
                </c:pt>
                <c:pt idx="232">
                  <c:v>-1000000</c:v>
                </c:pt>
                <c:pt idx="233">
                  <c:v>-1000000</c:v>
                </c:pt>
                <c:pt idx="234">
                  <c:v>-1000000</c:v>
                </c:pt>
                <c:pt idx="235">
                  <c:v>-1000000</c:v>
                </c:pt>
                <c:pt idx="236">
                  <c:v>-1000000</c:v>
                </c:pt>
                <c:pt idx="237">
                  <c:v>-1000000</c:v>
                </c:pt>
                <c:pt idx="238">
                  <c:v>-1000000</c:v>
                </c:pt>
                <c:pt idx="239">
                  <c:v>-1000000</c:v>
                </c:pt>
                <c:pt idx="240">
                  <c:v>-1000000</c:v>
                </c:pt>
                <c:pt idx="241">
                  <c:v>-1000000</c:v>
                </c:pt>
                <c:pt idx="242">
                  <c:v>-1000000</c:v>
                </c:pt>
                <c:pt idx="243">
                  <c:v>-1000000</c:v>
                </c:pt>
                <c:pt idx="244">
                  <c:v>-1000000</c:v>
                </c:pt>
                <c:pt idx="245">
                  <c:v>-1000000</c:v>
                </c:pt>
                <c:pt idx="246">
                  <c:v>-1000000</c:v>
                </c:pt>
                <c:pt idx="247">
                  <c:v>-1000000</c:v>
                </c:pt>
                <c:pt idx="248">
                  <c:v>-1000000</c:v>
                </c:pt>
                <c:pt idx="249">
                  <c:v>-1000000</c:v>
                </c:pt>
                <c:pt idx="250">
                  <c:v>-1000000</c:v>
                </c:pt>
                <c:pt idx="251">
                  <c:v>-1000000</c:v>
                </c:pt>
                <c:pt idx="252">
                  <c:v>-1000000</c:v>
                </c:pt>
                <c:pt idx="253">
                  <c:v>-1000000</c:v>
                </c:pt>
                <c:pt idx="254">
                  <c:v>-1000000</c:v>
                </c:pt>
                <c:pt idx="255">
                  <c:v>-1000000</c:v>
                </c:pt>
                <c:pt idx="256">
                  <c:v>-1000000</c:v>
                </c:pt>
                <c:pt idx="257">
                  <c:v>-1000000</c:v>
                </c:pt>
                <c:pt idx="258">
                  <c:v>-1000000</c:v>
                </c:pt>
                <c:pt idx="259">
                  <c:v>-1000000</c:v>
                </c:pt>
                <c:pt idx="260">
                  <c:v>-1000000</c:v>
                </c:pt>
                <c:pt idx="261">
                  <c:v>-1000000</c:v>
                </c:pt>
                <c:pt idx="262">
                  <c:v>-1000000</c:v>
                </c:pt>
                <c:pt idx="263">
                  <c:v>-1000000</c:v>
                </c:pt>
                <c:pt idx="264">
                  <c:v>-1000000</c:v>
                </c:pt>
                <c:pt idx="265">
                  <c:v>-1000000</c:v>
                </c:pt>
                <c:pt idx="266">
                  <c:v>-1000000</c:v>
                </c:pt>
                <c:pt idx="267">
                  <c:v>-1000000</c:v>
                </c:pt>
                <c:pt idx="268">
                  <c:v>-1000000</c:v>
                </c:pt>
                <c:pt idx="269">
                  <c:v>-1000000</c:v>
                </c:pt>
                <c:pt idx="270">
                  <c:v>-1000000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1000000</c:v>
                </c:pt>
                <c:pt idx="301">
                  <c:v>1000000</c:v>
                </c:pt>
                <c:pt idx="302">
                  <c:v>1000000</c:v>
                </c:pt>
                <c:pt idx="303">
                  <c:v>1000000</c:v>
                </c:pt>
                <c:pt idx="304">
                  <c:v>1000000</c:v>
                </c:pt>
                <c:pt idx="305">
                  <c:v>1000000</c:v>
                </c:pt>
                <c:pt idx="306">
                  <c:v>1000000</c:v>
                </c:pt>
                <c:pt idx="307">
                  <c:v>1000000</c:v>
                </c:pt>
                <c:pt idx="308">
                  <c:v>1000000</c:v>
                </c:pt>
                <c:pt idx="309">
                  <c:v>1000000</c:v>
                </c:pt>
                <c:pt idx="310">
                  <c:v>1000000</c:v>
                </c:pt>
                <c:pt idx="311">
                  <c:v>1000000</c:v>
                </c:pt>
                <c:pt idx="312">
                  <c:v>1000000</c:v>
                </c:pt>
                <c:pt idx="313">
                  <c:v>1000000</c:v>
                </c:pt>
                <c:pt idx="314">
                  <c:v>1000000</c:v>
                </c:pt>
                <c:pt idx="315">
                  <c:v>1000000</c:v>
                </c:pt>
                <c:pt idx="316">
                  <c:v>1000000</c:v>
                </c:pt>
                <c:pt idx="317">
                  <c:v>1000000</c:v>
                </c:pt>
                <c:pt idx="318">
                  <c:v>1000000</c:v>
                </c:pt>
                <c:pt idx="319">
                  <c:v>1000000</c:v>
                </c:pt>
                <c:pt idx="320">
                  <c:v>1000000</c:v>
                </c:pt>
                <c:pt idx="321">
                  <c:v>1000000</c:v>
                </c:pt>
                <c:pt idx="322">
                  <c:v>1000000</c:v>
                </c:pt>
                <c:pt idx="323">
                  <c:v>1000000</c:v>
                </c:pt>
                <c:pt idx="324">
                  <c:v>1000000</c:v>
                </c:pt>
                <c:pt idx="325">
                  <c:v>1000000</c:v>
                </c:pt>
                <c:pt idx="326">
                  <c:v>1000000</c:v>
                </c:pt>
                <c:pt idx="327">
                  <c:v>1000000</c:v>
                </c:pt>
                <c:pt idx="328">
                  <c:v>1000000</c:v>
                </c:pt>
                <c:pt idx="329">
                  <c:v>1000000</c:v>
                </c:pt>
                <c:pt idx="330">
                  <c:v>1000000</c:v>
                </c:pt>
                <c:pt idx="331">
                  <c:v>1000000</c:v>
                </c:pt>
                <c:pt idx="332">
                  <c:v>1000000</c:v>
                </c:pt>
                <c:pt idx="333">
                  <c:v>1000000</c:v>
                </c:pt>
                <c:pt idx="334">
                  <c:v>1000000</c:v>
                </c:pt>
                <c:pt idx="335">
                  <c:v>1000000</c:v>
                </c:pt>
                <c:pt idx="336">
                  <c:v>1000000</c:v>
                </c:pt>
                <c:pt idx="337">
                  <c:v>1000000</c:v>
                </c:pt>
                <c:pt idx="338">
                  <c:v>1000000</c:v>
                </c:pt>
                <c:pt idx="339">
                  <c:v>1000000</c:v>
                </c:pt>
                <c:pt idx="340">
                  <c:v>1000000</c:v>
                </c:pt>
                <c:pt idx="341">
                  <c:v>1000000</c:v>
                </c:pt>
                <c:pt idx="342">
                  <c:v>1000000</c:v>
                </c:pt>
                <c:pt idx="343">
                  <c:v>1000000</c:v>
                </c:pt>
                <c:pt idx="344">
                  <c:v>1000000</c:v>
                </c:pt>
                <c:pt idx="345">
                  <c:v>1000000</c:v>
                </c:pt>
                <c:pt idx="346">
                  <c:v>1000000</c:v>
                </c:pt>
                <c:pt idx="347">
                  <c:v>1000000</c:v>
                </c:pt>
                <c:pt idx="348">
                  <c:v>1000000</c:v>
                </c:pt>
                <c:pt idx="349">
                  <c:v>1000000</c:v>
                </c:pt>
                <c:pt idx="350">
                  <c:v>1000000</c:v>
                </c:pt>
                <c:pt idx="351">
                  <c:v>1000000</c:v>
                </c:pt>
                <c:pt idx="352">
                  <c:v>1000000</c:v>
                </c:pt>
                <c:pt idx="353">
                  <c:v>1000000</c:v>
                </c:pt>
                <c:pt idx="354">
                  <c:v>1000000</c:v>
                </c:pt>
                <c:pt idx="355">
                  <c:v>1000000</c:v>
                </c:pt>
                <c:pt idx="356">
                  <c:v>1000000</c:v>
                </c:pt>
                <c:pt idx="357">
                  <c:v>1000000</c:v>
                </c:pt>
                <c:pt idx="358">
                  <c:v>1000000</c:v>
                </c:pt>
                <c:pt idx="359">
                  <c:v>1000000</c:v>
                </c:pt>
                <c:pt idx="360">
                  <c:v>1000000</c:v>
                </c:pt>
                <c:pt idx="361">
                  <c:v>1000000</c:v>
                </c:pt>
                <c:pt idx="362">
                  <c:v>1000000</c:v>
                </c:pt>
                <c:pt idx="363">
                  <c:v>1000000</c:v>
                </c:pt>
                <c:pt idx="364">
                  <c:v>1000000</c:v>
                </c:pt>
                <c:pt idx="365">
                  <c:v>1000000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'daily graphs'!$N$5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'daily graphs'!$K$6:$K$371</c:f>
              <c:numCache>
                <c:formatCode>d\-mmm</c:formatCode>
                <c:ptCount val="366"/>
                <c:pt idx="0">
                  <c:v>01-janv.</c:v>
                </c:pt>
                <c:pt idx="1">
                  <c:v>02-janv.</c:v>
                </c:pt>
                <c:pt idx="2">
                  <c:v>03-janv.</c:v>
                </c:pt>
                <c:pt idx="3">
                  <c:v>04-janv.</c:v>
                </c:pt>
                <c:pt idx="4">
                  <c:v>05-janv.</c:v>
                </c:pt>
                <c:pt idx="5">
                  <c:v>06-janv.</c:v>
                </c:pt>
                <c:pt idx="6">
                  <c:v>07-janv.</c:v>
                </c:pt>
                <c:pt idx="7">
                  <c:v>08-janv.</c:v>
                </c:pt>
                <c:pt idx="8">
                  <c:v>09-janv.</c:v>
                </c:pt>
                <c:pt idx="9">
                  <c:v>10-janv.</c:v>
                </c:pt>
                <c:pt idx="10">
                  <c:v>11-janv.</c:v>
                </c:pt>
                <c:pt idx="11">
                  <c:v>12-janv.</c:v>
                </c:pt>
                <c:pt idx="12">
                  <c:v>13-janv.</c:v>
                </c:pt>
                <c:pt idx="13">
                  <c:v>14-janv.</c:v>
                </c:pt>
                <c:pt idx="14">
                  <c:v>15-janv.</c:v>
                </c:pt>
                <c:pt idx="15">
                  <c:v>16-janv.</c:v>
                </c:pt>
                <c:pt idx="16">
                  <c:v>17-janv.</c:v>
                </c:pt>
                <c:pt idx="17">
                  <c:v>18-janv.</c:v>
                </c:pt>
                <c:pt idx="18">
                  <c:v>19-janv.</c:v>
                </c:pt>
                <c:pt idx="19">
                  <c:v>20-janv.</c:v>
                </c:pt>
                <c:pt idx="20">
                  <c:v>21-janv.</c:v>
                </c:pt>
                <c:pt idx="21">
                  <c:v>22-janv.</c:v>
                </c:pt>
                <c:pt idx="22">
                  <c:v>23-janv.</c:v>
                </c:pt>
                <c:pt idx="23">
                  <c:v>24-janv.</c:v>
                </c:pt>
                <c:pt idx="24">
                  <c:v>25-janv.</c:v>
                </c:pt>
                <c:pt idx="25">
                  <c:v>26-janv.</c:v>
                </c:pt>
                <c:pt idx="26">
                  <c:v>27-janv.</c:v>
                </c:pt>
                <c:pt idx="27">
                  <c:v>28-janv.</c:v>
                </c:pt>
                <c:pt idx="28">
                  <c:v>29-janv.</c:v>
                </c:pt>
                <c:pt idx="29">
                  <c:v>30-janv.</c:v>
                </c:pt>
                <c:pt idx="30">
                  <c:v>31-janv.</c:v>
                </c:pt>
                <c:pt idx="31">
                  <c:v>01-févr.</c:v>
                </c:pt>
                <c:pt idx="32">
                  <c:v>02-févr.</c:v>
                </c:pt>
                <c:pt idx="33">
                  <c:v>03-févr.</c:v>
                </c:pt>
                <c:pt idx="34">
                  <c:v>04-févr.</c:v>
                </c:pt>
                <c:pt idx="35">
                  <c:v>05-févr.</c:v>
                </c:pt>
                <c:pt idx="36">
                  <c:v>06-févr.</c:v>
                </c:pt>
                <c:pt idx="37">
                  <c:v>07-févr.</c:v>
                </c:pt>
                <c:pt idx="38">
                  <c:v>08-févr.</c:v>
                </c:pt>
                <c:pt idx="39">
                  <c:v>09-févr.</c:v>
                </c:pt>
                <c:pt idx="40">
                  <c:v>10-févr.</c:v>
                </c:pt>
                <c:pt idx="41">
                  <c:v>11-févr.</c:v>
                </c:pt>
                <c:pt idx="42">
                  <c:v>12-févr.</c:v>
                </c:pt>
                <c:pt idx="43">
                  <c:v>13-févr.</c:v>
                </c:pt>
                <c:pt idx="44">
                  <c:v>14-févr.</c:v>
                </c:pt>
                <c:pt idx="45">
                  <c:v>15-févr.</c:v>
                </c:pt>
                <c:pt idx="46">
                  <c:v>16-févr.</c:v>
                </c:pt>
                <c:pt idx="47">
                  <c:v>17-févr.</c:v>
                </c:pt>
                <c:pt idx="48">
                  <c:v>18-févr.</c:v>
                </c:pt>
                <c:pt idx="49">
                  <c:v>19-févr.</c:v>
                </c:pt>
                <c:pt idx="50">
                  <c:v>20-févr.</c:v>
                </c:pt>
                <c:pt idx="51">
                  <c:v>21-févr.</c:v>
                </c:pt>
                <c:pt idx="52">
                  <c:v>22-févr.</c:v>
                </c:pt>
                <c:pt idx="53">
                  <c:v>23-févr.</c:v>
                </c:pt>
                <c:pt idx="54">
                  <c:v>24-févr.</c:v>
                </c:pt>
                <c:pt idx="55">
                  <c:v>25-févr.</c:v>
                </c:pt>
                <c:pt idx="56">
                  <c:v>26-févr.</c:v>
                </c:pt>
                <c:pt idx="57">
                  <c:v>27-févr.</c:v>
                </c:pt>
                <c:pt idx="58">
                  <c:v>28-févr.</c:v>
                </c:pt>
                <c:pt idx="59">
                  <c:v>29-févr.</c:v>
                </c:pt>
                <c:pt idx="60">
                  <c:v>01-mars</c:v>
                </c:pt>
                <c:pt idx="61">
                  <c:v>02-mars</c:v>
                </c:pt>
                <c:pt idx="62">
                  <c:v>03-mars</c:v>
                </c:pt>
                <c:pt idx="63">
                  <c:v>04-mars</c:v>
                </c:pt>
                <c:pt idx="64">
                  <c:v>05-mars</c:v>
                </c:pt>
                <c:pt idx="65">
                  <c:v>06-mars</c:v>
                </c:pt>
                <c:pt idx="66">
                  <c:v>07-mars</c:v>
                </c:pt>
                <c:pt idx="67">
                  <c:v>08-mars</c:v>
                </c:pt>
                <c:pt idx="68">
                  <c:v>09-mars</c:v>
                </c:pt>
                <c:pt idx="69">
                  <c:v>10-mars</c:v>
                </c:pt>
                <c:pt idx="70">
                  <c:v>11-mars</c:v>
                </c:pt>
                <c:pt idx="71">
                  <c:v>12-mars</c:v>
                </c:pt>
                <c:pt idx="72">
                  <c:v>13-mars</c:v>
                </c:pt>
                <c:pt idx="73">
                  <c:v>14-mars</c:v>
                </c:pt>
                <c:pt idx="74">
                  <c:v>15-mars</c:v>
                </c:pt>
                <c:pt idx="75">
                  <c:v>16-mars</c:v>
                </c:pt>
                <c:pt idx="76">
                  <c:v>17-mars</c:v>
                </c:pt>
                <c:pt idx="77">
                  <c:v>18-mars</c:v>
                </c:pt>
                <c:pt idx="78">
                  <c:v>19-mars</c:v>
                </c:pt>
                <c:pt idx="79">
                  <c:v>20-mars</c:v>
                </c:pt>
                <c:pt idx="80">
                  <c:v>21-mars</c:v>
                </c:pt>
                <c:pt idx="81">
                  <c:v>22-mars</c:v>
                </c:pt>
                <c:pt idx="82">
                  <c:v>23-mars</c:v>
                </c:pt>
                <c:pt idx="83">
                  <c:v>24-mars</c:v>
                </c:pt>
                <c:pt idx="84">
                  <c:v>25-mars</c:v>
                </c:pt>
                <c:pt idx="85">
                  <c:v>26-mars</c:v>
                </c:pt>
                <c:pt idx="86">
                  <c:v>27-mars</c:v>
                </c:pt>
                <c:pt idx="87">
                  <c:v>28-mars</c:v>
                </c:pt>
                <c:pt idx="88">
                  <c:v>29-mars</c:v>
                </c:pt>
                <c:pt idx="89">
                  <c:v>30-mars</c:v>
                </c:pt>
                <c:pt idx="90">
                  <c:v>31-mars</c:v>
                </c:pt>
                <c:pt idx="91">
                  <c:v>01-avr.</c:v>
                </c:pt>
                <c:pt idx="92">
                  <c:v>02-avr.</c:v>
                </c:pt>
                <c:pt idx="93">
                  <c:v>03-avr.</c:v>
                </c:pt>
                <c:pt idx="94">
                  <c:v>04-avr.</c:v>
                </c:pt>
                <c:pt idx="95">
                  <c:v>05-avr.</c:v>
                </c:pt>
                <c:pt idx="96">
                  <c:v>06-avr.</c:v>
                </c:pt>
                <c:pt idx="97">
                  <c:v>07-avr.</c:v>
                </c:pt>
                <c:pt idx="98">
                  <c:v>08-avr.</c:v>
                </c:pt>
                <c:pt idx="99">
                  <c:v>09-avr.</c:v>
                </c:pt>
                <c:pt idx="100">
                  <c:v>10-avr.</c:v>
                </c:pt>
                <c:pt idx="101">
                  <c:v>11-avr.</c:v>
                </c:pt>
                <c:pt idx="102">
                  <c:v>12-avr.</c:v>
                </c:pt>
                <c:pt idx="103">
                  <c:v>13-avr.</c:v>
                </c:pt>
                <c:pt idx="104">
                  <c:v>14-avr.</c:v>
                </c:pt>
                <c:pt idx="105">
                  <c:v>15-avr.</c:v>
                </c:pt>
                <c:pt idx="106">
                  <c:v>16-avr.</c:v>
                </c:pt>
                <c:pt idx="107">
                  <c:v>17-avr.</c:v>
                </c:pt>
                <c:pt idx="108">
                  <c:v>18-avr.</c:v>
                </c:pt>
                <c:pt idx="109">
                  <c:v>19-avr.</c:v>
                </c:pt>
                <c:pt idx="110">
                  <c:v>20-avr.</c:v>
                </c:pt>
                <c:pt idx="111">
                  <c:v>21-avr.</c:v>
                </c:pt>
                <c:pt idx="112">
                  <c:v>22-avr.</c:v>
                </c:pt>
                <c:pt idx="113">
                  <c:v>23-avr.</c:v>
                </c:pt>
                <c:pt idx="114">
                  <c:v>24-avr.</c:v>
                </c:pt>
                <c:pt idx="115">
                  <c:v>25-avr.</c:v>
                </c:pt>
                <c:pt idx="116">
                  <c:v>26-avr.</c:v>
                </c:pt>
                <c:pt idx="117">
                  <c:v>27-avr.</c:v>
                </c:pt>
                <c:pt idx="118">
                  <c:v>28-avr.</c:v>
                </c:pt>
                <c:pt idx="119">
                  <c:v>29-avr.</c:v>
                </c:pt>
                <c:pt idx="120">
                  <c:v>30-avr.</c:v>
                </c:pt>
                <c:pt idx="121">
                  <c:v>01-mai</c:v>
                </c:pt>
                <c:pt idx="122">
                  <c:v>02-mai</c:v>
                </c:pt>
                <c:pt idx="123">
                  <c:v>03-mai</c:v>
                </c:pt>
                <c:pt idx="124">
                  <c:v>04-mai</c:v>
                </c:pt>
                <c:pt idx="125">
                  <c:v>05-mai</c:v>
                </c:pt>
                <c:pt idx="126">
                  <c:v>06-mai</c:v>
                </c:pt>
                <c:pt idx="127">
                  <c:v>07-mai</c:v>
                </c:pt>
                <c:pt idx="128">
                  <c:v>08-mai</c:v>
                </c:pt>
                <c:pt idx="129">
                  <c:v>09-mai</c:v>
                </c:pt>
                <c:pt idx="130">
                  <c:v>10-mai</c:v>
                </c:pt>
                <c:pt idx="131">
                  <c:v>11-mai</c:v>
                </c:pt>
                <c:pt idx="132">
                  <c:v>12-mai</c:v>
                </c:pt>
                <c:pt idx="133">
                  <c:v>13-mai</c:v>
                </c:pt>
                <c:pt idx="134">
                  <c:v>14-mai</c:v>
                </c:pt>
                <c:pt idx="135">
                  <c:v>15-mai</c:v>
                </c:pt>
                <c:pt idx="136">
                  <c:v>16-mai</c:v>
                </c:pt>
                <c:pt idx="137">
                  <c:v>17-mai</c:v>
                </c:pt>
                <c:pt idx="138">
                  <c:v>18-mai</c:v>
                </c:pt>
                <c:pt idx="139">
                  <c:v>19-mai</c:v>
                </c:pt>
                <c:pt idx="140">
                  <c:v>20-mai</c:v>
                </c:pt>
                <c:pt idx="141">
                  <c:v>21-mai</c:v>
                </c:pt>
                <c:pt idx="142">
                  <c:v>22-mai</c:v>
                </c:pt>
                <c:pt idx="143">
                  <c:v>23-mai</c:v>
                </c:pt>
                <c:pt idx="144">
                  <c:v>24-mai</c:v>
                </c:pt>
                <c:pt idx="145">
                  <c:v>25-mai</c:v>
                </c:pt>
                <c:pt idx="146">
                  <c:v>26-mai</c:v>
                </c:pt>
                <c:pt idx="147">
                  <c:v>27-mai</c:v>
                </c:pt>
                <c:pt idx="148">
                  <c:v>28-mai</c:v>
                </c:pt>
                <c:pt idx="149">
                  <c:v>29-mai</c:v>
                </c:pt>
                <c:pt idx="150">
                  <c:v>30-mai</c:v>
                </c:pt>
                <c:pt idx="151">
                  <c:v>31-mai</c:v>
                </c:pt>
                <c:pt idx="152">
                  <c:v>01-juin</c:v>
                </c:pt>
                <c:pt idx="153">
                  <c:v>02-juin</c:v>
                </c:pt>
                <c:pt idx="154">
                  <c:v>03-juin</c:v>
                </c:pt>
                <c:pt idx="155">
                  <c:v>04-juin</c:v>
                </c:pt>
                <c:pt idx="156">
                  <c:v>05-juin</c:v>
                </c:pt>
                <c:pt idx="157">
                  <c:v>06-juin</c:v>
                </c:pt>
                <c:pt idx="158">
                  <c:v>07-juin</c:v>
                </c:pt>
                <c:pt idx="159">
                  <c:v>08-juin</c:v>
                </c:pt>
                <c:pt idx="160">
                  <c:v>09-juin</c:v>
                </c:pt>
                <c:pt idx="161">
                  <c:v>10-juin</c:v>
                </c:pt>
                <c:pt idx="162">
                  <c:v>11-juin</c:v>
                </c:pt>
                <c:pt idx="163">
                  <c:v>12-juin</c:v>
                </c:pt>
                <c:pt idx="164">
                  <c:v>13-juin</c:v>
                </c:pt>
                <c:pt idx="165">
                  <c:v>14-juin</c:v>
                </c:pt>
                <c:pt idx="166">
                  <c:v>15-juin</c:v>
                </c:pt>
                <c:pt idx="167">
                  <c:v>16-juin</c:v>
                </c:pt>
                <c:pt idx="168">
                  <c:v>17-juin</c:v>
                </c:pt>
                <c:pt idx="169">
                  <c:v>18-juin</c:v>
                </c:pt>
                <c:pt idx="170">
                  <c:v>19-juin</c:v>
                </c:pt>
                <c:pt idx="171">
                  <c:v>20-juin</c:v>
                </c:pt>
                <c:pt idx="172">
                  <c:v>21-juin</c:v>
                </c:pt>
                <c:pt idx="173">
                  <c:v>22-juin</c:v>
                </c:pt>
                <c:pt idx="174">
                  <c:v>23-juin</c:v>
                </c:pt>
                <c:pt idx="175">
                  <c:v>24-juin</c:v>
                </c:pt>
                <c:pt idx="176">
                  <c:v>25-juin</c:v>
                </c:pt>
                <c:pt idx="177">
                  <c:v>26-juin</c:v>
                </c:pt>
                <c:pt idx="178">
                  <c:v>27-juin</c:v>
                </c:pt>
                <c:pt idx="179">
                  <c:v>28-juin</c:v>
                </c:pt>
                <c:pt idx="180">
                  <c:v>29-juin</c:v>
                </c:pt>
                <c:pt idx="181">
                  <c:v>30-juin</c:v>
                </c:pt>
                <c:pt idx="182">
                  <c:v>01-juil.</c:v>
                </c:pt>
                <c:pt idx="183">
                  <c:v>02-juil.</c:v>
                </c:pt>
                <c:pt idx="184">
                  <c:v>03-juil.</c:v>
                </c:pt>
                <c:pt idx="185">
                  <c:v>04-juil.</c:v>
                </c:pt>
                <c:pt idx="186">
                  <c:v>05-juil.</c:v>
                </c:pt>
                <c:pt idx="187">
                  <c:v>06-juil.</c:v>
                </c:pt>
                <c:pt idx="188">
                  <c:v>07-juil.</c:v>
                </c:pt>
                <c:pt idx="189">
                  <c:v>08-juil.</c:v>
                </c:pt>
                <c:pt idx="190">
                  <c:v>09-juil.</c:v>
                </c:pt>
                <c:pt idx="191">
                  <c:v>10-juil.</c:v>
                </c:pt>
                <c:pt idx="192">
                  <c:v>11-juil.</c:v>
                </c:pt>
                <c:pt idx="193">
                  <c:v>12-juil.</c:v>
                </c:pt>
                <c:pt idx="194">
                  <c:v>13-juil.</c:v>
                </c:pt>
                <c:pt idx="195">
                  <c:v>14-juil.</c:v>
                </c:pt>
                <c:pt idx="196">
                  <c:v>15-juil.</c:v>
                </c:pt>
                <c:pt idx="197">
                  <c:v>16-juil.</c:v>
                </c:pt>
                <c:pt idx="198">
                  <c:v>17-juil.</c:v>
                </c:pt>
                <c:pt idx="199">
                  <c:v>18-juil.</c:v>
                </c:pt>
                <c:pt idx="200">
                  <c:v>19-juil.</c:v>
                </c:pt>
                <c:pt idx="201">
                  <c:v>20-juil.</c:v>
                </c:pt>
                <c:pt idx="202">
                  <c:v>21-juil.</c:v>
                </c:pt>
                <c:pt idx="203">
                  <c:v>22-juil.</c:v>
                </c:pt>
                <c:pt idx="204">
                  <c:v>23-juil.</c:v>
                </c:pt>
                <c:pt idx="205">
                  <c:v>24-juil.</c:v>
                </c:pt>
                <c:pt idx="206">
                  <c:v>25-juil.</c:v>
                </c:pt>
                <c:pt idx="207">
                  <c:v>26-juil.</c:v>
                </c:pt>
                <c:pt idx="208">
                  <c:v>27-juil.</c:v>
                </c:pt>
                <c:pt idx="209">
                  <c:v>28-juil.</c:v>
                </c:pt>
                <c:pt idx="210">
                  <c:v>29-juil.</c:v>
                </c:pt>
                <c:pt idx="211">
                  <c:v>30-juil.</c:v>
                </c:pt>
                <c:pt idx="212">
                  <c:v>31-juil.</c:v>
                </c:pt>
                <c:pt idx="213">
                  <c:v>01-août</c:v>
                </c:pt>
                <c:pt idx="214">
                  <c:v>02-août</c:v>
                </c:pt>
                <c:pt idx="215">
                  <c:v>03-août</c:v>
                </c:pt>
                <c:pt idx="216">
                  <c:v>04-août</c:v>
                </c:pt>
                <c:pt idx="217">
                  <c:v>05-août</c:v>
                </c:pt>
                <c:pt idx="218">
                  <c:v>06-août</c:v>
                </c:pt>
                <c:pt idx="219">
                  <c:v>07-août</c:v>
                </c:pt>
                <c:pt idx="220">
                  <c:v>08-août</c:v>
                </c:pt>
                <c:pt idx="221">
                  <c:v>09-août</c:v>
                </c:pt>
                <c:pt idx="222">
                  <c:v>10-août</c:v>
                </c:pt>
                <c:pt idx="223">
                  <c:v>11-août</c:v>
                </c:pt>
                <c:pt idx="224">
                  <c:v>12-août</c:v>
                </c:pt>
                <c:pt idx="225">
                  <c:v>13-août</c:v>
                </c:pt>
                <c:pt idx="226">
                  <c:v>14-août</c:v>
                </c:pt>
                <c:pt idx="227">
                  <c:v>15-août</c:v>
                </c:pt>
                <c:pt idx="228">
                  <c:v>16-août</c:v>
                </c:pt>
                <c:pt idx="229">
                  <c:v>17-août</c:v>
                </c:pt>
                <c:pt idx="230">
                  <c:v>18-août</c:v>
                </c:pt>
                <c:pt idx="231">
                  <c:v>19-août</c:v>
                </c:pt>
                <c:pt idx="232">
                  <c:v>20-août</c:v>
                </c:pt>
                <c:pt idx="233">
                  <c:v>21-août</c:v>
                </c:pt>
                <c:pt idx="234">
                  <c:v>22-août</c:v>
                </c:pt>
                <c:pt idx="235">
                  <c:v>23-août</c:v>
                </c:pt>
                <c:pt idx="236">
                  <c:v>24-août</c:v>
                </c:pt>
                <c:pt idx="237">
                  <c:v>25-août</c:v>
                </c:pt>
                <c:pt idx="238">
                  <c:v>26-août</c:v>
                </c:pt>
                <c:pt idx="239">
                  <c:v>27-août</c:v>
                </c:pt>
                <c:pt idx="240">
                  <c:v>28-août</c:v>
                </c:pt>
                <c:pt idx="241">
                  <c:v>29-août</c:v>
                </c:pt>
                <c:pt idx="242">
                  <c:v>30-août</c:v>
                </c:pt>
                <c:pt idx="243">
                  <c:v>31-août</c:v>
                </c:pt>
                <c:pt idx="244">
                  <c:v>01-sept.</c:v>
                </c:pt>
                <c:pt idx="245">
                  <c:v>02-sept.</c:v>
                </c:pt>
                <c:pt idx="246">
                  <c:v>03-sept.</c:v>
                </c:pt>
                <c:pt idx="247">
                  <c:v>04-sept.</c:v>
                </c:pt>
                <c:pt idx="248">
                  <c:v>05-sept.</c:v>
                </c:pt>
                <c:pt idx="249">
                  <c:v>06-sept.</c:v>
                </c:pt>
                <c:pt idx="250">
                  <c:v>07-sept.</c:v>
                </c:pt>
                <c:pt idx="251">
                  <c:v>08-sept.</c:v>
                </c:pt>
                <c:pt idx="252">
                  <c:v>09-sept.</c:v>
                </c:pt>
                <c:pt idx="253">
                  <c:v>10-sept.</c:v>
                </c:pt>
                <c:pt idx="254">
                  <c:v>11-sept.</c:v>
                </c:pt>
                <c:pt idx="255">
                  <c:v>12-sept.</c:v>
                </c:pt>
                <c:pt idx="256">
                  <c:v>13-sept.</c:v>
                </c:pt>
                <c:pt idx="257">
                  <c:v>14-sept.</c:v>
                </c:pt>
                <c:pt idx="258">
                  <c:v>15-sept.</c:v>
                </c:pt>
                <c:pt idx="259">
                  <c:v>16-sept.</c:v>
                </c:pt>
                <c:pt idx="260">
                  <c:v>17-sept.</c:v>
                </c:pt>
                <c:pt idx="261">
                  <c:v>18-sept.</c:v>
                </c:pt>
                <c:pt idx="262">
                  <c:v>19-sept.</c:v>
                </c:pt>
                <c:pt idx="263">
                  <c:v>20-sept.</c:v>
                </c:pt>
                <c:pt idx="264">
                  <c:v>21-sept.</c:v>
                </c:pt>
                <c:pt idx="265">
                  <c:v>22-sept.</c:v>
                </c:pt>
                <c:pt idx="266">
                  <c:v>23-sept.</c:v>
                </c:pt>
                <c:pt idx="267">
                  <c:v>24-sept.</c:v>
                </c:pt>
                <c:pt idx="268">
                  <c:v>25-sept.</c:v>
                </c:pt>
                <c:pt idx="269">
                  <c:v>26-sept.</c:v>
                </c:pt>
                <c:pt idx="270">
                  <c:v>27-sept.</c:v>
                </c:pt>
                <c:pt idx="271">
                  <c:v>28-sept.</c:v>
                </c:pt>
                <c:pt idx="272">
                  <c:v>29-sept.</c:v>
                </c:pt>
                <c:pt idx="273">
                  <c:v>30-sept.</c:v>
                </c:pt>
                <c:pt idx="274">
                  <c:v>01-oct.</c:v>
                </c:pt>
                <c:pt idx="275">
                  <c:v>02-oct.</c:v>
                </c:pt>
                <c:pt idx="276">
                  <c:v>03-oct.</c:v>
                </c:pt>
                <c:pt idx="277">
                  <c:v>04-oct.</c:v>
                </c:pt>
                <c:pt idx="278">
                  <c:v>05-oct.</c:v>
                </c:pt>
                <c:pt idx="279">
                  <c:v>06-oct.</c:v>
                </c:pt>
                <c:pt idx="280">
                  <c:v>07-oct.</c:v>
                </c:pt>
                <c:pt idx="281">
                  <c:v>08-oct.</c:v>
                </c:pt>
                <c:pt idx="282">
                  <c:v>09-oct.</c:v>
                </c:pt>
                <c:pt idx="283">
                  <c:v>10-oct.</c:v>
                </c:pt>
                <c:pt idx="284">
                  <c:v>11-oct.</c:v>
                </c:pt>
                <c:pt idx="285">
                  <c:v>12-oct.</c:v>
                </c:pt>
                <c:pt idx="286">
                  <c:v>13-oct.</c:v>
                </c:pt>
                <c:pt idx="287">
                  <c:v>14-oct.</c:v>
                </c:pt>
                <c:pt idx="288">
                  <c:v>15-oct.</c:v>
                </c:pt>
                <c:pt idx="289">
                  <c:v>16-oct.</c:v>
                </c:pt>
                <c:pt idx="290">
                  <c:v>17-oct.</c:v>
                </c:pt>
                <c:pt idx="291">
                  <c:v>18-oct.</c:v>
                </c:pt>
                <c:pt idx="292">
                  <c:v>19-oct.</c:v>
                </c:pt>
                <c:pt idx="293">
                  <c:v>20-oct.</c:v>
                </c:pt>
                <c:pt idx="294">
                  <c:v>21-oct.</c:v>
                </c:pt>
                <c:pt idx="295">
                  <c:v>22-oct.</c:v>
                </c:pt>
                <c:pt idx="296">
                  <c:v>23-oct.</c:v>
                </c:pt>
                <c:pt idx="297">
                  <c:v>24-oct.</c:v>
                </c:pt>
                <c:pt idx="298">
                  <c:v>25-oct.</c:v>
                </c:pt>
                <c:pt idx="299">
                  <c:v>26-oct.</c:v>
                </c:pt>
                <c:pt idx="300">
                  <c:v>27-oct.</c:v>
                </c:pt>
                <c:pt idx="301">
                  <c:v>28-oct.</c:v>
                </c:pt>
                <c:pt idx="302">
                  <c:v>29-oct.</c:v>
                </c:pt>
                <c:pt idx="303">
                  <c:v>30-oct.</c:v>
                </c:pt>
                <c:pt idx="304">
                  <c:v>31-oct.</c:v>
                </c:pt>
                <c:pt idx="305">
                  <c:v>01-nov.</c:v>
                </c:pt>
                <c:pt idx="306">
                  <c:v>02-nov.</c:v>
                </c:pt>
                <c:pt idx="307">
                  <c:v>03-nov.</c:v>
                </c:pt>
                <c:pt idx="308">
                  <c:v>04-nov.</c:v>
                </c:pt>
                <c:pt idx="309">
                  <c:v>05-nov.</c:v>
                </c:pt>
                <c:pt idx="310">
                  <c:v>06-nov.</c:v>
                </c:pt>
                <c:pt idx="311">
                  <c:v>07-nov.</c:v>
                </c:pt>
                <c:pt idx="312">
                  <c:v>08-nov.</c:v>
                </c:pt>
                <c:pt idx="313">
                  <c:v>09-nov.</c:v>
                </c:pt>
                <c:pt idx="314">
                  <c:v>10-nov.</c:v>
                </c:pt>
                <c:pt idx="315">
                  <c:v>11-nov.</c:v>
                </c:pt>
                <c:pt idx="316">
                  <c:v>12-nov.</c:v>
                </c:pt>
                <c:pt idx="317">
                  <c:v>13-nov.</c:v>
                </c:pt>
                <c:pt idx="318">
                  <c:v>14-nov.</c:v>
                </c:pt>
                <c:pt idx="319">
                  <c:v>15-nov.</c:v>
                </c:pt>
                <c:pt idx="320">
                  <c:v>16-nov.</c:v>
                </c:pt>
                <c:pt idx="321">
                  <c:v>17-nov.</c:v>
                </c:pt>
                <c:pt idx="322">
                  <c:v>18-nov.</c:v>
                </c:pt>
                <c:pt idx="323">
                  <c:v>19-nov.</c:v>
                </c:pt>
                <c:pt idx="324">
                  <c:v>20-nov.</c:v>
                </c:pt>
                <c:pt idx="325">
                  <c:v>21-nov.</c:v>
                </c:pt>
                <c:pt idx="326">
                  <c:v>22-nov.</c:v>
                </c:pt>
                <c:pt idx="327">
                  <c:v>23-nov.</c:v>
                </c:pt>
                <c:pt idx="328">
                  <c:v>24-nov.</c:v>
                </c:pt>
                <c:pt idx="329">
                  <c:v>25-nov.</c:v>
                </c:pt>
                <c:pt idx="330">
                  <c:v>26-nov.</c:v>
                </c:pt>
                <c:pt idx="331">
                  <c:v>27-nov.</c:v>
                </c:pt>
                <c:pt idx="332">
                  <c:v>28-nov.</c:v>
                </c:pt>
                <c:pt idx="333">
                  <c:v>29-nov.</c:v>
                </c:pt>
                <c:pt idx="334">
                  <c:v>30-nov.</c:v>
                </c:pt>
                <c:pt idx="335">
                  <c:v>01-déc.</c:v>
                </c:pt>
                <c:pt idx="336">
                  <c:v>02-déc.</c:v>
                </c:pt>
                <c:pt idx="337">
                  <c:v>03-déc.</c:v>
                </c:pt>
                <c:pt idx="338">
                  <c:v>04-déc.</c:v>
                </c:pt>
                <c:pt idx="339">
                  <c:v>05-déc.</c:v>
                </c:pt>
                <c:pt idx="340">
                  <c:v>06-déc.</c:v>
                </c:pt>
                <c:pt idx="341">
                  <c:v>07-déc.</c:v>
                </c:pt>
                <c:pt idx="342">
                  <c:v>08-déc.</c:v>
                </c:pt>
                <c:pt idx="343">
                  <c:v>09-déc.</c:v>
                </c:pt>
                <c:pt idx="344">
                  <c:v>10-déc.</c:v>
                </c:pt>
                <c:pt idx="345">
                  <c:v>11-déc.</c:v>
                </c:pt>
                <c:pt idx="346">
                  <c:v>12-déc.</c:v>
                </c:pt>
                <c:pt idx="347">
                  <c:v>13-déc.</c:v>
                </c:pt>
                <c:pt idx="348">
                  <c:v>14-déc.</c:v>
                </c:pt>
                <c:pt idx="349">
                  <c:v>15-déc.</c:v>
                </c:pt>
                <c:pt idx="350">
                  <c:v>16-déc.</c:v>
                </c:pt>
                <c:pt idx="351">
                  <c:v>17-déc.</c:v>
                </c:pt>
                <c:pt idx="352">
                  <c:v>18-déc.</c:v>
                </c:pt>
                <c:pt idx="353">
                  <c:v>19-déc.</c:v>
                </c:pt>
                <c:pt idx="354">
                  <c:v>20-déc.</c:v>
                </c:pt>
                <c:pt idx="355">
                  <c:v>21-déc.</c:v>
                </c:pt>
                <c:pt idx="356">
                  <c:v>22-déc.</c:v>
                </c:pt>
                <c:pt idx="357">
                  <c:v>23-déc.</c:v>
                </c:pt>
                <c:pt idx="358">
                  <c:v>24-déc.</c:v>
                </c:pt>
                <c:pt idx="359">
                  <c:v>25-déc.</c:v>
                </c:pt>
                <c:pt idx="360">
                  <c:v>26-déc.</c:v>
                </c:pt>
                <c:pt idx="361">
                  <c:v>27-déc.</c:v>
                </c:pt>
                <c:pt idx="362">
                  <c:v>28-déc.</c:v>
                </c:pt>
                <c:pt idx="363">
                  <c:v>29-déc.</c:v>
                </c:pt>
                <c:pt idx="364">
                  <c:v>30-déc.</c:v>
                </c:pt>
                <c:pt idx="365">
                  <c:v>31-déc.</c:v>
                </c:pt>
              </c:numCache>
            </c:numRef>
          </c:cat>
          <c:val>
            <c:numRef>
              <c:f>'daily graphs'!$N$6:$N$371</c:f>
              <c:numCache>
                <c:formatCode>General</c:formatCode>
                <c:ptCount val="366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2328070"/>
        <c:axId val="93658067"/>
      </c:lineChart>
      <c:dateAx>
        <c:axId val="2328070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3658067"/>
        <c:crosses val="autoZero"/>
        <c:auto val="1"/>
        <c:lblOffset val="100"/>
        <c:baseTimeUnit val="days"/>
        <c:majorUnit val="2"/>
        <c:majorTimeUnit val="months"/>
        <c:noMultiLvlLbl val="0"/>
      </c:dateAx>
      <c:valAx>
        <c:axId val="93658067"/>
        <c:scaling>
          <c:orientation val="minMax"/>
          <c:max val="50"/>
          <c:min val="-10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#,##0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328070"/>
        <c:crosses val="autoZero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b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00205820118374939"/>
          <c:y val="0.897610441636762"/>
          <c:w val="0.899999860284545"/>
          <c:h val="0.0661209295322813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cked"/>
        <c:ser>
          <c:idx val="0"/>
          <c:order val="0"/>
          <c:tx>
            <c:strRef>
              <c:f>'weekly graphs'!$AA$5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graphs'!$AA$6:$AA$371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strRef>
              <c:f>'weekly graphs'!$AC$5</c:f>
              <c:strCache>
                <c:ptCount val="1"/>
                <c:pt idx="0">
                  <c:v>min-max (2019 -2014)</c:v>
                </c:pt>
              </c:strCache>
            </c:strRef>
          </c:tx>
          <c:spPr>
            <a:solidFill>
              <a:srgbClr val="bfbfbf">
                <a:alpha val="62000"/>
              </a:srgbClr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graphs'!$AC$6:$AC$371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32583693"/>
        <c:axId val="51256739"/>
      </c:areaChart>
      <c:lineChart>
        <c:grouping val="stacked"/>
        <c:varyColors val="0"/>
        <c:ser>
          <c:idx val="2"/>
          <c:order val="2"/>
          <c:tx>
            <c:strRef>
              <c:f>'weekly graphs'!$P$5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70c0"/>
            </a:solidFill>
            <a:ln cap="rnd" w="19080">
              <a:solidFill>
                <a:srgbClr val="0070c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graphs'!$P$6:$P$371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3"/>
          <c:order val="3"/>
          <c:tx>
            <c:strRef>
              <c:f>'weekly graphs'!$Q$5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00b050"/>
            </a:solidFill>
            <a:ln cap="rnd" w="15840">
              <a:solidFill>
                <a:srgbClr val="00b05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graphs'!$Q$6:$Q$371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4"/>
          <c:order val="4"/>
          <c:tx>
            <c:strRef>
              <c:f>'weekly graphs'!$R$5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fc000"/>
            </a:solidFill>
            <a:ln cap="rnd" w="158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graphs'!$R$6:$R$371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5"/>
          <c:order val="5"/>
          <c:tx>
            <c:strRef>
              <c:f>'weekly graphs'!$S$5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7030a0"/>
            </a:solidFill>
            <a:ln cap="rnd" w="15840">
              <a:solidFill>
                <a:srgbClr val="7030a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graphs'!$S$6:$S$371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6"/>
          <c:order val="6"/>
          <c:tx>
            <c:strRef>
              <c:f>'weekly graphs'!$AD$5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000000"/>
            </a:solidFill>
            <a:ln cap="rnd" w="9360">
              <a:solidFill>
                <a:srgbClr val="0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graphs'!$AD$6:$AD$371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7"/>
          <c:order val="7"/>
          <c:tx>
            <c:strRef>
              <c:f>'weekly graphs'!$M$5</c:f>
              <c:strCache>
                <c:ptCount val="1"/>
                <c:pt idx="0">
                  <c:v>today</c:v>
                </c:pt>
              </c:strCache>
            </c:strRef>
          </c:tx>
          <c:spPr>
            <a:solidFill>
              <a:srgbClr val="000000"/>
            </a:solidFill>
            <a:ln cap="rnd" w="12600">
              <a:solidFill>
                <a:srgbClr val="0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graphs'!$M$6:$M$371</c:f>
              <c:numCache>
                <c:formatCode>General</c:formatCode>
                <c:ptCount val="366"/>
                <c:pt idx="0">
                  <c:v>1000000</c:v>
                </c:pt>
                <c:pt idx="1">
                  <c:v>-1000000</c:v>
                </c:pt>
                <c:pt idx="2">
                  <c:v>-1000000</c:v>
                </c:pt>
                <c:pt idx="3">
                  <c:v>-1000000</c:v>
                </c:pt>
                <c:pt idx="4">
                  <c:v>-1000000</c:v>
                </c:pt>
                <c:pt idx="5">
                  <c:v>-1000000</c:v>
                </c:pt>
                <c:pt idx="6">
                  <c:v>-1000000</c:v>
                </c:pt>
                <c:pt idx="7">
                  <c:v>-1000000</c:v>
                </c:pt>
                <c:pt idx="8">
                  <c:v>-1000000</c:v>
                </c:pt>
                <c:pt idx="9">
                  <c:v>-1000000</c:v>
                </c:pt>
                <c:pt idx="10">
                  <c:v>-1000000</c:v>
                </c:pt>
                <c:pt idx="11">
                  <c:v>-1000000</c:v>
                </c:pt>
                <c:pt idx="12">
                  <c:v>-1000000</c:v>
                </c:pt>
                <c:pt idx="13">
                  <c:v>-1000000</c:v>
                </c:pt>
                <c:pt idx="14">
                  <c:v>-1000000</c:v>
                </c:pt>
                <c:pt idx="15">
                  <c:v>-1000000</c:v>
                </c:pt>
                <c:pt idx="16">
                  <c:v>-1000000</c:v>
                </c:pt>
                <c:pt idx="17">
                  <c:v>-1000000</c:v>
                </c:pt>
                <c:pt idx="18">
                  <c:v>-1000000</c:v>
                </c:pt>
                <c:pt idx="19">
                  <c:v>-1000000</c:v>
                </c:pt>
                <c:pt idx="20">
                  <c:v>-1000000</c:v>
                </c:pt>
                <c:pt idx="21">
                  <c:v>-1000000</c:v>
                </c:pt>
                <c:pt idx="22">
                  <c:v>-1000000</c:v>
                </c:pt>
                <c:pt idx="23">
                  <c:v>-1000000</c:v>
                </c:pt>
                <c:pt idx="24">
                  <c:v>-1000000</c:v>
                </c:pt>
                <c:pt idx="25">
                  <c:v>-1000000</c:v>
                </c:pt>
                <c:pt idx="26">
                  <c:v>-1000000</c:v>
                </c:pt>
                <c:pt idx="27">
                  <c:v>-1000000</c:v>
                </c:pt>
                <c:pt idx="28">
                  <c:v>-1000000</c:v>
                </c:pt>
                <c:pt idx="29">
                  <c:v>-1000000</c:v>
                </c:pt>
                <c:pt idx="30">
                  <c:v>-1000000</c:v>
                </c:pt>
                <c:pt idx="31">
                  <c:v>-1000000</c:v>
                </c:pt>
                <c:pt idx="32">
                  <c:v>-1000000</c:v>
                </c:pt>
                <c:pt idx="33">
                  <c:v>-1000000</c:v>
                </c:pt>
                <c:pt idx="34">
                  <c:v>-1000000</c:v>
                </c:pt>
                <c:pt idx="35">
                  <c:v>-1000000</c:v>
                </c:pt>
                <c:pt idx="36">
                  <c:v>-1000000</c:v>
                </c:pt>
                <c:pt idx="37">
                  <c:v>-1000000</c:v>
                </c:pt>
                <c:pt idx="38">
                  <c:v>-1000000</c:v>
                </c:pt>
                <c:pt idx="39">
                  <c:v>-1000000</c:v>
                </c:pt>
                <c:pt idx="40">
                  <c:v>-1000000</c:v>
                </c:pt>
                <c:pt idx="41">
                  <c:v>-1000000</c:v>
                </c:pt>
                <c:pt idx="42">
                  <c:v>-1000000</c:v>
                </c:pt>
                <c:pt idx="43">
                  <c:v>-1000000</c:v>
                </c:pt>
                <c:pt idx="44">
                  <c:v>-1000000</c:v>
                </c:pt>
                <c:pt idx="45">
                  <c:v>-1000000</c:v>
                </c:pt>
                <c:pt idx="46">
                  <c:v>-1000000</c:v>
                </c:pt>
                <c:pt idx="47">
                  <c:v>-1000000</c:v>
                </c:pt>
                <c:pt idx="48">
                  <c:v>-1000000</c:v>
                </c:pt>
                <c:pt idx="49">
                  <c:v>-1000000</c:v>
                </c:pt>
                <c:pt idx="50">
                  <c:v>-1000000</c:v>
                </c:pt>
                <c:pt idx="51">
                  <c:v>-1000000</c:v>
                </c:pt>
                <c:pt idx="52">
                  <c:v>-1000000</c:v>
                </c:pt>
                <c:pt idx="53">
                  <c:v>-1000000</c:v>
                </c:pt>
                <c:pt idx="54">
                  <c:v>-1000000</c:v>
                </c:pt>
                <c:pt idx="55">
                  <c:v>-1000000</c:v>
                </c:pt>
                <c:pt idx="56">
                  <c:v>-1000000</c:v>
                </c:pt>
                <c:pt idx="57">
                  <c:v>-1000000</c:v>
                </c:pt>
                <c:pt idx="58">
                  <c:v>-1000000</c:v>
                </c:pt>
                <c:pt idx="59">
                  <c:v>-1000000</c:v>
                </c:pt>
                <c:pt idx="60">
                  <c:v>-1000000</c:v>
                </c:pt>
                <c:pt idx="61">
                  <c:v>-1000000</c:v>
                </c:pt>
                <c:pt idx="62">
                  <c:v>-1000000</c:v>
                </c:pt>
                <c:pt idx="63">
                  <c:v>-1000000</c:v>
                </c:pt>
                <c:pt idx="64">
                  <c:v>-1000000</c:v>
                </c:pt>
                <c:pt idx="65">
                  <c:v>-1000000</c:v>
                </c:pt>
                <c:pt idx="66">
                  <c:v>-1000000</c:v>
                </c:pt>
                <c:pt idx="67">
                  <c:v>-1000000</c:v>
                </c:pt>
                <c:pt idx="68">
                  <c:v>-1000000</c:v>
                </c:pt>
                <c:pt idx="69">
                  <c:v>-1000000</c:v>
                </c:pt>
                <c:pt idx="70">
                  <c:v>-1000000</c:v>
                </c:pt>
                <c:pt idx="71">
                  <c:v>-1000000</c:v>
                </c:pt>
                <c:pt idx="72">
                  <c:v>-1000000</c:v>
                </c:pt>
                <c:pt idx="73">
                  <c:v>-1000000</c:v>
                </c:pt>
                <c:pt idx="74">
                  <c:v>-1000000</c:v>
                </c:pt>
                <c:pt idx="75">
                  <c:v>-1000000</c:v>
                </c:pt>
                <c:pt idx="76">
                  <c:v>-1000000</c:v>
                </c:pt>
                <c:pt idx="77">
                  <c:v>-1000000</c:v>
                </c:pt>
                <c:pt idx="78">
                  <c:v>-1000000</c:v>
                </c:pt>
                <c:pt idx="79">
                  <c:v>-1000000</c:v>
                </c:pt>
                <c:pt idx="80">
                  <c:v>-1000000</c:v>
                </c:pt>
                <c:pt idx="81">
                  <c:v>-1000000</c:v>
                </c:pt>
                <c:pt idx="82">
                  <c:v>-1000000</c:v>
                </c:pt>
                <c:pt idx="83">
                  <c:v>-1000000</c:v>
                </c:pt>
                <c:pt idx="84">
                  <c:v>-1000000</c:v>
                </c:pt>
                <c:pt idx="85">
                  <c:v>-1000000</c:v>
                </c:pt>
                <c:pt idx="86">
                  <c:v>-1000000</c:v>
                </c:pt>
                <c:pt idx="87">
                  <c:v>-1000000</c:v>
                </c:pt>
                <c:pt idx="88">
                  <c:v>-1000000</c:v>
                </c:pt>
                <c:pt idx="89">
                  <c:v>-1000000</c:v>
                </c:pt>
                <c:pt idx="90">
                  <c:v>-1000000</c:v>
                </c:pt>
                <c:pt idx="91">
                  <c:v>-1000000</c:v>
                </c:pt>
                <c:pt idx="92">
                  <c:v>-1000000</c:v>
                </c:pt>
                <c:pt idx="93">
                  <c:v>-1000000</c:v>
                </c:pt>
                <c:pt idx="94">
                  <c:v>-1000000</c:v>
                </c:pt>
                <c:pt idx="95">
                  <c:v>-1000000</c:v>
                </c:pt>
                <c:pt idx="96">
                  <c:v>-1000000</c:v>
                </c:pt>
                <c:pt idx="97">
                  <c:v>-1000000</c:v>
                </c:pt>
                <c:pt idx="98">
                  <c:v>-1000000</c:v>
                </c:pt>
                <c:pt idx="99">
                  <c:v>-1000000</c:v>
                </c:pt>
                <c:pt idx="100">
                  <c:v>-1000000</c:v>
                </c:pt>
                <c:pt idx="101">
                  <c:v>-1000000</c:v>
                </c:pt>
                <c:pt idx="102">
                  <c:v>-1000000</c:v>
                </c:pt>
                <c:pt idx="103">
                  <c:v>-1000000</c:v>
                </c:pt>
                <c:pt idx="104">
                  <c:v>-1000000</c:v>
                </c:pt>
                <c:pt idx="105">
                  <c:v>-1000000</c:v>
                </c:pt>
                <c:pt idx="106">
                  <c:v>-1000000</c:v>
                </c:pt>
                <c:pt idx="107">
                  <c:v>-1000000</c:v>
                </c:pt>
                <c:pt idx="108">
                  <c:v>-1000000</c:v>
                </c:pt>
                <c:pt idx="109">
                  <c:v>-1000000</c:v>
                </c:pt>
                <c:pt idx="110">
                  <c:v>-1000000</c:v>
                </c:pt>
                <c:pt idx="111">
                  <c:v>-1000000</c:v>
                </c:pt>
                <c:pt idx="112">
                  <c:v>-1000000</c:v>
                </c:pt>
                <c:pt idx="113">
                  <c:v>-1000000</c:v>
                </c:pt>
                <c:pt idx="114">
                  <c:v>-1000000</c:v>
                </c:pt>
                <c:pt idx="115">
                  <c:v>-1000000</c:v>
                </c:pt>
                <c:pt idx="116">
                  <c:v>-1000000</c:v>
                </c:pt>
                <c:pt idx="117">
                  <c:v>-1000000</c:v>
                </c:pt>
                <c:pt idx="118">
                  <c:v>-1000000</c:v>
                </c:pt>
                <c:pt idx="119">
                  <c:v>-1000000</c:v>
                </c:pt>
                <c:pt idx="120">
                  <c:v>-1000000</c:v>
                </c:pt>
                <c:pt idx="121">
                  <c:v>-1000000</c:v>
                </c:pt>
                <c:pt idx="122">
                  <c:v>-1000000</c:v>
                </c:pt>
                <c:pt idx="123">
                  <c:v>-1000000</c:v>
                </c:pt>
                <c:pt idx="124">
                  <c:v>-1000000</c:v>
                </c:pt>
                <c:pt idx="125">
                  <c:v>-1000000</c:v>
                </c:pt>
                <c:pt idx="126">
                  <c:v>-1000000</c:v>
                </c:pt>
                <c:pt idx="127">
                  <c:v>-1000000</c:v>
                </c:pt>
                <c:pt idx="128">
                  <c:v>-1000000</c:v>
                </c:pt>
                <c:pt idx="129">
                  <c:v>-1000000</c:v>
                </c:pt>
                <c:pt idx="130">
                  <c:v>-1000000</c:v>
                </c:pt>
                <c:pt idx="131">
                  <c:v>-1000000</c:v>
                </c:pt>
                <c:pt idx="132">
                  <c:v>-1000000</c:v>
                </c:pt>
                <c:pt idx="133">
                  <c:v>-1000000</c:v>
                </c:pt>
                <c:pt idx="134">
                  <c:v>-1000000</c:v>
                </c:pt>
                <c:pt idx="135">
                  <c:v>-1000000</c:v>
                </c:pt>
                <c:pt idx="136">
                  <c:v>-1000000</c:v>
                </c:pt>
                <c:pt idx="137">
                  <c:v>-1000000</c:v>
                </c:pt>
                <c:pt idx="138">
                  <c:v>-1000000</c:v>
                </c:pt>
                <c:pt idx="139">
                  <c:v>-1000000</c:v>
                </c:pt>
                <c:pt idx="140">
                  <c:v>-1000000</c:v>
                </c:pt>
                <c:pt idx="141">
                  <c:v>-1000000</c:v>
                </c:pt>
                <c:pt idx="142">
                  <c:v>-1000000</c:v>
                </c:pt>
                <c:pt idx="143">
                  <c:v>-1000000</c:v>
                </c:pt>
                <c:pt idx="144">
                  <c:v>-1000000</c:v>
                </c:pt>
                <c:pt idx="145">
                  <c:v>-1000000</c:v>
                </c:pt>
                <c:pt idx="146">
                  <c:v>-1000000</c:v>
                </c:pt>
                <c:pt idx="147">
                  <c:v>-1000000</c:v>
                </c:pt>
                <c:pt idx="148">
                  <c:v>-1000000</c:v>
                </c:pt>
                <c:pt idx="149">
                  <c:v>-1000000</c:v>
                </c:pt>
                <c:pt idx="150">
                  <c:v>-1000000</c:v>
                </c:pt>
                <c:pt idx="151">
                  <c:v>-1000000</c:v>
                </c:pt>
                <c:pt idx="152">
                  <c:v>-1000000</c:v>
                </c:pt>
                <c:pt idx="153">
                  <c:v>-1000000</c:v>
                </c:pt>
                <c:pt idx="154">
                  <c:v>-1000000</c:v>
                </c:pt>
                <c:pt idx="155">
                  <c:v>-1000000</c:v>
                </c:pt>
                <c:pt idx="156">
                  <c:v>-1000000</c:v>
                </c:pt>
                <c:pt idx="157">
                  <c:v>-1000000</c:v>
                </c:pt>
                <c:pt idx="158">
                  <c:v>-1000000</c:v>
                </c:pt>
                <c:pt idx="159">
                  <c:v>-1000000</c:v>
                </c:pt>
                <c:pt idx="160">
                  <c:v>-1000000</c:v>
                </c:pt>
                <c:pt idx="161">
                  <c:v>-1000000</c:v>
                </c:pt>
                <c:pt idx="162">
                  <c:v>-1000000</c:v>
                </c:pt>
                <c:pt idx="163">
                  <c:v>-1000000</c:v>
                </c:pt>
                <c:pt idx="164">
                  <c:v>-1000000</c:v>
                </c:pt>
                <c:pt idx="165">
                  <c:v>-1000000</c:v>
                </c:pt>
                <c:pt idx="166">
                  <c:v>-1000000</c:v>
                </c:pt>
                <c:pt idx="167">
                  <c:v>-1000000</c:v>
                </c:pt>
                <c:pt idx="168">
                  <c:v>-1000000</c:v>
                </c:pt>
                <c:pt idx="169">
                  <c:v>-1000000</c:v>
                </c:pt>
                <c:pt idx="170">
                  <c:v>-1000000</c:v>
                </c:pt>
                <c:pt idx="171">
                  <c:v>-1000000</c:v>
                </c:pt>
                <c:pt idx="172">
                  <c:v>-1000000</c:v>
                </c:pt>
                <c:pt idx="173">
                  <c:v>-1000000</c:v>
                </c:pt>
                <c:pt idx="174">
                  <c:v>-1000000</c:v>
                </c:pt>
                <c:pt idx="175">
                  <c:v>-1000000</c:v>
                </c:pt>
                <c:pt idx="176">
                  <c:v>-1000000</c:v>
                </c:pt>
                <c:pt idx="177">
                  <c:v>-1000000</c:v>
                </c:pt>
                <c:pt idx="178">
                  <c:v>-1000000</c:v>
                </c:pt>
                <c:pt idx="179">
                  <c:v>-1000000</c:v>
                </c:pt>
                <c:pt idx="180">
                  <c:v>-1000000</c:v>
                </c:pt>
                <c:pt idx="181">
                  <c:v>-1000000</c:v>
                </c:pt>
                <c:pt idx="182">
                  <c:v>-1000000</c:v>
                </c:pt>
                <c:pt idx="183">
                  <c:v>-1000000</c:v>
                </c:pt>
                <c:pt idx="184">
                  <c:v>-1000000</c:v>
                </c:pt>
                <c:pt idx="185">
                  <c:v>-1000000</c:v>
                </c:pt>
                <c:pt idx="186">
                  <c:v>-1000000</c:v>
                </c:pt>
                <c:pt idx="187">
                  <c:v>-1000000</c:v>
                </c:pt>
                <c:pt idx="188">
                  <c:v>-1000000</c:v>
                </c:pt>
                <c:pt idx="189">
                  <c:v>-1000000</c:v>
                </c:pt>
                <c:pt idx="190">
                  <c:v>-1000000</c:v>
                </c:pt>
                <c:pt idx="191">
                  <c:v>-1000000</c:v>
                </c:pt>
                <c:pt idx="192">
                  <c:v>-1000000</c:v>
                </c:pt>
                <c:pt idx="193">
                  <c:v>-1000000</c:v>
                </c:pt>
                <c:pt idx="194">
                  <c:v>-1000000</c:v>
                </c:pt>
                <c:pt idx="195">
                  <c:v>-1000000</c:v>
                </c:pt>
                <c:pt idx="196">
                  <c:v>-1000000</c:v>
                </c:pt>
                <c:pt idx="197">
                  <c:v>-1000000</c:v>
                </c:pt>
                <c:pt idx="198">
                  <c:v>-1000000</c:v>
                </c:pt>
                <c:pt idx="199">
                  <c:v>-1000000</c:v>
                </c:pt>
                <c:pt idx="200">
                  <c:v>-1000000</c:v>
                </c:pt>
                <c:pt idx="201">
                  <c:v>-1000000</c:v>
                </c:pt>
                <c:pt idx="202">
                  <c:v>-1000000</c:v>
                </c:pt>
                <c:pt idx="203">
                  <c:v>-1000000</c:v>
                </c:pt>
                <c:pt idx="204">
                  <c:v>-1000000</c:v>
                </c:pt>
                <c:pt idx="205">
                  <c:v>-1000000</c:v>
                </c:pt>
                <c:pt idx="206">
                  <c:v>-1000000</c:v>
                </c:pt>
                <c:pt idx="207">
                  <c:v>-1000000</c:v>
                </c:pt>
                <c:pt idx="208">
                  <c:v>-1000000</c:v>
                </c:pt>
                <c:pt idx="209">
                  <c:v>-1000000</c:v>
                </c:pt>
                <c:pt idx="210">
                  <c:v>-1000000</c:v>
                </c:pt>
                <c:pt idx="211">
                  <c:v>-1000000</c:v>
                </c:pt>
                <c:pt idx="212">
                  <c:v>-1000000</c:v>
                </c:pt>
                <c:pt idx="213">
                  <c:v>-1000000</c:v>
                </c:pt>
                <c:pt idx="214">
                  <c:v>-1000000</c:v>
                </c:pt>
                <c:pt idx="215">
                  <c:v>-1000000</c:v>
                </c:pt>
                <c:pt idx="216">
                  <c:v>-1000000</c:v>
                </c:pt>
                <c:pt idx="217">
                  <c:v>-1000000</c:v>
                </c:pt>
                <c:pt idx="218">
                  <c:v>-1000000</c:v>
                </c:pt>
                <c:pt idx="219">
                  <c:v>-1000000</c:v>
                </c:pt>
                <c:pt idx="220">
                  <c:v>-1000000</c:v>
                </c:pt>
                <c:pt idx="221">
                  <c:v>-1000000</c:v>
                </c:pt>
                <c:pt idx="222">
                  <c:v>-1000000</c:v>
                </c:pt>
                <c:pt idx="223">
                  <c:v>-1000000</c:v>
                </c:pt>
                <c:pt idx="224">
                  <c:v>-1000000</c:v>
                </c:pt>
                <c:pt idx="225">
                  <c:v>-1000000</c:v>
                </c:pt>
                <c:pt idx="226">
                  <c:v>-1000000</c:v>
                </c:pt>
                <c:pt idx="227">
                  <c:v>-1000000</c:v>
                </c:pt>
                <c:pt idx="228">
                  <c:v>-1000000</c:v>
                </c:pt>
                <c:pt idx="229">
                  <c:v>-1000000</c:v>
                </c:pt>
                <c:pt idx="230">
                  <c:v>-1000000</c:v>
                </c:pt>
                <c:pt idx="231">
                  <c:v>-1000000</c:v>
                </c:pt>
                <c:pt idx="232">
                  <c:v>-1000000</c:v>
                </c:pt>
                <c:pt idx="233">
                  <c:v>-1000000</c:v>
                </c:pt>
                <c:pt idx="234">
                  <c:v>-1000000</c:v>
                </c:pt>
                <c:pt idx="235">
                  <c:v>-1000000</c:v>
                </c:pt>
                <c:pt idx="236">
                  <c:v>-1000000</c:v>
                </c:pt>
                <c:pt idx="237">
                  <c:v>-1000000</c:v>
                </c:pt>
                <c:pt idx="238">
                  <c:v>-1000000</c:v>
                </c:pt>
                <c:pt idx="239">
                  <c:v>-1000000</c:v>
                </c:pt>
                <c:pt idx="240">
                  <c:v>-1000000</c:v>
                </c:pt>
                <c:pt idx="241">
                  <c:v>-1000000</c:v>
                </c:pt>
                <c:pt idx="242">
                  <c:v>-1000000</c:v>
                </c:pt>
                <c:pt idx="243">
                  <c:v>-1000000</c:v>
                </c:pt>
                <c:pt idx="244">
                  <c:v>-1000000</c:v>
                </c:pt>
                <c:pt idx="245">
                  <c:v>-1000000</c:v>
                </c:pt>
                <c:pt idx="246">
                  <c:v>-1000000</c:v>
                </c:pt>
                <c:pt idx="247">
                  <c:v>-1000000</c:v>
                </c:pt>
                <c:pt idx="248">
                  <c:v>-1000000</c:v>
                </c:pt>
                <c:pt idx="249">
                  <c:v>-1000000</c:v>
                </c:pt>
                <c:pt idx="250">
                  <c:v>-1000000</c:v>
                </c:pt>
                <c:pt idx="251">
                  <c:v>-1000000</c:v>
                </c:pt>
                <c:pt idx="252">
                  <c:v>-1000000</c:v>
                </c:pt>
                <c:pt idx="253">
                  <c:v>-1000000</c:v>
                </c:pt>
                <c:pt idx="254">
                  <c:v>-1000000</c:v>
                </c:pt>
                <c:pt idx="255">
                  <c:v>-1000000</c:v>
                </c:pt>
                <c:pt idx="256">
                  <c:v>-1000000</c:v>
                </c:pt>
                <c:pt idx="257">
                  <c:v>-1000000</c:v>
                </c:pt>
                <c:pt idx="258">
                  <c:v>-1000000</c:v>
                </c:pt>
                <c:pt idx="259">
                  <c:v>-1000000</c:v>
                </c:pt>
                <c:pt idx="260">
                  <c:v>-1000000</c:v>
                </c:pt>
                <c:pt idx="261">
                  <c:v>-1000000</c:v>
                </c:pt>
                <c:pt idx="262">
                  <c:v>-1000000</c:v>
                </c:pt>
                <c:pt idx="263">
                  <c:v>-1000000</c:v>
                </c:pt>
                <c:pt idx="264">
                  <c:v>-1000000</c:v>
                </c:pt>
                <c:pt idx="265">
                  <c:v>-1000000</c:v>
                </c:pt>
                <c:pt idx="266">
                  <c:v>-1000000</c:v>
                </c:pt>
                <c:pt idx="267">
                  <c:v>-1000000</c:v>
                </c:pt>
                <c:pt idx="268">
                  <c:v>-1000000</c:v>
                </c:pt>
                <c:pt idx="269">
                  <c:v>-1000000</c:v>
                </c:pt>
                <c:pt idx="270">
                  <c:v>-1000000</c:v>
                </c:pt>
                <c:pt idx="271">
                  <c:v>-1000000</c:v>
                </c:pt>
                <c:pt idx="272">
                  <c:v>-1000000</c:v>
                </c:pt>
                <c:pt idx="273">
                  <c:v>-1000000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1000000</c:v>
                </c:pt>
                <c:pt idx="301">
                  <c:v>1000000</c:v>
                </c:pt>
                <c:pt idx="302">
                  <c:v>1000000</c:v>
                </c:pt>
                <c:pt idx="303">
                  <c:v>1000000</c:v>
                </c:pt>
                <c:pt idx="304">
                  <c:v>1000000</c:v>
                </c:pt>
                <c:pt idx="305">
                  <c:v>1000000</c:v>
                </c:pt>
                <c:pt idx="306">
                  <c:v>1000000</c:v>
                </c:pt>
                <c:pt idx="307">
                  <c:v>1000000</c:v>
                </c:pt>
                <c:pt idx="308">
                  <c:v>1000000</c:v>
                </c:pt>
                <c:pt idx="309">
                  <c:v>1000000</c:v>
                </c:pt>
                <c:pt idx="310">
                  <c:v>1000000</c:v>
                </c:pt>
                <c:pt idx="311">
                  <c:v>1000000</c:v>
                </c:pt>
                <c:pt idx="312">
                  <c:v>1000000</c:v>
                </c:pt>
                <c:pt idx="313">
                  <c:v>1000000</c:v>
                </c:pt>
                <c:pt idx="314">
                  <c:v>1000000</c:v>
                </c:pt>
                <c:pt idx="315">
                  <c:v>1000000</c:v>
                </c:pt>
                <c:pt idx="316">
                  <c:v>1000000</c:v>
                </c:pt>
                <c:pt idx="317">
                  <c:v>1000000</c:v>
                </c:pt>
                <c:pt idx="318">
                  <c:v>1000000</c:v>
                </c:pt>
                <c:pt idx="319">
                  <c:v>1000000</c:v>
                </c:pt>
                <c:pt idx="320">
                  <c:v>1000000</c:v>
                </c:pt>
                <c:pt idx="321">
                  <c:v>1000000</c:v>
                </c:pt>
                <c:pt idx="322">
                  <c:v>1000000</c:v>
                </c:pt>
                <c:pt idx="323">
                  <c:v>1000000</c:v>
                </c:pt>
                <c:pt idx="324">
                  <c:v>1000000</c:v>
                </c:pt>
                <c:pt idx="325">
                  <c:v>1000000</c:v>
                </c:pt>
                <c:pt idx="326">
                  <c:v>1000000</c:v>
                </c:pt>
                <c:pt idx="327">
                  <c:v>1000000</c:v>
                </c:pt>
                <c:pt idx="328">
                  <c:v>1000000</c:v>
                </c:pt>
                <c:pt idx="329">
                  <c:v>1000000</c:v>
                </c:pt>
                <c:pt idx="330">
                  <c:v>1000000</c:v>
                </c:pt>
                <c:pt idx="331">
                  <c:v>1000000</c:v>
                </c:pt>
                <c:pt idx="332">
                  <c:v>1000000</c:v>
                </c:pt>
                <c:pt idx="333">
                  <c:v>1000000</c:v>
                </c:pt>
                <c:pt idx="334">
                  <c:v>1000000</c:v>
                </c:pt>
                <c:pt idx="335">
                  <c:v>1000000</c:v>
                </c:pt>
                <c:pt idx="336">
                  <c:v>1000000</c:v>
                </c:pt>
                <c:pt idx="337">
                  <c:v>1000000</c:v>
                </c:pt>
                <c:pt idx="338">
                  <c:v>1000000</c:v>
                </c:pt>
                <c:pt idx="339">
                  <c:v>1000000</c:v>
                </c:pt>
                <c:pt idx="340">
                  <c:v>1000000</c:v>
                </c:pt>
                <c:pt idx="341">
                  <c:v>1000000</c:v>
                </c:pt>
                <c:pt idx="342">
                  <c:v>1000000</c:v>
                </c:pt>
                <c:pt idx="343">
                  <c:v>1000000</c:v>
                </c:pt>
                <c:pt idx="344">
                  <c:v>1000000</c:v>
                </c:pt>
                <c:pt idx="345">
                  <c:v>1000000</c:v>
                </c:pt>
                <c:pt idx="346">
                  <c:v>1000000</c:v>
                </c:pt>
                <c:pt idx="347">
                  <c:v>1000000</c:v>
                </c:pt>
                <c:pt idx="348">
                  <c:v>1000000</c:v>
                </c:pt>
                <c:pt idx="349">
                  <c:v>1000000</c:v>
                </c:pt>
                <c:pt idx="350">
                  <c:v>1000000</c:v>
                </c:pt>
                <c:pt idx="351">
                  <c:v>1000000</c:v>
                </c:pt>
                <c:pt idx="352">
                  <c:v>1000000</c:v>
                </c:pt>
                <c:pt idx="353">
                  <c:v>1000000</c:v>
                </c:pt>
                <c:pt idx="354">
                  <c:v>1000000</c:v>
                </c:pt>
                <c:pt idx="355">
                  <c:v>1000000</c:v>
                </c:pt>
                <c:pt idx="356">
                  <c:v>1000000</c:v>
                </c:pt>
                <c:pt idx="357">
                  <c:v>1000000</c:v>
                </c:pt>
                <c:pt idx="358">
                  <c:v>1000000</c:v>
                </c:pt>
                <c:pt idx="359">
                  <c:v>1000000</c:v>
                </c:pt>
                <c:pt idx="360">
                  <c:v>1000000</c:v>
                </c:pt>
                <c:pt idx="361">
                  <c:v>1000000</c:v>
                </c:pt>
                <c:pt idx="362">
                  <c:v>1000000</c:v>
                </c:pt>
                <c:pt idx="363">
                  <c:v>1000000</c:v>
                </c:pt>
                <c:pt idx="364">
                  <c:v>1000000</c:v>
                </c:pt>
                <c:pt idx="365">
                  <c:v>1000000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'weekly graphs'!$N$5</c:f>
              <c:strCache>
                <c:ptCount val="1"/>
                <c:pt idx="0">
                  <c:v>2023F</c:v>
                </c:pt>
              </c:strCache>
            </c:strRef>
          </c:tx>
          <c:spPr>
            <a:solidFill>
              <a:srgbClr val="c00000"/>
            </a:solidFill>
            <a:ln cap="rnd" w="19080">
              <a:solidFill>
                <a:srgbClr val="c0000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graphs'!$N$6:$N$371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9"/>
          <c:order val="9"/>
          <c:tx>
            <c:strRef>
              <c:f>'weekly graphs'!$O$5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circle"/>
            <c:size val="6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graphs'!$O$6:$O$371</c:f>
              <c:numCache>
                <c:formatCode>General</c:formatCode>
                <c:ptCount val="366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2583693"/>
        <c:axId val="51256739"/>
      </c:lineChart>
      <c:dateAx>
        <c:axId val="32583693"/>
        <c:scaling>
          <c:orientation val="minMax"/>
          <c:max val="36891"/>
          <c:min val="36526"/>
        </c:scaling>
        <c:delete val="0"/>
        <c:axPos val="b"/>
        <c:numFmt formatCode="mmm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1256739"/>
        <c:crosses val="autoZero"/>
        <c:auto val="1"/>
        <c:lblOffset val="100"/>
        <c:baseTimeUnit val="days"/>
        <c:majorUnit val="1"/>
        <c:majorTimeUnit val="months"/>
        <c:noMultiLvlLbl val="0"/>
      </c:dateAx>
      <c:valAx>
        <c:axId val="51256739"/>
        <c:scaling>
          <c:orientation val="minMax"/>
          <c:max val="25"/>
          <c:min val="-55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#,##0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2583693"/>
        <c:crosses val="autoZero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b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00205820118374939"/>
          <c:y val="0.897610441636762"/>
          <c:w val="0.899999920550995"/>
          <c:h val="0.066037762011508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cked"/>
        <c:ser>
          <c:idx val="0"/>
          <c:order val="0"/>
          <c:tx>
            <c:strRef>
              <c:f>'weekly graphs'!$AA$5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graphs'!$AA$6:$AA$371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strRef>
              <c:f>'weekly graphs'!$AC$5</c:f>
              <c:strCache>
                <c:ptCount val="1"/>
                <c:pt idx="0">
                  <c:v>min-max (2019 -2014)</c:v>
                </c:pt>
              </c:strCache>
            </c:strRef>
          </c:tx>
          <c:spPr>
            <a:solidFill>
              <a:srgbClr val="bfbfbf">
                <a:alpha val="62000"/>
              </a:srgbClr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graphs'!$AC$6:$AC$371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4921131"/>
        <c:axId val="49261054"/>
      </c:areaChart>
      <c:lineChart>
        <c:grouping val="stacked"/>
        <c:varyColors val="0"/>
        <c:ser>
          <c:idx val="2"/>
          <c:order val="2"/>
          <c:tx>
            <c:strRef>
              <c:f>'weekly graphs'!$P$5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70c0"/>
            </a:solidFill>
            <a:ln cap="rnd" w="19080">
              <a:solidFill>
                <a:srgbClr val="0070c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graphs'!$P$6:$P$371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3"/>
          <c:order val="3"/>
          <c:tx>
            <c:strRef>
              <c:f>'weekly graphs'!$Q$5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00b050"/>
            </a:solidFill>
            <a:ln cap="rnd" w="15840">
              <a:solidFill>
                <a:srgbClr val="00b05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graphs'!$Q$6:$Q$371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4"/>
          <c:order val="4"/>
          <c:tx>
            <c:strRef>
              <c:f>'weekly graphs'!$R$5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fc000"/>
            </a:solidFill>
            <a:ln cap="rnd" w="158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graphs'!$R$6:$R$371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5"/>
          <c:order val="5"/>
          <c:tx>
            <c:strRef>
              <c:f>'weekly graphs'!$S$5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7030a0"/>
            </a:solidFill>
            <a:ln cap="rnd" w="15840">
              <a:solidFill>
                <a:srgbClr val="7030a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graphs'!$S$6:$S$371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6"/>
          <c:order val="6"/>
          <c:tx>
            <c:strRef>
              <c:f>'weekly graphs'!$AD$5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000000"/>
            </a:solidFill>
            <a:ln cap="rnd" w="9360">
              <a:solidFill>
                <a:srgbClr val="0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graphs'!$AD$6:$AD$371</c:f>
              <c:numCache>
                <c:formatCode>General</c:formatCode>
                <c:ptCount val="366"/>
              </c:numCache>
            </c:numRef>
          </c:val>
          <c:smooth val="0"/>
        </c:ser>
        <c:ser>
          <c:idx val="7"/>
          <c:order val="7"/>
          <c:tx>
            <c:strRef>
              <c:f>'weekly graphs'!$M$5</c:f>
              <c:strCache>
                <c:ptCount val="1"/>
                <c:pt idx="0">
                  <c:v>today</c:v>
                </c:pt>
              </c:strCache>
            </c:strRef>
          </c:tx>
          <c:spPr>
            <a:solidFill>
              <a:srgbClr val="000000"/>
            </a:solidFill>
            <a:ln cap="rnd" w="12600">
              <a:solidFill>
                <a:srgbClr val="0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graphs'!$M$6:$M$371</c:f>
              <c:numCache>
                <c:formatCode>General</c:formatCode>
                <c:ptCount val="366"/>
                <c:pt idx="0">
                  <c:v>1000000</c:v>
                </c:pt>
                <c:pt idx="1">
                  <c:v>-1000000</c:v>
                </c:pt>
                <c:pt idx="2">
                  <c:v>-1000000</c:v>
                </c:pt>
                <c:pt idx="3">
                  <c:v>-1000000</c:v>
                </c:pt>
                <c:pt idx="4">
                  <c:v>-1000000</c:v>
                </c:pt>
                <c:pt idx="5">
                  <c:v>-1000000</c:v>
                </c:pt>
                <c:pt idx="6">
                  <c:v>-1000000</c:v>
                </c:pt>
                <c:pt idx="7">
                  <c:v>-1000000</c:v>
                </c:pt>
                <c:pt idx="8">
                  <c:v>-1000000</c:v>
                </c:pt>
                <c:pt idx="9">
                  <c:v>-1000000</c:v>
                </c:pt>
                <c:pt idx="10">
                  <c:v>-1000000</c:v>
                </c:pt>
                <c:pt idx="11">
                  <c:v>-1000000</c:v>
                </c:pt>
                <c:pt idx="12">
                  <c:v>-1000000</c:v>
                </c:pt>
                <c:pt idx="13">
                  <c:v>-1000000</c:v>
                </c:pt>
                <c:pt idx="14">
                  <c:v>-1000000</c:v>
                </c:pt>
                <c:pt idx="15">
                  <c:v>-1000000</c:v>
                </c:pt>
                <c:pt idx="16">
                  <c:v>-1000000</c:v>
                </c:pt>
                <c:pt idx="17">
                  <c:v>-1000000</c:v>
                </c:pt>
                <c:pt idx="18">
                  <c:v>-1000000</c:v>
                </c:pt>
                <c:pt idx="19">
                  <c:v>-1000000</c:v>
                </c:pt>
                <c:pt idx="20">
                  <c:v>-1000000</c:v>
                </c:pt>
                <c:pt idx="21">
                  <c:v>-1000000</c:v>
                </c:pt>
                <c:pt idx="22">
                  <c:v>-1000000</c:v>
                </c:pt>
                <c:pt idx="23">
                  <c:v>-1000000</c:v>
                </c:pt>
                <c:pt idx="24">
                  <c:v>-1000000</c:v>
                </c:pt>
                <c:pt idx="25">
                  <c:v>-1000000</c:v>
                </c:pt>
                <c:pt idx="26">
                  <c:v>-1000000</c:v>
                </c:pt>
                <c:pt idx="27">
                  <c:v>-1000000</c:v>
                </c:pt>
                <c:pt idx="28">
                  <c:v>-1000000</c:v>
                </c:pt>
                <c:pt idx="29">
                  <c:v>-1000000</c:v>
                </c:pt>
                <c:pt idx="30">
                  <c:v>-1000000</c:v>
                </c:pt>
                <c:pt idx="31">
                  <c:v>-1000000</c:v>
                </c:pt>
                <c:pt idx="32">
                  <c:v>-1000000</c:v>
                </c:pt>
                <c:pt idx="33">
                  <c:v>-1000000</c:v>
                </c:pt>
                <c:pt idx="34">
                  <c:v>-1000000</c:v>
                </c:pt>
                <c:pt idx="35">
                  <c:v>-1000000</c:v>
                </c:pt>
                <c:pt idx="36">
                  <c:v>-1000000</c:v>
                </c:pt>
                <c:pt idx="37">
                  <c:v>-1000000</c:v>
                </c:pt>
                <c:pt idx="38">
                  <c:v>-1000000</c:v>
                </c:pt>
                <c:pt idx="39">
                  <c:v>-1000000</c:v>
                </c:pt>
                <c:pt idx="40">
                  <c:v>-1000000</c:v>
                </c:pt>
                <c:pt idx="41">
                  <c:v>-1000000</c:v>
                </c:pt>
                <c:pt idx="42">
                  <c:v>-1000000</c:v>
                </c:pt>
                <c:pt idx="43">
                  <c:v>-1000000</c:v>
                </c:pt>
                <c:pt idx="44">
                  <c:v>-1000000</c:v>
                </c:pt>
                <c:pt idx="45">
                  <c:v>-1000000</c:v>
                </c:pt>
                <c:pt idx="46">
                  <c:v>-1000000</c:v>
                </c:pt>
                <c:pt idx="47">
                  <c:v>-1000000</c:v>
                </c:pt>
                <c:pt idx="48">
                  <c:v>-1000000</c:v>
                </c:pt>
                <c:pt idx="49">
                  <c:v>-1000000</c:v>
                </c:pt>
                <c:pt idx="50">
                  <c:v>-1000000</c:v>
                </c:pt>
                <c:pt idx="51">
                  <c:v>-1000000</c:v>
                </c:pt>
                <c:pt idx="52">
                  <c:v>-1000000</c:v>
                </c:pt>
                <c:pt idx="53">
                  <c:v>-1000000</c:v>
                </c:pt>
                <c:pt idx="54">
                  <c:v>-1000000</c:v>
                </c:pt>
                <c:pt idx="55">
                  <c:v>-1000000</c:v>
                </c:pt>
                <c:pt idx="56">
                  <c:v>-1000000</c:v>
                </c:pt>
                <c:pt idx="57">
                  <c:v>-1000000</c:v>
                </c:pt>
                <c:pt idx="58">
                  <c:v>-1000000</c:v>
                </c:pt>
                <c:pt idx="59">
                  <c:v>-1000000</c:v>
                </c:pt>
                <c:pt idx="60">
                  <c:v>-1000000</c:v>
                </c:pt>
                <c:pt idx="61">
                  <c:v>-1000000</c:v>
                </c:pt>
                <c:pt idx="62">
                  <c:v>-1000000</c:v>
                </c:pt>
                <c:pt idx="63">
                  <c:v>-1000000</c:v>
                </c:pt>
                <c:pt idx="64">
                  <c:v>-1000000</c:v>
                </c:pt>
                <c:pt idx="65">
                  <c:v>-1000000</c:v>
                </c:pt>
                <c:pt idx="66">
                  <c:v>-1000000</c:v>
                </c:pt>
                <c:pt idx="67">
                  <c:v>-1000000</c:v>
                </c:pt>
                <c:pt idx="68">
                  <c:v>-1000000</c:v>
                </c:pt>
                <c:pt idx="69">
                  <c:v>-1000000</c:v>
                </c:pt>
                <c:pt idx="70">
                  <c:v>-1000000</c:v>
                </c:pt>
                <c:pt idx="71">
                  <c:v>-1000000</c:v>
                </c:pt>
                <c:pt idx="72">
                  <c:v>-1000000</c:v>
                </c:pt>
                <c:pt idx="73">
                  <c:v>-1000000</c:v>
                </c:pt>
                <c:pt idx="74">
                  <c:v>-1000000</c:v>
                </c:pt>
                <c:pt idx="75">
                  <c:v>-1000000</c:v>
                </c:pt>
                <c:pt idx="76">
                  <c:v>-1000000</c:v>
                </c:pt>
                <c:pt idx="77">
                  <c:v>-1000000</c:v>
                </c:pt>
                <c:pt idx="78">
                  <c:v>-1000000</c:v>
                </c:pt>
                <c:pt idx="79">
                  <c:v>-1000000</c:v>
                </c:pt>
                <c:pt idx="80">
                  <c:v>-1000000</c:v>
                </c:pt>
                <c:pt idx="81">
                  <c:v>-1000000</c:v>
                </c:pt>
                <c:pt idx="82">
                  <c:v>-1000000</c:v>
                </c:pt>
                <c:pt idx="83">
                  <c:v>-1000000</c:v>
                </c:pt>
                <c:pt idx="84">
                  <c:v>-1000000</c:v>
                </c:pt>
                <c:pt idx="85">
                  <c:v>-1000000</c:v>
                </c:pt>
                <c:pt idx="86">
                  <c:v>-1000000</c:v>
                </c:pt>
                <c:pt idx="87">
                  <c:v>-1000000</c:v>
                </c:pt>
                <c:pt idx="88">
                  <c:v>-1000000</c:v>
                </c:pt>
                <c:pt idx="89">
                  <c:v>-1000000</c:v>
                </c:pt>
                <c:pt idx="90">
                  <c:v>-1000000</c:v>
                </c:pt>
                <c:pt idx="91">
                  <c:v>-1000000</c:v>
                </c:pt>
                <c:pt idx="92">
                  <c:v>-1000000</c:v>
                </c:pt>
                <c:pt idx="93">
                  <c:v>-1000000</c:v>
                </c:pt>
                <c:pt idx="94">
                  <c:v>-1000000</c:v>
                </c:pt>
                <c:pt idx="95">
                  <c:v>-1000000</c:v>
                </c:pt>
                <c:pt idx="96">
                  <c:v>-1000000</c:v>
                </c:pt>
                <c:pt idx="97">
                  <c:v>-1000000</c:v>
                </c:pt>
                <c:pt idx="98">
                  <c:v>-1000000</c:v>
                </c:pt>
                <c:pt idx="99">
                  <c:v>-1000000</c:v>
                </c:pt>
                <c:pt idx="100">
                  <c:v>-1000000</c:v>
                </c:pt>
                <c:pt idx="101">
                  <c:v>-1000000</c:v>
                </c:pt>
                <c:pt idx="102">
                  <c:v>-1000000</c:v>
                </c:pt>
                <c:pt idx="103">
                  <c:v>-1000000</c:v>
                </c:pt>
                <c:pt idx="104">
                  <c:v>-1000000</c:v>
                </c:pt>
                <c:pt idx="105">
                  <c:v>-1000000</c:v>
                </c:pt>
                <c:pt idx="106">
                  <c:v>-1000000</c:v>
                </c:pt>
                <c:pt idx="107">
                  <c:v>-1000000</c:v>
                </c:pt>
                <c:pt idx="108">
                  <c:v>-1000000</c:v>
                </c:pt>
                <c:pt idx="109">
                  <c:v>-1000000</c:v>
                </c:pt>
                <c:pt idx="110">
                  <c:v>-1000000</c:v>
                </c:pt>
                <c:pt idx="111">
                  <c:v>-1000000</c:v>
                </c:pt>
                <c:pt idx="112">
                  <c:v>-1000000</c:v>
                </c:pt>
                <c:pt idx="113">
                  <c:v>-1000000</c:v>
                </c:pt>
                <c:pt idx="114">
                  <c:v>-1000000</c:v>
                </c:pt>
                <c:pt idx="115">
                  <c:v>-1000000</c:v>
                </c:pt>
                <c:pt idx="116">
                  <c:v>-1000000</c:v>
                </c:pt>
                <c:pt idx="117">
                  <c:v>-1000000</c:v>
                </c:pt>
                <c:pt idx="118">
                  <c:v>-1000000</c:v>
                </c:pt>
                <c:pt idx="119">
                  <c:v>-1000000</c:v>
                </c:pt>
                <c:pt idx="120">
                  <c:v>-1000000</c:v>
                </c:pt>
                <c:pt idx="121">
                  <c:v>-1000000</c:v>
                </c:pt>
                <c:pt idx="122">
                  <c:v>-1000000</c:v>
                </c:pt>
                <c:pt idx="123">
                  <c:v>-1000000</c:v>
                </c:pt>
                <c:pt idx="124">
                  <c:v>-1000000</c:v>
                </c:pt>
                <c:pt idx="125">
                  <c:v>-1000000</c:v>
                </c:pt>
                <c:pt idx="126">
                  <c:v>-1000000</c:v>
                </c:pt>
                <c:pt idx="127">
                  <c:v>-1000000</c:v>
                </c:pt>
                <c:pt idx="128">
                  <c:v>-1000000</c:v>
                </c:pt>
                <c:pt idx="129">
                  <c:v>-1000000</c:v>
                </c:pt>
                <c:pt idx="130">
                  <c:v>-1000000</c:v>
                </c:pt>
                <c:pt idx="131">
                  <c:v>-1000000</c:v>
                </c:pt>
                <c:pt idx="132">
                  <c:v>-1000000</c:v>
                </c:pt>
                <c:pt idx="133">
                  <c:v>-1000000</c:v>
                </c:pt>
                <c:pt idx="134">
                  <c:v>-1000000</c:v>
                </c:pt>
                <c:pt idx="135">
                  <c:v>-1000000</c:v>
                </c:pt>
                <c:pt idx="136">
                  <c:v>-1000000</c:v>
                </c:pt>
                <c:pt idx="137">
                  <c:v>-1000000</c:v>
                </c:pt>
                <c:pt idx="138">
                  <c:v>-1000000</c:v>
                </c:pt>
                <c:pt idx="139">
                  <c:v>-1000000</c:v>
                </c:pt>
                <c:pt idx="140">
                  <c:v>-1000000</c:v>
                </c:pt>
                <c:pt idx="141">
                  <c:v>-1000000</c:v>
                </c:pt>
                <c:pt idx="142">
                  <c:v>-1000000</c:v>
                </c:pt>
                <c:pt idx="143">
                  <c:v>-1000000</c:v>
                </c:pt>
                <c:pt idx="144">
                  <c:v>-1000000</c:v>
                </c:pt>
                <c:pt idx="145">
                  <c:v>-1000000</c:v>
                </c:pt>
                <c:pt idx="146">
                  <c:v>-1000000</c:v>
                </c:pt>
                <c:pt idx="147">
                  <c:v>-1000000</c:v>
                </c:pt>
                <c:pt idx="148">
                  <c:v>-1000000</c:v>
                </c:pt>
                <c:pt idx="149">
                  <c:v>-1000000</c:v>
                </c:pt>
                <c:pt idx="150">
                  <c:v>-1000000</c:v>
                </c:pt>
                <c:pt idx="151">
                  <c:v>-1000000</c:v>
                </c:pt>
                <c:pt idx="152">
                  <c:v>-1000000</c:v>
                </c:pt>
                <c:pt idx="153">
                  <c:v>-1000000</c:v>
                </c:pt>
                <c:pt idx="154">
                  <c:v>-1000000</c:v>
                </c:pt>
                <c:pt idx="155">
                  <c:v>-1000000</c:v>
                </c:pt>
                <c:pt idx="156">
                  <c:v>-1000000</c:v>
                </c:pt>
                <c:pt idx="157">
                  <c:v>-1000000</c:v>
                </c:pt>
                <c:pt idx="158">
                  <c:v>-1000000</c:v>
                </c:pt>
                <c:pt idx="159">
                  <c:v>-1000000</c:v>
                </c:pt>
                <c:pt idx="160">
                  <c:v>-1000000</c:v>
                </c:pt>
                <c:pt idx="161">
                  <c:v>-1000000</c:v>
                </c:pt>
                <c:pt idx="162">
                  <c:v>-1000000</c:v>
                </c:pt>
                <c:pt idx="163">
                  <c:v>-1000000</c:v>
                </c:pt>
                <c:pt idx="164">
                  <c:v>-1000000</c:v>
                </c:pt>
                <c:pt idx="165">
                  <c:v>-1000000</c:v>
                </c:pt>
                <c:pt idx="166">
                  <c:v>-1000000</c:v>
                </c:pt>
                <c:pt idx="167">
                  <c:v>-1000000</c:v>
                </c:pt>
                <c:pt idx="168">
                  <c:v>-1000000</c:v>
                </c:pt>
                <c:pt idx="169">
                  <c:v>-1000000</c:v>
                </c:pt>
                <c:pt idx="170">
                  <c:v>-1000000</c:v>
                </c:pt>
                <c:pt idx="171">
                  <c:v>-1000000</c:v>
                </c:pt>
                <c:pt idx="172">
                  <c:v>-1000000</c:v>
                </c:pt>
                <c:pt idx="173">
                  <c:v>-1000000</c:v>
                </c:pt>
                <c:pt idx="174">
                  <c:v>-1000000</c:v>
                </c:pt>
                <c:pt idx="175">
                  <c:v>-1000000</c:v>
                </c:pt>
                <c:pt idx="176">
                  <c:v>-1000000</c:v>
                </c:pt>
                <c:pt idx="177">
                  <c:v>-1000000</c:v>
                </c:pt>
                <c:pt idx="178">
                  <c:v>-1000000</c:v>
                </c:pt>
                <c:pt idx="179">
                  <c:v>-1000000</c:v>
                </c:pt>
                <c:pt idx="180">
                  <c:v>-1000000</c:v>
                </c:pt>
                <c:pt idx="181">
                  <c:v>-1000000</c:v>
                </c:pt>
                <c:pt idx="182">
                  <c:v>-1000000</c:v>
                </c:pt>
                <c:pt idx="183">
                  <c:v>-1000000</c:v>
                </c:pt>
                <c:pt idx="184">
                  <c:v>-1000000</c:v>
                </c:pt>
                <c:pt idx="185">
                  <c:v>-1000000</c:v>
                </c:pt>
                <c:pt idx="186">
                  <c:v>-1000000</c:v>
                </c:pt>
                <c:pt idx="187">
                  <c:v>-1000000</c:v>
                </c:pt>
                <c:pt idx="188">
                  <c:v>-1000000</c:v>
                </c:pt>
                <c:pt idx="189">
                  <c:v>-1000000</c:v>
                </c:pt>
                <c:pt idx="190">
                  <c:v>-1000000</c:v>
                </c:pt>
                <c:pt idx="191">
                  <c:v>-1000000</c:v>
                </c:pt>
                <c:pt idx="192">
                  <c:v>-1000000</c:v>
                </c:pt>
                <c:pt idx="193">
                  <c:v>-1000000</c:v>
                </c:pt>
                <c:pt idx="194">
                  <c:v>-1000000</c:v>
                </c:pt>
                <c:pt idx="195">
                  <c:v>-1000000</c:v>
                </c:pt>
                <c:pt idx="196">
                  <c:v>-1000000</c:v>
                </c:pt>
                <c:pt idx="197">
                  <c:v>-1000000</c:v>
                </c:pt>
                <c:pt idx="198">
                  <c:v>-1000000</c:v>
                </c:pt>
                <c:pt idx="199">
                  <c:v>-1000000</c:v>
                </c:pt>
                <c:pt idx="200">
                  <c:v>-1000000</c:v>
                </c:pt>
                <c:pt idx="201">
                  <c:v>-1000000</c:v>
                </c:pt>
                <c:pt idx="202">
                  <c:v>-1000000</c:v>
                </c:pt>
                <c:pt idx="203">
                  <c:v>-1000000</c:v>
                </c:pt>
                <c:pt idx="204">
                  <c:v>-1000000</c:v>
                </c:pt>
                <c:pt idx="205">
                  <c:v>-1000000</c:v>
                </c:pt>
                <c:pt idx="206">
                  <c:v>-1000000</c:v>
                </c:pt>
                <c:pt idx="207">
                  <c:v>-1000000</c:v>
                </c:pt>
                <c:pt idx="208">
                  <c:v>-1000000</c:v>
                </c:pt>
                <c:pt idx="209">
                  <c:v>-1000000</c:v>
                </c:pt>
                <c:pt idx="210">
                  <c:v>-1000000</c:v>
                </c:pt>
                <c:pt idx="211">
                  <c:v>-1000000</c:v>
                </c:pt>
                <c:pt idx="212">
                  <c:v>-1000000</c:v>
                </c:pt>
                <c:pt idx="213">
                  <c:v>-1000000</c:v>
                </c:pt>
                <c:pt idx="214">
                  <c:v>-1000000</c:v>
                </c:pt>
                <c:pt idx="215">
                  <c:v>-1000000</c:v>
                </c:pt>
                <c:pt idx="216">
                  <c:v>-1000000</c:v>
                </c:pt>
                <c:pt idx="217">
                  <c:v>-1000000</c:v>
                </c:pt>
                <c:pt idx="218">
                  <c:v>-1000000</c:v>
                </c:pt>
                <c:pt idx="219">
                  <c:v>-1000000</c:v>
                </c:pt>
                <c:pt idx="220">
                  <c:v>-1000000</c:v>
                </c:pt>
                <c:pt idx="221">
                  <c:v>-1000000</c:v>
                </c:pt>
                <c:pt idx="222">
                  <c:v>-1000000</c:v>
                </c:pt>
                <c:pt idx="223">
                  <c:v>-1000000</c:v>
                </c:pt>
                <c:pt idx="224">
                  <c:v>-1000000</c:v>
                </c:pt>
                <c:pt idx="225">
                  <c:v>-1000000</c:v>
                </c:pt>
                <c:pt idx="226">
                  <c:v>-1000000</c:v>
                </c:pt>
                <c:pt idx="227">
                  <c:v>-1000000</c:v>
                </c:pt>
                <c:pt idx="228">
                  <c:v>-1000000</c:v>
                </c:pt>
                <c:pt idx="229">
                  <c:v>-1000000</c:v>
                </c:pt>
                <c:pt idx="230">
                  <c:v>-1000000</c:v>
                </c:pt>
                <c:pt idx="231">
                  <c:v>-1000000</c:v>
                </c:pt>
                <c:pt idx="232">
                  <c:v>-1000000</c:v>
                </c:pt>
                <c:pt idx="233">
                  <c:v>-1000000</c:v>
                </c:pt>
                <c:pt idx="234">
                  <c:v>-1000000</c:v>
                </c:pt>
                <c:pt idx="235">
                  <c:v>-1000000</c:v>
                </c:pt>
                <c:pt idx="236">
                  <c:v>-1000000</c:v>
                </c:pt>
                <c:pt idx="237">
                  <c:v>-1000000</c:v>
                </c:pt>
                <c:pt idx="238">
                  <c:v>-1000000</c:v>
                </c:pt>
                <c:pt idx="239">
                  <c:v>-1000000</c:v>
                </c:pt>
                <c:pt idx="240">
                  <c:v>-1000000</c:v>
                </c:pt>
                <c:pt idx="241">
                  <c:v>-1000000</c:v>
                </c:pt>
                <c:pt idx="242">
                  <c:v>-1000000</c:v>
                </c:pt>
                <c:pt idx="243">
                  <c:v>-1000000</c:v>
                </c:pt>
                <c:pt idx="244">
                  <c:v>-1000000</c:v>
                </c:pt>
                <c:pt idx="245">
                  <c:v>-1000000</c:v>
                </c:pt>
                <c:pt idx="246">
                  <c:v>-1000000</c:v>
                </c:pt>
                <c:pt idx="247">
                  <c:v>-1000000</c:v>
                </c:pt>
                <c:pt idx="248">
                  <c:v>-1000000</c:v>
                </c:pt>
                <c:pt idx="249">
                  <c:v>-1000000</c:v>
                </c:pt>
                <c:pt idx="250">
                  <c:v>-1000000</c:v>
                </c:pt>
                <c:pt idx="251">
                  <c:v>-1000000</c:v>
                </c:pt>
                <c:pt idx="252">
                  <c:v>-1000000</c:v>
                </c:pt>
                <c:pt idx="253">
                  <c:v>-1000000</c:v>
                </c:pt>
                <c:pt idx="254">
                  <c:v>-1000000</c:v>
                </c:pt>
                <c:pt idx="255">
                  <c:v>-1000000</c:v>
                </c:pt>
                <c:pt idx="256">
                  <c:v>-1000000</c:v>
                </c:pt>
                <c:pt idx="257">
                  <c:v>-1000000</c:v>
                </c:pt>
                <c:pt idx="258">
                  <c:v>-1000000</c:v>
                </c:pt>
                <c:pt idx="259">
                  <c:v>-1000000</c:v>
                </c:pt>
                <c:pt idx="260">
                  <c:v>-1000000</c:v>
                </c:pt>
                <c:pt idx="261">
                  <c:v>-1000000</c:v>
                </c:pt>
                <c:pt idx="262">
                  <c:v>-1000000</c:v>
                </c:pt>
                <c:pt idx="263">
                  <c:v>-1000000</c:v>
                </c:pt>
                <c:pt idx="264">
                  <c:v>-1000000</c:v>
                </c:pt>
                <c:pt idx="265">
                  <c:v>-1000000</c:v>
                </c:pt>
                <c:pt idx="266">
                  <c:v>-1000000</c:v>
                </c:pt>
                <c:pt idx="267">
                  <c:v>-1000000</c:v>
                </c:pt>
                <c:pt idx="268">
                  <c:v>-1000000</c:v>
                </c:pt>
                <c:pt idx="269">
                  <c:v>-1000000</c:v>
                </c:pt>
                <c:pt idx="270">
                  <c:v>-1000000</c:v>
                </c:pt>
                <c:pt idx="271">
                  <c:v>-1000000</c:v>
                </c:pt>
                <c:pt idx="272">
                  <c:v>-1000000</c:v>
                </c:pt>
                <c:pt idx="273">
                  <c:v>-1000000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1000000</c:v>
                </c:pt>
                <c:pt idx="281">
                  <c:v>1000000</c:v>
                </c:pt>
                <c:pt idx="282">
                  <c:v>1000000</c:v>
                </c:pt>
                <c:pt idx="283">
                  <c:v>1000000</c:v>
                </c:pt>
                <c:pt idx="284">
                  <c:v>1000000</c:v>
                </c:pt>
                <c:pt idx="285">
                  <c:v>1000000</c:v>
                </c:pt>
                <c:pt idx="286">
                  <c:v>1000000</c:v>
                </c:pt>
                <c:pt idx="287">
                  <c:v>1000000</c:v>
                </c:pt>
                <c:pt idx="288">
                  <c:v>1000000</c:v>
                </c:pt>
                <c:pt idx="289">
                  <c:v>1000000</c:v>
                </c:pt>
                <c:pt idx="290">
                  <c:v>1000000</c:v>
                </c:pt>
                <c:pt idx="291">
                  <c:v>1000000</c:v>
                </c:pt>
                <c:pt idx="292">
                  <c:v>1000000</c:v>
                </c:pt>
                <c:pt idx="293">
                  <c:v>1000000</c:v>
                </c:pt>
                <c:pt idx="294">
                  <c:v>1000000</c:v>
                </c:pt>
                <c:pt idx="295">
                  <c:v>1000000</c:v>
                </c:pt>
                <c:pt idx="296">
                  <c:v>1000000</c:v>
                </c:pt>
                <c:pt idx="297">
                  <c:v>1000000</c:v>
                </c:pt>
                <c:pt idx="298">
                  <c:v>1000000</c:v>
                </c:pt>
                <c:pt idx="299">
                  <c:v>1000000</c:v>
                </c:pt>
                <c:pt idx="300">
                  <c:v>1000000</c:v>
                </c:pt>
                <c:pt idx="301">
                  <c:v>1000000</c:v>
                </c:pt>
                <c:pt idx="302">
                  <c:v>1000000</c:v>
                </c:pt>
                <c:pt idx="303">
                  <c:v>1000000</c:v>
                </c:pt>
                <c:pt idx="304">
                  <c:v>1000000</c:v>
                </c:pt>
                <c:pt idx="305">
                  <c:v>1000000</c:v>
                </c:pt>
                <c:pt idx="306">
                  <c:v>1000000</c:v>
                </c:pt>
                <c:pt idx="307">
                  <c:v>1000000</c:v>
                </c:pt>
                <c:pt idx="308">
                  <c:v>1000000</c:v>
                </c:pt>
                <c:pt idx="309">
                  <c:v>1000000</c:v>
                </c:pt>
                <c:pt idx="310">
                  <c:v>1000000</c:v>
                </c:pt>
                <c:pt idx="311">
                  <c:v>1000000</c:v>
                </c:pt>
                <c:pt idx="312">
                  <c:v>1000000</c:v>
                </c:pt>
                <c:pt idx="313">
                  <c:v>1000000</c:v>
                </c:pt>
                <c:pt idx="314">
                  <c:v>1000000</c:v>
                </c:pt>
                <c:pt idx="315">
                  <c:v>1000000</c:v>
                </c:pt>
                <c:pt idx="316">
                  <c:v>1000000</c:v>
                </c:pt>
                <c:pt idx="317">
                  <c:v>1000000</c:v>
                </c:pt>
                <c:pt idx="318">
                  <c:v>1000000</c:v>
                </c:pt>
                <c:pt idx="319">
                  <c:v>1000000</c:v>
                </c:pt>
                <c:pt idx="320">
                  <c:v>1000000</c:v>
                </c:pt>
                <c:pt idx="321">
                  <c:v>1000000</c:v>
                </c:pt>
                <c:pt idx="322">
                  <c:v>1000000</c:v>
                </c:pt>
                <c:pt idx="323">
                  <c:v>1000000</c:v>
                </c:pt>
                <c:pt idx="324">
                  <c:v>1000000</c:v>
                </c:pt>
                <c:pt idx="325">
                  <c:v>1000000</c:v>
                </c:pt>
                <c:pt idx="326">
                  <c:v>1000000</c:v>
                </c:pt>
                <c:pt idx="327">
                  <c:v>1000000</c:v>
                </c:pt>
                <c:pt idx="328">
                  <c:v>1000000</c:v>
                </c:pt>
                <c:pt idx="329">
                  <c:v>1000000</c:v>
                </c:pt>
                <c:pt idx="330">
                  <c:v>1000000</c:v>
                </c:pt>
                <c:pt idx="331">
                  <c:v>1000000</c:v>
                </c:pt>
                <c:pt idx="332">
                  <c:v>1000000</c:v>
                </c:pt>
                <c:pt idx="333">
                  <c:v>1000000</c:v>
                </c:pt>
                <c:pt idx="334">
                  <c:v>1000000</c:v>
                </c:pt>
                <c:pt idx="335">
                  <c:v>1000000</c:v>
                </c:pt>
                <c:pt idx="336">
                  <c:v>1000000</c:v>
                </c:pt>
                <c:pt idx="337">
                  <c:v>1000000</c:v>
                </c:pt>
                <c:pt idx="338">
                  <c:v>1000000</c:v>
                </c:pt>
                <c:pt idx="339">
                  <c:v>1000000</c:v>
                </c:pt>
                <c:pt idx="340">
                  <c:v>1000000</c:v>
                </c:pt>
                <c:pt idx="341">
                  <c:v>1000000</c:v>
                </c:pt>
                <c:pt idx="342">
                  <c:v>1000000</c:v>
                </c:pt>
                <c:pt idx="343">
                  <c:v>1000000</c:v>
                </c:pt>
                <c:pt idx="344">
                  <c:v>1000000</c:v>
                </c:pt>
                <c:pt idx="345">
                  <c:v>1000000</c:v>
                </c:pt>
                <c:pt idx="346">
                  <c:v>1000000</c:v>
                </c:pt>
                <c:pt idx="347">
                  <c:v>1000000</c:v>
                </c:pt>
                <c:pt idx="348">
                  <c:v>1000000</c:v>
                </c:pt>
                <c:pt idx="349">
                  <c:v>1000000</c:v>
                </c:pt>
                <c:pt idx="350">
                  <c:v>1000000</c:v>
                </c:pt>
                <c:pt idx="351">
                  <c:v>1000000</c:v>
                </c:pt>
                <c:pt idx="352">
                  <c:v>1000000</c:v>
                </c:pt>
                <c:pt idx="353">
                  <c:v>1000000</c:v>
                </c:pt>
                <c:pt idx="354">
                  <c:v>1000000</c:v>
                </c:pt>
                <c:pt idx="355">
                  <c:v>1000000</c:v>
                </c:pt>
                <c:pt idx="356">
                  <c:v>1000000</c:v>
                </c:pt>
                <c:pt idx="357">
                  <c:v>1000000</c:v>
                </c:pt>
                <c:pt idx="358">
                  <c:v>1000000</c:v>
                </c:pt>
                <c:pt idx="359">
                  <c:v>1000000</c:v>
                </c:pt>
                <c:pt idx="360">
                  <c:v>1000000</c:v>
                </c:pt>
                <c:pt idx="361">
                  <c:v>1000000</c:v>
                </c:pt>
                <c:pt idx="362">
                  <c:v>1000000</c:v>
                </c:pt>
                <c:pt idx="363">
                  <c:v>1000000</c:v>
                </c:pt>
                <c:pt idx="364">
                  <c:v>1000000</c:v>
                </c:pt>
                <c:pt idx="365">
                  <c:v>1000000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'weekly graphs'!$O$5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circle"/>
            <c:size val="5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'weekly graphs'!$L$6:$L$371</c:f>
              <c:numCache>
                <c:formatCode>mmm</c:formatCode>
                <c:ptCount val="366"/>
                <c:pt idx="0">
                  <c:v>25-déc.</c:v>
                </c:pt>
                <c:pt idx="1">
                  <c:v>01-janv.</c:v>
                </c:pt>
                <c:pt idx="2">
                  <c:v>01-janv.</c:v>
                </c:pt>
                <c:pt idx="3">
                  <c:v>01-janv.</c:v>
                </c:pt>
                <c:pt idx="4">
                  <c:v>01-janv.</c:v>
                </c:pt>
                <c:pt idx="5">
                  <c:v>01-janv.</c:v>
                </c:pt>
                <c:pt idx="6">
                  <c:v>01-janv.</c:v>
                </c:pt>
                <c:pt idx="7">
                  <c:v>01-janv.</c:v>
                </c:pt>
                <c:pt idx="8">
                  <c:v>08-janv.</c:v>
                </c:pt>
                <c:pt idx="9">
                  <c:v>08-janv.</c:v>
                </c:pt>
                <c:pt idx="10">
                  <c:v>08-janv.</c:v>
                </c:pt>
                <c:pt idx="11">
                  <c:v>08-janv.</c:v>
                </c:pt>
                <c:pt idx="12">
                  <c:v>08-janv.</c:v>
                </c:pt>
                <c:pt idx="13">
                  <c:v>08-janv.</c:v>
                </c:pt>
                <c:pt idx="14">
                  <c:v>08-janv.</c:v>
                </c:pt>
                <c:pt idx="15">
                  <c:v>15-janv.</c:v>
                </c:pt>
                <c:pt idx="16">
                  <c:v>15-janv.</c:v>
                </c:pt>
                <c:pt idx="17">
                  <c:v>15-janv.</c:v>
                </c:pt>
                <c:pt idx="18">
                  <c:v>15-janv.</c:v>
                </c:pt>
                <c:pt idx="19">
                  <c:v>15-janv.</c:v>
                </c:pt>
                <c:pt idx="20">
                  <c:v>15-janv.</c:v>
                </c:pt>
                <c:pt idx="21">
                  <c:v>15-janv.</c:v>
                </c:pt>
                <c:pt idx="22">
                  <c:v>22-janv.</c:v>
                </c:pt>
                <c:pt idx="23">
                  <c:v>22-janv.</c:v>
                </c:pt>
                <c:pt idx="24">
                  <c:v>22-janv.</c:v>
                </c:pt>
                <c:pt idx="25">
                  <c:v>22-janv.</c:v>
                </c:pt>
                <c:pt idx="26">
                  <c:v>22-janv.</c:v>
                </c:pt>
                <c:pt idx="27">
                  <c:v>22-janv.</c:v>
                </c:pt>
                <c:pt idx="28">
                  <c:v>22-janv.</c:v>
                </c:pt>
                <c:pt idx="29">
                  <c:v>29-janv.</c:v>
                </c:pt>
                <c:pt idx="30">
                  <c:v>29-janv.</c:v>
                </c:pt>
                <c:pt idx="31">
                  <c:v>29-janv.</c:v>
                </c:pt>
                <c:pt idx="32">
                  <c:v>29-janv.</c:v>
                </c:pt>
                <c:pt idx="33">
                  <c:v>29-janv.</c:v>
                </c:pt>
                <c:pt idx="34">
                  <c:v>29-janv.</c:v>
                </c:pt>
                <c:pt idx="35">
                  <c:v>29-janv.</c:v>
                </c:pt>
                <c:pt idx="36">
                  <c:v>05-févr.</c:v>
                </c:pt>
                <c:pt idx="37">
                  <c:v>05-févr.</c:v>
                </c:pt>
                <c:pt idx="38">
                  <c:v>05-févr.</c:v>
                </c:pt>
                <c:pt idx="39">
                  <c:v>05-févr.</c:v>
                </c:pt>
                <c:pt idx="40">
                  <c:v>05-févr.</c:v>
                </c:pt>
                <c:pt idx="41">
                  <c:v>05-févr.</c:v>
                </c:pt>
                <c:pt idx="42">
                  <c:v>05-févr.</c:v>
                </c:pt>
                <c:pt idx="43">
                  <c:v>12-févr.</c:v>
                </c:pt>
                <c:pt idx="44">
                  <c:v>12-févr.</c:v>
                </c:pt>
                <c:pt idx="45">
                  <c:v>12-févr.</c:v>
                </c:pt>
                <c:pt idx="46">
                  <c:v>12-févr.</c:v>
                </c:pt>
                <c:pt idx="47">
                  <c:v>12-févr.</c:v>
                </c:pt>
                <c:pt idx="48">
                  <c:v>12-févr.</c:v>
                </c:pt>
                <c:pt idx="49">
                  <c:v>12-févr.</c:v>
                </c:pt>
                <c:pt idx="50">
                  <c:v>19-févr.</c:v>
                </c:pt>
                <c:pt idx="51">
                  <c:v>19-févr.</c:v>
                </c:pt>
                <c:pt idx="52">
                  <c:v>19-févr.</c:v>
                </c:pt>
                <c:pt idx="53">
                  <c:v>19-févr.</c:v>
                </c:pt>
                <c:pt idx="54">
                  <c:v>19-févr.</c:v>
                </c:pt>
                <c:pt idx="55">
                  <c:v>19-févr.</c:v>
                </c:pt>
                <c:pt idx="56">
                  <c:v>19-févr.</c:v>
                </c:pt>
                <c:pt idx="57">
                  <c:v>26-févr.</c:v>
                </c:pt>
                <c:pt idx="58">
                  <c:v>26-févr.</c:v>
                </c:pt>
                <c:pt idx="59">
                  <c:v>26-févr.</c:v>
                </c:pt>
                <c:pt idx="60">
                  <c:v>26-févr.</c:v>
                </c:pt>
                <c:pt idx="61">
                  <c:v>26-févr.</c:v>
                </c:pt>
                <c:pt idx="62">
                  <c:v>26-févr.</c:v>
                </c:pt>
                <c:pt idx="63">
                  <c:v>26-févr.</c:v>
                </c:pt>
                <c:pt idx="64">
                  <c:v>04-mars</c:v>
                </c:pt>
                <c:pt idx="65">
                  <c:v>04-mars</c:v>
                </c:pt>
                <c:pt idx="66">
                  <c:v>04-mars</c:v>
                </c:pt>
                <c:pt idx="67">
                  <c:v>04-mars</c:v>
                </c:pt>
                <c:pt idx="68">
                  <c:v>04-mars</c:v>
                </c:pt>
                <c:pt idx="69">
                  <c:v>04-mars</c:v>
                </c:pt>
                <c:pt idx="70">
                  <c:v>04-mars</c:v>
                </c:pt>
                <c:pt idx="71">
                  <c:v>11-mars</c:v>
                </c:pt>
                <c:pt idx="72">
                  <c:v>11-mars</c:v>
                </c:pt>
                <c:pt idx="73">
                  <c:v>11-mars</c:v>
                </c:pt>
                <c:pt idx="74">
                  <c:v>11-mars</c:v>
                </c:pt>
                <c:pt idx="75">
                  <c:v>11-mars</c:v>
                </c:pt>
                <c:pt idx="76">
                  <c:v>11-mars</c:v>
                </c:pt>
                <c:pt idx="77">
                  <c:v>11-mars</c:v>
                </c:pt>
                <c:pt idx="78">
                  <c:v>18-mars</c:v>
                </c:pt>
                <c:pt idx="79">
                  <c:v>18-mars</c:v>
                </c:pt>
                <c:pt idx="80">
                  <c:v>18-mars</c:v>
                </c:pt>
                <c:pt idx="81">
                  <c:v>18-mars</c:v>
                </c:pt>
                <c:pt idx="82">
                  <c:v>18-mars</c:v>
                </c:pt>
                <c:pt idx="83">
                  <c:v>18-mars</c:v>
                </c:pt>
                <c:pt idx="84">
                  <c:v>18-mars</c:v>
                </c:pt>
                <c:pt idx="85">
                  <c:v>25-mars</c:v>
                </c:pt>
                <c:pt idx="86">
                  <c:v>25-mars</c:v>
                </c:pt>
                <c:pt idx="87">
                  <c:v>25-mars</c:v>
                </c:pt>
                <c:pt idx="88">
                  <c:v>25-mars</c:v>
                </c:pt>
                <c:pt idx="89">
                  <c:v>25-mars</c:v>
                </c:pt>
                <c:pt idx="90">
                  <c:v>25-mars</c:v>
                </c:pt>
                <c:pt idx="91">
                  <c:v>25-mars</c:v>
                </c:pt>
                <c:pt idx="92">
                  <c:v>01-avr.</c:v>
                </c:pt>
                <c:pt idx="93">
                  <c:v>01-avr.</c:v>
                </c:pt>
                <c:pt idx="94">
                  <c:v>01-avr.</c:v>
                </c:pt>
                <c:pt idx="95">
                  <c:v>01-avr.</c:v>
                </c:pt>
                <c:pt idx="96">
                  <c:v>01-avr.</c:v>
                </c:pt>
                <c:pt idx="97">
                  <c:v>01-avr.</c:v>
                </c:pt>
                <c:pt idx="98">
                  <c:v>01-avr.</c:v>
                </c:pt>
                <c:pt idx="99">
                  <c:v>08-avr.</c:v>
                </c:pt>
                <c:pt idx="100">
                  <c:v>08-avr.</c:v>
                </c:pt>
                <c:pt idx="101">
                  <c:v>08-avr.</c:v>
                </c:pt>
                <c:pt idx="102">
                  <c:v>08-avr.</c:v>
                </c:pt>
                <c:pt idx="103">
                  <c:v>08-avr.</c:v>
                </c:pt>
                <c:pt idx="104">
                  <c:v>08-avr.</c:v>
                </c:pt>
                <c:pt idx="105">
                  <c:v>08-avr.</c:v>
                </c:pt>
                <c:pt idx="106">
                  <c:v>15-avr.</c:v>
                </c:pt>
                <c:pt idx="107">
                  <c:v>15-avr.</c:v>
                </c:pt>
                <c:pt idx="108">
                  <c:v>15-avr.</c:v>
                </c:pt>
                <c:pt idx="109">
                  <c:v>15-avr.</c:v>
                </c:pt>
                <c:pt idx="110">
                  <c:v>15-avr.</c:v>
                </c:pt>
                <c:pt idx="111">
                  <c:v>15-avr.</c:v>
                </c:pt>
                <c:pt idx="112">
                  <c:v>15-avr.</c:v>
                </c:pt>
                <c:pt idx="113">
                  <c:v>22-avr.</c:v>
                </c:pt>
                <c:pt idx="114">
                  <c:v>22-avr.</c:v>
                </c:pt>
                <c:pt idx="115">
                  <c:v>22-avr.</c:v>
                </c:pt>
                <c:pt idx="116">
                  <c:v>22-avr.</c:v>
                </c:pt>
                <c:pt idx="117">
                  <c:v>22-avr.</c:v>
                </c:pt>
                <c:pt idx="118">
                  <c:v>22-avr.</c:v>
                </c:pt>
                <c:pt idx="119">
                  <c:v>22-avr.</c:v>
                </c:pt>
                <c:pt idx="120">
                  <c:v>29-avr.</c:v>
                </c:pt>
                <c:pt idx="121">
                  <c:v>29-avr.</c:v>
                </c:pt>
                <c:pt idx="122">
                  <c:v>29-avr.</c:v>
                </c:pt>
                <c:pt idx="123">
                  <c:v>29-avr.</c:v>
                </c:pt>
                <c:pt idx="124">
                  <c:v>29-avr.</c:v>
                </c:pt>
                <c:pt idx="125">
                  <c:v>29-avr.</c:v>
                </c:pt>
                <c:pt idx="126">
                  <c:v>29-avr.</c:v>
                </c:pt>
                <c:pt idx="127">
                  <c:v>06-mai</c:v>
                </c:pt>
                <c:pt idx="128">
                  <c:v>06-mai</c:v>
                </c:pt>
                <c:pt idx="129">
                  <c:v>06-mai</c:v>
                </c:pt>
                <c:pt idx="130">
                  <c:v>06-mai</c:v>
                </c:pt>
                <c:pt idx="131">
                  <c:v>06-mai</c:v>
                </c:pt>
                <c:pt idx="132">
                  <c:v>06-mai</c:v>
                </c:pt>
                <c:pt idx="133">
                  <c:v>06-mai</c:v>
                </c:pt>
                <c:pt idx="134">
                  <c:v>13-mai</c:v>
                </c:pt>
                <c:pt idx="135">
                  <c:v>13-mai</c:v>
                </c:pt>
                <c:pt idx="136">
                  <c:v>13-mai</c:v>
                </c:pt>
                <c:pt idx="137">
                  <c:v>13-mai</c:v>
                </c:pt>
                <c:pt idx="138">
                  <c:v>13-mai</c:v>
                </c:pt>
                <c:pt idx="139">
                  <c:v>13-mai</c:v>
                </c:pt>
                <c:pt idx="140">
                  <c:v>13-mai</c:v>
                </c:pt>
                <c:pt idx="141">
                  <c:v>20-mai</c:v>
                </c:pt>
                <c:pt idx="142">
                  <c:v>20-mai</c:v>
                </c:pt>
                <c:pt idx="143">
                  <c:v>20-mai</c:v>
                </c:pt>
                <c:pt idx="144">
                  <c:v>20-mai</c:v>
                </c:pt>
                <c:pt idx="145">
                  <c:v>20-mai</c:v>
                </c:pt>
                <c:pt idx="146">
                  <c:v>20-mai</c:v>
                </c:pt>
                <c:pt idx="147">
                  <c:v>20-mai</c:v>
                </c:pt>
                <c:pt idx="148">
                  <c:v>27-mai</c:v>
                </c:pt>
                <c:pt idx="149">
                  <c:v>27-mai</c:v>
                </c:pt>
                <c:pt idx="150">
                  <c:v>27-mai</c:v>
                </c:pt>
                <c:pt idx="151">
                  <c:v>27-mai</c:v>
                </c:pt>
                <c:pt idx="152">
                  <c:v>27-mai</c:v>
                </c:pt>
                <c:pt idx="153">
                  <c:v>27-mai</c:v>
                </c:pt>
                <c:pt idx="154">
                  <c:v>27-mai</c:v>
                </c:pt>
                <c:pt idx="155">
                  <c:v>03-juin</c:v>
                </c:pt>
                <c:pt idx="156">
                  <c:v>03-juin</c:v>
                </c:pt>
                <c:pt idx="157">
                  <c:v>03-juin</c:v>
                </c:pt>
                <c:pt idx="158">
                  <c:v>03-juin</c:v>
                </c:pt>
                <c:pt idx="159">
                  <c:v>03-juin</c:v>
                </c:pt>
                <c:pt idx="160">
                  <c:v>03-juin</c:v>
                </c:pt>
                <c:pt idx="161">
                  <c:v>03-juin</c:v>
                </c:pt>
                <c:pt idx="162">
                  <c:v>10-juin</c:v>
                </c:pt>
                <c:pt idx="163">
                  <c:v>10-juin</c:v>
                </c:pt>
                <c:pt idx="164">
                  <c:v>10-juin</c:v>
                </c:pt>
                <c:pt idx="165">
                  <c:v>10-juin</c:v>
                </c:pt>
                <c:pt idx="166">
                  <c:v>10-juin</c:v>
                </c:pt>
                <c:pt idx="167">
                  <c:v>10-juin</c:v>
                </c:pt>
                <c:pt idx="168">
                  <c:v>10-juin</c:v>
                </c:pt>
                <c:pt idx="169">
                  <c:v>17-juin</c:v>
                </c:pt>
                <c:pt idx="170">
                  <c:v>17-juin</c:v>
                </c:pt>
                <c:pt idx="171">
                  <c:v>17-juin</c:v>
                </c:pt>
                <c:pt idx="172">
                  <c:v>17-juin</c:v>
                </c:pt>
                <c:pt idx="173">
                  <c:v>17-juin</c:v>
                </c:pt>
                <c:pt idx="174">
                  <c:v>17-juin</c:v>
                </c:pt>
                <c:pt idx="175">
                  <c:v>17-juin</c:v>
                </c:pt>
                <c:pt idx="176">
                  <c:v>24-juin</c:v>
                </c:pt>
                <c:pt idx="177">
                  <c:v>24-juin</c:v>
                </c:pt>
                <c:pt idx="178">
                  <c:v>24-juin</c:v>
                </c:pt>
                <c:pt idx="179">
                  <c:v>24-juin</c:v>
                </c:pt>
                <c:pt idx="180">
                  <c:v>24-juin</c:v>
                </c:pt>
                <c:pt idx="181">
                  <c:v>24-juin</c:v>
                </c:pt>
                <c:pt idx="182">
                  <c:v>24-juin</c:v>
                </c:pt>
                <c:pt idx="183">
                  <c:v>01-juil.</c:v>
                </c:pt>
                <c:pt idx="184">
                  <c:v>01-juil.</c:v>
                </c:pt>
                <c:pt idx="185">
                  <c:v>01-juil.</c:v>
                </c:pt>
                <c:pt idx="186">
                  <c:v>01-juil.</c:v>
                </c:pt>
                <c:pt idx="187">
                  <c:v>01-juil.</c:v>
                </c:pt>
                <c:pt idx="188">
                  <c:v>01-juil.</c:v>
                </c:pt>
                <c:pt idx="189">
                  <c:v>01-juil.</c:v>
                </c:pt>
                <c:pt idx="190">
                  <c:v>08-juil.</c:v>
                </c:pt>
                <c:pt idx="191">
                  <c:v>08-juil.</c:v>
                </c:pt>
                <c:pt idx="192">
                  <c:v>08-juil.</c:v>
                </c:pt>
                <c:pt idx="193">
                  <c:v>08-juil.</c:v>
                </c:pt>
                <c:pt idx="194">
                  <c:v>08-juil.</c:v>
                </c:pt>
                <c:pt idx="195">
                  <c:v>08-juil.</c:v>
                </c:pt>
                <c:pt idx="196">
                  <c:v>08-juil.</c:v>
                </c:pt>
                <c:pt idx="197">
                  <c:v>15-juil.</c:v>
                </c:pt>
                <c:pt idx="198">
                  <c:v>15-juil.</c:v>
                </c:pt>
                <c:pt idx="199">
                  <c:v>15-juil.</c:v>
                </c:pt>
                <c:pt idx="200">
                  <c:v>15-juil.</c:v>
                </c:pt>
                <c:pt idx="201">
                  <c:v>15-juil.</c:v>
                </c:pt>
                <c:pt idx="202">
                  <c:v>15-juil.</c:v>
                </c:pt>
                <c:pt idx="203">
                  <c:v>15-juil.</c:v>
                </c:pt>
                <c:pt idx="204">
                  <c:v>22-juil.</c:v>
                </c:pt>
                <c:pt idx="205">
                  <c:v>22-juil.</c:v>
                </c:pt>
                <c:pt idx="206">
                  <c:v>22-juil.</c:v>
                </c:pt>
                <c:pt idx="207">
                  <c:v>22-juil.</c:v>
                </c:pt>
                <c:pt idx="208">
                  <c:v>22-juil.</c:v>
                </c:pt>
                <c:pt idx="209">
                  <c:v>22-juil.</c:v>
                </c:pt>
                <c:pt idx="210">
                  <c:v>22-juil.</c:v>
                </c:pt>
                <c:pt idx="211">
                  <c:v>29-juil.</c:v>
                </c:pt>
                <c:pt idx="212">
                  <c:v>29-juil.</c:v>
                </c:pt>
                <c:pt idx="213">
                  <c:v>29-juil.</c:v>
                </c:pt>
                <c:pt idx="214">
                  <c:v>29-juil.</c:v>
                </c:pt>
                <c:pt idx="215">
                  <c:v>29-juil.</c:v>
                </c:pt>
                <c:pt idx="216">
                  <c:v>29-juil.</c:v>
                </c:pt>
                <c:pt idx="217">
                  <c:v>29-juil.</c:v>
                </c:pt>
                <c:pt idx="218">
                  <c:v>05-août</c:v>
                </c:pt>
                <c:pt idx="219">
                  <c:v>05-août</c:v>
                </c:pt>
                <c:pt idx="220">
                  <c:v>05-août</c:v>
                </c:pt>
                <c:pt idx="221">
                  <c:v>05-août</c:v>
                </c:pt>
                <c:pt idx="222">
                  <c:v>05-août</c:v>
                </c:pt>
                <c:pt idx="223">
                  <c:v>05-août</c:v>
                </c:pt>
                <c:pt idx="224">
                  <c:v>05-août</c:v>
                </c:pt>
                <c:pt idx="225">
                  <c:v>12-août</c:v>
                </c:pt>
                <c:pt idx="226">
                  <c:v>12-août</c:v>
                </c:pt>
                <c:pt idx="227">
                  <c:v>12-août</c:v>
                </c:pt>
                <c:pt idx="228">
                  <c:v>12-août</c:v>
                </c:pt>
                <c:pt idx="229">
                  <c:v>12-août</c:v>
                </c:pt>
                <c:pt idx="230">
                  <c:v>12-août</c:v>
                </c:pt>
                <c:pt idx="231">
                  <c:v>12-août</c:v>
                </c:pt>
                <c:pt idx="232">
                  <c:v>19-août</c:v>
                </c:pt>
                <c:pt idx="233">
                  <c:v>19-août</c:v>
                </c:pt>
                <c:pt idx="234">
                  <c:v>19-août</c:v>
                </c:pt>
                <c:pt idx="235">
                  <c:v>19-août</c:v>
                </c:pt>
                <c:pt idx="236">
                  <c:v>19-août</c:v>
                </c:pt>
                <c:pt idx="237">
                  <c:v>19-août</c:v>
                </c:pt>
                <c:pt idx="238">
                  <c:v>19-août</c:v>
                </c:pt>
                <c:pt idx="239">
                  <c:v>26-août</c:v>
                </c:pt>
                <c:pt idx="240">
                  <c:v>26-août</c:v>
                </c:pt>
                <c:pt idx="241">
                  <c:v>26-août</c:v>
                </c:pt>
                <c:pt idx="242">
                  <c:v>26-août</c:v>
                </c:pt>
                <c:pt idx="243">
                  <c:v>26-août</c:v>
                </c:pt>
                <c:pt idx="244">
                  <c:v>26-août</c:v>
                </c:pt>
                <c:pt idx="245">
                  <c:v>26-août</c:v>
                </c:pt>
                <c:pt idx="246">
                  <c:v>02-sept.</c:v>
                </c:pt>
                <c:pt idx="247">
                  <c:v>02-sept.</c:v>
                </c:pt>
                <c:pt idx="248">
                  <c:v>02-sept.</c:v>
                </c:pt>
                <c:pt idx="249">
                  <c:v>02-sept.</c:v>
                </c:pt>
                <c:pt idx="250">
                  <c:v>02-sept.</c:v>
                </c:pt>
                <c:pt idx="251">
                  <c:v>02-sept.</c:v>
                </c:pt>
                <c:pt idx="252">
                  <c:v>02-sept.</c:v>
                </c:pt>
                <c:pt idx="253">
                  <c:v>09-sept.</c:v>
                </c:pt>
                <c:pt idx="254">
                  <c:v>09-sept.</c:v>
                </c:pt>
                <c:pt idx="255">
                  <c:v>09-sept.</c:v>
                </c:pt>
                <c:pt idx="256">
                  <c:v>09-sept.</c:v>
                </c:pt>
                <c:pt idx="257">
                  <c:v>09-sept.</c:v>
                </c:pt>
                <c:pt idx="258">
                  <c:v>09-sept.</c:v>
                </c:pt>
                <c:pt idx="259">
                  <c:v>09-sept.</c:v>
                </c:pt>
                <c:pt idx="260">
                  <c:v>16-sept.</c:v>
                </c:pt>
                <c:pt idx="261">
                  <c:v>16-sept.</c:v>
                </c:pt>
                <c:pt idx="262">
                  <c:v>16-sept.</c:v>
                </c:pt>
                <c:pt idx="263">
                  <c:v>16-sept.</c:v>
                </c:pt>
                <c:pt idx="264">
                  <c:v>16-sept.</c:v>
                </c:pt>
                <c:pt idx="265">
                  <c:v>16-sept.</c:v>
                </c:pt>
                <c:pt idx="266">
                  <c:v>16-sept.</c:v>
                </c:pt>
                <c:pt idx="267">
                  <c:v>23-sept.</c:v>
                </c:pt>
                <c:pt idx="268">
                  <c:v>23-sept.</c:v>
                </c:pt>
                <c:pt idx="269">
                  <c:v>23-sept.</c:v>
                </c:pt>
                <c:pt idx="270">
                  <c:v>23-sept.</c:v>
                </c:pt>
                <c:pt idx="271">
                  <c:v>23-sept.</c:v>
                </c:pt>
                <c:pt idx="272">
                  <c:v>23-sept.</c:v>
                </c:pt>
                <c:pt idx="273">
                  <c:v>23-sept.</c:v>
                </c:pt>
                <c:pt idx="274">
                  <c:v>30-sept.</c:v>
                </c:pt>
                <c:pt idx="275">
                  <c:v>30-sept.</c:v>
                </c:pt>
                <c:pt idx="276">
                  <c:v>30-sept.</c:v>
                </c:pt>
                <c:pt idx="277">
                  <c:v>30-sept.</c:v>
                </c:pt>
                <c:pt idx="278">
                  <c:v>30-sept.</c:v>
                </c:pt>
                <c:pt idx="279">
                  <c:v>30-sept.</c:v>
                </c:pt>
                <c:pt idx="280">
                  <c:v>30-sept.</c:v>
                </c:pt>
                <c:pt idx="281">
                  <c:v>07-oct.</c:v>
                </c:pt>
                <c:pt idx="282">
                  <c:v>07-oct.</c:v>
                </c:pt>
                <c:pt idx="283">
                  <c:v>07-oct.</c:v>
                </c:pt>
                <c:pt idx="284">
                  <c:v>07-oct.</c:v>
                </c:pt>
                <c:pt idx="285">
                  <c:v>07-oct.</c:v>
                </c:pt>
                <c:pt idx="286">
                  <c:v>07-oct.</c:v>
                </c:pt>
                <c:pt idx="287">
                  <c:v>07-oct.</c:v>
                </c:pt>
                <c:pt idx="288">
                  <c:v>14-oct.</c:v>
                </c:pt>
                <c:pt idx="289">
                  <c:v>14-oct.</c:v>
                </c:pt>
                <c:pt idx="290">
                  <c:v>14-oct.</c:v>
                </c:pt>
                <c:pt idx="291">
                  <c:v>14-oct.</c:v>
                </c:pt>
                <c:pt idx="292">
                  <c:v>14-oct.</c:v>
                </c:pt>
                <c:pt idx="293">
                  <c:v>14-oct.</c:v>
                </c:pt>
                <c:pt idx="294">
                  <c:v>14-oct.</c:v>
                </c:pt>
                <c:pt idx="295">
                  <c:v>21-oct.</c:v>
                </c:pt>
                <c:pt idx="296">
                  <c:v>21-oct.</c:v>
                </c:pt>
                <c:pt idx="297">
                  <c:v>21-oct.</c:v>
                </c:pt>
                <c:pt idx="298">
                  <c:v>21-oct.</c:v>
                </c:pt>
                <c:pt idx="299">
                  <c:v>21-oct.</c:v>
                </c:pt>
                <c:pt idx="300">
                  <c:v>21-oct.</c:v>
                </c:pt>
                <c:pt idx="301">
                  <c:v>21-oct.</c:v>
                </c:pt>
                <c:pt idx="302">
                  <c:v>28-oct.</c:v>
                </c:pt>
                <c:pt idx="303">
                  <c:v>28-oct.</c:v>
                </c:pt>
                <c:pt idx="304">
                  <c:v>28-oct.</c:v>
                </c:pt>
                <c:pt idx="305">
                  <c:v>28-oct.</c:v>
                </c:pt>
                <c:pt idx="306">
                  <c:v>28-oct.</c:v>
                </c:pt>
                <c:pt idx="307">
                  <c:v>28-oct.</c:v>
                </c:pt>
                <c:pt idx="308">
                  <c:v>28-oct.</c:v>
                </c:pt>
                <c:pt idx="309">
                  <c:v>04-nov.</c:v>
                </c:pt>
                <c:pt idx="310">
                  <c:v>04-nov.</c:v>
                </c:pt>
                <c:pt idx="311">
                  <c:v>04-nov.</c:v>
                </c:pt>
                <c:pt idx="312">
                  <c:v>04-nov.</c:v>
                </c:pt>
                <c:pt idx="313">
                  <c:v>04-nov.</c:v>
                </c:pt>
                <c:pt idx="314">
                  <c:v>04-nov.</c:v>
                </c:pt>
                <c:pt idx="315">
                  <c:v>04-nov.</c:v>
                </c:pt>
                <c:pt idx="316">
                  <c:v>11-nov.</c:v>
                </c:pt>
                <c:pt idx="317">
                  <c:v>11-nov.</c:v>
                </c:pt>
                <c:pt idx="318">
                  <c:v>11-nov.</c:v>
                </c:pt>
                <c:pt idx="319">
                  <c:v>11-nov.</c:v>
                </c:pt>
                <c:pt idx="320">
                  <c:v>11-nov.</c:v>
                </c:pt>
                <c:pt idx="321">
                  <c:v>11-nov.</c:v>
                </c:pt>
                <c:pt idx="322">
                  <c:v>11-nov.</c:v>
                </c:pt>
                <c:pt idx="323">
                  <c:v>18-nov.</c:v>
                </c:pt>
                <c:pt idx="324">
                  <c:v>18-nov.</c:v>
                </c:pt>
                <c:pt idx="325">
                  <c:v>18-nov.</c:v>
                </c:pt>
                <c:pt idx="326">
                  <c:v>18-nov.</c:v>
                </c:pt>
                <c:pt idx="327">
                  <c:v>18-nov.</c:v>
                </c:pt>
                <c:pt idx="328">
                  <c:v>18-nov.</c:v>
                </c:pt>
                <c:pt idx="329">
                  <c:v>18-nov.</c:v>
                </c:pt>
                <c:pt idx="330">
                  <c:v>25-nov.</c:v>
                </c:pt>
                <c:pt idx="331">
                  <c:v>25-nov.</c:v>
                </c:pt>
                <c:pt idx="332">
                  <c:v>25-nov.</c:v>
                </c:pt>
                <c:pt idx="333">
                  <c:v>25-nov.</c:v>
                </c:pt>
                <c:pt idx="334">
                  <c:v>25-nov.</c:v>
                </c:pt>
                <c:pt idx="335">
                  <c:v>25-nov.</c:v>
                </c:pt>
                <c:pt idx="336">
                  <c:v>25-nov.</c:v>
                </c:pt>
                <c:pt idx="337">
                  <c:v>02-déc.</c:v>
                </c:pt>
                <c:pt idx="338">
                  <c:v>02-déc.</c:v>
                </c:pt>
                <c:pt idx="339">
                  <c:v>02-déc.</c:v>
                </c:pt>
                <c:pt idx="340">
                  <c:v>02-déc.</c:v>
                </c:pt>
                <c:pt idx="341">
                  <c:v>02-déc.</c:v>
                </c:pt>
                <c:pt idx="342">
                  <c:v>02-déc.</c:v>
                </c:pt>
                <c:pt idx="343">
                  <c:v>02-déc.</c:v>
                </c:pt>
                <c:pt idx="344">
                  <c:v>09-déc.</c:v>
                </c:pt>
                <c:pt idx="345">
                  <c:v>09-déc.</c:v>
                </c:pt>
                <c:pt idx="346">
                  <c:v>09-déc.</c:v>
                </c:pt>
                <c:pt idx="347">
                  <c:v>09-déc.</c:v>
                </c:pt>
                <c:pt idx="348">
                  <c:v>09-déc.</c:v>
                </c:pt>
                <c:pt idx="349">
                  <c:v>09-déc.</c:v>
                </c:pt>
                <c:pt idx="350">
                  <c:v>09-déc.</c:v>
                </c:pt>
                <c:pt idx="351">
                  <c:v>16-déc.</c:v>
                </c:pt>
                <c:pt idx="352">
                  <c:v>16-déc.</c:v>
                </c:pt>
                <c:pt idx="353">
                  <c:v>16-déc.</c:v>
                </c:pt>
                <c:pt idx="354">
                  <c:v>16-déc.</c:v>
                </c:pt>
                <c:pt idx="355">
                  <c:v>16-déc.</c:v>
                </c:pt>
                <c:pt idx="356">
                  <c:v>16-déc.</c:v>
                </c:pt>
                <c:pt idx="357">
                  <c:v>16-déc.</c:v>
                </c:pt>
                <c:pt idx="358">
                  <c:v>23-déc.</c:v>
                </c:pt>
                <c:pt idx="359">
                  <c:v>23-déc.</c:v>
                </c:pt>
                <c:pt idx="360">
                  <c:v>23-déc.</c:v>
                </c:pt>
                <c:pt idx="361">
                  <c:v>23-déc.</c:v>
                </c:pt>
                <c:pt idx="362">
                  <c:v>23-déc.</c:v>
                </c:pt>
                <c:pt idx="363">
                  <c:v>23-déc.</c:v>
                </c:pt>
                <c:pt idx="364">
                  <c:v>23-déc.</c:v>
                </c:pt>
                <c:pt idx="365">
                  <c:v>30-déc.</c:v>
                </c:pt>
              </c:numCache>
            </c:numRef>
          </c:cat>
          <c:val>
            <c:numRef>
              <c:f>'weekly graphs'!$O$6:$O$371</c:f>
              <c:numCache>
                <c:formatCode>General</c:formatCode>
                <c:ptCount val="366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4921131"/>
        <c:axId val="49261054"/>
      </c:lineChart>
      <c:dateAx>
        <c:axId val="4921131"/>
        <c:scaling>
          <c:orientation val="minMax"/>
          <c:max val="36891"/>
          <c:min val="36526"/>
        </c:scaling>
        <c:delete val="0"/>
        <c:axPos val="b"/>
        <c:numFmt formatCode="mmm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9261054"/>
        <c:crosses val="autoZero"/>
        <c:auto val="1"/>
        <c:lblOffset val="100"/>
        <c:baseTimeUnit val="days"/>
        <c:majorUnit val="1"/>
        <c:majorTimeUnit val="months"/>
        <c:noMultiLvlLbl val="0"/>
      </c:dateAx>
      <c:valAx>
        <c:axId val="49261054"/>
        <c:scaling>
          <c:orientation val="minMax"/>
          <c:max val="25"/>
          <c:min val="-55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#,##0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921131"/>
        <c:crosses val="autoZero"/>
        <c:crossBetween val="between"/>
      </c:valAx>
      <c:spPr>
        <a:noFill/>
        <a:ln w="0">
          <a:solidFill>
            <a:srgbClr val="000000"/>
          </a:solidFill>
        </a:ln>
      </c:spPr>
    </c:plotArea>
    <c:legend>
      <c:legendPos val="b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00205820118374939"/>
          <c:y val="0.897610441636762"/>
          <c:w val="0.899999860284545"/>
          <c:h val="0.0661209295322813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948582203205454"/>
          <c:y val="0.043162943034273"/>
          <c:w val="0.677351512074842"/>
          <c:h val="0.865715288337817"/>
        </c:manualLayout>
      </c:layout>
      <c:areaChart>
        <c:grouping val="stacked"/>
        <c:ser>
          <c:idx val="0"/>
          <c:order val="0"/>
          <c:tx>
            <c:strRef>
              <c:f>'monthly graphs'!$AE$5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graphs'!$AE$6:$AE$17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'monthly graphs'!$AG$5</c:f>
              <c:strCache>
                <c:ptCount val="1"/>
                <c:pt idx="0">
                  <c:v>min-max (2019 -2013)</c:v>
                </c:pt>
              </c:strCache>
            </c:strRef>
          </c:tx>
          <c:spPr>
            <a:solidFill>
              <a:srgbClr val="bfbfbf">
                <a:alpha val="62000"/>
              </a:srgbClr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graphs'!$AG$6:$AG$17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32862811"/>
        <c:axId val="40178227"/>
      </c:areaChart>
      <c:lineChart>
        <c:grouping val="stacked"/>
        <c:varyColors val="0"/>
        <c:ser>
          <c:idx val="2"/>
          <c:order val="2"/>
          <c:tx>
            <c:strRef>
              <c:f>'monthly graphs'!$AH$5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000000"/>
            </a:solidFill>
            <a:ln cap="rnd" w="9360">
              <a:solidFill>
                <a:srgbClr val="0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graphs'!$AH$6:$AH$17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3"/>
          <c:order val="3"/>
          <c:tx>
            <c:strRef>
              <c:f>'monthly graphs'!$U$5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7030a0"/>
            </a:solidFill>
            <a:ln cap="rnd" w="15840">
              <a:solidFill>
                <a:srgbClr val="7030a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graphs'!$U$6:$U$17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4"/>
          <c:order val="4"/>
          <c:tx>
            <c:strRef>
              <c:f>'monthly graphs'!$T$5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fc000"/>
            </a:solidFill>
            <a:ln cap="rnd" w="158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graphs'!$T$6:$T$17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5"/>
          <c:order val="5"/>
          <c:tx>
            <c:strRef>
              <c:f>'monthly graphs'!$S$5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00b050"/>
            </a:solidFill>
            <a:ln cap="rnd" w="19080">
              <a:solidFill>
                <a:srgbClr val="00b05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graphs'!$S$6:$S$17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6"/>
          <c:order val="6"/>
          <c:tx>
            <c:strRef>
              <c:f>'monthly graphs'!$R$5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70c0"/>
            </a:solidFill>
            <a:ln cap="rnd" w="22320">
              <a:solidFill>
                <a:srgbClr val="0070c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graphs'!$R$6:$R$17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7"/>
          <c:order val="7"/>
          <c:tx>
            <c:strRef>
              <c:f>'monthly graphs'!$O$5</c:f>
              <c:strCache>
                <c:ptCount val="1"/>
                <c:pt idx="0">
                  <c:v>Last forecast</c:v>
                </c:pt>
              </c:strCache>
            </c:strRef>
          </c:tx>
          <c:spPr>
            <a:solidFill>
              <a:srgbClr val="c00000"/>
            </a:solidFill>
            <a:ln cap="rnd" w="19080">
              <a:solidFill>
                <a:srgbClr val="c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graphs'!$O$6:$O$17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8"/>
          <c:order val="8"/>
          <c:tx>
            <c:strRef>
              <c:f>'monthly graphs'!$P$5</c:f>
              <c:strCache>
                <c:ptCount val="1"/>
                <c:pt idx="0">
                  <c:v>2023F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circle"/>
            <c:size val="6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graphs'!$P$6:$P$17</c:f>
              <c:numCache>
                <c:formatCode>General</c:formatCode>
                <c:ptCount val="12"/>
              </c:numCache>
            </c:numRef>
          </c:val>
          <c:smooth val="0"/>
        </c:ser>
        <c:ser>
          <c:idx val="9"/>
          <c:order val="9"/>
          <c:tx>
            <c:strRef>
              <c:f>'monthly graphs'!$Q$5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circle"/>
            <c:size val="7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graphs'!$N$6:$N$17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graphs'!$Q$6:$Q$17</c:f>
              <c:numCache>
                <c:formatCode>General</c:formatCode>
                <c:ptCount val="12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2862811"/>
        <c:axId val="40178227"/>
      </c:lineChart>
      <c:catAx>
        <c:axId val="3286281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0178227"/>
        <c:crosses val="autoZero"/>
        <c:auto val="1"/>
        <c:lblAlgn val="ctr"/>
        <c:lblOffset val="100"/>
        <c:noMultiLvlLbl val="0"/>
      </c:catAx>
      <c:valAx>
        <c:axId val="40178227"/>
        <c:scaling>
          <c:orientation val="minMax"/>
          <c:max val="13000"/>
          <c:min val="9500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2862811"/>
        <c:crosses val="autoZero"/>
        <c:crossBetween val="between"/>
      </c:valAx>
      <c:spPr>
        <a:noFill/>
        <a:ln w="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764722023809524"/>
          <c:y val="0.139136111111111"/>
          <c:w val="0.220158928571429"/>
          <c:h val="0.568857407407407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cked"/>
        <c:ser>
          <c:idx val="0"/>
          <c:order val="0"/>
          <c:tx>
            <c:strRef>
              <c:f>'monthly graphs'!$F$5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'monthly graphs'!$C$6:$C$143</c:f>
              <c:numCache>
                <c:formatCode>mmm\-yy</c:formatCode>
                <c:ptCount val="138"/>
                <c:pt idx="0">
                  <c:v>mai-13</c:v>
                </c:pt>
                <c:pt idx="1">
                  <c:v>juin-13</c:v>
                </c:pt>
                <c:pt idx="2">
                  <c:v>juil.-13</c:v>
                </c:pt>
                <c:pt idx="3">
                  <c:v>août-13</c:v>
                </c:pt>
                <c:pt idx="4">
                  <c:v>sept.-13</c:v>
                </c:pt>
                <c:pt idx="5">
                  <c:v>oct.-13</c:v>
                </c:pt>
                <c:pt idx="6">
                  <c:v>nov.-13</c:v>
                </c:pt>
                <c:pt idx="7">
                  <c:v>déc.-13</c:v>
                </c:pt>
                <c:pt idx="8">
                  <c:v>janv.-14</c:v>
                </c:pt>
                <c:pt idx="9">
                  <c:v>févr.-14</c:v>
                </c:pt>
                <c:pt idx="10">
                  <c:v>mars-14</c:v>
                </c:pt>
                <c:pt idx="11">
                  <c:v>avr.-14</c:v>
                </c:pt>
                <c:pt idx="12">
                  <c:v>mai-14</c:v>
                </c:pt>
                <c:pt idx="13">
                  <c:v>juin-14</c:v>
                </c:pt>
                <c:pt idx="14">
                  <c:v>juil.-14</c:v>
                </c:pt>
                <c:pt idx="15">
                  <c:v>août-14</c:v>
                </c:pt>
                <c:pt idx="16">
                  <c:v>sept.-14</c:v>
                </c:pt>
                <c:pt idx="17">
                  <c:v>oct.-14</c:v>
                </c:pt>
                <c:pt idx="18">
                  <c:v>nov.-14</c:v>
                </c:pt>
                <c:pt idx="19">
                  <c:v>déc.-14</c:v>
                </c:pt>
                <c:pt idx="20">
                  <c:v>janv.-15</c:v>
                </c:pt>
                <c:pt idx="21">
                  <c:v>févr.-15</c:v>
                </c:pt>
                <c:pt idx="22">
                  <c:v>mars-15</c:v>
                </c:pt>
                <c:pt idx="23">
                  <c:v>avr.-15</c:v>
                </c:pt>
                <c:pt idx="24">
                  <c:v>mai-15</c:v>
                </c:pt>
                <c:pt idx="25">
                  <c:v>juin-15</c:v>
                </c:pt>
                <c:pt idx="26">
                  <c:v>juil.-15</c:v>
                </c:pt>
                <c:pt idx="27">
                  <c:v>août-15</c:v>
                </c:pt>
                <c:pt idx="28">
                  <c:v>sept.-15</c:v>
                </c:pt>
                <c:pt idx="29">
                  <c:v>oct.-15</c:v>
                </c:pt>
                <c:pt idx="30">
                  <c:v>nov.-15</c:v>
                </c:pt>
                <c:pt idx="31">
                  <c:v>déc.-15</c:v>
                </c:pt>
                <c:pt idx="32">
                  <c:v>janv.-16</c:v>
                </c:pt>
                <c:pt idx="33">
                  <c:v>févr.-16</c:v>
                </c:pt>
                <c:pt idx="34">
                  <c:v>mars-16</c:v>
                </c:pt>
                <c:pt idx="35">
                  <c:v>avr.-16</c:v>
                </c:pt>
                <c:pt idx="36">
                  <c:v>mai-16</c:v>
                </c:pt>
                <c:pt idx="37">
                  <c:v>juin-16</c:v>
                </c:pt>
                <c:pt idx="38">
                  <c:v>juil.-16</c:v>
                </c:pt>
                <c:pt idx="39">
                  <c:v>août-16</c:v>
                </c:pt>
                <c:pt idx="40">
                  <c:v>sept.-16</c:v>
                </c:pt>
                <c:pt idx="41">
                  <c:v>oct.-16</c:v>
                </c:pt>
                <c:pt idx="42">
                  <c:v>nov.-16</c:v>
                </c:pt>
                <c:pt idx="43">
                  <c:v>déc.-16</c:v>
                </c:pt>
                <c:pt idx="44">
                  <c:v>janv.-17</c:v>
                </c:pt>
                <c:pt idx="45">
                  <c:v>févr.-17</c:v>
                </c:pt>
                <c:pt idx="46">
                  <c:v>mars-17</c:v>
                </c:pt>
                <c:pt idx="47">
                  <c:v>avr.-17</c:v>
                </c:pt>
                <c:pt idx="48">
                  <c:v>mai-17</c:v>
                </c:pt>
                <c:pt idx="49">
                  <c:v>juin-17</c:v>
                </c:pt>
                <c:pt idx="50">
                  <c:v>juil.-17</c:v>
                </c:pt>
                <c:pt idx="51">
                  <c:v>août-17</c:v>
                </c:pt>
                <c:pt idx="52">
                  <c:v>sept.-17</c:v>
                </c:pt>
                <c:pt idx="53">
                  <c:v>oct.-17</c:v>
                </c:pt>
                <c:pt idx="54">
                  <c:v>nov.-17</c:v>
                </c:pt>
                <c:pt idx="55">
                  <c:v>déc.-17</c:v>
                </c:pt>
                <c:pt idx="56">
                  <c:v>janv.-18</c:v>
                </c:pt>
                <c:pt idx="57">
                  <c:v>févr.-18</c:v>
                </c:pt>
                <c:pt idx="58">
                  <c:v>mars-18</c:v>
                </c:pt>
                <c:pt idx="59">
                  <c:v>avr.-18</c:v>
                </c:pt>
                <c:pt idx="60">
                  <c:v>mai-18</c:v>
                </c:pt>
                <c:pt idx="61">
                  <c:v>juin-18</c:v>
                </c:pt>
                <c:pt idx="62">
                  <c:v>juil.-18</c:v>
                </c:pt>
                <c:pt idx="63">
                  <c:v>août-18</c:v>
                </c:pt>
                <c:pt idx="64">
                  <c:v>sept.-18</c:v>
                </c:pt>
                <c:pt idx="65">
                  <c:v>oct.-18</c:v>
                </c:pt>
                <c:pt idx="66">
                  <c:v>nov.-18</c:v>
                </c:pt>
                <c:pt idx="67">
                  <c:v>déc.-18</c:v>
                </c:pt>
                <c:pt idx="68">
                  <c:v>janv.-19</c:v>
                </c:pt>
                <c:pt idx="69">
                  <c:v>févr.-19</c:v>
                </c:pt>
                <c:pt idx="70">
                  <c:v>mars-19</c:v>
                </c:pt>
                <c:pt idx="71">
                  <c:v>avr.-19</c:v>
                </c:pt>
                <c:pt idx="72">
                  <c:v>mai-19</c:v>
                </c:pt>
                <c:pt idx="73">
                  <c:v>juin-19</c:v>
                </c:pt>
                <c:pt idx="74">
                  <c:v>juil.-19</c:v>
                </c:pt>
                <c:pt idx="75">
                  <c:v>août-19</c:v>
                </c:pt>
                <c:pt idx="76">
                  <c:v>sept.-19</c:v>
                </c:pt>
                <c:pt idx="77">
                  <c:v>oct.-19</c:v>
                </c:pt>
                <c:pt idx="78">
                  <c:v>nov.-19</c:v>
                </c:pt>
                <c:pt idx="79">
                  <c:v>déc.-19</c:v>
                </c:pt>
                <c:pt idx="80">
                  <c:v>janv.-20</c:v>
                </c:pt>
                <c:pt idx="81">
                  <c:v>févr.-20</c:v>
                </c:pt>
                <c:pt idx="82">
                  <c:v>mars-20</c:v>
                </c:pt>
                <c:pt idx="83">
                  <c:v>avr.-20</c:v>
                </c:pt>
                <c:pt idx="84">
                  <c:v>mai-20</c:v>
                </c:pt>
                <c:pt idx="85">
                  <c:v>juin-20</c:v>
                </c:pt>
                <c:pt idx="86">
                  <c:v>juil.-20</c:v>
                </c:pt>
                <c:pt idx="87">
                  <c:v>août-20</c:v>
                </c:pt>
                <c:pt idx="88">
                  <c:v>sept.-20</c:v>
                </c:pt>
                <c:pt idx="89">
                  <c:v>oct.-20</c:v>
                </c:pt>
                <c:pt idx="90">
                  <c:v>nov.-20</c:v>
                </c:pt>
                <c:pt idx="91">
                  <c:v>déc.-20</c:v>
                </c:pt>
                <c:pt idx="92">
                  <c:v>janv.-21</c:v>
                </c:pt>
                <c:pt idx="93">
                  <c:v>févr.-21</c:v>
                </c:pt>
                <c:pt idx="94">
                  <c:v>mars-21</c:v>
                </c:pt>
                <c:pt idx="95">
                  <c:v>avr.-21</c:v>
                </c:pt>
                <c:pt idx="96">
                  <c:v>mai-21</c:v>
                </c:pt>
                <c:pt idx="97">
                  <c:v>juin-21</c:v>
                </c:pt>
                <c:pt idx="98">
                  <c:v>juil.-21</c:v>
                </c:pt>
                <c:pt idx="99">
                  <c:v>août-21</c:v>
                </c:pt>
                <c:pt idx="100">
                  <c:v>sept.-21</c:v>
                </c:pt>
                <c:pt idx="101">
                  <c:v>oct.-21</c:v>
                </c:pt>
                <c:pt idx="102">
                  <c:v>nov.-21</c:v>
                </c:pt>
                <c:pt idx="103">
                  <c:v>déc.-21</c:v>
                </c:pt>
                <c:pt idx="104">
                  <c:v>janv.-22</c:v>
                </c:pt>
                <c:pt idx="105">
                  <c:v>févr.-22</c:v>
                </c:pt>
                <c:pt idx="106">
                  <c:v>mars-22</c:v>
                </c:pt>
                <c:pt idx="107">
                  <c:v>avr.-22</c:v>
                </c:pt>
                <c:pt idx="108">
                  <c:v>mai-22</c:v>
                </c:pt>
                <c:pt idx="109">
                  <c:v>juin-22</c:v>
                </c:pt>
                <c:pt idx="110">
                  <c:v>juil.-22</c:v>
                </c:pt>
                <c:pt idx="111">
                  <c:v>août-22</c:v>
                </c:pt>
                <c:pt idx="112">
                  <c:v>sept.-22</c:v>
                </c:pt>
                <c:pt idx="113">
                  <c:v>oct.-22</c:v>
                </c:pt>
                <c:pt idx="114">
                  <c:v>nov.-22</c:v>
                </c:pt>
                <c:pt idx="115">
                  <c:v>déc.-22</c:v>
                </c:pt>
                <c:pt idx="116">
                  <c:v>janv.-23</c:v>
                </c:pt>
                <c:pt idx="117">
                  <c:v>févr.-23</c:v>
                </c:pt>
                <c:pt idx="118">
                  <c:v>mars-23</c:v>
                </c:pt>
                <c:pt idx="119">
                  <c:v>avr.-23</c:v>
                </c:pt>
                <c:pt idx="120">
                  <c:v>mai-23</c:v>
                </c:pt>
                <c:pt idx="121">
                  <c:v>juin-23</c:v>
                </c:pt>
                <c:pt idx="122">
                  <c:v>juil.-23</c:v>
                </c:pt>
                <c:pt idx="123">
                  <c:v>août-23</c:v>
                </c:pt>
                <c:pt idx="124">
                  <c:v>sept.-23</c:v>
                </c:pt>
                <c:pt idx="125">
                  <c:v>oct.-23</c:v>
                </c:pt>
                <c:pt idx="126">
                  <c:v>nov.-23</c:v>
                </c:pt>
                <c:pt idx="127">
                  <c:v>déc.-23</c:v>
                </c:pt>
                <c:pt idx="128">
                  <c:v>janv.-24</c:v>
                </c:pt>
                <c:pt idx="129">
                  <c:v>févr.-24</c:v>
                </c:pt>
                <c:pt idx="130">
                  <c:v>mars-24</c:v>
                </c:pt>
                <c:pt idx="131">
                  <c:v>avr.-24</c:v>
                </c:pt>
                <c:pt idx="132">
                  <c:v>mai-24</c:v>
                </c:pt>
                <c:pt idx="133">
                  <c:v>juin-24</c:v>
                </c:pt>
                <c:pt idx="134">
                  <c:v>juil.-24</c:v>
                </c:pt>
                <c:pt idx="135">
                  <c:v>août-24</c:v>
                </c:pt>
                <c:pt idx="136">
                  <c:v>sept.-24</c:v>
                </c:pt>
                <c:pt idx="137">
                  <c:v>oct.-24</c:v>
                </c:pt>
              </c:numCache>
            </c:numRef>
          </c:cat>
          <c:val>
            <c:numRef>
              <c:f>'monthly graphs'!$F$6:$F$143</c:f>
              <c:numCache>
                <c:formatCode>General</c:formatCode>
                <c:ptCount val="138"/>
              </c:numCache>
            </c:numRef>
          </c:val>
        </c:ser>
        <c:ser>
          <c:idx val="1"/>
          <c:order val="1"/>
          <c:tx>
            <c:strRef>
              <c:f>'monthly graphs'!$H$5</c:f>
              <c:strCache>
                <c:ptCount val="1"/>
                <c:pt idx="0">
                  <c:v>min-max</c:v>
                </c:pt>
              </c:strCache>
            </c:strRef>
          </c:tx>
          <c:spPr>
            <a:solidFill>
              <a:srgbClr val="a6a6a6">
                <a:alpha val="51000"/>
              </a:srgbClr>
            </a:solidFill>
            <a:ln w="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'monthly graphs'!$C$6:$C$143</c:f>
              <c:numCache>
                <c:formatCode>mmm\-yy</c:formatCode>
                <c:ptCount val="138"/>
                <c:pt idx="0">
                  <c:v>mai-13</c:v>
                </c:pt>
                <c:pt idx="1">
                  <c:v>juin-13</c:v>
                </c:pt>
                <c:pt idx="2">
                  <c:v>juil.-13</c:v>
                </c:pt>
                <c:pt idx="3">
                  <c:v>août-13</c:v>
                </c:pt>
                <c:pt idx="4">
                  <c:v>sept.-13</c:v>
                </c:pt>
                <c:pt idx="5">
                  <c:v>oct.-13</c:v>
                </c:pt>
                <c:pt idx="6">
                  <c:v>nov.-13</c:v>
                </c:pt>
                <c:pt idx="7">
                  <c:v>déc.-13</c:v>
                </c:pt>
                <c:pt idx="8">
                  <c:v>janv.-14</c:v>
                </c:pt>
                <c:pt idx="9">
                  <c:v>févr.-14</c:v>
                </c:pt>
                <c:pt idx="10">
                  <c:v>mars-14</c:v>
                </c:pt>
                <c:pt idx="11">
                  <c:v>avr.-14</c:v>
                </c:pt>
                <c:pt idx="12">
                  <c:v>mai-14</c:v>
                </c:pt>
                <c:pt idx="13">
                  <c:v>juin-14</c:v>
                </c:pt>
                <c:pt idx="14">
                  <c:v>juil.-14</c:v>
                </c:pt>
                <c:pt idx="15">
                  <c:v>août-14</c:v>
                </c:pt>
                <c:pt idx="16">
                  <c:v>sept.-14</c:v>
                </c:pt>
                <c:pt idx="17">
                  <c:v>oct.-14</c:v>
                </c:pt>
                <c:pt idx="18">
                  <c:v>nov.-14</c:v>
                </c:pt>
                <c:pt idx="19">
                  <c:v>déc.-14</c:v>
                </c:pt>
                <c:pt idx="20">
                  <c:v>janv.-15</c:v>
                </c:pt>
                <c:pt idx="21">
                  <c:v>févr.-15</c:v>
                </c:pt>
                <c:pt idx="22">
                  <c:v>mars-15</c:v>
                </c:pt>
                <c:pt idx="23">
                  <c:v>avr.-15</c:v>
                </c:pt>
                <c:pt idx="24">
                  <c:v>mai-15</c:v>
                </c:pt>
                <c:pt idx="25">
                  <c:v>juin-15</c:v>
                </c:pt>
                <c:pt idx="26">
                  <c:v>juil.-15</c:v>
                </c:pt>
                <c:pt idx="27">
                  <c:v>août-15</c:v>
                </c:pt>
                <c:pt idx="28">
                  <c:v>sept.-15</c:v>
                </c:pt>
                <c:pt idx="29">
                  <c:v>oct.-15</c:v>
                </c:pt>
                <c:pt idx="30">
                  <c:v>nov.-15</c:v>
                </c:pt>
                <c:pt idx="31">
                  <c:v>déc.-15</c:v>
                </c:pt>
                <c:pt idx="32">
                  <c:v>janv.-16</c:v>
                </c:pt>
                <c:pt idx="33">
                  <c:v>févr.-16</c:v>
                </c:pt>
                <c:pt idx="34">
                  <c:v>mars-16</c:v>
                </c:pt>
                <c:pt idx="35">
                  <c:v>avr.-16</c:v>
                </c:pt>
                <c:pt idx="36">
                  <c:v>mai-16</c:v>
                </c:pt>
                <c:pt idx="37">
                  <c:v>juin-16</c:v>
                </c:pt>
                <c:pt idx="38">
                  <c:v>juil.-16</c:v>
                </c:pt>
                <c:pt idx="39">
                  <c:v>août-16</c:v>
                </c:pt>
                <c:pt idx="40">
                  <c:v>sept.-16</c:v>
                </c:pt>
                <c:pt idx="41">
                  <c:v>oct.-16</c:v>
                </c:pt>
                <c:pt idx="42">
                  <c:v>nov.-16</c:v>
                </c:pt>
                <c:pt idx="43">
                  <c:v>déc.-16</c:v>
                </c:pt>
                <c:pt idx="44">
                  <c:v>janv.-17</c:v>
                </c:pt>
                <c:pt idx="45">
                  <c:v>févr.-17</c:v>
                </c:pt>
                <c:pt idx="46">
                  <c:v>mars-17</c:v>
                </c:pt>
                <c:pt idx="47">
                  <c:v>avr.-17</c:v>
                </c:pt>
                <c:pt idx="48">
                  <c:v>mai-17</c:v>
                </c:pt>
                <c:pt idx="49">
                  <c:v>juin-17</c:v>
                </c:pt>
                <c:pt idx="50">
                  <c:v>juil.-17</c:v>
                </c:pt>
                <c:pt idx="51">
                  <c:v>août-17</c:v>
                </c:pt>
                <c:pt idx="52">
                  <c:v>sept.-17</c:v>
                </c:pt>
                <c:pt idx="53">
                  <c:v>oct.-17</c:v>
                </c:pt>
                <c:pt idx="54">
                  <c:v>nov.-17</c:v>
                </c:pt>
                <c:pt idx="55">
                  <c:v>déc.-17</c:v>
                </c:pt>
                <c:pt idx="56">
                  <c:v>janv.-18</c:v>
                </c:pt>
                <c:pt idx="57">
                  <c:v>févr.-18</c:v>
                </c:pt>
                <c:pt idx="58">
                  <c:v>mars-18</c:v>
                </c:pt>
                <c:pt idx="59">
                  <c:v>avr.-18</c:v>
                </c:pt>
                <c:pt idx="60">
                  <c:v>mai-18</c:v>
                </c:pt>
                <c:pt idx="61">
                  <c:v>juin-18</c:v>
                </c:pt>
                <c:pt idx="62">
                  <c:v>juil.-18</c:v>
                </c:pt>
                <c:pt idx="63">
                  <c:v>août-18</c:v>
                </c:pt>
                <c:pt idx="64">
                  <c:v>sept.-18</c:v>
                </c:pt>
                <c:pt idx="65">
                  <c:v>oct.-18</c:v>
                </c:pt>
                <c:pt idx="66">
                  <c:v>nov.-18</c:v>
                </c:pt>
                <c:pt idx="67">
                  <c:v>déc.-18</c:v>
                </c:pt>
                <c:pt idx="68">
                  <c:v>janv.-19</c:v>
                </c:pt>
                <c:pt idx="69">
                  <c:v>févr.-19</c:v>
                </c:pt>
                <c:pt idx="70">
                  <c:v>mars-19</c:v>
                </c:pt>
                <c:pt idx="71">
                  <c:v>avr.-19</c:v>
                </c:pt>
                <c:pt idx="72">
                  <c:v>mai-19</c:v>
                </c:pt>
                <c:pt idx="73">
                  <c:v>juin-19</c:v>
                </c:pt>
                <c:pt idx="74">
                  <c:v>juil.-19</c:v>
                </c:pt>
                <c:pt idx="75">
                  <c:v>août-19</c:v>
                </c:pt>
                <c:pt idx="76">
                  <c:v>sept.-19</c:v>
                </c:pt>
                <c:pt idx="77">
                  <c:v>oct.-19</c:v>
                </c:pt>
                <c:pt idx="78">
                  <c:v>nov.-19</c:v>
                </c:pt>
                <c:pt idx="79">
                  <c:v>déc.-19</c:v>
                </c:pt>
                <c:pt idx="80">
                  <c:v>janv.-20</c:v>
                </c:pt>
                <c:pt idx="81">
                  <c:v>févr.-20</c:v>
                </c:pt>
                <c:pt idx="82">
                  <c:v>mars-20</c:v>
                </c:pt>
                <c:pt idx="83">
                  <c:v>avr.-20</c:v>
                </c:pt>
                <c:pt idx="84">
                  <c:v>mai-20</c:v>
                </c:pt>
                <c:pt idx="85">
                  <c:v>juin-20</c:v>
                </c:pt>
                <c:pt idx="86">
                  <c:v>juil.-20</c:v>
                </c:pt>
                <c:pt idx="87">
                  <c:v>août-20</c:v>
                </c:pt>
                <c:pt idx="88">
                  <c:v>sept.-20</c:v>
                </c:pt>
                <c:pt idx="89">
                  <c:v>oct.-20</c:v>
                </c:pt>
                <c:pt idx="90">
                  <c:v>nov.-20</c:v>
                </c:pt>
                <c:pt idx="91">
                  <c:v>déc.-20</c:v>
                </c:pt>
                <c:pt idx="92">
                  <c:v>janv.-21</c:v>
                </c:pt>
                <c:pt idx="93">
                  <c:v>févr.-21</c:v>
                </c:pt>
                <c:pt idx="94">
                  <c:v>mars-21</c:v>
                </c:pt>
                <c:pt idx="95">
                  <c:v>avr.-21</c:v>
                </c:pt>
                <c:pt idx="96">
                  <c:v>mai-21</c:v>
                </c:pt>
                <c:pt idx="97">
                  <c:v>juin-21</c:v>
                </c:pt>
                <c:pt idx="98">
                  <c:v>juil.-21</c:v>
                </c:pt>
                <c:pt idx="99">
                  <c:v>août-21</c:v>
                </c:pt>
                <c:pt idx="100">
                  <c:v>sept.-21</c:v>
                </c:pt>
                <c:pt idx="101">
                  <c:v>oct.-21</c:v>
                </c:pt>
                <c:pt idx="102">
                  <c:v>nov.-21</c:v>
                </c:pt>
                <c:pt idx="103">
                  <c:v>déc.-21</c:v>
                </c:pt>
                <c:pt idx="104">
                  <c:v>janv.-22</c:v>
                </c:pt>
                <c:pt idx="105">
                  <c:v>févr.-22</c:v>
                </c:pt>
                <c:pt idx="106">
                  <c:v>mars-22</c:v>
                </c:pt>
                <c:pt idx="107">
                  <c:v>avr.-22</c:v>
                </c:pt>
                <c:pt idx="108">
                  <c:v>mai-22</c:v>
                </c:pt>
                <c:pt idx="109">
                  <c:v>juin-22</c:v>
                </c:pt>
                <c:pt idx="110">
                  <c:v>juil.-22</c:v>
                </c:pt>
                <c:pt idx="111">
                  <c:v>août-22</c:v>
                </c:pt>
                <c:pt idx="112">
                  <c:v>sept.-22</c:v>
                </c:pt>
                <c:pt idx="113">
                  <c:v>oct.-22</c:v>
                </c:pt>
                <c:pt idx="114">
                  <c:v>nov.-22</c:v>
                </c:pt>
                <c:pt idx="115">
                  <c:v>déc.-22</c:v>
                </c:pt>
                <c:pt idx="116">
                  <c:v>janv.-23</c:v>
                </c:pt>
                <c:pt idx="117">
                  <c:v>févr.-23</c:v>
                </c:pt>
                <c:pt idx="118">
                  <c:v>mars-23</c:v>
                </c:pt>
                <c:pt idx="119">
                  <c:v>avr.-23</c:v>
                </c:pt>
                <c:pt idx="120">
                  <c:v>mai-23</c:v>
                </c:pt>
                <c:pt idx="121">
                  <c:v>juin-23</c:v>
                </c:pt>
                <c:pt idx="122">
                  <c:v>juil.-23</c:v>
                </c:pt>
                <c:pt idx="123">
                  <c:v>août-23</c:v>
                </c:pt>
                <c:pt idx="124">
                  <c:v>sept.-23</c:v>
                </c:pt>
                <c:pt idx="125">
                  <c:v>oct.-23</c:v>
                </c:pt>
                <c:pt idx="126">
                  <c:v>nov.-23</c:v>
                </c:pt>
                <c:pt idx="127">
                  <c:v>déc.-23</c:v>
                </c:pt>
                <c:pt idx="128">
                  <c:v>janv.-24</c:v>
                </c:pt>
                <c:pt idx="129">
                  <c:v>févr.-24</c:v>
                </c:pt>
                <c:pt idx="130">
                  <c:v>mars-24</c:v>
                </c:pt>
                <c:pt idx="131">
                  <c:v>avr.-24</c:v>
                </c:pt>
                <c:pt idx="132">
                  <c:v>mai-24</c:v>
                </c:pt>
                <c:pt idx="133">
                  <c:v>juin-24</c:v>
                </c:pt>
                <c:pt idx="134">
                  <c:v>juil.-24</c:v>
                </c:pt>
                <c:pt idx="135">
                  <c:v>août-24</c:v>
                </c:pt>
                <c:pt idx="136">
                  <c:v>sept.-24</c:v>
                </c:pt>
                <c:pt idx="137">
                  <c:v>oct.-24</c:v>
                </c:pt>
              </c:numCache>
            </c:numRef>
          </c:cat>
          <c:val>
            <c:numRef>
              <c:f>'monthly graphs'!$H$6:$H$143</c:f>
              <c:numCache>
                <c:formatCode>General</c:formatCode>
                <c:ptCount val="138"/>
              </c:numCache>
            </c:numRef>
          </c:val>
        </c:ser>
        <c:axId val="6755256"/>
        <c:axId val="31493038"/>
      </c:areaChart>
      <c:lineChart>
        <c:grouping val="stacked"/>
        <c:varyColors val="0"/>
        <c:ser>
          <c:idx val="2"/>
          <c:order val="2"/>
          <c:tx>
            <c:strRef>
              <c:f>'monthly graphs'!$E$5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000000"/>
            </a:solidFill>
            <a:ln cap="rnd" w="9360">
              <a:solidFill>
                <a:srgbClr val="000000"/>
              </a:solidFill>
              <a:prstDash val="sysDash"/>
              <a:round/>
            </a:ln>
          </c:spPr>
          <c:marker>
            <c:symbol val="none"/>
          </c:marker>
          <c:dPt>
            <c:idx val="120"/>
            <c:marker>
              <c:symbol val="none"/>
            </c:marker>
          </c:dPt>
          <c:dPt>
            <c:idx val="121"/>
            <c:marker>
              <c:symbol val="none"/>
            </c:marker>
          </c:dPt>
          <c:dLbls>
            <c:dLbl>
              <c:idx val="12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2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'monthly graphs'!$C$6:$C$143</c:f>
              <c:numCache>
                <c:formatCode>mmm\-yy</c:formatCode>
                <c:ptCount val="138"/>
                <c:pt idx="0">
                  <c:v>mai-13</c:v>
                </c:pt>
                <c:pt idx="1">
                  <c:v>juin-13</c:v>
                </c:pt>
                <c:pt idx="2">
                  <c:v>juil.-13</c:v>
                </c:pt>
                <c:pt idx="3">
                  <c:v>août-13</c:v>
                </c:pt>
                <c:pt idx="4">
                  <c:v>sept.-13</c:v>
                </c:pt>
                <c:pt idx="5">
                  <c:v>oct.-13</c:v>
                </c:pt>
                <c:pt idx="6">
                  <c:v>nov.-13</c:v>
                </c:pt>
                <c:pt idx="7">
                  <c:v>déc.-13</c:v>
                </c:pt>
                <c:pt idx="8">
                  <c:v>janv.-14</c:v>
                </c:pt>
                <c:pt idx="9">
                  <c:v>févr.-14</c:v>
                </c:pt>
                <c:pt idx="10">
                  <c:v>mars-14</c:v>
                </c:pt>
                <c:pt idx="11">
                  <c:v>avr.-14</c:v>
                </c:pt>
                <c:pt idx="12">
                  <c:v>mai-14</c:v>
                </c:pt>
                <c:pt idx="13">
                  <c:v>juin-14</c:v>
                </c:pt>
                <c:pt idx="14">
                  <c:v>juil.-14</c:v>
                </c:pt>
                <c:pt idx="15">
                  <c:v>août-14</c:v>
                </c:pt>
                <c:pt idx="16">
                  <c:v>sept.-14</c:v>
                </c:pt>
                <c:pt idx="17">
                  <c:v>oct.-14</c:v>
                </c:pt>
                <c:pt idx="18">
                  <c:v>nov.-14</c:v>
                </c:pt>
                <c:pt idx="19">
                  <c:v>déc.-14</c:v>
                </c:pt>
                <c:pt idx="20">
                  <c:v>janv.-15</c:v>
                </c:pt>
                <c:pt idx="21">
                  <c:v>févr.-15</c:v>
                </c:pt>
                <c:pt idx="22">
                  <c:v>mars-15</c:v>
                </c:pt>
                <c:pt idx="23">
                  <c:v>avr.-15</c:v>
                </c:pt>
                <c:pt idx="24">
                  <c:v>mai-15</c:v>
                </c:pt>
                <c:pt idx="25">
                  <c:v>juin-15</c:v>
                </c:pt>
                <c:pt idx="26">
                  <c:v>juil.-15</c:v>
                </c:pt>
                <c:pt idx="27">
                  <c:v>août-15</c:v>
                </c:pt>
                <c:pt idx="28">
                  <c:v>sept.-15</c:v>
                </c:pt>
                <c:pt idx="29">
                  <c:v>oct.-15</c:v>
                </c:pt>
                <c:pt idx="30">
                  <c:v>nov.-15</c:v>
                </c:pt>
                <c:pt idx="31">
                  <c:v>déc.-15</c:v>
                </c:pt>
                <c:pt idx="32">
                  <c:v>janv.-16</c:v>
                </c:pt>
                <c:pt idx="33">
                  <c:v>févr.-16</c:v>
                </c:pt>
                <c:pt idx="34">
                  <c:v>mars-16</c:v>
                </c:pt>
                <c:pt idx="35">
                  <c:v>avr.-16</c:v>
                </c:pt>
                <c:pt idx="36">
                  <c:v>mai-16</c:v>
                </c:pt>
                <c:pt idx="37">
                  <c:v>juin-16</c:v>
                </c:pt>
                <c:pt idx="38">
                  <c:v>juil.-16</c:v>
                </c:pt>
                <c:pt idx="39">
                  <c:v>août-16</c:v>
                </c:pt>
                <c:pt idx="40">
                  <c:v>sept.-16</c:v>
                </c:pt>
                <c:pt idx="41">
                  <c:v>oct.-16</c:v>
                </c:pt>
                <c:pt idx="42">
                  <c:v>nov.-16</c:v>
                </c:pt>
                <c:pt idx="43">
                  <c:v>déc.-16</c:v>
                </c:pt>
                <c:pt idx="44">
                  <c:v>janv.-17</c:v>
                </c:pt>
                <c:pt idx="45">
                  <c:v>févr.-17</c:v>
                </c:pt>
                <c:pt idx="46">
                  <c:v>mars-17</c:v>
                </c:pt>
                <c:pt idx="47">
                  <c:v>avr.-17</c:v>
                </c:pt>
                <c:pt idx="48">
                  <c:v>mai-17</c:v>
                </c:pt>
                <c:pt idx="49">
                  <c:v>juin-17</c:v>
                </c:pt>
                <c:pt idx="50">
                  <c:v>juil.-17</c:v>
                </c:pt>
                <c:pt idx="51">
                  <c:v>août-17</c:v>
                </c:pt>
                <c:pt idx="52">
                  <c:v>sept.-17</c:v>
                </c:pt>
                <c:pt idx="53">
                  <c:v>oct.-17</c:v>
                </c:pt>
                <c:pt idx="54">
                  <c:v>nov.-17</c:v>
                </c:pt>
                <c:pt idx="55">
                  <c:v>déc.-17</c:v>
                </c:pt>
                <c:pt idx="56">
                  <c:v>janv.-18</c:v>
                </c:pt>
                <c:pt idx="57">
                  <c:v>févr.-18</c:v>
                </c:pt>
                <c:pt idx="58">
                  <c:v>mars-18</c:v>
                </c:pt>
                <c:pt idx="59">
                  <c:v>avr.-18</c:v>
                </c:pt>
                <c:pt idx="60">
                  <c:v>mai-18</c:v>
                </c:pt>
                <c:pt idx="61">
                  <c:v>juin-18</c:v>
                </c:pt>
                <c:pt idx="62">
                  <c:v>juil.-18</c:v>
                </c:pt>
                <c:pt idx="63">
                  <c:v>août-18</c:v>
                </c:pt>
                <c:pt idx="64">
                  <c:v>sept.-18</c:v>
                </c:pt>
                <c:pt idx="65">
                  <c:v>oct.-18</c:v>
                </c:pt>
                <c:pt idx="66">
                  <c:v>nov.-18</c:v>
                </c:pt>
                <c:pt idx="67">
                  <c:v>déc.-18</c:v>
                </c:pt>
                <c:pt idx="68">
                  <c:v>janv.-19</c:v>
                </c:pt>
                <c:pt idx="69">
                  <c:v>févr.-19</c:v>
                </c:pt>
                <c:pt idx="70">
                  <c:v>mars-19</c:v>
                </c:pt>
                <c:pt idx="71">
                  <c:v>avr.-19</c:v>
                </c:pt>
                <c:pt idx="72">
                  <c:v>mai-19</c:v>
                </c:pt>
                <c:pt idx="73">
                  <c:v>juin-19</c:v>
                </c:pt>
                <c:pt idx="74">
                  <c:v>juil.-19</c:v>
                </c:pt>
                <c:pt idx="75">
                  <c:v>août-19</c:v>
                </c:pt>
                <c:pt idx="76">
                  <c:v>sept.-19</c:v>
                </c:pt>
                <c:pt idx="77">
                  <c:v>oct.-19</c:v>
                </c:pt>
                <c:pt idx="78">
                  <c:v>nov.-19</c:v>
                </c:pt>
                <c:pt idx="79">
                  <c:v>déc.-19</c:v>
                </c:pt>
                <c:pt idx="80">
                  <c:v>janv.-20</c:v>
                </c:pt>
                <c:pt idx="81">
                  <c:v>févr.-20</c:v>
                </c:pt>
                <c:pt idx="82">
                  <c:v>mars-20</c:v>
                </c:pt>
                <c:pt idx="83">
                  <c:v>avr.-20</c:v>
                </c:pt>
                <c:pt idx="84">
                  <c:v>mai-20</c:v>
                </c:pt>
                <c:pt idx="85">
                  <c:v>juin-20</c:v>
                </c:pt>
                <c:pt idx="86">
                  <c:v>juil.-20</c:v>
                </c:pt>
                <c:pt idx="87">
                  <c:v>août-20</c:v>
                </c:pt>
                <c:pt idx="88">
                  <c:v>sept.-20</c:v>
                </c:pt>
                <c:pt idx="89">
                  <c:v>oct.-20</c:v>
                </c:pt>
                <c:pt idx="90">
                  <c:v>nov.-20</c:v>
                </c:pt>
                <c:pt idx="91">
                  <c:v>déc.-20</c:v>
                </c:pt>
                <c:pt idx="92">
                  <c:v>janv.-21</c:v>
                </c:pt>
                <c:pt idx="93">
                  <c:v>févr.-21</c:v>
                </c:pt>
                <c:pt idx="94">
                  <c:v>mars-21</c:v>
                </c:pt>
                <c:pt idx="95">
                  <c:v>avr.-21</c:v>
                </c:pt>
                <c:pt idx="96">
                  <c:v>mai-21</c:v>
                </c:pt>
                <c:pt idx="97">
                  <c:v>juin-21</c:v>
                </c:pt>
                <c:pt idx="98">
                  <c:v>juil.-21</c:v>
                </c:pt>
                <c:pt idx="99">
                  <c:v>août-21</c:v>
                </c:pt>
                <c:pt idx="100">
                  <c:v>sept.-21</c:v>
                </c:pt>
                <c:pt idx="101">
                  <c:v>oct.-21</c:v>
                </c:pt>
                <c:pt idx="102">
                  <c:v>nov.-21</c:v>
                </c:pt>
                <c:pt idx="103">
                  <c:v>déc.-21</c:v>
                </c:pt>
                <c:pt idx="104">
                  <c:v>janv.-22</c:v>
                </c:pt>
                <c:pt idx="105">
                  <c:v>févr.-22</c:v>
                </c:pt>
                <c:pt idx="106">
                  <c:v>mars-22</c:v>
                </c:pt>
                <c:pt idx="107">
                  <c:v>avr.-22</c:v>
                </c:pt>
                <c:pt idx="108">
                  <c:v>mai-22</c:v>
                </c:pt>
                <c:pt idx="109">
                  <c:v>juin-22</c:v>
                </c:pt>
                <c:pt idx="110">
                  <c:v>juil.-22</c:v>
                </c:pt>
                <c:pt idx="111">
                  <c:v>août-22</c:v>
                </c:pt>
                <c:pt idx="112">
                  <c:v>sept.-22</c:v>
                </c:pt>
                <c:pt idx="113">
                  <c:v>oct.-22</c:v>
                </c:pt>
                <c:pt idx="114">
                  <c:v>nov.-22</c:v>
                </c:pt>
                <c:pt idx="115">
                  <c:v>déc.-22</c:v>
                </c:pt>
                <c:pt idx="116">
                  <c:v>janv.-23</c:v>
                </c:pt>
                <c:pt idx="117">
                  <c:v>févr.-23</c:v>
                </c:pt>
                <c:pt idx="118">
                  <c:v>mars-23</c:v>
                </c:pt>
                <c:pt idx="119">
                  <c:v>avr.-23</c:v>
                </c:pt>
                <c:pt idx="120">
                  <c:v>mai-23</c:v>
                </c:pt>
                <c:pt idx="121">
                  <c:v>juin-23</c:v>
                </c:pt>
                <c:pt idx="122">
                  <c:v>juil.-23</c:v>
                </c:pt>
                <c:pt idx="123">
                  <c:v>août-23</c:v>
                </c:pt>
                <c:pt idx="124">
                  <c:v>sept.-23</c:v>
                </c:pt>
                <c:pt idx="125">
                  <c:v>oct.-23</c:v>
                </c:pt>
                <c:pt idx="126">
                  <c:v>nov.-23</c:v>
                </c:pt>
                <c:pt idx="127">
                  <c:v>déc.-23</c:v>
                </c:pt>
                <c:pt idx="128">
                  <c:v>janv.-24</c:v>
                </c:pt>
                <c:pt idx="129">
                  <c:v>févr.-24</c:v>
                </c:pt>
                <c:pt idx="130">
                  <c:v>mars-24</c:v>
                </c:pt>
                <c:pt idx="131">
                  <c:v>avr.-24</c:v>
                </c:pt>
                <c:pt idx="132">
                  <c:v>mai-24</c:v>
                </c:pt>
                <c:pt idx="133">
                  <c:v>juin-24</c:v>
                </c:pt>
                <c:pt idx="134">
                  <c:v>juil.-24</c:v>
                </c:pt>
                <c:pt idx="135">
                  <c:v>août-24</c:v>
                </c:pt>
                <c:pt idx="136">
                  <c:v>sept.-24</c:v>
                </c:pt>
                <c:pt idx="137">
                  <c:v>oct.-24</c:v>
                </c:pt>
              </c:numCache>
            </c:numRef>
          </c:cat>
          <c:val>
            <c:numRef>
              <c:f>'monthly graphs'!$E$6:$E$143</c:f>
              <c:numCache>
                <c:formatCode>General</c:formatCode>
                <c:ptCount val="138"/>
                <c:pt idx="0">
                  <c:v>-100000</c:v>
                </c:pt>
                <c:pt idx="1">
                  <c:v>-100000</c:v>
                </c:pt>
                <c:pt idx="2">
                  <c:v>-100000</c:v>
                </c:pt>
                <c:pt idx="3">
                  <c:v>-100000</c:v>
                </c:pt>
                <c:pt idx="4">
                  <c:v>-100000</c:v>
                </c:pt>
                <c:pt idx="5">
                  <c:v>-100000</c:v>
                </c:pt>
                <c:pt idx="6">
                  <c:v>-100000</c:v>
                </c:pt>
                <c:pt idx="7">
                  <c:v>-100000</c:v>
                </c:pt>
                <c:pt idx="8">
                  <c:v>-100000</c:v>
                </c:pt>
                <c:pt idx="9">
                  <c:v>-100000</c:v>
                </c:pt>
                <c:pt idx="10">
                  <c:v>-100000</c:v>
                </c:pt>
                <c:pt idx="11">
                  <c:v>-100000</c:v>
                </c:pt>
                <c:pt idx="12">
                  <c:v>-100000</c:v>
                </c:pt>
                <c:pt idx="13">
                  <c:v>-100000</c:v>
                </c:pt>
                <c:pt idx="14">
                  <c:v>-100000</c:v>
                </c:pt>
                <c:pt idx="15">
                  <c:v>-100000</c:v>
                </c:pt>
                <c:pt idx="16">
                  <c:v>-100000</c:v>
                </c:pt>
                <c:pt idx="17">
                  <c:v>-100000</c:v>
                </c:pt>
                <c:pt idx="18">
                  <c:v>-100000</c:v>
                </c:pt>
                <c:pt idx="19">
                  <c:v>-100000</c:v>
                </c:pt>
                <c:pt idx="20">
                  <c:v>-100000</c:v>
                </c:pt>
                <c:pt idx="21">
                  <c:v>-100000</c:v>
                </c:pt>
                <c:pt idx="22">
                  <c:v>-100000</c:v>
                </c:pt>
                <c:pt idx="23">
                  <c:v>-100000</c:v>
                </c:pt>
                <c:pt idx="24">
                  <c:v>-100000</c:v>
                </c:pt>
                <c:pt idx="25">
                  <c:v>-100000</c:v>
                </c:pt>
                <c:pt idx="26">
                  <c:v>-100000</c:v>
                </c:pt>
                <c:pt idx="27">
                  <c:v>-100000</c:v>
                </c:pt>
                <c:pt idx="28">
                  <c:v>-100000</c:v>
                </c:pt>
                <c:pt idx="29">
                  <c:v>-100000</c:v>
                </c:pt>
                <c:pt idx="30">
                  <c:v>-100000</c:v>
                </c:pt>
                <c:pt idx="31">
                  <c:v>-100000</c:v>
                </c:pt>
                <c:pt idx="32">
                  <c:v>-100000</c:v>
                </c:pt>
                <c:pt idx="33">
                  <c:v>-100000</c:v>
                </c:pt>
                <c:pt idx="34">
                  <c:v>-100000</c:v>
                </c:pt>
                <c:pt idx="35">
                  <c:v>-100000</c:v>
                </c:pt>
                <c:pt idx="36">
                  <c:v>-100000</c:v>
                </c:pt>
                <c:pt idx="37">
                  <c:v>-100000</c:v>
                </c:pt>
                <c:pt idx="38">
                  <c:v>-100000</c:v>
                </c:pt>
                <c:pt idx="39">
                  <c:v>-100000</c:v>
                </c:pt>
                <c:pt idx="40">
                  <c:v>-100000</c:v>
                </c:pt>
                <c:pt idx="41">
                  <c:v>-100000</c:v>
                </c:pt>
                <c:pt idx="42">
                  <c:v>-100000</c:v>
                </c:pt>
                <c:pt idx="43">
                  <c:v>-100000</c:v>
                </c:pt>
                <c:pt idx="44">
                  <c:v>-100000</c:v>
                </c:pt>
                <c:pt idx="45">
                  <c:v>-100000</c:v>
                </c:pt>
                <c:pt idx="46">
                  <c:v>-100000</c:v>
                </c:pt>
                <c:pt idx="47">
                  <c:v>-100000</c:v>
                </c:pt>
                <c:pt idx="48">
                  <c:v>-100000</c:v>
                </c:pt>
                <c:pt idx="49">
                  <c:v>-100000</c:v>
                </c:pt>
                <c:pt idx="50">
                  <c:v>-100000</c:v>
                </c:pt>
                <c:pt idx="51">
                  <c:v>-100000</c:v>
                </c:pt>
                <c:pt idx="52">
                  <c:v>-100000</c:v>
                </c:pt>
                <c:pt idx="53">
                  <c:v>-100000</c:v>
                </c:pt>
                <c:pt idx="54">
                  <c:v>-100000</c:v>
                </c:pt>
                <c:pt idx="55">
                  <c:v>-100000</c:v>
                </c:pt>
                <c:pt idx="56">
                  <c:v>-100000</c:v>
                </c:pt>
                <c:pt idx="57">
                  <c:v>-100000</c:v>
                </c:pt>
                <c:pt idx="58">
                  <c:v>-100000</c:v>
                </c:pt>
                <c:pt idx="59">
                  <c:v>-100000</c:v>
                </c:pt>
                <c:pt idx="60">
                  <c:v>-100000</c:v>
                </c:pt>
                <c:pt idx="61">
                  <c:v>-100000</c:v>
                </c:pt>
                <c:pt idx="62">
                  <c:v>-100000</c:v>
                </c:pt>
                <c:pt idx="63">
                  <c:v>-100000</c:v>
                </c:pt>
                <c:pt idx="64">
                  <c:v>-100000</c:v>
                </c:pt>
                <c:pt idx="65">
                  <c:v>-100000</c:v>
                </c:pt>
                <c:pt idx="66">
                  <c:v>-100000</c:v>
                </c:pt>
                <c:pt idx="67">
                  <c:v>-100000</c:v>
                </c:pt>
                <c:pt idx="68">
                  <c:v>-100000</c:v>
                </c:pt>
                <c:pt idx="69">
                  <c:v>-100000</c:v>
                </c:pt>
                <c:pt idx="70">
                  <c:v>-100000</c:v>
                </c:pt>
                <c:pt idx="71">
                  <c:v>-100000</c:v>
                </c:pt>
                <c:pt idx="72">
                  <c:v>-100000</c:v>
                </c:pt>
                <c:pt idx="73">
                  <c:v>-100000</c:v>
                </c:pt>
                <c:pt idx="74">
                  <c:v>-100000</c:v>
                </c:pt>
                <c:pt idx="75">
                  <c:v>-100000</c:v>
                </c:pt>
                <c:pt idx="76">
                  <c:v>-100000</c:v>
                </c:pt>
                <c:pt idx="77">
                  <c:v>-100000</c:v>
                </c:pt>
                <c:pt idx="78">
                  <c:v>-100000</c:v>
                </c:pt>
                <c:pt idx="79">
                  <c:v>-100000</c:v>
                </c:pt>
                <c:pt idx="80">
                  <c:v>-100000</c:v>
                </c:pt>
                <c:pt idx="81">
                  <c:v>-100000</c:v>
                </c:pt>
                <c:pt idx="82">
                  <c:v>-100000</c:v>
                </c:pt>
                <c:pt idx="83">
                  <c:v>-100000</c:v>
                </c:pt>
                <c:pt idx="84">
                  <c:v>-100000</c:v>
                </c:pt>
                <c:pt idx="85">
                  <c:v>-100000</c:v>
                </c:pt>
                <c:pt idx="86">
                  <c:v>-100000</c:v>
                </c:pt>
                <c:pt idx="87">
                  <c:v>-100000</c:v>
                </c:pt>
                <c:pt idx="88">
                  <c:v>-100000</c:v>
                </c:pt>
                <c:pt idx="89">
                  <c:v>-100000</c:v>
                </c:pt>
                <c:pt idx="90">
                  <c:v>-100000</c:v>
                </c:pt>
                <c:pt idx="91">
                  <c:v>-100000</c:v>
                </c:pt>
                <c:pt idx="92">
                  <c:v>-100000</c:v>
                </c:pt>
                <c:pt idx="93">
                  <c:v>-100000</c:v>
                </c:pt>
                <c:pt idx="94">
                  <c:v>-100000</c:v>
                </c:pt>
                <c:pt idx="95">
                  <c:v>-100000</c:v>
                </c:pt>
                <c:pt idx="96">
                  <c:v>-100000</c:v>
                </c:pt>
                <c:pt idx="97">
                  <c:v>-100000</c:v>
                </c:pt>
                <c:pt idx="98">
                  <c:v>-100000</c:v>
                </c:pt>
                <c:pt idx="99">
                  <c:v>-100000</c:v>
                </c:pt>
                <c:pt idx="100">
                  <c:v>-100000</c:v>
                </c:pt>
                <c:pt idx="101">
                  <c:v>-100000</c:v>
                </c:pt>
                <c:pt idx="102">
                  <c:v>-100000</c:v>
                </c:pt>
                <c:pt idx="103">
                  <c:v>-100000</c:v>
                </c:pt>
                <c:pt idx="104">
                  <c:v>-100000</c:v>
                </c:pt>
                <c:pt idx="105">
                  <c:v>-100000</c:v>
                </c:pt>
                <c:pt idx="106">
                  <c:v>-100000</c:v>
                </c:pt>
                <c:pt idx="107">
                  <c:v>-100000</c:v>
                </c:pt>
                <c:pt idx="108">
                  <c:v>-100000</c:v>
                </c:pt>
                <c:pt idx="109">
                  <c:v>-100000</c:v>
                </c:pt>
                <c:pt idx="110">
                  <c:v>-100000</c:v>
                </c:pt>
                <c:pt idx="111">
                  <c:v>-100000</c:v>
                </c:pt>
                <c:pt idx="112">
                  <c:v>-100000</c:v>
                </c:pt>
                <c:pt idx="113">
                  <c:v>-100000</c:v>
                </c:pt>
                <c:pt idx="114">
                  <c:v>-100000</c:v>
                </c:pt>
                <c:pt idx="115">
                  <c:v>-100000</c:v>
                </c:pt>
                <c:pt idx="116">
                  <c:v>-100000</c:v>
                </c:pt>
                <c:pt idx="117">
                  <c:v>-100000</c:v>
                </c:pt>
                <c:pt idx="118">
                  <c:v>-100000</c:v>
                </c:pt>
                <c:pt idx="119">
                  <c:v>-100000</c:v>
                </c:pt>
                <c:pt idx="120">
                  <c:v>-100000</c:v>
                </c:pt>
                <c:pt idx="121">
                  <c:v>-100000</c:v>
                </c:pt>
                <c:pt idx="122">
                  <c:v>-100000</c:v>
                </c:pt>
                <c:pt idx="123">
                  <c:v>-100000</c:v>
                </c:pt>
                <c:pt idx="124">
                  <c:v>-100000</c:v>
                </c:pt>
                <c:pt idx="125">
                  <c:v>-100000</c:v>
                </c:pt>
                <c:pt idx="126">
                  <c:v>-100000</c:v>
                </c:pt>
                <c:pt idx="127">
                  <c:v>-100000</c:v>
                </c:pt>
                <c:pt idx="128">
                  <c:v>-100000</c:v>
                </c:pt>
                <c:pt idx="129">
                  <c:v>-100000</c:v>
                </c:pt>
                <c:pt idx="130">
                  <c:v>-100000</c:v>
                </c:pt>
                <c:pt idx="131">
                  <c:v>-100000</c:v>
                </c:pt>
                <c:pt idx="132">
                  <c:v>-100000</c:v>
                </c:pt>
                <c:pt idx="133">
                  <c:v>-100000</c:v>
                </c:pt>
                <c:pt idx="134">
                  <c:v>-100000</c:v>
                </c:pt>
                <c:pt idx="135">
                  <c:v>-100000</c:v>
                </c:pt>
                <c:pt idx="136">
                  <c:v>-100000</c:v>
                </c:pt>
                <c:pt idx="137">
                  <c:v>-100000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'monthly graphs'!$I$5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rgbClr val="000000"/>
            </a:solidFill>
            <a:ln cap="rnd" w="6480">
              <a:solidFill>
                <a:srgbClr val="00000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'monthly graphs'!$C$6:$C$143</c:f>
              <c:numCache>
                <c:formatCode>mmm\-yy</c:formatCode>
                <c:ptCount val="138"/>
                <c:pt idx="0">
                  <c:v>mai-13</c:v>
                </c:pt>
                <c:pt idx="1">
                  <c:v>juin-13</c:v>
                </c:pt>
                <c:pt idx="2">
                  <c:v>juil.-13</c:v>
                </c:pt>
                <c:pt idx="3">
                  <c:v>août-13</c:v>
                </c:pt>
                <c:pt idx="4">
                  <c:v>sept.-13</c:v>
                </c:pt>
                <c:pt idx="5">
                  <c:v>oct.-13</c:v>
                </c:pt>
                <c:pt idx="6">
                  <c:v>nov.-13</c:v>
                </c:pt>
                <c:pt idx="7">
                  <c:v>déc.-13</c:v>
                </c:pt>
                <c:pt idx="8">
                  <c:v>janv.-14</c:v>
                </c:pt>
                <c:pt idx="9">
                  <c:v>févr.-14</c:v>
                </c:pt>
                <c:pt idx="10">
                  <c:v>mars-14</c:v>
                </c:pt>
                <c:pt idx="11">
                  <c:v>avr.-14</c:v>
                </c:pt>
                <c:pt idx="12">
                  <c:v>mai-14</c:v>
                </c:pt>
                <c:pt idx="13">
                  <c:v>juin-14</c:v>
                </c:pt>
                <c:pt idx="14">
                  <c:v>juil.-14</c:v>
                </c:pt>
                <c:pt idx="15">
                  <c:v>août-14</c:v>
                </c:pt>
                <c:pt idx="16">
                  <c:v>sept.-14</c:v>
                </c:pt>
                <c:pt idx="17">
                  <c:v>oct.-14</c:v>
                </c:pt>
                <c:pt idx="18">
                  <c:v>nov.-14</c:v>
                </c:pt>
                <c:pt idx="19">
                  <c:v>déc.-14</c:v>
                </c:pt>
                <c:pt idx="20">
                  <c:v>janv.-15</c:v>
                </c:pt>
                <c:pt idx="21">
                  <c:v>févr.-15</c:v>
                </c:pt>
                <c:pt idx="22">
                  <c:v>mars-15</c:v>
                </c:pt>
                <c:pt idx="23">
                  <c:v>avr.-15</c:v>
                </c:pt>
                <c:pt idx="24">
                  <c:v>mai-15</c:v>
                </c:pt>
                <c:pt idx="25">
                  <c:v>juin-15</c:v>
                </c:pt>
                <c:pt idx="26">
                  <c:v>juil.-15</c:v>
                </c:pt>
                <c:pt idx="27">
                  <c:v>août-15</c:v>
                </c:pt>
                <c:pt idx="28">
                  <c:v>sept.-15</c:v>
                </c:pt>
                <c:pt idx="29">
                  <c:v>oct.-15</c:v>
                </c:pt>
                <c:pt idx="30">
                  <c:v>nov.-15</c:v>
                </c:pt>
                <c:pt idx="31">
                  <c:v>déc.-15</c:v>
                </c:pt>
                <c:pt idx="32">
                  <c:v>janv.-16</c:v>
                </c:pt>
                <c:pt idx="33">
                  <c:v>févr.-16</c:v>
                </c:pt>
                <c:pt idx="34">
                  <c:v>mars-16</c:v>
                </c:pt>
                <c:pt idx="35">
                  <c:v>avr.-16</c:v>
                </c:pt>
                <c:pt idx="36">
                  <c:v>mai-16</c:v>
                </c:pt>
                <c:pt idx="37">
                  <c:v>juin-16</c:v>
                </c:pt>
                <c:pt idx="38">
                  <c:v>juil.-16</c:v>
                </c:pt>
                <c:pt idx="39">
                  <c:v>août-16</c:v>
                </c:pt>
                <c:pt idx="40">
                  <c:v>sept.-16</c:v>
                </c:pt>
                <c:pt idx="41">
                  <c:v>oct.-16</c:v>
                </c:pt>
                <c:pt idx="42">
                  <c:v>nov.-16</c:v>
                </c:pt>
                <c:pt idx="43">
                  <c:v>déc.-16</c:v>
                </c:pt>
                <c:pt idx="44">
                  <c:v>janv.-17</c:v>
                </c:pt>
                <c:pt idx="45">
                  <c:v>févr.-17</c:v>
                </c:pt>
                <c:pt idx="46">
                  <c:v>mars-17</c:v>
                </c:pt>
                <c:pt idx="47">
                  <c:v>avr.-17</c:v>
                </c:pt>
                <c:pt idx="48">
                  <c:v>mai-17</c:v>
                </c:pt>
                <c:pt idx="49">
                  <c:v>juin-17</c:v>
                </c:pt>
                <c:pt idx="50">
                  <c:v>juil.-17</c:v>
                </c:pt>
                <c:pt idx="51">
                  <c:v>août-17</c:v>
                </c:pt>
                <c:pt idx="52">
                  <c:v>sept.-17</c:v>
                </c:pt>
                <c:pt idx="53">
                  <c:v>oct.-17</c:v>
                </c:pt>
                <c:pt idx="54">
                  <c:v>nov.-17</c:v>
                </c:pt>
                <c:pt idx="55">
                  <c:v>déc.-17</c:v>
                </c:pt>
                <c:pt idx="56">
                  <c:v>janv.-18</c:v>
                </c:pt>
                <c:pt idx="57">
                  <c:v>févr.-18</c:v>
                </c:pt>
                <c:pt idx="58">
                  <c:v>mars-18</c:v>
                </c:pt>
                <c:pt idx="59">
                  <c:v>avr.-18</c:v>
                </c:pt>
                <c:pt idx="60">
                  <c:v>mai-18</c:v>
                </c:pt>
                <c:pt idx="61">
                  <c:v>juin-18</c:v>
                </c:pt>
                <c:pt idx="62">
                  <c:v>juil.-18</c:v>
                </c:pt>
                <c:pt idx="63">
                  <c:v>août-18</c:v>
                </c:pt>
                <c:pt idx="64">
                  <c:v>sept.-18</c:v>
                </c:pt>
                <c:pt idx="65">
                  <c:v>oct.-18</c:v>
                </c:pt>
                <c:pt idx="66">
                  <c:v>nov.-18</c:v>
                </c:pt>
                <c:pt idx="67">
                  <c:v>déc.-18</c:v>
                </c:pt>
                <c:pt idx="68">
                  <c:v>janv.-19</c:v>
                </c:pt>
                <c:pt idx="69">
                  <c:v>févr.-19</c:v>
                </c:pt>
                <c:pt idx="70">
                  <c:v>mars-19</c:v>
                </c:pt>
                <c:pt idx="71">
                  <c:v>avr.-19</c:v>
                </c:pt>
                <c:pt idx="72">
                  <c:v>mai-19</c:v>
                </c:pt>
                <c:pt idx="73">
                  <c:v>juin-19</c:v>
                </c:pt>
                <c:pt idx="74">
                  <c:v>juil.-19</c:v>
                </c:pt>
                <c:pt idx="75">
                  <c:v>août-19</c:v>
                </c:pt>
                <c:pt idx="76">
                  <c:v>sept.-19</c:v>
                </c:pt>
                <c:pt idx="77">
                  <c:v>oct.-19</c:v>
                </c:pt>
                <c:pt idx="78">
                  <c:v>nov.-19</c:v>
                </c:pt>
                <c:pt idx="79">
                  <c:v>déc.-19</c:v>
                </c:pt>
                <c:pt idx="80">
                  <c:v>janv.-20</c:v>
                </c:pt>
                <c:pt idx="81">
                  <c:v>févr.-20</c:v>
                </c:pt>
                <c:pt idx="82">
                  <c:v>mars-20</c:v>
                </c:pt>
                <c:pt idx="83">
                  <c:v>avr.-20</c:v>
                </c:pt>
                <c:pt idx="84">
                  <c:v>mai-20</c:v>
                </c:pt>
                <c:pt idx="85">
                  <c:v>juin-20</c:v>
                </c:pt>
                <c:pt idx="86">
                  <c:v>juil.-20</c:v>
                </c:pt>
                <c:pt idx="87">
                  <c:v>août-20</c:v>
                </c:pt>
                <c:pt idx="88">
                  <c:v>sept.-20</c:v>
                </c:pt>
                <c:pt idx="89">
                  <c:v>oct.-20</c:v>
                </c:pt>
                <c:pt idx="90">
                  <c:v>nov.-20</c:v>
                </c:pt>
                <c:pt idx="91">
                  <c:v>déc.-20</c:v>
                </c:pt>
                <c:pt idx="92">
                  <c:v>janv.-21</c:v>
                </c:pt>
                <c:pt idx="93">
                  <c:v>févr.-21</c:v>
                </c:pt>
                <c:pt idx="94">
                  <c:v>mars-21</c:v>
                </c:pt>
                <c:pt idx="95">
                  <c:v>avr.-21</c:v>
                </c:pt>
                <c:pt idx="96">
                  <c:v>mai-21</c:v>
                </c:pt>
                <c:pt idx="97">
                  <c:v>juin-21</c:v>
                </c:pt>
                <c:pt idx="98">
                  <c:v>juil.-21</c:v>
                </c:pt>
                <c:pt idx="99">
                  <c:v>août-21</c:v>
                </c:pt>
                <c:pt idx="100">
                  <c:v>sept.-21</c:v>
                </c:pt>
                <c:pt idx="101">
                  <c:v>oct.-21</c:v>
                </c:pt>
                <c:pt idx="102">
                  <c:v>nov.-21</c:v>
                </c:pt>
                <c:pt idx="103">
                  <c:v>déc.-21</c:v>
                </c:pt>
                <c:pt idx="104">
                  <c:v>janv.-22</c:v>
                </c:pt>
                <c:pt idx="105">
                  <c:v>févr.-22</c:v>
                </c:pt>
                <c:pt idx="106">
                  <c:v>mars-22</c:v>
                </c:pt>
                <c:pt idx="107">
                  <c:v>avr.-22</c:v>
                </c:pt>
                <c:pt idx="108">
                  <c:v>mai-22</c:v>
                </c:pt>
                <c:pt idx="109">
                  <c:v>juin-22</c:v>
                </c:pt>
                <c:pt idx="110">
                  <c:v>juil.-22</c:v>
                </c:pt>
                <c:pt idx="111">
                  <c:v>août-22</c:v>
                </c:pt>
                <c:pt idx="112">
                  <c:v>sept.-22</c:v>
                </c:pt>
                <c:pt idx="113">
                  <c:v>oct.-22</c:v>
                </c:pt>
                <c:pt idx="114">
                  <c:v>nov.-22</c:v>
                </c:pt>
                <c:pt idx="115">
                  <c:v>déc.-22</c:v>
                </c:pt>
                <c:pt idx="116">
                  <c:v>janv.-23</c:v>
                </c:pt>
                <c:pt idx="117">
                  <c:v>févr.-23</c:v>
                </c:pt>
                <c:pt idx="118">
                  <c:v>mars-23</c:v>
                </c:pt>
                <c:pt idx="119">
                  <c:v>avr.-23</c:v>
                </c:pt>
                <c:pt idx="120">
                  <c:v>mai-23</c:v>
                </c:pt>
                <c:pt idx="121">
                  <c:v>juin-23</c:v>
                </c:pt>
                <c:pt idx="122">
                  <c:v>juil.-23</c:v>
                </c:pt>
                <c:pt idx="123">
                  <c:v>août-23</c:v>
                </c:pt>
                <c:pt idx="124">
                  <c:v>sept.-23</c:v>
                </c:pt>
                <c:pt idx="125">
                  <c:v>oct.-23</c:v>
                </c:pt>
                <c:pt idx="126">
                  <c:v>nov.-23</c:v>
                </c:pt>
                <c:pt idx="127">
                  <c:v>déc.-23</c:v>
                </c:pt>
                <c:pt idx="128">
                  <c:v>janv.-24</c:v>
                </c:pt>
                <c:pt idx="129">
                  <c:v>févr.-24</c:v>
                </c:pt>
                <c:pt idx="130">
                  <c:v>mars-24</c:v>
                </c:pt>
                <c:pt idx="131">
                  <c:v>avr.-24</c:v>
                </c:pt>
                <c:pt idx="132">
                  <c:v>mai-24</c:v>
                </c:pt>
                <c:pt idx="133">
                  <c:v>juin-24</c:v>
                </c:pt>
                <c:pt idx="134">
                  <c:v>juil.-24</c:v>
                </c:pt>
                <c:pt idx="135">
                  <c:v>août-24</c:v>
                </c:pt>
                <c:pt idx="136">
                  <c:v>sept.-24</c:v>
                </c:pt>
                <c:pt idx="137">
                  <c:v>oct.-24</c:v>
                </c:pt>
              </c:numCache>
            </c:numRef>
          </c:cat>
          <c:val>
            <c:numRef>
              <c:f>'monthly graphs'!$I$6:$I$143</c:f>
              <c:numCache>
                <c:formatCode>General</c:formatCode>
                <c:ptCount val="138"/>
              </c:numCache>
            </c:numRef>
          </c:val>
          <c:smooth val="0"/>
        </c:ser>
        <c:ser>
          <c:idx val="4"/>
          <c:order val="4"/>
          <c:tx>
            <c:strRef>
              <c:f>'monthly graphs'!$D$5</c:f>
              <c:strCache>
                <c:ptCount val="1"/>
                <c:pt idx="0">
                  <c:v>commercial_stocks</c:v>
                </c:pt>
              </c:strCache>
            </c:strRef>
          </c:tx>
          <c:spPr>
            <a:solidFill>
              <a:srgbClr val="c00000"/>
            </a:solidFill>
            <a:ln cap="rnd" w="25560">
              <a:solidFill>
                <a:srgbClr val="c00000"/>
              </a:solidFill>
              <a:round/>
            </a:ln>
          </c:spPr>
          <c:marker>
            <c:symbol val="circle"/>
            <c:size val="5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'monthly graphs'!$C$6:$C$143</c:f>
              <c:numCache>
                <c:formatCode>mmm\-yy</c:formatCode>
                <c:ptCount val="138"/>
                <c:pt idx="0">
                  <c:v>mai-13</c:v>
                </c:pt>
                <c:pt idx="1">
                  <c:v>juin-13</c:v>
                </c:pt>
                <c:pt idx="2">
                  <c:v>juil.-13</c:v>
                </c:pt>
                <c:pt idx="3">
                  <c:v>août-13</c:v>
                </c:pt>
                <c:pt idx="4">
                  <c:v>sept.-13</c:v>
                </c:pt>
                <c:pt idx="5">
                  <c:v>oct.-13</c:v>
                </c:pt>
                <c:pt idx="6">
                  <c:v>nov.-13</c:v>
                </c:pt>
                <c:pt idx="7">
                  <c:v>déc.-13</c:v>
                </c:pt>
                <c:pt idx="8">
                  <c:v>janv.-14</c:v>
                </c:pt>
                <c:pt idx="9">
                  <c:v>févr.-14</c:v>
                </c:pt>
                <c:pt idx="10">
                  <c:v>mars-14</c:v>
                </c:pt>
                <c:pt idx="11">
                  <c:v>avr.-14</c:v>
                </c:pt>
                <c:pt idx="12">
                  <c:v>mai-14</c:v>
                </c:pt>
                <c:pt idx="13">
                  <c:v>juin-14</c:v>
                </c:pt>
                <c:pt idx="14">
                  <c:v>juil.-14</c:v>
                </c:pt>
                <c:pt idx="15">
                  <c:v>août-14</c:v>
                </c:pt>
                <c:pt idx="16">
                  <c:v>sept.-14</c:v>
                </c:pt>
                <c:pt idx="17">
                  <c:v>oct.-14</c:v>
                </c:pt>
                <c:pt idx="18">
                  <c:v>nov.-14</c:v>
                </c:pt>
                <c:pt idx="19">
                  <c:v>déc.-14</c:v>
                </c:pt>
                <c:pt idx="20">
                  <c:v>janv.-15</c:v>
                </c:pt>
                <c:pt idx="21">
                  <c:v>févr.-15</c:v>
                </c:pt>
                <c:pt idx="22">
                  <c:v>mars-15</c:v>
                </c:pt>
                <c:pt idx="23">
                  <c:v>avr.-15</c:v>
                </c:pt>
                <c:pt idx="24">
                  <c:v>mai-15</c:v>
                </c:pt>
                <c:pt idx="25">
                  <c:v>juin-15</c:v>
                </c:pt>
                <c:pt idx="26">
                  <c:v>juil.-15</c:v>
                </c:pt>
                <c:pt idx="27">
                  <c:v>août-15</c:v>
                </c:pt>
                <c:pt idx="28">
                  <c:v>sept.-15</c:v>
                </c:pt>
                <c:pt idx="29">
                  <c:v>oct.-15</c:v>
                </c:pt>
                <c:pt idx="30">
                  <c:v>nov.-15</c:v>
                </c:pt>
                <c:pt idx="31">
                  <c:v>déc.-15</c:v>
                </c:pt>
                <c:pt idx="32">
                  <c:v>janv.-16</c:v>
                </c:pt>
                <c:pt idx="33">
                  <c:v>févr.-16</c:v>
                </c:pt>
                <c:pt idx="34">
                  <c:v>mars-16</c:v>
                </c:pt>
                <c:pt idx="35">
                  <c:v>avr.-16</c:v>
                </c:pt>
                <c:pt idx="36">
                  <c:v>mai-16</c:v>
                </c:pt>
                <c:pt idx="37">
                  <c:v>juin-16</c:v>
                </c:pt>
                <c:pt idx="38">
                  <c:v>juil.-16</c:v>
                </c:pt>
                <c:pt idx="39">
                  <c:v>août-16</c:v>
                </c:pt>
                <c:pt idx="40">
                  <c:v>sept.-16</c:v>
                </c:pt>
                <c:pt idx="41">
                  <c:v>oct.-16</c:v>
                </c:pt>
                <c:pt idx="42">
                  <c:v>nov.-16</c:v>
                </c:pt>
                <c:pt idx="43">
                  <c:v>déc.-16</c:v>
                </c:pt>
                <c:pt idx="44">
                  <c:v>janv.-17</c:v>
                </c:pt>
                <c:pt idx="45">
                  <c:v>févr.-17</c:v>
                </c:pt>
                <c:pt idx="46">
                  <c:v>mars-17</c:v>
                </c:pt>
                <c:pt idx="47">
                  <c:v>avr.-17</c:v>
                </c:pt>
                <c:pt idx="48">
                  <c:v>mai-17</c:v>
                </c:pt>
                <c:pt idx="49">
                  <c:v>juin-17</c:v>
                </c:pt>
                <c:pt idx="50">
                  <c:v>juil.-17</c:v>
                </c:pt>
                <c:pt idx="51">
                  <c:v>août-17</c:v>
                </c:pt>
                <c:pt idx="52">
                  <c:v>sept.-17</c:v>
                </c:pt>
                <c:pt idx="53">
                  <c:v>oct.-17</c:v>
                </c:pt>
                <c:pt idx="54">
                  <c:v>nov.-17</c:v>
                </c:pt>
                <c:pt idx="55">
                  <c:v>déc.-17</c:v>
                </c:pt>
                <c:pt idx="56">
                  <c:v>janv.-18</c:v>
                </c:pt>
                <c:pt idx="57">
                  <c:v>févr.-18</c:v>
                </c:pt>
                <c:pt idx="58">
                  <c:v>mars-18</c:v>
                </c:pt>
                <c:pt idx="59">
                  <c:v>avr.-18</c:v>
                </c:pt>
                <c:pt idx="60">
                  <c:v>mai-18</c:v>
                </c:pt>
                <c:pt idx="61">
                  <c:v>juin-18</c:v>
                </c:pt>
                <c:pt idx="62">
                  <c:v>juil.-18</c:v>
                </c:pt>
                <c:pt idx="63">
                  <c:v>août-18</c:v>
                </c:pt>
                <c:pt idx="64">
                  <c:v>sept.-18</c:v>
                </c:pt>
                <c:pt idx="65">
                  <c:v>oct.-18</c:v>
                </c:pt>
                <c:pt idx="66">
                  <c:v>nov.-18</c:v>
                </c:pt>
                <c:pt idx="67">
                  <c:v>déc.-18</c:v>
                </c:pt>
                <c:pt idx="68">
                  <c:v>janv.-19</c:v>
                </c:pt>
                <c:pt idx="69">
                  <c:v>févr.-19</c:v>
                </c:pt>
                <c:pt idx="70">
                  <c:v>mars-19</c:v>
                </c:pt>
                <c:pt idx="71">
                  <c:v>avr.-19</c:v>
                </c:pt>
                <c:pt idx="72">
                  <c:v>mai-19</c:v>
                </c:pt>
                <c:pt idx="73">
                  <c:v>juin-19</c:v>
                </c:pt>
                <c:pt idx="74">
                  <c:v>juil.-19</c:v>
                </c:pt>
                <c:pt idx="75">
                  <c:v>août-19</c:v>
                </c:pt>
                <c:pt idx="76">
                  <c:v>sept.-19</c:v>
                </c:pt>
                <c:pt idx="77">
                  <c:v>oct.-19</c:v>
                </c:pt>
                <c:pt idx="78">
                  <c:v>nov.-19</c:v>
                </c:pt>
                <c:pt idx="79">
                  <c:v>déc.-19</c:v>
                </c:pt>
                <c:pt idx="80">
                  <c:v>janv.-20</c:v>
                </c:pt>
                <c:pt idx="81">
                  <c:v>févr.-20</c:v>
                </c:pt>
                <c:pt idx="82">
                  <c:v>mars-20</c:v>
                </c:pt>
                <c:pt idx="83">
                  <c:v>avr.-20</c:v>
                </c:pt>
                <c:pt idx="84">
                  <c:v>mai-20</c:v>
                </c:pt>
                <c:pt idx="85">
                  <c:v>juin-20</c:v>
                </c:pt>
                <c:pt idx="86">
                  <c:v>juil.-20</c:v>
                </c:pt>
                <c:pt idx="87">
                  <c:v>août-20</c:v>
                </c:pt>
                <c:pt idx="88">
                  <c:v>sept.-20</c:v>
                </c:pt>
                <c:pt idx="89">
                  <c:v>oct.-20</c:v>
                </c:pt>
                <c:pt idx="90">
                  <c:v>nov.-20</c:v>
                </c:pt>
                <c:pt idx="91">
                  <c:v>déc.-20</c:v>
                </c:pt>
                <c:pt idx="92">
                  <c:v>janv.-21</c:v>
                </c:pt>
                <c:pt idx="93">
                  <c:v>févr.-21</c:v>
                </c:pt>
                <c:pt idx="94">
                  <c:v>mars-21</c:v>
                </c:pt>
                <c:pt idx="95">
                  <c:v>avr.-21</c:v>
                </c:pt>
                <c:pt idx="96">
                  <c:v>mai-21</c:v>
                </c:pt>
                <c:pt idx="97">
                  <c:v>juin-21</c:v>
                </c:pt>
                <c:pt idx="98">
                  <c:v>juil.-21</c:v>
                </c:pt>
                <c:pt idx="99">
                  <c:v>août-21</c:v>
                </c:pt>
                <c:pt idx="100">
                  <c:v>sept.-21</c:v>
                </c:pt>
                <c:pt idx="101">
                  <c:v>oct.-21</c:v>
                </c:pt>
                <c:pt idx="102">
                  <c:v>nov.-21</c:v>
                </c:pt>
                <c:pt idx="103">
                  <c:v>déc.-21</c:v>
                </c:pt>
                <c:pt idx="104">
                  <c:v>janv.-22</c:v>
                </c:pt>
                <c:pt idx="105">
                  <c:v>févr.-22</c:v>
                </c:pt>
                <c:pt idx="106">
                  <c:v>mars-22</c:v>
                </c:pt>
                <c:pt idx="107">
                  <c:v>avr.-22</c:v>
                </c:pt>
                <c:pt idx="108">
                  <c:v>mai-22</c:v>
                </c:pt>
                <c:pt idx="109">
                  <c:v>juin-22</c:v>
                </c:pt>
                <c:pt idx="110">
                  <c:v>juil.-22</c:v>
                </c:pt>
                <c:pt idx="111">
                  <c:v>août-22</c:v>
                </c:pt>
                <c:pt idx="112">
                  <c:v>sept.-22</c:v>
                </c:pt>
                <c:pt idx="113">
                  <c:v>oct.-22</c:v>
                </c:pt>
                <c:pt idx="114">
                  <c:v>nov.-22</c:v>
                </c:pt>
                <c:pt idx="115">
                  <c:v>déc.-22</c:v>
                </c:pt>
                <c:pt idx="116">
                  <c:v>janv.-23</c:v>
                </c:pt>
                <c:pt idx="117">
                  <c:v>févr.-23</c:v>
                </c:pt>
                <c:pt idx="118">
                  <c:v>mars-23</c:v>
                </c:pt>
                <c:pt idx="119">
                  <c:v>avr.-23</c:v>
                </c:pt>
                <c:pt idx="120">
                  <c:v>mai-23</c:v>
                </c:pt>
                <c:pt idx="121">
                  <c:v>juin-23</c:v>
                </c:pt>
                <c:pt idx="122">
                  <c:v>juil.-23</c:v>
                </c:pt>
                <c:pt idx="123">
                  <c:v>août-23</c:v>
                </c:pt>
                <c:pt idx="124">
                  <c:v>sept.-23</c:v>
                </c:pt>
                <c:pt idx="125">
                  <c:v>oct.-23</c:v>
                </c:pt>
                <c:pt idx="126">
                  <c:v>nov.-23</c:v>
                </c:pt>
                <c:pt idx="127">
                  <c:v>déc.-23</c:v>
                </c:pt>
                <c:pt idx="128">
                  <c:v>janv.-24</c:v>
                </c:pt>
                <c:pt idx="129">
                  <c:v>févr.-24</c:v>
                </c:pt>
                <c:pt idx="130">
                  <c:v>mars-24</c:v>
                </c:pt>
                <c:pt idx="131">
                  <c:v>avr.-24</c:v>
                </c:pt>
                <c:pt idx="132">
                  <c:v>mai-24</c:v>
                </c:pt>
                <c:pt idx="133">
                  <c:v>juin-24</c:v>
                </c:pt>
                <c:pt idx="134">
                  <c:v>juil.-24</c:v>
                </c:pt>
                <c:pt idx="135">
                  <c:v>août-24</c:v>
                </c:pt>
                <c:pt idx="136">
                  <c:v>sept.-24</c:v>
                </c:pt>
                <c:pt idx="137">
                  <c:v>oct.-24</c:v>
                </c:pt>
              </c:numCache>
            </c:numRef>
          </c:cat>
          <c:val>
            <c:numRef>
              <c:f>'monthly graphs'!$D$6:$D$143</c:f>
              <c:numCache>
                <c:formatCode>General</c:formatCode>
                <c:ptCount val="138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755256"/>
        <c:axId val="31493038"/>
      </c:lineChart>
      <c:dateAx>
        <c:axId val="6755256"/>
        <c:scaling>
          <c:orientation val="minMax"/>
          <c:max val="45292"/>
          <c:min val="43101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1493038"/>
        <c:crosses val="autoZero"/>
        <c:auto val="1"/>
        <c:lblOffset val="100"/>
        <c:baseTimeUnit val="months"/>
        <c:majorUnit val="12"/>
        <c:majorTimeUnit val="months"/>
        <c:noMultiLvlLbl val="0"/>
      </c:dateAx>
      <c:valAx>
        <c:axId val="31493038"/>
        <c:scaling>
          <c:orientation val="minMax"/>
          <c:max val="13000"/>
          <c:min val="9500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755256"/>
        <c:crosses val="autoZero"/>
        <c:crossBetween val="between"/>
      </c:valAx>
      <c:spPr>
        <a:noFill/>
        <a:ln w="0">
          <a:solidFill>
            <a:srgbClr val="000000"/>
          </a:solidFill>
        </a:ln>
      </c:spPr>
    </c:plotArea>
    <c:plotVisOnly val="1"/>
    <c:dispBlanksAs val="gap"/>
  </c:chart>
  <c:spPr>
    <a:solidFill>
      <a:srgbClr val="ffffff"/>
    </a:solidFill>
    <a:ln w="9360">
      <a:noFill/>
    </a:ln>
  </c:sp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xy!$D$3</c:f>
              <c:strCache>
                <c:ptCount val="1"/>
                <c:pt idx="0">
                  <c:v>ara_stocks</c:v>
                </c:pt>
              </c:strCache>
            </c:strRef>
          </c:tx>
          <c:spPr>
            <a:solidFill>
              <a:srgbClr val="000000"/>
            </a:solidFill>
            <a:ln cap="rnd" w="2844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xy!$C$4:$C$4386</c:f>
              <c:numCache>
                <c:formatCode>mmm\-yy</c:formatCode>
                <c:ptCount val="4383"/>
                <c:pt idx="0">
                  <c:v>01/01/2012</c:v>
                </c:pt>
                <c:pt idx="1">
                  <c:v>01/01/2012</c:v>
                </c:pt>
                <c:pt idx="2">
                  <c:v>01/01/2012</c:v>
                </c:pt>
                <c:pt idx="3">
                  <c:v>01/01/2012</c:v>
                </c:pt>
                <c:pt idx="4">
                  <c:v>01/01/2012</c:v>
                </c:pt>
                <c:pt idx="5">
                  <c:v>01/01/2012</c:v>
                </c:pt>
                <c:pt idx="6">
                  <c:v>01/01/2012</c:v>
                </c:pt>
                <c:pt idx="7">
                  <c:v>08/01/2012</c:v>
                </c:pt>
                <c:pt idx="8">
                  <c:v>08/01/2012</c:v>
                </c:pt>
                <c:pt idx="9">
                  <c:v>08/01/2012</c:v>
                </c:pt>
                <c:pt idx="10">
                  <c:v>08/01/2012</c:v>
                </c:pt>
                <c:pt idx="11">
                  <c:v>08/01/2012</c:v>
                </c:pt>
                <c:pt idx="12">
                  <c:v>08/01/2012</c:v>
                </c:pt>
                <c:pt idx="13">
                  <c:v>08/01/2012</c:v>
                </c:pt>
                <c:pt idx="14">
                  <c:v>15/01/2012</c:v>
                </c:pt>
                <c:pt idx="15">
                  <c:v>15/01/2012</c:v>
                </c:pt>
                <c:pt idx="16">
                  <c:v>15/01/2012</c:v>
                </c:pt>
                <c:pt idx="17">
                  <c:v>15/01/2012</c:v>
                </c:pt>
                <c:pt idx="18">
                  <c:v>15/01/2012</c:v>
                </c:pt>
                <c:pt idx="19">
                  <c:v>15/01/2012</c:v>
                </c:pt>
                <c:pt idx="20">
                  <c:v>15/01/2012</c:v>
                </c:pt>
                <c:pt idx="21">
                  <c:v>22/01/2012</c:v>
                </c:pt>
                <c:pt idx="22">
                  <c:v>22/01/2012</c:v>
                </c:pt>
                <c:pt idx="23">
                  <c:v>22/01/2012</c:v>
                </c:pt>
                <c:pt idx="24">
                  <c:v>22/01/2012</c:v>
                </c:pt>
                <c:pt idx="25">
                  <c:v>22/01/2012</c:v>
                </c:pt>
                <c:pt idx="26">
                  <c:v>22/01/2012</c:v>
                </c:pt>
                <c:pt idx="27">
                  <c:v>22/01/2012</c:v>
                </c:pt>
                <c:pt idx="28">
                  <c:v>29/01/2012</c:v>
                </c:pt>
                <c:pt idx="29">
                  <c:v>29/01/2012</c:v>
                </c:pt>
                <c:pt idx="30">
                  <c:v>29/01/2012</c:v>
                </c:pt>
                <c:pt idx="31">
                  <c:v>29/01/2012</c:v>
                </c:pt>
                <c:pt idx="32">
                  <c:v>29/01/2012</c:v>
                </c:pt>
                <c:pt idx="33">
                  <c:v>29/01/2012</c:v>
                </c:pt>
                <c:pt idx="34">
                  <c:v>29/01/2012</c:v>
                </c:pt>
                <c:pt idx="35">
                  <c:v>05/02/2012</c:v>
                </c:pt>
                <c:pt idx="36">
                  <c:v>05/02/2012</c:v>
                </c:pt>
                <c:pt idx="37">
                  <c:v>05/02/2012</c:v>
                </c:pt>
                <c:pt idx="38">
                  <c:v>05/02/2012</c:v>
                </c:pt>
                <c:pt idx="39">
                  <c:v>05/02/2012</c:v>
                </c:pt>
                <c:pt idx="40">
                  <c:v>05/02/2012</c:v>
                </c:pt>
                <c:pt idx="41">
                  <c:v>05/02/2012</c:v>
                </c:pt>
                <c:pt idx="42">
                  <c:v>12/02/2012</c:v>
                </c:pt>
                <c:pt idx="43">
                  <c:v>12/02/2012</c:v>
                </c:pt>
                <c:pt idx="44">
                  <c:v>12/02/2012</c:v>
                </c:pt>
                <c:pt idx="45">
                  <c:v>12/02/2012</c:v>
                </c:pt>
                <c:pt idx="46">
                  <c:v>12/02/2012</c:v>
                </c:pt>
                <c:pt idx="47">
                  <c:v>12/02/2012</c:v>
                </c:pt>
                <c:pt idx="48">
                  <c:v>12/02/2012</c:v>
                </c:pt>
                <c:pt idx="49">
                  <c:v>19/02/2012</c:v>
                </c:pt>
                <c:pt idx="50">
                  <c:v>19/02/2012</c:v>
                </c:pt>
                <c:pt idx="51">
                  <c:v>19/02/2012</c:v>
                </c:pt>
                <c:pt idx="52">
                  <c:v>19/02/2012</c:v>
                </c:pt>
                <c:pt idx="53">
                  <c:v>19/02/2012</c:v>
                </c:pt>
                <c:pt idx="54">
                  <c:v>19/02/2012</c:v>
                </c:pt>
                <c:pt idx="55">
                  <c:v>19/02/2012</c:v>
                </c:pt>
                <c:pt idx="56">
                  <c:v>26/02/2012</c:v>
                </c:pt>
                <c:pt idx="57">
                  <c:v>26/02/2012</c:v>
                </c:pt>
                <c:pt idx="58">
                  <c:v>26/02/2012</c:v>
                </c:pt>
                <c:pt idx="59">
                  <c:v>26/02/2012</c:v>
                </c:pt>
                <c:pt idx="60">
                  <c:v>26/02/2012</c:v>
                </c:pt>
                <c:pt idx="61">
                  <c:v>26/02/2012</c:v>
                </c:pt>
                <c:pt idx="62">
                  <c:v>26/02/2012</c:v>
                </c:pt>
                <c:pt idx="63">
                  <c:v>04/03/2012</c:v>
                </c:pt>
                <c:pt idx="64">
                  <c:v>04/03/2012</c:v>
                </c:pt>
                <c:pt idx="65">
                  <c:v>04/03/2012</c:v>
                </c:pt>
                <c:pt idx="66">
                  <c:v>04/03/2012</c:v>
                </c:pt>
                <c:pt idx="67">
                  <c:v>04/03/2012</c:v>
                </c:pt>
                <c:pt idx="68">
                  <c:v>04/03/2012</c:v>
                </c:pt>
                <c:pt idx="69">
                  <c:v>04/03/2012</c:v>
                </c:pt>
                <c:pt idx="70">
                  <c:v>11/03/2012</c:v>
                </c:pt>
                <c:pt idx="71">
                  <c:v>11/03/2012</c:v>
                </c:pt>
                <c:pt idx="72">
                  <c:v>11/03/2012</c:v>
                </c:pt>
                <c:pt idx="73">
                  <c:v>11/03/2012</c:v>
                </c:pt>
                <c:pt idx="74">
                  <c:v>11/03/2012</c:v>
                </c:pt>
                <c:pt idx="75">
                  <c:v>11/03/2012</c:v>
                </c:pt>
                <c:pt idx="76">
                  <c:v>11/03/2012</c:v>
                </c:pt>
                <c:pt idx="77">
                  <c:v>18/03/2012</c:v>
                </c:pt>
                <c:pt idx="78">
                  <c:v>18/03/2012</c:v>
                </c:pt>
                <c:pt idx="79">
                  <c:v>18/03/2012</c:v>
                </c:pt>
                <c:pt idx="80">
                  <c:v>18/03/2012</c:v>
                </c:pt>
                <c:pt idx="81">
                  <c:v>18/03/2012</c:v>
                </c:pt>
                <c:pt idx="82">
                  <c:v>18/03/2012</c:v>
                </c:pt>
                <c:pt idx="83">
                  <c:v>18/03/2012</c:v>
                </c:pt>
                <c:pt idx="84">
                  <c:v>25/03/2012</c:v>
                </c:pt>
                <c:pt idx="85">
                  <c:v>25/03/2012</c:v>
                </c:pt>
                <c:pt idx="86">
                  <c:v>25/03/2012</c:v>
                </c:pt>
                <c:pt idx="87">
                  <c:v>25/03/2012</c:v>
                </c:pt>
                <c:pt idx="88">
                  <c:v>25/03/2012</c:v>
                </c:pt>
                <c:pt idx="89">
                  <c:v>25/03/2012</c:v>
                </c:pt>
                <c:pt idx="90">
                  <c:v>25/03/2012</c:v>
                </c:pt>
                <c:pt idx="91">
                  <c:v>01/04/2012</c:v>
                </c:pt>
                <c:pt idx="92">
                  <c:v>01/04/2012</c:v>
                </c:pt>
                <c:pt idx="93">
                  <c:v>01/04/2012</c:v>
                </c:pt>
                <c:pt idx="94">
                  <c:v>01/04/2012</c:v>
                </c:pt>
                <c:pt idx="95">
                  <c:v>01/04/2012</c:v>
                </c:pt>
                <c:pt idx="96">
                  <c:v>01/04/2012</c:v>
                </c:pt>
                <c:pt idx="97">
                  <c:v>01/04/2012</c:v>
                </c:pt>
                <c:pt idx="98">
                  <c:v>08/04/2012</c:v>
                </c:pt>
                <c:pt idx="99">
                  <c:v>08/04/2012</c:v>
                </c:pt>
                <c:pt idx="100">
                  <c:v>08/04/2012</c:v>
                </c:pt>
                <c:pt idx="101">
                  <c:v>08/04/2012</c:v>
                </c:pt>
                <c:pt idx="102">
                  <c:v>08/04/2012</c:v>
                </c:pt>
                <c:pt idx="103">
                  <c:v>08/04/2012</c:v>
                </c:pt>
                <c:pt idx="104">
                  <c:v>08/04/2012</c:v>
                </c:pt>
                <c:pt idx="105">
                  <c:v>15/04/2012</c:v>
                </c:pt>
                <c:pt idx="106">
                  <c:v>15/04/2012</c:v>
                </c:pt>
                <c:pt idx="107">
                  <c:v>15/04/2012</c:v>
                </c:pt>
                <c:pt idx="108">
                  <c:v>15/04/2012</c:v>
                </c:pt>
                <c:pt idx="109">
                  <c:v>15/04/2012</c:v>
                </c:pt>
                <c:pt idx="110">
                  <c:v>15/04/2012</c:v>
                </c:pt>
                <c:pt idx="111">
                  <c:v>15/04/2012</c:v>
                </c:pt>
                <c:pt idx="112">
                  <c:v>22/04/2012</c:v>
                </c:pt>
                <c:pt idx="113">
                  <c:v>22/04/2012</c:v>
                </c:pt>
                <c:pt idx="114">
                  <c:v>22/04/2012</c:v>
                </c:pt>
                <c:pt idx="115">
                  <c:v>22/04/2012</c:v>
                </c:pt>
                <c:pt idx="116">
                  <c:v>22/04/2012</c:v>
                </c:pt>
                <c:pt idx="117">
                  <c:v>22/04/2012</c:v>
                </c:pt>
                <c:pt idx="118">
                  <c:v>22/04/2012</c:v>
                </c:pt>
                <c:pt idx="119">
                  <c:v>29/04/2012</c:v>
                </c:pt>
                <c:pt idx="120">
                  <c:v>29/04/2012</c:v>
                </c:pt>
                <c:pt idx="121">
                  <c:v>29/04/2012</c:v>
                </c:pt>
                <c:pt idx="122">
                  <c:v>29/04/2012</c:v>
                </c:pt>
                <c:pt idx="123">
                  <c:v>29/04/2012</c:v>
                </c:pt>
                <c:pt idx="124">
                  <c:v>29/04/2012</c:v>
                </c:pt>
                <c:pt idx="125">
                  <c:v>29/04/2012</c:v>
                </c:pt>
                <c:pt idx="126">
                  <c:v>06/05/2012</c:v>
                </c:pt>
                <c:pt idx="127">
                  <c:v>06/05/2012</c:v>
                </c:pt>
                <c:pt idx="128">
                  <c:v>06/05/2012</c:v>
                </c:pt>
                <c:pt idx="129">
                  <c:v>06/05/2012</c:v>
                </c:pt>
                <c:pt idx="130">
                  <c:v>06/05/2012</c:v>
                </c:pt>
                <c:pt idx="131">
                  <c:v>06/05/2012</c:v>
                </c:pt>
                <c:pt idx="132">
                  <c:v>06/05/2012</c:v>
                </c:pt>
                <c:pt idx="133">
                  <c:v>13/05/2012</c:v>
                </c:pt>
                <c:pt idx="134">
                  <c:v>13/05/2012</c:v>
                </c:pt>
                <c:pt idx="135">
                  <c:v>13/05/2012</c:v>
                </c:pt>
                <c:pt idx="136">
                  <c:v>13/05/2012</c:v>
                </c:pt>
                <c:pt idx="137">
                  <c:v>13/05/2012</c:v>
                </c:pt>
                <c:pt idx="138">
                  <c:v>13/05/2012</c:v>
                </c:pt>
                <c:pt idx="139">
                  <c:v>13/05/2012</c:v>
                </c:pt>
                <c:pt idx="140">
                  <c:v>20/05/2012</c:v>
                </c:pt>
                <c:pt idx="141">
                  <c:v>20/05/2012</c:v>
                </c:pt>
                <c:pt idx="142">
                  <c:v>20/05/2012</c:v>
                </c:pt>
                <c:pt idx="143">
                  <c:v>20/05/2012</c:v>
                </c:pt>
                <c:pt idx="144">
                  <c:v>20/05/2012</c:v>
                </c:pt>
                <c:pt idx="145">
                  <c:v>20/05/2012</c:v>
                </c:pt>
                <c:pt idx="146">
                  <c:v>20/05/2012</c:v>
                </c:pt>
                <c:pt idx="147">
                  <c:v>27/05/2012</c:v>
                </c:pt>
                <c:pt idx="148">
                  <c:v>27/05/2012</c:v>
                </c:pt>
                <c:pt idx="149">
                  <c:v>27/05/2012</c:v>
                </c:pt>
                <c:pt idx="150">
                  <c:v>27/05/2012</c:v>
                </c:pt>
                <c:pt idx="151">
                  <c:v>27/05/2012</c:v>
                </c:pt>
                <c:pt idx="152">
                  <c:v>27/05/2012</c:v>
                </c:pt>
                <c:pt idx="153">
                  <c:v>27/05/2012</c:v>
                </c:pt>
                <c:pt idx="154">
                  <c:v>03/06/2012</c:v>
                </c:pt>
                <c:pt idx="155">
                  <c:v>03/06/2012</c:v>
                </c:pt>
                <c:pt idx="156">
                  <c:v>03/06/2012</c:v>
                </c:pt>
                <c:pt idx="157">
                  <c:v>03/06/2012</c:v>
                </c:pt>
                <c:pt idx="158">
                  <c:v>03/06/2012</c:v>
                </c:pt>
                <c:pt idx="159">
                  <c:v>03/06/2012</c:v>
                </c:pt>
                <c:pt idx="160">
                  <c:v>03/06/2012</c:v>
                </c:pt>
                <c:pt idx="161">
                  <c:v>10/06/2012</c:v>
                </c:pt>
                <c:pt idx="162">
                  <c:v>10/06/2012</c:v>
                </c:pt>
                <c:pt idx="163">
                  <c:v>10/06/2012</c:v>
                </c:pt>
                <c:pt idx="164">
                  <c:v>10/06/2012</c:v>
                </c:pt>
                <c:pt idx="165">
                  <c:v>10/06/2012</c:v>
                </c:pt>
                <c:pt idx="166">
                  <c:v>10/06/2012</c:v>
                </c:pt>
                <c:pt idx="167">
                  <c:v>10/06/2012</c:v>
                </c:pt>
                <c:pt idx="168">
                  <c:v>17/06/2012</c:v>
                </c:pt>
                <c:pt idx="169">
                  <c:v>17/06/2012</c:v>
                </c:pt>
                <c:pt idx="170">
                  <c:v>17/06/2012</c:v>
                </c:pt>
                <c:pt idx="171">
                  <c:v>17/06/2012</c:v>
                </c:pt>
                <c:pt idx="172">
                  <c:v>17/06/2012</c:v>
                </c:pt>
                <c:pt idx="173">
                  <c:v>17/06/2012</c:v>
                </c:pt>
                <c:pt idx="174">
                  <c:v>17/06/2012</c:v>
                </c:pt>
                <c:pt idx="175">
                  <c:v>24/06/2012</c:v>
                </c:pt>
                <c:pt idx="176">
                  <c:v>24/06/2012</c:v>
                </c:pt>
                <c:pt idx="177">
                  <c:v>24/06/2012</c:v>
                </c:pt>
                <c:pt idx="178">
                  <c:v>24/06/2012</c:v>
                </c:pt>
                <c:pt idx="179">
                  <c:v>24/06/2012</c:v>
                </c:pt>
                <c:pt idx="180">
                  <c:v>24/06/2012</c:v>
                </c:pt>
                <c:pt idx="181">
                  <c:v>24/06/2012</c:v>
                </c:pt>
                <c:pt idx="182">
                  <c:v>01/07/2012</c:v>
                </c:pt>
                <c:pt idx="183">
                  <c:v>01/07/2012</c:v>
                </c:pt>
                <c:pt idx="184">
                  <c:v>01/07/2012</c:v>
                </c:pt>
                <c:pt idx="185">
                  <c:v>01/07/2012</c:v>
                </c:pt>
                <c:pt idx="186">
                  <c:v>01/07/2012</c:v>
                </c:pt>
                <c:pt idx="187">
                  <c:v>01/07/2012</c:v>
                </c:pt>
                <c:pt idx="188">
                  <c:v>01/07/2012</c:v>
                </c:pt>
                <c:pt idx="189">
                  <c:v>08/07/2012</c:v>
                </c:pt>
                <c:pt idx="190">
                  <c:v>08/07/2012</c:v>
                </c:pt>
                <c:pt idx="191">
                  <c:v>08/07/2012</c:v>
                </c:pt>
                <c:pt idx="192">
                  <c:v>08/07/2012</c:v>
                </c:pt>
                <c:pt idx="193">
                  <c:v>08/07/2012</c:v>
                </c:pt>
                <c:pt idx="194">
                  <c:v>08/07/2012</c:v>
                </c:pt>
                <c:pt idx="195">
                  <c:v>08/07/2012</c:v>
                </c:pt>
                <c:pt idx="196">
                  <c:v>15/07/2012</c:v>
                </c:pt>
                <c:pt idx="197">
                  <c:v>15/07/2012</c:v>
                </c:pt>
                <c:pt idx="198">
                  <c:v>15/07/2012</c:v>
                </c:pt>
                <c:pt idx="199">
                  <c:v>15/07/2012</c:v>
                </c:pt>
                <c:pt idx="200">
                  <c:v>15/07/2012</c:v>
                </c:pt>
                <c:pt idx="201">
                  <c:v>15/07/2012</c:v>
                </c:pt>
                <c:pt idx="202">
                  <c:v>15/07/2012</c:v>
                </c:pt>
                <c:pt idx="203">
                  <c:v>22/07/2012</c:v>
                </c:pt>
                <c:pt idx="204">
                  <c:v>22/07/2012</c:v>
                </c:pt>
                <c:pt idx="205">
                  <c:v>22/07/2012</c:v>
                </c:pt>
                <c:pt idx="206">
                  <c:v>22/07/2012</c:v>
                </c:pt>
                <c:pt idx="207">
                  <c:v>22/07/2012</c:v>
                </c:pt>
                <c:pt idx="208">
                  <c:v>22/07/2012</c:v>
                </c:pt>
                <c:pt idx="209">
                  <c:v>22/07/2012</c:v>
                </c:pt>
                <c:pt idx="210">
                  <c:v>29/07/2012</c:v>
                </c:pt>
                <c:pt idx="211">
                  <c:v>29/07/2012</c:v>
                </c:pt>
                <c:pt idx="212">
                  <c:v>29/07/2012</c:v>
                </c:pt>
                <c:pt idx="213">
                  <c:v>29/07/2012</c:v>
                </c:pt>
                <c:pt idx="214">
                  <c:v>29/07/2012</c:v>
                </c:pt>
                <c:pt idx="215">
                  <c:v>29/07/2012</c:v>
                </c:pt>
                <c:pt idx="216">
                  <c:v>29/07/2012</c:v>
                </c:pt>
                <c:pt idx="217">
                  <c:v>05/08/2012</c:v>
                </c:pt>
                <c:pt idx="218">
                  <c:v>05/08/2012</c:v>
                </c:pt>
                <c:pt idx="219">
                  <c:v>05/08/2012</c:v>
                </c:pt>
                <c:pt idx="220">
                  <c:v>05/08/2012</c:v>
                </c:pt>
                <c:pt idx="221">
                  <c:v>05/08/2012</c:v>
                </c:pt>
                <c:pt idx="222">
                  <c:v>05/08/2012</c:v>
                </c:pt>
                <c:pt idx="223">
                  <c:v>05/08/2012</c:v>
                </c:pt>
                <c:pt idx="224">
                  <c:v>12/08/2012</c:v>
                </c:pt>
                <c:pt idx="225">
                  <c:v>12/08/2012</c:v>
                </c:pt>
                <c:pt idx="226">
                  <c:v>12/08/2012</c:v>
                </c:pt>
                <c:pt idx="227">
                  <c:v>12/08/2012</c:v>
                </c:pt>
                <c:pt idx="228">
                  <c:v>12/08/2012</c:v>
                </c:pt>
                <c:pt idx="229">
                  <c:v>12/08/2012</c:v>
                </c:pt>
                <c:pt idx="230">
                  <c:v>12/08/2012</c:v>
                </c:pt>
                <c:pt idx="231">
                  <c:v>19/08/2012</c:v>
                </c:pt>
                <c:pt idx="232">
                  <c:v>19/08/2012</c:v>
                </c:pt>
                <c:pt idx="233">
                  <c:v>19/08/2012</c:v>
                </c:pt>
                <c:pt idx="234">
                  <c:v>19/08/2012</c:v>
                </c:pt>
                <c:pt idx="235">
                  <c:v>19/08/2012</c:v>
                </c:pt>
                <c:pt idx="236">
                  <c:v>19/08/2012</c:v>
                </c:pt>
                <c:pt idx="237">
                  <c:v>19/08/2012</c:v>
                </c:pt>
                <c:pt idx="238">
                  <c:v>26/08/2012</c:v>
                </c:pt>
                <c:pt idx="239">
                  <c:v>26/08/2012</c:v>
                </c:pt>
                <c:pt idx="240">
                  <c:v>26/08/2012</c:v>
                </c:pt>
                <c:pt idx="241">
                  <c:v>26/08/2012</c:v>
                </c:pt>
                <c:pt idx="242">
                  <c:v>26/08/2012</c:v>
                </c:pt>
                <c:pt idx="243">
                  <c:v>26/08/2012</c:v>
                </c:pt>
                <c:pt idx="244">
                  <c:v>26/08/2012</c:v>
                </c:pt>
                <c:pt idx="245">
                  <c:v>02/09/2012</c:v>
                </c:pt>
                <c:pt idx="246">
                  <c:v>02/09/2012</c:v>
                </c:pt>
                <c:pt idx="247">
                  <c:v>02/09/2012</c:v>
                </c:pt>
                <c:pt idx="248">
                  <c:v>02/09/2012</c:v>
                </c:pt>
                <c:pt idx="249">
                  <c:v>02/09/2012</c:v>
                </c:pt>
                <c:pt idx="250">
                  <c:v>02/09/2012</c:v>
                </c:pt>
                <c:pt idx="251">
                  <c:v>02/09/2012</c:v>
                </c:pt>
                <c:pt idx="252">
                  <c:v>09/09/2012</c:v>
                </c:pt>
                <c:pt idx="253">
                  <c:v>09/09/2012</c:v>
                </c:pt>
                <c:pt idx="254">
                  <c:v>09/09/2012</c:v>
                </c:pt>
                <c:pt idx="255">
                  <c:v>09/09/2012</c:v>
                </c:pt>
                <c:pt idx="256">
                  <c:v>09/09/2012</c:v>
                </c:pt>
                <c:pt idx="257">
                  <c:v>09/09/2012</c:v>
                </c:pt>
                <c:pt idx="258">
                  <c:v>09/09/2012</c:v>
                </c:pt>
                <c:pt idx="259">
                  <c:v>16/09/2012</c:v>
                </c:pt>
                <c:pt idx="260">
                  <c:v>16/09/2012</c:v>
                </c:pt>
                <c:pt idx="261">
                  <c:v>16/09/2012</c:v>
                </c:pt>
                <c:pt idx="262">
                  <c:v>16/09/2012</c:v>
                </c:pt>
                <c:pt idx="263">
                  <c:v>16/09/2012</c:v>
                </c:pt>
                <c:pt idx="264">
                  <c:v>16/09/2012</c:v>
                </c:pt>
                <c:pt idx="265">
                  <c:v>16/09/2012</c:v>
                </c:pt>
                <c:pt idx="266">
                  <c:v>23/09/2012</c:v>
                </c:pt>
                <c:pt idx="267">
                  <c:v>23/09/2012</c:v>
                </c:pt>
                <c:pt idx="268">
                  <c:v>23/09/2012</c:v>
                </c:pt>
                <c:pt idx="269">
                  <c:v>23/09/2012</c:v>
                </c:pt>
                <c:pt idx="270">
                  <c:v>23/09/2012</c:v>
                </c:pt>
                <c:pt idx="271">
                  <c:v>23/09/2012</c:v>
                </c:pt>
                <c:pt idx="272">
                  <c:v>23/09/2012</c:v>
                </c:pt>
                <c:pt idx="273">
                  <c:v>30/09/2012</c:v>
                </c:pt>
                <c:pt idx="274">
                  <c:v>30/09/2012</c:v>
                </c:pt>
                <c:pt idx="275">
                  <c:v>30/09/2012</c:v>
                </c:pt>
                <c:pt idx="276">
                  <c:v>30/09/2012</c:v>
                </c:pt>
                <c:pt idx="277">
                  <c:v>30/09/2012</c:v>
                </c:pt>
                <c:pt idx="278">
                  <c:v>30/09/2012</c:v>
                </c:pt>
                <c:pt idx="279">
                  <c:v>30/09/2012</c:v>
                </c:pt>
                <c:pt idx="280">
                  <c:v>07/10/2012</c:v>
                </c:pt>
                <c:pt idx="281">
                  <c:v>07/10/2012</c:v>
                </c:pt>
                <c:pt idx="282">
                  <c:v>07/10/2012</c:v>
                </c:pt>
                <c:pt idx="283">
                  <c:v>07/10/2012</c:v>
                </c:pt>
                <c:pt idx="284">
                  <c:v>07/10/2012</c:v>
                </c:pt>
                <c:pt idx="285">
                  <c:v>07/10/2012</c:v>
                </c:pt>
                <c:pt idx="286">
                  <c:v>07/10/2012</c:v>
                </c:pt>
                <c:pt idx="287">
                  <c:v>14/10/2012</c:v>
                </c:pt>
                <c:pt idx="288">
                  <c:v>14/10/2012</c:v>
                </c:pt>
                <c:pt idx="289">
                  <c:v>14/10/2012</c:v>
                </c:pt>
                <c:pt idx="290">
                  <c:v>14/10/2012</c:v>
                </c:pt>
                <c:pt idx="291">
                  <c:v>14/10/2012</c:v>
                </c:pt>
                <c:pt idx="292">
                  <c:v>14/10/2012</c:v>
                </c:pt>
                <c:pt idx="293">
                  <c:v>14/10/2012</c:v>
                </c:pt>
                <c:pt idx="294">
                  <c:v>21/10/2012</c:v>
                </c:pt>
                <c:pt idx="295">
                  <c:v>21/10/2012</c:v>
                </c:pt>
                <c:pt idx="296">
                  <c:v>21/10/2012</c:v>
                </c:pt>
                <c:pt idx="297">
                  <c:v>21/10/2012</c:v>
                </c:pt>
                <c:pt idx="298">
                  <c:v>21/10/2012</c:v>
                </c:pt>
                <c:pt idx="299">
                  <c:v>21/10/2012</c:v>
                </c:pt>
                <c:pt idx="300">
                  <c:v>21/10/2012</c:v>
                </c:pt>
                <c:pt idx="301">
                  <c:v>28/10/2012</c:v>
                </c:pt>
                <c:pt idx="302">
                  <c:v>28/10/2012</c:v>
                </c:pt>
                <c:pt idx="303">
                  <c:v>28/10/2012</c:v>
                </c:pt>
                <c:pt idx="304">
                  <c:v>28/10/2012</c:v>
                </c:pt>
                <c:pt idx="305">
                  <c:v>28/10/2012</c:v>
                </c:pt>
                <c:pt idx="306">
                  <c:v>28/10/2012</c:v>
                </c:pt>
                <c:pt idx="307">
                  <c:v>28/10/2012</c:v>
                </c:pt>
                <c:pt idx="308">
                  <c:v>04/11/2012</c:v>
                </c:pt>
                <c:pt idx="309">
                  <c:v>04/11/2012</c:v>
                </c:pt>
                <c:pt idx="310">
                  <c:v>04/11/2012</c:v>
                </c:pt>
                <c:pt idx="311">
                  <c:v>04/11/2012</c:v>
                </c:pt>
                <c:pt idx="312">
                  <c:v>04/11/2012</c:v>
                </c:pt>
                <c:pt idx="313">
                  <c:v>04/11/2012</c:v>
                </c:pt>
                <c:pt idx="314">
                  <c:v>04/11/2012</c:v>
                </c:pt>
                <c:pt idx="315">
                  <c:v>11/11/2012</c:v>
                </c:pt>
                <c:pt idx="316">
                  <c:v>11/11/2012</c:v>
                </c:pt>
                <c:pt idx="317">
                  <c:v>11/11/2012</c:v>
                </c:pt>
                <c:pt idx="318">
                  <c:v>11/11/2012</c:v>
                </c:pt>
                <c:pt idx="319">
                  <c:v>11/11/2012</c:v>
                </c:pt>
                <c:pt idx="320">
                  <c:v>11/11/2012</c:v>
                </c:pt>
                <c:pt idx="321">
                  <c:v>11/11/2012</c:v>
                </c:pt>
                <c:pt idx="322">
                  <c:v>18/11/2012</c:v>
                </c:pt>
                <c:pt idx="323">
                  <c:v>18/11/2012</c:v>
                </c:pt>
                <c:pt idx="324">
                  <c:v>18/11/2012</c:v>
                </c:pt>
                <c:pt idx="325">
                  <c:v>18/11/2012</c:v>
                </c:pt>
                <c:pt idx="326">
                  <c:v>18/11/2012</c:v>
                </c:pt>
                <c:pt idx="327">
                  <c:v>18/11/2012</c:v>
                </c:pt>
                <c:pt idx="328">
                  <c:v>18/11/2012</c:v>
                </c:pt>
                <c:pt idx="329">
                  <c:v>25/11/2012</c:v>
                </c:pt>
                <c:pt idx="330">
                  <c:v>25/11/2012</c:v>
                </c:pt>
                <c:pt idx="331">
                  <c:v>25/11/2012</c:v>
                </c:pt>
                <c:pt idx="332">
                  <c:v>25/11/2012</c:v>
                </c:pt>
                <c:pt idx="333">
                  <c:v>25/11/2012</c:v>
                </c:pt>
                <c:pt idx="334">
                  <c:v>25/11/2012</c:v>
                </c:pt>
                <c:pt idx="335">
                  <c:v>25/11/2012</c:v>
                </c:pt>
                <c:pt idx="336">
                  <c:v>02/12/2012</c:v>
                </c:pt>
                <c:pt idx="337">
                  <c:v>02/12/2012</c:v>
                </c:pt>
                <c:pt idx="338">
                  <c:v>02/12/2012</c:v>
                </c:pt>
                <c:pt idx="339">
                  <c:v>02/12/2012</c:v>
                </c:pt>
                <c:pt idx="340">
                  <c:v>02/12/2012</c:v>
                </c:pt>
                <c:pt idx="341">
                  <c:v>02/12/2012</c:v>
                </c:pt>
                <c:pt idx="342">
                  <c:v>02/12/2012</c:v>
                </c:pt>
                <c:pt idx="343">
                  <c:v>09/12/2012</c:v>
                </c:pt>
                <c:pt idx="344">
                  <c:v>09/12/2012</c:v>
                </c:pt>
                <c:pt idx="345">
                  <c:v>09/12/2012</c:v>
                </c:pt>
                <c:pt idx="346">
                  <c:v>09/12/2012</c:v>
                </c:pt>
                <c:pt idx="347">
                  <c:v>09/12/2012</c:v>
                </c:pt>
                <c:pt idx="348">
                  <c:v>09/12/2012</c:v>
                </c:pt>
                <c:pt idx="349">
                  <c:v>09/12/2012</c:v>
                </c:pt>
                <c:pt idx="350">
                  <c:v>16/12/2012</c:v>
                </c:pt>
                <c:pt idx="351">
                  <c:v>16/12/2012</c:v>
                </c:pt>
                <c:pt idx="352">
                  <c:v>16/12/2012</c:v>
                </c:pt>
                <c:pt idx="353">
                  <c:v>16/12/2012</c:v>
                </c:pt>
                <c:pt idx="354">
                  <c:v>16/12/2012</c:v>
                </c:pt>
                <c:pt idx="355">
                  <c:v>16/12/2012</c:v>
                </c:pt>
                <c:pt idx="356">
                  <c:v>16/12/2012</c:v>
                </c:pt>
                <c:pt idx="357">
                  <c:v>23/12/2012</c:v>
                </c:pt>
                <c:pt idx="358">
                  <c:v>23/12/2012</c:v>
                </c:pt>
                <c:pt idx="359">
                  <c:v>23/12/2012</c:v>
                </c:pt>
                <c:pt idx="360">
                  <c:v>23/12/2012</c:v>
                </c:pt>
                <c:pt idx="361">
                  <c:v>23/12/2012</c:v>
                </c:pt>
                <c:pt idx="362">
                  <c:v>23/12/2012</c:v>
                </c:pt>
                <c:pt idx="363">
                  <c:v>23/12/2012</c:v>
                </c:pt>
                <c:pt idx="364">
                  <c:v>30/12/2012</c:v>
                </c:pt>
                <c:pt idx="365">
                  <c:v>30/12/2012</c:v>
                </c:pt>
                <c:pt idx="366">
                  <c:v>30/12/2012</c:v>
                </c:pt>
                <c:pt idx="367">
                  <c:v>30/12/2012</c:v>
                </c:pt>
                <c:pt idx="368">
                  <c:v>30/12/2012</c:v>
                </c:pt>
                <c:pt idx="369">
                  <c:v>30/12/2012</c:v>
                </c:pt>
                <c:pt idx="370">
                  <c:v>30/12/2012</c:v>
                </c:pt>
                <c:pt idx="371">
                  <c:v>06/01/2013</c:v>
                </c:pt>
                <c:pt idx="372">
                  <c:v>06/01/2013</c:v>
                </c:pt>
                <c:pt idx="373">
                  <c:v>06/01/2013</c:v>
                </c:pt>
                <c:pt idx="374">
                  <c:v>06/01/2013</c:v>
                </c:pt>
                <c:pt idx="375">
                  <c:v>06/01/2013</c:v>
                </c:pt>
                <c:pt idx="376">
                  <c:v>06/01/2013</c:v>
                </c:pt>
                <c:pt idx="377">
                  <c:v>06/01/2013</c:v>
                </c:pt>
                <c:pt idx="378">
                  <c:v>13/01/2013</c:v>
                </c:pt>
                <c:pt idx="379">
                  <c:v>13/01/2013</c:v>
                </c:pt>
                <c:pt idx="380">
                  <c:v>13/01/2013</c:v>
                </c:pt>
                <c:pt idx="381">
                  <c:v>13/01/2013</c:v>
                </c:pt>
                <c:pt idx="382">
                  <c:v>13/01/2013</c:v>
                </c:pt>
                <c:pt idx="383">
                  <c:v>13/01/2013</c:v>
                </c:pt>
                <c:pt idx="384">
                  <c:v>13/01/2013</c:v>
                </c:pt>
                <c:pt idx="385">
                  <c:v>20/01/2013</c:v>
                </c:pt>
                <c:pt idx="386">
                  <c:v>20/01/2013</c:v>
                </c:pt>
                <c:pt idx="387">
                  <c:v>20/01/2013</c:v>
                </c:pt>
                <c:pt idx="388">
                  <c:v>20/01/2013</c:v>
                </c:pt>
                <c:pt idx="389">
                  <c:v>20/01/2013</c:v>
                </c:pt>
                <c:pt idx="390">
                  <c:v>20/01/2013</c:v>
                </c:pt>
                <c:pt idx="391">
                  <c:v>20/01/2013</c:v>
                </c:pt>
                <c:pt idx="392">
                  <c:v>27/01/2013</c:v>
                </c:pt>
                <c:pt idx="393">
                  <c:v>27/01/2013</c:v>
                </c:pt>
                <c:pt idx="394">
                  <c:v>27/01/2013</c:v>
                </c:pt>
                <c:pt idx="395">
                  <c:v>27/01/2013</c:v>
                </c:pt>
                <c:pt idx="396">
                  <c:v>27/01/2013</c:v>
                </c:pt>
                <c:pt idx="397">
                  <c:v>27/01/2013</c:v>
                </c:pt>
                <c:pt idx="398">
                  <c:v>27/01/2013</c:v>
                </c:pt>
                <c:pt idx="399">
                  <c:v>03/02/2013</c:v>
                </c:pt>
                <c:pt idx="400">
                  <c:v>03/02/2013</c:v>
                </c:pt>
                <c:pt idx="401">
                  <c:v>03/02/2013</c:v>
                </c:pt>
                <c:pt idx="402">
                  <c:v>03/02/2013</c:v>
                </c:pt>
                <c:pt idx="403">
                  <c:v>03/02/2013</c:v>
                </c:pt>
                <c:pt idx="404">
                  <c:v>03/02/2013</c:v>
                </c:pt>
                <c:pt idx="405">
                  <c:v>03/02/2013</c:v>
                </c:pt>
                <c:pt idx="406">
                  <c:v>10/02/2013</c:v>
                </c:pt>
                <c:pt idx="407">
                  <c:v>10/02/2013</c:v>
                </c:pt>
                <c:pt idx="408">
                  <c:v>10/02/2013</c:v>
                </c:pt>
                <c:pt idx="409">
                  <c:v>10/02/2013</c:v>
                </c:pt>
                <c:pt idx="410">
                  <c:v>10/02/2013</c:v>
                </c:pt>
                <c:pt idx="411">
                  <c:v>10/02/2013</c:v>
                </c:pt>
                <c:pt idx="412">
                  <c:v>10/02/2013</c:v>
                </c:pt>
                <c:pt idx="413">
                  <c:v>17/02/2013</c:v>
                </c:pt>
                <c:pt idx="414">
                  <c:v>17/02/2013</c:v>
                </c:pt>
                <c:pt idx="415">
                  <c:v>17/02/2013</c:v>
                </c:pt>
                <c:pt idx="416">
                  <c:v>17/02/2013</c:v>
                </c:pt>
                <c:pt idx="417">
                  <c:v>17/02/2013</c:v>
                </c:pt>
                <c:pt idx="418">
                  <c:v>17/02/2013</c:v>
                </c:pt>
                <c:pt idx="419">
                  <c:v>17/02/2013</c:v>
                </c:pt>
                <c:pt idx="420">
                  <c:v>24/02/2013</c:v>
                </c:pt>
                <c:pt idx="421">
                  <c:v>24/02/2013</c:v>
                </c:pt>
                <c:pt idx="422">
                  <c:v>24/02/2013</c:v>
                </c:pt>
                <c:pt idx="423">
                  <c:v>24/02/2013</c:v>
                </c:pt>
                <c:pt idx="424">
                  <c:v>24/02/2013</c:v>
                </c:pt>
                <c:pt idx="425">
                  <c:v>24/02/2013</c:v>
                </c:pt>
                <c:pt idx="426">
                  <c:v>24/02/2013</c:v>
                </c:pt>
                <c:pt idx="427">
                  <c:v>03/03/2013</c:v>
                </c:pt>
                <c:pt idx="428">
                  <c:v>03/03/2013</c:v>
                </c:pt>
                <c:pt idx="429">
                  <c:v>03/03/2013</c:v>
                </c:pt>
                <c:pt idx="430">
                  <c:v>03/03/2013</c:v>
                </c:pt>
                <c:pt idx="431">
                  <c:v>03/03/2013</c:v>
                </c:pt>
                <c:pt idx="432">
                  <c:v>03/03/2013</c:v>
                </c:pt>
                <c:pt idx="433">
                  <c:v>03/03/2013</c:v>
                </c:pt>
                <c:pt idx="434">
                  <c:v>10/03/2013</c:v>
                </c:pt>
                <c:pt idx="435">
                  <c:v>10/03/2013</c:v>
                </c:pt>
                <c:pt idx="436">
                  <c:v>10/03/2013</c:v>
                </c:pt>
                <c:pt idx="437">
                  <c:v>10/03/2013</c:v>
                </c:pt>
                <c:pt idx="438">
                  <c:v>10/03/2013</c:v>
                </c:pt>
                <c:pt idx="439">
                  <c:v>10/03/2013</c:v>
                </c:pt>
                <c:pt idx="440">
                  <c:v>10/03/2013</c:v>
                </c:pt>
                <c:pt idx="441">
                  <c:v>17/03/2013</c:v>
                </c:pt>
                <c:pt idx="442">
                  <c:v>17/03/2013</c:v>
                </c:pt>
                <c:pt idx="443">
                  <c:v>17/03/2013</c:v>
                </c:pt>
                <c:pt idx="444">
                  <c:v>17/03/2013</c:v>
                </c:pt>
                <c:pt idx="445">
                  <c:v>17/03/2013</c:v>
                </c:pt>
                <c:pt idx="446">
                  <c:v>17/03/2013</c:v>
                </c:pt>
                <c:pt idx="447">
                  <c:v>17/03/2013</c:v>
                </c:pt>
                <c:pt idx="448">
                  <c:v>24/03/2013</c:v>
                </c:pt>
                <c:pt idx="449">
                  <c:v>24/03/2013</c:v>
                </c:pt>
                <c:pt idx="450">
                  <c:v>24/03/2013</c:v>
                </c:pt>
                <c:pt idx="451">
                  <c:v>24/03/2013</c:v>
                </c:pt>
                <c:pt idx="452">
                  <c:v>24/03/2013</c:v>
                </c:pt>
                <c:pt idx="453">
                  <c:v>24/03/2013</c:v>
                </c:pt>
                <c:pt idx="454">
                  <c:v>24/03/2013</c:v>
                </c:pt>
                <c:pt idx="455">
                  <c:v>31/03/2013</c:v>
                </c:pt>
                <c:pt idx="456">
                  <c:v>31/03/2013</c:v>
                </c:pt>
                <c:pt idx="457">
                  <c:v>31/03/2013</c:v>
                </c:pt>
                <c:pt idx="458">
                  <c:v>31/03/2013</c:v>
                </c:pt>
                <c:pt idx="459">
                  <c:v>31/03/2013</c:v>
                </c:pt>
                <c:pt idx="460">
                  <c:v>31/03/2013</c:v>
                </c:pt>
                <c:pt idx="461">
                  <c:v>31/03/2013</c:v>
                </c:pt>
                <c:pt idx="462">
                  <c:v>07/04/2013</c:v>
                </c:pt>
                <c:pt idx="463">
                  <c:v>07/04/2013</c:v>
                </c:pt>
                <c:pt idx="464">
                  <c:v>07/04/2013</c:v>
                </c:pt>
                <c:pt idx="465">
                  <c:v>07/04/2013</c:v>
                </c:pt>
                <c:pt idx="466">
                  <c:v>07/04/2013</c:v>
                </c:pt>
                <c:pt idx="467">
                  <c:v>07/04/2013</c:v>
                </c:pt>
                <c:pt idx="468">
                  <c:v>07/04/2013</c:v>
                </c:pt>
                <c:pt idx="469">
                  <c:v>14/04/2013</c:v>
                </c:pt>
                <c:pt idx="470">
                  <c:v>14/04/2013</c:v>
                </c:pt>
                <c:pt idx="471">
                  <c:v>14/04/2013</c:v>
                </c:pt>
                <c:pt idx="472">
                  <c:v>14/04/2013</c:v>
                </c:pt>
                <c:pt idx="473">
                  <c:v>14/04/2013</c:v>
                </c:pt>
                <c:pt idx="474">
                  <c:v>14/04/2013</c:v>
                </c:pt>
                <c:pt idx="475">
                  <c:v>14/04/2013</c:v>
                </c:pt>
                <c:pt idx="476">
                  <c:v>21/04/2013</c:v>
                </c:pt>
                <c:pt idx="477">
                  <c:v>21/04/2013</c:v>
                </c:pt>
                <c:pt idx="478">
                  <c:v>21/04/2013</c:v>
                </c:pt>
                <c:pt idx="479">
                  <c:v>21/04/2013</c:v>
                </c:pt>
                <c:pt idx="480">
                  <c:v>21/04/2013</c:v>
                </c:pt>
                <c:pt idx="481">
                  <c:v>21/04/2013</c:v>
                </c:pt>
                <c:pt idx="482">
                  <c:v>21/04/2013</c:v>
                </c:pt>
                <c:pt idx="483">
                  <c:v>28/04/2013</c:v>
                </c:pt>
                <c:pt idx="484">
                  <c:v>28/04/2013</c:v>
                </c:pt>
                <c:pt idx="485">
                  <c:v>28/04/2013</c:v>
                </c:pt>
                <c:pt idx="486">
                  <c:v>28/04/2013</c:v>
                </c:pt>
                <c:pt idx="487">
                  <c:v>28/04/2013</c:v>
                </c:pt>
                <c:pt idx="488">
                  <c:v>28/04/2013</c:v>
                </c:pt>
                <c:pt idx="489">
                  <c:v>28/04/2013</c:v>
                </c:pt>
                <c:pt idx="490">
                  <c:v>05/05/2013</c:v>
                </c:pt>
                <c:pt idx="491">
                  <c:v>05/05/2013</c:v>
                </c:pt>
                <c:pt idx="492">
                  <c:v>05/05/2013</c:v>
                </c:pt>
                <c:pt idx="493">
                  <c:v>05/05/2013</c:v>
                </c:pt>
                <c:pt idx="494">
                  <c:v>05/05/2013</c:v>
                </c:pt>
                <c:pt idx="495">
                  <c:v>05/05/2013</c:v>
                </c:pt>
                <c:pt idx="496">
                  <c:v>05/05/2013</c:v>
                </c:pt>
                <c:pt idx="497">
                  <c:v>12/05/2013</c:v>
                </c:pt>
                <c:pt idx="498">
                  <c:v>12/05/2013</c:v>
                </c:pt>
                <c:pt idx="499">
                  <c:v>12/05/2013</c:v>
                </c:pt>
                <c:pt idx="500">
                  <c:v>12/05/2013</c:v>
                </c:pt>
                <c:pt idx="501">
                  <c:v>12/05/2013</c:v>
                </c:pt>
                <c:pt idx="502">
                  <c:v>12/05/2013</c:v>
                </c:pt>
                <c:pt idx="503">
                  <c:v>12/05/2013</c:v>
                </c:pt>
                <c:pt idx="504">
                  <c:v>19/05/2013</c:v>
                </c:pt>
                <c:pt idx="505">
                  <c:v>19/05/2013</c:v>
                </c:pt>
                <c:pt idx="506">
                  <c:v>19/05/2013</c:v>
                </c:pt>
                <c:pt idx="507">
                  <c:v>19/05/2013</c:v>
                </c:pt>
                <c:pt idx="508">
                  <c:v>19/05/2013</c:v>
                </c:pt>
                <c:pt idx="509">
                  <c:v>19/05/2013</c:v>
                </c:pt>
                <c:pt idx="510">
                  <c:v>19/05/2013</c:v>
                </c:pt>
                <c:pt idx="511">
                  <c:v>26/05/2013</c:v>
                </c:pt>
                <c:pt idx="512">
                  <c:v>26/05/2013</c:v>
                </c:pt>
                <c:pt idx="513">
                  <c:v>26/05/2013</c:v>
                </c:pt>
                <c:pt idx="514">
                  <c:v>26/05/2013</c:v>
                </c:pt>
                <c:pt idx="515">
                  <c:v>26/05/2013</c:v>
                </c:pt>
                <c:pt idx="516">
                  <c:v>26/05/2013</c:v>
                </c:pt>
                <c:pt idx="517">
                  <c:v>26/05/2013</c:v>
                </c:pt>
                <c:pt idx="518">
                  <c:v>02/06/2013</c:v>
                </c:pt>
                <c:pt idx="519">
                  <c:v>02/06/2013</c:v>
                </c:pt>
                <c:pt idx="520">
                  <c:v>02/06/2013</c:v>
                </c:pt>
                <c:pt idx="521">
                  <c:v>02/06/2013</c:v>
                </c:pt>
                <c:pt idx="522">
                  <c:v>02/06/2013</c:v>
                </c:pt>
                <c:pt idx="523">
                  <c:v>02/06/2013</c:v>
                </c:pt>
                <c:pt idx="524">
                  <c:v>02/06/2013</c:v>
                </c:pt>
                <c:pt idx="525">
                  <c:v>09/06/2013</c:v>
                </c:pt>
                <c:pt idx="526">
                  <c:v>09/06/2013</c:v>
                </c:pt>
                <c:pt idx="527">
                  <c:v>09/06/2013</c:v>
                </c:pt>
                <c:pt idx="528">
                  <c:v>09/06/2013</c:v>
                </c:pt>
                <c:pt idx="529">
                  <c:v>09/06/2013</c:v>
                </c:pt>
                <c:pt idx="530">
                  <c:v>09/06/2013</c:v>
                </c:pt>
                <c:pt idx="531">
                  <c:v>09/06/2013</c:v>
                </c:pt>
                <c:pt idx="532">
                  <c:v>16/06/2013</c:v>
                </c:pt>
                <c:pt idx="533">
                  <c:v>16/06/2013</c:v>
                </c:pt>
                <c:pt idx="534">
                  <c:v>16/06/2013</c:v>
                </c:pt>
                <c:pt idx="535">
                  <c:v>16/06/2013</c:v>
                </c:pt>
                <c:pt idx="536">
                  <c:v>16/06/2013</c:v>
                </c:pt>
                <c:pt idx="537">
                  <c:v>16/06/2013</c:v>
                </c:pt>
                <c:pt idx="538">
                  <c:v>16/06/2013</c:v>
                </c:pt>
                <c:pt idx="539">
                  <c:v>23/06/2013</c:v>
                </c:pt>
                <c:pt idx="540">
                  <c:v>23/06/2013</c:v>
                </c:pt>
                <c:pt idx="541">
                  <c:v>23/06/2013</c:v>
                </c:pt>
                <c:pt idx="542">
                  <c:v>23/06/2013</c:v>
                </c:pt>
                <c:pt idx="543">
                  <c:v>23/06/2013</c:v>
                </c:pt>
                <c:pt idx="544">
                  <c:v>23/06/2013</c:v>
                </c:pt>
                <c:pt idx="545">
                  <c:v>23/06/2013</c:v>
                </c:pt>
                <c:pt idx="546">
                  <c:v>30/06/2013</c:v>
                </c:pt>
                <c:pt idx="547">
                  <c:v>30/06/2013</c:v>
                </c:pt>
                <c:pt idx="548">
                  <c:v>30/06/2013</c:v>
                </c:pt>
                <c:pt idx="549">
                  <c:v>30/06/2013</c:v>
                </c:pt>
                <c:pt idx="550">
                  <c:v>30/06/2013</c:v>
                </c:pt>
                <c:pt idx="551">
                  <c:v>30/06/2013</c:v>
                </c:pt>
                <c:pt idx="552">
                  <c:v>30/06/2013</c:v>
                </c:pt>
                <c:pt idx="553">
                  <c:v>07/07/2013</c:v>
                </c:pt>
                <c:pt idx="554">
                  <c:v>07/07/2013</c:v>
                </c:pt>
                <c:pt idx="555">
                  <c:v>07/07/2013</c:v>
                </c:pt>
                <c:pt idx="556">
                  <c:v>07/07/2013</c:v>
                </c:pt>
                <c:pt idx="557">
                  <c:v>07/07/2013</c:v>
                </c:pt>
                <c:pt idx="558">
                  <c:v>07/07/2013</c:v>
                </c:pt>
                <c:pt idx="559">
                  <c:v>07/07/2013</c:v>
                </c:pt>
                <c:pt idx="560">
                  <c:v>14/07/2013</c:v>
                </c:pt>
                <c:pt idx="561">
                  <c:v>14/07/2013</c:v>
                </c:pt>
                <c:pt idx="562">
                  <c:v>14/07/2013</c:v>
                </c:pt>
                <c:pt idx="563">
                  <c:v>14/07/2013</c:v>
                </c:pt>
                <c:pt idx="564">
                  <c:v>14/07/2013</c:v>
                </c:pt>
                <c:pt idx="565">
                  <c:v>14/07/2013</c:v>
                </c:pt>
                <c:pt idx="566">
                  <c:v>14/07/2013</c:v>
                </c:pt>
                <c:pt idx="567">
                  <c:v>21/07/2013</c:v>
                </c:pt>
                <c:pt idx="568">
                  <c:v>21/07/2013</c:v>
                </c:pt>
                <c:pt idx="569">
                  <c:v>21/07/2013</c:v>
                </c:pt>
                <c:pt idx="570">
                  <c:v>21/07/2013</c:v>
                </c:pt>
                <c:pt idx="571">
                  <c:v>21/07/2013</c:v>
                </c:pt>
                <c:pt idx="572">
                  <c:v>21/07/2013</c:v>
                </c:pt>
                <c:pt idx="573">
                  <c:v>21/07/2013</c:v>
                </c:pt>
                <c:pt idx="574">
                  <c:v>28/07/2013</c:v>
                </c:pt>
                <c:pt idx="575">
                  <c:v>28/07/2013</c:v>
                </c:pt>
                <c:pt idx="576">
                  <c:v>28/07/2013</c:v>
                </c:pt>
                <c:pt idx="577">
                  <c:v>28/07/2013</c:v>
                </c:pt>
                <c:pt idx="578">
                  <c:v>28/07/2013</c:v>
                </c:pt>
                <c:pt idx="579">
                  <c:v>28/07/2013</c:v>
                </c:pt>
                <c:pt idx="580">
                  <c:v>28/07/2013</c:v>
                </c:pt>
                <c:pt idx="581">
                  <c:v>04/08/2013</c:v>
                </c:pt>
                <c:pt idx="582">
                  <c:v>04/08/2013</c:v>
                </c:pt>
                <c:pt idx="583">
                  <c:v>04/08/2013</c:v>
                </c:pt>
                <c:pt idx="584">
                  <c:v>04/08/2013</c:v>
                </c:pt>
                <c:pt idx="585">
                  <c:v>04/08/2013</c:v>
                </c:pt>
                <c:pt idx="586">
                  <c:v>04/08/2013</c:v>
                </c:pt>
                <c:pt idx="587">
                  <c:v>04/08/2013</c:v>
                </c:pt>
                <c:pt idx="588">
                  <c:v>11/08/2013</c:v>
                </c:pt>
                <c:pt idx="589">
                  <c:v>11/08/2013</c:v>
                </c:pt>
                <c:pt idx="590">
                  <c:v>11/08/2013</c:v>
                </c:pt>
                <c:pt idx="591">
                  <c:v>11/08/2013</c:v>
                </c:pt>
                <c:pt idx="592">
                  <c:v>11/08/2013</c:v>
                </c:pt>
                <c:pt idx="593">
                  <c:v>11/08/2013</c:v>
                </c:pt>
                <c:pt idx="594">
                  <c:v>11/08/2013</c:v>
                </c:pt>
                <c:pt idx="595">
                  <c:v>18/08/2013</c:v>
                </c:pt>
                <c:pt idx="596">
                  <c:v>18/08/2013</c:v>
                </c:pt>
                <c:pt idx="597">
                  <c:v>18/08/2013</c:v>
                </c:pt>
                <c:pt idx="598">
                  <c:v>18/08/2013</c:v>
                </c:pt>
                <c:pt idx="599">
                  <c:v>18/08/2013</c:v>
                </c:pt>
                <c:pt idx="600">
                  <c:v>18/08/2013</c:v>
                </c:pt>
                <c:pt idx="601">
                  <c:v>18/08/2013</c:v>
                </c:pt>
                <c:pt idx="602">
                  <c:v>25/08/2013</c:v>
                </c:pt>
                <c:pt idx="603">
                  <c:v>25/08/2013</c:v>
                </c:pt>
                <c:pt idx="604">
                  <c:v>25/08/2013</c:v>
                </c:pt>
                <c:pt idx="605">
                  <c:v>25/08/2013</c:v>
                </c:pt>
                <c:pt idx="606">
                  <c:v>25/08/2013</c:v>
                </c:pt>
                <c:pt idx="607">
                  <c:v>25/08/2013</c:v>
                </c:pt>
                <c:pt idx="608">
                  <c:v>25/08/2013</c:v>
                </c:pt>
                <c:pt idx="609">
                  <c:v>01/09/2013</c:v>
                </c:pt>
                <c:pt idx="610">
                  <c:v>01/09/2013</c:v>
                </c:pt>
                <c:pt idx="611">
                  <c:v>01/09/2013</c:v>
                </c:pt>
                <c:pt idx="612">
                  <c:v>01/09/2013</c:v>
                </c:pt>
                <c:pt idx="613">
                  <c:v>01/09/2013</c:v>
                </c:pt>
                <c:pt idx="614">
                  <c:v>01/09/2013</c:v>
                </c:pt>
                <c:pt idx="615">
                  <c:v>01/09/2013</c:v>
                </c:pt>
                <c:pt idx="616">
                  <c:v>08/09/2013</c:v>
                </c:pt>
                <c:pt idx="617">
                  <c:v>08/09/2013</c:v>
                </c:pt>
                <c:pt idx="618">
                  <c:v>08/09/2013</c:v>
                </c:pt>
                <c:pt idx="619">
                  <c:v>08/09/2013</c:v>
                </c:pt>
                <c:pt idx="620">
                  <c:v>08/09/2013</c:v>
                </c:pt>
                <c:pt idx="621">
                  <c:v>08/09/2013</c:v>
                </c:pt>
                <c:pt idx="622">
                  <c:v>08/09/2013</c:v>
                </c:pt>
                <c:pt idx="623">
                  <c:v>15/09/2013</c:v>
                </c:pt>
                <c:pt idx="624">
                  <c:v>15/09/2013</c:v>
                </c:pt>
                <c:pt idx="625">
                  <c:v>15/09/2013</c:v>
                </c:pt>
                <c:pt idx="626">
                  <c:v>15/09/2013</c:v>
                </c:pt>
                <c:pt idx="627">
                  <c:v>15/09/2013</c:v>
                </c:pt>
                <c:pt idx="628">
                  <c:v>15/09/2013</c:v>
                </c:pt>
                <c:pt idx="629">
                  <c:v>15/09/2013</c:v>
                </c:pt>
                <c:pt idx="630">
                  <c:v>22/09/2013</c:v>
                </c:pt>
                <c:pt idx="631">
                  <c:v>22/09/2013</c:v>
                </c:pt>
                <c:pt idx="632">
                  <c:v>22/09/2013</c:v>
                </c:pt>
                <c:pt idx="633">
                  <c:v>22/09/2013</c:v>
                </c:pt>
                <c:pt idx="634">
                  <c:v>22/09/2013</c:v>
                </c:pt>
                <c:pt idx="635">
                  <c:v>22/09/2013</c:v>
                </c:pt>
                <c:pt idx="636">
                  <c:v>22/09/2013</c:v>
                </c:pt>
                <c:pt idx="637">
                  <c:v>29/09/2013</c:v>
                </c:pt>
                <c:pt idx="638">
                  <c:v>29/09/2013</c:v>
                </c:pt>
                <c:pt idx="639">
                  <c:v>29/09/2013</c:v>
                </c:pt>
                <c:pt idx="640">
                  <c:v>29/09/2013</c:v>
                </c:pt>
                <c:pt idx="641">
                  <c:v>29/09/2013</c:v>
                </c:pt>
                <c:pt idx="642">
                  <c:v>29/09/2013</c:v>
                </c:pt>
                <c:pt idx="643">
                  <c:v>29/09/2013</c:v>
                </c:pt>
                <c:pt idx="644">
                  <c:v>06/10/2013</c:v>
                </c:pt>
                <c:pt idx="645">
                  <c:v>06/10/2013</c:v>
                </c:pt>
                <c:pt idx="646">
                  <c:v>06/10/2013</c:v>
                </c:pt>
                <c:pt idx="647">
                  <c:v>06/10/2013</c:v>
                </c:pt>
                <c:pt idx="648">
                  <c:v>06/10/2013</c:v>
                </c:pt>
                <c:pt idx="649">
                  <c:v>06/10/2013</c:v>
                </c:pt>
                <c:pt idx="650">
                  <c:v>06/10/2013</c:v>
                </c:pt>
                <c:pt idx="651">
                  <c:v>13/10/2013</c:v>
                </c:pt>
                <c:pt idx="652">
                  <c:v>13/10/2013</c:v>
                </c:pt>
                <c:pt idx="653">
                  <c:v>13/10/2013</c:v>
                </c:pt>
                <c:pt idx="654">
                  <c:v>13/10/2013</c:v>
                </c:pt>
                <c:pt idx="655">
                  <c:v>13/10/2013</c:v>
                </c:pt>
                <c:pt idx="656">
                  <c:v>13/10/2013</c:v>
                </c:pt>
                <c:pt idx="657">
                  <c:v>13/10/2013</c:v>
                </c:pt>
                <c:pt idx="658">
                  <c:v>20/10/2013</c:v>
                </c:pt>
                <c:pt idx="659">
                  <c:v>20/10/2013</c:v>
                </c:pt>
                <c:pt idx="660">
                  <c:v>20/10/2013</c:v>
                </c:pt>
                <c:pt idx="661">
                  <c:v>20/10/2013</c:v>
                </c:pt>
                <c:pt idx="662">
                  <c:v>20/10/2013</c:v>
                </c:pt>
                <c:pt idx="663">
                  <c:v>20/10/2013</c:v>
                </c:pt>
                <c:pt idx="664">
                  <c:v>20/10/2013</c:v>
                </c:pt>
                <c:pt idx="665">
                  <c:v>27/10/2013</c:v>
                </c:pt>
                <c:pt idx="666">
                  <c:v>27/10/2013</c:v>
                </c:pt>
                <c:pt idx="667">
                  <c:v>27/10/2013</c:v>
                </c:pt>
                <c:pt idx="668">
                  <c:v>27/10/2013</c:v>
                </c:pt>
                <c:pt idx="669">
                  <c:v>27/10/2013</c:v>
                </c:pt>
                <c:pt idx="670">
                  <c:v>27/10/2013</c:v>
                </c:pt>
                <c:pt idx="671">
                  <c:v>27/10/2013</c:v>
                </c:pt>
                <c:pt idx="672">
                  <c:v>03/11/2013</c:v>
                </c:pt>
                <c:pt idx="673">
                  <c:v>03/11/2013</c:v>
                </c:pt>
                <c:pt idx="674">
                  <c:v>03/11/2013</c:v>
                </c:pt>
                <c:pt idx="675">
                  <c:v>03/11/2013</c:v>
                </c:pt>
                <c:pt idx="676">
                  <c:v>03/11/2013</c:v>
                </c:pt>
                <c:pt idx="677">
                  <c:v>03/11/2013</c:v>
                </c:pt>
                <c:pt idx="678">
                  <c:v>03/11/2013</c:v>
                </c:pt>
                <c:pt idx="679">
                  <c:v>10/11/2013</c:v>
                </c:pt>
                <c:pt idx="680">
                  <c:v>10/11/2013</c:v>
                </c:pt>
                <c:pt idx="681">
                  <c:v>10/11/2013</c:v>
                </c:pt>
                <c:pt idx="682">
                  <c:v>10/11/2013</c:v>
                </c:pt>
                <c:pt idx="683">
                  <c:v>10/11/2013</c:v>
                </c:pt>
                <c:pt idx="684">
                  <c:v>10/11/2013</c:v>
                </c:pt>
                <c:pt idx="685">
                  <c:v>10/11/2013</c:v>
                </c:pt>
                <c:pt idx="686">
                  <c:v>17/11/2013</c:v>
                </c:pt>
                <c:pt idx="687">
                  <c:v>17/11/2013</c:v>
                </c:pt>
                <c:pt idx="688">
                  <c:v>17/11/2013</c:v>
                </c:pt>
                <c:pt idx="689">
                  <c:v>17/11/2013</c:v>
                </c:pt>
                <c:pt idx="690">
                  <c:v>17/11/2013</c:v>
                </c:pt>
                <c:pt idx="691">
                  <c:v>17/11/2013</c:v>
                </c:pt>
                <c:pt idx="692">
                  <c:v>17/11/2013</c:v>
                </c:pt>
                <c:pt idx="693">
                  <c:v>24/11/2013</c:v>
                </c:pt>
                <c:pt idx="694">
                  <c:v>24/11/2013</c:v>
                </c:pt>
                <c:pt idx="695">
                  <c:v>24/11/2013</c:v>
                </c:pt>
                <c:pt idx="696">
                  <c:v>24/11/2013</c:v>
                </c:pt>
                <c:pt idx="697">
                  <c:v>24/11/2013</c:v>
                </c:pt>
                <c:pt idx="698">
                  <c:v>24/11/2013</c:v>
                </c:pt>
                <c:pt idx="699">
                  <c:v>24/11/2013</c:v>
                </c:pt>
                <c:pt idx="700">
                  <c:v>01/12/2013</c:v>
                </c:pt>
                <c:pt idx="701">
                  <c:v>01/12/2013</c:v>
                </c:pt>
                <c:pt idx="702">
                  <c:v>01/12/2013</c:v>
                </c:pt>
                <c:pt idx="703">
                  <c:v>01/12/2013</c:v>
                </c:pt>
                <c:pt idx="704">
                  <c:v>01/12/2013</c:v>
                </c:pt>
                <c:pt idx="705">
                  <c:v>01/12/2013</c:v>
                </c:pt>
                <c:pt idx="706">
                  <c:v>01/12/2013</c:v>
                </c:pt>
                <c:pt idx="707">
                  <c:v>08/12/2013</c:v>
                </c:pt>
                <c:pt idx="708">
                  <c:v>08/12/2013</c:v>
                </c:pt>
                <c:pt idx="709">
                  <c:v>08/12/2013</c:v>
                </c:pt>
                <c:pt idx="710">
                  <c:v>08/12/2013</c:v>
                </c:pt>
                <c:pt idx="711">
                  <c:v>08/12/2013</c:v>
                </c:pt>
                <c:pt idx="712">
                  <c:v>08/12/2013</c:v>
                </c:pt>
                <c:pt idx="713">
                  <c:v>08/12/2013</c:v>
                </c:pt>
                <c:pt idx="714">
                  <c:v>15/12/2013</c:v>
                </c:pt>
                <c:pt idx="715">
                  <c:v>15/12/2013</c:v>
                </c:pt>
                <c:pt idx="716">
                  <c:v>15/12/2013</c:v>
                </c:pt>
                <c:pt idx="717">
                  <c:v>15/12/2013</c:v>
                </c:pt>
                <c:pt idx="718">
                  <c:v>15/12/2013</c:v>
                </c:pt>
                <c:pt idx="719">
                  <c:v>15/12/2013</c:v>
                </c:pt>
                <c:pt idx="720">
                  <c:v>15/12/2013</c:v>
                </c:pt>
                <c:pt idx="721">
                  <c:v>22/12/2013</c:v>
                </c:pt>
                <c:pt idx="722">
                  <c:v>22/12/2013</c:v>
                </c:pt>
                <c:pt idx="723">
                  <c:v>22/12/2013</c:v>
                </c:pt>
                <c:pt idx="724">
                  <c:v>22/12/2013</c:v>
                </c:pt>
                <c:pt idx="725">
                  <c:v>22/12/2013</c:v>
                </c:pt>
                <c:pt idx="726">
                  <c:v>22/12/2013</c:v>
                </c:pt>
                <c:pt idx="727">
                  <c:v>22/12/2013</c:v>
                </c:pt>
                <c:pt idx="728">
                  <c:v>29/12/2013</c:v>
                </c:pt>
                <c:pt idx="729">
                  <c:v>29/12/2013</c:v>
                </c:pt>
                <c:pt idx="730">
                  <c:v>29/12/2013</c:v>
                </c:pt>
                <c:pt idx="731">
                  <c:v>29/12/2013</c:v>
                </c:pt>
                <c:pt idx="732">
                  <c:v>29/12/2013</c:v>
                </c:pt>
                <c:pt idx="733">
                  <c:v>29/12/2013</c:v>
                </c:pt>
                <c:pt idx="734">
                  <c:v>29/12/2013</c:v>
                </c:pt>
                <c:pt idx="735">
                  <c:v>05/01/2014</c:v>
                </c:pt>
                <c:pt idx="736">
                  <c:v>05/01/2014</c:v>
                </c:pt>
                <c:pt idx="737">
                  <c:v>05/01/2014</c:v>
                </c:pt>
                <c:pt idx="738">
                  <c:v>05/01/2014</c:v>
                </c:pt>
                <c:pt idx="739">
                  <c:v>05/01/2014</c:v>
                </c:pt>
                <c:pt idx="740">
                  <c:v>05/01/2014</c:v>
                </c:pt>
                <c:pt idx="741">
                  <c:v>05/01/2014</c:v>
                </c:pt>
                <c:pt idx="742">
                  <c:v>12/01/2014</c:v>
                </c:pt>
                <c:pt idx="743">
                  <c:v>12/01/2014</c:v>
                </c:pt>
                <c:pt idx="744">
                  <c:v>12/01/2014</c:v>
                </c:pt>
                <c:pt idx="745">
                  <c:v>12/01/2014</c:v>
                </c:pt>
                <c:pt idx="746">
                  <c:v>12/01/2014</c:v>
                </c:pt>
                <c:pt idx="747">
                  <c:v>12/01/2014</c:v>
                </c:pt>
                <c:pt idx="748">
                  <c:v>12/01/2014</c:v>
                </c:pt>
                <c:pt idx="749">
                  <c:v>19/01/2014</c:v>
                </c:pt>
                <c:pt idx="750">
                  <c:v>19/01/2014</c:v>
                </c:pt>
                <c:pt idx="751">
                  <c:v>19/01/2014</c:v>
                </c:pt>
                <c:pt idx="752">
                  <c:v>19/01/2014</c:v>
                </c:pt>
                <c:pt idx="753">
                  <c:v>19/01/2014</c:v>
                </c:pt>
                <c:pt idx="754">
                  <c:v>19/01/2014</c:v>
                </c:pt>
                <c:pt idx="755">
                  <c:v>19/01/2014</c:v>
                </c:pt>
                <c:pt idx="756">
                  <c:v>26/01/2014</c:v>
                </c:pt>
                <c:pt idx="757">
                  <c:v>26/01/2014</c:v>
                </c:pt>
                <c:pt idx="758">
                  <c:v>26/01/2014</c:v>
                </c:pt>
                <c:pt idx="759">
                  <c:v>26/01/2014</c:v>
                </c:pt>
                <c:pt idx="760">
                  <c:v>26/01/2014</c:v>
                </c:pt>
                <c:pt idx="761">
                  <c:v>26/01/2014</c:v>
                </c:pt>
                <c:pt idx="762">
                  <c:v>26/01/2014</c:v>
                </c:pt>
                <c:pt idx="763">
                  <c:v>02/02/2014</c:v>
                </c:pt>
                <c:pt idx="764">
                  <c:v>02/02/2014</c:v>
                </c:pt>
                <c:pt idx="765">
                  <c:v>02/02/2014</c:v>
                </c:pt>
                <c:pt idx="766">
                  <c:v>02/02/2014</c:v>
                </c:pt>
                <c:pt idx="767">
                  <c:v>02/02/2014</c:v>
                </c:pt>
                <c:pt idx="768">
                  <c:v>02/02/2014</c:v>
                </c:pt>
                <c:pt idx="769">
                  <c:v>02/02/2014</c:v>
                </c:pt>
                <c:pt idx="770">
                  <c:v>09/02/2014</c:v>
                </c:pt>
                <c:pt idx="771">
                  <c:v>09/02/2014</c:v>
                </c:pt>
                <c:pt idx="772">
                  <c:v>09/02/2014</c:v>
                </c:pt>
                <c:pt idx="773">
                  <c:v>09/02/2014</c:v>
                </c:pt>
                <c:pt idx="774">
                  <c:v>09/02/2014</c:v>
                </c:pt>
                <c:pt idx="775">
                  <c:v>09/02/2014</c:v>
                </c:pt>
                <c:pt idx="776">
                  <c:v>09/02/2014</c:v>
                </c:pt>
                <c:pt idx="777">
                  <c:v>16/02/2014</c:v>
                </c:pt>
                <c:pt idx="778">
                  <c:v>16/02/2014</c:v>
                </c:pt>
                <c:pt idx="779">
                  <c:v>16/02/2014</c:v>
                </c:pt>
                <c:pt idx="780">
                  <c:v>16/02/2014</c:v>
                </c:pt>
                <c:pt idx="781">
                  <c:v>16/02/2014</c:v>
                </c:pt>
                <c:pt idx="782">
                  <c:v>16/02/2014</c:v>
                </c:pt>
                <c:pt idx="783">
                  <c:v>16/02/2014</c:v>
                </c:pt>
                <c:pt idx="784">
                  <c:v>23/02/2014</c:v>
                </c:pt>
                <c:pt idx="785">
                  <c:v>23/02/2014</c:v>
                </c:pt>
                <c:pt idx="786">
                  <c:v>23/02/2014</c:v>
                </c:pt>
                <c:pt idx="787">
                  <c:v>23/02/2014</c:v>
                </c:pt>
                <c:pt idx="788">
                  <c:v>23/02/2014</c:v>
                </c:pt>
                <c:pt idx="789">
                  <c:v>23/02/2014</c:v>
                </c:pt>
                <c:pt idx="790">
                  <c:v>23/02/2014</c:v>
                </c:pt>
                <c:pt idx="791">
                  <c:v>02/03/2014</c:v>
                </c:pt>
                <c:pt idx="792">
                  <c:v>02/03/2014</c:v>
                </c:pt>
                <c:pt idx="793">
                  <c:v>02/03/2014</c:v>
                </c:pt>
                <c:pt idx="794">
                  <c:v>02/03/2014</c:v>
                </c:pt>
                <c:pt idx="795">
                  <c:v>02/03/2014</c:v>
                </c:pt>
                <c:pt idx="796">
                  <c:v>02/03/2014</c:v>
                </c:pt>
                <c:pt idx="797">
                  <c:v>02/03/2014</c:v>
                </c:pt>
                <c:pt idx="798">
                  <c:v>09/03/2014</c:v>
                </c:pt>
                <c:pt idx="799">
                  <c:v>09/03/2014</c:v>
                </c:pt>
                <c:pt idx="800">
                  <c:v>09/03/2014</c:v>
                </c:pt>
                <c:pt idx="801">
                  <c:v>09/03/2014</c:v>
                </c:pt>
                <c:pt idx="802">
                  <c:v>09/03/2014</c:v>
                </c:pt>
                <c:pt idx="803">
                  <c:v>09/03/2014</c:v>
                </c:pt>
                <c:pt idx="804">
                  <c:v>09/03/2014</c:v>
                </c:pt>
                <c:pt idx="805">
                  <c:v>16/03/2014</c:v>
                </c:pt>
                <c:pt idx="806">
                  <c:v>16/03/2014</c:v>
                </c:pt>
                <c:pt idx="807">
                  <c:v>16/03/2014</c:v>
                </c:pt>
                <c:pt idx="808">
                  <c:v>16/03/2014</c:v>
                </c:pt>
                <c:pt idx="809">
                  <c:v>16/03/2014</c:v>
                </c:pt>
                <c:pt idx="810">
                  <c:v>16/03/2014</c:v>
                </c:pt>
                <c:pt idx="811">
                  <c:v>16/03/2014</c:v>
                </c:pt>
                <c:pt idx="812">
                  <c:v>23/03/2014</c:v>
                </c:pt>
                <c:pt idx="813">
                  <c:v>23/03/2014</c:v>
                </c:pt>
                <c:pt idx="814">
                  <c:v>23/03/2014</c:v>
                </c:pt>
                <c:pt idx="815">
                  <c:v>23/03/2014</c:v>
                </c:pt>
                <c:pt idx="816">
                  <c:v>23/03/2014</c:v>
                </c:pt>
                <c:pt idx="817">
                  <c:v>23/03/2014</c:v>
                </c:pt>
                <c:pt idx="818">
                  <c:v>23/03/2014</c:v>
                </c:pt>
                <c:pt idx="819">
                  <c:v>30/03/2014</c:v>
                </c:pt>
                <c:pt idx="820">
                  <c:v>30/03/2014</c:v>
                </c:pt>
                <c:pt idx="821">
                  <c:v>30/03/2014</c:v>
                </c:pt>
                <c:pt idx="822">
                  <c:v>30/03/2014</c:v>
                </c:pt>
                <c:pt idx="823">
                  <c:v>30/03/2014</c:v>
                </c:pt>
                <c:pt idx="824">
                  <c:v>30/03/2014</c:v>
                </c:pt>
                <c:pt idx="825">
                  <c:v>30/03/2014</c:v>
                </c:pt>
                <c:pt idx="826">
                  <c:v>06/04/2014</c:v>
                </c:pt>
                <c:pt idx="827">
                  <c:v>06/04/2014</c:v>
                </c:pt>
                <c:pt idx="828">
                  <c:v>06/04/2014</c:v>
                </c:pt>
                <c:pt idx="829">
                  <c:v>06/04/2014</c:v>
                </c:pt>
                <c:pt idx="830">
                  <c:v>06/04/2014</c:v>
                </c:pt>
                <c:pt idx="831">
                  <c:v>06/04/2014</c:v>
                </c:pt>
                <c:pt idx="832">
                  <c:v>06/04/2014</c:v>
                </c:pt>
                <c:pt idx="833">
                  <c:v>13/04/2014</c:v>
                </c:pt>
                <c:pt idx="834">
                  <c:v>13/04/2014</c:v>
                </c:pt>
                <c:pt idx="835">
                  <c:v>13/04/2014</c:v>
                </c:pt>
                <c:pt idx="836">
                  <c:v>13/04/2014</c:v>
                </c:pt>
                <c:pt idx="837">
                  <c:v>13/04/2014</c:v>
                </c:pt>
                <c:pt idx="838">
                  <c:v>13/04/2014</c:v>
                </c:pt>
                <c:pt idx="839">
                  <c:v>13/04/2014</c:v>
                </c:pt>
                <c:pt idx="840">
                  <c:v>20/04/2014</c:v>
                </c:pt>
                <c:pt idx="841">
                  <c:v>20/04/2014</c:v>
                </c:pt>
                <c:pt idx="842">
                  <c:v>20/04/2014</c:v>
                </c:pt>
                <c:pt idx="843">
                  <c:v>20/04/2014</c:v>
                </c:pt>
                <c:pt idx="844">
                  <c:v>20/04/2014</c:v>
                </c:pt>
                <c:pt idx="845">
                  <c:v>20/04/2014</c:v>
                </c:pt>
                <c:pt idx="846">
                  <c:v>20/04/2014</c:v>
                </c:pt>
                <c:pt idx="847">
                  <c:v>27/04/2014</c:v>
                </c:pt>
                <c:pt idx="848">
                  <c:v>27/04/2014</c:v>
                </c:pt>
                <c:pt idx="849">
                  <c:v>27/04/2014</c:v>
                </c:pt>
                <c:pt idx="850">
                  <c:v>27/04/2014</c:v>
                </c:pt>
                <c:pt idx="851">
                  <c:v>27/04/2014</c:v>
                </c:pt>
                <c:pt idx="852">
                  <c:v>27/04/2014</c:v>
                </c:pt>
                <c:pt idx="853">
                  <c:v>27/04/2014</c:v>
                </c:pt>
                <c:pt idx="854">
                  <c:v>04/05/2014</c:v>
                </c:pt>
                <c:pt idx="855">
                  <c:v>04/05/2014</c:v>
                </c:pt>
                <c:pt idx="856">
                  <c:v>04/05/2014</c:v>
                </c:pt>
                <c:pt idx="857">
                  <c:v>04/05/2014</c:v>
                </c:pt>
                <c:pt idx="858">
                  <c:v>04/05/2014</c:v>
                </c:pt>
                <c:pt idx="859">
                  <c:v>04/05/2014</c:v>
                </c:pt>
                <c:pt idx="860">
                  <c:v>04/05/2014</c:v>
                </c:pt>
                <c:pt idx="861">
                  <c:v>11/05/2014</c:v>
                </c:pt>
                <c:pt idx="862">
                  <c:v>11/05/2014</c:v>
                </c:pt>
                <c:pt idx="863">
                  <c:v>11/05/2014</c:v>
                </c:pt>
                <c:pt idx="864">
                  <c:v>11/05/2014</c:v>
                </c:pt>
                <c:pt idx="865">
                  <c:v>11/05/2014</c:v>
                </c:pt>
                <c:pt idx="866">
                  <c:v>11/05/2014</c:v>
                </c:pt>
                <c:pt idx="867">
                  <c:v>11/05/2014</c:v>
                </c:pt>
                <c:pt idx="868">
                  <c:v>18/05/2014</c:v>
                </c:pt>
                <c:pt idx="869">
                  <c:v>18/05/2014</c:v>
                </c:pt>
                <c:pt idx="870">
                  <c:v>18/05/2014</c:v>
                </c:pt>
                <c:pt idx="871">
                  <c:v>18/05/2014</c:v>
                </c:pt>
                <c:pt idx="872">
                  <c:v>18/05/2014</c:v>
                </c:pt>
                <c:pt idx="873">
                  <c:v>18/05/2014</c:v>
                </c:pt>
                <c:pt idx="874">
                  <c:v>18/05/2014</c:v>
                </c:pt>
                <c:pt idx="875">
                  <c:v>25/05/2014</c:v>
                </c:pt>
                <c:pt idx="876">
                  <c:v>25/05/2014</c:v>
                </c:pt>
                <c:pt idx="877">
                  <c:v>25/05/2014</c:v>
                </c:pt>
                <c:pt idx="878">
                  <c:v>25/05/2014</c:v>
                </c:pt>
                <c:pt idx="879">
                  <c:v>25/05/2014</c:v>
                </c:pt>
                <c:pt idx="880">
                  <c:v>25/05/2014</c:v>
                </c:pt>
                <c:pt idx="881">
                  <c:v>25/05/2014</c:v>
                </c:pt>
                <c:pt idx="882">
                  <c:v>01/06/2014</c:v>
                </c:pt>
                <c:pt idx="883">
                  <c:v>01/06/2014</c:v>
                </c:pt>
                <c:pt idx="884">
                  <c:v>01/06/2014</c:v>
                </c:pt>
                <c:pt idx="885">
                  <c:v>01/06/2014</c:v>
                </c:pt>
                <c:pt idx="886">
                  <c:v>01/06/2014</c:v>
                </c:pt>
                <c:pt idx="887">
                  <c:v>01/06/2014</c:v>
                </c:pt>
                <c:pt idx="888">
                  <c:v>01/06/2014</c:v>
                </c:pt>
                <c:pt idx="889">
                  <c:v>08/06/2014</c:v>
                </c:pt>
                <c:pt idx="890">
                  <c:v>08/06/2014</c:v>
                </c:pt>
                <c:pt idx="891">
                  <c:v>08/06/2014</c:v>
                </c:pt>
                <c:pt idx="892">
                  <c:v>08/06/2014</c:v>
                </c:pt>
                <c:pt idx="893">
                  <c:v>08/06/2014</c:v>
                </c:pt>
                <c:pt idx="894">
                  <c:v>08/06/2014</c:v>
                </c:pt>
                <c:pt idx="895">
                  <c:v>08/06/2014</c:v>
                </c:pt>
                <c:pt idx="896">
                  <c:v>15/06/2014</c:v>
                </c:pt>
                <c:pt idx="897">
                  <c:v>15/06/2014</c:v>
                </c:pt>
                <c:pt idx="898">
                  <c:v>15/06/2014</c:v>
                </c:pt>
                <c:pt idx="899">
                  <c:v>15/06/2014</c:v>
                </c:pt>
                <c:pt idx="900">
                  <c:v>15/06/2014</c:v>
                </c:pt>
                <c:pt idx="901">
                  <c:v>15/06/2014</c:v>
                </c:pt>
                <c:pt idx="902">
                  <c:v>15/06/2014</c:v>
                </c:pt>
                <c:pt idx="903">
                  <c:v>22/06/2014</c:v>
                </c:pt>
                <c:pt idx="904">
                  <c:v>22/06/2014</c:v>
                </c:pt>
                <c:pt idx="905">
                  <c:v>22/06/2014</c:v>
                </c:pt>
                <c:pt idx="906">
                  <c:v>22/06/2014</c:v>
                </c:pt>
                <c:pt idx="907">
                  <c:v>22/06/2014</c:v>
                </c:pt>
                <c:pt idx="908">
                  <c:v>22/06/2014</c:v>
                </c:pt>
                <c:pt idx="909">
                  <c:v>22/06/2014</c:v>
                </c:pt>
                <c:pt idx="910">
                  <c:v>29/06/2014</c:v>
                </c:pt>
                <c:pt idx="911">
                  <c:v>29/06/2014</c:v>
                </c:pt>
                <c:pt idx="912">
                  <c:v>29/06/2014</c:v>
                </c:pt>
                <c:pt idx="913">
                  <c:v>29/06/2014</c:v>
                </c:pt>
                <c:pt idx="914">
                  <c:v>29/06/2014</c:v>
                </c:pt>
                <c:pt idx="915">
                  <c:v>29/06/2014</c:v>
                </c:pt>
                <c:pt idx="916">
                  <c:v>29/06/2014</c:v>
                </c:pt>
                <c:pt idx="917">
                  <c:v>06/07/2014</c:v>
                </c:pt>
                <c:pt idx="918">
                  <c:v>06/07/2014</c:v>
                </c:pt>
                <c:pt idx="919">
                  <c:v>06/07/2014</c:v>
                </c:pt>
                <c:pt idx="920">
                  <c:v>06/07/2014</c:v>
                </c:pt>
                <c:pt idx="921">
                  <c:v>06/07/2014</c:v>
                </c:pt>
                <c:pt idx="922">
                  <c:v>06/07/2014</c:v>
                </c:pt>
                <c:pt idx="923">
                  <c:v>06/07/2014</c:v>
                </c:pt>
                <c:pt idx="924">
                  <c:v>13/07/2014</c:v>
                </c:pt>
                <c:pt idx="925">
                  <c:v>13/07/2014</c:v>
                </c:pt>
                <c:pt idx="926">
                  <c:v>13/07/2014</c:v>
                </c:pt>
                <c:pt idx="927">
                  <c:v>13/07/2014</c:v>
                </c:pt>
                <c:pt idx="928">
                  <c:v>13/07/2014</c:v>
                </c:pt>
                <c:pt idx="929">
                  <c:v>13/07/2014</c:v>
                </c:pt>
                <c:pt idx="930">
                  <c:v>13/07/2014</c:v>
                </c:pt>
                <c:pt idx="931">
                  <c:v>20/07/2014</c:v>
                </c:pt>
                <c:pt idx="932">
                  <c:v>20/07/2014</c:v>
                </c:pt>
                <c:pt idx="933">
                  <c:v>20/07/2014</c:v>
                </c:pt>
                <c:pt idx="934">
                  <c:v>20/07/2014</c:v>
                </c:pt>
                <c:pt idx="935">
                  <c:v>20/07/2014</c:v>
                </c:pt>
                <c:pt idx="936">
                  <c:v>20/07/2014</c:v>
                </c:pt>
                <c:pt idx="937">
                  <c:v>20/07/2014</c:v>
                </c:pt>
                <c:pt idx="938">
                  <c:v>27/07/2014</c:v>
                </c:pt>
                <c:pt idx="939">
                  <c:v>27/07/2014</c:v>
                </c:pt>
                <c:pt idx="940">
                  <c:v>27/07/2014</c:v>
                </c:pt>
                <c:pt idx="941">
                  <c:v>27/07/2014</c:v>
                </c:pt>
                <c:pt idx="942">
                  <c:v>27/07/2014</c:v>
                </c:pt>
                <c:pt idx="943">
                  <c:v>27/07/2014</c:v>
                </c:pt>
                <c:pt idx="944">
                  <c:v>27/07/2014</c:v>
                </c:pt>
                <c:pt idx="945">
                  <c:v>03/08/2014</c:v>
                </c:pt>
                <c:pt idx="946">
                  <c:v>03/08/2014</c:v>
                </c:pt>
                <c:pt idx="947">
                  <c:v>03/08/2014</c:v>
                </c:pt>
                <c:pt idx="948">
                  <c:v>03/08/2014</c:v>
                </c:pt>
                <c:pt idx="949">
                  <c:v>03/08/2014</c:v>
                </c:pt>
                <c:pt idx="950">
                  <c:v>03/08/2014</c:v>
                </c:pt>
                <c:pt idx="951">
                  <c:v>03/08/2014</c:v>
                </c:pt>
                <c:pt idx="952">
                  <c:v>10/08/2014</c:v>
                </c:pt>
                <c:pt idx="953">
                  <c:v>10/08/2014</c:v>
                </c:pt>
                <c:pt idx="954">
                  <c:v>10/08/2014</c:v>
                </c:pt>
                <c:pt idx="955">
                  <c:v>10/08/2014</c:v>
                </c:pt>
                <c:pt idx="956">
                  <c:v>10/08/2014</c:v>
                </c:pt>
                <c:pt idx="957">
                  <c:v>10/08/2014</c:v>
                </c:pt>
                <c:pt idx="958">
                  <c:v>10/08/2014</c:v>
                </c:pt>
                <c:pt idx="959">
                  <c:v>17/08/2014</c:v>
                </c:pt>
                <c:pt idx="960">
                  <c:v>17/08/2014</c:v>
                </c:pt>
                <c:pt idx="961">
                  <c:v>17/08/2014</c:v>
                </c:pt>
                <c:pt idx="962">
                  <c:v>17/08/2014</c:v>
                </c:pt>
                <c:pt idx="963">
                  <c:v>17/08/2014</c:v>
                </c:pt>
                <c:pt idx="964">
                  <c:v>17/08/2014</c:v>
                </c:pt>
                <c:pt idx="965">
                  <c:v>17/08/2014</c:v>
                </c:pt>
                <c:pt idx="966">
                  <c:v>24/08/2014</c:v>
                </c:pt>
                <c:pt idx="967">
                  <c:v>24/08/2014</c:v>
                </c:pt>
                <c:pt idx="968">
                  <c:v>24/08/2014</c:v>
                </c:pt>
                <c:pt idx="969">
                  <c:v>24/08/2014</c:v>
                </c:pt>
                <c:pt idx="970">
                  <c:v>24/08/2014</c:v>
                </c:pt>
                <c:pt idx="971">
                  <c:v>24/08/2014</c:v>
                </c:pt>
                <c:pt idx="972">
                  <c:v>24/08/2014</c:v>
                </c:pt>
                <c:pt idx="973">
                  <c:v>31/08/2014</c:v>
                </c:pt>
                <c:pt idx="974">
                  <c:v>31/08/2014</c:v>
                </c:pt>
                <c:pt idx="975">
                  <c:v>31/08/2014</c:v>
                </c:pt>
                <c:pt idx="976">
                  <c:v>31/08/2014</c:v>
                </c:pt>
                <c:pt idx="977">
                  <c:v>31/08/2014</c:v>
                </c:pt>
                <c:pt idx="978">
                  <c:v>31/08/2014</c:v>
                </c:pt>
                <c:pt idx="979">
                  <c:v>31/08/2014</c:v>
                </c:pt>
                <c:pt idx="980">
                  <c:v>07/09/2014</c:v>
                </c:pt>
                <c:pt idx="981">
                  <c:v>07/09/2014</c:v>
                </c:pt>
                <c:pt idx="982">
                  <c:v>07/09/2014</c:v>
                </c:pt>
                <c:pt idx="983">
                  <c:v>07/09/2014</c:v>
                </c:pt>
                <c:pt idx="984">
                  <c:v>07/09/2014</c:v>
                </c:pt>
                <c:pt idx="985">
                  <c:v>07/09/2014</c:v>
                </c:pt>
                <c:pt idx="986">
                  <c:v>07/09/2014</c:v>
                </c:pt>
                <c:pt idx="987">
                  <c:v>14/09/2014</c:v>
                </c:pt>
                <c:pt idx="988">
                  <c:v>14/09/2014</c:v>
                </c:pt>
                <c:pt idx="989">
                  <c:v>14/09/2014</c:v>
                </c:pt>
                <c:pt idx="990">
                  <c:v>14/09/2014</c:v>
                </c:pt>
                <c:pt idx="991">
                  <c:v>14/09/2014</c:v>
                </c:pt>
                <c:pt idx="992">
                  <c:v>14/09/2014</c:v>
                </c:pt>
                <c:pt idx="993">
                  <c:v>14/09/2014</c:v>
                </c:pt>
                <c:pt idx="994">
                  <c:v>21/09/2014</c:v>
                </c:pt>
                <c:pt idx="995">
                  <c:v>21/09/2014</c:v>
                </c:pt>
                <c:pt idx="996">
                  <c:v>21/09/2014</c:v>
                </c:pt>
                <c:pt idx="997">
                  <c:v>21/09/2014</c:v>
                </c:pt>
                <c:pt idx="998">
                  <c:v>21/09/2014</c:v>
                </c:pt>
                <c:pt idx="999">
                  <c:v>21/09/2014</c:v>
                </c:pt>
                <c:pt idx="1000">
                  <c:v>21/09/2014</c:v>
                </c:pt>
                <c:pt idx="1001">
                  <c:v>28/09/2014</c:v>
                </c:pt>
                <c:pt idx="1002">
                  <c:v>28/09/2014</c:v>
                </c:pt>
                <c:pt idx="1003">
                  <c:v>28/09/2014</c:v>
                </c:pt>
                <c:pt idx="1004">
                  <c:v>28/09/2014</c:v>
                </c:pt>
                <c:pt idx="1005">
                  <c:v>28/09/2014</c:v>
                </c:pt>
                <c:pt idx="1006">
                  <c:v>28/09/2014</c:v>
                </c:pt>
                <c:pt idx="1007">
                  <c:v>28/09/2014</c:v>
                </c:pt>
                <c:pt idx="1008">
                  <c:v>05/10/2014</c:v>
                </c:pt>
                <c:pt idx="1009">
                  <c:v>05/10/2014</c:v>
                </c:pt>
                <c:pt idx="1010">
                  <c:v>05/10/2014</c:v>
                </c:pt>
                <c:pt idx="1011">
                  <c:v>05/10/2014</c:v>
                </c:pt>
                <c:pt idx="1012">
                  <c:v>05/10/2014</c:v>
                </c:pt>
                <c:pt idx="1013">
                  <c:v>05/10/2014</c:v>
                </c:pt>
                <c:pt idx="1014">
                  <c:v>05/10/2014</c:v>
                </c:pt>
                <c:pt idx="1015">
                  <c:v>12/10/2014</c:v>
                </c:pt>
                <c:pt idx="1016">
                  <c:v>12/10/2014</c:v>
                </c:pt>
                <c:pt idx="1017">
                  <c:v>12/10/2014</c:v>
                </c:pt>
                <c:pt idx="1018">
                  <c:v>12/10/2014</c:v>
                </c:pt>
                <c:pt idx="1019">
                  <c:v>12/10/2014</c:v>
                </c:pt>
                <c:pt idx="1020">
                  <c:v>12/10/2014</c:v>
                </c:pt>
                <c:pt idx="1021">
                  <c:v>12/10/2014</c:v>
                </c:pt>
                <c:pt idx="1022">
                  <c:v>19/10/2014</c:v>
                </c:pt>
                <c:pt idx="1023">
                  <c:v>19/10/2014</c:v>
                </c:pt>
                <c:pt idx="1024">
                  <c:v>19/10/2014</c:v>
                </c:pt>
                <c:pt idx="1025">
                  <c:v>19/10/2014</c:v>
                </c:pt>
                <c:pt idx="1026">
                  <c:v>19/10/2014</c:v>
                </c:pt>
                <c:pt idx="1027">
                  <c:v>19/10/2014</c:v>
                </c:pt>
                <c:pt idx="1028">
                  <c:v>19/10/2014</c:v>
                </c:pt>
                <c:pt idx="1029">
                  <c:v>26/10/2014</c:v>
                </c:pt>
                <c:pt idx="1030">
                  <c:v>26/10/2014</c:v>
                </c:pt>
                <c:pt idx="1031">
                  <c:v>26/10/2014</c:v>
                </c:pt>
                <c:pt idx="1032">
                  <c:v>26/10/2014</c:v>
                </c:pt>
                <c:pt idx="1033">
                  <c:v>26/10/2014</c:v>
                </c:pt>
                <c:pt idx="1034">
                  <c:v>26/10/2014</c:v>
                </c:pt>
                <c:pt idx="1035">
                  <c:v>26/10/2014</c:v>
                </c:pt>
                <c:pt idx="1036">
                  <c:v>02/11/2014</c:v>
                </c:pt>
                <c:pt idx="1037">
                  <c:v>02/11/2014</c:v>
                </c:pt>
                <c:pt idx="1038">
                  <c:v>02/11/2014</c:v>
                </c:pt>
                <c:pt idx="1039">
                  <c:v>02/11/2014</c:v>
                </c:pt>
                <c:pt idx="1040">
                  <c:v>02/11/2014</c:v>
                </c:pt>
                <c:pt idx="1041">
                  <c:v>02/11/2014</c:v>
                </c:pt>
                <c:pt idx="1042">
                  <c:v>02/11/2014</c:v>
                </c:pt>
                <c:pt idx="1043">
                  <c:v>09/11/2014</c:v>
                </c:pt>
                <c:pt idx="1044">
                  <c:v>09/11/2014</c:v>
                </c:pt>
                <c:pt idx="1045">
                  <c:v>09/11/2014</c:v>
                </c:pt>
                <c:pt idx="1046">
                  <c:v>09/11/2014</c:v>
                </c:pt>
                <c:pt idx="1047">
                  <c:v>09/11/2014</c:v>
                </c:pt>
                <c:pt idx="1048">
                  <c:v>09/11/2014</c:v>
                </c:pt>
                <c:pt idx="1049">
                  <c:v>09/11/2014</c:v>
                </c:pt>
                <c:pt idx="1050">
                  <c:v>16/11/2014</c:v>
                </c:pt>
                <c:pt idx="1051">
                  <c:v>16/11/2014</c:v>
                </c:pt>
                <c:pt idx="1052">
                  <c:v>16/11/2014</c:v>
                </c:pt>
                <c:pt idx="1053">
                  <c:v>16/11/2014</c:v>
                </c:pt>
                <c:pt idx="1054">
                  <c:v>16/11/2014</c:v>
                </c:pt>
                <c:pt idx="1055">
                  <c:v>16/11/2014</c:v>
                </c:pt>
                <c:pt idx="1056">
                  <c:v>16/11/2014</c:v>
                </c:pt>
                <c:pt idx="1057">
                  <c:v>23/11/2014</c:v>
                </c:pt>
                <c:pt idx="1058">
                  <c:v>23/11/2014</c:v>
                </c:pt>
                <c:pt idx="1059">
                  <c:v>23/11/2014</c:v>
                </c:pt>
                <c:pt idx="1060">
                  <c:v>23/11/2014</c:v>
                </c:pt>
                <c:pt idx="1061">
                  <c:v>23/11/2014</c:v>
                </c:pt>
                <c:pt idx="1062">
                  <c:v>23/11/2014</c:v>
                </c:pt>
                <c:pt idx="1063">
                  <c:v>23/11/2014</c:v>
                </c:pt>
                <c:pt idx="1064">
                  <c:v>30/11/2014</c:v>
                </c:pt>
                <c:pt idx="1065">
                  <c:v>30/11/2014</c:v>
                </c:pt>
                <c:pt idx="1066">
                  <c:v>30/11/2014</c:v>
                </c:pt>
                <c:pt idx="1067">
                  <c:v>30/11/2014</c:v>
                </c:pt>
                <c:pt idx="1068">
                  <c:v>30/11/2014</c:v>
                </c:pt>
                <c:pt idx="1069">
                  <c:v>30/11/2014</c:v>
                </c:pt>
                <c:pt idx="1070">
                  <c:v>30/11/2014</c:v>
                </c:pt>
                <c:pt idx="1071">
                  <c:v>07/12/2014</c:v>
                </c:pt>
                <c:pt idx="1072">
                  <c:v>07/12/2014</c:v>
                </c:pt>
                <c:pt idx="1073">
                  <c:v>07/12/2014</c:v>
                </c:pt>
                <c:pt idx="1074">
                  <c:v>07/12/2014</c:v>
                </c:pt>
                <c:pt idx="1075">
                  <c:v>07/12/2014</c:v>
                </c:pt>
                <c:pt idx="1076">
                  <c:v>07/12/2014</c:v>
                </c:pt>
                <c:pt idx="1077">
                  <c:v>07/12/2014</c:v>
                </c:pt>
                <c:pt idx="1078">
                  <c:v>14/12/2014</c:v>
                </c:pt>
                <c:pt idx="1079">
                  <c:v>14/12/2014</c:v>
                </c:pt>
                <c:pt idx="1080">
                  <c:v>14/12/2014</c:v>
                </c:pt>
                <c:pt idx="1081">
                  <c:v>14/12/2014</c:v>
                </c:pt>
                <c:pt idx="1082">
                  <c:v>14/12/2014</c:v>
                </c:pt>
                <c:pt idx="1083">
                  <c:v>14/12/2014</c:v>
                </c:pt>
                <c:pt idx="1084">
                  <c:v>14/12/2014</c:v>
                </c:pt>
                <c:pt idx="1085">
                  <c:v>21/12/2014</c:v>
                </c:pt>
                <c:pt idx="1086">
                  <c:v>21/12/2014</c:v>
                </c:pt>
                <c:pt idx="1087">
                  <c:v>21/12/2014</c:v>
                </c:pt>
                <c:pt idx="1088">
                  <c:v>21/12/2014</c:v>
                </c:pt>
                <c:pt idx="1089">
                  <c:v>21/12/2014</c:v>
                </c:pt>
                <c:pt idx="1090">
                  <c:v>21/12/2014</c:v>
                </c:pt>
                <c:pt idx="1091">
                  <c:v>21/12/2014</c:v>
                </c:pt>
                <c:pt idx="1092">
                  <c:v>28/12/2014</c:v>
                </c:pt>
                <c:pt idx="1093">
                  <c:v>28/12/2014</c:v>
                </c:pt>
                <c:pt idx="1094">
                  <c:v>28/12/2014</c:v>
                </c:pt>
                <c:pt idx="1095">
                  <c:v>28/12/2014</c:v>
                </c:pt>
                <c:pt idx="1096">
                  <c:v>28/12/2014</c:v>
                </c:pt>
                <c:pt idx="1097">
                  <c:v>28/12/2014</c:v>
                </c:pt>
                <c:pt idx="1098">
                  <c:v>28/12/2014</c:v>
                </c:pt>
                <c:pt idx="1099">
                  <c:v>04/01/2015</c:v>
                </c:pt>
                <c:pt idx="1100">
                  <c:v>04/01/2015</c:v>
                </c:pt>
                <c:pt idx="1101">
                  <c:v>04/01/2015</c:v>
                </c:pt>
                <c:pt idx="1102">
                  <c:v>04/01/2015</c:v>
                </c:pt>
                <c:pt idx="1103">
                  <c:v>04/01/2015</c:v>
                </c:pt>
                <c:pt idx="1104">
                  <c:v>04/01/2015</c:v>
                </c:pt>
                <c:pt idx="1105">
                  <c:v>04/01/2015</c:v>
                </c:pt>
                <c:pt idx="1106">
                  <c:v>11/01/2015</c:v>
                </c:pt>
                <c:pt idx="1107">
                  <c:v>11/01/2015</c:v>
                </c:pt>
                <c:pt idx="1108">
                  <c:v>11/01/2015</c:v>
                </c:pt>
                <c:pt idx="1109">
                  <c:v>11/01/2015</c:v>
                </c:pt>
                <c:pt idx="1110">
                  <c:v>11/01/2015</c:v>
                </c:pt>
                <c:pt idx="1111">
                  <c:v>11/01/2015</c:v>
                </c:pt>
                <c:pt idx="1112">
                  <c:v>11/01/2015</c:v>
                </c:pt>
                <c:pt idx="1113">
                  <c:v>18/01/2015</c:v>
                </c:pt>
                <c:pt idx="1114">
                  <c:v>18/01/2015</c:v>
                </c:pt>
                <c:pt idx="1115">
                  <c:v>18/01/2015</c:v>
                </c:pt>
                <c:pt idx="1116">
                  <c:v>18/01/2015</c:v>
                </c:pt>
                <c:pt idx="1117">
                  <c:v>18/01/2015</c:v>
                </c:pt>
                <c:pt idx="1118">
                  <c:v>18/01/2015</c:v>
                </c:pt>
                <c:pt idx="1119">
                  <c:v>18/01/2015</c:v>
                </c:pt>
                <c:pt idx="1120">
                  <c:v>25/01/2015</c:v>
                </c:pt>
                <c:pt idx="1121">
                  <c:v>25/01/2015</c:v>
                </c:pt>
                <c:pt idx="1122">
                  <c:v>25/01/2015</c:v>
                </c:pt>
                <c:pt idx="1123">
                  <c:v>25/01/2015</c:v>
                </c:pt>
                <c:pt idx="1124">
                  <c:v>25/01/2015</c:v>
                </c:pt>
                <c:pt idx="1125">
                  <c:v>25/01/2015</c:v>
                </c:pt>
                <c:pt idx="1126">
                  <c:v>25/01/2015</c:v>
                </c:pt>
                <c:pt idx="1127">
                  <c:v>01/02/2015</c:v>
                </c:pt>
                <c:pt idx="1128">
                  <c:v>01/02/2015</c:v>
                </c:pt>
                <c:pt idx="1129">
                  <c:v>01/02/2015</c:v>
                </c:pt>
                <c:pt idx="1130">
                  <c:v>01/02/2015</c:v>
                </c:pt>
                <c:pt idx="1131">
                  <c:v>01/02/2015</c:v>
                </c:pt>
                <c:pt idx="1132">
                  <c:v>01/02/2015</c:v>
                </c:pt>
                <c:pt idx="1133">
                  <c:v>01/02/2015</c:v>
                </c:pt>
                <c:pt idx="1134">
                  <c:v>08/02/2015</c:v>
                </c:pt>
                <c:pt idx="1135">
                  <c:v>08/02/2015</c:v>
                </c:pt>
                <c:pt idx="1136">
                  <c:v>08/02/2015</c:v>
                </c:pt>
                <c:pt idx="1137">
                  <c:v>08/02/2015</c:v>
                </c:pt>
                <c:pt idx="1138">
                  <c:v>08/02/2015</c:v>
                </c:pt>
                <c:pt idx="1139">
                  <c:v>08/02/2015</c:v>
                </c:pt>
                <c:pt idx="1140">
                  <c:v>08/02/2015</c:v>
                </c:pt>
                <c:pt idx="1141">
                  <c:v>15/02/2015</c:v>
                </c:pt>
                <c:pt idx="1142">
                  <c:v>15/02/2015</c:v>
                </c:pt>
                <c:pt idx="1143">
                  <c:v>15/02/2015</c:v>
                </c:pt>
                <c:pt idx="1144">
                  <c:v>15/02/2015</c:v>
                </c:pt>
                <c:pt idx="1145">
                  <c:v>15/02/2015</c:v>
                </c:pt>
                <c:pt idx="1146">
                  <c:v>15/02/2015</c:v>
                </c:pt>
                <c:pt idx="1147">
                  <c:v>15/02/2015</c:v>
                </c:pt>
                <c:pt idx="1148">
                  <c:v>22/02/2015</c:v>
                </c:pt>
                <c:pt idx="1149">
                  <c:v>22/02/2015</c:v>
                </c:pt>
                <c:pt idx="1150">
                  <c:v>22/02/2015</c:v>
                </c:pt>
                <c:pt idx="1151">
                  <c:v>22/02/2015</c:v>
                </c:pt>
                <c:pt idx="1152">
                  <c:v>22/02/2015</c:v>
                </c:pt>
                <c:pt idx="1153">
                  <c:v>22/02/2015</c:v>
                </c:pt>
                <c:pt idx="1154">
                  <c:v>22/02/2015</c:v>
                </c:pt>
                <c:pt idx="1155">
                  <c:v>01/03/2015</c:v>
                </c:pt>
                <c:pt idx="1156">
                  <c:v>01/03/2015</c:v>
                </c:pt>
                <c:pt idx="1157">
                  <c:v>01/03/2015</c:v>
                </c:pt>
                <c:pt idx="1158">
                  <c:v>01/03/2015</c:v>
                </c:pt>
                <c:pt idx="1159">
                  <c:v>01/03/2015</c:v>
                </c:pt>
                <c:pt idx="1160">
                  <c:v>01/03/2015</c:v>
                </c:pt>
                <c:pt idx="1161">
                  <c:v>01/03/2015</c:v>
                </c:pt>
                <c:pt idx="1162">
                  <c:v>08/03/2015</c:v>
                </c:pt>
                <c:pt idx="1163">
                  <c:v>08/03/2015</c:v>
                </c:pt>
                <c:pt idx="1164">
                  <c:v>08/03/2015</c:v>
                </c:pt>
                <c:pt idx="1165">
                  <c:v>08/03/2015</c:v>
                </c:pt>
                <c:pt idx="1166">
                  <c:v>08/03/2015</c:v>
                </c:pt>
                <c:pt idx="1167">
                  <c:v>08/03/2015</c:v>
                </c:pt>
                <c:pt idx="1168">
                  <c:v>08/03/2015</c:v>
                </c:pt>
                <c:pt idx="1169">
                  <c:v>15/03/2015</c:v>
                </c:pt>
                <c:pt idx="1170">
                  <c:v>15/03/2015</c:v>
                </c:pt>
                <c:pt idx="1171">
                  <c:v>15/03/2015</c:v>
                </c:pt>
                <c:pt idx="1172">
                  <c:v>15/03/2015</c:v>
                </c:pt>
                <c:pt idx="1173">
                  <c:v>15/03/2015</c:v>
                </c:pt>
                <c:pt idx="1174">
                  <c:v>15/03/2015</c:v>
                </c:pt>
                <c:pt idx="1175">
                  <c:v>15/03/2015</c:v>
                </c:pt>
                <c:pt idx="1176">
                  <c:v>22/03/2015</c:v>
                </c:pt>
                <c:pt idx="1177">
                  <c:v>22/03/2015</c:v>
                </c:pt>
                <c:pt idx="1178">
                  <c:v>22/03/2015</c:v>
                </c:pt>
                <c:pt idx="1179">
                  <c:v>22/03/2015</c:v>
                </c:pt>
                <c:pt idx="1180">
                  <c:v>22/03/2015</c:v>
                </c:pt>
                <c:pt idx="1181">
                  <c:v>22/03/2015</c:v>
                </c:pt>
                <c:pt idx="1182">
                  <c:v>22/03/2015</c:v>
                </c:pt>
                <c:pt idx="1183">
                  <c:v>29/03/2015</c:v>
                </c:pt>
                <c:pt idx="1184">
                  <c:v>29/03/2015</c:v>
                </c:pt>
                <c:pt idx="1185">
                  <c:v>29/03/2015</c:v>
                </c:pt>
                <c:pt idx="1186">
                  <c:v>29/03/2015</c:v>
                </c:pt>
                <c:pt idx="1187">
                  <c:v>29/03/2015</c:v>
                </c:pt>
                <c:pt idx="1188">
                  <c:v>29/03/2015</c:v>
                </c:pt>
                <c:pt idx="1189">
                  <c:v>29/03/2015</c:v>
                </c:pt>
                <c:pt idx="1190">
                  <c:v>05/04/2015</c:v>
                </c:pt>
                <c:pt idx="1191">
                  <c:v>05/04/2015</c:v>
                </c:pt>
                <c:pt idx="1192">
                  <c:v>05/04/2015</c:v>
                </c:pt>
                <c:pt idx="1193">
                  <c:v>05/04/2015</c:v>
                </c:pt>
                <c:pt idx="1194">
                  <c:v>05/04/2015</c:v>
                </c:pt>
                <c:pt idx="1195">
                  <c:v>05/04/2015</c:v>
                </c:pt>
                <c:pt idx="1196">
                  <c:v>05/04/2015</c:v>
                </c:pt>
                <c:pt idx="1197">
                  <c:v>12/04/2015</c:v>
                </c:pt>
                <c:pt idx="1198">
                  <c:v>12/04/2015</c:v>
                </c:pt>
                <c:pt idx="1199">
                  <c:v>12/04/2015</c:v>
                </c:pt>
                <c:pt idx="1200">
                  <c:v>12/04/2015</c:v>
                </c:pt>
                <c:pt idx="1201">
                  <c:v>12/04/2015</c:v>
                </c:pt>
                <c:pt idx="1202">
                  <c:v>12/04/2015</c:v>
                </c:pt>
                <c:pt idx="1203">
                  <c:v>12/04/2015</c:v>
                </c:pt>
                <c:pt idx="1204">
                  <c:v>19/04/2015</c:v>
                </c:pt>
                <c:pt idx="1205">
                  <c:v>19/04/2015</c:v>
                </c:pt>
                <c:pt idx="1206">
                  <c:v>19/04/2015</c:v>
                </c:pt>
                <c:pt idx="1207">
                  <c:v>19/04/2015</c:v>
                </c:pt>
                <c:pt idx="1208">
                  <c:v>19/04/2015</c:v>
                </c:pt>
                <c:pt idx="1209">
                  <c:v>19/04/2015</c:v>
                </c:pt>
                <c:pt idx="1210">
                  <c:v>19/04/2015</c:v>
                </c:pt>
                <c:pt idx="1211">
                  <c:v>26/04/2015</c:v>
                </c:pt>
                <c:pt idx="1212">
                  <c:v>26/04/2015</c:v>
                </c:pt>
                <c:pt idx="1213">
                  <c:v>26/04/2015</c:v>
                </c:pt>
                <c:pt idx="1214">
                  <c:v>26/04/2015</c:v>
                </c:pt>
                <c:pt idx="1215">
                  <c:v>26/04/2015</c:v>
                </c:pt>
                <c:pt idx="1216">
                  <c:v>26/04/2015</c:v>
                </c:pt>
                <c:pt idx="1217">
                  <c:v>26/04/2015</c:v>
                </c:pt>
                <c:pt idx="1218">
                  <c:v>03/05/2015</c:v>
                </c:pt>
                <c:pt idx="1219">
                  <c:v>03/05/2015</c:v>
                </c:pt>
                <c:pt idx="1220">
                  <c:v>03/05/2015</c:v>
                </c:pt>
                <c:pt idx="1221">
                  <c:v>03/05/2015</c:v>
                </c:pt>
                <c:pt idx="1222">
                  <c:v>03/05/2015</c:v>
                </c:pt>
                <c:pt idx="1223">
                  <c:v>03/05/2015</c:v>
                </c:pt>
                <c:pt idx="1224">
                  <c:v>03/05/2015</c:v>
                </c:pt>
                <c:pt idx="1225">
                  <c:v>10/05/2015</c:v>
                </c:pt>
                <c:pt idx="1226">
                  <c:v>10/05/2015</c:v>
                </c:pt>
                <c:pt idx="1227">
                  <c:v>10/05/2015</c:v>
                </c:pt>
                <c:pt idx="1228">
                  <c:v>10/05/2015</c:v>
                </c:pt>
                <c:pt idx="1229">
                  <c:v>10/05/2015</c:v>
                </c:pt>
                <c:pt idx="1230">
                  <c:v>10/05/2015</c:v>
                </c:pt>
                <c:pt idx="1231">
                  <c:v>10/05/2015</c:v>
                </c:pt>
                <c:pt idx="1232">
                  <c:v>17/05/2015</c:v>
                </c:pt>
                <c:pt idx="1233">
                  <c:v>17/05/2015</c:v>
                </c:pt>
                <c:pt idx="1234">
                  <c:v>17/05/2015</c:v>
                </c:pt>
                <c:pt idx="1235">
                  <c:v>17/05/2015</c:v>
                </c:pt>
                <c:pt idx="1236">
                  <c:v>17/05/2015</c:v>
                </c:pt>
                <c:pt idx="1237">
                  <c:v>17/05/2015</c:v>
                </c:pt>
                <c:pt idx="1238">
                  <c:v>17/05/2015</c:v>
                </c:pt>
                <c:pt idx="1239">
                  <c:v>24/05/2015</c:v>
                </c:pt>
                <c:pt idx="1240">
                  <c:v>24/05/2015</c:v>
                </c:pt>
                <c:pt idx="1241">
                  <c:v>24/05/2015</c:v>
                </c:pt>
                <c:pt idx="1242">
                  <c:v>24/05/2015</c:v>
                </c:pt>
                <c:pt idx="1243">
                  <c:v>24/05/2015</c:v>
                </c:pt>
                <c:pt idx="1244">
                  <c:v>24/05/2015</c:v>
                </c:pt>
                <c:pt idx="1245">
                  <c:v>24/05/2015</c:v>
                </c:pt>
                <c:pt idx="1246">
                  <c:v>31/05/2015</c:v>
                </c:pt>
                <c:pt idx="1247">
                  <c:v>31/05/2015</c:v>
                </c:pt>
                <c:pt idx="1248">
                  <c:v>31/05/2015</c:v>
                </c:pt>
                <c:pt idx="1249">
                  <c:v>31/05/2015</c:v>
                </c:pt>
                <c:pt idx="1250">
                  <c:v>31/05/2015</c:v>
                </c:pt>
                <c:pt idx="1251">
                  <c:v>31/05/2015</c:v>
                </c:pt>
                <c:pt idx="1252">
                  <c:v>31/05/2015</c:v>
                </c:pt>
                <c:pt idx="1253">
                  <c:v>07/06/2015</c:v>
                </c:pt>
                <c:pt idx="1254">
                  <c:v>07/06/2015</c:v>
                </c:pt>
                <c:pt idx="1255">
                  <c:v>07/06/2015</c:v>
                </c:pt>
                <c:pt idx="1256">
                  <c:v>07/06/2015</c:v>
                </c:pt>
                <c:pt idx="1257">
                  <c:v>07/06/2015</c:v>
                </c:pt>
                <c:pt idx="1258">
                  <c:v>07/06/2015</c:v>
                </c:pt>
                <c:pt idx="1259">
                  <c:v>07/06/2015</c:v>
                </c:pt>
                <c:pt idx="1260">
                  <c:v>14/06/2015</c:v>
                </c:pt>
                <c:pt idx="1261">
                  <c:v>14/06/2015</c:v>
                </c:pt>
                <c:pt idx="1262">
                  <c:v>14/06/2015</c:v>
                </c:pt>
                <c:pt idx="1263">
                  <c:v>14/06/2015</c:v>
                </c:pt>
                <c:pt idx="1264">
                  <c:v>14/06/2015</c:v>
                </c:pt>
                <c:pt idx="1265">
                  <c:v>14/06/2015</c:v>
                </c:pt>
                <c:pt idx="1266">
                  <c:v>14/06/2015</c:v>
                </c:pt>
                <c:pt idx="1267">
                  <c:v>21/06/2015</c:v>
                </c:pt>
                <c:pt idx="1268">
                  <c:v>21/06/2015</c:v>
                </c:pt>
                <c:pt idx="1269">
                  <c:v>21/06/2015</c:v>
                </c:pt>
                <c:pt idx="1270">
                  <c:v>21/06/2015</c:v>
                </c:pt>
                <c:pt idx="1271">
                  <c:v>21/06/2015</c:v>
                </c:pt>
                <c:pt idx="1272">
                  <c:v>21/06/2015</c:v>
                </c:pt>
                <c:pt idx="1273">
                  <c:v>21/06/2015</c:v>
                </c:pt>
                <c:pt idx="1274">
                  <c:v>28/06/2015</c:v>
                </c:pt>
                <c:pt idx="1275">
                  <c:v>28/06/2015</c:v>
                </c:pt>
                <c:pt idx="1276">
                  <c:v>28/06/2015</c:v>
                </c:pt>
                <c:pt idx="1277">
                  <c:v>28/06/2015</c:v>
                </c:pt>
                <c:pt idx="1278">
                  <c:v>28/06/2015</c:v>
                </c:pt>
                <c:pt idx="1279">
                  <c:v>28/06/2015</c:v>
                </c:pt>
                <c:pt idx="1280">
                  <c:v>28/06/2015</c:v>
                </c:pt>
                <c:pt idx="1281">
                  <c:v>05/07/2015</c:v>
                </c:pt>
                <c:pt idx="1282">
                  <c:v>05/07/2015</c:v>
                </c:pt>
                <c:pt idx="1283">
                  <c:v>05/07/2015</c:v>
                </c:pt>
                <c:pt idx="1284">
                  <c:v>05/07/2015</c:v>
                </c:pt>
                <c:pt idx="1285">
                  <c:v>05/07/2015</c:v>
                </c:pt>
                <c:pt idx="1286">
                  <c:v>05/07/2015</c:v>
                </c:pt>
                <c:pt idx="1287">
                  <c:v>05/07/2015</c:v>
                </c:pt>
                <c:pt idx="1288">
                  <c:v>12/07/2015</c:v>
                </c:pt>
                <c:pt idx="1289">
                  <c:v>12/07/2015</c:v>
                </c:pt>
                <c:pt idx="1290">
                  <c:v>12/07/2015</c:v>
                </c:pt>
                <c:pt idx="1291">
                  <c:v>12/07/2015</c:v>
                </c:pt>
                <c:pt idx="1292">
                  <c:v>12/07/2015</c:v>
                </c:pt>
                <c:pt idx="1293">
                  <c:v>12/07/2015</c:v>
                </c:pt>
                <c:pt idx="1294">
                  <c:v>12/07/2015</c:v>
                </c:pt>
                <c:pt idx="1295">
                  <c:v>19/07/2015</c:v>
                </c:pt>
                <c:pt idx="1296">
                  <c:v>19/07/2015</c:v>
                </c:pt>
                <c:pt idx="1297">
                  <c:v>19/07/2015</c:v>
                </c:pt>
                <c:pt idx="1298">
                  <c:v>19/07/2015</c:v>
                </c:pt>
                <c:pt idx="1299">
                  <c:v>19/07/2015</c:v>
                </c:pt>
                <c:pt idx="1300">
                  <c:v>19/07/2015</c:v>
                </c:pt>
                <c:pt idx="1301">
                  <c:v>19/07/2015</c:v>
                </c:pt>
                <c:pt idx="1302">
                  <c:v>26/07/2015</c:v>
                </c:pt>
                <c:pt idx="1303">
                  <c:v>26/07/2015</c:v>
                </c:pt>
                <c:pt idx="1304">
                  <c:v>26/07/2015</c:v>
                </c:pt>
                <c:pt idx="1305">
                  <c:v>26/07/2015</c:v>
                </c:pt>
                <c:pt idx="1306">
                  <c:v>26/07/2015</c:v>
                </c:pt>
                <c:pt idx="1307">
                  <c:v>26/07/2015</c:v>
                </c:pt>
                <c:pt idx="1308">
                  <c:v>26/07/2015</c:v>
                </c:pt>
                <c:pt idx="1309">
                  <c:v>02/08/2015</c:v>
                </c:pt>
                <c:pt idx="1310">
                  <c:v>02/08/2015</c:v>
                </c:pt>
                <c:pt idx="1311">
                  <c:v>02/08/2015</c:v>
                </c:pt>
                <c:pt idx="1312">
                  <c:v>02/08/2015</c:v>
                </c:pt>
                <c:pt idx="1313">
                  <c:v>02/08/2015</c:v>
                </c:pt>
                <c:pt idx="1314">
                  <c:v>02/08/2015</c:v>
                </c:pt>
                <c:pt idx="1315">
                  <c:v>02/08/2015</c:v>
                </c:pt>
                <c:pt idx="1316">
                  <c:v>09/08/2015</c:v>
                </c:pt>
                <c:pt idx="1317">
                  <c:v>09/08/2015</c:v>
                </c:pt>
                <c:pt idx="1318">
                  <c:v>09/08/2015</c:v>
                </c:pt>
                <c:pt idx="1319">
                  <c:v>09/08/2015</c:v>
                </c:pt>
                <c:pt idx="1320">
                  <c:v>09/08/2015</c:v>
                </c:pt>
                <c:pt idx="1321">
                  <c:v>09/08/2015</c:v>
                </c:pt>
                <c:pt idx="1322">
                  <c:v>09/08/2015</c:v>
                </c:pt>
                <c:pt idx="1323">
                  <c:v>16/08/2015</c:v>
                </c:pt>
                <c:pt idx="1324">
                  <c:v>16/08/2015</c:v>
                </c:pt>
                <c:pt idx="1325">
                  <c:v>16/08/2015</c:v>
                </c:pt>
                <c:pt idx="1326">
                  <c:v>16/08/2015</c:v>
                </c:pt>
                <c:pt idx="1327">
                  <c:v>16/08/2015</c:v>
                </c:pt>
                <c:pt idx="1328">
                  <c:v>16/08/2015</c:v>
                </c:pt>
                <c:pt idx="1329">
                  <c:v>16/08/2015</c:v>
                </c:pt>
                <c:pt idx="1330">
                  <c:v>23/08/2015</c:v>
                </c:pt>
                <c:pt idx="1331">
                  <c:v>23/08/2015</c:v>
                </c:pt>
                <c:pt idx="1332">
                  <c:v>23/08/2015</c:v>
                </c:pt>
                <c:pt idx="1333">
                  <c:v>23/08/2015</c:v>
                </c:pt>
                <c:pt idx="1334">
                  <c:v>23/08/2015</c:v>
                </c:pt>
                <c:pt idx="1335">
                  <c:v>23/08/2015</c:v>
                </c:pt>
                <c:pt idx="1336">
                  <c:v>23/08/2015</c:v>
                </c:pt>
                <c:pt idx="1337">
                  <c:v>30/08/2015</c:v>
                </c:pt>
                <c:pt idx="1338">
                  <c:v>30/08/2015</c:v>
                </c:pt>
                <c:pt idx="1339">
                  <c:v>30/08/2015</c:v>
                </c:pt>
                <c:pt idx="1340">
                  <c:v>30/08/2015</c:v>
                </c:pt>
                <c:pt idx="1341">
                  <c:v>30/08/2015</c:v>
                </c:pt>
                <c:pt idx="1342">
                  <c:v>30/08/2015</c:v>
                </c:pt>
                <c:pt idx="1343">
                  <c:v>30/08/2015</c:v>
                </c:pt>
                <c:pt idx="1344">
                  <c:v>06/09/2015</c:v>
                </c:pt>
                <c:pt idx="1345">
                  <c:v>06/09/2015</c:v>
                </c:pt>
                <c:pt idx="1346">
                  <c:v>06/09/2015</c:v>
                </c:pt>
                <c:pt idx="1347">
                  <c:v>06/09/2015</c:v>
                </c:pt>
                <c:pt idx="1348">
                  <c:v>06/09/2015</c:v>
                </c:pt>
                <c:pt idx="1349">
                  <c:v>06/09/2015</c:v>
                </c:pt>
                <c:pt idx="1350">
                  <c:v>06/09/2015</c:v>
                </c:pt>
                <c:pt idx="1351">
                  <c:v>13/09/2015</c:v>
                </c:pt>
                <c:pt idx="1352">
                  <c:v>13/09/2015</c:v>
                </c:pt>
                <c:pt idx="1353">
                  <c:v>13/09/2015</c:v>
                </c:pt>
                <c:pt idx="1354">
                  <c:v>13/09/2015</c:v>
                </c:pt>
                <c:pt idx="1355">
                  <c:v>13/09/2015</c:v>
                </c:pt>
                <c:pt idx="1356">
                  <c:v>13/09/2015</c:v>
                </c:pt>
                <c:pt idx="1357">
                  <c:v>13/09/2015</c:v>
                </c:pt>
                <c:pt idx="1358">
                  <c:v>20/09/2015</c:v>
                </c:pt>
                <c:pt idx="1359">
                  <c:v>20/09/2015</c:v>
                </c:pt>
                <c:pt idx="1360">
                  <c:v>20/09/2015</c:v>
                </c:pt>
                <c:pt idx="1361">
                  <c:v>20/09/2015</c:v>
                </c:pt>
                <c:pt idx="1362">
                  <c:v>20/09/2015</c:v>
                </c:pt>
                <c:pt idx="1363">
                  <c:v>20/09/2015</c:v>
                </c:pt>
                <c:pt idx="1364">
                  <c:v>20/09/2015</c:v>
                </c:pt>
                <c:pt idx="1365">
                  <c:v>27/09/2015</c:v>
                </c:pt>
                <c:pt idx="1366">
                  <c:v>27/09/2015</c:v>
                </c:pt>
                <c:pt idx="1367">
                  <c:v>27/09/2015</c:v>
                </c:pt>
                <c:pt idx="1368">
                  <c:v>27/09/2015</c:v>
                </c:pt>
                <c:pt idx="1369">
                  <c:v>27/09/2015</c:v>
                </c:pt>
                <c:pt idx="1370">
                  <c:v>27/09/2015</c:v>
                </c:pt>
                <c:pt idx="1371">
                  <c:v>27/09/2015</c:v>
                </c:pt>
                <c:pt idx="1372">
                  <c:v>04/10/2015</c:v>
                </c:pt>
                <c:pt idx="1373">
                  <c:v>04/10/2015</c:v>
                </c:pt>
                <c:pt idx="1374">
                  <c:v>04/10/2015</c:v>
                </c:pt>
                <c:pt idx="1375">
                  <c:v>04/10/2015</c:v>
                </c:pt>
                <c:pt idx="1376">
                  <c:v>04/10/2015</c:v>
                </c:pt>
                <c:pt idx="1377">
                  <c:v>04/10/2015</c:v>
                </c:pt>
                <c:pt idx="1378">
                  <c:v>04/10/2015</c:v>
                </c:pt>
                <c:pt idx="1379">
                  <c:v>11/10/2015</c:v>
                </c:pt>
                <c:pt idx="1380">
                  <c:v>11/10/2015</c:v>
                </c:pt>
                <c:pt idx="1381">
                  <c:v>11/10/2015</c:v>
                </c:pt>
                <c:pt idx="1382">
                  <c:v>11/10/2015</c:v>
                </c:pt>
                <c:pt idx="1383">
                  <c:v>11/10/2015</c:v>
                </c:pt>
                <c:pt idx="1384">
                  <c:v>11/10/2015</c:v>
                </c:pt>
                <c:pt idx="1385">
                  <c:v>11/10/2015</c:v>
                </c:pt>
                <c:pt idx="1386">
                  <c:v>18/10/2015</c:v>
                </c:pt>
                <c:pt idx="1387">
                  <c:v>18/10/2015</c:v>
                </c:pt>
                <c:pt idx="1388">
                  <c:v>18/10/2015</c:v>
                </c:pt>
                <c:pt idx="1389">
                  <c:v>18/10/2015</c:v>
                </c:pt>
                <c:pt idx="1390">
                  <c:v>18/10/2015</c:v>
                </c:pt>
                <c:pt idx="1391">
                  <c:v>18/10/2015</c:v>
                </c:pt>
                <c:pt idx="1392">
                  <c:v>18/10/2015</c:v>
                </c:pt>
                <c:pt idx="1393">
                  <c:v>25/10/2015</c:v>
                </c:pt>
                <c:pt idx="1394">
                  <c:v>25/10/2015</c:v>
                </c:pt>
                <c:pt idx="1395">
                  <c:v>25/10/2015</c:v>
                </c:pt>
                <c:pt idx="1396">
                  <c:v>25/10/2015</c:v>
                </c:pt>
                <c:pt idx="1397">
                  <c:v>25/10/2015</c:v>
                </c:pt>
                <c:pt idx="1398">
                  <c:v>25/10/2015</c:v>
                </c:pt>
                <c:pt idx="1399">
                  <c:v>25/10/2015</c:v>
                </c:pt>
                <c:pt idx="1400">
                  <c:v>01/11/2015</c:v>
                </c:pt>
                <c:pt idx="1401">
                  <c:v>01/11/2015</c:v>
                </c:pt>
                <c:pt idx="1402">
                  <c:v>01/11/2015</c:v>
                </c:pt>
                <c:pt idx="1403">
                  <c:v>01/11/2015</c:v>
                </c:pt>
                <c:pt idx="1404">
                  <c:v>01/11/2015</c:v>
                </c:pt>
                <c:pt idx="1405">
                  <c:v>01/11/2015</c:v>
                </c:pt>
                <c:pt idx="1406">
                  <c:v>01/11/2015</c:v>
                </c:pt>
                <c:pt idx="1407">
                  <c:v>08/11/2015</c:v>
                </c:pt>
                <c:pt idx="1408">
                  <c:v>08/11/2015</c:v>
                </c:pt>
                <c:pt idx="1409">
                  <c:v>08/11/2015</c:v>
                </c:pt>
                <c:pt idx="1410">
                  <c:v>08/11/2015</c:v>
                </c:pt>
                <c:pt idx="1411">
                  <c:v>08/11/2015</c:v>
                </c:pt>
                <c:pt idx="1412">
                  <c:v>08/11/2015</c:v>
                </c:pt>
                <c:pt idx="1413">
                  <c:v>08/11/2015</c:v>
                </c:pt>
                <c:pt idx="1414">
                  <c:v>15/11/2015</c:v>
                </c:pt>
                <c:pt idx="1415">
                  <c:v>15/11/2015</c:v>
                </c:pt>
                <c:pt idx="1416">
                  <c:v>15/11/2015</c:v>
                </c:pt>
                <c:pt idx="1417">
                  <c:v>15/11/2015</c:v>
                </c:pt>
                <c:pt idx="1418">
                  <c:v>15/11/2015</c:v>
                </c:pt>
                <c:pt idx="1419">
                  <c:v>15/11/2015</c:v>
                </c:pt>
                <c:pt idx="1420">
                  <c:v>15/11/2015</c:v>
                </c:pt>
                <c:pt idx="1421">
                  <c:v>22/11/2015</c:v>
                </c:pt>
                <c:pt idx="1422">
                  <c:v>22/11/2015</c:v>
                </c:pt>
                <c:pt idx="1423">
                  <c:v>22/11/2015</c:v>
                </c:pt>
                <c:pt idx="1424">
                  <c:v>22/11/2015</c:v>
                </c:pt>
                <c:pt idx="1425">
                  <c:v>22/11/2015</c:v>
                </c:pt>
                <c:pt idx="1426">
                  <c:v>22/11/2015</c:v>
                </c:pt>
                <c:pt idx="1427">
                  <c:v>22/11/2015</c:v>
                </c:pt>
                <c:pt idx="1428">
                  <c:v>29/11/2015</c:v>
                </c:pt>
                <c:pt idx="1429">
                  <c:v>29/11/2015</c:v>
                </c:pt>
                <c:pt idx="1430">
                  <c:v>29/11/2015</c:v>
                </c:pt>
                <c:pt idx="1431">
                  <c:v>29/11/2015</c:v>
                </c:pt>
                <c:pt idx="1432">
                  <c:v>29/11/2015</c:v>
                </c:pt>
                <c:pt idx="1433">
                  <c:v>29/11/2015</c:v>
                </c:pt>
                <c:pt idx="1434">
                  <c:v>29/11/2015</c:v>
                </c:pt>
                <c:pt idx="1435">
                  <c:v>06/12/2015</c:v>
                </c:pt>
                <c:pt idx="1436">
                  <c:v>06/12/2015</c:v>
                </c:pt>
                <c:pt idx="1437">
                  <c:v>06/12/2015</c:v>
                </c:pt>
                <c:pt idx="1438">
                  <c:v>06/12/2015</c:v>
                </c:pt>
                <c:pt idx="1439">
                  <c:v>06/12/2015</c:v>
                </c:pt>
                <c:pt idx="1440">
                  <c:v>06/12/2015</c:v>
                </c:pt>
                <c:pt idx="1441">
                  <c:v>06/12/2015</c:v>
                </c:pt>
                <c:pt idx="1442">
                  <c:v>13/12/2015</c:v>
                </c:pt>
                <c:pt idx="1443">
                  <c:v>13/12/2015</c:v>
                </c:pt>
                <c:pt idx="1444">
                  <c:v>13/12/2015</c:v>
                </c:pt>
                <c:pt idx="1445">
                  <c:v>13/12/2015</c:v>
                </c:pt>
                <c:pt idx="1446">
                  <c:v>13/12/2015</c:v>
                </c:pt>
                <c:pt idx="1447">
                  <c:v>13/12/2015</c:v>
                </c:pt>
                <c:pt idx="1448">
                  <c:v>13/12/2015</c:v>
                </c:pt>
                <c:pt idx="1449">
                  <c:v>20/12/2015</c:v>
                </c:pt>
                <c:pt idx="1450">
                  <c:v>20/12/2015</c:v>
                </c:pt>
                <c:pt idx="1451">
                  <c:v>20/12/2015</c:v>
                </c:pt>
                <c:pt idx="1452">
                  <c:v>20/12/2015</c:v>
                </c:pt>
                <c:pt idx="1453">
                  <c:v>20/12/2015</c:v>
                </c:pt>
                <c:pt idx="1454">
                  <c:v>20/12/2015</c:v>
                </c:pt>
                <c:pt idx="1455">
                  <c:v>20/12/2015</c:v>
                </c:pt>
                <c:pt idx="1456">
                  <c:v>27/12/2015</c:v>
                </c:pt>
                <c:pt idx="1457">
                  <c:v>27/12/2015</c:v>
                </c:pt>
                <c:pt idx="1458">
                  <c:v>27/12/2015</c:v>
                </c:pt>
                <c:pt idx="1459">
                  <c:v>27/12/2015</c:v>
                </c:pt>
                <c:pt idx="1460">
                  <c:v>27/12/2015</c:v>
                </c:pt>
                <c:pt idx="1461">
                  <c:v>27/12/2015</c:v>
                </c:pt>
                <c:pt idx="1462">
                  <c:v>27/12/2015</c:v>
                </c:pt>
                <c:pt idx="1463">
                  <c:v>03/01/2016</c:v>
                </c:pt>
                <c:pt idx="1464">
                  <c:v>03/01/2016</c:v>
                </c:pt>
                <c:pt idx="1465">
                  <c:v>03/01/2016</c:v>
                </c:pt>
                <c:pt idx="1466">
                  <c:v>03/01/2016</c:v>
                </c:pt>
                <c:pt idx="1467">
                  <c:v>03/01/2016</c:v>
                </c:pt>
                <c:pt idx="1468">
                  <c:v>03/01/2016</c:v>
                </c:pt>
                <c:pt idx="1469">
                  <c:v>03/01/2016</c:v>
                </c:pt>
                <c:pt idx="1470">
                  <c:v>10/01/2016</c:v>
                </c:pt>
                <c:pt idx="1471">
                  <c:v>10/01/2016</c:v>
                </c:pt>
                <c:pt idx="1472">
                  <c:v>10/01/2016</c:v>
                </c:pt>
                <c:pt idx="1473">
                  <c:v>10/01/2016</c:v>
                </c:pt>
                <c:pt idx="1474">
                  <c:v>10/01/2016</c:v>
                </c:pt>
                <c:pt idx="1475">
                  <c:v>10/01/2016</c:v>
                </c:pt>
                <c:pt idx="1476">
                  <c:v>10/01/2016</c:v>
                </c:pt>
                <c:pt idx="1477">
                  <c:v>17/01/2016</c:v>
                </c:pt>
                <c:pt idx="1478">
                  <c:v>17/01/2016</c:v>
                </c:pt>
                <c:pt idx="1479">
                  <c:v>17/01/2016</c:v>
                </c:pt>
                <c:pt idx="1480">
                  <c:v>17/01/2016</c:v>
                </c:pt>
                <c:pt idx="1481">
                  <c:v>17/01/2016</c:v>
                </c:pt>
                <c:pt idx="1482">
                  <c:v>17/01/2016</c:v>
                </c:pt>
                <c:pt idx="1483">
                  <c:v>17/01/2016</c:v>
                </c:pt>
                <c:pt idx="1484">
                  <c:v>24/01/2016</c:v>
                </c:pt>
                <c:pt idx="1485">
                  <c:v>24/01/2016</c:v>
                </c:pt>
                <c:pt idx="1486">
                  <c:v>24/01/2016</c:v>
                </c:pt>
                <c:pt idx="1487">
                  <c:v>24/01/2016</c:v>
                </c:pt>
                <c:pt idx="1488">
                  <c:v>24/01/2016</c:v>
                </c:pt>
                <c:pt idx="1489">
                  <c:v>24/01/2016</c:v>
                </c:pt>
                <c:pt idx="1490">
                  <c:v>24/01/2016</c:v>
                </c:pt>
                <c:pt idx="1491">
                  <c:v>31/01/2016</c:v>
                </c:pt>
                <c:pt idx="1492">
                  <c:v>31/01/2016</c:v>
                </c:pt>
                <c:pt idx="1493">
                  <c:v>31/01/2016</c:v>
                </c:pt>
                <c:pt idx="1494">
                  <c:v>31/01/2016</c:v>
                </c:pt>
                <c:pt idx="1495">
                  <c:v>31/01/2016</c:v>
                </c:pt>
                <c:pt idx="1496">
                  <c:v>31/01/2016</c:v>
                </c:pt>
                <c:pt idx="1497">
                  <c:v>31/01/2016</c:v>
                </c:pt>
                <c:pt idx="1498">
                  <c:v>07/02/2016</c:v>
                </c:pt>
                <c:pt idx="1499">
                  <c:v>07/02/2016</c:v>
                </c:pt>
                <c:pt idx="1500">
                  <c:v>07/02/2016</c:v>
                </c:pt>
                <c:pt idx="1501">
                  <c:v>07/02/2016</c:v>
                </c:pt>
                <c:pt idx="1502">
                  <c:v>07/02/2016</c:v>
                </c:pt>
                <c:pt idx="1503">
                  <c:v>07/02/2016</c:v>
                </c:pt>
                <c:pt idx="1504">
                  <c:v>07/02/2016</c:v>
                </c:pt>
                <c:pt idx="1505">
                  <c:v>14/02/2016</c:v>
                </c:pt>
                <c:pt idx="1506">
                  <c:v>14/02/2016</c:v>
                </c:pt>
                <c:pt idx="1507">
                  <c:v>14/02/2016</c:v>
                </c:pt>
                <c:pt idx="1508">
                  <c:v>14/02/2016</c:v>
                </c:pt>
                <c:pt idx="1509">
                  <c:v>14/02/2016</c:v>
                </c:pt>
                <c:pt idx="1510">
                  <c:v>14/02/2016</c:v>
                </c:pt>
                <c:pt idx="1511">
                  <c:v>14/02/2016</c:v>
                </c:pt>
                <c:pt idx="1512">
                  <c:v>21/02/2016</c:v>
                </c:pt>
                <c:pt idx="1513">
                  <c:v>21/02/2016</c:v>
                </c:pt>
                <c:pt idx="1514">
                  <c:v>21/02/2016</c:v>
                </c:pt>
                <c:pt idx="1515">
                  <c:v>21/02/2016</c:v>
                </c:pt>
                <c:pt idx="1516">
                  <c:v>21/02/2016</c:v>
                </c:pt>
                <c:pt idx="1517">
                  <c:v>21/02/2016</c:v>
                </c:pt>
                <c:pt idx="1518">
                  <c:v>21/02/2016</c:v>
                </c:pt>
                <c:pt idx="1519">
                  <c:v>28/02/2016</c:v>
                </c:pt>
                <c:pt idx="1520">
                  <c:v>28/02/2016</c:v>
                </c:pt>
                <c:pt idx="1521">
                  <c:v>28/02/2016</c:v>
                </c:pt>
                <c:pt idx="1522">
                  <c:v>28/02/2016</c:v>
                </c:pt>
                <c:pt idx="1523">
                  <c:v>28/02/2016</c:v>
                </c:pt>
                <c:pt idx="1524">
                  <c:v>28/02/2016</c:v>
                </c:pt>
                <c:pt idx="1525">
                  <c:v>28/02/2016</c:v>
                </c:pt>
                <c:pt idx="1526">
                  <c:v>06/03/2016</c:v>
                </c:pt>
                <c:pt idx="1527">
                  <c:v>06/03/2016</c:v>
                </c:pt>
                <c:pt idx="1528">
                  <c:v>06/03/2016</c:v>
                </c:pt>
                <c:pt idx="1529">
                  <c:v>06/03/2016</c:v>
                </c:pt>
                <c:pt idx="1530">
                  <c:v>06/03/2016</c:v>
                </c:pt>
                <c:pt idx="1531">
                  <c:v>06/03/2016</c:v>
                </c:pt>
                <c:pt idx="1532">
                  <c:v>06/03/2016</c:v>
                </c:pt>
                <c:pt idx="1533">
                  <c:v>13/03/2016</c:v>
                </c:pt>
                <c:pt idx="1534">
                  <c:v>13/03/2016</c:v>
                </c:pt>
                <c:pt idx="1535">
                  <c:v>13/03/2016</c:v>
                </c:pt>
                <c:pt idx="1536">
                  <c:v>13/03/2016</c:v>
                </c:pt>
                <c:pt idx="1537">
                  <c:v>13/03/2016</c:v>
                </c:pt>
                <c:pt idx="1538">
                  <c:v>13/03/2016</c:v>
                </c:pt>
                <c:pt idx="1539">
                  <c:v>13/03/2016</c:v>
                </c:pt>
                <c:pt idx="1540">
                  <c:v>20/03/2016</c:v>
                </c:pt>
                <c:pt idx="1541">
                  <c:v>20/03/2016</c:v>
                </c:pt>
                <c:pt idx="1542">
                  <c:v>20/03/2016</c:v>
                </c:pt>
                <c:pt idx="1543">
                  <c:v>20/03/2016</c:v>
                </c:pt>
                <c:pt idx="1544">
                  <c:v>20/03/2016</c:v>
                </c:pt>
                <c:pt idx="1545">
                  <c:v>20/03/2016</c:v>
                </c:pt>
                <c:pt idx="1546">
                  <c:v>20/03/2016</c:v>
                </c:pt>
                <c:pt idx="1547">
                  <c:v>27/03/2016</c:v>
                </c:pt>
                <c:pt idx="1548">
                  <c:v>27/03/2016</c:v>
                </c:pt>
                <c:pt idx="1549">
                  <c:v>27/03/2016</c:v>
                </c:pt>
                <c:pt idx="1550">
                  <c:v>27/03/2016</c:v>
                </c:pt>
                <c:pt idx="1551">
                  <c:v>27/03/2016</c:v>
                </c:pt>
                <c:pt idx="1552">
                  <c:v>27/03/2016</c:v>
                </c:pt>
                <c:pt idx="1553">
                  <c:v>27/03/2016</c:v>
                </c:pt>
                <c:pt idx="1554">
                  <c:v>03/04/2016</c:v>
                </c:pt>
                <c:pt idx="1555">
                  <c:v>03/04/2016</c:v>
                </c:pt>
                <c:pt idx="1556">
                  <c:v>03/04/2016</c:v>
                </c:pt>
                <c:pt idx="1557">
                  <c:v>03/04/2016</c:v>
                </c:pt>
                <c:pt idx="1558">
                  <c:v>03/04/2016</c:v>
                </c:pt>
                <c:pt idx="1559">
                  <c:v>03/04/2016</c:v>
                </c:pt>
                <c:pt idx="1560">
                  <c:v>03/04/2016</c:v>
                </c:pt>
                <c:pt idx="1561">
                  <c:v>10/04/2016</c:v>
                </c:pt>
                <c:pt idx="1562">
                  <c:v>10/04/2016</c:v>
                </c:pt>
                <c:pt idx="1563">
                  <c:v>10/04/2016</c:v>
                </c:pt>
                <c:pt idx="1564">
                  <c:v>10/04/2016</c:v>
                </c:pt>
                <c:pt idx="1565">
                  <c:v>10/04/2016</c:v>
                </c:pt>
                <c:pt idx="1566">
                  <c:v>10/04/2016</c:v>
                </c:pt>
                <c:pt idx="1567">
                  <c:v>10/04/2016</c:v>
                </c:pt>
                <c:pt idx="1568">
                  <c:v>17/04/2016</c:v>
                </c:pt>
                <c:pt idx="1569">
                  <c:v>17/04/2016</c:v>
                </c:pt>
                <c:pt idx="1570">
                  <c:v>17/04/2016</c:v>
                </c:pt>
                <c:pt idx="1571">
                  <c:v>17/04/2016</c:v>
                </c:pt>
                <c:pt idx="1572">
                  <c:v>17/04/2016</c:v>
                </c:pt>
                <c:pt idx="1573">
                  <c:v>17/04/2016</c:v>
                </c:pt>
                <c:pt idx="1574">
                  <c:v>17/04/2016</c:v>
                </c:pt>
                <c:pt idx="1575">
                  <c:v>24/04/2016</c:v>
                </c:pt>
                <c:pt idx="1576">
                  <c:v>24/04/2016</c:v>
                </c:pt>
                <c:pt idx="1577">
                  <c:v>24/04/2016</c:v>
                </c:pt>
                <c:pt idx="1578">
                  <c:v>24/04/2016</c:v>
                </c:pt>
                <c:pt idx="1579">
                  <c:v>24/04/2016</c:v>
                </c:pt>
                <c:pt idx="1580">
                  <c:v>24/04/2016</c:v>
                </c:pt>
                <c:pt idx="1581">
                  <c:v>24/04/2016</c:v>
                </c:pt>
                <c:pt idx="1582">
                  <c:v>01/05/2016</c:v>
                </c:pt>
                <c:pt idx="1583">
                  <c:v>01/05/2016</c:v>
                </c:pt>
                <c:pt idx="1584">
                  <c:v>01/05/2016</c:v>
                </c:pt>
                <c:pt idx="1585">
                  <c:v>01/05/2016</c:v>
                </c:pt>
                <c:pt idx="1586">
                  <c:v>01/05/2016</c:v>
                </c:pt>
                <c:pt idx="1587">
                  <c:v>01/05/2016</c:v>
                </c:pt>
                <c:pt idx="1588">
                  <c:v>01/05/2016</c:v>
                </c:pt>
                <c:pt idx="1589">
                  <c:v>08/05/2016</c:v>
                </c:pt>
                <c:pt idx="1590">
                  <c:v>08/05/2016</c:v>
                </c:pt>
                <c:pt idx="1591">
                  <c:v>08/05/2016</c:v>
                </c:pt>
                <c:pt idx="1592">
                  <c:v>08/05/2016</c:v>
                </c:pt>
                <c:pt idx="1593">
                  <c:v>08/05/2016</c:v>
                </c:pt>
                <c:pt idx="1594">
                  <c:v>08/05/2016</c:v>
                </c:pt>
                <c:pt idx="1595">
                  <c:v>08/05/2016</c:v>
                </c:pt>
                <c:pt idx="1596">
                  <c:v>15/05/2016</c:v>
                </c:pt>
                <c:pt idx="1597">
                  <c:v>15/05/2016</c:v>
                </c:pt>
                <c:pt idx="1598">
                  <c:v>15/05/2016</c:v>
                </c:pt>
                <c:pt idx="1599">
                  <c:v>15/05/2016</c:v>
                </c:pt>
                <c:pt idx="1600">
                  <c:v>15/05/2016</c:v>
                </c:pt>
                <c:pt idx="1601">
                  <c:v>15/05/2016</c:v>
                </c:pt>
                <c:pt idx="1602">
                  <c:v>15/05/2016</c:v>
                </c:pt>
                <c:pt idx="1603">
                  <c:v>22/05/2016</c:v>
                </c:pt>
                <c:pt idx="1604">
                  <c:v>22/05/2016</c:v>
                </c:pt>
                <c:pt idx="1605">
                  <c:v>22/05/2016</c:v>
                </c:pt>
                <c:pt idx="1606">
                  <c:v>22/05/2016</c:v>
                </c:pt>
                <c:pt idx="1607">
                  <c:v>22/05/2016</c:v>
                </c:pt>
                <c:pt idx="1608">
                  <c:v>22/05/2016</c:v>
                </c:pt>
                <c:pt idx="1609">
                  <c:v>22/05/2016</c:v>
                </c:pt>
                <c:pt idx="1610">
                  <c:v>29/05/2016</c:v>
                </c:pt>
                <c:pt idx="1611">
                  <c:v>29/05/2016</c:v>
                </c:pt>
                <c:pt idx="1612">
                  <c:v>29/05/2016</c:v>
                </c:pt>
                <c:pt idx="1613">
                  <c:v>29/05/2016</c:v>
                </c:pt>
                <c:pt idx="1614">
                  <c:v>29/05/2016</c:v>
                </c:pt>
                <c:pt idx="1615">
                  <c:v>29/05/2016</c:v>
                </c:pt>
                <c:pt idx="1616">
                  <c:v>29/05/2016</c:v>
                </c:pt>
                <c:pt idx="1617">
                  <c:v>05/06/2016</c:v>
                </c:pt>
                <c:pt idx="1618">
                  <c:v>05/06/2016</c:v>
                </c:pt>
                <c:pt idx="1619">
                  <c:v>05/06/2016</c:v>
                </c:pt>
                <c:pt idx="1620">
                  <c:v>05/06/2016</c:v>
                </c:pt>
                <c:pt idx="1621">
                  <c:v>05/06/2016</c:v>
                </c:pt>
                <c:pt idx="1622">
                  <c:v>05/06/2016</c:v>
                </c:pt>
                <c:pt idx="1623">
                  <c:v>05/06/2016</c:v>
                </c:pt>
                <c:pt idx="1624">
                  <c:v>12/06/2016</c:v>
                </c:pt>
                <c:pt idx="1625">
                  <c:v>12/06/2016</c:v>
                </c:pt>
                <c:pt idx="1626">
                  <c:v>12/06/2016</c:v>
                </c:pt>
                <c:pt idx="1627">
                  <c:v>12/06/2016</c:v>
                </c:pt>
                <c:pt idx="1628">
                  <c:v>12/06/2016</c:v>
                </c:pt>
                <c:pt idx="1629">
                  <c:v>12/06/2016</c:v>
                </c:pt>
                <c:pt idx="1630">
                  <c:v>12/06/2016</c:v>
                </c:pt>
                <c:pt idx="1631">
                  <c:v>19/06/2016</c:v>
                </c:pt>
                <c:pt idx="1632">
                  <c:v>19/06/2016</c:v>
                </c:pt>
                <c:pt idx="1633">
                  <c:v>19/06/2016</c:v>
                </c:pt>
                <c:pt idx="1634">
                  <c:v>19/06/2016</c:v>
                </c:pt>
                <c:pt idx="1635">
                  <c:v>19/06/2016</c:v>
                </c:pt>
                <c:pt idx="1636">
                  <c:v>19/06/2016</c:v>
                </c:pt>
                <c:pt idx="1637">
                  <c:v>19/06/2016</c:v>
                </c:pt>
                <c:pt idx="1638">
                  <c:v>26/06/2016</c:v>
                </c:pt>
                <c:pt idx="1639">
                  <c:v>26/06/2016</c:v>
                </c:pt>
                <c:pt idx="1640">
                  <c:v>26/06/2016</c:v>
                </c:pt>
                <c:pt idx="1641">
                  <c:v>26/06/2016</c:v>
                </c:pt>
                <c:pt idx="1642">
                  <c:v>26/06/2016</c:v>
                </c:pt>
                <c:pt idx="1643">
                  <c:v>26/06/2016</c:v>
                </c:pt>
                <c:pt idx="1644">
                  <c:v>26/06/2016</c:v>
                </c:pt>
                <c:pt idx="1645">
                  <c:v>03/07/2016</c:v>
                </c:pt>
                <c:pt idx="1646">
                  <c:v>03/07/2016</c:v>
                </c:pt>
                <c:pt idx="1647">
                  <c:v>03/07/2016</c:v>
                </c:pt>
                <c:pt idx="1648">
                  <c:v>03/07/2016</c:v>
                </c:pt>
                <c:pt idx="1649">
                  <c:v>03/07/2016</c:v>
                </c:pt>
                <c:pt idx="1650">
                  <c:v>03/07/2016</c:v>
                </c:pt>
                <c:pt idx="1651">
                  <c:v>03/07/2016</c:v>
                </c:pt>
                <c:pt idx="1652">
                  <c:v>10/07/2016</c:v>
                </c:pt>
                <c:pt idx="1653">
                  <c:v>10/07/2016</c:v>
                </c:pt>
                <c:pt idx="1654">
                  <c:v>10/07/2016</c:v>
                </c:pt>
                <c:pt idx="1655">
                  <c:v>10/07/2016</c:v>
                </c:pt>
                <c:pt idx="1656">
                  <c:v>10/07/2016</c:v>
                </c:pt>
                <c:pt idx="1657">
                  <c:v>10/07/2016</c:v>
                </c:pt>
                <c:pt idx="1658">
                  <c:v>10/07/2016</c:v>
                </c:pt>
                <c:pt idx="1659">
                  <c:v>17/07/2016</c:v>
                </c:pt>
                <c:pt idx="1660">
                  <c:v>17/07/2016</c:v>
                </c:pt>
                <c:pt idx="1661">
                  <c:v>17/07/2016</c:v>
                </c:pt>
                <c:pt idx="1662">
                  <c:v>17/07/2016</c:v>
                </c:pt>
                <c:pt idx="1663">
                  <c:v>17/07/2016</c:v>
                </c:pt>
                <c:pt idx="1664">
                  <c:v>17/07/2016</c:v>
                </c:pt>
                <c:pt idx="1665">
                  <c:v>17/07/2016</c:v>
                </c:pt>
                <c:pt idx="1666">
                  <c:v>24/07/2016</c:v>
                </c:pt>
                <c:pt idx="1667">
                  <c:v>24/07/2016</c:v>
                </c:pt>
                <c:pt idx="1668">
                  <c:v>24/07/2016</c:v>
                </c:pt>
                <c:pt idx="1669">
                  <c:v>24/07/2016</c:v>
                </c:pt>
                <c:pt idx="1670">
                  <c:v>24/07/2016</c:v>
                </c:pt>
                <c:pt idx="1671">
                  <c:v>24/07/2016</c:v>
                </c:pt>
                <c:pt idx="1672">
                  <c:v>24/07/2016</c:v>
                </c:pt>
                <c:pt idx="1673">
                  <c:v>31/07/2016</c:v>
                </c:pt>
                <c:pt idx="1674">
                  <c:v>31/07/2016</c:v>
                </c:pt>
                <c:pt idx="1675">
                  <c:v>31/07/2016</c:v>
                </c:pt>
                <c:pt idx="1676">
                  <c:v>31/07/2016</c:v>
                </c:pt>
                <c:pt idx="1677">
                  <c:v>31/07/2016</c:v>
                </c:pt>
                <c:pt idx="1678">
                  <c:v>31/07/2016</c:v>
                </c:pt>
                <c:pt idx="1679">
                  <c:v>31/07/2016</c:v>
                </c:pt>
                <c:pt idx="1680">
                  <c:v>07/08/2016</c:v>
                </c:pt>
                <c:pt idx="1681">
                  <c:v>07/08/2016</c:v>
                </c:pt>
                <c:pt idx="1682">
                  <c:v>07/08/2016</c:v>
                </c:pt>
                <c:pt idx="1683">
                  <c:v>07/08/2016</c:v>
                </c:pt>
                <c:pt idx="1684">
                  <c:v>07/08/2016</c:v>
                </c:pt>
                <c:pt idx="1685">
                  <c:v>07/08/2016</c:v>
                </c:pt>
                <c:pt idx="1686">
                  <c:v>07/08/2016</c:v>
                </c:pt>
                <c:pt idx="1687">
                  <c:v>14/08/2016</c:v>
                </c:pt>
                <c:pt idx="1688">
                  <c:v>14/08/2016</c:v>
                </c:pt>
                <c:pt idx="1689">
                  <c:v>14/08/2016</c:v>
                </c:pt>
                <c:pt idx="1690">
                  <c:v>14/08/2016</c:v>
                </c:pt>
                <c:pt idx="1691">
                  <c:v>14/08/2016</c:v>
                </c:pt>
                <c:pt idx="1692">
                  <c:v>14/08/2016</c:v>
                </c:pt>
                <c:pt idx="1693">
                  <c:v>14/08/2016</c:v>
                </c:pt>
                <c:pt idx="1694">
                  <c:v>21/08/2016</c:v>
                </c:pt>
                <c:pt idx="1695">
                  <c:v>21/08/2016</c:v>
                </c:pt>
                <c:pt idx="1696">
                  <c:v>21/08/2016</c:v>
                </c:pt>
                <c:pt idx="1697">
                  <c:v>21/08/2016</c:v>
                </c:pt>
                <c:pt idx="1698">
                  <c:v>21/08/2016</c:v>
                </c:pt>
                <c:pt idx="1699">
                  <c:v>21/08/2016</c:v>
                </c:pt>
                <c:pt idx="1700">
                  <c:v>21/08/2016</c:v>
                </c:pt>
                <c:pt idx="1701">
                  <c:v>28/08/2016</c:v>
                </c:pt>
                <c:pt idx="1702">
                  <c:v>28/08/2016</c:v>
                </c:pt>
                <c:pt idx="1703">
                  <c:v>28/08/2016</c:v>
                </c:pt>
                <c:pt idx="1704">
                  <c:v>28/08/2016</c:v>
                </c:pt>
                <c:pt idx="1705">
                  <c:v>28/08/2016</c:v>
                </c:pt>
                <c:pt idx="1706">
                  <c:v>28/08/2016</c:v>
                </c:pt>
                <c:pt idx="1707">
                  <c:v>28/08/2016</c:v>
                </c:pt>
                <c:pt idx="1708">
                  <c:v>04/09/2016</c:v>
                </c:pt>
                <c:pt idx="1709">
                  <c:v>04/09/2016</c:v>
                </c:pt>
                <c:pt idx="1710">
                  <c:v>04/09/2016</c:v>
                </c:pt>
                <c:pt idx="1711">
                  <c:v>04/09/2016</c:v>
                </c:pt>
                <c:pt idx="1712">
                  <c:v>04/09/2016</c:v>
                </c:pt>
                <c:pt idx="1713">
                  <c:v>04/09/2016</c:v>
                </c:pt>
                <c:pt idx="1714">
                  <c:v>04/09/2016</c:v>
                </c:pt>
                <c:pt idx="1715">
                  <c:v>11/09/2016</c:v>
                </c:pt>
                <c:pt idx="1716">
                  <c:v>11/09/2016</c:v>
                </c:pt>
                <c:pt idx="1717">
                  <c:v>11/09/2016</c:v>
                </c:pt>
                <c:pt idx="1718">
                  <c:v>11/09/2016</c:v>
                </c:pt>
                <c:pt idx="1719">
                  <c:v>11/09/2016</c:v>
                </c:pt>
                <c:pt idx="1720">
                  <c:v>11/09/2016</c:v>
                </c:pt>
                <c:pt idx="1721">
                  <c:v>11/09/2016</c:v>
                </c:pt>
                <c:pt idx="1722">
                  <c:v>18/09/2016</c:v>
                </c:pt>
                <c:pt idx="1723">
                  <c:v>18/09/2016</c:v>
                </c:pt>
                <c:pt idx="1724">
                  <c:v>18/09/2016</c:v>
                </c:pt>
                <c:pt idx="1725">
                  <c:v>18/09/2016</c:v>
                </c:pt>
                <c:pt idx="1726">
                  <c:v>18/09/2016</c:v>
                </c:pt>
                <c:pt idx="1727">
                  <c:v>18/09/2016</c:v>
                </c:pt>
                <c:pt idx="1728">
                  <c:v>18/09/2016</c:v>
                </c:pt>
                <c:pt idx="1729">
                  <c:v>25/09/2016</c:v>
                </c:pt>
                <c:pt idx="1730">
                  <c:v>25/09/2016</c:v>
                </c:pt>
                <c:pt idx="1731">
                  <c:v>25/09/2016</c:v>
                </c:pt>
                <c:pt idx="1732">
                  <c:v>25/09/2016</c:v>
                </c:pt>
                <c:pt idx="1733">
                  <c:v>25/09/2016</c:v>
                </c:pt>
                <c:pt idx="1734">
                  <c:v>25/09/2016</c:v>
                </c:pt>
                <c:pt idx="1735">
                  <c:v>25/09/2016</c:v>
                </c:pt>
                <c:pt idx="1736">
                  <c:v>02/10/2016</c:v>
                </c:pt>
                <c:pt idx="1737">
                  <c:v>02/10/2016</c:v>
                </c:pt>
                <c:pt idx="1738">
                  <c:v>02/10/2016</c:v>
                </c:pt>
                <c:pt idx="1739">
                  <c:v>02/10/2016</c:v>
                </c:pt>
                <c:pt idx="1740">
                  <c:v>02/10/2016</c:v>
                </c:pt>
                <c:pt idx="1741">
                  <c:v>02/10/2016</c:v>
                </c:pt>
                <c:pt idx="1742">
                  <c:v>02/10/2016</c:v>
                </c:pt>
                <c:pt idx="1743">
                  <c:v>09/10/2016</c:v>
                </c:pt>
                <c:pt idx="1744">
                  <c:v>09/10/2016</c:v>
                </c:pt>
                <c:pt idx="1745">
                  <c:v>09/10/2016</c:v>
                </c:pt>
                <c:pt idx="1746">
                  <c:v>09/10/2016</c:v>
                </c:pt>
                <c:pt idx="1747">
                  <c:v>09/10/2016</c:v>
                </c:pt>
                <c:pt idx="1748">
                  <c:v>09/10/2016</c:v>
                </c:pt>
                <c:pt idx="1749">
                  <c:v>09/10/2016</c:v>
                </c:pt>
                <c:pt idx="1750">
                  <c:v>16/10/2016</c:v>
                </c:pt>
                <c:pt idx="1751">
                  <c:v>16/10/2016</c:v>
                </c:pt>
                <c:pt idx="1752">
                  <c:v>16/10/2016</c:v>
                </c:pt>
                <c:pt idx="1753">
                  <c:v>16/10/2016</c:v>
                </c:pt>
                <c:pt idx="1754">
                  <c:v>16/10/2016</c:v>
                </c:pt>
                <c:pt idx="1755">
                  <c:v>16/10/2016</c:v>
                </c:pt>
                <c:pt idx="1756">
                  <c:v>16/10/2016</c:v>
                </c:pt>
                <c:pt idx="1757">
                  <c:v>23/10/2016</c:v>
                </c:pt>
                <c:pt idx="1758">
                  <c:v>23/10/2016</c:v>
                </c:pt>
                <c:pt idx="1759">
                  <c:v>23/10/2016</c:v>
                </c:pt>
                <c:pt idx="1760">
                  <c:v>23/10/2016</c:v>
                </c:pt>
                <c:pt idx="1761">
                  <c:v>23/10/2016</c:v>
                </c:pt>
                <c:pt idx="1762">
                  <c:v>23/10/2016</c:v>
                </c:pt>
                <c:pt idx="1763">
                  <c:v>23/10/2016</c:v>
                </c:pt>
                <c:pt idx="1764">
                  <c:v>30/10/2016</c:v>
                </c:pt>
                <c:pt idx="1765">
                  <c:v>30/10/2016</c:v>
                </c:pt>
                <c:pt idx="1766">
                  <c:v>30/10/2016</c:v>
                </c:pt>
                <c:pt idx="1767">
                  <c:v>30/10/2016</c:v>
                </c:pt>
                <c:pt idx="1768">
                  <c:v>30/10/2016</c:v>
                </c:pt>
                <c:pt idx="1769">
                  <c:v>30/10/2016</c:v>
                </c:pt>
                <c:pt idx="1770">
                  <c:v>30/10/2016</c:v>
                </c:pt>
                <c:pt idx="1771">
                  <c:v>06/11/2016</c:v>
                </c:pt>
                <c:pt idx="1772">
                  <c:v>06/11/2016</c:v>
                </c:pt>
                <c:pt idx="1773">
                  <c:v>06/11/2016</c:v>
                </c:pt>
                <c:pt idx="1774">
                  <c:v>06/11/2016</c:v>
                </c:pt>
                <c:pt idx="1775">
                  <c:v>06/11/2016</c:v>
                </c:pt>
                <c:pt idx="1776">
                  <c:v>06/11/2016</c:v>
                </c:pt>
                <c:pt idx="1777">
                  <c:v>06/11/2016</c:v>
                </c:pt>
                <c:pt idx="1778">
                  <c:v>13/11/2016</c:v>
                </c:pt>
                <c:pt idx="1779">
                  <c:v>13/11/2016</c:v>
                </c:pt>
                <c:pt idx="1780">
                  <c:v>13/11/2016</c:v>
                </c:pt>
                <c:pt idx="1781">
                  <c:v>13/11/2016</c:v>
                </c:pt>
                <c:pt idx="1782">
                  <c:v>13/11/2016</c:v>
                </c:pt>
                <c:pt idx="1783">
                  <c:v>13/11/2016</c:v>
                </c:pt>
                <c:pt idx="1784">
                  <c:v>13/11/2016</c:v>
                </c:pt>
                <c:pt idx="1785">
                  <c:v>20/11/2016</c:v>
                </c:pt>
                <c:pt idx="1786">
                  <c:v>20/11/2016</c:v>
                </c:pt>
                <c:pt idx="1787">
                  <c:v>20/11/2016</c:v>
                </c:pt>
                <c:pt idx="1788">
                  <c:v>20/11/2016</c:v>
                </c:pt>
                <c:pt idx="1789">
                  <c:v>20/11/2016</c:v>
                </c:pt>
                <c:pt idx="1790">
                  <c:v>20/11/2016</c:v>
                </c:pt>
                <c:pt idx="1791">
                  <c:v>20/11/2016</c:v>
                </c:pt>
                <c:pt idx="1792">
                  <c:v>27/11/2016</c:v>
                </c:pt>
                <c:pt idx="1793">
                  <c:v>27/11/2016</c:v>
                </c:pt>
                <c:pt idx="1794">
                  <c:v>27/11/2016</c:v>
                </c:pt>
                <c:pt idx="1795">
                  <c:v>27/11/2016</c:v>
                </c:pt>
                <c:pt idx="1796">
                  <c:v>27/11/2016</c:v>
                </c:pt>
                <c:pt idx="1797">
                  <c:v>27/11/2016</c:v>
                </c:pt>
                <c:pt idx="1798">
                  <c:v>27/11/2016</c:v>
                </c:pt>
                <c:pt idx="1799">
                  <c:v>04/12/2016</c:v>
                </c:pt>
                <c:pt idx="1800">
                  <c:v>04/12/2016</c:v>
                </c:pt>
                <c:pt idx="1801">
                  <c:v>04/12/2016</c:v>
                </c:pt>
                <c:pt idx="1802">
                  <c:v>04/12/2016</c:v>
                </c:pt>
                <c:pt idx="1803">
                  <c:v>04/12/2016</c:v>
                </c:pt>
                <c:pt idx="1804">
                  <c:v>04/12/2016</c:v>
                </c:pt>
                <c:pt idx="1805">
                  <c:v>04/12/2016</c:v>
                </c:pt>
                <c:pt idx="1806">
                  <c:v>11/12/2016</c:v>
                </c:pt>
                <c:pt idx="1807">
                  <c:v>11/12/2016</c:v>
                </c:pt>
                <c:pt idx="1808">
                  <c:v>11/12/2016</c:v>
                </c:pt>
                <c:pt idx="1809">
                  <c:v>11/12/2016</c:v>
                </c:pt>
                <c:pt idx="1810">
                  <c:v>11/12/2016</c:v>
                </c:pt>
                <c:pt idx="1811">
                  <c:v>11/12/2016</c:v>
                </c:pt>
                <c:pt idx="1812">
                  <c:v>11/12/2016</c:v>
                </c:pt>
                <c:pt idx="1813">
                  <c:v>18/12/2016</c:v>
                </c:pt>
                <c:pt idx="1814">
                  <c:v>18/12/2016</c:v>
                </c:pt>
                <c:pt idx="1815">
                  <c:v>18/12/2016</c:v>
                </c:pt>
                <c:pt idx="1816">
                  <c:v>18/12/2016</c:v>
                </c:pt>
                <c:pt idx="1817">
                  <c:v>18/12/2016</c:v>
                </c:pt>
                <c:pt idx="1818">
                  <c:v>18/12/2016</c:v>
                </c:pt>
                <c:pt idx="1819">
                  <c:v>18/12/2016</c:v>
                </c:pt>
                <c:pt idx="1820">
                  <c:v>25/12/2016</c:v>
                </c:pt>
                <c:pt idx="1821">
                  <c:v>25/12/2016</c:v>
                </c:pt>
                <c:pt idx="1822">
                  <c:v>25/12/2016</c:v>
                </c:pt>
                <c:pt idx="1823">
                  <c:v>25/12/2016</c:v>
                </c:pt>
                <c:pt idx="1824">
                  <c:v>25/12/2016</c:v>
                </c:pt>
                <c:pt idx="1825">
                  <c:v>25/12/2016</c:v>
                </c:pt>
                <c:pt idx="1826">
                  <c:v>25/12/2016</c:v>
                </c:pt>
                <c:pt idx="1827">
                  <c:v>01/01/2017</c:v>
                </c:pt>
                <c:pt idx="1828">
                  <c:v>01/01/2017</c:v>
                </c:pt>
                <c:pt idx="1829">
                  <c:v>01/01/2017</c:v>
                </c:pt>
                <c:pt idx="1830">
                  <c:v>01/01/2017</c:v>
                </c:pt>
                <c:pt idx="1831">
                  <c:v>01/01/2017</c:v>
                </c:pt>
                <c:pt idx="1832">
                  <c:v>01/01/2017</c:v>
                </c:pt>
                <c:pt idx="1833">
                  <c:v>01/01/2017</c:v>
                </c:pt>
                <c:pt idx="1834">
                  <c:v>08/01/2017</c:v>
                </c:pt>
                <c:pt idx="1835">
                  <c:v>08/01/2017</c:v>
                </c:pt>
                <c:pt idx="1836">
                  <c:v>08/01/2017</c:v>
                </c:pt>
                <c:pt idx="1837">
                  <c:v>08/01/2017</c:v>
                </c:pt>
                <c:pt idx="1838">
                  <c:v>08/01/2017</c:v>
                </c:pt>
                <c:pt idx="1839">
                  <c:v>08/01/2017</c:v>
                </c:pt>
                <c:pt idx="1840">
                  <c:v>08/01/2017</c:v>
                </c:pt>
                <c:pt idx="1841">
                  <c:v>15/01/2017</c:v>
                </c:pt>
                <c:pt idx="1842">
                  <c:v>15/01/2017</c:v>
                </c:pt>
                <c:pt idx="1843">
                  <c:v>15/01/2017</c:v>
                </c:pt>
                <c:pt idx="1844">
                  <c:v>15/01/2017</c:v>
                </c:pt>
                <c:pt idx="1845">
                  <c:v>15/01/2017</c:v>
                </c:pt>
                <c:pt idx="1846">
                  <c:v>15/01/2017</c:v>
                </c:pt>
                <c:pt idx="1847">
                  <c:v>15/01/2017</c:v>
                </c:pt>
                <c:pt idx="1848">
                  <c:v>22/01/2017</c:v>
                </c:pt>
                <c:pt idx="1849">
                  <c:v>22/01/2017</c:v>
                </c:pt>
                <c:pt idx="1850">
                  <c:v>22/01/2017</c:v>
                </c:pt>
                <c:pt idx="1851">
                  <c:v>22/01/2017</c:v>
                </c:pt>
                <c:pt idx="1852">
                  <c:v>22/01/2017</c:v>
                </c:pt>
                <c:pt idx="1853">
                  <c:v>22/01/2017</c:v>
                </c:pt>
                <c:pt idx="1854">
                  <c:v>22/01/2017</c:v>
                </c:pt>
                <c:pt idx="1855">
                  <c:v>29/01/2017</c:v>
                </c:pt>
                <c:pt idx="1856">
                  <c:v>29/01/2017</c:v>
                </c:pt>
                <c:pt idx="1857">
                  <c:v>29/01/2017</c:v>
                </c:pt>
                <c:pt idx="1858">
                  <c:v>29/01/2017</c:v>
                </c:pt>
                <c:pt idx="1859">
                  <c:v>29/01/2017</c:v>
                </c:pt>
                <c:pt idx="1860">
                  <c:v>29/01/2017</c:v>
                </c:pt>
                <c:pt idx="1861">
                  <c:v>29/01/2017</c:v>
                </c:pt>
                <c:pt idx="1862">
                  <c:v>05/02/2017</c:v>
                </c:pt>
                <c:pt idx="1863">
                  <c:v>05/02/2017</c:v>
                </c:pt>
                <c:pt idx="1864">
                  <c:v>05/02/2017</c:v>
                </c:pt>
                <c:pt idx="1865">
                  <c:v>05/02/2017</c:v>
                </c:pt>
                <c:pt idx="1866">
                  <c:v>05/02/2017</c:v>
                </c:pt>
                <c:pt idx="1867">
                  <c:v>05/02/2017</c:v>
                </c:pt>
                <c:pt idx="1868">
                  <c:v>05/02/2017</c:v>
                </c:pt>
                <c:pt idx="1869">
                  <c:v>12/02/2017</c:v>
                </c:pt>
                <c:pt idx="1870">
                  <c:v>12/02/2017</c:v>
                </c:pt>
                <c:pt idx="1871">
                  <c:v>12/02/2017</c:v>
                </c:pt>
                <c:pt idx="1872">
                  <c:v>12/02/2017</c:v>
                </c:pt>
                <c:pt idx="1873">
                  <c:v>12/02/2017</c:v>
                </c:pt>
                <c:pt idx="1874">
                  <c:v>12/02/2017</c:v>
                </c:pt>
                <c:pt idx="1875">
                  <c:v>12/02/2017</c:v>
                </c:pt>
                <c:pt idx="1876">
                  <c:v>19/02/2017</c:v>
                </c:pt>
                <c:pt idx="1877">
                  <c:v>19/02/2017</c:v>
                </c:pt>
                <c:pt idx="1878">
                  <c:v>19/02/2017</c:v>
                </c:pt>
                <c:pt idx="1879">
                  <c:v>19/02/2017</c:v>
                </c:pt>
                <c:pt idx="1880">
                  <c:v>19/02/2017</c:v>
                </c:pt>
                <c:pt idx="1881">
                  <c:v>19/02/2017</c:v>
                </c:pt>
                <c:pt idx="1882">
                  <c:v>19/02/2017</c:v>
                </c:pt>
                <c:pt idx="1883">
                  <c:v>26/02/2017</c:v>
                </c:pt>
                <c:pt idx="1884">
                  <c:v>26/02/2017</c:v>
                </c:pt>
                <c:pt idx="1885">
                  <c:v>26/02/2017</c:v>
                </c:pt>
                <c:pt idx="1886">
                  <c:v>26/02/2017</c:v>
                </c:pt>
                <c:pt idx="1887">
                  <c:v>26/02/2017</c:v>
                </c:pt>
                <c:pt idx="1888">
                  <c:v>26/02/2017</c:v>
                </c:pt>
                <c:pt idx="1889">
                  <c:v>26/02/2017</c:v>
                </c:pt>
                <c:pt idx="1890">
                  <c:v>05/03/2017</c:v>
                </c:pt>
                <c:pt idx="1891">
                  <c:v>05/03/2017</c:v>
                </c:pt>
                <c:pt idx="1892">
                  <c:v>05/03/2017</c:v>
                </c:pt>
                <c:pt idx="1893">
                  <c:v>05/03/2017</c:v>
                </c:pt>
                <c:pt idx="1894">
                  <c:v>05/03/2017</c:v>
                </c:pt>
                <c:pt idx="1895">
                  <c:v>05/03/2017</c:v>
                </c:pt>
                <c:pt idx="1896">
                  <c:v>05/03/2017</c:v>
                </c:pt>
                <c:pt idx="1897">
                  <c:v>12/03/2017</c:v>
                </c:pt>
                <c:pt idx="1898">
                  <c:v>12/03/2017</c:v>
                </c:pt>
                <c:pt idx="1899">
                  <c:v>12/03/2017</c:v>
                </c:pt>
                <c:pt idx="1900">
                  <c:v>12/03/2017</c:v>
                </c:pt>
                <c:pt idx="1901">
                  <c:v>12/03/2017</c:v>
                </c:pt>
                <c:pt idx="1902">
                  <c:v>12/03/2017</c:v>
                </c:pt>
                <c:pt idx="1903">
                  <c:v>12/03/2017</c:v>
                </c:pt>
                <c:pt idx="1904">
                  <c:v>19/03/2017</c:v>
                </c:pt>
                <c:pt idx="1905">
                  <c:v>19/03/2017</c:v>
                </c:pt>
                <c:pt idx="1906">
                  <c:v>19/03/2017</c:v>
                </c:pt>
                <c:pt idx="1907">
                  <c:v>19/03/2017</c:v>
                </c:pt>
                <c:pt idx="1908">
                  <c:v>19/03/2017</c:v>
                </c:pt>
                <c:pt idx="1909">
                  <c:v>19/03/2017</c:v>
                </c:pt>
                <c:pt idx="1910">
                  <c:v>19/03/2017</c:v>
                </c:pt>
                <c:pt idx="1911">
                  <c:v>26/03/2017</c:v>
                </c:pt>
                <c:pt idx="1912">
                  <c:v>26/03/2017</c:v>
                </c:pt>
                <c:pt idx="1913">
                  <c:v>26/03/2017</c:v>
                </c:pt>
                <c:pt idx="1914">
                  <c:v>26/03/2017</c:v>
                </c:pt>
                <c:pt idx="1915">
                  <c:v>26/03/2017</c:v>
                </c:pt>
                <c:pt idx="1916">
                  <c:v>26/03/2017</c:v>
                </c:pt>
                <c:pt idx="1917">
                  <c:v>26/03/2017</c:v>
                </c:pt>
                <c:pt idx="1918">
                  <c:v>02/04/2017</c:v>
                </c:pt>
                <c:pt idx="1919">
                  <c:v>02/04/2017</c:v>
                </c:pt>
                <c:pt idx="1920">
                  <c:v>02/04/2017</c:v>
                </c:pt>
                <c:pt idx="1921">
                  <c:v>02/04/2017</c:v>
                </c:pt>
                <c:pt idx="1922">
                  <c:v>02/04/2017</c:v>
                </c:pt>
                <c:pt idx="1923">
                  <c:v>02/04/2017</c:v>
                </c:pt>
                <c:pt idx="1924">
                  <c:v>02/04/2017</c:v>
                </c:pt>
                <c:pt idx="1925">
                  <c:v>09/04/2017</c:v>
                </c:pt>
                <c:pt idx="1926">
                  <c:v>09/04/2017</c:v>
                </c:pt>
                <c:pt idx="1927">
                  <c:v>09/04/2017</c:v>
                </c:pt>
                <c:pt idx="1928">
                  <c:v>09/04/2017</c:v>
                </c:pt>
                <c:pt idx="1929">
                  <c:v>09/04/2017</c:v>
                </c:pt>
                <c:pt idx="1930">
                  <c:v>09/04/2017</c:v>
                </c:pt>
                <c:pt idx="1931">
                  <c:v>09/04/2017</c:v>
                </c:pt>
                <c:pt idx="1932">
                  <c:v>16/04/2017</c:v>
                </c:pt>
                <c:pt idx="1933">
                  <c:v>16/04/2017</c:v>
                </c:pt>
                <c:pt idx="1934">
                  <c:v>16/04/2017</c:v>
                </c:pt>
                <c:pt idx="1935">
                  <c:v>16/04/2017</c:v>
                </c:pt>
                <c:pt idx="1936">
                  <c:v>16/04/2017</c:v>
                </c:pt>
                <c:pt idx="1937">
                  <c:v>16/04/2017</c:v>
                </c:pt>
                <c:pt idx="1938">
                  <c:v>16/04/2017</c:v>
                </c:pt>
                <c:pt idx="1939">
                  <c:v>23/04/2017</c:v>
                </c:pt>
                <c:pt idx="1940">
                  <c:v>23/04/2017</c:v>
                </c:pt>
                <c:pt idx="1941">
                  <c:v>23/04/2017</c:v>
                </c:pt>
                <c:pt idx="1942">
                  <c:v>23/04/2017</c:v>
                </c:pt>
                <c:pt idx="1943">
                  <c:v>23/04/2017</c:v>
                </c:pt>
                <c:pt idx="1944">
                  <c:v>23/04/2017</c:v>
                </c:pt>
                <c:pt idx="1945">
                  <c:v>23/04/2017</c:v>
                </c:pt>
                <c:pt idx="1946">
                  <c:v>30/04/2017</c:v>
                </c:pt>
                <c:pt idx="1947">
                  <c:v>30/04/2017</c:v>
                </c:pt>
                <c:pt idx="1948">
                  <c:v>30/04/2017</c:v>
                </c:pt>
                <c:pt idx="1949">
                  <c:v>30/04/2017</c:v>
                </c:pt>
                <c:pt idx="1950">
                  <c:v>30/04/2017</c:v>
                </c:pt>
                <c:pt idx="1951">
                  <c:v>30/04/2017</c:v>
                </c:pt>
                <c:pt idx="1952">
                  <c:v>30/04/2017</c:v>
                </c:pt>
                <c:pt idx="1953">
                  <c:v>07/05/2017</c:v>
                </c:pt>
                <c:pt idx="1954">
                  <c:v>07/05/2017</c:v>
                </c:pt>
                <c:pt idx="1955">
                  <c:v>07/05/2017</c:v>
                </c:pt>
                <c:pt idx="1956">
                  <c:v>07/05/2017</c:v>
                </c:pt>
                <c:pt idx="1957">
                  <c:v>07/05/2017</c:v>
                </c:pt>
                <c:pt idx="1958">
                  <c:v>07/05/2017</c:v>
                </c:pt>
                <c:pt idx="1959">
                  <c:v>07/05/2017</c:v>
                </c:pt>
                <c:pt idx="1960">
                  <c:v>14/05/2017</c:v>
                </c:pt>
                <c:pt idx="1961">
                  <c:v>14/05/2017</c:v>
                </c:pt>
                <c:pt idx="1962">
                  <c:v>14/05/2017</c:v>
                </c:pt>
                <c:pt idx="1963">
                  <c:v>14/05/2017</c:v>
                </c:pt>
                <c:pt idx="1964">
                  <c:v>14/05/2017</c:v>
                </c:pt>
                <c:pt idx="1965">
                  <c:v>14/05/2017</c:v>
                </c:pt>
                <c:pt idx="1966">
                  <c:v>14/05/2017</c:v>
                </c:pt>
                <c:pt idx="1967">
                  <c:v>21/05/2017</c:v>
                </c:pt>
                <c:pt idx="1968">
                  <c:v>21/05/2017</c:v>
                </c:pt>
                <c:pt idx="1969">
                  <c:v>21/05/2017</c:v>
                </c:pt>
                <c:pt idx="1970">
                  <c:v>21/05/2017</c:v>
                </c:pt>
                <c:pt idx="1971">
                  <c:v>21/05/2017</c:v>
                </c:pt>
                <c:pt idx="1972">
                  <c:v>21/05/2017</c:v>
                </c:pt>
                <c:pt idx="1973">
                  <c:v>21/05/2017</c:v>
                </c:pt>
                <c:pt idx="1974">
                  <c:v>28/05/2017</c:v>
                </c:pt>
                <c:pt idx="1975">
                  <c:v>28/05/2017</c:v>
                </c:pt>
                <c:pt idx="1976">
                  <c:v>28/05/2017</c:v>
                </c:pt>
                <c:pt idx="1977">
                  <c:v>28/05/2017</c:v>
                </c:pt>
                <c:pt idx="1978">
                  <c:v>28/05/2017</c:v>
                </c:pt>
                <c:pt idx="1979">
                  <c:v>28/05/2017</c:v>
                </c:pt>
                <c:pt idx="1980">
                  <c:v>28/05/2017</c:v>
                </c:pt>
                <c:pt idx="1981">
                  <c:v>04/06/2017</c:v>
                </c:pt>
                <c:pt idx="1982">
                  <c:v>04/06/2017</c:v>
                </c:pt>
                <c:pt idx="1983">
                  <c:v>04/06/2017</c:v>
                </c:pt>
                <c:pt idx="1984">
                  <c:v>04/06/2017</c:v>
                </c:pt>
                <c:pt idx="1985">
                  <c:v>04/06/2017</c:v>
                </c:pt>
                <c:pt idx="1986">
                  <c:v>04/06/2017</c:v>
                </c:pt>
                <c:pt idx="1987">
                  <c:v>04/06/2017</c:v>
                </c:pt>
                <c:pt idx="1988">
                  <c:v>11/06/2017</c:v>
                </c:pt>
                <c:pt idx="1989">
                  <c:v>11/06/2017</c:v>
                </c:pt>
                <c:pt idx="1990">
                  <c:v>11/06/2017</c:v>
                </c:pt>
                <c:pt idx="1991">
                  <c:v>11/06/2017</c:v>
                </c:pt>
                <c:pt idx="1992">
                  <c:v>11/06/2017</c:v>
                </c:pt>
                <c:pt idx="1993">
                  <c:v>11/06/2017</c:v>
                </c:pt>
                <c:pt idx="1994">
                  <c:v>11/06/2017</c:v>
                </c:pt>
                <c:pt idx="1995">
                  <c:v>18/06/2017</c:v>
                </c:pt>
                <c:pt idx="1996">
                  <c:v>18/06/2017</c:v>
                </c:pt>
                <c:pt idx="1997">
                  <c:v>18/06/2017</c:v>
                </c:pt>
                <c:pt idx="1998">
                  <c:v>18/06/2017</c:v>
                </c:pt>
                <c:pt idx="1999">
                  <c:v>18/06/2017</c:v>
                </c:pt>
                <c:pt idx="2000">
                  <c:v>18/06/2017</c:v>
                </c:pt>
                <c:pt idx="2001">
                  <c:v>18/06/2017</c:v>
                </c:pt>
                <c:pt idx="2002">
                  <c:v>25/06/2017</c:v>
                </c:pt>
                <c:pt idx="2003">
                  <c:v>25/06/2017</c:v>
                </c:pt>
                <c:pt idx="2004">
                  <c:v>25/06/2017</c:v>
                </c:pt>
                <c:pt idx="2005">
                  <c:v>25/06/2017</c:v>
                </c:pt>
                <c:pt idx="2006">
                  <c:v>25/06/2017</c:v>
                </c:pt>
                <c:pt idx="2007">
                  <c:v>25/06/2017</c:v>
                </c:pt>
                <c:pt idx="2008">
                  <c:v>25/06/2017</c:v>
                </c:pt>
                <c:pt idx="2009">
                  <c:v>02/07/2017</c:v>
                </c:pt>
                <c:pt idx="2010">
                  <c:v>02/07/2017</c:v>
                </c:pt>
                <c:pt idx="2011">
                  <c:v>02/07/2017</c:v>
                </c:pt>
                <c:pt idx="2012">
                  <c:v>02/07/2017</c:v>
                </c:pt>
                <c:pt idx="2013">
                  <c:v>02/07/2017</c:v>
                </c:pt>
                <c:pt idx="2014">
                  <c:v>02/07/2017</c:v>
                </c:pt>
                <c:pt idx="2015">
                  <c:v>02/07/2017</c:v>
                </c:pt>
                <c:pt idx="2016">
                  <c:v>09/07/2017</c:v>
                </c:pt>
                <c:pt idx="2017">
                  <c:v>09/07/2017</c:v>
                </c:pt>
                <c:pt idx="2018">
                  <c:v>09/07/2017</c:v>
                </c:pt>
                <c:pt idx="2019">
                  <c:v>09/07/2017</c:v>
                </c:pt>
                <c:pt idx="2020">
                  <c:v>09/07/2017</c:v>
                </c:pt>
                <c:pt idx="2021">
                  <c:v>09/07/2017</c:v>
                </c:pt>
                <c:pt idx="2022">
                  <c:v>09/07/2017</c:v>
                </c:pt>
                <c:pt idx="2023">
                  <c:v>16/07/2017</c:v>
                </c:pt>
                <c:pt idx="2024">
                  <c:v>16/07/2017</c:v>
                </c:pt>
                <c:pt idx="2025">
                  <c:v>16/07/2017</c:v>
                </c:pt>
                <c:pt idx="2026">
                  <c:v>16/07/2017</c:v>
                </c:pt>
                <c:pt idx="2027">
                  <c:v>16/07/2017</c:v>
                </c:pt>
                <c:pt idx="2028">
                  <c:v>16/07/2017</c:v>
                </c:pt>
                <c:pt idx="2029">
                  <c:v>16/07/2017</c:v>
                </c:pt>
                <c:pt idx="2030">
                  <c:v>23/07/2017</c:v>
                </c:pt>
                <c:pt idx="2031">
                  <c:v>23/07/2017</c:v>
                </c:pt>
                <c:pt idx="2032">
                  <c:v>23/07/2017</c:v>
                </c:pt>
                <c:pt idx="2033">
                  <c:v>23/07/2017</c:v>
                </c:pt>
                <c:pt idx="2034">
                  <c:v>23/07/2017</c:v>
                </c:pt>
                <c:pt idx="2035">
                  <c:v>23/07/2017</c:v>
                </c:pt>
                <c:pt idx="2036">
                  <c:v>23/07/2017</c:v>
                </c:pt>
                <c:pt idx="2037">
                  <c:v>30/07/2017</c:v>
                </c:pt>
                <c:pt idx="2038">
                  <c:v>30/07/2017</c:v>
                </c:pt>
                <c:pt idx="2039">
                  <c:v>30/07/2017</c:v>
                </c:pt>
                <c:pt idx="2040">
                  <c:v>30/07/2017</c:v>
                </c:pt>
                <c:pt idx="2041">
                  <c:v>30/07/2017</c:v>
                </c:pt>
                <c:pt idx="2042">
                  <c:v>30/07/2017</c:v>
                </c:pt>
                <c:pt idx="2043">
                  <c:v>30/07/2017</c:v>
                </c:pt>
                <c:pt idx="2044">
                  <c:v>06/08/2017</c:v>
                </c:pt>
                <c:pt idx="2045">
                  <c:v>06/08/2017</c:v>
                </c:pt>
                <c:pt idx="2046">
                  <c:v>06/08/2017</c:v>
                </c:pt>
                <c:pt idx="2047">
                  <c:v>06/08/2017</c:v>
                </c:pt>
                <c:pt idx="2048">
                  <c:v>06/08/2017</c:v>
                </c:pt>
                <c:pt idx="2049">
                  <c:v>06/08/2017</c:v>
                </c:pt>
                <c:pt idx="2050">
                  <c:v>06/08/2017</c:v>
                </c:pt>
                <c:pt idx="2051">
                  <c:v>13/08/2017</c:v>
                </c:pt>
                <c:pt idx="2052">
                  <c:v>13/08/2017</c:v>
                </c:pt>
                <c:pt idx="2053">
                  <c:v>13/08/2017</c:v>
                </c:pt>
                <c:pt idx="2054">
                  <c:v>13/08/2017</c:v>
                </c:pt>
                <c:pt idx="2055">
                  <c:v>13/08/2017</c:v>
                </c:pt>
                <c:pt idx="2056">
                  <c:v>13/08/2017</c:v>
                </c:pt>
                <c:pt idx="2057">
                  <c:v>13/08/2017</c:v>
                </c:pt>
                <c:pt idx="2058">
                  <c:v>20/08/2017</c:v>
                </c:pt>
                <c:pt idx="2059">
                  <c:v>20/08/2017</c:v>
                </c:pt>
                <c:pt idx="2060">
                  <c:v>20/08/2017</c:v>
                </c:pt>
                <c:pt idx="2061">
                  <c:v>20/08/2017</c:v>
                </c:pt>
                <c:pt idx="2062">
                  <c:v>20/08/2017</c:v>
                </c:pt>
                <c:pt idx="2063">
                  <c:v>20/08/2017</c:v>
                </c:pt>
                <c:pt idx="2064">
                  <c:v>20/08/2017</c:v>
                </c:pt>
                <c:pt idx="2065">
                  <c:v>27/08/2017</c:v>
                </c:pt>
                <c:pt idx="2066">
                  <c:v>27/08/2017</c:v>
                </c:pt>
                <c:pt idx="2067">
                  <c:v>27/08/2017</c:v>
                </c:pt>
                <c:pt idx="2068">
                  <c:v>27/08/2017</c:v>
                </c:pt>
                <c:pt idx="2069">
                  <c:v>27/08/2017</c:v>
                </c:pt>
                <c:pt idx="2070">
                  <c:v>27/08/2017</c:v>
                </c:pt>
                <c:pt idx="2071">
                  <c:v>27/08/2017</c:v>
                </c:pt>
                <c:pt idx="2072">
                  <c:v>03/09/2017</c:v>
                </c:pt>
                <c:pt idx="2073">
                  <c:v>03/09/2017</c:v>
                </c:pt>
                <c:pt idx="2074">
                  <c:v>03/09/2017</c:v>
                </c:pt>
                <c:pt idx="2075">
                  <c:v>03/09/2017</c:v>
                </c:pt>
                <c:pt idx="2076">
                  <c:v>03/09/2017</c:v>
                </c:pt>
                <c:pt idx="2077">
                  <c:v>03/09/2017</c:v>
                </c:pt>
                <c:pt idx="2078">
                  <c:v>03/09/2017</c:v>
                </c:pt>
                <c:pt idx="2079">
                  <c:v>10/09/2017</c:v>
                </c:pt>
                <c:pt idx="2080">
                  <c:v>10/09/2017</c:v>
                </c:pt>
                <c:pt idx="2081">
                  <c:v>10/09/2017</c:v>
                </c:pt>
                <c:pt idx="2082">
                  <c:v>10/09/2017</c:v>
                </c:pt>
                <c:pt idx="2083">
                  <c:v>10/09/2017</c:v>
                </c:pt>
                <c:pt idx="2084">
                  <c:v>10/09/2017</c:v>
                </c:pt>
                <c:pt idx="2085">
                  <c:v>10/09/2017</c:v>
                </c:pt>
                <c:pt idx="2086">
                  <c:v>17/09/2017</c:v>
                </c:pt>
                <c:pt idx="2087">
                  <c:v>17/09/2017</c:v>
                </c:pt>
                <c:pt idx="2088">
                  <c:v>17/09/2017</c:v>
                </c:pt>
                <c:pt idx="2089">
                  <c:v>17/09/2017</c:v>
                </c:pt>
                <c:pt idx="2090">
                  <c:v>17/09/2017</c:v>
                </c:pt>
                <c:pt idx="2091">
                  <c:v>17/09/2017</c:v>
                </c:pt>
                <c:pt idx="2092">
                  <c:v>17/09/2017</c:v>
                </c:pt>
                <c:pt idx="2093">
                  <c:v>24/09/2017</c:v>
                </c:pt>
                <c:pt idx="2094">
                  <c:v>24/09/2017</c:v>
                </c:pt>
                <c:pt idx="2095">
                  <c:v>24/09/2017</c:v>
                </c:pt>
                <c:pt idx="2096">
                  <c:v>24/09/2017</c:v>
                </c:pt>
                <c:pt idx="2097">
                  <c:v>24/09/2017</c:v>
                </c:pt>
                <c:pt idx="2098">
                  <c:v>24/09/2017</c:v>
                </c:pt>
                <c:pt idx="2099">
                  <c:v>24/09/2017</c:v>
                </c:pt>
                <c:pt idx="2100">
                  <c:v>01/10/2017</c:v>
                </c:pt>
                <c:pt idx="2101">
                  <c:v>01/10/2017</c:v>
                </c:pt>
                <c:pt idx="2102">
                  <c:v>01/10/2017</c:v>
                </c:pt>
                <c:pt idx="2103">
                  <c:v>01/10/2017</c:v>
                </c:pt>
                <c:pt idx="2104">
                  <c:v>01/10/2017</c:v>
                </c:pt>
                <c:pt idx="2105">
                  <c:v>01/10/2017</c:v>
                </c:pt>
                <c:pt idx="2106">
                  <c:v>01/10/2017</c:v>
                </c:pt>
                <c:pt idx="2107">
                  <c:v>08/10/2017</c:v>
                </c:pt>
                <c:pt idx="2108">
                  <c:v>08/10/2017</c:v>
                </c:pt>
                <c:pt idx="2109">
                  <c:v>08/10/2017</c:v>
                </c:pt>
                <c:pt idx="2110">
                  <c:v>08/10/2017</c:v>
                </c:pt>
                <c:pt idx="2111">
                  <c:v>08/10/2017</c:v>
                </c:pt>
                <c:pt idx="2112">
                  <c:v>08/10/2017</c:v>
                </c:pt>
                <c:pt idx="2113">
                  <c:v>08/10/2017</c:v>
                </c:pt>
                <c:pt idx="2114">
                  <c:v>15/10/2017</c:v>
                </c:pt>
                <c:pt idx="2115">
                  <c:v>15/10/2017</c:v>
                </c:pt>
                <c:pt idx="2116">
                  <c:v>15/10/2017</c:v>
                </c:pt>
                <c:pt idx="2117">
                  <c:v>15/10/2017</c:v>
                </c:pt>
                <c:pt idx="2118">
                  <c:v>15/10/2017</c:v>
                </c:pt>
                <c:pt idx="2119">
                  <c:v>15/10/2017</c:v>
                </c:pt>
                <c:pt idx="2120">
                  <c:v>15/10/2017</c:v>
                </c:pt>
                <c:pt idx="2121">
                  <c:v>22/10/2017</c:v>
                </c:pt>
                <c:pt idx="2122">
                  <c:v>22/10/2017</c:v>
                </c:pt>
                <c:pt idx="2123">
                  <c:v>22/10/2017</c:v>
                </c:pt>
                <c:pt idx="2124">
                  <c:v>22/10/2017</c:v>
                </c:pt>
                <c:pt idx="2125">
                  <c:v>22/10/2017</c:v>
                </c:pt>
                <c:pt idx="2126">
                  <c:v>22/10/2017</c:v>
                </c:pt>
                <c:pt idx="2127">
                  <c:v>22/10/2017</c:v>
                </c:pt>
                <c:pt idx="2128">
                  <c:v>29/10/2017</c:v>
                </c:pt>
                <c:pt idx="2129">
                  <c:v>29/10/2017</c:v>
                </c:pt>
                <c:pt idx="2130">
                  <c:v>29/10/2017</c:v>
                </c:pt>
                <c:pt idx="2131">
                  <c:v>29/10/2017</c:v>
                </c:pt>
                <c:pt idx="2132">
                  <c:v>29/10/2017</c:v>
                </c:pt>
                <c:pt idx="2133">
                  <c:v>29/10/2017</c:v>
                </c:pt>
                <c:pt idx="2134">
                  <c:v>29/10/2017</c:v>
                </c:pt>
                <c:pt idx="2135">
                  <c:v>05/11/2017</c:v>
                </c:pt>
                <c:pt idx="2136">
                  <c:v>05/11/2017</c:v>
                </c:pt>
                <c:pt idx="2137">
                  <c:v>05/11/2017</c:v>
                </c:pt>
                <c:pt idx="2138">
                  <c:v>05/11/2017</c:v>
                </c:pt>
                <c:pt idx="2139">
                  <c:v>05/11/2017</c:v>
                </c:pt>
                <c:pt idx="2140">
                  <c:v>05/11/2017</c:v>
                </c:pt>
                <c:pt idx="2141">
                  <c:v>05/11/2017</c:v>
                </c:pt>
                <c:pt idx="2142">
                  <c:v>12/11/2017</c:v>
                </c:pt>
                <c:pt idx="2143">
                  <c:v>12/11/2017</c:v>
                </c:pt>
                <c:pt idx="2144">
                  <c:v>12/11/2017</c:v>
                </c:pt>
                <c:pt idx="2145">
                  <c:v>12/11/2017</c:v>
                </c:pt>
                <c:pt idx="2146">
                  <c:v>12/11/2017</c:v>
                </c:pt>
                <c:pt idx="2147">
                  <c:v>12/11/2017</c:v>
                </c:pt>
                <c:pt idx="2148">
                  <c:v>12/11/2017</c:v>
                </c:pt>
                <c:pt idx="2149">
                  <c:v>19/11/2017</c:v>
                </c:pt>
                <c:pt idx="2150">
                  <c:v>19/11/2017</c:v>
                </c:pt>
                <c:pt idx="2151">
                  <c:v>19/11/2017</c:v>
                </c:pt>
                <c:pt idx="2152">
                  <c:v>19/11/2017</c:v>
                </c:pt>
                <c:pt idx="2153">
                  <c:v>19/11/2017</c:v>
                </c:pt>
                <c:pt idx="2154">
                  <c:v>19/11/2017</c:v>
                </c:pt>
                <c:pt idx="2155">
                  <c:v>19/11/2017</c:v>
                </c:pt>
                <c:pt idx="2156">
                  <c:v>26/11/2017</c:v>
                </c:pt>
                <c:pt idx="2157">
                  <c:v>26/11/2017</c:v>
                </c:pt>
                <c:pt idx="2158">
                  <c:v>26/11/2017</c:v>
                </c:pt>
                <c:pt idx="2159">
                  <c:v>26/11/2017</c:v>
                </c:pt>
                <c:pt idx="2160">
                  <c:v>26/11/2017</c:v>
                </c:pt>
                <c:pt idx="2161">
                  <c:v>26/11/2017</c:v>
                </c:pt>
                <c:pt idx="2162">
                  <c:v>26/11/2017</c:v>
                </c:pt>
                <c:pt idx="2163">
                  <c:v>03/12/2017</c:v>
                </c:pt>
                <c:pt idx="2164">
                  <c:v>03/12/2017</c:v>
                </c:pt>
                <c:pt idx="2165">
                  <c:v>03/12/2017</c:v>
                </c:pt>
                <c:pt idx="2166">
                  <c:v>03/12/2017</c:v>
                </c:pt>
                <c:pt idx="2167">
                  <c:v>03/12/2017</c:v>
                </c:pt>
                <c:pt idx="2168">
                  <c:v>03/12/2017</c:v>
                </c:pt>
                <c:pt idx="2169">
                  <c:v>03/12/2017</c:v>
                </c:pt>
                <c:pt idx="2170">
                  <c:v>10/12/2017</c:v>
                </c:pt>
                <c:pt idx="2171">
                  <c:v>10/12/2017</c:v>
                </c:pt>
                <c:pt idx="2172">
                  <c:v>10/12/2017</c:v>
                </c:pt>
                <c:pt idx="2173">
                  <c:v>10/12/2017</c:v>
                </c:pt>
                <c:pt idx="2174">
                  <c:v>10/12/2017</c:v>
                </c:pt>
                <c:pt idx="2175">
                  <c:v>10/12/2017</c:v>
                </c:pt>
                <c:pt idx="2176">
                  <c:v>10/12/2017</c:v>
                </c:pt>
                <c:pt idx="2177">
                  <c:v>17/12/2017</c:v>
                </c:pt>
                <c:pt idx="2178">
                  <c:v>17/12/2017</c:v>
                </c:pt>
                <c:pt idx="2179">
                  <c:v>17/12/2017</c:v>
                </c:pt>
                <c:pt idx="2180">
                  <c:v>17/12/2017</c:v>
                </c:pt>
                <c:pt idx="2181">
                  <c:v>17/12/2017</c:v>
                </c:pt>
                <c:pt idx="2182">
                  <c:v>17/12/2017</c:v>
                </c:pt>
                <c:pt idx="2183">
                  <c:v>17/12/2017</c:v>
                </c:pt>
                <c:pt idx="2184">
                  <c:v>24/12/2017</c:v>
                </c:pt>
                <c:pt idx="2185">
                  <c:v>24/12/2017</c:v>
                </c:pt>
                <c:pt idx="2186">
                  <c:v>24/12/2017</c:v>
                </c:pt>
                <c:pt idx="2187">
                  <c:v>24/12/2017</c:v>
                </c:pt>
                <c:pt idx="2188">
                  <c:v>24/12/2017</c:v>
                </c:pt>
                <c:pt idx="2189">
                  <c:v>24/12/2017</c:v>
                </c:pt>
                <c:pt idx="2190">
                  <c:v>24/12/2017</c:v>
                </c:pt>
                <c:pt idx="2191">
                  <c:v>31/12/2017</c:v>
                </c:pt>
                <c:pt idx="2192">
                  <c:v>31/12/2017</c:v>
                </c:pt>
                <c:pt idx="2193">
                  <c:v>31/12/2017</c:v>
                </c:pt>
                <c:pt idx="2194">
                  <c:v>31/12/2017</c:v>
                </c:pt>
                <c:pt idx="2195">
                  <c:v>31/12/2017</c:v>
                </c:pt>
                <c:pt idx="2196">
                  <c:v>31/12/2017</c:v>
                </c:pt>
                <c:pt idx="2197">
                  <c:v>31/12/2017</c:v>
                </c:pt>
                <c:pt idx="2198">
                  <c:v>07/01/2018</c:v>
                </c:pt>
                <c:pt idx="2199">
                  <c:v>07/01/2018</c:v>
                </c:pt>
                <c:pt idx="2200">
                  <c:v>07/01/2018</c:v>
                </c:pt>
                <c:pt idx="2201">
                  <c:v>07/01/2018</c:v>
                </c:pt>
                <c:pt idx="2202">
                  <c:v>07/01/2018</c:v>
                </c:pt>
                <c:pt idx="2203">
                  <c:v>07/01/2018</c:v>
                </c:pt>
                <c:pt idx="2204">
                  <c:v>07/01/2018</c:v>
                </c:pt>
                <c:pt idx="2205">
                  <c:v>14/01/2018</c:v>
                </c:pt>
                <c:pt idx="2206">
                  <c:v>14/01/2018</c:v>
                </c:pt>
                <c:pt idx="2207">
                  <c:v>14/01/2018</c:v>
                </c:pt>
                <c:pt idx="2208">
                  <c:v>14/01/2018</c:v>
                </c:pt>
                <c:pt idx="2209">
                  <c:v>14/01/2018</c:v>
                </c:pt>
                <c:pt idx="2210">
                  <c:v>14/01/2018</c:v>
                </c:pt>
                <c:pt idx="2211">
                  <c:v>14/01/2018</c:v>
                </c:pt>
                <c:pt idx="2212">
                  <c:v>21/01/2018</c:v>
                </c:pt>
                <c:pt idx="2213">
                  <c:v>21/01/2018</c:v>
                </c:pt>
                <c:pt idx="2214">
                  <c:v>21/01/2018</c:v>
                </c:pt>
                <c:pt idx="2215">
                  <c:v>21/01/2018</c:v>
                </c:pt>
                <c:pt idx="2216">
                  <c:v>21/01/2018</c:v>
                </c:pt>
                <c:pt idx="2217">
                  <c:v>21/01/2018</c:v>
                </c:pt>
                <c:pt idx="2218">
                  <c:v>21/01/2018</c:v>
                </c:pt>
                <c:pt idx="2219">
                  <c:v>28/01/2018</c:v>
                </c:pt>
                <c:pt idx="2220">
                  <c:v>28/01/2018</c:v>
                </c:pt>
                <c:pt idx="2221">
                  <c:v>28/01/2018</c:v>
                </c:pt>
                <c:pt idx="2222">
                  <c:v>28/01/2018</c:v>
                </c:pt>
                <c:pt idx="2223">
                  <c:v>28/01/2018</c:v>
                </c:pt>
                <c:pt idx="2224">
                  <c:v>28/01/2018</c:v>
                </c:pt>
                <c:pt idx="2225">
                  <c:v>28/01/2018</c:v>
                </c:pt>
                <c:pt idx="2226">
                  <c:v>04/02/2018</c:v>
                </c:pt>
                <c:pt idx="2227">
                  <c:v>04/02/2018</c:v>
                </c:pt>
                <c:pt idx="2228">
                  <c:v>04/02/2018</c:v>
                </c:pt>
                <c:pt idx="2229">
                  <c:v>04/02/2018</c:v>
                </c:pt>
                <c:pt idx="2230">
                  <c:v>04/02/2018</c:v>
                </c:pt>
                <c:pt idx="2231">
                  <c:v>04/02/2018</c:v>
                </c:pt>
                <c:pt idx="2232">
                  <c:v>04/02/2018</c:v>
                </c:pt>
                <c:pt idx="2233">
                  <c:v>11/02/2018</c:v>
                </c:pt>
                <c:pt idx="2234">
                  <c:v>11/02/2018</c:v>
                </c:pt>
                <c:pt idx="2235">
                  <c:v>11/02/2018</c:v>
                </c:pt>
                <c:pt idx="2236">
                  <c:v>11/02/2018</c:v>
                </c:pt>
                <c:pt idx="2237">
                  <c:v>11/02/2018</c:v>
                </c:pt>
                <c:pt idx="2238">
                  <c:v>11/02/2018</c:v>
                </c:pt>
                <c:pt idx="2239">
                  <c:v>11/02/2018</c:v>
                </c:pt>
                <c:pt idx="2240">
                  <c:v>18/02/2018</c:v>
                </c:pt>
                <c:pt idx="2241">
                  <c:v>18/02/2018</c:v>
                </c:pt>
                <c:pt idx="2242">
                  <c:v>18/02/2018</c:v>
                </c:pt>
                <c:pt idx="2243">
                  <c:v>18/02/2018</c:v>
                </c:pt>
                <c:pt idx="2244">
                  <c:v>18/02/2018</c:v>
                </c:pt>
                <c:pt idx="2245">
                  <c:v>18/02/2018</c:v>
                </c:pt>
                <c:pt idx="2246">
                  <c:v>18/02/2018</c:v>
                </c:pt>
                <c:pt idx="2247">
                  <c:v>25/02/2018</c:v>
                </c:pt>
                <c:pt idx="2248">
                  <c:v>25/02/2018</c:v>
                </c:pt>
                <c:pt idx="2249">
                  <c:v>25/02/2018</c:v>
                </c:pt>
                <c:pt idx="2250">
                  <c:v>25/02/2018</c:v>
                </c:pt>
                <c:pt idx="2251">
                  <c:v>25/02/2018</c:v>
                </c:pt>
                <c:pt idx="2252">
                  <c:v>25/02/2018</c:v>
                </c:pt>
                <c:pt idx="2253">
                  <c:v>25/02/2018</c:v>
                </c:pt>
                <c:pt idx="2254">
                  <c:v>04/03/2018</c:v>
                </c:pt>
                <c:pt idx="2255">
                  <c:v>04/03/2018</c:v>
                </c:pt>
                <c:pt idx="2256">
                  <c:v>04/03/2018</c:v>
                </c:pt>
                <c:pt idx="2257">
                  <c:v>04/03/2018</c:v>
                </c:pt>
                <c:pt idx="2258">
                  <c:v>04/03/2018</c:v>
                </c:pt>
                <c:pt idx="2259">
                  <c:v>04/03/2018</c:v>
                </c:pt>
                <c:pt idx="2260">
                  <c:v>04/03/2018</c:v>
                </c:pt>
                <c:pt idx="2261">
                  <c:v>11/03/2018</c:v>
                </c:pt>
                <c:pt idx="2262">
                  <c:v>11/03/2018</c:v>
                </c:pt>
                <c:pt idx="2263">
                  <c:v>11/03/2018</c:v>
                </c:pt>
                <c:pt idx="2264">
                  <c:v>11/03/2018</c:v>
                </c:pt>
                <c:pt idx="2265">
                  <c:v>11/03/2018</c:v>
                </c:pt>
                <c:pt idx="2266">
                  <c:v>11/03/2018</c:v>
                </c:pt>
                <c:pt idx="2267">
                  <c:v>11/03/2018</c:v>
                </c:pt>
                <c:pt idx="2268">
                  <c:v>18/03/2018</c:v>
                </c:pt>
                <c:pt idx="2269">
                  <c:v>18/03/2018</c:v>
                </c:pt>
                <c:pt idx="2270">
                  <c:v>18/03/2018</c:v>
                </c:pt>
                <c:pt idx="2271">
                  <c:v>18/03/2018</c:v>
                </c:pt>
                <c:pt idx="2272">
                  <c:v>18/03/2018</c:v>
                </c:pt>
                <c:pt idx="2273">
                  <c:v>18/03/2018</c:v>
                </c:pt>
                <c:pt idx="2274">
                  <c:v>18/03/2018</c:v>
                </c:pt>
                <c:pt idx="2275">
                  <c:v>25/03/2018</c:v>
                </c:pt>
                <c:pt idx="2276">
                  <c:v>25/03/2018</c:v>
                </c:pt>
                <c:pt idx="2277">
                  <c:v>25/03/2018</c:v>
                </c:pt>
                <c:pt idx="2278">
                  <c:v>25/03/2018</c:v>
                </c:pt>
                <c:pt idx="2279">
                  <c:v>25/03/2018</c:v>
                </c:pt>
                <c:pt idx="2280">
                  <c:v>25/03/2018</c:v>
                </c:pt>
                <c:pt idx="2281">
                  <c:v>25/03/2018</c:v>
                </c:pt>
                <c:pt idx="2282">
                  <c:v>01/04/2018</c:v>
                </c:pt>
                <c:pt idx="2283">
                  <c:v>01/04/2018</c:v>
                </c:pt>
                <c:pt idx="2284">
                  <c:v>01/04/2018</c:v>
                </c:pt>
                <c:pt idx="2285">
                  <c:v>01/04/2018</c:v>
                </c:pt>
                <c:pt idx="2286">
                  <c:v>01/04/2018</c:v>
                </c:pt>
                <c:pt idx="2287">
                  <c:v>01/04/2018</c:v>
                </c:pt>
                <c:pt idx="2288">
                  <c:v>01/04/2018</c:v>
                </c:pt>
                <c:pt idx="2289">
                  <c:v>08/04/2018</c:v>
                </c:pt>
                <c:pt idx="2290">
                  <c:v>08/04/2018</c:v>
                </c:pt>
                <c:pt idx="2291">
                  <c:v>08/04/2018</c:v>
                </c:pt>
                <c:pt idx="2292">
                  <c:v>08/04/2018</c:v>
                </c:pt>
                <c:pt idx="2293">
                  <c:v>08/04/2018</c:v>
                </c:pt>
                <c:pt idx="2294">
                  <c:v>08/04/2018</c:v>
                </c:pt>
                <c:pt idx="2295">
                  <c:v>08/04/2018</c:v>
                </c:pt>
                <c:pt idx="2296">
                  <c:v>15/04/2018</c:v>
                </c:pt>
                <c:pt idx="2297">
                  <c:v>15/04/2018</c:v>
                </c:pt>
                <c:pt idx="2298">
                  <c:v>15/04/2018</c:v>
                </c:pt>
                <c:pt idx="2299">
                  <c:v>15/04/2018</c:v>
                </c:pt>
                <c:pt idx="2300">
                  <c:v>15/04/2018</c:v>
                </c:pt>
                <c:pt idx="2301">
                  <c:v>15/04/2018</c:v>
                </c:pt>
                <c:pt idx="2302">
                  <c:v>15/04/2018</c:v>
                </c:pt>
                <c:pt idx="2303">
                  <c:v>22/04/2018</c:v>
                </c:pt>
                <c:pt idx="2304">
                  <c:v>22/04/2018</c:v>
                </c:pt>
                <c:pt idx="2305">
                  <c:v>22/04/2018</c:v>
                </c:pt>
                <c:pt idx="2306">
                  <c:v>22/04/2018</c:v>
                </c:pt>
                <c:pt idx="2307">
                  <c:v>22/04/2018</c:v>
                </c:pt>
                <c:pt idx="2308">
                  <c:v>22/04/2018</c:v>
                </c:pt>
                <c:pt idx="2309">
                  <c:v>22/04/2018</c:v>
                </c:pt>
                <c:pt idx="2310">
                  <c:v>29/04/2018</c:v>
                </c:pt>
                <c:pt idx="2311">
                  <c:v>29/04/2018</c:v>
                </c:pt>
                <c:pt idx="2312">
                  <c:v>29/04/2018</c:v>
                </c:pt>
                <c:pt idx="2313">
                  <c:v>29/04/2018</c:v>
                </c:pt>
                <c:pt idx="2314">
                  <c:v>29/04/2018</c:v>
                </c:pt>
                <c:pt idx="2315">
                  <c:v>29/04/2018</c:v>
                </c:pt>
                <c:pt idx="2316">
                  <c:v>29/04/2018</c:v>
                </c:pt>
                <c:pt idx="2317">
                  <c:v>06/05/2018</c:v>
                </c:pt>
                <c:pt idx="2318">
                  <c:v>06/05/2018</c:v>
                </c:pt>
                <c:pt idx="2319">
                  <c:v>06/05/2018</c:v>
                </c:pt>
                <c:pt idx="2320">
                  <c:v>06/05/2018</c:v>
                </c:pt>
                <c:pt idx="2321">
                  <c:v>06/05/2018</c:v>
                </c:pt>
                <c:pt idx="2322">
                  <c:v>06/05/2018</c:v>
                </c:pt>
                <c:pt idx="2323">
                  <c:v>06/05/2018</c:v>
                </c:pt>
                <c:pt idx="2324">
                  <c:v>13/05/2018</c:v>
                </c:pt>
                <c:pt idx="2325">
                  <c:v>13/05/2018</c:v>
                </c:pt>
                <c:pt idx="2326">
                  <c:v>13/05/2018</c:v>
                </c:pt>
                <c:pt idx="2327">
                  <c:v>13/05/2018</c:v>
                </c:pt>
                <c:pt idx="2328">
                  <c:v>13/05/2018</c:v>
                </c:pt>
                <c:pt idx="2329">
                  <c:v>13/05/2018</c:v>
                </c:pt>
                <c:pt idx="2330">
                  <c:v>13/05/2018</c:v>
                </c:pt>
                <c:pt idx="2331">
                  <c:v>20/05/2018</c:v>
                </c:pt>
                <c:pt idx="2332">
                  <c:v>20/05/2018</c:v>
                </c:pt>
                <c:pt idx="2333">
                  <c:v>20/05/2018</c:v>
                </c:pt>
                <c:pt idx="2334">
                  <c:v>20/05/2018</c:v>
                </c:pt>
                <c:pt idx="2335">
                  <c:v>20/05/2018</c:v>
                </c:pt>
                <c:pt idx="2336">
                  <c:v>20/05/2018</c:v>
                </c:pt>
                <c:pt idx="2337">
                  <c:v>20/05/2018</c:v>
                </c:pt>
                <c:pt idx="2338">
                  <c:v>27/05/2018</c:v>
                </c:pt>
                <c:pt idx="2339">
                  <c:v>27/05/2018</c:v>
                </c:pt>
                <c:pt idx="2340">
                  <c:v>27/05/2018</c:v>
                </c:pt>
                <c:pt idx="2341">
                  <c:v>27/05/2018</c:v>
                </c:pt>
                <c:pt idx="2342">
                  <c:v>27/05/2018</c:v>
                </c:pt>
                <c:pt idx="2343">
                  <c:v>27/05/2018</c:v>
                </c:pt>
                <c:pt idx="2344">
                  <c:v>27/05/2018</c:v>
                </c:pt>
                <c:pt idx="2345">
                  <c:v>03/06/2018</c:v>
                </c:pt>
                <c:pt idx="2346">
                  <c:v>03/06/2018</c:v>
                </c:pt>
                <c:pt idx="2347">
                  <c:v>03/06/2018</c:v>
                </c:pt>
                <c:pt idx="2348">
                  <c:v>03/06/2018</c:v>
                </c:pt>
                <c:pt idx="2349">
                  <c:v>03/06/2018</c:v>
                </c:pt>
                <c:pt idx="2350">
                  <c:v>03/06/2018</c:v>
                </c:pt>
                <c:pt idx="2351">
                  <c:v>03/06/2018</c:v>
                </c:pt>
                <c:pt idx="2352">
                  <c:v>10/06/2018</c:v>
                </c:pt>
                <c:pt idx="2353">
                  <c:v>10/06/2018</c:v>
                </c:pt>
                <c:pt idx="2354">
                  <c:v>10/06/2018</c:v>
                </c:pt>
                <c:pt idx="2355">
                  <c:v>10/06/2018</c:v>
                </c:pt>
                <c:pt idx="2356">
                  <c:v>10/06/2018</c:v>
                </c:pt>
                <c:pt idx="2357">
                  <c:v>10/06/2018</c:v>
                </c:pt>
                <c:pt idx="2358">
                  <c:v>10/06/2018</c:v>
                </c:pt>
                <c:pt idx="2359">
                  <c:v>17/06/2018</c:v>
                </c:pt>
                <c:pt idx="2360">
                  <c:v>17/06/2018</c:v>
                </c:pt>
                <c:pt idx="2361">
                  <c:v>17/06/2018</c:v>
                </c:pt>
                <c:pt idx="2362">
                  <c:v>17/06/2018</c:v>
                </c:pt>
                <c:pt idx="2363">
                  <c:v>17/06/2018</c:v>
                </c:pt>
                <c:pt idx="2364">
                  <c:v>17/06/2018</c:v>
                </c:pt>
                <c:pt idx="2365">
                  <c:v>17/06/2018</c:v>
                </c:pt>
                <c:pt idx="2366">
                  <c:v>24/06/2018</c:v>
                </c:pt>
                <c:pt idx="2367">
                  <c:v>24/06/2018</c:v>
                </c:pt>
                <c:pt idx="2368">
                  <c:v>24/06/2018</c:v>
                </c:pt>
                <c:pt idx="2369">
                  <c:v>24/06/2018</c:v>
                </c:pt>
                <c:pt idx="2370">
                  <c:v>24/06/2018</c:v>
                </c:pt>
                <c:pt idx="2371">
                  <c:v>24/06/2018</c:v>
                </c:pt>
                <c:pt idx="2372">
                  <c:v>24/06/2018</c:v>
                </c:pt>
                <c:pt idx="2373">
                  <c:v>01/07/2018</c:v>
                </c:pt>
                <c:pt idx="2374">
                  <c:v>01/07/2018</c:v>
                </c:pt>
                <c:pt idx="2375">
                  <c:v>01/07/2018</c:v>
                </c:pt>
                <c:pt idx="2376">
                  <c:v>01/07/2018</c:v>
                </c:pt>
                <c:pt idx="2377">
                  <c:v>01/07/2018</c:v>
                </c:pt>
                <c:pt idx="2378">
                  <c:v>01/07/2018</c:v>
                </c:pt>
                <c:pt idx="2379">
                  <c:v>01/07/2018</c:v>
                </c:pt>
                <c:pt idx="2380">
                  <c:v>08/07/2018</c:v>
                </c:pt>
                <c:pt idx="2381">
                  <c:v>08/07/2018</c:v>
                </c:pt>
                <c:pt idx="2382">
                  <c:v>08/07/2018</c:v>
                </c:pt>
                <c:pt idx="2383">
                  <c:v>08/07/2018</c:v>
                </c:pt>
                <c:pt idx="2384">
                  <c:v>08/07/2018</c:v>
                </c:pt>
                <c:pt idx="2385">
                  <c:v>08/07/2018</c:v>
                </c:pt>
                <c:pt idx="2386">
                  <c:v>08/07/2018</c:v>
                </c:pt>
                <c:pt idx="2387">
                  <c:v>15/07/2018</c:v>
                </c:pt>
                <c:pt idx="2388">
                  <c:v>15/07/2018</c:v>
                </c:pt>
                <c:pt idx="2389">
                  <c:v>15/07/2018</c:v>
                </c:pt>
                <c:pt idx="2390">
                  <c:v>15/07/2018</c:v>
                </c:pt>
                <c:pt idx="2391">
                  <c:v>15/07/2018</c:v>
                </c:pt>
                <c:pt idx="2392">
                  <c:v>15/07/2018</c:v>
                </c:pt>
                <c:pt idx="2393">
                  <c:v>15/07/2018</c:v>
                </c:pt>
                <c:pt idx="2394">
                  <c:v>22/07/2018</c:v>
                </c:pt>
                <c:pt idx="2395">
                  <c:v>22/07/2018</c:v>
                </c:pt>
                <c:pt idx="2396">
                  <c:v>22/07/2018</c:v>
                </c:pt>
                <c:pt idx="2397">
                  <c:v>22/07/2018</c:v>
                </c:pt>
                <c:pt idx="2398">
                  <c:v>22/07/2018</c:v>
                </c:pt>
                <c:pt idx="2399">
                  <c:v>22/07/2018</c:v>
                </c:pt>
                <c:pt idx="2400">
                  <c:v>22/07/2018</c:v>
                </c:pt>
                <c:pt idx="2401">
                  <c:v>29/07/2018</c:v>
                </c:pt>
                <c:pt idx="2402">
                  <c:v>29/07/2018</c:v>
                </c:pt>
                <c:pt idx="2403">
                  <c:v>29/07/2018</c:v>
                </c:pt>
                <c:pt idx="2404">
                  <c:v>29/07/2018</c:v>
                </c:pt>
                <c:pt idx="2405">
                  <c:v>29/07/2018</c:v>
                </c:pt>
                <c:pt idx="2406">
                  <c:v>29/07/2018</c:v>
                </c:pt>
                <c:pt idx="2407">
                  <c:v>29/07/2018</c:v>
                </c:pt>
                <c:pt idx="2408">
                  <c:v>05/08/2018</c:v>
                </c:pt>
                <c:pt idx="2409">
                  <c:v>05/08/2018</c:v>
                </c:pt>
                <c:pt idx="2410">
                  <c:v>05/08/2018</c:v>
                </c:pt>
                <c:pt idx="2411">
                  <c:v>05/08/2018</c:v>
                </c:pt>
                <c:pt idx="2412">
                  <c:v>05/08/2018</c:v>
                </c:pt>
                <c:pt idx="2413">
                  <c:v>05/08/2018</c:v>
                </c:pt>
                <c:pt idx="2414">
                  <c:v>05/08/2018</c:v>
                </c:pt>
                <c:pt idx="2415">
                  <c:v>12/08/2018</c:v>
                </c:pt>
                <c:pt idx="2416">
                  <c:v>12/08/2018</c:v>
                </c:pt>
                <c:pt idx="2417">
                  <c:v>12/08/2018</c:v>
                </c:pt>
                <c:pt idx="2418">
                  <c:v>12/08/2018</c:v>
                </c:pt>
                <c:pt idx="2419">
                  <c:v>12/08/2018</c:v>
                </c:pt>
                <c:pt idx="2420">
                  <c:v>12/08/2018</c:v>
                </c:pt>
                <c:pt idx="2421">
                  <c:v>12/08/2018</c:v>
                </c:pt>
                <c:pt idx="2422">
                  <c:v>19/08/2018</c:v>
                </c:pt>
                <c:pt idx="2423">
                  <c:v>19/08/2018</c:v>
                </c:pt>
                <c:pt idx="2424">
                  <c:v>19/08/2018</c:v>
                </c:pt>
                <c:pt idx="2425">
                  <c:v>19/08/2018</c:v>
                </c:pt>
                <c:pt idx="2426">
                  <c:v>19/08/2018</c:v>
                </c:pt>
                <c:pt idx="2427">
                  <c:v>19/08/2018</c:v>
                </c:pt>
                <c:pt idx="2428">
                  <c:v>19/08/2018</c:v>
                </c:pt>
                <c:pt idx="2429">
                  <c:v>26/08/2018</c:v>
                </c:pt>
                <c:pt idx="2430">
                  <c:v>26/08/2018</c:v>
                </c:pt>
                <c:pt idx="2431">
                  <c:v>26/08/2018</c:v>
                </c:pt>
                <c:pt idx="2432">
                  <c:v>26/08/2018</c:v>
                </c:pt>
                <c:pt idx="2433">
                  <c:v>26/08/2018</c:v>
                </c:pt>
                <c:pt idx="2434">
                  <c:v>26/08/2018</c:v>
                </c:pt>
                <c:pt idx="2435">
                  <c:v>26/08/2018</c:v>
                </c:pt>
                <c:pt idx="2436">
                  <c:v>02/09/2018</c:v>
                </c:pt>
                <c:pt idx="2437">
                  <c:v>02/09/2018</c:v>
                </c:pt>
                <c:pt idx="2438">
                  <c:v>02/09/2018</c:v>
                </c:pt>
                <c:pt idx="2439">
                  <c:v>02/09/2018</c:v>
                </c:pt>
                <c:pt idx="2440">
                  <c:v>02/09/2018</c:v>
                </c:pt>
                <c:pt idx="2441">
                  <c:v>02/09/2018</c:v>
                </c:pt>
                <c:pt idx="2442">
                  <c:v>02/09/2018</c:v>
                </c:pt>
                <c:pt idx="2443">
                  <c:v>09/09/2018</c:v>
                </c:pt>
                <c:pt idx="2444">
                  <c:v>09/09/2018</c:v>
                </c:pt>
                <c:pt idx="2445">
                  <c:v>09/09/2018</c:v>
                </c:pt>
                <c:pt idx="2446">
                  <c:v>09/09/2018</c:v>
                </c:pt>
                <c:pt idx="2447">
                  <c:v>09/09/2018</c:v>
                </c:pt>
                <c:pt idx="2448">
                  <c:v>09/09/2018</c:v>
                </c:pt>
                <c:pt idx="2449">
                  <c:v>09/09/2018</c:v>
                </c:pt>
                <c:pt idx="2450">
                  <c:v>16/09/2018</c:v>
                </c:pt>
                <c:pt idx="2451">
                  <c:v>16/09/2018</c:v>
                </c:pt>
                <c:pt idx="2452">
                  <c:v>16/09/2018</c:v>
                </c:pt>
                <c:pt idx="2453">
                  <c:v>16/09/2018</c:v>
                </c:pt>
                <c:pt idx="2454">
                  <c:v>16/09/2018</c:v>
                </c:pt>
                <c:pt idx="2455">
                  <c:v>16/09/2018</c:v>
                </c:pt>
                <c:pt idx="2456">
                  <c:v>16/09/2018</c:v>
                </c:pt>
                <c:pt idx="2457">
                  <c:v>23/09/2018</c:v>
                </c:pt>
                <c:pt idx="2458">
                  <c:v>23/09/2018</c:v>
                </c:pt>
                <c:pt idx="2459">
                  <c:v>23/09/2018</c:v>
                </c:pt>
                <c:pt idx="2460">
                  <c:v>23/09/2018</c:v>
                </c:pt>
                <c:pt idx="2461">
                  <c:v>23/09/2018</c:v>
                </c:pt>
                <c:pt idx="2462">
                  <c:v>23/09/2018</c:v>
                </c:pt>
                <c:pt idx="2463">
                  <c:v>23/09/2018</c:v>
                </c:pt>
                <c:pt idx="2464">
                  <c:v>30/09/2018</c:v>
                </c:pt>
                <c:pt idx="2465">
                  <c:v>30/09/2018</c:v>
                </c:pt>
                <c:pt idx="2466">
                  <c:v>30/09/2018</c:v>
                </c:pt>
                <c:pt idx="2467">
                  <c:v>30/09/2018</c:v>
                </c:pt>
                <c:pt idx="2468">
                  <c:v>30/09/2018</c:v>
                </c:pt>
                <c:pt idx="2469">
                  <c:v>30/09/2018</c:v>
                </c:pt>
                <c:pt idx="2470">
                  <c:v>30/09/2018</c:v>
                </c:pt>
                <c:pt idx="2471">
                  <c:v>07/10/2018</c:v>
                </c:pt>
                <c:pt idx="2472">
                  <c:v>07/10/2018</c:v>
                </c:pt>
                <c:pt idx="2473">
                  <c:v>07/10/2018</c:v>
                </c:pt>
                <c:pt idx="2474">
                  <c:v>07/10/2018</c:v>
                </c:pt>
                <c:pt idx="2475">
                  <c:v>07/10/2018</c:v>
                </c:pt>
                <c:pt idx="2476">
                  <c:v>07/10/2018</c:v>
                </c:pt>
                <c:pt idx="2477">
                  <c:v>07/10/2018</c:v>
                </c:pt>
                <c:pt idx="2478">
                  <c:v>14/10/2018</c:v>
                </c:pt>
                <c:pt idx="2479">
                  <c:v>14/10/2018</c:v>
                </c:pt>
                <c:pt idx="2480">
                  <c:v>14/10/2018</c:v>
                </c:pt>
                <c:pt idx="2481">
                  <c:v>14/10/2018</c:v>
                </c:pt>
                <c:pt idx="2482">
                  <c:v>14/10/2018</c:v>
                </c:pt>
                <c:pt idx="2483">
                  <c:v>14/10/2018</c:v>
                </c:pt>
                <c:pt idx="2484">
                  <c:v>14/10/2018</c:v>
                </c:pt>
                <c:pt idx="2485">
                  <c:v>21/10/2018</c:v>
                </c:pt>
                <c:pt idx="2486">
                  <c:v>21/10/2018</c:v>
                </c:pt>
                <c:pt idx="2487">
                  <c:v>21/10/2018</c:v>
                </c:pt>
                <c:pt idx="2488">
                  <c:v>21/10/2018</c:v>
                </c:pt>
                <c:pt idx="2489">
                  <c:v>21/10/2018</c:v>
                </c:pt>
                <c:pt idx="2490">
                  <c:v>21/10/2018</c:v>
                </c:pt>
                <c:pt idx="2491">
                  <c:v>21/10/2018</c:v>
                </c:pt>
                <c:pt idx="2492">
                  <c:v>28/10/2018</c:v>
                </c:pt>
                <c:pt idx="2493">
                  <c:v>28/10/2018</c:v>
                </c:pt>
                <c:pt idx="2494">
                  <c:v>28/10/2018</c:v>
                </c:pt>
                <c:pt idx="2495">
                  <c:v>28/10/2018</c:v>
                </c:pt>
                <c:pt idx="2496">
                  <c:v>28/10/2018</c:v>
                </c:pt>
                <c:pt idx="2497">
                  <c:v>28/10/2018</c:v>
                </c:pt>
                <c:pt idx="2498">
                  <c:v>28/10/2018</c:v>
                </c:pt>
                <c:pt idx="2499">
                  <c:v>04/11/2018</c:v>
                </c:pt>
                <c:pt idx="2500">
                  <c:v>04/11/2018</c:v>
                </c:pt>
                <c:pt idx="2501">
                  <c:v>04/11/2018</c:v>
                </c:pt>
                <c:pt idx="2502">
                  <c:v>04/11/2018</c:v>
                </c:pt>
                <c:pt idx="2503">
                  <c:v>04/11/2018</c:v>
                </c:pt>
                <c:pt idx="2504">
                  <c:v>04/11/2018</c:v>
                </c:pt>
                <c:pt idx="2505">
                  <c:v>04/11/2018</c:v>
                </c:pt>
                <c:pt idx="2506">
                  <c:v>11/11/2018</c:v>
                </c:pt>
                <c:pt idx="2507">
                  <c:v>11/11/2018</c:v>
                </c:pt>
                <c:pt idx="2508">
                  <c:v>11/11/2018</c:v>
                </c:pt>
                <c:pt idx="2509">
                  <c:v>11/11/2018</c:v>
                </c:pt>
                <c:pt idx="2510">
                  <c:v>11/11/2018</c:v>
                </c:pt>
                <c:pt idx="2511">
                  <c:v>11/11/2018</c:v>
                </c:pt>
                <c:pt idx="2512">
                  <c:v>11/11/2018</c:v>
                </c:pt>
                <c:pt idx="2513">
                  <c:v>18/11/2018</c:v>
                </c:pt>
                <c:pt idx="2514">
                  <c:v>18/11/2018</c:v>
                </c:pt>
                <c:pt idx="2515">
                  <c:v>18/11/2018</c:v>
                </c:pt>
                <c:pt idx="2516">
                  <c:v>18/11/2018</c:v>
                </c:pt>
                <c:pt idx="2517">
                  <c:v>18/11/2018</c:v>
                </c:pt>
                <c:pt idx="2518">
                  <c:v>18/11/2018</c:v>
                </c:pt>
                <c:pt idx="2519">
                  <c:v>18/11/2018</c:v>
                </c:pt>
                <c:pt idx="2520">
                  <c:v>25/11/2018</c:v>
                </c:pt>
                <c:pt idx="2521">
                  <c:v>25/11/2018</c:v>
                </c:pt>
                <c:pt idx="2522">
                  <c:v>25/11/2018</c:v>
                </c:pt>
                <c:pt idx="2523">
                  <c:v>25/11/2018</c:v>
                </c:pt>
                <c:pt idx="2524">
                  <c:v>25/11/2018</c:v>
                </c:pt>
                <c:pt idx="2525">
                  <c:v>25/11/2018</c:v>
                </c:pt>
                <c:pt idx="2526">
                  <c:v>25/11/2018</c:v>
                </c:pt>
                <c:pt idx="2527">
                  <c:v>02/12/2018</c:v>
                </c:pt>
                <c:pt idx="2528">
                  <c:v>02/12/2018</c:v>
                </c:pt>
                <c:pt idx="2529">
                  <c:v>02/12/2018</c:v>
                </c:pt>
                <c:pt idx="2530">
                  <c:v>02/12/2018</c:v>
                </c:pt>
                <c:pt idx="2531">
                  <c:v>02/12/2018</c:v>
                </c:pt>
                <c:pt idx="2532">
                  <c:v>02/12/2018</c:v>
                </c:pt>
                <c:pt idx="2533">
                  <c:v>02/12/2018</c:v>
                </c:pt>
                <c:pt idx="2534">
                  <c:v>09/12/2018</c:v>
                </c:pt>
                <c:pt idx="2535">
                  <c:v>09/12/2018</c:v>
                </c:pt>
                <c:pt idx="2536">
                  <c:v>09/12/2018</c:v>
                </c:pt>
                <c:pt idx="2537">
                  <c:v>09/12/2018</c:v>
                </c:pt>
                <c:pt idx="2538">
                  <c:v>09/12/2018</c:v>
                </c:pt>
                <c:pt idx="2539">
                  <c:v>09/12/2018</c:v>
                </c:pt>
                <c:pt idx="2540">
                  <c:v>09/12/2018</c:v>
                </c:pt>
                <c:pt idx="2541">
                  <c:v>16/12/2018</c:v>
                </c:pt>
                <c:pt idx="2542">
                  <c:v>16/12/2018</c:v>
                </c:pt>
                <c:pt idx="2543">
                  <c:v>16/12/2018</c:v>
                </c:pt>
                <c:pt idx="2544">
                  <c:v>16/12/2018</c:v>
                </c:pt>
                <c:pt idx="2545">
                  <c:v>16/12/2018</c:v>
                </c:pt>
                <c:pt idx="2546">
                  <c:v>16/12/2018</c:v>
                </c:pt>
                <c:pt idx="2547">
                  <c:v>16/12/2018</c:v>
                </c:pt>
                <c:pt idx="2548">
                  <c:v>23/12/2018</c:v>
                </c:pt>
                <c:pt idx="2549">
                  <c:v>23/12/2018</c:v>
                </c:pt>
                <c:pt idx="2550">
                  <c:v>23/12/2018</c:v>
                </c:pt>
                <c:pt idx="2551">
                  <c:v>23/12/2018</c:v>
                </c:pt>
                <c:pt idx="2552">
                  <c:v>23/12/2018</c:v>
                </c:pt>
                <c:pt idx="2553">
                  <c:v>23/12/2018</c:v>
                </c:pt>
                <c:pt idx="2554">
                  <c:v>23/12/2018</c:v>
                </c:pt>
                <c:pt idx="2555">
                  <c:v>30/12/2018</c:v>
                </c:pt>
                <c:pt idx="2556">
                  <c:v>30/12/2018</c:v>
                </c:pt>
                <c:pt idx="2557">
                  <c:v>30/12/2018</c:v>
                </c:pt>
                <c:pt idx="2558">
                  <c:v>30/12/2018</c:v>
                </c:pt>
                <c:pt idx="2559">
                  <c:v>30/12/2018</c:v>
                </c:pt>
                <c:pt idx="2560">
                  <c:v>30/12/2018</c:v>
                </c:pt>
                <c:pt idx="2561">
                  <c:v>30/12/2018</c:v>
                </c:pt>
                <c:pt idx="2562">
                  <c:v>06/01/2019</c:v>
                </c:pt>
                <c:pt idx="2563">
                  <c:v>06/01/2019</c:v>
                </c:pt>
                <c:pt idx="2564">
                  <c:v>06/01/2019</c:v>
                </c:pt>
                <c:pt idx="2565">
                  <c:v>06/01/2019</c:v>
                </c:pt>
                <c:pt idx="2566">
                  <c:v>06/01/2019</c:v>
                </c:pt>
                <c:pt idx="2567">
                  <c:v>06/01/2019</c:v>
                </c:pt>
                <c:pt idx="2568">
                  <c:v>06/01/2019</c:v>
                </c:pt>
                <c:pt idx="2569">
                  <c:v>13/01/2019</c:v>
                </c:pt>
                <c:pt idx="2570">
                  <c:v>13/01/2019</c:v>
                </c:pt>
                <c:pt idx="2571">
                  <c:v>13/01/2019</c:v>
                </c:pt>
                <c:pt idx="2572">
                  <c:v>13/01/2019</c:v>
                </c:pt>
                <c:pt idx="2573">
                  <c:v>13/01/2019</c:v>
                </c:pt>
                <c:pt idx="2574">
                  <c:v>13/01/2019</c:v>
                </c:pt>
                <c:pt idx="2575">
                  <c:v>13/01/2019</c:v>
                </c:pt>
                <c:pt idx="2576">
                  <c:v>20/01/2019</c:v>
                </c:pt>
                <c:pt idx="2577">
                  <c:v>20/01/2019</c:v>
                </c:pt>
                <c:pt idx="2578">
                  <c:v>20/01/2019</c:v>
                </c:pt>
                <c:pt idx="2579">
                  <c:v>20/01/2019</c:v>
                </c:pt>
                <c:pt idx="2580">
                  <c:v>20/01/2019</c:v>
                </c:pt>
                <c:pt idx="2581">
                  <c:v>20/01/2019</c:v>
                </c:pt>
                <c:pt idx="2582">
                  <c:v>20/01/2019</c:v>
                </c:pt>
                <c:pt idx="2583">
                  <c:v>27/01/2019</c:v>
                </c:pt>
                <c:pt idx="2584">
                  <c:v>27/01/2019</c:v>
                </c:pt>
                <c:pt idx="2585">
                  <c:v>27/01/2019</c:v>
                </c:pt>
                <c:pt idx="2586">
                  <c:v>27/01/2019</c:v>
                </c:pt>
                <c:pt idx="2587">
                  <c:v>27/01/2019</c:v>
                </c:pt>
                <c:pt idx="2588">
                  <c:v>27/01/2019</c:v>
                </c:pt>
                <c:pt idx="2589">
                  <c:v>27/01/2019</c:v>
                </c:pt>
                <c:pt idx="2590">
                  <c:v>03/02/2019</c:v>
                </c:pt>
                <c:pt idx="2591">
                  <c:v>03/02/2019</c:v>
                </c:pt>
                <c:pt idx="2592">
                  <c:v>03/02/2019</c:v>
                </c:pt>
                <c:pt idx="2593">
                  <c:v>03/02/2019</c:v>
                </c:pt>
                <c:pt idx="2594">
                  <c:v>03/02/2019</c:v>
                </c:pt>
                <c:pt idx="2595">
                  <c:v>03/02/2019</c:v>
                </c:pt>
                <c:pt idx="2596">
                  <c:v>03/02/2019</c:v>
                </c:pt>
                <c:pt idx="2597">
                  <c:v>10/02/2019</c:v>
                </c:pt>
                <c:pt idx="2598">
                  <c:v>10/02/2019</c:v>
                </c:pt>
                <c:pt idx="2599">
                  <c:v>10/02/2019</c:v>
                </c:pt>
                <c:pt idx="2600">
                  <c:v>10/02/2019</c:v>
                </c:pt>
                <c:pt idx="2601">
                  <c:v>10/02/2019</c:v>
                </c:pt>
                <c:pt idx="2602">
                  <c:v>10/02/2019</c:v>
                </c:pt>
                <c:pt idx="2603">
                  <c:v>10/02/2019</c:v>
                </c:pt>
                <c:pt idx="2604">
                  <c:v>17/02/2019</c:v>
                </c:pt>
                <c:pt idx="2605">
                  <c:v>17/02/2019</c:v>
                </c:pt>
                <c:pt idx="2606">
                  <c:v>17/02/2019</c:v>
                </c:pt>
                <c:pt idx="2607">
                  <c:v>17/02/2019</c:v>
                </c:pt>
                <c:pt idx="2608">
                  <c:v>17/02/2019</c:v>
                </c:pt>
                <c:pt idx="2609">
                  <c:v>17/02/2019</c:v>
                </c:pt>
                <c:pt idx="2610">
                  <c:v>17/02/2019</c:v>
                </c:pt>
                <c:pt idx="2611">
                  <c:v>24/02/2019</c:v>
                </c:pt>
                <c:pt idx="2612">
                  <c:v>24/02/2019</c:v>
                </c:pt>
                <c:pt idx="2613">
                  <c:v>24/02/2019</c:v>
                </c:pt>
                <c:pt idx="2614">
                  <c:v>24/02/2019</c:v>
                </c:pt>
                <c:pt idx="2615">
                  <c:v>24/02/2019</c:v>
                </c:pt>
                <c:pt idx="2616">
                  <c:v>24/02/2019</c:v>
                </c:pt>
                <c:pt idx="2617">
                  <c:v>24/02/2019</c:v>
                </c:pt>
                <c:pt idx="2618">
                  <c:v>03/03/2019</c:v>
                </c:pt>
                <c:pt idx="2619">
                  <c:v>03/03/2019</c:v>
                </c:pt>
                <c:pt idx="2620">
                  <c:v>03/03/2019</c:v>
                </c:pt>
                <c:pt idx="2621">
                  <c:v>03/03/2019</c:v>
                </c:pt>
                <c:pt idx="2622">
                  <c:v>03/03/2019</c:v>
                </c:pt>
                <c:pt idx="2623">
                  <c:v>03/03/2019</c:v>
                </c:pt>
                <c:pt idx="2624">
                  <c:v>03/03/2019</c:v>
                </c:pt>
                <c:pt idx="2625">
                  <c:v>10/03/2019</c:v>
                </c:pt>
                <c:pt idx="2626">
                  <c:v>10/03/2019</c:v>
                </c:pt>
                <c:pt idx="2627">
                  <c:v>10/03/2019</c:v>
                </c:pt>
                <c:pt idx="2628">
                  <c:v>10/03/2019</c:v>
                </c:pt>
                <c:pt idx="2629">
                  <c:v>10/03/2019</c:v>
                </c:pt>
                <c:pt idx="2630">
                  <c:v>10/03/2019</c:v>
                </c:pt>
                <c:pt idx="2631">
                  <c:v>10/03/2019</c:v>
                </c:pt>
                <c:pt idx="2632">
                  <c:v>17/03/2019</c:v>
                </c:pt>
                <c:pt idx="2633">
                  <c:v>17/03/2019</c:v>
                </c:pt>
                <c:pt idx="2634">
                  <c:v>17/03/2019</c:v>
                </c:pt>
                <c:pt idx="2635">
                  <c:v>17/03/2019</c:v>
                </c:pt>
                <c:pt idx="2636">
                  <c:v>17/03/2019</c:v>
                </c:pt>
                <c:pt idx="2637">
                  <c:v>17/03/2019</c:v>
                </c:pt>
                <c:pt idx="2638">
                  <c:v>17/03/2019</c:v>
                </c:pt>
                <c:pt idx="2639">
                  <c:v>24/03/2019</c:v>
                </c:pt>
                <c:pt idx="2640">
                  <c:v>24/03/2019</c:v>
                </c:pt>
                <c:pt idx="2641">
                  <c:v>24/03/2019</c:v>
                </c:pt>
                <c:pt idx="2642">
                  <c:v>24/03/2019</c:v>
                </c:pt>
                <c:pt idx="2643">
                  <c:v>24/03/2019</c:v>
                </c:pt>
                <c:pt idx="2644">
                  <c:v>24/03/2019</c:v>
                </c:pt>
                <c:pt idx="2645">
                  <c:v>24/03/2019</c:v>
                </c:pt>
                <c:pt idx="2646">
                  <c:v>31/03/2019</c:v>
                </c:pt>
                <c:pt idx="2647">
                  <c:v>31/03/2019</c:v>
                </c:pt>
                <c:pt idx="2648">
                  <c:v>31/03/2019</c:v>
                </c:pt>
                <c:pt idx="2649">
                  <c:v>31/03/2019</c:v>
                </c:pt>
                <c:pt idx="2650">
                  <c:v>31/03/2019</c:v>
                </c:pt>
                <c:pt idx="2651">
                  <c:v>31/03/2019</c:v>
                </c:pt>
                <c:pt idx="2652">
                  <c:v>31/03/2019</c:v>
                </c:pt>
                <c:pt idx="2653">
                  <c:v>07/04/2019</c:v>
                </c:pt>
                <c:pt idx="2654">
                  <c:v>07/04/2019</c:v>
                </c:pt>
                <c:pt idx="2655">
                  <c:v>07/04/2019</c:v>
                </c:pt>
                <c:pt idx="2656">
                  <c:v>07/04/2019</c:v>
                </c:pt>
                <c:pt idx="2657">
                  <c:v>07/04/2019</c:v>
                </c:pt>
                <c:pt idx="2658">
                  <c:v>07/04/2019</c:v>
                </c:pt>
                <c:pt idx="2659">
                  <c:v>07/04/2019</c:v>
                </c:pt>
                <c:pt idx="2660">
                  <c:v>14/04/2019</c:v>
                </c:pt>
                <c:pt idx="2661">
                  <c:v>14/04/2019</c:v>
                </c:pt>
                <c:pt idx="2662">
                  <c:v>14/04/2019</c:v>
                </c:pt>
                <c:pt idx="2663">
                  <c:v>14/04/2019</c:v>
                </c:pt>
                <c:pt idx="2664">
                  <c:v>14/04/2019</c:v>
                </c:pt>
                <c:pt idx="2665">
                  <c:v>14/04/2019</c:v>
                </c:pt>
                <c:pt idx="2666">
                  <c:v>14/04/2019</c:v>
                </c:pt>
                <c:pt idx="2667">
                  <c:v>21/04/2019</c:v>
                </c:pt>
                <c:pt idx="2668">
                  <c:v>21/04/2019</c:v>
                </c:pt>
                <c:pt idx="2669">
                  <c:v>21/04/2019</c:v>
                </c:pt>
                <c:pt idx="2670">
                  <c:v>21/04/2019</c:v>
                </c:pt>
                <c:pt idx="2671">
                  <c:v>21/04/2019</c:v>
                </c:pt>
                <c:pt idx="2672">
                  <c:v>21/04/2019</c:v>
                </c:pt>
                <c:pt idx="2673">
                  <c:v>21/04/2019</c:v>
                </c:pt>
                <c:pt idx="2674">
                  <c:v>28/04/2019</c:v>
                </c:pt>
                <c:pt idx="2675">
                  <c:v>28/04/2019</c:v>
                </c:pt>
                <c:pt idx="2676">
                  <c:v>28/04/2019</c:v>
                </c:pt>
                <c:pt idx="2677">
                  <c:v>28/04/2019</c:v>
                </c:pt>
                <c:pt idx="2678">
                  <c:v>28/04/2019</c:v>
                </c:pt>
                <c:pt idx="2679">
                  <c:v>28/04/2019</c:v>
                </c:pt>
                <c:pt idx="2680">
                  <c:v>28/04/2019</c:v>
                </c:pt>
                <c:pt idx="2681">
                  <c:v>05/05/2019</c:v>
                </c:pt>
                <c:pt idx="2682">
                  <c:v>05/05/2019</c:v>
                </c:pt>
                <c:pt idx="2683">
                  <c:v>05/05/2019</c:v>
                </c:pt>
                <c:pt idx="2684">
                  <c:v>05/05/2019</c:v>
                </c:pt>
                <c:pt idx="2685">
                  <c:v>05/05/2019</c:v>
                </c:pt>
                <c:pt idx="2686">
                  <c:v>05/05/2019</c:v>
                </c:pt>
                <c:pt idx="2687">
                  <c:v>05/05/2019</c:v>
                </c:pt>
                <c:pt idx="2688">
                  <c:v>12/05/2019</c:v>
                </c:pt>
                <c:pt idx="2689">
                  <c:v>12/05/2019</c:v>
                </c:pt>
                <c:pt idx="2690">
                  <c:v>12/05/2019</c:v>
                </c:pt>
                <c:pt idx="2691">
                  <c:v>12/05/2019</c:v>
                </c:pt>
                <c:pt idx="2692">
                  <c:v>12/05/2019</c:v>
                </c:pt>
                <c:pt idx="2693">
                  <c:v>12/05/2019</c:v>
                </c:pt>
                <c:pt idx="2694">
                  <c:v>12/05/2019</c:v>
                </c:pt>
                <c:pt idx="2695">
                  <c:v>19/05/2019</c:v>
                </c:pt>
                <c:pt idx="2696">
                  <c:v>19/05/2019</c:v>
                </c:pt>
                <c:pt idx="2697">
                  <c:v>19/05/2019</c:v>
                </c:pt>
                <c:pt idx="2698">
                  <c:v>19/05/2019</c:v>
                </c:pt>
                <c:pt idx="2699">
                  <c:v>19/05/2019</c:v>
                </c:pt>
                <c:pt idx="2700">
                  <c:v>19/05/2019</c:v>
                </c:pt>
                <c:pt idx="2701">
                  <c:v>19/05/2019</c:v>
                </c:pt>
                <c:pt idx="2702">
                  <c:v>26/05/2019</c:v>
                </c:pt>
                <c:pt idx="2703">
                  <c:v>26/05/2019</c:v>
                </c:pt>
                <c:pt idx="2704">
                  <c:v>26/05/2019</c:v>
                </c:pt>
                <c:pt idx="2705">
                  <c:v>26/05/2019</c:v>
                </c:pt>
                <c:pt idx="2706">
                  <c:v>26/05/2019</c:v>
                </c:pt>
                <c:pt idx="2707">
                  <c:v>26/05/2019</c:v>
                </c:pt>
                <c:pt idx="2708">
                  <c:v>26/05/2019</c:v>
                </c:pt>
                <c:pt idx="2709">
                  <c:v>02/06/2019</c:v>
                </c:pt>
                <c:pt idx="2710">
                  <c:v>02/06/2019</c:v>
                </c:pt>
                <c:pt idx="2711">
                  <c:v>02/06/2019</c:v>
                </c:pt>
                <c:pt idx="2712">
                  <c:v>02/06/2019</c:v>
                </c:pt>
                <c:pt idx="2713">
                  <c:v>02/06/2019</c:v>
                </c:pt>
                <c:pt idx="2714">
                  <c:v>02/06/2019</c:v>
                </c:pt>
                <c:pt idx="2715">
                  <c:v>02/06/2019</c:v>
                </c:pt>
                <c:pt idx="2716">
                  <c:v>09/06/2019</c:v>
                </c:pt>
                <c:pt idx="2717">
                  <c:v>09/06/2019</c:v>
                </c:pt>
                <c:pt idx="2718">
                  <c:v>09/06/2019</c:v>
                </c:pt>
                <c:pt idx="2719">
                  <c:v>09/06/2019</c:v>
                </c:pt>
                <c:pt idx="2720">
                  <c:v>09/06/2019</c:v>
                </c:pt>
                <c:pt idx="2721">
                  <c:v>09/06/2019</c:v>
                </c:pt>
                <c:pt idx="2722">
                  <c:v>09/06/2019</c:v>
                </c:pt>
                <c:pt idx="2723">
                  <c:v>16/06/2019</c:v>
                </c:pt>
                <c:pt idx="2724">
                  <c:v>16/06/2019</c:v>
                </c:pt>
                <c:pt idx="2725">
                  <c:v>16/06/2019</c:v>
                </c:pt>
                <c:pt idx="2726">
                  <c:v>16/06/2019</c:v>
                </c:pt>
                <c:pt idx="2727">
                  <c:v>16/06/2019</c:v>
                </c:pt>
                <c:pt idx="2728">
                  <c:v>16/06/2019</c:v>
                </c:pt>
                <c:pt idx="2729">
                  <c:v>16/06/2019</c:v>
                </c:pt>
                <c:pt idx="2730">
                  <c:v>23/06/2019</c:v>
                </c:pt>
                <c:pt idx="2731">
                  <c:v>23/06/2019</c:v>
                </c:pt>
                <c:pt idx="2732">
                  <c:v>23/06/2019</c:v>
                </c:pt>
                <c:pt idx="2733">
                  <c:v>23/06/2019</c:v>
                </c:pt>
                <c:pt idx="2734">
                  <c:v>23/06/2019</c:v>
                </c:pt>
                <c:pt idx="2735">
                  <c:v>23/06/2019</c:v>
                </c:pt>
                <c:pt idx="2736">
                  <c:v>23/06/2019</c:v>
                </c:pt>
                <c:pt idx="2737">
                  <c:v>30/06/2019</c:v>
                </c:pt>
                <c:pt idx="2738">
                  <c:v>30/06/2019</c:v>
                </c:pt>
                <c:pt idx="2739">
                  <c:v>30/06/2019</c:v>
                </c:pt>
                <c:pt idx="2740">
                  <c:v>30/06/2019</c:v>
                </c:pt>
                <c:pt idx="2741">
                  <c:v>30/06/2019</c:v>
                </c:pt>
                <c:pt idx="2742">
                  <c:v>30/06/2019</c:v>
                </c:pt>
                <c:pt idx="2743">
                  <c:v>30/06/2019</c:v>
                </c:pt>
                <c:pt idx="2744">
                  <c:v>07/07/2019</c:v>
                </c:pt>
                <c:pt idx="2745">
                  <c:v>07/07/2019</c:v>
                </c:pt>
                <c:pt idx="2746">
                  <c:v>07/07/2019</c:v>
                </c:pt>
                <c:pt idx="2747">
                  <c:v>07/07/2019</c:v>
                </c:pt>
                <c:pt idx="2748">
                  <c:v>07/07/2019</c:v>
                </c:pt>
                <c:pt idx="2749">
                  <c:v>07/07/2019</c:v>
                </c:pt>
                <c:pt idx="2750">
                  <c:v>07/07/2019</c:v>
                </c:pt>
                <c:pt idx="2751">
                  <c:v>14/07/2019</c:v>
                </c:pt>
                <c:pt idx="2752">
                  <c:v>14/07/2019</c:v>
                </c:pt>
                <c:pt idx="2753">
                  <c:v>14/07/2019</c:v>
                </c:pt>
                <c:pt idx="2754">
                  <c:v>14/07/2019</c:v>
                </c:pt>
                <c:pt idx="2755">
                  <c:v>14/07/2019</c:v>
                </c:pt>
                <c:pt idx="2756">
                  <c:v>14/07/2019</c:v>
                </c:pt>
                <c:pt idx="2757">
                  <c:v>14/07/2019</c:v>
                </c:pt>
                <c:pt idx="2758">
                  <c:v>21/07/2019</c:v>
                </c:pt>
                <c:pt idx="2759">
                  <c:v>21/07/2019</c:v>
                </c:pt>
                <c:pt idx="2760">
                  <c:v>21/07/2019</c:v>
                </c:pt>
                <c:pt idx="2761">
                  <c:v>21/07/2019</c:v>
                </c:pt>
                <c:pt idx="2762">
                  <c:v>21/07/2019</c:v>
                </c:pt>
                <c:pt idx="2763">
                  <c:v>21/07/2019</c:v>
                </c:pt>
                <c:pt idx="2764">
                  <c:v>21/07/2019</c:v>
                </c:pt>
                <c:pt idx="2765">
                  <c:v>28/07/2019</c:v>
                </c:pt>
                <c:pt idx="2766">
                  <c:v>28/07/2019</c:v>
                </c:pt>
                <c:pt idx="2767">
                  <c:v>28/07/2019</c:v>
                </c:pt>
                <c:pt idx="2768">
                  <c:v>28/07/2019</c:v>
                </c:pt>
                <c:pt idx="2769">
                  <c:v>28/07/2019</c:v>
                </c:pt>
                <c:pt idx="2770">
                  <c:v>28/07/2019</c:v>
                </c:pt>
                <c:pt idx="2771">
                  <c:v>28/07/2019</c:v>
                </c:pt>
                <c:pt idx="2772">
                  <c:v>04/08/2019</c:v>
                </c:pt>
                <c:pt idx="2773">
                  <c:v>04/08/2019</c:v>
                </c:pt>
                <c:pt idx="2774">
                  <c:v>04/08/2019</c:v>
                </c:pt>
                <c:pt idx="2775">
                  <c:v>04/08/2019</c:v>
                </c:pt>
                <c:pt idx="2776">
                  <c:v>04/08/2019</c:v>
                </c:pt>
                <c:pt idx="2777">
                  <c:v>04/08/2019</c:v>
                </c:pt>
                <c:pt idx="2778">
                  <c:v>04/08/2019</c:v>
                </c:pt>
                <c:pt idx="2779">
                  <c:v>11/08/2019</c:v>
                </c:pt>
                <c:pt idx="2780">
                  <c:v>11/08/2019</c:v>
                </c:pt>
                <c:pt idx="2781">
                  <c:v>11/08/2019</c:v>
                </c:pt>
                <c:pt idx="2782">
                  <c:v>11/08/2019</c:v>
                </c:pt>
                <c:pt idx="2783">
                  <c:v>11/08/2019</c:v>
                </c:pt>
                <c:pt idx="2784">
                  <c:v>11/08/2019</c:v>
                </c:pt>
                <c:pt idx="2785">
                  <c:v>11/08/2019</c:v>
                </c:pt>
                <c:pt idx="2786">
                  <c:v>18/08/2019</c:v>
                </c:pt>
                <c:pt idx="2787">
                  <c:v>18/08/2019</c:v>
                </c:pt>
                <c:pt idx="2788">
                  <c:v>18/08/2019</c:v>
                </c:pt>
                <c:pt idx="2789">
                  <c:v>18/08/2019</c:v>
                </c:pt>
                <c:pt idx="2790">
                  <c:v>18/08/2019</c:v>
                </c:pt>
                <c:pt idx="2791">
                  <c:v>18/08/2019</c:v>
                </c:pt>
                <c:pt idx="2792">
                  <c:v>18/08/2019</c:v>
                </c:pt>
                <c:pt idx="2793">
                  <c:v>25/08/2019</c:v>
                </c:pt>
                <c:pt idx="2794">
                  <c:v>25/08/2019</c:v>
                </c:pt>
                <c:pt idx="2795">
                  <c:v>25/08/2019</c:v>
                </c:pt>
                <c:pt idx="2796">
                  <c:v>25/08/2019</c:v>
                </c:pt>
                <c:pt idx="2797">
                  <c:v>25/08/2019</c:v>
                </c:pt>
                <c:pt idx="2798">
                  <c:v>25/08/2019</c:v>
                </c:pt>
                <c:pt idx="2799">
                  <c:v>25/08/2019</c:v>
                </c:pt>
                <c:pt idx="2800">
                  <c:v>01/09/2019</c:v>
                </c:pt>
                <c:pt idx="2801">
                  <c:v>01/09/2019</c:v>
                </c:pt>
                <c:pt idx="2802">
                  <c:v>01/09/2019</c:v>
                </c:pt>
                <c:pt idx="2803">
                  <c:v>01/09/2019</c:v>
                </c:pt>
                <c:pt idx="2804">
                  <c:v>01/09/2019</c:v>
                </c:pt>
                <c:pt idx="2805">
                  <c:v>01/09/2019</c:v>
                </c:pt>
                <c:pt idx="2806">
                  <c:v>01/09/2019</c:v>
                </c:pt>
                <c:pt idx="2807">
                  <c:v>08/09/2019</c:v>
                </c:pt>
                <c:pt idx="2808">
                  <c:v>08/09/2019</c:v>
                </c:pt>
                <c:pt idx="2809">
                  <c:v>08/09/2019</c:v>
                </c:pt>
                <c:pt idx="2810">
                  <c:v>08/09/2019</c:v>
                </c:pt>
                <c:pt idx="2811">
                  <c:v>08/09/2019</c:v>
                </c:pt>
                <c:pt idx="2812">
                  <c:v>08/09/2019</c:v>
                </c:pt>
                <c:pt idx="2813">
                  <c:v>08/09/2019</c:v>
                </c:pt>
                <c:pt idx="2814">
                  <c:v>15/09/2019</c:v>
                </c:pt>
                <c:pt idx="2815">
                  <c:v>15/09/2019</c:v>
                </c:pt>
                <c:pt idx="2816">
                  <c:v>15/09/2019</c:v>
                </c:pt>
                <c:pt idx="2817">
                  <c:v>15/09/2019</c:v>
                </c:pt>
                <c:pt idx="2818">
                  <c:v>15/09/2019</c:v>
                </c:pt>
                <c:pt idx="2819">
                  <c:v>15/09/2019</c:v>
                </c:pt>
                <c:pt idx="2820">
                  <c:v>15/09/2019</c:v>
                </c:pt>
                <c:pt idx="2821">
                  <c:v>22/09/2019</c:v>
                </c:pt>
                <c:pt idx="2822">
                  <c:v>22/09/2019</c:v>
                </c:pt>
                <c:pt idx="2823">
                  <c:v>22/09/2019</c:v>
                </c:pt>
                <c:pt idx="2824">
                  <c:v>22/09/2019</c:v>
                </c:pt>
                <c:pt idx="2825">
                  <c:v>22/09/2019</c:v>
                </c:pt>
                <c:pt idx="2826">
                  <c:v>22/09/2019</c:v>
                </c:pt>
                <c:pt idx="2827">
                  <c:v>22/09/2019</c:v>
                </c:pt>
                <c:pt idx="2828">
                  <c:v>29/09/2019</c:v>
                </c:pt>
                <c:pt idx="2829">
                  <c:v>29/09/2019</c:v>
                </c:pt>
                <c:pt idx="2830">
                  <c:v>29/09/2019</c:v>
                </c:pt>
                <c:pt idx="2831">
                  <c:v>29/09/2019</c:v>
                </c:pt>
                <c:pt idx="2832">
                  <c:v>29/09/2019</c:v>
                </c:pt>
                <c:pt idx="2833">
                  <c:v>29/09/2019</c:v>
                </c:pt>
                <c:pt idx="2834">
                  <c:v>29/09/2019</c:v>
                </c:pt>
                <c:pt idx="2835">
                  <c:v>06/10/2019</c:v>
                </c:pt>
                <c:pt idx="2836">
                  <c:v>06/10/2019</c:v>
                </c:pt>
                <c:pt idx="2837">
                  <c:v>06/10/2019</c:v>
                </c:pt>
                <c:pt idx="2838">
                  <c:v>06/10/2019</c:v>
                </c:pt>
                <c:pt idx="2839">
                  <c:v>06/10/2019</c:v>
                </c:pt>
                <c:pt idx="2840">
                  <c:v>06/10/2019</c:v>
                </c:pt>
                <c:pt idx="2841">
                  <c:v>06/10/2019</c:v>
                </c:pt>
                <c:pt idx="2842">
                  <c:v>13/10/2019</c:v>
                </c:pt>
                <c:pt idx="2843">
                  <c:v>13/10/2019</c:v>
                </c:pt>
                <c:pt idx="2844">
                  <c:v>13/10/2019</c:v>
                </c:pt>
                <c:pt idx="2845">
                  <c:v>13/10/2019</c:v>
                </c:pt>
                <c:pt idx="2846">
                  <c:v>13/10/2019</c:v>
                </c:pt>
                <c:pt idx="2847">
                  <c:v>13/10/2019</c:v>
                </c:pt>
                <c:pt idx="2848">
                  <c:v>13/10/2019</c:v>
                </c:pt>
                <c:pt idx="2849">
                  <c:v>20/10/2019</c:v>
                </c:pt>
                <c:pt idx="2850">
                  <c:v>20/10/2019</c:v>
                </c:pt>
                <c:pt idx="2851">
                  <c:v>20/10/2019</c:v>
                </c:pt>
                <c:pt idx="2852">
                  <c:v>20/10/2019</c:v>
                </c:pt>
                <c:pt idx="2853">
                  <c:v>20/10/2019</c:v>
                </c:pt>
                <c:pt idx="2854">
                  <c:v>20/10/2019</c:v>
                </c:pt>
                <c:pt idx="2855">
                  <c:v>20/10/2019</c:v>
                </c:pt>
                <c:pt idx="2856">
                  <c:v>27/10/2019</c:v>
                </c:pt>
                <c:pt idx="2857">
                  <c:v>27/10/2019</c:v>
                </c:pt>
                <c:pt idx="2858">
                  <c:v>27/10/2019</c:v>
                </c:pt>
                <c:pt idx="2859">
                  <c:v>27/10/2019</c:v>
                </c:pt>
                <c:pt idx="2860">
                  <c:v>27/10/2019</c:v>
                </c:pt>
                <c:pt idx="2861">
                  <c:v>27/10/2019</c:v>
                </c:pt>
                <c:pt idx="2862">
                  <c:v>27/10/2019</c:v>
                </c:pt>
                <c:pt idx="2863">
                  <c:v>03/11/2019</c:v>
                </c:pt>
                <c:pt idx="2864">
                  <c:v>03/11/2019</c:v>
                </c:pt>
                <c:pt idx="2865">
                  <c:v>03/11/2019</c:v>
                </c:pt>
                <c:pt idx="2866">
                  <c:v>03/11/2019</c:v>
                </c:pt>
                <c:pt idx="2867">
                  <c:v>03/11/2019</c:v>
                </c:pt>
                <c:pt idx="2868">
                  <c:v>03/11/2019</c:v>
                </c:pt>
                <c:pt idx="2869">
                  <c:v>03/11/2019</c:v>
                </c:pt>
                <c:pt idx="2870">
                  <c:v>10/11/2019</c:v>
                </c:pt>
                <c:pt idx="2871">
                  <c:v>10/11/2019</c:v>
                </c:pt>
                <c:pt idx="2872">
                  <c:v>10/11/2019</c:v>
                </c:pt>
                <c:pt idx="2873">
                  <c:v>10/11/2019</c:v>
                </c:pt>
                <c:pt idx="2874">
                  <c:v>10/11/2019</c:v>
                </c:pt>
                <c:pt idx="2875">
                  <c:v>10/11/2019</c:v>
                </c:pt>
                <c:pt idx="2876">
                  <c:v>10/11/2019</c:v>
                </c:pt>
                <c:pt idx="2877">
                  <c:v>17/11/2019</c:v>
                </c:pt>
                <c:pt idx="2878">
                  <c:v>17/11/2019</c:v>
                </c:pt>
                <c:pt idx="2879">
                  <c:v>17/11/2019</c:v>
                </c:pt>
                <c:pt idx="2880">
                  <c:v>17/11/2019</c:v>
                </c:pt>
                <c:pt idx="2881">
                  <c:v>17/11/2019</c:v>
                </c:pt>
                <c:pt idx="2882">
                  <c:v>17/11/2019</c:v>
                </c:pt>
                <c:pt idx="2883">
                  <c:v>17/11/2019</c:v>
                </c:pt>
                <c:pt idx="2884">
                  <c:v>24/11/2019</c:v>
                </c:pt>
                <c:pt idx="2885">
                  <c:v>24/11/2019</c:v>
                </c:pt>
                <c:pt idx="2886">
                  <c:v>24/11/2019</c:v>
                </c:pt>
                <c:pt idx="2887">
                  <c:v>24/11/2019</c:v>
                </c:pt>
                <c:pt idx="2888">
                  <c:v>24/11/2019</c:v>
                </c:pt>
                <c:pt idx="2889">
                  <c:v>24/11/2019</c:v>
                </c:pt>
                <c:pt idx="2890">
                  <c:v>24/11/2019</c:v>
                </c:pt>
                <c:pt idx="2891">
                  <c:v>01/12/2019</c:v>
                </c:pt>
                <c:pt idx="2892">
                  <c:v>01/12/2019</c:v>
                </c:pt>
                <c:pt idx="2893">
                  <c:v>01/12/2019</c:v>
                </c:pt>
                <c:pt idx="2894">
                  <c:v>01/12/2019</c:v>
                </c:pt>
                <c:pt idx="2895">
                  <c:v>01/12/2019</c:v>
                </c:pt>
                <c:pt idx="2896">
                  <c:v>01/12/2019</c:v>
                </c:pt>
                <c:pt idx="2897">
                  <c:v>01/12/2019</c:v>
                </c:pt>
                <c:pt idx="2898">
                  <c:v>08/12/2019</c:v>
                </c:pt>
                <c:pt idx="2899">
                  <c:v>08/12/2019</c:v>
                </c:pt>
                <c:pt idx="2900">
                  <c:v>08/12/2019</c:v>
                </c:pt>
                <c:pt idx="2901">
                  <c:v>08/12/2019</c:v>
                </c:pt>
                <c:pt idx="2902">
                  <c:v>08/12/2019</c:v>
                </c:pt>
                <c:pt idx="2903">
                  <c:v>08/12/2019</c:v>
                </c:pt>
                <c:pt idx="2904">
                  <c:v>08/12/2019</c:v>
                </c:pt>
                <c:pt idx="2905">
                  <c:v>15/12/2019</c:v>
                </c:pt>
                <c:pt idx="2906">
                  <c:v>15/12/2019</c:v>
                </c:pt>
                <c:pt idx="2907">
                  <c:v>15/12/2019</c:v>
                </c:pt>
                <c:pt idx="2908">
                  <c:v>15/12/2019</c:v>
                </c:pt>
                <c:pt idx="2909">
                  <c:v>15/12/2019</c:v>
                </c:pt>
                <c:pt idx="2910">
                  <c:v>15/12/2019</c:v>
                </c:pt>
                <c:pt idx="2911">
                  <c:v>15/12/2019</c:v>
                </c:pt>
                <c:pt idx="2912">
                  <c:v>22/12/2019</c:v>
                </c:pt>
                <c:pt idx="2913">
                  <c:v>22/12/2019</c:v>
                </c:pt>
                <c:pt idx="2914">
                  <c:v>22/12/2019</c:v>
                </c:pt>
                <c:pt idx="2915">
                  <c:v>22/12/2019</c:v>
                </c:pt>
                <c:pt idx="2916">
                  <c:v>22/12/2019</c:v>
                </c:pt>
                <c:pt idx="2917">
                  <c:v>22/12/2019</c:v>
                </c:pt>
                <c:pt idx="2918">
                  <c:v>22/12/2019</c:v>
                </c:pt>
                <c:pt idx="2919">
                  <c:v>29/12/2019</c:v>
                </c:pt>
                <c:pt idx="2920">
                  <c:v>29/12/2019</c:v>
                </c:pt>
                <c:pt idx="2921">
                  <c:v>29/12/2019</c:v>
                </c:pt>
                <c:pt idx="2922">
                  <c:v>29/12/2019</c:v>
                </c:pt>
                <c:pt idx="2923">
                  <c:v>29/12/2019</c:v>
                </c:pt>
                <c:pt idx="2924">
                  <c:v>29/12/2019</c:v>
                </c:pt>
                <c:pt idx="2925">
                  <c:v>29/12/2019</c:v>
                </c:pt>
                <c:pt idx="2926">
                  <c:v>05/01/2020</c:v>
                </c:pt>
                <c:pt idx="2927">
                  <c:v>05/01/2020</c:v>
                </c:pt>
                <c:pt idx="2928">
                  <c:v>05/01/2020</c:v>
                </c:pt>
                <c:pt idx="2929">
                  <c:v>05/01/2020</c:v>
                </c:pt>
                <c:pt idx="2930">
                  <c:v>05/01/2020</c:v>
                </c:pt>
                <c:pt idx="2931">
                  <c:v>05/01/2020</c:v>
                </c:pt>
                <c:pt idx="2932">
                  <c:v>05/01/2020</c:v>
                </c:pt>
                <c:pt idx="2933">
                  <c:v>12/01/2020</c:v>
                </c:pt>
                <c:pt idx="2934">
                  <c:v>12/01/2020</c:v>
                </c:pt>
                <c:pt idx="2935">
                  <c:v>12/01/2020</c:v>
                </c:pt>
                <c:pt idx="2936">
                  <c:v>12/01/2020</c:v>
                </c:pt>
                <c:pt idx="2937">
                  <c:v>12/01/2020</c:v>
                </c:pt>
                <c:pt idx="2938">
                  <c:v>12/01/2020</c:v>
                </c:pt>
                <c:pt idx="2939">
                  <c:v>12/01/2020</c:v>
                </c:pt>
                <c:pt idx="2940">
                  <c:v>19/01/2020</c:v>
                </c:pt>
                <c:pt idx="2941">
                  <c:v>19/01/2020</c:v>
                </c:pt>
                <c:pt idx="2942">
                  <c:v>19/01/2020</c:v>
                </c:pt>
                <c:pt idx="2943">
                  <c:v>19/01/2020</c:v>
                </c:pt>
                <c:pt idx="2944">
                  <c:v>19/01/2020</c:v>
                </c:pt>
                <c:pt idx="2945">
                  <c:v>19/01/2020</c:v>
                </c:pt>
                <c:pt idx="2946">
                  <c:v>19/01/2020</c:v>
                </c:pt>
                <c:pt idx="2947">
                  <c:v>26/01/2020</c:v>
                </c:pt>
                <c:pt idx="2948">
                  <c:v>26/01/2020</c:v>
                </c:pt>
                <c:pt idx="2949">
                  <c:v>26/01/2020</c:v>
                </c:pt>
                <c:pt idx="2950">
                  <c:v>26/01/2020</c:v>
                </c:pt>
                <c:pt idx="2951">
                  <c:v>26/01/2020</c:v>
                </c:pt>
                <c:pt idx="2952">
                  <c:v>26/01/2020</c:v>
                </c:pt>
                <c:pt idx="2953">
                  <c:v>26/01/2020</c:v>
                </c:pt>
                <c:pt idx="2954">
                  <c:v>02/02/2020</c:v>
                </c:pt>
                <c:pt idx="2955">
                  <c:v>02/02/2020</c:v>
                </c:pt>
                <c:pt idx="2956">
                  <c:v>02/02/2020</c:v>
                </c:pt>
                <c:pt idx="2957">
                  <c:v>02/02/2020</c:v>
                </c:pt>
                <c:pt idx="2958">
                  <c:v>02/02/2020</c:v>
                </c:pt>
                <c:pt idx="2959">
                  <c:v>02/02/2020</c:v>
                </c:pt>
                <c:pt idx="2960">
                  <c:v>02/02/2020</c:v>
                </c:pt>
                <c:pt idx="2961">
                  <c:v>09/02/2020</c:v>
                </c:pt>
                <c:pt idx="2962">
                  <c:v>09/02/2020</c:v>
                </c:pt>
                <c:pt idx="2963">
                  <c:v>09/02/2020</c:v>
                </c:pt>
                <c:pt idx="2964">
                  <c:v>09/02/2020</c:v>
                </c:pt>
                <c:pt idx="2965">
                  <c:v>09/02/2020</c:v>
                </c:pt>
                <c:pt idx="2966">
                  <c:v>09/02/2020</c:v>
                </c:pt>
                <c:pt idx="2967">
                  <c:v>09/02/2020</c:v>
                </c:pt>
                <c:pt idx="2968">
                  <c:v>16/02/2020</c:v>
                </c:pt>
                <c:pt idx="2969">
                  <c:v>16/02/2020</c:v>
                </c:pt>
                <c:pt idx="2970">
                  <c:v>16/02/2020</c:v>
                </c:pt>
                <c:pt idx="2971">
                  <c:v>16/02/2020</c:v>
                </c:pt>
                <c:pt idx="2972">
                  <c:v>16/02/2020</c:v>
                </c:pt>
                <c:pt idx="2973">
                  <c:v>16/02/2020</c:v>
                </c:pt>
                <c:pt idx="2974">
                  <c:v>16/02/2020</c:v>
                </c:pt>
                <c:pt idx="2975">
                  <c:v>23/02/2020</c:v>
                </c:pt>
                <c:pt idx="2976">
                  <c:v>23/02/2020</c:v>
                </c:pt>
                <c:pt idx="2977">
                  <c:v>23/02/2020</c:v>
                </c:pt>
                <c:pt idx="2978">
                  <c:v>23/02/2020</c:v>
                </c:pt>
                <c:pt idx="2979">
                  <c:v>23/02/2020</c:v>
                </c:pt>
                <c:pt idx="2980">
                  <c:v>23/02/2020</c:v>
                </c:pt>
                <c:pt idx="2981">
                  <c:v>23/02/2020</c:v>
                </c:pt>
                <c:pt idx="2982">
                  <c:v>01/03/2020</c:v>
                </c:pt>
                <c:pt idx="2983">
                  <c:v>01/03/2020</c:v>
                </c:pt>
                <c:pt idx="2984">
                  <c:v>01/03/2020</c:v>
                </c:pt>
                <c:pt idx="2985">
                  <c:v>01/03/2020</c:v>
                </c:pt>
                <c:pt idx="2986">
                  <c:v>01/03/2020</c:v>
                </c:pt>
                <c:pt idx="2987">
                  <c:v>01/03/2020</c:v>
                </c:pt>
                <c:pt idx="2988">
                  <c:v>01/03/2020</c:v>
                </c:pt>
                <c:pt idx="2989">
                  <c:v>08/03/2020</c:v>
                </c:pt>
                <c:pt idx="2990">
                  <c:v>08/03/2020</c:v>
                </c:pt>
                <c:pt idx="2991">
                  <c:v>08/03/2020</c:v>
                </c:pt>
                <c:pt idx="2992">
                  <c:v>08/03/2020</c:v>
                </c:pt>
                <c:pt idx="2993">
                  <c:v>08/03/2020</c:v>
                </c:pt>
                <c:pt idx="2994">
                  <c:v>08/03/2020</c:v>
                </c:pt>
                <c:pt idx="2995">
                  <c:v>08/03/2020</c:v>
                </c:pt>
                <c:pt idx="2996">
                  <c:v>15/03/2020</c:v>
                </c:pt>
                <c:pt idx="2997">
                  <c:v>15/03/2020</c:v>
                </c:pt>
                <c:pt idx="2998">
                  <c:v>15/03/2020</c:v>
                </c:pt>
                <c:pt idx="2999">
                  <c:v>15/03/2020</c:v>
                </c:pt>
                <c:pt idx="3000">
                  <c:v>15/03/2020</c:v>
                </c:pt>
                <c:pt idx="3001">
                  <c:v>15/03/2020</c:v>
                </c:pt>
                <c:pt idx="3002">
                  <c:v>15/03/2020</c:v>
                </c:pt>
                <c:pt idx="3003">
                  <c:v>22/03/2020</c:v>
                </c:pt>
                <c:pt idx="3004">
                  <c:v>22/03/2020</c:v>
                </c:pt>
                <c:pt idx="3005">
                  <c:v>22/03/2020</c:v>
                </c:pt>
                <c:pt idx="3006">
                  <c:v>22/03/2020</c:v>
                </c:pt>
                <c:pt idx="3007">
                  <c:v>22/03/2020</c:v>
                </c:pt>
                <c:pt idx="3008">
                  <c:v>22/03/2020</c:v>
                </c:pt>
                <c:pt idx="3009">
                  <c:v>22/03/2020</c:v>
                </c:pt>
                <c:pt idx="3010">
                  <c:v>29/03/2020</c:v>
                </c:pt>
                <c:pt idx="3011">
                  <c:v>29/03/2020</c:v>
                </c:pt>
                <c:pt idx="3012">
                  <c:v>29/03/2020</c:v>
                </c:pt>
                <c:pt idx="3013">
                  <c:v>29/03/2020</c:v>
                </c:pt>
                <c:pt idx="3014">
                  <c:v>29/03/2020</c:v>
                </c:pt>
                <c:pt idx="3015">
                  <c:v>29/03/2020</c:v>
                </c:pt>
                <c:pt idx="3016">
                  <c:v>29/03/2020</c:v>
                </c:pt>
                <c:pt idx="3017">
                  <c:v>05/04/2020</c:v>
                </c:pt>
                <c:pt idx="3018">
                  <c:v>05/04/2020</c:v>
                </c:pt>
                <c:pt idx="3019">
                  <c:v>05/04/2020</c:v>
                </c:pt>
                <c:pt idx="3020">
                  <c:v>05/04/2020</c:v>
                </c:pt>
                <c:pt idx="3021">
                  <c:v>05/04/2020</c:v>
                </c:pt>
                <c:pt idx="3022">
                  <c:v>05/04/2020</c:v>
                </c:pt>
                <c:pt idx="3023">
                  <c:v>05/04/2020</c:v>
                </c:pt>
                <c:pt idx="3024">
                  <c:v>12/04/2020</c:v>
                </c:pt>
                <c:pt idx="3025">
                  <c:v>12/04/2020</c:v>
                </c:pt>
                <c:pt idx="3026">
                  <c:v>12/04/2020</c:v>
                </c:pt>
                <c:pt idx="3027">
                  <c:v>12/04/2020</c:v>
                </c:pt>
                <c:pt idx="3028">
                  <c:v>12/04/2020</c:v>
                </c:pt>
                <c:pt idx="3029">
                  <c:v>12/04/2020</c:v>
                </c:pt>
                <c:pt idx="3030">
                  <c:v>12/04/2020</c:v>
                </c:pt>
                <c:pt idx="3031">
                  <c:v>19/04/2020</c:v>
                </c:pt>
                <c:pt idx="3032">
                  <c:v>19/04/2020</c:v>
                </c:pt>
                <c:pt idx="3033">
                  <c:v>19/04/2020</c:v>
                </c:pt>
                <c:pt idx="3034">
                  <c:v>19/04/2020</c:v>
                </c:pt>
                <c:pt idx="3035">
                  <c:v>19/04/2020</c:v>
                </c:pt>
                <c:pt idx="3036">
                  <c:v>19/04/2020</c:v>
                </c:pt>
                <c:pt idx="3037">
                  <c:v>19/04/2020</c:v>
                </c:pt>
                <c:pt idx="3038">
                  <c:v>26/04/2020</c:v>
                </c:pt>
                <c:pt idx="3039">
                  <c:v>26/04/2020</c:v>
                </c:pt>
                <c:pt idx="3040">
                  <c:v>26/04/2020</c:v>
                </c:pt>
                <c:pt idx="3041">
                  <c:v>26/04/2020</c:v>
                </c:pt>
                <c:pt idx="3042">
                  <c:v>26/04/2020</c:v>
                </c:pt>
                <c:pt idx="3043">
                  <c:v>26/04/2020</c:v>
                </c:pt>
                <c:pt idx="3044">
                  <c:v>26/04/2020</c:v>
                </c:pt>
                <c:pt idx="3045">
                  <c:v>03/05/2020</c:v>
                </c:pt>
                <c:pt idx="3046">
                  <c:v>03/05/2020</c:v>
                </c:pt>
                <c:pt idx="3047">
                  <c:v>03/05/2020</c:v>
                </c:pt>
                <c:pt idx="3048">
                  <c:v>03/05/2020</c:v>
                </c:pt>
                <c:pt idx="3049">
                  <c:v>03/05/2020</c:v>
                </c:pt>
                <c:pt idx="3050">
                  <c:v>03/05/2020</c:v>
                </c:pt>
                <c:pt idx="3051">
                  <c:v>03/05/2020</c:v>
                </c:pt>
                <c:pt idx="3052">
                  <c:v>10/05/2020</c:v>
                </c:pt>
                <c:pt idx="3053">
                  <c:v>10/05/2020</c:v>
                </c:pt>
                <c:pt idx="3054">
                  <c:v>10/05/2020</c:v>
                </c:pt>
                <c:pt idx="3055">
                  <c:v>10/05/2020</c:v>
                </c:pt>
                <c:pt idx="3056">
                  <c:v>10/05/2020</c:v>
                </c:pt>
                <c:pt idx="3057">
                  <c:v>10/05/2020</c:v>
                </c:pt>
                <c:pt idx="3058">
                  <c:v>10/05/2020</c:v>
                </c:pt>
                <c:pt idx="3059">
                  <c:v>17/05/2020</c:v>
                </c:pt>
                <c:pt idx="3060">
                  <c:v>17/05/2020</c:v>
                </c:pt>
                <c:pt idx="3061">
                  <c:v>17/05/2020</c:v>
                </c:pt>
                <c:pt idx="3062">
                  <c:v>17/05/2020</c:v>
                </c:pt>
                <c:pt idx="3063">
                  <c:v>17/05/2020</c:v>
                </c:pt>
                <c:pt idx="3064">
                  <c:v>17/05/2020</c:v>
                </c:pt>
                <c:pt idx="3065">
                  <c:v>17/05/2020</c:v>
                </c:pt>
                <c:pt idx="3066">
                  <c:v>24/05/2020</c:v>
                </c:pt>
                <c:pt idx="3067">
                  <c:v>24/05/2020</c:v>
                </c:pt>
                <c:pt idx="3068">
                  <c:v>24/05/2020</c:v>
                </c:pt>
                <c:pt idx="3069">
                  <c:v>24/05/2020</c:v>
                </c:pt>
                <c:pt idx="3070">
                  <c:v>24/05/2020</c:v>
                </c:pt>
                <c:pt idx="3071">
                  <c:v>24/05/2020</c:v>
                </c:pt>
                <c:pt idx="3072">
                  <c:v>24/05/2020</c:v>
                </c:pt>
                <c:pt idx="3073">
                  <c:v>31/05/2020</c:v>
                </c:pt>
                <c:pt idx="3074">
                  <c:v>31/05/2020</c:v>
                </c:pt>
                <c:pt idx="3075">
                  <c:v>31/05/2020</c:v>
                </c:pt>
                <c:pt idx="3076">
                  <c:v>31/05/2020</c:v>
                </c:pt>
                <c:pt idx="3077">
                  <c:v>31/05/2020</c:v>
                </c:pt>
                <c:pt idx="3078">
                  <c:v>31/05/2020</c:v>
                </c:pt>
                <c:pt idx="3079">
                  <c:v>31/05/2020</c:v>
                </c:pt>
                <c:pt idx="3080">
                  <c:v>07/06/2020</c:v>
                </c:pt>
                <c:pt idx="3081">
                  <c:v>07/06/2020</c:v>
                </c:pt>
                <c:pt idx="3082">
                  <c:v>07/06/2020</c:v>
                </c:pt>
                <c:pt idx="3083">
                  <c:v>07/06/2020</c:v>
                </c:pt>
                <c:pt idx="3084">
                  <c:v>07/06/2020</c:v>
                </c:pt>
                <c:pt idx="3085">
                  <c:v>07/06/2020</c:v>
                </c:pt>
                <c:pt idx="3086">
                  <c:v>07/06/2020</c:v>
                </c:pt>
                <c:pt idx="3087">
                  <c:v>14/06/2020</c:v>
                </c:pt>
                <c:pt idx="3088">
                  <c:v>14/06/2020</c:v>
                </c:pt>
                <c:pt idx="3089">
                  <c:v>14/06/2020</c:v>
                </c:pt>
                <c:pt idx="3090">
                  <c:v>14/06/2020</c:v>
                </c:pt>
                <c:pt idx="3091">
                  <c:v>14/06/2020</c:v>
                </c:pt>
                <c:pt idx="3092">
                  <c:v>14/06/2020</c:v>
                </c:pt>
                <c:pt idx="3093">
                  <c:v>14/06/2020</c:v>
                </c:pt>
                <c:pt idx="3094">
                  <c:v>21/06/2020</c:v>
                </c:pt>
                <c:pt idx="3095">
                  <c:v>21/06/2020</c:v>
                </c:pt>
                <c:pt idx="3096">
                  <c:v>21/06/2020</c:v>
                </c:pt>
                <c:pt idx="3097">
                  <c:v>21/06/2020</c:v>
                </c:pt>
                <c:pt idx="3098">
                  <c:v>21/06/2020</c:v>
                </c:pt>
                <c:pt idx="3099">
                  <c:v>21/06/2020</c:v>
                </c:pt>
                <c:pt idx="3100">
                  <c:v>21/06/2020</c:v>
                </c:pt>
                <c:pt idx="3101">
                  <c:v>28/06/2020</c:v>
                </c:pt>
                <c:pt idx="3102">
                  <c:v>28/06/2020</c:v>
                </c:pt>
                <c:pt idx="3103">
                  <c:v>28/06/2020</c:v>
                </c:pt>
                <c:pt idx="3104">
                  <c:v>28/06/2020</c:v>
                </c:pt>
                <c:pt idx="3105">
                  <c:v>28/06/2020</c:v>
                </c:pt>
                <c:pt idx="3106">
                  <c:v>28/06/2020</c:v>
                </c:pt>
                <c:pt idx="3107">
                  <c:v>28/06/2020</c:v>
                </c:pt>
                <c:pt idx="3108">
                  <c:v>05/07/2020</c:v>
                </c:pt>
                <c:pt idx="3109">
                  <c:v>05/07/2020</c:v>
                </c:pt>
                <c:pt idx="3110">
                  <c:v>05/07/2020</c:v>
                </c:pt>
                <c:pt idx="3111">
                  <c:v>05/07/2020</c:v>
                </c:pt>
                <c:pt idx="3112">
                  <c:v>05/07/2020</c:v>
                </c:pt>
                <c:pt idx="3113">
                  <c:v>05/07/2020</c:v>
                </c:pt>
                <c:pt idx="3114">
                  <c:v>05/07/2020</c:v>
                </c:pt>
                <c:pt idx="3115">
                  <c:v>12/07/2020</c:v>
                </c:pt>
                <c:pt idx="3116">
                  <c:v>12/07/2020</c:v>
                </c:pt>
                <c:pt idx="3117">
                  <c:v>12/07/2020</c:v>
                </c:pt>
                <c:pt idx="3118">
                  <c:v>12/07/2020</c:v>
                </c:pt>
                <c:pt idx="3119">
                  <c:v>12/07/2020</c:v>
                </c:pt>
                <c:pt idx="3120">
                  <c:v>12/07/2020</c:v>
                </c:pt>
                <c:pt idx="3121">
                  <c:v>12/07/2020</c:v>
                </c:pt>
                <c:pt idx="3122">
                  <c:v>19/07/2020</c:v>
                </c:pt>
                <c:pt idx="3123">
                  <c:v>19/07/2020</c:v>
                </c:pt>
                <c:pt idx="3124">
                  <c:v>19/07/2020</c:v>
                </c:pt>
                <c:pt idx="3125">
                  <c:v>19/07/2020</c:v>
                </c:pt>
                <c:pt idx="3126">
                  <c:v>19/07/2020</c:v>
                </c:pt>
                <c:pt idx="3127">
                  <c:v>19/07/2020</c:v>
                </c:pt>
                <c:pt idx="3128">
                  <c:v>19/07/2020</c:v>
                </c:pt>
                <c:pt idx="3129">
                  <c:v>26/07/2020</c:v>
                </c:pt>
                <c:pt idx="3130">
                  <c:v>26/07/2020</c:v>
                </c:pt>
                <c:pt idx="3131">
                  <c:v>26/07/2020</c:v>
                </c:pt>
                <c:pt idx="3132">
                  <c:v>26/07/2020</c:v>
                </c:pt>
                <c:pt idx="3133">
                  <c:v>26/07/2020</c:v>
                </c:pt>
                <c:pt idx="3134">
                  <c:v>26/07/2020</c:v>
                </c:pt>
                <c:pt idx="3135">
                  <c:v>26/07/2020</c:v>
                </c:pt>
                <c:pt idx="3136">
                  <c:v>02/08/2020</c:v>
                </c:pt>
                <c:pt idx="3137">
                  <c:v>02/08/2020</c:v>
                </c:pt>
                <c:pt idx="3138">
                  <c:v>02/08/2020</c:v>
                </c:pt>
                <c:pt idx="3139">
                  <c:v>02/08/2020</c:v>
                </c:pt>
                <c:pt idx="3140">
                  <c:v>02/08/2020</c:v>
                </c:pt>
                <c:pt idx="3141">
                  <c:v>02/08/2020</c:v>
                </c:pt>
                <c:pt idx="3142">
                  <c:v>02/08/2020</c:v>
                </c:pt>
                <c:pt idx="3143">
                  <c:v>09/08/2020</c:v>
                </c:pt>
                <c:pt idx="3144">
                  <c:v>09/08/2020</c:v>
                </c:pt>
                <c:pt idx="3145">
                  <c:v>09/08/2020</c:v>
                </c:pt>
                <c:pt idx="3146">
                  <c:v>09/08/2020</c:v>
                </c:pt>
                <c:pt idx="3147">
                  <c:v>09/08/2020</c:v>
                </c:pt>
                <c:pt idx="3148">
                  <c:v>09/08/2020</c:v>
                </c:pt>
                <c:pt idx="3149">
                  <c:v>09/08/2020</c:v>
                </c:pt>
                <c:pt idx="3150">
                  <c:v>16/08/2020</c:v>
                </c:pt>
                <c:pt idx="3151">
                  <c:v>16/08/2020</c:v>
                </c:pt>
                <c:pt idx="3152">
                  <c:v>16/08/2020</c:v>
                </c:pt>
                <c:pt idx="3153">
                  <c:v>16/08/2020</c:v>
                </c:pt>
                <c:pt idx="3154">
                  <c:v>16/08/2020</c:v>
                </c:pt>
                <c:pt idx="3155">
                  <c:v>16/08/2020</c:v>
                </c:pt>
                <c:pt idx="3156">
                  <c:v>16/08/2020</c:v>
                </c:pt>
                <c:pt idx="3157">
                  <c:v>23/08/2020</c:v>
                </c:pt>
                <c:pt idx="3158">
                  <c:v>23/08/2020</c:v>
                </c:pt>
                <c:pt idx="3159">
                  <c:v>23/08/2020</c:v>
                </c:pt>
                <c:pt idx="3160">
                  <c:v>23/08/2020</c:v>
                </c:pt>
                <c:pt idx="3161">
                  <c:v>23/08/2020</c:v>
                </c:pt>
                <c:pt idx="3162">
                  <c:v>23/08/2020</c:v>
                </c:pt>
                <c:pt idx="3163">
                  <c:v>23/08/2020</c:v>
                </c:pt>
                <c:pt idx="3164">
                  <c:v>30/08/2020</c:v>
                </c:pt>
                <c:pt idx="3165">
                  <c:v>30/08/2020</c:v>
                </c:pt>
                <c:pt idx="3166">
                  <c:v>30/08/2020</c:v>
                </c:pt>
                <c:pt idx="3167">
                  <c:v>30/08/2020</c:v>
                </c:pt>
                <c:pt idx="3168">
                  <c:v>30/08/2020</c:v>
                </c:pt>
                <c:pt idx="3169">
                  <c:v>30/08/2020</c:v>
                </c:pt>
                <c:pt idx="3170">
                  <c:v>30/08/2020</c:v>
                </c:pt>
                <c:pt idx="3171">
                  <c:v>06/09/2020</c:v>
                </c:pt>
                <c:pt idx="3172">
                  <c:v>06/09/2020</c:v>
                </c:pt>
                <c:pt idx="3173">
                  <c:v>06/09/2020</c:v>
                </c:pt>
                <c:pt idx="3174">
                  <c:v>06/09/2020</c:v>
                </c:pt>
                <c:pt idx="3175">
                  <c:v>06/09/2020</c:v>
                </c:pt>
                <c:pt idx="3176">
                  <c:v>06/09/2020</c:v>
                </c:pt>
                <c:pt idx="3177">
                  <c:v>06/09/2020</c:v>
                </c:pt>
                <c:pt idx="3178">
                  <c:v>13/09/2020</c:v>
                </c:pt>
                <c:pt idx="3179">
                  <c:v>13/09/2020</c:v>
                </c:pt>
                <c:pt idx="3180">
                  <c:v>13/09/2020</c:v>
                </c:pt>
                <c:pt idx="3181">
                  <c:v>13/09/2020</c:v>
                </c:pt>
                <c:pt idx="3182">
                  <c:v>13/09/2020</c:v>
                </c:pt>
                <c:pt idx="3183">
                  <c:v>13/09/2020</c:v>
                </c:pt>
                <c:pt idx="3184">
                  <c:v>13/09/2020</c:v>
                </c:pt>
                <c:pt idx="3185">
                  <c:v>20/09/2020</c:v>
                </c:pt>
                <c:pt idx="3186">
                  <c:v>20/09/2020</c:v>
                </c:pt>
                <c:pt idx="3187">
                  <c:v>20/09/2020</c:v>
                </c:pt>
                <c:pt idx="3188">
                  <c:v>20/09/2020</c:v>
                </c:pt>
                <c:pt idx="3189">
                  <c:v>20/09/2020</c:v>
                </c:pt>
                <c:pt idx="3190">
                  <c:v>20/09/2020</c:v>
                </c:pt>
                <c:pt idx="3191">
                  <c:v>20/09/2020</c:v>
                </c:pt>
                <c:pt idx="3192">
                  <c:v>27/09/2020</c:v>
                </c:pt>
                <c:pt idx="3193">
                  <c:v>27/09/2020</c:v>
                </c:pt>
                <c:pt idx="3194">
                  <c:v>27/09/2020</c:v>
                </c:pt>
                <c:pt idx="3195">
                  <c:v>27/09/2020</c:v>
                </c:pt>
                <c:pt idx="3196">
                  <c:v>27/09/2020</c:v>
                </c:pt>
                <c:pt idx="3197">
                  <c:v>27/09/2020</c:v>
                </c:pt>
                <c:pt idx="3198">
                  <c:v>27/09/2020</c:v>
                </c:pt>
                <c:pt idx="3199">
                  <c:v>04/10/2020</c:v>
                </c:pt>
                <c:pt idx="3200">
                  <c:v>04/10/2020</c:v>
                </c:pt>
                <c:pt idx="3201">
                  <c:v>04/10/2020</c:v>
                </c:pt>
                <c:pt idx="3202">
                  <c:v>04/10/2020</c:v>
                </c:pt>
                <c:pt idx="3203">
                  <c:v>04/10/2020</c:v>
                </c:pt>
                <c:pt idx="3204">
                  <c:v>04/10/2020</c:v>
                </c:pt>
                <c:pt idx="3205">
                  <c:v>04/10/2020</c:v>
                </c:pt>
                <c:pt idx="3206">
                  <c:v>11/10/2020</c:v>
                </c:pt>
                <c:pt idx="3207">
                  <c:v>11/10/2020</c:v>
                </c:pt>
                <c:pt idx="3208">
                  <c:v>11/10/2020</c:v>
                </c:pt>
                <c:pt idx="3209">
                  <c:v>11/10/2020</c:v>
                </c:pt>
                <c:pt idx="3210">
                  <c:v>11/10/2020</c:v>
                </c:pt>
                <c:pt idx="3211">
                  <c:v>11/10/2020</c:v>
                </c:pt>
                <c:pt idx="3212">
                  <c:v>11/10/2020</c:v>
                </c:pt>
                <c:pt idx="3213">
                  <c:v>18/10/2020</c:v>
                </c:pt>
                <c:pt idx="3214">
                  <c:v>18/10/2020</c:v>
                </c:pt>
                <c:pt idx="3215">
                  <c:v>18/10/2020</c:v>
                </c:pt>
                <c:pt idx="3216">
                  <c:v>18/10/2020</c:v>
                </c:pt>
                <c:pt idx="3217">
                  <c:v>18/10/2020</c:v>
                </c:pt>
                <c:pt idx="3218">
                  <c:v>18/10/2020</c:v>
                </c:pt>
                <c:pt idx="3219">
                  <c:v>18/10/2020</c:v>
                </c:pt>
                <c:pt idx="3220">
                  <c:v>25/10/2020</c:v>
                </c:pt>
                <c:pt idx="3221">
                  <c:v>25/10/2020</c:v>
                </c:pt>
                <c:pt idx="3222">
                  <c:v>25/10/2020</c:v>
                </c:pt>
                <c:pt idx="3223">
                  <c:v>25/10/2020</c:v>
                </c:pt>
                <c:pt idx="3224">
                  <c:v>25/10/2020</c:v>
                </c:pt>
                <c:pt idx="3225">
                  <c:v>25/10/2020</c:v>
                </c:pt>
                <c:pt idx="3226">
                  <c:v>25/10/2020</c:v>
                </c:pt>
                <c:pt idx="3227">
                  <c:v>01/11/2020</c:v>
                </c:pt>
                <c:pt idx="3228">
                  <c:v>01/11/2020</c:v>
                </c:pt>
                <c:pt idx="3229">
                  <c:v>01/11/2020</c:v>
                </c:pt>
                <c:pt idx="3230">
                  <c:v>01/11/2020</c:v>
                </c:pt>
                <c:pt idx="3231">
                  <c:v>01/11/2020</c:v>
                </c:pt>
                <c:pt idx="3232">
                  <c:v>01/11/2020</c:v>
                </c:pt>
                <c:pt idx="3233">
                  <c:v>01/11/2020</c:v>
                </c:pt>
                <c:pt idx="3234">
                  <c:v>08/11/2020</c:v>
                </c:pt>
                <c:pt idx="3235">
                  <c:v>08/11/2020</c:v>
                </c:pt>
                <c:pt idx="3236">
                  <c:v>08/11/2020</c:v>
                </c:pt>
                <c:pt idx="3237">
                  <c:v>08/11/2020</c:v>
                </c:pt>
                <c:pt idx="3238">
                  <c:v>08/11/2020</c:v>
                </c:pt>
                <c:pt idx="3239">
                  <c:v>08/11/2020</c:v>
                </c:pt>
                <c:pt idx="3240">
                  <c:v>08/11/2020</c:v>
                </c:pt>
                <c:pt idx="3241">
                  <c:v>15/11/2020</c:v>
                </c:pt>
                <c:pt idx="3242">
                  <c:v>15/11/2020</c:v>
                </c:pt>
                <c:pt idx="3243">
                  <c:v>15/11/2020</c:v>
                </c:pt>
                <c:pt idx="3244">
                  <c:v>15/11/2020</c:v>
                </c:pt>
                <c:pt idx="3245">
                  <c:v>15/11/2020</c:v>
                </c:pt>
                <c:pt idx="3246">
                  <c:v>15/11/2020</c:v>
                </c:pt>
                <c:pt idx="3247">
                  <c:v>15/11/2020</c:v>
                </c:pt>
                <c:pt idx="3248">
                  <c:v>22/11/2020</c:v>
                </c:pt>
                <c:pt idx="3249">
                  <c:v>22/11/2020</c:v>
                </c:pt>
                <c:pt idx="3250">
                  <c:v>22/11/2020</c:v>
                </c:pt>
                <c:pt idx="3251">
                  <c:v>22/11/2020</c:v>
                </c:pt>
                <c:pt idx="3252">
                  <c:v>22/11/2020</c:v>
                </c:pt>
                <c:pt idx="3253">
                  <c:v>22/11/2020</c:v>
                </c:pt>
                <c:pt idx="3254">
                  <c:v>22/11/2020</c:v>
                </c:pt>
                <c:pt idx="3255">
                  <c:v>29/11/2020</c:v>
                </c:pt>
                <c:pt idx="3256">
                  <c:v>29/11/2020</c:v>
                </c:pt>
                <c:pt idx="3257">
                  <c:v>29/11/2020</c:v>
                </c:pt>
                <c:pt idx="3258">
                  <c:v>29/11/2020</c:v>
                </c:pt>
                <c:pt idx="3259">
                  <c:v>29/11/2020</c:v>
                </c:pt>
                <c:pt idx="3260">
                  <c:v>29/11/2020</c:v>
                </c:pt>
                <c:pt idx="3261">
                  <c:v>29/11/2020</c:v>
                </c:pt>
                <c:pt idx="3262">
                  <c:v>06/12/2020</c:v>
                </c:pt>
                <c:pt idx="3263">
                  <c:v>06/12/2020</c:v>
                </c:pt>
                <c:pt idx="3264">
                  <c:v>06/12/2020</c:v>
                </c:pt>
                <c:pt idx="3265">
                  <c:v>06/12/2020</c:v>
                </c:pt>
                <c:pt idx="3266">
                  <c:v>06/12/2020</c:v>
                </c:pt>
                <c:pt idx="3267">
                  <c:v>06/12/2020</c:v>
                </c:pt>
                <c:pt idx="3268">
                  <c:v>06/12/2020</c:v>
                </c:pt>
                <c:pt idx="3269">
                  <c:v>13/12/2020</c:v>
                </c:pt>
                <c:pt idx="3270">
                  <c:v>13/12/2020</c:v>
                </c:pt>
                <c:pt idx="3271">
                  <c:v>13/12/2020</c:v>
                </c:pt>
                <c:pt idx="3272">
                  <c:v>13/12/2020</c:v>
                </c:pt>
                <c:pt idx="3273">
                  <c:v>13/12/2020</c:v>
                </c:pt>
                <c:pt idx="3274">
                  <c:v>13/12/2020</c:v>
                </c:pt>
                <c:pt idx="3275">
                  <c:v>13/12/2020</c:v>
                </c:pt>
                <c:pt idx="3276">
                  <c:v>20/12/2020</c:v>
                </c:pt>
                <c:pt idx="3277">
                  <c:v>20/12/2020</c:v>
                </c:pt>
                <c:pt idx="3278">
                  <c:v>20/12/2020</c:v>
                </c:pt>
                <c:pt idx="3279">
                  <c:v>20/12/2020</c:v>
                </c:pt>
                <c:pt idx="3280">
                  <c:v>20/12/2020</c:v>
                </c:pt>
                <c:pt idx="3281">
                  <c:v>20/12/2020</c:v>
                </c:pt>
                <c:pt idx="3282">
                  <c:v>20/12/2020</c:v>
                </c:pt>
                <c:pt idx="3283">
                  <c:v>27/12/2020</c:v>
                </c:pt>
                <c:pt idx="3284">
                  <c:v>27/12/2020</c:v>
                </c:pt>
                <c:pt idx="3285">
                  <c:v>27/12/2020</c:v>
                </c:pt>
                <c:pt idx="3286">
                  <c:v>27/12/2020</c:v>
                </c:pt>
                <c:pt idx="3287">
                  <c:v>27/12/2020</c:v>
                </c:pt>
                <c:pt idx="3288">
                  <c:v>27/12/2020</c:v>
                </c:pt>
                <c:pt idx="3289">
                  <c:v>27/12/2020</c:v>
                </c:pt>
                <c:pt idx="3290">
                  <c:v>03/01/2021</c:v>
                </c:pt>
                <c:pt idx="3291">
                  <c:v>03/01/2021</c:v>
                </c:pt>
                <c:pt idx="3292">
                  <c:v>03/01/2021</c:v>
                </c:pt>
                <c:pt idx="3293">
                  <c:v>03/01/2021</c:v>
                </c:pt>
                <c:pt idx="3294">
                  <c:v>03/01/2021</c:v>
                </c:pt>
                <c:pt idx="3295">
                  <c:v>03/01/2021</c:v>
                </c:pt>
                <c:pt idx="3296">
                  <c:v>03/01/2021</c:v>
                </c:pt>
                <c:pt idx="3297">
                  <c:v>10/01/2021</c:v>
                </c:pt>
                <c:pt idx="3298">
                  <c:v>10/01/2021</c:v>
                </c:pt>
                <c:pt idx="3299">
                  <c:v>10/01/2021</c:v>
                </c:pt>
                <c:pt idx="3300">
                  <c:v>10/01/2021</c:v>
                </c:pt>
                <c:pt idx="3301">
                  <c:v>10/01/2021</c:v>
                </c:pt>
                <c:pt idx="3302">
                  <c:v>10/01/2021</c:v>
                </c:pt>
                <c:pt idx="3303">
                  <c:v>10/01/2021</c:v>
                </c:pt>
                <c:pt idx="3304">
                  <c:v>17/01/2021</c:v>
                </c:pt>
                <c:pt idx="3305">
                  <c:v>17/01/2021</c:v>
                </c:pt>
                <c:pt idx="3306">
                  <c:v>17/01/2021</c:v>
                </c:pt>
                <c:pt idx="3307">
                  <c:v>17/01/2021</c:v>
                </c:pt>
                <c:pt idx="3308">
                  <c:v>17/01/2021</c:v>
                </c:pt>
                <c:pt idx="3309">
                  <c:v>17/01/2021</c:v>
                </c:pt>
                <c:pt idx="3310">
                  <c:v>17/01/2021</c:v>
                </c:pt>
                <c:pt idx="3311">
                  <c:v>24/01/2021</c:v>
                </c:pt>
                <c:pt idx="3312">
                  <c:v>24/01/2021</c:v>
                </c:pt>
                <c:pt idx="3313">
                  <c:v>24/01/2021</c:v>
                </c:pt>
                <c:pt idx="3314">
                  <c:v>24/01/2021</c:v>
                </c:pt>
                <c:pt idx="3315">
                  <c:v>24/01/2021</c:v>
                </c:pt>
                <c:pt idx="3316">
                  <c:v>24/01/2021</c:v>
                </c:pt>
                <c:pt idx="3317">
                  <c:v>24/01/2021</c:v>
                </c:pt>
                <c:pt idx="3318">
                  <c:v>31/01/2021</c:v>
                </c:pt>
                <c:pt idx="3319">
                  <c:v>31/01/2021</c:v>
                </c:pt>
                <c:pt idx="3320">
                  <c:v>31/01/2021</c:v>
                </c:pt>
                <c:pt idx="3321">
                  <c:v>31/01/2021</c:v>
                </c:pt>
                <c:pt idx="3322">
                  <c:v>31/01/2021</c:v>
                </c:pt>
                <c:pt idx="3323">
                  <c:v>31/01/2021</c:v>
                </c:pt>
                <c:pt idx="3324">
                  <c:v>31/01/2021</c:v>
                </c:pt>
                <c:pt idx="3325">
                  <c:v>07/02/2021</c:v>
                </c:pt>
                <c:pt idx="3326">
                  <c:v>07/02/2021</c:v>
                </c:pt>
                <c:pt idx="3327">
                  <c:v>07/02/2021</c:v>
                </c:pt>
                <c:pt idx="3328">
                  <c:v>07/02/2021</c:v>
                </c:pt>
                <c:pt idx="3329">
                  <c:v>07/02/2021</c:v>
                </c:pt>
                <c:pt idx="3330">
                  <c:v>07/02/2021</c:v>
                </c:pt>
                <c:pt idx="3331">
                  <c:v>07/02/2021</c:v>
                </c:pt>
                <c:pt idx="3332">
                  <c:v>14/02/2021</c:v>
                </c:pt>
                <c:pt idx="3333">
                  <c:v>14/02/2021</c:v>
                </c:pt>
                <c:pt idx="3334">
                  <c:v>14/02/2021</c:v>
                </c:pt>
                <c:pt idx="3335">
                  <c:v>14/02/2021</c:v>
                </c:pt>
                <c:pt idx="3336">
                  <c:v>14/02/2021</c:v>
                </c:pt>
                <c:pt idx="3337">
                  <c:v>14/02/2021</c:v>
                </c:pt>
                <c:pt idx="3338">
                  <c:v>14/02/2021</c:v>
                </c:pt>
                <c:pt idx="3339">
                  <c:v>21/02/2021</c:v>
                </c:pt>
                <c:pt idx="3340">
                  <c:v>21/02/2021</c:v>
                </c:pt>
                <c:pt idx="3341">
                  <c:v>21/02/2021</c:v>
                </c:pt>
                <c:pt idx="3342">
                  <c:v>21/02/2021</c:v>
                </c:pt>
                <c:pt idx="3343">
                  <c:v>21/02/2021</c:v>
                </c:pt>
                <c:pt idx="3344">
                  <c:v>21/02/2021</c:v>
                </c:pt>
                <c:pt idx="3345">
                  <c:v>21/02/2021</c:v>
                </c:pt>
                <c:pt idx="3346">
                  <c:v>28/02/2021</c:v>
                </c:pt>
                <c:pt idx="3347">
                  <c:v>28/02/2021</c:v>
                </c:pt>
                <c:pt idx="3348">
                  <c:v>28/02/2021</c:v>
                </c:pt>
                <c:pt idx="3349">
                  <c:v>28/02/2021</c:v>
                </c:pt>
                <c:pt idx="3350">
                  <c:v>28/02/2021</c:v>
                </c:pt>
                <c:pt idx="3351">
                  <c:v>28/02/2021</c:v>
                </c:pt>
                <c:pt idx="3352">
                  <c:v>28/02/2021</c:v>
                </c:pt>
                <c:pt idx="3353">
                  <c:v>07/03/2021</c:v>
                </c:pt>
                <c:pt idx="3354">
                  <c:v>07/03/2021</c:v>
                </c:pt>
                <c:pt idx="3355">
                  <c:v>07/03/2021</c:v>
                </c:pt>
                <c:pt idx="3356">
                  <c:v>07/03/2021</c:v>
                </c:pt>
                <c:pt idx="3357">
                  <c:v>07/03/2021</c:v>
                </c:pt>
                <c:pt idx="3358">
                  <c:v>07/03/2021</c:v>
                </c:pt>
                <c:pt idx="3359">
                  <c:v>07/03/2021</c:v>
                </c:pt>
                <c:pt idx="3360">
                  <c:v>14/03/2021</c:v>
                </c:pt>
                <c:pt idx="3361">
                  <c:v>14/03/2021</c:v>
                </c:pt>
                <c:pt idx="3362">
                  <c:v>14/03/2021</c:v>
                </c:pt>
                <c:pt idx="3363">
                  <c:v>14/03/2021</c:v>
                </c:pt>
                <c:pt idx="3364">
                  <c:v>14/03/2021</c:v>
                </c:pt>
                <c:pt idx="3365">
                  <c:v>14/03/2021</c:v>
                </c:pt>
                <c:pt idx="3366">
                  <c:v>14/03/2021</c:v>
                </c:pt>
                <c:pt idx="3367">
                  <c:v>21/03/2021</c:v>
                </c:pt>
                <c:pt idx="3368">
                  <c:v>21/03/2021</c:v>
                </c:pt>
                <c:pt idx="3369">
                  <c:v>21/03/2021</c:v>
                </c:pt>
                <c:pt idx="3370">
                  <c:v>21/03/2021</c:v>
                </c:pt>
                <c:pt idx="3371">
                  <c:v>21/03/2021</c:v>
                </c:pt>
                <c:pt idx="3372">
                  <c:v>21/03/2021</c:v>
                </c:pt>
                <c:pt idx="3373">
                  <c:v>21/03/2021</c:v>
                </c:pt>
                <c:pt idx="3374">
                  <c:v>28/03/2021</c:v>
                </c:pt>
                <c:pt idx="3375">
                  <c:v>28/03/2021</c:v>
                </c:pt>
                <c:pt idx="3376">
                  <c:v>28/03/2021</c:v>
                </c:pt>
                <c:pt idx="3377">
                  <c:v>28/03/2021</c:v>
                </c:pt>
                <c:pt idx="3378">
                  <c:v>28/03/2021</c:v>
                </c:pt>
                <c:pt idx="3379">
                  <c:v>28/03/2021</c:v>
                </c:pt>
                <c:pt idx="3380">
                  <c:v>28/03/2021</c:v>
                </c:pt>
                <c:pt idx="3381">
                  <c:v>04/04/2021</c:v>
                </c:pt>
                <c:pt idx="3382">
                  <c:v>04/04/2021</c:v>
                </c:pt>
                <c:pt idx="3383">
                  <c:v>04/04/2021</c:v>
                </c:pt>
                <c:pt idx="3384">
                  <c:v>04/04/2021</c:v>
                </c:pt>
                <c:pt idx="3385">
                  <c:v>04/04/2021</c:v>
                </c:pt>
                <c:pt idx="3386">
                  <c:v>04/04/2021</c:v>
                </c:pt>
                <c:pt idx="3387">
                  <c:v>04/04/2021</c:v>
                </c:pt>
                <c:pt idx="3388">
                  <c:v>11/04/2021</c:v>
                </c:pt>
                <c:pt idx="3389">
                  <c:v>11/04/2021</c:v>
                </c:pt>
                <c:pt idx="3390">
                  <c:v>11/04/2021</c:v>
                </c:pt>
                <c:pt idx="3391">
                  <c:v>11/04/2021</c:v>
                </c:pt>
                <c:pt idx="3392">
                  <c:v>11/04/2021</c:v>
                </c:pt>
                <c:pt idx="3393">
                  <c:v>11/04/2021</c:v>
                </c:pt>
                <c:pt idx="3394">
                  <c:v>11/04/2021</c:v>
                </c:pt>
                <c:pt idx="3395">
                  <c:v>18/04/2021</c:v>
                </c:pt>
                <c:pt idx="3396">
                  <c:v>18/04/2021</c:v>
                </c:pt>
                <c:pt idx="3397">
                  <c:v>18/04/2021</c:v>
                </c:pt>
                <c:pt idx="3398">
                  <c:v>18/04/2021</c:v>
                </c:pt>
                <c:pt idx="3399">
                  <c:v>18/04/2021</c:v>
                </c:pt>
                <c:pt idx="3400">
                  <c:v>18/04/2021</c:v>
                </c:pt>
                <c:pt idx="3401">
                  <c:v>18/04/2021</c:v>
                </c:pt>
                <c:pt idx="3402">
                  <c:v>25/04/2021</c:v>
                </c:pt>
                <c:pt idx="3403">
                  <c:v>25/04/2021</c:v>
                </c:pt>
                <c:pt idx="3404">
                  <c:v>25/04/2021</c:v>
                </c:pt>
                <c:pt idx="3405">
                  <c:v>25/04/2021</c:v>
                </c:pt>
                <c:pt idx="3406">
                  <c:v>25/04/2021</c:v>
                </c:pt>
                <c:pt idx="3407">
                  <c:v>25/04/2021</c:v>
                </c:pt>
                <c:pt idx="3408">
                  <c:v>25/04/2021</c:v>
                </c:pt>
                <c:pt idx="3409">
                  <c:v>02/05/2021</c:v>
                </c:pt>
                <c:pt idx="3410">
                  <c:v>02/05/2021</c:v>
                </c:pt>
                <c:pt idx="3411">
                  <c:v>02/05/2021</c:v>
                </c:pt>
                <c:pt idx="3412">
                  <c:v>02/05/2021</c:v>
                </c:pt>
                <c:pt idx="3413">
                  <c:v>02/05/2021</c:v>
                </c:pt>
                <c:pt idx="3414">
                  <c:v>02/05/2021</c:v>
                </c:pt>
                <c:pt idx="3415">
                  <c:v>02/05/2021</c:v>
                </c:pt>
                <c:pt idx="3416">
                  <c:v>09/05/2021</c:v>
                </c:pt>
                <c:pt idx="3417">
                  <c:v>09/05/2021</c:v>
                </c:pt>
                <c:pt idx="3418">
                  <c:v>09/05/2021</c:v>
                </c:pt>
                <c:pt idx="3419">
                  <c:v>09/05/2021</c:v>
                </c:pt>
                <c:pt idx="3420">
                  <c:v>09/05/2021</c:v>
                </c:pt>
                <c:pt idx="3421">
                  <c:v>09/05/2021</c:v>
                </c:pt>
                <c:pt idx="3422">
                  <c:v>09/05/2021</c:v>
                </c:pt>
                <c:pt idx="3423">
                  <c:v>16/05/2021</c:v>
                </c:pt>
                <c:pt idx="3424">
                  <c:v>16/05/2021</c:v>
                </c:pt>
                <c:pt idx="3425">
                  <c:v>16/05/2021</c:v>
                </c:pt>
                <c:pt idx="3426">
                  <c:v>16/05/2021</c:v>
                </c:pt>
                <c:pt idx="3427">
                  <c:v>16/05/2021</c:v>
                </c:pt>
                <c:pt idx="3428">
                  <c:v>16/05/2021</c:v>
                </c:pt>
                <c:pt idx="3429">
                  <c:v>16/05/2021</c:v>
                </c:pt>
                <c:pt idx="3430">
                  <c:v>23/05/2021</c:v>
                </c:pt>
                <c:pt idx="3431">
                  <c:v>23/05/2021</c:v>
                </c:pt>
                <c:pt idx="3432">
                  <c:v>23/05/2021</c:v>
                </c:pt>
                <c:pt idx="3433">
                  <c:v>23/05/2021</c:v>
                </c:pt>
                <c:pt idx="3434">
                  <c:v>23/05/2021</c:v>
                </c:pt>
                <c:pt idx="3435">
                  <c:v>23/05/2021</c:v>
                </c:pt>
                <c:pt idx="3436">
                  <c:v>23/05/2021</c:v>
                </c:pt>
                <c:pt idx="3437">
                  <c:v>30/05/2021</c:v>
                </c:pt>
                <c:pt idx="3438">
                  <c:v>30/05/2021</c:v>
                </c:pt>
                <c:pt idx="3439">
                  <c:v>30/05/2021</c:v>
                </c:pt>
                <c:pt idx="3440">
                  <c:v>30/05/2021</c:v>
                </c:pt>
                <c:pt idx="3441">
                  <c:v>30/05/2021</c:v>
                </c:pt>
                <c:pt idx="3442">
                  <c:v>30/05/2021</c:v>
                </c:pt>
                <c:pt idx="3443">
                  <c:v>30/05/2021</c:v>
                </c:pt>
                <c:pt idx="3444">
                  <c:v>06/06/2021</c:v>
                </c:pt>
                <c:pt idx="3445">
                  <c:v>06/06/2021</c:v>
                </c:pt>
                <c:pt idx="3446">
                  <c:v>06/06/2021</c:v>
                </c:pt>
                <c:pt idx="3447">
                  <c:v>06/06/2021</c:v>
                </c:pt>
                <c:pt idx="3448">
                  <c:v>06/06/2021</c:v>
                </c:pt>
                <c:pt idx="3449">
                  <c:v>06/06/2021</c:v>
                </c:pt>
                <c:pt idx="3450">
                  <c:v>06/06/2021</c:v>
                </c:pt>
                <c:pt idx="3451">
                  <c:v>13/06/2021</c:v>
                </c:pt>
                <c:pt idx="3452">
                  <c:v>13/06/2021</c:v>
                </c:pt>
                <c:pt idx="3453">
                  <c:v>13/06/2021</c:v>
                </c:pt>
                <c:pt idx="3454">
                  <c:v>13/06/2021</c:v>
                </c:pt>
                <c:pt idx="3455">
                  <c:v>13/06/2021</c:v>
                </c:pt>
                <c:pt idx="3456">
                  <c:v>13/06/2021</c:v>
                </c:pt>
                <c:pt idx="3457">
                  <c:v>13/06/2021</c:v>
                </c:pt>
                <c:pt idx="3458">
                  <c:v>20/06/2021</c:v>
                </c:pt>
                <c:pt idx="3459">
                  <c:v>20/06/2021</c:v>
                </c:pt>
                <c:pt idx="3460">
                  <c:v>20/06/2021</c:v>
                </c:pt>
                <c:pt idx="3461">
                  <c:v>20/06/2021</c:v>
                </c:pt>
                <c:pt idx="3462">
                  <c:v>20/06/2021</c:v>
                </c:pt>
                <c:pt idx="3463">
                  <c:v>20/06/2021</c:v>
                </c:pt>
                <c:pt idx="3464">
                  <c:v>20/06/2021</c:v>
                </c:pt>
                <c:pt idx="3465">
                  <c:v>27/06/2021</c:v>
                </c:pt>
                <c:pt idx="3466">
                  <c:v>27/06/2021</c:v>
                </c:pt>
                <c:pt idx="3467">
                  <c:v>27/06/2021</c:v>
                </c:pt>
                <c:pt idx="3468">
                  <c:v>27/06/2021</c:v>
                </c:pt>
                <c:pt idx="3469">
                  <c:v>27/06/2021</c:v>
                </c:pt>
                <c:pt idx="3470">
                  <c:v>27/06/2021</c:v>
                </c:pt>
                <c:pt idx="3471">
                  <c:v>27/06/2021</c:v>
                </c:pt>
                <c:pt idx="3472">
                  <c:v>04/07/2021</c:v>
                </c:pt>
                <c:pt idx="3473">
                  <c:v>04/07/2021</c:v>
                </c:pt>
                <c:pt idx="3474">
                  <c:v>04/07/2021</c:v>
                </c:pt>
                <c:pt idx="3475">
                  <c:v>04/07/2021</c:v>
                </c:pt>
                <c:pt idx="3476">
                  <c:v>04/07/2021</c:v>
                </c:pt>
                <c:pt idx="3477">
                  <c:v>04/07/2021</c:v>
                </c:pt>
                <c:pt idx="3478">
                  <c:v>04/07/2021</c:v>
                </c:pt>
                <c:pt idx="3479">
                  <c:v>11/07/2021</c:v>
                </c:pt>
                <c:pt idx="3480">
                  <c:v>11/07/2021</c:v>
                </c:pt>
                <c:pt idx="3481">
                  <c:v>11/07/2021</c:v>
                </c:pt>
                <c:pt idx="3482">
                  <c:v>11/07/2021</c:v>
                </c:pt>
                <c:pt idx="3483">
                  <c:v>11/07/2021</c:v>
                </c:pt>
                <c:pt idx="3484">
                  <c:v>11/07/2021</c:v>
                </c:pt>
                <c:pt idx="3485">
                  <c:v>11/07/2021</c:v>
                </c:pt>
                <c:pt idx="3486">
                  <c:v>18/07/2021</c:v>
                </c:pt>
                <c:pt idx="3487">
                  <c:v>18/07/2021</c:v>
                </c:pt>
                <c:pt idx="3488">
                  <c:v>18/07/2021</c:v>
                </c:pt>
                <c:pt idx="3489">
                  <c:v>18/07/2021</c:v>
                </c:pt>
                <c:pt idx="3490">
                  <c:v>18/07/2021</c:v>
                </c:pt>
                <c:pt idx="3491">
                  <c:v>18/07/2021</c:v>
                </c:pt>
                <c:pt idx="3492">
                  <c:v>18/07/2021</c:v>
                </c:pt>
                <c:pt idx="3493">
                  <c:v>25/07/2021</c:v>
                </c:pt>
                <c:pt idx="3494">
                  <c:v>25/07/2021</c:v>
                </c:pt>
                <c:pt idx="3495">
                  <c:v>25/07/2021</c:v>
                </c:pt>
                <c:pt idx="3496">
                  <c:v>25/07/2021</c:v>
                </c:pt>
                <c:pt idx="3497">
                  <c:v>25/07/2021</c:v>
                </c:pt>
                <c:pt idx="3498">
                  <c:v>25/07/2021</c:v>
                </c:pt>
                <c:pt idx="3499">
                  <c:v>25/07/2021</c:v>
                </c:pt>
                <c:pt idx="3500">
                  <c:v>01/08/2021</c:v>
                </c:pt>
                <c:pt idx="3501">
                  <c:v>01/08/2021</c:v>
                </c:pt>
                <c:pt idx="3502">
                  <c:v>01/08/2021</c:v>
                </c:pt>
                <c:pt idx="3503">
                  <c:v>01/08/2021</c:v>
                </c:pt>
                <c:pt idx="3504">
                  <c:v>01/08/2021</c:v>
                </c:pt>
                <c:pt idx="3505">
                  <c:v>01/08/2021</c:v>
                </c:pt>
                <c:pt idx="3506">
                  <c:v>01/08/2021</c:v>
                </c:pt>
                <c:pt idx="3507">
                  <c:v>08/08/2021</c:v>
                </c:pt>
                <c:pt idx="3508">
                  <c:v>08/08/2021</c:v>
                </c:pt>
                <c:pt idx="3509">
                  <c:v>08/08/2021</c:v>
                </c:pt>
                <c:pt idx="3510">
                  <c:v>08/08/2021</c:v>
                </c:pt>
                <c:pt idx="3511">
                  <c:v>08/08/2021</c:v>
                </c:pt>
                <c:pt idx="3512">
                  <c:v>08/08/2021</c:v>
                </c:pt>
                <c:pt idx="3513">
                  <c:v>08/08/2021</c:v>
                </c:pt>
                <c:pt idx="3514">
                  <c:v>15/08/2021</c:v>
                </c:pt>
                <c:pt idx="3515">
                  <c:v>15/08/2021</c:v>
                </c:pt>
                <c:pt idx="3516">
                  <c:v>15/08/2021</c:v>
                </c:pt>
                <c:pt idx="3517">
                  <c:v>15/08/2021</c:v>
                </c:pt>
                <c:pt idx="3518">
                  <c:v>15/08/2021</c:v>
                </c:pt>
                <c:pt idx="3519">
                  <c:v>15/08/2021</c:v>
                </c:pt>
                <c:pt idx="3520">
                  <c:v>15/08/2021</c:v>
                </c:pt>
                <c:pt idx="3521">
                  <c:v>22/08/2021</c:v>
                </c:pt>
                <c:pt idx="3522">
                  <c:v>22/08/2021</c:v>
                </c:pt>
                <c:pt idx="3523">
                  <c:v>22/08/2021</c:v>
                </c:pt>
                <c:pt idx="3524">
                  <c:v>22/08/2021</c:v>
                </c:pt>
                <c:pt idx="3525">
                  <c:v>22/08/2021</c:v>
                </c:pt>
                <c:pt idx="3526">
                  <c:v>22/08/2021</c:v>
                </c:pt>
                <c:pt idx="3527">
                  <c:v>22/08/2021</c:v>
                </c:pt>
                <c:pt idx="3528">
                  <c:v>29/08/2021</c:v>
                </c:pt>
                <c:pt idx="3529">
                  <c:v>29/08/2021</c:v>
                </c:pt>
                <c:pt idx="3530">
                  <c:v>29/08/2021</c:v>
                </c:pt>
                <c:pt idx="3531">
                  <c:v>29/08/2021</c:v>
                </c:pt>
                <c:pt idx="3532">
                  <c:v>29/08/2021</c:v>
                </c:pt>
                <c:pt idx="3533">
                  <c:v>29/08/2021</c:v>
                </c:pt>
                <c:pt idx="3534">
                  <c:v>29/08/2021</c:v>
                </c:pt>
                <c:pt idx="3535">
                  <c:v>05/09/2021</c:v>
                </c:pt>
                <c:pt idx="3536">
                  <c:v>05/09/2021</c:v>
                </c:pt>
                <c:pt idx="3537">
                  <c:v>05/09/2021</c:v>
                </c:pt>
                <c:pt idx="3538">
                  <c:v>05/09/2021</c:v>
                </c:pt>
                <c:pt idx="3539">
                  <c:v>05/09/2021</c:v>
                </c:pt>
                <c:pt idx="3540">
                  <c:v>05/09/2021</c:v>
                </c:pt>
                <c:pt idx="3541">
                  <c:v>05/09/2021</c:v>
                </c:pt>
                <c:pt idx="3542">
                  <c:v>12/09/2021</c:v>
                </c:pt>
                <c:pt idx="3543">
                  <c:v>12/09/2021</c:v>
                </c:pt>
                <c:pt idx="3544">
                  <c:v>12/09/2021</c:v>
                </c:pt>
                <c:pt idx="3545">
                  <c:v>12/09/2021</c:v>
                </c:pt>
                <c:pt idx="3546">
                  <c:v>12/09/2021</c:v>
                </c:pt>
                <c:pt idx="3547">
                  <c:v>12/09/2021</c:v>
                </c:pt>
                <c:pt idx="3548">
                  <c:v>12/09/2021</c:v>
                </c:pt>
                <c:pt idx="3549">
                  <c:v>19/09/2021</c:v>
                </c:pt>
                <c:pt idx="3550">
                  <c:v>19/09/2021</c:v>
                </c:pt>
                <c:pt idx="3551">
                  <c:v>19/09/2021</c:v>
                </c:pt>
                <c:pt idx="3552">
                  <c:v>19/09/2021</c:v>
                </c:pt>
                <c:pt idx="3553">
                  <c:v>19/09/2021</c:v>
                </c:pt>
                <c:pt idx="3554">
                  <c:v>19/09/2021</c:v>
                </c:pt>
                <c:pt idx="3555">
                  <c:v>19/09/2021</c:v>
                </c:pt>
                <c:pt idx="3556">
                  <c:v>26/09/2021</c:v>
                </c:pt>
                <c:pt idx="3557">
                  <c:v>26/09/2021</c:v>
                </c:pt>
                <c:pt idx="3558">
                  <c:v>26/09/2021</c:v>
                </c:pt>
                <c:pt idx="3559">
                  <c:v>26/09/2021</c:v>
                </c:pt>
                <c:pt idx="3560">
                  <c:v>26/09/2021</c:v>
                </c:pt>
                <c:pt idx="3561">
                  <c:v>26/09/2021</c:v>
                </c:pt>
                <c:pt idx="3562">
                  <c:v>26/09/2021</c:v>
                </c:pt>
                <c:pt idx="3563">
                  <c:v>03/10/2021</c:v>
                </c:pt>
                <c:pt idx="3564">
                  <c:v>03/10/2021</c:v>
                </c:pt>
                <c:pt idx="3565">
                  <c:v>03/10/2021</c:v>
                </c:pt>
                <c:pt idx="3566">
                  <c:v>03/10/2021</c:v>
                </c:pt>
                <c:pt idx="3567">
                  <c:v>03/10/2021</c:v>
                </c:pt>
                <c:pt idx="3568">
                  <c:v>03/10/2021</c:v>
                </c:pt>
                <c:pt idx="3569">
                  <c:v>03/10/2021</c:v>
                </c:pt>
                <c:pt idx="3570">
                  <c:v>10/10/2021</c:v>
                </c:pt>
                <c:pt idx="3571">
                  <c:v>10/10/2021</c:v>
                </c:pt>
                <c:pt idx="3572">
                  <c:v>10/10/2021</c:v>
                </c:pt>
                <c:pt idx="3573">
                  <c:v>10/10/2021</c:v>
                </c:pt>
                <c:pt idx="3574">
                  <c:v>10/10/2021</c:v>
                </c:pt>
                <c:pt idx="3575">
                  <c:v>10/10/2021</c:v>
                </c:pt>
                <c:pt idx="3576">
                  <c:v>10/10/2021</c:v>
                </c:pt>
                <c:pt idx="3577">
                  <c:v>17/10/2021</c:v>
                </c:pt>
                <c:pt idx="3578">
                  <c:v>17/10/2021</c:v>
                </c:pt>
                <c:pt idx="3579">
                  <c:v>17/10/2021</c:v>
                </c:pt>
                <c:pt idx="3580">
                  <c:v>17/10/2021</c:v>
                </c:pt>
                <c:pt idx="3581">
                  <c:v>17/10/2021</c:v>
                </c:pt>
                <c:pt idx="3582">
                  <c:v>17/10/2021</c:v>
                </c:pt>
                <c:pt idx="3583">
                  <c:v>17/10/2021</c:v>
                </c:pt>
                <c:pt idx="3584">
                  <c:v>24/10/2021</c:v>
                </c:pt>
                <c:pt idx="3585">
                  <c:v>24/10/2021</c:v>
                </c:pt>
                <c:pt idx="3586">
                  <c:v>24/10/2021</c:v>
                </c:pt>
                <c:pt idx="3587">
                  <c:v>24/10/2021</c:v>
                </c:pt>
                <c:pt idx="3588">
                  <c:v>24/10/2021</c:v>
                </c:pt>
                <c:pt idx="3589">
                  <c:v>24/10/2021</c:v>
                </c:pt>
                <c:pt idx="3590">
                  <c:v>24/10/2021</c:v>
                </c:pt>
                <c:pt idx="3591">
                  <c:v>31/10/2021</c:v>
                </c:pt>
                <c:pt idx="3592">
                  <c:v>31/10/2021</c:v>
                </c:pt>
                <c:pt idx="3593">
                  <c:v>31/10/2021</c:v>
                </c:pt>
                <c:pt idx="3594">
                  <c:v>31/10/2021</c:v>
                </c:pt>
                <c:pt idx="3595">
                  <c:v>31/10/2021</c:v>
                </c:pt>
                <c:pt idx="3596">
                  <c:v>31/10/2021</c:v>
                </c:pt>
                <c:pt idx="3597">
                  <c:v>31/10/2021</c:v>
                </c:pt>
                <c:pt idx="3598">
                  <c:v>07/11/2021</c:v>
                </c:pt>
                <c:pt idx="3599">
                  <c:v>07/11/2021</c:v>
                </c:pt>
                <c:pt idx="3600">
                  <c:v>07/11/2021</c:v>
                </c:pt>
                <c:pt idx="3601">
                  <c:v>07/11/2021</c:v>
                </c:pt>
                <c:pt idx="3602">
                  <c:v>07/11/2021</c:v>
                </c:pt>
                <c:pt idx="3603">
                  <c:v>07/11/2021</c:v>
                </c:pt>
                <c:pt idx="3604">
                  <c:v>07/11/2021</c:v>
                </c:pt>
                <c:pt idx="3605">
                  <c:v>14/11/2021</c:v>
                </c:pt>
                <c:pt idx="3606">
                  <c:v>14/11/2021</c:v>
                </c:pt>
                <c:pt idx="3607">
                  <c:v>14/11/2021</c:v>
                </c:pt>
                <c:pt idx="3608">
                  <c:v>14/11/2021</c:v>
                </c:pt>
                <c:pt idx="3609">
                  <c:v>14/11/2021</c:v>
                </c:pt>
                <c:pt idx="3610">
                  <c:v>14/11/2021</c:v>
                </c:pt>
                <c:pt idx="3611">
                  <c:v>14/11/2021</c:v>
                </c:pt>
                <c:pt idx="3612">
                  <c:v>21/11/2021</c:v>
                </c:pt>
                <c:pt idx="3613">
                  <c:v>21/11/2021</c:v>
                </c:pt>
                <c:pt idx="3614">
                  <c:v>21/11/2021</c:v>
                </c:pt>
                <c:pt idx="3615">
                  <c:v>21/11/2021</c:v>
                </c:pt>
                <c:pt idx="3616">
                  <c:v>21/11/2021</c:v>
                </c:pt>
                <c:pt idx="3617">
                  <c:v>21/11/2021</c:v>
                </c:pt>
                <c:pt idx="3618">
                  <c:v>21/11/2021</c:v>
                </c:pt>
                <c:pt idx="3619">
                  <c:v>28/11/2021</c:v>
                </c:pt>
                <c:pt idx="3620">
                  <c:v>28/11/2021</c:v>
                </c:pt>
                <c:pt idx="3621">
                  <c:v>28/11/2021</c:v>
                </c:pt>
                <c:pt idx="3622">
                  <c:v>28/11/2021</c:v>
                </c:pt>
                <c:pt idx="3623">
                  <c:v>28/11/2021</c:v>
                </c:pt>
                <c:pt idx="3624">
                  <c:v>28/11/2021</c:v>
                </c:pt>
                <c:pt idx="3625">
                  <c:v>28/11/2021</c:v>
                </c:pt>
                <c:pt idx="3626">
                  <c:v>05/12/2021</c:v>
                </c:pt>
                <c:pt idx="3627">
                  <c:v>05/12/2021</c:v>
                </c:pt>
                <c:pt idx="3628">
                  <c:v>05/12/2021</c:v>
                </c:pt>
                <c:pt idx="3629">
                  <c:v>05/12/2021</c:v>
                </c:pt>
                <c:pt idx="3630">
                  <c:v>05/12/2021</c:v>
                </c:pt>
                <c:pt idx="3631">
                  <c:v>05/12/2021</c:v>
                </c:pt>
                <c:pt idx="3632">
                  <c:v>05/12/2021</c:v>
                </c:pt>
                <c:pt idx="3633">
                  <c:v>12/12/2021</c:v>
                </c:pt>
                <c:pt idx="3634">
                  <c:v>12/12/2021</c:v>
                </c:pt>
                <c:pt idx="3635">
                  <c:v>12/12/2021</c:v>
                </c:pt>
                <c:pt idx="3636">
                  <c:v>12/12/2021</c:v>
                </c:pt>
                <c:pt idx="3637">
                  <c:v>12/12/2021</c:v>
                </c:pt>
                <c:pt idx="3638">
                  <c:v>12/12/2021</c:v>
                </c:pt>
                <c:pt idx="3639">
                  <c:v>12/12/2021</c:v>
                </c:pt>
                <c:pt idx="3640">
                  <c:v>19/12/2021</c:v>
                </c:pt>
                <c:pt idx="3641">
                  <c:v>19/12/2021</c:v>
                </c:pt>
                <c:pt idx="3642">
                  <c:v>19/12/2021</c:v>
                </c:pt>
                <c:pt idx="3643">
                  <c:v>19/12/2021</c:v>
                </c:pt>
                <c:pt idx="3644">
                  <c:v>19/12/2021</c:v>
                </c:pt>
                <c:pt idx="3645">
                  <c:v>19/12/2021</c:v>
                </c:pt>
                <c:pt idx="3646">
                  <c:v>19/12/2021</c:v>
                </c:pt>
                <c:pt idx="3647">
                  <c:v>26/12/2021</c:v>
                </c:pt>
                <c:pt idx="3648">
                  <c:v>26/12/2021</c:v>
                </c:pt>
                <c:pt idx="3649">
                  <c:v>26/12/2021</c:v>
                </c:pt>
                <c:pt idx="3650">
                  <c:v>26/12/2021</c:v>
                </c:pt>
                <c:pt idx="3651">
                  <c:v>26/12/2021</c:v>
                </c:pt>
                <c:pt idx="3652">
                  <c:v>26/12/2021</c:v>
                </c:pt>
                <c:pt idx="3653">
                  <c:v>26/12/2021</c:v>
                </c:pt>
                <c:pt idx="3654">
                  <c:v>02/01/2022</c:v>
                </c:pt>
                <c:pt idx="3655">
                  <c:v>02/01/2022</c:v>
                </c:pt>
                <c:pt idx="3656">
                  <c:v>02/01/2022</c:v>
                </c:pt>
                <c:pt idx="3657">
                  <c:v>02/01/2022</c:v>
                </c:pt>
                <c:pt idx="3658">
                  <c:v>02/01/2022</c:v>
                </c:pt>
                <c:pt idx="3659">
                  <c:v>02/01/2022</c:v>
                </c:pt>
                <c:pt idx="3660">
                  <c:v>02/01/2022</c:v>
                </c:pt>
                <c:pt idx="3661">
                  <c:v>09/01/2022</c:v>
                </c:pt>
                <c:pt idx="3662">
                  <c:v>09/01/2022</c:v>
                </c:pt>
                <c:pt idx="3663">
                  <c:v>09/01/2022</c:v>
                </c:pt>
                <c:pt idx="3664">
                  <c:v>09/01/2022</c:v>
                </c:pt>
                <c:pt idx="3665">
                  <c:v>09/01/2022</c:v>
                </c:pt>
                <c:pt idx="3666">
                  <c:v>09/01/2022</c:v>
                </c:pt>
                <c:pt idx="3667">
                  <c:v>09/01/2022</c:v>
                </c:pt>
                <c:pt idx="3668">
                  <c:v>16/01/2022</c:v>
                </c:pt>
                <c:pt idx="3669">
                  <c:v>16/01/2022</c:v>
                </c:pt>
                <c:pt idx="3670">
                  <c:v>16/01/2022</c:v>
                </c:pt>
                <c:pt idx="3671">
                  <c:v>16/01/2022</c:v>
                </c:pt>
                <c:pt idx="3672">
                  <c:v>16/01/2022</c:v>
                </c:pt>
                <c:pt idx="3673">
                  <c:v>16/01/2022</c:v>
                </c:pt>
                <c:pt idx="3674">
                  <c:v>16/01/2022</c:v>
                </c:pt>
                <c:pt idx="3675">
                  <c:v>23/01/2022</c:v>
                </c:pt>
                <c:pt idx="3676">
                  <c:v>23/01/2022</c:v>
                </c:pt>
                <c:pt idx="3677">
                  <c:v>23/01/2022</c:v>
                </c:pt>
                <c:pt idx="3678">
                  <c:v>23/01/2022</c:v>
                </c:pt>
                <c:pt idx="3679">
                  <c:v>23/01/2022</c:v>
                </c:pt>
                <c:pt idx="3680">
                  <c:v>23/01/2022</c:v>
                </c:pt>
                <c:pt idx="3681">
                  <c:v>23/01/2022</c:v>
                </c:pt>
                <c:pt idx="3682">
                  <c:v>30/01/2022</c:v>
                </c:pt>
                <c:pt idx="3683">
                  <c:v>30/01/2022</c:v>
                </c:pt>
                <c:pt idx="3684">
                  <c:v>30/01/2022</c:v>
                </c:pt>
                <c:pt idx="3685">
                  <c:v>30/01/2022</c:v>
                </c:pt>
                <c:pt idx="3686">
                  <c:v>30/01/2022</c:v>
                </c:pt>
                <c:pt idx="3687">
                  <c:v>30/01/2022</c:v>
                </c:pt>
                <c:pt idx="3688">
                  <c:v>30/01/2022</c:v>
                </c:pt>
                <c:pt idx="3689">
                  <c:v>06/02/2022</c:v>
                </c:pt>
                <c:pt idx="3690">
                  <c:v>06/02/2022</c:v>
                </c:pt>
                <c:pt idx="3691">
                  <c:v>06/02/2022</c:v>
                </c:pt>
                <c:pt idx="3692">
                  <c:v>06/02/2022</c:v>
                </c:pt>
                <c:pt idx="3693">
                  <c:v>06/02/2022</c:v>
                </c:pt>
                <c:pt idx="3694">
                  <c:v>06/02/2022</c:v>
                </c:pt>
                <c:pt idx="3695">
                  <c:v>06/02/2022</c:v>
                </c:pt>
                <c:pt idx="3696">
                  <c:v>13/02/2022</c:v>
                </c:pt>
                <c:pt idx="3697">
                  <c:v>13/02/2022</c:v>
                </c:pt>
                <c:pt idx="3698">
                  <c:v>13/02/2022</c:v>
                </c:pt>
                <c:pt idx="3699">
                  <c:v>13/02/2022</c:v>
                </c:pt>
                <c:pt idx="3700">
                  <c:v>13/02/2022</c:v>
                </c:pt>
                <c:pt idx="3701">
                  <c:v>13/02/2022</c:v>
                </c:pt>
                <c:pt idx="3702">
                  <c:v>13/02/2022</c:v>
                </c:pt>
                <c:pt idx="3703">
                  <c:v>20/02/2022</c:v>
                </c:pt>
                <c:pt idx="3704">
                  <c:v>20/02/2022</c:v>
                </c:pt>
                <c:pt idx="3705">
                  <c:v>20/02/2022</c:v>
                </c:pt>
                <c:pt idx="3706">
                  <c:v>20/02/2022</c:v>
                </c:pt>
                <c:pt idx="3707">
                  <c:v>20/02/2022</c:v>
                </c:pt>
                <c:pt idx="3708">
                  <c:v>20/02/2022</c:v>
                </c:pt>
                <c:pt idx="3709">
                  <c:v>20/02/2022</c:v>
                </c:pt>
                <c:pt idx="3710">
                  <c:v>27/02/2022</c:v>
                </c:pt>
                <c:pt idx="3711">
                  <c:v>27/02/2022</c:v>
                </c:pt>
                <c:pt idx="3712">
                  <c:v>27/02/2022</c:v>
                </c:pt>
                <c:pt idx="3713">
                  <c:v>27/02/2022</c:v>
                </c:pt>
                <c:pt idx="3714">
                  <c:v>27/02/2022</c:v>
                </c:pt>
                <c:pt idx="3715">
                  <c:v>27/02/2022</c:v>
                </c:pt>
                <c:pt idx="3716">
                  <c:v>27/02/2022</c:v>
                </c:pt>
                <c:pt idx="3717">
                  <c:v>06/03/2022</c:v>
                </c:pt>
                <c:pt idx="3718">
                  <c:v>06/03/2022</c:v>
                </c:pt>
                <c:pt idx="3719">
                  <c:v>06/03/2022</c:v>
                </c:pt>
                <c:pt idx="3720">
                  <c:v>06/03/2022</c:v>
                </c:pt>
                <c:pt idx="3721">
                  <c:v>06/03/2022</c:v>
                </c:pt>
                <c:pt idx="3722">
                  <c:v>06/03/2022</c:v>
                </c:pt>
                <c:pt idx="3723">
                  <c:v>06/03/2022</c:v>
                </c:pt>
                <c:pt idx="3724">
                  <c:v>13/03/2022</c:v>
                </c:pt>
                <c:pt idx="3725">
                  <c:v>13/03/2022</c:v>
                </c:pt>
                <c:pt idx="3726">
                  <c:v>13/03/2022</c:v>
                </c:pt>
                <c:pt idx="3727">
                  <c:v>13/03/2022</c:v>
                </c:pt>
                <c:pt idx="3728">
                  <c:v>13/03/2022</c:v>
                </c:pt>
                <c:pt idx="3729">
                  <c:v>13/03/2022</c:v>
                </c:pt>
                <c:pt idx="3730">
                  <c:v>13/03/2022</c:v>
                </c:pt>
                <c:pt idx="3731">
                  <c:v>20/03/2022</c:v>
                </c:pt>
                <c:pt idx="3732">
                  <c:v>20/03/2022</c:v>
                </c:pt>
                <c:pt idx="3733">
                  <c:v>20/03/2022</c:v>
                </c:pt>
                <c:pt idx="3734">
                  <c:v>20/03/2022</c:v>
                </c:pt>
                <c:pt idx="3735">
                  <c:v>20/03/2022</c:v>
                </c:pt>
                <c:pt idx="3736">
                  <c:v>20/03/2022</c:v>
                </c:pt>
                <c:pt idx="3737">
                  <c:v>20/03/2022</c:v>
                </c:pt>
                <c:pt idx="3738">
                  <c:v>27/03/2022</c:v>
                </c:pt>
                <c:pt idx="3739">
                  <c:v>27/03/2022</c:v>
                </c:pt>
                <c:pt idx="3740">
                  <c:v>27/03/2022</c:v>
                </c:pt>
                <c:pt idx="3741">
                  <c:v>27/03/2022</c:v>
                </c:pt>
                <c:pt idx="3742">
                  <c:v>27/03/2022</c:v>
                </c:pt>
                <c:pt idx="3743">
                  <c:v>27/03/2022</c:v>
                </c:pt>
                <c:pt idx="3744">
                  <c:v>27/03/2022</c:v>
                </c:pt>
                <c:pt idx="3745">
                  <c:v>03/04/2022</c:v>
                </c:pt>
                <c:pt idx="3746">
                  <c:v>03/04/2022</c:v>
                </c:pt>
                <c:pt idx="3747">
                  <c:v>03/04/2022</c:v>
                </c:pt>
                <c:pt idx="3748">
                  <c:v>03/04/2022</c:v>
                </c:pt>
                <c:pt idx="3749">
                  <c:v>03/04/2022</c:v>
                </c:pt>
                <c:pt idx="3750">
                  <c:v>03/04/2022</c:v>
                </c:pt>
                <c:pt idx="3751">
                  <c:v>03/04/2022</c:v>
                </c:pt>
                <c:pt idx="3752">
                  <c:v>10/04/2022</c:v>
                </c:pt>
                <c:pt idx="3753">
                  <c:v>10/04/2022</c:v>
                </c:pt>
                <c:pt idx="3754">
                  <c:v>10/04/2022</c:v>
                </c:pt>
                <c:pt idx="3755">
                  <c:v>10/04/2022</c:v>
                </c:pt>
                <c:pt idx="3756">
                  <c:v>10/04/2022</c:v>
                </c:pt>
                <c:pt idx="3757">
                  <c:v>10/04/2022</c:v>
                </c:pt>
                <c:pt idx="3758">
                  <c:v>10/04/2022</c:v>
                </c:pt>
                <c:pt idx="3759">
                  <c:v>17/04/2022</c:v>
                </c:pt>
                <c:pt idx="3760">
                  <c:v>17/04/2022</c:v>
                </c:pt>
                <c:pt idx="3761">
                  <c:v>17/04/2022</c:v>
                </c:pt>
                <c:pt idx="3762">
                  <c:v>17/04/2022</c:v>
                </c:pt>
                <c:pt idx="3763">
                  <c:v>17/04/2022</c:v>
                </c:pt>
                <c:pt idx="3764">
                  <c:v>17/04/2022</c:v>
                </c:pt>
                <c:pt idx="3765">
                  <c:v>17/04/2022</c:v>
                </c:pt>
                <c:pt idx="3766">
                  <c:v>24/04/2022</c:v>
                </c:pt>
                <c:pt idx="3767">
                  <c:v>24/04/2022</c:v>
                </c:pt>
                <c:pt idx="3768">
                  <c:v>24/04/2022</c:v>
                </c:pt>
                <c:pt idx="3769">
                  <c:v>24/04/2022</c:v>
                </c:pt>
                <c:pt idx="3770">
                  <c:v>24/04/2022</c:v>
                </c:pt>
                <c:pt idx="3771">
                  <c:v>24/04/2022</c:v>
                </c:pt>
                <c:pt idx="3772">
                  <c:v>24/04/2022</c:v>
                </c:pt>
                <c:pt idx="3773">
                  <c:v>01/05/2022</c:v>
                </c:pt>
                <c:pt idx="3774">
                  <c:v>01/05/2022</c:v>
                </c:pt>
                <c:pt idx="3775">
                  <c:v>01/05/2022</c:v>
                </c:pt>
                <c:pt idx="3776">
                  <c:v>01/05/2022</c:v>
                </c:pt>
                <c:pt idx="3777">
                  <c:v>01/05/2022</c:v>
                </c:pt>
                <c:pt idx="3778">
                  <c:v>01/05/2022</c:v>
                </c:pt>
                <c:pt idx="3779">
                  <c:v>01/05/2022</c:v>
                </c:pt>
                <c:pt idx="3780">
                  <c:v>08/05/2022</c:v>
                </c:pt>
                <c:pt idx="3781">
                  <c:v>08/05/2022</c:v>
                </c:pt>
                <c:pt idx="3782">
                  <c:v>08/05/2022</c:v>
                </c:pt>
                <c:pt idx="3783">
                  <c:v>08/05/2022</c:v>
                </c:pt>
                <c:pt idx="3784">
                  <c:v>08/05/2022</c:v>
                </c:pt>
                <c:pt idx="3785">
                  <c:v>08/05/2022</c:v>
                </c:pt>
                <c:pt idx="3786">
                  <c:v>08/05/2022</c:v>
                </c:pt>
                <c:pt idx="3787">
                  <c:v>15/05/2022</c:v>
                </c:pt>
                <c:pt idx="3788">
                  <c:v>15/05/2022</c:v>
                </c:pt>
                <c:pt idx="3789">
                  <c:v>15/05/2022</c:v>
                </c:pt>
                <c:pt idx="3790">
                  <c:v>15/05/2022</c:v>
                </c:pt>
                <c:pt idx="3791">
                  <c:v>15/05/2022</c:v>
                </c:pt>
                <c:pt idx="3792">
                  <c:v>15/05/2022</c:v>
                </c:pt>
                <c:pt idx="3793">
                  <c:v>15/05/2022</c:v>
                </c:pt>
                <c:pt idx="3794">
                  <c:v>22/05/2022</c:v>
                </c:pt>
                <c:pt idx="3795">
                  <c:v>22/05/2022</c:v>
                </c:pt>
                <c:pt idx="3796">
                  <c:v>22/05/2022</c:v>
                </c:pt>
                <c:pt idx="3797">
                  <c:v>22/05/2022</c:v>
                </c:pt>
                <c:pt idx="3798">
                  <c:v>22/05/2022</c:v>
                </c:pt>
                <c:pt idx="3799">
                  <c:v>22/05/2022</c:v>
                </c:pt>
                <c:pt idx="3800">
                  <c:v>22/05/2022</c:v>
                </c:pt>
                <c:pt idx="3801">
                  <c:v>29/05/2022</c:v>
                </c:pt>
                <c:pt idx="3802">
                  <c:v>29/05/2022</c:v>
                </c:pt>
                <c:pt idx="3803">
                  <c:v>29/05/2022</c:v>
                </c:pt>
                <c:pt idx="3804">
                  <c:v>29/05/2022</c:v>
                </c:pt>
                <c:pt idx="3805">
                  <c:v>29/05/2022</c:v>
                </c:pt>
                <c:pt idx="3806">
                  <c:v>29/05/2022</c:v>
                </c:pt>
                <c:pt idx="3807">
                  <c:v>29/05/2022</c:v>
                </c:pt>
                <c:pt idx="3808">
                  <c:v>05/06/2022</c:v>
                </c:pt>
                <c:pt idx="3809">
                  <c:v>05/06/2022</c:v>
                </c:pt>
                <c:pt idx="3810">
                  <c:v>05/06/2022</c:v>
                </c:pt>
                <c:pt idx="3811">
                  <c:v>05/06/2022</c:v>
                </c:pt>
                <c:pt idx="3812">
                  <c:v>05/06/2022</c:v>
                </c:pt>
                <c:pt idx="3813">
                  <c:v>05/06/2022</c:v>
                </c:pt>
                <c:pt idx="3814">
                  <c:v>05/06/2022</c:v>
                </c:pt>
                <c:pt idx="3815">
                  <c:v>12/06/2022</c:v>
                </c:pt>
                <c:pt idx="3816">
                  <c:v>12/06/2022</c:v>
                </c:pt>
                <c:pt idx="3817">
                  <c:v>12/06/2022</c:v>
                </c:pt>
                <c:pt idx="3818">
                  <c:v>12/06/2022</c:v>
                </c:pt>
                <c:pt idx="3819">
                  <c:v>12/06/2022</c:v>
                </c:pt>
                <c:pt idx="3820">
                  <c:v>12/06/2022</c:v>
                </c:pt>
                <c:pt idx="3821">
                  <c:v>12/06/2022</c:v>
                </c:pt>
                <c:pt idx="3822">
                  <c:v>19/06/2022</c:v>
                </c:pt>
                <c:pt idx="3823">
                  <c:v>19/06/2022</c:v>
                </c:pt>
                <c:pt idx="3824">
                  <c:v>19/06/2022</c:v>
                </c:pt>
                <c:pt idx="3825">
                  <c:v>19/06/2022</c:v>
                </c:pt>
                <c:pt idx="3826">
                  <c:v>19/06/2022</c:v>
                </c:pt>
                <c:pt idx="3827">
                  <c:v>19/06/2022</c:v>
                </c:pt>
                <c:pt idx="3828">
                  <c:v>19/06/2022</c:v>
                </c:pt>
                <c:pt idx="3829">
                  <c:v>26/06/2022</c:v>
                </c:pt>
                <c:pt idx="3830">
                  <c:v>26/06/2022</c:v>
                </c:pt>
                <c:pt idx="3831">
                  <c:v>26/06/2022</c:v>
                </c:pt>
                <c:pt idx="3832">
                  <c:v>26/06/2022</c:v>
                </c:pt>
                <c:pt idx="3833">
                  <c:v>26/06/2022</c:v>
                </c:pt>
                <c:pt idx="3834">
                  <c:v>26/06/2022</c:v>
                </c:pt>
                <c:pt idx="3835">
                  <c:v>26/06/2022</c:v>
                </c:pt>
                <c:pt idx="3836">
                  <c:v>03/07/2022</c:v>
                </c:pt>
                <c:pt idx="3837">
                  <c:v>03/07/2022</c:v>
                </c:pt>
                <c:pt idx="3838">
                  <c:v>03/07/2022</c:v>
                </c:pt>
                <c:pt idx="3839">
                  <c:v>03/07/2022</c:v>
                </c:pt>
                <c:pt idx="3840">
                  <c:v>03/07/2022</c:v>
                </c:pt>
                <c:pt idx="3841">
                  <c:v>03/07/2022</c:v>
                </c:pt>
                <c:pt idx="3842">
                  <c:v>03/07/2022</c:v>
                </c:pt>
                <c:pt idx="3843">
                  <c:v>10/07/2022</c:v>
                </c:pt>
                <c:pt idx="3844">
                  <c:v>10/07/2022</c:v>
                </c:pt>
                <c:pt idx="3845">
                  <c:v>10/07/2022</c:v>
                </c:pt>
                <c:pt idx="3846">
                  <c:v>10/07/2022</c:v>
                </c:pt>
                <c:pt idx="3847">
                  <c:v>10/07/2022</c:v>
                </c:pt>
                <c:pt idx="3848">
                  <c:v>10/07/2022</c:v>
                </c:pt>
                <c:pt idx="3849">
                  <c:v>10/07/2022</c:v>
                </c:pt>
                <c:pt idx="3850">
                  <c:v>17/07/2022</c:v>
                </c:pt>
                <c:pt idx="3851">
                  <c:v>17/07/2022</c:v>
                </c:pt>
                <c:pt idx="3852">
                  <c:v>17/07/2022</c:v>
                </c:pt>
                <c:pt idx="3853">
                  <c:v>17/07/2022</c:v>
                </c:pt>
                <c:pt idx="3854">
                  <c:v>17/07/2022</c:v>
                </c:pt>
                <c:pt idx="3855">
                  <c:v>17/07/2022</c:v>
                </c:pt>
                <c:pt idx="3856">
                  <c:v>17/07/2022</c:v>
                </c:pt>
                <c:pt idx="3857">
                  <c:v>24/07/2022</c:v>
                </c:pt>
                <c:pt idx="3858">
                  <c:v>24/07/2022</c:v>
                </c:pt>
                <c:pt idx="3859">
                  <c:v>24/07/2022</c:v>
                </c:pt>
                <c:pt idx="3860">
                  <c:v>24/07/2022</c:v>
                </c:pt>
                <c:pt idx="3861">
                  <c:v>24/07/2022</c:v>
                </c:pt>
                <c:pt idx="3862">
                  <c:v>24/07/2022</c:v>
                </c:pt>
                <c:pt idx="3863">
                  <c:v>24/07/2022</c:v>
                </c:pt>
                <c:pt idx="3864">
                  <c:v>31/07/2022</c:v>
                </c:pt>
                <c:pt idx="3865">
                  <c:v>31/07/2022</c:v>
                </c:pt>
                <c:pt idx="3866">
                  <c:v>31/07/2022</c:v>
                </c:pt>
                <c:pt idx="3867">
                  <c:v>31/07/2022</c:v>
                </c:pt>
                <c:pt idx="3868">
                  <c:v>31/07/2022</c:v>
                </c:pt>
                <c:pt idx="3869">
                  <c:v>31/07/2022</c:v>
                </c:pt>
                <c:pt idx="3870">
                  <c:v>31/07/2022</c:v>
                </c:pt>
                <c:pt idx="3871">
                  <c:v>07/08/2022</c:v>
                </c:pt>
                <c:pt idx="3872">
                  <c:v>07/08/2022</c:v>
                </c:pt>
                <c:pt idx="3873">
                  <c:v>07/08/2022</c:v>
                </c:pt>
                <c:pt idx="3874">
                  <c:v>07/08/2022</c:v>
                </c:pt>
                <c:pt idx="3875">
                  <c:v>07/08/2022</c:v>
                </c:pt>
                <c:pt idx="3876">
                  <c:v>07/08/2022</c:v>
                </c:pt>
                <c:pt idx="3877">
                  <c:v>07/08/2022</c:v>
                </c:pt>
                <c:pt idx="3878">
                  <c:v>14/08/2022</c:v>
                </c:pt>
                <c:pt idx="3879">
                  <c:v>14/08/2022</c:v>
                </c:pt>
                <c:pt idx="3880">
                  <c:v>14/08/2022</c:v>
                </c:pt>
                <c:pt idx="3881">
                  <c:v>14/08/2022</c:v>
                </c:pt>
                <c:pt idx="3882">
                  <c:v>14/08/2022</c:v>
                </c:pt>
                <c:pt idx="3883">
                  <c:v>14/08/2022</c:v>
                </c:pt>
                <c:pt idx="3884">
                  <c:v>14/08/2022</c:v>
                </c:pt>
                <c:pt idx="3885">
                  <c:v>21/08/2022</c:v>
                </c:pt>
                <c:pt idx="3886">
                  <c:v>21/08/2022</c:v>
                </c:pt>
                <c:pt idx="3887">
                  <c:v>21/08/2022</c:v>
                </c:pt>
                <c:pt idx="3888">
                  <c:v>21/08/2022</c:v>
                </c:pt>
                <c:pt idx="3889">
                  <c:v>21/08/2022</c:v>
                </c:pt>
                <c:pt idx="3890">
                  <c:v>21/08/2022</c:v>
                </c:pt>
                <c:pt idx="3891">
                  <c:v>21/08/2022</c:v>
                </c:pt>
                <c:pt idx="3892">
                  <c:v>28/08/2022</c:v>
                </c:pt>
                <c:pt idx="3893">
                  <c:v>28/08/2022</c:v>
                </c:pt>
                <c:pt idx="3894">
                  <c:v>28/08/2022</c:v>
                </c:pt>
                <c:pt idx="3895">
                  <c:v>28/08/2022</c:v>
                </c:pt>
                <c:pt idx="3896">
                  <c:v>28/08/2022</c:v>
                </c:pt>
                <c:pt idx="3897">
                  <c:v>28/08/2022</c:v>
                </c:pt>
                <c:pt idx="3898">
                  <c:v>28/08/2022</c:v>
                </c:pt>
                <c:pt idx="3899">
                  <c:v>04/09/2022</c:v>
                </c:pt>
                <c:pt idx="3900">
                  <c:v>04/09/2022</c:v>
                </c:pt>
                <c:pt idx="3901">
                  <c:v>04/09/2022</c:v>
                </c:pt>
                <c:pt idx="3902">
                  <c:v>04/09/2022</c:v>
                </c:pt>
                <c:pt idx="3903">
                  <c:v>04/09/2022</c:v>
                </c:pt>
                <c:pt idx="3904">
                  <c:v>04/09/2022</c:v>
                </c:pt>
                <c:pt idx="3905">
                  <c:v>04/09/2022</c:v>
                </c:pt>
                <c:pt idx="3906">
                  <c:v>11/09/2022</c:v>
                </c:pt>
                <c:pt idx="3907">
                  <c:v>11/09/2022</c:v>
                </c:pt>
                <c:pt idx="3908">
                  <c:v>11/09/2022</c:v>
                </c:pt>
                <c:pt idx="3909">
                  <c:v>11/09/2022</c:v>
                </c:pt>
                <c:pt idx="3910">
                  <c:v>11/09/2022</c:v>
                </c:pt>
                <c:pt idx="3911">
                  <c:v>11/09/2022</c:v>
                </c:pt>
                <c:pt idx="3912">
                  <c:v>11/09/2022</c:v>
                </c:pt>
                <c:pt idx="3913">
                  <c:v>18/09/2022</c:v>
                </c:pt>
                <c:pt idx="3914">
                  <c:v>18/09/2022</c:v>
                </c:pt>
                <c:pt idx="3915">
                  <c:v>18/09/2022</c:v>
                </c:pt>
                <c:pt idx="3916">
                  <c:v>18/09/2022</c:v>
                </c:pt>
                <c:pt idx="3917">
                  <c:v>18/09/2022</c:v>
                </c:pt>
                <c:pt idx="3918">
                  <c:v>18/09/2022</c:v>
                </c:pt>
                <c:pt idx="3919">
                  <c:v>18/09/2022</c:v>
                </c:pt>
                <c:pt idx="3920">
                  <c:v>25/09/2022</c:v>
                </c:pt>
                <c:pt idx="3921">
                  <c:v>25/09/2022</c:v>
                </c:pt>
                <c:pt idx="3922">
                  <c:v>25/09/2022</c:v>
                </c:pt>
                <c:pt idx="3923">
                  <c:v>25/09/2022</c:v>
                </c:pt>
                <c:pt idx="3924">
                  <c:v>25/09/2022</c:v>
                </c:pt>
                <c:pt idx="3925">
                  <c:v>25/09/2022</c:v>
                </c:pt>
                <c:pt idx="3926">
                  <c:v>25/09/2022</c:v>
                </c:pt>
                <c:pt idx="3927">
                  <c:v>02/10/2022</c:v>
                </c:pt>
                <c:pt idx="3928">
                  <c:v>02/10/2022</c:v>
                </c:pt>
                <c:pt idx="3929">
                  <c:v>02/10/2022</c:v>
                </c:pt>
                <c:pt idx="3930">
                  <c:v>02/10/2022</c:v>
                </c:pt>
                <c:pt idx="3931">
                  <c:v>02/10/2022</c:v>
                </c:pt>
                <c:pt idx="3932">
                  <c:v>02/10/2022</c:v>
                </c:pt>
                <c:pt idx="3933">
                  <c:v>02/10/2022</c:v>
                </c:pt>
                <c:pt idx="3934">
                  <c:v>09/10/2022</c:v>
                </c:pt>
                <c:pt idx="3935">
                  <c:v>09/10/2022</c:v>
                </c:pt>
                <c:pt idx="3936">
                  <c:v>09/10/2022</c:v>
                </c:pt>
                <c:pt idx="3937">
                  <c:v>09/10/2022</c:v>
                </c:pt>
                <c:pt idx="3938">
                  <c:v>09/10/2022</c:v>
                </c:pt>
                <c:pt idx="3939">
                  <c:v>09/10/2022</c:v>
                </c:pt>
                <c:pt idx="3940">
                  <c:v>09/10/2022</c:v>
                </c:pt>
                <c:pt idx="3941">
                  <c:v>16/10/2022</c:v>
                </c:pt>
                <c:pt idx="3942">
                  <c:v>16/10/2022</c:v>
                </c:pt>
                <c:pt idx="3943">
                  <c:v>16/10/2022</c:v>
                </c:pt>
                <c:pt idx="3944">
                  <c:v>16/10/2022</c:v>
                </c:pt>
                <c:pt idx="3945">
                  <c:v>16/10/2022</c:v>
                </c:pt>
                <c:pt idx="3946">
                  <c:v>16/10/2022</c:v>
                </c:pt>
                <c:pt idx="3947">
                  <c:v>16/10/2022</c:v>
                </c:pt>
                <c:pt idx="3948">
                  <c:v>23/10/2022</c:v>
                </c:pt>
                <c:pt idx="3949">
                  <c:v>23/10/2022</c:v>
                </c:pt>
                <c:pt idx="3950">
                  <c:v>23/10/2022</c:v>
                </c:pt>
                <c:pt idx="3951">
                  <c:v>23/10/2022</c:v>
                </c:pt>
                <c:pt idx="3952">
                  <c:v>23/10/2022</c:v>
                </c:pt>
                <c:pt idx="3953">
                  <c:v>23/10/2022</c:v>
                </c:pt>
                <c:pt idx="3954">
                  <c:v>23/10/2022</c:v>
                </c:pt>
                <c:pt idx="3955">
                  <c:v>30/10/2022</c:v>
                </c:pt>
                <c:pt idx="3956">
                  <c:v>30/10/2022</c:v>
                </c:pt>
                <c:pt idx="3957">
                  <c:v>30/10/2022</c:v>
                </c:pt>
                <c:pt idx="3958">
                  <c:v>30/10/2022</c:v>
                </c:pt>
                <c:pt idx="3959">
                  <c:v>30/10/2022</c:v>
                </c:pt>
                <c:pt idx="3960">
                  <c:v>30/10/2022</c:v>
                </c:pt>
                <c:pt idx="3961">
                  <c:v>30/10/2022</c:v>
                </c:pt>
                <c:pt idx="3962">
                  <c:v>06/11/2022</c:v>
                </c:pt>
                <c:pt idx="3963">
                  <c:v>06/11/2022</c:v>
                </c:pt>
                <c:pt idx="3964">
                  <c:v>06/11/2022</c:v>
                </c:pt>
                <c:pt idx="3965">
                  <c:v>06/11/2022</c:v>
                </c:pt>
                <c:pt idx="3966">
                  <c:v>06/11/2022</c:v>
                </c:pt>
                <c:pt idx="3967">
                  <c:v>06/11/2022</c:v>
                </c:pt>
                <c:pt idx="3968">
                  <c:v>06/11/2022</c:v>
                </c:pt>
                <c:pt idx="3969">
                  <c:v>13/11/2022</c:v>
                </c:pt>
                <c:pt idx="3970">
                  <c:v>13/11/2022</c:v>
                </c:pt>
                <c:pt idx="3971">
                  <c:v>13/11/2022</c:v>
                </c:pt>
                <c:pt idx="3972">
                  <c:v>13/11/2022</c:v>
                </c:pt>
                <c:pt idx="3973">
                  <c:v>13/11/2022</c:v>
                </c:pt>
                <c:pt idx="3974">
                  <c:v>13/11/2022</c:v>
                </c:pt>
                <c:pt idx="3975">
                  <c:v>13/11/2022</c:v>
                </c:pt>
                <c:pt idx="3976">
                  <c:v>20/11/2022</c:v>
                </c:pt>
                <c:pt idx="3977">
                  <c:v>20/11/2022</c:v>
                </c:pt>
                <c:pt idx="3978">
                  <c:v>20/11/2022</c:v>
                </c:pt>
                <c:pt idx="3979">
                  <c:v>20/11/2022</c:v>
                </c:pt>
                <c:pt idx="3980">
                  <c:v>20/11/2022</c:v>
                </c:pt>
                <c:pt idx="3981">
                  <c:v>20/11/2022</c:v>
                </c:pt>
                <c:pt idx="3982">
                  <c:v>20/11/2022</c:v>
                </c:pt>
                <c:pt idx="3983">
                  <c:v>27/11/2022</c:v>
                </c:pt>
                <c:pt idx="3984">
                  <c:v>27/11/2022</c:v>
                </c:pt>
                <c:pt idx="3985">
                  <c:v>27/11/2022</c:v>
                </c:pt>
                <c:pt idx="3986">
                  <c:v>27/11/2022</c:v>
                </c:pt>
                <c:pt idx="3987">
                  <c:v>27/11/2022</c:v>
                </c:pt>
                <c:pt idx="3988">
                  <c:v>27/11/2022</c:v>
                </c:pt>
                <c:pt idx="3989">
                  <c:v>27/11/2022</c:v>
                </c:pt>
                <c:pt idx="3990">
                  <c:v>04/12/2022</c:v>
                </c:pt>
                <c:pt idx="3991">
                  <c:v>04/12/2022</c:v>
                </c:pt>
                <c:pt idx="3992">
                  <c:v>04/12/2022</c:v>
                </c:pt>
                <c:pt idx="3993">
                  <c:v>04/12/2022</c:v>
                </c:pt>
                <c:pt idx="3994">
                  <c:v>04/12/2022</c:v>
                </c:pt>
                <c:pt idx="3995">
                  <c:v>04/12/2022</c:v>
                </c:pt>
                <c:pt idx="3996">
                  <c:v>04/12/2022</c:v>
                </c:pt>
                <c:pt idx="3997">
                  <c:v>11/12/2022</c:v>
                </c:pt>
                <c:pt idx="3998">
                  <c:v>11/12/2022</c:v>
                </c:pt>
                <c:pt idx="3999">
                  <c:v>11/12/2022</c:v>
                </c:pt>
                <c:pt idx="4000">
                  <c:v>11/12/2022</c:v>
                </c:pt>
                <c:pt idx="4001">
                  <c:v>11/12/2022</c:v>
                </c:pt>
                <c:pt idx="4002">
                  <c:v>11/12/2022</c:v>
                </c:pt>
                <c:pt idx="4003">
                  <c:v>11/12/2022</c:v>
                </c:pt>
                <c:pt idx="4004">
                  <c:v>18/12/2022</c:v>
                </c:pt>
                <c:pt idx="4005">
                  <c:v>18/12/2022</c:v>
                </c:pt>
                <c:pt idx="4006">
                  <c:v>18/12/2022</c:v>
                </c:pt>
                <c:pt idx="4007">
                  <c:v>18/12/2022</c:v>
                </c:pt>
                <c:pt idx="4008">
                  <c:v>18/12/2022</c:v>
                </c:pt>
                <c:pt idx="4009">
                  <c:v>18/12/2022</c:v>
                </c:pt>
                <c:pt idx="4010">
                  <c:v>18/12/2022</c:v>
                </c:pt>
                <c:pt idx="4011">
                  <c:v>25/12/2022</c:v>
                </c:pt>
                <c:pt idx="4012">
                  <c:v>25/12/2022</c:v>
                </c:pt>
                <c:pt idx="4013">
                  <c:v>25/12/2022</c:v>
                </c:pt>
                <c:pt idx="4014">
                  <c:v>25/12/2022</c:v>
                </c:pt>
                <c:pt idx="4015">
                  <c:v>25/12/2022</c:v>
                </c:pt>
                <c:pt idx="4016">
                  <c:v>25/12/2022</c:v>
                </c:pt>
                <c:pt idx="4017">
                  <c:v>25/12/2022</c:v>
                </c:pt>
                <c:pt idx="4018">
                  <c:v>01/01/2023</c:v>
                </c:pt>
                <c:pt idx="4019">
                  <c:v>01/01/2023</c:v>
                </c:pt>
                <c:pt idx="4020">
                  <c:v>01/01/2023</c:v>
                </c:pt>
                <c:pt idx="4021">
                  <c:v>01/01/2023</c:v>
                </c:pt>
                <c:pt idx="4022">
                  <c:v>01/01/2023</c:v>
                </c:pt>
                <c:pt idx="4023">
                  <c:v>01/01/2023</c:v>
                </c:pt>
                <c:pt idx="4024">
                  <c:v>01/01/2023</c:v>
                </c:pt>
                <c:pt idx="4025">
                  <c:v>08/01/2023</c:v>
                </c:pt>
                <c:pt idx="4026">
                  <c:v>08/01/2023</c:v>
                </c:pt>
                <c:pt idx="4027">
                  <c:v>08/01/2023</c:v>
                </c:pt>
                <c:pt idx="4028">
                  <c:v>08/01/2023</c:v>
                </c:pt>
                <c:pt idx="4029">
                  <c:v>08/01/2023</c:v>
                </c:pt>
                <c:pt idx="4030">
                  <c:v>08/01/2023</c:v>
                </c:pt>
                <c:pt idx="4031">
                  <c:v>08/01/2023</c:v>
                </c:pt>
                <c:pt idx="4032">
                  <c:v>15/01/2023</c:v>
                </c:pt>
                <c:pt idx="4033">
                  <c:v>15/01/2023</c:v>
                </c:pt>
                <c:pt idx="4034">
                  <c:v>15/01/2023</c:v>
                </c:pt>
                <c:pt idx="4035">
                  <c:v>15/01/2023</c:v>
                </c:pt>
                <c:pt idx="4036">
                  <c:v>15/01/2023</c:v>
                </c:pt>
                <c:pt idx="4037">
                  <c:v>15/01/2023</c:v>
                </c:pt>
                <c:pt idx="4038">
                  <c:v>15/01/2023</c:v>
                </c:pt>
                <c:pt idx="4039">
                  <c:v>22/01/2023</c:v>
                </c:pt>
                <c:pt idx="4040">
                  <c:v>22/01/2023</c:v>
                </c:pt>
                <c:pt idx="4041">
                  <c:v>22/01/2023</c:v>
                </c:pt>
                <c:pt idx="4042">
                  <c:v>22/01/2023</c:v>
                </c:pt>
                <c:pt idx="4043">
                  <c:v>22/01/2023</c:v>
                </c:pt>
                <c:pt idx="4044">
                  <c:v>22/01/2023</c:v>
                </c:pt>
                <c:pt idx="4045">
                  <c:v>22/01/2023</c:v>
                </c:pt>
                <c:pt idx="4046">
                  <c:v>29/01/2023</c:v>
                </c:pt>
                <c:pt idx="4047">
                  <c:v>29/01/2023</c:v>
                </c:pt>
                <c:pt idx="4048">
                  <c:v>29/01/2023</c:v>
                </c:pt>
                <c:pt idx="4049">
                  <c:v>29/01/2023</c:v>
                </c:pt>
                <c:pt idx="4050">
                  <c:v>29/01/2023</c:v>
                </c:pt>
                <c:pt idx="4051">
                  <c:v>29/01/2023</c:v>
                </c:pt>
                <c:pt idx="4052">
                  <c:v>29/01/2023</c:v>
                </c:pt>
                <c:pt idx="4053">
                  <c:v>05/02/2023</c:v>
                </c:pt>
                <c:pt idx="4054">
                  <c:v>05/02/2023</c:v>
                </c:pt>
                <c:pt idx="4055">
                  <c:v>05/02/2023</c:v>
                </c:pt>
                <c:pt idx="4056">
                  <c:v>05/02/2023</c:v>
                </c:pt>
                <c:pt idx="4057">
                  <c:v>05/02/2023</c:v>
                </c:pt>
                <c:pt idx="4058">
                  <c:v>05/02/2023</c:v>
                </c:pt>
                <c:pt idx="4059">
                  <c:v>05/02/2023</c:v>
                </c:pt>
                <c:pt idx="4060">
                  <c:v>12/02/2023</c:v>
                </c:pt>
                <c:pt idx="4061">
                  <c:v>12/02/2023</c:v>
                </c:pt>
                <c:pt idx="4062">
                  <c:v>12/02/2023</c:v>
                </c:pt>
                <c:pt idx="4063">
                  <c:v>12/02/2023</c:v>
                </c:pt>
                <c:pt idx="4064">
                  <c:v>12/02/2023</c:v>
                </c:pt>
                <c:pt idx="4065">
                  <c:v>12/02/2023</c:v>
                </c:pt>
                <c:pt idx="4066">
                  <c:v>12/02/2023</c:v>
                </c:pt>
                <c:pt idx="4067">
                  <c:v>19/02/2023</c:v>
                </c:pt>
                <c:pt idx="4068">
                  <c:v>19/02/2023</c:v>
                </c:pt>
                <c:pt idx="4069">
                  <c:v>19/02/2023</c:v>
                </c:pt>
                <c:pt idx="4070">
                  <c:v>19/02/2023</c:v>
                </c:pt>
                <c:pt idx="4071">
                  <c:v>19/02/2023</c:v>
                </c:pt>
                <c:pt idx="4072">
                  <c:v>19/02/2023</c:v>
                </c:pt>
                <c:pt idx="4073">
                  <c:v>19/02/2023</c:v>
                </c:pt>
                <c:pt idx="4074">
                  <c:v>26/02/2023</c:v>
                </c:pt>
                <c:pt idx="4075">
                  <c:v>26/02/2023</c:v>
                </c:pt>
                <c:pt idx="4076">
                  <c:v>26/02/2023</c:v>
                </c:pt>
                <c:pt idx="4077">
                  <c:v>26/02/2023</c:v>
                </c:pt>
                <c:pt idx="4078">
                  <c:v>26/02/2023</c:v>
                </c:pt>
                <c:pt idx="4079">
                  <c:v>26/02/2023</c:v>
                </c:pt>
                <c:pt idx="4080">
                  <c:v>26/02/2023</c:v>
                </c:pt>
                <c:pt idx="4081">
                  <c:v>05/03/2023</c:v>
                </c:pt>
                <c:pt idx="4082">
                  <c:v>05/03/2023</c:v>
                </c:pt>
                <c:pt idx="4083">
                  <c:v>05/03/2023</c:v>
                </c:pt>
                <c:pt idx="4084">
                  <c:v>05/03/2023</c:v>
                </c:pt>
                <c:pt idx="4085">
                  <c:v>05/03/2023</c:v>
                </c:pt>
                <c:pt idx="4086">
                  <c:v>05/03/2023</c:v>
                </c:pt>
                <c:pt idx="4087">
                  <c:v>05/03/2023</c:v>
                </c:pt>
                <c:pt idx="4088">
                  <c:v>12/03/2023</c:v>
                </c:pt>
                <c:pt idx="4089">
                  <c:v>12/03/2023</c:v>
                </c:pt>
                <c:pt idx="4090">
                  <c:v>12/03/2023</c:v>
                </c:pt>
                <c:pt idx="4091">
                  <c:v>12/03/2023</c:v>
                </c:pt>
                <c:pt idx="4092">
                  <c:v>12/03/2023</c:v>
                </c:pt>
                <c:pt idx="4093">
                  <c:v>12/03/2023</c:v>
                </c:pt>
                <c:pt idx="4094">
                  <c:v>12/03/2023</c:v>
                </c:pt>
                <c:pt idx="4095">
                  <c:v>19/03/2023</c:v>
                </c:pt>
                <c:pt idx="4096">
                  <c:v>19/03/2023</c:v>
                </c:pt>
                <c:pt idx="4097">
                  <c:v>19/03/2023</c:v>
                </c:pt>
                <c:pt idx="4098">
                  <c:v>19/03/2023</c:v>
                </c:pt>
                <c:pt idx="4099">
                  <c:v>19/03/2023</c:v>
                </c:pt>
                <c:pt idx="4100">
                  <c:v>19/03/2023</c:v>
                </c:pt>
                <c:pt idx="4101">
                  <c:v>19/03/2023</c:v>
                </c:pt>
                <c:pt idx="4102">
                  <c:v>26/03/2023</c:v>
                </c:pt>
                <c:pt idx="4103">
                  <c:v>26/03/2023</c:v>
                </c:pt>
                <c:pt idx="4104">
                  <c:v>26/03/2023</c:v>
                </c:pt>
                <c:pt idx="4105">
                  <c:v>26/03/2023</c:v>
                </c:pt>
                <c:pt idx="4106">
                  <c:v>26/03/2023</c:v>
                </c:pt>
                <c:pt idx="4107">
                  <c:v>26/03/2023</c:v>
                </c:pt>
                <c:pt idx="4108">
                  <c:v>26/03/2023</c:v>
                </c:pt>
                <c:pt idx="4109">
                  <c:v>02/04/2023</c:v>
                </c:pt>
                <c:pt idx="4110">
                  <c:v>02/04/2023</c:v>
                </c:pt>
                <c:pt idx="4111">
                  <c:v>02/04/2023</c:v>
                </c:pt>
                <c:pt idx="4112">
                  <c:v>02/04/2023</c:v>
                </c:pt>
                <c:pt idx="4113">
                  <c:v>02/04/2023</c:v>
                </c:pt>
                <c:pt idx="4114">
                  <c:v>02/04/2023</c:v>
                </c:pt>
                <c:pt idx="4115">
                  <c:v>02/04/2023</c:v>
                </c:pt>
                <c:pt idx="4116">
                  <c:v>09/04/2023</c:v>
                </c:pt>
                <c:pt idx="4117">
                  <c:v>09/04/2023</c:v>
                </c:pt>
                <c:pt idx="4118">
                  <c:v>09/04/2023</c:v>
                </c:pt>
                <c:pt idx="4119">
                  <c:v>09/04/2023</c:v>
                </c:pt>
                <c:pt idx="4120">
                  <c:v>09/04/2023</c:v>
                </c:pt>
                <c:pt idx="4121">
                  <c:v>09/04/2023</c:v>
                </c:pt>
                <c:pt idx="4122">
                  <c:v>09/04/2023</c:v>
                </c:pt>
                <c:pt idx="4123">
                  <c:v>16/04/2023</c:v>
                </c:pt>
                <c:pt idx="4124">
                  <c:v>16/04/2023</c:v>
                </c:pt>
                <c:pt idx="4125">
                  <c:v>16/04/2023</c:v>
                </c:pt>
                <c:pt idx="4126">
                  <c:v>16/04/2023</c:v>
                </c:pt>
                <c:pt idx="4127">
                  <c:v>16/04/2023</c:v>
                </c:pt>
                <c:pt idx="4128">
                  <c:v>16/04/2023</c:v>
                </c:pt>
                <c:pt idx="4129">
                  <c:v>16/04/2023</c:v>
                </c:pt>
                <c:pt idx="4130">
                  <c:v>23/04/2023</c:v>
                </c:pt>
                <c:pt idx="4131">
                  <c:v>23/04/2023</c:v>
                </c:pt>
                <c:pt idx="4132">
                  <c:v>23/04/2023</c:v>
                </c:pt>
                <c:pt idx="4133">
                  <c:v>23/04/2023</c:v>
                </c:pt>
                <c:pt idx="4134">
                  <c:v>23/04/2023</c:v>
                </c:pt>
                <c:pt idx="4135">
                  <c:v>23/04/2023</c:v>
                </c:pt>
                <c:pt idx="4136">
                  <c:v>23/04/2023</c:v>
                </c:pt>
                <c:pt idx="4137">
                  <c:v>30/04/2023</c:v>
                </c:pt>
                <c:pt idx="4138">
                  <c:v>30/04/2023</c:v>
                </c:pt>
                <c:pt idx="4139">
                  <c:v>30/04/2023</c:v>
                </c:pt>
                <c:pt idx="4140">
                  <c:v>30/04/2023</c:v>
                </c:pt>
                <c:pt idx="4141">
                  <c:v>30/04/2023</c:v>
                </c:pt>
                <c:pt idx="4142">
                  <c:v>30/04/2023</c:v>
                </c:pt>
                <c:pt idx="4143">
                  <c:v>30/04/2023</c:v>
                </c:pt>
                <c:pt idx="4144">
                  <c:v>07/05/2023</c:v>
                </c:pt>
                <c:pt idx="4145">
                  <c:v>07/05/2023</c:v>
                </c:pt>
                <c:pt idx="4146">
                  <c:v>07/05/2023</c:v>
                </c:pt>
                <c:pt idx="4147">
                  <c:v>07/05/2023</c:v>
                </c:pt>
                <c:pt idx="4148">
                  <c:v>07/05/2023</c:v>
                </c:pt>
                <c:pt idx="4149">
                  <c:v>07/05/2023</c:v>
                </c:pt>
                <c:pt idx="4150">
                  <c:v>07/05/2023</c:v>
                </c:pt>
                <c:pt idx="4151">
                  <c:v>14/05/2023</c:v>
                </c:pt>
                <c:pt idx="4152">
                  <c:v>14/05/2023</c:v>
                </c:pt>
                <c:pt idx="4153">
                  <c:v>14/05/2023</c:v>
                </c:pt>
                <c:pt idx="4154">
                  <c:v>14/05/2023</c:v>
                </c:pt>
                <c:pt idx="4155">
                  <c:v>14/05/2023</c:v>
                </c:pt>
                <c:pt idx="4156">
                  <c:v>14/05/2023</c:v>
                </c:pt>
                <c:pt idx="4157">
                  <c:v>14/05/2023</c:v>
                </c:pt>
                <c:pt idx="4158">
                  <c:v>21/05/2023</c:v>
                </c:pt>
                <c:pt idx="4159">
                  <c:v>21/05/2023</c:v>
                </c:pt>
                <c:pt idx="4160">
                  <c:v>21/05/2023</c:v>
                </c:pt>
                <c:pt idx="4161">
                  <c:v>21/05/2023</c:v>
                </c:pt>
                <c:pt idx="4162">
                  <c:v>21/05/2023</c:v>
                </c:pt>
                <c:pt idx="4163">
                  <c:v>21/05/2023</c:v>
                </c:pt>
                <c:pt idx="4164">
                  <c:v>21/05/2023</c:v>
                </c:pt>
                <c:pt idx="4165">
                  <c:v>28/05/2023</c:v>
                </c:pt>
                <c:pt idx="4166">
                  <c:v>28/05/2023</c:v>
                </c:pt>
                <c:pt idx="4167">
                  <c:v>28/05/2023</c:v>
                </c:pt>
                <c:pt idx="4168">
                  <c:v>28/05/2023</c:v>
                </c:pt>
                <c:pt idx="4169">
                  <c:v>28/05/2023</c:v>
                </c:pt>
                <c:pt idx="4170">
                  <c:v>28/05/2023</c:v>
                </c:pt>
                <c:pt idx="4171">
                  <c:v>28/05/2023</c:v>
                </c:pt>
                <c:pt idx="4172">
                  <c:v>04/06/2023</c:v>
                </c:pt>
                <c:pt idx="4173">
                  <c:v>04/06/2023</c:v>
                </c:pt>
                <c:pt idx="4174">
                  <c:v>04/06/2023</c:v>
                </c:pt>
                <c:pt idx="4175">
                  <c:v>04/06/2023</c:v>
                </c:pt>
                <c:pt idx="4176">
                  <c:v>04/06/2023</c:v>
                </c:pt>
                <c:pt idx="4177">
                  <c:v>04/06/2023</c:v>
                </c:pt>
                <c:pt idx="4178">
                  <c:v>04/06/2023</c:v>
                </c:pt>
                <c:pt idx="4179">
                  <c:v>11/06/2023</c:v>
                </c:pt>
                <c:pt idx="4180">
                  <c:v>11/06/2023</c:v>
                </c:pt>
                <c:pt idx="4181">
                  <c:v>11/06/2023</c:v>
                </c:pt>
                <c:pt idx="4182">
                  <c:v>11/06/2023</c:v>
                </c:pt>
                <c:pt idx="4183">
                  <c:v>11/06/2023</c:v>
                </c:pt>
                <c:pt idx="4184">
                  <c:v>11/06/2023</c:v>
                </c:pt>
                <c:pt idx="4185">
                  <c:v>11/06/2023</c:v>
                </c:pt>
                <c:pt idx="4186">
                  <c:v>18/06/2023</c:v>
                </c:pt>
                <c:pt idx="4187">
                  <c:v>18/06/2023</c:v>
                </c:pt>
                <c:pt idx="4188">
                  <c:v>18/06/2023</c:v>
                </c:pt>
                <c:pt idx="4189">
                  <c:v>18/06/2023</c:v>
                </c:pt>
                <c:pt idx="4190">
                  <c:v>18/06/2023</c:v>
                </c:pt>
                <c:pt idx="4191">
                  <c:v>18/06/2023</c:v>
                </c:pt>
                <c:pt idx="4192">
                  <c:v>18/06/2023</c:v>
                </c:pt>
                <c:pt idx="4193">
                  <c:v>25/06/2023</c:v>
                </c:pt>
                <c:pt idx="4194">
                  <c:v>25/06/2023</c:v>
                </c:pt>
                <c:pt idx="4195">
                  <c:v>25/06/2023</c:v>
                </c:pt>
                <c:pt idx="4196">
                  <c:v>25/06/2023</c:v>
                </c:pt>
                <c:pt idx="4197">
                  <c:v>25/06/2023</c:v>
                </c:pt>
                <c:pt idx="4198">
                  <c:v>25/06/2023</c:v>
                </c:pt>
                <c:pt idx="4199">
                  <c:v>25/06/2023</c:v>
                </c:pt>
                <c:pt idx="4200">
                  <c:v>02/07/2023</c:v>
                </c:pt>
                <c:pt idx="4201">
                  <c:v>02/07/2023</c:v>
                </c:pt>
                <c:pt idx="4202">
                  <c:v>02/07/2023</c:v>
                </c:pt>
                <c:pt idx="4203">
                  <c:v>02/07/2023</c:v>
                </c:pt>
                <c:pt idx="4204">
                  <c:v>02/07/2023</c:v>
                </c:pt>
                <c:pt idx="4205">
                  <c:v>02/07/2023</c:v>
                </c:pt>
                <c:pt idx="4206">
                  <c:v>02/07/2023</c:v>
                </c:pt>
                <c:pt idx="4207">
                  <c:v>09/07/2023</c:v>
                </c:pt>
                <c:pt idx="4208">
                  <c:v>09/07/2023</c:v>
                </c:pt>
                <c:pt idx="4209">
                  <c:v>09/07/2023</c:v>
                </c:pt>
                <c:pt idx="4210">
                  <c:v>09/07/2023</c:v>
                </c:pt>
                <c:pt idx="4211">
                  <c:v>09/07/2023</c:v>
                </c:pt>
                <c:pt idx="4212">
                  <c:v>09/07/2023</c:v>
                </c:pt>
                <c:pt idx="4213">
                  <c:v>09/07/2023</c:v>
                </c:pt>
                <c:pt idx="4214">
                  <c:v>16/07/2023</c:v>
                </c:pt>
                <c:pt idx="4215">
                  <c:v>16/07/2023</c:v>
                </c:pt>
                <c:pt idx="4216">
                  <c:v>16/07/2023</c:v>
                </c:pt>
                <c:pt idx="4217">
                  <c:v>16/07/2023</c:v>
                </c:pt>
                <c:pt idx="4218">
                  <c:v>16/07/2023</c:v>
                </c:pt>
                <c:pt idx="4219">
                  <c:v>16/07/2023</c:v>
                </c:pt>
                <c:pt idx="4220">
                  <c:v>16/07/2023</c:v>
                </c:pt>
                <c:pt idx="4221">
                  <c:v>23/07/2023</c:v>
                </c:pt>
                <c:pt idx="4222">
                  <c:v>23/07/2023</c:v>
                </c:pt>
                <c:pt idx="4223">
                  <c:v>23/07/2023</c:v>
                </c:pt>
                <c:pt idx="4224">
                  <c:v>23/07/2023</c:v>
                </c:pt>
                <c:pt idx="4225">
                  <c:v>23/07/2023</c:v>
                </c:pt>
                <c:pt idx="4226">
                  <c:v>23/07/2023</c:v>
                </c:pt>
                <c:pt idx="4227">
                  <c:v>23/07/2023</c:v>
                </c:pt>
                <c:pt idx="4228">
                  <c:v>30/07/2023</c:v>
                </c:pt>
                <c:pt idx="4229">
                  <c:v>30/07/2023</c:v>
                </c:pt>
                <c:pt idx="4230">
                  <c:v>30/07/2023</c:v>
                </c:pt>
                <c:pt idx="4231">
                  <c:v>30/07/2023</c:v>
                </c:pt>
                <c:pt idx="4232">
                  <c:v>30/07/2023</c:v>
                </c:pt>
                <c:pt idx="4233">
                  <c:v>30/07/2023</c:v>
                </c:pt>
                <c:pt idx="4234">
                  <c:v>30/07/2023</c:v>
                </c:pt>
                <c:pt idx="4235">
                  <c:v>06/08/2023</c:v>
                </c:pt>
                <c:pt idx="4236">
                  <c:v>06/08/2023</c:v>
                </c:pt>
                <c:pt idx="4237">
                  <c:v>06/08/2023</c:v>
                </c:pt>
                <c:pt idx="4238">
                  <c:v>06/08/2023</c:v>
                </c:pt>
                <c:pt idx="4239">
                  <c:v>06/08/2023</c:v>
                </c:pt>
                <c:pt idx="4240">
                  <c:v>06/08/2023</c:v>
                </c:pt>
                <c:pt idx="4241">
                  <c:v>06/08/2023</c:v>
                </c:pt>
                <c:pt idx="4242">
                  <c:v>13/08/2023</c:v>
                </c:pt>
                <c:pt idx="4243">
                  <c:v>13/08/2023</c:v>
                </c:pt>
                <c:pt idx="4244">
                  <c:v>13/08/2023</c:v>
                </c:pt>
                <c:pt idx="4245">
                  <c:v>13/08/2023</c:v>
                </c:pt>
                <c:pt idx="4246">
                  <c:v>13/08/2023</c:v>
                </c:pt>
                <c:pt idx="4247">
                  <c:v>13/08/2023</c:v>
                </c:pt>
                <c:pt idx="4248">
                  <c:v>13/08/2023</c:v>
                </c:pt>
                <c:pt idx="4249">
                  <c:v>20/08/2023</c:v>
                </c:pt>
                <c:pt idx="4250">
                  <c:v>20/08/2023</c:v>
                </c:pt>
                <c:pt idx="4251">
                  <c:v>20/08/2023</c:v>
                </c:pt>
                <c:pt idx="4252">
                  <c:v>20/08/2023</c:v>
                </c:pt>
                <c:pt idx="4253">
                  <c:v>20/08/2023</c:v>
                </c:pt>
                <c:pt idx="4254">
                  <c:v>20/08/2023</c:v>
                </c:pt>
                <c:pt idx="4255">
                  <c:v>20/08/2023</c:v>
                </c:pt>
                <c:pt idx="4256">
                  <c:v>27/08/2023</c:v>
                </c:pt>
                <c:pt idx="4257">
                  <c:v>27/08/2023</c:v>
                </c:pt>
                <c:pt idx="4258">
                  <c:v>27/08/2023</c:v>
                </c:pt>
                <c:pt idx="4259">
                  <c:v>27/08/2023</c:v>
                </c:pt>
                <c:pt idx="4260">
                  <c:v>27/08/2023</c:v>
                </c:pt>
                <c:pt idx="4261">
                  <c:v>27/08/2023</c:v>
                </c:pt>
                <c:pt idx="4262">
                  <c:v>27/08/2023</c:v>
                </c:pt>
                <c:pt idx="4263">
                  <c:v>03/09/2023</c:v>
                </c:pt>
                <c:pt idx="4264">
                  <c:v>03/09/2023</c:v>
                </c:pt>
                <c:pt idx="4265">
                  <c:v>03/09/2023</c:v>
                </c:pt>
                <c:pt idx="4266">
                  <c:v>03/09/2023</c:v>
                </c:pt>
                <c:pt idx="4267">
                  <c:v>03/09/2023</c:v>
                </c:pt>
                <c:pt idx="4268">
                  <c:v>03/09/2023</c:v>
                </c:pt>
                <c:pt idx="4269">
                  <c:v>03/09/2023</c:v>
                </c:pt>
                <c:pt idx="4270">
                  <c:v>10/09/2023</c:v>
                </c:pt>
                <c:pt idx="4271">
                  <c:v>10/09/2023</c:v>
                </c:pt>
                <c:pt idx="4272">
                  <c:v>10/09/2023</c:v>
                </c:pt>
                <c:pt idx="4273">
                  <c:v>10/09/2023</c:v>
                </c:pt>
                <c:pt idx="4274">
                  <c:v>10/09/2023</c:v>
                </c:pt>
                <c:pt idx="4275">
                  <c:v>10/09/2023</c:v>
                </c:pt>
                <c:pt idx="4276">
                  <c:v>10/09/2023</c:v>
                </c:pt>
                <c:pt idx="4277">
                  <c:v>17/09/2023</c:v>
                </c:pt>
                <c:pt idx="4278">
                  <c:v>17/09/2023</c:v>
                </c:pt>
                <c:pt idx="4279">
                  <c:v>17/09/2023</c:v>
                </c:pt>
                <c:pt idx="4280">
                  <c:v>17/09/2023</c:v>
                </c:pt>
                <c:pt idx="4281">
                  <c:v>17/09/2023</c:v>
                </c:pt>
                <c:pt idx="4282">
                  <c:v>17/09/2023</c:v>
                </c:pt>
                <c:pt idx="4283">
                  <c:v>17/09/2023</c:v>
                </c:pt>
                <c:pt idx="4284">
                  <c:v>24/09/2023</c:v>
                </c:pt>
                <c:pt idx="4285">
                  <c:v>24/09/2023</c:v>
                </c:pt>
                <c:pt idx="4286">
                  <c:v>24/09/2023</c:v>
                </c:pt>
                <c:pt idx="4287">
                  <c:v>24/09/2023</c:v>
                </c:pt>
                <c:pt idx="4288">
                  <c:v>24/09/2023</c:v>
                </c:pt>
                <c:pt idx="4289">
                  <c:v>24/09/2023</c:v>
                </c:pt>
                <c:pt idx="4290">
                  <c:v>24/09/2023</c:v>
                </c:pt>
                <c:pt idx="4291">
                  <c:v>01/10/2023</c:v>
                </c:pt>
                <c:pt idx="4292">
                  <c:v>01/10/2023</c:v>
                </c:pt>
                <c:pt idx="4293">
                  <c:v>01/10/2023</c:v>
                </c:pt>
                <c:pt idx="4294">
                  <c:v>01/10/2023</c:v>
                </c:pt>
                <c:pt idx="4295">
                  <c:v>01/10/2023</c:v>
                </c:pt>
                <c:pt idx="4296">
                  <c:v>01/10/2023</c:v>
                </c:pt>
                <c:pt idx="4297">
                  <c:v>01/10/2023</c:v>
                </c:pt>
                <c:pt idx="4298">
                  <c:v>08/10/2023</c:v>
                </c:pt>
                <c:pt idx="4299">
                  <c:v>08/10/2023</c:v>
                </c:pt>
                <c:pt idx="4300">
                  <c:v>08/10/2023</c:v>
                </c:pt>
                <c:pt idx="4301">
                  <c:v>08/10/2023</c:v>
                </c:pt>
                <c:pt idx="4302">
                  <c:v>08/10/2023</c:v>
                </c:pt>
                <c:pt idx="4303">
                  <c:v>08/10/2023</c:v>
                </c:pt>
                <c:pt idx="4304">
                  <c:v>08/10/2023</c:v>
                </c:pt>
                <c:pt idx="4305">
                  <c:v>15/10/2023</c:v>
                </c:pt>
                <c:pt idx="4306">
                  <c:v>15/10/2023</c:v>
                </c:pt>
                <c:pt idx="4307">
                  <c:v>15/10/2023</c:v>
                </c:pt>
                <c:pt idx="4308">
                  <c:v>15/10/2023</c:v>
                </c:pt>
                <c:pt idx="4309">
                  <c:v>15/10/2023</c:v>
                </c:pt>
                <c:pt idx="4310">
                  <c:v>15/10/2023</c:v>
                </c:pt>
                <c:pt idx="4311">
                  <c:v>15/10/2023</c:v>
                </c:pt>
                <c:pt idx="4312">
                  <c:v>22/10/2023</c:v>
                </c:pt>
                <c:pt idx="4313">
                  <c:v>22/10/2023</c:v>
                </c:pt>
                <c:pt idx="4314">
                  <c:v>22/10/2023</c:v>
                </c:pt>
                <c:pt idx="4315">
                  <c:v>22/10/2023</c:v>
                </c:pt>
                <c:pt idx="4316">
                  <c:v>22/10/2023</c:v>
                </c:pt>
                <c:pt idx="4317">
                  <c:v>22/10/2023</c:v>
                </c:pt>
                <c:pt idx="4318">
                  <c:v>22/10/2023</c:v>
                </c:pt>
                <c:pt idx="4319">
                  <c:v>29/10/2023</c:v>
                </c:pt>
                <c:pt idx="4320">
                  <c:v>29/10/2023</c:v>
                </c:pt>
                <c:pt idx="4321">
                  <c:v>29/10/2023</c:v>
                </c:pt>
                <c:pt idx="4322">
                  <c:v>29/10/2023</c:v>
                </c:pt>
                <c:pt idx="4323">
                  <c:v>29/10/2023</c:v>
                </c:pt>
                <c:pt idx="4324">
                  <c:v>29/10/2023</c:v>
                </c:pt>
                <c:pt idx="4325">
                  <c:v>29/10/2023</c:v>
                </c:pt>
                <c:pt idx="4326">
                  <c:v>05/11/2023</c:v>
                </c:pt>
                <c:pt idx="4327">
                  <c:v>05/11/2023</c:v>
                </c:pt>
                <c:pt idx="4328">
                  <c:v>05/11/2023</c:v>
                </c:pt>
                <c:pt idx="4329">
                  <c:v>05/11/2023</c:v>
                </c:pt>
                <c:pt idx="4330">
                  <c:v>05/11/2023</c:v>
                </c:pt>
                <c:pt idx="4331">
                  <c:v>05/11/2023</c:v>
                </c:pt>
                <c:pt idx="4332">
                  <c:v>05/11/2023</c:v>
                </c:pt>
                <c:pt idx="4333">
                  <c:v>12/11/2023</c:v>
                </c:pt>
                <c:pt idx="4334">
                  <c:v>12/11/2023</c:v>
                </c:pt>
                <c:pt idx="4335">
                  <c:v>12/11/2023</c:v>
                </c:pt>
                <c:pt idx="4336">
                  <c:v>12/11/2023</c:v>
                </c:pt>
                <c:pt idx="4337">
                  <c:v>12/11/2023</c:v>
                </c:pt>
                <c:pt idx="4338">
                  <c:v>12/11/2023</c:v>
                </c:pt>
                <c:pt idx="4339">
                  <c:v>12/11/2023</c:v>
                </c:pt>
                <c:pt idx="4340">
                  <c:v>19/11/2023</c:v>
                </c:pt>
                <c:pt idx="4341">
                  <c:v>19/11/2023</c:v>
                </c:pt>
                <c:pt idx="4342">
                  <c:v>19/11/2023</c:v>
                </c:pt>
                <c:pt idx="4343">
                  <c:v>19/11/2023</c:v>
                </c:pt>
                <c:pt idx="4344">
                  <c:v>19/11/2023</c:v>
                </c:pt>
                <c:pt idx="4345">
                  <c:v>19/11/2023</c:v>
                </c:pt>
                <c:pt idx="4346">
                  <c:v>19/11/2023</c:v>
                </c:pt>
                <c:pt idx="4347">
                  <c:v>26/11/2023</c:v>
                </c:pt>
                <c:pt idx="4348">
                  <c:v>26/11/2023</c:v>
                </c:pt>
                <c:pt idx="4349">
                  <c:v>26/11/2023</c:v>
                </c:pt>
                <c:pt idx="4350">
                  <c:v>26/11/2023</c:v>
                </c:pt>
                <c:pt idx="4351">
                  <c:v>26/11/2023</c:v>
                </c:pt>
                <c:pt idx="4352">
                  <c:v>26/11/2023</c:v>
                </c:pt>
                <c:pt idx="4353">
                  <c:v>26/11/2023</c:v>
                </c:pt>
                <c:pt idx="4354">
                  <c:v>03/12/2023</c:v>
                </c:pt>
                <c:pt idx="4355">
                  <c:v>03/12/2023</c:v>
                </c:pt>
                <c:pt idx="4356">
                  <c:v>03/12/2023</c:v>
                </c:pt>
                <c:pt idx="4357">
                  <c:v>03/12/2023</c:v>
                </c:pt>
                <c:pt idx="4358">
                  <c:v>03/12/2023</c:v>
                </c:pt>
                <c:pt idx="4359">
                  <c:v>03/12/2023</c:v>
                </c:pt>
                <c:pt idx="4360">
                  <c:v>03/12/2023</c:v>
                </c:pt>
                <c:pt idx="4361">
                  <c:v>10/12/2023</c:v>
                </c:pt>
                <c:pt idx="4362">
                  <c:v>10/12/2023</c:v>
                </c:pt>
                <c:pt idx="4363">
                  <c:v>10/12/2023</c:v>
                </c:pt>
                <c:pt idx="4364">
                  <c:v>10/12/2023</c:v>
                </c:pt>
                <c:pt idx="4365">
                  <c:v>10/12/2023</c:v>
                </c:pt>
                <c:pt idx="4366">
                  <c:v>10/12/2023</c:v>
                </c:pt>
                <c:pt idx="4367">
                  <c:v>10/12/2023</c:v>
                </c:pt>
                <c:pt idx="4368">
                  <c:v>17/12/2023</c:v>
                </c:pt>
                <c:pt idx="4369">
                  <c:v>17/12/2023</c:v>
                </c:pt>
                <c:pt idx="4370">
                  <c:v>17/12/2023</c:v>
                </c:pt>
                <c:pt idx="4371">
                  <c:v>17/12/2023</c:v>
                </c:pt>
                <c:pt idx="4372">
                  <c:v>17/12/2023</c:v>
                </c:pt>
                <c:pt idx="4373">
                  <c:v>17/12/2023</c:v>
                </c:pt>
                <c:pt idx="4374">
                  <c:v>17/12/2023</c:v>
                </c:pt>
                <c:pt idx="4375">
                  <c:v>24/12/2023</c:v>
                </c:pt>
                <c:pt idx="4376">
                  <c:v>24/12/2023</c:v>
                </c:pt>
                <c:pt idx="4377">
                  <c:v>24/12/2023</c:v>
                </c:pt>
                <c:pt idx="4378">
                  <c:v>24/12/2023</c:v>
                </c:pt>
                <c:pt idx="4379">
                  <c:v>24/12/2023</c:v>
                </c:pt>
                <c:pt idx="4380">
                  <c:v>24/12/2023</c:v>
                </c:pt>
                <c:pt idx="4381">
                  <c:v>24/12/2023</c:v>
                </c:pt>
                <c:pt idx="4382">
                  <c:v>31/12/2023</c:v>
                </c:pt>
              </c:numCache>
            </c:numRef>
          </c:cat>
          <c:val>
            <c:numRef>
              <c:f>xy!$D$3:$D$4386</c:f>
              <c:numCache>
                <c:formatCode>General</c:formatCode>
                <c:ptCount val="4384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16151251"/>
        <c:axId val="81479715"/>
      </c:lineChart>
      <c:lineChart>
        <c:grouping val="standard"/>
        <c:varyColors val="0"/>
        <c:ser>
          <c:idx val="1"/>
          <c:order val="1"/>
          <c:tx>
            <c:strRef>
              <c:f>xy!$E$3</c:f>
              <c:strCache>
                <c:ptCount val="1"/>
                <c:pt idx="0">
                  <c:v>fcc_margin_net_gas</c:v>
                </c:pt>
              </c:strCache>
            </c:strRef>
          </c:tx>
          <c:spPr>
            <a:solidFill>
              <a:srgbClr val="c00000"/>
            </a:solidFill>
            <a:ln cap="rnd" w="28440">
              <a:solidFill>
                <a:srgbClr val="c00000"/>
              </a:solidFill>
              <a:round/>
            </a:ln>
          </c:spPr>
          <c:marker>
            <c:symbol val="none"/>
          </c:marker>
          <c:dPt>
            <c:idx val="123"/>
            <c:marker>
              <c:symbol val="none"/>
            </c:marker>
          </c:dPt>
          <c:dLbls>
            <c:dLbl>
              <c:idx val="12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xy!$C$4:$C$4386</c:f>
              <c:numCache>
                <c:formatCode>mmm\-yy</c:formatCode>
                <c:ptCount val="4383"/>
                <c:pt idx="0">
                  <c:v>01/01/2012</c:v>
                </c:pt>
                <c:pt idx="1">
                  <c:v>01/01/2012</c:v>
                </c:pt>
                <c:pt idx="2">
                  <c:v>01/01/2012</c:v>
                </c:pt>
                <c:pt idx="3">
                  <c:v>01/01/2012</c:v>
                </c:pt>
                <c:pt idx="4">
                  <c:v>01/01/2012</c:v>
                </c:pt>
                <c:pt idx="5">
                  <c:v>01/01/2012</c:v>
                </c:pt>
                <c:pt idx="6">
                  <c:v>01/01/2012</c:v>
                </c:pt>
                <c:pt idx="7">
                  <c:v>08/01/2012</c:v>
                </c:pt>
                <c:pt idx="8">
                  <c:v>08/01/2012</c:v>
                </c:pt>
                <c:pt idx="9">
                  <c:v>08/01/2012</c:v>
                </c:pt>
                <c:pt idx="10">
                  <c:v>08/01/2012</c:v>
                </c:pt>
                <c:pt idx="11">
                  <c:v>08/01/2012</c:v>
                </c:pt>
                <c:pt idx="12">
                  <c:v>08/01/2012</c:v>
                </c:pt>
                <c:pt idx="13">
                  <c:v>08/01/2012</c:v>
                </c:pt>
                <c:pt idx="14">
                  <c:v>15/01/2012</c:v>
                </c:pt>
                <c:pt idx="15">
                  <c:v>15/01/2012</c:v>
                </c:pt>
                <c:pt idx="16">
                  <c:v>15/01/2012</c:v>
                </c:pt>
                <c:pt idx="17">
                  <c:v>15/01/2012</c:v>
                </c:pt>
                <c:pt idx="18">
                  <c:v>15/01/2012</c:v>
                </c:pt>
                <c:pt idx="19">
                  <c:v>15/01/2012</c:v>
                </c:pt>
                <c:pt idx="20">
                  <c:v>15/01/2012</c:v>
                </c:pt>
                <c:pt idx="21">
                  <c:v>22/01/2012</c:v>
                </c:pt>
                <c:pt idx="22">
                  <c:v>22/01/2012</c:v>
                </c:pt>
                <c:pt idx="23">
                  <c:v>22/01/2012</c:v>
                </c:pt>
                <c:pt idx="24">
                  <c:v>22/01/2012</c:v>
                </c:pt>
                <c:pt idx="25">
                  <c:v>22/01/2012</c:v>
                </c:pt>
                <c:pt idx="26">
                  <c:v>22/01/2012</c:v>
                </c:pt>
                <c:pt idx="27">
                  <c:v>22/01/2012</c:v>
                </c:pt>
                <c:pt idx="28">
                  <c:v>29/01/2012</c:v>
                </c:pt>
                <c:pt idx="29">
                  <c:v>29/01/2012</c:v>
                </c:pt>
                <c:pt idx="30">
                  <c:v>29/01/2012</c:v>
                </c:pt>
                <c:pt idx="31">
                  <c:v>29/01/2012</c:v>
                </c:pt>
                <c:pt idx="32">
                  <c:v>29/01/2012</c:v>
                </c:pt>
                <c:pt idx="33">
                  <c:v>29/01/2012</c:v>
                </c:pt>
                <c:pt idx="34">
                  <c:v>29/01/2012</c:v>
                </c:pt>
                <c:pt idx="35">
                  <c:v>05/02/2012</c:v>
                </c:pt>
                <c:pt idx="36">
                  <c:v>05/02/2012</c:v>
                </c:pt>
                <c:pt idx="37">
                  <c:v>05/02/2012</c:v>
                </c:pt>
                <c:pt idx="38">
                  <c:v>05/02/2012</c:v>
                </c:pt>
                <c:pt idx="39">
                  <c:v>05/02/2012</c:v>
                </c:pt>
                <c:pt idx="40">
                  <c:v>05/02/2012</c:v>
                </c:pt>
                <c:pt idx="41">
                  <c:v>05/02/2012</c:v>
                </c:pt>
                <c:pt idx="42">
                  <c:v>12/02/2012</c:v>
                </c:pt>
                <c:pt idx="43">
                  <c:v>12/02/2012</c:v>
                </c:pt>
                <c:pt idx="44">
                  <c:v>12/02/2012</c:v>
                </c:pt>
                <c:pt idx="45">
                  <c:v>12/02/2012</c:v>
                </c:pt>
                <c:pt idx="46">
                  <c:v>12/02/2012</c:v>
                </c:pt>
                <c:pt idx="47">
                  <c:v>12/02/2012</c:v>
                </c:pt>
                <c:pt idx="48">
                  <c:v>12/02/2012</c:v>
                </c:pt>
                <c:pt idx="49">
                  <c:v>19/02/2012</c:v>
                </c:pt>
                <c:pt idx="50">
                  <c:v>19/02/2012</c:v>
                </c:pt>
                <c:pt idx="51">
                  <c:v>19/02/2012</c:v>
                </c:pt>
                <c:pt idx="52">
                  <c:v>19/02/2012</c:v>
                </c:pt>
                <c:pt idx="53">
                  <c:v>19/02/2012</c:v>
                </c:pt>
                <c:pt idx="54">
                  <c:v>19/02/2012</c:v>
                </c:pt>
                <c:pt idx="55">
                  <c:v>19/02/2012</c:v>
                </c:pt>
                <c:pt idx="56">
                  <c:v>26/02/2012</c:v>
                </c:pt>
                <c:pt idx="57">
                  <c:v>26/02/2012</c:v>
                </c:pt>
                <c:pt idx="58">
                  <c:v>26/02/2012</c:v>
                </c:pt>
                <c:pt idx="59">
                  <c:v>26/02/2012</c:v>
                </c:pt>
                <c:pt idx="60">
                  <c:v>26/02/2012</c:v>
                </c:pt>
                <c:pt idx="61">
                  <c:v>26/02/2012</c:v>
                </c:pt>
                <c:pt idx="62">
                  <c:v>26/02/2012</c:v>
                </c:pt>
                <c:pt idx="63">
                  <c:v>04/03/2012</c:v>
                </c:pt>
                <c:pt idx="64">
                  <c:v>04/03/2012</c:v>
                </c:pt>
                <c:pt idx="65">
                  <c:v>04/03/2012</c:v>
                </c:pt>
                <c:pt idx="66">
                  <c:v>04/03/2012</c:v>
                </c:pt>
                <c:pt idx="67">
                  <c:v>04/03/2012</c:v>
                </c:pt>
                <c:pt idx="68">
                  <c:v>04/03/2012</c:v>
                </c:pt>
                <c:pt idx="69">
                  <c:v>04/03/2012</c:v>
                </c:pt>
                <c:pt idx="70">
                  <c:v>11/03/2012</c:v>
                </c:pt>
                <c:pt idx="71">
                  <c:v>11/03/2012</c:v>
                </c:pt>
                <c:pt idx="72">
                  <c:v>11/03/2012</c:v>
                </c:pt>
                <c:pt idx="73">
                  <c:v>11/03/2012</c:v>
                </c:pt>
                <c:pt idx="74">
                  <c:v>11/03/2012</c:v>
                </c:pt>
                <c:pt idx="75">
                  <c:v>11/03/2012</c:v>
                </c:pt>
                <c:pt idx="76">
                  <c:v>11/03/2012</c:v>
                </c:pt>
                <c:pt idx="77">
                  <c:v>18/03/2012</c:v>
                </c:pt>
                <c:pt idx="78">
                  <c:v>18/03/2012</c:v>
                </c:pt>
                <c:pt idx="79">
                  <c:v>18/03/2012</c:v>
                </c:pt>
                <c:pt idx="80">
                  <c:v>18/03/2012</c:v>
                </c:pt>
                <c:pt idx="81">
                  <c:v>18/03/2012</c:v>
                </c:pt>
                <c:pt idx="82">
                  <c:v>18/03/2012</c:v>
                </c:pt>
                <c:pt idx="83">
                  <c:v>18/03/2012</c:v>
                </c:pt>
                <c:pt idx="84">
                  <c:v>25/03/2012</c:v>
                </c:pt>
                <c:pt idx="85">
                  <c:v>25/03/2012</c:v>
                </c:pt>
                <c:pt idx="86">
                  <c:v>25/03/2012</c:v>
                </c:pt>
                <c:pt idx="87">
                  <c:v>25/03/2012</c:v>
                </c:pt>
                <c:pt idx="88">
                  <c:v>25/03/2012</c:v>
                </c:pt>
                <c:pt idx="89">
                  <c:v>25/03/2012</c:v>
                </c:pt>
                <c:pt idx="90">
                  <c:v>25/03/2012</c:v>
                </c:pt>
                <c:pt idx="91">
                  <c:v>01/04/2012</c:v>
                </c:pt>
                <c:pt idx="92">
                  <c:v>01/04/2012</c:v>
                </c:pt>
                <c:pt idx="93">
                  <c:v>01/04/2012</c:v>
                </c:pt>
                <c:pt idx="94">
                  <c:v>01/04/2012</c:v>
                </c:pt>
                <c:pt idx="95">
                  <c:v>01/04/2012</c:v>
                </c:pt>
                <c:pt idx="96">
                  <c:v>01/04/2012</c:v>
                </c:pt>
                <c:pt idx="97">
                  <c:v>01/04/2012</c:v>
                </c:pt>
                <c:pt idx="98">
                  <c:v>08/04/2012</c:v>
                </c:pt>
                <c:pt idx="99">
                  <c:v>08/04/2012</c:v>
                </c:pt>
                <c:pt idx="100">
                  <c:v>08/04/2012</c:v>
                </c:pt>
                <c:pt idx="101">
                  <c:v>08/04/2012</c:v>
                </c:pt>
                <c:pt idx="102">
                  <c:v>08/04/2012</c:v>
                </c:pt>
                <c:pt idx="103">
                  <c:v>08/04/2012</c:v>
                </c:pt>
                <c:pt idx="104">
                  <c:v>08/04/2012</c:v>
                </c:pt>
                <c:pt idx="105">
                  <c:v>15/04/2012</c:v>
                </c:pt>
                <c:pt idx="106">
                  <c:v>15/04/2012</c:v>
                </c:pt>
                <c:pt idx="107">
                  <c:v>15/04/2012</c:v>
                </c:pt>
                <c:pt idx="108">
                  <c:v>15/04/2012</c:v>
                </c:pt>
                <c:pt idx="109">
                  <c:v>15/04/2012</c:v>
                </c:pt>
                <c:pt idx="110">
                  <c:v>15/04/2012</c:v>
                </c:pt>
                <c:pt idx="111">
                  <c:v>15/04/2012</c:v>
                </c:pt>
                <c:pt idx="112">
                  <c:v>22/04/2012</c:v>
                </c:pt>
                <c:pt idx="113">
                  <c:v>22/04/2012</c:v>
                </c:pt>
                <c:pt idx="114">
                  <c:v>22/04/2012</c:v>
                </c:pt>
                <c:pt idx="115">
                  <c:v>22/04/2012</c:v>
                </c:pt>
                <c:pt idx="116">
                  <c:v>22/04/2012</c:v>
                </c:pt>
                <c:pt idx="117">
                  <c:v>22/04/2012</c:v>
                </c:pt>
                <c:pt idx="118">
                  <c:v>22/04/2012</c:v>
                </c:pt>
                <c:pt idx="119">
                  <c:v>29/04/2012</c:v>
                </c:pt>
                <c:pt idx="120">
                  <c:v>29/04/2012</c:v>
                </c:pt>
                <c:pt idx="121">
                  <c:v>29/04/2012</c:v>
                </c:pt>
                <c:pt idx="122">
                  <c:v>29/04/2012</c:v>
                </c:pt>
                <c:pt idx="123">
                  <c:v>29/04/2012</c:v>
                </c:pt>
                <c:pt idx="124">
                  <c:v>29/04/2012</c:v>
                </c:pt>
                <c:pt idx="125">
                  <c:v>29/04/2012</c:v>
                </c:pt>
                <c:pt idx="126">
                  <c:v>06/05/2012</c:v>
                </c:pt>
                <c:pt idx="127">
                  <c:v>06/05/2012</c:v>
                </c:pt>
                <c:pt idx="128">
                  <c:v>06/05/2012</c:v>
                </c:pt>
                <c:pt idx="129">
                  <c:v>06/05/2012</c:v>
                </c:pt>
                <c:pt idx="130">
                  <c:v>06/05/2012</c:v>
                </c:pt>
                <c:pt idx="131">
                  <c:v>06/05/2012</c:v>
                </c:pt>
                <c:pt idx="132">
                  <c:v>06/05/2012</c:v>
                </c:pt>
                <c:pt idx="133">
                  <c:v>13/05/2012</c:v>
                </c:pt>
                <c:pt idx="134">
                  <c:v>13/05/2012</c:v>
                </c:pt>
                <c:pt idx="135">
                  <c:v>13/05/2012</c:v>
                </c:pt>
                <c:pt idx="136">
                  <c:v>13/05/2012</c:v>
                </c:pt>
                <c:pt idx="137">
                  <c:v>13/05/2012</c:v>
                </c:pt>
                <c:pt idx="138">
                  <c:v>13/05/2012</c:v>
                </c:pt>
                <c:pt idx="139">
                  <c:v>13/05/2012</c:v>
                </c:pt>
                <c:pt idx="140">
                  <c:v>20/05/2012</c:v>
                </c:pt>
                <c:pt idx="141">
                  <c:v>20/05/2012</c:v>
                </c:pt>
                <c:pt idx="142">
                  <c:v>20/05/2012</c:v>
                </c:pt>
                <c:pt idx="143">
                  <c:v>20/05/2012</c:v>
                </c:pt>
                <c:pt idx="144">
                  <c:v>20/05/2012</c:v>
                </c:pt>
                <c:pt idx="145">
                  <c:v>20/05/2012</c:v>
                </c:pt>
                <c:pt idx="146">
                  <c:v>20/05/2012</c:v>
                </c:pt>
                <c:pt idx="147">
                  <c:v>27/05/2012</c:v>
                </c:pt>
                <c:pt idx="148">
                  <c:v>27/05/2012</c:v>
                </c:pt>
                <c:pt idx="149">
                  <c:v>27/05/2012</c:v>
                </c:pt>
                <c:pt idx="150">
                  <c:v>27/05/2012</c:v>
                </c:pt>
                <c:pt idx="151">
                  <c:v>27/05/2012</c:v>
                </c:pt>
                <c:pt idx="152">
                  <c:v>27/05/2012</c:v>
                </c:pt>
                <c:pt idx="153">
                  <c:v>27/05/2012</c:v>
                </c:pt>
                <c:pt idx="154">
                  <c:v>03/06/2012</c:v>
                </c:pt>
                <c:pt idx="155">
                  <c:v>03/06/2012</c:v>
                </c:pt>
                <c:pt idx="156">
                  <c:v>03/06/2012</c:v>
                </c:pt>
                <c:pt idx="157">
                  <c:v>03/06/2012</c:v>
                </c:pt>
                <c:pt idx="158">
                  <c:v>03/06/2012</c:v>
                </c:pt>
                <c:pt idx="159">
                  <c:v>03/06/2012</c:v>
                </c:pt>
                <c:pt idx="160">
                  <c:v>03/06/2012</c:v>
                </c:pt>
                <c:pt idx="161">
                  <c:v>10/06/2012</c:v>
                </c:pt>
                <c:pt idx="162">
                  <c:v>10/06/2012</c:v>
                </c:pt>
                <c:pt idx="163">
                  <c:v>10/06/2012</c:v>
                </c:pt>
                <c:pt idx="164">
                  <c:v>10/06/2012</c:v>
                </c:pt>
                <c:pt idx="165">
                  <c:v>10/06/2012</c:v>
                </c:pt>
                <c:pt idx="166">
                  <c:v>10/06/2012</c:v>
                </c:pt>
                <c:pt idx="167">
                  <c:v>10/06/2012</c:v>
                </c:pt>
                <c:pt idx="168">
                  <c:v>17/06/2012</c:v>
                </c:pt>
                <c:pt idx="169">
                  <c:v>17/06/2012</c:v>
                </c:pt>
                <c:pt idx="170">
                  <c:v>17/06/2012</c:v>
                </c:pt>
                <c:pt idx="171">
                  <c:v>17/06/2012</c:v>
                </c:pt>
                <c:pt idx="172">
                  <c:v>17/06/2012</c:v>
                </c:pt>
                <c:pt idx="173">
                  <c:v>17/06/2012</c:v>
                </c:pt>
                <c:pt idx="174">
                  <c:v>17/06/2012</c:v>
                </c:pt>
                <c:pt idx="175">
                  <c:v>24/06/2012</c:v>
                </c:pt>
                <c:pt idx="176">
                  <c:v>24/06/2012</c:v>
                </c:pt>
                <c:pt idx="177">
                  <c:v>24/06/2012</c:v>
                </c:pt>
                <c:pt idx="178">
                  <c:v>24/06/2012</c:v>
                </c:pt>
                <c:pt idx="179">
                  <c:v>24/06/2012</c:v>
                </c:pt>
                <c:pt idx="180">
                  <c:v>24/06/2012</c:v>
                </c:pt>
                <c:pt idx="181">
                  <c:v>24/06/2012</c:v>
                </c:pt>
                <c:pt idx="182">
                  <c:v>01/07/2012</c:v>
                </c:pt>
                <c:pt idx="183">
                  <c:v>01/07/2012</c:v>
                </c:pt>
                <c:pt idx="184">
                  <c:v>01/07/2012</c:v>
                </c:pt>
                <c:pt idx="185">
                  <c:v>01/07/2012</c:v>
                </c:pt>
                <c:pt idx="186">
                  <c:v>01/07/2012</c:v>
                </c:pt>
                <c:pt idx="187">
                  <c:v>01/07/2012</c:v>
                </c:pt>
                <c:pt idx="188">
                  <c:v>01/07/2012</c:v>
                </c:pt>
                <c:pt idx="189">
                  <c:v>08/07/2012</c:v>
                </c:pt>
                <c:pt idx="190">
                  <c:v>08/07/2012</c:v>
                </c:pt>
                <c:pt idx="191">
                  <c:v>08/07/2012</c:v>
                </c:pt>
                <c:pt idx="192">
                  <c:v>08/07/2012</c:v>
                </c:pt>
                <c:pt idx="193">
                  <c:v>08/07/2012</c:v>
                </c:pt>
                <c:pt idx="194">
                  <c:v>08/07/2012</c:v>
                </c:pt>
                <c:pt idx="195">
                  <c:v>08/07/2012</c:v>
                </c:pt>
                <c:pt idx="196">
                  <c:v>15/07/2012</c:v>
                </c:pt>
                <c:pt idx="197">
                  <c:v>15/07/2012</c:v>
                </c:pt>
                <c:pt idx="198">
                  <c:v>15/07/2012</c:v>
                </c:pt>
                <c:pt idx="199">
                  <c:v>15/07/2012</c:v>
                </c:pt>
                <c:pt idx="200">
                  <c:v>15/07/2012</c:v>
                </c:pt>
                <c:pt idx="201">
                  <c:v>15/07/2012</c:v>
                </c:pt>
                <c:pt idx="202">
                  <c:v>15/07/2012</c:v>
                </c:pt>
                <c:pt idx="203">
                  <c:v>22/07/2012</c:v>
                </c:pt>
                <c:pt idx="204">
                  <c:v>22/07/2012</c:v>
                </c:pt>
                <c:pt idx="205">
                  <c:v>22/07/2012</c:v>
                </c:pt>
                <c:pt idx="206">
                  <c:v>22/07/2012</c:v>
                </c:pt>
                <c:pt idx="207">
                  <c:v>22/07/2012</c:v>
                </c:pt>
                <c:pt idx="208">
                  <c:v>22/07/2012</c:v>
                </c:pt>
                <c:pt idx="209">
                  <c:v>22/07/2012</c:v>
                </c:pt>
                <c:pt idx="210">
                  <c:v>29/07/2012</c:v>
                </c:pt>
                <c:pt idx="211">
                  <c:v>29/07/2012</c:v>
                </c:pt>
                <c:pt idx="212">
                  <c:v>29/07/2012</c:v>
                </c:pt>
                <c:pt idx="213">
                  <c:v>29/07/2012</c:v>
                </c:pt>
                <c:pt idx="214">
                  <c:v>29/07/2012</c:v>
                </c:pt>
                <c:pt idx="215">
                  <c:v>29/07/2012</c:v>
                </c:pt>
                <c:pt idx="216">
                  <c:v>29/07/2012</c:v>
                </c:pt>
                <c:pt idx="217">
                  <c:v>05/08/2012</c:v>
                </c:pt>
                <c:pt idx="218">
                  <c:v>05/08/2012</c:v>
                </c:pt>
                <c:pt idx="219">
                  <c:v>05/08/2012</c:v>
                </c:pt>
                <c:pt idx="220">
                  <c:v>05/08/2012</c:v>
                </c:pt>
                <c:pt idx="221">
                  <c:v>05/08/2012</c:v>
                </c:pt>
                <c:pt idx="222">
                  <c:v>05/08/2012</c:v>
                </c:pt>
                <c:pt idx="223">
                  <c:v>05/08/2012</c:v>
                </c:pt>
                <c:pt idx="224">
                  <c:v>12/08/2012</c:v>
                </c:pt>
                <c:pt idx="225">
                  <c:v>12/08/2012</c:v>
                </c:pt>
                <c:pt idx="226">
                  <c:v>12/08/2012</c:v>
                </c:pt>
                <c:pt idx="227">
                  <c:v>12/08/2012</c:v>
                </c:pt>
                <c:pt idx="228">
                  <c:v>12/08/2012</c:v>
                </c:pt>
                <c:pt idx="229">
                  <c:v>12/08/2012</c:v>
                </c:pt>
                <c:pt idx="230">
                  <c:v>12/08/2012</c:v>
                </c:pt>
                <c:pt idx="231">
                  <c:v>19/08/2012</c:v>
                </c:pt>
                <c:pt idx="232">
                  <c:v>19/08/2012</c:v>
                </c:pt>
                <c:pt idx="233">
                  <c:v>19/08/2012</c:v>
                </c:pt>
                <c:pt idx="234">
                  <c:v>19/08/2012</c:v>
                </c:pt>
                <c:pt idx="235">
                  <c:v>19/08/2012</c:v>
                </c:pt>
                <c:pt idx="236">
                  <c:v>19/08/2012</c:v>
                </c:pt>
                <c:pt idx="237">
                  <c:v>19/08/2012</c:v>
                </c:pt>
                <c:pt idx="238">
                  <c:v>26/08/2012</c:v>
                </c:pt>
                <c:pt idx="239">
                  <c:v>26/08/2012</c:v>
                </c:pt>
                <c:pt idx="240">
                  <c:v>26/08/2012</c:v>
                </c:pt>
                <c:pt idx="241">
                  <c:v>26/08/2012</c:v>
                </c:pt>
                <c:pt idx="242">
                  <c:v>26/08/2012</c:v>
                </c:pt>
                <c:pt idx="243">
                  <c:v>26/08/2012</c:v>
                </c:pt>
                <c:pt idx="244">
                  <c:v>26/08/2012</c:v>
                </c:pt>
                <c:pt idx="245">
                  <c:v>02/09/2012</c:v>
                </c:pt>
                <c:pt idx="246">
                  <c:v>02/09/2012</c:v>
                </c:pt>
                <c:pt idx="247">
                  <c:v>02/09/2012</c:v>
                </c:pt>
                <c:pt idx="248">
                  <c:v>02/09/2012</c:v>
                </c:pt>
                <c:pt idx="249">
                  <c:v>02/09/2012</c:v>
                </c:pt>
                <c:pt idx="250">
                  <c:v>02/09/2012</c:v>
                </c:pt>
                <c:pt idx="251">
                  <c:v>02/09/2012</c:v>
                </c:pt>
                <c:pt idx="252">
                  <c:v>09/09/2012</c:v>
                </c:pt>
                <c:pt idx="253">
                  <c:v>09/09/2012</c:v>
                </c:pt>
                <c:pt idx="254">
                  <c:v>09/09/2012</c:v>
                </c:pt>
                <c:pt idx="255">
                  <c:v>09/09/2012</c:v>
                </c:pt>
                <c:pt idx="256">
                  <c:v>09/09/2012</c:v>
                </c:pt>
                <c:pt idx="257">
                  <c:v>09/09/2012</c:v>
                </c:pt>
                <c:pt idx="258">
                  <c:v>09/09/2012</c:v>
                </c:pt>
                <c:pt idx="259">
                  <c:v>16/09/2012</c:v>
                </c:pt>
                <c:pt idx="260">
                  <c:v>16/09/2012</c:v>
                </c:pt>
                <c:pt idx="261">
                  <c:v>16/09/2012</c:v>
                </c:pt>
                <c:pt idx="262">
                  <c:v>16/09/2012</c:v>
                </c:pt>
                <c:pt idx="263">
                  <c:v>16/09/2012</c:v>
                </c:pt>
                <c:pt idx="264">
                  <c:v>16/09/2012</c:v>
                </c:pt>
                <c:pt idx="265">
                  <c:v>16/09/2012</c:v>
                </c:pt>
                <c:pt idx="266">
                  <c:v>23/09/2012</c:v>
                </c:pt>
                <c:pt idx="267">
                  <c:v>23/09/2012</c:v>
                </c:pt>
                <c:pt idx="268">
                  <c:v>23/09/2012</c:v>
                </c:pt>
                <c:pt idx="269">
                  <c:v>23/09/2012</c:v>
                </c:pt>
                <c:pt idx="270">
                  <c:v>23/09/2012</c:v>
                </c:pt>
                <c:pt idx="271">
                  <c:v>23/09/2012</c:v>
                </c:pt>
                <c:pt idx="272">
                  <c:v>23/09/2012</c:v>
                </c:pt>
                <c:pt idx="273">
                  <c:v>30/09/2012</c:v>
                </c:pt>
                <c:pt idx="274">
                  <c:v>30/09/2012</c:v>
                </c:pt>
                <c:pt idx="275">
                  <c:v>30/09/2012</c:v>
                </c:pt>
                <c:pt idx="276">
                  <c:v>30/09/2012</c:v>
                </c:pt>
                <c:pt idx="277">
                  <c:v>30/09/2012</c:v>
                </c:pt>
                <c:pt idx="278">
                  <c:v>30/09/2012</c:v>
                </c:pt>
                <c:pt idx="279">
                  <c:v>30/09/2012</c:v>
                </c:pt>
                <c:pt idx="280">
                  <c:v>07/10/2012</c:v>
                </c:pt>
                <c:pt idx="281">
                  <c:v>07/10/2012</c:v>
                </c:pt>
                <c:pt idx="282">
                  <c:v>07/10/2012</c:v>
                </c:pt>
                <c:pt idx="283">
                  <c:v>07/10/2012</c:v>
                </c:pt>
                <c:pt idx="284">
                  <c:v>07/10/2012</c:v>
                </c:pt>
                <c:pt idx="285">
                  <c:v>07/10/2012</c:v>
                </c:pt>
                <c:pt idx="286">
                  <c:v>07/10/2012</c:v>
                </c:pt>
                <c:pt idx="287">
                  <c:v>14/10/2012</c:v>
                </c:pt>
                <c:pt idx="288">
                  <c:v>14/10/2012</c:v>
                </c:pt>
                <c:pt idx="289">
                  <c:v>14/10/2012</c:v>
                </c:pt>
                <c:pt idx="290">
                  <c:v>14/10/2012</c:v>
                </c:pt>
                <c:pt idx="291">
                  <c:v>14/10/2012</c:v>
                </c:pt>
                <c:pt idx="292">
                  <c:v>14/10/2012</c:v>
                </c:pt>
                <c:pt idx="293">
                  <c:v>14/10/2012</c:v>
                </c:pt>
                <c:pt idx="294">
                  <c:v>21/10/2012</c:v>
                </c:pt>
                <c:pt idx="295">
                  <c:v>21/10/2012</c:v>
                </c:pt>
                <c:pt idx="296">
                  <c:v>21/10/2012</c:v>
                </c:pt>
                <c:pt idx="297">
                  <c:v>21/10/2012</c:v>
                </c:pt>
                <c:pt idx="298">
                  <c:v>21/10/2012</c:v>
                </c:pt>
                <c:pt idx="299">
                  <c:v>21/10/2012</c:v>
                </c:pt>
                <c:pt idx="300">
                  <c:v>21/10/2012</c:v>
                </c:pt>
                <c:pt idx="301">
                  <c:v>28/10/2012</c:v>
                </c:pt>
                <c:pt idx="302">
                  <c:v>28/10/2012</c:v>
                </c:pt>
                <c:pt idx="303">
                  <c:v>28/10/2012</c:v>
                </c:pt>
                <c:pt idx="304">
                  <c:v>28/10/2012</c:v>
                </c:pt>
                <c:pt idx="305">
                  <c:v>28/10/2012</c:v>
                </c:pt>
                <c:pt idx="306">
                  <c:v>28/10/2012</c:v>
                </c:pt>
                <c:pt idx="307">
                  <c:v>28/10/2012</c:v>
                </c:pt>
                <c:pt idx="308">
                  <c:v>04/11/2012</c:v>
                </c:pt>
                <c:pt idx="309">
                  <c:v>04/11/2012</c:v>
                </c:pt>
                <c:pt idx="310">
                  <c:v>04/11/2012</c:v>
                </c:pt>
                <c:pt idx="311">
                  <c:v>04/11/2012</c:v>
                </c:pt>
                <c:pt idx="312">
                  <c:v>04/11/2012</c:v>
                </c:pt>
                <c:pt idx="313">
                  <c:v>04/11/2012</c:v>
                </c:pt>
                <c:pt idx="314">
                  <c:v>04/11/2012</c:v>
                </c:pt>
                <c:pt idx="315">
                  <c:v>11/11/2012</c:v>
                </c:pt>
                <c:pt idx="316">
                  <c:v>11/11/2012</c:v>
                </c:pt>
                <c:pt idx="317">
                  <c:v>11/11/2012</c:v>
                </c:pt>
                <c:pt idx="318">
                  <c:v>11/11/2012</c:v>
                </c:pt>
                <c:pt idx="319">
                  <c:v>11/11/2012</c:v>
                </c:pt>
                <c:pt idx="320">
                  <c:v>11/11/2012</c:v>
                </c:pt>
                <c:pt idx="321">
                  <c:v>11/11/2012</c:v>
                </c:pt>
                <c:pt idx="322">
                  <c:v>18/11/2012</c:v>
                </c:pt>
                <c:pt idx="323">
                  <c:v>18/11/2012</c:v>
                </c:pt>
                <c:pt idx="324">
                  <c:v>18/11/2012</c:v>
                </c:pt>
                <c:pt idx="325">
                  <c:v>18/11/2012</c:v>
                </c:pt>
                <c:pt idx="326">
                  <c:v>18/11/2012</c:v>
                </c:pt>
                <c:pt idx="327">
                  <c:v>18/11/2012</c:v>
                </c:pt>
                <c:pt idx="328">
                  <c:v>18/11/2012</c:v>
                </c:pt>
                <c:pt idx="329">
                  <c:v>25/11/2012</c:v>
                </c:pt>
                <c:pt idx="330">
                  <c:v>25/11/2012</c:v>
                </c:pt>
                <c:pt idx="331">
                  <c:v>25/11/2012</c:v>
                </c:pt>
                <c:pt idx="332">
                  <c:v>25/11/2012</c:v>
                </c:pt>
                <c:pt idx="333">
                  <c:v>25/11/2012</c:v>
                </c:pt>
                <c:pt idx="334">
                  <c:v>25/11/2012</c:v>
                </c:pt>
                <c:pt idx="335">
                  <c:v>25/11/2012</c:v>
                </c:pt>
                <c:pt idx="336">
                  <c:v>02/12/2012</c:v>
                </c:pt>
                <c:pt idx="337">
                  <c:v>02/12/2012</c:v>
                </c:pt>
                <c:pt idx="338">
                  <c:v>02/12/2012</c:v>
                </c:pt>
                <c:pt idx="339">
                  <c:v>02/12/2012</c:v>
                </c:pt>
                <c:pt idx="340">
                  <c:v>02/12/2012</c:v>
                </c:pt>
                <c:pt idx="341">
                  <c:v>02/12/2012</c:v>
                </c:pt>
                <c:pt idx="342">
                  <c:v>02/12/2012</c:v>
                </c:pt>
                <c:pt idx="343">
                  <c:v>09/12/2012</c:v>
                </c:pt>
                <c:pt idx="344">
                  <c:v>09/12/2012</c:v>
                </c:pt>
                <c:pt idx="345">
                  <c:v>09/12/2012</c:v>
                </c:pt>
                <c:pt idx="346">
                  <c:v>09/12/2012</c:v>
                </c:pt>
                <c:pt idx="347">
                  <c:v>09/12/2012</c:v>
                </c:pt>
                <c:pt idx="348">
                  <c:v>09/12/2012</c:v>
                </c:pt>
                <c:pt idx="349">
                  <c:v>09/12/2012</c:v>
                </c:pt>
                <c:pt idx="350">
                  <c:v>16/12/2012</c:v>
                </c:pt>
                <c:pt idx="351">
                  <c:v>16/12/2012</c:v>
                </c:pt>
                <c:pt idx="352">
                  <c:v>16/12/2012</c:v>
                </c:pt>
                <c:pt idx="353">
                  <c:v>16/12/2012</c:v>
                </c:pt>
                <c:pt idx="354">
                  <c:v>16/12/2012</c:v>
                </c:pt>
                <c:pt idx="355">
                  <c:v>16/12/2012</c:v>
                </c:pt>
                <c:pt idx="356">
                  <c:v>16/12/2012</c:v>
                </c:pt>
                <c:pt idx="357">
                  <c:v>23/12/2012</c:v>
                </c:pt>
                <c:pt idx="358">
                  <c:v>23/12/2012</c:v>
                </c:pt>
                <c:pt idx="359">
                  <c:v>23/12/2012</c:v>
                </c:pt>
                <c:pt idx="360">
                  <c:v>23/12/2012</c:v>
                </c:pt>
                <c:pt idx="361">
                  <c:v>23/12/2012</c:v>
                </c:pt>
                <c:pt idx="362">
                  <c:v>23/12/2012</c:v>
                </c:pt>
                <c:pt idx="363">
                  <c:v>23/12/2012</c:v>
                </c:pt>
                <c:pt idx="364">
                  <c:v>30/12/2012</c:v>
                </c:pt>
                <c:pt idx="365">
                  <c:v>30/12/2012</c:v>
                </c:pt>
                <c:pt idx="366">
                  <c:v>30/12/2012</c:v>
                </c:pt>
                <c:pt idx="367">
                  <c:v>30/12/2012</c:v>
                </c:pt>
                <c:pt idx="368">
                  <c:v>30/12/2012</c:v>
                </c:pt>
                <c:pt idx="369">
                  <c:v>30/12/2012</c:v>
                </c:pt>
                <c:pt idx="370">
                  <c:v>30/12/2012</c:v>
                </c:pt>
                <c:pt idx="371">
                  <c:v>06/01/2013</c:v>
                </c:pt>
                <c:pt idx="372">
                  <c:v>06/01/2013</c:v>
                </c:pt>
                <c:pt idx="373">
                  <c:v>06/01/2013</c:v>
                </c:pt>
                <c:pt idx="374">
                  <c:v>06/01/2013</c:v>
                </c:pt>
                <c:pt idx="375">
                  <c:v>06/01/2013</c:v>
                </c:pt>
                <c:pt idx="376">
                  <c:v>06/01/2013</c:v>
                </c:pt>
                <c:pt idx="377">
                  <c:v>06/01/2013</c:v>
                </c:pt>
                <c:pt idx="378">
                  <c:v>13/01/2013</c:v>
                </c:pt>
                <c:pt idx="379">
                  <c:v>13/01/2013</c:v>
                </c:pt>
                <c:pt idx="380">
                  <c:v>13/01/2013</c:v>
                </c:pt>
                <c:pt idx="381">
                  <c:v>13/01/2013</c:v>
                </c:pt>
                <c:pt idx="382">
                  <c:v>13/01/2013</c:v>
                </c:pt>
                <c:pt idx="383">
                  <c:v>13/01/2013</c:v>
                </c:pt>
                <c:pt idx="384">
                  <c:v>13/01/2013</c:v>
                </c:pt>
                <c:pt idx="385">
                  <c:v>20/01/2013</c:v>
                </c:pt>
                <c:pt idx="386">
                  <c:v>20/01/2013</c:v>
                </c:pt>
                <c:pt idx="387">
                  <c:v>20/01/2013</c:v>
                </c:pt>
                <c:pt idx="388">
                  <c:v>20/01/2013</c:v>
                </c:pt>
                <c:pt idx="389">
                  <c:v>20/01/2013</c:v>
                </c:pt>
                <c:pt idx="390">
                  <c:v>20/01/2013</c:v>
                </c:pt>
                <c:pt idx="391">
                  <c:v>20/01/2013</c:v>
                </c:pt>
                <c:pt idx="392">
                  <c:v>27/01/2013</c:v>
                </c:pt>
                <c:pt idx="393">
                  <c:v>27/01/2013</c:v>
                </c:pt>
                <c:pt idx="394">
                  <c:v>27/01/2013</c:v>
                </c:pt>
                <c:pt idx="395">
                  <c:v>27/01/2013</c:v>
                </c:pt>
                <c:pt idx="396">
                  <c:v>27/01/2013</c:v>
                </c:pt>
                <c:pt idx="397">
                  <c:v>27/01/2013</c:v>
                </c:pt>
                <c:pt idx="398">
                  <c:v>27/01/2013</c:v>
                </c:pt>
                <c:pt idx="399">
                  <c:v>03/02/2013</c:v>
                </c:pt>
                <c:pt idx="400">
                  <c:v>03/02/2013</c:v>
                </c:pt>
                <c:pt idx="401">
                  <c:v>03/02/2013</c:v>
                </c:pt>
                <c:pt idx="402">
                  <c:v>03/02/2013</c:v>
                </c:pt>
                <c:pt idx="403">
                  <c:v>03/02/2013</c:v>
                </c:pt>
                <c:pt idx="404">
                  <c:v>03/02/2013</c:v>
                </c:pt>
                <c:pt idx="405">
                  <c:v>03/02/2013</c:v>
                </c:pt>
                <c:pt idx="406">
                  <c:v>10/02/2013</c:v>
                </c:pt>
                <c:pt idx="407">
                  <c:v>10/02/2013</c:v>
                </c:pt>
                <c:pt idx="408">
                  <c:v>10/02/2013</c:v>
                </c:pt>
                <c:pt idx="409">
                  <c:v>10/02/2013</c:v>
                </c:pt>
                <c:pt idx="410">
                  <c:v>10/02/2013</c:v>
                </c:pt>
                <c:pt idx="411">
                  <c:v>10/02/2013</c:v>
                </c:pt>
                <c:pt idx="412">
                  <c:v>10/02/2013</c:v>
                </c:pt>
                <c:pt idx="413">
                  <c:v>17/02/2013</c:v>
                </c:pt>
                <c:pt idx="414">
                  <c:v>17/02/2013</c:v>
                </c:pt>
                <c:pt idx="415">
                  <c:v>17/02/2013</c:v>
                </c:pt>
                <c:pt idx="416">
                  <c:v>17/02/2013</c:v>
                </c:pt>
                <c:pt idx="417">
                  <c:v>17/02/2013</c:v>
                </c:pt>
                <c:pt idx="418">
                  <c:v>17/02/2013</c:v>
                </c:pt>
                <c:pt idx="419">
                  <c:v>17/02/2013</c:v>
                </c:pt>
                <c:pt idx="420">
                  <c:v>24/02/2013</c:v>
                </c:pt>
                <c:pt idx="421">
                  <c:v>24/02/2013</c:v>
                </c:pt>
                <c:pt idx="422">
                  <c:v>24/02/2013</c:v>
                </c:pt>
                <c:pt idx="423">
                  <c:v>24/02/2013</c:v>
                </c:pt>
                <c:pt idx="424">
                  <c:v>24/02/2013</c:v>
                </c:pt>
                <c:pt idx="425">
                  <c:v>24/02/2013</c:v>
                </c:pt>
                <c:pt idx="426">
                  <c:v>24/02/2013</c:v>
                </c:pt>
                <c:pt idx="427">
                  <c:v>03/03/2013</c:v>
                </c:pt>
                <c:pt idx="428">
                  <c:v>03/03/2013</c:v>
                </c:pt>
                <c:pt idx="429">
                  <c:v>03/03/2013</c:v>
                </c:pt>
                <c:pt idx="430">
                  <c:v>03/03/2013</c:v>
                </c:pt>
                <c:pt idx="431">
                  <c:v>03/03/2013</c:v>
                </c:pt>
                <c:pt idx="432">
                  <c:v>03/03/2013</c:v>
                </c:pt>
                <c:pt idx="433">
                  <c:v>03/03/2013</c:v>
                </c:pt>
                <c:pt idx="434">
                  <c:v>10/03/2013</c:v>
                </c:pt>
                <c:pt idx="435">
                  <c:v>10/03/2013</c:v>
                </c:pt>
                <c:pt idx="436">
                  <c:v>10/03/2013</c:v>
                </c:pt>
                <c:pt idx="437">
                  <c:v>10/03/2013</c:v>
                </c:pt>
                <c:pt idx="438">
                  <c:v>10/03/2013</c:v>
                </c:pt>
                <c:pt idx="439">
                  <c:v>10/03/2013</c:v>
                </c:pt>
                <c:pt idx="440">
                  <c:v>10/03/2013</c:v>
                </c:pt>
                <c:pt idx="441">
                  <c:v>17/03/2013</c:v>
                </c:pt>
                <c:pt idx="442">
                  <c:v>17/03/2013</c:v>
                </c:pt>
                <c:pt idx="443">
                  <c:v>17/03/2013</c:v>
                </c:pt>
                <c:pt idx="444">
                  <c:v>17/03/2013</c:v>
                </c:pt>
                <c:pt idx="445">
                  <c:v>17/03/2013</c:v>
                </c:pt>
                <c:pt idx="446">
                  <c:v>17/03/2013</c:v>
                </c:pt>
                <c:pt idx="447">
                  <c:v>17/03/2013</c:v>
                </c:pt>
                <c:pt idx="448">
                  <c:v>24/03/2013</c:v>
                </c:pt>
                <c:pt idx="449">
                  <c:v>24/03/2013</c:v>
                </c:pt>
                <c:pt idx="450">
                  <c:v>24/03/2013</c:v>
                </c:pt>
                <c:pt idx="451">
                  <c:v>24/03/2013</c:v>
                </c:pt>
                <c:pt idx="452">
                  <c:v>24/03/2013</c:v>
                </c:pt>
                <c:pt idx="453">
                  <c:v>24/03/2013</c:v>
                </c:pt>
                <c:pt idx="454">
                  <c:v>24/03/2013</c:v>
                </c:pt>
                <c:pt idx="455">
                  <c:v>31/03/2013</c:v>
                </c:pt>
                <c:pt idx="456">
                  <c:v>31/03/2013</c:v>
                </c:pt>
                <c:pt idx="457">
                  <c:v>31/03/2013</c:v>
                </c:pt>
                <c:pt idx="458">
                  <c:v>31/03/2013</c:v>
                </c:pt>
                <c:pt idx="459">
                  <c:v>31/03/2013</c:v>
                </c:pt>
                <c:pt idx="460">
                  <c:v>31/03/2013</c:v>
                </c:pt>
                <c:pt idx="461">
                  <c:v>31/03/2013</c:v>
                </c:pt>
                <c:pt idx="462">
                  <c:v>07/04/2013</c:v>
                </c:pt>
                <c:pt idx="463">
                  <c:v>07/04/2013</c:v>
                </c:pt>
                <c:pt idx="464">
                  <c:v>07/04/2013</c:v>
                </c:pt>
                <c:pt idx="465">
                  <c:v>07/04/2013</c:v>
                </c:pt>
                <c:pt idx="466">
                  <c:v>07/04/2013</c:v>
                </c:pt>
                <c:pt idx="467">
                  <c:v>07/04/2013</c:v>
                </c:pt>
                <c:pt idx="468">
                  <c:v>07/04/2013</c:v>
                </c:pt>
                <c:pt idx="469">
                  <c:v>14/04/2013</c:v>
                </c:pt>
                <c:pt idx="470">
                  <c:v>14/04/2013</c:v>
                </c:pt>
                <c:pt idx="471">
                  <c:v>14/04/2013</c:v>
                </c:pt>
                <c:pt idx="472">
                  <c:v>14/04/2013</c:v>
                </c:pt>
                <c:pt idx="473">
                  <c:v>14/04/2013</c:v>
                </c:pt>
                <c:pt idx="474">
                  <c:v>14/04/2013</c:v>
                </c:pt>
                <c:pt idx="475">
                  <c:v>14/04/2013</c:v>
                </c:pt>
                <c:pt idx="476">
                  <c:v>21/04/2013</c:v>
                </c:pt>
                <c:pt idx="477">
                  <c:v>21/04/2013</c:v>
                </c:pt>
                <c:pt idx="478">
                  <c:v>21/04/2013</c:v>
                </c:pt>
                <c:pt idx="479">
                  <c:v>21/04/2013</c:v>
                </c:pt>
                <c:pt idx="480">
                  <c:v>21/04/2013</c:v>
                </c:pt>
                <c:pt idx="481">
                  <c:v>21/04/2013</c:v>
                </c:pt>
                <c:pt idx="482">
                  <c:v>21/04/2013</c:v>
                </c:pt>
                <c:pt idx="483">
                  <c:v>28/04/2013</c:v>
                </c:pt>
                <c:pt idx="484">
                  <c:v>28/04/2013</c:v>
                </c:pt>
                <c:pt idx="485">
                  <c:v>28/04/2013</c:v>
                </c:pt>
                <c:pt idx="486">
                  <c:v>28/04/2013</c:v>
                </c:pt>
                <c:pt idx="487">
                  <c:v>28/04/2013</c:v>
                </c:pt>
                <c:pt idx="488">
                  <c:v>28/04/2013</c:v>
                </c:pt>
                <c:pt idx="489">
                  <c:v>28/04/2013</c:v>
                </c:pt>
                <c:pt idx="490">
                  <c:v>05/05/2013</c:v>
                </c:pt>
                <c:pt idx="491">
                  <c:v>05/05/2013</c:v>
                </c:pt>
                <c:pt idx="492">
                  <c:v>05/05/2013</c:v>
                </c:pt>
                <c:pt idx="493">
                  <c:v>05/05/2013</c:v>
                </c:pt>
                <c:pt idx="494">
                  <c:v>05/05/2013</c:v>
                </c:pt>
                <c:pt idx="495">
                  <c:v>05/05/2013</c:v>
                </c:pt>
                <c:pt idx="496">
                  <c:v>05/05/2013</c:v>
                </c:pt>
                <c:pt idx="497">
                  <c:v>12/05/2013</c:v>
                </c:pt>
                <c:pt idx="498">
                  <c:v>12/05/2013</c:v>
                </c:pt>
                <c:pt idx="499">
                  <c:v>12/05/2013</c:v>
                </c:pt>
                <c:pt idx="500">
                  <c:v>12/05/2013</c:v>
                </c:pt>
                <c:pt idx="501">
                  <c:v>12/05/2013</c:v>
                </c:pt>
                <c:pt idx="502">
                  <c:v>12/05/2013</c:v>
                </c:pt>
                <c:pt idx="503">
                  <c:v>12/05/2013</c:v>
                </c:pt>
                <c:pt idx="504">
                  <c:v>19/05/2013</c:v>
                </c:pt>
                <c:pt idx="505">
                  <c:v>19/05/2013</c:v>
                </c:pt>
                <c:pt idx="506">
                  <c:v>19/05/2013</c:v>
                </c:pt>
                <c:pt idx="507">
                  <c:v>19/05/2013</c:v>
                </c:pt>
                <c:pt idx="508">
                  <c:v>19/05/2013</c:v>
                </c:pt>
                <c:pt idx="509">
                  <c:v>19/05/2013</c:v>
                </c:pt>
                <c:pt idx="510">
                  <c:v>19/05/2013</c:v>
                </c:pt>
                <c:pt idx="511">
                  <c:v>26/05/2013</c:v>
                </c:pt>
                <c:pt idx="512">
                  <c:v>26/05/2013</c:v>
                </c:pt>
                <c:pt idx="513">
                  <c:v>26/05/2013</c:v>
                </c:pt>
                <c:pt idx="514">
                  <c:v>26/05/2013</c:v>
                </c:pt>
                <c:pt idx="515">
                  <c:v>26/05/2013</c:v>
                </c:pt>
                <c:pt idx="516">
                  <c:v>26/05/2013</c:v>
                </c:pt>
                <c:pt idx="517">
                  <c:v>26/05/2013</c:v>
                </c:pt>
                <c:pt idx="518">
                  <c:v>02/06/2013</c:v>
                </c:pt>
                <c:pt idx="519">
                  <c:v>02/06/2013</c:v>
                </c:pt>
                <c:pt idx="520">
                  <c:v>02/06/2013</c:v>
                </c:pt>
                <c:pt idx="521">
                  <c:v>02/06/2013</c:v>
                </c:pt>
                <c:pt idx="522">
                  <c:v>02/06/2013</c:v>
                </c:pt>
                <c:pt idx="523">
                  <c:v>02/06/2013</c:v>
                </c:pt>
                <c:pt idx="524">
                  <c:v>02/06/2013</c:v>
                </c:pt>
                <c:pt idx="525">
                  <c:v>09/06/2013</c:v>
                </c:pt>
                <c:pt idx="526">
                  <c:v>09/06/2013</c:v>
                </c:pt>
                <c:pt idx="527">
                  <c:v>09/06/2013</c:v>
                </c:pt>
                <c:pt idx="528">
                  <c:v>09/06/2013</c:v>
                </c:pt>
                <c:pt idx="529">
                  <c:v>09/06/2013</c:v>
                </c:pt>
                <c:pt idx="530">
                  <c:v>09/06/2013</c:v>
                </c:pt>
                <c:pt idx="531">
                  <c:v>09/06/2013</c:v>
                </c:pt>
                <c:pt idx="532">
                  <c:v>16/06/2013</c:v>
                </c:pt>
                <c:pt idx="533">
                  <c:v>16/06/2013</c:v>
                </c:pt>
                <c:pt idx="534">
                  <c:v>16/06/2013</c:v>
                </c:pt>
                <c:pt idx="535">
                  <c:v>16/06/2013</c:v>
                </c:pt>
                <c:pt idx="536">
                  <c:v>16/06/2013</c:v>
                </c:pt>
                <c:pt idx="537">
                  <c:v>16/06/2013</c:v>
                </c:pt>
                <c:pt idx="538">
                  <c:v>16/06/2013</c:v>
                </c:pt>
                <c:pt idx="539">
                  <c:v>23/06/2013</c:v>
                </c:pt>
                <c:pt idx="540">
                  <c:v>23/06/2013</c:v>
                </c:pt>
                <c:pt idx="541">
                  <c:v>23/06/2013</c:v>
                </c:pt>
                <c:pt idx="542">
                  <c:v>23/06/2013</c:v>
                </c:pt>
                <c:pt idx="543">
                  <c:v>23/06/2013</c:v>
                </c:pt>
                <c:pt idx="544">
                  <c:v>23/06/2013</c:v>
                </c:pt>
                <c:pt idx="545">
                  <c:v>23/06/2013</c:v>
                </c:pt>
                <c:pt idx="546">
                  <c:v>30/06/2013</c:v>
                </c:pt>
                <c:pt idx="547">
                  <c:v>30/06/2013</c:v>
                </c:pt>
                <c:pt idx="548">
                  <c:v>30/06/2013</c:v>
                </c:pt>
                <c:pt idx="549">
                  <c:v>30/06/2013</c:v>
                </c:pt>
                <c:pt idx="550">
                  <c:v>30/06/2013</c:v>
                </c:pt>
                <c:pt idx="551">
                  <c:v>30/06/2013</c:v>
                </c:pt>
                <c:pt idx="552">
                  <c:v>30/06/2013</c:v>
                </c:pt>
                <c:pt idx="553">
                  <c:v>07/07/2013</c:v>
                </c:pt>
                <c:pt idx="554">
                  <c:v>07/07/2013</c:v>
                </c:pt>
                <c:pt idx="555">
                  <c:v>07/07/2013</c:v>
                </c:pt>
                <c:pt idx="556">
                  <c:v>07/07/2013</c:v>
                </c:pt>
                <c:pt idx="557">
                  <c:v>07/07/2013</c:v>
                </c:pt>
                <c:pt idx="558">
                  <c:v>07/07/2013</c:v>
                </c:pt>
                <c:pt idx="559">
                  <c:v>07/07/2013</c:v>
                </c:pt>
                <c:pt idx="560">
                  <c:v>14/07/2013</c:v>
                </c:pt>
                <c:pt idx="561">
                  <c:v>14/07/2013</c:v>
                </c:pt>
                <c:pt idx="562">
                  <c:v>14/07/2013</c:v>
                </c:pt>
                <c:pt idx="563">
                  <c:v>14/07/2013</c:v>
                </c:pt>
                <c:pt idx="564">
                  <c:v>14/07/2013</c:v>
                </c:pt>
                <c:pt idx="565">
                  <c:v>14/07/2013</c:v>
                </c:pt>
                <c:pt idx="566">
                  <c:v>14/07/2013</c:v>
                </c:pt>
                <c:pt idx="567">
                  <c:v>21/07/2013</c:v>
                </c:pt>
                <c:pt idx="568">
                  <c:v>21/07/2013</c:v>
                </c:pt>
                <c:pt idx="569">
                  <c:v>21/07/2013</c:v>
                </c:pt>
                <c:pt idx="570">
                  <c:v>21/07/2013</c:v>
                </c:pt>
                <c:pt idx="571">
                  <c:v>21/07/2013</c:v>
                </c:pt>
                <c:pt idx="572">
                  <c:v>21/07/2013</c:v>
                </c:pt>
                <c:pt idx="573">
                  <c:v>21/07/2013</c:v>
                </c:pt>
                <c:pt idx="574">
                  <c:v>28/07/2013</c:v>
                </c:pt>
                <c:pt idx="575">
                  <c:v>28/07/2013</c:v>
                </c:pt>
                <c:pt idx="576">
                  <c:v>28/07/2013</c:v>
                </c:pt>
                <c:pt idx="577">
                  <c:v>28/07/2013</c:v>
                </c:pt>
                <c:pt idx="578">
                  <c:v>28/07/2013</c:v>
                </c:pt>
                <c:pt idx="579">
                  <c:v>28/07/2013</c:v>
                </c:pt>
                <c:pt idx="580">
                  <c:v>28/07/2013</c:v>
                </c:pt>
                <c:pt idx="581">
                  <c:v>04/08/2013</c:v>
                </c:pt>
                <c:pt idx="582">
                  <c:v>04/08/2013</c:v>
                </c:pt>
                <c:pt idx="583">
                  <c:v>04/08/2013</c:v>
                </c:pt>
                <c:pt idx="584">
                  <c:v>04/08/2013</c:v>
                </c:pt>
                <c:pt idx="585">
                  <c:v>04/08/2013</c:v>
                </c:pt>
                <c:pt idx="586">
                  <c:v>04/08/2013</c:v>
                </c:pt>
                <c:pt idx="587">
                  <c:v>04/08/2013</c:v>
                </c:pt>
                <c:pt idx="588">
                  <c:v>11/08/2013</c:v>
                </c:pt>
                <c:pt idx="589">
                  <c:v>11/08/2013</c:v>
                </c:pt>
                <c:pt idx="590">
                  <c:v>11/08/2013</c:v>
                </c:pt>
                <c:pt idx="591">
                  <c:v>11/08/2013</c:v>
                </c:pt>
                <c:pt idx="592">
                  <c:v>11/08/2013</c:v>
                </c:pt>
                <c:pt idx="593">
                  <c:v>11/08/2013</c:v>
                </c:pt>
                <c:pt idx="594">
                  <c:v>11/08/2013</c:v>
                </c:pt>
                <c:pt idx="595">
                  <c:v>18/08/2013</c:v>
                </c:pt>
                <c:pt idx="596">
                  <c:v>18/08/2013</c:v>
                </c:pt>
                <c:pt idx="597">
                  <c:v>18/08/2013</c:v>
                </c:pt>
                <c:pt idx="598">
                  <c:v>18/08/2013</c:v>
                </c:pt>
                <c:pt idx="599">
                  <c:v>18/08/2013</c:v>
                </c:pt>
                <c:pt idx="600">
                  <c:v>18/08/2013</c:v>
                </c:pt>
                <c:pt idx="601">
                  <c:v>18/08/2013</c:v>
                </c:pt>
                <c:pt idx="602">
                  <c:v>25/08/2013</c:v>
                </c:pt>
                <c:pt idx="603">
                  <c:v>25/08/2013</c:v>
                </c:pt>
                <c:pt idx="604">
                  <c:v>25/08/2013</c:v>
                </c:pt>
                <c:pt idx="605">
                  <c:v>25/08/2013</c:v>
                </c:pt>
                <c:pt idx="606">
                  <c:v>25/08/2013</c:v>
                </c:pt>
                <c:pt idx="607">
                  <c:v>25/08/2013</c:v>
                </c:pt>
                <c:pt idx="608">
                  <c:v>25/08/2013</c:v>
                </c:pt>
                <c:pt idx="609">
                  <c:v>01/09/2013</c:v>
                </c:pt>
                <c:pt idx="610">
                  <c:v>01/09/2013</c:v>
                </c:pt>
                <c:pt idx="611">
                  <c:v>01/09/2013</c:v>
                </c:pt>
                <c:pt idx="612">
                  <c:v>01/09/2013</c:v>
                </c:pt>
                <c:pt idx="613">
                  <c:v>01/09/2013</c:v>
                </c:pt>
                <c:pt idx="614">
                  <c:v>01/09/2013</c:v>
                </c:pt>
                <c:pt idx="615">
                  <c:v>01/09/2013</c:v>
                </c:pt>
                <c:pt idx="616">
                  <c:v>08/09/2013</c:v>
                </c:pt>
                <c:pt idx="617">
                  <c:v>08/09/2013</c:v>
                </c:pt>
                <c:pt idx="618">
                  <c:v>08/09/2013</c:v>
                </c:pt>
                <c:pt idx="619">
                  <c:v>08/09/2013</c:v>
                </c:pt>
                <c:pt idx="620">
                  <c:v>08/09/2013</c:v>
                </c:pt>
                <c:pt idx="621">
                  <c:v>08/09/2013</c:v>
                </c:pt>
                <c:pt idx="622">
                  <c:v>08/09/2013</c:v>
                </c:pt>
                <c:pt idx="623">
                  <c:v>15/09/2013</c:v>
                </c:pt>
                <c:pt idx="624">
                  <c:v>15/09/2013</c:v>
                </c:pt>
                <c:pt idx="625">
                  <c:v>15/09/2013</c:v>
                </c:pt>
                <c:pt idx="626">
                  <c:v>15/09/2013</c:v>
                </c:pt>
                <c:pt idx="627">
                  <c:v>15/09/2013</c:v>
                </c:pt>
                <c:pt idx="628">
                  <c:v>15/09/2013</c:v>
                </c:pt>
                <c:pt idx="629">
                  <c:v>15/09/2013</c:v>
                </c:pt>
                <c:pt idx="630">
                  <c:v>22/09/2013</c:v>
                </c:pt>
                <c:pt idx="631">
                  <c:v>22/09/2013</c:v>
                </c:pt>
                <c:pt idx="632">
                  <c:v>22/09/2013</c:v>
                </c:pt>
                <c:pt idx="633">
                  <c:v>22/09/2013</c:v>
                </c:pt>
                <c:pt idx="634">
                  <c:v>22/09/2013</c:v>
                </c:pt>
                <c:pt idx="635">
                  <c:v>22/09/2013</c:v>
                </c:pt>
                <c:pt idx="636">
                  <c:v>22/09/2013</c:v>
                </c:pt>
                <c:pt idx="637">
                  <c:v>29/09/2013</c:v>
                </c:pt>
                <c:pt idx="638">
                  <c:v>29/09/2013</c:v>
                </c:pt>
                <c:pt idx="639">
                  <c:v>29/09/2013</c:v>
                </c:pt>
                <c:pt idx="640">
                  <c:v>29/09/2013</c:v>
                </c:pt>
                <c:pt idx="641">
                  <c:v>29/09/2013</c:v>
                </c:pt>
                <c:pt idx="642">
                  <c:v>29/09/2013</c:v>
                </c:pt>
                <c:pt idx="643">
                  <c:v>29/09/2013</c:v>
                </c:pt>
                <c:pt idx="644">
                  <c:v>06/10/2013</c:v>
                </c:pt>
                <c:pt idx="645">
                  <c:v>06/10/2013</c:v>
                </c:pt>
                <c:pt idx="646">
                  <c:v>06/10/2013</c:v>
                </c:pt>
                <c:pt idx="647">
                  <c:v>06/10/2013</c:v>
                </c:pt>
                <c:pt idx="648">
                  <c:v>06/10/2013</c:v>
                </c:pt>
                <c:pt idx="649">
                  <c:v>06/10/2013</c:v>
                </c:pt>
                <c:pt idx="650">
                  <c:v>06/10/2013</c:v>
                </c:pt>
                <c:pt idx="651">
                  <c:v>13/10/2013</c:v>
                </c:pt>
                <c:pt idx="652">
                  <c:v>13/10/2013</c:v>
                </c:pt>
                <c:pt idx="653">
                  <c:v>13/10/2013</c:v>
                </c:pt>
                <c:pt idx="654">
                  <c:v>13/10/2013</c:v>
                </c:pt>
                <c:pt idx="655">
                  <c:v>13/10/2013</c:v>
                </c:pt>
                <c:pt idx="656">
                  <c:v>13/10/2013</c:v>
                </c:pt>
                <c:pt idx="657">
                  <c:v>13/10/2013</c:v>
                </c:pt>
                <c:pt idx="658">
                  <c:v>20/10/2013</c:v>
                </c:pt>
                <c:pt idx="659">
                  <c:v>20/10/2013</c:v>
                </c:pt>
                <c:pt idx="660">
                  <c:v>20/10/2013</c:v>
                </c:pt>
                <c:pt idx="661">
                  <c:v>20/10/2013</c:v>
                </c:pt>
                <c:pt idx="662">
                  <c:v>20/10/2013</c:v>
                </c:pt>
                <c:pt idx="663">
                  <c:v>20/10/2013</c:v>
                </c:pt>
                <c:pt idx="664">
                  <c:v>20/10/2013</c:v>
                </c:pt>
                <c:pt idx="665">
                  <c:v>27/10/2013</c:v>
                </c:pt>
                <c:pt idx="666">
                  <c:v>27/10/2013</c:v>
                </c:pt>
                <c:pt idx="667">
                  <c:v>27/10/2013</c:v>
                </c:pt>
                <c:pt idx="668">
                  <c:v>27/10/2013</c:v>
                </c:pt>
                <c:pt idx="669">
                  <c:v>27/10/2013</c:v>
                </c:pt>
                <c:pt idx="670">
                  <c:v>27/10/2013</c:v>
                </c:pt>
                <c:pt idx="671">
                  <c:v>27/10/2013</c:v>
                </c:pt>
                <c:pt idx="672">
                  <c:v>03/11/2013</c:v>
                </c:pt>
                <c:pt idx="673">
                  <c:v>03/11/2013</c:v>
                </c:pt>
                <c:pt idx="674">
                  <c:v>03/11/2013</c:v>
                </c:pt>
                <c:pt idx="675">
                  <c:v>03/11/2013</c:v>
                </c:pt>
                <c:pt idx="676">
                  <c:v>03/11/2013</c:v>
                </c:pt>
                <c:pt idx="677">
                  <c:v>03/11/2013</c:v>
                </c:pt>
                <c:pt idx="678">
                  <c:v>03/11/2013</c:v>
                </c:pt>
                <c:pt idx="679">
                  <c:v>10/11/2013</c:v>
                </c:pt>
                <c:pt idx="680">
                  <c:v>10/11/2013</c:v>
                </c:pt>
                <c:pt idx="681">
                  <c:v>10/11/2013</c:v>
                </c:pt>
                <c:pt idx="682">
                  <c:v>10/11/2013</c:v>
                </c:pt>
                <c:pt idx="683">
                  <c:v>10/11/2013</c:v>
                </c:pt>
                <c:pt idx="684">
                  <c:v>10/11/2013</c:v>
                </c:pt>
                <c:pt idx="685">
                  <c:v>10/11/2013</c:v>
                </c:pt>
                <c:pt idx="686">
                  <c:v>17/11/2013</c:v>
                </c:pt>
                <c:pt idx="687">
                  <c:v>17/11/2013</c:v>
                </c:pt>
                <c:pt idx="688">
                  <c:v>17/11/2013</c:v>
                </c:pt>
                <c:pt idx="689">
                  <c:v>17/11/2013</c:v>
                </c:pt>
                <c:pt idx="690">
                  <c:v>17/11/2013</c:v>
                </c:pt>
                <c:pt idx="691">
                  <c:v>17/11/2013</c:v>
                </c:pt>
                <c:pt idx="692">
                  <c:v>17/11/2013</c:v>
                </c:pt>
                <c:pt idx="693">
                  <c:v>24/11/2013</c:v>
                </c:pt>
                <c:pt idx="694">
                  <c:v>24/11/2013</c:v>
                </c:pt>
                <c:pt idx="695">
                  <c:v>24/11/2013</c:v>
                </c:pt>
                <c:pt idx="696">
                  <c:v>24/11/2013</c:v>
                </c:pt>
                <c:pt idx="697">
                  <c:v>24/11/2013</c:v>
                </c:pt>
                <c:pt idx="698">
                  <c:v>24/11/2013</c:v>
                </c:pt>
                <c:pt idx="699">
                  <c:v>24/11/2013</c:v>
                </c:pt>
                <c:pt idx="700">
                  <c:v>01/12/2013</c:v>
                </c:pt>
                <c:pt idx="701">
                  <c:v>01/12/2013</c:v>
                </c:pt>
                <c:pt idx="702">
                  <c:v>01/12/2013</c:v>
                </c:pt>
                <c:pt idx="703">
                  <c:v>01/12/2013</c:v>
                </c:pt>
                <c:pt idx="704">
                  <c:v>01/12/2013</c:v>
                </c:pt>
                <c:pt idx="705">
                  <c:v>01/12/2013</c:v>
                </c:pt>
                <c:pt idx="706">
                  <c:v>01/12/2013</c:v>
                </c:pt>
                <c:pt idx="707">
                  <c:v>08/12/2013</c:v>
                </c:pt>
                <c:pt idx="708">
                  <c:v>08/12/2013</c:v>
                </c:pt>
                <c:pt idx="709">
                  <c:v>08/12/2013</c:v>
                </c:pt>
                <c:pt idx="710">
                  <c:v>08/12/2013</c:v>
                </c:pt>
                <c:pt idx="711">
                  <c:v>08/12/2013</c:v>
                </c:pt>
                <c:pt idx="712">
                  <c:v>08/12/2013</c:v>
                </c:pt>
                <c:pt idx="713">
                  <c:v>08/12/2013</c:v>
                </c:pt>
                <c:pt idx="714">
                  <c:v>15/12/2013</c:v>
                </c:pt>
                <c:pt idx="715">
                  <c:v>15/12/2013</c:v>
                </c:pt>
                <c:pt idx="716">
                  <c:v>15/12/2013</c:v>
                </c:pt>
                <c:pt idx="717">
                  <c:v>15/12/2013</c:v>
                </c:pt>
                <c:pt idx="718">
                  <c:v>15/12/2013</c:v>
                </c:pt>
                <c:pt idx="719">
                  <c:v>15/12/2013</c:v>
                </c:pt>
                <c:pt idx="720">
                  <c:v>15/12/2013</c:v>
                </c:pt>
                <c:pt idx="721">
                  <c:v>22/12/2013</c:v>
                </c:pt>
                <c:pt idx="722">
                  <c:v>22/12/2013</c:v>
                </c:pt>
                <c:pt idx="723">
                  <c:v>22/12/2013</c:v>
                </c:pt>
                <c:pt idx="724">
                  <c:v>22/12/2013</c:v>
                </c:pt>
                <c:pt idx="725">
                  <c:v>22/12/2013</c:v>
                </c:pt>
                <c:pt idx="726">
                  <c:v>22/12/2013</c:v>
                </c:pt>
                <c:pt idx="727">
                  <c:v>22/12/2013</c:v>
                </c:pt>
                <c:pt idx="728">
                  <c:v>29/12/2013</c:v>
                </c:pt>
                <c:pt idx="729">
                  <c:v>29/12/2013</c:v>
                </c:pt>
                <c:pt idx="730">
                  <c:v>29/12/2013</c:v>
                </c:pt>
                <c:pt idx="731">
                  <c:v>29/12/2013</c:v>
                </c:pt>
                <c:pt idx="732">
                  <c:v>29/12/2013</c:v>
                </c:pt>
                <c:pt idx="733">
                  <c:v>29/12/2013</c:v>
                </c:pt>
                <c:pt idx="734">
                  <c:v>29/12/2013</c:v>
                </c:pt>
                <c:pt idx="735">
                  <c:v>05/01/2014</c:v>
                </c:pt>
                <c:pt idx="736">
                  <c:v>05/01/2014</c:v>
                </c:pt>
                <c:pt idx="737">
                  <c:v>05/01/2014</c:v>
                </c:pt>
                <c:pt idx="738">
                  <c:v>05/01/2014</c:v>
                </c:pt>
                <c:pt idx="739">
                  <c:v>05/01/2014</c:v>
                </c:pt>
                <c:pt idx="740">
                  <c:v>05/01/2014</c:v>
                </c:pt>
                <c:pt idx="741">
                  <c:v>05/01/2014</c:v>
                </c:pt>
                <c:pt idx="742">
                  <c:v>12/01/2014</c:v>
                </c:pt>
                <c:pt idx="743">
                  <c:v>12/01/2014</c:v>
                </c:pt>
                <c:pt idx="744">
                  <c:v>12/01/2014</c:v>
                </c:pt>
                <c:pt idx="745">
                  <c:v>12/01/2014</c:v>
                </c:pt>
                <c:pt idx="746">
                  <c:v>12/01/2014</c:v>
                </c:pt>
                <c:pt idx="747">
                  <c:v>12/01/2014</c:v>
                </c:pt>
                <c:pt idx="748">
                  <c:v>12/01/2014</c:v>
                </c:pt>
                <c:pt idx="749">
                  <c:v>19/01/2014</c:v>
                </c:pt>
                <c:pt idx="750">
                  <c:v>19/01/2014</c:v>
                </c:pt>
                <c:pt idx="751">
                  <c:v>19/01/2014</c:v>
                </c:pt>
                <c:pt idx="752">
                  <c:v>19/01/2014</c:v>
                </c:pt>
                <c:pt idx="753">
                  <c:v>19/01/2014</c:v>
                </c:pt>
                <c:pt idx="754">
                  <c:v>19/01/2014</c:v>
                </c:pt>
                <c:pt idx="755">
                  <c:v>19/01/2014</c:v>
                </c:pt>
                <c:pt idx="756">
                  <c:v>26/01/2014</c:v>
                </c:pt>
                <c:pt idx="757">
                  <c:v>26/01/2014</c:v>
                </c:pt>
                <c:pt idx="758">
                  <c:v>26/01/2014</c:v>
                </c:pt>
                <c:pt idx="759">
                  <c:v>26/01/2014</c:v>
                </c:pt>
                <c:pt idx="760">
                  <c:v>26/01/2014</c:v>
                </c:pt>
                <c:pt idx="761">
                  <c:v>26/01/2014</c:v>
                </c:pt>
                <c:pt idx="762">
                  <c:v>26/01/2014</c:v>
                </c:pt>
                <c:pt idx="763">
                  <c:v>02/02/2014</c:v>
                </c:pt>
                <c:pt idx="764">
                  <c:v>02/02/2014</c:v>
                </c:pt>
                <c:pt idx="765">
                  <c:v>02/02/2014</c:v>
                </c:pt>
                <c:pt idx="766">
                  <c:v>02/02/2014</c:v>
                </c:pt>
                <c:pt idx="767">
                  <c:v>02/02/2014</c:v>
                </c:pt>
                <c:pt idx="768">
                  <c:v>02/02/2014</c:v>
                </c:pt>
                <c:pt idx="769">
                  <c:v>02/02/2014</c:v>
                </c:pt>
                <c:pt idx="770">
                  <c:v>09/02/2014</c:v>
                </c:pt>
                <c:pt idx="771">
                  <c:v>09/02/2014</c:v>
                </c:pt>
                <c:pt idx="772">
                  <c:v>09/02/2014</c:v>
                </c:pt>
                <c:pt idx="773">
                  <c:v>09/02/2014</c:v>
                </c:pt>
                <c:pt idx="774">
                  <c:v>09/02/2014</c:v>
                </c:pt>
                <c:pt idx="775">
                  <c:v>09/02/2014</c:v>
                </c:pt>
                <c:pt idx="776">
                  <c:v>09/02/2014</c:v>
                </c:pt>
                <c:pt idx="777">
                  <c:v>16/02/2014</c:v>
                </c:pt>
                <c:pt idx="778">
                  <c:v>16/02/2014</c:v>
                </c:pt>
                <c:pt idx="779">
                  <c:v>16/02/2014</c:v>
                </c:pt>
                <c:pt idx="780">
                  <c:v>16/02/2014</c:v>
                </c:pt>
                <c:pt idx="781">
                  <c:v>16/02/2014</c:v>
                </c:pt>
                <c:pt idx="782">
                  <c:v>16/02/2014</c:v>
                </c:pt>
                <c:pt idx="783">
                  <c:v>16/02/2014</c:v>
                </c:pt>
                <c:pt idx="784">
                  <c:v>23/02/2014</c:v>
                </c:pt>
                <c:pt idx="785">
                  <c:v>23/02/2014</c:v>
                </c:pt>
                <c:pt idx="786">
                  <c:v>23/02/2014</c:v>
                </c:pt>
                <c:pt idx="787">
                  <c:v>23/02/2014</c:v>
                </c:pt>
                <c:pt idx="788">
                  <c:v>23/02/2014</c:v>
                </c:pt>
                <c:pt idx="789">
                  <c:v>23/02/2014</c:v>
                </c:pt>
                <c:pt idx="790">
                  <c:v>23/02/2014</c:v>
                </c:pt>
                <c:pt idx="791">
                  <c:v>02/03/2014</c:v>
                </c:pt>
                <c:pt idx="792">
                  <c:v>02/03/2014</c:v>
                </c:pt>
                <c:pt idx="793">
                  <c:v>02/03/2014</c:v>
                </c:pt>
                <c:pt idx="794">
                  <c:v>02/03/2014</c:v>
                </c:pt>
                <c:pt idx="795">
                  <c:v>02/03/2014</c:v>
                </c:pt>
                <c:pt idx="796">
                  <c:v>02/03/2014</c:v>
                </c:pt>
                <c:pt idx="797">
                  <c:v>02/03/2014</c:v>
                </c:pt>
                <c:pt idx="798">
                  <c:v>09/03/2014</c:v>
                </c:pt>
                <c:pt idx="799">
                  <c:v>09/03/2014</c:v>
                </c:pt>
                <c:pt idx="800">
                  <c:v>09/03/2014</c:v>
                </c:pt>
                <c:pt idx="801">
                  <c:v>09/03/2014</c:v>
                </c:pt>
                <c:pt idx="802">
                  <c:v>09/03/2014</c:v>
                </c:pt>
                <c:pt idx="803">
                  <c:v>09/03/2014</c:v>
                </c:pt>
                <c:pt idx="804">
                  <c:v>09/03/2014</c:v>
                </c:pt>
                <c:pt idx="805">
                  <c:v>16/03/2014</c:v>
                </c:pt>
                <c:pt idx="806">
                  <c:v>16/03/2014</c:v>
                </c:pt>
                <c:pt idx="807">
                  <c:v>16/03/2014</c:v>
                </c:pt>
                <c:pt idx="808">
                  <c:v>16/03/2014</c:v>
                </c:pt>
                <c:pt idx="809">
                  <c:v>16/03/2014</c:v>
                </c:pt>
                <c:pt idx="810">
                  <c:v>16/03/2014</c:v>
                </c:pt>
                <c:pt idx="811">
                  <c:v>16/03/2014</c:v>
                </c:pt>
                <c:pt idx="812">
                  <c:v>23/03/2014</c:v>
                </c:pt>
                <c:pt idx="813">
                  <c:v>23/03/2014</c:v>
                </c:pt>
                <c:pt idx="814">
                  <c:v>23/03/2014</c:v>
                </c:pt>
                <c:pt idx="815">
                  <c:v>23/03/2014</c:v>
                </c:pt>
                <c:pt idx="816">
                  <c:v>23/03/2014</c:v>
                </c:pt>
                <c:pt idx="817">
                  <c:v>23/03/2014</c:v>
                </c:pt>
                <c:pt idx="818">
                  <c:v>23/03/2014</c:v>
                </c:pt>
                <c:pt idx="819">
                  <c:v>30/03/2014</c:v>
                </c:pt>
                <c:pt idx="820">
                  <c:v>30/03/2014</c:v>
                </c:pt>
                <c:pt idx="821">
                  <c:v>30/03/2014</c:v>
                </c:pt>
                <c:pt idx="822">
                  <c:v>30/03/2014</c:v>
                </c:pt>
                <c:pt idx="823">
                  <c:v>30/03/2014</c:v>
                </c:pt>
                <c:pt idx="824">
                  <c:v>30/03/2014</c:v>
                </c:pt>
                <c:pt idx="825">
                  <c:v>30/03/2014</c:v>
                </c:pt>
                <c:pt idx="826">
                  <c:v>06/04/2014</c:v>
                </c:pt>
                <c:pt idx="827">
                  <c:v>06/04/2014</c:v>
                </c:pt>
                <c:pt idx="828">
                  <c:v>06/04/2014</c:v>
                </c:pt>
                <c:pt idx="829">
                  <c:v>06/04/2014</c:v>
                </c:pt>
                <c:pt idx="830">
                  <c:v>06/04/2014</c:v>
                </c:pt>
                <c:pt idx="831">
                  <c:v>06/04/2014</c:v>
                </c:pt>
                <c:pt idx="832">
                  <c:v>06/04/2014</c:v>
                </c:pt>
                <c:pt idx="833">
                  <c:v>13/04/2014</c:v>
                </c:pt>
                <c:pt idx="834">
                  <c:v>13/04/2014</c:v>
                </c:pt>
                <c:pt idx="835">
                  <c:v>13/04/2014</c:v>
                </c:pt>
                <c:pt idx="836">
                  <c:v>13/04/2014</c:v>
                </c:pt>
                <c:pt idx="837">
                  <c:v>13/04/2014</c:v>
                </c:pt>
                <c:pt idx="838">
                  <c:v>13/04/2014</c:v>
                </c:pt>
                <c:pt idx="839">
                  <c:v>13/04/2014</c:v>
                </c:pt>
                <c:pt idx="840">
                  <c:v>20/04/2014</c:v>
                </c:pt>
                <c:pt idx="841">
                  <c:v>20/04/2014</c:v>
                </c:pt>
                <c:pt idx="842">
                  <c:v>20/04/2014</c:v>
                </c:pt>
                <c:pt idx="843">
                  <c:v>20/04/2014</c:v>
                </c:pt>
                <c:pt idx="844">
                  <c:v>20/04/2014</c:v>
                </c:pt>
                <c:pt idx="845">
                  <c:v>20/04/2014</c:v>
                </c:pt>
                <c:pt idx="846">
                  <c:v>20/04/2014</c:v>
                </c:pt>
                <c:pt idx="847">
                  <c:v>27/04/2014</c:v>
                </c:pt>
                <c:pt idx="848">
                  <c:v>27/04/2014</c:v>
                </c:pt>
                <c:pt idx="849">
                  <c:v>27/04/2014</c:v>
                </c:pt>
                <c:pt idx="850">
                  <c:v>27/04/2014</c:v>
                </c:pt>
                <c:pt idx="851">
                  <c:v>27/04/2014</c:v>
                </c:pt>
                <c:pt idx="852">
                  <c:v>27/04/2014</c:v>
                </c:pt>
                <c:pt idx="853">
                  <c:v>27/04/2014</c:v>
                </c:pt>
                <c:pt idx="854">
                  <c:v>04/05/2014</c:v>
                </c:pt>
                <c:pt idx="855">
                  <c:v>04/05/2014</c:v>
                </c:pt>
                <c:pt idx="856">
                  <c:v>04/05/2014</c:v>
                </c:pt>
                <c:pt idx="857">
                  <c:v>04/05/2014</c:v>
                </c:pt>
                <c:pt idx="858">
                  <c:v>04/05/2014</c:v>
                </c:pt>
                <c:pt idx="859">
                  <c:v>04/05/2014</c:v>
                </c:pt>
                <c:pt idx="860">
                  <c:v>04/05/2014</c:v>
                </c:pt>
                <c:pt idx="861">
                  <c:v>11/05/2014</c:v>
                </c:pt>
                <c:pt idx="862">
                  <c:v>11/05/2014</c:v>
                </c:pt>
                <c:pt idx="863">
                  <c:v>11/05/2014</c:v>
                </c:pt>
                <c:pt idx="864">
                  <c:v>11/05/2014</c:v>
                </c:pt>
                <c:pt idx="865">
                  <c:v>11/05/2014</c:v>
                </c:pt>
                <c:pt idx="866">
                  <c:v>11/05/2014</c:v>
                </c:pt>
                <c:pt idx="867">
                  <c:v>11/05/2014</c:v>
                </c:pt>
                <c:pt idx="868">
                  <c:v>18/05/2014</c:v>
                </c:pt>
                <c:pt idx="869">
                  <c:v>18/05/2014</c:v>
                </c:pt>
                <c:pt idx="870">
                  <c:v>18/05/2014</c:v>
                </c:pt>
                <c:pt idx="871">
                  <c:v>18/05/2014</c:v>
                </c:pt>
                <c:pt idx="872">
                  <c:v>18/05/2014</c:v>
                </c:pt>
                <c:pt idx="873">
                  <c:v>18/05/2014</c:v>
                </c:pt>
                <c:pt idx="874">
                  <c:v>18/05/2014</c:v>
                </c:pt>
                <c:pt idx="875">
                  <c:v>25/05/2014</c:v>
                </c:pt>
                <c:pt idx="876">
                  <c:v>25/05/2014</c:v>
                </c:pt>
                <c:pt idx="877">
                  <c:v>25/05/2014</c:v>
                </c:pt>
                <c:pt idx="878">
                  <c:v>25/05/2014</c:v>
                </c:pt>
                <c:pt idx="879">
                  <c:v>25/05/2014</c:v>
                </c:pt>
                <c:pt idx="880">
                  <c:v>25/05/2014</c:v>
                </c:pt>
                <c:pt idx="881">
                  <c:v>25/05/2014</c:v>
                </c:pt>
                <c:pt idx="882">
                  <c:v>01/06/2014</c:v>
                </c:pt>
                <c:pt idx="883">
                  <c:v>01/06/2014</c:v>
                </c:pt>
                <c:pt idx="884">
                  <c:v>01/06/2014</c:v>
                </c:pt>
                <c:pt idx="885">
                  <c:v>01/06/2014</c:v>
                </c:pt>
                <c:pt idx="886">
                  <c:v>01/06/2014</c:v>
                </c:pt>
                <c:pt idx="887">
                  <c:v>01/06/2014</c:v>
                </c:pt>
                <c:pt idx="888">
                  <c:v>01/06/2014</c:v>
                </c:pt>
                <c:pt idx="889">
                  <c:v>08/06/2014</c:v>
                </c:pt>
                <c:pt idx="890">
                  <c:v>08/06/2014</c:v>
                </c:pt>
                <c:pt idx="891">
                  <c:v>08/06/2014</c:v>
                </c:pt>
                <c:pt idx="892">
                  <c:v>08/06/2014</c:v>
                </c:pt>
                <c:pt idx="893">
                  <c:v>08/06/2014</c:v>
                </c:pt>
                <c:pt idx="894">
                  <c:v>08/06/2014</c:v>
                </c:pt>
                <c:pt idx="895">
                  <c:v>08/06/2014</c:v>
                </c:pt>
                <c:pt idx="896">
                  <c:v>15/06/2014</c:v>
                </c:pt>
                <c:pt idx="897">
                  <c:v>15/06/2014</c:v>
                </c:pt>
                <c:pt idx="898">
                  <c:v>15/06/2014</c:v>
                </c:pt>
                <c:pt idx="899">
                  <c:v>15/06/2014</c:v>
                </c:pt>
                <c:pt idx="900">
                  <c:v>15/06/2014</c:v>
                </c:pt>
                <c:pt idx="901">
                  <c:v>15/06/2014</c:v>
                </c:pt>
                <c:pt idx="902">
                  <c:v>15/06/2014</c:v>
                </c:pt>
                <c:pt idx="903">
                  <c:v>22/06/2014</c:v>
                </c:pt>
                <c:pt idx="904">
                  <c:v>22/06/2014</c:v>
                </c:pt>
                <c:pt idx="905">
                  <c:v>22/06/2014</c:v>
                </c:pt>
                <c:pt idx="906">
                  <c:v>22/06/2014</c:v>
                </c:pt>
                <c:pt idx="907">
                  <c:v>22/06/2014</c:v>
                </c:pt>
                <c:pt idx="908">
                  <c:v>22/06/2014</c:v>
                </c:pt>
                <c:pt idx="909">
                  <c:v>22/06/2014</c:v>
                </c:pt>
                <c:pt idx="910">
                  <c:v>29/06/2014</c:v>
                </c:pt>
                <c:pt idx="911">
                  <c:v>29/06/2014</c:v>
                </c:pt>
                <c:pt idx="912">
                  <c:v>29/06/2014</c:v>
                </c:pt>
                <c:pt idx="913">
                  <c:v>29/06/2014</c:v>
                </c:pt>
                <c:pt idx="914">
                  <c:v>29/06/2014</c:v>
                </c:pt>
                <c:pt idx="915">
                  <c:v>29/06/2014</c:v>
                </c:pt>
                <c:pt idx="916">
                  <c:v>29/06/2014</c:v>
                </c:pt>
                <c:pt idx="917">
                  <c:v>06/07/2014</c:v>
                </c:pt>
                <c:pt idx="918">
                  <c:v>06/07/2014</c:v>
                </c:pt>
                <c:pt idx="919">
                  <c:v>06/07/2014</c:v>
                </c:pt>
                <c:pt idx="920">
                  <c:v>06/07/2014</c:v>
                </c:pt>
                <c:pt idx="921">
                  <c:v>06/07/2014</c:v>
                </c:pt>
                <c:pt idx="922">
                  <c:v>06/07/2014</c:v>
                </c:pt>
                <c:pt idx="923">
                  <c:v>06/07/2014</c:v>
                </c:pt>
                <c:pt idx="924">
                  <c:v>13/07/2014</c:v>
                </c:pt>
                <c:pt idx="925">
                  <c:v>13/07/2014</c:v>
                </c:pt>
                <c:pt idx="926">
                  <c:v>13/07/2014</c:v>
                </c:pt>
                <c:pt idx="927">
                  <c:v>13/07/2014</c:v>
                </c:pt>
                <c:pt idx="928">
                  <c:v>13/07/2014</c:v>
                </c:pt>
                <c:pt idx="929">
                  <c:v>13/07/2014</c:v>
                </c:pt>
                <c:pt idx="930">
                  <c:v>13/07/2014</c:v>
                </c:pt>
                <c:pt idx="931">
                  <c:v>20/07/2014</c:v>
                </c:pt>
                <c:pt idx="932">
                  <c:v>20/07/2014</c:v>
                </c:pt>
                <c:pt idx="933">
                  <c:v>20/07/2014</c:v>
                </c:pt>
                <c:pt idx="934">
                  <c:v>20/07/2014</c:v>
                </c:pt>
                <c:pt idx="935">
                  <c:v>20/07/2014</c:v>
                </c:pt>
                <c:pt idx="936">
                  <c:v>20/07/2014</c:v>
                </c:pt>
                <c:pt idx="937">
                  <c:v>20/07/2014</c:v>
                </c:pt>
                <c:pt idx="938">
                  <c:v>27/07/2014</c:v>
                </c:pt>
                <c:pt idx="939">
                  <c:v>27/07/2014</c:v>
                </c:pt>
                <c:pt idx="940">
                  <c:v>27/07/2014</c:v>
                </c:pt>
                <c:pt idx="941">
                  <c:v>27/07/2014</c:v>
                </c:pt>
                <c:pt idx="942">
                  <c:v>27/07/2014</c:v>
                </c:pt>
                <c:pt idx="943">
                  <c:v>27/07/2014</c:v>
                </c:pt>
                <c:pt idx="944">
                  <c:v>27/07/2014</c:v>
                </c:pt>
                <c:pt idx="945">
                  <c:v>03/08/2014</c:v>
                </c:pt>
                <c:pt idx="946">
                  <c:v>03/08/2014</c:v>
                </c:pt>
                <c:pt idx="947">
                  <c:v>03/08/2014</c:v>
                </c:pt>
                <c:pt idx="948">
                  <c:v>03/08/2014</c:v>
                </c:pt>
                <c:pt idx="949">
                  <c:v>03/08/2014</c:v>
                </c:pt>
                <c:pt idx="950">
                  <c:v>03/08/2014</c:v>
                </c:pt>
                <c:pt idx="951">
                  <c:v>03/08/2014</c:v>
                </c:pt>
                <c:pt idx="952">
                  <c:v>10/08/2014</c:v>
                </c:pt>
                <c:pt idx="953">
                  <c:v>10/08/2014</c:v>
                </c:pt>
                <c:pt idx="954">
                  <c:v>10/08/2014</c:v>
                </c:pt>
                <c:pt idx="955">
                  <c:v>10/08/2014</c:v>
                </c:pt>
                <c:pt idx="956">
                  <c:v>10/08/2014</c:v>
                </c:pt>
                <c:pt idx="957">
                  <c:v>10/08/2014</c:v>
                </c:pt>
                <c:pt idx="958">
                  <c:v>10/08/2014</c:v>
                </c:pt>
                <c:pt idx="959">
                  <c:v>17/08/2014</c:v>
                </c:pt>
                <c:pt idx="960">
                  <c:v>17/08/2014</c:v>
                </c:pt>
                <c:pt idx="961">
                  <c:v>17/08/2014</c:v>
                </c:pt>
                <c:pt idx="962">
                  <c:v>17/08/2014</c:v>
                </c:pt>
                <c:pt idx="963">
                  <c:v>17/08/2014</c:v>
                </c:pt>
                <c:pt idx="964">
                  <c:v>17/08/2014</c:v>
                </c:pt>
                <c:pt idx="965">
                  <c:v>17/08/2014</c:v>
                </c:pt>
                <c:pt idx="966">
                  <c:v>24/08/2014</c:v>
                </c:pt>
                <c:pt idx="967">
                  <c:v>24/08/2014</c:v>
                </c:pt>
                <c:pt idx="968">
                  <c:v>24/08/2014</c:v>
                </c:pt>
                <c:pt idx="969">
                  <c:v>24/08/2014</c:v>
                </c:pt>
                <c:pt idx="970">
                  <c:v>24/08/2014</c:v>
                </c:pt>
                <c:pt idx="971">
                  <c:v>24/08/2014</c:v>
                </c:pt>
                <c:pt idx="972">
                  <c:v>24/08/2014</c:v>
                </c:pt>
                <c:pt idx="973">
                  <c:v>31/08/2014</c:v>
                </c:pt>
                <c:pt idx="974">
                  <c:v>31/08/2014</c:v>
                </c:pt>
                <c:pt idx="975">
                  <c:v>31/08/2014</c:v>
                </c:pt>
                <c:pt idx="976">
                  <c:v>31/08/2014</c:v>
                </c:pt>
                <c:pt idx="977">
                  <c:v>31/08/2014</c:v>
                </c:pt>
                <c:pt idx="978">
                  <c:v>31/08/2014</c:v>
                </c:pt>
                <c:pt idx="979">
                  <c:v>31/08/2014</c:v>
                </c:pt>
                <c:pt idx="980">
                  <c:v>07/09/2014</c:v>
                </c:pt>
                <c:pt idx="981">
                  <c:v>07/09/2014</c:v>
                </c:pt>
                <c:pt idx="982">
                  <c:v>07/09/2014</c:v>
                </c:pt>
                <c:pt idx="983">
                  <c:v>07/09/2014</c:v>
                </c:pt>
                <c:pt idx="984">
                  <c:v>07/09/2014</c:v>
                </c:pt>
                <c:pt idx="985">
                  <c:v>07/09/2014</c:v>
                </c:pt>
                <c:pt idx="986">
                  <c:v>07/09/2014</c:v>
                </c:pt>
                <c:pt idx="987">
                  <c:v>14/09/2014</c:v>
                </c:pt>
                <c:pt idx="988">
                  <c:v>14/09/2014</c:v>
                </c:pt>
                <c:pt idx="989">
                  <c:v>14/09/2014</c:v>
                </c:pt>
                <c:pt idx="990">
                  <c:v>14/09/2014</c:v>
                </c:pt>
                <c:pt idx="991">
                  <c:v>14/09/2014</c:v>
                </c:pt>
                <c:pt idx="992">
                  <c:v>14/09/2014</c:v>
                </c:pt>
                <c:pt idx="993">
                  <c:v>14/09/2014</c:v>
                </c:pt>
                <c:pt idx="994">
                  <c:v>21/09/2014</c:v>
                </c:pt>
                <c:pt idx="995">
                  <c:v>21/09/2014</c:v>
                </c:pt>
                <c:pt idx="996">
                  <c:v>21/09/2014</c:v>
                </c:pt>
                <c:pt idx="997">
                  <c:v>21/09/2014</c:v>
                </c:pt>
                <c:pt idx="998">
                  <c:v>21/09/2014</c:v>
                </c:pt>
                <c:pt idx="999">
                  <c:v>21/09/2014</c:v>
                </c:pt>
                <c:pt idx="1000">
                  <c:v>21/09/2014</c:v>
                </c:pt>
                <c:pt idx="1001">
                  <c:v>28/09/2014</c:v>
                </c:pt>
                <c:pt idx="1002">
                  <c:v>28/09/2014</c:v>
                </c:pt>
                <c:pt idx="1003">
                  <c:v>28/09/2014</c:v>
                </c:pt>
                <c:pt idx="1004">
                  <c:v>28/09/2014</c:v>
                </c:pt>
                <c:pt idx="1005">
                  <c:v>28/09/2014</c:v>
                </c:pt>
                <c:pt idx="1006">
                  <c:v>28/09/2014</c:v>
                </c:pt>
                <c:pt idx="1007">
                  <c:v>28/09/2014</c:v>
                </c:pt>
                <c:pt idx="1008">
                  <c:v>05/10/2014</c:v>
                </c:pt>
                <c:pt idx="1009">
                  <c:v>05/10/2014</c:v>
                </c:pt>
                <c:pt idx="1010">
                  <c:v>05/10/2014</c:v>
                </c:pt>
                <c:pt idx="1011">
                  <c:v>05/10/2014</c:v>
                </c:pt>
                <c:pt idx="1012">
                  <c:v>05/10/2014</c:v>
                </c:pt>
                <c:pt idx="1013">
                  <c:v>05/10/2014</c:v>
                </c:pt>
                <c:pt idx="1014">
                  <c:v>05/10/2014</c:v>
                </c:pt>
                <c:pt idx="1015">
                  <c:v>12/10/2014</c:v>
                </c:pt>
                <c:pt idx="1016">
                  <c:v>12/10/2014</c:v>
                </c:pt>
                <c:pt idx="1017">
                  <c:v>12/10/2014</c:v>
                </c:pt>
                <c:pt idx="1018">
                  <c:v>12/10/2014</c:v>
                </c:pt>
                <c:pt idx="1019">
                  <c:v>12/10/2014</c:v>
                </c:pt>
                <c:pt idx="1020">
                  <c:v>12/10/2014</c:v>
                </c:pt>
                <c:pt idx="1021">
                  <c:v>12/10/2014</c:v>
                </c:pt>
                <c:pt idx="1022">
                  <c:v>19/10/2014</c:v>
                </c:pt>
                <c:pt idx="1023">
                  <c:v>19/10/2014</c:v>
                </c:pt>
                <c:pt idx="1024">
                  <c:v>19/10/2014</c:v>
                </c:pt>
                <c:pt idx="1025">
                  <c:v>19/10/2014</c:v>
                </c:pt>
                <c:pt idx="1026">
                  <c:v>19/10/2014</c:v>
                </c:pt>
                <c:pt idx="1027">
                  <c:v>19/10/2014</c:v>
                </c:pt>
                <c:pt idx="1028">
                  <c:v>19/10/2014</c:v>
                </c:pt>
                <c:pt idx="1029">
                  <c:v>26/10/2014</c:v>
                </c:pt>
                <c:pt idx="1030">
                  <c:v>26/10/2014</c:v>
                </c:pt>
                <c:pt idx="1031">
                  <c:v>26/10/2014</c:v>
                </c:pt>
                <c:pt idx="1032">
                  <c:v>26/10/2014</c:v>
                </c:pt>
                <c:pt idx="1033">
                  <c:v>26/10/2014</c:v>
                </c:pt>
                <c:pt idx="1034">
                  <c:v>26/10/2014</c:v>
                </c:pt>
                <c:pt idx="1035">
                  <c:v>26/10/2014</c:v>
                </c:pt>
                <c:pt idx="1036">
                  <c:v>02/11/2014</c:v>
                </c:pt>
                <c:pt idx="1037">
                  <c:v>02/11/2014</c:v>
                </c:pt>
                <c:pt idx="1038">
                  <c:v>02/11/2014</c:v>
                </c:pt>
                <c:pt idx="1039">
                  <c:v>02/11/2014</c:v>
                </c:pt>
                <c:pt idx="1040">
                  <c:v>02/11/2014</c:v>
                </c:pt>
                <c:pt idx="1041">
                  <c:v>02/11/2014</c:v>
                </c:pt>
                <c:pt idx="1042">
                  <c:v>02/11/2014</c:v>
                </c:pt>
                <c:pt idx="1043">
                  <c:v>09/11/2014</c:v>
                </c:pt>
                <c:pt idx="1044">
                  <c:v>09/11/2014</c:v>
                </c:pt>
                <c:pt idx="1045">
                  <c:v>09/11/2014</c:v>
                </c:pt>
                <c:pt idx="1046">
                  <c:v>09/11/2014</c:v>
                </c:pt>
                <c:pt idx="1047">
                  <c:v>09/11/2014</c:v>
                </c:pt>
                <c:pt idx="1048">
                  <c:v>09/11/2014</c:v>
                </c:pt>
                <c:pt idx="1049">
                  <c:v>09/11/2014</c:v>
                </c:pt>
                <c:pt idx="1050">
                  <c:v>16/11/2014</c:v>
                </c:pt>
                <c:pt idx="1051">
                  <c:v>16/11/2014</c:v>
                </c:pt>
                <c:pt idx="1052">
                  <c:v>16/11/2014</c:v>
                </c:pt>
                <c:pt idx="1053">
                  <c:v>16/11/2014</c:v>
                </c:pt>
                <c:pt idx="1054">
                  <c:v>16/11/2014</c:v>
                </c:pt>
                <c:pt idx="1055">
                  <c:v>16/11/2014</c:v>
                </c:pt>
                <c:pt idx="1056">
                  <c:v>16/11/2014</c:v>
                </c:pt>
                <c:pt idx="1057">
                  <c:v>23/11/2014</c:v>
                </c:pt>
                <c:pt idx="1058">
                  <c:v>23/11/2014</c:v>
                </c:pt>
                <c:pt idx="1059">
                  <c:v>23/11/2014</c:v>
                </c:pt>
                <c:pt idx="1060">
                  <c:v>23/11/2014</c:v>
                </c:pt>
                <c:pt idx="1061">
                  <c:v>23/11/2014</c:v>
                </c:pt>
                <c:pt idx="1062">
                  <c:v>23/11/2014</c:v>
                </c:pt>
                <c:pt idx="1063">
                  <c:v>23/11/2014</c:v>
                </c:pt>
                <c:pt idx="1064">
                  <c:v>30/11/2014</c:v>
                </c:pt>
                <c:pt idx="1065">
                  <c:v>30/11/2014</c:v>
                </c:pt>
                <c:pt idx="1066">
                  <c:v>30/11/2014</c:v>
                </c:pt>
                <c:pt idx="1067">
                  <c:v>30/11/2014</c:v>
                </c:pt>
                <c:pt idx="1068">
                  <c:v>30/11/2014</c:v>
                </c:pt>
                <c:pt idx="1069">
                  <c:v>30/11/2014</c:v>
                </c:pt>
                <c:pt idx="1070">
                  <c:v>30/11/2014</c:v>
                </c:pt>
                <c:pt idx="1071">
                  <c:v>07/12/2014</c:v>
                </c:pt>
                <c:pt idx="1072">
                  <c:v>07/12/2014</c:v>
                </c:pt>
                <c:pt idx="1073">
                  <c:v>07/12/2014</c:v>
                </c:pt>
                <c:pt idx="1074">
                  <c:v>07/12/2014</c:v>
                </c:pt>
                <c:pt idx="1075">
                  <c:v>07/12/2014</c:v>
                </c:pt>
                <c:pt idx="1076">
                  <c:v>07/12/2014</c:v>
                </c:pt>
                <c:pt idx="1077">
                  <c:v>07/12/2014</c:v>
                </c:pt>
                <c:pt idx="1078">
                  <c:v>14/12/2014</c:v>
                </c:pt>
                <c:pt idx="1079">
                  <c:v>14/12/2014</c:v>
                </c:pt>
                <c:pt idx="1080">
                  <c:v>14/12/2014</c:v>
                </c:pt>
                <c:pt idx="1081">
                  <c:v>14/12/2014</c:v>
                </c:pt>
                <c:pt idx="1082">
                  <c:v>14/12/2014</c:v>
                </c:pt>
                <c:pt idx="1083">
                  <c:v>14/12/2014</c:v>
                </c:pt>
                <c:pt idx="1084">
                  <c:v>14/12/2014</c:v>
                </c:pt>
                <c:pt idx="1085">
                  <c:v>21/12/2014</c:v>
                </c:pt>
                <c:pt idx="1086">
                  <c:v>21/12/2014</c:v>
                </c:pt>
                <c:pt idx="1087">
                  <c:v>21/12/2014</c:v>
                </c:pt>
                <c:pt idx="1088">
                  <c:v>21/12/2014</c:v>
                </c:pt>
                <c:pt idx="1089">
                  <c:v>21/12/2014</c:v>
                </c:pt>
                <c:pt idx="1090">
                  <c:v>21/12/2014</c:v>
                </c:pt>
                <c:pt idx="1091">
                  <c:v>21/12/2014</c:v>
                </c:pt>
                <c:pt idx="1092">
                  <c:v>28/12/2014</c:v>
                </c:pt>
                <c:pt idx="1093">
                  <c:v>28/12/2014</c:v>
                </c:pt>
                <c:pt idx="1094">
                  <c:v>28/12/2014</c:v>
                </c:pt>
                <c:pt idx="1095">
                  <c:v>28/12/2014</c:v>
                </c:pt>
                <c:pt idx="1096">
                  <c:v>28/12/2014</c:v>
                </c:pt>
                <c:pt idx="1097">
                  <c:v>28/12/2014</c:v>
                </c:pt>
                <c:pt idx="1098">
                  <c:v>28/12/2014</c:v>
                </c:pt>
                <c:pt idx="1099">
                  <c:v>04/01/2015</c:v>
                </c:pt>
                <c:pt idx="1100">
                  <c:v>04/01/2015</c:v>
                </c:pt>
                <c:pt idx="1101">
                  <c:v>04/01/2015</c:v>
                </c:pt>
                <c:pt idx="1102">
                  <c:v>04/01/2015</c:v>
                </c:pt>
                <c:pt idx="1103">
                  <c:v>04/01/2015</c:v>
                </c:pt>
                <c:pt idx="1104">
                  <c:v>04/01/2015</c:v>
                </c:pt>
                <c:pt idx="1105">
                  <c:v>04/01/2015</c:v>
                </c:pt>
                <c:pt idx="1106">
                  <c:v>11/01/2015</c:v>
                </c:pt>
                <c:pt idx="1107">
                  <c:v>11/01/2015</c:v>
                </c:pt>
                <c:pt idx="1108">
                  <c:v>11/01/2015</c:v>
                </c:pt>
                <c:pt idx="1109">
                  <c:v>11/01/2015</c:v>
                </c:pt>
                <c:pt idx="1110">
                  <c:v>11/01/2015</c:v>
                </c:pt>
                <c:pt idx="1111">
                  <c:v>11/01/2015</c:v>
                </c:pt>
                <c:pt idx="1112">
                  <c:v>11/01/2015</c:v>
                </c:pt>
                <c:pt idx="1113">
                  <c:v>18/01/2015</c:v>
                </c:pt>
                <c:pt idx="1114">
                  <c:v>18/01/2015</c:v>
                </c:pt>
                <c:pt idx="1115">
                  <c:v>18/01/2015</c:v>
                </c:pt>
                <c:pt idx="1116">
                  <c:v>18/01/2015</c:v>
                </c:pt>
                <c:pt idx="1117">
                  <c:v>18/01/2015</c:v>
                </c:pt>
                <c:pt idx="1118">
                  <c:v>18/01/2015</c:v>
                </c:pt>
                <c:pt idx="1119">
                  <c:v>18/01/2015</c:v>
                </c:pt>
                <c:pt idx="1120">
                  <c:v>25/01/2015</c:v>
                </c:pt>
                <c:pt idx="1121">
                  <c:v>25/01/2015</c:v>
                </c:pt>
                <c:pt idx="1122">
                  <c:v>25/01/2015</c:v>
                </c:pt>
                <c:pt idx="1123">
                  <c:v>25/01/2015</c:v>
                </c:pt>
                <c:pt idx="1124">
                  <c:v>25/01/2015</c:v>
                </c:pt>
                <c:pt idx="1125">
                  <c:v>25/01/2015</c:v>
                </c:pt>
                <c:pt idx="1126">
                  <c:v>25/01/2015</c:v>
                </c:pt>
                <c:pt idx="1127">
                  <c:v>01/02/2015</c:v>
                </c:pt>
                <c:pt idx="1128">
                  <c:v>01/02/2015</c:v>
                </c:pt>
                <c:pt idx="1129">
                  <c:v>01/02/2015</c:v>
                </c:pt>
                <c:pt idx="1130">
                  <c:v>01/02/2015</c:v>
                </c:pt>
                <c:pt idx="1131">
                  <c:v>01/02/2015</c:v>
                </c:pt>
                <c:pt idx="1132">
                  <c:v>01/02/2015</c:v>
                </c:pt>
                <c:pt idx="1133">
                  <c:v>01/02/2015</c:v>
                </c:pt>
                <c:pt idx="1134">
                  <c:v>08/02/2015</c:v>
                </c:pt>
                <c:pt idx="1135">
                  <c:v>08/02/2015</c:v>
                </c:pt>
                <c:pt idx="1136">
                  <c:v>08/02/2015</c:v>
                </c:pt>
                <c:pt idx="1137">
                  <c:v>08/02/2015</c:v>
                </c:pt>
                <c:pt idx="1138">
                  <c:v>08/02/2015</c:v>
                </c:pt>
                <c:pt idx="1139">
                  <c:v>08/02/2015</c:v>
                </c:pt>
                <c:pt idx="1140">
                  <c:v>08/02/2015</c:v>
                </c:pt>
                <c:pt idx="1141">
                  <c:v>15/02/2015</c:v>
                </c:pt>
                <c:pt idx="1142">
                  <c:v>15/02/2015</c:v>
                </c:pt>
                <c:pt idx="1143">
                  <c:v>15/02/2015</c:v>
                </c:pt>
                <c:pt idx="1144">
                  <c:v>15/02/2015</c:v>
                </c:pt>
                <c:pt idx="1145">
                  <c:v>15/02/2015</c:v>
                </c:pt>
                <c:pt idx="1146">
                  <c:v>15/02/2015</c:v>
                </c:pt>
                <c:pt idx="1147">
                  <c:v>15/02/2015</c:v>
                </c:pt>
                <c:pt idx="1148">
                  <c:v>22/02/2015</c:v>
                </c:pt>
                <c:pt idx="1149">
                  <c:v>22/02/2015</c:v>
                </c:pt>
                <c:pt idx="1150">
                  <c:v>22/02/2015</c:v>
                </c:pt>
                <c:pt idx="1151">
                  <c:v>22/02/2015</c:v>
                </c:pt>
                <c:pt idx="1152">
                  <c:v>22/02/2015</c:v>
                </c:pt>
                <c:pt idx="1153">
                  <c:v>22/02/2015</c:v>
                </c:pt>
                <c:pt idx="1154">
                  <c:v>22/02/2015</c:v>
                </c:pt>
                <c:pt idx="1155">
                  <c:v>01/03/2015</c:v>
                </c:pt>
                <c:pt idx="1156">
                  <c:v>01/03/2015</c:v>
                </c:pt>
                <c:pt idx="1157">
                  <c:v>01/03/2015</c:v>
                </c:pt>
                <c:pt idx="1158">
                  <c:v>01/03/2015</c:v>
                </c:pt>
                <c:pt idx="1159">
                  <c:v>01/03/2015</c:v>
                </c:pt>
                <c:pt idx="1160">
                  <c:v>01/03/2015</c:v>
                </c:pt>
                <c:pt idx="1161">
                  <c:v>01/03/2015</c:v>
                </c:pt>
                <c:pt idx="1162">
                  <c:v>08/03/2015</c:v>
                </c:pt>
                <c:pt idx="1163">
                  <c:v>08/03/2015</c:v>
                </c:pt>
                <c:pt idx="1164">
                  <c:v>08/03/2015</c:v>
                </c:pt>
                <c:pt idx="1165">
                  <c:v>08/03/2015</c:v>
                </c:pt>
                <c:pt idx="1166">
                  <c:v>08/03/2015</c:v>
                </c:pt>
                <c:pt idx="1167">
                  <c:v>08/03/2015</c:v>
                </c:pt>
                <c:pt idx="1168">
                  <c:v>08/03/2015</c:v>
                </c:pt>
                <c:pt idx="1169">
                  <c:v>15/03/2015</c:v>
                </c:pt>
                <c:pt idx="1170">
                  <c:v>15/03/2015</c:v>
                </c:pt>
                <c:pt idx="1171">
                  <c:v>15/03/2015</c:v>
                </c:pt>
                <c:pt idx="1172">
                  <c:v>15/03/2015</c:v>
                </c:pt>
                <c:pt idx="1173">
                  <c:v>15/03/2015</c:v>
                </c:pt>
                <c:pt idx="1174">
                  <c:v>15/03/2015</c:v>
                </c:pt>
                <c:pt idx="1175">
                  <c:v>15/03/2015</c:v>
                </c:pt>
                <c:pt idx="1176">
                  <c:v>22/03/2015</c:v>
                </c:pt>
                <c:pt idx="1177">
                  <c:v>22/03/2015</c:v>
                </c:pt>
                <c:pt idx="1178">
                  <c:v>22/03/2015</c:v>
                </c:pt>
                <c:pt idx="1179">
                  <c:v>22/03/2015</c:v>
                </c:pt>
                <c:pt idx="1180">
                  <c:v>22/03/2015</c:v>
                </c:pt>
                <c:pt idx="1181">
                  <c:v>22/03/2015</c:v>
                </c:pt>
                <c:pt idx="1182">
                  <c:v>22/03/2015</c:v>
                </c:pt>
                <c:pt idx="1183">
                  <c:v>29/03/2015</c:v>
                </c:pt>
                <c:pt idx="1184">
                  <c:v>29/03/2015</c:v>
                </c:pt>
                <c:pt idx="1185">
                  <c:v>29/03/2015</c:v>
                </c:pt>
                <c:pt idx="1186">
                  <c:v>29/03/2015</c:v>
                </c:pt>
                <c:pt idx="1187">
                  <c:v>29/03/2015</c:v>
                </c:pt>
                <c:pt idx="1188">
                  <c:v>29/03/2015</c:v>
                </c:pt>
                <c:pt idx="1189">
                  <c:v>29/03/2015</c:v>
                </c:pt>
                <c:pt idx="1190">
                  <c:v>05/04/2015</c:v>
                </c:pt>
                <c:pt idx="1191">
                  <c:v>05/04/2015</c:v>
                </c:pt>
                <c:pt idx="1192">
                  <c:v>05/04/2015</c:v>
                </c:pt>
                <c:pt idx="1193">
                  <c:v>05/04/2015</c:v>
                </c:pt>
                <c:pt idx="1194">
                  <c:v>05/04/2015</c:v>
                </c:pt>
                <c:pt idx="1195">
                  <c:v>05/04/2015</c:v>
                </c:pt>
                <c:pt idx="1196">
                  <c:v>05/04/2015</c:v>
                </c:pt>
                <c:pt idx="1197">
                  <c:v>12/04/2015</c:v>
                </c:pt>
                <c:pt idx="1198">
                  <c:v>12/04/2015</c:v>
                </c:pt>
                <c:pt idx="1199">
                  <c:v>12/04/2015</c:v>
                </c:pt>
                <c:pt idx="1200">
                  <c:v>12/04/2015</c:v>
                </c:pt>
                <c:pt idx="1201">
                  <c:v>12/04/2015</c:v>
                </c:pt>
                <c:pt idx="1202">
                  <c:v>12/04/2015</c:v>
                </c:pt>
                <c:pt idx="1203">
                  <c:v>12/04/2015</c:v>
                </c:pt>
                <c:pt idx="1204">
                  <c:v>19/04/2015</c:v>
                </c:pt>
                <c:pt idx="1205">
                  <c:v>19/04/2015</c:v>
                </c:pt>
                <c:pt idx="1206">
                  <c:v>19/04/2015</c:v>
                </c:pt>
                <c:pt idx="1207">
                  <c:v>19/04/2015</c:v>
                </c:pt>
                <c:pt idx="1208">
                  <c:v>19/04/2015</c:v>
                </c:pt>
                <c:pt idx="1209">
                  <c:v>19/04/2015</c:v>
                </c:pt>
                <c:pt idx="1210">
                  <c:v>19/04/2015</c:v>
                </c:pt>
                <c:pt idx="1211">
                  <c:v>26/04/2015</c:v>
                </c:pt>
                <c:pt idx="1212">
                  <c:v>26/04/2015</c:v>
                </c:pt>
                <c:pt idx="1213">
                  <c:v>26/04/2015</c:v>
                </c:pt>
                <c:pt idx="1214">
                  <c:v>26/04/2015</c:v>
                </c:pt>
                <c:pt idx="1215">
                  <c:v>26/04/2015</c:v>
                </c:pt>
                <c:pt idx="1216">
                  <c:v>26/04/2015</c:v>
                </c:pt>
                <c:pt idx="1217">
                  <c:v>26/04/2015</c:v>
                </c:pt>
                <c:pt idx="1218">
                  <c:v>03/05/2015</c:v>
                </c:pt>
                <c:pt idx="1219">
                  <c:v>03/05/2015</c:v>
                </c:pt>
                <c:pt idx="1220">
                  <c:v>03/05/2015</c:v>
                </c:pt>
                <c:pt idx="1221">
                  <c:v>03/05/2015</c:v>
                </c:pt>
                <c:pt idx="1222">
                  <c:v>03/05/2015</c:v>
                </c:pt>
                <c:pt idx="1223">
                  <c:v>03/05/2015</c:v>
                </c:pt>
                <c:pt idx="1224">
                  <c:v>03/05/2015</c:v>
                </c:pt>
                <c:pt idx="1225">
                  <c:v>10/05/2015</c:v>
                </c:pt>
                <c:pt idx="1226">
                  <c:v>10/05/2015</c:v>
                </c:pt>
                <c:pt idx="1227">
                  <c:v>10/05/2015</c:v>
                </c:pt>
                <c:pt idx="1228">
                  <c:v>10/05/2015</c:v>
                </c:pt>
                <c:pt idx="1229">
                  <c:v>10/05/2015</c:v>
                </c:pt>
                <c:pt idx="1230">
                  <c:v>10/05/2015</c:v>
                </c:pt>
                <c:pt idx="1231">
                  <c:v>10/05/2015</c:v>
                </c:pt>
                <c:pt idx="1232">
                  <c:v>17/05/2015</c:v>
                </c:pt>
                <c:pt idx="1233">
                  <c:v>17/05/2015</c:v>
                </c:pt>
                <c:pt idx="1234">
                  <c:v>17/05/2015</c:v>
                </c:pt>
                <c:pt idx="1235">
                  <c:v>17/05/2015</c:v>
                </c:pt>
                <c:pt idx="1236">
                  <c:v>17/05/2015</c:v>
                </c:pt>
                <c:pt idx="1237">
                  <c:v>17/05/2015</c:v>
                </c:pt>
                <c:pt idx="1238">
                  <c:v>17/05/2015</c:v>
                </c:pt>
                <c:pt idx="1239">
                  <c:v>24/05/2015</c:v>
                </c:pt>
                <c:pt idx="1240">
                  <c:v>24/05/2015</c:v>
                </c:pt>
                <c:pt idx="1241">
                  <c:v>24/05/2015</c:v>
                </c:pt>
                <c:pt idx="1242">
                  <c:v>24/05/2015</c:v>
                </c:pt>
                <c:pt idx="1243">
                  <c:v>24/05/2015</c:v>
                </c:pt>
                <c:pt idx="1244">
                  <c:v>24/05/2015</c:v>
                </c:pt>
                <c:pt idx="1245">
                  <c:v>24/05/2015</c:v>
                </c:pt>
                <c:pt idx="1246">
                  <c:v>31/05/2015</c:v>
                </c:pt>
                <c:pt idx="1247">
                  <c:v>31/05/2015</c:v>
                </c:pt>
                <c:pt idx="1248">
                  <c:v>31/05/2015</c:v>
                </c:pt>
                <c:pt idx="1249">
                  <c:v>31/05/2015</c:v>
                </c:pt>
                <c:pt idx="1250">
                  <c:v>31/05/2015</c:v>
                </c:pt>
                <c:pt idx="1251">
                  <c:v>31/05/2015</c:v>
                </c:pt>
                <c:pt idx="1252">
                  <c:v>31/05/2015</c:v>
                </c:pt>
                <c:pt idx="1253">
                  <c:v>07/06/2015</c:v>
                </c:pt>
                <c:pt idx="1254">
                  <c:v>07/06/2015</c:v>
                </c:pt>
                <c:pt idx="1255">
                  <c:v>07/06/2015</c:v>
                </c:pt>
                <c:pt idx="1256">
                  <c:v>07/06/2015</c:v>
                </c:pt>
                <c:pt idx="1257">
                  <c:v>07/06/2015</c:v>
                </c:pt>
                <c:pt idx="1258">
                  <c:v>07/06/2015</c:v>
                </c:pt>
                <c:pt idx="1259">
                  <c:v>07/06/2015</c:v>
                </c:pt>
                <c:pt idx="1260">
                  <c:v>14/06/2015</c:v>
                </c:pt>
                <c:pt idx="1261">
                  <c:v>14/06/2015</c:v>
                </c:pt>
                <c:pt idx="1262">
                  <c:v>14/06/2015</c:v>
                </c:pt>
                <c:pt idx="1263">
                  <c:v>14/06/2015</c:v>
                </c:pt>
                <c:pt idx="1264">
                  <c:v>14/06/2015</c:v>
                </c:pt>
                <c:pt idx="1265">
                  <c:v>14/06/2015</c:v>
                </c:pt>
                <c:pt idx="1266">
                  <c:v>14/06/2015</c:v>
                </c:pt>
                <c:pt idx="1267">
                  <c:v>21/06/2015</c:v>
                </c:pt>
                <c:pt idx="1268">
                  <c:v>21/06/2015</c:v>
                </c:pt>
                <c:pt idx="1269">
                  <c:v>21/06/2015</c:v>
                </c:pt>
                <c:pt idx="1270">
                  <c:v>21/06/2015</c:v>
                </c:pt>
                <c:pt idx="1271">
                  <c:v>21/06/2015</c:v>
                </c:pt>
                <c:pt idx="1272">
                  <c:v>21/06/2015</c:v>
                </c:pt>
                <c:pt idx="1273">
                  <c:v>21/06/2015</c:v>
                </c:pt>
                <c:pt idx="1274">
                  <c:v>28/06/2015</c:v>
                </c:pt>
                <c:pt idx="1275">
                  <c:v>28/06/2015</c:v>
                </c:pt>
                <c:pt idx="1276">
                  <c:v>28/06/2015</c:v>
                </c:pt>
                <c:pt idx="1277">
                  <c:v>28/06/2015</c:v>
                </c:pt>
                <c:pt idx="1278">
                  <c:v>28/06/2015</c:v>
                </c:pt>
                <c:pt idx="1279">
                  <c:v>28/06/2015</c:v>
                </c:pt>
                <c:pt idx="1280">
                  <c:v>28/06/2015</c:v>
                </c:pt>
                <c:pt idx="1281">
                  <c:v>05/07/2015</c:v>
                </c:pt>
                <c:pt idx="1282">
                  <c:v>05/07/2015</c:v>
                </c:pt>
                <c:pt idx="1283">
                  <c:v>05/07/2015</c:v>
                </c:pt>
                <c:pt idx="1284">
                  <c:v>05/07/2015</c:v>
                </c:pt>
                <c:pt idx="1285">
                  <c:v>05/07/2015</c:v>
                </c:pt>
                <c:pt idx="1286">
                  <c:v>05/07/2015</c:v>
                </c:pt>
                <c:pt idx="1287">
                  <c:v>05/07/2015</c:v>
                </c:pt>
                <c:pt idx="1288">
                  <c:v>12/07/2015</c:v>
                </c:pt>
                <c:pt idx="1289">
                  <c:v>12/07/2015</c:v>
                </c:pt>
                <c:pt idx="1290">
                  <c:v>12/07/2015</c:v>
                </c:pt>
                <c:pt idx="1291">
                  <c:v>12/07/2015</c:v>
                </c:pt>
                <c:pt idx="1292">
                  <c:v>12/07/2015</c:v>
                </c:pt>
                <c:pt idx="1293">
                  <c:v>12/07/2015</c:v>
                </c:pt>
                <c:pt idx="1294">
                  <c:v>12/07/2015</c:v>
                </c:pt>
                <c:pt idx="1295">
                  <c:v>19/07/2015</c:v>
                </c:pt>
                <c:pt idx="1296">
                  <c:v>19/07/2015</c:v>
                </c:pt>
                <c:pt idx="1297">
                  <c:v>19/07/2015</c:v>
                </c:pt>
                <c:pt idx="1298">
                  <c:v>19/07/2015</c:v>
                </c:pt>
                <c:pt idx="1299">
                  <c:v>19/07/2015</c:v>
                </c:pt>
                <c:pt idx="1300">
                  <c:v>19/07/2015</c:v>
                </c:pt>
                <c:pt idx="1301">
                  <c:v>19/07/2015</c:v>
                </c:pt>
                <c:pt idx="1302">
                  <c:v>26/07/2015</c:v>
                </c:pt>
                <c:pt idx="1303">
                  <c:v>26/07/2015</c:v>
                </c:pt>
                <c:pt idx="1304">
                  <c:v>26/07/2015</c:v>
                </c:pt>
                <c:pt idx="1305">
                  <c:v>26/07/2015</c:v>
                </c:pt>
                <c:pt idx="1306">
                  <c:v>26/07/2015</c:v>
                </c:pt>
                <c:pt idx="1307">
                  <c:v>26/07/2015</c:v>
                </c:pt>
                <c:pt idx="1308">
                  <c:v>26/07/2015</c:v>
                </c:pt>
                <c:pt idx="1309">
                  <c:v>02/08/2015</c:v>
                </c:pt>
                <c:pt idx="1310">
                  <c:v>02/08/2015</c:v>
                </c:pt>
                <c:pt idx="1311">
                  <c:v>02/08/2015</c:v>
                </c:pt>
                <c:pt idx="1312">
                  <c:v>02/08/2015</c:v>
                </c:pt>
                <c:pt idx="1313">
                  <c:v>02/08/2015</c:v>
                </c:pt>
                <c:pt idx="1314">
                  <c:v>02/08/2015</c:v>
                </c:pt>
                <c:pt idx="1315">
                  <c:v>02/08/2015</c:v>
                </c:pt>
                <c:pt idx="1316">
                  <c:v>09/08/2015</c:v>
                </c:pt>
                <c:pt idx="1317">
                  <c:v>09/08/2015</c:v>
                </c:pt>
                <c:pt idx="1318">
                  <c:v>09/08/2015</c:v>
                </c:pt>
                <c:pt idx="1319">
                  <c:v>09/08/2015</c:v>
                </c:pt>
                <c:pt idx="1320">
                  <c:v>09/08/2015</c:v>
                </c:pt>
                <c:pt idx="1321">
                  <c:v>09/08/2015</c:v>
                </c:pt>
                <c:pt idx="1322">
                  <c:v>09/08/2015</c:v>
                </c:pt>
                <c:pt idx="1323">
                  <c:v>16/08/2015</c:v>
                </c:pt>
                <c:pt idx="1324">
                  <c:v>16/08/2015</c:v>
                </c:pt>
                <c:pt idx="1325">
                  <c:v>16/08/2015</c:v>
                </c:pt>
                <c:pt idx="1326">
                  <c:v>16/08/2015</c:v>
                </c:pt>
                <c:pt idx="1327">
                  <c:v>16/08/2015</c:v>
                </c:pt>
                <c:pt idx="1328">
                  <c:v>16/08/2015</c:v>
                </c:pt>
                <c:pt idx="1329">
                  <c:v>16/08/2015</c:v>
                </c:pt>
                <c:pt idx="1330">
                  <c:v>23/08/2015</c:v>
                </c:pt>
                <c:pt idx="1331">
                  <c:v>23/08/2015</c:v>
                </c:pt>
                <c:pt idx="1332">
                  <c:v>23/08/2015</c:v>
                </c:pt>
                <c:pt idx="1333">
                  <c:v>23/08/2015</c:v>
                </c:pt>
                <c:pt idx="1334">
                  <c:v>23/08/2015</c:v>
                </c:pt>
                <c:pt idx="1335">
                  <c:v>23/08/2015</c:v>
                </c:pt>
                <c:pt idx="1336">
                  <c:v>23/08/2015</c:v>
                </c:pt>
                <c:pt idx="1337">
                  <c:v>30/08/2015</c:v>
                </c:pt>
                <c:pt idx="1338">
                  <c:v>30/08/2015</c:v>
                </c:pt>
                <c:pt idx="1339">
                  <c:v>30/08/2015</c:v>
                </c:pt>
                <c:pt idx="1340">
                  <c:v>30/08/2015</c:v>
                </c:pt>
                <c:pt idx="1341">
                  <c:v>30/08/2015</c:v>
                </c:pt>
                <c:pt idx="1342">
                  <c:v>30/08/2015</c:v>
                </c:pt>
                <c:pt idx="1343">
                  <c:v>30/08/2015</c:v>
                </c:pt>
                <c:pt idx="1344">
                  <c:v>06/09/2015</c:v>
                </c:pt>
                <c:pt idx="1345">
                  <c:v>06/09/2015</c:v>
                </c:pt>
                <c:pt idx="1346">
                  <c:v>06/09/2015</c:v>
                </c:pt>
                <c:pt idx="1347">
                  <c:v>06/09/2015</c:v>
                </c:pt>
                <c:pt idx="1348">
                  <c:v>06/09/2015</c:v>
                </c:pt>
                <c:pt idx="1349">
                  <c:v>06/09/2015</c:v>
                </c:pt>
                <c:pt idx="1350">
                  <c:v>06/09/2015</c:v>
                </c:pt>
                <c:pt idx="1351">
                  <c:v>13/09/2015</c:v>
                </c:pt>
                <c:pt idx="1352">
                  <c:v>13/09/2015</c:v>
                </c:pt>
                <c:pt idx="1353">
                  <c:v>13/09/2015</c:v>
                </c:pt>
                <c:pt idx="1354">
                  <c:v>13/09/2015</c:v>
                </c:pt>
                <c:pt idx="1355">
                  <c:v>13/09/2015</c:v>
                </c:pt>
                <c:pt idx="1356">
                  <c:v>13/09/2015</c:v>
                </c:pt>
                <c:pt idx="1357">
                  <c:v>13/09/2015</c:v>
                </c:pt>
                <c:pt idx="1358">
                  <c:v>20/09/2015</c:v>
                </c:pt>
                <c:pt idx="1359">
                  <c:v>20/09/2015</c:v>
                </c:pt>
                <c:pt idx="1360">
                  <c:v>20/09/2015</c:v>
                </c:pt>
                <c:pt idx="1361">
                  <c:v>20/09/2015</c:v>
                </c:pt>
                <c:pt idx="1362">
                  <c:v>20/09/2015</c:v>
                </c:pt>
                <c:pt idx="1363">
                  <c:v>20/09/2015</c:v>
                </c:pt>
                <c:pt idx="1364">
                  <c:v>20/09/2015</c:v>
                </c:pt>
                <c:pt idx="1365">
                  <c:v>27/09/2015</c:v>
                </c:pt>
                <c:pt idx="1366">
                  <c:v>27/09/2015</c:v>
                </c:pt>
                <c:pt idx="1367">
                  <c:v>27/09/2015</c:v>
                </c:pt>
                <c:pt idx="1368">
                  <c:v>27/09/2015</c:v>
                </c:pt>
                <c:pt idx="1369">
                  <c:v>27/09/2015</c:v>
                </c:pt>
                <c:pt idx="1370">
                  <c:v>27/09/2015</c:v>
                </c:pt>
                <c:pt idx="1371">
                  <c:v>27/09/2015</c:v>
                </c:pt>
                <c:pt idx="1372">
                  <c:v>04/10/2015</c:v>
                </c:pt>
                <c:pt idx="1373">
                  <c:v>04/10/2015</c:v>
                </c:pt>
                <c:pt idx="1374">
                  <c:v>04/10/2015</c:v>
                </c:pt>
                <c:pt idx="1375">
                  <c:v>04/10/2015</c:v>
                </c:pt>
                <c:pt idx="1376">
                  <c:v>04/10/2015</c:v>
                </c:pt>
                <c:pt idx="1377">
                  <c:v>04/10/2015</c:v>
                </c:pt>
                <c:pt idx="1378">
                  <c:v>04/10/2015</c:v>
                </c:pt>
                <c:pt idx="1379">
                  <c:v>11/10/2015</c:v>
                </c:pt>
                <c:pt idx="1380">
                  <c:v>11/10/2015</c:v>
                </c:pt>
                <c:pt idx="1381">
                  <c:v>11/10/2015</c:v>
                </c:pt>
                <c:pt idx="1382">
                  <c:v>11/10/2015</c:v>
                </c:pt>
                <c:pt idx="1383">
                  <c:v>11/10/2015</c:v>
                </c:pt>
                <c:pt idx="1384">
                  <c:v>11/10/2015</c:v>
                </c:pt>
                <c:pt idx="1385">
                  <c:v>11/10/2015</c:v>
                </c:pt>
                <c:pt idx="1386">
                  <c:v>18/10/2015</c:v>
                </c:pt>
                <c:pt idx="1387">
                  <c:v>18/10/2015</c:v>
                </c:pt>
                <c:pt idx="1388">
                  <c:v>18/10/2015</c:v>
                </c:pt>
                <c:pt idx="1389">
                  <c:v>18/10/2015</c:v>
                </c:pt>
                <c:pt idx="1390">
                  <c:v>18/10/2015</c:v>
                </c:pt>
                <c:pt idx="1391">
                  <c:v>18/10/2015</c:v>
                </c:pt>
                <c:pt idx="1392">
                  <c:v>18/10/2015</c:v>
                </c:pt>
                <c:pt idx="1393">
                  <c:v>25/10/2015</c:v>
                </c:pt>
                <c:pt idx="1394">
                  <c:v>25/10/2015</c:v>
                </c:pt>
                <c:pt idx="1395">
                  <c:v>25/10/2015</c:v>
                </c:pt>
                <c:pt idx="1396">
                  <c:v>25/10/2015</c:v>
                </c:pt>
                <c:pt idx="1397">
                  <c:v>25/10/2015</c:v>
                </c:pt>
                <c:pt idx="1398">
                  <c:v>25/10/2015</c:v>
                </c:pt>
                <c:pt idx="1399">
                  <c:v>25/10/2015</c:v>
                </c:pt>
                <c:pt idx="1400">
                  <c:v>01/11/2015</c:v>
                </c:pt>
                <c:pt idx="1401">
                  <c:v>01/11/2015</c:v>
                </c:pt>
                <c:pt idx="1402">
                  <c:v>01/11/2015</c:v>
                </c:pt>
                <c:pt idx="1403">
                  <c:v>01/11/2015</c:v>
                </c:pt>
                <c:pt idx="1404">
                  <c:v>01/11/2015</c:v>
                </c:pt>
                <c:pt idx="1405">
                  <c:v>01/11/2015</c:v>
                </c:pt>
                <c:pt idx="1406">
                  <c:v>01/11/2015</c:v>
                </c:pt>
                <c:pt idx="1407">
                  <c:v>08/11/2015</c:v>
                </c:pt>
                <c:pt idx="1408">
                  <c:v>08/11/2015</c:v>
                </c:pt>
                <c:pt idx="1409">
                  <c:v>08/11/2015</c:v>
                </c:pt>
                <c:pt idx="1410">
                  <c:v>08/11/2015</c:v>
                </c:pt>
                <c:pt idx="1411">
                  <c:v>08/11/2015</c:v>
                </c:pt>
                <c:pt idx="1412">
                  <c:v>08/11/2015</c:v>
                </c:pt>
                <c:pt idx="1413">
                  <c:v>08/11/2015</c:v>
                </c:pt>
                <c:pt idx="1414">
                  <c:v>15/11/2015</c:v>
                </c:pt>
                <c:pt idx="1415">
                  <c:v>15/11/2015</c:v>
                </c:pt>
                <c:pt idx="1416">
                  <c:v>15/11/2015</c:v>
                </c:pt>
                <c:pt idx="1417">
                  <c:v>15/11/2015</c:v>
                </c:pt>
                <c:pt idx="1418">
                  <c:v>15/11/2015</c:v>
                </c:pt>
                <c:pt idx="1419">
                  <c:v>15/11/2015</c:v>
                </c:pt>
                <c:pt idx="1420">
                  <c:v>15/11/2015</c:v>
                </c:pt>
                <c:pt idx="1421">
                  <c:v>22/11/2015</c:v>
                </c:pt>
                <c:pt idx="1422">
                  <c:v>22/11/2015</c:v>
                </c:pt>
                <c:pt idx="1423">
                  <c:v>22/11/2015</c:v>
                </c:pt>
                <c:pt idx="1424">
                  <c:v>22/11/2015</c:v>
                </c:pt>
                <c:pt idx="1425">
                  <c:v>22/11/2015</c:v>
                </c:pt>
                <c:pt idx="1426">
                  <c:v>22/11/2015</c:v>
                </c:pt>
                <c:pt idx="1427">
                  <c:v>22/11/2015</c:v>
                </c:pt>
                <c:pt idx="1428">
                  <c:v>29/11/2015</c:v>
                </c:pt>
                <c:pt idx="1429">
                  <c:v>29/11/2015</c:v>
                </c:pt>
                <c:pt idx="1430">
                  <c:v>29/11/2015</c:v>
                </c:pt>
                <c:pt idx="1431">
                  <c:v>29/11/2015</c:v>
                </c:pt>
                <c:pt idx="1432">
                  <c:v>29/11/2015</c:v>
                </c:pt>
                <c:pt idx="1433">
                  <c:v>29/11/2015</c:v>
                </c:pt>
                <c:pt idx="1434">
                  <c:v>29/11/2015</c:v>
                </c:pt>
                <c:pt idx="1435">
                  <c:v>06/12/2015</c:v>
                </c:pt>
                <c:pt idx="1436">
                  <c:v>06/12/2015</c:v>
                </c:pt>
                <c:pt idx="1437">
                  <c:v>06/12/2015</c:v>
                </c:pt>
                <c:pt idx="1438">
                  <c:v>06/12/2015</c:v>
                </c:pt>
                <c:pt idx="1439">
                  <c:v>06/12/2015</c:v>
                </c:pt>
                <c:pt idx="1440">
                  <c:v>06/12/2015</c:v>
                </c:pt>
                <c:pt idx="1441">
                  <c:v>06/12/2015</c:v>
                </c:pt>
                <c:pt idx="1442">
                  <c:v>13/12/2015</c:v>
                </c:pt>
                <c:pt idx="1443">
                  <c:v>13/12/2015</c:v>
                </c:pt>
                <c:pt idx="1444">
                  <c:v>13/12/2015</c:v>
                </c:pt>
                <c:pt idx="1445">
                  <c:v>13/12/2015</c:v>
                </c:pt>
                <c:pt idx="1446">
                  <c:v>13/12/2015</c:v>
                </c:pt>
                <c:pt idx="1447">
                  <c:v>13/12/2015</c:v>
                </c:pt>
                <c:pt idx="1448">
                  <c:v>13/12/2015</c:v>
                </c:pt>
                <c:pt idx="1449">
                  <c:v>20/12/2015</c:v>
                </c:pt>
                <c:pt idx="1450">
                  <c:v>20/12/2015</c:v>
                </c:pt>
                <c:pt idx="1451">
                  <c:v>20/12/2015</c:v>
                </c:pt>
                <c:pt idx="1452">
                  <c:v>20/12/2015</c:v>
                </c:pt>
                <c:pt idx="1453">
                  <c:v>20/12/2015</c:v>
                </c:pt>
                <c:pt idx="1454">
                  <c:v>20/12/2015</c:v>
                </c:pt>
                <c:pt idx="1455">
                  <c:v>20/12/2015</c:v>
                </c:pt>
                <c:pt idx="1456">
                  <c:v>27/12/2015</c:v>
                </c:pt>
                <c:pt idx="1457">
                  <c:v>27/12/2015</c:v>
                </c:pt>
                <c:pt idx="1458">
                  <c:v>27/12/2015</c:v>
                </c:pt>
                <c:pt idx="1459">
                  <c:v>27/12/2015</c:v>
                </c:pt>
                <c:pt idx="1460">
                  <c:v>27/12/2015</c:v>
                </c:pt>
                <c:pt idx="1461">
                  <c:v>27/12/2015</c:v>
                </c:pt>
                <c:pt idx="1462">
                  <c:v>27/12/2015</c:v>
                </c:pt>
                <c:pt idx="1463">
                  <c:v>03/01/2016</c:v>
                </c:pt>
                <c:pt idx="1464">
                  <c:v>03/01/2016</c:v>
                </c:pt>
                <c:pt idx="1465">
                  <c:v>03/01/2016</c:v>
                </c:pt>
                <c:pt idx="1466">
                  <c:v>03/01/2016</c:v>
                </c:pt>
                <c:pt idx="1467">
                  <c:v>03/01/2016</c:v>
                </c:pt>
                <c:pt idx="1468">
                  <c:v>03/01/2016</c:v>
                </c:pt>
                <c:pt idx="1469">
                  <c:v>03/01/2016</c:v>
                </c:pt>
                <c:pt idx="1470">
                  <c:v>10/01/2016</c:v>
                </c:pt>
                <c:pt idx="1471">
                  <c:v>10/01/2016</c:v>
                </c:pt>
                <c:pt idx="1472">
                  <c:v>10/01/2016</c:v>
                </c:pt>
                <c:pt idx="1473">
                  <c:v>10/01/2016</c:v>
                </c:pt>
                <c:pt idx="1474">
                  <c:v>10/01/2016</c:v>
                </c:pt>
                <c:pt idx="1475">
                  <c:v>10/01/2016</c:v>
                </c:pt>
                <c:pt idx="1476">
                  <c:v>10/01/2016</c:v>
                </c:pt>
                <c:pt idx="1477">
                  <c:v>17/01/2016</c:v>
                </c:pt>
                <c:pt idx="1478">
                  <c:v>17/01/2016</c:v>
                </c:pt>
                <c:pt idx="1479">
                  <c:v>17/01/2016</c:v>
                </c:pt>
                <c:pt idx="1480">
                  <c:v>17/01/2016</c:v>
                </c:pt>
                <c:pt idx="1481">
                  <c:v>17/01/2016</c:v>
                </c:pt>
                <c:pt idx="1482">
                  <c:v>17/01/2016</c:v>
                </c:pt>
                <c:pt idx="1483">
                  <c:v>17/01/2016</c:v>
                </c:pt>
                <c:pt idx="1484">
                  <c:v>24/01/2016</c:v>
                </c:pt>
                <c:pt idx="1485">
                  <c:v>24/01/2016</c:v>
                </c:pt>
                <c:pt idx="1486">
                  <c:v>24/01/2016</c:v>
                </c:pt>
                <c:pt idx="1487">
                  <c:v>24/01/2016</c:v>
                </c:pt>
                <c:pt idx="1488">
                  <c:v>24/01/2016</c:v>
                </c:pt>
                <c:pt idx="1489">
                  <c:v>24/01/2016</c:v>
                </c:pt>
                <c:pt idx="1490">
                  <c:v>24/01/2016</c:v>
                </c:pt>
                <c:pt idx="1491">
                  <c:v>31/01/2016</c:v>
                </c:pt>
                <c:pt idx="1492">
                  <c:v>31/01/2016</c:v>
                </c:pt>
                <c:pt idx="1493">
                  <c:v>31/01/2016</c:v>
                </c:pt>
                <c:pt idx="1494">
                  <c:v>31/01/2016</c:v>
                </c:pt>
                <c:pt idx="1495">
                  <c:v>31/01/2016</c:v>
                </c:pt>
                <c:pt idx="1496">
                  <c:v>31/01/2016</c:v>
                </c:pt>
                <c:pt idx="1497">
                  <c:v>31/01/2016</c:v>
                </c:pt>
                <c:pt idx="1498">
                  <c:v>07/02/2016</c:v>
                </c:pt>
                <c:pt idx="1499">
                  <c:v>07/02/2016</c:v>
                </c:pt>
                <c:pt idx="1500">
                  <c:v>07/02/2016</c:v>
                </c:pt>
                <c:pt idx="1501">
                  <c:v>07/02/2016</c:v>
                </c:pt>
                <c:pt idx="1502">
                  <c:v>07/02/2016</c:v>
                </c:pt>
                <c:pt idx="1503">
                  <c:v>07/02/2016</c:v>
                </c:pt>
                <c:pt idx="1504">
                  <c:v>07/02/2016</c:v>
                </c:pt>
                <c:pt idx="1505">
                  <c:v>14/02/2016</c:v>
                </c:pt>
                <c:pt idx="1506">
                  <c:v>14/02/2016</c:v>
                </c:pt>
                <c:pt idx="1507">
                  <c:v>14/02/2016</c:v>
                </c:pt>
                <c:pt idx="1508">
                  <c:v>14/02/2016</c:v>
                </c:pt>
                <c:pt idx="1509">
                  <c:v>14/02/2016</c:v>
                </c:pt>
                <c:pt idx="1510">
                  <c:v>14/02/2016</c:v>
                </c:pt>
                <c:pt idx="1511">
                  <c:v>14/02/2016</c:v>
                </c:pt>
                <c:pt idx="1512">
                  <c:v>21/02/2016</c:v>
                </c:pt>
                <c:pt idx="1513">
                  <c:v>21/02/2016</c:v>
                </c:pt>
                <c:pt idx="1514">
                  <c:v>21/02/2016</c:v>
                </c:pt>
                <c:pt idx="1515">
                  <c:v>21/02/2016</c:v>
                </c:pt>
                <c:pt idx="1516">
                  <c:v>21/02/2016</c:v>
                </c:pt>
                <c:pt idx="1517">
                  <c:v>21/02/2016</c:v>
                </c:pt>
                <c:pt idx="1518">
                  <c:v>21/02/2016</c:v>
                </c:pt>
                <c:pt idx="1519">
                  <c:v>28/02/2016</c:v>
                </c:pt>
                <c:pt idx="1520">
                  <c:v>28/02/2016</c:v>
                </c:pt>
                <c:pt idx="1521">
                  <c:v>28/02/2016</c:v>
                </c:pt>
                <c:pt idx="1522">
                  <c:v>28/02/2016</c:v>
                </c:pt>
                <c:pt idx="1523">
                  <c:v>28/02/2016</c:v>
                </c:pt>
                <c:pt idx="1524">
                  <c:v>28/02/2016</c:v>
                </c:pt>
                <c:pt idx="1525">
                  <c:v>28/02/2016</c:v>
                </c:pt>
                <c:pt idx="1526">
                  <c:v>06/03/2016</c:v>
                </c:pt>
                <c:pt idx="1527">
                  <c:v>06/03/2016</c:v>
                </c:pt>
                <c:pt idx="1528">
                  <c:v>06/03/2016</c:v>
                </c:pt>
                <c:pt idx="1529">
                  <c:v>06/03/2016</c:v>
                </c:pt>
                <c:pt idx="1530">
                  <c:v>06/03/2016</c:v>
                </c:pt>
                <c:pt idx="1531">
                  <c:v>06/03/2016</c:v>
                </c:pt>
                <c:pt idx="1532">
                  <c:v>06/03/2016</c:v>
                </c:pt>
                <c:pt idx="1533">
                  <c:v>13/03/2016</c:v>
                </c:pt>
                <c:pt idx="1534">
                  <c:v>13/03/2016</c:v>
                </c:pt>
                <c:pt idx="1535">
                  <c:v>13/03/2016</c:v>
                </c:pt>
                <c:pt idx="1536">
                  <c:v>13/03/2016</c:v>
                </c:pt>
                <c:pt idx="1537">
                  <c:v>13/03/2016</c:v>
                </c:pt>
                <c:pt idx="1538">
                  <c:v>13/03/2016</c:v>
                </c:pt>
                <c:pt idx="1539">
                  <c:v>13/03/2016</c:v>
                </c:pt>
                <c:pt idx="1540">
                  <c:v>20/03/2016</c:v>
                </c:pt>
                <c:pt idx="1541">
                  <c:v>20/03/2016</c:v>
                </c:pt>
                <c:pt idx="1542">
                  <c:v>20/03/2016</c:v>
                </c:pt>
                <c:pt idx="1543">
                  <c:v>20/03/2016</c:v>
                </c:pt>
                <c:pt idx="1544">
                  <c:v>20/03/2016</c:v>
                </c:pt>
                <c:pt idx="1545">
                  <c:v>20/03/2016</c:v>
                </c:pt>
                <c:pt idx="1546">
                  <c:v>20/03/2016</c:v>
                </c:pt>
                <c:pt idx="1547">
                  <c:v>27/03/2016</c:v>
                </c:pt>
                <c:pt idx="1548">
                  <c:v>27/03/2016</c:v>
                </c:pt>
                <c:pt idx="1549">
                  <c:v>27/03/2016</c:v>
                </c:pt>
                <c:pt idx="1550">
                  <c:v>27/03/2016</c:v>
                </c:pt>
                <c:pt idx="1551">
                  <c:v>27/03/2016</c:v>
                </c:pt>
                <c:pt idx="1552">
                  <c:v>27/03/2016</c:v>
                </c:pt>
                <c:pt idx="1553">
                  <c:v>27/03/2016</c:v>
                </c:pt>
                <c:pt idx="1554">
                  <c:v>03/04/2016</c:v>
                </c:pt>
                <c:pt idx="1555">
                  <c:v>03/04/2016</c:v>
                </c:pt>
                <c:pt idx="1556">
                  <c:v>03/04/2016</c:v>
                </c:pt>
                <c:pt idx="1557">
                  <c:v>03/04/2016</c:v>
                </c:pt>
                <c:pt idx="1558">
                  <c:v>03/04/2016</c:v>
                </c:pt>
                <c:pt idx="1559">
                  <c:v>03/04/2016</c:v>
                </c:pt>
                <c:pt idx="1560">
                  <c:v>03/04/2016</c:v>
                </c:pt>
                <c:pt idx="1561">
                  <c:v>10/04/2016</c:v>
                </c:pt>
                <c:pt idx="1562">
                  <c:v>10/04/2016</c:v>
                </c:pt>
                <c:pt idx="1563">
                  <c:v>10/04/2016</c:v>
                </c:pt>
                <c:pt idx="1564">
                  <c:v>10/04/2016</c:v>
                </c:pt>
                <c:pt idx="1565">
                  <c:v>10/04/2016</c:v>
                </c:pt>
                <c:pt idx="1566">
                  <c:v>10/04/2016</c:v>
                </c:pt>
                <c:pt idx="1567">
                  <c:v>10/04/2016</c:v>
                </c:pt>
                <c:pt idx="1568">
                  <c:v>17/04/2016</c:v>
                </c:pt>
                <c:pt idx="1569">
                  <c:v>17/04/2016</c:v>
                </c:pt>
                <c:pt idx="1570">
                  <c:v>17/04/2016</c:v>
                </c:pt>
                <c:pt idx="1571">
                  <c:v>17/04/2016</c:v>
                </c:pt>
                <c:pt idx="1572">
                  <c:v>17/04/2016</c:v>
                </c:pt>
                <c:pt idx="1573">
                  <c:v>17/04/2016</c:v>
                </c:pt>
                <c:pt idx="1574">
                  <c:v>17/04/2016</c:v>
                </c:pt>
                <c:pt idx="1575">
                  <c:v>24/04/2016</c:v>
                </c:pt>
                <c:pt idx="1576">
                  <c:v>24/04/2016</c:v>
                </c:pt>
                <c:pt idx="1577">
                  <c:v>24/04/2016</c:v>
                </c:pt>
                <c:pt idx="1578">
                  <c:v>24/04/2016</c:v>
                </c:pt>
                <c:pt idx="1579">
                  <c:v>24/04/2016</c:v>
                </c:pt>
                <c:pt idx="1580">
                  <c:v>24/04/2016</c:v>
                </c:pt>
                <c:pt idx="1581">
                  <c:v>24/04/2016</c:v>
                </c:pt>
                <c:pt idx="1582">
                  <c:v>01/05/2016</c:v>
                </c:pt>
                <c:pt idx="1583">
                  <c:v>01/05/2016</c:v>
                </c:pt>
                <c:pt idx="1584">
                  <c:v>01/05/2016</c:v>
                </c:pt>
                <c:pt idx="1585">
                  <c:v>01/05/2016</c:v>
                </c:pt>
                <c:pt idx="1586">
                  <c:v>01/05/2016</c:v>
                </c:pt>
                <c:pt idx="1587">
                  <c:v>01/05/2016</c:v>
                </c:pt>
                <c:pt idx="1588">
                  <c:v>01/05/2016</c:v>
                </c:pt>
                <c:pt idx="1589">
                  <c:v>08/05/2016</c:v>
                </c:pt>
                <c:pt idx="1590">
                  <c:v>08/05/2016</c:v>
                </c:pt>
                <c:pt idx="1591">
                  <c:v>08/05/2016</c:v>
                </c:pt>
                <c:pt idx="1592">
                  <c:v>08/05/2016</c:v>
                </c:pt>
                <c:pt idx="1593">
                  <c:v>08/05/2016</c:v>
                </c:pt>
                <c:pt idx="1594">
                  <c:v>08/05/2016</c:v>
                </c:pt>
                <c:pt idx="1595">
                  <c:v>08/05/2016</c:v>
                </c:pt>
                <c:pt idx="1596">
                  <c:v>15/05/2016</c:v>
                </c:pt>
                <c:pt idx="1597">
                  <c:v>15/05/2016</c:v>
                </c:pt>
                <c:pt idx="1598">
                  <c:v>15/05/2016</c:v>
                </c:pt>
                <c:pt idx="1599">
                  <c:v>15/05/2016</c:v>
                </c:pt>
                <c:pt idx="1600">
                  <c:v>15/05/2016</c:v>
                </c:pt>
                <c:pt idx="1601">
                  <c:v>15/05/2016</c:v>
                </c:pt>
                <c:pt idx="1602">
                  <c:v>15/05/2016</c:v>
                </c:pt>
                <c:pt idx="1603">
                  <c:v>22/05/2016</c:v>
                </c:pt>
                <c:pt idx="1604">
                  <c:v>22/05/2016</c:v>
                </c:pt>
                <c:pt idx="1605">
                  <c:v>22/05/2016</c:v>
                </c:pt>
                <c:pt idx="1606">
                  <c:v>22/05/2016</c:v>
                </c:pt>
                <c:pt idx="1607">
                  <c:v>22/05/2016</c:v>
                </c:pt>
                <c:pt idx="1608">
                  <c:v>22/05/2016</c:v>
                </c:pt>
                <c:pt idx="1609">
                  <c:v>22/05/2016</c:v>
                </c:pt>
                <c:pt idx="1610">
                  <c:v>29/05/2016</c:v>
                </c:pt>
                <c:pt idx="1611">
                  <c:v>29/05/2016</c:v>
                </c:pt>
                <c:pt idx="1612">
                  <c:v>29/05/2016</c:v>
                </c:pt>
                <c:pt idx="1613">
                  <c:v>29/05/2016</c:v>
                </c:pt>
                <c:pt idx="1614">
                  <c:v>29/05/2016</c:v>
                </c:pt>
                <c:pt idx="1615">
                  <c:v>29/05/2016</c:v>
                </c:pt>
                <c:pt idx="1616">
                  <c:v>29/05/2016</c:v>
                </c:pt>
                <c:pt idx="1617">
                  <c:v>05/06/2016</c:v>
                </c:pt>
                <c:pt idx="1618">
                  <c:v>05/06/2016</c:v>
                </c:pt>
                <c:pt idx="1619">
                  <c:v>05/06/2016</c:v>
                </c:pt>
                <c:pt idx="1620">
                  <c:v>05/06/2016</c:v>
                </c:pt>
                <c:pt idx="1621">
                  <c:v>05/06/2016</c:v>
                </c:pt>
                <c:pt idx="1622">
                  <c:v>05/06/2016</c:v>
                </c:pt>
                <c:pt idx="1623">
                  <c:v>05/06/2016</c:v>
                </c:pt>
                <c:pt idx="1624">
                  <c:v>12/06/2016</c:v>
                </c:pt>
                <c:pt idx="1625">
                  <c:v>12/06/2016</c:v>
                </c:pt>
                <c:pt idx="1626">
                  <c:v>12/06/2016</c:v>
                </c:pt>
                <c:pt idx="1627">
                  <c:v>12/06/2016</c:v>
                </c:pt>
                <c:pt idx="1628">
                  <c:v>12/06/2016</c:v>
                </c:pt>
                <c:pt idx="1629">
                  <c:v>12/06/2016</c:v>
                </c:pt>
                <c:pt idx="1630">
                  <c:v>12/06/2016</c:v>
                </c:pt>
                <c:pt idx="1631">
                  <c:v>19/06/2016</c:v>
                </c:pt>
                <c:pt idx="1632">
                  <c:v>19/06/2016</c:v>
                </c:pt>
                <c:pt idx="1633">
                  <c:v>19/06/2016</c:v>
                </c:pt>
                <c:pt idx="1634">
                  <c:v>19/06/2016</c:v>
                </c:pt>
                <c:pt idx="1635">
                  <c:v>19/06/2016</c:v>
                </c:pt>
                <c:pt idx="1636">
                  <c:v>19/06/2016</c:v>
                </c:pt>
                <c:pt idx="1637">
                  <c:v>19/06/2016</c:v>
                </c:pt>
                <c:pt idx="1638">
                  <c:v>26/06/2016</c:v>
                </c:pt>
                <c:pt idx="1639">
                  <c:v>26/06/2016</c:v>
                </c:pt>
                <c:pt idx="1640">
                  <c:v>26/06/2016</c:v>
                </c:pt>
                <c:pt idx="1641">
                  <c:v>26/06/2016</c:v>
                </c:pt>
                <c:pt idx="1642">
                  <c:v>26/06/2016</c:v>
                </c:pt>
                <c:pt idx="1643">
                  <c:v>26/06/2016</c:v>
                </c:pt>
                <c:pt idx="1644">
                  <c:v>26/06/2016</c:v>
                </c:pt>
                <c:pt idx="1645">
                  <c:v>03/07/2016</c:v>
                </c:pt>
                <c:pt idx="1646">
                  <c:v>03/07/2016</c:v>
                </c:pt>
                <c:pt idx="1647">
                  <c:v>03/07/2016</c:v>
                </c:pt>
                <c:pt idx="1648">
                  <c:v>03/07/2016</c:v>
                </c:pt>
                <c:pt idx="1649">
                  <c:v>03/07/2016</c:v>
                </c:pt>
                <c:pt idx="1650">
                  <c:v>03/07/2016</c:v>
                </c:pt>
                <c:pt idx="1651">
                  <c:v>03/07/2016</c:v>
                </c:pt>
                <c:pt idx="1652">
                  <c:v>10/07/2016</c:v>
                </c:pt>
                <c:pt idx="1653">
                  <c:v>10/07/2016</c:v>
                </c:pt>
                <c:pt idx="1654">
                  <c:v>10/07/2016</c:v>
                </c:pt>
                <c:pt idx="1655">
                  <c:v>10/07/2016</c:v>
                </c:pt>
                <c:pt idx="1656">
                  <c:v>10/07/2016</c:v>
                </c:pt>
                <c:pt idx="1657">
                  <c:v>10/07/2016</c:v>
                </c:pt>
                <c:pt idx="1658">
                  <c:v>10/07/2016</c:v>
                </c:pt>
                <c:pt idx="1659">
                  <c:v>17/07/2016</c:v>
                </c:pt>
                <c:pt idx="1660">
                  <c:v>17/07/2016</c:v>
                </c:pt>
                <c:pt idx="1661">
                  <c:v>17/07/2016</c:v>
                </c:pt>
                <c:pt idx="1662">
                  <c:v>17/07/2016</c:v>
                </c:pt>
                <c:pt idx="1663">
                  <c:v>17/07/2016</c:v>
                </c:pt>
                <c:pt idx="1664">
                  <c:v>17/07/2016</c:v>
                </c:pt>
                <c:pt idx="1665">
                  <c:v>17/07/2016</c:v>
                </c:pt>
                <c:pt idx="1666">
                  <c:v>24/07/2016</c:v>
                </c:pt>
                <c:pt idx="1667">
                  <c:v>24/07/2016</c:v>
                </c:pt>
                <c:pt idx="1668">
                  <c:v>24/07/2016</c:v>
                </c:pt>
                <c:pt idx="1669">
                  <c:v>24/07/2016</c:v>
                </c:pt>
                <c:pt idx="1670">
                  <c:v>24/07/2016</c:v>
                </c:pt>
                <c:pt idx="1671">
                  <c:v>24/07/2016</c:v>
                </c:pt>
                <c:pt idx="1672">
                  <c:v>24/07/2016</c:v>
                </c:pt>
                <c:pt idx="1673">
                  <c:v>31/07/2016</c:v>
                </c:pt>
                <c:pt idx="1674">
                  <c:v>31/07/2016</c:v>
                </c:pt>
                <c:pt idx="1675">
                  <c:v>31/07/2016</c:v>
                </c:pt>
                <c:pt idx="1676">
                  <c:v>31/07/2016</c:v>
                </c:pt>
                <c:pt idx="1677">
                  <c:v>31/07/2016</c:v>
                </c:pt>
                <c:pt idx="1678">
                  <c:v>31/07/2016</c:v>
                </c:pt>
                <c:pt idx="1679">
                  <c:v>31/07/2016</c:v>
                </c:pt>
                <c:pt idx="1680">
                  <c:v>07/08/2016</c:v>
                </c:pt>
                <c:pt idx="1681">
                  <c:v>07/08/2016</c:v>
                </c:pt>
                <c:pt idx="1682">
                  <c:v>07/08/2016</c:v>
                </c:pt>
                <c:pt idx="1683">
                  <c:v>07/08/2016</c:v>
                </c:pt>
                <c:pt idx="1684">
                  <c:v>07/08/2016</c:v>
                </c:pt>
                <c:pt idx="1685">
                  <c:v>07/08/2016</c:v>
                </c:pt>
                <c:pt idx="1686">
                  <c:v>07/08/2016</c:v>
                </c:pt>
                <c:pt idx="1687">
                  <c:v>14/08/2016</c:v>
                </c:pt>
                <c:pt idx="1688">
                  <c:v>14/08/2016</c:v>
                </c:pt>
                <c:pt idx="1689">
                  <c:v>14/08/2016</c:v>
                </c:pt>
                <c:pt idx="1690">
                  <c:v>14/08/2016</c:v>
                </c:pt>
                <c:pt idx="1691">
                  <c:v>14/08/2016</c:v>
                </c:pt>
                <c:pt idx="1692">
                  <c:v>14/08/2016</c:v>
                </c:pt>
                <c:pt idx="1693">
                  <c:v>14/08/2016</c:v>
                </c:pt>
                <c:pt idx="1694">
                  <c:v>21/08/2016</c:v>
                </c:pt>
                <c:pt idx="1695">
                  <c:v>21/08/2016</c:v>
                </c:pt>
                <c:pt idx="1696">
                  <c:v>21/08/2016</c:v>
                </c:pt>
                <c:pt idx="1697">
                  <c:v>21/08/2016</c:v>
                </c:pt>
                <c:pt idx="1698">
                  <c:v>21/08/2016</c:v>
                </c:pt>
                <c:pt idx="1699">
                  <c:v>21/08/2016</c:v>
                </c:pt>
                <c:pt idx="1700">
                  <c:v>21/08/2016</c:v>
                </c:pt>
                <c:pt idx="1701">
                  <c:v>28/08/2016</c:v>
                </c:pt>
                <c:pt idx="1702">
                  <c:v>28/08/2016</c:v>
                </c:pt>
                <c:pt idx="1703">
                  <c:v>28/08/2016</c:v>
                </c:pt>
                <c:pt idx="1704">
                  <c:v>28/08/2016</c:v>
                </c:pt>
                <c:pt idx="1705">
                  <c:v>28/08/2016</c:v>
                </c:pt>
                <c:pt idx="1706">
                  <c:v>28/08/2016</c:v>
                </c:pt>
                <c:pt idx="1707">
                  <c:v>28/08/2016</c:v>
                </c:pt>
                <c:pt idx="1708">
                  <c:v>04/09/2016</c:v>
                </c:pt>
                <c:pt idx="1709">
                  <c:v>04/09/2016</c:v>
                </c:pt>
                <c:pt idx="1710">
                  <c:v>04/09/2016</c:v>
                </c:pt>
                <c:pt idx="1711">
                  <c:v>04/09/2016</c:v>
                </c:pt>
                <c:pt idx="1712">
                  <c:v>04/09/2016</c:v>
                </c:pt>
                <c:pt idx="1713">
                  <c:v>04/09/2016</c:v>
                </c:pt>
                <c:pt idx="1714">
                  <c:v>04/09/2016</c:v>
                </c:pt>
                <c:pt idx="1715">
                  <c:v>11/09/2016</c:v>
                </c:pt>
                <c:pt idx="1716">
                  <c:v>11/09/2016</c:v>
                </c:pt>
                <c:pt idx="1717">
                  <c:v>11/09/2016</c:v>
                </c:pt>
                <c:pt idx="1718">
                  <c:v>11/09/2016</c:v>
                </c:pt>
                <c:pt idx="1719">
                  <c:v>11/09/2016</c:v>
                </c:pt>
                <c:pt idx="1720">
                  <c:v>11/09/2016</c:v>
                </c:pt>
                <c:pt idx="1721">
                  <c:v>11/09/2016</c:v>
                </c:pt>
                <c:pt idx="1722">
                  <c:v>18/09/2016</c:v>
                </c:pt>
                <c:pt idx="1723">
                  <c:v>18/09/2016</c:v>
                </c:pt>
                <c:pt idx="1724">
                  <c:v>18/09/2016</c:v>
                </c:pt>
                <c:pt idx="1725">
                  <c:v>18/09/2016</c:v>
                </c:pt>
                <c:pt idx="1726">
                  <c:v>18/09/2016</c:v>
                </c:pt>
                <c:pt idx="1727">
                  <c:v>18/09/2016</c:v>
                </c:pt>
                <c:pt idx="1728">
                  <c:v>18/09/2016</c:v>
                </c:pt>
                <c:pt idx="1729">
                  <c:v>25/09/2016</c:v>
                </c:pt>
                <c:pt idx="1730">
                  <c:v>25/09/2016</c:v>
                </c:pt>
                <c:pt idx="1731">
                  <c:v>25/09/2016</c:v>
                </c:pt>
                <c:pt idx="1732">
                  <c:v>25/09/2016</c:v>
                </c:pt>
                <c:pt idx="1733">
                  <c:v>25/09/2016</c:v>
                </c:pt>
                <c:pt idx="1734">
                  <c:v>25/09/2016</c:v>
                </c:pt>
                <c:pt idx="1735">
                  <c:v>25/09/2016</c:v>
                </c:pt>
                <c:pt idx="1736">
                  <c:v>02/10/2016</c:v>
                </c:pt>
                <c:pt idx="1737">
                  <c:v>02/10/2016</c:v>
                </c:pt>
                <c:pt idx="1738">
                  <c:v>02/10/2016</c:v>
                </c:pt>
                <c:pt idx="1739">
                  <c:v>02/10/2016</c:v>
                </c:pt>
                <c:pt idx="1740">
                  <c:v>02/10/2016</c:v>
                </c:pt>
                <c:pt idx="1741">
                  <c:v>02/10/2016</c:v>
                </c:pt>
                <c:pt idx="1742">
                  <c:v>02/10/2016</c:v>
                </c:pt>
                <c:pt idx="1743">
                  <c:v>09/10/2016</c:v>
                </c:pt>
                <c:pt idx="1744">
                  <c:v>09/10/2016</c:v>
                </c:pt>
                <c:pt idx="1745">
                  <c:v>09/10/2016</c:v>
                </c:pt>
                <c:pt idx="1746">
                  <c:v>09/10/2016</c:v>
                </c:pt>
                <c:pt idx="1747">
                  <c:v>09/10/2016</c:v>
                </c:pt>
                <c:pt idx="1748">
                  <c:v>09/10/2016</c:v>
                </c:pt>
                <c:pt idx="1749">
                  <c:v>09/10/2016</c:v>
                </c:pt>
                <c:pt idx="1750">
                  <c:v>16/10/2016</c:v>
                </c:pt>
                <c:pt idx="1751">
                  <c:v>16/10/2016</c:v>
                </c:pt>
                <c:pt idx="1752">
                  <c:v>16/10/2016</c:v>
                </c:pt>
                <c:pt idx="1753">
                  <c:v>16/10/2016</c:v>
                </c:pt>
                <c:pt idx="1754">
                  <c:v>16/10/2016</c:v>
                </c:pt>
                <c:pt idx="1755">
                  <c:v>16/10/2016</c:v>
                </c:pt>
                <c:pt idx="1756">
                  <c:v>16/10/2016</c:v>
                </c:pt>
                <c:pt idx="1757">
                  <c:v>23/10/2016</c:v>
                </c:pt>
                <c:pt idx="1758">
                  <c:v>23/10/2016</c:v>
                </c:pt>
                <c:pt idx="1759">
                  <c:v>23/10/2016</c:v>
                </c:pt>
                <c:pt idx="1760">
                  <c:v>23/10/2016</c:v>
                </c:pt>
                <c:pt idx="1761">
                  <c:v>23/10/2016</c:v>
                </c:pt>
                <c:pt idx="1762">
                  <c:v>23/10/2016</c:v>
                </c:pt>
                <c:pt idx="1763">
                  <c:v>23/10/2016</c:v>
                </c:pt>
                <c:pt idx="1764">
                  <c:v>30/10/2016</c:v>
                </c:pt>
                <c:pt idx="1765">
                  <c:v>30/10/2016</c:v>
                </c:pt>
                <c:pt idx="1766">
                  <c:v>30/10/2016</c:v>
                </c:pt>
                <c:pt idx="1767">
                  <c:v>30/10/2016</c:v>
                </c:pt>
                <c:pt idx="1768">
                  <c:v>30/10/2016</c:v>
                </c:pt>
                <c:pt idx="1769">
                  <c:v>30/10/2016</c:v>
                </c:pt>
                <c:pt idx="1770">
                  <c:v>30/10/2016</c:v>
                </c:pt>
                <c:pt idx="1771">
                  <c:v>06/11/2016</c:v>
                </c:pt>
                <c:pt idx="1772">
                  <c:v>06/11/2016</c:v>
                </c:pt>
                <c:pt idx="1773">
                  <c:v>06/11/2016</c:v>
                </c:pt>
                <c:pt idx="1774">
                  <c:v>06/11/2016</c:v>
                </c:pt>
                <c:pt idx="1775">
                  <c:v>06/11/2016</c:v>
                </c:pt>
                <c:pt idx="1776">
                  <c:v>06/11/2016</c:v>
                </c:pt>
                <c:pt idx="1777">
                  <c:v>06/11/2016</c:v>
                </c:pt>
                <c:pt idx="1778">
                  <c:v>13/11/2016</c:v>
                </c:pt>
                <c:pt idx="1779">
                  <c:v>13/11/2016</c:v>
                </c:pt>
                <c:pt idx="1780">
                  <c:v>13/11/2016</c:v>
                </c:pt>
                <c:pt idx="1781">
                  <c:v>13/11/2016</c:v>
                </c:pt>
                <c:pt idx="1782">
                  <c:v>13/11/2016</c:v>
                </c:pt>
                <c:pt idx="1783">
                  <c:v>13/11/2016</c:v>
                </c:pt>
                <c:pt idx="1784">
                  <c:v>13/11/2016</c:v>
                </c:pt>
                <c:pt idx="1785">
                  <c:v>20/11/2016</c:v>
                </c:pt>
                <c:pt idx="1786">
                  <c:v>20/11/2016</c:v>
                </c:pt>
                <c:pt idx="1787">
                  <c:v>20/11/2016</c:v>
                </c:pt>
                <c:pt idx="1788">
                  <c:v>20/11/2016</c:v>
                </c:pt>
                <c:pt idx="1789">
                  <c:v>20/11/2016</c:v>
                </c:pt>
                <c:pt idx="1790">
                  <c:v>20/11/2016</c:v>
                </c:pt>
                <c:pt idx="1791">
                  <c:v>20/11/2016</c:v>
                </c:pt>
                <c:pt idx="1792">
                  <c:v>27/11/2016</c:v>
                </c:pt>
                <c:pt idx="1793">
                  <c:v>27/11/2016</c:v>
                </c:pt>
                <c:pt idx="1794">
                  <c:v>27/11/2016</c:v>
                </c:pt>
                <c:pt idx="1795">
                  <c:v>27/11/2016</c:v>
                </c:pt>
                <c:pt idx="1796">
                  <c:v>27/11/2016</c:v>
                </c:pt>
                <c:pt idx="1797">
                  <c:v>27/11/2016</c:v>
                </c:pt>
                <c:pt idx="1798">
                  <c:v>27/11/2016</c:v>
                </c:pt>
                <c:pt idx="1799">
                  <c:v>04/12/2016</c:v>
                </c:pt>
                <c:pt idx="1800">
                  <c:v>04/12/2016</c:v>
                </c:pt>
                <c:pt idx="1801">
                  <c:v>04/12/2016</c:v>
                </c:pt>
                <c:pt idx="1802">
                  <c:v>04/12/2016</c:v>
                </c:pt>
                <c:pt idx="1803">
                  <c:v>04/12/2016</c:v>
                </c:pt>
                <c:pt idx="1804">
                  <c:v>04/12/2016</c:v>
                </c:pt>
                <c:pt idx="1805">
                  <c:v>04/12/2016</c:v>
                </c:pt>
                <c:pt idx="1806">
                  <c:v>11/12/2016</c:v>
                </c:pt>
                <c:pt idx="1807">
                  <c:v>11/12/2016</c:v>
                </c:pt>
                <c:pt idx="1808">
                  <c:v>11/12/2016</c:v>
                </c:pt>
                <c:pt idx="1809">
                  <c:v>11/12/2016</c:v>
                </c:pt>
                <c:pt idx="1810">
                  <c:v>11/12/2016</c:v>
                </c:pt>
                <c:pt idx="1811">
                  <c:v>11/12/2016</c:v>
                </c:pt>
                <c:pt idx="1812">
                  <c:v>11/12/2016</c:v>
                </c:pt>
                <c:pt idx="1813">
                  <c:v>18/12/2016</c:v>
                </c:pt>
                <c:pt idx="1814">
                  <c:v>18/12/2016</c:v>
                </c:pt>
                <c:pt idx="1815">
                  <c:v>18/12/2016</c:v>
                </c:pt>
                <c:pt idx="1816">
                  <c:v>18/12/2016</c:v>
                </c:pt>
                <c:pt idx="1817">
                  <c:v>18/12/2016</c:v>
                </c:pt>
                <c:pt idx="1818">
                  <c:v>18/12/2016</c:v>
                </c:pt>
                <c:pt idx="1819">
                  <c:v>18/12/2016</c:v>
                </c:pt>
                <c:pt idx="1820">
                  <c:v>25/12/2016</c:v>
                </c:pt>
                <c:pt idx="1821">
                  <c:v>25/12/2016</c:v>
                </c:pt>
                <c:pt idx="1822">
                  <c:v>25/12/2016</c:v>
                </c:pt>
                <c:pt idx="1823">
                  <c:v>25/12/2016</c:v>
                </c:pt>
                <c:pt idx="1824">
                  <c:v>25/12/2016</c:v>
                </c:pt>
                <c:pt idx="1825">
                  <c:v>25/12/2016</c:v>
                </c:pt>
                <c:pt idx="1826">
                  <c:v>25/12/2016</c:v>
                </c:pt>
                <c:pt idx="1827">
                  <c:v>01/01/2017</c:v>
                </c:pt>
                <c:pt idx="1828">
                  <c:v>01/01/2017</c:v>
                </c:pt>
                <c:pt idx="1829">
                  <c:v>01/01/2017</c:v>
                </c:pt>
                <c:pt idx="1830">
                  <c:v>01/01/2017</c:v>
                </c:pt>
                <c:pt idx="1831">
                  <c:v>01/01/2017</c:v>
                </c:pt>
                <c:pt idx="1832">
                  <c:v>01/01/2017</c:v>
                </c:pt>
                <c:pt idx="1833">
                  <c:v>01/01/2017</c:v>
                </c:pt>
                <c:pt idx="1834">
                  <c:v>08/01/2017</c:v>
                </c:pt>
                <c:pt idx="1835">
                  <c:v>08/01/2017</c:v>
                </c:pt>
                <c:pt idx="1836">
                  <c:v>08/01/2017</c:v>
                </c:pt>
                <c:pt idx="1837">
                  <c:v>08/01/2017</c:v>
                </c:pt>
                <c:pt idx="1838">
                  <c:v>08/01/2017</c:v>
                </c:pt>
                <c:pt idx="1839">
                  <c:v>08/01/2017</c:v>
                </c:pt>
                <c:pt idx="1840">
                  <c:v>08/01/2017</c:v>
                </c:pt>
                <c:pt idx="1841">
                  <c:v>15/01/2017</c:v>
                </c:pt>
                <c:pt idx="1842">
                  <c:v>15/01/2017</c:v>
                </c:pt>
                <c:pt idx="1843">
                  <c:v>15/01/2017</c:v>
                </c:pt>
                <c:pt idx="1844">
                  <c:v>15/01/2017</c:v>
                </c:pt>
                <c:pt idx="1845">
                  <c:v>15/01/2017</c:v>
                </c:pt>
                <c:pt idx="1846">
                  <c:v>15/01/2017</c:v>
                </c:pt>
                <c:pt idx="1847">
                  <c:v>15/01/2017</c:v>
                </c:pt>
                <c:pt idx="1848">
                  <c:v>22/01/2017</c:v>
                </c:pt>
                <c:pt idx="1849">
                  <c:v>22/01/2017</c:v>
                </c:pt>
                <c:pt idx="1850">
                  <c:v>22/01/2017</c:v>
                </c:pt>
                <c:pt idx="1851">
                  <c:v>22/01/2017</c:v>
                </c:pt>
                <c:pt idx="1852">
                  <c:v>22/01/2017</c:v>
                </c:pt>
                <c:pt idx="1853">
                  <c:v>22/01/2017</c:v>
                </c:pt>
                <c:pt idx="1854">
                  <c:v>22/01/2017</c:v>
                </c:pt>
                <c:pt idx="1855">
                  <c:v>29/01/2017</c:v>
                </c:pt>
                <c:pt idx="1856">
                  <c:v>29/01/2017</c:v>
                </c:pt>
                <c:pt idx="1857">
                  <c:v>29/01/2017</c:v>
                </c:pt>
                <c:pt idx="1858">
                  <c:v>29/01/2017</c:v>
                </c:pt>
                <c:pt idx="1859">
                  <c:v>29/01/2017</c:v>
                </c:pt>
                <c:pt idx="1860">
                  <c:v>29/01/2017</c:v>
                </c:pt>
                <c:pt idx="1861">
                  <c:v>29/01/2017</c:v>
                </c:pt>
                <c:pt idx="1862">
                  <c:v>05/02/2017</c:v>
                </c:pt>
                <c:pt idx="1863">
                  <c:v>05/02/2017</c:v>
                </c:pt>
                <c:pt idx="1864">
                  <c:v>05/02/2017</c:v>
                </c:pt>
                <c:pt idx="1865">
                  <c:v>05/02/2017</c:v>
                </c:pt>
                <c:pt idx="1866">
                  <c:v>05/02/2017</c:v>
                </c:pt>
                <c:pt idx="1867">
                  <c:v>05/02/2017</c:v>
                </c:pt>
                <c:pt idx="1868">
                  <c:v>05/02/2017</c:v>
                </c:pt>
                <c:pt idx="1869">
                  <c:v>12/02/2017</c:v>
                </c:pt>
                <c:pt idx="1870">
                  <c:v>12/02/2017</c:v>
                </c:pt>
                <c:pt idx="1871">
                  <c:v>12/02/2017</c:v>
                </c:pt>
                <c:pt idx="1872">
                  <c:v>12/02/2017</c:v>
                </c:pt>
                <c:pt idx="1873">
                  <c:v>12/02/2017</c:v>
                </c:pt>
                <c:pt idx="1874">
                  <c:v>12/02/2017</c:v>
                </c:pt>
                <c:pt idx="1875">
                  <c:v>12/02/2017</c:v>
                </c:pt>
                <c:pt idx="1876">
                  <c:v>19/02/2017</c:v>
                </c:pt>
                <c:pt idx="1877">
                  <c:v>19/02/2017</c:v>
                </c:pt>
                <c:pt idx="1878">
                  <c:v>19/02/2017</c:v>
                </c:pt>
                <c:pt idx="1879">
                  <c:v>19/02/2017</c:v>
                </c:pt>
                <c:pt idx="1880">
                  <c:v>19/02/2017</c:v>
                </c:pt>
                <c:pt idx="1881">
                  <c:v>19/02/2017</c:v>
                </c:pt>
                <c:pt idx="1882">
                  <c:v>19/02/2017</c:v>
                </c:pt>
                <c:pt idx="1883">
                  <c:v>26/02/2017</c:v>
                </c:pt>
                <c:pt idx="1884">
                  <c:v>26/02/2017</c:v>
                </c:pt>
                <c:pt idx="1885">
                  <c:v>26/02/2017</c:v>
                </c:pt>
                <c:pt idx="1886">
                  <c:v>26/02/2017</c:v>
                </c:pt>
                <c:pt idx="1887">
                  <c:v>26/02/2017</c:v>
                </c:pt>
                <c:pt idx="1888">
                  <c:v>26/02/2017</c:v>
                </c:pt>
                <c:pt idx="1889">
                  <c:v>26/02/2017</c:v>
                </c:pt>
                <c:pt idx="1890">
                  <c:v>05/03/2017</c:v>
                </c:pt>
                <c:pt idx="1891">
                  <c:v>05/03/2017</c:v>
                </c:pt>
                <c:pt idx="1892">
                  <c:v>05/03/2017</c:v>
                </c:pt>
                <c:pt idx="1893">
                  <c:v>05/03/2017</c:v>
                </c:pt>
                <c:pt idx="1894">
                  <c:v>05/03/2017</c:v>
                </c:pt>
                <c:pt idx="1895">
                  <c:v>05/03/2017</c:v>
                </c:pt>
                <c:pt idx="1896">
                  <c:v>05/03/2017</c:v>
                </c:pt>
                <c:pt idx="1897">
                  <c:v>12/03/2017</c:v>
                </c:pt>
                <c:pt idx="1898">
                  <c:v>12/03/2017</c:v>
                </c:pt>
                <c:pt idx="1899">
                  <c:v>12/03/2017</c:v>
                </c:pt>
                <c:pt idx="1900">
                  <c:v>12/03/2017</c:v>
                </c:pt>
                <c:pt idx="1901">
                  <c:v>12/03/2017</c:v>
                </c:pt>
                <c:pt idx="1902">
                  <c:v>12/03/2017</c:v>
                </c:pt>
                <c:pt idx="1903">
                  <c:v>12/03/2017</c:v>
                </c:pt>
                <c:pt idx="1904">
                  <c:v>19/03/2017</c:v>
                </c:pt>
                <c:pt idx="1905">
                  <c:v>19/03/2017</c:v>
                </c:pt>
                <c:pt idx="1906">
                  <c:v>19/03/2017</c:v>
                </c:pt>
                <c:pt idx="1907">
                  <c:v>19/03/2017</c:v>
                </c:pt>
                <c:pt idx="1908">
                  <c:v>19/03/2017</c:v>
                </c:pt>
                <c:pt idx="1909">
                  <c:v>19/03/2017</c:v>
                </c:pt>
                <c:pt idx="1910">
                  <c:v>19/03/2017</c:v>
                </c:pt>
                <c:pt idx="1911">
                  <c:v>26/03/2017</c:v>
                </c:pt>
                <c:pt idx="1912">
                  <c:v>26/03/2017</c:v>
                </c:pt>
                <c:pt idx="1913">
                  <c:v>26/03/2017</c:v>
                </c:pt>
                <c:pt idx="1914">
                  <c:v>26/03/2017</c:v>
                </c:pt>
                <c:pt idx="1915">
                  <c:v>26/03/2017</c:v>
                </c:pt>
                <c:pt idx="1916">
                  <c:v>26/03/2017</c:v>
                </c:pt>
                <c:pt idx="1917">
                  <c:v>26/03/2017</c:v>
                </c:pt>
                <c:pt idx="1918">
                  <c:v>02/04/2017</c:v>
                </c:pt>
                <c:pt idx="1919">
                  <c:v>02/04/2017</c:v>
                </c:pt>
                <c:pt idx="1920">
                  <c:v>02/04/2017</c:v>
                </c:pt>
                <c:pt idx="1921">
                  <c:v>02/04/2017</c:v>
                </c:pt>
                <c:pt idx="1922">
                  <c:v>02/04/2017</c:v>
                </c:pt>
                <c:pt idx="1923">
                  <c:v>02/04/2017</c:v>
                </c:pt>
                <c:pt idx="1924">
                  <c:v>02/04/2017</c:v>
                </c:pt>
                <c:pt idx="1925">
                  <c:v>09/04/2017</c:v>
                </c:pt>
                <c:pt idx="1926">
                  <c:v>09/04/2017</c:v>
                </c:pt>
                <c:pt idx="1927">
                  <c:v>09/04/2017</c:v>
                </c:pt>
                <c:pt idx="1928">
                  <c:v>09/04/2017</c:v>
                </c:pt>
                <c:pt idx="1929">
                  <c:v>09/04/2017</c:v>
                </c:pt>
                <c:pt idx="1930">
                  <c:v>09/04/2017</c:v>
                </c:pt>
                <c:pt idx="1931">
                  <c:v>09/04/2017</c:v>
                </c:pt>
                <c:pt idx="1932">
                  <c:v>16/04/2017</c:v>
                </c:pt>
                <c:pt idx="1933">
                  <c:v>16/04/2017</c:v>
                </c:pt>
                <c:pt idx="1934">
                  <c:v>16/04/2017</c:v>
                </c:pt>
                <c:pt idx="1935">
                  <c:v>16/04/2017</c:v>
                </c:pt>
                <c:pt idx="1936">
                  <c:v>16/04/2017</c:v>
                </c:pt>
                <c:pt idx="1937">
                  <c:v>16/04/2017</c:v>
                </c:pt>
                <c:pt idx="1938">
                  <c:v>16/04/2017</c:v>
                </c:pt>
                <c:pt idx="1939">
                  <c:v>23/04/2017</c:v>
                </c:pt>
                <c:pt idx="1940">
                  <c:v>23/04/2017</c:v>
                </c:pt>
                <c:pt idx="1941">
                  <c:v>23/04/2017</c:v>
                </c:pt>
                <c:pt idx="1942">
                  <c:v>23/04/2017</c:v>
                </c:pt>
                <c:pt idx="1943">
                  <c:v>23/04/2017</c:v>
                </c:pt>
                <c:pt idx="1944">
                  <c:v>23/04/2017</c:v>
                </c:pt>
                <c:pt idx="1945">
                  <c:v>23/04/2017</c:v>
                </c:pt>
                <c:pt idx="1946">
                  <c:v>30/04/2017</c:v>
                </c:pt>
                <c:pt idx="1947">
                  <c:v>30/04/2017</c:v>
                </c:pt>
                <c:pt idx="1948">
                  <c:v>30/04/2017</c:v>
                </c:pt>
                <c:pt idx="1949">
                  <c:v>30/04/2017</c:v>
                </c:pt>
                <c:pt idx="1950">
                  <c:v>30/04/2017</c:v>
                </c:pt>
                <c:pt idx="1951">
                  <c:v>30/04/2017</c:v>
                </c:pt>
                <c:pt idx="1952">
                  <c:v>30/04/2017</c:v>
                </c:pt>
                <c:pt idx="1953">
                  <c:v>07/05/2017</c:v>
                </c:pt>
                <c:pt idx="1954">
                  <c:v>07/05/2017</c:v>
                </c:pt>
                <c:pt idx="1955">
                  <c:v>07/05/2017</c:v>
                </c:pt>
                <c:pt idx="1956">
                  <c:v>07/05/2017</c:v>
                </c:pt>
                <c:pt idx="1957">
                  <c:v>07/05/2017</c:v>
                </c:pt>
                <c:pt idx="1958">
                  <c:v>07/05/2017</c:v>
                </c:pt>
                <c:pt idx="1959">
                  <c:v>07/05/2017</c:v>
                </c:pt>
                <c:pt idx="1960">
                  <c:v>14/05/2017</c:v>
                </c:pt>
                <c:pt idx="1961">
                  <c:v>14/05/2017</c:v>
                </c:pt>
                <c:pt idx="1962">
                  <c:v>14/05/2017</c:v>
                </c:pt>
                <c:pt idx="1963">
                  <c:v>14/05/2017</c:v>
                </c:pt>
                <c:pt idx="1964">
                  <c:v>14/05/2017</c:v>
                </c:pt>
                <c:pt idx="1965">
                  <c:v>14/05/2017</c:v>
                </c:pt>
                <c:pt idx="1966">
                  <c:v>14/05/2017</c:v>
                </c:pt>
                <c:pt idx="1967">
                  <c:v>21/05/2017</c:v>
                </c:pt>
                <c:pt idx="1968">
                  <c:v>21/05/2017</c:v>
                </c:pt>
                <c:pt idx="1969">
                  <c:v>21/05/2017</c:v>
                </c:pt>
                <c:pt idx="1970">
                  <c:v>21/05/2017</c:v>
                </c:pt>
                <c:pt idx="1971">
                  <c:v>21/05/2017</c:v>
                </c:pt>
                <c:pt idx="1972">
                  <c:v>21/05/2017</c:v>
                </c:pt>
                <c:pt idx="1973">
                  <c:v>21/05/2017</c:v>
                </c:pt>
                <c:pt idx="1974">
                  <c:v>28/05/2017</c:v>
                </c:pt>
                <c:pt idx="1975">
                  <c:v>28/05/2017</c:v>
                </c:pt>
                <c:pt idx="1976">
                  <c:v>28/05/2017</c:v>
                </c:pt>
                <c:pt idx="1977">
                  <c:v>28/05/2017</c:v>
                </c:pt>
                <c:pt idx="1978">
                  <c:v>28/05/2017</c:v>
                </c:pt>
                <c:pt idx="1979">
                  <c:v>28/05/2017</c:v>
                </c:pt>
                <c:pt idx="1980">
                  <c:v>28/05/2017</c:v>
                </c:pt>
                <c:pt idx="1981">
                  <c:v>04/06/2017</c:v>
                </c:pt>
                <c:pt idx="1982">
                  <c:v>04/06/2017</c:v>
                </c:pt>
                <c:pt idx="1983">
                  <c:v>04/06/2017</c:v>
                </c:pt>
                <c:pt idx="1984">
                  <c:v>04/06/2017</c:v>
                </c:pt>
                <c:pt idx="1985">
                  <c:v>04/06/2017</c:v>
                </c:pt>
                <c:pt idx="1986">
                  <c:v>04/06/2017</c:v>
                </c:pt>
                <c:pt idx="1987">
                  <c:v>04/06/2017</c:v>
                </c:pt>
                <c:pt idx="1988">
                  <c:v>11/06/2017</c:v>
                </c:pt>
                <c:pt idx="1989">
                  <c:v>11/06/2017</c:v>
                </c:pt>
                <c:pt idx="1990">
                  <c:v>11/06/2017</c:v>
                </c:pt>
                <c:pt idx="1991">
                  <c:v>11/06/2017</c:v>
                </c:pt>
                <c:pt idx="1992">
                  <c:v>11/06/2017</c:v>
                </c:pt>
                <c:pt idx="1993">
                  <c:v>11/06/2017</c:v>
                </c:pt>
                <c:pt idx="1994">
                  <c:v>11/06/2017</c:v>
                </c:pt>
                <c:pt idx="1995">
                  <c:v>18/06/2017</c:v>
                </c:pt>
                <c:pt idx="1996">
                  <c:v>18/06/2017</c:v>
                </c:pt>
                <c:pt idx="1997">
                  <c:v>18/06/2017</c:v>
                </c:pt>
                <c:pt idx="1998">
                  <c:v>18/06/2017</c:v>
                </c:pt>
                <c:pt idx="1999">
                  <c:v>18/06/2017</c:v>
                </c:pt>
                <c:pt idx="2000">
                  <c:v>18/06/2017</c:v>
                </c:pt>
                <c:pt idx="2001">
                  <c:v>18/06/2017</c:v>
                </c:pt>
                <c:pt idx="2002">
                  <c:v>25/06/2017</c:v>
                </c:pt>
                <c:pt idx="2003">
                  <c:v>25/06/2017</c:v>
                </c:pt>
                <c:pt idx="2004">
                  <c:v>25/06/2017</c:v>
                </c:pt>
                <c:pt idx="2005">
                  <c:v>25/06/2017</c:v>
                </c:pt>
                <c:pt idx="2006">
                  <c:v>25/06/2017</c:v>
                </c:pt>
                <c:pt idx="2007">
                  <c:v>25/06/2017</c:v>
                </c:pt>
                <c:pt idx="2008">
                  <c:v>25/06/2017</c:v>
                </c:pt>
                <c:pt idx="2009">
                  <c:v>02/07/2017</c:v>
                </c:pt>
                <c:pt idx="2010">
                  <c:v>02/07/2017</c:v>
                </c:pt>
                <c:pt idx="2011">
                  <c:v>02/07/2017</c:v>
                </c:pt>
                <c:pt idx="2012">
                  <c:v>02/07/2017</c:v>
                </c:pt>
                <c:pt idx="2013">
                  <c:v>02/07/2017</c:v>
                </c:pt>
                <c:pt idx="2014">
                  <c:v>02/07/2017</c:v>
                </c:pt>
                <c:pt idx="2015">
                  <c:v>02/07/2017</c:v>
                </c:pt>
                <c:pt idx="2016">
                  <c:v>09/07/2017</c:v>
                </c:pt>
                <c:pt idx="2017">
                  <c:v>09/07/2017</c:v>
                </c:pt>
                <c:pt idx="2018">
                  <c:v>09/07/2017</c:v>
                </c:pt>
                <c:pt idx="2019">
                  <c:v>09/07/2017</c:v>
                </c:pt>
                <c:pt idx="2020">
                  <c:v>09/07/2017</c:v>
                </c:pt>
                <c:pt idx="2021">
                  <c:v>09/07/2017</c:v>
                </c:pt>
                <c:pt idx="2022">
                  <c:v>09/07/2017</c:v>
                </c:pt>
                <c:pt idx="2023">
                  <c:v>16/07/2017</c:v>
                </c:pt>
                <c:pt idx="2024">
                  <c:v>16/07/2017</c:v>
                </c:pt>
                <c:pt idx="2025">
                  <c:v>16/07/2017</c:v>
                </c:pt>
                <c:pt idx="2026">
                  <c:v>16/07/2017</c:v>
                </c:pt>
                <c:pt idx="2027">
                  <c:v>16/07/2017</c:v>
                </c:pt>
                <c:pt idx="2028">
                  <c:v>16/07/2017</c:v>
                </c:pt>
                <c:pt idx="2029">
                  <c:v>16/07/2017</c:v>
                </c:pt>
                <c:pt idx="2030">
                  <c:v>23/07/2017</c:v>
                </c:pt>
                <c:pt idx="2031">
                  <c:v>23/07/2017</c:v>
                </c:pt>
                <c:pt idx="2032">
                  <c:v>23/07/2017</c:v>
                </c:pt>
                <c:pt idx="2033">
                  <c:v>23/07/2017</c:v>
                </c:pt>
                <c:pt idx="2034">
                  <c:v>23/07/2017</c:v>
                </c:pt>
                <c:pt idx="2035">
                  <c:v>23/07/2017</c:v>
                </c:pt>
                <c:pt idx="2036">
                  <c:v>23/07/2017</c:v>
                </c:pt>
                <c:pt idx="2037">
                  <c:v>30/07/2017</c:v>
                </c:pt>
                <c:pt idx="2038">
                  <c:v>30/07/2017</c:v>
                </c:pt>
                <c:pt idx="2039">
                  <c:v>30/07/2017</c:v>
                </c:pt>
                <c:pt idx="2040">
                  <c:v>30/07/2017</c:v>
                </c:pt>
                <c:pt idx="2041">
                  <c:v>30/07/2017</c:v>
                </c:pt>
                <c:pt idx="2042">
                  <c:v>30/07/2017</c:v>
                </c:pt>
                <c:pt idx="2043">
                  <c:v>30/07/2017</c:v>
                </c:pt>
                <c:pt idx="2044">
                  <c:v>06/08/2017</c:v>
                </c:pt>
                <c:pt idx="2045">
                  <c:v>06/08/2017</c:v>
                </c:pt>
                <c:pt idx="2046">
                  <c:v>06/08/2017</c:v>
                </c:pt>
                <c:pt idx="2047">
                  <c:v>06/08/2017</c:v>
                </c:pt>
                <c:pt idx="2048">
                  <c:v>06/08/2017</c:v>
                </c:pt>
                <c:pt idx="2049">
                  <c:v>06/08/2017</c:v>
                </c:pt>
                <c:pt idx="2050">
                  <c:v>06/08/2017</c:v>
                </c:pt>
                <c:pt idx="2051">
                  <c:v>13/08/2017</c:v>
                </c:pt>
                <c:pt idx="2052">
                  <c:v>13/08/2017</c:v>
                </c:pt>
                <c:pt idx="2053">
                  <c:v>13/08/2017</c:v>
                </c:pt>
                <c:pt idx="2054">
                  <c:v>13/08/2017</c:v>
                </c:pt>
                <c:pt idx="2055">
                  <c:v>13/08/2017</c:v>
                </c:pt>
                <c:pt idx="2056">
                  <c:v>13/08/2017</c:v>
                </c:pt>
                <c:pt idx="2057">
                  <c:v>13/08/2017</c:v>
                </c:pt>
                <c:pt idx="2058">
                  <c:v>20/08/2017</c:v>
                </c:pt>
                <c:pt idx="2059">
                  <c:v>20/08/2017</c:v>
                </c:pt>
                <c:pt idx="2060">
                  <c:v>20/08/2017</c:v>
                </c:pt>
                <c:pt idx="2061">
                  <c:v>20/08/2017</c:v>
                </c:pt>
                <c:pt idx="2062">
                  <c:v>20/08/2017</c:v>
                </c:pt>
                <c:pt idx="2063">
                  <c:v>20/08/2017</c:v>
                </c:pt>
                <c:pt idx="2064">
                  <c:v>20/08/2017</c:v>
                </c:pt>
                <c:pt idx="2065">
                  <c:v>27/08/2017</c:v>
                </c:pt>
                <c:pt idx="2066">
                  <c:v>27/08/2017</c:v>
                </c:pt>
                <c:pt idx="2067">
                  <c:v>27/08/2017</c:v>
                </c:pt>
                <c:pt idx="2068">
                  <c:v>27/08/2017</c:v>
                </c:pt>
                <c:pt idx="2069">
                  <c:v>27/08/2017</c:v>
                </c:pt>
                <c:pt idx="2070">
                  <c:v>27/08/2017</c:v>
                </c:pt>
                <c:pt idx="2071">
                  <c:v>27/08/2017</c:v>
                </c:pt>
                <c:pt idx="2072">
                  <c:v>03/09/2017</c:v>
                </c:pt>
                <c:pt idx="2073">
                  <c:v>03/09/2017</c:v>
                </c:pt>
                <c:pt idx="2074">
                  <c:v>03/09/2017</c:v>
                </c:pt>
                <c:pt idx="2075">
                  <c:v>03/09/2017</c:v>
                </c:pt>
                <c:pt idx="2076">
                  <c:v>03/09/2017</c:v>
                </c:pt>
                <c:pt idx="2077">
                  <c:v>03/09/2017</c:v>
                </c:pt>
                <c:pt idx="2078">
                  <c:v>03/09/2017</c:v>
                </c:pt>
                <c:pt idx="2079">
                  <c:v>10/09/2017</c:v>
                </c:pt>
                <c:pt idx="2080">
                  <c:v>10/09/2017</c:v>
                </c:pt>
                <c:pt idx="2081">
                  <c:v>10/09/2017</c:v>
                </c:pt>
                <c:pt idx="2082">
                  <c:v>10/09/2017</c:v>
                </c:pt>
                <c:pt idx="2083">
                  <c:v>10/09/2017</c:v>
                </c:pt>
                <c:pt idx="2084">
                  <c:v>10/09/2017</c:v>
                </c:pt>
                <c:pt idx="2085">
                  <c:v>10/09/2017</c:v>
                </c:pt>
                <c:pt idx="2086">
                  <c:v>17/09/2017</c:v>
                </c:pt>
                <c:pt idx="2087">
                  <c:v>17/09/2017</c:v>
                </c:pt>
                <c:pt idx="2088">
                  <c:v>17/09/2017</c:v>
                </c:pt>
                <c:pt idx="2089">
                  <c:v>17/09/2017</c:v>
                </c:pt>
                <c:pt idx="2090">
                  <c:v>17/09/2017</c:v>
                </c:pt>
                <c:pt idx="2091">
                  <c:v>17/09/2017</c:v>
                </c:pt>
                <c:pt idx="2092">
                  <c:v>17/09/2017</c:v>
                </c:pt>
                <c:pt idx="2093">
                  <c:v>24/09/2017</c:v>
                </c:pt>
                <c:pt idx="2094">
                  <c:v>24/09/2017</c:v>
                </c:pt>
                <c:pt idx="2095">
                  <c:v>24/09/2017</c:v>
                </c:pt>
                <c:pt idx="2096">
                  <c:v>24/09/2017</c:v>
                </c:pt>
                <c:pt idx="2097">
                  <c:v>24/09/2017</c:v>
                </c:pt>
                <c:pt idx="2098">
                  <c:v>24/09/2017</c:v>
                </c:pt>
                <c:pt idx="2099">
                  <c:v>24/09/2017</c:v>
                </c:pt>
                <c:pt idx="2100">
                  <c:v>01/10/2017</c:v>
                </c:pt>
                <c:pt idx="2101">
                  <c:v>01/10/2017</c:v>
                </c:pt>
                <c:pt idx="2102">
                  <c:v>01/10/2017</c:v>
                </c:pt>
                <c:pt idx="2103">
                  <c:v>01/10/2017</c:v>
                </c:pt>
                <c:pt idx="2104">
                  <c:v>01/10/2017</c:v>
                </c:pt>
                <c:pt idx="2105">
                  <c:v>01/10/2017</c:v>
                </c:pt>
                <c:pt idx="2106">
                  <c:v>01/10/2017</c:v>
                </c:pt>
                <c:pt idx="2107">
                  <c:v>08/10/2017</c:v>
                </c:pt>
                <c:pt idx="2108">
                  <c:v>08/10/2017</c:v>
                </c:pt>
                <c:pt idx="2109">
                  <c:v>08/10/2017</c:v>
                </c:pt>
                <c:pt idx="2110">
                  <c:v>08/10/2017</c:v>
                </c:pt>
                <c:pt idx="2111">
                  <c:v>08/10/2017</c:v>
                </c:pt>
                <c:pt idx="2112">
                  <c:v>08/10/2017</c:v>
                </c:pt>
                <c:pt idx="2113">
                  <c:v>08/10/2017</c:v>
                </c:pt>
                <c:pt idx="2114">
                  <c:v>15/10/2017</c:v>
                </c:pt>
                <c:pt idx="2115">
                  <c:v>15/10/2017</c:v>
                </c:pt>
                <c:pt idx="2116">
                  <c:v>15/10/2017</c:v>
                </c:pt>
                <c:pt idx="2117">
                  <c:v>15/10/2017</c:v>
                </c:pt>
                <c:pt idx="2118">
                  <c:v>15/10/2017</c:v>
                </c:pt>
                <c:pt idx="2119">
                  <c:v>15/10/2017</c:v>
                </c:pt>
                <c:pt idx="2120">
                  <c:v>15/10/2017</c:v>
                </c:pt>
                <c:pt idx="2121">
                  <c:v>22/10/2017</c:v>
                </c:pt>
                <c:pt idx="2122">
                  <c:v>22/10/2017</c:v>
                </c:pt>
                <c:pt idx="2123">
                  <c:v>22/10/2017</c:v>
                </c:pt>
                <c:pt idx="2124">
                  <c:v>22/10/2017</c:v>
                </c:pt>
                <c:pt idx="2125">
                  <c:v>22/10/2017</c:v>
                </c:pt>
                <c:pt idx="2126">
                  <c:v>22/10/2017</c:v>
                </c:pt>
                <c:pt idx="2127">
                  <c:v>22/10/2017</c:v>
                </c:pt>
                <c:pt idx="2128">
                  <c:v>29/10/2017</c:v>
                </c:pt>
                <c:pt idx="2129">
                  <c:v>29/10/2017</c:v>
                </c:pt>
                <c:pt idx="2130">
                  <c:v>29/10/2017</c:v>
                </c:pt>
                <c:pt idx="2131">
                  <c:v>29/10/2017</c:v>
                </c:pt>
                <c:pt idx="2132">
                  <c:v>29/10/2017</c:v>
                </c:pt>
                <c:pt idx="2133">
                  <c:v>29/10/2017</c:v>
                </c:pt>
                <c:pt idx="2134">
                  <c:v>29/10/2017</c:v>
                </c:pt>
                <c:pt idx="2135">
                  <c:v>05/11/2017</c:v>
                </c:pt>
                <c:pt idx="2136">
                  <c:v>05/11/2017</c:v>
                </c:pt>
                <c:pt idx="2137">
                  <c:v>05/11/2017</c:v>
                </c:pt>
                <c:pt idx="2138">
                  <c:v>05/11/2017</c:v>
                </c:pt>
                <c:pt idx="2139">
                  <c:v>05/11/2017</c:v>
                </c:pt>
                <c:pt idx="2140">
                  <c:v>05/11/2017</c:v>
                </c:pt>
                <c:pt idx="2141">
                  <c:v>05/11/2017</c:v>
                </c:pt>
                <c:pt idx="2142">
                  <c:v>12/11/2017</c:v>
                </c:pt>
                <c:pt idx="2143">
                  <c:v>12/11/2017</c:v>
                </c:pt>
                <c:pt idx="2144">
                  <c:v>12/11/2017</c:v>
                </c:pt>
                <c:pt idx="2145">
                  <c:v>12/11/2017</c:v>
                </c:pt>
                <c:pt idx="2146">
                  <c:v>12/11/2017</c:v>
                </c:pt>
                <c:pt idx="2147">
                  <c:v>12/11/2017</c:v>
                </c:pt>
                <c:pt idx="2148">
                  <c:v>12/11/2017</c:v>
                </c:pt>
                <c:pt idx="2149">
                  <c:v>19/11/2017</c:v>
                </c:pt>
                <c:pt idx="2150">
                  <c:v>19/11/2017</c:v>
                </c:pt>
                <c:pt idx="2151">
                  <c:v>19/11/2017</c:v>
                </c:pt>
                <c:pt idx="2152">
                  <c:v>19/11/2017</c:v>
                </c:pt>
                <c:pt idx="2153">
                  <c:v>19/11/2017</c:v>
                </c:pt>
                <c:pt idx="2154">
                  <c:v>19/11/2017</c:v>
                </c:pt>
                <c:pt idx="2155">
                  <c:v>19/11/2017</c:v>
                </c:pt>
                <c:pt idx="2156">
                  <c:v>26/11/2017</c:v>
                </c:pt>
                <c:pt idx="2157">
                  <c:v>26/11/2017</c:v>
                </c:pt>
                <c:pt idx="2158">
                  <c:v>26/11/2017</c:v>
                </c:pt>
                <c:pt idx="2159">
                  <c:v>26/11/2017</c:v>
                </c:pt>
                <c:pt idx="2160">
                  <c:v>26/11/2017</c:v>
                </c:pt>
                <c:pt idx="2161">
                  <c:v>26/11/2017</c:v>
                </c:pt>
                <c:pt idx="2162">
                  <c:v>26/11/2017</c:v>
                </c:pt>
                <c:pt idx="2163">
                  <c:v>03/12/2017</c:v>
                </c:pt>
                <c:pt idx="2164">
                  <c:v>03/12/2017</c:v>
                </c:pt>
                <c:pt idx="2165">
                  <c:v>03/12/2017</c:v>
                </c:pt>
                <c:pt idx="2166">
                  <c:v>03/12/2017</c:v>
                </c:pt>
                <c:pt idx="2167">
                  <c:v>03/12/2017</c:v>
                </c:pt>
                <c:pt idx="2168">
                  <c:v>03/12/2017</c:v>
                </c:pt>
                <c:pt idx="2169">
                  <c:v>03/12/2017</c:v>
                </c:pt>
                <c:pt idx="2170">
                  <c:v>10/12/2017</c:v>
                </c:pt>
                <c:pt idx="2171">
                  <c:v>10/12/2017</c:v>
                </c:pt>
                <c:pt idx="2172">
                  <c:v>10/12/2017</c:v>
                </c:pt>
                <c:pt idx="2173">
                  <c:v>10/12/2017</c:v>
                </c:pt>
                <c:pt idx="2174">
                  <c:v>10/12/2017</c:v>
                </c:pt>
                <c:pt idx="2175">
                  <c:v>10/12/2017</c:v>
                </c:pt>
                <c:pt idx="2176">
                  <c:v>10/12/2017</c:v>
                </c:pt>
                <c:pt idx="2177">
                  <c:v>17/12/2017</c:v>
                </c:pt>
                <c:pt idx="2178">
                  <c:v>17/12/2017</c:v>
                </c:pt>
                <c:pt idx="2179">
                  <c:v>17/12/2017</c:v>
                </c:pt>
                <c:pt idx="2180">
                  <c:v>17/12/2017</c:v>
                </c:pt>
                <c:pt idx="2181">
                  <c:v>17/12/2017</c:v>
                </c:pt>
                <c:pt idx="2182">
                  <c:v>17/12/2017</c:v>
                </c:pt>
                <c:pt idx="2183">
                  <c:v>17/12/2017</c:v>
                </c:pt>
                <c:pt idx="2184">
                  <c:v>24/12/2017</c:v>
                </c:pt>
                <c:pt idx="2185">
                  <c:v>24/12/2017</c:v>
                </c:pt>
                <c:pt idx="2186">
                  <c:v>24/12/2017</c:v>
                </c:pt>
                <c:pt idx="2187">
                  <c:v>24/12/2017</c:v>
                </c:pt>
                <c:pt idx="2188">
                  <c:v>24/12/2017</c:v>
                </c:pt>
                <c:pt idx="2189">
                  <c:v>24/12/2017</c:v>
                </c:pt>
                <c:pt idx="2190">
                  <c:v>24/12/2017</c:v>
                </c:pt>
                <c:pt idx="2191">
                  <c:v>31/12/2017</c:v>
                </c:pt>
                <c:pt idx="2192">
                  <c:v>31/12/2017</c:v>
                </c:pt>
                <c:pt idx="2193">
                  <c:v>31/12/2017</c:v>
                </c:pt>
                <c:pt idx="2194">
                  <c:v>31/12/2017</c:v>
                </c:pt>
                <c:pt idx="2195">
                  <c:v>31/12/2017</c:v>
                </c:pt>
                <c:pt idx="2196">
                  <c:v>31/12/2017</c:v>
                </c:pt>
                <c:pt idx="2197">
                  <c:v>31/12/2017</c:v>
                </c:pt>
                <c:pt idx="2198">
                  <c:v>07/01/2018</c:v>
                </c:pt>
                <c:pt idx="2199">
                  <c:v>07/01/2018</c:v>
                </c:pt>
                <c:pt idx="2200">
                  <c:v>07/01/2018</c:v>
                </c:pt>
                <c:pt idx="2201">
                  <c:v>07/01/2018</c:v>
                </c:pt>
                <c:pt idx="2202">
                  <c:v>07/01/2018</c:v>
                </c:pt>
                <c:pt idx="2203">
                  <c:v>07/01/2018</c:v>
                </c:pt>
                <c:pt idx="2204">
                  <c:v>07/01/2018</c:v>
                </c:pt>
                <c:pt idx="2205">
                  <c:v>14/01/2018</c:v>
                </c:pt>
                <c:pt idx="2206">
                  <c:v>14/01/2018</c:v>
                </c:pt>
                <c:pt idx="2207">
                  <c:v>14/01/2018</c:v>
                </c:pt>
                <c:pt idx="2208">
                  <c:v>14/01/2018</c:v>
                </c:pt>
                <c:pt idx="2209">
                  <c:v>14/01/2018</c:v>
                </c:pt>
                <c:pt idx="2210">
                  <c:v>14/01/2018</c:v>
                </c:pt>
                <c:pt idx="2211">
                  <c:v>14/01/2018</c:v>
                </c:pt>
                <c:pt idx="2212">
                  <c:v>21/01/2018</c:v>
                </c:pt>
                <c:pt idx="2213">
                  <c:v>21/01/2018</c:v>
                </c:pt>
                <c:pt idx="2214">
                  <c:v>21/01/2018</c:v>
                </c:pt>
                <c:pt idx="2215">
                  <c:v>21/01/2018</c:v>
                </c:pt>
                <c:pt idx="2216">
                  <c:v>21/01/2018</c:v>
                </c:pt>
                <c:pt idx="2217">
                  <c:v>21/01/2018</c:v>
                </c:pt>
                <c:pt idx="2218">
                  <c:v>21/01/2018</c:v>
                </c:pt>
                <c:pt idx="2219">
                  <c:v>28/01/2018</c:v>
                </c:pt>
                <c:pt idx="2220">
                  <c:v>28/01/2018</c:v>
                </c:pt>
                <c:pt idx="2221">
                  <c:v>28/01/2018</c:v>
                </c:pt>
                <c:pt idx="2222">
                  <c:v>28/01/2018</c:v>
                </c:pt>
                <c:pt idx="2223">
                  <c:v>28/01/2018</c:v>
                </c:pt>
                <c:pt idx="2224">
                  <c:v>28/01/2018</c:v>
                </c:pt>
                <c:pt idx="2225">
                  <c:v>28/01/2018</c:v>
                </c:pt>
                <c:pt idx="2226">
                  <c:v>04/02/2018</c:v>
                </c:pt>
                <c:pt idx="2227">
                  <c:v>04/02/2018</c:v>
                </c:pt>
                <c:pt idx="2228">
                  <c:v>04/02/2018</c:v>
                </c:pt>
                <c:pt idx="2229">
                  <c:v>04/02/2018</c:v>
                </c:pt>
                <c:pt idx="2230">
                  <c:v>04/02/2018</c:v>
                </c:pt>
                <c:pt idx="2231">
                  <c:v>04/02/2018</c:v>
                </c:pt>
                <c:pt idx="2232">
                  <c:v>04/02/2018</c:v>
                </c:pt>
                <c:pt idx="2233">
                  <c:v>11/02/2018</c:v>
                </c:pt>
                <c:pt idx="2234">
                  <c:v>11/02/2018</c:v>
                </c:pt>
                <c:pt idx="2235">
                  <c:v>11/02/2018</c:v>
                </c:pt>
                <c:pt idx="2236">
                  <c:v>11/02/2018</c:v>
                </c:pt>
                <c:pt idx="2237">
                  <c:v>11/02/2018</c:v>
                </c:pt>
                <c:pt idx="2238">
                  <c:v>11/02/2018</c:v>
                </c:pt>
                <c:pt idx="2239">
                  <c:v>11/02/2018</c:v>
                </c:pt>
                <c:pt idx="2240">
                  <c:v>18/02/2018</c:v>
                </c:pt>
                <c:pt idx="2241">
                  <c:v>18/02/2018</c:v>
                </c:pt>
                <c:pt idx="2242">
                  <c:v>18/02/2018</c:v>
                </c:pt>
                <c:pt idx="2243">
                  <c:v>18/02/2018</c:v>
                </c:pt>
                <c:pt idx="2244">
                  <c:v>18/02/2018</c:v>
                </c:pt>
                <c:pt idx="2245">
                  <c:v>18/02/2018</c:v>
                </c:pt>
                <c:pt idx="2246">
                  <c:v>18/02/2018</c:v>
                </c:pt>
                <c:pt idx="2247">
                  <c:v>25/02/2018</c:v>
                </c:pt>
                <c:pt idx="2248">
                  <c:v>25/02/2018</c:v>
                </c:pt>
                <c:pt idx="2249">
                  <c:v>25/02/2018</c:v>
                </c:pt>
                <c:pt idx="2250">
                  <c:v>25/02/2018</c:v>
                </c:pt>
                <c:pt idx="2251">
                  <c:v>25/02/2018</c:v>
                </c:pt>
                <c:pt idx="2252">
                  <c:v>25/02/2018</c:v>
                </c:pt>
                <c:pt idx="2253">
                  <c:v>25/02/2018</c:v>
                </c:pt>
                <c:pt idx="2254">
                  <c:v>04/03/2018</c:v>
                </c:pt>
                <c:pt idx="2255">
                  <c:v>04/03/2018</c:v>
                </c:pt>
                <c:pt idx="2256">
                  <c:v>04/03/2018</c:v>
                </c:pt>
                <c:pt idx="2257">
                  <c:v>04/03/2018</c:v>
                </c:pt>
                <c:pt idx="2258">
                  <c:v>04/03/2018</c:v>
                </c:pt>
                <c:pt idx="2259">
                  <c:v>04/03/2018</c:v>
                </c:pt>
                <c:pt idx="2260">
                  <c:v>04/03/2018</c:v>
                </c:pt>
                <c:pt idx="2261">
                  <c:v>11/03/2018</c:v>
                </c:pt>
                <c:pt idx="2262">
                  <c:v>11/03/2018</c:v>
                </c:pt>
                <c:pt idx="2263">
                  <c:v>11/03/2018</c:v>
                </c:pt>
                <c:pt idx="2264">
                  <c:v>11/03/2018</c:v>
                </c:pt>
                <c:pt idx="2265">
                  <c:v>11/03/2018</c:v>
                </c:pt>
                <c:pt idx="2266">
                  <c:v>11/03/2018</c:v>
                </c:pt>
                <c:pt idx="2267">
                  <c:v>11/03/2018</c:v>
                </c:pt>
                <c:pt idx="2268">
                  <c:v>18/03/2018</c:v>
                </c:pt>
                <c:pt idx="2269">
                  <c:v>18/03/2018</c:v>
                </c:pt>
                <c:pt idx="2270">
                  <c:v>18/03/2018</c:v>
                </c:pt>
                <c:pt idx="2271">
                  <c:v>18/03/2018</c:v>
                </c:pt>
                <c:pt idx="2272">
                  <c:v>18/03/2018</c:v>
                </c:pt>
                <c:pt idx="2273">
                  <c:v>18/03/2018</c:v>
                </c:pt>
                <c:pt idx="2274">
                  <c:v>18/03/2018</c:v>
                </c:pt>
                <c:pt idx="2275">
                  <c:v>25/03/2018</c:v>
                </c:pt>
                <c:pt idx="2276">
                  <c:v>25/03/2018</c:v>
                </c:pt>
                <c:pt idx="2277">
                  <c:v>25/03/2018</c:v>
                </c:pt>
                <c:pt idx="2278">
                  <c:v>25/03/2018</c:v>
                </c:pt>
                <c:pt idx="2279">
                  <c:v>25/03/2018</c:v>
                </c:pt>
                <c:pt idx="2280">
                  <c:v>25/03/2018</c:v>
                </c:pt>
                <c:pt idx="2281">
                  <c:v>25/03/2018</c:v>
                </c:pt>
                <c:pt idx="2282">
                  <c:v>01/04/2018</c:v>
                </c:pt>
                <c:pt idx="2283">
                  <c:v>01/04/2018</c:v>
                </c:pt>
                <c:pt idx="2284">
                  <c:v>01/04/2018</c:v>
                </c:pt>
                <c:pt idx="2285">
                  <c:v>01/04/2018</c:v>
                </c:pt>
                <c:pt idx="2286">
                  <c:v>01/04/2018</c:v>
                </c:pt>
                <c:pt idx="2287">
                  <c:v>01/04/2018</c:v>
                </c:pt>
                <c:pt idx="2288">
                  <c:v>01/04/2018</c:v>
                </c:pt>
                <c:pt idx="2289">
                  <c:v>08/04/2018</c:v>
                </c:pt>
                <c:pt idx="2290">
                  <c:v>08/04/2018</c:v>
                </c:pt>
                <c:pt idx="2291">
                  <c:v>08/04/2018</c:v>
                </c:pt>
                <c:pt idx="2292">
                  <c:v>08/04/2018</c:v>
                </c:pt>
                <c:pt idx="2293">
                  <c:v>08/04/2018</c:v>
                </c:pt>
                <c:pt idx="2294">
                  <c:v>08/04/2018</c:v>
                </c:pt>
                <c:pt idx="2295">
                  <c:v>08/04/2018</c:v>
                </c:pt>
                <c:pt idx="2296">
                  <c:v>15/04/2018</c:v>
                </c:pt>
                <c:pt idx="2297">
                  <c:v>15/04/2018</c:v>
                </c:pt>
                <c:pt idx="2298">
                  <c:v>15/04/2018</c:v>
                </c:pt>
                <c:pt idx="2299">
                  <c:v>15/04/2018</c:v>
                </c:pt>
                <c:pt idx="2300">
                  <c:v>15/04/2018</c:v>
                </c:pt>
                <c:pt idx="2301">
                  <c:v>15/04/2018</c:v>
                </c:pt>
                <c:pt idx="2302">
                  <c:v>15/04/2018</c:v>
                </c:pt>
                <c:pt idx="2303">
                  <c:v>22/04/2018</c:v>
                </c:pt>
                <c:pt idx="2304">
                  <c:v>22/04/2018</c:v>
                </c:pt>
                <c:pt idx="2305">
                  <c:v>22/04/2018</c:v>
                </c:pt>
                <c:pt idx="2306">
                  <c:v>22/04/2018</c:v>
                </c:pt>
                <c:pt idx="2307">
                  <c:v>22/04/2018</c:v>
                </c:pt>
                <c:pt idx="2308">
                  <c:v>22/04/2018</c:v>
                </c:pt>
                <c:pt idx="2309">
                  <c:v>22/04/2018</c:v>
                </c:pt>
                <c:pt idx="2310">
                  <c:v>29/04/2018</c:v>
                </c:pt>
                <c:pt idx="2311">
                  <c:v>29/04/2018</c:v>
                </c:pt>
                <c:pt idx="2312">
                  <c:v>29/04/2018</c:v>
                </c:pt>
                <c:pt idx="2313">
                  <c:v>29/04/2018</c:v>
                </c:pt>
                <c:pt idx="2314">
                  <c:v>29/04/2018</c:v>
                </c:pt>
                <c:pt idx="2315">
                  <c:v>29/04/2018</c:v>
                </c:pt>
                <c:pt idx="2316">
                  <c:v>29/04/2018</c:v>
                </c:pt>
                <c:pt idx="2317">
                  <c:v>06/05/2018</c:v>
                </c:pt>
                <c:pt idx="2318">
                  <c:v>06/05/2018</c:v>
                </c:pt>
                <c:pt idx="2319">
                  <c:v>06/05/2018</c:v>
                </c:pt>
                <c:pt idx="2320">
                  <c:v>06/05/2018</c:v>
                </c:pt>
                <c:pt idx="2321">
                  <c:v>06/05/2018</c:v>
                </c:pt>
                <c:pt idx="2322">
                  <c:v>06/05/2018</c:v>
                </c:pt>
                <c:pt idx="2323">
                  <c:v>06/05/2018</c:v>
                </c:pt>
                <c:pt idx="2324">
                  <c:v>13/05/2018</c:v>
                </c:pt>
                <c:pt idx="2325">
                  <c:v>13/05/2018</c:v>
                </c:pt>
                <c:pt idx="2326">
                  <c:v>13/05/2018</c:v>
                </c:pt>
                <c:pt idx="2327">
                  <c:v>13/05/2018</c:v>
                </c:pt>
                <c:pt idx="2328">
                  <c:v>13/05/2018</c:v>
                </c:pt>
                <c:pt idx="2329">
                  <c:v>13/05/2018</c:v>
                </c:pt>
                <c:pt idx="2330">
                  <c:v>13/05/2018</c:v>
                </c:pt>
                <c:pt idx="2331">
                  <c:v>20/05/2018</c:v>
                </c:pt>
                <c:pt idx="2332">
                  <c:v>20/05/2018</c:v>
                </c:pt>
                <c:pt idx="2333">
                  <c:v>20/05/2018</c:v>
                </c:pt>
                <c:pt idx="2334">
                  <c:v>20/05/2018</c:v>
                </c:pt>
                <c:pt idx="2335">
                  <c:v>20/05/2018</c:v>
                </c:pt>
                <c:pt idx="2336">
                  <c:v>20/05/2018</c:v>
                </c:pt>
                <c:pt idx="2337">
                  <c:v>20/05/2018</c:v>
                </c:pt>
                <c:pt idx="2338">
                  <c:v>27/05/2018</c:v>
                </c:pt>
                <c:pt idx="2339">
                  <c:v>27/05/2018</c:v>
                </c:pt>
                <c:pt idx="2340">
                  <c:v>27/05/2018</c:v>
                </c:pt>
                <c:pt idx="2341">
                  <c:v>27/05/2018</c:v>
                </c:pt>
                <c:pt idx="2342">
                  <c:v>27/05/2018</c:v>
                </c:pt>
                <c:pt idx="2343">
                  <c:v>27/05/2018</c:v>
                </c:pt>
                <c:pt idx="2344">
                  <c:v>27/05/2018</c:v>
                </c:pt>
                <c:pt idx="2345">
                  <c:v>03/06/2018</c:v>
                </c:pt>
                <c:pt idx="2346">
                  <c:v>03/06/2018</c:v>
                </c:pt>
                <c:pt idx="2347">
                  <c:v>03/06/2018</c:v>
                </c:pt>
                <c:pt idx="2348">
                  <c:v>03/06/2018</c:v>
                </c:pt>
                <c:pt idx="2349">
                  <c:v>03/06/2018</c:v>
                </c:pt>
                <c:pt idx="2350">
                  <c:v>03/06/2018</c:v>
                </c:pt>
                <c:pt idx="2351">
                  <c:v>03/06/2018</c:v>
                </c:pt>
                <c:pt idx="2352">
                  <c:v>10/06/2018</c:v>
                </c:pt>
                <c:pt idx="2353">
                  <c:v>10/06/2018</c:v>
                </c:pt>
                <c:pt idx="2354">
                  <c:v>10/06/2018</c:v>
                </c:pt>
                <c:pt idx="2355">
                  <c:v>10/06/2018</c:v>
                </c:pt>
                <c:pt idx="2356">
                  <c:v>10/06/2018</c:v>
                </c:pt>
                <c:pt idx="2357">
                  <c:v>10/06/2018</c:v>
                </c:pt>
                <c:pt idx="2358">
                  <c:v>10/06/2018</c:v>
                </c:pt>
                <c:pt idx="2359">
                  <c:v>17/06/2018</c:v>
                </c:pt>
                <c:pt idx="2360">
                  <c:v>17/06/2018</c:v>
                </c:pt>
                <c:pt idx="2361">
                  <c:v>17/06/2018</c:v>
                </c:pt>
                <c:pt idx="2362">
                  <c:v>17/06/2018</c:v>
                </c:pt>
                <c:pt idx="2363">
                  <c:v>17/06/2018</c:v>
                </c:pt>
                <c:pt idx="2364">
                  <c:v>17/06/2018</c:v>
                </c:pt>
                <c:pt idx="2365">
                  <c:v>17/06/2018</c:v>
                </c:pt>
                <c:pt idx="2366">
                  <c:v>24/06/2018</c:v>
                </c:pt>
                <c:pt idx="2367">
                  <c:v>24/06/2018</c:v>
                </c:pt>
                <c:pt idx="2368">
                  <c:v>24/06/2018</c:v>
                </c:pt>
                <c:pt idx="2369">
                  <c:v>24/06/2018</c:v>
                </c:pt>
                <c:pt idx="2370">
                  <c:v>24/06/2018</c:v>
                </c:pt>
                <c:pt idx="2371">
                  <c:v>24/06/2018</c:v>
                </c:pt>
                <c:pt idx="2372">
                  <c:v>24/06/2018</c:v>
                </c:pt>
                <c:pt idx="2373">
                  <c:v>01/07/2018</c:v>
                </c:pt>
                <c:pt idx="2374">
                  <c:v>01/07/2018</c:v>
                </c:pt>
                <c:pt idx="2375">
                  <c:v>01/07/2018</c:v>
                </c:pt>
                <c:pt idx="2376">
                  <c:v>01/07/2018</c:v>
                </c:pt>
                <c:pt idx="2377">
                  <c:v>01/07/2018</c:v>
                </c:pt>
                <c:pt idx="2378">
                  <c:v>01/07/2018</c:v>
                </c:pt>
                <c:pt idx="2379">
                  <c:v>01/07/2018</c:v>
                </c:pt>
                <c:pt idx="2380">
                  <c:v>08/07/2018</c:v>
                </c:pt>
                <c:pt idx="2381">
                  <c:v>08/07/2018</c:v>
                </c:pt>
                <c:pt idx="2382">
                  <c:v>08/07/2018</c:v>
                </c:pt>
                <c:pt idx="2383">
                  <c:v>08/07/2018</c:v>
                </c:pt>
                <c:pt idx="2384">
                  <c:v>08/07/2018</c:v>
                </c:pt>
                <c:pt idx="2385">
                  <c:v>08/07/2018</c:v>
                </c:pt>
                <c:pt idx="2386">
                  <c:v>08/07/2018</c:v>
                </c:pt>
                <c:pt idx="2387">
                  <c:v>15/07/2018</c:v>
                </c:pt>
                <c:pt idx="2388">
                  <c:v>15/07/2018</c:v>
                </c:pt>
                <c:pt idx="2389">
                  <c:v>15/07/2018</c:v>
                </c:pt>
                <c:pt idx="2390">
                  <c:v>15/07/2018</c:v>
                </c:pt>
                <c:pt idx="2391">
                  <c:v>15/07/2018</c:v>
                </c:pt>
                <c:pt idx="2392">
                  <c:v>15/07/2018</c:v>
                </c:pt>
                <c:pt idx="2393">
                  <c:v>15/07/2018</c:v>
                </c:pt>
                <c:pt idx="2394">
                  <c:v>22/07/2018</c:v>
                </c:pt>
                <c:pt idx="2395">
                  <c:v>22/07/2018</c:v>
                </c:pt>
                <c:pt idx="2396">
                  <c:v>22/07/2018</c:v>
                </c:pt>
                <c:pt idx="2397">
                  <c:v>22/07/2018</c:v>
                </c:pt>
                <c:pt idx="2398">
                  <c:v>22/07/2018</c:v>
                </c:pt>
                <c:pt idx="2399">
                  <c:v>22/07/2018</c:v>
                </c:pt>
                <c:pt idx="2400">
                  <c:v>22/07/2018</c:v>
                </c:pt>
                <c:pt idx="2401">
                  <c:v>29/07/2018</c:v>
                </c:pt>
                <c:pt idx="2402">
                  <c:v>29/07/2018</c:v>
                </c:pt>
                <c:pt idx="2403">
                  <c:v>29/07/2018</c:v>
                </c:pt>
                <c:pt idx="2404">
                  <c:v>29/07/2018</c:v>
                </c:pt>
                <c:pt idx="2405">
                  <c:v>29/07/2018</c:v>
                </c:pt>
                <c:pt idx="2406">
                  <c:v>29/07/2018</c:v>
                </c:pt>
                <c:pt idx="2407">
                  <c:v>29/07/2018</c:v>
                </c:pt>
                <c:pt idx="2408">
                  <c:v>05/08/2018</c:v>
                </c:pt>
                <c:pt idx="2409">
                  <c:v>05/08/2018</c:v>
                </c:pt>
                <c:pt idx="2410">
                  <c:v>05/08/2018</c:v>
                </c:pt>
                <c:pt idx="2411">
                  <c:v>05/08/2018</c:v>
                </c:pt>
                <c:pt idx="2412">
                  <c:v>05/08/2018</c:v>
                </c:pt>
                <c:pt idx="2413">
                  <c:v>05/08/2018</c:v>
                </c:pt>
                <c:pt idx="2414">
                  <c:v>05/08/2018</c:v>
                </c:pt>
                <c:pt idx="2415">
                  <c:v>12/08/2018</c:v>
                </c:pt>
                <c:pt idx="2416">
                  <c:v>12/08/2018</c:v>
                </c:pt>
                <c:pt idx="2417">
                  <c:v>12/08/2018</c:v>
                </c:pt>
                <c:pt idx="2418">
                  <c:v>12/08/2018</c:v>
                </c:pt>
                <c:pt idx="2419">
                  <c:v>12/08/2018</c:v>
                </c:pt>
                <c:pt idx="2420">
                  <c:v>12/08/2018</c:v>
                </c:pt>
                <c:pt idx="2421">
                  <c:v>12/08/2018</c:v>
                </c:pt>
                <c:pt idx="2422">
                  <c:v>19/08/2018</c:v>
                </c:pt>
                <c:pt idx="2423">
                  <c:v>19/08/2018</c:v>
                </c:pt>
                <c:pt idx="2424">
                  <c:v>19/08/2018</c:v>
                </c:pt>
                <c:pt idx="2425">
                  <c:v>19/08/2018</c:v>
                </c:pt>
                <c:pt idx="2426">
                  <c:v>19/08/2018</c:v>
                </c:pt>
                <c:pt idx="2427">
                  <c:v>19/08/2018</c:v>
                </c:pt>
                <c:pt idx="2428">
                  <c:v>19/08/2018</c:v>
                </c:pt>
                <c:pt idx="2429">
                  <c:v>26/08/2018</c:v>
                </c:pt>
                <c:pt idx="2430">
                  <c:v>26/08/2018</c:v>
                </c:pt>
                <c:pt idx="2431">
                  <c:v>26/08/2018</c:v>
                </c:pt>
                <c:pt idx="2432">
                  <c:v>26/08/2018</c:v>
                </c:pt>
                <c:pt idx="2433">
                  <c:v>26/08/2018</c:v>
                </c:pt>
                <c:pt idx="2434">
                  <c:v>26/08/2018</c:v>
                </c:pt>
                <c:pt idx="2435">
                  <c:v>26/08/2018</c:v>
                </c:pt>
                <c:pt idx="2436">
                  <c:v>02/09/2018</c:v>
                </c:pt>
                <c:pt idx="2437">
                  <c:v>02/09/2018</c:v>
                </c:pt>
                <c:pt idx="2438">
                  <c:v>02/09/2018</c:v>
                </c:pt>
                <c:pt idx="2439">
                  <c:v>02/09/2018</c:v>
                </c:pt>
                <c:pt idx="2440">
                  <c:v>02/09/2018</c:v>
                </c:pt>
                <c:pt idx="2441">
                  <c:v>02/09/2018</c:v>
                </c:pt>
                <c:pt idx="2442">
                  <c:v>02/09/2018</c:v>
                </c:pt>
                <c:pt idx="2443">
                  <c:v>09/09/2018</c:v>
                </c:pt>
                <c:pt idx="2444">
                  <c:v>09/09/2018</c:v>
                </c:pt>
                <c:pt idx="2445">
                  <c:v>09/09/2018</c:v>
                </c:pt>
                <c:pt idx="2446">
                  <c:v>09/09/2018</c:v>
                </c:pt>
                <c:pt idx="2447">
                  <c:v>09/09/2018</c:v>
                </c:pt>
                <c:pt idx="2448">
                  <c:v>09/09/2018</c:v>
                </c:pt>
                <c:pt idx="2449">
                  <c:v>09/09/2018</c:v>
                </c:pt>
                <c:pt idx="2450">
                  <c:v>16/09/2018</c:v>
                </c:pt>
                <c:pt idx="2451">
                  <c:v>16/09/2018</c:v>
                </c:pt>
                <c:pt idx="2452">
                  <c:v>16/09/2018</c:v>
                </c:pt>
                <c:pt idx="2453">
                  <c:v>16/09/2018</c:v>
                </c:pt>
                <c:pt idx="2454">
                  <c:v>16/09/2018</c:v>
                </c:pt>
                <c:pt idx="2455">
                  <c:v>16/09/2018</c:v>
                </c:pt>
                <c:pt idx="2456">
                  <c:v>16/09/2018</c:v>
                </c:pt>
                <c:pt idx="2457">
                  <c:v>23/09/2018</c:v>
                </c:pt>
                <c:pt idx="2458">
                  <c:v>23/09/2018</c:v>
                </c:pt>
                <c:pt idx="2459">
                  <c:v>23/09/2018</c:v>
                </c:pt>
                <c:pt idx="2460">
                  <c:v>23/09/2018</c:v>
                </c:pt>
                <c:pt idx="2461">
                  <c:v>23/09/2018</c:v>
                </c:pt>
                <c:pt idx="2462">
                  <c:v>23/09/2018</c:v>
                </c:pt>
                <c:pt idx="2463">
                  <c:v>23/09/2018</c:v>
                </c:pt>
                <c:pt idx="2464">
                  <c:v>30/09/2018</c:v>
                </c:pt>
                <c:pt idx="2465">
                  <c:v>30/09/2018</c:v>
                </c:pt>
                <c:pt idx="2466">
                  <c:v>30/09/2018</c:v>
                </c:pt>
                <c:pt idx="2467">
                  <c:v>30/09/2018</c:v>
                </c:pt>
                <c:pt idx="2468">
                  <c:v>30/09/2018</c:v>
                </c:pt>
                <c:pt idx="2469">
                  <c:v>30/09/2018</c:v>
                </c:pt>
                <c:pt idx="2470">
                  <c:v>30/09/2018</c:v>
                </c:pt>
                <c:pt idx="2471">
                  <c:v>07/10/2018</c:v>
                </c:pt>
                <c:pt idx="2472">
                  <c:v>07/10/2018</c:v>
                </c:pt>
                <c:pt idx="2473">
                  <c:v>07/10/2018</c:v>
                </c:pt>
                <c:pt idx="2474">
                  <c:v>07/10/2018</c:v>
                </c:pt>
                <c:pt idx="2475">
                  <c:v>07/10/2018</c:v>
                </c:pt>
                <c:pt idx="2476">
                  <c:v>07/10/2018</c:v>
                </c:pt>
                <c:pt idx="2477">
                  <c:v>07/10/2018</c:v>
                </c:pt>
                <c:pt idx="2478">
                  <c:v>14/10/2018</c:v>
                </c:pt>
                <c:pt idx="2479">
                  <c:v>14/10/2018</c:v>
                </c:pt>
                <c:pt idx="2480">
                  <c:v>14/10/2018</c:v>
                </c:pt>
                <c:pt idx="2481">
                  <c:v>14/10/2018</c:v>
                </c:pt>
                <c:pt idx="2482">
                  <c:v>14/10/2018</c:v>
                </c:pt>
                <c:pt idx="2483">
                  <c:v>14/10/2018</c:v>
                </c:pt>
                <c:pt idx="2484">
                  <c:v>14/10/2018</c:v>
                </c:pt>
                <c:pt idx="2485">
                  <c:v>21/10/2018</c:v>
                </c:pt>
                <c:pt idx="2486">
                  <c:v>21/10/2018</c:v>
                </c:pt>
                <c:pt idx="2487">
                  <c:v>21/10/2018</c:v>
                </c:pt>
                <c:pt idx="2488">
                  <c:v>21/10/2018</c:v>
                </c:pt>
                <c:pt idx="2489">
                  <c:v>21/10/2018</c:v>
                </c:pt>
                <c:pt idx="2490">
                  <c:v>21/10/2018</c:v>
                </c:pt>
                <c:pt idx="2491">
                  <c:v>21/10/2018</c:v>
                </c:pt>
                <c:pt idx="2492">
                  <c:v>28/10/2018</c:v>
                </c:pt>
                <c:pt idx="2493">
                  <c:v>28/10/2018</c:v>
                </c:pt>
                <c:pt idx="2494">
                  <c:v>28/10/2018</c:v>
                </c:pt>
                <c:pt idx="2495">
                  <c:v>28/10/2018</c:v>
                </c:pt>
                <c:pt idx="2496">
                  <c:v>28/10/2018</c:v>
                </c:pt>
                <c:pt idx="2497">
                  <c:v>28/10/2018</c:v>
                </c:pt>
                <c:pt idx="2498">
                  <c:v>28/10/2018</c:v>
                </c:pt>
                <c:pt idx="2499">
                  <c:v>04/11/2018</c:v>
                </c:pt>
                <c:pt idx="2500">
                  <c:v>04/11/2018</c:v>
                </c:pt>
                <c:pt idx="2501">
                  <c:v>04/11/2018</c:v>
                </c:pt>
                <c:pt idx="2502">
                  <c:v>04/11/2018</c:v>
                </c:pt>
                <c:pt idx="2503">
                  <c:v>04/11/2018</c:v>
                </c:pt>
                <c:pt idx="2504">
                  <c:v>04/11/2018</c:v>
                </c:pt>
                <c:pt idx="2505">
                  <c:v>04/11/2018</c:v>
                </c:pt>
                <c:pt idx="2506">
                  <c:v>11/11/2018</c:v>
                </c:pt>
                <c:pt idx="2507">
                  <c:v>11/11/2018</c:v>
                </c:pt>
                <c:pt idx="2508">
                  <c:v>11/11/2018</c:v>
                </c:pt>
                <c:pt idx="2509">
                  <c:v>11/11/2018</c:v>
                </c:pt>
                <c:pt idx="2510">
                  <c:v>11/11/2018</c:v>
                </c:pt>
                <c:pt idx="2511">
                  <c:v>11/11/2018</c:v>
                </c:pt>
                <c:pt idx="2512">
                  <c:v>11/11/2018</c:v>
                </c:pt>
                <c:pt idx="2513">
                  <c:v>18/11/2018</c:v>
                </c:pt>
                <c:pt idx="2514">
                  <c:v>18/11/2018</c:v>
                </c:pt>
                <c:pt idx="2515">
                  <c:v>18/11/2018</c:v>
                </c:pt>
                <c:pt idx="2516">
                  <c:v>18/11/2018</c:v>
                </c:pt>
                <c:pt idx="2517">
                  <c:v>18/11/2018</c:v>
                </c:pt>
                <c:pt idx="2518">
                  <c:v>18/11/2018</c:v>
                </c:pt>
                <c:pt idx="2519">
                  <c:v>18/11/2018</c:v>
                </c:pt>
                <c:pt idx="2520">
                  <c:v>25/11/2018</c:v>
                </c:pt>
                <c:pt idx="2521">
                  <c:v>25/11/2018</c:v>
                </c:pt>
                <c:pt idx="2522">
                  <c:v>25/11/2018</c:v>
                </c:pt>
                <c:pt idx="2523">
                  <c:v>25/11/2018</c:v>
                </c:pt>
                <c:pt idx="2524">
                  <c:v>25/11/2018</c:v>
                </c:pt>
                <c:pt idx="2525">
                  <c:v>25/11/2018</c:v>
                </c:pt>
                <c:pt idx="2526">
                  <c:v>25/11/2018</c:v>
                </c:pt>
                <c:pt idx="2527">
                  <c:v>02/12/2018</c:v>
                </c:pt>
                <c:pt idx="2528">
                  <c:v>02/12/2018</c:v>
                </c:pt>
                <c:pt idx="2529">
                  <c:v>02/12/2018</c:v>
                </c:pt>
                <c:pt idx="2530">
                  <c:v>02/12/2018</c:v>
                </c:pt>
                <c:pt idx="2531">
                  <c:v>02/12/2018</c:v>
                </c:pt>
                <c:pt idx="2532">
                  <c:v>02/12/2018</c:v>
                </c:pt>
                <c:pt idx="2533">
                  <c:v>02/12/2018</c:v>
                </c:pt>
                <c:pt idx="2534">
                  <c:v>09/12/2018</c:v>
                </c:pt>
                <c:pt idx="2535">
                  <c:v>09/12/2018</c:v>
                </c:pt>
                <c:pt idx="2536">
                  <c:v>09/12/2018</c:v>
                </c:pt>
                <c:pt idx="2537">
                  <c:v>09/12/2018</c:v>
                </c:pt>
                <c:pt idx="2538">
                  <c:v>09/12/2018</c:v>
                </c:pt>
                <c:pt idx="2539">
                  <c:v>09/12/2018</c:v>
                </c:pt>
                <c:pt idx="2540">
                  <c:v>09/12/2018</c:v>
                </c:pt>
                <c:pt idx="2541">
                  <c:v>16/12/2018</c:v>
                </c:pt>
                <c:pt idx="2542">
                  <c:v>16/12/2018</c:v>
                </c:pt>
                <c:pt idx="2543">
                  <c:v>16/12/2018</c:v>
                </c:pt>
                <c:pt idx="2544">
                  <c:v>16/12/2018</c:v>
                </c:pt>
                <c:pt idx="2545">
                  <c:v>16/12/2018</c:v>
                </c:pt>
                <c:pt idx="2546">
                  <c:v>16/12/2018</c:v>
                </c:pt>
                <c:pt idx="2547">
                  <c:v>16/12/2018</c:v>
                </c:pt>
                <c:pt idx="2548">
                  <c:v>23/12/2018</c:v>
                </c:pt>
                <c:pt idx="2549">
                  <c:v>23/12/2018</c:v>
                </c:pt>
                <c:pt idx="2550">
                  <c:v>23/12/2018</c:v>
                </c:pt>
                <c:pt idx="2551">
                  <c:v>23/12/2018</c:v>
                </c:pt>
                <c:pt idx="2552">
                  <c:v>23/12/2018</c:v>
                </c:pt>
                <c:pt idx="2553">
                  <c:v>23/12/2018</c:v>
                </c:pt>
                <c:pt idx="2554">
                  <c:v>23/12/2018</c:v>
                </c:pt>
                <c:pt idx="2555">
                  <c:v>30/12/2018</c:v>
                </c:pt>
                <c:pt idx="2556">
                  <c:v>30/12/2018</c:v>
                </c:pt>
                <c:pt idx="2557">
                  <c:v>30/12/2018</c:v>
                </c:pt>
                <c:pt idx="2558">
                  <c:v>30/12/2018</c:v>
                </c:pt>
                <c:pt idx="2559">
                  <c:v>30/12/2018</c:v>
                </c:pt>
                <c:pt idx="2560">
                  <c:v>30/12/2018</c:v>
                </c:pt>
                <c:pt idx="2561">
                  <c:v>30/12/2018</c:v>
                </c:pt>
                <c:pt idx="2562">
                  <c:v>06/01/2019</c:v>
                </c:pt>
                <c:pt idx="2563">
                  <c:v>06/01/2019</c:v>
                </c:pt>
                <c:pt idx="2564">
                  <c:v>06/01/2019</c:v>
                </c:pt>
                <c:pt idx="2565">
                  <c:v>06/01/2019</c:v>
                </c:pt>
                <c:pt idx="2566">
                  <c:v>06/01/2019</c:v>
                </c:pt>
                <c:pt idx="2567">
                  <c:v>06/01/2019</c:v>
                </c:pt>
                <c:pt idx="2568">
                  <c:v>06/01/2019</c:v>
                </c:pt>
                <c:pt idx="2569">
                  <c:v>13/01/2019</c:v>
                </c:pt>
                <c:pt idx="2570">
                  <c:v>13/01/2019</c:v>
                </c:pt>
                <c:pt idx="2571">
                  <c:v>13/01/2019</c:v>
                </c:pt>
                <c:pt idx="2572">
                  <c:v>13/01/2019</c:v>
                </c:pt>
                <c:pt idx="2573">
                  <c:v>13/01/2019</c:v>
                </c:pt>
                <c:pt idx="2574">
                  <c:v>13/01/2019</c:v>
                </c:pt>
                <c:pt idx="2575">
                  <c:v>13/01/2019</c:v>
                </c:pt>
                <c:pt idx="2576">
                  <c:v>20/01/2019</c:v>
                </c:pt>
                <c:pt idx="2577">
                  <c:v>20/01/2019</c:v>
                </c:pt>
                <c:pt idx="2578">
                  <c:v>20/01/2019</c:v>
                </c:pt>
                <c:pt idx="2579">
                  <c:v>20/01/2019</c:v>
                </c:pt>
                <c:pt idx="2580">
                  <c:v>20/01/2019</c:v>
                </c:pt>
                <c:pt idx="2581">
                  <c:v>20/01/2019</c:v>
                </c:pt>
                <c:pt idx="2582">
                  <c:v>20/01/2019</c:v>
                </c:pt>
                <c:pt idx="2583">
                  <c:v>27/01/2019</c:v>
                </c:pt>
                <c:pt idx="2584">
                  <c:v>27/01/2019</c:v>
                </c:pt>
                <c:pt idx="2585">
                  <c:v>27/01/2019</c:v>
                </c:pt>
                <c:pt idx="2586">
                  <c:v>27/01/2019</c:v>
                </c:pt>
                <c:pt idx="2587">
                  <c:v>27/01/2019</c:v>
                </c:pt>
                <c:pt idx="2588">
                  <c:v>27/01/2019</c:v>
                </c:pt>
                <c:pt idx="2589">
                  <c:v>27/01/2019</c:v>
                </c:pt>
                <c:pt idx="2590">
                  <c:v>03/02/2019</c:v>
                </c:pt>
                <c:pt idx="2591">
                  <c:v>03/02/2019</c:v>
                </c:pt>
                <c:pt idx="2592">
                  <c:v>03/02/2019</c:v>
                </c:pt>
                <c:pt idx="2593">
                  <c:v>03/02/2019</c:v>
                </c:pt>
                <c:pt idx="2594">
                  <c:v>03/02/2019</c:v>
                </c:pt>
                <c:pt idx="2595">
                  <c:v>03/02/2019</c:v>
                </c:pt>
                <c:pt idx="2596">
                  <c:v>03/02/2019</c:v>
                </c:pt>
                <c:pt idx="2597">
                  <c:v>10/02/2019</c:v>
                </c:pt>
                <c:pt idx="2598">
                  <c:v>10/02/2019</c:v>
                </c:pt>
                <c:pt idx="2599">
                  <c:v>10/02/2019</c:v>
                </c:pt>
                <c:pt idx="2600">
                  <c:v>10/02/2019</c:v>
                </c:pt>
                <c:pt idx="2601">
                  <c:v>10/02/2019</c:v>
                </c:pt>
                <c:pt idx="2602">
                  <c:v>10/02/2019</c:v>
                </c:pt>
                <c:pt idx="2603">
                  <c:v>10/02/2019</c:v>
                </c:pt>
                <c:pt idx="2604">
                  <c:v>17/02/2019</c:v>
                </c:pt>
                <c:pt idx="2605">
                  <c:v>17/02/2019</c:v>
                </c:pt>
                <c:pt idx="2606">
                  <c:v>17/02/2019</c:v>
                </c:pt>
                <c:pt idx="2607">
                  <c:v>17/02/2019</c:v>
                </c:pt>
                <c:pt idx="2608">
                  <c:v>17/02/2019</c:v>
                </c:pt>
                <c:pt idx="2609">
                  <c:v>17/02/2019</c:v>
                </c:pt>
                <c:pt idx="2610">
                  <c:v>17/02/2019</c:v>
                </c:pt>
                <c:pt idx="2611">
                  <c:v>24/02/2019</c:v>
                </c:pt>
                <c:pt idx="2612">
                  <c:v>24/02/2019</c:v>
                </c:pt>
                <c:pt idx="2613">
                  <c:v>24/02/2019</c:v>
                </c:pt>
                <c:pt idx="2614">
                  <c:v>24/02/2019</c:v>
                </c:pt>
                <c:pt idx="2615">
                  <c:v>24/02/2019</c:v>
                </c:pt>
                <c:pt idx="2616">
                  <c:v>24/02/2019</c:v>
                </c:pt>
                <c:pt idx="2617">
                  <c:v>24/02/2019</c:v>
                </c:pt>
                <c:pt idx="2618">
                  <c:v>03/03/2019</c:v>
                </c:pt>
                <c:pt idx="2619">
                  <c:v>03/03/2019</c:v>
                </c:pt>
                <c:pt idx="2620">
                  <c:v>03/03/2019</c:v>
                </c:pt>
                <c:pt idx="2621">
                  <c:v>03/03/2019</c:v>
                </c:pt>
                <c:pt idx="2622">
                  <c:v>03/03/2019</c:v>
                </c:pt>
                <c:pt idx="2623">
                  <c:v>03/03/2019</c:v>
                </c:pt>
                <c:pt idx="2624">
                  <c:v>03/03/2019</c:v>
                </c:pt>
                <c:pt idx="2625">
                  <c:v>10/03/2019</c:v>
                </c:pt>
                <c:pt idx="2626">
                  <c:v>10/03/2019</c:v>
                </c:pt>
                <c:pt idx="2627">
                  <c:v>10/03/2019</c:v>
                </c:pt>
                <c:pt idx="2628">
                  <c:v>10/03/2019</c:v>
                </c:pt>
                <c:pt idx="2629">
                  <c:v>10/03/2019</c:v>
                </c:pt>
                <c:pt idx="2630">
                  <c:v>10/03/2019</c:v>
                </c:pt>
                <c:pt idx="2631">
                  <c:v>10/03/2019</c:v>
                </c:pt>
                <c:pt idx="2632">
                  <c:v>17/03/2019</c:v>
                </c:pt>
                <c:pt idx="2633">
                  <c:v>17/03/2019</c:v>
                </c:pt>
                <c:pt idx="2634">
                  <c:v>17/03/2019</c:v>
                </c:pt>
                <c:pt idx="2635">
                  <c:v>17/03/2019</c:v>
                </c:pt>
                <c:pt idx="2636">
                  <c:v>17/03/2019</c:v>
                </c:pt>
                <c:pt idx="2637">
                  <c:v>17/03/2019</c:v>
                </c:pt>
                <c:pt idx="2638">
                  <c:v>17/03/2019</c:v>
                </c:pt>
                <c:pt idx="2639">
                  <c:v>24/03/2019</c:v>
                </c:pt>
                <c:pt idx="2640">
                  <c:v>24/03/2019</c:v>
                </c:pt>
                <c:pt idx="2641">
                  <c:v>24/03/2019</c:v>
                </c:pt>
                <c:pt idx="2642">
                  <c:v>24/03/2019</c:v>
                </c:pt>
                <c:pt idx="2643">
                  <c:v>24/03/2019</c:v>
                </c:pt>
                <c:pt idx="2644">
                  <c:v>24/03/2019</c:v>
                </c:pt>
                <c:pt idx="2645">
                  <c:v>24/03/2019</c:v>
                </c:pt>
                <c:pt idx="2646">
                  <c:v>31/03/2019</c:v>
                </c:pt>
                <c:pt idx="2647">
                  <c:v>31/03/2019</c:v>
                </c:pt>
                <c:pt idx="2648">
                  <c:v>31/03/2019</c:v>
                </c:pt>
                <c:pt idx="2649">
                  <c:v>31/03/2019</c:v>
                </c:pt>
                <c:pt idx="2650">
                  <c:v>31/03/2019</c:v>
                </c:pt>
                <c:pt idx="2651">
                  <c:v>31/03/2019</c:v>
                </c:pt>
                <c:pt idx="2652">
                  <c:v>31/03/2019</c:v>
                </c:pt>
                <c:pt idx="2653">
                  <c:v>07/04/2019</c:v>
                </c:pt>
                <c:pt idx="2654">
                  <c:v>07/04/2019</c:v>
                </c:pt>
                <c:pt idx="2655">
                  <c:v>07/04/2019</c:v>
                </c:pt>
                <c:pt idx="2656">
                  <c:v>07/04/2019</c:v>
                </c:pt>
                <c:pt idx="2657">
                  <c:v>07/04/2019</c:v>
                </c:pt>
                <c:pt idx="2658">
                  <c:v>07/04/2019</c:v>
                </c:pt>
                <c:pt idx="2659">
                  <c:v>07/04/2019</c:v>
                </c:pt>
                <c:pt idx="2660">
                  <c:v>14/04/2019</c:v>
                </c:pt>
                <c:pt idx="2661">
                  <c:v>14/04/2019</c:v>
                </c:pt>
                <c:pt idx="2662">
                  <c:v>14/04/2019</c:v>
                </c:pt>
                <c:pt idx="2663">
                  <c:v>14/04/2019</c:v>
                </c:pt>
                <c:pt idx="2664">
                  <c:v>14/04/2019</c:v>
                </c:pt>
                <c:pt idx="2665">
                  <c:v>14/04/2019</c:v>
                </c:pt>
                <c:pt idx="2666">
                  <c:v>14/04/2019</c:v>
                </c:pt>
                <c:pt idx="2667">
                  <c:v>21/04/2019</c:v>
                </c:pt>
                <c:pt idx="2668">
                  <c:v>21/04/2019</c:v>
                </c:pt>
                <c:pt idx="2669">
                  <c:v>21/04/2019</c:v>
                </c:pt>
                <c:pt idx="2670">
                  <c:v>21/04/2019</c:v>
                </c:pt>
                <c:pt idx="2671">
                  <c:v>21/04/2019</c:v>
                </c:pt>
                <c:pt idx="2672">
                  <c:v>21/04/2019</c:v>
                </c:pt>
                <c:pt idx="2673">
                  <c:v>21/04/2019</c:v>
                </c:pt>
                <c:pt idx="2674">
                  <c:v>28/04/2019</c:v>
                </c:pt>
                <c:pt idx="2675">
                  <c:v>28/04/2019</c:v>
                </c:pt>
                <c:pt idx="2676">
                  <c:v>28/04/2019</c:v>
                </c:pt>
                <c:pt idx="2677">
                  <c:v>28/04/2019</c:v>
                </c:pt>
                <c:pt idx="2678">
                  <c:v>28/04/2019</c:v>
                </c:pt>
                <c:pt idx="2679">
                  <c:v>28/04/2019</c:v>
                </c:pt>
                <c:pt idx="2680">
                  <c:v>28/04/2019</c:v>
                </c:pt>
                <c:pt idx="2681">
                  <c:v>05/05/2019</c:v>
                </c:pt>
                <c:pt idx="2682">
                  <c:v>05/05/2019</c:v>
                </c:pt>
                <c:pt idx="2683">
                  <c:v>05/05/2019</c:v>
                </c:pt>
                <c:pt idx="2684">
                  <c:v>05/05/2019</c:v>
                </c:pt>
                <c:pt idx="2685">
                  <c:v>05/05/2019</c:v>
                </c:pt>
                <c:pt idx="2686">
                  <c:v>05/05/2019</c:v>
                </c:pt>
                <c:pt idx="2687">
                  <c:v>05/05/2019</c:v>
                </c:pt>
                <c:pt idx="2688">
                  <c:v>12/05/2019</c:v>
                </c:pt>
                <c:pt idx="2689">
                  <c:v>12/05/2019</c:v>
                </c:pt>
                <c:pt idx="2690">
                  <c:v>12/05/2019</c:v>
                </c:pt>
                <c:pt idx="2691">
                  <c:v>12/05/2019</c:v>
                </c:pt>
                <c:pt idx="2692">
                  <c:v>12/05/2019</c:v>
                </c:pt>
                <c:pt idx="2693">
                  <c:v>12/05/2019</c:v>
                </c:pt>
                <c:pt idx="2694">
                  <c:v>12/05/2019</c:v>
                </c:pt>
                <c:pt idx="2695">
                  <c:v>19/05/2019</c:v>
                </c:pt>
                <c:pt idx="2696">
                  <c:v>19/05/2019</c:v>
                </c:pt>
                <c:pt idx="2697">
                  <c:v>19/05/2019</c:v>
                </c:pt>
                <c:pt idx="2698">
                  <c:v>19/05/2019</c:v>
                </c:pt>
                <c:pt idx="2699">
                  <c:v>19/05/2019</c:v>
                </c:pt>
                <c:pt idx="2700">
                  <c:v>19/05/2019</c:v>
                </c:pt>
                <c:pt idx="2701">
                  <c:v>19/05/2019</c:v>
                </c:pt>
                <c:pt idx="2702">
                  <c:v>26/05/2019</c:v>
                </c:pt>
                <c:pt idx="2703">
                  <c:v>26/05/2019</c:v>
                </c:pt>
                <c:pt idx="2704">
                  <c:v>26/05/2019</c:v>
                </c:pt>
                <c:pt idx="2705">
                  <c:v>26/05/2019</c:v>
                </c:pt>
                <c:pt idx="2706">
                  <c:v>26/05/2019</c:v>
                </c:pt>
                <c:pt idx="2707">
                  <c:v>26/05/2019</c:v>
                </c:pt>
                <c:pt idx="2708">
                  <c:v>26/05/2019</c:v>
                </c:pt>
                <c:pt idx="2709">
                  <c:v>02/06/2019</c:v>
                </c:pt>
                <c:pt idx="2710">
                  <c:v>02/06/2019</c:v>
                </c:pt>
                <c:pt idx="2711">
                  <c:v>02/06/2019</c:v>
                </c:pt>
                <c:pt idx="2712">
                  <c:v>02/06/2019</c:v>
                </c:pt>
                <c:pt idx="2713">
                  <c:v>02/06/2019</c:v>
                </c:pt>
                <c:pt idx="2714">
                  <c:v>02/06/2019</c:v>
                </c:pt>
                <c:pt idx="2715">
                  <c:v>02/06/2019</c:v>
                </c:pt>
                <c:pt idx="2716">
                  <c:v>09/06/2019</c:v>
                </c:pt>
                <c:pt idx="2717">
                  <c:v>09/06/2019</c:v>
                </c:pt>
                <c:pt idx="2718">
                  <c:v>09/06/2019</c:v>
                </c:pt>
                <c:pt idx="2719">
                  <c:v>09/06/2019</c:v>
                </c:pt>
                <c:pt idx="2720">
                  <c:v>09/06/2019</c:v>
                </c:pt>
                <c:pt idx="2721">
                  <c:v>09/06/2019</c:v>
                </c:pt>
                <c:pt idx="2722">
                  <c:v>09/06/2019</c:v>
                </c:pt>
                <c:pt idx="2723">
                  <c:v>16/06/2019</c:v>
                </c:pt>
                <c:pt idx="2724">
                  <c:v>16/06/2019</c:v>
                </c:pt>
                <c:pt idx="2725">
                  <c:v>16/06/2019</c:v>
                </c:pt>
                <c:pt idx="2726">
                  <c:v>16/06/2019</c:v>
                </c:pt>
                <c:pt idx="2727">
                  <c:v>16/06/2019</c:v>
                </c:pt>
                <c:pt idx="2728">
                  <c:v>16/06/2019</c:v>
                </c:pt>
                <c:pt idx="2729">
                  <c:v>16/06/2019</c:v>
                </c:pt>
                <c:pt idx="2730">
                  <c:v>23/06/2019</c:v>
                </c:pt>
                <c:pt idx="2731">
                  <c:v>23/06/2019</c:v>
                </c:pt>
                <c:pt idx="2732">
                  <c:v>23/06/2019</c:v>
                </c:pt>
                <c:pt idx="2733">
                  <c:v>23/06/2019</c:v>
                </c:pt>
                <c:pt idx="2734">
                  <c:v>23/06/2019</c:v>
                </c:pt>
                <c:pt idx="2735">
                  <c:v>23/06/2019</c:v>
                </c:pt>
                <c:pt idx="2736">
                  <c:v>23/06/2019</c:v>
                </c:pt>
                <c:pt idx="2737">
                  <c:v>30/06/2019</c:v>
                </c:pt>
                <c:pt idx="2738">
                  <c:v>30/06/2019</c:v>
                </c:pt>
                <c:pt idx="2739">
                  <c:v>30/06/2019</c:v>
                </c:pt>
                <c:pt idx="2740">
                  <c:v>30/06/2019</c:v>
                </c:pt>
                <c:pt idx="2741">
                  <c:v>30/06/2019</c:v>
                </c:pt>
                <c:pt idx="2742">
                  <c:v>30/06/2019</c:v>
                </c:pt>
                <c:pt idx="2743">
                  <c:v>30/06/2019</c:v>
                </c:pt>
                <c:pt idx="2744">
                  <c:v>07/07/2019</c:v>
                </c:pt>
                <c:pt idx="2745">
                  <c:v>07/07/2019</c:v>
                </c:pt>
                <c:pt idx="2746">
                  <c:v>07/07/2019</c:v>
                </c:pt>
                <c:pt idx="2747">
                  <c:v>07/07/2019</c:v>
                </c:pt>
                <c:pt idx="2748">
                  <c:v>07/07/2019</c:v>
                </c:pt>
                <c:pt idx="2749">
                  <c:v>07/07/2019</c:v>
                </c:pt>
                <c:pt idx="2750">
                  <c:v>07/07/2019</c:v>
                </c:pt>
                <c:pt idx="2751">
                  <c:v>14/07/2019</c:v>
                </c:pt>
                <c:pt idx="2752">
                  <c:v>14/07/2019</c:v>
                </c:pt>
                <c:pt idx="2753">
                  <c:v>14/07/2019</c:v>
                </c:pt>
                <c:pt idx="2754">
                  <c:v>14/07/2019</c:v>
                </c:pt>
                <c:pt idx="2755">
                  <c:v>14/07/2019</c:v>
                </c:pt>
                <c:pt idx="2756">
                  <c:v>14/07/2019</c:v>
                </c:pt>
                <c:pt idx="2757">
                  <c:v>14/07/2019</c:v>
                </c:pt>
                <c:pt idx="2758">
                  <c:v>21/07/2019</c:v>
                </c:pt>
                <c:pt idx="2759">
                  <c:v>21/07/2019</c:v>
                </c:pt>
                <c:pt idx="2760">
                  <c:v>21/07/2019</c:v>
                </c:pt>
                <c:pt idx="2761">
                  <c:v>21/07/2019</c:v>
                </c:pt>
                <c:pt idx="2762">
                  <c:v>21/07/2019</c:v>
                </c:pt>
                <c:pt idx="2763">
                  <c:v>21/07/2019</c:v>
                </c:pt>
                <c:pt idx="2764">
                  <c:v>21/07/2019</c:v>
                </c:pt>
                <c:pt idx="2765">
                  <c:v>28/07/2019</c:v>
                </c:pt>
                <c:pt idx="2766">
                  <c:v>28/07/2019</c:v>
                </c:pt>
                <c:pt idx="2767">
                  <c:v>28/07/2019</c:v>
                </c:pt>
                <c:pt idx="2768">
                  <c:v>28/07/2019</c:v>
                </c:pt>
                <c:pt idx="2769">
                  <c:v>28/07/2019</c:v>
                </c:pt>
                <c:pt idx="2770">
                  <c:v>28/07/2019</c:v>
                </c:pt>
                <c:pt idx="2771">
                  <c:v>28/07/2019</c:v>
                </c:pt>
                <c:pt idx="2772">
                  <c:v>04/08/2019</c:v>
                </c:pt>
                <c:pt idx="2773">
                  <c:v>04/08/2019</c:v>
                </c:pt>
                <c:pt idx="2774">
                  <c:v>04/08/2019</c:v>
                </c:pt>
                <c:pt idx="2775">
                  <c:v>04/08/2019</c:v>
                </c:pt>
                <c:pt idx="2776">
                  <c:v>04/08/2019</c:v>
                </c:pt>
                <c:pt idx="2777">
                  <c:v>04/08/2019</c:v>
                </c:pt>
                <c:pt idx="2778">
                  <c:v>04/08/2019</c:v>
                </c:pt>
                <c:pt idx="2779">
                  <c:v>11/08/2019</c:v>
                </c:pt>
                <c:pt idx="2780">
                  <c:v>11/08/2019</c:v>
                </c:pt>
                <c:pt idx="2781">
                  <c:v>11/08/2019</c:v>
                </c:pt>
                <c:pt idx="2782">
                  <c:v>11/08/2019</c:v>
                </c:pt>
                <c:pt idx="2783">
                  <c:v>11/08/2019</c:v>
                </c:pt>
                <c:pt idx="2784">
                  <c:v>11/08/2019</c:v>
                </c:pt>
                <c:pt idx="2785">
                  <c:v>11/08/2019</c:v>
                </c:pt>
                <c:pt idx="2786">
                  <c:v>18/08/2019</c:v>
                </c:pt>
                <c:pt idx="2787">
                  <c:v>18/08/2019</c:v>
                </c:pt>
                <c:pt idx="2788">
                  <c:v>18/08/2019</c:v>
                </c:pt>
                <c:pt idx="2789">
                  <c:v>18/08/2019</c:v>
                </c:pt>
                <c:pt idx="2790">
                  <c:v>18/08/2019</c:v>
                </c:pt>
                <c:pt idx="2791">
                  <c:v>18/08/2019</c:v>
                </c:pt>
                <c:pt idx="2792">
                  <c:v>18/08/2019</c:v>
                </c:pt>
                <c:pt idx="2793">
                  <c:v>25/08/2019</c:v>
                </c:pt>
                <c:pt idx="2794">
                  <c:v>25/08/2019</c:v>
                </c:pt>
                <c:pt idx="2795">
                  <c:v>25/08/2019</c:v>
                </c:pt>
                <c:pt idx="2796">
                  <c:v>25/08/2019</c:v>
                </c:pt>
                <c:pt idx="2797">
                  <c:v>25/08/2019</c:v>
                </c:pt>
                <c:pt idx="2798">
                  <c:v>25/08/2019</c:v>
                </c:pt>
                <c:pt idx="2799">
                  <c:v>25/08/2019</c:v>
                </c:pt>
                <c:pt idx="2800">
                  <c:v>01/09/2019</c:v>
                </c:pt>
                <c:pt idx="2801">
                  <c:v>01/09/2019</c:v>
                </c:pt>
                <c:pt idx="2802">
                  <c:v>01/09/2019</c:v>
                </c:pt>
                <c:pt idx="2803">
                  <c:v>01/09/2019</c:v>
                </c:pt>
                <c:pt idx="2804">
                  <c:v>01/09/2019</c:v>
                </c:pt>
                <c:pt idx="2805">
                  <c:v>01/09/2019</c:v>
                </c:pt>
                <c:pt idx="2806">
                  <c:v>01/09/2019</c:v>
                </c:pt>
                <c:pt idx="2807">
                  <c:v>08/09/2019</c:v>
                </c:pt>
                <c:pt idx="2808">
                  <c:v>08/09/2019</c:v>
                </c:pt>
                <c:pt idx="2809">
                  <c:v>08/09/2019</c:v>
                </c:pt>
                <c:pt idx="2810">
                  <c:v>08/09/2019</c:v>
                </c:pt>
                <c:pt idx="2811">
                  <c:v>08/09/2019</c:v>
                </c:pt>
                <c:pt idx="2812">
                  <c:v>08/09/2019</c:v>
                </c:pt>
                <c:pt idx="2813">
                  <c:v>08/09/2019</c:v>
                </c:pt>
                <c:pt idx="2814">
                  <c:v>15/09/2019</c:v>
                </c:pt>
                <c:pt idx="2815">
                  <c:v>15/09/2019</c:v>
                </c:pt>
                <c:pt idx="2816">
                  <c:v>15/09/2019</c:v>
                </c:pt>
                <c:pt idx="2817">
                  <c:v>15/09/2019</c:v>
                </c:pt>
                <c:pt idx="2818">
                  <c:v>15/09/2019</c:v>
                </c:pt>
                <c:pt idx="2819">
                  <c:v>15/09/2019</c:v>
                </c:pt>
                <c:pt idx="2820">
                  <c:v>15/09/2019</c:v>
                </c:pt>
                <c:pt idx="2821">
                  <c:v>22/09/2019</c:v>
                </c:pt>
                <c:pt idx="2822">
                  <c:v>22/09/2019</c:v>
                </c:pt>
                <c:pt idx="2823">
                  <c:v>22/09/2019</c:v>
                </c:pt>
                <c:pt idx="2824">
                  <c:v>22/09/2019</c:v>
                </c:pt>
                <c:pt idx="2825">
                  <c:v>22/09/2019</c:v>
                </c:pt>
                <c:pt idx="2826">
                  <c:v>22/09/2019</c:v>
                </c:pt>
                <c:pt idx="2827">
                  <c:v>22/09/2019</c:v>
                </c:pt>
                <c:pt idx="2828">
                  <c:v>29/09/2019</c:v>
                </c:pt>
                <c:pt idx="2829">
                  <c:v>29/09/2019</c:v>
                </c:pt>
                <c:pt idx="2830">
                  <c:v>29/09/2019</c:v>
                </c:pt>
                <c:pt idx="2831">
                  <c:v>29/09/2019</c:v>
                </c:pt>
                <c:pt idx="2832">
                  <c:v>29/09/2019</c:v>
                </c:pt>
                <c:pt idx="2833">
                  <c:v>29/09/2019</c:v>
                </c:pt>
                <c:pt idx="2834">
                  <c:v>29/09/2019</c:v>
                </c:pt>
                <c:pt idx="2835">
                  <c:v>06/10/2019</c:v>
                </c:pt>
                <c:pt idx="2836">
                  <c:v>06/10/2019</c:v>
                </c:pt>
                <c:pt idx="2837">
                  <c:v>06/10/2019</c:v>
                </c:pt>
                <c:pt idx="2838">
                  <c:v>06/10/2019</c:v>
                </c:pt>
                <c:pt idx="2839">
                  <c:v>06/10/2019</c:v>
                </c:pt>
                <c:pt idx="2840">
                  <c:v>06/10/2019</c:v>
                </c:pt>
                <c:pt idx="2841">
                  <c:v>06/10/2019</c:v>
                </c:pt>
                <c:pt idx="2842">
                  <c:v>13/10/2019</c:v>
                </c:pt>
                <c:pt idx="2843">
                  <c:v>13/10/2019</c:v>
                </c:pt>
                <c:pt idx="2844">
                  <c:v>13/10/2019</c:v>
                </c:pt>
                <c:pt idx="2845">
                  <c:v>13/10/2019</c:v>
                </c:pt>
                <c:pt idx="2846">
                  <c:v>13/10/2019</c:v>
                </c:pt>
                <c:pt idx="2847">
                  <c:v>13/10/2019</c:v>
                </c:pt>
                <c:pt idx="2848">
                  <c:v>13/10/2019</c:v>
                </c:pt>
                <c:pt idx="2849">
                  <c:v>20/10/2019</c:v>
                </c:pt>
                <c:pt idx="2850">
                  <c:v>20/10/2019</c:v>
                </c:pt>
                <c:pt idx="2851">
                  <c:v>20/10/2019</c:v>
                </c:pt>
                <c:pt idx="2852">
                  <c:v>20/10/2019</c:v>
                </c:pt>
                <c:pt idx="2853">
                  <c:v>20/10/2019</c:v>
                </c:pt>
                <c:pt idx="2854">
                  <c:v>20/10/2019</c:v>
                </c:pt>
                <c:pt idx="2855">
                  <c:v>20/10/2019</c:v>
                </c:pt>
                <c:pt idx="2856">
                  <c:v>27/10/2019</c:v>
                </c:pt>
                <c:pt idx="2857">
                  <c:v>27/10/2019</c:v>
                </c:pt>
                <c:pt idx="2858">
                  <c:v>27/10/2019</c:v>
                </c:pt>
                <c:pt idx="2859">
                  <c:v>27/10/2019</c:v>
                </c:pt>
                <c:pt idx="2860">
                  <c:v>27/10/2019</c:v>
                </c:pt>
                <c:pt idx="2861">
                  <c:v>27/10/2019</c:v>
                </c:pt>
                <c:pt idx="2862">
                  <c:v>27/10/2019</c:v>
                </c:pt>
                <c:pt idx="2863">
                  <c:v>03/11/2019</c:v>
                </c:pt>
                <c:pt idx="2864">
                  <c:v>03/11/2019</c:v>
                </c:pt>
                <c:pt idx="2865">
                  <c:v>03/11/2019</c:v>
                </c:pt>
                <c:pt idx="2866">
                  <c:v>03/11/2019</c:v>
                </c:pt>
                <c:pt idx="2867">
                  <c:v>03/11/2019</c:v>
                </c:pt>
                <c:pt idx="2868">
                  <c:v>03/11/2019</c:v>
                </c:pt>
                <c:pt idx="2869">
                  <c:v>03/11/2019</c:v>
                </c:pt>
                <c:pt idx="2870">
                  <c:v>10/11/2019</c:v>
                </c:pt>
                <c:pt idx="2871">
                  <c:v>10/11/2019</c:v>
                </c:pt>
                <c:pt idx="2872">
                  <c:v>10/11/2019</c:v>
                </c:pt>
                <c:pt idx="2873">
                  <c:v>10/11/2019</c:v>
                </c:pt>
                <c:pt idx="2874">
                  <c:v>10/11/2019</c:v>
                </c:pt>
                <c:pt idx="2875">
                  <c:v>10/11/2019</c:v>
                </c:pt>
                <c:pt idx="2876">
                  <c:v>10/11/2019</c:v>
                </c:pt>
                <c:pt idx="2877">
                  <c:v>17/11/2019</c:v>
                </c:pt>
                <c:pt idx="2878">
                  <c:v>17/11/2019</c:v>
                </c:pt>
                <c:pt idx="2879">
                  <c:v>17/11/2019</c:v>
                </c:pt>
                <c:pt idx="2880">
                  <c:v>17/11/2019</c:v>
                </c:pt>
                <c:pt idx="2881">
                  <c:v>17/11/2019</c:v>
                </c:pt>
                <c:pt idx="2882">
                  <c:v>17/11/2019</c:v>
                </c:pt>
                <c:pt idx="2883">
                  <c:v>17/11/2019</c:v>
                </c:pt>
                <c:pt idx="2884">
                  <c:v>24/11/2019</c:v>
                </c:pt>
                <c:pt idx="2885">
                  <c:v>24/11/2019</c:v>
                </c:pt>
                <c:pt idx="2886">
                  <c:v>24/11/2019</c:v>
                </c:pt>
                <c:pt idx="2887">
                  <c:v>24/11/2019</c:v>
                </c:pt>
                <c:pt idx="2888">
                  <c:v>24/11/2019</c:v>
                </c:pt>
                <c:pt idx="2889">
                  <c:v>24/11/2019</c:v>
                </c:pt>
                <c:pt idx="2890">
                  <c:v>24/11/2019</c:v>
                </c:pt>
                <c:pt idx="2891">
                  <c:v>01/12/2019</c:v>
                </c:pt>
                <c:pt idx="2892">
                  <c:v>01/12/2019</c:v>
                </c:pt>
                <c:pt idx="2893">
                  <c:v>01/12/2019</c:v>
                </c:pt>
                <c:pt idx="2894">
                  <c:v>01/12/2019</c:v>
                </c:pt>
                <c:pt idx="2895">
                  <c:v>01/12/2019</c:v>
                </c:pt>
                <c:pt idx="2896">
                  <c:v>01/12/2019</c:v>
                </c:pt>
                <c:pt idx="2897">
                  <c:v>01/12/2019</c:v>
                </c:pt>
                <c:pt idx="2898">
                  <c:v>08/12/2019</c:v>
                </c:pt>
                <c:pt idx="2899">
                  <c:v>08/12/2019</c:v>
                </c:pt>
                <c:pt idx="2900">
                  <c:v>08/12/2019</c:v>
                </c:pt>
                <c:pt idx="2901">
                  <c:v>08/12/2019</c:v>
                </c:pt>
                <c:pt idx="2902">
                  <c:v>08/12/2019</c:v>
                </c:pt>
                <c:pt idx="2903">
                  <c:v>08/12/2019</c:v>
                </c:pt>
                <c:pt idx="2904">
                  <c:v>08/12/2019</c:v>
                </c:pt>
                <c:pt idx="2905">
                  <c:v>15/12/2019</c:v>
                </c:pt>
                <c:pt idx="2906">
                  <c:v>15/12/2019</c:v>
                </c:pt>
                <c:pt idx="2907">
                  <c:v>15/12/2019</c:v>
                </c:pt>
                <c:pt idx="2908">
                  <c:v>15/12/2019</c:v>
                </c:pt>
                <c:pt idx="2909">
                  <c:v>15/12/2019</c:v>
                </c:pt>
                <c:pt idx="2910">
                  <c:v>15/12/2019</c:v>
                </c:pt>
                <c:pt idx="2911">
                  <c:v>15/12/2019</c:v>
                </c:pt>
                <c:pt idx="2912">
                  <c:v>22/12/2019</c:v>
                </c:pt>
                <c:pt idx="2913">
                  <c:v>22/12/2019</c:v>
                </c:pt>
                <c:pt idx="2914">
                  <c:v>22/12/2019</c:v>
                </c:pt>
                <c:pt idx="2915">
                  <c:v>22/12/2019</c:v>
                </c:pt>
                <c:pt idx="2916">
                  <c:v>22/12/2019</c:v>
                </c:pt>
                <c:pt idx="2917">
                  <c:v>22/12/2019</c:v>
                </c:pt>
                <c:pt idx="2918">
                  <c:v>22/12/2019</c:v>
                </c:pt>
                <c:pt idx="2919">
                  <c:v>29/12/2019</c:v>
                </c:pt>
                <c:pt idx="2920">
                  <c:v>29/12/2019</c:v>
                </c:pt>
                <c:pt idx="2921">
                  <c:v>29/12/2019</c:v>
                </c:pt>
                <c:pt idx="2922">
                  <c:v>29/12/2019</c:v>
                </c:pt>
                <c:pt idx="2923">
                  <c:v>29/12/2019</c:v>
                </c:pt>
                <c:pt idx="2924">
                  <c:v>29/12/2019</c:v>
                </c:pt>
                <c:pt idx="2925">
                  <c:v>29/12/2019</c:v>
                </c:pt>
                <c:pt idx="2926">
                  <c:v>05/01/2020</c:v>
                </c:pt>
                <c:pt idx="2927">
                  <c:v>05/01/2020</c:v>
                </c:pt>
                <c:pt idx="2928">
                  <c:v>05/01/2020</c:v>
                </c:pt>
                <c:pt idx="2929">
                  <c:v>05/01/2020</c:v>
                </c:pt>
                <c:pt idx="2930">
                  <c:v>05/01/2020</c:v>
                </c:pt>
                <c:pt idx="2931">
                  <c:v>05/01/2020</c:v>
                </c:pt>
                <c:pt idx="2932">
                  <c:v>05/01/2020</c:v>
                </c:pt>
                <c:pt idx="2933">
                  <c:v>12/01/2020</c:v>
                </c:pt>
                <c:pt idx="2934">
                  <c:v>12/01/2020</c:v>
                </c:pt>
                <c:pt idx="2935">
                  <c:v>12/01/2020</c:v>
                </c:pt>
                <c:pt idx="2936">
                  <c:v>12/01/2020</c:v>
                </c:pt>
                <c:pt idx="2937">
                  <c:v>12/01/2020</c:v>
                </c:pt>
                <c:pt idx="2938">
                  <c:v>12/01/2020</c:v>
                </c:pt>
                <c:pt idx="2939">
                  <c:v>12/01/2020</c:v>
                </c:pt>
                <c:pt idx="2940">
                  <c:v>19/01/2020</c:v>
                </c:pt>
                <c:pt idx="2941">
                  <c:v>19/01/2020</c:v>
                </c:pt>
                <c:pt idx="2942">
                  <c:v>19/01/2020</c:v>
                </c:pt>
                <c:pt idx="2943">
                  <c:v>19/01/2020</c:v>
                </c:pt>
                <c:pt idx="2944">
                  <c:v>19/01/2020</c:v>
                </c:pt>
                <c:pt idx="2945">
                  <c:v>19/01/2020</c:v>
                </c:pt>
                <c:pt idx="2946">
                  <c:v>19/01/2020</c:v>
                </c:pt>
                <c:pt idx="2947">
                  <c:v>26/01/2020</c:v>
                </c:pt>
                <c:pt idx="2948">
                  <c:v>26/01/2020</c:v>
                </c:pt>
                <c:pt idx="2949">
                  <c:v>26/01/2020</c:v>
                </c:pt>
                <c:pt idx="2950">
                  <c:v>26/01/2020</c:v>
                </c:pt>
                <c:pt idx="2951">
                  <c:v>26/01/2020</c:v>
                </c:pt>
                <c:pt idx="2952">
                  <c:v>26/01/2020</c:v>
                </c:pt>
                <c:pt idx="2953">
                  <c:v>26/01/2020</c:v>
                </c:pt>
                <c:pt idx="2954">
                  <c:v>02/02/2020</c:v>
                </c:pt>
                <c:pt idx="2955">
                  <c:v>02/02/2020</c:v>
                </c:pt>
                <c:pt idx="2956">
                  <c:v>02/02/2020</c:v>
                </c:pt>
                <c:pt idx="2957">
                  <c:v>02/02/2020</c:v>
                </c:pt>
                <c:pt idx="2958">
                  <c:v>02/02/2020</c:v>
                </c:pt>
                <c:pt idx="2959">
                  <c:v>02/02/2020</c:v>
                </c:pt>
                <c:pt idx="2960">
                  <c:v>02/02/2020</c:v>
                </c:pt>
                <c:pt idx="2961">
                  <c:v>09/02/2020</c:v>
                </c:pt>
                <c:pt idx="2962">
                  <c:v>09/02/2020</c:v>
                </c:pt>
                <c:pt idx="2963">
                  <c:v>09/02/2020</c:v>
                </c:pt>
                <c:pt idx="2964">
                  <c:v>09/02/2020</c:v>
                </c:pt>
                <c:pt idx="2965">
                  <c:v>09/02/2020</c:v>
                </c:pt>
                <c:pt idx="2966">
                  <c:v>09/02/2020</c:v>
                </c:pt>
                <c:pt idx="2967">
                  <c:v>09/02/2020</c:v>
                </c:pt>
                <c:pt idx="2968">
                  <c:v>16/02/2020</c:v>
                </c:pt>
                <c:pt idx="2969">
                  <c:v>16/02/2020</c:v>
                </c:pt>
                <c:pt idx="2970">
                  <c:v>16/02/2020</c:v>
                </c:pt>
                <c:pt idx="2971">
                  <c:v>16/02/2020</c:v>
                </c:pt>
                <c:pt idx="2972">
                  <c:v>16/02/2020</c:v>
                </c:pt>
                <c:pt idx="2973">
                  <c:v>16/02/2020</c:v>
                </c:pt>
                <c:pt idx="2974">
                  <c:v>16/02/2020</c:v>
                </c:pt>
                <c:pt idx="2975">
                  <c:v>23/02/2020</c:v>
                </c:pt>
                <c:pt idx="2976">
                  <c:v>23/02/2020</c:v>
                </c:pt>
                <c:pt idx="2977">
                  <c:v>23/02/2020</c:v>
                </c:pt>
                <c:pt idx="2978">
                  <c:v>23/02/2020</c:v>
                </c:pt>
                <c:pt idx="2979">
                  <c:v>23/02/2020</c:v>
                </c:pt>
                <c:pt idx="2980">
                  <c:v>23/02/2020</c:v>
                </c:pt>
                <c:pt idx="2981">
                  <c:v>23/02/2020</c:v>
                </c:pt>
                <c:pt idx="2982">
                  <c:v>01/03/2020</c:v>
                </c:pt>
                <c:pt idx="2983">
                  <c:v>01/03/2020</c:v>
                </c:pt>
                <c:pt idx="2984">
                  <c:v>01/03/2020</c:v>
                </c:pt>
                <c:pt idx="2985">
                  <c:v>01/03/2020</c:v>
                </c:pt>
                <c:pt idx="2986">
                  <c:v>01/03/2020</c:v>
                </c:pt>
                <c:pt idx="2987">
                  <c:v>01/03/2020</c:v>
                </c:pt>
                <c:pt idx="2988">
                  <c:v>01/03/2020</c:v>
                </c:pt>
                <c:pt idx="2989">
                  <c:v>08/03/2020</c:v>
                </c:pt>
                <c:pt idx="2990">
                  <c:v>08/03/2020</c:v>
                </c:pt>
                <c:pt idx="2991">
                  <c:v>08/03/2020</c:v>
                </c:pt>
                <c:pt idx="2992">
                  <c:v>08/03/2020</c:v>
                </c:pt>
                <c:pt idx="2993">
                  <c:v>08/03/2020</c:v>
                </c:pt>
                <c:pt idx="2994">
                  <c:v>08/03/2020</c:v>
                </c:pt>
                <c:pt idx="2995">
                  <c:v>08/03/2020</c:v>
                </c:pt>
                <c:pt idx="2996">
                  <c:v>15/03/2020</c:v>
                </c:pt>
                <c:pt idx="2997">
                  <c:v>15/03/2020</c:v>
                </c:pt>
                <c:pt idx="2998">
                  <c:v>15/03/2020</c:v>
                </c:pt>
                <c:pt idx="2999">
                  <c:v>15/03/2020</c:v>
                </c:pt>
                <c:pt idx="3000">
                  <c:v>15/03/2020</c:v>
                </c:pt>
                <c:pt idx="3001">
                  <c:v>15/03/2020</c:v>
                </c:pt>
                <c:pt idx="3002">
                  <c:v>15/03/2020</c:v>
                </c:pt>
                <c:pt idx="3003">
                  <c:v>22/03/2020</c:v>
                </c:pt>
                <c:pt idx="3004">
                  <c:v>22/03/2020</c:v>
                </c:pt>
                <c:pt idx="3005">
                  <c:v>22/03/2020</c:v>
                </c:pt>
                <c:pt idx="3006">
                  <c:v>22/03/2020</c:v>
                </c:pt>
                <c:pt idx="3007">
                  <c:v>22/03/2020</c:v>
                </c:pt>
                <c:pt idx="3008">
                  <c:v>22/03/2020</c:v>
                </c:pt>
                <c:pt idx="3009">
                  <c:v>22/03/2020</c:v>
                </c:pt>
                <c:pt idx="3010">
                  <c:v>29/03/2020</c:v>
                </c:pt>
                <c:pt idx="3011">
                  <c:v>29/03/2020</c:v>
                </c:pt>
                <c:pt idx="3012">
                  <c:v>29/03/2020</c:v>
                </c:pt>
                <c:pt idx="3013">
                  <c:v>29/03/2020</c:v>
                </c:pt>
                <c:pt idx="3014">
                  <c:v>29/03/2020</c:v>
                </c:pt>
                <c:pt idx="3015">
                  <c:v>29/03/2020</c:v>
                </c:pt>
                <c:pt idx="3016">
                  <c:v>29/03/2020</c:v>
                </c:pt>
                <c:pt idx="3017">
                  <c:v>05/04/2020</c:v>
                </c:pt>
                <c:pt idx="3018">
                  <c:v>05/04/2020</c:v>
                </c:pt>
                <c:pt idx="3019">
                  <c:v>05/04/2020</c:v>
                </c:pt>
                <c:pt idx="3020">
                  <c:v>05/04/2020</c:v>
                </c:pt>
                <c:pt idx="3021">
                  <c:v>05/04/2020</c:v>
                </c:pt>
                <c:pt idx="3022">
                  <c:v>05/04/2020</c:v>
                </c:pt>
                <c:pt idx="3023">
                  <c:v>05/04/2020</c:v>
                </c:pt>
                <c:pt idx="3024">
                  <c:v>12/04/2020</c:v>
                </c:pt>
                <c:pt idx="3025">
                  <c:v>12/04/2020</c:v>
                </c:pt>
                <c:pt idx="3026">
                  <c:v>12/04/2020</c:v>
                </c:pt>
                <c:pt idx="3027">
                  <c:v>12/04/2020</c:v>
                </c:pt>
                <c:pt idx="3028">
                  <c:v>12/04/2020</c:v>
                </c:pt>
                <c:pt idx="3029">
                  <c:v>12/04/2020</c:v>
                </c:pt>
                <c:pt idx="3030">
                  <c:v>12/04/2020</c:v>
                </c:pt>
                <c:pt idx="3031">
                  <c:v>19/04/2020</c:v>
                </c:pt>
                <c:pt idx="3032">
                  <c:v>19/04/2020</c:v>
                </c:pt>
                <c:pt idx="3033">
                  <c:v>19/04/2020</c:v>
                </c:pt>
                <c:pt idx="3034">
                  <c:v>19/04/2020</c:v>
                </c:pt>
                <c:pt idx="3035">
                  <c:v>19/04/2020</c:v>
                </c:pt>
                <c:pt idx="3036">
                  <c:v>19/04/2020</c:v>
                </c:pt>
                <c:pt idx="3037">
                  <c:v>19/04/2020</c:v>
                </c:pt>
                <c:pt idx="3038">
                  <c:v>26/04/2020</c:v>
                </c:pt>
                <c:pt idx="3039">
                  <c:v>26/04/2020</c:v>
                </c:pt>
                <c:pt idx="3040">
                  <c:v>26/04/2020</c:v>
                </c:pt>
                <c:pt idx="3041">
                  <c:v>26/04/2020</c:v>
                </c:pt>
                <c:pt idx="3042">
                  <c:v>26/04/2020</c:v>
                </c:pt>
                <c:pt idx="3043">
                  <c:v>26/04/2020</c:v>
                </c:pt>
                <c:pt idx="3044">
                  <c:v>26/04/2020</c:v>
                </c:pt>
                <c:pt idx="3045">
                  <c:v>03/05/2020</c:v>
                </c:pt>
                <c:pt idx="3046">
                  <c:v>03/05/2020</c:v>
                </c:pt>
                <c:pt idx="3047">
                  <c:v>03/05/2020</c:v>
                </c:pt>
                <c:pt idx="3048">
                  <c:v>03/05/2020</c:v>
                </c:pt>
                <c:pt idx="3049">
                  <c:v>03/05/2020</c:v>
                </c:pt>
                <c:pt idx="3050">
                  <c:v>03/05/2020</c:v>
                </c:pt>
                <c:pt idx="3051">
                  <c:v>03/05/2020</c:v>
                </c:pt>
                <c:pt idx="3052">
                  <c:v>10/05/2020</c:v>
                </c:pt>
                <c:pt idx="3053">
                  <c:v>10/05/2020</c:v>
                </c:pt>
                <c:pt idx="3054">
                  <c:v>10/05/2020</c:v>
                </c:pt>
                <c:pt idx="3055">
                  <c:v>10/05/2020</c:v>
                </c:pt>
                <c:pt idx="3056">
                  <c:v>10/05/2020</c:v>
                </c:pt>
                <c:pt idx="3057">
                  <c:v>10/05/2020</c:v>
                </c:pt>
                <c:pt idx="3058">
                  <c:v>10/05/2020</c:v>
                </c:pt>
                <c:pt idx="3059">
                  <c:v>17/05/2020</c:v>
                </c:pt>
                <c:pt idx="3060">
                  <c:v>17/05/2020</c:v>
                </c:pt>
                <c:pt idx="3061">
                  <c:v>17/05/2020</c:v>
                </c:pt>
                <c:pt idx="3062">
                  <c:v>17/05/2020</c:v>
                </c:pt>
                <c:pt idx="3063">
                  <c:v>17/05/2020</c:v>
                </c:pt>
                <c:pt idx="3064">
                  <c:v>17/05/2020</c:v>
                </c:pt>
                <c:pt idx="3065">
                  <c:v>17/05/2020</c:v>
                </c:pt>
                <c:pt idx="3066">
                  <c:v>24/05/2020</c:v>
                </c:pt>
                <c:pt idx="3067">
                  <c:v>24/05/2020</c:v>
                </c:pt>
                <c:pt idx="3068">
                  <c:v>24/05/2020</c:v>
                </c:pt>
                <c:pt idx="3069">
                  <c:v>24/05/2020</c:v>
                </c:pt>
                <c:pt idx="3070">
                  <c:v>24/05/2020</c:v>
                </c:pt>
                <c:pt idx="3071">
                  <c:v>24/05/2020</c:v>
                </c:pt>
                <c:pt idx="3072">
                  <c:v>24/05/2020</c:v>
                </c:pt>
                <c:pt idx="3073">
                  <c:v>31/05/2020</c:v>
                </c:pt>
                <c:pt idx="3074">
                  <c:v>31/05/2020</c:v>
                </c:pt>
                <c:pt idx="3075">
                  <c:v>31/05/2020</c:v>
                </c:pt>
                <c:pt idx="3076">
                  <c:v>31/05/2020</c:v>
                </c:pt>
                <c:pt idx="3077">
                  <c:v>31/05/2020</c:v>
                </c:pt>
                <c:pt idx="3078">
                  <c:v>31/05/2020</c:v>
                </c:pt>
                <c:pt idx="3079">
                  <c:v>31/05/2020</c:v>
                </c:pt>
                <c:pt idx="3080">
                  <c:v>07/06/2020</c:v>
                </c:pt>
                <c:pt idx="3081">
                  <c:v>07/06/2020</c:v>
                </c:pt>
                <c:pt idx="3082">
                  <c:v>07/06/2020</c:v>
                </c:pt>
                <c:pt idx="3083">
                  <c:v>07/06/2020</c:v>
                </c:pt>
                <c:pt idx="3084">
                  <c:v>07/06/2020</c:v>
                </c:pt>
                <c:pt idx="3085">
                  <c:v>07/06/2020</c:v>
                </c:pt>
                <c:pt idx="3086">
                  <c:v>07/06/2020</c:v>
                </c:pt>
                <c:pt idx="3087">
                  <c:v>14/06/2020</c:v>
                </c:pt>
                <c:pt idx="3088">
                  <c:v>14/06/2020</c:v>
                </c:pt>
                <c:pt idx="3089">
                  <c:v>14/06/2020</c:v>
                </c:pt>
                <c:pt idx="3090">
                  <c:v>14/06/2020</c:v>
                </c:pt>
                <c:pt idx="3091">
                  <c:v>14/06/2020</c:v>
                </c:pt>
                <c:pt idx="3092">
                  <c:v>14/06/2020</c:v>
                </c:pt>
                <c:pt idx="3093">
                  <c:v>14/06/2020</c:v>
                </c:pt>
                <c:pt idx="3094">
                  <c:v>21/06/2020</c:v>
                </c:pt>
                <c:pt idx="3095">
                  <c:v>21/06/2020</c:v>
                </c:pt>
                <c:pt idx="3096">
                  <c:v>21/06/2020</c:v>
                </c:pt>
                <c:pt idx="3097">
                  <c:v>21/06/2020</c:v>
                </c:pt>
                <c:pt idx="3098">
                  <c:v>21/06/2020</c:v>
                </c:pt>
                <c:pt idx="3099">
                  <c:v>21/06/2020</c:v>
                </c:pt>
                <c:pt idx="3100">
                  <c:v>21/06/2020</c:v>
                </c:pt>
                <c:pt idx="3101">
                  <c:v>28/06/2020</c:v>
                </c:pt>
                <c:pt idx="3102">
                  <c:v>28/06/2020</c:v>
                </c:pt>
                <c:pt idx="3103">
                  <c:v>28/06/2020</c:v>
                </c:pt>
                <c:pt idx="3104">
                  <c:v>28/06/2020</c:v>
                </c:pt>
                <c:pt idx="3105">
                  <c:v>28/06/2020</c:v>
                </c:pt>
                <c:pt idx="3106">
                  <c:v>28/06/2020</c:v>
                </c:pt>
                <c:pt idx="3107">
                  <c:v>28/06/2020</c:v>
                </c:pt>
                <c:pt idx="3108">
                  <c:v>05/07/2020</c:v>
                </c:pt>
                <c:pt idx="3109">
                  <c:v>05/07/2020</c:v>
                </c:pt>
                <c:pt idx="3110">
                  <c:v>05/07/2020</c:v>
                </c:pt>
                <c:pt idx="3111">
                  <c:v>05/07/2020</c:v>
                </c:pt>
                <c:pt idx="3112">
                  <c:v>05/07/2020</c:v>
                </c:pt>
                <c:pt idx="3113">
                  <c:v>05/07/2020</c:v>
                </c:pt>
                <c:pt idx="3114">
                  <c:v>05/07/2020</c:v>
                </c:pt>
                <c:pt idx="3115">
                  <c:v>12/07/2020</c:v>
                </c:pt>
                <c:pt idx="3116">
                  <c:v>12/07/2020</c:v>
                </c:pt>
                <c:pt idx="3117">
                  <c:v>12/07/2020</c:v>
                </c:pt>
                <c:pt idx="3118">
                  <c:v>12/07/2020</c:v>
                </c:pt>
                <c:pt idx="3119">
                  <c:v>12/07/2020</c:v>
                </c:pt>
                <c:pt idx="3120">
                  <c:v>12/07/2020</c:v>
                </c:pt>
                <c:pt idx="3121">
                  <c:v>12/07/2020</c:v>
                </c:pt>
                <c:pt idx="3122">
                  <c:v>19/07/2020</c:v>
                </c:pt>
                <c:pt idx="3123">
                  <c:v>19/07/2020</c:v>
                </c:pt>
                <c:pt idx="3124">
                  <c:v>19/07/2020</c:v>
                </c:pt>
                <c:pt idx="3125">
                  <c:v>19/07/2020</c:v>
                </c:pt>
                <c:pt idx="3126">
                  <c:v>19/07/2020</c:v>
                </c:pt>
                <c:pt idx="3127">
                  <c:v>19/07/2020</c:v>
                </c:pt>
                <c:pt idx="3128">
                  <c:v>19/07/2020</c:v>
                </c:pt>
                <c:pt idx="3129">
                  <c:v>26/07/2020</c:v>
                </c:pt>
                <c:pt idx="3130">
                  <c:v>26/07/2020</c:v>
                </c:pt>
                <c:pt idx="3131">
                  <c:v>26/07/2020</c:v>
                </c:pt>
                <c:pt idx="3132">
                  <c:v>26/07/2020</c:v>
                </c:pt>
                <c:pt idx="3133">
                  <c:v>26/07/2020</c:v>
                </c:pt>
                <c:pt idx="3134">
                  <c:v>26/07/2020</c:v>
                </c:pt>
                <c:pt idx="3135">
                  <c:v>26/07/2020</c:v>
                </c:pt>
                <c:pt idx="3136">
                  <c:v>02/08/2020</c:v>
                </c:pt>
                <c:pt idx="3137">
                  <c:v>02/08/2020</c:v>
                </c:pt>
                <c:pt idx="3138">
                  <c:v>02/08/2020</c:v>
                </c:pt>
                <c:pt idx="3139">
                  <c:v>02/08/2020</c:v>
                </c:pt>
                <c:pt idx="3140">
                  <c:v>02/08/2020</c:v>
                </c:pt>
                <c:pt idx="3141">
                  <c:v>02/08/2020</c:v>
                </c:pt>
                <c:pt idx="3142">
                  <c:v>02/08/2020</c:v>
                </c:pt>
                <c:pt idx="3143">
                  <c:v>09/08/2020</c:v>
                </c:pt>
                <c:pt idx="3144">
                  <c:v>09/08/2020</c:v>
                </c:pt>
                <c:pt idx="3145">
                  <c:v>09/08/2020</c:v>
                </c:pt>
                <c:pt idx="3146">
                  <c:v>09/08/2020</c:v>
                </c:pt>
                <c:pt idx="3147">
                  <c:v>09/08/2020</c:v>
                </c:pt>
                <c:pt idx="3148">
                  <c:v>09/08/2020</c:v>
                </c:pt>
                <c:pt idx="3149">
                  <c:v>09/08/2020</c:v>
                </c:pt>
                <c:pt idx="3150">
                  <c:v>16/08/2020</c:v>
                </c:pt>
                <c:pt idx="3151">
                  <c:v>16/08/2020</c:v>
                </c:pt>
                <c:pt idx="3152">
                  <c:v>16/08/2020</c:v>
                </c:pt>
                <c:pt idx="3153">
                  <c:v>16/08/2020</c:v>
                </c:pt>
                <c:pt idx="3154">
                  <c:v>16/08/2020</c:v>
                </c:pt>
                <c:pt idx="3155">
                  <c:v>16/08/2020</c:v>
                </c:pt>
                <c:pt idx="3156">
                  <c:v>16/08/2020</c:v>
                </c:pt>
                <c:pt idx="3157">
                  <c:v>23/08/2020</c:v>
                </c:pt>
                <c:pt idx="3158">
                  <c:v>23/08/2020</c:v>
                </c:pt>
                <c:pt idx="3159">
                  <c:v>23/08/2020</c:v>
                </c:pt>
                <c:pt idx="3160">
                  <c:v>23/08/2020</c:v>
                </c:pt>
                <c:pt idx="3161">
                  <c:v>23/08/2020</c:v>
                </c:pt>
                <c:pt idx="3162">
                  <c:v>23/08/2020</c:v>
                </c:pt>
                <c:pt idx="3163">
                  <c:v>23/08/2020</c:v>
                </c:pt>
                <c:pt idx="3164">
                  <c:v>30/08/2020</c:v>
                </c:pt>
                <c:pt idx="3165">
                  <c:v>30/08/2020</c:v>
                </c:pt>
                <c:pt idx="3166">
                  <c:v>30/08/2020</c:v>
                </c:pt>
                <c:pt idx="3167">
                  <c:v>30/08/2020</c:v>
                </c:pt>
                <c:pt idx="3168">
                  <c:v>30/08/2020</c:v>
                </c:pt>
                <c:pt idx="3169">
                  <c:v>30/08/2020</c:v>
                </c:pt>
                <c:pt idx="3170">
                  <c:v>30/08/2020</c:v>
                </c:pt>
                <c:pt idx="3171">
                  <c:v>06/09/2020</c:v>
                </c:pt>
                <c:pt idx="3172">
                  <c:v>06/09/2020</c:v>
                </c:pt>
                <c:pt idx="3173">
                  <c:v>06/09/2020</c:v>
                </c:pt>
                <c:pt idx="3174">
                  <c:v>06/09/2020</c:v>
                </c:pt>
                <c:pt idx="3175">
                  <c:v>06/09/2020</c:v>
                </c:pt>
                <c:pt idx="3176">
                  <c:v>06/09/2020</c:v>
                </c:pt>
                <c:pt idx="3177">
                  <c:v>06/09/2020</c:v>
                </c:pt>
                <c:pt idx="3178">
                  <c:v>13/09/2020</c:v>
                </c:pt>
                <c:pt idx="3179">
                  <c:v>13/09/2020</c:v>
                </c:pt>
                <c:pt idx="3180">
                  <c:v>13/09/2020</c:v>
                </c:pt>
                <c:pt idx="3181">
                  <c:v>13/09/2020</c:v>
                </c:pt>
                <c:pt idx="3182">
                  <c:v>13/09/2020</c:v>
                </c:pt>
                <c:pt idx="3183">
                  <c:v>13/09/2020</c:v>
                </c:pt>
                <c:pt idx="3184">
                  <c:v>13/09/2020</c:v>
                </c:pt>
                <c:pt idx="3185">
                  <c:v>20/09/2020</c:v>
                </c:pt>
                <c:pt idx="3186">
                  <c:v>20/09/2020</c:v>
                </c:pt>
                <c:pt idx="3187">
                  <c:v>20/09/2020</c:v>
                </c:pt>
                <c:pt idx="3188">
                  <c:v>20/09/2020</c:v>
                </c:pt>
                <c:pt idx="3189">
                  <c:v>20/09/2020</c:v>
                </c:pt>
                <c:pt idx="3190">
                  <c:v>20/09/2020</c:v>
                </c:pt>
                <c:pt idx="3191">
                  <c:v>20/09/2020</c:v>
                </c:pt>
                <c:pt idx="3192">
                  <c:v>27/09/2020</c:v>
                </c:pt>
                <c:pt idx="3193">
                  <c:v>27/09/2020</c:v>
                </c:pt>
                <c:pt idx="3194">
                  <c:v>27/09/2020</c:v>
                </c:pt>
                <c:pt idx="3195">
                  <c:v>27/09/2020</c:v>
                </c:pt>
                <c:pt idx="3196">
                  <c:v>27/09/2020</c:v>
                </c:pt>
                <c:pt idx="3197">
                  <c:v>27/09/2020</c:v>
                </c:pt>
                <c:pt idx="3198">
                  <c:v>27/09/2020</c:v>
                </c:pt>
                <c:pt idx="3199">
                  <c:v>04/10/2020</c:v>
                </c:pt>
                <c:pt idx="3200">
                  <c:v>04/10/2020</c:v>
                </c:pt>
                <c:pt idx="3201">
                  <c:v>04/10/2020</c:v>
                </c:pt>
                <c:pt idx="3202">
                  <c:v>04/10/2020</c:v>
                </c:pt>
                <c:pt idx="3203">
                  <c:v>04/10/2020</c:v>
                </c:pt>
                <c:pt idx="3204">
                  <c:v>04/10/2020</c:v>
                </c:pt>
                <c:pt idx="3205">
                  <c:v>04/10/2020</c:v>
                </c:pt>
                <c:pt idx="3206">
                  <c:v>11/10/2020</c:v>
                </c:pt>
                <c:pt idx="3207">
                  <c:v>11/10/2020</c:v>
                </c:pt>
                <c:pt idx="3208">
                  <c:v>11/10/2020</c:v>
                </c:pt>
                <c:pt idx="3209">
                  <c:v>11/10/2020</c:v>
                </c:pt>
                <c:pt idx="3210">
                  <c:v>11/10/2020</c:v>
                </c:pt>
                <c:pt idx="3211">
                  <c:v>11/10/2020</c:v>
                </c:pt>
                <c:pt idx="3212">
                  <c:v>11/10/2020</c:v>
                </c:pt>
                <c:pt idx="3213">
                  <c:v>18/10/2020</c:v>
                </c:pt>
                <c:pt idx="3214">
                  <c:v>18/10/2020</c:v>
                </c:pt>
                <c:pt idx="3215">
                  <c:v>18/10/2020</c:v>
                </c:pt>
                <c:pt idx="3216">
                  <c:v>18/10/2020</c:v>
                </c:pt>
                <c:pt idx="3217">
                  <c:v>18/10/2020</c:v>
                </c:pt>
                <c:pt idx="3218">
                  <c:v>18/10/2020</c:v>
                </c:pt>
                <c:pt idx="3219">
                  <c:v>18/10/2020</c:v>
                </c:pt>
                <c:pt idx="3220">
                  <c:v>25/10/2020</c:v>
                </c:pt>
                <c:pt idx="3221">
                  <c:v>25/10/2020</c:v>
                </c:pt>
                <c:pt idx="3222">
                  <c:v>25/10/2020</c:v>
                </c:pt>
                <c:pt idx="3223">
                  <c:v>25/10/2020</c:v>
                </c:pt>
                <c:pt idx="3224">
                  <c:v>25/10/2020</c:v>
                </c:pt>
                <c:pt idx="3225">
                  <c:v>25/10/2020</c:v>
                </c:pt>
                <c:pt idx="3226">
                  <c:v>25/10/2020</c:v>
                </c:pt>
                <c:pt idx="3227">
                  <c:v>01/11/2020</c:v>
                </c:pt>
                <c:pt idx="3228">
                  <c:v>01/11/2020</c:v>
                </c:pt>
                <c:pt idx="3229">
                  <c:v>01/11/2020</c:v>
                </c:pt>
                <c:pt idx="3230">
                  <c:v>01/11/2020</c:v>
                </c:pt>
                <c:pt idx="3231">
                  <c:v>01/11/2020</c:v>
                </c:pt>
                <c:pt idx="3232">
                  <c:v>01/11/2020</c:v>
                </c:pt>
                <c:pt idx="3233">
                  <c:v>01/11/2020</c:v>
                </c:pt>
                <c:pt idx="3234">
                  <c:v>08/11/2020</c:v>
                </c:pt>
                <c:pt idx="3235">
                  <c:v>08/11/2020</c:v>
                </c:pt>
                <c:pt idx="3236">
                  <c:v>08/11/2020</c:v>
                </c:pt>
                <c:pt idx="3237">
                  <c:v>08/11/2020</c:v>
                </c:pt>
                <c:pt idx="3238">
                  <c:v>08/11/2020</c:v>
                </c:pt>
                <c:pt idx="3239">
                  <c:v>08/11/2020</c:v>
                </c:pt>
                <c:pt idx="3240">
                  <c:v>08/11/2020</c:v>
                </c:pt>
                <c:pt idx="3241">
                  <c:v>15/11/2020</c:v>
                </c:pt>
                <c:pt idx="3242">
                  <c:v>15/11/2020</c:v>
                </c:pt>
                <c:pt idx="3243">
                  <c:v>15/11/2020</c:v>
                </c:pt>
                <c:pt idx="3244">
                  <c:v>15/11/2020</c:v>
                </c:pt>
                <c:pt idx="3245">
                  <c:v>15/11/2020</c:v>
                </c:pt>
                <c:pt idx="3246">
                  <c:v>15/11/2020</c:v>
                </c:pt>
                <c:pt idx="3247">
                  <c:v>15/11/2020</c:v>
                </c:pt>
                <c:pt idx="3248">
                  <c:v>22/11/2020</c:v>
                </c:pt>
                <c:pt idx="3249">
                  <c:v>22/11/2020</c:v>
                </c:pt>
                <c:pt idx="3250">
                  <c:v>22/11/2020</c:v>
                </c:pt>
                <c:pt idx="3251">
                  <c:v>22/11/2020</c:v>
                </c:pt>
                <c:pt idx="3252">
                  <c:v>22/11/2020</c:v>
                </c:pt>
                <c:pt idx="3253">
                  <c:v>22/11/2020</c:v>
                </c:pt>
                <c:pt idx="3254">
                  <c:v>22/11/2020</c:v>
                </c:pt>
                <c:pt idx="3255">
                  <c:v>29/11/2020</c:v>
                </c:pt>
                <c:pt idx="3256">
                  <c:v>29/11/2020</c:v>
                </c:pt>
                <c:pt idx="3257">
                  <c:v>29/11/2020</c:v>
                </c:pt>
                <c:pt idx="3258">
                  <c:v>29/11/2020</c:v>
                </c:pt>
                <c:pt idx="3259">
                  <c:v>29/11/2020</c:v>
                </c:pt>
                <c:pt idx="3260">
                  <c:v>29/11/2020</c:v>
                </c:pt>
                <c:pt idx="3261">
                  <c:v>29/11/2020</c:v>
                </c:pt>
                <c:pt idx="3262">
                  <c:v>06/12/2020</c:v>
                </c:pt>
                <c:pt idx="3263">
                  <c:v>06/12/2020</c:v>
                </c:pt>
                <c:pt idx="3264">
                  <c:v>06/12/2020</c:v>
                </c:pt>
                <c:pt idx="3265">
                  <c:v>06/12/2020</c:v>
                </c:pt>
                <c:pt idx="3266">
                  <c:v>06/12/2020</c:v>
                </c:pt>
                <c:pt idx="3267">
                  <c:v>06/12/2020</c:v>
                </c:pt>
                <c:pt idx="3268">
                  <c:v>06/12/2020</c:v>
                </c:pt>
                <c:pt idx="3269">
                  <c:v>13/12/2020</c:v>
                </c:pt>
                <c:pt idx="3270">
                  <c:v>13/12/2020</c:v>
                </c:pt>
                <c:pt idx="3271">
                  <c:v>13/12/2020</c:v>
                </c:pt>
                <c:pt idx="3272">
                  <c:v>13/12/2020</c:v>
                </c:pt>
                <c:pt idx="3273">
                  <c:v>13/12/2020</c:v>
                </c:pt>
                <c:pt idx="3274">
                  <c:v>13/12/2020</c:v>
                </c:pt>
                <c:pt idx="3275">
                  <c:v>13/12/2020</c:v>
                </c:pt>
                <c:pt idx="3276">
                  <c:v>20/12/2020</c:v>
                </c:pt>
                <c:pt idx="3277">
                  <c:v>20/12/2020</c:v>
                </c:pt>
                <c:pt idx="3278">
                  <c:v>20/12/2020</c:v>
                </c:pt>
                <c:pt idx="3279">
                  <c:v>20/12/2020</c:v>
                </c:pt>
                <c:pt idx="3280">
                  <c:v>20/12/2020</c:v>
                </c:pt>
                <c:pt idx="3281">
                  <c:v>20/12/2020</c:v>
                </c:pt>
                <c:pt idx="3282">
                  <c:v>20/12/2020</c:v>
                </c:pt>
                <c:pt idx="3283">
                  <c:v>27/12/2020</c:v>
                </c:pt>
                <c:pt idx="3284">
                  <c:v>27/12/2020</c:v>
                </c:pt>
                <c:pt idx="3285">
                  <c:v>27/12/2020</c:v>
                </c:pt>
                <c:pt idx="3286">
                  <c:v>27/12/2020</c:v>
                </c:pt>
                <c:pt idx="3287">
                  <c:v>27/12/2020</c:v>
                </c:pt>
                <c:pt idx="3288">
                  <c:v>27/12/2020</c:v>
                </c:pt>
                <c:pt idx="3289">
                  <c:v>27/12/2020</c:v>
                </c:pt>
                <c:pt idx="3290">
                  <c:v>03/01/2021</c:v>
                </c:pt>
                <c:pt idx="3291">
                  <c:v>03/01/2021</c:v>
                </c:pt>
                <c:pt idx="3292">
                  <c:v>03/01/2021</c:v>
                </c:pt>
                <c:pt idx="3293">
                  <c:v>03/01/2021</c:v>
                </c:pt>
                <c:pt idx="3294">
                  <c:v>03/01/2021</c:v>
                </c:pt>
                <c:pt idx="3295">
                  <c:v>03/01/2021</c:v>
                </c:pt>
                <c:pt idx="3296">
                  <c:v>03/01/2021</c:v>
                </c:pt>
                <c:pt idx="3297">
                  <c:v>10/01/2021</c:v>
                </c:pt>
                <c:pt idx="3298">
                  <c:v>10/01/2021</c:v>
                </c:pt>
                <c:pt idx="3299">
                  <c:v>10/01/2021</c:v>
                </c:pt>
                <c:pt idx="3300">
                  <c:v>10/01/2021</c:v>
                </c:pt>
                <c:pt idx="3301">
                  <c:v>10/01/2021</c:v>
                </c:pt>
                <c:pt idx="3302">
                  <c:v>10/01/2021</c:v>
                </c:pt>
                <c:pt idx="3303">
                  <c:v>10/01/2021</c:v>
                </c:pt>
                <c:pt idx="3304">
                  <c:v>17/01/2021</c:v>
                </c:pt>
                <c:pt idx="3305">
                  <c:v>17/01/2021</c:v>
                </c:pt>
                <c:pt idx="3306">
                  <c:v>17/01/2021</c:v>
                </c:pt>
                <c:pt idx="3307">
                  <c:v>17/01/2021</c:v>
                </c:pt>
                <c:pt idx="3308">
                  <c:v>17/01/2021</c:v>
                </c:pt>
                <c:pt idx="3309">
                  <c:v>17/01/2021</c:v>
                </c:pt>
                <c:pt idx="3310">
                  <c:v>17/01/2021</c:v>
                </c:pt>
                <c:pt idx="3311">
                  <c:v>24/01/2021</c:v>
                </c:pt>
                <c:pt idx="3312">
                  <c:v>24/01/2021</c:v>
                </c:pt>
                <c:pt idx="3313">
                  <c:v>24/01/2021</c:v>
                </c:pt>
                <c:pt idx="3314">
                  <c:v>24/01/2021</c:v>
                </c:pt>
                <c:pt idx="3315">
                  <c:v>24/01/2021</c:v>
                </c:pt>
                <c:pt idx="3316">
                  <c:v>24/01/2021</c:v>
                </c:pt>
                <c:pt idx="3317">
                  <c:v>24/01/2021</c:v>
                </c:pt>
                <c:pt idx="3318">
                  <c:v>31/01/2021</c:v>
                </c:pt>
                <c:pt idx="3319">
                  <c:v>31/01/2021</c:v>
                </c:pt>
                <c:pt idx="3320">
                  <c:v>31/01/2021</c:v>
                </c:pt>
                <c:pt idx="3321">
                  <c:v>31/01/2021</c:v>
                </c:pt>
                <c:pt idx="3322">
                  <c:v>31/01/2021</c:v>
                </c:pt>
                <c:pt idx="3323">
                  <c:v>31/01/2021</c:v>
                </c:pt>
                <c:pt idx="3324">
                  <c:v>31/01/2021</c:v>
                </c:pt>
                <c:pt idx="3325">
                  <c:v>07/02/2021</c:v>
                </c:pt>
                <c:pt idx="3326">
                  <c:v>07/02/2021</c:v>
                </c:pt>
                <c:pt idx="3327">
                  <c:v>07/02/2021</c:v>
                </c:pt>
                <c:pt idx="3328">
                  <c:v>07/02/2021</c:v>
                </c:pt>
                <c:pt idx="3329">
                  <c:v>07/02/2021</c:v>
                </c:pt>
                <c:pt idx="3330">
                  <c:v>07/02/2021</c:v>
                </c:pt>
                <c:pt idx="3331">
                  <c:v>07/02/2021</c:v>
                </c:pt>
                <c:pt idx="3332">
                  <c:v>14/02/2021</c:v>
                </c:pt>
                <c:pt idx="3333">
                  <c:v>14/02/2021</c:v>
                </c:pt>
                <c:pt idx="3334">
                  <c:v>14/02/2021</c:v>
                </c:pt>
                <c:pt idx="3335">
                  <c:v>14/02/2021</c:v>
                </c:pt>
                <c:pt idx="3336">
                  <c:v>14/02/2021</c:v>
                </c:pt>
                <c:pt idx="3337">
                  <c:v>14/02/2021</c:v>
                </c:pt>
                <c:pt idx="3338">
                  <c:v>14/02/2021</c:v>
                </c:pt>
                <c:pt idx="3339">
                  <c:v>21/02/2021</c:v>
                </c:pt>
                <c:pt idx="3340">
                  <c:v>21/02/2021</c:v>
                </c:pt>
                <c:pt idx="3341">
                  <c:v>21/02/2021</c:v>
                </c:pt>
                <c:pt idx="3342">
                  <c:v>21/02/2021</c:v>
                </c:pt>
                <c:pt idx="3343">
                  <c:v>21/02/2021</c:v>
                </c:pt>
                <c:pt idx="3344">
                  <c:v>21/02/2021</c:v>
                </c:pt>
                <c:pt idx="3345">
                  <c:v>21/02/2021</c:v>
                </c:pt>
                <c:pt idx="3346">
                  <c:v>28/02/2021</c:v>
                </c:pt>
                <c:pt idx="3347">
                  <c:v>28/02/2021</c:v>
                </c:pt>
                <c:pt idx="3348">
                  <c:v>28/02/2021</c:v>
                </c:pt>
                <c:pt idx="3349">
                  <c:v>28/02/2021</c:v>
                </c:pt>
                <c:pt idx="3350">
                  <c:v>28/02/2021</c:v>
                </c:pt>
                <c:pt idx="3351">
                  <c:v>28/02/2021</c:v>
                </c:pt>
                <c:pt idx="3352">
                  <c:v>28/02/2021</c:v>
                </c:pt>
                <c:pt idx="3353">
                  <c:v>07/03/2021</c:v>
                </c:pt>
                <c:pt idx="3354">
                  <c:v>07/03/2021</c:v>
                </c:pt>
                <c:pt idx="3355">
                  <c:v>07/03/2021</c:v>
                </c:pt>
                <c:pt idx="3356">
                  <c:v>07/03/2021</c:v>
                </c:pt>
                <c:pt idx="3357">
                  <c:v>07/03/2021</c:v>
                </c:pt>
                <c:pt idx="3358">
                  <c:v>07/03/2021</c:v>
                </c:pt>
                <c:pt idx="3359">
                  <c:v>07/03/2021</c:v>
                </c:pt>
                <c:pt idx="3360">
                  <c:v>14/03/2021</c:v>
                </c:pt>
                <c:pt idx="3361">
                  <c:v>14/03/2021</c:v>
                </c:pt>
                <c:pt idx="3362">
                  <c:v>14/03/2021</c:v>
                </c:pt>
                <c:pt idx="3363">
                  <c:v>14/03/2021</c:v>
                </c:pt>
                <c:pt idx="3364">
                  <c:v>14/03/2021</c:v>
                </c:pt>
                <c:pt idx="3365">
                  <c:v>14/03/2021</c:v>
                </c:pt>
                <c:pt idx="3366">
                  <c:v>14/03/2021</c:v>
                </c:pt>
                <c:pt idx="3367">
                  <c:v>21/03/2021</c:v>
                </c:pt>
                <c:pt idx="3368">
                  <c:v>21/03/2021</c:v>
                </c:pt>
                <c:pt idx="3369">
                  <c:v>21/03/2021</c:v>
                </c:pt>
                <c:pt idx="3370">
                  <c:v>21/03/2021</c:v>
                </c:pt>
                <c:pt idx="3371">
                  <c:v>21/03/2021</c:v>
                </c:pt>
                <c:pt idx="3372">
                  <c:v>21/03/2021</c:v>
                </c:pt>
                <c:pt idx="3373">
                  <c:v>21/03/2021</c:v>
                </c:pt>
                <c:pt idx="3374">
                  <c:v>28/03/2021</c:v>
                </c:pt>
                <c:pt idx="3375">
                  <c:v>28/03/2021</c:v>
                </c:pt>
                <c:pt idx="3376">
                  <c:v>28/03/2021</c:v>
                </c:pt>
                <c:pt idx="3377">
                  <c:v>28/03/2021</c:v>
                </c:pt>
                <c:pt idx="3378">
                  <c:v>28/03/2021</c:v>
                </c:pt>
                <c:pt idx="3379">
                  <c:v>28/03/2021</c:v>
                </c:pt>
                <c:pt idx="3380">
                  <c:v>28/03/2021</c:v>
                </c:pt>
                <c:pt idx="3381">
                  <c:v>04/04/2021</c:v>
                </c:pt>
                <c:pt idx="3382">
                  <c:v>04/04/2021</c:v>
                </c:pt>
                <c:pt idx="3383">
                  <c:v>04/04/2021</c:v>
                </c:pt>
                <c:pt idx="3384">
                  <c:v>04/04/2021</c:v>
                </c:pt>
                <c:pt idx="3385">
                  <c:v>04/04/2021</c:v>
                </c:pt>
                <c:pt idx="3386">
                  <c:v>04/04/2021</c:v>
                </c:pt>
                <c:pt idx="3387">
                  <c:v>04/04/2021</c:v>
                </c:pt>
                <c:pt idx="3388">
                  <c:v>11/04/2021</c:v>
                </c:pt>
                <c:pt idx="3389">
                  <c:v>11/04/2021</c:v>
                </c:pt>
                <c:pt idx="3390">
                  <c:v>11/04/2021</c:v>
                </c:pt>
                <c:pt idx="3391">
                  <c:v>11/04/2021</c:v>
                </c:pt>
                <c:pt idx="3392">
                  <c:v>11/04/2021</c:v>
                </c:pt>
                <c:pt idx="3393">
                  <c:v>11/04/2021</c:v>
                </c:pt>
                <c:pt idx="3394">
                  <c:v>11/04/2021</c:v>
                </c:pt>
                <c:pt idx="3395">
                  <c:v>18/04/2021</c:v>
                </c:pt>
                <c:pt idx="3396">
                  <c:v>18/04/2021</c:v>
                </c:pt>
                <c:pt idx="3397">
                  <c:v>18/04/2021</c:v>
                </c:pt>
                <c:pt idx="3398">
                  <c:v>18/04/2021</c:v>
                </c:pt>
                <c:pt idx="3399">
                  <c:v>18/04/2021</c:v>
                </c:pt>
                <c:pt idx="3400">
                  <c:v>18/04/2021</c:v>
                </c:pt>
                <c:pt idx="3401">
                  <c:v>18/04/2021</c:v>
                </c:pt>
                <c:pt idx="3402">
                  <c:v>25/04/2021</c:v>
                </c:pt>
                <c:pt idx="3403">
                  <c:v>25/04/2021</c:v>
                </c:pt>
                <c:pt idx="3404">
                  <c:v>25/04/2021</c:v>
                </c:pt>
                <c:pt idx="3405">
                  <c:v>25/04/2021</c:v>
                </c:pt>
                <c:pt idx="3406">
                  <c:v>25/04/2021</c:v>
                </c:pt>
                <c:pt idx="3407">
                  <c:v>25/04/2021</c:v>
                </c:pt>
                <c:pt idx="3408">
                  <c:v>25/04/2021</c:v>
                </c:pt>
                <c:pt idx="3409">
                  <c:v>02/05/2021</c:v>
                </c:pt>
                <c:pt idx="3410">
                  <c:v>02/05/2021</c:v>
                </c:pt>
                <c:pt idx="3411">
                  <c:v>02/05/2021</c:v>
                </c:pt>
                <c:pt idx="3412">
                  <c:v>02/05/2021</c:v>
                </c:pt>
                <c:pt idx="3413">
                  <c:v>02/05/2021</c:v>
                </c:pt>
                <c:pt idx="3414">
                  <c:v>02/05/2021</c:v>
                </c:pt>
                <c:pt idx="3415">
                  <c:v>02/05/2021</c:v>
                </c:pt>
                <c:pt idx="3416">
                  <c:v>09/05/2021</c:v>
                </c:pt>
                <c:pt idx="3417">
                  <c:v>09/05/2021</c:v>
                </c:pt>
                <c:pt idx="3418">
                  <c:v>09/05/2021</c:v>
                </c:pt>
                <c:pt idx="3419">
                  <c:v>09/05/2021</c:v>
                </c:pt>
                <c:pt idx="3420">
                  <c:v>09/05/2021</c:v>
                </c:pt>
                <c:pt idx="3421">
                  <c:v>09/05/2021</c:v>
                </c:pt>
                <c:pt idx="3422">
                  <c:v>09/05/2021</c:v>
                </c:pt>
                <c:pt idx="3423">
                  <c:v>16/05/2021</c:v>
                </c:pt>
                <c:pt idx="3424">
                  <c:v>16/05/2021</c:v>
                </c:pt>
                <c:pt idx="3425">
                  <c:v>16/05/2021</c:v>
                </c:pt>
                <c:pt idx="3426">
                  <c:v>16/05/2021</c:v>
                </c:pt>
                <c:pt idx="3427">
                  <c:v>16/05/2021</c:v>
                </c:pt>
                <c:pt idx="3428">
                  <c:v>16/05/2021</c:v>
                </c:pt>
                <c:pt idx="3429">
                  <c:v>16/05/2021</c:v>
                </c:pt>
                <c:pt idx="3430">
                  <c:v>23/05/2021</c:v>
                </c:pt>
                <c:pt idx="3431">
                  <c:v>23/05/2021</c:v>
                </c:pt>
                <c:pt idx="3432">
                  <c:v>23/05/2021</c:v>
                </c:pt>
                <c:pt idx="3433">
                  <c:v>23/05/2021</c:v>
                </c:pt>
                <c:pt idx="3434">
                  <c:v>23/05/2021</c:v>
                </c:pt>
                <c:pt idx="3435">
                  <c:v>23/05/2021</c:v>
                </c:pt>
                <c:pt idx="3436">
                  <c:v>23/05/2021</c:v>
                </c:pt>
                <c:pt idx="3437">
                  <c:v>30/05/2021</c:v>
                </c:pt>
                <c:pt idx="3438">
                  <c:v>30/05/2021</c:v>
                </c:pt>
                <c:pt idx="3439">
                  <c:v>30/05/2021</c:v>
                </c:pt>
                <c:pt idx="3440">
                  <c:v>30/05/2021</c:v>
                </c:pt>
                <c:pt idx="3441">
                  <c:v>30/05/2021</c:v>
                </c:pt>
                <c:pt idx="3442">
                  <c:v>30/05/2021</c:v>
                </c:pt>
                <c:pt idx="3443">
                  <c:v>30/05/2021</c:v>
                </c:pt>
                <c:pt idx="3444">
                  <c:v>06/06/2021</c:v>
                </c:pt>
                <c:pt idx="3445">
                  <c:v>06/06/2021</c:v>
                </c:pt>
                <c:pt idx="3446">
                  <c:v>06/06/2021</c:v>
                </c:pt>
                <c:pt idx="3447">
                  <c:v>06/06/2021</c:v>
                </c:pt>
                <c:pt idx="3448">
                  <c:v>06/06/2021</c:v>
                </c:pt>
                <c:pt idx="3449">
                  <c:v>06/06/2021</c:v>
                </c:pt>
                <c:pt idx="3450">
                  <c:v>06/06/2021</c:v>
                </c:pt>
                <c:pt idx="3451">
                  <c:v>13/06/2021</c:v>
                </c:pt>
                <c:pt idx="3452">
                  <c:v>13/06/2021</c:v>
                </c:pt>
                <c:pt idx="3453">
                  <c:v>13/06/2021</c:v>
                </c:pt>
                <c:pt idx="3454">
                  <c:v>13/06/2021</c:v>
                </c:pt>
                <c:pt idx="3455">
                  <c:v>13/06/2021</c:v>
                </c:pt>
                <c:pt idx="3456">
                  <c:v>13/06/2021</c:v>
                </c:pt>
                <c:pt idx="3457">
                  <c:v>13/06/2021</c:v>
                </c:pt>
                <c:pt idx="3458">
                  <c:v>20/06/2021</c:v>
                </c:pt>
                <c:pt idx="3459">
                  <c:v>20/06/2021</c:v>
                </c:pt>
                <c:pt idx="3460">
                  <c:v>20/06/2021</c:v>
                </c:pt>
                <c:pt idx="3461">
                  <c:v>20/06/2021</c:v>
                </c:pt>
                <c:pt idx="3462">
                  <c:v>20/06/2021</c:v>
                </c:pt>
                <c:pt idx="3463">
                  <c:v>20/06/2021</c:v>
                </c:pt>
                <c:pt idx="3464">
                  <c:v>20/06/2021</c:v>
                </c:pt>
                <c:pt idx="3465">
                  <c:v>27/06/2021</c:v>
                </c:pt>
                <c:pt idx="3466">
                  <c:v>27/06/2021</c:v>
                </c:pt>
                <c:pt idx="3467">
                  <c:v>27/06/2021</c:v>
                </c:pt>
                <c:pt idx="3468">
                  <c:v>27/06/2021</c:v>
                </c:pt>
                <c:pt idx="3469">
                  <c:v>27/06/2021</c:v>
                </c:pt>
                <c:pt idx="3470">
                  <c:v>27/06/2021</c:v>
                </c:pt>
                <c:pt idx="3471">
                  <c:v>27/06/2021</c:v>
                </c:pt>
                <c:pt idx="3472">
                  <c:v>04/07/2021</c:v>
                </c:pt>
                <c:pt idx="3473">
                  <c:v>04/07/2021</c:v>
                </c:pt>
                <c:pt idx="3474">
                  <c:v>04/07/2021</c:v>
                </c:pt>
                <c:pt idx="3475">
                  <c:v>04/07/2021</c:v>
                </c:pt>
                <c:pt idx="3476">
                  <c:v>04/07/2021</c:v>
                </c:pt>
                <c:pt idx="3477">
                  <c:v>04/07/2021</c:v>
                </c:pt>
                <c:pt idx="3478">
                  <c:v>04/07/2021</c:v>
                </c:pt>
                <c:pt idx="3479">
                  <c:v>11/07/2021</c:v>
                </c:pt>
                <c:pt idx="3480">
                  <c:v>11/07/2021</c:v>
                </c:pt>
                <c:pt idx="3481">
                  <c:v>11/07/2021</c:v>
                </c:pt>
                <c:pt idx="3482">
                  <c:v>11/07/2021</c:v>
                </c:pt>
                <c:pt idx="3483">
                  <c:v>11/07/2021</c:v>
                </c:pt>
                <c:pt idx="3484">
                  <c:v>11/07/2021</c:v>
                </c:pt>
                <c:pt idx="3485">
                  <c:v>11/07/2021</c:v>
                </c:pt>
                <c:pt idx="3486">
                  <c:v>18/07/2021</c:v>
                </c:pt>
                <c:pt idx="3487">
                  <c:v>18/07/2021</c:v>
                </c:pt>
                <c:pt idx="3488">
                  <c:v>18/07/2021</c:v>
                </c:pt>
                <c:pt idx="3489">
                  <c:v>18/07/2021</c:v>
                </c:pt>
                <c:pt idx="3490">
                  <c:v>18/07/2021</c:v>
                </c:pt>
                <c:pt idx="3491">
                  <c:v>18/07/2021</c:v>
                </c:pt>
                <c:pt idx="3492">
                  <c:v>18/07/2021</c:v>
                </c:pt>
                <c:pt idx="3493">
                  <c:v>25/07/2021</c:v>
                </c:pt>
                <c:pt idx="3494">
                  <c:v>25/07/2021</c:v>
                </c:pt>
                <c:pt idx="3495">
                  <c:v>25/07/2021</c:v>
                </c:pt>
                <c:pt idx="3496">
                  <c:v>25/07/2021</c:v>
                </c:pt>
                <c:pt idx="3497">
                  <c:v>25/07/2021</c:v>
                </c:pt>
                <c:pt idx="3498">
                  <c:v>25/07/2021</c:v>
                </c:pt>
                <c:pt idx="3499">
                  <c:v>25/07/2021</c:v>
                </c:pt>
                <c:pt idx="3500">
                  <c:v>01/08/2021</c:v>
                </c:pt>
                <c:pt idx="3501">
                  <c:v>01/08/2021</c:v>
                </c:pt>
                <c:pt idx="3502">
                  <c:v>01/08/2021</c:v>
                </c:pt>
                <c:pt idx="3503">
                  <c:v>01/08/2021</c:v>
                </c:pt>
                <c:pt idx="3504">
                  <c:v>01/08/2021</c:v>
                </c:pt>
                <c:pt idx="3505">
                  <c:v>01/08/2021</c:v>
                </c:pt>
                <c:pt idx="3506">
                  <c:v>01/08/2021</c:v>
                </c:pt>
                <c:pt idx="3507">
                  <c:v>08/08/2021</c:v>
                </c:pt>
                <c:pt idx="3508">
                  <c:v>08/08/2021</c:v>
                </c:pt>
                <c:pt idx="3509">
                  <c:v>08/08/2021</c:v>
                </c:pt>
                <c:pt idx="3510">
                  <c:v>08/08/2021</c:v>
                </c:pt>
                <c:pt idx="3511">
                  <c:v>08/08/2021</c:v>
                </c:pt>
                <c:pt idx="3512">
                  <c:v>08/08/2021</c:v>
                </c:pt>
                <c:pt idx="3513">
                  <c:v>08/08/2021</c:v>
                </c:pt>
                <c:pt idx="3514">
                  <c:v>15/08/2021</c:v>
                </c:pt>
                <c:pt idx="3515">
                  <c:v>15/08/2021</c:v>
                </c:pt>
                <c:pt idx="3516">
                  <c:v>15/08/2021</c:v>
                </c:pt>
                <c:pt idx="3517">
                  <c:v>15/08/2021</c:v>
                </c:pt>
                <c:pt idx="3518">
                  <c:v>15/08/2021</c:v>
                </c:pt>
                <c:pt idx="3519">
                  <c:v>15/08/2021</c:v>
                </c:pt>
                <c:pt idx="3520">
                  <c:v>15/08/2021</c:v>
                </c:pt>
                <c:pt idx="3521">
                  <c:v>22/08/2021</c:v>
                </c:pt>
                <c:pt idx="3522">
                  <c:v>22/08/2021</c:v>
                </c:pt>
                <c:pt idx="3523">
                  <c:v>22/08/2021</c:v>
                </c:pt>
                <c:pt idx="3524">
                  <c:v>22/08/2021</c:v>
                </c:pt>
                <c:pt idx="3525">
                  <c:v>22/08/2021</c:v>
                </c:pt>
                <c:pt idx="3526">
                  <c:v>22/08/2021</c:v>
                </c:pt>
                <c:pt idx="3527">
                  <c:v>22/08/2021</c:v>
                </c:pt>
                <c:pt idx="3528">
                  <c:v>29/08/2021</c:v>
                </c:pt>
                <c:pt idx="3529">
                  <c:v>29/08/2021</c:v>
                </c:pt>
                <c:pt idx="3530">
                  <c:v>29/08/2021</c:v>
                </c:pt>
                <c:pt idx="3531">
                  <c:v>29/08/2021</c:v>
                </c:pt>
                <c:pt idx="3532">
                  <c:v>29/08/2021</c:v>
                </c:pt>
                <c:pt idx="3533">
                  <c:v>29/08/2021</c:v>
                </c:pt>
                <c:pt idx="3534">
                  <c:v>29/08/2021</c:v>
                </c:pt>
                <c:pt idx="3535">
                  <c:v>05/09/2021</c:v>
                </c:pt>
                <c:pt idx="3536">
                  <c:v>05/09/2021</c:v>
                </c:pt>
                <c:pt idx="3537">
                  <c:v>05/09/2021</c:v>
                </c:pt>
                <c:pt idx="3538">
                  <c:v>05/09/2021</c:v>
                </c:pt>
                <c:pt idx="3539">
                  <c:v>05/09/2021</c:v>
                </c:pt>
                <c:pt idx="3540">
                  <c:v>05/09/2021</c:v>
                </c:pt>
                <c:pt idx="3541">
                  <c:v>05/09/2021</c:v>
                </c:pt>
                <c:pt idx="3542">
                  <c:v>12/09/2021</c:v>
                </c:pt>
                <c:pt idx="3543">
                  <c:v>12/09/2021</c:v>
                </c:pt>
                <c:pt idx="3544">
                  <c:v>12/09/2021</c:v>
                </c:pt>
                <c:pt idx="3545">
                  <c:v>12/09/2021</c:v>
                </c:pt>
                <c:pt idx="3546">
                  <c:v>12/09/2021</c:v>
                </c:pt>
                <c:pt idx="3547">
                  <c:v>12/09/2021</c:v>
                </c:pt>
                <c:pt idx="3548">
                  <c:v>12/09/2021</c:v>
                </c:pt>
                <c:pt idx="3549">
                  <c:v>19/09/2021</c:v>
                </c:pt>
                <c:pt idx="3550">
                  <c:v>19/09/2021</c:v>
                </c:pt>
                <c:pt idx="3551">
                  <c:v>19/09/2021</c:v>
                </c:pt>
                <c:pt idx="3552">
                  <c:v>19/09/2021</c:v>
                </c:pt>
                <c:pt idx="3553">
                  <c:v>19/09/2021</c:v>
                </c:pt>
                <c:pt idx="3554">
                  <c:v>19/09/2021</c:v>
                </c:pt>
                <c:pt idx="3555">
                  <c:v>19/09/2021</c:v>
                </c:pt>
                <c:pt idx="3556">
                  <c:v>26/09/2021</c:v>
                </c:pt>
                <c:pt idx="3557">
                  <c:v>26/09/2021</c:v>
                </c:pt>
                <c:pt idx="3558">
                  <c:v>26/09/2021</c:v>
                </c:pt>
                <c:pt idx="3559">
                  <c:v>26/09/2021</c:v>
                </c:pt>
                <c:pt idx="3560">
                  <c:v>26/09/2021</c:v>
                </c:pt>
                <c:pt idx="3561">
                  <c:v>26/09/2021</c:v>
                </c:pt>
                <c:pt idx="3562">
                  <c:v>26/09/2021</c:v>
                </c:pt>
                <c:pt idx="3563">
                  <c:v>03/10/2021</c:v>
                </c:pt>
                <c:pt idx="3564">
                  <c:v>03/10/2021</c:v>
                </c:pt>
                <c:pt idx="3565">
                  <c:v>03/10/2021</c:v>
                </c:pt>
                <c:pt idx="3566">
                  <c:v>03/10/2021</c:v>
                </c:pt>
                <c:pt idx="3567">
                  <c:v>03/10/2021</c:v>
                </c:pt>
                <c:pt idx="3568">
                  <c:v>03/10/2021</c:v>
                </c:pt>
                <c:pt idx="3569">
                  <c:v>03/10/2021</c:v>
                </c:pt>
                <c:pt idx="3570">
                  <c:v>10/10/2021</c:v>
                </c:pt>
                <c:pt idx="3571">
                  <c:v>10/10/2021</c:v>
                </c:pt>
                <c:pt idx="3572">
                  <c:v>10/10/2021</c:v>
                </c:pt>
                <c:pt idx="3573">
                  <c:v>10/10/2021</c:v>
                </c:pt>
                <c:pt idx="3574">
                  <c:v>10/10/2021</c:v>
                </c:pt>
                <c:pt idx="3575">
                  <c:v>10/10/2021</c:v>
                </c:pt>
                <c:pt idx="3576">
                  <c:v>10/10/2021</c:v>
                </c:pt>
                <c:pt idx="3577">
                  <c:v>17/10/2021</c:v>
                </c:pt>
                <c:pt idx="3578">
                  <c:v>17/10/2021</c:v>
                </c:pt>
                <c:pt idx="3579">
                  <c:v>17/10/2021</c:v>
                </c:pt>
                <c:pt idx="3580">
                  <c:v>17/10/2021</c:v>
                </c:pt>
                <c:pt idx="3581">
                  <c:v>17/10/2021</c:v>
                </c:pt>
                <c:pt idx="3582">
                  <c:v>17/10/2021</c:v>
                </c:pt>
                <c:pt idx="3583">
                  <c:v>17/10/2021</c:v>
                </c:pt>
                <c:pt idx="3584">
                  <c:v>24/10/2021</c:v>
                </c:pt>
                <c:pt idx="3585">
                  <c:v>24/10/2021</c:v>
                </c:pt>
                <c:pt idx="3586">
                  <c:v>24/10/2021</c:v>
                </c:pt>
                <c:pt idx="3587">
                  <c:v>24/10/2021</c:v>
                </c:pt>
                <c:pt idx="3588">
                  <c:v>24/10/2021</c:v>
                </c:pt>
                <c:pt idx="3589">
                  <c:v>24/10/2021</c:v>
                </c:pt>
                <c:pt idx="3590">
                  <c:v>24/10/2021</c:v>
                </c:pt>
                <c:pt idx="3591">
                  <c:v>31/10/2021</c:v>
                </c:pt>
                <c:pt idx="3592">
                  <c:v>31/10/2021</c:v>
                </c:pt>
                <c:pt idx="3593">
                  <c:v>31/10/2021</c:v>
                </c:pt>
                <c:pt idx="3594">
                  <c:v>31/10/2021</c:v>
                </c:pt>
                <c:pt idx="3595">
                  <c:v>31/10/2021</c:v>
                </c:pt>
                <c:pt idx="3596">
                  <c:v>31/10/2021</c:v>
                </c:pt>
                <c:pt idx="3597">
                  <c:v>31/10/2021</c:v>
                </c:pt>
                <c:pt idx="3598">
                  <c:v>07/11/2021</c:v>
                </c:pt>
                <c:pt idx="3599">
                  <c:v>07/11/2021</c:v>
                </c:pt>
                <c:pt idx="3600">
                  <c:v>07/11/2021</c:v>
                </c:pt>
                <c:pt idx="3601">
                  <c:v>07/11/2021</c:v>
                </c:pt>
                <c:pt idx="3602">
                  <c:v>07/11/2021</c:v>
                </c:pt>
                <c:pt idx="3603">
                  <c:v>07/11/2021</c:v>
                </c:pt>
                <c:pt idx="3604">
                  <c:v>07/11/2021</c:v>
                </c:pt>
                <c:pt idx="3605">
                  <c:v>14/11/2021</c:v>
                </c:pt>
                <c:pt idx="3606">
                  <c:v>14/11/2021</c:v>
                </c:pt>
                <c:pt idx="3607">
                  <c:v>14/11/2021</c:v>
                </c:pt>
                <c:pt idx="3608">
                  <c:v>14/11/2021</c:v>
                </c:pt>
                <c:pt idx="3609">
                  <c:v>14/11/2021</c:v>
                </c:pt>
                <c:pt idx="3610">
                  <c:v>14/11/2021</c:v>
                </c:pt>
                <c:pt idx="3611">
                  <c:v>14/11/2021</c:v>
                </c:pt>
                <c:pt idx="3612">
                  <c:v>21/11/2021</c:v>
                </c:pt>
                <c:pt idx="3613">
                  <c:v>21/11/2021</c:v>
                </c:pt>
                <c:pt idx="3614">
                  <c:v>21/11/2021</c:v>
                </c:pt>
                <c:pt idx="3615">
                  <c:v>21/11/2021</c:v>
                </c:pt>
                <c:pt idx="3616">
                  <c:v>21/11/2021</c:v>
                </c:pt>
                <c:pt idx="3617">
                  <c:v>21/11/2021</c:v>
                </c:pt>
                <c:pt idx="3618">
                  <c:v>21/11/2021</c:v>
                </c:pt>
                <c:pt idx="3619">
                  <c:v>28/11/2021</c:v>
                </c:pt>
                <c:pt idx="3620">
                  <c:v>28/11/2021</c:v>
                </c:pt>
                <c:pt idx="3621">
                  <c:v>28/11/2021</c:v>
                </c:pt>
                <c:pt idx="3622">
                  <c:v>28/11/2021</c:v>
                </c:pt>
                <c:pt idx="3623">
                  <c:v>28/11/2021</c:v>
                </c:pt>
                <c:pt idx="3624">
                  <c:v>28/11/2021</c:v>
                </c:pt>
                <c:pt idx="3625">
                  <c:v>28/11/2021</c:v>
                </c:pt>
                <c:pt idx="3626">
                  <c:v>05/12/2021</c:v>
                </c:pt>
                <c:pt idx="3627">
                  <c:v>05/12/2021</c:v>
                </c:pt>
                <c:pt idx="3628">
                  <c:v>05/12/2021</c:v>
                </c:pt>
                <c:pt idx="3629">
                  <c:v>05/12/2021</c:v>
                </c:pt>
                <c:pt idx="3630">
                  <c:v>05/12/2021</c:v>
                </c:pt>
                <c:pt idx="3631">
                  <c:v>05/12/2021</c:v>
                </c:pt>
                <c:pt idx="3632">
                  <c:v>05/12/2021</c:v>
                </c:pt>
                <c:pt idx="3633">
                  <c:v>12/12/2021</c:v>
                </c:pt>
                <c:pt idx="3634">
                  <c:v>12/12/2021</c:v>
                </c:pt>
                <c:pt idx="3635">
                  <c:v>12/12/2021</c:v>
                </c:pt>
                <c:pt idx="3636">
                  <c:v>12/12/2021</c:v>
                </c:pt>
                <c:pt idx="3637">
                  <c:v>12/12/2021</c:v>
                </c:pt>
                <c:pt idx="3638">
                  <c:v>12/12/2021</c:v>
                </c:pt>
                <c:pt idx="3639">
                  <c:v>12/12/2021</c:v>
                </c:pt>
                <c:pt idx="3640">
                  <c:v>19/12/2021</c:v>
                </c:pt>
                <c:pt idx="3641">
                  <c:v>19/12/2021</c:v>
                </c:pt>
                <c:pt idx="3642">
                  <c:v>19/12/2021</c:v>
                </c:pt>
                <c:pt idx="3643">
                  <c:v>19/12/2021</c:v>
                </c:pt>
                <c:pt idx="3644">
                  <c:v>19/12/2021</c:v>
                </c:pt>
                <c:pt idx="3645">
                  <c:v>19/12/2021</c:v>
                </c:pt>
                <c:pt idx="3646">
                  <c:v>19/12/2021</c:v>
                </c:pt>
                <c:pt idx="3647">
                  <c:v>26/12/2021</c:v>
                </c:pt>
                <c:pt idx="3648">
                  <c:v>26/12/2021</c:v>
                </c:pt>
                <c:pt idx="3649">
                  <c:v>26/12/2021</c:v>
                </c:pt>
                <c:pt idx="3650">
                  <c:v>26/12/2021</c:v>
                </c:pt>
                <c:pt idx="3651">
                  <c:v>26/12/2021</c:v>
                </c:pt>
                <c:pt idx="3652">
                  <c:v>26/12/2021</c:v>
                </c:pt>
                <c:pt idx="3653">
                  <c:v>26/12/2021</c:v>
                </c:pt>
                <c:pt idx="3654">
                  <c:v>02/01/2022</c:v>
                </c:pt>
                <c:pt idx="3655">
                  <c:v>02/01/2022</c:v>
                </c:pt>
                <c:pt idx="3656">
                  <c:v>02/01/2022</c:v>
                </c:pt>
                <c:pt idx="3657">
                  <c:v>02/01/2022</c:v>
                </c:pt>
                <c:pt idx="3658">
                  <c:v>02/01/2022</c:v>
                </c:pt>
                <c:pt idx="3659">
                  <c:v>02/01/2022</c:v>
                </c:pt>
                <c:pt idx="3660">
                  <c:v>02/01/2022</c:v>
                </c:pt>
                <c:pt idx="3661">
                  <c:v>09/01/2022</c:v>
                </c:pt>
                <c:pt idx="3662">
                  <c:v>09/01/2022</c:v>
                </c:pt>
                <c:pt idx="3663">
                  <c:v>09/01/2022</c:v>
                </c:pt>
                <c:pt idx="3664">
                  <c:v>09/01/2022</c:v>
                </c:pt>
                <c:pt idx="3665">
                  <c:v>09/01/2022</c:v>
                </c:pt>
                <c:pt idx="3666">
                  <c:v>09/01/2022</c:v>
                </c:pt>
                <c:pt idx="3667">
                  <c:v>09/01/2022</c:v>
                </c:pt>
                <c:pt idx="3668">
                  <c:v>16/01/2022</c:v>
                </c:pt>
                <c:pt idx="3669">
                  <c:v>16/01/2022</c:v>
                </c:pt>
                <c:pt idx="3670">
                  <c:v>16/01/2022</c:v>
                </c:pt>
                <c:pt idx="3671">
                  <c:v>16/01/2022</c:v>
                </c:pt>
                <c:pt idx="3672">
                  <c:v>16/01/2022</c:v>
                </c:pt>
                <c:pt idx="3673">
                  <c:v>16/01/2022</c:v>
                </c:pt>
                <c:pt idx="3674">
                  <c:v>16/01/2022</c:v>
                </c:pt>
                <c:pt idx="3675">
                  <c:v>23/01/2022</c:v>
                </c:pt>
                <c:pt idx="3676">
                  <c:v>23/01/2022</c:v>
                </c:pt>
                <c:pt idx="3677">
                  <c:v>23/01/2022</c:v>
                </c:pt>
                <c:pt idx="3678">
                  <c:v>23/01/2022</c:v>
                </c:pt>
                <c:pt idx="3679">
                  <c:v>23/01/2022</c:v>
                </c:pt>
                <c:pt idx="3680">
                  <c:v>23/01/2022</c:v>
                </c:pt>
                <c:pt idx="3681">
                  <c:v>23/01/2022</c:v>
                </c:pt>
                <c:pt idx="3682">
                  <c:v>30/01/2022</c:v>
                </c:pt>
                <c:pt idx="3683">
                  <c:v>30/01/2022</c:v>
                </c:pt>
                <c:pt idx="3684">
                  <c:v>30/01/2022</c:v>
                </c:pt>
                <c:pt idx="3685">
                  <c:v>30/01/2022</c:v>
                </c:pt>
                <c:pt idx="3686">
                  <c:v>30/01/2022</c:v>
                </c:pt>
                <c:pt idx="3687">
                  <c:v>30/01/2022</c:v>
                </c:pt>
                <c:pt idx="3688">
                  <c:v>30/01/2022</c:v>
                </c:pt>
                <c:pt idx="3689">
                  <c:v>06/02/2022</c:v>
                </c:pt>
                <c:pt idx="3690">
                  <c:v>06/02/2022</c:v>
                </c:pt>
                <c:pt idx="3691">
                  <c:v>06/02/2022</c:v>
                </c:pt>
                <c:pt idx="3692">
                  <c:v>06/02/2022</c:v>
                </c:pt>
                <c:pt idx="3693">
                  <c:v>06/02/2022</c:v>
                </c:pt>
                <c:pt idx="3694">
                  <c:v>06/02/2022</c:v>
                </c:pt>
                <c:pt idx="3695">
                  <c:v>06/02/2022</c:v>
                </c:pt>
                <c:pt idx="3696">
                  <c:v>13/02/2022</c:v>
                </c:pt>
                <c:pt idx="3697">
                  <c:v>13/02/2022</c:v>
                </c:pt>
                <c:pt idx="3698">
                  <c:v>13/02/2022</c:v>
                </c:pt>
                <c:pt idx="3699">
                  <c:v>13/02/2022</c:v>
                </c:pt>
                <c:pt idx="3700">
                  <c:v>13/02/2022</c:v>
                </c:pt>
                <c:pt idx="3701">
                  <c:v>13/02/2022</c:v>
                </c:pt>
                <c:pt idx="3702">
                  <c:v>13/02/2022</c:v>
                </c:pt>
                <c:pt idx="3703">
                  <c:v>20/02/2022</c:v>
                </c:pt>
                <c:pt idx="3704">
                  <c:v>20/02/2022</c:v>
                </c:pt>
                <c:pt idx="3705">
                  <c:v>20/02/2022</c:v>
                </c:pt>
                <c:pt idx="3706">
                  <c:v>20/02/2022</c:v>
                </c:pt>
                <c:pt idx="3707">
                  <c:v>20/02/2022</c:v>
                </c:pt>
                <c:pt idx="3708">
                  <c:v>20/02/2022</c:v>
                </c:pt>
                <c:pt idx="3709">
                  <c:v>20/02/2022</c:v>
                </c:pt>
                <c:pt idx="3710">
                  <c:v>27/02/2022</c:v>
                </c:pt>
                <c:pt idx="3711">
                  <c:v>27/02/2022</c:v>
                </c:pt>
                <c:pt idx="3712">
                  <c:v>27/02/2022</c:v>
                </c:pt>
                <c:pt idx="3713">
                  <c:v>27/02/2022</c:v>
                </c:pt>
                <c:pt idx="3714">
                  <c:v>27/02/2022</c:v>
                </c:pt>
                <c:pt idx="3715">
                  <c:v>27/02/2022</c:v>
                </c:pt>
                <c:pt idx="3716">
                  <c:v>27/02/2022</c:v>
                </c:pt>
                <c:pt idx="3717">
                  <c:v>06/03/2022</c:v>
                </c:pt>
                <c:pt idx="3718">
                  <c:v>06/03/2022</c:v>
                </c:pt>
                <c:pt idx="3719">
                  <c:v>06/03/2022</c:v>
                </c:pt>
                <c:pt idx="3720">
                  <c:v>06/03/2022</c:v>
                </c:pt>
                <c:pt idx="3721">
                  <c:v>06/03/2022</c:v>
                </c:pt>
                <c:pt idx="3722">
                  <c:v>06/03/2022</c:v>
                </c:pt>
                <c:pt idx="3723">
                  <c:v>06/03/2022</c:v>
                </c:pt>
                <c:pt idx="3724">
                  <c:v>13/03/2022</c:v>
                </c:pt>
                <c:pt idx="3725">
                  <c:v>13/03/2022</c:v>
                </c:pt>
                <c:pt idx="3726">
                  <c:v>13/03/2022</c:v>
                </c:pt>
                <c:pt idx="3727">
                  <c:v>13/03/2022</c:v>
                </c:pt>
                <c:pt idx="3728">
                  <c:v>13/03/2022</c:v>
                </c:pt>
                <c:pt idx="3729">
                  <c:v>13/03/2022</c:v>
                </c:pt>
                <c:pt idx="3730">
                  <c:v>13/03/2022</c:v>
                </c:pt>
                <c:pt idx="3731">
                  <c:v>20/03/2022</c:v>
                </c:pt>
                <c:pt idx="3732">
                  <c:v>20/03/2022</c:v>
                </c:pt>
                <c:pt idx="3733">
                  <c:v>20/03/2022</c:v>
                </c:pt>
                <c:pt idx="3734">
                  <c:v>20/03/2022</c:v>
                </c:pt>
                <c:pt idx="3735">
                  <c:v>20/03/2022</c:v>
                </c:pt>
                <c:pt idx="3736">
                  <c:v>20/03/2022</c:v>
                </c:pt>
                <c:pt idx="3737">
                  <c:v>20/03/2022</c:v>
                </c:pt>
                <c:pt idx="3738">
                  <c:v>27/03/2022</c:v>
                </c:pt>
                <c:pt idx="3739">
                  <c:v>27/03/2022</c:v>
                </c:pt>
                <c:pt idx="3740">
                  <c:v>27/03/2022</c:v>
                </c:pt>
                <c:pt idx="3741">
                  <c:v>27/03/2022</c:v>
                </c:pt>
                <c:pt idx="3742">
                  <c:v>27/03/2022</c:v>
                </c:pt>
                <c:pt idx="3743">
                  <c:v>27/03/2022</c:v>
                </c:pt>
                <c:pt idx="3744">
                  <c:v>27/03/2022</c:v>
                </c:pt>
                <c:pt idx="3745">
                  <c:v>03/04/2022</c:v>
                </c:pt>
                <c:pt idx="3746">
                  <c:v>03/04/2022</c:v>
                </c:pt>
                <c:pt idx="3747">
                  <c:v>03/04/2022</c:v>
                </c:pt>
                <c:pt idx="3748">
                  <c:v>03/04/2022</c:v>
                </c:pt>
                <c:pt idx="3749">
                  <c:v>03/04/2022</c:v>
                </c:pt>
                <c:pt idx="3750">
                  <c:v>03/04/2022</c:v>
                </c:pt>
                <c:pt idx="3751">
                  <c:v>03/04/2022</c:v>
                </c:pt>
                <c:pt idx="3752">
                  <c:v>10/04/2022</c:v>
                </c:pt>
                <c:pt idx="3753">
                  <c:v>10/04/2022</c:v>
                </c:pt>
                <c:pt idx="3754">
                  <c:v>10/04/2022</c:v>
                </c:pt>
                <c:pt idx="3755">
                  <c:v>10/04/2022</c:v>
                </c:pt>
                <c:pt idx="3756">
                  <c:v>10/04/2022</c:v>
                </c:pt>
                <c:pt idx="3757">
                  <c:v>10/04/2022</c:v>
                </c:pt>
                <c:pt idx="3758">
                  <c:v>10/04/2022</c:v>
                </c:pt>
                <c:pt idx="3759">
                  <c:v>17/04/2022</c:v>
                </c:pt>
                <c:pt idx="3760">
                  <c:v>17/04/2022</c:v>
                </c:pt>
                <c:pt idx="3761">
                  <c:v>17/04/2022</c:v>
                </c:pt>
                <c:pt idx="3762">
                  <c:v>17/04/2022</c:v>
                </c:pt>
                <c:pt idx="3763">
                  <c:v>17/04/2022</c:v>
                </c:pt>
                <c:pt idx="3764">
                  <c:v>17/04/2022</c:v>
                </c:pt>
                <c:pt idx="3765">
                  <c:v>17/04/2022</c:v>
                </c:pt>
                <c:pt idx="3766">
                  <c:v>24/04/2022</c:v>
                </c:pt>
                <c:pt idx="3767">
                  <c:v>24/04/2022</c:v>
                </c:pt>
                <c:pt idx="3768">
                  <c:v>24/04/2022</c:v>
                </c:pt>
                <c:pt idx="3769">
                  <c:v>24/04/2022</c:v>
                </c:pt>
                <c:pt idx="3770">
                  <c:v>24/04/2022</c:v>
                </c:pt>
                <c:pt idx="3771">
                  <c:v>24/04/2022</c:v>
                </c:pt>
                <c:pt idx="3772">
                  <c:v>24/04/2022</c:v>
                </c:pt>
                <c:pt idx="3773">
                  <c:v>01/05/2022</c:v>
                </c:pt>
                <c:pt idx="3774">
                  <c:v>01/05/2022</c:v>
                </c:pt>
                <c:pt idx="3775">
                  <c:v>01/05/2022</c:v>
                </c:pt>
                <c:pt idx="3776">
                  <c:v>01/05/2022</c:v>
                </c:pt>
                <c:pt idx="3777">
                  <c:v>01/05/2022</c:v>
                </c:pt>
                <c:pt idx="3778">
                  <c:v>01/05/2022</c:v>
                </c:pt>
                <c:pt idx="3779">
                  <c:v>01/05/2022</c:v>
                </c:pt>
                <c:pt idx="3780">
                  <c:v>08/05/2022</c:v>
                </c:pt>
                <c:pt idx="3781">
                  <c:v>08/05/2022</c:v>
                </c:pt>
                <c:pt idx="3782">
                  <c:v>08/05/2022</c:v>
                </c:pt>
                <c:pt idx="3783">
                  <c:v>08/05/2022</c:v>
                </c:pt>
                <c:pt idx="3784">
                  <c:v>08/05/2022</c:v>
                </c:pt>
                <c:pt idx="3785">
                  <c:v>08/05/2022</c:v>
                </c:pt>
                <c:pt idx="3786">
                  <c:v>08/05/2022</c:v>
                </c:pt>
                <c:pt idx="3787">
                  <c:v>15/05/2022</c:v>
                </c:pt>
                <c:pt idx="3788">
                  <c:v>15/05/2022</c:v>
                </c:pt>
                <c:pt idx="3789">
                  <c:v>15/05/2022</c:v>
                </c:pt>
                <c:pt idx="3790">
                  <c:v>15/05/2022</c:v>
                </c:pt>
                <c:pt idx="3791">
                  <c:v>15/05/2022</c:v>
                </c:pt>
                <c:pt idx="3792">
                  <c:v>15/05/2022</c:v>
                </c:pt>
                <c:pt idx="3793">
                  <c:v>15/05/2022</c:v>
                </c:pt>
                <c:pt idx="3794">
                  <c:v>22/05/2022</c:v>
                </c:pt>
                <c:pt idx="3795">
                  <c:v>22/05/2022</c:v>
                </c:pt>
                <c:pt idx="3796">
                  <c:v>22/05/2022</c:v>
                </c:pt>
                <c:pt idx="3797">
                  <c:v>22/05/2022</c:v>
                </c:pt>
                <c:pt idx="3798">
                  <c:v>22/05/2022</c:v>
                </c:pt>
                <c:pt idx="3799">
                  <c:v>22/05/2022</c:v>
                </c:pt>
                <c:pt idx="3800">
                  <c:v>22/05/2022</c:v>
                </c:pt>
                <c:pt idx="3801">
                  <c:v>29/05/2022</c:v>
                </c:pt>
                <c:pt idx="3802">
                  <c:v>29/05/2022</c:v>
                </c:pt>
                <c:pt idx="3803">
                  <c:v>29/05/2022</c:v>
                </c:pt>
                <c:pt idx="3804">
                  <c:v>29/05/2022</c:v>
                </c:pt>
                <c:pt idx="3805">
                  <c:v>29/05/2022</c:v>
                </c:pt>
                <c:pt idx="3806">
                  <c:v>29/05/2022</c:v>
                </c:pt>
                <c:pt idx="3807">
                  <c:v>29/05/2022</c:v>
                </c:pt>
                <c:pt idx="3808">
                  <c:v>05/06/2022</c:v>
                </c:pt>
                <c:pt idx="3809">
                  <c:v>05/06/2022</c:v>
                </c:pt>
                <c:pt idx="3810">
                  <c:v>05/06/2022</c:v>
                </c:pt>
                <c:pt idx="3811">
                  <c:v>05/06/2022</c:v>
                </c:pt>
                <c:pt idx="3812">
                  <c:v>05/06/2022</c:v>
                </c:pt>
                <c:pt idx="3813">
                  <c:v>05/06/2022</c:v>
                </c:pt>
                <c:pt idx="3814">
                  <c:v>05/06/2022</c:v>
                </c:pt>
                <c:pt idx="3815">
                  <c:v>12/06/2022</c:v>
                </c:pt>
                <c:pt idx="3816">
                  <c:v>12/06/2022</c:v>
                </c:pt>
                <c:pt idx="3817">
                  <c:v>12/06/2022</c:v>
                </c:pt>
                <c:pt idx="3818">
                  <c:v>12/06/2022</c:v>
                </c:pt>
                <c:pt idx="3819">
                  <c:v>12/06/2022</c:v>
                </c:pt>
                <c:pt idx="3820">
                  <c:v>12/06/2022</c:v>
                </c:pt>
                <c:pt idx="3821">
                  <c:v>12/06/2022</c:v>
                </c:pt>
                <c:pt idx="3822">
                  <c:v>19/06/2022</c:v>
                </c:pt>
                <c:pt idx="3823">
                  <c:v>19/06/2022</c:v>
                </c:pt>
                <c:pt idx="3824">
                  <c:v>19/06/2022</c:v>
                </c:pt>
                <c:pt idx="3825">
                  <c:v>19/06/2022</c:v>
                </c:pt>
                <c:pt idx="3826">
                  <c:v>19/06/2022</c:v>
                </c:pt>
                <c:pt idx="3827">
                  <c:v>19/06/2022</c:v>
                </c:pt>
                <c:pt idx="3828">
                  <c:v>19/06/2022</c:v>
                </c:pt>
                <c:pt idx="3829">
                  <c:v>26/06/2022</c:v>
                </c:pt>
                <c:pt idx="3830">
                  <c:v>26/06/2022</c:v>
                </c:pt>
                <c:pt idx="3831">
                  <c:v>26/06/2022</c:v>
                </c:pt>
                <c:pt idx="3832">
                  <c:v>26/06/2022</c:v>
                </c:pt>
                <c:pt idx="3833">
                  <c:v>26/06/2022</c:v>
                </c:pt>
                <c:pt idx="3834">
                  <c:v>26/06/2022</c:v>
                </c:pt>
                <c:pt idx="3835">
                  <c:v>26/06/2022</c:v>
                </c:pt>
                <c:pt idx="3836">
                  <c:v>03/07/2022</c:v>
                </c:pt>
                <c:pt idx="3837">
                  <c:v>03/07/2022</c:v>
                </c:pt>
                <c:pt idx="3838">
                  <c:v>03/07/2022</c:v>
                </c:pt>
                <c:pt idx="3839">
                  <c:v>03/07/2022</c:v>
                </c:pt>
                <c:pt idx="3840">
                  <c:v>03/07/2022</c:v>
                </c:pt>
                <c:pt idx="3841">
                  <c:v>03/07/2022</c:v>
                </c:pt>
                <c:pt idx="3842">
                  <c:v>03/07/2022</c:v>
                </c:pt>
                <c:pt idx="3843">
                  <c:v>10/07/2022</c:v>
                </c:pt>
                <c:pt idx="3844">
                  <c:v>10/07/2022</c:v>
                </c:pt>
                <c:pt idx="3845">
                  <c:v>10/07/2022</c:v>
                </c:pt>
                <c:pt idx="3846">
                  <c:v>10/07/2022</c:v>
                </c:pt>
                <c:pt idx="3847">
                  <c:v>10/07/2022</c:v>
                </c:pt>
                <c:pt idx="3848">
                  <c:v>10/07/2022</c:v>
                </c:pt>
                <c:pt idx="3849">
                  <c:v>10/07/2022</c:v>
                </c:pt>
                <c:pt idx="3850">
                  <c:v>17/07/2022</c:v>
                </c:pt>
                <c:pt idx="3851">
                  <c:v>17/07/2022</c:v>
                </c:pt>
                <c:pt idx="3852">
                  <c:v>17/07/2022</c:v>
                </c:pt>
                <c:pt idx="3853">
                  <c:v>17/07/2022</c:v>
                </c:pt>
                <c:pt idx="3854">
                  <c:v>17/07/2022</c:v>
                </c:pt>
                <c:pt idx="3855">
                  <c:v>17/07/2022</c:v>
                </c:pt>
                <c:pt idx="3856">
                  <c:v>17/07/2022</c:v>
                </c:pt>
                <c:pt idx="3857">
                  <c:v>24/07/2022</c:v>
                </c:pt>
                <c:pt idx="3858">
                  <c:v>24/07/2022</c:v>
                </c:pt>
                <c:pt idx="3859">
                  <c:v>24/07/2022</c:v>
                </c:pt>
                <c:pt idx="3860">
                  <c:v>24/07/2022</c:v>
                </c:pt>
                <c:pt idx="3861">
                  <c:v>24/07/2022</c:v>
                </c:pt>
                <c:pt idx="3862">
                  <c:v>24/07/2022</c:v>
                </c:pt>
                <c:pt idx="3863">
                  <c:v>24/07/2022</c:v>
                </c:pt>
                <c:pt idx="3864">
                  <c:v>31/07/2022</c:v>
                </c:pt>
                <c:pt idx="3865">
                  <c:v>31/07/2022</c:v>
                </c:pt>
                <c:pt idx="3866">
                  <c:v>31/07/2022</c:v>
                </c:pt>
                <c:pt idx="3867">
                  <c:v>31/07/2022</c:v>
                </c:pt>
                <c:pt idx="3868">
                  <c:v>31/07/2022</c:v>
                </c:pt>
                <c:pt idx="3869">
                  <c:v>31/07/2022</c:v>
                </c:pt>
                <c:pt idx="3870">
                  <c:v>31/07/2022</c:v>
                </c:pt>
                <c:pt idx="3871">
                  <c:v>07/08/2022</c:v>
                </c:pt>
                <c:pt idx="3872">
                  <c:v>07/08/2022</c:v>
                </c:pt>
                <c:pt idx="3873">
                  <c:v>07/08/2022</c:v>
                </c:pt>
                <c:pt idx="3874">
                  <c:v>07/08/2022</c:v>
                </c:pt>
                <c:pt idx="3875">
                  <c:v>07/08/2022</c:v>
                </c:pt>
                <c:pt idx="3876">
                  <c:v>07/08/2022</c:v>
                </c:pt>
                <c:pt idx="3877">
                  <c:v>07/08/2022</c:v>
                </c:pt>
                <c:pt idx="3878">
                  <c:v>14/08/2022</c:v>
                </c:pt>
                <c:pt idx="3879">
                  <c:v>14/08/2022</c:v>
                </c:pt>
                <c:pt idx="3880">
                  <c:v>14/08/2022</c:v>
                </c:pt>
                <c:pt idx="3881">
                  <c:v>14/08/2022</c:v>
                </c:pt>
                <c:pt idx="3882">
                  <c:v>14/08/2022</c:v>
                </c:pt>
                <c:pt idx="3883">
                  <c:v>14/08/2022</c:v>
                </c:pt>
                <c:pt idx="3884">
                  <c:v>14/08/2022</c:v>
                </c:pt>
                <c:pt idx="3885">
                  <c:v>21/08/2022</c:v>
                </c:pt>
                <c:pt idx="3886">
                  <c:v>21/08/2022</c:v>
                </c:pt>
                <c:pt idx="3887">
                  <c:v>21/08/2022</c:v>
                </c:pt>
                <c:pt idx="3888">
                  <c:v>21/08/2022</c:v>
                </c:pt>
                <c:pt idx="3889">
                  <c:v>21/08/2022</c:v>
                </c:pt>
                <c:pt idx="3890">
                  <c:v>21/08/2022</c:v>
                </c:pt>
                <c:pt idx="3891">
                  <c:v>21/08/2022</c:v>
                </c:pt>
                <c:pt idx="3892">
                  <c:v>28/08/2022</c:v>
                </c:pt>
                <c:pt idx="3893">
                  <c:v>28/08/2022</c:v>
                </c:pt>
                <c:pt idx="3894">
                  <c:v>28/08/2022</c:v>
                </c:pt>
                <c:pt idx="3895">
                  <c:v>28/08/2022</c:v>
                </c:pt>
                <c:pt idx="3896">
                  <c:v>28/08/2022</c:v>
                </c:pt>
                <c:pt idx="3897">
                  <c:v>28/08/2022</c:v>
                </c:pt>
                <c:pt idx="3898">
                  <c:v>28/08/2022</c:v>
                </c:pt>
                <c:pt idx="3899">
                  <c:v>04/09/2022</c:v>
                </c:pt>
                <c:pt idx="3900">
                  <c:v>04/09/2022</c:v>
                </c:pt>
                <c:pt idx="3901">
                  <c:v>04/09/2022</c:v>
                </c:pt>
                <c:pt idx="3902">
                  <c:v>04/09/2022</c:v>
                </c:pt>
                <c:pt idx="3903">
                  <c:v>04/09/2022</c:v>
                </c:pt>
                <c:pt idx="3904">
                  <c:v>04/09/2022</c:v>
                </c:pt>
                <c:pt idx="3905">
                  <c:v>04/09/2022</c:v>
                </c:pt>
                <c:pt idx="3906">
                  <c:v>11/09/2022</c:v>
                </c:pt>
                <c:pt idx="3907">
                  <c:v>11/09/2022</c:v>
                </c:pt>
                <c:pt idx="3908">
                  <c:v>11/09/2022</c:v>
                </c:pt>
                <c:pt idx="3909">
                  <c:v>11/09/2022</c:v>
                </c:pt>
                <c:pt idx="3910">
                  <c:v>11/09/2022</c:v>
                </c:pt>
                <c:pt idx="3911">
                  <c:v>11/09/2022</c:v>
                </c:pt>
                <c:pt idx="3912">
                  <c:v>11/09/2022</c:v>
                </c:pt>
                <c:pt idx="3913">
                  <c:v>18/09/2022</c:v>
                </c:pt>
                <c:pt idx="3914">
                  <c:v>18/09/2022</c:v>
                </c:pt>
                <c:pt idx="3915">
                  <c:v>18/09/2022</c:v>
                </c:pt>
                <c:pt idx="3916">
                  <c:v>18/09/2022</c:v>
                </c:pt>
                <c:pt idx="3917">
                  <c:v>18/09/2022</c:v>
                </c:pt>
                <c:pt idx="3918">
                  <c:v>18/09/2022</c:v>
                </c:pt>
                <c:pt idx="3919">
                  <c:v>18/09/2022</c:v>
                </c:pt>
                <c:pt idx="3920">
                  <c:v>25/09/2022</c:v>
                </c:pt>
                <c:pt idx="3921">
                  <c:v>25/09/2022</c:v>
                </c:pt>
                <c:pt idx="3922">
                  <c:v>25/09/2022</c:v>
                </c:pt>
                <c:pt idx="3923">
                  <c:v>25/09/2022</c:v>
                </c:pt>
                <c:pt idx="3924">
                  <c:v>25/09/2022</c:v>
                </c:pt>
                <c:pt idx="3925">
                  <c:v>25/09/2022</c:v>
                </c:pt>
                <c:pt idx="3926">
                  <c:v>25/09/2022</c:v>
                </c:pt>
                <c:pt idx="3927">
                  <c:v>02/10/2022</c:v>
                </c:pt>
                <c:pt idx="3928">
                  <c:v>02/10/2022</c:v>
                </c:pt>
                <c:pt idx="3929">
                  <c:v>02/10/2022</c:v>
                </c:pt>
                <c:pt idx="3930">
                  <c:v>02/10/2022</c:v>
                </c:pt>
                <c:pt idx="3931">
                  <c:v>02/10/2022</c:v>
                </c:pt>
                <c:pt idx="3932">
                  <c:v>02/10/2022</c:v>
                </c:pt>
                <c:pt idx="3933">
                  <c:v>02/10/2022</c:v>
                </c:pt>
                <c:pt idx="3934">
                  <c:v>09/10/2022</c:v>
                </c:pt>
                <c:pt idx="3935">
                  <c:v>09/10/2022</c:v>
                </c:pt>
                <c:pt idx="3936">
                  <c:v>09/10/2022</c:v>
                </c:pt>
                <c:pt idx="3937">
                  <c:v>09/10/2022</c:v>
                </c:pt>
                <c:pt idx="3938">
                  <c:v>09/10/2022</c:v>
                </c:pt>
                <c:pt idx="3939">
                  <c:v>09/10/2022</c:v>
                </c:pt>
                <c:pt idx="3940">
                  <c:v>09/10/2022</c:v>
                </c:pt>
                <c:pt idx="3941">
                  <c:v>16/10/2022</c:v>
                </c:pt>
                <c:pt idx="3942">
                  <c:v>16/10/2022</c:v>
                </c:pt>
                <c:pt idx="3943">
                  <c:v>16/10/2022</c:v>
                </c:pt>
                <c:pt idx="3944">
                  <c:v>16/10/2022</c:v>
                </c:pt>
                <c:pt idx="3945">
                  <c:v>16/10/2022</c:v>
                </c:pt>
                <c:pt idx="3946">
                  <c:v>16/10/2022</c:v>
                </c:pt>
                <c:pt idx="3947">
                  <c:v>16/10/2022</c:v>
                </c:pt>
                <c:pt idx="3948">
                  <c:v>23/10/2022</c:v>
                </c:pt>
                <c:pt idx="3949">
                  <c:v>23/10/2022</c:v>
                </c:pt>
                <c:pt idx="3950">
                  <c:v>23/10/2022</c:v>
                </c:pt>
                <c:pt idx="3951">
                  <c:v>23/10/2022</c:v>
                </c:pt>
                <c:pt idx="3952">
                  <c:v>23/10/2022</c:v>
                </c:pt>
                <c:pt idx="3953">
                  <c:v>23/10/2022</c:v>
                </c:pt>
                <c:pt idx="3954">
                  <c:v>23/10/2022</c:v>
                </c:pt>
                <c:pt idx="3955">
                  <c:v>30/10/2022</c:v>
                </c:pt>
                <c:pt idx="3956">
                  <c:v>30/10/2022</c:v>
                </c:pt>
                <c:pt idx="3957">
                  <c:v>30/10/2022</c:v>
                </c:pt>
                <c:pt idx="3958">
                  <c:v>30/10/2022</c:v>
                </c:pt>
                <c:pt idx="3959">
                  <c:v>30/10/2022</c:v>
                </c:pt>
                <c:pt idx="3960">
                  <c:v>30/10/2022</c:v>
                </c:pt>
                <c:pt idx="3961">
                  <c:v>30/10/2022</c:v>
                </c:pt>
                <c:pt idx="3962">
                  <c:v>06/11/2022</c:v>
                </c:pt>
                <c:pt idx="3963">
                  <c:v>06/11/2022</c:v>
                </c:pt>
                <c:pt idx="3964">
                  <c:v>06/11/2022</c:v>
                </c:pt>
                <c:pt idx="3965">
                  <c:v>06/11/2022</c:v>
                </c:pt>
                <c:pt idx="3966">
                  <c:v>06/11/2022</c:v>
                </c:pt>
                <c:pt idx="3967">
                  <c:v>06/11/2022</c:v>
                </c:pt>
                <c:pt idx="3968">
                  <c:v>06/11/2022</c:v>
                </c:pt>
                <c:pt idx="3969">
                  <c:v>13/11/2022</c:v>
                </c:pt>
                <c:pt idx="3970">
                  <c:v>13/11/2022</c:v>
                </c:pt>
                <c:pt idx="3971">
                  <c:v>13/11/2022</c:v>
                </c:pt>
                <c:pt idx="3972">
                  <c:v>13/11/2022</c:v>
                </c:pt>
                <c:pt idx="3973">
                  <c:v>13/11/2022</c:v>
                </c:pt>
                <c:pt idx="3974">
                  <c:v>13/11/2022</c:v>
                </c:pt>
                <c:pt idx="3975">
                  <c:v>13/11/2022</c:v>
                </c:pt>
                <c:pt idx="3976">
                  <c:v>20/11/2022</c:v>
                </c:pt>
                <c:pt idx="3977">
                  <c:v>20/11/2022</c:v>
                </c:pt>
                <c:pt idx="3978">
                  <c:v>20/11/2022</c:v>
                </c:pt>
                <c:pt idx="3979">
                  <c:v>20/11/2022</c:v>
                </c:pt>
                <c:pt idx="3980">
                  <c:v>20/11/2022</c:v>
                </c:pt>
                <c:pt idx="3981">
                  <c:v>20/11/2022</c:v>
                </c:pt>
                <c:pt idx="3982">
                  <c:v>20/11/2022</c:v>
                </c:pt>
                <c:pt idx="3983">
                  <c:v>27/11/2022</c:v>
                </c:pt>
                <c:pt idx="3984">
                  <c:v>27/11/2022</c:v>
                </c:pt>
                <c:pt idx="3985">
                  <c:v>27/11/2022</c:v>
                </c:pt>
                <c:pt idx="3986">
                  <c:v>27/11/2022</c:v>
                </c:pt>
                <c:pt idx="3987">
                  <c:v>27/11/2022</c:v>
                </c:pt>
                <c:pt idx="3988">
                  <c:v>27/11/2022</c:v>
                </c:pt>
                <c:pt idx="3989">
                  <c:v>27/11/2022</c:v>
                </c:pt>
                <c:pt idx="3990">
                  <c:v>04/12/2022</c:v>
                </c:pt>
                <c:pt idx="3991">
                  <c:v>04/12/2022</c:v>
                </c:pt>
                <c:pt idx="3992">
                  <c:v>04/12/2022</c:v>
                </c:pt>
                <c:pt idx="3993">
                  <c:v>04/12/2022</c:v>
                </c:pt>
                <c:pt idx="3994">
                  <c:v>04/12/2022</c:v>
                </c:pt>
                <c:pt idx="3995">
                  <c:v>04/12/2022</c:v>
                </c:pt>
                <c:pt idx="3996">
                  <c:v>04/12/2022</c:v>
                </c:pt>
                <c:pt idx="3997">
                  <c:v>11/12/2022</c:v>
                </c:pt>
                <c:pt idx="3998">
                  <c:v>11/12/2022</c:v>
                </c:pt>
                <c:pt idx="3999">
                  <c:v>11/12/2022</c:v>
                </c:pt>
                <c:pt idx="4000">
                  <c:v>11/12/2022</c:v>
                </c:pt>
                <c:pt idx="4001">
                  <c:v>11/12/2022</c:v>
                </c:pt>
                <c:pt idx="4002">
                  <c:v>11/12/2022</c:v>
                </c:pt>
                <c:pt idx="4003">
                  <c:v>11/12/2022</c:v>
                </c:pt>
                <c:pt idx="4004">
                  <c:v>18/12/2022</c:v>
                </c:pt>
                <c:pt idx="4005">
                  <c:v>18/12/2022</c:v>
                </c:pt>
                <c:pt idx="4006">
                  <c:v>18/12/2022</c:v>
                </c:pt>
                <c:pt idx="4007">
                  <c:v>18/12/2022</c:v>
                </c:pt>
                <c:pt idx="4008">
                  <c:v>18/12/2022</c:v>
                </c:pt>
                <c:pt idx="4009">
                  <c:v>18/12/2022</c:v>
                </c:pt>
                <c:pt idx="4010">
                  <c:v>18/12/2022</c:v>
                </c:pt>
                <c:pt idx="4011">
                  <c:v>25/12/2022</c:v>
                </c:pt>
                <c:pt idx="4012">
                  <c:v>25/12/2022</c:v>
                </c:pt>
                <c:pt idx="4013">
                  <c:v>25/12/2022</c:v>
                </c:pt>
                <c:pt idx="4014">
                  <c:v>25/12/2022</c:v>
                </c:pt>
                <c:pt idx="4015">
                  <c:v>25/12/2022</c:v>
                </c:pt>
                <c:pt idx="4016">
                  <c:v>25/12/2022</c:v>
                </c:pt>
                <c:pt idx="4017">
                  <c:v>25/12/2022</c:v>
                </c:pt>
                <c:pt idx="4018">
                  <c:v>01/01/2023</c:v>
                </c:pt>
                <c:pt idx="4019">
                  <c:v>01/01/2023</c:v>
                </c:pt>
                <c:pt idx="4020">
                  <c:v>01/01/2023</c:v>
                </c:pt>
                <c:pt idx="4021">
                  <c:v>01/01/2023</c:v>
                </c:pt>
                <c:pt idx="4022">
                  <c:v>01/01/2023</c:v>
                </c:pt>
                <c:pt idx="4023">
                  <c:v>01/01/2023</c:v>
                </c:pt>
                <c:pt idx="4024">
                  <c:v>01/01/2023</c:v>
                </c:pt>
                <c:pt idx="4025">
                  <c:v>08/01/2023</c:v>
                </c:pt>
                <c:pt idx="4026">
                  <c:v>08/01/2023</c:v>
                </c:pt>
                <c:pt idx="4027">
                  <c:v>08/01/2023</c:v>
                </c:pt>
                <c:pt idx="4028">
                  <c:v>08/01/2023</c:v>
                </c:pt>
                <c:pt idx="4029">
                  <c:v>08/01/2023</c:v>
                </c:pt>
                <c:pt idx="4030">
                  <c:v>08/01/2023</c:v>
                </c:pt>
                <c:pt idx="4031">
                  <c:v>08/01/2023</c:v>
                </c:pt>
                <c:pt idx="4032">
                  <c:v>15/01/2023</c:v>
                </c:pt>
                <c:pt idx="4033">
                  <c:v>15/01/2023</c:v>
                </c:pt>
                <c:pt idx="4034">
                  <c:v>15/01/2023</c:v>
                </c:pt>
                <c:pt idx="4035">
                  <c:v>15/01/2023</c:v>
                </c:pt>
                <c:pt idx="4036">
                  <c:v>15/01/2023</c:v>
                </c:pt>
                <c:pt idx="4037">
                  <c:v>15/01/2023</c:v>
                </c:pt>
                <c:pt idx="4038">
                  <c:v>15/01/2023</c:v>
                </c:pt>
                <c:pt idx="4039">
                  <c:v>22/01/2023</c:v>
                </c:pt>
                <c:pt idx="4040">
                  <c:v>22/01/2023</c:v>
                </c:pt>
                <c:pt idx="4041">
                  <c:v>22/01/2023</c:v>
                </c:pt>
                <c:pt idx="4042">
                  <c:v>22/01/2023</c:v>
                </c:pt>
                <c:pt idx="4043">
                  <c:v>22/01/2023</c:v>
                </c:pt>
                <c:pt idx="4044">
                  <c:v>22/01/2023</c:v>
                </c:pt>
                <c:pt idx="4045">
                  <c:v>22/01/2023</c:v>
                </c:pt>
                <c:pt idx="4046">
                  <c:v>29/01/2023</c:v>
                </c:pt>
                <c:pt idx="4047">
                  <c:v>29/01/2023</c:v>
                </c:pt>
                <c:pt idx="4048">
                  <c:v>29/01/2023</c:v>
                </c:pt>
                <c:pt idx="4049">
                  <c:v>29/01/2023</c:v>
                </c:pt>
                <c:pt idx="4050">
                  <c:v>29/01/2023</c:v>
                </c:pt>
                <c:pt idx="4051">
                  <c:v>29/01/2023</c:v>
                </c:pt>
                <c:pt idx="4052">
                  <c:v>29/01/2023</c:v>
                </c:pt>
                <c:pt idx="4053">
                  <c:v>05/02/2023</c:v>
                </c:pt>
                <c:pt idx="4054">
                  <c:v>05/02/2023</c:v>
                </c:pt>
                <c:pt idx="4055">
                  <c:v>05/02/2023</c:v>
                </c:pt>
                <c:pt idx="4056">
                  <c:v>05/02/2023</c:v>
                </c:pt>
                <c:pt idx="4057">
                  <c:v>05/02/2023</c:v>
                </c:pt>
                <c:pt idx="4058">
                  <c:v>05/02/2023</c:v>
                </c:pt>
                <c:pt idx="4059">
                  <c:v>05/02/2023</c:v>
                </c:pt>
                <c:pt idx="4060">
                  <c:v>12/02/2023</c:v>
                </c:pt>
                <c:pt idx="4061">
                  <c:v>12/02/2023</c:v>
                </c:pt>
                <c:pt idx="4062">
                  <c:v>12/02/2023</c:v>
                </c:pt>
                <c:pt idx="4063">
                  <c:v>12/02/2023</c:v>
                </c:pt>
                <c:pt idx="4064">
                  <c:v>12/02/2023</c:v>
                </c:pt>
                <c:pt idx="4065">
                  <c:v>12/02/2023</c:v>
                </c:pt>
                <c:pt idx="4066">
                  <c:v>12/02/2023</c:v>
                </c:pt>
                <c:pt idx="4067">
                  <c:v>19/02/2023</c:v>
                </c:pt>
                <c:pt idx="4068">
                  <c:v>19/02/2023</c:v>
                </c:pt>
                <c:pt idx="4069">
                  <c:v>19/02/2023</c:v>
                </c:pt>
                <c:pt idx="4070">
                  <c:v>19/02/2023</c:v>
                </c:pt>
                <c:pt idx="4071">
                  <c:v>19/02/2023</c:v>
                </c:pt>
                <c:pt idx="4072">
                  <c:v>19/02/2023</c:v>
                </c:pt>
                <c:pt idx="4073">
                  <c:v>19/02/2023</c:v>
                </c:pt>
                <c:pt idx="4074">
                  <c:v>26/02/2023</c:v>
                </c:pt>
                <c:pt idx="4075">
                  <c:v>26/02/2023</c:v>
                </c:pt>
                <c:pt idx="4076">
                  <c:v>26/02/2023</c:v>
                </c:pt>
                <c:pt idx="4077">
                  <c:v>26/02/2023</c:v>
                </c:pt>
                <c:pt idx="4078">
                  <c:v>26/02/2023</c:v>
                </c:pt>
                <c:pt idx="4079">
                  <c:v>26/02/2023</c:v>
                </c:pt>
                <c:pt idx="4080">
                  <c:v>26/02/2023</c:v>
                </c:pt>
                <c:pt idx="4081">
                  <c:v>05/03/2023</c:v>
                </c:pt>
                <c:pt idx="4082">
                  <c:v>05/03/2023</c:v>
                </c:pt>
                <c:pt idx="4083">
                  <c:v>05/03/2023</c:v>
                </c:pt>
                <c:pt idx="4084">
                  <c:v>05/03/2023</c:v>
                </c:pt>
                <c:pt idx="4085">
                  <c:v>05/03/2023</c:v>
                </c:pt>
                <c:pt idx="4086">
                  <c:v>05/03/2023</c:v>
                </c:pt>
                <c:pt idx="4087">
                  <c:v>05/03/2023</c:v>
                </c:pt>
                <c:pt idx="4088">
                  <c:v>12/03/2023</c:v>
                </c:pt>
                <c:pt idx="4089">
                  <c:v>12/03/2023</c:v>
                </c:pt>
                <c:pt idx="4090">
                  <c:v>12/03/2023</c:v>
                </c:pt>
                <c:pt idx="4091">
                  <c:v>12/03/2023</c:v>
                </c:pt>
                <c:pt idx="4092">
                  <c:v>12/03/2023</c:v>
                </c:pt>
                <c:pt idx="4093">
                  <c:v>12/03/2023</c:v>
                </c:pt>
                <c:pt idx="4094">
                  <c:v>12/03/2023</c:v>
                </c:pt>
                <c:pt idx="4095">
                  <c:v>19/03/2023</c:v>
                </c:pt>
                <c:pt idx="4096">
                  <c:v>19/03/2023</c:v>
                </c:pt>
                <c:pt idx="4097">
                  <c:v>19/03/2023</c:v>
                </c:pt>
                <c:pt idx="4098">
                  <c:v>19/03/2023</c:v>
                </c:pt>
                <c:pt idx="4099">
                  <c:v>19/03/2023</c:v>
                </c:pt>
                <c:pt idx="4100">
                  <c:v>19/03/2023</c:v>
                </c:pt>
                <c:pt idx="4101">
                  <c:v>19/03/2023</c:v>
                </c:pt>
                <c:pt idx="4102">
                  <c:v>26/03/2023</c:v>
                </c:pt>
                <c:pt idx="4103">
                  <c:v>26/03/2023</c:v>
                </c:pt>
                <c:pt idx="4104">
                  <c:v>26/03/2023</c:v>
                </c:pt>
                <c:pt idx="4105">
                  <c:v>26/03/2023</c:v>
                </c:pt>
                <c:pt idx="4106">
                  <c:v>26/03/2023</c:v>
                </c:pt>
                <c:pt idx="4107">
                  <c:v>26/03/2023</c:v>
                </c:pt>
                <c:pt idx="4108">
                  <c:v>26/03/2023</c:v>
                </c:pt>
                <c:pt idx="4109">
                  <c:v>02/04/2023</c:v>
                </c:pt>
                <c:pt idx="4110">
                  <c:v>02/04/2023</c:v>
                </c:pt>
                <c:pt idx="4111">
                  <c:v>02/04/2023</c:v>
                </c:pt>
                <c:pt idx="4112">
                  <c:v>02/04/2023</c:v>
                </c:pt>
                <c:pt idx="4113">
                  <c:v>02/04/2023</c:v>
                </c:pt>
                <c:pt idx="4114">
                  <c:v>02/04/2023</c:v>
                </c:pt>
                <c:pt idx="4115">
                  <c:v>02/04/2023</c:v>
                </c:pt>
                <c:pt idx="4116">
                  <c:v>09/04/2023</c:v>
                </c:pt>
                <c:pt idx="4117">
                  <c:v>09/04/2023</c:v>
                </c:pt>
                <c:pt idx="4118">
                  <c:v>09/04/2023</c:v>
                </c:pt>
                <c:pt idx="4119">
                  <c:v>09/04/2023</c:v>
                </c:pt>
                <c:pt idx="4120">
                  <c:v>09/04/2023</c:v>
                </c:pt>
                <c:pt idx="4121">
                  <c:v>09/04/2023</c:v>
                </c:pt>
                <c:pt idx="4122">
                  <c:v>09/04/2023</c:v>
                </c:pt>
                <c:pt idx="4123">
                  <c:v>16/04/2023</c:v>
                </c:pt>
                <c:pt idx="4124">
                  <c:v>16/04/2023</c:v>
                </c:pt>
                <c:pt idx="4125">
                  <c:v>16/04/2023</c:v>
                </c:pt>
                <c:pt idx="4126">
                  <c:v>16/04/2023</c:v>
                </c:pt>
                <c:pt idx="4127">
                  <c:v>16/04/2023</c:v>
                </c:pt>
                <c:pt idx="4128">
                  <c:v>16/04/2023</c:v>
                </c:pt>
                <c:pt idx="4129">
                  <c:v>16/04/2023</c:v>
                </c:pt>
                <c:pt idx="4130">
                  <c:v>23/04/2023</c:v>
                </c:pt>
                <c:pt idx="4131">
                  <c:v>23/04/2023</c:v>
                </c:pt>
                <c:pt idx="4132">
                  <c:v>23/04/2023</c:v>
                </c:pt>
                <c:pt idx="4133">
                  <c:v>23/04/2023</c:v>
                </c:pt>
                <c:pt idx="4134">
                  <c:v>23/04/2023</c:v>
                </c:pt>
                <c:pt idx="4135">
                  <c:v>23/04/2023</c:v>
                </c:pt>
                <c:pt idx="4136">
                  <c:v>23/04/2023</c:v>
                </c:pt>
                <c:pt idx="4137">
                  <c:v>30/04/2023</c:v>
                </c:pt>
                <c:pt idx="4138">
                  <c:v>30/04/2023</c:v>
                </c:pt>
                <c:pt idx="4139">
                  <c:v>30/04/2023</c:v>
                </c:pt>
                <c:pt idx="4140">
                  <c:v>30/04/2023</c:v>
                </c:pt>
                <c:pt idx="4141">
                  <c:v>30/04/2023</c:v>
                </c:pt>
                <c:pt idx="4142">
                  <c:v>30/04/2023</c:v>
                </c:pt>
                <c:pt idx="4143">
                  <c:v>30/04/2023</c:v>
                </c:pt>
                <c:pt idx="4144">
                  <c:v>07/05/2023</c:v>
                </c:pt>
                <c:pt idx="4145">
                  <c:v>07/05/2023</c:v>
                </c:pt>
                <c:pt idx="4146">
                  <c:v>07/05/2023</c:v>
                </c:pt>
                <c:pt idx="4147">
                  <c:v>07/05/2023</c:v>
                </c:pt>
                <c:pt idx="4148">
                  <c:v>07/05/2023</c:v>
                </c:pt>
                <c:pt idx="4149">
                  <c:v>07/05/2023</c:v>
                </c:pt>
                <c:pt idx="4150">
                  <c:v>07/05/2023</c:v>
                </c:pt>
                <c:pt idx="4151">
                  <c:v>14/05/2023</c:v>
                </c:pt>
                <c:pt idx="4152">
                  <c:v>14/05/2023</c:v>
                </c:pt>
                <c:pt idx="4153">
                  <c:v>14/05/2023</c:v>
                </c:pt>
                <c:pt idx="4154">
                  <c:v>14/05/2023</c:v>
                </c:pt>
                <c:pt idx="4155">
                  <c:v>14/05/2023</c:v>
                </c:pt>
                <c:pt idx="4156">
                  <c:v>14/05/2023</c:v>
                </c:pt>
                <c:pt idx="4157">
                  <c:v>14/05/2023</c:v>
                </c:pt>
                <c:pt idx="4158">
                  <c:v>21/05/2023</c:v>
                </c:pt>
                <c:pt idx="4159">
                  <c:v>21/05/2023</c:v>
                </c:pt>
                <c:pt idx="4160">
                  <c:v>21/05/2023</c:v>
                </c:pt>
                <c:pt idx="4161">
                  <c:v>21/05/2023</c:v>
                </c:pt>
                <c:pt idx="4162">
                  <c:v>21/05/2023</c:v>
                </c:pt>
                <c:pt idx="4163">
                  <c:v>21/05/2023</c:v>
                </c:pt>
                <c:pt idx="4164">
                  <c:v>21/05/2023</c:v>
                </c:pt>
                <c:pt idx="4165">
                  <c:v>28/05/2023</c:v>
                </c:pt>
                <c:pt idx="4166">
                  <c:v>28/05/2023</c:v>
                </c:pt>
                <c:pt idx="4167">
                  <c:v>28/05/2023</c:v>
                </c:pt>
                <c:pt idx="4168">
                  <c:v>28/05/2023</c:v>
                </c:pt>
                <c:pt idx="4169">
                  <c:v>28/05/2023</c:v>
                </c:pt>
                <c:pt idx="4170">
                  <c:v>28/05/2023</c:v>
                </c:pt>
                <c:pt idx="4171">
                  <c:v>28/05/2023</c:v>
                </c:pt>
                <c:pt idx="4172">
                  <c:v>04/06/2023</c:v>
                </c:pt>
                <c:pt idx="4173">
                  <c:v>04/06/2023</c:v>
                </c:pt>
                <c:pt idx="4174">
                  <c:v>04/06/2023</c:v>
                </c:pt>
                <c:pt idx="4175">
                  <c:v>04/06/2023</c:v>
                </c:pt>
                <c:pt idx="4176">
                  <c:v>04/06/2023</c:v>
                </c:pt>
                <c:pt idx="4177">
                  <c:v>04/06/2023</c:v>
                </c:pt>
                <c:pt idx="4178">
                  <c:v>04/06/2023</c:v>
                </c:pt>
                <c:pt idx="4179">
                  <c:v>11/06/2023</c:v>
                </c:pt>
                <c:pt idx="4180">
                  <c:v>11/06/2023</c:v>
                </c:pt>
                <c:pt idx="4181">
                  <c:v>11/06/2023</c:v>
                </c:pt>
                <c:pt idx="4182">
                  <c:v>11/06/2023</c:v>
                </c:pt>
                <c:pt idx="4183">
                  <c:v>11/06/2023</c:v>
                </c:pt>
                <c:pt idx="4184">
                  <c:v>11/06/2023</c:v>
                </c:pt>
                <c:pt idx="4185">
                  <c:v>11/06/2023</c:v>
                </c:pt>
                <c:pt idx="4186">
                  <c:v>18/06/2023</c:v>
                </c:pt>
                <c:pt idx="4187">
                  <c:v>18/06/2023</c:v>
                </c:pt>
                <c:pt idx="4188">
                  <c:v>18/06/2023</c:v>
                </c:pt>
                <c:pt idx="4189">
                  <c:v>18/06/2023</c:v>
                </c:pt>
                <c:pt idx="4190">
                  <c:v>18/06/2023</c:v>
                </c:pt>
                <c:pt idx="4191">
                  <c:v>18/06/2023</c:v>
                </c:pt>
                <c:pt idx="4192">
                  <c:v>18/06/2023</c:v>
                </c:pt>
                <c:pt idx="4193">
                  <c:v>25/06/2023</c:v>
                </c:pt>
                <c:pt idx="4194">
                  <c:v>25/06/2023</c:v>
                </c:pt>
                <c:pt idx="4195">
                  <c:v>25/06/2023</c:v>
                </c:pt>
                <c:pt idx="4196">
                  <c:v>25/06/2023</c:v>
                </c:pt>
                <c:pt idx="4197">
                  <c:v>25/06/2023</c:v>
                </c:pt>
                <c:pt idx="4198">
                  <c:v>25/06/2023</c:v>
                </c:pt>
                <c:pt idx="4199">
                  <c:v>25/06/2023</c:v>
                </c:pt>
                <c:pt idx="4200">
                  <c:v>02/07/2023</c:v>
                </c:pt>
                <c:pt idx="4201">
                  <c:v>02/07/2023</c:v>
                </c:pt>
                <c:pt idx="4202">
                  <c:v>02/07/2023</c:v>
                </c:pt>
                <c:pt idx="4203">
                  <c:v>02/07/2023</c:v>
                </c:pt>
                <c:pt idx="4204">
                  <c:v>02/07/2023</c:v>
                </c:pt>
                <c:pt idx="4205">
                  <c:v>02/07/2023</c:v>
                </c:pt>
                <c:pt idx="4206">
                  <c:v>02/07/2023</c:v>
                </c:pt>
                <c:pt idx="4207">
                  <c:v>09/07/2023</c:v>
                </c:pt>
                <c:pt idx="4208">
                  <c:v>09/07/2023</c:v>
                </c:pt>
                <c:pt idx="4209">
                  <c:v>09/07/2023</c:v>
                </c:pt>
                <c:pt idx="4210">
                  <c:v>09/07/2023</c:v>
                </c:pt>
                <c:pt idx="4211">
                  <c:v>09/07/2023</c:v>
                </c:pt>
                <c:pt idx="4212">
                  <c:v>09/07/2023</c:v>
                </c:pt>
                <c:pt idx="4213">
                  <c:v>09/07/2023</c:v>
                </c:pt>
                <c:pt idx="4214">
                  <c:v>16/07/2023</c:v>
                </c:pt>
                <c:pt idx="4215">
                  <c:v>16/07/2023</c:v>
                </c:pt>
                <c:pt idx="4216">
                  <c:v>16/07/2023</c:v>
                </c:pt>
                <c:pt idx="4217">
                  <c:v>16/07/2023</c:v>
                </c:pt>
                <c:pt idx="4218">
                  <c:v>16/07/2023</c:v>
                </c:pt>
                <c:pt idx="4219">
                  <c:v>16/07/2023</c:v>
                </c:pt>
                <c:pt idx="4220">
                  <c:v>16/07/2023</c:v>
                </c:pt>
                <c:pt idx="4221">
                  <c:v>23/07/2023</c:v>
                </c:pt>
                <c:pt idx="4222">
                  <c:v>23/07/2023</c:v>
                </c:pt>
                <c:pt idx="4223">
                  <c:v>23/07/2023</c:v>
                </c:pt>
                <c:pt idx="4224">
                  <c:v>23/07/2023</c:v>
                </c:pt>
                <c:pt idx="4225">
                  <c:v>23/07/2023</c:v>
                </c:pt>
                <c:pt idx="4226">
                  <c:v>23/07/2023</c:v>
                </c:pt>
                <c:pt idx="4227">
                  <c:v>23/07/2023</c:v>
                </c:pt>
                <c:pt idx="4228">
                  <c:v>30/07/2023</c:v>
                </c:pt>
                <c:pt idx="4229">
                  <c:v>30/07/2023</c:v>
                </c:pt>
                <c:pt idx="4230">
                  <c:v>30/07/2023</c:v>
                </c:pt>
                <c:pt idx="4231">
                  <c:v>30/07/2023</c:v>
                </c:pt>
                <c:pt idx="4232">
                  <c:v>30/07/2023</c:v>
                </c:pt>
                <c:pt idx="4233">
                  <c:v>30/07/2023</c:v>
                </c:pt>
                <c:pt idx="4234">
                  <c:v>30/07/2023</c:v>
                </c:pt>
                <c:pt idx="4235">
                  <c:v>06/08/2023</c:v>
                </c:pt>
                <c:pt idx="4236">
                  <c:v>06/08/2023</c:v>
                </c:pt>
                <c:pt idx="4237">
                  <c:v>06/08/2023</c:v>
                </c:pt>
                <c:pt idx="4238">
                  <c:v>06/08/2023</c:v>
                </c:pt>
                <c:pt idx="4239">
                  <c:v>06/08/2023</c:v>
                </c:pt>
                <c:pt idx="4240">
                  <c:v>06/08/2023</c:v>
                </c:pt>
                <c:pt idx="4241">
                  <c:v>06/08/2023</c:v>
                </c:pt>
                <c:pt idx="4242">
                  <c:v>13/08/2023</c:v>
                </c:pt>
                <c:pt idx="4243">
                  <c:v>13/08/2023</c:v>
                </c:pt>
                <c:pt idx="4244">
                  <c:v>13/08/2023</c:v>
                </c:pt>
                <c:pt idx="4245">
                  <c:v>13/08/2023</c:v>
                </c:pt>
                <c:pt idx="4246">
                  <c:v>13/08/2023</c:v>
                </c:pt>
                <c:pt idx="4247">
                  <c:v>13/08/2023</c:v>
                </c:pt>
                <c:pt idx="4248">
                  <c:v>13/08/2023</c:v>
                </c:pt>
                <c:pt idx="4249">
                  <c:v>20/08/2023</c:v>
                </c:pt>
                <c:pt idx="4250">
                  <c:v>20/08/2023</c:v>
                </c:pt>
                <c:pt idx="4251">
                  <c:v>20/08/2023</c:v>
                </c:pt>
                <c:pt idx="4252">
                  <c:v>20/08/2023</c:v>
                </c:pt>
                <c:pt idx="4253">
                  <c:v>20/08/2023</c:v>
                </c:pt>
                <c:pt idx="4254">
                  <c:v>20/08/2023</c:v>
                </c:pt>
                <c:pt idx="4255">
                  <c:v>20/08/2023</c:v>
                </c:pt>
                <c:pt idx="4256">
                  <c:v>27/08/2023</c:v>
                </c:pt>
                <c:pt idx="4257">
                  <c:v>27/08/2023</c:v>
                </c:pt>
                <c:pt idx="4258">
                  <c:v>27/08/2023</c:v>
                </c:pt>
                <c:pt idx="4259">
                  <c:v>27/08/2023</c:v>
                </c:pt>
                <c:pt idx="4260">
                  <c:v>27/08/2023</c:v>
                </c:pt>
                <c:pt idx="4261">
                  <c:v>27/08/2023</c:v>
                </c:pt>
                <c:pt idx="4262">
                  <c:v>27/08/2023</c:v>
                </c:pt>
                <c:pt idx="4263">
                  <c:v>03/09/2023</c:v>
                </c:pt>
                <c:pt idx="4264">
                  <c:v>03/09/2023</c:v>
                </c:pt>
                <c:pt idx="4265">
                  <c:v>03/09/2023</c:v>
                </c:pt>
                <c:pt idx="4266">
                  <c:v>03/09/2023</c:v>
                </c:pt>
                <c:pt idx="4267">
                  <c:v>03/09/2023</c:v>
                </c:pt>
                <c:pt idx="4268">
                  <c:v>03/09/2023</c:v>
                </c:pt>
                <c:pt idx="4269">
                  <c:v>03/09/2023</c:v>
                </c:pt>
                <c:pt idx="4270">
                  <c:v>10/09/2023</c:v>
                </c:pt>
                <c:pt idx="4271">
                  <c:v>10/09/2023</c:v>
                </c:pt>
                <c:pt idx="4272">
                  <c:v>10/09/2023</c:v>
                </c:pt>
                <c:pt idx="4273">
                  <c:v>10/09/2023</c:v>
                </c:pt>
                <c:pt idx="4274">
                  <c:v>10/09/2023</c:v>
                </c:pt>
                <c:pt idx="4275">
                  <c:v>10/09/2023</c:v>
                </c:pt>
                <c:pt idx="4276">
                  <c:v>10/09/2023</c:v>
                </c:pt>
                <c:pt idx="4277">
                  <c:v>17/09/2023</c:v>
                </c:pt>
                <c:pt idx="4278">
                  <c:v>17/09/2023</c:v>
                </c:pt>
                <c:pt idx="4279">
                  <c:v>17/09/2023</c:v>
                </c:pt>
                <c:pt idx="4280">
                  <c:v>17/09/2023</c:v>
                </c:pt>
                <c:pt idx="4281">
                  <c:v>17/09/2023</c:v>
                </c:pt>
                <c:pt idx="4282">
                  <c:v>17/09/2023</c:v>
                </c:pt>
                <c:pt idx="4283">
                  <c:v>17/09/2023</c:v>
                </c:pt>
                <c:pt idx="4284">
                  <c:v>24/09/2023</c:v>
                </c:pt>
                <c:pt idx="4285">
                  <c:v>24/09/2023</c:v>
                </c:pt>
                <c:pt idx="4286">
                  <c:v>24/09/2023</c:v>
                </c:pt>
                <c:pt idx="4287">
                  <c:v>24/09/2023</c:v>
                </c:pt>
                <c:pt idx="4288">
                  <c:v>24/09/2023</c:v>
                </c:pt>
                <c:pt idx="4289">
                  <c:v>24/09/2023</c:v>
                </c:pt>
                <c:pt idx="4290">
                  <c:v>24/09/2023</c:v>
                </c:pt>
                <c:pt idx="4291">
                  <c:v>01/10/2023</c:v>
                </c:pt>
                <c:pt idx="4292">
                  <c:v>01/10/2023</c:v>
                </c:pt>
                <c:pt idx="4293">
                  <c:v>01/10/2023</c:v>
                </c:pt>
                <c:pt idx="4294">
                  <c:v>01/10/2023</c:v>
                </c:pt>
                <c:pt idx="4295">
                  <c:v>01/10/2023</c:v>
                </c:pt>
                <c:pt idx="4296">
                  <c:v>01/10/2023</c:v>
                </c:pt>
                <c:pt idx="4297">
                  <c:v>01/10/2023</c:v>
                </c:pt>
                <c:pt idx="4298">
                  <c:v>08/10/2023</c:v>
                </c:pt>
                <c:pt idx="4299">
                  <c:v>08/10/2023</c:v>
                </c:pt>
                <c:pt idx="4300">
                  <c:v>08/10/2023</c:v>
                </c:pt>
                <c:pt idx="4301">
                  <c:v>08/10/2023</c:v>
                </c:pt>
                <c:pt idx="4302">
                  <c:v>08/10/2023</c:v>
                </c:pt>
                <c:pt idx="4303">
                  <c:v>08/10/2023</c:v>
                </c:pt>
                <c:pt idx="4304">
                  <c:v>08/10/2023</c:v>
                </c:pt>
                <c:pt idx="4305">
                  <c:v>15/10/2023</c:v>
                </c:pt>
                <c:pt idx="4306">
                  <c:v>15/10/2023</c:v>
                </c:pt>
                <c:pt idx="4307">
                  <c:v>15/10/2023</c:v>
                </c:pt>
                <c:pt idx="4308">
                  <c:v>15/10/2023</c:v>
                </c:pt>
                <c:pt idx="4309">
                  <c:v>15/10/2023</c:v>
                </c:pt>
                <c:pt idx="4310">
                  <c:v>15/10/2023</c:v>
                </c:pt>
                <c:pt idx="4311">
                  <c:v>15/10/2023</c:v>
                </c:pt>
                <c:pt idx="4312">
                  <c:v>22/10/2023</c:v>
                </c:pt>
                <c:pt idx="4313">
                  <c:v>22/10/2023</c:v>
                </c:pt>
                <c:pt idx="4314">
                  <c:v>22/10/2023</c:v>
                </c:pt>
                <c:pt idx="4315">
                  <c:v>22/10/2023</c:v>
                </c:pt>
                <c:pt idx="4316">
                  <c:v>22/10/2023</c:v>
                </c:pt>
                <c:pt idx="4317">
                  <c:v>22/10/2023</c:v>
                </c:pt>
                <c:pt idx="4318">
                  <c:v>22/10/2023</c:v>
                </c:pt>
                <c:pt idx="4319">
                  <c:v>29/10/2023</c:v>
                </c:pt>
                <c:pt idx="4320">
                  <c:v>29/10/2023</c:v>
                </c:pt>
                <c:pt idx="4321">
                  <c:v>29/10/2023</c:v>
                </c:pt>
                <c:pt idx="4322">
                  <c:v>29/10/2023</c:v>
                </c:pt>
                <c:pt idx="4323">
                  <c:v>29/10/2023</c:v>
                </c:pt>
                <c:pt idx="4324">
                  <c:v>29/10/2023</c:v>
                </c:pt>
                <c:pt idx="4325">
                  <c:v>29/10/2023</c:v>
                </c:pt>
                <c:pt idx="4326">
                  <c:v>05/11/2023</c:v>
                </c:pt>
                <c:pt idx="4327">
                  <c:v>05/11/2023</c:v>
                </c:pt>
                <c:pt idx="4328">
                  <c:v>05/11/2023</c:v>
                </c:pt>
                <c:pt idx="4329">
                  <c:v>05/11/2023</c:v>
                </c:pt>
                <c:pt idx="4330">
                  <c:v>05/11/2023</c:v>
                </c:pt>
                <c:pt idx="4331">
                  <c:v>05/11/2023</c:v>
                </c:pt>
                <c:pt idx="4332">
                  <c:v>05/11/2023</c:v>
                </c:pt>
                <c:pt idx="4333">
                  <c:v>12/11/2023</c:v>
                </c:pt>
                <c:pt idx="4334">
                  <c:v>12/11/2023</c:v>
                </c:pt>
                <c:pt idx="4335">
                  <c:v>12/11/2023</c:v>
                </c:pt>
                <c:pt idx="4336">
                  <c:v>12/11/2023</c:v>
                </c:pt>
                <c:pt idx="4337">
                  <c:v>12/11/2023</c:v>
                </c:pt>
                <c:pt idx="4338">
                  <c:v>12/11/2023</c:v>
                </c:pt>
                <c:pt idx="4339">
                  <c:v>12/11/2023</c:v>
                </c:pt>
                <c:pt idx="4340">
                  <c:v>19/11/2023</c:v>
                </c:pt>
                <c:pt idx="4341">
                  <c:v>19/11/2023</c:v>
                </c:pt>
                <c:pt idx="4342">
                  <c:v>19/11/2023</c:v>
                </c:pt>
                <c:pt idx="4343">
                  <c:v>19/11/2023</c:v>
                </c:pt>
                <c:pt idx="4344">
                  <c:v>19/11/2023</c:v>
                </c:pt>
                <c:pt idx="4345">
                  <c:v>19/11/2023</c:v>
                </c:pt>
                <c:pt idx="4346">
                  <c:v>19/11/2023</c:v>
                </c:pt>
                <c:pt idx="4347">
                  <c:v>26/11/2023</c:v>
                </c:pt>
                <c:pt idx="4348">
                  <c:v>26/11/2023</c:v>
                </c:pt>
                <c:pt idx="4349">
                  <c:v>26/11/2023</c:v>
                </c:pt>
                <c:pt idx="4350">
                  <c:v>26/11/2023</c:v>
                </c:pt>
                <c:pt idx="4351">
                  <c:v>26/11/2023</c:v>
                </c:pt>
                <c:pt idx="4352">
                  <c:v>26/11/2023</c:v>
                </c:pt>
                <c:pt idx="4353">
                  <c:v>26/11/2023</c:v>
                </c:pt>
                <c:pt idx="4354">
                  <c:v>03/12/2023</c:v>
                </c:pt>
                <c:pt idx="4355">
                  <c:v>03/12/2023</c:v>
                </c:pt>
                <c:pt idx="4356">
                  <c:v>03/12/2023</c:v>
                </c:pt>
                <c:pt idx="4357">
                  <c:v>03/12/2023</c:v>
                </c:pt>
                <c:pt idx="4358">
                  <c:v>03/12/2023</c:v>
                </c:pt>
                <c:pt idx="4359">
                  <c:v>03/12/2023</c:v>
                </c:pt>
                <c:pt idx="4360">
                  <c:v>03/12/2023</c:v>
                </c:pt>
                <c:pt idx="4361">
                  <c:v>10/12/2023</c:v>
                </c:pt>
                <c:pt idx="4362">
                  <c:v>10/12/2023</c:v>
                </c:pt>
                <c:pt idx="4363">
                  <c:v>10/12/2023</c:v>
                </c:pt>
                <c:pt idx="4364">
                  <c:v>10/12/2023</c:v>
                </c:pt>
                <c:pt idx="4365">
                  <c:v>10/12/2023</c:v>
                </c:pt>
                <c:pt idx="4366">
                  <c:v>10/12/2023</c:v>
                </c:pt>
                <c:pt idx="4367">
                  <c:v>10/12/2023</c:v>
                </c:pt>
                <c:pt idx="4368">
                  <c:v>17/12/2023</c:v>
                </c:pt>
                <c:pt idx="4369">
                  <c:v>17/12/2023</c:v>
                </c:pt>
                <c:pt idx="4370">
                  <c:v>17/12/2023</c:v>
                </c:pt>
                <c:pt idx="4371">
                  <c:v>17/12/2023</c:v>
                </c:pt>
                <c:pt idx="4372">
                  <c:v>17/12/2023</c:v>
                </c:pt>
                <c:pt idx="4373">
                  <c:v>17/12/2023</c:v>
                </c:pt>
                <c:pt idx="4374">
                  <c:v>17/12/2023</c:v>
                </c:pt>
                <c:pt idx="4375">
                  <c:v>24/12/2023</c:v>
                </c:pt>
                <c:pt idx="4376">
                  <c:v>24/12/2023</c:v>
                </c:pt>
                <c:pt idx="4377">
                  <c:v>24/12/2023</c:v>
                </c:pt>
                <c:pt idx="4378">
                  <c:v>24/12/2023</c:v>
                </c:pt>
                <c:pt idx="4379">
                  <c:v>24/12/2023</c:v>
                </c:pt>
                <c:pt idx="4380">
                  <c:v>24/12/2023</c:v>
                </c:pt>
                <c:pt idx="4381">
                  <c:v>24/12/2023</c:v>
                </c:pt>
                <c:pt idx="4382">
                  <c:v>31/12/2023</c:v>
                </c:pt>
              </c:numCache>
            </c:numRef>
          </c:cat>
          <c:val>
            <c:numRef>
              <c:f>xy!$E$3:$E$4386</c:f>
              <c:numCache>
                <c:formatCode>General</c:formatCode>
                <c:ptCount val="4384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69192082"/>
        <c:axId val="47583653"/>
      </c:lineChart>
      <c:dateAx>
        <c:axId val="16151251"/>
        <c:scaling>
          <c:orientation val="minMax"/>
          <c:min val="43831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1479715"/>
        <c:crosses val="autoZero"/>
        <c:auto val="1"/>
        <c:lblOffset val="100"/>
        <c:baseTimeUnit val="days"/>
        <c:noMultiLvlLbl val="0"/>
      </c:dateAx>
      <c:valAx>
        <c:axId val="81479715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6151251"/>
        <c:crosses val="autoZero"/>
        <c:crossBetween val="between"/>
      </c:valAx>
      <c:catAx>
        <c:axId val="6919208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7583653"/>
        <c:auto val="1"/>
        <c:lblAlgn val="ctr"/>
        <c:lblOffset val="100"/>
        <c:noMultiLvlLbl val="0"/>
      </c:catAx>
      <c:valAx>
        <c:axId val="47583653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9192082"/>
        <c:crosses val="max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ffffff"/>
    </a:solidFill>
    <a:ln w="9360">
      <a:noFill/>
    </a:ln>
  </c:sp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tx>
            <c:strRef>
              <c:f>xy!$E$3</c:f>
              <c:strCache>
                <c:ptCount val="1"/>
                <c:pt idx="0">
                  <c:v>fcc_margin_net_gas</c:v>
                </c:pt>
              </c:strCache>
            </c:strRef>
          </c:tx>
          <c:spPr>
            <a:solidFill>
              <a:srgbClr val="c00000"/>
            </a:solidFill>
            <a:ln w="25560">
              <a:noFill/>
            </a:ln>
          </c:spPr>
          <c:marker>
            <c:symbol val="circle"/>
            <c:size val="4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22320">
                <a:solidFill>
                  <a:srgbClr val="000000"/>
                </a:solidFill>
                <a:round/>
              </a:ln>
            </c:spPr>
            <c:trendlineType val="linear"/>
            <c:forward val="0"/>
            <c:backward val="0"/>
            <c:dispRSqr val="0"/>
            <c:dispEq val="1"/>
          </c:trendline>
          <c:xVal>
            <c:numRef>
              <c:f>xy!$D$4:$D$4386</c:f>
              <c:numCache>
                <c:formatCode>General</c:formatCode>
                <c:ptCount val="4383"/>
              </c:numCache>
            </c:numRef>
          </c:xVal>
          <c:yVal>
            <c:numRef>
              <c:f>xy!$E$4:$E$4386</c:f>
              <c:numCache>
                <c:formatCode>General</c:formatCode>
                <c:ptCount val="4383"/>
              </c:numCache>
            </c:numRef>
          </c:yVal>
          <c:smooth val="0"/>
        </c:ser>
        <c:axId val="42985116"/>
        <c:axId val="61825928"/>
      </c:scatterChart>
      <c:valAx>
        <c:axId val="4298511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000000"/>
                    </a:solidFill>
                    <a:latin typeface="Calibri"/>
                  </a:rPr>
                  <a:t>ara_stocks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825928"/>
        <c:crosses val="autoZero"/>
        <c:crossBetween val="midCat"/>
      </c:valAx>
      <c:valAx>
        <c:axId val="61825928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000000"/>
                    </a:solidFill>
                    <a:latin typeface="Calibri"/>
                  </a:rPr>
                  <a:t>fcc_margin_net_gas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2985116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44871420222092"/>
          <c:y val="0.0215229851444613"/>
          <c:w val="0.822618351841029"/>
          <c:h val="0.78254766639373"/>
        </c:manualLayout>
      </c:layout>
      <c:scatterChart>
        <c:scatterStyle val="lineMarker"/>
        <c:varyColors val="0"/>
        <c:ser>
          <c:idx val="0"/>
          <c:order val="0"/>
          <c:tx>
            <c:strRef>
              <c:f>xy!$E$3</c:f>
              <c:strCache>
                <c:ptCount val="1"/>
                <c:pt idx="0">
                  <c:v>fcc_margin_net_gas</c:v>
                </c:pt>
              </c:strCache>
            </c:strRef>
          </c:tx>
          <c:spPr>
            <a:solidFill>
              <a:srgbClr val="c00000"/>
            </a:solidFill>
            <a:ln w="25560">
              <a:noFill/>
            </a:ln>
          </c:spPr>
          <c:marker>
            <c:symbol val="circle"/>
            <c:size val="4"/>
            <c:spPr>
              <a:solidFill>
                <a:srgbClr val="c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22320">
                <a:solidFill>
                  <a:srgbClr val="000000"/>
                </a:solidFill>
                <a:round/>
              </a:ln>
            </c:spPr>
            <c:trendlineType val="poly"/>
            <c:order val="3"/>
            <c:forward val="0"/>
            <c:backward val="0"/>
            <c:dispRSqr val="0"/>
            <c:dispEq val="1"/>
          </c:trendline>
          <c:xVal>
            <c:numRef>
              <c:f>xy!$D$4:$D$4386</c:f>
              <c:numCache>
                <c:formatCode>General</c:formatCode>
                <c:ptCount val="4383"/>
              </c:numCache>
            </c:numRef>
          </c:xVal>
          <c:yVal>
            <c:numRef>
              <c:f>xy!$E$4:$E$4386</c:f>
              <c:numCache>
                <c:formatCode>General</c:formatCode>
                <c:ptCount val="4383"/>
              </c:numCache>
            </c:numRef>
          </c:yVal>
          <c:smooth val="0"/>
        </c:ser>
        <c:axId val="47326615"/>
        <c:axId val="50229411"/>
      </c:scatterChart>
      <c:valAx>
        <c:axId val="4732661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000000"/>
                    </a:solidFill>
                    <a:latin typeface="Calibri"/>
                  </a:rPr>
                  <a:t>ara_stocks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936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0229411"/>
        <c:crosses val="autoZero"/>
        <c:crossBetween val="midCat"/>
      </c:valAx>
      <c:valAx>
        <c:axId val="50229411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>
                  <a:alpha val="56000"/>
                </a:srgbClr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000000"/>
                    </a:solidFill>
                    <a:latin typeface="Calibri"/>
                  </a:rPr>
                  <a:t>fcc_margin_net_gas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648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7326615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  <c:userShapes r:id="rId1"/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6</xdr:row>
      <xdr:rowOff>0</xdr:rowOff>
    </xdr:from>
    <xdr:to>
      <xdr:col>6</xdr:col>
      <xdr:colOff>421200</xdr:colOff>
      <xdr:row>23</xdr:row>
      <xdr:rowOff>1800</xdr:rowOff>
    </xdr:to>
    <xdr:graphicFrame>
      <xdr:nvGraphicFramePr>
        <xdr:cNvPr id="0" name="daily_seasonal_chart"/>
        <xdr:cNvGraphicFramePr/>
      </xdr:nvGraphicFramePr>
      <xdr:xfrm>
        <a:off x="595800" y="1114560"/>
        <a:ext cx="5090040" cy="3078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24</xdr:row>
      <xdr:rowOff>0</xdr:rowOff>
    </xdr:from>
    <xdr:to>
      <xdr:col>6</xdr:col>
      <xdr:colOff>418320</xdr:colOff>
      <xdr:row>41</xdr:row>
      <xdr:rowOff>2160</xdr:rowOff>
    </xdr:to>
    <xdr:graphicFrame>
      <xdr:nvGraphicFramePr>
        <xdr:cNvPr id="1" name="daily_seasonal_chart_2"/>
        <xdr:cNvGraphicFramePr/>
      </xdr:nvGraphicFramePr>
      <xdr:xfrm>
        <a:off x="595800" y="4371840"/>
        <a:ext cx="5087160" cy="3078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6</xdr:row>
      <xdr:rowOff>0</xdr:rowOff>
    </xdr:from>
    <xdr:to>
      <xdr:col>7</xdr:col>
      <xdr:colOff>94680</xdr:colOff>
      <xdr:row>23</xdr:row>
      <xdr:rowOff>1800</xdr:rowOff>
    </xdr:to>
    <xdr:graphicFrame>
      <xdr:nvGraphicFramePr>
        <xdr:cNvPr id="2" name="daily_seasonal_chart"/>
        <xdr:cNvGraphicFramePr/>
      </xdr:nvGraphicFramePr>
      <xdr:xfrm>
        <a:off x="595800" y="1114560"/>
        <a:ext cx="5054040" cy="3078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25</xdr:row>
      <xdr:rowOff>0</xdr:rowOff>
    </xdr:from>
    <xdr:to>
      <xdr:col>7</xdr:col>
      <xdr:colOff>91800</xdr:colOff>
      <xdr:row>42</xdr:row>
      <xdr:rowOff>2160</xdr:rowOff>
    </xdr:to>
    <xdr:graphicFrame>
      <xdr:nvGraphicFramePr>
        <xdr:cNvPr id="3" name="daily_seasonal_chart_2"/>
        <xdr:cNvGraphicFramePr/>
      </xdr:nvGraphicFramePr>
      <xdr:xfrm>
        <a:off x="595800" y="4552920"/>
        <a:ext cx="5051160" cy="3078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20</xdr:col>
      <xdr:colOff>0</xdr:colOff>
      <xdr:row>23</xdr:row>
      <xdr:rowOff>0</xdr:rowOff>
    </xdr:from>
    <xdr:to>
      <xdr:col>28</xdr:col>
      <xdr:colOff>198360</xdr:colOff>
      <xdr:row>40</xdr:row>
      <xdr:rowOff>720</xdr:rowOff>
    </xdr:to>
    <xdr:graphicFrame>
      <xdr:nvGraphicFramePr>
        <xdr:cNvPr id="4" name="seasonal_chart"/>
        <xdr:cNvGraphicFramePr/>
      </xdr:nvGraphicFramePr>
      <xdr:xfrm>
        <a:off x="12303000" y="4295880"/>
        <a:ext cx="4963680" cy="307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0</xdr:colOff>
      <xdr:row>23</xdr:row>
      <xdr:rowOff>0</xdr:rowOff>
    </xdr:from>
    <xdr:to>
      <xdr:col>19</xdr:col>
      <xdr:colOff>7920</xdr:colOff>
      <xdr:row>40</xdr:row>
      <xdr:rowOff>720</xdr:rowOff>
    </xdr:to>
    <xdr:graphicFrame>
      <xdr:nvGraphicFramePr>
        <xdr:cNvPr id="5" name="time_series_chart"/>
        <xdr:cNvGraphicFramePr/>
      </xdr:nvGraphicFramePr>
      <xdr:xfrm>
        <a:off x="6692400" y="4295880"/>
        <a:ext cx="5023080" cy="307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0.161387415794754</cdr:x>
      <cdr:y>0.047724880102936</cdr:y>
    </cdr:from>
    <cdr:to>
      <cdr:x>0.46839615880751</cdr:x>
      <cdr:y>0.137442975786642</cdr:y>
    </cdr:to>
    <cdr:sp>
      <cdr:nvSpPr>
        <cdr:cNvPr id="6" name="TextBox 1"/>
        <cdr:cNvSpPr/>
      </cdr:nvSpPr>
      <cdr:spPr>
        <a:xfrm>
          <a:off x="810720" y="146880"/>
          <a:ext cx="1542240" cy="276120"/>
        </a:xfrm>
        <a:prstGeom prst="rect">
          <a:avLst/>
        </a:prstGeom>
        <a:noFill/>
        <a:ln w="0">
          <a:noFill/>
        </a:ln>
      </cdr:spPr>
      <cdr:style>
        <a:lnRef idx="0"/>
        <a:fillRef idx="0"/>
        <a:effectRef idx="0"/>
        <a:fontRef idx="minor"/>
      </cdr:style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0</xdr:colOff>
      <xdr:row>2</xdr:row>
      <xdr:rowOff>0</xdr:rowOff>
    </xdr:from>
    <xdr:to>
      <xdr:col>14</xdr:col>
      <xdr:colOff>162360</xdr:colOff>
      <xdr:row>19</xdr:row>
      <xdr:rowOff>720</xdr:rowOff>
    </xdr:to>
    <xdr:graphicFrame>
      <xdr:nvGraphicFramePr>
        <xdr:cNvPr id="7" name="xy_chart_1"/>
        <xdr:cNvGraphicFramePr/>
      </xdr:nvGraphicFramePr>
      <xdr:xfrm>
        <a:off x="6444720" y="361800"/>
        <a:ext cx="4927320" cy="307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20</xdr:row>
      <xdr:rowOff>0</xdr:rowOff>
    </xdr:from>
    <xdr:to>
      <xdr:col>14</xdr:col>
      <xdr:colOff>162360</xdr:colOff>
      <xdr:row>37</xdr:row>
      <xdr:rowOff>1080</xdr:rowOff>
    </xdr:to>
    <xdr:graphicFrame>
      <xdr:nvGraphicFramePr>
        <xdr:cNvPr id="9" name="xy_chart_1"/>
        <xdr:cNvGraphicFramePr/>
      </xdr:nvGraphicFramePr>
      <xdr:xfrm>
        <a:off x="6444720" y="3619440"/>
        <a:ext cx="4927320" cy="3077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38</xdr:row>
      <xdr:rowOff>0</xdr:rowOff>
    </xdr:from>
    <xdr:to>
      <xdr:col>14</xdr:col>
      <xdr:colOff>162360</xdr:colOff>
      <xdr:row>55</xdr:row>
      <xdr:rowOff>720</xdr:rowOff>
    </xdr:to>
    <xdr:graphicFrame>
      <xdr:nvGraphicFramePr>
        <xdr:cNvPr id="11" name="xy_chart_1"/>
        <xdr:cNvGraphicFramePr/>
      </xdr:nvGraphicFramePr>
      <xdr:xfrm>
        <a:off x="6444720" y="6877080"/>
        <a:ext cx="4927320" cy="307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0.161382232612507</cdr:x>
      <cdr:y>0.047724880102936</cdr:y>
    </cdr:from>
    <cdr:to>
      <cdr:x>0.468366452367037</cdr:x>
      <cdr:y>0.137442975786642</cdr:y>
    </cdr:to>
    <cdr:sp>
      <cdr:nvSpPr>
        <cdr:cNvPr id="8" name="TextBox 1"/>
        <cdr:cNvSpPr/>
      </cdr:nvSpPr>
      <cdr:spPr>
        <a:xfrm>
          <a:off x="795240" y="146880"/>
          <a:ext cx="1512720" cy="276120"/>
        </a:xfrm>
        <a:prstGeom prst="rect">
          <a:avLst/>
        </a:prstGeom>
        <a:noFill/>
        <a:ln w="0">
          <a:noFill/>
        </a:ln>
      </cdr:spPr>
      <cdr:style>
        <a:lnRef idx="0"/>
        <a:fillRef idx="0"/>
        <a:effectRef idx="0"/>
        <a:fontRef idx="minor"/>
      </cdr:style>
    </cdr:sp>
  </cdr:relSizeAnchor>
</c:userShapes>
</file>

<file path=xl/drawings/drawing7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0.161382232612507</cdr:x>
      <cdr:y>0.047719298245614</cdr:y>
    </cdr:from>
    <cdr:to>
      <cdr:x>0.468366452367037</cdr:x>
      <cdr:y>0.137426900584795</cdr:y>
    </cdr:to>
    <cdr:sp>
      <cdr:nvSpPr>
        <cdr:cNvPr id="10" name="TextBox 1"/>
        <cdr:cNvSpPr/>
      </cdr:nvSpPr>
      <cdr:spPr>
        <a:xfrm>
          <a:off x="795240" y="146880"/>
          <a:ext cx="1512720" cy="276120"/>
        </a:xfrm>
        <a:prstGeom prst="rect">
          <a:avLst/>
        </a:prstGeom>
        <a:noFill/>
        <a:ln w="0">
          <a:noFill/>
        </a:ln>
      </cdr:spPr>
      <cdr:style>
        <a:lnRef idx="0"/>
        <a:fillRef idx="0"/>
        <a:effectRef idx="0"/>
        <a:fontRef idx="minor"/>
      </cdr:style>
    </cdr:sp>
  </cdr:relSizeAnchor>
</c:userShapes>
</file>

<file path=xl/drawings/drawing8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0.161382232612507</cdr:x>
      <cdr:y>0.047724880102936</cdr:y>
    </cdr:from>
    <cdr:to>
      <cdr:x>0.468366452367037</cdr:x>
      <cdr:y>0.137442975786642</cdr:y>
    </cdr:to>
    <cdr:sp>
      <cdr:nvSpPr>
        <cdr:cNvPr id="12" name="TextBox 1"/>
        <cdr:cNvSpPr/>
      </cdr:nvSpPr>
      <cdr:spPr>
        <a:xfrm>
          <a:off x="795240" y="146880"/>
          <a:ext cx="1512720" cy="276120"/>
        </a:xfrm>
        <a:prstGeom prst="rect">
          <a:avLst/>
        </a:prstGeom>
        <a:noFill/>
        <a:ln w="0">
          <a:noFill/>
        </a:ln>
      </cdr:spPr>
      <cdr:style>
        <a:lnRef idx="0"/>
        <a:fillRef idx="0"/>
        <a:effectRef idx="0"/>
        <a:fontRef idx="minor"/>
      </cdr:style>
    </cdr:sp>
  </cdr:relSizeAnchor>
</c:userShape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2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3.v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8.453125" defaultRowHeight="14.25" zeroHeight="false" outlineLevelRow="0" outlineLevelCol="0"/>
  <sheetData>
    <row r="1" customFormat="false" ht="14.25" hidden="false" customHeight="false" outlineLevel="0" collapsed="false">
      <c r="A1" s="1" t="s">
        <v>0</v>
      </c>
      <c r="B1" s="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453125" defaultRowHeight="14.25" zeroHeight="false" outlineLevelRow="0" outlineLevelCol="0"/>
  <cols>
    <col collapsed="false" customWidth="true" hidden="false" outlineLevel="0" max="1" min="1" style="1" width="10.66"/>
    <col collapsed="false" customWidth="true" hidden="false" outlineLevel="0" max="9" min="2" style="1" width="20.88"/>
    <col collapsed="false" customWidth="true" hidden="false" outlineLevel="0" max="10" min="10" style="1" width="20.33"/>
    <col collapsed="false" customWidth="true" hidden="false" outlineLevel="0" max="11" min="11" style="1" width="18.67"/>
    <col collapsed="false" customWidth="true" hidden="false" outlineLevel="0" max="15" min="12" style="1" width="20.88"/>
  </cols>
  <sheetData>
    <row r="1" s="3" customFormat="true" ht="13.8" hidden="false" customHeight="false" outlineLevel="0" collapsed="false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="6" customFormat="true" ht="13.8" hidden="false" customHeight="false" outlineLevel="0" collapsed="false">
      <c r="A2" s="5"/>
    </row>
    <row r="3" customFormat="false" ht="13.8" hidden="false" customHeight="false" outlineLevel="0" collapsed="false">
      <c r="A3" s="7" t="n">
        <v>44927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customFormat="false" ht="13.8" hidden="false" customHeight="false" outlineLevel="0" collapsed="false">
      <c r="A4" s="7" t="n">
        <f aca="false">EOMONTH(A3,0)+1</f>
        <v>44958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customFormat="false" ht="13.8" hidden="false" customHeight="false" outlineLevel="0" collapsed="false">
      <c r="A5" s="7" t="n">
        <f aca="false">EOMONTH(A4,0)+1</f>
        <v>44986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customFormat="false" ht="13.8" hidden="false" customHeight="false" outlineLevel="0" collapsed="false">
      <c r="A6" s="7" t="n">
        <f aca="false">EOMONTH(A5,0)+1</f>
        <v>45017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customFormat="false" ht="13.8" hidden="false" customHeight="false" outlineLevel="0" collapsed="false">
      <c r="A7" s="7" t="n">
        <f aca="false">EOMONTH(A6,0)+1</f>
        <v>45047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customFormat="false" ht="13.8" hidden="false" customHeight="false" outlineLevel="0" collapsed="false">
      <c r="A8" s="7" t="n">
        <f aca="false">EOMONTH(A7,0)+1</f>
        <v>45078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customFormat="false" ht="13.8" hidden="false" customHeight="false" outlineLevel="0" collapsed="false">
      <c r="A9" s="7" t="n">
        <f aca="false">EOMONTH(A8,0)+1</f>
        <v>45108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customFormat="false" ht="13.8" hidden="false" customHeight="false" outlineLevel="0" collapsed="false">
      <c r="A10" s="7" t="n">
        <f aca="false">EOMONTH(A9,0)+1</f>
        <v>45139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customFormat="false" ht="13.8" hidden="false" customHeight="false" outlineLevel="0" collapsed="false">
      <c r="A11" s="7" t="n">
        <f aca="false">EOMONTH(A10,0)+1</f>
        <v>45170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customFormat="false" ht="13.8" hidden="false" customHeight="false" outlineLevel="0" collapsed="false">
      <c r="A12" s="7" t="n">
        <f aca="false">EOMONTH(A11,0)+1</f>
        <v>45200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customFormat="false" ht="13.8" hidden="false" customHeight="false" outlineLevel="0" collapsed="false">
      <c r="A13" s="7" t="n">
        <f aca="false">EOMONTH(A12,0)+1</f>
        <v>45231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customFormat="false" ht="13.8" hidden="false" customHeight="false" outlineLevel="0" collapsed="false">
      <c r="A14" s="7" t="n">
        <f aca="false">EOMONTH(A13,0)+1</f>
        <v>45261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customFormat="false" ht="13.8" hidden="false" customHeight="false" outlineLevel="0" collapsed="false">
      <c r="A15" s="7" t="n">
        <f aca="false">EOMONTH(A14,0)+1</f>
        <v>45292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customFormat="false" ht="13.8" hidden="false" customHeight="false" outlineLevel="0" collapsed="false">
      <c r="A16" s="7" t="n">
        <f aca="false">EOMONTH(A15,0)+1</f>
        <v>45323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customFormat="false" ht="13.8" hidden="false" customHeight="false" outlineLevel="0" collapsed="false">
      <c r="A17" s="7" t="n">
        <f aca="false">EOMONTH(A16,0)+1</f>
        <v>45352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customFormat="false" ht="13.8" hidden="false" customHeight="false" outlineLevel="0" collapsed="false">
      <c r="A18" s="7" t="n">
        <f aca="false">EOMONTH(A17,0)+1</f>
        <v>45383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customFormat="false" ht="13.8" hidden="false" customHeight="false" outlineLevel="0" collapsed="false">
      <c r="A19" s="7" t="n">
        <f aca="false">EOMONTH(A18,0)+1</f>
        <v>45413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customFormat="false" ht="13.8" hidden="false" customHeight="false" outlineLevel="0" collapsed="false">
      <c r="A20" s="7" t="n">
        <f aca="false">EOMONTH(A19,0)+1</f>
        <v>45444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customFormat="false" ht="13.8" hidden="false" customHeight="false" outlineLevel="0" collapsed="false">
      <c r="A21" s="7" t="n">
        <f aca="false">EOMONTH(A20,0)+1</f>
        <v>45474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customFormat="false" ht="13.8" hidden="false" customHeight="false" outlineLevel="0" collapsed="false">
      <c r="A22" s="7" t="n">
        <f aca="false">EOMONTH(A21,0)+1</f>
        <v>45505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customFormat="false" ht="13.8" hidden="false" customHeight="false" outlineLevel="0" collapsed="false">
      <c r="A23" s="7" t="n">
        <f aca="false">EOMONTH(A22,0)+1</f>
        <v>45536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customFormat="false" ht="13.8" hidden="false" customHeight="false" outlineLevel="0" collapsed="false">
      <c r="A24" s="7" t="n">
        <f aca="false">EOMONTH(A23,0)+1</f>
        <v>45566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customFormat="false" ht="13.8" hidden="false" customHeight="false" outlineLevel="0" collapsed="false">
      <c r="A25" s="7" t="n">
        <f aca="false">EOMONTH(A24,0)+1</f>
        <v>45597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customFormat="false" ht="13.8" hidden="false" customHeight="false" outlineLevel="0" collapsed="false">
      <c r="A26" s="7" t="n">
        <f aca="false">EOMONTH(A25,0)+1</f>
        <v>45627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Y2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2" topLeftCell="B3" activePane="bottomRight" state="frozen"/>
      <selection pane="topLeft" activeCell="A1" activeCellId="0" sqref="A1"/>
      <selection pane="topRight" activeCell="B1" activeCellId="0" sqref="B1"/>
      <selection pane="bottomLeft" activeCell="A3" activeCellId="0" sqref="A3"/>
      <selection pane="bottomRight" activeCell="A1" activeCellId="0" sqref="A1"/>
    </sheetView>
  </sheetViews>
  <sheetFormatPr defaultColWidth="19.00390625" defaultRowHeight="14.25" zeroHeight="false" outlineLevelRow="0" outlineLevelCol="0"/>
  <sheetData>
    <row r="1" customFormat="false" ht="14.25" hidden="false" customHeight="false" outlineLevel="0" collapsed="false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="13" customFormat="true" ht="13.8" hidden="false" customHeight="false" outlineLevel="0" collapsed="false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2"/>
    </row>
    <row r="3" customFormat="false" ht="13.8" hidden="false" customHeight="false" outlineLevel="0" collapsed="false">
      <c r="A3" s="7" t="n">
        <v>38353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</row>
    <row r="4" customFormat="false" ht="13.8" hidden="false" customHeight="false" outlineLevel="0" collapsed="false">
      <c r="A4" s="7" t="n">
        <f aca="false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</row>
    <row r="5" customFormat="false" ht="13.8" hidden="false" customHeight="false" outlineLevel="0" collapsed="false">
      <c r="A5" s="7" t="n">
        <f aca="false">EOMONTH(A4,0)+1</f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customFormat="false" ht="13.8" hidden="false" customHeight="false" outlineLevel="0" collapsed="false">
      <c r="A6" s="7" t="n">
        <f aca="false">EOMONTH(A5,0)+1</f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customFormat="false" ht="13.8" hidden="false" customHeight="false" outlineLevel="0" collapsed="false">
      <c r="A7" s="7" t="n">
        <f aca="false">EOMONTH(A6,0)+1</f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  <row r="8" customFormat="false" ht="13.8" hidden="false" customHeight="false" outlineLevel="0" collapsed="false">
      <c r="A8" s="7" t="n">
        <f aca="false">EOMONTH(A7,0)+1</f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</row>
    <row r="9" customFormat="false" ht="13.8" hidden="false" customHeight="false" outlineLevel="0" collapsed="false">
      <c r="A9" s="7" t="n">
        <f aca="false">EOMONTH(A8,0)+1</f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</row>
    <row r="10" customFormat="false" ht="13.8" hidden="false" customHeight="false" outlineLevel="0" collapsed="false">
      <c r="A10" s="7" t="n">
        <f aca="false">EOMONTH(A9,0)+1</f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customFormat="false" ht="13.8" hidden="false" customHeight="false" outlineLevel="0" collapsed="false">
      <c r="A11" s="7" t="n">
        <f aca="false">EOMONTH(A10,0)+1</f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</row>
    <row r="12" customFormat="false" ht="13.8" hidden="false" customHeight="false" outlineLevel="0" collapsed="false">
      <c r="A12" s="7" t="n">
        <f aca="false">EOMONTH(A11,0)+1</f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3" customFormat="false" ht="13.8" hidden="false" customHeight="false" outlineLevel="0" collapsed="false">
      <c r="A13" s="7" t="n">
        <f aca="false">EOMONTH(A12,0)+1</f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customFormat="false" ht="13.8" hidden="false" customHeight="false" outlineLevel="0" collapsed="false">
      <c r="A14" s="7" t="n">
        <f aca="false">EOMONTH(A13,0)+1</f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</row>
    <row r="15" customFormat="false" ht="13.8" hidden="false" customHeight="false" outlineLevel="0" collapsed="false">
      <c r="A15" s="7" t="n">
        <f aca="false">EOMONTH(A14,0)+1</f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customFormat="false" ht="13.8" hidden="false" customHeight="false" outlineLevel="0" collapsed="false">
      <c r="A16" s="7" t="n">
        <f aca="false">EOMONTH(A15,0)+1</f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customFormat="false" ht="13.8" hidden="false" customHeight="false" outlineLevel="0" collapsed="false">
      <c r="A17" s="7" t="n">
        <f aca="false">EOMONTH(A16,0)+1</f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customFormat="false" ht="13.8" hidden="false" customHeight="false" outlineLevel="0" collapsed="false">
      <c r="A18" s="7" t="n">
        <f aca="false">EOMONTH(A17,0)+1</f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customFormat="false" ht="13.8" hidden="false" customHeight="false" outlineLevel="0" collapsed="false">
      <c r="A19" s="7" t="n">
        <f aca="false">EOMONTH(A18,0)+1</f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customFormat="false" ht="13.8" hidden="false" customHeight="false" outlineLevel="0" collapsed="false">
      <c r="A20" s="7" t="n">
        <f aca="false">EOMONTH(A19,0)+1</f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customFormat="false" ht="13.8" hidden="false" customHeight="false" outlineLevel="0" collapsed="false">
      <c r="A21" s="7" t="n">
        <f aca="false">EOMONTH(A20,0)+1</f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customFormat="false" ht="13.8" hidden="false" customHeight="false" outlineLevel="0" collapsed="false">
      <c r="A22" s="7" t="n">
        <f aca="false">EOMONTH(A21,0)+1</f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customFormat="false" ht="13.8" hidden="false" customHeight="false" outlineLevel="0" collapsed="false">
      <c r="A23" s="7" t="n">
        <f aca="false">EOMONTH(A22,0)+1</f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customFormat="false" ht="13.8" hidden="false" customHeight="false" outlineLevel="0" collapsed="false">
      <c r="A24" s="7" t="n">
        <f aca="false">EOMONTH(A23,0)+1</f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customFormat="false" ht="13.8" hidden="false" customHeight="false" outlineLevel="0" collapsed="false">
      <c r="A25" s="7" t="n">
        <f aca="false">EOMONTH(A24,0)+1</f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customFormat="false" ht="13.8" hidden="false" customHeight="false" outlineLevel="0" collapsed="false">
      <c r="A26" s="7" t="n">
        <f aca="false">EOMONTH(A25,0)+1</f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customFormat="false" ht="13.8" hidden="false" customHeight="false" outlineLevel="0" collapsed="false">
      <c r="A27" s="7" t="n">
        <f aca="false">EOMONTH(A26,0)+1</f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  <row r="28" customFormat="false" ht="13.8" hidden="false" customHeight="false" outlineLevel="0" collapsed="false">
      <c r="A28" s="7" t="n">
        <f aca="false">EOMONTH(A27,0)+1</f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customFormat="false" ht="13.8" hidden="false" customHeight="false" outlineLevel="0" collapsed="false">
      <c r="A29" s="7" t="n">
        <f aca="false">EOMONTH(A28,0)+1</f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</row>
    <row r="30" customFormat="false" ht="13.8" hidden="false" customHeight="false" outlineLevel="0" collapsed="false">
      <c r="A30" s="7" t="n">
        <f aca="false">EOMONTH(A29,0)+1</f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customFormat="false" ht="13.8" hidden="false" customHeight="false" outlineLevel="0" collapsed="false">
      <c r="A31" s="7" t="n">
        <f aca="false">EOMONTH(A30,0)+1</f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</row>
    <row r="32" customFormat="false" ht="13.8" hidden="false" customHeight="false" outlineLevel="0" collapsed="false">
      <c r="A32" s="7" t="n">
        <f aca="false">EOMONTH(A31,0)+1</f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customFormat="false" ht="13.8" hidden="false" customHeight="false" outlineLevel="0" collapsed="false">
      <c r="A33" s="7" t="n">
        <f aca="false">EOMONTH(A32,0)+1</f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customFormat="false" ht="13.8" hidden="false" customHeight="false" outlineLevel="0" collapsed="false">
      <c r="A34" s="7" t="n">
        <f aca="false">EOMONTH(A33,0)+1</f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customFormat="false" ht="13.8" hidden="false" customHeight="false" outlineLevel="0" collapsed="false">
      <c r="A35" s="7" t="n">
        <f aca="false">EOMONTH(A34,0)+1</f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customFormat="false" ht="13.8" hidden="false" customHeight="false" outlineLevel="0" collapsed="false">
      <c r="A36" s="7" t="n">
        <f aca="false">EOMONTH(A35,0)+1</f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customFormat="false" ht="13.8" hidden="false" customHeight="false" outlineLevel="0" collapsed="false">
      <c r="A37" s="7" t="n">
        <f aca="false">EOMONTH(A36,0)+1</f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</row>
    <row r="38" customFormat="false" ht="13.8" hidden="false" customHeight="false" outlineLevel="0" collapsed="false">
      <c r="A38" s="7" t="n">
        <f aca="false">EOMONTH(A37,0)+1</f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</row>
    <row r="39" customFormat="false" ht="13.8" hidden="false" customHeight="false" outlineLevel="0" collapsed="false">
      <c r="A39" s="7" t="n">
        <f aca="false">EOMONTH(A38,0)+1</f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customFormat="false" ht="13.8" hidden="false" customHeight="false" outlineLevel="0" collapsed="false">
      <c r="A40" s="7" t="n">
        <f aca="false">EOMONTH(A39,0)+1</f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customFormat="false" ht="13.8" hidden="false" customHeight="false" outlineLevel="0" collapsed="false">
      <c r="A41" s="7" t="n">
        <f aca="false">EOMONTH(A40,0)+1</f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</row>
    <row r="42" customFormat="false" ht="13.8" hidden="false" customHeight="false" outlineLevel="0" collapsed="false">
      <c r="A42" s="7" t="n">
        <f aca="false">EOMONTH(A41,0)+1</f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customFormat="false" ht="13.8" hidden="false" customHeight="false" outlineLevel="0" collapsed="false">
      <c r="A43" s="7" t="n">
        <f aca="false">EOMONTH(A42,0)+1</f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customFormat="false" ht="13.8" hidden="false" customHeight="false" outlineLevel="0" collapsed="false">
      <c r="A44" s="7" t="n">
        <f aca="false">EOMONTH(A43,0)+1</f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customFormat="false" ht="13.8" hidden="false" customHeight="false" outlineLevel="0" collapsed="false">
      <c r="A45" s="7" t="n">
        <f aca="false">EOMONTH(A44,0)+1</f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</row>
    <row r="46" customFormat="false" ht="13.8" hidden="false" customHeight="false" outlineLevel="0" collapsed="false">
      <c r="A46" s="7" t="n">
        <f aca="false">EOMONTH(A45,0)+1</f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customFormat="false" ht="13.8" hidden="false" customHeight="false" outlineLevel="0" collapsed="false">
      <c r="A47" s="7" t="n">
        <f aca="false">EOMONTH(A46,0)+1</f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</row>
    <row r="48" customFormat="false" ht="13.8" hidden="false" customHeight="false" outlineLevel="0" collapsed="false">
      <c r="A48" s="7" t="n">
        <f aca="false">EOMONTH(A47,0)+1</f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customFormat="false" ht="13.8" hidden="false" customHeight="false" outlineLevel="0" collapsed="false">
      <c r="A49" s="7" t="n">
        <f aca="false">EOMONTH(A48,0)+1</f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customFormat="false" ht="13.8" hidden="false" customHeight="false" outlineLevel="0" collapsed="false">
      <c r="A50" s="7" t="n">
        <f aca="false">EOMONTH(A49,0)+1</f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customFormat="false" ht="13.8" hidden="false" customHeight="false" outlineLevel="0" collapsed="false">
      <c r="A51" s="7" t="n">
        <f aca="false">EOMONTH(A50,0)+1</f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customFormat="false" ht="13.8" hidden="false" customHeight="false" outlineLevel="0" collapsed="false">
      <c r="A52" s="7" t="n">
        <f aca="false">EOMONTH(A51,0)+1</f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customFormat="false" ht="13.8" hidden="false" customHeight="false" outlineLevel="0" collapsed="false">
      <c r="A53" s="7" t="n">
        <f aca="false">EOMONTH(A52,0)+1</f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customFormat="false" ht="13.8" hidden="false" customHeight="false" outlineLevel="0" collapsed="false">
      <c r="A54" s="7" t="n">
        <f aca="false">EOMONTH(A53,0)+1</f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customFormat="false" ht="13.8" hidden="false" customHeight="false" outlineLevel="0" collapsed="false">
      <c r="A55" s="7" t="n">
        <f aca="false">EOMONTH(A54,0)+1</f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customFormat="false" ht="13.8" hidden="false" customHeight="false" outlineLevel="0" collapsed="false">
      <c r="A56" s="7" t="n">
        <f aca="false">EOMONTH(A55,0)+1</f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</row>
    <row r="57" customFormat="false" ht="13.8" hidden="false" customHeight="false" outlineLevel="0" collapsed="false">
      <c r="A57" s="7" t="n">
        <f aca="false">EOMONTH(A56,0)+1</f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customFormat="false" ht="13.8" hidden="false" customHeight="false" outlineLevel="0" collapsed="false">
      <c r="A58" s="7" t="n">
        <f aca="false">EOMONTH(A57,0)+1</f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customFormat="false" ht="13.8" hidden="false" customHeight="false" outlineLevel="0" collapsed="false">
      <c r="A59" s="7" t="n">
        <f aca="false">EOMONTH(A58,0)+1</f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customFormat="false" ht="13.8" hidden="false" customHeight="false" outlineLevel="0" collapsed="false">
      <c r="A60" s="7" t="n">
        <f aca="false">EOMONTH(A59,0)+1</f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customFormat="false" ht="13.8" hidden="false" customHeight="false" outlineLevel="0" collapsed="false">
      <c r="A61" s="7" t="n">
        <f aca="false">EOMONTH(A60,0)+1</f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customFormat="false" ht="13.8" hidden="false" customHeight="false" outlineLevel="0" collapsed="false">
      <c r="A62" s="7" t="n">
        <f aca="false">EOMONTH(A61,0)+1</f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customFormat="false" ht="13.8" hidden="false" customHeight="false" outlineLevel="0" collapsed="false">
      <c r="A63" s="7" t="n">
        <f aca="false">EOMONTH(A62,0)+1</f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customFormat="false" ht="13.8" hidden="false" customHeight="false" outlineLevel="0" collapsed="false">
      <c r="A64" s="7" t="n">
        <f aca="false">EOMONTH(A63,0)+1</f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customFormat="false" ht="13.8" hidden="false" customHeight="false" outlineLevel="0" collapsed="false">
      <c r="A65" s="7" t="n">
        <f aca="false">EOMONTH(A64,0)+1</f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customFormat="false" ht="13.8" hidden="false" customHeight="false" outlineLevel="0" collapsed="false">
      <c r="A66" s="7" t="n">
        <f aca="false">EOMONTH(A65,0)+1</f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customFormat="false" ht="13.8" hidden="false" customHeight="false" outlineLevel="0" collapsed="false">
      <c r="A67" s="7" t="n">
        <f aca="false">EOMONTH(A66,0)+1</f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customFormat="false" ht="13.8" hidden="false" customHeight="false" outlineLevel="0" collapsed="false">
      <c r="A68" s="7" t="n">
        <f aca="false">EOMONTH(A67,0)+1</f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customFormat="false" ht="13.8" hidden="false" customHeight="false" outlineLevel="0" collapsed="false">
      <c r="A69" s="7" t="n">
        <f aca="false">EOMONTH(A68,0)+1</f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customFormat="false" ht="13.8" hidden="false" customHeight="false" outlineLevel="0" collapsed="false">
      <c r="A70" s="7" t="n">
        <f aca="false">EOMONTH(A69,0)+1</f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customFormat="false" ht="13.8" hidden="false" customHeight="false" outlineLevel="0" collapsed="false">
      <c r="A71" s="7" t="n">
        <f aca="false">EOMONTH(A70,0)+1</f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customFormat="false" ht="13.8" hidden="false" customHeight="false" outlineLevel="0" collapsed="false">
      <c r="A72" s="7" t="n">
        <f aca="false">EOMONTH(A71,0)+1</f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customFormat="false" ht="13.8" hidden="false" customHeight="false" outlineLevel="0" collapsed="false">
      <c r="A73" s="7" t="n">
        <f aca="false">EOMONTH(A72,0)+1</f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customFormat="false" ht="13.8" hidden="false" customHeight="false" outlineLevel="0" collapsed="false">
      <c r="A74" s="7" t="n">
        <f aca="false">EOMONTH(A73,0)+1</f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customFormat="false" ht="13.8" hidden="false" customHeight="false" outlineLevel="0" collapsed="false">
      <c r="A75" s="7" t="n">
        <f aca="false">EOMONTH(A74,0)+1</f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customFormat="false" ht="13.8" hidden="false" customHeight="false" outlineLevel="0" collapsed="false">
      <c r="A76" s="7" t="n">
        <f aca="false">EOMONTH(A75,0)+1</f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customFormat="false" ht="13.8" hidden="false" customHeight="false" outlineLevel="0" collapsed="false">
      <c r="A77" s="7" t="n">
        <f aca="false">EOMONTH(A76,0)+1</f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customFormat="false" ht="13.8" hidden="false" customHeight="false" outlineLevel="0" collapsed="false">
      <c r="A78" s="7" t="n">
        <f aca="false">EOMONTH(A77,0)+1</f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customFormat="false" ht="13.8" hidden="false" customHeight="false" outlineLevel="0" collapsed="false">
      <c r="A79" s="7" t="n">
        <f aca="false">EOMONTH(A78,0)+1</f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customFormat="false" ht="13.8" hidden="false" customHeight="false" outlineLevel="0" collapsed="false">
      <c r="A80" s="7" t="n">
        <f aca="false">EOMONTH(A79,0)+1</f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customFormat="false" ht="13.8" hidden="false" customHeight="false" outlineLevel="0" collapsed="false">
      <c r="A81" s="7" t="n">
        <f aca="false">EOMONTH(A80,0)+1</f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customFormat="false" ht="13.8" hidden="false" customHeight="false" outlineLevel="0" collapsed="false">
      <c r="A82" s="7" t="n">
        <f aca="false">EOMONTH(A81,0)+1</f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customFormat="false" ht="13.8" hidden="false" customHeight="false" outlineLevel="0" collapsed="false">
      <c r="A83" s="7" t="n">
        <f aca="false">EOMONTH(A82,0)+1</f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customFormat="false" ht="13.8" hidden="false" customHeight="false" outlineLevel="0" collapsed="false">
      <c r="A84" s="7" t="n">
        <f aca="false">EOMONTH(A83,0)+1</f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customFormat="false" ht="13.8" hidden="false" customHeight="false" outlineLevel="0" collapsed="false">
      <c r="A85" s="7" t="n">
        <f aca="false">EOMONTH(A84,0)+1</f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customFormat="false" ht="13.8" hidden="false" customHeight="false" outlineLevel="0" collapsed="false">
      <c r="A86" s="7" t="n">
        <f aca="false">EOMONTH(A85,0)+1</f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customFormat="false" ht="13.8" hidden="false" customHeight="false" outlineLevel="0" collapsed="false">
      <c r="A87" s="7" t="n">
        <f aca="false">EOMONTH(A86,0)+1</f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customFormat="false" ht="13.8" hidden="false" customHeight="false" outlineLevel="0" collapsed="false">
      <c r="A88" s="7" t="n">
        <f aca="false">EOMONTH(A87,0)+1</f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customFormat="false" ht="13.8" hidden="false" customHeight="false" outlineLevel="0" collapsed="false">
      <c r="A89" s="7" t="n">
        <f aca="false">EOMONTH(A88,0)+1</f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customFormat="false" ht="13.8" hidden="false" customHeight="false" outlineLevel="0" collapsed="false">
      <c r="A90" s="7" t="n">
        <f aca="false">EOMONTH(A89,0)+1</f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customFormat="false" ht="13.8" hidden="false" customHeight="false" outlineLevel="0" collapsed="false">
      <c r="A91" s="7" t="n">
        <f aca="false">EOMONTH(A90,0)+1</f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customFormat="false" ht="13.8" hidden="false" customHeight="false" outlineLevel="0" collapsed="false">
      <c r="A92" s="7" t="n">
        <f aca="false">EOMONTH(A91,0)+1</f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customFormat="false" ht="13.8" hidden="false" customHeight="false" outlineLevel="0" collapsed="false">
      <c r="A93" s="7" t="n">
        <f aca="false">EOMONTH(A92,0)+1</f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customFormat="false" ht="13.8" hidden="false" customHeight="false" outlineLevel="0" collapsed="false">
      <c r="A94" s="7" t="n">
        <f aca="false">EOMONTH(A93,0)+1</f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customFormat="false" ht="13.8" hidden="false" customHeight="false" outlineLevel="0" collapsed="false">
      <c r="A95" s="7" t="n">
        <f aca="false">EOMONTH(A94,0)+1</f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customFormat="false" ht="13.8" hidden="false" customHeight="false" outlineLevel="0" collapsed="false">
      <c r="A96" s="7" t="n">
        <f aca="false">EOMONTH(A95,0)+1</f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customFormat="false" ht="13.8" hidden="false" customHeight="false" outlineLevel="0" collapsed="false">
      <c r="A97" s="7" t="n">
        <f aca="false">EOMONTH(A96,0)+1</f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customFormat="false" ht="13.8" hidden="false" customHeight="false" outlineLevel="0" collapsed="false">
      <c r="A98" s="7" t="n">
        <f aca="false">EOMONTH(A97,0)+1</f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customFormat="false" ht="13.8" hidden="false" customHeight="false" outlineLevel="0" collapsed="false">
      <c r="A99" s="7" t="n">
        <f aca="false">EOMONTH(A98,0)+1</f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customFormat="false" ht="13.8" hidden="false" customHeight="false" outlineLevel="0" collapsed="false">
      <c r="A100" s="7" t="n">
        <f aca="false">EOMONTH(A99,0)+1</f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</row>
    <row r="101" customFormat="false" ht="13.8" hidden="false" customHeight="false" outlineLevel="0" collapsed="false">
      <c r="A101" s="7" t="n">
        <f aca="false">EOMONTH(A100,0)+1</f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</row>
    <row r="102" customFormat="false" ht="13.8" hidden="false" customHeight="false" outlineLevel="0" collapsed="false">
      <c r="A102" s="7" t="n">
        <f aca="false">EOMONTH(A101,0)+1</f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</row>
    <row r="103" customFormat="false" ht="13.8" hidden="false" customHeight="false" outlineLevel="0" collapsed="false">
      <c r="A103" s="7" t="n">
        <f aca="false">EOMONTH(A102,0)+1</f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</row>
    <row r="104" customFormat="false" ht="13.8" hidden="false" customHeight="false" outlineLevel="0" collapsed="false">
      <c r="A104" s="7" t="n">
        <f aca="false">EOMONTH(A103,0)+1</f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</row>
    <row r="105" customFormat="false" ht="13.8" hidden="false" customHeight="false" outlineLevel="0" collapsed="false">
      <c r="A105" s="7" t="n">
        <f aca="false">EOMONTH(A104,0)+1</f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</row>
    <row r="106" customFormat="false" ht="13.8" hidden="false" customHeight="false" outlineLevel="0" collapsed="false">
      <c r="A106" s="7" t="n">
        <f aca="false">EOMONTH(A105,0)+1</f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</row>
    <row r="107" customFormat="false" ht="13.8" hidden="false" customHeight="false" outlineLevel="0" collapsed="false">
      <c r="A107" s="7" t="n">
        <f aca="false">EOMONTH(A106,0)+1</f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</row>
    <row r="108" customFormat="false" ht="13.8" hidden="false" customHeight="false" outlineLevel="0" collapsed="false">
      <c r="A108" s="7" t="n">
        <f aca="false">EOMONTH(A107,0)+1</f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</row>
    <row r="109" customFormat="false" ht="13.8" hidden="false" customHeight="false" outlineLevel="0" collapsed="false">
      <c r="A109" s="7" t="n">
        <f aca="false">EOMONTH(A108,0)+1</f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</row>
    <row r="110" customFormat="false" ht="13.8" hidden="false" customHeight="false" outlineLevel="0" collapsed="false">
      <c r="A110" s="7" t="n">
        <f aca="false">EOMONTH(A109,0)+1</f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</row>
    <row r="111" customFormat="false" ht="13.8" hidden="false" customHeight="false" outlineLevel="0" collapsed="false">
      <c r="A111" s="7" t="n">
        <f aca="false">EOMONTH(A110,0)+1</f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</row>
    <row r="112" customFormat="false" ht="13.8" hidden="false" customHeight="false" outlineLevel="0" collapsed="false">
      <c r="A112" s="7" t="n">
        <f aca="false">EOMONTH(A111,0)+1</f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</row>
    <row r="113" customFormat="false" ht="13.8" hidden="false" customHeight="false" outlineLevel="0" collapsed="false">
      <c r="A113" s="7" t="n">
        <f aca="false">EOMONTH(A112,0)+1</f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</row>
    <row r="114" customFormat="false" ht="13.8" hidden="false" customHeight="false" outlineLevel="0" collapsed="false">
      <c r="A114" s="7" t="n">
        <f aca="false">EOMONTH(A113,0)+1</f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</row>
    <row r="115" customFormat="false" ht="13.8" hidden="false" customHeight="false" outlineLevel="0" collapsed="false">
      <c r="A115" s="7" t="n">
        <f aca="false">EOMONTH(A114,0)+1</f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</row>
    <row r="116" customFormat="false" ht="13.8" hidden="false" customHeight="false" outlineLevel="0" collapsed="false">
      <c r="A116" s="7" t="n">
        <f aca="false">EOMONTH(A115,0)+1</f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</row>
    <row r="117" customFormat="false" ht="13.8" hidden="false" customHeight="false" outlineLevel="0" collapsed="false">
      <c r="A117" s="7" t="n">
        <f aca="false">EOMONTH(A116,0)+1</f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</row>
    <row r="118" customFormat="false" ht="13.8" hidden="false" customHeight="false" outlineLevel="0" collapsed="false">
      <c r="A118" s="7" t="n">
        <f aca="false">EOMONTH(A117,0)+1</f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</row>
    <row r="119" customFormat="false" ht="13.8" hidden="false" customHeight="false" outlineLevel="0" collapsed="false">
      <c r="A119" s="7" t="n">
        <f aca="false">EOMONTH(A118,0)+1</f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</row>
    <row r="120" customFormat="false" ht="13.8" hidden="false" customHeight="false" outlineLevel="0" collapsed="false">
      <c r="A120" s="7" t="n">
        <f aca="false">EOMONTH(A119,0)+1</f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</row>
    <row r="121" customFormat="false" ht="13.8" hidden="false" customHeight="false" outlineLevel="0" collapsed="false">
      <c r="A121" s="7" t="n">
        <f aca="false">EOMONTH(A120,0)+1</f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</row>
    <row r="122" customFormat="false" ht="13.8" hidden="false" customHeight="false" outlineLevel="0" collapsed="false">
      <c r="A122" s="7" t="n">
        <f aca="false">EOMONTH(A121,0)+1</f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</row>
    <row r="123" customFormat="false" ht="13.8" hidden="false" customHeight="false" outlineLevel="0" collapsed="false">
      <c r="A123" s="7" t="n">
        <f aca="false">EOMONTH(A122,0)+1</f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</row>
    <row r="124" customFormat="false" ht="13.8" hidden="false" customHeight="false" outlineLevel="0" collapsed="false">
      <c r="A124" s="7" t="n">
        <f aca="false">EOMONTH(A123,0)+1</f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</row>
    <row r="125" customFormat="false" ht="13.8" hidden="false" customHeight="false" outlineLevel="0" collapsed="false">
      <c r="A125" s="7" t="n">
        <f aca="false">EOMONTH(A124,0)+1</f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</row>
    <row r="126" customFormat="false" ht="13.8" hidden="false" customHeight="false" outlineLevel="0" collapsed="false">
      <c r="A126" s="7" t="n">
        <f aca="false">EOMONTH(A125,0)+1</f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</row>
    <row r="127" customFormat="false" ht="13.8" hidden="false" customHeight="false" outlineLevel="0" collapsed="false">
      <c r="A127" s="7" t="n">
        <f aca="false">EOMONTH(A126,0)+1</f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</row>
    <row r="128" customFormat="false" ht="13.8" hidden="false" customHeight="false" outlineLevel="0" collapsed="false">
      <c r="A128" s="7" t="n">
        <f aca="false">EOMONTH(A127,0)+1</f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</row>
    <row r="129" customFormat="false" ht="13.8" hidden="false" customHeight="false" outlineLevel="0" collapsed="false">
      <c r="A129" s="7" t="n">
        <f aca="false">EOMONTH(A128,0)+1</f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</row>
    <row r="130" customFormat="false" ht="13.8" hidden="false" customHeight="false" outlineLevel="0" collapsed="false">
      <c r="A130" s="7" t="n">
        <f aca="false">EOMONTH(A129,0)+1</f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</row>
    <row r="131" customFormat="false" ht="13.8" hidden="false" customHeight="false" outlineLevel="0" collapsed="false">
      <c r="A131" s="7" t="n">
        <f aca="false">EOMONTH(A130,0)+1</f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</row>
    <row r="132" customFormat="false" ht="13.8" hidden="false" customHeight="false" outlineLevel="0" collapsed="false">
      <c r="A132" s="7" t="n">
        <f aca="false">EOMONTH(A131,0)+1</f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</row>
    <row r="133" customFormat="false" ht="13.8" hidden="false" customHeight="false" outlineLevel="0" collapsed="false">
      <c r="A133" s="7" t="n">
        <f aca="false">EOMONTH(A132,0)+1</f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</row>
    <row r="134" customFormat="false" ht="13.8" hidden="false" customHeight="false" outlineLevel="0" collapsed="false">
      <c r="A134" s="7" t="n">
        <f aca="false">EOMONTH(A133,0)+1</f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</row>
    <row r="135" customFormat="false" ht="13.8" hidden="false" customHeight="false" outlineLevel="0" collapsed="false">
      <c r="A135" s="7" t="n">
        <f aca="false">EOMONTH(A134,0)+1</f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</row>
    <row r="136" customFormat="false" ht="13.8" hidden="false" customHeight="false" outlineLevel="0" collapsed="false">
      <c r="A136" s="7" t="n">
        <f aca="false">EOMONTH(A135,0)+1</f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customFormat="false" ht="13.8" hidden="false" customHeight="false" outlineLevel="0" collapsed="false">
      <c r="A137" s="7" t="n">
        <f aca="false">EOMONTH(A136,0)+1</f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</row>
    <row r="138" customFormat="false" ht="13.8" hidden="false" customHeight="false" outlineLevel="0" collapsed="false">
      <c r="A138" s="7" t="n">
        <f aca="false">EOMONTH(A137,0)+1</f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</row>
    <row r="139" customFormat="false" ht="13.8" hidden="false" customHeight="false" outlineLevel="0" collapsed="false">
      <c r="A139" s="7" t="n">
        <f aca="false">EOMONTH(A138,0)+1</f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</row>
    <row r="140" customFormat="false" ht="13.8" hidden="false" customHeight="false" outlineLevel="0" collapsed="false">
      <c r="A140" s="7" t="n">
        <f aca="false">EOMONTH(A139,0)+1</f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</row>
    <row r="141" customFormat="false" ht="13.8" hidden="false" customHeight="false" outlineLevel="0" collapsed="false">
      <c r="A141" s="7" t="n">
        <f aca="false">EOMONTH(A140,0)+1</f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</row>
    <row r="142" customFormat="false" ht="13.8" hidden="false" customHeight="false" outlineLevel="0" collapsed="false">
      <c r="A142" s="7" t="n">
        <f aca="false">EOMONTH(A141,0)+1</f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</row>
    <row r="143" customFormat="false" ht="13.8" hidden="false" customHeight="false" outlineLevel="0" collapsed="false">
      <c r="A143" s="7" t="n">
        <f aca="false">EOMONTH(A142,0)+1</f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</row>
    <row r="144" customFormat="false" ht="13.8" hidden="false" customHeight="false" outlineLevel="0" collapsed="false">
      <c r="A144" s="7" t="n">
        <f aca="false">EOMONTH(A143,0)+1</f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</row>
    <row r="145" customFormat="false" ht="13.8" hidden="false" customHeight="false" outlineLevel="0" collapsed="false">
      <c r="A145" s="7" t="n">
        <f aca="false">EOMONTH(A144,0)+1</f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</row>
    <row r="146" customFormat="false" ht="13.8" hidden="false" customHeight="false" outlineLevel="0" collapsed="false">
      <c r="A146" s="7" t="n">
        <f aca="false">EOMONTH(A145,0)+1</f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</row>
    <row r="147" customFormat="false" ht="13.8" hidden="false" customHeight="false" outlineLevel="0" collapsed="false">
      <c r="A147" s="7" t="n">
        <f aca="false">EOMONTH(A146,0)+1</f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</row>
    <row r="148" customFormat="false" ht="13.8" hidden="false" customHeight="false" outlineLevel="0" collapsed="false">
      <c r="A148" s="7" t="n">
        <f aca="false">EOMONTH(A147,0)+1</f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</row>
    <row r="149" customFormat="false" ht="13.8" hidden="false" customHeight="false" outlineLevel="0" collapsed="false">
      <c r="A149" s="7" t="n">
        <f aca="false">EOMONTH(A148,0)+1</f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</row>
    <row r="150" customFormat="false" ht="13.8" hidden="false" customHeight="false" outlineLevel="0" collapsed="false">
      <c r="A150" s="7" t="n">
        <f aca="false">EOMONTH(A149,0)+1</f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</row>
    <row r="151" customFormat="false" ht="13.8" hidden="false" customHeight="false" outlineLevel="0" collapsed="false">
      <c r="A151" s="7" t="n">
        <f aca="false">EOMONTH(A150,0)+1</f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</row>
    <row r="152" customFormat="false" ht="13.8" hidden="false" customHeight="false" outlineLevel="0" collapsed="false">
      <c r="A152" s="7" t="n">
        <f aca="false">EOMONTH(A151,0)+1</f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</row>
    <row r="153" customFormat="false" ht="13.8" hidden="false" customHeight="false" outlineLevel="0" collapsed="false">
      <c r="A153" s="7" t="n">
        <f aca="false">EOMONTH(A152,0)+1</f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</row>
    <row r="154" customFormat="false" ht="13.8" hidden="false" customHeight="false" outlineLevel="0" collapsed="false">
      <c r="A154" s="7" t="n">
        <f aca="false">EOMONTH(A153,0)+1</f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</row>
    <row r="155" customFormat="false" ht="13.8" hidden="false" customHeight="false" outlineLevel="0" collapsed="false">
      <c r="A155" s="7" t="n">
        <f aca="false">EOMONTH(A154,0)+1</f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</row>
    <row r="156" customFormat="false" ht="13.8" hidden="false" customHeight="false" outlineLevel="0" collapsed="false">
      <c r="A156" s="7" t="n">
        <f aca="false">EOMONTH(A155,0)+1</f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</row>
    <row r="157" customFormat="false" ht="13.8" hidden="false" customHeight="false" outlineLevel="0" collapsed="false">
      <c r="A157" s="7" t="n">
        <f aca="false">EOMONTH(A156,0)+1</f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</row>
    <row r="158" customFormat="false" ht="13.8" hidden="false" customHeight="false" outlineLevel="0" collapsed="false">
      <c r="A158" s="7" t="n">
        <f aca="false">EOMONTH(A157,0)+1</f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</row>
    <row r="159" customFormat="false" ht="13.8" hidden="false" customHeight="false" outlineLevel="0" collapsed="false">
      <c r="A159" s="7" t="n">
        <f aca="false">EOMONTH(A158,0)+1</f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</row>
    <row r="160" customFormat="false" ht="13.8" hidden="false" customHeight="false" outlineLevel="0" collapsed="false">
      <c r="A160" s="7" t="n">
        <f aca="false">EOMONTH(A159,0)+1</f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</row>
    <row r="161" customFormat="false" ht="13.8" hidden="false" customHeight="false" outlineLevel="0" collapsed="false">
      <c r="A161" s="7" t="n">
        <f aca="false">EOMONTH(A160,0)+1</f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</row>
    <row r="162" customFormat="false" ht="13.8" hidden="false" customHeight="false" outlineLevel="0" collapsed="false">
      <c r="A162" s="7" t="n">
        <f aca="false">EOMONTH(A161,0)+1</f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</row>
    <row r="163" customFormat="false" ht="13.8" hidden="false" customHeight="false" outlineLevel="0" collapsed="false">
      <c r="A163" s="7" t="n">
        <f aca="false">EOMONTH(A162,0)+1</f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</row>
    <row r="164" customFormat="false" ht="13.8" hidden="false" customHeight="false" outlineLevel="0" collapsed="false">
      <c r="A164" s="7" t="n">
        <f aca="false">EOMONTH(A163,0)+1</f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5" customFormat="false" ht="13.8" hidden="false" customHeight="false" outlineLevel="0" collapsed="false">
      <c r="A165" s="7" t="n">
        <f aca="false">EOMONTH(A164,0)+1</f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</row>
    <row r="166" customFormat="false" ht="13.8" hidden="false" customHeight="false" outlineLevel="0" collapsed="false">
      <c r="A166" s="7" t="n">
        <f aca="false">EOMONTH(A165,0)+1</f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</row>
    <row r="167" customFormat="false" ht="13.8" hidden="false" customHeight="false" outlineLevel="0" collapsed="false">
      <c r="A167" s="7" t="n">
        <f aca="false">EOMONTH(A166,0)+1</f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</row>
    <row r="168" customFormat="false" ht="13.8" hidden="false" customHeight="false" outlineLevel="0" collapsed="false">
      <c r="A168" s="7" t="n">
        <f aca="false">EOMONTH(A167,0)+1</f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</row>
    <row r="169" customFormat="false" ht="13.8" hidden="false" customHeight="false" outlineLevel="0" collapsed="false">
      <c r="A169" s="7" t="n">
        <f aca="false">EOMONTH(A168,0)+1</f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</row>
    <row r="170" customFormat="false" ht="13.8" hidden="false" customHeight="false" outlineLevel="0" collapsed="false">
      <c r="A170" s="7" t="n">
        <f aca="false">EOMONTH(A169,0)+1</f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</row>
    <row r="171" customFormat="false" ht="13.8" hidden="false" customHeight="false" outlineLevel="0" collapsed="false">
      <c r="A171" s="7" t="n">
        <f aca="false">EOMONTH(A170,0)+1</f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</row>
    <row r="172" customFormat="false" ht="13.8" hidden="false" customHeight="false" outlineLevel="0" collapsed="false">
      <c r="A172" s="7" t="n">
        <f aca="false">EOMONTH(A171,0)+1</f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customFormat="false" ht="13.8" hidden="false" customHeight="false" outlineLevel="0" collapsed="false">
      <c r="A173" s="7" t="n">
        <f aca="false">EOMONTH(A172,0)+1</f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</row>
    <row r="174" customFormat="false" ht="13.8" hidden="false" customHeight="false" outlineLevel="0" collapsed="false">
      <c r="A174" s="7" t="n">
        <f aca="false">EOMONTH(A173,0)+1</f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</row>
    <row r="175" customFormat="false" ht="13.8" hidden="false" customHeight="false" outlineLevel="0" collapsed="false">
      <c r="A175" s="7" t="n">
        <f aca="false">EOMONTH(A174,0)+1</f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</row>
    <row r="176" customFormat="false" ht="13.8" hidden="false" customHeight="false" outlineLevel="0" collapsed="false">
      <c r="A176" s="7" t="n">
        <f aca="false">EOMONTH(A175,0)+1</f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</row>
    <row r="177" customFormat="false" ht="13.8" hidden="false" customHeight="false" outlineLevel="0" collapsed="false">
      <c r="A177" s="7" t="n">
        <f aca="false">EOMONTH(A176,0)+1</f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</row>
    <row r="178" customFormat="false" ht="13.8" hidden="false" customHeight="false" outlineLevel="0" collapsed="false">
      <c r="A178" s="7" t="n">
        <f aca="false">EOMONTH(A177,0)+1</f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</row>
    <row r="179" customFormat="false" ht="13.8" hidden="false" customHeight="false" outlineLevel="0" collapsed="false">
      <c r="A179" s="7" t="n">
        <f aca="false">EOMONTH(A178,0)+1</f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</row>
    <row r="180" customFormat="false" ht="13.8" hidden="false" customHeight="false" outlineLevel="0" collapsed="false">
      <c r="A180" s="7" t="n">
        <f aca="false">EOMONTH(A179,0)+1</f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</row>
    <row r="181" customFormat="false" ht="13.8" hidden="false" customHeight="false" outlineLevel="0" collapsed="false">
      <c r="A181" s="7" t="n">
        <f aca="false">EOMONTH(A180,0)+1</f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</row>
    <row r="182" customFormat="false" ht="13.8" hidden="false" customHeight="false" outlineLevel="0" collapsed="false">
      <c r="A182" s="7" t="n">
        <f aca="false">EOMONTH(A181,0)+1</f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</row>
    <row r="183" customFormat="false" ht="13.8" hidden="false" customHeight="false" outlineLevel="0" collapsed="false">
      <c r="A183" s="7" t="n">
        <f aca="false">EOMONTH(A182,0)+1</f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</row>
    <row r="184" customFormat="false" ht="13.8" hidden="false" customHeight="false" outlineLevel="0" collapsed="false">
      <c r="A184" s="7" t="n">
        <f aca="false">EOMONTH(A183,0)+1</f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</row>
    <row r="185" customFormat="false" ht="13.8" hidden="false" customHeight="false" outlineLevel="0" collapsed="false">
      <c r="A185" s="7" t="n">
        <f aca="false">EOMONTH(A184,0)+1</f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</row>
    <row r="186" customFormat="false" ht="13.8" hidden="false" customHeight="false" outlineLevel="0" collapsed="false">
      <c r="A186" s="7" t="n">
        <f aca="false">EOMONTH(A185,0)+1</f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</row>
    <row r="187" customFormat="false" ht="13.8" hidden="false" customHeight="false" outlineLevel="0" collapsed="false">
      <c r="A187" s="7" t="n">
        <f aca="false">EOMONTH(A186,0)+1</f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</row>
    <row r="188" customFormat="false" ht="13.8" hidden="false" customHeight="false" outlineLevel="0" collapsed="false">
      <c r="A188" s="7" t="n">
        <f aca="false">EOMONTH(A187,0)+1</f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</row>
    <row r="189" customFormat="false" ht="13.8" hidden="false" customHeight="false" outlineLevel="0" collapsed="false">
      <c r="A189" s="7" t="n">
        <f aca="false">EOMONTH(A188,0)+1</f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</row>
    <row r="190" customFormat="false" ht="13.8" hidden="false" customHeight="false" outlineLevel="0" collapsed="false">
      <c r="A190" s="7" t="n">
        <f aca="false">EOMONTH(A189,0)+1</f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</row>
    <row r="191" customFormat="false" ht="13.8" hidden="false" customHeight="false" outlineLevel="0" collapsed="false">
      <c r="A191" s="7" t="n">
        <f aca="false">EOMONTH(A190,0)+1</f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</row>
    <row r="192" customFormat="false" ht="13.8" hidden="false" customHeight="false" outlineLevel="0" collapsed="false">
      <c r="A192" s="7" t="n">
        <f aca="false">EOMONTH(A191,0)+1</f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</row>
    <row r="193" customFormat="false" ht="13.8" hidden="false" customHeight="false" outlineLevel="0" collapsed="false">
      <c r="A193" s="7" t="n">
        <f aca="false">EOMONTH(A192,0)+1</f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</row>
    <row r="194" customFormat="false" ht="13.8" hidden="false" customHeight="false" outlineLevel="0" collapsed="false">
      <c r="A194" s="7" t="n">
        <f aca="false">EOMONTH(A193,0)+1</f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</row>
    <row r="195" customFormat="false" ht="13.8" hidden="false" customHeight="false" outlineLevel="0" collapsed="false">
      <c r="A195" s="7" t="n">
        <f aca="false">EOMONTH(A194,0)+1</f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</row>
    <row r="196" customFormat="false" ht="13.8" hidden="false" customHeight="false" outlineLevel="0" collapsed="false">
      <c r="A196" s="7" t="n">
        <f aca="false">EOMONTH(A195,0)+1</f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</row>
    <row r="197" customFormat="false" ht="13.8" hidden="false" customHeight="false" outlineLevel="0" collapsed="false">
      <c r="A197" s="7" t="n">
        <f aca="false">EOMONTH(A196,0)+1</f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</row>
    <row r="198" customFormat="false" ht="13.8" hidden="false" customHeight="false" outlineLevel="0" collapsed="false">
      <c r="A198" s="7" t="n">
        <f aca="false">EOMONTH(A197,0)+1</f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</row>
    <row r="199" customFormat="false" ht="13.8" hidden="false" customHeight="false" outlineLevel="0" collapsed="false">
      <c r="A199" s="7" t="n">
        <f aca="false">EOMONTH(A198,0)+1</f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</row>
    <row r="200" customFormat="false" ht="13.8" hidden="false" customHeight="false" outlineLevel="0" collapsed="false">
      <c r="A200" s="7" t="n">
        <f aca="false">EOMONTH(A199,0)+1</f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</row>
    <row r="201" customFormat="false" ht="13.8" hidden="false" customHeight="false" outlineLevel="0" collapsed="false">
      <c r="A201" s="7" t="n">
        <f aca="false">EOMONTH(A200,0)+1</f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</row>
    <row r="202" customFormat="false" ht="13.8" hidden="false" customHeight="false" outlineLevel="0" collapsed="false">
      <c r="A202" s="7" t="n">
        <f aca="false">EOMONTH(A201,0)+1</f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</row>
    <row r="203" customFormat="false" ht="13.8" hidden="false" customHeight="false" outlineLevel="0" collapsed="false">
      <c r="A203" s="7" t="n">
        <f aca="false">EOMONTH(A202,0)+1</f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</row>
    <row r="204" customFormat="false" ht="13.8" hidden="false" customHeight="false" outlineLevel="0" collapsed="false">
      <c r="A204" s="7" t="n">
        <f aca="false">EOMONTH(A203,0)+1</f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</row>
    <row r="205" customFormat="false" ht="13.8" hidden="false" customHeight="false" outlineLevel="0" collapsed="false">
      <c r="A205" s="7" t="n">
        <f aca="false">EOMONTH(A204,0)+1</f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</row>
    <row r="206" customFormat="false" ht="13.8" hidden="false" customHeight="false" outlineLevel="0" collapsed="false">
      <c r="A206" s="7" t="n">
        <f aca="false">EOMONTH(A205,0)+1</f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</row>
    <row r="207" customFormat="false" ht="13.8" hidden="false" customHeight="false" outlineLevel="0" collapsed="false">
      <c r="A207" s="7" t="n">
        <f aca="false">EOMONTH(A206,0)+1</f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</row>
    <row r="208" customFormat="false" ht="13.8" hidden="false" customHeight="false" outlineLevel="0" collapsed="false">
      <c r="A208" s="7" t="n">
        <f aca="false">EOMONTH(A207,0)+1</f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</row>
    <row r="209" customFormat="false" ht="13.8" hidden="false" customHeight="false" outlineLevel="0" collapsed="false">
      <c r="A209" s="7" t="n">
        <f aca="false">EOMONTH(A208,0)+1</f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</row>
    <row r="210" customFormat="false" ht="13.8" hidden="false" customHeight="false" outlineLevel="0" collapsed="false">
      <c r="A210" s="7" t="n">
        <f aca="false">EOMONTH(A209,0)+1</f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</row>
    <row r="211" customFormat="false" ht="13.8" hidden="false" customHeight="false" outlineLevel="0" collapsed="false">
      <c r="A211" s="7" t="n">
        <f aca="false">EOMONTH(A210,0)+1</f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</row>
    <row r="212" customFormat="false" ht="13.8" hidden="false" customHeight="false" outlineLevel="0" collapsed="false">
      <c r="A212" s="7" t="n">
        <f aca="false">EOMONTH(A211,0)+1</f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</row>
    <row r="213" customFormat="false" ht="13.8" hidden="false" customHeight="false" outlineLevel="0" collapsed="false">
      <c r="A213" s="7" t="n">
        <f aca="false">EOMONTH(A212,0)+1</f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</row>
    <row r="214" customFormat="false" ht="13.8" hidden="false" customHeight="false" outlineLevel="0" collapsed="false">
      <c r="A214" s="7" t="n">
        <f aca="false">EOMONTH(A213,0)+1</f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</row>
    <row r="215" customFormat="false" ht="13.8" hidden="false" customHeight="false" outlineLevel="0" collapsed="false">
      <c r="A215" s="7" t="n">
        <f aca="false">EOMONTH(A214,0)+1</f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</row>
    <row r="216" customFormat="false" ht="13.8" hidden="false" customHeight="false" outlineLevel="0" collapsed="false">
      <c r="A216" s="7" t="n">
        <f aca="false">EOMONTH(A215,0)+1</f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</row>
    <row r="217" customFormat="false" ht="13.8" hidden="false" customHeight="false" outlineLevel="0" collapsed="false">
      <c r="A217" s="7" t="n">
        <f aca="false">EOMONTH(A216,0)+1</f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</row>
    <row r="218" customFormat="false" ht="13.8" hidden="false" customHeight="false" outlineLevel="0" collapsed="false">
      <c r="A218" s="7" t="n">
        <f aca="false">EOMONTH(A217,0)+1</f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</row>
    <row r="219" customFormat="false" ht="13.8" hidden="false" customHeight="false" outlineLevel="0" collapsed="false">
      <c r="A219" s="7" t="n">
        <f aca="false">EOMONTH(A218,0)+1</f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</row>
    <row r="220" customFormat="false" ht="13.8" hidden="false" customHeight="false" outlineLevel="0" collapsed="false">
      <c r="A220" s="7" t="n">
        <f aca="false">EOMONTH(A219,0)+1</f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</row>
    <row r="221" customFormat="false" ht="13.8" hidden="false" customHeight="false" outlineLevel="0" collapsed="false">
      <c r="A221" s="7" t="n">
        <f aca="false">EOMONTH(A220,0)+1</f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</row>
    <row r="222" customFormat="false" ht="13.8" hidden="false" customHeight="false" outlineLevel="0" collapsed="false">
      <c r="A222" s="7" t="n">
        <f aca="false">EOMONTH(A221,0)+1</f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</row>
    <row r="223" customFormat="false" ht="13.8" hidden="false" customHeight="false" outlineLevel="0" collapsed="false">
      <c r="A223" s="7" t="n">
        <f aca="false">EOMONTH(A222,0)+1</f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</row>
    <row r="224" customFormat="false" ht="13.8" hidden="false" customHeight="false" outlineLevel="0" collapsed="false">
      <c r="A224" s="7" t="n">
        <f aca="false">EOMONTH(A223,0)+1</f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</row>
    <row r="225" customFormat="false" ht="13.8" hidden="false" customHeight="false" outlineLevel="0" collapsed="false">
      <c r="A225" s="7" t="n">
        <f aca="false">EOMONTH(A224,0)+1</f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</row>
    <row r="226" customFormat="false" ht="13.8" hidden="false" customHeight="false" outlineLevel="0" collapsed="false">
      <c r="A226" s="7" t="n">
        <f aca="false">EOMONTH(A225,0)+1</f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</row>
    <row r="227" customFormat="false" ht="13.8" hidden="false" customHeight="false" outlineLevel="0" collapsed="false">
      <c r="A227" s="7" t="n">
        <f aca="false">EOMONTH(A226,0)+1</f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</row>
    <row r="228" customFormat="false" ht="13.8" hidden="false" customHeight="false" outlineLevel="0" collapsed="false">
      <c r="A228" s="7" t="n">
        <f aca="false">EOMONTH(A227,0)+1</f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</row>
    <row r="229" customFormat="false" ht="13.8" hidden="false" customHeight="false" outlineLevel="0" collapsed="false">
      <c r="A229" s="7" t="n">
        <f aca="false">EOMONTH(A228,0)+1</f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</row>
    <row r="230" customFormat="false" ht="13.8" hidden="false" customHeight="false" outlineLevel="0" collapsed="false">
      <c r="A230" s="7" t="n">
        <f aca="false">EOMONTH(A229,0)+1</f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</row>
    <row r="231" customFormat="false" ht="13.8" hidden="false" customHeight="false" outlineLevel="0" collapsed="false">
      <c r="A231" s="7" t="n">
        <f aca="false">EOMONTH(A230,0)+1</f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</row>
    <row r="232" customFormat="false" ht="13.8" hidden="false" customHeight="false" outlineLevel="0" collapsed="false">
      <c r="A232" s="7" t="n">
        <f aca="false">EOMONTH(A231,0)+1</f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</row>
    <row r="233" customFormat="false" ht="13.8" hidden="false" customHeight="false" outlineLevel="0" collapsed="false">
      <c r="A233" s="7" t="n">
        <f aca="false">EOMONTH(A232,0)+1</f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</row>
    <row r="234" customFormat="false" ht="13.8" hidden="false" customHeight="false" outlineLevel="0" collapsed="false">
      <c r="A234" s="7" t="n">
        <f aca="false">EOMONTH(A233,0)+1</f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</row>
    <row r="235" customFormat="false" ht="13.8" hidden="false" customHeight="false" outlineLevel="0" collapsed="false">
      <c r="A235" s="7" t="n">
        <f aca="false">EOMONTH(A234,0)+1</f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</row>
    <row r="236" customFormat="false" ht="13.8" hidden="false" customHeight="false" outlineLevel="0" collapsed="false">
      <c r="A236" s="7" t="n">
        <f aca="false">EOMONTH(A235,0)+1</f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</row>
    <row r="237" customFormat="false" ht="13.8" hidden="false" customHeight="false" outlineLevel="0" collapsed="false">
      <c r="A237" s="7" t="n">
        <f aca="false">EOMONTH(A236,0)+1</f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</row>
    <row r="238" customFormat="false" ht="13.8" hidden="false" customHeight="false" outlineLevel="0" collapsed="false">
      <c r="A238" s="7" t="n">
        <f aca="false">EOMONTH(A237,0)+1</f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</row>
    <row r="239" customFormat="false" ht="13.8" hidden="false" customHeight="false" outlineLevel="0" collapsed="false">
      <c r="A239" s="7" t="n">
        <f aca="false">EOMONTH(A238,0)+1</f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</row>
    <row r="240" customFormat="false" ht="13.8" hidden="false" customHeight="false" outlineLevel="0" collapsed="false">
      <c r="A240" s="7" t="n">
        <f aca="false">EOMONTH(A239,0)+1</f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</row>
    <row r="241" customFormat="false" ht="13.8" hidden="false" customHeight="false" outlineLevel="0" collapsed="false">
      <c r="A241" s="7" t="n">
        <f aca="false">EOMONTH(A240,0)+1</f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</row>
    <row r="242" customFormat="false" ht="13.8" hidden="false" customHeight="false" outlineLevel="0" collapsed="false">
      <c r="A242" s="7" t="n">
        <f aca="false">EOMONTH(A241,0)+1</f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</row>
    <row r="243" customFormat="false" ht="13.8" hidden="false" customHeight="false" outlineLevel="0" collapsed="false">
      <c r="A243" s="7" t="n">
        <f aca="false">EOMONTH(A242,0)+1</f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</row>
    <row r="244" customFormat="false" ht="13.8" hidden="false" customHeight="false" outlineLevel="0" collapsed="false">
      <c r="A244" s="7" t="n">
        <f aca="false">EOMONTH(A243,0)+1</f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</row>
    <row r="245" customFormat="false" ht="13.8" hidden="false" customHeight="false" outlineLevel="0" collapsed="false">
      <c r="A245" s="7" t="n">
        <f aca="false">EOMONTH(A244,0)+1</f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</row>
    <row r="246" customFormat="false" ht="13.8" hidden="false" customHeight="false" outlineLevel="0" collapsed="false">
      <c r="A246" s="7" t="n">
        <f aca="false">EOMONTH(A245,0)+1</f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</row>
    <row r="247" customFormat="false" ht="13.8" hidden="false" customHeight="false" outlineLevel="0" collapsed="false">
      <c r="A247" s="7" t="n">
        <f aca="false">EOMONTH(A246,0)+1</f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</row>
    <row r="248" customFormat="false" ht="13.8" hidden="false" customHeight="false" outlineLevel="0" collapsed="false">
      <c r="A248" s="7" t="n">
        <f aca="false">EOMONTH(A247,0)+1</f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</row>
    <row r="249" customFormat="false" ht="13.8" hidden="false" customHeight="false" outlineLevel="0" collapsed="false">
      <c r="A249" s="7" t="n">
        <f aca="false">EOMONTH(A248,0)+1</f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</row>
    <row r="250" customFormat="false" ht="13.8" hidden="false" customHeight="false" outlineLevel="0" collapsed="false">
      <c r="A250" s="7" t="n">
        <f aca="false">EOMONTH(A249,0)+1</f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</row>
    <row r="251" customFormat="false" ht="13.8" hidden="false" customHeight="false" outlineLevel="0" collapsed="false">
      <c r="A251" s="7" t="n">
        <f aca="false">EOMONTH(A250,0)+1</f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</row>
    <row r="252" customFormat="false" ht="13.8" hidden="false" customHeight="false" outlineLevel="0" collapsed="false">
      <c r="A252" s="7" t="n">
        <f aca="false">EOMONTH(A251,0)+1</f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</row>
    <row r="253" customFormat="false" ht="13.8" hidden="false" customHeight="false" outlineLevel="0" collapsed="false">
      <c r="A253" s="7" t="n">
        <f aca="false">EOMONTH(A252,0)+1</f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</row>
    <row r="254" customFormat="false" ht="13.8" hidden="false" customHeight="false" outlineLevel="0" collapsed="false">
      <c r="A254" s="7" t="n">
        <f aca="false">EOMONTH(A253,0)+1</f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</row>
    <row r="255" customFormat="false" ht="14.25" hidden="false" customHeight="false" outlineLevel="0" collapsed="false">
      <c r="A255" s="7"/>
    </row>
    <row r="256" customFormat="false" ht="14.25" hidden="false" customHeight="false" outlineLevel="0" collapsed="false">
      <c r="A256" s="7"/>
    </row>
    <row r="257" customFormat="false" ht="14.25" hidden="false" customHeight="false" outlineLevel="0" collapsed="false">
      <c r="A257" s="7"/>
    </row>
    <row r="258" customFormat="false" ht="14.25" hidden="false" customHeight="false" outlineLevel="0" collapsed="false">
      <c r="A258" s="7"/>
    </row>
    <row r="259" customFormat="false" ht="14.25" hidden="false" customHeight="false" outlineLevel="0" collapsed="false">
      <c r="A259" s="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443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1" ySplit="2" topLeftCell="Z4369" activePane="bottomRight" state="frozen"/>
      <selection pane="topLeft" activeCell="A1" activeCellId="0" sqref="A1"/>
      <selection pane="topRight" activeCell="Z1" activeCellId="0" sqref="Z1"/>
      <selection pane="bottomLeft" activeCell="A4369" activeCellId="0" sqref="A4369"/>
      <selection pane="bottomRight" activeCell="AA4385" activeCellId="0" sqref="AA4385"/>
    </sheetView>
  </sheetViews>
  <sheetFormatPr defaultColWidth="19.00390625" defaultRowHeight="14.25" zeroHeight="false" outlineLevelRow="0" outlineLevelCol="0"/>
  <sheetData>
    <row r="1" customFormat="false" ht="13.8" hidden="false" customHeight="false" outlineLevel="0" collapsed="false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="13" customFormat="true" ht="13.8" hidden="false" customHeight="false" outlineLevel="0" collapsed="false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2"/>
      <c r="AA2" s="17"/>
      <c r="AB2" s="2"/>
      <c r="AC2" s="12"/>
      <c r="AD2" s="12"/>
      <c r="AE2" s="12"/>
      <c r="AF2" s="12"/>
      <c r="AG2" s="12"/>
      <c r="AH2" s="12"/>
      <c r="AI2" s="12"/>
      <c r="AJ2" s="12"/>
      <c r="AK2" s="2"/>
      <c r="AL2" s="12"/>
      <c r="AM2" s="12"/>
    </row>
    <row r="3" customFormat="false" ht="13.8" hidden="false" customHeight="false" outlineLevel="0" collapsed="false">
      <c r="A3" s="7" t="n">
        <v>38353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AA3" s="7" t="n">
        <v>40909</v>
      </c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</row>
    <row r="4" customFormat="false" ht="13.8" hidden="false" customHeight="false" outlineLevel="0" collapsed="false">
      <c r="A4" s="7" t="n">
        <f aca="false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AA4" s="7" t="n">
        <f aca="false">AA3+1</f>
        <v>40910</v>
      </c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customFormat="false" ht="13.8" hidden="false" customHeight="false" outlineLevel="0" collapsed="false">
      <c r="A5" s="7" t="n">
        <f aca="false">EOMONTH(A4,0)+1</f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AA5" s="7" t="n">
        <f aca="false">AA4+1</f>
        <v>40911</v>
      </c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</row>
    <row r="6" customFormat="false" ht="13.8" hidden="false" customHeight="false" outlineLevel="0" collapsed="false">
      <c r="A6" s="7" t="n">
        <f aca="false">EOMONTH(A5,0)+1</f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AA6" s="7" t="n">
        <f aca="false">AA5+1</f>
        <v>40912</v>
      </c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</row>
    <row r="7" customFormat="false" ht="13.8" hidden="false" customHeight="false" outlineLevel="0" collapsed="false">
      <c r="A7" s="7" t="n">
        <f aca="false">EOMONTH(A6,0)+1</f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AA7" s="7" t="n">
        <f aca="false">AA6+1</f>
        <v>40913</v>
      </c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</row>
    <row r="8" customFormat="false" ht="13.8" hidden="false" customHeight="false" outlineLevel="0" collapsed="false">
      <c r="A8" s="7" t="n">
        <f aca="false">EOMONTH(A7,0)+1</f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AA8" s="7" t="n">
        <f aca="false">AA7+1</f>
        <v>40914</v>
      </c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</row>
    <row r="9" customFormat="false" ht="13.8" hidden="false" customHeight="false" outlineLevel="0" collapsed="false">
      <c r="A9" s="7" t="n">
        <f aca="false">EOMONTH(A8,0)+1</f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AA9" s="7" t="n">
        <f aca="false">AA8+1</f>
        <v>40915</v>
      </c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</row>
    <row r="10" customFormat="false" ht="13.8" hidden="false" customHeight="false" outlineLevel="0" collapsed="false">
      <c r="A10" s="7" t="n">
        <f aca="false">EOMONTH(A9,0)+1</f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AA10" s="7" t="n">
        <f aca="false">AA9+1</f>
        <v>40916</v>
      </c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</row>
    <row r="11" customFormat="false" ht="13.8" hidden="false" customHeight="false" outlineLevel="0" collapsed="false">
      <c r="A11" s="7" t="n">
        <f aca="false">EOMONTH(A10,0)+1</f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AA11" s="7" t="n">
        <f aca="false">AA10+1</f>
        <v>40917</v>
      </c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</row>
    <row r="12" customFormat="false" ht="13.8" hidden="false" customHeight="false" outlineLevel="0" collapsed="false">
      <c r="A12" s="7" t="n">
        <f aca="false">EOMONTH(A11,0)+1</f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AA12" s="7" t="n">
        <f aca="false">AA11+1</f>
        <v>40918</v>
      </c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</row>
    <row r="13" customFormat="false" ht="13.8" hidden="false" customHeight="false" outlineLevel="0" collapsed="false">
      <c r="A13" s="7" t="n">
        <f aca="false">EOMONTH(A12,0)+1</f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AA13" s="7" t="n">
        <f aca="false">AA12+1</f>
        <v>40919</v>
      </c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</row>
    <row r="14" customFormat="false" ht="13.8" hidden="false" customHeight="false" outlineLevel="0" collapsed="false">
      <c r="A14" s="7" t="n">
        <f aca="false">EOMONTH(A13,0)+1</f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AA14" s="7" t="n">
        <f aca="false">AA13+1</f>
        <v>40920</v>
      </c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</row>
    <row r="15" customFormat="false" ht="13.8" hidden="false" customHeight="false" outlineLevel="0" collapsed="false">
      <c r="A15" s="7" t="n">
        <f aca="false">EOMONTH(A14,0)+1</f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AA15" s="7" t="n">
        <f aca="false">AA14+1</f>
        <v>40921</v>
      </c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</row>
    <row r="16" customFormat="false" ht="13.8" hidden="false" customHeight="false" outlineLevel="0" collapsed="false">
      <c r="A16" s="7" t="n">
        <f aca="false">EOMONTH(A15,0)+1</f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AA16" s="7" t="n">
        <f aca="false">AA15+1</f>
        <v>40922</v>
      </c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</row>
    <row r="17" customFormat="false" ht="13.8" hidden="false" customHeight="false" outlineLevel="0" collapsed="false">
      <c r="A17" s="7" t="n">
        <f aca="false">EOMONTH(A16,0)+1</f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AA17" s="7" t="n">
        <f aca="false">AA16+1</f>
        <v>40923</v>
      </c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</row>
    <row r="18" customFormat="false" ht="13.8" hidden="false" customHeight="false" outlineLevel="0" collapsed="false">
      <c r="A18" s="7" t="n">
        <f aca="false">EOMONTH(A17,0)+1</f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AA18" s="7" t="n">
        <f aca="false">AA17+1</f>
        <v>40924</v>
      </c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</row>
    <row r="19" customFormat="false" ht="13.8" hidden="false" customHeight="false" outlineLevel="0" collapsed="false">
      <c r="A19" s="7" t="n">
        <f aca="false">EOMONTH(A18,0)+1</f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AA19" s="7" t="n">
        <f aca="false">AA18+1</f>
        <v>40925</v>
      </c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</row>
    <row r="20" customFormat="false" ht="13.8" hidden="false" customHeight="false" outlineLevel="0" collapsed="false">
      <c r="A20" s="7" t="n">
        <f aca="false">EOMONTH(A19,0)+1</f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AA20" s="7" t="n">
        <f aca="false">AA19+1</f>
        <v>40926</v>
      </c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</row>
    <row r="21" customFormat="false" ht="13.8" hidden="false" customHeight="false" outlineLevel="0" collapsed="false">
      <c r="A21" s="7" t="n">
        <f aca="false">EOMONTH(A20,0)+1</f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AA21" s="7" t="n">
        <f aca="false">AA20+1</f>
        <v>40927</v>
      </c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</row>
    <row r="22" customFormat="false" ht="13.8" hidden="false" customHeight="false" outlineLevel="0" collapsed="false">
      <c r="A22" s="7" t="n">
        <f aca="false">EOMONTH(A21,0)+1</f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AA22" s="7" t="n">
        <f aca="false">AA21+1</f>
        <v>40928</v>
      </c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</row>
    <row r="23" customFormat="false" ht="13.8" hidden="false" customHeight="false" outlineLevel="0" collapsed="false">
      <c r="A23" s="7" t="n">
        <f aca="false">EOMONTH(A22,0)+1</f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AA23" s="7" t="n">
        <f aca="false">AA22+1</f>
        <v>40929</v>
      </c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</row>
    <row r="24" customFormat="false" ht="13.8" hidden="false" customHeight="false" outlineLevel="0" collapsed="false">
      <c r="A24" s="7" t="n">
        <f aca="false">EOMONTH(A23,0)+1</f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AA24" s="7" t="n">
        <f aca="false">AA23+1</f>
        <v>40930</v>
      </c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</row>
    <row r="25" customFormat="false" ht="13.8" hidden="false" customHeight="false" outlineLevel="0" collapsed="false">
      <c r="A25" s="7" t="n">
        <f aca="false">EOMONTH(A24,0)+1</f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AA25" s="7" t="n">
        <f aca="false">AA24+1</f>
        <v>40931</v>
      </c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</row>
    <row r="26" customFormat="false" ht="13.8" hidden="false" customHeight="false" outlineLevel="0" collapsed="false">
      <c r="A26" s="7" t="n">
        <f aca="false">EOMONTH(A25,0)+1</f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AA26" s="7" t="n">
        <f aca="false">AA25+1</f>
        <v>40932</v>
      </c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</row>
    <row r="27" customFormat="false" ht="13.8" hidden="false" customHeight="false" outlineLevel="0" collapsed="false">
      <c r="A27" s="7" t="n">
        <f aca="false">EOMONTH(A26,0)+1</f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AA27" s="7" t="n">
        <f aca="false">AA26+1</f>
        <v>40933</v>
      </c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</row>
    <row r="28" customFormat="false" ht="13.8" hidden="false" customHeight="false" outlineLevel="0" collapsed="false">
      <c r="A28" s="7" t="n">
        <f aca="false">EOMONTH(A27,0)+1</f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AA28" s="7" t="n">
        <f aca="false">AA27+1</f>
        <v>40934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</row>
    <row r="29" customFormat="false" ht="13.8" hidden="false" customHeight="false" outlineLevel="0" collapsed="false">
      <c r="A29" s="7" t="n">
        <f aca="false">EOMONTH(A28,0)+1</f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AA29" s="7" t="n">
        <f aca="false">AA28+1</f>
        <v>40935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</row>
    <row r="30" customFormat="false" ht="13.8" hidden="false" customHeight="false" outlineLevel="0" collapsed="false">
      <c r="A30" s="7" t="n">
        <f aca="false">EOMONTH(A29,0)+1</f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AA30" s="7" t="n">
        <f aca="false">AA29+1</f>
        <v>40936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</row>
    <row r="31" customFormat="false" ht="13.8" hidden="false" customHeight="false" outlineLevel="0" collapsed="false">
      <c r="A31" s="7" t="n">
        <f aca="false">EOMONTH(A30,0)+1</f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AA31" s="7" t="n">
        <f aca="false">AA30+1</f>
        <v>40937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</row>
    <row r="32" customFormat="false" ht="13.8" hidden="false" customHeight="false" outlineLevel="0" collapsed="false">
      <c r="A32" s="7" t="n">
        <f aca="false">EOMONTH(A31,0)+1</f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AA32" s="7" t="n">
        <f aca="false">AA31+1</f>
        <v>40938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</row>
    <row r="33" customFormat="false" ht="13.8" hidden="false" customHeight="false" outlineLevel="0" collapsed="false">
      <c r="A33" s="7" t="n">
        <f aca="false">EOMONTH(A32,0)+1</f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AA33" s="7" t="n">
        <f aca="false">AA32+1</f>
        <v>40939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</row>
    <row r="34" customFormat="false" ht="13.8" hidden="false" customHeight="false" outlineLevel="0" collapsed="false">
      <c r="A34" s="7" t="n">
        <f aca="false">EOMONTH(A33,0)+1</f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AA34" s="7" t="n">
        <f aca="false">AA33+1</f>
        <v>40940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</row>
    <row r="35" customFormat="false" ht="13.8" hidden="false" customHeight="false" outlineLevel="0" collapsed="false">
      <c r="A35" s="7" t="n">
        <f aca="false">EOMONTH(A34,0)+1</f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AA35" s="7" t="n">
        <f aca="false">AA34+1</f>
        <v>40941</v>
      </c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</row>
    <row r="36" customFormat="false" ht="13.8" hidden="false" customHeight="false" outlineLevel="0" collapsed="false">
      <c r="A36" s="7" t="n">
        <f aca="false">EOMONTH(A35,0)+1</f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AA36" s="7" t="n">
        <f aca="false">AA35+1</f>
        <v>40942</v>
      </c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</row>
    <row r="37" customFormat="false" ht="13.8" hidden="false" customHeight="false" outlineLevel="0" collapsed="false">
      <c r="A37" s="7" t="n">
        <f aca="false">EOMONTH(A36,0)+1</f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AA37" s="7" t="n">
        <f aca="false">AA36+1</f>
        <v>40943</v>
      </c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</row>
    <row r="38" customFormat="false" ht="13.8" hidden="false" customHeight="false" outlineLevel="0" collapsed="false">
      <c r="A38" s="7" t="n">
        <f aca="false">EOMONTH(A37,0)+1</f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AA38" s="7" t="n">
        <f aca="false">AA37+1</f>
        <v>40944</v>
      </c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</row>
    <row r="39" customFormat="false" ht="13.8" hidden="false" customHeight="false" outlineLevel="0" collapsed="false">
      <c r="A39" s="7" t="n">
        <f aca="false">EOMONTH(A38,0)+1</f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AA39" s="7" t="n">
        <f aca="false">AA38+1</f>
        <v>40945</v>
      </c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</row>
    <row r="40" customFormat="false" ht="13.8" hidden="false" customHeight="false" outlineLevel="0" collapsed="false">
      <c r="A40" s="7" t="n">
        <f aca="false">EOMONTH(A39,0)+1</f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AA40" s="7" t="n">
        <f aca="false">AA39+1</f>
        <v>40946</v>
      </c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</row>
    <row r="41" customFormat="false" ht="13.8" hidden="false" customHeight="false" outlineLevel="0" collapsed="false">
      <c r="A41" s="7" t="n">
        <f aca="false">EOMONTH(A40,0)+1</f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AA41" s="7" t="n">
        <f aca="false">AA40+1</f>
        <v>40947</v>
      </c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</row>
    <row r="42" customFormat="false" ht="13.8" hidden="false" customHeight="false" outlineLevel="0" collapsed="false">
      <c r="A42" s="7" t="n">
        <f aca="false">EOMONTH(A41,0)+1</f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AA42" s="7" t="n">
        <f aca="false">AA41+1</f>
        <v>40948</v>
      </c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</row>
    <row r="43" customFormat="false" ht="13.8" hidden="false" customHeight="false" outlineLevel="0" collapsed="false">
      <c r="A43" s="7" t="n">
        <f aca="false">EOMONTH(A42,0)+1</f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AA43" s="7" t="n">
        <f aca="false">AA42+1</f>
        <v>40949</v>
      </c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</row>
    <row r="44" customFormat="false" ht="13.8" hidden="false" customHeight="false" outlineLevel="0" collapsed="false">
      <c r="A44" s="7" t="n">
        <f aca="false">EOMONTH(A43,0)+1</f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AA44" s="7" t="n">
        <f aca="false">AA43+1</f>
        <v>40950</v>
      </c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</row>
    <row r="45" customFormat="false" ht="13.8" hidden="false" customHeight="false" outlineLevel="0" collapsed="false">
      <c r="A45" s="7" t="n">
        <f aca="false">EOMONTH(A44,0)+1</f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AA45" s="7" t="n">
        <f aca="false">AA44+1</f>
        <v>40951</v>
      </c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</row>
    <row r="46" customFormat="false" ht="13.8" hidden="false" customHeight="false" outlineLevel="0" collapsed="false">
      <c r="A46" s="7" t="n">
        <f aca="false">EOMONTH(A45,0)+1</f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AA46" s="7" t="n">
        <f aca="false">AA45+1</f>
        <v>40952</v>
      </c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</row>
    <row r="47" customFormat="false" ht="13.8" hidden="false" customHeight="false" outlineLevel="0" collapsed="false">
      <c r="A47" s="7" t="n">
        <f aca="false">EOMONTH(A46,0)+1</f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AA47" s="7" t="n">
        <f aca="false">AA46+1</f>
        <v>40953</v>
      </c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</row>
    <row r="48" customFormat="false" ht="13.8" hidden="false" customHeight="false" outlineLevel="0" collapsed="false">
      <c r="A48" s="7" t="n">
        <f aca="false">EOMONTH(A47,0)+1</f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AA48" s="7" t="n">
        <f aca="false">AA47+1</f>
        <v>40954</v>
      </c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</row>
    <row r="49" customFormat="false" ht="13.8" hidden="false" customHeight="false" outlineLevel="0" collapsed="false">
      <c r="A49" s="7" t="n">
        <f aca="false">EOMONTH(A48,0)+1</f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AA49" s="7" t="n">
        <f aca="false">AA48+1</f>
        <v>40955</v>
      </c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</row>
    <row r="50" customFormat="false" ht="13.8" hidden="false" customHeight="false" outlineLevel="0" collapsed="false">
      <c r="A50" s="7" t="n">
        <f aca="false">EOMONTH(A49,0)+1</f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AA50" s="7" t="n">
        <f aca="false">AA49+1</f>
        <v>40956</v>
      </c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</row>
    <row r="51" customFormat="false" ht="13.8" hidden="false" customHeight="false" outlineLevel="0" collapsed="false">
      <c r="A51" s="7" t="n">
        <f aca="false">EOMONTH(A50,0)+1</f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AA51" s="7" t="n">
        <f aca="false">AA50+1</f>
        <v>40957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</row>
    <row r="52" customFormat="false" ht="13.8" hidden="false" customHeight="false" outlineLevel="0" collapsed="false">
      <c r="A52" s="7" t="n">
        <f aca="false">EOMONTH(A51,0)+1</f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AA52" s="7" t="n">
        <f aca="false">AA51+1</f>
        <v>40958</v>
      </c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</row>
    <row r="53" customFormat="false" ht="13.8" hidden="false" customHeight="false" outlineLevel="0" collapsed="false">
      <c r="A53" s="7" t="n">
        <f aca="false">EOMONTH(A52,0)+1</f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AA53" s="7" t="n">
        <f aca="false">AA52+1</f>
        <v>40959</v>
      </c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</row>
    <row r="54" customFormat="false" ht="13.8" hidden="false" customHeight="false" outlineLevel="0" collapsed="false">
      <c r="A54" s="7" t="n">
        <f aca="false">EOMONTH(A53,0)+1</f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AA54" s="7" t="n">
        <f aca="false">AA53+1</f>
        <v>40960</v>
      </c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</row>
    <row r="55" customFormat="false" ht="13.8" hidden="false" customHeight="false" outlineLevel="0" collapsed="false">
      <c r="A55" s="7" t="n">
        <f aca="false">EOMONTH(A54,0)+1</f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AA55" s="7" t="n">
        <f aca="false">AA54+1</f>
        <v>40961</v>
      </c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</row>
    <row r="56" customFormat="false" ht="13.8" hidden="false" customHeight="false" outlineLevel="0" collapsed="false">
      <c r="A56" s="7" t="n">
        <f aca="false">EOMONTH(A55,0)+1</f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AA56" s="7" t="n">
        <f aca="false">AA55+1</f>
        <v>40962</v>
      </c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</row>
    <row r="57" customFormat="false" ht="13.8" hidden="false" customHeight="false" outlineLevel="0" collapsed="false">
      <c r="A57" s="7" t="n">
        <f aca="false">EOMONTH(A56,0)+1</f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AA57" s="7" t="n">
        <f aca="false">AA56+1</f>
        <v>40963</v>
      </c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</row>
    <row r="58" customFormat="false" ht="13.8" hidden="false" customHeight="false" outlineLevel="0" collapsed="false">
      <c r="A58" s="7" t="n">
        <f aca="false">EOMONTH(A57,0)+1</f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AA58" s="7" t="n">
        <f aca="false">AA57+1</f>
        <v>40964</v>
      </c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</row>
    <row r="59" customFormat="false" ht="13.8" hidden="false" customHeight="false" outlineLevel="0" collapsed="false">
      <c r="A59" s="7" t="n">
        <f aca="false">EOMONTH(A58,0)+1</f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AA59" s="7" t="n">
        <f aca="false">AA58+1</f>
        <v>40965</v>
      </c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</row>
    <row r="60" customFormat="false" ht="13.8" hidden="false" customHeight="false" outlineLevel="0" collapsed="false">
      <c r="A60" s="7" t="n">
        <f aca="false">EOMONTH(A59,0)+1</f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AA60" s="7" t="n">
        <f aca="false">AA59+1</f>
        <v>40966</v>
      </c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</row>
    <row r="61" customFormat="false" ht="13.8" hidden="false" customHeight="false" outlineLevel="0" collapsed="false">
      <c r="A61" s="7" t="n">
        <f aca="false">EOMONTH(A60,0)+1</f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AA61" s="7" t="n">
        <f aca="false">AA60+1</f>
        <v>40967</v>
      </c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</row>
    <row r="62" customFormat="false" ht="13.8" hidden="false" customHeight="false" outlineLevel="0" collapsed="false">
      <c r="A62" s="7" t="n">
        <f aca="false">EOMONTH(A61,0)+1</f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AA62" s="7" t="n">
        <f aca="false">AA61+1</f>
        <v>40968</v>
      </c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</row>
    <row r="63" customFormat="false" ht="13.8" hidden="false" customHeight="false" outlineLevel="0" collapsed="false">
      <c r="A63" s="7" t="n">
        <f aca="false">EOMONTH(A62,0)+1</f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AA63" s="7" t="n">
        <f aca="false">AA62+1</f>
        <v>40969</v>
      </c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</row>
    <row r="64" customFormat="false" ht="13.8" hidden="false" customHeight="false" outlineLevel="0" collapsed="false">
      <c r="A64" s="7" t="n">
        <f aca="false">EOMONTH(A63,0)+1</f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AA64" s="7" t="n">
        <f aca="false">AA63+1</f>
        <v>40970</v>
      </c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</row>
    <row r="65" customFormat="false" ht="13.8" hidden="false" customHeight="false" outlineLevel="0" collapsed="false">
      <c r="A65" s="7" t="n">
        <f aca="false">EOMONTH(A64,0)+1</f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AA65" s="7" t="n">
        <f aca="false">AA64+1</f>
        <v>40971</v>
      </c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</row>
    <row r="66" customFormat="false" ht="13.8" hidden="false" customHeight="false" outlineLevel="0" collapsed="false">
      <c r="A66" s="7" t="n">
        <f aca="false">EOMONTH(A65,0)+1</f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AA66" s="7" t="n">
        <f aca="false">AA65+1</f>
        <v>40972</v>
      </c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</row>
    <row r="67" customFormat="false" ht="13.8" hidden="false" customHeight="false" outlineLevel="0" collapsed="false">
      <c r="A67" s="7" t="n">
        <f aca="false">EOMONTH(A66,0)+1</f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AA67" s="7" t="n">
        <f aca="false">AA66+1</f>
        <v>40973</v>
      </c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</row>
    <row r="68" customFormat="false" ht="13.8" hidden="false" customHeight="false" outlineLevel="0" collapsed="false">
      <c r="A68" s="7" t="n">
        <f aca="false">EOMONTH(A67,0)+1</f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AA68" s="7" t="n">
        <f aca="false">AA67+1</f>
        <v>40974</v>
      </c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</row>
    <row r="69" customFormat="false" ht="13.8" hidden="false" customHeight="false" outlineLevel="0" collapsed="false">
      <c r="A69" s="7" t="n">
        <f aca="false">EOMONTH(A68,0)+1</f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AA69" s="7" t="n">
        <f aca="false">AA68+1</f>
        <v>40975</v>
      </c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</row>
    <row r="70" customFormat="false" ht="13.8" hidden="false" customHeight="false" outlineLevel="0" collapsed="false">
      <c r="A70" s="7" t="n">
        <f aca="false">EOMONTH(A69,0)+1</f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AA70" s="7" t="n">
        <f aca="false">AA69+1</f>
        <v>40976</v>
      </c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</row>
    <row r="71" customFormat="false" ht="13.8" hidden="false" customHeight="false" outlineLevel="0" collapsed="false">
      <c r="A71" s="7" t="n">
        <f aca="false">EOMONTH(A70,0)+1</f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AA71" s="7" t="n">
        <f aca="false">AA70+1</f>
        <v>40977</v>
      </c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</row>
    <row r="72" customFormat="false" ht="13.8" hidden="false" customHeight="false" outlineLevel="0" collapsed="false">
      <c r="A72" s="7" t="n">
        <f aca="false">EOMONTH(A71,0)+1</f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AA72" s="7" t="n">
        <f aca="false">AA71+1</f>
        <v>40978</v>
      </c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</row>
    <row r="73" customFormat="false" ht="13.8" hidden="false" customHeight="false" outlineLevel="0" collapsed="false">
      <c r="A73" s="7" t="n">
        <f aca="false">EOMONTH(A72,0)+1</f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AA73" s="7" t="n">
        <f aca="false">AA72+1</f>
        <v>40979</v>
      </c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</row>
    <row r="74" customFormat="false" ht="13.8" hidden="false" customHeight="false" outlineLevel="0" collapsed="false">
      <c r="A74" s="7" t="n">
        <f aca="false">EOMONTH(A73,0)+1</f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AA74" s="7" t="n">
        <f aca="false">AA73+1</f>
        <v>40980</v>
      </c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</row>
    <row r="75" customFormat="false" ht="13.8" hidden="false" customHeight="false" outlineLevel="0" collapsed="false">
      <c r="A75" s="7" t="n">
        <f aca="false">EOMONTH(A74,0)+1</f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AA75" s="7" t="n">
        <f aca="false">AA74+1</f>
        <v>40981</v>
      </c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</row>
    <row r="76" customFormat="false" ht="13.8" hidden="false" customHeight="false" outlineLevel="0" collapsed="false">
      <c r="A76" s="7" t="n">
        <f aca="false">EOMONTH(A75,0)+1</f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AA76" s="7" t="n">
        <f aca="false">AA75+1</f>
        <v>40982</v>
      </c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</row>
    <row r="77" customFormat="false" ht="13.8" hidden="false" customHeight="false" outlineLevel="0" collapsed="false">
      <c r="A77" s="7" t="n">
        <f aca="false">EOMONTH(A76,0)+1</f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AA77" s="7" t="n">
        <f aca="false">AA76+1</f>
        <v>40983</v>
      </c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</row>
    <row r="78" customFormat="false" ht="13.8" hidden="false" customHeight="false" outlineLevel="0" collapsed="false">
      <c r="A78" s="7" t="n">
        <f aca="false">EOMONTH(A77,0)+1</f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AA78" s="7" t="n">
        <f aca="false">AA77+1</f>
        <v>40984</v>
      </c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</row>
    <row r="79" customFormat="false" ht="13.8" hidden="false" customHeight="false" outlineLevel="0" collapsed="false">
      <c r="A79" s="7" t="n">
        <f aca="false">EOMONTH(A78,0)+1</f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AA79" s="7" t="n">
        <f aca="false">AA78+1</f>
        <v>40985</v>
      </c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</row>
    <row r="80" customFormat="false" ht="13.8" hidden="false" customHeight="false" outlineLevel="0" collapsed="false">
      <c r="A80" s="7" t="n">
        <f aca="false">EOMONTH(A79,0)+1</f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AA80" s="7" t="n">
        <f aca="false">AA79+1</f>
        <v>40986</v>
      </c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</row>
    <row r="81" customFormat="false" ht="13.8" hidden="false" customHeight="false" outlineLevel="0" collapsed="false">
      <c r="A81" s="7" t="n">
        <f aca="false">EOMONTH(A80,0)+1</f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AA81" s="7" t="n">
        <f aca="false">AA80+1</f>
        <v>40987</v>
      </c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</row>
    <row r="82" customFormat="false" ht="13.8" hidden="false" customHeight="false" outlineLevel="0" collapsed="false">
      <c r="A82" s="7" t="n">
        <f aca="false">EOMONTH(A81,0)+1</f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AA82" s="7" t="n">
        <f aca="false">AA81+1</f>
        <v>40988</v>
      </c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</row>
    <row r="83" customFormat="false" ht="13.8" hidden="false" customHeight="false" outlineLevel="0" collapsed="false">
      <c r="A83" s="7" t="n">
        <f aca="false">EOMONTH(A82,0)+1</f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AA83" s="7" t="n">
        <f aca="false">AA82+1</f>
        <v>40989</v>
      </c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</row>
    <row r="84" customFormat="false" ht="13.8" hidden="false" customHeight="false" outlineLevel="0" collapsed="false">
      <c r="A84" s="7" t="n">
        <f aca="false">EOMONTH(A83,0)+1</f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AA84" s="7" t="n">
        <f aca="false">AA83+1</f>
        <v>40990</v>
      </c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</row>
    <row r="85" customFormat="false" ht="13.8" hidden="false" customHeight="false" outlineLevel="0" collapsed="false">
      <c r="A85" s="7" t="n">
        <f aca="false">EOMONTH(A84,0)+1</f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AA85" s="7" t="n">
        <f aca="false">AA84+1</f>
        <v>40991</v>
      </c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</row>
    <row r="86" customFormat="false" ht="13.8" hidden="false" customHeight="false" outlineLevel="0" collapsed="false">
      <c r="A86" s="7" t="n">
        <f aca="false">EOMONTH(A85,0)+1</f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AA86" s="7" t="n">
        <f aca="false">AA85+1</f>
        <v>40992</v>
      </c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</row>
    <row r="87" customFormat="false" ht="13.8" hidden="false" customHeight="false" outlineLevel="0" collapsed="false">
      <c r="A87" s="7" t="n">
        <f aca="false">EOMONTH(A86,0)+1</f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AA87" s="7" t="n">
        <f aca="false">AA86+1</f>
        <v>40993</v>
      </c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</row>
    <row r="88" customFormat="false" ht="13.8" hidden="false" customHeight="false" outlineLevel="0" collapsed="false">
      <c r="A88" s="7" t="n">
        <f aca="false">EOMONTH(A87,0)+1</f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AA88" s="7" t="n">
        <f aca="false">AA87+1</f>
        <v>40994</v>
      </c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</row>
    <row r="89" customFormat="false" ht="13.8" hidden="false" customHeight="false" outlineLevel="0" collapsed="false">
      <c r="A89" s="7" t="n">
        <f aca="false">EOMONTH(A88,0)+1</f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AA89" s="7" t="n">
        <f aca="false">AA88+1</f>
        <v>40995</v>
      </c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</row>
    <row r="90" customFormat="false" ht="13.8" hidden="false" customHeight="false" outlineLevel="0" collapsed="false">
      <c r="A90" s="7" t="n">
        <f aca="false">EOMONTH(A89,0)+1</f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AA90" s="7" t="n">
        <f aca="false">AA89+1</f>
        <v>40996</v>
      </c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</row>
    <row r="91" customFormat="false" ht="13.8" hidden="false" customHeight="false" outlineLevel="0" collapsed="false">
      <c r="A91" s="7" t="n">
        <f aca="false">EOMONTH(A90,0)+1</f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AA91" s="7" t="n">
        <f aca="false">AA90+1</f>
        <v>40997</v>
      </c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</row>
    <row r="92" customFormat="false" ht="13.8" hidden="false" customHeight="false" outlineLevel="0" collapsed="false">
      <c r="A92" s="7" t="n">
        <f aca="false">EOMONTH(A91,0)+1</f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AA92" s="7" t="n">
        <f aca="false">AA91+1</f>
        <v>40998</v>
      </c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</row>
    <row r="93" customFormat="false" ht="13.8" hidden="false" customHeight="false" outlineLevel="0" collapsed="false">
      <c r="A93" s="7" t="n">
        <f aca="false">EOMONTH(A92,0)+1</f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AA93" s="7" t="n">
        <f aca="false">AA92+1</f>
        <v>40999</v>
      </c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</row>
    <row r="94" customFormat="false" ht="13.8" hidden="false" customHeight="false" outlineLevel="0" collapsed="false">
      <c r="A94" s="7" t="n">
        <f aca="false">EOMONTH(A93,0)+1</f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AA94" s="7" t="n">
        <f aca="false">AA93+1</f>
        <v>41000</v>
      </c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</row>
    <row r="95" customFormat="false" ht="13.8" hidden="false" customHeight="false" outlineLevel="0" collapsed="false">
      <c r="A95" s="7" t="n">
        <f aca="false">EOMONTH(A94,0)+1</f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AA95" s="7" t="n">
        <f aca="false">AA94+1</f>
        <v>41001</v>
      </c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</row>
    <row r="96" customFormat="false" ht="13.8" hidden="false" customHeight="false" outlineLevel="0" collapsed="false">
      <c r="A96" s="7" t="n">
        <f aca="false">EOMONTH(A95,0)+1</f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AA96" s="7" t="n">
        <f aca="false">AA95+1</f>
        <v>41002</v>
      </c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</row>
    <row r="97" customFormat="false" ht="13.8" hidden="false" customHeight="false" outlineLevel="0" collapsed="false">
      <c r="A97" s="7" t="n">
        <f aca="false">EOMONTH(A96,0)+1</f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AA97" s="7" t="n">
        <f aca="false">AA96+1</f>
        <v>41003</v>
      </c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</row>
    <row r="98" customFormat="false" ht="13.8" hidden="false" customHeight="false" outlineLevel="0" collapsed="false">
      <c r="A98" s="7" t="n">
        <f aca="false">EOMONTH(A97,0)+1</f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AA98" s="7" t="n">
        <f aca="false">AA97+1</f>
        <v>41004</v>
      </c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</row>
    <row r="99" customFormat="false" ht="13.8" hidden="false" customHeight="false" outlineLevel="0" collapsed="false">
      <c r="A99" s="7" t="n">
        <f aca="false">EOMONTH(A98,0)+1</f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AA99" s="7" t="n">
        <f aca="false">AA98+1</f>
        <v>41005</v>
      </c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</row>
    <row r="100" customFormat="false" ht="13.8" hidden="false" customHeight="false" outlineLevel="0" collapsed="false">
      <c r="A100" s="7" t="n">
        <f aca="false">EOMONTH(A99,0)+1</f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AA100" s="7" t="n">
        <f aca="false">AA99+1</f>
        <v>41006</v>
      </c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</row>
    <row r="101" customFormat="false" ht="13.8" hidden="false" customHeight="false" outlineLevel="0" collapsed="false">
      <c r="A101" s="7" t="n">
        <f aca="false">EOMONTH(A100,0)+1</f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AA101" s="7" t="n">
        <f aca="false">AA100+1</f>
        <v>41007</v>
      </c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</row>
    <row r="102" customFormat="false" ht="13.8" hidden="false" customHeight="false" outlineLevel="0" collapsed="false">
      <c r="A102" s="7" t="n">
        <f aca="false">EOMONTH(A101,0)+1</f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AA102" s="7" t="n">
        <f aca="false">AA101+1</f>
        <v>41008</v>
      </c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</row>
    <row r="103" customFormat="false" ht="13.8" hidden="false" customHeight="false" outlineLevel="0" collapsed="false">
      <c r="A103" s="7" t="n">
        <f aca="false">EOMONTH(A102,0)+1</f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AA103" s="7" t="n">
        <f aca="false">AA102+1</f>
        <v>41009</v>
      </c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</row>
    <row r="104" customFormat="false" ht="13.8" hidden="false" customHeight="false" outlineLevel="0" collapsed="false">
      <c r="A104" s="7" t="n">
        <f aca="false">EOMONTH(A103,0)+1</f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AA104" s="7" t="n">
        <f aca="false">AA103+1</f>
        <v>41010</v>
      </c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</row>
    <row r="105" customFormat="false" ht="13.8" hidden="false" customHeight="false" outlineLevel="0" collapsed="false">
      <c r="A105" s="7" t="n">
        <f aca="false">EOMONTH(A104,0)+1</f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AA105" s="7" t="n">
        <f aca="false">AA104+1</f>
        <v>41011</v>
      </c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</row>
    <row r="106" customFormat="false" ht="13.8" hidden="false" customHeight="false" outlineLevel="0" collapsed="false">
      <c r="A106" s="7" t="n">
        <f aca="false">EOMONTH(A105,0)+1</f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AA106" s="7" t="n">
        <f aca="false">AA105+1</f>
        <v>41012</v>
      </c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</row>
    <row r="107" customFormat="false" ht="13.8" hidden="false" customHeight="false" outlineLevel="0" collapsed="false">
      <c r="A107" s="7" t="n">
        <f aca="false">EOMONTH(A106,0)+1</f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AA107" s="7" t="n">
        <f aca="false">AA106+1</f>
        <v>41013</v>
      </c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</row>
    <row r="108" customFormat="false" ht="13.8" hidden="false" customHeight="false" outlineLevel="0" collapsed="false">
      <c r="A108" s="7" t="n">
        <f aca="false">EOMONTH(A107,0)+1</f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AA108" s="7" t="n">
        <f aca="false">AA107+1</f>
        <v>41014</v>
      </c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</row>
    <row r="109" customFormat="false" ht="13.8" hidden="false" customHeight="false" outlineLevel="0" collapsed="false">
      <c r="A109" s="7" t="n">
        <f aca="false">EOMONTH(A108,0)+1</f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AA109" s="7" t="n">
        <f aca="false">AA108+1</f>
        <v>41015</v>
      </c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</row>
    <row r="110" customFormat="false" ht="13.8" hidden="false" customHeight="false" outlineLevel="0" collapsed="false">
      <c r="A110" s="7" t="n">
        <f aca="false">EOMONTH(A109,0)+1</f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AA110" s="7" t="n">
        <f aca="false">AA109+1</f>
        <v>41016</v>
      </c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</row>
    <row r="111" customFormat="false" ht="13.8" hidden="false" customHeight="false" outlineLevel="0" collapsed="false">
      <c r="A111" s="7" t="n">
        <f aca="false">EOMONTH(A110,0)+1</f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AA111" s="7" t="n">
        <f aca="false">AA110+1</f>
        <v>41017</v>
      </c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</row>
    <row r="112" customFormat="false" ht="13.8" hidden="false" customHeight="false" outlineLevel="0" collapsed="false">
      <c r="A112" s="7" t="n">
        <f aca="false">EOMONTH(A111,0)+1</f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AA112" s="7" t="n">
        <f aca="false">AA111+1</f>
        <v>41018</v>
      </c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</row>
    <row r="113" customFormat="false" ht="13.8" hidden="false" customHeight="false" outlineLevel="0" collapsed="false">
      <c r="A113" s="7" t="n">
        <f aca="false">EOMONTH(A112,0)+1</f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AA113" s="7" t="n">
        <f aca="false">AA112+1</f>
        <v>41019</v>
      </c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</row>
    <row r="114" customFormat="false" ht="13.8" hidden="false" customHeight="false" outlineLevel="0" collapsed="false">
      <c r="A114" s="7" t="n">
        <f aca="false">EOMONTH(A113,0)+1</f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AA114" s="7" t="n">
        <f aca="false">AA113+1</f>
        <v>41020</v>
      </c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</row>
    <row r="115" customFormat="false" ht="13.8" hidden="false" customHeight="false" outlineLevel="0" collapsed="false">
      <c r="A115" s="7" t="n">
        <f aca="false">EOMONTH(A114,0)+1</f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AA115" s="7" t="n">
        <f aca="false">AA114+1</f>
        <v>41021</v>
      </c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</row>
    <row r="116" customFormat="false" ht="13.8" hidden="false" customHeight="false" outlineLevel="0" collapsed="false">
      <c r="A116" s="7" t="n">
        <f aca="false">EOMONTH(A115,0)+1</f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AA116" s="7" t="n">
        <f aca="false">AA115+1</f>
        <v>41022</v>
      </c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</row>
    <row r="117" customFormat="false" ht="13.8" hidden="false" customHeight="false" outlineLevel="0" collapsed="false">
      <c r="A117" s="7" t="n">
        <f aca="false">EOMONTH(A116,0)+1</f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AA117" s="7" t="n">
        <f aca="false">AA116+1</f>
        <v>41023</v>
      </c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</row>
    <row r="118" customFormat="false" ht="13.8" hidden="false" customHeight="false" outlineLevel="0" collapsed="false">
      <c r="A118" s="7" t="n">
        <f aca="false">EOMONTH(A117,0)+1</f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AA118" s="7" t="n">
        <f aca="false">AA117+1</f>
        <v>41024</v>
      </c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</row>
    <row r="119" customFormat="false" ht="13.8" hidden="false" customHeight="false" outlineLevel="0" collapsed="false">
      <c r="A119" s="7" t="n">
        <f aca="false">EOMONTH(A118,0)+1</f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AA119" s="7" t="n">
        <f aca="false">AA118+1</f>
        <v>41025</v>
      </c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</row>
    <row r="120" customFormat="false" ht="13.8" hidden="false" customHeight="false" outlineLevel="0" collapsed="false">
      <c r="A120" s="7" t="n">
        <f aca="false">EOMONTH(A119,0)+1</f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AA120" s="7" t="n">
        <f aca="false">AA119+1</f>
        <v>41026</v>
      </c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</row>
    <row r="121" customFormat="false" ht="13.8" hidden="false" customHeight="false" outlineLevel="0" collapsed="false">
      <c r="A121" s="7" t="n">
        <f aca="false">EOMONTH(A120,0)+1</f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AA121" s="7" t="n">
        <f aca="false">AA120+1</f>
        <v>41027</v>
      </c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</row>
    <row r="122" customFormat="false" ht="13.8" hidden="false" customHeight="false" outlineLevel="0" collapsed="false">
      <c r="A122" s="7" t="n">
        <f aca="false">EOMONTH(A121,0)+1</f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AA122" s="7" t="n">
        <f aca="false">AA121+1</f>
        <v>41028</v>
      </c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</row>
    <row r="123" customFormat="false" ht="13.8" hidden="false" customHeight="false" outlineLevel="0" collapsed="false">
      <c r="A123" s="7" t="n">
        <f aca="false">EOMONTH(A122,0)+1</f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AA123" s="7" t="n">
        <f aca="false">AA122+1</f>
        <v>41029</v>
      </c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</row>
    <row r="124" customFormat="false" ht="13.8" hidden="false" customHeight="false" outlineLevel="0" collapsed="false">
      <c r="A124" s="7" t="n">
        <f aca="false">EOMONTH(A123,0)+1</f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AA124" s="7" t="n">
        <f aca="false">AA123+1</f>
        <v>41030</v>
      </c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</row>
    <row r="125" customFormat="false" ht="13.8" hidden="false" customHeight="false" outlineLevel="0" collapsed="false">
      <c r="A125" s="7" t="n">
        <f aca="false">EOMONTH(A124,0)+1</f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AA125" s="7" t="n">
        <f aca="false">AA124+1</f>
        <v>41031</v>
      </c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</row>
    <row r="126" customFormat="false" ht="13.8" hidden="false" customHeight="false" outlineLevel="0" collapsed="false">
      <c r="A126" s="7" t="n">
        <f aca="false">EOMONTH(A125,0)+1</f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AA126" s="7" t="n">
        <f aca="false">AA125+1</f>
        <v>41032</v>
      </c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</row>
    <row r="127" customFormat="false" ht="13.8" hidden="false" customHeight="false" outlineLevel="0" collapsed="false">
      <c r="A127" s="7" t="n">
        <f aca="false">EOMONTH(A126,0)+1</f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AA127" s="7" t="n">
        <f aca="false">AA126+1</f>
        <v>41033</v>
      </c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</row>
    <row r="128" customFormat="false" ht="13.8" hidden="false" customHeight="false" outlineLevel="0" collapsed="false">
      <c r="A128" s="7" t="n">
        <f aca="false">EOMONTH(A127,0)+1</f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AA128" s="7" t="n">
        <f aca="false">AA127+1</f>
        <v>41034</v>
      </c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</row>
    <row r="129" customFormat="false" ht="13.8" hidden="false" customHeight="false" outlineLevel="0" collapsed="false">
      <c r="A129" s="7" t="n">
        <f aca="false">EOMONTH(A128,0)+1</f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AA129" s="7" t="n">
        <f aca="false">AA128+1</f>
        <v>41035</v>
      </c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</row>
    <row r="130" customFormat="false" ht="13.8" hidden="false" customHeight="false" outlineLevel="0" collapsed="false">
      <c r="A130" s="7" t="n">
        <f aca="false">EOMONTH(A129,0)+1</f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AA130" s="7" t="n">
        <f aca="false">AA129+1</f>
        <v>41036</v>
      </c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</row>
    <row r="131" customFormat="false" ht="13.8" hidden="false" customHeight="false" outlineLevel="0" collapsed="false">
      <c r="A131" s="7" t="n">
        <f aca="false">EOMONTH(A130,0)+1</f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AA131" s="7" t="n">
        <f aca="false">AA130+1</f>
        <v>41037</v>
      </c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</row>
    <row r="132" customFormat="false" ht="13.8" hidden="false" customHeight="false" outlineLevel="0" collapsed="false">
      <c r="A132" s="7" t="n">
        <f aca="false">EOMONTH(A131,0)+1</f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AA132" s="7" t="n">
        <f aca="false">AA131+1</f>
        <v>41038</v>
      </c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</row>
    <row r="133" customFormat="false" ht="13.8" hidden="false" customHeight="false" outlineLevel="0" collapsed="false">
      <c r="A133" s="7" t="n">
        <f aca="false">EOMONTH(A132,0)+1</f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AA133" s="7" t="n">
        <f aca="false">AA132+1</f>
        <v>41039</v>
      </c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</row>
    <row r="134" customFormat="false" ht="13.8" hidden="false" customHeight="false" outlineLevel="0" collapsed="false">
      <c r="A134" s="7" t="n">
        <f aca="false">EOMONTH(A133,0)+1</f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AA134" s="7" t="n">
        <f aca="false">AA133+1</f>
        <v>41040</v>
      </c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</row>
    <row r="135" customFormat="false" ht="13.8" hidden="false" customHeight="false" outlineLevel="0" collapsed="false">
      <c r="A135" s="7" t="n">
        <f aca="false">EOMONTH(A134,0)+1</f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AA135" s="7" t="n">
        <f aca="false">AA134+1</f>
        <v>41041</v>
      </c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</row>
    <row r="136" customFormat="false" ht="13.8" hidden="false" customHeight="false" outlineLevel="0" collapsed="false">
      <c r="A136" s="7" t="n">
        <f aca="false">EOMONTH(A135,0)+1</f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AA136" s="7" t="n">
        <f aca="false">AA135+1</f>
        <v>41042</v>
      </c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</row>
    <row r="137" customFormat="false" ht="13.8" hidden="false" customHeight="false" outlineLevel="0" collapsed="false">
      <c r="A137" s="7" t="n">
        <f aca="false">EOMONTH(A136,0)+1</f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AA137" s="7" t="n">
        <f aca="false">AA136+1</f>
        <v>41043</v>
      </c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</row>
    <row r="138" customFormat="false" ht="13.8" hidden="false" customHeight="false" outlineLevel="0" collapsed="false">
      <c r="A138" s="7" t="n">
        <f aca="false">EOMONTH(A137,0)+1</f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AA138" s="7" t="n">
        <f aca="false">AA137+1</f>
        <v>41044</v>
      </c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</row>
    <row r="139" customFormat="false" ht="13.8" hidden="false" customHeight="false" outlineLevel="0" collapsed="false">
      <c r="A139" s="7" t="n">
        <f aca="false">EOMONTH(A138,0)+1</f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AA139" s="7" t="n">
        <f aca="false">AA138+1</f>
        <v>41045</v>
      </c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</row>
    <row r="140" customFormat="false" ht="13.8" hidden="false" customHeight="false" outlineLevel="0" collapsed="false">
      <c r="A140" s="7" t="n">
        <f aca="false">EOMONTH(A139,0)+1</f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AA140" s="7" t="n">
        <f aca="false">AA139+1</f>
        <v>41046</v>
      </c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</row>
    <row r="141" customFormat="false" ht="13.8" hidden="false" customHeight="false" outlineLevel="0" collapsed="false">
      <c r="A141" s="7" t="n">
        <f aca="false">EOMONTH(A140,0)+1</f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AA141" s="7" t="n">
        <f aca="false">AA140+1</f>
        <v>41047</v>
      </c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</row>
    <row r="142" customFormat="false" ht="13.8" hidden="false" customHeight="false" outlineLevel="0" collapsed="false">
      <c r="A142" s="7" t="n">
        <f aca="false">EOMONTH(A141,0)+1</f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AA142" s="7" t="n">
        <f aca="false">AA141+1</f>
        <v>41048</v>
      </c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</row>
    <row r="143" customFormat="false" ht="13.8" hidden="false" customHeight="false" outlineLevel="0" collapsed="false">
      <c r="A143" s="7" t="n">
        <f aca="false">EOMONTH(A142,0)+1</f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AA143" s="7" t="n">
        <f aca="false">AA142+1</f>
        <v>41049</v>
      </c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</row>
    <row r="144" customFormat="false" ht="13.8" hidden="false" customHeight="false" outlineLevel="0" collapsed="false">
      <c r="A144" s="7" t="n">
        <f aca="false">EOMONTH(A143,0)+1</f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AA144" s="7" t="n">
        <f aca="false">AA143+1</f>
        <v>41050</v>
      </c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</row>
    <row r="145" customFormat="false" ht="13.8" hidden="false" customHeight="false" outlineLevel="0" collapsed="false">
      <c r="A145" s="7" t="n">
        <f aca="false">EOMONTH(A144,0)+1</f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AA145" s="7" t="n">
        <f aca="false">AA144+1</f>
        <v>41051</v>
      </c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</row>
    <row r="146" customFormat="false" ht="13.8" hidden="false" customHeight="false" outlineLevel="0" collapsed="false">
      <c r="A146" s="7" t="n">
        <f aca="false">EOMONTH(A145,0)+1</f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AA146" s="7" t="n">
        <f aca="false">AA145+1</f>
        <v>41052</v>
      </c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</row>
    <row r="147" customFormat="false" ht="13.8" hidden="false" customHeight="false" outlineLevel="0" collapsed="false">
      <c r="A147" s="7" t="n">
        <f aca="false">EOMONTH(A146,0)+1</f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AA147" s="7" t="n">
        <f aca="false">AA146+1</f>
        <v>41053</v>
      </c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</row>
    <row r="148" customFormat="false" ht="13.8" hidden="false" customHeight="false" outlineLevel="0" collapsed="false">
      <c r="A148" s="7" t="n">
        <f aca="false">EOMONTH(A147,0)+1</f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AA148" s="7" t="n">
        <f aca="false">AA147+1</f>
        <v>41054</v>
      </c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</row>
    <row r="149" customFormat="false" ht="13.8" hidden="false" customHeight="false" outlineLevel="0" collapsed="false">
      <c r="A149" s="7" t="n">
        <f aca="false">EOMONTH(A148,0)+1</f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AA149" s="7" t="n">
        <f aca="false">AA148+1</f>
        <v>41055</v>
      </c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</row>
    <row r="150" customFormat="false" ht="13.8" hidden="false" customHeight="false" outlineLevel="0" collapsed="false">
      <c r="A150" s="7" t="n">
        <f aca="false">EOMONTH(A149,0)+1</f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AA150" s="7" t="n">
        <f aca="false">AA149+1</f>
        <v>41056</v>
      </c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</row>
    <row r="151" customFormat="false" ht="13.8" hidden="false" customHeight="false" outlineLevel="0" collapsed="false">
      <c r="A151" s="7" t="n">
        <f aca="false">EOMONTH(A150,0)+1</f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AA151" s="7" t="n">
        <f aca="false">AA150+1</f>
        <v>41057</v>
      </c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</row>
    <row r="152" customFormat="false" ht="13.8" hidden="false" customHeight="false" outlineLevel="0" collapsed="false">
      <c r="A152" s="7" t="n">
        <f aca="false">EOMONTH(A151,0)+1</f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AA152" s="7" t="n">
        <f aca="false">AA151+1</f>
        <v>41058</v>
      </c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</row>
    <row r="153" customFormat="false" ht="13.8" hidden="false" customHeight="false" outlineLevel="0" collapsed="false">
      <c r="A153" s="7" t="n">
        <f aca="false">EOMONTH(A152,0)+1</f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AA153" s="7" t="n">
        <f aca="false">AA152+1</f>
        <v>41059</v>
      </c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</row>
    <row r="154" customFormat="false" ht="13.8" hidden="false" customHeight="false" outlineLevel="0" collapsed="false">
      <c r="A154" s="7" t="n">
        <f aca="false">EOMONTH(A153,0)+1</f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AA154" s="7" t="n">
        <f aca="false">AA153+1</f>
        <v>41060</v>
      </c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</row>
    <row r="155" customFormat="false" ht="13.8" hidden="false" customHeight="false" outlineLevel="0" collapsed="false">
      <c r="A155" s="7" t="n">
        <f aca="false">EOMONTH(A154,0)+1</f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AA155" s="7" t="n">
        <f aca="false">AA154+1</f>
        <v>41061</v>
      </c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</row>
    <row r="156" customFormat="false" ht="13.8" hidden="false" customHeight="false" outlineLevel="0" collapsed="false">
      <c r="A156" s="7" t="n">
        <f aca="false">EOMONTH(A155,0)+1</f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AA156" s="7" t="n">
        <f aca="false">AA155+1</f>
        <v>41062</v>
      </c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</row>
    <row r="157" customFormat="false" ht="13.8" hidden="false" customHeight="false" outlineLevel="0" collapsed="false">
      <c r="A157" s="7" t="n">
        <f aca="false">EOMONTH(A156,0)+1</f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AA157" s="7" t="n">
        <f aca="false">AA156+1</f>
        <v>41063</v>
      </c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</row>
    <row r="158" customFormat="false" ht="13.8" hidden="false" customHeight="false" outlineLevel="0" collapsed="false">
      <c r="A158" s="7" t="n">
        <f aca="false">EOMONTH(A157,0)+1</f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AA158" s="7" t="n">
        <f aca="false">AA157+1</f>
        <v>41064</v>
      </c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</row>
    <row r="159" customFormat="false" ht="13.8" hidden="false" customHeight="false" outlineLevel="0" collapsed="false">
      <c r="A159" s="7" t="n">
        <f aca="false">EOMONTH(A158,0)+1</f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AA159" s="7" t="n">
        <f aca="false">AA158+1</f>
        <v>41065</v>
      </c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</row>
    <row r="160" customFormat="false" ht="13.8" hidden="false" customHeight="false" outlineLevel="0" collapsed="false">
      <c r="A160" s="7" t="n">
        <f aca="false">EOMONTH(A159,0)+1</f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AA160" s="7" t="n">
        <f aca="false">AA159+1</f>
        <v>41066</v>
      </c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</row>
    <row r="161" customFormat="false" ht="13.8" hidden="false" customHeight="false" outlineLevel="0" collapsed="false">
      <c r="A161" s="7" t="n">
        <f aca="false">EOMONTH(A160,0)+1</f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AA161" s="7" t="n">
        <f aca="false">AA160+1</f>
        <v>41067</v>
      </c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</row>
    <row r="162" customFormat="false" ht="13.8" hidden="false" customHeight="false" outlineLevel="0" collapsed="false">
      <c r="A162" s="7" t="n">
        <f aca="false">EOMONTH(A161,0)+1</f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AA162" s="7" t="n">
        <f aca="false">AA161+1</f>
        <v>41068</v>
      </c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</row>
    <row r="163" customFormat="false" ht="13.8" hidden="false" customHeight="false" outlineLevel="0" collapsed="false">
      <c r="A163" s="7" t="n">
        <f aca="false">EOMONTH(A162,0)+1</f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AA163" s="7" t="n">
        <f aca="false">AA162+1</f>
        <v>41069</v>
      </c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</row>
    <row r="164" customFormat="false" ht="13.8" hidden="false" customHeight="false" outlineLevel="0" collapsed="false">
      <c r="A164" s="7" t="n">
        <f aca="false">EOMONTH(A163,0)+1</f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AA164" s="7" t="n">
        <f aca="false">AA163+1</f>
        <v>41070</v>
      </c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</row>
    <row r="165" customFormat="false" ht="13.8" hidden="false" customHeight="false" outlineLevel="0" collapsed="false">
      <c r="A165" s="7" t="n">
        <f aca="false">EOMONTH(A164,0)+1</f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AA165" s="7" t="n">
        <f aca="false">AA164+1</f>
        <v>41071</v>
      </c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</row>
    <row r="166" customFormat="false" ht="13.8" hidden="false" customHeight="false" outlineLevel="0" collapsed="false">
      <c r="A166" s="7" t="n">
        <f aca="false">EOMONTH(A165,0)+1</f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AA166" s="7" t="n">
        <f aca="false">AA165+1</f>
        <v>41072</v>
      </c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</row>
    <row r="167" customFormat="false" ht="13.8" hidden="false" customHeight="false" outlineLevel="0" collapsed="false">
      <c r="A167" s="7" t="n">
        <f aca="false">EOMONTH(A166,0)+1</f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AA167" s="7" t="n">
        <f aca="false">AA166+1</f>
        <v>41073</v>
      </c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</row>
    <row r="168" customFormat="false" ht="13.8" hidden="false" customHeight="false" outlineLevel="0" collapsed="false">
      <c r="A168" s="7" t="n">
        <f aca="false">EOMONTH(A167,0)+1</f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AA168" s="7" t="n">
        <f aca="false">AA167+1</f>
        <v>41074</v>
      </c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</row>
    <row r="169" customFormat="false" ht="13.8" hidden="false" customHeight="false" outlineLevel="0" collapsed="false">
      <c r="A169" s="7" t="n">
        <f aca="false">EOMONTH(A168,0)+1</f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AA169" s="7" t="n">
        <f aca="false">AA168+1</f>
        <v>41075</v>
      </c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</row>
    <row r="170" customFormat="false" ht="13.8" hidden="false" customHeight="false" outlineLevel="0" collapsed="false">
      <c r="A170" s="7" t="n">
        <f aca="false">EOMONTH(A169,0)+1</f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AA170" s="7" t="n">
        <f aca="false">AA169+1</f>
        <v>41076</v>
      </c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</row>
    <row r="171" customFormat="false" ht="13.8" hidden="false" customHeight="false" outlineLevel="0" collapsed="false">
      <c r="A171" s="7" t="n">
        <f aca="false">EOMONTH(A170,0)+1</f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AA171" s="7" t="n">
        <f aca="false">AA170+1</f>
        <v>41077</v>
      </c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</row>
    <row r="172" customFormat="false" ht="13.8" hidden="false" customHeight="false" outlineLevel="0" collapsed="false">
      <c r="A172" s="7" t="n">
        <f aca="false">EOMONTH(A171,0)+1</f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AA172" s="7" t="n">
        <f aca="false">AA171+1</f>
        <v>41078</v>
      </c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</row>
    <row r="173" customFormat="false" ht="13.8" hidden="false" customHeight="false" outlineLevel="0" collapsed="false">
      <c r="A173" s="7" t="n">
        <f aca="false">EOMONTH(A172,0)+1</f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AA173" s="7" t="n">
        <f aca="false">AA172+1</f>
        <v>41079</v>
      </c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</row>
    <row r="174" customFormat="false" ht="13.8" hidden="false" customHeight="false" outlineLevel="0" collapsed="false">
      <c r="A174" s="7" t="n">
        <f aca="false">EOMONTH(A173,0)+1</f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AA174" s="7" t="n">
        <f aca="false">AA173+1</f>
        <v>41080</v>
      </c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</row>
    <row r="175" customFormat="false" ht="13.8" hidden="false" customHeight="false" outlineLevel="0" collapsed="false">
      <c r="A175" s="7" t="n">
        <f aca="false">EOMONTH(A174,0)+1</f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AA175" s="7" t="n">
        <f aca="false">AA174+1</f>
        <v>41081</v>
      </c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</row>
    <row r="176" customFormat="false" ht="13.8" hidden="false" customHeight="false" outlineLevel="0" collapsed="false">
      <c r="A176" s="7" t="n">
        <f aca="false">EOMONTH(A175,0)+1</f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AA176" s="7" t="n">
        <f aca="false">AA175+1</f>
        <v>41082</v>
      </c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</row>
    <row r="177" customFormat="false" ht="13.8" hidden="false" customHeight="false" outlineLevel="0" collapsed="false">
      <c r="A177" s="7" t="n">
        <f aca="false">EOMONTH(A176,0)+1</f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AA177" s="7" t="n">
        <f aca="false">AA176+1</f>
        <v>41083</v>
      </c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</row>
    <row r="178" customFormat="false" ht="13.8" hidden="false" customHeight="false" outlineLevel="0" collapsed="false">
      <c r="A178" s="7" t="n">
        <f aca="false">EOMONTH(A177,0)+1</f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AA178" s="7" t="n">
        <f aca="false">AA177+1</f>
        <v>41084</v>
      </c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</row>
    <row r="179" customFormat="false" ht="13.8" hidden="false" customHeight="false" outlineLevel="0" collapsed="false">
      <c r="A179" s="7" t="n">
        <f aca="false">EOMONTH(A178,0)+1</f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AA179" s="7" t="n">
        <f aca="false">AA178+1</f>
        <v>41085</v>
      </c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</row>
    <row r="180" customFormat="false" ht="13.8" hidden="false" customHeight="false" outlineLevel="0" collapsed="false">
      <c r="A180" s="7" t="n">
        <f aca="false">EOMONTH(A179,0)+1</f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AA180" s="7" t="n">
        <f aca="false">AA179+1</f>
        <v>41086</v>
      </c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</row>
    <row r="181" customFormat="false" ht="13.8" hidden="false" customHeight="false" outlineLevel="0" collapsed="false">
      <c r="A181" s="7" t="n">
        <f aca="false">EOMONTH(A180,0)+1</f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AA181" s="7" t="n">
        <f aca="false">AA180+1</f>
        <v>41087</v>
      </c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</row>
    <row r="182" customFormat="false" ht="13.8" hidden="false" customHeight="false" outlineLevel="0" collapsed="false">
      <c r="A182" s="7" t="n">
        <f aca="false">EOMONTH(A181,0)+1</f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AA182" s="7" t="n">
        <f aca="false">AA181+1</f>
        <v>41088</v>
      </c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</row>
    <row r="183" customFormat="false" ht="13.8" hidden="false" customHeight="false" outlineLevel="0" collapsed="false">
      <c r="A183" s="7" t="n">
        <f aca="false">EOMONTH(A182,0)+1</f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AA183" s="7" t="n">
        <f aca="false">AA182+1</f>
        <v>41089</v>
      </c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</row>
    <row r="184" customFormat="false" ht="13.8" hidden="false" customHeight="false" outlineLevel="0" collapsed="false">
      <c r="A184" s="7" t="n">
        <f aca="false">EOMONTH(A183,0)+1</f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AA184" s="7" t="n">
        <f aca="false">AA183+1</f>
        <v>41090</v>
      </c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</row>
    <row r="185" customFormat="false" ht="13.8" hidden="false" customHeight="false" outlineLevel="0" collapsed="false">
      <c r="A185" s="7" t="n">
        <f aca="false">EOMONTH(A184,0)+1</f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AA185" s="7" t="n">
        <f aca="false">AA184+1</f>
        <v>41091</v>
      </c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</row>
    <row r="186" customFormat="false" ht="13.8" hidden="false" customHeight="false" outlineLevel="0" collapsed="false">
      <c r="A186" s="7" t="n">
        <f aca="false">EOMONTH(A185,0)+1</f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AA186" s="7" t="n">
        <f aca="false">AA185+1</f>
        <v>41092</v>
      </c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</row>
    <row r="187" customFormat="false" ht="13.8" hidden="false" customHeight="false" outlineLevel="0" collapsed="false">
      <c r="A187" s="7" t="n">
        <f aca="false">EOMONTH(A186,0)+1</f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AA187" s="7" t="n">
        <f aca="false">AA186+1</f>
        <v>41093</v>
      </c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</row>
    <row r="188" customFormat="false" ht="13.8" hidden="false" customHeight="false" outlineLevel="0" collapsed="false">
      <c r="A188" s="7" t="n">
        <f aca="false">EOMONTH(A187,0)+1</f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AA188" s="7" t="n">
        <f aca="false">AA187+1</f>
        <v>41094</v>
      </c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</row>
    <row r="189" customFormat="false" ht="13.8" hidden="false" customHeight="false" outlineLevel="0" collapsed="false">
      <c r="A189" s="7" t="n">
        <f aca="false">EOMONTH(A188,0)+1</f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AA189" s="7" t="n">
        <f aca="false">AA188+1</f>
        <v>41095</v>
      </c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</row>
    <row r="190" customFormat="false" ht="13.8" hidden="false" customHeight="false" outlineLevel="0" collapsed="false">
      <c r="A190" s="7" t="n">
        <f aca="false">EOMONTH(A189,0)+1</f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AA190" s="7" t="n">
        <f aca="false">AA189+1</f>
        <v>41096</v>
      </c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</row>
    <row r="191" customFormat="false" ht="13.8" hidden="false" customHeight="false" outlineLevel="0" collapsed="false">
      <c r="A191" s="7" t="n">
        <f aca="false">EOMONTH(A190,0)+1</f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AA191" s="7" t="n">
        <f aca="false">AA190+1</f>
        <v>41097</v>
      </c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</row>
    <row r="192" customFormat="false" ht="13.8" hidden="false" customHeight="false" outlineLevel="0" collapsed="false">
      <c r="A192" s="7" t="n">
        <f aca="false">EOMONTH(A191,0)+1</f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AA192" s="7" t="n">
        <f aca="false">AA191+1</f>
        <v>41098</v>
      </c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</row>
    <row r="193" customFormat="false" ht="13.8" hidden="false" customHeight="false" outlineLevel="0" collapsed="false">
      <c r="A193" s="7" t="n">
        <f aca="false">EOMONTH(A192,0)+1</f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AA193" s="7" t="n">
        <f aca="false">AA192+1</f>
        <v>41099</v>
      </c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</row>
    <row r="194" customFormat="false" ht="13.8" hidden="false" customHeight="false" outlineLevel="0" collapsed="false">
      <c r="A194" s="7" t="n">
        <f aca="false">EOMONTH(A193,0)+1</f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AA194" s="7" t="n">
        <f aca="false">AA193+1</f>
        <v>41100</v>
      </c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</row>
    <row r="195" customFormat="false" ht="13.8" hidden="false" customHeight="false" outlineLevel="0" collapsed="false">
      <c r="A195" s="7" t="n">
        <f aca="false">EOMONTH(A194,0)+1</f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AA195" s="7" t="n">
        <f aca="false">AA194+1</f>
        <v>41101</v>
      </c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</row>
    <row r="196" customFormat="false" ht="13.8" hidden="false" customHeight="false" outlineLevel="0" collapsed="false">
      <c r="A196" s="7" t="n">
        <f aca="false">EOMONTH(A195,0)+1</f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AA196" s="7" t="n">
        <f aca="false">AA195+1</f>
        <v>41102</v>
      </c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</row>
    <row r="197" customFormat="false" ht="13.8" hidden="false" customHeight="false" outlineLevel="0" collapsed="false">
      <c r="A197" s="7" t="n">
        <f aca="false">EOMONTH(A196,0)+1</f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AA197" s="7" t="n">
        <f aca="false">AA196+1</f>
        <v>41103</v>
      </c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</row>
    <row r="198" customFormat="false" ht="13.8" hidden="false" customHeight="false" outlineLevel="0" collapsed="false">
      <c r="A198" s="7" t="n">
        <f aca="false">EOMONTH(A197,0)+1</f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AA198" s="7" t="n">
        <f aca="false">AA197+1</f>
        <v>41104</v>
      </c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</row>
    <row r="199" customFormat="false" ht="13.8" hidden="false" customHeight="false" outlineLevel="0" collapsed="false">
      <c r="A199" s="7" t="n">
        <f aca="false">EOMONTH(A198,0)+1</f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AA199" s="7" t="n">
        <f aca="false">AA198+1</f>
        <v>41105</v>
      </c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</row>
    <row r="200" customFormat="false" ht="13.8" hidden="false" customHeight="false" outlineLevel="0" collapsed="false">
      <c r="A200" s="7" t="n">
        <f aca="false">EOMONTH(A199,0)+1</f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AA200" s="7" t="n">
        <f aca="false">AA199+1</f>
        <v>41106</v>
      </c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</row>
    <row r="201" customFormat="false" ht="13.8" hidden="false" customHeight="false" outlineLevel="0" collapsed="false">
      <c r="A201" s="7" t="n">
        <f aca="false">EOMONTH(A200,0)+1</f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AA201" s="7" t="n">
        <f aca="false">AA200+1</f>
        <v>41107</v>
      </c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</row>
    <row r="202" customFormat="false" ht="13.8" hidden="false" customHeight="false" outlineLevel="0" collapsed="false">
      <c r="A202" s="7" t="n">
        <f aca="false">EOMONTH(A201,0)+1</f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AA202" s="7" t="n">
        <f aca="false">AA201+1</f>
        <v>41108</v>
      </c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</row>
    <row r="203" customFormat="false" ht="13.8" hidden="false" customHeight="false" outlineLevel="0" collapsed="false">
      <c r="A203" s="7" t="n">
        <f aca="false">EOMONTH(A202,0)+1</f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AA203" s="7" t="n">
        <f aca="false">AA202+1</f>
        <v>41109</v>
      </c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</row>
    <row r="204" customFormat="false" ht="13.8" hidden="false" customHeight="false" outlineLevel="0" collapsed="false">
      <c r="A204" s="7" t="n">
        <f aca="false">EOMONTH(A203,0)+1</f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AA204" s="7" t="n">
        <f aca="false">AA203+1</f>
        <v>41110</v>
      </c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</row>
    <row r="205" customFormat="false" ht="13.8" hidden="false" customHeight="false" outlineLevel="0" collapsed="false">
      <c r="A205" s="7" t="n">
        <f aca="false">EOMONTH(A204,0)+1</f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AA205" s="7" t="n">
        <f aca="false">AA204+1</f>
        <v>41111</v>
      </c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</row>
    <row r="206" customFormat="false" ht="13.8" hidden="false" customHeight="false" outlineLevel="0" collapsed="false">
      <c r="A206" s="7" t="n">
        <f aca="false">EOMONTH(A205,0)+1</f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AA206" s="7" t="n">
        <f aca="false">AA205+1</f>
        <v>41112</v>
      </c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</row>
    <row r="207" customFormat="false" ht="13.8" hidden="false" customHeight="false" outlineLevel="0" collapsed="false">
      <c r="A207" s="7" t="n">
        <f aca="false">EOMONTH(A206,0)+1</f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AA207" s="7" t="n">
        <f aca="false">AA206+1</f>
        <v>41113</v>
      </c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</row>
    <row r="208" customFormat="false" ht="13.8" hidden="false" customHeight="false" outlineLevel="0" collapsed="false">
      <c r="A208" s="7" t="n">
        <f aca="false">EOMONTH(A207,0)+1</f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AA208" s="7" t="n">
        <f aca="false">AA207+1</f>
        <v>41114</v>
      </c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</row>
    <row r="209" customFormat="false" ht="13.8" hidden="false" customHeight="false" outlineLevel="0" collapsed="false">
      <c r="A209" s="7" t="n">
        <f aca="false">EOMONTH(A208,0)+1</f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AA209" s="7" t="n">
        <f aca="false">AA208+1</f>
        <v>41115</v>
      </c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</row>
    <row r="210" customFormat="false" ht="13.8" hidden="false" customHeight="false" outlineLevel="0" collapsed="false">
      <c r="A210" s="7" t="n">
        <f aca="false">EOMONTH(A209,0)+1</f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AA210" s="7" t="n">
        <f aca="false">AA209+1</f>
        <v>41116</v>
      </c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</row>
    <row r="211" customFormat="false" ht="13.8" hidden="false" customHeight="false" outlineLevel="0" collapsed="false">
      <c r="A211" s="7" t="n">
        <f aca="false">EOMONTH(A210,0)+1</f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AA211" s="7" t="n">
        <f aca="false">AA210+1</f>
        <v>41117</v>
      </c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</row>
    <row r="212" customFormat="false" ht="13.8" hidden="false" customHeight="false" outlineLevel="0" collapsed="false">
      <c r="A212" s="7" t="n">
        <f aca="false">EOMONTH(A211,0)+1</f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AA212" s="7" t="n">
        <f aca="false">AA211+1</f>
        <v>41118</v>
      </c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</row>
    <row r="213" customFormat="false" ht="13.8" hidden="false" customHeight="false" outlineLevel="0" collapsed="false">
      <c r="A213" s="7" t="n">
        <f aca="false">EOMONTH(A212,0)+1</f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AA213" s="7" t="n">
        <f aca="false">AA212+1</f>
        <v>41119</v>
      </c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</row>
    <row r="214" customFormat="false" ht="13.8" hidden="false" customHeight="false" outlineLevel="0" collapsed="false">
      <c r="A214" s="7" t="n">
        <f aca="false">EOMONTH(A213,0)+1</f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AA214" s="7" t="n">
        <f aca="false">AA213+1</f>
        <v>41120</v>
      </c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</row>
    <row r="215" customFormat="false" ht="13.8" hidden="false" customHeight="false" outlineLevel="0" collapsed="false">
      <c r="A215" s="7" t="n">
        <f aca="false">EOMONTH(A214,0)+1</f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AA215" s="7" t="n">
        <f aca="false">AA214+1</f>
        <v>41121</v>
      </c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</row>
    <row r="216" customFormat="false" ht="13.8" hidden="false" customHeight="false" outlineLevel="0" collapsed="false">
      <c r="A216" s="7" t="n">
        <f aca="false">EOMONTH(A215,0)+1</f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AA216" s="7" t="n">
        <f aca="false">AA215+1</f>
        <v>41122</v>
      </c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</row>
    <row r="217" customFormat="false" ht="13.8" hidden="false" customHeight="false" outlineLevel="0" collapsed="false">
      <c r="A217" s="7" t="n">
        <f aca="false">EOMONTH(A216,0)+1</f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AA217" s="7" t="n">
        <f aca="false">AA216+1</f>
        <v>41123</v>
      </c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</row>
    <row r="218" customFormat="false" ht="13.8" hidden="false" customHeight="false" outlineLevel="0" collapsed="false">
      <c r="A218" s="7" t="n">
        <f aca="false">EOMONTH(A217,0)+1</f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AA218" s="7" t="n">
        <f aca="false">AA217+1</f>
        <v>41124</v>
      </c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</row>
    <row r="219" customFormat="false" ht="13.8" hidden="false" customHeight="false" outlineLevel="0" collapsed="false">
      <c r="A219" s="7" t="n">
        <f aca="false">EOMONTH(A218,0)+1</f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AA219" s="7" t="n">
        <f aca="false">AA218+1</f>
        <v>41125</v>
      </c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</row>
    <row r="220" customFormat="false" ht="13.8" hidden="false" customHeight="false" outlineLevel="0" collapsed="false">
      <c r="A220" s="7" t="n">
        <f aca="false">EOMONTH(A219,0)+1</f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AA220" s="7" t="n">
        <f aca="false">AA219+1</f>
        <v>41126</v>
      </c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</row>
    <row r="221" customFormat="false" ht="13.8" hidden="false" customHeight="false" outlineLevel="0" collapsed="false">
      <c r="A221" s="7" t="n">
        <f aca="false">EOMONTH(A220,0)+1</f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AA221" s="7" t="n">
        <f aca="false">AA220+1</f>
        <v>41127</v>
      </c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</row>
    <row r="222" customFormat="false" ht="13.8" hidden="false" customHeight="false" outlineLevel="0" collapsed="false">
      <c r="A222" s="7" t="n">
        <f aca="false">EOMONTH(A221,0)+1</f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AA222" s="7" t="n">
        <f aca="false">AA221+1</f>
        <v>41128</v>
      </c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</row>
    <row r="223" customFormat="false" ht="13.8" hidden="false" customHeight="false" outlineLevel="0" collapsed="false">
      <c r="A223" s="7" t="n">
        <f aca="false">EOMONTH(A222,0)+1</f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AA223" s="7" t="n">
        <f aca="false">AA222+1</f>
        <v>41129</v>
      </c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</row>
    <row r="224" customFormat="false" ht="13.8" hidden="false" customHeight="false" outlineLevel="0" collapsed="false">
      <c r="A224" s="7" t="n">
        <f aca="false">EOMONTH(A223,0)+1</f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AA224" s="7" t="n">
        <f aca="false">AA223+1</f>
        <v>41130</v>
      </c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</row>
    <row r="225" customFormat="false" ht="13.8" hidden="false" customHeight="false" outlineLevel="0" collapsed="false">
      <c r="A225" s="7" t="n">
        <f aca="false">EOMONTH(A224,0)+1</f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AA225" s="7" t="n">
        <f aca="false">AA224+1</f>
        <v>41131</v>
      </c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</row>
    <row r="226" customFormat="false" ht="13.8" hidden="false" customHeight="false" outlineLevel="0" collapsed="false">
      <c r="A226" s="7" t="n">
        <f aca="false">EOMONTH(A225,0)+1</f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AA226" s="7" t="n">
        <f aca="false">AA225+1</f>
        <v>41132</v>
      </c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</row>
    <row r="227" customFormat="false" ht="13.8" hidden="false" customHeight="false" outlineLevel="0" collapsed="false">
      <c r="A227" s="7" t="n">
        <f aca="false">EOMONTH(A226,0)+1</f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AA227" s="7" t="n">
        <f aca="false">AA226+1</f>
        <v>41133</v>
      </c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</row>
    <row r="228" customFormat="false" ht="13.8" hidden="false" customHeight="false" outlineLevel="0" collapsed="false">
      <c r="A228" s="7" t="n">
        <f aca="false">EOMONTH(A227,0)+1</f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AA228" s="7" t="n">
        <f aca="false">AA227+1</f>
        <v>41134</v>
      </c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</row>
    <row r="229" customFormat="false" ht="13.8" hidden="false" customHeight="false" outlineLevel="0" collapsed="false">
      <c r="A229" s="7" t="n">
        <f aca="false">EOMONTH(A228,0)+1</f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AA229" s="7" t="n">
        <f aca="false">AA228+1</f>
        <v>41135</v>
      </c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</row>
    <row r="230" customFormat="false" ht="13.8" hidden="false" customHeight="false" outlineLevel="0" collapsed="false">
      <c r="A230" s="7" t="n">
        <f aca="false">EOMONTH(A229,0)+1</f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AA230" s="7" t="n">
        <f aca="false">AA229+1</f>
        <v>41136</v>
      </c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</row>
    <row r="231" customFormat="false" ht="13.8" hidden="false" customHeight="false" outlineLevel="0" collapsed="false">
      <c r="A231" s="7" t="n">
        <f aca="false">EOMONTH(A230,0)+1</f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AA231" s="7" t="n">
        <f aca="false">AA230+1</f>
        <v>41137</v>
      </c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</row>
    <row r="232" customFormat="false" ht="13.8" hidden="false" customHeight="false" outlineLevel="0" collapsed="false">
      <c r="A232" s="7" t="n">
        <f aca="false">EOMONTH(A231,0)+1</f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AA232" s="7" t="n">
        <f aca="false">AA231+1</f>
        <v>41138</v>
      </c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</row>
    <row r="233" customFormat="false" ht="13.8" hidden="false" customHeight="false" outlineLevel="0" collapsed="false">
      <c r="A233" s="7" t="n">
        <f aca="false">EOMONTH(A232,0)+1</f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AA233" s="7" t="n">
        <f aca="false">AA232+1</f>
        <v>41139</v>
      </c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</row>
    <row r="234" customFormat="false" ht="13.8" hidden="false" customHeight="false" outlineLevel="0" collapsed="false">
      <c r="A234" s="7" t="n">
        <f aca="false">EOMONTH(A233,0)+1</f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AA234" s="7" t="n">
        <f aca="false">AA233+1</f>
        <v>41140</v>
      </c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</row>
    <row r="235" customFormat="false" ht="13.8" hidden="false" customHeight="false" outlineLevel="0" collapsed="false">
      <c r="A235" s="7" t="n">
        <f aca="false">EOMONTH(A234,0)+1</f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AA235" s="7" t="n">
        <f aca="false">AA234+1</f>
        <v>41141</v>
      </c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</row>
    <row r="236" customFormat="false" ht="13.8" hidden="false" customHeight="false" outlineLevel="0" collapsed="false">
      <c r="A236" s="7" t="n">
        <f aca="false">EOMONTH(A235,0)+1</f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AA236" s="7" t="n">
        <f aca="false">AA235+1</f>
        <v>41142</v>
      </c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</row>
    <row r="237" customFormat="false" ht="13.8" hidden="false" customHeight="false" outlineLevel="0" collapsed="false">
      <c r="A237" s="7" t="n">
        <f aca="false">EOMONTH(A236,0)+1</f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AA237" s="7" t="n">
        <f aca="false">AA236+1</f>
        <v>41143</v>
      </c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</row>
    <row r="238" customFormat="false" ht="13.8" hidden="false" customHeight="false" outlineLevel="0" collapsed="false">
      <c r="A238" s="7" t="n">
        <f aca="false">EOMONTH(A237,0)+1</f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AA238" s="7" t="n">
        <f aca="false">AA237+1</f>
        <v>41144</v>
      </c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</row>
    <row r="239" customFormat="false" ht="13.8" hidden="false" customHeight="false" outlineLevel="0" collapsed="false">
      <c r="A239" s="7" t="n">
        <f aca="false">EOMONTH(A238,0)+1</f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AA239" s="7" t="n">
        <f aca="false">AA238+1</f>
        <v>41145</v>
      </c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</row>
    <row r="240" customFormat="false" ht="13.8" hidden="false" customHeight="false" outlineLevel="0" collapsed="false">
      <c r="A240" s="7" t="n">
        <f aca="false">EOMONTH(A239,0)+1</f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AA240" s="7" t="n">
        <f aca="false">AA239+1</f>
        <v>41146</v>
      </c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</row>
    <row r="241" customFormat="false" ht="13.8" hidden="false" customHeight="false" outlineLevel="0" collapsed="false">
      <c r="A241" s="7" t="n">
        <f aca="false">EOMONTH(A240,0)+1</f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AA241" s="7" t="n">
        <f aca="false">AA240+1</f>
        <v>41147</v>
      </c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</row>
    <row r="242" customFormat="false" ht="13.8" hidden="false" customHeight="false" outlineLevel="0" collapsed="false">
      <c r="A242" s="7" t="n">
        <f aca="false">EOMONTH(A241,0)+1</f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AA242" s="7" t="n">
        <f aca="false">AA241+1</f>
        <v>41148</v>
      </c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</row>
    <row r="243" customFormat="false" ht="13.8" hidden="false" customHeight="false" outlineLevel="0" collapsed="false">
      <c r="A243" s="7" t="n">
        <f aca="false">EOMONTH(A242,0)+1</f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AA243" s="7" t="n">
        <f aca="false">AA242+1</f>
        <v>41149</v>
      </c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</row>
    <row r="244" customFormat="false" ht="13.8" hidden="false" customHeight="false" outlineLevel="0" collapsed="false">
      <c r="A244" s="7" t="n">
        <f aca="false">EOMONTH(A243,0)+1</f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AA244" s="7" t="n">
        <f aca="false">AA243+1</f>
        <v>41150</v>
      </c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</row>
    <row r="245" customFormat="false" ht="13.8" hidden="false" customHeight="false" outlineLevel="0" collapsed="false">
      <c r="A245" s="7" t="n">
        <f aca="false">EOMONTH(A244,0)+1</f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AA245" s="7" t="n">
        <f aca="false">AA244+1</f>
        <v>41151</v>
      </c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</row>
    <row r="246" customFormat="false" ht="13.8" hidden="false" customHeight="false" outlineLevel="0" collapsed="false">
      <c r="A246" s="7" t="n">
        <f aca="false">EOMONTH(A245,0)+1</f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AA246" s="7" t="n">
        <f aca="false">AA245+1</f>
        <v>41152</v>
      </c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</row>
    <row r="247" customFormat="false" ht="13.8" hidden="false" customHeight="false" outlineLevel="0" collapsed="false">
      <c r="A247" s="7" t="n">
        <f aca="false">EOMONTH(A246,0)+1</f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AA247" s="7" t="n">
        <f aca="false">AA246+1</f>
        <v>41153</v>
      </c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</row>
    <row r="248" customFormat="false" ht="13.8" hidden="false" customHeight="false" outlineLevel="0" collapsed="false">
      <c r="A248" s="7" t="n">
        <f aca="false">EOMONTH(A247,0)+1</f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AA248" s="7" t="n">
        <f aca="false">AA247+1</f>
        <v>41154</v>
      </c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</row>
    <row r="249" customFormat="false" ht="13.8" hidden="false" customHeight="false" outlineLevel="0" collapsed="false">
      <c r="A249" s="7" t="n">
        <f aca="false">EOMONTH(A248,0)+1</f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AA249" s="7" t="n">
        <f aca="false">AA248+1</f>
        <v>41155</v>
      </c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</row>
    <row r="250" customFormat="false" ht="13.8" hidden="false" customHeight="false" outlineLevel="0" collapsed="false">
      <c r="A250" s="7" t="n">
        <f aca="false">EOMONTH(A249,0)+1</f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AA250" s="7" t="n">
        <f aca="false">AA249+1</f>
        <v>41156</v>
      </c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</row>
    <row r="251" customFormat="false" ht="13.8" hidden="false" customHeight="false" outlineLevel="0" collapsed="false">
      <c r="A251" s="7" t="n">
        <f aca="false">EOMONTH(A250,0)+1</f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AA251" s="7" t="n">
        <f aca="false">AA250+1</f>
        <v>41157</v>
      </c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</row>
    <row r="252" customFormat="false" ht="13.8" hidden="false" customHeight="false" outlineLevel="0" collapsed="false">
      <c r="A252" s="7" t="n">
        <f aca="false">EOMONTH(A251,0)+1</f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AA252" s="7" t="n">
        <f aca="false">AA251+1</f>
        <v>41158</v>
      </c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</row>
    <row r="253" customFormat="false" ht="13.8" hidden="false" customHeight="false" outlineLevel="0" collapsed="false">
      <c r="A253" s="7" t="n">
        <f aca="false">EOMONTH(A252,0)+1</f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AA253" s="7" t="n">
        <f aca="false">AA252+1</f>
        <v>41159</v>
      </c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</row>
    <row r="254" customFormat="false" ht="13.8" hidden="false" customHeight="false" outlineLevel="0" collapsed="false">
      <c r="A254" s="7" t="n">
        <f aca="false">EOMONTH(A253,0)+1</f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AA254" s="7" t="n">
        <f aca="false">AA253+1</f>
        <v>41160</v>
      </c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</row>
    <row r="255" customFormat="false" ht="13.8" hidden="false" customHeight="false" outlineLevel="0" collapsed="false">
      <c r="A255" s="7"/>
      <c r="AA255" s="7" t="n">
        <f aca="false">AA254+1</f>
        <v>41161</v>
      </c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</row>
    <row r="256" customFormat="false" ht="13.8" hidden="false" customHeight="false" outlineLevel="0" collapsed="false">
      <c r="A256" s="7"/>
      <c r="AA256" s="7" t="n">
        <f aca="false">AA255+1</f>
        <v>41162</v>
      </c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</row>
    <row r="257" customFormat="false" ht="13.8" hidden="false" customHeight="false" outlineLevel="0" collapsed="false">
      <c r="A257" s="7"/>
      <c r="AA257" s="7" t="n">
        <f aca="false">AA256+1</f>
        <v>41163</v>
      </c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</row>
    <row r="258" customFormat="false" ht="13.8" hidden="false" customHeight="false" outlineLevel="0" collapsed="false">
      <c r="A258" s="7"/>
      <c r="AA258" s="7" t="n">
        <f aca="false">AA257+1</f>
        <v>41164</v>
      </c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</row>
    <row r="259" customFormat="false" ht="13.8" hidden="false" customHeight="false" outlineLevel="0" collapsed="false">
      <c r="A259" s="7"/>
      <c r="AA259" s="7" t="n">
        <f aca="false">AA258+1</f>
        <v>41165</v>
      </c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</row>
    <row r="260" customFormat="false" ht="13.8" hidden="false" customHeight="false" outlineLevel="0" collapsed="false">
      <c r="AA260" s="7" t="n">
        <f aca="false">AA259+1</f>
        <v>41166</v>
      </c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</row>
    <row r="261" customFormat="false" ht="13.8" hidden="false" customHeight="false" outlineLevel="0" collapsed="false">
      <c r="AA261" s="7" t="n">
        <f aca="false">AA260+1</f>
        <v>41167</v>
      </c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</row>
    <row r="262" customFormat="false" ht="13.8" hidden="false" customHeight="false" outlineLevel="0" collapsed="false">
      <c r="AA262" s="7" t="n">
        <f aca="false">AA261+1</f>
        <v>41168</v>
      </c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</row>
    <row r="263" customFormat="false" ht="13.8" hidden="false" customHeight="false" outlineLevel="0" collapsed="false">
      <c r="AA263" s="7" t="n">
        <f aca="false">AA262+1</f>
        <v>41169</v>
      </c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</row>
    <row r="264" customFormat="false" ht="13.8" hidden="false" customHeight="false" outlineLevel="0" collapsed="false">
      <c r="AA264" s="7" t="n">
        <f aca="false">AA263+1</f>
        <v>41170</v>
      </c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</row>
    <row r="265" customFormat="false" ht="13.8" hidden="false" customHeight="false" outlineLevel="0" collapsed="false">
      <c r="AA265" s="7" t="n">
        <f aca="false">AA264+1</f>
        <v>41171</v>
      </c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</row>
    <row r="266" customFormat="false" ht="13.8" hidden="false" customHeight="false" outlineLevel="0" collapsed="false">
      <c r="AA266" s="7" t="n">
        <f aca="false">AA265+1</f>
        <v>41172</v>
      </c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</row>
    <row r="267" customFormat="false" ht="13.8" hidden="false" customHeight="false" outlineLevel="0" collapsed="false">
      <c r="AA267" s="7" t="n">
        <f aca="false">AA266+1</f>
        <v>41173</v>
      </c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</row>
    <row r="268" customFormat="false" ht="13.8" hidden="false" customHeight="false" outlineLevel="0" collapsed="false">
      <c r="AA268" s="7" t="n">
        <f aca="false">AA267+1</f>
        <v>41174</v>
      </c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</row>
    <row r="269" customFormat="false" ht="13.8" hidden="false" customHeight="false" outlineLevel="0" collapsed="false">
      <c r="AA269" s="7" t="n">
        <f aca="false">AA268+1</f>
        <v>41175</v>
      </c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</row>
    <row r="270" customFormat="false" ht="13.8" hidden="false" customHeight="false" outlineLevel="0" collapsed="false">
      <c r="AA270" s="7" t="n">
        <f aca="false">AA269+1</f>
        <v>41176</v>
      </c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</row>
    <row r="271" customFormat="false" ht="13.8" hidden="false" customHeight="false" outlineLevel="0" collapsed="false">
      <c r="AA271" s="7" t="n">
        <f aca="false">AA270+1</f>
        <v>41177</v>
      </c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</row>
    <row r="272" customFormat="false" ht="13.8" hidden="false" customHeight="false" outlineLevel="0" collapsed="false">
      <c r="AA272" s="7" t="n">
        <f aca="false">AA271+1</f>
        <v>41178</v>
      </c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</row>
    <row r="273" customFormat="false" ht="13.8" hidden="false" customHeight="false" outlineLevel="0" collapsed="false">
      <c r="AA273" s="7" t="n">
        <f aca="false">AA272+1</f>
        <v>41179</v>
      </c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</row>
    <row r="274" customFormat="false" ht="13.8" hidden="false" customHeight="false" outlineLevel="0" collapsed="false">
      <c r="AA274" s="7" t="n">
        <f aca="false">AA273+1</f>
        <v>41180</v>
      </c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</row>
    <row r="275" customFormat="false" ht="13.8" hidden="false" customHeight="false" outlineLevel="0" collapsed="false">
      <c r="AA275" s="7" t="n">
        <f aca="false">AA274+1</f>
        <v>41181</v>
      </c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</row>
    <row r="276" customFormat="false" ht="13.8" hidden="false" customHeight="false" outlineLevel="0" collapsed="false">
      <c r="AA276" s="7" t="n">
        <f aca="false">AA275+1</f>
        <v>41182</v>
      </c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</row>
    <row r="277" customFormat="false" ht="13.8" hidden="false" customHeight="false" outlineLevel="0" collapsed="false">
      <c r="AA277" s="7" t="n">
        <f aca="false">AA276+1</f>
        <v>41183</v>
      </c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</row>
    <row r="278" customFormat="false" ht="13.8" hidden="false" customHeight="false" outlineLevel="0" collapsed="false">
      <c r="AA278" s="7" t="n">
        <f aca="false">AA277+1</f>
        <v>41184</v>
      </c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</row>
    <row r="279" customFormat="false" ht="13.8" hidden="false" customHeight="false" outlineLevel="0" collapsed="false">
      <c r="AA279" s="7" t="n">
        <f aca="false">AA278+1</f>
        <v>41185</v>
      </c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</row>
    <row r="280" customFormat="false" ht="13.8" hidden="false" customHeight="false" outlineLevel="0" collapsed="false">
      <c r="AA280" s="7" t="n">
        <f aca="false">AA279+1</f>
        <v>41186</v>
      </c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</row>
    <row r="281" customFormat="false" ht="13.8" hidden="false" customHeight="false" outlineLevel="0" collapsed="false">
      <c r="AA281" s="7" t="n">
        <f aca="false">AA280+1</f>
        <v>41187</v>
      </c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</row>
    <row r="282" customFormat="false" ht="13.8" hidden="false" customHeight="false" outlineLevel="0" collapsed="false">
      <c r="AA282" s="7" t="n">
        <f aca="false">AA281+1</f>
        <v>41188</v>
      </c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</row>
    <row r="283" customFormat="false" ht="13.8" hidden="false" customHeight="false" outlineLevel="0" collapsed="false">
      <c r="AA283" s="7" t="n">
        <f aca="false">AA282+1</f>
        <v>41189</v>
      </c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</row>
    <row r="284" customFormat="false" ht="13.8" hidden="false" customHeight="false" outlineLevel="0" collapsed="false">
      <c r="AA284" s="7" t="n">
        <f aca="false">AA283+1</f>
        <v>41190</v>
      </c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</row>
    <row r="285" customFormat="false" ht="13.8" hidden="false" customHeight="false" outlineLevel="0" collapsed="false">
      <c r="AA285" s="7" t="n">
        <f aca="false">AA284+1</f>
        <v>41191</v>
      </c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</row>
    <row r="286" customFormat="false" ht="13.8" hidden="false" customHeight="false" outlineLevel="0" collapsed="false">
      <c r="AA286" s="7" t="n">
        <f aca="false">AA285+1</f>
        <v>41192</v>
      </c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</row>
    <row r="287" customFormat="false" ht="13.8" hidden="false" customHeight="false" outlineLevel="0" collapsed="false">
      <c r="AA287" s="7" t="n">
        <f aca="false">AA286+1</f>
        <v>41193</v>
      </c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</row>
    <row r="288" customFormat="false" ht="13.8" hidden="false" customHeight="false" outlineLevel="0" collapsed="false">
      <c r="AA288" s="7" t="n">
        <f aca="false">AA287+1</f>
        <v>41194</v>
      </c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</row>
    <row r="289" customFormat="false" ht="13.8" hidden="false" customHeight="false" outlineLevel="0" collapsed="false">
      <c r="AA289" s="7" t="n">
        <f aca="false">AA288+1</f>
        <v>41195</v>
      </c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</row>
    <row r="290" customFormat="false" ht="13.8" hidden="false" customHeight="false" outlineLevel="0" collapsed="false">
      <c r="AA290" s="7" t="n">
        <f aca="false">AA289+1</f>
        <v>41196</v>
      </c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</row>
    <row r="291" customFormat="false" ht="13.8" hidden="false" customHeight="false" outlineLevel="0" collapsed="false">
      <c r="AA291" s="7" t="n">
        <f aca="false">AA290+1</f>
        <v>41197</v>
      </c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</row>
    <row r="292" customFormat="false" ht="13.8" hidden="false" customHeight="false" outlineLevel="0" collapsed="false">
      <c r="AA292" s="7" t="n">
        <f aca="false">AA291+1</f>
        <v>41198</v>
      </c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</row>
    <row r="293" customFormat="false" ht="13.8" hidden="false" customHeight="false" outlineLevel="0" collapsed="false">
      <c r="AA293" s="7" t="n">
        <f aca="false">AA292+1</f>
        <v>41199</v>
      </c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</row>
    <row r="294" customFormat="false" ht="13.8" hidden="false" customHeight="false" outlineLevel="0" collapsed="false">
      <c r="AA294" s="7" t="n">
        <f aca="false">AA293+1</f>
        <v>41200</v>
      </c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</row>
    <row r="295" customFormat="false" ht="13.8" hidden="false" customHeight="false" outlineLevel="0" collapsed="false">
      <c r="AA295" s="7" t="n">
        <f aca="false">AA294+1</f>
        <v>41201</v>
      </c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</row>
    <row r="296" customFormat="false" ht="13.8" hidden="false" customHeight="false" outlineLevel="0" collapsed="false">
      <c r="AA296" s="7" t="n">
        <f aca="false">AA295+1</f>
        <v>41202</v>
      </c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</row>
    <row r="297" customFormat="false" ht="13.8" hidden="false" customHeight="false" outlineLevel="0" collapsed="false">
      <c r="AA297" s="7" t="n">
        <f aca="false">AA296+1</f>
        <v>41203</v>
      </c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</row>
    <row r="298" customFormat="false" ht="13.8" hidden="false" customHeight="false" outlineLevel="0" collapsed="false">
      <c r="AA298" s="7" t="n">
        <f aca="false">AA297+1</f>
        <v>41204</v>
      </c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</row>
    <row r="299" customFormat="false" ht="13.8" hidden="false" customHeight="false" outlineLevel="0" collapsed="false">
      <c r="AA299" s="7" t="n">
        <f aca="false">AA298+1</f>
        <v>41205</v>
      </c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</row>
    <row r="300" customFormat="false" ht="13.8" hidden="false" customHeight="false" outlineLevel="0" collapsed="false">
      <c r="AA300" s="7" t="n">
        <f aca="false">AA299+1</f>
        <v>41206</v>
      </c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</row>
    <row r="301" customFormat="false" ht="13.8" hidden="false" customHeight="false" outlineLevel="0" collapsed="false">
      <c r="AA301" s="7" t="n">
        <f aca="false">AA300+1</f>
        <v>41207</v>
      </c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</row>
    <row r="302" customFormat="false" ht="13.8" hidden="false" customHeight="false" outlineLevel="0" collapsed="false">
      <c r="AA302" s="7" t="n">
        <f aca="false">AA301+1</f>
        <v>41208</v>
      </c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</row>
    <row r="303" customFormat="false" ht="13.8" hidden="false" customHeight="false" outlineLevel="0" collapsed="false">
      <c r="AA303" s="7" t="n">
        <f aca="false">AA302+1</f>
        <v>41209</v>
      </c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</row>
    <row r="304" customFormat="false" ht="13.8" hidden="false" customHeight="false" outlineLevel="0" collapsed="false">
      <c r="AA304" s="7" t="n">
        <f aca="false">AA303+1</f>
        <v>41210</v>
      </c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</row>
    <row r="305" customFormat="false" ht="13.8" hidden="false" customHeight="false" outlineLevel="0" collapsed="false">
      <c r="AA305" s="7" t="n">
        <f aca="false">AA304+1</f>
        <v>41211</v>
      </c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</row>
    <row r="306" customFormat="false" ht="13.8" hidden="false" customHeight="false" outlineLevel="0" collapsed="false">
      <c r="AA306" s="7" t="n">
        <f aca="false">AA305+1</f>
        <v>41212</v>
      </c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</row>
    <row r="307" customFormat="false" ht="13.8" hidden="false" customHeight="false" outlineLevel="0" collapsed="false">
      <c r="AA307" s="7" t="n">
        <f aca="false">AA306+1</f>
        <v>41213</v>
      </c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</row>
    <row r="308" customFormat="false" ht="13.8" hidden="false" customHeight="false" outlineLevel="0" collapsed="false">
      <c r="AA308" s="7" t="n">
        <f aca="false">AA307+1</f>
        <v>41214</v>
      </c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</row>
    <row r="309" customFormat="false" ht="13.8" hidden="false" customHeight="false" outlineLevel="0" collapsed="false">
      <c r="AA309" s="7" t="n">
        <f aca="false">AA308+1</f>
        <v>41215</v>
      </c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</row>
    <row r="310" customFormat="false" ht="13.8" hidden="false" customHeight="false" outlineLevel="0" collapsed="false">
      <c r="AA310" s="7" t="n">
        <f aca="false">AA309+1</f>
        <v>41216</v>
      </c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</row>
    <row r="311" customFormat="false" ht="13.8" hidden="false" customHeight="false" outlineLevel="0" collapsed="false">
      <c r="AA311" s="7" t="n">
        <f aca="false">AA310+1</f>
        <v>41217</v>
      </c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</row>
    <row r="312" customFormat="false" ht="13.8" hidden="false" customHeight="false" outlineLevel="0" collapsed="false">
      <c r="AA312" s="7" t="n">
        <f aca="false">AA311+1</f>
        <v>41218</v>
      </c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</row>
    <row r="313" customFormat="false" ht="13.8" hidden="false" customHeight="false" outlineLevel="0" collapsed="false">
      <c r="AA313" s="7" t="n">
        <f aca="false">AA312+1</f>
        <v>41219</v>
      </c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</row>
    <row r="314" customFormat="false" ht="13.8" hidden="false" customHeight="false" outlineLevel="0" collapsed="false">
      <c r="AA314" s="7" t="n">
        <f aca="false">AA313+1</f>
        <v>41220</v>
      </c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</row>
    <row r="315" customFormat="false" ht="13.8" hidden="false" customHeight="false" outlineLevel="0" collapsed="false">
      <c r="AA315" s="7" t="n">
        <f aca="false">AA314+1</f>
        <v>41221</v>
      </c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</row>
    <row r="316" customFormat="false" ht="13.8" hidden="false" customHeight="false" outlineLevel="0" collapsed="false">
      <c r="AA316" s="7" t="n">
        <f aca="false">AA315+1</f>
        <v>41222</v>
      </c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</row>
    <row r="317" customFormat="false" ht="13.8" hidden="false" customHeight="false" outlineLevel="0" collapsed="false">
      <c r="AA317" s="7" t="n">
        <f aca="false">AA316+1</f>
        <v>41223</v>
      </c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</row>
    <row r="318" customFormat="false" ht="13.8" hidden="false" customHeight="false" outlineLevel="0" collapsed="false">
      <c r="AA318" s="7" t="n">
        <f aca="false">AA317+1</f>
        <v>41224</v>
      </c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</row>
    <row r="319" customFormat="false" ht="13.8" hidden="false" customHeight="false" outlineLevel="0" collapsed="false">
      <c r="AA319" s="7" t="n">
        <f aca="false">AA318+1</f>
        <v>41225</v>
      </c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</row>
    <row r="320" customFormat="false" ht="13.8" hidden="false" customHeight="false" outlineLevel="0" collapsed="false">
      <c r="AA320" s="7" t="n">
        <f aca="false">AA319+1</f>
        <v>41226</v>
      </c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</row>
    <row r="321" customFormat="false" ht="13.8" hidden="false" customHeight="false" outlineLevel="0" collapsed="false">
      <c r="AA321" s="7" t="n">
        <f aca="false">AA320+1</f>
        <v>41227</v>
      </c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</row>
    <row r="322" customFormat="false" ht="13.8" hidden="false" customHeight="false" outlineLevel="0" collapsed="false">
      <c r="AA322" s="7" t="n">
        <f aca="false">AA321+1</f>
        <v>41228</v>
      </c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</row>
    <row r="323" customFormat="false" ht="13.8" hidden="false" customHeight="false" outlineLevel="0" collapsed="false">
      <c r="AA323" s="7" t="n">
        <f aca="false">AA322+1</f>
        <v>41229</v>
      </c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</row>
    <row r="324" customFormat="false" ht="13.8" hidden="false" customHeight="false" outlineLevel="0" collapsed="false">
      <c r="AA324" s="7" t="n">
        <f aca="false">AA323+1</f>
        <v>41230</v>
      </c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</row>
    <row r="325" customFormat="false" ht="13.8" hidden="false" customHeight="false" outlineLevel="0" collapsed="false">
      <c r="AA325" s="7" t="n">
        <f aca="false">AA324+1</f>
        <v>41231</v>
      </c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</row>
    <row r="326" customFormat="false" ht="13.8" hidden="false" customHeight="false" outlineLevel="0" collapsed="false">
      <c r="AA326" s="7" t="n">
        <f aca="false">AA325+1</f>
        <v>41232</v>
      </c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</row>
    <row r="327" customFormat="false" ht="13.8" hidden="false" customHeight="false" outlineLevel="0" collapsed="false">
      <c r="AA327" s="7" t="n">
        <f aca="false">AA326+1</f>
        <v>41233</v>
      </c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</row>
    <row r="328" customFormat="false" ht="13.8" hidden="false" customHeight="false" outlineLevel="0" collapsed="false">
      <c r="AA328" s="7" t="n">
        <f aca="false">AA327+1</f>
        <v>41234</v>
      </c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</row>
    <row r="329" customFormat="false" ht="13.8" hidden="false" customHeight="false" outlineLevel="0" collapsed="false">
      <c r="AA329" s="7" t="n">
        <f aca="false">AA328+1</f>
        <v>41235</v>
      </c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</row>
    <row r="330" customFormat="false" ht="13.8" hidden="false" customHeight="false" outlineLevel="0" collapsed="false">
      <c r="AA330" s="7" t="n">
        <f aca="false">AA329+1</f>
        <v>41236</v>
      </c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</row>
    <row r="331" customFormat="false" ht="13.8" hidden="false" customHeight="false" outlineLevel="0" collapsed="false">
      <c r="AA331" s="7" t="n">
        <f aca="false">AA330+1</f>
        <v>41237</v>
      </c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</row>
    <row r="332" customFormat="false" ht="13.8" hidden="false" customHeight="false" outlineLevel="0" collapsed="false">
      <c r="AA332" s="7" t="n">
        <f aca="false">AA331+1</f>
        <v>41238</v>
      </c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</row>
    <row r="333" customFormat="false" ht="13.8" hidden="false" customHeight="false" outlineLevel="0" collapsed="false">
      <c r="AA333" s="7" t="n">
        <f aca="false">AA332+1</f>
        <v>41239</v>
      </c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</row>
    <row r="334" customFormat="false" ht="13.8" hidden="false" customHeight="false" outlineLevel="0" collapsed="false">
      <c r="AA334" s="7" t="n">
        <f aca="false">AA333+1</f>
        <v>41240</v>
      </c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</row>
    <row r="335" customFormat="false" ht="13.8" hidden="false" customHeight="false" outlineLevel="0" collapsed="false">
      <c r="AA335" s="7" t="n">
        <f aca="false">AA334+1</f>
        <v>41241</v>
      </c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</row>
    <row r="336" customFormat="false" ht="13.8" hidden="false" customHeight="false" outlineLevel="0" collapsed="false">
      <c r="AA336" s="7" t="n">
        <f aca="false">AA335+1</f>
        <v>41242</v>
      </c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</row>
    <row r="337" customFormat="false" ht="13.8" hidden="false" customHeight="false" outlineLevel="0" collapsed="false">
      <c r="AA337" s="7" t="n">
        <f aca="false">AA336+1</f>
        <v>41243</v>
      </c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</row>
    <row r="338" customFormat="false" ht="13.8" hidden="false" customHeight="false" outlineLevel="0" collapsed="false">
      <c r="AA338" s="7" t="n">
        <f aca="false">AA337+1</f>
        <v>41244</v>
      </c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</row>
    <row r="339" customFormat="false" ht="13.8" hidden="false" customHeight="false" outlineLevel="0" collapsed="false">
      <c r="AA339" s="7" t="n">
        <f aca="false">AA338+1</f>
        <v>41245</v>
      </c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</row>
    <row r="340" customFormat="false" ht="13.8" hidden="false" customHeight="false" outlineLevel="0" collapsed="false">
      <c r="AA340" s="7" t="n">
        <f aca="false">AA339+1</f>
        <v>41246</v>
      </c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</row>
    <row r="341" customFormat="false" ht="13.8" hidden="false" customHeight="false" outlineLevel="0" collapsed="false">
      <c r="AA341" s="7" t="n">
        <f aca="false">AA340+1</f>
        <v>41247</v>
      </c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</row>
    <row r="342" customFormat="false" ht="13.8" hidden="false" customHeight="false" outlineLevel="0" collapsed="false">
      <c r="AA342" s="7" t="n">
        <f aca="false">AA341+1</f>
        <v>41248</v>
      </c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</row>
    <row r="343" customFormat="false" ht="13.8" hidden="false" customHeight="false" outlineLevel="0" collapsed="false">
      <c r="AA343" s="7" t="n">
        <f aca="false">AA342+1</f>
        <v>41249</v>
      </c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</row>
    <row r="344" customFormat="false" ht="13.8" hidden="false" customHeight="false" outlineLevel="0" collapsed="false">
      <c r="AA344" s="7" t="n">
        <f aca="false">AA343+1</f>
        <v>41250</v>
      </c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</row>
    <row r="345" customFormat="false" ht="13.8" hidden="false" customHeight="false" outlineLevel="0" collapsed="false">
      <c r="AA345" s="7" t="n">
        <f aca="false">AA344+1</f>
        <v>41251</v>
      </c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</row>
    <row r="346" customFormat="false" ht="13.8" hidden="false" customHeight="false" outlineLevel="0" collapsed="false">
      <c r="AA346" s="7" t="n">
        <f aca="false">AA345+1</f>
        <v>41252</v>
      </c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</row>
    <row r="347" customFormat="false" ht="13.8" hidden="false" customHeight="false" outlineLevel="0" collapsed="false">
      <c r="AA347" s="7" t="n">
        <f aca="false">AA346+1</f>
        <v>41253</v>
      </c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</row>
    <row r="348" customFormat="false" ht="13.8" hidden="false" customHeight="false" outlineLevel="0" collapsed="false">
      <c r="AA348" s="7" t="n">
        <f aca="false">AA347+1</f>
        <v>41254</v>
      </c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</row>
    <row r="349" customFormat="false" ht="13.8" hidden="false" customHeight="false" outlineLevel="0" collapsed="false">
      <c r="AA349" s="7" t="n">
        <f aca="false">AA348+1</f>
        <v>41255</v>
      </c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</row>
    <row r="350" customFormat="false" ht="13.8" hidden="false" customHeight="false" outlineLevel="0" collapsed="false">
      <c r="AA350" s="7" t="n">
        <f aca="false">AA349+1</f>
        <v>41256</v>
      </c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</row>
    <row r="351" customFormat="false" ht="13.8" hidden="false" customHeight="false" outlineLevel="0" collapsed="false">
      <c r="AA351" s="7" t="n">
        <f aca="false">AA350+1</f>
        <v>41257</v>
      </c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</row>
    <row r="352" customFormat="false" ht="13.8" hidden="false" customHeight="false" outlineLevel="0" collapsed="false">
      <c r="AA352" s="7" t="n">
        <f aca="false">AA351+1</f>
        <v>41258</v>
      </c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</row>
    <row r="353" customFormat="false" ht="13.8" hidden="false" customHeight="false" outlineLevel="0" collapsed="false">
      <c r="AA353" s="7" t="n">
        <f aca="false">AA352+1</f>
        <v>41259</v>
      </c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</row>
    <row r="354" customFormat="false" ht="13.8" hidden="false" customHeight="false" outlineLevel="0" collapsed="false">
      <c r="AA354" s="7" t="n">
        <f aca="false">AA353+1</f>
        <v>41260</v>
      </c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</row>
    <row r="355" customFormat="false" ht="13.8" hidden="false" customHeight="false" outlineLevel="0" collapsed="false">
      <c r="AA355" s="7" t="n">
        <f aca="false">AA354+1</f>
        <v>41261</v>
      </c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</row>
    <row r="356" customFormat="false" ht="13.8" hidden="false" customHeight="false" outlineLevel="0" collapsed="false">
      <c r="AA356" s="7" t="n">
        <f aca="false">AA355+1</f>
        <v>41262</v>
      </c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</row>
    <row r="357" customFormat="false" ht="13.8" hidden="false" customHeight="false" outlineLevel="0" collapsed="false">
      <c r="AA357" s="7" t="n">
        <f aca="false">AA356+1</f>
        <v>41263</v>
      </c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</row>
    <row r="358" customFormat="false" ht="13.8" hidden="false" customHeight="false" outlineLevel="0" collapsed="false">
      <c r="AA358" s="7" t="n">
        <f aca="false">AA357+1</f>
        <v>41264</v>
      </c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</row>
    <row r="359" customFormat="false" ht="13.8" hidden="false" customHeight="false" outlineLevel="0" collapsed="false">
      <c r="AA359" s="7" t="n">
        <f aca="false">AA358+1</f>
        <v>41265</v>
      </c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</row>
    <row r="360" customFormat="false" ht="13.8" hidden="false" customHeight="false" outlineLevel="0" collapsed="false">
      <c r="AA360" s="7" t="n">
        <f aca="false">AA359+1</f>
        <v>41266</v>
      </c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</row>
    <row r="361" customFormat="false" ht="13.8" hidden="false" customHeight="false" outlineLevel="0" collapsed="false">
      <c r="AA361" s="7" t="n">
        <f aca="false">AA360+1</f>
        <v>41267</v>
      </c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</row>
    <row r="362" customFormat="false" ht="13.8" hidden="false" customHeight="false" outlineLevel="0" collapsed="false">
      <c r="AA362" s="7" t="n">
        <f aca="false">AA361+1</f>
        <v>41268</v>
      </c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</row>
    <row r="363" customFormat="false" ht="13.8" hidden="false" customHeight="false" outlineLevel="0" collapsed="false">
      <c r="AA363" s="7" t="n">
        <f aca="false">AA362+1</f>
        <v>41269</v>
      </c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</row>
    <row r="364" customFormat="false" ht="13.8" hidden="false" customHeight="false" outlineLevel="0" collapsed="false">
      <c r="AA364" s="7" t="n">
        <f aca="false">AA363+1</f>
        <v>41270</v>
      </c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</row>
    <row r="365" customFormat="false" ht="13.8" hidden="false" customHeight="false" outlineLevel="0" collapsed="false">
      <c r="AA365" s="7" t="n">
        <f aca="false">AA364+1</f>
        <v>41271</v>
      </c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</row>
    <row r="366" customFormat="false" ht="13.8" hidden="false" customHeight="false" outlineLevel="0" collapsed="false">
      <c r="AA366" s="7" t="n">
        <f aca="false">AA365+1</f>
        <v>41272</v>
      </c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</row>
    <row r="367" customFormat="false" ht="13.8" hidden="false" customHeight="false" outlineLevel="0" collapsed="false">
      <c r="AA367" s="7" t="n">
        <f aca="false">AA366+1</f>
        <v>41273</v>
      </c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</row>
    <row r="368" customFormat="false" ht="13.8" hidden="false" customHeight="false" outlineLevel="0" collapsed="false">
      <c r="AA368" s="7" t="n">
        <f aca="false">AA367+1</f>
        <v>41274</v>
      </c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</row>
    <row r="369" customFormat="false" ht="13.8" hidden="false" customHeight="false" outlineLevel="0" collapsed="false">
      <c r="AA369" s="7" t="n">
        <f aca="false">AA368+1</f>
        <v>41275</v>
      </c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</row>
    <row r="370" customFormat="false" ht="13.8" hidden="false" customHeight="false" outlineLevel="0" collapsed="false">
      <c r="AA370" s="7" t="n">
        <f aca="false">AA369+1</f>
        <v>41276</v>
      </c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</row>
    <row r="371" customFormat="false" ht="13.8" hidden="false" customHeight="false" outlineLevel="0" collapsed="false">
      <c r="AA371" s="7" t="n">
        <f aca="false">AA370+1</f>
        <v>41277</v>
      </c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</row>
    <row r="372" customFormat="false" ht="13.8" hidden="false" customHeight="false" outlineLevel="0" collapsed="false">
      <c r="AA372" s="7" t="n">
        <f aca="false">AA371+1</f>
        <v>41278</v>
      </c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</row>
    <row r="373" customFormat="false" ht="13.8" hidden="false" customHeight="false" outlineLevel="0" collapsed="false">
      <c r="AA373" s="7" t="n">
        <f aca="false">AA372+1</f>
        <v>41279</v>
      </c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</row>
    <row r="374" customFormat="false" ht="13.8" hidden="false" customHeight="false" outlineLevel="0" collapsed="false">
      <c r="AA374" s="7" t="n">
        <f aca="false">AA373+1</f>
        <v>41280</v>
      </c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</row>
    <row r="375" customFormat="false" ht="13.8" hidden="false" customHeight="false" outlineLevel="0" collapsed="false">
      <c r="AA375" s="7" t="n">
        <f aca="false">AA374+1</f>
        <v>41281</v>
      </c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</row>
    <row r="376" customFormat="false" ht="13.8" hidden="false" customHeight="false" outlineLevel="0" collapsed="false">
      <c r="AA376" s="7" t="n">
        <f aca="false">AA375+1</f>
        <v>41282</v>
      </c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</row>
    <row r="377" customFormat="false" ht="13.8" hidden="false" customHeight="false" outlineLevel="0" collapsed="false">
      <c r="AA377" s="7" t="n">
        <f aca="false">AA376+1</f>
        <v>41283</v>
      </c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</row>
    <row r="378" customFormat="false" ht="13.8" hidden="false" customHeight="false" outlineLevel="0" collapsed="false">
      <c r="AA378" s="7" t="n">
        <f aca="false">AA377+1</f>
        <v>41284</v>
      </c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</row>
    <row r="379" customFormat="false" ht="13.8" hidden="false" customHeight="false" outlineLevel="0" collapsed="false">
      <c r="AA379" s="7" t="n">
        <f aca="false">AA378+1</f>
        <v>41285</v>
      </c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</row>
    <row r="380" customFormat="false" ht="13.8" hidden="false" customHeight="false" outlineLevel="0" collapsed="false">
      <c r="AA380" s="7" t="n">
        <f aca="false">AA379+1</f>
        <v>41286</v>
      </c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</row>
    <row r="381" customFormat="false" ht="13.8" hidden="false" customHeight="false" outlineLevel="0" collapsed="false">
      <c r="AA381" s="7" t="n">
        <f aca="false">AA380+1</f>
        <v>41287</v>
      </c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</row>
    <row r="382" customFormat="false" ht="13.8" hidden="false" customHeight="false" outlineLevel="0" collapsed="false">
      <c r="AA382" s="7" t="n">
        <f aca="false">AA381+1</f>
        <v>41288</v>
      </c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</row>
    <row r="383" customFormat="false" ht="13.8" hidden="false" customHeight="false" outlineLevel="0" collapsed="false">
      <c r="AA383" s="7" t="n">
        <f aca="false">AA382+1</f>
        <v>41289</v>
      </c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</row>
    <row r="384" customFormat="false" ht="13.8" hidden="false" customHeight="false" outlineLevel="0" collapsed="false">
      <c r="AA384" s="7" t="n">
        <f aca="false">AA383+1</f>
        <v>41290</v>
      </c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</row>
    <row r="385" customFormat="false" ht="13.8" hidden="false" customHeight="false" outlineLevel="0" collapsed="false">
      <c r="AA385" s="7" t="n">
        <f aca="false">AA384+1</f>
        <v>41291</v>
      </c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</row>
    <row r="386" customFormat="false" ht="13.8" hidden="false" customHeight="false" outlineLevel="0" collapsed="false">
      <c r="AA386" s="7" t="n">
        <f aca="false">AA385+1</f>
        <v>41292</v>
      </c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</row>
    <row r="387" customFormat="false" ht="13.8" hidden="false" customHeight="false" outlineLevel="0" collapsed="false">
      <c r="AA387" s="7" t="n">
        <f aca="false">AA386+1</f>
        <v>41293</v>
      </c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</row>
    <row r="388" customFormat="false" ht="13.8" hidden="false" customHeight="false" outlineLevel="0" collapsed="false">
      <c r="AA388" s="7" t="n">
        <f aca="false">AA387+1</f>
        <v>41294</v>
      </c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</row>
    <row r="389" customFormat="false" ht="13.8" hidden="false" customHeight="false" outlineLevel="0" collapsed="false">
      <c r="AA389" s="7" t="n">
        <f aca="false">AA388+1</f>
        <v>41295</v>
      </c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</row>
    <row r="390" customFormat="false" ht="13.8" hidden="false" customHeight="false" outlineLevel="0" collapsed="false">
      <c r="AA390" s="7" t="n">
        <f aca="false">AA389+1</f>
        <v>41296</v>
      </c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</row>
    <row r="391" customFormat="false" ht="13.8" hidden="false" customHeight="false" outlineLevel="0" collapsed="false">
      <c r="AA391" s="7" t="n">
        <f aca="false">AA390+1</f>
        <v>41297</v>
      </c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</row>
    <row r="392" customFormat="false" ht="13.8" hidden="false" customHeight="false" outlineLevel="0" collapsed="false">
      <c r="AA392" s="7" t="n">
        <f aca="false">AA391+1</f>
        <v>41298</v>
      </c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</row>
    <row r="393" customFormat="false" ht="13.8" hidden="false" customHeight="false" outlineLevel="0" collapsed="false">
      <c r="AA393" s="7" t="n">
        <f aca="false">AA392+1</f>
        <v>41299</v>
      </c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</row>
    <row r="394" customFormat="false" ht="13.8" hidden="false" customHeight="false" outlineLevel="0" collapsed="false">
      <c r="AA394" s="7" t="n">
        <f aca="false">AA393+1</f>
        <v>41300</v>
      </c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</row>
    <row r="395" customFormat="false" ht="13.8" hidden="false" customHeight="false" outlineLevel="0" collapsed="false">
      <c r="AA395" s="7" t="n">
        <f aca="false">AA394+1</f>
        <v>41301</v>
      </c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</row>
    <row r="396" customFormat="false" ht="13.8" hidden="false" customHeight="false" outlineLevel="0" collapsed="false">
      <c r="AA396" s="7" t="n">
        <f aca="false">AA395+1</f>
        <v>41302</v>
      </c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</row>
    <row r="397" customFormat="false" ht="13.8" hidden="false" customHeight="false" outlineLevel="0" collapsed="false">
      <c r="AA397" s="7" t="n">
        <f aca="false">AA396+1</f>
        <v>41303</v>
      </c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</row>
    <row r="398" customFormat="false" ht="13.8" hidden="false" customHeight="false" outlineLevel="0" collapsed="false">
      <c r="AA398" s="7" t="n">
        <f aca="false">AA397+1</f>
        <v>41304</v>
      </c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</row>
    <row r="399" customFormat="false" ht="13.8" hidden="false" customHeight="false" outlineLevel="0" collapsed="false">
      <c r="AA399" s="7" t="n">
        <f aca="false">AA398+1</f>
        <v>41305</v>
      </c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</row>
    <row r="400" customFormat="false" ht="13.8" hidden="false" customHeight="false" outlineLevel="0" collapsed="false">
      <c r="AA400" s="7" t="n">
        <f aca="false">AA399+1</f>
        <v>41306</v>
      </c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</row>
    <row r="401" customFormat="false" ht="13.8" hidden="false" customHeight="false" outlineLevel="0" collapsed="false">
      <c r="AA401" s="7" t="n">
        <f aca="false">AA400+1</f>
        <v>41307</v>
      </c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</row>
    <row r="402" customFormat="false" ht="13.8" hidden="false" customHeight="false" outlineLevel="0" collapsed="false">
      <c r="AA402" s="7" t="n">
        <f aca="false">AA401+1</f>
        <v>41308</v>
      </c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</row>
    <row r="403" customFormat="false" ht="13.8" hidden="false" customHeight="false" outlineLevel="0" collapsed="false">
      <c r="AA403" s="7" t="n">
        <f aca="false">AA402+1</f>
        <v>41309</v>
      </c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</row>
    <row r="404" customFormat="false" ht="13.8" hidden="false" customHeight="false" outlineLevel="0" collapsed="false">
      <c r="AA404" s="7" t="n">
        <f aca="false">AA403+1</f>
        <v>41310</v>
      </c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</row>
    <row r="405" customFormat="false" ht="13.8" hidden="false" customHeight="false" outlineLevel="0" collapsed="false">
      <c r="AA405" s="7" t="n">
        <f aca="false">AA404+1</f>
        <v>41311</v>
      </c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</row>
    <row r="406" customFormat="false" ht="13.8" hidden="false" customHeight="false" outlineLevel="0" collapsed="false">
      <c r="AA406" s="7" t="n">
        <f aca="false">AA405+1</f>
        <v>41312</v>
      </c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</row>
    <row r="407" customFormat="false" ht="13.8" hidden="false" customHeight="false" outlineLevel="0" collapsed="false">
      <c r="AA407" s="7" t="n">
        <f aca="false">AA406+1</f>
        <v>41313</v>
      </c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</row>
    <row r="408" customFormat="false" ht="13.8" hidden="false" customHeight="false" outlineLevel="0" collapsed="false">
      <c r="AA408" s="7" t="n">
        <f aca="false">AA407+1</f>
        <v>41314</v>
      </c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</row>
    <row r="409" customFormat="false" ht="13.8" hidden="false" customHeight="false" outlineLevel="0" collapsed="false">
      <c r="AA409" s="7" t="n">
        <f aca="false">AA408+1</f>
        <v>41315</v>
      </c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</row>
    <row r="410" customFormat="false" ht="13.8" hidden="false" customHeight="false" outlineLevel="0" collapsed="false">
      <c r="AA410" s="7" t="n">
        <f aca="false">AA409+1</f>
        <v>41316</v>
      </c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</row>
    <row r="411" customFormat="false" ht="13.8" hidden="false" customHeight="false" outlineLevel="0" collapsed="false">
      <c r="AA411" s="7" t="n">
        <f aca="false">AA410+1</f>
        <v>41317</v>
      </c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</row>
    <row r="412" customFormat="false" ht="13.8" hidden="false" customHeight="false" outlineLevel="0" collapsed="false">
      <c r="AA412" s="7" t="n">
        <f aca="false">AA411+1</f>
        <v>41318</v>
      </c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</row>
    <row r="413" customFormat="false" ht="13.8" hidden="false" customHeight="false" outlineLevel="0" collapsed="false">
      <c r="AA413" s="7" t="n">
        <f aca="false">AA412+1</f>
        <v>41319</v>
      </c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</row>
    <row r="414" customFormat="false" ht="13.8" hidden="false" customHeight="false" outlineLevel="0" collapsed="false">
      <c r="AA414" s="7" t="n">
        <f aca="false">AA413+1</f>
        <v>41320</v>
      </c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</row>
    <row r="415" customFormat="false" ht="13.8" hidden="false" customHeight="false" outlineLevel="0" collapsed="false">
      <c r="AA415" s="7" t="n">
        <f aca="false">AA414+1</f>
        <v>41321</v>
      </c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</row>
    <row r="416" customFormat="false" ht="13.8" hidden="false" customHeight="false" outlineLevel="0" collapsed="false">
      <c r="AA416" s="7" t="n">
        <f aca="false">AA415+1</f>
        <v>41322</v>
      </c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</row>
    <row r="417" customFormat="false" ht="13.8" hidden="false" customHeight="false" outlineLevel="0" collapsed="false">
      <c r="AA417" s="7" t="n">
        <f aca="false">AA416+1</f>
        <v>41323</v>
      </c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</row>
    <row r="418" customFormat="false" ht="13.8" hidden="false" customHeight="false" outlineLevel="0" collapsed="false">
      <c r="AA418" s="7" t="n">
        <f aca="false">AA417+1</f>
        <v>41324</v>
      </c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</row>
    <row r="419" customFormat="false" ht="13.8" hidden="false" customHeight="false" outlineLevel="0" collapsed="false">
      <c r="AA419" s="7" t="n">
        <f aca="false">AA418+1</f>
        <v>41325</v>
      </c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</row>
    <row r="420" customFormat="false" ht="13.8" hidden="false" customHeight="false" outlineLevel="0" collapsed="false">
      <c r="AA420" s="7" t="n">
        <f aca="false">AA419+1</f>
        <v>41326</v>
      </c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</row>
    <row r="421" customFormat="false" ht="13.8" hidden="false" customHeight="false" outlineLevel="0" collapsed="false">
      <c r="AA421" s="7" t="n">
        <f aca="false">AA420+1</f>
        <v>41327</v>
      </c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</row>
    <row r="422" customFormat="false" ht="13.8" hidden="false" customHeight="false" outlineLevel="0" collapsed="false">
      <c r="AA422" s="7" t="n">
        <f aca="false">AA421+1</f>
        <v>41328</v>
      </c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</row>
    <row r="423" customFormat="false" ht="13.8" hidden="false" customHeight="false" outlineLevel="0" collapsed="false">
      <c r="AA423" s="7" t="n">
        <f aca="false">AA422+1</f>
        <v>41329</v>
      </c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</row>
    <row r="424" customFormat="false" ht="13.8" hidden="false" customHeight="false" outlineLevel="0" collapsed="false">
      <c r="AA424" s="7" t="n">
        <f aca="false">AA423+1</f>
        <v>41330</v>
      </c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</row>
    <row r="425" customFormat="false" ht="13.8" hidden="false" customHeight="false" outlineLevel="0" collapsed="false">
      <c r="AA425" s="7" t="n">
        <f aca="false">AA424+1</f>
        <v>41331</v>
      </c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</row>
    <row r="426" customFormat="false" ht="13.8" hidden="false" customHeight="false" outlineLevel="0" collapsed="false">
      <c r="AA426" s="7" t="n">
        <f aca="false">AA425+1</f>
        <v>41332</v>
      </c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</row>
    <row r="427" customFormat="false" ht="13.8" hidden="false" customHeight="false" outlineLevel="0" collapsed="false">
      <c r="AA427" s="7" t="n">
        <f aca="false">AA426+1</f>
        <v>41333</v>
      </c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</row>
    <row r="428" customFormat="false" ht="13.8" hidden="false" customHeight="false" outlineLevel="0" collapsed="false">
      <c r="AA428" s="7" t="n">
        <f aca="false">AA427+1</f>
        <v>41334</v>
      </c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</row>
    <row r="429" customFormat="false" ht="13.8" hidden="false" customHeight="false" outlineLevel="0" collapsed="false">
      <c r="AA429" s="7" t="n">
        <f aca="false">AA428+1</f>
        <v>41335</v>
      </c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</row>
    <row r="430" customFormat="false" ht="13.8" hidden="false" customHeight="false" outlineLevel="0" collapsed="false">
      <c r="AA430" s="7" t="n">
        <f aca="false">AA429+1</f>
        <v>41336</v>
      </c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</row>
    <row r="431" customFormat="false" ht="13.8" hidden="false" customHeight="false" outlineLevel="0" collapsed="false">
      <c r="AA431" s="7" t="n">
        <f aca="false">AA430+1</f>
        <v>41337</v>
      </c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</row>
    <row r="432" customFormat="false" ht="13.8" hidden="false" customHeight="false" outlineLevel="0" collapsed="false">
      <c r="AA432" s="7" t="n">
        <f aca="false">AA431+1</f>
        <v>41338</v>
      </c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</row>
    <row r="433" customFormat="false" ht="13.8" hidden="false" customHeight="false" outlineLevel="0" collapsed="false">
      <c r="AA433" s="7" t="n">
        <f aca="false">AA432+1</f>
        <v>41339</v>
      </c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</row>
    <row r="434" customFormat="false" ht="13.8" hidden="false" customHeight="false" outlineLevel="0" collapsed="false">
      <c r="AA434" s="7" t="n">
        <f aca="false">AA433+1</f>
        <v>41340</v>
      </c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</row>
    <row r="435" customFormat="false" ht="13.8" hidden="false" customHeight="false" outlineLevel="0" collapsed="false">
      <c r="AA435" s="7" t="n">
        <f aca="false">AA434+1</f>
        <v>41341</v>
      </c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</row>
    <row r="436" customFormat="false" ht="13.8" hidden="false" customHeight="false" outlineLevel="0" collapsed="false">
      <c r="AA436" s="7" t="n">
        <f aca="false">AA435+1</f>
        <v>41342</v>
      </c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</row>
    <row r="437" customFormat="false" ht="13.8" hidden="false" customHeight="false" outlineLevel="0" collapsed="false">
      <c r="AA437" s="7" t="n">
        <f aca="false">AA436+1</f>
        <v>41343</v>
      </c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</row>
    <row r="438" customFormat="false" ht="13.8" hidden="false" customHeight="false" outlineLevel="0" collapsed="false">
      <c r="AA438" s="7" t="n">
        <f aca="false">AA437+1</f>
        <v>41344</v>
      </c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</row>
    <row r="439" customFormat="false" ht="13.8" hidden="false" customHeight="false" outlineLevel="0" collapsed="false">
      <c r="AA439" s="7" t="n">
        <f aca="false">AA438+1</f>
        <v>41345</v>
      </c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</row>
    <row r="440" customFormat="false" ht="13.8" hidden="false" customHeight="false" outlineLevel="0" collapsed="false">
      <c r="AA440" s="7" t="n">
        <f aca="false">AA439+1</f>
        <v>41346</v>
      </c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</row>
    <row r="441" customFormat="false" ht="13.8" hidden="false" customHeight="false" outlineLevel="0" collapsed="false">
      <c r="AA441" s="7" t="n">
        <f aca="false">AA440+1</f>
        <v>41347</v>
      </c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</row>
    <row r="442" customFormat="false" ht="13.8" hidden="false" customHeight="false" outlineLevel="0" collapsed="false">
      <c r="AA442" s="7" t="n">
        <f aca="false">AA441+1</f>
        <v>41348</v>
      </c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</row>
    <row r="443" customFormat="false" ht="13.8" hidden="false" customHeight="false" outlineLevel="0" collapsed="false">
      <c r="AA443" s="7" t="n">
        <f aca="false">AA442+1</f>
        <v>41349</v>
      </c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</row>
    <row r="444" customFormat="false" ht="13.8" hidden="false" customHeight="false" outlineLevel="0" collapsed="false">
      <c r="AA444" s="7" t="n">
        <f aca="false">AA443+1</f>
        <v>41350</v>
      </c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</row>
    <row r="445" customFormat="false" ht="13.8" hidden="false" customHeight="false" outlineLevel="0" collapsed="false">
      <c r="AA445" s="7" t="n">
        <f aca="false">AA444+1</f>
        <v>41351</v>
      </c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</row>
    <row r="446" customFormat="false" ht="13.8" hidden="false" customHeight="false" outlineLevel="0" collapsed="false">
      <c r="AA446" s="7" t="n">
        <f aca="false">AA445+1</f>
        <v>41352</v>
      </c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</row>
    <row r="447" customFormat="false" ht="13.8" hidden="false" customHeight="false" outlineLevel="0" collapsed="false">
      <c r="AA447" s="7" t="n">
        <f aca="false">AA446+1</f>
        <v>41353</v>
      </c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</row>
    <row r="448" customFormat="false" ht="13.8" hidden="false" customHeight="false" outlineLevel="0" collapsed="false">
      <c r="AA448" s="7" t="n">
        <f aca="false">AA447+1</f>
        <v>41354</v>
      </c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</row>
    <row r="449" customFormat="false" ht="13.8" hidden="false" customHeight="false" outlineLevel="0" collapsed="false">
      <c r="AA449" s="7" t="n">
        <f aca="false">AA448+1</f>
        <v>41355</v>
      </c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</row>
    <row r="450" customFormat="false" ht="13.8" hidden="false" customHeight="false" outlineLevel="0" collapsed="false">
      <c r="AA450" s="7" t="n">
        <f aca="false">AA449+1</f>
        <v>41356</v>
      </c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</row>
    <row r="451" customFormat="false" ht="13.8" hidden="false" customHeight="false" outlineLevel="0" collapsed="false">
      <c r="AA451" s="7" t="n">
        <f aca="false">AA450+1</f>
        <v>41357</v>
      </c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</row>
    <row r="452" customFormat="false" ht="13.8" hidden="false" customHeight="false" outlineLevel="0" collapsed="false">
      <c r="AA452" s="7" t="n">
        <f aca="false">AA451+1</f>
        <v>41358</v>
      </c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</row>
    <row r="453" customFormat="false" ht="13.8" hidden="false" customHeight="false" outlineLevel="0" collapsed="false">
      <c r="AA453" s="7" t="n">
        <f aca="false">AA452+1</f>
        <v>41359</v>
      </c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</row>
    <row r="454" customFormat="false" ht="13.8" hidden="false" customHeight="false" outlineLevel="0" collapsed="false">
      <c r="AA454" s="7" t="n">
        <f aca="false">AA453+1</f>
        <v>41360</v>
      </c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</row>
    <row r="455" customFormat="false" ht="13.8" hidden="false" customHeight="false" outlineLevel="0" collapsed="false">
      <c r="AA455" s="7" t="n">
        <f aca="false">AA454+1</f>
        <v>41361</v>
      </c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</row>
    <row r="456" customFormat="false" ht="13.8" hidden="false" customHeight="false" outlineLevel="0" collapsed="false">
      <c r="AA456" s="7" t="n">
        <f aca="false">AA455+1</f>
        <v>41362</v>
      </c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</row>
    <row r="457" customFormat="false" ht="13.8" hidden="false" customHeight="false" outlineLevel="0" collapsed="false">
      <c r="AA457" s="7" t="n">
        <f aca="false">AA456+1</f>
        <v>41363</v>
      </c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</row>
    <row r="458" customFormat="false" ht="13.8" hidden="false" customHeight="false" outlineLevel="0" collapsed="false">
      <c r="AA458" s="7" t="n">
        <f aca="false">AA457+1</f>
        <v>41364</v>
      </c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</row>
    <row r="459" customFormat="false" ht="13.8" hidden="false" customHeight="false" outlineLevel="0" collapsed="false">
      <c r="AA459" s="7" t="n">
        <f aca="false">AA458+1</f>
        <v>41365</v>
      </c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</row>
    <row r="460" customFormat="false" ht="13.8" hidden="false" customHeight="false" outlineLevel="0" collapsed="false">
      <c r="AA460" s="7" t="n">
        <f aca="false">AA459+1</f>
        <v>41366</v>
      </c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</row>
    <row r="461" customFormat="false" ht="13.8" hidden="false" customHeight="false" outlineLevel="0" collapsed="false">
      <c r="AA461" s="7" t="n">
        <f aca="false">AA460+1</f>
        <v>41367</v>
      </c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</row>
    <row r="462" customFormat="false" ht="13.8" hidden="false" customHeight="false" outlineLevel="0" collapsed="false">
      <c r="AA462" s="7" t="n">
        <f aca="false">AA461+1</f>
        <v>41368</v>
      </c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</row>
    <row r="463" customFormat="false" ht="13.8" hidden="false" customHeight="false" outlineLevel="0" collapsed="false">
      <c r="AA463" s="7" t="n">
        <f aca="false">AA462+1</f>
        <v>41369</v>
      </c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</row>
    <row r="464" customFormat="false" ht="13.8" hidden="false" customHeight="false" outlineLevel="0" collapsed="false">
      <c r="AA464" s="7" t="n">
        <f aca="false">AA463+1</f>
        <v>41370</v>
      </c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</row>
    <row r="465" customFormat="false" ht="13.8" hidden="false" customHeight="false" outlineLevel="0" collapsed="false">
      <c r="AA465" s="7" t="n">
        <f aca="false">AA464+1</f>
        <v>41371</v>
      </c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</row>
    <row r="466" customFormat="false" ht="13.8" hidden="false" customHeight="false" outlineLevel="0" collapsed="false">
      <c r="AA466" s="7" t="n">
        <f aca="false">AA465+1</f>
        <v>41372</v>
      </c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</row>
    <row r="467" customFormat="false" ht="13.8" hidden="false" customHeight="false" outlineLevel="0" collapsed="false">
      <c r="AA467" s="7" t="n">
        <f aca="false">AA466+1</f>
        <v>41373</v>
      </c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</row>
    <row r="468" customFormat="false" ht="13.8" hidden="false" customHeight="false" outlineLevel="0" collapsed="false">
      <c r="AA468" s="7" t="n">
        <f aca="false">AA467+1</f>
        <v>41374</v>
      </c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</row>
    <row r="469" customFormat="false" ht="13.8" hidden="false" customHeight="false" outlineLevel="0" collapsed="false">
      <c r="AA469" s="7" t="n">
        <f aca="false">AA468+1</f>
        <v>41375</v>
      </c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</row>
    <row r="470" customFormat="false" ht="13.8" hidden="false" customHeight="false" outlineLevel="0" collapsed="false">
      <c r="AA470" s="7" t="n">
        <f aca="false">AA469+1</f>
        <v>41376</v>
      </c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</row>
    <row r="471" customFormat="false" ht="13.8" hidden="false" customHeight="false" outlineLevel="0" collapsed="false">
      <c r="AA471" s="7" t="n">
        <f aca="false">AA470+1</f>
        <v>41377</v>
      </c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</row>
    <row r="472" customFormat="false" ht="13.8" hidden="false" customHeight="false" outlineLevel="0" collapsed="false">
      <c r="AA472" s="7" t="n">
        <f aca="false">AA471+1</f>
        <v>41378</v>
      </c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</row>
    <row r="473" customFormat="false" ht="13.8" hidden="false" customHeight="false" outlineLevel="0" collapsed="false">
      <c r="AA473" s="7" t="n">
        <f aca="false">AA472+1</f>
        <v>41379</v>
      </c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</row>
    <row r="474" customFormat="false" ht="13.8" hidden="false" customHeight="false" outlineLevel="0" collapsed="false">
      <c r="AA474" s="7" t="n">
        <f aca="false">AA473+1</f>
        <v>41380</v>
      </c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</row>
    <row r="475" customFormat="false" ht="13.8" hidden="false" customHeight="false" outlineLevel="0" collapsed="false">
      <c r="AA475" s="7" t="n">
        <f aca="false">AA474+1</f>
        <v>41381</v>
      </c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</row>
    <row r="476" customFormat="false" ht="13.8" hidden="false" customHeight="false" outlineLevel="0" collapsed="false">
      <c r="AA476" s="7" t="n">
        <f aca="false">AA475+1</f>
        <v>41382</v>
      </c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</row>
    <row r="477" customFormat="false" ht="13.8" hidden="false" customHeight="false" outlineLevel="0" collapsed="false">
      <c r="AA477" s="7" t="n">
        <f aca="false">AA476+1</f>
        <v>41383</v>
      </c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</row>
    <row r="478" customFormat="false" ht="13.8" hidden="false" customHeight="false" outlineLevel="0" collapsed="false">
      <c r="AA478" s="7" t="n">
        <f aca="false">AA477+1</f>
        <v>41384</v>
      </c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</row>
    <row r="479" customFormat="false" ht="13.8" hidden="false" customHeight="false" outlineLevel="0" collapsed="false">
      <c r="AA479" s="7" t="n">
        <f aca="false">AA478+1</f>
        <v>41385</v>
      </c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</row>
    <row r="480" customFormat="false" ht="13.8" hidden="false" customHeight="false" outlineLevel="0" collapsed="false">
      <c r="AA480" s="7" t="n">
        <f aca="false">AA479+1</f>
        <v>41386</v>
      </c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</row>
    <row r="481" customFormat="false" ht="13.8" hidden="false" customHeight="false" outlineLevel="0" collapsed="false">
      <c r="AA481" s="7" t="n">
        <f aca="false">AA480+1</f>
        <v>41387</v>
      </c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</row>
    <row r="482" customFormat="false" ht="13.8" hidden="false" customHeight="false" outlineLevel="0" collapsed="false">
      <c r="AA482" s="7" t="n">
        <f aca="false">AA481+1</f>
        <v>41388</v>
      </c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</row>
    <row r="483" customFormat="false" ht="13.8" hidden="false" customHeight="false" outlineLevel="0" collapsed="false">
      <c r="AA483" s="7" t="n">
        <f aca="false">AA482+1</f>
        <v>41389</v>
      </c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</row>
    <row r="484" customFormat="false" ht="13.8" hidden="false" customHeight="false" outlineLevel="0" collapsed="false">
      <c r="AA484" s="7" t="n">
        <f aca="false">AA483+1</f>
        <v>41390</v>
      </c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</row>
    <row r="485" customFormat="false" ht="13.8" hidden="false" customHeight="false" outlineLevel="0" collapsed="false">
      <c r="AA485" s="7" t="n">
        <f aca="false">AA484+1</f>
        <v>41391</v>
      </c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</row>
    <row r="486" customFormat="false" ht="13.8" hidden="false" customHeight="false" outlineLevel="0" collapsed="false">
      <c r="AA486" s="7" t="n">
        <f aca="false">AA485+1</f>
        <v>41392</v>
      </c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</row>
    <row r="487" customFormat="false" ht="13.8" hidden="false" customHeight="false" outlineLevel="0" collapsed="false">
      <c r="AA487" s="7" t="n">
        <f aca="false">AA486+1</f>
        <v>41393</v>
      </c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</row>
    <row r="488" customFormat="false" ht="13.8" hidden="false" customHeight="false" outlineLevel="0" collapsed="false">
      <c r="AA488" s="7" t="n">
        <f aca="false">AA487+1</f>
        <v>41394</v>
      </c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</row>
    <row r="489" customFormat="false" ht="13.8" hidden="false" customHeight="false" outlineLevel="0" collapsed="false">
      <c r="AA489" s="7" t="n">
        <f aca="false">AA488+1</f>
        <v>41395</v>
      </c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</row>
    <row r="490" customFormat="false" ht="13.8" hidden="false" customHeight="false" outlineLevel="0" collapsed="false">
      <c r="AA490" s="7" t="n">
        <f aca="false">AA489+1</f>
        <v>41396</v>
      </c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</row>
    <row r="491" customFormat="false" ht="13.8" hidden="false" customHeight="false" outlineLevel="0" collapsed="false">
      <c r="AA491" s="7" t="n">
        <f aca="false">AA490+1</f>
        <v>41397</v>
      </c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</row>
    <row r="492" customFormat="false" ht="13.8" hidden="false" customHeight="false" outlineLevel="0" collapsed="false">
      <c r="AA492" s="7" t="n">
        <f aca="false">AA491+1</f>
        <v>41398</v>
      </c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</row>
    <row r="493" customFormat="false" ht="13.8" hidden="false" customHeight="false" outlineLevel="0" collapsed="false">
      <c r="AA493" s="7" t="n">
        <f aca="false">AA492+1</f>
        <v>41399</v>
      </c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</row>
    <row r="494" customFormat="false" ht="13.8" hidden="false" customHeight="false" outlineLevel="0" collapsed="false">
      <c r="AA494" s="7" t="n">
        <f aca="false">AA493+1</f>
        <v>41400</v>
      </c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</row>
    <row r="495" customFormat="false" ht="13.8" hidden="false" customHeight="false" outlineLevel="0" collapsed="false">
      <c r="AA495" s="7" t="n">
        <f aca="false">AA494+1</f>
        <v>41401</v>
      </c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</row>
    <row r="496" customFormat="false" ht="13.8" hidden="false" customHeight="false" outlineLevel="0" collapsed="false">
      <c r="AA496" s="7" t="n">
        <f aca="false">AA495+1</f>
        <v>41402</v>
      </c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</row>
    <row r="497" customFormat="false" ht="13.8" hidden="false" customHeight="false" outlineLevel="0" collapsed="false">
      <c r="AA497" s="7" t="n">
        <f aca="false">AA496+1</f>
        <v>41403</v>
      </c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</row>
    <row r="498" customFormat="false" ht="13.8" hidden="false" customHeight="false" outlineLevel="0" collapsed="false">
      <c r="AA498" s="7" t="n">
        <f aca="false">AA497+1</f>
        <v>41404</v>
      </c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</row>
    <row r="499" customFormat="false" ht="13.8" hidden="false" customHeight="false" outlineLevel="0" collapsed="false">
      <c r="AA499" s="7" t="n">
        <f aca="false">AA498+1</f>
        <v>41405</v>
      </c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</row>
    <row r="500" customFormat="false" ht="13.8" hidden="false" customHeight="false" outlineLevel="0" collapsed="false">
      <c r="AA500" s="7" t="n">
        <f aca="false">AA499+1</f>
        <v>41406</v>
      </c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</row>
    <row r="501" customFormat="false" ht="13.8" hidden="false" customHeight="false" outlineLevel="0" collapsed="false">
      <c r="AA501" s="7" t="n">
        <f aca="false">AA500+1</f>
        <v>41407</v>
      </c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</row>
    <row r="502" customFormat="false" ht="13.8" hidden="false" customHeight="false" outlineLevel="0" collapsed="false">
      <c r="AA502" s="7" t="n">
        <f aca="false">AA501+1</f>
        <v>41408</v>
      </c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</row>
    <row r="503" customFormat="false" ht="13.8" hidden="false" customHeight="false" outlineLevel="0" collapsed="false">
      <c r="AA503" s="7" t="n">
        <f aca="false">AA502+1</f>
        <v>41409</v>
      </c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</row>
    <row r="504" customFormat="false" ht="13.8" hidden="false" customHeight="false" outlineLevel="0" collapsed="false">
      <c r="AA504" s="7" t="n">
        <f aca="false">AA503+1</f>
        <v>41410</v>
      </c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</row>
    <row r="505" customFormat="false" ht="13.8" hidden="false" customHeight="false" outlineLevel="0" collapsed="false">
      <c r="AA505" s="7" t="n">
        <f aca="false">AA504+1</f>
        <v>41411</v>
      </c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</row>
    <row r="506" customFormat="false" ht="13.8" hidden="false" customHeight="false" outlineLevel="0" collapsed="false">
      <c r="AA506" s="7" t="n">
        <f aca="false">AA505+1</f>
        <v>41412</v>
      </c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</row>
    <row r="507" customFormat="false" ht="13.8" hidden="false" customHeight="false" outlineLevel="0" collapsed="false">
      <c r="AA507" s="7" t="n">
        <f aca="false">AA506+1</f>
        <v>41413</v>
      </c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</row>
    <row r="508" customFormat="false" ht="13.8" hidden="false" customHeight="false" outlineLevel="0" collapsed="false">
      <c r="AA508" s="7" t="n">
        <f aca="false">AA507+1</f>
        <v>41414</v>
      </c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</row>
    <row r="509" customFormat="false" ht="13.8" hidden="false" customHeight="false" outlineLevel="0" collapsed="false">
      <c r="AA509" s="7" t="n">
        <f aca="false">AA508+1</f>
        <v>41415</v>
      </c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</row>
    <row r="510" customFormat="false" ht="13.8" hidden="false" customHeight="false" outlineLevel="0" collapsed="false">
      <c r="AA510" s="7" t="n">
        <f aca="false">AA509+1</f>
        <v>41416</v>
      </c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</row>
    <row r="511" customFormat="false" ht="13.8" hidden="false" customHeight="false" outlineLevel="0" collapsed="false">
      <c r="AA511" s="7" t="n">
        <f aca="false">AA510+1</f>
        <v>41417</v>
      </c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</row>
    <row r="512" customFormat="false" ht="13.8" hidden="false" customHeight="false" outlineLevel="0" collapsed="false">
      <c r="AA512" s="7" t="n">
        <f aca="false">AA511+1</f>
        <v>41418</v>
      </c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</row>
    <row r="513" customFormat="false" ht="13.8" hidden="false" customHeight="false" outlineLevel="0" collapsed="false">
      <c r="AA513" s="7" t="n">
        <f aca="false">AA512+1</f>
        <v>41419</v>
      </c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</row>
    <row r="514" customFormat="false" ht="13.8" hidden="false" customHeight="false" outlineLevel="0" collapsed="false">
      <c r="AA514" s="7" t="n">
        <f aca="false">AA513+1</f>
        <v>41420</v>
      </c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</row>
    <row r="515" customFormat="false" ht="13.8" hidden="false" customHeight="false" outlineLevel="0" collapsed="false">
      <c r="AA515" s="7" t="n">
        <f aca="false">AA514+1</f>
        <v>41421</v>
      </c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</row>
    <row r="516" customFormat="false" ht="13.8" hidden="false" customHeight="false" outlineLevel="0" collapsed="false">
      <c r="AA516" s="7" t="n">
        <f aca="false">AA515+1</f>
        <v>41422</v>
      </c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</row>
    <row r="517" customFormat="false" ht="13.8" hidden="false" customHeight="false" outlineLevel="0" collapsed="false">
      <c r="AA517" s="7" t="n">
        <f aca="false">AA516+1</f>
        <v>41423</v>
      </c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</row>
    <row r="518" customFormat="false" ht="13.8" hidden="false" customHeight="false" outlineLevel="0" collapsed="false">
      <c r="AA518" s="7" t="n">
        <f aca="false">AA517+1</f>
        <v>41424</v>
      </c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</row>
    <row r="519" customFormat="false" ht="13.8" hidden="false" customHeight="false" outlineLevel="0" collapsed="false">
      <c r="AA519" s="7" t="n">
        <f aca="false">AA518+1</f>
        <v>41425</v>
      </c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</row>
    <row r="520" customFormat="false" ht="13.8" hidden="false" customHeight="false" outlineLevel="0" collapsed="false">
      <c r="AA520" s="7" t="n">
        <f aca="false">AA519+1</f>
        <v>41426</v>
      </c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</row>
    <row r="521" customFormat="false" ht="13.8" hidden="false" customHeight="false" outlineLevel="0" collapsed="false">
      <c r="AA521" s="7" t="n">
        <f aca="false">AA520+1</f>
        <v>41427</v>
      </c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</row>
    <row r="522" customFormat="false" ht="13.8" hidden="false" customHeight="false" outlineLevel="0" collapsed="false">
      <c r="AA522" s="7" t="n">
        <f aca="false">AA521+1</f>
        <v>41428</v>
      </c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</row>
    <row r="523" customFormat="false" ht="13.8" hidden="false" customHeight="false" outlineLevel="0" collapsed="false">
      <c r="AA523" s="7" t="n">
        <f aca="false">AA522+1</f>
        <v>41429</v>
      </c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</row>
    <row r="524" customFormat="false" ht="13.8" hidden="false" customHeight="false" outlineLevel="0" collapsed="false">
      <c r="AA524" s="7" t="n">
        <f aca="false">AA523+1</f>
        <v>41430</v>
      </c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</row>
    <row r="525" customFormat="false" ht="13.8" hidden="false" customHeight="false" outlineLevel="0" collapsed="false">
      <c r="AA525" s="7" t="n">
        <f aca="false">AA524+1</f>
        <v>41431</v>
      </c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</row>
    <row r="526" customFormat="false" ht="13.8" hidden="false" customHeight="false" outlineLevel="0" collapsed="false">
      <c r="AA526" s="7" t="n">
        <f aca="false">AA525+1</f>
        <v>41432</v>
      </c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</row>
    <row r="527" customFormat="false" ht="13.8" hidden="false" customHeight="false" outlineLevel="0" collapsed="false">
      <c r="AA527" s="7" t="n">
        <f aca="false">AA526+1</f>
        <v>41433</v>
      </c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</row>
    <row r="528" customFormat="false" ht="13.8" hidden="false" customHeight="false" outlineLevel="0" collapsed="false">
      <c r="AA528" s="7" t="n">
        <f aca="false">AA527+1</f>
        <v>41434</v>
      </c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</row>
    <row r="529" customFormat="false" ht="13.8" hidden="false" customHeight="false" outlineLevel="0" collapsed="false">
      <c r="AA529" s="7" t="n">
        <f aca="false">AA528+1</f>
        <v>41435</v>
      </c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</row>
    <row r="530" customFormat="false" ht="13.8" hidden="false" customHeight="false" outlineLevel="0" collapsed="false">
      <c r="AA530" s="7" t="n">
        <f aca="false">AA529+1</f>
        <v>41436</v>
      </c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</row>
    <row r="531" customFormat="false" ht="13.8" hidden="false" customHeight="false" outlineLevel="0" collapsed="false">
      <c r="AA531" s="7" t="n">
        <f aca="false">AA530+1</f>
        <v>41437</v>
      </c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</row>
    <row r="532" customFormat="false" ht="13.8" hidden="false" customHeight="false" outlineLevel="0" collapsed="false">
      <c r="AA532" s="7" t="n">
        <f aca="false">AA531+1</f>
        <v>41438</v>
      </c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</row>
    <row r="533" customFormat="false" ht="13.8" hidden="false" customHeight="false" outlineLevel="0" collapsed="false">
      <c r="AA533" s="7" t="n">
        <f aca="false">AA532+1</f>
        <v>41439</v>
      </c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</row>
    <row r="534" customFormat="false" ht="13.8" hidden="false" customHeight="false" outlineLevel="0" collapsed="false">
      <c r="AA534" s="7" t="n">
        <f aca="false">AA533+1</f>
        <v>41440</v>
      </c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</row>
    <row r="535" customFormat="false" ht="13.8" hidden="false" customHeight="false" outlineLevel="0" collapsed="false">
      <c r="AA535" s="7" t="n">
        <f aca="false">AA534+1</f>
        <v>41441</v>
      </c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</row>
    <row r="536" customFormat="false" ht="13.8" hidden="false" customHeight="false" outlineLevel="0" collapsed="false">
      <c r="AA536" s="7" t="n">
        <f aca="false">AA535+1</f>
        <v>41442</v>
      </c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</row>
    <row r="537" customFormat="false" ht="13.8" hidden="false" customHeight="false" outlineLevel="0" collapsed="false">
      <c r="AA537" s="7" t="n">
        <f aca="false">AA536+1</f>
        <v>41443</v>
      </c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</row>
    <row r="538" customFormat="false" ht="13.8" hidden="false" customHeight="false" outlineLevel="0" collapsed="false">
      <c r="AA538" s="7" t="n">
        <f aca="false">AA537+1</f>
        <v>41444</v>
      </c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</row>
    <row r="539" customFormat="false" ht="13.8" hidden="false" customHeight="false" outlineLevel="0" collapsed="false">
      <c r="AA539" s="7" t="n">
        <f aca="false">AA538+1</f>
        <v>41445</v>
      </c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</row>
    <row r="540" customFormat="false" ht="13.8" hidden="false" customHeight="false" outlineLevel="0" collapsed="false">
      <c r="AA540" s="7" t="n">
        <f aca="false">AA539+1</f>
        <v>41446</v>
      </c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</row>
    <row r="541" customFormat="false" ht="13.8" hidden="false" customHeight="false" outlineLevel="0" collapsed="false">
      <c r="AA541" s="7" t="n">
        <f aca="false">AA540+1</f>
        <v>41447</v>
      </c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</row>
    <row r="542" customFormat="false" ht="13.8" hidden="false" customHeight="false" outlineLevel="0" collapsed="false">
      <c r="AA542" s="7" t="n">
        <f aca="false">AA541+1</f>
        <v>41448</v>
      </c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</row>
    <row r="543" customFormat="false" ht="13.8" hidden="false" customHeight="false" outlineLevel="0" collapsed="false">
      <c r="AA543" s="7" t="n">
        <f aca="false">AA542+1</f>
        <v>41449</v>
      </c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</row>
    <row r="544" customFormat="false" ht="13.8" hidden="false" customHeight="false" outlineLevel="0" collapsed="false">
      <c r="AA544" s="7" t="n">
        <f aca="false">AA543+1</f>
        <v>41450</v>
      </c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</row>
    <row r="545" customFormat="false" ht="13.8" hidden="false" customHeight="false" outlineLevel="0" collapsed="false">
      <c r="AA545" s="7" t="n">
        <f aca="false">AA544+1</f>
        <v>41451</v>
      </c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</row>
    <row r="546" customFormat="false" ht="13.8" hidden="false" customHeight="false" outlineLevel="0" collapsed="false">
      <c r="AA546" s="7" t="n">
        <f aca="false">AA545+1</f>
        <v>41452</v>
      </c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</row>
    <row r="547" customFormat="false" ht="13.8" hidden="false" customHeight="false" outlineLevel="0" collapsed="false">
      <c r="AA547" s="7" t="n">
        <f aca="false">AA546+1</f>
        <v>41453</v>
      </c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</row>
    <row r="548" customFormat="false" ht="13.8" hidden="false" customHeight="false" outlineLevel="0" collapsed="false">
      <c r="AA548" s="7" t="n">
        <f aca="false">AA547+1</f>
        <v>41454</v>
      </c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</row>
    <row r="549" customFormat="false" ht="13.8" hidden="false" customHeight="false" outlineLevel="0" collapsed="false">
      <c r="AA549" s="7" t="n">
        <f aca="false">AA548+1</f>
        <v>41455</v>
      </c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</row>
    <row r="550" customFormat="false" ht="13.8" hidden="false" customHeight="false" outlineLevel="0" collapsed="false">
      <c r="AA550" s="7" t="n">
        <f aca="false">AA549+1</f>
        <v>41456</v>
      </c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</row>
    <row r="551" customFormat="false" ht="13.8" hidden="false" customHeight="false" outlineLevel="0" collapsed="false">
      <c r="AA551" s="7" t="n">
        <f aca="false">AA550+1</f>
        <v>41457</v>
      </c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</row>
    <row r="552" customFormat="false" ht="13.8" hidden="false" customHeight="false" outlineLevel="0" collapsed="false">
      <c r="AA552" s="7" t="n">
        <f aca="false">AA551+1</f>
        <v>41458</v>
      </c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</row>
    <row r="553" customFormat="false" ht="13.8" hidden="false" customHeight="false" outlineLevel="0" collapsed="false">
      <c r="AA553" s="7" t="n">
        <f aca="false">AA552+1</f>
        <v>41459</v>
      </c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</row>
    <row r="554" customFormat="false" ht="13.8" hidden="false" customHeight="false" outlineLevel="0" collapsed="false">
      <c r="AA554" s="7" t="n">
        <f aca="false">AA553+1</f>
        <v>41460</v>
      </c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</row>
    <row r="555" customFormat="false" ht="13.8" hidden="false" customHeight="false" outlineLevel="0" collapsed="false">
      <c r="AA555" s="7" t="n">
        <f aca="false">AA554+1</f>
        <v>41461</v>
      </c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</row>
    <row r="556" customFormat="false" ht="13.8" hidden="false" customHeight="false" outlineLevel="0" collapsed="false">
      <c r="AA556" s="7" t="n">
        <f aca="false">AA555+1</f>
        <v>41462</v>
      </c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</row>
    <row r="557" customFormat="false" ht="13.8" hidden="false" customHeight="false" outlineLevel="0" collapsed="false">
      <c r="AA557" s="7" t="n">
        <f aca="false">AA556+1</f>
        <v>41463</v>
      </c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</row>
    <row r="558" customFormat="false" ht="13.8" hidden="false" customHeight="false" outlineLevel="0" collapsed="false">
      <c r="AA558" s="7" t="n">
        <f aca="false">AA557+1</f>
        <v>41464</v>
      </c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</row>
    <row r="559" customFormat="false" ht="13.8" hidden="false" customHeight="false" outlineLevel="0" collapsed="false">
      <c r="AA559" s="7" t="n">
        <f aca="false">AA558+1</f>
        <v>41465</v>
      </c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</row>
    <row r="560" customFormat="false" ht="13.8" hidden="false" customHeight="false" outlineLevel="0" collapsed="false">
      <c r="AA560" s="7" t="n">
        <f aca="false">AA559+1</f>
        <v>41466</v>
      </c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</row>
    <row r="561" customFormat="false" ht="13.8" hidden="false" customHeight="false" outlineLevel="0" collapsed="false">
      <c r="AA561" s="7" t="n">
        <f aca="false">AA560+1</f>
        <v>41467</v>
      </c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</row>
    <row r="562" customFormat="false" ht="13.8" hidden="false" customHeight="false" outlineLevel="0" collapsed="false">
      <c r="AA562" s="7" t="n">
        <f aca="false">AA561+1</f>
        <v>41468</v>
      </c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</row>
    <row r="563" customFormat="false" ht="13.8" hidden="false" customHeight="false" outlineLevel="0" collapsed="false">
      <c r="AA563" s="7" t="n">
        <f aca="false">AA562+1</f>
        <v>41469</v>
      </c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</row>
    <row r="564" customFormat="false" ht="13.8" hidden="false" customHeight="false" outlineLevel="0" collapsed="false">
      <c r="AA564" s="7" t="n">
        <f aca="false">AA563+1</f>
        <v>41470</v>
      </c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</row>
    <row r="565" customFormat="false" ht="13.8" hidden="false" customHeight="false" outlineLevel="0" collapsed="false">
      <c r="AA565" s="7" t="n">
        <f aca="false">AA564+1</f>
        <v>41471</v>
      </c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</row>
    <row r="566" customFormat="false" ht="13.8" hidden="false" customHeight="false" outlineLevel="0" collapsed="false">
      <c r="AA566" s="7" t="n">
        <f aca="false">AA565+1</f>
        <v>41472</v>
      </c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</row>
    <row r="567" customFormat="false" ht="13.8" hidden="false" customHeight="false" outlineLevel="0" collapsed="false">
      <c r="AA567" s="7" t="n">
        <f aca="false">AA566+1</f>
        <v>41473</v>
      </c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</row>
    <row r="568" customFormat="false" ht="13.8" hidden="false" customHeight="false" outlineLevel="0" collapsed="false">
      <c r="AA568" s="7" t="n">
        <f aca="false">AA567+1</f>
        <v>41474</v>
      </c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</row>
    <row r="569" customFormat="false" ht="13.8" hidden="false" customHeight="false" outlineLevel="0" collapsed="false">
      <c r="AA569" s="7" t="n">
        <f aca="false">AA568+1</f>
        <v>41475</v>
      </c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</row>
    <row r="570" customFormat="false" ht="13.8" hidden="false" customHeight="false" outlineLevel="0" collapsed="false">
      <c r="AA570" s="7" t="n">
        <f aca="false">AA569+1</f>
        <v>41476</v>
      </c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</row>
    <row r="571" customFormat="false" ht="13.8" hidden="false" customHeight="false" outlineLevel="0" collapsed="false">
      <c r="AA571" s="7" t="n">
        <f aca="false">AA570+1</f>
        <v>41477</v>
      </c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</row>
    <row r="572" customFormat="false" ht="13.8" hidden="false" customHeight="false" outlineLevel="0" collapsed="false">
      <c r="AA572" s="7" t="n">
        <f aca="false">AA571+1</f>
        <v>41478</v>
      </c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</row>
    <row r="573" customFormat="false" ht="13.8" hidden="false" customHeight="false" outlineLevel="0" collapsed="false">
      <c r="AA573" s="7" t="n">
        <f aca="false">AA572+1</f>
        <v>41479</v>
      </c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</row>
    <row r="574" customFormat="false" ht="13.8" hidden="false" customHeight="false" outlineLevel="0" collapsed="false">
      <c r="AA574" s="7" t="n">
        <f aca="false">AA573+1</f>
        <v>41480</v>
      </c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</row>
    <row r="575" customFormat="false" ht="13.8" hidden="false" customHeight="false" outlineLevel="0" collapsed="false">
      <c r="AA575" s="7" t="n">
        <f aca="false">AA574+1</f>
        <v>41481</v>
      </c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</row>
    <row r="576" customFormat="false" ht="13.8" hidden="false" customHeight="false" outlineLevel="0" collapsed="false">
      <c r="AA576" s="7" t="n">
        <f aca="false">AA575+1</f>
        <v>41482</v>
      </c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</row>
    <row r="577" customFormat="false" ht="13.8" hidden="false" customHeight="false" outlineLevel="0" collapsed="false">
      <c r="AA577" s="7" t="n">
        <f aca="false">AA576+1</f>
        <v>41483</v>
      </c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</row>
    <row r="578" customFormat="false" ht="13.8" hidden="false" customHeight="false" outlineLevel="0" collapsed="false">
      <c r="AA578" s="7" t="n">
        <f aca="false">AA577+1</f>
        <v>41484</v>
      </c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</row>
    <row r="579" customFormat="false" ht="13.8" hidden="false" customHeight="false" outlineLevel="0" collapsed="false">
      <c r="AA579" s="7" t="n">
        <f aca="false">AA578+1</f>
        <v>41485</v>
      </c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</row>
    <row r="580" customFormat="false" ht="13.8" hidden="false" customHeight="false" outlineLevel="0" collapsed="false">
      <c r="AA580" s="7" t="n">
        <f aca="false">AA579+1</f>
        <v>41486</v>
      </c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</row>
    <row r="581" customFormat="false" ht="13.8" hidden="false" customHeight="false" outlineLevel="0" collapsed="false">
      <c r="AA581" s="7" t="n">
        <f aca="false">AA580+1</f>
        <v>41487</v>
      </c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</row>
    <row r="582" customFormat="false" ht="13.8" hidden="false" customHeight="false" outlineLevel="0" collapsed="false">
      <c r="AA582" s="7" t="n">
        <f aca="false">AA581+1</f>
        <v>41488</v>
      </c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</row>
    <row r="583" customFormat="false" ht="13.8" hidden="false" customHeight="false" outlineLevel="0" collapsed="false">
      <c r="AA583" s="7" t="n">
        <f aca="false">AA582+1</f>
        <v>41489</v>
      </c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</row>
    <row r="584" customFormat="false" ht="13.8" hidden="false" customHeight="false" outlineLevel="0" collapsed="false">
      <c r="AA584" s="7" t="n">
        <f aca="false">AA583+1</f>
        <v>41490</v>
      </c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</row>
    <row r="585" customFormat="false" ht="13.8" hidden="false" customHeight="false" outlineLevel="0" collapsed="false">
      <c r="AA585" s="7" t="n">
        <f aca="false">AA584+1</f>
        <v>41491</v>
      </c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</row>
    <row r="586" customFormat="false" ht="13.8" hidden="false" customHeight="false" outlineLevel="0" collapsed="false">
      <c r="AA586" s="7" t="n">
        <f aca="false">AA585+1</f>
        <v>41492</v>
      </c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</row>
    <row r="587" customFormat="false" ht="13.8" hidden="false" customHeight="false" outlineLevel="0" collapsed="false">
      <c r="AA587" s="7" t="n">
        <f aca="false">AA586+1</f>
        <v>41493</v>
      </c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</row>
    <row r="588" customFormat="false" ht="13.8" hidden="false" customHeight="false" outlineLevel="0" collapsed="false">
      <c r="AA588" s="7" t="n">
        <f aca="false">AA587+1</f>
        <v>41494</v>
      </c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</row>
    <row r="589" customFormat="false" ht="13.8" hidden="false" customHeight="false" outlineLevel="0" collapsed="false">
      <c r="AA589" s="7" t="n">
        <f aca="false">AA588+1</f>
        <v>41495</v>
      </c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</row>
    <row r="590" customFormat="false" ht="13.8" hidden="false" customHeight="false" outlineLevel="0" collapsed="false">
      <c r="AA590" s="7" t="n">
        <f aca="false">AA589+1</f>
        <v>41496</v>
      </c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</row>
    <row r="591" customFormat="false" ht="13.8" hidden="false" customHeight="false" outlineLevel="0" collapsed="false">
      <c r="AA591" s="7" t="n">
        <f aca="false">AA590+1</f>
        <v>41497</v>
      </c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</row>
    <row r="592" customFormat="false" ht="13.8" hidden="false" customHeight="false" outlineLevel="0" collapsed="false">
      <c r="AA592" s="7" t="n">
        <f aca="false">AA591+1</f>
        <v>41498</v>
      </c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</row>
    <row r="593" customFormat="false" ht="13.8" hidden="false" customHeight="false" outlineLevel="0" collapsed="false">
      <c r="AA593" s="7" t="n">
        <f aca="false">AA592+1</f>
        <v>41499</v>
      </c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</row>
    <row r="594" customFormat="false" ht="13.8" hidden="false" customHeight="false" outlineLevel="0" collapsed="false">
      <c r="AA594" s="7" t="n">
        <f aca="false">AA593+1</f>
        <v>41500</v>
      </c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</row>
    <row r="595" customFormat="false" ht="13.8" hidden="false" customHeight="false" outlineLevel="0" collapsed="false">
      <c r="AA595" s="7" t="n">
        <f aca="false">AA594+1</f>
        <v>41501</v>
      </c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</row>
    <row r="596" customFormat="false" ht="13.8" hidden="false" customHeight="false" outlineLevel="0" collapsed="false">
      <c r="AA596" s="7" t="n">
        <f aca="false">AA595+1</f>
        <v>41502</v>
      </c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</row>
    <row r="597" customFormat="false" ht="13.8" hidden="false" customHeight="false" outlineLevel="0" collapsed="false">
      <c r="AA597" s="7" t="n">
        <f aca="false">AA596+1</f>
        <v>41503</v>
      </c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</row>
    <row r="598" customFormat="false" ht="13.8" hidden="false" customHeight="false" outlineLevel="0" collapsed="false">
      <c r="AA598" s="7" t="n">
        <f aca="false">AA597+1</f>
        <v>41504</v>
      </c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</row>
    <row r="599" customFormat="false" ht="13.8" hidden="false" customHeight="false" outlineLevel="0" collapsed="false">
      <c r="AA599" s="7" t="n">
        <f aca="false">AA598+1</f>
        <v>41505</v>
      </c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</row>
    <row r="600" customFormat="false" ht="13.8" hidden="false" customHeight="false" outlineLevel="0" collapsed="false">
      <c r="AA600" s="7" t="n">
        <f aca="false">AA599+1</f>
        <v>41506</v>
      </c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</row>
    <row r="601" customFormat="false" ht="13.8" hidden="false" customHeight="false" outlineLevel="0" collapsed="false">
      <c r="AA601" s="7" t="n">
        <f aca="false">AA600+1</f>
        <v>41507</v>
      </c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</row>
    <row r="602" customFormat="false" ht="13.8" hidden="false" customHeight="false" outlineLevel="0" collapsed="false">
      <c r="AA602" s="7" t="n">
        <f aca="false">AA601+1</f>
        <v>41508</v>
      </c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</row>
    <row r="603" customFormat="false" ht="13.8" hidden="false" customHeight="false" outlineLevel="0" collapsed="false">
      <c r="AA603" s="7" t="n">
        <f aca="false">AA602+1</f>
        <v>41509</v>
      </c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</row>
    <row r="604" customFormat="false" ht="13.8" hidden="false" customHeight="false" outlineLevel="0" collapsed="false">
      <c r="AA604" s="7" t="n">
        <f aca="false">AA603+1</f>
        <v>41510</v>
      </c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</row>
    <row r="605" customFormat="false" ht="13.8" hidden="false" customHeight="false" outlineLevel="0" collapsed="false">
      <c r="AA605" s="7" t="n">
        <f aca="false">AA604+1</f>
        <v>41511</v>
      </c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</row>
    <row r="606" customFormat="false" ht="13.8" hidden="false" customHeight="false" outlineLevel="0" collapsed="false">
      <c r="AA606" s="7" t="n">
        <f aca="false">AA605+1</f>
        <v>41512</v>
      </c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</row>
    <row r="607" customFormat="false" ht="13.8" hidden="false" customHeight="false" outlineLevel="0" collapsed="false">
      <c r="AA607" s="7" t="n">
        <f aca="false">AA606+1</f>
        <v>41513</v>
      </c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</row>
    <row r="608" customFormat="false" ht="13.8" hidden="false" customHeight="false" outlineLevel="0" collapsed="false">
      <c r="AA608" s="7" t="n">
        <f aca="false">AA607+1</f>
        <v>41514</v>
      </c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</row>
    <row r="609" customFormat="false" ht="13.8" hidden="false" customHeight="false" outlineLevel="0" collapsed="false">
      <c r="AA609" s="7" t="n">
        <f aca="false">AA608+1</f>
        <v>41515</v>
      </c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</row>
    <row r="610" customFormat="false" ht="13.8" hidden="false" customHeight="false" outlineLevel="0" collapsed="false">
      <c r="AA610" s="7" t="n">
        <f aca="false">AA609+1</f>
        <v>41516</v>
      </c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</row>
    <row r="611" customFormat="false" ht="13.8" hidden="false" customHeight="false" outlineLevel="0" collapsed="false">
      <c r="AA611" s="7" t="n">
        <f aca="false">AA610+1</f>
        <v>41517</v>
      </c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</row>
    <row r="612" customFormat="false" ht="13.8" hidden="false" customHeight="false" outlineLevel="0" collapsed="false">
      <c r="AA612" s="7" t="n">
        <f aca="false">AA611+1</f>
        <v>41518</v>
      </c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</row>
    <row r="613" customFormat="false" ht="13.8" hidden="false" customHeight="false" outlineLevel="0" collapsed="false">
      <c r="AA613" s="7" t="n">
        <f aca="false">AA612+1</f>
        <v>41519</v>
      </c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</row>
    <row r="614" customFormat="false" ht="13.8" hidden="false" customHeight="false" outlineLevel="0" collapsed="false">
      <c r="AA614" s="7" t="n">
        <f aca="false">AA613+1</f>
        <v>41520</v>
      </c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</row>
    <row r="615" customFormat="false" ht="13.8" hidden="false" customHeight="false" outlineLevel="0" collapsed="false">
      <c r="AA615" s="7" t="n">
        <f aca="false">AA614+1</f>
        <v>41521</v>
      </c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</row>
    <row r="616" customFormat="false" ht="13.8" hidden="false" customHeight="false" outlineLevel="0" collapsed="false">
      <c r="AA616" s="7" t="n">
        <f aca="false">AA615+1</f>
        <v>41522</v>
      </c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</row>
    <row r="617" customFormat="false" ht="13.8" hidden="false" customHeight="false" outlineLevel="0" collapsed="false">
      <c r="AA617" s="7" t="n">
        <f aca="false">AA616+1</f>
        <v>41523</v>
      </c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</row>
    <row r="618" customFormat="false" ht="13.8" hidden="false" customHeight="false" outlineLevel="0" collapsed="false">
      <c r="AA618" s="7" t="n">
        <f aca="false">AA617+1</f>
        <v>41524</v>
      </c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</row>
    <row r="619" customFormat="false" ht="13.8" hidden="false" customHeight="false" outlineLevel="0" collapsed="false">
      <c r="AA619" s="7" t="n">
        <f aca="false">AA618+1</f>
        <v>41525</v>
      </c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</row>
    <row r="620" customFormat="false" ht="13.8" hidden="false" customHeight="false" outlineLevel="0" collapsed="false">
      <c r="AA620" s="7" t="n">
        <f aca="false">AA619+1</f>
        <v>41526</v>
      </c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</row>
    <row r="621" customFormat="false" ht="13.8" hidden="false" customHeight="false" outlineLevel="0" collapsed="false">
      <c r="AA621" s="7" t="n">
        <f aca="false">AA620+1</f>
        <v>41527</v>
      </c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</row>
    <row r="622" customFormat="false" ht="13.8" hidden="false" customHeight="false" outlineLevel="0" collapsed="false">
      <c r="AA622" s="7" t="n">
        <f aca="false">AA621+1</f>
        <v>41528</v>
      </c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</row>
    <row r="623" customFormat="false" ht="13.8" hidden="false" customHeight="false" outlineLevel="0" collapsed="false">
      <c r="AA623" s="7" t="n">
        <f aca="false">AA622+1</f>
        <v>41529</v>
      </c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</row>
    <row r="624" customFormat="false" ht="13.8" hidden="false" customHeight="false" outlineLevel="0" collapsed="false">
      <c r="AA624" s="7" t="n">
        <f aca="false">AA623+1</f>
        <v>41530</v>
      </c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</row>
    <row r="625" customFormat="false" ht="13.8" hidden="false" customHeight="false" outlineLevel="0" collapsed="false">
      <c r="AA625" s="7" t="n">
        <f aca="false">AA624+1</f>
        <v>41531</v>
      </c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</row>
    <row r="626" customFormat="false" ht="13.8" hidden="false" customHeight="false" outlineLevel="0" collapsed="false">
      <c r="AA626" s="7" t="n">
        <f aca="false">AA625+1</f>
        <v>41532</v>
      </c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</row>
    <row r="627" customFormat="false" ht="13.8" hidden="false" customHeight="false" outlineLevel="0" collapsed="false">
      <c r="AA627" s="7" t="n">
        <f aca="false">AA626+1</f>
        <v>41533</v>
      </c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</row>
    <row r="628" customFormat="false" ht="13.8" hidden="false" customHeight="false" outlineLevel="0" collapsed="false">
      <c r="AA628" s="7" t="n">
        <f aca="false">AA627+1</f>
        <v>41534</v>
      </c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</row>
    <row r="629" customFormat="false" ht="13.8" hidden="false" customHeight="false" outlineLevel="0" collapsed="false">
      <c r="AA629" s="7" t="n">
        <f aca="false">AA628+1</f>
        <v>41535</v>
      </c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</row>
    <row r="630" customFormat="false" ht="13.8" hidden="false" customHeight="false" outlineLevel="0" collapsed="false">
      <c r="AA630" s="7" t="n">
        <f aca="false">AA629+1</f>
        <v>41536</v>
      </c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</row>
    <row r="631" customFormat="false" ht="13.8" hidden="false" customHeight="false" outlineLevel="0" collapsed="false">
      <c r="AA631" s="7" t="n">
        <f aca="false">AA630+1</f>
        <v>41537</v>
      </c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</row>
    <row r="632" customFormat="false" ht="13.8" hidden="false" customHeight="false" outlineLevel="0" collapsed="false">
      <c r="AA632" s="7" t="n">
        <f aca="false">AA631+1</f>
        <v>41538</v>
      </c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</row>
    <row r="633" customFormat="false" ht="13.8" hidden="false" customHeight="false" outlineLevel="0" collapsed="false">
      <c r="AA633" s="7" t="n">
        <f aca="false">AA632+1</f>
        <v>41539</v>
      </c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</row>
    <row r="634" customFormat="false" ht="13.8" hidden="false" customHeight="false" outlineLevel="0" collapsed="false">
      <c r="AA634" s="7" t="n">
        <f aca="false">AA633+1</f>
        <v>41540</v>
      </c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</row>
    <row r="635" customFormat="false" ht="13.8" hidden="false" customHeight="false" outlineLevel="0" collapsed="false">
      <c r="AA635" s="7" t="n">
        <f aca="false">AA634+1</f>
        <v>41541</v>
      </c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</row>
    <row r="636" customFormat="false" ht="13.8" hidden="false" customHeight="false" outlineLevel="0" collapsed="false">
      <c r="AA636" s="7" t="n">
        <f aca="false">AA635+1</f>
        <v>41542</v>
      </c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</row>
    <row r="637" customFormat="false" ht="13.8" hidden="false" customHeight="false" outlineLevel="0" collapsed="false">
      <c r="AA637" s="7" t="n">
        <f aca="false">AA636+1</f>
        <v>41543</v>
      </c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</row>
    <row r="638" customFormat="false" ht="13.8" hidden="false" customHeight="false" outlineLevel="0" collapsed="false">
      <c r="AA638" s="7" t="n">
        <f aca="false">AA637+1</f>
        <v>41544</v>
      </c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</row>
    <row r="639" customFormat="false" ht="13.8" hidden="false" customHeight="false" outlineLevel="0" collapsed="false">
      <c r="AA639" s="7" t="n">
        <f aca="false">AA638+1</f>
        <v>41545</v>
      </c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</row>
    <row r="640" customFormat="false" ht="13.8" hidden="false" customHeight="false" outlineLevel="0" collapsed="false">
      <c r="AA640" s="7" t="n">
        <f aca="false">AA639+1</f>
        <v>41546</v>
      </c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</row>
    <row r="641" customFormat="false" ht="13.8" hidden="false" customHeight="false" outlineLevel="0" collapsed="false">
      <c r="AA641" s="7" t="n">
        <f aca="false">AA640+1</f>
        <v>41547</v>
      </c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</row>
    <row r="642" customFormat="false" ht="13.8" hidden="false" customHeight="false" outlineLevel="0" collapsed="false">
      <c r="AA642" s="7" t="n">
        <f aca="false">AA641+1</f>
        <v>41548</v>
      </c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</row>
    <row r="643" customFormat="false" ht="13.8" hidden="false" customHeight="false" outlineLevel="0" collapsed="false">
      <c r="AA643" s="7" t="n">
        <f aca="false">AA642+1</f>
        <v>41549</v>
      </c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</row>
    <row r="644" customFormat="false" ht="13.8" hidden="false" customHeight="false" outlineLevel="0" collapsed="false">
      <c r="AA644" s="7" t="n">
        <f aca="false">AA643+1</f>
        <v>41550</v>
      </c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</row>
    <row r="645" customFormat="false" ht="13.8" hidden="false" customHeight="false" outlineLevel="0" collapsed="false">
      <c r="AA645" s="7" t="n">
        <f aca="false">AA644+1</f>
        <v>41551</v>
      </c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</row>
    <row r="646" customFormat="false" ht="13.8" hidden="false" customHeight="false" outlineLevel="0" collapsed="false">
      <c r="AA646" s="7" t="n">
        <f aca="false">AA645+1</f>
        <v>41552</v>
      </c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</row>
    <row r="647" customFormat="false" ht="13.8" hidden="false" customHeight="false" outlineLevel="0" collapsed="false">
      <c r="AA647" s="7" t="n">
        <f aca="false">AA646+1</f>
        <v>41553</v>
      </c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</row>
    <row r="648" customFormat="false" ht="13.8" hidden="false" customHeight="false" outlineLevel="0" collapsed="false">
      <c r="AA648" s="7" t="n">
        <f aca="false">AA647+1</f>
        <v>41554</v>
      </c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</row>
    <row r="649" customFormat="false" ht="13.8" hidden="false" customHeight="false" outlineLevel="0" collapsed="false">
      <c r="AA649" s="7" t="n">
        <f aca="false">AA648+1</f>
        <v>41555</v>
      </c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</row>
    <row r="650" customFormat="false" ht="13.8" hidden="false" customHeight="false" outlineLevel="0" collapsed="false">
      <c r="AA650" s="7" t="n">
        <f aca="false">AA649+1</f>
        <v>41556</v>
      </c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</row>
    <row r="651" customFormat="false" ht="13.8" hidden="false" customHeight="false" outlineLevel="0" collapsed="false">
      <c r="AA651" s="7" t="n">
        <f aca="false">AA650+1</f>
        <v>41557</v>
      </c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</row>
    <row r="652" customFormat="false" ht="13.8" hidden="false" customHeight="false" outlineLevel="0" collapsed="false">
      <c r="AA652" s="7" t="n">
        <f aca="false">AA651+1</f>
        <v>41558</v>
      </c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</row>
    <row r="653" customFormat="false" ht="13.8" hidden="false" customHeight="false" outlineLevel="0" collapsed="false">
      <c r="AA653" s="7" t="n">
        <f aca="false">AA652+1</f>
        <v>41559</v>
      </c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</row>
    <row r="654" customFormat="false" ht="13.8" hidden="false" customHeight="false" outlineLevel="0" collapsed="false">
      <c r="AA654" s="7" t="n">
        <f aca="false">AA653+1</f>
        <v>41560</v>
      </c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</row>
    <row r="655" customFormat="false" ht="13.8" hidden="false" customHeight="false" outlineLevel="0" collapsed="false">
      <c r="AA655" s="7" t="n">
        <f aca="false">AA654+1</f>
        <v>41561</v>
      </c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</row>
    <row r="656" customFormat="false" ht="13.8" hidden="false" customHeight="false" outlineLevel="0" collapsed="false">
      <c r="AA656" s="7" t="n">
        <f aca="false">AA655+1</f>
        <v>41562</v>
      </c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</row>
    <row r="657" customFormat="false" ht="13.8" hidden="false" customHeight="false" outlineLevel="0" collapsed="false">
      <c r="AA657" s="7" t="n">
        <f aca="false">AA656+1</f>
        <v>41563</v>
      </c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</row>
    <row r="658" customFormat="false" ht="13.8" hidden="false" customHeight="false" outlineLevel="0" collapsed="false">
      <c r="AA658" s="7" t="n">
        <f aca="false">AA657+1</f>
        <v>41564</v>
      </c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</row>
    <row r="659" customFormat="false" ht="13.8" hidden="false" customHeight="false" outlineLevel="0" collapsed="false">
      <c r="AA659" s="7" t="n">
        <f aca="false">AA658+1</f>
        <v>41565</v>
      </c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</row>
    <row r="660" customFormat="false" ht="13.8" hidden="false" customHeight="false" outlineLevel="0" collapsed="false">
      <c r="AA660" s="7" t="n">
        <f aca="false">AA659+1</f>
        <v>41566</v>
      </c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</row>
    <row r="661" customFormat="false" ht="13.8" hidden="false" customHeight="false" outlineLevel="0" collapsed="false">
      <c r="AA661" s="7" t="n">
        <f aca="false">AA660+1</f>
        <v>41567</v>
      </c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</row>
    <row r="662" customFormat="false" ht="13.8" hidden="false" customHeight="false" outlineLevel="0" collapsed="false">
      <c r="AA662" s="7" t="n">
        <f aca="false">AA661+1</f>
        <v>41568</v>
      </c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</row>
    <row r="663" customFormat="false" ht="13.8" hidden="false" customHeight="false" outlineLevel="0" collapsed="false">
      <c r="AA663" s="7" t="n">
        <f aca="false">AA662+1</f>
        <v>41569</v>
      </c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</row>
    <row r="664" customFormat="false" ht="13.8" hidden="false" customHeight="false" outlineLevel="0" collapsed="false">
      <c r="AA664" s="7" t="n">
        <f aca="false">AA663+1</f>
        <v>41570</v>
      </c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</row>
    <row r="665" customFormat="false" ht="13.8" hidden="false" customHeight="false" outlineLevel="0" collapsed="false">
      <c r="AA665" s="7" t="n">
        <f aca="false">AA664+1</f>
        <v>41571</v>
      </c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</row>
    <row r="666" customFormat="false" ht="13.8" hidden="false" customHeight="false" outlineLevel="0" collapsed="false">
      <c r="AA666" s="7" t="n">
        <f aca="false">AA665+1</f>
        <v>41572</v>
      </c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</row>
    <row r="667" customFormat="false" ht="13.8" hidden="false" customHeight="false" outlineLevel="0" collapsed="false">
      <c r="AA667" s="7" t="n">
        <f aca="false">AA666+1</f>
        <v>41573</v>
      </c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</row>
    <row r="668" customFormat="false" ht="13.8" hidden="false" customHeight="false" outlineLevel="0" collapsed="false">
      <c r="AA668" s="7" t="n">
        <f aca="false">AA667+1</f>
        <v>41574</v>
      </c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</row>
    <row r="669" customFormat="false" ht="13.8" hidden="false" customHeight="false" outlineLevel="0" collapsed="false">
      <c r="AA669" s="7" t="n">
        <f aca="false">AA668+1</f>
        <v>41575</v>
      </c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</row>
    <row r="670" customFormat="false" ht="13.8" hidden="false" customHeight="false" outlineLevel="0" collapsed="false">
      <c r="AA670" s="7" t="n">
        <f aca="false">AA669+1</f>
        <v>41576</v>
      </c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</row>
    <row r="671" customFormat="false" ht="13.8" hidden="false" customHeight="false" outlineLevel="0" collapsed="false">
      <c r="AA671" s="7" t="n">
        <f aca="false">AA670+1</f>
        <v>41577</v>
      </c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</row>
    <row r="672" customFormat="false" ht="13.8" hidden="false" customHeight="false" outlineLevel="0" collapsed="false">
      <c r="AA672" s="7" t="n">
        <f aca="false">AA671+1</f>
        <v>41578</v>
      </c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</row>
    <row r="673" customFormat="false" ht="13.8" hidden="false" customHeight="false" outlineLevel="0" collapsed="false">
      <c r="AA673" s="7" t="n">
        <f aca="false">AA672+1</f>
        <v>41579</v>
      </c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</row>
    <row r="674" customFormat="false" ht="13.8" hidden="false" customHeight="false" outlineLevel="0" collapsed="false">
      <c r="AA674" s="7" t="n">
        <f aca="false">AA673+1</f>
        <v>41580</v>
      </c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</row>
    <row r="675" customFormat="false" ht="13.8" hidden="false" customHeight="false" outlineLevel="0" collapsed="false">
      <c r="AA675" s="7" t="n">
        <f aca="false">AA674+1</f>
        <v>41581</v>
      </c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</row>
    <row r="676" customFormat="false" ht="13.8" hidden="false" customHeight="false" outlineLevel="0" collapsed="false">
      <c r="AA676" s="7" t="n">
        <f aca="false">AA675+1</f>
        <v>41582</v>
      </c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</row>
    <row r="677" customFormat="false" ht="13.8" hidden="false" customHeight="false" outlineLevel="0" collapsed="false">
      <c r="AA677" s="7" t="n">
        <f aca="false">AA676+1</f>
        <v>41583</v>
      </c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</row>
    <row r="678" customFormat="false" ht="13.8" hidden="false" customHeight="false" outlineLevel="0" collapsed="false">
      <c r="AA678" s="7" t="n">
        <f aca="false">AA677+1</f>
        <v>41584</v>
      </c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</row>
    <row r="679" customFormat="false" ht="13.8" hidden="false" customHeight="false" outlineLevel="0" collapsed="false">
      <c r="AA679" s="7" t="n">
        <f aca="false">AA678+1</f>
        <v>41585</v>
      </c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</row>
    <row r="680" customFormat="false" ht="13.8" hidden="false" customHeight="false" outlineLevel="0" collapsed="false">
      <c r="AA680" s="7" t="n">
        <f aca="false">AA679+1</f>
        <v>41586</v>
      </c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</row>
    <row r="681" customFormat="false" ht="13.8" hidden="false" customHeight="false" outlineLevel="0" collapsed="false">
      <c r="AA681" s="7" t="n">
        <f aca="false">AA680+1</f>
        <v>41587</v>
      </c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</row>
    <row r="682" customFormat="false" ht="13.8" hidden="false" customHeight="false" outlineLevel="0" collapsed="false">
      <c r="AA682" s="7" t="n">
        <f aca="false">AA681+1</f>
        <v>41588</v>
      </c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</row>
    <row r="683" customFormat="false" ht="13.8" hidden="false" customHeight="false" outlineLevel="0" collapsed="false">
      <c r="AA683" s="7" t="n">
        <f aca="false">AA682+1</f>
        <v>41589</v>
      </c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</row>
    <row r="684" customFormat="false" ht="13.8" hidden="false" customHeight="false" outlineLevel="0" collapsed="false">
      <c r="AA684" s="7" t="n">
        <f aca="false">AA683+1</f>
        <v>41590</v>
      </c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</row>
    <row r="685" customFormat="false" ht="13.8" hidden="false" customHeight="false" outlineLevel="0" collapsed="false">
      <c r="AA685" s="7" t="n">
        <f aca="false">AA684+1</f>
        <v>41591</v>
      </c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</row>
    <row r="686" customFormat="false" ht="13.8" hidden="false" customHeight="false" outlineLevel="0" collapsed="false">
      <c r="AA686" s="7" t="n">
        <f aca="false">AA685+1</f>
        <v>41592</v>
      </c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</row>
    <row r="687" customFormat="false" ht="13.8" hidden="false" customHeight="false" outlineLevel="0" collapsed="false">
      <c r="AA687" s="7" t="n">
        <f aca="false">AA686+1</f>
        <v>41593</v>
      </c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</row>
    <row r="688" customFormat="false" ht="13.8" hidden="false" customHeight="false" outlineLevel="0" collapsed="false">
      <c r="AA688" s="7" t="n">
        <f aca="false">AA687+1</f>
        <v>41594</v>
      </c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</row>
    <row r="689" customFormat="false" ht="13.8" hidden="false" customHeight="false" outlineLevel="0" collapsed="false">
      <c r="AA689" s="7" t="n">
        <f aca="false">AA688+1</f>
        <v>41595</v>
      </c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</row>
    <row r="690" customFormat="false" ht="13.8" hidden="false" customHeight="false" outlineLevel="0" collapsed="false">
      <c r="AA690" s="7" t="n">
        <f aca="false">AA689+1</f>
        <v>41596</v>
      </c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</row>
    <row r="691" customFormat="false" ht="13.8" hidden="false" customHeight="false" outlineLevel="0" collapsed="false">
      <c r="AA691" s="7" t="n">
        <f aca="false">AA690+1</f>
        <v>41597</v>
      </c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</row>
    <row r="692" customFormat="false" ht="13.8" hidden="false" customHeight="false" outlineLevel="0" collapsed="false">
      <c r="AA692" s="7" t="n">
        <f aca="false">AA691+1</f>
        <v>41598</v>
      </c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</row>
    <row r="693" customFormat="false" ht="13.8" hidden="false" customHeight="false" outlineLevel="0" collapsed="false">
      <c r="AA693" s="7" t="n">
        <f aca="false">AA692+1</f>
        <v>41599</v>
      </c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</row>
    <row r="694" customFormat="false" ht="13.8" hidden="false" customHeight="false" outlineLevel="0" collapsed="false">
      <c r="AA694" s="7" t="n">
        <f aca="false">AA693+1</f>
        <v>41600</v>
      </c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</row>
    <row r="695" customFormat="false" ht="13.8" hidden="false" customHeight="false" outlineLevel="0" collapsed="false">
      <c r="AA695" s="7" t="n">
        <f aca="false">AA694+1</f>
        <v>41601</v>
      </c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</row>
    <row r="696" customFormat="false" ht="13.8" hidden="false" customHeight="false" outlineLevel="0" collapsed="false">
      <c r="AA696" s="7" t="n">
        <f aca="false">AA695+1</f>
        <v>41602</v>
      </c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</row>
    <row r="697" customFormat="false" ht="13.8" hidden="false" customHeight="false" outlineLevel="0" collapsed="false">
      <c r="AA697" s="7" t="n">
        <f aca="false">AA696+1</f>
        <v>41603</v>
      </c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</row>
    <row r="698" customFormat="false" ht="13.8" hidden="false" customHeight="false" outlineLevel="0" collapsed="false">
      <c r="AA698" s="7" t="n">
        <f aca="false">AA697+1</f>
        <v>41604</v>
      </c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</row>
    <row r="699" customFormat="false" ht="13.8" hidden="false" customHeight="false" outlineLevel="0" collapsed="false">
      <c r="AA699" s="7" t="n">
        <f aca="false">AA698+1</f>
        <v>41605</v>
      </c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</row>
    <row r="700" customFormat="false" ht="13.8" hidden="false" customHeight="false" outlineLevel="0" collapsed="false">
      <c r="AA700" s="7" t="n">
        <f aca="false">AA699+1</f>
        <v>41606</v>
      </c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</row>
    <row r="701" customFormat="false" ht="13.8" hidden="false" customHeight="false" outlineLevel="0" collapsed="false">
      <c r="AA701" s="7" t="n">
        <f aca="false">AA700+1</f>
        <v>41607</v>
      </c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</row>
    <row r="702" customFormat="false" ht="13.8" hidden="false" customHeight="false" outlineLevel="0" collapsed="false">
      <c r="AA702" s="7" t="n">
        <f aca="false">AA701+1</f>
        <v>41608</v>
      </c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</row>
    <row r="703" customFormat="false" ht="13.8" hidden="false" customHeight="false" outlineLevel="0" collapsed="false">
      <c r="AA703" s="7" t="n">
        <f aca="false">AA702+1</f>
        <v>41609</v>
      </c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</row>
    <row r="704" customFormat="false" ht="13.8" hidden="false" customHeight="false" outlineLevel="0" collapsed="false">
      <c r="AA704" s="7" t="n">
        <f aca="false">AA703+1</f>
        <v>41610</v>
      </c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</row>
    <row r="705" customFormat="false" ht="13.8" hidden="false" customHeight="false" outlineLevel="0" collapsed="false">
      <c r="AA705" s="7" t="n">
        <f aca="false">AA704+1</f>
        <v>41611</v>
      </c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</row>
    <row r="706" customFormat="false" ht="13.8" hidden="false" customHeight="false" outlineLevel="0" collapsed="false">
      <c r="AA706" s="7" t="n">
        <f aca="false">AA705+1</f>
        <v>41612</v>
      </c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</row>
    <row r="707" customFormat="false" ht="13.8" hidden="false" customHeight="false" outlineLevel="0" collapsed="false">
      <c r="AA707" s="7" t="n">
        <f aca="false">AA706+1</f>
        <v>41613</v>
      </c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</row>
    <row r="708" customFormat="false" ht="13.8" hidden="false" customHeight="false" outlineLevel="0" collapsed="false">
      <c r="AA708" s="7" t="n">
        <f aca="false">AA707+1</f>
        <v>41614</v>
      </c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</row>
    <row r="709" customFormat="false" ht="13.8" hidden="false" customHeight="false" outlineLevel="0" collapsed="false">
      <c r="AA709" s="7" t="n">
        <f aca="false">AA708+1</f>
        <v>41615</v>
      </c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</row>
    <row r="710" customFormat="false" ht="13.8" hidden="false" customHeight="false" outlineLevel="0" collapsed="false">
      <c r="AA710" s="7" t="n">
        <f aca="false">AA709+1</f>
        <v>41616</v>
      </c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</row>
    <row r="711" customFormat="false" ht="13.8" hidden="false" customHeight="false" outlineLevel="0" collapsed="false">
      <c r="AA711" s="7" t="n">
        <f aca="false">AA710+1</f>
        <v>41617</v>
      </c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</row>
    <row r="712" customFormat="false" ht="13.8" hidden="false" customHeight="false" outlineLevel="0" collapsed="false">
      <c r="AA712" s="7" t="n">
        <f aca="false">AA711+1</f>
        <v>41618</v>
      </c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</row>
    <row r="713" customFormat="false" ht="13.8" hidden="false" customHeight="false" outlineLevel="0" collapsed="false">
      <c r="AA713" s="7" t="n">
        <f aca="false">AA712+1</f>
        <v>41619</v>
      </c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</row>
    <row r="714" customFormat="false" ht="13.8" hidden="false" customHeight="false" outlineLevel="0" collapsed="false">
      <c r="AA714" s="7" t="n">
        <f aca="false">AA713+1</f>
        <v>41620</v>
      </c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</row>
    <row r="715" customFormat="false" ht="13.8" hidden="false" customHeight="false" outlineLevel="0" collapsed="false">
      <c r="AA715" s="7" t="n">
        <f aca="false">AA714+1</f>
        <v>41621</v>
      </c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</row>
    <row r="716" customFormat="false" ht="13.8" hidden="false" customHeight="false" outlineLevel="0" collapsed="false">
      <c r="AA716" s="7" t="n">
        <f aca="false">AA715+1</f>
        <v>41622</v>
      </c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</row>
    <row r="717" customFormat="false" ht="13.8" hidden="false" customHeight="false" outlineLevel="0" collapsed="false">
      <c r="AA717" s="7" t="n">
        <f aca="false">AA716+1</f>
        <v>41623</v>
      </c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</row>
    <row r="718" customFormat="false" ht="13.8" hidden="false" customHeight="false" outlineLevel="0" collapsed="false">
      <c r="AA718" s="7" t="n">
        <f aca="false">AA717+1</f>
        <v>41624</v>
      </c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</row>
    <row r="719" customFormat="false" ht="13.8" hidden="false" customHeight="false" outlineLevel="0" collapsed="false">
      <c r="AA719" s="7" t="n">
        <f aca="false">AA718+1</f>
        <v>41625</v>
      </c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</row>
    <row r="720" customFormat="false" ht="13.8" hidden="false" customHeight="false" outlineLevel="0" collapsed="false">
      <c r="AA720" s="7" t="n">
        <f aca="false">AA719+1</f>
        <v>41626</v>
      </c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</row>
    <row r="721" customFormat="false" ht="13.8" hidden="false" customHeight="false" outlineLevel="0" collapsed="false">
      <c r="AA721" s="7" t="n">
        <f aca="false">AA720+1</f>
        <v>41627</v>
      </c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</row>
    <row r="722" customFormat="false" ht="13.8" hidden="false" customHeight="false" outlineLevel="0" collapsed="false">
      <c r="AA722" s="7" t="n">
        <f aca="false">AA721+1</f>
        <v>41628</v>
      </c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</row>
    <row r="723" customFormat="false" ht="13.8" hidden="false" customHeight="false" outlineLevel="0" collapsed="false">
      <c r="AA723" s="7" t="n">
        <f aca="false">AA722+1</f>
        <v>41629</v>
      </c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</row>
    <row r="724" customFormat="false" ht="13.8" hidden="false" customHeight="false" outlineLevel="0" collapsed="false">
      <c r="AA724" s="7" t="n">
        <f aca="false">AA723+1</f>
        <v>41630</v>
      </c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</row>
    <row r="725" customFormat="false" ht="13.8" hidden="false" customHeight="false" outlineLevel="0" collapsed="false">
      <c r="AA725" s="7" t="n">
        <f aca="false">AA724+1</f>
        <v>41631</v>
      </c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</row>
    <row r="726" customFormat="false" ht="13.8" hidden="false" customHeight="false" outlineLevel="0" collapsed="false">
      <c r="AA726" s="7" t="n">
        <f aca="false">AA725+1</f>
        <v>41632</v>
      </c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</row>
    <row r="727" customFormat="false" ht="13.8" hidden="false" customHeight="false" outlineLevel="0" collapsed="false">
      <c r="AA727" s="7" t="n">
        <f aca="false">AA726+1</f>
        <v>41633</v>
      </c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</row>
    <row r="728" customFormat="false" ht="13.8" hidden="false" customHeight="false" outlineLevel="0" collapsed="false">
      <c r="AA728" s="7" t="n">
        <f aca="false">AA727+1</f>
        <v>41634</v>
      </c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</row>
    <row r="729" customFormat="false" ht="13.8" hidden="false" customHeight="false" outlineLevel="0" collapsed="false">
      <c r="AA729" s="7" t="n">
        <f aca="false">AA728+1</f>
        <v>41635</v>
      </c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</row>
    <row r="730" customFormat="false" ht="13.8" hidden="false" customHeight="false" outlineLevel="0" collapsed="false">
      <c r="AA730" s="7" t="n">
        <f aca="false">AA729+1</f>
        <v>41636</v>
      </c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</row>
    <row r="731" customFormat="false" ht="13.8" hidden="false" customHeight="false" outlineLevel="0" collapsed="false">
      <c r="AA731" s="7" t="n">
        <f aca="false">AA730+1</f>
        <v>41637</v>
      </c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</row>
    <row r="732" customFormat="false" ht="13.8" hidden="false" customHeight="false" outlineLevel="0" collapsed="false">
      <c r="AA732" s="7" t="n">
        <f aca="false">AA731+1</f>
        <v>41638</v>
      </c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</row>
    <row r="733" customFormat="false" ht="13.8" hidden="false" customHeight="false" outlineLevel="0" collapsed="false">
      <c r="AA733" s="7" t="n">
        <f aca="false">AA732+1</f>
        <v>41639</v>
      </c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</row>
    <row r="734" customFormat="false" ht="13.8" hidden="false" customHeight="false" outlineLevel="0" collapsed="false">
      <c r="AA734" s="7" t="n">
        <f aca="false">AA733+1</f>
        <v>41640</v>
      </c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</row>
    <row r="735" customFormat="false" ht="13.8" hidden="false" customHeight="false" outlineLevel="0" collapsed="false">
      <c r="AA735" s="7" t="n">
        <f aca="false">AA734+1</f>
        <v>41641</v>
      </c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</row>
    <row r="736" customFormat="false" ht="13.8" hidden="false" customHeight="false" outlineLevel="0" collapsed="false">
      <c r="AA736" s="7" t="n">
        <f aca="false">AA735+1</f>
        <v>41642</v>
      </c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</row>
    <row r="737" customFormat="false" ht="13.8" hidden="false" customHeight="false" outlineLevel="0" collapsed="false">
      <c r="AA737" s="7" t="n">
        <f aca="false">AA736+1</f>
        <v>41643</v>
      </c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</row>
    <row r="738" customFormat="false" ht="13.8" hidden="false" customHeight="false" outlineLevel="0" collapsed="false">
      <c r="AA738" s="7" t="n">
        <f aca="false">AA737+1</f>
        <v>41644</v>
      </c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</row>
    <row r="739" customFormat="false" ht="13.8" hidden="false" customHeight="false" outlineLevel="0" collapsed="false">
      <c r="AA739" s="7" t="n">
        <f aca="false">AA738+1</f>
        <v>41645</v>
      </c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</row>
    <row r="740" customFormat="false" ht="13.8" hidden="false" customHeight="false" outlineLevel="0" collapsed="false">
      <c r="AA740" s="7" t="n">
        <f aca="false">AA739+1</f>
        <v>41646</v>
      </c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</row>
    <row r="741" customFormat="false" ht="13.8" hidden="false" customHeight="false" outlineLevel="0" collapsed="false">
      <c r="AA741" s="7" t="n">
        <f aca="false">AA740+1</f>
        <v>41647</v>
      </c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</row>
    <row r="742" customFormat="false" ht="13.8" hidden="false" customHeight="false" outlineLevel="0" collapsed="false">
      <c r="AA742" s="7" t="n">
        <f aca="false">AA741+1</f>
        <v>41648</v>
      </c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</row>
    <row r="743" customFormat="false" ht="13.8" hidden="false" customHeight="false" outlineLevel="0" collapsed="false">
      <c r="AA743" s="7" t="n">
        <f aca="false">AA742+1</f>
        <v>41649</v>
      </c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</row>
    <row r="744" customFormat="false" ht="13.8" hidden="false" customHeight="false" outlineLevel="0" collapsed="false">
      <c r="AA744" s="7" t="n">
        <f aca="false">AA743+1</f>
        <v>41650</v>
      </c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</row>
    <row r="745" customFormat="false" ht="13.8" hidden="false" customHeight="false" outlineLevel="0" collapsed="false">
      <c r="AA745" s="7" t="n">
        <f aca="false">AA744+1</f>
        <v>41651</v>
      </c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</row>
    <row r="746" customFormat="false" ht="13.8" hidden="false" customHeight="false" outlineLevel="0" collapsed="false">
      <c r="AA746" s="7" t="n">
        <f aca="false">AA745+1</f>
        <v>41652</v>
      </c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</row>
    <row r="747" customFormat="false" ht="13.8" hidden="false" customHeight="false" outlineLevel="0" collapsed="false">
      <c r="AA747" s="7" t="n">
        <f aca="false">AA746+1</f>
        <v>41653</v>
      </c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</row>
    <row r="748" customFormat="false" ht="13.8" hidden="false" customHeight="false" outlineLevel="0" collapsed="false">
      <c r="AA748" s="7" t="n">
        <f aca="false">AA747+1</f>
        <v>41654</v>
      </c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</row>
    <row r="749" customFormat="false" ht="13.8" hidden="false" customHeight="false" outlineLevel="0" collapsed="false">
      <c r="AA749" s="7" t="n">
        <f aca="false">AA748+1</f>
        <v>41655</v>
      </c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</row>
    <row r="750" customFormat="false" ht="13.8" hidden="false" customHeight="false" outlineLevel="0" collapsed="false">
      <c r="AA750" s="7" t="n">
        <f aca="false">AA749+1</f>
        <v>41656</v>
      </c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</row>
    <row r="751" customFormat="false" ht="13.8" hidden="false" customHeight="false" outlineLevel="0" collapsed="false">
      <c r="AA751" s="7" t="n">
        <f aca="false">AA750+1</f>
        <v>41657</v>
      </c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</row>
    <row r="752" customFormat="false" ht="13.8" hidden="false" customHeight="false" outlineLevel="0" collapsed="false">
      <c r="AA752" s="7" t="n">
        <f aca="false">AA751+1</f>
        <v>41658</v>
      </c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</row>
    <row r="753" customFormat="false" ht="13.8" hidden="false" customHeight="false" outlineLevel="0" collapsed="false">
      <c r="AA753" s="7" t="n">
        <f aca="false">AA752+1</f>
        <v>41659</v>
      </c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</row>
    <row r="754" customFormat="false" ht="13.8" hidden="false" customHeight="false" outlineLevel="0" collapsed="false">
      <c r="AA754" s="7" t="n">
        <f aca="false">AA753+1</f>
        <v>41660</v>
      </c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</row>
    <row r="755" customFormat="false" ht="13.8" hidden="false" customHeight="false" outlineLevel="0" collapsed="false">
      <c r="AA755" s="7" t="n">
        <f aca="false">AA754+1</f>
        <v>41661</v>
      </c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</row>
    <row r="756" customFormat="false" ht="13.8" hidden="false" customHeight="false" outlineLevel="0" collapsed="false">
      <c r="AA756" s="7" t="n">
        <f aca="false">AA755+1</f>
        <v>41662</v>
      </c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</row>
    <row r="757" customFormat="false" ht="13.8" hidden="false" customHeight="false" outlineLevel="0" collapsed="false">
      <c r="AA757" s="7" t="n">
        <f aca="false">AA756+1</f>
        <v>41663</v>
      </c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</row>
    <row r="758" customFormat="false" ht="13.8" hidden="false" customHeight="false" outlineLevel="0" collapsed="false">
      <c r="AA758" s="7" t="n">
        <f aca="false">AA757+1</f>
        <v>41664</v>
      </c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</row>
    <row r="759" customFormat="false" ht="13.8" hidden="false" customHeight="false" outlineLevel="0" collapsed="false">
      <c r="AA759" s="7" t="n">
        <f aca="false">AA758+1</f>
        <v>41665</v>
      </c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</row>
    <row r="760" customFormat="false" ht="13.8" hidden="false" customHeight="false" outlineLevel="0" collapsed="false">
      <c r="AA760" s="7" t="n">
        <f aca="false">AA759+1</f>
        <v>41666</v>
      </c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</row>
    <row r="761" customFormat="false" ht="13.8" hidden="false" customHeight="false" outlineLevel="0" collapsed="false">
      <c r="AA761" s="7" t="n">
        <f aca="false">AA760+1</f>
        <v>41667</v>
      </c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</row>
    <row r="762" customFormat="false" ht="13.8" hidden="false" customHeight="false" outlineLevel="0" collapsed="false">
      <c r="AA762" s="7" t="n">
        <f aca="false">AA761+1</f>
        <v>41668</v>
      </c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</row>
    <row r="763" customFormat="false" ht="13.8" hidden="false" customHeight="false" outlineLevel="0" collapsed="false">
      <c r="AA763" s="7" t="n">
        <f aca="false">AA762+1</f>
        <v>41669</v>
      </c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</row>
    <row r="764" customFormat="false" ht="13.8" hidden="false" customHeight="false" outlineLevel="0" collapsed="false">
      <c r="AA764" s="7" t="n">
        <f aca="false">AA763+1</f>
        <v>41670</v>
      </c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</row>
    <row r="765" customFormat="false" ht="13.8" hidden="false" customHeight="false" outlineLevel="0" collapsed="false">
      <c r="AA765" s="7" t="n">
        <f aca="false">AA764+1</f>
        <v>41671</v>
      </c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</row>
    <row r="766" customFormat="false" ht="13.8" hidden="false" customHeight="false" outlineLevel="0" collapsed="false">
      <c r="AA766" s="7" t="n">
        <f aca="false">AA765+1</f>
        <v>41672</v>
      </c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</row>
    <row r="767" customFormat="false" ht="13.8" hidden="false" customHeight="false" outlineLevel="0" collapsed="false">
      <c r="AA767" s="7" t="n">
        <f aca="false">AA766+1</f>
        <v>41673</v>
      </c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</row>
    <row r="768" customFormat="false" ht="13.8" hidden="false" customHeight="false" outlineLevel="0" collapsed="false">
      <c r="AA768" s="7" t="n">
        <f aca="false">AA767+1</f>
        <v>41674</v>
      </c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</row>
    <row r="769" customFormat="false" ht="13.8" hidden="false" customHeight="false" outlineLevel="0" collapsed="false">
      <c r="AA769" s="7" t="n">
        <f aca="false">AA768+1</f>
        <v>41675</v>
      </c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</row>
    <row r="770" customFormat="false" ht="13.8" hidden="false" customHeight="false" outlineLevel="0" collapsed="false">
      <c r="AA770" s="7" t="n">
        <f aca="false">AA769+1</f>
        <v>41676</v>
      </c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</row>
    <row r="771" customFormat="false" ht="13.8" hidden="false" customHeight="false" outlineLevel="0" collapsed="false">
      <c r="AA771" s="7" t="n">
        <f aca="false">AA770+1</f>
        <v>41677</v>
      </c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</row>
    <row r="772" customFormat="false" ht="13.8" hidden="false" customHeight="false" outlineLevel="0" collapsed="false">
      <c r="AA772" s="7" t="n">
        <f aca="false">AA771+1</f>
        <v>41678</v>
      </c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</row>
    <row r="773" customFormat="false" ht="13.8" hidden="false" customHeight="false" outlineLevel="0" collapsed="false">
      <c r="AA773" s="7" t="n">
        <f aca="false">AA772+1</f>
        <v>41679</v>
      </c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</row>
    <row r="774" customFormat="false" ht="13.8" hidden="false" customHeight="false" outlineLevel="0" collapsed="false">
      <c r="AA774" s="7" t="n">
        <f aca="false">AA773+1</f>
        <v>41680</v>
      </c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</row>
    <row r="775" customFormat="false" ht="13.8" hidden="false" customHeight="false" outlineLevel="0" collapsed="false">
      <c r="AA775" s="7" t="n">
        <f aca="false">AA774+1</f>
        <v>41681</v>
      </c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</row>
    <row r="776" customFormat="false" ht="13.8" hidden="false" customHeight="false" outlineLevel="0" collapsed="false">
      <c r="AA776" s="7" t="n">
        <f aca="false">AA775+1</f>
        <v>41682</v>
      </c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</row>
    <row r="777" customFormat="false" ht="13.8" hidden="false" customHeight="false" outlineLevel="0" collapsed="false">
      <c r="AA777" s="7" t="n">
        <f aca="false">AA776+1</f>
        <v>41683</v>
      </c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</row>
    <row r="778" customFormat="false" ht="13.8" hidden="false" customHeight="false" outlineLevel="0" collapsed="false">
      <c r="AA778" s="7" t="n">
        <f aca="false">AA777+1</f>
        <v>41684</v>
      </c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</row>
    <row r="779" customFormat="false" ht="13.8" hidden="false" customHeight="false" outlineLevel="0" collapsed="false">
      <c r="AA779" s="7" t="n">
        <f aca="false">AA778+1</f>
        <v>41685</v>
      </c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</row>
    <row r="780" customFormat="false" ht="13.8" hidden="false" customHeight="false" outlineLevel="0" collapsed="false">
      <c r="AA780" s="7" t="n">
        <f aca="false">AA779+1</f>
        <v>41686</v>
      </c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</row>
    <row r="781" customFormat="false" ht="13.8" hidden="false" customHeight="false" outlineLevel="0" collapsed="false">
      <c r="AA781" s="7" t="n">
        <f aca="false">AA780+1</f>
        <v>41687</v>
      </c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</row>
    <row r="782" customFormat="false" ht="13.8" hidden="false" customHeight="false" outlineLevel="0" collapsed="false">
      <c r="AA782" s="7" t="n">
        <f aca="false">AA781+1</f>
        <v>41688</v>
      </c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</row>
    <row r="783" customFormat="false" ht="13.8" hidden="false" customHeight="false" outlineLevel="0" collapsed="false">
      <c r="AA783" s="7" t="n">
        <f aca="false">AA782+1</f>
        <v>41689</v>
      </c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</row>
    <row r="784" customFormat="false" ht="13.8" hidden="false" customHeight="false" outlineLevel="0" collapsed="false">
      <c r="AA784" s="7" t="n">
        <f aca="false">AA783+1</f>
        <v>41690</v>
      </c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</row>
    <row r="785" customFormat="false" ht="13.8" hidden="false" customHeight="false" outlineLevel="0" collapsed="false">
      <c r="AA785" s="7" t="n">
        <f aca="false">AA784+1</f>
        <v>41691</v>
      </c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</row>
    <row r="786" customFormat="false" ht="13.8" hidden="false" customHeight="false" outlineLevel="0" collapsed="false">
      <c r="AA786" s="7" t="n">
        <f aca="false">AA785+1</f>
        <v>41692</v>
      </c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</row>
    <row r="787" customFormat="false" ht="13.8" hidden="false" customHeight="false" outlineLevel="0" collapsed="false">
      <c r="AA787" s="7" t="n">
        <f aca="false">AA786+1</f>
        <v>41693</v>
      </c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</row>
    <row r="788" customFormat="false" ht="13.8" hidden="false" customHeight="false" outlineLevel="0" collapsed="false">
      <c r="AA788" s="7" t="n">
        <f aca="false">AA787+1</f>
        <v>41694</v>
      </c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</row>
    <row r="789" customFormat="false" ht="13.8" hidden="false" customHeight="false" outlineLevel="0" collapsed="false">
      <c r="AA789" s="7" t="n">
        <f aca="false">AA788+1</f>
        <v>41695</v>
      </c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</row>
    <row r="790" customFormat="false" ht="13.8" hidden="false" customHeight="false" outlineLevel="0" collapsed="false">
      <c r="AA790" s="7" t="n">
        <f aca="false">AA789+1</f>
        <v>41696</v>
      </c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</row>
    <row r="791" customFormat="false" ht="13.8" hidden="false" customHeight="false" outlineLevel="0" collapsed="false">
      <c r="AA791" s="7" t="n">
        <f aca="false">AA790+1</f>
        <v>41697</v>
      </c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</row>
    <row r="792" customFormat="false" ht="13.8" hidden="false" customHeight="false" outlineLevel="0" collapsed="false">
      <c r="AA792" s="7" t="n">
        <f aca="false">AA791+1</f>
        <v>41698</v>
      </c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</row>
    <row r="793" customFormat="false" ht="13.8" hidden="false" customHeight="false" outlineLevel="0" collapsed="false">
      <c r="AA793" s="7" t="n">
        <f aca="false">AA792+1</f>
        <v>41699</v>
      </c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</row>
    <row r="794" customFormat="false" ht="13.8" hidden="false" customHeight="false" outlineLevel="0" collapsed="false">
      <c r="AA794" s="7" t="n">
        <f aca="false">AA793+1</f>
        <v>41700</v>
      </c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</row>
    <row r="795" customFormat="false" ht="13.8" hidden="false" customHeight="false" outlineLevel="0" collapsed="false">
      <c r="AA795" s="7" t="n">
        <f aca="false">AA794+1</f>
        <v>41701</v>
      </c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</row>
    <row r="796" customFormat="false" ht="13.8" hidden="false" customHeight="false" outlineLevel="0" collapsed="false">
      <c r="AA796" s="7" t="n">
        <f aca="false">AA795+1</f>
        <v>41702</v>
      </c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</row>
    <row r="797" customFormat="false" ht="13.8" hidden="false" customHeight="false" outlineLevel="0" collapsed="false">
      <c r="AA797" s="7" t="n">
        <f aca="false">AA796+1</f>
        <v>41703</v>
      </c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</row>
    <row r="798" customFormat="false" ht="13.8" hidden="false" customHeight="false" outlineLevel="0" collapsed="false">
      <c r="AA798" s="7" t="n">
        <f aca="false">AA797+1</f>
        <v>41704</v>
      </c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</row>
    <row r="799" customFormat="false" ht="13.8" hidden="false" customHeight="false" outlineLevel="0" collapsed="false">
      <c r="AA799" s="7" t="n">
        <f aca="false">AA798+1</f>
        <v>41705</v>
      </c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</row>
    <row r="800" customFormat="false" ht="13.8" hidden="false" customHeight="false" outlineLevel="0" collapsed="false">
      <c r="AA800" s="7" t="n">
        <f aca="false">AA799+1</f>
        <v>41706</v>
      </c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</row>
    <row r="801" customFormat="false" ht="13.8" hidden="false" customHeight="false" outlineLevel="0" collapsed="false">
      <c r="AA801" s="7" t="n">
        <f aca="false">AA800+1</f>
        <v>41707</v>
      </c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</row>
    <row r="802" customFormat="false" ht="13.8" hidden="false" customHeight="false" outlineLevel="0" collapsed="false">
      <c r="AA802" s="7" t="n">
        <f aca="false">AA801+1</f>
        <v>41708</v>
      </c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</row>
    <row r="803" customFormat="false" ht="13.8" hidden="false" customHeight="false" outlineLevel="0" collapsed="false">
      <c r="AA803" s="7" t="n">
        <f aca="false">AA802+1</f>
        <v>41709</v>
      </c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</row>
    <row r="804" customFormat="false" ht="13.8" hidden="false" customHeight="false" outlineLevel="0" collapsed="false">
      <c r="AA804" s="7" t="n">
        <f aca="false">AA803+1</f>
        <v>41710</v>
      </c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</row>
    <row r="805" customFormat="false" ht="13.8" hidden="false" customHeight="false" outlineLevel="0" collapsed="false">
      <c r="AA805" s="7" t="n">
        <f aca="false">AA804+1</f>
        <v>41711</v>
      </c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</row>
    <row r="806" customFormat="false" ht="13.8" hidden="false" customHeight="false" outlineLevel="0" collapsed="false">
      <c r="AA806" s="7" t="n">
        <f aca="false">AA805+1</f>
        <v>41712</v>
      </c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</row>
    <row r="807" customFormat="false" ht="13.8" hidden="false" customHeight="false" outlineLevel="0" collapsed="false">
      <c r="AA807" s="7" t="n">
        <f aca="false">AA806+1</f>
        <v>41713</v>
      </c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</row>
    <row r="808" customFormat="false" ht="13.8" hidden="false" customHeight="false" outlineLevel="0" collapsed="false">
      <c r="AA808" s="7" t="n">
        <f aca="false">AA807+1</f>
        <v>41714</v>
      </c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</row>
    <row r="809" customFormat="false" ht="13.8" hidden="false" customHeight="false" outlineLevel="0" collapsed="false">
      <c r="AA809" s="7" t="n">
        <f aca="false">AA808+1</f>
        <v>41715</v>
      </c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</row>
    <row r="810" customFormat="false" ht="13.8" hidden="false" customHeight="false" outlineLevel="0" collapsed="false">
      <c r="AA810" s="7" t="n">
        <f aca="false">AA809+1</f>
        <v>41716</v>
      </c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</row>
    <row r="811" customFormat="false" ht="13.8" hidden="false" customHeight="false" outlineLevel="0" collapsed="false">
      <c r="AA811" s="7" t="n">
        <f aca="false">AA810+1</f>
        <v>41717</v>
      </c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</row>
    <row r="812" customFormat="false" ht="13.8" hidden="false" customHeight="false" outlineLevel="0" collapsed="false">
      <c r="AA812" s="7" t="n">
        <f aca="false">AA811+1</f>
        <v>41718</v>
      </c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</row>
    <row r="813" customFormat="false" ht="13.8" hidden="false" customHeight="false" outlineLevel="0" collapsed="false">
      <c r="AA813" s="7" t="n">
        <f aca="false">AA812+1</f>
        <v>41719</v>
      </c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</row>
    <row r="814" customFormat="false" ht="13.8" hidden="false" customHeight="false" outlineLevel="0" collapsed="false">
      <c r="AA814" s="7" t="n">
        <f aca="false">AA813+1</f>
        <v>41720</v>
      </c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</row>
    <row r="815" customFormat="false" ht="13.8" hidden="false" customHeight="false" outlineLevel="0" collapsed="false">
      <c r="AA815" s="7" t="n">
        <f aca="false">AA814+1</f>
        <v>41721</v>
      </c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</row>
    <row r="816" customFormat="false" ht="13.8" hidden="false" customHeight="false" outlineLevel="0" collapsed="false">
      <c r="AA816" s="7" t="n">
        <f aca="false">AA815+1</f>
        <v>41722</v>
      </c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</row>
    <row r="817" customFormat="false" ht="13.8" hidden="false" customHeight="false" outlineLevel="0" collapsed="false">
      <c r="AA817" s="7" t="n">
        <f aca="false">AA816+1</f>
        <v>41723</v>
      </c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</row>
    <row r="818" customFormat="false" ht="13.8" hidden="false" customHeight="false" outlineLevel="0" collapsed="false">
      <c r="AA818" s="7" t="n">
        <f aca="false">AA817+1</f>
        <v>41724</v>
      </c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</row>
    <row r="819" customFormat="false" ht="13.8" hidden="false" customHeight="false" outlineLevel="0" collapsed="false">
      <c r="AA819" s="7" t="n">
        <f aca="false">AA818+1</f>
        <v>41725</v>
      </c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</row>
    <row r="820" customFormat="false" ht="13.8" hidden="false" customHeight="false" outlineLevel="0" collapsed="false">
      <c r="AA820" s="7" t="n">
        <f aca="false">AA819+1</f>
        <v>41726</v>
      </c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</row>
    <row r="821" customFormat="false" ht="13.8" hidden="false" customHeight="false" outlineLevel="0" collapsed="false">
      <c r="AA821" s="7" t="n">
        <f aca="false">AA820+1</f>
        <v>41727</v>
      </c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</row>
    <row r="822" customFormat="false" ht="13.8" hidden="false" customHeight="false" outlineLevel="0" collapsed="false">
      <c r="AA822" s="7" t="n">
        <f aca="false">AA821+1</f>
        <v>41728</v>
      </c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</row>
    <row r="823" customFormat="false" ht="13.8" hidden="false" customHeight="false" outlineLevel="0" collapsed="false">
      <c r="AA823" s="7" t="n">
        <f aca="false">AA822+1</f>
        <v>41729</v>
      </c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</row>
    <row r="824" customFormat="false" ht="13.8" hidden="false" customHeight="false" outlineLevel="0" collapsed="false">
      <c r="AA824" s="7" t="n">
        <f aca="false">AA823+1</f>
        <v>41730</v>
      </c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</row>
    <row r="825" customFormat="false" ht="13.8" hidden="false" customHeight="false" outlineLevel="0" collapsed="false">
      <c r="AA825" s="7" t="n">
        <f aca="false">AA824+1</f>
        <v>41731</v>
      </c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</row>
    <row r="826" customFormat="false" ht="13.8" hidden="false" customHeight="false" outlineLevel="0" collapsed="false">
      <c r="AA826" s="7" t="n">
        <f aca="false">AA825+1</f>
        <v>41732</v>
      </c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</row>
    <row r="827" customFormat="false" ht="13.8" hidden="false" customHeight="false" outlineLevel="0" collapsed="false">
      <c r="AA827" s="7" t="n">
        <f aca="false">AA826+1</f>
        <v>41733</v>
      </c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</row>
    <row r="828" customFormat="false" ht="13.8" hidden="false" customHeight="false" outlineLevel="0" collapsed="false">
      <c r="AA828" s="7" t="n">
        <f aca="false">AA827+1</f>
        <v>41734</v>
      </c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</row>
    <row r="829" customFormat="false" ht="13.8" hidden="false" customHeight="false" outlineLevel="0" collapsed="false">
      <c r="AA829" s="7" t="n">
        <f aca="false">AA828+1</f>
        <v>41735</v>
      </c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</row>
    <row r="830" customFormat="false" ht="13.8" hidden="false" customHeight="false" outlineLevel="0" collapsed="false">
      <c r="AA830" s="7" t="n">
        <f aca="false">AA829+1</f>
        <v>41736</v>
      </c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</row>
    <row r="831" customFormat="false" ht="13.8" hidden="false" customHeight="false" outlineLevel="0" collapsed="false">
      <c r="AA831" s="7" t="n">
        <f aca="false">AA830+1</f>
        <v>41737</v>
      </c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</row>
    <row r="832" customFormat="false" ht="13.8" hidden="false" customHeight="false" outlineLevel="0" collapsed="false">
      <c r="AA832" s="7" t="n">
        <f aca="false">AA831+1</f>
        <v>41738</v>
      </c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</row>
    <row r="833" customFormat="false" ht="13.8" hidden="false" customHeight="false" outlineLevel="0" collapsed="false">
      <c r="AA833" s="7" t="n">
        <f aca="false">AA832+1</f>
        <v>41739</v>
      </c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</row>
    <row r="834" customFormat="false" ht="13.8" hidden="false" customHeight="false" outlineLevel="0" collapsed="false">
      <c r="AA834" s="7" t="n">
        <f aca="false">AA833+1</f>
        <v>41740</v>
      </c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</row>
    <row r="835" customFormat="false" ht="13.8" hidden="false" customHeight="false" outlineLevel="0" collapsed="false">
      <c r="AA835" s="7" t="n">
        <f aca="false">AA834+1</f>
        <v>41741</v>
      </c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</row>
    <row r="836" customFormat="false" ht="13.8" hidden="false" customHeight="false" outlineLevel="0" collapsed="false">
      <c r="AA836" s="7" t="n">
        <f aca="false">AA835+1</f>
        <v>41742</v>
      </c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</row>
    <row r="837" customFormat="false" ht="13.8" hidden="false" customHeight="false" outlineLevel="0" collapsed="false">
      <c r="AA837" s="7" t="n">
        <f aca="false">AA836+1</f>
        <v>41743</v>
      </c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</row>
    <row r="838" customFormat="false" ht="13.8" hidden="false" customHeight="false" outlineLevel="0" collapsed="false">
      <c r="AA838" s="7" t="n">
        <f aca="false">AA837+1</f>
        <v>41744</v>
      </c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</row>
    <row r="839" customFormat="false" ht="13.8" hidden="false" customHeight="false" outlineLevel="0" collapsed="false">
      <c r="AA839" s="7" t="n">
        <f aca="false">AA838+1</f>
        <v>41745</v>
      </c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</row>
    <row r="840" customFormat="false" ht="13.8" hidden="false" customHeight="false" outlineLevel="0" collapsed="false">
      <c r="AA840" s="7" t="n">
        <f aca="false">AA839+1</f>
        <v>41746</v>
      </c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</row>
    <row r="841" customFormat="false" ht="13.8" hidden="false" customHeight="false" outlineLevel="0" collapsed="false">
      <c r="AA841" s="7" t="n">
        <f aca="false">AA840+1</f>
        <v>41747</v>
      </c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</row>
    <row r="842" customFormat="false" ht="13.8" hidden="false" customHeight="false" outlineLevel="0" collapsed="false">
      <c r="AA842" s="7" t="n">
        <f aca="false">AA841+1</f>
        <v>41748</v>
      </c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</row>
    <row r="843" customFormat="false" ht="13.8" hidden="false" customHeight="false" outlineLevel="0" collapsed="false">
      <c r="AA843" s="7" t="n">
        <f aca="false">AA842+1</f>
        <v>41749</v>
      </c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</row>
    <row r="844" customFormat="false" ht="13.8" hidden="false" customHeight="false" outlineLevel="0" collapsed="false">
      <c r="AA844" s="7" t="n">
        <f aca="false">AA843+1</f>
        <v>41750</v>
      </c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</row>
    <row r="845" customFormat="false" ht="13.8" hidden="false" customHeight="false" outlineLevel="0" collapsed="false">
      <c r="AA845" s="7" t="n">
        <f aca="false">AA844+1</f>
        <v>41751</v>
      </c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</row>
    <row r="846" customFormat="false" ht="13.8" hidden="false" customHeight="false" outlineLevel="0" collapsed="false">
      <c r="AA846" s="7" t="n">
        <f aca="false">AA845+1</f>
        <v>41752</v>
      </c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</row>
    <row r="847" customFormat="false" ht="13.8" hidden="false" customHeight="false" outlineLevel="0" collapsed="false">
      <c r="AA847" s="7" t="n">
        <f aca="false">AA846+1</f>
        <v>41753</v>
      </c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</row>
    <row r="848" customFormat="false" ht="13.8" hidden="false" customHeight="false" outlineLevel="0" collapsed="false">
      <c r="AA848" s="7" t="n">
        <f aca="false">AA847+1</f>
        <v>41754</v>
      </c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</row>
    <row r="849" customFormat="false" ht="13.8" hidden="false" customHeight="false" outlineLevel="0" collapsed="false">
      <c r="AA849" s="7" t="n">
        <f aca="false">AA848+1</f>
        <v>41755</v>
      </c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</row>
    <row r="850" customFormat="false" ht="13.8" hidden="false" customHeight="false" outlineLevel="0" collapsed="false">
      <c r="AA850" s="7" t="n">
        <f aca="false">AA849+1</f>
        <v>41756</v>
      </c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</row>
    <row r="851" customFormat="false" ht="13.8" hidden="false" customHeight="false" outlineLevel="0" collapsed="false">
      <c r="AA851" s="7" t="n">
        <f aca="false">AA850+1</f>
        <v>41757</v>
      </c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</row>
    <row r="852" customFormat="false" ht="13.8" hidden="false" customHeight="false" outlineLevel="0" collapsed="false">
      <c r="AA852" s="7" t="n">
        <f aca="false">AA851+1</f>
        <v>41758</v>
      </c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</row>
    <row r="853" customFormat="false" ht="13.8" hidden="false" customHeight="false" outlineLevel="0" collapsed="false">
      <c r="AA853" s="7" t="n">
        <f aca="false">AA852+1</f>
        <v>41759</v>
      </c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</row>
    <row r="854" customFormat="false" ht="13.8" hidden="false" customHeight="false" outlineLevel="0" collapsed="false">
      <c r="AA854" s="7" t="n">
        <f aca="false">AA853+1</f>
        <v>41760</v>
      </c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</row>
    <row r="855" customFormat="false" ht="13.8" hidden="false" customHeight="false" outlineLevel="0" collapsed="false">
      <c r="AA855" s="7" t="n">
        <f aca="false">AA854+1</f>
        <v>41761</v>
      </c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</row>
    <row r="856" customFormat="false" ht="13.8" hidden="false" customHeight="false" outlineLevel="0" collapsed="false">
      <c r="AA856" s="7" t="n">
        <f aca="false">AA855+1</f>
        <v>41762</v>
      </c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</row>
    <row r="857" customFormat="false" ht="13.8" hidden="false" customHeight="false" outlineLevel="0" collapsed="false">
      <c r="AA857" s="7" t="n">
        <f aca="false">AA856+1</f>
        <v>41763</v>
      </c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</row>
    <row r="858" customFormat="false" ht="13.8" hidden="false" customHeight="false" outlineLevel="0" collapsed="false">
      <c r="AA858" s="7" t="n">
        <f aca="false">AA857+1</f>
        <v>41764</v>
      </c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</row>
    <row r="859" customFormat="false" ht="13.8" hidden="false" customHeight="false" outlineLevel="0" collapsed="false">
      <c r="AA859" s="7" t="n">
        <f aca="false">AA858+1</f>
        <v>41765</v>
      </c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</row>
    <row r="860" customFormat="false" ht="13.8" hidden="false" customHeight="false" outlineLevel="0" collapsed="false">
      <c r="AA860" s="7" t="n">
        <f aca="false">AA859+1</f>
        <v>41766</v>
      </c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</row>
    <row r="861" customFormat="false" ht="13.8" hidden="false" customHeight="false" outlineLevel="0" collapsed="false">
      <c r="AA861" s="7" t="n">
        <f aca="false">AA860+1</f>
        <v>41767</v>
      </c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</row>
    <row r="862" customFormat="false" ht="13.8" hidden="false" customHeight="false" outlineLevel="0" collapsed="false">
      <c r="AA862" s="7" t="n">
        <f aca="false">AA861+1</f>
        <v>41768</v>
      </c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</row>
    <row r="863" customFormat="false" ht="13.8" hidden="false" customHeight="false" outlineLevel="0" collapsed="false">
      <c r="AA863" s="7" t="n">
        <f aca="false">AA862+1</f>
        <v>41769</v>
      </c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</row>
    <row r="864" customFormat="false" ht="13.8" hidden="false" customHeight="false" outlineLevel="0" collapsed="false">
      <c r="AA864" s="7" t="n">
        <f aca="false">AA863+1</f>
        <v>41770</v>
      </c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</row>
    <row r="865" customFormat="false" ht="13.8" hidden="false" customHeight="false" outlineLevel="0" collapsed="false">
      <c r="AA865" s="7" t="n">
        <f aca="false">AA864+1</f>
        <v>41771</v>
      </c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</row>
    <row r="866" customFormat="false" ht="13.8" hidden="false" customHeight="false" outlineLevel="0" collapsed="false">
      <c r="AA866" s="7" t="n">
        <f aca="false">AA865+1</f>
        <v>41772</v>
      </c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</row>
    <row r="867" customFormat="false" ht="13.8" hidden="false" customHeight="false" outlineLevel="0" collapsed="false">
      <c r="AA867" s="7" t="n">
        <f aca="false">AA866+1</f>
        <v>41773</v>
      </c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</row>
    <row r="868" customFormat="false" ht="13.8" hidden="false" customHeight="false" outlineLevel="0" collapsed="false">
      <c r="AA868" s="7" t="n">
        <f aca="false">AA867+1</f>
        <v>41774</v>
      </c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</row>
    <row r="869" customFormat="false" ht="13.8" hidden="false" customHeight="false" outlineLevel="0" collapsed="false">
      <c r="AA869" s="7" t="n">
        <f aca="false">AA868+1</f>
        <v>41775</v>
      </c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</row>
    <row r="870" customFormat="false" ht="13.8" hidden="false" customHeight="false" outlineLevel="0" collapsed="false">
      <c r="AA870" s="7" t="n">
        <f aca="false">AA869+1</f>
        <v>41776</v>
      </c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</row>
    <row r="871" customFormat="false" ht="13.8" hidden="false" customHeight="false" outlineLevel="0" collapsed="false">
      <c r="AA871" s="7" t="n">
        <f aca="false">AA870+1</f>
        <v>41777</v>
      </c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</row>
    <row r="872" customFormat="false" ht="13.8" hidden="false" customHeight="false" outlineLevel="0" collapsed="false">
      <c r="AA872" s="7" t="n">
        <f aca="false">AA871+1</f>
        <v>41778</v>
      </c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</row>
    <row r="873" customFormat="false" ht="13.8" hidden="false" customHeight="false" outlineLevel="0" collapsed="false">
      <c r="AA873" s="7" t="n">
        <f aca="false">AA872+1</f>
        <v>41779</v>
      </c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</row>
    <row r="874" customFormat="false" ht="13.8" hidden="false" customHeight="false" outlineLevel="0" collapsed="false">
      <c r="AA874" s="7" t="n">
        <f aca="false">AA873+1</f>
        <v>41780</v>
      </c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</row>
    <row r="875" customFormat="false" ht="13.8" hidden="false" customHeight="false" outlineLevel="0" collapsed="false">
      <c r="AA875" s="7" t="n">
        <f aca="false">AA874+1</f>
        <v>41781</v>
      </c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</row>
    <row r="876" customFormat="false" ht="13.8" hidden="false" customHeight="false" outlineLevel="0" collapsed="false">
      <c r="AA876" s="7" t="n">
        <f aca="false">AA875+1</f>
        <v>41782</v>
      </c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</row>
    <row r="877" customFormat="false" ht="13.8" hidden="false" customHeight="false" outlineLevel="0" collapsed="false">
      <c r="AA877" s="7" t="n">
        <f aca="false">AA876+1</f>
        <v>41783</v>
      </c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</row>
    <row r="878" customFormat="false" ht="13.8" hidden="false" customHeight="false" outlineLevel="0" collapsed="false">
      <c r="AA878" s="7" t="n">
        <f aca="false">AA877+1</f>
        <v>41784</v>
      </c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</row>
    <row r="879" customFormat="false" ht="13.8" hidden="false" customHeight="false" outlineLevel="0" collapsed="false">
      <c r="AA879" s="7" t="n">
        <f aca="false">AA878+1</f>
        <v>41785</v>
      </c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</row>
    <row r="880" customFormat="false" ht="13.8" hidden="false" customHeight="false" outlineLevel="0" collapsed="false">
      <c r="AA880" s="7" t="n">
        <f aca="false">AA879+1</f>
        <v>41786</v>
      </c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</row>
    <row r="881" customFormat="false" ht="13.8" hidden="false" customHeight="false" outlineLevel="0" collapsed="false">
      <c r="AA881" s="7" t="n">
        <f aca="false">AA880+1</f>
        <v>41787</v>
      </c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</row>
    <row r="882" customFormat="false" ht="13.8" hidden="false" customHeight="false" outlineLevel="0" collapsed="false">
      <c r="AA882" s="7" t="n">
        <f aca="false">AA881+1</f>
        <v>41788</v>
      </c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</row>
    <row r="883" customFormat="false" ht="13.8" hidden="false" customHeight="false" outlineLevel="0" collapsed="false">
      <c r="AA883" s="7" t="n">
        <f aca="false">AA882+1</f>
        <v>41789</v>
      </c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</row>
    <row r="884" customFormat="false" ht="13.8" hidden="false" customHeight="false" outlineLevel="0" collapsed="false">
      <c r="AA884" s="7" t="n">
        <f aca="false">AA883+1</f>
        <v>41790</v>
      </c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</row>
    <row r="885" customFormat="false" ht="13.8" hidden="false" customHeight="false" outlineLevel="0" collapsed="false">
      <c r="AA885" s="7" t="n">
        <f aca="false">AA884+1</f>
        <v>41791</v>
      </c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</row>
    <row r="886" customFormat="false" ht="13.8" hidden="false" customHeight="false" outlineLevel="0" collapsed="false">
      <c r="AA886" s="7" t="n">
        <f aca="false">AA885+1</f>
        <v>41792</v>
      </c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</row>
    <row r="887" customFormat="false" ht="13.8" hidden="false" customHeight="false" outlineLevel="0" collapsed="false">
      <c r="AA887" s="7" t="n">
        <f aca="false">AA886+1</f>
        <v>41793</v>
      </c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</row>
    <row r="888" customFormat="false" ht="13.8" hidden="false" customHeight="false" outlineLevel="0" collapsed="false">
      <c r="AA888" s="7" t="n">
        <f aca="false">AA887+1</f>
        <v>41794</v>
      </c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</row>
    <row r="889" customFormat="false" ht="13.8" hidden="false" customHeight="false" outlineLevel="0" collapsed="false">
      <c r="AA889" s="7" t="n">
        <f aca="false">AA888+1</f>
        <v>41795</v>
      </c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</row>
    <row r="890" customFormat="false" ht="13.8" hidden="false" customHeight="false" outlineLevel="0" collapsed="false">
      <c r="AA890" s="7" t="n">
        <f aca="false">AA889+1</f>
        <v>41796</v>
      </c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</row>
    <row r="891" customFormat="false" ht="13.8" hidden="false" customHeight="false" outlineLevel="0" collapsed="false">
      <c r="AA891" s="7" t="n">
        <f aca="false">AA890+1</f>
        <v>41797</v>
      </c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</row>
    <row r="892" customFormat="false" ht="13.8" hidden="false" customHeight="false" outlineLevel="0" collapsed="false">
      <c r="AA892" s="7" t="n">
        <f aca="false">AA891+1</f>
        <v>41798</v>
      </c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</row>
    <row r="893" customFormat="false" ht="13.8" hidden="false" customHeight="false" outlineLevel="0" collapsed="false">
      <c r="AA893" s="7" t="n">
        <f aca="false">AA892+1</f>
        <v>41799</v>
      </c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</row>
    <row r="894" customFormat="false" ht="13.8" hidden="false" customHeight="false" outlineLevel="0" collapsed="false">
      <c r="AA894" s="7" t="n">
        <f aca="false">AA893+1</f>
        <v>41800</v>
      </c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</row>
    <row r="895" customFormat="false" ht="13.8" hidden="false" customHeight="false" outlineLevel="0" collapsed="false">
      <c r="AA895" s="7" t="n">
        <f aca="false">AA894+1</f>
        <v>41801</v>
      </c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</row>
    <row r="896" customFormat="false" ht="13.8" hidden="false" customHeight="false" outlineLevel="0" collapsed="false">
      <c r="AA896" s="7" t="n">
        <f aca="false">AA895+1</f>
        <v>41802</v>
      </c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</row>
    <row r="897" customFormat="false" ht="13.8" hidden="false" customHeight="false" outlineLevel="0" collapsed="false">
      <c r="AA897" s="7" t="n">
        <f aca="false">AA896+1</f>
        <v>41803</v>
      </c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</row>
    <row r="898" customFormat="false" ht="13.8" hidden="false" customHeight="false" outlineLevel="0" collapsed="false">
      <c r="AA898" s="7" t="n">
        <f aca="false">AA897+1</f>
        <v>41804</v>
      </c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</row>
    <row r="899" customFormat="false" ht="13.8" hidden="false" customHeight="false" outlineLevel="0" collapsed="false">
      <c r="AA899" s="7" t="n">
        <f aca="false">AA898+1</f>
        <v>41805</v>
      </c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</row>
    <row r="900" customFormat="false" ht="13.8" hidden="false" customHeight="false" outlineLevel="0" collapsed="false">
      <c r="AA900" s="7" t="n">
        <f aca="false">AA899+1</f>
        <v>41806</v>
      </c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</row>
    <row r="901" customFormat="false" ht="13.8" hidden="false" customHeight="false" outlineLevel="0" collapsed="false">
      <c r="AA901" s="7" t="n">
        <f aca="false">AA900+1</f>
        <v>41807</v>
      </c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</row>
    <row r="902" customFormat="false" ht="13.8" hidden="false" customHeight="false" outlineLevel="0" collapsed="false">
      <c r="AA902" s="7" t="n">
        <f aca="false">AA901+1</f>
        <v>41808</v>
      </c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</row>
    <row r="903" customFormat="false" ht="13.8" hidden="false" customHeight="false" outlineLevel="0" collapsed="false">
      <c r="AA903" s="7" t="n">
        <f aca="false">AA902+1</f>
        <v>41809</v>
      </c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</row>
    <row r="904" customFormat="false" ht="13.8" hidden="false" customHeight="false" outlineLevel="0" collapsed="false">
      <c r="AA904" s="7" t="n">
        <f aca="false">AA903+1</f>
        <v>41810</v>
      </c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</row>
    <row r="905" customFormat="false" ht="13.8" hidden="false" customHeight="false" outlineLevel="0" collapsed="false">
      <c r="AA905" s="7" t="n">
        <f aca="false">AA904+1</f>
        <v>41811</v>
      </c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</row>
    <row r="906" customFormat="false" ht="13.8" hidden="false" customHeight="false" outlineLevel="0" collapsed="false">
      <c r="AA906" s="7" t="n">
        <f aca="false">AA905+1</f>
        <v>41812</v>
      </c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</row>
    <row r="907" customFormat="false" ht="13.8" hidden="false" customHeight="false" outlineLevel="0" collapsed="false">
      <c r="AA907" s="7" t="n">
        <f aca="false">AA906+1</f>
        <v>41813</v>
      </c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</row>
    <row r="908" customFormat="false" ht="13.8" hidden="false" customHeight="false" outlineLevel="0" collapsed="false">
      <c r="AA908" s="7" t="n">
        <f aca="false">AA907+1</f>
        <v>41814</v>
      </c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</row>
    <row r="909" customFormat="false" ht="13.8" hidden="false" customHeight="false" outlineLevel="0" collapsed="false">
      <c r="AA909" s="7" t="n">
        <f aca="false">AA908+1</f>
        <v>41815</v>
      </c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</row>
    <row r="910" customFormat="false" ht="13.8" hidden="false" customHeight="false" outlineLevel="0" collapsed="false">
      <c r="AA910" s="7" t="n">
        <f aca="false">AA909+1</f>
        <v>41816</v>
      </c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</row>
    <row r="911" customFormat="false" ht="13.8" hidden="false" customHeight="false" outlineLevel="0" collapsed="false">
      <c r="AA911" s="7" t="n">
        <f aca="false">AA910+1</f>
        <v>41817</v>
      </c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</row>
    <row r="912" customFormat="false" ht="13.8" hidden="false" customHeight="false" outlineLevel="0" collapsed="false">
      <c r="AA912" s="7" t="n">
        <f aca="false">AA911+1</f>
        <v>41818</v>
      </c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</row>
    <row r="913" customFormat="false" ht="13.8" hidden="false" customHeight="false" outlineLevel="0" collapsed="false">
      <c r="AA913" s="7" t="n">
        <f aca="false">AA912+1</f>
        <v>41819</v>
      </c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</row>
    <row r="914" customFormat="false" ht="13.8" hidden="false" customHeight="false" outlineLevel="0" collapsed="false">
      <c r="AA914" s="7" t="n">
        <f aca="false">AA913+1</f>
        <v>41820</v>
      </c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</row>
    <row r="915" customFormat="false" ht="13.8" hidden="false" customHeight="false" outlineLevel="0" collapsed="false">
      <c r="AA915" s="7" t="n">
        <f aca="false">AA914+1</f>
        <v>41821</v>
      </c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</row>
    <row r="916" customFormat="false" ht="13.8" hidden="false" customHeight="false" outlineLevel="0" collapsed="false">
      <c r="AA916" s="7" t="n">
        <f aca="false">AA915+1</f>
        <v>41822</v>
      </c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</row>
    <row r="917" customFormat="false" ht="13.8" hidden="false" customHeight="false" outlineLevel="0" collapsed="false">
      <c r="AA917" s="7" t="n">
        <f aca="false">AA916+1</f>
        <v>41823</v>
      </c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</row>
    <row r="918" customFormat="false" ht="13.8" hidden="false" customHeight="false" outlineLevel="0" collapsed="false">
      <c r="AA918" s="7" t="n">
        <f aca="false">AA917+1</f>
        <v>41824</v>
      </c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</row>
    <row r="919" customFormat="false" ht="13.8" hidden="false" customHeight="false" outlineLevel="0" collapsed="false">
      <c r="AA919" s="7" t="n">
        <f aca="false">AA918+1</f>
        <v>41825</v>
      </c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</row>
    <row r="920" customFormat="false" ht="13.8" hidden="false" customHeight="false" outlineLevel="0" collapsed="false">
      <c r="AA920" s="7" t="n">
        <f aca="false">AA919+1</f>
        <v>41826</v>
      </c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</row>
    <row r="921" customFormat="false" ht="13.8" hidden="false" customHeight="false" outlineLevel="0" collapsed="false">
      <c r="AA921" s="7" t="n">
        <f aca="false">AA920+1</f>
        <v>41827</v>
      </c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</row>
    <row r="922" customFormat="false" ht="13.8" hidden="false" customHeight="false" outlineLevel="0" collapsed="false">
      <c r="AA922" s="7" t="n">
        <f aca="false">AA921+1</f>
        <v>41828</v>
      </c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</row>
    <row r="923" customFormat="false" ht="13.8" hidden="false" customHeight="false" outlineLevel="0" collapsed="false">
      <c r="AA923" s="7" t="n">
        <f aca="false">AA922+1</f>
        <v>41829</v>
      </c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</row>
    <row r="924" customFormat="false" ht="13.8" hidden="false" customHeight="false" outlineLevel="0" collapsed="false">
      <c r="AA924" s="7" t="n">
        <f aca="false">AA923+1</f>
        <v>41830</v>
      </c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</row>
    <row r="925" customFormat="false" ht="13.8" hidden="false" customHeight="false" outlineLevel="0" collapsed="false">
      <c r="AA925" s="7" t="n">
        <f aca="false">AA924+1</f>
        <v>41831</v>
      </c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</row>
    <row r="926" customFormat="false" ht="13.8" hidden="false" customHeight="false" outlineLevel="0" collapsed="false">
      <c r="AA926" s="7" t="n">
        <f aca="false">AA925+1</f>
        <v>41832</v>
      </c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</row>
    <row r="927" customFormat="false" ht="13.8" hidden="false" customHeight="false" outlineLevel="0" collapsed="false">
      <c r="AA927" s="7" t="n">
        <f aca="false">AA926+1</f>
        <v>41833</v>
      </c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</row>
    <row r="928" customFormat="false" ht="13.8" hidden="false" customHeight="false" outlineLevel="0" collapsed="false">
      <c r="AA928" s="7" t="n">
        <f aca="false">AA927+1</f>
        <v>41834</v>
      </c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</row>
    <row r="929" customFormat="false" ht="13.8" hidden="false" customHeight="false" outlineLevel="0" collapsed="false">
      <c r="AA929" s="7" t="n">
        <f aca="false">AA928+1</f>
        <v>41835</v>
      </c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</row>
    <row r="930" customFormat="false" ht="13.8" hidden="false" customHeight="false" outlineLevel="0" collapsed="false">
      <c r="AA930" s="7" t="n">
        <f aca="false">AA929+1</f>
        <v>41836</v>
      </c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</row>
    <row r="931" customFormat="false" ht="13.8" hidden="false" customHeight="false" outlineLevel="0" collapsed="false">
      <c r="AA931" s="7" t="n">
        <f aca="false">AA930+1</f>
        <v>41837</v>
      </c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</row>
    <row r="932" customFormat="false" ht="13.8" hidden="false" customHeight="false" outlineLevel="0" collapsed="false">
      <c r="AA932" s="7" t="n">
        <f aca="false">AA931+1</f>
        <v>41838</v>
      </c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</row>
    <row r="933" customFormat="false" ht="13.8" hidden="false" customHeight="false" outlineLevel="0" collapsed="false">
      <c r="AA933" s="7" t="n">
        <f aca="false">AA932+1</f>
        <v>41839</v>
      </c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</row>
    <row r="934" customFormat="false" ht="13.8" hidden="false" customHeight="false" outlineLevel="0" collapsed="false">
      <c r="AA934" s="7" t="n">
        <f aca="false">AA933+1</f>
        <v>41840</v>
      </c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</row>
    <row r="935" customFormat="false" ht="13.8" hidden="false" customHeight="false" outlineLevel="0" collapsed="false">
      <c r="AA935" s="7" t="n">
        <f aca="false">AA934+1</f>
        <v>41841</v>
      </c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</row>
    <row r="936" customFormat="false" ht="13.8" hidden="false" customHeight="false" outlineLevel="0" collapsed="false">
      <c r="AA936" s="7" t="n">
        <f aca="false">AA935+1</f>
        <v>41842</v>
      </c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</row>
    <row r="937" customFormat="false" ht="13.8" hidden="false" customHeight="false" outlineLevel="0" collapsed="false">
      <c r="AA937" s="7" t="n">
        <f aca="false">AA936+1</f>
        <v>41843</v>
      </c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</row>
    <row r="938" customFormat="false" ht="13.8" hidden="false" customHeight="false" outlineLevel="0" collapsed="false">
      <c r="AA938" s="7" t="n">
        <f aca="false">AA937+1</f>
        <v>41844</v>
      </c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</row>
    <row r="939" customFormat="false" ht="13.8" hidden="false" customHeight="false" outlineLevel="0" collapsed="false">
      <c r="AA939" s="7" t="n">
        <f aca="false">AA938+1</f>
        <v>41845</v>
      </c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</row>
    <row r="940" customFormat="false" ht="13.8" hidden="false" customHeight="false" outlineLevel="0" collapsed="false">
      <c r="AA940" s="7" t="n">
        <f aca="false">AA939+1</f>
        <v>41846</v>
      </c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</row>
    <row r="941" customFormat="false" ht="13.8" hidden="false" customHeight="false" outlineLevel="0" collapsed="false">
      <c r="AA941" s="7" t="n">
        <f aca="false">AA940+1</f>
        <v>41847</v>
      </c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</row>
    <row r="942" customFormat="false" ht="13.8" hidden="false" customHeight="false" outlineLevel="0" collapsed="false">
      <c r="AA942" s="7" t="n">
        <f aca="false">AA941+1</f>
        <v>41848</v>
      </c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</row>
    <row r="943" customFormat="false" ht="13.8" hidden="false" customHeight="false" outlineLevel="0" collapsed="false">
      <c r="AA943" s="7" t="n">
        <f aca="false">AA942+1</f>
        <v>41849</v>
      </c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</row>
    <row r="944" customFormat="false" ht="13.8" hidden="false" customHeight="false" outlineLevel="0" collapsed="false">
      <c r="AA944" s="7" t="n">
        <f aca="false">AA943+1</f>
        <v>41850</v>
      </c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</row>
    <row r="945" customFormat="false" ht="13.8" hidden="false" customHeight="false" outlineLevel="0" collapsed="false">
      <c r="AA945" s="7" t="n">
        <f aca="false">AA944+1</f>
        <v>41851</v>
      </c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</row>
    <row r="946" customFormat="false" ht="13.8" hidden="false" customHeight="false" outlineLevel="0" collapsed="false">
      <c r="AA946" s="7" t="n">
        <f aca="false">AA945+1</f>
        <v>41852</v>
      </c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</row>
    <row r="947" customFormat="false" ht="13.8" hidden="false" customHeight="false" outlineLevel="0" collapsed="false">
      <c r="AA947" s="7" t="n">
        <f aca="false">AA946+1</f>
        <v>41853</v>
      </c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</row>
    <row r="948" customFormat="false" ht="13.8" hidden="false" customHeight="false" outlineLevel="0" collapsed="false">
      <c r="AA948" s="7" t="n">
        <f aca="false">AA947+1</f>
        <v>41854</v>
      </c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</row>
    <row r="949" customFormat="false" ht="13.8" hidden="false" customHeight="false" outlineLevel="0" collapsed="false">
      <c r="AA949" s="7" t="n">
        <f aca="false">AA948+1</f>
        <v>41855</v>
      </c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</row>
    <row r="950" customFormat="false" ht="13.8" hidden="false" customHeight="false" outlineLevel="0" collapsed="false">
      <c r="AA950" s="7" t="n">
        <f aca="false">AA949+1</f>
        <v>41856</v>
      </c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</row>
    <row r="951" customFormat="false" ht="13.8" hidden="false" customHeight="false" outlineLevel="0" collapsed="false">
      <c r="AA951" s="7" t="n">
        <f aca="false">AA950+1</f>
        <v>41857</v>
      </c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</row>
    <row r="952" customFormat="false" ht="13.8" hidden="false" customHeight="false" outlineLevel="0" collapsed="false">
      <c r="AA952" s="7" t="n">
        <f aca="false">AA951+1</f>
        <v>41858</v>
      </c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</row>
    <row r="953" customFormat="false" ht="13.8" hidden="false" customHeight="false" outlineLevel="0" collapsed="false">
      <c r="AA953" s="7" t="n">
        <f aca="false">AA952+1</f>
        <v>41859</v>
      </c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</row>
    <row r="954" customFormat="false" ht="13.8" hidden="false" customHeight="false" outlineLevel="0" collapsed="false">
      <c r="AA954" s="7" t="n">
        <f aca="false">AA953+1</f>
        <v>41860</v>
      </c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</row>
    <row r="955" customFormat="false" ht="13.8" hidden="false" customHeight="false" outlineLevel="0" collapsed="false">
      <c r="AA955" s="7" t="n">
        <f aca="false">AA954+1</f>
        <v>41861</v>
      </c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</row>
    <row r="956" customFormat="false" ht="13.8" hidden="false" customHeight="false" outlineLevel="0" collapsed="false">
      <c r="AA956" s="7" t="n">
        <f aca="false">AA955+1</f>
        <v>41862</v>
      </c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</row>
    <row r="957" customFormat="false" ht="13.8" hidden="false" customHeight="false" outlineLevel="0" collapsed="false">
      <c r="AA957" s="7" t="n">
        <f aca="false">AA956+1</f>
        <v>41863</v>
      </c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</row>
    <row r="958" customFormat="false" ht="13.8" hidden="false" customHeight="false" outlineLevel="0" collapsed="false">
      <c r="AA958" s="7" t="n">
        <f aca="false">AA957+1</f>
        <v>41864</v>
      </c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</row>
    <row r="959" customFormat="false" ht="13.8" hidden="false" customHeight="false" outlineLevel="0" collapsed="false">
      <c r="AA959" s="7" t="n">
        <f aca="false">AA958+1</f>
        <v>41865</v>
      </c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</row>
    <row r="960" customFormat="false" ht="13.8" hidden="false" customHeight="false" outlineLevel="0" collapsed="false">
      <c r="AA960" s="7" t="n">
        <f aca="false">AA959+1</f>
        <v>41866</v>
      </c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</row>
    <row r="961" customFormat="false" ht="13.8" hidden="false" customHeight="false" outlineLevel="0" collapsed="false">
      <c r="AA961" s="7" t="n">
        <f aca="false">AA960+1</f>
        <v>41867</v>
      </c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</row>
    <row r="962" customFormat="false" ht="13.8" hidden="false" customHeight="false" outlineLevel="0" collapsed="false">
      <c r="AA962" s="7" t="n">
        <f aca="false">AA961+1</f>
        <v>41868</v>
      </c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</row>
    <row r="963" customFormat="false" ht="13.8" hidden="false" customHeight="false" outlineLevel="0" collapsed="false">
      <c r="AA963" s="7" t="n">
        <f aca="false">AA962+1</f>
        <v>41869</v>
      </c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</row>
    <row r="964" customFormat="false" ht="13.8" hidden="false" customHeight="false" outlineLevel="0" collapsed="false">
      <c r="AA964" s="7" t="n">
        <f aca="false">AA963+1</f>
        <v>41870</v>
      </c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</row>
    <row r="965" customFormat="false" ht="13.8" hidden="false" customHeight="false" outlineLevel="0" collapsed="false">
      <c r="AA965" s="7" t="n">
        <f aca="false">AA964+1</f>
        <v>41871</v>
      </c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</row>
    <row r="966" customFormat="false" ht="13.8" hidden="false" customHeight="false" outlineLevel="0" collapsed="false">
      <c r="AA966" s="7" t="n">
        <f aca="false">AA965+1</f>
        <v>41872</v>
      </c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</row>
    <row r="967" customFormat="false" ht="13.8" hidden="false" customHeight="false" outlineLevel="0" collapsed="false">
      <c r="AA967" s="7" t="n">
        <f aca="false">AA966+1</f>
        <v>41873</v>
      </c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</row>
    <row r="968" customFormat="false" ht="13.8" hidden="false" customHeight="false" outlineLevel="0" collapsed="false">
      <c r="AA968" s="7" t="n">
        <f aca="false">AA967+1</f>
        <v>41874</v>
      </c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</row>
    <row r="969" customFormat="false" ht="13.8" hidden="false" customHeight="false" outlineLevel="0" collapsed="false">
      <c r="AA969" s="7" t="n">
        <f aca="false">AA968+1</f>
        <v>41875</v>
      </c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</row>
    <row r="970" customFormat="false" ht="13.8" hidden="false" customHeight="false" outlineLevel="0" collapsed="false">
      <c r="AA970" s="7" t="n">
        <f aca="false">AA969+1</f>
        <v>41876</v>
      </c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</row>
    <row r="971" customFormat="false" ht="13.8" hidden="false" customHeight="false" outlineLevel="0" collapsed="false">
      <c r="AA971" s="7" t="n">
        <f aca="false">AA970+1</f>
        <v>41877</v>
      </c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</row>
    <row r="972" customFormat="false" ht="13.8" hidden="false" customHeight="false" outlineLevel="0" collapsed="false">
      <c r="AA972" s="7" t="n">
        <f aca="false">AA971+1</f>
        <v>41878</v>
      </c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</row>
    <row r="973" customFormat="false" ht="13.8" hidden="false" customHeight="false" outlineLevel="0" collapsed="false">
      <c r="AA973" s="7" t="n">
        <f aca="false">AA972+1</f>
        <v>41879</v>
      </c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</row>
    <row r="974" customFormat="false" ht="13.8" hidden="false" customHeight="false" outlineLevel="0" collapsed="false">
      <c r="AA974" s="7" t="n">
        <f aca="false">AA973+1</f>
        <v>41880</v>
      </c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</row>
    <row r="975" customFormat="false" ht="13.8" hidden="false" customHeight="false" outlineLevel="0" collapsed="false">
      <c r="AA975" s="7" t="n">
        <f aca="false">AA974+1</f>
        <v>41881</v>
      </c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</row>
    <row r="976" customFormat="false" ht="13.8" hidden="false" customHeight="false" outlineLevel="0" collapsed="false">
      <c r="AA976" s="7" t="n">
        <f aca="false">AA975+1</f>
        <v>41882</v>
      </c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</row>
    <row r="977" customFormat="false" ht="13.8" hidden="false" customHeight="false" outlineLevel="0" collapsed="false">
      <c r="AA977" s="7" t="n">
        <f aca="false">AA976+1</f>
        <v>41883</v>
      </c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</row>
    <row r="978" customFormat="false" ht="13.8" hidden="false" customHeight="false" outlineLevel="0" collapsed="false">
      <c r="AA978" s="7" t="n">
        <f aca="false">AA977+1</f>
        <v>41884</v>
      </c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</row>
    <row r="979" customFormat="false" ht="13.8" hidden="false" customHeight="false" outlineLevel="0" collapsed="false">
      <c r="AA979" s="7" t="n">
        <f aca="false">AA978+1</f>
        <v>41885</v>
      </c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</row>
    <row r="980" customFormat="false" ht="13.8" hidden="false" customHeight="false" outlineLevel="0" collapsed="false">
      <c r="AA980" s="7" t="n">
        <f aca="false">AA979+1</f>
        <v>41886</v>
      </c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</row>
    <row r="981" customFormat="false" ht="13.8" hidden="false" customHeight="false" outlineLevel="0" collapsed="false">
      <c r="AA981" s="7" t="n">
        <f aca="false">AA980+1</f>
        <v>41887</v>
      </c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</row>
    <row r="982" customFormat="false" ht="13.8" hidden="false" customHeight="false" outlineLevel="0" collapsed="false">
      <c r="AA982" s="7" t="n">
        <f aca="false">AA981+1</f>
        <v>41888</v>
      </c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</row>
    <row r="983" customFormat="false" ht="13.8" hidden="false" customHeight="false" outlineLevel="0" collapsed="false">
      <c r="AA983" s="7" t="n">
        <f aca="false">AA982+1</f>
        <v>41889</v>
      </c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</row>
    <row r="984" customFormat="false" ht="13.8" hidden="false" customHeight="false" outlineLevel="0" collapsed="false">
      <c r="AA984" s="7" t="n">
        <f aca="false">AA983+1</f>
        <v>41890</v>
      </c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</row>
    <row r="985" customFormat="false" ht="13.8" hidden="false" customHeight="false" outlineLevel="0" collapsed="false">
      <c r="AA985" s="7" t="n">
        <f aca="false">AA984+1</f>
        <v>41891</v>
      </c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</row>
    <row r="986" customFormat="false" ht="13.8" hidden="false" customHeight="false" outlineLevel="0" collapsed="false">
      <c r="AA986" s="7" t="n">
        <f aca="false">AA985+1</f>
        <v>41892</v>
      </c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</row>
    <row r="987" customFormat="false" ht="13.8" hidden="false" customHeight="false" outlineLevel="0" collapsed="false">
      <c r="AA987" s="7" t="n">
        <f aca="false">AA986+1</f>
        <v>41893</v>
      </c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</row>
    <row r="988" customFormat="false" ht="13.8" hidden="false" customHeight="false" outlineLevel="0" collapsed="false">
      <c r="AA988" s="7" t="n">
        <f aca="false">AA987+1</f>
        <v>41894</v>
      </c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</row>
    <row r="989" customFormat="false" ht="13.8" hidden="false" customHeight="false" outlineLevel="0" collapsed="false">
      <c r="AA989" s="7" t="n">
        <f aca="false">AA988+1</f>
        <v>41895</v>
      </c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</row>
    <row r="990" customFormat="false" ht="13.8" hidden="false" customHeight="false" outlineLevel="0" collapsed="false">
      <c r="AA990" s="7" t="n">
        <f aca="false">AA989+1</f>
        <v>41896</v>
      </c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</row>
    <row r="991" customFormat="false" ht="13.8" hidden="false" customHeight="false" outlineLevel="0" collapsed="false">
      <c r="AA991" s="7" t="n">
        <f aca="false">AA990+1</f>
        <v>41897</v>
      </c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</row>
    <row r="992" customFormat="false" ht="13.8" hidden="false" customHeight="false" outlineLevel="0" collapsed="false">
      <c r="AA992" s="7" t="n">
        <f aca="false">AA991+1</f>
        <v>41898</v>
      </c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</row>
    <row r="993" customFormat="false" ht="13.8" hidden="false" customHeight="false" outlineLevel="0" collapsed="false">
      <c r="AA993" s="7" t="n">
        <f aca="false">AA992+1</f>
        <v>41899</v>
      </c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</row>
    <row r="994" customFormat="false" ht="13.8" hidden="false" customHeight="false" outlineLevel="0" collapsed="false">
      <c r="AA994" s="7" t="n">
        <f aca="false">AA993+1</f>
        <v>41900</v>
      </c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</row>
    <row r="995" customFormat="false" ht="13.8" hidden="false" customHeight="false" outlineLevel="0" collapsed="false">
      <c r="AA995" s="7" t="n">
        <f aca="false">AA994+1</f>
        <v>41901</v>
      </c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</row>
    <row r="996" customFormat="false" ht="13.8" hidden="false" customHeight="false" outlineLevel="0" collapsed="false">
      <c r="AA996" s="7" t="n">
        <f aca="false">AA995+1</f>
        <v>41902</v>
      </c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</row>
    <row r="997" customFormat="false" ht="13.8" hidden="false" customHeight="false" outlineLevel="0" collapsed="false">
      <c r="AA997" s="7" t="n">
        <f aca="false">AA996+1</f>
        <v>41903</v>
      </c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</row>
    <row r="998" customFormat="false" ht="13.8" hidden="false" customHeight="false" outlineLevel="0" collapsed="false">
      <c r="AA998" s="7" t="n">
        <f aca="false">AA997+1</f>
        <v>41904</v>
      </c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</row>
    <row r="999" customFormat="false" ht="13.8" hidden="false" customHeight="false" outlineLevel="0" collapsed="false">
      <c r="AA999" s="7" t="n">
        <f aca="false">AA998+1</f>
        <v>41905</v>
      </c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</row>
    <row r="1000" customFormat="false" ht="13.8" hidden="false" customHeight="false" outlineLevel="0" collapsed="false">
      <c r="AA1000" s="7" t="n">
        <f aca="false">AA999+1</f>
        <v>41906</v>
      </c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</row>
    <row r="1001" customFormat="false" ht="13.8" hidden="false" customHeight="false" outlineLevel="0" collapsed="false">
      <c r="AA1001" s="7" t="n">
        <f aca="false">AA1000+1</f>
        <v>41907</v>
      </c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  <c r="AL1001" s="14"/>
      <c r="AM1001" s="14"/>
    </row>
    <row r="1002" customFormat="false" ht="13.8" hidden="false" customHeight="false" outlineLevel="0" collapsed="false">
      <c r="AA1002" s="7" t="n">
        <f aca="false">AA1001+1</f>
        <v>41908</v>
      </c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  <c r="AL1002" s="14"/>
      <c r="AM1002" s="14"/>
    </row>
    <row r="1003" customFormat="false" ht="13.8" hidden="false" customHeight="false" outlineLevel="0" collapsed="false">
      <c r="AA1003" s="7" t="n">
        <f aca="false">AA1002+1</f>
        <v>41909</v>
      </c>
      <c r="AB1003" s="14"/>
      <c r="AC1003" s="14"/>
      <c r="AD1003" s="14"/>
      <c r="AE1003" s="14"/>
      <c r="AF1003" s="14"/>
      <c r="AG1003" s="14"/>
      <c r="AH1003" s="14"/>
      <c r="AI1003" s="14"/>
      <c r="AJ1003" s="14"/>
      <c r="AK1003" s="14"/>
      <c r="AL1003" s="14"/>
      <c r="AM1003" s="14"/>
    </row>
    <row r="1004" customFormat="false" ht="13.8" hidden="false" customHeight="false" outlineLevel="0" collapsed="false">
      <c r="AA1004" s="7" t="n">
        <f aca="false">AA1003+1</f>
        <v>41910</v>
      </c>
      <c r="AB1004" s="14"/>
      <c r="AC1004" s="14"/>
      <c r="AD1004" s="14"/>
      <c r="AE1004" s="14"/>
      <c r="AF1004" s="14"/>
      <c r="AG1004" s="14"/>
      <c r="AH1004" s="14"/>
      <c r="AI1004" s="14"/>
      <c r="AJ1004" s="14"/>
      <c r="AK1004" s="14"/>
      <c r="AL1004" s="14"/>
      <c r="AM1004" s="14"/>
    </row>
    <row r="1005" customFormat="false" ht="13.8" hidden="false" customHeight="false" outlineLevel="0" collapsed="false">
      <c r="AA1005" s="7" t="n">
        <f aca="false">AA1004+1</f>
        <v>41911</v>
      </c>
      <c r="AB1005" s="14"/>
      <c r="AC1005" s="14"/>
      <c r="AD1005" s="14"/>
      <c r="AE1005" s="14"/>
      <c r="AF1005" s="14"/>
      <c r="AG1005" s="14"/>
      <c r="AH1005" s="14"/>
      <c r="AI1005" s="14"/>
      <c r="AJ1005" s="14"/>
      <c r="AK1005" s="14"/>
      <c r="AL1005" s="14"/>
      <c r="AM1005" s="14"/>
    </row>
    <row r="1006" customFormat="false" ht="13.8" hidden="false" customHeight="false" outlineLevel="0" collapsed="false">
      <c r="AA1006" s="7" t="n">
        <f aca="false">AA1005+1</f>
        <v>41912</v>
      </c>
      <c r="AB1006" s="14"/>
      <c r="AC1006" s="14"/>
      <c r="AD1006" s="14"/>
      <c r="AE1006" s="14"/>
      <c r="AF1006" s="14"/>
      <c r="AG1006" s="14"/>
      <c r="AH1006" s="14"/>
      <c r="AI1006" s="14"/>
      <c r="AJ1006" s="14"/>
      <c r="AK1006" s="14"/>
      <c r="AL1006" s="14"/>
      <c r="AM1006" s="14"/>
    </row>
    <row r="1007" customFormat="false" ht="13.8" hidden="false" customHeight="false" outlineLevel="0" collapsed="false">
      <c r="AA1007" s="7" t="n">
        <f aca="false">AA1006+1</f>
        <v>41913</v>
      </c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  <c r="AL1007" s="14"/>
      <c r="AM1007" s="14"/>
    </row>
    <row r="1008" customFormat="false" ht="13.8" hidden="false" customHeight="false" outlineLevel="0" collapsed="false">
      <c r="AA1008" s="7" t="n">
        <f aca="false">AA1007+1</f>
        <v>41914</v>
      </c>
      <c r="AB1008" s="14"/>
      <c r="AC1008" s="14"/>
      <c r="AD1008" s="14"/>
      <c r="AE1008" s="14"/>
      <c r="AF1008" s="14"/>
      <c r="AG1008" s="14"/>
      <c r="AH1008" s="14"/>
      <c r="AI1008" s="14"/>
      <c r="AJ1008" s="14"/>
      <c r="AK1008" s="14"/>
      <c r="AL1008" s="14"/>
      <c r="AM1008" s="14"/>
    </row>
    <row r="1009" customFormat="false" ht="13.8" hidden="false" customHeight="false" outlineLevel="0" collapsed="false">
      <c r="AA1009" s="7" t="n">
        <f aca="false">AA1008+1</f>
        <v>41915</v>
      </c>
      <c r="AB1009" s="14"/>
      <c r="AC1009" s="14"/>
      <c r="AD1009" s="14"/>
      <c r="AE1009" s="14"/>
      <c r="AF1009" s="14"/>
      <c r="AG1009" s="14"/>
      <c r="AH1009" s="14"/>
      <c r="AI1009" s="14"/>
      <c r="AJ1009" s="14"/>
      <c r="AK1009" s="14"/>
      <c r="AL1009" s="14"/>
      <c r="AM1009" s="14"/>
    </row>
    <row r="1010" customFormat="false" ht="13.8" hidden="false" customHeight="false" outlineLevel="0" collapsed="false">
      <c r="AA1010" s="7" t="n">
        <f aca="false">AA1009+1</f>
        <v>41916</v>
      </c>
      <c r="AB1010" s="14"/>
      <c r="AC1010" s="14"/>
      <c r="AD1010" s="14"/>
      <c r="AE1010" s="14"/>
      <c r="AF1010" s="14"/>
      <c r="AG1010" s="14"/>
      <c r="AH1010" s="14"/>
      <c r="AI1010" s="14"/>
      <c r="AJ1010" s="14"/>
      <c r="AK1010" s="14"/>
      <c r="AL1010" s="14"/>
      <c r="AM1010" s="14"/>
    </row>
    <row r="1011" customFormat="false" ht="13.8" hidden="false" customHeight="false" outlineLevel="0" collapsed="false">
      <c r="AA1011" s="7" t="n">
        <f aca="false">AA1010+1</f>
        <v>41917</v>
      </c>
      <c r="AB1011" s="14"/>
      <c r="AC1011" s="14"/>
      <c r="AD1011" s="14"/>
      <c r="AE1011" s="14"/>
      <c r="AF1011" s="14"/>
      <c r="AG1011" s="14"/>
      <c r="AH1011" s="14"/>
      <c r="AI1011" s="14"/>
      <c r="AJ1011" s="14"/>
      <c r="AK1011" s="14"/>
      <c r="AL1011" s="14"/>
      <c r="AM1011" s="14"/>
    </row>
    <row r="1012" customFormat="false" ht="13.8" hidden="false" customHeight="false" outlineLevel="0" collapsed="false">
      <c r="AA1012" s="7" t="n">
        <f aca="false">AA1011+1</f>
        <v>41918</v>
      </c>
      <c r="AB1012" s="14"/>
      <c r="AC1012" s="14"/>
      <c r="AD1012" s="14"/>
      <c r="AE1012" s="14"/>
      <c r="AF1012" s="14"/>
      <c r="AG1012" s="14"/>
      <c r="AH1012" s="14"/>
      <c r="AI1012" s="14"/>
      <c r="AJ1012" s="14"/>
      <c r="AK1012" s="14"/>
      <c r="AL1012" s="14"/>
      <c r="AM1012" s="14"/>
    </row>
    <row r="1013" customFormat="false" ht="13.8" hidden="false" customHeight="false" outlineLevel="0" collapsed="false">
      <c r="AA1013" s="7" t="n">
        <f aca="false">AA1012+1</f>
        <v>41919</v>
      </c>
      <c r="AB1013" s="14"/>
      <c r="AC1013" s="14"/>
      <c r="AD1013" s="14"/>
      <c r="AE1013" s="14"/>
      <c r="AF1013" s="14"/>
      <c r="AG1013" s="14"/>
      <c r="AH1013" s="14"/>
      <c r="AI1013" s="14"/>
      <c r="AJ1013" s="14"/>
      <c r="AK1013" s="14"/>
      <c r="AL1013" s="14"/>
      <c r="AM1013" s="14"/>
    </row>
    <row r="1014" customFormat="false" ht="13.8" hidden="false" customHeight="false" outlineLevel="0" collapsed="false">
      <c r="AA1014" s="7" t="n">
        <f aca="false">AA1013+1</f>
        <v>41920</v>
      </c>
      <c r="AB1014" s="14"/>
      <c r="AC1014" s="14"/>
      <c r="AD1014" s="14"/>
      <c r="AE1014" s="14"/>
      <c r="AF1014" s="14"/>
      <c r="AG1014" s="14"/>
      <c r="AH1014" s="14"/>
      <c r="AI1014" s="14"/>
      <c r="AJ1014" s="14"/>
      <c r="AK1014" s="14"/>
      <c r="AL1014" s="14"/>
      <c r="AM1014" s="14"/>
    </row>
    <row r="1015" customFormat="false" ht="13.8" hidden="false" customHeight="false" outlineLevel="0" collapsed="false">
      <c r="AA1015" s="7" t="n">
        <f aca="false">AA1014+1</f>
        <v>41921</v>
      </c>
      <c r="AB1015" s="14"/>
      <c r="AC1015" s="14"/>
      <c r="AD1015" s="14"/>
      <c r="AE1015" s="14"/>
      <c r="AF1015" s="14"/>
      <c r="AG1015" s="14"/>
      <c r="AH1015" s="14"/>
      <c r="AI1015" s="14"/>
      <c r="AJ1015" s="14"/>
      <c r="AK1015" s="14"/>
      <c r="AL1015" s="14"/>
      <c r="AM1015" s="14"/>
    </row>
    <row r="1016" customFormat="false" ht="13.8" hidden="false" customHeight="false" outlineLevel="0" collapsed="false">
      <c r="AA1016" s="7" t="n">
        <f aca="false">AA1015+1</f>
        <v>41922</v>
      </c>
      <c r="AB1016" s="14"/>
      <c r="AC1016" s="14"/>
      <c r="AD1016" s="14"/>
      <c r="AE1016" s="14"/>
      <c r="AF1016" s="14"/>
      <c r="AG1016" s="14"/>
      <c r="AH1016" s="14"/>
      <c r="AI1016" s="14"/>
      <c r="AJ1016" s="14"/>
      <c r="AK1016" s="14"/>
      <c r="AL1016" s="14"/>
      <c r="AM1016" s="14"/>
    </row>
    <row r="1017" customFormat="false" ht="13.8" hidden="false" customHeight="false" outlineLevel="0" collapsed="false">
      <c r="AA1017" s="7" t="n">
        <f aca="false">AA1016+1</f>
        <v>41923</v>
      </c>
      <c r="AB1017" s="14"/>
      <c r="AC1017" s="14"/>
      <c r="AD1017" s="14"/>
      <c r="AE1017" s="14"/>
      <c r="AF1017" s="14"/>
      <c r="AG1017" s="14"/>
      <c r="AH1017" s="14"/>
      <c r="AI1017" s="14"/>
      <c r="AJ1017" s="14"/>
      <c r="AK1017" s="14"/>
      <c r="AL1017" s="14"/>
      <c r="AM1017" s="14"/>
    </row>
    <row r="1018" customFormat="false" ht="13.8" hidden="false" customHeight="false" outlineLevel="0" collapsed="false">
      <c r="AA1018" s="7" t="n">
        <f aca="false">AA1017+1</f>
        <v>41924</v>
      </c>
      <c r="AB1018" s="14"/>
      <c r="AC1018" s="14"/>
      <c r="AD1018" s="14"/>
      <c r="AE1018" s="14"/>
      <c r="AF1018" s="14"/>
      <c r="AG1018" s="14"/>
      <c r="AH1018" s="14"/>
      <c r="AI1018" s="14"/>
      <c r="AJ1018" s="14"/>
      <c r="AK1018" s="14"/>
      <c r="AL1018" s="14"/>
      <c r="AM1018" s="14"/>
    </row>
    <row r="1019" customFormat="false" ht="13.8" hidden="false" customHeight="false" outlineLevel="0" collapsed="false">
      <c r="AA1019" s="7" t="n">
        <f aca="false">AA1018+1</f>
        <v>41925</v>
      </c>
      <c r="AB1019" s="14"/>
      <c r="AC1019" s="14"/>
      <c r="AD1019" s="14"/>
      <c r="AE1019" s="14"/>
      <c r="AF1019" s="14"/>
      <c r="AG1019" s="14"/>
      <c r="AH1019" s="14"/>
      <c r="AI1019" s="14"/>
      <c r="AJ1019" s="14"/>
      <c r="AK1019" s="14"/>
      <c r="AL1019" s="14"/>
      <c r="AM1019" s="14"/>
    </row>
    <row r="1020" customFormat="false" ht="13.8" hidden="false" customHeight="false" outlineLevel="0" collapsed="false">
      <c r="AA1020" s="7" t="n">
        <f aca="false">AA1019+1</f>
        <v>41926</v>
      </c>
      <c r="AB1020" s="14"/>
      <c r="AC1020" s="14"/>
      <c r="AD1020" s="14"/>
      <c r="AE1020" s="14"/>
      <c r="AF1020" s="14"/>
      <c r="AG1020" s="14"/>
      <c r="AH1020" s="14"/>
      <c r="AI1020" s="14"/>
      <c r="AJ1020" s="14"/>
      <c r="AK1020" s="14"/>
      <c r="AL1020" s="14"/>
      <c r="AM1020" s="14"/>
    </row>
    <row r="1021" customFormat="false" ht="13.8" hidden="false" customHeight="false" outlineLevel="0" collapsed="false">
      <c r="AA1021" s="7" t="n">
        <f aca="false">AA1020+1</f>
        <v>41927</v>
      </c>
      <c r="AB1021" s="14"/>
      <c r="AC1021" s="14"/>
      <c r="AD1021" s="14"/>
      <c r="AE1021" s="14"/>
      <c r="AF1021" s="14"/>
      <c r="AG1021" s="14"/>
      <c r="AH1021" s="14"/>
      <c r="AI1021" s="14"/>
      <c r="AJ1021" s="14"/>
      <c r="AK1021" s="14"/>
      <c r="AL1021" s="14"/>
      <c r="AM1021" s="14"/>
    </row>
    <row r="1022" customFormat="false" ht="13.8" hidden="false" customHeight="false" outlineLevel="0" collapsed="false">
      <c r="AA1022" s="7" t="n">
        <f aca="false">AA1021+1</f>
        <v>41928</v>
      </c>
      <c r="AB1022" s="14"/>
      <c r="AC1022" s="14"/>
      <c r="AD1022" s="14"/>
      <c r="AE1022" s="14"/>
      <c r="AF1022" s="14"/>
      <c r="AG1022" s="14"/>
      <c r="AH1022" s="14"/>
      <c r="AI1022" s="14"/>
      <c r="AJ1022" s="14"/>
      <c r="AK1022" s="14"/>
      <c r="AL1022" s="14"/>
      <c r="AM1022" s="14"/>
    </row>
    <row r="1023" customFormat="false" ht="13.8" hidden="false" customHeight="false" outlineLevel="0" collapsed="false">
      <c r="AA1023" s="7" t="n">
        <f aca="false">AA1022+1</f>
        <v>41929</v>
      </c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  <c r="AL1023" s="14"/>
      <c r="AM1023" s="14"/>
    </row>
    <row r="1024" customFormat="false" ht="13.8" hidden="false" customHeight="false" outlineLevel="0" collapsed="false">
      <c r="AA1024" s="7" t="n">
        <f aca="false">AA1023+1</f>
        <v>41930</v>
      </c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  <c r="AL1024" s="14"/>
      <c r="AM1024" s="14"/>
    </row>
    <row r="1025" customFormat="false" ht="13.8" hidden="false" customHeight="false" outlineLevel="0" collapsed="false">
      <c r="AA1025" s="7" t="n">
        <f aca="false">AA1024+1</f>
        <v>41931</v>
      </c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  <c r="AL1025" s="14"/>
      <c r="AM1025" s="14"/>
    </row>
    <row r="1026" customFormat="false" ht="13.8" hidden="false" customHeight="false" outlineLevel="0" collapsed="false">
      <c r="AA1026" s="7" t="n">
        <f aca="false">AA1025+1</f>
        <v>41932</v>
      </c>
      <c r="AB1026" s="14"/>
      <c r="AC1026" s="14"/>
      <c r="AD1026" s="14"/>
      <c r="AE1026" s="14"/>
      <c r="AF1026" s="14"/>
      <c r="AG1026" s="14"/>
      <c r="AH1026" s="14"/>
      <c r="AI1026" s="14"/>
      <c r="AJ1026" s="14"/>
      <c r="AK1026" s="14"/>
      <c r="AL1026" s="14"/>
      <c r="AM1026" s="14"/>
    </row>
    <row r="1027" customFormat="false" ht="13.8" hidden="false" customHeight="false" outlineLevel="0" collapsed="false">
      <c r="AA1027" s="7" t="n">
        <f aca="false">AA1026+1</f>
        <v>41933</v>
      </c>
      <c r="AB1027" s="14"/>
      <c r="AC1027" s="14"/>
      <c r="AD1027" s="14"/>
      <c r="AE1027" s="14"/>
      <c r="AF1027" s="14"/>
      <c r="AG1027" s="14"/>
      <c r="AH1027" s="14"/>
      <c r="AI1027" s="14"/>
      <c r="AJ1027" s="14"/>
      <c r="AK1027" s="14"/>
      <c r="AL1027" s="14"/>
      <c r="AM1027" s="14"/>
    </row>
    <row r="1028" customFormat="false" ht="13.8" hidden="false" customHeight="false" outlineLevel="0" collapsed="false">
      <c r="AA1028" s="7" t="n">
        <f aca="false">AA1027+1</f>
        <v>41934</v>
      </c>
      <c r="AB1028" s="14"/>
      <c r="AC1028" s="14"/>
      <c r="AD1028" s="14"/>
      <c r="AE1028" s="14"/>
      <c r="AF1028" s="14"/>
      <c r="AG1028" s="14"/>
      <c r="AH1028" s="14"/>
      <c r="AI1028" s="14"/>
      <c r="AJ1028" s="14"/>
      <c r="AK1028" s="14"/>
      <c r="AL1028" s="14"/>
      <c r="AM1028" s="14"/>
    </row>
    <row r="1029" customFormat="false" ht="13.8" hidden="false" customHeight="false" outlineLevel="0" collapsed="false">
      <c r="AA1029" s="7" t="n">
        <f aca="false">AA1028+1</f>
        <v>41935</v>
      </c>
      <c r="AB1029" s="14"/>
      <c r="AC1029" s="14"/>
      <c r="AD1029" s="14"/>
      <c r="AE1029" s="14"/>
      <c r="AF1029" s="14"/>
      <c r="AG1029" s="14"/>
      <c r="AH1029" s="14"/>
      <c r="AI1029" s="14"/>
      <c r="AJ1029" s="14"/>
      <c r="AK1029" s="14"/>
      <c r="AL1029" s="14"/>
      <c r="AM1029" s="14"/>
    </row>
    <row r="1030" customFormat="false" ht="13.8" hidden="false" customHeight="false" outlineLevel="0" collapsed="false">
      <c r="AA1030" s="7" t="n">
        <f aca="false">AA1029+1</f>
        <v>41936</v>
      </c>
      <c r="AB1030" s="14"/>
      <c r="AC1030" s="14"/>
      <c r="AD1030" s="14"/>
      <c r="AE1030" s="14"/>
      <c r="AF1030" s="14"/>
      <c r="AG1030" s="14"/>
      <c r="AH1030" s="14"/>
      <c r="AI1030" s="14"/>
      <c r="AJ1030" s="14"/>
      <c r="AK1030" s="14"/>
      <c r="AL1030" s="14"/>
      <c r="AM1030" s="14"/>
    </row>
    <row r="1031" customFormat="false" ht="13.8" hidden="false" customHeight="false" outlineLevel="0" collapsed="false">
      <c r="AA1031" s="7" t="n">
        <f aca="false">AA1030+1</f>
        <v>41937</v>
      </c>
      <c r="AB1031" s="14"/>
      <c r="AC1031" s="14"/>
      <c r="AD1031" s="14"/>
      <c r="AE1031" s="14"/>
      <c r="AF1031" s="14"/>
      <c r="AG1031" s="14"/>
      <c r="AH1031" s="14"/>
      <c r="AI1031" s="14"/>
      <c r="AJ1031" s="14"/>
      <c r="AK1031" s="14"/>
      <c r="AL1031" s="14"/>
      <c r="AM1031" s="14"/>
    </row>
    <row r="1032" customFormat="false" ht="13.8" hidden="false" customHeight="false" outlineLevel="0" collapsed="false">
      <c r="AA1032" s="7" t="n">
        <f aca="false">AA1031+1</f>
        <v>41938</v>
      </c>
      <c r="AB1032" s="14"/>
      <c r="AC1032" s="14"/>
      <c r="AD1032" s="14"/>
      <c r="AE1032" s="14"/>
      <c r="AF1032" s="14"/>
      <c r="AG1032" s="14"/>
      <c r="AH1032" s="14"/>
      <c r="AI1032" s="14"/>
      <c r="AJ1032" s="14"/>
      <c r="AK1032" s="14"/>
      <c r="AL1032" s="14"/>
      <c r="AM1032" s="14"/>
    </row>
    <row r="1033" customFormat="false" ht="13.8" hidden="false" customHeight="false" outlineLevel="0" collapsed="false">
      <c r="AA1033" s="7" t="n">
        <f aca="false">AA1032+1</f>
        <v>41939</v>
      </c>
      <c r="AB1033" s="14"/>
      <c r="AC1033" s="14"/>
      <c r="AD1033" s="14"/>
      <c r="AE1033" s="14"/>
      <c r="AF1033" s="14"/>
      <c r="AG1033" s="14"/>
      <c r="AH1033" s="14"/>
      <c r="AI1033" s="14"/>
      <c r="AJ1033" s="14"/>
      <c r="AK1033" s="14"/>
      <c r="AL1033" s="14"/>
      <c r="AM1033" s="14"/>
    </row>
    <row r="1034" customFormat="false" ht="13.8" hidden="false" customHeight="false" outlineLevel="0" collapsed="false">
      <c r="AA1034" s="7" t="n">
        <f aca="false">AA1033+1</f>
        <v>41940</v>
      </c>
      <c r="AB1034" s="14"/>
      <c r="AC1034" s="14"/>
      <c r="AD1034" s="14"/>
      <c r="AE1034" s="14"/>
      <c r="AF1034" s="14"/>
      <c r="AG1034" s="14"/>
      <c r="AH1034" s="14"/>
      <c r="AI1034" s="14"/>
      <c r="AJ1034" s="14"/>
      <c r="AK1034" s="14"/>
      <c r="AL1034" s="14"/>
      <c r="AM1034" s="14"/>
    </row>
    <row r="1035" customFormat="false" ht="13.8" hidden="false" customHeight="false" outlineLevel="0" collapsed="false">
      <c r="AA1035" s="7" t="n">
        <f aca="false">AA1034+1</f>
        <v>41941</v>
      </c>
      <c r="AB1035" s="14"/>
      <c r="AC1035" s="14"/>
      <c r="AD1035" s="14"/>
      <c r="AE1035" s="14"/>
      <c r="AF1035" s="14"/>
      <c r="AG1035" s="14"/>
      <c r="AH1035" s="14"/>
      <c r="AI1035" s="14"/>
      <c r="AJ1035" s="14"/>
      <c r="AK1035" s="14"/>
      <c r="AL1035" s="14"/>
      <c r="AM1035" s="14"/>
    </row>
    <row r="1036" customFormat="false" ht="13.8" hidden="false" customHeight="false" outlineLevel="0" collapsed="false">
      <c r="AA1036" s="7" t="n">
        <f aca="false">AA1035+1</f>
        <v>41942</v>
      </c>
      <c r="AB1036" s="14"/>
      <c r="AC1036" s="14"/>
      <c r="AD1036" s="14"/>
      <c r="AE1036" s="14"/>
      <c r="AF1036" s="14"/>
      <c r="AG1036" s="14"/>
      <c r="AH1036" s="14"/>
      <c r="AI1036" s="14"/>
      <c r="AJ1036" s="14"/>
      <c r="AK1036" s="14"/>
      <c r="AL1036" s="14"/>
      <c r="AM1036" s="14"/>
    </row>
    <row r="1037" customFormat="false" ht="13.8" hidden="false" customHeight="false" outlineLevel="0" collapsed="false">
      <c r="AA1037" s="7" t="n">
        <f aca="false">AA1036+1</f>
        <v>41943</v>
      </c>
      <c r="AB1037" s="14"/>
      <c r="AC1037" s="14"/>
      <c r="AD1037" s="14"/>
      <c r="AE1037" s="14"/>
      <c r="AF1037" s="14"/>
      <c r="AG1037" s="14"/>
      <c r="AH1037" s="14"/>
      <c r="AI1037" s="14"/>
      <c r="AJ1037" s="14"/>
      <c r="AK1037" s="14"/>
      <c r="AL1037" s="14"/>
      <c r="AM1037" s="14"/>
    </row>
    <row r="1038" customFormat="false" ht="13.8" hidden="false" customHeight="false" outlineLevel="0" collapsed="false">
      <c r="AA1038" s="7" t="n">
        <f aca="false">AA1037+1</f>
        <v>41944</v>
      </c>
      <c r="AB1038" s="14"/>
      <c r="AC1038" s="14"/>
      <c r="AD1038" s="14"/>
      <c r="AE1038" s="14"/>
      <c r="AF1038" s="14"/>
      <c r="AG1038" s="14"/>
      <c r="AH1038" s="14"/>
      <c r="AI1038" s="14"/>
      <c r="AJ1038" s="14"/>
      <c r="AK1038" s="14"/>
      <c r="AL1038" s="14"/>
      <c r="AM1038" s="14"/>
    </row>
    <row r="1039" customFormat="false" ht="13.8" hidden="false" customHeight="false" outlineLevel="0" collapsed="false">
      <c r="AA1039" s="7" t="n">
        <f aca="false">AA1038+1</f>
        <v>41945</v>
      </c>
      <c r="AB1039" s="14"/>
      <c r="AC1039" s="14"/>
      <c r="AD1039" s="14"/>
      <c r="AE1039" s="14"/>
      <c r="AF1039" s="14"/>
      <c r="AG1039" s="14"/>
      <c r="AH1039" s="14"/>
      <c r="AI1039" s="14"/>
      <c r="AJ1039" s="14"/>
      <c r="AK1039" s="14"/>
      <c r="AL1039" s="14"/>
      <c r="AM1039" s="14"/>
    </row>
    <row r="1040" customFormat="false" ht="13.8" hidden="false" customHeight="false" outlineLevel="0" collapsed="false">
      <c r="AA1040" s="7" t="n">
        <f aca="false">AA1039+1</f>
        <v>41946</v>
      </c>
      <c r="AB1040" s="14"/>
      <c r="AC1040" s="14"/>
      <c r="AD1040" s="14"/>
      <c r="AE1040" s="14"/>
      <c r="AF1040" s="14"/>
      <c r="AG1040" s="14"/>
      <c r="AH1040" s="14"/>
      <c r="AI1040" s="14"/>
      <c r="AJ1040" s="14"/>
      <c r="AK1040" s="14"/>
      <c r="AL1040" s="14"/>
      <c r="AM1040" s="14"/>
    </row>
    <row r="1041" customFormat="false" ht="13.8" hidden="false" customHeight="false" outlineLevel="0" collapsed="false">
      <c r="AA1041" s="7" t="n">
        <f aca="false">AA1040+1</f>
        <v>41947</v>
      </c>
      <c r="AB1041" s="14"/>
      <c r="AC1041" s="14"/>
      <c r="AD1041" s="14"/>
      <c r="AE1041" s="14"/>
      <c r="AF1041" s="14"/>
      <c r="AG1041" s="14"/>
      <c r="AH1041" s="14"/>
      <c r="AI1041" s="14"/>
      <c r="AJ1041" s="14"/>
      <c r="AK1041" s="14"/>
      <c r="AL1041" s="14"/>
      <c r="AM1041" s="14"/>
    </row>
    <row r="1042" customFormat="false" ht="13.8" hidden="false" customHeight="false" outlineLevel="0" collapsed="false">
      <c r="AA1042" s="7" t="n">
        <f aca="false">AA1041+1</f>
        <v>41948</v>
      </c>
      <c r="AB1042" s="14"/>
      <c r="AC1042" s="14"/>
      <c r="AD1042" s="14"/>
      <c r="AE1042" s="14"/>
      <c r="AF1042" s="14"/>
      <c r="AG1042" s="14"/>
      <c r="AH1042" s="14"/>
      <c r="AI1042" s="14"/>
      <c r="AJ1042" s="14"/>
      <c r="AK1042" s="14"/>
      <c r="AL1042" s="14"/>
      <c r="AM1042" s="14"/>
    </row>
    <row r="1043" customFormat="false" ht="13.8" hidden="false" customHeight="false" outlineLevel="0" collapsed="false">
      <c r="AA1043" s="7" t="n">
        <f aca="false">AA1042+1</f>
        <v>41949</v>
      </c>
      <c r="AB1043" s="14"/>
      <c r="AC1043" s="14"/>
      <c r="AD1043" s="14"/>
      <c r="AE1043" s="14"/>
      <c r="AF1043" s="14"/>
      <c r="AG1043" s="14"/>
      <c r="AH1043" s="14"/>
      <c r="AI1043" s="14"/>
      <c r="AJ1043" s="14"/>
      <c r="AK1043" s="14"/>
      <c r="AL1043" s="14"/>
      <c r="AM1043" s="14"/>
    </row>
    <row r="1044" customFormat="false" ht="13.8" hidden="false" customHeight="false" outlineLevel="0" collapsed="false">
      <c r="AA1044" s="7" t="n">
        <f aca="false">AA1043+1</f>
        <v>41950</v>
      </c>
      <c r="AB1044" s="14"/>
      <c r="AC1044" s="14"/>
      <c r="AD1044" s="14"/>
      <c r="AE1044" s="14"/>
      <c r="AF1044" s="14"/>
      <c r="AG1044" s="14"/>
      <c r="AH1044" s="14"/>
      <c r="AI1044" s="14"/>
      <c r="AJ1044" s="14"/>
      <c r="AK1044" s="14"/>
      <c r="AL1044" s="14"/>
      <c r="AM1044" s="14"/>
    </row>
    <row r="1045" customFormat="false" ht="13.8" hidden="false" customHeight="false" outlineLevel="0" collapsed="false">
      <c r="AA1045" s="7" t="n">
        <f aca="false">AA1044+1</f>
        <v>41951</v>
      </c>
      <c r="AB1045" s="14"/>
      <c r="AC1045" s="14"/>
      <c r="AD1045" s="14"/>
      <c r="AE1045" s="14"/>
      <c r="AF1045" s="14"/>
      <c r="AG1045" s="14"/>
      <c r="AH1045" s="14"/>
      <c r="AI1045" s="14"/>
      <c r="AJ1045" s="14"/>
      <c r="AK1045" s="14"/>
      <c r="AL1045" s="14"/>
      <c r="AM1045" s="14"/>
    </row>
    <row r="1046" customFormat="false" ht="13.8" hidden="false" customHeight="false" outlineLevel="0" collapsed="false">
      <c r="AA1046" s="7" t="n">
        <f aca="false">AA1045+1</f>
        <v>41952</v>
      </c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  <c r="AL1046" s="14"/>
      <c r="AM1046" s="14"/>
    </row>
    <row r="1047" customFormat="false" ht="13.8" hidden="false" customHeight="false" outlineLevel="0" collapsed="false">
      <c r="AA1047" s="7" t="n">
        <f aca="false">AA1046+1</f>
        <v>41953</v>
      </c>
      <c r="AB1047" s="14"/>
      <c r="AC1047" s="14"/>
      <c r="AD1047" s="14"/>
      <c r="AE1047" s="14"/>
      <c r="AF1047" s="14"/>
      <c r="AG1047" s="14"/>
      <c r="AH1047" s="14"/>
      <c r="AI1047" s="14"/>
      <c r="AJ1047" s="14"/>
      <c r="AK1047" s="14"/>
      <c r="AL1047" s="14"/>
      <c r="AM1047" s="14"/>
    </row>
    <row r="1048" customFormat="false" ht="13.8" hidden="false" customHeight="false" outlineLevel="0" collapsed="false">
      <c r="AA1048" s="7" t="n">
        <f aca="false">AA1047+1</f>
        <v>41954</v>
      </c>
      <c r="AB1048" s="14"/>
      <c r="AC1048" s="14"/>
      <c r="AD1048" s="14"/>
      <c r="AE1048" s="14"/>
      <c r="AF1048" s="14"/>
      <c r="AG1048" s="14"/>
      <c r="AH1048" s="14"/>
      <c r="AI1048" s="14"/>
      <c r="AJ1048" s="14"/>
      <c r="AK1048" s="14"/>
      <c r="AL1048" s="14"/>
      <c r="AM1048" s="14"/>
    </row>
    <row r="1049" customFormat="false" ht="13.8" hidden="false" customHeight="false" outlineLevel="0" collapsed="false">
      <c r="AA1049" s="7" t="n">
        <f aca="false">AA1048+1</f>
        <v>41955</v>
      </c>
      <c r="AB1049" s="14"/>
      <c r="AC1049" s="14"/>
      <c r="AD1049" s="14"/>
      <c r="AE1049" s="14"/>
      <c r="AF1049" s="14"/>
      <c r="AG1049" s="14"/>
      <c r="AH1049" s="14"/>
      <c r="AI1049" s="14"/>
      <c r="AJ1049" s="14"/>
      <c r="AK1049" s="14"/>
      <c r="AL1049" s="14"/>
      <c r="AM1049" s="14"/>
    </row>
    <row r="1050" customFormat="false" ht="13.8" hidden="false" customHeight="false" outlineLevel="0" collapsed="false">
      <c r="AA1050" s="7" t="n">
        <f aca="false">AA1049+1</f>
        <v>41956</v>
      </c>
      <c r="AB1050" s="14"/>
      <c r="AC1050" s="14"/>
      <c r="AD1050" s="14"/>
      <c r="AE1050" s="14"/>
      <c r="AF1050" s="14"/>
      <c r="AG1050" s="14"/>
      <c r="AH1050" s="14"/>
      <c r="AI1050" s="14"/>
      <c r="AJ1050" s="14"/>
      <c r="AK1050" s="14"/>
      <c r="AL1050" s="14"/>
      <c r="AM1050" s="14"/>
    </row>
    <row r="1051" customFormat="false" ht="13.8" hidden="false" customHeight="false" outlineLevel="0" collapsed="false">
      <c r="AA1051" s="7" t="n">
        <f aca="false">AA1050+1</f>
        <v>41957</v>
      </c>
      <c r="AB1051" s="14"/>
      <c r="AC1051" s="14"/>
      <c r="AD1051" s="14"/>
      <c r="AE1051" s="14"/>
      <c r="AF1051" s="14"/>
      <c r="AG1051" s="14"/>
      <c r="AH1051" s="14"/>
      <c r="AI1051" s="14"/>
      <c r="AJ1051" s="14"/>
      <c r="AK1051" s="14"/>
      <c r="AL1051" s="14"/>
      <c r="AM1051" s="14"/>
    </row>
    <row r="1052" customFormat="false" ht="13.8" hidden="false" customHeight="false" outlineLevel="0" collapsed="false">
      <c r="AA1052" s="7" t="n">
        <f aca="false">AA1051+1</f>
        <v>41958</v>
      </c>
      <c r="AB1052" s="14"/>
      <c r="AC1052" s="14"/>
      <c r="AD1052" s="14"/>
      <c r="AE1052" s="14"/>
      <c r="AF1052" s="14"/>
      <c r="AG1052" s="14"/>
      <c r="AH1052" s="14"/>
      <c r="AI1052" s="14"/>
      <c r="AJ1052" s="14"/>
      <c r="AK1052" s="14"/>
      <c r="AL1052" s="14"/>
      <c r="AM1052" s="14"/>
    </row>
    <row r="1053" customFormat="false" ht="13.8" hidden="false" customHeight="false" outlineLevel="0" collapsed="false">
      <c r="AA1053" s="7" t="n">
        <f aca="false">AA1052+1</f>
        <v>41959</v>
      </c>
      <c r="AB1053" s="14"/>
      <c r="AC1053" s="14"/>
      <c r="AD1053" s="14"/>
      <c r="AE1053" s="14"/>
      <c r="AF1053" s="14"/>
      <c r="AG1053" s="14"/>
      <c r="AH1053" s="14"/>
      <c r="AI1053" s="14"/>
      <c r="AJ1053" s="14"/>
      <c r="AK1053" s="14"/>
      <c r="AL1053" s="14"/>
      <c r="AM1053" s="14"/>
    </row>
    <row r="1054" customFormat="false" ht="13.8" hidden="false" customHeight="false" outlineLevel="0" collapsed="false">
      <c r="AA1054" s="7" t="n">
        <f aca="false">AA1053+1</f>
        <v>41960</v>
      </c>
      <c r="AB1054" s="14"/>
      <c r="AC1054" s="14"/>
      <c r="AD1054" s="14"/>
      <c r="AE1054" s="14"/>
      <c r="AF1054" s="14"/>
      <c r="AG1054" s="14"/>
      <c r="AH1054" s="14"/>
      <c r="AI1054" s="14"/>
      <c r="AJ1054" s="14"/>
      <c r="AK1054" s="14"/>
      <c r="AL1054" s="14"/>
      <c r="AM1054" s="14"/>
    </row>
    <row r="1055" customFormat="false" ht="13.8" hidden="false" customHeight="false" outlineLevel="0" collapsed="false">
      <c r="AA1055" s="7" t="n">
        <f aca="false">AA1054+1</f>
        <v>41961</v>
      </c>
      <c r="AB1055" s="14"/>
      <c r="AC1055" s="14"/>
      <c r="AD1055" s="14"/>
      <c r="AE1055" s="14"/>
      <c r="AF1055" s="14"/>
      <c r="AG1055" s="14"/>
      <c r="AH1055" s="14"/>
      <c r="AI1055" s="14"/>
      <c r="AJ1055" s="14"/>
      <c r="AK1055" s="14"/>
      <c r="AL1055" s="14"/>
      <c r="AM1055" s="14"/>
    </row>
    <row r="1056" customFormat="false" ht="13.8" hidden="false" customHeight="false" outlineLevel="0" collapsed="false">
      <c r="AA1056" s="7" t="n">
        <f aca="false">AA1055+1</f>
        <v>41962</v>
      </c>
      <c r="AB1056" s="14"/>
      <c r="AC1056" s="14"/>
      <c r="AD1056" s="14"/>
      <c r="AE1056" s="14"/>
      <c r="AF1056" s="14"/>
      <c r="AG1056" s="14"/>
      <c r="AH1056" s="14"/>
      <c r="AI1056" s="14"/>
      <c r="AJ1056" s="14"/>
      <c r="AK1056" s="14"/>
      <c r="AL1056" s="14"/>
      <c r="AM1056" s="14"/>
    </row>
    <row r="1057" customFormat="false" ht="13.8" hidden="false" customHeight="false" outlineLevel="0" collapsed="false">
      <c r="AA1057" s="7" t="n">
        <f aca="false">AA1056+1</f>
        <v>41963</v>
      </c>
      <c r="AB1057" s="14"/>
      <c r="AC1057" s="14"/>
      <c r="AD1057" s="14"/>
      <c r="AE1057" s="14"/>
      <c r="AF1057" s="14"/>
      <c r="AG1057" s="14"/>
      <c r="AH1057" s="14"/>
      <c r="AI1057" s="14"/>
      <c r="AJ1057" s="14"/>
      <c r="AK1057" s="14"/>
      <c r="AL1057" s="14"/>
      <c r="AM1057" s="14"/>
    </row>
    <row r="1058" customFormat="false" ht="13.8" hidden="false" customHeight="false" outlineLevel="0" collapsed="false">
      <c r="AA1058" s="7" t="n">
        <f aca="false">AA1057+1</f>
        <v>41964</v>
      </c>
      <c r="AB1058" s="14"/>
      <c r="AC1058" s="14"/>
      <c r="AD1058" s="14"/>
      <c r="AE1058" s="14"/>
      <c r="AF1058" s="14"/>
      <c r="AG1058" s="14"/>
      <c r="AH1058" s="14"/>
      <c r="AI1058" s="14"/>
      <c r="AJ1058" s="14"/>
      <c r="AK1058" s="14"/>
      <c r="AL1058" s="14"/>
      <c r="AM1058" s="14"/>
    </row>
    <row r="1059" customFormat="false" ht="13.8" hidden="false" customHeight="false" outlineLevel="0" collapsed="false">
      <c r="AA1059" s="7" t="n">
        <f aca="false">AA1058+1</f>
        <v>41965</v>
      </c>
      <c r="AB1059" s="14"/>
      <c r="AC1059" s="14"/>
      <c r="AD1059" s="14"/>
      <c r="AE1059" s="14"/>
      <c r="AF1059" s="14"/>
      <c r="AG1059" s="14"/>
      <c r="AH1059" s="14"/>
      <c r="AI1059" s="14"/>
      <c r="AJ1059" s="14"/>
      <c r="AK1059" s="14"/>
      <c r="AL1059" s="14"/>
      <c r="AM1059" s="14"/>
    </row>
    <row r="1060" customFormat="false" ht="13.8" hidden="false" customHeight="false" outlineLevel="0" collapsed="false">
      <c r="AA1060" s="7" t="n">
        <f aca="false">AA1059+1</f>
        <v>41966</v>
      </c>
      <c r="AB1060" s="14"/>
      <c r="AC1060" s="14"/>
      <c r="AD1060" s="14"/>
      <c r="AE1060" s="14"/>
      <c r="AF1060" s="14"/>
      <c r="AG1060" s="14"/>
      <c r="AH1060" s="14"/>
      <c r="AI1060" s="14"/>
      <c r="AJ1060" s="14"/>
      <c r="AK1060" s="14"/>
      <c r="AL1060" s="14"/>
      <c r="AM1060" s="14"/>
    </row>
    <row r="1061" customFormat="false" ht="13.8" hidden="false" customHeight="false" outlineLevel="0" collapsed="false">
      <c r="AA1061" s="7" t="n">
        <f aca="false">AA1060+1</f>
        <v>41967</v>
      </c>
      <c r="AB1061" s="14"/>
      <c r="AC1061" s="14"/>
      <c r="AD1061" s="14"/>
      <c r="AE1061" s="14"/>
      <c r="AF1061" s="14"/>
      <c r="AG1061" s="14"/>
      <c r="AH1061" s="14"/>
      <c r="AI1061" s="14"/>
      <c r="AJ1061" s="14"/>
      <c r="AK1061" s="14"/>
      <c r="AL1061" s="14"/>
      <c r="AM1061" s="14"/>
    </row>
    <row r="1062" customFormat="false" ht="13.8" hidden="false" customHeight="false" outlineLevel="0" collapsed="false">
      <c r="AA1062" s="7" t="n">
        <f aca="false">AA1061+1</f>
        <v>41968</v>
      </c>
      <c r="AB1062" s="14"/>
      <c r="AC1062" s="14"/>
      <c r="AD1062" s="14"/>
      <c r="AE1062" s="14"/>
      <c r="AF1062" s="14"/>
      <c r="AG1062" s="14"/>
      <c r="AH1062" s="14"/>
      <c r="AI1062" s="14"/>
      <c r="AJ1062" s="14"/>
      <c r="AK1062" s="14"/>
      <c r="AL1062" s="14"/>
      <c r="AM1062" s="14"/>
    </row>
    <row r="1063" customFormat="false" ht="13.8" hidden="false" customHeight="false" outlineLevel="0" collapsed="false">
      <c r="AA1063" s="7" t="n">
        <f aca="false">AA1062+1</f>
        <v>41969</v>
      </c>
      <c r="AB1063" s="14"/>
      <c r="AC1063" s="14"/>
      <c r="AD1063" s="14"/>
      <c r="AE1063" s="14"/>
      <c r="AF1063" s="14"/>
      <c r="AG1063" s="14"/>
      <c r="AH1063" s="14"/>
      <c r="AI1063" s="14"/>
      <c r="AJ1063" s="14"/>
      <c r="AK1063" s="14"/>
      <c r="AL1063" s="14"/>
      <c r="AM1063" s="14"/>
    </row>
    <row r="1064" customFormat="false" ht="13.8" hidden="false" customHeight="false" outlineLevel="0" collapsed="false">
      <c r="AA1064" s="7" t="n">
        <f aca="false">AA1063+1</f>
        <v>41970</v>
      </c>
      <c r="AB1064" s="14"/>
      <c r="AC1064" s="14"/>
      <c r="AD1064" s="14"/>
      <c r="AE1064" s="14"/>
      <c r="AF1064" s="14"/>
      <c r="AG1064" s="14"/>
      <c r="AH1064" s="14"/>
      <c r="AI1064" s="14"/>
      <c r="AJ1064" s="14"/>
      <c r="AK1064" s="14"/>
      <c r="AL1064" s="14"/>
      <c r="AM1064" s="14"/>
    </row>
    <row r="1065" customFormat="false" ht="13.8" hidden="false" customHeight="false" outlineLevel="0" collapsed="false">
      <c r="AA1065" s="7" t="n">
        <f aca="false">AA1064+1</f>
        <v>41971</v>
      </c>
      <c r="AB1065" s="14"/>
      <c r="AC1065" s="14"/>
      <c r="AD1065" s="14"/>
      <c r="AE1065" s="14"/>
      <c r="AF1065" s="14"/>
      <c r="AG1065" s="14"/>
      <c r="AH1065" s="14"/>
      <c r="AI1065" s="14"/>
      <c r="AJ1065" s="14"/>
      <c r="AK1065" s="14"/>
      <c r="AL1065" s="14"/>
      <c r="AM1065" s="14"/>
    </row>
    <row r="1066" customFormat="false" ht="13.8" hidden="false" customHeight="false" outlineLevel="0" collapsed="false">
      <c r="AA1066" s="7" t="n">
        <f aca="false">AA1065+1</f>
        <v>41972</v>
      </c>
      <c r="AB1066" s="14"/>
      <c r="AC1066" s="14"/>
      <c r="AD1066" s="14"/>
      <c r="AE1066" s="14"/>
      <c r="AF1066" s="14"/>
      <c r="AG1066" s="14"/>
      <c r="AH1066" s="14"/>
      <c r="AI1066" s="14"/>
      <c r="AJ1066" s="14"/>
      <c r="AK1066" s="14"/>
      <c r="AL1066" s="14"/>
      <c r="AM1066" s="14"/>
    </row>
    <row r="1067" customFormat="false" ht="13.8" hidden="false" customHeight="false" outlineLevel="0" collapsed="false">
      <c r="AA1067" s="7" t="n">
        <f aca="false">AA1066+1</f>
        <v>41973</v>
      </c>
      <c r="AB1067" s="14"/>
      <c r="AC1067" s="14"/>
      <c r="AD1067" s="14"/>
      <c r="AE1067" s="14"/>
      <c r="AF1067" s="14"/>
      <c r="AG1067" s="14"/>
      <c r="AH1067" s="14"/>
      <c r="AI1067" s="14"/>
      <c r="AJ1067" s="14"/>
      <c r="AK1067" s="14"/>
      <c r="AL1067" s="14"/>
      <c r="AM1067" s="14"/>
    </row>
    <row r="1068" customFormat="false" ht="13.8" hidden="false" customHeight="false" outlineLevel="0" collapsed="false">
      <c r="AA1068" s="7" t="n">
        <f aca="false">AA1067+1</f>
        <v>41974</v>
      </c>
      <c r="AB1068" s="14"/>
      <c r="AC1068" s="14"/>
      <c r="AD1068" s="14"/>
      <c r="AE1068" s="14"/>
      <c r="AF1068" s="14"/>
      <c r="AG1068" s="14"/>
      <c r="AH1068" s="14"/>
      <c r="AI1068" s="14"/>
      <c r="AJ1068" s="14"/>
      <c r="AK1068" s="14"/>
      <c r="AL1068" s="14"/>
      <c r="AM1068" s="14"/>
    </row>
    <row r="1069" customFormat="false" ht="13.8" hidden="false" customHeight="false" outlineLevel="0" collapsed="false">
      <c r="AA1069" s="7" t="n">
        <f aca="false">AA1068+1</f>
        <v>41975</v>
      </c>
      <c r="AB1069" s="14"/>
      <c r="AC1069" s="14"/>
      <c r="AD1069" s="14"/>
      <c r="AE1069" s="14"/>
      <c r="AF1069" s="14"/>
      <c r="AG1069" s="14"/>
      <c r="AH1069" s="14"/>
      <c r="AI1069" s="14"/>
      <c r="AJ1069" s="14"/>
      <c r="AK1069" s="14"/>
      <c r="AL1069" s="14"/>
      <c r="AM1069" s="14"/>
    </row>
    <row r="1070" customFormat="false" ht="13.8" hidden="false" customHeight="false" outlineLevel="0" collapsed="false">
      <c r="AA1070" s="7" t="n">
        <f aca="false">AA1069+1</f>
        <v>41976</v>
      </c>
      <c r="AB1070" s="14"/>
      <c r="AC1070" s="14"/>
      <c r="AD1070" s="14"/>
      <c r="AE1070" s="14"/>
      <c r="AF1070" s="14"/>
      <c r="AG1070" s="14"/>
      <c r="AH1070" s="14"/>
      <c r="AI1070" s="14"/>
      <c r="AJ1070" s="14"/>
      <c r="AK1070" s="14"/>
      <c r="AL1070" s="14"/>
      <c r="AM1070" s="14"/>
    </row>
    <row r="1071" customFormat="false" ht="13.8" hidden="false" customHeight="false" outlineLevel="0" collapsed="false">
      <c r="AA1071" s="7" t="n">
        <f aca="false">AA1070+1</f>
        <v>41977</v>
      </c>
      <c r="AB1071" s="14"/>
      <c r="AC1071" s="14"/>
      <c r="AD1071" s="14"/>
      <c r="AE1071" s="14"/>
      <c r="AF1071" s="14"/>
      <c r="AG1071" s="14"/>
      <c r="AH1071" s="14"/>
      <c r="AI1071" s="14"/>
      <c r="AJ1071" s="14"/>
      <c r="AK1071" s="14"/>
      <c r="AL1071" s="14"/>
      <c r="AM1071" s="14"/>
    </row>
    <row r="1072" customFormat="false" ht="13.8" hidden="false" customHeight="false" outlineLevel="0" collapsed="false">
      <c r="AA1072" s="7" t="n">
        <f aca="false">AA1071+1</f>
        <v>41978</v>
      </c>
      <c r="AB1072" s="14"/>
      <c r="AC1072" s="14"/>
      <c r="AD1072" s="14"/>
      <c r="AE1072" s="14"/>
      <c r="AF1072" s="14"/>
      <c r="AG1072" s="14"/>
      <c r="AH1072" s="14"/>
      <c r="AI1072" s="14"/>
      <c r="AJ1072" s="14"/>
      <c r="AK1072" s="14"/>
      <c r="AL1072" s="14"/>
      <c r="AM1072" s="14"/>
    </row>
    <row r="1073" customFormat="false" ht="13.8" hidden="false" customHeight="false" outlineLevel="0" collapsed="false">
      <c r="AA1073" s="7" t="n">
        <f aca="false">AA1072+1</f>
        <v>41979</v>
      </c>
      <c r="AB1073" s="14"/>
      <c r="AC1073" s="14"/>
      <c r="AD1073" s="14"/>
      <c r="AE1073" s="14"/>
      <c r="AF1073" s="14"/>
      <c r="AG1073" s="14"/>
      <c r="AH1073" s="14"/>
      <c r="AI1073" s="14"/>
      <c r="AJ1073" s="14"/>
      <c r="AK1073" s="14"/>
      <c r="AL1073" s="14"/>
      <c r="AM1073" s="14"/>
    </row>
    <row r="1074" customFormat="false" ht="13.8" hidden="false" customHeight="false" outlineLevel="0" collapsed="false">
      <c r="AA1074" s="7" t="n">
        <f aca="false">AA1073+1</f>
        <v>41980</v>
      </c>
      <c r="AB1074" s="14"/>
      <c r="AC1074" s="14"/>
      <c r="AD1074" s="14"/>
      <c r="AE1074" s="14"/>
      <c r="AF1074" s="14"/>
      <c r="AG1074" s="14"/>
      <c r="AH1074" s="14"/>
      <c r="AI1074" s="14"/>
      <c r="AJ1074" s="14"/>
      <c r="AK1074" s="14"/>
      <c r="AL1074" s="14"/>
      <c r="AM1074" s="14"/>
    </row>
    <row r="1075" customFormat="false" ht="13.8" hidden="false" customHeight="false" outlineLevel="0" collapsed="false">
      <c r="AA1075" s="7" t="n">
        <f aca="false">AA1074+1</f>
        <v>41981</v>
      </c>
      <c r="AB1075" s="14"/>
      <c r="AC1075" s="14"/>
      <c r="AD1075" s="14"/>
      <c r="AE1075" s="14"/>
      <c r="AF1075" s="14"/>
      <c r="AG1075" s="14"/>
      <c r="AH1075" s="14"/>
      <c r="AI1075" s="14"/>
      <c r="AJ1075" s="14"/>
      <c r="AK1075" s="14"/>
      <c r="AL1075" s="14"/>
      <c r="AM1075" s="14"/>
    </row>
    <row r="1076" customFormat="false" ht="13.8" hidden="false" customHeight="false" outlineLevel="0" collapsed="false">
      <c r="AA1076" s="7" t="n">
        <f aca="false">AA1075+1</f>
        <v>41982</v>
      </c>
      <c r="AB1076" s="14"/>
      <c r="AC1076" s="14"/>
      <c r="AD1076" s="14"/>
      <c r="AE1076" s="14"/>
      <c r="AF1076" s="14"/>
      <c r="AG1076" s="14"/>
      <c r="AH1076" s="14"/>
      <c r="AI1076" s="14"/>
      <c r="AJ1076" s="14"/>
      <c r="AK1076" s="14"/>
      <c r="AL1076" s="14"/>
      <c r="AM1076" s="14"/>
    </row>
    <row r="1077" customFormat="false" ht="13.8" hidden="false" customHeight="false" outlineLevel="0" collapsed="false">
      <c r="AA1077" s="7" t="n">
        <f aca="false">AA1076+1</f>
        <v>41983</v>
      </c>
      <c r="AB1077" s="14"/>
      <c r="AC1077" s="14"/>
      <c r="AD1077" s="14"/>
      <c r="AE1077" s="14"/>
      <c r="AF1077" s="14"/>
      <c r="AG1077" s="14"/>
      <c r="AH1077" s="14"/>
      <c r="AI1077" s="14"/>
      <c r="AJ1077" s="14"/>
      <c r="AK1077" s="14"/>
      <c r="AL1077" s="14"/>
      <c r="AM1077" s="14"/>
    </row>
    <row r="1078" customFormat="false" ht="13.8" hidden="false" customHeight="false" outlineLevel="0" collapsed="false">
      <c r="AA1078" s="7" t="n">
        <f aca="false">AA1077+1</f>
        <v>41984</v>
      </c>
      <c r="AB1078" s="14"/>
      <c r="AC1078" s="14"/>
      <c r="AD1078" s="14"/>
      <c r="AE1078" s="14"/>
      <c r="AF1078" s="14"/>
      <c r="AG1078" s="14"/>
      <c r="AH1078" s="14"/>
      <c r="AI1078" s="14"/>
      <c r="AJ1078" s="14"/>
      <c r="AK1078" s="14"/>
      <c r="AL1078" s="14"/>
      <c r="AM1078" s="14"/>
    </row>
    <row r="1079" customFormat="false" ht="13.8" hidden="false" customHeight="false" outlineLevel="0" collapsed="false">
      <c r="AA1079" s="7" t="n">
        <f aca="false">AA1078+1</f>
        <v>41985</v>
      </c>
      <c r="AB1079" s="14"/>
      <c r="AC1079" s="14"/>
      <c r="AD1079" s="14"/>
      <c r="AE1079" s="14"/>
      <c r="AF1079" s="14"/>
      <c r="AG1079" s="14"/>
      <c r="AH1079" s="14"/>
      <c r="AI1079" s="14"/>
      <c r="AJ1079" s="14"/>
      <c r="AK1079" s="14"/>
      <c r="AL1079" s="14"/>
      <c r="AM1079" s="14"/>
    </row>
    <row r="1080" customFormat="false" ht="13.8" hidden="false" customHeight="false" outlineLevel="0" collapsed="false">
      <c r="AA1080" s="7" t="n">
        <f aca="false">AA1079+1</f>
        <v>41986</v>
      </c>
      <c r="AB1080" s="14"/>
      <c r="AC1080" s="14"/>
      <c r="AD1080" s="14"/>
      <c r="AE1080" s="14"/>
      <c r="AF1080" s="14"/>
      <c r="AG1080" s="14"/>
      <c r="AH1080" s="14"/>
      <c r="AI1080" s="14"/>
      <c r="AJ1080" s="14"/>
      <c r="AK1080" s="14"/>
      <c r="AL1080" s="14"/>
      <c r="AM1080" s="14"/>
    </row>
    <row r="1081" customFormat="false" ht="13.8" hidden="false" customHeight="false" outlineLevel="0" collapsed="false">
      <c r="AA1081" s="7" t="n">
        <f aca="false">AA1080+1</f>
        <v>41987</v>
      </c>
      <c r="AB1081" s="14"/>
      <c r="AC1081" s="14"/>
      <c r="AD1081" s="14"/>
      <c r="AE1081" s="14"/>
      <c r="AF1081" s="14"/>
      <c r="AG1081" s="14"/>
      <c r="AH1081" s="14"/>
      <c r="AI1081" s="14"/>
      <c r="AJ1081" s="14"/>
      <c r="AK1081" s="14"/>
      <c r="AL1081" s="14"/>
      <c r="AM1081" s="14"/>
    </row>
    <row r="1082" customFormat="false" ht="13.8" hidden="false" customHeight="false" outlineLevel="0" collapsed="false">
      <c r="AA1082" s="7" t="n">
        <f aca="false">AA1081+1</f>
        <v>41988</v>
      </c>
      <c r="AB1082" s="14"/>
      <c r="AC1082" s="14"/>
      <c r="AD1082" s="14"/>
      <c r="AE1082" s="14"/>
      <c r="AF1082" s="14"/>
      <c r="AG1082" s="14"/>
      <c r="AH1082" s="14"/>
      <c r="AI1082" s="14"/>
      <c r="AJ1082" s="14"/>
      <c r="AK1082" s="14"/>
      <c r="AL1082" s="14"/>
      <c r="AM1082" s="14"/>
    </row>
    <row r="1083" customFormat="false" ht="13.8" hidden="false" customHeight="false" outlineLevel="0" collapsed="false">
      <c r="AA1083" s="7" t="n">
        <f aca="false">AA1082+1</f>
        <v>41989</v>
      </c>
      <c r="AB1083" s="14"/>
      <c r="AC1083" s="14"/>
      <c r="AD1083" s="14"/>
      <c r="AE1083" s="14"/>
      <c r="AF1083" s="14"/>
      <c r="AG1083" s="14"/>
      <c r="AH1083" s="14"/>
      <c r="AI1083" s="14"/>
      <c r="AJ1083" s="14"/>
      <c r="AK1083" s="14"/>
      <c r="AL1083" s="14"/>
      <c r="AM1083" s="14"/>
    </row>
    <row r="1084" customFormat="false" ht="13.8" hidden="false" customHeight="false" outlineLevel="0" collapsed="false">
      <c r="AA1084" s="7" t="n">
        <f aca="false">AA1083+1</f>
        <v>41990</v>
      </c>
      <c r="AB1084" s="14"/>
      <c r="AC1084" s="14"/>
      <c r="AD1084" s="14"/>
      <c r="AE1084" s="14"/>
      <c r="AF1084" s="14"/>
      <c r="AG1084" s="14"/>
      <c r="AH1084" s="14"/>
      <c r="AI1084" s="14"/>
      <c r="AJ1084" s="14"/>
      <c r="AK1084" s="14"/>
      <c r="AL1084" s="14"/>
      <c r="AM1084" s="14"/>
    </row>
    <row r="1085" customFormat="false" ht="13.8" hidden="false" customHeight="false" outlineLevel="0" collapsed="false">
      <c r="AA1085" s="7" t="n">
        <f aca="false">AA1084+1</f>
        <v>41991</v>
      </c>
      <c r="AB1085" s="14"/>
      <c r="AC1085" s="14"/>
      <c r="AD1085" s="14"/>
      <c r="AE1085" s="14"/>
      <c r="AF1085" s="14"/>
      <c r="AG1085" s="14"/>
      <c r="AH1085" s="14"/>
      <c r="AI1085" s="14"/>
      <c r="AJ1085" s="14"/>
      <c r="AK1085" s="14"/>
      <c r="AL1085" s="14"/>
      <c r="AM1085" s="14"/>
    </row>
    <row r="1086" customFormat="false" ht="13.8" hidden="false" customHeight="false" outlineLevel="0" collapsed="false">
      <c r="AA1086" s="7" t="n">
        <f aca="false">AA1085+1</f>
        <v>41992</v>
      </c>
      <c r="AB1086" s="14"/>
      <c r="AC1086" s="14"/>
      <c r="AD1086" s="14"/>
      <c r="AE1086" s="14"/>
      <c r="AF1086" s="14"/>
      <c r="AG1086" s="14"/>
      <c r="AH1086" s="14"/>
      <c r="AI1086" s="14"/>
      <c r="AJ1086" s="14"/>
      <c r="AK1086" s="14"/>
      <c r="AL1086" s="14"/>
      <c r="AM1086" s="14"/>
    </row>
    <row r="1087" customFormat="false" ht="13.8" hidden="false" customHeight="false" outlineLevel="0" collapsed="false">
      <c r="AA1087" s="7" t="n">
        <f aca="false">AA1086+1</f>
        <v>41993</v>
      </c>
      <c r="AB1087" s="14"/>
      <c r="AC1087" s="14"/>
      <c r="AD1087" s="14"/>
      <c r="AE1087" s="14"/>
      <c r="AF1087" s="14"/>
      <c r="AG1087" s="14"/>
      <c r="AH1087" s="14"/>
      <c r="AI1087" s="14"/>
      <c r="AJ1087" s="14"/>
      <c r="AK1087" s="14"/>
      <c r="AL1087" s="14"/>
      <c r="AM1087" s="14"/>
    </row>
    <row r="1088" customFormat="false" ht="13.8" hidden="false" customHeight="false" outlineLevel="0" collapsed="false">
      <c r="AA1088" s="7" t="n">
        <f aca="false">AA1087+1</f>
        <v>41994</v>
      </c>
      <c r="AB1088" s="14"/>
      <c r="AC1088" s="14"/>
      <c r="AD1088" s="14"/>
      <c r="AE1088" s="14"/>
      <c r="AF1088" s="14"/>
      <c r="AG1088" s="14"/>
      <c r="AH1088" s="14"/>
      <c r="AI1088" s="14"/>
      <c r="AJ1088" s="14"/>
      <c r="AK1088" s="14"/>
      <c r="AL1088" s="14"/>
      <c r="AM1088" s="14"/>
    </row>
    <row r="1089" customFormat="false" ht="13.8" hidden="false" customHeight="false" outlineLevel="0" collapsed="false">
      <c r="AA1089" s="7" t="n">
        <f aca="false">AA1088+1</f>
        <v>41995</v>
      </c>
      <c r="AB1089" s="14"/>
      <c r="AC1089" s="14"/>
      <c r="AD1089" s="14"/>
      <c r="AE1089" s="14"/>
      <c r="AF1089" s="14"/>
      <c r="AG1089" s="14"/>
      <c r="AH1089" s="14"/>
      <c r="AI1089" s="14"/>
      <c r="AJ1089" s="14"/>
      <c r="AK1089" s="14"/>
      <c r="AL1089" s="14"/>
      <c r="AM1089" s="14"/>
    </row>
    <row r="1090" customFormat="false" ht="13.8" hidden="false" customHeight="false" outlineLevel="0" collapsed="false">
      <c r="AA1090" s="7" t="n">
        <f aca="false">AA1089+1</f>
        <v>41996</v>
      </c>
      <c r="AB1090" s="14"/>
      <c r="AC1090" s="14"/>
      <c r="AD1090" s="14"/>
      <c r="AE1090" s="14"/>
      <c r="AF1090" s="14"/>
      <c r="AG1090" s="14"/>
      <c r="AH1090" s="14"/>
      <c r="AI1090" s="14"/>
      <c r="AJ1090" s="14"/>
      <c r="AK1090" s="14"/>
      <c r="AL1090" s="14"/>
      <c r="AM1090" s="14"/>
    </row>
    <row r="1091" customFormat="false" ht="13.8" hidden="false" customHeight="false" outlineLevel="0" collapsed="false">
      <c r="AA1091" s="7" t="n">
        <f aca="false">AA1090+1</f>
        <v>41997</v>
      </c>
      <c r="AB1091" s="14"/>
      <c r="AC1091" s="14"/>
      <c r="AD1091" s="14"/>
      <c r="AE1091" s="14"/>
      <c r="AF1091" s="14"/>
      <c r="AG1091" s="14"/>
      <c r="AH1091" s="14"/>
      <c r="AI1091" s="14"/>
      <c r="AJ1091" s="14"/>
      <c r="AK1091" s="14"/>
      <c r="AL1091" s="14"/>
      <c r="AM1091" s="14"/>
    </row>
    <row r="1092" customFormat="false" ht="13.8" hidden="false" customHeight="false" outlineLevel="0" collapsed="false">
      <c r="AA1092" s="7" t="n">
        <f aca="false">AA1091+1</f>
        <v>41998</v>
      </c>
      <c r="AB1092" s="14"/>
      <c r="AC1092" s="14"/>
      <c r="AD1092" s="14"/>
      <c r="AE1092" s="14"/>
      <c r="AF1092" s="14"/>
      <c r="AG1092" s="14"/>
      <c r="AH1092" s="14"/>
      <c r="AI1092" s="14"/>
      <c r="AJ1092" s="14"/>
      <c r="AK1092" s="14"/>
      <c r="AL1092" s="14"/>
      <c r="AM1092" s="14"/>
    </row>
    <row r="1093" customFormat="false" ht="13.8" hidden="false" customHeight="false" outlineLevel="0" collapsed="false">
      <c r="AA1093" s="7" t="n">
        <f aca="false">AA1092+1</f>
        <v>41999</v>
      </c>
      <c r="AB1093" s="14"/>
      <c r="AC1093" s="14"/>
      <c r="AD1093" s="14"/>
      <c r="AE1093" s="14"/>
      <c r="AF1093" s="14"/>
      <c r="AG1093" s="14"/>
      <c r="AH1093" s="14"/>
      <c r="AI1093" s="14"/>
      <c r="AJ1093" s="14"/>
      <c r="AK1093" s="14"/>
      <c r="AL1093" s="14"/>
      <c r="AM1093" s="14"/>
    </row>
    <row r="1094" customFormat="false" ht="13.8" hidden="false" customHeight="false" outlineLevel="0" collapsed="false">
      <c r="AA1094" s="7" t="n">
        <f aca="false">AA1093+1</f>
        <v>42000</v>
      </c>
      <c r="AB1094" s="14"/>
      <c r="AC1094" s="14"/>
      <c r="AD1094" s="14"/>
      <c r="AE1094" s="14"/>
      <c r="AF1094" s="14"/>
      <c r="AG1094" s="14"/>
      <c r="AH1094" s="14"/>
      <c r="AI1094" s="14"/>
      <c r="AJ1094" s="14"/>
      <c r="AK1094" s="14"/>
      <c r="AL1094" s="14"/>
      <c r="AM1094" s="14"/>
    </row>
    <row r="1095" customFormat="false" ht="13.8" hidden="false" customHeight="false" outlineLevel="0" collapsed="false">
      <c r="AA1095" s="7" t="n">
        <f aca="false">AA1094+1</f>
        <v>42001</v>
      </c>
      <c r="AB1095" s="14"/>
      <c r="AC1095" s="14"/>
      <c r="AD1095" s="14"/>
      <c r="AE1095" s="14"/>
      <c r="AF1095" s="14"/>
      <c r="AG1095" s="14"/>
      <c r="AH1095" s="14"/>
      <c r="AI1095" s="14"/>
      <c r="AJ1095" s="14"/>
      <c r="AK1095" s="14"/>
      <c r="AL1095" s="14"/>
      <c r="AM1095" s="14"/>
    </row>
    <row r="1096" customFormat="false" ht="13.8" hidden="false" customHeight="false" outlineLevel="0" collapsed="false">
      <c r="AA1096" s="7" t="n">
        <f aca="false">AA1095+1</f>
        <v>42002</v>
      </c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  <c r="AL1096" s="14"/>
      <c r="AM1096" s="14"/>
    </row>
    <row r="1097" customFormat="false" ht="13.8" hidden="false" customHeight="false" outlineLevel="0" collapsed="false">
      <c r="AA1097" s="7" t="n">
        <f aca="false">AA1096+1</f>
        <v>42003</v>
      </c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  <c r="AL1097" s="14"/>
      <c r="AM1097" s="14"/>
    </row>
    <row r="1098" customFormat="false" ht="13.8" hidden="false" customHeight="false" outlineLevel="0" collapsed="false">
      <c r="AA1098" s="7" t="n">
        <f aca="false">AA1097+1</f>
        <v>42004</v>
      </c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  <c r="AL1098" s="14"/>
      <c r="AM1098" s="14"/>
    </row>
    <row r="1099" customFormat="false" ht="13.8" hidden="false" customHeight="false" outlineLevel="0" collapsed="false">
      <c r="AA1099" s="7" t="n">
        <f aca="false">AA1098+1</f>
        <v>42005</v>
      </c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  <c r="AL1099" s="14"/>
      <c r="AM1099" s="14"/>
    </row>
    <row r="1100" customFormat="false" ht="13.8" hidden="false" customHeight="false" outlineLevel="0" collapsed="false">
      <c r="AA1100" s="7" t="n">
        <f aca="false">AA1099+1</f>
        <v>42006</v>
      </c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  <c r="AL1100" s="14"/>
      <c r="AM1100" s="14"/>
    </row>
    <row r="1101" customFormat="false" ht="13.8" hidden="false" customHeight="false" outlineLevel="0" collapsed="false">
      <c r="AA1101" s="7" t="n">
        <f aca="false">AA1100+1</f>
        <v>42007</v>
      </c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  <c r="AL1101" s="14"/>
      <c r="AM1101" s="14"/>
    </row>
    <row r="1102" customFormat="false" ht="13.8" hidden="false" customHeight="false" outlineLevel="0" collapsed="false">
      <c r="AA1102" s="7" t="n">
        <f aca="false">AA1101+1</f>
        <v>42008</v>
      </c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</row>
    <row r="1103" customFormat="false" ht="13.8" hidden="false" customHeight="false" outlineLevel="0" collapsed="false">
      <c r="AA1103" s="7" t="n">
        <f aca="false">AA1102+1</f>
        <v>42009</v>
      </c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  <c r="AL1103" s="14"/>
      <c r="AM1103" s="14"/>
    </row>
    <row r="1104" customFormat="false" ht="13.8" hidden="false" customHeight="false" outlineLevel="0" collapsed="false">
      <c r="AA1104" s="7" t="n">
        <f aca="false">AA1103+1</f>
        <v>42010</v>
      </c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  <c r="AL1104" s="14"/>
      <c r="AM1104" s="14"/>
    </row>
    <row r="1105" customFormat="false" ht="13.8" hidden="false" customHeight="false" outlineLevel="0" collapsed="false">
      <c r="AA1105" s="7" t="n">
        <f aca="false">AA1104+1</f>
        <v>42011</v>
      </c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  <c r="AL1105" s="14"/>
      <c r="AM1105" s="14"/>
    </row>
    <row r="1106" customFormat="false" ht="13.8" hidden="false" customHeight="false" outlineLevel="0" collapsed="false">
      <c r="AA1106" s="7" t="n">
        <f aca="false">AA1105+1</f>
        <v>42012</v>
      </c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  <c r="AL1106" s="14"/>
      <c r="AM1106" s="14"/>
    </row>
    <row r="1107" customFormat="false" ht="13.8" hidden="false" customHeight="false" outlineLevel="0" collapsed="false">
      <c r="AA1107" s="7" t="n">
        <f aca="false">AA1106+1</f>
        <v>42013</v>
      </c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  <c r="AL1107" s="14"/>
      <c r="AM1107" s="14"/>
    </row>
    <row r="1108" customFormat="false" ht="13.8" hidden="false" customHeight="false" outlineLevel="0" collapsed="false">
      <c r="AA1108" s="7" t="n">
        <f aca="false">AA1107+1</f>
        <v>42014</v>
      </c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  <c r="AL1108" s="14"/>
      <c r="AM1108" s="14"/>
    </row>
    <row r="1109" customFormat="false" ht="13.8" hidden="false" customHeight="false" outlineLevel="0" collapsed="false">
      <c r="AA1109" s="7" t="n">
        <f aca="false">AA1108+1</f>
        <v>42015</v>
      </c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  <c r="AL1109" s="14"/>
      <c r="AM1109" s="14"/>
    </row>
    <row r="1110" customFormat="false" ht="13.8" hidden="false" customHeight="false" outlineLevel="0" collapsed="false">
      <c r="AA1110" s="7" t="n">
        <f aca="false">AA1109+1</f>
        <v>42016</v>
      </c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  <c r="AL1110" s="14"/>
      <c r="AM1110" s="14"/>
    </row>
    <row r="1111" customFormat="false" ht="13.8" hidden="false" customHeight="false" outlineLevel="0" collapsed="false">
      <c r="AA1111" s="7" t="n">
        <f aca="false">AA1110+1</f>
        <v>42017</v>
      </c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  <c r="AL1111" s="14"/>
      <c r="AM1111" s="14"/>
    </row>
    <row r="1112" customFormat="false" ht="13.8" hidden="false" customHeight="false" outlineLevel="0" collapsed="false">
      <c r="AA1112" s="7" t="n">
        <f aca="false">AA1111+1</f>
        <v>42018</v>
      </c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  <c r="AL1112" s="14"/>
      <c r="AM1112" s="14"/>
    </row>
    <row r="1113" customFormat="false" ht="13.8" hidden="false" customHeight="false" outlineLevel="0" collapsed="false">
      <c r="AA1113" s="7" t="n">
        <f aca="false">AA1112+1</f>
        <v>42019</v>
      </c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  <c r="AL1113" s="14"/>
      <c r="AM1113" s="14"/>
    </row>
    <row r="1114" customFormat="false" ht="13.8" hidden="false" customHeight="false" outlineLevel="0" collapsed="false">
      <c r="AA1114" s="7" t="n">
        <f aca="false">AA1113+1</f>
        <v>42020</v>
      </c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  <c r="AL1114" s="14"/>
      <c r="AM1114" s="14"/>
    </row>
    <row r="1115" customFormat="false" ht="13.8" hidden="false" customHeight="false" outlineLevel="0" collapsed="false">
      <c r="AA1115" s="7" t="n">
        <f aca="false">AA1114+1</f>
        <v>42021</v>
      </c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  <c r="AL1115" s="14"/>
      <c r="AM1115" s="14"/>
    </row>
    <row r="1116" customFormat="false" ht="13.8" hidden="false" customHeight="false" outlineLevel="0" collapsed="false">
      <c r="AA1116" s="7" t="n">
        <f aca="false">AA1115+1</f>
        <v>42022</v>
      </c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  <c r="AL1116" s="14"/>
      <c r="AM1116" s="14"/>
    </row>
    <row r="1117" customFormat="false" ht="13.8" hidden="false" customHeight="false" outlineLevel="0" collapsed="false">
      <c r="AA1117" s="7" t="n">
        <f aca="false">AA1116+1</f>
        <v>42023</v>
      </c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  <c r="AL1117" s="14"/>
      <c r="AM1117" s="14"/>
    </row>
    <row r="1118" customFormat="false" ht="13.8" hidden="false" customHeight="false" outlineLevel="0" collapsed="false">
      <c r="AA1118" s="7" t="n">
        <f aca="false">AA1117+1</f>
        <v>42024</v>
      </c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  <c r="AL1118" s="14"/>
      <c r="AM1118" s="14"/>
    </row>
    <row r="1119" customFormat="false" ht="13.8" hidden="false" customHeight="false" outlineLevel="0" collapsed="false">
      <c r="AA1119" s="7" t="n">
        <f aca="false">AA1118+1</f>
        <v>42025</v>
      </c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  <c r="AL1119" s="14"/>
      <c r="AM1119" s="14"/>
    </row>
    <row r="1120" customFormat="false" ht="13.8" hidden="false" customHeight="false" outlineLevel="0" collapsed="false">
      <c r="AA1120" s="7" t="n">
        <f aca="false">AA1119+1</f>
        <v>42026</v>
      </c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  <c r="AL1120" s="14"/>
      <c r="AM1120" s="14"/>
    </row>
    <row r="1121" customFormat="false" ht="13.8" hidden="false" customHeight="false" outlineLevel="0" collapsed="false">
      <c r="AA1121" s="7" t="n">
        <f aca="false">AA1120+1</f>
        <v>42027</v>
      </c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  <c r="AL1121" s="14"/>
      <c r="AM1121" s="14"/>
    </row>
    <row r="1122" customFormat="false" ht="13.8" hidden="false" customHeight="false" outlineLevel="0" collapsed="false">
      <c r="AA1122" s="7" t="n">
        <f aca="false">AA1121+1</f>
        <v>42028</v>
      </c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  <c r="AL1122" s="14"/>
      <c r="AM1122" s="14"/>
    </row>
    <row r="1123" customFormat="false" ht="13.8" hidden="false" customHeight="false" outlineLevel="0" collapsed="false">
      <c r="AA1123" s="7" t="n">
        <f aca="false">AA1122+1</f>
        <v>42029</v>
      </c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  <c r="AL1123" s="14"/>
      <c r="AM1123" s="14"/>
    </row>
    <row r="1124" customFormat="false" ht="13.8" hidden="false" customHeight="false" outlineLevel="0" collapsed="false">
      <c r="AA1124" s="7" t="n">
        <f aca="false">AA1123+1</f>
        <v>42030</v>
      </c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  <c r="AL1124" s="14"/>
      <c r="AM1124" s="14"/>
    </row>
    <row r="1125" customFormat="false" ht="13.8" hidden="false" customHeight="false" outlineLevel="0" collapsed="false">
      <c r="AA1125" s="7" t="n">
        <f aca="false">AA1124+1</f>
        <v>42031</v>
      </c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  <c r="AL1125" s="14"/>
      <c r="AM1125" s="14"/>
    </row>
    <row r="1126" customFormat="false" ht="13.8" hidden="false" customHeight="false" outlineLevel="0" collapsed="false">
      <c r="AA1126" s="7" t="n">
        <f aca="false">AA1125+1</f>
        <v>42032</v>
      </c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  <c r="AL1126" s="14"/>
      <c r="AM1126" s="14"/>
    </row>
    <row r="1127" customFormat="false" ht="13.8" hidden="false" customHeight="false" outlineLevel="0" collapsed="false">
      <c r="AA1127" s="7" t="n">
        <f aca="false">AA1126+1</f>
        <v>42033</v>
      </c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  <c r="AL1127" s="14"/>
      <c r="AM1127" s="14"/>
    </row>
    <row r="1128" customFormat="false" ht="13.8" hidden="false" customHeight="false" outlineLevel="0" collapsed="false">
      <c r="AA1128" s="7" t="n">
        <f aca="false">AA1127+1</f>
        <v>42034</v>
      </c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  <c r="AL1128" s="14"/>
      <c r="AM1128" s="14"/>
    </row>
    <row r="1129" customFormat="false" ht="13.8" hidden="false" customHeight="false" outlineLevel="0" collapsed="false">
      <c r="AA1129" s="7" t="n">
        <f aca="false">AA1128+1</f>
        <v>42035</v>
      </c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  <c r="AL1129" s="14"/>
      <c r="AM1129" s="14"/>
    </row>
    <row r="1130" customFormat="false" ht="13.8" hidden="false" customHeight="false" outlineLevel="0" collapsed="false">
      <c r="AA1130" s="7" t="n">
        <f aca="false">AA1129+1</f>
        <v>42036</v>
      </c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  <c r="AL1130" s="14"/>
      <c r="AM1130" s="14"/>
    </row>
    <row r="1131" customFormat="false" ht="13.8" hidden="false" customHeight="false" outlineLevel="0" collapsed="false">
      <c r="AA1131" s="7" t="n">
        <f aca="false">AA1130+1</f>
        <v>42037</v>
      </c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  <c r="AL1131" s="14"/>
      <c r="AM1131" s="14"/>
    </row>
    <row r="1132" customFormat="false" ht="13.8" hidden="false" customHeight="false" outlineLevel="0" collapsed="false">
      <c r="AA1132" s="7" t="n">
        <f aca="false">AA1131+1</f>
        <v>42038</v>
      </c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  <c r="AL1132" s="14"/>
      <c r="AM1132" s="14"/>
    </row>
    <row r="1133" customFormat="false" ht="13.8" hidden="false" customHeight="false" outlineLevel="0" collapsed="false">
      <c r="AA1133" s="7" t="n">
        <f aca="false">AA1132+1</f>
        <v>42039</v>
      </c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  <c r="AL1133" s="14"/>
      <c r="AM1133" s="14"/>
    </row>
    <row r="1134" customFormat="false" ht="13.8" hidden="false" customHeight="false" outlineLevel="0" collapsed="false">
      <c r="AA1134" s="7" t="n">
        <f aca="false">AA1133+1</f>
        <v>42040</v>
      </c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  <c r="AL1134" s="14"/>
      <c r="AM1134" s="14"/>
    </row>
    <row r="1135" customFormat="false" ht="13.8" hidden="false" customHeight="false" outlineLevel="0" collapsed="false">
      <c r="AA1135" s="7" t="n">
        <f aca="false">AA1134+1</f>
        <v>42041</v>
      </c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  <c r="AL1135" s="14"/>
      <c r="AM1135" s="14"/>
    </row>
    <row r="1136" customFormat="false" ht="13.8" hidden="false" customHeight="false" outlineLevel="0" collapsed="false">
      <c r="AA1136" s="7" t="n">
        <f aca="false">AA1135+1</f>
        <v>42042</v>
      </c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  <c r="AL1136" s="14"/>
      <c r="AM1136" s="14"/>
    </row>
    <row r="1137" customFormat="false" ht="13.8" hidden="false" customHeight="false" outlineLevel="0" collapsed="false">
      <c r="AA1137" s="7" t="n">
        <f aca="false">AA1136+1</f>
        <v>42043</v>
      </c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  <c r="AL1137" s="14"/>
      <c r="AM1137" s="14"/>
    </row>
    <row r="1138" customFormat="false" ht="13.8" hidden="false" customHeight="false" outlineLevel="0" collapsed="false">
      <c r="AA1138" s="7" t="n">
        <f aca="false">AA1137+1</f>
        <v>42044</v>
      </c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  <c r="AL1138" s="14"/>
      <c r="AM1138" s="14"/>
    </row>
    <row r="1139" customFormat="false" ht="13.8" hidden="false" customHeight="false" outlineLevel="0" collapsed="false">
      <c r="AA1139" s="7" t="n">
        <f aca="false">AA1138+1</f>
        <v>42045</v>
      </c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  <c r="AL1139" s="14"/>
      <c r="AM1139" s="14"/>
    </row>
    <row r="1140" customFormat="false" ht="13.8" hidden="false" customHeight="false" outlineLevel="0" collapsed="false">
      <c r="AA1140" s="7" t="n">
        <f aca="false">AA1139+1</f>
        <v>42046</v>
      </c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  <c r="AL1140" s="14"/>
      <c r="AM1140" s="14"/>
    </row>
    <row r="1141" customFormat="false" ht="13.8" hidden="false" customHeight="false" outlineLevel="0" collapsed="false">
      <c r="AA1141" s="7" t="n">
        <f aca="false">AA1140+1</f>
        <v>42047</v>
      </c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  <c r="AL1141" s="14"/>
      <c r="AM1141" s="14"/>
    </row>
    <row r="1142" customFormat="false" ht="13.8" hidden="false" customHeight="false" outlineLevel="0" collapsed="false">
      <c r="AA1142" s="7" t="n">
        <f aca="false">AA1141+1</f>
        <v>42048</v>
      </c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  <c r="AL1142" s="14"/>
      <c r="AM1142" s="14"/>
    </row>
    <row r="1143" customFormat="false" ht="13.8" hidden="false" customHeight="false" outlineLevel="0" collapsed="false">
      <c r="AA1143" s="7" t="n">
        <f aca="false">AA1142+1</f>
        <v>42049</v>
      </c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  <c r="AL1143" s="14"/>
      <c r="AM1143" s="14"/>
    </row>
    <row r="1144" customFormat="false" ht="13.8" hidden="false" customHeight="false" outlineLevel="0" collapsed="false">
      <c r="AA1144" s="7" t="n">
        <f aca="false">AA1143+1</f>
        <v>42050</v>
      </c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  <c r="AL1144" s="14"/>
      <c r="AM1144" s="14"/>
    </row>
    <row r="1145" customFormat="false" ht="13.8" hidden="false" customHeight="false" outlineLevel="0" collapsed="false">
      <c r="AA1145" s="7" t="n">
        <f aca="false">AA1144+1</f>
        <v>42051</v>
      </c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  <c r="AL1145" s="14"/>
      <c r="AM1145" s="14"/>
    </row>
    <row r="1146" customFormat="false" ht="13.8" hidden="false" customHeight="false" outlineLevel="0" collapsed="false">
      <c r="AA1146" s="7" t="n">
        <f aca="false">AA1145+1</f>
        <v>42052</v>
      </c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  <c r="AL1146" s="14"/>
      <c r="AM1146" s="14"/>
    </row>
    <row r="1147" customFormat="false" ht="13.8" hidden="false" customHeight="false" outlineLevel="0" collapsed="false">
      <c r="AA1147" s="7" t="n">
        <f aca="false">AA1146+1</f>
        <v>42053</v>
      </c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  <c r="AL1147" s="14"/>
      <c r="AM1147" s="14"/>
    </row>
    <row r="1148" customFormat="false" ht="13.8" hidden="false" customHeight="false" outlineLevel="0" collapsed="false">
      <c r="AA1148" s="7" t="n">
        <f aca="false">AA1147+1</f>
        <v>42054</v>
      </c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  <c r="AL1148" s="14"/>
      <c r="AM1148" s="14"/>
    </row>
    <row r="1149" customFormat="false" ht="13.8" hidden="false" customHeight="false" outlineLevel="0" collapsed="false">
      <c r="AA1149" s="7" t="n">
        <f aca="false">AA1148+1</f>
        <v>42055</v>
      </c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  <c r="AL1149" s="14"/>
      <c r="AM1149" s="14"/>
    </row>
    <row r="1150" customFormat="false" ht="13.8" hidden="false" customHeight="false" outlineLevel="0" collapsed="false">
      <c r="AA1150" s="7" t="n">
        <f aca="false">AA1149+1</f>
        <v>42056</v>
      </c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  <c r="AL1150" s="14"/>
      <c r="AM1150" s="14"/>
    </row>
    <row r="1151" customFormat="false" ht="13.8" hidden="false" customHeight="false" outlineLevel="0" collapsed="false">
      <c r="AA1151" s="7" t="n">
        <f aca="false">AA1150+1</f>
        <v>42057</v>
      </c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  <c r="AL1151" s="14"/>
      <c r="AM1151" s="14"/>
    </row>
    <row r="1152" customFormat="false" ht="13.8" hidden="false" customHeight="false" outlineLevel="0" collapsed="false">
      <c r="AA1152" s="7" t="n">
        <f aca="false">AA1151+1</f>
        <v>42058</v>
      </c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  <c r="AL1152" s="14"/>
      <c r="AM1152" s="14"/>
    </row>
    <row r="1153" customFormat="false" ht="13.8" hidden="false" customHeight="false" outlineLevel="0" collapsed="false">
      <c r="AA1153" s="7" t="n">
        <f aca="false">AA1152+1</f>
        <v>42059</v>
      </c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  <c r="AL1153" s="14"/>
      <c r="AM1153" s="14"/>
    </row>
    <row r="1154" customFormat="false" ht="13.8" hidden="false" customHeight="false" outlineLevel="0" collapsed="false">
      <c r="AA1154" s="7" t="n">
        <f aca="false">AA1153+1</f>
        <v>42060</v>
      </c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  <c r="AL1154" s="14"/>
      <c r="AM1154" s="14"/>
    </row>
    <row r="1155" customFormat="false" ht="13.8" hidden="false" customHeight="false" outlineLevel="0" collapsed="false">
      <c r="AA1155" s="7" t="n">
        <f aca="false">AA1154+1</f>
        <v>42061</v>
      </c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  <c r="AL1155" s="14"/>
      <c r="AM1155" s="14"/>
    </row>
    <row r="1156" customFormat="false" ht="13.8" hidden="false" customHeight="false" outlineLevel="0" collapsed="false">
      <c r="AA1156" s="7" t="n">
        <f aca="false">AA1155+1</f>
        <v>42062</v>
      </c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  <c r="AL1156" s="14"/>
      <c r="AM1156" s="14"/>
    </row>
    <row r="1157" customFormat="false" ht="13.8" hidden="false" customHeight="false" outlineLevel="0" collapsed="false">
      <c r="AA1157" s="7" t="n">
        <f aca="false">AA1156+1</f>
        <v>42063</v>
      </c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  <c r="AL1157" s="14"/>
      <c r="AM1157" s="14"/>
    </row>
    <row r="1158" customFormat="false" ht="13.8" hidden="false" customHeight="false" outlineLevel="0" collapsed="false">
      <c r="AA1158" s="7" t="n">
        <f aca="false">AA1157+1</f>
        <v>42064</v>
      </c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  <c r="AL1158" s="14"/>
      <c r="AM1158" s="14"/>
    </row>
    <row r="1159" customFormat="false" ht="13.8" hidden="false" customHeight="false" outlineLevel="0" collapsed="false">
      <c r="AA1159" s="7" t="n">
        <f aca="false">AA1158+1</f>
        <v>42065</v>
      </c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  <c r="AL1159" s="14"/>
      <c r="AM1159" s="14"/>
    </row>
    <row r="1160" customFormat="false" ht="13.8" hidden="false" customHeight="false" outlineLevel="0" collapsed="false">
      <c r="AA1160" s="7" t="n">
        <f aca="false">AA1159+1</f>
        <v>42066</v>
      </c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  <c r="AL1160" s="14"/>
      <c r="AM1160" s="14"/>
    </row>
    <row r="1161" customFormat="false" ht="13.8" hidden="false" customHeight="false" outlineLevel="0" collapsed="false">
      <c r="AA1161" s="7" t="n">
        <f aca="false">AA1160+1</f>
        <v>42067</v>
      </c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  <c r="AL1161" s="14"/>
      <c r="AM1161" s="14"/>
    </row>
    <row r="1162" customFormat="false" ht="13.8" hidden="false" customHeight="false" outlineLevel="0" collapsed="false">
      <c r="AA1162" s="7" t="n">
        <f aca="false">AA1161+1</f>
        <v>42068</v>
      </c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  <c r="AL1162" s="14"/>
      <c r="AM1162" s="14"/>
    </row>
    <row r="1163" customFormat="false" ht="13.8" hidden="false" customHeight="false" outlineLevel="0" collapsed="false">
      <c r="AA1163" s="7" t="n">
        <f aca="false">AA1162+1</f>
        <v>42069</v>
      </c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  <c r="AL1163" s="14"/>
      <c r="AM1163" s="14"/>
    </row>
    <row r="1164" customFormat="false" ht="13.8" hidden="false" customHeight="false" outlineLevel="0" collapsed="false">
      <c r="AA1164" s="7" t="n">
        <f aca="false">AA1163+1</f>
        <v>42070</v>
      </c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  <c r="AL1164" s="14"/>
      <c r="AM1164" s="14"/>
    </row>
    <row r="1165" customFormat="false" ht="13.8" hidden="false" customHeight="false" outlineLevel="0" collapsed="false">
      <c r="AA1165" s="7" t="n">
        <f aca="false">AA1164+1</f>
        <v>42071</v>
      </c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  <c r="AL1165" s="14"/>
      <c r="AM1165" s="14"/>
    </row>
    <row r="1166" customFormat="false" ht="13.8" hidden="false" customHeight="false" outlineLevel="0" collapsed="false">
      <c r="AA1166" s="7" t="n">
        <f aca="false">AA1165+1</f>
        <v>42072</v>
      </c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  <c r="AL1166" s="14"/>
      <c r="AM1166" s="14"/>
    </row>
    <row r="1167" customFormat="false" ht="13.8" hidden="false" customHeight="false" outlineLevel="0" collapsed="false">
      <c r="AA1167" s="7" t="n">
        <f aca="false">AA1166+1</f>
        <v>42073</v>
      </c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  <c r="AL1167" s="14"/>
      <c r="AM1167" s="14"/>
    </row>
    <row r="1168" customFormat="false" ht="13.8" hidden="false" customHeight="false" outlineLevel="0" collapsed="false">
      <c r="AA1168" s="7" t="n">
        <f aca="false">AA1167+1</f>
        <v>42074</v>
      </c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  <c r="AL1168" s="14"/>
      <c r="AM1168" s="14"/>
    </row>
    <row r="1169" customFormat="false" ht="13.8" hidden="false" customHeight="false" outlineLevel="0" collapsed="false">
      <c r="AA1169" s="7" t="n">
        <f aca="false">AA1168+1</f>
        <v>42075</v>
      </c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  <c r="AL1169" s="14"/>
      <c r="AM1169" s="14"/>
    </row>
    <row r="1170" customFormat="false" ht="13.8" hidden="false" customHeight="false" outlineLevel="0" collapsed="false">
      <c r="AA1170" s="7" t="n">
        <f aca="false">AA1169+1</f>
        <v>42076</v>
      </c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  <c r="AL1170" s="14"/>
      <c r="AM1170" s="14"/>
    </row>
    <row r="1171" customFormat="false" ht="13.8" hidden="false" customHeight="false" outlineLevel="0" collapsed="false">
      <c r="AA1171" s="7" t="n">
        <f aca="false">AA1170+1</f>
        <v>42077</v>
      </c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  <c r="AL1171" s="14"/>
      <c r="AM1171" s="14"/>
    </row>
    <row r="1172" customFormat="false" ht="13.8" hidden="false" customHeight="false" outlineLevel="0" collapsed="false">
      <c r="AA1172" s="7" t="n">
        <f aca="false">AA1171+1</f>
        <v>42078</v>
      </c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</row>
    <row r="1173" customFormat="false" ht="13.8" hidden="false" customHeight="false" outlineLevel="0" collapsed="false">
      <c r="AA1173" s="7" t="n">
        <f aca="false">AA1172+1</f>
        <v>42079</v>
      </c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</row>
    <row r="1174" customFormat="false" ht="13.8" hidden="false" customHeight="false" outlineLevel="0" collapsed="false">
      <c r="AA1174" s="7" t="n">
        <f aca="false">AA1173+1</f>
        <v>42080</v>
      </c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</row>
    <row r="1175" customFormat="false" ht="13.8" hidden="false" customHeight="false" outlineLevel="0" collapsed="false">
      <c r="AA1175" s="7" t="n">
        <f aca="false">AA1174+1</f>
        <v>42081</v>
      </c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</row>
    <row r="1176" customFormat="false" ht="13.8" hidden="false" customHeight="false" outlineLevel="0" collapsed="false">
      <c r="AA1176" s="7" t="n">
        <f aca="false">AA1175+1</f>
        <v>42082</v>
      </c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</row>
    <row r="1177" customFormat="false" ht="13.8" hidden="false" customHeight="false" outlineLevel="0" collapsed="false">
      <c r="AA1177" s="7" t="n">
        <f aca="false">AA1176+1</f>
        <v>42083</v>
      </c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</row>
    <row r="1178" customFormat="false" ht="13.8" hidden="false" customHeight="false" outlineLevel="0" collapsed="false">
      <c r="AA1178" s="7" t="n">
        <f aca="false">AA1177+1</f>
        <v>42084</v>
      </c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</row>
    <row r="1179" customFormat="false" ht="13.8" hidden="false" customHeight="false" outlineLevel="0" collapsed="false">
      <c r="AA1179" s="7" t="n">
        <f aca="false">AA1178+1</f>
        <v>42085</v>
      </c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</row>
    <row r="1180" customFormat="false" ht="13.8" hidden="false" customHeight="false" outlineLevel="0" collapsed="false">
      <c r="AA1180" s="7" t="n">
        <f aca="false">AA1179+1</f>
        <v>42086</v>
      </c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</row>
    <row r="1181" customFormat="false" ht="13.8" hidden="false" customHeight="false" outlineLevel="0" collapsed="false">
      <c r="AA1181" s="7" t="n">
        <f aca="false">AA1180+1</f>
        <v>42087</v>
      </c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</row>
    <row r="1182" customFormat="false" ht="13.8" hidden="false" customHeight="false" outlineLevel="0" collapsed="false">
      <c r="AA1182" s="7" t="n">
        <f aca="false">AA1181+1</f>
        <v>42088</v>
      </c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</row>
    <row r="1183" customFormat="false" ht="13.8" hidden="false" customHeight="false" outlineLevel="0" collapsed="false">
      <c r="AA1183" s="7" t="n">
        <f aca="false">AA1182+1</f>
        <v>42089</v>
      </c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  <c r="AL1183" s="14"/>
      <c r="AM1183" s="14"/>
    </row>
    <row r="1184" customFormat="false" ht="13.8" hidden="false" customHeight="false" outlineLevel="0" collapsed="false">
      <c r="AA1184" s="7" t="n">
        <f aca="false">AA1183+1</f>
        <v>42090</v>
      </c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  <c r="AL1184" s="14"/>
      <c r="AM1184" s="14"/>
    </row>
    <row r="1185" customFormat="false" ht="13.8" hidden="false" customHeight="false" outlineLevel="0" collapsed="false">
      <c r="AA1185" s="7" t="n">
        <f aca="false">AA1184+1</f>
        <v>42091</v>
      </c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  <c r="AL1185" s="14"/>
      <c r="AM1185" s="14"/>
    </row>
    <row r="1186" customFormat="false" ht="13.8" hidden="false" customHeight="false" outlineLevel="0" collapsed="false">
      <c r="AA1186" s="7" t="n">
        <f aca="false">AA1185+1</f>
        <v>42092</v>
      </c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  <c r="AL1186" s="14"/>
      <c r="AM1186" s="14"/>
    </row>
    <row r="1187" customFormat="false" ht="13.8" hidden="false" customHeight="false" outlineLevel="0" collapsed="false">
      <c r="AA1187" s="7" t="n">
        <f aca="false">AA1186+1</f>
        <v>42093</v>
      </c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  <c r="AL1187" s="14"/>
      <c r="AM1187" s="14"/>
    </row>
    <row r="1188" customFormat="false" ht="13.8" hidden="false" customHeight="false" outlineLevel="0" collapsed="false">
      <c r="AA1188" s="7" t="n">
        <f aca="false">AA1187+1</f>
        <v>42094</v>
      </c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  <c r="AL1188" s="14"/>
      <c r="AM1188" s="14"/>
    </row>
    <row r="1189" customFormat="false" ht="13.8" hidden="false" customHeight="false" outlineLevel="0" collapsed="false">
      <c r="AA1189" s="7" t="n">
        <f aca="false">AA1188+1</f>
        <v>42095</v>
      </c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  <c r="AL1189" s="14"/>
      <c r="AM1189" s="14"/>
    </row>
    <row r="1190" customFormat="false" ht="13.8" hidden="false" customHeight="false" outlineLevel="0" collapsed="false">
      <c r="AA1190" s="7" t="n">
        <f aca="false">AA1189+1</f>
        <v>42096</v>
      </c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  <c r="AL1190" s="14"/>
      <c r="AM1190" s="14"/>
    </row>
    <row r="1191" customFormat="false" ht="13.8" hidden="false" customHeight="false" outlineLevel="0" collapsed="false">
      <c r="AA1191" s="7" t="n">
        <f aca="false">AA1190+1</f>
        <v>42097</v>
      </c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  <c r="AL1191" s="14"/>
      <c r="AM1191" s="14"/>
    </row>
    <row r="1192" customFormat="false" ht="13.8" hidden="false" customHeight="false" outlineLevel="0" collapsed="false">
      <c r="AA1192" s="7" t="n">
        <f aca="false">AA1191+1</f>
        <v>42098</v>
      </c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  <c r="AL1192" s="14"/>
      <c r="AM1192" s="14"/>
    </row>
    <row r="1193" customFormat="false" ht="13.8" hidden="false" customHeight="false" outlineLevel="0" collapsed="false">
      <c r="AA1193" s="7" t="n">
        <f aca="false">AA1192+1</f>
        <v>42099</v>
      </c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  <c r="AL1193" s="14"/>
      <c r="AM1193" s="14"/>
    </row>
    <row r="1194" customFormat="false" ht="13.8" hidden="false" customHeight="false" outlineLevel="0" collapsed="false">
      <c r="AA1194" s="7" t="n">
        <f aca="false">AA1193+1</f>
        <v>42100</v>
      </c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  <c r="AL1194" s="14"/>
      <c r="AM1194" s="14"/>
    </row>
    <row r="1195" customFormat="false" ht="13.8" hidden="false" customHeight="false" outlineLevel="0" collapsed="false">
      <c r="AA1195" s="7" t="n">
        <f aca="false">AA1194+1</f>
        <v>42101</v>
      </c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  <c r="AL1195" s="14"/>
      <c r="AM1195" s="14"/>
    </row>
    <row r="1196" customFormat="false" ht="13.8" hidden="false" customHeight="false" outlineLevel="0" collapsed="false">
      <c r="AA1196" s="7" t="n">
        <f aca="false">AA1195+1</f>
        <v>42102</v>
      </c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  <c r="AL1196" s="14"/>
      <c r="AM1196" s="14"/>
    </row>
    <row r="1197" customFormat="false" ht="13.8" hidden="false" customHeight="false" outlineLevel="0" collapsed="false">
      <c r="AA1197" s="7" t="n">
        <f aca="false">AA1196+1</f>
        <v>42103</v>
      </c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  <c r="AL1197" s="14"/>
      <c r="AM1197" s="14"/>
    </row>
    <row r="1198" customFormat="false" ht="13.8" hidden="false" customHeight="false" outlineLevel="0" collapsed="false">
      <c r="AA1198" s="7" t="n">
        <f aca="false">AA1197+1</f>
        <v>42104</v>
      </c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  <c r="AL1198" s="14"/>
      <c r="AM1198" s="14"/>
    </row>
    <row r="1199" customFormat="false" ht="13.8" hidden="false" customHeight="false" outlineLevel="0" collapsed="false">
      <c r="AA1199" s="7" t="n">
        <f aca="false">AA1198+1</f>
        <v>42105</v>
      </c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  <c r="AL1199" s="14"/>
      <c r="AM1199" s="14"/>
    </row>
    <row r="1200" customFormat="false" ht="13.8" hidden="false" customHeight="false" outlineLevel="0" collapsed="false">
      <c r="AA1200" s="7" t="n">
        <f aca="false">AA1199+1</f>
        <v>42106</v>
      </c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  <c r="AL1200" s="14"/>
      <c r="AM1200" s="14"/>
    </row>
    <row r="1201" customFormat="false" ht="13.8" hidden="false" customHeight="false" outlineLevel="0" collapsed="false">
      <c r="AA1201" s="7" t="n">
        <f aca="false">AA1200+1</f>
        <v>42107</v>
      </c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  <c r="AL1201" s="14"/>
      <c r="AM1201" s="14"/>
    </row>
    <row r="1202" customFormat="false" ht="13.8" hidden="false" customHeight="false" outlineLevel="0" collapsed="false">
      <c r="AA1202" s="7" t="n">
        <f aca="false">AA1201+1</f>
        <v>42108</v>
      </c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  <c r="AL1202" s="14"/>
      <c r="AM1202" s="14"/>
    </row>
    <row r="1203" customFormat="false" ht="13.8" hidden="false" customHeight="false" outlineLevel="0" collapsed="false">
      <c r="AA1203" s="7" t="n">
        <f aca="false">AA1202+1</f>
        <v>42109</v>
      </c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  <c r="AL1203" s="14"/>
      <c r="AM1203" s="14"/>
    </row>
    <row r="1204" customFormat="false" ht="13.8" hidden="false" customHeight="false" outlineLevel="0" collapsed="false">
      <c r="AA1204" s="7" t="n">
        <f aca="false">AA1203+1</f>
        <v>42110</v>
      </c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  <c r="AL1204" s="14"/>
      <c r="AM1204" s="14"/>
    </row>
    <row r="1205" customFormat="false" ht="13.8" hidden="false" customHeight="false" outlineLevel="0" collapsed="false">
      <c r="AA1205" s="7" t="n">
        <f aca="false">AA1204+1</f>
        <v>42111</v>
      </c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  <c r="AL1205" s="14"/>
      <c r="AM1205" s="14"/>
    </row>
    <row r="1206" customFormat="false" ht="13.8" hidden="false" customHeight="false" outlineLevel="0" collapsed="false">
      <c r="AA1206" s="7" t="n">
        <f aca="false">AA1205+1</f>
        <v>42112</v>
      </c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  <c r="AL1206" s="14"/>
      <c r="AM1206" s="14"/>
    </row>
    <row r="1207" customFormat="false" ht="13.8" hidden="false" customHeight="false" outlineLevel="0" collapsed="false">
      <c r="AA1207" s="7" t="n">
        <f aca="false">AA1206+1</f>
        <v>42113</v>
      </c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  <c r="AL1207" s="14"/>
      <c r="AM1207" s="14"/>
    </row>
    <row r="1208" customFormat="false" ht="13.8" hidden="false" customHeight="false" outlineLevel="0" collapsed="false">
      <c r="AA1208" s="7" t="n">
        <f aca="false">AA1207+1</f>
        <v>42114</v>
      </c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  <c r="AL1208" s="14"/>
      <c r="AM1208" s="14"/>
    </row>
    <row r="1209" customFormat="false" ht="13.8" hidden="false" customHeight="false" outlineLevel="0" collapsed="false">
      <c r="AA1209" s="7" t="n">
        <f aca="false">AA1208+1</f>
        <v>42115</v>
      </c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  <c r="AL1209" s="14"/>
      <c r="AM1209" s="14"/>
    </row>
    <row r="1210" customFormat="false" ht="13.8" hidden="false" customHeight="false" outlineLevel="0" collapsed="false">
      <c r="AA1210" s="7" t="n">
        <f aca="false">AA1209+1</f>
        <v>42116</v>
      </c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  <c r="AL1210" s="14"/>
      <c r="AM1210" s="14"/>
    </row>
    <row r="1211" customFormat="false" ht="13.8" hidden="false" customHeight="false" outlineLevel="0" collapsed="false">
      <c r="AA1211" s="7" t="n">
        <f aca="false">AA1210+1</f>
        <v>42117</v>
      </c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  <c r="AL1211" s="14"/>
      <c r="AM1211" s="14"/>
    </row>
    <row r="1212" customFormat="false" ht="13.8" hidden="false" customHeight="false" outlineLevel="0" collapsed="false">
      <c r="AA1212" s="7" t="n">
        <f aca="false">AA1211+1</f>
        <v>42118</v>
      </c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  <c r="AL1212" s="14"/>
      <c r="AM1212" s="14"/>
    </row>
    <row r="1213" customFormat="false" ht="13.8" hidden="false" customHeight="false" outlineLevel="0" collapsed="false">
      <c r="AA1213" s="7" t="n">
        <f aca="false">AA1212+1</f>
        <v>42119</v>
      </c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</row>
    <row r="1214" customFormat="false" ht="13.8" hidden="false" customHeight="false" outlineLevel="0" collapsed="false">
      <c r="AA1214" s="7" t="n">
        <f aca="false">AA1213+1</f>
        <v>42120</v>
      </c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  <c r="AL1214" s="14"/>
      <c r="AM1214" s="14"/>
    </row>
    <row r="1215" customFormat="false" ht="13.8" hidden="false" customHeight="false" outlineLevel="0" collapsed="false">
      <c r="AA1215" s="7" t="n">
        <f aca="false">AA1214+1</f>
        <v>42121</v>
      </c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  <c r="AL1215" s="14"/>
      <c r="AM1215" s="14"/>
    </row>
    <row r="1216" customFormat="false" ht="13.8" hidden="false" customHeight="false" outlineLevel="0" collapsed="false">
      <c r="AA1216" s="7" t="n">
        <f aca="false">AA1215+1</f>
        <v>42122</v>
      </c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  <c r="AL1216" s="14"/>
      <c r="AM1216" s="14"/>
    </row>
    <row r="1217" customFormat="false" ht="13.8" hidden="false" customHeight="false" outlineLevel="0" collapsed="false">
      <c r="AA1217" s="7" t="n">
        <f aca="false">AA1216+1</f>
        <v>42123</v>
      </c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  <c r="AL1217" s="14"/>
      <c r="AM1217" s="14"/>
    </row>
    <row r="1218" customFormat="false" ht="13.8" hidden="false" customHeight="false" outlineLevel="0" collapsed="false">
      <c r="AA1218" s="7" t="n">
        <f aca="false">AA1217+1</f>
        <v>42124</v>
      </c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</row>
    <row r="1219" customFormat="false" ht="13.8" hidden="false" customHeight="false" outlineLevel="0" collapsed="false">
      <c r="AA1219" s="7" t="n">
        <f aca="false">AA1218+1</f>
        <v>42125</v>
      </c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  <c r="AL1219" s="14"/>
      <c r="AM1219" s="14"/>
    </row>
    <row r="1220" customFormat="false" ht="13.8" hidden="false" customHeight="false" outlineLevel="0" collapsed="false">
      <c r="AA1220" s="7" t="n">
        <f aca="false">AA1219+1</f>
        <v>42126</v>
      </c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  <c r="AL1220" s="14"/>
      <c r="AM1220" s="14"/>
    </row>
    <row r="1221" customFormat="false" ht="13.8" hidden="false" customHeight="false" outlineLevel="0" collapsed="false">
      <c r="AA1221" s="7" t="n">
        <f aca="false">AA1220+1</f>
        <v>42127</v>
      </c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  <c r="AL1221" s="14"/>
      <c r="AM1221" s="14"/>
    </row>
    <row r="1222" customFormat="false" ht="13.8" hidden="false" customHeight="false" outlineLevel="0" collapsed="false">
      <c r="AA1222" s="7" t="n">
        <f aca="false">AA1221+1</f>
        <v>42128</v>
      </c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  <c r="AL1222" s="14"/>
      <c r="AM1222" s="14"/>
    </row>
    <row r="1223" customFormat="false" ht="13.8" hidden="false" customHeight="false" outlineLevel="0" collapsed="false">
      <c r="AA1223" s="7" t="n">
        <f aca="false">AA1222+1</f>
        <v>42129</v>
      </c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  <c r="AL1223" s="14"/>
      <c r="AM1223" s="14"/>
    </row>
    <row r="1224" customFormat="false" ht="13.8" hidden="false" customHeight="false" outlineLevel="0" collapsed="false">
      <c r="AA1224" s="7" t="n">
        <f aca="false">AA1223+1</f>
        <v>42130</v>
      </c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  <c r="AL1224" s="14"/>
      <c r="AM1224" s="14"/>
    </row>
    <row r="1225" customFormat="false" ht="13.8" hidden="false" customHeight="false" outlineLevel="0" collapsed="false">
      <c r="AA1225" s="7" t="n">
        <f aca="false">AA1224+1</f>
        <v>42131</v>
      </c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  <c r="AL1225" s="14"/>
      <c r="AM1225" s="14"/>
    </row>
    <row r="1226" customFormat="false" ht="13.8" hidden="false" customHeight="false" outlineLevel="0" collapsed="false">
      <c r="AA1226" s="7" t="n">
        <f aca="false">AA1225+1</f>
        <v>42132</v>
      </c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  <c r="AL1226" s="14"/>
      <c r="AM1226" s="14"/>
    </row>
    <row r="1227" customFormat="false" ht="13.8" hidden="false" customHeight="false" outlineLevel="0" collapsed="false">
      <c r="AA1227" s="7" t="n">
        <f aca="false">AA1226+1</f>
        <v>42133</v>
      </c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  <c r="AL1227" s="14"/>
      <c r="AM1227" s="14"/>
    </row>
    <row r="1228" customFormat="false" ht="13.8" hidden="false" customHeight="false" outlineLevel="0" collapsed="false">
      <c r="AA1228" s="7" t="n">
        <f aca="false">AA1227+1</f>
        <v>42134</v>
      </c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  <c r="AL1228" s="14"/>
      <c r="AM1228" s="14"/>
    </row>
    <row r="1229" customFormat="false" ht="13.8" hidden="false" customHeight="false" outlineLevel="0" collapsed="false">
      <c r="AA1229" s="7" t="n">
        <f aca="false">AA1228+1</f>
        <v>42135</v>
      </c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  <c r="AL1229" s="14"/>
      <c r="AM1229" s="14"/>
    </row>
    <row r="1230" customFormat="false" ht="13.8" hidden="false" customHeight="false" outlineLevel="0" collapsed="false">
      <c r="AA1230" s="7" t="n">
        <f aca="false">AA1229+1</f>
        <v>42136</v>
      </c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  <c r="AL1230" s="14"/>
      <c r="AM1230" s="14"/>
    </row>
    <row r="1231" customFormat="false" ht="13.8" hidden="false" customHeight="false" outlineLevel="0" collapsed="false">
      <c r="AA1231" s="7" t="n">
        <f aca="false">AA1230+1</f>
        <v>42137</v>
      </c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  <c r="AL1231" s="14"/>
      <c r="AM1231" s="14"/>
    </row>
    <row r="1232" customFormat="false" ht="13.8" hidden="false" customHeight="false" outlineLevel="0" collapsed="false">
      <c r="AA1232" s="7" t="n">
        <f aca="false">AA1231+1</f>
        <v>42138</v>
      </c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  <c r="AL1232" s="14"/>
      <c r="AM1232" s="14"/>
    </row>
    <row r="1233" customFormat="false" ht="13.8" hidden="false" customHeight="false" outlineLevel="0" collapsed="false">
      <c r="AA1233" s="7" t="n">
        <f aca="false">AA1232+1</f>
        <v>42139</v>
      </c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  <c r="AL1233" s="14"/>
      <c r="AM1233" s="14"/>
    </row>
    <row r="1234" customFormat="false" ht="13.8" hidden="false" customHeight="false" outlineLevel="0" collapsed="false">
      <c r="AA1234" s="7" t="n">
        <f aca="false">AA1233+1</f>
        <v>42140</v>
      </c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  <c r="AL1234" s="14"/>
      <c r="AM1234" s="14"/>
    </row>
    <row r="1235" customFormat="false" ht="13.8" hidden="false" customHeight="false" outlineLevel="0" collapsed="false">
      <c r="AA1235" s="7" t="n">
        <f aca="false">AA1234+1</f>
        <v>42141</v>
      </c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  <c r="AL1235" s="14"/>
      <c r="AM1235" s="14"/>
    </row>
    <row r="1236" customFormat="false" ht="13.8" hidden="false" customHeight="false" outlineLevel="0" collapsed="false">
      <c r="AA1236" s="7" t="n">
        <f aca="false">AA1235+1</f>
        <v>42142</v>
      </c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  <c r="AL1236" s="14"/>
      <c r="AM1236" s="14"/>
    </row>
    <row r="1237" customFormat="false" ht="13.8" hidden="false" customHeight="false" outlineLevel="0" collapsed="false">
      <c r="AA1237" s="7" t="n">
        <f aca="false">AA1236+1</f>
        <v>42143</v>
      </c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  <c r="AL1237" s="14"/>
      <c r="AM1237" s="14"/>
    </row>
    <row r="1238" customFormat="false" ht="13.8" hidden="false" customHeight="false" outlineLevel="0" collapsed="false">
      <c r="AA1238" s="7" t="n">
        <f aca="false">AA1237+1</f>
        <v>42144</v>
      </c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  <c r="AL1238" s="14"/>
      <c r="AM1238" s="14"/>
    </row>
    <row r="1239" customFormat="false" ht="13.8" hidden="false" customHeight="false" outlineLevel="0" collapsed="false">
      <c r="AA1239" s="7" t="n">
        <f aca="false">AA1238+1</f>
        <v>42145</v>
      </c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  <c r="AL1239" s="14"/>
      <c r="AM1239" s="14"/>
    </row>
    <row r="1240" customFormat="false" ht="13.8" hidden="false" customHeight="false" outlineLevel="0" collapsed="false">
      <c r="AA1240" s="7" t="n">
        <f aca="false">AA1239+1</f>
        <v>42146</v>
      </c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  <c r="AL1240" s="14"/>
      <c r="AM1240" s="14"/>
    </row>
    <row r="1241" customFormat="false" ht="13.8" hidden="false" customHeight="false" outlineLevel="0" collapsed="false">
      <c r="AA1241" s="7" t="n">
        <f aca="false">AA1240+1</f>
        <v>42147</v>
      </c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  <c r="AL1241" s="14"/>
      <c r="AM1241" s="14"/>
    </row>
    <row r="1242" customFormat="false" ht="13.8" hidden="false" customHeight="false" outlineLevel="0" collapsed="false">
      <c r="AA1242" s="7" t="n">
        <f aca="false">AA1241+1</f>
        <v>42148</v>
      </c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  <c r="AL1242" s="14"/>
      <c r="AM1242" s="14"/>
    </row>
    <row r="1243" customFormat="false" ht="13.8" hidden="false" customHeight="false" outlineLevel="0" collapsed="false">
      <c r="AA1243" s="7" t="n">
        <f aca="false">AA1242+1</f>
        <v>42149</v>
      </c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  <c r="AL1243" s="14"/>
      <c r="AM1243" s="14"/>
    </row>
    <row r="1244" customFormat="false" ht="13.8" hidden="false" customHeight="false" outlineLevel="0" collapsed="false">
      <c r="AA1244" s="7" t="n">
        <f aca="false">AA1243+1</f>
        <v>42150</v>
      </c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  <c r="AL1244" s="14"/>
      <c r="AM1244" s="14"/>
    </row>
    <row r="1245" customFormat="false" ht="13.8" hidden="false" customHeight="false" outlineLevel="0" collapsed="false">
      <c r="AA1245" s="7" t="n">
        <f aca="false">AA1244+1</f>
        <v>42151</v>
      </c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  <c r="AL1245" s="14"/>
      <c r="AM1245" s="14"/>
    </row>
    <row r="1246" customFormat="false" ht="13.8" hidden="false" customHeight="false" outlineLevel="0" collapsed="false">
      <c r="AA1246" s="7" t="n">
        <f aca="false">AA1245+1</f>
        <v>42152</v>
      </c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</row>
    <row r="1247" customFormat="false" ht="13.8" hidden="false" customHeight="false" outlineLevel="0" collapsed="false">
      <c r="AA1247" s="7" t="n">
        <f aca="false">AA1246+1</f>
        <v>42153</v>
      </c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</row>
    <row r="1248" customFormat="false" ht="13.8" hidden="false" customHeight="false" outlineLevel="0" collapsed="false">
      <c r="AA1248" s="7" t="n">
        <f aca="false">AA1247+1</f>
        <v>42154</v>
      </c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</row>
    <row r="1249" customFormat="false" ht="13.8" hidden="false" customHeight="false" outlineLevel="0" collapsed="false">
      <c r="AA1249" s="7" t="n">
        <f aca="false">AA1248+1</f>
        <v>42155</v>
      </c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</row>
    <row r="1250" customFormat="false" ht="13.8" hidden="false" customHeight="false" outlineLevel="0" collapsed="false">
      <c r="AA1250" s="7" t="n">
        <f aca="false">AA1249+1</f>
        <v>42156</v>
      </c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</row>
    <row r="1251" customFormat="false" ht="13.8" hidden="false" customHeight="false" outlineLevel="0" collapsed="false">
      <c r="AA1251" s="7" t="n">
        <f aca="false">AA1250+1</f>
        <v>42157</v>
      </c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</row>
    <row r="1252" customFormat="false" ht="13.8" hidden="false" customHeight="false" outlineLevel="0" collapsed="false">
      <c r="AA1252" s="7" t="n">
        <f aca="false">AA1251+1</f>
        <v>42158</v>
      </c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</row>
    <row r="1253" customFormat="false" ht="13.8" hidden="false" customHeight="false" outlineLevel="0" collapsed="false">
      <c r="AA1253" s="7" t="n">
        <f aca="false">AA1252+1</f>
        <v>42159</v>
      </c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  <c r="AL1253" s="14"/>
      <c r="AM1253" s="14"/>
    </row>
    <row r="1254" customFormat="false" ht="13.8" hidden="false" customHeight="false" outlineLevel="0" collapsed="false">
      <c r="AA1254" s="7" t="n">
        <f aca="false">AA1253+1</f>
        <v>42160</v>
      </c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  <c r="AL1254" s="14"/>
      <c r="AM1254" s="14"/>
    </row>
    <row r="1255" customFormat="false" ht="13.8" hidden="false" customHeight="false" outlineLevel="0" collapsed="false">
      <c r="AA1255" s="7" t="n">
        <f aca="false">AA1254+1</f>
        <v>42161</v>
      </c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  <c r="AL1255" s="14"/>
      <c r="AM1255" s="14"/>
    </row>
    <row r="1256" customFormat="false" ht="13.8" hidden="false" customHeight="false" outlineLevel="0" collapsed="false">
      <c r="AA1256" s="7" t="n">
        <f aca="false">AA1255+1</f>
        <v>42162</v>
      </c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  <c r="AL1256" s="14"/>
      <c r="AM1256" s="14"/>
    </row>
    <row r="1257" customFormat="false" ht="13.8" hidden="false" customHeight="false" outlineLevel="0" collapsed="false">
      <c r="AA1257" s="7" t="n">
        <f aca="false">AA1256+1</f>
        <v>42163</v>
      </c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  <c r="AL1257" s="14"/>
      <c r="AM1257" s="14"/>
    </row>
    <row r="1258" customFormat="false" ht="13.8" hidden="false" customHeight="false" outlineLevel="0" collapsed="false">
      <c r="AA1258" s="7" t="n">
        <f aca="false">AA1257+1</f>
        <v>42164</v>
      </c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  <c r="AL1258" s="14"/>
      <c r="AM1258" s="14"/>
    </row>
    <row r="1259" customFormat="false" ht="13.8" hidden="false" customHeight="false" outlineLevel="0" collapsed="false">
      <c r="AA1259" s="7" t="n">
        <f aca="false">AA1258+1</f>
        <v>42165</v>
      </c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  <c r="AL1259" s="14"/>
      <c r="AM1259" s="14"/>
    </row>
    <row r="1260" customFormat="false" ht="13.8" hidden="false" customHeight="false" outlineLevel="0" collapsed="false">
      <c r="AA1260" s="7" t="n">
        <f aca="false">AA1259+1</f>
        <v>42166</v>
      </c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  <c r="AL1260" s="14"/>
      <c r="AM1260" s="14"/>
    </row>
    <row r="1261" customFormat="false" ht="13.8" hidden="false" customHeight="false" outlineLevel="0" collapsed="false">
      <c r="AA1261" s="7" t="n">
        <f aca="false">AA1260+1</f>
        <v>42167</v>
      </c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  <c r="AL1261" s="14"/>
      <c r="AM1261" s="14"/>
    </row>
    <row r="1262" customFormat="false" ht="13.8" hidden="false" customHeight="false" outlineLevel="0" collapsed="false">
      <c r="AA1262" s="7" t="n">
        <f aca="false">AA1261+1</f>
        <v>42168</v>
      </c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  <c r="AL1262" s="14"/>
      <c r="AM1262" s="14"/>
    </row>
    <row r="1263" customFormat="false" ht="13.8" hidden="false" customHeight="false" outlineLevel="0" collapsed="false">
      <c r="AA1263" s="7" t="n">
        <f aca="false">AA1262+1</f>
        <v>42169</v>
      </c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  <c r="AL1263" s="14"/>
      <c r="AM1263" s="14"/>
    </row>
    <row r="1264" customFormat="false" ht="13.8" hidden="false" customHeight="false" outlineLevel="0" collapsed="false">
      <c r="AA1264" s="7" t="n">
        <f aca="false">AA1263+1</f>
        <v>42170</v>
      </c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  <c r="AL1264" s="14"/>
      <c r="AM1264" s="14"/>
    </row>
    <row r="1265" customFormat="false" ht="13.8" hidden="false" customHeight="false" outlineLevel="0" collapsed="false">
      <c r="AA1265" s="7" t="n">
        <f aca="false">AA1264+1</f>
        <v>42171</v>
      </c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  <c r="AL1265" s="14"/>
      <c r="AM1265" s="14"/>
    </row>
    <row r="1266" customFormat="false" ht="13.8" hidden="false" customHeight="false" outlineLevel="0" collapsed="false">
      <c r="AA1266" s="7" t="n">
        <f aca="false">AA1265+1</f>
        <v>42172</v>
      </c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  <c r="AL1266" s="14"/>
      <c r="AM1266" s="14"/>
    </row>
    <row r="1267" customFormat="false" ht="13.8" hidden="false" customHeight="false" outlineLevel="0" collapsed="false">
      <c r="AA1267" s="7" t="n">
        <f aca="false">AA1266+1</f>
        <v>42173</v>
      </c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  <c r="AL1267" s="14"/>
      <c r="AM1267" s="14"/>
    </row>
    <row r="1268" customFormat="false" ht="13.8" hidden="false" customHeight="false" outlineLevel="0" collapsed="false">
      <c r="AA1268" s="7" t="n">
        <f aca="false">AA1267+1</f>
        <v>42174</v>
      </c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  <c r="AL1268" s="14"/>
      <c r="AM1268" s="14"/>
    </row>
    <row r="1269" customFormat="false" ht="13.8" hidden="false" customHeight="false" outlineLevel="0" collapsed="false">
      <c r="AA1269" s="7" t="n">
        <f aca="false">AA1268+1</f>
        <v>42175</v>
      </c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  <c r="AL1269" s="14"/>
      <c r="AM1269" s="14"/>
    </row>
    <row r="1270" customFormat="false" ht="13.8" hidden="false" customHeight="false" outlineLevel="0" collapsed="false">
      <c r="AA1270" s="7" t="n">
        <f aca="false">AA1269+1</f>
        <v>42176</v>
      </c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  <c r="AL1270" s="14"/>
      <c r="AM1270" s="14"/>
    </row>
    <row r="1271" customFormat="false" ht="13.8" hidden="false" customHeight="false" outlineLevel="0" collapsed="false">
      <c r="AA1271" s="7" t="n">
        <f aca="false">AA1270+1</f>
        <v>42177</v>
      </c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  <c r="AL1271" s="14"/>
      <c r="AM1271" s="14"/>
    </row>
    <row r="1272" customFormat="false" ht="13.8" hidden="false" customHeight="false" outlineLevel="0" collapsed="false">
      <c r="AA1272" s="7" t="n">
        <f aca="false">AA1271+1</f>
        <v>42178</v>
      </c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  <c r="AL1272" s="14"/>
      <c r="AM1272" s="14"/>
    </row>
    <row r="1273" customFormat="false" ht="13.8" hidden="false" customHeight="false" outlineLevel="0" collapsed="false">
      <c r="AA1273" s="7" t="n">
        <f aca="false">AA1272+1</f>
        <v>42179</v>
      </c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  <c r="AL1273" s="14"/>
      <c r="AM1273" s="14"/>
    </row>
    <row r="1274" customFormat="false" ht="13.8" hidden="false" customHeight="false" outlineLevel="0" collapsed="false">
      <c r="AA1274" s="7" t="n">
        <f aca="false">AA1273+1</f>
        <v>42180</v>
      </c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  <c r="AL1274" s="14"/>
      <c r="AM1274" s="14"/>
    </row>
    <row r="1275" customFormat="false" ht="13.8" hidden="false" customHeight="false" outlineLevel="0" collapsed="false">
      <c r="AA1275" s="7" t="n">
        <f aca="false">AA1274+1</f>
        <v>42181</v>
      </c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  <c r="AL1275" s="14"/>
      <c r="AM1275" s="14"/>
    </row>
    <row r="1276" customFormat="false" ht="13.8" hidden="false" customHeight="false" outlineLevel="0" collapsed="false">
      <c r="AA1276" s="7" t="n">
        <f aca="false">AA1275+1</f>
        <v>42182</v>
      </c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  <c r="AL1276" s="14"/>
      <c r="AM1276" s="14"/>
    </row>
    <row r="1277" customFormat="false" ht="13.8" hidden="false" customHeight="false" outlineLevel="0" collapsed="false">
      <c r="AA1277" s="7" t="n">
        <f aca="false">AA1276+1</f>
        <v>42183</v>
      </c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  <c r="AL1277" s="14"/>
      <c r="AM1277" s="14"/>
    </row>
    <row r="1278" customFormat="false" ht="13.8" hidden="false" customHeight="false" outlineLevel="0" collapsed="false">
      <c r="AA1278" s="7" t="n">
        <f aca="false">AA1277+1</f>
        <v>42184</v>
      </c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  <c r="AL1278" s="14"/>
      <c r="AM1278" s="14"/>
    </row>
    <row r="1279" customFormat="false" ht="13.8" hidden="false" customHeight="false" outlineLevel="0" collapsed="false">
      <c r="AA1279" s="7" t="n">
        <f aca="false">AA1278+1</f>
        <v>42185</v>
      </c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  <c r="AL1279" s="14"/>
      <c r="AM1279" s="14"/>
    </row>
    <row r="1280" customFormat="false" ht="13.8" hidden="false" customHeight="false" outlineLevel="0" collapsed="false">
      <c r="AA1280" s="7" t="n">
        <f aca="false">AA1279+1</f>
        <v>42186</v>
      </c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  <c r="AL1280" s="14"/>
      <c r="AM1280" s="14"/>
    </row>
    <row r="1281" customFormat="false" ht="13.8" hidden="false" customHeight="false" outlineLevel="0" collapsed="false">
      <c r="AA1281" s="7" t="n">
        <f aca="false">AA1280+1</f>
        <v>42187</v>
      </c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  <c r="AL1281" s="14"/>
      <c r="AM1281" s="14"/>
    </row>
    <row r="1282" customFormat="false" ht="13.8" hidden="false" customHeight="false" outlineLevel="0" collapsed="false">
      <c r="AA1282" s="7" t="n">
        <f aca="false">AA1281+1</f>
        <v>42188</v>
      </c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  <c r="AL1282" s="14"/>
      <c r="AM1282" s="14"/>
    </row>
    <row r="1283" customFormat="false" ht="13.8" hidden="false" customHeight="false" outlineLevel="0" collapsed="false">
      <c r="AA1283" s="7" t="n">
        <f aca="false">AA1282+1</f>
        <v>42189</v>
      </c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  <c r="AL1283" s="14"/>
      <c r="AM1283" s="14"/>
    </row>
    <row r="1284" customFormat="false" ht="13.8" hidden="false" customHeight="false" outlineLevel="0" collapsed="false">
      <c r="AA1284" s="7" t="n">
        <f aca="false">AA1283+1</f>
        <v>42190</v>
      </c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  <c r="AL1284" s="14"/>
      <c r="AM1284" s="14"/>
    </row>
    <row r="1285" customFormat="false" ht="13.8" hidden="false" customHeight="false" outlineLevel="0" collapsed="false">
      <c r="AA1285" s="7" t="n">
        <f aca="false">AA1284+1</f>
        <v>42191</v>
      </c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  <c r="AL1285" s="14"/>
      <c r="AM1285" s="14"/>
    </row>
    <row r="1286" customFormat="false" ht="13.8" hidden="false" customHeight="false" outlineLevel="0" collapsed="false">
      <c r="AA1286" s="7" t="n">
        <f aca="false">AA1285+1</f>
        <v>42192</v>
      </c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  <c r="AL1286" s="14"/>
      <c r="AM1286" s="14"/>
    </row>
    <row r="1287" customFormat="false" ht="13.8" hidden="false" customHeight="false" outlineLevel="0" collapsed="false">
      <c r="AA1287" s="7" t="n">
        <f aca="false">AA1286+1</f>
        <v>42193</v>
      </c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  <c r="AL1287" s="14"/>
      <c r="AM1287" s="14"/>
    </row>
    <row r="1288" customFormat="false" ht="13.8" hidden="false" customHeight="false" outlineLevel="0" collapsed="false">
      <c r="AA1288" s="7" t="n">
        <f aca="false">AA1287+1</f>
        <v>42194</v>
      </c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  <c r="AL1288" s="14"/>
      <c r="AM1288" s="14"/>
    </row>
    <row r="1289" customFormat="false" ht="13.8" hidden="false" customHeight="false" outlineLevel="0" collapsed="false">
      <c r="AA1289" s="7" t="n">
        <f aca="false">AA1288+1</f>
        <v>42195</v>
      </c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  <c r="AL1289" s="14"/>
      <c r="AM1289" s="14"/>
    </row>
    <row r="1290" customFormat="false" ht="13.8" hidden="false" customHeight="false" outlineLevel="0" collapsed="false">
      <c r="AA1290" s="7" t="n">
        <f aca="false">AA1289+1</f>
        <v>42196</v>
      </c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  <c r="AL1290" s="14"/>
      <c r="AM1290" s="14"/>
    </row>
    <row r="1291" customFormat="false" ht="13.8" hidden="false" customHeight="false" outlineLevel="0" collapsed="false">
      <c r="AA1291" s="7" t="n">
        <f aca="false">AA1290+1</f>
        <v>42197</v>
      </c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  <c r="AL1291" s="14"/>
      <c r="AM1291" s="14"/>
    </row>
    <row r="1292" customFormat="false" ht="13.8" hidden="false" customHeight="false" outlineLevel="0" collapsed="false">
      <c r="AA1292" s="7" t="n">
        <f aca="false">AA1291+1</f>
        <v>42198</v>
      </c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  <c r="AL1292" s="14"/>
      <c r="AM1292" s="14"/>
    </row>
    <row r="1293" customFormat="false" ht="13.8" hidden="false" customHeight="false" outlineLevel="0" collapsed="false">
      <c r="AA1293" s="7" t="n">
        <f aca="false">AA1292+1</f>
        <v>42199</v>
      </c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  <c r="AL1293" s="14"/>
      <c r="AM1293" s="14"/>
    </row>
    <row r="1294" customFormat="false" ht="13.8" hidden="false" customHeight="false" outlineLevel="0" collapsed="false">
      <c r="AA1294" s="7" t="n">
        <f aca="false">AA1293+1</f>
        <v>42200</v>
      </c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  <c r="AL1294" s="14"/>
      <c r="AM1294" s="14"/>
    </row>
    <row r="1295" customFormat="false" ht="13.8" hidden="false" customHeight="false" outlineLevel="0" collapsed="false">
      <c r="AA1295" s="7" t="n">
        <f aca="false">AA1294+1</f>
        <v>42201</v>
      </c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  <c r="AL1295" s="14"/>
      <c r="AM1295" s="14"/>
    </row>
    <row r="1296" customFormat="false" ht="13.8" hidden="false" customHeight="false" outlineLevel="0" collapsed="false">
      <c r="AA1296" s="7" t="n">
        <f aca="false">AA1295+1</f>
        <v>42202</v>
      </c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  <c r="AL1296" s="14"/>
      <c r="AM1296" s="14"/>
    </row>
    <row r="1297" customFormat="false" ht="13.8" hidden="false" customHeight="false" outlineLevel="0" collapsed="false">
      <c r="AA1297" s="7" t="n">
        <f aca="false">AA1296+1</f>
        <v>42203</v>
      </c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  <c r="AL1297" s="14"/>
      <c r="AM1297" s="14"/>
    </row>
    <row r="1298" customFormat="false" ht="13.8" hidden="false" customHeight="false" outlineLevel="0" collapsed="false">
      <c r="AA1298" s="7" t="n">
        <f aca="false">AA1297+1</f>
        <v>42204</v>
      </c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  <c r="AL1298" s="14"/>
      <c r="AM1298" s="14"/>
    </row>
    <row r="1299" customFormat="false" ht="13.8" hidden="false" customHeight="false" outlineLevel="0" collapsed="false">
      <c r="AA1299" s="7" t="n">
        <f aca="false">AA1298+1</f>
        <v>42205</v>
      </c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  <c r="AL1299" s="14"/>
      <c r="AM1299" s="14"/>
    </row>
    <row r="1300" customFormat="false" ht="13.8" hidden="false" customHeight="false" outlineLevel="0" collapsed="false">
      <c r="AA1300" s="7" t="n">
        <f aca="false">AA1299+1</f>
        <v>42206</v>
      </c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  <c r="AL1300" s="14"/>
      <c r="AM1300" s="14"/>
    </row>
    <row r="1301" customFormat="false" ht="13.8" hidden="false" customHeight="false" outlineLevel="0" collapsed="false">
      <c r="AA1301" s="7" t="n">
        <f aca="false">AA1300+1</f>
        <v>42207</v>
      </c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  <c r="AL1301" s="14"/>
      <c r="AM1301" s="14"/>
    </row>
    <row r="1302" customFormat="false" ht="13.8" hidden="false" customHeight="false" outlineLevel="0" collapsed="false">
      <c r="AA1302" s="7" t="n">
        <f aca="false">AA1301+1</f>
        <v>42208</v>
      </c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  <c r="AL1302" s="14"/>
      <c r="AM1302" s="14"/>
    </row>
    <row r="1303" customFormat="false" ht="13.8" hidden="false" customHeight="false" outlineLevel="0" collapsed="false">
      <c r="AA1303" s="7" t="n">
        <f aca="false">AA1302+1</f>
        <v>42209</v>
      </c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  <c r="AL1303" s="14"/>
      <c r="AM1303" s="14"/>
    </row>
    <row r="1304" customFormat="false" ht="13.8" hidden="false" customHeight="false" outlineLevel="0" collapsed="false">
      <c r="AA1304" s="7" t="n">
        <f aca="false">AA1303+1</f>
        <v>42210</v>
      </c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  <c r="AL1304" s="14"/>
      <c r="AM1304" s="14"/>
    </row>
    <row r="1305" customFormat="false" ht="13.8" hidden="false" customHeight="false" outlineLevel="0" collapsed="false">
      <c r="AA1305" s="7" t="n">
        <f aca="false">AA1304+1</f>
        <v>42211</v>
      </c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  <c r="AL1305" s="14"/>
      <c r="AM1305" s="14"/>
    </row>
    <row r="1306" customFormat="false" ht="13.8" hidden="false" customHeight="false" outlineLevel="0" collapsed="false">
      <c r="AA1306" s="7" t="n">
        <f aca="false">AA1305+1</f>
        <v>42212</v>
      </c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  <c r="AL1306" s="14"/>
      <c r="AM1306" s="14"/>
    </row>
    <row r="1307" customFormat="false" ht="13.8" hidden="false" customHeight="false" outlineLevel="0" collapsed="false">
      <c r="AA1307" s="7" t="n">
        <f aca="false">AA1306+1</f>
        <v>42213</v>
      </c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  <c r="AL1307" s="14"/>
      <c r="AM1307" s="14"/>
    </row>
    <row r="1308" customFormat="false" ht="13.8" hidden="false" customHeight="false" outlineLevel="0" collapsed="false">
      <c r="AA1308" s="7" t="n">
        <f aca="false">AA1307+1</f>
        <v>42214</v>
      </c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  <c r="AL1308" s="14"/>
      <c r="AM1308" s="14"/>
    </row>
    <row r="1309" customFormat="false" ht="13.8" hidden="false" customHeight="false" outlineLevel="0" collapsed="false">
      <c r="AA1309" s="7" t="n">
        <f aca="false">AA1308+1</f>
        <v>42215</v>
      </c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  <c r="AL1309" s="14"/>
      <c r="AM1309" s="14"/>
    </row>
    <row r="1310" customFormat="false" ht="13.8" hidden="false" customHeight="false" outlineLevel="0" collapsed="false">
      <c r="AA1310" s="7" t="n">
        <f aca="false">AA1309+1</f>
        <v>42216</v>
      </c>
      <c r="AB1310" s="14"/>
      <c r="AC1310" s="14"/>
      <c r="AD1310" s="14"/>
      <c r="AE1310" s="14"/>
      <c r="AF1310" s="14"/>
      <c r="AG1310" s="14"/>
      <c r="AH1310" s="14"/>
      <c r="AI1310" s="14"/>
      <c r="AJ1310" s="14"/>
      <c r="AK1310" s="14"/>
      <c r="AL1310" s="14"/>
      <c r="AM1310" s="14"/>
    </row>
    <row r="1311" customFormat="false" ht="13.8" hidden="false" customHeight="false" outlineLevel="0" collapsed="false">
      <c r="AA1311" s="7" t="n">
        <f aca="false">AA1310+1</f>
        <v>42217</v>
      </c>
      <c r="AB1311" s="14"/>
      <c r="AC1311" s="14"/>
      <c r="AD1311" s="14"/>
      <c r="AE1311" s="14"/>
      <c r="AF1311" s="14"/>
      <c r="AG1311" s="14"/>
      <c r="AH1311" s="14"/>
      <c r="AI1311" s="14"/>
      <c r="AJ1311" s="14"/>
      <c r="AK1311" s="14"/>
      <c r="AL1311" s="14"/>
      <c r="AM1311" s="14"/>
    </row>
    <row r="1312" customFormat="false" ht="13.8" hidden="false" customHeight="false" outlineLevel="0" collapsed="false">
      <c r="AA1312" s="7" t="n">
        <f aca="false">AA1311+1</f>
        <v>42218</v>
      </c>
      <c r="AB1312" s="14"/>
      <c r="AC1312" s="14"/>
      <c r="AD1312" s="14"/>
      <c r="AE1312" s="14"/>
      <c r="AF1312" s="14"/>
      <c r="AG1312" s="14"/>
      <c r="AH1312" s="14"/>
      <c r="AI1312" s="14"/>
      <c r="AJ1312" s="14"/>
      <c r="AK1312" s="14"/>
      <c r="AL1312" s="14"/>
      <c r="AM1312" s="14"/>
    </row>
    <row r="1313" customFormat="false" ht="13.8" hidden="false" customHeight="false" outlineLevel="0" collapsed="false">
      <c r="AA1313" s="7" t="n">
        <f aca="false">AA1312+1</f>
        <v>42219</v>
      </c>
      <c r="AB1313" s="14"/>
      <c r="AC1313" s="14"/>
      <c r="AD1313" s="14"/>
      <c r="AE1313" s="14"/>
      <c r="AF1313" s="14"/>
      <c r="AG1313" s="14"/>
      <c r="AH1313" s="14"/>
      <c r="AI1313" s="14"/>
      <c r="AJ1313" s="14"/>
      <c r="AK1313" s="14"/>
      <c r="AL1313" s="14"/>
      <c r="AM1313" s="14"/>
    </row>
    <row r="1314" customFormat="false" ht="13.8" hidden="false" customHeight="false" outlineLevel="0" collapsed="false">
      <c r="AA1314" s="7" t="n">
        <f aca="false">AA1313+1</f>
        <v>42220</v>
      </c>
      <c r="AB1314" s="14"/>
      <c r="AC1314" s="14"/>
      <c r="AD1314" s="14"/>
      <c r="AE1314" s="14"/>
      <c r="AF1314" s="14"/>
      <c r="AG1314" s="14"/>
      <c r="AH1314" s="14"/>
      <c r="AI1314" s="14"/>
      <c r="AJ1314" s="14"/>
      <c r="AK1314" s="14"/>
      <c r="AL1314" s="14"/>
      <c r="AM1314" s="14"/>
    </row>
    <row r="1315" customFormat="false" ht="13.8" hidden="false" customHeight="false" outlineLevel="0" collapsed="false">
      <c r="AA1315" s="7" t="n">
        <f aca="false">AA1314+1</f>
        <v>42221</v>
      </c>
      <c r="AB1315" s="14"/>
      <c r="AC1315" s="14"/>
      <c r="AD1315" s="14"/>
      <c r="AE1315" s="14"/>
      <c r="AF1315" s="14"/>
      <c r="AG1315" s="14"/>
      <c r="AH1315" s="14"/>
      <c r="AI1315" s="14"/>
      <c r="AJ1315" s="14"/>
      <c r="AK1315" s="14"/>
      <c r="AL1315" s="14"/>
      <c r="AM1315" s="14"/>
    </row>
    <row r="1316" customFormat="false" ht="13.8" hidden="false" customHeight="false" outlineLevel="0" collapsed="false">
      <c r="AA1316" s="7" t="n">
        <f aca="false">AA1315+1</f>
        <v>42222</v>
      </c>
      <c r="AB1316" s="14"/>
      <c r="AC1316" s="14"/>
      <c r="AD1316" s="14"/>
      <c r="AE1316" s="14"/>
      <c r="AF1316" s="14"/>
      <c r="AG1316" s="14"/>
      <c r="AH1316" s="14"/>
      <c r="AI1316" s="14"/>
      <c r="AJ1316" s="14"/>
      <c r="AK1316" s="14"/>
      <c r="AL1316" s="14"/>
      <c r="AM1316" s="14"/>
    </row>
    <row r="1317" customFormat="false" ht="13.8" hidden="false" customHeight="false" outlineLevel="0" collapsed="false">
      <c r="AA1317" s="7" t="n">
        <f aca="false">AA1316+1</f>
        <v>42223</v>
      </c>
      <c r="AB1317" s="14"/>
      <c r="AC1317" s="14"/>
      <c r="AD1317" s="14"/>
      <c r="AE1317" s="14"/>
      <c r="AF1317" s="14"/>
      <c r="AG1317" s="14"/>
      <c r="AH1317" s="14"/>
      <c r="AI1317" s="14"/>
      <c r="AJ1317" s="14"/>
      <c r="AK1317" s="14"/>
      <c r="AL1317" s="14"/>
      <c r="AM1317" s="14"/>
    </row>
    <row r="1318" customFormat="false" ht="13.8" hidden="false" customHeight="false" outlineLevel="0" collapsed="false">
      <c r="AA1318" s="7" t="n">
        <f aca="false">AA1317+1</f>
        <v>42224</v>
      </c>
      <c r="AB1318" s="14"/>
      <c r="AC1318" s="14"/>
      <c r="AD1318" s="14"/>
      <c r="AE1318" s="14"/>
      <c r="AF1318" s="14"/>
      <c r="AG1318" s="14"/>
      <c r="AH1318" s="14"/>
      <c r="AI1318" s="14"/>
      <c r="AJ1318" s="14"/>
      <c r="AK1318" s="14"/>
      <c r="AL1318" s="14"/>
      <c r="AM1318" s="14"/>
    </row>
    <row r="1319" customFormat="false" ht="13.8" hidden="false" customHeight="false" outlineLevel="0" collapsed="false">
      <c r="AA1319" s="7" t="n">
        <f aca="false">AA1318+1</f>
        <v>42225</v>
      </c>
      <c r="AB1319" s="14"/>
      <c r="AC1319" s="14"/>
      <c r="AD1319" s="14"/>
      <c r="AE1319" s="14"/>
      <c r="AF1319" s="14"/>
      <c r="AG1319" s="14"/>
      <c r="AH1319" s="14"/>
      <c r="AI1319" s="14"/>
      <c r="AJ1319" s="14"/>
      <c r="AK1319" s="14"/>
      <c r="AL1319" s="14"/>
      <c r="AM1319" s="14"/>
    </row>
    <row r="1320" customFormat="false" ht="13.8" hidden="false" customHeight="false" outlineLevel="0" collapsed="false">
      <c r="AA1320" s="7" t="n">
        <f aca="false">AA1319+1</f>
        <v>42226</v>
      </c>
      <c r="AB1320" s="14"/>
      <c r="AC1320" s="14"/>
      <c r="AD1320" s="14"/>
      <c r="AE1320" s="14"/>
      <c r="AF1320" s="14"/>
      <c r="AG1320" s="14"/>
      <c r="AH1320" s="14"/>
      <c r="AI1320" s="14"/>
      <c r="AJ1320" s="14"/>
      <c r="AK1320" s="14"/>
      <c r="AL1320" s="14"/>
      <c r="AM1320" s="14"/>
    </row>
    <row r="1321" customFormat="false" ht="13.8" hidden="false" customHeight="false" outlineLevel="0" collapsed="false">
      <c r="AA1321" s="7" t="n">
        <f aca="false">AA1320+1</f>
        <v>42227</v>
      </c>
      <c r="AB1321" s="14"/>
      <c r="AC1321" s="14"/>
      <c r="AD1321" s="14"/>
      <c r="AE1321" s="14"/>
      <c r="AF1321" s="14"/>
      <c r="AG1321" s="14"/>
      <c r="AH1321" s="14"/>
      <c r="AI1321" s="14"/>
      <c r="AJ1321" s="14"/>
      <c r="AK1321" s="14"/>
      <c r="AL1321" s="14"/>
      <c r="AM1321" s="14"/>
    </row>
    <row r="1322" customFormat="false" ht="13.8" hidden="false" customHeight="false" outlineLevel="0" collapsed="false">
      <c r="AA1322" s="7" t="n">
        <f aca="false">AA1321+1</f>
        <v>42228</v>
      </c>
      <c r="AB1322" s="14"/>
      <c r="AC1322" s="14"/>
      <c r="AD1322" s="14"/>
      <c r="AE1322" s="14"/>
      <c r="AF1322" s="14"/>
      <c r="AG1322" s="14"/>
      <c r="AH1322" s="14"/>
      <c r="AI1322" s="14"/>
      <c r="AJ1322" s="14"/>
      <c r="AK1322" s="14"/>
      <c r="AL1322" s="14"/>
      <c r="AM1322" s="14"/>
    </row>
    <row r="1323" customFormat="false" ht="13.8" hidden="false" customHeight="false" outlineLevel="0" collapsed="false">
      <c r="AA1323" s="7" t="n">
        <f aca="false">AA1322+1</f>
        <v>42229</v>
      </c>
      <c r="AB1323" s="14"/>
      <c r="AC1323" s="14"/>
      <c r="AD1323" s="14"/>
      <c r="AE1323" s="14"/>
      <c r="AF1323" s="14"/>
      <c r="AG1323" s="14"/>
      <c r="AH1323" s="14"/>
      <c r="AI1323" s="14"/>
      <c r="AJ1323" s="14"/>
      <c r="AK1323" s="14"/>
      <c r="AL1323" s="14"/>
      <c r="AM1323" s="14"/>
    </row>
    <row r="1324" customFormat="false" ht="13.8" hidden="false" customHeight="false" outlineLevel="0" collapsed="false">
      <c r="AA1324" s="7" t="n">
        <f aca="false">AA1323+1</f>
        <v>42230</v>
      </c>
      <c r="AB1324" s="14"/>
      <c r="AC1324" s="14"/>
      <c r="AD1324" s="14"/>
      <c r="AE1324" s="14"/>
      <c r="AF1324" s="14"/>
      <c r="AG1324" s="14"/>
      <c r="AH1324" s="14"/>
      <c r="AI1324" s="14"/>
      <c r="AJ1324" s="14"/>
      <c r="AK1324" s="14"/>
      <c r="AL1324" s="14"/>
      <c r="AM1324" s="14"/>
    </row>
    <row r="1325" customFormat="false" ht="13.8" hidden="false" customHeight="false" outlineLevel="0" collapsed="false">
      <c r="AA1325" s="7" t="n">
        <f aca="false">AA1324+1</f>
        <v>42231</v>
      </c>
      <c r="AB1325" s="14"/>
      <c r="AC1325" s="14"/>
      <c r="AD1325" s="14"/>
      <c r="AE1325" s="14"/>
      <c r="AF1325" s="14"/>
      <c r="AG1325" s="14"/>
      <c r="AH1325" s="14"/>
      <c r="AI1325" s="14"/>
      <c r="AJ1325" s="14"/>
      <c r="AK1325" s="14"/>
      <c r="AL1325" s="14"/>
      <c r="AM1325" s="14"/>
    </row>
    <row r="1326" customFormat="false" ht="13.8" hidden="false" customHeight="false" outlineLevel="0" collapsed="false">
      <c r="AA1326" s="7" t="n">
        <f aca="false">AA1325+1</f>
        <v>42232</v>
      </c>
      <c r="AB1326" s="14"/>
      <c r="AC1326" s="14"/>
      <c r="AD1326" s="14"/>
      <c r="AE1326" s="14"/>
      <c r="AF1326" s="14"/>
      <c r="AG1326" s="14"/>
      <c r="AH1326" s="14"/>
      <c r="AI1326" s="14"/>
      <c r="AJ1326" s="14"/>
      <c r="AK1326" s="14"/>
      <c r="AL1326" s="14"/>
      <c r="AM1326" s="14"/>
    </row>
    <row r="1327" customFormat="false" ht="13.8" hidden="false" customHeight="false" outlineLevel="0" collapsed="false">
      <c r="AA1327" s="7" t="n">
        <f aca="false">AA1326+1</f>
        <v>42233</v>
      </c>
      <c r="AB1327" s="14"/>
      <c r="AC1327" s="14"/>
      <c r="AD1327" s="14"/>
      <c r="AE1327" s="14"/>
      <c r="AF1327" s="14"/>
      <c r="AG1327" s="14"/>
      <c r="AH1327" s="14"/>
      <c r="AI1327" s="14"/>
      <c r="AJ1327" s="14"/>
      <c r="AK1327" s="14"/>
      <c r="AL1327" s="14"/>
      <c r="AM1327" s="14"/>
    </row>
    <row r="1328" customFormat="false" ht="13.8" hidden="false" customHeight="false" outlineLevel="0" collapsed="false">
      <c r="AA1328" s="7" t="n">
        <f aca="false">AA1327+1</f>
        <v>42234</v>
      </c>
      <c r="AB1328" s="14"/>
      <c r="AC1328" s="14"/>
      <c r="AD1328" s="14"/>
      <c r="AE1328" s="14"/>
      <c r="AF1328" s="14"/>
      <c r="AG1328" s="14"/>
      <c r="AH1328" s="14"/>
      <c r="AI1328" s="14"/>
      <c r="AJ1328" s="14"/>
      <c r="AK1328" s="14"/>
      <c r="AL1328" s="14"/>
      <c r="AM1328" s="14"/>
    </row>
    <row r="1329" customFormat="false" ht="13.8" hidden="false" customHeight="false" outlineLevel="0" collapsed="false">
      <c r="AA1329" s="7" t="n">
        <f aca="false">AA1328+1</f>
        <v>42235</v>
      </c>
      <c r="AB1329" s="14"/>
      <c r="AC1329" s="14"/>
      <c r="AD1329" s="14"/>
      <c r="AE1329" s="14"/>
      <c r="AF1329" s="14"/>
      <c r="AG1329" s="14"/>
      <c r="AH1329" s="14"/>
      <c r="AI1329" s="14"/>
      <c r="AJ1329" s="14"/>
      <c r="AK1329" s="14"/>
      <c r="AL1329" s="14"/>
      <c r="AM1329" s="14"/>
    </row>
    <row r="1330" customFormat="false" ht="13.8" hidden="false" customHeight="false" outlineLevel="0" collapsed="false">
      <c r="AA1330" s="7" t="n">
        <f aca="false">AA1329+1</f>
        <v>42236</v>
      </c>
      <c r="AB1330" s="14"/>
      <c r="AC1330" s="14"/>
      <c r="AD1330" s="14"/>
      <c r="AE1330" s="14"/>
      <c r="AF1330" s="14"/>
      <c r="AG1330" s="14"/>
      <c r="AH1330" s="14"/>
      <c r="AI1330" s="14"/>
      <c r="AJ1330" s="14"/>
      <c r="AK1330" s="14"/>
      <c r="AL1330" s="14"/>
      <c r="AM1330" s="14"/>
    </row>
    <row r="1331" customFormat="false" ht="13.8" hidden="false" customHeight="false" outlineLevel="0" collapsed="false">
      <c r="AA1331" s="7" t="n">
        <f aca="false">AA1330+1</f>
        <v>42237</v>
      </c>
      <c r="AB1331" s="14"/>
      <c r="AC1331" s="14"/>
      <c r="AD1331" s="14"/>
      <c r="AE1331" s="14"/>
      <c r="AF1331" s="14"/>
      <c r="AG1331" s="14"/>
      <c r="AH1331" s="14"/>
      <c r="AI1331" s="14"/>
      <c r="AJ1331" s="14"/>
      <c r="AK1331" s="14"/>
      <c r="AL1331" s="14"/>
      <c r="AM1331" s="14"/>
    </row>
    <row r="1332" customFormat="false" ht="13.8" hidden="false" customHeight="false" outlineLevel="0" collapsed="false">
      <c r="AA1332" s="7" t="n">
        <f aca="false">AA1331+1</f>
        <v>42238</v>
      </c>
      <c r="AB1332" s="14"/>
      <c r="AC1332" s="14"/>
      <c r="AD1332" s="14"/>
      <c r="AE1332" s="14"/>
      <c r="AF1332" s="14"/>
      <c r="AG1332" s="14"/>
      <c r="AH1332" s="14"/>
      <c r="AI1332" s="14"/>
      <c r="AJ1332" s="14"/>
      <c r="AK1332" s="14"/>
      <c r="AL1332" s="14"/>
      <c r="AM1332" s="14"/>
    </row>
    <row r="1333" customFormat="false" ht="13.8" hidden="false" customHeight="false" outlineLevel="0" collapsed="false">
      <c r="AA1333" s="7" t="n">
        <f aca="false">AA1332+1</f>
        <v>42239</v>
      </c>
      <c r="AB1333" s="14"/>
      <c r="AC1333" s="14"/>
      <c r="AD1333" s="14"/>
      <c r="AE1333" s="14"/>
      <c r="AF1333" s="14"/>
      <c r="AG1333" s="14"/>
      <c r="AH1333" s="14"/>
      <c r="AI1333" s="14"/>
      <c r="AJ1333" s="14"/>
      <c r="AK1333" s="14"/>
      <c r="AL1333" s="14"/>
      <c r="AM1333" s="14"/>
    </row>
    <row r="1334" customFormat="false" ht="13.8" hidden="false" customHeight="false" outlineLevel="0" collapsed="false">
      <c r="AA1334" s="7" t="n">
        <f aca="false">AA1333+1</f>
        <v>42240</v>
      </c>
      <c r="AB1334" s="14"/>
      <c r="AC1334" s="14"/>
      <c r="AD1334" s="14"/>
      <c r="AE1334" s="14"/>
      <c r="AF1334" s="14"/>
      <c r="AG1334" s="14"/>
      <c r="AH1334" s="14"/>
      <c r="AI1334" s="14"/>
      <c r="AJ1334" s="14"/>
      <c r="AK1334" s="14"/>
      <c r="AL1334" s="14"/>
      <c r="AM1334" s="14"/>
    </row>
    <row r="1335" customFormat="false" ht="13.8" hidden="false" customHeight="false" outlineLevel="0" collapsed="false">
      <c r="AA1335" s="7" t="n">
        <f aca="false">AA1334+1</f>
        <v>42241</v>
      </c>
      <c r="AB1335" s="14"/>
      <c r="AC1335" s="14"/>
      <c r="AD1335" s="14"/>
      <c r="AE1335" s="14"/>
      <c r="AF1335" s="14"/>
      <c r="AG1335" s="14"/>
      <c r="AH1335" s="14"/>
      <c r="AI1335" s="14"/>
      <c r="AJ1335" s="14"/>
      <c r="AK1335" s="14"/>
      <c r="AL1335" s="14"/>
      <c r="AM1335" s="14"/>
    </row>
    <row r="1336" customFormat="false" ht="13.8" hidden="false" customHeight="false" outlineLevel="0" collapsed="false">
      <c r="AA1336" s="7" t="n">
        <f aca="false">AA1335+1</f>
        <v>42242</v>
      </c>
      <c r="AB1336" s="14"/>
      <c r="AC1336" s="14"/>
      <c r="AD1336" s="14"/>
      <c r="AE1336" s="14"/>
      <c r="AF1336" s="14"/>
      <c r="AG1336" s="14"/>
      <c r="AH1336" s="14"/>
      <c r="AI1336" s="14"/>
      <c r="AJ1336" s="14"/>
      <c r="AK1336" s="14"/>
      <c r="AL1336" s="14"/>
      <c r="AM1336" s="14"/>
    </row>
    <row r="1337" customFormat="false" ht="13.8" hidden="false" customHeight="false" outlineLevel="0" collapsed="false">
      <c r="AA1337" s="7" t="n">
        <f aca="false">AA1336+1</f>
        <v>42243</v>
      </c>
      <c r="AB1337" s="14"/>
      <c r="AC1337" s="14"/>
      <c r="AD1337" s="14"/>
      <c r="AE1337" s="14"/>
      <c r="AF1337" s="14"/>
      <c r="AG1337" s="14"/>
      <c r="AH1337" s="14"/>
      <c r="AI1337" s="14"/>
      <c r="AJ1337" s="14"/>
      <c r="AK1337" s="14"/>
      <c r="AL1337" s="14"/>
      <c r="AM1337" s="14"/>
    </row>
    <row r="1338" customFormat="false" ht="13.8" hidden="false" customHeight="false" outlineLevel="0" collapsed="false">
      <c r="AA1338" s="7" t="n">
        <f aca="false">AA1337+1</f>
        <v>42244</v>
      </c>
      <c r="AB1338" s="14"/>
      <c r="AC1338" s="14"/>
      <c r="AD1338" s="14"/>
      <c r="AE1338" s="14"/>
      <c r="AF1338" s="14"/>
      <c r="AG1338" s="14"/>
      <c r="AH1338" s="14"/>
      <c r="AI1338" s="14"/>
      <c r="AJ1338" s="14"/>
      <c r="AK1338" s="14"/>
      <c r="AL1338" s="14"/>
      <c r="AM1338" s="14"/>
    </row>
    <row r="1339" customFormat="false" ht="13.8" hidden="false" customHeight="false" outlineLevel="0" collapsed="false">
      <c r="AA1339" s="7" t="n">
        <f aca="false">AA1338+1</f>
        <v>42245</v>
      </c>
      <c r="AB1339" s="14"/>
      <c r="AC1339" s="14"/>
      <c r="AD1339" s="14"/>
      <c r="AE1339" s="14"/>
      <c r="AF1339" s="14"/>
      <c r="AG1339" s="14"/>
      <c r="AH1339" s="14"/>
      <c r="AI1339" s="14"/>
      <c r="AJ1339" s="14"/>
      <c r="AK1339" s="14"/>
      <c r="AL1339" s="14"/>
      <c r="AM1339" s="14"/>
    </row>
    <row r="1340" customFormat="false" ht="13.8" hidden="false" customHeight="false" outlineLevel="0" collapsed="false">
      <c r="AA1340" s="7" t="n">
        <f aca="false">AA1339+1</f>
        <v>42246</v>
      </c>
      <c r="AB1340" s="14"/>
      <c r="AC1340" s="14"/>
      <c r="AD1340" s="14"/>
      <c r="AE1340" s="14"/>
      <c r="AF1340" s="14"/>
      <c r="AG1340" s="14"/>
      <c r="AH1340" s="14"/>
      <c r="AI1340" s="14"/>
      <c r="AJ1340" s="14"/>
      <c r="AK1340" s="14"/>
      <c r="AL1340" s="14"/>
      <c r="AM1340" s="14"/>
    </row>
    <row r="1341" customFormat="false" ht="13.8" hidden="false" customHeight="false" outlineLevel="0" collapsed="false">
      <c r="AA1341" s="7" t="n">
        <f aca="false">AA1340+1</f>
        <v>42247</v>
      </c>
      <c r="AB1341" s="14"/>
      <c r="AC1341" s="14"/>
      <c r="AD1341" s="14"/>
      <c r="AE1341" s="14"/>
      <c r="AF1341" s="14"/>
      <c r="AG1341" s="14"/>
      <c r="AH1341" s="14"/>
      <c r="AI1341" s="14"/>
      <c r="AJ1341" s="14"/>
      <c r="AK1341" s="14"/>
      <c r="AL1341" s="14"/>
      <c r="AM1341" s="14"/>
    </row>
    <row r="1342" customFormat="false" ht="13.8" hidden="false" customHeight="false" outlineLevel="0" collapsed="false">
      <c r="AA1342" s="7" t="n">
        <f aca="false">AA1341+1</f>
        <v>42248</v>
      </c>
      <c r="AB1342" s="14"/>
      <c r="AC1342" s="14"/>
      <c r="AD1342" s="14"/>
      <c r="AE1342" s="14"/>
      <c r="AF1342" s="14"/>
      <c r="AG1342" s="14"/>
      <c r="AH1342" s="14"/>
      <c r="AI1342" s="14"/>
      <c r="AJ1342" s="14"/>
      <c r="AK1342" s="14"/>
      <c r="AL1342" s="14"/>
      <c r="AM1342" s="14"/>
    </row>
    <row r="1343" customFormat="false" ht="13.8" hidden="false" customHeight="false" outlineLevel="0" collapsed="false">
      <c r="AA1343" s="7" t="n">
        <f aca="false">AA1342+1</f>
        <v>42249</v>
      </c>
      <c r="AB1343" s="14"/>
      <c r="AC1343" s="14"/>
      <c r="AD1343" s="14"/>
      <c r="AE1343" s="14"/>
      <c r="AF1343" s="14"/>
      <c r="AG1343" s="14"/>
      <c r="AH1343" s="14"/>
      <c r="AI1343" s="14"/>
      <c r="AJ1343" s="14"/>
      <c r="AK1343" s="14"/>
      <c r="AL1343" s="14"/>
      <c r="AM1343" s="14"/>
    </row>
    <row r="1344" customFormat="false" ht="13.8" hidden="false" customHeight="false" outlineLevel="0" collapsed="false">
      <c r="AA1344" s="7" t="n">
        <f aca="false">AA1343+1</f>
        <v>42250</v>
      </c>
      <c r="AB1344" s="14"/>
      <c r="AC1344" s="14"/>
      <c r="AD1344" s="14"/>
      <c r="AE1344" s="14"/>
      <c r="AF1344" s="14"/>
      <c r="AG1344" s="14"/>
      <c r="AH1344" s="14"/>
      <c r="AI1344" s="14"/>
      <c r="AJ1344" s="14"/>
      <c r="AK1344" s="14"/>
      <c r="AL1344" s="14"/>
      <c r="AM1344" s="14"/>
    </row>
    <row r="1345" customFormat="false" ht="13.8" hidden="false" customHeight="false" outlineLevel="0" collapsed="false">
      <c r="AA1345" s="7" t="n">
        <f aca="false">AA1344+1</f>
        <v>42251</v>
      </c>
      <c r="AB1345" s="14"/>
      <c r="AC1345" s="14"/>
      <c r="AD1345" s="14"/>
      <c r="AE1345" s="14"/>
      <c r="AF1345" s="14"/>
      <c r="AG1345" s="14"/>
      <c r="AH1345" s="14"/>
      <c r="AI1345" s="14"/>
      <c r="AJ1345" s="14"/>
      <c r="AK1345" s="14"/>
      <c r="AL1345" s="14"/>
      <c r="AM1345" s="14"/>
    </row>
    <row r="1346" customFormat="false" ht="13.8" hidden="false" customHeight="false" outlineLevel="0" collapsed="false">
      <c r="AA1346" s="7" t="n">
        <f aca="false">AA1345+1</f>
        <v>42252</v>
      </c>
      <c r="AB1346" s="14"/>
      <c r="AC1346" s="14"/>
      <c r="AD1346" s="14"/>
      <c r="AE1346" s="14"/>
      <c r="AF1346" s="14"/>
      <c r="AG1346" s="14"/>
      <c r="AH1346" s="14"/>
      <c r="AI1346" s="14"/>
      <c r="AJ1346" s="14"/>
      <c r="AK1346" s="14"/>
      <c r="AL1346" s="14"/>
      <c r="AM1346" s="14"/>
    </row>
    <row r="1347" customFormat="false" ht="13.8" hidden="false" customHeight="false" outlineLevel="0" collapsed="false">
      <c r="AA1347" s="7" t="n">
        <f aca="false">AA1346+1</f>
        <v>42253</v>
      </c>
      <c r="AB1347" s="14"/>
      <c r="AC1347" s="14"/>
      <c r="AD1347" s="14"/>
      <c r="AE1347" s="14"/>
      <c r="AF1347" s="14"/>
      <c r="AG1347" s="14"/>
      <c r="AH1347" s="14"/>
      <c r="AI1347" s="14"/>
      <c r="AJ1347" s="14"/>
      <c r="AK1347" s="14"/>
      <c r="AL1347" s="14"/>
      <c r="AM1347" s="14"/>
    </row>
    <row r="1348" customFormat="false" ht="13.8" hidden="false" customHeight="false" outlineLevel="0" collapsed="false">
      <c r="AA1348" s="7" t="n">
        <f aca="false">AA1347+1</f>
        <v>42254</v>
      </c>
      <c r="AB1348" s="14"/>
      <c r="AC1348" s="14"/>
      <c r="AD1348" s="14"/>
      <c r="AE1348" s="14"/>
      <c r="AF1348" s="14"/>
      <c r="AG1348" s="14"/>
      <c r="AH1348" s="14"/>
      <c r="AI1348" s="14"/>
      <c r="AJ1348" s="14"/>
      <c r="AK1348" s="14"/>
      <c r="AL1348" s="14"/>
      <c r="AM1348" s="14"/>
    </row>
    <row r="1349" customFormat="false" ht="13.8" hidden="false" customHeight="false" outlineLevel="0" collapsed="false">
      <c r="AA1349" s="7" t="n">
        <f aca="false">AA1348+1</f>
        <v>42255</v>
      </c>
      <c r="AB1349" s="14"/>
      <c r="AC1349" s="14"/>
      <c r="AD1349" s="14"/>
      <c r="AE1349" s="14"/>
      <c r="AF1349" s="14"/>
      <c r="AG1349" s="14"/>
      <c r="AH1349" s="14"/>
      <c r="AI1349" s="14"/>
      <c r="AJ1349" s="14"/>
      <c r="AK1349" s="14"/>
      <c r="AL1349" s="14"/>
      <c r="AM1349" s="14"/>
    </row>
    <row r="1350" customFormat="false" ht="13.8" hidden="false" customHeight="false" outlineLevel="0" collapsed="false">
      <c r="AA1350" s="7" t="n">
        <f aca="false">AA1349+1</f>
        <v>42256</v>
      </c>
      <c r="AB1350" s="14"/>
      <c r="AC1350" s="14"/>
      <c r="AD1350" s="14"/>
      <c r="AE1350" s="14"/>
      <c r="AF1350" s="14"/>
      <c r="AG1350" s="14"/>
      <c r="AH1350" s="14"/>
      <c r="AI1350" s="14"/>
      <c r="AJ1350" s="14"/>
      <c r="AK1350" s="14"/>
      <c r="AL1350" s="14"/>
      <c r="AM1350" s="14"/>
    </row>
    <row r="1351" customFormat="false" ht="13.8" hidden="false" customHeight="false" outlineLevel="0" collapsed="false">
      <c r="AA1351" s="7" t="n">
        <f aca="false">AA1350+1</f>
        <v>42257</v>
      </c>
      <c r="AB1351" s="14"/>
      <c r="AC1351" s="14"/>
      <c r="AD1351" s="14"/>
      <c r="AE1351" s="14"/>
      <c r="AF1351" s="14"/>
      <c r="AG1351" s="14"/>
      <c r="AH1351" s="14"/>
      <c r="AI1351" s="14"/>
      <c r="AJ1351" s="14"/>
      <c r="AK1351" s="14"/>
      <c r="AL1351" s="14"/>
      <c r="AM1351" s="14"/>
    </row>
    <row r="1352" customFormat="false" ht="13.8" hidden="false" customHeight="false" outlineLevel="0" collapsed="false">
      <c r="AA1352" s="7" t="n">
        <f aca="false">AA1351+1</f>
        <v>42258</v>
      </c>
      <c r="AB1352" s="14"/>
      <c r="AC1352" s="14"/>
      <c r="AD1352" s="14"/>
      <c r="AE1352" s="14"/>
      <c r="AF1352" s="14"/>
      <c r="AG1352" s="14"/>
      <c r="AH1352" s="14"/>
      <c r="AI1352" s="14"/>
      <c r="AJ1352" s="14"/>
      <c r="AK1352" s="14"/>
      <c r="AL1352" s="14"/>
      <c r="AM1352" s="14"/>
    </row>
    <row r="1353" customFormat="false" ht="13.8" hidden="false" customHeight="false" outlineLevel="0" collapsed="false">
      <c r="AA1353" s="7" t="n">
        <f aca="false">AA1352+1</f>
        <v>42259</v>
      </c>
      <c r="AB1353" s="14"/>
      <c r="AC1353" s="14"/>
      <c r="AD1353" s="14"/>
      <c r="AE1353" s="14"/>
      <c r="AF1353" s="14"/>
      <c r="AG1353" s="14"/>
      <c r="AH1353" s="14"/>
      <c r="AI1353" s="14"/>
      <c r="AJ1353" s="14"/>
      <c r="AK1353" s="14"/>
      <c r="AL1353" s="14"/>
      <c r="AM1353" s="14"/>
    </row>
    <row r="1354" customFormat="false" ht="13.8" hidden="false" customHeight="false" outlineLevel="0" collapsed="false">
      <c r="AA1354" s="7" t="n">
        <f aca="false">AA1353+1</f>
        <v>42260</v>
      </c>
      <c r="AB1354" s="14"/>
      <c r="AC1354" s="14"/>
      <c r="AD1354" s="14"/>
      <c r="AE1354" s="14"/>
      <c r="AF1354" s="14"/>
      <c r="AG1354" s="14"/>
      <c r="AH1354" s="14"/>
      <c r="AI1354" s="14"/>
      <c r="AJ1354" s="14"/>
      <c r="AK1354" s="14"/>
      <c r="AL1354" s="14"/>
      <c r="AM1354" s="14"/>
    </row>
    <row r="1355" customFormat="false" ht="13.8" hidden="false" customHeight="false" outlineLevel="0" collapsed="false">
      <c r="AA1355" s="7" t="n">
        <f aca="false">AA1354+1</f>
        <v>42261</v>
      </c>
      <c r="AB1355" s="14"/>
      <c r="AC1355" s="14"/>
      <c r="AD1355" s="14"/>
      <c r="AE1355" s="14"/>
      <c r="AF1355" s="14"/>
      <c r="AG1355" s="14"/>
      <c r="AH1355" s="14"/>
      <c r="AI1355" s="14"/>
      <c r="AJ1355" s="14"/>
      <c r="AK1355" s="14"/>
      <c r="AL1355" s="14"/>
      <c r="AM1355" s="14"/>
    </row>
    <row r="1356" customFormat="false" ht="13.8" hidden="false" customHeight="false" outlineLevel="0" collapsed="false">
      <c r="AA1356" s="7" t="n">
        <f aca="false">AA1355+1</f>
        <v>42262</v>
      </c>
      <c r="AB1356" s="14"/>
      <c r="AC1356" s="14"/>
      <c r="AD1356" s="14"/>
      <c r="AE1356" s="14"/>
      <c r="AF1356" s="14"/>
      <c r="AG1356" s="14"/>
      <c r="AH1356" s="14"/>
      <c r="AI1356" s="14"/>
      <c r="AJ1356" s="14"/>
      <c r="AK1356" s="14"/>
      <c r="AL1356" s="14"/>
      <c r="AM1356" s="14"/>
    </row>
    <row r="1357" customFormat="false" ht="13.8" hidden="false" customHeight="false" outlineLevel="0" collapsed="false">
      <c r="AA1357" s="7" t="n">
        <f aca="false">AA1356+1</f>
        <v>42263</v>
      </c>
      <c r="AB1357" s="14"/>
      <c r="AC1357" s="14"/>
      <c r="AD1357" s="14"/>
      <c r="AE1357" s="14"/>
      <c r="AF1357" s="14"/>
      <c r="AG1357" s="14"/>
      <c r="AH1357" s="14"/>
      <c r="AI1357" s="14"/>
      <c r="AJ1357" s="14"/>
      <c r="AK1357" s="14"/>
      <c r="AL1357" s="14"/>
      <c r="AM1357" s="14"/>
    </row>
    <row r="1358" customFormat="false" ht="13.8" hidden="false" customHeight="false" outlineLevel="0" collapsed="false">
      <c r="AA1358" s="7" t="n">
        <f aca="false">AA1357+1</f>
        <v>42264</v>
      </c>
      <c r="AB1358" s="14"/>
      <c r="AC1358" s="14"/>
      <c r="AD1358" s="14"/>
      <c r="AE1358" s="14"/>
      <c r="AF1358" s="14"/>
      <c r="AG1358" s="14"/>
      <c r="AH1358" s="14"/>
      <c r="AI1358" s="14"/>
      <c r="AJ1358" s="14"/>
      <c r="AK1358" s="14"/>
      <c r="AL1358" s="14"/>
      <c r="AM1358" s="14"/>
    </row>
    <row r="1359" customFormat="false" ht="13.8" hidden="false" customHeight="false" outlineLevel="0" collapsed="false">
      <c r="AA1359" s="7" t="n">
        <f aca="false">AA1358+1</f>
        <v>42265</v>
      </c>
      <c r="AB1359" s="14"/>
      <c r="AC1359" s="14"/>
      <c r="AD1359" s="14"/>
      <c r="AE1359" s="14"/>
      <c r="AF1359" s="14"/>
      <c r="AG1359" s="14"/>
      <c r="AH1359" s="14"/>
      <c r="AI1359" s="14"/>
      <c r="AJ1359" s="14"/>
      <c r="AK1359" s="14"/>
      <c r="AL1359" s="14"/>
      <c r="AM1359" s="14"/>
    </row>
    <row r="1360" customFormat="false" ht="13.8" hidden="false" customHeight="false" outlineLevel="0" collapsed="false">
      <c r="AA1360" s="7" t="n">
        <f aca="false">AA1359+1</f>
        <v>42266</v>
      </c>
      <c r="AB1360" s="14"/>
      <c r="AC1360" s="14"/>
      <c r="AD1360" s="14"/>
      <c r="AE1360" s="14"/>
      <c r="AF1360" s="14"/>
      <c r="AG1360" s="14"/>
      <c r="AH1360" s="14"/>
      <c r="AI1360" s="14"/>
      <c r="AJ1360" s="14"/>
      <c r="AK1360" s="14"/>
      <c r="AL1360" s="14"/>
      <c r="AM1360" s="14"/>
    </row>
    <row r="1361" customFormat="false" ht="13.8" hidden="false" customHeight="false" outlineLevel="0" collapsed="false">
      <c r="AA1361" s="7" t="n">
        <f aca="false">AA1360+1</f>
        <v>42267</v>
      </c>
      <c r="AB1361" s="14"/>
      <c r="AC1361" s="14"/>
      <c r="AD1361" s="14"/>
      <c r="AE1361" s="14"/>
      <c r="AF1361" s="14"/>
      <c r="AG1361" s="14"/>
      <c r="AH1361" s="14"/>
      <c r="AI1361" s="14"/>
      <c r="AJ1361" s="14"/>
      <c r="AK1361" s="14"/>
      <c r="AL1361" s="14"/>
      <c r="AM1361" s="14"/>
    </row>
    <row r="1362" customFormat="false" ht="13.8" hidden="false" customHeight="false" outlineLevel="0" collapsed="false">
      <c r="AA1362" s="7" t="n">
        <f aca="false">AA1361+1</f>
        <v>42268</v>
      </c>
      <c r="AB1362" s="14"/>
      <c r="AC1362" s="14"/>
      <c r="AD1362" s="14"/>
      <c r="AE1362" s="14"/>
      <c r="AF1362" s="14"/>
      <c r="AG1362" s="14"/>
      <c r="AH1362" s="14"/>
      <c r="AI1362" s="14"/>
      <c r="AJ1362" s="14"/>
      <c r="AK1362" s="14"/>
      <c r="AL1362" s="14"/>
      <c r="AM1362" s="14"/>
    </row>
    <row r="1363" customFormat="false" ht="13.8" hidden="false" customHeight="false" outlineLevel="0" collapsed="false">
      <c r="AA1363" s="7" t="n">
        <f aca="false">AA1362+1</f>
        <v>42269</v>
      </c>
      <c r="AB1363" s="14"/>
      <c r="AC1363" s="14"/>
      <c r="AD1363" s="14"/>
      <c r="AE1363" s="14"/>
      <c r="AF1363" s="14"/>
      <c r="AG1363" s="14"/>
      <c r="AH1363" s="14"/>
      <c r="AI1363" s="14"/>
      <c r="AJ1363" s="14"/>
      <c r="AK1363" s="14"/>
      <c r="AL1363" s="14"/>
      <c r="AM1363" s="14"/>
    </row>
    <row r="1364" customFormat="false" ht="13.8" hidden="false" customHeight="false" outlineLevel="0" collapsed="false">
      <c r="AA1364" s="7" t="n">
        <f aca="false">AA1363+1</f>
        <v>42270</v>
      </c>
      <c r="AB1364" s="14"/>
      <c r="AC1364" s="14"/>
      <c r="AD1364" s="14"/>
      <c r="AE1364" s="14"/>
      <c r="AF1364" s="14"/>
      <c r="AG1364" s="14"/>
      <c r="AH1364" s="14"/>
      <c r="AI1364" s="14"/>
      <c r="AJ1364" s="14"/>
      <c r="AK1364" s="14"/>
      <c r="AL1364" s="14"/>
      <c r="AM1364" s="14"/>
    </row>
    <row r="1365" customFormat="false" ht="13.8" hidden="false" customHeight="false" outlineLevel="0" collapsed="false">
      <c r="AA1365" s="7" t="n">
        <f aca="false">AA1364+1</f>
        <v>42271</v>
      </c>
      <c r="AB1365" s="14"/>
      <c r="AC1365" s="14"/>
      <c r="AD1365" s="14"/>
      <c r="AE1365" s="14"/>
      <c r="AF1365" s="14"/>
      <c r="AG1365" s="14"/>
      <c r="AH1365" s="14"/>
      <c r="AI1365" s="14"/>
      <c r="AJ1365" s="14"/>
      <c r="AK1365" s="14"/>
      <c r="AL1365" s="14"/>
      <c r="AM1365" s="14"/>
    </row>
    <row r="1366" customFormat="false" ht="13.8" hidden="false" customHeight="false" outlineLevel="0" collapsed="false">
      <c r="AA1366" s="7" t="n">
        <f aca="false">AA1365+1</f>
        <v>42272</v>
      </c>
      <c r="AB1366" s="14"/>
      <c r="AC1366" s="14"/>
      <c r="AD1366" s="14"/>
      <c r="AE1366" s="14"/>
      <c r="AF1366" s="14"/>
      <c r="AG1366" s="14"/>
      <c r="AH1366" s="14"/>
      <c r="AI1366" s="14"/>
      <c r="AJ1366" s="14"/>
      <c r="AK1366" s="14"/>
      <c r="AL1366" s="14"/>
      <c r="AM1366" s="14"/>
    </row>
    <row r="1367" customFormat="false" ht="13.8" hidden="false" customHeight="false" outlineLevel="0" collapsed="false">
      <c r="AA1367" s="7" t="n">
        <f aca="false">AA1366+1</f>
        <v>42273</v>
      </c>
      <c r="AB1367" s="14"/>
      <c r="AC1367" s="14"/>
      <c r="AD1367" s="14"/>
      <c r="AE1367" s="14"/>
      <c r="AF1367" s="14"/>
      <c r="AG1367" s="14"/>
      <c r="AH1367" s="14"/>
      <c r="AI1367" s="14"/>
      <c r="AJ1367" s="14"/>
      <c r="AK1367" s="14"/>
      <c r="AL1367" s="14"/>
      <c r="AM1367" s="14"/>
    </row>
    <row r="1368" customFormat="false" ht="13.8" hidden="false" customHeight="false" outlineLevel="0" collapsed="false">
      <c r="AA1368" s="7" t="n">
        <f aca="false">AA1367+1</f>
        <v>42274</v>
      </c>
      <c r="AB1368" s="14"/>
      <c r="AC1368" s="14"/>
      <c r="AD1368" s="14"/>
      <c r="AE1368" s="14"/>
      <c r="AF1368" s="14"/>
      <c r="AG1368" s="14"/>
      <c r="AH1368" s="14"/>
      <c r="AI1368" s="14"/>
      <c r="AJ1368" s="14"/>
      <c r="AK1368" s="14"/>
      <c r="AL1368" s="14"/>
      <c r="AM1368" s="14"/>
    </row>
    <row r="1369" customFormat="false" ht="13.8" hidden="false" customHeight="false" outlineLevel="0" collapsed="false">
      <c r="AA1369" s="7" t="n">
        <f aca="false">AA1368+1</f>
        <v>42275</v>
      </c>
      <c r="AB1369" s="14"/>
      <c r="AC1369" s="14"/>
      <c r="AD1369" s="14"/>
      <c r="AE1369" s="14"/>
      <c r="AF1369" s="14"/>
      <c r="AG1369" s="14"/>
      <c r="AH1369" s="14"/>
      <c r="AI1369" s="14"/>
      <c r="AJ1369" s="14"/>
      <c r="AK1369" s="14"/>
      <c r="AL1369" s="14"/>
      <c r="AM1369" s="14"/>
    </row>
    <row r="1370" customFormat="false" ht="13.8" hidden="false" customHeight="false" outlineLevel="0" collapsed="false">
      <c r="AA1370" s="7" t="n">
        <f aca="false">AA1369+1</f>
        <v>42276</v>
      </c>
      <c r="AB1370" s="14"/>
      <c r="AC1370" s="14"/>
      <c r="AD1370" s="14"/>
      <c r="AE1370" s="14"/>
      <c r="AF1370" s="14"/>
      <c r="AG1370" s="14"/>
      <c r="AH1370" s="14"/>
      <c r="AI1370" s="14"/>
      <c r="AJ1370" s="14"/>
      <c r="AK1370" s="14"/>
      <c r="AL1370" s="14"/>
      <c r="AM1370" s="14"/>
    </row>
    <row r="1371" customFormat="false" ht="13.8" hidden="false" customHeight="false" outlineLevel="0" collapsed="false">
      <c r="AA1371" s="7" t="n">
        <f aca="false">AA1370+1</f>
        <v>42277</v>
      </c>
      <c r="AB1371" s="14"/>
      <c r="AC1371" s="14"/>
      <c r="AD1371" s="14"/>
      <c r="AE1371" s="14"/>
      <c r="AF1371" s="14"/>
      <c r="AG1371" s="14"/>
      <c r="AH1371" s="14"/>
      <c r="AI1371" s="14"/>
      <c r="AJ1371" s="14"/>
      <c r="AK1371" s="14"/>
      <c r="AL1371" s="14"/>
      <c r="AM1371" s="14"/>
    </row>
    <row r="1372" customFormat="false" ht="13.8" hidden="false" customHeight="false" outlineLevel="0" collapsed="false">
      <c r="AA1372" s="7" t="n">
        <f aca="false">AA1371+1</f>
        <v>42278</v>
      </c>
      <c r="AB1372" s="14"/>
      <c r="AC1372" s="14"/>
      <c r="AD1372" s="14"/>
      <c r="AE1372" s="14"/>
      <c r="AF1372" s="14"/>
      <c r="AG1372" s="14"/>
      <c r="AH1372" s="14"/>
      <c r="AI1372" s="14"/>
      <c r="AJ1372" s="14"/>
      <c r="AK1372" s="14"/>
      <c r="AL1372" s="14"/>
      <c r="AM1372" s="14"/>
    </row>
    <row r="1373" customFormat="false" ht="13.8" hidden="false" customHeight="false" outlineLevel="0" collapsed="false">
      <c r="AA1373" s="7" t="n">
        <f aca="false">AA1372+1</f>
        <v>42279</v>
      </c>
      <c r="AB1373" s="14"/>
      <c r="AC1373" s="14"/>
      <c r="AD1373" s="14"/>
      <c r="AE1373" s="14"/>
      <c r="AF1373" s="14"/>
      <c r="AG1373" s="14"/>
      <c r="AH1373" s="14"/>
      <c r="AI1373" s="14"/>
      <c r="AJ1373" s="14"/>
      <c r="AK1373" s="14"/>
      <c r="AL1373" s="14"/>
      <c r="AM1373" s="14"/>
    </row>
    <row r="1374" customFormat="false" ht="13.8" hidden="false" customHeight="false" outlineLevel="0" collapsed="false">
      <c r="AA1374" s="7" t="n">
        <f aca="false">AA1373+1</f>
        <v>42280</v>
      </c>
      <c r="AB1374" s="14"/>
      <c r="AC1374" s="14"/>
      <c r="AD1374" s="14"/>
      <c r="AE1374" s="14"/>
      <c r="AF1374" s="14"/>
      <c r="AG1374" s="14"/>
      <c r="AH1374" s="14"/>
      <c r="AI1374" s="14"/>
      <c r="AJ1374" s="14"/>
      <c r="AK1374" s="14"/>
      <c r="AL1374" s="14"/>
      <c r="AM1374" s="14"/>
    </row>
    <row r="1375" customFormat="false" ht="13.8" hidden="false" customHeight="false" outlineLevel="0" collapsed="false">
      <c r="AA1375" s="7" t="n">
        <f aca="false">AA1374+1</f>
        <v>42281</v>
      </c>
      <c r="AB1375" s="14"/>
      <c r="AC1375" s="14"/>
      <c r="AD1375" s="14"/>
      <c r="AE1375" s="14"/>
      <c r="AF1375" s="14"/>
      <c r="AG1375" s="14"/>
      <c r="AH1375" s="14"/>
      <c r="AI1375" s="14"/>
      <c r="AJ1375" s="14"/>
      <c r="AK1375" s="14"/>
      <c r="AL1375" s="14"/>
      <c r="AM1375" s="14"/>
    </row>
    <row r="1376" customFormat="false" ht="13.8" hidden="false" customHeight="false" outlineLevel="0" collapsed="false">
      <c r="AA1376" s="7" t="n">
        <f aca="false">AA1375+1</f>
        <v>42282</v>
      </c>
      <c r="AB1376" s="14"/>
      <c r="AC1376" s="14"/>
      <c r="AD1376" s="14"/>
      <c r="AE1376" s="14"/>
      <c r="AF1376" s="14"/>
      <c r="AG1376" s="14"/>
      <c r="AH1376" s="14"/>
      <c r="AI1376" s="14"/>
      <c r="AJ1376" s="14"/>
      <c r="AK1376" s="14"/>
      <c r="AL1376" s="14"/>
      <c r="AM1376" s="14"/>
    </row>
    <row r="1377" customFormat="false" ht="13.8" hidden="false" customHeight="false" outlineLevel="0" collapsed="false">
      <c r="AA1377" s="7" t="n">
        <f aca="false">AA1376+1</f>
        <v>42283</v>
      </c>
      <c r="AB1377" s="14"/>
      <c r="AC1377" s="14"/>
      <c r="AD1377" s="14"/>
      <c r="AE1377" s="14"/>
      <c r="AF1377" s="14"/>
      <c r="AG1377" s="14"/>
      <c r="AH1377" s="14"/>
      <c r="AI1377" s="14"/>
      <c r="AJ1377" s="14"/>
      <c r="AK1377" s="14"/>
      <c r="AL1377" s="14"/>
      <c r="AM1377" s="14"/>
    </row>
    <row r="1378" customFormat="false" ht="13.8" hidden="false" customHeight="false" outlineLevel="0" collapsed="false">
      <c r="AA1378" s="7" t="n">
        <f aca="false">AA1377+1</f>
        <v>42284</v>
      </c>
      <c r="AB1378" s="14"/>
      <c r="AC1378" s="14"/>
      <c r="AD1378" s="14"/>
      <c r="AE1378" s="14"/>
      <c r="AF1378" s="14"/>
      <c r="AG1378" s="14"/>
      <c r="AH1378" s="14"/>
      <c r="AI1378" s="14"/>
      <c r="AJ1378" s="14"/>
      <c r="AK1378" s="14"/>
      <c r="AL1378" s="14"/>
      <c r="AM1378" s="14"/>
    </row>
    <row r="1379" customFormat="false" ht="13.8" hidden="false" customHeight="false" outlineLevel="0" collapsed="false">
      <c r="AA1379" s="7" t="n">
        <f aca="false">AA1378+1</f>
        <v>42285</v>
      </c>
      <c r="AB1379" s="14"/>
      <c r="AC1379" s="14"/>
      <c r="AD1379" s="14"/>
      <c r="AE1379" s="14"/>
      <c r="AF1379" s="14"/>
      <c r="AG1379" s="14"/>
      <c r="AH1379" s="14"/>
      <c r="AI1379" s="14"/>
      <c r="AJ1379" s="14"/>
      <c r="AK1379" s="14"/>
      <c r="AL1379" s="14"/>
      <c r="AM1379" s="14"/>
    </row>
    <row r="1380" customFormat="false" ht="13.8" hidden="false" customHeight="false" outlineLevel="0" collapsed="false">
      <c r="AA1380" s="7" t="n">
        <f aca="false">AA1379+1</f>
        <v>42286</v>
      </c>
      <c r="AB1380" s="14"/>
      <c r="AC1380" s="14"/>
      <c r="AD1380" s="14"/>
      <c r="AE1380" s="14"/>
      <c r="AF1380" s="14"/>
      <c r="AG1380" s="14"/>
      <c r="AH1380" s="14"/>
      <c r="AI1380" s="14"/>
      <c r="AJ1380" s="14"/>
      <c r="AK1380" s="14"/>
      <c r="AL1380" s="14"/>
      <c r="AM1380" s="14"/>
    </row>
    <row r="1381" customFormat="false" ht="13.8" hidden="false" customHeight="false" outlineLevel="0" collapsed="false">
      <c r="AA1381" s="7" t="n">
        <f aca="false">AA1380+1</f>
        <v>42287</v>
      </c>
      <c r="AB1381" s="14"/>
      <c r="AC1381" s="14"/>
      <c r="AD1381" s="14"/>
      <c r="AE1381" s="14"/>
      <c r="AF1381" s="14"/>
      <c r="AG1381" s="14"/>
      <c r="AH1381" s="14"/>
      <c r="AI1381" s="14"/>
      <c r="AJ1381" s="14"/>
      <c r="AK1381" s="14"/>
      <c r="AL1381" s="14"/>
      <c r="AM1381" s="14"/>
    </row>
    <row r="1382" customFormat="false" ht="13.8" hidden="false" customHeight="false" outlineLevel="0" collapsed="false">
      <c r="AA1382" s="7" t="n">
        <f aca="false">AA1381+1</f>
        <v>42288</v>
      </c>
      <c r="AB1382" s="14"/>
      <c r="AC1382" s="14"/>
      <c r="AD1382" s="14"/>
      <c r="AE1382" s="14"/>
      <c r="AF1382" s="14"/>
      <c r="AG1382" s="14"/>
      <c r="AH1382" s="14"/>
      <c r="AI1382" s="14"/>
      <c r="AJ1382" s="14"/>
      <c r="AK1382" s="14"/>
      <c r="AL1382" s="14"/>
      <c r="AM1382" s="14"/>
    </row>
    <row r="1383" customFormat="false" ht="13.8" hidden="false" customHeight="false" outlineLevel="0" collapsed="false">
      <c r="AA1383" s="7" t="n">
        <f aca="false">AA1382+1</f>
        <v>42289</v>
      </c>
      <c r="AB1383" s="14"/>
      <c r="AC1383" s="14"/>
      <c r="AD1383" s="14"/>
      <c r="AE1383" s="14"/>
      <c r="AF1383" s="14"/>
      <c r="AG1383" s="14"/>
      <c r="AH1383" s="14"/>
      <c r="AI1383" s="14"/>
      <c r="AJ1383" s="14"/>
      <c r="AK1383" s="14"/>
      <c r="AL1383" s="14"/>
      <c r="AM1383" s="14"/>
    </row>
    <row r="1384" customFormat="false" ht="13.8" hidden="false" customHeight="false" outlineLevel="0" collapsed="false">
      <c r="AA1384" s="7" t="n">
        <f aca="false">AA1383+1</f>
        <v>42290</v>
      </c>
      <c r="AB1384" s="14"/>
      <c r="AC1384" s="14"/>
      <c r="AD1384" s="14"/>
      <c r="AE1384" s="14"/>
      <c r="AF1384" s="14"/>
      <c r="AG1384" s="14"/>
      <c r="AH1384" s="14"/>
      <c r="AI1384" s="14"/>
      <c r="AJ1384" s="14"/>
      <c r="AK1384" s="14"/>
      <c r="AL1384" s="14"/>
      <c r="AM1384" s="14"/>
    </row>
    <row r="1385" customFormat="false" ht="13.8" hidden="false" customHeight="false" outlineLevel="0" collapsed="false">
      <c r="AA1385" s="7" t="n">
        <f aca="false">AA1384+1</f>
        <v>42291</v>
      </c>
      <c r="AB1385" s="14"/>
      <c r="AC1385" s="14"/>
      <c r="AD1385" s="14"/>
      <c r="AE1385" s="14"/>
      <c r="AF1385" s="14"/>
      <c r="AG1385" s="14"/>
      <c r="AH1385" s="14"/>
      <c r="AI1385" s="14"/>
      <c r="AJ1385" s="14"/>
      <c r="AK1385" s="14"/>
      <c r="AL1385" s="14"/>
      <c r="AM1385" s="14"/>
    </row>
    <row r="1386" customFormat="false" ht="13.8" hidden="false" customHeight="false" outlineLevel="0" collapsed="false">
      <c r="AA1386" s="7" t="n">
        <f aca="false">AA1385+1</f>
        <v>42292</v>
      </c>
      <c r="AB1386" s="14"/>
      <c r="AC1386" s="14"/>
      <c r="AD1386" s="14"/>
      <c r="AE1386" s="14"/>
      <c r="AF1386" s="14"/>
      <c r="AG1386" s="14"/>
      <c r="AH1386" s="14"/>
      <c r="AI1386" s="14"/>
      <c r="AJ1386" s="14"/>
      <c r="AK1386" s="14"/>
      <c r="AL1386" s="14"/>
      <c r="AM1386" s="14"/>
    </row>
    <row r="1387" customFormat="false" ht="13.8" hidden="false" customHeight="false" outlineLevel="0" collapsed="false">
      <c r="AA1387" s="7" t="n">
        <f aca="false">AA1386+1</f>
        <v>42293</v>
      </c>
      <c r="AB1387" s="14"/>
      <c r="AC1387" s="14"/>
      <c r="AD1387" s="14"/>
      <c r="AE1387" s="14"/>
      <c r="AF1387" s="14"/>
      <c r="AG1387" s="14"/>
      <c r="AH1387" s="14"/>
      <c r="AI1387" s="14"/>
      <c r="AJ1387" s="14"/>
      <c r="AK1387" s="14"/>
      <c r="AL1387" s="14"/>
      <c r="AM1387" s="14"/>
    </row>
    <row r="1388" customFormat="false" ht="13.8" hidden="false" customHeight="false" outlineLevel="0" collapsed="false">
      <c r="AA1388" s="7" t="n">
        <f aca="false">AA1387+1</f>
        <v>42294</v>
      </c>
      <c r="AB1388" s="14"/>
      <c r="AC1388" s="14"/>
      <c r="AD1388" s="14"/>
      <c r="AE1388" s="14"/>
      <c r="AF1388" s="14"/>
      <c r="AG1388" s="14"/>
      <c r="AH1388" s="14"/>
      <c r="AI1388" s="14"/>
      <c r="AJ1388" s="14"/>
      <c r="AK1388" s="14"/>
      <c r="AL1388" s="14"/>
      <c r="AM1388" s="14"/>
    </row>
    <row r="1389" customFormat="false" ht="13.8" hidden="false" customHeight="false" outlineLevel="0" collapsed="false">
      <c r="AA1389" s="7" t="n">
        <f aca="false">AA1388+1</f>
        <v>42295</v>
      </c>
      <c r="AB1389" s="14"/>
      <c r="AC1389" s="14"/>
      <c r="AD1389" s="14"/>
      <c r="AE1389" s="14"/>
      <c r="AF1389" s="14"/>
      <c r="AG1389" s="14"/>
      <c r="AH1389" s="14"/>
      <c r="AI1389" s="14"/>
      <c r="AJ1389" s="14"/>
      <c r="AK1389" s="14"/>
      <c r="AL1389" s="14"/>
      <c r="AM1389" s="14"/>
    </row>
    <row r="1390" customFormat="false" ht="13.8" hidden="false" customHeight="false" outlineLevel="0" collapsed="false">
      <c r="AA1390" s="7" t="n">
        <f aca="false">AA1389+1</f>
        <v>42296</v>
      </c>
      <c r="AB1390" s="14"/>
      <c r="AC1390" s="14"/>
      <c r="AD1390" s="14"/>
      <c r="AE1390" s="14"/>
      <c r="AF1390" s="14"/>
      <c r="AG1390" s="14"/>
      <c r="AH1390" s="14"/>
      <c r="AI1390" s="14"/>
      <c r="AJ1390" s="14"/>
      <c r="AK1390" s="14"/>
      <c r="AL1390" s="14"/>
      <c r="AM1390" s="14"/>
    </row>
    <row r="1391" customFormat="false" ht="13.8" hidden="false" customHeight="false" outlineLevel="0" collapsed="false">
      <c r="AA1391" s="7" t="n">
        <f aca="false">AA1390+1</f>
        <v>42297</v>
      </c>
      <c r="AB1391" s="14"/>
      <c r="AC1391" s="14"/>
      <c r="AD1391" s="14"/>
      <c r="AE1391" s="14"/>
      <c r="AF1391" s="14"/>
      <c r="AG1391" s="14"/>
      <c r="AH1391" s="14"/>
      <c r="AI1391" s="14"/>
      <c r="AJ1391" s="14"/>
      <c r="AK1391" s="14"/>
      <c r="AL1391" s="14"/>
      <c r="AM1391" s="14"/>
    </row>
    <row r="1392" customFormat="false" ht="13.8" hidden="false" customHeight="false" outlineLevel="0" collapsed="false">
      <c r="AA1392" s="7" t="n">
        <f aca="false">AA1391+1</f>
        <v>42298</v>
      </c>
      <c r="AB1392" s="14"/>
      <c r="AC1392" s="14"/>
      <c r="AD1392" s="14"/>
      <c r="AE1392" s="14"/>
      <c r="AF1392" s="14"/>
      <c r="AG1392" s="14"/>
      <c r="AH1392" s="14"/>
      <c r="AI1392" s="14"/>
      <c r="AJ1392" s="14"/>
      <c r="AK1392" s="14"/>
      <c r="AL1392" s="14"/>
      <c r="AM1392" s="14"/>
    </row>
    <row r="1393" customFormat="false" ht="13.8" hidden="false" customHeight="false" outlineLevel="0" collapsed="false">
      <c r="AA1393" s="7" t="n">
        <f aca="false">AA1392+1</f>
        <v>42299</v>
      </c>
      <c r="AB1393" s="14"/>
      <c r="AC1393" s="14"/>
      <c r="AD1393" s="14"/>
      <c r="AE1393" s="14"/>
      <c r="AF1393" s="14"/>
      <c r="AG1393" s="14"/>
      <c r="AH1393" s="14"/>
      <c r="AI1393" s="14"/>
      <c r="AJ1393" s="14"/>
      <c r="AK1393" s="14"/>
      <c r="AL1393" s="14"/>
      <c r="AM1393" s="14"/>
    </row>
    <row r="1394" customFormat="false" ht="13.8" hidden="false" customHeight="false" outlineLevel="0" collapsed="false">
      <c r="AA1394" s="7" t="n">
        <f aca="false">AA1393+1</f>
        <v>42300</v>
      </c>
      <c r="AB1394" s="14"/>
      <c r="AC1394" s="14"/>
      <c r="AD1394" s="14"/>
      <c r="AE1394" s="14"/>
      <c r="AF1394" s="14"/>
      <c r="AG1394" s="14"/>
      <c r="AH1394" s="14"/>
      <c r="AI1394" s="14"/>
      <c r="AJ1394" s="14"/>
      <c r="AK1394" s="14"/>
      <c r="AL1394" s="14"/>
      <c r="AM1394" s="14"/>
    </row>
    <row r="1395" customFormat="false" ht="13.8" hidden="false" customHeight="false" outlineLevel="0" collapsed="false">
      <c r="AA1395" s="7" t="n">
        <f aca="false">AA1394+1</f>
        <v>42301</v>
      </c>
      <c r="AB1395" s="14"/>
      <c r="AC1395" s="14"/>
      <c r="AD1395" s="14"/>
      <c r="AE1395" s="14"/>
      <c r="AF1395" s="14"/>
      <c r="AG1395" s="14"/>
      <c r="AH1395" s="14"/>
      <c r="AI1395" s="14"/>
      <c r="AJ1395" s="14"/>
      <c r="AK1395" s="14"/>
      <c r="AL1395" s="14"/>
      <c r="AM1395" s="14"/>
    </row>
    <row r="1396" customFormat="false" ht="13.8" hidden="false" customHeight="false" outlineLevel="0" collapsed="false">
      <c r="AA1396" s="7" t="n">
        <f aca="false">AA1395+1</f>
        <v>42302</v>
      </c>
      <c r="AB1396" s="14"/>
      <c r="AC1396" s="14"/>
      <c r="AD1396" s="14"/>
      <c r="AE1396" s="14"/>
      <c r="AF1396" s="14"/>
      <c r="AG1396" s="14"/>
      <c r="AH1396" s="14"/>
      <c r="AI1396" s="14"/>
      <c r="AJ1396" s="14"/>
      <c r="AK1396" s="14"/>
      <c r="AL1396" s="14"/>
      <c r="AM1396" s="14"/>
    </row>
    <row r="1397" customFormat="false" ht="13.8" hidden="false" customHeight="false" outlineLevel="0" collapsed="false">
      <c r="AA1397" s="7" t="n">
        <f aca="false">AA1396+1</f>
        <v>42303</v>
      </c>
      <c r="AB1397" s="14"/>
      <c r="AC1397" s="14"/>
      <c r="AD1397" s="14"/>
      <c r="AE1397" s="14"/>
      <c r="AF1397" s="14"/>
      <c r="AG1397" s="14"/>
      <c r="AH1397" s="14"/>
      <c r="AI1397" s="14"/>
      <c r="AJ1397" s="14"/>
      <c r="AK1397" s="14"/>
      <c r="AL1397" s="14"/>
      <c r="AM1397" s="14"/>
    </row>
    <row r="1398" customFormat="false" ht="13.8" hidden="false" customHeight="false" outlineLevel="0" collapsed="false">
      <c r="AA1398" s="7" t="n">
        <f aca="false">AA1397+1</f>
        <v>42304</v>
      </c>
      <c r="AB1398" s="14"/>
      <c r="AC1398" s="14"/>
      <c r="AD1398" s="14"/>
      <c r="AE1398" s="14"/>
      <c r="AF1398" s="14"/>
      <c r="AG1398" s="14"/>
      <c r="AH1398" s="14"/>
      <c r="AI1398" s="14"/>
      <c r="AJ1398" s="14"/>
      <c r="AK1398" s="14"/>
      <c r="AL1398" s="14"/>
      <c r="AM1398" s="14"/>
    </row>
    <row r="1399" customFormat="false" ht="13.8" hidden="false" customHeight="false" outlineLevel="0" collapsed="false">
      <c r="AA1399" s="7" t="n">
        <f aca="false">AA1398+1</f>
        <v>42305</v>
      </c>
      <c r="AB1399" s="14"/>
      <c r="AC1399" s="14"/>
      <c r="AD1399" s="14"/>
      <c r="AE1399" s="14"/>
      <c r="AF1399" s="14"/>
      <c r="AG1399" s="14"/>
      <c r="AH1399" s="14"/>
      <c r="AI1399" s="14"/>
      <c r="AJ1399" s="14"/>
      <c r="AK1399" s="14"/>
      <c r="AL1399" s="14"/>
      <c r="AM1399" s="14"/>
    </row>
    <row r="1400" customFormat="false" ht="13.8" hidden="false" customHeight="false" outlineLevel="0" collapsed="false">
      <c r="AA1400" s="7" t="n">
        <f aca="false">AA1399+1</f>
        <v>42306</v>
      </c>
      <c r="AB1400" s="14"/>
      <c r="AC1400" s="14"/>
      <c r="AD1400" s="14"/>
      <c r="AE1400" s="14"/>
      <c r="AF1400" s="14"/>
      <c r="AG1400" s="14"/>
      <c r="AH1400" s="14"/>
      <c r="AI1400" s="14"/>
      <c r="AJ1400" s="14"/>
      <c r="AK1400" s="14"/>
      <c r="AL1400" s="14"/>
      <c r="AM1400" s="14"/>
    </row>
    <row r="1401" customFormat="false" ht="13.8" hidden="false" customHeight="false" outlineLevel="0" collapsed="false">
      <c r="AA1401" s="7" t="n">
        <f aca="false">AA1400+1</f>
        <v>42307</v>
      </c>
      <c r="AB1401" s="14"/>
      <c r="AC1401" s="14"/>
      <c r="AD1401" s="14"/>
      <c r="AE1401" s="14"/>
      <c r="AF1401" s="14"/>
      <c r="AG1401" s="14"/>
      <c r="AH1401" s="14"/>
      <c r="AI1401" s="14"/>
      <c r="AJ1401" s="14"/>
      <c r="AK1401" s="14"/>
      <c r="AL1401" s="14"/>
      <c r="AM1401" s="14"/>
    </row>
    <row r="1402" customFormat="false" ht="13.8" hidden="false" customHeight="false" outlineLevel="0" collapsed="false">
      <c r="AA1402" s="7" t="n">
        <f aca="false">AA1401+1</f>
        <v>42308</v>
      </c>
      <c r="AB1402" s="14"/>
      <c r="AC1402" s="14"/>
      <c r="AD1402" s="14"/>
      <c r="AE1402" s="14"/>
      <c r="AF1402" s="14"/>
      <c r="AG1402" s="14"/>
      <c r="AH1402" s="14"/>
      <c r="AI1402" s="14"/>
      <c r="AJ1402" s="14"/>
      <c r="AK1402" s="14"/>
      <c r="AL1402" s="14"/>
      <c r="AM1402" s="14"/>
    </row>
    <row r="1403" customFormat="false" ht="13.8" hidden="false" customHeight="false" outlineLevel="0" collapsed="false">
      <c r="AA1403" s="7" t="n">
        <f aca="false">AA1402+1</f>
        <v>42309</v>
      </c>
      <c r="AB1403" s="14"/>
      <c r="AC1403" s="14"/>
      <c r="AD1403" s="14"/>
      <c r="AE1403" s="14"/>
      <c r="AF1403" s="14"/>
      <c r="AG1403" s="14"/>
      <c r="AH1403" s="14"/>
      <c r="AI1403" s="14"/>
      <c r="AJ1403" s="14"/>
      <c r="AK1403" s="14"/>
      <c r="AL1403" s="14"/>
      <c r="AM1403" s="14"/>
    </row>
    <row r="1404" customFormat="false" ht="13.8" hidden="false" customHeight="false" outlineLevel="0" collapsed="false">
      <c r="AA1404" s="7" t="n">
        <f aca="false">AA1403+1</f>
        <v>42310</v>
      </c>
      <c r="AB1404" s="14"/>
      <c r="AC1404" s="14"/>
      <c r="AD1404" s="14"/>
      <c r="AE1404" s="14"/>
      <c r="AF1404" s="14"/>
      <c r="AG1404" s="14"/>
      <c r="AH1404" s="14"/>
      <c r="AI1404" s="14"/>
      <c r="AJ1404" s="14"/>
      <c r="AK1404" s="14"/>
      <c r="AL1404" s="14"/>
      <c r="AM1404" s="14"/>
    </row>
    <row r="1405" customFormat="false" ht="13.8" hidden="false" customHeight="false" outlineLevel="0" collapsed="false">
      <c r="AA1405" s="7" t="n">
        <f aca="false">AA1404+1</f>
        <v>42311</v>
      </c>
      <c r="AB1405" s="14"/>
      <c r="AC1405" s="14"/>
      <c r="AD1405" s="14"/>
      <c r="AE1405" s="14"/>
      <c r="AF1405" s="14"/>
      <c r="AG1405" s="14"/>
      <c r="AH1405" s="14"/>
      <c r="AI1405" s="14"/>
      <c r="AJ1405" s="14"/>
      <c r="AK1405" s="14"/>
      <c r="AL1405" s="14"/>
      <c r="AM1405" s="14"/>
    </row>
    <row r="1406" customFormat="false" ht="13.8" hidden="false" customHeight="false" outlineLevel="0" collapsed="false">
      <c r="AA1406" s="7" t="n">
        <f aca="false">AA1405+1</f>
        <v>42312</v>
      </c>
      <c r="AB1406" s="14"/>
      <c r="AC1406" s="14"/>
      <c r="AD1406" s="14"/>
      <c r="AE1406" s="14"/>
      <c r="AF1406" s="14"/>
      <c r="AG1406" s="14"/>
      <c r="AH1406" s="14"/>
      <c r="AI1406" s="14"/>
      <c r="AJ1406" s="14"/>
      <c r="AK1406" s="14"/>
      <c r="AL1406" s="14"/>
      <c r="AM1406" s="14"/>
    </row>
    <row r="1407" customFormat="false" ht="13.8" hidden="false" customHeight="false" outlineLevel="0" collapsed="false">
      <c r="AA1407" s="7" t="n">
        <f aca="false">AA1406+1</f>
        <v>42313</v>
      </c>
      <c r="AB1407" s="14"/>
      <c r="AC1407" s="14"/>
      <c r="AD1407" s="14"/>
      <c r="AE1407" s="14"/>
      <c r="AF1407" s="14"/>
      <c r="AG1407" s="14"/>
      <c r="AH1407" s="14"/>
      <c r="AI1407" s="14"/>
      <c r="AJ1407" s="14"/>
      <c r="AK1407" s="14"/>
      <c r="AL1407" s="14"/>
      <c r="AM1407" s="14"/>
    </row>
    <row r="1408" customFormat="false" ht="13.8" hidden="false" customHeight="false" outlineLevel="0" collapsed="false">
      <c r="AA1408" s="7" t="n">
        <f aca="false">AA1407+1</f>
        <v>42314</v>
      </c>
      <c r="AB1408" s="14"/>
      <c r="AC1408" s="14"/>
      <c r="AD1408" s="14"/>
      <c r="AE1408" s="14"/>
      <c r="AF1408" s="14"/>
      <c r="AG1408" s="14"/>
      <c r="AH1408" s="14"/>
      <c r="AI1408" s="14"/>
      <c r="AJ1408" s="14"/>
      <c r="AK1408" s="14"/>
      <c r="AL1408" s="14"/>
      <c r="AM1408" s="14"/>
    </row>
    <row r="1409" customFormat="false" ht="13.8" hidden="false" customHeight="false" outlineLevel="0" collapsed="false">
      <c r="AA1409" s="7" t="n">
        <f aca="false">AA1408+1</f>
        <v>42315</v>
      </c>
      <c r="AB1409" s="14"/>
      <c r="AC1409" s="14"/>
      <c r="AD1409" s="14"/>
      <c r="AE1409" s="14"/>
      <c r="AF1409" s="14"/>
      <c r="AG1409" s="14"/>
      <c r="AH1409" s="14"/>
      <c r="AI1409" s="14"/>
      <c r="AJ1409" s="14"/>
      <c r="AK1409" s="14"/>
      <c r="AL1409" s="14"/>
      <c r="AM1409" s="14"/>
    </row>
    <row r="1410" customFormat="false" ht="13.8" hidden="false" customHeight="false" outlineLevel="0" collapsed="false">
      <c r="AA1410" s="7" t="n">
        <f aca="false">AA1409+1</f>
        <v>42316</v>
      </c>
      <c r="AB1410" s="14"/>
      <c r="AC1410" s="14"/>
      <c r="AD1410" s="14"/>
      <c r="AE1410" s="14"/>
      <c r="AF1410" s="14"/>
      <c r="AG1410" s="14"/>
      <c r="AH1410" s="14"/>
      <c r="AI1410" s="14"/>
      <c r="AJ1410" s="14"/>
      <c r="AK1410" s="14"/>
      <c r="AL1410" s="14"/>
      <c r="AM1410" s="14"/>
    </row>
    <row r="1411" customFormat="false" ht="13.8" hidden="false" customHeight="false" outlineLevel="0" collapsed="false">
      <c r="AA1411" s="7" t="n">
        <f aca="false">AA1410+1</f>
        <v>42317</v>
      </c>
      <c r="AB1411" s="14"/>
      <c r="AC1411" s="14"/>
      <c r="AD1411" s="14"/>
      <c r="AE1411" s="14"/>
      <c r="AF1411" s="14"/>
      <c r="AG1411" s="14"/>
      <c r="AH1411" s="14"/>
      <c r="AI1411" s="14"/>
      <c r="AJ1411" s="14"/>
      <c r="AK1411" s="14"/>
      <c r="AL1411" s="14"/>
      <c r="AM1411" s="14"/>
    </row>
    <row r="1412" customFormat="false" ht="13.8" hidden="false" customHeight="false" outlineLevel="0" collapsed="false">
      <c r="AA1412" s="7" t="n">
        <f aca="false">AA1411+1</f>
        <v>42318</v>
      </c>
      <c r="AB1412" s="14"/>
      <c r="AC1412" s="14"/>
      <c r="AD1412" s="14"/>
      <c r="AE1412" s="14"/>
      <c r="AF1412" s="14"/>
      <c r="AG1412" s="14"/>
      <c r="AH1412" s="14"/>
      <c r="AI1412" s="14"/>
      <c r="AJ1412" s="14"/>
      <c r="AK1412" s="14"/>
      <c r="AL1412" s="14"/>
      <c r="AM1412" s="14"/>
    </row>
    <row r="1413" customFormat="false" ht="13.8" hidden="false" customHeight="false" outlineLevel="0" collapsed="false">
      <c r="AA1413" s="7" t="n">
        <f aca="false">AA1412+1</f>
        <v>42319</v>
      </c>
      <c r="AB1413" s="14"/>
      <c r="AC1413" s="14"/>
      <c r="AD1413" s="14"/>
      <c r="AE1413" s="14"/>
      <c r="AF1413" s="14"/>
      <c r="AG1413" s="14"/>
      <c r="AH1413" s="14"/>
      <c r="AI1413" s="14"/>
      <c r="AJ1413" s="14"/>
      <c r="AK1413" s="14"/>
      <c r="AL1413" s="14"/>
      <c r="AM1413" s="14"/>
    </row>
    <row r="1414" customFormat="false" ht="13.8" hidden="false" customHeight="false" outlineLevel="0" collapsed="false">
      <c r="AA1414" s="7" t="n">
        <f aca="false">AA1413+1</f>
        <v>42320</v>
      </c>
      <c r="AB1414" s="14"/>
      <c r="AC1414" s="14"/>
      <c r="AD1414" s="14"/>
      <c r="AE1414" s="14"/>
      <c r="AF1414" s="14"/>
      <c r="AG1414" s="14"/>
      <c r="AH1414" s="14"/>
      <c r="AI1414" s="14"/>
      <c r="AJ1414" s="14"/>
      <c r="AK1414" s="14"/>
      <c r="AL1414" s="14"/>
      <c r="AM1414" s="14"/>
    </row>
    <row r="1415" customFormat="false" ht="13.8" hidden="false" customHeight="false" outlineLevel="0" collapsed="false">
      <c r="AA1415" s="7" t="n">
        <f aca="false">AA1414+1</f>
        <v>42321</v>
      </c>
      <c r="AB1415" s="14"/>
      <c r="AC1415" s="14"/>
      <c r="AD1415" s="14"/>
      <c r="AE1415" s="14"/>
      <c r="AF1415" s="14"/>
      <c r="AG1415" s="14"/>
      <c r="AH1415" s="14"/>
      <c r="AI1415" s="14"/>
      <c r="AJ1415" s="14"/>
      <c r="AK1415" s="14"/>
      <c r="AL1415" s="14"/>
      <c r="AM1415" s="14"/>
    </row>
    <row r="1416" customFormat="false" ht="13.8" hidden="false" customHeight="false" outlineLevel="0" collapsed="false">
      <c r="AA1416" s="7" t="n">
        <f aca="false">AA1415+1</f>
        <v>42322</v>
      </c>
      <c r="AB1416" s="14"/>
      <c r="AC1416" s="14"/>
      <c r="AD1416" s="14"/>
      <c r="AE1416" s="14"/>
      <c r="AF1416" s="14"/>
      <c r="AG1416" s="14"/>
      <c r="AH1416" s="14"/>
      <c r="AI1416" s="14"/>
      <c r="AJ1416" s="14"/>
      <c r="AK1416" s="14"/>
      <c r="AL1416" s="14"/>
      <c r="AM1416" s="14"/>
    </row>
    <row r="1417" customFormat="false" ht="13.8" hidden="false" customHeight="false" outlineLevel="0" collapsed="false">
      <c r="AA1417" s="7" t="n">
        <f aca="false">AA1416+1</f>
        <v>42323</v>
      </c>
      <c r="AB1417" s="14"/>
      <c r="AC1417" s="14"/>
      <c r="AD1417" s="14"/>
      <c r="AE1417" s="14"/>
      <c r="AF1417" s="14"/>
      <c r="AG1417" s="14"/>
      <c r="AH1417" s="14"/>
      <c r="AI1417" s="14"/>
      <c r="AJ1417" s="14"/>
      <c r="AK1417" s="14"/>
      <c r="AL1417" s="14"/>
      <c r="AM1417" s="14"/>
    </row>
    <row r="1418" customFormat="false" ht="13.8" hidden="false" customHeight="false" outlineLevel="0" collapsed="false">
      <c r="AA1418" s="7" t="n">
        <f aca="false">AA1417+1</f>
        <v>42324</v>
      </c>
      <c r="AB1418" s="14"/>
      <c r="AC1418" s="14"/>
      <c r="AD1418" s="14"/>
      <c r="AE1418" s="14"/>
      <c r="AF1418" s="14"/>
      <c r="AG1418" s="14"/>
      <c r="AH1418" s="14"/>
      <c r="AI1418" s="14"/>
      <c r="AJ1418" s="14"/>
      <c r="AK1418" s="14"/>
      <c r="AL1418" s="14"/>
      <c r="AM1418" s="14"/>
    </row>
    <row r="1419" customFormat="false" ht="13.8" hidden="false" customHeight="false" outlineLevel="0" collapsed="false">
      <c r="AA1419" s="7" t="n">
        <f aca="false">AA1418+1</f>
        <v>42325</v>
      </c>
      <c r="AB1419" s="14"/>
      <c r="AC1419" s="14"/>
      <c r="AD1419" s="14"/>
      <c r="AE1419" s="14"/>
      <c r="AF1419" s="14"/>
      <c r="AG1419" s="14"/>
      <c r="AH1419" s="14"/>
      <c r="AI1419" s="14"/>
      <c r="AJ1419" s="14"/>
      <c r="AK1419" s="14"/>
      <c r="AL1419" s="14"/>
      <c r="AM1419" s="14"/>
    </row>
    <row r="1420" customFormat="false" ht="13.8" hidden="false" customHeight="false" outlineLevel="0" collapsed="false">
      <c r="AA1420" s="7" t="n">
        <f aca="false">AA1419+1</f>
        <v>42326</v>
      </c>
      <c r="AB1420" s="14"/>
      <c r="AC1420" s="14"/>
      <c r="AD1420" s="14"/>
      <c r="AE1420" s="14"/>
      <c r="AF1420" s="14"/>
      <c r="AG1420" s="14"/>
      <c r="AH1420" s="14"/>
      <c r="AI1420" s="14"/>
      <c r="AJ1420" s="14"/>
      <c r="AK1420" s="14"/>
      <c r="AL1420" s="14"/>
      <c r="AM1420" s="14"/>
    </row>
    <row r="1421" customFormat="false" ht="13.8" hidden="false" customHeight="false" outlineLevel="0" collapsed="false">
      <c r="AA1421" s="7" t="n">
        <f aca="false">AA1420+1</f>
        <v>42327</v>
      </c>
      <c r="AB1421" s="14"/>
      <c r="AC1421" s="14"/>
      <c r="AD1421" s="14"/>
      <c r="AE1421" s="14"/>
      <c r="AF1421" s="14"/>
      <c r="AG1421" s="14"/>
      <c r="AH1421" s="14"/>
      <c r="AI1421" s="14"/>
      <c r="AJ1421" s="14"/>
      <c r="AK1421" s="14"/>
      <c r="AL1421" s="14"/>
      <c r="AM1421" s="14"/>
    </row>
    <row r="1422" customFormat="false" ht="13.8" hidden="false" customHeight="false" outlineLevel="0" collapsed="false">
      <c r="AA1422" s="7" t="n">
        <f aca="false">AA1421+1</f>
        <v>42328</v>
      </c>
      <c r="AB1422" s="14"/>
      <c r="AC1422" s="14"/>
      <c r="AD1422" s="14"/>
      <c r="AE1422" s="14"/>
      <c r="AF1422" s="14"/>
      <c r="AG1422" s="14"/>
      <c r="AH1422" s="14"/>
      <c r="AI1422" s="14"/>
      <c r="AJ1422" s="14"/>
      <c r="AK1422" s="14"/>
      <c r="AL1422" s="14"/>
      <c r="AM1422" s="14"/>
    </row>
    <row r="1423" customFormat="false" ht="13.8" hidden="false" customHeight="false" outlineLevel="0" collapsed="false">
      <c r="AA1423" s="7" t="n">
        <f aca="false">AA1422+1</f>
        <v>42329</v>
      </c>
      <c r="AB1423" s="14"/>
      <c r="AC1423" s="14"/>
      <c r="AD1423" s="14"/>
      <c r="AE1423" s="14"/>
      <c r="AF1423" s="14"/>
      <c r="AG1423" s="14"/>
      <c r="AH1423" s="14"/>
      <c r="AI1423" s="14"/>
      <c r="AJ1423" s="14"/>
      <c r="AK1423" s="14"/>
      <c r="AL1423" s="14"/>
      <c r="AM1423" s="14"/>
    </row>
    <row r="1424" customFormat="false" ht="13.8" hidden="false" customHeight="false" outlineLevel="0" collapsed="false">
      <c r="AA1424" s="7" t="n">
        <f aca="false">AA1423+1</f>
        <v>42330</v>
      </c>
      <c r="AB1424" s="14"/>
      <c r="AC1424" s="14"/>
      <c r="AD1424" s="14"/>
      <c r="AE1424" s="14"/>
      <c r="AF1424" s="14"/>
      <c r="AG1424" s="14"/>
      <c r="AH1424" s="14"/>
      <c r="AI1424" s="14"/>
      <c r="AJ1424" s="14"/>
      <c r="AK1424" s="14"/>
      <c r="AL1424" s="14"/>
      <c r="AM1424" s="14"/>
    </row>
    <row r="1425" customFormat="false" ht="13.8" hidden="false" customHeight="false" outlineLevel="0" collapsed="false">
      <c r="AA1425" s="7" t="n">
        <f aca="false">AA1424+1</f>
        <v>42331</v>
      </c>
      <c r="AB1425" s="14"/>
      <c r="AC1425" s="14"/>
      <c r="AD1425" s="14"/>
      <c r="AE1425" s="14"/>
      <c r="AF1425" s="14"/>
      <c r="AG1425" s="14"/>
      <c r="AH1425" s="14"/>
      <c r="AI1425" s="14"/>
      <c r="AJ1425" s="14"/>
      <c r="AK1425" s="14"/>
      <c r="AL1425" s="14"/>
      <c r="AM1425" s="14"/>
    </row>
    <row r="1426" customFormat="false" ht="13.8" hidden="false" customHeight="false" outlineLevel="0" collapsed="false">
      <c r="AA1426" s="7" t="n">
        <f aca="false">AA1425+1</f>
        <v>42332</v>
      </c>
      <c r="AB1426" s="14"/>
      <c r="AC1426" s="14"/>
      <c r="AD1426" s="14"/>
      <c r="AE1426" s="14"/>
      <c r="AF1426" s="14"/>
      <c r="AG1426" s="14"/>
      <c r="AH1426" s="14"/>
      <c r="AI1426" s="14"/>
      <c r="AJ1426" s="14"/>
      <c r="AK1426" s="14"/>
      <c r="AL1426" s="14"/>
      <c r="AM1426" s="14"/>
    </row>
    <row r="1427" customFormat="false" ht="13.8" hidden="false" customHeight="false" outlineLevel="0" collapsed="false">
      <c r="AA1427" s="7" t="n">
        <f aca="false">AA1426+1</f>
        <v>42333</v>
      </c>
      <c r="AB1427" s="14"/>
      <c r="AC1427" s="14"/>
      <c r="AD1427" s="14"/>
      <c r="AE1427" s="14"/>
      <c r="AF1427" s="14"/>
      <c r="AG1427" s="14"/>
      <c r="AH1427" s="14"/>
      <c r="AI1427" s="14"/>
      <c r="AJ1427" s="14"/>
      <c r="AK1427" s="14"/>
      <c r="AL1427" s="14"/>
      <c r="AM1427" s="14"/>
    </row>
    <row r="1428" customFormat="false" ht="13.8" hidden="false" customHeight="false" outlineLevel="0" collapsed="false">
      <c r="AA1428" s="7" t="n">
        <f aca="false">AA1427+1</f>
        <v>42334</v>
      </c>
      <c r="AB1428" s="14"/>
      <c r="AC1428" s="14"/>
      <c r="AD1428" s="14"/>
      <c r="AE1428" s="14"/>
      <c r="AF1428" s="14"/>
      <c r="AG1428" s="14"/>
      <c r="AH1428" s="14"/>
      <c r="AI1428" s="14"/>
      <c r="AJ1428" s="14"/>
      <c r="AK1428" s="14"/>
      <c r="AL1428" s="14"/>
      <c r="AM1428" s="14"/>
    </row>
    <row r="1429" customFormat="false" ht="13.8" hidden="false" customHeight="false" outlineLevel="0" collapsed="false">
      <c r="AA1429" s="7" t="n">
        <f aca="false">AA1428+1</f>
        <v>42335</v>
      </c>
      <c r="AB1429" s="14"/>
      <c r="AC1429" s="14"/>
      <c r="AD1429" s="14"/>
      <c r="AE1429" s="14"/>
      <c r="AF1429" s="14"/>
      <c r="AG1429" s="14"/>
      <c r="AH1429" s="14"/>
      <c r="AI1429" s="14"/>
      <c r="AJ1429" s="14"/>
      <c r="AK1429" s="14"/>
      <c r="AL1429" s="14"/>
      <c r="AM1429" s="14"/>
    </row>
    <row r="1430" customFormat="false" ht="13.8" hidden="false" customHeight="false" outlineLevel="0" collapsed="false">
      <c r="AA1430" s="7" t="n">
        <f aca="false">AA1429+1</f>
        <v>42336</v>
      </c>
      <c r="AB1430" s="14"/>
      <c r="AC1430" s="14"/>
      <c r="AD1430" s="14"/>
      <c r="AE1430" s="14"/>
      <c r="AF1430" s="14"/>
      <c r="AG1430" s="14"/>
      <c r="AH1430" s="14"/>
      <c r="AI1430" s="14"/>
      <c r="AJ1430" s="14"/>
      <c r="AK1430" s="14"/>
      <c r="AL1430" s="14"/>
      <c r="AM1430" s="14"/>
    </row>
    <row r="1431" customFormat="false" ht="13.8" hidden="false" customHeight="false" outlineLevel="0" collapsed="false">
      <c r="AA1431" s="7" t="n">
        <f aca="false">AA1430+1</f>
        <v>42337</v>
      </c>
      <c r="AB1431" s="14"/>
      <c r="AC1431" s="14"/>
      <c r="AD1431" s="14"/>
      <c r="AE1431" s="14"/>
      <c r="AF1431" s="14"/>
      <c r="AG1431" s="14"/>
      <c r="AH1431" s="14"/>
      <c r="AI1431" s="14"/>
      <c r="AJ1431" s="14"/>
      <c r="AK1431" s="14"/>
      <c r="AL1431" s="14"/>
      <c r="AM1431" s="14"/>
    </row>
    <row r="1432" customFormat="false" ht="13.8" hidden="false" customHeight="false" outlineLevel="0" collapsed="false">
      <c r="AA1432" s="7" t="n">
        <f aca="false">AA1431+1</f>
        <v>42338</v>
      </c>
      <c r="AB1432" s="14"/>
      <c r="AC1432" s="14"/>
      <c r="AD1432" s="14"/>
      <c r="AE1432" s="14"/>
      <c r="AF1432" s="14"/>
      <c r="AG1432" s="14"/>
      <c r="AH1432" s="14"/>
      <c r="AI1432" s="14"/>
      <c r="AJ1432" s="14"/>
      <c r="AK1432" s="14"/>
      <c r="AL1432" s="14"/>
      <c r="AM1432" s="14"/>
    </row>
    <row r="1433" customFormat="false" ht="13.8" hidden="false" customHeight="false" outlineLevel="0" collapsed="false">
      <c r="AA1433" s="7" t="n">
        <f aca="false">AA1432+1</f>
        <v>42339</v>
      </c>
      <c r="AB1433" s="14"/>
      <c r="AC1433" s="14"/>
      <c r="AD1433" s="14"/>
      <c r="AE1433" s="14"/>
      <c r="AF1433" s="14"/>
      <c r="AG1433" s="14"/>
      <c r="AH1433" s="14"/>
      <c r="AI1433" s="14"/>
      <c r="AJ1433" s="14"/>
      <c r="AK1433" s="14"/>
      <c r="AL1433" s="14"/>
      <c r="AM1433" s="14"/>
    </row>
    <row r="1434" customFormat="false" ht="13.8" hidden="false" customHeight="false" outlineLevel="0" collapsed="false">
      <c r="AA1434" s="7" t="n">
        <f aca="false">AA1433+1</f>
        <v>42340</v>
      </c>
      <c r="AB1434" s="14"/>
      <c r="AC1434" s="14"/>
      <c r="AD1434" s="14"/>
      <c r="AE1434" s="14"/>
      <c r="AF1434" s="14"/>
      <c r="AG1434" s="14"/>
      <c r="AH1434" s="14"/>
      <c r="AI1434" s="14"/>
      <c r="AJ1434" s="14"/>
      <c r="AK1434" s="14"/>
      <c r="AL1434" s="14"/>
      <c r="AM1434" s="14"/>
    </row>
    <row r="1435" customFormat="false" ht="13.8" hidden="false" customHeight="false" outlineLevel="0" collapsed="false">
      <c r="AA1435" s="7" t="n">
        <f aca="false">AA1434+1</f>
        <v>42341</v>
      </c>
      <c r="AB1435" s="14"/>
      <c r="AC1435" s="14"/>
      <c r="AD1435" s="14"/>
      <c r="AE1435" s="14"/>
      <c r="AF1435" s="14"/>
      <c r="AG1435" s="14"/>
      <c r="AH1435" s="14"/>
      <c r="AI1435" s="14"/>
      <c r="AJ1435" s="14"/>
      <c r="AK1435" s="14"/>
      <c r="AL1435" s="14"/>
      <c r="AM1435" s="14"/>
    </row>
    <row r="1436" customFormat="false" ht="13.8" hidden="false" customHeight="false" outlineLevel="0" collapsed="false">
      <c r="AA1436" s="7" t="n">
        <f aca="false">AA1435+1</f>
        <v>42342</v>
      </c>
      <c r="AB1436" s="14"/>
      <c r="AC1436" s="14"/>
      <c r="AD1436" s="14"/>
      <c r="AE1436" s="14"/>
      <c r="AF1436" s="14"/>
      <c r="AG1436" s="14"/>
      <c r="AH1436" s="14"/>
      <c r="AI1436" s="14"/>
      <c r="AJ1436" s="14"/>
      <c r="AK1436" s="14"/>
      <c r="AL1436" s="14"/>
      <c r="AM1436" s="14"/>
    </row>
    <row r="1437" customFormat="false" ht="13.8" hidden="false" customHeight="false" outlineLevel="0" collapsed="false">
      <c r="AA1437" s="7" t="n">
        <f aca="false">AA1436+1</f>
        <v>42343</v>
      </c>
      <c r="AB1437" s="14"/>
      <c r="AC1437" s="14"/>
      <c r="AD1437" s="14"/>
      <c r="AE1437" s="14"/>
      <c r="AF1437" s="14"/>
      <c r="AG1437" s="14"/>
      <c r="AH1437" s="14"/>
      <c r="AI1437" s="14"/>
      <c r="AJ1437" s="14"/>
      <c r="AK1437" s="14"/>
      <c r="AL1437" s="14"/>
      <c r="AM1437" s="14"/>
    </row>
    <row r="1438" customFormat="false" ht="13.8" hidden="false" customHeight="false" outlineLevel="0" collapsed="false">
      <c r="AA1438" s="7" t="n">
        <f aca="false">AA1437+1</f>
        <v>42344</v>
      </c>
      <c r="AB1438" s="14"/>
      <c r="AC1438" s="14"/>
      <c r="AD1438" s="14"/>
      <c r="AE1438" s="14"/>
      <c r="AF1438" s="14"/>
      <c r="AG1438" s="14"/>
      <c r="AH1438" s="14"/>
      <c r="AI1438" s="14"/>
      <c r="AJ1438" s="14"/>
      <c r="AK1438" s="14"/>
      <c r="AL1438" s="14"/>
      <c r="AM1438" s="14"/>
    </row>
    <row r="1439" customFormat="false" ht="13.8" hidden="false" customHeight="false" outlineLevel="0" collapsed="false">
      <c r="AA1439" s="7" t="n">
        <f aca="false">AA1438+1</f>
        <v>42345</v>
      </c>
      <c r="AB1439" s="14"/>
      <c r="AC1439" s="14"/>
      <c r="AD1439" s="14"/>
      <c r="AE1439" s="14"/>
      <c r="AF1439" s="14"/>
      <c r="AG1439" s="14"/>
      <c r="AH1439" s="14"/>
      <c r="AI1439" s="14"/>
      <c r="AJ1439" s="14"/>
      <c r="AK1439" s="14"/>
      <c r="AL1439" s="14"/>
      <c r="AM1439" s="14"/>
    </row>
    <row r="1440" customFormat="false" ht="13.8" hidden="false" customHeight="false" outlineLevel="0" collapsed="false">
      <c r="AA1440" s="7" t="n">
        <f aca="false">AA1439+1</f>
        <v>42346</v>
      </c>
      <c r="AB1440" s="14"/>
      <c r="AC1440" s="14"/>
      <c r="AD1440" s="14"/>
      <c r="AE1440" s="14"/>
      <c r="AF1440" s="14"/>
      <c r="AG1440" s="14"/>
      <c r="AH1440" s="14"/>
      <c r="AI1440" s="14"/>
      <c r="AJ1440" s="14"/>
      <c r="AK1440" s="14"/>
      <c r="AL1440" s="14"/>
      <c r="AM1440" s="14"/>
    </row>
    <row r="1441" customFormat="false" ht="13.8" hidden="false" customHeight="false" outlineLevel="0" collapsed="false">
      <c r="AA1441" s="7" t="n">
        <f aca="false">AA1440+1</f>
        <v>42347</v>
      </c>
      <c r="AB1441" s="14"/>
      <c r="AC1441" s="14"/>
      <c r="AD1441" s="14"/>
      <c r="AE1441" s="14"/>
      <c r="AF1441" s="14"/>
      <c r="AG1441" s="14"/>
      <c r="AH1441" s="14"/>
      <c r="AI1441" s="14"/>
      <c r="AJ1441" s="14"/>
      <c r="AK1441" s="14"/>
      <c r="AL1441" s="14"/>
      <c r="AM1441" s="14"/>
    </row>
    <row r="1442" customFormat="false" ht="13.8" hidden="false" customHeight="false" outlineLevel="0" collapsed="false">
      <c r="AA1442" s="7" t="n">
        <f aca="false">AA1441+1</f>
        <v>42348</v>
      </c>
      <c r="AB1442" s="14"/>
      <c r="AC1442" s="14"/>
      <c r="AD1442" s="14"/>
      <c r="AE1442" s="14"/>
      <c r="AF1442" s="14"/>
      <c r="AG1442" s="14"/>
      <c r="AH1442" s="14"/>
      <c r="AI1442" s="14"/>
      <c r="AJ1442" s="14"/>
      <c r="AK1442" s="14"/>
      <c r="AL1442" s="14"/>
      <c r="AM1442" s="14"/>
    </row>
    <row r="1443" customFormat="false" ht="13.8" hidden="false" customHeight="false" outlineLevel="0" collapsed="false">
      <c r="AA1443" s="7" t="n">
        <f aca="false">AA1442+1</f>
        <v>42349</v>
      </c>
      <c r="AB1443" s="14"/>
      <c r="AC1443" s="14"/>
      <c r="AD1443" s="14"/>
      <c r="AE1443" s="14"/>
      <c r="AF1443" s="14"/>
      <c r="AG1443" s="14"/>
      <c r="AH1443" s="14"/>
      <c r="AI1443" s="14"/>
      <c r="AJ1443" s="14"/>
      <c r="AK1443" s="14"/>
      <c r="AL1443" s="14"/>
      <c r="AM1443" s="14"/>
    </row>
    <row r="1444" customFormat="false" ht="13.8" hidden="false" customHeight="false" outlineLevel="0" collapsed="false">
      <c r="AA1444" s="7" t="n">
        <f aca="false">AA1443+1</f>
        <v>42350</v>
      </c>
      <c r="AB1444" s="14"/>
      <c r="AC1444" s="14"/>
      <c r="AD1444" s="14"/>
      <c r="AE1444" s="14"/>
      <c r="AF1444" s="14"/>
      <c r="AG1444" s="14"/>
      <c r="AH1444" s="14"/>
      <c r="AI1444" s="14"/>
      <c r="AJ1444" s="14"/>
      <c r="AK1444" s="14"/>
      <c r="AL1444" s="14"/>
      <c r="AM1444" s="14"/>
    </row>
    <row r="1445" customFormat="false" ht="13.8" hidden="false" customHeight="false" outlineLevel="0" collapsed="false">
      <c r="AA1445" s="7" t="n">
        <f aca="false">AA1444+1</f>
        <v>42351</v>
      </c>
      <c r="AB1445" s="14"/>
      <c r="AC1445" s="14"/>
      <c r="AD1445" s="14"/>
      <c r="AE1445" s="14"/>
      <c r="AF1445" s="14"/>
      <c r="AG1445" s="14"/>
      <c r="AH1445" s="14"/>
      <c r="AI1445" s="14"/>
      <c r="AJ1445" s="14"/>
      <c r="AK1445" s="14"/>
      <c r="AL1445" s="14"/>
      <c r="AM1445" s="14"/>
    </row>
    <row r="1446" customFormat="false" ht="13.8" hidden="false" customHeight="false" outlineLevel="0" collapsed="false">
      <c r="AA1446" s="7" t="n">
        <f aca="false">AA1445+1</f>
        <v>42352</v>
      </c>
      <c r="AB1446" s="14"/>
      <c r="AC1446" s="14"/>
      <c r="AD1446" s="14"/>
      <c r="AE1446" s="14"/>
      <c r="AF1446" s="14"/>
      <c r="AG1446" s="14"/>
      <c r="AH1446" s="14"/>
      <c r="AI1446" s="14"/>
      <c r="AJ1446" s="14"/>
      <c r="AK1446" s="14"/>
      <c r="AL1446" s="14"/>
      <c r="AM1446" s="14"/>
    </row>
    <row r="1447" customFormat="false" ht="13.8" hidden="false" customHeight="false" outlineLevel="0" collapsed="false">
      <c r="AA1447" s="7" t="n">
        <f aca="false">AA1446+1</f>
        <v>42353</v>
      </c>
      <c r="AB1447" s="14"/>
      <c r="AC1447" s="14"/>
      <c r="AD1447" s="14"/>
      <c r="AE1447" s="14"/>
      <c r="AF1447" s="14"/>
      <c r="AG1447" s="14"/>
      <c r="AH1447" s="14"/>
      <c r="AI1447" s="14"/>
      <c r="AJ1447" s="14"/>
      <c r="AK1447" s="14"/>
      <c r="AL1447" s="14"/>
      <c r="AM1447" s="14"/>
    </row>
    <row r="1448" customFormat="false" ht="13.8" hidden="false" customHeight="false" outlineLevel="0" collapsed="false">
      <c r="AA1448" s="7" t="n">
        <f aca="false">AA1447+1</f>
        <v>42354</v>
      </c>
      <c r="AB1448" s="14"/>
      <c r="AC1448" s="14"/>
      <c r="AD1448" s="14"/>
      <c r="AE1448" s="14"/>
      <c r="AF1448" s="14"/>
      <c r="AG1448" s="14"/>
      <c r="AH1448" s="14"/>
      <c r="AI1448" s="14"/>
      <c r="AJ1448" s="14"/>
      <c r="AK1448" s="14"/>
      <c r="AL1448" s="14"/>
      <c r="AM1448" s="14"/>
    </row>
    <row r="1449" customFormat="false" ht="13.8" hidden="false" customHeight="false" outlineLevel="0" collapsed="false">
      <c r="AA1449" s="7" t="n">
        <f aca="false">AA1448+1</f>
        <v>42355</v>
      </c>
      <c r="AB1449" s="14"/>
      <c r="AC1449" s="14"/>
      <c r="AD1449" s="14"/>
      <c r="AE1449" s="14"/>
      <c r="AF1449" s="14"/>
      <c r="AG1449" s="14"/>
      <c r="AH1449" s="14"/>
      <c r="AI1449" s="14"/>
      <c r="AJ1449" s="14"/>
      <c r="AK1449" s="14"/>
      <c r="AL1449" s="14"/>
      <c r="AM1449" s="14"/>
    </row>
    <row r="1450" customFormat="false" ht="13.8" hidden="false" customHeight="false" outlineLevel="0" collapsed="false">
      <c r="AA1450" s="7" t="n">
        <f aca="false">AA1449+1</f>
        <v>42356</v>
      </c>
      <c r="AB1450" s="14"/>
      <c r="AC1450" s="14"/>
      <c r="AD1450" s="14"/>
      <c r="AE1450" s="14"/>
      <c r="AF1450" s="14"/>
      <c r="AG1450" s="14"/>
      <c r="AH1450" s="14"/>
      <c r="AI1450" s="14"/>
      <c r="AJ1450" s="14"/>
      <c r="AK1450" s="14"/>
      <c r="AL1450" s="14"/>
      <c r="AM1450" s="14"/>
    </row>
    <row r="1451" customFormat="false" ht="13.8" hidden="false" customHeight="false" outlineLevel="0" collapsed="false">
      <c r="AA1451" s="7" t="n">
        <f aca="false">AA1450+1</f>
        <v>42357</v>
      </c>
      <c r="AB1451" s="14"/>
      <c r="AC1451" s="14"/>
      <c r="AD1451" s="14"/>
      <c r="AE1451" s="14"/>
      <c r="AF1451" s="14"/>
      <c r="AG1451" s="14"/>
      <c r="AH1451" s="14"/>
      <c r="AI1451" s="14"/>
      <c r="AJ1451" s="14"/>
      <c r="AK1451" s="14"/>
      <c r="AL1451" s="14"/>
      <c r="AM1451" s="14"/>
    </row>
    <row r="1452" customFormat="false" ht="13.8" hidden="false" customHeight="false" outlineLevel="0" collapsed="false">
      <c r="AA1452" s="7" t="n">
        <f aca="false">AA1451+1</f>
        <v>42358</v>
      </c>
      <c r="AB1452" s="14"/>
      <c r="AC1452" s="14"/>
      <c r="AD1452" s="14"/>
      <c r="AE1452" s="14"/>
      <c r="AF1452" s="14"/>
      <c r="AG1452" s="14"/>
      <c r="AH1452" s="14"/>
      <c r="AI1452" s="14"/>
      <c r="AJ1452" s="14"/>
      <c r="AK1452" s="14"/>
      <c r="AL1452" s="14"/>
      <c r="AM1452" s="14"/>
    </row>
    <row r="1453" customFormat="false" ht="13.8" hidden="false" customHeight="false" outlineLevel="0" collapsed="false">
      <c r="AA1453" s="7" t="n">
        <f aca="false">AA1452+1</f>
        <v>42359</v>
      </c>
      <c r="AB1453" s="14"/>
      <c r="AC1453" s="14"/>
      <c r="AD1453" s="14"/>
      <c r="AE1453" s="14"/>
      <c r="AF1453" s="14"/>
      <c r="AG1453" s="14"/>
      <c r="AH1453" s="14"/>
      <c r="AI1453" s="14"/>
      <c r="AJ1453" s="14"/>
      <c r="AK1453" s="14"/>
      <c r="AL1453" s="14"/>
      <c r="AM1453" s="14"/>
    </row>
    <row r="1454" customFormat="false" ht="13.8" hidden="false" customHeight="false" outlineLevel="0" collapsed="false">
      <c r="AA1454" s="7" t="n">
        <f aca="false">AA1453+1</f>
        <v>42360</v>
      </c>
      <c r="AB1454" s="14"/>
      <c r="AC1454" s="14"/>
      <c r="AD1454" s="14"/>
      <c r="AE1454" s="14"/>
      <c r="AF1454" s="14"/>
      <c r="AG1454" s="14"/>
      <c r="AH1454" s="14"/>
      <c r="AI1454" s="14"/>
      <c r="AJ1454" s="14"/>
      <c r="AK1454" s="14"/>
      <c r="AL1454" s="14"/>
      <c r="AM1454" s="14"/>
    </row>
    <row r="1455" customFormat="false" ht="13.8" hidden="false" customHeight="false" outlineLevel="0" collapsed="false">
      <c r="AA1455" s="7" t="n">
        <f aca="false">AA1454+1</f>
        <v>42361</v>
      </c>
      <c r="AB1455" s="14"/>
      <c r="AC1455" s="14"/>
      <c r="AD1455" s="14"/>
      <c r="AE1455" s="14"/>
      <c r="AF1455" s="14"/>
      <c r="AG1455" s="14"/>
      <c r="AH1455" s="14"/>
      <c r="AI1455" s="14"/>
      <c r="AJ1455" s="14"/>
      <c r="AK1455" s="14"/>
      <c r="AL1455" s="14"/>
      <c r="AM1455" s="14"/>
    </row>
    <row r="1456" customFormat="false" ht="13.8" hidden="false" customHeight="false" outlineLevel="0" collapsed="false">
      <c r="AA1456" s="7" t="n">
        <f aca="false">AA1455+1</f>
        <v>42362</v>
      </c>
      <c r="AB1456" s="14"/>
      <c r="AC1456" s="14"/>
      <c r="AD1456" s="14"/>
      <c r="AE1456" s="14"/>
      <c r="AF1456" s="14"/>
      <c r="AG1456" s="14"/>
      <c r="AH1456" s="14"/>
      <c r="AI1456" s="14"/>
      <c r="AJ1456" s="14"/>
      <c r="AK1456" s="14"/>
      <c r="AL1456" s="14"/>
      <c r="AM1456" s="14"/>
    </row>
    <row r="1457" customFormat="false" ht="13.8" hidden="false" customHeight="false" outlineLevel="0" collapsed="false">
      <c r="AA1457" s="7" t="n">
        <f aca="false">AA1456+1</f>
        <v>42363</v>
      </c>
      <c r="AB1457" s="14"/>
      <c r="AC1457" s="14"/>
      <c r="AD1457" s="14"/>
      <c r="AE1457" s="14"/>
      <c r="AF1457" s="14"/>
      <c r="AG1457" s="14"/>
      <c r="AH1457" s="14"/>
      <c r="AI1457" s="14"/>
      <c r="AJ1457" s="14"/>
      <c r="AK1457" s="14"/>
      <c r="AL1457" s="14"/>
      <c r="AM1457" s="14"/>
    </row>
    <row r="1458" customFormat="false" ht="13.8" hidden="false" customHeight="false" outlineLevel="0" collapsed="false">
      <c r="AA1458" s="7" t="n">
        <f aca="false">AA1457+1</f>
        <v>42364</v>
      </c>
      <c r="AB1458" s="14"/>
      <c r="AC1458" s="14"/>
      <c r="AD1458" s="14"/>
      <c r="AE1458" s="14"/>
      <c r="AF1458" s="14"/>
      <c r="AG1458" s="14"/>
      <c r="AH1458" s="14"/>
      <c r="AI1458" s="14"/>
      <c r="AJ1458" s="14"/>
      <c r="AK1458" s="14"/>
      <c r="AL1458" s="14"/>
      <c r="AM1458" s="14"/>
    </row>
    <row r="1459" customFormat="false" ht="13.8" hidden="false" customHeight="false" outlineLevel="0" collapsed="false">
      <c r="AA1459" s="7" t="n">
        <f aca="false">AA1458+1</f>
        <v>42365</v>
      </c>
      <c r="AB1459" s="14"/>
      <c r="AC1459" s="14"/>
      <c r="AD1459" s="14"/>
      <c r="AE1459" s="14"/>
      <c r="AF1459" s="14"/>
      <c r="AG1459" s="14"/>
      <c r="AH1459" s="14"/>
      <c r="AI1459" s="14"/>
      <c r="AJ1459" s="14"/>
      <c r="AK1459" s="14"/>
      <c r="AL1459" s="14"/>
      <c r="AM1459" s="14"/>
    </row>
    <row r="1460" customFormat="false" ht="13.8" hidden="false" customHeight="false" outlineLevel="0" collapsed="false">
      <c r="AA1460" s="7" t="n">
        <f aca="false">AA1459+1</f>
        <v>42366</v>
      </c>
      <c r="AB1460" s="14"/>
      <c r="AC1460" s="14"/>
      <c r="AD1460" s="14"/>
      <c r="AE1460" s="14"/>
      <c r="AF1460" s="14"/>
      <c r="AG1460" s="14"/>
      <c r="AH1460" s="14"/>
      <c r="AI1460" s="14"/>
      <c r="AJ1460" s="14"/>
      <c r="AK1460" s="14"/>
      <c r="AL1460" s="14"/>
      <c r="AM1460" s="14"/>
    </row>
    <row r="1461" customFormat="false" ht="13.8" hidden="false" customHeight="false" outlineLevel="0" collapsed="false">
      <c r="AA1461" s="7" t="n">
        <f aca="false">AA1460+1</f>
        <v>42367</v>
      </c>
      <c r="AB1461" s="14"/>
      <c r="AC1461" s="14"/>
      <c r="AD1461" s="14"/>
      <c r="AE1461" s="14"/>
      <c r="AF1461" s="14"/>
      <c r="AG1461" s="14"/>
      <c r="AH1461" s="14"/>
      <c r="AI1461" s="14"/>
      <c r="AJ1461" s="14"/>
      <c r="AK1461" s="14"/>
      <c r="AL1461" s="14"/>
      <c r="AM1461" s="14"/>
    </row>
    <row r="1462" customFormat="false" ht="13.8" hidden="false" customHeight="false" outlineLevel="0" collapsed="false">
      <c r="AA1462" s="7" t="n">
        <f aca="false">AA1461+1</f>
        <v>42368</v>
      </c>
      <c r="AB1462" s="14"/>
      <c r="AC1462" s="14"/>
      <c r="AD1462" s="14"/>
      <c r="AE1462" s="14"/>
      <c r="AF1462" s="14"/>
      <c r="AG1462" s="14"/>
      <c r="AH1462" s="14"/>
      <c r="AI1462" s="14"/>
      <c r="AJ1462" s="14"/>
      <c r="AK1462" s="14"/>
      <c r="AL1462" s="14"/>
      <c r="AM1462" s="14"/>
    </row>
    <row r="1463" customFormat="false" ht="13.8" hidden="false" customHeight="false" outlineLevel="0" collapsed="false">
      <c r="AA1463" s="7" t="n">
        <f aca="false">AA1462+1</f>
        <v>42369</v>
      </c>
      <c r="AB1463" s="14"/>
      <c r="AC1463" s="14"/>
      <c r="AD1463" s="14"/>
      <c r="AE1463" s="14"/>
      <c r="AF1463" s="14"/>
      <c r="AG1463" s="14"/>
      <c r="AH1463" s="14"/>
      <c r="AI1463" s="14"/>
      <c r="AJ1463" s="14"/>
      <c r="AK1463" s="14"/>
      <c r="AL1463" s="14"/>
      <c r="AM1463" s="14"/>
    </row>
    <row r="1464" customFormat="false" ht="13.8" hidden="false" customHeight="false" outlineLevel="0" collapsed="false">
      <c r="AA1464" s="7" t="n">
        <f aca="false">AA1463+1</f>
        <v>42370</v>
      </c>
      <c r="AB1464" s="14"/>
      <c r="AC1464" s="14"/>
      <c r="AD1464" s="14"/>
      <c r="AE1464" s="14"/>
      <c r="AF1464" s="14"/>
      <c r="AG1464" s="14"/>
      <c r="AH1464" s="14"/>
      <c r="AI1464" s="14"/>
      <c r="AJ1464" s="14"/>
      <c r="AK1464" s="14"/>
      <c r="AL1464" s="14"/>
      <c r="AM1464" s="14"/>
    </row>
    <row r="1465" customFormat="false" ht="13.8" hidden="false" customHeight="false" outlineLevel="0" collapsed="false">
      <c r="AA1465" s="7" t="n">
        <f aca="false">AA1464+1</f>
        <v>42371</v>
      </c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</row>
    <row r="1466" customFormat="false" ht="13.8" hidden="false" customHeight="false" outlineLevel="0" collapsed="false">
      <c r="AA1466" s="7" t="n">
        <f aca="false">AA1465+1</f>
        <v>42372</v>
      </c>
      <c r="AB1466" s="14"/>
      <c r="AC1466" s="14"/>
      <c r="AD1466" s="14"/>
      <c r="AE1466" s="14"/>
      <c r="AF1466" s="14"/>
      <c r="AG1466" s="14"/>
      <c r="AH1466" s="14"/>
      <c r="AI1466" s="14"/>
      <c r="AJ1466" s="14"/>
      <c r="AK1466" s="14"/>
      <c r="AL1466" s="14"/>
      <c r="AM1466" s="14"/>
    </row>
    <row r="1467" customFormat="false" ht="13.8" hidden="false" customHeight="false" outlineLevel="0" collapsed="false">
      <c r="AA1467" s="7" t="n">
        <f aca="false">AA1466+1</f>
        <v>42373</v>
      </c>
      <c r="AB1467" s="14"/>
      <c r="AC1467" s="14"/>
      <c r="AD1467" s="14"/>
      <c r="AE1467" s="14"/>
      <c r="AF1467" s="14"/>
      <c r="AG1467" s="14"/>
      <c r="AH1467" s="14"/>
      <c r="AI1467" s="14"/>
      <c r="AJ1467" s="14"/>
      <c r="AK1467" s="14"/>
      <c r="AL1467" s="14"/>
      <c r="AM1467" s="14"/>
    </row>
    <row r="1468" customFormat="false" ht="13.8" hidden="false" customHeight="false" outlineLevel="0" collapsed="false">
      <c r="AA1468" s="7" t="n">
        <f aca="false">AA1467+1</f>
        <v>42374</v>
      </c>
      <c r="AB1468" s="14"/>
      <c r="AC1468" s="14"/>
      <c r="AD1468" s="14"/>
      <c r="AE1468" s="14"/>
      <c r="AF1468" s="14"/>
      <c r="AG1468" s="14"/>
      <c r="AH1468" s="14"/>
      <c r="AI1468" s="14"/>
      <c r="AJ1468" s="14"/>
      <c r="AK1468" s="14"/>
      <c r="AL1468" s="14"/>
      <c r="AM1468" s="14"/>
    </row>
    <row r="1469" customFormat="false" ht="13.8" hidden="false" customHeight="false" outlineLevel="0" collapsed="false">
      <c r="AA1469" s="7" t="n">
        <f aca="false">AA1468+1</f>
        <v>42375</v>
      </c>
      <c r="AB1469" s="14"/>
      <c r="AC1469" s="14"/>
      <c r="AD1469" s="14"/>
      <c r="AE1469" s="14"/>
      <c r="AF1469" s="14"/>
      <c r="AG1469" s="14"/>
      <c r="AH1469" s="14"/>
      <c r="AI1469" s="14"/>
      <c r="AJ1469" s="14"/>
      <c r="AK1469" s="14"/>
      <c r="AL1469" s="14"/>
      <c r="AM1469" s="14"/>
    </row>
    <row r="1470" customFormat="false" ht="13.8" hidden="false" customHeight="false" outlineLevel="0" collapsed="false">
      <c r="AA1470" s="7" t="n">
        <f aca="false">AA1469+1</f>
        <v>42376</v>
      </c>
      <c r="AB1470" s="14"/>
      <c r="AC1470" s="14"/>
      <c r="AD1470" s="14"/>
      <c r="AE1470" s="14"/>
      <c r="AF1470" s="14"/>
      <c r="AG1470" s="14"/>
      <c r="AH1470" s="14"/>
      <c r="AI1470" s="14"/>
      <c r="AJ1470" s="14"/>
      <c r="AK1470" s="14"/>
      <c r="AL1470" s="14"/>
      <c r="AM1470" s="14"/>
    </row>
    <row r="1471" customFormat="false" ht="13.8" hidden="false" customHeight="false" outlineLevel="0" collapsed="false">
      <c r="AA1471" s="7" t="n">
        <f aca="false">AA1470+1</f>
        <v>42377</v>
      </c>
      <c r="AB1471" s="14"/>
      <c r="AC1471" s="14"/>
      <c r="AD1471" s="14"/>
      <c r="AE1471" s="14"/>
      <c r="AF1471" s="14"/>
      <c r="AG1471" s="14"/>
      <c r="AH1471" s="14"/>
      <c r="AI1471" s="14"/>
      <c r="AJ1471" s="14"/>
      <c r="AK1471" s="14"/>
      <c r="AL1471" s="14"/>
      <c r="AM1471" s="14"/>
    </row>
    <row r="1472" customFormat="false" ht="13.8" hidden="false" customHeight="false" outlineLevel="0" collapsed="false">
      <c r="AA1472" s="7" t="n">
        <f aca="false">AA1471+1</f>
        <v>42378</v>
      </c>
      <c r="AB1472" s="14"/>
      <c r="AC1472" s="14"/>
      <c r="AD1472" s="14"/>
      <c r="AE1472" s="14"/>
      <c r="AF1472" s="14"/>
      <c r="AG1472" s="14"/>
      <c r="AH1472" s="14"/>
      <c r="AI1472" s="14"/>
      <c r="AJ1472" s="14"/>
      <c r="AK1472" s="14"/>
      <c r="AL1472" s="14"/>
      <c r="AM1472" s="14"/>
    </row>
    <row r="1473" customFormat="false" ht="13.8" hidden="false" customHeight="false" outlineLevel="0" collapsed="false">
      <c r="AA1473" s="7" t="n">
        <f aca="false">AA1472+1</f>
        <v>42379</v>
      </c>
      <c r="AB1473" s="14"/>
      <c r="AC1473" s="14"/>
      <c r="AD1473" s="14"/>
      <c r="AE1473" s="14"/>
      <c r="AF1473" s="14"/>
      <c r="AG1473" s="14"/>
      <c r="AH1473" s="14"/>
      <c r="AI1473" s="14"/>
      <c r="AJ1473" s="14"/>
      <c r="AK1473" s="14"/>
      <c r="AL1473" s="14"/>
      <c r="AM1473" s="14"/>
    </row>
    <row r="1474" customFormat="false" ht="13.8" hidden="false" customHeight="false" outlineLevel="0" collapsed="false">
      <c r="AA1474" s="7" t="n">
        <f aca="false">AA1473+1</f>
        <v>42380</v>
      </c>
      <c r="AB1474" s="14"/>
      <c r="AC1474" s="14"/>
      <c r="AD1474" s="14"/>
      <c r="AE1474" s="14"/>
      <c r="AF1474" s="14"/>
      <c r="AG1474" s="14"/>
      <c r="AH1474" s="14"/>
      <c r="AI1474" s="14"/>
      <c r="AJ1474" s="14"/>
      <c r="AK1474" s="14"/>
      <c r="AL1474" s="14"/>
      <c r="AM1474" s="14"/>
    </row>
    <row r="1475" customFormat="false" ht="13.8" hidden="false" customHeight="false" outlineLevel="0" collapsed="false">
      <c r="AA1475" s="7" t="n">
        <f aca="false">AA1474+1</f>
        <v>42381</v>
      </c>
      <c r="AB1475" s="14"/>
      <c r="AC1475" s="14"/>
      <c r="AD1475" s="14"/>
      <c r="AE1475" s="14"/>
      <c r="AF1475" s="14"/>
      <c r="AG1475" s="14"/>
      <c r="AH1475" s="14"/>
      <c r="AI1475" s="14"/>
      <c r="AJ1475" s="14"/>
      <c r="AK1475" s="14"/>
      <c r="AL1475" s="14"/>
      <c r="AM1475" s="14"/>
    </row>
    <row r="1476" customFormat="false" ht="13.8" hidden="false" customHeight="false" outlineLevel="0" collapsed="false">
      <c r="AA1476" s="7" t="n">
        <f aca="false">AA1475+1</f>
        <v>42382</v>
      </c>
      <c r="AB1476" s="14"/>
      <c r="AC1476" s="14"/>
      <c r="AD1476" s="14"/>
      <c r="AE1476" s="14"/>
      <c r="AF1476" s="14"/>
      <c r="AG1476" s="14"/>
      <c r="AH1476" s="14"/>
      <c r="AI1476" s="14"/>
      <c r="AJ1476" s="14"/>
      <c r="AK1476" s="14"/>
      <c r="AL1476" s="14"/>
      <c r="AM1476" s="14"/>
    </row>
    <row r="1477" customFormat="false" ht="13.8" hidden="false" customHeight="false" outlineLevel="0" collapsed="false">
      <c r="AA1477" s="7" t="n">
        <f aca="false">AA1476+1</f>
        <v>42383</v>
      </c>
      <c r="AB1477" s="14"/>
      <c r="AC1477" s="14"/>
      <c r="AD1477" s="14"/>
      <c r="AE1477" s="14"/>
      <c r="AF1477" s="14"/>
      <c r="AG1477" s="14"/>
      <c r="AH1477" s="14"/>
      <c r="AI1477" s="14"/>
      <c r="AJ1477" s="14"/>
      <c r="AK1477" s="14"/>
      <c r="AL1477" s="14"/>
      <c r="AM1477" s="14"/>
    </row>
    <row r="1478" customFormat="false" ht="13.8" hidden="false" customHeight="false" outlineLevel="0" collapsed="false">
      <c r="AA1478" s="7" t="n">
        <f aca="false">AA1477+1</f>
        <v>42384</v>
      </c>
      <c r="AB1478" s="14"/>
      <c r="AC1478" s="14"/>
      <c r="AD1478" s="14"/>
      <c r="AE1478" s="14"/>
      <c r="AF1478" s="14"/>
      <c r="AG1478" s="14"/>
      <c r="AH1478" s="14"/>
      <c r="AI1478" s="14"/>
      <c r="AJ1478" s="14"/>
      <c r="AK1478" s="14"/>
      <c r="AL1478" s="14"/>
      <c r="AM1478" s="14"/>
    </row>
    <row r="1479" customFormat="false" ht="13.8" hidden="false" customHeight="false" outlineLevel="0" collapsed="false">
      <c r="AA1479" s="7" t="n">
        <f aca="false">AA1478+1</f>
        <v>42385</v>
      </c>
      <c r="AB1479" s="14"/>
      <c r="AC1479" s="14"/>
      <c r="AD1479" s="14"/>
      <c r="AE1479" s="14"/>
      <c r="AF1479" s="14"/>
      <c r="AG1479" s="14"/>
      <c r="AH1479" s="14"/>
      <c r="AI1479" s="14"/>
      <c r="AJ1479" s="14"/>
      <c r="AK1479" s="14"/>
      <c r="AL1479" s="14"/>
      <c r="AM1479" s="14"/>
    </row>
    <row r="1480" customFormat="false" ht="13.8" hidden="false" customHeight="false" outlineLevel="0" collapsed="false">
      <c r="AA1480" s="7" t="n">
        <f aca="false">AA1479+1</f>
        <v>42386</v>
      </c>
      <c r="AB1480" s="14"/>
      <c r="AC1480" s="14"/>
      <c r="AD1480" s="14"/>
      <c r="AE1480" s="14"/>
      <c r="AF1480" s="14"/>
      <c r="AG1480" s="14"/>
      <c r="AH1480" s="14"/>
      <c r="AI1480" s="14"/>
      <c r="AJ1480" s="14"/>
      <c r="AK1480" s="14"/>
      <c r="AL1480" s="14"/>
      <c r="AM1480" s="14"/>
    </row>
    <row r="1481" customFormat="false" ht="13.8" hidden="false" customHeight="false" outlineLevel="0" collapsed="false">
      <c r="AA1481" s="7" t="n">
        <f aca="false">AA1480+1</f>
        <v>42387</v>
      </c>
      <c r="AB1481" s="14"/>
      <c r="AC1481" s="14"/>
      <c r="AD1481" s="14"/>
      <c r="AE1481" s="14"/>
      <c r="AF1481" s="14"/>
      <c r="AG1481" s="14"/>
      <c r="AH1481" s="14"/>
      <c r="AI1481" s="14"/>
      <c r="AJ1481" s="14"/>
      <c r="AK1481" s="14"/>
      <c r="AL1481" s="14"/>
      <c r="AM1481" s="14"/>
    </row>
    <row r="1482" customFormat="false" ht="13.8" hidden="false" customHeight="false" outlineLevel="0" collapsed="false">
      <c r="AA1482" s="7" t="n">
        <f aca="false">AA1481+1</f>
        <v>42388</v>
      </c>
      <c r="AB1482" s="14"/>
      <c r="AC1482" s="14"/>
      <c r="AD1482" s="14"/>
      <c r="AE1482" s="14"/>
      <c r="AF1482" s="14"/>
      <c r="AG1482" s="14"/>
      <c r="AH1482" s="14"/>
      <c r="AI1482" s="14"/>
      <c r="AJ1482" s="14"/>
      <c r="AK1482" s="14"/>
      <c r="AL1482" s="14"/>
      <c r="AM1482" s="14"/>
    </row>
    <row r="1483" customFormat="false" ht="13.8" hidden="false" customHeight="false" outlineLevel="0" collapsed="false">
      <c r="AA1483" s="7" t="n">
        <f aca="false">AA1482+1</f>
        <v>42389</v>
      </c>
      <c r="AB1483" s="14"/>
      <c r="AC1483" s="14"/>
      <c r="AD1483" s="14"/>
      <c r="AE1483" s="14"/>
      <c r="AF1483" s="14"/>
      <c r="AG1483" s="14"/>
      <c r="AH1483" s="14"/>
      <c r="AI1483" s="14"/>
      <c r="AJ1483" s="14"/>
      <c r="AK1483" s="14"/>
      <c r="AL1483" s="14"/>
      <c r="AM1483" s="14"/>
    </row>
    <row r="1484" customFormat="false" ht="13.8" hidden="false" customHeight="false" outlineLevel="0" collapsed="false">
      <c r="AA1484" s="7" t="n">
        <f aca="false">AA1483+1</f>
        <v>42390</v>
      </c>
      <c r="AB1484" s="14"/>
      <c r="AC1484" s="14"/>
      <c r="AD1484" s="14"/>
      <c r="AE1484" s="14"/>
      <c r="AF1484" s="14"/>
      <c r="AG1484" s="14"/>
      <c r="AH1484" s="14"/>
      <c r="AI1484" s="14"/>
      <c r="AJ1484" s="14"/>
      <c r="AK1484" s="14"/>
      <c r="AL1484" s="14"/>
      <c r="AM1484" s="14"/>
    </row>
    <row r="1485" customFormat="false" ht="13.8" hidden="false" customHeight="false" outlineLevel="0" collapsed="false">
      <c r="AA1485" s="7" t="n">
        <f aca="false">AA1484+1</f>
        <v>42391</v>
      </c>
      <c r="AB1485" s="14"/>
      <c r="AC1485" s="14"/>
      <c r="AD1485" s="14"/>
      <c r="AE1485" s="14"/>
      <c r="AF1485" s="14"/>
      <c r="AG1485" s="14"/>
      <c r="AH1485" s="14"/>
      <c r="AI1485" s="14"/>
      <c r="AJ1485" s="14"/>
      <c r="AK1485" s="14"/>
      <c r="AL1485" s="14"/>
      <c r="AM1485" s="14"/>
    </row>
    <row r="1486" customFormat="false" ht="13.8" hidden="false" customHeight="false" outlineLevel="0" collapsed="false">
      <c r="AA1486" s="7" t="n">
        <f aca="false">AA1485+1</f>
        <v>42392</v>
      </c>
      <c r="AB1486" s="14"/>
      <c r="AC1486" s="14"/>
      <c r="AD1486" s="14"/>
      <c r="AE1486" s="14"/>
      <c r="AF1486" s="14"/>
      <c r="AG1486" s="14"/>
      <c r="AH1486" s="14"/>
      <c r="AI1486" s="14"/>
      <c r="AJ1486" s="14"/>
      <c r="AK1486" s="14"/>
      <c r="AL1486" s="14"/>
      <c r="AM1486" s="14"/>
    </row>
    <row r="1487" customFormat="false" ht="13.8" hidden="false" customHeight="false" outlineLevel="0" collapsed="false">
      <c r="AA1487" s="7" t="n">
        <f aca="false">AA1486+1</f>
        <v>42393</v>
      </c>
      <c r="AB1487" s="14"/>
      <c r="AC1487" s="14"/>
      <c r="AD1487" s="14"/>
      <c r="AE1487" s="14"/>
      <c r="AF1487" s="14"/>
      <c r="AG1487" s="14"/>
      <c r="AH1487" s="14"/>
      <c r="AI1487" s="14"/>
      <c r="AJ1487" s="14"/>
      <c r="AK1487" s="14"/>
      <c r="AL1487" s="14"/>
      <c r="AM1487" s="14"/>
    </row>
    <row r="1488" customFormat="false" ht="13.8" hidden="false" customHeight="false" outlineLevel="0" collapsed="false">
      <c r="AA1488" s="7" t="n">
        <f aca="false">AA1487+1</f>
        <v>42394</v>
      </c>
      <c r="AB1488" s="14"/>
      <c r="AC1488" s="14"/>
      <c r="AD1488" s="14"/>
      <c r="AE1488" s="14"/>
      <c r="AF1488" s="14"/>
      <c r="AG1488" s="14"/>
      <c r="AH1488" s="14"/>
      <c r="AI1488" s="14"/>
      <c r="AJ1488" s="14"/>
      <c r="AK1488" s="14"/>
      <c r="AL1488" s="14"/>
      <c r="AM1488" s="14"/>
    </row>
    <row r="1489" customFormat="false" ht="13.8" hidden="false" customHeight="false" outlineLevel="0" collapsed="false">
      <c r="AA1489" s="7" t="n">
        <f aca="false">AA1488+1</f>
        <v>42395</v>
      </c>
      <c r="AB1489" s="14"/>
      <c r="AC1489" s="14"/>
      <c r="AD1489" s="14"/>
      <c r="AE1489" s="14"/>
      <c r="AF1489" s="14"/>
      <c r="AG1489" s="14"/>
      <c r="AH1489" s="14"/>
      <c r="AI1489" s="14"/>
      <c r="AJ1489" s="14"/>
      <c r="AK1489" s="14"/>
      <c r="AL1489" s="14"/>
      <c r="AM1489" s="14"/>
    </row>
    <row r="1490" customFormat="false" ht="13.8" hidden="false" customHeight="false" outlineLevel="0" collapsed="false">
      <c r="AA1490" s="7" t="n">
        <f aca="false">AA1489+1</f>
        <v>42396</v>
      </c>
      <c r="AB1490" s="14"/>
      <c r="AC1490" s="14"/>
      <c r="AD1490" s="14"/>
      <c r="AE1490" s="14"/>
      <c r="AF1490" s="14"/>
      <c r="AG1490" s="14"/>
      <c r="AH1490" s="14"/>
      <c r="AI1490" s="14"/>
      <c r="AJ1490" s="14"/>
      <c r="AK1490" s="14"/>
      <c r="AL1490" s="14"/>
      <c r="AM1490" s="14"/>
    </row>
    <row r="1491" customFormat="false" ht="13.8" hidden="false" customHeight="false" outlineLevel="0" collapsed="false">
      <c r="AA1491" s="7" t="n">
        <f aca="false">AA1490+1</f>
        <v>42397</v>
      </c>
      <c r="AB1491" s="14"/>
      <c r="AC1491" s="14"/>
      <c r="AD1491" s="14"/>
      <c r="AE1491" s="14"/>
      <c r="AF1491" s="14"/>
      <c r="AG1491" s="14"/>
      <c r="AH1491" s="14"/>
      <c r="AI1491" s="14"/>
      <c r="AJ1491" s="14"/>
      <c r="AK1491" s="14"/>
      <c r="AL1491" s="14"/>
      <c r="AM1491" s="14"/>
    </row>
    <row r="1492" customFormat="false" ht="13.8" hidden="false" customHeight="false" outlineLevel="0" collapsed="false">
      <c r="AA1492" s="7" t="n">
        <f aca="false">AA1491+1</f>
        <v>42398</v>
      </c>
      <c r="AB1492" s="14"/>
      <c r="AC1492" s="14"/>
      <c r="AD1492" s="14"/>
      <c r="AE1492" s="14"/>
      <c r="AF1492" s="14"/>
      <c r="AG1492" s="14"/>
      <c r="AH1492" s="14"/>
      <c r="AI1492" s="14"/>
      <c r="AJ1492" s="14"/>
      <c r="AK1492" s="14"/>
      <c r="AL1492" s="14"/>
      <c r="AM1492" s="14"/>
    </row>
    <row r="1493" customFormat="false" ht="13.8" hidden="false" customHeight="false" outlineLevel="0" collapsed="false">
      <c r="AA1493" s="7" t="n">
        <f aca="false">AA1492+1</f>
        <v>42399</v>
      </c>
      <c r="AB1493" s="14"/>
      <c r="AC1493" s="14"/>
      <c r="AD1493" s="14"/>
      <c r="AE1493" s="14"/>
      <c r="AF1493" s="14"/>
      <c r="AG1493" s="14"/>
      <c r="AH1493" s="14"/>
      <c r="AI1493" s="14"/>
      <c r="AJ1493" s="14"/>
      <c r="AK1493" s="14"/>
      <c r="AL1493" s="14"/>
      <c r="AM1493" s="14"/>
    </row>
    <row r="1494" customFormat="false" ht="13.8" hidden="false" customHeight="false" outlineLevel="0" collapsed="false">
      <c r="AA1494" s="7" t="n">
        <f aca="false">AA1493+1</f>
        <v>42400</v>
      </c>
      <c r="AB1494" s="14"/>
      <c r="AC1494" s="14"/>
      <c r="AD1494" s="14"/>
      <c r="AE1494" s="14"/>
      <c r="AF1494" s="14"/>
      <c r="AG1494" s="14"/>
      <c r="AH1494" s="14"/>
      <c r="AI1494" s="14"/>
      <c r="AJ1494" s="14"/>
      <c r="AK1494" s="14"/>
      <c r="AL1494" s="14"/>
      <c r="AM1494" s="14"/>
    </row>
    <row r="1495" customFormat="false" ht="13.8" hidden="false" customHeight="false" outlineLevel="0" collapsed="false">
      <c r="AA1495" s="7" t="n">
        <f aca="false">AA1494+1</f>
        <v>42401</v>
      </c>
      <c r="AB1495" s="14"/>
      <c r="AC1495" s="14"/>
      <c r="AD1495" s="14"/>
      <c r="AE1495" s="14"/>
      <c r="AF1495" s="14"/>
      <c r="AG1495" s="14"/>
      <c r="AH1495" s="14"/>
      <c r="AI1495" s="14"/>
      <c r="AJ1495" s="14"/>
      <c r="AK1495" s="14"/>
      <c r="AL1495" s="14"/>
      <c r="AM1495" s="14"/>
    </row>
    <row r="1496" customFormat="false" ht="13.8" hidden="false" customHeight="false" outlineLevel="0" collapsed="false">
      <c r="AA1496" s="7" t="n">
        <f aca="false">AA1495+1</f>
        <v>42402</v>
      </c>
      <c r="AB1496" s="14"/>
      <c r="AC1496" s="14"/>
      <c r="AD1496" s="14"/>
      <c r="AE1496" s="14"/>
      <c r="AF1496" s="14"/>
      <c r="AG1496" s="14"/>
      <c r="AH1496" s="14"/>
      <c r="AI1496" s="14"/>
      <c r="AJ1496" s="14"/>
      <c r="AK1496" s="14"/>
      <c r="AL1496" s="14"/>
      <c r="AM1496" s="14"/>
    </row>
    <row r="1497" customFormat="false" ht="13.8" hidden="false" customHeight="false" outlineLevel="0" collapsed="false">
      <c r="AA1497" s="7" t="n">
        <f aca="false">AA1496+1</f>
        <v>42403</v>
      </c>
      <c r="AB1497" s="14"/>
      <c r="AC1497" s="14"/>
      <c r="AD1497" s="14"/>
      <c r="AE1497" s="14"/>
      <c r="AF1497" s="14"/>
      <c r="AG1497" s="14"/>
      <c r="AH1497" s="14"/>
      <c r="AI1497" s="14"/>
      <c r="AJ1497" s="14"/>
      <c r="AK1497" s="14"/>
      <c r="AL1497" s="14"/>
      <c r="AM1497" s="14"/>
    </row>
    <row r="1498" customFormat="false" ht="13.8" hidden="false" customHeight="false" outlineLevel="0" collapsed="false">
      <c r="AA1498" s="7" t="n">
        <f aca="false">AA1497+1</f>
        <v>42404</v>
      </c>
      <c r="AB1498" s="14"/>
      <c r="AC1498" s="14"/>
      <c r="AD1498" s="14"/>
      <c r="AE1498" s="14"/>
      <c r="AF1498" s="14"/>
      <c r="AG1498" s="14"/>
      <c r="AH1498" s="14"/>
      <c r="AI1498" s="14"/>
      <c r="AJ1498" s="14"/>
      <c r="AK1498" s="14"/>
      <c r="AL1498" s="14"/>
      <c r="AM1498" s="14"/>
    </row>
    <row r="1499" customFormat="false" ht="13.8" hidden="false" customHeight="false" outlineLevel="0" collapsed="false">
      <c r="AA1499" s="7" t="n">
        <f aca="false">AA1498+1</f>
        <v>42405</v>
      </c>
      <c r="AB1499" s="14"/>
      <c r="AC1499" s="14"/>
      <c r="AD1499" s="14"/>
      <c r="AE1499" s="14"/>
      <c r="AF1499" s="14"/>
      <c r="AG1499" s="14"/>
      <c r="AH1499" s="14"/>
      <c r="AI1499" s="14"/>
      <c r="AJ1499" s="14"/>
      <c r="AK1499" s="14"/>
      <c r="AL1499" s="14"/>
      <c r="AM1499" s="14"/>
    </row>
    <row r="1500" customFormat="false" ht="13.8" hidden="false" customHeight="false" outlineLevel="0" collapsed="false">
      <c r="AA1500" s="7" t="n">
        <f aca="false">AA1499+1</f>
        <v>42406</v>
      </c>
      <c r="AB1500" s="14"/>
      <c r="AC1500" s="14"/>
      <c r="AD1500" s="14"/>
      <c r="AE1500" s="14"/>
      <c r="AF1500" s="14"/>
      <c r="AG1500" s="14"/>
      <c r="AH1500" s="14"/>
      <c r="AI1500" s="14"/>
      <c r="AJ1500" s="14"/>
      <c r="AK1500" s="14"/>
      <c r="AL1500" s="14"/>
      <c r="AM1500" s="14"/>
    </row>
    <row r="1501" customFormat="false" ht="13.8" hidden="false" customHeight="false" outlineLevel="0" collapsed="false">
      <c r="AA1501" s="7" t="n">
        <f aca="false">AA1500+1</f>
        <v>42407</v>
      </c>
      <c r="AB1501" s="14"/>
      <c r="AC1501" s="14"/>
      <c r="AD1501" s="14"/>
      <c r="AE1501" s="14"/>
      <c r="AF1501" s="14"/>
      <c r="AG1501" s="14"/>
      <c r="AH1501" s="14"/>
      <c r="AI1501" s="14"/>
      <c r="AJ1501" s="14"/>
      <c r="AK1501" s="14"/>
      <c r="AL1501" s="14"/>
      <c r="AM1501" s="14"/>
    </row>
    <row r="1502" customFormat="false" ht="13.8" hidden="false" customHeight="false" outlineLevel="0" collapsed="false">
      <c r="AA1502" s="7" t="n">
        <f aca="false">AA1501+1</f>
        <v>42408</v>
      </c>
      <c r="AB1502" s="14"/>
      <c r="AC1502" s="14"/>
      <c r="AD1502" s="14"/>
      <c r="AE1502" s="14"/>
      <c r="AF1502" s="14"/>
      <c r="AG1502" s="14"/>
      <c r="AH1502" s="14"/>
      <c r="AI1502" s="14"/>
      <c r="AJ1502" s="14"/>
      <c r="AK1502" s="14"/>
      <c r="AL1502" s="14"/>
      <c r="AM1502" s="14"/>
    </row>
    <row r="1503" customFormat="false" ht="13.8" hidden="false" customHeight="false" outlineLevel="0" collapsed="false">
      <c r="AA1503" s="7" t="n">
        <f aca="false">AA1502+1</f>
        <v>42409</v>
      </c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</row>
    <row r="1504" customFormat="false" ht="13.8" hidden="false" customHeight="false" outlineLevel="0" collapsed="false">
      <c r="AA1504" s="7" t="n">
        <f aca="false">AA1503+1</f>
        <v>42410</v>
      </c>
      <c r="AB1504" s="14"/>
      <c r="AC1504" s="14"/>
      <c r="AD1504" s="14"/>
      <c r="AE1504" s="14"/>
      <c r="AF1504" s="14"/>
      <c r="AG1504" s="14"/>
      <c r="AH1504" s="14"/>
      <c r="AI1504" s="14"/>
      <c r="AJ1504" s="14"/>
      <c r="AK1504" s="14"/>
      <c r="AL1504" s="14"/>
      <c r="AM1504" s="14"/>
    </row>
    <row r="1505" customFormat="false" ht="13.8" hidden="false" customHeight="false" outlineLevel="0" collapsed="false">
      <c r="AA1505" s="7" t="n">
        <f aca="false">AA1504+1</f>
        <v>42411</v>
      </c>
      <c r="AB1505" s="14"/>
      <c r="AC1505" s="14"/>
      <c r="AD1505" s="14"/>
      <c r="AE1505" s="14"/>
      <c r="AF1505" s="14"/>
      <c r="AG1505" s="14"/>
      <c r="AH1505" s="14"/>
      <c r="AI1505" s="14"/>
      <c r="AJ1505" s="14"/>
      <c r="AK1505" s="14"/>
      <c r="AL1505" s="14"/>
      <c r="AM1505" s="14"/>
    </row>
    <row r="1506" customFormat="false" ht="13.8" hidden="false" customHeight="false" outlineLevel="0" collapsed="false">
      <c r="AA1506" s="7" t="n">
        <f aca="false">AA1505+1</f>
        <v>42412</v>
      </c>
      <c r="AB1506" s="14"/>
      <c r="AC1506" s="14"/>
      <c r="AD1506" s="14"/>
      <c r="AE1506" s="14"/>
      <c r="AF1506" s="14"/>
      <c r="AG1506" s="14"/>
      <c r="AH1506" s="14"/>
      <c r="AI1506" s="14"/>
      <c r="AJ1506" s="14"/>
      <c r="AK1506" s="14"/>
      <c r="AL1506" s="14"/>
      <c r="AM1506" s="14"/>
    </row>
    <row r="1507" customFormat="false" ht="13.8" hidden="false" customHeight="false" outlineLevel="0" collapsed="false">
      <c r="AA1507" s="7" t="n">
        <f aca="false">AA1506+1</f>
        <v>42413</v>
      </c>
      <c r="AB1507" s="14"/>
      <c r="AC1507" s="14"/>
      <c r="AD1507" s="14"/>
      <c r="AE1507" s="14"/>
      <c r="AF1507" s="14"/>
      <c r="AG1507" s="14"/>
      <c r="AH1507" s="14"/>
      <c r="AI1507" s="14"/>
      <c r="AJ1507" s="14"/>
      <c r="AK1507" s="14"/>
      <c r="AL1507" s="14"/>
      <c r="AM1507" s="14"/>
    </row>
    <row r="1508" customFormat="false" ht="13.8" hidden="false" customHeight="false" outlineLevel="0" collapsed="false">
      <c r="AA1508" s="7" t="n">
        <f aca="false">AA1507+1</f>
        <v>42414</v>
      </c>
      <c r="AB1508" s="14"/>
      <c r="AC1508" s="14"/>
      <c r="AD1508" s="14"/>
      <c r="AE1508" s="14"/>
      <c r="AF1508" s="14"/>
      <c r="AG1508" s="14"/>
      <c r="AH1508" s="14"/>
      <c r="AI1508" s="14"/>
      <c r="AJ1508" s="14"/>
      <c r="AK1508" s="14"/>
      <c r="AL1508" s="14"/>
      <c r="AM1508" s="14"/>
    </row>
    <row r="1509" customFormat="false" ht="13.8" hidden="false" customHeight="false" outlineLevel="0" collapsed="false">
      <c r="AA1509" s="7" t="n">
        <f aca="false">AA1508+1</f>
        <v>42415</v>
      </c>
      <c r="AB1509" s="14"/>
      <c r="AC1509" s="14"/>
      <c r="AD1509" s="14"/>
      <c r="AE1509" s="14"/>
      <c r="AF1509" s="14"/>
      <c r="AG1509" s="14"/>
      <c r="AH1509" s="14"/>
      <c r="AI1509" s="14"/>
      <c r="AJ1509" s="14"/>
      <c r="AK1509" s="14"/>
      <c r="AL1509" s="14"/>
      <c r="AM1509" s="14"/>
    </row>
    <row r="1510" customFormat="false" ht="13.8" hidden="false" customHeight="false" outlineLevel="0" collapsed="false">
      <c r="AA1510" s="7" t="n">
        <f aca="false">AA1509+1</f>
        <v>42416</v>
      </c>
      <c r="AB1510" s="14"/>
      <c r="AC1510" s="14"/>
      <c r="AD1510" s="14"/>
      <c r="AE1510" s="14"/>
      <c r="AF1510" s="14"/>
      <c r="AG1510" s="14"/>
      <c r="AH1510" s="14"/>
      <c r="AI1510" s="14"/>
      <c r="AJ1510" s="14"/>
      <c r="AK1510" s="14"/>
      <c r="AL1510" s="14"/>
      <c r="AM1510" s="14"/>
    </row>
    <row r="1511" customFormat="false" ht="13.8" hidden="false" customHeight="false" outlineLevel="0" collapsed="false">
      <c r="AA1511" s="7" t="n">
        <f aca="false">AA1510+1</f>
        <v>42417</v>
      </c>
      <c r="AB1511" s="14"/>
      <c r="AC1511" s="14"/>
      <c r="AD1511" s="14"/>
      <c r="AE1511" s="14"/>
      <c r="AF1511" s="14"/>
      <c r="AG1511" s="14"/>
      <c r="AH1511" s="14"/>
      <c r="AI1511" s="14"/>
      <c r="AJ1511" s="14"/>
      <c r="AK1511" s="14"/>
      <c r="AL1511" s="14"/>
      <c r="AM1511" s="14"/>
    </row>
    <row r="1512" customFormat="false" ht="13.8" hidden="false" customHeight="false" outlineLevel="0" collapsed="false">
      <c r="AA1512" s="7" t="n">
        <f aca="false">AA1511+1</f>
        <v>42418</v>
      </c>
      <c r="AB1512" s="14"/>
      <c r="AC1512" s="14"/>
      <c r="AD1512" s="14"/>
      <c r="AE1512" s="14"/>
      <c r="AF1512" s="14"/>
      <c r="AG1512" s="14"/>
      <c r="AH1512" s="14"/>
      <c r="AI1512" s="14"/>
      <c r="AJ1512" s="14"/>
      <c r="AK1512" s="14"/>
      <c r="AL1512" s="14"/>
      <c r="AM1512" s="14"/>
    </row>
    <row r="1513" customFormat="false" ht="13.8" hidden="false" customHeight="false" outlineLevel="0" collapsed="false">
      <c r="AA1513" s="7" t="n">
        <f aca="false">AA1512+1</f>
        <v>42419</v>
      </c>
      <c r="AB1513" s="14"/>
      <c r="AC1513" s="14"/>
      <c r="AD1513" s="14"/>
      <c r="AE1513" s="14"/>
      <c r="AF1513" s="14"/>
      <c r="AG1513" s="14"/>
      <c r="AH1513" s="14"/>
      <c r="AI1513" s="14"/>
      <c r="AJ1513" s="14"/>
      <c r="AK1513" s="14"/>
      <c r="AL1513" s="14"/>
      <c r="AM1513" s="14"/>
    </row>
    <row r="1514" customFormat="false" ht="13.8" hidden="false" customHeight="false" outlineLevel="0" collapsed="false">
      <c r="AA1514" s="7" t="n">
        <f aca="false">AA1513+1</f>
        <v>42420</v>
      </c>
      <c r="AB1514" s="14"/>
      <c r="AC1514" s="14"/>
      <c r="AD1514" s="14"/>
      <c r="AE1514" s="14"/>
      <c r="AF1514" s="14"/>
      <c r="AG1514" s="14"/>
      <c r="AH1514" s="14"/>
      <c r="AI1514" s="14"/>
      <c r="AJ1514" s="14"/>
      <c r="AK1514" s="14"/>
      <c r="AL1514" s="14"/>
      <c r="AM1514" s="14"/>
    </row>
    <row r="1515" customFormat="false" ht="13.8" hidden="false" customHeight="false" outlineLevel="0" collapsed="false">
      <c r="AA1515" s="7" t="n">
        <f aca="false">AA1514+1</f>
        <v>42421</v>
      </c>
      <c r="AB1515" s="14"/>
      <c r="AC1515" s="14"/>
      <c r="AD1515" s="14"/>
      <c r="AE1515" s="14"/>
      <c r="AF1515" s="14"/>
      <c r="AG1515" s="14"/>
      <c r="AH1515" s="14"/>
      <c r="AI1515" s="14"/>
      <c r="AJ1515" s="14"/>
      <c r="AK1515" s="14"/>
      <c r="AL1515" s="14"/>
      <c r="AM1515" s="14"/>
    </row>
    <row r="1516" customFormat="false" ht="13.8" hidden="false" customHeight="false" outlineLevel="0" collapsed="false">
      <c r="AA1516" s="7" t="n">
        <f aca="false">AA1515+1</f>
        <v>42422</v>
      </c>
      <c r="AB1516" s="14"/>
      <c r="AC1516" s="14"/>
      <c r="AD1516" s="14"/>
      <c r="AE1516" s="14"/>
      <c r="AF1516" s="14"/>
      <c r="AG1516" s="14"/>
      <c r="AH1516" s="14"/>
      <c r="AI1516" s="14"/>
      <c r="AJ1516" s="14"/>
      <c r="AK1516" s="14"/>
      <c r="AL1516" s="14"/>
      <c r="AM1516" s="14"/>
    </row>
    <row r="1517" customFormat="false" ht="13.8" hidden="false" customHeight="false" outlineLevel="0" collapsed="false">
      <c r="AA1517" s="7" t="n">
        <f aca="false">AA1516+1</f>
        <v>42423</v>
      </c>
      <c r="AB1517" s="14"/>
      <c r="AC1517" s="14"/>
      <c r="AD1517" s="14"/>
      <c r="AE1517" s="14"/>
      <c r="AF1517" s="14"/>
      <c r="AG1517" s="14"/>
      <c r="AH1517" s="14"/>
      <c r="AI1517" s="14"/>
      <c r="AJ1517" s="14"/>
      <c r="AK1517" s="14"/>
      <c r="AL1517" s="14"/>
      <c r="AM1517" s="14"/>
    </row>
    <row r="1518" customFormat="false" ht="13.8" hidden="false" customHeight="false" outlineLevel="0" collapsed="false">
      <c r="AA1518" s="7" t="n">
        <f aca="false">AA1517+1</f>
        <v>42424</v>
      </c>
      <c r="AB1518" s="14"/>
      <c r="AC1518" s="14"/>
      <c r="AD1518" s="14"/>
      <c r="AE1518" s="14"/>
      <c r="AF1518" s="14"/>
      <c r="AG1518" s="14"/>
      <c r="AH1518" s="14"/>
      <c r="AI1518" s="14"/>
      <c r="AJ1518" s="14"/>
      <c r="AK1518" s="14"/>
      <c r="AL1518" s="14"/>
      <c r="AM1518" s="14"/>
    </row>
    <row r="1519" customFormat="false" ht="13.8" hidden="false" customHeight="false" outlineLevel="0" collapsed="false">
      <c r="AA1519" s="7" t="n">
        <f aca="false">AA1518+1</f>
        <v>42425</v>
      </c>
      <c r="AB1519" s="14"/>
      <c r="AC1519" s="14"/>
      <c r="AD1519" s="14"/>
      <c r="AE1519" s="14"/>
      <c r="AF1519" s="14"/>
      <c r="AG1519" s="14"/>
      <c r="AH1519" s="14"/>
      <c r="AI1519" s="14"/>
      <c r="AJ1519" s="14"/>
      <c r="AK1519" s="14"/>
      <c r="AL1519" s="14"/>
      <c r="AM1519" s="14"/>
    </row>
    <row r="1520" customFormat="false" ht="13.8" hidden="false" customHeight="false" outlineLevel="0" collapsed="false">
      <c r="AA1520" s="7" t="n">
        <f aca="false">AA1519+1</f>
        <v>42426</v>
      </c>
      <c r="AB1520" s="14"/>
      <c r="AC1520" s="14"/>
      <c r="AD1520" s="14"/>
      <c r="AE1520" s="14"/>
      <c r="AF1520" s="14"/>
      <c r="AG1520" s="14"/>
      <c r="AH1520" s="14"/>
      <c r="AI1520" s="14"/>
      <c r="AJ1520" s="14"/>
      <c r="AK1520" s="14"/>
      <c r="AL1520" s="14"/>
      <c r="AM1520" s="14"/>
    </row>
    <row r="1521" customFormat="false" ht="13.8" hidden="false" customHeight="false" outlineLevel="0" collapsed="false">
      <c r="AA1521" s="7" t="n">
        <f aca="false">AA1520+1</f>
        <v>42427</v>
      </c>
      <c r="AB1521" s="14"/>
      <c r="AC1521" s="14"/>
      <c r="AD1521" s="14"/>
      <c r="AE1521" s="14"/>
      <c r="AF1521" s="14"/>
      <c r="AG1521" s="14"/>
      <c r="AH1521" s="14"/>
      <c r="AI1521" s="14"/>
      <c r="AJ1521" s="14"/>
      <c r="AK1521" s="14"/>
      <c r="AL1521" s="14"/>
      <c r="AM1521" s="14"/>
    </row>
    <row r="1522" customFormat="false" ht="13.8" hidden="false" customHeight="false" outlineLevel="0" collapsed="false">
      <c r="AA1522" s="7" t="n">
        <f aca="false">AA1521+1</f>
        <v>42428</v>
      </c>
      <c r="AB1522" s="14"/>
      <c r="AC1522" s="14"/>
      <c r="AD1522" s="14"/>
      <c r="AE1522" s="14"/>
      <c r="AF1522" s="14"/>
      <c r="AG1522" s="14"/>
      <c r="AH1522" s="14"/>
      <c r="AI1522" s="14"/>
      <c r="AJ1522" s="14"/>
      <c r="AK1522" s="14"/>
      <c r="AL1522" s="14"/>
      <c r="AM1522" s="14"/>
    </row>
    <row r="1523" customFormat="false" ht="13.8" hidden="false" customHeight="false" outlineLevel="0" collapsed="false">
      <c r="AA1523" s="7" t="n">
        <f aca="false">AA1522+1</f>
        <v>42429</v>
      </c>
      <c r="AB1523" s="14"/>
      <c r="AC1523" s="14"/>
      <c r="AD1523" s="14"/>
      <c r="AE1523" s="14"/>
      <c r="AF1523" s="14"/>
      <c r="AG1523" s="14"/>
      <c r="AH1523" s="14"/>
      <c r="AI1523" s="14"/>
      <c r="AJ1523" s="14"/>
      <c r="AK1523" s="14"/>
      <c r="AL1523" s="14"/>
      <c r="AM1523" s="14"/>
    </row>
    <row r="1524" customFormat="false" ht="13.8" hidden="false" customHeight="false" outlineLevel="0" collapsed="false">
      <c r="AA1524" s="7" t="n">
        <f aca="false">AA1523+1</f>
        <v>42430</v>
      </c>
      <c r="AB1524" s="14"/>
      <c r="AC1524" s="14"/>
      <c r="AD1524" s="14"/>
      <c r="AE1524" s="14"/>
      <c r="AF1524" s="14"/>
      <c r="AG1524" s="14"/>
      <c r="AH1524" s="14"/>
      <c r="AI1524" s="14"/>
      <c r="AJ1524" s="14"/>
      <c r="AK1524" s="14"/>
      <c r="AL1524" s="14"/>
      <c r="AM1524" s="14"/>
    </row>
    <row r="1525" customFormat="false" ht="13.8" hidden="false" customHeight="false" outlineLevel="0" collapsed="false">
      <c r="AA1525" s="7" t="n">
        <f aca="false">AA1524+1</f>
        <v>42431</v>
      </c>
      <c r="AB1525" s="14"/>
      <c r="AC1525" s="14"/>
      <c r="AD1525" s="14"/>
      <c r="AE1525" s="14"/>
      <c r="AF1525" s="14"/>
      <c r="AG1525" s="14"/>
      <c r="AH1525" s="14"/>
      <c r="AI1525" s="14"/>
      <c r="AJ1525" s="14"/>
      <c r="AK1525" s="14"/>
      <c r="AL1525" s="14"/>
      <c r="AM1525" s="14"/>
    </row>
    <row r="1526" customFormat="false" ht="13.8" hidden="false" customHeight="false" outlineLevel="0" collapsed="false">
      <c r="AA1526" s="7" t="n">
        <f aca="false">AA1525+1</f>
        <v>42432</v>
      </c>
      <c r="AB1526" s="14"/>
      <c r="AC1526" s="14"/>
      <c r="AD1526" s="14"/>
      <c r="AE1526" s="14"/>
      <c r="AF1526" s="14"/>
      <c r="AG1526" s="14"/>
      <c r="AH1526" s="14"/>
      <c r="AI1526" s="14"/>
      <c r="AJ1526" s="14"/>
      <c r="AK1526" s="14"/>
      <c r="AL1526" s="14"/>
      <c r="AM1526" s="14"/>
    </row>
    <row r="1527" customFormat="false" ht="13.8" hidden="false" customHeight="false" outlineLevel="0" collapsed="false">
      <c r="AA1527" s="7" t="n">
        <f aca="false">AA1526+1</f>
        <v>42433</v>
      </c>
      <c r="AB1527" s="14"/>
      <c r="AC1527" s="14"/>
      <c r="AD1527" s="14"/>
      <c r="AE1527" s="14"/>
      <c r="AF1527" s="14"/>
      <c r="AG1527" s="14"/>
      <c r="AH1527" s="14"/>
      <c r="AI1527" s="14"/>
      <c r="AJ1527" s="14"/>
      <c r="AK1527" s="14"/>
      <c r="AL1527" s="14"/>
      <c r="AM1527" s="14"/>
    </row>
    <row r="1528" customFormat="false" ht="13.8" hidden="false" customHeight="false" outlineLevel="0" collapsed="false">
      <c r="AA1528" s="7" t="n">
        <f aca="false">AA1527+1</f>
        <v>42434</v>
      </c>
      <c r="AB1528" s="14"/>
      <c r="AC1528" s="14"/>
      <c r="AD1528" s="14"/>
      <c r="AE1528" s="14"/>
      <c r="AF1528" s="14"/>
      <c r="AG1528" s="14"/>
      <c r="AH1528" s="14"/>
      <c r="AI1528" s="14"/>
      <c r="AJ1528" s="14"/>
      <c r="AK1528" s="14"/>
      <c r="AL1528" s="14"/>
      <c r="AM1528" s="14"/>
    </row>
    <row r="1529" customFormat="false" ht="13.8" hidden="false" customHeight="false" outlineLevel="0" collapsed="false">
      <c r="AA1529" s="7" t="n">
        <f aca="false">AA1528+1</f>
        <v>42435</v>
      </c>
      <c r="AB1529" s="14"/>
      <c r="AC1529" s="14"/>
      <c r="AD1529" s="14"/>
      <c r="AE1529" s="14"/>
      <c r="AF1529" s="14"/>
      <c r="AG1529" s="14"/>
      <c r="AH1529" s="14"/>
      <c r="AI1529" s="14"/>
      <c r="AJ1529" s="14"/>
      <c r="AK1529" s="14"/>
      <c r="AL1529" s="14"/>
      <c r="AM1529" s="14"/>
    </row>
    <row r="1530" customFormat="false" ht="13.8" hidden="false" customHeight="false" outlineLevel="0" collapsed="false">
      <c r="AA1530" s="7" t="n">
        <f aca="false">AA1529+1</f>
        <v>42436</v>
      </c>
      <c r="AB1530" s="14"/>
      <c r="AC1530" s="14"/>
      <c r="AD1530" s="14"/>
      <c r="AE1530" s="14"/>
      <c r="AF1530" s="14"/>
      <c r="AG1530" s="14"/>
      <c r="AH1530" s="14"/>
      <c r="AI1530" s="14"/>
      <c r="AJ1530" s="14"/>
      <c r="AK1530" s="14"/>
      <c r="AL1530" s="14"/>
      <c r="AM1530" s="14"/>
    </row>
    <row r="1531" customFormat="false" ht="13.8" hidden="false" customHeight="false" outlineLevel="0" collapsed="false">
      <c r="AA1531" s="7" t="n">
        <f aca="false">AA1530+1</f>
        <v>42437</v>
      </c>
      <c r="AB1531" s="14"/>
      <c r="AC1531" s="14"/>
      <c r="AD1531" s="14"/>
      <c r="AE1531" s="14"/>
      <c r="AF1531" s="14"/>
      <c r="AG1531" s="14"/>
      <c r="AH1531" s="14"/>
      <c r="AI1531" s="14"/>
      <c r="AJ1531" s="14"/>
      <c r="AK1531" s="14"/>
      <c r="AL1531" s="14"/>
      <c r="AM1531" s="14"/>
    </row>
    <row r="1532" customFormat="false" ht="13.8" hidden="false" customHeight="false" outlineLevel="0" collapsed="false">
      <c r="AA1532" s="7" t="n">
        <f aca="false">AA1531+1</f>
        <v>42438</v>
      </c>
      <c r="AB1532" s="14"/>
      <c r="AC1532" s="14"/>
      <c r="AD1532" s="14"/>
      <c r="AE1532" s="14"/>
      <c r="AF1532" s="14"/>
      <c r="AG1532" s="14"/>
      <c r="AH1532" s="14"/>
      <c r="AI1532" s="14"/>
      <c r="AJ1532" s="14"/>
      <c r="AK1532" s="14"/>
      <c r="AL1532" s="14"/>
      <c r="AM1532" s="14"/>
    </row>
    <row r="1533" customFormat="false" ht="13.8" hidden="false" customHeight="false" outlineLevel="0" collapsed="false">
      <c r="AA1533" s="7" t="n">
        <f aca="false">AA1532+1</f>
        <v>42439</v>
      </c>
      <c r="AB1533" s="14"/>
      <c r="AC1533" s="14"/>
      <c r="AD1533" s="14"/>
      <c r="AE1533" s="14"/>
      <c r="AF1533" s="14"/>
      <c r="AG1533" s="14"/>
      <c r="AH1533" s="14"/>
      <c r="AI1533" s="14"/>
      <c r="AJ1533" s="14"/>
      <c r="AK1533" s="14"/>
      <c r="AL1533" s="14"/>
      <c r="AM1533" s="14"/>
    </row>
    <row r="1534" customFormat="false" ht="13.8" hidden="false" customHeight="false" outlineLevel="0" collapsed="false">
      <c r="AA1534" s="7" t="n">
        <f aca="false">AA1533+1</f>
        <v>42440</v>
      </c>
      <c r="AB1534" s="14"/>
      <c r="AC1534" s="14"/>
      <c r="AD1534" s="14"/>
      <c r="AE1534" s="14"/>
      <c r="AF1534" s="14"/>
      <c r="AG1534" s="14"/>
      <c r="AH1534" s="14"/>
      <c r="AI1534" s="14"/>
      <c r="AJ1534" s="14"/>
      <c r="AK1534" s="14"/>
      <c r="AL1534" s="14"/>
      <c r="AM1534" s="14"/>
    </row>
    <row r="1535" customFormat="false" ht="13.8" hidden="false" customHeight="false" outlineLevel="0" collapsed="false">
      <c r="AA1535" s="7" t="n">
        <f aca="false">AA1534+1</f>
        <v>42441</v>
      </c>
      <c r="AB1535" s="14"/>
      <c r="AC1535" s="14"/>
      <c r="AD1535" s="14"/>
      <c r="AE1535" s="14"/>
      <c r="AF1535" s="14"/>
      <c r="AG1535" s="14"/>
      <c r="AH1535" s="14"/>
      <c r="AI1535" s="14"/>
      <c r="AJ1535" s="14"/>
      <c r="AK1535" s="14"/>
      <c r="AL1535" s="14"/>
      <c r="AM1535" s="14"/>
    </row>
    <row r="1536" customFormat="false" ht="13.8" hidden="false" customHeight="false" outlineLevel="0" collapsed="false">
      <c r="AA1536" s="7" t="n">
        <f aca="false">AA1535+1</f>
        <v>42442</v>
      </c>
      <c r="AB1536" s="14"/>
      <c r="AC1536" s="14"/>
      <c r="AD1536" s="14"/>
      <c r="AE1536" s="14"/>
      <c r="AF1536" s="14"/>
      <c r="AG1536" s="14"/>
      <c r="AH1536" s="14"/>
      <c r="AI1536" s="14"/>
      <c r="AJ1536" s="14"/>
      <c r="AK1536" s="14"/>
      <c r="AL1536" s="14"/>
      <c r="AM1536" s="14"/>
    </row>
    <row r="1537" customFormat="false" ht="13.8" hidden="false" customHeight="false" outlineLevel="0" collapsed="false">
      <c r="AA1537" s="7" t="n">
        <f aca="false">AA1536+1</f>
        <v>42443</v>
      </c>
      <c r="AB1537" s="14"/>
      <c r="AC1537" s="14"/>
      <c r="AD1537" s="14"/>
      <c r="AE1537" s="14"/>
      <c r="AF1537" s="14"/>
      <c r="AG1537" s="14"/>
      <c r="AH1537" s="14"/>
      <c r="AI1537" s="14"/>
      <c r="AJ1537" s="14"/>
      <c r="AK1537" s="14"/>
      <c r="AL1537" s="14"/>
      <c r="AM1537" s="14"/>
    </row>
    <row r="1538" customFormat="false" ht="13.8" hidden="false" customHeight="false" outlineLevel="0" collapsed="false">
      <c r="AA1538" s="7" t="n">
        <f aca="false">AA1537+1</f>
        <v>42444</v>
      </c>
      <c r="AB1538" s="14"/>
      <c r="AC1538" s="14"/>
      <c r="AD1538" s="14"/>
      <c r="AE1538" s="14"/>
      <c r="AF1538" s="14"/>
      <c r="AG1538" s="14"/>
      <c r="AH1538" s="14"/>
      <c r="AI1538" s="14"/>
      <c r="AJ1538" s="14"/>
      <c r="AK1538" s="14"/>
      <c r="AL1538" s="14"/>
      <c r="AM1538" s="14"/>
    </row>
    <row r="1539" customFormat="false" ht="13.8" hidden="false" customHeight="false" outlineLevel="0" collapsed="false">
      <c r="AA1539" s="7" t="n">
        <f aca="false">AA1538+1</f>
        <v>42445</v>
      </c>
      <c r="AB1539" s="14"/>
      <c r="AC1539" s="14"/>
      <c r="AD1539" s="14"/>
      <c r="AE1539" s="14"/>
      <c r="AF1539" s="14"/>
      <c r="AG1539" s="14"/>
      <c r="AH1539" s="14"/>
      <c r="AI1539" s="14"/>
      <c r="AJ1539" s="14"/>
      <c r="AK1539" s="14"/>
      <c r="AL1539" s="14"/>
      <c r="AM1539" s="14"/>
    </row>
    <row r="1540" customFormat="false" ht="13.8" hidden="false" customHeight="false" outlineLevel="0" collapsed="false">
      <c r="AA1540" s="7" t="n">
        <f aca="false">AA1539+1</f>
        <v>42446</v>
      </c>
      <c r="AB1540" s="14"/>
      <c r="AC1540" s="14"/>
      <c r="AD1540" s="14"/>
      <c r="AE1540" s="14"/>
      <c r="AF1540" s="14"/>
      <c r="AG1540" s="14"/>
      <c r="AH1540" s="14"/>
      <c r="AI1540" s="14"/>
      <c r="AJ1540" s="14"/>
      <c r="AK1540" s="14"/>
      <c r="AL1540" s="14"/>
      <c r="AM1540" s="14"/>
    </row>
    <row r="1541" customFormat="false" ht="13.8" hidden="false" customHeight="false" outlineLevel="0" collapsed="false">
      <c r="AA1541" s="7" t="n">
        <f aca="false">AA1540+1</f>
        <v>42447</v>
      </c>
      <c r="AB1541" s="14"/>
      <c r="AC1541" s="14"/>
      <c r="AD1541" s="14"/>
      <c r="AE1541" s="14"/>
      <c r="AF1541" s="14"/>
      <c r="AG1541" s="14"/>
      <c r="AH1541" s="14"/>
      <c r="AI1541" s="14"/>
      <c r="AJ1541" s="14"/>
      <c r="AK1541" s="14"/>
      <c r="AL1541" s="14"/>
      <c r="AM1541" s="14"/>
    </row>
    <row r="1542" customFormat="false" ht="13.8" hidden="false" customHeight="false" outlineLevel="0" collapsed="false">
      <c r="AA1542" s="7" t="n">
        <f aca="false">AA1541+1</f>
        <v>42448</v>
      </c>
      <c r="AB1542" s="14"/>
      <c r="AC1542" s="14"/>
      <c r="AD1542" s="14"/>
      <c r="AE1542" s="14"/>
      <c r="AF1542" s="14"/>
      <c r="AG1542" s="14"/>
      <c r="AH1542" s="14"/>
      <c r="AI1542" s="14"/>
      <c r="AJ1542" s="14"/>
      <c r="AK1542" s="14"/>
      <c r="AL1542" s="14"/>
      <c r="AM1542" s="14"/>
    </row>
    <row r="1543" customFormat="false" ht="13.8" hidden="false" customHeight="false" outlineLevel="0" collapsed="false">
      <c r="AA1543" s="7" t="n">
        <f aca="false">AA1542+1</f>
        <v>42449</v>
      </c>
      <c r="AB1543" s="14"/>
      <c r="AC1543" s="14"/>
      <c r="AD1543" s="14"/>
      <c r="AE1543" s="14"/>
      <c r="AF1543" s="14"/>
      <c r="AG1543" s="14"/>
      <c r="AH1543" s="14"/>
      <c r="AI1543" s="14"/>
      <c r="AJ1543" s="14"/>
      <c r="AK1543" s="14"/>
      <c r="AL1543" s="14"/>
      <c r="AM1543" s="14"/>
    </row>
    <row r="1544" customFormat="false" ht="13.8" hidden="false" customHeight="false" outlineLevel="0" collapsed="false">
      <c r="AA1544" s="7" t="n">
        <f aca="false">AA1543+1</f>
        <v>42450</v>
      </c>
      <c r="AB1544" s="14"/>
      <c r="AC1544" s="14"/>
      <c r="AD1544" s="14"/>
      <c r="AE1544" s="14"/>
      <c r="AF1544" s="14"/>
      <c r="AG1544" s="14"/>
      <c r="AH1544" s="14"/>
      <c r="AI1544" s="14"/>
      <c r="AJ1544" s="14"/>
      <c r="AK1544" s="14"/>
      <c r="AL1544" s="14"/>
      <c r="AM1544" s="14"/>
    </row>
    <row r="1545" customFormat="false" ht="13.8" hidden="false" customHeight="false" outlineLevel="0" collapsed="false">
      <c r="AA1545" s="7" t="n">
        <f aca="false">AA1544+1</f>
        <v>42451</v>
      </c>
      <c r="AB1545" s="14"/>
      <c r="AC1545" s="14"/>
      <c r="AD1545" s="14"/>
      <c r="AE1545" s="14"/>
      <c r="AF1545" s="14"/>
      <c r="AG1545" s="14"/>
      <c r="AH1545" s="14"/>
      <c r="AI1545" s="14"/>
      <c r="AJ1545" s="14"/>
      <c r="AK1545" s="14"/>
      <c r="AL1545" s="14"/>
      <c r="AM1545" s="14"/>
    </row>
    <row r="1546" customFormat="false" ht="13.8" hidden="false" customHeight="false" outlineLevel="0" collapsed="false">
      <c r="AA1546" s="7" t="n">
        <f aca="false">AA1545+1</f>
        <v>42452</v>
      </c>
      <c r="AB1546" s="14"/>
      <c r="AC1546" s="14"/>
      <c r="AD1546" s="14"/>
      <c r="AE1546" s="14"/>
      <c r="AF1546" s="14"/>
      <c r="AG1546" s="14"/>
      <c r="AH1546" s="14"/>
      <c r="AI1546" s="14"/>
      <c r="AJ1546" s="14"/>
      <c r="AK1546" s="14"/>
      <c r="AL1546" s="14"/>
      <c r="AM1546" s="14"/>
    </row>
    <row r="1547" customFormat="false" ht="13.8" hidden="false" customHeight="false" outlineLevel="0" collapsed="false">
      <c r="AA1547" s="7" t="n">
        <f aca="false">AA1546+1</f>
        <v>42453</v>
      </c>
      <c r="AB1547" s="14"/>
      <c r="AC1547" s="14"/>
      <c r="AD1547" s="14"/>
      <c r="AE1547" s="14"/>
      <c r="AF1547" s="14"/>
      <c r="AG1547" s="14"/>
      <c r="AH1547" s="14"/>
      <c r="AI1547" s="14"/>
      <c r="AJ1547" s="14"/>
      <c r="AK1547" s="14"/>
      <c r="AL1547" s="14"/>
      <c r="AM1547" s="14"/>
    </row>
    <row r="1548" customFormat="false" ht="13.8" hidden="false" customHeight="false" outlineLevel="0" collapsed="false">
      <c r="AA1548" s="7" t="n">
        <f aca="false">AA1547+1</f>
        <v>42454</v>
      </c>
      <c r="AB1548" s="14"/>
      <c r="AC1548" s="14"/>
      <c r="AD1548" s="14"/>
      <c r="AE1548" s="14"/>
      <c r="AF1548" s="14"/>
      <c r="AG1548" s="14"/>
      <c r="AH1548" s="14"/>
      <c r="AI1548" s="14"/>
      <c r="AJ1548" s="14"/>
      <c r="AK1548" s="14"/>
      <c r="AL1548" s="14"/>
      <c r="AM1548" s="14"/>
    </row>
    <row r="1549" customFormat="false" ht="13.8" hidden="false" customHeight="false" outlineLevel="0" collapsed="false">
      <c r="AA1549" s="7" t="n">
        <f aca="false">AA1548+1</f>
        <v>42455</v>
      </c>
      <c r="AB1549" s="14"/>
      <c r="AC1549" s="14"/>
      <c r="AD1549" s="14"/>
      <c r="AE1549" s="14"/>
      <c r="AF1549" s="14"/>
      <c r="AG1549" s="14"/>
      <c r="AH1549" s="14"/>
      <c r="AI1549" s="14"/>
      <c r="AJ1549" s="14"/>
      <c r="AK1549" s="14"/>
      <c r="AL1549" s="14"/>
      <c r="AM1549" s="14"/>
    </row>
    <row r="1550" customFormat="false" ht="13.8" hidden="false" customHeight="false" outlineLevel="0" collapsed="false">
      <c r="AA1550" s="7" t="n">
        <f aca="false">AA1549+1</f>
        <v>42456</v>
      </c>
      <c r="AB1550" s="14"/>
      <c r="AC1550" s="14"/>
      <c r="AD1550" s="14"/>
      <c r="AE1550" s="14"/>
      <c r="AF1550" s="14"/>
      <c r="AG1550" s="14"/>
      <c r="AH1550" s="14"/>
      <c r="AI1550" s="14"/>
      <c r="AJ1550" s="14"/>
      <c r="AK1550" s="14"/>
      <c r="AL1550" s="14"/>
      <c r="AM1550" s="14"/>
    </row>
    <row r="1551" customFormat="false" ht="13.8" hidden="false" customHeight="false" outlineLevel="0" collapsed="false">
      <c r="AA1551" s="7" t="n">
        <f aca="false">AA1550+1</f>
        <v>42457</v>
      </c>
      <c r="AB1551" s="14"/>
      <c r="AC1551" s="14"/>
      <c r="AD1551" s="14"/>
      <c r="AE1551" s="14"/>
      <c r="AF1551" s="14"/>
      <c r="AG1551" s="14"/>
      <c r="AH1551" s="14"/>
      <c r="AI1551" s="14"/>
      <c r="AJ1551" s="14"/>
      <c r="AK1551" s="14"/>
      <c r="AL1551" s="14"/>
      <c r="AM1551" s="14"/>
    </row>
    <row r="1552" customFormat="false" ht="13.8" hidden="false" customHeight="false" outlineLevel="0" collapsed="false">
      <c r="AA1552" s="7" t="n">
        <f aca="false">AA1551+1</f>
        <v>42458</v>
      </c>
      <c r="AB1552" s="14"/>
      <c r="AC1552" s="14"/>
      <c r="AD1552" s="14"/>
      <c r="AE1552" s="14"/>
      <c r="AF1552" s="14"/>
      <c r="AG1552" s="14"/>
      <c r="AH1552" s="14"/>
      <c r="AI1552" s="14"/>
      <c r="AJ1552" s="14"/>
      <c r="AK1552" s="14"/>
      <c r="AL1552" s="14"/>
      <c r="AM1552" s="14"/>
    </row>
    <row r="1553" customFormat="false" ht="13.8" hidden="false" customHeight="false" outlineLevel="0" collapsed="false">
      <c r="AA1553" s="7" t="n">
        <f aca="false">AA1552+1</f>
        <v>42459</v>
      </c>
      <c r="AB1553" s="14"/>
      <c r="AC1553" s="14"/>
      <c r="AD1553" s="14"/>
      <c r="AE1553" s="14"/>
      <c r="AF1553" s="14"/>
      <c r="AG1553" s="14"/>
      <c r="AH1553" s="14"/>
      <c r="AI1553" s="14"/>
      <c r="AJ1553" s="14"/>
      <c r="AK1553" s="14"/>
      <c r="AL1553" s="14"/>
      <c r="AM1553" s="14"/>
    </row>
    <row r="1554" customFormat="false" ht="13.8" hidden="false" customHeight="false" outlineLevel="0" collapsed="false">
      <c r="AA1554" s="7" t="n">
        <f aca="false">AA1553+1</f>
        <v>42460</v>
      </c>
      <c r="AB1554" s="14"/>
      <c r="AC1554" s="14"/>
      <c r="AD1554" s="14"/>
      <c r="AE1554" s="14"/>
      <c r="AF1554" s="14"/>
      <c r="AG1554" s="14"/>
      <c r="AH1554" s="14"/>
      <c r="AI1554" s="14"/>
      <c r="AJ1554" s="14"/>
      <c r="AK1554" s="14"/>
      <c r="AL1554" s="14"/>
      <c r="AM1554" s="14"/>
    </row>
    <row r="1555" customFormat="false" ht="13.8" hidden="false" customHeight="false" outlineLevel="0" collapsed="false">
      <c r="AA1555" s="7" t="n">
        <f aca="false">AA1554+1</f>
        <v>42461</v>
      </c>
      <c r="AB1555" s="14"/>
      <c r="AC1555" s="14"/>
      <c r="AD1555" s="14"/>
      <c r="AE1555" s="14"/>
      <c r="AF1555" s="14"/>
      <c r="AG1555" s="14"/>
      <c r="AH1555" s="14"/>
      <c r="AI1555" s="14"/>
      <c r="AJ1555" s="14"/>
      <c r="AK1555" s="14"/>
      <c r="AL1555" s="14"/>
      <c r="AM1555" s="14"/>
    </row>
    <row r="1556" customFormat="false" ht="13.8" hidden="false" customHeight="false" outlineLevel="0" collapsed="false">
      <c r="AA1556" s="7" t="n">
        <f aca="false">AA1555+1</f>
        <v>42462</v>
      </c>
      <c r="AB1556" s="14"/>
      <c r="AC1556" s="14"/>
      <c r="AD1556" s="14"/>
      <c r="AE1556" s="14"/>
      <c r="AF1556" s="14"/>
      <c r="AG1556" s="14"/>
      <c r="AH1556" s="14"/>
      <c r="AI1556" s="14"/>
      <c r="AJ1556" s="14"/>
      <c r="AK1556" s="14"/>
      <c r="AL1556" s="14"/>
      <c r="AM1556" s="14"/>
    </row>
    <row r="1557" customFormat="false" ht="13.8" hidden="false" customHeight="false" outlineLevel="0" collapsed="false">
      <c r="AA1557" s="7" t="n">
        <f aca="false">AA1556+1</f>
        <v>42463</v>
      </c>
      <c r="AB1557" s="14"/>
      <c r="AC1557" s="14"/>
      <c r="AD1557" s="14"/>
      <c r="AE1557" s="14"/>
      <c r="AF1557" s="14"/>
      <c r="AG1557" s="14"/>
      <c r="AH1557" s="14"/>
      <c r="AI1557" s="14"/>
      <c r="AJ1557" s="14"/>
      <c r="AK1557" s="14"/>
      <c r="AL1557" s="14"/>
      <c r="AM1557" s="14"/>
    </row>
    <row r="1558" customFormat="false" ht="13.8" hidden="false" customHeight="false" outlineLevel="0" collapsed="false">
      <c r="AA1558" s="7" t="n">
        <f aca="false">AA1557+1</f>
        <v>42464</v>
      </c>
      <c r="AB1558" s="14"/>
      <c r="AC1558" s="14"/>
      <c r="AD1558" s="14"/>
      <c r="AE1558" s="14"/>
      <c r="AF1558" s="14"/>
      <c r="AG1558" s="14"/>
      <c r="AH1558" s="14"/>
      <c r="AI1558" s="14"/>
      <c r="AJ1558" s="14"/>
      <c r="AK1558" s="14"/>
      <c r="AL1558" s="14"/>
      <c r="AM1558" s="14"/>
    </row>
    <row r="1559" customFormat="false" ht="13.8" hidden="false" customHeight="false" outlineLevel="0" collapsed="false">
      <c r="AA1559" s="7" t="n">
        <f aca="false">AA1558+1</f>
        <v>42465</v>
      </c>
      <c r="AB1559" s="14"/>
      <c r="AC1559" s="14"/>
      <c r="AD1559" s="14"/>
      <c r="AE1559" s="14"/>
      <c r="AF1559" s="14"/>
      <c r="AG1559" s="14"/>
      <c r="AH1559" s="14"/>
      <c r="AI1559" s="14"/>
      <c r="AJ1559" s="14"/>
      <c r="AK1559" s="14"/>
      <c r="AL1559" s="14"/>
      <c r="AM1559" s="14"/>
    </row>
    <row r="1560" customFormat="false" ht="13.8" hidden="false" customHeight="false" outlineLevel="0" collapsed="false">
      <c r="AA1560" s="7" t="n">
        <f aca="false">AA1559+1</f>
        <v>42466</v>
      </c>
      <c r="AB1560" s="14"/>
      <c r="AC1560" s="14"/>
      <c r="AD1560" s="14"/>
      <c r="AE1560" s="14"/>
      <c r="AF1560" s="14"/>
      <c r="AG1560" s="14"/>
      <c r="AH1560" s="14"/>
      <c r="AI1560" s="14"/>
      <c r="AJ1560" s="14"/>
      <c r="AK1560" s="14"/>
      <c r="AL1560" s="14"/>
      <c r="AM1560" s="14"/>
    </row>
    <row r="1561" customFormat="false" ht="13.8" hidden="false" customHeight="false" outlineLevel="0" collapsed="false">
      <c r="AA1561" s="7" t="n">
        <f aca="false">AA1560+1</f>
        <v>42467</v>
      </c>
      <c r="AB1561" s="14"/>
      <c r="AC1561" s="14"/>
      <c r="AD1561" s="14"/>
      <c r="AE1561" s="14"/>
      <c r="AF1561" s="14"/>
      <c r="AG1561" s="14"/>
      <c r="AH1561" s="14"/>
      <c r="AI1561" s="14"/>
      <c r="AJ1561" s="14"/>
      <c r="AK1561" s="14"/>
      <c r="AL1561" s="14"/>
      <c r="AM1561" s="14"/>
    </row>
    <row r="1562" customFormat="false" ht="13.8" hidden="false" customHeight="false" outlineLevel="0" collapsed="false">
      <c r="AA1562" s="7" t="n">
        <f aca="false">AA1561+1</f>
        <v>42468</v>
      </c>
      <c r="AB1562" s="14"/>
      <c r="AC1562" s="14"/>
      <c r="AD1562" s="14"/>
      <c r="AE1562" s="14"/>
      <c r="AF1562" s="14"/>
      <c r="AG1562" s="14"/>
      <c r="AH1562" s="14"/>
      <c r="AI1562" s="14"/>
      <c r="AJ1562" s="14"/>
      <c r="AK1562" s="14"/>
      <c r="AL1562" s="14"/>
      <c r="AM1562" s="14"/>
    </row>
    <row r="1563" customFormat="false" ht="13.8" hidden="false" customHeight="false" outlineLevel="0" collapsed="false">
      <c r="AA1563" s="7" t="n">
        <f aca="false">AA1562+1</f>
        <v>42469</v>
      </c>
      <c r="AB1563" s="14"/>
      <c r="AC1563" s="14"/>
      <c r="AD1563" s="14"/>
      <c r="AE1563" s="14"/>
      <c r="AF1563" s="14"/>
      <c r="AG1563" s="14"/>
      <c r="AH1563" s="14"/>
      <c r="AI1563" s="14"/>
      <c r="AJ1563" s="14"/>
      <c r="AK1563" s="14"/>
      <c r="AL1563" s="14"/>
      <c r="AM1563" s="14"/>
    </row>
    <row r="1564" customFormat="false" ht="13.8" hidden="false" customHeight="false" outlineLevel="0" collapsed="false">
      <c r="AA1564" s="7" t="n">
        <f aca="false">AA1563+1</f>
        <v>42470</v>
      </c>
      <c r="AB1564" s="14"/>
      <c r="AC1564" s="14"/>
      <c r="AD1564" s="14"/>
      <c r="AE1564" s="14"/>
      <c r="AF1564" s="14"/>
      <c r="AG1564" s="14"/>
      <c r="AH1564" s="14"/>
      <c r="AI1564" s="14"/>
      <c r="AJ1564" s="14"/>
      <c r="AK1564" s="14"/>
      <c r="AL1564" s="14"/>
      <c r="AM1564" s="14"/>
    </row>
    <row r="1565" customFormat="false" ht="13.8" hidden="false" customHeight="false" outlineLevel="0" collapsed="false">
      <c r="AA1565" s="7" t="n">
        <f aca="false">AA1564+1</f>
        <v>42471</v>
      </c>
      <c r="AB1565" s="14"/>
      <c r="AC1565" s="14"/>
      <c r="AD1565" s="14"/>
      <c r="AE1565" s="14"/>
      <c r="AF1565" s="14"/>
      <c r="AG1565" s="14"/>
      <c r="AH1565" s="14"/>
      <c r="AI1565" s="14"/>
      <c r="AJ1565" s="14"/>
      <c r="AK1565" s="14"/>
      <c r="AL1565" s="14"/>
      <c r="AM1565" s="14"/>
    </row>
    <row r="1566" customFormat="false" ht="13.8" hidden="false" customHeight="false" outlineLevel="0" collapsed="false">
      <c r="AA1566" s="7" t="n">
        <f aca="false">AA1565+1</f>
        <v>42472</v>
      </c>
      <c r="AB1566" s="14"/>
      <c r="AC1566" s="14"/>
      <c r="AD1566" s="14"/>
      <c r="AE1566" s="14"/>
      <c r="AF1566" s="14"/>
      <c r="AG1566" s="14"/>
      <c r="AH1566" s="14"/>
      <c r="AI1566" s="14"/>
      <c r="AJ1566" s="14"/>
      <c r="AK1566" s="14"/>
      <c r="AL1566" s="14"/>
      <c r="AM1566" s="14"/>
    </row>
    <row r="1567" customFormat="false" ht="13.8" hidden="false" customHeight="false" outlineLevel="0" collapsed="false">
      <c r="AA1567" s="7" t="n">
        <f aca="false">AA1566+1</f>
        <v>42473</v>
      </c>
      <c r="AB1567" s="14"/>
      <c r="AC1567" s="14"/>
      <c r="AD1567" s="14"/>
      <c r="AE1567" s="14"/>
      <c r="AF1567" s="14"/>
      <c r="AG1567" s="14"/>
      <c r="AH1567" s="14"/>
      <c r="AI1567" s="14"/>
      <c r="AJ1567" s="14"/>
      <c r="AK1567" s="14"/>
      <c r="AL1567" s="14"/>
      <c r="AM1567" s="14"/>
    </row>
    <row r="1568" customFormat="false" ht="13.8" hidden="false" customHeight="false" outlineLevel="0" collapsed="false">
      <c r="AA1568" s="7" t="n">
        <f aca="false">AA1567+1</f>
        <v>42474</v>
      </c>
      <c r="AB1568" s="14"/>
      <c r="AC1568" s="14"/>
      <c r="AD1568" s="14"/>
      <c r="AE1568" s="14"/>
      <c r="AF1568" s="14"/>
      <c r="AG1568" s="14"/>
      <c r="AH1568" s="14"/>
      <c r="AI1568" s="14"/>
      <c r="AJ1568" s="14"/>
      <c r="AK1568" s="14"/>
      <c r="AL1568" s="14"/>
      <c r="AM1568" s="14"/>
    </row>
    <row r="1569" customFormat="false" ht="13.8" hidden="false" customHeight="false" outlineLevel="0" collapsed="false">
      <c r="AA1569" s="7" t="n">
        <f aca="false">AA1568+1</f>
        <v>42475</v>
      </c>
      <c r="AB1569" s="14"/>
      <c r="AC1569" s="14"/>
      <c r="AD1569" s="14"/>
      <c r="AE1569" s="14"/>
      <c r="AF1569" s="14"/>
      <c r="AG1569" s="14"/>
      <c r="AH1569" s="14"/>
      <c r="AI1569" s="14"/>
      <c r="AJ1569" s="14"/>
      <c r="AK1569" s="14"/>
      <c r="AL1569" s="14"/>
      <c r="AM1569" s="14"/>
    </row>
    <row r="1570" customFormat="false" ht="13.8" hidden="false" customHeight="false" outlineLevel="0" collapsed="false">
      <c r="AA1570" s="7" t="n">
        <f aca="false">AA1569+1</f>
        <v>42476</v>
      </c>
      <c r="AB1570" s="14"/>
      <c r="AC1570" s="14"/>
      <c r="AD1570" s="14"/>
      <c r="AE1570" s="14"/>
      <c r="AF1570" s="14"/>
      <c r="AG1570" s="14"/>
      <c r="AH1570" s="14"/>
      <c r="AI1570" s="14"/>
      <c r="AJ1570" s="14"/>
      <c r="AK1570" s="14"/>
      <c r="AL1570" s="14"/>
      <c r="AM1570" s="14"/>
    </row>
    <row r="1571" customFormat="false" ht="13.8" hidden="false" customHeight="false" outlineLevel="0" collapsed="false">
      <c r="AA1571" s="7" t="n">
        <f aca="false">AA1570+1</f>
        <v>42477</v>
      </c>
      <c r="AB1571" s="14"/>
      <c r="AC1571" s="14"/>
      <c r="AD1571" s="14"/>
      <c r="AE1571" s="14"/>
      <c r="AF1571" s="14"/>
      <c r="AG1571" s="14"/>
      <c r="AH1571" s="14"/>
      <c r="AI1571" s="14"/>
      <c r="AJ1571" s="14"/>
      <c r="AK1571" s="14"/>
      <c r="AL1571" s="14"/>
      <c r="AM1571" s="14"/>
    </row>
    <row r="1572" customFormat="false" ht="13.8" hidden="false" customHeight="false" outlineLevel="0" collapsed="false">
      <c r="AA1572" s="7" t="n">
        <f aca="false">AA1571+1</f>
        <v>42478</v>
      </c>
      <c r="AB1572" s="14"/>
      <c r="AC1572" s="14"/>
      <c r="AD1572" s="14"/>
      <c r="AE1572" s="14"/>
      <c r="AF1572" s="14"/>
      <c r="AG1572" s="14"/>
      <c r="AH1572" s="14"/>
      <c r="AI1572" s="14"/>
      <c r="AJ1572" s="14"/>
      <c r="AK1572" s="14"/>
      <c r="AL1572" s="14"/>
      <c r="AM1572" s="14"/>
    </row>
    <row r="1573" customFormat="false" ht="13.8" hidden="false" customHeight="false" outlineLevel="0" collapsed="false">
      <c r="AA1573" s="7" t="n">
        <f aca="false">AA1572+1</f>
        <v>42479</v>
      </c>
      <c r="AB1573" s="14"/>
      <c r="AC1573" s="14"/>
      <c r="AD1573" s="14"/>
      <c r="AE1573" s="14"/>
      <c r="AF1573" s="14"/>
      <c r="AG1573" s="14"/>
      <c r="AH1573" s="14"/>
      <c r="AI1573" s="14"/>
      <c r="AJ1573" s="14"/>
      <c r="AK1573" s="14"/>
      <c r="AL1573" s="14"/>
      <c r="AM1573" s="14"/>
    </row>
    <row r="1574" customFormat="false" ht="13.8" hidden="false" customHeight="false" outlineLevel="0" collapsed="false">
      <c r="AA1574" s="7" t="n">
        <f aca="false">AA1573+1</f>
        <v>42480</v>
      </c>
      <c r="AB1574" s="14"/>
      <c r="AC1574" s="14"/>
      <c r="AD1574" s="14"/>
      <c r="AE1574" s="14"/>
      <c r="AF1574" s="14"/>
      <c r="AG1574" s="14"/>
      <c r="AH1574" s="14"/>
      <c r="AI1574" s="14"/>
      <c r="AJ1574" s="14"/>
      <c r="AK1574" s="14"/>
      <c r="AL1574" s="14"/>
      <c r="AM1574" s="14"/>
    </row>
    <row r="1575" customFormat="false" ht="13.8" hidden="false" customHeight="false" outlineLevel="0" collapsed="false">
      <c r="AA1575" s="7" t="n">
        <f aca="false">AA1574+1</f>
        <v>42481</v>
      </c>
      <c r="AB1575" s="14"/>
      <c r="AC1575" s="14"/>
      <c r="AD1575" s="14"/>
      <c r="AE1575" s="14"/>
      <c r="AF1575" s="14"/>
      <c r="AG1575" s="14"/>
      <c r="AH1575" s="14"/>
      <c r="AI1575" s="14"/>
      <c r="AJ1575" s="14"/>
      <c r="AK1575" s="14"/>
      <c r="AL1575" s="14"/>
      <c r="AM1575" s="14"/>
    </row>
    <row r="1576" customFormat="false" ht="13.8" hidden="false" customHeight="false" outlineLevel="0" collapsed="false">
      <c r="AA1576" s="7" t="n">
        <f aca="false">AA1575+1</f>
        <v>42482</v>
      </c>
      <c r="AB1576" s="14"/>
      <c r="AC1576" s="14"/>
      <c r="AD1576" s="14"/>
      <c r="AE1576" s="14"/>
      <c r="AF1576" s="14"/>
      <c r="AG1576" s="14"/>
      <c r="AH1576" s="14"/>
      <c r="AI1576" s="14"/>
      <c r="AJ1576" s="14"/>
      <c r="AK1576" s="14"/>
      <c r="AL1576" s="14"/>
      <c r="AM1576" s="14"/>
    </row>
    <row r="1577" customFormat="false" ht="13.8" hidden="false" customHeight="false" outlineLevel="0" collapsed="false">
      <c r="AA1577" s="7" t="n">
        <f aca="false">AA1576+1</f>
        <v>42483</v>
      </c>
      <c r="AB1577" s="14"/>
      <c r="AC1577" s="14"/>
      <c r="AD1577" s="14"/>
      <c r="AE1577" s="14"/>
      <c r="AF1577" s="14"/>
      <c r="AG1577" s="14"/>
      <c r="AH1577" s="14"/>
      <c r="AI1577" s="14"/>
      <c r="AJ1577" s="14"/>
      <c r="AK1577" s="14"/>
      <c r="AL1577" s="14"/>
      <c r="AM1577" s="14"/>
    </row>
    <row r="1578" customFormat="false" ht="13.8" hidden="false" customHeight="false" outlineLevel="0" collapsed="false">
      <c r="AA1578" s="7" t="n">
        <f aca="false">AA1577+1</f>
        <v>42484</v>
      </c>
      <c r="AB1578" s="14"/>
      <c r="AC1578" s="14"/>
      <c r="AD1578" s="14"/>
      <c r="AE1578" s="14"/>
      <c r="AF1578" s="14"/>
      <c r="AG1578" s="14"/>
      <c r="AH1578" s="14"/>
      <c r="AI1578" s="14"/>
      <c r="AJ1578" s="14"/>
      <c r="AK1578" s="14"/>
      <c r="AL1578" s="14"/>
      <c r="AM1578" s="14"/>
    </row>
    <row r="1579" customFormat="false" ht="13.8" hidden="false" customHeight="false" outlineLevel="0" collapsed="false">
      <c r="AA1579" s="7" t="n">
        <f aca="false">AA1578+1</f>
        <v>42485</v>
      </c>
      <c r="AB1579" s="14"/>
      <c r="AC1579" s="14"/>
      <c r="AD1579" s="14"/>
      <c r="AE1579" s="14"/>
      <c r="AF1579" s="14"/>
      <c r="AG1579" s="14"/>
      <c r="AH1579" s="14"/>
      <c r="AI1579" s="14"/>
      <c r="AJ1579" s="14"/>
      <c r="AK1579" s="14"/>
      <c r="AL1579" s="14"/>
      <c r="AM1579" s="14"/>
    </row>
    <row r="1580" customFormat="false" ht="13.8" hidden="false" customHeight="false" outlineLevel="0" collapsed="false">
      <c r="AA1580" s="7" t="n">
        <f aca="false">AA1579+1</f>
        <v>42486</v>
      </c>
      <c r="AB1580" s="14"/>
      <c r="AC1580" s="14"/>
      <c r="AD1580" s="14"/>
      <c r="AE1580" s="14"/>
      <c r="AF1580" s="14"/>
      <c r="AG1580" s="14"/>
      <c r="AH1580" s="14"/>
      <c r="AI1580" s="14"/>
      <c r="AJ1580" s="14"/>
      <c r="AK1580" s="14"/>
      <c r="AL1580" s="14"/>
      <c r="AM1580" s="14"/>
    </row>
    <row r="1581" customFormat="false" ht="13.8" hidden="false" customHeight="false" outlineLevel="0" collapsed="false">
      <c r="AA1581" s="7" t="n">
        <f aca="false">AA1580+1</f>
        <v>42487</v>
      </c>
      <c r="AB1581" s="14"/>
      <c r="AC1581" s="14"/>
      <c r="AD1581" s="14"/>
      <c r="AE1581" s="14"/>
      <c r="AF1581" s="14"/>
      <c r="AG1581" s="14"/>
      <c r="AH1581" s="14"/>
      <c r="AI1581" s="14"/>
      <c r="AJ1581" s="14"/>
      <c r="AK1581" s="14"/>
      <c r="AL1581" s="14"/>
      <c r="AM1581" s="14"/>
    </row>
    <row r="1582" customFormat="false" ht="13.8" hidden="false" customHeight="false" outlineLevel="0" collapsed="false">
      <c r="AA1582" s="7" t="n">
        <f aca="false">AA1581+1</f>
        <v>42488</v>
      </c>
      <c r="AB1582" s="14"/>
      <c r="AC1582" s="14"/>
      <c r="AD1582" s="14"/>
      <c r="AE1582" s="14"/>
      <c r="AF1582" s="14"/>
      <c r="AG1582" s="14"/>
      <c r="AH1582" s="14"/>
      <c r="AI1582" s="14"/>
      <c r="AJ1582" s="14"/>
      <c r="AK1582" s="14"/>
      <c r="AL1582" s="14"/>
      <c r="AM1582" s="14"/>
    </row>
    <row r="1583" customFormat="false" ht="13.8" hidden="false" customHeight="false" outlineLevel="0" collapsed="false">
      <c r="AA1583" s="7" t="n">
        <f aca="false">AA1582+1</f>
        <v>42489</v>
      </c>
      <c r="AB1583" s="14"/>
      <c r="AC1583" s="14"/>
      <c r="AD1583" s="14"/>
      <c r="AE1583" s="14"/>
      <c r="AF1583" s="14"/>
      <c r="AG1583" s="14"/>
      <c r="AH1583" s="14"/>
      <c r="AI1583" s="14"/>
      <c r="AJ1583" s="14"/>
      <c r="AK1583" s="14"/>
      <c r="AL1583" s="14"/>
      <c r="AM1583" s="14"/>
    </row>
    <row r="1584" customFormat="false" ht="13.8" hidden="false" customHeight="false" outlineLevel="0" collapsed="false">
      <c r="AA1584" s="7" t="n">
        <f aca="false">AA1583+1</f>
        <v>42490</v>
      </c>
      <c r="AB1584" s="14"/>
      <c r="AC1584" s="14"/>
      <c r="AD1584" s="14"/>
      <c r="AE1584" s="14"/>
      <c r="AF1584" s="14"/>
      <c r="AG1584" s="14"/>
      <c r="AH1584" s="14"/>
      <c r="AI1584" s="14"/>
      <c r="AJ1584" s="14"/>
      <c r="AK1584" s="14"/>
      <c r="AL1584" s="14"/>
      <c r="AM1584" s="14"/>
    </row>
    <row r="1585" customFormat="false" ht="13.8" hidden="false" customHeight="false" outlineLevel="0" collapsed="false">
      <c r="AA1585" s="7" t="n">
        <f aca="false">AA1584+1</f>
        <v>42491</v>
      </c>
      <c r="AB1585" s="14"/>
      <c r="AC1585" s="14"/>
      <c r="AD1585" s="14"/>
      <c r="AE1585" s="14"/>
      <c r="AF1585" s="14"/>
      <c r="AG1585" s="14"/>
      <c r="AH1585" s="14"/>
      <c r="AI1585" s="14"/>
      <c r="AJ1585" s="14"/>
      <c r="AK1585" s="14"/>
      <c r="AL1585" s="14"/>
      <c r="AM1585" s="14"/>
    </row>
    <row r="1586" customFormat="false" ht="13.8" hidden="false" customHeight="false" outlineLevel="0" collapsed="false">
      <c r="AA1586" s="7" t="n">
        <f aca="false">AA1585+1</f>
        <v>42492</v>
      </c>
      <c r="AB1586" s="14"/>
      <c r="AC1586" s="14"/>
      <c r="AD1586" s="14"/>
      <c r="AE1586" s="14"/>
      <c r="AF1586" s="14"/>
      <c r="AG1586" s="14"/>
      <c r="AH1586" s="14"/>
      <c r="AI1586" s="14"/>
      <c r="AJ1586" s="14"/>
      <c r="AK1586" s="14"/>
      <c r="AL1586" s="14"/>
      <c r="AM1586" s="14"/>
    </row>
    <row r="1587" customFormat="false" ht="13.8" hidden="false" customHeight="false" outlineLevel="0" collapsed="false">
      <c r="AA1587" s="7" t="n">
        <f aca="false">AA1586+1</f>
        <v>42493</v>
      </c>
      <c r="AB1587" s="14"/>
      <c r="AC1587" s="14"/>
      <c r="AD1587" s="14"/>
      <c r="AE1587" s="14"/>
      <c r="AF1587" s="14"/>
      <c r="AG1587" s="14"/>
      <c r="AH1587" s="14"/>
      <c r="AI1587" s="14"/>
      <c r="AJ1587" s="14"/>
      <c r="AK1587" s="14"/>
      <c r="AL1587" s="14"/>
      <c r="AM1587" s="14"/>
    </row>
    <row r="1588" customFormat="false" ht="13.8" hidden="false" customHeight="false" outlineLevel="0" collapsed="false">
      <c r="AA1588" s="7" t="n">
        <f aca="false">AA1587+1</f>
        <v>42494</v>
      </c>
      <c r="AB1588" s="14"/>
      <c r="AC1588" s="14"/>
      <c r="AD1588" s="14"/>
      <c r="AE1588" s="14"/>
      <c r="AF1588" s="14"/>
      <c r="AG1588" s="14"/>
      <c r="AH1588" s="14"/>
      <c r="AI1588" s="14"/>
      <c r="AJ1588" s="14"/>
      <c r="AK1588" s="14"/>
      <c r="AL1588" s="14"/>
      <c r="AM1588" s="14"/>
    </row>
    <row r="1589" customFormat="false" ht="13.8" hidden="false" customHeight="false" outlineLevel="0" collapsed="false">
      <c r="AA1589" s="7" t="n">
        <f aca="false">AA1588+1</f>
        <v>42495</v>
      </c>
      <c r="AB1589" s="14"/>
      <c r="AC1589" s="14"/>
      <c r="AD1589" s="14"/>
      <c r="AE1589" s="14"/>
      <c r="AF1589" s="14"/>
      <c r="AG1589" s="14"/>
      <c r="AH1589" s="14"/>
      <c r="AI1589" s="14"/>
      <c r="AJ1589" s="14"/>
      <c r="AK1589" s="14"/>
      <c r="AL1589" s="14"/>
      <c r="AM1589" s="14"/>
    </row>
    <row r="1590" customFormat="false" ht="13.8" hidden="false" customHeight="false" outlineLevel="0" collapsed="false">
      <c r="AA1590" s="7" t="n">
        <f aca="false">AA1589+1</f>
        <v>42496</v>
      </c>
      <c r="AB1590" s="14"/>
      <c r="AC1590" s="14"/>
      <c r="AD1590" s="14"/>
      <c r="AE1590" s="14"/>
      <c r="AF1590" s="14"/>
      <c r="AG1590" s="14"/>
      <c r="AH1590" s="14"/>
      <c r="AI1590" s="14"/>
      <c r="AJ1590" s="14"/>
      <c r="AK1590" s="14"/>
      <c r="AL1590" s="14"/>
      <c r="AM1590" s="14"/>
    </row>
    <row r="1591" customFormat="false" ht="13.8" hidden="false" customHeight="false" outlineLevel="0" collapsed="false">
      <c r="AA1591" s="7" t="n">
        <f aca="false">AA1590+1</f>
        <v>42497</v>
      </c>
      <c r="AB1591" s="14"/>
      <c r="AC1591" s="14"/>
      <c r="AD1591" s="14"/>
      <c r="AE1591" s="14"/>
      <c r="AF1591" s="14"/>
      <c r="AG1591" s="14"/>
      <c r="AH1591" s="14"/>
      <c r="AI1591" s="14"/>
      <c r="AJ1591" s="14"/>
      <c r="AK1591" s="14"/>
      <c r="AL1591" s="14"/>
      <c r="AM1591" s="14"/>
    </row>
    <row r="1592" customFormat="false" ht="13.8" hidden="false" customHeight="false" outlineLevel="0" collapsed="false">
      <c r="AA1592" s="7" t="n">
        <f aca="false">AA1591+1</f>
        <v>42498</v>
      </c>
      <c r="AB1592" s="14"/>
      <c r="AC1592" s="14"/>
      <c r="AD1592" s="14"/>
      <c r="AE1592" s="14"/>
      <c r="AF1592" s="14"/>
      <c r="AG1592" s="14"/>
      <c r="AH1592" s="14"/>
      <c r="AI1592" s="14"/>
      <c r="AJ1592" s="14"/>
      <c r="AK1592" s="14"/>
      <c r="AL1592" s="14"/>
      <c r="AM1592" s="14"/>
    </row>
    <row r="1593" customFormat="false" ht="13.8" hidden="false" customHeight="false" outlineLevel="0" collapsed="false">
      <c r="AA1593" s="7" t="n">
        <f aca="false">AA1592+1</f>
        <v>42499</v>
      </c>
      <c r="AB1593" s="14"/>
      <c r="AC1593" s="14"/>
      <c r="AD1593" s="14"/>
      <c r="AE1593" s="14"/>
      <c r="AF1593" s="14"/>
      <c r="AG1593" s="14"/>
      <c r="AH1593" s="14"/>
      <c r="AI1593" s="14"/>
      <c r="AJ1593" s="14"/>
      <c r="AK1593" s="14"/>
      <c r="AL1593" s="14"/>
      <c r="AM1593" s="14"/>
    </row>
    <row r="1594" customFormat="false" ht="13.8" hidden="false" customHeight="false" outlineLevel="0" collapsed="false">
      <c r="AA1594" s="7" t="n">
        <f aca="false">AA1593+1</f>
        <v>42500</v>
      </c>
      <c r="AB1594" s="14"/>
      <c r="AC1594" s="14"/>
      <c r="AD1594" s="14"/>
      <c r="AE1594" s="14"/>
      <c r="AF1594" s="14"/>
      <c r="AG1594" s="14"/>
      <c r="AH1594" s="14"/>
      <c r="AI1594" s="14"/>
      <c r="AJ1594" s="14"/>
      <c r="AK1594" s="14"/>
      <c r="AL1594" s="14"/>
      <c r="AM1594" s="14"/>
    </row>
    <row r="1595" customFormat="false" ht="13.8" hidden="false" customHeight="false" outlineLevel="0" collapsed="false">
      <c r="AA1595" s="7" t="n">
        <f aca="false">AA1594+1</f>
        <v>42501</v>
      </c>
      <c r="AB1595" s="14"/>
      <c r="AC1595" s="14"/>
      <c r="AD1595" s="14"/>
      <c r="AE1595" s="14"/>
      <c r="AF1595" s="14"/>
      <c r="AG1595" s="14"/>
      <c r="AH1595" s="14"/>
      <c r="AI1595" s="14"/>
      <c r="AJ1595" s="14"/>
      <c r="AK1595" s="14"/>
      <c r="AL1595" s="14"/>
      <c r="AM1595" s="14"/>
    </row>
    <row r="1596" customFormat="false" ht="13.8" hidden="false" customHeight="false" outlineLevel="0" collapsed="false">
      <c r="AA1596" s="7" t="n">
        <f aca="false">AA1595+1</f>
        <v>42502</v>
      </c>
      <c r="AB1596" s="14"/>
      <c r="AC1596" s="14"/>
      <c r="AD1596" s="14"/>
      <c r="AE1596" s="14"/>
      <c r="AF1596" s="14"/>
      <c r="AG1596" s="14"/>
      <c r="AH1596" s="14"/>
      <c r="AI1596" s="14"/>
      <c r="AJ1596" s="14"/>
      <c r="AK1596" s="14"/>
      <c r="AL1596" s="14"/>
      <c r="AM1596" s="14"/>
    </row>
    <row r="1597" customFormat="false" ht="13.8" hidden="false" customHeight="false" outlineLevel="0" collapsed="false">
      <c r="AA1597" s="7" t="n">
        <f aca="false">AA1596+1</f>
        <v>42503</v>
      </c>
      <c r="AB1597" s="14"/>
      <c r="AC1597" s="14"/>
      <c r="AD1597" s="14"/>
      <c r="AE1597" s="14"/>
      <c r="AF1597" s="14"/>
      <c r="AG1597" s="14"/>
      <c r="AH1597" s="14"/>
      <c r="AI1597" s="14"/>
      <c r="AJ1597" s="14"/>
      <c r="AK1597" s="14"/>
      <c r="AL1597" s="14"/>
      <c r="AM1597" s="14"/>
    </row>
    <row r="1598" customFormat="false" ht="13.8" hidden="false" customHeight="false" outlineLevel="0" collapsed="false">
      <c r="AA1598" s="7" t="n">
        <f aca="false">AA1597+1</f>
        <v>42504</v>
      </c>
      <c r="AB1598" s="14"/>
      <c r="AC1598" s="14"/>
      <c r="AD1598" s="14"/>
      <c r="AE1598" s="14"/>
      <c r="AF1598" s="14"/>
      <c r="AG1598" s="14"/>
      <c r="AH1598" s="14"/>
      <c r="AI1598" s="14"/>
      <c r="AJ1598" s="14"/>
      <c r="AK1598" s="14"/>
      <c r="AL1598" s="14"/>
      <c r="AM1598" s="14"/>
    </row>
    <row r="1599" customFormat="false" ht="13.8" hidden="false" customHeight="false" outlineLevel="0" collapsed="false">
      <c r="AA1599" s="7" t="n">
        <f aca="false">AA1598+1</f>
        <v>42505</v>
      </c>
      <c r="AB1599" s="14"/>
      <c r="AC1599" s="14"/>
      <c r="AD1599" s="14"/>
      <c r="AE1599" s="14"/>
      <c r="AF1599" s="14"/>
      <c r="AG1599" s="14"/>
      <c r="AH1599" s="14"/>
      <c r="AI1599" s="14"/>
      <c r="AJ1599" s="14"/>
      <c r="AK1599" s="14"/>
      <c r="AL1599" s="14"/>
      <c r="AM1599" s="14"/>
    </row>
    <row r="1600" customFormat="false" ht="13.8" hidden="false" customHeight="false" outlineLevel="0" collapsed="false">
      <c r="AA1600" s="7" t="n">
        <f aca="false">AA1599+1</f>
        <v>42506</v>
      </c>
      <c r="AB1600" s="14"/>
      <c r="AC1600" s="14"/>
      <c r="AD1600" s="14"/>
      <c r="AE1600" s="14"/>
      <c r="AF1600" s="14"/>
      <c r="AG1600" s="14"/>
      <c r="AH1600" s="14"/>
      <c r="AI1600" s="14"/>
      <c r="AJ1600" s="14"/>
      <c r="AK1600" s="14"/>
      <c r="AL1600" s="14"/>
      <c r="AM1600" s="14"/>
    </row>
    <row r="1601" customFormat="false" ht="13.8" hidden="false" customHeight="false" outlineLevel="0" collapsed="false">
      <c r="AA1601" s="7" t="n">
        <f aca="false">AA1600+1</f>
        <v>42507</v>
      </c>
      <c r="AB1601" s="14"/>
      <c r="AC1601" s="14"/>
      <c r="AD1601" s="14"/>
      <c r="AE1601" s="14"/>
      <c r="AF1601" s="14"/>
      <c r="AG1601" s="14"/>
      <c r="AH1601" s="14"/>
      <c r="AI1601" s="14"/>
      <c r="AJ1601" s="14"/>
      <c r="AK1601" s="14"/>
      <c r="AL1601" s="14"/>
      <c r="AM1601" s="14"/>
    </row>
    <row r="1602" customFormat="false" ht="13.8" hidden="false" customHeight="false" outlineLevel="0" collapsed="false">
      <c r="AA1602" s="7" t="n">
        <f aca="false">AA1601+1</f>
        <v>42508</v>
      </c>
      <c r="AB1602" s="14"/>
      <c r="AC1602" s="14"/>
      <c r="AD1602" s="14"/>
      <c r="AE1602" s="14"/>
      <c r="AF1602" s="14"/>
      <c r="AG1602" s="14"/>
      <c r="AH1602" s="14"/>
      <c r="AI1602" s="14"/>
      <c r="AJ1602" s="14"/>
      <c r="AK1602" s="14"/>
      <c r="AL1602" s="14"/>
      <c r="AM1602" s="14"/>
    </row>
    <row r="1603" customFormat="false" ht="13.8" hidden="false" customHeight="false" outlineLevel="0" collapsed="false">
      <c r="AA1603" s="7" t="n">
        <f aca="false">AA1602+1</f>
        <v>42509</v>
      </c>
      <c r="AB1603" s="14"/>
      <c r="AC1603" s="14"/>
      <c r="AD1603" s="14"/>
      <c r="AE1603" s="14"/>
      <c r="AF1603" s="14"/>
      <c r="AG1603" s="14"/>
      <c r="AH1603" s="14"/>
      <c r="AI1603" s="14"/>
      <c r="AJ1603" s="14"/>
      <c r="AK1603" s="14"/>
      <c r="AL1603" s="14"/>
      <c r="AM1603" s="14"/>
    </row>
    <row r="1604" customFormat="false" ht="13.8" hidden="false" customHeight="false" outlineLevel="0" collapsed="false">
      <c r="AA1604" s="7" t="n">
        <f aca="false">AA1603+1</f>
        <v>42510</v>
      </c>
      <c r="AB1604" s="14"/>
      <c r="AC1604" s="14"/>
      <c r="AD1604" s="14"/>
      <c r="AE1604" s="14"/>
      <c r="AF1604" s="14"/>
      <c r="AG1604" s="14"/>
      <c r="AH1604" s="14"/>
      <c r="AI1604" s="14"/>
      <c r="AJ1604" s="14"/>
      <c r="AK1604" s="14"/>
      <c r="AL1604" s="14"/>
      <c r="AM1604" s="14"/>
    </row>
    <row r="1605" customFormat="false" ht="13.8" hidden="false" customHeight="false" outlineLevel="0" collapsed="false">
      <c r="AA1605" s="7" t="n">
        <f aca="false">AA1604+1</f>
        <v>42511</v>
      </c>
      <c r="AB1605" s="14"/>
      <c r="AC1605" s="14"/>
      <c r="AD1605" s="14"/>
      <c r="AE1605" s="14"/>
      <c r="AF1605" s="14"/>
      <c r="AG1605" s="14"/>
      <c r="AH1605" s="14"/>
      <c r="AI1605" s="14"/>
      <c r="AJ1605" s="14"/>
      <c r="AK1605" s="14"/>
      <c r="AL1605" s="14"/>
      <c r="AM1605" s="14"/>
    </row>
    <row r="1606" customFormat="false" ht="13.8" hidden="false" customHeight="false" outlineLevel="0" collapsed="false">
      <c r="AA1606" s="7" t="n">
        <f aca="false">AA1605+1</f>
        <v>42512</v>
      </c>
      <c r="AB1606" s="14"/>
      <c r="AC1606" s="14"/>
      <c r="AD1606" s="14"/>
      <c r="AE1606" s="14"/>
      <c r="AF1606" s="14"/>
      <c r="AG1606" s="14"/>
      <c r="AH1606" s="14"/>
      <c r="AI1606" s="14"/>
      <c r="AJ1606" s="14"/>
      <c r="AK1606" s="14"/>
      <c r="AL1606" s="14"/>
      <c r="AM1606" s="14"/>
    </row>
    <row r="1607" customFormat="false" ht="13.8" hidden="false" customHeight="false" outlineLevel="0" collapsed="false">
      <c r="AA1607" s="7" t="n">
        <f aca="false">AA1606+1</f>
        <v>42513</v>
      </c>
      <c r="AB1607" s="14"/>
      <c r="AC1607" s="14"/>
      <c r="AD1607" s="14"/>
      <c r="AE1607" s="14"/>
      <c r="AF1607" s="14"/>
      <c r="AG1607" s="14"/>
      <c r="AH1607" s="14"/>
      <c r="AI1607" s="14"/>
      <c r="AJ1607" s="14"/>
      <c r="AK1607" s="14"/>
      <c r="AL1607" s="14"/>
      <c r="AM1607" s="14"/>
    </row>
    <row r="1608" customFormat="false" ht="13.8" hidden="false" customHeight="false" outlineLevel="0" collapsed="false">
      <c r="AA1608" s="7" t="n">
        <f aca="false">AA1607+1</f>
        <v>42514</v>
      </c>
      <c r="AB1608" s="14"/>
      <c r="AC1608" s="14"/>
      <c r="AD1608" s="14"/>
      <c r="AE1608" s="14"/>
      <c r="AF1608" s="14"/>
      <c r="AG1608" s="14"/>
      <c r="AH1608" s="14"/>
      <c r="AI1608" s="14"/>
      <c r="AJ1608" s="14"/>
      <c r="AK1608" s="14"/>
      <c r="AL1608" s="14"/>
      <c r="AM1608" s="14"/>
    </row>
    <row r="1609" customFormat="false" ht="13.8" hidden="false" customHeight="false" outlineLevel="0" collapsed="false">
      <c r="AA1609" s="7" t="n">
        <f aca="false">AA1608+1</f>
        <v>42515</v>
      </c>
      <c r="AB1609" s="14"/>
      <c r="AC1609" s="14"/>
      <c r="AD1609" s="14"/>
      <c r="AE1609" s="14"/>
      <c r="AF1609" s="14"/>
      <c r="AG1609" s="14"/>
      <c r="AH1609" s="14"/>
      <c r="AI1609" s="14"/>
      <c r="AJ1609" s="14"/>
      <c r="AK1609" s="14"/>
      <c r="AL1609" s="14"/>
      <c r="AM1609" s="14"/>
    </row>
    <row r="1610" customFormat="false" ht="13.8" hidden="false" customHeight="false" outlineLevel="0" collapsed="false">
      <c r="AA1610" s="7" t="n">
        <f aca="false">AA1609+1</f>
        <v>42516</v>
      </c>
      <c r="AB1610" s="14"/>
      <c r="AC1610" s="14"/>
      <c r="AD1610" s="14"/>
      <c r="AE1610" s="14"/>
      <c r="AF1610" s="14"/>
      <c r="AG1610" s="14"/>
      <c r="AH1610" s="14"/>
      <c r="AI1610" s="14"/>
      <c r="AJ1610" s="14"/>
      <c r="AK1610" s="14"/>
      <c r="AL1610" s="14"/>
      <c r="AM1610" s="14"/>
    </row>
    <row r="1611" customFormat="false" ht="13.8" hidden="false" customHeight="false" outlineLevel="0" collapsed="false">
      <c r="AA1611" s="7" t="n">
        <f aca="false">AA1610+1</f>
        <v>42517</v>
      </c>
      <c r="AB1611" s="14"/>
      <c r="AC1611" s="14"/>
      <c r="AD1611" s="14"/>
      <c r="AE1611" s="14"/>
      <c r="AF1611" s="14"/>
      <c r="AG1611" s="14"/>
      <c r="AH1611" s="14"/>
      <c r="AI1611" s="14"/>
      <c r="AJ1611" s="14"/>
      <c r="AK1611" s="14"/>
      <c r="AL1611" s="14"/>
      <c r="AM1611" s="14"/>
    </row>
    <row r="1612" customFormat="false" ht="13.8" hidden="false" customHeight="false" outlineLevel="0" collapsed="false">
      <c r="AA1612" s="7" t="n">
        <f aca="false">AA1611+1</f>
        <v>42518</v>
      </c>
      <c r="AB1612" s="14"/>
      <c r="AC1612" s="14"/>
      <c r="AD1612" s="14"/>
      <c r="AE1612" s="14"/>
      <c r="AF1612" s="14"/>
      <c r="AG1612" s="14"/>
      <c r="AH1612" s="14"/>
      <c r="AI1612" s="14"/>
      <c r="AJ1612" s="14"/>
      <c r="AK1612" s="14"/>
      <c r="AL1612" s="14"/>
      <c r="AM1612" s="14"/>
    </row>
    <row r="1613" customFormat="false" ht="13.8" hidden="false" customHeight="false" outlineLevel="0" collapsed="false">
      <c r="AA1613" s="7" t="n">
        <f aca="false">AA1612+1</f>
        <v>42519</v>
      </c>
      <c r="AB1613" s="14"/>
      <c r="AC1613" s="14"/>
      <c r="AD1613" s="14"/>
      <c r="AE1613" s="14"/>
      <c r="AF1613" s="14"/>
      <c r="AG1613" s="14"/>
      <c r="AH1613" s="14"/>
      <c r="AI1613" s="14"/>
      <c r="AJ1613" s="14"/>
      <c r="AK1613" s="14"/>
      <c r="AL1613" s="14"/>
      <c r="AM1613" s="14"/>
    </row>
    <row r="1614" customFormat="false" ht="13.8" hidden="false" customHeight="false" outlineLevel="0" collapsed="false">
      <c r="AA1614" s="7" t="n">
        <f aca="false">AA1613+1</f>
        <v>42520</v>
      </c>
      <c r="AB1614" s="14"/>
      <c r="AC1614" s="14"/>
      <c r="AD1614" s="14"/>
      <c r="AE1614" s="14"/>
      <c r="AF1614" s="14"/>
      <c r="AG1614" s="14"/>
      <c r="AH1614" s="14"/>
      <c r="AI1614" s="14"/>
      <c r="AJ1614" s="14"/>
      <c r="AK1614" s="14"/>
      <c r="AL1614" s="14"/>
      <c r="AM1614" s="14"/>
    </row>
    <row r="1615" customFormat="false" ht="13.8" hidden="false" customHeight="false" outlineLevel="0" collapsed="false">
      <c r="AA1615" s="7" t="n">
        <f aca="false">AA1614+1</f>
        <v>42521</v>
      </c>
      <c r="AB1615" s="14"/>
      <c r="AC1615" s="14"/>
      <c r="AD1615" s="14"/>
      <c r="AE1615" s="14"/>
      <c r="AF1615" s="14"/>
      <c r="AG1615" s="14"/>
      <c r="AH1615" s="14"/>
      <c r="AI1615" s="14"/>
      <c r="AJ1615" s="14"/>
      <c r="AK1615" s="14"/>
      <c r="AL1615" s="14"/>
      <c r="AM1615" s="14"/>
    </row>
    <row r="1616" customFormat="false" ht="13.8" hidden="false" customHeight="false" outlineLevel="0" collapsed="false">
      <c r="AA1616" s="7" t="n">
        <f aca="false">AA1615+1</f>
        <v>42522</v>
      </c>
      <c r="AB1616" s="14"/>
      <c r="AC1616" s="14"/>
      <c r="AD1616" s="14"/>
      <c r="AE1616" s="14"/>
      <c r="AF1616" s="14"/>
      <c r="AG1616" s="14"/>
      <c r="AH1616" s="14"/>
      <c r="AI1616" s="14"/>
      <c r="AJ1616" s="14"/>
      <c r="AK1616" s="14"/>
      <c r="AL1616" s="14"/>
      <c r="AM1616" s="14"/>
    </row>
    <row r="1617" customFormat="false" ht="13.8" hidden="false" customHeight="false" outlineLevel="0" collapsed="false">
      <c r="AA1617" s="7" t="n">
        <f aca="false">AA1616+1</f>
        <v>42523</v>
      </c>
      <c r="AB1617" s="14"/>
      <c r="AC1617" s="14"/>
      <c r="AD1617" s="14"/>
      <c r="AE1617" s="14"/>
      <c r="AF1617" s="14"/>
      <c r="AG1617" s="14"/>
      <c r="AH1617" s="14"/>
      <c r="AI1617" s="14"/>
      <c r="AJ1617" s="14"/>
      <c r="AK1617" s="14"/>
      <c r="AL1617" s="14"/>
      <c r="AM1617" s="14"/>
    </row>
    <row r="1618" customFormat="false" ht="13.8" hidden="false" customHeight="false" outlineLevel="0" collapsed="false">
      <c r="AA1618" s="7" t="n">
        <f aca="false">AA1617+1</f>
        <v>42524</v>
      </c>
      <c r="AB1618" s="14"/>
      <c r="AC1618" s="14"/>
      <c r="AD1618" s="14"/>
      <c r="AE1618" s="14"/>
      <c r="AF1618" s="14"/>
      <c r="AG1618" s="14"/>
      <c r="AH1618" s="14"/>
      <c r="AI1618" s="14"/>
      <c r="AJ1618" s="14"/>
      <c r="AK1618" s="14"/>
      <c r="AL1618" s="14"/>
      <c r="AM1618" s="14"/>
    </row>
    <row r="1619" customFormat="false" ht="13.8" hidden="false" customHeight="false" outlineLevel="0" collapsed="false">
      <c r="AA1619" s="7" t="n">
        <f aca="false">AA1618+1</f>
        <v>42525</v>
      </c>
      <c r="AB1619" s="14"/>
      <c r="AC1619" s="14"/>
      <c r="AD1619" s="14"/>
      <c r="AE1619" s="14"/>
      <c r="AF1619" s="14"/>
      <c r="AG1619" s="14"/>
      <c r="AH1619" s="14"/>
      <c r="AI1619" s="14"/>
      <c r="AJ1619" s="14"/>
      <c r="AK1619" s="14"/>
      <c r="AL1619" s="14"/>
      <c r="AM1619" s="14"/>
    </row>
    <row r="1620" customFormat="false" ht="13.8" hidden="false" customHeight="false" outlineLevel="0" collapsed="false">
      <c r="AA1620" s="7" t="n">
        <f aca="false">AA1619+1</f>
        <v>42526</v>
      </c>
      <c r="AB1620" s="14"/>
      <c r="AC1620" s="14"/>
      <c r="AD1620" s="14"/>
      <c r="AE1620" s="14"/>
      <c r="AF1620" s="14"/>
      <c r="AG1620" s="14"/>
      <c r="AH1620" s="14"/>
      <c r="AI1620" s="14"/>
      <c r="AJ1620" s="14"/>
      <c r="AK1620" s="14"/>
      <c r="AL1620" s="14"/>
      <c r="AM1620" s="14"/>
    </row>
    <row r="1621" customFormat="false" ht="13.8" hidden="false" customHeight="false" outlineLevel="0" collapsed="false">
      <c r="AA1621" s="7" t="n">
        <f aca="false">AA1620+1</f>
        <v>42527</v>
      </c>
      <c r="AB1621" s="14"/>
      <c r="AC1621" s="14"/>
      <c r="AD1621" s="14"/>
      <c r="AE1621" s="14"/>
      <c r="AF1621" s="14"/>
      <c r="AG1621" s="14"/>
      <c r="AH1621" s="14"/>
      <c r="AI1621" s="14"/>
      <c r="AJ1621" s="14"/>
      <c r="AK1621" s="14"/>
      <c r="AL1621" s="14"/>
      <c r="AM1621" s="14"/>
    </row>
    <row r="1622" customFormat="false" ht="13.8" hidden="false" customHeight="false" outlineLevel="0" collapsed="false">
      <c r="AA1622" s="7" t="n">
        <f aca="false">AA1621+1</f>
        <v>42528</v>
      </c>
      <c r="AB1622" s="14"/>
      <c r="AC1622" s="14"/>
      <c r="AD1622" s="14"/>
      <c r="AE1622" s="14"/>
      <c r="AF1622" s="14"/>
      <c r="AG1622" s="14"/>
      <c r="AH1622" s="14"/>
      <c r="AI1622" s="14"/>
      <c r="AJ1622" s="14"/>
      <c r="AK1622" s="14"/>
      <c r="AL1622" s="14"/>
      <c r="AM1622" s="14"/>
    </row>
    <row r="1623" customFormat="false" ht="13.8" hidden="false" customHeight="false" outlineLevel="0" collapsed="false">
      <c r="AA1623" s="7" t="n">
        <f aca="false">AA1622+1</f>
        <v>42529</v>
      </c>
      <c r="AB1623" s="14"/>
      <c r="AC1623" s="14"/>
      <c r="AD1623" s="14"/>
      <c r="AE1623" s="14"/>
      <c r="AF1623" s="14"/>
      <c r="AG1623" s="14"/>
      <c r="AH1623" s="14"/>
      <c r="AI1623" s="14"/>
      <c r="AJ1623" s="14"/>
      <c r="AK1623" s="14"/>
      <c r="AL1623" s="14"/>
      <c r="AM1623" s="14"/>
    </row>
    <row r="1624" customFormat="false" ht="13.8" hidden="false" customHeight="false" outlineLevel="0" collapsed="false">
      <c r="AA1624" s="7" t="n">
        <f aca="false">AA1623+1</f>
        <v>42530</v>
      </c>
      <c r="AB1624" s="14"/>
      <c r="AC1624" s="14"/>
      <c r="AD1624" s="14"/>
      <c r="AE1624" s="14"/>
      <c r="AF1624" s="14"/>
      <c r="AG1624" s="14"/>
      <c r="AH1624" s="14"/>
      <c r="AI1624" s="14"/>
      <c r="AJ1624" s="14"/>
      <c r="AK1624" s="14"/>
      <c r="AL1624" s="14"/>
      <c r="AM1624" s="14"/>
    </row>
    <row r="1625" customFormat="false" ht="13.8" hidden="false" customHeight="false" outlineLevel="0" collapsed="false">
      <c r="AA1625" s="7" t="n">
        <f aca="false">AA1624+1</f>
        <v>42531</v>
      </c>
      <c r="AB1625" s="14"/>
      <c r="AC1625" s="14"/>
      <c r="AD1625" s="14"/>
      <c r="AE1625" s="14"/>
      <c r="AF1625" s="14"/>
      <c r="AG1625" s="14"/>
      <c r="AH1625" s="14"/>
      <c r="AI1625" s="14"/>
      <c r="AJ1625" s="14"/>
      <c r="AK1625" s="14"/>
      <c r="AL1625" s="14"/>
      <c r="AM1625" s="14"/>
    </row>
    <row r="1626" customFormat="false" ht="13.8" hidden="false" customHeight="false" outlineLevel="0" collapsed="false">
      <c r="AA1626" s="7" t="n">
        <f aca="false">AA1625+1</f>
        <v>42532</v>
      </c>
      <c r="AB1626" s="14"/>
      <c r="AC1626" s="14"/>
      <c r="AD1626" s="14"/>
      <c r="AE1626" s="14"/>
      <c r="AF1626" s="14"/>
      <c r="AG1626" s="14"/>
      <c r="AH1626" s="14"/>
      <c r="AI1626" s="14"/>
      <c r="AJ1626" s="14"/>
      <c r="AK1626" s="14"/>
      <c r="AL1626" s="14"/>
      <c r="AM1626" s="14"/>
    </row>
    <row r="1627" customFormat="false" ht="13.8" hidden="false" customHeight="false" outlineLevel="0" collapsed="false">
      <c r="AA1627" s="7" t="n">
        <f aca="false">AA1626+1</f>
        <v>42533</v>
      </c>
      <c r="AB1627" s="14"/>
      <c r="AC1627" s="14"/>
      <c r="AD1627" s="14"/>
      <c r="AE1627" s="14"/>
      <c r="AF1627" s="14"/>
      <c r="AG1627" s="14"/>
      <c r="AH1627" s="14"/>
      <c r="AI1627" s="14"/>
      <c r="AJ1627" s="14"/>
      <c r="AK1627" s="14"/>
      <c r="AL1627" s="14"/>
      <c r="AM1627" s="14"/>
    </row>
    <row r="1628" customFormat="false" ht="13.8" hidden="false" customHeight="false" outlineLevel="0" collapsed="false">
      <c r="AA1628" s="7" t="n">
        <f aca="false">AA1627+1</f>
        <v>42534</v>
      </c>
      <c r="AB1628" s="14"/>
      <c r="AC1628" s="14"/>
      <c r="AD1628" s="14"/>
      <c r="AE1628" s="14"/>
      <c r="AF1628" s="14"/>
      <c r="AG1628" s="14"/>
      <c r="AH1628" s="14"/>
      <c r="AI1628" s="14"/>
      <c r="AJ1628" s="14"/>
      <c r="AK1628" s="14"/>
      <c r="AL1628" s="14"/>
      <c r="AM1628" s="14"/>
    </row>
    <row r="1629" customFormat="false" ht="13.8" hidden="false" customHeight="false" outlineLevel="0" collapsed="false">
      <c r="AA1629" s="7" t="n">
        <f aca="false">AA1628+1</f>
        <v>42535</v>
      </c>
      <c r="AB1629" s="14"/>
      <c r="AC1629" s="14"/>
      <c r="AD1629" s="14"/>
      <c r="AE1629" s="14"/>
      <c r="AF1629" s="14"/>
      <c r="AG1629" s="14"/>
      <c r="AH1629" s="14"/>
      <c r="AI1629" s="14"/>
      <c r="AJ1629" s="14"/>
      <c r="AK1629" s="14"/>
      <c r="AL1629" s="14"/>
      <c r="AM1629" s="14"/>
    </row>
    <row r="1630" customFormat="false" ht="13.8" hidden="false" customHeight="false" outlineLevel="0" collapsed="false">
      <c r="AA1630" s="7" t="n">
        <f aca="false">AA1629+1</f>
        <v>42536</v>
      </c>
      <c r="AB1630" s="14"/>
      <c r="AC1630" s="14"/>
      <c r="AD1630" s="14"/>
      <c r="AE1630" s="14"/>
      <c r="AF1630" s="14"/>
      <c r="AG1630" s="14"/>
      <c r="AH1630" s="14"/>
      <c r="AI1630" s="14"/>
      <c r="AJ1630" s="14"/>
      <c r="AK1630" s="14"/>
      <c r="AL1630" s="14"/>
      <c r="AM1630" s="14"/>
    </row>
    <row r="1631" customFormat="false" ht="13.8" hidden="false" customHeight="false" outlineLevel="0" collapsed="false">
      <c r="AA1631" s="7" t="n">
        <f aca="false">AA1630+1</f>
        <v>42537</v>
      </c>
      <c r="AB1631" s="14"/>
      <c r="AC1631" s="14"/>
      <c r="AD1631" s="14"/>
      <c r="AE1631" s="14"/>
      <c r="AF1631" s="14"/>
      <c r="AG1631" s="14"/>
      <c r="AH1631" s="14"/>
      <c r="AI1631" s="14"/>
      <c r="AJ1631" s="14"/>
      <c r="AK1631" s="14"/>
      <c r="AL1631" s="14"/>
      <c r="AM1631" s="14"/>
    </row>
    <row r="1632" customFormat="false" ht="13.8" hidden="false" customHeight="false" outlineLevel="0" collapsed="false">
      <c r="AA1632" s="7" t="n">
        <f aca="false">AA1631+1</f>
        <v>42538</v>
      </c>
      <c r="AB1632" s="14"/>
      <c r="AC1632" s="14"/>
      <c r="AD1632" s="14"/>
      <c r="AE1632" s="14"/>
      <c r="AF1632" s="14"/>
      <c r="AG1632" s="14"/>
      <c r="AH1632" s="14"/>
      <c r="AI1632" s="14"/>
      <c r="AJ1632" s="14"/>
      <c r="AK1632" s="14"/>
      <c r="AL1632" s="14"/>
      <c r="AM1632" s="14"/>
    </row>
    <row r="1633" customFormat="false" ht="13.8" hidden="false" customHeight="false" outlineLevel="0" collapsed="false">
      <c r="AA1633" s="7" t="n">
        <f aca="false">AA1632+1</f>
        <v>42539</v>
      </c>
      <c r="AB1633" s="14"/>
      <c r="AC1633" s="14"/>
      <c r="AD1633" s="14"/>
      <c r="AE1633" s="14"/>
      <c r="AF1633" s="14"/>
      <c r="AG1633" s="14"/>
      <c r="AH1633" s="14"/>
      <c r="AI1633" s="14"/>
      <c r="AJ1633" s="14"/>
      <c r="AK1633" s="14"/>
      <c r="AL1633" s="14"/>
      <c r="AM1633" s="14"/>
    </row>
    <row r="1634" customFormat="false" ht="13.8" hidden="false" customHeight="false" outlineLevel="0" collapsed="false">
      <c r="AA1634" s="7" t="n">
        <f aca="false">AA1633+1</f>
        <v>42540</v>
      </c>
      <c r="AB1634" s="14"/>
      <c r="AC1634" s="14"/>
      <c r="AD1634" s="14"/>
      <c r="AE1634" s="14"/>
      <c r="AF1634" s="14"/>
      <c r="AG1634" s="14"/>
      <c r="AH1634" s="14"/>
      <c r="AI1634" s="14"/>
      <c r="AJ1634" s="14"/>
      <c r="AK1634" s="14"/>
      <c r="AL1634" s="14"/>
      <c r="AM1634" s="14"/>
    </row>
    <row r="1635" customFormat="false" ht="13.8" hidden="false" customHeight="false" outlineLevel="0" collapsed="false">
      <c r="AA1635" s="7" t="n">
        <f aca="false">AA1634+1</f>
        <v>42541</v>
      </c>
      <c r="AB1635" s="14"/>
      <c r="AC1635" s="14"/>
      <c r="AD1635" s="14"/>
      <c r="AE1635" s="14"/>
      <c r="AF1635" s="14"/>
      <c r="AG1635" s="14"/>
      <c r="AH1635" s="14"/>
      <c r="AI1635" s="14"/>
      <c r="AJ1635" s="14"/>
      <c r="AK1635" s="14"/>
      <c r="AL1635" s="14"/>
      <c r="AM1635" s="14"/>
    </row>
    <row r="1636" customFormat="false" ht="13.8" hidden="false" customHeight="false" outlineLevel="0" collapsed="false">
      <c r="AA1636" s="7" t="n">
        <f aca="false">AA1635+1</f>
        <v>42542</v>
      </c>
      <c r="AB1636" s="14"/>
      <c r="AC1636" s="14"/>
      <c r="AD1636" s="14"/>
      <c r="AE1636" s="14"/>
      <c r="AF1636" s="14"/>
      <c r="AG1636" s="14"/>
      <c r="AH1636" s="14"/>
      <c r="AI1636" s="14"/>
      <c r="AJ1636" s="14"/>
      <c r="AK1636" s="14"/>
      <c r="AL1636" s="14"/>
      <c r="AM1636" s="14"/>
    </row>
    <row r="1637" customFormat="false" ht="13.8" hidden="false" customHeight="false" outlineLevel="0" collapsed="false">
      <c r="AA1637" s="7" t="n">
        <f aca="false">AA1636+1</f>
        <v>42543</v>
      </c>
      <c r="AB1637" s="14"/>
      <c r="AC1637" s="14"/>
      <c r="AD1637" s="14"/>
      <c r="AE1637" s="14"/>
      <c r="AF1637" s="14"/>
      <c r="AG1637" s="14"/>
      <c r="AH1637" s="14"/>
      <c r="AI1637" s="14"/>
      <c r="AJ1637" s="14"/>
      <c r="AK1637" s="14"/>
      <c r="AL1637" s="14"/>
      <c r="AM1637" s="14"/>
    </row>
    <row r="1638" customFormat="false" ht="13.8" hidden="false" customHeight="false" outlineLevel="0" collapsed="false">
      <c r="AA1638" s="7" t="n">
        <f aca="false">AA1637+1</f>
        <v>42544</v>
      </c>
      <c r="AB1638" s="14"/>
      <c r="AC1638" s="14"/>
      <c r="AD1638" s="14"/>
      <c r="AE1638" s="14"/>
      <c r="AF1638" s="14"/>
      <c r="AG1638" s="14"/>
      <c r="AH1638" s="14"/>
      <c r="AI1638" s="14"/>
      <c r="AJ1638" s="14"/>
      <c r="AK1638" s="14"/>
      <c r="AL1638" s="14"/>
      <c r="AM1638" s="14"/>
    </row>
    <row r="1639" customFormat="false" ht="13.8" hidden="false" customHeight="false" outlineLevel="0" collapsed="false">
      <c r="AA1639" s="7" t="n">
        <f aca="false">AA1638+1</f>
        <v>42545</v>
      </c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</row>
    <row r="1640" customFormat="false" ht="13.8" hidden="false" customHeight="false" outlineLevel="0" collapsed="false">
      <c r="AA1640" s="7" t="n">
        <f aca="false">AA1639+1</f>
        <v>42546</v>
      </c>
      <c r="AB1640" s="14"/>
      <c r="AC1640" s="14"/>
      <c r="AD1640" s="14"/>
      <c r="AE1640" s="14"/>
      <c r="AF1640" s="14"/>
      <c r="AG1640" s="14"/>
      <c r="AH1640" s="14"/>
      <c r="AI1640" s="14"/>
      <c r="AJ1640" s="14"/>
      <c r="AK1640" s="14"/>
      <c r="AL1640" s="14"/>
      <c r="AM1640" s="14"/>
    </row>
    <row r="1641" customFormat="false" ht="13.8" hidden="false" customHeight="false" outlineLevel="0" collapsed="false">
      <c r="AA1641" s="7" t="n">
        <f aca="false">AA1640+1</f>
        <v>42547</v>
      </c>
      <c r="AB1641" s="14"/>
      <c r="AC1641" s="14"/>
      <c r="AD1641" s="14"/>
      <c r="AE1641" s="14"/>
      <c r="AF1641" s="14"/>
      <c r="AG1641" s="14"/>
      <c r="AH1641" s="14"/>
      <c r="AI1641" s="14"/>
      <c r="AJ1641" s="14"/>
      <c r="AK1641" s="14"/>
      <c r="AL1641" s="14"/>
      <c r="AM1641" s="14"/>
    </row>
    <row r="1642" customFormat="false" ht="13.8" hidden="false" customHeight="false" outlineLevel="0" collapsed="false">
      <c r="AA1642" s="7" t="n">
        <f aca="false">AA1641+1</f>
        <v>42548</v>
      </c>
      <c r="AB1642" s="14"/>
      <c r="AC1642" s="14"/>
      <c r="AD1642" s="14"/>
      <c r="AE1642" s="14"/>
      <c r="AF1642" s="14"/>
      <c r="AG1642" s="14"/>
      <c r="AH1642" s="14"/>
      <c r="AI1642" s="14"/>
      <c r="AJ1642" s="14"/>
      <c r="AK1642" s="14"/>
      <c r="AL1642" s="14"/>
      <c r="AM1642" s="14"/>
    </row>
    <row r="1643" customFormat="false" ht="13.8" hidden="false" customHeight="false" outlineLevel="0" collapsed="false">
      <c r="AA1643" s="7" t="n">
        <f aca="false">AA1642+1</f>
        <v>42549</v>
      </c>
      <c r="AB1643" s="14"/>
      <c r="AC1643" s="14"/>
      <c r="AD1643" s="14"/>
      <c r="AE1643" s="14"/>
      <c r="AF1643" s="14"/>
      <c r="AG1643" s="14"/>
      <c r="AH1643" s="14"/>
      <c r="AI1643" s="14"/>
      <c r="AJ1643" s="14"/>
      <c r="AK1643" s="14"/>
      <c r="AL1643" s="14"/>
      <c r="AM1643" s="14"/>
    </row>
    <row r="1644" customFormat="false" ht="13.8" hidden="false" customHeight="false" outlineLevel="0" collapsed="false">
      <c r="AA1644" s="7" t="n">
        <f aca="false">AA1643+1</f>
        <v>42550</v>
      </c>
      <c r="AB1644" s="14"/>
      <c r="AC1644" s="14"/>
      <c r="AD1644" s="14"/>
      <c r="AE1644" s="14"/>
      <c r="AF1644" s="14"/>
      <c r="AG1644" s="14"/>
      <c r="AH1644" s="14"/>
      <c r="AI1644" s="14"/>
      <c r="AJ1644" s="14"/>
      <c r="AK1644" s="14"/>
      <c r="AL1644" s="14"/>
      <c r="AM1644" s="14"/>
    </row>
    <row r="1645" customFormat="false" ht="13.8" hidden="false" customHeight="false" outlineLevel="0" collapsed="false">
      <c r="AA1645" s="7" t="n">
        <f aca="false">AA1644+1</f>
        <v>42551</v>
      </c>
      <c r="AB1645" s="14"/>
      <c r="AC1645" s="14"/>
      <c r="AD1645" s="14"/>
      <c r="AE1645" s="14"/>
      <c r="AF1645" s="14"/>
      <c r="AG1645" s="14"/>
      <c r="AH1645" s="14"/>
      <c r="AI1645" s="14"/>
      <c r="AJ1645" s="14"/>
      <c r="AK1645" s="14"/>
      <c r="AL1645" s="14"/>
      <c r="AM1645" s="14"/>
    </row>
    <row r="1646" customFormat="false" ht="13.8" hidden="false" customHeight="false" outlineLevel="0" collapsed="false">
      <c r="AA1646" s="7" t="n">
        <f aca="false">AA1645+1</f>
        <v>42552</v>
      </c>
      <c r="AB1646" s="14"/>
      <c r="AC1646" s="14"/>
      <c r="AD1646" s="14"/>
      <c r="AE1646" s="14"/>
      <c r="AF1646" s="14"/>
      <c r="AG1646" s="14"/>
      <c r="AH1646" s="14"/>
      <c r="AI1646" s="14"/>
      <c r="AJ1646" s="14"/>
      <c r="AK1646" s="14"/>
      <c r="AL1646" s="14"/>
      <c r="AM1646" s="14"/>
    </row>
    <row r="1647" customFormat="false" ht="13.8" hidden="false" customHeight="false" outlineLevel="0" collapsed="false">
      <c r="AA1647" s="7" t="n">
        <f aca="false">AA1646+1</f>
        <v>42553</v>
      </c>
      <c r="AB1647" s="14"/>
      <c r="AC1647" s="14"/>
      <c r="AD1647" s="14"/>
      <c r="AE1647" s="14"/>
      <c r="AF1647" s="14"/>
      <c r="AG1647" s="14"/>
      <c r="AH1647" s="14"/>
      <c r="AI1647" s="14"/>
      <c r="AJ1647" s="14"/>
      <c r="AK1647" s="14"/>
      <c r="AL1647" s="14"/>
      <c r="AM1647" s="14"/>
    </row>
    <row r="1648" customFormat="false" ht="13.8" hidden="false" customHeight="false" outlineLevel="0" collapsed="false">
      <c r="AA1648" s="7" t="n">
        <f aca="false">AA1647+1</f>
        <v>42554</v>
      </c>
      <c r="AB1648" s="14"/>
      <c r="AC1648" s="14"/>
      <c r="AD1648" s="14"/>
      <c r="AE1648" s="14"/>
      <c r="AF1648" s="14"/>
      <c r="AG1648" s="14"/>
      <c r="AH1648" s="14"/>
      <c r="AI1648" s="14"/>
      <c r="AJ1648" s="14"/>
      <c r="AK1648" s="14"/>
      <c r="AL1648" s="14"/>
      <c r="AM1648" s="14"/>
    </row>
    <row r="1649" customFormat="false" ht="13.8" hidden="false" customHeight="false" outlineLevel="0" collapsed="false">
      <c r="AA1649" s="7" t="n">
        <f aca="false">AA1648+1</f>
        <v>42555</v>
      </c>
      <c r="AB1649" s="14"/>
      <c r="AC1649" s="14"/>
      <c r="AD1649" s="14"/>
      <c r="AE1649" s="14"/>
      <c r="AF1649" s="14"/>
      <c r="AG1649" s="14"/>
      <c r="AH1649" s="14"/>
      <c r="AI1649" s="14"/>
      <c r="AJ1649" s="14"/>
      <c r="AK1649" s="14"/>
      <c r="AL1649" s="14"/>
      <c r="AM1649" s="14"/>
    </row>
    <row r="1650" customFormat="false" ht="13.8" hidden="false" customHeight="false" outlineLevel="0" collapsed="false">
      <c r="AA1650" s="7" t="n">
        <f aca="false">AA1649+1</f>
        <v>42556</v>
      </c>
      <c r="AB1650" s="14"/>
      <c r="AC1650" s="14"/>
      <c r="AD1650" s="14"/>
      <c r="AE1650" s="14"/>
      <c r="AF1650" s="14"/>
      <c r="AG1650" s="14"/>
      <c r="AH1650" s="14"/>
      <c r="AI1650" s="14"/>
      <c r="AJ1650" s="14"/>
      <c r="AK1650" s="14"/>
      <c r="AL1650" s="14"/>
      <c r="AM1650" s="14"/>
    </row>
    <row r="1651" customFormat="false" ht="13.8" hidden="false" customHeight="false" outlineLevel="0" collapsed="false">
      <c r="AA1651" s="7" t="n">
        <f aca="false">AA1650+1</f>
        <v>42557</v>
      </c>
      <c r="AB1651" s="14"/>
      <c r="AC1651" s="14"/>
      <c r="AD1651" s="14"/>
      <c r="AE1651" s="14"/>
      <c r="AF1651" s="14"/>
      <c r="AG1651" s="14"/>
      <c r="AH1651" s="14"/>
      <c r="AI1651" s="14"/>
      <c r="AJ1651" s="14"/>
      <c r="AK1651" s="14"/>
      <c r="AL1651" s="14"/>
      <c r="AM1651" s="14"/>
    </row>
    <row r="1652" customFormat="false" ht="13.8" hidden="false" customHeight="false" outlineLevel="0" collapsed="false">
      <c r="AA1652" s="7" t="n">
        <f aca="false">AA1651+1</f>
        <v>42558</v>
      </c>
      <c r="AB1652" s="14"/>
      <c r="AC1652" s="14"/>
      <c r="AD1652" s="14"/>
      <c r="AE1652" s="14"/>
      <c r="AF1652" s="14"/>
      <c r="AG1652" s="14"/>
      <c r="AH1652" s="14"/>
      <c r="AI1652" s="14"/>
      <c r="AJ1652" s="14"/>
      <c r="AK1652" s="14"/>
      <c r="AL1652" s="14"/>
      <c r="AM1652" s="14"/>
    </row>
    <row r="1653" customFormat="false" ht="13.8" hidden="false" customHeight="false" outlineLevel="0" collapsed="false">
      <c r="AA1653" s="7" t="n">
        <f aca="false">AA1652+1</f>
        <v>42559</v>
      </c>
      <c r="AB1653" s="14"/>
      <c r="AC1653" s="14"/>
      <c r="AD1653" s="14"/>
      <c r="AE1653" s="14"/>
      <c r="AF1653" s="14"/>
      <c r="AG1653" s="14"/>
      <c r="AH1653" s="14"/>
      <c r="AI1653" s="14"/>
      <c r="AJ1653" s="14"/>
      <c r="AK1653" s="14"/>
      <c r="AL1653" s="14"/>
      <c r="AM1653" s="14"/>
    </row>
    <row r="1654" customFormat="false" ht="13.8" hidden="false" customHeight="false" outlineLevel="0" collapsed="false">
      <c r="AA1654" s="7" t="n">
        <f aca="false">AA1653+1</f>
        <v>42560</v>
      </c>
      <c r="AB1654" s="14"/>
      <c r="AC1654" s="14"/>
      <c r="AD1654" s="14"/>
      <c r="AE1654" s="14"/>
      <c r="AF1654" s="14"/>
      <c r="AG1654" s="14"/>
      <c r="AH1654" s="14"/>
      <c r="AI1654" s="14"/>
      <c r="AJ1654" s="14"/>
      <c r="AK1654" s="14"/>
      <c r="AL1654" s="14"/>
      <c r="AM1654" s="14"/>
    </row>
    <row r="1655" customFormat="false" ht="13.8" hidden="false" customHeight="false" outlineLevel="0" collapsed="false">
      <c r="AA1655" s="7" t="n">
        <f aca="false">AA1654+1</f>
        <v>42561</v>
      </c>
      <c r="AB1655" s="14"/>
      <c r="AC1655" s="14"/>
      <c r="AD1655" s="14"/>
      <c r="AE1655" s="14"/>
      <c r="AF1655" s="14"/>
      <c r="AG1655" s="14"/>
      <c r="AH1655" s="14"/>
      <c r="AI1655" s="14"/>
      <c r="AJ1655" s="14"/>
      <c r="AK1655" s="14"/>
      <c r="AL1655" s="14"/>
      <c r="AM1655" s="14"/>
    </row>
    <row r="1656" customFormat="false" ht="13.8" hidden="false" customHeight="false" outlineLevel="0" collapsed="false">
      <c r="AA1656" s="7" t="n">
        <f aca="false">AA1655+1</f>
        <v>42562</v>
      </c>
      <c r="AB1656" s="14"/>
      <c r="AC1656" s="14"/>
      <c r="AD1656" s="14"/>
      <c r="AE1656" s="14"/>
      <c r="AF1656" s="14"/>
      <c r="AG1656" s="14"/>
      <c r="AH1656" s="14"/>
      <c r="AI1656" s="14"/>
      <c r="AJ1656" s="14"/>
      <c r="AK1656" s="14"/>
      <c r="AL1656" s="14"/>
      <c r="AM1656" s="14"/>
    </row>
    <row r="1657" customFormat="false" ht="13.8" hidden="false" customHeight="false" outlineLevel="0" collapsed="false">
      <c r="AA1657" s="7" t="n">
        <f aca="false">AA1656+1</f>
        <v>42563</v>
      </c>
      <c r="AB1657" s="14"/>
      <c r="AC1657" s="14"/>
      <c r="AD1657" s="14"/>
      <c r="AE1657" s="14"/>
      <c r="AF1657" s="14"/>
      <c r="AG1657" s="14"/>
      <c r="AH1657" s="14"/>
      <c r="AI1657" s="14"/>
      <c r="AJ1657" s="14"/>
      <c r="AK1657" s="14"/>
      <c r="AL1657" s="14"/>
      <c r="AM1657" s="14"/>
    </row>
    <row r="1658" customFormat="false" ht="13.8" hidden="false" customHeight="false" outlineLevel="0" collapsed="false">
      <c r="AA1658" s="7" t="n">
        <f aca="false">AA1657+1</f>
        <v>42564</v>
      </c>
      <c r="AB1658" s="14"/>
      <c r="AC1658" s="14"/>
      <c r="AD1658" s="14"/>
      <c r="AE1658" s="14"/>
      <c r="AF1658" s="14"/>
      <c r="AG1658" s="14"/>
      <c r="AH1658" s="14"/>
      <c r="AI1658" s="14"/>
      <c r="AJ1658" s="14"/>
      <c r="AK1658" s="14"/>
      <c r="AL1658" s="14"/>
      <c r="AM1658" s="14"/>
    </row>
    <row r="1659" customFormat="false" ht="13.8" hidden="false" customHeight="false" outlineLevel="0" collapsed="false">
      <c r="AA1659" s="7" t="n">
        <f aca="false">AA1658+1</f>
        <v>42565</v>
      </c>
      <c r="AB1659" s="14"/>
      <c r="AC1659" s="14"/>
      <c r="AD1659" s="14"/>
      <c r="AE1659" s="14"/>
      <c r="AF1659" s="14"/>
      <c r="AG1659" s="14"/>
      <c r="AH1659" s="14"/>
      <c r="AI1659" s="14"/>
      <c r="AJ1659" s="14"/>
      <c r="AK1659" s="14"/>
      <c r="AL1659" s="14"/>
      <c r="AM1659" s="14"/>
    </row>
    <row r="1660" customFormat="false" ht="13.8" hidden="false" customHeight="false" outlineLevel="0" collapsed="false">
      <c r="AA1660" s="7" t="n">
        <f aca="false">AA1659+1</f>
        <v>42566</v>
      </c>
      <c r="AB1660" s="14"/>
      <c r="AC1660" s="14"/>
      <c r="AD1660" s="14"/>
      <c r="AE1660" s="14"/>
      <c r="AF1660" s="14"/>
      <c r="AG1660" s="14"/>
      <c r="AH1660" s="14"/>
      <c r="AI1660" s="14"/>
      <c r="AJ1660" s="14"/>
      <c r="AK1660" s="14"/>
      <c r="AL1660" s="14"/>
      <c r="AM1660" s="14"/>
    </row>
    <row r="1661" customFormat="false" ht="13.8" hidden="false" customHeight="false" outlineLevel="0" collapsed="false">
      <c r="AA1661" s="7" t="n">
        <f aca="false">AA1660+1</f>
        <v>42567</v>
      </c>
      <c r="AB1661" s="14"/>
      <c r="AC1661" s="14"/>
      <c r="AD1661" s="14"/>
      <c r="AE1661" s="14"/>
      <c r="AF1661" s="14"/>
      <c r="AG1661" s="14"/>
      <c r="AH1661" s="14"/>
      <c r="AI1661" s="14"/>
      <c r="AJ1661" s="14"/>
      <c r="AK1661" s="14"/>
      <c r="AL1661" s="14"/>
      <c r="AM1661" s="14"/>
    </row>
    <row r="1662" customFormat="false" ht="13.8" hidden="false" customHeight="false" outlineLevel="0" collapsed="false">
      <c r="AA1662" s="7" t="n">
        <f aca="false">AA1661+1</f>
        <v>42568</v>
      </c>
      <c r="AB1662" s="14"/>
      <c r="AC1662" s="14"/>
      <c r="AD1662" s="14"/>
      <c r="AE1662" s="14"/>
      <c r="AF1662" s="14"/>
      <c r="AG1662" s="14"/>
      <c r="AH1662" s="14"/>
      <c r="AI1662" s="14"/>
      <c r="AJ1662" s="14"/>
      <c r="AK1662" s="14"/>
      <c r="AL1662" s="14"/>
      <c r="AM1662" s="14"/>
    </row>
    <row r="1663" customFormat="false" ht="13.8" hidden="false" customHeight="false" outlineLevel="0" collapsed="false">
      <c r="AA1663" s="7" t="n">
        <f aca="false">AA1662+1</f>
        <v>42569</v>
      </c>
      <c r="AB1663" s="14"/>
      <c r="AC1663" s="14"/>
      <c r="AD1663" s="14"/>
      <c r="AE1663" s="14"/>
      <c r="AF1663" s="14"/>
      <c r="AG1663" s="14"/>
      <c r="AH1663" s="14"/>
      <c r="AI1663" s="14"/>
      <c r="AJ1663" s="14"/>
      <c r="AK1663" s="14"/>
      <c r="AL1663" s="14"/>
      <c r="AM1663" s="14"/>
    </row>
    <row r="1664" customFormat="false" ht="13.8" hidden="false" customHeight="false" outlineLevel="0" collapsed="false">
      <c r="AA1664" s="7" t="n">
        <f aca="false">AA1663+1</f>
        <v>42570</v>
      </c>
      <c r="AB1664" s="14"/>
      <c r="AC1664" s="14"/>
      <c r="AD1664" s="14"/>
      <c r="AE1664" s="14"/>
      <c r="AF1664" s="14"/>
      <c r="AG1664" s="14"/>
      <c r="AH1664" s="14"/>
      <c r="AI1664" s="14"/>
      <c r="AJ1664" s="14"/>
      <c r="AK1664" s="14"/>
      <c r="AL1664" s="14"/>
      <c r="AM1664" s="14"/>
    </row>
    <row r="1665" customFormat="false" ht="13.8" hidden="false" customHeight="false" outlineLevel="0" collapsed="false">
      <c r="AA1665" s="7" t="n">
        <f aca="false">AA1664+1</f>
        <v>42571</v>
      </c>
      <c r="AB1665" s="14"/>
      <c r="AC1665" s="14"/>
      <c r="AD1665" s="14"/>
      <c r="AE1665" s="14"/>
      <c r="AF1665" s="14"/>
      <c r="AG1665" s="14"/>
      <c r="AH1665" s="14"/>
      <c r="AI1665" s="14"/>
      <c r="AJ1665" s="14"/>
      <c r="AK1665" s="14"/>
      <c r="AL1665" s="14"/>
      <c r="AM1665" s="14"/>
    </row>
    <row r="1666" customFormat="false" ht="13.8" hidden="false" customHeight="false" outlineLevel="0" collapsed="false">
      <c r="AA1666" s="7" t="n">
        <f aca="false">AA1665+1</f>
        <v>42572</v>
      </c>
      <c r="AB1666" s="14"/>
      <c r="AC1666" s="14"/>
      <c r="AD1666" s="14"/>
      <c r="AE1666" s="14"/>
      <c r="AF1666" s="14"/>
      <c r="AG1666" s="14"/>
      <c r="AH1666" s="14"/>
      <c r="AI1666" s="14"/>
      <c r="AJ1666" s="14"/>
      <c r="AK1666" s="14"/>
      <c r="AL1666" s="14"/>
      <c r="AM1666" s="14"/>
    </row>
    <row r="1667" customFormat="false" ht="13.8" hidden="false" customHeight="false" outlineLevel="0" collapsed="false">
      <c r="AA1667" s="7" t="n">
        <f aca="false">AA1666+1</f>
        <v>42573</v>
      </c>
      <c r="AB1667" s="14"/>
      <c r="AC1667" s="14"/>
      <c r="AD1667" s="14"/>
      <c r="AE1667" s="14"/>
      <c r="AF1667" s="14"/>
      <c r="AG1667" s="14"/>
      <c r="AH1667" s="14"/>
      <c r="AI1667" s="14"/>
      <c r="AJ1667" s="14"/>
      <c r="AK1667" s="14"/>
      <c r="AL1667" s="14"/>
      <c r="AM1667" s="14"/>
    </row>
    <row r="1668" customFormat="false" ht="13.8" hidden="false" customHeight="false" outlineLevel="0" collapsed="false">
      <c r="AA1668" s="7" t="n">
        <f aca="false">AA1667+1</f>
        <v>42574</v>
      </c>
      <c r="AB1668" s="14"/>
      <c r="AC1668" s="14"/>
      <c r="AD1668" s="14"/>
      <c r="AE1668" s="14"/>
      <c r="AF1668" s="14"/>
      <c r="AG1668" s="14"/>
      <c r="AH1668" s="14"/>
      <c r="AI1668" s="14"/>
      <c r="AJ1668" s="14"/>
      <c r="AK1668" s="14"/>
      <c r="AL1668" s="14"/>
      <c r="AM1668" s="14"/>
    </row>
    <row r="1669" customFormat="false" ht="13.8" hidden="false" customHeight="false" outlineLevel="0" collapsed="false">
      <c r="AA1669" s="7" t="n">
        <f aca="false">AA1668+1</f>
        <v>42575</v>
      </c>
      <c r="AB1669" s="14"/>
      <c r="AC1669" s="14"/>
      <c r="AD1669" s="14"/>
      <c r="AE1669" s="14"/>
      <c r="AF1669" s="14"/>
      <c r="AG1669" s="14"/>
      <c r="AH1669" s="14"/>
      <c r="AI1669" s="14"/>
      <c r="AJ1669" s="14"/>
      <c r="AK1669" s="14"/>
      <c r="AL1669" s="14"/>
      <c r="AM1669" s="14"/>
    </row>
    <row r="1670" customFormat="false" ht="13.8" hidden="false" customHeight="false" outlineLevel="0" collapsed="false">
      <c r="AA1670" s="7" t="n">
        <f aca="false">AA1669+1</f>
        <v>42576</v>
      </c>
      <c r="AB1670" s="14"/>
      <c r="AC1670" s="14"/>
      <c r="AD1670" s="14"/>
      <c r="AE1670" s="14"/>
      <c r="AF1670" s="14"/>
      <c r="AG1670" s="14"/>
      <c r="AH1670" s="14"/>
      <c r="AI1670" s="14"/>
      <c r="AJ1670" s="14"/>
      <c r="AK1670" s="14"/>
      <c r="AL1670" s="14"/>
      <c r="AM1670" s="14"/>
    </row>
    <row r="1671" customFormat="false" ht="13.8" hidden="false" customHeight="false" outlineLevel="0" collapsed="false">
      <c r="AA1671" s="7" t="n">
        <f aca="false">AA1670+1</f>
        <v>42577</v>
      </c>
      <c r="AB1671" s="14"/>
      <c r="AC1671" s="14"/>
      <c r="AD1671" s="14"/>
      <c r="AE1671" s="14"/>
      <c r="AF1671" s="14"/>
      <c r="AG1671" s="14"/>
      <c r="AH1671" s="14"/>
      <c r="AI1671" s="14"/>
      <c r="AJ1671" s="14"/>
      <c r="AK1671" s="14"/>
      <c r="AL1671" s="14"/>
      <c r="AM1671" s="14"/>
    </row>
    <row r="1672" customFormat="false" ht="13.8" hidden="false" customHeight="false" outlineLevel="0" collapsed="false">
      <c r="AA1672" s="7" t="n">
        <f aca="false">AA1671+1</f>
        <v>42578</v>
      </c>
      <c r="AB1672" s="14"/>
      <c r="AC1672" s="14"/>
      <c r="AD1672" s="14"/>
      <c r="AE1672" s="14"/>
      <c r="AF1672" s="14"/>
      <c r="AG1672" s="14"/>
      <c r="AH1672" s="14"/>
      <c r="AI1672" s="14"/>
      <c r="AJ1672" s="14"/>
      <c r="AK1672" s="14"/>
      <c r="AL1672" s="14"/>
      <c r="AM1672" s="14"/>
    </row>
    <row r="1673" customFormat="false" ht="13.8" hidden="false" customHeight="false" outlineLevel="0" collapsed="false">
      <c r="AA1673" s="7" t="n">
        <f aca="false">AA1672+1</f>
        <v>42579</v>
      </c>
      <c r="AB1673" s="14"/>
      <c r="AC1673" s="14"/>
      <c r="AD1673" s="14"/>
      <c r="AE1673" s="14"/>
      <c r="AF1673" s="14"/>
      <c r="AG1673" s="14"/>
      <c r="AH1673" s="14"/>
      <c r="AI1673" s="14"/>
      <c r="AJ1673" s="14"/>
      <c r="AK1673" s="14"/>
      <c r="AL1673" s="14"/>
      <c r="AM1673" s="14"/>
    </row>
    <row r="1674" customFormat="false" ht="13.8" hidden="false" customHeight="false" outlineLevel="0" collapsed="false">
      <c r="AA1674" s="7" t="n">
        <f aca="false">AA1673+1</f>
        <v>42580</v>
      </c>
      <c r="AB1674" s="14"/>
      <c r="AC1674" s="14"/>
      <c r="AD1674" s="14"/>
      <c r="AE1674" s="14"/>
      <c r="AF1674" s="14"/>
      <c r="AG1674" s="14"/>
      <c r="AH1674" s="14"/>
      <c r="AI1674" s="14"/>
      <c r="AJ1674" s="14"/>
      <c r="AK1674" s="14"/>
      <c r="AL1674" s="14"/>
      <c r="AM1674" s="14"/>
    </row>
    <row r="1675" customFormat="false" ht="13.8" hidden="false" customHeight="false" outlineLevel="0" collapsed="false">
      <c r="AA1675" s="7" t="n">
        <f aca="false">AA1674+1</f>
        <v>42581</v>
      </c>
      <c r="AB1675" s="14"/>
      <c r="AC1675" s="14"/>
      <c r="AD1675" s="14"/>
      <c r="AE1675" s="14"/>
      <c r="AF1675" s="14"/>
      <c r="AG1675" s="14"/>
      <c r="AH1675" s="14"/>
      <c r="AI1675" s="14"/>
      <c r="AJ1675" s="14"/>
      <c r="AK1675" s="14"/>
      <c r="AL1675" s="14"/>
      <c r="AM1675" s="14"/>
    </row>
    <row r="1676" customFormat="false" ht="13.8" hidden="false" customHeight="false" outlineLevel="0" collapsed="false">
      <c r="AA1676" s="7" t="n">
        <f aca="false">AA1675+1</f>
        <v>42582</v>
      </c>
      <c r="AB1676" s="14"/>
      <c r="AC1676" s="14"/>
      <c r="AD1676" s="14"/>
      <c r="AE1676" s="14"/>
      <c r="AF1676" s="14"/>
      <c r="AG1676" s="14"/>
      <c r="AH1676" s="14"/>
      <c r="AI1676" s="14"/>
      <c r="AJ1676" s="14"/>
      <c r="AK1676" s="14"/>
      <c r="AL1676" s="14"/>
      <c r="AM1676" s="14"/>
    </row>
    <row r="1677" customFormat="false" ht="13.8" hidden="false" customHeight="false" outlineLevel="0" collapsed="false">
      <c r="AA1677" s="7" t="n">
        <f aca="false">AA1676+1</f>
        <v>42583</v>
      </c>
      <c r="AB1677" s="14"/>
      <c r="AC1677" s="14"/>
      <c r="AD1677" s="14"/>
      <c r="AE1677" s="14"/>
      <c r="AF1677" s="14"/>
      <c r="AG1677" s="14"/>
      <c r="AH1677" s="14"/>
      <c r="AI1677" s="14"/>
      <c r="AJ1677" s="14"/>
      <c r="AK1677" s="14"/>
      <c r="AL1677" s="14"/>
      <c r="AM1677" s="14"/>
    </row>
    <row r="1678" customFormat="false" ht="13.8" hidden="false" customHeight="false" outlineLevel="0" collapsed="false">
      <c r="AA1678" s="7" t="n">
        <f aca="false">AA1677+1</f>
        <v>42584</v>
      </c>
      <c r="AB1678" s="14"/>
      <c r="AC1678" s="14"/>
      <c r="AD1678" s="14"/>
      <c r="AE1678" s="14"/>
      <c r="AF1678" s="14"/>
      <c r="AG1678" s="14"/>
      <c r="AH1678" s="14"/>
      <c r="AI1678" s="14"/>
      <c r="AJ1678" s="14"/>
      <c r="AK1678" s="14"/>
      <c r="AL1678" s="14"/>
      <c r="AM1678" s="14"/>
    </row>
    <row r="1679" customFormat="false" ht="13.8" hidden="false" customHeight="false" outlineLevel="0" collapsed="false">
      <c r="AA1679" s="7" t="n">
        <f aca="false">AA1678+1</f>
        <v>42585</v>
      </c>
      <c r="AB1679" s="14"/>
      <c r="AC1679" s="14"/>
      <c r="AD1679" s="14"/>
      <c r="AE1679" s="14"/>
      <c r="AF1679" s="14"/>
      <c r="AG1679" s="14"/>
      <c r="AH1679" s="14"/>
      <c r="AI1679" s="14"/>
      <c r="AJ1679" s="14"/>
      <c r="AK1679" s="14"/>
      <c r="AL1679" s="14"/>
      <c r="AM1679" s="14"/>
    </row>
    <row r="1680" customFormat="false" ht="13.8" hidden="false" customHeight="false" outlineLevel="0" collapsed="false">
      <c r="AA1680" s="7" t="n">
        <f aca="false">AA1679+1</f>
        <v>42586</v>
      </c>
      <c r="AB1680" s="14"/>
      <c r="AC1680" s="14"/>
      <c r="AD1680" s="14"/>
      <c r="AE1680" s="14"/>
      <c r="AF1680" s="14"/>
      <c r="AG1680" s="14"/>
      <c r="AH1680" s="14"/>
      <c r="AI1680" s="14"/>
      <c r="AJ1680" s="14"/>
      <c r="AK1680" s="14"/>
      <c r="AL1680" s="14"/>
      <c r="AM1680" s="14"/>
    </row>
    <row r="1681" customFormat="false" ht="13.8" hidden="false" customHeight="false" outlineLevel="0" collapsed="false">
      <c r="AA1681" s="7" t="n">
        <f aca="false">AA1680+1</f>
        <v>42587</v>
      </c>
      <c r="AB1681" s="14"/>
      <c r="AC1681" s="14"/>
      <c r="AD1681" s="14"/>
      <c r="AE1681" s="14"/>
      <c r="AF1681" s="14"/>
      <c r="AG1681" s="14"/>
      <c r="AH1681" s="14"/>
      <c r="AI1681" s="14"/>
      <c r="AJ1681" s="14"/>
      <c r="AK1681" s="14"/>
      <c r="AL1681" s="14"/>
      <c r="AM1681" s="14"/>
    </row>
    <row r="1682" customFormat="false" ht="13.8" hidden="false" customHeight="false" outlineLevel="0" collapsed="false">
      <c r="AA1682" s="7" t="n">
        <f aca="false">AA1681+1</f>
        <v>42588</v>
      </c>
      <c r="AB1682" s="14"/>
      <c r="AC1682" s="14"/>
      <c r="AD1682" s="14"/>
      <c r="AE1682" s="14"/>
      <c r="AF1682" s="14"/>
      <c r="AG1682" s="14"/>
      <c r="AH1682" s="14"/>
      <c r="AI1682" s="14"/>
      <c r="AJ1682" s="14"/>
      <c r="AK1682" s="14"/>
      <c r="AL1682" s="14"/>
      <c r="AM1682" s="14"/>
    </row>
    <row r="1683" customFormat="false" ht="13.8" hidden="false" customHeight="false" outlineLevel="0" collapsed="false">
      <c r="AA1683" s="7" t="n">
        <f aca="false">AA1682+1</f>
        <v>42589</v>
      </c>
      <c r="AB1683" s="14"/>
      <c r="AC1683" s="14"/>
      <c r="AD1683" s="14"/>
      <c r="AE1683" s="14"/>
      <c r="AF1683" s="14"/>
      <c r="AG1683" s="14"/>
      <c r="AH1683" s="14"/>
      <c r="AI1683" s="14"/>
      <c r="AJ1683" s="14"/>
      <c r="AK1683" s="14"/>
      <c r="AL1683" s="14"/>
      <c r="AM1683" s="14"/>
    </row>
    <row r="1684" customFormat="false" ht="13.8" hidden="false" customHeight="false" outlineLevel="0" collapsed="false">
      <c r="AA1684" s="7" t="n">
        <f aca="false">AA1683+1</f>
        <v>42590</v>
      </c>
      <c r="AB1684" s="14"/>
      <c r="AC1684" s="14"/>
      <c r="AD1684" s="14"/>
      <c r="AE1684" s="14"/>
      <c r="AF1684" s="14"/>
      <c r="AG1684" s="14"/>
      <c r="AH1684" s="14"/>
      <c r="AI1684" s="14"/>
      <c r="AJ1684" s="14"/>
      <c r="AK1684" s="14"/>
      <c r="AL1684" s="14"/>
      <c r="AM1684" s="14"/>
    </row>
    <row r="1685" customFormat="false" ht="13.8" hidden="false" customHeight="false" outlineLevel="0" collapsed="false">
      <c r="AA1685" s="7" t="n">
        <f aca="false">AA1684+1</f>
        <v>42591</v>
      </c>
      <c r="AB1685" s="14"/>
      <c r="AC1685" s="14"/>
      <c r="AD1685" s="14"/>
      <c r="AE1685" s="14"/>
      <c r="AF1685" s="14"/>
      <c r="AG1685" s="14"/>
      <c r="AH1685" s="14"/>
      <c r="AI1685" s="14"/>
      <c r="AJ1685" s="14"/>
      <c r="AK1685" s="14"/>
      <c r="AL1685" s="14"/>
      <c r="AM1685" s="14"/>
    </row>
    <row r="1686" customFormat="false" ht="13.8" hidden="false" customHeight="false" outlineLevel="0" collapsed="false">
      <c r="AA1686" s="7" t="n">
        <f aca="false">AA1685+1</f>
        <v>42592</v>
      </c>
      <c r="AB1686" s="14"/>
      <c r="AC1686" s="14"/>
      <c r="AD1686" s="14"/>
      <c r="AE1686" s="14"/>
      <c r="AF1686" s="14"/>
      <c r="AG1686" s="14"/>
      <c r="AH1686" s="14"/>
      <c r="AI1686" s="14"/>
      <c r="AJ1686" s="14"/>
      <c r="AK1686" s="14"/>
      <c r="AL1686" s="14"/>
      <c r="AM1686" s="14"/>
    </row>
    <row r="1687" customFormat="false" ht="13.8" hidden="false" customHeight="false" outlineLevel="0" collapsed="false">
      <c r="AA1687" s="7" t="n">
        <f aca="false">AA1686+1</f>
        <v>42593</v>
      </c>
      <c r="AB1687" s="14"/>
      <c r="AC1687" s="14"/>
      <c r="AD1687" s="14"/>
      <c r="AE1687" s="14"/>
      <c r="AF1687" s="14"/>
      <c r="AG1687" s="14"/>
      <c r="AH1687" s="14"/>
      <c r="AI1687" s="14"/>
      <c r="AJ1687" s="14"/>
      <c r="AK1687" s="14"/>
      <c r="AL1687" s="14"/>
      <c r="AM1687" s="14"/>
    </row>
    <row r="1688" customFormat="false" ht="13.8" hidden="false" customHeight="false" outlineLevel="0" collapsed="false">
      <c r="AA1688" s="7" t="n">
        <f aca="false">AA1687+1</f>
        <v>42594</v>
      </c>
      <c r="AB1688" s="14"/>
      <c r="AC1688" s="14"/>
      <c r="AD1688" s="14"/>
      <c r="AE1688" s="14"/>
      <c r="AF1688" s="14"/>
      <c r="AG1688" s="14"/>
      <c r="AH1688" s="14"/>
      <c r="AI1688" s="14"/>
      <c r="AJ1688" s="14"/>
      <c r="AK1688" s="14"/>
      <c r="AL1688" s="14"/>
      <c r="AM1688" s="14"/>
    </row>
    <row r="1689" customFormat="false" ht="13.8" hidden="false" customHeight="false" outlineLevel="0" collapsed="false">
      <c r="AA1689" s="7" t="n">
        <f aca="false">AA1688+1</f>
        <v>42595</v>
      </c>
      <c r="AB1689" s="14"/>
      <c r="AC1689" s="14"/>
      <c r="AD1689" s="14"/>
      <c r="AE1689" s="14"/>
      <c r="AF1689" s="14"/>
      <c r="AG1689" s="14"/>
      <c r="AH1689" s="14"/>
      <c r="AI1689" s="14"/>
      <c r="AJ1689" s="14"/>
      <c r="AK1689" s="14"/>
      <c r="AL1689" s="14"/>
      <c r="AM1689" s="14"/>
    </row>
    <row r="1690" customFormat="false" ht="13.8" hidden="false" customHeight="false" outlineLevel="0" collapsed="false">
      <c r="AA1690" s="7" t="n">
        <f aca="false">AA1689+1</f>
        <v>42596</v>
      </c>
      <c r="AB1690" s="14"/>
      <c r="AC1690" s="14"/>
      <c r="AD1690" s="14"/>
      <c r="AE1690" s="14"/>
      <c r="AF1690" s="14"/>
      <c r="AG1690" s="14"/>
      <c r="AH1690" s="14"/>
      <c r="AI1690" s="14"/>
      <c r="AJ1690" s="14"/>
      <c r="AK1690" s="14"/>
      <c r="AL1690" s="14"/>
      <c r="AM1690" s="14"/>
    </row>
    <row r="1691" customFormat="false" ht="13.8" hidden="false" customHeight="false" outlineLevel="0" collapsed="false">
      <c r="AA1691" s="7" t="n">
        <f aca="false">AA1690+1</f>
        <v>42597</v>
      </c>
      <c r="AB1691" s="14"/>
      <c r="AC1691" s="14"/>
      <c r="AD1691" s="14"/>
      <c r="AE1691" s="14"/>
      <c r="AF1691" s="14"/>
      <c r="AG1691" s="14"/>
      <c r="AH1691" s="14"/>
      <c r="AI1691" s="14"/>
      <c r="AJ1691" s="14"/>
      <c r="AK1691" s="14"/>
      <c r="AL1691" s="14"/>
      <c r="AM1691" s="14"/>
    </row>
    <row r="1692" customFormat="false" ht="13.8" hidden="false" customHeight="false" outlineLevel="0" collapsed="false">
      <c r="AA1692" s="7" t="n">
        <f aca="false">AA1691+1</f>
        <v>42598</v>
      </c>
      <c r="AB1692" s="14"/>
      <c r="AC1692" s="14"/>
      <c r="AD1692" s="14"/>
      <c r="AE1692" s="14"/>
      <c r="AF1692" s="14"/>
      <c r="AG1692" s="14"/>
      <c r="AH1692" s="14"/>
      <c r="AI1692" s="14"/>
      <c r="AJ1692" s="14"/>
      <c r="AK1692" s="14"/>
      <c r="AL1692" s="14"/>
      <c r="AM1692" s="14"/>
    </row>
    <row r="1693" customFormat="false" ht="13.8" hidden="false" customHeight="false" outlineLevel="0" collapsed="false">
      <c r="AA1693" s="7" t="n">
        <f aca="false">AA1692+1</f>
        <v>42599</v>
      </c>
      <c r="AB1693" s="14"/>
      <c r="AC1693" s="14"/>
      <c r="AD1693" s="14"/>
      <c r="AE1693" s="14"/>
      <c r="AF1693" s="14"/>
      <c r="AG1693" s="14"/>
      <c r="AH1693" s="14"/>
      <c r="AI1693" s="14"/>
      <c r="AJ1693" s="14"/>
      <c r="AK1693" s="14"/>
      <c r="AL1693" s="14"/>
      <c r="AM1693" s="14"/>
    </row>
    <row r="1694" customFormat="false" ht="13.8" hidden="false" customHeight="false" outlineLevel="0" collapsed="false">
      <c r="AA1694" s="7" t="n">
        <f aca="false">AA1693+1</f>
        <v>42600</v>
      </c>
      <c r="AB1694" s="14"/>
      <c r="AC1694" s="14"/>
      <c r="AD1694" s="14"/>
      <c r="AE1694" s="14"/>
      <c r="AF1694" s="14"/>
      <c r="AG1694" s="14"/>
      <c r="AH1694" s="14"/>
      <c r="AI1694" s="14"/>
      <c r="AJ1694" s="14"/>
      <c r="AK1694" s="14"/>
      <c r="AL1694" s="14"/>
      <c r="AM1694" s="14"/>
    </row>
    <row r="1695" customFormat="false" ht="13.8" hidden="false" customHeight="false" outlineLevel="0" collapsed="false">
      <c r="AA1695" s="7" t="n">
        <f aca="false">AA1694+1</f>
        <v>42601</v>
      </c>
      <c r="AB1695" s="14"/>
      <c r="AC1695" s="14"/>
      <c r="AD1695" s="14"/>
      <c r="AE1695" s="14"/>
      <c r="AF1695" s="14"/>
      <c r="AG1695" s="14"/>
      <c r="AH1695" s="14"/>
      <c r="AI1695" s="14"/>
      <c r="AJ1695" s="14"/>
      <c r="AK1695" s="14"/>
      <c r="AL1695" s="14"/>
      <c r="AM1695" s="14"/>
    </row>
    <row r="1696" customFormat="false" ht="13.8" hidden="false" customHeight="false" outlineLevel="0" collapsed="false">
      <c r="AA1696" s="7" t="n">
        <f aca="false">AA1695+1</f>
        <v>42602</v>
      </c>
      <c r="AB1696" s="14"/>
      <c r="AC1696" s="14"/>
      <c r="AD1696" s="14"/>
      <c r="AE1696" s="14"/>
      <c r="AF1696" s="14"/>
      <c r="AG1696" s="14"/>
      <c r="AH1696" s="14"/>
      <c r="AI1696" s="14"/>
      <c r="AJ1696" s="14"/>
      <c r="AK1696" s="14"/>
      <c r="AL1696" s="14"/>
      <c r="AM1696" s="14"/>
    </row>
    <row r="1697" customFormat="false" ht="13.8" hidden="false" customHeight="false" outlineLevel="0" collapsed="false">
      <c r="AA1697" s="7" t="n">
        <f aca="false">AA1696+1</f>
        <v>42603</v>
      </c>
      <c r="AB1697" s="14"/>
      <c r="AC1697" s="14"/>
      <c r="AD1697" s="14"/>
      <c r="AE1697" s="14"/>
      <c r="AF1697" s="14"/>
      <c r="AG1697" s="14"/>
      <c r="AH1697" s="14"/>
      <c r="AI1697" s="14"/>
      <c r="AJ1697" s="14"/>
      <c r="AK1697" s="14"/>
      <c r="AL1697" s="14"/>
      <c r="AM1697" s="14"/>
    </row>
    <row r="1698" customFormat="false" ht="13.8" hidden="false" customHeight="false" outlineLevel="0" collapsed="false">
      <c r="AA1698" s="7" t="n">
        <f aca="false">AA1697+1</f>
        <v>42604</v>
      </c>
      <c r="AB1698" s="14"/>
      <c r="AC1698" s="14"/>
      <c r="AD1698" s="14"/>
      <c r="AE1698" s="14"/>
      <c r="AF1698" s="14"/>
      <c r="AG1698" s="14"/>
      <c r="AH1698" s="14"/>
      <c r="AI1698" s="14"/>
      <c r="AJ1698" s="14"/>
      <c r="AK1698" s="14"/>
      <c r="AL1698" s="14"/>
      <c r="AM1698" s="14"/>
    </row>
    <row r="1699" customFormat="false" ht="13.8" hidden="false" customHeight="false" outlineLevel="0" collapsed="false">
      <c r="AA1699" s="7" t="n">
        <f aca="false">AA1698+1</f>
        <v>42605</v>
      </c>
      <c r="AB1699" s="14"/>
      <c r="AC1699" s="14"/>
      <c r="AD1699" s="14"/>
      <c r="AE1699" s="14"/>
      <c r="AF1699" s="14"/>
      <c r="AG1699" s="14"/>
      <c r="AH1699" s="14"/>
      <c r="AI1699" s="14"/>
      <c r="AJ1699" s="14"/>
      <c r="AK1699" s="14"/>
      <c r="AL1699" s="14"/>
      <c r="AM1699" s="14"/>
    </row>
    <row r="1700" customFormat="false" ht="13.8" hidden="false" customHeight="false" outlineLevel="0" collapsed="false">
      <c r="AA1700" s="7" t="n">
        <f aca="false">AA1699+1</f>
        <v>42606</v>
      </c>
      <c r="AB1700" s="14"/>
      <c r="AC1700" s="14"/>
      <c r="AD1700" s="14"/>
      <c r="AE1700" s="14"/>
      <c r="AF1700" s="14"/>
      <c r="AG1700" s="14"/>
      <c r="AH1700" s="14"/>
      <c r="AI1700" s="14"/>
      <c r="AJ1700" s="14"/>
      <c r="AK1700" s="14"/>
      <c r="AL1700" s="14"/>
      <c r="AM1700" s="14"/>
    </row>
    <row r="1701" customFormat="false" ht="13.8" hidden="false" customHeight="false" outlineLevel="0" collapsed="false">
      <c r="AA1701" s="7" t="n">
        <f aca="false">AA1700+1</f>
        <v>42607</v>
      </c>
      <c r="AB1701" s="14"/>
      <c r="AC1701" s="14"/>
      <c r="AD1701" s="14"/>
      <c r="AE1701" s="14"/>
      <c r="AF1701" s="14"/>
      <c r="AG1701" s="14"/>
      <c r="AH1701" s="14"/>
      <c r="AI1701" s="14"/>
      <c r="AJ1701" s="14"/>
      <c r="AK1701" s="14"/>
      <c r="AL1701" s="14"/>
      <c r="AM1701" s="14"/>
    </row>
    <row r="1702" customFormat="false" ht="13.8" hidden="false" customHeight="false" outlineLevel="0" collapsed="false">
      <c r="AA1702" s="7" t="n">
        <f aca="false">AA1701+1</f>
        <v>42608</v>
      </c>
      <c r="AB1702" s="14"/>
      <c r="AC1702" s="14"/>
      <c r="AD1702" s="14"/>
      <c r="AE1702" s="14"/>
      <c r="AF1702" s="14"/>
      <c r="AG1702" s="14"/>
      <c r="AH1702" s="14"/>
      <c r="AI1702" s="14"/>
      <c r="AJ1702" s="14"/>
      <c r="AK1702" s="14"/>
      <c r="AL1702" s="14"/>
      <c r="AM1702" s="14"/>
    </row>
    <row r="1703" customFormat="false" ht="13.8" hidden="false" customHeight="false" outlineLevel="0" collapsed="false">
      <c r="AA1703" s="7" t="n">
        <f aca="false">AA1702+1</f>
        <v>42609</v>
      </c>
      <c r="AB1703" s="14"/>
      <c r="AC1703" s="14"/>
      <c r="AD1703" s="14"/>
      <c r="AE1703" s="14"/>
      <c r="AF1703" s="14"/>
      <c r="AG1703" s="14"/>
      <c r="AH1703" s="14"/>
      <c r="AI1703" s="14"/>
      <c r="AJ1703" s="14"/>
      <c r="AK1703" s="14"/>
      <c r="AL1703" s="14"/>
      <c r="AM1703" s="14"/>
    </row>
    <row r="1704" customFormat="false" ht="13.8" hidden="false" customHeight="false" outlineLevel="0" collapsed="false">
      <c r="AA1704" s="7" t="n">
        <f aca="false">AA1703+1</f>
        <v>42610</v>
      </c>
      <c r="AB1704" s="14"/>
      <c r="AC1704" s="14"/>
      <c r="AD1704" s="14"/>
      <c r="AE1704" s="14"/>
      <c r="AF1704" s="14"/>
      <c r="AG1704" s="14"/>
      <c r="AH1704" s="14"/>
      <c r="AI1704" s="14"/>
      <c r="AJ1704" s="14"/>
      <c r="AK1704" s="14"/>
      <c r="AL1704" s="14"/>
      <c r="AM1704" s="14"/>
    </row>
    <row r="1705" customFormat="false" ht="13.8" hidden="false" customHeight="false" outlineLevel="0" collapsed="false">
      <c r="AA1705" s="7" t="n">
        <f aca="false">AA1704+1</f>
        <v>42611</v>
      </c>
      <c r="AB1705" s="14"/>
      <c r="AC1705" s="14"/>
      <c r="AD1705" s="14"/>
      <c r="AE1705" s="14"/>
      <c r="AF1705" s="14"/>
      <c r="AG1705" s="14"/>
      <c r="AH1705" s="14"/>
      <c r="AI1705" s="14"/>
      <c r="AJ1705" s="14"/>
      <c r="AK1705" s="14"/>
      <c r="AL1705" s="14"/>
      <c r="AM1705" s="14"/>
    </row>
    <row r="1706" customFormat="false" ht="13.8" hidden="false" customHeight="false" outlineLevel="0" collapsed="false">
      <c r="AA1706" s="7" t="n">
        <f aca="false">AA1705+1</f>
        <v>42612</v>
      </c>
      <c r="AB1706" s="14"/>
      <c r="AC1706" s="14"/>
      <c r="AD1706" s="14"/>
      <c r="AE1706" s="14"/>
      <c r="AF1706" s="14"/>
      <c r="AG1706" s="14"/>
      <c r="AH1706" s="14"/>
      <c r="AI1706" s="14"/>
      <c r="AJ1706" s="14"/>
      <c r="AK1706" s="14"/>
      <c r="AL1706" s="14"/>
      <c r="AM1706" s="14"/>
    </row>
    <row r="1707" customFormat="false" ht="13.8" hidden="false" customHeight="false" outlineLevel="0" collapsed="false">
      <c r="AA1707" s="7" t="n">
        <f aca="false">AA1706+1</f>
        <v>42613</v>
      </c>
      <c r="AB1707" s="14"/>
      <c r="AC1707" s="14"/>
      <c r="AD1707" s="14"/>
      <c r="AE1707" s="14"/>
      <c r="AF1707" s="14"/>
      <c r="AG1707" s="14"/>
      <c r="AH1707" s="14"/>
      <c r="AI1707" s="14"/>
      <c r="AJ1707" s="14"/>
      <c r="AK1707" s="14"/>
      <c r="AL1707" s="14"/>
      <c r="AM1707" s="14"/>
    </row>
    <row r="1708" customFormat="false" ht="13.8" hidden="false" customHeight="false" outlineLevel="0" collapsed="false">
      <c r="AA1708" s="7" t="n">
        <f aca="false">AA1707+1</f>
        <v>42614</v>
      </c>
      <c r="AB1708" s="14"/>
      <c r="AC1708" s="14"/>
      <c r="AD1708" s="14"/>
      <c r="AE1708" s="14"/>
      <c r="AF1708" s="14"/>
      <c r="AG1708" s="14"/>
      <c r="AH1708" s="14"/>
      <c r="AI1708" s="14"/>
      <c r="AJ1708" s="14"/>
      <c r="AK1708" s="14"/>
      <c r="AL1708" s="14"/>
      <c r="AM1708" s="14"/>
    </row>
    <row r="1709" customFormat="false" ht="13.8" hidden="false" customHeight="false" outlineLevel="0" collapsed="false">
      <c r="AA1709" s="7" t="n">
        <f aca="false">AA1708+1</f>
        <v>42615</v>
      </c>
      <c r="AB1709" s="14"/>
      <c r="AC1709" s="14"/>
      <c r="AD1709" s="14"/>
      <c r="AE1709" s="14"/>
      <c r="AF1709" s="14"/>
      <c r="AG1709" s="14"/>
      <c r="AH1709" s="14"/>
      <c r="AI1709" s="14"/>
      <c r="AJ1709" s="14"/>
      <c r="AK1709" s="14"/>
      <c r="AL1709" s="14"/>
      <c r="AM1709" s="14"/>
    </row>
    <row r="1710" customFormat="false" ht="13.8" hidden="false" customHeight="false" outlineLevel="0" collapsed="false">
      <c r="AA1710" s="7" t="n">
        <f aca="false">AA1709+1</f>
        <v>42616</v>
      </c>
      <c r="AB1710" s="14"/>
      <c r="AC1710" s="14"/>
      <c r="AD1710" s="14"/>
      <c r="AE1710" s="14"/>
      <c r="AF1710" s="14"/>
      <c r="AG1710" s="14"/>
      <c r="AH1710" s="14"/>
      <c r="AI1710" s="14"/>
      <c r="AJ1710" s="14"/>
      <c r="AK1710" s="14"/>
      <c r="AL1710" s="14"/>
      <c r="AM1710" s="14"/>
    </row>
    <row r="1711" customFormat="false" ht="13.8" hidden="false" customHeight="false" outlineLevel="0" collapsed="false">
      <c r="AA1711" s="7" t="n">
        <f aca="false">AA1710+1</f>
        <v>42617</v>
      </c>
      <c r="AB1711" s="14"/>
      <c r="AC1711" s="14"/>
      <c r="AD1711" s="14"/>
      <c r="AE1711" s="14"/>
      <c r="AF1711" s="14"/>
      <c r="AG1711" s="14"/>
      <c r="AH1711" s="14"/>
      <c r="AI1711" s="14"/>
      <c r="AJ1711" s="14"/>
      <c r="AK1711" s="14"/>
      <c r="AL1711" s="14"/>
      <c r="AM1711" s="14"/>
    </row>
    <row r="1712" customFormat="false" ht="13.8" hidden="false" customHeight="false" outlineLevel="0" collapsed="false">
      <c r="AA1712" s="7" t="n">
        <f aca="false">AA1711+1</f>
        <v>42618</v>
      </c>
      <c r="AB1712" s="14"/>
      <c r="AC1712" s="14"/>
      <c r="AD1712" s="14"/>
      <c r="AE1712" s="14"/>
      <c r="AF1712" s="14"/>
      <c r="AG1712" s="14"/>
      <c r="AH1712" s="14"/>
      <c r="AI1712" s="14"/>
      <c r="AJ1712" s="14"/>
      <c r="AK1712" s="14"/>
      <c r="AL1712" s="14"/>
      <c r="AM1712" s="14"/>
    </row>
    <row r="1713" customFormat="false" ht="13.8" hidden="false" customHeight="false" outlineLevel="0" collapsed="false">
      <c r="AA1713" s="7" t="n">
        <f aca="false">AA1712+1</f>
        <v>42619</v>
      </c>
      <c r="AB1713" s="14"/>
      <c r="AC1713" s="14"/>
      <c r="AD1713" s="14"/>
      <c r="AE1713" s="14"/>
      <c r="AF1713" s="14"/>
      <c r="AG1713" s="14"/>
      <c r="AH1713" s="14"/>
      <c r="AI1713" s="14"/>
      <c r="AJ1713" s="14"/>
      <c r="AK1713" s="14"/>
      <c r="AL1713" s="14"/>
      <c r="AM1713" s="14"/>
    </row>
    <row r="1714" customFormat="false" ht="13.8" hidden="false" customHeight="false" outlineLevel="0" collapsed="false">
      <c r="AA1714" s="7" t="n">
        <f aca="false">AA1713+1</f>
        <v>42620</v>
      </c>
      <c r="AB1714" s="14"/>
      <c r="AC1714" s="14"/>
      <c r="AD1714" s="14"/>
      <c r="AE1714" s="14"/>
      <c r="AF1714" s="14"/>
      <c r="AG1714" s="14"/>
      <c r="AH1714" s="14"/>
      <c r="AI1714" s="14"/>
      <c r="AJ1714" s="14"/>
      <c r="AK1714" s="14"/>
      <c r="AL1714" s="14"/>
      <c r="AM1714" s="14"/>
    </row>
    <row r="1715" customFormat="false" ht="13.8" hidden="false" customHeight="false" outlineLevel="0" collapsed="false">
      <c r="AA1715" s="7" t="n">
        <f aca="false">AA1714+1</f>
        <v>42621</v>
      </c>
      <c r="AB1715" s="14"/>
      <c r="AC1715" s="14"/>
      <c r="AD1715" s="14"/>
      <c r="AE1715" s="14"/>
      <c r="AF1715" s="14"/>
      <c r="AG1715" s="14"/>
      <c r="AH1715" s="14"/>
      <c r="AI1715" s="14"/>
      <c r="AJ1715" s="14"/>
      <c r="AK1715" s="14"/>
      <c r="AL1715" s="14"/>
      <c r="AM1715" s="14"/>
    </row>
    <row r="1716" customFormat="false" ht="13.8" hidden="false" customHeight="false" outlineLevel="0" collapsed="false">
      <c r="AA1716" s="7" t="n">
        <f aca="false">AA1715+1</f>
        <v>42622</v>
      </c>
      <c r="AB1716" s="14"/>
      <c r="AC1716" s="14"/>
      <c r="AD1716" s="14"/>
      <c r="AE1716" s="14"/>
      <c r="AF1716" s="14"/>
      <c r="AG1716" s="14"/>
      <c r="AH1716" s="14"/>
      <c r="AI1716" s="14"/>
      <c r="AJ1716" s="14"/>
      <c r="AK1716" s="14"/>
      <c r="AL1716" s="14"/>
      <c r="AM1716" s="14"/>
    </row>
    <row r="1717" customFormat="false" ht="13.8" hidden="false" customHeight="false" outlineLevel="0" collapsed="false">
      <c r="AA1717" s="7" t="n">
        <f aca="false">AA1716+1</f>
        <v>42623</v>
      </c>
      <c r="AB1717" s="14"/>
      <c r="AC1717" s="14"/>
      <c r="AD1717" s="14"/>
      <c r="AE1717" s="14"/>
      <c r="AF1717" s="14"/>
      <c r="AG1717" s="14"/>
      <c r="AH1717" s="14"/>
      <c r="AI1717" s="14"/>
      <c r="AJ1717" s="14"/>
      <c r="AK1717" s="14"/>
      <c r="AL1717" s="14"/>
      <c r="AM1717" s="14"/>
    </row>
    <row r="1718" customFormat="false" ht="13.8" hidden="false" customHeight="false" outlineLevel="0" collapsed="false">
      <c r="AA1718" s="7" t="n">
        <f aca="false">AA1717+1</f>
        <v>42624</v>
      </c>
      <c r="AB1718" s="14"/>
      <c r="AC1718" s="14"/>
      <c r="AD1718" s="14"/>
      <c r="AE1718" s="14"/>
      <c r="AF1718" s="14"/>
      <c r="AG1718" s="14"/>
      <c r="AH1718" s="14"/>
      <c r="AI1718" s="14"/>
      <c r="AJ1718" s="14"/>
      <c r="AK1718" s="14"/>
      <c r="AL1718" s="14"/>
      <c r="AM1718" s="14"/>
    </row>
    <row r="1719" customFormat="false" ht="13.8" hidden="false" customHeight="false" outlineLevel="0" collapsed="false">
      <c r="AA1719" s="7" t="n">
        <f aca="false">AA1718+1</f>
        <v>42625</v>
      </c>
      <c r="AB1719" s="14"/>
      <c r="AC1719" s="14"/>
      <c r="AD1719" s="14"/>
      <c r="AE1719" s="14"/>
      <c r="AF1719" s="14"/>
      <c r="AG1719" s="14"/>
      <c r="AH1719" s="14"/>
      <c r="AI1719" s="14"/>
      <c r="AJ1719" s="14"/>
      <c r="AK1719" s="14"/>
      <c r="AL1719" s="14"/>
      <c r="AM1719" s="14"/>
    </row>
    <row r="1720" customFormat="false" ht="13.8" hidden="false" customHeight="false" outlineLevel="0" collapsed="false">
      <c r="AA1720" s="7" t="n">
        <f aca="false">AA1719+1</f>
        <v>42626</v>
      </c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</row>
    <row r="1721" customFormat="false" ht="13.8" hidden="false" customHeight="false" outlineLevel="0" collapsed="false">
      <c r="AA1721" s="7" t="n">
        <f aca="false">AA1720+1</f>
        <v>42627</v>
      </c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</row>
    <row r="1722" customFormat="false" ht="13.8" hidden="false" customHeight="false" outlineLevel="0" collapsed="false">
      <c r="AA1722" s="7" t="n">
        <f aca="false">AA1721+1</f>
        <v>42628</v>
      </c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</row>
    <row r="1723" customFormat="false" ht="13.8" hidden="false" customHeight="false" outlineLevel="0" collapsed="false">
      <c r="AA1723" s="7" t="n">
        <f aca="false">AA1722+1</f>
        <v>42629</v>
      </c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</row>
    <row r="1724" customFormat="false" ht="13.8" hidden="false" customHeight="false" outlineLevel="0" collapsed="false">
      <c r="AA1724" s="7" t="n">
        <f aca="false">AA1723+1</f>
        <v>42630</v>
      </c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</row>
    <row r="1725" customFormat="false" ht="13.8" hidden="false" customHeight="false" outlineLevel="0" collapsed="false">
      <c r="AA1725" s="7" t="n">
        <f aca="false">AA1724+1</f>
        <v>42631</v>
      </c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</row>
    <row r="1726" customFormat="false" ht="13.8" hidden="false" customHeight="false" outlineLevel="0" collapsed="false">
      <c r="AA1726" s="7" t="n">
        <f aca="false">AA1725+1</f>
        <v>42632</v>
      </c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</row>
    <row r="1727" customFormat="false" ht="13.8" hidden="false" customHeight="false" outlineLevel="0" collapsed="false">
      <c r="AA1727" s="7" t="n">
        <f aca="false">AA1726+1</f>
        <v>42633</v>
      </c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</row>
    <row r="1728" customFormat="false" ht="13.8" hidden="false" customHeight="false" outlineLevel="0" collapsed="false">
      <c r="AA1728" s="7" t="n">
        <f aca="false">AA1727+1</f>
        <v>42634</v>
      </c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</row>
    <row r="1729" customFormat="false" ht="13.8" hidden="false" customHeight="false" outlineLevel="0" collapsed="false">
      <c r="AA1729" s="7" t="n">
        <f aca="false">AA1728+1</f>
        <v>42635</v>
      </c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</row>
    <row r="1730" customFormat="false" ht="13.8" hidden="false" customHeight="false" outlineLevel="0" collapsed="false">
      <c r="AA1730" s="7" t="n">
        <f aca="false">AA1729+1</f>
        <v>42636</v>
      </c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</row>
    <row r="1731" customFormat="false" ht="13.8" hidden="false" customHeight="false" outlineLevel="0" collapsed="false">
      <c r="AA1731" s="7" t="n">
        <f aca="false">AA1730+1</f>
        <v>42637</v>
      </c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</row>
    <row r="1732" customFormat="false" ht="13.8" hidden="false" customHeight="false" outlineLevel="0" collapsed="false">
      <c r="AA1732" s="7" t="n">
        <f aca="false">AA1731+1</f>
        <v>42638</v>
      </c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</row>
    <row r="1733" customFormat="false" ht="13.8" hidden="false" customHeight="false" outlineLevel="0" collapsed="false">
      <c r="AA1733" s="7" t="n">
        <f aca="false">AA1732+1</f>
        <v>42639</v>
      </c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</row>
    <row r="1734" customFormat="false" ht="13.8" hidden="false" customHeight="false" outlineLevel="0" collapsed="false">
      <c r="AA1734" s="7" t="n">
        <f aca="false">AA1733+1</f>
        <v>42640</v>
      </c>
      <c r="AB1734" s="14"/>
      <c r="AC1734" s="14"/>
      <c r="AD1734" s="14"/>
      <c r="AE1734" s="14"/>
      <c r="AF1734" s="14"/>
      <c r="AG1734" s="14"/>
      <c r="AH1734" s="14"/>
      <c r="AI1734" s="14"/>
      <c r="AJ1734" s="14"/>
      <c r="AK1734" s="14"/>
      <c r="AL1734" s="14"/>
      <c r="AM1734" s="14"/>
    </row>
    <row r="1735" customFormat="false" ht="13.8" hidden="false" customHeight="false" outlineLevel="0" collapsed="false">
      <c r="AA1735" s="7" t="n">
        <f aca="false">AA1734+1</f>
        <v>42641</v>
      </c>
      <c r="AB1735" s="14"/>
      <c r="AC1735" s="14"/>
      <c r="AD1735" s="14"/>
      <c r="AE1735" s="14"/>
      <c r="AF1735" s="14"/>
      <c r="AG1735" s="14"/>
      <c r="AH1735" s="14"/>
      <c r="AI1735" s="14"/>
      <c r="AJ1735" s="14"/>
      <c r="AK1735" s="14"/>
      <c r="AL1735" s="14"/>
      <c r="AM1735" s="14"/>
    </row>
    <row r="1736" customFormat="false" ht="13.8" hidden="false" customHeight="false" outlineLevel="0" collapsed="false">
      <c r="AA1736" s="7" t="n">
        <f aca="false">AA1735+1</f>
        <v>42642</v>
      </c>
      <c r="AB1736" s="14"/>
      <c r="AC1736" s="14"/>
      <c r="AD1736" s="14"/>
      <c r="AE1736" s="14"/>
      <c r="AF1736" s="14"/>
      <c r="AG1736" s="14"/>
      <c r="AH1736" s="14"/>
      <c r="AI1736" s="14"/>
      <c r="AJ1736" s="14"/>
      <c r="AK1736" s="14"/>
      <c r="AL1736" s="14"/>
      <c r="AM1736" s="14"/>
    </row>
    <row r="1737" customFormat="false" ht="13.8" hidden="false" customHeight="false" outlineLevel="0" collapsed="false">
      <c r="AA1737" s="7" t="n">
        <f aca="false">AA1736+1</f>
        <v>42643</v>
      </c>
      <c r="AB1737" s="14"/>
      <c r="AC1737" s="14"/>
      <c r="AD1737" s="14"/>
      <c r="AE1737" s="14"/>
      <c r="AF1737" s="14"/>
      <c r="AG1737" s="14"/>
      <c r="AH1737" s="14"/>
      <c r="AI1737" s="14"/>
      <c r="AJ1737" s="14"/>
      <c r="AK1737" s="14"/>
      <c r="AL1737" s="14"/>
      <c r="AM1737" s="14"/>
    </row>
    <row r="1738" customFormat="false" ht="13.8" hidden="false" customHeight="false" outlineLevel="0" collapsed="false">
      <c r="AA1738" s="7" t="n">
        <f aca="false">AA1737+1</f>
        <v>42644</v>
      </c>
      <c r="AB1738" s="14"/>
      <c r="AC1738" s="14"/>
      <c r="AD1738" s="14"/>
      <c r="AE1738" s="14"/>
      <c r="AF1738" s="14"/>
      <c r="AG1738" s="14"/>
      <c r="AH1738" s="14"/>
      <c r="AI1738" s="14"/>
      <c r="AJ1738" s="14"/>
      <c r="AK1738" s="14"/>
      <c r="AL1738" s="14"/>
      <c r="AM1738" s="14"/>
    </row>
    <row r="1739" customFormat="false" ht="13.8" hidden="false" customHeight="false" outlineLevel="0" collapsed="false">
      <c r="AA1739" s="7" t="n">
        <f aca="false">AA1738+1</f>
        <v>42645</v>
      </c>
      <c r="AB1739" s="14"/>
      <c r="AC1739" s="14"/>
      <c r="AD1739" s="14"/>
      <c r="AE1739" s="14"/>
      <c r="AF1739" s="14"/>
      <c r="AG1739" s="14"/>
      <c r="AH1739" s="14"/>
      <c r="AI1739" s="14"/>
      <c r="AJ1739" s="14"/>
      <c r="AK1739" s="14"/>
      <c r="AL1739" s="14"/>
      <c r="AM1739" s="14"/>
    </row>
    <row r="1740" customFormat="false" ht="13.8" hidden="false" customHeight="false" outlineLevel="0" collapsed="false">
      <c r="AA1740" s="7" t="n">
        <f aca="false">AA1739+1</f>
        <v>42646</v>
      </c>
      <c r="AB1740" s="14"/>
      <c r="AC1740" s="14"/>
      <c r="AD1740" s="14"/>
      <c r="AE1740" s="14"/>
      <c r="AF1740" s="14"/>
      <c r="AG1740" s="14"/>
      <c r="AH1740" s="14"/>
      <c r="AI1740" s="14"/>
      <c r="AJ1740" s="14"/>
      <c r="AK1740" s="14"/>
      <c r="AL1740" s="14"/>
      <c r="AM1740" s="14"/>
    </row>
    <row r="1741" customFormat="false" ht="13.8" hidden="false" customHeight="false" outlineLevel="0" collapsed="false">
      <c r="AA1741" s="7" t="n">
        <f aca="false">AA1740+1</f>
        <v>42647</v>
      </c>
      <c r="AB1741" s="14"/>
      <c r="AC1741" s="14"/>
      <c r="AD1741" s="14"/>
      <c r="AE1741" s="14"/>
      <c r="AF1741" s="14"/>
      <c r="AG1741" s="14"/>
      <c r="AH1741" s="14"/>
      <c r="AI1741" s="14"/>
      <c r="AJ1741" s="14"/>
      <c r="AK1741" s="14"/>
      <c r="AL1741" s="14"/>
      <c r="AM1741" s="14"/>
    </row>
    <row r="1742" customFormat="false" ht="13.8" hidden="false" customHeight="false" outlineLevel="0" collapsed="false">
      <c r="AA1742" s="7" t="n">
        <f aca="false">AA1741+1</f>
        <v>42648</v>
      </c>
      <c r="AB1742" s="14"/>
      <c r="AC1742" s="14"/>
      <c r="AD1742" s="14"/>
      <c r="AE1742" s="14"/>
      <c r="AF1742" s="14"/>
      <c r="AG1742" s="14"/>
      <c r="AH1742" s="14"/>
      <c r="AI1742" s="14"/>
      <c r="AJ1742" s="14"/>
      <c r="AK1742" s="14"/>
      <c r="AL1742" s="14"/>
      <c r="AM1742" s="14"/>
    </row>
    <row r="1743" customFormat="false" ht="13.8" hidden="false" customHeight="false" outlineLevel="0" collapsed="false">
      <c r="AA1743" s="7" t="n">
        <f aca="false">AA1742+1</f>
        <v>42649</v>
      </c>
      <c r="AB1743" s="14"/>
      <c r="AC1743" s="14"/>
      <c r="AD1743" s="14"/>
      <c r="AE1743" s="14"/>
      <c r="AF1743" s="14"/>
      <c r="AG1743" s="14"/>
      <c r="AH1743" s="14"/>
      <c r="AI1743" s="14"/>
      <c r="AJ1743" s="14"/>
      <c r="AK1743" s="14"/>
      <c r="AL1743" s="14"/>
      <c r="AM1743" s="14"/>
    </row>
    <row r="1744" customFormat="false" ht="13.8" hidden="false" customHeight="false" outlineLevel="0" collapsed="false">
      <c r="AA1744" s="7" t="n">
        <f aca="false">AA1743+1</f>
        <v>42650</v>
      </c>
      <c r="AB1744" s="14"/>
      <c r="AC1744" s="14"/>
      <c r="AD1744" s="14"/>
      <c r="AE1744" s="14"/>
      <c r="AF1744" s="14"/>
      <c r="AG1744" s="14"/>
      <c r="AH1744" s="14"/>
      <c r="AI1744" s="14"/>
      <c r="AJ1744" s="14"/>
      <c r="AK1744" s="14"/>
      <c r="AL1744" s="14"/>
      <c r="AM1744" s="14"/>
    </row>
    <row r="1745" customFormat="false" ht="13.8" hidden="false" customHeight="false" outlineLevel="0" collapsed="false">
      <c r="AA1745" s="7" t="n">
        <f aca="false">AA1744+1</f>
        <v>42651</v>
      </c>
      <c r="AB1745" s="14"/>
      <c r="AC1745" s="14"/>
      <c r="AD1745" s="14"/>
      <c r="AE1745" s="14"/>
      <c r="AF1745" s="14"/>
      <c r="AG1745" s="14"/>
      <c r="AH1745" s="14"/>
      <c r="AI1745" s="14"/>
      <c r="AJ1745" s="14"/>
      <c r="AK1745" s="14"/>
      <c r="AL1745" s="14"/>
      <c r="AM1745" s="14"/>
    </row>
    <row r="1746" customFormat="false" ht="13.8" hidden="false" customHeight="false" outlineLevel="0" collapsed="false">
      <c r="AA1746" s="7" t="n">
        <f aca="false">AA1745+1</f>
        <v>42652</v>
      </c>
      <c r="AB1746" s="14"/>
      <c r="AC1746" s="14"/>
      <c r="AD1746" s="14"/>
      <c r="AE1746" s="14"/>
      <c r="AF1746" s="14"/>
      <c r="AG1746" s="14"/>
      <c r="AH1746" s="14"/>
      <c r="AI1746" s="14"/>
      <c r="AJ1746" s="14"/>
      <c r="AK1746" s="14"/>
      <c r="AL1746" s="14"/>
      <c r="AM1746" s="14"/>
    </row>
    <row r="1747" customFormat="false" ht="13.8" hidden="false" customHeight="false" outlineLevel="0" collapsed="false">
      <c r="AA1747" s="7" t="n">
        <f aca="false">AA1746+1</f>
        <v>42653</v>
      </c>
      <c r="AB1747" s="14"/>
      <c r="AC1747" s="14"/>
      <c r="AD1747" s="14"/>
      <c r="AE1747" s="14"/>
      <c r="AF1747" s="14"/>
      <c r="AG1747" s="14"/>
      <c r="AH1747" s="14"/>
      <c r="AI1747" s="14"/>
      <c r="AJ1747" s="14"/>
      <c r="AK1747" s="14"/>
      <c r="AL1747" s="14"/>
      <c r="AM1747" s="14"/>
    </row>
    <row r="1748" customFormat="false" ht="13.8" hidden="false" customHeight="false" outlineLevel="0" collapsed="false">
      <c r="AA1748" s="7" t="n">
        <f aca="false">AA1747+1</f>
        <v>42654</v>
      </c>
      <c r="AB1748" s="14"/>
      <c r="AC1748" s="14"/>
      <c r="AD1748" s="14"/>
      <c r="AE1748" s="14"/>
      <c r="AF1748" s="14"/>
      <c r="AG1748" s="14"/>
      <c r="AH1748" s="14"/>
      <c r="AI1748" s="14"/>
      <c r="AJ1748" s="14"/>
      <c r="AK1748" s="14"/>
      <c r="AL1748" s="14"/>
      <c r="AM1748" s="14"/>
    </row>
    <row r="1749" customFormat="false" ht="13.8" hidden="false" customHeight="false" outlineLevel="0" collapsed="false">
      <c r="AA1749" s="7" t="n">
        <f aca="false">AA1748+1</f>
        <v>42655</v>
      </c>
      <c r="AB1749" s="14"/>
      <c r="AC1749" s="14"/>
      <c r="AD1749" s="14"/>
      <c r="AE1749" s="14"/>
      <c r="AF1749" s="14"/>
      <c r="AG1749" s="14"/>
      <c r="AH1749" s="14"/>
      <c r="AI1749" s="14"/>
      <c r="AJ1749" s="14"/>
      <c r="AK1749" s="14"/>
      <c r="AL1749" s="14"/>
      <c r="AM1749" s="14"/>
    </row>
    <row r="1750" customFormat="false" ht="13.8" hidden="false" customHeight="false" outlineLevel="0" collapsed="false">
      <c r="AA1750" s="7" t="n">
        <f aca="false">AA1749+1</f>
        <v>42656</v>
      </c>
      <c r="AB1750" s="14"/>
      <c r="AC1750" s="14"/>
      <c r="AD1750" s="14"/>
      <c r="AE1750" s="14"/>
      <c r="AF1750" s="14"/>
      <c r="AG1750" s="14"/>
      <c r="AH1750" s="14"/>
      <c r="AI1750" s="14"/>
      <c r="AJ1750" s="14"/>
      <c r="AK1750" s="14"/>
      <c r="AL1750" s="14"/>
      <c r="AM1750" s="14"/>
    </row>
    <row r="1751" customFormat="false" ht="13.8" hidden="false" customHeight="false" outlineLevel="0" collapsed="false">
      <c r="AA1751" s="7" t="n">
        <f aca="false">AA1750+1</f>
        <v>42657</v>
      </c>
      <c r="AB1751" s="14"/>
      <c r="AC1751" s="14"/>
      <c r="AD1751" s="14"/>
      <c r="AE1751" s="14"/>
      <c r="AF1751" s="14"/>
      <c r="AG1751" s="14"/>
      <c r="AH1751" s="14"/>
      <c r="AI1751" s="14"/>
      <c r="AJ1751" s="14"/>
      <c r="AK1751" s="14"/>
      <c r="AL1751" s="14"/>
      <c r="AM1751" s="14"/>
    </row>
    <row r="1752" customFormat="false" ht="13.8" hidden="false" customHeight="false" outlineLevel="0" collapsed="false">
      <c r="AA1752" s="7" t="n">
        <f aca="false">AA1751+1</f>
        <v>42658</v>
      </c>
      <c r="AB1752" s="14"/>
      <c r="AC1752" s="14"/>
      <c r="AD1752" s="14"/>
      <c r="AE1752" s="14"/>
      <c r="AF1752" s="14"/>
      <c r="AG1752" s="14"/>
      <c r="AH1752" s="14"/>
      <c r="AI1752" s="14"/>
      <c r="AJ1752" s="14"/>
      <c r="AK1752" s="14"/>
      <c r="AL1752" s="14"/>
      <c r="AM1752" s="14"/>
    </row>
    <row r="1753" customFormat="false" ht="13.8" hidden="false" customHeight="false" outlineLevel="0" collapsed="false">
      <c r="AA1753" s="7" t="n">
        <f aca="false">AA1752+1</f>
        <v>42659</v>
      </c>
      <c r="AB1753" s="14"/>
      <c r="AC1753" s="14"/>
      <c r="AD1753" s="14"/>
      <c r="AE1753" s="14"/>
      <c r="AF1753" s="14"/>
      <c r="AG1753" s="14"/>
      <c r="AH1753" s="14"/>
      <c r="AI1753" s="14"/>
      <c r="AJ1753" s="14"/>
      <c r="AK1753" s="14"/>
      <c r="AL1753" s="14"/>
      <c r="AM1753" s="14"/>
    </row>
    <row r="1754" customFormat="false" ht="13.8" hidden="false" customHeight="false" outlineLevel="0" collapsed="false">
      <c r="AA1754" s="7" t="n">
        <f aca="false">AA1753+1</f>
        <v>42660</v>
      </c>
      <c r="AB1754" s="14"/>
      <c r="AC1754" s="14"/>
      <c r="AD1754" s="14"/>
      <c r="AE1754" s="14"/>
      <c r="AF1754" s="14"/>
      <c r="AG1754" s="14"/>
      <c r="AH1754" s="14"/>
      <c r="AI1754" s="14"/>
      <c r="AJ1754" s="14"/>
      <c r="AK1754" s="14"/>
      <c r="AL1754" s="14"/>
      <c r="AM1754" s="14"/>
    </row>
    <row r="1755" customFormat="false" ht="13.8" hidden="false" customHeight="false" outlineLevel="0" collapsed="false">
      <c r="AA1755" s="7" t="n">
        <f aca="false">AA1754+1</f>
        <v>42661</v>
      </c>
      <c r="AB1755" s="14"/>
      <c r="AC1755" s="14"/>
      <c r="AD1755" s="14"/>
      <c r="AE1755" s="14"/>
      <c r="AF1755" s="14"/>
      <c r="AG1755" s="14"/>
      <c r="AH1755" s="14"/>
      <c r="AI1755" s="14"/>
      <c r="AJ1755" s="14"/>
      <c r="AK1755" s="14"/>
      <c r="AL1755" s="14"/>
      <c r="AM1755" s="14"/>
    </row>
    <row r="1756" customFormat="false" ht="13.8" hidden="false" customHeight="false" outlineLevel="0" collapsed="false">
      <c r="AA1756" s="7" t="n">
        <f aca="false">AA1755+1</f>
        <v>42662</v>
      </c>
      <c r="AB1756" s="14"/>
      <c r="AC1756" s="14"/>
      <c r="AD1756" s="14"/>
      <c r="AE1756" s="14"/>
      <c r="AF1756" s="14"/>
      <c r="AG1756" s="14"/>
      <c r="AH1756" s="14"/>
      <c r="AI1756" s="14"/>
      <c r="AJ1756" s="14"/>
      <c r="AK1756" s="14"/>
      <c r="AL1756" s="14"/>
      <c r="AM1756" s="14"/>
    </row>
    <row r="1757" customFormat="false" ht="13.8" hidden="false" customHeight="false" outlineLevel="0" collapsed="false">
      <c r="AA1757" s="7" t="n">
        <f aca="false">AA1756+1</f>
        <v>42663</v>
      </c>
      <c r="AB1757" s="14"/>
      <c r="AC1757" s="14"/>
      <c r="AD1757" s="14"/>
      <c r="AE1757" s="14"/>
      <c r="AF1757" s="14"/>
      <c r="AG1757" s="14"/>
      <c r="AH1757" s="14"/>
      <c r="AI1757" s="14"/>
      <c r="AJ1757" s="14"/>
      <c r="AK1757" s="14"/>
      <c r="AL1757" s="14"/>
      <c r="AM1757" s="14"/>
    </row>
    <row r="1758" customFormat="false" ht="13.8" hidden="false" customHeight="false" outlineLevel="0" collapsed="false">
      <c r="AA1758" s="7" t="n">
        <f aca="false">AA1757+1</f>
        <v>42664</v>
      </c>
      <c r="AB1758" s="14"/>
      <c r="AC1758" s="14"/>
      <c r="AD1758" s="14"/>
      <c r="AE1758" s="14"/>
      <c r="AF1758" s="14"/>
      <c r="AG1758" s="14"/>
      <c r="AH1758" s="14"/>
      <c r="AI1758" s="14"/>
      <c r="AJ1758" s="14"/>
      <c r="AK1758" s="14"/>
      <c r="AL1758" s="14"/>
      <c r="AM1758" s="14"/>
    </row>
    <row r="1759" customFormat="false" ht="13.8" hidden="false" customHeight="false" outlineLevel="0" collapsed="false">
      <c r="AA1759" s="7" t="n">
        <f aca="false">AA1758+1</f>
        <v>42665</v>
      </c>
      <c r="AB1759" s="14"/>
      <c r="AC1759" s="14"/>
      <c r="AD1759" s="14"/>
      <c r="AE1759" s="14"/>
      <c r="AF1759" s="14"/>
      <c r="AG1759" s="14"/>
      <c r="AH1759" s="14"/>
      <c r="AI1759" s="14"/>
      <c r="AJ1759" s="14"/>
      <c r="AK1759" s="14"/>
      <c r="AL1759" s="14"/>
      <c r="AM1759" s="14"/>
    </row>
    <row r="1760" customFormat="false" ht="13.8" hidden="false" customHeight="false" outlineLevel="0" collapsed="false">
      <c r="AA1760" s="7" t="n">
        <f aca="false">AA1759+1</f>
        <v>42666</v>
      </c>
      <c r="AB1760" s="14"/>
      <c r="AC1760" s="14"/>
      <c r="AD1760" s="14"/>
      <c r="AE1760" s="14"/>
      <c r="AF1760" s="14"/>
      <c r="AG1760" s="14"/>
      <c r="AH1760" s="14"/>
      <c r="AI1760" s="14"/>
      <c r="AJ1760" s="14"/>
      <c r="AK1760" s="14"/>
      <c r="AL1760" s="14"/>
      <c r="AM1760" s="14"/>
    </row>
    <row r="1761" customFormat="false" ht="13.8" hidden="false" customHeight="false" outlineLevel="0" collapsed="false">
      <c r="AA1761" s="7" t="n">
        <f aca="false">AA1760+1</f>
        <v>42667</v>
      </c>
      <c r="AB1761" s="14"/>
      <c r="AC1761" s="14"/>
      <c r="AD1761" s="14"/>
      <c r="AE1761" s="14"/>
      <c r="AF1761" s="14"/>
      <c r="AG1761" s="14"/>
      <c r="AH1761" s="14"/>
      <c r="AI1761" s="14"/>
      <c r="AJ1761" s="14"/>
      <c r="AK1761" s="14"/>
      <c r="AL1761" s="14"/>
      <c r="AM1761" s="14"/>
    </row>
    <row r="1762" customFormat="false" ht="13.8" hidden="false" customHeight="false" outlineLevel="0" collapsed="false">
      <c r="AA1762" s="7" t="n">
        <f aca="false">AA1761+1</f>
        <v>42668</v>
      </c>
      <c r="AB1762" s="14"/>
      <c r="AC1762" s="14"/>
      <c r="AD1762" s="14"/>
      <c r="AE1762" s="14"/>
      <c r="AF1762" s="14"/>
      <c r="AG1762" s="14"/>
      <c r="AH1762" s="14"/>
      <c r="AI1762" s="14"/>
      <c r="AJ1762" s="14"/>
      <c r="AK1762" s="14"/>
      <c r="AL1762" s="14"/>
      <c r="AM1762" s="14"/>
    </row>
    <row r="1763" customFormat="false" ht="13.8" hidden="false" customHeight="false" outlineLevel="0" collapsed="false">
      <c r="AA1763" s="7" t="n">
        <f aca="false">AA1762+1</f>
        <v>42669</v>
      </c>
      <c r="AB1763" s="14"/>
      <c r="AC1763" s="14"/>
      <c r="AD1763" s="14"/>
      <c r="AE1763" s="14"/>
      <c r="AF1763" s="14"/>
      <c r="AG1763" s="14"/>
      <c r="AH1763" s="14"/>
      <c r="AI1763" s="14"/>
      <c r="AJ1763" s="14"/>
      <c r="AK1763" s="14"/>
      <c r="AL1763" s="14"/>
      <c r="AM1763" s="14"/>
    </row>
    <row r="1764" customFormat="false" ht="13.8" hidden="false" customHeight="false" outlineLevel="0" collapsed="false">
      <c r="AA1764" s="7" t="n">
        <f aca="false">AA1763+1</f>
        <v>42670</v>
      </c>
      <c r="AB1764" s="14"/>
      <c r="AC1764" s="14"/>
      <c r="AD1764" s="14"/>
      <c r="AE1764" s="14"/>
      <c r="AF1764" s="14"/>
      <c r="AG1764" s="14"/>
      <c r="AH1764" s="14"/>
      <c r="AI1764" s="14"/>
      <c r="AJ1764" s="14"/>
      <c r="AK1764" s="14"/>
      <c r="AL1764" s="14"/>
      <c r="AM1764" s="14"/>
    </row>
    <row r="1765" customFormat="false" ht="13.8" hidden="false" customHeight="false" outlineLevel="0" collapsed="false">
      <c r="AA1765" s="7" t="n">
        <f aca="false">AA1764+1</f>
        <v>42671</v>
      </c>
      <c r="AB1765" s="14"/>
      <c r="AC1765" s="14"/>
      <c r="AD1765" s="14"/>
      <c r="AE1765" s="14"/>
      <c r="AF1765" s="14"/>
      <c r="AG1765" s="14"/>
      <c r="AH1765" s="14"/>
      <c r="AI1765" s="14"/>
      <c r="AJ1765" s="14"/>
      <c r="AK1765" s="14"/>
      <c r="AL1765" s="14"/>
      <c r="AM1765" s="14"/>
    </row>
    <row r="1766" customFormat="false" ht="13.8" hidden="false" customHeight="false" outlineLevel="0" collapsed="false">
      <c r="AA1766" s="7" t="n">
        <f aca="false">AA1765+1</f>
        <v>42672</v>
      </c>
      <c r="AB1766" s="14"/>
      <c r="AC1766" s="14"/>
      <c r="AD1766" s="14"/>
      <c r="AE1766" s="14"/>
      <c r="AF1766" s="14"/>
      <c r="AG1766" s="14"/>
      <c r="AH1766" s="14"/>
      <c r="AI1766" s="14"/>
      <c r="AJ1766" s="14"/>
      <c r="AK1766" s="14"/>
      <c r="AL1766" s="14"/>
      <c r="AM1766" s="14"/>
    </row>
    <row r="1767" customFormat="false" ht="13.8" hidden="false" customHeight="false" outlineLevel="0" collapsed="false">
      <c r="AA1767" s="7" t="n">
        <f aca="false">AA1766+1</f>
        <v>42673</v>
      </c>
      <c r="AB1767" s="14"/>
      <c r="AC1767" s="14"/>
      <c r="AD1767" s="14"/>
      <c r="AE1767" s="14"/>
      <c r="AF1767" s="14"/>
      <c r="AG1767" s="14"/>
      <c r="AH1767" s="14"/>
      <c r="AI1767" s="14"/>
      <c r="AJ1767" s="14"/>
      <c r="AK1767" s="14"/>
      <c r="AL1767" s="14"/>
      <c r="AM1767" s="14"/>
    </row>
    <row r="1768" customFormat="false" ht="13.8" hidden="false" customHeight="false" outlineLevel="0" collapsed="false">
      <c r="AA1768" s="7" t="n">
        <f aca="false">AA1767+1</f>
        <v>42674</v>
      </c>
      <c r="AB1768" s="14"/>
      <c r="AC1768" s="14"/>
      <c r="AD1768" s="14"/>
      <c r="AE1768" s="14"/>
      <c r="AF1768" s="14"/>
      <c r="AG1768" s="14"/>
      <c r="AH1768" s="14"/>
      <c r="AI1768" s="14"/>
      <c r="AJ1768" s="14"/>
      <c r="AK1768" s="14"/>
      <c r="AL1768" s="14"/>
      <c r="AM1768" s="14"/>
    </row>
    <row r="1769" customFormat="false" ht="13.8" hidden="false" customHeight="false" outlineLevel="0" collapsed="false">
      <c r="AA1769" s="7" t="n">
        <f aca="false">AA1768+1</f>
        <v>42675</v>
      </c>
      <c r="AB1769" s="14"/>
      <c r="AC1769" s="14"/>
      <c r="AD1769" s="14"/>
      <c r="AE1769" s="14"/>
      <c r="AF1769" s="14"/>
      <c r="AG1769" s="14"/>
      <c r="AH1769" s="14"/>
      <c r="AI1769" s="14"/>
      <c r="AJ1769" s="14"/>
      <c r="AK1769" s="14"/>
      <c r="AL1769" s="14"/>
      <c r="AM1769" s="14"/>
    </row>
    <row r="1770" customFormat="false" ht="13.8" hidden="false" customHeight="false" outlineLevel="0" collapsed="false">
      <c r="AA1770" s="7" t="n">
        <f aca="false">AA1769+1</f>
        <v>42676</v>
      </c>
      <c r="AB1770" s="14"/>
      <c r="AC1770" s="14"/>
      <c r="AD1770" s="14"/>
      <c r="AE1770" s="14"/>
      <c r="AF1770" s="14"/>
      <c r="AG1770" s="14"/>
      <c r="AH1770" s="14"/>
      <c r="AI1770" s="14"/>
      <c r="AJ1770" s="14"/>
      <c r="AK1770" s="14"/>
      <c r="AL1770" s="14"/>
      <c r="AM1770" s="14"/>
    </row>
    <row r="1771" customFormat="false" ht="13.8" hidden="false" customHeight="false" outlineLevel="0" collapsed="false">
      <c r="AA1771" s="7" t="n">
        <f aca="false">AA1770+1</f>
        <v>42677</v>
      </c>
      <c r="AB1771" s="14"/>
      <c r="AC1771" s="14"/>
      <c r="AD1771" s="14"/>
      <c r="AE1771" s="14"/>
      <c r="AF1771" s="14"/>
      <c r="AG1771" s="14"/>
      <c r="AH1771" s="14"/>
      <c r="AI1771" s="14"/>
      <c r="AJ1771" s="14"/>
      <c r="AK1771" s="14"/>
      <c r="AL1771" s="14"/>
      <c r="AM1771" s="14"/>
    </row>
    <row r="1772" customFormat="false" ht="13.8" hidden="false" customHeight="false" outlineLevel="0" collapsed="false">
      <c r="AA1772" s="7" t="n">
        <f aca="false">AA1771+1</f>
        <v>42678</v>
      </c>
      <c r="AB1772" s="14"/>
      <c r="AC1772" s="14"/>
      <c r="AD1772" s="14"/>
      <c r="AE1772" s="14"/>
      <c r="AF1772" s="14"/>
      <c r="AG1772" s="14"/>
      <c r="AH1772" s="14"/>
      <c r="AI1772" s="14"/>
      <c r="AJ1772" s="14"/>
      <c r="AK1772" s="14"/>
      <c r="AL1772" s="14"/>
      <c r="AM1772" s="14"/>
    </row>
    <row r="1773" customFormat="false" ht="13.8" hidden="false" customHeight="false" outlineLevel="0" collapsed="false">
      <c r="AA1773" s="7" t="n">
        <f aca="false">AA1772+1</f>
        <v>42679</v>
      </c>
      <c r="AB1773" s="14"/>
      <c r="AC1773" s="14"/>
      <c r="AD1773" s="14"/>
      <c r="AE1773" s="14"/>
      <c r="AF1773" s="14"/>
      <c r="AG1773" s="14"/>
      <c r="AH1773" s="14"/>
      <c r="AI1773" s="14"/>
      <c r="AJ1773" s="14"/>
      <c r="AK1773" s="14"/>
      <c r="AL1773" s="14"/>
      <c r="AM1773" s="14"/>
    </row>
    <row r="1774" customFormat="false" ht="13.8" hidden="false" customHeight="false" outlineLevel="0" collapsed="false">
      <c r="AA1774" s="7" t="n">
        <f aca="false">AA1773+1</f>
        <v>42680</v>
      </c>
      <c r="AB1774" s="14"/>
      <c r="AC1774" s="14"/>
      <c r="AD1774" s="14"/>
      <c r="AE1774" s="14"/>
      <c r="AF1774" s="14"/>
      <c r="AG1774" s="14"/>
      <c r="AH1774" s="14"/>
      <c r="AI1774" s="14"/>
      <c r="AJ1774" s="14"/>
      <c r="AK1774" s="14"/>
      <c r="AL1774" s="14"/>
      <c r="AM1774" s="14"/>
    </row>
    <row r="1775" customFormat="false" ht="13.8" hidden="false" customHeight="false" outlineLevel="0" collapsed="false">
      <c r="AA1775" s="7" t="n">
        <f aca="false">AA1774+1</f>
        <v>42681</v>
      </c>
      <c r="AB1775" s="14"/>
      <c r="AC1775" s="14"/>
      <c r="AD1775" s="14"/>
      <c r="AE1775" s="14"/>
      <c r="AF1775" s="14"/>
      <c r="AG1775" s="14"/>
      <c r="AH1775" s="14"/>
      <c r="AI1775" s="14"/>
      <c r="AJ1775" s="14"/>
      <c r="AK1775" s="14"/>
      <c r="AL1775" s="14"/>
      <c r="AM1775" s="14"/>
    </row>
    <row r="1776" customFormat="false" ht="13.8" hidden="false" customHeight="false" outlineLevel="0" collapsed="false">
      <c r="AA1776" s="7" t="n">
        <f aca="false">AA1775+1</f>
        <v>42682</v>
      </c>
      <c r="AB1776" s="14"/>
      <c r="AC1776" s="14"/>
      <c r="AD1776" s="14"/>
      <c r="AE1776" s="14"/>
      <c r="AF1776" s="14"/>
      <c r="AG1776" s="14"/>
      <c r="AH1776" s="14"/>
      <c r="AI1776" s="14"/>
      <c r="AJ1776" s="14"/>
      <c r="AK1776" s="14"/>
      <c r="AL1776" s="14"/>
      <c r="AM1776" s="14"/>
    </row>
    <row r="1777" customFormat="false" ht="13.8" hidden="false" customHeight="false" outlineLevel="0" collapsed="false">
      <c r="AA1777" s="7" t="n">
        <f aca="false">AA1776+1</f>
        <v>42683</v>
      </c>
      <c r="AB1777" s="14"/>
      <c r="AC1777" s="14"/>
      <c r="AD1777" s="14"/>
      <c r="AE1777" s="14"/>
      <c r="AF1777" s="14"/>
      <c r="AG1777" s="14"/>
      <c r="AH1777" s="14"/>
      <c r="AI1777" s="14"/>
      <c r="AJ1777" s="14"/>
      <c r="AK1777" s="14"/>
      <c r="AL1777" s="14"/>
      <c r="AM1777" s="14"/>
    </row>
    <row r="1778" customFormat="false" ht="13.8" hidden="false" customHeight="false" outlineLevel="0" collapsed="false">
      <c r="AA1778" s="7" t="n">
        <f aca="false">AA1777+1</f>
        <v>42684</v>
      </c>
      <c r="AB1778" s="14"/>
      <c r="AC1778" s="14"/>
      <c r="AD1778" s="14"/>
      <c r="AE1778" s="14"/>
      <c r="AF1778" s="14"/>
      <c r="AG1778" s="14"/>
      <c r="AH1778" s="14"/>
      <c r="AI1778" s="14"/>
      <c r="AJ1778" s="14"/>
      <c r="AK1778" s="14"/>
      <c r="AL1778" s="14"/>
      <c r="AM1778" s="14"/>
    </row>
    <row r="1779" customFormat="false" ht="13.8" hidden="false" customHeight="false" outlineLevel="0" collapsed="false">
      <c r="AA1779" s="7" t="n">
        <f aca="false">AA1778+1</f>
        <v>42685</v>
      </c>
      <c r="AB1779" s="14"/>
      <c r="AC1779" s="14"/>
      <c r="AD1779" s="14"/>
      <c r="AE1779" s="14"/>
      <c r="AF1779" s="14"/>
      <c r="AG1779" s="14"/>
      <c r="AH1779" s="14"/>
      <c r="AI1779" s="14"/>
      <c r="AJ1779" s="14"/>
      <c r="AK1779" s="14"/>
      <c r="AL1779" s="14"/>
      <c r="AM1779" s="14"/>
    </row>
    <row r="1780" customFormat="false" ht="13.8" hidden="false" customHeight="false" outlineLevel="0" collapsed="false">
      <c r="AA1780" s="7" t="n">
        <f aca="false">AA1779+1</f>
        <v>42686</v>
      </c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</row>
    <row r="1781" customFormat="false" ht="13.8" hidden="false" customHeight="false" outlineLevel="0" collapsed="false">
      <c r="AA1781" s="7" t="n">
        <f aca="false">AA1780+1</f>
        <v>42687</v>
      </c>
      <c r="AB1781" s="14"/>
      <c r="AC1781" s="14"/>
      <c r="AD1781" s="14"/>
      <c r="AE1781" s="14"/>
      <c r="AF1781" s="14"/>
      <c r="AG1781" s="14"/>
      <c r="AH1781" s="14"/>
      <c r="AI1781" s="14"/>
      <c r="AJ1781" s="14"/>
      <c r="AK1781" s="14"/>
      <c r="AL1781" s="14"/>
      <c r="AM1781" s="14"/>
    </row>
    <row r="1782" customFormat="false" ht="13.8" hidden="false" customHeight="false" outlineLevel="0" collapsed="false">
      <c r="AA1782" s="7" t="n">
        <f aca="false">AA1781+1</f>
        <v>42688</v>
      </c>
      <c r="AB1782" s="14"/>
      <c r="AC1782" s="14"/>
      <c r="AD1782" s="14"/>
      <c r="AE1782" s="14"/>
      <c r="AF1782" s="14"/>
      <c r="AG1782" s="14"/>
      <c r="AH1782" s="14"/>
      <c r="AI1782" s="14"/>
      <c r="AJ1782" s="14"/>
      <c r="AK1782" s="14"/>
      <c r="AL1782" s="14"/>
      <c r="AM1782" s="14"/>
    </row>
    <row r="1783" customFormat="false" ht="13.8" hidden="false" customHeight="false" outlineLevel="0" collapsed="false">
      <c r="AA1783" s="7" t="n">
        <f aca="false">AA1782+1</f>
        <v>42689</v>
      </c>
      <c r="AB1783" s="14"/>
      <c r="AC1783" s="14"/>
      <c r="AD1783" s="14"/>
      <c r="AE1783" s="14"/>
      <c r="AF1783" s="14"/>
      <c r="AG1783" s="14"/>
      <c r="AH1783" s="14"/>
      <c r="AI1783" s="14"/>
      <c r="AJ1783" s="14"/>
      <c r="AK1783" s="14"/>
      <c r="AL1783" s="14"/>
      <c r="AM1783" s="14"/>
    </row>
    <row r="1784" customFormat="false" ht="13.8" hidden="false" customHeight="false" outlineLevel="0" collapsed="false">
      <c r="AA1784" s="7" t="n">
        <f aca="false">AA1783+1</f>
        <v>42690</v>
      </c>
      <c r="AB1784" s="14"/>
      <c r="AC1784" s="14"/>
      <c r="AD1784" s="14"/>
      <c r="AE1784" s="14"/>
      <c r="AF1784" s="14"/>
      <c r="AG1784" s="14"/>
      <c r="AH1784" s="14"/>
      <c r="AI1784" s="14"/>
      <c r="AJ1784" s="14"/>
      <c r="AK1784" s="14"/>
      <c r="AL1784" s="14"/>
      <c r="AM1784" s="14"/>
    </row>
    <row r="1785" customFormat="false" ht="13.8" hidden="false" customHeight="false" outlineLevel="0" collapsed="false">
      <c r="AA1785" s="7" t="n">
        <f aca="false">AA1784+1</f>
        <v>42691</v>
      </c>
      <c r="AB1785" s="14"/>
      <c r="AC1785" s="14"/>
      <c r="AD1785" s="14"/>
      <c r="AE1785" s="14"/>
      <c r="AF1785" s="14"/>
      <c r="AG1785" s="14"/>
      <c r="AH1785" s="14"/>
      <c r="AI1785" s="14"/>
      <c r="AJ1785" s="14"/>
      <c r="AK1785" s="14"/>
      <c r="AL1785" s="14"/>
      <c r="AM1785" s="14"/>
    </row>
    <row r="1786" customFormat="false" ht="13.8" hidden="false" customHeight="false" outlineLevel="0" collapsed="false">
      <c r="AA1786" s="7" t="n">
        <f aca="false">AA1785+1</f>
        <v>42692</v>
      </c>
      <c r="AB1786" s="14"/>
      <c r="AC1786" s="14"/>
      <c r="AD1786" s="14"/>
      <c r="AE1786" s="14"/>
      <c r="AF1786" s="14"/>
      <c r="AG1786" s="14"/>
      <c r="AH1786" s="14"/>
      <c r="AI1786" s="14"/>
      <c r="AJ1786" s="14"/>
      <c r="AK1786" s="14"/>
      <c r="AL1786" s="14"/>
      <c r="AM1786" s="14"/>
    </row>
    <row r="1787" customFormat="false" ht="13.8" hidden="false" customHeight="false" outlineLevel="0" collapsed="false">
      <c r="AA1787" s="7" t="n">
        <f aca="false">AA1786+1</f>
        <v>42693</v>
      </c>
      <c r="AB1787" s="14"/>
      <c r="AC1787" s="14"/>
      <c r="AD1787" s="14"/>
      <c r="AE1787" s="14"/>
      <c r="AF1787" s="14"/>
      <c r="AG1787" s="14"/>
      <c r="AH1787" s="14"/>
      <c r="AI1787" s="14"/>
      <c r="AJ1787" s="14"/>
      <c r="AK1787" s="14"/>
      <c r="AL1787" s="14"/>
      <c r="AM1787" s="14"/>
    </row>
    <row r="1788" customFormat="false" ht="13.8" hidden="false" customHeight="false" outlineLevel="0" collapsed="false">
      <c r="AA1788" s="7" t="n">
        <f aca="false">AA1787+1</f>
        <v>42694</v>
      </c>
      <c r="AB1788" s="14"/>
      <c r="AC1788" s="14"/>
      <c r="AD1788" s="14"/>
      <c r="AE1788" s="14"/>
      <c r="AF1788" s="14"/>
      <c r="AG1788" s="14"/>
      <c r="AH1788" s="14"/>
      <c r="AI1788" s="14"/>
      <c r="AJ1788" s="14"/>
      <c r="AK1788" s="14"/>
      <c r="AL1788" s="14"/>
      <c r="AM1788" s="14"/>
    </row>
    <row r="1789" customFormat="false" ht="13.8" hidden="false" customHeight="false" outlineLevel="0" collapsed="false">
      <c r="AA1789" s="7" t="n">
        <f aca="false">AA1788+1</f>
        <v>42695</v>
      </c>
      <c r="AB1789" s="14"/>
      <c r="AC1789" s="14"/>
      <c r="AD1789" s="14"/>
      <c r="AE1789" s="14"/>
      <c r="AF1789" s="14"/>
      <c r="AG1789" s="14"/>
      <c r="AH1789" s="14"/>
      <c r="AI1789" s="14"/>
      <c r="AJ1789" s="14"/>
      <c r="AK1789" s="14"/>
      <c r="AL1789" s="14"/>
      <c r="AM1789" s="14"/>
    </row>
    <row r="1790" customFormat="false" ht="13.8" hidden="false" customHeight="false" outlineLevel="0" collapsed="false">
      <c r="AA1790" s="7" t="n">
        <f aca="false">AA1789+1</f>
        <v>42696</v>
      </c>
      <c r="AB1790" s="14"/>
      <c r="AC1790" s="14"/>
      <c r="AD1790" s="14"/>
      <c r="AE1790" s="14"/>
      <c r="AF1790" s="14"/>
      <c r="AG1790" s="14"/>
      <c r="AH1790" s="14"/>
      <c r="AI1790" s="14"/>
      <c r="AJ1790" s="14"/>
      <c r="AK1790" s="14"/>
      <c r="AL1790" s="14"/>
      <c r="AM1790" s="14"/>
    </row>
    <row r="1791" customFormat="false" ht="13.8" hidden="false" customHeight="false" outlineLevel="0" collapsed="false">
      <c r="AA1791" s="7" t="n">
        <f aca="false">AA1790+1</f>
        <v>42697</v>
      </c>
      <c r="AB1791" s="14"/>
      <c r="AC1791" s="14"/>
      <c r="AD1791" s="14"/>
      <c r="AE1791" s="14"/>
      <c r="AF1791" s="14"/>
      <c r="AG1791" s="14"/>
      <c r="AH1791" s="14"/>
      <c r="AI1791" s="14"/>
      <c r="AJ1791" s="14"/>
      <c r="AK1791" s="14"/>
      <c r="AL1791" s="14"/>
      <c r="AM1791" s="14"/>
    </row>
    <row r="1792" customFormat="false" ht="13.8" hidden="false" customHeight="false" outlineLevel="0" collapsed="false">
      <c r="AA1792" s="7" t="n">
        <f aca="false">AA1791+1</f>
        <v>42698</v>
      </c>
      <c r="AB1792" s="14"/>
      <c r="AC1792" s="14"/>
      <c r="AD1792" s="14"/>
      <c r="AE1792" s="14"/>
      <c r="AF1792" s="14"/>
      <c r="AG1792" s="14"/>
      <c r="AH1792" s="14"/>
      <c r="AI1792" s="14"/>
      <c r="AJ1792" s="14"/>
      <c r="AK1792" s="14"/>
      <c r="AL1792" s="14"/>
      <c r="AM1792" s="14"/>
    </row>
    <row r="1793" customFormat="false" ht="13.8" hidden="false" customHeight="false" outlineLevel="0" collapsed="false">
      <c r="AA1793" s="7" t="n">
        <f aca="false">AA1792+1</f>
        <v>42699</v>
      </c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</row>
    <row r="1794" customFormat="false" ht="13.8" hidden="false" customHeight="false" outlineLevel="0" collapsed="false">
      <c r="AA1794" s="7" t="n">
        <f aca="false">AA1793+1</f>
        <v>42700</v>
      </c>
      <c r="AB1794" s="14"/>
      <c r="AC1794" s="14"/>
      <c r="AD1794" s="14"/>
      <c r="AE1794" s="14"/>
      <c r="AF1794" s="14"/>
      <c r="AG1794" s="14"/>
      <c r="AH1794" s="14"/>
      <c r="AI1794" s="14"/>
      <c r="AJ1794" s="14"/>
      <c r="AK1794" s="14"/>
      <c r="AL1794" s="14"/>
      <c r="AM1794" s="14"/>
    </row>
    <row r="1795" customFormat="false" ht="13.8" hidden="false" customHeight="false" outlineLevel="0" collapsed="false">
      <c r="AA1795" s="7" t="n">
        <f aca="false">AA1794+1</f>
        <v>42701</v>
      </c>
      <c r="AB1795" s="14"/>
      <c r="AC1795" s="14"/>
      <c r="AD1795" s="14"/>
      <c r="AE1795" s="14"/>
      <c r="AF1795" s="14"/>
      <c r="AG1795" s="14"/>
      <c r="AH1795" s="14"/>
      <c r="AI1795" s="14"/>
      <c r="AJ1795" s="14"/>
      <c r="AK1795" s="14"/>
      <c r="AL1795" s="14"/>
      <c r="AM1795" s="14"/>
    </row>
    <row r="1796" customFormat="false" ht="13.8" hidden="false" customHeight="false" outlineLevel="0" collapsed="false">
      <c r="AA1796" s="7" t="n">
        <f aca="false">AA1795+1</f>
        <v>42702</v>
      </c>
      <c r="AB1796" s="14"/>
      <c r="AC1796" s="14"/>
      <c r="AD1796" s="14"/>
      <c r="AE1796" s="14"/>
      <c r="AF1796" s="14"/>
      <c r="AG1796" s="14"/>
      <c r="AH1796" s="14"/>
      <c r="AI1796" s="14"/>
      <c r="AJ1796" s="14"/>
      <c r="AK1796" s="14"/>
      <c r="AL1796" s="14"/>
      <c r="AM1796" s="14"/>
    </row>
    <row r="1797" customFormat="false" ht="13.8" hidden="false" customHeight="false" outlineLevel="0" collapsed="false">
      <c r="AA1797" s="7" t="n">
        <f aca="false">AA1796+1</f>
        <v>42703</v>
      </c>
      <c r="AB1797" s="14"/>
      <c r="AC1797" s="14"/>
      <c r="AD1797" s="14"/>
      <c r="AE1797" s="14"/>
      <c r="AF1797" s="14"/>
      <c r="AG1797" s="14"/>
      <c r="AH1797" s="14"/>
      <c r="AI1797" s="14"/>
      <c r="AJ1797" s="14"/>
      <c r="AK1797" s="14"/>
      <c r="AL1797" s="14"/>
      <c r="AM1797" s="14"/>
    </row>
    <row r="1798" customFormat="false" ht="13.8" hidden="false" customHeight="false" outlineLevel="0" collapsed="false">
      <c r="AA1798" s="7" t="n">
        <f aca="false">AA1797+1</f>
        <v>42704</v>
      </c>
      <c r="AB1798" s="14"/>
      <c r="AC1798" s="14"/>
      <c r="AD1798" s="14"/>
      <c r="AE1798" s="14"/>
      <c r="AF1798" s="14"/>
      <c r="AG1798" s="14"/>
      <c r="AH1798" s="14"/>
      <c r="AI1798" s="14"/>
      <c r="AJ1798" s="14"/>
      <c r="AK1798" s="14"/>
      <c r="AL1798" s="14"/>
      <c r="AM1798" s="14"/>
    </row>
    <row r="1799" customFormat="false" ht="13.8" hidden="false" customHeight="false" outlineLevel="0" collapsed="false">
      <c r="AA1799" s="7" t="n">
        <f aca="false">AA1798+1</f>
        <v>42705</v>
      </c>
      <c r="AB1799" s="14"/>
      <c r="AC1799" s="14"/>
      <c r="AD1799" s="14"/>
      <c r="AE1799" s="14"/>
      <c r="AF1799" s="14"/>
      <c r="AG1799" s="14"/>
      <c r="AH1799" s="14"/>
      <c r="AI1799" s="14"/>
      <c r="AJ1799" s="14"/>
      <c r="AK1799" s="14"/>
      <c r="AL1799" s="14"/>
      <c r="AM1799" s="14"/>
    </row>
    <row r="1800" customFormat="false" ht="13.8" hidden="false" customHeight="false" outlineLevel="0" collapsed="false">
      <c r="AA1800" s="7" t="n">
        <f aca="false">AA1799+1</f>
        <v>42706</v>
      </c>
      <c r="AB1800" s="14"/>
      <c r="AC1800" s="14"/>
      <c r="AD1800" s="14"/>
      <c r="AE1800" s="14"/>
      <c r="AF1800" s="14"/>
      <c r="AG1800" s="14"/>
      <c r="AH1800" s="14"/>
      <c r="AI1800" s="14"/>
      <c r="AJ1800" s="14"/>
      <c r="AK1800" s="14"/>
      <c r="AL1800" s="14"/>
      <c r="AM1800" s="14"/>
    </row>
    <row r="1801" customFormat="false" ht="13.8" hidden="false" customHeight="false" outlineLevel="0" collapsed="false">
      <c r="AA1801" s="7" t="n">
        <f aca="false">AA1800+1</f>
        <v>42707</v>
      </c>
      <c r="AB1801" s="14"/>
      <c r="AC1801" s="14"/>
      <c r="AD1801" s="14"/>
      <c r="AE1801" s="14"/>
      <c r="AF1801" s="14"/>
      <c r="AG1801" s="14"/>
      <c r="AH1801" s="14"/>
      <c r="AI1801" s="14"/>
      <c r="AJ1801" s="14"/>
      <c r="AK1801" s="14"/>
      <c r="AL1801" s="14"/>
      <c r="AM1801" s="14"/>
    </row>
    <row r="1802" customFormat="false" ht="13.8" hidden="false" customHeight="false" outlineLevel="0" collapsed="false">
      <c r="AA1802" s="7" t="n">
        <f aca="false">AA1801+1</f>
        <v>42708</v>
      </c>
      <c r="AB1802" s="14"/>
      <c r="AC1802" s="14"/>
      <c r="AD1802" s="14"/>
      <c r="AE1802" s="14"/>
      <c r="AF1802" s="14"/>
      <c r="AG1802" s="14"/>
      <c r="AH1802" s="14"/>
      <c r="AI1802" s="14"/>
      <c r="AJ1802" s="14"/>
      <c r="AK1802" s="14"/>
      <c r="AL1802" s="14"/>
      <c r="AM1802" s="14"/>
    </row>
    <row r="1803" customFormat="false" ht="13.8" hidden="false" customHeight="false" outlineLevel="0" collapsed="false">
      <c r="AA1803" s="7" t="n">
        <f aca="false">AA1802+1</f>
        <v>42709</v>
      </c>
      <c r="AB1803" s="14"/>
      <c r="AC1803" s="14"/>
      <c r="AD1803" s="14"/>
      <c r="AE1803" s="14"/>
      <c r="AF1803" s="14"/>
      <c r="AG1803" s="14"/>
      <c r="AH1803" s="14"/>
      <c r="AI1803" s="14"/>
      <c r="AJ1803" s="14"/>
      <c r="AK1803" s="14"/>
      <c r="AL1803" s="14"/>
      <c r="AM1803" s="14"/>
    </row>
    <row r="1804" customFormat="false" ht="13.8" hidden="false" customHeight="false" outlineLevel="0" collapsed="false">
      <c r="AA1804" s="7" t="n">
        <f aca="false">AA1803+1</f>
        <v>42710</v>
      </c>
      <c r="AB1804" s="14"/>
      <c r="AC1804" s="14"/>
      <c r="AD1804" s="14"/>
      <c r="AE1804" s="14"/>
      <c r="AF1804" s="14"/>
      <c r="AG1804" s="14"/>
      <c r="AH1804" s="14"/>
      <c r="AI1804" s="14"/>
      <c r="AJ1804" s="14"/>
      <c r="AK1804" s="14"/>
      <c r="AL1804" s="14"/>
      <c r="AM1804" s="14"/>
    </row>
    <row r="1805" customFormat="false" ht="13.8" hidden="false" customHeight="false" outlineLevel="0" collapsed="false">
      <c r="AA1805" s="7" t="n">
        <f aca="false">AA1804+1</f>
        <v>42711</v>
      </c>
      <c r="AB1805" s="14"/>
      <c r="AC1805" s="14"/>
      <c r="AD1805" s="14"/>
      <c r="AE1805" s="14"/>
      <c r="AF1805" s="14"/>
      <c r="AG1805" s="14"/>
      <c r="AH1805" s="14"/>
      <c r="AI1805" s="14"/>
      <c r="AJ1805" s="14"/>
      <c r="AK1805" s="14"/>
      <c r="AL1805" s="14"/>
      <c r="AM1805" s="14"/>
    </row>
    <row r="1806" customFormat="false" ht="13.8" hidden="false" customHeight="false" outlineLevel="0" collapsed="false">
      <c r="AA1806" s="7" t="n">
        <f aca="false">AA1805+1</f>
        <v>42712</v>
      </c>
      <c r="AB1806" s="14"/>
      <c r="AC1806" s="14"/>
      <c r="AD1806" s="14"/>
      <c r="AE1806" s="14"/>
      <c r="AF1806" s="14"/>
      <c r="AG1806" s="14"/>
      <c r="AH1806" s="14"/>
      <c r="AI1806" s="14"/>
      <c r="AJ1806" s="14"/>
      <c r="AK1806" s="14"/>
      <c r="AL1806" s="14"/>
      <c r="AM1806" s="14"/>
    </row>
    <row r="1807" customFormat="false" ht="13.8" hidden="false" customHeight="false" outlineLevel="0" collapsed="false">
      <c r="AA1807" s="7" t="n">
        <f aca="false">AA1806+1</f>
        <v>42713</v>
      </c>
      <c r="AB1807" s="14"/>
      <c r="AC1807" s="14"/>
      <c r="AD1807" s="14"/>
      <c r="AE1807" s="14"/>
      <c r="AF1807" s="14"/>
      <c r="AG1807" s="14"/>
      <c r="AH1807" s="14"/>
      <c r="AI1807" s="14"/>
      <c r="AJ1807" s="14"/>
      <c r="AK1807" s="14"/>
      <c r="AL1807" s="14"/>
      <c r="AM1807" s="14"/>
    </row>
    <row r="1808" customFormat="false" ht="13.8" hidden="false" customHeight="false" outlineLevel="0" collapsed="false">
      <c r="AA1808" s="7" t="n">
        <f aca="false">AA1807+1</f>
        <v>42714</v>
      </c>
      <c r="AB1808" s="14"/>
      <c r="AC1808" s="14"/>
      <c r="AD1808" s="14"/>
      <c r="AE1808" s="14"/>
      <c r="AF1808" s="14"/>
      <c r="AG1808" s="14"/>
      <c r="AH1808" s="14"/>
      <c r="AI1808" s="14"/>
      <c r="AJ1808" s="14"/>
      <c r="AK1808" s="14"/>
      <c r="AL1808" s="14"/>
      <c r="AM1808" s="14"/>
    </row>
    <row r="1809" customFormat="false" ht="13.8" hidden="false" customHeight="false" outlineLevel="0" collapsed="false">
      <c r="AA1809" s="7" t="n">
        <f aca="false">AA1808+1</f>
        <v>42715</v>
      </c>
      <c r="AB1809" s="14"/>
      <c r="AC1809" s="14"/>
      <c r="AD1809" s="14"/>
      <c r="AE1809" s="14"/>
      <c r="AF1809" s="14"/>
      <c r="AG1809" s="14"/>
      <c r="AH1809" s="14"/>
      <c r="AI1809" s="14"/>
      <c r="AJ1809" s="14"/>
      <c r="AK1809" s="14"/>
      <c r="AL1809" s="14"/>
      <c r="AM1809" s="14"/>
    </row>
    <row r="1810" customFormat="false" ht="13.8" hidden="false" customHeight="false" outlineLevel="0" collapsed="false">
      <c r="AA1810" s="7" t="n">
        <f aca="false">AA1809+1</f>
        <v>42716</v>
      </c>
      <c r="AB1810" s="14"/>
      <c r="AC1810" s="14"/>
      <c r="AD1810" s="14"/>
      <c r="AE1810" s="14"/>
      <c r="AF1810" s="14"/>
      <c r="AG1810" s="14"/>
      <c r="AH1810" s="14"/>
      <c r="AI1810" s="14"/>
      <c r="AJ1810" s="14"/>
      <c r="AK1810" s="14"/>
      <c r="AL1810" s="14"/>
      <c r="AM1810" s="14"/>
    </row>
    <row r="1811" customFormat="false" ht="13.8" hidden="false" customHeight="false" outlineLevel="0" collapsed="false">
      <c r="AA1811" s="7" t="n">
        <f aca="false">AA1810+1</f>
        <v>42717</v>
      </c>
      <c r="AB1811" s="14"/>
      <c r="AC1811" s="14"/>
      <c r="AD1811" s="14"/>
      <c r="AE1811" s="14"/>
      <c r="AF1811" s="14"/>
      <c r="AG1811" s="14"/>
      <c r="AH1811" s="14"/>
      <c r="AI1811" s="14"/>
      <c r="AJ1811" s="14"/>
      <c r="AK1811" s="14"/>
      <c r="AL1811" s="14"/>
      <c r="AM1811" s="14"/>
    </row>
    <row r="1812" customFormat="false" ht="13.8" hidden="false" customHeight="false" outlineLevel="0" collapsed="false">
      <c r="AA1812" s="7" t="n">
        <f aca="false">AA1811+1</f>
        <v>42718</v>
      </c>
      <c r="AB1812" s="14"/>
      <c r="AC1812" s="14"/>
      <c r="AD1812" s="14"/>
      <c r="AE1812" s="14"/>
      <c r="AF1812" s="14"/>
      <c r="AG1812" s="14"/>
      <c r="AH1812" s="14"/>
      <c r="AI1812" s="14"/>
      <c r="AJ1812" s="14"/>
      <c r="AK1812" s="14"/>
      <c r="AL1812" s="14"/>
      <c r="AM1812" s="14"/>
    </row>
    <row r="1813" customFormat="false" ht="13.8" hidden="false" customHeight="false" outlineLevel="0" collapsed="false">
      <c r="AA1813" s="7" t="n">
        <f aca="false">AA1812+1</f>
        <v>42719</v>
      </c>
      <c r="AB1813" s="14"/>
      <c r="AC1813" s="14"/>
      <c r="AD1813" s="14"/>
      <c r="AE1813" s="14"/>
      <c r="AF1813" s="14"/>
      <c r="AG1813" s="14"/>
      <c r="AH1813" s="14"/>
      <c r="AI1813" s="14"/>
      <c r="AJ1813" s="14"/>
      <c r="AK1813" s="14"/>
      <c r="AL1813" s="14"/>
      <c r="AM1813" s="14"/>
    </row>
    <row r="1814" customFormat="false" ht="13.8" hidden="false" customHeight="false" outlineLevel="0" collapsed="false">
      <c r="AA1814" s="7" t="n">
        <f aca="false">AA1813+1</f>
        <v>42720</v>
      </c>
      <c r="AB1814" s="14"/>
      <c r="AC1814" s="14"/>
      <c r="AD1814" s="14"/>
      <c r="AE1814" s="14"/>
      <c r="AF1814" s="14"/>
      <c r="AG1814" s="14"/>
      <c r="AH1814" s="14"/>
      <c r="AI1814" s="14"/>
      <c r="AJ1814" s="14"/>
      <c r="AK1814" s="14"/>
      <c r="AL1814" s="14"/>
      <c r="AM1814" s="14"/>
    </row>
    <row r="1815" customFormat="false" ht="13.8" hidden="false" customHeight="false" outlineLevel="0" collapsed="false">
      <c r="AA1815" s="7" t="n">
        <f aca="false">AA1814+1</f>
        <v>42721</v>
      </c>
      <c r="AB1815" s="14"/>
      <c r="AC1815" s="14"/>
      <c r="AD1815" s="14"/>
      <c r="AE1815" s="14"/>
      <c r="AF1815" s="14"/>
      <c r="AG1815" s="14"/>
      <c r="AH1815" s="14"/>
      <c r="AI1815" s="14"/>
      <c r="AJ1815" s="14"/>
      <c r="AK1815" s="14"/>
      <c r="AL1815" s="14"/>
      <c r="AM1815" s="14"/>
    </row>
    <row r="1816" customFormat="false" ht="13.8" hidden="false" customHeight="false" outlineLevel="0" collapsed="false">
      <c r="AA1816" s="7" t="n">
        <f aca="false">AA1815+1</f>
        <v>42722</v>
      </c>
      <c r="AB1816" s="14"/>
      <c r="AC1816" s="14"/>
      <c r="AD1816" s="14"/>
      <c r="AE1816" s="14"/>
      <c r="AF1816" s="14"/>
      <c r="AG1816" s="14"/>
      <c r="AH1816" s="14"/>
      <c r="AI1816" s="14"/>
      <c r="AJ1816" s="14"/>
      <c r="AK1816" s="14"/>
      <c r="AL1816" s="14"/>
      <c r="AM1816" s="14"/>
    </row>
    <row r="1817" customFormat="false" ht="13.8" hidden="false" customHeight="false" outlineLevel="0" collapsed="false">
      <c r="AA1817" s="7" t="n">
        <f aca="false">AA1816+1</f>
        <v>42723</v>
      </c>
      <c r="AB1817" s="14"/>
      <c r="AC1817" s="14"/>
      <c r="AD1817" s="14"/>
      <c r="AE1817" s="14"/>
      <c r="AF1817" s="14"/>
      <c r="AG1817" s="14"/>
      <c r="AH1817" s="14"/>
      <c r="AI1817" s="14"/>
      <c r="AJ1817" s="14"/>
      <c r="AK1817" s="14"/>
      <c r="AL1817" s="14"/>
      <c r="AM1817" s="14"/>
    </row>
    <row r="1818" customFormat="false" ht="13.8" hidden="false" customHeight="false" outlineLevel="0" collapsed="false">
      <c r="AA1818" s="7" t="n">
        <f aca="false">AA1817+1</f>
        <v>42724</v>
      </c>
      <c r="AB1818" s="14"/>
      <c r="AC1818" s="14"/>
      <c r="AD1818" s="14"/>
      <c r="AE1818" s="14"/>
      <c r="AF1818" s="14"/>
      <c r="AG1818" s="14"/>
      <c r="AH1818" s="14"/>
      <c r="AI1818" s="14"/>
      <c r="AJ1818" s="14"/>
      <c r="AK1818" s="14"/>
      <c r="AL1818" s="14"/>
      <c r="AM1818" s="14"/>
    </row>
    <row r="1819" customFormat="false" ht="13.8" hidden="false" customHeight="false" outlineLevel="0" collapsed="false">
      <c r="AA1819" s="7" t="n">
        <f aca="false">AA1818+1</f>
        <v>42725</v>
      </c>
      <c r="AB1819" s="14"/>
      <c r="AC1819" s="14"/>
      <c r="AD1819" s="14"/>
      <c r="AE1819" s="14"/>
      <c r="AF1819" s="14"/>
      <c r="AG1819" s="14"/>
      <c r="AH1819" s="14"/>
      <c r="AI1819" s="14"/>
      <c r="AJ1819" s="14"/>
      <c r="AK1819" s="14"/>
      <c r="AL1819" s="14"/>
      <c r="AM1819" s="14"/>
    </row>
    <row r="1820" customFormat="false" ht="13.8" hidden="false" customHeight="false" outlineLevel="0" collapsed="false">
      <c r="AA1820" s="7" t="n">
        <f aca="false">AA1819+1</f>
        <v>42726</v>
      </c>
      <c r="AB1820" s="14"/>
      <c r="AC1820" s="14"/>
      <c r="AD1820" s="14"/>
      <c r="AE1820" s="14"/>
      <c r="AF1820" s="14"/>
      <c r="AG1820" s="14"/>
      <c r="AH1820" s="14"/>
      <c r="AI1820" s="14"/>
      <c r="AJ1820" s="14"/>
      <c r="AK1820" s="14"/>
      <c r="AL1820" s="14"/>
      <c r="AM1820" s="14"/>
    </row>
    <row r="1821" customFormat="false" ht="13.8" hidden="false" customHeight="false" outlineLevel="0" collapsed="false">
      <c r="AA1821" s="7" t="n">
        <f aca="false">AA1820+1</f>
        <v>42727</v>
      </c>
      <c r="AB1821" s="14"/>
      <c r="AC1821" s="14"/>
      <c r="AD1821" s="14"/>
      <c r="AE1821" s="14"/>
      <c r="AF1821" s="14"/>
      <c r="AG1821" s="14"/>
      <c r="AH1821" s="14"/>
      <c r="AI1821" s="14"/>
      <c r="AJ1821" s="14"/>
      <c r="AK1821" s="14"/>
      <c r="AL1821" s="14"/>
      <c r="AM1821" s="14"/>
    </row>
    <row r="1822" customFormat="false" ht="13.8" hidden="false" customHeight="false" outlineLevel="0" collapsed="false">
      <c r="AA1822" s="7" t="n">
        <f aca="false">AA1821+1</f>
        <v>42728</v>
      </c>
      <c r="AB1822" s="14"/>
      <c r="AC1822" s="14"/>
      <c r="AD1822" s="14"/>
      <c r="AE1822" s="14"/>
      <c r="AF1822" s="14"/>
      <c r="AG1822" s="14"/>
      <c r="AH1822" s="14"/>
      <c r="AI1822" s="14"/>
      <c r="AJ1822" s="14"/>
      <c r="AK1822" s="14"/>
      <c r="AL1822" s="14"/>
      <c r="AM1822" s="14"/>
    </row>
    <row r="1823" customFormat="false" ht="13.8" hidden="false" customHeight="false" outlineLevel="0" collapsed="false">
      <c r="AA1823" s="7" t="n">
        <f aca="false">AA1822+1</f>
        <v>42729</v>
      </c>
      <c r="AB1823" s="14"/>
      <c r="AC1823" s="14"/>
      <c r="AD1823" s="14"/>
      <c r="AE1823" s="14"/>
      <c r="AF1823" s="14"/>
      <c r="AG1823" s="14"/>
      <c r="AH1823" s="14"/>
      <c r="AI1823" s="14"/>
      <c r="AJ1823" s="14"/>
      <c r="AK1823" s="14"/>
      <c r="AL1823" s="14"/>
      <c r="AM1823" s="14"/>
    </row>
    <row r="1824" customFormat="false" ht="13.8" hidden="false" customHeight="false" outlineLevel="0" collapsed="false">
      <c r="AA1824" s="7" t="n">
        <f aca="false">AA1823+1</f>
        <v>42730</v>
      </c>
      <c r="AB1824" s="14"/>
      <c r="AC1824" s="14"/>
      <c r="AD1824" s="14"/>
      <c r="AE1824" s="14"/>
      <c r="AF1824" s="14"/>
      <c r="AG1824" s="14"/>
      <c r="AH1824" s="14"/>
      <c r="AI1824" s="14"/>
      <c r="AJ1824" s="14"/>
      <c r="AK1824" s="14"/>
      <c r="AL1824" s="14"/>
      <c r="AM1824" s="14"/>
    </row>
    <row r="1825" customFormat="false" ht="13.8" hidden="false" customHeight="false" outlineLevel="0" collapsed="false">
      <c r="AA1825" s="7" t="n">
        <f aca="false">AA1824+1</f>
        <v>42731</v>
      </c>
      <c r="AB1825" s="14"/>
      <c r="AC1825" s="14"/>
      <c r="AD1825" s="14"/>
      <c r="AE1825" s="14"/>
      <c r="AF1825" s="14"/>
      <c r="AG1825" s="14"/>
      <c r="AH1825" s="14"/>
      <c r="AI1825" s="14"/>
      <c r="AJ1825" s="14"/>
      <c r="AK1825" s="14"/>
      <c r="AL1825" s="14"/>
      <c r="AM1825" s="14"/>
    </row>
    <row r="1826" customFormat="false" ht="13.8" hidden="false" customHeight="false" outlineLevel="0" collapsed="false">
      <c r="AA1826" s="7" t="n">
        <f aca="false">AA1825+1</f>
        <v>42732</v>
      </c>
      <c r="AB1826" s="14"/>
      <c r="AC1826" s="14"/>
      <c r="AD1826" s="14"/>
      <c r="AE1826" s="14"/>
      <c r="AF1826" s="14"/>
      <c r="AG1826" s="14"/>
      <c r="AH1826" s="14"/>
      <c r="AI1826" s="14"/>
      <c r="AJ1826" s="14"/>
      <c r="AK1826" s="14"/>
      <c r="AL1826" s="14"/>
      <c r="AM1826" s="14"/>
    </row>
    <row r="1827" customFormat="false" ht="13.8" hidden="false" customHeight="false" outlineLevel="0" collapsed="false">
      <c r="AA1827" s="7" t="n">
        <f aca="false">AA1826+1</f>
        <v>42733</v>
      </c>
      <c r="AB1827" s="14"/>
      <c r="AC1827" s="14"/>
      <c r="AD1827" s="14"/>
      <c r="AE1827" s="14"/>
      <c r="AF1827" s="14"/>
      <c r="AG1827" s="14"/>
      <c r="AH1827" s="14"/>
      <c r="AI1827" s="14"/>
      <c r="AJ1827" s="14"/>
      <c r="AK1827" s="14"/>
      <c r="AL1827" s="14"/>
      <c r="AM1827" s="14"/>
    </row>
    <row r="1828" customFormat="false" ht="13.8" hidden="false" customHeight="false" outlineLevel="0" collapsed="false">
      <c r="AA1828" s="7" t="n">
        <f aca="false">AA1827+1</f>
        <v>42734</v>
      </c>
      <c r="AB1828" s="14"/>
      <c r="AC1828" s="14"/>
      <c r="AD1828" s="14"/>
      <c r="AE1828" s="14"/>
      <c r="AF1828" s="14"/>
      <c r="AG1828" s="14"/>
      <c r="AH1828" s="14"/>
      <c r="AI1828" s="14"/>
      <c r="AJ1828" s="14"/>
      <c r="AK1828" s="14"/>
      <c r="AL1828" s="14"/>
      <c r="AM1828" s="14"/>
    </row>
    <row r="1829" customFormat="false" ht="13.8" hidden="false" customHeight="false" outlineLevel="0" collapsed="false">
      <c r="AA1829" s="7" t="n">
        <f aca="false">AA1828+1</f>
        <v>42735</v>
      </c>
      <c r="AB1829" s="14"/>
      <c r="AC1829" s="14"/>
      <c r="AD1829" s="14"/>
      <c r="AE1829" s="14"/>
      <c r="AF1829" s="14"/>
      <c r="AG1829" s="14"/>
      <c r="AH1829" s="14"/>
      <c r="AI1829" s="14"/>
      <c r="AJ1829" s="14"/>
      <c r="AK1829" s="14"/>
      <c r="AL1829" s="14"/>
      <c r="AM1829" s="14"/>
    </row>
    <row r="1830" customFormat="false" ht="13.8" hidden="false" customHeight="false" outlineLevel="0" collapsed="false">
      <c r="AA1830" s="7" t="n">
        <f aca="false">AA1829+1</f>
        <v>42736</v>
      </c>
      <c r="AB1830" s="14"/>
      <c r="AC1830" s="14"/>
      <c r="AD1830" s="14"/>
      <c r="AE1830" s="14"/>
      <c r="AF1830" s="14"/>
      <c r="AG1830" s="14"/>
      <c r="AH1830" s="14"/>
      <c r="AI1830" s="14"/>
      <c r="AJ1830" s="14"/>
      <c r="AK1830" s="14"/>
      <c r="AL1830" s="14"/>
      <c r="AM1830" s="14"/>
    </row>
    <row r="1831" customFormat="false" ht="13.8" hidden="false" customHeight="false" outlineLevel="0" collapsed="false">
      <c r="AA1831" s="7" t="n">
        <f aca="false">AA1830+1</f>
        <v>42737</v>
      </c>
      <c r="AB1831" s="14"/>
      <c r="AC1831" s="14"/>
      <c r="AD1831" s="14"/>
      <c r="AE1831" s="14"/>
      <c r="AF1831" s="14"/>
      <c r="AG1831" s="14"/>
      <c r="AH1831" s="14"/>
      <c r="AI1831" s="14"/>
      <c r="AJ1831" s="14"/>
      <c r="AK1831" s="14"/>
      <c r="AL1831" s="14"/>
      <c r="AM1831" s="14"/>
    </row>
    <row r="1832" customFormat="false" ht="13.8" hidden="false" customHeight="false" outlineLevel="0" collapsed="false">
      <c r="AA1832" s="7" t="n">
        <f aca="false">AA1831+1</f>
        <v>42738</v>
      </c>
      <c r="AB1832" s="14"/>
      <c r="AC1832" s="14"/>
      <c r="AD1832" s="14"/>
      <c r="AE1832" s="14"/>
      <c r="AF1832" s="14"/>
      <c r="AG1832" s="14"/>
      <c r="AH1832" s="14"/>
      <c r="AI1832" s="14"/>
      <c r="AJ1832" s="14"/>
      <c r="AK1832" s="14"/>
      <c r="AL1832" s="14"/>
      <c r="AM1832" s="14"/>
    </row>
    <row r="1833" customFormat="false" ht="13.8" hidden="false" customHeight="false" outlineLevel="0" collapsed="false">
      <c r="AA1833" s="7" t="n">
        <f aca="false">AA1832+1</f>
        <v>42739</v>
      </c>
      <c r="AB1833" s="14"/>
      <c r="AC1833" s="14"/>
      <c r="AD1833" s="14"/>
      <c r="AE1833" s="14"/>
      <c r="AF1833" s="14"/>
      <c r="AG1833" s="14"/>
      <c r="AH1833" s="14"/>
      <c r="AI1833" s="14"/>
      <c r="AJ1833" s="14"/>
      <c r="AK1833" s="14"/>
      <c r="AL1833" s="14"/>
      <c r="AM1833" s="14"/>
    </row>
    <row r="1834" customFormat="false" ht="13.8" hidden="false" customHeight="false" outlineLevel="0" collapsed="false">
      <c r="AA1834" s="7" t="n">
        <f aca="false">AA1833+1</f>
        <v>42740</v>
      </c>
      <c r="AB1834" s="14"/>
      <c r="AC1834" s="14"/>
      <c r="AD1834" s="14"/>
      <c r="AE1834" s="14"/>
      <c r="AF1834" s="14"/>
      <c r="AG1834" s="14"/>
      <c r="AH1834" s="14"/>
      <c r="AI1834" s="14"/>
      <c r="AJ1834" s="14"/>
      <c r="AK1834" s="14"/>
      <c r="AL1834" s="14"/>
      <c r="AM1834" s="14"/>
    </row>
    <row r="1835" customFormat="false" ht="13.8" hidden="false" customHeight="false" outlineLevel="0" collapsed="false">
      <c r="AA1835" s="7" t="n">
        <f aca="false">AA1834+1</f>
        <v>42741</v>
      </c>
      <c r="AB1835" s="14"/>
      <c r="AC1835" s="14"/>
      <c r="AD1835" s="14"/>
      <c r="AE1835" s="14"/>
      <c r="AF1835" s="14"/>
      <c r="AG1835" s="14"/>
      <c r="AH1835" s="14"/>
      <c r="AI1835" s="14"/>
      <c r="AJ1835" s="14"/>
      <c r="AK1835" s="14"/>
      <c r="AL1835" s="14"/>
      <c r="AM1835" s="14"/>
    </row>
    <row r="1836" customFormat="false" ht="13.8" hidden="false" customHeight="false" outlineLevel="0" collapsed="false">
      <c r="AA1836" s="7" t="n">
        <f aca="false">AA1835+1</f>
        <v>42742</v>
      </c>
      <c r="AB1836" s="14"/>
      <c r="AC1836" s="14"/>
      <c r="AD1836" s="14"/>
      <c r="AE1836" s="14"/>
      <c r="AF1836" s="14"/>
      <c r="AG1836" s="14"/>
      <c r="AH1836" s="14"/>
      <c r="AI1836" s="14"/>
      <c r="AJ1836" s="14"/>
      <c r="AK1836" s="14"/>
      <c r="AL1836" s="14"/>
      <c r="AM1836" s="14"/>
    </row>
    <row r="1837" customFormat="false" ht="13.8" hidden="false" customHeight="false" outlineLevel="0" collapsed="false">
      <c r="AA1837" s="7" t="n">
        <f aca="false">AA1836+1</f>
        <v>42743</v>
      </c>
      <c r="AB1837" s="14"/>
      <c r="AC1837" s="14"/>
      <c r="AD1837" s="14"/>
      <c r="AE1837" s="14"/>
      <c r="AF1837" s="14"/>
      <c r="AG1837" s="14"/>
      <c r="AH1837" s="14"/>
      <c r="AI1837" s="14"/>
      <c r="AJ1837" s="14"/>
      <c r="AK1837" s="14"/>
      <c r="AL1837" s="14"/>
      <c r="AM1837" s="14"/>
    </row>
    <row r="1838" customFormat="false" ht="13.8" hidden="false" customHeight="false" outlineLevel="0" collapsed="false">
      <c r="AA1838" s="7" t="n">
        <f aca="false">AA1837+1</f>
        <v>42744</v>
      </c>
      <c r="AB1838" s="14"/>
      <c r="AC1838" s="14"/>
      <c r="AD1838" s="14"/>
      <c r="AE1838" s="14"/>
      <c r="AF1838" s="14"/>
      <c r="AG1838" s="14"/>
      <c r="AH1838" s="14"/>
      <c r="AI1838" s="14"/>
      <c r="AJ1838" s="14"/>
      <c r="AK1838" s="14"/>
      <c r="AL1838" s="14"/>
      <c r="AM1838" s="14"/>
    </row>
    <row r="1839" customFormat="false" ht="13.8" hidden="false" customHeight="false" outlineLevel="0" collapsed="false">
      <c r="AA1839" s="7" t="n">
        <f aca="false">AA1838+1</f>
        <v>42745</v>
      </c>
      <c r="AB1839" s="14"/>
      <c r="AC1839" s="14"/>
      <c r="AD1839" s="14"/>
      <c r="AE1839" s="14"/>
      <c r="AF1839" s="14"/>
      <c r="AG1839" s="14"/>
      <c r="AH1839" s="14"/>
      <c r="AI1839" s="14"/>
      <c r="AJ1839" s="14"/>
      <c r="AK1839" s="14"/>
      <c r="AL1839" s="14"/>
      <c r="AM1839" s="14"/>
    </row>
    <row r="1840" customFormat="false" ht="13.8" hidden="false" customHeight="false" outlineLevel="0" collapsed="false">
      <c r="AA1840" s="7" t="n">
        <f aca="false">AA1839+1</f>
        <v>42746</v>
      </c>
      <c r="AB1840" s="14"/>
      <c r="AC1840" s="14"/>
      <c r="AD1840" s="14"/>
      <c r="AE1840" s="14"/>
      <c r="AF1840" s="14"/>
      <c r="AG1840" s="14"/>
      <c r="AH1840" s="14"/>
      <c r="AI1840" s="14"/>
      <c r="AJ1840" s="14"/>
      <c r="AK1840" s="14"/>
      <c r="AL1840" s="14"/>
      <c r="AM1840" s="14"/>
    </row>
    <row r="1841" customFormat="false" ht="13.8" hidden="false" customHeight="false" outlineLevel="0" collapsed="false">
      <c r="AA1841" s="7" t="n">
        <f aca="false">AA1840+1</f>
        <v>42747</v>
      </c>
      <c r="AB1841" s="14"/>
      <c r="AC1841" s="14"/>
      <c r="AD1841" s="14"/>
      <c r="AE1841" s="14"/>
      <c r="AF1841" s="14"/>
      <c r="AG1841" s="14"/>
      <c r="AH1841" s="14"/>
      <c r="AI1841" s="14"/>
      <c r="AJ1841" s="14"/>
      <c r="AK1841" s="14"/>
      <c r="AL1841" s="14"/>
      <c r="AM1841" s="14"/>
    </row>
    <row r="1842" customFormat="false" ht="13.8" hidden="false" customHeight="false" outlineLevel="0" collapsed="false">
      <c r="AA1842" s="7" t="n">
        <f aca="false">AA1841+1</f>
        <v>42748</v>
      </c>
      <c r="AB1842" s="14"/>
      <c r="AC1842" s="14"/>
      <c r="AD1842" s="14"/>
      <c r="AE1842" s="14"/>
      <c r="AF1842" s="14"/>
      <c r="AG1842" s="14"/>
      <c r="AH1842" s="14"/>
      <c r="AI1842" s="14"/>
      <c r="AJ1842" s="14"/>
      <c r="AK1842" s="14"/>
      <c r="AL1842" s="14"/>
      <c r="AM1842" s="14"/>
    </row>
    <row r="1843" customFormat="false" ht="13.8" hidden="false" customHeight="false" outlineLevel="0" collapsed="false">
      <c r="AA1843" s="7" t="n">
        <f aca="false">AA1842+1</f>
        <v>42749</v>
      </c>
      <c r="AB1843" s="14"/>
      <c r="AC1843" s="14"/>
      <c r="AD1843" s="14"/>
      <c r="AE1843" s="14"/>
      <c r="AF1843" s="14"/>
      <c r="AG1843" s="14"/>
      <c r="AH1843" s="14"/>
      <c r="AI1843" s="14"/>
      <c r="AJ1843" s="14"/>
      <c r="AK1843" s="14"/>
      <c r="AL1843" s="14"/>
      <c r="AM1843" s="14"/>
    </row>
    <row r="1844" customFormat="false" ht="13.8" hidden="false" customHeight="false" outlineLevel="0" collapsed="false">
      <c r="AA1844" s="7" t="n">
        <f aca="false">AA1843+1</f>
        <v>42750</v>
      </c>
      <c r="AB1844" s="14"/>
      <c r="AC1844" s="14"/>
      <c r="AD1844" s="14"/>
      <c r="AE1844" s="14"/>
      <c r="AF1844" s="14"/>
      <c r="AG1844" s="14"/>
      <c r="AH1844" s="14"/>
      <c r="AI1844" s="14"/>
      <c r="AJ1844" s="14"/>
      <c r="AK1844" s="14"/>
      <c r="AL1844" s="14"/>
      <c r="AM1844" s="14"/>
    </row>
    <row r="1845" customFormat="false" ht="13.8" hidden="false" customHeight="false" outlineLevel="0" collapsed="false">
      <c r="AA1845" s="7" t="n">
        <f aca="false">AA1844+1</f>
        <v>42751</v>
      </c>
      <c r="AB1845" s="14"/>
      <c r="AC1845" s="14"/>
      <c r="AD1845" s="14"/>
      <c r="AE1845" s="14"/>
      <c r="AF1845" s="14"/>
      <c r="AG1845" s="14"/>
      <c r="AH1845" s="14"/>
      <c r="AI1845" s="14"/>
      <c r="AJ1845" s="14"/>
      <c r="AK1845" s="14"/>
      <c r="AL1845" s="14"/>
      <c r="AM1845" s="14"/>
    </row>
    <row r="1846" customFormat="false" ht="13.8" hidden="false" customHeight="false" outlineLevel="0" collapsed="false">
      <c r="AA1846" s="7" t="n">
        <f aca="false">AA1845+1</f>
        <v>42752</v>
      </c>
      <c r="AB1846" s="14"/>
      <c r="AC1846" s="14"/>
      <c r="AD1846" s="14"/>
      <c r="AE1846" s="14"/>
      <c r="AF1846" s="14"/>
      <c r="AG1846" s="14"/>
      <c r="AH1846" s="14"/>
      <c r="AI1846" s="14"/>
      <c r="AJ1846" s="14"/>
      <c r="AK1846" s="14"/>
      <c r="AL1846" s="14"/>
      <c r="AM1846" s="14"/>
    </row>
    <row r="1847" customFormat="false" ht="13.8" hidden="false" customHeight="false" outlineLevel="0" collapsed="false">
      <c r="AA1847" s="7" t="n">
        <f aca="false">AA1846+1</f>
        <v>42753</v>
      </c>
      <c r="AB1847" s="14"/>
      <c r="AC1847" s="14"/>
      <c r="AD1847" s="14"/>
      <c r="AE1847" s="14"/>
      <c r="AF1847" s="14"/>
      <c r="AG1847" s="14"/>
      <c r="AH1847" s="14"/>
      <c r="AI1847" s="14"/>
      <c r="AJ1847" s="14"/>
      <c r="AK1847" s="14"/>
      <c r="AL1847" s="14"/>
      <c r="AM1847" s="14"/>
    </row>
    <row r="1848" customFormat="false" ht="13.8" hidden="false" customHeight="false" outlineLevel="0" collapsed="false">
      <c r="AA1848" s="7" t="n">
        <f aca="false">AA1847+1</f>
        <v>42754</v>
      </c>
      <c r="AB1848" s="14"/>
      <c r="AC1848" s="14"/>
      <c r="AD1848" s="14"/>
      <c r="AE1848" s="14"/>
      <c r="AF1848" s="14"/>
      <c r="AG1848" s="14"/>
      <c r="AH1848" s="14"/>
      <c r="AI1848" s="14"/>
      <c r="AJ1848" s="14"/>
      <c r="AK1848" s="14"/>
      <c r="AL1848" s="14"/>
      <c r="AM1848" s="14"/>
    </row>
    <row r="1849" customFormat="false" ht="13.8" hidden="false" customHeight="false" outlineLevel="0" collapsed="false">
      <c r="AA1849" s="7" t="n">
        <f aca="false">AA1848+1</f>
        <v>42755</v>
      </c>
      <c r="AB1849" s="14"/>
      <c r="AC1849" s="14"/>
      <c r="AD1849" s="14"/>
      <c r="AE1849" s="14"/>
      <c r="AF1849" s="14"/>
      <c r="AG1849" s="14"/>
      <c r="AH1849" s="14"/>
      <c r="AI1849" s="14"/>
      <c r="AJ1849" s="14"/>
      <c r="AK1849" s="14"/>
      <c r="AL1849" s="14"/>
      <c r="AM1849" s="14"/>
    </row>
    <row r="1850" customFormat="false" ht="13.8" hidden="false" customHeight="false" outlineLevel="0" collapsed="false">
      <c r="AA1850" s="7" t="n">
        <f aca="false">AA1849+1</f>
        <v>42756</v>
      </c>
      <c r="AB1850" s="14"/>
      <c r="AC1850" s="14"/>
      <c r="AD1850" s="14"/>
      <c r="AE1850" s="14"/>
      <c r="AF1850" s="14"/>
      <c r="AG1850" s="14"/>
      <c r="AH1850" s="14"/>
      <c r="AI1850" s="14"/>
      <c r="AJ1850" s="14"/>
      <c r="AK1850" s="14"/>
      <c r="AL1850" s="14"/>
      <c r="AM1850" s="14"/>
    </row>
    <row r="1851" customFormat="false" ht="13.8" hidden="false" customHeight="false" outlineLevel="0" collapsed="false">
      <c r="AA1851" s="7" t="n">
        <f aca="false">AA1850+1</f>
        <v>42757</v>
      </c>
      <c r="AB1851" s="14"/>
      <c r="AC1851" s="14"/>
      <c r="AD1851" s="14"/>
      <c r="AE1851" s="14"/>
      <c r="AF1851" s="14"/>
      <c r="AG1851" s="14"/>
      <c r="AH1851" s="14"/>
      <c r="AI1851" s="14"/>
      <c r="AJ1851" s="14"/>
      <c r="AK1851" s="14"/>
      <c r="AL1851" s="14"/>
      <c r="AM1851" s="14"/>
    </row>
    <row r="1852" customFormat="false" ht="13.8" hidden="false" customHeight="false" outlineLevel="0" collapsed="false">
      <c r="AA1852" s="7" t="n">
        <f aca="false">AA1851+1</f>
        <v>42758</v>
      </c>
      <c r="AB1852" s="14"/>
      <c r="AC1852" s="14"/>
      <c r="AD1852" s="14"/>
      <c r="AE1852" s="14"/>
      <c r="AF1852" s="14"/>
      <c r="AG1852" s="14"/>
      <c r="AH1852" s="14"/>
      <c r="AI1852" s="14"/>
      <c r="AJ1852" s="14"/>
      <c r="AK1852" s="14"/>
      <c r="AL1852" s="14"/>
      <c r="AM1852" s="14"/>
    </row>
    <row r="1853" customFormat="false" ht="13.8" hidden="false" customHeight="false" outlineLevel="0" collapsed="false">
      <c r="AA1853" s="7" t="n">
        <f aca="false">AA1852+1</f>
        <v>42759</v>
      </c>
      <c r="AB1853" s="14"/>
      <c r="AC1853" s="14"/>
      <c r="AD1853" s="14"/>
      <c r="AE1853" s="14"/>
      <c r="AF1853" s="14"/>
      <c r="AG1853" s="14"/>
      <c r="AH1853" s="14"/>
      <c r="AI1853" s="14"/>
      <c r="AJ1853" s="14"/>
      <c r="AK1853" s="14"/>
      <c r="AL1853" s="14"/>
      <c r="AM1853" s="14"/>
    </row>
    <row r="1854" customFormat="false" ht="13.8" hidden="false" customHeight="false" outlineLevel="0" collapsed="false">
      <c r="AA1854" s="7" t="n">
        <f aca="false">AA1853+1</f>
        <v>42760</v>
      </c>
      <c r="AB1854" s="14"/>
      <c r="AC1854" s="14"/>
      <c r="AD1854" s="14"/>
      <c r="AE1854" s="14"/>
      <c r="AF1854" s="14"/>
      <c r="AG1854" s="14"/>
      <c r="AH1854" s="14"/>
      <c r="AI1854" s="14"/>
      <c r="AJ1854" s="14"/>
      <c r="AK1854" s="14"/>
      <c r="AL1854" s="14"/>
      <c r="AM1854" s="14"/>
    </row>
    <row r="1855" customFormat="false" ht="13.8" hidden="false" customHeight="false" outlineLevel="0" collapsed="false">
      <c r="AA1855" s="7" t="n">
        <f aca="false">AA1854+1</f>
        <v>42761</v>
      </c>
      <c r="AB1855" s="14"/>
      <c r="AC1855" s="14"/>
      <c r="AD1855" s="14"/>
      <c r="AE1855" s="14"/>
      <c r="AF1855" s="14"/>
      <c r="AG1855" s="14"/>
      <c r="AH1855" s="14"/>
      <c r="AI1855" s="14"/>
      <c r="AJ1855" s="14"/>
      <c r="AK1855" s="14"/>
      <c r="AL1855" s="14"/>
      <c r="AM1855" s="14"/>
    </row>
    <row r="1856" customFormat="false" ht="13.8" hidden="false" customHeight="false" outlineLevel="0" collapsed="false">
      <c r="AA1856" s="7" t="n">
        <f aca="false">AA1855+1</f>
        <v>42762</v>
      </c>
      <c r="AB1856" s="14"/>
      <c r="AC1856" s="14"/>
      <c r="AD1856" s="14"/>
      <c r="AE1856" s="14"/>
      <c r="AF1856" s="14"/>
      <c r="AG1856" s="14"/>
      <c r="AH1856" s="14"/>
      <c r="AI1856" s="14"/>
      <c r="AJ1856" s="14"/>
      <c r="AK1856" s="14"/>
      <c r="AL1856" s="14"/>
      <c r="AM1856" s="14"/>
    </row>
    <row r="1857" customFormat="false" ht="13.8" hidden="false" customHeight="false" outlineLevel="0" collapsed="false">
      <c r="AA1857" s="7" t="n">
        <f aca="false">AA1856+1</f>
        <v>42763</v>
      </c>
      <c r="AB1857" s="14"/>
      <c r="AC1857" s="14"/>
      <c r="AD1857" s="14"/>
      <c r="AE1857" s="14"/>
      <c r="AF1857" s="14"/>
      <c r="AG1857" s="14"/>
      <c r="AH1857" s="14"/>
      <c r="AI1857" s="14"/>
      <c r="AJ1857" s="14"/>
      <c r="AK1857" s="14"/>
      <c r="AL1857" s="14"/>
      <c r="AM1857" s="14"/>
    </row>
    <row r="1858" customFormat="false" ht="13.8" hidden="false" customHeight="false" outlineLevel="0" collapsed="false">
      <c r="AA1858" s="7" t="n">
        <f aca="false">AA1857+1</f>
        <v>42764</v>
      </c>
      <c r="AB1858" s="14"/>
      <c r="AC1858" s="14"/>
      <c r="AD1858" s="14"/>
      <c r="AE1858" s="14"/>
      <c r="AF1858" s="14"/>
      <c r="AG1858" s="14"/>
      <c r="AH1858" s="14"/>
      <c r="AI1858" s="14"/>
      <c r="AJ1858" s="14"/>
      <c r="AK1858" s="14"/>
      <c r="AL1858" s="14"/>
      <c r="AM1858" s="14"/>
    </row>
    <row r="1859" customFormat="false" ht="13.8" hidden="false" customHeight="false" outlineLevel="0" collapsed="false">
      <c r="AA1859" s="7" t="n">
        <f aca="false">AA1858+1</f>
        <v>42765</v>
      </c>
      <c r="AB1859" s="14"/>
      <c r="AC1859" s="14"/>
      <c r="AD1859" s="14"/>
      <c r="AE1859" s="14"/>
      <c r="AF1859" s="14"/>
      <c r="AG1859" s="14"/>
      <c r="AH1859" s="14"/>
      <c r="AI1859" s="14"/>
      <c r="AJ1859" s="14"/>
      <c r="AK1859" s="14"/>
      <c r="AL1859" s="14"/>
      <c r="AM1859" s="14"/>
    </row>
    <row r="1860" customFormat="false" ht="13.8" hidden="false" customHeight="false" outlineLevel="0" collapsed="false">
      <c r="AA1860" s="7" t="n">
        <f aca="false">AA1859+1</f>
        <v>42766</v>
      </c>
      <c r="AB1860" s="14"/>
      <c r="AC1860" s="14"/>
      <c r="AD1860" s="14"/>
      <c r="AE1860" s="14"/>
      <c r="AF1860" s="14"/>
      <c r="AG1860" s="14"/>
      <c r="AH1860" s="14"/>
      <c r="AI1860" s="14"/>
      <c r="AJ1860" s="14"/>
      <c r="AK1860" s="14"/>
      <c r="AL1860" s="14"/>
      <c r="AM1860" s="14"/>
    </row>
    <row r="1861" customFormat="false" ht="13.8" hidden="false" customHeight="false" outlineLevel="0" collapsed="false">
      <c r="AA1861" s="7" t="n">
        <f aca="false">AA1860+1</f>
        <v>42767</v>
      </c>
      <c r="AB1861" s="14"/>
      <c r="AC1861" s="14"/>
      <c r="AD1861" s="14"/>
      <c r="AE1861" s="14"/>
      <c r="AF1861" s="14"/>
      <c r="AG1861" s="14"/>
      <c r="AH1861" s="14"/>
      <c r="AI1861" s="14"/>
      <c r="AJ1861" s="14"/>
      <c r="AK1861" s="14"/>
      <c r="AL1861" s="14"/>
      <c r="AM1861" s="14"/>
    </row>
    <row r="1862" customFormat="false" ht="13.8" hidden="false" customHeight="false" outlineLevel="0" collapsed="false">
      <c r="AA1862" s="7" t="n">
        <f aca="false">AA1861+1</f>
        <v>42768</v>
      </c>
      <c r="AB1862" s="14"/>
      <c r="AC1862" s="14"/>
      <c r="AD1862" s="14"/>
      <c r="AE1862" s="14"/>
      <c r="AF1862" s="14"/>
      <c r="AG1862" s="14"/>
      <c r="AH1862" s="14"/>
      <c r="AI1862" s="14"/>
      <c r="AJ1862" s="14"/>
      <c r="AK1862" s="14"/>
      <c r="AL1862" s="14"/>
      <c r="AM1862" s="14"/>
    </row>
    <row r="1863" customFormat="false" ht="13.8" hidden="false" customHeight="false" outlineLevel="0" collapsed="false">
      <c r="AA1863" s="7" t="n">
        <f aca="false">AA1862+1</f>
        <v>42769</v>
      </c>
      <c r="AB1863" s="14"/>
      <c r="AC1863" s="14"/>
      <c r="AD1863" s="14"/>
      <c r="AE1863" s="14"/>
      <c r="AF1863" s="14"/>
      <c r="AG1863" s="14"/>
      <c r="AH1863" s="14"/>
      <c r="AI1863" s="14"/>
      <c r="AJ1863" s="14"/>
      <c r="AK1863" s="14"/>
      <c r="AL1863" s="14"/>
      <c r="AM1863" s="14"/>
    </row>
    <row r="1864" customFormat="false" ht="13.8" hidden="false" customHeight="false" outlineLevel="0" collapsed="false">
      <c r="AA1864" s="7" t="n">
        <f aca="false">AA1863+1</f>
        <v>42770</v>
      </c>
      <c r="AB1864" s="14"/>
      <c r="AC1864" s="14"/>
      <c r="AD1864" s="14"/>
      <c r="AE1864" s="14"/>
      <c r="AF1864" s="14"/>
      <c r="AG1864" s="14"/>
      <c r="AH1864" s="14"/>
      <c r="AI1864" s="14"/>
      <c r="AJ1864" s="14"/>
      <c r="AK1864" s="14"/>
      <c r="AL1864" s="14"/>
      <c r="AM1864" s="14"/>
    </row>
    <row r="1865" customFormat="false" ht="13.8" hidden="false" customHeight="false" outlineLevel="0" collapsed="false">
      <c r="AA1865" s="7" t="n">
        <f aca="false">AA1864+1</f>
        <v>42771</v>
      </c>
      <c r="AB1865" s="14"/>
      <c r="AC1865" s="14"/>
      <c r="AD1865" s="14"/>
      <c r="AE1865" s="14"/>
      <c r="AF1865" s="14"/>
      <c r="AG1865" s="14"/>
      <c r="AH1865" s="14"/>
      <c r="AI1865" s="14"/>
      <c r="AJ1865" s="14"/>
      <c r="AK1865" s="14"/>
      <c r="AL1865" s="14"/>
      <c r="AM1865" s="14"/>
    </row>
    <row r="1866" customFormat="false" ht="13.8" hidden="false" customHeight="false" outlineLevel="0" collapsed="false">
      <c r="AA1866" s="7" t="n">
        <f aca="false">AA1865+1</f>
        <v>42772</v>
      </c>
      <c r="AB1866" s="14"/>
      <c r="AC1866" s="14"/>
      <c r="AD1866" s="14"/>
      <c r="AE1866" s="14"/>
      <c r="AF1866" s="14"/>
      <c r="AG1866" s="14"/>
      <c r="AH1866" s="14"/>
      <c r="AI1866" s="14"/>
      <c r="AJ1866" s="14"/>
      <c r="AK1866" s="14"/>
      <c r="AL1866" s="14"/>
      <c r="AM1866" s="14"/>
    </row>
    <row r="1867" customFormat="false" ht="13.8" hidden="false" customHeight="false" outlineLevel="0" collapsed="false">
      <c r="AA1867" s="7" t="n">
        <f aca="false">AA1866+1</f>
        <v>42773</v>
      </c>
      <c r="AB1867" s="14"/>
      <c r="AC1867" s="14"/>
      <c r="AD1867" s="14"/>
      <c r="AE1867" s="14"/>
      <c r="AF1867" s="14"/>
      <c r="AG1867" s="14"/>
      <c r="AH1867" s="14"/>
      <c r="AI1867" s="14"/>
      <c r="AJ1867" s="14"/>
      <c r="AK1867" s="14"/>
      <c r="AL1867" s="14"/>
      <c r="AM1867" s="14"/>
    </row>
    <row r="1868" customFormat="false" ht="13.8" hidden="false" customHeight="false" outlineLevel="0" collapsed="false">
      <c r="AA1868" s="7" t="n">
        <f aca="false">AA1867+1</f>
        <v>42774</v>
      </c>
      <c r="AB1868" s="14"/>
      <c r="AC1868" s="14"/>
      <c r="AD1868" s="14"/>
      <c r="AE1868" s="14"/>
      <c r="AF1868" s="14"/>
      <c r="AG1868" s="14"/>
      <c r="AH1868" s="14"/>
      <c r="AI1868" s="14"/>
      <c r="AJ1868" s="14"/>
      <c r="AK1868" s="14"/>
      <c r="AL1868" s="14"/>
      <c r="AM1868" s="14"/>
    </row>
    <row r="1869" customFormat="false" ht="13.8" hidden="false" customHeight="false" outlineLevel="0" collapsed="false">
      <c r="AA1869" s="7" t="n">
        <f aca="false">AA1868+1</f>
        <v>42775</v>
      </c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</row>
    <row r="1870" customFormat="false" ht="13.8" hidden="false" customHeight="false" outlineLevel="0" collapsed="false">
      <c r="AA1870" s="7" t="n">
        <f aca="false">AA1869+1</f>
        <v>42776</v>
      </c>
      <c r="AB1870" s="14"/>
      <c r="AC1870" s="14"/>
      <c r="AD1870" s="14"/>
      <c r="AE1870" s="14"/>
      <c r="AF1870" s="14"/>
      <c r="AG1870" s="14"/>
      <c r="AH1870" s="14"/>
      <c r="AI1870" s="14"/>
      <c r="AJ1870" s="14"/>
      <c r="AK1870" s="14"/>
      <c r="AL1870" s="14"/>
      <c r="AM1870" s="14"/>
    </row>
    <row r="1871" customFormat="false" ht="13.8" hidden="false" customHeight="false" outlineLevel="0" collapsed="false">
      <c r="AA1871" s="7" t="n">
        <f aca="false">AA1870+1</f>
        <v>42777</v>
      </c>
      <c r="AB1871" s="14"/>
      <c r="AC1871" s="14"/>
      <c r="AD1871" s="14"/>
      <c r="AE1871" s="14"/>
      <c r="AF1871" s="14"/>
      <c r="AG1871" s="14"/>
      <c r="AH1871" s="14"/>
      <c r="AI1871" s="14"/>
      <c r="AJ1871" s="14"/>
      <c r="AK1871" s="14"/>
      <c r="AL1871" s="14"/>
      <c r="AM1871" s="14"/>
    </row>
    <row r="1872" customFormat="false" ht="13.8" hidden="false" customHeight="false" outlineLevel="0" collapsed="false">
      <c r="AA1872" s="7" t="n">
        <f aca="false">AA1871+1</f>
        <v>42778</v>
      </c>
      <c r="AB1872" s="14"/>
      <c r="AC1872" s="14"/>
      <c r="AD1872" s="14"/>
      <c r="AE1872" s="14"/>
      <c r="AF1872" s="14"/>
      <c r="AG1872" s="14"/>
      <c r="AH1872" s="14"/>
      <c r="AI1872" s="14"/>
      <c r="AJ1872" s="14"/>
      <c r="AK1872" s="14"/>
      <c r="AL1872" s="14"/>
      <c r="AM1872" s="14"/>
    </row>
    <row r="1873" customFormat="false" ht="13.8" hidden="false" customHeight="false" outlineLevel="0" collapsed="false">
      <c r="AA1873" s="7" t="n">
        <f aca="false">AA1872+1</f>
        <v>42779</v>
      </c>
      <c r="AB1873" s="14"/>
      <c r="AC1873" s="14"/>
      <c r="AD1873" s="14"/>
      <c r="AE1873" s="14"/>
      <c r="AF1873" s="14"/>
      <c r="AG1873" s="14"/>
      <c r="AH1873" s="14"/>
      <c r="AI1873" s="14"/>
      <c r="AJ1873" s="14"/>
      <c r="AK1873" s="14"/>
      <c r="AL1873" s="14"/>
      <c r="AM1873" s="14"/>
    </row>
    <row r="1874" customFormat="false" ht="13.8" hidden="false" customHeight="false" outlineLevel="0" collapsed="false">
      <c r="AA1874" s="7" t="n">
        <f aca="false">AA1873+1</f>
        <v>42780</v>
      </c>
      <c r="AB1874" s="14"/>
      <c r="AC1874" s="14"/>
      <c r="AD1874" s="14"/>
      <c r="AE1874" s="14"/>
      <c r="AF1874" s="14"/>
      <c r="AG1874" s="14"/>
      <c r="AH1874" s="14"/>
      <c r="AI1874" s="14"/>
      <c r="AJ1874" s="14"/>
      <c r="AK1874" s="14"/>
      <c r="AL1874" s="14"/>
      <c r="AM1874" s="14"/>
    </row>
    <row r="1875" customFormat="false" ht="13.8" hidden="false" customHeight="false" outlineLevel="0" collapsed="false">
      <c r="AA1875" s="7" t="n">
        <f aca="false">AA1874+1</f>
        <v>42781</v>
      </c>
      <c r="AB1875" s="14"/>
      <c r="AC1875" s="14"/>
      <c r="AD1875" s="14"/>
      <c r="AE1875" s="14"/>
      <c r="AF1875" s="14"/>
      <c r="AG1875" s="14"/>
      <c r="AH1875" s="14"/>
      <c r="AI1875" s="14"/>
      <c r="AJ1875" s="14"/>
      <c r="AK1875" s="14"/>
      <c r="AL1875" s="14"/>
      <c r="AM1875" s="14"/>
    </row>
    <row r="1876" customFormat="false" ht="13.8" hidden="false" customHeight="false" outlineLevel="0" collapsed="false">
      <c r="AA1876" s="7" t="n">
        <f aca="false">AA1875+1</f>
        <v>42782</v>
      </c>
      <c r="AB1876" s="14"/>
      <c r="AC1876" s="14"/>
      <c r="AD1876" s="14"/>
      <c r="AE1876" s="14"/>
      <c r="AF1876" s="14"/>
      <c r="AG1876" s="14"/>
      <c r="AH1876" s="14"/>
      <c r="AI1876" s="14"/>
      <c r="AJ1876" s="14"/>
      <c r="AK1876" s="14"/>
      <c r="AL1876" s="14"/>
      <c r="AM1876" s="14"/>
    </row>
    <row r="1877" customFormat="false" ht="13.8" hidden="false" customHeight="false" outlineLevel="0" collapsed="false">
      <c r="AA1877" s="7" t="n">
        <f aca="false">AA1876+1</f>
        <v>42783</v>
      </c>
      <c r="AB1877" s="14"/>
      <c r="AC1877" s="14"/>
      <c r="AD1877" s="14"/>
      <c r="AE1877" s="14"/>
      <c r="AF1877" s="14"/>
      <c r="AG1877" s="14"/>
      <c r="AH1877" s="14"/>
      <c r="AI1877" s="14"/>
      <c r="AJ1877" s="14"/>
      <c r="AK1877" s="14"/>
      <c r="AL1877" s="14"/>
      <c r="AM1877" s="14"/>
    </row>
    <row r="1878" customFormat="false" ht="13.8" hidden="false" customHeight="false" outlineLevel="0" collapsed="false">
      <c r="AA1878" s="7" t="n">
        <f aca="false">AA1877+1</f>
        <v>42784</v>
      </c>
      <c r="AB1878" s="14"/>
      <c r="AC1878" s="14"/>
      <c r="AD1878" s="14"/>
      <c r="AE1878" s="14"/>
      <c r="AF1878" s="14"/>
      <c r="AG1878" s="14"/>
      <c r="AH1878" s="14"/>
      <c r="AI1878" s="14"/>
      <c r="AJ1878" s="14"/>
      <c r="AK1878" s="14"/>
      <c r="AL1878" s="14"/>
      <c r="AM1878" s="14"/>
    </row>
    <row r="1879" customFormat="false" ht="13.8" hidden="false" customHeight="false" outlineLevel="0" collapsed="false">
      <c r="AA1879" s="7" t="n">
        <f aca="false">AA1878+1</f>
        <v>42785</v>
      </c>
      <c r="AB1879" s="14"/>
      <c r="AC1879" s="14"/>
      <c r="AD1879" s="14"/>
      <c r="AE1879" s="14"/>
      <c r="AF1879" s="14"/>
      <c r="AG1879" s="14"/>
      <c r="AH1879" s="14"/>
      <c r="AI1879" s="14"/>
      <c r="AJ1879" s="14"/>
      <c r="AK1879" s="14"/>
      <c r="AL1879" s="14"/>
      <c r="AM1879" s="14"/>
    </row>
    <row r="1880" customFormat="false" ht="13.8" hidden="false" customHeight="false" outlineLevel="0" collapsed="false">
      <c r="AA1880" s="7" t="n">
        <f aca="false">AA1879+1</f>
        <v>42786</v>
      </c>
      <c r="AB1880" s="14"/>
      <c r="AC1880" s="14"/>
      <c r="AD1880" s="14"/>
      <c r="AE1880" s="14"/>
      <c r="AF1880" s="14"/>
      <c r="AG1880" s="14"/>
      <c r="AH1880" s="14"/>
      <c r="AI1880" s="14"/>
      <c r="AJ1880" s="14"/>
      <c r="AK1880" s="14"/>
      <c r="AL1880" s="14"/>
      <c r="AM1880" s="14"/>
    </row>
    <row r="1881" customFormat="false" ht="13.8" hidden="false" customHeight="false" outlineLevel="0" collapsed="false">
      <c r="AA1881" s="7" t="n">
        <f aca="false">AA1880+1</f>
        <v>42787</v>
      </c>
      <c r="AB1881" s="14"/>
      <c r="AC1881" s="14"/>
      <c r="AD1881" s="14"/>
      <c r="AE1881" s="14"/>
      <c r="AF1881" s="14"/>
      <c r="AG1881" s="14"/>
      <c r="AH1881" s="14"/>
      <c r="AI1881" s="14"/>
      <c r="AJ1881" s="14"/>
      <c r="AK1881" s="14"/>
      <c r="AL1881" s="14"/>
      <c r="AM1881" s="14"/>
    </row>
    <row r="1882" customFormat="false" ht="13.8" hidden="false" customHeight="false" outlineLevel="0" collapsed="false">
      <c r="AA1882" s="7" t="n">
        <f aca="false">AA1881+1</f>
        <v>42788</v>
      </c>
      <c r="AB1882" s="14"/>
      <c r="AC1882" s="14"/>
      <c r="AD1882" s="14"/>
      <c r="AE1882" s="14"/>
      <c r="AF1882" s="14"/>
      <c r="AG1882" s="14"/>
      <c r="AH1882" s="14"/>
      <c r="AI1882" s="14"/>
      <c r="AJ1882" s="14"/>
      <c r="AK1882" s="14"/>
      <c r="AL1882" s="14"/>
      <c r="AM1882" s="14"/>
    </row>
    <row r="1883" customFormat="false" ht="13.8" hidden="false" customHeight="false" outlineLevel="0" collapsed="false">
      <c r="AA1883" s="7" t="n">
        <f aca="false">AA1882+1</f>
        <v>42789</v>
      </c>
      <c r="AB1883" s="14"/>
      <c r="AC1883" s="14"/>
      <c r="AD1883" s="14"/>
      <c r="AE1883" s="14"/>
      <c r="AF1883" s="14"/>
      <c r="AG1883" s="14"/>
      <c r="AH1883" s="14"/>
      <c r="AI1883" s="14"/>
      <c r="AJ1883" s="14"/>
      <c r="AK1883" s="14"/>
      <c r="AL1883" s="14"/>
      <c r="AM1883" s="14"/>
    </row>
    <row r="1884" customFormat="false" ht="13.8" hidden="false" customHeight="false" outlineLevel="0" collapsed="false">
      <c r="AA1884" s="7" t="n">
        <f aca="false">AA1883+1</f>
        <v>42790</v>
      </c>
      <c r="AB1884" s="14"/>
      <c r="AC1884" s="14"/>
      <c r="AD1884" s="14"/>
      <c r="AE1884" s="14"/>
      <c r="AF1884" s="14"/>
      <c r="AG1884" s="14"/>
      <c r="AH1884" s="14"/>
      <c r="AI1884" s="14"/>
      <c r="AJ1884" s="14"/>
      <c r="AK1884" s="14"/>
      <c r="AL1884" s="14"/>
      <c r="AM1884" s="14"/>
    </row>
    <row r="1885" customFormat="false" ht="13.8" hidden="false" customHeight="false" outlineLevel="0" collapsed="false">
      <c r="AA1885" s="7" t="n">
        <f aca="false">AA1884+1</f>
        <v>42791</v>
      </c>
      <c r="AB1885" s="14"/>
      <c r="AC1885" s="14"/>
      <c r="AD1885" s="14"/>
      <c r="AE1885" s="14"/>
      <c r="AF1885" s="14"/>
      <c r="AG1885" s="14"/>
      <c r="AH1885" s="14"/>
      <c r="AI1885" s="14"/>
      <c r="AJ1885" s="14"/>
      <c r="AK1885" s="14"/>
      <c r="AL1885" s="14"/>
      <c r="AM1885" s="14"/>
    </row>
    <row r="1886" customFormat="false" ht="13.8" hidden="false" customHeight="false" outlineLevel="0" collapsed="false">
      <c r="AA1886" s="7" t="n">
        <f aca="false">AA1885+1</f>
        <v>42792</v>
      </c>
      <c r="AB1886" s="14"/>
      <c r="AC1886" s="14"/>
      <c r="AD1886" s="14"/>
      <c r="AE1886" s="14"/>
      <c r="AF1886" s="14"/>
      <c r="AG1886" s="14"/>
      <c r="AH1886" s="14"/>
      <c r="AI1886" s="14"/>
      <c r="AJ1886" s="14"/>
      <c r="AK1886" s="14"/>
      <c r="AL1886" s="14"/>
      <c r="AM1886" s="14"/>
    </row>
    <row r="1887" customFormat="false" ht="13.8" hidden="false" customHeight="false" outlineLevel="0" collapsed="false">
      <c r="AA1887" s="7" t="n">
        <f aca="false">AA1886+1</f>
        <v>42793</v>
      </c>
      <c r="AB1887" s="14"/>
      <c r="AC1887" s="14"/>
      <c r="AD1887" s="14"/>
      <c r="AE1887" s="14"/>
      <c r="AF1887" s="14"/>
      <c r="AG1887" s="14"/>
      <c r="AH1887" s="14"/>
      <c r="AI1887" s="14"/>
      <c r="AJ1887" s="14"/>
      <c r="AK1887" s="14"/>
      <c r="AL1887" s="14"/>
      <c r="AM1887" s="14"/>
    </row>
    <row r="1888" customFormat="false" ht="13.8" hidden="false" customHeight="false" outlineLevel="0" collapsed="false">
      <c r="AA1888" s="7" t="n">
        <f aca="false">AA1887+1</f>
        <v>42794</v>
      </c>
      <c r="AB1888" s="14"/>
      <c r="AC1888" s="14"/>
      <c r="AD1888" s="14"/>
      <c r="AE1888" s="14"/>
      <c r="AF1888" s="14"/>
      <c r="AG1888" s="14"/>
      <c r="AH1888" s="14"/>
      <c r="AI1888" s="14"/>
      <c r="AJ1888" s="14"/>
      <c r="AK1888" s="14"/>
      <c r="AL1888" s="14"/>
      <c r="AM1888" s="14"/>
    </row>
    <row r="1889" customFormat="false" ht="13.8" hidden="false" customHeight="false" outlineLevel="0" collapsed="false">
      <c r="AA1889" s="7" t="n">
        <f aca="false">AA1888+1</f>
        <v>42795</v>
      </c>
      <c r="AB1889" s="14"/>
      <c r="AC1889" s="14"/>
      <c r="AD1889" s="14"/>
      <c r="AE1889" s="14"/>
      <c r="AF1889" s="14"/>
      <c r="AG1889" s="14"/>
      <c r="AH1889" s="14"/>
      <c r="AI1889" s="14"/>
      <c r="AJ1889" s="14"/>
      <c r="AK1889" s="14"/>
      <c r="AL1889" s="14"/>
      <c r="AM1889" s="14"/>
    </row>
    <row r="1890" customFormat="false" ht="13.8" hidden="false" customHeight="false" outlineLevel="0" collapsed="false">
      <c r="AA1890" s="7" t="n">
        <f aca="false">AA1889+1</f>
        <v>42796</v>
      </c>
      <c r="AB1890" s="14"/>
      <c r="AC1890" s="14"/>
      <c r="AD1890" s="14"/>
      <c r="AE1890" s="14"/>
      <c r="AF1890" s="14"/>
      <c r="AG1890" s="14"/>
      <c r="AH1890" s="14"/>
      <c r="AI1890" s="14"/>
      <c r="AJ1890" s="14"/>
      <c r="AK1890" s="14"/>
      <c r="AL1890" s="14"/>
      <c r="AM1890" s="14"/>
    </row>
    <row r="1891" customFormat="false" ht="13.8" hidden="false" customHeight="false" outlineLevel="0" collapsed="false">
      <c r="AA1891" s="7" t="n">
        <f aca="false">AA1890+1</f>
        <v>42797</v>
      </c>
      <c r="AB1891" s="14"/>
      <c r="AC1891" s="14"/>
      <c r="AD1891" s="14"/>
      <c r="AE1891" s="14"/>
      <c r="AF1891" s="14"/>
      <c r="AG1891" s="14"/>
      <c r="AH1891" s="14"/>
      <c r="AI1891" s="14"/>
      <c r="AJ1891" s="14"/>
      <c r="AK1891" s="14"/>
      <c r="AL1891" s="14"/>
      <c r="AM1891" s="14"/>
    </row>
    <row r="1892" customFormat="false" ht="13.8" hidden="false" customHeight="false" outlineLevel="0" collapsed="false">
      <c r="AA1892" s="7" t="n">
        <f aca="false">AA1891+1</f>
        <v>42798</v>
      </c>
      <c r="AB1892" s="14"/>
      <c r="AC1892" s="14"/>
      <c r="AD1892" s="14"/>
      <c r="AE1892" s="14"/>
      <c r="AF1892" s="14"/>
      <c r="AG1892" s="14"/>
      <c r="AH1892" s="14"/>
      <c r="AI1892" s="14"/>
      <c r="AJ1892" s="14"/>
      <c r="AK1892" s="14"/>
      <c r="AL1892" s="14"/>
      <c r="AM1892" s="14"/>
    </row>
    <row r="1893" customFormat="false" ht="13.8" hidden="false" customHeight="false" outlineLevel="0" collapsed="false">
      <c r="AA1893" s="7" t="n">
        <f aca="false">AA1892+1</f>
        <v>42799</v>
      </c>
      <c r="AB1893" s="14"/>
      <c r="AC1893" s="14"/>
      <c r="AD1893" s="14"/>
      <c r="AE1893" s="14"/>
      <c r="AF1893" s="14"/>
      <c r="AG1893" s="14"/>
      <c r="AH1893" s="14"/>
      <c r="AI1893" s="14"/>
      <c r="AJ1893" s="14"/>
      <c r="AK1893" s="14"/>
      <c r="AL1893" s="14"/>
      <c r="AM1893" s="14"/>
    </row>
    <row r="1894" customFormat="false" ht="13.8" hidden="false" customHeight="false" outlineLevel="0" collapsed="false">
      <c r="AA1894" s="7" t="n">
        <f aca="false">AA1893+1</f>
        <v>42800</v>
      </c>
      <c r="AB1894" s="14"/>
      <c r="AC1894" s="14"/>
      <c r="AD1894" s="14"/>
      <c r="AE1894" s="14"/>
      <c r="AF1894" s="14"/>
      <c r="AG1894" s="14"/>
      <c r="AH1894" s="14"/>
      <c r="AI1894" s="14"/>
      <c r="AJ1894" s="14"/>
      <c r="AK1894" s="14"/>
      <c r="AL1894" s="14"/>
      <c r="AM1894" s="14"/>
    </row>
    <row r="1895" customFormat="false" ht="13.8" hidden="false" customHeight="false" outlineLevel="0" collapsed="false">
      <c r="AA1895" s="7" t="n">
        <f aca="false">AA1894+1</f>
        <v>42801</v>
      </c>
      <c r="AB1895" s="14"/>
      <c r="AC1895" s="14"/>
      <c r="AD1895" s="14"/>
      <c r="AE1895" s="14"/>
      <c r="AF1895" s="14"/>
      <c r="AG1895" s="14"/>
      <c r="AH1895" s="14"/>
      <c r="AI1895" s="14"/>
      <c r="AJ1895" s="14"/>
      <c r="AK1895" s="14"/>
      <c r="AL1895" s="14"/>
      <c r="AM1895" s="14"/>
    </row>
    <row r="1896" customFormat="false" ht="13.8" hidden="false" customHeight="false" outlineLevel="0" collapsed="false">
      <c r="AA1896" s="7" t="n">
        <f aca="false">AA1895+1</f>
        <v>42802</v>
      </c>
      <c r="AB1896" s="14"/>
      <c r="AC1896" s="14"/>
      <c r="AD1896" s="14"/>
      <c r="AE1896" s="14"/>
      <c r="AF1896" s="14"/>
      <c r="AG1896" s="14"/>
      <c r="AH1896" s="14"/>
      <c r="AI1896" s="14"/>
      <c r="AJ1896" s="14"/>
      <c r="AK1896" s="14"/>
      <c r="AL1896" s="14"/>
      <c r="AM1896" s="14"/>
    </row>
    <row r="1897" customFormat="false" ht="13.8" hidden="false" customHeight="false" outlineLevel="0" collapsed="false">
      <c r="AA1897" s="7" t="n">
        <f aca="false">AA1896+1</f>
        <v>42803</v>
      </c>
      <c r="AB1897" s="14"/>
      <c r="AC1897" s="14"/>
      <c r="AD1897" s="14"/>
      <c r="AE1897" s="14"/>
      <c r="AF1897" s="14"/>
      <c r="AG1897" s="14"/>
      <c r="AH1897" s="14"/>
      <c r="AI1897" s="14"/>
      <c r="AJ1897" s="14"/>
      <c r="AK1897" s="14"/>
      <c r="AL1897" s="14"/>
      <c r="AM1897" s="14"/>
    </row>
    <row r="1898" customFormat="false" ht="13.8" hidden="false" customHeight="false" outlineLevel="0" collapsed="false">
      <c r="AA1898" s="7" t="n">
        <f aca="false">AA1897+1</f>
        <v>42804</v>
      </c>
      <c r="AB1898" s="14"/>
      <c r="AC1898" s="14"/>
      <c r="AD1898" s="14"/>
      <c r="AE1898" s="14"/>
      <c r="AF1898" s="14"/>
      <c r="AG1898" s="14"/>
      <c r="AH1898" s="14"/>
      <c r="AI1898" s="14"/>
      <c r="AJ1898" s="14"/>
      <c r="AK1898" s="14"/>
      <c r="AL1898" s="14"/>
      <c r="AM1898" s="14"/>
    </row>
    <row r="1899" customFormat="false" ht="13.8" hidden="false" customHeight="false" outlineLevel="0" collapsed="false">
      <c r="AA1899" s="7" t="n">
        <f aca="false">AA1898+1</f>
        <v>42805</v>
      </c>
      <c r="AB1899" s="14"/>
      <c r="AC1899" s="14"/>
      <c r="AD1899" s="14"/>
      <c r="AE1899" s="14"/>
      <c r="AF1899" s="14"/>
      <c r="AG1899" s="14"/>
      <c r="AH1899" s="14"/>
      <c r="AI1899" s="14"/>
      <c r="AJ1899" s="14"/>
      <c r="AK1899" s="14"/>
      <c r="AL1899" s="14"/>
      <c r="AM1899" s="14"/>
    </row>
    <row r="1900" customFormat="false" ht="13.8" hidden="false" customHeight="false" outlineLevel="0" collapsed="false">
      <c r="AA1900" s="7" t="n">
        <f aca="false">AA1899+1</f>
        <v>42806</v>
      </c>
      <c r="AB1900" s="14"/>
      <c r="AC1900" s="14"/>
      <c r="AD1900" s="14"/>
      <c r="AE1900" s="14"/>
      <c r="AF1900" s="14"/>
      <c r="AG1900" s="14"/>
      <c r="AH1900" s="14"/>
      <c r="AI1900" s="14"/>
      <c r="AJ1900" s="14"/>
      <c r="AK1900" s="14"/>
      <c r="AL1900" s="14"/>
      <c r="AM1900" s="14"/>
    </row>
    <row r="1901" customFormat="false" ht="13.8" hidden="false" customHeight="false" outlineLevel="0" collapsed="false">
      <c r="AA1901" s="7" t="n">
        <f aca="false">AA1900+1</f>
        <v>42807</v>
      </c>
      <c r="AB1901" s="14"/>
      <c r="AC1901" s="14"/>
      <c r="AD1901" s="14"/>
      <c r="AE1901" s="14"/>
      <c r="AF1901" s="14"/>
      <c r="AG1901" s="14"/>
      <c r="AH1901" s="14"/>
      <c r="AI1901" s="14"/>
      <c r="AJ1901" s="14"/>
      <c r="AK1901" s="14"/>
      <c r="AL1901" s="14"/>
      <c r="AM1901" s="14"/>
    </row>
    <row r="1902" customFormat="false" ht="13.8" hidden="false" customHeight="false" outlineLevel="0" collapsed="false">
      <c r="AA1902" s="7" t="n">
        <f aca="false">AA1901+1</f>
        <v>42808</v>
      </c>
      <c r="AB1902" s="14"/>
      <c r="AC1902" s="14"/>
      <c r="AD1902" s="14"/>
      <c r="AE1902" s="14"/>
      <c r="AF1902" s="14"/>
      <c r="AG1902" s="14"/>
      <c r="AH1902" s="14"/>
      <c r="AI1902" s="14"/>
      <c r="AJ1902" s="14"/>
      <c r="AK1902" s="14"/>
      <c r="AL1902" s="14"/>
      <c r="AM1902" s="14"/>
    </row>
    <row r="1903" customFormat="false" ht="13.8" hidden="false" customHeight="false" outlineLevel="0" collapsed="false">
      <c r="AA1903" s="7" t="n">
        <f aca="false">AA1902+1</f>
        <v>42809</v>
      </c>
      <c r="AB1903" s="14"/>
      <c r="AC1903" s="14"/>
      <c r="AD1903" s="14"/>
      <c r="AE1903" s="14"/>
      <c r="AF1903" s="14"/>
      <c r="AG1903" s="14"/>
      <c r="AH1903" s="14"/>
      <c r="AI1903" s="14"/>
      <c r="AJ1903" s="14"/>
      <c r="AK1903" s="14"/>
      <c r="AL1903" s="14"/>
      <c r="AM1903" s="14"/>
    </row>
    <row r="1904" customFormat="false" ht="13.8" hidden="false" customHeight="false" outlineLevel="0" collapsed="false">
      <c r="AA1904" s="7" t="n">
        <f aca="false">AA1903+1</f>
        <v>42810</v>
      </c>
      <c r="AB1904" s="14"/>
      <c r="AC1904" s="14"/>
      <c r="AD1904" s="14"/>
      <c r="AE1904" s="14"/>
      <c r="AF1904" s="14"/>
      <c r="AG1904" s="14"/>
      <c r="AH1904" s="14"/>
      <c r="AI1904" s="14"/>
      <c r="AJ1904" s="14"/>
      <c r="AK1904" s="14"/>
      <c r="AL1904" s="14"/>
      <c r="AM1904" s="14"/>
    </row>
    <row r="1905" customFormat="false" ht="13.8" hidden="false" customHeight="false" outlineLevel="0" collapsed="false">
      <c r="AA1905" s="7" t="n">
        <f aca="false">AA1904+1</f>
        <v>42811</v>
      </c>
      <c r="AB1905" s="14"/>
      <c r="AC1905" s="14"/>
      <c r="AD1905" s="14"/>
      <c r="AE1905" s="14"/>
      <c r="AF1905" s="14"/>
      <c r="AG1905" s="14"/>
      <c r="AH1905" s="14"/>
      <c r="AI1905" s="14"/>
      <c r="AJ1905" s="14"/>
      <c r="AK1905" s="14"/>
      <c r="AL1905" s="14"/>
      <c r="AM1905" s="14"/>
    </row>
    <row r="1906" customFormat="false" ht="13.8" hidden="false" customHeight="false" outlineLevel="0" collapsed="false">
      <c r="AA1906" s="7" t="n">
        <f aca="false">AA1905+1</f>
        <v>42812</v>
      </c>
      <c r="AB1906" s="14"/>
      <c r="AC1906" s="14"/>
      <c r="AD1906" s="14"/>
      <c r="AE1906" s="14"/>
      <c r="AF1906" s="14"/>
      <c r="AG1906" s="14"/>
      <c r="AH1906" s="14"/>
      <c r="AI1906" s="14"/>
      <c r="AJ1906" s="14"/>
      <c r="AK1906" s="14"/>
      <c r="AL1906" s="14"/>
      <c r="AM1906" s="14"/>
    </row>
    <row r="1907" customFormat="false" ht="13.8" hidden="false" customHeight="false" outlineLevel="0" collapsed="false">
      <c r="AA1907" s="7" t="n">
        <f aca="false">AA1906+1</f>
        <v>42813</v>
      </c>
      <c r="AB1907" s="14"/>
      <c r="AC1907" s="14"/>
      <c r="AD1907" s="14"/>
      <c r="AE1907" s="14"/>
      <c r="AF1907" s="14"/>
      <c r="AG1907" s="14"/>
      <c r="AH1907" s="14"/>
      <c r="AI1907" s="14"/>
      <c r="AJ1907" s="14"/>
      <c r="AK1907" s="14"/>
      <c r="AL1907" s="14"/>
      <c r="AM1907" s="14"/>
    </row>
    <row r="1908" customFormat="false" ht="13.8" hidden="false" customHeight="false" outlineLevel="0" collapsed="false">
      <c r="AA1908" s="7" t="n">
        <f aca="false">AA1907+1</f>
        <v>42814</v>
      </c>
      <c r="AB1908" s="14"/>
      <c r="AC1908" s="14"/>
      <c r="AD1908" s="14"/>
      <c r="AE1908" s="14"/>
      <c r="AF1908" s="14"/>
      <c r="AG1908" s="14"/>
      <c r="AH1908" s="14"/>
      <c r="AI1908" s="14"/>
      <c r="AJ1908" s="14"/>
      <c r="AK1908" s="14"/>
      <c r="AL1908" s="14"/>
      <c r="AM1908" s="14"/>
    </row>
    <row r="1909" customFormat="false" ht="13.8" hidden="false" customHeight="false" outlineLevel="0" collapsed="false">
      <c r="AA1909" s="7" t="n">
        <f aca="false">AA1908+1</f>
        <v>42815</v>
      </c>
      <c r="AB1909" s="14"/>
      <c r="AC1909" s="14"/>
      <c r="AD1909" s="14"/>
      <c r="AE1909" s="14"/>
      <c r="AF1909" s="14"/>
      <c r="AG1909" s="14"/>
      <c r="AH1909" s="14"/>
      <c r="AI1909" s="14"/>
      <c r="AJ1909" s="14"/>
      <c r="AK1909" s="14"/>
      <c r="AL1909" s="14"/>
      <c r="AM1909" s="14"/>
    </row>
    <row r="1910" customFormat="false" ht="13.8" hidden="false" customHeight="false" outlineLevel="0" collapsed="false">
      <c r="AA1910" s="7" t="n">
        <f aca="false">AA1909+1</f>
        <v>42816</v>
      </c>
      <c r="AB1910" s="14"/>
      <c r="AC1910" s="14"/>
      <c r="AD1910" s="14"/>
      <c r="AE1910" s="14"/>
      <c r="AF1910" s="14"/>
      <c r="AG1910" s="14"/>
      <c r="AH1910" s="14"/>
      <c r="AI1910" s="14"/>
      <c r="AJ1910" s="14"/>
      <c r="AK1910" s="14"/>
      <c r="AL1910" s="14"/>
      <c r="AM1910" s="14"/>
    </row>
    <row r="1911" customFormat="false" ht="13.8" hidden="false" customHeight="false" outlineLevel="0" collapsed="false">
      <c r="AA1911" s="7" t="n">
        <f aca="false">AA1910+1</f>
        <v>42817</v>
      </c>
      <c r="AB1911" s="14"/>
      <c r="AC1911" s="14"/>
      <c r="AD1911" s="14"/>
      <c r="AE1911" s="14"/>
      <c r="AF1911" s="14"/>
      <c r="AG1911" s="14"/>
      <c r="AH1911" s="14"/>
      <c r="AI1911" s="14"/>
      <c r="AJ1911" s="14"/>
      <c r="AK1911" s="14"/>
      <c r="AL1911" s="14"/>
      <c r="AM1911" s="14"/>
    </row>
    <row r="1912" customFormat="false" ht="13.8" hidden="false" customHeight="false" outlineLevel="0" collapsed="false">
      <c r="AA1912" s="7" t="n">
        <f aca="false">AA1911+1</f>
        <v>42818</v>
      </c>
      <c r="AB1912" s="14"/>
      <c r="AC1912" s="14"/>
      <c r="AD1912" s="14"/>
      <c r="AE1912" s="14"/>
      <c r="AF1912" s="14"/>
      <c r="AG1912" s="14"/>
      <c r="AH1912" s="14"/>
      <c r="AI1912" s="14"/>
      <c r="AJ1912" s="14"/>
      <c r="AK1912" s="14"/>
      <c r="AL1912" s="14"/>
      <c r="AM1912" s="14"/>
    </row>
    <row r="1913" customFormat="false" ht="13.8" hidden="false" customHeight="false" outlineLevel="0" collapsed="false">
      <c r="AA1913" s="7" t="n">
        <f aca="false">AA1912+1</f>
        <v>42819</v>
      </c>
      <c r="AB1913" s="14"/>
      <c r="AC1913" s="14"/>
      <c r="AD1913" s="14"/>
      <c r="AE1913" s="14"/>
      <c r="AF1913" s="14"/>
      <c r="AG1913" s="14"/>
      <c r="AH1913" s="14"/>
      <c r="AI1913" s="14"/>
      <c r="AJ1913" s="14"/>
      <c r="AK1913" s="14"/>
      <c r="AL1913" s="14"/>
      <c r="AM1913" s="14"/>
    </row>
    <row r="1914" customFormat="false" ht="13.8" hidden="false" customHeight="false" outlineLevel="0" collapsed="false">
      <c r="AA1914" s="7" t="n">
        <f aca="false">AA1913+1</f>
        <v>42820</v>
      </c>
      <c r="AB1914" s="14"/>
      <c r="AC1914" s="14"/>
      <c r="AD1914" s="14"/>
      <c r="AE1914" s="14"/>
      <c r="AF1914" s="14"/>
      <c r="AG1914" s="14"/>
      <c r="AH1914" s="14"/>
      <c r="AI1914" s="14"/>
      <c r="AJ1914" s="14"/>
      <c r="AK1914" s="14"/>
      <c r="AL1914" s="14"/>
      <c r="AM1914" s="14"/>
    </row>
    <row r="1915" customFormat="false" ht="13.8" hidden="false" customHeight="false" outlineLevel="0" collapsed="false">
      <c r="AA1915" s="7" t="n">
        <f aca="false">AA1914+1</f>
        <v>42821</v>
      </c>
      <c r="AB1915" s="14"/>
      <c r="AC1915" s="14"/>
      <c r="AD1915" s="14"/>
      <c r="AE1915" s="14"/>
      <c r="AF1915" s="14"/>
      <c r="AG1915" s="14"/>
      <c r="AH1915" s="14"/>
      <c r="AI1915" s="14"/>
      <c r="AJ1915" s="14"/>
      <c r="AK1915" s="14"/>
      <c r="AL1915" s="14"/>
      <c r="AM1915" s="14"/>
    </row>
    <row r="1916" customFormat="false" ht="13.8" hidden="false" customHeight="false" outlineLevel="0" collapsed="false">
      <c r="AA1916" s="7" t="n">
        <f aca="false">AA1915+1</f>
        <v>42822</v>
      </c>
      <c r="AB1916" s="14"/>
      <c r="AC1916" s="14"/>
      <c r="AD1916" s="14"/>
      <c r="AE1916" s="14"/>
      <c r="AF1916" s="14"/>
      <c r="AG1916" s="14"/>
      <c r="AH1916" s="14"/>
      <c r="AI1916" s="14"/>
      <c r="AJ1916" s="14"/>
      <c r="AK1916" s="14"/>
      <c r="AL1916" s="14"/>
      <c r="AM1916" s="14"/>
    </row>
    <row r="1917" customFormat="false" ht="13.8" hidden="false" customHeight="false" outlineLevel="0" collapsed="false">
      <c r="AA1917" s="7" t="n">
        <f aca="false">AA1916+1</f>
        <v>42823</v>
      </c>
      <c r="AB1917" s="14"/>
      <c r="AC1917" s="14"/>
      <c r="AD1917" s="14"/>
      <c r="AE1917" s="14"/>
      <c r="AF1917" s="14"/>
      <c r="AG1917" s="14"/>
      <c r="AH1917" s="14"/>
      <c r="AI1917" s="14"/>
      <c r="AJ1917" s="14"/>
      <c r="AK1917" s="14"/>
      <c r="AL1917" s="14"/>
      <c r="AM1917" s="14"/>
    </row>
    <row r="1918" customFormat="false" ht="13.8" hidden="false" customHeight="false" outlineLevel="0" collapsed="false">
      <c r="AA1918" s="7" t="n">
        <f aca="false">AA1917+1</f>
        <v>42824</v>
      </c>
      <c r="AB1918" s="14"/>
      <c r="AC1918" s="14"/>
      <c r="AD1918" s="14"/>
      <c r="AE1918" s="14"/>
      <c r="AF1918" s="14"/>
      <c r="AG1918" s="14"/>
      <c r="AH1918" s="14"/>
      <c r="AI1918" s="14"/>
      <c r="AJ1918" s="14"/>
      <c r="AK1918" s="14"/>
      <c r="AL1918" s="14"/>
      <c r="AM1918" s="14"/>
    </row>
    <row r="1919" customFormat="false" ht="13.8" hidden="false" customHeight="false" outlineLevel="0" collapsed="false">
      <c r="AA1919" s="7" t="n">
        <f aca="false">AA1918+1</f>
        <v>42825</v>
      </c>
      <c r="AB1919" s="14"/>
      <c r="AC1919" s="14"/>
      <c r="AD1919" s="14"/>
      <c r="AE1919" s="14"/>
      <c r="AF1919" s="14"/>
      <c r="AG1919" s="14"/>
      <c r="AH1919" s="14"/>
      <c r="AI1919" s="14"/>
      <c r="AJ1919" s="14"/>
      <c r="AK1919" s="14"/>
      <c r="AL1919" s="14"/>
      <c r="AM1919" s="14"/>
    </row>
    <row r="1920" customFormat="false" ht="13.8" hidden="false" customHeight="false" outlineLevel="0" collapsed="false">
      <c r="AA1920" s="7" t="n">
        <f aca="false">AA1919+1</f>
        <v>42826</v>
      </c>
      <c r="AB1920" s="14"/>
      <c r="AC1920" s="14"/>
      <c r="AD1920" s="14"/>
      <c r="AE1920" s="14"/>
      <c r="AF1920" s="14"/>
      <c r="AG1920" s="14"/>
      <c r="AH1920" s="14"/>
      <c r="AI1920" s="14"/>
      <c r="AJ1920" s="14"/>
      <c r="AK1920" s="14"/>
      <c r="AL1920" s="14"/>
      <c r="AM1920" s="14"/>
    </row>
    <row r="1921" customFormat="false" ht="13.8" hidden="false" customHeight="false" outlineLevel="0" collapsed="false">
      <c r="AA1921" s="7" t="n">
        <f aca="false">AA1920+1</f>
        <v>42827</v>
      </c>
      <c r="AB1921" s="14"/>
      <c r="AC1921" s="14"/>
      <c r="AD1921" s="14"/>
      <c r="AE1921" s="14"/>
      <c r="AF1921" s="14"/>
      <c r="AG1921" s="14"/>
      <c r="AH1921" s="14"/>
      <c r="AI1921" s="14"/>
      <c r="AJ1921" s="14"/>
      <c r="AK1921" s="14"/>
      <c r="AL1921" s="14"/>
      <c r="AM1921" s="14"/>
    </row>
    <row r="1922" customFormat="false" ht="13.8" hidden="false" customHeight="false" outlineLevel="0" collapsed="false">
      <c r="AA1922" s="7" t="n">
        <f aca="false">AA1921+1</f>
        <v>42828</v>
      </c>
      <c r="AB1922" s="14"/>
      <c r="AC1922" s="14"/>
      <c r="AD1922" s="14"/>
      <c r="AE1922" s="14"/>
      <c r="AF1922" s="14"/>
      <c r="AG1922" s="14"/>
      <c r="AH1922" s="14"/>
      <c r="AI1922" s="14"/>
      <c r="AJ1922" s="14"/>
      <c r="AK1922" s="14"/>
      <c r="AL1922" s="14"/>
      <c r="AM1922" s="14"/>
    </row>
    <row r="1923" customFormat="false" ht="13.8" hidden="false" customHeight="false" outlineLevel="0" collapsed="false">
      <c r="AA1923" s="7" t="n">
        <f aca="false">AA1922+1</f>
        <v>42829</v>
      </c>
      <c r="AB1923" s="14"/>
      <c r="AC1923" s="14"/>
      <c r="AD1923" s="14"/>
      <c r="AE1923" s="14"/>
      <c r="AF1923" s="14"/>
      <c r="AG1923" s="14"/>
      <c r="AH1923" s="14"/>
      <c r="AI1923" s="14"/>
      <c r="AJ1923" s="14"/>
      <c r="AK1923" s="14"/>
      <c r="AL1923" s="14"/>
      <c r="AM1923" s="14"/>
    </row>
    <row r="1924" customFormat="false" ht="13.8" hidden="false" customHeight="false" outlineLevel="0" collapsed="false">
      <c r="AA1924" s="7" t="n">
        <f aca="false">AA1923+1</f>
        <v>42830</v>
      </c>
      <c r="AB1924" s="14"/>
      <c r="AC1924" s="14"/>
      <c r="AD1924" s="14"/>
      <c r="AE1924" s="14"/>
      <c r="AF1924" s="14"/>
      <c r="AG1924" s="14"/>
      <c r="AH1924" s="14"/>
      <c r="AI1924" s="14"/>
      <c r="AJ1924" s="14"/>
      <c r="AK1924" s="14"/>
      <c r="AL1924" s="14"/>
      <c r="AM1924" s="14"/>
    </row>
    <row r="1925" customFormat="false" ht="13.8" hidden="false" customHeight="false" outlineLevel="0" collapsed="false">
      <c r="AA1925" s="7" t="n">
        <f aca="false">AA1924+1</f>
        <v>42831</v>
      </c>
      <c r="AB1925" s="14"/>
      <c r="AC1925" s="14"/>
      <c r="AD1925" s="14"/>
      <c r="AE1925" s="14"/>
      <c r="AF1925" s="14"/>
      <c r="AG1925" s="14"/>
      <c r="AH1925" s="14"/>
      <c r="AI1925" s="14"/>
      <c r="AJ1925" s="14"/>
      <c r="AK1925" s="14"/>
      <c r="AL1925" s="14"/>
      <c r="AM1925" s="14"/>
    </row>
    <row r="1926" customFormat="false" ht="13.8" hidden="false" customHeight="false" outlineLevel="0" collapsed="false">
      <c r="AA1926" s="7" t="n">
        <f aca="false">AA1925+1</f>
        <v>42832</v>
      </c>
      <c r="AB1926" s="14"/>
      <c r="AC1926" s="14"/>
      <c r="AD1926" s="14"/>
      <c r="AE1926" s="14"/>
      <c r="AF1926" s="14"/>
      <c r="AG1926" s="14"/>
      <c r="AH1926" s="14"/>
      <c r="AI1926" s="14"/>
      <c r="AJ1926" s="14"/>
      <c r="AK1926" s="14"/>
      <c r="AL1926" s="14"/>
      <c r="AM1926" s="14"/>
    </row>
    <row r="1927" customFormat="false" ht="13.8" hidden="false" customHeight="false" outlineLevel="0" collapsed="false">
      <c r="AA1927" s="7" t="n">
        <f aca="false">AA1926+1</f>
        <v>42833</v>
      </c>
      <c r="AB1927" s="14"/>
      <c r="AC1927" s="14"/>
      <c r="AD1927" s="14"/>
      <c r="AE1927" s="14"/>
      <c r="AF1927" s="14"/>
      <c r="AG1927" s="14"/>
      <c r="AH1927" s="14"/>
      <c r="AI1927" s="14"/>
      <c r="AJ1927" s="14"/>
      <c r="AK1927" s="14"/>
      <c r="AL1927" s="14"/>
      <c r="AM1927" s="14"/>
    </row>
    <row r="1928" customFormat="false" ht="13.8" hidden="false" customHeight="false" outlineLevel="0" collapsed="false">
      <c r="AA1928" s="7" t="n">
        <f aca="false">AA1927+1</f>
        <v>42834</v>
      </c>
      <c r="AB1928" s="14"/>
      <c r="AC1928" s="14"/>
      <c r="AD1928" s="14"/>
      <c r="AE1928" s="14"/>
      <c r="AF1928" s="14"/>
      <c r="AG1928" s="14"/>
      <c r="AH1928" s="14"/>
      <c r="AI1928" s="14"/>
      <c r="AJ1928" s="14"/>
      <c r="AK1928" s="14"/>
      <c r="AL1928" s="14"/>
      <c r="AM1928" s="14"/>
    </row>
    <row r="1929" customFormat="false" ht="13.8" hidden="false" customHeight="false" outlineLevel="0" collapsed="false">
      <c r="AA1929" s="7" t="n">
        <f aca="false">AA1928+1</f>
        <v>42835</v>
      </c>
      <c r="AB1929" s="14"/>
      <c r="AC1929" s="14"/>
      <c r="AD1929" s="14"/>
      <c r="AE1929" s="14"/>
      <c r="AF1929" s="14"/>
      <c r="AG1929" s="14"/>
      <c r="AH1929" s="14"/>
      <c r="AI1929" s="14"/>
      <c r="AJ1929" s="14"/>
      <c r="AK1929" s="14"/>
      <c r="AL1929" s="14"/>
      <c r="AM1929" s="14"/>
    </row>
    <row r="1930" customFormat="false" ht="13.8" hidden="false" customHeight="false" outlineLevel="0" collapsed="false">
      <c r="AA1930" s="7" t="n">
        <f aca="false">AA1929+1</f>
        <v>42836</v>
      </c>
      <c r="AB1930" s="14"/>
      <c r="AC1930" s="14"/>
      <c r="AD1930" s="14"/>
      <c r="AE1930" s="14"/>
      <c r="AF1930" s="14"/>
      <c r="AG1930" s="14"/>
      <c r="AH1930" s="14"/>
      <c r="AI1930" s="14"/>
      <c r="AJ1930" s="14"/>
      <c r="AK1930" s="14"/>
      <c r="AL1930" s="14"/>
      <c r="AM1930" s="14"/>
    </row>
    <row r="1931" customFormat="false" ht="13.8" hidden="false" customHeight="false" outlineLevel="0" collapsed="false">
      <c r="AA1931" s="7" t="n">
        <f aca="false">AA1930+1</f>
        <v>42837</v>
      </c>
      <c r="AB1931" s="14"/>
      <c r="AC1931" s="14"/>
      <c r="AD1931" s="14"/>
      <c r="AE1931" s="14"/>
      <c r="AF1931" s="14"/>
      <c r="AG1931" s="14"/>
      <c r="AH1931" s="14"/>
      <c r="AI1931" s="14"/>
      <c r="AJ1931" s="14"/>
      <c r="AK1931" s="14"/>
      <c r="AL1931" s="14"/>
      <c r="AM1931" s="14"/>
    </row>
    <row r="1932" customFormat="false" ht="13.8" hidden="false" customHeight="false" outlineLevel="0" collapsed="false">
      <c r="AA1932" s="7" t="n">
        <f aca="false">AA1931+1</f>
        <v>42838</v>
      </c>
      <c r="AB1932" s="14"/>
      <c r="AC1932" s="14"/>
      <c r="AD1932" s="14"/>
      <c r="AE1932" s="14"/>
      <c r="AF1932" s="14"/>
      <c r="AG1932" s="14"/>
      <c r="AH1932" s="14"/>
      <c r="AI1932" s="14"/>
      <c r="AJ1932" s="14"/>
      <c r="AK1932" s="14"/>
      <c r="AL1932" s="14"/>
      <c r="AM1932" s="14"/>
    </row>
    <row r="1933" customFormat="false" ht="13.8" hidden="false" customHeight="false" outlineLevel="0" collapsed="false">
      <c r="AA1933" s="7" t="n">
        <f aca="false">AA1932+1</f>
        <v>42839</v>
      </c>
      <c r="AB1933" s="14"/>
      <c r="AC1933" s="14"/>
      <c r="AD1933" s="14"/>
      <c r="AE1933" s="14"/>
      <c r="AF1933" s="14"/>
      <c r="AG1933" s="14"/>
      <c r="AH1933" s="14"/>
      <c r="AI1933" s="14"/>
      <c r="AJ1933" s="14"/>
      <c r="AK1933" s="14"/>
      <c r="AL1933" s="14"/>
      <c r="AM1933" s="14"/>
    </row>
    <row r="1934" customFormat="false" ht="13.8" hidden="false" customHeight="false" outlineLevel="0" collapsed="false">
      <c r="AA1934" s="7" t="n">
        <f aca="false">AA1933+1</f>
        <v>42840</v>
      </c>
      <c r="AB1934" s="14"/>
      <c r="AC1934" s="14"/>
      <c r="AD1934" s="14"/>
      <c r="AE1934" s="14"/>
      <c r="AF1934" s="14"/>
      <c r="AG1934" s="14"/>
      <c r="AH1934" s="14"/>
      <c r="AI1934" s="14"/>
      <c r="AJ1934" s="14"/>
      <c r="AK1934" s="14"/>
      <c r="AL1934" s="14"/>
      <c r="AM1934" s="14"/>
    </row>
    <row r="1935" customFormat="false" ht="13.8" hidden="false" customHeight="false" outlineLevel="0" collapsed="false">
      <c r="AA1935" s="7" t="n">
        <f aca="false">AA1934+1</f>
        <v>42841</v>
      </c>
      <c r="AB1935" s="14"/>
      <c r="AC1935" s="14"/>
      <c r="AD1935" s="14"/>
      <c r="AE1935" s="14"/>
      <c r="AF1935" s="14"/>
      <c r="AG1935" s="14"/>
      <c r="AH1935" s="14"/>
      <c r="AI1935" s="14"/>
      <c r="AJ1935" s="14"/>
      <c r="AK1935" s="14"/>
      <c r="AL1935" s="14"/>
      <c r="AM1935" s="14"/>
    </row>
    <row r="1936" customFormat="false" ht="13.8" hidden="false" customHeight="false" outlineLevel="0" collapsed="false">
      <c r="AA1936" s="7" t="n">
        <f aca="false">AA1935+1</f>
        <v>42842</v>
      </c>
      <c r="AB1936" s="14"/>
      <c r="AC1936" s="14"/>
      <c r="AD1936" s="14"/>
      <c r="AE1936" s="14"/>
      <c r="AF1936" s="14"/>
      <c r="AG1936" s="14"/>
      <c r="AH1936" s="14"/>
      <c r="AI1936" s="14"/>
      <c r="AJ1936" s="14"/>
      <c r="AK1936" s="14"/>
      <c r="AL1936" s="14"/>
      <c r="AM1936" s="14"/>
    </row>
    <row r="1937" customFormat="false" ht="13.8" hidden="false" customHeight="false" outlineLevel="0" collapsed="false">
      <c r="AA1937" s="7" t="n">
        <f aca="false">AA1936+1</f>
        <v>42843</v>
      </c>
      <c r="AB1937" s="14"/>
      <c r="AC1937" s="14"/>
      <c r="AD1937" s="14"/>
      <c r="AE1937" s="14"/>
      <c r="AF1937" s="14"/>
      <c r="AG1937" s="14"/>
      <c r="AH1937" s="14"/>
      <c r="AI1937" s="14"/>
      <c r="AJ1937" s="14"/>
      <c r="AK1937" s="14"/>
      <c r="AL1937" s="14"/>
      <c r="AM1937" s="14"/>
    </row>
    <row r="1938" customFormat="false" ht="13.8" hidden="false" customHeight="false" outlineLevel="0" collapsed="false">
      <c r="AA1938" s="7" t="n">
        <f aca="false">AA1937+1</f>
        <v>42844</v>
      </c>
      <c r="AB1938" s="14"/>
      <c r="AC1938" s="14"/>
      <c r="AD1938" s="14"/>
      <c r="AE1938" s="14"/>
      <c r="AF1938" s="14"/>
      <c r="AG1938" s="14"/>
      <c r="AH1938" s="14"/>
      <c r="AI1938" s="14"/>
      <c r="AJ1938" s="14"/>
      <c r="AK1938" s="14"/>
      <c r="AL1938" s="14"/>
      <c r="AM1938" s="14"/>
    </row>
    <row r="1939" customFormat="false" ht="13.8" hidden="false" customHeight="false" outlineLevel="0" collapsed="false">
      <c r="AA1939" s="7" t="n">
        <f aca="false">AA1938+1</f>
        <v>42845</v>
      </c>
      <c r="AB1939" s="14"/>
      <c r="AC1939" s="14"/>
      <c r="AD1939" s="14"/>
      <c r="AE1939" s="14"/>
      <c r="AF1939" s="14"/>
      <c r="AG1939" s="14"/>
      <c r="AH1939" s="14"/>
      <c r="AI1939" s="14"/>
      <c r="AJ1939" s="14"/>
      <c r="AK1939" s="14"/>
      <c r="AL1939" s="14"/>
      <c r="AM1939" s="14"/>
    </row>
    <row r="1940" customFormat="false" ht="13.8" hidden="false" customHeight="false" outlineLevel="0" collapsed="false">
      <c r="AA1940" s="7" t="n">
        <f aca="false">AA1939+1</f>
        <v>42846</v>
      </c>
      <c r="AB1940" s="14"/>
      <c r="AC1940" s="14"/>
      <c r="AD1940" s="14"/>
      <c r="AE1940" s="14"/>
      <c r="AF1940" s="14"/>
      <c r="AG1940" s="14"/>
      <c r="AH1940" s="14"/>
      <c r="AI1940" s="14"/>
      <c r="AJ1940" s="14"/>
      <c r="AK1940" s="14"/>
      <c r="AL1940" s="14"/>
      <c r="AM1940" s="14"/>
    </row>
    <row r="1941" customFormat="false" ht="13.8" hidden="false" customHeight="false" outlineLevel="0" collapsed="false">
      <c r="AA1941" s="7" t="n">
        <f aca="false">AA1940+1</f>
        <v>42847</v>
      </c>
      <c r="AB1941" s="14"/>
      <c r="AC1941" s="14"/>
      <c r="AD1941" s="14"/>
      <c r="AE1941" s="14"/>
      <c r="AF1941" s="14"/>
      <c r="AG1941" s="14"/>
      <c r="AH1941" s="14"/>
      <c r="AI1941" s="14"/>
      <c r="AJ1941" s="14"/>
      <c r="AK1941" s="14"/>
      <c r="AL1941" s="14"/>
      <c r="AM1941" s="14"/>
    </row>
    <row r="1942" customFormat="false" ht="13.8" hidden="false" customHeight="false" outlineLevel="0" collapsed="false">
      <c r="AA1942" s="7" t="n">
        <f aca="false">AA1941+1</f>
        <v>42848</v>
      </c>
      <c r="AB1942" s="14"/>
      <c r="AC1942" s="14"/>
      <c r="AD1942" s="14"/>
      <c r="AE1942" s="14"/>
      <c r="AF1942" s="14"/>
      <c r="AG1942" s="14"/>
      <c r="AH1942" s="14"/>
      <c r="AI1942" s="14"/>
      <c r="AJ1942" s="14"/>
      <c r="AK1942" s="14"/>
      <c r="AL1942" s="14"/>
      <c r="AM1942" s="14"/>
    </row>
    <row r="1943" customFormat="false" ht="13.8" hidden="false" customHeight="false" outlineLevel="0" collapsed="false">
      <c r="AA1943" s="7" t="n">
        <f aca="false">AA1942+1</f>
        <v>42849</v>
      </c>
      <c r="AB1943" s="14"/>
      <c r="AC1943" s="14"/>
      <c r="AD1943" s="14"/>
      <c r="AE1943" s="14"/>
      <c r="AF1943" s="14"/>
      <c r="AG1943" s="14"/>
      <c r="AH1943" s="14"/>
      <c r="AI1943" s="14"/>
      <c r="AJ1943" s="14"/>
      <c r="AK1943" s="14"/>
      <c r="AL1943" s="14"/>
      <c r="AM1943" s="14"/>
    </row>
    <row r="1944" customFormat="false" ht="13.8" hidden="false" customHeight="false" outlineLevel="0" collapsed="false">
      <c r="AA1944" s="7" t="n">
        <f aca="false">AA1943+1</f>
        <v>42850</v>
      </c>
      <c r="AB1944" s="14"/>
      <c r="AC1944" s="14"/>
      <c r="AD1944" s="14"/>
      <c r="AE1944" s="14"/>
      <c r="AF1944" s="14"/>
      <c r="AG1944" s="14"/>
      <c r="AH1944" s="14"/>
      <c r="AI1944" s="14"/>
      <c r="AJ1944" s="14"/>
      <c r="AK1944" s="14"/>
      <c r="AL1944" s="14"/>
      <c r="AM1944" s="14"/>
    </row>
    <row r="1945" customFormat="false" ht="13.8" hidden="false" customHeight="false" outlineLevel="0" collapsed="false">
      <c r="AA1945" s="7" t="n">
        <f aca="false">AA1944+1</f>
        <v>42851</v>
      </c>
      <c r="AB1945" s="14"/>
      <c r="AC1945" s="14"/>
      <c r="AD1945" s="14"/>
      <c r="AE1945" s="14"/>
      <c r="AF1945" s="14"/>
      <c r="AG1945" s="14"/>
      <c r="AH1945" s="14"/>
      <c r="AI1945" s="14"/>
      <c r="AJ1945" s="14"/>
      <c r="AK1945" s="14"/>
      <c r="AL1945" s="14"/>
      <c r="AM1945" s="14"/>
    </row>
    <row r="1946" customFormat="false" ht="13.8" hidden="false" customHeight="false" outlineLevel="0" collapsed="false">
      <c r="AA1946" s="7" t="n">
        <f aca="false">AA1945+1</f>
        <v>42852</v>
      </c>
      <c r="AB1946" s="14"/>
      <c r="AC1946" s="14"/>
      <c r="AD1946" s="14"/>
      <c r="AE1946" s="14"/>
      <c r="AF1946" s="14"/>
      <c r="AG1946" s="14"/>
      <c r="AH1946" s="14"/>
      <c r="AI1946" s="14"/>
      <c r="AJ1946" s="14"/>
      <c r="AK1946" s="14"/>
      <c r="AL1946" s="14"/>
      <c r="AM1946" s="14"/>
    </row>
    <row r="1947" customFormat="false" ht="13.8" hidden="false" customHeight="false" outlineLevel="0" collapsed="false">
      <c r="AA1947" s="7" t="n">
        <f aca="false">AA1946+1</f>
        <v>42853</v>
      </c>
      <c r="AB1947" s="14"/>
      <c r="AC1947" s="14"/>
      <c r="AD1947" s="14"/>
      <c r="AE1947" s="14"/>
      <c r="AF1947" s="14"/>
      <c r="AG1947" s="14"/>
      <c r="AH1947" s="14"/>
      <c r="AI1947" s="14"/>
      <c r="AJ1947" s="14"/>
      <c r="AK1947" s="14"/>
      <c r="AL1947" s="14"/>
      <c r="AM1947" s="14"/>
    </row>
    <row r="1948" customFormat="false" ht="13.8" hidden="false" customHeight="false" outlineLevel="0" collapsed="false">
      <c r="AA1948" s="7" t="n">
        <f aca="false">AA1947+1</f>
        <v>42854</v>
      </c>
      <c r="AB1948" s="14"/>
      <c r="AC1948" s="14"/>
      <c r="AD1948" s="14"/>
      <c r="AE1948" s="14"/>
      <c r="AF1948" s="14"/>
      <c r="AG1948" s="14"/>
      <c r="AH1948" s="14"/>
      <c r="AI1948" s="14"/>
      <c r="AJ1948" s="14"/>
      <c r="AK1948" s="14"/>
      <c r="AL1948" s="14"/>
      <c r="AM1948" s="14"/>
    </row>
    <row r="1949" customFormat="false" ht="13.8" hidden="false" customHeight="false" outlineLevel="0" collapsed="false">
      <c r="AA1949" s="7" t="n">
        <f aca="false">AA1948+1</f>
        <v>42855</v>
      </c>
      <c r="AB1949" s="14"/>
      <c r="AC1949" s="14"/>
      <c r="AD1949" s="14"/>
      <c r="AE1949" s="14"/>
      <c r="AF1949" s="14"/>
      <c r="AG1949" s="14"/>
      <c r="AH1949" s="14"/>
      <c r="AI1949" s="14"/>
      <c r="AJ1949" s="14"/>
      <c r="AK1949" s="14"/>
      <c r="AL1949" s="14"/>
      <c r="AM1949" s="14"/>
    </row>
    <row r="1950" customFormat="false" ht="13.8" hidden="false" customHeight="false" outlineLevel="0" collapsed="false">
      <c r="AA1950" s="7" t="n">
        <f aca="false">AA1949+1</f>
        <v>42856</v>
      </c>
      <c r="AB1950" s="14"/>
      <c r="AC1950" s="14"/>
      <c r="AD1950" s="14"/>
      <c r="AE1950" s="14"/>
      <c r="AF1950" s="14"/>
      <c r="AG1950" s="14"/>
      <c r="AH1950" s="14"/>
      <c r="AI1950" s="14"/>
      <c r="AJ1950" s="14"/>
      <c r="AK1950" s="14"/>
      <c r="AL1950" s="14"/>
      <c r="AM1950" s="14"/>
    </row>
    <row r="1951" customFormat="false" ht="13.8" hidden="false" customHeight="false" outlineLevel="0" collapsed="false">
      <c r="AA1951" s="7" t="n">
        <f aca="false">AA1950+1</f>
        <v>42857</v>
      </c>
      <c r="AB1951" s="14"/>
      <c r="AC1951" s="14"/>
      <c r="AD1951" s="14"/>
      <c r="AE1951" s="14"/>
      <c r="AF1951" s="14"/>
      <c r="AG1951" s="14"/>
      <c r="AH1951" s="14"/>
      <c r="AI1951" s="14"/>
      <c r="AJ1951" s="14"/>
      <c r="AK1951" s="14"/>
      <c r="AL1951" s="14"/>
      <c r="AM1951" s="14"/>
    </row>
    <row r="1952" customFormat="false" ht="13.8" hidden="false" customHeight="false" outlineLevel="0" collapsed="false">
      <c r="AA1952" s="7" t="n">
        <f aca="false">AA1951+1</f>
        <v>42858</v>
      </c>
      <c r="AB1952" s="14"/>
      <c r="AC1952" s="14"/>
      <c r="AD1952" s="14"/>
      <c r="AE1952" s="14"/>
      <c r="AF1952" s="14"/>
      <c r="AG1952" s="14"/>
      <c r="AH1952" s="14"/>
      <c r="AI1952" s="14"/>
      <c r="AJ1952" s="14"/>
      <c r="AK1952" s="14"/>
      <c r="AL1952" s="14"/>
      <c r="AM1952" s="14"/>
    </row>
    <row r="1953" customFormat="false" ht="13.8" hidden="false" customHeight="false" outlineLevel="0" collapsed="false">
      <c r="AA1953" s="7" t="n">
        <f aca="false">AA1952+1</f>
        <v>42859</v>
      </c>
      <c r="AB1953" s="14"/>
      <c r="AC1953" s="14"/>
      <c r="AD1953" s="14"/>
      <c r="AE1953" s="14"/>
      <c r="AF1953" s="14"/>
      <c r="AG1953" s="14"/>
      <c r="AH1953" s="14"/>
      <c r="AI1953" s="14"/>
      <c r="AJ1953" s="14"/>
      <c r="AK1953" s="14"/>
      <c r="AL1953" s="14"/>
      <c r="AM1953" s="14"/>
    </row>
    <row r="1954" customFormat="false" ht="13.8" hidden="false" customHeight="false" outlineLevel="0" collapsed="false">
      <c r="AA1954" s="7" t="n">
        <f aca="false">AA1953+1</f>
        <v>42860</v>
      </c>
      <c r="AB1954" s="14"/>
      <c r="AC1954" s="14"/>
      <c r="AD1954" s="14"/>
      <c r="AE1954" s="14"/>
      <c r="AF1954" s="14"/>
      <c r="AG1954" s="14"/>
      <c r="AH1954" s="14"/>
      <c r="AI1954" s="14"/>
      <c r="AJ1954" s="14"/>
      <c r="AK1954" s="14"/>
      <c r="AL1954" s="14"/>
      <c r="AM1954" s="14"/>
    </row>
    <row r="1955" customFormat="false" ht="13.8" hidden="false" customHeight="false" outlineLevel="0" collapsed="false">
      <c r="AA1955" s="7" t="n">
        <f aca="false">AA1954+1</f>
        <v>42861</v>
      </c>
      <c r="AB1955" s="14"/>
      <c r="AC1955" s="14"/>
      <c r="AD1955" s="14"/>
      <c r="AE1955" s="14"/>
      <c r="AF1955" s="14"/>
      <c r="AG1955" s="14"/>
      <c r="AH1955" s="14"/>
      <c r="AI1955" s="14"/>
      <c r="AJ1955" s="14"/>
      <c r="AK1955" s="14"/>
      <c r="AL1955" s="14"/>
      <c r="AM1955" s="14"/>
    </row>
    <row r="1956" customFormat="false" ht="13.8" hidden="false" customHeight="false" outlineLevel="0" collapsed="false">
      <c r="AA1956" s="7" t="n">
        <f aca="false">AA1955+1</f>
        <v>42862</v>
      </c>
      <c r="AB1956" s="14"/>
      <c r="AC1956" s="14"/>
      <c r="AD1956" s="14"/>
      <c r="AE1956" s="14"/>
      <c r="AF1956" s="14"/>
      <c r="AG1956" s="14"/>
      <c r="AH1956" s="14"/>
      <c r="AI1956" s="14"/>
      <c r="AJ1956" s="14"/>
      <c r="AK1956" s="14"/>
      <c r="AL1956" s="14"/>
      <c r="AM1956" s="14"/>
    </row>
    <row r="1957" customFormat="false" ht="13.8" hidden="false" customHeight="false" outlineLevel="0" collapsed="false">
      <c r="AA1957" s="7" t="n">
        <f aca="false">AA1956+1</f>
        <v>42863</v>
      </c>
      <c r="AB1957" s="14"/>
      <c r="AC1957" s="14"/>
      <c r="AD1957" s="14"/>
      <c r="AE1957" s="14"/>
      <c r="AF1957" s="14"/>
      <c r="AG1957" s="14"/>
      <c r="AH1957" s="14"/>
      <c r="AI1957" s="14"/>
      <c r="AJ1957" s="14"/>
      <c r="AK1957" s="14"/>
      <c r="AL1957" s="14"/>
      <c r="AM1957" s="14"/>
    </row>
    <row r="1958" customFormat="false" ht="13.8" hidden="false" customHeight="false" outlineLevel="0" collapsed="false">
      <c r="AA1958" s="7" t="n">
        <f aca="false">AA1957+1</f>
        <v>42864</v>
      </c>
      <c r="AB1958" s="14"/>
      <c r="AC1958" s="14"/>
      <c r="AD1958" s="14"/>
      <c r="AE1958" s="14"/>
      <c r="AF1958" s="14"/>
      <c r="AG1958" s="14"/>
      <c r="AH1958" s="14"/>
      <c r="AI1958" s="14"/>
      <c r="AJ1958" s="14"/>
      <c r="AK1958" s="14"/>
      <c r="AL1958" s="14"/>
      <c r="AM1958" s="14"/>
    </row>
    <row r="1959" customFormat="false" ht="13.8" hidden="false" customHeight="false" outlineLevel="0" collapsed="false">
      <c r="AA1959" s="7" t="n">
        <f aca="false">AA1958+1</f>
        <v>42865</v>
      </c>
      <c r="AB1959" s="14"/>
      <c r="AC1959" s="14"/>
      <c r="AD1959" s="14"/>
      <c r="AE1959" s="14"/>
      <c r="AF1959" s="14"/>
      <c r="AG1959" s="14"/>
      <c r="AH1959" s="14"/>
      <c r="AI1959" s="14"/>
      <c r="AJ1959" s="14"/>
      <c r="AK1959" s="14"/>
      <c r="AL1959" s="14"/>
      <c r="AM1959" s="14"/>
    </row>
    <row r="1960" customFormat="false" ht="13.8" hidden="false" customHeight="false" outlineLevel="0" collapsed="false">
      <c r="AA1960" s="7" t="n">
        <f aca="false">AA1959+1</f>
        <v>42866</v>
      </c>
      <c r="AB1960" s="14"/>
      <c r="AC1960" s="14"/>
      <c r="AD1960" s="14"/>
      <c r="AE1960" s="14"/>
      <c r="AF1960" s="14"/>
      <c r="AG1960" s="14"/>
      <c r="AH1960" s="14"/>
      <c r="AI1960" s="14"/>
      <c r="AJ1960" s="14"/>
      <c r="AK1960" s="14"/>
      <c r="AL1960" s="14"/>
      <c r="AM1960" s="14"/>
    </row>
    <row r="1961" customFormat="false" ht="13.8" hidden="false" customHeight="false" outlineLevel="0" collapsed="false">
      <c r="AA1961" s="7" t="n">
        <f aca="false">AA1960+1</f>
        <v>42867</v>
      </c>
      <c r="AB1961" s="14"/>
      <c r="AC1961" s="14"/>
      <c r="AD1961" s="14"/>
      <c r="AE1961" s="14"/>
      <c r="AF1961" s="14"/>
      <c r="AG1961" s="14"/>
      <c r="AH1961" s="14"/>
      <c r="AI1961" s="14"/>
      <c r="AJ1961" s="14"/>
      <c r="AK1961" s="14"/>
      <c r="AL1961" s="14"/>
      <c r="AM1961" s="14"/>
    </row>
    <row r="1962" customFormat="false" ht="13.8" hidden="false" customHeight="false" outlineLevel="0" collapsed="false">
      <c r="AA1962" s="7" t="n">
        <f aca="false">AA1961+1</f>
        <v>42868</v>
      </c>
      <c r="AB1962" s="14"/>
      <c r="AC1962" s="14"/>
      <c r="AD1962" s="14"/>
      <c r="AE1962" s="14"/>
      <c r="AF1962" s="14"/>
      <c r="AG1962" s="14"/>
      <c r="AH1962" s="14"/>
      <c r="AI1962" s="14"/>
      <c r="AJ1962" s="14"/>
      <c r="AK1962" s="14"/>
      <c r="AL1962" s="14"/>
      <c r="AM1962" s="14"/>
    </row>
    <row r="1963" customFormat="false" ht="13.8" hidden="false" customHeight="false" outlineLevel="0" collapsed="false">
      <c r="AA1963" s="7" t="n">
        <f aca="false">AA1962+1</f>
        <v>42869</v>
      </c>
      <c r="AB1963" s="14"/>
      <c r="AC1963" s="14"/>
      <c r="AD1963" s="14"/>
      <c r="AE1963" s="14"/>
      <c r="AF1963" s="14"/>
      <c r="AG1963" s="14"/>
      <c r="AH1963" s="14"/>
      <c r="AI1963" s="14"/>
      <c r="AJ1963" s="14"/>
      <c r="AK1963" s="14"/>
      <c r="AL1963" s="14"/>
      <c r="AM1963" s="14"/>
    </row>
    <row r="1964" customFormat="false" ht="13.8" hidden="false" customHeight="false" outlineLevel="0" collapsed="false">
      <c r="AA1964" s="7" t="n">
        <f aca="false">AA1963+1</f>
        <v>42870</v>
      </c>
      <c r="AB1964" s="14"/>
      <c r="AC1964" s="14"/>
      <c r="AD1964" s="14"/>
      <c r="AE1964" s="14"/>
      <c r="AF1964" s="14"/>
      <c r="AG1964" s="14"/>
      <c r="AH1964" s="14"/>
      <c r="AI1964" s="14"/>
      <c r="AJ1964" s="14"/>
      <c r="AK1964" s="14"/>
      <c r="AL1964" s="14"/>
      <c r="AM1964" s="14"/>
    </row>
    <row r="1965" customFormat="false" ht="13.8" hidden="false" customHeight="false" outlineLevel="0" collapsed="false">
      <c r="AA1965" s="7" t="n">
        <f aca="false">AA1964+1</f>
        <v>42871</v>
      </c>
      <c r="AB1965" s="14"/>
      <c r="AC1965" s="14"/>
      <c r="AD1965" s="14"/>
      <c r="AE1965" s="14"/>
      <c r="AF1965" s="14"/>
      <c r="AG1965" s="14"/>
      <c r="AH1965" s="14"/>
      <c r="AI1965" s="14"/>
      <c r="AJ1965" s="14"/>
      <c r="AK1965" s="14"/>
      <c r="AL1965" s="14"/>
      <c r="AM1965" s="14"/>
    </row>
    <row r="1966" customFormat="false" ht="13.8" hidden="false" customHeight="false" outlineLevel="0" collapsed="false">
      <c r="AA1966" s="7" t="n">
        <f aca="false">AA1965+1</f>
        <v>42872</v>
      </c>
      <c r="AB1966" s="14"/>
      <c r="AC1966" s="14"/>
      <c r="AD1966" s="14"/>
      <c r="AE1966" s="14"/>
      <c r="AF1966" s="14"/>
      <c r="AG1966" s="14"/>
      <c r="AH1966" s="14"/>
      <c r="AI1966" s="14"/>
      <c r="AJ1966" s="14"/>
      <c r="AK1966" s="14"/>
      <c r="AL1966" s="14"/>
      <c r="AM1966" s="14"/>
    </row>
    <row r="1967" customFormat="false" ht="13.8" hidden="false" customHeight="false" outlineLevel="0" collapsed="false">
      <c r="AA1967" s="7" t="n">
        <f aca="false">AA1966+1</f>
        <v>42873</v>
      </c>
      <c r="AB1967" s="14"/>
      <c r="AC1967" s="14"/>
      <c r="AD1967" s="14"/>
      <c r="AE1967" s="14"/>
      <c r="AF1967" s="14"/>
      <c r="AG1967" s="14"/>
      <c r="AH1967" s="14"/>
      <c r="AI1967" s="14"/>
      <c r="AJ1967" s="14"/>
      <c r="AK1967" s="14"/>
      <c r="AL1967" s="14"/>
      <c r="AM1967" s="14"/>
    </row>
    <row r="1968" customFormat="false" ht="13.8" hidden="false" customHeight="false" outlineLevel="0" collapsed="false">
      <c r="AA1968" s="7" t="n">
        <f aca="false">AA1967+1</f>
        <v>42874</v>
      </c>
      <c r="AB1968" s="14"/>
      <c r="AC1968" s="14"/>
      <c r="AD1968" s="14"/>
      <c r="AE1968" s="14"/>
      <c r="AF1968" s="14"/>
      <c r="AG1968" s="14"/>
      <c r="AH1968" s="14"/>
      <c r="AI1968" s="14"/>
      <c r="AJ1968" s="14"/>
      <c r="AK1968" s="14"/>
      <c r="AL1968" s="14"/>
      <c r="AM1968" s="14"/>
    </row>
    <row r="1969" customFormat="false" ht="13.8" hidden="false" customHeight="false" outlineLevel="0" collapsed="false">
      <c r="AA1969" s="7" t="n">
        <f aca="false">AA1968+1</f>
        <v>42875</v>
      </c>
      <c r="AB1969" s="14"/>
      <c r="AC1969" s="14"/>
      <c r="AD1969" s="14"/>
      <c r="AE1969" s="14"/>
      <c r="AF1969" s="14"/>
      <c r="AG1969" s="14"/>
      <c r="AH1969" s="14"/>
      <c r="AI1969" s="14"/>
      <c r="AJ1969" s="14"/>
      <c r="AK1969" s="14"/>
      <c r="AL1969" s="14"/>
      <c r="AM1969" s="14"/>
    </row>
    <row r="1970" customFormat="false" ht="13.8" hidden="false" customHeight="false" outlineLevel="0" collapsed="false">
      <c r="AA1970" s="7" t="n">
        <f aca="false">AA1969+1</f>
        <v>42876</v>
      </c>
      <c r="AB1970" s="14"/>
      <c r="AC1970" s="14"/>
      <c r="AD1970" s="14"/>
      <c r="AE1970" s="14"/>
      <c r="AF1970" s="14"/>
      <c r="AG1970" s="14"/>
      <c r="AH1970" s="14"/>
      <c r="AI1970" s="14"/>
      <c r="AJ1970" s="14"/>
      <c r="AK1970" s="14"/>
      <c r="AL1970" s="14"/>
      <c r="AM1970" s="14"/>
    </row>
    <row r="1971" customFormat="false" ht="13.8" hidden="false" customHeight="false" outlineLevel="0" collapsed="false">
      <c r="AA1971" s="7" t="n">
        <f aca="false">AA1970+1</f>
        <v>42877</v>
      </c>
      <c r="AB1971" s="14"/>
      <c r="AC1971" s="14"/>
      <c r="AD1971" s="14"/>
      <c r="AE1971" s="14"/>
      <c r="AF1971" s="14"/>
      <c r="AG1971" s="14"/>
      <c r="AH1971" s="14"/>
      <c r="AI1971" s="14"/>
      <c r="AJ1971" s="14"/>
      <c r="AK1971" s="14"/>
      <c r="AL1971" s="14"/>
      <c r="AM1971" s="14"/>
    </row>
    <row r="1972" customFormat="false" ht="13.8" hidden="false" customHeight="false" outlineLevel="0" collapsed="false">
      <c r="AA1972" s="7" t="n">
        <f aca="false">AA1971+1</f>
        <v>42878</v>
      </c>
      <c r="AB1972" s="14"/>
      <c r="AC1972" s="14"/>
      <c r="AD1972" s="14"/>
      <c r="AE1972" s="14"/>
      <c r="AF1972" s="14"/>
      <c r="AG1972" s="14"/>
      <c r="AH1972" s="14"/>
      <c r="AI1972" s="14"/>
      <c r="AJ1972" s="14"/>
      <c r="AK1972" s="14"/>
      <c r="AL1972" s="14"/>
      <c r="AM1972" s="14"/>
    </row>
    <row r="1973" customFormat="false" ht="13.8" hidden="false" customHeight="false" outlineLevel="0" collapsed="false">
      <c r="AA1973" s="7" t="n">
        <f aca="false">AA1972+1</f>
        <v>42879</v>
      </c>
      <c r="AB1973" s="14"/>
      <c r="AC1973" s="14"/>
      <c r="AD1973" s="14"/>
      <c r="AE1973" s="14"/>
      <c r="AF1973" s="14"/>
      <c r="AG1973" s="14"/>
      <c r="AH1973" s="14"/>
      <c r="AI1973" s="14"/>
      <c r="AJ1973" s="14"/>
      <c r="AK1973" s="14"/>
      <c r="AL1973" s="14"/>
      <c r="AM1973" s="14"/>
    </row>
    <row r="1974" customFormat="false" ht="13.8" hidden="false" customHeight="false" outlineLevel="0" collapsed="false">
      <c r="AA1974" s="7" t="n">
        <f aca="false">AA1973+1</f>
        <v>42880</v>
      </c>
      <c r="AB1974" s="14"/>
      <c r="AC1974" s="14"/>
      <c r="AD1974" s="14"/>
      <c r="AE1974" s="14"/>
      <c r="AF1974" s="14"/>
      <c r="AG1974" s="14"/>
      <c r="AH1974" s="14"/>
      <c r="AI1974" s="14"/>
      <c r="AJ1974" s="14"/>
      <c r="AK1974" s="14"/>
      <c r="AL1974" s="14"/>
      <c r="AM1974" s="14"/>
    </row>
    <row r="1975" customFormat="false" ht="13.8" hidden="false" customHeight="false" outlineLevel="0" collapsed="false">
      <c r="AA1975" s="7" t="n">
        <f aca="false">AA1974+1</f>
        <v>42881</v>
      </c>
      <c r="AB1975" s="14"/>
      <c r="AC1975" s="14"/>
      <c r="AD1975" s="14"/>
      <c r="AE1975" s="14"/>
      <c r="AF1975" s="14"/>
      <c r="AG1975" s="14"/>
      <c r="AH1975" s="14"/>
      <c r="AI1975" s="14"/>
      <c r="AJ1975" s="14"/>
      <c r="AK1975" s="14"/>
      <c r="AL1975" s="14"/>
      <c r="AM1975" s="14"/>
    </row>
    <row r="1976" customFormat="false" ht="13.8" hidden="false" customHeight="false" outlineLevel="0" collapsed="false">
      <c r="AA1976" s="7" t="n">
        <f aca="false">AA1975+1</f>
        <v>42882</v>
      </c>
      <c r="AB1976" s="14"/>
      <c r="AC1976" s="14"/>
      <c r="AD1976" s="14"/>
      <c r="AE1976" s="14"/>
      <c r="AF1976" s="14"/>
      <c r="AG1976" s="14"/>
      <c r="AH1976" s="14"/>
      <c r="AI1976" s="14"/>
      <c r="AJ1976" s="14"/>
      <c r="AK1976" s="14"/>
      <c r="AL1976" s="14"/>
      <c r="AM1976" s="14"/>
    </row>
    <row r="1977" customFormat="false" ht="13.8" hidden="false" customHeight="false" outlineLevel="0" collapsed="false">
      <c r="AA1977" s="7" t="n">
        <f aca="false">AA1976+1</f>
        <v>42883</v>
      </c>
      <c r="AB1977" s="14"/>
      <c r="AC1977" s="14"/>
      <c r="AD1977" s="14"/>
      <c r="AE1977" s="14"/>
      <c r="AF1977" s="14"/>
      <c r="AG1977" s="14"/>
      <c r="AH1977" s="14"/>
      <c r="AI1977" s="14"/>
      <c r="AJ1977" s="14"/>
      <c r="AK1977" s="14"/>
      <c r="AL1977" s="14"/>
      <c r="AM1977" s="14"/>
    </row>
    <row r="1978" customFormat="false" ht="13.8" hidden="false" customHeight="false" outlineLevel="0" collapsed="false">
      <c r="AA1978" s="7" t="n">
        <f aca="false">AA1977+1</f>
        <v>42884</v>
      </c>
      <c r="AB1978" s="14"/>
      <c r="AC1978" s="14"/>
      <c r="AD1978" s="14"/>
      <c r="AE1978" s="14"/>
      <c r="AF1978" s="14"/>
      <c r="AG1978" s="14"/>
      <c r="AH1978" s="14"/>
      <c r="AI1978" s="14"/>
      <c r="AJ1978" s="14"/>
      <c r="AK1978" s="14"/>
      <c r="AL1978" s="14"/>
      <c r="AM1978" s="14"/>
    </row>
    <row r="1979" customFormat="false" ht="13.8" hidden="false" customHeight="false" outlineLevel="0" collapsed="false">
      <c r="AA1979" s="7" t="n">
        <f aca="false">AA1978+1</f>
        <v>42885</v>
      </c>
      <c r="AB1979" s="14"/>
      <c r="AC1979" s="14"/>
      <c r="AD1979" s="14"/>
      <c r="AE1979" s="14"/>
      <c r="AF1979" s="14"/>
      <c r="AG1979" s="14"/>
      <c r="AH1979" s="14"/>
      <c r="AI1979" s="14"/>
      <c r="AJ1979" s="14"/>
      <c r="AK1979" s="14"/>
      <c r="AL1979" s="14"/>
      <c r="AM1979" s="14"/>
    </row>
    <row r="1980" customFormat="false" ht="13.8" hidden="false" customHeight="false" outlineLevel="0" collapsed="false">
      <c r="AA1980" s="7" t="n">
        <f aca="false">AA1979+1</f>
        <v>42886</v>
      </c>
      <c r="AB1980" s="14"/>
      <c r="AC1980" s="14"/>
      <c r="AD1980" s="14"/>
      <c r="AE1980" s="14"/>
      <c r="AF1980" s="14"/>
      <c r="AG1980" s="14"/>
      <c r="AH1980" s="14"/>
      <c r="AI1980" s="14"/>
      <c r="AJ1980" s="14"/>
      <c r="AK1980" s="14"/>
      <c r="AL1980" s="14"/>
      <c r="AM1980" s="14"/>
    </row>
    <row r="1981" customFormat="false" ht="13.8" hidden="false" customHeight="false" outlineLevel="0" collapsed="false">
      <c r="AA1981" s="7" t="n">
        <f aca="false">AA1980+1</f>
        <v>42887</v>
      </c>
      <c r="AB1981" s="14"/>
      <c r="AC1981" s="14"/>
      <c r="AD1981" s="14"/>
      <c r="AE1981" s="14"/>
      <c r="AF1981" s="14"/>
      <c r="AG1981" s="14"/>
      <c r="AH1981" s="14"/>
      <c r="AI1981" s="14"/>
      <c r="AJ1981" s="14"/>
      <c r="AK1981" s="14"/>
      <c r="AL1981" s="14"/>
      <c r="AM1981" s="14"/>
    </row>
    <row r="1982" customFormat="false" ht="13.8" hidden="false" customHeight="false" outlineLevel="0" collapsed="false">
      <c r="AA1982" s="7" t="n">
        <f aca="false">AA1981+1</f>
        <v>42888</v>
      </c>
      <c r="AB1982" s="14"/>
      <c r="AC1982" s="14"/>
      <c r="AD1982" s="14"/>
      <c r="AE1982" s="14"/>
      <c r="AF1982" s="14"/>
      <c r="AG1982" s="14"/>
      <c r="AH1982" s="14"/>
      <c r="AI1982" s="14"/>
      <c r="AJ1982" s="14"/>
      <c r="AK1982" s="14"/>
      <c r="AL1982" s="14"/>
      <c r="AM1982" s="14"/>
    </row>
    <row r="1983" customFormat="false" ht="13.8" hidden="false" customHeight="false" outlineLevel="0" collapsed="false">
      <c r="AA1983" s="7" t="n">
        <f aca="false">AA1982+1</f>
        <v>42889</v>
      </c>
      <c r="AB1983" s="14"/>
      <c r="AC1983" s="14"/>
      <c r="AD1983" s="14"/>
      <c r="AE1983" s="14"/>
      <c r="AF1983" s="14"/>
      <c r="AG1983" s="14"/>
      <c r="AH1983" s="14"/>
      <c r="AI1983" s="14"/>
      <c r="AJ1983" s="14"/>
      <c r="AK1983" s="14"/>
      <c r="AL1983" s="14"/>
      <c r="AM1983" s="14"/>
    </row>
    <row r="1984" customFormat="false" ht="13.8" hidden="false" customHeight="false" outlineLevel="0" collapsed="false">
      <c r="AA1984" s="7" t="n">
        <f aca="false">AA1983+1</f>
        <v>42890</v>
      </c>
      <c r="AB1984" s="14"/>
      <c r="AC1984" s="14"/>
      <c r="AD1984" s="14"/>
      <c r="AE1984" s="14"/>
      <c r="AF1984" s="14"/>
      <c r="AG1984" s="14"/>
      <c r="AH1984" s="14"/>
      <c r="AI1984" s="14"/>
      <c r="AJ1984" s="14"/>
      <c r="AK1984" s="14"/>
      <c r="AL1984" s="14"/>
      <c r="AM1984" s="14"/>
    </row>
    <row r="1985" customFormat="false" ht="13.8" hidden="false" customHeight="false" outlineLevel="0" collapsed="false">
      <c r="AA1985" s="7" t="n">
        <f aca="false">AA1984+1</f>
        <v>42891</v>
      </c>
      <c r="AB1985" s="14"/>
      <c r="AC1985" s="14"/>
      <c r="AD1985" s="14"/>
      <c r="AE1985" s="14"/>
      <c r="AF1985" s="14"/>
      <c r="AG1985" s="14"/>
      <c r="AH1985" s="14"/>
      <c r="AI1985" s="14"/>
      <c r="AJ1985" s="14"/>
      <c r="AK1985" s="14"/>
      <c r="AL1985" s="14"/>
      <c r="AM1985" s="14"/>
    </row>
    <row r="1986" customFormat="false" ht="13.8" hidden="false" customHeight="false" outlineLevel="0" collapsed="false">
      <c r="AA1986" s="7" t="n">
        <f aca="false">AA1985+1</f>
        <v>42892</v>
      </c>
      <c r="AB1986" s="14"/>
      <c r="AC1986" s="14"/>
      <c r="AD1986" s="14"/>
      <c r="AE1986" s="14"/>
      <c r="AF1986" s="14"/>
      <c r="AG1986" s="14"/>
      <c r="AH1986" s="14"/>
      <c r="AI1986" s="14"/>
      <c r="AJ1986" s="14"/>
      <c r="AK1986" s="14"/>
      <c r="AL1986" s="14"/>
      <c r="AM1986" s="14"/>
    </row>
    <row r="1987" customFormat="false" ht="13.8" hidden="false" customHeight="false" outlineLevel="0" collapsed="false">
      <c r="AA1987" s="7" t="n">
        <f aca="false">AA1986+1</f>
        <v>42893</v>
      </c>
      <c r="AB1987" s="14"/>
      <c r="AC1987" s="14"/>
      <c r="AD1987" s="14"/>
      <c r="AE1987" s="14"/>
      <c r="AF1987" s="14"/>
      <c r="AG1987" s="14"/>
      <c r="AH1987" s="14"/>
      <c r="AI1987" s="14"/>
      <c r="AJ1987" s="14"/>
      <c r="AK1987" s="14"/>
      <c r="AL1987" s="14"/>
      <c r="AM1987" s="14"/>
    </row>
    <row r="1988" customFormat="false" ht="13.8" hidden="false" customHeight="false" outlineLevel="0" collapsed="false">
      <c r="AA1988" s="7" t="n">
        <f aca="false">AA1987+1</f>
        <v>42894</v>
      </c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</row>
    <row r="1989" customFormat="false" ht="13.8" hidden="false" customHeight="false" outlineLevel="0" collapsed="false">
      <c r="AA1989" s="7" t="n">
        <f aca="false">AA1988+1</f>
        <v>42895</v>
      </c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</row>
    <row r="1990" customFormat="false" ht="13.8" hidden="false" customHeight="false" outlineLevel="0" collapsed="false">
      <c r="AA1990" s="7" t="n">
        <f aca="false">AA1989+1</f>
        <v>42896</v>
      </c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</row>
    <row r="1991" customFormat="false" ht="13.8" hidden="false" customHeight="false" outlineLevel="0" collapsed="false">
      <c r="AA1991" s="7" t="n">
        <f aca="false">AA1990+1</f>
        <v>42897</v>
      </c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</row>
    <row r="1992" customFormat="false" ht="13.8" hidden="false" customHeight="false" outlineLevel="0" collapsed="false">
      <c r="AA1992" s="7" t="n">
        <f aca="false">AA1991+1</f>
        <v>42898</v>
      </c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</row>
    <row r="1993" customFormat="false" ht="13.8" hidden="false" customHeight="false" outlineLevel="0" collapsed="false">
      <c r="AA1993" s="7" t="n">
        <f aca="false">AA1992+1</f>
        <v>42899</v>
      </c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</row>
    <row r="1994" customFormat="false" ht="13.8" hidden="false" customHeight="false" outlineLevel="0" collapsed="false">
      <c r="AA1994" s="7" t="n">
        <f aca="false">AA1993+1</f>
        <v>42900</v>
      </c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</row>
    <row r="1995" customFormat="false" ht="13.8" hidden="false" customHeight="false" outlineLevel="0" collapsed="false">
      <c r="AA1995" s="7" t="n">
        <f aca="false">AA1994+1</f>
        <v>42901</v>
      </c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</row>
    <row r="1996" customFormat="false" ht="13.8" hidden="false" customHeight="false" outlineLevel="0" collapsed="false">
      <c r="AA1996" s="7" t="n">
        <f aca="false">AA1995+1</f>
        <v>42902</v>
      </c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</row>
    <row r="1997" customFormat="false" ht="13.8" hidden="false" customHeight="false" outlineLevel="0" collapsed="false">
      <c r="AA1997" s="7" t="n">
        <f aca="false">AA1996+1</f>
        <v>42903</v>
      </c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</row>
    <row r="1998" customFormat="false" ht="13.8" hidden="false" customHeight="false" outlineLevel="0" collapsed="false">
      <c r="AA1998" s="7" t="n">
        <f aca="false">AA1997+1</f>
        <v>42904</v>
      </c>
      <c r="AB1998" s="14"/>
      <c r="AC1998" s="14"/>
      <c r="AD1998" s="14"/>
      <c r="AE1998" s="14"/>
      <c r="AF1998" s="14"/>
      <c r="AG1998" s="14"/>
      <c r="AH1998" s="14"/>
      <c r="AI1998" s="14"/>
      <c r="AJ1998" s="14"/>
      <c r="AK1998" s="14"/>
      <c r="AL1998" s="14"/>
      <c r="AM1998" s="14"/>
    </row>
    <row r="1999" customFormat="false" ht="13.8" hidden="false" customHeight="false" outlineLevel="0" collapsed="false">
      <c r="AA1999" s="7" t="n">
        <f aca="false">AA1998+1</f>
        <v>42905</v>
      </c>
      <c r="AB1999" s="14"/>
      <c r="AC1999" s="14"/>
      <c r="AD1999" s="14"/>
      <c r="AE1999" s="14"/>
      <c r="AF1999" s="14"/>
      <c r="AG1999" s="14"/>
      <c r="AH1999" s="14"/>
      <c r="AI1999" s="14"/>
      <c r="AJ1999" s="14"/>
      <c r="AK1999" s="14"/>
      <c r="AL1999" s="14"/>
      <c r="AM1999" s="14"/>
    </row>
    <row r="2000" customFormat="false" ht="13.8" hidden="false" customHeight="false" outlineLevel="0" collapsed="false">
      <c r="AA2000" s="7" t="n">
        <f aca="false">AA1999+1</f>
        <v>42906</v>
      </c>
      <c r="AB2000" s="14"/>
      <c r="AC2000" s="14"/>
      <c r="AD2000" s="14"/>
      <c r="AE2000" s="14"/>
      <c r="AF2000" s="14"/>
      <c r="AG2000" s="14"/>
      <c r="AH2000" s="14"/>
      <c r="AI2000" s="14"/>
      <c r="AJ2000" s="14"/>
      <c r="AK2000" s="14"/>
      <c r="AL2000" s="14"/>
      <c r="AM2000" s="14"/>
    </row>
    <row r="2001" customFormat="false" ht="13.8" hidden="false" customHeight="false" outlineLevel="0" collapsed="false">
      <c r="AA2001" s="7" t="n">
        <f aca="false">AA2000+1</f>
        <v>42907</v>
      </c>
      <c r="AB2001" s="14"/>
      <c r="AC2001" s="14"/>
      <c r="AD2001" s="14"/>
      <c r="AE2001" s="14"/>
      <c r="AF2001" s="14"/>
      <c r="AG2001" s="14"/>
      <c r="AH2001" s="14"/>
      <c r="AI2001" s="14"/>
      <c r="AJ2001" s="14"/>
      <c r="AK2001" s="14"/>
      <c r="AL2001" s="14"/>
      <c r="AM2001" s="14"/>
    </row>
    <row r="2002" customFormat="false" ht="13.8" hidden="false" customHeight="false" outlineLevel="0" collapsed="false">
      <c r="AA2002" s="7" t="n">
        <f aca="false">AA2001+1</f>
        <v>42908</v>
      </c>
      <c r="AB2002" s="14"/>
      <c r="AC2002" s="14"/>
      <c r="AD2002" s="14"/>
      <c r="AE2002" s="14"/>
      <c r="AF2002" s="14"/>
      <c r="AG2002" s="14"/>
      <c r="AH2002" s="14"/>
      <c r="AI2002" s="14"/>
      <c r="AJ2002" s="14"/>
      <c r="AK2002" s="14"/>
      <c r="AL2002" s="14"/>
      <c r="AM2002" s="14"/>
    </row>
    <row r="2003" customFormat="false" ht="13.8" hidden="false" customHeight="false" outlineLevel="0" collapsed="false">
      <c r="AA2003" s="7" t="n">
        <f aca="false">AA2002+1</f>
        <v>42909</v>
      </c>
      <c r="AB2003" s="14"/>
      <c r="AC2003" s="14"/>
      <c r="AD2003" s="14"/>
      <c r="AE2003" s="14"/>
      <c r="AF2003" s="14"/>
      <c r="AG2003" s="14"/>
      <c r="AH2003" s="14"/>
      <c r="AI2003" s="14"/>
      <c r="AJ2003" s="14"/>
      <c r="AK2003" s="14"/>
      <c r="AL2003" s="14"/>
      <c r="AM2003" s="14"/>
    </row>
    <row r="2004" customFormat="false" ht="13.8" hidden="false" customHeight="false" outlineLevel="0" collapsed="false">
      <c r="AA2004" s="7" t="n">
        <f aca="false">AA2003+1</f>
        <v>42910</v>
      </c>
      <c r="AB2004" s="14"/>
      <c r="AC2004" s="14"/>
      <c r="AD2004" s="14"/>
      <c r="AE2004" s="14"/>
      <c r="AF2004" s="14"/>
      <c r="AG2004" s="14"/>
      <c r="AH2004" s="14"/>
      <c r="AI2004" s="14"/>
      <c r="AJ2004" s="14"/>
      <c r="AK2004" s="14"/>
      <c r="AL2004" s="14"/>
      <c r="AM2004" s="14"/>
    </row>
    <row r="2005" customFormat="false" ht="13.8" hidden="false" customHeight="false" outlineLevel="0" collapsed="false">
      <c r="AA2005" s="7" t="n">
        <f aca="false">AA2004+1</f>
        <v>42911</v>
      </c>
      <c r="AB2005" s="14"/>
      <c r="AC2005" s="14"/>
      <c r="AD2005" s="14"/>
      <c r="AE2005" s="14"/>
      <c r="AF2005" s="14"/>
      <c r="AG2005" s="14"/>
      <c r="AH2005" s="14"/>
      <c r="AI2005" s="14"/>
      <c r="AJ2005" s="14"/>
      <c r="AK2005" s="14"/>
      <c r="AL2005" s="14"/>
      <c r="AM2005" s="14"/>
    </row>
    <row r="2006" customFormat="false" ht="13.8" hidden="false" customHeight="false" outlineLevel="0" collapsed="false">
      <c r="AA2006" s="7" t="n">
        <f aca="false">AA2005+1</f>
        <v>42912</v>
      </c>
      <c r="AB2006" s="14"/>
      <c r="AC2006" s="14"/>
      <c r="AD2006" s="14"/>
      <c r="AE2006" s="14"/>
      <c r="AF2006" s="14"/>
      <c r="AG2006" s="14"/>
      <c r="AH2006" s="14"/>
      <c r="AI2006" s="14"/>
      <c r="AJ2006" s="14"/>
      <c r="AK2006" s="14"/>
      <c r="AL2006" s="14"/>
      <c r="AM2006" s="14"/>
    </row>
    <row r="2007" customFormat="false" ht="13.8" hidden="false" customHeight="false" outlineLevel="0" collapsed="false">
      <c r="AA2007" s="7" t="n">
        <f aca="false">AA2006+1</f>
        <v>42913</v>
      </c>
      <c r="AB2007" s="14"/>
      <c r="AC2007" s="14"/>
      <c r="AD2007" s="14"/>
      <c r="AE2007" s="14"/>
      <c r="AF2007" s="14"/>
      <c r="AG2007" s="14"/>
      <c r="AH2007" s="14"/>
      <c r="AI2007" s="14"/>
      <c r="AJ2007" s="14"/>
      <c r="AK2007" s="14"/>
      <c r="AL2007" s="14"/>
      <c r="AM2007" s="14"/>
    </row>
    <row r="2008" customFormat="false" ht="13.8" hidden="false" customHeight="false" outlineLevel="0" collapsed="false">
      <c r="AA2008" s="7" t="n">
        <f aca="false">AA2007+1</f>
        <v>42914</v>
      </c>
      <c r="AB2008" s="14"/>
      <c r="AC2008" s="14"/>
      <c r="AD2008" s="14"/>
      <c r="AE2008" s="14"/>
      <c r="AF2008" s="14"/>
      <c r="AG2008" s="14"/>
      <c r="AH2008" s="14"/>
      <c r="AI2008" s="14"/>
      <c r="AJ2008" s="14"/>
      <c r="AK2008" s="14"/>
      <c r="AL2008" s="14"/>
      <c r="AM2008" s="14"/>
    </row>
    <row r="2009" customFormat="false" ht="13.8" hidden="false" customHeight="false" outlineLevel="0" collapsed="false">
      <c r="AA2009" s="7" t="n">
        <f aca="false">AA2008+1</f>
        <v>42915</v>
      </c>
      <c r="AB2009" s="14"/>
      <c r="AC2009" s="14"/>
      <c r="AD2009" s="14"/>
      <c r="AE2009" s="14"/>
      <c r="AF2009" s="14"/>
      <c r="AG2009" s="14"/>
      <c r="AH2009" s="14"/>
      <c r="AI2009" s="14"/>
      <c r="AJ2009" s="14"/>
      <c r="AK2009" s="14"/>
      <c r="AL2009" s="14"/>
      <c r="AM2009" s="14"/>
    </row>
    <row r="2010" customFormat="false" ht="13.8" hidden="false" customHeight="false" outlineLevel="0" collapsed="false">
      <c r="AA2010" s="7" t="n">
        <f aca="false">AA2009+1</f>
        <v>42916</v>
      </c>
      <c r="AB2010" s="14"/>
      <c r="AC2010" s="14"/>
      <c r="AD2010" s="14"/>
      <c r="AE2010" s="14"/>
      <c r="AF2010" s="14"/>
      <c r="AG2010" s="14"/>
      <c r="AH2010" s="14"/>
      <c r="AI2010" s="14"/>
      <c r="AJ2010" s="14"/>
      <c r="AK2010" s="14"/>
      <c r="AL2010" s="14"/>
      <c r="AM2010" s="14"/>
    </row>
    <row r="2011" customFormat="false" ht="13.8" hidden="false" customHeight="false" outlineLevel="0" collapsed="false">
      <c r="AA2011" s="7" t="n">
        <f aca="false">AA2010+1</f>
        <v>42917</v>
      </c>
      <c r="AB2011" s="14"/>
      <c r="AC2011" s="14"/>
      <c r="AD2011" s="14"/>
      <c r="AE2011" s="14"/>
      <c r="AF2011" s="14"/>
      <c r="AG2011" s="14"/>
      <c r="AH2011" s="14"/>
      <c r="AI2011" s="14"/>
      <c r="AJ2011" s="14"/>
      <c r="AK2011" s="14"/>
      <c r="AL2011" s="14"/>
      <c r="AM2011" s="14"/>
    </row>
    <row r="2012" customFormat="false" ht="13.8" hidden="false" customHeight="false" outlineLevel="0" collapsed="false">
      <c r="AA2012" s="7" t="n">
        <f aca="false">AA2011+1</f>
        <v>42918</v>
      </c>
      <c r="AB2012" s="14"/>
      <c r="AC2012" s="14"/>
      <c r="AD2012" s="14"/>
      <c r="AE2012" s="14"/>
      <c r="AF2012" s="14"/>
      <c r="AG2012" s="14"/>
      <c r="AH2012" s="14"/>
      <c r="AI2012" s="14"/>
      <c r="AJ2012" s="14"/>
      <c r="AK2012" s="14"/>
      <c r="AL2012" s="14"/>
      <c r="AM2012" s="14"/>
    </row>
    <row r="2013" customFormat="false" ht="13.8" hidden="false" customHeight="false" outlineLevel="0" collapsed="false">
      <c r="AA2013" s="7" t="n">
        <f aca="false">AA2012+1</f>
        <v>42919</v>
      </c>
      <c r="AB2013" s="14"/>
      <c r="AC2013" s="14"/>
      <c r="AD2013" s="14"/>
      <c r="AE2013" s="14"/>
      <c r="AF2013" s="14"/>
      <c r="AG2013" s="14"/>
      <c r="AH2013" s="14"/>
      <c r="AI2013" s="14"/>
      <c r="AJ2013" s="14"/>
      <c r="AK2013" s="14"/>
      <c r="AL2013" s="14"/>
      <c r="AM2013" s="14"/>
    </row>
    <row r="2014" customFormat="false" ht="13.8" hidden="false" customHeight="false" outlineLevel="0" collapsed="false">
      <c r="AA2014" s="7" t="n">
        <f aca="false">AA2013+1</f>
        <v>42920</v>
      </c>
      <c r="AB2014" s="14"/>
      <c r="AC2014" s="14"/>
      <c r="AD2014" s="14"/>
      <c r="AE2014" s="14"/>
      <c r="AF2014" s="14"/>
      <c r="AG2014" s="14"/>
      <c r="AH2014" s="14"/>
      <c r="AI2014" s="14"/>
      <c r="AJ2014" s="14"/>
      <c r="AK2014" s="14"/>
      <c r="AL2014" s="14"/>
      <c r="AM2014" s="14"/>
    </row>
    <row r="2015" customFormat="false" ht="13.8" hidden="false" customHeight="false" outlineLevel="0" collapsed="false">
      <c r="AA2015" s="7" t="n">
        <f aca="false">AA2014+1</f>
        <v>42921</v>
      </c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</row>
    <row r="2016" customFormat="false" ht="13.8" hidden="false" customHeight="false" outlineLevel="0" collapsed="false">
      <c r="AA2016" s="7" t="n">
        <f aca="false">AA2015+1</f>
        <v>42922</v>
      </c>
      <c r="AB2016" s="14"/>
      <c r="AC2016" s="14"/>
      <c r="AD2016" s="14"/>
      <c r="AE2016" s="14"/>
      <c r="AF2016" s="14"/>
      <c r="AG2016" s="14"/>
      <c r="AH2016" s="14"/>
      <c r="AI2016" s="14"/>
      <c r="AJ2016" s="14"/>
      <c r="AK2016" s="14"/>
      <c r="AL2016" s="14"/>
      <c r="AM2016" s="14"/>
    </row>
    <row r="2017" customFormat="false" ht="13.8" hidden="false" customHeight="false" outlineLevel="0" collapsed="false">
      <c r="AA2017" s="7" t="n">
        <f aca="false">AA2016+1</f>
        <v>42923</v>
      </c>
      <c r="AB2017" s="14"/>
      <c r="AC2017" s="14"/>
      <c r="AD2017" s="14"/>
      <c r="AE2017" s="14"/>
      <c r="AF2017" s="14"/>
      <c r="AG2017" s="14"/>
      <c r="AH2017" s="14"/>
      <c r="AI2017" s="14"/>
      <c r="AJ2017" s="14"/>
      <c r="AK2017" s="14"/>
      <c r="AL2017" s="14"/>
      <c r="AM2017" s="14"/>
    </row>
    <row r="2018" customFormat="false" ht="13.8" hidden="false" customHeight="false" outlineLevel="0" collapsed="false">
      <c r="AA2018" s="7" t="n">
        <f aca="false">AA2017+1</f>
        <v>42924</v>
      </c>
      <c r="AB2018" s="14"/>
      <c r="AC2018" s="14"/>
      <c r="AD2018" s="14"/>
      <c r="AE2018" s="14"/>
      <c r="AF2018" s="14"/>
      <c r="AG2018" s="14"/>
      <c r="AH2018" s="14"/>
      <c r="AI2018" s="14"/>
      <c r="AJ2018" s="14"/>
      <c r="AK2018" s="14"/>
      <c r="AL2018" s="14"/>
      <c r="AM2018" s="14"/>
    </row>
    <row r="2019" customFormat="false" ht="13.8" hidden="false" customHeight="false" outlineLevel="0" collapsed="false">
      <c r="AA2019" s="7" t="n">
        <f aca="false">AA2018+1</f>
        <v>42925</v>
      </c>
      <c r="AB2019" s="14"/>
      <c r="AC2019" s="14"/>
      <c r="AD2019" s="14"/>
      <c r="AE2019" s="14"/>
      <c r="AF2019" s="14"/>
      <c r="AG2019" s="14"/>
      <c r="AH2019" s="14"/>
      <c r="AI2019" s="14"/>
      <c r="AJ2019" s="14"/>
      <c r="AK2019" s="14"/>
      <c r="AL2019" s="14"/>
      <c r="AM2019" s="14"/>
    </row>
    <row r="2020" customFormat="false" ht="13.8" hidden="false" customHeight="false" outlineLevel="0" collapsed="false">
      <c r="AA2020" s="7" t="n">
        <f aca="false">AA2019+1</f>
        <v>42926</v>
      </c>
      <c r="AB2020" s="14"/>
      <c r="AC2020" s="14"/>
      <c r="AD2020" s="14"/>
      <c r="AE2020" s="14"/>
      <c r="AF2020" s="14"/>
      <c r="AG2020" s="14"/>
      <c r="AH2020" s="14"/>
      <c r="AI2020" s="14"/>
      <c r="AJ2020" s="14"/>
      <c r="AK2020" s="14"/>
      <c r="AL2020" s="14"/>
      <c r="AM2020" s="14"/>
    </row>
    <row r="2021" customFormat="false" ht="13.8" hidden="false" customHeight="false" outlineLevel="0" collapsed="false">
      <c r="AA2021" s="7" t="n">
        <f aca="false">AA2020+1</f>
        <v>42927</v>
      </c>
      <c r="AB2021" s="14"/>
      <c r="AC2021" s="14"/>
      <c r="AD2021" s="14"/>
      <c r="AE2021" s="14"/>
      <c r="AF2021" s="14"/>
      <c r="AG2021" s="14"/>
      <c r="AH2021" s="14"/>
      <c r="AI2021" s="14"/>
      <c r="AJ2021" s="14"/>
      <c r="AK2021" s="14"/>
      <c r="AL2021" s="14"/>
      <c r="AM2021" s="14"/>
    </row>
    <row r="2022" customFormat="false" ht="13.8" hidden="false" customHeight="false" outlineLevel="0" collapsed="false">
      <c r="AA2022" s="7" t="n">
        <f aca="false">AA2021+1</f>
        <v>42928</v>
      </c>
      <c r="AB2022" s="14"/>
      <c r="AC2022" s="14"/>
      <c r="AD2022" s="14"/>
      <c r="AE2022" s="14"/>
      <c r="AF2022" s="14"/>
      <c r="AG2022" s="14"/>
      <c r="AH2022" s="14"/>
      <c r="AI2022" s="14"/>
      <c r="AJ2022" s="14"/>
      <c r="AK2022" s="14"/>
      <c r="AL2022" s="14"/>
      <c r="AM2022" s="14"/>
    </row>
    <row r="2023" customFormat="false" ht="13.8" hidden="false" customHeight="false" outlineLevel="0" collapsed="false">
      <c r="AA2023" s="7" t="n">
        <f aca="false">AA2022+1</f>
        <v>42929</v>
      </c>
      <c r="AB2023" s="14"/>
      <c r="AC2023" s="14"/>
      <c r="AD2023" s="14"/>
      <c r="AE2023" s="14"/>
      <c r="AF2023" s="14"/>
      <c r="AG2023" s="14"/>
      <c r="AH2023" s="14"/>
      <c r="AI2023" s="14"/>
      <c r="AJ2023" s="14"/>
      <c r="AK2023" s="14"/>
      <c r="AL2023" s="14"/>
      <c r="AM2023" s="14"/>
    </row>
    <row r="2024" customFormat="false" ht="13.8" hidden="false" customHeight="false" outlineLevel="0" collapsed="false">
      <c r="AA2024" s="7" t="n">
        <f aca="false">AA2023+1</f>
        <v>42930</v>
      </c>
      <c r="AB2024" s="14"/>
      <c r="AC2024" s="14"/>
      <c r="AD2024" s="14"/>
      <c r="AE2024" s="14"/>
      <c r="AF2024" s="14"/>
      <c r="AG2024" s="14"/>
      <c r="AH2024" s="14"/>
      <c r="AI2024" s="14"/>
      <c r="AJ2024" s="14"/>
      <c r="AK2024" s="14"/>
      <c r="AL2024" s="14"/>
      <c r="AM2024" s="14"/>
    </row>
    <row r="2025" customFormat="false" ht="13.8" hidden="false" customHeight="false" outlineLevel="0" collapsed="false">
      <c r="AA2025" s="7" t="n">
        <f aca="false">AA2024+1</f>
        <v>42931</v>
      </c>
      <c r="AB2025" s="14"/>
      <c r="AC2025" s="14"/>
      <c r="AD2025" s="14"/>
      <c r="AE2025" s="14"/>
      <c r="AF2025" s="14"/>
      <c r="AG2025" s="14"/>
      <c r="AH2025" s="14"/>
      <c r="AI2025" s="14"/>
      <c r="AJ2025" s="14"/>
      <c r="AK2025" s="14"/>
      <c r="AL2025" s="14"/>
      <c r="AM2025" s="14"/>
    </row>
    <row r="2026" customFormat="false" ht="13.8" hidden="false" customHeight="false" outlineLevel="0" collapsed="false">
      <c r="AA2026" s="7" t="n">
        <f aca="false">AA2025+1</f>
        <v>42932</v>
      </c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</row>
    <row r="2027" customFormat="false" ht="13.8" hidden="false" customHeight="false" outlineLevel="0" collapsed="false">
      <c r="AA2027" s="7" t="n">
        <f aca="false">AA2026+1</f>
        <v>42933</v>
      </c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</row>
    <row r="2028" customFormat="false" ht="13.8" hidden="false" customHeight="false" outlineLevel="0" collapsed="false">
      <c r="AA2028" s="7" t="n">
        <f aca="false">AA2027+1</f>
        <v>42934</v>
      </c>
      <c r="AB2028" s="14"/>
      <c r="AC2028" s="14"/>
      <c r="AD2028" s="14"/>
      <c r="AE2028" s="14"/>
      <c r="AF2028" s="14"/>
      <c r="AG2028" s="14"/>
      <c r="AH2028" s="14"/>
      <c r="AI2028" s="14"/>
      <c r="AJ2028" s="14"/>
      <c r="AK2028" s="14"/>
      <c r="AL2028" s="14"/>
      <c r="AM2028" s="14"/>
    </row>
    <row r="2029" customFormat="false" ht="13.8" hidden="false" customHeight="false" outlineLevel="0" collapsed="false">
      <c r="AA2029" s="7" t="n">
        <f aca="false">AA2028+1</f>
        <v>42935</v>
      </c>
      <c r="AB2029" s="14"/>
      <c r="AC2029" s="14"/>
      <c r="AD2029" s="14"/>
      <c r="AE2029" s="14"/>
      <c r="AF2029" s="14"/>
      <c r="AG2029" s="14"/>
      <c r="AH2029" s="14"/>
      <c r="AI2029" s="14"/>
      <c r="AJ2029" s="14"/>
      <c r="AK2029" s="14"/>
      <c r="AL2029" s="14"/>
      <c r="AM2029" s="14"/>
    </row>
    <row r="2030" customFormat="false" ht="13.8" hidden="false" customHeight="false" outlineLevel="0" collapsed="false">
      <c r="AA2030" s="7" t="n">
        <f aca="false">AA2029+1</f>
        <v>42936</v>
      </c>
      <c r="AB2030" s="14"/>
      <c r="AC2030" s="14"/>
      <c r="AD2030" s="14"/>
      <c r="AE2030" s="14"/>
      <c r="AF2030" s="14"/>
      <c r="AG2030" s="14"/>
      <c r="AH2030" s="14"/>
      <c r="AI2030" s="14"/>
      <c r="AJ2030" s="14"/>
      <c r="AK2030" s="14"/>
      <c r="AL2030" s="14"/>
      <c r="AM2030" s="14"/>
    </row>
    <row r="2031" customFormat="false" ht="13.8" hidden="false" customHeight="false" outlineLevel="0" collapsed="false">
      <c r="AA2031" s="7" t="n">
        <f aca="false">AA2030+1</f>
        <v>42937</v>
      </c>
      <c r="AB2031" s="14"/>
      <c r="AC2031" s="14"/>
      <c r="AD2031" s="14"/>
      <c r="AE2031" s="14"/>
      <c r="AF2031" s="14"/>
      <c r="AG2031" s="14"/>
      <c r="AH2031" s="14"/>
      <c r="AI2031" s="14"/>
      <c r="AJ2031" s="14"/>
      <c r="AK2031" s="14"/>
      <c r="AL2031" s="14"/>
      <c r="AM2031" s="14"/>
    </row>
    <row r="2032" customFormat="false" ht="13.8" hidden="false" customHeight="false" outlineLevel="0" collapsed="false">
      <c r="AA2032" s="7" t="n">
        <f aca="false">AA2031+1</f>
        <v>42938</v>
      </c>
      <c r="AB2032" s="14"/>
      <c r="AC2032" s="14"/>
      <c r="AD2032" s="14"/>
      <c r="AE2032" s="14"/>
      <c r="AF2032" s="14"/>
      <c r="AG2032" s="14"/>
      <c r="AH2032" s="14"/>
      <c r="AI2032" s="14"/>
      <c r="AJ2032" s="14"/>
      <c r="AK2032" s="14"/>
      <c r="AL2032" s="14"/>
      <c r="AM2032" s="14"/>
    </row>
    <row r="2033" customFormat="false" ht="13.8" hidden="false" customHeight="false" outlineLevel="0" collapsed="false">
      <c r="AA2033" s="7" t="n">
        <f aca="false">AA2032+1</f>
        <v>42939</v>
      </c>
      <c r="AB2033" s="14"/>
      <c r="AC2033" s="14"/>
      <c r="AD2033" s="14"/>
      <c r="AE2033" s="14"/>
      <c r="AF2033" s="14"/>
      <c r="AG2033" s="14"/>
      <c r="AH2033" s="14"/>
      <c r="AI2033" s="14"/>
      <c r="AJ2033" s="14"/>
      <c r="AK2033" s="14"/>
      <c r="AL2033" s="14"/>
      <c r="AM2033" s="14"/>
    </row>
    <row r="2034" customFormat="false" ht="13.8" hidden="false" customHeight="false" outlineLevel="0" collapsed="false">
      <c r="AA2034" s="7" t="n">
        <f aca="false">AA2033+1</f>
        <v>42940</v>
      </c>
      <c r="AB2034" s="14"/>
      <c r="AC2034" s="14"/>
      <c r="AD2034" s="14"/>
      <c r="AE2034" s="14"/>
      <c r="AF2034" s="14"/>
      <c r="AG2034" s="14"/>
      <c r="AH2034" s="14"/>
      <c r="AI2034" s="14"/>
      <c r="AJ2034" s="14"/>
      <c r="AK2034" s="14"/>
      <c r="AL2034" s="14"/>
      <c r="AM2034" s="14"/>
    </row>
    <row r="2035" customFormat="false" ht="13.8" hidden="false" customHeight="false" outlineLevel="0" collapsed="false">
      <c r="AA2035" s="7" t="n">
        <f aca="false">AA2034+1</f>
        <v>42941</v>
      </c>
      <c r="AB2035" s="14"/>
      <c r="AC2035" s="14"/>
      <c r="AD2035" s="14"/>
      <c r="AE2035" s="14"/>
      <c r="AF2035" s="14"/>
      <c r="AG2035" s="14"/>
      <c r="AH2035" s="14"/>
      <c r="AI2035" s="14"/>
      <c r="AJ2035" s="14"/>
      <c r="AK2035" s="14"/>
      <c r="AL2035" s="14"/>
      <c r="AM2035" s="14"/>
    </row>
    <row r="2036" customFormat="false" ht="13.8" hidden="false" customHeight="false" outlineLevel="0" collapsed="false">
      <c r="AA2036" s="7" t="n">
        <f aca="false">AA2035+1</f>
        <v>42942</v>
      </c>
      <c r="AB2036" s="14"/>
      <c r="AC2036" s="14"/>
      <c r="AD2036" s="14"/>
      <c r="AE2036" s="14"/>
      <c r="AF2036" s="14"/>
      <c r="AG2036" s="14"/>
      <c r="AH2036" s="14"/>
      <c r="AI2036" s="14"/>
      <c r="AJ2036" s="14"/>
      <c r="AK2036" s="14"/>
      <c r="AL2036" s="14"/>
      <c r="AM2036" s="14"/>
    </row>
    <row r="2037" customFormat="false" ht="13.8" hidden="false" customHeight="false" outlineLevel="0" collapsed="false">
      <c r="AA2037" s="7" t="n">
        <f aca="false">AA2036+1</f>
        <v>42943</v>
      </c>
      <c r="AB2037" s="14"/>
      <c r="AC2037" s="14"/>
      <c r="AD2037" s="14"/>
      <c r="AE2037" s="14"/>
      <c r="AF2037" s="14"/>
      <c r="AG2037" s="14"/>
      <c r="AH2037" s="14"/>
      <c r="AI2037" s="14"/>
      <c r="AJ2037" s="14"/>
      <c r="AK2037" s="14"/>
      <c r="AL2037" s="14"/>
      <c r="AM2037" s="14"/>
    </row>
    <row r="2038" customFormat="false" ht="13.8" hidden="false" customHeight="false" outlineLevel="0" collapsed="false">
      <c r="AA2038" s="7" t="n">
        <f aca="false">AA2037+1</f>
        <v>42944</v>
      </c>
      <c r="AB2038" s="14"/>
      <c r="AC2038" s="14"/>
      <c r="AD2038" s="14"/>
      <c r="AE2038" s="14"/>
      <c r="AF2038" s="14"/>
      <c r="AG2038" s="14"/>
      <c r="AH2038" s="14"/>
      <c r="AI2038" s="14"/>
      <c r="AJ2038" s="14"/>
      <c r="AK2038" s="14"/>
      <c r="AL2038" s="14"/>
      <c r="AM2038" s="14"/>
    </row>
    <row r="2039" customFormat="false" ht="13.8" hidden="false" customHeight="false" outlineLevel="0" collapsed="false">
      <c r="AA2039" s="7" t="n">
        <f aca="false">AA2038+1</f>
        <v>42945</v>
      </c>
      <c r="AB2039" s="14"/>
      <c r="AC2039" s="14"/>
      <c r="AD2039" s="14"/>
      <c r="AE2039" s="14"/>
      <c r="AF2039" s="14"/>
      <c r="AG2039" s="14"/>
      <c r="AH2039" s="14"/>
      <c r="AI2039" s="14"/>
      <c r="AJ2039" s="14"/>
      <c r="AK2039" s="14"/>
      <c r="AL2039" s="14"/>
      <c r="AM2039" s="14"/>
    </row>
    <row r="2040" customFormat="false" ht="13.8" hidden="false" customHeight="false" outlineLevel="0" collapsed="false">
      <c r="AA2040" s="7" t="n">
        <f aca="false">AA2039+1</f>
        <v>42946</v>
      </c>
      <c r="AB2040" s="14"/>
      <c r="AC2040" s="14"/>
      <c r="AD2040" s="14"/>
      <c r="AE2040" s="14"/>
      <c r="AF2040" s="14"/>
      <c r="AG2040" s="14"/>
      <c r="AH2040" s="14"/>
      <c r="AI2040" s="14"/>
      <c r="AJ2040" s="14"/>
      <c r="AK2040" s="14"/>
      <c r="AL2040" s="14"/>
      <c r="AM2040" s="14"/>
    </row>
    <row r="2041" customFormat="false" ht="13.8" hidden="false" customHeight="false" outlineLevel="0" collapsed="false">
      <c r="AA2041" s="7" t="n">
        <f aca="false">AA2040+1</f>
        <v>42947</v>
      </c>
      <c r="AB2041" s="14"/>
      <c r="AC2041" s="14"/>
      <c r="AD2041" s="14"/>
      <c r="AE2041" s="14"/>
      <c r="AF2041" s="14"/>
      <c r="AG2041" s="14"/>
      <c r="AH2041" s="14"/>
      <c r="AI2041" s="14"/>
      <c r="AJ2041" s="14"/>
      <c r="AK2041" s="14"/>
      <c r="AL2041" s="14"/>
      <c r="AM2041" s="14"/>
    </row>
    <row r="2042" customFormat="false" ht="13.8" hidden="false" customHeight="false" outlineLevel="0" collapsed="false">
      <c r="AA2042" s="7" t="n">
        <f aca="false">AA2041+1</f>
        <v>42948</v>
      </c>
      <c r="AB2042" s="14"/>
      <c r="AC2042" s="14"/>
      <c r="AD2042" s="14"/>
      <c r="AE2042" s="14"/>
      <c r="AF2042" s="14"/>
      <c r="AG2042" s="14"/>
      <c r="AH2042" s="14"/>
      <c r="AI2042" s="14"/>
      <c r="AJ2042" s="14"/>
      <c r="AK2042" s="14"/>
      <c r="AL2042" s="14"/>
      <c r="AM2042" s="14"/>
    </row>
    <row r="2043" customFormat="false" ht="13.8" hidden="false" customHeight="false" outlineLevel="0" collapsed="false">
      <c r="AA2043" s="7" t="n">
        <f aca="false">AA2042+1</f>
        <v>42949</v>
      </c>
      <c r="AB2043" s="14"/>
      <c r="AC2043" s="14"/>
      <c r="AD2043" s="14"/>
      <c r="AE2043" s="14"/>
      <c r="AF2043" s="14"/>
      <c r="AG2043" s="14"/>
      <c r="AH2043" s="14"/>
      <c r="AI2043" s="14"/>
      <c r="AJ2043" s="14"/>
      <c r="AK2043" s="14"/>
      <c r="AL2043" s="14"/>
      <c r="AM2043" s="14"/>
    </row>
    <row r="2044" customFormat="false" ht="13.8" hidden="false" customHeight="false" outlineLevel="0" collapsed="false">
      <c r="AA2044" s="7" t="n">
        <f aca="false">AA2043+1</f>
        <v>42950</v>
      </c>
      <c r="AB2044" s="14"/>
      <c r="AC2044" s="14"/>
      <c r="AD2044" s="14"/>
      <c r="AE2044" s="14"/>
      <c r="AF2044" s="14"/>
      <c r="AG2044" s="14"/>
      <c r="AH2044" s="14"/>
      <c r="AI2044" s="14"/>
      <c r="AJ2044" s="14"/>
      <c r="AK2044" s="14"/>
      <c r="AL2044" s="14"/>
      <c r="AM2044" s="14"/>
    </row>
    <row r="2045" customFormat="false" ht="13.8" hidden="false" customHeight="false" outlineLevel="0" collapsed="false">
      <c r="AA2045" s="7" t="n">
        <f aca="false">AA2044+1</f>
        <v>42951</v>
      </c>
      <c r="AB2045" s="14"/>
      <c r="AC2045" s="14"/>
      <c r="AD2045" s="14"/>
      <c r="AE2045" s="14"/>
      <c r="AF2045" s="14"/>
      <c r="AG2045" s="14"/>
      <c r="AH2045" s="14"/>
      <c r="AI2045" s="14"/>
      <c r="AJ2045" s="14"/>
      <c r="AK2045" s="14"/>
      <c r="AL2045" s="14"/>
      <c r="AM2045" s="14"/>
    </row>
    <row r="2046" customFormat="false" ht="13.8" hidden="false" customHeight="false" outlineLevel="0" collapsed="false">
      <c r="AA2046" s="7" t="n">
        <f aca="false">AA2045+1</f>
        <v>42952</v>
      </c>
      <c r="AB2046" s="14"/>
      <c r="AC2046" s="14"/>
      <c r="AD2046" s="14"/>
      <c r="AE2046" s="14"/>
      <c r="AF2046" s="14"/>
      <c r="AG2046" s="14"/>
      <c r="AH2046" s="14"/>
      <c r="AI2046" s="14"/>
      <c r="AJ2046" s="14"/>
      <c r="AK2046" s="14"/>
      <c r="AL2046" s="14"/>
      <c r="AM2046" s="14"/>
    </row>
    <row r="2047" customFormat="false" ht="13.8" hidden="false" customHeight="false" outlineLevel="0" collapsed="false">
      <c r="AA2047" s="7" t="n">
        <f aca="false">AA2046+1</f>
        <v>42953</v>
      </c>
      <c r="AB2047" s="14"/>
      <c r="AC2047" s="14"/>
      <c r="AD2047" s="14"/>
      <c r="AE2047" s="14"/>
      <c r="AF2047" s="14"/>
      <c r="AG2047" s="14"/>
      <c r="AH2047" s="14"/>
      <c r="AI2047" s="14"/>
      <c r="AJ2047" s="14"/>
      <c r="AK2047" s="14"/>
      <c r="AL2047" s="14"/>
      <c r="AM2047" s="14"/>
    </row>
    <row r="2048" customFormat="false" ht="13.8" hidden="false" customHeight="false" outlineLevel="0" collapsed="false">
      <c r="AA2048" s="7" t="n">
        <f aca="false">AA2047+1</f>
        <v>42954</v>
      </c>
      <c r="AB2048" s="14"/>
      <c r="AC2048" s="14"/>
      <c r="AD2048" s="14"/>
      <c r="AE2048" s="14"/>
      <c r="AF2048" s="14"/>
      <c r="AG2048" s="14"/>
      <c r="AH2048" s="14"/>
      <c r="AI2048" s="14"/>
      <c r="AJ2048" s="14"/>
      <c r="AK2048" s="14"/>
      <c r="AL2048" s="14"/>
      <c r="AM2048" s="14"/>
    </row>
    <row r="2049" customFormat="false" ht="13.8" hidden="false" customHeight="false" outlineLevel="0" collapsed="false">
      <c r="AA2049" s="7" t="n">
        <f aca="false">AA2048+1</f>
        <v>42955</v>
      </c>
      <c r="AB2049" s="14"/>
      <c r="AC2049" s="14"/>
      <c r="AD2049" s="14"/>
      <c r="AE2049" s="14"/>
      <c r="AF2049" s="14"/>
      <c r="AG2049" s="14"/>
      <c r="AH2049" s="14"/>
      <c r="AI2049" s="14"/>
      <c r="AJ2049" s="14"/>
      <c r="AK2049" s="14"/>
      <c r="AL2049" s="14"/>
      <c r="AM2049" s="14"/>
    </row>
    <row r="2050" customFormat="false" ht="13.8" hidden="false" customHeight="false" outlineLevel="0" collapsed="false">
      <c r="AA2050" s="7" t="n">
        <f aca="false">AA2049+1</f>
        <v>42956</v>
      </c>
      <c r="AB2050" s="14"/>
      <c r="AC2050" s="14"/>
      <c r="AD2050" s="14"/>
      <c r="AE2050" s="14"/>
      <c r="AF2050" s="14"/>
      <c r="AG2050" s="14"/>
      <c r="AH2050" s="14"/>
      <c r="AI2050" s="14"/>
      <c r="AJ2050" s="14"/>
      <c r="AK2050" s="14"/>
      <c r="AL2050" s="14"/>
      <c r="AM2050" s="14"/>
    </row>
    <row r="2051" customFormat="false" ht="13.8" hidden="false" customHeight="false" outlineLevel="0" collapsed="false">
      <c r="AA2051" s="7" t="n">
        <f aca="false">AA2050+1</f>
        <v>42957</v>
      </c>
      <c r="AB2051" s="14"/>
      <c r="AC2051" s="14"/>
      <c r="AD2051" s="14"/>
      <c r="AE2051" s="14"/>
      <c r="AF2051" s="14"/>
      <c r="AG2051" s="14"/>
      <c r="AH2051" s="14"/>
      <c r="AI2051" s="14"/>
      <c r="AJ2051" s="14"/>
      <c r="AK2051" s="14"/>
      <c r="AL2051" s="14"/>
      <c r="AM2051" s="14"/>
    </row>
    <row r="2052" customFormat="false" ht="13.8" hidden="false" customHeight="false" outlineLevel="0" collapsed="false">
      <c r="AA2052" s="7" t="n">
        <f aca="false">AA2051+1</f>
        <v>42958</v>
      </c>
      <c r="AB2052" s="14"/>
      <c r="AC2052" s="14"/>
      <c r="AD2052" s="14"/>
      <c r="AE2052" s="14"/>
      <c r="AF2052" s="14"/>
      <c r="AG2052" s="14"/>
      <c r="AH2052" s="14"/>
      <c r="AI2052" s="14"/>
      <c r="AJ2052" s="14"/>
      <c r="AK2052" s="14"/>
      <c r="AL2052" s="14"/>
      <c r="AM2052" s="14"/>
    </row>
    <row r="2053" customFormat="false" ht="13.8" hidden="false" customHeight="false" outlineLevel="0" collapsed="false">
      <c r="AA2053" s="7" t="n">
        <f aca="false">AA2052+1</f>
        <v>42959</v>
      </c>
      <c r="AB2053" s="14"/>
      <c r="AC2053" s="14"/>
      <c r="AD2053" s="14"/>
      <c r="AE2053" s="14"/>
      <c r="AF2053" s="14"/>
      <c r="AG2053" s="14"/>
      <c r="AH2053" s="14"/>
      <c r="AI2053" s="14"/>
      <c r="AJ2053" s="14"/>
      <c r="AK2053" s="14"/>
      <c r="AL2053" s="14"/>
      <c r="AM2053" s="14"/>
    </row>
    <row r="2054" customFormat="false" ht="13.8" hidden="false" customHeight="false" outlineLevel="0" collapsed="false">
      <c r="AA2054" s="7" t="n">
        <f aca="false">AA2053+1</f>
        <v>42960</v>
      </c>
      <c r="AB2054" s="14"/>
      <c r="AC2054" s="14"/>
      <c r="AD2054" s="14"/>
      <c r="AE2054" s="14"/>
      <c r="AF2054" s="14"/>
      <c r="AG2054" s="14"/>
      <c r="AH2054" s="14"/>
      <c r="AI2054" s="14"/>
      <c r="AJ2054" s="14"/>
      <c r="AK2054" s="14"/>
      <c r="AL2054" s="14"/>
      <c r="AM2054" s="14"/>
    </row>
    <row r="2055" customFormat="false" ht="13.8" hidden="false" customHeight="false" outlineLevel="0" collapsed="false">
      <c r="AA2055" s="7" t="n">
        <f aca="false">AA2054+1</f>
        <v>42961</v>
      </c>
      <c r="AB2055" s="14"/>
      <c r="AC2055" s="14"/>
      <c r="AD2055" s="14"/>
      <c r="AE2055" s="14"/>
      <c r="AF2055" s="14"/>
      <c r="AG2055" s="14"/>
      <c r="AH2055" s="14"/>
      <c r="AI2055" s="14"/>
      <c r="AJ2055" s="14"/>
      <c r="AK2055" s="14"/>
      <c r="AL2055" s="14"/>
      <c r="AM2055" s="14"/>
    </row>
    <row r="2056" customFormat="false" ht="13.8" hidden="false" customHeight="false" outlineLevel="0" collapsed="false">
      <c r="AA2056" s="7" t="n">
        <f aca="false">AA2055+1</f>
        <v>42962</v>
      </c>
      <c r="AB2056" s="14"/>
      <c r="AC2056" s="14"/>
      <c r="AD2056" s="14"/>
      <c r="AE2056" s="14"/>
      <c r="AF2056" s="14"/>
      <c r="AG2056" s="14"/>
      <c r="AH2056" s="14"/>
      <c r="AI2056" s="14"/>
      <c r="AJ2056" s="14"/>
      <c r="AK2056" s="14"/>
      <c r="AL2056" s="14"/>
      <c r="AM2056" s="14"/>
    </row>
    <row r="2057" customFormat="false" ht="13.8" hidden="false" customHeight="false" outlineLevel="0" collapsed="false">
      <c r="AA2057" s="7" t="n">
        <f aca="false">AA2056+1</f>
        <v>42963</v>
      </c>
      <c r="AB2057" s="14"/>
      <c r="AC2057" s="14"/>
      <c r="AD2057" s="14"/>
      <c r="AE2057" s="14"/>
      <c r="AF2057" s="14"/>
      <c r="AG2057" s="14"/>
      <c r="AH2057" s="14"/>
      <c r="AI2057" s="14"/>
      <c r="AJ2057" s="14"/>
      <c r="AK2057" s="14"/>
      <c r="AL2057" s="14"/>
      <c r="AM2057" s="14"/>
    </row>
    <row r="2058" customFormat="false" ht="13.8" hidden="false" customHeight="false" outlineLevel="0" collapsed="false">
      <c r="AA2058" s="7" t="n">
        <f aca="false">AA2057+1</f>
        <v>42964</v>
      </c>
      <c r="AB2058" s="14"/>
      <c r="AC2058" s="14"/>
      <c r="AD2058" s="14"/>
      <c r="AE2058" s="14"/>
      <c r="AF2058" s="14"/>
      <c r="AG2058" s="14"/>
      <c r="AH2058" s="14"/>
      <c r="AI2058" s="14"/>
      <c r="AJ2058" s="14"/>
      <c r="AK2058" s="14"/>
      <c r="AL2058" s="14"/>
      <c r="AM2058" s="14"/>
    </row>
    <row r="2059" customFormat="false" ht="13.8" hidden="false" customHeight="false" outlineLevel="0" collapsed="false">
      <c r="AA2059" s="7" t="n">
        <f aca="false">AA2058+1</f>
        <v>42965</v>
      </c>
      <c r="AB2059" s="14"/>
      <c r="AC2059" s="14"/>
      <c r="AD2059" s="14"/>
      <c r="AE2059" s="14"/>
      <c r="AF2059" s="14"/>
      <c r="AG2059" s="14"/>
      <c r="AH2059" s="14"/>
      <c r="AI2059" s="14"/>
      <c r="AJ2059" s="14"/>
      <c r="AK2059" s="14"/>
      <c r="AL2059" s="14"/>
      <c r="AM2059" s="14"/>
    </row>
    <row r="2060" customFormat="false" ht="13.8" hidden="false" customHeight="false" outlineLevel="0" collapsed="false">
      <c r="AA2060" s="7" t="n">
        <f aca="false">AA2059+1</f>
        <v>42966</v>
      </c>
      <c r="AB2060" s="14"/>
      <c r="AC2060" s="14"/>
      <c r="AD2060" s="14"/>
      <c r="AE2060" s="14"/>
      <c r="AF2060" s="14"/>
      <c r="AG2060" s="14"/>
      <c r="AH2060" s="14"/>
      <c r="AI2060" s="14"/>
      <c r="AJ2060" s="14"/>
      <c r="AK2060" s="14"/>
      <c r="AL2060" s="14"/>
      <c r="AM2060" s="14"/>
    </row>
    <row r="2061" customFormat="false" ht="13.8" hidden="false" customHeight="false" outlineLevel="0" collapsed="false">
      <c r="AA2061" s="7" t="n">
        <f aca="false">AA2060+1</f>
        <v>42967</v>
      </c>
      <c r="AB2061" s="14"/>
      <c r="AC2061" s="14"/>
      <c r="AD2061" s="14"/>
      <c r="AE2061" s="14"/>
      <c r="AF2061" s="14"/>
      <c r="AG2061" s="14"/>
      <c r="AH2061" s="14"/>
      <c r="AI2061" s="14"/>
      <c r="AJ2061" s="14"/>
      <c r="AK2061" s="14"/>
      <c r="AL2061" s="14"/>
      <c r="AM2061" s="14"/>
    </row>
    <row r="2062" customFormat="false" ht="13.8" hidden="false" customHeight="false" outlineLevel="0" collapsed="false">
      <c r="AA2062" s="7" t="n">
        <f aca="false">AA2061+1</f>
        <v>42968</v>
      </c>
      <c r="AB2062" s="14"/>
      <c r="AC2062" s="14"/>
      <c r="AD2062" s="14"/>
      <c r="AE2062" s="14"/>
      <c r="AF2062" s="14"/>
      <c r="AG2062" s="14"/>
      <c r="AH2062" s="14"/>
      <c r="AI2062" s="14"/>
      <c r="AJ2062" s="14"/>
      <c r="AK2062" s="14"/>
      <c r="AL2062" s="14"/>
      <c r="AM2062" s="14"/>
    </row>
    <row r="2063" customFormat="false" ht="13.8" hidden="false" customHeight="false" outlineLevel="0" collapsed="false">
      <c r="AA2063" s="7" t="n">
        <f aca="false">AA2062+1</f>
        <v>42969</v>
      </c>
      <c r="AB2063" s="14"/>
      <c r="AC2063" s="14"/>
      <c r="AD2063" s="14"/>
      <c r="AE2063" s="14"/>
      <c r="AF2063" s="14"/>
      <c r="AG2063" s="14"/>
      <c r="AH2063" s="14"/>
      <c r="AI2063" s="14"/>
      <c r="AJ2063" s="14"/>
      <c r="AK2063" s="14"/>
      <c r="AL2063" s="14"/>
      <c r="AM2063" s="14"/>
    </row>
    <row r="2064" customFormat="false" ht="13.8" hidden="false" customHeight="false" outlineLevel="0" collapsed="false">
      <c r="AA2064" s="7" t="n">
        <f aca="false">AA2063+1</f>
        <v>42970</v>
      </c>
      <c r="AB2064" s="14"/>
      <c r="AC2064" s="14"/>
      <c r="AD2064" s="14"/>
      <c r="AE2064" s="14"/>
      <c r="AF2064" s="14"/>
      <c r="AG2064" s="14"/>
      <c r="AH2064" s="14"/>
      <c r="AI2064" s="14"/>
      <c r="AJ2064" s="14"/>
      <c r="AK2064" s="14"/>
      <c r="AL2064" s="14"/>
      <c r="AM2064" s="14"/>
    </row>
    <row r="2065" customFormat="false" ht="13.8" hidden="false" customHeight="false" outlineLevel="0" collapsed="false">
      <c r="AA2065" s="7" t="n">
        <f aca="false">AA2064+1</f>
        <v>42971</v>
      </c>
      <c r="AB2065" s="14"/>
      <c r="AC2065" s="14"/>
      <c r="AD2065" s="14"/>
      <c r="AE2065" s="14"/>
      <c r="AF2065" s="14"/>
      <c r="AG2065" s="14"/>
      <c r="AH2065" s="14"/>
      <c r="AI2065" s="14"/>
      <c r="AJ2065" s="14"/>
      <c r="AK2065" s="14"/>
      <c r="AL2065" s="14"/>
      <c r="AM2065" s="14"/>
    </row>
    <row r="2066" customFormat="false" ht="13.8" hidden="false" customHeight="false" outlineLevel="0" collapsed="false">
      <c r="AA2066" s="7" t="n">
        <f aca="false">AA2065+1</f>
        <v>42972</v>
      </c>
      <c r="AB2066" s="14"/>
      <c r="AC2066" s="14"/>
      <c r="AD2066" s="14"/>
      <c r="AE2066" s="14"/>
      <c r="AF2066" s="14"/>
      <c r="AG2066" s="14"/>
      <c r="AH2066" s="14"/>
      <c r="AI2066" s="14"/>
      <c r="AJ2066" s="14"/>
      <c r="AK2066" s="14"/>
      <c r="AL2066" s="14"/>
      <c r="AM2066" s="14"/>
    </row>
    <row r="2067" customFormat="false" ht="13.8" hidden="false" customHeight="false" outlineLevel="0" collapsed="false">
      <c r="AA2067" s="7" t="n">
        <f aca="false">AA2066+1</f>
        <v>42973</v>
      </c>
      <c r="AB2067" s="14"/>
      <c r="AC2067" s="14"/>
      <c r="AD2067" s="14"/>
      <c r="AE2067" s="14"/>
      <c r="AF2067" s="14"/>
      <c r="AG2067" s="14"/>
      <c r="AH2067" s="14"/>
      <c r="AI2067" s="14"/>
      <c r="AJ2067" s="14"/>
      <c r="AK2067" s="14"/>
      <c r="AL2067" s="14"/>
      <c r="AM2067" s="14"/>
    </row>
    <row r="2068" customFormat="false" ht="13.8" hidden="false" customHeight="false" outlineLevel="0" collapsed="false">
      <c r="AA2068" s="7" t="n">
        <f aca="false">AA2067+1</f>
        <v>42974</v>
      </c>
      <c r="AB2068" s="14"/>
      <c r="AC2068" s="14"/>
      <c r="AD2068" s="14"/>
      <c r="AE2068" s="14"/>
      <c r="AF2068" s="14"/>
      <c r="AG2068" s="14"/>
      <c r="AH2068" s="14"/>
      <c r="AI2068" s="14"/>
      <c r="AJ2068" s="14"/>
      <c r="AK2068" s="14"/>
      <c r="AL2068" s="14"/>
      <c r="AM2068" s="14"/>
    </row>
    <row r="2069" customFormat="false" ht="13.8" hidden="false" customHeight="false" outlineLevel="0" collapsed="false">
      <c r="AA2069" s="7" t="n">
        <f aca="false">AA2068+1</f>
        <v>42975</v>
      </c>
      <c r="AB2069" s="14"/>
      <c r="AC2069" s="14"/>
      <c r="AD2069" s="14"/>
      <c r="AE2069" s="14"/>
      <c r="AF2069" s="14"/>
      <c r="AG2069" s="14"/>
      <c r="AH2069" s="14"/>
      <c r="AI2069" s="14"/>
      <c r="AJ2069" s="14"/>
      <c r="AK2069" s="14"/>
      <c r="AL2069" s="14"/>
      <c r="AM2069" s="14"/>
    </row>
    <row r="2070" customFormat="false" ht="13.8" hidden="false" customHeight="false" outlineLevel="0" collapsed="false">
      <c r="AA2070" s="7" t="n">
        <f aca="false">AA2069+1</f>
        <v>42976</v>
      </c>
      <c r="AB2070" s="14"/>
      <c r="AC2070" s="14"/>
      <c r="AD2070" s="14"/>
      <c r="AE2070" s="14"/>
      <c r="AF2070" s="14"/>
      <c r="AG2070" s="14"/>
      <c r="AH2070" s="14"/>
      <c r="AI2070" s="14"/>
      <c r="AJ2070" s="14"/>
      <c r="AK2070" s="14"/>
      <c r="AL2070" s="14"/>
      <c r="AM2070" s="14"/>
    </row>
    <row r="2071" customFormat="false" ht="13.8" hidden="false" customHeight="false" outlineLevel="0" collapsed="false">
      <c r="AA2071" s="7" t="n">
        <f aca="false">AA2070+1</f>
        <v>42977</v>
      </c>
      <c r="AB2071" s="14"/>
      <c r="AC2071" s="14"/>
      <c r="AD2071" s="14"/>
      <c r="AE2071" s="14"/>
      <c r="AF2071" s="14"/>
      <c r="AG2071" s="14"/>
      <c r="AH2071" s="14"/>
      <c r="AI2071" s="14"/>
      <c r="AJ2071" s="14"/>
      <c r="AK2071" s="14"/>
      <c r="AL2071" s="14"/>
      <c r="AM2071" s="14"/>
    </row>
    <row r="2072" customFormat="false" ht="13.8" hidden="false" customHeight="false" outlineLevel="0" collapsed="false">
      <c r="AA2072" s="7" t="n">
        <f aca="false">AA2071+1</f>
        <v>42978</v>
      </c>
      <c r="AB2072" s="14"/>
      <c r="AC2072" s="14"/>
      <c r="AD2072" s="14"/>
      <c r="AE2072" s="14"/>
      <c r="AF2072" s="14"/>
      <c r="AG2072" s="14"/>
      <c r="AH2072" s="14"/>
      <c r="AI2072" s="14"/>
      <c r="AJ2072" s="14"/>
      <c r="AK2072" s="14"/>
      <c r="AL2072" s="14"/>
      <c r="AM2072" s="14"/>
    </row>
    <row r="2073" customFormat="false" ht="13.8" hidden="false" customHeight="false" outlineLevel="0" collapsed="false">
      <c r="AA2073" s="7" t="n">
        <f aca="false">AA2072+1</f>
        <v>42979</v>
      </c>
      <c r="AB2073" s="14"/>
      <c r="AC2073" s="14"/>
      <c r="AD2073" s="14"/>
      <c r="AE2073" s="14"/>
      <c r="AF2073" s="14"/>
      <c r="AG2073" s="14"/>
      <c r="AH2073" s="14"/>
      <c r="AI2073" s="14"/>
      <c r="AJ2073" s="14"/>
      <c r="AK2073" s="14"/>
      <c r="AL2073" s="14"/>
      <c r="AM2073" s="14"/>
    </row>
    <row r="2074" customFormat="false" ht="13.8" hidden="false" customHeight="false" outlineLevel="0" collapsed="false">
      <c r="AA2074" s="7" t="n">
        <f aca="false">AA2073+1</f>
        <v>42980</v>
      </c>
      <c r="AB2074" s="14"/>
      <c r="AC2074" s="14"/>
      <c r="AD2074" s="14"/>
      <c r="AE2074" s="14"/>
      <c r="AF2074" s="14"/>
      <c r="AG2074" s="14"/>
      <c r="AH2074" s="14"/>
      <c r="AI2074" s="14"/>
      <c r="AJ2074" s="14"/>
      <c r="AK2074" s="14"/>
      <c r="AL2074" s="14"/>
      <c r="AM2074" s="14"/>
    </row>
    <row r="2075" customFormat="false" ht="13.8" hidden="false" customHeight="false" outlineLevel="0" collapsed="false">
      <c r="AA2075" s="7" t="n">
        <f aca="false">AA2074+1</f>
        <v>42981</v>
      </c>
      <c r="AB2075" s="14"/>
      <c r="AC2075" s="14"/>
      <c r="AD2075" s="14"/>
      <c r="AE2075" s="14"/>
      <c r="AF2075" s="14"/>
      <c r="AG2075" s="14"/>
      <c r="AH2075" s="14"/>
      <c r="AI2075" s="14"/>
      <c r="AJ2075" s="14"/>
      <c r="AK2075" s="14"/>
      <c r="AL2075" s="14"/>
      <c r="AM2075" s="14"/>
    </row>
    <row r="2076" customFormat="false" ht="13.8" hidden="false" customHeight="false" outlineLevel="0" collapsed="false">
      <c r="AA2076" s="7" t="n">
        <f aca="false">AA2075+1</f>
        <v>42982</v>
      </c>
      <c r="AB2076" s="14"/>
      <c r="AC2076" s="14"/>
      <c r="AD2076" s="14"/>
      <c r="AE2076" s="14"/>
      <c r="AF2076" s="14"/>
      <c r="AG2076" s="14"/>
      <c r="AH2076" s="14"/>
      <c r="AI2076" s="14"/>
      <c r="AJ2076" s="14"/>
      <c r="AK2076" s="14"/>
      <c r="AL2076" s="14"/>
      <c r="AM2076" s="14"/>
    </row>
    <row r="2077" customFormat="false" ht="13.8" hidden="false" customHeight="false" outlineLevel="0" collapsed="false">
      <c r="AA2077" s="7" t="n">
        <f aca="false">AA2076+1</f>
        <v>42983</v>
      </c>
      <c r="AB2077" s="14"/>
      <c r="AC2077" s="14"/>
      <c r="AD2077" s="14"/>
      <c r="AE2077" s="14"/>
      <c r="AF2077" s="14"/>
      <c r="AG2077" s="14"/>
      <c r="AH2077" s="14"/>
      <c r="AI2077" s="14"/>
      <c r="AJ2077" s="14"/>
      <c r="AK2077" s="14"/>
      <c r="AL2077" s="14"/>
      <c r="AM2077" s="14"/>
    </row>
    <row r="2078" customFormat="false" ht="13.8" hidden="false" customHeight="false" outlineLevel="0" collapsed="false">
      <c r="AA2078" s="7" t="n">
        <f aca="false">AA2077+1</f>
        <v>42984</v>
      </c>
      <c r="AB2078" s="14"/>
      <c r="AC2078" s="14"/>
      <c r="AD2078" s="14"/>
      <c r="AE2078" s="14"/>
      <c r="AF2078" s="14"/>
      <c r="AG2078" s="14"/>
      <c r="AH2078" s="14"/>
      <c r="AI2078" s="14"/>
      <c r="AJ2078" s="14"/>
      <c r="AK2078" s="14"/>
      <c r="AL2078" s="14"/>
      <c r="AM2078" s="14"/>
    </row>
    <row r="2079" customFormat="false" ht="13.8" hidden="false" customHeight="false" outlineLevel="0" collapsed="false">
      <c r="AA2079" s="7" t="n">
        <f aca="false">AA2078+1</f>
        <v>42985</v>
      </c>
      <c r="AB2079" s="14"/>
      <c r="AC2079" s="14"/>
      <c r="AD2079" s="14"/>
      <c r="AE2079" s="14"/>
      <c r="AF2079" s="14"/>
      <c r="AG2079" s="14"/>
      <c r="AH2079" s="14"/>
      <c r="AI2079" s="14"/>
      <c r="AJ2079" s="14"/>
      <c r="AK2079" s="14"/>
      <c r="AL2079" s="14"/>
      <c r="AM2079" s="14"/>
    </row>
    <row r="2080" customFormat="false" ht="13.8" hidden="false" customHeight="false" outlineLevel="0" collapsed="false">
      <c r="AA2080" s="7" t="n">
        <f aca="false">AA2079+1</f>
        <v>42986</v>
      </c>
      <c r="AB2080" s="14"/>
      <c r="AC2080" s="14"/>
      <c r="AD2080" s="14"/>
      <c r="AE2080" s="14"/>
      <c r="AF2080" s="14"/>
      <c r="AG2080" s="14"/>
      <c r="AH2080" s="14"/>
      <c r="AI2080" s="14"/>
      <c r="AJ2080" s="14"/>
      <c r="AK2080" s="14"/>
      <c r="AL2080" s="14"/>
      <c r="AM2080" s="14"/>
    </row>
    <row r="2081" customFormat="false" ht="13.8" hidden="false" customHeight="false" outlineLevel="0" collapsed="false">
      <c r="AA2081" s="7" t="n">
        <f aca="false">AA2080+1</f>
        <v>42987</v>
      </c>
      <c r="AB2081" s="14"/>
      <c r="AC2081" s="14"/>
      <c r="AD2081" s="14"/>
      <c r="AE2081" s="14"/>
      <c r="AF2081" s="14"/>
      <c r="AG2081" s="14"/>
      <c r="AH2081" s="14"/>
      <c r="AI2081" s="14"/>
      <c r="AJ2081" s="14"/>
      <c r="AK2081" s="14"/>
      <c r="AL2081" s="14"/>
      <c r="AM2081" s="14"/>
    </row>
    <row r="2082" customFormat="false" ht="13.8" hidden="false" customHeight="false" outlineLevel="0" collapsed="false">
      <c r="AA2082" s="7" t="n">
        <f aca="false">AA2081+1</f>
        <v>42988</v>
      </c>
      <c r="AB2082" s="14"/>
      <c r="AC2082" s="14"/>
      <c r="AD2082" s="14"/>
      <c r="AE2082" s="14"/>
      <c r="AF2082" s="14"/>
      <c r="AG2082" s="14"/>
      <c r="AH2082" s="14"/>
      <c r="AI2082" s="14"/>
      <c r="AJ2082" s="14"/>
      <c r="AK2082" s="14"/>
      <c r="AL2082" s="14"/>
      <c r="AM2082" s="14"/>
    </row>
    <row r="2083" customFormat="false" ht="13.8" hidden="false" customHeight="false" outlineLevel="0" collapsed="false">
      <c r="AA2083" s="7" t="n">
        <f aca="false">AA2082+1</f>
        <v>42989</v>
      </c>
      <c r="AB2083" s="14"/>
      <c r="AC2083" s="14"/>
      <c r="AD2083" s="14"/>
      <c r="AE2083" s="14"/>
      <c r="AF2083" s="14"/>
      <c r="AG2083" s="14"/>
      <c r="AH2083" s="14"/>
      <c r="AI2083" s="14"/>
      <c r="AJ2083" s="14"/>
      <c r="AK2083" s="14"/>
      <c r="AL2083" s="14"/>
      <c r="AM2083" s="14"/>
    </row>
    <row r="2084" customFormat="false" ht="13.8" hidden="false" customHeight="false" outlineLevel="0" collapsed="false">
      <c r="AA2084" s="7" t="n">
        <f aca="false">AA2083+1</f>
        <v>42990</v>
      </c>
      <c r="AB2084" s="14"/>
      <c r="AC2084" s="14"/>
      <c r="AD2084" s="14"/>
      <c r="AE2084" s="14"/>
      <c r="AF2084" s="14"/>
      <c r="AG2084" s="14"/>
      <c r="AH2084" s="14"/>
      <c r="AI2084" s="14"/>
      <c r="AJ2084" s="14"/>
      <c r="AK2084" s="14"/>
      <c r="AL2084" s="14"/>
      <c r="AM2084" s="14"/>
    </row>
    <row r="2085" customFormat="false" ht="13.8" hidden="false" customHeight="false" outlineLevel="0" collapsed="false">
      <c r="AA2085" s="7" t="n">
        <f aca="false">AA2084+1</f>
        <v>42991</v>
      </c>
      <c r="AB2085" s="14"/>
      <c r="AC2085" s="14"/>
      <c r="AD2085" s="14"/>
      <c r="AE2085" s="14"/>
      <c r="AF2085" s="14"/>
      <c r="AG2085" s="14"/>
      <c r="AH2085" s="14"/>
      <c r="AI2085" s="14"/>
      <c r="AJ2085" s="14"/>
      <c r="AK2085" s="14"/>
      <c r="AL2085" s="14"/>
      <c r="AM2085" s="14"/>
    </row>
    <row r="2086" customFormat="false" ht="13.8" hidden="false" customHeight="false" outlineLevel="0" collapsed="false">
      <c r="AA2086" s="7" t="n">
        <f aca="false">AA2085+1</f>
        <v>42992</v>
      </c>
      <c r="AB2086" s="14"/>
      <c r="AC2086" s="14"/>
      <c r="AD2086" s="14"/>
      <c r="AE2086" s="14"/>
      <c r="AF2086" s="14"/>
      <c r="AG2086" s="14"/>
      <c r="AH2086" s="14"/>
      <c r="AI2086" s="14"/>
      <c r="AJ2086" s="14"/>
      <c r="AK2086" s="14"/>
      <c r="AL2086" s="14"/>
      <c r="AM2086" s="14"/>
    </row>
    <row r="2087" customFormat="false" ht="13.8" hidden="false" customHeight="false" outlineLevel="0" collapsed="false">
      <c r="AA2087" s="7" t="n">
        <f aca="false">AA2086+1</f>
        <v>42993</v>
      </c>
      <c r="AB2087" s="14"/>
      <c r="AC2087" s="14"/>
      <c r="AD2087" s="14"/>
      <c r="AE2087" s="14"/>
      <c r="AF2087" s="14"/>
      <c r="AG2087" s="14"/>
      <c r="AH2087" s="14"/>
      <c r="AI2087" s="14"/>
      <c r="AJ2087" s="14"/>
      <c r="AK2087" s="14"/>
      <c r="AL2087" s="14"/>
      <c r="AM2087" s="14"/>
    </row>
    <row r="2088" customFormat="false" ht="13.8" hidden="false" customHeight="false" outlineLevel="0" collapsed="false">
      <c r="AA2088" s="7" t="n">
        <f aca="false">AA2087+1</f>
        <v>42994</v>
      </c>
      <c r="AB2088" s="14"/>
      <c r="AC2088" s="14"/>
      <c r="AD2088" s="14"/>
      <c r="AE2088" s="14"/>
      <c r="AF2088" s="14"/>
      <c r="AG2088" s="14"/>
      <c r="AH2088" s="14"/>
      <c r="AI2088" s="14"/>
      <c r="AJ2088" s="14"/>
      <c r="AK2088" s="14"/>
      <c r="AL2088" s="14"/>
      <c r="AM2088" s="14"/>
    </row>
    <row r="2089" customFormat="false" ht="13.8" hidden="false" customHeight="false" outlineLevel="0" collapsed="false">
      <c r="AA2089" s="7" t="n">
        <f aca="false">AA2088+1</f>
        <v>42995</v>
      </c>
      <c r="AB2089" s="14"/>
      <c r="AC2089" s="14"/>
      <c r="AD2089" s="14"/>
      <c r="AE2089" s="14"/>
      <c r="AF2089" s="14"/>
      <c r="AG2089" s="14"/>
      <c r="AH2089" s="14"/>
      <c r="AI2089" s="14"/>
      <c r="AJ2089" s="14"/>
      <c r="AK2089" s="14"/>
      <c r="AL2089" s="14"/>
      <c r="AM2089" s="14"/>
    </row>
    <row r="2090" customFormat="false" ht="13.8" hidden="false" customHeight="false" outlineLevel="0" collapsed="false">
      <c r="AA2090" s="7" t="n">
        <f aca="false">AA2089+1</f>
        <v>42996</v>
      </c>
      <c r="AB2090" s="14"/>
      <c r="AC2090" s="14"/>
      <c r="AD2090" s="14"/>
      <c r="AE2090" s="14"/>
      <c r="AF2090" s="14"/>
      <c r="AG2090" s="14"/>
      <c r="AH2090" s="14"/>
      <c r="AI2090" s="14"/>
      <c r="AJ2090" s="14"/>
      <c r="AK2090" s="14"/>
      <c r="AL2090" s="14"/>
      <c r="AM2090" s="14"/>
    </row>
    <row r="2091" customFormat="false" ht="13.8" hidden="false" customHeight="false" outlineLevel="0" collapsed="false">
      <c r="AA2091" s="7" t="n">
        <f aca="false">AA2090+1</f>
        <v>42997</v>
      </c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</row>
    <row r="2092" customFormat="false" ht="13.8" hidden="false" customHeight="false" outlineLevel="0" collapsed="false">
      <c r="AA2092" s="7" t="n">
        <f aca="false">AA2091+1</f>
        <v>42998</v>
      </c>
      <c r="AB2092" s="14"/>
      <c r="AC2092" s="14"/>
      <c r="AD2092" s="14"/>
      <c r="AE2092" s="14"/>
      <c r="AF2092" s="14"/>
      <c r="AG2092" s="14"/>
      <c r="AH2092" s="14"/>
      <c r="AI2092" s="14"/>
      <c r="AJ2092" s="14"/>
      <c r="AK2092" s="14"/>
      <c r="AL2092" s="14"/>
      <c r="AM2092" s="14"/>
    </row>
    <row r="2093" customFormat="false" ht="13.8" hidden="false" customHeight="false" outlineLevel="0" collapsed="false">
      <c r="AA2093" s="7" t="n">
        <f aca="false">AA2092+1</f>
        <v>42999</v>
      </c>
      <c r="AB2093" s="14"/>
      <c r="AC2093" s="14"/>
      <c r="AD2093" s="14"/>
      <c r="AE2093" s="14"/>
      <c r="AF2093" s="14"/>
      <c r="AG2093" s="14"/>
      <c r="AH2093" s="14"/>
      <c r="AI2093" s="14"/>
      <c r="AJ2093" s="14"/>
      <c r="AK2093" s="14"/>
      <c r="AL2093" s="14"/>
      <c r="AM2093" s="14"/>
    </row>
    <row r="2094" customFormat="false" ht="13.8" hidden="false" customHeight="false" outlineLevel="0" collapsed="false">
      <c r="AA2094" s="7" t="n">
        <f aca="false">AA2093+1</f>
        <v>43000</v>
      </c>
      <c r="AB2094" s="14"/>
      <c r="AC2094" s="14"/>
      <c r="AD2094" s="14"/>
      <c r="AE2094" s="14"/>
      <c r="AF2094" s="14"/>
      <c r="AG2094" s="14"/>
      <c r="AH2094" s="14"/>
      <c r="AI2094" s="14"/>
      <c r="AJ2094" s="14"/>
      <c r="AK2094" s="14"/>
      <c r="AL2094" s="14"/>
      <c r="AM2094" s="14"/>
    </row>
    <row r="2095" customFormat="false" ht="13.8" hidden="false" customHeight="false" outlineLevel="0" collapsed="false">
      <c r="AA2095" s="7" t="n">
        <f aca="false">AA2094+1</f>
        <v>43001</v>
      </c>
      <c r="AB2095" s="14"/>
      <c r="AC2095" s="14"/>
      <c r="AD2095" s="14"/>
      <c r="AE2095" s="14"/>
      <c r="AF2095" s="14"/>
      <c r="AG2095" s="14"/>
      <c r="AH2095" s="14"/>
      <c r="AI2095" s="14"/>
      <c r="AJ2095" s="14"/>
      <c r="AK2095" s="14"/>
      <c r="AL2095" s="14"/>
      <c r="AM2095" s="14"/>
    </row>
    <row r="2096" customFormat="false" ht="13.8" hidden="false" customHeight="false" outlineLevel="0" collapsed="false">
      <c r="AA2096" s="7" t="n">
        <f aca="false">AA2095+1</f>
        <v>43002</v>
      </c>
      <c r="AB2096" s="14"/>
      <c r="AC2096" s="14"/>
      <c r="AD2096" s="14"/>
      <c r="AE2096" s="14"/>
      <c r="AF2096" s="14"/>
      <c r="AG2096" s="14"/>
      <c r="AH2096" s="14"/>
      <c r="AI2096" s="14"/>
      <c r="AJ2096" s="14"/>
      <c r="AK2096" s="14"/>
      <c r="AL2096" s="14"/>
      <c r="AM2096" s="14"/>
    </row>
    <row r="2097" customFormat="false" ht="13.8" hidden="false" customHeight="false" outlineLevel="0" collapsed="false">
      <c r="AA2097" s="7" t="n">
        <f aca="false">AA2096+1</f>
        <v>43003</v>
      </c>
      <c r="AB2097" s="14"/>
      <c r="AC2097" s="14"/>
      <c r="AD2097" s="14"/>
      <c r="AE2097" s="14"/>
      <c r="AF2097" s="14"/>
      <c r="AG2097" s="14"/>
      <c r="AH2097" s="14"/>
      <c r="AI2097" s="14"/>
      <c r="AJ2097" s="14"/>
      <c r="AK2097" s="14"/>
      <c r="AL2097" s="14"/>
      <c r="AM2097" s="14"/>
    </row>
    <row r="2098" customFormat="false" ht="13.8" hidden="false" customHeight="false" outlineLevel="0" collapsed="false">
      <c r="AA2098" s="7" t="n">
        <f aca="false">AA2097+1</f>
        <v>43004</v>
      </c>
      <c r="AB2098" s="14"/>
      <c r="AC2098" s="14"/>
      <c r="AD2098" s="14"/>
      <c r="AE2098" s="14"/>
      <c r="AF2098" s="14"/>
      <c r="AG2098" s="14"/>
      <c r="AH2098" s="14"/>
      <c r="AI2098" s="14"/>
      <c r="AJ2098" s="14"/>
      <c r="AK2098" s="14"/>
      <c r="AL2098" s="14"/>
      <c r="AM2098" s="14"/>
    </row>
    <row r="2099" customFormat="false" ht="13.8" hidden="false" customHeight="false" outlineLevel="0" collapsed="false">
      <c r="AA2099" s="7" t="n">
        <f aca="false">AA2098+1</f>
        <v>43005</v>
      </c>
      <c r="AB2099" s="14"/>
      <c r="AC2099" s="14"/>
      <c r="AD2099" s="14"/>
      <c r="AE2099" s="14"/>
      <c r="AF2099" s="14"/>
      <c r="AG2099" s="14"/>
      <c r="AH2099" s="14"/>
      <c r="AI2099" s="14"/>
      <c r="AJ2099" s="14"/>
      <c r="AK2099" s="14"/>
      <c r="AL2099" s="14"/>
      <c r="AM2099" s="14"/>
    </row>
    <row r="2100" customFormat="false" ht="13.8" hidden="false" customHeight="false" outlineLevel="0" collapsed="false">
      <c r="AA2100" s="7" t="n">
        <f aca="false">AA2099+1</f>
        <v>43006</v>
      </c>
      <c r="AB2100" s="14"/>
      <c r="AC2100" s="14"/>
      <c r="AD2100" s="14"/>
      <c r="AE2100" s="14"/>
      <c r="AF2100" s="14"/>
      <c r="AG2100" s="14"/>
      <c r="AH2100" s="14"/>
      <c r="AI2100" s="14"/>
      <c r="AJ2100" s="14"/>
      <c r="AK2100" s="14"/>
      <c r="AL2100" s="14"/>
      <c r="AM2100" s="14"/>
    </row>
    <row r="2101" customFormat="false" ht="13.8" hidden="false" customHeight="false" outlineLevel="0" collapsed="false">
      <c r="AA2101" s="7" t="n">
        <f aca="false">AA2100+1</f>
        <v>43007</v>
      </c>
      <c r="AB2101" s="14"/>
      <c r="AC2101" s="14"/>
      <c r="AD2101" s="14"/>
      <c r="AE2101" s="14"/>
      <c r="AF2101" s="14"/>
      <c r="AG2101" s="14"/>
      <c r="AH2101" s="14"/>
      <c r="AI2101" s="14"/>
      <c r="AJ2101" s="14"/>
      <c r="AK2101" s="14"/>
      <c r="AL2101" s="14"/>
      <c r="AM2101" s="14"/>
    </row>
    <row r="2102" customFormat="false" ht="13.8" hidden="false" customHeight="false" outlineLevel="0" collapsed="false">
      <c r="AA2102" s="7" t="n">
        <f aca="false">AA2101+1</f>
        <v>43008</v>
      </c>
      <c r="AB2102" s="14"/>
      <c r="AC2102" s="14"/>
      <c r="AD2102" s="14"/>
      <c r="AE2102" s="14"/>
      <c r="AF2102" s="14"/>
      <c r="AG2102" s="14"/>
      <c r="AH2102" s="14"/>
      <c r="AI2102" s="14"/>
      <c r="AJ2102" s="14"/>
      <c r="AK2102" s="14"/>
      <c r="AL2102" s="14"/>
      <c r="AM2102" s="14"/>
    </row>
    <row r="2103" customFormat="false" ht="13.8" hidden="false" customHeight="false" outlineLevel="0" collapsed="false">
      <c r="AA2103" s="7" t="n">
        <f aca="false">AA2102+1</f>
        <v>43009</v>
      </c>
      <c r="AB2103" s="14"/>
      <c r="AC2103" s="14"/>
      <c r="AD2103" s="14"/>
      <c r="AE2103" s="14"/>
      <c r="AF2103" s="14"/>
      <c r="AG2103" s="14"/>
      <c r="AH2103" s="14"/>
      <c r="AI2103" s="14"/>
      <c r="AJ2103" s="14"/>
      <c r="AK2103" s="14"/>
      <c r="AL2103" s="14"/>
      <c r="AM2103" s="14"/>
    </row>
    <row r="2104" customFormat="false" ht="13.8" hidden="false" customHeight="false" outlineLevel="0" collapsed="false">
      <c r="AA2104" s="7" t="n">
        <f aca="false">AA2103+1</f>
        <v>43010</v>
      </c>
      <c r="AB2104" s="14"/>
      <c r="AC2104" s="14"/>
      <c r="AD2104" s="14"/>
      <c r="AE2104" s="14"/>
      <c r="AF2104" s="14"/>
      <c r="AG2104" s="14"/>
      <c r="AH2104" s="14"/>
      <c r="AI2104" s="14"/>
      <c r="AJ2104" s="14"/>
      <c r="AK2104" s="14"/>
      <c r="AL2104" s="14"/>
      <c r="AM2104" s="14"/>
    </row>
    <row r="2105" customFormat="false" ht="13.8" hidden="false" customHeight="false" outlineLevel="0" collapsed="false">
      <c r="AA2105" s="7" t="n">
        <f aca="false">AA2104+1</f>
        <v>43011</v>
      </c>
      <c r="AB2105" s="14"/>
      <c r="AC2105" s="14"/>
      <c r="AD2105" s="14"/>
      <c r="AE2105" s="14"/>
      <c r="AF2105" s="14"/>
      <c r="AG2105" s="14"/>
      <c r="AH2105" s="14"/>
      <c r="AI2105" s="14"/>
      <c r="AJ2105" s="14"/>
      <c r="AK2105" s="14"/>
      <c r="AL2105" s="14"/>
      <c r="AM2105" s="14"/>
    </row>
    <row r="2106" customFormat="false" ht="13.8" hidden="false" customHeight="false" outlineLevel="0" collapsed="false">
      <c r="AA2106" s="7" t="n">
        <f aca="false">AA2105+1</f>
        <v>43012</v>
      </c>
      <c r="AB2106" s="14"/>
      <c r="AC2106" s="14"/>
      <c r="AD2106" s="14"/>
      <c r="AE2106" s="14"/>
      <c r="AF2106" s="14"/>
      <c r="AG2106" s="14"/>
      <c r="AH2106" s="14"/>
      <c r="AI2106" s="14"/>
      <c r="AJ2106" s="14"/>
      <c r="AK2106" s="14"/>
      <c r="AL2106" s="14"/>
      <c r="AM2106" s="14"/>
    </row>
    <row r="2107" customFormat="false" ht="13.8" hidden="false" customHeight="false" outlineLevel="0" collapsed="false">
      <c r="AA2107" s="7" t="n">
        <f aca="false">AA2106+1</f>
        <v>43013</v>
      </c>
      <c r="AB2107" s="14"/>
      <c r="AC2107" s="14"/>
      <c r="AD2107" s="14"/>
      <c r="AE2107" s="14"/>
      <c r="AF2107" s="14"/>
      <c r="AG2107" s="14"/>
      <c r="AH2107" s="14"/>
      <c r="AI2107" s="14"/>
      <c r="AJ2107" s="14"/>
      <c r="AK2107" s="14"/>
      <c r="AL2107" s="14"/>
      <c r="AM2107" s="14"/>
    </row>
    <row r="2108" customFormat="false" ht="13.8" hidden="false" customHeight="false" outlineLevel="0" collapsed="false">
      <c r="AA2108" s="7" t="n">
        <f aca="false">AA2107+1</f>
        <v>43014</v>
      </c>
      <c r="AB2108" s="14"/>
      <c r="AC2108" s="14"/>
      <c r="AD2108" s="14"/>
      <c r="AE2108" s="14"/>
      <c r="AF2108" s="14"/>
      <c r="AG2108" s="14"/>
      <c r="AH2108" s="14"/>
      <c r="AI2108" s="14"/>
      <c r="AJ2108" s="14"/>
      <c r="AK2108" s="14"/>
      <c r="AL2108" s="14"/>
      <c r="AM2108" s="14"/>
    </row>
    <row r="2109" customFormat="false" ht="13.8" hidden="false" customHeight="false" outlineLevel="0" collapsed="false">
      <c r="AA2109" s="7" t="n">
        <f aca="false">AA2108+1</f>
        <v>43015</v>
      </c>
      <c r="AB2109" s="14"/>
      <c r="AC2109" s="14"/>
      <c r="AD2109" s="14"/>
      <c r="AE2109" s="14"/>
      <c r="AF2109" s="14"/>
      <c r="AG2109" s="14"/>
      <c r="AH2109" s="14"/>
      <c r="AI2109" s="14"/>
      <c r="AJ2109" s="14"/>
      <c r="AK2109" s="14"/>
      <c r="AL2109" s="14"/>
      <c r="AM2109" s="14"/>
    </row>
    <row r="2110" customFormat="false" ht="13.8" hidden="false" customHeight="false" outlineLevel="0" collapsed="false">
      <c r="AA2110" s="7" t="n">
        <f aca="false">AA2109+1</f>
        <v>43016</v>
      </c>
      <c r="AB2110" s="14"/>
      <c r="AC2110" s="14"/>
      <c r="AD2110" s="14"/>
      <c r="AE2110" s="14"/>
      <c r="AF2110" s="14"/>
      <c r="AG2110" s="14"/>
      <c r="AH2110" s="14"/>
      <c r="AI2110" s="14"/>
      <c r="AJ2110" s="14"/>
      <c r="AK2110" s="14"/>
      <c r="AL2110" s="14"/>
      <c r="AM2110" s="14"/>
    </row>
    <row r="2111" customFormat="false" ht="13.8" hidden="false" customHeight="false" outlineLevel="0" collapsed="false">
      <c r="AA2111" s="7" t="n">
        <f aca="false">AA2110+1</f>
        <v>43017</v>
      </c>
      <c r="AB2111" s="14"/>
      <c r="AC2111" s="14"/>
      <c r="AD2111" s="14"/>
      <c r="AE2111" s="14"/>
      <c r="AF2111" s="14"/>
      <c r="AG2111" s="14"/>
      <c r="AH2111" s="14"/>
      <c r="AI2111" s="14"/>
      <c r="AJ2111" s="14"/>
      <c r="AK2111" s="14"/>
      <c r="AL2111" s="14"/>
      <c r="AM2111" s="14"/>
    </row>
    <row r="2112" customFormat="false" ht="13.8" hidden="false" customHeight="false" outlineLevel="0" collapsed="false">
      <c r="AA2112" s="7" t="n">
        <f aca="false">AA2111+1</f>
        <v>43018</v>
      </c>
      <c r="AB2112" s="14"/>
      <c r="AC2112" s="14"/>
      <c r="AD2112" s="14"/>
      <c r="AE2112" s="14"/>
      <c r="AF2112" s="14"/>
      <c r="AG2112" s="14"/>
      <c r="AH2112" s="14"/>
      <c r="AI2112" s="14"/>
      <c r="AJ2112" s="14"/>
      <c r="AK2112" s="14"/>
      <c r="AL2112" s="14"/>
      <c r="AM2112" s="14"/>
    </row>
    <row r="2113" customFormat="false" ht="13.8" hidden="false" customHeight="false" outlineLevel="0" collapsed="false">
      <c r="AA2113" s="7" t="n">
        <f aca="false">AA2112+1</f>
        <v>43019</v>
      </c>
      <c r="AB2113" s="14"/>
      <c r="AC2113" s="14"/>
      <c r="AD2113" s="14"/>
      <c r="AE2113" s="14"/>
      <c r="AF2113" s="14"/>
      <c r="AG2113" s="14"/>
      <c r="AH2113" s="14"/>
      <c r="AI2113" s="14"/>
      <c r="AJ2113" s="14"/>
      <c r="AK2113" s="14"/>
      <c r="AL2113" s="14"/>
      <c r="AM2113" s="14"/>
    </row>
    <row r="2114" customFormat="false" ht="13.8" hidden="false" customHeight="false" outlineLevel="0" collapsed="false">
      <c r="AA2114" s="7" t="n">
        <f aca="false">AA2113+1</f>
        <v>43020</v>
      </c>
      <c r="AB2114" s="14"/>
      <c r="AC2114" s="14"/>
      <c r="AD2114" s="14"/>
      <c r="AE2114" s="14"/>
      <c r="AF2114" s="14"/>
      <c r="AG2114" s="14"/>
      <c r="AH2114" s="14"/>
      <c r="AI2114" s="14"/>
      <c r="AJ2114" s="14"/>
      <c r="AK2114" s="14"/>
      <c r="AL2114" s="14"/>
      <c r="AM2114" s="14"/>
    </row>
    <row r="2115" customFormat="false" ht="13.8" hidden="false" customHeight="false" outlineLevel="0" collapsed="false">
      <c r="AA2115" s="7" t="n">
        <f aca="false">AA2114+1</f>
        <v>43021</v>
      </c>
      <c r="AB2115" s="14"/>
      <c r="AC2115" s="14"/>
      <c r="AD2115" s="14"/>
      <c r="AE2115" s="14"/>
      <c r="AF2115" s="14"/>
      <c r="AG2115" s="14"/>
      <c r="AH2115" s="14"/>
      <c r="AI2115" s="14"/>
      <c r="AJ2115" s="14"/>
      <c r="AK2115" s="14"/>
      <c r="AL2115" s="14"/>
      <c r="AM2115" s="14"/>
    </row>
    <row r="2116" customFormat="false" ht="13.8" hidden="false" customHeight="false" outlineLevel="0" collapsed="false">
      <c r="AA2116" s="7" t="n">
        <f aca="false">AA2115+1</f>
        <v>43022</v>
      </c>
      <c r="AB2116" s="14"/>
      <c r="AC2116" s="14"/>
      <c r="AD2116" s="14"/>
      <c r="AE2116" s="14"/>
      <c r="AF2116" s="14"/>
      <c r="AG2116" s="14"/>
      <c r="AH2116" s="14"/>
      <c r="AI2116" s="14"/>
      <c r="AJ2116" s="14"/>
      <c r="AK2116" s="14"/>
      <c r="AL2116" s="14"/>
      <c r="AM2116" s="14"/>
    </row>
    <row r="2117" customFormat="false" ht="13.8" hidden="false" customHeight="false" outlineLevel="0" collapsed="false">
      <c r="AA2117" s="7" t="n">
        <f aca="false">AA2116+1</f>
        <v>43023</v>
      </c>
      <c r="AB2117" s="14"/>
      <c r="AC2117" s="14"/>
      <c r="AD2117" s="14"/>
      <c r="AE2117" s="14"/>
      <c r="AF2117" s="14"/>
      <c r="AG2117" s="14"/>
      <c r="AH2117" s="14"/>
      <c r="AI2117" s="14"/>
      <c r="AJ2117" s="14"/>
      <c r="AK2117" s="14"/>
      <c r="AL2117" s="14"/>
      <c r="AM2117" s="14"/>
    </row>
    <row r="2118" customFormat="false" ht="13.8" hidden="false" customHeight="false" outlineLevel="0" collapsed="false">
      <c r="AA2118" s="7" t="n">
        <f aca="false">AA2117+1</f>
        <v>43024</v>
      </c>
      <c r="AB2118" s="14"/>
      <c r="AC2118" s="14"/>
      <c r="AD2118" s="14"/>
      <c r="AE2118" s="14"/>
      <c r="AF2118" s="14"/>
      <c r="AG2118" s="14"/>
      <c r="AH2118" s="14"/>
      <c r="AI2118" s="14"/>
      <c r="AJ2118" s="14"/>
      <c r="AK2118" s="14"/>
      <c r="AL2118" s="14"/>
      <c r="AM2118" s="14"/>
    </row>
    <row r="2119" customFormat="false" ht="13.8" hidden="false" customHeight="false" outlineLevel="0" collapsed="false">
      <c r="AA2119" s="7" t="n">
        <f aca="false">AA2118+1</f>
        <v>43025</v>
      </c>
      <c r="AB2119" s="14"/>
      <c r="AC2119" s="14"/>
      <c r="AD2119" s="14"/>
      <c r="AE2119" s="14"/>
      <c r="AF2119" s="14"/>
      <c r="AG2119" s="14"/>
      <c r="AH2119" s="14"/>
      <c r="AI2119" s="14"/>
      <c r="AJ2119" s="14"/>
      <c r="AK2119" s="14"/>
      <c r="AL2119" s="14"/>
      <c r="AM2119" s="14"/>
    </row>
    <row r="2120" customFormat="false" ht="13.8" hidden="false" customHeight="false" outlineLevel="0" collapsed="false">
      <c r="AA2120" s="7" t="n">
        <f aca="false">AA2119+1</f>
        <v>43026</v>
      </c>
      <c r="AB2120" s="14"/>
      <c r="AC2120" s="14"/>
      <c r="AD2120" s="14"/>
      <c r="AE2120" s="14"/>
      <c r="AF2120" s="14"/>
      <c r="AG2120" s="14"/>
      <c r="AH2120" s="14"/>
      <c r="AI2120" s="14"/>
      <c r="AJ2120" s="14"/>
      <c r="AK2120" s="14"/>
      <c r="AL2120" s="14"/>
      <c r="AM2120" s="14"/>
    </row>
    <row r="2121" customFormat="false" ht="13.8" hidden="false" customHeight="false" outlineLevel="0" collapsed="false">
      <c r="AA2121" s="7" t="n">
        <f aca="false">AA2120+1</f>
        <v>43027</v>
      </c>
      <c r="AB2121" s="14"/>
      <c r="AC2121" s="14"/>
      <c r="AD2121" s="14"/>
      <c r="AE2121" s="14"/>
      <c r="AF2121" s="14"/>
      <c r="AG2121" s="14"/>
      <c r="AH2121" s="14"/>
      <c r="AI2121" s="14"/>
      <c r="AJ2121" s="14"/>
      <c r="AK2121" s="14"/>
      <c r="AL2121" s="14"/>
      <c r="AM2121" s="14"/>
    </row>
    <row r="2122" customFormat="false" ht="13.8" hidden="false" customHeight="false" outlineLevel="0" collapsed="false">
      <c r="AA2122" s="7" t="n">
        <f aca="false">AA2121+1</f>
        <v>43028</v>
      </c>
      <c r="AB2122" s="14"/>
      <c r="AC2122" s="14"/>
      <c r="AD2122" s="14"/>
      <c r="AE2122" s="14"/>
      <c r="AF2122" s="14"/>
      <c r="AG2122" s="14"/>
      <c r="AH2122" s="14"/>
      <c r="AI2122" s="14"/>
      <c r="AJ2122" s="14"/>
      <c r="AK2122" s="14"/>
      <c r="AL2122" s="14"/>
      <c r="AM2122" s="14"/>
    </row>
    <row r="2123" customFormat="false" ht="13.8" hidden="false" customHeight="false" outlineLevel="0" collapsed="false">
      <c r="AA2123" s="7" t="n">
        <f aca="false">AA2122+1</f>
        <v>43029</v>
      </c>
      <c r="AB2123" s="14"/>
      <c r="AC2123" s="14"/>
      <c r="AD2123" s="14"/>
      <c r="AE2123" s="14"/>
      <c r="AF2123" s="14"/>
      <c r="AG2123" s="14"/>
      <c r="AH2123" s="14"/>
      <c r="AI2123" s="14"/>
      <c r="AJ2123" s="14"/>
      <c r="AK2123" s="14"/>
      <c r="AL2123" s="14"/>
      <c r="AM2123" s="14"/>
    </row>
    <row r="2124" customFormat="false" ht="13.8" hidden="false" customHeight="false" outlineLevel="0" collapsed="false">
      <c r="AA2124" s="7" t="n">
        <f aca="false">AA2123+1</f>
        <v>43030</v>
      </c>
      <c r="AB2124" s="14"/>
      <c r="AC2124" s="14"/>
      <c r="AD2124" s="14"/>
      <c r="AE2124" s="14"/>
      <c r="AF2124" s="14"/>
      <c r="AG2124" s="14"/>
      <c r="AH2124" s="14"/>
      <c r="AI2124" s="14"/>
      <c r="AJ2124" s="14"/>
      <c r="AK2124" s="14"/>
      <c r="AL2124" s="14"/>
      <c r="AM2124" s="14"/>
    </row>
    <row r="2125" customFormat="false" ht="13.8" hidden="false" customHeight="false" outlineLevel="0" collapsed="false">
      <c r="AA2125" s="7" t="n">
        <f aca="false">AA2124+1</f>
        <v>43031</v>
      </c>
      <c r="AB2125" s="14"/>
      <c r="AC2125" s="14"/>
      <c r="AD2125" s="14"/>
      <c r="AE2125" s="14"/>
      <c r="AF2125" s="14"/>
      <c r="AG2125" s="14"/>
      <c r="AH2125" s="14"/>
      <c r="AI2125" s="14"/>
      <c r="AJ2125" s="14"/>
      <c r="AK2125" s="14"/>
      <c r="AL2125" s="14"/>
      <c r="AM2125" s="14"/>
    </row>
    <row r="2126" customFormat="false" ht="13.8" hidden="false" customHeight="false" outlineLevel="0" collapsed="false">
      <c r="AA2126" s="7" t="n">
        <f aca="false">AA2125+1</f>
        <v>43032</v>
      </c>
      <c r="AB2126" s="14"/>
      <c r="AC2126" s="14"/>
      <c r="AD2126" s="14"/>
      <c r="AE2126" s="14"/>
      <c r="AF2126" s="14"/>
      <c r="AG2126" s="14"/>
      <c r="AH2126" s="14"/>
      <c r="AI2126" s="14"/>
      <c r="AJ2126" s="14"/>
      <c r="AK2126" s="14"/>
      <c r="AL2126" s="14"/>
      <c r="AM2126" s="14"/>
    </row>
    <row r="2127" customFormat="false" ht="13.8" hidden="false" customHeight="false" outlineLevel="0" collapsed="false">
      <c r="AA2127" s="7" t="n">
        <f aca="false">AA2126+1</f>
        <v>43033</v>
      </c>
      <c r="AB2127" s="14"/>
      <c r="AC2127" s="14"/>
      <c r="AD2127" s="14"/>
      <c r="AE2127" s="14"/>
      <c r="AF2127" s="14"/>
      <c r="AG2127" s="14"/>
      <c r="AH2127" s="14"/>
      <c r="AI2127" s="14"/>
      <c r="AJ2127" s="14"/>
      <c r="AK2127" s="14"/>
      <c r="AL2127" s="14"/>
      <c r="AM2127" s="14"/>
    </row>
    <row r="2128" customFormat="false" ht="13.8" hidden="false" customHeight="false" outlineLevel="0" collapsed="false">
      <c r="AA2128" s="7" t="n">
        <f aca="false">AA2127+1</f>
        <v>43034</v>
      </c>
      <c r="AB2128" s="14"/>
      <c r="AC2128" s="14"/>
      <c r="AD2128" s="14"/>
      <c r="AE2128" s="14"/>
      <c r="AF2128" s="14"/>
      <c r="AG2128" s="14"/>
      <c r="AH2128" s="14"/>
      <c r="AI2128" s="14"/>
      <c r="AJ2128" s="14"/>
      <c r="AK2128" s="14"/>
      <c r="AL2128" s="14"/>
      <c r="AM2128" s="14"/>
    </row>
    <row r="2129" customFormat="false" ht="13.8" hidden="false" customHeight="false" outlineLevel="0" collapsed="false">
      <c r="AA2129" s="7" t="n">
        <f aca="false">AA2128+1</f>
        <v>43035</v>
      </c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</row>
    <row r="2130" customFormat="false" ht="13.8" hidden="false" customHeight="false" outlineLevel="0" collapsed="false">
      <c r="AA2130" s="7" t="n">
        <f aca="false">AA2129+1</f>
        <v>43036</v>
      </c>
      <c r="AB2130" s="14"/>
      <c r="AC2130" s="14"/>
      <c r="AD2130" s="14"/>
      <c r="AE2130" s="14"/>
      <c r="AF2130" s="14"/>
      <c r="AG2130" s="14"/>
      <c r="AH2130" s="14"/>
      <c r="AI2130" s="14"/>
      <c r="AJ2130" s="14"/>
      <c r="AK2130" s="14"/>
      <c r="AL2130" s="14"/>
      <c r="AM2130" s="14"/>
    </row>
    <row r="2131" customFormat="false" ht="13.8" hidden="false" customHeight="false" outlineLevel="0" collapsed="false">
      <c r="AA2131" s="7" t="n">
        <f aca="false">AA2130+1</f>
        <v>43037</v>
      </c>
      <c r="AB2131" s="14"/>
      <c r="AC2131" s="14"/>
      <c r="AD2131" s="14"/>
      <c r="AE2131" s="14"/>
      <c r="AF2131" s="14"/>
      <c r="AG2131" s="14"/>
      <c r="AH2131" s="14"/>
      <c r="AI2131" s="14"/>
      <c r="AJ2131" s="14"/>
      <c r="AK2131" s="14"/>
      <c r="AL2131" s="14"/>
      <c r="AM2131" s="14"/>
    </row>
    <row r="2132" customFormat="false" ht="13.8" hidden="false" customHeight="false" outlineLevel="0" collapsed="false">
      <c r="AA2132" s="7" t="n">
        <f aca="false">AA2131+1</f>
        <v>43038</v>
      </c>
      <c r="AB2132" s="14"/>
      <c r="AC2132" s="14"/>
      <c r="AD2132" s="14"/>
      <c r="AE2132" s="14"/>
      <c r="AF2132" s="14"/>
      <c r="AG2132" s="14"/>
      <c r="AH2132" s="14"/>
      <c r="AI2132" s="14"/>
      <c r="AJ2132" s="14"/>
      <c r="AK2132" s="14"/>
      <c r="AL2132" s="14"/>
      <c r="AM2132" s="14"/>
    </row>
    <row r="2133" customFormat="false" ht="13.8" hidden="false" customHeight="false" outlineLevel="0" collapsed="false">
      <c r="AA2133" s="7" t="n">
        <f aca="false">AA2132+1</f>
        <v>43039</v>
      </c>
      <c r="AB2133" s="14"/>
      <c r="AC2133" s="14"/>
      <c r="AD2133" s="14"/>
      <c r="AE2133" s="14"/>
      <c r="AF2133" s="14"/>
      <c r="AG2133" s="14"/>
      <c r="AH2133" s="14"/>
      <c r="AI2133" s="14"/>
      <c r="AJ2133" s="14"/>
      <c r="AK2133" s="14"/>
      <c r="AL2133" s="14"/>
      <c r="AM2133" s="14"/>
    </row>
    <row r="2134" customFormat="false" ht="13.8" hidden="false" customHeight="false" outlineLevel="0" collapsed="false">
      <c r="AA2134" s="7" t="n">
        <f aca="false">AA2133+1</f>
        <v>43040</v>
      </c>
      <c r="AB2134" s="14"/>
      <c r="AC2134" s="14"/>
      <c r="AD2134" s="14"/>
      <c r="AE2134" s="14"/>
      <c r="AF2134" s="14"/>
      <c r="AG2134" s="14"/>
      <c r="AH2134" s="14"/>
      <c r="AI2134" s="14"/>
      <c r="AJ2134" s="14"/>
      <c r="AK2134" s="14"/>
      <c r="AL2134" s="14"/>
      <c r="AM2134" s="14"/>
    </row>
    <row r="2135" customFormat="false" ht="13.8" hidden="false" customHeight="false" outlineLevel="0" collapsed="false">
      <c r="AA2135" s="7" t="n">
        <f aca="false">AA2134+1</f>
        <v>43041</v>
      </c>
      <c r="AB2135" s="14"/>
      <c r="AC2135" s="14"/>
      <c r="AD2135" s="14"/>
      <c r="AE2135" s="14"/>
      <c r="AF2135" s="14"/>
      <c r="AG2135" s="14"/>
      <c r="AH2135" s="14"/>
      <c r="AI2135" s="14"/>
      <c r="AJ2135" s="14"/>
      <c r="AK2135" s="14"/>
      <c r="AL2135" s="14"/>
      <c r="AM2135" s="14"/>
    </row>
    <row r="2136" customFormat="false" ht="13.8" hidden="false" customHeight="false" outlineLevel="0" collapsed="false">
      <c r="AA2136" s="7" t="n">
        <f aca="false">AA2135+1</f>
        <v>43042</v>
      </c>
      <c r="AB2136" s="14"/>
      <c r="AC2136" s="14"/>
      <c r="AD2136" s="14"/>
      <c r="AE2136" s="14"/>
      <c r="AF2136" s="14"/>
      <c r="AG2136" s="14"/>
      <c r="AH2136" s="14"/>
      <c r="AI2136" s="14"/>
      <c r="AJ2136" s="14"/>
      <c r="AK2136" s="14"/>
      <c r="AL2136" s="14"/>
      <c r="AM2136" s="14"/>
    </row>
    <row r="2137" customFormat="false" ht="13.8" hidden="false" customHeight="false" outlineLevel="0" collapsed="false">
      <c r="AA2137" s="7" t="n">
        <f aca="false">AA2136+1</f>
        <v>43043</v>
      </c>
      <c r="AB2137" s="14"/>
      <c r="AC2137" s="14"/>
      <c r="AD2137" s="14"/>
      <c r="AE2137" s="14"/>
      <c r="AF2137" s="14"/>
      <c r="AG2137" s="14"/>
      <c r="AH2137" s="14"/>
      <c r="AI2137" s="14"/>
      <c r="AJ2137" s="14"/>
      <c r="AK2137" s="14"/>
      <c r="AL2137" s="14"/>
      <c r="AM2137" s="14"/>
    </row>
    <row r="2138" customFormat="false" ht="13.8" hidden="false" customHeight="false" outlineLevel="0" collapsed="false">
      <c r="AA2138" s="7" t="n">
        <f aca="false">AA2137+1</f>
        <v>43044</v>
      </c>
      <c r="AB2138" s="14"/>
      <c r="AC2138" s="14"/>
      <c r="AD2138" s="14"/>
      <c r="AE2138" s="14"/>
      <c r="AF2138" s="14"/>
      <c r="AG2138" s="14"/>
      <c r="AH2138" s="14"/>
      <c r="AI2138" s="14"/>
      <c r="AJ2138" s="14"/>
      <c r="AK2138" s="14"/>
      <c r="AL2138" s="14"/>
      <c r="AM2138" s="14"/>
    </row>
    <row r="2139" customFormat="false" ht="13.8" hidden="false" customHeight="false" outlineLevel="0" collapsed="false">
      <c r="AA2139" s="7" t="n">
        <f aca="false">AA2138+1</f>
        <v>43045</v>
      </c>
      <c r="AB2139" s="14"/>
      <c r="AC2139" s="14"/>
      <c r="AD2139" s="14"/>
      <c r="AE2139" s="14"/>
      <c r="AF2139" s="14"/>
      <c r="AG2139" s="14"/>
      <c r="AH2139" s="14"/>
      <c r="AI2139" s="14"/>
      <c r="AJ2139" s="14"/>
      <c r="AK2139" s="14"/>
      <c r="AL2139" s="14"/>
      <c r="AM2139" s="14"/>
    </row>
    <row r="2140" customFormat="false" ht="13.8" hidden="false" customHeight="false" outlineLevel="0" collapsed="false">
      <c r="AA2140" s="7" t="n">
        <f aca="false">AA2139+1</f>
        <v>43046</v>
      </c>
      <c r="AB2140" s="14"/>
      <c r="AC2140" s="14"/>
      <c r="AD2140" s="14"/>
      <c r="AE2140" s="14"/>
      <c r="AF2140" s="14"/>
      <c r="AG2140" s="14"/>
      <c r="AH2140" s="14"/>
      <c r="AI2140" s="14"/>
      <c r="AJ2140" s="14"/>
      <c r="AK2140" s="14"/>
      <c r="AL2140" s="14"/>
      <c r="AM2140" s="14"/>
    </row>
    <row r="2141" customFormat="false" ht="13.8" hidden="false" customHeight="false" outlineLevel="0" collapsed="false">
      <c r="AA2141" s="7" t="n">
        <f aca="false">AA2140+1</f>
        <v>43047</v>
      </c>
      <c r="AB2141" s="14"/>
      <c r="AC2141" s="14"/>
      <c r="AD2141" s="14"/>
      <c r="AE2141" s="14"/>
      <c r="AF2141" s="14"/>
      <c r="AG2141" s="14"/>
      <c r="AH2141" s="14"/>
      <c r="AI2141" s="14"/>
      <c r="AJ2141" s="14"/>
      <c r="AK2141" s="14"/>
      <c r="AL2141" s="14"/>
      <c r="AM2141" s="14"/>
    </row>
    <row r="2142" customFormat="false" ht="13.8" hidden="false" customHeight="false" outlineLevel="0" collapsed="false">
      <c r="AA2142" s="7" t="n">
        <f aca="false">AA2141+1</f>
        <v>43048</v>
      </c>
      <c r="AB2142" s="14"/>
      <c r="AC2142" s="14"/>
      <c r="AD2142" s="14"/>
      <c r="AE2142" s="14"/>
      <c r="AF2142" s="14"/>
      <c r="AG2142" s="14"/>
      <c r="AH2142" s="14"/>
      <c r="AI2142" s="14"/>
      <c r="AJ2142" s="14"/>
      <c r="AK2142" s="14"/>
      <c r="AL2142" s="14"/>
      <c r="AM2142" s="14"/>
    </row>
    <row r="2143" customFormat="false" ht="13.8" hidden="false" customHeight="false" outlineLevel="0" collapsed="false">
      <c r="AA2143" s="7" t="n">
        <f aca="false">AA2142+1</f>
        <v>43049</v>
      </c>
      <c r="AB2143" s="14"/>
      <c r="AC2143" s="14"/>
      <c r="AD2143" s="14"/>
      <c r="AE2143" s="14"/>
      <c r="AF2143" s="14"/>
      <c r="AG2143" s="14"/>
      <c r="AH2143" s="14"/>
      <c r="AI2143" s="14"/>
      <c r="AJ2143" s="14"/>
      <c r="AK2143" s="14"/>
      <c r="AL2143" s="14"/>
      <c r="AM2143" s="14"/>
    </row>
    <row r="2144" customFormat="false" ht="13.8" hidden="false" customHeight="false" outlineLevel="0" collapsed="false">
      <c r="AA2144" s="7" t="n">
        <f aca="false">AA2143+1</f>
        <v>43050</v>
      </c>
      <c r="AB2144" s="14"/>
      <c r="AC2144" s="14"/>
      <c r="AD2144" s="14"/>
      <c r="AE2144" s="14"/>
      <c r="AF2144" s="14"/>
      <c r="AG2144" s="14"/>
      <c r="AH2144" s="14"/>
      <c r="AI2144" s="14"/>
      <c r="AJ2144" s="14"/>
      <c r="AK2144" s="14"/>
      <c r="AL2144" s="14"/>
      <c r="AM2144" s="14"/>
    </row>
    <row r="2145" customFormat="false" ht="13.8" hidden="false" customHeight="false" outlineLevel="0" collapsed="false">
      <c r="AA2145" s="7" t="n">
        <f aca="false">AA2144+1</f>
        <v>43051</v>
      </c>
      <c r="AB2145" s="14"/>
      <c r="AC2145" s="14"/>
      <c r="AD2145" s="14"/>
      <c r="AE2145" s="14"/>
      <c r="AF2145" s="14"/>
      <c r="AG2145" s="14"/>
      <c r="AH2145" s="14"/>
      <c r="AI2145" s="14"/>
      <c r="AJ2145" s="14"/>
      <c r="AK2145" s="14"/>
      <c r="AL2145" s="14"/>
      <c r="AM2145" s="14"/>
    </row>
    <row r="2146" customFormat="false" ht="13.8" hidden="false" customHeight="false" outlineLevel="0" collapsed="false">
      <c r="AA2146" s="7" t="n">
        <f aca="false">AA2145+1</f>
        <v>43052</v>
      </c>
      <c r="AB2146" s="14"/>
      <c r="AC2146" s="14"/>
      <c r="AD2146" s="14"/>
      <c r="AE2146" s="14"/>
      <c r="AF2146" s="14"/>
      <c r="AG2146" s="14"/>
      <c r="AH2146" s="14"/>
      <c r="AI2146" s="14"/>
      <c r="AJ2146" s="14"/>
      <c r="AK2146" s="14"/>
      <c r="AL2146" s="14"/>
      <c r="AM2146" s="14"/>
    </row>
    <row r="2147" customFormat="false" ht="13.8" hidden="false" customHeight="false" outlineLevel="0" collapsed="false">
      <c r="AA2147" s="7" t="n">
        <f aca="false">AA2146+1</f>
        <v>43053</v>
      </c>
      <c r="AB2147" s="14"/>
      <c r="AC2147" s="14"/>
      <c r="AD2147" s="14"/>
      <c r="AE2147" s="14"/>
      <c r="AF2147" s="14"/>
      <c r="AG2147" s="14"/>
      <c r="AH2147" s="14"/>
      <c r="AI2147" s="14"/>
      <c r="AJ2147" s="14"/>
      <c r="AK2147" s="14"/>
      <c r="AL2147" s="14"/>
      <c r="AM2147" s="14"/>
    </row>
    <row r="2148" customFormat="false" ht="13.8" hidden="false" customHeight="false" outlineLevel="0" collapsed="false">
      <c r="AA2148" s="7" t="n">
        <f aca="false">AA2147+1</f>
        <v>43054</v>
      </c>
      <c r="AB2148" s="14"/>
      <c r="AC2148" s="14"/>
      <c r="AD2148" s="14"/>
      <c r="AE2148" s="14"/>
      <c r="AF2148" s="14"/>
      <c r="AG2148" s="14"/>
      <c r="AH2148" s="14"/>
      <c r="AI2148" s="14"/>
      <c r="AJ2148" s="14"/>
      <c r="AK2148" s="14"/>
      <c r="AL2148" s="14"/>
      <c r="AM2148" s="14"/>
    </row>
    <row r="2149" customFormat="false" ht="13.8" hidden="false" customHeight="false" outlineLevel="0" collapsed="false">
      <c r="AA2149" s="7" t="n">
        <f aca="false">AA2148+1</f>
        <v>43055</v>
      </c>
      <c r="AB2149" s="14"/>
      <c r="AC2149" s="14"/>
      <c r="AD2149" s="14"/>
      <c r="AE2149" s="14"/>
      <c r="AF2149" s="14"/>
      <c r="AG2149" s="14"/>
      <c r="AH2149" s="14"/>
      <c r="AI2149" s="14"/>
      <c r="AJ2149" s="14"/>
      <c r="AK2149" s="14"/>
      <c r="AL2149" s="14"/>
      <c r="AM2149" s="14"/>
    </row>
    <row r="2150" customFormat="false" ht="13.8" hidden="false" customHeight="false" outlineLevel="0" collapsed="false">
      <c r="AA2150" s="7" t="n">
        <f aca="false">AA2149+1</f>
        <v>43056</v>
      </c>
      <c r="AB2150" s="14"/>
      <c r="AC2150" s="14"/>
      <c r="AD2150" s="14"/>
      <c r="AE2150" s="14"/>
      <c r="AF2150" s="14"/>
      <c r="AG2150" s="14"/>
      <c r="AH2150" s="14"/>
      <c r="AI2150" s="14"/>
      <c r="AJ2150" s="14"/>
      <c r="AK2150" s="14"/>
      <c r="AL2150" s="14"/>
      <c r="AM2150" s="14"/>
    </row>
    <row r="2151" customFormat="false" ht="13.8" hidden="false" customHeight="false" outlineLevel="0" collapsed="false">
      <c r="AA2151" s="7" t="n">
        <f aca="false">AA2150+1</f>
        <v>43057</v>
      </c>
      <c r="AB2151" s="14"/>
      <c r="AC2151" s="14"/>
      <c r="AD2151" s="14"/>
      <c r="AE2151" s="14"/>
      <c r="AF2151" s="14"/>
      <c r="AG2151" s="14"/>
      <c r="AH2151" s="14"/>
      <c r="AI2151" s="14"/>
      <c r="AJ2151" s="14"/>
      <c r="AK2151" s="14"/>
      <c r="AL2151" s="14"/>
      <c r="AM2151" s="14"/>
    </row>
    <row r="2152" customFormat="false" ht="13.8" hidden="false" customHeight="false" outlineLevel="0" collapsed="false">
      <c r="AA2152" s="7" t="n">
        <f aca="false">AA2151+1</f>
        <v>43058</v>
      </c>
      <c r="AB2152" s="14"/>
      <c r="AC2152" s="14"/>
      <c r="AD2152" s="14"/>
      <c r="AE2152" s="14"/>
      <c r="AF2152" s="14"/>
      <c r="AG2152" s="14"/>
      <c r="AH2152" s="14"/>
      <c r="AI2152" s="14"/>
      <c r="AJ2152" s="14"/>
      <c r="AK2152" s="14"/>
      <c r="AL2152" s="14"/>
      <c r="AM2152" s="14"/>
    </row>
    <row r="2153" customFormat="false" ht="13.8" hidden="false" customHeight="false" outlineLevel="0" collapsed="false">
      <c r="AA2153" s="7" t="n">
        <f aca="false">AA2152+1</f>
        <v>43059</v>
      </c>
      <c r="AB2153" s="14"/>
      <c r="AC2153" s="14"/>
      <c r="AD2153" s="14"/>
      <c r="AE2153" s="14"/>
      <c r="AF2153" s="14"/>
      <c r="AG2153" s="14"/>
      <c r="AH2153" s="14"/>
      <c r="AI2153" s="14"/>
      <c r="AJ2153" s="14"/>
      <c r="AK2153" s="14"/>
      <c r="AL2153" s="14"/>
      <c r="AM2153" s="14"/>
    </row>
    <row r="2154" customFormat="false" ht="13.8" hidden="false" customHeight="false" outlineLevel="0" collapsed="false">
      <c r="AA2154" s="7" t="n">
        <f aca="false">AA2153+1</f>
        <v>43060</v>
      </c>
      <c r="AB2154" s="14"/>
      <c r="AC2154" s="14"/>
      <c r="AD2154" s="14"/>
      <c r="AE2154" s="14"/>
      <c r="AF2154" s="14"/>
      <c r="AG2154" s="14"/>
      <c r="AH2154" s="14"/>
      <c r="AI2154" s="14"/>
      <c r="AJ2154" s="14"/>
      <c r="AK2154" s="14"/>
      <c r="AL2154" s="14"/>
      <c r="AM2154" s="14"/>
    </row>
    <row r="2155" customFormat="false" ht="13.8" hidden="false" customHeight="false" outlineLevel="0" collapsed="false">
      <c r="AA2155" s="7" t="n">
        <f aca="false">AA2154+1</f>
        <v>43061</v>
      </c>
      <c r="AB2155" s="14"/>
      <c r="AC2155" s="14"/>
      <c r="AD2155" s="14"/>
      <c r="AE2155" s="14"/>
      <c r="AF2155" s="14"/>
      <c r="AG2155" s="14"/>
      <c r="AH2155" s="14"/>
      <c r="AI2155" s="14"/>
      <c r="AJ2155" s="14"/>
      <c r="AK2155" s="14"/>
      <c r="AL2155" s="14"/>
      <c r="AM2155" s="14"/>
    </row>
    <row r="2156" customFormat="false" ht="13.8" hidden="false" customHeight="false" outlineLevel="0" collapsed="false">
      <c r="AA2156" s="7" t="n">
        <f aca="false">AA2155+1</f>
        <v>43062</v>
      </c>
      <c r="AB2156" s="14"/>
      <c r="AC2156" s="14"/>
      <c r="AD2156" s="14"/>
      <c r="AE2156" s="14"/>
      <c r="AF2156" s="14"/>
      <c r="AG2156" s="14"/>
      <c r="AH2156" s="14"/>
      <c r="AI2156" s="14"/>
      <c r="AJ2156" s="14"/>
      <c r="AK2156" s="14"/>
      <c r="AL2156" s="14"/>
      <c r="AM2156" s="14"/>
    </row>
    <row r="2157" customFormat="false" ht="13.8" hidden="false" customHeight="false" outlineLevel="0" collapsed="false">
      <c r="AA2157" s="7" t="n">
        <f aca="false">AA2156+1</f>
        <v>43063</v>
      </c>
      <c r="AB2157" s="14"/>
      <c r="AC2157" s="14"/>
      <c r="AD2157" s="14"/>
      <c r="AE2157" s="14"/>
      <c r="AF2157" s="14"/>
      <c r="AG2157" s="14"/>
      <c r="AH2157" s="14"/>
      <c r="AI2157" s="14"/>
      <c r="AJ2157" s="14"/>
      <c r="AK2157" s="14"/>
      <c r="AL2157" s="14"/>
      <c r="AM2157" s="14"/>
    </row>
    <row r="2158" customFormat="false" ht="13.8" hidden="false" customHeight="false" outlineLevel="0" collapsed="false">
      <c r="AA2158" s="7" t="n">
        <f aca="false">AA2157+1</f>
        <v>43064</v>
      </c>
      <c r="AB2158" s="14"/>
      <c r="AC2158" s="14"/>
      <c r="AD2158" s="14"/>
      <c r="AE2158" s="14"/>
      <c r="AF2158" s="14"/>
      <c r="AG2158" s="14"/>
      <c r="AH2158" s="14"/>
      <c r="AI2158" s="14"/>
      <c r="AJ2158" s="14"/>
      <c r="AK2158" s="14"/>
      <c r="AL2158" s="14"/>
      <c r="AM2158" s="14"/>
    </row>
    <row r="2159" customFormat="false" ht="13.8" hidden="false" customHeight="false" outlineLevel="0" collapsed="false">
      <c r="AA2159" s="7" t="n">
        <f aca="false">AA2158+1</f>
        <v>43065</v>
      </c>
      <c r="AB2159" s="14"/>
      <c r="AC2159" s="14"/>
      <c r="AD2159" s="14"/>
      <c r="AE2159" s="14"/>
      <c r="AF2159" s="14"/>
      <c r="AG2159" s="14"/>
      <c r="AH2159" s="14"/>
      <c r="AI2159" s="14"/>
      <c r="AJ2159" s="14"/>
      <c r="AK2159" s="14"/>
      <c r="AL2159" s="14"/>
      <c r="AM2159" s="14"/>
    </row>
    <row r="2160" customFormat="false" ht="13.8" hidden="false" customHeight="false" outlineLevel="0" collapsed="false">
      <c r="AA2160" s="7" t="n">
        <f aca="false">AA2159+1</f>
        <v>43066</v>
      </c>
      <c r="AB2160" s="14"/>
      <c r="AC2160" s="14"/>
      <c r="AD2160" s="14"/>
      <c r="AE2160" s="14"/>
      <c r="AF2160" s="14"/>
      <c r="AG2160" s="14"/>
      <c r="AH2160" s="14"/>
      <c r="AI2160" s="14"/>
      <c r="AJ2160" s="14"/>
      <c r="AK2160" s="14"/>
      <c r="AL2160" s="14"/>
      <c r="AM2160" s="14"/>
    </row>
    <row r="2161" customFormat="false" ht="13.8" hidden="false" customHeight="false" outlineLevel="0" collapsed="false">
      <c r="AA2161" s="7" t="n">
        <f aca="false">AA2160+1</f>
        <v>43067</v>
      </c>
      <c r="AB2161" s="14"/>
      <c r="AC2161" s="14"/>
      <c r="AD2161" s="14"/>
      <c r="AE2161" s="14"/>
      <c r="AF2161" s="14"/>
      <c r="AG2161" s="14"/>
      <c r="AH2161" s="14"/>
      <c r="AI2161" s="14"/>
      <c r="AJ2161" s="14"/>
      <c r="AK2161" s="14"/>
      <c r="AL2161" s="14"/>
      <c r="AM2161" s="14"/>
    </row>
    <row r="2162" customFormat="false" ht="13.8" hidden="false" customHeight="false" outlineLevel="0" collapsed="false">
      <c r="AA2162" s="7" t="n">
        <f aca="false">AA2161+1</f>
        <v>43068</v>
      </c>
      <c r="AB2162" s="14"/>
      <c r="AC2162" s="14"/>
      <c r="AD2162" s="14"/>
      <c r="AE2162" s="14"/>
      <c r="AF2162" s="14"/>
      <c r="AG2162" s="14"/>
      <c r="AH2162" s="14"/>
      <c r="AI2162" s="14"/>
      <c r="AJ2162" s="14"/>
      <c r="AK2162" s="14"/>
      <c r="AL2162" s="14"/>
      <c r="AM2162" s="14"/>
    </row>
    <row r="2163" customFormat="false" ht="13.8" hidden="false" customHeight="false" outlineLevel="0" collapsed="false">
      <c r="AA2163" s="7" t="n">
        <f aca="false">AA2162+1</f>
        <v>43069</v>
      </c>
      <c r="AB2163" s="14"/>
      <c r="AC2163" s="14"/>
      <c r="AD2163" s="14"/>
      <c r="AE2163" s="14"/>
      <c r="AF2163" s="14"/>
      <c r="AG2163" s="14"/>
      <c r="AH2163" s="14"/>
      <c r="AI2163" s="14"/>
      <c r="AJ2163" s="14"/>
      <c r="AK2163" s="14"/>
      <c r="AL2163" s="14"/>
      <c r="AM2163" s="14"/>
    </row>
    <row r="2164" customFormat="false" ht="13.8" hidden="false" customHeight="false" outlineLevel="0" collapsed="false">
      <c r="AA2164" s="7" t="n">
        <f aca="false">AA2163+1</f>
        <v>43070</v>
      </c>
      <c r="AB2164" s="14"/>
      <c r="AC2164" s="14"/>
      <c r="AD2164" s="14"/>
      <c r="AE2164" s="14"/>
      <c r="AF2164" s="14"/>
      <c r="AG2164" s="14"/>
      <c r="AH2164" s="14"/>
      <c r="AI2164" s="14"/>
      <c r="AJ2164" s="14"/>
      <c r="AK2164" s="14"/>
      <c r="AL2164" s="14"/>
      <c r="AM2164" s="14"/>
    </row>
    <row r="2165" customFormat="false" ht="13.8" hidden="false" customHeight="false" outlineLevel="0" collapsed="false">
      <c r="AA2165" s="7" t="n">
        <f aca="false">AA2164+1</f>
        <v>43071</v>
      </c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</row>
    <row r="2166" customFormat="false" ht="13.8" hidden="false" customHeight="false" outlineLevel="0" collapsed="false">
      <c r="AA2166" s="7" t="n">
        <f aca="false">AA2165+1</f>
        <v>43072</v>
      </c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</row>
    <row r="2167" customFormat="false" ht="13.8" hidden="false" customHeight="false" outlineLevel="0" collapsed="false">
      <c r="AA2167" s="7" t="n">
        <f aca="false">AA2166+1</f>
        <v>43073</v>
      </c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</row>
    <row r="2168" customFormat="false" ht="13.8" hidden="false" customHeight="false" outlineLevel="0" collapsed="false">
      <c r="AA2168" s="7" t="n">
        <f aca="false">AA2167+1</f>
        <v>43074</v>
      </c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</row>
    <row r="2169" customFormat="false" ht="13.8" hidden="false" customHeight="false" outlineLevel="0" collapsed="false">
      <c r="AA2169" s="7" t="n">
        <f aca="false">AA2168+1</f>
        <v>43075</v>
      </c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</row>
    <row r="2170" customFormat="false" ht="13.8" hidden="false" customHeight="false" outlineLevel="0" collapsed="false">
      <c r="AA2170" s="7" t="n">
        <f aca="false">AA2169+1</f>
        <v>43076</v>
      </c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</row>
    <row r="2171" customFormat="false" ht="13.8" hidden="false" customHeight="false" outlineLevel="0" collapsed="false">
      <c r="AA2171" s="7" t="n">
        <f aca="false">AA2170+1</f>
        <v>43077</v>
      </c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</row>
    <row r="2172" customFormat="false" ht="13.8" hidden="false" customHeight="false" outlineLevel="0" collapsed="false">
      <c r="AA2172" s="7" t="n">
        <f aca="false">AA2171+1</f>
        <v>43078</v>
      </c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</row>
    <row r="2173" customFormat="false" ht="13.8" hidden="false" customHeight="false" outlineLevel="0" collapsed="false">
      <c r="AA2173" s="7" t="n">
        <f aca="false">AA2172+1</f>
        <v>43079</v>
      </c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</row>
    <row r="2174" customFormat="false" ht="13.8" hidden="false" customHeight="false" outlineLevel="0" collapsed="false">
      <c r="AA2174" s="7" t="n">
        <f aca="false">AA2173+1</f>
        <v>43080</v>
      </c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</row>
    <row r="2175" customFormat="false" ht="13.8" hidden="false" customHeight="false" outlineLevel="0" collapsed="false">
      <c r="AA2175" s="7" t="n">
        <f aca="false">AA2174+1</f>
        <v>43081</v>
      </c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</row>
    <row r="2176" customFormat="false" ht="13.8" hidden="false" customHeight="false" outlineLevel="0" collapsed="false">
      <c r="AA2176" s="7" t="n">
        <f aca="false">AA2175+1</f>
        <v>43082</v>
      </c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</row>
    <row r="2177" customFormat="false" ht="13.8" hidden="false" customHeight="false" outlineLevel="0" collapsed="false">
      <c r="AA2177" s="7" t="n">
        <f aca="false">AA2176+1</f>
        <v>43083</v>
      </c>
      <c r="AB2177" s="14"/>
      <c r="AC2177" s="14"/>
      <c r="AD2177" s="14"/>
      <c r="AE2177" s="14"/>
      <c r="AF2177" s="14"/>
      <c r="AG2177" s="14"/>
      <c r="AH2177" s="14"/>
      <c r="AI2177" s="14"/>
      <c r="AJ2177" s="14"/>
      <c r="AK2177" s="14"/>
      <c r="AL2177" s="14"/>
      <c r="AM2177" s="14"/>
    </row>
    <row r="2178" customFormat="false" ht="13.8" hidden="false" customHeight="false" outlineLevel="0" collapsed="false">
      <c r="AA2178" s="7" t="n">
        <f aca="false">AA2177+1</f>
        <v>43084</v>
      </c>
      <c r="AB2178" s="14"/>
      <c r="AC2178" s="14"/>
      <c r="AD2178" s="14"/>
      <c r="AE2178" s="14"/>
      <c r="AF2178" s="14"/>
      <c r="AG2178" s="14"/>
      <c r="AH2178" s="14"/>
      <c r="AI2178" s="14"/>
      <c r="AJ2178" s="14"/>
      <c r="AK2178" s="14"/>
      <c r="AL2178" s="14"/>
      <c r="AM2178" s="14"/>
    </row>
    <row r="2179" customFormat="false" ht="13.8" hidden="false" customHeight="false" outlineLevel="0" collapsed="false">
      <c r="AA2179" s="7" t="n">
        <f aca="false">AA2178+1</f>
        <v>43085</v>
      </c>
      <c r="AB2179" s="14"/>
      <c r="AC2179" s="14"/>
      <c r="AD2179" s="14"/>
      <c r="AE2179" s="14"/>
      <c r="AF2179" s="14"/>
      <c r="AG2179" s="14"/>
      <c r="AH2179" s="14"/>
      <c r="AI2179" s="14"/>
      <c r="AJ2179" s="14"/>
      <c r="AK2179" s="14"/>
      <c r="AL2179" s="14"/>
      <c r="AM2179" s="14"/>
    </row>
    <row r="2180" customFormat="false" ht="13.8" hidden="false" customHeight="false" outlineLevel="0" collapsed="false">
      <c r="AA2180" s="7" t="n">
        <f aca="false">AA2179+1</f>
        <v>43086</v>
      </c>
      <c r="AB2180" s="14"/>
      <c r="AC2180" s="14"/>
      <c r="AD2180" s="14"/>
      <c r="AE2180" s="14"/>
      <c r="AF2180" s="14"/>
      <c r="AG2180" s="14"/>
      <c r="AH2180" s="14"/>
      <c r="AI2180" s="14"/>
      <c r="AJ2180" s="14"/>
      <c r="AK2180" s="14"/>
      <c r="AL2180" s="14"/>
      <c r="AM2180" s="14"/>
    </row>
    <row r="2181" customFormat="false" ht="13.8" hidden="false" customHeight="false" outlineLevel="0" collapsed="false">
      <c r="AA2181" s="7" t="n">
        <f aca="false">AA2180+1</f>
        <v>43087</v>
      </c>
      <c r="AB2181" s="14"/>
      <c r="AC2181" s="14"/>
      <c r="AD2181" s="14"/>
      <c r="AE2181" s="14"/>
      <c r="AF2181" s="14"/>
      <c r="AG2181" s="14"/>
      <c r="AH2181" s="14"/>
      <c r="AI2181" s="14"/>
      <c r="AJ2181" s="14"/>
      <c r="AK2181" s="14"/>
      <c r="AL2181" s="14"/>
      <c r="AM2181" s="14"/>
    </row>
    <row r="2182" customFormat="false" ht="13.8" hidden="false" customHeight="false" outlineLevel="0" collapsed="false">
      <c r="AA2182" s="7" t="n">
        <f aca="false">AA2181+1</f>
        <v>43088</v>
      </c>
      <c r="AB2182" s="14"/>
      <c r="AC2182" s="14"/>
      <c r="AD2182" s="14"/>
      <c r="AE2182" s="14"/>
      <c r="AF2182" s="14"/>
      <c r="AG2182" s="14"/>
      <c r="AH2182" s="14"/>
      <c r="AI2182" s="14"/>
      <c r="AJ2182" s="14"/>
      <c r="AK2182" s="14"/>
      <c r="AL2182" s="14"/>
      <c r="AM2182" s="14"/>
    </row>
    <row r="2183" customFormat="false" ht="13.8" hidden="false" customHeight="false" outlineLevel="0" collapsed="false">
      <c r="AA2183" s="7" t="n">
        <f aca="false">AA2182+1</f>
        <v>43089</v>
      </c>
      <c r="AB2183" s="14"/>
      <c r="AC2183" s="14"/>
      <c r="AD2183" s="14"/>
      <c r="AE2183" s="14"/>
      <c r="AF2183" s="14"/>
      <c r="AG2183" s="14"/>
      <c r="AH2183" s="14"/>
      <c r="AI2183" s="14"/>
      <c r="AJ2183" s="14"/>
      <c r="AK2183" s="14"/>
      <c r="AL2183" s="14"/>
      <c r="AM2183" s="14"/>
    </row>
    <row r="2184" customFormat="false" ht="13.8" hidden="false" customHeight="false" outlineLevel="0" collapsed="false">
      <c r="AA2184" s="7" t="n">
        <f aca="false">AA2183+1</f>
        <v>43090</v>
      </c>
      <c r="AB2184" s="14"/>
      <c r="AC2184" s="14"/>
      <c r="AD2184" s="14"/>
      <c r="AE2184" s="14"/>
      <c r="AF2184" s="14"/>
      <c r="AG2184" s="14"/>
      <c r="AH2184" s="14"/>
      <c r="AI2184" s="14"/>
      <c r="AJ2184" s="14"/>
      <c r="AK2184" s="14"/>
      <c r="AL2184" s="14"/>
      <c r="AM2184" s="14"/>
    </row>
    <row r="2185" customFormat="false" ht="13.8" hidden="false" customHeight="false" outlineLevel="0" collapsed="false">
      <c r="AA2185" s="7" t="n">
        <f aca="false">AA2184+1</f>
        <v>43091</v>
      </c>
      <c r="AB2185" s="14"/>
      <c r="AC2185" s="14"/>
      <c r="AD2185" s="14"/>
      <c r="AE2185" s="14"/>
      <c r="AF2185" s="14"/>
      <c r="AG2185" s="14"/>
      <c r="AH2185" s="14"/>
      <c r="AI2185" s="14"/>
      <c r="AJ2185" s="14"/>
      <c r="AK2185" s="14"/>
      <c r="AL2185" s="14"/>
      <c r="AM2185" s="14"/>
    </row>
    <row r="2186" customFormat="false" ht="13.8" hidden="false" customHeight="false" outlineLevel="0" collapsed="false">
      <c r="AA2186" s="7" t="n">
        <f aca="false">AA2185+1</f>
        <v>43092</v>
      </c>
      <c r="AB2186" s="14"/>
      <c r="AC2186" s="14"/>
      <c r="AD2186" s="14"/>
      <c r="AE2186" s="14"/>
      <c r="AF2186" s="14"/>
      <c r="AG2186" s="14"/>
      <c r="AH2186" s="14"/>
      <c r="AI2186" s="14"/>
      <c r="AJ2186" s="14"/>
      <c r="AK2186" s="14"/>
      <c r="AL2186" s="14"/>
      <c r="AM2186" s="14"/>
    </row>
    <row r="2187" customFormat="false" ht="13.8" hidden="false" customHeight="false" outlineLevel="0" collapsed="false">
      <c r="AA2187" s="7" t="n">
        <f aca="false">AA2186+1</f>
        <v>43093</v>
      </c>
      <c r="AB2187" s="14"/>
      <c r="AC2187" s="14"/>
      <c r="AD2187" s="14"/>
      <c r="AE2187" s="14"/>
      <c r="AF2187" s="14"/>
      <c r="AG2187" s="14"/>
      <c r="AH2187" s="14"/>
      <c r="AI2187" s="14"/>
      <c r="AJ2187" s="14"/>
      <c r="AK2187" s="14"/>
      <c r="AL2187" s="14"/>
      <c r="AM2187" s="14"/>
    </row>
    <row r="2188" customFormat="false" ht="13.8" hidden="false" customHeight="false" outlineLevel="0" collapsed="false">
      <c r="AA2188" s="7" t="n">
        <f aca="false">AA2187+1</f>
        <v>43094</v>
      </c>
      <c r="AB2188" s="14"/>
      <c r="AC2188" s="14"/>
      <c r="AD2188" s="14"/>
      <c r="AE2188" s="14"/>
      <c r="AF2188" s="14"/>
      <c r="AG2188" s="14"/>
      <c r="AH2188" s="14"/>
      <c r="AI2188" s="14"/>
      <c r="AJ2188" s="14"/>
      <c r="AK2188" s="14"/>
      <c r="AL2188" s="14"/>
      <c r="AM2188" s="14"/>
    </row>
    <row r="2189" customFormat="false" ht="13.8" hidden="false" customHeight="false" outlineLevel="0" collapsed="false">
      <c r="AA2189" s="7" t="n">
        <f aca="false">AA2188+1</f>
        <v>43095</v>
      </c>
      <c r="AB2189" s="14"/>
      <c r="AC2189" s="14"/>
      <c r="AD2189" s="14"/>
      <c r="AE2189" s="14"/>
      <c r="AF2189" s="14"/>
      <c r="AG2189" s="14"/>
      <c r="AH2189" s="14"/>
      <c r="AI2189" s="14"/>
      <c r="AJ2189" s="14"/>
      <c r="AK2189" s="14"/>
      <c r="AL2189" s="14"/>
      <c r="AM2189" s="14"/>
    </row>
    <row r="2190" customFormat="false" ht="13.8" hidden="false" customHeight="false" outlineLevel="0" collapsed="false">
      <c r="AA2190" s="7" t="n">
        <f aca="false">AA2189+1</f>
        <v>43096</v>
      </c>
      <c r="AB2190" s="14"/>
      <c r="AC2190" s="14"/>
      <c r="AD2190" s="14"/>
      <c r="AE2190" s="14"/>
      <c r="AF2190" s="14"/>
      <c r="AG2190" s="14"/>
      <c r="AH2190" s="14"/>
      <c r="AI2190" s="14"/>
      <c r="AJ2190" s="14"/>
      <c r="AK2190" s="14"/>
      <c r="AL2190" s="14"/>
      <c r="AM2190" s="14"/>
    </row>
    <row r="2191" customFormat="false" ht="13.8" hidden="false" customHeight="false" outlineLevel="0" collapsed="false">
      <c r="AA2191" s="7" t="n">
        <f aca="false">AA2190+1</f>
        <v>43097</v>
      </c>
      <c r="AB2191" s="14"/>
      <c r="AC2191" s="14"/>
      <c r="AD2191" s="14"/>
      <c r="AE2191" s="14"/>
      <c r="AF2191" s="14"/>
      <c r="AG2191" s="14"/>
      <c r="AH2191" s="14"/>
      <c r="AI2191" s="14"/>
      <c r="AJ2191" s="14"/>
      <c r="AK2191" s="14"/>
      <c r="AL2191" s="14"/>
      <c r="AM2191" s="14"/>
    </row>
    <row r="2192" customFormat="false" ht="13.8" hidden="false" customHeight="false" outlineLevel="0" collapsed="false">
      <c r="AA2192" s="7" t="n">
        <f aca="false">AA2191+1</f>
        <v>43098</v>
      </c>
      <c r="AB2192" s="14"/>
      <c r="AC2192" s="14"/>
      <c r="AD2192" s="14"/>
      <c r="AE2192" s="14"/>
      <c r="AF2192" s="14"/>
      <c r="AG2192" s="14"/>
      <c r="AH2192" s="14"/>
      <c r="AI2192" s="14"/>
      <c r="AJ2192" s="14"/>
      <c r="AK2192" s="14"/>
      <c r="AL2192" s="14"/>
      <c r="AM2192" s="14"/>
    </row>
    <row r="2193" customFormat="false" ht="13.8" hidden="false" customHeight="false" outlineLevel="0" collapsed="false">
      <c r="AA2193" s="7" t="n">
        <f aca="false">AA2192+1</f>
        <v>43099</v>
      </c>
      <c r="AB2193" s="14"/>
      <c r="AC2193" s="14"/>
      <c r="AD2193" s="14"/>
      <c r="AE2193" s="14"/>
      <c r="AF2193" s="14"/>
      <c r="AG2193" s="14"/>
      <c r="AH2193" s="14"/>
      <c r="AI2193" s="14"/>
      <c r="AJ2193" s="14"/>
      <c r="AK2193" s="14"/>
      <c r="AL2193" s="14"/>
      <c r="AM2193" s="14"/>
    </row>
    <row r="2194" customFormat="false" ht="13.8" hidden="false" customHeight="false" outlineLevel="0" collapsed="false">
      <c r="AA2194" s="7" t="n">
        <f aca="false">AA2193+1</f>
        <v>43100</v>
      </c>
      <c r="AB2194" s="14"/>
      <c r="AC2194" s="14"/>
      <c r="AD2194" s="14"/>
      <c r="AE2194" s="14"/>
      <c r="AF2194" s="14"/>
      <c r="AG2194" s="14"/>
      <c r="AH2194" s="14"/>
      <c r="AI2194" s="14"/>
      <c r="AJ2194" s="14"/>
      <c r="AK2194" s="14"/>
      <c r="AL2194" s="14"/>
      <c r="AM2194" s="14"/>
    </row>
    <row r="2195" customFormat="false" ht="13.8" hidden="false" customHeight="false" outlineLevel="0" collapsed="false">
      <c r="AA2195" s="7" t="n">
        <f aca="false">AA2194+1</f>
        <v>43101</v>
      </c>
      <c r="AB2195" s="14"/>
      <c r="AC2195" s="14"/>
      <c r="AD2195" s="14"/>
      <c r="AE2195" s="14"/>
      <c r="AF2195" s="14"/>
      <c r="AG2195" s="14"/>
      <c r="AH2195" s="14"/>
      <c r="AI2195" s="14"/>
      <c r="AJ2195" s="14"/>
      <c r="AK2195" s="14"/>
      <c r="AL2195" s="14"/>
      <c r="AM2195" s="14"/>
    </row>
    <row r="2196" customFormat="false" ht="13.8" hidden="false" customHeight="false" outlineLevel="0" collapsed="false">
      <c r="AA2196" s="7" t="n">
        <f aca="false">AA2195+1</f>
        <v>43102</v>
      </c>
      <c r="AB2196" s="14"/>
      <c r="AC2196" s="14"/>
      <c r="AD2196" s="14"/>
      <c r="AE2196" s="14"/>
      <c r="AF2196" s="14"/>
      <c r="AG2196" s="14"/>
      <c r="AH2196" s="14"/>
      <c r="AI2196" s="14"/>
      <c r="AJ2196" s="14"/>
      <c r="AK2196" s="14"/>
      <c r="AL2196" s="14"/>
      <c r="AM2196" s="14"/>
    </row>
    <row r="2197" customFormat="false" ht="13.8" hidden="false" customHeight="false" outlineLevel="0" collapsed="false">
      <c r="AA2197" s="7" t="n">
        <f aca="false">AA2196+1</f>
        <v>43103</v>
      </c>
      <c r="AB2197" s="14"/>
      <c r="AC2197" s="14"/>
      <c r="AD2197" s="14"/>
      <c r="AE2197" s="14"/>
      <c r="AF2197" s="14"/>
      <c r="AG2197" s="14"/>
      <c r="AH2197" s="14"/>
      <c r="AI2197" s="14"/>
      <c r="AJ2197" s="14"/>
      <c r="AK2197" s="14"/>
      <c r="AL2197" s="14"/>
      <c r="AM2197" s="14"/>
    </row>
    <row r="2198" customFormat="false" ht="13.8" hidden="false" customHeight="false" outlineLevel="0" collapsed="false">
      <c r="AA2198" s="7" t="n">
        <f aca="false">AA2197+1</f>
        <v>43104</v>
      </c>
      <c r="AB2198" s="14"/>
      <c r="AC2198" s="14"/>
      <c r="AD2198" s="14"/>
      <c r="AE2198" s="14"/>
      <c r="AF2198" s="14"/>
      <c r="AG2198" s="14"/>
      <c r="AH2198" s="14"/>
      <c r="AI2198" s="14"/>
      <c r="AJ2198" s="14"/>
      <c r="AK2198" s="14"/>
      <c r="AL2198" s="14"/>
      <c r="AM2198" s="14"/>
    </row>
    <row r="2199" customFormat="false" ht="13.8" hidden="false" customHeight="false" outlineLevel="0" collapsed="false">
      <c r="AA2199" s="7" t="n">
        <f aca="false">AA2198+1</f>
        <v>43105</v>
      </c>
      <c r="AB2199" s="14"/>
      <c r="AC2199" s="14"/>
      <c r="AD2199" s="14"/>
      <c r="AE2199" s="14"/>
      <c r="AF2199" s="14"/>
      <c r="AG2199" s="14"/>
      <c r="AH2199" s="14"/>
      <c r="AI2199" s="14"/>
      <c r="AJ2199" s="14"/>
      <c r="AK2199" s="14"/>
      <c r="AL2199" s="14"/>
      <c r="AM2199" s="14"/>
    </row>
    <row r="2200" customFormat="false" ht="13.8" hidden="false" customHeight="false" outlineLevel="0" collapsed="false">
      <c r="AA2200" s="7" t="n">
        <f aca="false">AA2199+1</f>
        <v>43106</v>
      </c>
      <c r="AB2200" s="14"/>
      <c r="AC2200" s="14"/>
      <c r="AD2200" s="14"/>
      <c r="AE2200" s="14"/>
      <c r="AF2200" s="14"/>
      <c r="AG2200" s="14"/>
      <c r="AH2200" s="14"/>
      <c r="AI2200" s="14"/>
      <c r="AJ2200" s="14"/>
      <c r="AK2200" s="14"/>
      <c r="AL2200" s="14"/>
      <c r="AM2200" s="14"/>
    </row>
    <row r="2201" customFormat="false" ht="13.8" hidden="false" customHeight="false" outlineLevel="0" collapsed="false">
      <c r="AA2201" s="7" t="n">
        <f aca="false">AA2200+1</f>
        <v>43107</v>
      </c>
      <c r="AB2201" s="14"/>
      <c r="AC2201" s="14"/>
      <c r="AD2201" s="14"/>
      <c r="AE2201" s="14"/>
      <c r="AF2201" s="14"/>
      <c r="AG2201" s="14"/>
      <c r="AH2201" s="14"/>
      <c r="AI2201" s="14"/>
      <c r="AJ2201" s="14"/>
      <c r="AK2201" s="14"/>
      <c r="AL2201" s="14"/>
      <c r="AM2201" s="14"/>
    </row>
    <row r="2202" customFormat="false" ht="13.8" hidden="false" customHeight="false" outlineLevel="0" collapsed="false">
      <c r="AA2202" s="7" t="n">
        <f aca="false">AA2201+1</f>
        <v>43108</v>
      </c>
      <c r="AB2202" s="14"/>
      <c r="AC2202" s="14"/>
      <c r="AD2202" s="14"/>
      <c r="AE2202" s="14"/>
      <c r="AF2202" s="14"/>
      <c r="AG2202" s="14"/>
      <c r="AH2202" s="14"/>
      <c r="AI2202" s="14"/>
      <c r="AJ2202" s="14"/>
      <c r="AK2202" s="14"/>
      <c r="AL2202" s="14"/>
      <c r="AM2202" s="14"/>
    </row>
    <row r="2203" customFormat="false" ht="13.8" hidden="false" customHeight="false" outlineLevel="0" collapsed="false">
      <c r="AA2203" s="7" t="n">
        <f aca="false">AA2202+1</f>
        <v>43109</v>
      </c>
      <c r="AB2203" s="14"/>
      <c r="AC2203" s="14"/>
      <c r="AD2203" s="14"/>
      <c r="AE2203" s="14"/>
      <c r="AF2203" s="14"/>
      <c r="AG2203" s="14"/>
      <c r="AH2203" s="14"/>
      <c r="AI2203" s="14"/>
      <c r="AJ2203" s="14"/>
      <c r="AK2203" s="14"/>
      <c r="AL2203" s="14"/>
      <c r="AM2203" s="14"/>
    </row>
    <row r="2204" customFormat="false" ht="13.8" hidden="false" customHeight="false" outlineLevel="0" collapsed="false">
      <c r="AA2204" s="7" t="n">
        <f aca="false">AA2203+1</f>
        <v>43110</v>
      </c>
      <c r="AB2204" s="14"/>
      <c r="AC2204" s="14"/>
      <c r="AD2204" s="14"/>
      <c r="AE2204" s="14"/>
      <c r="AF2204" s="14"/>
      <c r="AG2204" s="14"/>
      <c r="AH2204" s="14"/>
      <c r="AI2204" s="14"/>
      <c r="AJ2204" s="14"/>
      <c r="AK2204" s="14"/>
      <c r="AL2204" s="14"/>
      <c r="AM2204" s="14"/>
    </row>
    <row r="2205" customFormat="false" ht="13.8" hidden="false" customHeight="false" outlineLevel="0" collapsed="false">
      <c r="AA2205" s="7" t="n">
        <f aca="false">AA2204+1</f>
        <v>43111</v>
      </c>
      <c r="AB2205" s="14"/>
      <c r="AC2205" s="14"/>
      <c r="AD2205" s="14"/>
      <c r="AE2205" s="14"/>
      <c r="AF2205" s="14"/>
      <c r="AG2205" s="14"/>
      <c r="AH2205" s="14"/>
      <c r="AI2205" s="14"/>
      <c r="AJ2205" s="14"/>
      <c r="AK2205" s="14"/>
      <c r="AL2205" s="14"/>
      <c r="AM2205" s="14"/>
    </row>
    <row r="2206" customFormat="false" ht="13.8" hidden="false" customHeight="false" outlineLevel="0" collapsed="false">
      <c r="AA2206" s="7" t="n">
        <f aca="false">AA2205+1</f>
        <v>43112</v>
      </c>
      <c r="AB2206" s="14"/>
      <c r="AC2206" s="14"/>
      <c r="AD2206" s="14"/>
      <c r="AE2206" s="14"/>
      <c r="AF2206" s="14"/>
      <c r="AG2206" s="14"/>
      <c r="AH2206" s="14"/>
      <c r="AI2206" s="14"/>
      <c r="AJ2206" s="14"/>
      <c r="AK2206" s="14"/>
      <c r="AL2206" s="14"/>
      <c r="AM2206" s="14"/>
    </row>
    <row r="2207" customFormat="false" ht="13.8" hidden="false" customHeight="false" outlineLevel="0" collapsed="false">
      <c r="AA2207" s="7" t="n">
        <f aca="false">AA2206+1</f>
        <v>43113</v>
      </c>
      <c r="AB2207" s="14"/>
      <c r="AC2207" s="14"/>
      <c r="AD2207" s="14"/>
      <c r="AE2207" s="14"/>
      <c r="AF2207" s="14"/>
      <c r="AG2207" s="14"/>
      <c r="AH2207" s="14"/>
      <c r="AI2207" s="14"/>
      <c r="AJ2207" s="14"/>
      <c r="AK2207" s="14"/>
      <c r="AL2207" s="14"/>
      <c r="AM2207" s="14"/>
    </row>
    <row r="2208" customFormat="false" ht="13.8" hidden="false" customHeight="false" outlineLevel="0" collapsed="false">
      <c r="AA2208" s="7" t="n">
        <f aca="false">AA2207+1</f>
        <v>43114</v>
      </c>
      <c r="AB2208" s="14"/>
      <c r="AC2208" s="14"/>
      <c r="AD2208" s="14"/>
      <c r="AE2208" s="14"/>
      <c r="AF2208" s="14"/>
      <c r="AG2208" s="14"/>
      <c r="AH2208" s="14"/>
      <c r="AI2208" s="14"/>
      <c r="AJ2208" s="14"/>
      <c r="AK2208" s="14"/>
      <c r="AL2208" s="14"/>
      <c r="AM2208" s="14"/>
    </row>
    <row r="2209" customFormat="false" ht="13.8" hidden="false" customHeight="false" outlineLevel="0" collapsed="false">
      <c r="AA2209" s="7" t="n">
        <f aca="false">AA2208+1</f>
        <v>43115</v>
      </c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</row>
    <row r="2210" customFormat="false" ht="13.8" hidden="false" customHeight="false" outlineLevel="0" collapsed="false">
      <c r="AA2210" s="7" t="n">
        <f aca="false">AA2209+1</f>
        <v>43116</v>
      </c>
      <c r="AB2210" s="14"/>
      <c r="AC2210" s="14"/>
      <c r="AD2210" s="14"/>
      <c r="AE2210" s="14"/>
      <c r="AF2210" s="14"/>
      <c r="AG2210" s="14"/>
      <c r="AH2210" s="14"/>
      <c r="AI2210" s="14"/>
      <c r="AJ2210" s="14"/>
      <c r="AK2210" s="14"/>
      <c r="AL2210" s="14"/>
      <c r="AM2210" s="14"/>
    </row>
    <row r="2211" customFormat="false" ht="13.8" hidden="false" customHeight="false" outlineLevel="0" collapsed="false">
      <c r="AA2211" s="7" t="n">
        <f aca="false">AA2210+1</f>
        <v>43117</v>
      </c>
      <c r="AB2211" s="14"/>
      <c r="AC2211" s="14"/>
      <c r="AD2211" s="14"/>
      <c r="AE2211" s="14"/>
      <c r="AF2211" s="14"/>
      <c r="AG2211" s="14"/>
      <c r="AH2211" s="14"/>
      <c r="AI2211" s="14"/>
      <c r="AJ2211" s="14"/>
      <c r="AK2211" s="14"/>
      <c r="AL2211" s="14"/>
      <c r="AM2211" s="14"/>
    </row>
    <row r="2212" customFormat="false" ht="13.8" hidden="false" customHeight="false" outlineLevel="0" collapsed="false">
      <c r="AA2212" s="7" t="n">
        <f aca="false">AA2211+1</f>
        <v>43118</v>
      </c>
      <c r="AB2212" s="14"/>
      <c r="AC2212" s="14"/>
      <c r="AD2212" s="14"/>
      <c r="AE2212" s="14"/>
      <c r="AF2212" s="14"/>
      <c r="AG2212" s="14"/>
      <c r="AH2212" s="14"/>
      <c r="AI2212" s="14"/>
      <c r="AJ2212" s="14"/>
      <c r="AK2212" s="14"/>
      <c r="AL2212" s="14"/>
      <c r="AM2212" s="14"/>
    </row>
    <row r="2213" customFormat="false" ht="13.8" hidden="false" customHeight="false" outlineLevel="0" collapsed="false">
      <c r="AA2213" s="7" t="n">
        <f aca="false">AA2212+1</f>
        <v>43119</v>
      </c>
      <c r="AB2213" s="14"/>
      <c r="AC2213" s="14"/>
      <c r="AD2213" s="14"/>
      <c r="AE2213" s="14"/>
      <c r="AF2213" s="14"/>
      <c r="AG2213" s="14"/>
      <c r="AH2213" s="14"/>
      <c r="AI2213" s="14"/>
      <c r="AJ2213" s="14"/>
      <c r="AK2213" s="14"/>
      <c r="AL2213" s="14"/>
      <c r="AM2213" s="14"/>
    </row>
    <row r="2214" customFormat="false" ht="13.8" hidden="false" customHeight="false" outlineLevel="0" collapsed="false">
      <c r="AA2214" s="7" t="n">
        <f aca="false">AA2213+1</f>
        <v>43120</v>
      </c>
      <c r="AB2214" s="14"/>
      <c r="AC2214" s="14"/>
      <c r="AD2214" s="14"/>
      <c r="AE2214" s="14"/>
      <c r="AF2214" s="14"/>
      <c r="AG2214" s="14"/>
      <c r="AH2214" s="14"/>
      <c r="AI2214" s="14"/>
      <c r="AJ2214" s="14"/>
      <c r="AK2214" s="14"/>
      <c r="AL2214" s="14"/>
      <c r="AM2214" s="14"/>
    </row>
    <row r="2215" customFormat="false" ht="13.8" hidden="false" customHeight="false" outlineLevel="0" collapsed="false">
      <c r="AA2215" s="7" t="n">
        <f aca="false">AA2214+1</f>
        <v>43121</v>
      </c>
      <c r="AB2215" s="14"/>
      <c r="AC2215" s="14"/>
      <c r="AD2215" s="14"/>
      <c r="AE2215" s="14"/>
      <c r="AF2215" s="14"/>
      <c r="AG2215" s="14"/>
      <c r="AH2215" s="14"/>
      <c r="AI2215" s="14"/>
      <c r="AJ2215" s="14"/>
      <c r="AK2215" s="14"/>
      <c r="AL2215" s="14"/>
      <c r="AM2215" s="14"/>
    </row>
    <row r="2216" customFormat="false" ht="13.8" hidden="false" customHeight="false" outlineLevel="0" collapsed="false">
      <c r="AA2216" s="7" t="n">
        <f aca="false">AA2215+1</f>
        <v>43122</v>
      </c>
      <c r="AB2216" s="14"/>
      <c r="AC2216" s="14"/>
      <c r="AD2216" s="14"/>
      <c r="AE2216" s="14"/>
      <c r="AF2216" s="14"/>
      <c r="AG2216" s="14"/>
      <c r="AH2216" s="14"/>
      <c r="AI2216" s="14"/>
      <c r="AJ2216" s="14"/>
      <c r="AK2216" s="14"/>
      <c r="AL2216" s="14"/>
      <c r="AM2216" s="14"/>
    </row>
    <row r="2217" customFormat="false" ht="13.8" hidden="false" customHeight="false" outlineLevel="0" collapsed="false">
      <c r="AA2217" s="7" t="n">
        <f aca="false">AA2216+1</f>
        <v>43123</v>
      </c>
      <c r="AB2217" s="14"/>
      <c r="AC2217" s="14"/>
      <c r="AD2217" s="14"/>
      <c r="AE2217" s="14"/>
      <c r="AF2217" s="14"/>
      <c r="AG2217" s="14"/>
      <c r="AH2217" s="14"/>
      <c r="AI2217" s="14"/>
      <c r="AJ2217" s="14"/>
      <c r="AK2217" s="14"/>
      <c r="AL2217" s="14"/>
      <c r="AM2217" s="14"/>
    </row>
    <row r="2218" customFormat="false" ht="13.8" hidden="false" customHeight="false" outlineLevel="0" collapsed="false">
      <c r="AA2218" s="7" t="n">
        <f aca="false">AA2217+1</f>
        <v>43124</v>
      </c>
      <c r="AB2218" s="14"/>
      <c r="AC2218" s="14"/>
      <c r="AD2218" s="14"/>
      <c r="AE2218" s="14"/>
      <c r="AF2218" s="14"/>
      <c r="AG2218" s="14"/>
      <c r="AH2218" s="14"/>
      <c r="AI2218" s="14"/>
      <c r="AJ2218" s="14"/>
      <c r="AK2218" s="14"/>
      <c r="AL2218" s="14"/>
      <c r="AM2218" s="14"/>
    </row>
    <row r="2219" customFormat="false" ht="13.8" hidden="false" customHeight="false" outlineLevel="0" collapsed="false">
      <c r="AA2219" s="7" t="n">
        <f aca="false">AA2218+1</f>
        <v>43125</v>
      </c>
      <c r="AB2219" s="14"/>
      <c r="AC2219" s="14"/>
      <c r="AD2219" s="14"/>
      <c r="AE2219" s="14"/>
      <c r="AF2219" s="14"/>
      <c r="AG2219" s="14"/>
      <c r="AH2219" s="14"/>
      <c r="AI2219" s="14"/>
      <c r="AJ2219" s="14"/>
      <c r="AK2219" s="14"/>
      <c r="AL2219" s="14"/>
      <c r="AM2219" s="14"/>
    </row>
    <row r="2220" customFormat="false" ht="13.8" hidden="false" customHeight="false" outlineLevel="0" collapsed="false">
      <c r="AA2220" s="7" t="n">
        <f aca="false">AA2219+1</f>
        <v>43126</v>
      </c>
      <c r="AB2220" s="14"/>
      <c r="AC2220" s="14"/>
      <c r="AD2220" s="14"/>
      <c r="AE2220" s="14"/>
      <c r="AF2220" s="14"/>
      <c r="AG2220" s="14"/>
      <c r="AH2220" s="14"/>
      <c r="AI2220" s="14"/>
      <c r="AJ2220" s="14"/>
      <c r="AK2220" s="14"/>
      <c r="AL2220" s="14"/>
      <c r="AM2220" s="14"/>
    </row>
    <row r="2221" customFormat="false" ht="13.8" hidden="false" customHeight="false" outlineLevel="0" collapsed="false">
      <c r="AA2221" s="7" t="n">
        <f aca="false">AA2220+1</f>
        <v>43127</v>
      </c>
      <c r="AB2221" s="14"/>
      <c r="AC2221" s="14"/>
      <c r="AD2221" s="14"/>
      <c r="AE2221" s="14"/>
      <c r="AF2221" s="14"/>
      <c r="AG2221" s="14"/>
      <c r="AH2221" s="14"/>
      <c r="AI2221" s="14"/>
      <c r="AJ2221" s="14"/>
      <c r="AK2221" s="14"/>
      <c r="AL2221" s="14"/>
      <c r="AM2221" s="14"/>
    </row>
    <row r="2222" customFormat="false" ht="13.8" hidden="false" customHeight="false" outlineLevel="0" collapsed="false">
      <c r="AA2222" s="7" t="n">
        <f aca="false">AA2221+1</f>
        <v>43128</v>
      </c>
      <c r="AB2222" s="14"/>
      <c r="AC2222" s="14"/>
      <c r="AD2222" s="14"/>
      <c r="AE2222" s="14"/>
      <c r="AF2222" s="14"/>
      <c r="AG2222" s="14"/>
      <c r="AH2222" s="14"/>
      <c r="AI2222" s="14"/>
      <c r="AJ2222" s="14"/>
      <c r="AK2222" s="14"/>
      <c r="AL2222" s="14"/>
      <c r="AM2222" s="14"/>
    </row>
    <row r="2223" customFormat="false" ht="13.8" hidden="false" customHeight="false" outlineLevel="0" collapsed="false">
      <c r="AA2223" s="7" t="n">
        <f aca="false">AA2222+1</f>
        <v>43129</v>
      </c>
      <c r="AB2223" s="14"/>
      <c r="AC2223" s="14"/>
      <c r="AD2223" s="14"/>
      <c r="AE2223" s="14"/>
      <c r="AF2223" s="14"/>
      <c r="AG2223" s="14"/>
      <c r="AH2223" s="14"/>
      <c r="AI2223" s="14"/>
      <c r="AJ2223" s="14"/>
      <c r="AK2223" s="14"/>
      <c r="AL2223" s="14"/>
      <c r="AM2223" s="14"/>
    </row>
    <row r="2224" customFormat="false" ht="13.8" hidden="false" customHeight="false" outlineLevel="0" collapsed="false">
      <c r="AA2224" s="7" t="n">
        <f aca="false">AA2223+1</f>
        <v>43130</v>
      </c>
      <c r="AB2224" s="14"/>
      <c r="AC2224" s="14"/>
      <c r="AD2224" s="14"/>
      <c r="AE2224" s="14"/>
      <c r="AF2224" s="14"/>
      <c r="AG2224" s="14"/>
      <c r="AH2224" s="14"/>
      <c r="AI2224" s="14"/>
      <c r="AJ2224" s="14"/>
      <c r="AK2224" s="14"/>
      <c r="AL2224" s="14"/>
      <c r="AM2224" s="14"/>
    </row>
    <row r="2225" customFormat="false" ht="13.8" hidden="false" customHeight="false" outlineLevel="0" collapsed="false">
      <c r="AA2225" s="7" t="n">
        <f aca="false">AA2224+1</f>
        <v>43131</v>
      </c>
      <c r="AB2225" s="14"/>
      <c r="AC2225" s="14"/>
      <c r="AD2225" s="14"/>
      <c r="AE2225" s="14"/>
      <c r="AF2225" s="14"/>
      <c r="AG2225" s="14"/>
      <c r="AH2225" s="14"/>
      <c r="AI2225" s="14"/>
      <c r="AJ2225" s="14"/>
      <c r="AK2225" s="14"/>
      <c r="AL2225" s="14"/>
      <c r="AM2225" s="14"/>
    </row>
    <row r="2226" customFormat="false" ht="13.8" hidden="false" customHeight="false" outlineLevel="0" collapsed="false">
      <c r="AA2226" s="7" t="n">
        <f aca="false">AA2225+1</f>
        <v>43132</v>
      </c>
      <c r="AB2226" s="14"/>
      <c r="AC2226" s="14"/>
      <c r="AD2226" s="14"/>
      <c r="AE2226" s="14"/>
      <c r="AF2226" s="14"/>
      <c r="AG2226" s="14"/>
      <c r="AH2226" s="14"/>
      <c r="AI2226" s="14"/>
      <c r="AJ2226" s="14"/>
      <c r="AK2226" s="14"/>
      <c r="AL2226" s="14"/>
      <c r="AM2226" s="14"/>
    </row>
    <row r="2227" customFormat="false" ht="13.8" hidden="false" customHeight="false" outlineLevel="0" collapsed="false">
      <c r="AA2227" s="7" t="n">
        <f aca="false">AA2226+1</f>
        <v>43133</v>
      </c>
      <c r="AB2227" s="14"/>
      <c r="AC2227" s="14"/>
      <c r="AD2227" s="14"/>
      <c r="AE2227" s="14"/>
      <c r="AF2227" s="14"/>
      <c r="AG2227" s="14"/>
      <c r="AH2227" s="14"/>
      <c r="AI2227" s="14"/>
      <c r="AJ2227" s="14"/>
      <c r="AK2227" s="14"/>
      <c r="AL2227" s="14"/>
      <c r="AM2227" s="14"/>
    </row>
    <row r="2228" customFormat="false" ht="13.8" hidden="false" customHeight="false" outlineLevel="0" collapsed="false">
      <c r="AA2228" s="7" t="n">
        <f aca="false">AA2227+1</f>
        <v>43134</v>
      </c>
      <c r="AB2228" s="14"/>
      <c r="AC2228" s="14"/>
      <c r="AD2228" s="14"/>
      <c r="AE2228" s="14"/>
      <c r="AF2228" s="14"/>
      <c r="AG2228" s="14"/>
      <c r="AH2228" s="14"/>
      <c r="AI2228" s="14"/>
      <c r="AJ2228" s="14"/>
      <c r="AK2228" s="14"/>
      <c r="AL2228" s="14"/>
      <c r="AM2228" s="14"/>
    </row>
    <row r="2229" customFormat="false" ht="13.8" hidden="false" customHeight="false" outlineLevel="0" collapsed="false">
      <c r="AA2229" s="7" t="n">
        <f aca="false">AA2228+1</f>
        <v>43135</v>
      </c>
      <c r="AB2229" s="14"/>
      <c r="AC2229" s="14"/>
      <c r="AD2229" s="14"/>
      <c r="AE2229" s="14"/>
      <c r="AF2229" s="14"/>
      <c r="AG2229" s="14"/>
      <c r="AH2229" s="14"/>
      <c r="AI2229" s="14"/>
      <c r="AJ2229" s="14"/>
      <c r="AK2229" s="14"/>
      <c r="AL2229" s="14"/>
      <c r="AM2229" s="14"/>
    </row>
    <row r="2230" customFormat="false" ht="13.8" hidden="false" customHeight="false" outlineLevel="0" collapsed="false">
      <c r="AA2230" s="7" t="n">
        <f aca="false">AA2229+1</f>
        <v>43136</v>
      </c>
      <c r="AB2230" s="14"/>
      <c r="AC2230" s="14"/>
      <c r="AD2230" s="14"/>
      <c r="AE2230" s="14"/>
      <c r="AF2230" s="14"/>
      <c r="AG2230" s="14"/>
      <c r="AH2230" s="14"/>
      <c r="AI2230" s="14"/>
      <c r="AJ2230" s="14"/>
      <c r="AK2230" s="14"/>
      <c r="AL2230" s="14"/>
      <c r="AM2230" s="14"/>
    </row>
    <row r="2231" customFormat="false" ht="13.8" hidden="false" customHeight="false" outlineLevel="0" collapsed="false">
      <c r="AA2231" s="7" t="n">
        <f aca="false">AA2230+1</f>
        <v>43137</v>
      </c>
      <c r="AB2231" s="14"/>
      <c r="AC2231" s="14"/>
      <c r="AD2231" s="14"/>
      <c r="AE2231" s="14"/>
      <c r="AF2231" s="14"/>
      <c r="AG2231" s="14"/>
      <c r="AH2231" s="14"/>
      <c r="AI2231" s="14"/>
      <c r="AJ2231" s="14"/>
      <c r="AK2231" s="14"/>
      <c r="AL2231" s="14"/>
      <c r="AM2231" s="14"/>
    </row>
    <row r="2232" customFormat="false" ht="13.8" hidden="false" customHeight="false" outlineLevel="0" collapsed="false">
      <c r="AA2232" s="7" t="n">
        <f aca="false">AA2231+1</f>
        <v>43138</v>
      </c>
      <c r="AB2232" s="14"/>
      <c r="AC2232" s="14"/>
      <c r="AD2232" s="14"/>
      <c r="AE2232" s="14"/>
      <c r="AF2232" s="14"/>
      <c r="AG2232" s="14"/>
      <c r="AH2232" s="14"/>
      <c r="AI2232" s="14"/>
      <c r="AJ2232" s="14"/>
      <c r="AK2232" s="14"/>
      <c r="AL2232" s="14"/>
      <c r="AM2232" s="14"/>
    </row>
    <row r="2233" customFormat="false" ht="13.8" hidden="false" customHeight="false" outlineLevel="0" collapsed="false">
      <c r="AA2233" s="7" t="n">
        <f aca="false">AA2232+1</f>
        <v>43139</v>
      </c>
      <c r="AB2233" s="14"/>
      <c r="AC2233" s="14"/>
      <c r="AD2233" s="14"/>
      <c r="AE2233" s="14"/>
      <c r="AF2233" s="14"/>
      <c r="AG2233" s="14"/>
      <c r="AH2233" s="14"/>
      <c r="AI2233" s="14"/>
      <c r="AJ2233" s="14"/>
      <c r="AK2233" s="14"/>
      <c r="AL2233" s="14"/>
      <c r="AM2233" s="14"/>
    </row>
    <row r="2234" customFormat="false" ht="13.8" hidden="false" customHeight="false" outlineLevel="0" collapsed="false">
      <c r="AA2234" s="7" t="n">
        <f aca="false">AA2233+1</f>
        <v>43140</v>
      </c>
      <c r="AB2234" s="14"/>
      <c r="AC2234" s="14"/>
      <c r="AD2234" s="14"/>
      <c r="AE2234" s="14"/>
      <c r="AF2234" s="14"/>
      <c r="AG2234" s="14"/>
      <c r="AH2234" s="14"/>
      <c r="AI2234" s="14"/>
      <c r="AJ2234" s="14"/>
      <c r="AK2234" s="14"/>
      <c r="AL2234" s="14"/>
      <c r="AM2234" s="14"/>
    </row>
    <row r="2235" customFormat="false" ht="13.8" hidden="false" customHeight="false" outlineLevel="0" collapsed="false">
      <c r="AA2235" s="7" t="n">
        <f aca="false">AA2234+1</f>
        <v>43141</v>
      </c>
      <c r="AB2235" s="14"/>
      <c r="AC2235" s="14"/>
      <c r="AD2235" s="14"/>
      <c r="AE2235" s="14"/>
      <c r="AF2235" s="14"/>
      <c r="AG2235" s="14"/>
      <c r="AH2235" s="14"/>
      <c r="AI2235" s="14"/>
      <c r="AJ2235" s="14"/>
      <c r="AK2235" s="14"/>
      <c r="AL2235" s="14"/>
      <c r="AM2235" s="14"/>
    </row>
    <row r="2236" customFormat="false" ht="13.8" hidden="false" customHeight="false" outlineLevel="0" collapsed="false">
      <c r="AA2236" s="7" t="n">
        <f aca="false">AA2235+1</f>
        <v>43142</v>
      </c>
      <c r="AB2236" s="14"/>
      <c r="AC2236" s="14"/>
      <c r="AD2236" s="14"/>
      <c r="AE2236" s="14"/>
      <c r="AF2236" s="14"/>
      <c r="AG2236" s="14"/>
      <c r="AH2236" s="14"/>
      <c r="AI2236" s="14"/>
      <c r="AJ2236" s="14"/>
      <c r="AK2236" s="14"/>
      <c r="AL2236" s="14"/>
      <c r="AM2236" s="14"/>
    </row>
    <row r="2237" customFormat="false" ht="13.8" hidden="false" customHeight="false" outlineLevel="0" collapsed="false">
      <c r="AA2237" s="7" t="n">
        <f aca="false">AA2236+1</f>
        <v>43143</v>
      </c>
      <c r="AB2237" s="14"/>
      <c r="AC2237" s="14"/>
      <c r="AD2237" s="14"/>
      <c r="AE2237" s="14"/>
      <c r="AF2237" s="14"/>
      <c r="AG2237" s="14"/>
      <c r="AH2237" s="14"/>
      <c r="AI2237" s="14"/>
      <c r="AJ2237" s="14"/>
      <c r="AK2237" s="14"/>
      <c r="AL2237" s="14"/>
      <c r="AM2237" s="14"/>
    </row>
    <row r="2238" customFormat="false" ht="13.8" hidden="false" customHeight="false" outlineLevel="0" collapsed="false">
      <c r="AA2238" s="7" t="n">
        <f aca="false">AA2237+1</f>
        <v>43144</v>
      </c>
      <c r="AB2238" s="14"/>
      <c r="AC2238" s="14"/>
      <c r="AD2238" s="14"/>
      <c r="AE2238" s="14"/>
      <c r="AF2238" s="14"/>
      <c r="AG2238" s="14"/>
      <c r="AH2238" s="14"/>
      <c r="AI2238" s="14"/>
      <c r="AJ2238" s="14"/>
      <c r="AK2238" s="14"/>
      <c r="AL2238" s="14"/>
      <c r="AM2238" s="14"/>
    </row>
    <row r="2239" customFormat="false" ht="13.8" hidden="false" customHeight="false" outlineLevel="0" collapsed="false">
      <c r="AA2239" s="7" t="n">
        <f aca="false">AA2238+1</f>
        <v>43145</v>
      </c>
      <c r="AB2239" s="14"/>
      <c r="AC2239" s="14"/>
      <c r="AD2239" s="14"/>
      <c r="AE2239" s="14"/>
      <c r="AF2239" s="14"/>
      <c r="AG2239" s="14"/>
      <c r="AH2239" s="14"/>
      <c r="AI2239" s="14"/>
      <c r="AJ2239" s="14"/>
      <c r="AK2239" s="14"/>
      <c r="AL2239" s="14"/>
      <c r="AM2239" s="14"/>
    </row>
    <row r="2240" customFormat="false" ht="13.8" hidden="false" customHeight="false" outlineLevel="0" collapsed="false">
      <c r="AA2240" s="7" t="n">
        <f aca="false">AA2239+1</f>
        <v>43146</v>
      </c>
      <c r="AB2240" s="14"/>
      <c r="AC2240" s="14"/>
      <c r="AD2240" s="14"/>
      <c r="AE2240" s="14"/>
      <c r="AF2240" s="14"/>
      <c r="AG2240" s="14"/>
      <c r="AH2240" s="14"/>
      <c r="AI2240" s="14"/>
      <c r="AJ2240" s="14"/>
      <c r="AK2240" s="14"/>
      <c r="AL2240" s="14"/>
      <c r="AM2240" s="14"/>
    </row>
    <row r="2241" customFormat="false" ht="13.8" hidden="false" customHeight="false" outlineLevel="0" collapsed="false">
      <c r="AA2241" s="7" t="n">
        <f aca="false">AA2240+1</f>
        <v>43147</v>
      </c>
      <c r="AB2241" s="14"/>
      <c r="AC2241" s="14"/>
      <c r="AD2241" s="14"/>
      <c r="AE2241" s="14"/>
      <c r="AF2241" s="14"/>
      <c r="AG2241" s="14"/>
      <c r="AH2241" s="14"/>
      <c r="AI2241" s="14"/>
      <c r="AJ2241" s="14"/>
      <c r="AK2241" s="14"/>
      <c r="AL2241" s="14"/>
      <c r="AM2241" s="14"/>
    </row>
    <row r="2242" customFormat="false" ht="13.8" hidden="false" customHeight="false" outlineLevel="0" collapsed="false">
      <c r="AA2242" s="7" t="n">
        <f aca="false">AA2241+1</f>
        <v>43148</v>
      </c>
      <c r="AB2242" s="14"/>
      <c r="AC2242" s="14"/>
      <c r="AD2242" s="14"/>
      <c r="AE2242" s="14"/>
      <c r="AF2242" s="14"/>
      <c r="AG2242" s="14"/>
      <c r="AH2242" s="14"/>
      <c r="AI2242" s="14"/>
      <c r="AJ2242" s="14"/>
      <c r="AK2242" s="14"/>
      <c r="AL2242" s="14"/>
      <c r="AM2242" s="14"/>
    </row>
    <row r="2243" customFormat="false" ht="13.8" hidden="false" customHeight="false" outlineLevel="0" collapsed="false">
      <c r="AA2243" s="7" t="n">
        <f aca="false">AA2242+1</f>
        <v>43149</v>
      </c>
      <c r="AB2243" s="14"/>
      <c r="AC2243" s="14"/>
      <c r="AD2243" s="14"/>
      <c r="AE2243" s="14"/>
      <c r="AF2243" s="14"/>
      <c r="AG2243" s="14"/>
      <c r="AH2243" s="14"/>
      <c r="AI2243" s="14"/>
      <c r="AJ2243" s="14"/>
      <c r="AK2243" s="14"/>
      <c r="AL2243" s="14"/>
      <c r="AM2243" s="14"/>
    </row>
    <row r="2244" customFormat="false" ht="13.8" hidden="false" customHeight="false" outlineLevel="0" collapsed="false">
      <c r="AA2244" s="7" t="n">
        <f aca="false">AA2243+1</f>
        <v>43150</v>
      </c>
      <c r="AB2244" s="14"/>
      <c r="AC2244" s="14"/>
      <c r="AD2244" s="14"/>
      <c r="AE2244" s="14"/>
      <c r="AF2244" s="14"/>
      <c r="AG2244" s="14"/>
      <c r="AH2244" s="14"/>
      <c r="AI2244" s="14"/>
      <c r="AJ2244" s="14"/>
      <c r="AK2244" s="14"/>
      <c r="AL2244" s="14"/>
      <c r="AM2244" s="14"/>
    </row>
    <row r="2245" customFormat="false" ht="13.8" hidden="false" customHeight="false" outlineLevel="0" collapsed="false">
      <c r="AA2245" s="7" t="n">
        <f aca="false">AA2244+1</f>
        <v>43151</v>
      </c>
      <c r="AB2245" s="14"/>
      <c r="AC2245" s="14"/>
      <c r="AD2245" s="14"/>
      <c r="AE2245" s="14"/>
      <c r="AF2245" s="14"/>
      <c r="AG2245" s="14"/>
      <c r="AH2245" s="14"/>
      <c r="AI2245" s="14"/>
      <c r="AJ2245" s="14"/>
      <c r="AK2245" s="14"/>
      <c r="AL2245" s="14"/>
      <c r="AM2245" s="14"/>
    </row>
    <row r="2246" customFormat="false" ht="13.8" hidden="false" customHeight="false" outlineLevel="0" collapsed="false">
      <c r="AA2246" s="7" t="n">
        <f aca="false">AA2245+1</f>
        <v>43152</v>
      </c>
      <c r="AB2246" s="14"/>
      <c r="AC2246" s="14"/>
      <c r="AD2246" s="14"/>
      <c r="AE2246" s="14"/>
      <c r="AF2246" s="14"/>
      <c r="AG2246" s="14"/>
      <c r="AH2246" s="14"/>
      <c r="AI2246" s="14"/>
      <c r="AJ2246" s="14"/>
      <c r="AK2246" s="14"/>
      <c r="AL2246" s="14"/>
      <c r="AM2246" s="14"/>
    </row>
    <row r="2247" customFormat="false" ht="13.8" hidden="false" customHeight="false" outlineLevel="0" collapsed="false">
      <c r="AA2247" s="7" t="n">
        <f aca="false">AA2246+1</f>
        <v>43153</v>
      </c>
      <c r="AB2247" s="14"/>
      <c r="AC2247" s="14"/>
      <c r="AD2247" s="14"/>
      <c r="AE2247" s="14"/>
      <c r="AF2247" s="14"/>
      <c r="AG2247" s="14"/>
      <c r="AH2247" s="14"/>
      <c r="AI2247" s="14"/>
      <c r="AJ2247" s="14"/>
      <c r="AK2247" s="14"/>
      <c r="AL2247" s="14"/>
      <c r="AM2247" s="14"/>
    </row>
    <row r="2248" customFormat="false" ht="13.8" hidden="false" customHeight="false" outlineLevel="0" collapsed="false">
      <c r="AA2248" s="7" t="n">
        <f aca="false">AA2247+1</f>
        <v>43154</v>
      </c>
      <c r="AB2248" s="14"/>
      <c r="AC2248" s="14"/>
      <c r="AD2248" s="14"/>
      <c r="AE2248" s="14"/>
      <c r="AF2248" s="14"/>
      <c r="AG2248" s="14"/>
      <c r="AH2248" s="14"/>
      <c r="AI2248" s="14"/>
      <c r="AJ2248" s="14"/>
      <c r="AK2248" s="14"/>
      <c r="AL2248" s="14"/>
      <c r="AM2248" s="14"/>
    </row>
    <row r="2249" customFormat="false" ht="13.8" hidden="false" customHeight="false" outlineLevel="0" collapsed="false">
      <c r="AA2249" s="7" t="n">
        <f aca="false">AA2248+1</f>
        <v>43155</v>
      </c>
      <c r="AB2249" s="14"/>
      <c r="AC2249" s="14"/>
      <c r="AD2249" s="14"/>
      <c r="AE2249" s="14"/>
      <c r="AF2249" s="14"/>
      <c r="AG2249" s="14"/>
      <c r="AH2249" s="14"/>
      <c r="AI2249" s="14"/>
      <c r="AJ2249" s="14"/>
      <c r="AK2249" s="14"/>
      <c r="AL2249" s="14"/>
      <c r="AM2249" s="14"/>
    </row>
    <row r="2250" customFormat="false" ht="13.8" hidden="false" customHeight="false" outlineLevel="0" collapsed="false">
      <c r="AA2250" s="7" t="n">
        <f aca="false">AA2249+1</f>
        <v>43156</v>
      </c>
      <c r="AB2250" s="14"/>
      <c r="AC2250" s="14"/>
      <c r="AD2250" s="14"/>
      <c r="AE2250" s="14"/>
      <c r="AF2250" s="14"/>
      <c r="AG2250" s="14"/>
      <c r="AH2250" s="14"/>
      <c r="AI2250" s="14"/>
      <c r="AJ2250" s="14"/>
      <c r="AK2250" s="14"/>
      <c r="AL2250" s="14"/>
      <c r="AM2250" s="14"/>
    </row>
    <row r="2251" customFormat="false" ht="13.8" hidden="false" customHeight="false" outlineLevel="0" collapsed="false">
      <c r="AA2251" s="7" t="n">
        <f aca="false">AA2250+1</f>
        <v>43157</v>
      </c>
      <c r="AB2251" s="14"/>
      <c r="AC2251" s="14"/>
      <c r="AD2251" s="14"/>
      <c r="AE2251" s="14"/>
      <c r="AF2251" s="14"/>
      <c r="AG2251" s="14"/>
      <c r="AH2251" s="14"/>
      <c r="AI2251" s="14"/>
      <c r="AJ2251" s="14"/>
      <c r="AK2251" s="14"/>
      <c r="AL2251" s="14"/>
      <c r="AM2251" s="14"/>
    </row>
    <row r="2252" customFormat="false" ht="13.8" hidden="false" customHeight="false" outlineLevel="0" collapsed="false">
      <c r="AA2252" s="7" t="n">
        <f aca="false">AA2251+1</f>
        <v>43158</v>
      </c>
      <c r="AB2252" s="14"/>
      <c r="AC2252" s="14"/>
      <c r="AD2252" s="14"/>
      <c r="AE2252" s="14"/>
      <c r="AF2252" s="14"/>
      <c r="AG2252" s="14"/>
      <c r="AH2252" s="14"/>
      <c r="AI2252" s="14"/>
      <c r="AJ2252" s="14"/>
      <c r="AK2252" s="14"/>
      <c r="AL2252" s="14"/>
      <c r="AM2252" s="14"/>
    </row>
    <row r="2253" customFormat="false" ht="13.8" hidden="false" customHeight="false" outlineLevel="0" collapsed="false">
      <c r="AA2253" s="7" t="n">
        <f aca="false">AA2252+1</f>
        <v>43159</v>
      </c>
      <c r="AB2253" s="14"/>
      <c r="AC2253" s="14"/>
      <c r="AD2253" s="14"/>
      <c r="AE2253" s="14"/>
      <c r="AF2253" s="14"/>
      <c r="AG2253" s="14"/>
      <c r="AH2253" s="14"/>
      <c r="AI2253" s="14"/>
      <c r="AJ2253" s="14"/>
      <c r="AK2253" s="14"/>
      <c r="AL2253" s="14"/>
      <c r="AM2253" s="14"/>
    </row>
    <row r="2254" customFormat="false" ht="13.8" hidden="false" customHeight="false" outlineLevel="0" collapsed="false">
      <c r="AA2254" s="7" t="n">
        <f aca="false">AA2253+1</f>
        <v>43160</v>
      </c>
      <c r="AB2254" s="14"/>
      <c r="AC2254" s="14"/>
      <c r="AD2254" s="14"/>
      <c r="AE2254" s="14"/>
      <c r="AF2254" s="14"/>
      <c r="AG2254" s="14"/>
      <c r="AH2254" s="14"/>
      <c r="AI2254" s="14"/>
      <c r="AJ2254" s="14"/>
      <c r="AK2254" s="14"/>
      <c r="AL2254" s="14"/>
      <c r="AM2254" s="14"/>
    </row>
    <row r="2255" customFormat="false" ht="13.8" hidden="false" customHeight="false" outlineLevel="0" collapsed="false">
      <c r="AA2255" s="7" t="n">
        <f aca="false">AA2254+1</f>
        <v>43161</v>
      </c>
      <c r="AB2255" s="14"/>
      <c r="AC2255" s="14"/>
      <c r="AD2255" s="14"/>
      <c r="AE2255" s="14"/>
      <c r="AF2255" s="14"/>
      <c r="AG2255" s="14"/>
      <c r="AH2255" s="14"/>
      <c r="AI2255" s="14"/>
      <c r="AJ2255" s="14"/>
      <c r="AK2255" s="14"/>
      <c r="AL2255" s="14"/>
      <c r="AM2255" s="14"/>
    </row>
    <row r="2256" customFormat="false" ht="13.8" hidden="false" customHeight="false" outlineLevel="0" collapsed="false">
      <c r="AA2256" s="7" t="n">
        <f aca="false">AA2255+1</f>
        <v>43162</v>
      </c>
      <c r="AB2256" s="14"/>
      <c r="AC2256" s="14"/>
      <c r="AD2256" s="14"/>
      <c r="AE2256" s="14"/>
      <c r="AF2256" s="14"/>
      <c r="AG2256" s="14"/>
      <c r="AH2256" s="14"/>
      <c r="AI2256" s="14"/>
      <c r="AJ2256" s="14"/>
      <c r="AK2256" s="14"/>
      <c r="AL2256" s="14"/>
      <c r="AM2256" s="14"/>
    </row>
    <row r="2257" customFormat="false" ht="13.8" hidden="false" customHeight="false" outlineLevel="0" collapsed="false">
      <c r="AA2257" s="7" t="n">
        <f aca="false">AA2256+1</f>
        <v>43163</v>
      </c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</row>
    <row r="2258" customFormat="false" ht="13.8" hidden="false" customHeight="false" outlineLevel="0" collapsed="false">
      <c r="AA2258" s="7" t="n">
        <f aca="false">AA2257+1</f>
        <v>43164</v>
      </c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</row>
    <row r="2259" customFormat="false" ht="13.8" hidden="false" customHeight="false" outlineLevel="0" collapsed="false">
      <c r="AA2259" s="7" t="n">
        <f aca="false">AA2258+1</f>
        <v>43165</v>
      </c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</row>
    <row r="2260" customFormat="false" ht="13.8" hidden="false" customHeight="false" outlineLevel="0" collapsed="false">
      <c r="AA2260" s="7" t="n">
        <f aca="false">AA2259+1</f>
        <v>43166</v>
      </c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</row>
    <row r="2261" customFormat="false" ht="13.8" hidden="false" customHeight="false" outlineLevel="0" collapsed="false">
      <c r="AA2261" s="7" t="n">
        <f aca="false">AA2260+1</f>
        <v>43167</v>
      </c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</row>
    <row r="2262" customFormat="false" ht="13.8" hidden="false" customHeight="false" outlineLevel="0" collapsed="false">
      <c r="AA2262" s="7" t="n">
        <f aca="false">AA2261+1</f>
        <v>43168</v>
      </c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</row>
    <row r="2263" customFormat="false" ht="13.8" hidden="false" customHeight="false" outlineLevel="0" collapsed="false">
      <c r="AA2263" s="7" t="n">
        <f aca="false">AA2262+1</f>
        <v>43169</v>
      </c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</row>
    <row r="2264" customFormat="false" ht="13.8" hidden="false" customHeight="false" outlineLevel="0" collapsed="false">
      <c r="AA2264" s="7" t="n">
        <f aca="false">AA2263+1</f>
        <v>43170</v>
      </c>
      <c r="AB2264" s="14"/>
      <c r="AC2264" s="14"/>
      <c r="AD2264" s="14"/>
      <c r="AE2264" s="14"/>
      <c r="AF2264" s="14"/>
      <c r="AG2264" s="14"/>
      <c r="AH2264" s="14"/>
      <c r="AI2264" s="14"/>
      <c r="AJ2264" s="14"/>
      <c r="AK2264" s="14"/>
      <c r="AL2264" s="14"/>
      <c r="AM2264" s="14"/>
    </row>
    <row r="2265" customFormat="false" ht="13.8" hidden="false" customHeight="false" outlineLevel="0" collapsed="false">
      <c r="AA2265" s="7" t="n">
        <f aca="false">AA2264+1</f>
        <v>43171</v>
      </c>
      <c r="AB2265" s="14"/>
      <c r="AC2265" s="14"/>
      <c r="AD2265" s="14"/>
      <c r="AE2265" s="14"/>
      <c r="AF2265" s="14"/>
      <c r="AG2265" s="14"/>
      <c r="AH2265" s="14"/>
      <c r="AI2265" s="14"/>
      <c r="AJ2265" s="14"/>
      <c r="AK2265" s="14"/>
      <c r="AL2265" s="14"/>
      <c r="AM2265" s="14"/>
    </row>
    <row r="2266" customFormat="false" ht="13.8" hidden="false" customHeight="false" outlineLevel="0" collapsed="false">
      <c r="AA2266" s="7" t="n">
        <f aca="false">AA2265+1</f>
        <v>43172</v>
      </c>
      <c r="AB2266" s="14"/>
      <c r="AC2266" s="14"/>
      <c r="AD2266" s="14"/>
      <c r="AE2266" s="14"/>
      <c r="AF2266" s="14"/>
      <c r="AG2266" s="14"/>
      <c r="AH2266" s="14"/>
      <c r="AI2266" s="14"/>
      <c r="AJ2266" s="14"/>
      <c r="AK2266" s="14"/>
      <c r="AL2266" s="14"/>
      <c r="AM2266" s="14"/>
    </row>
    <row r="2267" customFormat="false" ht="13.8" hidden="false" customHeight="false" outlineLevel="0" collapsed="false">
      <c r="AA2267" s="7" t="n">
        <f aca="false">AA2266+1</f>
        <v>43173</v>
      </c>
      <c r="AB2267" s="14"/>
      <c r="AC2267" s="14"/>
      <c r="AD2267" s="14"/>
      <c r="AE2267" s="14"/>
      <c r="AF2267" s="14"/>
      <c r="AG2267" s="14"/>
      <c r="AH2267" s="14"/>
      <c r="AI2267" s="14"/>
      <c r="AJ2267" s="14"/>
      <c r="AK2267" s="14"/>
      <c r="AL2267" s="14"/>
      <c r="AM2267" s="14"/>
    </row>
    <row r="2268" customFormat="false" ht="13.8" hidden="false" customHeight="false" outlineLevel="0" collapsed="false">
      <c r="AA2268" s="7" t="n">
        <f aca="false">AA2267+1</f>
        <v>43174</v>
      </c>
      <c r="AB2268" s="14"/>
      <c r="AC2268" s="14"/>
      <c r="AD2268" s="14"/>
      <c r="AE2268" s="14"/>
      <c r="AF2268" s="14"/>
      <c r="AG2268" s="14"/>
      <c r="AH2268" s="14"/>
      <c r="AI2268" s="14"/>
      <c r="AJ2268" s="14"/>
      <c r="AK2268" s="14"/>
      <c r="AL2268" s="14"/>
      <c r="AM2268" s="14"/>
    </row>
    <row r="2269" customFormat="false" ht="13.8" hidden="false" customHeight="false" outlineLevel="0" collapsed="false">
      <c r="AA2269" s="7" t="n">
        <f aca="false">AA2268+1</f>
        <v>43175</v>
      </c>
      <c r="AB2269" s="14"/>
      <c r="AC2269" s="14"/>
      <c r="AD2269" s="14"/>
      <c r="AE2269" s="14"/>
      <c r="AF2269" s="14"/>
      <c r="AG2269" s="14"/>
      <c r="AH2269" s="14"/>
      <c r="AI2269" s="14"/>
      <c r="AJ2269" s="14"/>
      <c r="AK2269" s="14"/>
      <c r="AL2269" s="14"/>
      <c r="AM2269" s="14"/>
    </row>
    <row r="2270" customFormat="false" ht="13.8" hidden="false" customHeight="false" outlineLevel="0" collapsed="false">
      <c r="AA2270" s="7" t="n">
        <f aca="false">AA2269+1</f>
        <v>43176</v>
      </c>
      <c r="AB2270" s="14"/>
      <c r="AC2270" s="14"/>
      <c r="AD2270" s="14"/>
      <c r="AE2270" s="14"/>
      <c r="AF2270" s="14"/>
      <c r="AG2270" s="14"/>
      <c r="AH2270" s="14"/>
      <c r="AI2270" s="14"/>
      <c r="AJ2270" s="14"/>
      <c r="AK2270" s="14"/>
      <c r="AL2270" s="14"/>
      <c r="AM2270" s="14"/>
    </row>
    <row r="2271" customFormat="false" ht="13.8" hidden="false" customHeight="false" outlineLevel="0" collapsed="false">
      <c r="AA2271" s="7" t="n">
        <f aca="false">AA2270+1</f>
        <v>43177</v>
      </c>
      <c r="AB2271" s="14"/>
      <c r="AC2271" s="14"/>
      <c r="AD2271" s="14"/>
      <c r="AE2271" s="14"/>
      <c r="AF2271" s="14"/>
      <c r="AG2271" s="14"/>
      <c r="AH2271" s="14"/>
      <c r="AI2271" s="14"/>
      <c r="AJ2271" s="14"/>
      <c r="AK2271" s="14"/>
      <c r="AL2271" s="14"/>
      <c r="AM2271" s="14"/>
    </row>
    <row r="2272" customFormat="false" ht="13.8" hidden="false" customHeight="false" outlineLevel="0" collapsed="false">
      <c r="AA2272" s="7" t="n">
        <f aca="false">AA2271+1</f>
        <v>43178</v>
      </c>
      <c r="AB2272" s="14"/>
      <c r="AC2272" s="14"/>
      <c r="AD2272" s="14"/>
      <c r="AE2272" s="14"/>
      <c r="AF2272" s="14"/>
      <c r="AG2272" s="14"/>
      <c r="AH2272" s="14"/>
      <c r="AI2272" s="14"/>
      <c r="AJ2272" s="14"/>
      <c r="AK2272" s="14"/>
      <c r="AL2272" s="14"/>
      <c r="AM2272" s="14"/>
    </row>
    <row r="2273" customFormat="false" ht="13.8" hidden="false" customHeight="false" outlineLevel="0" collapsed="false">
      <c r="AA2273" s="7" t="n">
        <f aca="false">AA2272+1</f>
        <v>43179</v>
      </c>
      <c r="AB2273" s="14"/>
      <c r="AC2273" s="14"/>
      <c r="AD2273" s="14"/>
      <c r="AE2273" s="14"/>
      <c r="AF2273" s="14"/>
      <c r="AG2273" s="14"/>
      <c r="AH2273" s="14"/>
      <c r="AI2273" s="14"/>
      <c r="AJ2273" s="14"/>
      <c r="AK2273" s="14"/>
      <c r="AL2273" s="14"/>
      <c r="AM2273" s="14"/>
    </row>
    <row r="2274" customFormat="false" ht="13.8" hidden="false" customHeight="false" outlineLevel="0" collapsed="false">
      <c r="AA2274" s="7" t="n">
        <f aca="false">AA2273+1</f>
        <v>43180</v>
      </c>
      <c r="AB2274" s="14"/>
      <c r="AC2274" s="14"/>
      <c r="AD2274" s="14"/>
      <c r="AE2274" s="14"/>
      <c r="AF2274" s="14"/>
      <c r="AG2274" s="14"/>
      <c r="AH2274" s="14"/>
      <c r="AI2274" s="14"/>
      <c r="AJ2274" s="14"/>
      <c r="AK2274" s="14"/>
      <c r="AL2274" s="14"/>
      <c r="AM2274" s="14"/>
    </row>
    <row r="2275" customFormat="false" ht="13.8" hidden="false" customHeight="false" outlineLevel="0" collapsed="false">
      <c r="AA2275" s="7" t="n">
        <f aca="false">AA2274+1</f>
        <v>43181</v>
      </c>
      <c r="AB2275" s="14"/>
      <c r="AC2275" s="14"/>
      <c r="AD2275" s="14"/>
      <c r="AE2275" s="14"/>
      <c r="AF2275" s="14"/>
      <c r="AG2275" s="14"/>
      <c r="AH2275" s="14"/>
      <c r="AI2275" s="14"/>
      <c r="AJ2275" s="14"/>
      <c r="AK2275" s="14"/>
      <c r="AL2275" s="14"/>
      <c r="AM2275" s="14"/>
    </row>
    <row r="2276" customFormat="false" ht="13.8" hidden="false" customHeight="false" outlineLevel="0" collapsed="false">
      <c r="AA2276" s="7" t="n">
        <f aca="false">AA2275+1</f>
        <v>43182</v>
      </c>
      <c r="AB2276" s="14"/>
      <c r="AC2276" s="14"/>
      <c r="AD2276" s="14"/>
      <c r="AE2276" s="14"/>
      <c r="AF2276" s="14"/>
      <c r="AG2276" s="14"/>
      <c r="AH2276" s="14"/>
      <c r="AI2276" s="14"/>
      <c r="AJ2276" s="14"/>
      <c r="AK2276" s="14"/>
      <c r="AL2276" s="14"/>
      <c r="AM2276" s="14"/>
    </row>
    <row r="2277" customFormat="false" ht="13.8" hidden="false" customHeight="false" outlineLevel="0" collapsed="false">
      <c r="AA2277" s="7" t="n">
        <f aca="false">AA2276+1</f>
        <v>43183</v>
      </c>
      <c r="AB2277" s="14"/>
      <c r="AC2277" s="14"/>
      <c r="AD2277" s="14"/>
      <c r="AE2277" s="14"/>
      <c r="AF2277" s="14"/>
      <c r="AG2277" s="14"/>
      <c r="AH2277" s="14"/>
      <c r="AI2277" s="14"/>
      <c r="AJ2277" s="14"/>
      <c r="AK2277" s="14"/>
      <c r="AL2277" s="14"/>
      <c r="AM2277" s="14"/>
    </row>
    <row r="2278" customFormat="false" ht="13.8" hidden="false" customHeight="false" outlineLevel="0" collapsed="false">
      <c r="AA2278" s="7" t="n">
        <f aca="false">AA2277+1</f>
        <v>43184</v>
      </c>
      <c r="AB2278" s="14"/>
      <c r="AC2278" s="14"/>
      <c r="AD2278" s="14"/>
      <c r="AE2278" s="14"/>
      <c r="AF2278" s="14"/>
      <c r="AG2278" s="14"/>
      <c r="AH2278" s="14"/>
      <c r="AI2278" s="14"/>
      <c r="AJ2278" s="14"/>
      <c r="AK2278" s="14"/>
      <c r="AL2278" s="14"/>
      <c r="AM2278" s="14"/>
    </row>
    <row r="2279" customFormat="false" ht="13.8" hidden="false" customHeight="false" outlineLevel="0" collapsed="false">
      <c r="AA2279" s="7" t="n">
        <f aca="false">AA2278+1</f>
        <v>43185</v>
      </c>
      <c r="AB2279" s="14"/>
      <c r="AC2279" s="14"/>
      <c r="AD2279" s="14"/>
      <c r="AE2279" s="14"/>
      <c r="AF2279" s="14"/>
      <c r="AG2279" s="14"/>
      <c r="AH2279" s="14"/>
      <c r="AI2279" s="14"/>
      <c r="AJ2279" s="14"/>
      <c r="AK2279" s="14"/>
      <c r="AL2279" s="14"/>
      <c r="AM2279" s="14"/>
    </row>
    <row r="2280" customFormat="false" ht="13.8" hidden="false" customHeight="false" outlineLevel="0" collapsed="false">
      <c r="AA2280" s="7" t="n">
        <f aca="false">AA2279+1</f>
        <v>43186</v>
      </c>
      <c r="AB2280" s="14"/>
      <c r="AC2280" s="14"/>
      <c r="AD2280" s="14"/>
      <c r="AE2280" s="14"/>
      <c r="AF2280" s="14"/>
      <c r="AG2280" s="14"/>
      <c r="AH2280" s="14"/>
      <c r="AI2280" s="14"/>
      <c r="AJ2280" s="14"/>
      <c r="AK2280" s="14"/>
      <c r="AL2280" s="14"/>
      <c r="AM2280" s="14"/>
    </row>
    <row r="2281" customFormat="false" ht="13.8" hidden="false" customHeight="false" outlineLevel="0" collapsed="false">
      <c r="AA2281" s="7" t="n">
        <f aca="false">AA2280+1</f>
        <v>43187</v>
      </c>
      <c r="AB2281" s="14"/>
      <c r="AC2281" s="14"/>
      <c r="AD2281" s="14"/>
      <c r="AE2281" s="14"/>
      <c r="AF2281" s="14"/>
      <c r="AG2281" s="14"/>
      <c r="AH2281" s="14"/>
      <c r="AI2281" s="14"/>
      <c r="AJ2281" s="14"/>
      <c r="AK2281" s="14"/>
      <c r="AL2281" s="14"/>
      <c r="AM2281" s="14"/>
    </row>
    <row r="2282" customFormat="false" ht="13.8" hidden="false" customHeight="false" outlineLevel="0" collapsed="false">
      <c r="AA2282" s="7" t="n">
        <f aca="false">AA2281+1</f>
        <v>43188</v>
      </c>
      <c r="AB2282" s="14"/>
      <c r="AC2282" s="14"/>
      <c r="AD2282" s="14"/>
      <c r="AE2282" s="14"/>
      <c r="AF2282" s="14"/>
      <c r="AG2282" s="14"/>
      <c r="AH2282" s="14"/>
      <c r="AI2282" s="14"/>
      <c r="AJ2282" s="14"/>
      <c r="AK2282" s="14"/>
      <c r="AL2282" s="14"/>
      <c r="AM2282" s="14"/>
    </row>
    <row r="2283" customFormat="false" ht="13.8" hidden="false" customHeight="false" outlineLevel="0" collapsed="false">
      <c r="AA2283" s="7" t="n">
        <f aca="false">AA2282+1</f>
        <v>43189</v>
      </c>
      <c r="AB2283" s="14"/>
      <c r="AC2283" s="14"/>
      <c r="AD2283" s="14"/>
      <c r="AE2283" s="14"/>
      <c r="AF2283" s="14"/>
      <c r="AG2283" s="14"/>
      <c r="AH2283" s="14"/>
      <c r="AI2283" s="14"/>
      <c r="AJ2283" s="14"/>
      <c r="AK2283" s="14"/>
      <c r="AL2283" s="14"/>
      <c r="AM2283" s="14"/>
    </row>
    <row r="2284" customFormat="false" ht="13.8" hidden="false" customHeight="false" outlineLevel="0" collapsed="false">
      <c r="AA2284" s="7" t="n">
        <f aca="false">AA2283+1</f>
        <v>43190</v>
      </c>
      <c r="AB2284" s="14"/>
      <c r="AC2284" s="14"/>
      <c r="AD2284" s="14"/>
      <c r="AE2284" s="14"/>
      <c r="AF2284" s="14"/>
      <c r="AG2284" s="14"/>
      <c r="AH2284" s="14"/>
      <c r="AI2284" s="14"/>
      <c r="AJ2284" s="14"/>
      <c r="AK2284" s="14"/>
      <c r="AL2284" s="14"/>
      <c r="AM2284" s="14"/>
    </row>
    <row r="2285" customFormat="false" ht="13.8" hidden="false" customHeight="false" outlineLevel="0" collapsed="false">
      <c r="AA2285" s="7" t="n">
        <f aca="false">AA2284+1</f>
        <v>43191</v>
      </c>
      <c r="AB2285" s="14"/>
      <c r="AC2285" s="14"/>
      <c r="AD2285" s="14"/>
      <c r="AE2285" s="14"/>
      <c r="AF2285" s="14"/>
      <c r="AG2285" s="14"/>
      <c r="AH2285" s="14"/>
      <c r="AI2285" s="14"/>
      <c r="AJ2285" s="14"/>
      <c r="AK2285" s="14"/>
      <c r="AL2285" s="14"/>
      <c r="AM2285" s="14"/>
    </row>
    <row r="2286" customFormat="false" ht="13.8" hidden="false" customHeight="false" outlineLevel="0" collapsed="false">
      <c r="AA2286" s="7" t="n">
        <f aca="false">AA2285+1</f>
        <v>43192</v>
      </c>
      <c r="AB2286" s="14"/>
      <c r="AC2286" s="14"/>
      <c r="AD2286" s="14"/>
      <c r="AE2286" s="14"/>
      <c r="AF2286" s="14"/>
      <c r="AG2286" s="14"/>
      <c r="AH2286" s="14"/>
      <c r="AI2286" s="14"/>
      <c r="AJ2286" s="14"/>
      <c r="AK2286" s="14"/>
      <c r="AL2286" s="14"/>
      <c r="AM2286" s="14"/>
    </row>
    <row r="2287" customFormat="false" ht="13.8" hidden="false" customHeight="false" outlineLevel="0" collapsed="false">
      <c r="AA2287" s="7" t="n">
        <f aca="false">AA2286+1</f>
        <v>43193</v>
      </c>
      <c r="AB2287" s="14"/>
      <c r="AC2287" s="14"/>
      <c r="AD2287" s="14"/>
      <c r="AE2287" s="14"/>
      <c r="AF2287" s="14"/>
      <c r="AG2287" s="14"/>
      <c r="AH2287" s="14"/>
      <c r="AI2287" s="14"/>
      <c r="AJ2287" s="14"/>
      <c r="AK2287" s="14"/>
      <c r="AL2287" s="14"/>
      <c r="AM2287" s="14"/>
    </row>
    <row r="2288" customFormat="false" ht="13.8" hidden="false" customHeight="false" outlineLevel="0" collapsed="false">
      <c r="AA2288" s="7" t="n">
        <f aca="false">AA2287+1</f>
        <v>43194</v>
      </c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</row>
    <row r="2289" customFormat="false" ht="13.8" hidden="false" customHeight="false" outlineLevel="0" collapsed="false">
      <c r="AA2289" s="7" t="n">
        <f aca="false">AA2288+1</f>
        <v>43195</v>
      </c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</row>
    <row r="2290" customFormat="false" ht="13.8" hidden="false" customHeight="false" outlineLevel="0" collapsed="false">
      <c r="AA2290" s="7" t="n">
        <f aca="false">AA2289+1</f>
        <v>43196</v>
      </c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</row>
    <row r="2291" customFormat="false" ht="13.8" hidden="false" customHeight="false" outlineLevel="0" collapsed="false">
      <c r="AA2291" s="7" t="n">
        <f aca="false">AA2290+1</f>
        <v>43197</v>
      </c>
      <c r="AB2291" s="14"/>
      <c r="AC2291" s="14"/>
      <c r="AD2291" s="14"/>
      <c r="AE2291" s="14"/>
      <c r="AF2291" s="14"/>
      <c r="AG2291" s="14"/>
      <c r="AH2291" s="14"/>
      <c r="AI2291" s="14"/>
      <c r="AJ2291" s="14"/>
      <c r="AK2291" s="14"/>
      <c r="AL2291" s="14"/>
      <c r="AM2291" s="14"/>
    </row>
    <row r="2292" customFormat="false" ht="13.8" hidden="false" customHeight="false" outlineLevel="0" collapsed="false">
      <c r="AA2292" s="7" t="n">
        <f aca="false">AA2291+1</f>
        <v>43198</v>
      </c>
      <c r="AB2292" s="14"/>
      <c r="AC2292" s="14"/>
      <c r="AD2292" s="14"/>
      <c r="AE2292" s="14"/>
      <c r="AF2292" s="14"/>
      <c r="AG2292" s="14"/>
      <c r="AH2292" s="14"/>
      <c r="AI2292" s="14"/>
      <c r="AJ2292" s="14"/>
      <c r="AK2292" s="14"/>
      <c r="AL2292" s="14"/>
      <c r="AM2292" s="14"/>
    </row>
    <row r="2293" customFormat="false" ht="13.8" hidden="false" customHeight="false" outlineLevel="0" collapsed="false">
      <c r="AA2293" s="7" t="n">
        <f aca="false">AA2292+1</f>
        <v>43199</v>
      </c>
      <c r="AB2293" s="14"/>
      <c r="AC2293" s="14"/>
      <c r="AD2293" s="14"/>
      <c r="AE2293" s="14"/>
      <c r="AF2293" s="14"/>
      <c r="AG2293" s="14"/>
      <c r="AH2293" s="14"/>
      <c r="AI2293" s="14"/>
      <c r="AJ2293" s="14"/>
      <c r="AK2293" s="14"/>
      <c r="AL2293" s="14"/>
      <c r="AM2293" s="14"/>
    </row>
    <row r="2294" customFormat="false" ht="13.8" hidden="false" customHeight="false" outlineLevel="0" collapsed="false">
      <c r="AA2294" s="7" t="n">
        <f aca="false">AA2293+1</f>
        <v>43200</v>
      </c>
      <c r="AB2294" s="14"/>
      <c r="AC2294" s="14"/>
      <c r="AD2294" s="14"/>
      <c r="AE2294" s="14"/>
      <c r="AF2294" s="14"/>
      <c r="AG2294" s="14"/>
      <c r="AH2294" s="14"/>
      <c r="AI2294" s="14"/>
      <c r="AJ2294" s="14"/>
      <c r="AK2294" s="14"/>
      <c r="AL2294" s="14"/>
      <c r="AM2294" s="14"/>
    </row>
    <row r="2295" customFormat="false" ht="13.8" hidden="false" customHeight="false" outlineLevel="0" collapsed="false">
      <c r="AA2295" s="7" t="n">
        <f aca="false">AA2294+1</f>
        <v>43201</v>
      </c>
      <c r="AB2295" s="14"/>
      <c r="AC2295" s="14"/>
      <c r="AD2295" s="14"/>
      <c r="AE2295" s="14"/>
      <c r="AF2295" s="14"/>
      <c r="AG2295" s="14"/>
      <c r="AH2295" s="14"/>
      <c r="AI2295" s="14"/>
      <c r="AJ2295" s="14"/>
      <c r="AK2295" s="14"/>
      <c r="AL2295" s="14"/>
      <c r="AM2295" s="14"/>
    </row>
    <row r="2296" customFormat="false" ht="13.8" hidden="false" customHeight="false" outlineLevel="0" collapsed="false">
      <c r="AA2296" s="7" t="n">
        <f aca="false">AA2295+1</f>
        <v>43202</v>
      </c>
      <c r="AB2296" s="14"/>
      <c r="AC2296" s="14"/>
      <c r="AD2296" s="14"/>
      <c r="AE2296" s="14"/>
      <c r="AF2296" s="14"/>
      <c r="AG2296" s="14"/>
      <c r="AH2296" s="14"/>
      <c r="AI2296" s="14"/>
      <c r="AJ2296" s="14"/>
      <c r="AK2296" s="14"/>
      <c r="AL2296" s="14"/>
      <c r="AM2296" s="14"/>
    </row>
    <row r="2297" customFormat="false" ht="13.8" hidden="false" customHeight="false" outlineLevel="0" collapsed="false">
      <c r="AA2297" s="7" t="n">
        <f aca="false">AA2296+1</f>
        <v>43203</v>
      </c>
      <c r="AB2297" s="14"/>
      <c r="AC2297" s="14"/>
      <c r="AD2297" s="14"/>
      <c r="AE2297" s="14"/>
      <c r="AF2297" s="14"/>
      <c r="AG2297" s="14"/>
      <c r="AH2297" s="14"/>
      <c r="AI2297" s="14"/>
      <c r="AJ2297" s="14"/>
      <c r="AK2297" s="14"/>
      <c r="AL2297" s="14"/>
      <c r="AM2297" s="14"/>
    </row>
    <row r="2298" customFormat="false" ht="13.8" hidden="false" customHeight="false" outlineLevel="0" collapsed="false">
      <c r="AA2298" s="7" t="n">
        <f aca="false">AA2297+1</f>
        <v>43204</v>
      </c>
      <c r="AB2298" s="14"/>
      <c r="AC2298" s="14"/>
      <c r="AD2298" s="14"/>
      <c r="AE2298" s="14"/>
      <c r="AF2298" s="14"/>
      <c r="AG2298" s="14"/>
      <c r="AH2298" s="14"/>
      <c r="AI2298" s="14"/>
      <c r="AJ2298" s="14"/>
      <c r="AK2298" s="14"/>
      <c r="AL2298" s="14"/>
      <c r="AM2298" s="14"/>
    </row>
    <row r="2299" customFormat="false" ht="13.8" hidden="false" customHeight="false" outlineLevel="0" collapsed="false">
      <c r="AA2299" s="7" t="n">
        <f aca="false">AA2298+1</f>
        <v>43205</v>
      </c>
      <c r="AB2299" s="14"/>
      <c r="AC2299" s="14"/>
      <c r="AD2299" s="14"/>
      <c r="AE2299" s="14"/>
      <c r="AF2299" s="14"/>
      <c r="AG2299" s="14"/>
      <c r="AH2299" s="14"/>
      <c r="AI2299" s="14"/>
      <c r="AJ2299" s="14"/>
      <c r="AK2299" s="14"/>
      <c r="AL2299" s="14"/>
      <c r="AM2299" s="14"/>
    </row>
    <row r="2300" customFormat="false" ht="13.8" hidden="false" customHeight="false" outlineLevel="0" collapsed="false">
      <c r="AA2300" s="7" t="n">
        <f aca="false">AA2299+1</f>
        <v>43206</v>
      </c>
      <c r="AB2300" s="14"/>
      <c r="AC2300" s="14"/>
      <c r="AD2300" s="14"/>
      <c r="AE2300" s="14"/>
      <c r="AF2300" s="14"/>
      <c r="AG2300" s="14"/>
      <c r="AH2300" s="14"/>
      <c r="AI2300" s="14"/>
      <c r="AJ2300" s="14"/>
      <c r="AK2300" s="14"/>
      <c r="AL2300" s="14"/>
      <c r="AM2300" s="14"/>
    </row>
    <row r="2301" customFormat="false" ht="13.8" hidden="false" customHeight="false" outlineLevel="0" collapsed="false">
      <c r="AA2301" s="7" t="n">
        <f aca="false">AA2300+1</f>
        <v>43207</v>
      </c>
      <c r="AB2301" s="14"/>
      <c r="AC2301" s="14"/>
      <c r="AD2301" s="14"/>
      <c r="AE2301" s="14"/>
      <c r="AF2301" s="14"/>
      <c r="AG2301" s="14"/>
      <c r="AH2301" s="14"/>
      <c r="AI2301" s="14"/>
      <c r="AJ2301" s="14"/>
      <c r="AK2301" s="14"/>
      <c r="AL2301" s="14"/>
      <c r="AM2301" s="14"/>
    </row>
    <row r="2302" customFormat="false" ht="13.8" hidden="false" customHeight="false" outlineLevel="0" collapsed="false">
      <c r="AA2302" s="7" t="n">
        <f aca="false">AA2301+1</f>
        <v>43208</v>
      </c>
      <c r="AB2302" s="14"/>
      <c r="AC2302" s="14"/>
      <c r="AD2302" s="14"/>
      <c r="AE2302" s="14"/>
      <c r="AF2302" s="14"/>
      <c r="AG2302" s="14"/>
      <c r="AH2302" s="14"/>
      <c r="AI2302" s="14"/>
      <c r="AJ2302" s="14"/>
      <c r="AK2302" s="14"/>
      <c r="AL2302" s="14"/>
      <c r="AM2302" s="14"/>
    </row>
    <row r="2303" customFormat="false" ht="13.8" hidden="false" customHeight="false" outlineLevel="0" collapsed="false">
      <c r="AA2303" s="7" t="n">
        <f aca="false">AA2302+1</f>
        <v>43209</v>
      </c>
      <c r="AB2303" s="14"/>
      <c r="AC2303" s="14"/>
      <c r="AD2303" s="14"/>
      <c r="AE2303" s="14"/>
      <c r="AF2303" s="14"/>
      <c r="AG2303" s="14"/>
      <c r="AH2303" s="14"/>
      <c r="AI2303" s="14"/>
      <c r="AJ2303" s="14"/>
      <c r="AK2303" s="14"/>
      <c r="AL2303" s="14"/>
      <c r="AM2303" s="14"/>
    </row>
    <row r="2304" customFormat="false" ht="13.8" hidden="false" customHeight="false" outlineLevel="0" collapsed="false">
      <c r="AA2304" s="7" t="n">
        <f aca="false">AA2303+1</f>
        <v>43210</v>
      </c>
      <c r="AB2304" s="14"/>
      <c r="AC2304" s="14"/>
      <c r="AD2304" s="14"/>
      <c r="AE2304" s="14"/>
      <c r="AF2304" s="14"/>
      <c r="AG2304" s="14"/>
      <c r="AH2304" s="14"/>
      <c r="AI2304" s="14"/>
      <c r="AJ2304" s="14"/>
      <c r="AK2304" s="14"/>
      <c r="AL2304" s="14"/>
      <c r="AM2304" s="14"/>
    </row>
    <row r="2305" customFormat="false" ht="13.8" hidden="false" customHeight="false" outlineLevel="0" collapsed="false">
      <c r="AA2305" s="7" t="n">
        <f aca="false">AA2304+1</f>
        <v>43211</v>
      </c>
      <c r="AB2305" s="14"/>
      <c r="AC2305" s="14"/>
      <c r="AD2305" s="14"/>
      <c r="AE2305" s="14"/>
      <c r="AF2305" s="14"/>
      <c r="AG2305" s="14"/>
      <c r="AH2305" s="14"/>
      <c r="AI2305" s="14"/>
      <c r="AJ2305" s="14"/>
      <c r="AK2305" s="14"/>
      <c r="AL2305" s="14"/>
      <c r="AM2305" s="14"/>
    </row>
    <row r="2306" customFormat="false" ht="13.8" hidden="false" customHeight="false" outlineLevel="0" collapsed="false">
      <c r="AA2306" s="7" t="n">
        <f aca="false">AA2305+1</f>
        <v>43212</v>
      </c>
      <c r="AB2306" s="14"/>
      <c r="AC2306" s="14"/>
      <c r="AD2306" s="14"/>
      <c r="AE2306" s="14"/>
      <c r="AF2306" s="14"/>
      <c r="AG2306" s="14"/>
      <c r="AH2306" s="14"/>
      <c r="AI2306" s="14"/>
      <c r="AJ2306" s="14"/>
      <c r="AK2306" s="14"/>
      <c r="AL2306" s="14"/>
      <c r="AM2306" s="14"/>
    </row>
    <row r="2307" customFormat="false" ht="13.8" hidden="false" customHeight="false" outlineLevel="0" collapsed="false">
      <c r="AA2307" s="7" t="n">
        <f aca="false">AA2306+1</f>
        <v>43213</v>
      </c>
      <c r="AB2307" s="14"/>
      <c r="AC2307" s="14"/>
      <c r="AD2307" s="14"/>
      <c r="AE2307" s="14"/>
      <c r="AF2307" s="14"/>
      <c r="AG2307" s="14"/>
      <c r="AH2307" s="14"/>
      <c r="AI2307" s="14"/>
      <c r="AJ2307" s="14"/>
      <c r="AK2307" s="14"/>
      <c r="AL2307" s="14"/>
      <c r="AM2307" s="14"/>
    </row>
    <row r="2308" customFormat="false" ht="13.8" hidden="false" customHeight="false" outlineLevel="0" collapsed="false">
      <c r="AA2308" s="7" t="n">
        <f aca="false">AA2307+1</f>
        <v>43214</v>
      </c>
      <c r="AB2308" s="14"/>
      <c r="AC2308" s="14"/>
      <c r="AD2308" s="14"/>
      <c r="AE2308" s="14"/>
      <c r="AF2308" s="14"/>
      <c r="AG2308" s="14"/>
      <c r="AH2308" s="14"/>
      <c r="AI2308" s="14"/>
      <c r="AJ2308" s="14"/>
      <c r="AK2308" s="14"/>
      <c r="AL2308" s="14"/>
      <c r="AM2308" s="14"/>
    </row>
    <row r="2309" customFormat="false" ht="13.8" hidden="false" customHeight="false" outlineLevel="0" collapsed="false">
      <c r="AA2309" s="7" t="n">
        <f aca="false">AA2308+1</f>
        <v>43215</v>
      </c>
      <c r="AB2309" s="14"/>
      <c r="AC2309" s="14"/>
      <c r="AD2309" s="14"/>
      <c r="AE2309" s="14"/>
      <c r="AF2309" s="14"/>
      <c r="AG2309" s="14"/>
      <c r="AH2309" s="14"/>
      <c r="AI2309" s="14"/>
      <c r="AJ2309" s="14"/>
      <c r="AK2309" s="14"/>
      <c r="AL2309" s="14"/>
      <c r="AM2309" s="14"/>
    </row>
    <row r="2310" customFormat="false" ht="13.8" hidden="false" customHeight="false" outlineLevel="0" collapsed="false">
      <c r="AA2310" s="7" t="n">
        <f aca="false">AA2309+1</f>
        <v>43216</v>
      </c>
      <c r="AB2310" s="14"/>
      <c r="AC2310" s="14"/>
      <c r="AD2310" s="14"/>
      <c r="AE2310" s="14"/>
      <c r="AF2310" s="14"/>
      <c r="AG2310" s="14"/>
      <c r="AH2310" s="14"/>
      <c r="AI2310" s="14"/>
      <c r="AJ2310" s="14"/>
      <c r="AK2310" s="14"/>
      <c r="AL2310" s="14"/>
      <c r="AM2310" s="14"/>
    </row>
    <row r="2311" customFormat="false" ht="13.8" hidden="false" customHeight="false" outlineLevel="0" collapsed="false">
      <c r="AA2311" s="7" t="n">
        <f aca="false">AA2310+1</f>
        <v>43217</v>
      </c>
      <c r="AB2311" s="14"/>
      <c r="AC2311" s="14"/>
      <c r="AD2311" s="14"/>
      <c r="AE2311" s="14"/>
      <c r="AF2311" s="14"/>
      <c r="AG2311" s="14"/>
      <c r="AH2311" s="14"/>
      <c r="AI2311" s="14"/>
      <c r="AJ2311" s="14"/>
      <c r="AK2311" s="14"/>
      <c r="AL2311" s="14"/>
      <c r="AM2311" s="14"/>
    </row>
    <row r="2312" customFormat="false" ht="13.8" hidden="false" customHeight="false" outlineLevel="0" collapsed="false">
      <c r="AA2312" s="7" t="n">
        <f aca="false">AA2311+1</f>
        <v>43218</v>
      </c>
      <c r="AB2312" s="14"/>
      <c r="AC2312" s="14"/>
      <c r="AD2312" s="14"/>
      <c r="AE2312" s="14"/>
      <c r="AF2312" s="14"/>
      <c r="AG2312" s="14"/>
      <c r="AH2312" s="14"/>
      <c r="AI2312" s="14"/>
      <c r="AJ2312" s="14"/>
      <c r="AK2312" s="14"/>
      <c r="AL2312" s="14"/>
      <c r="AM2312" s="14"/>
    </row>
    <row r="2313" customFormat="false" ht="13.8" hidden="false" customHeight="false" outlineLevel="0" collapsed="false">
      <c r="AA2313" s="7" t="n">
        <f aca="false">AA2312+1</f>
        <v>43219</v>
      </c>
      <c r="AB2313" s="14"/>
      <c r="AC2313" s="14"/>
      <c r="AD2313" s="14"/>
      <c r="AE2313" s="14"/>
      <c r="AF2313" s="14"/>
      <c r="AG2313" s="14"/>
      <c r="AH2313" s="14"/>
      <c r="AI2313" s="14"/>
      <c r="AJ2313" s="14"/>
      <c r="AK2313" s="14"/>
      <c r="AL2313" s="14"/>
      <c r="AM2313" s="14"/>
    </row>
    <row r="2314" customFormat="false" ht="13.8" hidden="false" customHeight="false" outlineLevel="0" collapsed="false">
      <c r="AA2314" s="7" t="n">
        <f aca="false">AA2313+1</f>
        <v>43220</v>
      </c>
      <c r="AB2314" s="14"/>
      <c r="AC2314" s="14"/>
      <c r="AD2314" s="14"/>
      <c r="AE2314" s="14"/>
      <c r="AF2314" s="14"/>
      <c r="AG2314" s="14"/>
      <c r="AH2314" s="14"/>
      <c r="AI2314" s="14"/>
      <c r="AJ2314" s="14"/>
      <c r="AK2314" s="14"/>
      <c r="AL2314" s="14"/>
      <c r="AM2314" s="14"/>
    </row>
    <row r="2315" customFormat="false" ht="13.8" hidden="false" customHeight="false" outlineLevel="0" collapsed="false">
      <c r="AA2315" s="7" t="n">
        <f aca="false">AA2314+1</f>
        <v>43221</v>
      </c>
      <c r="AB2315" s="14"/>
      <c r="AC2315" s="14"/>
      <c r="AD2315" s="14"/>
      <c r="AE2315" s="14"/>
      <c r="AF2315" s="14"/>
      <c r="AG2315" s="14"/>
      <c r="AH2315" s="14"/>
      <c r="AI2315" s="14"/>
      <c r="AJ2315" s="14"/>
      <c r="AK2315" s="14"/>
      <c r="AL2315" s="14"/>
      <c r="AM2315" s="14"/>
    </row>
    <row r="2316" customFormat="false" ht="13.8" hidden="false" customHeight="false" outlineLevel="0" collapsed="false">
      <c r="AA2316" s="7" t="n">
        <f aca="false">AA2315+1</f>
        <v>43222</v>
      </c>
      <c r="AB2316" s="14"/>
      <c r="AC2316" s="14"/>
      <c r="AD2316" s="14"/>
      <c r="AE2316" s="14"/>
      <c r="AF2316" s="14"/>
      <c r="AG2316" s="14"/>
      <c r="AH2316" s="14"/>
      <c r="AI2316" s="14"/>
      <c r="AJ2316" s="14"/>
      <c r="AK2316" s="14"/>
      <c r="AL2316" s="14"/>
      <c r="AM2316" s="14"/>
    </row>
    <row r="2317" customFormat="false" ht="13.8" hidden="false" customHeight="false" outlineLevel="0" collapsed="false">
      <c r="AA2317" s="7" t="n">
        <f aca="false">AA2316+1</f>
        <v>43223</v>
      </c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</row>
    <row r="2318" customFormat="false" ht="13.8" hidden="false" customHeight="false" outlineLevel="0" collapsed="false">
      <c r="AA2318" s="7" t="n">
        <f aca="false">AA2317+1</f>
        <v>43224</v>
      </c>
      <c r="AB2318" s="14"/>
      <c r="AC2318" s="14"/>
      <c r="AD2318" s="14"/>
      <c r="AE2318" s="14"/>
      <c r="AF2318" s="14"/>
      <c r="AG2318" s="14"/>
      <c r="AH2318" s="14"/>
      <c r="AI2318" s="14"/>
      <c r="AJ2318" s="14"/>
      <c r="AK2318" s="14"/>
      <c r="AL2318" s="14"/>
      <c r="AM2318" s="14"/>
    </row>
    <row r="2319" customFormat="false" ht="13.8" hidden="false" customHeight="false" outlineLevel="0" collapsed="false">
      <c r="AA2319" s="7" t="n">
        <f aca="false">AA2318+1</f>
        <v>43225</v>
      </c>
      <c r="AB2319" s="14"/>
      <c r="AC2319" s="14"/>
      <c r="AD2319" s="14"/>
      <c r="AE2319" s="14"/>
      <c r="AF2319" s="14"/>
      <c r="AG2319" s="14"/>
      <c r="AH2319" s="14"/>
      <c r="AI2319" s="14"/>
      <c r="AJ2319" s="14"/>
      <c r="AK2319" s="14"/>
      <c r="AL2319" s="14"/>
      <c r="AM2319" s="14"/>
    </row>
    <row r="2320" customFormat="false" ht="13.8" hidden="false" customHeight="false" outlineLevel="0" collapsed="false">
      <c r="AA2320" s="7" t="n">
        <f aca="false">AA2319+1</f>
        <v>43226</v>
      </c>
      <c r="AB2320" s="14"/>
      <c r="AC2320" s="14"/>
      <c r="AD2320" s="14"/>
      <c r="AE2320" s="14"/>
      <c r="AF2320" s="14"/>
      <c r="AG2320" s="14"/>
      <c r="AH2320" s="14"/>
      <c r="AI2320" s="14"/>
      <c r="AJ2320" s="14"/>
      <c r="AK2320" s="14"/>
      <c r="AL2320" s="14"/>
      <c r="AM2320" s="14"/>
    </row>
    <row r="2321" customFormat="false" ht="13.8" hidden="false" customHeight="false" outlineLevel="0" collapsed="false">
      <c r="AA2321" s="7" t="n">
        <f aca="false">AA2320+1</f>
        <v>43227</v>
      </c>
      <c r="AB2321" s="14"/>
      <c r="AC2321" s="14"/>
      <c r="AD2321" s="14"/>
      <c r="AE2321" s="14"/>
      <c r="AF2321" s="14"/>
      <c r="AG2321" s="14"/>
      <c r="AH2321" s="14"/>
      <c r="AI2321" s="14"/>
      <c r="AJ2321" s="14"/>
      <c r="AK2321" s="14"/>
      <c r="AL2321" s="14"/>
      <c r="AM2321" s="14"/>
    </row>
    <row r="2322" customFormat="false" ht="13.8" hidden="false" customHeight="false" outlineLevel="0" collapsed="false">
      <c r="AA2322" s="7" t="n">
        <f aca="false">AA2321+1</f>
        <v>43228</v>
      </c>
      <c r="AB2322" s="14"/>
      <c r="AC2322" s="14"/>
      <c r="AD2322" s="14"/>
      <c r="AE2322" s="14"/>
      <c r="AF2322" s="14"/>
      <c r="AG2322" s="14"/>
      <c r="AH2322" s="14"/>
      <c r="AI2322" s="14"/>
      <c r="AJ2322" s="14"/>
      <c r="AK2322" s="14"/>
      <c r="AL2322" s="14"/>
      <c r="AM2322" s="14"/>
    </row>
    <row r="2323" customFormat="false" ht="13.8" hidden="false" customHeight="false" outlineLevel="0" collapsed="false">
      <c r="AA2323" s="7" t="n">
        <f aca="false">AA2322+1</f>
        <v>43229</v>
      </c>
      <c r="AB2323" s="14"/>
      <c r="AC2323" s="14"/>
      <c r="AD2323" s="14"/>
      <c r="AE2323" s="14"/>
      <c r="AF2323" s="14"/>
      <c r="AG2323" s="14"/>
      <c r="AH2323" s="14"/>
      <c r="AI2323" s="14"/>
      <c r="AJ2323" s="14"/>
      <c r="AK2323" s="14"/>
      <c r="AL2323" s="14"/>
      <c r="AM2323" s="14"/>
    </row>
    <row r="2324" customFormat="false" ht="13.8" hidden="false" customHeight="false" outlineLevel="0" collapsed="false">
      <c r="AA2324" s="7" t="n">
        <f aca="false">AA2323+1</f>
        <v>43230</v>
      </c>
      <c r="AB2324" s="14"/>
      <c r="AC2324" s="14"/>
      <c r="AD2324" s="14"/>
      <c r="AE2324" s="14"/>
      <c r="AF2324" s="14"/>
      <c r="AG2324" s="14"/>
      <c r="AH2324" s="14"/>
      <c r="AI2324" s="14"/>
      <c r="AJ2324" s="14"/>
      <c r="AK2324" s="14"/>
      <c r="AL2324" s="14"/>
      <c r="AM2324" s="14"/>
    </row>
    <row r="2325" customFormat="false" ht="13.8" hidden="false" customHeight="false" outlineLevel="0" collapsed="false">
      <c r="AA2325" s="7" t="n">
        <f aca="false">AA2324+1</f>
        <v>43231</v>
      </c>
      <c r="AB2325" s="14"/>
      <c r="AC2325" s="14"/>
      <c r="AD2325" s="14"/>
      <c r="AE2325" s="14"/>
      <c r="AF2325" s="14"/>
      <c r="AG2325" s="14"/>
      <c r="AH2325" s="14"/>
      <c r="AI2325" s="14"/>
      <c r="AJ2325" s="14"/>
      <c r="AK2325" s="14"/>
      <c r="AL2325" s="14"/>
      <c r="AM2325" s="14"/>
    </row>
    <row r="2326" customFormat="false" ht="13.8" hidden="false" customHeight="false" outlineLevel="0" collapsed="false">
      <c r="AA2326" s="7" t="n">
        <f aca="false">AA2325+1</f>
        <v>43232</v>
      </c>
      <c r="AB2326" s="14"/>
      <c r="AC2326" s="14"/>
      <c r="AD2326" s="14"/>
      <c r="AE2326" s="14"/>
      <c r="AF2326" s="14"/>
      <c r="AG2326" s="14"/>
      <c r="AH2326" s="14"/>
      <c r="AI2326" s="14"/>
      <c r="AJ2326" s="14"/>
      <c r="AK2326" s="14"/>
      <c r="AL2326" s="14"/>
      <c r="AM2326" s="14"/>
    </row>
    <row r="2327" customFormat="false" ht="13.8" hidden="false" customHeight="false" outlineLevel="0" collapsed="false">
      <c r="AA2327" s="7" t="n">
        <f aca="false">AA2326+1</f>
        <v>43233</v>
      </c>
      <c r="AB2327" s="14"/>
      <c r="AC2327" s="14"/>
      <c r="AD2327" s="14"/>
      <c r="AE2327" s="14"/>
      <c r="AF2327" s="14"/>
      <c r="AG2327" s="14"/>
      <c r="AH2327" s="14"/>
      <c r="AI2327" s="14"/>
      <c r="AJ2327" s="14"/>
      <c r="AK2327" s="14"/>
      <c r="AL2327" s="14"/>
      <c r="AM2327" s="14"/>
    </row>
    <row r="2328" customFormat="false" ht="13.8" hidden="false" customHeight="false" outlineLevel="0" collapsed="false">
      <c r="AA2328" s="7" t="n">
        <f aca="false">AA2327+1</f>
        <v>43234</v>
      </c>
      <c r="AB2328" s="14"/>
      <c r="AC2328" s="14"/>
      <c r="AD2328" s="14"/>
      <c r="AE2328" s="14"/>
      <c r="AF2328" s="14"/>
      <c r="AG2328" s="14"/>
      <c r="AH2328" s="14"/>
      <c r="AI2328" s="14"/>
      <c r="AJ2328" s="14"/>
      <c r="AK2328" s="14"/>
      <c r="AL2328" s="14"/>
      <c r="AM2328" s="14"/>
    </row>
    <row r="2329" customFormat="false" ht="13.8" hidden="false" customHeight="false" outlineLevel="0" collapsed="false">
      <c r="AA2329" s="7" t="n">
        <f aca="false">AA2328+1</f>
        <v>43235</v>
      </c>
      <c r="AB2329" s="14"/>
      <c r="AC2329" s="14"/>
      <c r="AD2329" s="14"/>
      <c r="AE2329" s="14"/>
      <c r="AF2329" s="14"/>
      <c r="AG2329" s="14"/>
      <c r="AH2329" s="14"/>
      <c r="AI2329" s="14"/>
      <c r="AJ2329" s="14"/>
      <c r="AK2329" s="14"/>
      <c r="AL2329" s="14"/>
      <c r="AM2329" s="14"/>
    </row>
    <row r="2330" customFormat="false" ht="13.8" hidden="false" customHeight="false" outlineLevel="0" collapsed="false">
      <c r="AA2330" s="7" t="n">
        <f aca="false">AA2329+1</f>
        <v>43236</v>
      </c>
      <c r="AB2330" s="14"/>
      <c r="AC2330" s="14"/>
      <c r="AD2330" s="14"/>
      <c r="AE2330" s="14"/>
      <c r="AF2330" s="14"/>
      <c r="AG2330" s="14"/>
      <c r="AH2330" s="14"/>
      <c r="AI2330" s="14"/>
      <c r="AJ2330" s="14"/>
      <c r="AK2330" s="14"/>
      <c r="AL2330" s="14"/>
      <c r="AM2330" s="14"/>
    </row>
    <row r="2331" customFormat="false" ht="13.8" hidden="false" customHeight="false" outlineLevel="0" collapsed="false">
      <c r="AA2331" s="7" t="n">
        <f aca="false">AA2330+1</f>
        <v>43237</v>
      </c>
      <c r="AB2331" s="14"/>
      <c r="AC2331" s="14"/>
      <c r="AD2331" s="14"/>
      <c r="AE2331" s="14"/>
      <c r="AF2331" s="14"/>
      <c r="AG2331" s="14"/>
      <c r="AH2331" s="14"/>
      <c r="AI2331" s="14"/>
      <c r="AJ2331" s="14"/>
      <c r="AK2331" s="14"/>
      <c r="AL2331" s="14"/>
      <c r="AM2331" s="14"/>
    </row>
    <row r="2332" customFormat="false" ht="13.8" hidden="false" customHeight="false" outlineLevel="0" collapsed="false">
      <c r="AA2332" s="7" t="n">
        <f aca="false">AA2331+1</f>
        <v>43238</v>
      </c>
      <c r="AB2332" s="14"/>
      <c r="AC2332" s="14"/>
      <c r="AD2332" s="14"/>
      <c r="AE2332" s="14"/>
      <c r="AF2332" s="14"/>
      <c r="AG2332" s="14"/>
      <c r="AH2332" s="14"/>
      <c r="AI2332" s="14"/>
      <c r="AJ2332" s="14"/>
      <c r="AK2332" s="14"/>
      <c r="AL2332" s="14"/>
      <c r="AM2332" s="14"/>
    </row>
    <row r="2333" customFormat="false" ht="13.8" hidden="false" customHeight="false" outlineLevel="0" collapsed="false">
      <c r="AA2333" s="7" t="n">
        <f aca="false">AA2332+1</f>
        <v>43239</v>
      </c>
      <c r="AB2333" s="14"/>
      <c r="AC2333" s="14"/>
      <c r="AD2333" s="14"/>
      <c r="AE2333" s="14"/>
      <c r="AF2333" s="14"/>
      <c r="AG2333" s="14"/>
      <c r="AH2333" s="14"/>
      <c r="AI2333" s="14"/>
      <c r="AJ2333" s="14"/>
      <c r="AK2333" s="14"/>
      <c r="AL2333" s="14"/>
      <c r="AM2333" s="14"/>
    </row>
    <row r="2334" customFormat="false" ht="13.8" hidden="false" customHeight="false" outlineLevel="0" collapsed="false">
      <c r="AA2334" s="7" t="n">
        <f aca="false">AA2333+1</f>
        <v>43240</v>
      </c>
      <c r="AB2334" s="14"/>
      <c r="AC2334" s="14"/>
      <c r="AD2334" s="14"/>
      <c r="AE2334" s="14"/>
      <c r="AF2334" s="14"/>
      <c r="AG2334" s="14"/>
      <c r="AH2334" s="14"/>
      <c r="AI2334" s="14"/>
      <c r="AJ2334" s="14"/>
      <c r="AK2334" s="14"/>
      <c r="AL2334" s="14"/>
      <c r="AM2334" s="14"/>
    </row>
    <row r="2335" customFormat="false" ht="13.8" hidden="false" customHeight="false" outlineLevel="0" collapsed="false">
      <c r="AA2335" s="7" t="n">
        <f aca="false">AA2334+1</f>
        <v>43241</v>
      </c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</row>
    <row r="2336" customFormat="false" ht="13.8" hidden="false" customHeight="false" outlineLevel="0" collapsed="false">
      <c r="AA2336" s="7" t="n">
        <f aca="false">AA2335+1</f>
        <v>43242</v>
      </c>
      <c r="AB2336" s="14"/>
      <c r="AC2336" s="14"/>
      <c r="AD2336" s="14"/>
      <c r="AE2336" s="14"/>
      <c r="AF2336" s="14"/>
      <c r="AG2336" s="14"/>
      <c r="AH2336" s="14"/>
      <c r="AI2336" s="14"/>
      <c r="AJ2336" s="14"/>
      <c r="AK2336" s="14"/>
      <c r="AL2336" s="14"/>
      <c r="AM2336" s="14"/>
    </row>
    <row r="2337" customFormat="false" ht="13.8" hidden="false" customHeight="false" outlineLevel="0" collapsed="false">
      <c r="AA2337" s="7" t="n">
        <f aca="false">AA2336+1</f>
        <v>43243</v>
      </c>
      <c r="AB2337" s="14"/>
      <c r="AC2337" s="14"/>
      <c r="AD2337" s="14"/>
      <c r="AE2337" s="14"/>
      <c r="AF2337" s="14"/>
      <c r="AG2337" s="14"/>
      <c r="AH2337" s="14"/>
      <c r="AI2337" s="14"/>
      <c r="AJ2337" s="14"/>
      <c r="AK2337" s="14"/>
      <c r="AL2337" s="14"/>
      <c r="AM2337" s="14"/>
    </row>
    <row r="2338" customFormat="false" ht="13.8" hidden="false" customHeight="false" outlineLevel="0" collapsed="false">
      <c r="AA2338" s="7" t="n">
        <f aca="false">AA2337+1</f>
        <v>43244</v>
      </c>
      <c r="AB2338" s="14"/>
      <c r="AC2338" s="14"/>
      <c r="AD2338" s="14"/>
      <c r="AE2338" s="14"/>
      <c r="AF2338" s="14"/>
      <c r="AG2338" s="14"/>
      <c r="AH2338" s="14"/>
      <c r="AI2338" s="14"/>
      <c r="AJ2338" s="14"/>
      <c r="AK2338" s="14"/>
      <c r="AL2338" s="14"/>
      <c r="AM2338" s="14"/>
    </row>
    <row r="2339" customFormat="false" ht="13.8" hidden="false" customHeight="false" outlineLevel="0" collapsed="false">
      <c r="AA2339" s="7" t="n">
        <f aca="false">AA2338+1</f>
        <v>43245</v>
      </c>
      <c r="AB2339" s="14"/>
      <c r="AC2339" s="14"/>
      <c r="AD2339" s="14"/>
      <c r="AE2339" s="14"/>
      <c r="AF2339" s="14"/>
      <c r="AG2339" s="14"/>
      <c r="AH2339" s="14"/>
      <c r="AI2339" s="14"/>
      <c r="AJ2339" s="14"/>
      <c r="AK2339" s="14"/>
      <c r="AL2339" s="14"/>
      <c r="AM2339" s="14"/>
    </row>
    <row r="2340" customFormat="false" ht="13.8" hidden="false" customHeight="false" outlineLevel="0" collapsed="false">
      <c r="AA2340" s="7" t="n">
        <f aca="false">AA2339+1</f>
        <v>43246</v>
      </c>
      <c r="AB2340" s="14"/>
      <c r="AC2340" s="14"/>
      <c r="AD2340" s="14"/>
      <c r="AE2340" s="14"/>
      <c r="AF2340" s="14"/>
      <c r="AG2340" s="14"/>
      <c r="AH2340" s="14"/>
      <c r="AI2340" s="14"/>
      <c r="AJ2340" s="14"/>
      <c r="AK2340" s="14"/>
      <c r="AL2340" s="14"/>
      <c r="AM2340" s="14"/>
    </row>
    <row r="2341" customFormat="false" ht="13.8" hidden="false" customHeight="false" outlineLevel="0" collapsed="false">
      <c r="AA2341" s="7" t="n">
        <f aca="false">AA2340+1</f>
        <v>43247</v>
      </c>
      <c r="AB2341" s="14"/>
      <c r="AC2341" s="14"/>
      <c r="AD2341" s="14"/>
      <c r="AE2341" s="14"/>
      <c r="AF2341" s="14"/>
      <c r="AG2341" s="14"/>
      <c r="AH2341" s="14"/>
      <c r="AI2341" s="14"/>
      <c r="AJ2341" s="14"/>
      <c r="AK2341" s="14"/>
      <c r="AL2341" s="14"/>
      <c r="AM2341" s="14"/>
    </row>
    <row r="2342" customFormat="false" ht="13.8" hidden="false" customHeight="false" outlineLevel="0" collapsed="false">
      <c r="AA2342" s="7" t="n">
        <f aca="false">AA2341+1</f>
        <v>43248</v>
      </c>
      <c r="AB2342" s="14"/>
      <c r="AC2342" s="14"/>
      <c r="AD2342" s="14"/>
      <c r="AE2342" s="14"/>
      <c r="AF2342" s="14"/>
      <c r="AG2342" s="14"/>
      <c r="AH2342" s="14"/>
      <c r="AI2342" s="14"/>
      <c r="AJ2342" s="14"/>
      <c r="AK2342" s="14"/>
      <c r="AL2342" s="14"/>
      <c r="AM2342" s="14"/>
    </row>
    <row r="2343" customFormat="false" ht="13.8" hidden="false" customHeight="false" outlineLevel="0" collapsed="false">
      <c r="AA2343" s="7" t="n">
        <f aca="false">AA2342+1</f>
        <v>43249</v>
      </c>
      <c r="AB2343" s="14"/>
      <c r="AC2343" s="14"/>
      <c r="AD2343" s="14"/>
      <c r="AE2343" s="14"/>
      <c r="AF2343" s="14"/>
      <c r="AG2343" s="14"/>
      <c r="AH2343" s="14"/>
      <c r="AI2343" s="14"/>
      <c r="AJ2343" s="14"/>
      <c r="AK2343" s="14"/>
      <c r="AL2343" s="14"/>
      <c r="AM2343" s="14"/>
    </row>
    <row r="2344" customFormat="false" ht="13.8" hidden="false" customHeight="false" outlineLevel="0" collapsed="false">
      <c r="AA2344" s="7" t="n">
        <f aca="false">AA2343+1</f>
        <v>43250</v>
      </c>
      <c r="AB2344" s="14"/>
      <c r="AC2344" s="14"/>
      <c r="AD2344" s="14"/>
      <c r="AE2344" s="14"/>
      <c r="AF2344" s="14"/>
      <c r="AG2344" s="14"/>
      <c r="AH2344" s="14"/>
      <c r="AI2344" s="14"/>
      <c r="AJ2344" s="14"/>
      <c r="AK2344" s="14"/>
      <c r="AL2344" s="14"/>
      <c r="AM2344" s="14"/>
    </row>
    <row r="2345" customFormat="false" ht="13.8" hidden="false" customHeight="false" outlineLevel="0" collapsed="false">
      <c r="AA2345" s="7" t="n">
        <f aca="false">AA2344+1</f>
        <v>43251</v>
      </c>
      <c r="AB2345" s="14"/>
      <c r="AC2345" s="14"/>
      <c r="AD2345" s="14"/>
      <c r="AE2345" s="14"/>
      <c r="AF2345" s="14"/>
      <c r="AG2345" s="14"/>
      <c r="AH2345" s="14"/>
      <c r="AI2345" s="14"/>
      <c r="AJ2345" s="14"/>
      <c r="AK2345" s="14"/>
      <c r="AL2345" s="14"/>
      <c r="AM2345" s="14"/>
    </row>
    <row r="2346" customFormat="false" ht="13.8" hidden="false" customHeight="false" outlineLevel="0" collapsed="false">
      <c r="AA2346" s="7" t="n">
        <f aca="false">AA2345+1</f>
        <v>43252</v>
      </c>
      <c r="AB2346" s="14"/>
      <c r="AC2346" s="14"/>
      <c r="AD2346" s="14"/>
      <c r="AE2346" s="14"/>
      <c r="AF2346" s="14"/>
      <c r="AG2346" s="14"/>
      <c r="AH2346" s="14"/>
      <c r="AI2346" s="14"/>
      <c r="AJ2346" s="14"/>
      <c r="AK2346" s="14"/>
      <c r="AL2346" s="14"/>
      <c r="AM2346" s="14"/>
    </row>
    <row r="2347" customFormat="false" ht="13.8" hidden="false" customHeight="false" outlineLevel="0" collapsed="false">
      <c r="AA2347" s="7" t="n">
        <f aca="false">AA2346+1</f>
        <v>43253</v>
      </c>
      <c r="AB2347" s="14"/>
      <c r="AC2347" s="14"/>
      <c r="AD2347" s="14"/>
      <c r="AE2347" s="14"/>
      <c r="AF2347" s="14"/>
      <c r="AG2347" s="14"/>
      <c r="AH2347" s="14"/>
      <c r="AI2347" s="14"/>
      <c r="AJ2347" s="14"/>
      <c r="AK2347" s="14"/>
      <c r="AL2347" s="14"/>
      <c r="AM2347" s="14"/>
    </row>
    <row r="2348" customFormat="false" ht="13.8" hidden="false" customHeight="false" outlineLevel="0" collapsed="false">
      <c r="AA2348" s="7" t="n">
        <f aca="false">AA2347+1</f>
        <v>43254</v>
      </c>
      <c r="AB2348" s="14"/>
      <c r="AC2348" s="14"/>
      <c r="AD2348" s="14"/>
      <c r="AE2348" s="14"/>
      <c r="AF2348" s="14"/>
      <c r="AG2348" s="14"/>
      <c r="AH2348" s="14"/>
      <c r="AI2348" s="14"/>
      <c r="AJ2348" s="14"/>
      <c r="AK2348" s="14"/>
      <c r="AL2348" s="14"/>
      <c r="AM2348" s="14"/>
    </row>
    <row r="2349" customFormat="false" ht="13.8" hidden="false" customHeight="false" outlineLevel="0" collapsed="false">
      <c r="AA2349" s="7" t="n">
        <f aca="false">AA2348+1</f>
        <v>43255</v>
      </c>
      <c r="AB2349" s="14"/>
      <c r="AC2349" s="14"/>
      <c r="AD2349" s="14"/>
      <c r="AE2349" s="14"/>
      <c r="AF2349" s="14"/>
      <c r="AG2349" s="14"/>
      <c r="AH2349" s="14"/>
      <c r="AI2349" s="14"/>
      <c r="AJ2349" s="14"/>
      <c r="AK2349" s="14"/>
      <c r="AL2349" s="14"/>
      <c r="AM2349" s="14"/>
    </row>
    <row r="2350" customFormat="false" ht="13.8" hidden="false" customHeight="false" outlineLevel="0" collapsed="false">
      <c r="AA2350" s="7" t="n">
        <f aca="false">AA2349+1</f>
        <v>43256</v>
      </c>
      <c r="AB2350" s="14"/>
      <c r="AC2350" s="14"/>
      <c r="AD2350" s="14"/>
      <c r="AE2350" s="14"/>
      <c r="AF2350" s="14"/>
      <c r="AG2350" s="14"/>
      <c r="AH2350" s="14"/>
      <c r="AI2350" s="14"/>
      <c r="AJ2350" s="14"/>
      <c r="AK2350" s="14"/>
      <c r="AL2350" s="14"/>
      <c r="AM2350" s="14"/>
    </row>
    <row r="2351" customFormat="false" ht="13.8" hidden="false" customHeight="false" outlineLevel="0" collapsed="false">
      <c r="AA2351" s="7" t="n">
        <f aca="false">AA2350+1</f>
        <v>43257</v>
      </c>
      <c r="AB2351" s="14"/>
      <c r="AC2351" s="14"/>
      <c r="AD2351" s="14"/>
      <c r="AE2351" s="14"/>
      <c r="AF2351" s="14"/>
      <c r="AG2351" s="14"/>
      <c r="AH2351" s="14"/>
      <c r="AI2351" s="14"/>
      <c r="AJ2351" s="14"/>
      <c r="AK2351" s="14"/>
      <c r="AL2351" s="14"/>
      <c r="AM2351" s="14"/>
    </row>
    <row r="2352" customFormat="false" ht="13.8" hidden="false" customHeight="false" outlineLevel="0" collapsed="false">
      <c r="AA2352" s="7" t="n">
        <f aca="false">AA2351+1</f>
        <v>43258</v>
      </c>
      <c r="AB2352" s="14"/>
      <c r="AC2352" s="14"/>
      <c r="AD2352" s="14"/>
      <c r="AE2352" s="14"/>
      <c r="AF2352" s="14"/>
      <c r="AG2352" s="14"/>
      <c r="AH2352" s="14"/>
      <c r="AI2352" s="14"/>
      <c r="AJ2352" s="14"/>
      <c r="AK2352" s="14"/>
      <c r="AL2352" s="14"/>
      <c r="AM2352" s="14"/>
    </row>
    <row r="2353" customFormat="false" ht="13.8" hidden="false" customHeight="false" outlineLevel="0" collapsed="false">
      <c r="AA2353" s="7" t="n">
        <f aca="false">AA2352+1</f>
        <v>43259</v>
      </c>
      <c r="AB2353" s="14"/>
      <c r="AC2353" s="14"/>
      <c r="AD2353" s="14"/>
      <c r="AE2353" s="14"/>
      <c r="AF2353" s="14"/>
      <c r="AG2353" s="14"/>
      <c r="AH2353" s="14"/>
      <c r="AI2353" s="14"/>
      <c r="AJ2353" s="14"/>
      <c r="AK2353" s="14"/>
      <c r="AL2353" s="14"/>
      <c r="AM2353" s="14"/>
    </row>
    <row r="2354" customFormat="false" ht="13.8" hidden="false" customHeight="false" outlineLevel="0" collapsed="false">
      <c r="AA2354" s="7" t="n">
        <f aca="false">AA2353+1</f>
        <v>43260</v>
      </c>
      <c r="AB2354" s="14"/>
      <c r="AC2354" s="14"/>
      <c r="AD2354" s="14"/>
      <c r="AE2354" s="14"/>
      <c r="AF2354" s="14"/>
      <c r="AG2354" s="14"/>
      <c r="AH2354" s="14"/>
      <c r="AI2354" s="14"/>
      <c r="AJ2354" s="14"/>
      <c r="AK2354" s="14"/>
      <c r="AL2354" s="14"/>
      <c r="AM2354" s="14"/>
    </row>
    <row r="2355" customFormat="false" ht="13.8" hidden="false" customHeight="false" outlineLevel="0" collapsed="false">
      <c r="AA2355" s="7" t="n">
        <f aca="false">AA2354+1</f>
        <v>43261</v>
      </c>
      <c r="AB2355" s="14"/>
      <c r="AC2355" s="14"/>
      <c r="AD2355" s="14"/>
      <c r="AE2355" s="14"/>
      <c r="AF2355" s="14"/>
      <c r="AG2355" s="14"/>
      <c r="AH2355" s="14"/>
      <c r="AI2355" s="14"/>
      <c r="AJ2355" s="14"/>
      <c r="AK2355" s="14"/>
      <c r="AL2355" s="14"/>
      <c r="AM2355" s="14"/>
    </row>
    <row r="2356" customFormat="false" ht="13.8" hidden="false" customHeight="false" outlineLevel="0" collapsed="false">
      <c r="AA2356" s="7" t="n">
        <f aca="false">AA2355+1</f>
        <v>43262</v>
      </c>
      <c r="AB2356" s="14"/>
      <c r="AC2356" s="14"/>
      <c r="AD2356" s="14"/>
      <c r="AE2356" s="14"/>
      <c r="AF2356" s="14"/>
      <c r="AG2356" s="14"/>
      <c r="AH2356" s="14"/>
      <c r="AI2356" s="14"/>
      <c r="AJ2356" s="14"/>
      <c r="AK2356" s="14"/>
      <c r="AL2356" s="14"/>
      <c r="AM2356" s="14"/>
    </row>
    <row r="2357" customFormat="false" ht="13.8" hidden="false" customHeight="false" outlineLevel="0" collapsed="false">
      <c r="AA2357" s="7" t="n">
        <f aca="false">AA2356+1</f>
        <v>43263</v>
      </c>
      <c r="AB2357" s="14"/>
      <c r="AC2357" s="14"/>
      <c r="AD2357" s="14"/>
      <c r="AE2357" s="14"/>
      <c r="AF2357" s="14"/>
      <c r="AG2357" s="14"/>
      <c r="AH2357" s="14"/>
      <c r="AI2357" s="14"/>
      <c r="AJ2357" s="14"/>
      <c r="AK2357" s="14"/>
      <c r="AL2357" s="14"/>
      <c r="AM2357" s="14"/>
    </row>
    <row r="2358" customFormat="false" ht="13.8" hidden="false" customHeight="false" outlineLevel="0" collapsed="false">
      <c r="AA2358" s="7" t="n">
        <f aca="false">AA2357+1</f>
        <v>43264</v>
      </c>
      <c r="AB2358" s="14"/>
      <c r="AC2358" s="14"/>
      <c r="AD2358" s="14"/>
      <c r="AE2358" s="14"/>
      <c r="AF2358" s="14"/>
      <c r="AG2358" s="14"/>
      <c r="AH2358" s="14"/>
      <c r="AI2358" s="14"/>
      <c r="AJ2358" s="14"/>
      <c r="AK2358" s="14"/>
      <c r="AL2358" s="14"/>
      <c r="AM2358" s="14"/>
    </row>
    <row r="2359" customFormat="false" ht="13.8" hidden="false" customHeight="false" outlineLevel="0" collapsed="false">
      <c r="AA2359" s="7" t="n">
        <f aca="false">AA2358+1</f>
        <v>43265</v>
      </c>
      <c r="AB2359" s="14"/>
      <c r="AC2359" s="14"/>
      <c r="AD2359" s="14"/>
      <c r="AE2359" s="14"/>
      <c r="AF2359" s="14"/>
      <c r="AG2359" s="14"/>
      <c r="AH2359" s="14"/>
      <c r="AI2359" s="14"/>
      <c r="AJ2359" s="14"/>
      <c r="AK2359" s="14"/>
      <c r="AL2359" s="14"/>
      <c r="AM2359" s="14"/>
    </row>
    <row r="2360" customFormat="false" ht="13.8" hidden="false" customHeight="false" outlineLevel="0" collapsed="false">
      <c r="AA2360" s="7" t="n">
        <f aca="false">AA2359+1</f>
        <v>43266</v>
      </c>
      <c r="AB2360" s="14"/>
      <c r="AC2360" s="14"/>
      <c r="AD2360" s="14"/>
      <c r="AE2360" s="14"/>
      <c r="AF2360" s="14"/>
      <c r="AG2360" s="14"/>
      <c r="AH2360" s="14"/>
      <c r="AI2360" s="14"/>
      <c r="AJ2360" s="14"/>
      <c r="AK2360" s="14"/>
      <c r="AL2360" s="14"/>
      <c r="AM2360" s="14"/>
    </row>
    <row r="2361" customFormat="false" ht="13.8" hidden="false" customHeight="false" outlineLevel="0" collapsed="false">
      <c r="AA2361" s="7" t="n">
        <f aca="false">AA2360+1</f>
        <v>43267</v>
      </c>
      <c r="AB2361" s="14"/>
      <c r="AC2361" s="14"/>
      <c r="AD2361" s="14"/>
      <c r="AE2361" s="14"/>
      <c r="AF2361" s="14"/>
      <c r="AG2361" s="14"/>
      <c r="AH2361" s="14"/>
      <c r="AI2361" s="14"/>
      <c r="AJ2361" s="14"/>
      <c r="AK2361" s="14"/>
      <c r="AL2361" s="14"/>
      <c r="AM2361" s="14"/>
    </row>
    <row r="2362" customFormat="false" ht="13.8" hidden="false" customHeight="false" outlineLevel="0" collapsed="false">
      <c r="AA2362" s="7" t="n">
        <f aca="false">AA2361+1</f>
        <v>43268</v>
      </c>
      <c r="AB2362" s="14"/>
      <c r="AC2362" s="14"/>
      <c r="AD2362" s="14"/>
      <c r="AE2362" s="14"/>
      <c r="AF2362" s="14"/>
      <c r="AG2362" s="14"/>
      <c r="AH2362" s="14"/>
      <c r="AI2362" s="14"/>
      <c r="AJ2362" s="14"/>
      <c r="AK2362" s="14"/>
      <c r="AL2362" s="14"/>
      <c r="AM2362" s="14"/>
    </row>
    <row r="2363" customFormat="false" ht="13.8" hidden="false" customHeight="false" outlineLevel="0" collapsed="false">
      <c r="AA2363" s="7" t="n">
        <f aca="false">AA2362+1</f>
        <v>43269</v>
      </c>
      <c r="AB2363" s="14"/>
      <c r="AC2363" s="14"/>
      <c r="AD2363" s="14"/>
      <c r="AE2363" s="14"/>
      <c r="AF2363" s="14"/>
      <c r="AG2363" s="14"/>
      <c r="AH2363" s="14"/>
      <c r="AI2363" s="14"/>
      <c r="AJ2363" s="14"/>
      <c r="AK2363" s="14"/>
      <c r="AL2363" s="14"/>
      <c r="AM2363" s="14"/>
    </row>
    <row r="2364" customFormat="false" ht="13.8" hidden="false" customHeight="false" outlineLevel="0" collapsed="false">
      <c r="AA2364" s="7" t="n">
        <f aca="false">AA2363+1</f>
        <v>43270</v>
      </c>
      <c r="AB2364" s="14"/>
      <c r="AC2364" s="14"/>
      <c r="AD2364" s="14"/>
      <c r="AE2364" s="14"/>
      <c r="AF2364" s="14"/>
      <c r="AG2364" s="14"/>
      <c r="AH2364" s="14"/>
      <c r="AI2364" s="14"/>
      <c r="AJ2364" s="14"/>
      <c r="AK2364" s="14"/>
      <c r="AL2364" s="14"/>
      <c r="AM2364" s="14"/>
    </row>
    <row r="2365" customFormat="false" ht="13.8" hidden="false" customHeight="false" outlineLevel="0" collapsed="false">
      <c r="AA2365" s="7" t="n">
        <f aca="false">AA2364+1</f>
        <v>43271</v>
      </c>
      <c r="AB2365" s="14"/>
      <c r="AC2365" s="14"/>
      <c r="AD2365" s="14"/>
      <c r="AE2365" s="14"/>
      <c r="AF2365" s="14"/>
      <c r="AG2365" s="14"/>
      <c r="AH2365" s="14"/>
      <c r="AI2365" s="14"/>
      <c r="AJ2365" s="14"/>
      <c r="AK2365" s="14"/>
      <c r="AL2365" s="14"/>
      <c r="AM2365" s="14"/>
    </row>
    <row r="2366" customFormat="false" ht="13.8" hidden="false" customHeight="false" outlineLevel="0" collapsed="false">
      <c r="AA2366" s="7" t="n">
        <f aca="false">AA2365+1</f>
        <v>43272</v>
      </c>
      <c r="AB2366" s="14"/>
      <c r="AC2366" s="14"/>
      <c r="AD2366" s="14"/>
      <c r="AE2366" s="14"/>
      <c r="AF2366" s="14"/>
      <c r="AG2366" s="14"/>
      <c r="AH2366" s="14"/>
      <c r="AI2366" s="14"/>
      <c r="AJ2366" s="14"/>
      <c r="AK2366" s="14"/>
      <c r="AL2366" s="14"/>
      <c r="AM2366" s="14"/>
    </row>
    <row r="2367" customFormat="false" ht="13.8" hidden="false" customHeight="false" outlineLevel="0" collapsed="false">
      <c r="AA2367" s="7" t="n">
        <f aca="false">AA2366+1</f>
        <v>43273</v>
      </c>
      <c r="AB2367" s="14"/>
      <c r="AC2367" s="14"/>
      <c r="AD2367" s="14"/>
      <c r="AE2367" s="14"/>
      <c r="AF2367" s="14"/>
      <c r="AG2367" s="14"/>
      <c r="AH2367" s="14"/>
      <c r="AI2367" s="14"/>
      <c r="AJ2367" s="14"/>
      <c r="AK2367" s="14"/>
      <c r="AL2367" s="14"/>
      <c r="AM2367" s="14"/>
    </row>
    <row r="2368" customFormat="false" ht="13.8" hidden="false" customHeight="false" outlineLevel="0" collapsed="false">
      <c r="AA2368" s="7" t="n">
        <f aca="false">AA2367+1</f>
        <v>43274</v>
      </c>
      <c r="AB2368" s="14"/>
      <c r="AC2368" s="14"/>
      <c r="AD2368" s="14"/>
      <c r="AE2368" s="14"/>
      <c r="AF2368" s="14"/>
      <c r="AG2368" s="14"/>
      <c r="AH2368" s="14"/>
      <c r="AI2368" s="14"/>
      <c r="AJ2368" s="14"/>
      <c r="AK2368" s="14"/>
      <c r="AL2368" s="14"/>
      <c r="AM2368" s="14"/>
    </row>
    <row r="2369" customFormat="false" ht="13.8" hidden="false" customHeight="false" outlineLevel="0" collapsed="false">
      <c r="AA2369" s="7" t="n">
        <f aca="false">AA2368+1</f>
        <v>43275</v>
      </c>
      <c r="AB2369" s="14"/>
      <c r="AC2369" s="14"/>
      <c r="AD2369" s="14"/>
      <c r="AE2369" s="14"/>
      <c r="AF2369" s="14"/>
      <c r="AG2369" s="14"/>
      <c r="AH2369" s="14"/>
      <c r="AI2369" s="14"/>
      <c r="AJ2369" s="14"/>
      <c r="AK2369" s="14"/>
      <c r="AL2369" s="14"/>
      <c r="AM2369" s="14"/>
    </row>
    <row r="2370" customFormat="false" ht="13.8" hidden="false" customHeight="false" outlineLevel="0" collapsed="false">
      <c r="AA2370" s="7" t="n">
        <f aca="false">AA2369+1</f>
        <v>43276</v>
      </c>
      <c r="AB2370" s="14"/>
      <c r="AC2370" s="14"/>
      <c r="AD2370" s="14"/>
      <c r="AE2370" s="14"/>
      <c r="AF2370" s="14"/>
      <c r="AG2370" s="14"/>
      <c r="AH2370" s="14"/>
      <c r="AI2370" s="14"/>
      <c r="AJ2370" s="14"/>
      <c r="AK2370" s="14"/>
      <c r="AL2370" s="14"/>
      <c r="AM2370" s="14"/>
    </row>
    <row r="2371" customFormat="false" ht="13.8" hidden="false" customHeight="false" outlineLevel="0" collapsed="false">
      <c r="AA2371" s="7" t="n">
        <f aca="false">AA2370+1</f>
        <v>43277</v>
      </c>
      <c r="AB2371" s="14"/>
      <c r="AC2371" s="14"/>
      <c r="AD2371" s="14"/>
      <c r="AE2371" s="14"/>
      <c r="AF2371" s="14"/>
      <c r="AG2371" s="14"/>
      <c r="AH2371" s="14"/>
      <c r="AI2371" s="14"/>
      <c r="AJ2371" s="14"/>
      <c r="AK2371" s="14"/>
      <c r="AL2371" s="14"/>
      <c r="AM2371" s="14"/>
    </row>
    <row r="2372" customFormat="false" ht="13.8" hidden="false" customHeight="false" outlineLevel="0" collapsed="false">
      <c r="AA2372" s="7" t="n">
        <f aca="false">AA2371+1</f>
        <v>43278</v>
      </c>
      <c r="AB2372" s="14"/>
      <c r="AC2372" s="14"/>
      <c r="AD2372" s="14"/>
      <c r="AE2372" s="14"/>
      <c r="AF2372" s="14"/>
      <c r="AG2372" s="14"/>
      <c r="AH2372" s="14"/>
      <c r="AI2372" s="14"/>
      <c r="AJ2372" s="14"/>
      <c r="AK2372" s="14"/>
      <c r="AL2372" s="14"/>
      <c r="AM2372" s="14"/>
    </row>
    <row r="2373" customFormat="false" ht="13.8" hidden="false" customHeight="false" outlineLevel="0" collapsed="false">
      <c r="AA2373" s="7" t="n">
        <f aca="false">AA2372+1</f>
        <v>43279</v>
      </c>
      <c r="AB2373" s="14"/>
      <c r="AC2373" s="14"/>
      <c r="AD2373" s="14"/>
      <c r="AE2373" s="14"/>
      <c r="AF2373" s="14"/>
      <c r="AG2373" s="14"/>
      <c r="AH2373" s="14"/>
      <c r="AI2373" s="14"/>
      <c r="AJ2373" s="14"/>
      <c r="AK2373" s="14"/>
      <c r="AL2373" s="14"/>
      <c r="AM2373" s="14"/>
    </row>
    <row r="2374" customFormat="false" ht="13.8" hidden="false" customHeight="false" outlineLevel="0" collapsed="false">
      <c r="AA2374" s="7" t="n">
        <f aca="false">AA2373+1</f>
        <v>43280</v>
      </c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</row>
    <row r="2375" customFormat="false" ht="13.8" hidden="false" customHeight="false" outlineLevel="0" collapsed="false">
      <c r="AA2375" s="7" t="n">
        <f aca="false">AA2374+1</f>
        <v>43281</v>
      </c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</row>
    <row r="2376" customFormat="false" ht="13.8" hidden="false" customHeight="false" outlineLevel="0" collapsed="false">
      <c r="AA2376" s="7" t="n">
        <f aca="false">AA2375+1</f>
        <v>43282</v>
      </c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</row>
    <row r="2377" customFormat="false" ht="13.8" hidden="false" customHeight="false" outlineLevel="0" collapsed="false">
      <c r="AA2377" s="7" t="n">
        <f aca="false">AA2376+1</f>
        <v>43283</v>
      </c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</row>
    <row r="2378" customFormat="false" ht="13.8" hidden="false" customHeight="false" outlineLevel="0" collapsed="false">
      <c r="AA2378" s="7" t="n">
        <f aca="false">AA2377+1</f>
        <v>43284</v>
      </c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</row>
    <row r="2379" customFormat="false" ht="13.8" hidden="false" customHeight="false" outlineLevel="0" collapsed="false">
      <c r="AA2379" s="7" t="n">
        <f aca="false">AA2378+1</f>
        <v>43285</v>
      </c>
      <c r="AB2379" s="14"/>
      <c r="AC2379" s="14"/>
      <c r="AD2379" s="14"/>
      <c r="AE2379" s="14"/>
      <c r="AF2379" s="14"/>
      <c r="AG2379" s="14"/>
      <c r="AH2379" s="14"/>
      <c r="AI2379" s="14"/>
      <c r="AJ2379" s="14"/>
      <c r="AK2379" s="14"/>
      <c r="AL2379" s="14"/>
      <c r="AM2379" s="14"/>
    </row>
    <row r="2380" customFormat="false" ht="13.8" hidden="false" customHeight="false" outlineLevel="0" collapsed="false">
      <c r="AA2380" s="7" t="n">
        <f aca="false">AA2379+1</f>
        <v>43286</v>
      </c>
      <c r="AB2380" s="14"/>
      <c r="AC2380" s="14"/>
      <c r="AD2380" s="14"/>
      <c r="AE2380" s="14"/>
      <c r="AF2380" s="14"/>
      <c r="AG2380" s="14"/>
      <c r="AH2380" s="14"/>
      <c r="AI2380" s="14"/>
      <c r="AJ2380" s="14"/>
      <c r="AK2380" s="14"/>
      <c r="AL2380" s="14"/>
      <c r="AM2380" s="14"/>
    </row>
    <row r="2381" customFormat="false" ht="13.8" hidden="false" customHeight="false" outlineLevel="0" collapsed="false">
      <c r="AA2381" s="7" t="n">
        <f aca="false">AA2380+1</f>
        <v>43287</v>
      </c>
      <c r="AB2381" s="14"/>
      <c r="AC2381" s="14"/>
      <c r="AD2381" s="14"/>
      <c r="AE2381" s="14"/>
      <c r="AF2381" s="14"/>
      <c r="AG2381" s="14"/>
      <c r="AH2381" s="14"/>
      <c r="AI2381" s="14"/>
      <c r="AJ2381" s="14"/>
      <c r="AK2381" s="14"/>
      <c r="AL2381" s="14"/>
      <c r="AM2381" s="14"/>
    </row>
    <row r="2382" customFormat="false" ht="13.8" hidden="false" customHeight="false" outlineLevel="0" collapsed="false">
      <c r="AA2382" s="7" t="n">
        <f aca="false">AA2381+1</f>
        <v>43288</v>
      </c>
      <c r="AB2382" s="14"/>
      <c r="AC2382" s="14"/>
      <c r="AD2382" s="14"/>
      <c r="AE2382" s="14"/>
      <c r="AF2382" s="14"/>
      <c r="AG2382" s="14"/>
      <c r="AH2382" s="14"/>
      <c r="AI2382" s="14"/>
      <c r="AJ2382" s="14"/>
      <c r="AK2382" s="14"/>
      <c r="AL2382" s="14"/>
      <c r="AM2382" s="14"/>
    </row>
    <row r="2383" customFormat="false" ht="13.8" hidden="false" customHeight="false" outlineLevel="0" collapsed="false">
      <c r="AA2383" s="7" t="n">
        <f aca="false">AA2382+1</f>
        <v>43289</v>
      </c>
      <c r="AB2383" s="14"/>
      <c r="AC2383" s="14"/>
      <c r="AD2383" s="14"/>
      <c r="AE2383" s="14"/>
      <c r="AF2383" s="14"/>
      <c r="AG2383" s="14"/>
      <c r="AH2383" s="14"/>
      <c r="AI2383" s="14"/>
      <c r="AJ2383" s="14"/>
      <c r="AK2383" s="14"/>
      <c r="AL2383" s="14"/>
      <c r="AM2383" s="14"/>
    </row>
    <row r="2384" customFormat="false" ht="13.8" hidden="false" customHeight="false" outlineLevel="0" collapsed="false">
      <c r="AA2384" s="7" t="n">
        <f aca="false">AA2383+1</f>
        <v>43290</v>
      </c>
      <c r="AB2384" s="14"/>
      <c r="AC2384" s="14"/>
      <c r="AD2384" s="14"/>
      <c r="AE2384" s="14"/>
      <c r="AF2384" s="14"/>
      <c r="AG2384" s="14"/>
      <c r="AH2384" s="14"/>
      <c r="AI2384" s="14"/>
      <c r="AJ2384" s="14"/>
      <c r="AK2384" s="14"/>
      <c r="AL2384" s="14"/>
      <c r="AM2384" s="14"/>
    </row>
    <row r="2385" customFormat="false" ht="13.8" hidden="false" customHeight="false" outlineLevel="0" collapsed="false">
      <c r="AA2385" s="7" t="n">
        <f aca="false">AA2384+1</f>
        <v>43291</v>
      </c>
      <c r="AB2385" s="14"/>
      <c r="AC2385" s="14"/>
      <c r="AD2385" s="14"/>
      <c r="AE2385" s="14"/>
      <c r="AF2385" s="14"/>
      <c r="AG2385" s="14"/>
      <c r="AH2385" s="14"/>
      <c r="AI2385" s="14"/>
      <c r="AJ2385" s="14"/>
      <c r="AK2385" s="14"/>
      <c r="AL2385" s="14"/>
      <c r="AM2385" s="14"/>
    </row>
    <row r="2386" customFormat="false" ht="13.8" hidden="false" customHeight="false" outlineLevel="0" collapsed="false">
      <c r="AA2386" s="7" t="n">
        <f aca="false">AA2385+1</f>
        <v>43292</v>
      </c>
      <c r="AB2386" s="14"/>
      <c r="AC2386" s="14"/>
      <c r="AD2386" s="14"/>
      <c r="AE2386" s="14"/>
      <c r="AF2386" s="14"/>
      <c r="AG2386" s="14"/>
      <c r="AH2386" s="14"/>
      <c r="AI2386" s="14"/>
      <c r="AJ2386" s="14"/>
      <c r="AK2386" s="14"/>
      <c r="AL2386" s="14"/>
      <c r="AM2386" s="14"/>
    </row>
    <row r="2387" customFormat="false" ht="13.8" hidden="false" customHeight="false" outlineLevel="0" collapsed="false">
      <c r="AA2387" s="7" t="n">
        <f aca="false">AA2386+1</f>
        <v>43293</v>
      </c>
      <c r="AB2387" s="14"/>
      <c r="AC2387" s="14"/>
      <c r="AD2387" s="14"/>
      <c r="AE2387" s="14"/>
      <c r="AF2387" s="14"/>
      <c r="AG2387" s="14"/>
      <c r="AH2387" s="14"/>
      <c r="AI2387" s="14"/>
      <c r="AJ2387" s="14"/>
      <c r="AK2387" s="14"/>
      <c r="AL2387" s="14"/>
      <c r="AM2387" s="14"/>
    </row>
    <row r="2388" customFormat="false" ht="13.8" hidden="false" customHeight="false" outlineLevel="0" collapsed="false">
      <c r="AA2388" s="7" t="n">
        <f aca="false">AA2387+1</f>
        <v>43294</v>
      </c>
      <c r="AB2388" s="14"/>
      <c r="AC2388" s="14"/>
      <c r="AD2388" s="14"/>
      <c r="AE2388" s="14"/>
      <c r="AF2388" s="14"/>
      <c r="AG2388" s="14"/>
      <c r="AH2388" s="14"/>
      <c r="AI2388" s="14"/>
      <c r="AJ2388" s="14"/>
      <c r="AK2388" s="14"/>
      <c r="AL2388" s="14"/>
      <c r="AM2388" s="14"/>
    </row>
    <row r="2389" customFormat="false" ht="13.8" hidden="false" customHeight="false" outlineLevel="0" collapsed="false">
      <c r="AA2389" s="7" t="n">
        <f aca="false">AA2388+1</f>
        <v>43295</v>
      </c>
      <c r="AB2389" s="14"/>
      <c r="AC2389" s="14"/>
      <c r="AD2389" s="14"/>
      <c r="AE2389" s="14"/>
      <c r="AF2389" s="14"/>
      <c r="AG2389" s="14"/>
      <c r="AH2389" s="14"/>
      <c r="AI2389" s="14"/>
      <c r="AJ2389" s="14"/>
      <c r="AK2389" s="14"/>
      <c r="AL2389" s="14"/>
      <c r="AM2389" s="14"/>
    </row>
    <row r="2390" customFormat="false" ht="13.8" hidden="false" customHeight="false" outlineLevel="0" collapsed="false">
      <c r="AA2390" s="7" t="n">
        <f aca="false">AA2389+1</f>
        <v>43296</v>
      </c>
      <c r="AB2390" s="14"/>
      <c r="AC2390" s="14"/>
      <c r="AD2390" s="14"/>
      <c r="AE2390" s="14"/>
      <c r="AF2390" s="14"/>
      <c r="AG2390" s="14"/>
      <c r="AH2390" s="14"/>
      <c r="AI2390" s="14"/>
      <c r="AJ2390" s="14"/>
      <c r="AK2390" s="14"/>
      <c r="AL2390" s="14"/>
      <c r="AM2390" s="14"/>
    </row>
    <row r="2391" customFormat="false" ht="13.8" hidden="false" customHeight="false" outlineLevel="0" collapsed="false">
      <c r="AA2391" s="7" t="n">
        <f aca="false">AA2390+1</f>
        <v>43297</v>
      </c>
      <c r="AB2391" s="14"/>
      <c r="AC2391" s="14"/>
      <c r="AD2391" s="14"/>
      <c r="AE2391" s="14"/>
      <c r="AF2391" s="14"/>
      <c r="AG2391" s="14"/>
      <c r="AH2391" s="14"/>
      <c r="AI2391" s="14"/>
      <c r="AJ2391" s="14"/>
      <c r="AK2391" s="14"/>
      <c r="AL2391" s="14"/>
      <c r="AM2391" s="14"/>
    </row>
    <row r="2392" customFormat="false" ht="13.8" hidden="false" customHeight="false" outlineLevel="0" collapsed="false">
      <c r="AA2392" s="7" t="n">
        <f aca="false">AA2391+1</f>
        <v>43298</v>
      </c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</row>
    <row r="2393" customFormat="false" ht="13.8" hidden="false" customHeight="false" outlineLevel="0" collapsed="false">
      <c r="AA2393" s="7" t="n">
        <f aca="false">AA2392+1</f>
        <v>43299</v>
      </c>
      <c r="AB2393" s="14"/>
      <c r="AC2393" s="14"/>
      <c r="AD2393" s="14"/>
      <c r="AE2393" s="14"/>
      <c r="AF2393" s="14"/>
      <c r="AG2393" s="14"/>
      <c r="AH2393" s="14"/>
      <c r="AI2393" s="14"/>
      <c r="AJ2393" s="14"/>
      <c r="AK2393" s="14"/>
      <c r="AL2393" s="14"/>
      <c r="AM2393" s="14"/>
    </row>
    <row r="2394" customFormat="false" ht="13.8" hidden="false" customHeight="false" outlineLevel="0" collapsed="false">
      <c r="AA2394" s="7" t="n">
        <f aca="false">AA2393+1</f>
        <v>43300</v>
      </c>
      <c r="AB2394" s="14"/>
      <c r="AC2394" s="14"/>
      <c r="AD2394" s="14"/>
      <c r="AE2394" s="14"/>
      <c r="AF2394" s="14"/>
      <c r="AG2394" s="14"/>
      <c r="AH2394" s="14"/>
      <c r="AI2394" s="14"/>
      <c r="AJ2394" s="14"/>
      <c r="AK2394" s="14"/>
      <c r="AL2394" s="14"/>
      <c r="AM2394" s="14"/>
    </row>
    <row r="2395" customFormat="false" ht="13.8" hidden="false" customHeight="false" outlineLevel="0" collapsed="false">
      <c r="AA2395" s="7" t="n">
        <f aca="false">AA2394+1</f>
        <v>43301</v>
      </c>
      <c r="AB2395" s="14"/>
      <c r="AC2395" s="14"/>
      <c r="AD2395" s="14"/>
      <c r="AE2395" s="14"/>
      <c r="AF2395" s="14"/>
      <c r="AG2395" s="14"/>
      <c r="AH2395" s="14"/>
      <c r="AI2395" s="14"/>
      <c r="AJ2395" s="14"/>
      <c r="AK2395" s="14"/>
      <c r="AL2395" s="14"/>
      <c r="AM2395" s="14"/>
    </row>
    <row r="2396" customFormat="false" ht="13.8" hidden="false" customHeight="false" outlineLevel="0" collapsed="false">
      <c r="AA2396" s="7" t="n">
        <f aca="false">AA2395+1</f>
        <v>43302</v>
      </c>
      <c r="AB2396" s="14"/>
      <c r="AC2396" s="14"/>
      <c r="AD2396" s="14"/>
      <c r="AE2396" s="14"/>
      <c r="AF2396" s="14"/>
      <c r="AG2396" s="14"/>
      <c r="AH2396" s="14"/>
      <c r="AI2396" s="14"/>
      <c r="AJ2396" s="14"/>
      <c r="AK2396" s="14"/>
      <c r="AL2396" s="14"/>
      <c r="AM2396" s="14"/>
    </row>
    <row r="2397" customFormat="false" ht="13.8" hidden="false" customHeight="false" outlineLevel="0" collapsed="false">
      <c r="AA2397" s="7" t="n">
        <f aca="false">AA2396+1</f>
        <v>43303</v>
      </c>
      <c r="AB2397" s="14"/>
      <c r="AC2397" s="14"/>
      <c r="AD2397" s="14"/>
      <c r="AE2397" s="14"/>
      <c r="AF2397" s="14"/>
      <c r="AG2397" s="14"/>
      <c r="AH2397" s="14"/>
      <c r="AI2397" s="14"/>
      <c r="AJ2397" s="14"/>
      <c r="AK2397" s="14"/>
      <c r="AL2397" s="14"/>
      <c r="AM2397" s="14"/>
    </row>
    <row r="2398" customFormat="false" ht="13.8" hidden="false" customHeight="false" outlineLevel="0" collapsed="false">
      <c r="AA2398" s="7" t="n">
        <f aca="false">AA2397+1</f>
        <v>43304</v>
      </c>
      <c r="AB2398" s="14"/>
      <c r="AC2398" s="14"/>
      <c r="AD2398" s="14"/>
      <c r="AE2398" s="14"/>
      <c r="AF2398" s="14"/>
      <c r="AG2398" s="14"/>
      <c r="AH2398" s="14"/>
      <c r="AI2398" s="14"/>
      <c r="AJ2398" s="14"/>
      <c r="AK2398" s="14"/>
      <c r="AL2398" s="14"/>
      <c r="AM2398" s="14"/>
    </row>
    <row r="2399" customFormat="false" ht="13.8" hidden="false" customHeight="false" outlineLevel="0" collapsed="false">
      <c r="AA2399" s="7" t="n">
        <f aca="false">AA2398+1</f>
        <v>43305</v>
      </c>
      <c r="AB2399" s="14"/>
      <c r="AC2399" s="14"/>
      <c r="AD2399" s="14"/>
      <c r="AE2399" s="14"/>
      <c r="AF2399" s="14"/>
      <c r="AG2399" s="14"/>
      <c r="AH2399" s="14"/>
      <c r="AI2399" s="14"/>
      <c r="AJ2399" s="14"/>
      <c r="AK2399" s="14"/>
      <c r="AL2399" s="14"/>
      <c r="AM2399" s="14"/>
    </row>
    <row r="2400" customFormat="false" ht="13.8" hidden="false" customHeight="false" outlineLevel="0" collapsed="false">
      <c r="AA2400" s="7" t="n">
        <f aca="false">AA2399+1</f>
        <v>43306</v>
      </c>
      <c r="AB2400" s="14"/>
      <c r="AC2400" s="14"/>
      <c r="AD2400" s="14"/>
      <c r="AE2400" s="14"/>
      <c r="AF2400" s="14"/>
      <c r="AG2400" s="14"/>
      <c r="AH2400" s="14"/>
      <c r="AI2400" s="14"/>
      <c r="AJ2400" s="14"/>
      <c r="AK2400" s="14"/>
      <c r="AL2400" s="14"/>
      <c r="AM2400" s="14"/>
    </row>
    <row r="2401" customFormat="false" ht="13.8" hidden="false" customHeight="false" outlineLevel="0" collapsed="false">
      <c r="AA2401" s="7" t="n">
        <f aca="false">AA2400+1</f>
        <v>43307</v>
      </c>
      <c r="AB2401" s="14"/>
      <c r="AC2401" s="14"/>
      <c r="AD2401" s="14"/>
      <c r="AE2401" s="14"/>
      <c r="AF2401" s="14"/>
      <c r="AG2401" s="14"/>
      <c r="AH2401" s="14"/>
      <c r="AI2401" s="14"/>
      <c r="AJ2401" s="14"/>
      <c r="AK2401" s="14"/>
      <c r="AL2401" s="14"/>
      <c r="AM2401" s="14"/>
    </row>
    <row r="2402" customFormat="false" ht="13.8" hidden="false" customHeight="false" outlineLevel="0" collapsed="false">
      <c r="AA2402" s="7" t="n">
        <f aca="false">AA2401+1</f>
        <v>43308</v>
      </c>
      <c r="AB2402" s="14"/>
      <c r="AC2402" s="14"/>
      <c r="AD2402" s="14"/>
      <c r="AE2402" s="14"/>
      <c r="AF2402" s="14"/>
      <c r="AG2402" s="14"/>
      <c r="AH2402" s="14"/>
      <c r="AI2402" s="14"/>
      <c r="AJ2402" s="14"/>
      <c r="AK2402" s="14"/>
      <c r="AL2402" s="14"/>
      <c r="AM2402" s="14"/>
    </row>
    <row r="2403" customFormat="false" ht="13.8" hidden="false" customHeight="false" outlineLevel="0" collapsed="false">
      <c r="AA2403" s="7" t="n">
        <f aca="false">AA2402+1</f>
        <v>43309</v>
      </c>
      <c r="AB2403" s="14"/>
      <c r="AC2403" s="14"/>
      <c r="AD2403" s="14"/>
      <c r="AE2403" s="14"/>
      <c r="AF2403" s="14"/>
      <c r="AG2403" s="14"/>
      <c r="AH2403" s="14"/>
      <c r="AI2403" s="14"/>
      <c r="AJ2403" s="14"/>
      <c r="AK2403" s="14"/>
      <c r="AL2403" s="14"/>
      <c r="AM2403" s="14"/>
    </row>
    <row r="2404" customFormat="false" ht="13.8" hidden="false" customHeight="false" outlineLevel="0" collapsed="false">
      <c r="AA2404" s="7" t="n">
        <f aca="false">AA2403+1</f>
        <v>43310</v>
      </c>
      <c r="AB2404" s="14"/>
      <c r="AC2404" s="14"/>
      <c r="AD2404" s="14"/>
      <c r="AE2404" s="14"/>
      <c r="AF2404" s="14"/>
      <c r="AG2404" s="14"/>
      <c r="AH2404" s="14"/>
      <c r="AI2404" s="14"/>
      <c r="AJ2404" s="14"/>
      <c r="AK2404" s="14"/>
      <c r="AL2404" s="14"/>
      <c r="AM2404" s="14"/>
    </row>
    <row r="2405" customFormat="false" ht="13.8" hidden="false" customHeight="false" outlineLevel="0" collapsed="false">
      <c r="AA2405" s="7" t="n">
        <f aca="false">AA2404+1</f>
        <v>43311</v>
      </c>
      <c r="AB2405" s="14"/>
      <c r="AC2405" s="14"/>
      <c r="AD2405" s="14"/>
      <c r="AE2405" s="14"/>
      <c r="AF2405" s="14"/>
      <c r="AG2405" s="14"/>
      <c r="AH2405" s="14"/>
      <c r="AI2405" s="14"/>
      <c r="AJ2405" s="14"/>
      <c r="AK2405" s="14"/>
      <c r="AL2405" s="14"/>
      <c r="AM2405" s="14"/>
    </row>
    <row r="2406" customFormat="false" ht="13.8" hidden="false" customHeight="false" outlineLevel="0" collapsed="false">
      <c r="AA2406" s="7" t="n">
        <f aca="false">AA2405+1</f>
        <v>43312</v>
      </c>
      <c r="AB2406" s="14"/>
      <c r="AC2406" s="14"/>
      <c r="AD2406" s="14"/>
      <c r="AE2406" s="14"/>
      <c r="AF2406" s="14"/>
      <c r="AG2406" s="14"/>
      <c r="AH2406" s="14"/>
      <c r="AI2406" s="14"/>
      <c r="AJ2406" s="14"/>
      <c r="AK2406" s="14"/>
      <c r="AL2406" s="14"/>
      <c r="AM2406" s="14"/>
    </row>
    <row r="2407" customFormat="false" ht="13.8" hidden="false" customHeight="false" outlineLevel="0" collapsed="false">
      <c r="AA2407" s="7" t="n">
        <f aca="false">AA2406+1</f>
        <v>43313</v>
      </c>
      <c r="AB2407" s="14"/>
      <c r="AC2407" s="14"/>
      <c r="AD2407" s="14"/>
      <c r="AE2407" s="14"/>
      <c r="AF2407" s="14"/>
      <c r="AG2407" s="14"/>
      <c r="AH2407" s="14"/>
      <c r="AI2407" s="14"/>
      <c r="AJ2407" s="14"/>
      <c r="AK2407" s="14"/>
      <c r="AL2407" s="14"/>
      <c r="AM2407" s="14"/>
    </row>
    <row r="2408" customFormat="false" ht="13.8" hidden="false" customHeight="false" outlineLevel="0" collapsed="false">
      <c r="AA2408" s="7" t="n">
        <f aca="false">AA2407+1</f>
        <v>43314</v>
      </c>
      <c r="AB2408" s="14"/>
      <c r="AC2408" s="14"/>
      <c r="AD2408" s="14"/>
      <c r="AE2408" s="14"/>
      <c r="AF2408" s="14"/>
      <c r="AG2408" s="14"/>
      <c r="AH2408" s="14"/>
      <c r="AI2408" s="14"/>
      <c r="AJ2408" s="14"/>
      <c r="AK2408" s="14"/>
      <c r="AL2408" s="14"/>
      <c r="AM2408" s="14"/>
    </row>
    <row r="2409" customFormat="false" ht="13.8" hidden="false" customHeight="false" outlineLevel="0" collapsed="false">
      <c r="AA2409" s="7" t="n">
        <f aca="false">AA2408+1</f>
        <v>43315</v>
      </c>
      <c r="AB2409" s="14"/>
      <c r="AC2409" s="14"/>
      <c r="AD2409" s="14"/>
      <c r="AE2409" s="14"/>
      <c r="AF2409" s="14"/>
      <c r="AG2409" s="14"/>
      <c r="AH2409" s="14"/>
      <c r="AI2409" s="14"/>
      <c r="AJ2409" s="14"/>
      <c r="AK2409" s="14"/>
      <c r="AL2409" s="14"/>
      <c r="AM2409" s="14"/>
    </row>
    <row r="2410" customFormat="false" ht="13.8" hidden="false" customHeight="false" outlineLevel="0" collapsed="false">
      <c r="AA2410" s="7" t="n">
        <f aca="false">AA2409+1</f>
        <v>43316</v>
      </c>
      <c r="AB2410" s="14"/>
      <c r="AC2410" s="14"/>
      <c r="AD2410" s="14"/>
      <c r="AE2410" s="14"/>
      <c r="AF2410" s="14"/>
      <c r="AG2410" s="14"/>
      <c r="AH2410" s="14"/>
      <c r="AI2410" s="14"/>
      <c r="AJ2410" s="14"/>
      <c r="AK2410" s="14"/>
      <c r="AL2410" s="14"/>
      <c r="AM2410" s="14"/>
    </row>
    <row r="2411" customFormat="false" ht="13.8" hidden="false" customHeight="false" outlineLevel="0" collapsed="false">
      <c r="AA2411" s="7" t="n">
        <f aca="false">AA2410+1</f>
        <v>43317</v>
      </c>
      <c r="AB2411" s="14"/>
      <c r="AC2411" s="14"/>
      <c r="AD2411" s="14"/>
      <c r="AE2411" s="14"/>
      <c r="AF2411" s="14"/>
      <c r="AG2411" s="14"/>
      <c r="AH2411" s="14"/>
      <c r="AI2411" s="14"/>
      <c r="AJ2411" s="14"/>
      <c r="AK2411" s="14"/>
      <c r="AL2411" s="14"/>
      <c r="AM2411" s="14"/>
    </row>
    <row r="2412" customFormat="false" ht="13.8" hidden="false" customHeight="false" outlineLevel="0" collapsed="false">
      <c r="AA2412" s="7" t="n">
        <f aca="false">AA2411+1</f>
        <v>43318</v>
      </c>
      <c r="AB2412" s="14"/>
      <c r="AC2412" s="14"/>
      <c r="AD2412" s="14"/>
      <c r="AE2412" s="14"/>
      <c r="AF2412" s="14"/>
      <c r="AG2412" s="14"/>
      <c r="AH2412" s="14"/>
      <c r="AI2412" s="14"/>
      <c r="AJ2412" s="14"/>
      <c r="AK2412" s="14"/>
      <c r="AL2412" s="14"/>
      <c r="AM2412" s="14"/>
    </row>
    <row r="2413" customFormat="false" ht="13.8" hidden="false" customHeight="false" outlineLevel="0" collapsed="false">
      <c r="AA2413" s="7" t="n">
        <f aca="false">AA2412+1</f>
        <v>43319</v>
      </c>
      <c r="AB2413" s="14"/>
      <c r="AC2413" s="14"/>
      <c r="AD2413" s="14"/>
      <c r="AE2413" s="14"/>
      <c r="AF2413" s="14"/>
      <c r="AG2413" s="14"/>
      <c r="AH2413" s="14"/>
      <c r="AI2413" s="14"/>
      <c r="AJ2413" s="14"/>
      <c r="AK2413" s="14"/>
      <c r="AL2413" s="14"/>
      <c r="AM2413" s="14"/>
    </row>
    <row r="2414" customFormat="false" ht="13.8" hidden="false" customHeight="false" outlineLevel="0" collapsed="false">
      <c r="AA2414" s="7" t="n">
        <f aca="false">AA2413+1</f>
        <v>43320</v>
      </c>
      <c r="AB2414" s="14"/>
      <c r="AC2414" s="14"/>
      <c r="AD2414" s="14"/>
      <c r="AE2414" s="14"/>
      <c r="AF2414" s="14"/>
      <c r="AG2414" s="14"/>
      <c r="AH2414" s="14"/>
      <c r="AI2414" s="14"/>
      <c r="AJ2414" s="14"/>
      <c r="AK2414" s="14"/>
      <c r="AL2414" s="14"/>
      <c r="AM2414" s="14"/>
    </row>
    <row r="2415" customFormat="false" ht="13.8" hidden="false" customHeight="false" outlineLevel="0" collapsed="false">
      <c r="AA2415" s="7" t="n">
        <f aca="false">AA2414+1</f>
        <v>43321</v>
      </c>
      <c r="AB2415" s="14"/>
      <c r="AC2415" s="14"/>
      <c r="AD2415" s="14"/>
      <c r="AE2415" s="14"/>
      <c r="AF2415" s="14"/>
      <c r="AG2415" s="14"/>
      <c r="AH2415" s="14"/>
      <c r="AI2415" s="14"/>
      <c r="AJ2415" s="14"/>
      <c r="AK2415" s="14"/>
      <c r="AL2415" s="14"/>
      <c r="AM2415" s="14"/>
    </row>
    <row r="2416" customFormat="false" ht="13.8" hidden="false" customHeight="false" outlineLevel="0" collapsed="false">
      <c r="AA2416" s="7" t="n">
        <f aca="false">AA2415+1</f>
        <v>43322</v>
      </c>
      <c r="AB2416" s="14"/>
      <c r="AC2416" s="14"/>
      <c r="AD2416" s="14"/>
      <c r="AE2416" s="14"/>
      <c r="AF2416" s="14"/>
      <c r="AG2416" s="14"/>
      <c r="AH2416" s="14"/>
      <c r="AI2416" s="14"/>
      <c r="AJ2416" s="14"/>
      <c r="AK2416" s="14"/>
      <c r="AL2416" s="14"/>
      <c r="AM2416" s="14"/>
    </row>
    <row r="2417" customFormat="false" ht="13.8" hidden="false" customHeight="false" outlineLevel="0" collapsed="false">
      <c r="AA2417" s="7" t="n">
        <f aca="false">AA2416+1</f>
        <v>43323</v>
      </c>
      <c r="AB2417" s="14"/>
      <c r="AC2417" s="14"/>
      <c r="AD2417" s="14"/>
      <c r="AE2417" s="14"/>
      <c r="AF2417" s="14"/>
      <c r="AG2417" s="14"/>
      <c r="AH2417" s="14"/>
      <c r="AI2417" s="14"/>
      <c r="AJ2417" s="14"/>
      <c r="AK2417" s="14"/>
      <c r="AL2417" s="14"/>
      <c r="AM2417" s="14"/>
    </row>
    <row r="2418" customFormat="false" ht="13.8" hidden="false" customHeight="false" outlineLevel="0" collapsed="false">
      <c r="AA2418" s="7" t="n">
        <f aca="false">AA2417+1</f>
        <v>43324</v>
      </c>
      <c r="AB2418" s="14"/>
      <c r="AC2418" s="14"/>
      <c r="AD2418" s="14"/>
      <c r="AE2418" s="14"/>
      <c r="AF2418" s="14"/>
      <c r="AG2418" s="14"/>
      <c r="AH2418" s="14"/>
      <c r="AI2418" s="14"/>
      <c r="AJ2418" s="14"/>
      <c r="AK2418" s="14"/>
      <c r="AL2418" s="14"/>
      <c r="AM2418" s="14"/>
    </row>
    <row r="2419" customFormat="false" ht="13.8" hidden="false" customHeight="false" outlineLevel="0" collapsed="false">
      <c r="AA2419" s="7" t="n">
        <f aca="false">AA2418+1</f>
        <v>43325</v>
      </c>
      <c r="AB2419" s="14"/>
      <c r="AC2419" s="14"/>
      <c r="AD2419" s="14"/>
      <c r="AE2419" s="14"/>
      <c r="AF2419" s="14"/>
      <c r="AG2419" s="14"/>
      <c r="AH2419" s="14"/>
      <c r="AI2419" s="14"/>
      <c r="AJ2419" s="14"/>
      <c r="AK2419" s="14"/>
      <c r="AL2419" s="14"/>
      <c r="AM2419" s="14"/>
    </row>
    <row r="2420" customFormat="false" ht="13.8" hidden="false" customHeight="false" outlineLevel="0" collapsed="false">
      <c r="AA2420" s="7" t="n">
        <f aca="false">AA2419+1</f>
        <v>43326</v>
      </c>
      <c r="AB2420" s="14"/>
      <c r="AC2420" s="14"/>
      <c r="AD2420" s="14"/>
      <c r="AE2420" s="14"/>
      <c r="AF2420" s="14"/>
      <c r="AG2420" s="14"/>
      <c r="AH2420" s="14"/>
      <c r="AI2420" s="14"/>
      <c r="AJ2420" s="14"/>
      <c r="AK2420" s="14"/>
      <c r="AL2420" s="14"/>
      <c r="AM2420" s="14"/>
    </row>
    <row r="2421" customFormat="false" ht="13.8" hidden="false" customHeight="false" outlineLevel="0" collapsed="false">
      <c r="AA2421" s="7" t="n">
        <f aca="false">AA2420+1</f>
        <v>43327</v>
      </c>
      <c r="AB2421" s="14"/>
      <c r="AC2421" s="14"/>
      <c r="AD2421" s="14"/>
      <c r="AE2421" s="14"/>
      <c r="AF2421" s="14"/>
      <c r="AG2421" s="14"/>
      <c r="AH2421" s="14"/>
      <c r="AI2421" s="14"/>
      <c r="AJ2421" s="14"/>
      <c r="AK2421" s="14"/>
      <c r="AL2421" s="14"/>
      <c r="AM2421" s="14"/>
    </row>
    <row r="2422" customFormat="false" ht="13.8" hidden="false" customHeight="false" outlineLevel="0" collapsed="false">
      <c r="AA2422" s="7" t="n">
        <f aca="false">AA2421+1</f>
        <v>43328</v>
      </c>
      <c r="AB2422" s="14"/>
      <c r="AC2422" s="14"/>
      <c r="AD2422" s="14"/>
      <c r="AE2422" s="14"/>
      <c r="AF2422" s="14"/>
      <c r="AG2422" s="14"/>
      <c r="AH2422" s="14"/>
      <c r="AI2422" s="14"/>
      <c r="AJ2422" s="14"/>
      <c r="AK2422" s="14"/>
      <c r="AL2422" s="14"/>
      <c r="AM2422" s="14"/>
    </row>
    <row r="2423" customFormat="false" ht="13.8" hidden="false" customHeight="false" outlineLevel="0" collapsed="false">
      <c r="AA2423" s="7" t="n">
        <f aca="false">AA2422+1</f>
        <v>43329</v>
      </c>
      <c r="AB2423" s="14"/>
      <c r="AC2423" s="14"/>
      <c r="AD2423" s="14"/>
      <c r="AE2423" s="14"/>
      <c r="AF2423" s="14"/>
      <c r="AG2423" s="14"/>
      <c r="AH2423" s="14"/>
      <c r="AI2423" s="14"/>
      <c r="AJ2423" s="14"/>
      <c r="AK2423" s="14"/>
      <c r="AL2423" s="14"/>
      <c r="AM2423" s="14"/>
    </row>
    <row r="2424" customFormat="false" ht="13.8" hidden="false" customHeight="false" outlineLevel="0" collapsed="false">
      <c r="AA2424" s="7" t="n">
        <f aca="false">AA2423+1</f>
        <v>43330</v>
      </c>
      <c r="AB2424" s="14"/>
      <c r="AC2424" s="14"/>
      <c r="AD2424" s="14"/>
      <c r="AE2424" s="14"/>
      <c r="AF2424" s="14"/>
      <c r="AG2424" s="14"/>
      <c r="AH2424" s="14"/>
      <c r="AI2424" s="14"/>
      <c r="AJ2424" s="14"/>
      <c r="AK2424" s="14"/>
      <c r="AL2424" s="14"/>
      <c r="AM2424" s="14"/>
    </row>
    <row r="2425" customFormat="false" ht="13.8" hidden="false" customHeight="false" outlineLevel="0" collapsed="false">
      <c r="AA2425" s="7" t="n">
        <f aca="false">AA2424+1</f>
        <v>43331</v>
      </c>
      <c r="AB2425" s="14"/>
      <c r="AC2425" s="14"/>
      <c r="AD2425" s="14"/>
      <c r="AE2425" s="14"/>
      <c r="AF2425" s="14"/>
      <c r="AG2425" s="14"/>
      <c r="AH2425" s="14"/>
      <c r="AI2425" s="14"/>
      <c r="AJ2425" s="14"/>
      <c r="AK2425" s="14"/>
      <c r="AL2425" s="14"/>
      <c r="AM2425" s="14"/>
    </row>
    <row r="2426" customFormat="false" ht="13.8" hidden="false" customHeight="false" outlineLevel="0" collapsed="false">
      <c r="AA2426" s="7" t="n">
        <f aca="false">AA2425+1</f>
        <v>43332</v>
      </c>
      <c r="AB2426" s="14"/>
      <c r="AC2426" s="14"/>
      <c r="AD2426" s="14"/>
      <c r="AE2426" s="14"/>
      <c r="AF2426" s="14"/>
      <c r="AG2426" s="14"/>
      <c r="AH2426" s="14"/>
      <c r="AI2426" s="14"/>
      <c r="AJ2426" s="14"/>
      <c r="AK2426" s="14"/>
      <c r="AL2426" s="14"/>
      <c r="AM2426" s="14"/>
    </row>
    <row r="2427" customFormat="false" ht="13.8" hidden="false" customHeight="false" outlineLevel="0" collapsed="false">
      <c r="AA2427" s="7" t="n">
        <f aca="false">AA2426+1</f>
        <v>43333</v>
      </c>
      <c r="AB2427" s="14"/>
      <c r="AC2427" s="14"/>
      <c r="AD2427" s="14"/>
      <c r="AE2427" s="14"/>
      <c r="AF2427" s="14"/>
      <c r="AG2427" s="14"/>
      <c r="AH2427" s="14"/>
      <c r="AI2427" s="14"/>
      <c r="AJ2427" s="14"/>
      <c r="AK2427" s="14"/>
      <c r="AL2427" s="14"/>
      <c r="AM2427" s="14"/>
    </row>
    <row r="2428" customFormat="false" ht="13.8" hidden="false" customHeight="false" outlineLevel="0" collapsed="false">
      <c r="AA2428" s="7" t="n">
        <f aca="false">AA2427+1</f>
        <v>43334</v>
      </c>
      <c r="AB2428" s="14"/>
      <c r="AC2428" s="14"/>
      <c r="AD2428" s="14"/>
      <c r="AE2428" s="14"/>
      <c r="AF2428" s="14"/>
      <c r="AG2428" s="14"/>
      <c r="AH2428" s="14"/>
      <c r="AI2428" s="14"/>
      <c r="AJ2428" s="14"/>
      <c r="AK2428" s="14"/>
      <c r="AL2428" s="14"/>
      <c r="AM2428" s="14"/>
    </row>
    <row r="2429" customFormat="false" ht="13.8" hidden="false" customHeight="false" outlineLevel="0" collapsed="false">
      <c r="AA2429" s="7" t="n">
        <f aca="false">AA2428+1</f>
        <v>43335</v>
      </c>
      <c r="AB2429" s="14"/>
      <c r="AC2429" s="14"/>
      <c r="AD2429" s="14"/>
      <c r="AE2429" s="14"/>
      <c r="AF2429" s="14"/>
      <c r="AG2429" s="14"/>
      <c r="AH2429" s="14"/>
      <c r="AI2429" s="14"/>
      <c r="AJ2429" s="14"/>
      <c r="AK2429" s="14"/>
      <c r="AL2429" s="14"/>
      <c r="AM2429" s="14"/>
    </row>
    <row r="2430" customFormat="false" ht="13.8" hidden="false" customHeight="false" outlineLevel="0" collapsed="false">
      <c r="AA2430" s="7" t="n">
        <f aca="false">AA2429+1</f>
        <v>43336</v>
      </c>
      <c r="AB2430" s="14"/>
      <c r="AC2430" s="14"/>
      <c r="AD2430" s="14"/>
      <c r="AE2430" s="14"/>
      <c r="AF2430" s="14"/>
      <c r="AG2430" s="14"/>
      <c r="AH2430" s="14"/>
      <c r="AI2430" s="14"/>
      <c r="AJ2430" s="14"/>
      <c r="AK2430" s="14"/>
      <c r="AL2430" s="14"/>
      <c r="AM2430" s="14"/>
    </row>
    <row r="2431" customFormat="false" ht="13.8" hidden="false" customHeight="false" outlineLevel="0" collapsed="false">
      <c r="AA2431" s="7" t="n">
        <f aca="false">AA2430+1</f>
        <v>43337</v>
      </c>
      <c r="AB2431" s="14"/>
      <c r="AC2431" s="14"/>
      <c r="AD2431" s="14"/>
      <c r="AE2431" s="14"/>
      <c r="AF2431" s="14"/>
      <c r="AG2431" s="14"/>
      <c r="AH2431" s="14"/>
      <c r="AI2431" s="14"/>
      <c r="AJ2431" s="14"/>
      <c r="AK2431" s="14"/>
      <c r="AL2431" s="14"/>
      <c r="AM2431" s="14"/>
    </row>
    <row r="2432" customFormat="false" ht="13.8" hidden="false" customHeight="false" outlineLevel="0" collapsed="false">
      <c r="AA2432" s="7" t="n">
        <f aca="false">AA2431+1</f>
        <v>43338</v>
      </c>
      <c r="AB2432" s="14"/>
      <c r="AC2432" s="14"/>
      <c r="AD2432" s="14"/>
      <c r="AE2432" s="14"/>
      <c r="AF2432" s="14"/>
      <c r="AG2432" s="14"/>
      <c r="AH2432" s="14"/>
      <c r="AI2432" s="14"/>
      <c r="AJ2432" s="14"/>
      <c r="AK2432" s="14"/>
      <c r="AL2432" s="14"/>
      <c r="AM2432" s="14"/>
    </row>
    <row r="2433" customFormat="false" ht="13.8" hidden="false" customHeight="false" outlineLevel="0" collapsed="false">
      <c r="AA2433" s="7" t="n">
        <f aca="false">AA2432+1</f>
        <v>43339</v>
      </c>
      <c r="AB2433" s="14"/>
      <c r="AC2433" s="14"/>
      <c r="AD2433" s="14"/>
      <c r="AE2433" s="14"/>
      <c r="AF2433" s="14"/>
      <c r="AG2433" s="14"/>
      <c r="AH2433" s="14"/>
      <c r="AI2433" s="14"/>
      <c r="AJ2433" s="14"/>
      <c r="AK2433" s="14"/>
      <c r="AL2433" s="14"/>
      <c r="AM2433" s="14"/>
    </row>
    <row r="2434" customFormat="false" ht="13.8" hidden="false" customHeight="false" outlineLevel="0" collapsed="false">
      <c r="AA2434" s="7" t="n">
        <f aca="false">AA2433+1</f>
        <v>43340</v>
      </c>
      <c r="AB2434" s="14"/>
      <c r="AC2434" s="14"/>
      <c r="AD2434" s="14"/>
      <c r="AE2434" s="14"/>
      <c r="AF2434" s="14"/>
      <c r="AG2434" s="14"/>
      <c r="AH2434" s="14"/>
      <c r="AI2434" s="14"/>
      <c r="AJ2434" s="14"/>
      <c r="AK2434" s="14"/>
      <c r="AL2434" s="14"/>
      <c r="AM2434" s="14"/>
    </row>
    <row r="2435" customFormat="false" ht="13.8" hidden="false" customHeight="false" outlineLevel="0" collapsed="false">
      <c r="AA2435" s="7" t="n">
        <f aca="false">AA2434+1</f>
        <v>43341</v>
      </c>
      <c r="AB2435" s="14"/>
      <c r="AC2435" s="14"/>
      <c r="AD2435" s="14"/>
      <c r="AE2435" s="14"/>
      <c r="AF2435" s="14"/>
      <c r="AG2435" s="14"/>
      <c r="AH2435" s="14"/>
      <c r="AI2435" s="14"/>
      <c r="AJ2435" s="14"/>
      <c r="AK2435" s="14"/>
      <c r="AL2435" s="14"/>
      <c r="AM2435" s="14"/>
    </row>
    <row r="2436" customFormat="false" ht="13.8" hidden="false" customHeight="false" outlineLevel="0" collapsed="false">
      <c r="AA2436" s="7" t="n">
        <f aca="false">AA2435+1</f>
        <v>43342</v>
      </c>
      <c r="AB2436" s="14"/>
      <c r="AC2436" s="14"/>
      <c r="AD2436" s="14"/>
      <c r="AE2436" s="14"/>
      <c r="AF2436" s="14"/>
      <c r="AG2436" s="14"/>
      <c r="AH2436" s="14"/>
      <c r="AI2436" s="14"/>
      <c r="AJ2436" s="14"/>
      <c r="AK2436" s="14"/>
      <c r="AL2436" s="14"/>
      <c r="AM2436" s="14"/>
    </row>
    <row r="2437" customFormat="false" ht="13.8" hidden="false" customHeight="false" outlineLevel="0" collapsed="false">
      <c r="AA2437" s="7" t="n">
        <f aca="false">AA2436+1</f>
        <v>43343</v>
      </c>
      <c r="AB2437" s="14"/>
      <c r="AC2437" s="14"/>
      <c r="AD2437" s="14"/>
      <c r="AE2437" s="14"/>
      <c r="AF2437" s="14"/>
      <c r="AG2437" s="14"/>
      <c r="AH2437" s="14"/>
      <c r="AI2437" s="14"/>
      <c r="AJ2437" s="14"/>
      <c r="AK2437" s="14"/>
      <c r="AL2437" s="14"/>
      <c r="AM2437" s="14"/>
    </row>
    <row r="2438" customFormat="false" ht="13.8" hidden="false" customHeight="false" outlineLevel="0" collapsed="false">
      <c r="AA2438" s="7" t="n">
        <f aca="false">AA2437+1</f>
        <v>43344</v>
      </c>
      <c r="AB2438" s="14"/>
      <c r="AC2438" s="14"/>
      <c r="AD2438" s="14"/>
      <c r="AE2438" s="14"/>
      <c r="AF2438" s="14"/>
      <c r="AG2438" s="14"/>
      <c r="AH2438" s="14"/>
      <c r="AI2438" s="14"/>
      <c r="AJ2438" s="14"/>
      <c r="AK2438" s="14"/>
      <c r="AL2438" s="14"/>
      <c r="AM2438" s="14"/>
    </row>
    <row r="2439" customFormat="false" ht="13.8" hidden="false" customHeight="false" outlineLevel="0" collapsed="false">
      <c r="AA2439" s="7" t="n">
        <f aca="false">AA2438+1</f>
        <v>43345</v>
      </c>
      <c r="AB2439" s="14"/>
      <c r="AC2439" s="14"/>
      <c r="AD2439" s="14"/>
      <c r="AE2439" s="14"/>
      <c r="AF2439" s="14"/>
      <c r="AG2439" s="14"/>
      <c r="AH2439" s="14"/>
      <c r="AI2439" s="14"/>
      <c r="AJ2439" s="14"/>
      <c r="AK2439" s="14"/>
      <c r="AL2439" s="14"/>
      <c r="AM2439" s="14"/>
    </row>
    <row r="2440" customFormat="false" ht="13.8" hidden="false" customHeight="false" outlineLevel="0" collapsed="false">
      <c r="AA2440" s="7" t="n">
        <f aca="false">AA2439+1</f>
        <v>43346</v>
      </c>
      <c r="AB2440" s="14"/>
      <c r="AC2440" s="14"/>
      <c r="AD2440" s="14"/>
      <c r="AE2440" s="14"/>
      <c r="AF2440" s="14"/>
      <c r="AG2440" s="14"/>
      <c r="AH2440" s="14"/>
      <c r="AI2440" s="14"/>
      <c r="AJ2440" s="14"/>
      <c r="AK2440" s="14"/>
      <c r="AL2440" s="14"/>
      <c r="AM2440" s="14"/>
    </row>
    <row r="2441" customFormat="false" ht="13.8" hidden="false" customHeight="false" outlineLevel="0" collapsed="false">
      <c r="AA2441" s="7" t="n">
        <f aca="false">AA2440+1</f>
        <v>43347</v>
      </c>
      <c r="AB2441" s="14"/>
      <c r="AC2441" s="14"/>
      <c r="AD2441" s="14"/>
      <c r="AE2441" s="14"/>
      <c r="AF2441" s="14"/>
      <c r="AG2441" s="14"/>
      <c r="AH2441" s="14"/>
      <c r="AI2441" s="14"/>
      <c r="AJ2441" s="14"/>
      <c r="AK2441" s="14"/>
      <c r="AL2441" s="14"/>
      <c r="AM2441" s="14"/>
    </row>
    <row r="2442" customFormat="false" ht="13.8" hidden="false" customHeight="false" outlineLevel="0" collapsed="false">
      <c r="AA2442" s="7" t="n">
        <f aca="false">AA2441+1</f>
        <v>43348</v>
      </c>
      <c r="AB2442" s="14"/>
      <c r="AC2442" s="14"/>
      <c r="AD2442" s="14"/>
      <c r="AE2442" s="14"/>
      <c r="AF2442" s="14"/>
      <c r="AG2442" s="14"/>
      <c r="AH2442" s="14"/>
      <c r="AI2442" s="14"/>
      <c r="AJ2442" s="14"/>
      <c r="AK2442" s="14"/>
      <c r="AL2442" s="14"/>
      <c r="AM2442" s="14"/>
    </row>
    <row r="2443" customFormat="false" ht="13.8" hidden="false" customHeight="false" outlineLevel="0" collapsed="false">
      <c r="AA2443" s="7" t="n">
        <f aca="false">AA2442+1</f>
        <v>43349</v>
      </c>
      <c r="AB2443" s="14"/>
      <c r="AC2443" s="14"/>
      <c r="AD2443" s="14"/>
      <c r="AE2443" s="14"/>
      <c r="AF2443" s="14"/>
      <c r="AG2443" s="14"/>
      <c r="AH2443" s="14"/>
      <c r="AI2443" s="14"/>
      <c r="AJ2443" s="14"/>
      <c r="AK2443" s="14"/>
      <c r="AL2443" s="14"/>
      <c r="AM2443" s="14"/>
    </row>
    <row r="2444" customFormat="false" ht="13.8" hidden="false" customHeight="false" outlineLevel="0" collapsed="false">
      <c r="AA2444" s="7" t="n">
        <f aca="false">AA2443+1</f>
        <v>43350</v>
      </c>
      <c r="AB2444" s="14"/>
      <c r="AC2444" s="14"/>
      <c r="AD2444" s="14"/>
      <c r="AE2444" s="14"/>
      <c r="AF2444" s="14"/>
      <c r="AG2444" s="14"/>
      <c r="AH2444" s="14"/>
      <c r="AI2444" s="14"/>
      <c r="AJ2444" s="14"/>
      <c r="AK2444" s="14"/>
      <c r="AL2444" s="14"/>
      <c r="AM2444" s="14"/>
    </row>
    <row r="2445" customFormat="false" ht="13.8" hidden="false" customHeight="false" outlineLevel="0" collapsed="false">
      <c r="AA2445" s="7" t="n">
        <f aca="false">AA2444+1</f>
        <v>43351</v>
      </c>
      <c r="AB2445" s="14"/>
      <c r="AC2445" s="14"/>
      <c r="AD2445" s="14"/>
      <c r="AE2445" s="14"/>
      <c r="AF2445" s="14"/>
      <c r="AG2445" s="14"/>
      <c r="AH2445" s="14"/>
      <c r="AI2445" s="14"/>
      <c r="AJ2445" s="14"/>
      <c r="AK2445" s="14"/>
      <c r="AL2445" s="14"/>
      <c r="AM2445" s="14"/>
    </row>
    <row r="2446" customFormat="false" ht="13.8" hidden="false" customHeight="false" outlineLevel="0" collapsed="false">
      <c r="AA2446" s="7" t="n">
        <f aca="false">AA2445+1</f>
        <v>43352</v>
      </c>
      <c r="AB2446" s="14"/>
      <c r="AC2446" s="14"/>
      <c r="AD2446" s="14"/>
      <c r="AE2446" s="14"/>
      <c r="AF2446" s="14"/>
      <c r="AG2446" s="14"/>
      <c r="AH2446" s="14"/>
      <c r="AI2446" s="14"/>
      <c r="AJ2446" s="14"/>
      <c r="AK2446" s="14"/>
      <c r="AL2446" s="14"/>
      <c r="AM2446" s="14"/>
    </row>
    <row r="2447" customFormat="false" ht="13.8" hidden="false" customHeight="false" outlineLevel="0" collapsed="false">
      <c r="AA2447" s="7" t="n">
        <f aca="false">AA2446+1</f>
        <v>43353</v>
      </c>
      <c r="AB2447" s="14"/>
      <c r="AC2447" s="14"/>
      <c r="AD2447" s="14"/>
      <c r="AE2447" s="14"/>
      <c r="AF2447" s="14"/>
      <c r="AG2447" s="14"/>
      <c r="AH2447" s="14"/>
      <c r="AI2447" s="14"/>
      <c r="AJ2447" s="14"/>
      <c r="AK2447" s="14"/>
      <c r="AL2447" s="14"/>
      <c r="AM2447" s="14"/>
    </row>
    <row r="2448" customFormat="false" ht="13.8" hidden="false" customHeight="false" outlineLevel="0" collapsed="false">
      <c r="AA2448" s="7" t="n">
        <f aca="false">AA2447+1</f>
        <v>43354</v>
      </c>
      <c r="AB2448" s="14"/>
      <c r="AC2448" s="14"/>
      <c r="AD2448" s="14"/>
      <c r="AE2448" s="14"/>
      <c r="AF2448" s="14"/>
      <c r="AG2448" s="14"/>
      <c r="AH2448" s="14"/>
      <c r="AI2448" s="14"/>
      <c r="AJ2448" s="14"/>
      <c r="AK2448" s="14"/>
      <c r="AL2448" s="14"/>
      <c r="AM2448" s="14"/>
    </row>
    <row r="2449" customFormat="false" ht="13.8" hidden="false" customHeight="false" outlineLevel="0" collapsed="false">
      <c r="AA2449" s="7" t="n">
        <f aca="false">AA2448+1</f>
        <v>43355</v>
      </c>
      <c r="AB2449" s="14"/>
      <c r="AC2449" s="14"/>
      <c r="AD2449" s="14"/>
      <c r="AE2449" s="14"/>
      <c r="AF2449" s="14"/>
      <c r="AG2449" s="14"/>
      <c r="AH2449" s="14"/>
      <c r="AI2449" s="14"/>
      <c r="AJ2449" s="14"/>
      <c r="AK2449" s="14"/>
      <c r="AL2449" s="14"/>
      <c r="AM2449" s="14"/>
    </row>
    <row r="2450" customFormat="false" ht="13.8" hidden="false" customHeight="false" outlineLevel="0" collapsed="false">
      <c r="AA2450" s="7" t="n">
        <f aca="false">AA2449+1</f>
        <v>43356</v>
      </c>
      <c r="AB2450" s="14"/>
      <c r="AC2450" s="14"/>
      <c r="AD2450" s="14"/>
      <c r="AE2450" s="14"/>
      <c r="AF2450" s="14"/>
      <c r="AG2450" s="14"/>
      <c r="AH2450" s="14"/>
      <c r="AI2450" s="14"/>
      <c r="AJ2450" s="14"/>
      <c r="AK2450" s="14"/>
      <c r="AL2450" s="14"/>
      <c r="AM2450" s="14"/>
    </row>
    <row r="2451" customFormat="false" ht="13.8" hidden="false" customHeight="false" outlineLevel="0" collapsed="false">
      <c r="AA2451" s="7" t="n">
        <f aca="false">AA2450+1</f>
        <v>43357</v>
      </c>
      <c r="AB2451" s="14"/>
      <c r="AC2451" s="14"/>
      <c r="AD2451" s="14"/>
      <c r="AE2451" s="14"/>
      <c r="AF2451" s="14"/>
      <c r="AG2451" s="14"/>
      <c r="AH2451" s="14"/>
      <c r="AI2451" s="14"/>
      <c r="AJ2451" s="14"/>
      <c r="AK2451" s="14"/>
      <c r="AL2451" s="14"/>
      <c r="AM2451" s="14"/>
    </row>
    <row r="2452" customFormat="false" ht="13.8" hidden="false" customHeight="false" outlineLevel="0" collapsed="false">
      <c r="AA2452" s="7" t="n">
        <f aca="false">AA2451+1</f>
        <v>43358</v>
      </c>
      <c r="AB2452" s="14"/>
      <c r="AC2452" s="14"/>
      <c r="AD2452" s="14"/>
      <c r="AE2452" s="14"/>
      <c r="AF2452" s="14"/>
      <c r="AG2452" s="14"/>
      <c r="AH2452" s="14"/>
      <c r="AI2452" s="14"/>
      <c r="AJ2452" s="14"/>
      <c r="AK2452" s="14"/>
      <c r="AL2452" s="14"/>
      <c r="AM2452" s="14"/>
    </row>
    <row r="2453" customFormat="false" ht="13.8" hidden="false" customHeight="false" outlineLevel="0" collapsed="false">
      <c r="AA2453" s="7" t="n">
        <f aca="false">AA2452+1</f>
        <v>43359</v>
      </c>
      <c r="AB2453" s="14"/>
      <c r="AC2453" s="14"/>
      <c r="AD2453" s="14"/>
      <c r="AE2453" s="14"/>
      <c r="AF2453" s="14"/>
      <c r="AG2453" s="14"/>
      <c r="AH2453" s="14"/>
      <c r="AI2453" s="14"/>
      <c r="AJ2453" s="14"/>
      <c r="AK2453" s="14"/>
      <c r="AL2453" s="14"/>
      <c r="AM2453" s="14"/>
    </row>
    <row r="2454" customFormat="false" ht="13.8" hidden="false" customHeight="false" outlineLevel="0" collapsed="false">
      <c r="AA2454" s="7" t="n">
        <f aca="false">AA2453+1</f>
        <v>43360</v>
      </c>
      <c r="AB2454" s="14"/>
      <c r="AC2454" s="14"/>
      <c r="AD2454" s="14"/>
      <c r="AE2454" s="14"/>
      <c r="AF2454" s="14"/>
      <c r="AG2454" s="14"/>
      <c r="AH2454" s="14"/>
      <c r="AI2454" s="14"/>
      <c r="AJ2454" s="14"/>
      <c r="AK2454" s="14"/>
      <c r="AL2454" s="14"/>
      <c r="AM2454" s="14"/>
    </row>
    <row r="2455" customFormat="false" ht="13.8" hidden="false" customHeight="false" outlineLevel="0" collapsed="false">
      <c r="AA2455" s="7" t="n">
        <f aca="false">AA2454+1</f>
        <v>43361</v>
      </c>
      <c r="AB2455" s="14"/>
      <c r="AC2455" s="14"/>
      <c r="AD2455" s="14"/>
      <c r="AE2455" s="14"/>
      <c r="AF2455" s="14"/>
      <c r="AG2455" s="14"/>
      <c r="AH2455" s="14"/>
      <c r="AI2455" s="14"/>
      <c r="AJ2455" s="14"/>
      <c r="AK2455" s="14"/>
      <c r="AL2455" s="14"/>
      <c r="AM2455" s="14"/>
    </row>
    <row r="2456" customFormat="false" ht="13.8" hidden="false" customHeight="false" outlineLevel="0" collapsed="false">
      <c r="AA2456" s="7" t="n">
        <f aca="false">AA2455+1</f>
        <v>43362</v>
      </c>
      <c r="AB2456" s="14"/>
      <c r="AC2456" s="14"/>
      <c r="AD2456" s="14"/>
      <c r="AE2456" s="14"/>
      <c r="AF2456" s="14"/>
      <c r="AG2456" s="14"/>
      <c r="AH2456" s="14"/>
      <c r="AI2456" s="14"/>
      <c r="AJ2456" s="14"/>
      <c r="AK2456" s="14"/>
      <c r="AL2456" s="14"/>
      <c r="AM2456" s="14"/>
    </row>
    <row r="2457" customFormat="false" ht="13.8" hidden="false" customHeight="false" outlineLevel="0" collapsed="false">
      <c r="AA2457" s="7" t="n">
        <f aca="false">AA2456+1</f>
        <v>43363</v>
      </c>
      <c r="AB2457" s="14"/>
      <c r="AC2457" s="14"/>
      <c r="AD2457" s="14"/>
      <c r="AE2457" s="14"/>
      <c r="AF2457" s="14"/>
      <c r="AG2457" s="14"/>
      <c r="AH2457" s="14"/>
      <c r="AI2457" s="14"/>
      <c r="AJ2457" s="14"/>
      <c r="AK2457" s="14"/>
      <c r="AL2457" s="14"/>
      <c r="AM2457" s="14"/>
    </row>
    <row r="2458" customFormat="false" ht="13.8" hidden="false" customHeight="false" outlineLevel="0" collapsed="false">
      <c r="AA2458" s="7" t="n">
        <f aca="false">AA2457+1</f>
        <v>43364</v>
      </c>
      <c r="AB2458" s="14"/>
      <c r="AC2458" s="14"/>
      <c r="AD2458" s="14"/>
      <c r="AE2458" s="14"/>
      <c r="AF2458" s="14"/>
      <c r="AG2458" s="14"/>
      <c r="AH2458" s="14"/>
      <c r="AI2458" s="14"/>
      <c r="AJ2458" s="14"/>
      <c r="AK2458" s="14"/>
      <c r="AL2458" s="14"/>
      <c r="AM2458" s="14"/>
    </row>
    <row r="2459" customFormat="false" ht="13.8" hidden="false" customHeight="false" outlineLevel="0" collapsed="false">
      <c r="AA2459" s="7" t="n">
        <f aca="false">AA2458+1</f>
        <v>43365</v>
      </c>
      <c r="AB2459" s="14"/>
      <c r="AC2459" s="14"/>
      <c r="AD2459" s="14"/>
      <c r="AE2459" s="14"/>
      <c r="AF2459" s="14"/>
      <c r="AG2459" s="14"/>
      <c r="AH2459" s="14"/>
      <c r="AI2459" s="14"/>
      <c r="AJ2459" s="14"/>
      <c r="AK2459" s="14"/>
      <c r="AL2459" s="14"/>
      <c r="AM2459" s="14"/>
    </row>
    <row r="2460" customFormat="false" ht="13.8" hidden="false" customHeight="false" outlineLevel="0" collapsed="false">
      <c r="AA2460" s="7" t="n">
        <f aca="false">AA2459+1</f>
        <v>43366</v>
      </c>
      <c r="AB2460" s="14"/>
      <c r="AC2460" s="14"/>
      <c r="AD2460" s="14"/>
      <c r="AE2460" s="14"/>
      <c r="AF2460" s="14"/>
      <c r="AG2460" s="14"/>
      <c r="AH2460" s="14"/>
      <c r="AI2460" s="14"/>
      <c r="AJ2460" s="14"/>
      <c r="AK2460" s="14"/>
      <c r="AL2460" s="14"/>
      <c r="AM2460" s="14"/>
    </row>
    <row r="2461" customFormat="false" ht="13.8" hidden="false" customHeight="false" outlineLevel="0" collapsed="false">
      <c r="AA2461" s="7" t="n">
        <f aca="false">AA2460+1</f>
        <v>43367</v>
      </c>
      <c r="AB2461" s="14"/>
      <c r="AC2461" s="14"/>
      <c r="AD2461" s="14"/>
      <c r="AE2461" s="14"/>
      <c r="AF2461" s="14"/>
      <c r="AG2461" s="14"/>
      <c r="AH2461" s="14"/>
      <c r="AI2461" s="14"/>
      <c r="AJ2461" s="14"/>
      <c r="AK2461" s="14"/>
      <c r="AL2461" s="14"/>
      <c r="AM2461" s="14"/>
    </row>
    <row r="2462" customFormat="false" ht="13.8" hidden="false" customHeight="false" outlineLevel="0" collapsed="false">
      <c r="AA2462" s="7" t="n">
        <f aca="false">AA2461+1</f>
        <v>43368</v>
      </c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</row>
    <row r="2463" customFormat="false" ht="13.8" hidden="false" customHeight="false" outlineLevel="0" collapsed="false">
      <c r="AA2463" s="7" t="n">
        <f aca="false">AA2462+1</f>
        <v>43369</v>
      </c>
      <c r="AB2463" s="14"/>
      <c r="AC2463" s="14"/>
      <c r="AD2463" s="14"/>
      <c r="AE2463" s="14"/>
      <c r="AF2463" s="14"/>
      <c r="AG2463" s="14"/>
      <c r="AH2463" s="14"/>
      <c r="AI2463" s="14"/>
      <c r="AJ2463" s="14"/>
      <c r="AK2463" s="14"/>
      <c r="AL2463" s="14"/>
      <c r="AM2463" s="14"/>
    </row>
    <row r="2464" customFormat="false" ht="13.8" hidden="false" customHeight="false" outlineLevel="0" collapsed="false">
      <c r="AA2464" s="7" t="n">
        <f aca="false">AA2463+1</f>
        <v>43370</v>
      </c>
      <c r="AB2464" s="14"/>
      <c r="AC2464" s="14"/>
      <c r="AD2464" s="14"/>
      <c r="AE2464" s="14"/>
      <c r="AF2464" s="14"/>
      <c r="AG2464" s="14"/>
      <c r="AH2464" s="14"/>
      <c r="AI2464" s="14"/>
      <c r="AJ2464" s="14"/>
      <c r="AK2464" s="14"/>
      <c r="AL2464" s="14"/>
      <c r="AM2464" s="14"/>
    </row>
    <row r="2465" customFormat="false" ht="13.8" hidden="false" customHeight="false" outlineLevel="0" collapsed="false">
      <c r="AA2465" s="7" t="n">
        <f aca="false">AA2464+1</f>
        <v>43371</v>
      </c>
      <c r="AB2465" s="14"/>
      <c r="AC2465" s="14"/>
      <c r="AD2465" s="14"/>
      <c r="AE2465" s="14"/>
      <c r="AF2465" s="14"/>
      <c r="AG2465" s="14"/>
      <c r="AH2465" s="14"/>
      <c r="AI2465" s="14"/>
      <c r="AJ2465" s="14"/>
      <c r="AK2465" s="14"/>
      <c r="AL2465" s="14"/>
      <c r="AM2465" s="14"/>
    </row>
    <row r="2466" customFormat="false" ht="13.8" hidden="false" customHeight="false" outlineLevel="0" collapsed="false">
      <c r="AA2466" s="7" t="n">
        <f aca="false">AA2465+1</f>
        <v>43372</v>
      </c>
      <c r="AB2466" s="14"/>
      <c r="AC2466" s="14"/>
      <c r="AD2466" s="14"/>
      <c r="AE2466" s="14"/>
      <c r="AF2466" s="14"/>
      <c r="AG2466" s="14"/>
      <c r="AH2466" s="14"/>
      <c r="AI2466" s="14"/>
      <c r="AJ2466" s="14"/>
      <c r="AK2466" s="14"/>
      <c r="AL2466" s="14"/>
      <c r="AM2466" s="14"/>
    </row>
    <row r="2467" customFormat="false" ht="13.8" hidden="false" customHeight="false" outlineLevel="0" collapsed="false">
      <c r="AA2467" s="7" t="n">
        <f aca="false">AA2466+1</f>
        <v>43373</v>
      </c>
      <c r="AB2467" s="14"/>
      <c r="AC2467" s="14"/>
      <c r="AD2467" s="14"/>
      <c r="AE2467" s="14"/>
      <c r="AF2467" s="14"/>
      <c r="AG2467" s="14"/>
      <c r="AH2467" s="14"/>
      <c r="AI2467" s="14"/>
      <c r="AJ2467" s="14"/>
      <c r="AK2467" s="14"/>
      <c r="AL2467" s="14"/>
      <c r="AM2467" s="14"/>
    </row>
    <row r="2468" customFormat="false" ht="13.8" hidden="false" customHeight="false" outlineLevel="0" collapsed="false">
      <c r="AA2468" s="7" t="n">
        <f aca="false">AA2467+1</f>
        <v>43374</v>
      </c>
      <c r="AB2468" s="14"/>
      <c r="AC2468" s="14"/>
      <c r="AD2468" s="14"/>
      <c r="AE2468" s="14"/>
      <c r="AF2468" s="14"/>
      <c r="AG2468" s="14"/>
      <c r="AH2468" s="14"/>
      <c r="AI2468" s="14"/>
      <c r="AJ2468" s="14"/>
      <c r="AK2468" s="14"/>
      <c r="AL2468" s="14"/>
      <c r="AM2468" s="14"/>
    </row>
    <row r="2469" customFormat="false" ht="13.8" hidden="false" customHeight="false" outlineLevel="0" collapsed="false">
      <c r="AA2469" s="7" t="n">
        <f aca="false">AA2468+1</f>
        <v>43375</v>
      </c>
      <c r="AB2469" s="14"/>
      <c r="AC2469" s="14"/>
      <c r="AD2469" s="14"/>
      <c r="AE2469" s="14"/>
      <c r="AF2469" s="14"/>
      <c r="AG2469" s="14"/>
      <c r="AH2469" s="14"/>
      <c r="AI2469" s="14"/>
      <c r="AJ2469" s="14"/>
      <c r="AK2469" s="14"/>
      <c r="AL2469" s="14"/>
      <c r="AM2469" s="14"/>
    </row>
    <row r="2470" customFormat="false" ht="13.8" hidden="false" customHeight="false" outlineLevel="0" collapsed="false">
      <c r="AA2470" s="7" t="n">
        <f aca="false">AA2469+1</f>
        <v>43376</v>
      </c>
      <c r="AB2470" s="14"/>
      <c r="AC2470" s="14"/>
      <c r="AD2470" s="14"/>
      <c r="AE2470" s="14"/>
      <c r="AF2470" s="14"/>
      <c r="AG2470" s="14"/>
      <c r="AH2470" s="14"/>
      <c r="AI2470" s="14"/>
      <c r="AJ2470" s="14"/>
      <c r="AK2470" s="14"/>
      <c r="AL2470" s="14"/>
      <c r="AM2470" s="14"/>
    </row>
    <row r="2471" customFormat="false" ht="13.8" hidden="false" customHeight="false" outlineLevel="0" collapsed="false">
      <c r="AA2471" s="7" t="n">
        <f aca="false">AA2470+1</f>
        <v>43377</v>
      </c>
      <c r="AB2471" s="14"/>
      <c r="AC2471" s="14"/>
      <c r="AD2471" s="14"/>
      <c r="AE2471" s="14"/>
      <c r="AF2471" s="14"/>
      <c r="AG2471" s="14"/>
      <c r="AH2471" s="14"/>
      <c r="AI2471" s="14"/>
      <c r="AJ2471" s="14"/>
      <c r="AK2471" s="14"/>
      <c r="AL2471" s="14"/>
      <c r="AM2471" s="14"/>
    </row>
    <row r="2472" customFormat="false" ht="13.8" hidden="false" customHeight="false" outlineLevel="0" collapsed="false">
      <c r="AA2472" s="7" t="n">
        <f aca="false">AA2471+1</f>
        <v>43378</v>
      </c>
      <c r="AB2472" s="14"/>
      <c r="AC2472" s="14"/>
      <c r="AD2472" s="14"/>
      <c r="AE2472" s="14"/>
      <c r="AF2472" s="14"/>
      <c r="AG2472" s="14"/>
      <c r="AH2472" s="14"/>
      <c r="AI2472" s="14"/>
      <c r="AJ2472" s="14"/>
      <c r="AK2472" s="14"/>
      <c r="AL2472" s="14"/>
      <c r="AM2472" s="14"/>
    </row>
    <row r="2473" customFormat="false" ht="13.8" hidden="false" customHeight="false" outlineLevel="0" collapsed="false">
      <c r="AA2473" s="7" t="n">
        <f aca="false">AA2472+1</f>
        <v>43379</v>
      </c>
      <c r="AB2473" s="14"/>
      <c r="AC2473" s="14"/>
      <c r="AD2473" s="14"/>
      <c r="AE2473" s="14"/>
      <c r="AF2473" s="14"/>
      <c r="AG2473" s="14"/>
      <c r="AH2473" s="14"/>
      <c r="AI2473" s="14"/>
      <c r="AJ2473" s="14"/>
      <c r="AK2473" s="14"/>
      <c r="AL2473" s="14"/>
      <c r="AM2473" s="14"/>
    </row>
    <row r="2474" customFormat="false" ht="13.8" hidden="false" customHeight="false" outlineLevel="0" collapsed="false">
      <c r="AA2474" s="7" t="n">
        <f aca="false">AA2473+1</f>
        <v>43380</v>
      </c>
      <c r="AB2474" s="14"/>
      <c r="AC2474" s="14"/>
      <c r="AD2474" s="14"/>
      <c r="AE2474" s="14"/>
      <c r="AF2474" s="14"/>
      <c r="AG2474" s="14"/>
      <c r="AH2474" s="14"/>
      <c r="AI2474" s="14"/>
      <c r="AJ2474" s="14"/>
      <c r="AK2474" s="14"/>
      <c r="AL2474" s="14"/>
      <c r="AM2474" s="14"/>
    </row>
    <row r="2475" customFormat="false" ht="13.8" hidden="false" customHeight="false" outlineLevel="0" collapsed="false">
      <c r="AA2475" s="7" t="n">
        <f aca="false">AA2474+1</f>
        <v>43381</v>
      </c>
      <c r="AB2475" s="14"/>
      <c r="AC2475" s="14"/>
      <c r="AD2475" s="14"/>
      <c r="AE2475" s="14"/>
      <c r="AF2475" s="14"/>
      <c r="AG2475" s="14"/>
      <c r="AH2475" s="14"/>
      <c r="AI2475" s="14"/>
      <c r="AJ2475" s="14"/>
      <c r="AK2475" s="14"/>
      <c r="AL2475" s="14"/>
      <c r="AM2475" s="14"/>
    </row>
    <row r="2476" customFormat="false" ht="13.8" hidden="false" customHeight="false" outlineLevel="0" collapsed="false">
      <c r="AA2476" s="7" t="n">
        <f aca="false">AA2475+1</f>
        <v>43382</v>
      </c>
      <c r="AB2476" s="14"/>
      <c r="AC2476" s="14"/>
      <c r="AD2476" s="14"/>
      <c r="AE2476" s="14"/>
      <c r="AF2476" s="14"/>
      <c r="AG2476" s="14"/>
      <c r="AH2476" s="14"/>
      <c r="AI2476" s="14"/>
      <c r="AJ2476" s="14"/>
      <c r="AK2476" s="14"/>
      <c r="AL2476" s="14"/>
      <c r="AM2476" s="14"/>
    </row>
    <row r="2477" customFormat="false" ht="13.8" hidden="false" customHeight="false" outlineLevel="0" collapsed="false">
      <c r="AA2477" s="7" t="n">
        <f aca="false">AA2476+1</f>
        <v>43383</v>
      </c>
      <c r="AB2477" s="14"/>
      <c r="AC2477" s="14"/>
      <c r="AD2477" s="14"/>
      <c r="AE2477" s="14"/>
      <c r="AF2477" s="14"/>
      <c r="AG2477" s="14"/>
      <c r="AH2477" s="14"/>
      <c r="AI2477" s="14"/>
      <c r="AJ2477" s="14"/>
      <c r="AK2477" s="14"/>
      <c r="AL2477" s="14"/>
      <c r="AM2477" s="14"/>
    </row>
    <row r="2478" customFormat="false" ht="13.8" hidden="false" customHeight="false" outlineLevel="0" collapsed="false">
      <c r="AA2478" s="7" t="n">
        <f aca="false">AA2477+1</f>
        <v>43384</v>
      </c>
      <c r="AB2478" s="14"/>
      <c r="AC2478" s="14"/>
      <c r="AD2478" s="14"/>
      <c r="AE2478" s="14"/>
      <c r="AF2478" s="14"/>
      <c r="AG2478" s="14"/>
      <c r="AH2478" s="14"/>
      <c r="AI2478" s="14"/>
      <c r="AJ2478" s="14"/>
      <c r="AK2478" s="14"/>
      <c r="AL2478" s="14"/>
      <c r="AM2478" s="14"/>
    </row>
    <row r="2479" customFormat="false" ht="13.8" hidden="false" customHeight="false" outlineLevel="0" collapsed="false">
      <c r="AA2479" s="7" t="n">
        <f aca="false">AA2478+1</f>
        <v>43385</v>
      </c>
      <c r="AB2479" s="14"/>
      <c r="AC2479" s="14"/>
      <c r="AD2479" s="14"/>
      <c r="AE2479" s="14"/>
      <c r="AF2479" s="14"/>
      <c r="AG2479" s="14"/>
      <c r="AH2479" s="14"/>
      <c r="AI2479" s="14"/>
      <c r="AJ2479" s="14"/>
      <c r="AK2479" s="14"/>
      <c r="AL2479" s="14"/>
      <c r="AM2479" s="14"/>
    </row>
    <row r="2480" customFormat="false" ht="13.8" hidden="false" customHeight="false" outlineLevel="0" collapsed="false">
      <c r="AA2480" s="7" t="n">
        <f aca="false">AA2479+1</f>
        <v>43386</v>
      </c>
      <c r="AB2480" s="14"/>
      <c r="AC2480" s="14"/>
      <c r="AD2480" s="14"/>
      <c r="AE2480" s="14"/>
      <c r="AF2480" s="14"/>
      <c r="AG2480" s="14"/>
      <c r="AH2480" s="14"/>
      <c r="AI2480" s="14"/>
      <c r="AJ2480" s="14"/>
      <c r="AK2480" s="14"/>
      <c r="AL2480" s="14"/>
      <c r="AM2480" s="14"/>
    </row>
    <row r="2481" customFormat="false" ht="13.8" hidden="false" customHeight="false" outlineLevel="0" collapsed="false">
      <c r="AA2481" s="7" t="n">
        <f aca="false">AA2480+1</f>
        <v>43387</v>
      </c>
      <c r="AB2481" s="14"/>
      <c r="AC2481" s="14"/>
      <c r="AD2481" s="14"/>
      <c r="AE2481" s="14"/>
      <c r="AF2481" s="14"/>
      <c r="AG2481" s="14"/>
      <c r="AH2481" s="14"/>
      <c r="AI2481" s="14"/>
      <c r="AJ2481" s="14"/>
      <c r="AK2481" s="14"/>
      <c r="AL2481" s="14"/>
      <c r="AM2481" s="14"/>
    </row>
    <row r="2482" customFormat="false" ht="13.8" hidden="false" customHeight="false" outlineLevel="0" collapsed="false">
      <c r="AA2482" s="7" t="n">
        <f aca="false">AA2481+1</f>
        <v>43388</v>
      </c>
      <c r="AB2482" s="14"/>
      <c r="AC2482" s="14"/>
      <c r="AD2482" s="14"/>
      <c r="AE2482" s="14"/>
      <c r="AF2482" s="14"/>
      <c r="AG2482" s="14"/>
      <c r="AH2482" s="14"/>
      <c r="AI2482" s="14"/>
      <c r="AJ2482" s="14"/>
      <c r="AK2482" s="14"/>
      <c r="AL2482" s="14"/>
      <c r="AM2482" s="14"/>
    </row>
    <row r="2483" customFormat="false" ht="13.8" hidden="false" customHeight="false" outlineLevel="0" collapsed="false">
      <c r="AA2483" s="7" t="n">
        <f aca="false">AA2482+1</f>
        <v>43389</v>
      </c>
      <c r="AB2483" s="14"/>
      <c r="AC2483" s="14"/>
      <c r="AD2483" s="14"/>
      <c r="AE2483" s="14"/>
      <c r="AF2483" s="14"/>
      <c r="AG2483" s="14"/>
      <c r="AH2483" s="14"/>
      <c r="AI2483" s="14"/>
      <c r="AJ2483" s="14"/>
      <c r="AK2483" s="14"/>
      <c r="AL2483" s="14"/>
      <c r="AM2483" s="14"/>
    </row>
    <row r="2484" customFormat="false" ht="13.8" hidden="false" customHeight="false" outlineLevel="0" collapsed="false">
      <c r="AA2484" s="7" t="n">
        <f aca="false">AA2483+1</f>
        <v>43390</v>
      </c>
      <c r="AB2484" s="14"/>
      <c r="AC2484" s="14"/>
      <c r="AD2484" s="14"/>
      <c r="AE2484" s="14"/>
      <c r="AF2484" s="14"/>
      <c r="AG2484" s="14"/>
      <c r="AH2484" s="14"/>
      <c r="AI2484" s="14"/>
      <c r="AJ2484" s="14"/>
      <c r="AK2484" s="14"/>
      <c r="AL2484" s="14"/>
      <c r="AM2484" s="14"/>
    </row>
    <row r="2485" customFormat="false" ht="13.8" hidden="false" customHeight="false" outlineLevel="0" collapsed="false">
      <c r="AA2485" s="7" t="n">
        <f aca="false">AA2484+1</f>
        <v>43391</v>
      </c>
      <c r="AB2485" s="14"/>
      <c r="AC2485" s="14"/>
      <c r="AD2485" s="14"/>
      <c r="AE2485" s="14"/>
      <c r="AF2485" s="14"/>
      <c r="AG2485" s="14"/>
      <c r="AH2485" s="14"/>
      <c r="AI2485" s="14"/>
      <c r="AJ2485" s="14"/>
      <c r="AK2485" s="14"/>
      <c r="AL2485" s="14"/>
      <c r="AM2485" s="14"/>
    </row>
    <row r="2486" customFormat="false" ht="13.8" hidden="false" customHeight="false" outlineLevel="0" collapsed="false">
      <c r="AA2486" s="7" t="n">
        <f aca="false">AA2485+1</f>
        <v>43392</v>
      </c>
      <c r="AB2486" s="14"/>
      <c r="AC2486" s="14"/>
      <c r="AD2486" s="14"/>
      <c r="AE2486" s="14"/>
      <c r="AF2486" s="14"/>
      <c r="AG2486" s="14"/>
      <c r="AH2486" s="14"/>
      <c r="AI2486" s="14"/>
      <c r="AJ2486" s="14"/>
      <c r="AK2486" s="14"/>
      <c r="AL2486" s="14"/>
      <c r="AM2486" s="14"/>
    </row>
    <row r="2487" customFormat="false" ht="13.8" hidden="false" customHeight="false" outlineLevel="0" collapsed="false">
      <c r="AA2487" s="7" t="n">
        <f aca="false">AA2486+1</f>
        <v>43393</v>
      </c>
      <c r="AB2487" s="14"/>
      <c r="AC2487" s="14"/>
      <c r="AD2487" s="14"/>
      <c r="AE2487" s="14"/>
      <c r="AF2487" s="14"/>
      <c r="AG2487" s="14"/>
      <c r="AH2487" s="14"/>
      <c r="AI2487" s="14"/>
      <c r="AJ2487" s="14"/>
      <c r="AK2487" s="14"/>
      <c r="AL2487" s="14"/>
      <c r="AM2487" s="14"/>
    </row>
    <row r="2488" customFormat="false" ht="13.8" hidden="false" customHeight="false" outlineLevel="0" collapsed="false">
      <c r="AA2488" s="7" t="n">
        <f aca="false">AA2487+1</f>
        <v>43394</v>
      </c>
      <c r="AB2488" s="14"/>
      <c r="AC2488" s="14"/>
      <c r="AD2488" s="14"/>
      <c r="AE2488" s="14"/>
      <c r="AF2488" s="14"/>
      <c r="AG2488" s="14"/>
      <c r="AH2488" s="14"/>
      <c r="AI2488" s="14"/>
      <c r="AJ2488" s="14"/>
      <c r="AK2488" s="14"/>
      <c r="AL2488" s="14"/>
      <c r="AM2488" s="14"/>
    </row>
    <row r="2489" customFormat="false" ht="13.8" hidden="false" customHeight="false" outlineLevel="0" collapsed="false">
      <c r="AA2489" s="7" t="n">
        <f aca="false">AA2488+1</f>
        <v>43395</v>
      </c>
      <c r="AB2489" s="14"/>
      <c r="AC2489" s="14"/>
      <c r="AD2489" s="14"/>
      <c r="AE2489" s="14"/>
      <c r="AF2489" s="14"/>
      <c r="AG2489" s="14"/>
      <c r="AH2489" s="14"/>
      <c r="AI2489" s="14"/>
      <c r="AJ2489" s="14"/>
      <c r="AK2489" s="14"/>
      <c r="AL2489" s="14"/>
      <c r="AM2489" s="14"/>
    </row>
    <row r="2490" customFormat="false" ht="13.8" hidden="false" customHeight="false" outlineLevel="0" collapsed="false">
      <c r="AA2490" s="7" t="n">
        <f aca="false">AA2489+1</f>
        <v>43396</v>
      </c>
      <c r="AB2490" s="14"/>
      <c r="AC2490" s="14"/>
      <c r="AD2490" s="14"/>
      <c r="AE2490" s="14"/>
      <c r="AF2490" s="14"/>
      <c r="AG2490" s="14"/>
      <c r="AH2490" s="14"/>
      <c r="AI2490" s="14"/>
      <c r="AJ2490" s="14"/>
      <c r="AK2490" s="14"/>
      <c r="AL2490" s="14"/>
      <c r="AM2490" s="14"/>
    </row>
    <row r="2491" customFormat="false" ht="13.8" hidden="false" customHeight="false" outlineLevel="0" collapsed="false">
      <c r="AA2491" s="7" t="n">
        <f aca="false">AA2490+1</f>
        <v>43397</v>
      </c>
      <c r="AB2491" s="14"/>
      <c r="AC2491" s="14"/>
      <c r="AD2491" s="14"/>
      <c r="AE2491" s="14"/>
      <c r="AF2491" s="14"/>
      <c r="AG2491" s="14"/>
      <c r="AH2491" s="14"/>
      <c r="AI2491" s="14"/>
      <c r="AJ2491" s="14"/>
      <c r="AK2491" s="14"/>
      <c r="AL2491" s="14"/>
      <c r="AM2491" s="14"/>
    </row>
    <row r="2492" customFormat="false" ht="13.8" hidden="false" customHeight="false" outlineLevel="0" collapsed="false">
      <c r="AA2492" s="7" t="n">
        <f aca="false">AA2491+1</f>
        <v>43398</v>
      </c>
      <c r="AB2492" s="14"/>
      <c r="AC2492" s="14"/>
      <c r="AD2492" s="14"/>
      <c r="AE2492" s="14"/>
      <c r="AF2492" s="14"/>
      <c r="AG2492" s="14"/>
      <c r="AH2492" s="14"/>
      <c r="AI2492" s="14"/>
      <c r="AJ2492" s="14"/>
      <c r="AK2492" s="14"/>
      <c r="AL2492" s="14"/>
      <c r="AM2492" s="14"/>
    </row>
    <row r="2493" customFormat="false" ht="13.8" hidden="false" customHeight="false" outlineLevel="0" collapsed="false">
      <c r="AA2493" s="7" t="n">
        <f aca="false">AA2492+1</f>
        <v>43399</v>
      </c>
      <c r="AB2493" s="14"/>
      <c r="AC2493" s="14"/>
      <c r="AD2493" s="14"/>
      <c r="AE2493" s="14"/>
      <c r="AF2493" s="14"/>
      <c r="AG2493" s="14"/>
      <c r="AH2493" s="14"/>
      <c r="AI2493" s="14"/>
      <c r="AJ2493" s="14"/>
      <c r="AK2493" s="14"/>
      <c r="AL2493" s="14"/>
      <c r="AM2493" s="14"/>
    </row>
    <row r="2494" customFormat="false" ht="13.8" hidden="false" customHeight="false" outlineLevel="0" collapsed="false">
      <c r="AA2494" s="7" t="n">
        <f aca="false">AA2493+1</f>
        <v>43400</v>
      </c>
      <c r="AB2494" s="14"/>
      <c r="AC2494" s="14"/>
      <c r="AD2494" s="14"/>
      <c r="AE2494" s="14"/>
      <c r="AF2494" s="14"/>
      <c r="AG2494" s="14"/>
      <c r="AH2494" s="14"/>
      <c r="AI2494" s="14"/>
      <c r="AJ2494" s="14"/>
      <c r="AK2494" s="14"/>
      <c r="AL2494" s="14"/>
      <c r="AM2494" s="14"/>
    </row>
    <row r="2495" customFormat="false" ht="13.8" hidden="false" customHeight="false" outlineLevel="0" collapsed="false">
      <c r="AA2495" s="7" t="n">
        <f aca="false">AA2494+1</f>
        <v>43401</v>
      </c>
      <c r="AB2495" s="14"/>
      <c r="AC2495" s="14"/>
      <c r="AD2495" s="14"/>
      <c r="AE2495" s="14"/>
      <c r="AF2495" s="14"/>
      <c r="AG2495" s="14"/>
      <c r="AH2495" s="14"/>
      <c r="AI2495" s="14"/>
      <c r="AJ2495" s="14"/>
      <c r="AK2495" s="14"/>
      <c r="AL2495" s="14"/>
      <c r="AM2495" s="14"/>
    </row>
    <row r="2496" customFormat="false" ht="13.8" hidden="false" customHeight="false" outlineLevel="0" collapsed="false">
      <c r="AA2496" s="7" t="n">
        <f aca="false">AA2495+1</f>
        <v>43402</v>
      </c>
      <c r="AB2496" s="14"/>
      <c r="AC2496" s="14"/>
      <c r="AD2496" s="14"/>
      <c r="AE2496" s="14"/>
      <c r="AF2496" s="14"/>
      <c r="AG2496" s="14"/>
      <c r="AH2496" s="14"/>
      <c r="AI2496" s="14"/>
      <c r="AJ2496" s="14"/>
      <c r="AK2496" s="14"/>
      <c r="AL2496" s="14"/>
      <c r="AM2496" s="14"/>
    </row>
    <row r="2497" customFormat="false" ht="13.8" hidden="false" customHeight="false" outlineLevel="0" collapsed="false">
      <c r="AA2497" s="7" t="n">
        <f aca="false">AA2496+1</f>
        <v>43403</v>
      </c>
      <c r="AB2497" s="14"/>
      <c r="AC2497" s="14"/>
      <c r="AD2497" s="14"/>
      <c r="AE2497" s="14"/>
      <c r="AF2497" s="14"/>
      <c r="AG2497" s="14"/>
      <c r="AH2497" s="14"/>
      <c r="AI2497" s="14"/>
      <c r="AJ2497" s="14"/>
      <c r="AK2497" s="14"/>
      <c r="AL2497" s="14"/>
      <c r="AM2497" s="14"/>
    </row>
    <row r="2498" customFormat="false" ht="13.8" hidden="false" customHeight="false" outlineLevel="0" collapsed="false">
      <c r="AA2498" s="7" t="n">
        <f aca="false">AA2497+1</f>
        <v>43404</v>
      </c>
      <c r="AB2498" s="14"/>
      <c r="AC2498" s="14"/>
      <c r="AD2498" s="14"/>
      <c r="AE2498" s="14"/>
      <c r="AF2498" s="14"/>
      <c r="AG2498" s="14"/>
      <c r="AH2498" s="14"/>
      <c r="AI2498" s="14"/>
      <c r="AJ2498" s="14"/>
      <c r="AK2498" s="14"/>
      <c r="AL2498" s="14"/>
      <c r="AM2498" s="14"/>
    </row>
    <row r="2499" customFormat="false" ht="13.8" hidden="false" customHeight="false" outlineLevel="0" collapsed="false">
      <c r="AA2499" s="7" t="n">
        <f aca="false">AA2498+1</f>
        <v>43405</v>
      </c>
      <c r="AB2499" s="14"/>
      <c r="AC2499" s="14"/>
      <c r="AD2499" s="14"/>
      <c r="AE2499" s="14"/>
      <c r="AF2499" s="14"/>
      <c r="AG2499" s="14"/>
      <c r="AH2499" s="14"/>
      <c r="AI2499" s="14"/>
      <c r="AJ2499" s="14"/>
      <c r="AK2499" s="14"/>
      <c r="AL2499" s="14"/>
      <c r="AM2499" s="14"/>
    </row>
    <row r="2500" customFormat="false" ht="13.8" hidden="false" customHeight="false" outlineLevel="0" collapsed="false">
      <c r="AA2500" s="7" t="n">
        <f aca="false">AA2499+1</f>
        <v>43406</v>
      </c>
      <c r="AB2500" s="14"/>
      <c r="AC2500" s="14"/>
      <c r="AD2500" s="14"/>
      <c r="AE2500" s="14"/>
      <c r="AF2500" s="14"/>
      <c r="AG2500" s="14"/>
      <c r="AH2500" s="14"/>
      <c r="AI2500" s="14"/>
      <c r="AJ2500" s="14"/>
      <c r="AK2500" s="14"/>
      <c r="AL2500" s="14"/>
      <c r="AM2500" s="14"/>
    </row>
    <row r="2501" customFormat="false" ht="13.8" hidden="false" customHeight="false" outlineLevel="0" collapsed="false">
      <c r="AA2501" s="7" t="n">
        <f aca="false">AA2500+1</f>
        <v>43407</v>
      </c>
      <c r="AB2501" s="14"/>
      <c r="AC2501" s="14"/>
      <c r="AD2501" s="14"/>
      <c r="AE2501" s="14"/>
      <c r="AF2501" s="14"/>
      <c r="AG2501" s="14"/>
      <c r="AH2501" s="14"/>
      <c r="AI2501" s="14"/>
      <c r="AJ2501" s="14"/>
      <c r="AK2501" s="14"/>
      <c r="AL2501" s="14"/>
      <c r="AM2501" s="14"/>
    </row>
    <row r="2502" customFormat="false" ht="13.8" hidden="false" customHeight="false" outlineLevel="0" collapsed="false">
      <c r="AA2502" s="7" t="n">
        <f aca="false">AA2501+1</f>
        <v>43408</v>
      </c>
      <c r="AB2502" s="14"/>
      <c r="AC2502" s="14"/>
      <c r="AD2502" s="14"/>
      <c r="AE2502" s="14"/>
      <c r="AF2502" s="14"/>
      <c r="AG2502" s="14"/>
      <c r="AH2502" s="14"/>
      <c r="AI2502" s="14"/>
      <c r="AJ2502" s="14"/>
      <c r="AK2502" s="14"/>
      <c r="AL2502" s="14"/>
      <c r="AM2502" s="14"/>
    </row>
    <row r="2503" customFormat="false" ht="13.8" hidden="false" customHeight="false" outlineLevel="0" collapsed="false">
      <c r="AA2503" s="7" t="n">
        <f aca="false">AA2502+1</f>
        <v>43409</v>
      </c>
      <c r="AB2503" s="14"/>
      <c r="AC2503" s="14"/>
      <c r="AD2503" s="14"/>
      <c r="AE2503" s="14"/>
      <c r="AF2503" s="14"/>
      <c r="AG2503" s="14"/>
      <c r="AH2503" s="14"/>
      <c r="AI2503" s="14"/>
      <c r="AJ2503" s="14"/>
      <c r="AK2503" s="14"/>
      <c r="AL2503" s="14"/>
      <c r="AM2503" s="14"/>
    </row>
    <row r="2504" customFormat="false" ht="13.8" hidden="false" customHeight="false" outlineLevel="0" collapsed="false">
      <c r="AA2504" s="7" t="n">
        <f aca="false">AA2503+1</f>
        <v>43410</v>
      </c>
      <c r="AB2504" s="14"/>
      <c r="AC2504" s="14"/>
      <c r="AD2504" s="14"/>
      <c r="AE2504" s="14"/>
      <c r="AF2504" s="14"/>
      <c r="AG2504" s="14"/>
      <c r="AH2504" s="14"/>
      <c r="AI2504" s="14"/>
      <c r="AJ2504" s="14"/>
      <c r="AK2504" s="14"/>
      <c r="AL2504" s="14"/>
      <c r="AM2504" s="14"/>
    </row>
    <row r="2505" customFormat="false" ht="13.8" hidden="false" customHeight="false" outlineLevel="0" collapsed="false">
      <c r="AA2505" s="7" t="n">
        <f aca="false">AA2504+1</f>
        <v>43411</v>
      </c>
      <c r="AB2505" s="14"/>
      <c r="AC2505" s="14"/>
      <c r="AD2505" s="14"/>
      <c r="AE2505" s="14"/>
      <c r="AF2505" s="14"/>
      <c r="AG2505" s="14"/>
      <c r="AH2505" s="14"/>
      <c r="AI2505" s="14"/>
      <c r="AJ2505" s="14"/>
      <c r="AK2505" s="14"/>
      <c r="AL2505" s="14"/>
      <c r="AM2505" s="14"/>
    </row>
    <row r="2506" customFormat="false" ht="13.8" hidden="false" customHeight="false" outlineLevel="0" collapsed="false">
      <c r="AA2506" s="7" t="n">
        <f aca="false">AA2505+1</f>
        <v>43412</v>
      </c>
      <c r="AB2506" s="14"/>
      <c r="AC2506" s="14"/>
      <c r="AD2506" s="14"/>
      <c r="AE2506" s="14"/>
      <c r="AF2506" s="14"/>
      <c r="AG2506" s="14"/>
      <c r="AH2506" s="14"/>
      <c r="AI2506" s="14"/>
      <c r="AJ2506" s="14"/>
      <c r="AK2506" s="14"/>
      <c r="AL2506" s="14"/>
      <c r="AM2506" s="14"/>
    </row>
    <row r="2507" customFormat="false" ht="13.8" hidden="false" customHeight="false" outlineLevel="0" collapsed="false">
      <c r="AA2507" s="7" t="n">
        <f aca="false">AA2506+1</f>
        <v>43413</v>
      </c>
      <c r="AB2507" s="14"/>
      <c r="AC2507" s="14"/>
      <c r="AD2507" s="14"/>
      <c r="AE2507" s="14"/>
      <c r="AF2507" s="14"/>
      <c r="AG2507" s="14"/>
      <c r="AH2507" s="14"/>
      <c r="AI2507" s="14"/>
      <c r="AJ2507" s="14"/>
      <c r="AK2507" s="14"/>
      <c r="AL2507" s="14"/>
      <c r="AM2507" s="14"/>
    </row>
    <row r="2508" customFormat="false" ht="13.8" hidden="false" customHeight="false" outlineLevel="0" collapsed="false">
      <c r="AA2508" s="7" t="n">
        <f aca="false">AA2507+1</f>
        <v>43414</v>
      </c>
      <c r="AB2508" s="14"/>
      <c r="AC2508" s="14"/>
      <c r="AD2508" s="14"/>
      <c r="AE2508" s="14"/>
      <c r="AF2508" s="14"/>
      <c r="AG2508" s="14"/>
      <c r="AH2508" s="14"/>
      <c r="AI2508" s="14"/>
      <c r="AJ2508" s="14"/>
      <c r="AK2508" s="14"/>
      <c r="AL2508" s="14"/>
      <c r="AM2508" s="14"/>
    </row>
    <row r="2509" customFormat="false" ht="13.8" hidden="false" customHeight="false" outlineLevel="0" collapsed="false">
      <c r="AA2509" s="7" t="n">
        <f aca="false">AA2508+1</f>
        <v>43415</v>
      </c>
      <c r="AB2509" s="14"/>
      <c r="AC2509" s="14"/>
      <c r="AD2509" s="14"/>
      <c r="AE2509" s="14"/>
      <c r="AF2509" s="14"/>
      <c r="AG2509" s="14"/>
      <c r="AH2509" s="14"/>
      <c r="AI2509" s="14"/>
      <c r="AJ2509" s="14"/>
      <c r="AK2509" s="14"/>
      <c r="AL2509" s="14"/>
      <c r="AM2509" s="14"/>
    </row>
    <row r="2510" customFormat="false" ht="13.8" hidden="false" customHeight="false" outlineLevel="0" collapsed="false">
      <c r="AA2510" s="7" t="n">
        <f aca="false">AA2509+1</f>
        <v>43416</v>
      </c>
      <c r="AB2510" s="14"/>
      <c r="AC2510" s="14"/>
      <c r="AD2510" s="14"/>
      <c r="AE2510" s="14"/>
      <c r="AF2510" s="14"/>
      <c r="AG2510" s="14"/>
      <c r="AH2510" s="14"/>
      <c r="AI2510" s="14"/>
      <c r="AJ2510" s="14"/>
      <c r="AK2510" s="14"/>
      <c r="AL2510" s="14"/>
      <c r="AM2510" s="14"/>
    </row>
    <row r="2511" customFormat="false" ht="13.8" hidden="false" customHeight="false" outlineLevel="0" collapsed="false">
      <c r="AA2511" s="7" t="n">
        <f aca="false">AA2510+1</f>
        <v>43417</v>
      </c>
      <c r="AB2511" s="14"/>
      <c r="AC2511" s="14"/>
      <c r="AD2511" s="14"/>
      <c r="AE2511" s="14"/>
      <c r="AF2511" s="14"/>
      <c r="AG2511" s="14"/>
      <c r="AH2511" s="14"/>
      <c r="AI2511" s="14"/>
      <c r="AJ2511" s="14"/>
      <c r="AK2511" s="14"/>
      <c r="AL2511" s="14"/>
      <c r="AM2511" s="14"/>
    </row>
    <row r="2512" customFormat="false" ht="13.8" hidden="false" customHeight="false" outlineLevel="0" collapsed="false">
      <c r="AA2512" s="7" t="n">
        <f aca="false">AA2511+1</f>
        <v>43418</v>
      </c>
      <c r="AB2512" s="14"/>
      <c r="AC2512" s="14"/>
      <c r="AD2512" s="14"/>
      <c r="AE2512" s="14"/>
      <c r="AF2512" s="14"/>
      <c r="AG2512" s="14"/>
      <c r="AH2512" s="14"/>
      <c r="AI2512" s="14"/>
      <c r="AJ2512" s="14"/>
      <c r="AK2512" s="14"/>
      <c r="AL2512" s="14"/>
      <c r="AM2512" s="14"/>
    </row>
    <row r="2513" customFormat="false" ht="13.8" hidden="false" customHeight="false" outlineLevel="0" collapsed="false">
      <c r="AA2513" s="7" t="n">
        <f aca="false">AA2512+1</f>
        <v>43419</v>
      </c>
      <c r="AB2513" s="14"/>
      <c r="AC2513" s="14"/>
      <c r="AD2513" s="14"/>
      <c r="AE2513" s="14"/>
      <c r="AF2513" s="14"/>
      <c r="AG2513" s="14"/>
      <c r="AH2513" s="14"/>
      <c r="AI2513" s="14"/>
      <c r="AJ2513" s="14"/>
      <c r="AK2513" s="14"/>
      <c r="AL2513" s="14"/>
      <c r="AM2513" s="14"/>
    </row>
    <row r="2514" customFormat="false" ht="13.8" hidden="false" customHeight="false" outlineLevel="0" collapsed="false">
      <c r="AA2514" s="7" t="n">
        <f aca="false">AA2513+1</f>
        <v>43420</v>
      </c>
      <c r="AB2514" s="14"/>
      <c r="AC2514" s="14"/>
      <c r="AD2514" s="14"/>
      <c r="AE2514" s="14"/>
      <c r="AF2514" s="14"/>
      <c r="AG2514" s="14"/>
      <c r="AH2514" s="14"/>
      <c r="AI2514" s="14"/>
      <c r="AJ2514" s="14"/>
      <c r="AK2514" s="14"/>
      <c r="AL2514" s="14"/>
      <c r="AM2514" s="14"/>
    </row>
    <row r="2515" customFormat="false" ht="13.8" hidden="false" customHeight="false" outlineLevel="0" collapsed="false">
      <c r="AA2515" s="7" t="n">
        <f aca="false">AA2514+1</f>
        <v>43421</v>
      </c>
      <c r="AB2515" s="14"/>
      <c r="AC2515" s="14"/>
      <c r="AD2515" s="14"/>
      <c r="AE2515" s="14"/>
      <c r="AF2515" s="14"/>
      <c r="AG2515" s="14"/>
      <c r="AH2515" s="14"/>
      <c r="AI2515" s="14"/>
      <c r="AJ2515" s="14"/>
      <c r="AK2515" s="14"/>
      <c r="AL2515" s="14"/>
      <c r="AM2515" s="14"/>
    </row>
    <row r="2516" customFormat="false" ht="13.8" hidden="false" customHeight="false" outlineLevel="0" collapsed="false">
      <c r="AA2516" s="7" t="n">
        <f aca="false">AA2515+1</f>
        <v>43422</v>
      </c>
      <c r="AB2516" s="14"/>
      <c r="AC2516" s="14"/>
      <c r="AD2516" s="14"/>
      <c r="AE2516" s="14"/>
      <c r="AF2516" s="14"/>
      <c r="AG2516" s="14"/>
      <c r="AH2516" s="14"/>
      <c r="AI2516" s="14"/>
      <c r="AJ2516" s="14"/>
      <c r="AK2516" s="14"/>
      <c r="AL2516" s="14"/>
      <c r="AM2516" s="14"/>
    </row>
    <row r="2517" customFormat="false" ht="13.8" hidden="false" customHeight="false" outlineLevel="0" collapsed="false">
      <c r="AA2517" s="7" t="n">
        <f aca="false">AA2516+1</f>
        <v>43423</v>
      </c>
      <c r="AB2517" s="14"/>
      <c r="AC2517" s="14"/>
      <c r="AD2517" s="14"/>
      <c r="AE2517" s="14"/>
      <c r="AF2517" s="14"/>
      <c r="AG2517" s="14"/>
      <c r="AH2517" s="14"/>
      <c r="AI2517" s="14"/>
      <c r="AJ2517" s="14"/>
      <c r="AK2517" s="14"/>
      <c r="AL2517" s="14"/>
      <c r="AM2517" s="14"/>
    </row>
    <row r="2518" customFormat="false" ht="13.8" hidden="false" customHeight="false" outlineLevel="0" collapsed="false">
      <c r="AA2518" s="7" t="n">
        <f aca="false">AA2517+1</f>
        <v>43424</v>
      </c>
      <c r="AB2518" s="14"/>
      <c r="AC2518" s="14"/>
      <c r="AD2518" s="14"/>
      <c r="AE2518" s="14"/>
      <c r="AF2518" s="14"/>
      <c r="AG2518" s="14"/>
      <c r="AH2518" s="14"/>
      <c r="AI2518" s="14"/>
      <c r="AJ2518" s="14"/>
      <c r="AK2518" s="14"/>
      <c r="AL2518" s="14"/>
      <c r="AM2518" s="14"/>
    </row>
    <row r="2519" customFormat="false" ht="13.8" hidden="false" customHeight="false" outlineLevel="0" collapsed="false">
      <c r="AA2519" s="7" t="n">
        <f aca="false">AA2518+1</f>
        <v>43425</v>
      </c>
      <c r="AB2519" s="14"/>
      <c r="AC2519" s="14"/>
      <c r="AD2519" s="14"/>
      <c r="AE2519" s="14"/>
      <c r="AF2519" s="14"/>
      <c r="AG2519" s="14"/>
      <c r="AH2519" s="14"/>
      <c r="AI2519" s="14"/>
      <c r="AJ2519" s="14"/>
      <c r="AK2519" s="14"/>
      <c r="AL2519" s="14"/>
      <c r="AM2519" s="14"/>
    </row>
    <row r="2520" customFormat="false" ht="13.8" hidden="false" customHeight="false" outlineLevel="0" collapsed="false">
      <c r="AA2520" s="7" t="n">
        <f aca="false">AA2519+1</f>
        <v>43426</v>
      </c>
      <c r="AB2520" s="14"/>
      <c r="AC2520" s="14"/>
      <c r="AD2520" s="14"/>
      <c r="AE2520" s="14"/>
      <c r="AF2520" s="14"/>
      <c r="AG2520" s="14"/>
      <c r="AH2520" s="14"/>
      <c r="AI2520" s="14"/>
      <c r="AJ2520" s="14"/>
      <c r="AK2520" s="14"/>
      <c r="AL2520" s="14"/>
      <c r="AM2520" s="14"/>
    </row>
    <row r="2521" customFormat="false" ht="13.8" hidden="false" customHeight="false" outlineLevel="0" collapsed="false">
      <c r="AA2521" s="7" t="n">
        <f aca="false">AA2520+1</f>
        <v>43427</v>
      </c>
      <c r="AB2521" s="14"/>
      <c r="AC2521" s="14"/>
      <c r="AD2521" s="14"/>
      <c r="AE2521" s="14"/>
      <c r="AF2521" s="14"/>
      <c r="AG2521" s="14"/>
      <c r="AH2521" s="14"/>
      <c r="AI2521" s="14"/>
      <c r="AJ2521" s="14"/>
      <c r="AK2521" s="14"/>
      <c r="AL2521" s="14"/>
      <c r="AM2521" s="14"/>
    </row>
    <row r="2522" customFormat="false" ht="13.8" hidden="false" customHeight="false" outlineLevel="0" collapsed="false">
      <c r="AA2522" s="7" t="n">
        <f aca="false">AA2521+1</f>
        <v>43428</v>
      </c>
      <c r="AB2522" s="14"/>
      <c r="AC2522" s="14"/>
      <c r="AD2522" s="14"/>
      <c r="AE2522" s="14"/>
      <c r="AF2522" s="14"/>
      <c r="AG2522" s="14"/>
      <c r="AH2522" s="14"/>
      <c r="AI2522" s="14"/>
      <c r="AJ2522" s="14"/>
      <c r="AK2522" s="14"/>
      <c r="AL2522" s="14"/>
      <c r="AM2522" s="14"/>
    </row>
    <row r="2523" customFormat="false" ht="13.8" hidden="false" customHeight="false" outlineLevel="0" collapsed="false">
      <c r="AA2523" s="7" t="n">
        <f aca="false">AA2522+1</f>
        <v>43429</v>
      </c>
      <c r="AB2523" s="14"/>
      <c r="AC2523" s="14"/>
      <c r="AD2523" s="14"/>
      <c r="AE2523" s="14"/>
      <c r="AF2523" s="14"/>
      <c r="AG2523" s="14"/>
      <c r="AH2523" s="14"/>
      <c r="AI2523" s="14"/>
      <c r="AJ2523" s="14"/>
      <c r="AK2523" s="14"/>
      <c r="AL2523" s="14"/>
      <c r="AM2523" s="14"/>
    </row>
    <row r="2524" customFormat="false" ht="13.8" hidden="false" customHeight="false" outlineLevel="0" collapsed="false">
      <c r="AA2524" s="7" t="n">
        <f aca="false">AA2523+1</f>
        <v>43430</v>
      </c>
      <c r="AB2524" s="14"/>
      <c r="AC2524" s="14"/>
      <c r="AD2524" s="14"/>
      <c r="AE2524" s="14"/>
      <c r="AF2524" s="14"/>
      <c r="AG2524" s="14"/>
      <c r="AH2524" s="14"/>
      <c r="AI2524" s="14"/>
      <c r="AJ2524" s="14"/>
      <c r="AK2524" s="14"/>
      <c r="AL2524" s="14"/>
      <c r="AM2524" s="14"/>
    </row>
    <row r="2525" customFormat="false" ht="13.8" hidden="false" customHeight="false" outlineLevel="0" collapsed="false">
      <c r="AA2525" s="7" t="n">
        <f aca="false">AA2524+1</f>
        <v>43431</v>
      </c>
      <c r="AB2525" s="14"/>
      <c r="AC2525" s="14"/>
      <c r="AD2525" s="14"/>
      <c r="AE2525" s="14"/>
      <c r="AF2525" s="14"/>
      <c r="AG2525" s="14"/>
      <c r="AH2525" s="14"/>
      <c r="AI2525" s="14"/>
      <c r="AJ2525" s="14"/>
      <c r="AK2525" s="14"/>
      <c r="AL2525" s="14"/>
      <c r="AM2525" s="14"/>
    </row>
    <row r="2526" customFormat="false" ht="13.8" hidden="false" customHeight="false" outlineLevel="0" collapsed="false">
      <c r="AA2526" s="7" t="n">
        <f aca="false">AA2525+1</f>
        <v>43432</v>
      </c>
      <c r="AB2526" s="14"/>
      <c r="AC2526" s="14"/>
      <c r="AD2526" s="14"/>
      <c r="AE2526" s="14"/>
      <c r="AF2526" s="14"/>
      <c r="AG2526" s="14"/>
      <c r="AH2526" s="14"/>
      <c r="AI2526" s="14"/>
      <c r="AJ2526" s="14"/>
      <c r="AK2526" s="14"/>
      <c r="AL2526" s="14"/>
      <c r="AM2526" s="14"/>
    </row>
    <row r="2527" customFormat="false" ht="13.8" hidden="false" customHeight="false" outlineLevel="0" collapsed="false">
      <c r="AA2527" s="7" t="n">
        <f aca="false">AA2526+1</f>
        <v>43433</v>
      </c>
      <c r="AB2527" s="14"/>
      <c r="AC2527" s="14"/>
      <c r="AD2527" s="14"/>
      <c r="AE2527" s="14"/>
      <c r="AF2527" s="14"/>
      <c r="AG2527" s="14"/>
      <c r="AH2527" s="14"/>
      <c r="AI2527" s="14"/>
      <c r="AJ2527" s="14"/>
      <c r="AK2527" s="14"/>
      <c r="AL2527" s="14"/>
      <c r="AM2527" s="14"/>
    </row>
    <row r="2528" customFormat="false" ht="13.8" hidden="false" customHeight="false" outlineLevel="0" collapsed="false">
      <c r="AA2528" s="7" t="n">
        <f aca="false">AA2527+1</f>
        <v>43434</v>
      </c>
      <c r="AB2528" s="14"/>
      <c r="AC2528" s="14"/>
      <c r="AD2528" s="14"/>
      <c r="AE2528" s="14"/>
      <c r="AF2528" s="14"/>
      <c r="AG2528" s="14"/>
      <c r="AH2528" s="14"/>
      <c r="AI2528" s="14"/>
      <c r="AJ2528" s="14"/>
      <c r="AK2528" s="14"/>
      <c r="AL2528" s="14"/>
      <c r="AM2528" s="14"/>
    </row>
    <row r="2529" customFormat="false" ht="13.8" hidden="false" customHeight="false" outlineLevel="0" collapsed="false">
      <c r="AA2529" s="7" t="n">
        <f aca="false">AA2528+1</f>
        <v>43435</v>
      </c>
      <c r="AB2529" s="14"/>
      <c r="AC2529" s="14"/>
      <c r="AD2529" s="14"/>
      <c r="AE2529" s="14"/>
      <c r="AF2529" s="14"/>
      <c r="AG2529" s="14"/>
      <c r="AH2529" s="14"/>
      <c r="AI2529" s="14"/>
      <c r="AJ2529" s="14"/>
      <c r="AK2529" s="14"/>
      <c r="AL2529" s="14"/>
      <c r="AM2529" s="14"/>
    </row>
    <row r="2530" customFormat="false" ht="13.8" hidden="false" customHeight="false" outlineLevel="0" collapsed="false">
      <c r="AA2530" s="7" t="n">
        <f aca="false">AA2529+1</f>
        <v>43436</v>
      </c>
      <c r="AB2530" s="14"/>
      <c r="AC2530" s="14"/>
      <c r="AD2530" s="14"/>
      <c r="AE2530" s="14"/>
      <c r="AF2530" s="14"/>
      <c r="AG2530" s="14"/>
      <c r="AH2530" s="14"/>
      <c r="AI2530" s="14"/>
      <c r="AJ2530" s="14"/>
      <c r="AK2530" s="14"/>
      <c r="AL2530" s="14"/>
      <c r="AM2530" s="14"/>
    </row>
    <row r="2531" customFormat="false" ht="13.8" hidden="false" customHeight="false" outlineLevel="0" collapsed="false">
      <c r="AA2531" s="7" t="n">
        <f aca="false">AA2530+1</f>
        <v>43437</v>
      </c>
      <c r="AB2531" s="14"/>
      <c r="AC2531" s="14"/>
      <c r="AD2531" s="14"/>
      <c r="AE2531" s="14"/>
      <c r="AF2531" s="14"/>
      <c r="AG2531" s="14"/>
      <c r="AH2531" s="14"/>
      <c r="AI2531" s="14"/>
      <c r="AJ2531" s="14"/>
      <c r="AK2531" s="14"/>
      <c r="AL2531" s="14"/>
      <c r="AM2531" s="14"/>
    </row>
    <row r="2532" customFormat="false" ht="13.8" hidden="false" customHeight="false" outlineLevel="0" collapsed="false">
      <c r="AA2532" s="7" t="n">
        <f aca="false">AA2531+1</f>
        <v>43438</v>
      </c>
      <c r="AB2532" s="14"/>
      <c r="AC2532" s="14"/>
      <c r="AD2532" s="14"/>
      <c r="AE2532" s="14"/>
      <c r="AF2532" s="14"/>
      <c r="AG2532" s="14"/>
      <c r="AH2532" s="14"/>
      <c r="AI2532" s="14"/>
      <c r="AJ2532" s="14"/>
      <c r="AK2532" s="14"/>
      <c r="AL2532" s="14"/>
      <c r="AM2532" s="14"/>
    </row>
    <row r="2533" customFormat="false" ht="13.8" hidden="false" customHeight="false" outlineLevel="0" collapsed="false">
      <c r="AA2533" s="7" t="n">
        <f aca="false">AA2532+1</f>
        <v>43439</v>
      </c>
      <c r="AB2533" s="14"/>
      <c r="AC2533" s="14"/>
      <c r="AD2533" s="14"/>
      <c r="AE2533" s="14"/>
      <c r="AF2533" s="14"/>
      <c r="AG2533" s="14"/>
      <c r="AH2533" s="14"/>
      <c r="AI2533" s="14"/>
      <c r="AJ2533" s="14"/>
      <c r="AK2533" s="14"/>
      <c r="AL2533" s="14"/>
      <c r="AM2533" s="14"/>
    </row>
    <row r="2534" customFormat="false" ht="13.8" hidden="false" customHeight="false" outlineLevel="0" collapsed="false">
      <c r="AA2534" s="7" t="n">
        <f aca="false">AA2533+1</f>
        <v>43440</v>
      </c>
      <c r="AB2534" s="14"/>
      <c r="AC2534" s="14"/>
      <c r="AD2534" s="14"/>
      <c r="AE2534" s="14"/>
      <c r="AF2534" s="14"/>
      <c r="AG2534" s="14"/>
      <c r="AH2534" s="14"/>
      <c r="AI2534" s="14"/>
      <c r="AJ2534" s="14"/>
      <c r="AK2534" s="14"/>
      <c r="AL2534" s="14"/>
      <c r="AM2534" s="14"/>
    </row>
    <row r="2535" customFormat="false" ht="13.8" hidden="false" customHeight="false" outlineLevel="0" collapsed="false">
      <c r="AA2535" s="7" t="n">
        <f aca="false">AA2534+1</f>
        <v>43441</v>
      </c>
      <c r="AB2535" s="14"/>
      <c r="AC2535" s="14"/>
      <c r="AD2535" s="14"/>
      <c r="AE2535" s="14"/>
      <c r="AF2535" s="14"/>
      <c r="AG2535" s="14"/>
      <c r="AH2535" s="14"/>
      <c r="AI2535" s="14"/>
      <c r="AJ2535" s="14"/>
      <c r="AK2535" s="14"/>
      <c r="AL2535" s="14"/>
      <c r="AM2535" s="14"/>
    </row>
    <row r="2536" customFormat="false" ht="13.8" hidden="false" customHeight="false" outlineLevel="0" collapsed="false">
      <c r="AA2536" s="7" t="n">
        <f aca="false">AA2535+1</f>
        <v>43442</v>
      </c>
      <c r="AB2536" s="14"/>
      <c r="AC2536" s="14"/>
      <c r="AD2536" s="14"/>
      <c r="AE2536" s="14"/>
      <c r="AF2536" s="14"/>
      <c r="AG2536" s="14"/>
      <c r="AH2536" s="14"/>
      <c r="AI2536" s="14"/>
      <c r="AJ2536" s="14"/>
      <c r="AK2536" s="14"/>
      <c r="AL2536" s="14"/>
      <c r="AM2536" s="14"/>
    </row>
    <row r="2537" customFormat="false" ht="13.8" hidden="false" customHeight="false" outlineLevel="0" collapsed="false">
      <c r="AA2537" s="7" t="n">
        <f aca="false">AA2536+1</f>
        <v>43443</v>
      </c>
      <c r="AB2537" s="14"/>
      <c r="AC2537" s="14"/>
      <c r="AD2537" s="14"/>
      <c r="AE2537" s="14"/>
      <c r="AF2537" s="14"/>
      <c r="AG2537" s="14"/>
      <c r="AH2537" s="14"/>
      <c r="AI2537" s="14"/>
      <c r="AJ2537" s="14"/>
      <c r="AK2537" s="14"/>
      <c r="AL2537" s="14"/>
      <c r="AM2537" s="14"/>
    </row>
    <row r="2538" customFormat="false" ht="13.8" hidden="false" customHeight="false" outlineLevel="0" collapsed="false">
      <c r="AA2538" s="7" t="n">
        <f aca="false">AA2537+1</f>
        <v>43444</v>
      </c>
      <c r="AB2538" s="14"/>
      <c r="AC2538" s="14"/>
      <c r="AD2538" s="14"/>
      <c r="AE2538" s="14"/>
      <c r="AF2538" s="14"/>
      <c r="AG2538" s="14"/>
      <c r="AH2538" s="14"/>
      <c r="AI2538" s="14"/>
      <c r="AJ2538" s="14"/>
      <c r="AK2538" s="14"/>
      <c r="AL2538" s="14"/>
      <c r="AM2538" s="14"/>
    </row>
    <row r="2539" customFormat="false" ht="13.8" hidden="false" customHeight="false" outlineLevel="0" collapsed="false">
      <c r="AA2539" s="7" t="n">
        <f aca="false">AA2538+1</f>
        <v>43445</v>
      </c>
      <c r="AB2539" s="14"/>
      <c r="AC2539" s="14"/>
      <c r="AD2539" s="14"/>
      <c r="AE2539" s="14"/>
      <c r="AF2539" s="14"/>
      <c r="AG2539" s="14"/>
      <c r="AH2539" s="14"/>
      <c r="AI2539" s="14"/>
      <c r="AJ2539" s="14"/>
      <c r="AK2539" s="14"/>
      <c r="AL2539" s="14"/>
      <c r="AM2539" s="14"/>
    </row>
    <row r="2540" customFormat="false" ht="13.8" hidden="false" customHeight="false" outlineLevel="0" collapsed="false">
      <c r="AA2540" s="7" t="n">
        <f aca="false">AA2539+1</f>
        <v>43446</v>
      </c>
      <c r="AB2540" s="14"/>
      <c r="AC2540" s="14"/>
      <c r="AD2540" s="14"/>
      <c r="AE2540" s="14"/>
      <c r="AF2540" s="14"/>
      <c r="AG2540" s="14"/>
      <c r="AH2540" s="14"/>
      <c r="AI2540" s="14"/>
      <c r="AJ2540" s="14"/>
      <c r="AK2540" s="14"/>
      <c r="AL2540" s="14"/>
      <c r="AM2540" s="14"/>
    </row>
    <row r="2541" customFormat="false" ht="13.8" hidden="false" customHeight="false" outlineLevel="0" collapsed="false">
      <c r="AA2541" s="7" t="n">
        <f aca="false">AA2540+1</f>
        <v>43447</v>
      </c>
      <c r="AB2541" s="14"/>
      <c r="AC2541" s="14"/>
      <c r="AD2541" s="14"/>
      <c r="AE2541" s="14"/>
      <c r="AF2541" s="14"/>
      <c r="AG2541" s="14"/>
      <c r="AH2541" s="14"/>
      <c r="AI2541" s="14"/>
      <c r="AJ2541" s="14"/>
      <c r="AK2541" s="14"/>
      <c r="AL2541" s="14"/>
      <c r="AM2541" s="14"/>
    </row>
    <row r="2542" customFormat="false" ht="13.8" hidden="false" customHeight="false" outlineLevel="0" collapsed="false">
      <c r="AA2542" s="7" t="n">
        <f aca="false">AA2541+1</f>
        <v>43448</v>
      </c>
      <c r="AB2542" s="14"/>
      <c r="AC2542" s="14"/>
      <c r="AD2542" s="14"/>
      <c r="AE2542" s="14"/>
      <c r="AF2542" s="14"/>
      <c r="AG2542" s="14"/>
      <c r="AH2542" s="14"/>
      <c r="AI2542" s="14"/>
      <c r="AJ2542" s="14"/>
      <c r="AK2542" s="14"/>
      <c r="AL2542" s="14"/>
      <c r="AM2542" s="14"/>
    </row>
    <row r="2543" customFormat="false" ht="13.8" hidden="false" customHeight="false" outlineLevel="0" collapsed="false">
      <c r="AA2543" s="7" t="n">
        <f aca="false">AA2542+1</f>
        <v>43449</v>
      </c>
      <c r="AB2543" s="14"/>
      <c r="AC2543" s="14"/>
      <c r="AD2543" s="14"/>
      <c r="AE2543" s="14"/>
      <c r="AF2543" s="14"/>
      <c r="AG2543" s="14"/>
      <c r="AH2543" s="14"/>
      <c r="AI2543" s="14"/>
      <c r="AJ2543" s="14"/>
      <c r="AK2543" s="14"/>
      <c r="AL2543" s="14"/>
      <c r="AM2543" s="14"/>
    </row>
    <row r="2544" customFormat="false" ht="13.8" hidden="false" customHeight="false" outlineLevel="0" collapsed="false">
      <c r="AA2544" s="7" t="n">
        <f aca="false">AA2543+1</f>
        <v>43450</v>
      </c>
      <c r="AB2544" s="14"/>
      <c r="AC2544" s="14"/>
      <c r="AD2544" s="14"/>
      <c r="AE2544" s="14"/>
      <c r="AF2544" s="14"/>
      <c r="AG2544" s="14"/>
      <c r="AH2544" s="14"/>
      <c r="AI2544" s="14"/>
      <c r="AJ2544" s="14"/>
      <c r="AK2544" s="14"/>
      <c r="AL2544" s="14"/>
      <c r="AM2544" s="14"/>
    </row>
    <row r="2545" customFormat="false" ht="13.8" hidden="false" customHeight="false" outlineLevel="0" collapsed="false">
      <c r="AA2545" s="7" t="n">
        <f aca="false">AA2544+1</f>
        <v>43451</v>
      </c>
      <c r="AB2545" s="14"/>
      <c r="AC2545" s="14"/>
      <c r="AD2545" s="14"/>
      <c r="AE2545" s="14"/>
      <c r="AF2545" s="14"/>
      <c r="AG2545" s="14"/>
      <c r="AH2545" s="14"/>
      <c r="AI2545" s="14"/>
      <c r="AJ2545" s="14"/>
      <c r="AK2545" s="14"/>
      <c r="AL2545" s="14"/>
      <c r="AM2545" s="14"/>
    </row>
    <row r="2546" customFormat="false" ht="13.8" hidden="false" customHeight="false" outlineLevel="0" collapsed="false">
      <c r="AA2546" s="7" t="n">
        <f aca="false">AA2545+1</f>
        <v>43452</v>
      </c>
      <c r="AB2546" s="14"/>
      <c r="AC2546" s="14"/>
      <c r="AD2546" s="14"/>
      <c r="AE2546" s="14"/>
      <c r="AF2546" s="14"/>
      <c r="AG2546" s="14"/>
      <c r="AH2546" s="14"/>
      <c r="AI2546" s="14"/>
      <c r="AJ2546" s="14"/>
      <c r="AK2546" s="14"/>
      <c r="AL2546" s="14"/>
      <c r="AM2546" s="14"/>
    </row>
    <row r="2547" customFormat="false" ht="13.8" hidden="false" customHeight="false" outlineLevel="0" collapsed="false">
      <c r="AA2547" s="7" t="n">
        <f aca="false">AA2546+1</f>
        <v>43453</v>
      </c>
      <c r="AB2547" s="14"/>
      <c r="AC2547" s="14"/>
      <c r="AD2547" s="14"/>
      <c r="AE2547" s="14"/>
      <c r="AF2547" s="14"/>
      <c r="AG2547" s="14"/>
      <c r="AH2547" s="14"/>
      <c r="AI2547" s="14"/>
      <c r="AJ2547" s="14"/>
      <c r="AK2547" s="14"/>
      <c r="AL2547" s="14"/>
      <c r="AM2547" s="14"/>
    </row>
    <row r="2548" customFormat="false" ht="13.8" hidden="false" customHeight="false" outlineLevel="0" collapsed="false">
      <c r="AA2548" s="7" t="n">
        <f aca="false">AA2547+1</f>
        <v>43454</v>
      </c>
      <c r="AB2548" s="14"/>
      <c r="AC2548" s="14"/>
      <c r="AD2548" s="14"/>
      <c r="AE2548" s="14"/>
      <c r="AF2548" s="14"/>
      <c r="AG2548" s="14"/>
      <c r="AH2548" s="14"/>
      <c r="AI2548" s="14"/>
      <c r="AJ2548" s="14"/>
      <c r="AK2548" s="14"/>
      <c r="AL2548" s="14"/>
      <c r="AM2548" s="14"/>
    </row>
    <row r="2549" customFormat="false" ht="13.8" hidden="false" customHeight="false" outlineLevel="0" collapsed="false">
      <c r="AA2549" s="7" t="n">
        <f aca="false">AA2548+1</f>
        <v>43455</v>
      </c>
      <c r="AB2549" s="14"/>
      <c r="AC2549" s="14"/>
      <c r="AD2549" s="14"/>
      <c r="AE2549" s="14"/>
      <c r="AF2549" s="14"/>
      <c r="AG2549" s="14"/>
      <c r="AH2549" s="14"/>
      <c r="AI2549" s="14"/>
      <c r="AJ2549" s="14"/>
      <c r="AK2549" s="14"/>
      <c r="AL2549" s="14"/>
      <c r="AM2549" s="14"/>
    </row>
    <row r="2550" customFormat="false" ht="13.8" hidden="false" customHeight="false" outlineLevel="0" collapsed="false">
      <c r="AA2550" s="7" t="n">
        <f aca="false">AA2549+1</f>
        <v>43456</v>
      </c>
      <c r="AB2550" s="14"/>
      <c r="AC2550" s="14"/>
      <c r="AD2550" s="14"/>
      <c r="AE2550" s="14"/>
      <c r="AF2550" s="14"/>
      <c r="AG2550" s="14"/>
      <c r="AH2550" s="14"/>
      <c r="AI2550" s="14"/>
      <c r="AJ2550" s="14"/>
      <c r="AK2550" s="14"/>
      <c r="AL2550" s="14"/>
      <c r="AM2550" s="14"/>
    </row>
    <row r="2551" customFormat="false" ht="13.8" hidden="false" customHeight="false" outlineLevel="0" collapsed="false">
      <c r="AA2551" s="7" t="n">
        <f aca="false">AA2550+1</f>
        <v>43457</v>
      </c>
      <c r="AB2551" s="14"/>
      <c r="AC2551" s="14"/>
      <c r="AD2551" s="14"/>
      <c r="AE2551" s="14"/>
      <c r="AF2551" s="14"/>
      <c r="AG2551" s="14"/>
      <c r="AH2551" s="14"/>
      <c r="AI2551" s="14"/>
      <c r="AJ2551" s="14"/>
      <c r="AK2551" s="14"/>
      <c r="AL2551" s="14"/>
      <c r="AM2551" s="14"/>
    </row>
    <row r="2552" customFormat="false" ht="13.8" hidden="false" customHeight="false" outlineLevel="0" collapsed="false">
      <c r="AA2552" s="7" t="n">
        <f aca="false">AA2551+1</f>
        <v>43458</v>
      </c>
      <c r="AB2552" s="14"/>
      <c r="AC2552" s="14"/>
      <c r="AD2552" s="14"/>
      <c r="AE2552" s="14"/>
      <c r="AF2552" s="14"/>
      <c r="AG2552" s="14"/>
      <c r="AH2552" s="14"/>
      <c r="AI2552" s="14"/>
      <c r="AJ2552" s="14"/>
      <c r="AK2552" s="14"/>
      <c r="AL2552" s="14"/>
      <c r="AM2552" s="14"/>
    </row>
    <row r="2553" customFormat="false" ht="13.8" hidden="false" customHeight="false" outlineLevel="0" collapsed="false">
      <c r="AA2553" s="7" t="n">
        <f aca="false">AA2552+1</f>
        <v>43459</v>
      </c>
      <c r="AB2553" s="14"/>
      <c r="AC2553" s="14"/>
      <c r="AD2553" s="14"/>
      <c r="AE2553" s="14"/>
      <c r="AF2553" s="14"/>
      <c r="AG2553" s="14"/>
      <c r="AH2553" s="14"/>
      <c r="AI2553" s="14"/>
      <c r="AJ2553" s="14"/>
      <c r="AK2553" s="14"/>
      <c r="AL2553" s="14"/>
      <c r="AM2553" s="14"/>
    </row>
    <row r="2554" customFormat="false" ht="13.8" hidden="false" customHeight="false" outlineLevel="0" collapsed="false">
      <c r="AA2554" s="7" t="n">
        <f aca="false">AA2553+1</f>
        <v>43460</v>
      </c>
      <c r="AB2554" s="14"/>
      <c r="AC2554" s="14"/>
      <c r="AD2554" s="14"/>
      <c r="AE2554" s="14"/>
      <c r="AF2554" s="14"/>
      <c r="AG2554" s="14"/>
      <c r="AH2554" s="14"/>
      <c r="AI2554" s="14"/>
      <c r="AJ2554" s="14"/>
      <c r="AK2554" s="14"/>
      <c r="AL2554" s="14"/>
      <c r="AM2554" s="14"/>
    </row>
    <row r="2555" customFormat="false" ht="13.8" hidden="false" customHeight="false" outlineLevel="0" collapsed="false">
      <c r="AA2555" s="7" t="n">
        <f aca="false">AA2554+1</f>
        <v>43461</v>
      </c>
      <c r="AB2555" s="14"/>
      <c r="AC2555" s="14"/>
      <c r="AD2555" s="14"/>
      <c r="AE2555" s="14"/>
      <c r="AF2555" s="14"/>
      <c r="AG2555" s="14"/>
      <c r="AH2555" s="14"/>
      <c r="AI2555" s="14"/>
      <c r="AJ2555" s="14"/>
      <c r="AK2555" s="14"/>
      <c r="AL2555" s="14"/>
      <c r="AM2555" s="14"/>
    </row>
    <row r="2556" customFormat="false" ht="13.8" hidden="false" customHeight="false" outlineLevel="0" collapsed="false">
      <c r="AA2556" s="7" t="n">
        <f aca="false">AA2555+1</f>
        <v>43462</v>
      </c>
      <c r="AB2556" s="14"/>
      <c r="AC2556" s="14"/>
      <c r="AD2556" s="14"/>
      <c r="AE2556" s="14"/>
      <c r="AF2556" s="14"/>
      <c r="AG2556" s="14"/>
      <c r="AH2556" s="14"/>
      <c r="AI2556" s="14"/>
      <c r="AJ2556" s="14"/>
      <c r="AK2556" s="14"/>
      <c r="AL2556" s="14"/>
      <c r="AM2556" s="14"/>
    </row>
    <row r="2557" customFormat="false" ht="13.8" hidden="false" customHeight="false" outlineLevel="0" collapsed="false">
      <c r="AA2557" s="7" t="n">
        <f aca="false">AA2556+1</f>
        <v>43463</v>
      </c>
      <c r="AB2557" s="14"/>
      <c r="AC2557" s="14"/>
      <c r="AD2557" s="14"/>
      <c r="AE2557" s="14"/>
      <c r="AF2557" s="14"/>
      <c r="AG2557" s="14"/>
      <c r="AH2557" s="14"/>
      <c r="AI2557" s="14"/>
      <c r="AJ2557" s="14"/>
      <c r="AK2557" s="14"/>
      <c r="AL2557" s="14"/>
      <c r="AM2557" s="14"/>
    </row>
    <row r="2558" customFormat="false" ht="13.8" hidden="false" customHeight="false" outlineLevel="0" collapsed="false">
      <c r="AA2558" s="7" t="n">
        <f aca="false">AA2557+1</f>
        <v>43464</v>
      </c>
      <c r="AB2558" s="14"/>
      <c r="AC2558" s="14"/>
      <c r="AD2558" s="14"/>
      <c r="AE2558" s="14"/>
      <c r="AF2558" s="14"/>
      <c r="AG2558" s="14"/>
      <c r="AH2558" s="14"/>
      <c r="AI2558" s="14"/>
      <c r="AJ2558" s="14"/>
      <c r="AK2558" s="14"/>
      <c r="AL2558" s="14"/>
      <c r="AM2558" s="14"/>
    </row>
    <row r="2559" customFormat="false" ht="13.8" hidden="false" customHeight="false" outlineLevel="0" collapsed="false">
      <c r="AA2559" s="7" t="n">
        <f aca="false">AA2558+1</f>
        <v>43465</v>
      </c>
      <c r="AB2559" s="14"/>
      <c r="AC2559" s="14"/>
      <c r="AD2559" s="14"/>
      <c r="AE2559" s="14"/>
      <c r="AF2559" s="14"/>
      <c r="AG2559" s="14"/>
      <c r="AH2559" s="14"/>
      <c r="AI2559" s="14"/>
      <c r="AJ2559" s="14"/>
      <c r="AK2559" s="14"/>
      <c r="AL2559" s="14"/>
      <c r="AM2559" s="14"/>
    </row>
    <row r="2560" customFormat="false" ht="13.8" hidden="false" customHeight="false" outlineLevel="0" collapsed="false">
      <c r="AA2560" s="7" t="n">
        <f aca="false">AA2559+1</f>
        <v>43466</v>
      </c>
      <c r="AB2560" s="14"/>
      <c r="AC2560" s="14"/>
      <c r="AD2560" s="14"/>
      <c r="AE2560" s="14"/>
      <c r="AF2560" s="14"/>
      <c r="AG2560" s="14"/>
      <c r="AH2560" s="14"/>
      <c r="AI2560" s="14"/>
      <c r="AJ2560" s="14"/>
      <c r="AK2560" s="14"/>
      <c r="AL2560" s="14"/>
      <c r="AM2560" s="14"/>
    </row>
    <row r="2561" customFormat="false" ht="13.8" hidden="false" customHeight="false" outlineLevel="0" collapsed="false">
      <c r="AA2561" s="7" t="n">
        <f aca="false">AA2560+1</f>
        <v>43467</v>
      </c>
      <c r="AB2561" s="14"/>
      <c r="AC2561" s="14"/>
      <c r="AD2561" s="14"/>
      <c r="AE2561" s="14"/>
      <c r="AF2561" s="14"/>
      <c r="AG2561" s="14"/>
      <c r="AH2561" s="14"/>
      <c r="AI2561" s="14"/>
      <c r="AJ2561" s="14"/>
      <c r="AK2561" s="14"/>
      <c r="AL2561" s="14"/>
      <c r="AM2561" s="14"/>
    </row>
    <row r="2562" customFormat="false" ht="13.8" hidden="false" customHeight="false" outlineLevel="0" collapsed="false">
      <c r="AA2562" s="7" t="n">
        <f aca="false">AA2561+1</f>
        <v>43468</v>
      </c>
      <c r="AB2562" s="14"/>
      <c r="AC2562" s="14"/>
      <c r="AD2562" s="14"/>
      <c r="AE2562" s="14"/>
      <c r="AF2562" s="14"/>
      <c r="AG2562" s="14"/>
      <c r="AH2562" s="14"/>
      <c r="AI2562" s="14"/>
      <c r="AJ2562" s="14"/>
      <c r="AK2562" s="14"/>
      <c r="AL2562" s="14"/>
      <c r="AM2562" s="14"/>
    </row>
    <row r="2563" customFormat="false" ht="13.8" hidden="false" customHeight="false" outlineLevel="0" collapsed="false">
      <c r="AA2563" s="7" t="n">
        <f aca="false">AA2562+1</f>
        <v>43469</v>
      </c>
      <c r="AB2563" s="14"/>
      <c r="AC2563" s="14"/>
      <c r="AD2563" s="14"/>
      <c r="AE2563" s="14"/>
      <c r="AF2563" s="14"/>
      <c r="AG2563" s="14"/>
      <c r="AH2563" s="14"/>
      <c r="AI2563" s="14"/>
      <c r="AJ2563" s="14"/>
      <c r="AK2563" s="14"/>
      <c r="AL2563" s="14"/>
      <c r="AM2563" s="14"/>
    </row>
    <row r="2564" customFormat="false" ht="13.8" hidden="false" customHeight="false" outlineLevel="0" collapsed="false">
      <c r="AA2564" s="7" t="n">
        <f aca="false">AA2563+1</f>
        <v>43470</v>
      </c>
      <c r="AB2564" s="14"/>
      <c r="AC2564" s="14"/>
      <c r="AD2564" s="14"/>
      <c r="AE2564" s="14"/>
      <c r="AF2564" s="14"/>
      <c r="AG2564" s="14"/>
      <c r="AH2564" s="14"/>
      <c r="AI2564" s="14"/>
      <c r="AJ2564" s="14"/>
      <c r="AK2564" s="14"/>
      <c r="AL2564" s="14"/>
      <c r="AM2564" s="14"/>
    </row>
    <row r="2565" customFormat="false" ht="13.8" hidden="false" customHeight="false" outlineLevel="0" collapsed="false">
      <c r="AA2565" s="7" t="n">
        <f aca="false">AA2564+1</f>
        <v>43471</v>
      </c>
      <c r="AB2565" s="14"/>
      <c r="AC2565" s="14"/>
      <c r="AD2565" s="14"/>
      <c r="AE2565" s="14"/>
      <c r="AF2565" s="14"/>
      <c r="AG2565" s="14"/>
      <c r="AH2565" s="14"/>
      <c r="AI2565" s="14"/>
      <c r="AJ2565" s="14"/>
      <c r="AK2565" s="14"/>
      <c r="AL2565" s="14"/>
      <c r="AM2565" s="14"/>
    </row>
    <row r="2566" customFormat="false" ht="13.8" hidden="false" customHeight="false" outlineLevel="0" collapsed="false">
      <c r="AA2566" s="7" t="n">
        <f aca="false">AA2565+1</f>
        <v>43472</v>
      </c>
      <c r="AB2566" s="14"/>
      <c r="AC2566" s="14"/>
      <c r="AD2566" s="14"/>
      <c r="AE2566" s="14"/>
      <c r="AF2566" s="14"/>
      <c r="AG2566" s="14"/>
      <c r="AH2566" s="14"/>
      <c r="AI2566" s="14"/>
      <c r="AJ2566" s="14"/>
      <c r="AK2566" s="14"/>
      <c r="AL2566" s="14"/>
      <c r="AM2566" s="14"/>
    </row>
    <row r="2567" customFormat="false" ht="13.8" hidden="false" customHeight="false" outlineLevel="0" collapsed="false">
      <c r="AA2567" s="7" t="n">
        <f aca="false">AA2566+1</f>
        <v>43473</v>
      </c>
      <c r="AB2567" s="14"/>
      <c r="AC2567" s="14"/>
      <c r="AD2567" s="14"/>
      <c r="AE2567" s="14"/>
      <c r="AF2567" s="14"/>
      <c r="AG2567" s="14"/>
      <c r="AH2567" s="14"/>
      <c r="AI2567" s="14"/>
      <c r="AJ2567" s="14"/>
      <c r="AK2567" s="14"/>
      <c r="AL2567" s="14"/>
      <c r="AM2567" s="14"/>
    </row>
    <row r="2568" customFormat="false" ht="13.8" hidden="false" customHeight="false" outlineLevel="0" collapsed="false">
      <c r="AA2568" s="7" t="n">
        <f aca="false">AA2567+1</f>
        <v>43474</v>
      </c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</row>
    <row r="2569" customFormat="false" ht="13.8" hidden="false" customHeight="false" outlineLevel="0" collapsed="false">
      <c r="AA2569" s="7" t="n">
        <f aca="false">AA2568+1</f>
        <v>43475</v>
      </c>
      <c r="AB2569" s="14"/>
      <c r="AC2569" s="14"/>
      <c r="AD2569" s="14"/>
      <c r="AE2569" s="14"/>
      <c r="AF2569" s="14"/>
      <c r="AG2569" s="14"/>
      <c r="AH2569" s="14"/>
      <c r="AI2569" s="14"/>
      <c r="AJ2569" s="14"/>
      <c r="AK2569" s="14"/>
      <c r="AL2569" s="14"/>
      <c r="AM2569" s="14"/>
    </row>
    <row r="2570" customFormat="false" ht="13.8" hidden="false" customHeight="false" outlineLevel="0" collapsed="false">
      <c r="AA2570" s="7" t="n">
        <f aca="false">AA2569+1</f>
        <v>43476</v>
      </c>
      <c r="AB2570" s="14"/>
      <c r="AC2570" s="14"/>
      <c r="AD2570" s="14"/>
      <c r="AE2570" s="14"/>
      <c r="AF2570" s="14"/>
      <c r="AG2570" s="14"/>
      <c r="AH2570" s="14"/>
      <c r="AI2570" s="14"/>
      <c r="AJ2570" s="14"/>
      <c r="AK2570" s="14"/>
      <c r="AL2570" s="14"/>
      <c r="AM2570" s="14"/>
    </row>
    <row r="2571" customFormat="false" ht="13.8" hidden="false" customHeight="false" outlineLevel="0" collapsed="false">
      <c r="AA2571" s="7" t="n">
        <f aca="false">AA2570+1</f>
        <v>43477</v>
      </c>
      <c r="AB2571" s="14"/>
      <c r="AC2571" s="14"/>
      <c r="AD2571" s="14"/>
      <c r="AE2571" s="14"/>
      <c r="AF2571" s="14"/>
      <c r="AG2571" s="14"/>
      <c r="AH2571" s="14"/>
      <c r="AI2571" s="14"/>
      <c r="AJ2571" s="14"/>
      <c r="AK2571" s="14"/>
      <c r="AL2571" s="14"/>
      <c r="AM2571" s="14"/>
    </row>
    <row r="2572" customFormat="false" ht="13.8" hidden="false" customHeight="false" outlineLevel="0" collapsed="false">
      <c r="AA2572" s="7" t="n">
        <f aca="false">AA2571+1</f>
        <v>43478</v>
      </c>
      <c r="AB2572" s="14"/>
      <c r="AC2572" s="14"/>
      <c r="AD2572" s="14"/>
      <c r="AE2572" s="14"/>
      <c r="AF2572" s="14"/>
      <c r="AG2572" s="14"/>
      <c r="AH2572" s="14"/>
      <c r="AI2572" s="14"/>
      <c r="AJ2572" s="14"/>
      <c r="AK2572" s="14"/>
      <c r="AL2572" s="14"/>
      <c r="AM2572" s="14"/>
    </row>
    <row r="2573" customFormat="false" ht="13.8" hidden="false" customHeight="false" outlineLevel="0" collapsed="false">
      <c r="AA2573" s="7" t="n">
        <f aca="false">AA2572+1</f>
        <v>43479</v>
      </c>
      <c r="AB2573" s="14"/>
      <c r="AC2573" s="14"/>
      <c r="AD2573" s="14"/>
      <c r="AE2573" s="14"/>
      <c r="AF2573" s="14"/>
      <c r="AG2573" s="14"/>
      <c r="AH2573" s="14"/>
      <c r="AI2573" s="14"/>
      <c r="AJ2573" s="14"/>
      <c r="AK2573" s="14"/>
      <c r="AL2573" s="14"/>
      <c r="AM2573" s="14"/>
    </row>
    <row r="2574" customFormat="false" ht="13.8" hidden="false" customHeight="false" outlineLevel="0" collapsed="false">
      <c r="AA2574" s="7" t="n">
        <f aca="false">AA2573+1</f>
        <v>43480</v>
      </c>
      <c r="AB2574" s="14"/>
      <c r="AC2574" s="14"/>
      <c r="AD2574" s="14"/>
      <c r="AE2574" s="14"/>
      <c r="AF2574" s="14"/>
      <c r="AG2574" s="14"/>
      <c r="AH2574" s="14"/>
      <c r="AI2574" s="14"/>
      <c r="AJ2574" s="14"/>
      <c r="AK2574" s="14"/>
      <c r="AL2574" s="14"/>
      <c r="AM2574" s="14"/>
    </row>
    <row r="2575" customFormat="false" ht="13.8" hidden="false" customHeight="false" outlineLevel="0" collapsed="false">
      <c r="AA2575" s="7" t="n">
        <f aca="false">AA2574+1</f>
        <v>43481</v>
      </c>
      <c r="AB2575" s="14"/>
      <c r="AC2575" s="14"/>
      <c r="AD2575" s="14"/>
      <c r="AE2575" s="14"/>
      <c r="AF2575" s="14"/>
      <c r="AG2575" s="14"/>
      <c r="AH2575" s="14"/>
      <c r="AI2575" s="14"/>
      <c r="AJ2575" s="14"/>
      <c r="AK2575" s="14"/>
      <c r="AL2575" s="14"/>
      <c r="AM2575" s="14"/>
    </row>
    <row r="2576" customFormat="false" ht="13.8" hidden="false" customHeight="false" outlineLevel="0" collapsed="false">
      <c r="AA2576" s="7" t="n">
        <f aca="false">AA2575+1</f>
        <v>43482</v>
      </c>
      <c r="AB2576" s="14"/>
      <c r="AC2576" s="14"/>
      <c r="AD2576" s="14"/>
      <c r="AE2576" s="14"/>
      <c r="AF2576" s="14"/>
      <c r="AG2576" s="14"/>
      <c r="AH2576" s="14"/>
      <c r="AI2576" s="14"/>
      <c r="AJ2576" s="14"/>
      <c r="AK2576" s="14"/>
      <c r="AL2576" s="14"/>
      <c r="AM2576" s="14"/>
    </row>
    <row r="2577" customFormat="false" ht="13.8" hidden="false" customHeight="false" outlineLevel="0" collapsed="false">
      <c r="AA2577" s="7" t="n">
        <f aca="false">AA2576+1</f>
        <v>43483</v>
      </c>
      <c r="AB2577" s="14"/>
      <c r="AC2577" s="14"/>
      <c r="AD2577" s="14"/>
      <c r="AE2577" s="14"/>
      <c r="AF2577" s="14"/>
      <c r="AG2577" s="14"/>
      <c r="AH2577" s="14"/>
      <c r="AI2577" s="14"/>
      <c r="AJ2577" s="14"/>
      <c r="AK2577" s="14"/>
      <c r="AL2577" s="14"/>
      <c r="AM2577" s="14"/>
    </row>
    <row r="2578" customFormat="false" ht="13.8" hidden="false" customHeight="false" outlineLevel="0" collapsed="false">
      <c r="AA2578" s="7" t="n">
        <f aca="false">AA2577+1</f>
        <v>43484</v>
      </c>
      <c r="AB2578" s="14"/>
      <c r="AC2578" s="14"/>
      <c r="AD2578" s="14"/>
      <c r="AE2578" s="14"/>
      <c r="AF2578" s="14"/>
      <c r="AG2578" s="14"/>
      <c r="AH2578" s="14"/>
      <c r="AI2578" s="14"/>
      <c r="AJ2578" s="14"/>
      <c r="AK2578" s="14"/>
      <c r="AL2578" s="14"/>
      <c r="AM2578" s="14"/>
    </row>
    <row r="2579" customFormat="false" ht="13.8" hidden="false" customHeight="false" outlineLevel="0" collapsed="false">
      <c r="AA2579" s="7" t="n">
        <f aca="false">AA2578+1</f>
        <v>43485</v>
      </c>
      <c r="AB2579" s="14"/>
      <c r="AC2579" s="14"/>
      <c r="AD2579" s="14"/>
      <c r="AE2579" s="14"/>
      <c r="AF2579" s="14"/>
      <c r="AG2579" s="14"/>
      <c r="AH2579" s="14"/>
      <c r="AI2579" s="14"/>
      <c r="AJ2579" s="14"/>
      <c r="AK2579" s="14"/>
      <c r="AL2579" s="14"/>
      <c r="AM2579" s="14"/>
    </row>
    <row r="2580" customFormat="false" ht="13.8" hidden="false" customHeight="false" outlineLevel="0" collapsed="false">
      <c r="AA2580" s="7" t="n">
        <f aca="false">AA2579+1</f>
        <v>43486</v>
      </c>
      <c r="AB2580" s="14"/>
      <c r="AC2580" s="14"/>
      <c r="AD2580" s="14"/>
      <c r="AE2580" s="14"/>
      <c r="AF2580" s="14"/>
      <c r="AG2580" s="14"/>
      <c r="AH2580" s="14"/>
      <c r="AI2580" s="14"/>
      <c r="AJ2580" s="14"/>
      <c r="AK2580" s="14"/>
      <c r="AL2580" s="14"/>
      <c r="AM2580" s="14"/>
    </row>
    <row r="2581" customFormat="false" ht="13.8" hidden="false" customHeight="false" outlineLevel="0" collapsed="false">
      <c r="AA2581" s="7" t="n">
        <f aca="false">AA2580+1</f>
        <v>43487</v>
      </c>
      <c r="AB2581" s="14"/>
      <c r="AC2581" s="14"/>
      <c r="AD2581" s="14"/>
      <c r="AE2581" s="14"/>
      <c r="AF2581" s="14"/>
      <c r="AG2581" s="14"/>
      <c r="AH2581" s="14"/>
      <c r="AI2581" s="14"/>
      <c r="AJ2581" s="14"/>
      <c r="AK2581" s="14"/>
      <c r="AL2581" s="14"/>
      <c r="AM2581" s="14"/>
    </row>
    <row r="2582" customFormat="false" ht="13.8" hidden="false" customHeight="false" outlineLevel="0" collapsed="false">
      <c r="AA2582" s="7" t="n">
        <f aca="false">AA2581+1</f>
        <v>43488</v>
      </c>
      <c r="AB2582" s="14"/>
      <c r="AC2582" s="14"/>
      <c r="AD2582" s="14"/>
      <c r="AE2582" s="14"/>
      <c r="AF2582" s="14"/>
      <c r="AG2582" s="14"/>
      <c r="AH2582" s="14"/>
      <c r="AI2582" s="14"/>
      <c r="AJ2582" s="14"/>
      <c r="AK2582" s="14"/>
      <c r="AL2582" s="14"/>
      <c r="AM2582" s="14"/>
    </row>
    <row r="2583" customFormat="false" ht="13.8" hidden="false" customHeight="false" outlineLevel="0" collapsed="false">
      <c r="AA2583" s="7" t="n">
        <f aca="false">AA2582+1</f>
        <v>43489</v>
      </c>
      <c r="AB2583" s="14"/>
      <c r="AC2583" s="14"/>
      <c r="AD2583" s="14"/>
      <c r="AE2583" s="14"/>
      <c r="AF2583" s="14"/>
      <c r="AG2583" s="14"/>
      <c r="AH2583" s="14"/>
      <c r="AI2583" s="14"/>
      <c r="AJ2583" s="14"/>
      <c r="AK2583" s="14"/>
      <c r="AL2583" s="14"/>
      <c r="AM2583" s="14"/>
    </row>
    <row r="2584" customFormat="false" ht="13.8" hidden="false" customHeight="false" outlineLevel="0" collapsed="false">
      <c r="AA2584" s="7" t="n">
        <f aca="false">AA2583+1</f>
        <v>43490</v>
      </c>
      <c r="AB2584" s="14"/>
      <c r="AC2584" s="14"/>
      <c r="AD2584" s="14"/>
      <c r="AE2584" s="14"/>
      <c r="AF2584" s="14"/>
      <c r="AG2584" s="14"/>
      <c r="AH2584" s="14"/>
      <c r="AI2584" s="14"/>
      <c r="AJ2584" s="14"/>
      <c r="AK2584" s="14"/>
      <c r="AL2584" s="14"/>
      <c r="AM2584" s="14"/>
    </row>
    <row r="2585" customFormat="false" ht="13.8" hidden="false" customHeight="false" outlineLevel="0" collapsed="false">
      <c r="AA2585" s="7" t="n">
        <f aca="false">AA2584+1</f>
        <v>43491</v>
      </c>
      <c r="AB2585" s="14"/>
      <c r="AC2585" s="14"/>
      <c r="AD2585" s="14"/>
      <c r="AE2585" s="14"/>
      <c r="AF2585" s="14"/>
      <c r="AG2585" s="14"/>
      <c r="AH2585" s="14"/>
      <c r="AI2585" s="14"/>
      <c r="AJ2585" s="14"/>
      <c r="AK2585" s="14"/>
      <c r="AL2585" s="14"/>
      <c r="AM2585" s="14"/>
    </row>
    <row r="2586" customFormat="false" ht="13.8" hidden="false" customHeight="false" outlineLevel="0" collapsed="false">
      <c r="AA2586" s="7" t="n">
        <f aca="false">AA2585+1</f>
        <v>43492</v>
      </c>
      <c r="AB2586" s="14"/>
      <c r="AC2586" s="14"/>
      <c r="AD2586" s="14"/>
      <c r="AE2586" s="14"/>
      <c r="AF2586" s="14"/>
      <c r="AG2586" s="14"/>
      <c r="AH2586" s="14"/>
      <c r="AI2586" s="14"/>
      <c r="AJ2586" s="14"/>
      <c r="AK2586" s="14"/>
      <c r="AL2586" s="14"/>
      <c r="AM2586" s="14"/>
    </row>
    <row r="2587" customFormat="false" ht="13.8" hidden="false" customHeight="false" outlineLevel="0" collapsed="false">
      <c r="AA2587" s="7" t="n">
        <f aca="false">AA2586+1</f>
        <v>43493</v>
      </c>
      <c r="AB2587" s="14"/>
      <c r="AC2587" s="14"/>
      <c r="AD2587" s="14"/>
      <c r="AE2587" s="14"/>
      <c r="AF2587" s="14"/>
      <c r="AG2587" s="14"/>
      <c r="AH2587" s="14"/>
      <c r="AI2587" s="14"/>
      <c r="AJ2587" s="14"/>
      <c r="AK2587" s="14"/>
      <c r="AL2587" s="14"/>
      <c r="AM2587" s="14"/>
    </row>
    <row r="2588" customFormat="false" ht="13.8" hidden="false" customHeight="false" outlineLevel="0" collapsed="false">
      <c r="AA2588" s="7" t="n">
        <f aca="false">AA2587+1</f>
        <v>43494</v>
      </c>
      <c r="AB2588" s="14"/>
      <c r="AC2588" s="14"/>
      <c r="AD2588" s="14"/>
      <c r="AE2588" s="14"/>
      <c r="AF2588" s="14"/>
      <c r="AG2588" s="14"/>
      <c r="AH2588" s="14"/>
      <c r="AI2588" s="14"/>
      <c r="AJ2588" s="14"/>
      <c r="AK2588" s="14"/>
      <c r="AL2588" s="14"/>
      <c r="AM2588" s="14"/>
    </row>
    <row r="2589" customFormat="false" ht="13.8" hidden="false" customHeight="false" outlineLevel="0" collapsed="false">
      <c r="AA2589" s="7" t="n">
        <f aca="false">AA2588+1</f>
        <v>43495</v>
      </c>
      <c r="AB2589" s="14"/>
      <c r="AC2589" s="14"/>
      <c r="AD2589" s="14"/>
      <c r="AE2589" s="14"/>
      <c r="AF2589" s="14"/>
      <c r="AG2589" s="14"/>
      <c r="AH2589" s="14"/>
      <c r="AI2589" s="14"/>
      <c r="AJ2589" s="14"/>
      <c r="AK2589" s="14"/>
      <c r="AL2589" s="14"/>
      <c r="AM2589" s="14"/>
    </row>
    <row r="2590" customFormat="false" ht="13.8" hidden="false" customHeight="false" outlineLevel="0" collapsed="false">
      <c r="AA2590" s="7" t="n">
        <f aca="false">AA2589+1</f>
        <v>43496</v>
      </c>
      <c r="AB2590" s="14"/>
      <c r="AC2590" s="14"/>
      <c r="AD2590" s="14"/>
      <c r="AE2590" s="14"/>
      <c r="AF2590" s="14"/>
      <c r="AG2590" s="14"/>
      <c r="AH2590" s="14"/>
      <c r="AI2590" s="14"/>
      <c r="AJ2590" s="14"/>
      <c r="AK2590" s="14"/>
      <c r="AL2590" s="14"/>
      <c r="AM2590" s="14"/>
    </row>
    <row r="2591" customFormat="false" ht="13.8" hidden="false" customHeight="false" outlineLevel="0" collapsed="false">
      <c r="AA2591" s="7" t="n">
        <f aca="false">AA2590+1</f>
        <v>43497</v>
      </c>
      <c r="AB2591" s="14"/>
      <c r="AC2591" s="14"/>
      <c r="AD2591" s="14"/>
      <c r="AE2591" s="14"/>
      <c r="AF2591" s="14"/>
      <c r="AG2591" s="14"/>
      <c r="AH2591" s="14"/>
      <c r="AI2591" s="14"/>
      <c r="AJ2591" s="14"/>
      <c r="AK2591" s="14"/>
      <c r="AL2591" s="14"/>
      <c r="AM2591" s="14"/>
    </row>
    <row r="2592" customFormat="false" ht="13.8" hidden="false" customHeight="false" outlineLevel="0" collapsed="false">
      <c r="AA2592" s="7" t="n">
        <f aca="false">AA2591+1</f>
        <v>43498</v>
      </c>
      <c r="AB2592" s="14"/>
      <c r="AC2592" s="14"/>
      <c r="AD2592" s="14"/>
      <c r="AE2592" s="14"/>
      <c r="AF2592" s="14"/>
      <c r="AG2592" s="14"/>
      <c r="AH2592" s="14"/>
      <c r="AI2592" s="14"/>
      <c r="AJ2592" s="14"/>
      <c r="AK2592" s="14"/>
      <c r="AL2592" s="14"/>
      <c r="AM2592" s="14"/>
    </row>
    <row r="2593" customFormat="false" ht="13.8" hidden="false" customHeight="false" outlineLevel="0" collapsed="false">
      <c r="AA2593" s="7" t="n">
        <f aca="false">AA2592+1</f>
        <v>43499</v>
      </c>
      <c r="AB2593" s="14"/>
      <c r="AC2593" s="14"/>
      <c r="AD2593" s="14"/>
      <c r="AE2593" s="14"/>
      <c r="AF2593" s="14"/>
      <c r="AG2593" s="14"/>
      <c r="AH2593" s="14"/>
      <c r="AI2593" s="14"/>
      <c r="AJ2593" s="14"/>
      <c r="AK2593" s="14"/>
      <c r="AL2593" s="14"/>
      <c r="AM2593" s="14"/>
    </row>
    <row r="2594" customFormat="false" ht="13.8" hidden="false" customHeight="false" outlineLevel="0" collapsed="false">
      <c r="AA2594" s="7" t="n">
        <f aca="false">AA2593+1</f>
        <v>43500</v>
      </c>
      <c r="AB2594" s="14"/>
      <c r="AC2594" s="14"/>
      <c r="AD2594" s="14"/>
      <c r="AE2594" s="14"/>
      <c r="AF2594" s="14"/>
      <c r="AG2594" s="14"/>
      <c r="AH2594" s="14"/>
      <c r="AI2594" s="14"/>
      <c r="AJ2594" s="14"/>
      <c r="AK2594" s="14"/>
      <c r="AL2594" s="14"/>
      <c r="AM2594" s="14"/>
    </row>
    <row r="2595" customFormat="false" ht="13.8" hidden="false" customHeight="false" outlineLevel="0" collapsed="false">
      <c r="AA2595" s="7" t="n">
        <f aca="false">AA2594+1</f>
        <v>43501</v>
      </c>
      <c r="AB2595" s="14"/>
      <c r="AC2595" s="14"/>
      <c r="AD2595" s="14"/>
      <c r="AE2595" s="14"/>
      <c r="AF2595" s="14"/>
      <c r="AG2595" s="14"/>
      <c r="AH2595" s="14"/>
      <c r="AI2595" s="14"/>
      <c r="AJ2595" s="14"/>
      <c r="AK2595" s="14"/>
      <c r="AL2595" s="14"/>
      <c r="AM2595" s="14"/>
    </row>
    <row r="2596" customFormat="false" ht="13.8" hidden="false" customHeight="false" outlineLevel="0" collapsed="false">
      <c r="AA2596" s="7" t="n">
        <f aca="false">AA2595+1</f>
        <v>43502</v>
      </c>
      <c r="AB2596" s="14"/>
      <c r="AC2596" s="14"/>
      <c r="AD2596" s="14"/>
      <c r="AE2596" s="14"/>
      <c r="AF2596" s="14"/>
      <c r="AG2596" s="14"/>
      <c r="AH2596" s="14"/>
      <c r="AI2596" s="14"/>
      <c r="AJ2596" s="14"/>
      <c r="AK2596" s="14"/>
      <c r="AL2596" s="14"/>
      <c r="AM2596" s="14"/>
    </row>
    <row r="2597" customFormat="false" ht="13.8" hidden="false" customHeight="false" outlineLevel="0" collapsed="false">
      <c r="AA2597" s="7" t="n">
        <f aca="false">AA2596+1</f>
        <v>43503</v>
      </c>
      <c r="AB2597" s="14"/>
      <c r="AC2597" s="14"/>
      <c r="AD2597" s="14"/>
      <c r="AE2597" s="14"/>
      <c r="AF2597" s="14"/>
      <c r="AG2597" s="14"/>
      <c r="AH2597" s="14"/>
      <c r="AI2597" s="14"/>
      <c r="AJ2597" s="14"/>
      <c r="AK2597" s="14"/>
      <c r="AL2597" s="14"/>
      <c r="AM2597" s="14"/>
    </row>
    <row r="2598" customFormat="false" ht="13.8" hidden="false" customHeight="false" outlineLevel="0" collapsed="false">
      <c r="AA2598" s="7" t="n">
        <f aca="false">AA2597+1</f>
        <v>43504</v>
      </c>
      <c r="AB2598" s="14"/>
      <c r="AC2598" s="14"/>
      <c r="AD2598" s="14"/>
      <c r="AE2598" s="14"/>
      <c r="AF2598" s="14"/>
      <c r="AG2598" s="14"/>
      <c r="AH2598" s="14"/>
      <c r="AI2598" s="14"/>
      <c r="AJ2598" s="14"/>
      <c r="AK2598" s="14"/>
      <c r="AL2598" s="14"/>
      <c r="AM2598" s="14"/>
    </row>
    <row r="2599" customFormat="false" ht="13.8" hidden="false" customHeight="false" outlineLevel="0" collapsed="false">
      <c r="AA2599" s="7" t="n">
        <f aca="false">AA2598+1</f>
        <v>43505</v>
      </c>
      <c r="AB2599" s="14"/>
      <c r="AC2599" s="14"/>
      <c r="AD2599" s="14"/>
      <c r="AE2599" s="14"/>
      <c r="AF2599" s="14"/>
      <c r="AG2599" s="14"/>
      <c r="AH2599" s="14"/>
      <c r="AI2599" s="14"/>
      <c r="AJ2599" s="14"/>
      <c r="AK2599" s="14"/>
      <c r="AL2599" s="14"/>
      <c r="AM2599" s="14"/>
    </row>
    <row r="2600" customFormat="false" ht="13.8" hidden="false" customHeight="false" outlineLevel="0" collapsed="false">
      <c r="AA2600" s="7" t="n">
        <f aca="false">AA2599+1</f>
        <v>43506</v>
      </c>
      <c r="AB2600" s="14"/>
      <c r="AC2600" s="14"/>
      <c r="AD2600" s="14"/>
      <c r="AE2600" s="14"/>
      <c r="AF2600" s="14"/>
      <c r="AG2600" s="14"/>
      <c r="AH2600" s="14"/>
      <c r="AI2600" s="14"/>
      <c r="AJ2600" s="14"/>
      <c r="AK2600" s="14"/>
      <c r="AL2600" s="14"/>
      <c r="AM2600" s="14"/>
    </row>
    <row r="2601" customFormat="false" ht="13.8" hidden="false" customHeight="false" outlineLevel="0" collapsed="false">
      <c r="AA2601" s="7" t="n">
        <f aca="false">AA2600+1</f>
        <v>43507</v>
      </c>
      <c r="AB2601" s="14"/>
      <c r="AC2601" s="14"/>
      <c r="AD2601" s="14"/>
      <c r="AE2601" s="14"/>
      <c r="AF2601" s="14"/>
      <c r="AG2601" s="14"/>
      <c r="AH2601" s="14"/>
      <c r="AI2601" s="14"/>
      <c r="AJ2601" s="14"/>
      <c r="AK2601" s="14"/>
      <c r="AL2601" s="14"/>
      <c r="AM2601" s="14"/>
    </row>
    <row r="2602" customFormat="false" ht="13.8" hidden="false" customHeight="false" outlineLevel="0" collapsed="false">
      <c r="AA2602" s="7" t="n">
        <f aca="false">AA2601+1</f>
        <v>43508</v>
      </c>
      <c r="AB2602" s="14"/>
      <c r="AC2602" s="14"/>
      <c r="AD2602" s="14"/>
      <c r="AE2602" s="14"/>
      <c r="AF2602" s="14"/>
      <c r="AG2602" s="14"/>
      <c r="AH2602" s="14"/>
      <c r="AI2602" s="14"/>
      <c r="AJ2602" s="14"/>
      <c r="AK2602" s="14"/>
      <c r="AL2602" s="14"/>
      <c r="AM2602" s="14"/>
    </row>
    <row r="2603" customFormat="false" ht="13.8" hidden="false" customHeight="false" outlineLevel="0" collapsed="false">
      <c r="AA2603" s="7" t="n">
        <f aca="false">AA2602+1</f>
        <v>43509</v>
      </c>
      <c r="AB2603" s="14"/>
      <c r="AC2603" s="14"/>
      <c r="AD2603" s="14"/>
      <c r="AE2603" s="14"/>
      <c r="AF2603" s="14"/>
      <c r="AG2603" s="14"/>
      <c r="AH2603" s="14"/>
      <c r="AI2603" s="14"/>
      <c r="AJ2603" s="14"/>
      <c r="AK2603" s="14"/>
      <c r="AL2603" s="14"/>
      <c r="AM2603" s="14"/>
    </row>
    <row r="2604" customFormat="false" ht="13.8" hidden="false" customHeight="false" outlineLevel="0" collapsed="false">
      <c r="AA2604" s="7" t="n">
        <f aca="false">AA2603+1</f>
        <v>43510</v>
      </c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</row>
    <row r="2605" customFormat="false" ht="13.8" hidden="false" customHeight="false" outlineLevel="0" collapsed="false">
      <c r="AA2605" s="7" t="n">
        <f aca="false">AA2604+1</f>
        <v>43511</v>
      </c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</row>
    <row r="2606" customFormat="false" ht="13.8" hidden="false" customHeight="false" outlineLevel="0" collapsed="false">
      <c r="AA2606" s="7" t="n">
        <f aca="false">AA2605+1</f>
        <v>43512</v>
      </c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</row>
    <row r="2607" customFormat="false" ht="13.8" hidden="false" customHeight="false" outlineLevel="0" collapsed="false">
      <c r="AA2607" s="7" t="n">
        <f aca="false">AA2606+1</f>
        <v>43513</v>
      </c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</row>
    <row r="2608" customFormat="false" ht="13.8" hidden="false" customHeight="false" outlineLevel="0" collapsed="false">
      <c r="AA2608" s="7" t="n">
        <f aca="false">AA2607+1</f>
        <v>43514</v>
      </c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</row>
    <row r="2609" customFormat="false" ht="13.8" hidden="false" customHeight="false" outlineLevel="0" collapsed="false">
      <c r="AA2609" s="7" t="n">
        <f aca="false">AA2608+1</f>
        <v>43515</v>
      </c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</row>
    <row r="2610" customFormat="false" ht="13.8" hidden="false" customHeight="false" outlineLevel="0" collapsed="false">
      <c r="AA2610" s="7" t="n">
        <f aca="false">AA2609+1</f>
        <v>43516</v>
      </c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</row>
    <row r="2611" customFormat="false" ht="13.8" hidden="false" customHeight="false" outlineLevel="0" collapsed="false">
      <c r="AA2611" s="7" t="n">
        <f aca="false">AA2610+1</f>
        <v>43517</v>
      </c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</row>
    <row r="2612" customFormat="false" ht="13.8" hidden="false" customHeight="false" outlineLevel="0" collapsed="false">
      <c r="AA2612" s="7" t="n">
        <f aca="false">AA2611+1</f>
        <v>43518</v>
      </c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</row>
    <row r="2613" customFormat="false" ht="13.8" hidden="false" customHeight="false" outlineLevel="0" collapsed="false">
      <c r="AA2613" s="7" t="n">
        <f aca="false">AA2612+1</f>
        <v>43519</v>
      </c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</row>
    <row r="2614" customFormat="false" ht="13.8" hidden="false" customHeight="false" outlineLevel="0" collapsed="false">
      <c r="AA2614" s="7" t="n">
        <f aca="false">AA2613+1</f>
        <v>43520</v>
      </c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</row>
    <row r="2615" customFormat="false" ht="13.8" hidden="false" customHeight="false" outlineLevel="0" collapsed="false">
      <c r="AA2615" s="7" t="n">
        <f aca="false">AA2614+1</f>
        <v>43521</v>
      </c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</row>
    <row r="2616" customFormat="false" ht="13.8" hidden="false" customHeight="false" outlineLevel="0" collapsed="false">
      <c r="AA2616" s="7" t="n">
        <f aca="false">AA2615+1</f>
        <v>43522</v>
      </c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</row>
    <row r="2617" customFormat="false" ht="13.8" hidden="false" customHeight="false" outlineLevel="0" collapsed="false">
      <c r="AA2617" s="7" t="n">
        <f aca="false">AA2616+1</f>
        <v>43523</v>
      </c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</row>
    <row r="2618" customFormat="false" ht="13.8" hidden="false" customHeight="false" outlineLevel="0" collapsed="false">
      <c r="AA2618" s="7" t="n">
        <f aca="false">AA2617+1</f>
        <v>43524</v>
      </c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</row>
    <row r="2619" customFormat="false" ht="13.8" hidden="false" customHeight="false" outlineLevel="0" collapsed="false">
      <c r="AA2619" s="7" t="n">
        <f aca="false">AA2618+1</f>
        <v>43525</v>
      </c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</row>
    <row r="2620" customFormat="false" ht="13.8" hidden="false" customHeight="false" outlineLevel="0" collapsed="false">
      <c r="AA2620" s="7" t="n">
        <f aca="false">AA2619+1</f>
        <v>43526</v>
      </c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</row>
    <row r="2621" customFormat="false" ht="13.8" hidden="false" customHeight="false" outlineLevel="0" collapsed="false">
      <c r="AA2621" s="7" t="n">
        <f aca="false">AA2620+1</f>
        <v>43527</v>
      </c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</row>
    <row r="2622" customFormat="false" ht="13.8" hidden="false" customHeight="false" outlineLevel="0" collapsed="false">
      <c r="AA2622" s="7" t="n">
        <f aca="false">AA2621+1</f>
        <v>43528</v>
      </c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</row>
    <row r="2623" customFormat="false" ht="13.8" hidden="false" customHeight="false" outlineLevel="0" collapsed="false">
      <c r="AA2623" s="7" t="n">
        <f aca="false">AA2622+1</f>
        <v>43529</v>
      </c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</row>
    <row r="2624" customFormat="false" ht="13.8" hidden="false" customHeight="false" outlineLevel="0" collapsed="false">
      <c r="AA2624" s="7" t="n">
        <f aca="false">AA2623+1</f>
        <v>43530</v>
      </c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</row>
    <row r="2625" customFormat="false" ht="13.8" hidden="false" customHeight="false" outlineLevel="0" collapsed="false">
      <c r="AA2625" s="7" t="n">
        <f aca="false">AA2624+1</f>
        <v>43531</v>
      </c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</row>
    <row r="2626" customFormat="false" ht="13.8" hidden="false" customHeight="false" outlineLevel="0" collapsed="false">
      <c r="AA2626" s="7" t="n">
        <f aca="false">AA2625+1</f>
        <v>43532</v>
      </c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</row>
    <row r="2627" customFormat="false" ht="13.8" hidden="false" customHeight="false" outlineLevel="0" collapsed="false">
      <c r="AA2627" s="7" t="n">
        <f aca="false">AA2626+1</f>
        <v>43533</v>
      </c>
      <c r="AB2627" s="14"/>
      <c r="AC2627" s="14"/>
      <c r="AD2627" s="14"/>
      <c r="AE2627" s="14"/>
      <c r="AF2627" s="14"/>
      <c r="AG2627" s="14"/>
      <c r="AH2627" s="14"/>
      <c r="AI2627" s="14"/>
      <c r="AJ2627" s="14"/>
      <c r="AK2627" s="14"/>
      <c r="AL2627" s="14"/>
      <c r="AM2627" s="14"/>
    </row>
    <row r="2628" customFormat="false" ht="13.8" hidden="false" customHeight="false" outlineLevel="0" collapsed="false">
      <c r="AA2628" s="7" t="n">
        <f aca="false">AA2627+1</f>
        <v>43534</v>
      </c>
      <c r="AB2628" s="14"/>
      <c r="AC2628" s="14"/>
      <c r="AD2628" s="14"/>
      <c r="AE2628" s="14"/>
      <c r="AF2628" s="14"/>
      <c r="AG2628" s="14"/>
      <c r="AH2628" s="14"/>
      <c r="AI2628" s="14"/>
      <c r="AJ2628" s="14"/>
      <c r="AK2628" s="14"/>
      <c r="AL2628" s="14"/>
      <c r="AM2628" s="14"/>
    </row>
    <row r="2629" customFormat="false" ht="13.8" hidden="false" customHeight="false" outlineLevel="0" collapsed="false">
      <c r="AA2629" s="7" t="n">
        <f aca="false">AA2628+1</f>
        <v>43535</v>
      </c>
      <c r="AB2629" s="14"/>
      <c r="AC2629" s="14"/>
      <c r="AD2629" s="14"/>
      <c r="AE2629" s="14"/>
      <c r="AF2629" s="14"/>
      <c r="AG2629" s="14"/>
      <c r="AH2629" s="14"/>
      <c r="AI2629" s="14"/>
      <c r="AJ2629" s="14"/>
      <c r="AK2629" s="14"/>
      <c r="AL2629" s="14"/>
      <c r="AM2629" s="14"/>
    </row>
    <row r="2630" customFormat="false" ht="13.8" hidden="false" customHeight="false" outlineLevel="0" collapsed="false">
      <c r="AA2630" s="7" t="n">
        <f aca="false">AA2629+1</f>
        <v>43536</v>
      </c>
      <c r="AB2630" s="14"/>
      <c r="AC2630" s="14"/>
      <c r="AD2630" s="14"/>
      <c r="AE2630" s="14"/>
      <c r="AF2630" s="14"/>
      <c r="AG2630" s="14"/>
      <c r="AH2630" s="14"/>
      <c r="AI2630" s="14"/>
      <c r="AJ2630" s="14"/>
      <c r="AK2630" s="14"/>
      <c r="AL2630" s="14"/>
      <c r="AM2630" s="14"/>
    </row>
    <row r="2631" customFormat="false" ht="13.8" hidden="false" customHeight="false" outlineLevel="0" collapsed="false">
      <c r="AA2631" s="7" t="n">
        <f aca="false">AA2630+1</f>
        <v>43537</v>
      </c>
      <c r="AB2631" s="14"/>
      <c r="AC2631" s="14"/>
      <c r="AD2631" s="14"/>
      <c r="AE2631" s="14"/>
      <c r="AF2631" s="14"/>
      <c r="AG2631" s="14"/>
      <c r="AH2631" s="14"/>
      <c r="AI2631" s="14"/>
      <c r="AJ2631" s="14"/>
      <c r="AK2631" s="14"/>
      <c r="AL2631" s="14"/>
      <c r="AM2631" s="14"/>
    </row>
    <row r="2632" customFormat="false" ht="13.8" hidden="false" customHeight="false" outlineLevel="0" collapsed="false">
      <c r="AA2632" s="7" t="n">
        <f aca="false">AA2631+1</f>
        <v>43538</v>
      </c>
      <c r="AB2632" s="14"/>
      <c r="AC2632" s="14"/>
      <c r="AD2632" s="14"/>
      <c r="AE2632" s="14"/>
      <c r="AF2632" s="14"/>
      <c r="AG2632" s="14"/>
      <c r="AH2632" s="14"/>
      <c r="AI2632" s="14"/>
      <c r="AJ2632" s="14"/>
      <c r="AK2632" s="14"/>
      <c r="AL2632" s="14"/>
      <c r="AM2632" s="14"/>
    </row>
    <row r="2633" customFormat="false" ht="13.8" hidden="false" customHeight="false" outlineLevel="0" collapsed="false">
      <c r="AA2633" s="7" t="n">
        <f aca="false">AA2632+1</f>
        <v>43539</v>
      </c>
      <c r="AB2633" s="14"/>
      <c r="AC2633" s="14"/>
      <c r="AD2633" s="14"/>
      <c r="AE2633" s="14"/>
      <c r="AF2633" s="14"/>
      <c r="AG2633" s="14"/>
      <c r="AH2633" s="14"/>
      <c r="AI2633" s="14"/>
      <c r="AJ2633" s="14"/>
      <c r="AK2633" s="14"/>
      <c r="AL2633" s="14"/>
      <c r="AM2633" s="14"/>
    </row>
    <row r="2634" customFormat="false" ht="13.8" hidden="false" customHeight="false" outlineLevel="0" collapsed="false">
      <c r="AA2634" s="7" t="n">
        <f aca="false">AA2633+1</f>
        <v>43540</v>
      </c>
      <c r="AB2634" s="14"/>
      <c r="AC2634" s="14"/>
      <c r="AD2634" s="14"/>
      <c r="AE2634" s="14"/>
      <c r="AF2634" s="14"/>
      <c r="AG2634" s="14"/>
      <c r="AH2634" s="14"/>
      <c r="AI2634" s="14"/>
      <c r="AJ2634" s="14"/>
      <c r="AK2634" s="14"/>
      <c r="AL2634" s="14"/>
      <c r="AM2634" s="14"/>
    </row>
    <row r="2635" customFormat="false" ht="13.8" hidden="false" customHeight="false" outlineLevel="0" collapsed="false">
      <c r="AA2635" s="7" t="n">
        <f aca="false">AA2634+1</f>
        <v>43541</v>
      </c>
      <c r="AB2635" s="14"/>
      <c r="AC2635" s="14"/>
      <c r="AD2635" s="14"/>
      <c r="AE2635" s="14"/>
      <c r="AF2635" s="14"/>
      <c r="AG2635" s="14"/>
      <c r="AH2635" s="14"/>
      <c r="AI2635" s="14"/>
      <c r="AJ2635" s="14"/>
      <c r="AK2635" s="14"/>
      <c r="AL2635" s="14"/>
      <c r="AM2635" s="14"/>
    </row>
    <row r="2636" customFormat="false" ht="13.8" hidden="false" customHeight="false" outlineLevel="0" collapsed="false">
      <c r="AA2636" s="7" t="n">
        <f aca="false">AA2635+1</f>
        <v>43542</v>
      </c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</row>
    <row r="2637" customFormat="false" ht="13.8" hidden="false" customHeight="false" outlineLevel="0" collapsed="false">
      <c r="AA2637" s="7" t="n">
        <f aca="false">AA2636+1</f>
        <v>43543</v>
      </c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</row>
    <row r="2638" customFormat="false" ht="13.8" hidden="false" customHeight="false" outlineLevel="0" collapsed="false">
      <c r="AA2638" s="7" t="n">
        <f aca="false">AA2637+1</f>
        <v>43544</v>
      </c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</row>
    <row r="2639" customFormat="false" ht="13.8" hidden="false" customHeight="false" outlineLevel="0" collapsed="false">
      <c r="AA2639" s="7" t="n">
        <f aca="false">AA2638+1</f>
        <v>43545</v>
      </c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</row>
    <row r="2640" customFormat="false" ht="13.8" hidden="false" customHeight="false" outlineLevel="0" collapsed="false">
      <c r="AA2640" s="7" t="n">
        <f aca="false">AA2639+1</f>
        <v>43546</v>
      </c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</row>
    <row r="2641" customFormat="false" ht="13.8" hidden="false" customHeight="false" outlineLevel="0" collapsed="false">
      <c r="AA2641" s="7" t="n">
        <f aca="false">AA2640+1</f>
        <v>43547</v>
      </c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</row>
    <row r="2642" customFormat="false" ht="13.8" hidden="false" customHeight="false" outlineLevel="0" collapsed="false">
      <c r="AA2642" s="7" t="n">
        <f aca="false">AA2641+1</f>
        <v>43548</v>
      </c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</row>
    <row r="2643" customFormat="false" ht="13.8" hidden="false" customHeight="false" outlineLevel="0" collapsed="false">
      <c r="AA2643" s="7" t="n">
        <f aca="false">AA2642+1</f>
        <v>43549</v>
      </c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</row>
    <row r="2644" customFormat="false" ht="13.8" hidden="false" customHeight="false" outlineLevel="0" collapsed="false">
      <c r="AA2644" s="7" t="n">
        <f aca="false">AA2643+1</f>
        <v>43550</v>
      </c>
      <c r="AB2644" s="14"/>
      <c r="AC2644" s="14"/>
      <c r="AD2644" s="14"/>
      <c r="AE2644" s="14"/>
      <c r="AF2644" s="14"/>
      <c r="AG2644" s="14"/>
      <c r="AH2644" s="14"/>
      <c r="AI2644" s="14"/>
      <c r="AJ2644" s="14"/>
      <c r="AK2644" s="14"/>
      <c r="AL2644" s="14"/>
      <c r="AM2644" s="14"/>
    </row>
    <row r="2645" customFormat="false" ht="13.8" hidden="false" customHeight="false" outlineLevel="0" collapsed="false">
      <c r="AA2645" s="7" t="n">
        <f aca="false">AA2644+1</f>
        <v>43551</v>
      </c>
      <c r="AB2645" s="14"/>
      <c r="AC2645" s="14"/>
      <c r="AD2645" s="14"/>
      <c r="AE2645" s="14"/>
      <c r="AF2645" s="14"/>
      <c r="AG2645" s="14"/>
      <c r="AH2645" s="14"/>
      <c r="AI2645" s="14"/>
      <c r="AJ2645" s="14"/>
      <c r="AK2645" s="14"/>
      <c r="AL2645" s="14"/>
      <c r="AM2645" s="14"/>
    </row>
    <row r="2646" customFormat="false" ht="13.8" hidden="false" customHeight="false" outlineLevel="0" collapsed="false">
      <c r="AA2646" s="7" t="n">
        <f aca="false">AA2645+1</f>
        <v>43552</v>
      </c>
      <c r="AB2646" s="14"/>
      <c r="AC2646" s="14"/>
      <c r="AD2646" s="14"/>
      <c r="AE2646" s="14"/>
      <c r="AF2646" s="14"/>
      <c r="AG2646" s="14"/>
      <c r="AH2646" s="14"/>
      <c r="AI2646" s="14"/>
      <c r="AJ2646" s="14"/>
      <c r="AK2646" s="14"/>
      <c r="AL2646" s="14"/>
      <c r="AM2646" s="14"/>
    </row>
    <row r="2647" customFormat="false" ht="13.8" hidden="false" customHeight="false" outlineLevel="0" collapsed="false">
      <c r="AA2647" s="7" t="n">
        <f aca="false">AA2646+1</f>
        <v>43553</v>
      </c>
      <c r="AB2647" s="14"/>
      <c r="AC2647" s="14"/>
      <c r="AD2647" s="14"/>
      <c r="AE2647" s="14"/>
      <c r="AF2647" s="14"/>
      <c r="AG2647" s="14"/>
      <c r="AH2647" s="14"/>
      <c r="AI2647" s="14"/>
      <c r="AJ2647" s="14"/>
      <c r="AK2647" s="14"/>
      <c r="AL2647" s="14"/>
      <c r="AM2647" s="14"/>
    </row>
    <row r="2648" customFormat="false" ht="13.8" hidden="false" customHeight="false" outlineLevel="0" collapsed="false">
      <c r="AA2648" s="7" t="n">
        <f aca="false">AA2647+1</f>
        <v>43554</v>
      </c>
      <c r="AB2648" s="14"/>
      <c r="AC2648" s="14"/>
      <c r="AD2648" s="14"/>
      <c r="AE2648" s="14"/>
      <c r="AF2648" s="14"/>
      <c r="AG2648" s="14"/>
      <c r="AH2648" s="14"/>
      <c r="AI2648" s="14"/>
      <c r="AJ2648" s="14"/>
      <c r="AK2648" s="14"/>
      <c r="AL2648" s="14"/>
      <c r="AM2648" s="14"/>
    </row>
    <row r="2649" customFormat="false" ht="13.8" hidden="false" customHeight="false" outlineLevel="0" collapsed="false">
      <c r="AA2649" s="7" t="n">
        <f aca="false">AA2648+1</f>
        <v>43555</v>
      </c>
      <c r="AB2649" s="14"/>
      <c r="AC2649" s="14"/>
      <c r="AD2649" s="14"/>
      <c r="AE2649" s="14"/>
      <c r="AF2649" s="14"/>
      <c r="AG2649" s="14"/>
      <c r="AH2649" s="14"/>
      <c r="AI2649" s="14"/>
      <c r="AJ2649" s="14"/>
      <c r="AK2649" s="14"/>
      <c r="AL2649" s="14"/>
      <c r="AM2649" s="14"/>
    </row>
    <row r="2650" customFormat="false" ht="13.8" hidden="false" customHeight="false" outlineLevel="0" collapsed="false">
      <c r="AA2650" s="7" t="n">
        <f aca="false">AA2649+1</f>
        <v>43556</v>
      </c>
      <c r="AB2650" s="14"/>
      <c r="AC2650" s="14"/>
      <c r="AD2650" s="14"/>
      <c r="AE2650" s="14"/>
      <c r="AF2650" s="14"/>
      <c r="AG2650" s="14"/>
      <c r="AH2650" s="14"/>
      <c r="AI2650" s="14"/>
      <c r="AJ2650" s="14"/>
      <c r="AK2650" s="14"/>
      <c r="AL2650" s="14"/>
      <c r="AM2650" s="14"/>
    </row>
    <row r="2651" customFormat="false" ht="13.8" hidden="false" customHeight="false" outlineLevel="0" collapsed="false">
      <c r="AA2651" s="7" t="n">
        <f aca="false">AA2650+1</f>
        <v>43557</v>
      </c>
      <c r="AB2651" s="14"/>
      <c r="AC2651" s="14"/>
      <c r="AD2651" s="14"/>
      <c r="AE2651" s="14"/>
      <c r="AF2651" s="14"/>
      <c r="AG2651" s="14"/>
      <c r="AH2651" s="14"/>
      <c r="AI2651" s="14"/>
      <c r="AJ2651" s="14"/>
      <c r="AK2651" s="14"/>
      <c r="AL2651" s="14"/>
      <c r="AM2651" s="14"/>
    </row>
    <row r="2652" customFormat="false" ht="13.8" hidden="false" customHeight="false" outlineLevel="0" collapsed="false">
      <c r="AA2652" s="7" t="n">
        <f aca="false">AA2651+1</f>
        <v>43558</v>
      </c>
      <c r="AB2652" s="14"/>
      <c r="AC2652" s="14"/>
      <c r="AD2652" s="14"/>
      <c r="AE2652" s="14"/>
      <c r="AF2652" s="14"/>
      <c r="AG2652" s="14"/>
      <c r="AH2652" s="14"/>
      <c r="AI2652" s="14"/>
      <c r="AJ2652" s="14"/>
      <c r="AK2652" s="14"/>
      <c r="AL2652" s="14"/>
      <c r="AM2652" s="14"/>
    </row>
    <row r="2653" customFormat="false" ht="13.8" hidden="false" customHeight="false" outlineLevel="0" collapsed="false">
      <c r="AA2653" s="7" t="n">
        <f aca="false">AA2652+1</f>
        <v>43559</v>
      </c>
      <c r="AB2653" s="14"/>
      <c r="AC2653" s="14"/>
      <c r="AD2653" s="14"/>
      <c r="AE2653" s="14"/>
      <c r="AF2653" s="14"/>
      <c r="AG2653" s="14"/>
      <c r="AH2653" s="14"/>
      <c r="AI2653" s="14"/>
      <c r="AJ2653" s="14"/>
      <c r="AK2653" s="14"/>
      <c r="AL2653" s="14"/>
      <c r="AM2653" s="14"/>
    </row>
    <row r="2654" customFormat="false" ht="13.8" hidden="false" customHeight="false" outlineLevel="0" collapsed="false">
      <c r="AA2654" s="7" t="n">
        <f aca="false">AA2653+1</f>
        <v>43560</v>
      </c>
      <c r="AB2654" s="14"/>
      <c r="AC2654" s="14"/>
      <c r="AD2654" s="14"/>
      <c r="AE2654" s="14"/>
      <c r="AF2654" s="14"/>
      <c r="AG2654" s="14"/>
      <c r="AH2654" s="14"/>
      <c r="AI2654" s="14"/>
      <c r="AJ2654" s="14"/>
      <c r="AK2654" s="14"/>
      <c r="AL2654" s="14"/>
      <c r="AM2654" s="14"/>
    </row>
    <row r="2655" customFormat="false" ht="13.8" hidden="false" customHeight="false" outlineLevel="0" collapsed="false">
      <c r="AA2655" s="7" t="n">
        <f aca="false">AA2654+1</f>
        <v>43561</v>
      </c>
      <c r="AB2655" s="14"/>
      <c r="AC2655" s="14"/>
      <c r="AD2655" s="14"/>
      <c r="AE2655" s="14"/>
      <c r="AF2655" s="14"/>
      <c r="AG2655" s="14"/>
      <c r="AH2655" s="14"/>
      <c r="AI2655" s="14"/>
      <c r="AJ2655" s="14"/>
      <c r="AK2655" s="14"/>
      <c r="AL2655" s="14"/>
      <c r="AM2655" s="14"/>
    </row>
    <row r="2656" customFormat="false" ht="13.8" hidden="false" customHeight="false" outlineLevel="0" collapsed="false">
      <c r="AA2656" s="7" t="n">
        <f aca="false">AA2655+1</f>
        <v>43562</v>
      </c>
      <c r="AB2656" s="14"/>
      <c r="AC2656" s="14"/>
      <c r="AD2656" s="14"/>
      <c r="AE2656" s="14"/>
      <c r="AF2656" s="14"/>
      <c r="AG2656" s="14"/>
      <c r="AH2656" s="14"/>
      <c r="AI2656" s="14"/>
      <c r="AJ2656" s="14"/>
      <c r="AK2656" s="14"/>
      <c r="AL2656" s="14"/>
      <c r="AM2656" s="14"/>
    </row>
    <row r="2657" customFormat="false" ht="13.8" hidden="false" customHeight="false" outlineLevel="0" collapsed="false">
      <c r="AA2657" s="7" t="n">
        <f aca="false">AA2656+1</f>
        <v>43563</v>
      </c>
      <c r="AB2657" s="14"/>
      <c r="AC2657" s="14"/>
      <c r="AD2657" s="14"/>
      <c r="AE2657" s="14"/>
      <c r="AF2657" s="14"/>
      <c r="AG2657" s="14"/>
      <c r="AH2657" s="14"/>
      <c r="AI2657" s="14"/>
      <c r="AJ2657" s="14"/>
      <c r="AK2657" s="14"/>
      <c r="AL2657" s="14"/>
      <c r="AM2657" s="14"/>
    </row>
    <row r="2658" customFormat="false" ht="13.8" hidden="false" customHeight="false" outlineLevel="0" collapsed="false">
      <c r="AA2658" s="7" t="n">
        <f aca="false">AA2657+1</f>
        <v>43564</v>
      </c>
      <c r="AB2658" s="14"/>
      <c r="AC2658" s="14"/>
      <c r="AD2658" s="14"/>
      <c r="AE2658" s="14"/>
      <c r="AF2658" s="14"/>
      <c r="AG2658" s="14"/>
      <c r="AH2658" s="14"/>
      <c r="AI2658" s="14"/>
      <c r="AJ2658" s="14"/>
      <c r="AK2658" s="14"/>
      <c r="AL2658" s="14"/>
      <c r="AM2658" s="14"/>
    </row>
    <row r="2659" customFormat="false" ht="13.8" hidden="false" customHeight="false" outlineLevel="0" collapsed="false">
      <c r="AA2659" s="7" t="n">
        <f aca="false">AA2658+1</f>
        <v>43565</v>
      </c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</row>
    <row r="2660" customFormat="false" ht="13.8" hidden="false" customHeight="false" outlineLevel="0" collapsed="false">
      <c r="AA2660" s="7" t="n">
        <f aca="false">AA2659+1</f>
        <v>43566</v>
      </c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</row>
    <row r="2661" customFormat="false" ht="13.8" hidden="false" customHeight="false" outlineLevel="0" collapsed="false">
      <c r="AA2661" s="7" t="n">
        <f aca="false">AA2660+1</f>
        <v>43567</v>
      </c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</row>
    <row r="2662" customFormat="false" ht="13.8" hidden="false" customHeight="false" outlineLevel="0" collapsed="false">
      <c r="AA2662" s="7" t="n">
        <f aca="false">AA2661+1</f>
        <v>43568</v>
      </c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</row>
    <row r="2663" customFormat="false" ht="13.8" hidden="false" customHeight="false" outlineLevel="0" collapsed="false">
      <c r="AA2663" s="7" t="n">
        <f aca="false">AA2662+1</f>
        <v>43569</v>
      </c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</row>
    <row r="2664" customFormat="false" ht="13.8" hidden="false" customHeight="false" outlineLevel="0" collapsed="false">
      <c r="AA2664" s="7" t="n">
        <f aca="false">AA2663+1</f>
        <v>43570</v>
      </c>
      <c r="AB2664" s="14"/>
      <c r="AC2664" s="14"/>
      <c r="AD2664" s="14"/>
      <c r="AE2664" s="14"/>
      <c r="AF2664" s="14"/>
      <c r="AG2664" s="14"/>
      <c r="AH2664" s="14"/>
      <c r="AI2664" s="14"/>
      <c r="AJ2664" s="14"/>
      <c r="AK2664" s="14"/>
      <c r="AL2664" s="14"/>
      <c r="AM2664" s="14"/>
    </row>
    <row r="2665" customFormat="false" ht="13.8" hidden="false" customHeight="false" outlineLevel="0" collapsed="false">
      <c r="AA2665" s="7" t="n">
        <f aca="false">AA2664+1</f>
        <v>43571</v>
      </c>
      <c r="AB2665" s="14"/>
      <c r="AC2665" s="14"/>
      <c r="AD2665" s="14"/>
      <c r="AE2665" s="14"/>
      <c r="AF2665" s="14"/>
      <c r="AG2665" s="14"/>
      <c r="AH2665" s="14"/>
      <c r="AI2665" s="14"/>
      <c r="AJ2665" s="14"/>
      <c r="AK2665" s="14"/>
      <c r="AL2665" s="14"/>
      <c r="AM2665" s="14"/>
    </row>
    <row r="2666" customFormat="false" ht="13.8" hidden="false" customHeight="false" outlineLevel="0" collapsed="false">
      <c r="AA2666" s="7" t="n">
        <f aca="false">AA2665+1</f>
        <v>43572</v>
      </c>
      <c r="AB2666" s="14"/>
      <c r="AC2666" s="14"/>
      <c r="AD2666" s="14"/>
      <c r="AE2666" s="14"/>
      <c r="AF2666" s="14"/>
      <c r="AG2666" s="14"/>
      <c r="AH2666" s="14"/>
      <c r="AI2666" s="14"/>
      <c r="AJ2666" s="14"/>
      <c r="AK2666" s="14"/>
      <c r="AL2666" s="14"/>
      <c r="AM2666" s="14"/>
    </row>
    <row r="2667" customFormat="false" ht="13.8" hidden="false" customHeight="false" outlineLevel="0" collapsed="false">
      <c r="AA2667" s="7" t="n">
        <f aca="false">AA2666+1</f>
        <v>43573</v>
      </c>
      <c r="AB2667" s="14"/>
      <c r="AC2667" s="14"/>
      <c r="AD2667" s="14"/>
      <c r="AE2667" s="14"/>
      <c r="AF2667" s="14"/>
      <c r="AG2667" s="14"/>
      <c r="AH2667" s="14"/>
      <c r="AI2667" s="14"/>
      <c r="AJ2667" s="14"/>
      <c r="AK2667" s="14"/>
      <c r="AL2667" s="14"/>
      <c r="AM2667" s="14"/>
    </row>
    <row r="2668" customFormat="false" ht="13.8" hidden="false" customHeight="false" outlineLevel="0" collapsed="false">
      <c r="AA2668" s="7" t="n">
        <f aca="false">AA2667+1</f>
        <v>43574</v>
      </c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</row>
    <row r="2669" customFormat="false" ht="13.8" hidden="false" customHeight="false" outlineLevel="0" collapsed="false">
      <c r="AA2669" s="7" t="n">
        <f aca="false">AA2668+1</f>
        <v>43575</v>
      </c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</row>
    <row r="2670" customFormat="false" ht="13.8" hidden="false" customHeight="false" outlineLevel="0" collapsed="false">
      <c r="AA2670" s="7" t="n">
        <f aca="false">AA2669+1</f>
        <v>43576</v>
      </c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</row>
    <row r="2671" customFormat="false" ht="13.8" hidden="false" customHeight="false" outlineLevel="0" collapsed="false">
      <c r="AA2671" s="7" t="n">
        <f aca="false">AA2670+1</f>
        <v>43577</v>
      </c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</row>
    <row r="2672" customFormat="false" ht="13.8" hidden="false" customHeight="false" outlineLevel="0" collapsed="false">
      <c r="AA2672" s="7" t="n">
        <f aca="false">AA2671+1</f>
        <v>43578</v>
      </c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</row>
    <row r="2673" customFormat="false" ht="13.8" hidden="false" customHeight="false" outlineLevel="0" collapsed="false">
      <c r="AA2673" s="7" t="n">
        <f aca="false">AA2672+1</f>
        <v>43579</v>
      </c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</row>
    <row r="2674" customFormat="false" ht="13.8" hidden="false" customHeight="false" outlineLevel="0" collapsed="false">
      <c r="AA2674" s="7" t="n">
        <f aca="false">AA2673+1</f>
        <v>43580</v>
      </c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</row>
    <row r="2675" customFormat="false" ht="13.8" hidden="false" customHeight="false" outlineLevel="0" collapsed="false">
      <c r="AA2675" s="7" t="n">
        <f aca="false">AA2674+1</f>
        <v>43581</v>
      </c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</row>
    <row r="2676" customFormat="false" ht="13.8" hidden="false" customHeight="false" outlineLevel="0" collapsed="false">
      <c r="AA2676" s="7" t="n">
        <f aca="false">AA2675+1</f>
        <v>43582</v>
      </c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</row>
    <row r="2677" customFormat="false" ht="13.8" hidden="false" customHeight="false" outlineLevel="0" collapsed="false">
      <c r="AA2677" s="7" t="n">
        <f aca="false">AA2676+1</f>
        <v>43583</v>
      </c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</row>
    <row r="2678" customFormat="false" ht="13.8" hidden="false" customHeight="false" outlineLevel="0" collapsed="false">
      <c r="AA2678" s="7" t="n">
        <f aca="false">AA2677+1</f>
        <v>43584</v>
      </c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</row>
    <row r="2679" customFormat="false" ht="13.8" hidden="false" customHeight="false" outlineLevel="0" collapsed="false">
      <c r="AA2679" s="7" t="n">
        <f aca="false">AA2678+1</f>
        <v>43585</v>
      </c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</row>
    <row r="2680" customFormat="false" ht="13.8" hidden="false" customHeight="false" outlineLevel="0" collapsed="false">
      <c r="AA2680" s="7" t="n">
        <f aca="false">AA2679+1</f>
        <v>43586</v>
      </c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</row>
    <row r="2681" customFormat="false" ht="13.8" hidden="false" customHeight="false" outlineLevel="0" collapsed="false">
      <c r="AA2681" s="7" t="n">
        <f aca="false">AA2680+1</f>
        <v>43587</v>
      </c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</row>
    <row r="2682" customFormat="false" ht="13.8" hidden="false" customHeight="false" outlineLevel="0" collapsed="false">
      <c r="AA2682" s="7" t="n">
        <f aca="false">AA2681+1</f>
        <v>43588</v>
      </c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</row>
    <row r="2683" customFormat="false" ht="13.8" hidden="false" customHeight="false" outlineLevel="0" collapsed="false">
      <c r="AA2683" s="7" t="n">
        <f aca="false">AA2682+1</f>
        <v>43589</v>
      </c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</row>
    <row r="2684" customFormat="false" ht="13.8" hidden="false" customHeight="false" outlineLevel="0" collapsed="false">
      <c r="AA2684" s="7" t="n">
        <f aca="false">AA2683+1</f>
        <v>43590</v>
      </c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</row>
    <row r="2685" customFormat="false" ht="13.8" hidden="false" customHeight="false" outlineLevel="0" collapsed="false">
      <c r="AA2685" s="7" t="n">
        <f aca="false">AA2684+1</f>
        <v>43591</v>
      </c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</row>
    <row r="2686" customFormat="false" ht="13.8" hidden="false" customHeight="false" outlineLevel="0" collapsed="false">
      <c r="AA2686" s="7" t="n">
        <f aca="false">AA2685+1</f>
        <v>43592</v>
      </c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</row>
    <row r="2687" customFormat="false" ht="13.8" hidden="false" customHeight="false" outlineLevel="0" collapsed="false">
      <c r="AA2687" s="7" t="n">
        <f aca="false">AA2686+1</f>
        <v>43593</v>
      </c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</row>
    <row r="2688" customFormat="false" ht="13.8" hidden="false" customHeight="false" outlineLevel="0" collapsed="false">
      <c r="AA2688" s="7" t="n">
        <f aca="false">AA2687+1</f>
        <v>43594</v>
      </c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</row>
    <row r="2689" customFormat="false" ht="13.8" hidden="false" customHeight="false" outlineLevel="0" collapsed="false">
      <c r="AA2689" s="7" t="n">
        <f aca="false">AA2688+1</f>
        <v>43595</v>
      </c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</row>
    <row r="2690" customFormat="false" ht="13.8" hidden="false" customHeight="false" outlineLevel="0" collapsed="false">
      <c r="AA2690" s="7" t="n">
        <f aca="false">AA2689+1</f>
        <v>43596</v>
      </c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</row>
    <row r="2691" customFormat="false" ht="13.8" hidden="false" customHeight="false" outlineLevel="0" collapsed="false">
      <c r="AA2691" s="7" t="n">
        <f aca="false">AA2690+1</f>
        <v>43597</v>
      </c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</row>
    <row r="2692" customFormat="false" ht="13.8" hidden="false" customHeight="false" outlineLevel="0" collapsed="false">
      <c r="AA2692" s="7" t="n">
        <f aca="false">AA2691+1</f>
        <v>43598</v>
      </c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</row>
    <row r="2693" customFormat="false" ht="13.8" hidden="false" customHeight="false" outlineLevel="0" collapsed="false">
      <c r="AA2693" s="7" t="n">
        <f aca="false">AA2692+1</f>
        <v>43599</v>
      </c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</row>
    <row r="2694" customFormat="false" ht="13.8" hidden="false" customHeight="false" outlineLevel="0" collapsed="false">
      <c r="AA2694" s="7" t="n">
        <f aca="false">AA2693+1</f>
        <v>43600</v>
      </c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</row>
    <row r="2695" customFormat="false" ht="13.8" hidden="false" customHeight="false" outlineLevel="0" collapsed="false">
      <c r="AA2695" s="7" t="n">
        <f aca="false">AA2694+1</f>
        <v>43601</v>
      </c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</row>
    <row r="2696" customFormat="false" ht="13.8" hidden="false" customHeight="false" outlineLevel="0" collapsed="false">
      <c r="AA2696" s="7" t="n">
        <f aca="false">AA2695+1</f>
        <v>43602</v>
      </c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</row>
    <row r="2697" customFormat="false" ht="13.8" hidden="false" customHeight="false" outlineLevel="0" collapsed="false">
      <c r="AA2697" s="7" t="n">
        <f aca="false">AA2696+1</f>
        <v>43603</v>
      </c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</row>
    <row r="2698" customFormat="false" ht="13.8" hidden="false" customHeight="false" outlineLevel="0" collapsed="false">
      <c r="AA2698" s="7" t="n">
        <f aca="false">AA2697+1</f>
        <v>43604</v>
      </c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</row>
    <row r="2699" customFormat="false" ht="13.8" hidden="false" customHeight="false" outlineLevel="0" collapsed="false">
      <c r="AA2699" s="7" t="n">
        <f aca="false">AA2698+1</f>
        <v>43605</v>
      </c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</row>
    <row r="2700" customFormat="false" ht="13.8" hidden="false" customHeight="false" outlineLevel="0" collapsed="false">
      <c r="AA2700" s="7" t="n">
        <f aca="false">AA2699+1</f>
        <v>43606</v>
      </c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</row>
    <row r="2701" customFormat="false" ht="13.8" hidden="false" customHeight="false" outlineLevel="0" collapsed="false">
      <c r="AA2701" s="7" t="n">
        <f aca="false">AA2700+1</f>
        <v>43607</v>
      </c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</row>
    <row r="2702" customFormat="false" ht="13.8" hidden="false" customHeight="false" outlineLevel="0" collapsed="false">
      <c r="AA2702" s="7" t="n">
        <f aca="false">AA2701+1</f>
        <v>43608</v>
      </c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</row>
    <row r="2703" customFormat="false" ht="13.8" hidden="false" customHeight="false" outlineLevel="0" collapsed="false">
      <c r="AA2703" s="7" t="n">
        <f aca="false">AA2702+1</f>
        <v>43609</v>
      </c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</row>
    <row r="2704" customFormat="false" ht="13.8" hidden="false" customHeight="false" outlineLevel="0" collapsed="false">
      <c r="AA2704" s="7" t="n">
        <f aca="false">AA2703+1</f>
        <v>43610</v>
      </c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</row>
    <row r="2705" customFormat="false" ht="13.8" hidden="false" customHeight="false" outlineLevel="0" collapsed="false">
      <c r="AA2705" s="7" t="n">
        <f aca="false">AA2704+1</f>
        <v>43611</v>
      </c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</row>
    <row r="2706" customFormat="false" ht="13.8" hidden="false" customHeight="false" outlineLevel="0" collapsed="false">
      <c r="AA2706" s="7" t="n">
        <f aca="false">AA2705+1</f>
        <v>43612</v>
      </c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</row>
    <row r="2707" customFormat="false" ht="13.8" hidden="false" customHeight="false" outlineLevel="0" collapsed="false">
      <c r="AA2707" s="7" t="n">
        <f aca="false">AA2706+1</f>
        <v>43613</v>
      </c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</row>
    <row r="2708" customFormat="false" ht="13.8" hidden="false" customHeight="false" outlineLevel="0" collapsed="false">
      <c r="AA2708" s="7" t="n">
        <f aca="false">AA2707+1</f>
        <v>43614</v>
      </c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</row>
    <row r="2709" customFormat="false" ht="13.8" hidden="false" customHeight="false" outlineLevel="0" collapsed="false">
      <c r="AA2709" s="7" t="n">
        <f aca="false">AA2708+1</f>
        <v>43615</v>
      </c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</row>
    <row r="2710" customFormat="false" ht="13.8" hidden="false" customHeight="false" outlineLevel="0" collapsed="false">
      <c r="AA2710" s="7" t="n">
        <f aca="false">AA2709+1</f>
        <v>43616</v>
      </c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</row>
    <row r="2711" customFormat="false" ht="13.8" hidden="false" customHeight="false" outlineLevel="0" collapsed="false">
      <c r="AA2711" s="7" t="n">
        <f aca="false">AA2710+1</f>
        <v>43617</v>
      </c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</row>
    <row r="2712" customFormat="false" ht="13.8" hidden="false" customHeight="false" outlineLevel="0" collapsed="false">
      <c r="AA2712" s="7" t="n">
        <f aca="false">AA2711+1</f>
        <v>43618</v>
      </c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</row>
    <row r="2713" customFormat="false" ht="13.8" hidden="false" customHeight="false" outlineLevel="0" collapsed="false">
      <c r="AA2713" s="7" t="n">
        <f aca="false">AA2712+1</f>
        <v>43619</v>
      </c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</row>
    <row r="2714" customFormat="false" ht="13.8" hidden="false" customHeight="false" outlineLevel="0" collapsed="false">
      <c r="AA2714" s="7" t="n">
        <f aca="false">AA2713+1</f>
        <v>43620</v>
      </c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</row>
    <row r="2715" customFormat="false" ht="13.8" hidden="false" customHeight="false" outlineLevel="0" collapsed="false">
      <c r="AA2715" s="7" t="n">
        <f aca="false">AA2714+1</f>
        <v>43621</v>
      </c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</row>
    <row r="2716" customFormat="false" ht="13.8" hidden="false" customHeight="false" outlineLevel="0" collapsed="false">
      <c r="AA2716" s="7" t="n">
        <f aca="false">AA2715+1</f>
        <v>43622</v>
      </c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</row>
    <row r="2717" customFormat="false" ht="13.8" hidden="false" customHeight="false" outlineLevel="0" collapsed="false">
      <c r="AA2717" s="7" t="n">
        <f aca="false">AA2716+1</f>
        <v>43623</v>
      </c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</row>
    <row r="2718" customFormat="false" ht="13.8" hidden="false" customHeight="false" outlineLevel="0" collapsed="false">
      <c r="AA2718" s="7" t="n">
        <f aca="false">AA2717+1</f>
        <v>43624</v>
      </c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</row>
    <row r="2719" customFormat="false" ht="13.8" hidden="false" customHeight="false" outlineLevel="0" collapsed="false">
      <c r="AA2719" s="7" t="n">
        <f aca="false">AA2718+1</f>
        <v>43625</v>
      </c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</row>
    <row r="2720" customFormat="false" ht="13.8" hidden="false" customHeight="false" outlineLevel="0" collapsed="false">
      <c r="AA2720" s="7" t="n">
        <f aca="false">AA2719+1</f>
        <v>43626</v>
      </c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</row>
    <row r="2721" customFormat="false" ht="13.8" hidden="false" customHeight="false" outlineLevel="0" collapsed="false">
      <c r="AA2721" s="7" t="n">
        <f aca="false">AA2720+1</f>
        <v>43627</v>
      </c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</row>
    <row r="2722" customFormat="false" ht="13.8" hidden="false" customHeight="false" outlineLevel="0" collapsed="false">
      <c r="AA2722" s="7" t="n">
        <f aca="false">AA2721+1</f>
        <v>43628</v>
      </c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</row>
    <row r="2723" customFormat="false" ht="13.8" hidden="false" customHeight="false" outlineLevel="0" collapsed="false">
      <c r="AA2723" s="7" t="n">
        <f aca="false">AA2722+1</f>
        <v>43629</v>
      </c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</row>
    <row r="2724" customFormat="false" ht="13.8" hidden="false" customHeight="false" outlineLevel="0" collapsed="false">
      <c r="AA2724" s="7" t="n">
        <f aca="false">AA2723+1</f>
        <v>43630</v>
      </c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</row>
    <row r="2725" customFormat="false" ht="13.8" hidden="false" customHeight="false" outlineLevel="0" collapsed="false">
      <c r="AA2725" s="7" t="n">
        <f aca="false">AA2724+1</f>
        <v>43631</v>
      </c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</row>
    <row r="2726" customFormat="false" ht="13.8" hidden="false" customHeight="false" outlineLevel="0" collapsed="false">
      <c r="AA2726" s="7" t="n">
        <f aca="false">AA2725+1</f>
        <v>43632</v>
      </c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</row>
    <row r="2727" customFormat="false" ht="13.8" hidden="false" customHeight="false" outlineLevel="0" collapsed="false">
      <c r="AA2727" s="7" t="n">
        <f aca="false">AA2726+1</f>
        <v>43633</v>
      </c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</row>
    <row r="2728" customFormat="false" ht="13.8" hidden="false" customHeight="false" outlineLevel="0" collapsed="false">
      <c r="AA2728" s="7" t="n">
        <f aca="false">AA2727+1</f>
        <v>43634</v>
      </c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</row>
    <row r="2729" customFormat="false" ht="13.8" hidden="false" customHeight="false" outlineLevel="0" collapsed="false">
      <c r="AA2729" s="7" t="n">
        <f aca="false">AA2728+1</f>
        <v>43635</v>
      </c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</row>
    <row r="2730" customFormat="false" ht="13.8" hidden="false" customHeight="false" outlineLevel="0" collapsed="false">
      <c r="AA2730" s="7" t="n">
        <f aca="false">AA2729+1</f>
        <v>43636</v>
      </c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</row>
    <row r="2731" customFormat="false" ht="13.8" hidden="false" customHeight="false" outlineLevel="0" collapsed="false">
      <c r="AA2731" s="7" t="n">
        <f aca="false">AA2730+1</f>
        <v>43637</v>
      </c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</row>
    <row r="2732" customFormat="false" ht="13.8" hidden="false" customHeight="false" outlineLevel="0" collapsed="false">
      <c r="AA2732" s="7" t="n">
        <f aca="false">AA2731+1</f>
        <v>43638</v>
      </c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</row>
    <row r="2733" customFormat="false" ht="13.8" hidden="false" customHeight="false" outlineLevel="0" collapsed="false">
      <c r="AA2733" s="7" t="n">
        <f aca="false">AA2732+1</f>
        <v>43639</v>
      </c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</row>
    <row r="2734" customFormat="false" ht="13.8" hidden="false" customHeight="false" outlineLevel="0" collapsed="false">
      <c r="AA2734" s="7" t="n">
        <f aca="false">AA2733+1</f>
        <v>43640</v>
      </c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</row>
    <row r="2735" customFormat="false" ht="13.8" hidden="false" customHeight="false" outlineLevel="0" collapsed="false">
      <c r="AA2735" s="7" t="n">
        <f aca="false">AA2734+1</f>
        <v>43641</v>
      </c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</row>
    <row r="2736" customFormat="false" ht="13.8" hidden="false" customHeight="false" outlineLevel="0" collapsed="false">
      <c r="AA2736" s="7" t="n">
        <f aca="false">AA2735+1</f>
        <v>43642</v>
      </c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</row>
    <row r="2737" customFormat="false" ht="13.8" hidden="false" customHeight="false" outlineLevel="0" collapsed="false">
      <c r="AA2737" s="7" t="n">
        <f aca="false">AA2736+1</f>
        <v>43643</v>
      </c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</row>
    <row r="2738" customFormat="false" ht="13.8" hidden="false" customHeight="false" outlineLevel="0" collapsed="false">
      <c r="AA2738" s="7" t="n">
        <f aca="false">AA2737+1</f>
        <v>43644</v>
      </c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</row>
    <row r="2739" customFormat="false" ht="13.8" hidden="false" customHeight="false" outlineLevel="0" collapsed="false">
      <c r="AA2739" s="7" t="n">
        <f aca="false">AA2738+1</f>
        <v>43645</v>
      </c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</row>
    <row r="2740" customFormat="false" ht="13.8" hidden="false" customHeight="false" outlineLevel="0" collapsed="false">
      <c r="AA2740" s="7" t="n">
        <f aca="false">AA2739+1</f>
        <v>43646</v>
      </c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</row>
    <row r="2741" customFormat="false" ht="13.8" hidden="false" customHeight="false" outlineLevel="0" collapsed="false">
      <c r="AA2741" s="7" t="n">
        <f aca="false">AA2740+1</f>
        <v>43647</v>
      </c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</row>
    <row r="2742" customFormat="false" ht="13.8" hidden="false" customHeight="false" outlineLevel="0" collapsed="false">
      <c r="AA2742" s="7" t="n">
        <f aca="false">AA2741+1</f>
        <v>43648</v>
      </c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</row>
    <row r="2743" customFormat="false" ht="13.8" hidden="false" customHeight="false" outlineLevel="0" collapsed="false">
      <c r="AA2743" s="7" t="n">
        <f aca="false">AA2742+1</f>
        <v>43649</v>
      </c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</row>
    <row r="2744" customFormat="false" ht="13.8" hidden="false" customHeight="false" outlineLevel="0" collapsed="false">
      <c r="AA2744" s="7" t="n">
        <f aca="false">AA2743+1</f>
        <v>43650</v>
      </c>
      <c r="AB2744" s="14"/>
      <c r="AC2744" s="14"/>
      <c r="AD2744" s="14"/>
      <c r="AE2744" s="14"/>
      <c r="AF2744" s="14"/>
      <c r="AG2744" s="14"/>
      <c r="AH2744" s="14"/>
      <c r="AI2744" s="14"/>
      <c r="AJ2744" s="14"/>
      <c r="AK2744" s="14"/>
      <c r="AL2744" s="14"/>
      <c r="AM2744" s="14"/>
    </row>
    <row r="2745" customFormat="false" ht="13.8" hidden="false" customHeight="false" outlineLevel="0" collapsed="false">
      <c r="AA2745" s="7" t="n">
        <f aca="false">AA2744+1</f>
        <v>43651</v>
      </c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</row>
    <row r="2746" customFormat="false" ht="13.8" hidden="false" customHeight="false" outlineLevel="0" collapsed="false">
      <c r="AA2746" s="7" t="n">
        <f aca="false">AA2745+1</f>
        <v>43652</v>
      </c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</row>
    <row r="2747" customFormat="false" ht="13.8" hidden="false" customHeight="false" outlineLevel="0" collapsed="false">
      <c r="AA2747" s="7" t="n">
        <f aca="false">AA2746+1</f>
        <v>43653</v>
      </c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</row>
    <row r="2748" customFormat="false" ht="13.8" hidden="false" customHeight="false" outlineLevel="0" collapsed="false">
      <c r="AA2748" s="7" t="n">
        <f aca="false">AA2747+1</f>
        <v>43654</v>
      </c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</row>
    <row r="2749" customFormat="false" ht="13.8" hidden="false" customHeight="false" outlineLevel="0" collapsed="false">
      <c r="AA2749" s="7" t="n">
        <f aca="false">AA2748+1</f>
        <v>43655</v>
      </c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</row>
    <row r="2750" customFormat="false" ht="13.8" hidden="false" customHeight="false" outlineLevel="0" collapsed="false">
      <c r="AA2750" s="7" t="n">
        <f aca="false">AA2749+1</f>
        <v>43656</v>
      </c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</row>
    <row r="2751" customFormat="false" ht="13.8" hidden="false" customHeight="false" outlineLevel="0" collapsed="false">
      <c r="AA2751" s="7" t="n">
        <f aca="false">AA2750+1</f>
        <v>43657</v>
      </c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</row>
    <row r="2752" customFormat="false" ht="13.8" hidden="false" customHeight="false" outlineLevel="0" collapsed="false">
      <c r="AA2752" s="7" t="n">
        <f aca="false">AA2751+1</f>
        <v>43658</v>
      </c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</row>
    <row r="2753" customFormat="false" ht="13.8" hidden="false" customHeight="false" outlineLevel="0" collapsed="false">
      <c r="AA2753" s="7" t="n">
        <f aca="false">AA2752+1</f>
        <v>43659</v>
      </c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</row>
    <row r="2754" customFormat="false" ht="13.8" hidden="false" customHeight="false" outlineLevel="0" collapsed="false">
      <c r="AA2754" s="7" t="n">
        <f aca="false">AA2753+1</f>
        <v>43660</v>
      </c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</row>
    <row r="2755" customFormat="false" ht="13.8" hidden="false" customHeight="false" outlineLevel="0" collapsed="false">
      <c r="AA2755" s="7" t="n">
        <f aca="false">AA2754+1</f>
        <v>43661</v>
      </c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</row>
    <row r="2756" customFormat="false" ht="13.8" hidden="false" customHeight="false" outlineLevel="0" collapsed="false">
      <c r="AA2756" s="7" t="n">
        <f aca="false">AA2755+1</f>
        <v>43662</v>
      </c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</row>
    <row r="2757" customFormat="false" ht="13.8" hidden="false" customHeight="false" outlineLevel="0" collapsed="false">
      <c r="AA2757" s="7" t="n">
        <f aca="false">AA2756+1</f>
        <v>43663</v>
      </c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</row>
    <row r="2758" customFormat="false" ht="13.8" hidden="false" customHeight="false" outlineLevel="0" collapsed="false">
      <c r="AA2758" s="7" t="n">
        <f aca="false">AA2757+1</f>
        <v>43664</v>
      </c>
      <c r="AB2758" s="14"/>
      <c r="AC2758" s="14"/>
      <c r="AD2758" s="14"/>
      <c r="AE2758" s="14"/>
      <c r="AF2758" s="14"/>
      <c r="AG2758" s="14"/>
      <c r="AH2758" s="14"/>
      <c r="AI2758" s="14"/>
      <c r="AJ2758" s="14"/>
      <c r="AK2758" s="14"/>
      <c r="AL2758" s="14"/>
      <c r="AM2758" s="14"/>
    </row>
    <row r="2759" customFormat="false" ht="13.8" hidden="false" customHeight="false" outlineLevel="0" collapsed="false">
      <c r="AA2759" s="7" t="n">
        <f aca="false">AA2758+1</f>
        <v>43665</v>
      </c>
      <c r="AB2759" s="14"/>
      <c r="AC2759" s="14"/>
      <c r="AD2759" s="14"/>
      <c r="AE2759" s="14"/>
      <c r="AF2759" s="14"/>
      <c r="AG2759" s="14"/>
      <c r="AH2759" s="14"/>
      <c r="AI2759" s="14"/>
      <c r="AJ2759" s="14"/>
      <c r="AK2759" s="14"/>
      <c r="AL2759" s="14"/>
      <c r="AM2759" s="14"/>
    </row>
    <row r="2760" customFormat="false" ht="13.8" hidden="false" customHeight="false" outlineLevel="0" collapsed="false">
      <c r="AA2760" s="7" t="n">
        <f aca="false">AA2759+1</f>
        <v>43666</v>
      </c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</row>
    <row r="2761" customFormat="false" ht="13.8" hidden="false" customHeight="false" outlineLevel="0" collapsed="false">
      <c r="AA2761" s="7" t="n">
        <f aca="false">AA2760+1</f>
        <v>43667</v>
      </c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</row>
    <row r="2762" customFormat="false" ht="13.8" hidden="false" customHeight="false" outlineLevel="0" collapsed="false">
      <c r="AA2762" s="7" t="n">
        <f aca="false">AA2761+1</f>
        <v>43668</v>
      </c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</row>
    <row r="2763" customFormat="false" ht="13.8" hidden="false" customHeight="false" outlineLevel="0" collapsed="false">
      <c r="AA2763" s="7" t="n">
        <f aca="false">AA2762+1</f>
        <v>43669</v>
      </c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</row>
    <row r="2764" customFormat="false" ht="13.8" hidden="false" customHeight="false" outlineLevel="0" collapsed="false">
      <c r="AA2764" s="7" t="n">
        <f aca="false">AA2763+1</f>
        <v>43670</v>
      </c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</row>
    <row r="2765" customFormat="false" ht="13.8" hidden="false" customHeight="false" outlineLevel="0" collapsed="false">
      <c r="AA2765" s="7" t="n">
        <f aca="false">AA2764+1</f>
        <v>43671</v>
      </c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</row>
    <row r="2766" customFormat="false" ht="13.8" hidden="false" customHeight="false" outlineLevel="0" collapsed="false">
      <c r="AA2766" s="7" t="n">
        <f aca="false">AA2765+1</f>
        <v>43672</v>
      </c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</row>
    <row r="2767" customFormat="false" ht="13.8" hidden="false" customHeight="false" outlineLevel="0" collapsed="false">
      <c r="AA2767" s="7" t="n">
        <f aca="false">AA2766+1</f>
        <v>43673</v>
      </c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</row>
    <row r="2768" customFormat="false" ht="13.8" hidden="false" customHeight="false" outlineLevel="0" collapsed="false">
      <c r="AA2768" s="7" t="n">
        <f aca="false">AA2767+1</f>
        <v>43674</v>
      </c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</row>
    <row r="2769" customFormat="false" ht="13.8" hidden="false" customHeight="false" outlineLevel="0" collapsed="false">
      <c r="AA2769" s="7" t="n">
        <f aca="false">AA2768+1</f>
        <v>43675</v>
      </c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</row>
    <row r="2770" customFormat="false" ht="13.8" hidden="false" customHeight="false" outlineLevel="0" collapsed="false">
      <c r="AA2770" s="7" t="n">
        <f aca="false">AA2769+1</f>
        <v>43676</v>
      </c>
      <c r="AB2770" s="14"/>
      <c r="AC2770" s="14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</row>
    <row r="2771" customFormat="false" ht="13.8" hidden="false" customHeight="false" outlineLevel="0" collapsed="false">
      <c r="AA2771" s="7" t="n">
        <f aca="false">AA2770+1</f>
        <v>43677</v>
      </c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</row>
    <row r="2772" customFormat="false" ht="13.8" hidden="false" customHeight="false" outlineLevel="0" collapsed="false">
      <c r="AA2772" s="7" t="n">
        <f aca="false">AA2771+1</f>
        <v>43678</v>
      </c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</row>
    <row r="2773" customFormat="false" ht="13.8" hidden="false" customHeight="false" outlineLevel="0" collapsed="false">
      <c r="AA2773" s="7" t="n">
        <f aca="false">AA2772+1</f>
        <v>43679</v>
      </c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</row>
    <row r="2774" customFormat="false" ht="13.8" hidden="false" customHeight="false" outlineLevel="0" collapsed="false">
      <c r="AA2774" s="7" t="n">
        <f aca="false">AA2773+1</f>
        <v>43680</v>
      </c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</row>
    <row r="2775" customFormat="false" ht="13.8" hidden="false" customHeight="false" outlineLevel="0" collapsed="false">
      <c r="AA2775" s="7" t="n">
        <f aca="false">AA2774+1</f>
        <v>43681</v>
      </c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</row>
    <row r="2776" customFormat="false" ht="13.8" hidden="false" customHeight="false" outlineLevel="0" collapsed="false">
      <c r="AA2776" s="7" t="n">
        <f aca="false">AA2775+1</f>
        <v>43682</v>
      </c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</row>
    <row r="2777" customFormat="false" ht="13.8" hidden="false" customHeight="false" outlineLevel="0" collapsed="false">
      <c r="AA2777" s="7" t="n">
        <f aca="false">AA2776+1</f>
        <v>43683</v>
      </c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</row>
    <row r="2778" customFormat="false" ht="13.8" hidden="false" customHeight="false" outlineLevel="0" collapsed="false">
      <c r="AA2778" s="7" t="n">
        <f aca="false">AA2777+1</f>
        <v>43684</v>
      </c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</row>
    <row r="2779" customFormat="false" ht="13.8" hidden="false" customHeight="false" outlineLevel="0" collapsed="false">
      <c r="AA2779" s="7" t="n">
        <f aca="false">AA2778+1</f>
        <v>43685</v>
      </c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</row>
    <row r="2780" customFormat="false" ht="13.8" hidden="false" customHeight="false" outlineLevel="0" collapsed="false">
      <c r="AA2780" s="7" t="n">
        <f aca="false">AA2779+1</f>
        <v>43686</v>
      </c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</row>
    <row r="2781" customFormat="false" ht="13.8" hidden="false" customHeight="false" outlineLevel="0" collapsed="false">
      <c r="AA2781" s="7" t="n">
        <f aca="false">AA2780+1</f>
        <v>43687</v>
      </c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</row>
    <row r="2782" customFormat="false" ht="13.8" hidden="false" customHeight="false" outlineLevel="0" collapsed="false">
      <c r="AA2782" s="7" t="n">
        <f aca="false">AA2781+1</f>
        <v>43688</v>
      </c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</row>
    <row r="2783" customFormat="false" ht="13.8" hidden="false" customHeight="false" outlineLevel="0" collapsed="false">
      <c r="AA2783" s="7" t="n">
        <f aca="false">AA2782+1</f>
        <v>43689</v>
      </c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</row>
    <row r="2784" customFormat="false" ht="13.8" hidden="false" customHeight="false" outlineLevel="0" collapsed="false">
      <c r="AA2784" s="7" t="n">
        <f aca="false">AA2783+1</f>
        <v>43690</v>
      </c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</row>
    <row r="2785" customFormat="false" ht="13.8" hidden="false" customHeight="false" outlineLevel="0" collapsed="false">
      <c r="AA2785" s="7" t="n">
        <f aca="false">AA2784+1</f>
        <v>43691</v>
      </c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</row>
    <row r="2786" customFormat="false" ht="13.8" hidden="false" customHeight="false" outlineLevel="0" collapsed="false">
      <c r="AA2786" s="7" t="n">
        <f aca="false">AA2785+1</f>
        <v>43692</v>
      </c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</row>
    <row r="2787" customFormat="false" ht="13.8" hidden="false" customHeight="false" outlineLevel="0" collapsed="false">
      <c r="AA2787" s="7" t="n">
        <f aca="false">AA2786+1</f>
        <v>43693</v>
      </c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</row>
    <row r="2788" customFormat="false" ht="13.8" hidden="false" customHeight="false" outlineLevel="0" collapsed="false">
      <c r="AA2788" s="7" t="n">
        <f aca="false">AA2787+1</f>
        <v>43694</v>
      </c>
      <c r="AB2788" s="14"/>
      <c r="AC2788" s="14"/>
      <c r="AD2788" s="14"/>
      <c r="AE2788" s="14"/>
      <c r="AF2788" s="14"/>
      <c r="AG2788" s="14"/>
      <c r="AH2788" s="14"/>
      <c r="AI2788" s="14"/>
      <c r="AJ2788" s="14"/>
      <c r="AK2788" s="14"/>
      <c r="AL2788" s="14"/>
      <c r="AM2788" s="14"/>
    </row>
    <row r="2789" customFormat="false" ht="13.8" hidden="false" customHeight="false" outlineLevel="0" collapsed="false">
      <c r="AA2789" s="7" t="n">
        <f aca="false">AA2788+1</f>
        <v>43695</v>
      </c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</row>
    <row r="2790" customFormat="false" ht="13.8" hidden="false" customHeight="false" outlineLevel="0" collapsed="false">
      <c r="AA2790" s="7" t="n">
        <f aca="false">AA2789+1</f>
        <v>43696</v>
      </c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</row>
    <row r="2791" customFormat="false" ht="13.8" hidden="false" customHeight="false" outlineLevel="0" collapsed="false">
      <c r="AA2791" s="7" t="n">
        <f aca="false">AA2790+1</f>
        <v>43697</v>
      </c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</row>
    <row r="2792" customFormat="false" ht="13.8" hidden="false" customHeight="false" outlineLevel="0" collapsed="false">
      <c r="AA2792" s="7" t="n">
        <f aca="false">AA2791+1</f>
        <v>43698</v>
      </c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</row>
    <row r="2793" customFormat="false" ht="13.8" hidden="false" customHeight="false" outlineLevel="0" collapsed="false">
      <c r="AA2793" s="7" t="n">
        <f aca="false">AA2792+1</f>
        <v>43699</v>
      </c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</row>
    <row r="2794" customFormat="false" ht="13.8" hidden="false" customHeight="false" outlineLevel="0" collapsed="false">
      <c r="AA2794" s="7" t="n">
        <f aca="false">AA2793+1</f>
        <v>43700</v>
      </c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</row>
    <row r="2795" customFormat="false" ht="13.8" hidden="false" customHeight="false" outlineLevel="0" collapsed="false">
      <c r="AA2795" s="7" t="n">
        <f aca="false">AA2794+1</f>
        <v>43701</v>
      </c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</row>
    <row r="2796" customFormat="false" ht="13.8" hidden="false" customHeight="false" outlineLevel="0" collapsed="false">
      <c r="AA2796" s="7" t="n">
        <f aca="false">AA2795+1</f>
        <v>43702</v>
      </c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</row>
    <row r="2797" customFormat="false" ht="13.8" hidden="false" customHeight="false" outlineLevel="0" collapsed="false">
      <c r="AA2797" s="7" t="n">
        <f aca="false">AA2796+1</f>
        <v>43703</v>
      </c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</row>
    <row r="2798" customFormat="false" ht="13.8" hidden="false" customHeight="false" outlineLevel="0" collapsed="false">
      <c r="AA2798" s="7" t="n">
        <f aca="false">AA2797+1</f>
        <v>43704</v>
      </c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</row>
    <row r="2799" customFormat="false" ht="13.8" hidden="false" customHeight="false" outlineLevel="0" collapsed="false">
      <c r="AA2799" s="7" t="n">
        <f aca="false">AA2798+1</f>
        <v>43705</v>
      </c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</row>
    <row r="2800" customFormat="false" ht="13.8" hidden="false" customHeight="false" outlineLevel="0" collapsed="false">
      <c r="AA2800" s="7" t="n">
        <f aca="false">AA2799+1</f>
        <v>43706</v>
      </c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</row>
    <row r="2801" customFormat="false" ht="13.8" hidden="false" customHeight="false" outlineLevel="0" collapsed="false">
      <c r="AA2801" s="7" t="n">
        <f aca="false">AA2800+1</f>
        <v>43707</v>
      </c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</row>
    <row r="2802" customFormat="false" ht="13.8" hidden="false" customHeight="false" outlineLevel="0" collapsed="false">
      <c r="AA2802" s="7" t="n">
        <f aca="false">AA2801+1</f>
        <v>43708</v>
      </c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</row>
    <row r="2803" customFormat="false" ht="13.8" hidden="false" customHeight="false" outlineLevel="0" collapsed="false">
      <c r="AA2803" s="7" t="n">
        <f aca="false">AA2802+1</f>
        <v>43709</v>
      </c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</row>
    <row r="2804" customFormat="false" ht="13.8" hidden="false" customHeight="false" outlineLevel="0" collapsed="false">
      <c r="AA2804" s="7" t="n">
        <f aca="false">AA2803+1</f>
        <v>43710</v>
      </c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</row>
    <row r="2805" customFormat="false" ht="13.8" hidden="false" customHeight="false" outlineLevel="0" collapsed="false">
      <c r="AA2805" s="7" t="n">
        <f aca="false">AA2804+1</f>
        <v>43711</v>
      </c>
      <c r="AB2805" s="14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</row>
    <row r="2806" customFormat="false" ht="13.8" hidden="false" customHeight="false" outlineLevel="0" collapsed="false">
      <c r="AA2806" s="7" t="n">
        <f aca="false">AA2805+1</f>
        <v>43712</v>
      </c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</row>
    <row r="2807" customFormat="false" ht="13.8" hidden="false" customHeight="false" outlineLevel="0" collapsed="false">
      <c r="AA2807" s="7" t="n">
        <f aca="false">AA2806+1</f>
        <v>43713</v>
      </c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</row>
    <row r="2808" customFormat="false" ht="13.8" hidden="false" customHeight="false" outlineLevel="0" collapsed="false">
      <c r="AA2808" s="7" t="n">
        <f aca="false">AA2807+1</f>
        <v>43714</v>
      </c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</row>
    <row r="2809" customFormat="false" ht="13.8" hidden="false" customHeight="false" outlineLevel="0" collapsed="false">
      <c r="AA2809" s="7" t="n">
        <f aca="false">AA2808+1</f>
        <v>43715</v>
      </c>
      <c r="AB2809" s="14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</row>
    <row r="2810" customFormat="false" ht="13.8" hidden="false" customHeight="false" outlineLevel="0" collapsed="false">
      <c r="AA2810" s="7" t="n">
        <f aca="false">AA2809+1</f>
        <v>43716</v>
      </c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</row>
    <row r="2811" customFormat="false" ht="13.8" hidden="false" customHeight="false" outlineLevel="0" collapsed="false">
      <c r="AA2811" s="7" t="n">
        <f aca="false">AA2810+1</f>
        <v>43717</v>
      </c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</row>
    <row r="2812" customFormat="false" ht="13.8" hidden="false" customHeight="false" outlineLevel="0" collapsed="false">
      <c r="AA2812" s="7" t="n">
        <f aca="false">AA2811+1</f>
        <v>43718</v>
      </c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</row>
    <row r="2813" customFormat="false" ht="13.8" hidden="false" customHeight="false" outlineLevel="0" collapsed="false">
      <c r="AA2813" s="7" t="n">
        <f aca="false">AA2812+1</f>
        <v>43719</v>
      </c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</row>
    <row r="2814" customFormat="false" ht="13.8" hidden="false" customHeight="false" outlineLevel="0" collapsed="false">
      <c r="AA2814" s="7" t="n">
        <f aca="false">AA2813+1</f>
        <v>43720</v>
      </c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</row>
    <row r="2815" customFormat="false" ht="13.8" hidden="false" customHeight="false" outlineLevel="0" collapsed="false">
      <c r="AA2815" s="7" t="n">
        <f aca="false">AA2814+1</f>
        <v>43721</v>
      </c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</row>
    <row r="2816" customFormat="false" ht="13.8" hidden="false" customHeight="false" outlineLevel="0" collapsed="false">
      <c r="AA2816" s="7" t="n">
        <f aca="false">AA2815+1</f>
        <v>43722</v>
      </c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</row>
    <row r="2817" customFormat="false" ht="13.8" hidden="false" customHeight="false" outlineLevel="0" collapsed="false">
      <c r="AA2817" s="7" t="n">
        <f aca="false">AA2816+1</f>
        <v>43723</v>
      </c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</row>
    <row r="2818" customFormat="false" ht="13.8" hidden="false" customHeight="false" outlineLevel="0" collapsed="false">
      <c r="AA2818" s="7" t="n">
        <f aca="false">AA2817+1</f>
        <v>43724</v>
      </c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</row>
    <row r="2819" customFormat="false" ht="13.8" hidden="false" customHeight="false" outlineLevel="0" collapsed="false">
      <c r="AA2819" s="7" t="n">
        <f aca="false">AA2818+1</f>
        <v>43725</v>
      </c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</row>
    <row r="2820" customFormat="false" ht="13.8" hidden="false" customHeight="false" outlineLevel="0" collapsed="false">
      <c r="AA2820" s="7" t="n">
        <f aca="false">AA2819+1</f>
        <v>43726</v>
      </c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</row>
    <row r="2821" customFormat="false" ht="13.8" hidden="false" customHeight="false" outlineLevel="0" collapsed="false">
      <c r="AA2821" s="7" t="n">
        <f aca="false">AA2820+1</f>
        <v>43727</v>
      </c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</row>
    <row r="2822" customFormat="false" ht="13.8" hidden="false" customHeight="false" outlineLevel="0" collapsed="false">
      <c r="AA2822" s="7" t="n">
        <f aca="false">AA2821+1</f>
        <v>43728</v>
      </c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</row>
    <row r="2823" customFormat="false" ht="13.8" hidden="false" customHeight="false" outlineLevel="0" collapsed="false">
      <c r="AA2823" s="7" t="n">
        <f aca="false">AA2822+1</f>
        <v>43729</v>
      </c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</row>
    <row r="2824" customFormat="false" ht="13.8" hidden="false" customHeight="false" outlineLevel="0" collapsed="false">
      <c r="AA2824" s="7" t="n">
        <f aca="false">AA2823+1</f>
        <v>43730</v>
      </c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</row>
    <row r="2825" customFormat="false" ht="13.8" hidden="false" customHeight="false" outlineLevel="0" collapsed="false">
      <c r="AA2825" s="7" t="n">
        <f aca="false">AA2824+1</f>
        <v>43731</v>
      </c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</row>
    <row r="2826" customFormat="false" ht="13.8" hidden="false" customHeight="false" outlineLevel="0" collapsed="false">
      <c r="AA2826" s="7" t="n">
        <f aca="false">AA2825+1</f>
        <v>43732</v>
      </c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</row>
    <row r="2827" customFormat="false" ht="13.8" hidden="false" customHeight="false" outlineLevel="0" collapsed="false">
      <c r="AA2827" s="7" t="n">
        <f aca="false">AA2826+1</f>
        <v>43733</v>
      </c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</row>
    <row r="2828" customFormat="false" ht="13.8" hidden="false" customHeight="false" outlineLevel="0" collapsed="false">
      <c r="AA2828" s="7" t="n">
        <f aca="false">AA2827+1</f>
        <v>43734</v>
      </c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</row>
    <row r="2829" customFormat="false" ht="13.8" hidden="false" customHeight="false" outlineLevel="0" collapsed="false">
      <c r="AA2829" s="7" t="n">
        <f aca="false">AA2828+1</f>
        <v>43735</v>
      </c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</row>
    <row r="2830" customFormat="false" ht="13.8" hidden="false" customHeight="false" outlineLevel="0" collapsed="false">
      <c r="AA2830" s="7" t="n">
        <f aca="false">AA2829+1</f>
        <v>43736</v>
      </c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</row>
    <row r="2831" customFormat="false" ht="13.8" hidden="false" customHeight="false" outlineLevel="0" collapsed="false">
      <c r="AA2831" s="7" t="n">
        <f aca="false">AA2830+1</f>
        <v>43737</v>
      </c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</row>
    <row r="2832" customFormat="false" ht="13.8" hidden="false" customHeight="false" outlineLevel="0" collapsed="false">
      <c r="AA2832" s="7" t="n">
        <f aca="false">AA2831+1</f>
        <v>43738</v>
      </c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</row>
    <row r="2833" customFormat="false" ht="13.8" hidden="false" customHeight="false" outlineLevel="0" collapsed="false">
      <c r="AA2833" s="7" t="n">
        <f aca="false">AA2832+1</f>
        <v>43739</v>
      </c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</row>
    <row r="2834" customFormat="false" ht="13.8" hidden="false" customHeight="false" outlineLevel="0" collapsed="false">
      <c r="AA2834" s="7" t="n">
        <f aca="false">AA2833+1</f>
        <v>43740</v>
      </c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</row>
    <row r="2835" customFormat="false" ht="13.8" hidden="false" customHeight="false" outlineLevel="0" collapsed="false">
      <c r="AA2835" s="7" t="n">
        <f aca="false">AA2834+1</f>
        <v>43741</v>
      </c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</row>
    <row r="2836" customFormat="false" ht="13.8" hidden="false" customHeight="false" outlineLevel="0" collapsed="false">
      <c r="AA2836" s="7" t="n">
        <f aca="false">AA2835+1</f>
        <v>43742</v>
      </c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</row>
    <row r="2837" customFormat="false" ht="13.8" hidden="false" customHeight="false" outlineLevel="0" collapsed="false">
      <c r="AA2837" s="7" t="n">
        <f aca="false">AA2836+1</f>
        <v>43743</v>
      </c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</row>
    <row r="2838" customFormat="false" ht="13.8" hidden="false" customHeight="false" outlineLevel="0" collapsed="false">
      <c r="AA2838" s="7" t="n">
        <f aca="false">AA2837+1</f>
        <v>43744</v>
      </c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</row>
    <row r="2839" customFormat="false" ht="13.8" hidden="false" customHeight="false" outlineLevel="0" collapsed="false">
      <c r="AA2839" s="7" t="n">
        <f aca="false">AA2838+1</f>
        <v>43745</v>
      </c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</row>
    <row r="2840" customFormat="false" ht="13.8" hidden="false" customHeight="false" outlineLevel="0" collapsed="false">
      <c r="AA2840" s="7" t="n">
        <f aca="false">AA2839+1</f>
        <v>43746</v>
      </c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</row>
    <row r="2841" customFormat="false" ht="13.8" hidden="false" customHeight="false" outlineLevel="0" collapsed="false">
      <c r="AA2841" s="7" t="n">
        <f aca="false">AA2840+1</f>
        <v>43747</v>
      </c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</row>
    <row r="2842" customFormat="false" ht="13.8" hidden="false" customHeight="false" outlineLevel="0" collapsed="false">
      <c r="AA2842" s="7" t="n">
        <f aca="false">AA2841+1</f>
        <v>43748</v>
      </c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</row>
    <row r="2843" customFormat="false" ht="13.8" hidden="false" customHeight="false" outlineLevel="0" collapsed="false">
      <c r="AA2843" s="7" t="n">
        <f aca="false">AA2842+1</f>
        <v>43749</v>
      </c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</row>
    <row r="2844" customFormat="false" ht="13.8" hidden="false" customHeight="false" outlineLevel="0" collapsed="false">
      <c r="AA2844" s="7" t="n">
        <f aca="false">AA2843+1</f>
        <v>43750</v>
      </c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</row>
    <row r="2845" customFormat="false" ht="13.8" hidden="false" customHeight="false" outlineLevel="0" collapsed="false">
      <c r="AA2845" s="7" t="n">
        <f aca="false">AA2844+1</f>
        <v>43751</v>
      </c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</row>
    <row r="2846" customFormat="false" ht="13.8" hidden="false" customHeight="false" outlineLevel="0" collapsed="false">
      <c r="AA2846" s="7" t="n">
        <f aca="false">AA2845+1</f>
        <v>43752</v>
      </c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</row>
    <row r="2847" customFormat="false" ht="13.8" hidden="false" customHeight="false" outlineLevel="0" collapsed="false">
      <c r="AA2847" s="7" t="n">
        <f aca="false">AA2846+1</f>
        <v>43753</v>
      </c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</row>
    <row r="2848" customFormat="false" ht="13.8" hidden="false" customHeight="false" outlineLevel="0" collapsed="false">
      <c r="AA2848" s="7" t="n">
        <f aca="false">AA2847+1</f>
        <v>43754</v>
      </c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</row>
    <row r="2849" customFormat="false" ht="13.8" hidden="false" customHeight="false" outlineLevel="0" collapsed="false">
      <c r="AA2849" s="7" t="n">
        <f aca="false">AA2848+1</f>
        <v>43755</v>
      </c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</row>
    <row r="2850" customFormat="false" ht="13.8" hidden="false" customHeight="false" outlineLevel="0" collapsed="false">
      <c r="AA2850" s="7" t="n">
        <f aca="false">AA2849+1</f>
        <v>43756</v>
      </c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</row>
    <row r="2851" customFormat="false" ht="13.8" hidden="false" customHeight="false" outlineLevel="0" collapsed="false">
      <c r="AA2851" s="7" t="n">
        <f aca="false">AA2850+1</f>
        <v>43757</v>
      </c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</row>
    <row r="2852" customFormat="false" ht="13.8" hidden="false" customHeight="false" outlineLevel="0" collapsed="false">
      <c r="AA2852" s="7" t="n">
        <f aca="false">AA2851+1</f>
        <v>43758</v>
      </c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</row>
    <row r="2853" customFormat="false" ht="13.8" hidden="false" customHeight="false" outlineLevel="0" collapsed="false">
      <c r="AA2853" s="7" t="n">
        <f aca="false">AA2852+1</f>
        <v>43759</v>
      </c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</row>
    <row r="2854" customFormat="false" ht="13.8" hidden="false" customHeight="false" outlineLevel="0" collapsed="false">
      <c r="AA2854" s="7" t="n">
        <f aca="false">AA2853+1</f>
        <v>43760</v>
      </c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</row>
    <row r="2855" customFormat="false" ht="13.8" hidden="false" customHeight="false" outlineLevel="0" collapsed="false">
      <c r="AA2855" s="7" t="n">
        <f aca="false">AA2854+1</f>
        <v>43761</v>
      </c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</row>
    <row r="2856" customFormat="false" ht="13.8" hidden="false" customHeight="false" outlineLevel="0" collapsed="false">
      <c r="AA2856" s="7" t="n">
        <f aca="false">AA2855+1</f>
        <v>43762</v>
      </c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</row>
    <row r="2857" customFormat="false" ht="13.8" hidden="false" customHeight="false" outlineLevel="0" collapsed="false">
      <c r="AA2857" s="7" t="n">
        <f aca="false">AA2856+1</f>
        <v>43763</v>
      </c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</row>
    <row r="2858" customFormat="false" ht="13.8" hidden="false" customHeight="false" outlineLevel="0" collapsed="false">
      <c r="AA2858" s="7" t="n">
        <f aca="false">AA2857+1</f>
        <v>43764</v>
      </c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</row>
    <row r="2859" customFormat="false" ht="13.8" hidden="false" customHeight="false" outlineLevel="0" collapsed="false">
      <c r="AA2859" s="7" t="n">
        <f aca="false">AA2858+1</f>
        <v>43765</v>
      </c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</row>
    <row r="2860" customFormat="false" ht="13.8" hidden="false" customHeight="false" outlineLevel="0" collapsed="false">
      <c r="AA2860" s="7" t="n">
        <f aca="false">AA2859+1</f>
        <v>43766</v>
      </c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</row>
    <row r="2861" customFormat="false" ht="13.8" hidden="false" customHeight="false" outlineLevel="0" collapsed="false">
      <c r="AA2861" s="7" t="n">
        <f aca="false">AA2860+1</f>
        <v>43767</v>
      </c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</row>
    <row r="2862" customFormat="false" ht="13.8" hidden="false" customHeight="false" outlineLevel="0" collapsed="false">
      <c r="AA2862" s="7" t="n">
        <f aca="false">AA2861+1</f>
        <v>43768</v>
      </c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</row>
    <row r="2863" customFormat="false" ht="13.8" hidden="false" customHeight="false" outlineLevel="0" collapsed="false">
      <c r="AA2863" s="7" t="n">
        <f aca="false">AA2862+1</f>
        <v>43769</v>
      </c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</row>
    <row r="2864" customFormat="false" ht="13.8" hidden="false" customHeight="false" outlineLevel="0" collapsed="false">
      <c r="AA2864" s="7" t="n">
        <f aca="false">AA2863+1</f>
        <v>43770</v>
      </c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</row>
    <row r="2865" customFormat="false" ht="13.8" hidden="false" customHeight="false" outlineLevel="0" collapsed="false">
      <c r="AA2865" s="7" t="n">
        <f aca="false">AA2864+1</f>
        <v>43771</v>
      </c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</row>
    <row r="2866" customFormat="false" ht="13.8" hidden="false" customHeight="false" outlineLevel="0" collapsed="false">
      <c r="AA2866" s="7" t="n">
        <f aca="false">AA2865+1</f>
        <v>43772</v>
      </c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</row>
    <row r="2867" customFormat="false" ht="13.8" hidden="false" customHeight="false" outlineLevel="0" collapsed="false">
      <c r="AA2867" s="7" t="n">
        <f aca="false">AA2866+1</f>
        <v>43773</v>
      </c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</row>
    <row r="2868" customFormat="false" ht="13.8" hidden="false" customHeight="false" outlineLevel="0" collapsed="false">
      <c r="AA2868" s="7" t="n">
        <f aca="false">AA2867+1</f>
        <v>43774</v>
      </c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</row>
    <row r="2869" customFormat="false" ht="13.8" hidden="false" customHeight="false" outlineLevel="0" collapsed="false">
      <c r="AA2869" s="7" t="n">
        <f aca="false">AA2868+1</f>
        <v>43775</v>
      </c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</row>
    <row r="2870" customFormat="false" ht="13.8" hidden="false" customHeight="false" outlineLevel="0" collapsed="false">
      <c r="AA2870" s="7" t="n">
        <f aca="false">AA2869+1</f>
        <v>43776</v>
      </c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</row>
    <row r="2871" customFormat="false" ht="13.8" hidden="false" customHeight="false" outlineLevel="0" collapsed="false">
      <c r="AA2871" s="7" t="n">
        <f aca="false">AA2870+1</f>
        <v>43777</v>
      </c>
      <c r="AB2871" s="14"/>
      <c r="AC2871" s="14"/>
      <c r="AD2871" s="14"/>
      <c r="AE2871" s="14"/>
      <c r="AF2871" s="14"/>
      <c r="AG2871" s="14"/>
      <c r="AH2871" s="14"/>
      <c r="AI2871" s="14"/>
      <c r="AJ2871" s="14"/>
      <c r="AK2871" s="14"/>
      <c r="AL2871" s="14"/>
      <c r="AM2871" s="14"/>
    </row>
    <row r="2872" customFormat="false" ht="13.8" hidden="false" customHeight="false" outlineLevel="0" collapsed="false">
      <c r="AA2872" s="7" t="n">
        <f aca="false">AA2871+1</f>
        <v>43778</v>
      </c>
      <c r="AB2872" s="14"/>
      <c r="AC2872" s="14"/>
      <c r="AD2872" s="14"/>
      <c r="AE2872" s="14"/>
      <c r="AF2872" s="14"/>
      <c r="AG2872" s="14"/>
      <c r="AH2872" s="14"/>
      <c r="AI2872" s="14"/>
      <c r="AJ2872" s="14"/>
      <c r="AK2872" s="14"/>
      <c r="AL2872" s="14"/>
      <c r="AM2872" s="14"/>
    </row>
    <row r="2873" customFormat="false" ht="13.8" hidden="false" customHeight="false" outlineLevel="0" collapsed="false">
      <c r="AA2873" s="7" t="n">
        <f aca="false">AA2872+1</f>
        <v>43779</v>
      </c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</row>
    <row r="2874" customFormat="false" ht="13.8" hidden="false" customHeight="false" outlineLevel="0" collapsed="false">
      <c r="AA2874" s="7" t="n">
        <f aca="false">AA2873+1</f>
        <v>43780</v>
      </c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</row>
    <row r="2875" customFormat="false" ht="13.8" hidden="false" customHeight="false" outlineLevel="0" collapsed="false">
      <c r="AA2875" s="7" t="n">
        <f aca="false">AA2874+1</f>
        <v>43781</v>
      </c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</row>
    <row r="2876" customFormat="false" ht="13.8" hidden="false" customHeight="false" outlineLevel="0" collapsed="false">
      <c r="AA2876" s="7" t="n">
        <f aca="false">AA2875+1</f>
        <v>43782</v>
      </c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</row>
    <row r="2877" customFormat="false" ht="13.8" hidden="false" customHeight="false" outlineLevel="0" collapsed="false">
      <c r="AA2877" s="7" t="n">
        <f aca="false">AA2876+1</f>
        <v>43783</v>
      </c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</row>
    <row r="2878" customFormat="false" ht="13.8" hidden="false" customHeight="false" outlineLevel="0" collapsed="false">
      <c r="AA2878" s="7" t="n">
        <f aca="false">AA2877+1</f>
        <v>43784</v>
      </c>
      <c r="AB2878" s="14"/>
      <c r="AC2878" s="14"/>
      <c r="AD2878" s="14"/>
      <c r="AE2878" s="14"/>
      <c r="AF2878" s="14"/>
      <c r="AG2878" s="14"/>
      <c r="AH2878" s="14"/>
      <c r="AI2878" s="14"/>
      <c r="AJ2878" s="14"/>
      <c r="AK2878" s="14"/>
      <c r="AL2878" s="14"/>
      <c r="AM2878" s="14"/>
    </row>
    <row r="2879" customFormat="false" ht="13.8" hidden="false" customHeight="false" outlineLevel="0" collapsed="false">
      <c r="AA2879" s="7" t="n">
        <f aca="false">AA2878+1</f>
        <v>43785</v>
      </c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</row>
    <row r="2880" customFormat="false" ht="13.8" hidden="false" customHeight="false" outlineLevel="0" collapsed="false">
      <c r="AA2880" s="7" t="n">
        <f aca="false">AA2879+1</f>
        <v>43786</v>
      </c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</row>
    <row r="2881" customFormat="false" ht="13.8" hidden="false" customHeight="false" outlineLevel="0" collapsed="false">
      <c r="AA2881" s="7" t="n">
        <f aca="false">AA2880+1</f>
        <v>43787</v>
      </c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</row>
    <row r="2882" customFormat="false" ht="13.8" hidden="false" customHeight="false" outlineLevel="0" collapsed="false">
      <c r="AA2882" s="7" t="n">
        <f aca="false">AA2881+1</f>
        <v>43788</v>
      </c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</row>
    <row r="2883" customFormat="false" ht="13.8" hidden="false" customHeight="false" outlineLevel="0" collapsed="false">
      <c r="AA2883" s="7" t="n">
        <f aca="false">AA2882+1</f>
        <v>43789</v>
      </c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14"/>
      <c r="AM2883" s="14"/>
    </row>
    <row r="2884" customFormat="false" ht="13.8" hidden="false" customHeight="false" outlineLevel="0" collapsed="false">
      <c r="AA2884" s="7" t="n">
        <f aca="false">AA2883+1</f>
        <v>43790</v>
      </c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</row>
    <row r="2885" customFormat="false" ht="13.8" hidden="false" customHeight="false" outlineLevel="0" collapsed="false">
      <c r="AA2885" s="7" t="n">
        <f aca="false">AA2884+1</f>
        <v>43791</v>
      </c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</row>
    <row r="2886" customFormat="false" ht="13.8" hidden="false" customHeight="false" outlineLevel="0" collapsed="false">
      <c r="AA2886" s="7" t="n">
        <f aca="false">AA2885+1</f>
        <v>43792</v>
      </c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</row>
    <row r="2887" customFormat="false" ht="13.8" hidden="false" customHeight="false" outlineLevel="0" collapsed="false">
      <c r="AA2887" s="7" t="n">
        <f aca="false">AA2886+1</f>
        <v>43793</v>
      </c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</row>
    <row r="2888" customFormat="false" ht="13.8" hidden="false" customHeight="false" outlineLevel="0" collapsed="false">
      <c r="AA2888" s="7" t="n">
        <f aca="false">AA2887+1</f>
        <v>43794</v>
      </c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</row>
    <row r="2889" customFormat="false" ht="13.8" hidden="false" customHeight="false" outlineLevel="0" collapsed="false">
      <c r="AA2889" s="7" t="n">
        <f aca="false">AA2888+1</f>
        <v>43795</v>
      </c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</row>
    <row r="2890" customFormat="false" ht="13.8" hidden="false" customHeight="false" outlineLevel="0" collapsed="false">
      <c r="AA2890" s="7" t="n">
        <f aca="false">AA2889+1</f>
        <v>43796</v>
      </c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14"/>
      <c r="AM2890" s="14"/>
    </row>
    <row r="2891" customFormat="false" ht="13.8" hidden="false" customHeight="false" outlineLevel="0" collapsed="false">
      <c r="AA2891" s="7" t="n">
        <f aca="false">AA2890+1</f>
        <v>43797</v>
      </c>
      <c r="AB2891" s="14"/>
      <c r="AC2891" s="14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</row>
    <row r="2892" customFormat="false" ht="13.8" hidden="false" customHeight="false" outlineLevel="0" collapsed="false">
      <c r="AA2892" s="7" t="n">
        <f aca="false">AA2891+1</f>
        <v>43798</v>
      </c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</row>
    <row r="2893" customFormat="false" ht="13.8" hidden="false" customHeight="false" outlineLevel="0" collapsed="false">
      <c r="AA2893" s="7" t="n">
        <f aca="false">AA2892+1</f>
        <v>43799</v>
      </c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</row>
    <row r="2894" customFormat="false" ht="13.8" hidden="false" customHeight="false" outlineLevel="0" collapsed="false">
      <c r="AA2894" s="7" t="n">
        <f aca="false">AA2893+1</f>
        <v>43800</v>
      </c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</row>
    <row r="2895" customFormat="false" ht="13.8" hidden="false" customHeight="false" outlineLevel="0" collapsed="false">
      <c r="AA2895" s="7" t="n">
        <f aca="false">AA2894+1</f>
        <v>43801</v>
      </c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</row>
    <row r="2896" customFormat="false" ht="13.8" hidden="false" customHeight="false" outlineLevel="0" collapsed="false">
      <c r="AA2896" s="7" t="n">
        <f aca="false">AA2895+1</f>
        <v>43802</v>
      </c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</row>
    <row r="2897" customFormat="false" ht="13.8" hidden="false" customHeight="false" outlineLevel="0" collapsed="false">
      <c r="AA2897" s="7" t="n">
        <f aca="false">AA2896+1</f>
        <v>43803</v>
      </c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</row>
    <row r="2898" customFormat="false" ht="13.8" hidden="false" customHeight="false" outlineLevel="0" collapsed="false">
      <c r="AA2898" s="7" t="n">
        <f aca="false">AA2897+1</f>
        <v>43804</v>
      </c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</row>
    <row r="2899" customFormat="false" ht="13.8" hidden="false" customHeight="false" outlineLevel="0" collapsed="false">
      <c r="AA2899" s="7" t="n">
        <f aca="false">AA2898+1</f>
        <v>43805</v>
      </c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</row>
    <row r="2900" customFormat="false" ht="13.8" hidden="false" customHeight="false" outlineLevel="0" collapsed="false">
      <c r="AA2900" s="7" t="n">
        <f aca="false">AA2899+1</f>
        <v>43806</v>
      </c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</row>
    <row r="2901" customFormat="false" ht="13.8" hidden="false" customHeight="false" outlineLevel="0" collapsed="false">
      <c r="AA2901" s="7" t="n">
        <f aca="false">AA2900+1</f>
        <v>43807</v>
      </c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</row>
    <row r="2902" customFormat="false" ht="13.8" hidden="false" customHeight="false" outlineLevel="0" collapsed="false">
      <c r="AA2902" s="7" t="n">
        <f aca="false">AA2901+1</f>
        <v>43808</v>
      </c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</row>
    <row r="2903" customFormat="false" ht="13.8" hidden="false" customHeight="false" outlineLevel="0" collapsed="false">
      <c r="AA2903" s="7" t="n">
        <f aca="false">AA2902+1</f>
        <v>43809</v>
      </c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</row>
    <row r="2904" customFormat="false" ht="13.8" hidden="false" customHeight="false" outlineLevel="0" collapsed="false">
      <c r="AA2904" s="7" t="n">
        <f aca="false">AA2903+1</f>
        <v>43810</v>
      </c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</row>
    <row r="2905" customFormat="false" ht="13.8" hidden="false" customHeight="false" outlineLevel="0" collapsed="false">
      <c r="AA2905" s="7" t="n">
        <f aca="false">AA2904+1</f>
        <v>43811</v>
      </c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</row>
    <row r="2906" customFormat="false" ht="13.8" hidden="false" customHeight="false" outlineLevel="0" collapsed="false">
      <c r="AA2906" s="7" t="n">
        <f aca="false">AA2905+1</f>
        <v>43812</v>
      </c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</row>
    <row r="2907" customFormat="false" ht="13.8" hidden="false" customHeight="false" outlineLevel="0" collapsed="false">
      <c r="AA2907" s="7" t="n">
        <f aca="false">AA2906+1</f>
        <v>43813</v>
      </c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</row>
    <row r="2908" customFormat="false" ht="13.8" hidden="false" customHeight="false" outlineLevel="0" collapsed="false">
      <c r="AA2908" s="7" t="n">
        <f aca="false">AA2907+1</f>
        <v>43814</v>
      </c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</row>
    <row r="2909" customFormat="false" ht="13.8" hidden="false" customHeight="false" outlineLevel="0" collapsed="false">
      <c r="AA2909" s="7" t="n">
        <f aca="false">AA2908+1</f>
        <v>43815</v>
      </c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</row>
    <row r="2910" customFormat="false" ht="13.8" hidden="false" customHeight="false" outlineLevel="0" collapsed="false">
      <c r="AA2910" s="7" t="n">
        <f aca="false">AA2909+1</f>
        <v>43816</v>
      </c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</row>
    <row r="2911" customFormat="false" ht="13.8" hidden="false" customHeight="false" outlineLevel="0" collapsed="false">
      <c r="AA2911" s="7" t="n">
        <f aca="false">AA2910+1</f>
        <v>43817</v>
      </c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</row>
    <row r="2912" customFormat="false" ht="13.8" hidden="false" customHeight="false" outlineLevel="0" collapsed="false">
      <c r="AA2912" s="7" t="n">
        <f aca="false">AA2911+1</f>
        <v>43818</v>
      </c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</row>
    <row r="2913" customFormat="false" ht="13.8" hidden="false" customHeight="false" outlineLevel="0" collapsed="false">
      <c r="AA2913" s="7" t="n">
        <f aca="false">AA2912+1</f>
        <v>43819</v>
      </c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</row>
    <row r="2914" customFormat="false" ht="13.8" hidden="false" customHeight="false" outlineLevel="0" collapsed="false">
      <c r="AA2914" s="7" t="n">
        <f aca="false">AA2913+1</f>
        <v>43820</v>
      </c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</row>
    <row r="2915" customFormat="false" ht="13.8" hidden="false" customHeight="false" outlineLevel="0" collapsed="false">
      <c r="AA2915" s="7" t="n">
        <f aca="false">AA2914+1</f>
        <v>43821</v>
      </c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</row>
    <row r="2916" customFormat="false" ht="13.8" hidden="false" customHeight="false" outlineLevel="0" collapsed="false">
      <c r="AA2916" s="7" t="n">
        <f aca="false">AA2915+1</f>
        <v>43822</v>
      </c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</row>
    <row r="2917" customFormat="false" ht="13.8" hidden="false" customHeight="false" outlineLevel="0" collapsed="false">
      <c r="AA2917" s="7" t="n">
        <f aca="false">AA2916+1</f>
        <v>43823</v>
      </c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</row>
    <row r="2918" customFormat="false" ht="13.8" hidden="false" customHeight="false" outlineLevel="0" collapsed="false">
      <c r="AA2918" s="7" t="n">
        <f aca="false">AA2917+1</f>
        <v>43824</v>
      </c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</row>
    <row r="2919" customFormat="false" ht="13.8" hidden="false" customHeight="false" outlineLevel="0" collapsed="false">
      <c r="AA2919" s="7" t="n">
        <f aca="false">AA2918+1</f>
        <v>43825</v>
      </c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</row>
    <row r="2920" customFormat="false" ht="13.8" hidden="false" customHeight="false" outlineLevel="0" collapsed="false">
      <c r="AA2920" s="7" t="n">
        <f aca="false">AA2919+1</f>
        <v>43826</v>
      </c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</row>
    <row r="2921" customFormat="false" ht="13.8" hidden="false" customHeight="false" outlineLevel="0" collapsed="false">
      <c r="AA2921" s="7" t="n">
        <f aca="false">AA2920+1</f>
        <v>43827</v>
      </c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</row>
    <row r="2922" customFormat="false" ht="13.8" hidden="false" customHeight="false" outlineLevel="0" collapsed="false">
      <c r="AA2922" s="7" t="n">
        <f aca="false">AA2921+1</f>
        <v>43828</v>
      </c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</row>
    <row r="2923" customFormat="false" ht="13.8" hidden="false" customHeight="false" outlineLevel="0" collapsed="false">
      <c r="AA2923" s="7" t="n">
        <f aca="false">AA2922+1</f>
        <v>43829</v>
      </c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</row>
    <row r="2924" customFormat="false" ht="13.8" hidden="false" customHeight="false" outlineLevel="0" collapsed="false">
      <c r="AA2924" s="7" t="n">
        <f aca="false">AA2923+1</f>
        <v>43830</v>
      </c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</row>
    <row r="2925" customFormat="false" ht="13.8" hidden="false" customHeight="false" outlineLevel="0" collapsed="false">
      <c r="AA2925" s="7" t="n">
        <f aca="false">AA2924+1</f>
        <v>43831</v>
      </c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</row>
    <row r="2926" customFormat="false" ht="13.8" hidden="false" customHeight="false" outlineLevel="0" collapsed="false">
      <c r="AA2926" s="7" t="n">
        <f aca="false">AA2925+1</f>
        <v>43832</v>
      </c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</row>
    <row r="2927" customFormat="false" ht="13.8" hidden="false" customHeight="false" outlineLevel="0" collapsed="false">
      <c r="AA2927" s="7" t="n">
        <f aca="false">AA2926+1</f>
        <v>43833</v>
      </c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</row>
    <row r="2928" customFormat="false" ht="13.8" hidden="false" customHeight="false" outlineLevel="0" collapsed="false">
      <c r="AA2928" s="7" t="n">
        <f aca="false">AA2927+1</f>
        <v>43834</v>
      </c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</row>
    <row r="2929" customFormat="false" ht="13.8" hidden="false" customHeight="false" outlineLevel="0" collapsed="false">
      <c r="AA2929" s="7" t="n">
        <f aca="false">AA2928+1</f>
        <v>43835</v>
      </c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</row>
    <row r="2930" customFormat="false" ht="13.8" hidden="false" customHeight="false" outlineLevel="0" collapsed="false">
      <c r="AA2930" s="7" t="n">
        <f aca="false">AA2929+1</f>
        <v>43836</v>
      </c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</row>
    <row r="2931" customFormat="false" ht="13.8" hidden="false" customHeight="false" outlineLevel="0" collapsed="false">
      <c r="AA2931" s="7" t="n">
        <f aca="false">AA2930+1</f>
        <v>43837</v>
      </c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</row>
    <row r="2932" customFormat="false" ht="13.8" hidden="false" customHeight="false" outlineLevel="0" collapsed="false">
      <c r="AA2932" s="7" t="n">
        <f aca="false">AA2931+1</f>
        <v>43838</v>
      </c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</row>
    <row r="2933" customFormat="false" ht="13.8" hidden="false" customHeight="false" outlineLevel="0" collapsed="false">
      <c r="AA2933" s="7" t="n">
        <f aca="false">AA2932+1</f>
        <v>43839</v>
      </c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</row>
    <row r="2934" customFormat="false" ht="13.8" hidden="false" customHeight="false" outlineLevel="0" collapsed="false">
      <c r="AA2934" s="7" t="n">
        <f aca="false">AA2933+1</f>
        <v>43840</v>
      </c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</row>
    <row r="2935" customFormat="false" ht="13.8" hidden="false" customHeight="false" outlineLevel="0" collapsed="false">
      <c r="AA2935" s="7" t="n">
        <f aca="false">AA2934+1</f>
        <v>43841</v>
      </c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</row>
    <row r="2936" customFormat="false" ht="13.8" hidden="false" customHeight="false" outlineLevel="0" collapsed="false">
      <c r="AA2936" s="7" t="n">
        <f aca="false">AA2935+1</f>
        <v>43842</v>
      </c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14"/>
      <c r="AM2936" s="14"/>
    </row>
    <row r="2937" customFormat="false" ht="13.8" hidden="false" customHeight="false" outlineLevel="0" collapsed="false">
      <c r="AA2937" s="7" t="n">
        <f aca="false">AA2936+1</f>
        <v>43843</v>
      </c>
      <c r="AB2937" s="14"/>
      <c r="AC2937" s="14"/>
      <c r="AD2937" s="14"/>
      <c r="AE2937" s="14"/>
      <c r="AF2937" s="14"/>
      <c r="AG2937" s="14"/>
      <c r="AH2937" s="14"/>
      <c r="AI2937" s="14"/>
      <c r="AJ2937" s="14"/>
      <c r="AK2937" s="14"/>
      <c r="AL2937" s="14"/>
      <c r="AM2937" s="14"/>
    </row>
    <row r="2938" customFormat="false" ht="13.8" hidden="false" customHeight="false" outlineLevel="0" collapsed="false">
      <c r="AA2938" s="7" t="n">
        <f aca="false">AA2937+1</f>
        <v>43844</v>
      </c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</row>
    <row r="2939" customFormat="false" ht="13.8" hidden="false" customHeight="false" outlineLevel="0" collapsed="false">
      <c r="AA2939" s="7" t="n">
        <f aca="false">AA2938+1</f>
        <v>43845</v>
      </c>
      <c r="AB2939" s="14"/>
      <c r="AC2939" s="14"/>
      <c r="AD2939" s="14"/>
      <c r="AE2939" s="14"/>
      <c r="AF2939" s="14"/>
      <c r="AG2939" s="14"/>
      <c r="AH2939" s="14"/>
      <c r="AI2939" s="14"/>
      <c r="AJ2939" s="14"/>
      <c r="AK2939" s="14"/>
      <c r="AL2939" s="14"/>
      <c r="AM2939" s="14"/>
    </row>
    <row r="2940" customFormat="false" ht="13.8" hidden="false" customHeight="false" outlineLevel="0" collapsed="false">
      <c r="AA2940" s="7" t="n">
        <f aca="false">AA2939+1</f>
        <v>43846</v>
      </c>
      <c r="AB2940" s="14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</row>
    <row r="2941" customFormat="false" ht="13.8" hidden="false" customHeight="false" outlineLevel="0" collapsed="false">
      <c r="AA2941" s="7" t="n">
        <f aca="false">AA2940+1</f>
        <v>43847</v>
      </c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</row>
    <row r="2942" customFormat="false" ht="13.8" hidden="false" customHeight="false" outlineLevel="0" collapsed="false">
      <c r="AA2942" s="7" t="n">
        <f aca="false">AA2941+1</f>
        <v>43848</v>
      </c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</row>
    <row r="2943" customFormat="false" ht="13.8" hidden="false" customHeight="false" outlineLevel="0" collapsed="false">
      <c r="AA2943" s="7" t="n">
        <f aca="false">AA2942+1</f>
        <v>43849</v>
      </c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</row>
    <row r="2944" customFormat="false" ht="13.8" hidden="false" customHeight="false" outlineLevel="0" collapsed="false">
      <c r="AA2944" s="7" t="n">
        <f aca="false">AA2943+1</f>
        <v>43850</v>
      </c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</row>
    <row r="2945" customFormat="false" ht="13.8" hidden="false" customHeight="false" outlineLevel="0" collapsed="false">
      <c r="AA2945" s="7" t="n">
        <f aca="false">AA2944+1</f>
        <v>43851</v>
      </c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</row>
    <row r="2946" customFormat="false" ht="13.8" hidden="false" customHeight="false" outlineLevel="0" collapsed="false">
      <c r="AA2946" s="7" t="n">
        <f aca="false">AA2945+1</f>
        <v>43852</v>
      </c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</row>
    <row r="2947" customFormat="false" ht="13.8" hidden="false" customHeight="false" outlineLevel="0" collapsed="false">
      <c r="AA2947" s="7" t="n">
        <f aca="false">AA2946+1</f>
        <v>43853</v>
      </c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</row>
    <row r="2948" customFormat="false" ht="13.8" hidden="false" customHeight="false" outlineLevel="0" collapsed="false">
      <c r="AA2948" s="7" t="n">
        <f aca="false">AA2947+1</f>
        <v>43854</v>
      </c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</row>
    <row r="2949" customFormat="false" ht="13.8" hidden="false" customHeight="false" outlineLevel="0" collapsed="false">
      <c r="AA2949" s="7" t="n">
        <f aca="false">AA2948+1</f>
        <v>43855</v>
      </c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</row>
    <row r="2950" customFormat="false" ht="13.8" hidden="false" customHeight="false" outlineLevel="0" collapsed="false">
      <c r="AA2950" s="7" t="n">
        <f aca="false">AA2949+1</f>
        <v>43856</v>
      </c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</row>
    <row r="2951" customFormat="false" ht="13.8" hidden="false" customHeight="false" outlineLevel="0" collapsed="false">
      <c r="AA2951" s="7" t="n">
        <f aca="false">AA2950+1</f>
        <v>43857</v>
      </c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</row>
    <row r="2952" customFormat="false" ht="13.8" hidden="false" customHeight="false" outlineLevel="0" collapsed="false">
      <c r="AA2952" s="7" t="n">
        <f aca="false">AA2951+1</f>
        <v>43858</v>
      </c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</row>
    <row r="2953" customFormat="false" ht="13.8" hidden="false" customHeight="false" outlineLevel="0" collapsed="false">
      <c r="AA2953" s="7" t="n">
        <f aca="false">AA2952+1</f>
        <v>43859</v>
      </c>
      <c r="AB2953" s="14"/>
      <c r="AC2953" s="14"/>
      <c r="AD2953" s="14"/>
      <c r="AE2953" s="14"/>
      <c r="AF2953" s="14"/>
      <c r="AG2953" s="14"/>
      <c r="AH2953" s="14"/>
      <c r="AI2953" s="14"/>
      <c r="AJ2953" s="14"/>
      <c r="AK2953" s="14"/>
      <c r="AL2953" s="14"/>
      <c r="AM2953" s="14"/>
    </row>
    <row r="2954" customFormat="false" ht="13.8" hidden="false" customHeight="false" outlineLevel="0" collapsed="false">
      <c r="AA2954" s="7" t="n">
        <f aca="false">AA2953+1</f>
        <v>43860</v>
      </c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</row>
    <row r="2955" customFormat="false" ht="13.8" hidden="false" customHeight="false" outlineLevel="0" collapsed="false">
      <c r="AA2955" s="7" t="n">
        <f aca="false">AA2954+1</f>
        <v>43861</v>
      </c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</row>
    <row r="2956" customFormat="false" ht="13.8" hidden="false" customHeight="false" outlineLevel="0" collapsed="false">
      <c r="AA2956" s="7" t="n">
        <f aca="false">AA2955+1</f>
        <v>43862</v>
      </c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</row>
    <row r="2957" customFormat="false" ht="13.8" hidden="false" customHeight="false" outlineLevel="0" collapsed="false">
      <c r="AA2957" s="7" t="n">
        <f aca="false">AA2956+1</f>
        <v>43863</v>
      </c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</row>
    <row r="2958" customFormat="false" ht="13.8" hidden="false" customHeight="false" outlineLevel="0" collapsed="false">
      <c r="AA2958" s="7" t="n">
        <f aca="false">AA2957+1</f>
        <v>43864</v>
      </c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</row>
    <row r="2959" customFormat="false" ht="13.8" hidden="false" customHeight="false" outlineLevel="0" collapsed="false">
      <c r="AA2959" s="7" t="n">
        <f aca="false">AA2958+1</f>
        <v>43865</v>
      </c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</row>
    <row r="2960" customFormat="false" ht="13.8" hidden="false" customHeight="false" outlineLevel="0" collapsed="false">
      <c r="AA2960" s="7" t="n">
        <f aca="false">AA2959+1</f>
        <v>43866</v>
      </c>
      <c r="AB2960" s="14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</row>
    <row r="2961" customFormat="false" ht="13.8" hidden="false" customHeight="false" outlineLevel="0" collapsed="false">
      <c r="AA2961" s="7" t="n">
        <f aca="false">AA2960+1</f>
        <v>43867</v>
      </c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</row>
    <row r="2962" customFormat="false" ht="13.8" hidden="false" customHeight="false" outlineLevel="0" collapsed="false">
      <c r="AA2962" s="7" t="n">
        <f aca="false">AA2961+1</f>
        <v>43868</v>
      </c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</row>
    <row r="2963" customFormat="false" ht="13.8" hidden="false" customHeight="false" outlineLevel="0" collapsed="false">
      <c r="AA2963" s="7" t="n">
        <f aca="false">AA2962+1</f>
        <v>43869</v>
      </c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</row>
    <row r="2964" customFormat="false" ht="13.8" hidden="false" customHeight="false" outlineLevel="0" collapsed="false">
      <c r="AA2964" s="7" t="n">
        <f aca="false">AA2963+1</f>
        <v>43870</v>
      </c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</row>
    <row r="2965" customFormat="false" ht="13.8" hidden="false" customHeight="false" outlineLevel="0" collapsed="false">
      <c r="AA2965" s="7" t="n">
        <f aca="false">AA2964+1</f>
        <v>43871</v>
      </c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</row>
    <row r="2966" customFormat="false" ht="13.8" hidden="false" customHeight="false" outlineLevel="0" collapsed="false">
      <c r="AA2966" s="7" t="n">
        <f aca="false">AA2965+1</f>
        <v>43872</v>
      </c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</row>
    <row r="2967" customFormat="false" ht="13.8" hidden="false" customHeight="false" outlineLevel="0" collapsed="false">
      <c r="AA2967" s="7" t="n">
        <f aca="false">AA2966+1</f>
        <v>43873</v>
      </c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</row>
    <row r="2968" customFormat="false" ht="13.8" hidden="false" customHeight="false" outlineLevel="0" collapsed="false">
      <c r="AA2968" s="7" t="n">
        <f aca="false">AA2967+1</f>
        <v>43874</v>
      </c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</row>
    <row r="2969" customFormat="false" ht="13.8" hidden="false" customHeight="false" outlineLevel="0" collapsed="false">
      <c r="AA2969" s="7" t="n">
        <f aca="false">AA2968+1</f>
        <v>43875</v>
      </c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</row>
    <row r="2970" customFormat="false" ht="13.8" hidden="false" customHeight="false" outlineLevel="0" collapsed="false">
      <c r="AA2970" s="7" t="n">
        <f aca="false">AA2969+1</f>
        <v>43876</v>
      </c>
      <c r="AB2970" s="14"/>
      <c r="AC2970" s="14"/>
      <c r="AD2970" s="14"/>
      <c r="AE2970" s="14"/>
      <c r="AF2970" s="14"/>
      <c r="AG2970" s="14"/>
      <c r="AH2970" s="14"/>
      <c r="AI2970" s="14"/>
      <c r="AJ2970" s="14"/>
      <c r="AK2970" s="14"/>
      <c r="AL2970" s="14"/>
      <c r="AM2970" s="14"/>
    </row>
    <row r="2971" customFormat="false" ht="13.8" hidden="false" customHeight="false" outlineLevel="0" collapsed="false">
      <c r="AA2971" s="7" t="n">
        <f aca="false">AA2970+1</f>
        <v>43877</v>
      </c>
      <c r="AB2971" s="14"/>
      <c r="AC2971" s="14"/>
      <c r="AD2971" s="14"/>
      <c r="AE2971" s="14"/>
      <c r="AF2971" s="14"/>
      <c r="AG2971" s="14"/>
      <c r="AH2971" s="14"/>
      <c r="AI2971" s="14"/>
      <c r="AJ2971" s="14"/>
      <c r="AK2971" s="14"/>
      <c r="AL2971" s="14"/>
      <c r="AM2971" s="14"/>
    </row>
    <row r="2972" customFormat="false" ht="13.8" hidden="false" customHeight="false" outlineLevel="0" collapsed="false">
      <c r="AA2972" s="7" t="n">
        <f aca="false">AA2971+1</f>
        <v>43878</v>
      </c>
      <c r="AB2972" s="14"/>
      <c r="AC2972" s="14"/>
      <c r="AD2972" s="14"/>
      <c r="AE2972" s="14"/>
      <c r="AF2972" s="14"/>
      <c r="AG2972" s="14"/>
      <c r="AH2972" s="14"/>
      <c r="AI2972" s="14"/>
      <c r="AJ2972" s="14"/>
      <c r="AK2972" s="14"/>
      <c r="AL2972" s="14"/>
      <c r="AM2972" s="14"/>
    </row>
    <row r="2973" customFormat="false" ht="13.8" hidden="false" customHeight="false" outlineLevel="0" collapsed="false">
      <c r="AA2973" s="7" t="n">
        <f aca="false">AA2972+1</f>
        <v>43879</v>
      </c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</row>
    <row r="2974" customFormat="false" ht="13.8" hidden="false" customHeight="false" outlineLevel="0" collapsed="false">
      <c r="AA2974" s="7" t="n">
        <f aca="false">AA2973+1</f>
        <v>43880</v>
      </c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</row>
    <row r="2975" customFormat="false" ht="13.8" hidden="false" customHeight="false" outlineLevel="0" collapsed="false">
      <c r="AA2975" s="7" t="n">
        <f aca="false">AA2974+1</f>
        <v>43881</v>
      </c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</row>
    <row r="2976" customFormat="false" ht="13.8" hidden="false" customHeight="false" outlineLevel="0" collapsed="false">
      <c r="AA2976" s="7" t="n">
        <f aca="false">AA2975+1</f>
        <v>43882</v>
      </c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</row>
    <row r="2977" customFormat="false" ht="13.8" hidden="false" customHeight="false" outlineLevel="0" collapsed="false">
      <c r="AA2977" s="7" t="n">
        <f aca="false">AA2976+1</f>
        <v>43883</v>
      </c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</row>
    <row r="2978" customFormat="false" ht="13.8" hidden="false" customHeight="false" outlineLevel="0" collapsed="false">
      <c r="AA2978" s="7" t="n">
        <f aca="false">AA2977+1</f>
        <v>43884</v>
      </c>
      <c r="AB2978" s="14"/>
      <c r="AC2978" s="14"/>
      <c r="AD2978" s="14"/>
      <c r="AE2978" s="14"/>
      <c r="AF2978" s="14"/>
      <c r="AG2978" s="14"/>
      <c r="AH2978" s="14"/>
      <c r="AI2978" s="14"/>
      <c r="AJ2978" s="14"/>
      <c r="AK2978" s="14"/>
      <c r="AL2978" s="14"/>
      <c r="AM2978" s="14"/>
    </row>
    <row r="2979" customFormat="false" ht="13.8" hidden="false" customHeight="false" outlineLevel="0" collapsed="false">
      <c r="AA2979" s="7" t="n">
        <f aca="false">AA2978+1</f>
        <v>43885</v>
      </c>
      <c r="AB2979" s="14"/>
      <c r="AC2979" s="14"/>
      <c r="AD2979" s="14"/>
      <c r="AE2979" s="14"/>
      <c r="AF2979" s="14"/>
      <c r="AG2979" s="14"/>
      <c r="AH2979" s="14"/>
      <c r="AI2979" s="14"/>
      <c r="AJ2979" s="14"/>
      <c r="AK2979" s="14"/>
      <c r="AL2979" s="14"/>
      <c r="AM2979" s="14"/>
    </row>
    <row r="2980" customFormat="false" ht="13.8" hidden="false" customHeight="false" outlineLevel="0" collapsed="false">
      <c r="AA2980" s="7" t="n">
        <f aca="false">AA2979+1</f>
        <v>43886</v>
      </c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</row>
    <row r="2981" customFormat="false" ht="13.8" hidden="false" customHeight="false" outlineLevel="0" collapsed="false">
      <c r="AA2981" s="7" t="n">
        <f aca="false">AA2980+1</f>
        <v>43887</v>
      </c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</row>
    <row r="2982" customFormat="false" ht="13.8" hidden="false" customHeight="false" outlineLevel="0" collapsed="false">
      <c r="AA2982" s="7" t="n">
        <f aca="false">AA2981+1</f>
        <v>43888</v>
      </c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</row>
    <row r="2983" customFormat="false" ht="13.8" hidden="false" customHeight="false" outlineLevel="0" collapsed="false">
      <c r="AA2983" s="7" t="n">
        <f aca="false">AA2982+1</f>
        <v>43889</v>
      </c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</row>
    <row r="2984" customFormat="false" ht="13.8" hidden="false" customHeight="false" outlineLevel="0" collapsed="false">
      <c r="AA2984" s="7" t="n">
        <f aca="false">AA2983+1</f>
        <v>43890</v>
      </c>
      <c r="AB2984" s="14"/>
      <c r="AC2984" s="14"/>
      <c r="AD2984" s="14"/>
      <c r="AE2984" s="14"/>
      <c r="AF2984" s="14"/>
      <c r="AG2984" s="14"/>
      <c r="AH2984" s="14"/>
      <c r="AI2984" s="14"/>
      <c r="AJ2984" s="14"/>
      <c r="AK2984" s="14"/>
      <c r="AL2984" s="14"/>
      <c r="AM2984" s="14"/>
    </row>
    <row r="2985" customFormat="false" ht="13.8" hidden="false" customHeight="false" outlineLevel="0" collapsed="false">
      <c r="AA2985" s="7" t="n">
        <f aca="false">AA2984+1</f>
        <v>43891</v>
      </c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</row>
    <row r="2986" customFormat="false" ht="13.8" hidden="false" customHeight="false" outlineLevel="0" collapsed="false">
      <c r="AA2986" s="7" t="n">
        <f aca="false">AA2985+1</f>
        <v>43892</v>
      </c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</row>
    <row r="2987" customFormat="false" ht="13.8" hidden="false" customHeight="false" outlineLevel="0" collapsed="false">
      <c r="AA2987" s="7" t="n">
        <f aca="false">AA2986+1</f>
        <v>43893</v>
      </c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</row>
    <row r="2988" customFormat="false" ht="13.8" hidden="false" customHeight="false" outlineLevel="0" collapsed="false">
      <c r="AA2988" s="7" t="n">
        <f aca="false">AA2987+1</f>
        <v>43894</v>
      </c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</row>
    <row r="2989" customFormat="false" ht="13.8" hidden="false" customHeight="false" outlineLevel="0" collapsed="false">
      <c r="AA2989" s="7" t="n">
        <f aca="false">AA2988+1</f>
        <v>43895</v>
      </c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</row>
    <row r="2990" customFormat="false" ht="13.8" hidden="false" customHeight="false" outlineLevel="0" collapsed="false">
      <c r="AA2990" s="7" t="n">
        <f aca="false">AA2989+1</f>
        <v>43896</v>
      </c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</row>
    <row r="2991" customFormat="false" ht="13.8" hidden="false" customHeight="false" outlineLevel="0" collapsed="false">
      <c r="AA2991" s="7" t="n">
        <f aca="false">AA2990+1</f>
        <v>43897</v>
      </c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</row>
    <row r="2992" customFormat="false" ht="13.8" hidden="false" customHeight="false" outlineLevel="0" collapsed="false">
      <c r="AA2992" s="7" t="n">
        <f aca="false">AA2991+1</f>
        <v>43898</v>
      </c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</row>
    <row r="2993" customFormat="false" ht="13.8" hidden="false" customHeight="false" outlineLevel="0" collapsed="false">
      <c r="AA2993" s="7" t="n">
        <f aca="false">AA2992+1</f>
        <v>43899</v>
      </c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</row>
    <row r="2994" customFormat="false" ht="13.8" hidden="false" customHeight="false" outlineLevel="0" collapsed="false">
      <c r="AA2994" s="7" t="n">
        <f aca="false">AA2993+1</f>
        <v>43900</v>
      </c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</row>
    <row r="2995" customFormat="false" ht="13.8" hidden="false" customHeight="false" outlineLevel="0" collapsed="false">
      <c r="AA2995" s="7" t="n">
        <f aca="false">AA2994+1</f>
        <v>43901</v>
      </c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</row>
    <row r="2996" customFormat="false" ht="13.8" hidden="false" customHeight="false" outlineLevel="0" collapsed="false">
      <c r="AA2996" s="7" t="n">
        <f aca="false">AA2995+1</f>
        <v>43902</v>
      </c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</row>
    <row r="2997" customFormat="false" ht="13.8" hidden="false" customHeight="false" outlineLevel="0" collapsed="false">
      <c r="AA2997" s="7" t="n">
        <f aca="false">AA2996+1</f>
        <v>43903</v>
      </c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</row>
    <row r="2998" customFormat="false" ht="13.8" hidden="false" customHeight="false" outlineLevel="0" collapsed="false">
      <c r="AA2998" s="7" t="n">
        <f aca="false">AA2997+1</f>
        <v>43904</v>
      </c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</row>
    <row r="2999" customFormat="false" ht="13.8" hidden="false" customHeight="false" outlineLevel="0" collapsed="false">
      <c r="AA2999" s="7" t="n">
        <f aca="false">AA2998+1</f>
        <v>43905</v>
      </c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</row>
    <row r="3000" customFormat="false" ht="13.8" hidden="false" customHeight="false" outlineLevel="0" collapsed="false">
      <c r="AA3000" s="7" t="n">
        <f aca="false">AA2999+1</f>
        <v>43906</v>
      </c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</row>
    <row r="3001" customFormat="false" ht="13.8" hidden="false" customHeight="false" outlineLevel="0" collapsed="false">
      <c r="AA3001" s="7" t="n">
        <f aca="false">AA3000+1</f>
        <v>43907</v>
      </c>
      <c r="AB3001" s="14"/>
      <c r="AC3001" s="14"/>
      <c r="AD3001" s="14"/>
      <c r="AE3001" s="14"/>
      <c r="AF3001" s="14"/>
      <c r="AG3001" s="14"/>
      <c r="AH3001" s="14"/>
      <c r="AI3001" s="14"/>
      <c r="AJ3001" s="14"/>
      <c r="AK3001" s="14"/>
      <c r="AL3001" s="14"/>
      <c r="AM3001" s="14"/>
    </row>
    <row r="3002" customFormat="false" ht="13.8" hidden="false" customHeight="false" outlineLevel="0" collapsed="false">
      <c r="AA3002" s="7" t="n">
        <f aca="false">AA3001+1</f>
        <v>43908</v>
      </c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</row>
    <row r="3003" customFormat="false" ht="13.8" hidden="false" customHeight="false" outlineLevel="0" collapsed="false">
      <c r="AA3003" s="7" t="n">
        <f aca="false">AA3002+1</f>
        <v>43909</v>
      </c>
      <c r="AB3003" s="14"/>
      <c r="AC3003" s="14"/>
      <c r="AD3003" s="14"/>
      <c r="AE3003" s="14"/>
      <c r="AF3003" s="14"/>
      <c r="AG3003" s="14"/>
      <c r="AH3003" s="14"/>
      <c r="AI3003" s="14"/>
      <c r="AJ3003" s="14"/>
      <c r="AK3003" s="14"/>
      <c r="AL3003" s="14"/>
      <c r="AM3003" s="14"/>
    </row>
    <row r="3004" customFormat="false" ht="13.8" hidden="false" customHeight="false" outlineLevel="0" collapsed="false">
      <c r="AA3004" s="7" t="n">
        <f aca="false">AA3003+1</f>
        <v>43910</v>
      </c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</row>
    <row r="3005" customFormat="false" ht="13.8" hidden="false" customHeight="false" outlineLevel="0" collapsed="false">
      <c r="AA3005" s="7" t="n">
        <f aca="false">AA3004+1</f>
        <v>43911</v>
      </c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</row>
    <row r="3006" customFormat="false" ht="13.8" hidden="false" customHeight="false" outlineLevel="0" collapsed="false">
      <c r="AA3006" s="7" t="n">
        <f aca="false">AA3005+1</f>
        <v>43912</v>
      </c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</row>
    <row r="3007" customFormat="false" ht="13.8" hidden="false" customHeight="false" outlineLevel="0" collapsed="false">
      <c r="AA3007" s="7" t="n">
        <f aca="false">AA3006+1</f>
        <v>43913</v>
      </c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</row>
    <row r="3008" customFormat="false" ht="13.8" hidden="false" customHeight="false" outlineLevel="0" collapsed="false">
      <c r="AA3008" s="7" t="n">
        <f aca="false">AA3007+1</f>
        <v>43914</v>
      </c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</row>
    <row r="3009" customFormat="false" ht="13.8" hidden="false" customHeight="false" outlineLevel="0" collapsed="false">
      <c r="AA3009" s="7" t="n">
        <f aca="false">AA3008+1</f>
        <v>43915</v>
      </c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</row>
    <row r="3010" customFormat="false" ht="13.8" hidden="false" customHeight="false" outlineLevel="0" collapsed="false">
      <c r="AA3010" s="7" t="n">
        <f aca="false">AA3009+1</f>
        <v>43916</v>
      </c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</row>
    <row r="3011" customFormat="false" ht="13.8" hidden="false" customHeight="false" outlineLevel="0" collapsed="false">
      <c r="AA3011" s="7" t="n">
        <f aca="false">AA3010+1</f>
        <v>43917</v>
      </c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</row>
    <row r="3012" customFormat="false" ht="13.8" hidden="false" customHeight="false" outlineLevel="0" collapsed="false">
      <c r="AA3012" s="7" t="n">
        <f aca="false">AA3011+1</f>
        <v>43918</v>
      </c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</row>
    <row r="3013" customFormat="false" ht="13.8" hidden="false" customHeight="false" outlineLevel="0" collapsed="false">
      <c r="AA3013" s="7" t="n">
        <f aca="false">AA3012+1</f>
        <v>43919</v>
      </c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</row>
    <row r="3014" customFormat="false" ht="13.8" hidden="false" customHeight="false" outlineLevel="0" collapsed="false">
      <c r="AA3014" s="7" t="n">
        <f aca="false">AA3013+1</f>
        <v>43920</v>
      </c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</row>
    <row r="3015" customFormat="false" ht="13.8" hidden="false" customHeight="false" outlineLevel="0" collapsed="false">
      <c r="AA3015" s="7" t="n">
        <f aca="false">AA3014+1</f>
        <v>43921</v>
      </c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</row>
    <row r="3016" customFormat="false" ht="13.8" hidden="false" customHeight="false" outlineLevel="0" collapsed="false">
      <c r="AA3016" s="7" t="n">
        <f aca="false">AA3015+1</f>
        <v>43922</v>
      </c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</row>
    <row r="3017" customFormat="false" ht="13.8" hidden="false" customHeight="false" outlineLevel="0" collapsed="false">
      <c r="AA3017" s="7" t="n">
        <f aca="false">AA3016+1</f>
        <v>43923</v>
      </c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</row>
    <row r="3018" customFormat="false" ht="13.8" hidden="false" customHeight="false" outlineLevel="0" collapsed="false">
      <c r="AA3018" s="7" t="n">
        <f aca="false">AA3017+1</f>
        <v>43924</v>
      </c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</row>
    <row r="3019" customFormat="false" ht="13.8" hidden="false" customHeight="false" outlineLevel="0" collapsed="false">
      <c r="AA3019" s="7" t="n">
        <f aca="false">AA3018+1</f>
        <v>43925</v>
      </c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</row>
    <row r="3020" customFormat="false" ht="13.8" hidden="false" customHeight="false" outlineLevel="0" collapsed="false">
      <c r="AA3020" s="7" t="n">
        <f aca="false">AA3019+1</f>
        <v>43926</v>
      </c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</row>
    <row r="3021" customFormat="false" ht="13.8" hidden="false" customHeight="false" outlineLevel="0" collapsed="false">
      <c r="AA3021" s="7" t="n">
        <f aca="false">AA3020+1</f>
        <v>43927</v>
      </c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</row>
    <row r="3022" customFormat="false" ht="13.8" hidden="false" customHeight="false" outlineLevel="0" collapsed="false">
      <c r="AA3022" s="7" t="n">
        <f aca="false">AA3021+1</f>
        <v>43928</v>
      </c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</row>
    <row r="3023" customFormat="false" ht="13.8" hidden="false" customHeight="false" outlineLevel="0" collapsed="false">
      <c r="AA3023" s="7" t="n">
        <f aca="false">AA3022+1</f>
        <v>43929</v>
      </c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</row>
    <row r="3024" customFormat="false" ht="13.8" hidden="false" customHeight="false" outlineLevel="0" collapsed="false">
      <c r="AA3024" s="7" t="n">
        <f aca="false">AA3023+1</f>
        <v>43930</v>
      </c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</row>
    <row r="3025" customFormat="false" ht="13.8" hidden="false" customHeight="false" outlineLevel="0" collapsed="false">
      <c r="AA3025" s="7" t="n">
        <f aca="false">AA3024+1</f>
        <v>43931</v>
      </c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</row>
    <row r="3026" customFormat="false" ht="13.8" hidden="false" customHeight="false" outlineLevel="0" collapsed="false">
      <c r="AA3026" s="7" t="n">
        <f aca="false">AA3025+1</f>
        <v>43932</v>
      </c>
      <c r="AB3026" s="14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</row>
    <row r="3027" customFormat="false" ht="13.8" hidden="false" customHeight="false" outlineLevel="0" collapsed="false">
      <c r="AA3027" s="7" t="n">
        <f aca="false">AA3026+1</f>
        <v>43933</v>
      </c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</row>
    <row r="3028" customFormat="false" ht="13.8" hidden="false" customHeight="false" outlineLevel="0" collapsed="false">
      <c r="AA3028" s="7" t="n">
        <f aca="false">AA3027+1</f>
        <v>43934</v>
      </c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</row>
    <row r="3029" customFormat="false" ht="13.8" hidden="false" customHeight="false" outlineLevel="0" collapsed="false">
      <c r="AA3029" s="7" t="n">
        <f aca="false">AA3028+1</f>
        <v>43935</v>
      </c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</row>
    <row r="3030" customFormat="false" ht="13.8" hidden="false" customHeight="false" outlineLevel="0" collapsed="false">
      <c r="AA3030" s="7" t="n">
        <f aca="false">AA3029+1</f>
        <v>43936</v>
      </c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</row>
    <row r="3031" customFormat="false" ht="13.8" hidden="false" customHeight="false" outlineLevel="0" collapsed="false">
      <c r="AA3031" s="7" t="n">
        <f aca="false">AA3030+1</f>
        <v>43937</v>
      </c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</row>
    <row r="3032" customFormat="false" ht="13.8" hidden="false" customHeight="false" outlineLevel="0" collapsed="false">
      <c r="AA3032" s="7" t="n">
        <f aca="false">AA3031+1</f>
        <v>43938</v>
      </c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</row>
    <row r="3033" customFormat="false" ht="13.8" hidden="false" customHeight="false" outlineLevel="0" collapsed="false">
      <c r="AA3033" s="7" t="n">
        <f aca="false">AA3032+1</f>
        <v>43939</v>
      </c>
      <c r="AB3033" s="14"/>
      <c r="AC3033" s="14"/>
      <c r="AD3033" s="14"/>
      <c r="AE3033" s="14"/>
      <c r="AF3033" s="14"/>
      <c r="AG3033" s="14"/>
      <c r="AH3033" s="14"/>
      <c r="AI3033" s="14"/>
      <c r="AJ3033" s="14"/>
      <c r="AK3033" s="14"/>
      <c r="AL3033" s="14"/>
      <c r="AM3033" s="14"/>
    </row>
    <row r="3034" customFormat="false" ht="13.8" hidden="false" customHeight="false" outlineLevel="0" collapsed="false">
      <c r="AA3034" s="7" t="n">
        <f aca="false">AA3033+1</f>
        <v>43940</v>
      </c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</row>
    <row r="3035" customFormat="false" ht="13.8" hidden="false" customHeight="false" outlineLevel="0" collapsed="false">
      <c r="AA3035" s="7" t="n">
        <f aca="false">AA3034+1</f>
        <v>43941</v>
      </c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</row>
    <row r="3036" customFormat="false" ht="13.8" hidden="false" customHeight="false" outlineLevel="0" collapsed="false">
      <c r="AA3036" s="7" t="n">
        <f aca="false">AA3035+1</f>
        <v>43942</v>
      </c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</row>
    <row r="3037" customFormat="false" ht="13.8" hidden="false" customHeight="false" outlineLevel="0" collapsed="false">
      <c r="AA3037" s="7" t="n">
        <f aca="false">AA3036+1</f>
        <v>43943</v>
      </c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</row>
    <row r="3038" customFormat="false" ht="13.8" hidden="false" customHeight="false" outlineLevel="0" collapsed="false">
      <c r="AA3038" s="7" t="n">
        <f aca="false">AA3037+1</f>
        <v>43944</v>
      </c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</row>
    <row r="3039" customFormat="false" ht="13.8" hidden="false" customHeight="false" outlineLevel="0" collapsed="false">
      <c r="AA3039" s="7" t="n">
        <f aca="false">AA3038+1</f>
        <v>43945</v>
      </c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</row>
    <row r="3040" customFormat="false" ht="13.8" hidden="false" customHeight="false" outlineLevel="0" collapsed="false">
      <c r="AA3040" s="7" t="n">
        <f aca="false">AA3039+1</f>
        <v>43946</v>
      </c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</row>
    <row r="3041" customFormat="false" ht="13.8" hidden="false" customHeight="false" outlineLevel="0" collapsed="false">
      <c r="AA3041" s="7" t="n">
        <f aca="false">AA3040+1</f>
        <v>43947</v>
      </c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</row>
    <row r="3042" customFormat="false" ht="13.8" hidden="false" customHeight="false" outlineLevel="0" collapsed="false">
      <c r="AA3042" s="7" t="n">
        <f aca="false">AA3041+1</f>
        <v>43948</v>
      </c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</row>
    <row r="3043" customFormat="false" ht="13.8" hidden="false" customHeight="false" outlineLevel="0" collapsed="false">
      <c r="AA3043" s="7" t="n">
        <f aca="false">AA3042+1</f>
        <v>43949</v>
      </c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</row>
    <row r="3044" customFormat="false" ht="13.8" hidden="false" customHeight="false" outlineLevel="0" collapsed="false">
      <c r="AA3044" s="7" t="n">
        <f aca="false">AA3043+1</f>
        <v>43950</v>
      </c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</row>
    <row r="3045" customFormat="false" ht="13.8" hidden="false" customHeight="false" outlineLevel="0" collapsed="false">
      <c r="AA3045" s="7" t="n">
        <f aca="false">AA3044+1</f>
        <v>43951</v>
      </c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</row>
    <row r="3046" customFormat="false" ht="13.8" hidden="false" customHeight="false" outlineLevel="0" collapsed="false">
      <c r="AA3046" s="7" t="n">
        <f aca="false">AA3045+1</f>
        <v>43952</v>
      </c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</row>
    <row r="3047" customFormat="false" ht="13.8" hidden="false" customHeight="false" outlineLevel="0" collapsed="false">
      <c r="AA3047" s="7" t="n">
        <f aca="false">AA3046+1</f>
        <v>43953</v>
      </c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</row>
    <row r="3048" customFormat="false" ht="13.8" hidden="false" customHeight="false" outlineLevel="0" collapsed="false">
      <c r="AA3048" s="7" t="n">
        <f aca="false">AA3047+1</f>
        <v>43954</v>
      </c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</row>
    <row r="3049" customFormat="false" ht="13.8" hidden="false" customHeight="false" outlineLevel="0" collapsed="false">
      <c r="AA3049" s="7" t="n">
        <f aca="false">AA3048+1</f>
        <v>43955</v>
      </c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</row>
    <row r="3050" customFormat="false" ht="13.8" hidden="false" customHeight="false" outlineLevel="0" collapsed="false">
      <c r="AA3050" s="7" t="n">
        <f aca="false">AA3049+1</f>
        <v>43956</v>
      </c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</row>
    <row r="3051" customFormat="false" ht="13.8" hidden="false" customHeight="false" outlineLevel="0" collapsed="false">
      <c r="AA3051" s="7" t="n">
        <f aca="false">AA3050+1</f>
        <v>43957</v>
      </c>
      <c r="AB3051" s="14"/>
      <c r="AC3051" s="14"/>
      <c r="AD3051" s="14"/>
      <c r="AE3051" s="14"/>
      <c r="AF3051" s="14"/>
      <c r="AG3051" s="14"/>
      <c r="AH3051" s="14"/>
      <c r="AI3051" s="14"/>
      <c r="AJ3051" s="14"/>
      <c r="AK3051" s="14"/>
      <c r="AL3051" s="14"/>
      <c r="AM3051" s="14"/>
    </row>
    <row r="3052" customFormat="false" ht="13.8" hidden="false" customHeight="false" outlineLevel="0" collapsed="false">
      <c r="AA3052" s="7" t="n">
        <f aca="false">AA3051+1</f>
        <v>43958</v>
      </c>
      <c r="AB3052" s="14"/>
      <c r="AC3052" s="14"/>
      <c r="AD3052" s="14"/>
      <c r="AE3052" s="14"/>
      <c r="AF3052" s="14"/>
      <c r="AG3052" s="14"/>
      <c r="AH3052" s="14"/>
      <c r="AI3052" s="14"/>
      <c r="AJ3052" s="14"/>
      <c r="AK3052" s="14"/>
      <c r="AL3052" s="14"/>
      <c r="AM3052" s="14"/>
    </row>
    <row r="3053" customFormat="false" ht="13.8" hidden="false" customHeight="false" outlineLevel="0" collapsed="false">
      <c r="AA3053" s="7" t="n">
        <f aca="false">AA3052+1</f>
        <v>43959</v>
      </c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</row>
    <row r="3054" customFormat="false" ht="13.8" hidden="false" customHeight="false" outlineLevel="0" collapsed="false">
      <c r="AA3054" s="7" t="n">
        <f aca="false">AA3053+1</f>
        <v>43960</v>
      </c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</row>
    <row r="3055" customFormat="false" ht="13.8" hidden="false" customHeight="false" outlineLevel="0" collapsed="false">
      <c r="AA3055" s="7" t="n">
        <f aca="false">AA3054+1</f>
        <v>43961</v>
      </c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</row>
    <row r="3056" customFormat="false" ht="13.8" hidden="false" customHeight="false" outlineLevel="0" collapsed="false">
      <c r="AA3056" s="7" t="n">
        <f aca="false">AA3055+1</f>
        <v>43962</v>
      </c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</row>
    <row r="3057" customFormat="false" ht="13.8" hidden="false" customHeight="false" outlineLevel="0" collapsed="false">
      <c r="AA3057" s="7" t="n">
        <f aca="false">AA3056+1</f>
        <v>43963</v>
      </c>
      <c r="AB3057" s="14"/>
      <c r="AC3057" s="14"/>
      <c r="AD3057" s="14"/>
      <c r="AE3057" s="14"/>
      <c r="AF3057" s="14"/>
      <c r="AG3057" s="14"/>
      <c r="AH3057" s="14"/>
      <c r="AI3057" s="14"/>
      <c r="AJ3057" s="14"/>
      <c r="AK3057" s="14"/>
      <c r="AL3057" s="14"/>
      <c r="AM3057" s="14"/>
    </row>
    <row r="3058" customFormat="false" ht="13.8" hidden="false" customHeight="false" outlineLevel="0" collapsed="false">
      <c r="AA3058" s="7" t="n">
        <f aca="false">AA3057+1</f>
        <v>43964</v>
      </c>
      <c r="AB3058" s="14"/>
      <c r="AC3058" s="14"/>
      <c r="AD3058" s="14"/>
      <c r="AE3058" s="14"/>
      <c r="AF3058" s="14"/>
      <c r="AG3058" s="14"/>
      <c r="AH3058" s="14"/>
      <c r="AI3058" s="14"/>
      <c r="AJ3058" s="14"/>
      <c r="AK3058" s="14"/>
      <c r="AL3058" s="14"/>
      <c r="AM3058" s="14"/>
    </row>
    <row r="3059" customFormat="false" ht="13.8" hidden="false" customHeight="false" outlineLevel="0" collapsed="false">
      <c r="AA3059" s="7" t="n">
        <f aca="false">AA3058+1</f>
        <v>43965</v>
      </c>
      <c r="AB3059" s="14"/>
      <c r="AC3059" s="14"/>
      <c r="AD3059" s="14"/>
      <c r="AE3059" s="14"/>
      <c r="AF3059" s="14"/>
      <c r="AG3059" s="14"/>
      <c r="AH3059" s="14"/>
      <c r="AI3059" s="14"/>
      <c r="AJ3059" s="14"/>
      <c r="AK3059" s="14"/>
      <c r="AL3059" s="14"/>
      <c r="AM3059" s="14"/>
    </row>
    <row r="3060" customFormat="false" ht="13.8" hidden="false" customHeight="false" outlineLevel="0" collapsed="false">
      <c r="AA3060" s="7" t="n">
        <f aca="false">AA3059+1</f>
        <v>43966</v>
      </c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</row>
    <row r="3061" customFormat="false" ht="13.8" hidden="false" customHeight="false" outlineLevel="0" collapsed="false">
      <c r="AA3061" s="7" t="n">
        <f aca="false">AA3060+1</f>
        <v>43967</v>
      </c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14"/>
      <c r="AM3061" s="14"/>
    </row>
    <row r="3062" customFormat="false" ht="13.8" hidden="false" customHeight="false" outlineLevel="0" collapsed="false">
      <c r="AA3062" s="7" t="n">
        <f aca="false">AA3061+1</f>
        <v>43968</v>
      </c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</row>
    <row r="3063" customFormat="false" ht="13.8" hidden="false" customHeight="false" outlineLevel="0" collapsed="false">
      <c r="AA3063" s="7" t="n">
        <f aca="false">AA3062+1</f>
        <v>43969</v>
      </c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</row>
    <row r="3064" customFormat="false" ht="13.8" hidden="false" customHeight="false" outlineLevel="0" collapsed="false">
      <c r="AA3064" s="7" t="n">
        <f aca="false">AA3063+1</f>
        <v>43970</v>
      </c>
      <c r="AB3064" s="14"/>
      <c r="AC3064" s="14"/>
      <c r="AD3064" s="14"/>
      <c r="AE3064" s="14"/>
      <c r="AF3064" s="14"/>
      <c r="AG3064" s="14"/>
      <c r="AH3064" s="14"/>
      <c r="AI3064" s="14"/>
      <c r="AJ3064" s="14"/>
      <c r="AK3064" s="14"/>
      <c r="AL3064" s="14"/>
      <c r="AM3064" s="14"/>
    </row>
    <row r="3065" customFormat="false" ht="13.8" hidden="false" customHeight="false" outlineLevel="0" collapsed="false">
      <c r="AA3065" s="7" t="n">
        <f aca="false">AA3064+1</f>
        <v>43971</v>
      </c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</row>
    <row r="3066" customFormat="false" ht="13.8" hidden="false" customHeight="false" outlineLevel="0" collapsed="false">
      <c r="AA3066" s="7" t="n">
        <f aca="false">AA3065+1</f>
        <v>43972</v>
      </c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</row>
    <row r="3067" customFormat="false" ht="13.8" hidden="false" customHeight="false" outlineLevel="0" collapsed="false">
      <c r="AA3067" s="7" t="n">
        <f aca="false">AA3066+1</f>
        <v>43973</v>
      </c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</row>
    <row r="3068" customFormat="false" ht="13.8" hidden="false" customHeight="false" outlineLevel="0" collapsed="false">
      <c r="AA3068" s="7" t="n">
        <f aca="false">AA3067+1</f>
        <v>43974</v>
      </c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</row>
    <row r="3069" customFormat="false" ht="13.8" hidden="false" customHeight="false" outlineLevel="0" collapsed="false">
      <c r="AA3069" s="7" t="n">
        <f aca="false">AA3068+1</f>
        <v>43975</v>
      </c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</row>
    <row r="3070" customFormat="false" ht="13.8" hidden="false" customHeight="false" outlineLevel="0" collapsed="false">
      <c r="AA3070" s="7" t="n">
        <f aca="false">AA3069+1</f>
        <v>43976</v>
      </c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</row>
    <row r="3071" customFormat="false" ht="13.8" hidden="false" customHeight="false" outlineLevel="0" collapsed="false">
      <c r="AA3071" s="7" t="n">
        <f aca="false">AA3070+1</f>
        <v>43977</v>
      </c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</row>
    <row r="3072" customFormat="false" ht="13.8" hidden="false" customHeight="false" outlineLevel="0" collapsed="false">
      <c r="AA3072" s="7" t="n">
        <f aca="false">AA3071+1</f>
        <v>43978</v>
      </c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14"/>
      <c r="AM3072" s="14"/>
    </row>
    <row r="3073" customFormat="false" ht="13.8" hidden="false" customHeight="false" outlineLevel="0" collapsed="false">
      <c r="AA3073" s="7" t="n">
        <f aca="false">AA3072+1</f>
        <v>43979</v>
      </c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</row>
    <row r="3074" customFormat="false" ht="13.8" hidden="false" customHeight="false" outlineLevel="0" collapsed="false">
      <c r="AA3074" s="7" t="n">
        <f aca="false">AA3073+1</f>
        <v>43980</v>
      </c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</row>
    <row r="3075" customFormat="false" ht="13.8" hidden="false" customHeight="false" outlineLevel="0" collapsed="false">
      <c r="AA3075" s="7" t="n">
        <f aca="false">AA3074+1</f>
        <v>43981</v>
      </c>
      <c r="AB3075" s="14"/>
      <c r="AC3075" s="14"/>
      <c r="AD3075" s="14"/>
      <c r="AE3075" s="14"/>
      <c r="AF3075" s="14"/>
      <c r="AG3075" s="14"/>
      <c r="AH3075" s="14"/>
      <c r="AI3075" s="14"/>
      <c r="AJ3075" s="14"/>
      <c r="AK3075" s="14"/>
      <c r="AL3075" s="14"/>
      <c r="AM3075" s="14"/>
    </row>
    <row r="3076" customFormat="false" ht="13.8" hidden="false" customHeight="false" outlineLevel="0" collapsed="false">
      <c r="AA3076" s="7" t="n">
        <f aca="false">AA3075+1</f>
        <v>43982</v>
      </c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</row>
    <row r="3077" customFormat="false" ht="13.8" hidden="false" customHeight="false" outlineLevel="0" collapsed="false">
      <c r="AA3077" s="7" t="n">
        <f aca="false">AA3076+1</f>
        <v>43983</v>
      </c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</row>
    <row r="3078" customFormat="false" ht="13.8" hidden="false" customHeight="false" outlineLevel="0" collapsed="false">
      <c r="AA3078" s="7" t="n">
        <f aca="false">AA3077+1</f>
        <v>43984</v>
      </c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</row>
    <row r="3079" customFormat="false" ht="13.8" hidden="false" customHeight="false" outlineLevel="0" collapsed="false">
      <c r="AA3079" s="7" t="n">
        <f aca="false">AA3078+1</f>
        <v>43985</v>
      </c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</row>
    <row r="3080" customFormat="false" ht="13.8" hidden="false" customHeight="false" outlineLevel="0" collapsed="false">
      <c r="AA3080" s="7" t="n">
        <f aca="false">AA3079+1</f>
        <v>43986</v>
      </c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</row>
    <row r="3081" customFormat="false" ht="13.8" hidden="false" customHeight="false" outlineLevel="0" collapsed="false">
      <c r="AA3081" s="7" t="n">
        <f aca="false">AA3080+1</f>
        <v>43987</v>
      </c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</row>
    <row r="3082" customFormat="false" ht="13.8" hidden="false" customHeight="false" outlineLevel="0" collapsed="false">
      <c r="AA3082" s="7" t="n">
        <f aca="false">AA3081+1</f>
        <v>43988</v>
      </c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</row>
    <row r="3083" customFormat="false" ht="13.8" hidden="false" customHeight="false" outlineLevel="0" collapsed="false">
      <c r="AA3083" s="7" t="n">
        <f aca="false">AA3082+1</f>
        <v>43989</v>
      </c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</row>
    <row r="3084" customFormat="false" ht="13.8" hidden="false" customHeight="false" outlineLevel="0" collapsed="false">
      <c r="AA3084" s="7" t="n">
        <f aca="false">AA3083+1</f>
        <v>43990</v>
      </c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</row>
    <row r="3085" customFormat="false" ht="13.8" hidden="false" customHeight="false" outlineLevel="0" collapsed="false">
      <c r="AA3085" s="7" t="n">
        <f aca="false">AA3084+1</f>
        <v>43991</v>
      </c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</row>
    <row r="3086" customFormat="false" ht="13.8" hidden="false" customHeight="false" outlineLevel="0" collapsed="false">
      <c r="AA3086" s="7" t="n">
        <f aca="false">AA3085+1</f>
        <v>43992</v>
      </c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</row>
    <row r="3087" customFormat="false" ht="13.8" hidden="false" customHeight="false" outlineLevel="0" collapsed="false">
      <c r="AA3087" s="7" t="n">
        <f aca="false">AA3086+1</f>
        <v>43993</v>
      </c>
      <c r="AB3087" s="14"/>
      <c r="AC3087" s="14"/>
      <c r="AD3087" s="14"/>
      <c r="AE3087" s="14"/>
      <c r="AF3087" s="14"/>
      <c r="AG3087" s="14"/>
      <c r="AH3087" s="14"/>
      <c r="AI3087" s="14"/>
      <c r="AJ3087" s="14"/>
      <c r="AK3087" s="14"/>
      <c r="AL3087" s="14"/>
      <c r="AM3087" s="14"/>
    </row>
    <row r="3088" customFormat="false" ht="13.8" hidden="false" customHeight="false" outlineLevel="0" collapsed="false">
      <c r="AA3088" s="7" t="n">
        <f aca="false">AA3087+1</f>
        <v>43994</v>
      </c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</row>
    <row r="3089" customFormat="false" ht="13.8" hidden="false" customHeight="false" outlineLevel="0" collapsed="false">
      <c r="AA3089" s="7" t="n">
        <f aca="false">AA3088+1</f>
        <v>43995</v>
      </c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</row>
    <row r="3090" customFormat="false" ht="13.8" hidden="false" customHeight="false" outlineLevel="0" collapsed="false">
      <c r="AA3090" s="7" t="n">
        <f aca="false">AA3089+1</f>
        <v>43996</v>
      </c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</row>
    <row r="3091" customFormat="false" ht="13.8" hidden="false" customHeight="false" outlineLevel="0" collapsed="false">
      <c r="AA3091" s="7" t="n">
        <f aca="false">AA3090+1</f>
        <v>43997</v>
      </c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</row>
    <row r="3092" customFormat="false" ht="13.8" hidden="false" customHeight="false" outlineLevel="0" collapsed="false">
      <c r="AA3092" s="7" t="n">
        <f aca="false">AA3091+1</f>
        <v>43998</v>
      </c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14"/>
      <c r="AM3092" s="14"/>
    </row>
    <row r="3093" customFormat="false" ht="13.8" hidden="false" customHeight="false" outlineLevel="0" collapsed="false">
      <c r="AA3093" s="7" t="n">
        <f aca="false">AA3092+1</f>
        <v>43999</v>
      </c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</row>
    <row r="3094" customFormat="false" ht="13.8" hidden="false" customHeight="false" outlineLevel="0" collapsed="false">
      <c r="AA3094" s="7" t="n">
        <f aca="false">AA3093+1</f>
        <v>44000</v>
      </c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</row>
    <row r="3095" customFormat="false" ht="13.8" hidden="false" customHeight="false" outlineLevel="0" collapsed="false">
      <c r="AA3095" s="7" t="n">
        <f aca="false">AA3094+1</f>
        <v>44001</v>
      </c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</row>
    <row r="3096" customFormat="false" ht="13.8" hidden="false" customHeight="false" outlineLevel="0" collapsed="false">
      <c r="AA3096" s="7" t="n">
        <f aca="false">AA3095+1</f>
        <v>44002</v>
      </c>
      <c r="AB3096" s="14"/>
      <c r="AC3096" s="14"/>
      <c r="AD3096" s="14"/>
      <c r="AE3096" s="14"/>
      <c r="AF3096" s="14"/>
      <c r="AG3096" s="14"/>
      <c r="AH3096" s="14"/>
      <c r="AI3096" s="14"/>
      <c r="AJ3096" s="14"/>
      <c r="AK3096" s="14"/>
      <c r="AL3096" s="14"/>
      <c r="AM3096" s="14"/>
    </row>
    <row r="3097" customFormat="false" ht="13.8" hidden="false" customHeight="false" outlineLevel="0" collapsed="false">
      <c r="AA3097" s="7" t="n">
        <f aca="false">AA3096+1</f>
        <v>44003</v>
      </c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</row>
    <row r="3098" customFormat="false" ht="13.8" hidden="false" customHeight="false" outlineLevel="0" collapsed="false">
      <c r="AA3098" s="7" t="n">
        <f aca="false">AA3097+1</f>
        <v>44004</v>
      </c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</row>
    <row r="3099" customFormat="false" ht="13.8" hidden="false" customHeight="false" outlineLevel="0" collapsed="false">
      <c r="AA3099" s="7" t="n">
        <f aca="false">AA3098+1</f>
        <v>44005</v>
      </c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</row>
    <row r="3100" customFormat="false" ht="13.8" hidden="false" customHeight="false" outlineLevel="0" collapsed="false">
      <c r="AA3100" s="7" t="n">
        <f aca="false">AA3099+1</f>
        <v>44006</v>
      </c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</row>
    <row r="3101" customFormat="false" ht="13.8" hidden="false" customHeight="false" outlineLevel="0" collapsed="false">
      <c r="AA3101" s="7" t="n">
        <f aca="false">AA3100+1</f>
        <v>44007</v>
      </c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</row>
    <row r="3102" customFormat="false" ht="13.8" hidden="false" customHeight="false" outlineLevel="0" collapsed="false">
      <c r="AA3102" s="7" t="n">
        <f aca="false">AA3101+1</f>
        <v>44008</v>
      </c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</row>
    <row r="3103" customFormat="false" ht="13.8" hidden="false" customHeight="false" outlineLevel="0" collapsed="false">
      <c r="AA3103" s="7" t="n">
        <f aca="false">AA3102+1</f>
        <v>44009</v>
      </c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</row>
    <row r="3104" customFormat="false" ht="13.8" hidden="false" customHeight="false" outlineLevel="0" collapsed="false">
      <c r="AA3104" s="7" t="n">
        <f aca="false">AA3103+1</f>
        <v>44010</v>
      </c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</row>
    <row r="3105" customFormat="false" ht="13.8" hidden="false" customHeight="false" outlineLevel="0" collapsed="false">
      <c r="AA3105" s="7" t="n">
        <f aca="false">AA3104+1</f>
        <v>44011</v>
      </c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</row>
    <row r="3106" customFormat="false" ht="13.8" hidden="false" customHeight="false" outlineLevel="0" collapsed="false">
      <c r="AA3106" s="7" t="n">
        <f aca="false">AA3105+1</f>
        <v>44012</v>
      </c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</row>
    <row r="3107" customFormat="false" ht="13.8" hidden="false" customHeight="false" outlineLevel="0" collapsed="false">
      <c r="AA3107" s="7" t="n">
        <f aca="false">AA3106+1</f>
        <v>44013</v>
      </c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</row>
    <row r="3108" customFormat="false" ht="13.8" hidden="false" customHeight="false" outlineLevel="0" collapsed="false">
      <c r="AA3108" s="7" t="n">
        <f aca="false">AA3107+1</f>
        <v>44014</v>
      </c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</row>
    <row r="3109" customFormat="false" ht="13.8" hidden="false" customHeight="false" outlineLevel="0" collapsed="false">
      <c r="AA3109" s="7" t="n">
        <f aca="false">AA3108+1</f>
        <v>44015</v>
      </c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</row>
    <row r="3110" customFormat="false" ht="13.8" hidden="false" customHeight="false" outlineLevel="0" collapsed="false">
      <c r="AA3110" s="7" t="n">
        <f aca="false">AA3109+1</f>
        <v>44016</v>
      </c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</row>
    <row r="3111" customFormat="false" ht="13.8" hidden="false" customHeight="false" outlineLevel="0" collapsed="false">
      <c r="AA3111" s="7" t="n">
        <f aca="false">AA3110+1</f>
        <v>44017</v>
      </c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</row>
    <row r="3112" customFormat="false" ht="13.8" hidden="false" customHeight="false" outlineLevel="0" collapsed="false">
      <c r="AA3112" s="7" t="n">
        <f aca="false">AA3111+1</f>
        <v>44018</v>
      </c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</row>
    <row r="3113" customFormat="false" ht="13.8" hidden="false" customHeight="false" outlineLevel="0" collapsed="false">
      <c r="AA3113" s="7" t="n">
        <f aca="false">AA3112+1</f>
        <v>44019</v>
      </c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</row>
    <row r="3114" customFormat="false" ht="13.8" hidden="false" customHeight="false" outlineLevel="0" collapsed="false">
      <c r="AA3114" s="7" t="n">
        <f aca="false">AA3113+1</f>
        <v>44020</v>
      </c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</row>
    <row r="3115" customFormat="false" ht="13.8" hidden="false" customHeight="false" outlineLevel="0" collapsed="false">
      <c r="AA3115" s="7" t="n">
        <f aca="false">AA3114+1</f>
        <v>44021</v>
      </c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</row>
    <row r="3116" customFormat="false" ht="13.8" hidden="false" customHeight="false" outlineLevel="0" collapsed="false">
      <c r="AA3116" s="7" t="n">
        <f aca="false">AA3115+1</f>
        <v>44022</v>
      </c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</row>
    <row r="3117" customFormat="false" ht="13.8" hidden="false" customHeight="false" outlineLevel="0" collapsed="false">
      <c r="AA3117" s="7" t="n">
        <f aca="false">AA3116+1</f>
        <v>44023</v>
      </c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</row>
    <row r="3118" customFormat="false" ht="13.8" hidden="false" customHeight="false" outlineLevel="0" collapsed="false">
      <c r="AA3118" s="7" t="n">
        <f aca="false">AA3117+1</f>
        <v>44024</v>
      </c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</row>
    <row r="3119" customFormat="false" ht="13.8" hidden="false" customHeight="false" outlineLevel="0" collapsed="false">
      <c r="AA3119" s="7" t="n">
        <f aca="false">AA3118+1</f>
        <v>44025</v>
      </c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</row>
    <row r="3120" customFormat="false" ht="13.8" hidden="false" customHeight="false" outlineLevel="0" collapsed="false">
      <c r="AA3120" s="7" t="n">
        <f aca="false">AA3119+1</f>
        <v>44026</v>
      </c>
      <c r="AB3120" s="14"/>
      <c r="AC3120" s="14"/>
      <c r="AD3120" s="14"/>
      <c r="AE3120" s="14"/>
      <c r="AF3120" s="14"/>
      <c r="AG3120" s="14"/>
      <c r="AH3120" s="14"/>
      <c r="AI3120" s="14"/>
      <c r="AJ3120" s="14"/>
      <c r="AK3120" s="14"/>
      <c r="AL3120" s="14"/>
      <c r="AM3120" s="14"/>
    </row>
    <row r="3121" customFormat="false" ht="13.8" hidden="false" customHeight="false" outlineLevel="0" collapsed="false">
      <c r="AA3121" s="7" t="n">
        <f aca="false">AA3120+1</f>
        <v>44027</v>
      </c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</row>
    <row r="3122" customFormat="false" ht="13.8" hidden="false" customHeight="false" outlineLevel="0" collapsed="false">
      <c r="AA3122" s="7" t="n">
        <f aca="false">AA3121+1</f>
        <v>44028</v>
      </c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</row>
    <row r="3123" customFormat="false" ht="13.8" hidden="false" customHeight="false" outlineLevel="0" collapsed="false">
      <c r="AA3123" s="7" t="n">
        <f aca="false">AA3122+1</f>
        <v>44029</v>
      </c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</row>
    <row r="3124" customFormat="false" ht="13.8" hidden="false" customHeight="false" outlineLevel="0" collapsed="false">
      <c r="AA3124" s="7" t="n">
        <f aca="false">AA3123+1</f>
        <v>44030</v>
      </c>
      <c r="AB3124" s="14"/>
      <c r="AC3124" s="14"/>
      <c r="AD3124" s="14"/>
      <c r="AE3124" s="14"/>
      <c r="AF3124" s="14"/>
      <c r="AG3124" s="14"/>
      <c r="AH3124" s="14"/>
      <c r="AI3124" s="14"/>
      <c r="AJ3124" s="14"/>
      <c r="AK3124" s="14"/>
      <c r="AL3124" s="14"/>
      <c r="AM3124" s="14"/>
    </row>
    <row r="3125" customFormat="false" ht="13.8" hidden="false" customHeight="false" outlineLevel="0" collapsed="false">
      <c r="AA3125" s="7" t="n">
        <f aca="false">AA3124+1</f>
        <v>44031</v>
      </c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</row>
    <row r="3126" customFormat="false" ht="13.8" hidden="false" customHeight="false" outlineLevel="0" collapsed="false">
      <c r="AA3126" s="7" t="n">
        <f aca="false">AA3125+1</f>
        <v>44032</v>
      </c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</row>
    <row r="3127" customFormat="false" ht="13.8" hidden="false" customHeight="false" outlineLevel="0" collapsed="false">
      <c r="AA3127" s="7" t="n">
        <f aca="false">AA3126+1</f>
        <v>44033</v>
      </c>
      <c r="AB3127" s="14"/>
      <c r="AC3127" s="14"/>
      <c r="AD3127" s="14"/>
      <c r="AE3127" s="14"/>
      <c r="AF3127" s="14"/>
      <c r="AG3127" s="14"/>
      <c r="AH3127" s="14"/>
      <c r="AI3127" s="14"/>
      <c r="AJ3127" s="14"/>
      <c r="AK3127" s="14"/>
      <c r="AL3127" s="14"/>
      <c r="AM3127" s="14"/>
    </row>
    <row r="3128" customFormat="false" ht="13.8" hidden="false" customHeight="false" outlineLevel="0" collapsed="false">
      <c r="AA3128" s="7" t="n">
        <f aca="false">AA3127+1</f>
        <v>44034</v>
      </c>
      <c r="AB3128" s="14"/>
      <c r="AC3128" s="14"/>
      <c r="AD3128" s="14"/>
      <c r="AE3128" s="14"/>
      <c r="AF3128" s="14"/>
      <c r="AG3128" s="14"/>
      <c r="AH3128" s="14"/>
      <c r="AI3128" s="14"/>
      <c r="AJ3128" s="14"/>
      <c r="AK3128" s="14"/>
      <c r="AL3128" s="14"/>
      <c r="AM3128" s="14"/>
    </row>
    <row r="3129" customFormat="false" ht="13.8" hidden="false" customHeight="false" outlineLevel="0" collapsed="false">
      <c r="AA3129" s="7" t="n">
        <f aca="false">AA3128+1</f>
        <v>44035</v>
      </c>
      <c r="AB3129" s="14"/>
      <c r="AC3129" s="14"/>
      <c r="AD3129" s="14"/>
      <c r="AE3129" s="14"/>
      <c r="AF3129" s="14"/>
      <c r="AG3129" s="14"/>
      <c r="AH3129" s="14"/>
      <c r="AI3129" s="14"/>
      <c r="AJ3129" s="14"/>
      <c r="AK3129" s="14"/>
      <c r="AL3129" s="14"/>
      <c r="AM3129" s="14"/>
    </row>
    <row r="3130" customFormat="false" ht="13.8" hidden="false" customHeight="false" outlineLevel="0" collapsed="false">
      <c r="AA3130" s="7" t="n">
        <f aca="false">AA3129+1</f>
        <v>44036</v>
      </c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</row>
    <row r="3131" customFormat="false" ht="13.8" hidden="false" customHeight="false" outlineLevel="0" collapsed="false">
      <c r="AA3131" s="7" t="n">
        <f aca="false">AA3130+1</f>
        <v>44037</v>
      </c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</row>
    <row r="3132" customFormat="false" ht="13.8" hidden="false" customHeight="false" outlineLevel="0" collapsed="false">
      <c r="AA3132" s="7" t="n">
        <f aca="false">AA3131+1</f>
        <v>44038</v>
      </c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</row>
    <row r="3133" customFormat="false" ht="13.8" hidden="false" customHeight="false" outlineLevel="0" collapsed="false">
      <c r="AA3133" s="7" t="n">
        <f aca="false">AA3132+1</f>
        <v>44039</v>
      </c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</row>
    <row r="3134" customFormat="false" ht="13.8" hidden="false" customHeight="false" outlineLevel="0" collapsed="false">
      <c r="AA3134" s="7" t="n">
        <f aca="false">AA3133+1</f>
        <v>44040</v>
      </c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</row>
    <row r="3135" customFormat="false" ht="13.8" hidden="false" customHeight="false" outlineLevel="0" collapsed="false">
      <c r="AA3135" s="7" t="n">
        <f aca="false">AA3134+1</f>
        <v>44041</v>
      </c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</row>
    <row r="3136" customFormat="false" ht="13.8" hidden="false" customHeight="false" outlineLevel="0" collapsed="false">
      <c r="AA3136" s="7" t="n">
        <f aca="false">AA3135+1</f>
        <v>44042</v>
      </c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</row>
    <row r="3137" customFormat="false" ht="13.8" hidden="false" customHeight="false" outlineLevel="0" collapsed="false">
      <c r="AA3137" s="7" t="n">
        <f aca="false">AA3136+1</f>
        <v>44043</v>
      </c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</row>
    <row r="3138" customFormat="false" ht="13.8" hidden="false" customHeight="false" outlineLevel="0" collapsed="false">
      <c r="AA3138" s="7" t="n">
        <f aca="false">AA3137+1</f>
        <v>44044</v>
      </c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</row>
    <row r="3139" customFormat="false" ht="13.8" hidden="false" customHeight="false" outlineLevel="0" collapsed="false">
      <c r="AA3139" s="7" t="n">
        <f aca="false">AA3138+1</f>
        <v>44045</v>
      </c>
      <c r="AB3139" s="14"/>
      <c r="AC3139" s="14"/>
      <c r="AD3139" s="14"/>
      <c r="AE3139" s="14"/>
      <c r="AF3139" s="14"/>
      <c r="AG3139" s="14"/>
      <c r="AH3139" s="14"/>
      <c r="AI3139" s="14"/>
      <c r="AJ3139" s="14"/>
      <c r="AK3139" s="14"/>
      <c r="AL3139" s="14"/>
      <c r="AM3139" s="14"/>
    </row>
    <row r="3140" customFormat="false" ht="13.8" hidden="false" customHeight="false" outlineLevel="0" collapsed="false">
      <c r="AA3140" s="7" t="n">
        <f aca="false">AA3139+1</f>
        <v>44046</v>
      </c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</row>
    <row r="3141" customFormat="false" ht="13.8" hidden="false" customHeight="false" outlineLevel="0" collapsed="false">
      <c r="AA3141" s="7" t="n">
        <f aca="false">AA3140+1</f>
        <v>44047</v>
      </c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</row>
    <row r="3142" customFormat="false" ht="13.8" hidden="false" customHeight="false" outlineLevel="0" collapsed="false">
      <c r="AA3142" s="7" t="n">
        <f aca="false">AA3141+1</f>
        <v>44048</v>
      </c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</row>
    <row r="3143" customFormat="false" ht="13.8" hidden="false" customHeight="false" outlineLevel="0" collapsed="false">
      <c r="AA3143" s="7" t="n">
        <f aca="false">AA3142+1</f>
        <v>44049</v>
      </c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</row>
    <row r="3144" customFormat="false" ht="13.8" hidden="false" customHeight="false" outlineLevel="0" collapsed="false">
      <c r="AA3144" s="7" t="n">
        <f aca="false">AA3143+1</f>
        <v>44050</v>
      </c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</row>
    <row r="3145" customFormat="false" ht="13.8" hidden="false" customHeight="false" outlineLevel="0" collapsed="false">
      <c r="AA3145" s="7" t="n">
        <f aca="false">AA3144+1</f>
        <v>44051</v>
      </c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</row>
    <row r="3146" customFormat="false" ht="13.8" hidden="false" customHeight="false" outlineLevel="0" collapsed="false">
      <c r="AA3146" s="7" t="n">
        <f aca="false">AA3145+1</f>
        <v>44052</v>
      </c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</row>
    <row r="3147" customFormat="false" ht="13.8" hidden="false" customHeight="false" outlineLevel="0" collapsed="false">
      <c r="AA3147" s="7" t="n">
        <f aca="false">AA3146+1</f>
        <v>44053</v>
      </c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</row>
    <row r="3148" customFormat="false" ht="13.8" hidden="false" customHeight="false" outlineLevel="0" collapsed="false">
      <c r="AA3148" s="7" t="n">
        <f aca="false">AA3147+1</f>
        <v>44054</v>
      </c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</row>
    <row r="3149" customFormat="false" ht="13.8" hidden="false" customHeight="false" outlineLevel="0" collapsed="false">
      <c r="AA3149" s="7" t="n">
        <f aca="false">AA3148+1</f>
        <v>44055</v>
      </c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</row>
    <row r="3150" customFormat="false" ht="13.8" hidden="false" customHeight="false" outlineLevel="0" collapsed="false">
      <c r="AA3150" s="7" t="n">
        <f aca="false">AA3149+1</f>
        <v>44056</v>
      </c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</row>
    <row r="3151" customFormat="false" ht="13.8" hidden="false" customHeight="false" outlineLevel="0" collapsed="false">
      <c r="AA3151" s="7" t="n">
        <f aca="false">AA3150+1</f>
        <v>44057</v>
      </c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</row>
    <row r="3152" customFormat="false" ht="13.8" hidden="false" customHeight="false" outlineLevel="0" collapsed="false">
      <c r="AA3152" s="7" t="n">
        <f aca="false">AA3151+1</f>
        <v>44058</v>
      </c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</row>
    <row r="3153" customFormat="false" ht="13.8" hidden="false" customHeight="false" outlineLevel="0" collapsed="false">
      <c r="AA3153" s="7" t="n">
        <f aca="false">AA3152+1</f>
        <v>44059</v>
      </c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</row>
    <row r="3154" customFormat="false" ht="13.8" hidden="false" customHeight="false" outlineLevel="0" collapsed="false">
      <c r="AA3154" s="7" t="n">
        <f aca="false">AA3153+1</f>
        <v>44060</v>
      </c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</row>
    <row r="3155" customFormat="false" ht="13.8" hidden="false" customHeight="false" outlineLevel="0" collapsed="false">
      <c r="AA3155" s="7" t="n">
        <f aca="false">AA3154+1</f>
        <v>44061</v>
      </c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</row>
    <row r="3156" customFormat="false" ht="13.8" hidden="false" customHeight="false" outlineLevel="0" collapsed="false">
      <c r="AA3156" s="7" t="n">
        <f aca="false">AA3155+1</f>
        <v>44062</v>
      </c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</row>
    <row r="3157" customFormat="false" ht="13.8" hidden="false" customHeight="false" outlineLevel="0" collapsed="false">
      <c r="AA3157" s="7" t="n">
        <f aca="false">AA3156+1</f>
        <v>44063</v>
      </c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</row>
    <row r="3158" customFormat="false" ht="13.8" hidden="false" customHeight="false" outlineLevel="0" collapsed="false">
      <c r="AA3158" s="7" t="n">
        <f aca="false">AA3157+1</f>
        <v>44064</v>
      </c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</row>
    <row r="3159" customFormat="false" ht="13.8" hidden="false" customHeight="false" outlineLevel="0" collapsed="false">
      <c r="AA3159" s="7" t="n">
        <f aca="false">AA3158+1</f>
        <v>44065</v>
      </c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</row>
    <row r="3160" customFormat="false" ht="13.8" hidden="false" customHeight="false" outlineLevel="0" collapsed="false">
      <c r="AA3160" s="7" t="n">
        <f aca="false">AA3159+1</f>
        <v>44066</v>
      </c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</row>
    <row r="3161" customFormat="false" ht="13.8" hidden="false" customHeight="false" outlineLevel="0" collapsed="false">
      <c r="AA3161" s="7" t="n">
        <f aca="false">AA3160+1</f>
        <v>44067</v>
      </c>
      <c r="AB3161" s="14"/>
      <c r="AC3161" s="14"/>
      <c r="AD3161" s="14"/>
      <c r="AE3161" s="14"/>
      <c r="AF3161" s="14"/>
      <c r="AG3161" s="14"/>
      <c r="AH3161" s="14"/>
      <c r="AI3161" s="14"/>
      <c r="AJ3161" s="14"/>
      <c r="AK3161" s="14"/>
      <c r="AL3161" s="14"/>
      <c r="AM3161" s="14"/>
    </row>
    <row r="3162" customFormat="false" ht="13.8" hidden="false" customHeight="false" outlineLevel="0" collapsed="false">
      <c r="AA3162" s="7" t="n">
        <f aca="false">AA3161+1</f>
        <v>44068</v>
      </c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</row>
    <row r="3163" customFormat="false" ht="13.8" hidden="false" customHeight="false" outlineLevel="0" collapsed="false">
      <c r="AA3163" s="7" t="n">
        <f aca="false">AA3162+1</f>
        <v>44069</v>
      </c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</row>
    <row r="3164" customFormat="false" ht="13.8" hidden="false" customHeight="false" outlineLevel="0" collapsed="false">
      <c r="AA3164" s="7" t="n">
        <f aca="false">AA3163+1</f>
        <v>44070</v>
      </c>
      <c r="AB3164" s="14"/>
      <c r="AC3164" s="14"/>
      <c r="AD3164" s="14"/>
      <c r="AE3164" s="14"/>
      <c r="AF3164" s="14"/>
      <c r="AG3164" s="14"/>
      <c r="AH3164" s="14"/>
      <c r="AI3164" s="14"/>
      <c r="AJ3164" s="14"/>
      <c r="AK3164" s="14"/>
      <c r="AL3164" s="14"/>
      <c r="AM3164" s="14"/>
    </row>
    <row r="3165" customFormat="false" ht="13.8" hidden="false" customHeight="false" outlineLevel="0" collapsed="false">
      <c r="AA3165" s="7" t="n">
        <f aca="false">AA3164+1</f>
        <v>44071</v>
      </c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</row>
    <row r="3166" customFormat="false" ht="13.8" hidden="false" customHeight="false" outlineLevel="0" collapsed="false">
      <c r="AA3166" s="7" t="n">
        <f aca="false">AA3165+1</f>
        <v>44072</v>
      </c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</row>
    <row r="3167" customFormat="false" ht="13.8" hidden="false" customHeight="false" outlineLevel="0" collapsed="false">
      <c r="AA3167" s="7" t="n">
        <f aca="false">AA3166+1</f>
        <v>44073</v>
      </c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</row>
    <row r="3168" customFormat="false" ht="13.8" hidden="false" customHeight="false" outlineLevel="0" collapsed="false">
      <c r="AA3168" s="7" t="n">
        <f aca="false">AA3167+1</f>
        <v>44074</v>
      </c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</row>
    <row r="3169" customFormat="false" ht="13.8" hidden="false" customHeight="false" outlineLevel="0" collapsed="false">
      <c r="AA3169" s="7" t="n">
        <f aca="false">AA3168+1</f>
        <v>44075</v>
      </c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</row>
    <row r="3170" customFormat="false" ht="13.8" hidden="false" customHeight="false" outlineLevel="0" collapsed="false">
      <c r="AA3170" s="7" t="n">
        <f aca="false">AA3169+1</f>
        <v>44076</v>
      </c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</row>
    <row r="3171" customFormat="false" ht="13.8" hidden="false" customHeight="false" outlineLevel="0" collapsed="false">
      <c r="AA3171" s="7" t="n">
        <f aca="false">AA3170+1</f>
        <v>44077</v>
      </c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</row>
    <row r="3172" customFormat="false" ht="13.8" hidden="false" customHeight="false" outlineLevel="0" collapsed="false">
      <c r="AA3172" s="7" t="n">
        <f aca="false">AA3171+1</f>
        <v>44078</v>
      </c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</row>
    <row r="3173" customFormat="false" ht="13.8" hidden="false" customHeight="false" outlineLevel="0" collapsed="false">
      <c r="AA3173" s="7" t="n">
        <f aca="false">AA3172+1</f>
        <v>44079</v>
      </c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</row>
    <row r="3174" customFormat="false" ht="13.8" hidden="false" customHeight="false" outlineLevel="0" collapsed="false">
      <c r="AA3174" s="7" t="n">
        <f aca="false">AA3173+1</f>
        <v>44080</v>
      </c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</row>
    <row r="3175" customFormat="false" ht="13.8" hidden="false" customHeight="false" outlineLevel="0" collapsed="false">
      <c r="AA3175" s="7" t="n">
        <f aca="false">AA3174+1</f>
        <v>44081</v>
      </c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</row>
    <row r="3176" customFormat="false" ht="13.8" hidden="false" customHeight="false" outlineLevel="0" collapsed="false">
      <c r="AA3176" s="7" t="n">
        <f aca="false">AA3175+1</f>
        <v>44082</v>
      </c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</row>
    <row r="3177" customFormat="false" ht="13.8" hidden="false" customHeight="false" outlineLevel="0" collapsed="false">
      <c r="AA3177" s="7" t="n">
        <f aca="false">AA3176+1</f>
        <v>44083</v>
      </c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</row>
    <row r="3178" customFormat="false" ht="13.8" hidden="false" customHeight="false" outlineLevel="0" collapsed="false">
      <c r="AA3178" s="7" t="n">
        <f aca="false">AA3177+1</f>
        <v>44084</v>
      </c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</row>
    <row r="3179" customFormat="false" ht="13.8" hidden="false" customHeight="false" outlineLevel="0" collapsed="false">
      <c r="AA3179" s="7" t="n">
        <f aca="false">AA3178+1</f>
        <v>44085</v>
      </c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</row>
    <row r="3180" customFormat="false" ht="13.8" hidden="false" customHeight="false" outlineLevel="0" collapsed="false">
      <c r="AA3180" s="7" t="n">
        <f aca="false">AA3179+1</f>
        <v>44086</v>
      </c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</row>
    <row r="3181" customFormat="false" ht="13.8" hidden="false" customHeight="false" outlineLevel="0" collapsed="false">
      <c r="AA3181" s="7" t="n">
        <f aca="false">AA3180+1</f>
        <v>44087</v>
      </c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</row>
    <row r="3182" customFormat="false" ht="13.8" hidden="false" customHeight="false" outlineLevel="0" collapsed="false">
      <c r="AA3182" s="7" t="n">
        <f aca="false">AA3181+1</f>
        <v>44088</v>
      </c>
      <c r="AB3182" s="14"/>
      <c r="AC3182" s="14"/>
      <c r="AD3182" s="14"/>
      <c r="AE3182" s="14"/>
      <c r="AF3182" s="14"/>
      <c r="AG3182" s="14"/>
      <c r="AH3182" s="14"/>
      <c r="AI3182" s="14"/>
      <c r="AJ3182" s="14"/>
      <c r="AK3182" s="14"/>
      <c r="AL3182" s="14"/>
      <c r="AM3182" s="14"/>
    </row>
    <row r="3183" customFormat="false" ht="13.8" hidden="false" customHeight="false" outlineLevel="0" collapsed="false">
      <c r="AA3183" s="7" t="n">
        <f aca="false">AA3182+1</f>
        <v>44089</v>
      </c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</row>
    <row r="3184" customFormat="false" ht="13.8" hidden="false" customHeight="false" outlineLevel="0" collapsed="false">
      <c r="AA3184" s="7" t="n">
        <f aca="false">AA3183+1</f>
        <v>44090</v>
      </c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</row>
    <row r="3185" customFormat="false" ht="13.8" hidden="false" customHeight="false" outlineLevel="0" collapsed="false">
      <c r="AA3185" s="7" t="n">
        <f aca="false">AA3184+1</f>
        <v>44091</v>
      </c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</row>
    <row r="3186" customFormat="false" ht="13.8" hidden="false" customHeight="false" outlineLevel="0" collapsed="false">
      <c r="AA3186" s="7" t="n">
        <f aca="false">AA3185+1</f>
        <v>44092</v>
      </c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</row>
    <row r="3187" customFormat="false" ht="13.8" hidden="false" customHeight="false" outlineLevel="0" collapsed="false">
      <c r="AA3187" s="7" t="n">
        <f aca="false">AA3186+1</f>
        <v>44093</v>
      </c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</row>
    <row r="3188" customFormat="false" ht="13.8" hidden="false" customHeight="false" outlineLevel="0" collapsed="false">
      <c r="AA3188" s="7" t="n">
        <f aca="false">AA3187+1</f>
        <v>44094</v>
      </c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</row>
    <row r="3189" customFormat="false" ht="13.8" hidden="false" customHeight="false" outlineLevel="0" collapsed="false">
      <c r="AA3189" s="7" t="n">
        <f aca="false">AA3188+1</f>
        <v>44095</v>
      </c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</row>
    <row r="3190" customFormat="false" ht="13.8" hidden="false" customHeight="false" outlineLevel="0" collapsed="false">
      <c r="AA3190" s="7" t="n">
        <f aca="false">AA3189+1</f>
        <v>44096</v>
      </c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</row>
    <row r="3191" customFormat="false" ht="13.8" hidden="false" customHeight="false" outlineLevel="0" collapsed="false">
      <c r="AA3191" s="7" t="n">
        <f aca="false">AA3190+1</f>
        <v>44097</v>
      </c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</row>
    <row r="3192" customFormat="false" ht="13.8" hidden="false" customHeight="false" outlineLevel="0" collapsed="false">
      <c r="AA3192" s="7" t="n">
        <f aca="false">AA3191+1</f>
        <v>44098</v>
      </c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</row>
    <row r="3193" customFormat="false" ht="13.8" hidden="false" customHeight="false" outlineLevel="0" collapsed="false">
      <c r="AA3193" s="7" t="n">
        <f aca="false">AA3192+1</f>
        <v>44099</v>
      </c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</row>
    <row r="3194" customFormat="false" ht="13.8" hidden="false" customHeight="false" outlineLevel="0" collapsed="false">
      <c r="AA3194" s="7" t="n">
        <f aca="false">AA3193+1</f>
        <v>44100</v>
      </c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</row>
    <row r="3195" customFormat="false" ht="13.8" hidden="false" customHeight="false" outlineLevel="0" collapsed="false">
      <c r="AA3195" s="7" t="n">
        <f aca="false">AA3194+1</f>
        <v>44101</v>
      </c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</row>
    <row r="3196" customFormat="false" ht="13.8" hidden="false" customHeight="false" outlineLevel="0" collapsed="false">
      <c r="AA3196" s="7" t="n">
        <f aca="false">AA3195+1</f>
        <v>44102</v>
      </c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</row>
    <row r="3197" customFormat="false" ht="13.8" hidden="false" customHeight="false" outlineLevel="0" collapsed="false">
      <c r="AA3197" s="7" t="n">
        <f aca="false">AA3196+1</f>
        <v>44103</v>
      </c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</row>
    <row r="3198" customFormat="false" ht="13.8" hidden="false" customHeight="false" outlineLevel="0" collapsed="false">
      <c r="AA3198" s="7" t="n">
        <f aca="false">AA3197+1</f>
        <v>44104</v>
      </c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</row>
    <row r="3199" customFormat="false" ht="13.8" hidden="false" customHeight="false" outlineLevel="0" collapsed="false">
      <c r="AA3199" s="7" t="n">
        <f aca="false">AA3198+1</f>
        <v>44105</v>
      </c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</row>
    <row r="3200" customFormat="false" ht="13.8" hidden="false" customHeight="false" outlineLevel="0" collapsed="false">
      <c r="AA3200" s="7" t="n">
        <f aca="false">AA3199+1</f>
        <v>44106</v>
      </c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</row>
    <row r="3201" customFormat="false" ht="13.8" hidden="false" customHeight="false" outlineLevel="0" collapsed="false">
      <c r="AA3201" s="7" t="n">
        <f aca="false">AA3200+1</f>
        <v>44107</v>
      </c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</row>
    <row r="3202" customFormat="false" ht="13.8" hidden="false" customHeight="false" outlineLevel="0" collapsed="false">
      <c r="AA3202" s="7" t="n">
        <f aca="false">AA3201+1</f>
        <v>44108</v>
      </c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</row>
    <row r="3203" customFormat="false" ht="13.8" hidden="false" customHeight="false" outlineLevel="0" collapsed="false">
      <c r="AA3203" s="7" t="n">
        <f aca="false">AA3202+1</f>
        <v>44109</v>
      </c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</row>
    <row r="3204" customFormat="false" ht="13.8" hidden="false" customHeight="false" outlineLevel="0" collapsed="false">
      <c r="AA3204" s="7" t="n">
        <f aca="false">AA3203+1</f>
        <v>44110</v>
      </c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</row>
    <row r="3205" customFormat="false" ht="13.8" hidden="false" customHeight="false" outlineLevel="0" collapsed="false">
      <c r="AA3205" s="7" t="n">
        <f aca="false">AA3204+1</f>
        <v>44111</v>
      </c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</row>
    <row r="3206" customFormat="false" ht="13.8" hidden="false" customHeight="false" outlineLevel="0" collapsed="false">
      <c r="AA3206" s="7" t="n">
        <f aca="false">AA3205+1</f>
        <v>44112</v>
      </c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</row>
    <row r="3207" customFormat="false" ht="13.8" hidden="false" customHeight="false" outlineLevel="0" collapsed="false">
      <c r="AA3207" s="7" t="n">
        <f aca="false">AA3206+1</f>
        <v>44113</v>
      </c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</row>
    <row r="3208" customFormat="false" ht="13.8" hidden="false" customHeight="false" outlineLevel="0" collapsed="false">
      <c r="AA3208" s="7" t="n">
        <f aca="false">AA3207+1</f>
        <v>44114</v>
      </c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</row>
    <row r="3209" customFormat="false" ht="13.8" hidden="false" customHeight="false" outlineLevel="0" collapsed="false">
      <c r="AA3209" s="7" t="n">
        <f aca="false">AA3208+1</f>
        <v>44115</v>
      </c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</row>
    <row r="3210" customFormat="false" ht="13.8" hidden="false" customHeight="false" outlineLevel="0" collapsed="false">
      <c r="AA3210" s="7" t="n">
        <f aca="false">AA3209+1</f>
        <v>44116</v>
      </c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</row>
    <row r="3211" customFormat="false" ht="13.8" hidden="false" customHeight="false" outlineLevel="0" collapsed="false">
      <c r="AA3211" s="7" t="n">
        <f aca="false">AA3210+1</f>
        <v>44117</v>
      </c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</row>
    <row r="3212" customFormat="false" ht="13.8" hidden="false" customHeight="false" outlineLevel="0" collapsed="false">
      <c r="AA3212" s="7" t="n">
        <f aca="false">AA3211+1</f>
        <v>44118</v>
      </c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</row>
    <row r="3213" customFormat="false" ht="13.8" hidden="false" customHeight="false" outlineLevel="0" collapsed="false">
      <c r="AA3213" s="7" t="n">
        <f aca="false">AA3212+1</f>
        <v>44119</v>
      </c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</row>
    <row r="3214" customFormat="false" ht="13.8" hidden="false" customHeight="false" outlineLevel="0" collapsed="false">
      <c r="AA3214" s="7" t="n">
        <f aca="false">AA3213+1</f>
        <v>44120</v>
      </c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</row>
    <row r="3215" customFormat="false" ht="13.8" hidden="false" customHeight="false" outlineLevel="0" collapsed="false">
      <c r="AA3215" s="7" t="n">
        <f aca="false">AA3214+1</f>
        <v>44121</v>
      </c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</row>
    <row r="3216" customFormat="false" ht="13.8" hidden="false" customHeight="false" outlineLevel="0" collapsed="false">
      <c r="AA3216" s="7" t="n">
        <f aca="false">AA3215+1</f>
        <v>44122</v>
      </c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</row>
    <row r="3217" customFormat="false" ht="13.8" hidden="false" customHeight="false" outlineLevel="0" collapsed="false">
      <c r="AA3217" s="7" t="n">
        <f aca="false">AA3216+1</f>
        <v>44123</v>
      </c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</row>
    <row r="3218" customFormat="false" ht="13.8" hidden="false" customHeight="false" outlineLevel="0" collapsed="false">
      <c r="AA3218" s="7" t="n">
        <f aca="false">AA3217+1</f>
        <v>44124</v>
      </c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</row>
    <row r="3219" customFormat="false" ht="13.8" hidden="false" customHeight="false" outlineLevel="0" collapsed="false">
      <c r="AA3219" s="7" t="n">
        <f aca="false">AA3218+1</f>
        <v>44125</v>
      </c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</row>
    <row r="3220" customFormat="false" ht="13.8" hidden="false" customHeight="false" outlineLevel="0" collapsed="false">
      <c r="AA3220" s="7" t="n">
        <f aca="false">AA3219+1</f>
        <v>44126</v>
      </c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</row>
    <row r="3221" customFormat="false" ht="13.8" hidden="false" customHeight="false" outlineLevel="0" collapsed="false">
      <c r="AA3221" s="7" t="n">
        <f aca="false">AA3220+1</f>
        <v>44127</v>
      </c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</row>
    <row r="3222" customFormat="false" ht="13.8" hidden="false" customHeight="false" outlineLevel="0" collapsed="false">
      <c r="AA3222" s="7" t="n">
        <f aca="false">AA3221+1</f>
        <v>44128</v>
      </c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</row>
    <row r="3223" customFormat="false" ht="13.8" hidden="false" customHeight="false" outlineLevel="0" collapsed="false">
      <c r="AA3223" s="7" t="n">
        <f aca="false">AA3222+1</f>
        <v>44129</v>
      </c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</row>
    <row r="3224" customFormat="false" ht="13.8" hidden="false" customHeight="false" outlineLevel="0" collapsed="false">
      <c r="AA3224" s="7" t="n">
        <f aca="false">AA3223+1</f>
        <v>44130</v>
      </c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</row>
    <row r="3225" customFormat="false" ht="13.8" hidden="false" customHeight="false" outlineLevel="0" collapsed="false">
      <c r="AA3225" s="7" t="n">
        <f aca="false">AA3224+1</f>
        <v>44131</v>
      </c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</row>
    <row r="3226" customFormat="false" ht="13.8" hidden="false" customHeight="false" outlineLevel="0" collapsed="false">
      <c r="AA3226" s="7" t="n">
        <f aca="false">AA3225+1</f>
        <v>44132</v>
      </c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</row>
    <row r="3227" customFormat="false" ht="13.8" hidden="false" customHeight="false" outlineLevel="0" collapsed="false">
      <c r="AA3227" s="7" t="n">
        <f aca="false">AA3226+1</f>
        <v>44133</v>
      </c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</row>
    <row r="3228" customFormat="false" ht="13.8" hidden="false" customHeight="false" outlineLevel="0" collapsed="false">
      <c r="AA3228" s="7" t="n">
        <f aca="false">AA3227+1</f>
        <v>44134</v>
      </c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</row>
    <row r="3229" customFormat="false" ht="13.8" hidden="false" customHeight="false" outlineLevel="0" collapsed="false">
      <c r="AA3229" s="7" t="n">
        <f aca="false">AA3228+1</f>
        <v>44135</v>
      </c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</row>
    <row r="3230" customFormat="false" ht="13.8" hidden="false" customHeight="false" outlineLevel="0" collapsed="false">
      <c r="AA3230" s="7" t="n">
        <f aca="false">AA3229+1</f>
        <v>44136</v>
      </c>
      <c r="AB3230" s="14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</row>
    <row r="3231" customFormat="false" ht="13.8" hidden="false" customHeight="false" outlineLevel="0" collapsed="false">
      <c r="AA3231" s="7" t="n">
        <f aca="false">AA3230+1</f>
        <v>44137</v>
      </c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</row>
    <row r="3232" customFormat="false" ht="13.8" hidden="false" customHeight="false" outlineLevel="0" collapsed="false">
      <c r="AA3232" s="7" t="n">
        <f aca="false">AA3231+1</f>
        <v>44138</v>
      </c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</row>
    <row r="3233" customFormat="false" ht="13.8" hidden="false" customHeight="false" outlineLevel="0" collapsed="false">
      <c r="AA3233" s="7" t="n">
        <f aca="false">AA3232+1</f>
        <v>44139</v>
      </c>
      <c r="AB3233" s="14"/>
      <c r="AC3233" s="14"/>
      <c r="AD3233" s="14"/>
      <c r="AE3233" s="14"/>
      <c r="AF3233" s="14"/>
      <c r="AG3233" s="14"/>
      <c r="AH3233" s="14"/>
      <c r="AI3233" s="14"/>
      <c r="AJ3233" s="14"/>
      <c r="AK3233" s="14"/>
      <c r="AL3233" s="14"/>
      <c r="AM3233" s="14"/>
    </row>
    <row r="3234" customFormat="false" ht="13.8" hidden="false" customHeight="false" outlineLevel="0" collapsed="false">
      <c r="AA3234" s="7" t="n">
        <f aca="false">AA3233+1</f>
        <v>44140</v>
      </c>
      <c r="AB3234" s="14"/>
      <c r="AC3234" s="14"/>
      <c r="AD3234" s="14"/>
      <c r="AE3234" s="14"/>
      <c r="AF3234" s="14"/>
      <c r="AG3234" s="14"/>
      <c r="AH3234" s="14"/>
      <c r="AI3234" s="14"/>
      <c r="AJ3234" s="14"/>
      <c r="AK3234" s="14"/>
      <c r="AL3234" s="14"/>
      <c r="AM3234" s="14"/>
    </row>
    <row r="3235" customFormat="false" ht="13.8" hidden="false" customHeight="false" outlineLevel="0" collapsed="false">
      <c r="AA3235" s="7" t="n">
        <f aca="false">AA3234+1</f>
        <v>44141</v>
      </c>
      <c r="AB3235" s="14"/>
      <c r="AC3235" s="14"/>
      <c r="AD3235" s="14"/>
      <c r="AE3235" s="14"/>
      <c r="AF3235" s="14"/>
      <c r="AG3235" s="14"/>
      <c r="AH3235" s="14"/>
      <c r="AI3235" s="14"/>
      <c r="AJ3235" s="14"/>
      <c r="AK3235" s="14"/>
      <c r="AL3235" s="14"/>
      <c r="AM3235" s="14"/>
    </row>
    <row r="3236" customFormat="false" ht="13.8" hidden="false" customHeight="false" outlineLevel="0" collapsed="false">
      <c r="AA3236" s="7" t="n">
        <f aca="false">AA3235+1</f>
        <v>44142</v>
      </c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</row>
    <row r="3237" customFormat="false" ht="13.8" hidden="false" customHeight="false" outlineLevel="0" collapsed="false">
      <c r="AA3237" s="7" t="n">
        <f aca="false">AA3236+1</f>
        <v>44143</v>
      </c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</row>
    <row r="3238" customFormat="false" ht="13.8" hidden="false" customHeight="false" outlineLevel="0" collapsed="false">
      <c r="AA3238" s="7" t="n">
        <f aca="false">AA3237+1</f>
        <v>44144</v>
      </c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</row>
    <row r="3239" customFormat="false" ht="13.8" hidden="false" customHeight="false" outlineLevel="0" collapsed="false">
      <c r="AA3239" s="7" t="n">
        <f aca="false">AA3238+1</f>
        <v>44145</v>
      </c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</row>
    <row r="3240" customFormat="false" ht="13.8" hidden="false" customHeight="false" outlineLevel="0" collapsed="false">
      <c r="AA3240" s="7" t="n">
        <f aca="false">AA3239+1</f>
        <v>44146</v>
      </c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</row>
    <row r="3241" customFormat="false" ht="13.8" hidden="false" customHeight="false" outlineLevel="0" collapsed="false">
      <c r="AA3241" s="7" t="n">
        <f aca="false">AA3240+1</f>
        <v>44147</v>
      </c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</row>
    <row r="3242" customFormat="false" ht="13.8" hidden="false" customHeight="false" outlineLevel="0" collapsed="false">
      <c r="AA3242" s="7" t="n">
        <f aca="false">AA3241+1</f>
        <v>44148</v>
      </c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</row>
    <row r="3243" customFormat="false" ht="13.8" hidden="false" customHeight="false" outlineLevel="0" collapsed="false">
      <c r="AA3243" s="7" t="n">
        <f aca="false">AA3242+1</f>
        <v>44149</v>
      </c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</row>
    <row r="3244" customFormat="false" ht="13.8" hidden="false" customHeight="false" outlineLevel="0" collapsed="false">
      <c r="AA3244" s="7" t="n">
        <f aca="false">AA3243+1</f>
        <v>44150</v>
      </c>
      <c r="AB3244" s="14"/>
      <c r="AC3244" s="14"/>
      <c r="AD3244" s="14"/>
      <c r="AE3244" s="14"/>
      <c r="AF3244" s="14"/>
      <c r="AG3244" s="14"/>
      <c r="AH3244" s="14"/>
      <c r="AI3244" s="14"/>
      <c r="AJ3244" s="14"/>
      <c r="AK3244" s="14"/>
      <c r="AL3244" s="14"/>
      <c r="AM3244" s="14"/>
    </row>
    <row r="3245" customFormat="false" ht="13.8" hidden="false" customHeight="false" outlineLevel="0" collapsed="false">
      <c r="AA3245" s="7" t="n">
        <f aca="false">AA3244+1</f>
        <v>44151</v>
      </c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</row>
    <row r="3246" customFormat="false" ht="13.8" hidden="false" customHeight="false" outlineLevel="0" collapsed="false">
      <c r="AA3246" s="7" t="n">
        <f aca="false">AA3245+1</f>
        <v>44152</v>
      </c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</row>
    <row r="3247" customFormat="false" ht="13.8" hidden="false" customHeight="false" outlineLevel="0" collapsed="false">
      <c r="AA3247" s="7" t="n">
        <f aca="false">AA3246+1</f>
        <v>44153</v>
      </c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</row>
    <row r="3248" customFormat="false" ht="13.8" hidden="false" customHeight="false" outlineLevel="0" collapsed="false">
      <c r="AA3248" s="7" t="n">
        <f aca="false">AA3247+1</f>
        <v>44154</v>
      </c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</row>
    <row r="3249" customFormat="false" ht="13.8" hidden="false" customHeight="false" outlineLevel="0" collapsed="false">
      <c r="AA3249" s="7" t="n">
        <f aca="false">AA3248+1</f>
        <v>44155</v>
      </c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</row>
    <row r="3250" customFormat="false" ht="13.8" hidden="false" customHeight="false" outlineLevel="0" collapsed="false">
      <c r="AA3250" s="7" t="n">
        <f aca="false">AA3249+1</f>
        <v>44156</v>
      </c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</row>
    <row r="3251" customFormat="false" ht="13.8" hidden="false" customHeight="false" outlineLevel="0" collapsed="false">
      <c r="AA3251" s="7" t="n">
        <f aca="false">AA3250+1</f>
        <v>44157</v>
      </c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</row>
    <row r="3252" customFormat="false" ht="13.8" hidden="false" customHeight="false" outlineLevel="0" collapsed="false">
      <c r="AA3252" s="7" t="n">
        <f aca="false">AA3251+1</f>
        <v>44158</v>
      </c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</row>
    <row r="3253" customFormat="false" ht="13.8" hidden="false" customHeight="false" outlineLevel="0" collapsed="false">
      <c r="AA3253" s="7" t="n">
        <f aca="false">AA3252+1</f>
        <v>44159</v>
      </c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</row>
    <row r="3254" customFormat="false" ht="13.8" hidden="false" customHeight="false" outlineLevel="0" collapsed="false">
      <c r="AA3254" s="7" t="n">
        <f aca="false">AA3253+1</f>
        <v>44160</v>
      </c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</row>
    <row r="3255" customFormat="false" ht="13.8" hidden="false" customHeight="false" outlineLevel="0" collapsed="false">
      <c r="AA3255" s="7" t="n">
        <f aca="false">AA3254+1</f>
        <v>44161</v>
      </c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</row>
    <row r="3256" customFormat="false" ht="13.8" hidden="false" customHeight="false" outlineLevel="0" collapsed="false">
      <c r="AA3256" s="7" t="n">
        <f aca="false">AA3255+1</f>
        <v>44162</v>
      </c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</row>
    <row r="3257" customFormat="false" ht="13.8" hidden="false" customHeight="false" outlineLevel="0" collapsed="false">
      <c r="AA3257" s="7" t="n">
        <f aca="false">AA3256+1</f>
        <v>44163</v>
      </c>
      <c r="AB3257" s="14"/>
      <c r="AC3257" s="14"/>
      <c r="AD3257" s="14"/>
      <c r="AE3257" s="14"/>
      <c r="AF3257" s="14"/>
      <c r="AG3257" s="14"/>
      <c r="AH3257" s="14"/>
      <c r="AI3257" s="14"/>
      <c r="AJ3257" s="14"/>
      <c r="AK3257" s="14"/>
      <c r="AL3257" s="14"/>
      <c r="AM3257" s="14"/>
    </row>
    <row r="3258" customFormat="false" ht="13.8" hidden="false" customHeight="false" outlineLevel="0" collapsed="false">
      <c r="AA3258" s="7" t="n">
        <f aca="false">AA3257+1</f>
        <v>44164</v>
      </c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</row>
    <row r="3259" customFormat="false" ht="13.8" hidden="false" customHeight="false" outlineLevel="0" collapsed="false">
      <c r="AA3259" s="7" t="n">
        <f aca="false">AA3258+1</f>
        <v>44165</v>
      </c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</row>
    <row r="3260" customFormat="false" ht="13.8" hidden="false" customHeight="false" outlineLevel="0" collapsed="false">
      <c r="AA3260" s="7" t="n">
        <f aca="false">AA3259+1</f>
        <v>44166</v>
      </c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</row>
    <row r="3261" customFormat="false" ht="13.8" hidden="false" customHeight="false" outlineLevel="0" collapsed="false">
      <c r="AA3261" s="7" t="n">
        <f aca="false">AA3260+1</f>
        <v>44167</v>
      </c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</row>
    <row r="3262" customFormat="false" ht="13.8" hidden="false" customHeight="false" outlineLevel="0" collapsed="false">
      <c r="AA3262" s="7" t="n">
        <f aca="false">AA3261+1</f>
        <v>44168</v>
      </c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</row>
    <row r="3263" customFormat="false" ht="13.8" hidden="false" customHeight="false" outlineLevel="0" collapsed="false">
      <c r="AA3263" s="7" t="n">
        <f aca="false">AA3262+1</f>
        <v>44169</v>
      </c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</row>
    <row r="3264" customFormat="false" ht="13.8" hidden="false" customHeight="false" outlineLevel="0" collapsed="false">
      <c r="AA3264" s="7" t="n">
        <f aca="false">AA3263+1</f>
        <v>44170</v>
      </c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</row>
    <row r="3265" customFormat="false" ht="13.8" hidden="false" customHeight="false" outlineLevel="0" collapsed="false">
      <c r="AA3265" s="7" t="n">
        <f aca="false">AA3264+1</f>
        <v>44171</v>
      </c>
      <c r="AB3265" s="14"/>
      <c r="AC3265" s="14"/>
      <c r="AD3265" s="14"/>
      <c r="AE3265" s="14"/>
      <c r="AF3265" s="14"/>
      <c r="AG3265" s="14"/>
      <c r="AH3265" s="14"/>
      <c r="AI3265" s="14"/>
      <c r="AJ3265" s="14"/>
      <c r="AK3265" s="14"/>
      <c r="AL3265" s="14"/>
      <c r="AM3265" s="14"/>
    </row>
    <row r="3266" customFormat="false" ht="13.8" hidden="false" customHeight="false" outlineLevel="0" collapsed="false">
      <c r="AA3266" s="7" t="n">
        <f aca="false">AA3265+1</f>
        <v>44172</v>
      </c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</row>
    <row r="3267" customFormat="false" ht="13.8" hidden="false" customHeight="false" outlineLevel="0" collapsed="false">
      <c r="AA3267" s="7" t="n">
        <f aca="false">AA3266+1</f>
        <v>44173</v>
      </c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</row>
    <row r="3268" customFormat="false" ht="13.8" hidden="false" customHeight="false" outlineLevel="0" collapsed="false">
      <c r="AA3268" s="7" t="n">
        <f aca="false">AA3267+1</f>
        <v>44174</v>
      </c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</row>
    <row r="3269" customFormat="false" ht="13.8" hidden="false" customHeight="false" outlineLevel="0" collapsed="false">
      <c r="AA3269" s="7" t="n">
        <f aca="false">AA3268+1</f>
        <v>44175</v>
      </c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</row>
    <row r="3270" customFormat="false" ht="13.8" hidden="false" customHeight="false" outlineLevel="0" collapsed="false">
      <c r="AA3270" s="7" t="n">
        <f aca="false">AA3269+1</f>
        <v>44176</v>
      </c>
      <c r="AB3270" s="14"/>
      <c r="AC3270" s="14"/>
      <c r="AD3270" s="14"/>
      <c r="AE3270" s="14"/>
      <c r="AF3270" s="14"/>
      <c r="AG3270" s="14"/>
      <c r="AH3270" s="14"/>
      <c r="AI3270" s="14"/>
      <c r="AJ3270" s="14"/>
      <c r="AK3270" s="14"/>
      <c r="AL3270" s="14"/>
      <c r="AM3270" s="14"/>
    </row>
    <row r="3271" customFormat="false" ht="13.8" hidden="false" customHeight="false" outlineLevel="0" collapsed="false">
      <c r="AA3271" s="7" t="n">
        <f aca="false">AA3270+1</f>
        <v>44177</v>
      </c>
      <c r="AB3271" s="14"/>
      <c r="AC3271" s="14"/>
      <c r="AD3271" s="14"/>
      <c r="AE3271" s="14"/>
      <c r="AF3271" s="14"/>
      <c r="AG3271" s="14"/>
      <c r="AH3271" s="14"/>
      <c r="AI3271" s="14"/>
      <c r="AJ3271" s="14"/>
      <c r="AK3271" s="14"/>
      <c r="AL3271" s="14"/>
      <c r="AM3271" s="14"/>
    </row>
    <row r="3272" customFormat="false" ht="13.8" hidden="false" customHeight="false" outlineLevel="0" collapsed="false">
      <c r="AA3272" s="7" t="n">
        <f aca="false">AA3271+1</f>
        <v>44178</v>
      </c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</row>
    <row r="3273" customFormat="false" ht="13.8" hidden="false" customHeight="false" outlineLevel="0" collapsed="false">
      <c r="AA3273" s="7" t="n">
        <f aca="false">AA3272+1</f>
        <v>44179</v>
      </c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</row>
    <row r="3274" customFormat="false" ht="13.8" hidden="false" customHeight="false" outlineLevel="0" collapsed="false">
      <c r="AA3274" s="7" t="n">
        <f aca="false">AA3273+1</f>
        <v>44180</v>
      </c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</row>
    <row r="3275" customFormat="false" ht="13.8" hidden="false" customHeight="false" outlineLevel="0" collapsed="false">
      <c r="AA3275" s="7" t="n">
        <f aca="false">AA3274+1</f>
        <v>44181</v>
      </c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</row>
    <row r="3276" customFormat="false" ht="13.8" hidden="false" customHeight="false" outlineLevel="0" collapsed="false">
      <c r="AA3276" s="7" t="n">
        <f aca="false">AA3275+1</f>
        <v>44182</v>
      </c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</row>
    <row r="3277" customFormat="false" ht="13.8" hidden="false" customHeight="false" outlineLevel="0" collapsed="false">
      <c r="AA3277" s="7" t="n">
        <f aca="false">AA3276+1</f>
        <v>44183</v>
      </c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</row>
    <row r="3278" customFormat="false" ht="13.8" hidden="false" customHeight="false" outlineLevel="0" collapsed="false">
      <c r="AA3278" s="7" t="n">
        <f aca="false">AA3277+1</f>
        <v>44184</v>
      </c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</row>
    <row r="3279" customFormat="false" ht="13.8" hidden="false" customHeight="false" outlineLevel="0" collapsed="false">
      <c r="AA3279" s="7" t="n">
        <f aca="false">AA3278+1</f>
        <v>44185</v>
      </c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</row>
    <row r="3280" customFormat="false" ht="13.8" hidden="false" customHeight="false" outlineLevel="0" collapsed="false">
      <c r="AA3280" s="7" t="n">
        <f aca="false">AA3279+1</f>
        <v>44186</v>
      </c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</row>
    <row r="3281" customFormat="false" ht="13.8" hidden="false" customHeight="false" outlineLevel="0" collapsed="false">
      <c r="AA3281" s="7" t="n">
        <f aca="false">AA3280+1</f>
        <v>44187</v>
      </c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</row>
    <row r="3282" customFormat="false" ht="13.8" hidden="false" customHeight="false" outlineLevel="0" collapsed="false">
      <c r="AA3282" s="7" t="n">
        <f aca="false">AA3281+1</f>
        <v>44188</v>
      </c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</row>
    <row r="3283" customFormat="false" ht="13.8" hidden="false" customHeight="false" outlineLevel="0" collapsed="false">
      <c r="AA3283" s="7" t="n">
        <f aca="false">AA3282+1</f>
        <v>44189</v>
      </c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</row>
    <row r="3284" customFormat="false" ht="13.8" hidden="false" customHeight="false" outlineLevel="0" collapsed="false">
      <c r="AA3284" s="7" t="n">
        <f aca="false">AA3283+1</f>
        <v>44190</v>
      </c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</row>
    <row r="3285" customFormat="false" ht="13.8" hidden="false" customHeight="false" outlineLevel="0" collapsed="false">
      <c r="AA3285" s="7" t="n">
        <f aca="false">AA3284+1</f>
        <v>44191</v>
      </c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</row>
    <row r="3286" customFormat="false" ht="13.8" hidden="false" customHeight="false" outlineLevel="0" collapsed="false">
      <c r="AA3286" s="7" t="n">
        <f aca="false">AA3285+1</f>
        <v>44192</v>
      </c>
      <c r="AB3286" s="14"/>
      <c r="AC3286" s="14"/>
      <c r="AD3286" s="14"/>
      <c r="AE3286" s="14"/>
      <c r="AF3286" s="14"/>
      <c r="AG3286" s="14"/>
      <c r="AH3286" s="14"/>
      <c r="AI3286" s="14"/>
      <c r="AJ3286" s="14"/>
      <c r="AK3286" s="14"/>
      <c r="AL3286" s="14"/>
      <c r="AM3286" s="14"/>
    </row>
    <row r="3287" customFormat="false" ht="13.8" hidden="false" customHeight="false" outlineLevel="0" collapsed="false">
      <c r="AA3287" s="7" t="n">
        <f aca="false">AA3286+1</f>
        <v>44193</v>
      </c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</row>
    <row r="3288" customFormat="false" ht="13.8" hidden="false" customHeight="false" outlineLevel="0" collapsed="false">
      <c r="AA3288" s="7" t="n">
        <f aca="false">AA3287+1</f>
        <v>44194</v>
      </c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</row>
    <row r="3289" customFormat="false" ht="13.8" hidden="false" customHeight="false" outlineLevel="0" collapsed="false">
      <c r="AA3289" s="7" t="n">
        <f aca="false">AA3288+1</f>
        <v>44195</v>
      </c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</row>
    <row r="3290" customFormat="false" ht="13.8" hidden="false" customHeight="false" outlineLevel="0" collapsed="false">
      <c r="AA3290" s="7" t="n">
        <f aca="false">AA3289+1</f>
        <v>44196</v>
      </c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</row>
    <row r="3291" customFormat="false" ht="13.8" hidden="false" customHeight="false" outlineLevel="0" collapsed="false">
      <c r="AA3291" s="7" t="n">
        <f aca="false">AA3290+1</f>
        <v>44197</v>
      </c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</row>
    <row r="3292" customFormat="false" ht="13.8" hidden="false" customHeight="false" outlineLevel="0" collapsed="false">
      <c r="AA3292" s="7" t="n">
        <f aca="false">AA3291+1</f>
        <v>44198</v>
      </c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</row>
    <row r="3293" customFormat="false" ht="13.8" hidden="false" customHeight="false" outlineLevel="0" collapsed="false">
      <c r="AA3293" s="7" t="n">
        <f aca="false">AA3292+1</f>
        <v>44199</v>
      </c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</row>
    <row r="3294" customFormat="false" ht="13.8" hidden="false" customHeight="false" outlineLevel="0" collapsed="false">
      <c r="AA3294" s="7" t="n">
        <f aca="false">AA3293+1</f>
        <v>44200</v>
      </c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</row>
    <row r="3295" customFormat="false" ht="13.8" hidden="false" customHeight="false" outlineLevel="0" collapsed="false">
      <c r="AA3295" s="7" t="n">
        <f aca="false">AA3294+1</f>
        <v>44201</v>
      </c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</row>
    <row r="3296" customFormat="false" ht="13.8" hidden="false" customHeight="false" outlineLevel="0" collapsed="false">
      <c r="AA3296" s="7" t="n">
        <f aca="false">AA3295+1</f>
        <v>44202</v>
      </c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</row>
    <row r="3297" customFormat="false" ht="13.8" hidden="false" customHeight="false" outlineLevel="0" collapsed="false">
      <c r="AA3297" s="7" t="n">
        <f aca="false">AA3296+1</f>
        <v>44203</v>
      </c>
      <c r="AB3297" s="14"/>
      <c r="AC3297" s="14"/>
      <c r="AD3297" s="14"/>
      <c r="AE3297" s="14"/>
      <c r="AF3297" s="14"/>
      <c r="AG3297" s="14"/>
      <c r="AH3297" s="14"/>
      <c r="AI3297" s="14"/>
      <c r="AJ3297" s="14"/>
      <c r="AK3297" s="14"/>
      <c r="AL3297" s="14"/>
      <c r="AM3297" s="14"/>
    </row>
    <row r="3298" customFormat="false" ht="13.8" hidden="false" customHeight="false" outlineLevel="0" collapsed="false">
      <c r="AA3298" s="7" t="n">
        <f aca="false">AA3297+1</f>
        <v>44204</v>
      </c>
      <c r="AB3298" s="14"/>
      <c r="AC3298" s="14"/>
      <c r="AD3298" s="14"/>
      <c r="AE3298" s="14"/>
      <c r="AF3298" s="14"/>
      <c r="AG3298" s="14"/>
      <c r="AH3298" s="14"/>
      <c r="AI3298" s="14"/>
      <c r="AJ3298" s="14"/>
      <c r="AK3298" s="14"/>
      <c r="AL3298" s="14"/>
      <c r="AM3298" s="14"/>
    </row>
    <row r="3299" customFormat="false" ht="13.8" hidden="false" customHeight="false" outlineLevel="0" collapsed="false">
      <c r="AA3299" s="7" t="n">
        <f aca="false">AA3298+1</f>
        <v>44205</v>
      </c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</row>
    <row r="3300" customFormat="false" ht="13.8" hidden="false" customHeight="false" outlineLevel="0" collapsed="false">
      <c r="AA3300" s="7" t="n">
        <f aca="false">AA3299+1</f>
        <v>44206</v>
      </c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</row>
    <row r="3301" customFormat="false" ht="13.8" hidden="false" customHeight="false" outlineLevel="0" collapsed="false">
      <c r="AA3301" s="7" t="n">
        <f aca="false">AA3300+1</f>
        <v>44207</v>
      </c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</row>
    <row r="3302" customFormat="false" ht="13.8" hidden="false" customHeight="false" outlineLevel="0" collapsed="false">
      <c r="AA3302" s="7" t="n">
        <f aca="false">AA3301+1</f>
        <v>44208</v>
      </c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</row>
    <row r="3303" customFormat="false" ht="13.8" hidden="false" customHeight="false" outlineLevel="0" collapsed="false">
      <c r="AA3303" s="7" t="n">
        <f aca="false">AA3302+1</f>
        <v>44209</v>
      </c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</row>
    <row r="3304" customFormat="false" ht="13.8" hidden="false" customHeight="false" outlineLevel="0" collapsed="false">
      <c r="AA3304" s="7" t="n">
        <f aca="false">AA3303+1</f>
        <v>44210</v>
      </c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</row>
    <row r="3305" customFormat="false" ht="13.8" hidden="false" customHeight="false" outlineLevel="0" collapsed="false">
      <c r="AA3305" s="7" t="n">
        <f aca="false">AA3304+1</f>
        <v>44211</v>
      </c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</row>
    <row r="3306" customFormat="false" ht="13.8" hidden="false" customHeight="false" outlineLevel="0" collapsed="false">
      <c r="AA3306" s="7" t="n">
        <f aca="false">AA3305+1</f>
        <v>44212</v>
      </c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</row>
    <row r="3307" customFormat="false" ht="13.8" hidden="false" customHeight="false" outlineLevel="0" collapsed="false">
      <c r="AA3307" s="7" t="n">
        <f aca="false">AA3306+1</f>
        <v>44213</v>
      </c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</row>
    <row r="3308" customFormat="false" ht="13.8" hidden="false" customHeight="false" outlineLevel="0" collapsed="false">
      <c r="AA3308" s="7" t="n">
        <f aca="false">AA3307+1</f>
        <v>44214</v>
      </c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</row>
    <row r="3309" customFormat="false" ht="13.8" hidden="false" customHeight="false" outlineLevel="0" collapsed="false">
      <c r="AA3309" s="7" t="n">
        <f aca="false">AA3308+1</f>
        <v>44215</v>
      </c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</row>
    <row r="3310" customFormat="false" ht="13.8" hidden="false" customHeight="false" outlineLevel="0" collapsed="false">
      <c r="AA3310" s="7" t="n">
        <f aca="false">AA3309+1</f>
        <v>44216</v>
      </c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</row>
    <row r="3311" customFormat="false" ht="13.8" hidden="false" customHeight="false" outlineLevel="0" collapsed="false">
      <c r="AA3311" s="7" t="n">
        <f aca="false">AA3310+1</f>
        <v>44217</v>
      </c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</row>
    <row r="3312" customFormat="false" ht="13.8" hidden="false" customHeight="false" outlineLevel="0" collapsed="false">
      <c r="AA3312" s="7" t="n">
        <f aca="false">AA3311+1</f>
        <v>44218</v>
      </c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</row>
    <row r="3313" customFormat="false" ht="13.8" hidden="false" customHeight="false" outlineLevel="0" collapsed="false">
      <c r="AA3313" s="7" t="n">
        <f aca="false">AA3312+1</f>
        <v>44219</v>
      </c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</row>
    <row r="3314" customFormat="false" ht="13.8" hidden="false" customHeight="false" outlineLevel="0" collapsed="false">
      <c r="AA3314" s="7" t="n">
        <f aca="false">AA3313+1</f>
        <v>44220</v>
      </c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</row>
    <row r="3315" customFormat="false" ht="13.8" hidden="false" customHeight="false" outlineLevel="0" collapsed="false">
      <c r="AA3315" s="7" t="n">
        <f aca="false">AA3314+1</f>
        <v>44221</v>
      </c>
      <c r="AB3315" s="14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</row>
    <row r="3316" customFormat="false" ht="13.8" hidden="false" customHeight="false" outlineLevel="0" collapsed="false">
      <c r="AA3316" s="7" t="n">
        <f aca="false">AA3315+1</f>
        <v>44222</v>
      </c>
      <c r="AB3316" s="14"/>
      <c r="AC3316" s="14"/>
      <c r="AD3316" s="14"/>
      <c r="AE3316" s="14"/>
      <c r="AF3316" s="14"/>
      <c r="AG3316" s="14"/>
      <c r="AH3316" s="14"/>
      <c r="AI3316" s="14"/>
      <c r="AJ3316" s="14"/>
      <c r="AK3316" s="14"/>
      <c r="AL3316" s="14"/>
      <c r="AM3316" s="14"/>
    </row>
    <row r="3317" customFormat="false" ht="13.8" hidden="false" customHeight="false" outlineLevel="0" collapsed="false">
      <c r="AA3317" s="7" t="n">
        <f aca="false">AA3316+1</f>
        <v>44223</v>
      </c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</row>
    <row r="3318" customFormat="false" ht="13.8" hidden="false" customHeight="false" outlineLevel="0" collapsed="false">
      <c r="AA3318" s="7" t="n">
        <f aca="false">AA3317+1</f>
        <v>44224</v>
      </c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</row>
    <row r="3319" customFormat="false" ht="13.8" hidden="false" customHeight="false" outlineLevel="0" collapsed="false">
      <c r="AA3319" s="7" t="n">
        <f aca="false">AA3318+1</f>
        <v>44225</v>
      </c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</row>
    <row r="3320" customFormat="false" ht="13.8" hidden="false" customHeight="false" outlineLevel="0" collapsed="false">
      <c r="AA3320" s="7" t="n">
        <f aca="false">AA3319+1</f>
        <v>44226</v>
      </c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</row>
    <row r="3321" customFormat="false" ht="13.8" hidden="false" customHeight="false" outlineLevel="0" collapsed="false">
      <c r="AA3321" s="7" t="n">
        <f aca="false">AA3320+1</f>
        <v>44227</v>
      </c>
      <c r="AB3321" s="14"/>
      <c r="AC3321" s="14"/>
      <c r="AD3321" s="14"/>
      <c r="AE3321" s="14"/>
      <c r="AF3321" s="14"/>
      <c r="AG3321" s="14"/>
      <c r="AH3321" s="14"/>
      <c r="AI3321" s="14"/>
      <c r="AJ3321" s="14"/>
      <c r="AK3321" s="14"/>
      <c r="AL3321" s="14"/>
      <c r="AM3321" s="14"/>
    </row>
    <row r="3322" customFormat="false" ht="13.8" hidden="false" customHeight="false" outlineLevel="0" collapsed="false">
      <c r="AA3322" s="7" t="n">
        <f aca="false">AA3321+1</f>
        <v>44228</v>
      </c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</row>
    <row r="3323" customFormat="false" ht="13.8" hidden="false" customHeight="false" outlineLevel="0" collapsed="false">
      <c r="AA3323" s="7" t="n">
        <f aca="false">AA3322+1</f>
        <v>44229</v>
      </c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</row>
    <row r="3324" customFormat="false" ht="13.8" hidden="false" customHeight="false" outlineLevel="0" collapsed="false">
      <c r="AA3324" s="7" t="n">
        <f aca="false">AA3323+1</f>
        <v>44230</v>
      </c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</row>
    <row r="3325" customFormat="false" ht="13.8" hidden="false" customHeight="false" outlineLevel="0" collapsed="false">
      <c r="AA3325" s="7" t="n">
        <f aca="false">AA3324+1</f>
        <v>44231</v>
      </c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</row>
    <row r="3326" customFormat="false" ht="13.8" hidden="false" customHeight="false" outlineLevel="0" collapsed="false">
      <c r="AA3326" s="7" t="n">
        <f aca="false">AA3325+1</f>
        <v>44232</v>
      </c>
      <c r="AB3326" s="14"/>
      <c r="AC3326" s="14"/>
      <c r="AD3326" s="14"/>
      <c r="AE3326" s="14"/>
      <c r="AF3326" s="14"/>
      <c r="AG3326" s="14"/>
      <c r="AH3326" s="14"/>
      <c r="AI3326" s="14"/>
      <c r="AJ3326" s="14"/>
      <c r="AK3326" s="14"/>
      <c r="AL3326" s="14"/>
      <c r="AM3326" s="14"/>
    </row>
    <row r="3327" customFormat="false" ht="13.8" hidden="false" customHeight="false" outlineLevel="0" collapsed="false">
      <c r="AA3327" s="7" t="n">
        <f aca="false">AA3326+1</f>
        <v>44233</v>
      </c>
      <c r="AB3327" s="14"/>
      <c r="AC3327" s="14"/>
      <c r="AD3327" s="14"/>
      <c r="AE3327" s="14"/>
      <c r="AF3327" s="14"/>
      <c r="AG3327" s="14"/>
      <c r="AH3327" s="14"/>
      <c r="AI3327" s="14"/>
      <c r="AJ3327" s="14"/>
      <c r="AK3327" s="14"/>
      <c r="AL3327" s="14"/>
      <c r="AM3327" s="14"/>
    </row>
    <row r="3328" customFormat="false" ht="13.8" hidden="false" customHeight="false" outlineLevel="0" collapsed="false">
      <c r="AA3328" s="7" t="n">
        <f aca="false">AA3327+1</f>
        <v>44234</v>
      </c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</row>
    <row r="3329" customFormat="false" ht="13.8" hidden="false" customHeight="false" outlineLevel="0" collapsed="false">
      <c r="AA3329" s="7" t="n">
        <f aca="false">AA3328+1</f>
        <v>44235</v>
      </c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</row>
    <row r="3330" customFormat="false" ht="13.8" hidden="false" customHeight="false" outlineLevel="0" collapsed="false">
      <c r="AA3330" s="7" t="n">
        <f aca="false">AA3329+1</f>
        <v>44236</v>
      </c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</row>
    <row r="3331" customFormat="false" ht="13.8" hidden="false" customHeight="false" outlineLevel="0" collapsed="false">
      <c r="AA3331" s="7" t="n">
        <f aca="false">AA3330+1</f>
        <v>44237</v>
      </c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</row>
    <row r="3332" customFormat="false" ht="13.8" hidden="false" customHeight="false" outlineLevel="0" collapsed="false">
      <c r="AA3332" s="7" t="n">
        <f aca="false">AA3331+1</f>
        <v>44238</v>
      </c>
      <c r="AB3332" s="14"/>
      <c r="AC3332" s="14"/>
      <c r="AD3332" s="14"/>
      <c r="AE3332" s="14"/>
      <c r="AF3332" s="14"/>
      <c r="AG3332" s="14"/>
      <c r="AH3332" s="14"/>
      <c r="AI3332" s="14"/>
      <c r="AJ3332" s="14"/>
      <c r="AK3332" s="14"/>
      <c r="AL3332" s="14"/>
      <c r="AM3332" s="14"/>
    </row>
    <row r="3333" customFormat="false" ht="13.8" hidden="false" customHeight="false" outlineLevel="0" collapsed="false">
      <c r="AA3333" s="7" t="n">
        <f aca="false">AA3332+1</f>
        <v>44239</v>
      </c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</row>
    <row r="3334" customFormat="false" ht="13.8" hidden="false" customHeight="false" outlineLevel="0" collapsed="false">
      <c r="AA3334" s="7" t="n">
        <f aca="false">AA3333+1</f>
        <v>44240</v>
      </c>
      <c r="AB3334" s="14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</row>
    <row r="3335" customFormat="false" ht="13.8" hidden="false" customHeight="false" outlineLevel="0" collapsed="false">
      <c r="AA3335" s="7" t="n">
        <f aca="false">AA3334+1</f>
        <v>44241</v>
      </c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</row>
    <row r="3336" customFormat="false" ht="13.8" hidden="false" customHeight="false" outlineLevel="0" collapsed="false">
      <c r="AA3336" s="7" t="n">
        <f aca="false">AA3335+1</f>
        <v>44242</v>
      </c>
      <c r="AB3336" s="14"/>
      <c r="AC3336" s="14"/>
      <c r="AD3336" s="14"/>
      <c r="AE3336" s="14"/>
      <c r="AF3336" s="14"/>
      <c r="AG3336" s="14"/>
      <c r="AH3336" s="14"/>
      <c r="AI3336" s="14"/>
      <c r="AJ3336" s="14"/>
      <c r="AK3336" s="14"/>
      <c r="AL3336" s="14"/>
      <c r="AM3336" s="14"/>
    </row>
    <row r="3337" customFormat="false" ht="13.8" hidden="false" customHeight="false" outlineLevel="0" collapsed="false">
      <c r="AA3337" s="7" t="n">
        <f aca="false">AA3336+1</f>
        <v>44243</v>
      </c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</row>
    <row r="3338" customFormat="false" ht="13.8" hidden="false" customHeight="false" outlineLevel="0" collapsed="false">
      <c r="AA3338" s="7" t="n">
        <f aca="false">AA3337+1</f>
        <v>44244</v>
      </c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</row>
    <row r="3339" customFormat="false" ht="13.8" hidden="false" customHeight="false" outlineLevel="0" collapsed="false">
      <c r="AA3339" s="7" t="n">
        <f aca="false">AA3338+1</f>
        <v>44245</v>
      </c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</row>
    <row r="3340" customFormat="false" ht="13.8" hidden="false" customHeight="false" outlineLevel="0" collapsed="false">
      <c r="AA3340" s="7" t="n">
        <f aca="false">AA3339+1</f>
        <v>44246</v>
      </c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</row>
    <row r="3341" customFormat="false" ht="13.8" hidden="false" customHeight="false" outlineLevel="0" collapsed="false">
      <c r="AA3341" s="7" t="n">
        <f aca="false">AA3340+1</f>
        <v>44247</v>
      </c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</row>
    <row r="3342" customFormat="false" ht="13.8" hidden="false" customHeight="false" outlineLevel="0" collapsed="false">
      <c r="AA3342" s="7" t="n">
        <f aca="false">AA3341+1</f>
        <v>44248</v>
      </c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</row>
    <row r="3343" customFormat="false" ht="13.8" hidden="false" customHeight="false" outlineLevel="0" collapsed="false">
      <c r="AA3343" s="7" t="n">
        <f aca="false">AA3342+1</f>
        <v>44249</v>
      </c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</row>
    <row r="3344" customFormat="false" ht="13.8" hidden="false" customHeight="false" outlineLevel="0" collapsed="false">
      <c r="AA3344" s="7" t="n">
        <f aca="false">AA3343+1</f>
        <v>44250</v>
      </c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</row>
    <row r="3345" customFormat="false" ht="13.8" hidden="false" customHeight="false" outlineLevel="0" collapsed="false">
      <c r="AA3345" s="7" t="n">
        <f aca="false">AA3344+1</f>
        <v>44251</v>
      </c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</row>
    <row r="3346" customFormat="false" ht="13.8" hidden="false" customHeight="false" outlineLevel="0" collapsed="false">
      <c r="AA3346" s="7" t="n">
        <f aca="false">AA3345+1</f>
        <v>44252</v>
      </c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</row>
    <row r="3347" customFormat="false" ht="13.8" hidden="false" customHeight="false" outlineLevel="0" collapsed="false">
      <c r="AA3347" s="7" t="n">
        <f aca="false">AA3346+1</f>
        <v>44253</v>
      </c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</row>
    <row r="3348" customFormat="false" ht="13.8" hidden="false" customHeight="false" outlineLevel="0" collapsed="false">
      <c r="AA3348" s="7" t="n">
        <f aca="false">AA3347+1</f>
        <v>44254</v>
      </c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</row>
    <row r="3349" customFormat="false" ht="13.8" hidden="false" customHeight="false" outlineLevel="0" collapsed="false">
      <c r="AA3349" s="7" t="n">
        <f aca="false">AA3348+1</f>
        <v>44255</v>
      </c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</row>
    <row r="3350" customFormat="false" ht="13.8" hidden="false" customHeight="false" outlineLevel="0" collapsed="false">
      <c r="AA3350" s="7" t="n">
        <f aca="false">AA3349+1</f>
        <v>44256</v>
      </c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</row>
    <row r="3351" customFormat="false" ht="13.8" hidden="false" customHeight="false" outlineLevel="0" collapsed="false">
      <c r="AA3351" s="7" t="n">
        <f aca="false">AA3350+1</f>
        <v>44257</v>
      </c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</row>
    <row r="3352" customFormat="false" ht="13.8" hidden="false" customHeight="false" outlineLevel="0" collapsed="false">
      <c r="AA3352" s="7" t="n">
        <f aca="false">AA3351+1</f>
        <v>44258</v>
      </c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</row>
    <row r="3353" customFormat="false" ht="13.8" hidden="false" customHeight="false" outlineLevel="0" collapsed="false">
      <c r="AA3353" s="7" t="n">
        <f aca="false">AA3352+1</f>
        <v>44259</v>
      </c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</row>
    <row r="3354" customFormat="false" ht="13.8" hidden="false" customHeight="false" outlineLevel="0" collapsed="false">
      <c r="AA3354" s="7" t="n">
        <f aca="false">AA3353+1</f>
        <v>44260</v>
      </c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</row>
    <row r="3355" customFormat="false" ht="13.8" hidden="false" customHeight="false" outlineLevel="0" collapsed="false">
      <c r="AA3355" s="7" t="n">
        <f aca="false">AA3354+1</f>
        <v>44261</v>
      </c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</row>
    <row r="3356" customFormat="false" ht="13.8" hidden="false" customHeight="false" outlineLevel="0" collapsed="false">
      <c r="AA3356" s="7" t="n">
        <f aca="false">AA3355+1</f>
        <v>44262</v>
      </c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</row>
    <row r="3357" customFormat="false" ht="13.8" hidden="false" customHeight="false" outlineLevel="0" collapsed="false">
      <c r="AA3357" s="7" t="n">
        <f aca="false">AA3356+1</f>
        <v>44263</v>
      </c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</row>
    <row r="3358" customFormat="false" ht="13.8" hidden="false" customHeight="false" outlineLevel="0" collapsed="false">
      <c r="AA3358" s="7" t="n">
        <f aca="false">AA3357+1</f>
        <v>44264</v>
      </c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</row>
    <row r="3359" customFormat="false" ht="13.8" hidden="false" customHeight="false" outlineLevel="0" collapsed="false">
      <c r="AA3359" s="7" t="n">
        <f aca="false">AA3358+1</f>
        <v>44265</v>
      </c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</row>
    <row r="3360" customFormat="false" ht="13.8" hidden="false" customHeight="false" outlineLevel="0" collapsed="false">
      <c r="AA3360" s="7" t="n">
        <f aca="false">AA3359+1</f>
        <v>44266</v>
      </c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</row>
    <row r="3361" customFormat="false" ht="13.8" hidden="false" customHeight="false" outlineLevel="0" collapsed="false">
      <c r="AA3361" s="7" t="n">
        <f aca="false">AA3360+1</f>
        <v>44267</v>
      </c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</row>
    <row r="3362" customFormat="false" ht="13.8" hidden="false" customHeight="false" outlineLevel="0" collapsed="false">
      <c r="AA3362" s="7" t="n">
        <f aca="false">AA3361+1</f>
        <v>44268</v>
      </c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</row>
    <row r="3363" customFormat="false" ht="13.8" hidden="false" customHeight="false" outlineLevel="0" collapsed="false">
      <c r="AA3363" s="7" t="n">
        <f aca="false">AA3362+1</f>
        <v>44269</v>
      </c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</row>
    <row r="3364" customFormat="false" ht="13.8" hidden="false" customHeight="false" outlineLevel="0" collapsed="false">
      <c r="AA3364" s="7" t="n">
        <f aca="false">AA3363+1</f>
        <v>44270</v>
      </c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</row>
    <row r="3365" customFormat="false" ht="13.8" hidden="false" customHeight="false" outlineLevel="0" collapsed="false">
      <c r="AA3365" s="7" t="n">
        <f aca="false">AA3364+1</f>
        <v>44271</v>
      </c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</row>
    <row r="3366" customFormat="false" ht="13.8" hidden="false" customHeight="false" outlineLevel="0" collapsed="false">
      <c r="AA3366" s="7" t="n">
        <f aca="false">AA3365+1</f>
        <v>44272</v>
      </c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</row>
    <row r="3367" customFormat="false" ht="13.8" hidden="false" customHeight="false" outlineLevel="0" collapsed="false">
      <c r="AA3367" s="7" t="n">
        <f aca="false">AA3366+1</f>
        <v>44273</v>
      </c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</row>
    <row r="3368" customFormat="false" ht="13.8" hidden="false" customHeight="false" outlineLevel="0" collapsed="false">
      <c r="AA3368" s="7" t="n">
        <f aca="false">AA3367+1</f>
        <v>44274</v>
      </c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</row>
    <row r="3369" customFormat="false" ht="13.8" hidden="false" customHeight="false" outlineLevel="0" collapsed="false">
      <c r="AA3369" s="7" t="n">
        <f aca="false">AA3368+1</f>
        <v>44275</v>
      </c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</row>
    <row r="3370" customFormat="false" ht="13.8" hidden="false" customHeight="false" outlineLevel="0" collapsed="false">
      <c r="AA3370" s="7" t="n">
        <f aca="false">AA3369+1</f>
        <v>44276</v>
      </c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</row>
    <row r="3371" customFormat="false" ht="13.8" hidden="false" customHeight="false" outlineLevel="0" collapsed="false">
      <c r="AA3371" s="7" t="n">
        <f aca="false">AA3370+1</f>
        <v>44277</v>
      </c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</row>
    <row r="3372" customFormat="false" ht="13.8" hidden="false" customHeight="false" outlineLevel="0" collapsed="false">
      <c r="AA3372" s="7" t="n">
        <f aca="false">AA3371+1</f>
        <v>44278</v>
      </c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</row>
    <row r="3373" customFormat="false" ht="13.8" hidden="false" customHeight="false" outlineLevel="0" collapsed="false">
      <c r="AA3373" s="7" t="n">
        <f aca="false">AA3372+1</f>
        <v>44279</v>
      </c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</row>
    <row r="3374" customFormat="false" ht="13.8" hidden="false" customHeight="false" outlineLevel="0" collapsed="false">
      <c r="AA3374" s="7" t="n">
        <f aca="false">AA3373+1</f>
        <v>44280</v>
      </c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</row>
    <row r="3375" customFormat="false" ht="13.8" hidden="false" customHeight="false" outlineLevel="0" collapsed="false">
      <c r="AA3375" s="7" t="n">
        <f aca="false">AA3374+1</f>
        <v>44281</v>
      </c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</row>
    <row r="3376" customFormat="false" ht="13.8" hidden="false" customHeight="false" outlineLevel="0" collapsed="false">
      <c r="AA3376" s="7" t="n">
        <f aca="false">AA3375+1</f>
        <v>44282</v>
      </c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</row>
    <row r="3377" customFormat="false" ht="13.8" hidden="false" customHeight="false" outlineLevel="0" collapsed="false">
      <c r="AA3377" s="7" t="n">
        <f aca="false">AA3376+1</f>
        <v>44283</v>
      </c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</row>
    <row r="3378" customFormat="false" ht="13.8" hidden="false" customHeight="false" outlineLevel="0" collapsed="false">
      <c r="AA3378" s="7" t="n">
        <f aca="false">AA3377+1</f>
        <v>44284</v>
      </c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</row>
    <row r="3379" customFormat="false" ht="13.8" hidden="false" customHeight="false" outlineLevel="0" collapsed="false">
      <c r="AA3379" s="7" t="n">
        <f aca="false">AA3378+1</f>
        <v>44285</v>
      </c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</row>
    <row r="3380" customFormat="false" ht="13.8" hidden="false" customHeight="false" outlineLevel="0" collapsed="false">
      <c r="AA3380" s="7" t="n">
        <f aca="false">AA3379+1</f>
        <v>44286</v>
      </c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</row>
    <row r="3381" customFormat="false" ht="13.8" hidden="false" customHeight="false" outlineLevel="0" collapsed="false">
      <c r="AA3381" s="7" t="n">
        <f aca="false">AA3380+1</f>
        <v>44287</v>
      </c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</row>
    <row r="3382" customFormat="false" ht="13.8" hidden="false" customHeight="false" outlineLevel="0" collapsed="false">
      <c r="AA3382" s="7" t="n">
        <f aca="false">AA3381+1</f>
        <v>44288</v>
      </c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</row>
    <row r="3383" customFormat="false" ht="13.8" hidden="false" customHeight="false" outlineLevel="0" collapsed="false">
      <c r="AA3383" s="7" t="n">
        <f aca="false">AA3382+1</f>
        <v>44289</v>
      </c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</row>
    <row r="3384" customFormat="false" ht="13.8" hidden="false" customHeight="false" outlineLevel="0" collapsed="false">
      <c r="AA3384" s="7" t="n">
        <f aca="false">AA3383+1</f>
        <v>44290</v>
      </c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</row>
    <row r="3385" customFormat="false" ht="13.8" hidden="false" customHeight="false" outlineLevel="0" collapsed="false">
      <c r="AA3385" s="7" t="n">
        <f aca="false">AA3384+1</f>
        <v>44291</v>
      </c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</row>
    <row r="3386" customFormat="false" ht="13.8" hidden="false" customHeight="false" outlineLevel="0" collapsed="false">
      <c r="AA3386" s="7" t="n">
        <f aca="false">AA3385+1</f>
        <v>44292</v>
      </c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</row>
    <row r="3387" customFormat="false" ht="13.8" hidden="false" customHeight="false" outlineLevel="0" collapsed="false">
      <c r="AA3387" s="7" t="n">
        <f aca="false">AA3386+1</f>
        <v>44293</v>
      </c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</row>
    <row r="3388" customFormat="false" ht="13.8" hidden="false" customHeight="false" outlineLevel="0" collapsed="false">
      <c r="AA3388" s="7" t="n">
        <f aca="false">AA3387+1</f>
        <v>44294</v>
      </c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</row>
    <row r="3389" customFormat="false" ht="13.8" hidden="false" customHeight="false" outlineLevel="0" collapsed="false">
      <c r="AA3389" s="7" t="n">
        <f aca="false">AA3388+1</f>
        <v>44295</v>
      </c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</row>
    <row r="3390" customFormat="false" ht="13.8" hidden="false" customHeight="false" outlineLevel="0" collapsed="false">
      <c r="AA3390" s="7" t="n">
        <f aca="false">AA3389+1</f>
        <v>44296</v>
      </c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</row>
    <row r="3391" customFormat="false" ht="13.8" hidden="false" customHeight="false" outlineLevel="0" collapsed="false">
      <c r="AA3391" s="7" t="n">
        <f aca="false">AA3390+1</f>
        <v>44297</v>
      </c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</row>
    <row r="3392" customFormat="false" ht="13.8" hidden="false" customHeight="false" outlineLevel="0" collapsed="false">
      <c r="AA3392" s="7" t="n">
        <f aca="false">AA3391+1</f>
        <v>44298</v>
      </c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</row>
    <row r="3393" customFormat="false" ht="13.8" hidden="false" customHeight="false" outlineLevel="0" collapsed="false">
      <c r="AA3393" s="7" t="n">
        <f aca="false">AA3392+1</f>
        <v>44299</v>
      </c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</row>
    <row r="3394" customFormat="false" ht="13.8" hidden="false" customHeight="false" outlineLevel="0" collapsed="false">
      <c r="AA3394" s="7" t="n">
        <f aca="false">AA3393+1</f>
        <v>44300</v>
      </c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</row>
    <row r="3395" customFormat="false" ht="13.8" hidden="false" customHeight="false" outlineLevel="0" collapsed="false">
      <c r="AA3395" s="7" t="n">
        <f aca="false">AA3394+1</f>
        <v>44301</v>
      </c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</row>
    <row r="3396" customFormat="false" ht="13.8" hidden="false" customHeight="false" outlineLevel="0" collapsed="false">
      <c r="AA3396" s="7" t="n">
        <f aca="false">AA3395+1</f>
        <v>44302</v>
      </c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</row>
    <row r="3397" customFormat="false" ht="13.8" hidden="false" customHeight="false" outlineLevel="0" collapsed="false">
      <c r="AA3397" s="7" t="n">
        <f aca="false">AA3396+1</f>
        <v>44303</v>
      </c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</row>
    <row r="3398" customFormat="false" ht="13.8" hidden="false" customHeight="false" outlineLevel="0" collapsed="false">
      <c r="AA3398" s="7" t="n">
        <f aca="false">AA3397+1</f>
        <v>44304</v>
      </c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</row>
    <row r="3399" customFormat="false" ht="13.8" hidden="false" customHeight="false" outlineLevel="0" collapsed="false">
      <c r="AA3399" s="7" t="n">
        <f aca="false">AA3398+1</f>
        <v>44305</v>
      </c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</row>
    <row r="3400" customFormat="false" ht="13.8" hidden="false" customHeight="false" outlineLevel="0" collapsed="false">
      <c r="AA3400" s="7" t="n">
        <f aca="false">AA3399+1</f>
        <v>44306</v>
      </c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</row>
    <row r="3401" customFormat="false" ht="13.8" hidden="false" customHeight="false" outlineLevel="0" collapsed="false">
      <c r="AA3401" s="7" t="n">
        <f aca="false">AA3400+1</f>
        <v>44307</v>
      </c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</row>
    <row r="3402" customFormat="false" ht="13.8" hidden="false" customHeight="false" outlineLevel="0" collapsed="false">
      <c r="AA3402" s="7" t="n">
        <f aca="false">AA3401+1</f>
        <v>44308</v>
      </c>
      <c r="AB3402" s="14"/>
      <c r="AC3402" s="14"/>
      <c r="AD3402" s="14"/>
      <c r="AE3402" s="14"/>
      <c r="AF3402" s="14"/>
      <c r="AG3402" s="14"/>
      <c r="AH3402" s="14"/>
      <c r="AI3402" s="14"/>
      <c r="AJ3402" s="14"/>
      <c r="AK3402" s="14"/>
      <c r="AL3402" s="14"/>
      <c r="AM3402" s="14"/>
    </row>
    <row r="3403" customFormat="false" ht="13.8" hidden="false" customHeight="false" outlineLevel="0" collapsed="false">
      <c r="AA3403" s="7" t="n">
        <f aca="false">AA3402+1</f>
        <v>44309</v>
      </c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</row>
    <row r="3404" customFormat="false" ht="13.8" hidden="false" customHeight="false" outlineLevel="0" collapsed="false">
      <c r="AA3404" s="7" t="n">
        <f aca="false">AA3403+1</f>
        <v>44310</v>
      </c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</row>
    <row r="3405" customFormat="false" ht="13.8" hidden="false" customHeight="false" outlineLevel="0" collapsed="false">
      <c r="AA3405" s="7" t="n">
        <f aca="false">AA3404+1</f>
        <v>44311</v>
      </c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</row>
    <row r="3406" customFormat="false" ht="13.8" hidden="false" customHeight="false" outlineLevel="0" collapsed="false">
      <c r="AA3406" s="7" t="n">
        <f aca="false">AA3405+1</f>
        <v>44312</v>
      </c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</row>
    <row r="3407" customFormat="false" ht="13.8" hidden="false" customHeight="false" outlineLevel="0" collapsed="false">
      <c r="AA3407" s="7" t="n">
        <f aca="false">AA3406+1</f>
        <v>44313</v>
      </c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</row>
    <row r="3408" customFormat="false" ht="13.8" hidden="false" customHeight="false" outlineLevel="0" collapsed="false">
      <c r="AA3408" s="7" t="n">
        <f aca="false">AA3407+1</f>
        <v>44314</v>
      </c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</row>
    <row r="3409" customFormat="false" ht="13.8" hidden="false" customHeight="false" outlineLevel="0" collapsed="false">
      <c r="AA3409" s="7" t="n">
        <f aca="false">AA3408+1</f>
        <v>44315</v>
      </c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</row>
    <row r="3410" customFormat="false" ht="13.8" hidden="false" customHeight="false" outlineLevel="0" collapsed="false">
      <c r="AA3410" s="7" t="n">
        <f aca="false">AA3409+1</f>
        <v>44316</v>
      </c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</row>
    <row r="3411" customFormat="false" ht="13.8" hidden="false" customHeight="false" outlineLevel="0" collapsed="false">
      <c r="AA3411" s="7" t="n">
        <f aca="false">AA3410+1</f>
        <v>44317</v>
      </c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</row>
    <row r="3412" customFormat="false" ht="13.8" hidden="false" customHeight="false" outlineLevel="0" collapsed="false">
      <c r="AA3412" s="7" t="n">
        <f aca="false">AA3411+1</f>
        <v>44318</v>
      </c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</row>
    <row r="3413" customFormat="false" ht="13.8" hidden="false" customHeight="false" outlineLevel="0" collapsed="false">
      <c r="AA3413" s="7" t="n">
        <f aca="false">AA3412+1</f>
        <v>44319</v>
      </c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</row>
    <row r="3414" customFormat="false" ht="13.8" hidden="false" customHeight="false" outlineLevel="0" collapsed="false">
      <c r="AA3414" s="7" t="n">
        <f aca="false">AA3413+1</f>
        <v>44320</v>
      </c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</row>
    <row r="3415" customFormat="false" ht="13.8" hidden="false" customHeight="false" outlineLevel="0" collapsed="false">
      <c r="AA3415" s="7" t="n">
        <f aca="false">AA3414+1</f>
        <v>44321</v>
      </c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</row>
    <row r="3416" customFormat="false" ht="13.8" hidden="false" customHeight="false" outlineLevel="0" collapsed="false">
      <c r="AA3416" s="7" t="n">
        <f aca="false">AA3415+1</f>
        <v>44322</v>
      </c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</row>
    <row r="3417" customFormat="false" ht="13.8" hidden="false" customHeight="false" outlineLevel="0" collapsed="false">
      <c r="AA3417" s="7" t="n">
        <f aca="false">AA3416+1</f>
        <v>44323</v>
      </c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</row>
    <row r="3418" customFormat="false" ht="13.8" hidden="false" customHeight="false" outlineLevel="0" collapsed="false">
      <c r="AA3418" s="7" t="n">
        <f aca="false">AA3417+1</f>
        <v>44324</v>
      </c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</row>
    <row r="3419" customFormat="false" ht="13.8" hidden="false" customHeight="false" outlineLevel="0" collapsed="false">
      <c r="AA3419" s="7" t="n">
        <f aca="false">AA3418+1</f>
        <v>44325</v>
      </c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</row>
    <row r="3420" customFormat="false" ht="13.8" hidden="false" customHeight="false" outlineLevel="0" collapsed="false">
      <c r="AA3420" s="7" t="n">
        <f aca="false">AA3419+1</f>
        <v>44326</v>
      </c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</row>
    <row r="3421" customFormat="false" ht="13.8" hidden="false" customHeight="false" outlineLevel="0" collapsed="false">
      <c r="AA3421" s="7" t="n">
        <f aca="false">AA3420+1</f>
        <v>44327</v>
      </c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</row>
    <row r="3422" customFormat="false" ht="13.8" hidden="false" customHeight="false" outlineLevel="0" collapsed="false">
      <c r="AA3422" s="7" t="n">
        <f aca="false">AA3421+1</f>
        <v>44328</v>
      </c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</row>
    <row r="3423" customFormat="false" ht="13.8" hidden="false" customHeight="false" outlineLevel="0" collapsed="false">
      <c r="AA3423" s="7" t="n">
        <f aca="false">AA3422+1</f>
        <v>44329</v>
      </c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</row>
    <row r="3424" customFormat="false" ht="13.8" hidden="false" customHeight="false" outlineLevel="0" collapsed="false">
      <c r="AA3424" s="7" t="n">
        <f aca="false">AA3423+1</f>
        <v>44330</v>
      </c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</row>
    <row r="3425" customFormat="false" ht="13.8" hidden="false" customHeight="false" outlineLevel="0" collapsed="false">
      <c r="AA3425" s="7" t="n">
        <f aca="false">AA3424+1</f>
        <v>44331</v>
      </c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</row>
    <row r="3426" customFormat="false" ht="13.8" hidden="false" customHeight="false" outlineLevel="0" collapsed="false">
      <c r="AA3426" s="7" t="n">
        <f aca="false">AA3425+1</f>
        <v>44332</v>
      </c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</row>
    <row r="3427" customFormat="false" ht="13.8" hidden="false" customHeight="false" outlineLevel="0" collapsed="false">
      <c r="AA3427" s="7" t="n">
        <f aca="false">AA3426+1</f>
        <v>44333</v>
      </c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</row>
    <row r="3428" customFormat="false" ht="13.8" hidden="false" customHeight="false" outlineLevel="0" collapsed="false">
      <c r="AA3428" s="7" t="n">
        <f aca="false">AA3427+1</f>
        <v>44334</v>
      </c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</row>
    <row r="3429" customFormat="false" ht="13.8" hidden="false" customHeight="false" outlineLevel="0" collapsed="false">
      <c r="AA3429" s="7" t="n">
        <f aca="false">AA3428+1</f>
        <v>44335</v>
      </c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</row>
    <row r="3430" customFormat="false" ht="13.8" hidden="false" customHeight="false" outlineLevel="0" collapsed="false">
      <c r="AA3430" s="7" t="n">
        <f aca="false">AA3429+1</f>
        <v>44336</v>
      </c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</row>
    <row r="3431" customFormat="false" ht="13.8" hidden="false" customHeight="false" outlineLevel="0" collapsed="false">
      <c r="AA3431" s="7" t="n">
        <f aca="false">AA3430+1</f>
        <v>44337</v>
      </c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</row>
    <row r="3432" customFormat="false" ht="13.8" hidden="false" customHeight="false" outlineLevel="0" collapsed="false">
      <c r="AA3432" s="7" t="n">
        <f aca="false">AA3431+1</f>
        <v>44338</v>
      </c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</row>
    <row r="3433" customFormat="false" ht="13.8" hidden="false" customHeight="false" outlineLevel="0" collapsed="false">
      <c r="AA3433" s="7" t="n">
        <f aca="false">AA3432+1</f>
        <v>44339</v>
      </c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</row>
    <row r="3434" customFormat="false" ht="13.8" hidden="false" customHeight="false" outlineLevel="0" collapsed="false">
      <c r="AA3434" s="7" t="n">
        <f aca="false">AA3433+1</f>
        <v>44340</v>
      </c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</row>
    <row r="3435" customFormat="false" ht="13.8" hidden="false" customHeight="false" outlineLevel="0" collapsed="false">
      <c r="AA3435" s="7" t="n">
        <f aca="false">AA3434+1</f>
        <v>44341</v>
      </c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</row>
    <row r="3436" customFormat="false" ht="13.8" hidden="false" customHeight="false" outlineLevel="0" collapsed="false">
      <c r="AA3436" s="7" t="n">
        <f aca="false">AA3435+1</f>
        <v>44342</v>
      </c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</row>
    <row r="3437" customFormat="false" ht="13.8" hidden="false" customHeight="false" outlineLevel="0" collapsed="false">
      <c r="AA3437" s="7" t="n">
        <f aca="false">AA3436+1</f>
        <v>44343</v>
      </c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</row>
    <row r="3438" customFormat="false" ht="13.8" hidden="false" customHeight="false" outlineLevel="0" collapsed="false">
      <c r="AA3438" s="7" t="n">
        <f aca="false">AA3437+1</f>
        <v>44344</v>
      </c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</row>
    <row r="3439" customFormat="false" ht="13.8" hidden="false" customHeight="false" outlineLevel="0" collapsed="false">
      <c r="AA3439" s="7" t="n">
        <f aca="false">AA3438+1</f>
        <v>44345</v>
      </c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</row>
    <row r="3440" customFormat="false" ht="13.8" hidden="false" customHeight="false" outlineLevel="0" collapsed="false">
      <c r="AA3440" s="7" t="n">
        <f aca="false">AA3439+1</f>
        <v>44346</v>
      </c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</row>
    <row r="3441" customFormat="false" ht="13.8" hidden="false" customHeight="false" outlineLevel="0" collapsed="false">
      <c r="AA3441" s="7" t="n">
        <f aca="false">AA3440+1</f>
        <v>44347</v>
      </c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</row>
    <row r="3442" customFormat="false" ht="13.8" hidden="false" customHeight="false" outlineLevel="0" collapsed="false">
      <c r="AA3442" s="7" t="n">
        <f aca="false">AA3441+1</f>
        <v>44348</v>
      </c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</row>
    <row r="3443" customFormat="false" ht="13.8" hidden="false" customHeight="false" outlineLevel="0" collapsed="false">
      <c r="AA3443" s="7" t="n">
        <f aca="false">AA3442+1</f>
        <v>44349</v>
      </c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</row>
    <row r="3444" customFormat="false" ht="13.8" hidden="false" customHeight="false" outlineLevel="0" collapsed="false">
      <c r="AA3444" s="7" t="n">
        <f aca="false">AA3443+1</f>
        <v>44350</v>
      </c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</row>
    <row r="3445" customFormat="false" ht="13.8" hidden="false" customHeight="false" outlineLevel="0" collapsed="false">
      <c r="AA3445" s="7" t="n">
        <f aca="false">AA3444+1</f>
        <v>44351</v>
      </c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</row>
    <row r="3446" customFormat="false" ht="13.8" hidden="false" customHeight="false" outlineLevel="0" collapsed="false">
      <c r="AA3446" s="7" t="n">
        <f aca="false">AA3445+1</f>
        <v>44352</v>
      </c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</row>
    <row r="3447" customFormat="false" ht="13.8" hidden="false" customHeight="false" outlineLevel="0" collapsed="false">
      <c r="AA3447" s="7" t="n">
        <f aca="false">AA3446+1</f>
        <v>44353</v>
      </c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</row>
    <row r="3448" customFormat="false" ht="13.8" hidden="false" customHeight="false" outlineLevel="0" collapsed="false">
      <c r="AA3448" s="7" t="n">
        <f aca="false">AA3447+1</f>
        <v>44354</v>
      </c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</row>
    <row r="3449" customFormat="false" ht="13.8" hidden="false" customHeight="false" outlineLevel="0" collapsed="false">
      <c r="AA3449" s="7" t="n">
        <f aca="false">AA3448+1</f>
        <v>44355</v>
      </c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</row>
    <row r="3450" customFormat="false" ht="13.8" hidden="false" customHeight="false" outlineLevel="0" collapsed="false">
      <c r="AA3450" s="7" t="n">
        <f aca="false">AA3449+1</f>
        <v>44356</v>
      </c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</row>
    <row r="3451" customFormat="false" ht="13.8" hidden="false" customHeight="false" outlineLevel="0" collapsed="false">
      <c r="AA3451" s="7" t="n">
        <f aca="false">AA3450+1</f>
        <v>44357</v>
      </c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</row>
    <row r="3452" customFormat="false" ht="13.8" hidden="false" customHeight="false" outlineLevel="0" collapsed="false">
      <c r="AA3452" s="7" t="n">
        <f aca="false">AA3451+1</f>
        <v>44358</v>
      </c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</row>
    <row r="3453" customFormat="false" ht="13.8" hidden="false" customHeight="false" outlineLevel="0" collapsed="false">
      <c r="AA3453" s="7" t="n">
        <f aca="false">AA3452+1</f>
        <v>44359</v>
      </c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</row>
    <row r="3454" customFormat="false" ht="13.8" hidden="false" customHeight="false" outlineLevel="0" collapsed="false">
      <c r="AA3454" s="7" t="n">
        <f aca="false">AA3453+1</f>
        <v>44360</v>
      </c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</row>
    <row r="3455" customFormat="false" ht="13.8" hidden="false" customHeight="false" outlineLevel="0" collapsed="false">
      <c r="AA3455" s="7" t="n">
        <f aca="false">AA3454+1</f>
        <v>44361</v>
      </c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</row>
    <row r="3456" customFormat="false" ht="13.8" hidden="false" customHeight="false" outlineLevel="0" collapsed="false">
      <c r="AA3456" s="7" t="n">
        <f aca="false">AA3455+1</f>
        <v>44362</v>
      </c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</row>
    <row r="3457" customFormat="false" ht="13.8" hidden="false" customHeight="false" outlineLevel="0" collapsed="false">
      <c r="AA3457" s="7" t="n">
        <f aca="false">AA3456+1</f>
        <v>44363</v>
      </c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</row>
    <row r="3458" customFormat="false" ht="13.8" hidden="false" customHeight="false" outlineLevel="0" collapsed="false">
      <c r="AA3458" s="7" t="n">
        <f aca="false">AA3457+1</f>
        <v>44364</v>
      </c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</row>
    <row r="3459" customFormat="false" ht="13.8" hidden="false" customHeight="false" outlineLevel="0" collapsed="false">
      <c r="AA3459" s="7" t="n">
        <f aca="false">AA3458+1</f>
        <v>44365</v>
      </c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</row>
    <row r="3460" customFormat="false" ht="13.8" hidden="false" customHeight="false" outlineLevel="0" collapsed="false">
      <c r="AA3460" s="7" t="n">
        <f aca="false">AA3459+1</f>
        <v>44366</v>
      </c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</row>
    <row r="3461" customFormat="false" ht="13.8" hidden="false" customHeight="false" outlineLevel="0" collapsed="false">
      <c r="AA3461" s="7" t="n">
        <f aca="false">AA3460+1</f>
        <v>44367</v>
      </c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</row>
    <row r="3462" customFormat="false" ht="13.8" hidden="false" customHeight="false" outlineLevel="0" collapsed="false">
      <c r="AA3462" s="7" t="n">
        <f aca="false">AA3461+1</f>
        <v>44368</v>
      </c>
      <c r="AB3462" s="14"/>
      <c r="AC3462" s="14"/>
      <c r="AD3462" s="14"/>
      <c r="AE3462" s="14"/>
      <c r="AF3462" s="14"/>
      <c r="AG3462" s="14"/>
      <c r="AH3462" s="14"/>
      <c r="AI3462" s="14"/>
      <c r="AJ3462" s="14"/>
      <c r="AK3462" s="14"/>
      <c r="AL3462" s="14"/>
      <c r="AM3462" s="14"/>
    </row>
    <row r="3463" customFormat="false" ht="13.8" hidden="false" customHeight="false" outlineLevel="0" collapsed="false">
      <c r="AA3463" s="7" t="n">
        <f aca="false">AA3462+1</f>
        <v>44369</v>
      </c>
      <c r="AB3463" s="14"/>
      <c r="AC3463" s="14"/>
      <c r="AD3463" s="14"/>
      <c r="AE3463" s="14"/>
      <c r="AF3463" s="14"/>
      <c r="AG3463" s="14"/>
      <c r="AH3463" s="14"/>
      <c r="AI3463" s="14"/>
      <c r="AJ3463" s="14"/>
      <c r="AK3463" s="14"/>
      <c r="AL3463" s="14"/>
      <c r="AM3463" s="14"/>
    </row>
    <row r="3464" customFormat="false" ht="13.8" hidden="false" customHeight="false" outlineLevel="0" collapsed="false">
      <c r="AA3464" s="7" t="n">
        <f aca="false">AA3463+1</f>
        <v>44370</v>
      </c>
      <c r="AB3464" s="14"/>
      <c r="AC3464" s="14"/>
      <c r="AD3464" s="14"/>
      <c r="AE3464" s="14"/>
      <c r="AF3464" s="14"/>
      <c r="AG3464" s="14"/>
      <c r="AH3464" s="14"/>
      <c r="AI3464" s="14"/>
      <c r="AJ3464" s="14"/>
      <c r="AK3464" s="14"/>
      <c r="AL3464" s="14"/>
      <c r="AM3464" s="14"/>
    </row>
    <row r="3465" customFormat="false" ht="13.8" hidden="false" customHeight="false" outlineLevel="0" collapsed="false">
      <c r="AA3465" s="7" t="n">
        <f aca="false">AA3464+1</f>
        <v>44371</v>
      </c>
      <c r="AB3465" s="14"/>
      <c r="AC3465" s="14"/>
      <c r="AD3465" s="14"/>
      <c r="AE3465" s="14"/>
      <c r="AF3465" s="14"/>
      <c r="AG3465" s="14"/>
      <c r="AH3465" s="14"/>
      <c r="AI3465" s="14"/>
      <c r="AJ3465" s="14"/>
      <c r="AK3465" s="14"/>
      <c r="AL3465" s="14"/>
      <c r="AM3465" s="14"/>
    </row>
    <row r="3466" customFormat="false" ht="13.8" hidden="false" customHeight="false" outlineLevel="0" collapsed="false">
      <c r="AA3466" s="7" t="n">
        <f aca="false">AA3465+1</f>
        <v>44372</v>
      </c>
      <c r="AB3466" s="14"/>
      <c r="AC3466" s="14"/>
      <c r="AD3466" s="14"/>
      <c r="AE3466" s="14"/>
      <c r="AF3466" s="14"/>
      <c r="AG3466" s="14"/>
      <c r="AH3466" s="14"/>
      <c r="AI3466" s="14"/>
      <c r="AJ3466" s="14"/>
      <c r="AK3466" s="14"/>
      <c r="AL3466" s="14"/>
      <c r="AM3466" s="14"/>
    </row>
    <row r="3467" customFormat="false" ht="13.8" hidden="false" customHeight="false" outlineLevel="0" collapsed="false">
      <c r="AA3467" s="7" t="n">
        <f aca="false">AA3466+1</f>
        <v>44373</v>
      </c>
      <c r="AB3467" s="14"/>
      <c r="AC3467" s="14"/>
      <c r="AD3467" s="14"/>
      <c r="AE3467" s="14"/>
      <c r="AF3467" s="14"/>
      <c r="AG3467" s="14"/>
      <c r="AH3467" s="14"/>
      <c r="AI3467" s="14"/>
      <c r="AJ3467" s="14"/>
      <c r="AK3467" s="14"/>
      <c r="AL3467" s="14"/>
      <c r="AM3467" s="14"/>
    </row>
    <row r="3468" customFormat="false" ht="13.8" hidden="false" customHeight="false" outlineLevel="0" collapsed="false">
      <c r="AA3468" s="7" t="n">
        <f aca="false">AA3467+1</f>
        <v>44374</v>
      </c>
      <c r="AB3468" s="14"/>
      <c r="AC3468" s="14"/>
      <c r="AD3468" s="14"/>
      <c r="AE3468" s="14"/>
      <c r="AF3468" s="14"/>
      <c r="AG3468" s="14"/>
      <c r="AH3468" s="14"/>
      <c r="AI3468" s="14"/>
      <c r="AJ3468" s="14"/>
      <c r="AK3468" s="14"/>
      <c r="AL3468" s="14"/>
      <c r="AM3468" s="14"/>
    </row>
    <row r="3469" customFormat="false" ht="13.8" hidden="false" customHeight="false" outlineLevel="0" collapsed="false">
      <c r="AA3469" s="7" t="n">
        <f aca="false">AA3468+1</f>
        <v>44375</v>
      </c>
      <c r="AB3469" s="14"/>
      <c r="AC3469" s="14"/>
      <c r="AD3469" s="14"/>
      <c r="AE3469" s="14"/>
      <c r="AF3469" s="14"/>
      <c r="AG3469" s="14"/>
      <c r="AH3469" s="14"/>
      <c r="AI3469" s="14"/>
      <c r="AJ3469" s="14"/>
      <c r="AK3469" s="14"/>
      <c r="AL3469" s="14"/>
      <c r="AM3469" s="14"/>
    </row>
    <row r="3470" customFormat="false" ht="13.8" hidden="false" customHeight="false" outlineLevel="0" collapsed="false">
      <c r="AA3470" s="7" t="n">
        <f aca="false">AA3469+1</f>
        <v>44376</v>
      </c>
      <c r="AB3470" s="14"/>
      <c r="AC3470" s="14"/>
      <c r="AD3470" s="14"/>
      <c r="AE3470" s="14"/>
      <c r="AF3470" s="14"/>
      <c r="AG3470" s="14"/>
      <c r="AH3470" s="14"/>
      <c r="AI3470" s="14"/>
      <c r="AJ3470" s="14"/>
      <c r="AK3470" s="14"/>
      <c r="AL3470" s="14"/>
      <c r="AM3470" s="14"/>
    </row>
    <row r="3471" customFormat="false" ht="13.8" hidden="false" customHeight="false" outlineLevel="0" collapsed="false">
      <c r="AA3471" s="7" t="n">
        <f aca="false">AA3470+1</f>
        <v>44377</v>
      </c>
      <c r="AB3471" s="14"/>
      <c r="AC3471" s="14"/>
      <c r="AD3471" s="14"/>
      <c r="AE3471" s="14"/>
      <c r="AF3471" s="14"/>
      <c r="AG3471" s="14"/>
      <c r="AH3471" s="14"/>
      <c r="AI3471" s="14"/>
      <c r="AJ3471" s="14"/>
      <c r="AK3471" s="14"/>
      <c r="AL3471" s="14"/>
      <c r="AM3471" s="14"/>
    </row>
    <row r="3472" customFormat="false" ht="13.8" hidden="false" customHeight="false" outlineLevel="0" collapsed="false">
      <c r="AA3472" s="7" t="n">
        <f aca="false">AA3471+1</f>
        <v>44378</v>
      </c>
      <c r="AB3472" s="14"/>
      <c r="AC3472" s="14"/>
      <c r="AD3472" s="14"/>
      <c r="AE3472" s="14"/>
      <c r="AF3472" s="14"/>
      <c r="AG3472" s="14"/>
      <c r="AH3472" s="14"/>
      <c r="AI3472" s="14"/>
      <c r="AJ3472" s="14"/>
      <c r="AK3472" s="14"/>
      <c r="AL3472" s="14"/>
      <c r="AM3472" s="14"/>
    </row>
    <row r="3473" customFormat="false" ht="13.8" hidden="false" customHeight="false" outlineLevel="0" collapsed="false">
      <c r="AA3473" s="7" t="n">
        <f aca="false">AA3472+1</f>
        <v>44379</v>
      </c>
      <c r="AB3473" s="14"/>
      <c r="AC3473" s="14"/>
      <c r="AD3473" s="14"/>
      <c r="AE3473" s="14"/>
      <c r="AF3473" s="14"/>
      <c r="AG3473" s="14"/>
      <c r="AH3473" s="14"/>
      <c r="AI3473" s="14"/>
      <c r="AJ3473" s="14"/>
      <c r="AK3473" s="14"/>
      <c r="AL3473" s="14"/>
      <c r="AM3473" s="14"/>
    </row>
    <row r="3474" customFormat="false" ht="13.8" hidden="false" customHeight="false" outlineLevel="0" collapsed="false">
      <c r="AA3474" s="7" t="n">
        <f aca="false">AA3473+1</f>
        <v>44380</v>
      </c>
      <c r="AB3474" s="14"/>
      <c r="AC3474" s="14"/>
      <c r="AD3474" s="14"/>
      <c r="AE3474" s="14"/>
      <c r="AF3474" s="14"/>
      <c r="AG3474" s="14"/>
      <c r="AH3474" s="14"/>
      <c r="AI3474" s="14"/>
      <c r="AJ3474" s="14"/>
      <c r="AK3474" s="14"/>
      <c r="AL3474" s="14"/>
      <c r="AM3474" s="14"/>
    </row>
    <row r="3475" customFormat="false" ht="13.8" hidden="false" customHeight="false" outlineLevel="0" collapsed="false">
      <c r="AA3475" s="7" t="n">
        <f aca="false">AA3474+1</f>
        <v>44381</v>
      </c>
      <c r="AB3475" s="14"/>
      <c r="AC3475" s="14"/>
      <c r="AD3475" s="14"/>
      <c r="AE3475" s="14"/>
      <c r="AF3475" s="14"/>
      <c r="AG3475" s="14"/>
      <c r="AH3475" s="14"/>
      <c r="AI3475" s="14"/>
      <c r="AJ3475" s="14"/>
      <c r="AK3475" s="14"/>
      <c r="AL3475" s="14"/>
      <c r="AM3475" s="14"/>
    </row>
    <row r="3476" customFormat="false" ht="13.8" hidden="false" customHeight="false" outlineLevel="0" collapsed="false">
      <c r="AA3476" s="7" t="n">
        <f aca="false">AA3475+1</f>
        <v>44382</v>
      </c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</row>
    <row r="3477" customFormat="false" ht="13.8" hidden="false" customHeight="false" outlineLevel="0" collapsed="false">
      <c r="AA3477" s="7" t="n">
        <f aca="false">AA3476+1</f>
        <v>44383</v>
      </c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</row>
    <row r="3478" customFormat="false" ht="13.8" hidden="false" customHeight="false" outlineLevel="0" collapsed="false">
      <c r="AA3478" s="7" t="n">
        <f aca="false">AA3477+1</f>
        <v>44384</v>
      </c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</row>
    <row r="3479" customFormat="false" ht="13.8" hidden="false" customHeight="false" outlineLevel="0" collapsed="false">
      <c r="AA3479" s="7" t="n">
        <f aca="false">AA3478+1</f>
        <v>44385</v>
      </c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</row>
    <row r="3480" customFormat="false" ht="13.8" hidden="false" customHeight="false" outlineLevel="0" collapsed="false">
      <c r="AA3480" s="7" t="n">
        <f aca="false">AA3479+1</f>
        <v>44386</v>
      </c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</row>
    <row r="3481" customFormat="false" ht="13.8" hidden="false" customHeight="false" outlineLevel="0" collapsed="false">
      <c r="AA3481" s="7" t="n">
        <f aca="false">AA3480+1</f>
        <v>44387</v>
      </c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</row>
    <row r="3482" customFormat="false" ht="13.8" hidden="false" customHeight="false" outlineLevel="0" collapsed="false">
      <c r="AA3482" s="7" t="n">
        <f aca="false">AA3481+1</f>
        <v>44388</v>
      </c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</row>
    <row r="3483" customFormat="false" ht="13.8" hidden="false" customHeight="false" outlineLevel="0" collapsed="false">
      <c r="AA3483" s="7" t="n">
        <f aca="false">AA3482+1</f>
        <v>44389</v>
      </c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</row>
    <row r="3484" customFormat="false" ht="13.8" hidden="false" customHeight="false" outlineLevel="0" collapsed="false">
      <c r="AA3484" s="7" t="n">
        <f aca="false">AA3483+1</f>
        <v>44390</v>
      </c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</row>
    <row r="3485" customFormat="false" ht="13.8" hidden="false" customHeight="false" outlineLevel="0" collapsed="false">
      <c r="AA3485" s="7" t="n">
        <f aca="false">AA3484+1</f>
        <v>44391</v>
      </c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</row>
    <row r="3486" customFormat="false" ht="13.8" hidden="false" customHeight="false" outlineLevel="0" collapsed="false">
      <c r="AA3486" s="7" t="n">
        <f aca="false">AA3485+1</f>
        <v>44392</v>
      </c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</row>
    <row r="3487" customFormat="false" ht="13.8" hidden="false" customHeight="false" outlineLevel="0" collapsed="false">
      <c r="AA3487" s="7" t="n">
        <f aca="false">AA3486+1</f>
        <v>44393</v>
      </c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</row>
    <row r="3488" customFormat="false" ht="13.8" hidden="false" customHeight="false" outlineLevel="0" collapsed="false">
      <c r="AA3488" s="7" t="n">
        <f aca="false">AA3487+1</f>
        <v>44394</v>
      </c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</row>
    <row r="3489" customFormat="false" ht="13.8" hidden="false" customHeight="false" outlineLevel="0" collapsed="false">
      <c r="AA3489" s="7" t="n">
        <f aca="false">AA3488+1</f>
        <v>44395</v>
      </c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</row>
    <row r="3490" customFormat="false" ht="13.8" hidden="false" customHeight="false" outlineLevel="0" collapsed="false">
      <c r="AA3490" s="7" t="n">
        <f aca="false">AA3489+1</f>
        <v>44396</v>
      </c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</row>
    <row r="3491" customFormat="false" ht="13.8" hidden="false" customHeight="false" outlineLevel="0" collapsed="false">
      <c r="AA3491" s="7" t="n">
        <f aca="false">AA3490+1</f>
        <v>44397</v>
      </c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</row>
    <row r="3492" customFormat="false" ht="13.8" hidden="false" customHeight="false" outlineLevel="0" collapsed="false">
      <c r="AA3492" s="7" t="n">
        <f aca="false">AA3491+1</f>
        <v>44398</v>
      </c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</row>
    <row r="3493" customFormat="false" ht="13.8" hidden="false" customHeight="false" outlineLevel="0" collapsed="false">
      <c r="AA3493" s="7" t="n">
        <f aca="false">AA3492+1</f>
        <v>44399</v>
      </c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</row>
    <row r="3494" customFormat="false" ht="13.8" hidden="false" customHeight="false" outlineLevel="0" collapsed="false">
      <c r="AA3494" s="7" t="n">
        <f aca="false">AA3493+1</f>
        <v>44400</v>
      </c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</row>
    <row r="3495" customFormat="false" ht="13.8" hidden="false" customHeight="false" outlineLevel="0" collapsed="false">
      <c r="AA3495" s="7" t="n">
        <f aca="false">AA3494+1</f>
        <v>44401</v>
      </c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</row>
    <row r="3496" customFormat="false" ht="13.8" hidden="false" customHeight="false" outlineLevel="0" collapsed="false">
      <c r="AA3496" s="7" t="n">
        <f aca="false">AA3495+1</f>
        <v>44402</v>
      </c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</row>
    <row r="3497" customFormat="false" ht="13.8" hidden="false" customHeight="false" outlineLevel="0" collapsed="false">
      <c r="AA3497" s="7" t="n">
        <f aca="false">AA3496+1</f>
        <v>44403</v>
      </c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</row>
    <row r="3498" customFormat="false" ht="13.8" hidden="false" customHeight="false" outlineLevel="0" collapsed="false">
      <c r="AA3498" s="7" t="n">
        <f aca="false">AA3497+1</f>
        <v>44404</v>
      </c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</row>
    <row r="3499" customFormat="false" ht="13.8" hidden="false" customHeight="false" outlineLevel="0" collapsed="false">
      <c r="AA3499" s="7" t="n">
        <f aca="false">AA3498+1</f>
        <v>44405</v>
      </c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</row>
    <row r="3500" customFormat="false" ht="13.8" hidden="false" customHeight="false" outlineLevel="0" collapsed="false">
      <c r="AA3500" s="7" t="n">
        <f aca="false">AA3499+1</f>
        <v>44406</v>
      </c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</row>
    <row r="3501" customFormat="false" ht="13.8" hidden="false" customHeight="false" outlineLevel="0" collapsed="false">
      <c r="AA3501" s="7" t="n">
        <f aca="false">AA3500+1</f>
        <v>44407</v>
      </c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</row>
    <row r="3502" customFormat="false" ht="13.8" hidden="false" customHeight="false" outlineLevel="0" collapsed="false">
      <c r="AA3502" s="7" t="n">
        <f aca="false">AA3501+1</f>
        <v>44408</v>
      </c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</row>
    <row r="3503" customFormat="false" ht="13.8" hidden="false" customHeight="false" outlineLevel="0" collapsed="false">
      <c r="AA3503" s="7" t="n">
        <f aca="false">AA3502+1</f>
        <v>44409</v>
      </c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</row>
    <row r="3504" customFormat="false" ht="13.8" hidden="false" customHeight="false" outlineLevel="0" collapsed="false">
      <c r="AA3504" s="7" t="n">
        <f aca="false">AA3503+1</f>
        <v>44410</v>
      </c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</row>
    <row r="3505" customFormat="false" ht="13.8" hidden="false" customHeight="false" outlineLevel="0" collapsed="false">
      <c r="AA3505" s="7" t="n">
        <f aca="false">AA3504+1</f>
        <v>44411</v>
      </c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</row>
    <row r="3506" customFormat="false" ht="13.8" hidden="false" customHeight="false" outlineLevel="0" collapsed="false">
      <c r="AA3506" s="7" t="n">
        <f aca="false">AA3505+1</f>
        <v>44412</v>
      </c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</row>
    <row r="3507" customFormat="false" ht="13.8" hidden="false" customHeight="false" outlineLevel="0" collapsed="false">
      <c r="AA3507" s="7" t="n">
        <f aca="false">AA3506+1</f>
        <v>44413</v>
      </c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</row>
    <row r="3508" customFormat="false" ht="13.8" hidden="false" customHeight="false" outlineLevel="0" collapsed="false">
      <c r="AA3508" s="7" t="n">
        <f aca="false">AA3507+1</f>
        <v>44414</v>
      </c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</row>
    <row r="3509" customFormat="false" ht="13.8" hidden="false" customHeight="false" outlineLevel="0" collapsed="false">
      <c r="AA3509" s="7" t="n">
        <f aca="false">AA3508+1</f>
        <v>44415</v>
      </c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</row>
    <row r="3510" customFormat="false" ht="13.8" hidden="false" customHeight="false" outlineLevel="0" collapsed="false">
      <c r="AA3510" s="7" t="n">
        <f aca="false">AA3509+1</f>
        <v>44416</v>
      </c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</row>
    <row r="3511" customFormat="false" ht="13.8" hidden="false" customHeight="false" outlineLevel="0" collapsed="false">
      <c r="AA3511" s="7" t="n">
        <f aca="false">AA3510+1</f>
        <v>44417</v>
      </c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</row>
    <row r="3512" customFormat="false" ht="13.8" hidden="false" customHeight="false" outlineLevel="0" collapsed="false">
      <c r="AA3512" s="7" t="n">
        <f aca="false">AA3511+1</f>
        <v>44418</v>
      </c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</row>
    <row r="3513" customFormat="false" ht="13.8" hidden="false" customHeight="false" outlineLevel="0" collapsed="false">
      <c r="AA3513" s="7" t="n">
        <f aca="false">AA3512+1</f>
        <v>44419</v>
      </c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</row>
    <row r="3514" customFormat="false" ht="13.8" hidden="false" customHeight="false" outlineLevel="0" collapsed="false">
      <c r="AA3514" s="7" t="n">
        <f aca="false">AA3513+1</f>
        <v>44420</v>
      </c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</row>
    <row r="3515" customFormat="false" ht="13.8" hidden="false" customHeight="false" outlineLevel="0" collapsed="false">
      <c r="AA3515" s="7" t="n">
        <f aca="false">AA3514+1</f>
        <v>44421</v>
      </c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</row>
    <row r="3516" customFormat="false" ht="13.8" hidden="false" customHeight="false" outlineLevel="0" collapsed="false">
      <c r="AA3516" s="7" t="n">
        <f aca="false">AA3515+1</f>
        <v>44422</v>
      </c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</row>
    <row r="3517" customFormat="false" ht="13.8" hidden="false" customHeight="false" outlineLevel="0" collapsed="false">
      <c r="AA3517" s="7" t="n">
        <f aca="false">AA3516+1</f>
        <v>44423</v>
      </c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</row>
    <row r="3518" customFormat="false" ht="13.8" hidden="false" customHeight="false" outlineLevel="0" collapsed="false">
      <c r="AA3518" s="7" t="n">
        <f aca="false">AA3517+1</f>
        <v>44424</v>
      </c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</row>
    <row r="3519" customFormat="false" ht="13.8" hidden="false" customHeight="false" outlineLevel="0" collapsed="false">
      <c r="AA3519" s="7" t="n">
        <f aca="false">AA3518+1</f>
        <v>44425</v>
      </c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</row>
    <row r="3520" customFormat="false" ht="13.8" hidden="false" customHeight="false" outlineLevel="0" collapsed="false">
      <c r="AA3520" s="7" t="n">
        <f aca="false">AA3519+1</f>
        <v>44426</v>
      </c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</row>
    <row r="3521" customFormat="false" ht="13.8" hidden="false" customHeight="false" outlineLevel="0" collapsed="false">
      <c r="AA3521" s="7" t="n">
        <f aca="false">AA3520+1</f>
        <v>44427</v>
      </c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</row>
    <row r="3522" customFormat="false" ht="13.8" hidden="false" customHeight="false" outlineLevel="0" collapsed="false">
      <c r="AA3522" s="7" t="n">
        <f aca="false">AA3521+1</f>
        <v>44428</v>
      </c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</row>
    <row r="3523" customFormat="false" ht="13.8" hidden="false" customHeight="false" outlineLevel="0" collapsed="false">
      <c r="AA3523" s="7" t="n">
        <f aca="false">AA3522+1</f>
        <v>44429</v>
      </c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</row>
    <row r="3524" customFormat="false" ht="13.8" hidden="false" customHeight="false" outlineLevel="0" collapsed="false">
      <c r="AA3524" s="7" t="n">
        <f aca="false">AA3523+1</f>
        <v>44430</v>
      </c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</row>
    <row r="3525" customFormat="false" ht="13.8" hidden="false" customHeight="false" outlineLevel="0" collapsed="false">
      <c r="AA3525" s="7" t="n">
        <f aca="false">AA3524+1</f>
        <v>44431</v>
      </c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</row>
    <row r="3526" customFormat="false" ht="13.8" hidden="false" customHeight="false" outlineLevel="0" collapsed="false">
      <c r="AA3526" s="7" t="n">
        <f aca="false">AA3525+1</f>
        <v>44432</v>
      </c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</row>
    <row r="3527" customFormat="false" ht="13.8" hidden="false" customHeight="false" outlineLevel="0" collapsed="false">
      <c r="AA3527" s="7" t="n">
        <f aca="false">AA3526+1</f>
        <v>44433</v>
      </c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</row>
    <row r="3528" customFormat="false" ht="13.8" hidden="false" customHeight="false" outlineLevel="0" collapsed="false">
      <c r="AA3528" s="7" t="n">
        <f aca="false">AA3527+1</f>
        <v>44434</v>
      </c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</row>
    <row r="3529" customFormat="false" ht="13.8" hidden="false" customHeight="false" outlineLevel="0" collapsed="false">
      <c r="AA3529" s="7" t="n">
        <f aca="false">AA3528+1</f>
        <v>44435</v>
      </c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</row>
    <row r="3530" customFormat="false" ht="13.8" hidden="false" customHeight="false" outlineLevel="0" collapsed="false">
      <c r="AA3530" s="7" t="n">
        <f aca="false">AA3529+1</f>
        <v>44436</v>
      </c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</row>
    <row r="3531" customFormat="false" ht="13.8" hidden="false" customHeight="false" outlineLevel="0" collapsed="false">
      <c r="AA3531" s="7" t="n">
        <f aca="false">AA3530+1</f>
        <v>44437</v>
      </c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</row>
    <row r="3532" customFormat="false" ht="13.8" hidden="false" customHeight="false" outlineLevel="0" collapsed="false">
      <c r="AA3532" s="7" t="n">
        <f aca="false">AA3531+1</f>
        <v>44438</v>
      </c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</row>
    <row r="3533" customFormat="false" ht="13.8" hidden="false" customHeight="false" outlineLevel="0" collapsed="false">
      <c r="AA3533" s="7" t="n">
        <f aca="false">AA3532+1</f>
        <v>44439</v>
      </c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</row>
    <row r="3534" customFormat="false" ht="13.8" hidden="false" customHeight="false" outlineLevel="0" collapsed="false">
      <c r="AA3534" s="7" t="n">
        <f aca="false">AA3533+1</f>
        <v>44440</v>
      </c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</row>
    <row r="3535" customFormat="false" ht="13.8" hidden="false" customHeight="false" outlineLevel="0" collapsed="false">
      <c r="AA3535" s="7" t="n">
        <f aca="false">AA3534+1</f>
        <v>44441</v>
      </c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</row>
    <row r="3536" customFormat="false" ht="13.8" hidden="false" customHeight="false" outlineLevel="0" collapsed="false">
      <c r="AA3536" s="7" t="n">
        <f aca="false">AA3535+1</f>
        <v>44442</v>
      </c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</row>
    <row r="3537" customFormat="false" ht="13.8" hidden="false" customHeight="false" outlineLevel="0" collapsed="false">
      <c r="AA3537" s="7" t="n">
        <f aca="false">AA3536+1</f>
        <v>44443</v>
      </c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</row>
    <row r="3538" customFormat="false" ht="13.8" hidden="false" customHeight="false" outlineLevel="0" collapsed="false">
      <c r="AA3538" s="7" t="n">
        <f aca="false">AA3537+1</f>
        <v>44444</v>
      </c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</row>
    <row r="3539" customFormat="false" ht="13.8" hidden="false" customHeight="false" outlineLevel="0" collapsed="false">
      <c r="AA3539" s="7" t="n">
        <f aca="false">AA3538+1</f>
        <v>44445</v>
      </c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</row>
    <row r="3540" customFormat="false" ht="13.8" hidden="false" customHeight="false" outlineLevel="0" collapsed="false">
      <c r="AA3540" s="7" t="n">
        <f aca="false">AA3539+1</f>
        <v>44446</v>
      </c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</row>
    <row r="3541" customFormat="false" ht="13.8" hidden="false" customHeight="false" outlineLevel="0" collapsed="false">
      <c r="AA3541" s="7" t="n">
        <f aca="false">AA3540+1</f>
        <v>44447</v>
      </c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</row>
    <row r="3542" customFormat="false" ht="13.8" hidden="false" customHeight="false" outlineLevel="0" collapsed="false">
      <c r="AA3542" s="7" t="n">
        <f aca="false">AA3541+1</f>
        <v>44448</v>
      </c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</row>
    <row r="3543" customFormat="false" ht="13.8" hidden="false" customHeight="false" outlineLevel="0" collapsed="false">
      <c r="AA3543" s="7" t="n">
        <f aca="false">AA3542+1</f>
        <v>44449</v>
      </c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</row>
    <row r="3544" customFormat="false" ht="13.8" hidden="false" customHeight="false" outlineLevel="0" collapsed="false">
      <c r="AA3544" s="7" t="n">
        <f aca="false">AA3543+1</f>
        <v>44450</v>
      </c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</row>
    <row r="3545" customFormat="false" ht="13.8" hidden="false" customHeight="false" outlineLevel="0" collapsed="false">
      <c r="AA3545" s="7" t="n">
        <f aca="false">AA3544+1</f>
        <v>44451</v>
      </c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</row>
    <row r="3546" customFormat="false" ht="13.8" hidden="false" customHeight="false" outlineLevel="0" collapsed="false">
      <c r="AA3546" s="7" t="n">
        <f aca="false">AA3545+1</f>
        <v>44452</v>
      </c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</row>
    <row r="3547" customFormat="false" ht="13.8" hidden="false" customHeight="false" outlineLevel="0" collapsed="false">
      <c r="AA3547" s="7" t="n">
        <f aca="false">AA3546+1</f>
        <v>44453</v>
      </c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</row>
    <row r="3548" customFormat="false" ht="13.8" hidden="false" customHeight="false" outlineLevel="0" collapsed="false">
      <c r="AA3548" s="7" t="n">
        <f aca="false">AA3547+1</f>
        <v>44454</v>
      </c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</row>
    <row r="3549" customFormat="false" ht="13.8" hidden="false" customHeight="false" outlineLevel="0" collapsed="false">
      <c r="AA3549" s="7" t="n">
        <f aca="false">AA3548+1</f>
        <v>44455</v>
      </c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</row>
    <row r="3550" customFormat="false" ht="13.8" hidden="false" customHeight="false" outlineLevel="0" collapsed="false">
      <c r="AA3550" s="7" t="n">
        <f aca="false">AA3549+1</f>
        <v>44456</v>
      </c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</row>
    <row r="3551" customFormat="false" ht="13.8" hidden="false" customHeight="false" outlineLevel="0" collapsed="false">
      <c r="AA3551" s="7" t="n">
        <f aca="false">AA3550+1</f>
        <v>44457</v>
      </c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</row>
    <row r="3552" customFormat="false" ht="13.8" hidden="false" customHeight="false" outlineLevel="0" collapsed="false">
      <c r="AA3552" s="7" t="n">
        <f aca="false">AA3551+1</f>
        <v>44458</v>
      </c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</row>
    <row r="3553" customFormat="false" ht="13.8" hidden="false" customHeight="false" outlineLevel="0" collapsed="false">
      <c r="AA3553" s="7" t="n">
        <f aca="false">AA3552+1</f>
        <v>44459</v>
      </c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</row>
    <row r="3554" customFormat="false" ht="13.8" hidden="false" customHeight="false" outlineLevel="0" collapsed="false">
      <c r="AA3554" s="7" t="n">
        <f aca="false">AA3553+1</f>
        <v>44460</v>
      </c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</row>
    <row r="3555" customFormat="false" ht="13.8" hidden="false" customHeight="false" outlineLevel="0" collapsed="false">
      <c r="AA3555" s="7" t="n">
        <f aca="false">AA3554+1</f>
        <v>44461</v>
      </c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</row>
    <row r="3556" customFormat="false" ht="13.8" hidden="false" customHeight="false" outlineLevel="0" collapsed="false">
      <c r="AA3556" s="7" t="n">
        <f aca="false">AA3555+1</f>
        <v>44462</v>
      </c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</row>
    <row r="3557" customFormat="false" ht="13.8" hidden="false" customHeight="false" outlineLevel="0" collapsed="false">
      <c r="AA3557" s="7" t="n">
        <f aca="false">AA3556+1</f>
        <v>44463</v>
      </c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</row>
    <row r="3558" customFormat="false" ht="13.8" hidden="false" customHeight="false" outlineLevel="0" collapsed="false">
      <c r="AA3558" s="7" t="n">
        <f aca="false">AA3557+1</f>
        <v>44464</v>
      </c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</row>
    <row r="3559" customFormat="false" ht="13.8" hidden="false" customHeight="false" outlineLevel="0" collapsed="false">
      <c r="AA3559" s="7" t="n">
        <f aca="false">AA3558+1</f>
        <v>44465</v>
      </c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</row>
    <row r="3560" customFormat="false" ht="13.8" hidden="false" customHeight="false" outlineLevel="0" collapsed="false">
      <c r="AA3560" s="7" t="n">
        <f aca="false">AA3559+1</f>
        <v>44466</v>
      </c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</row>
    <row r="3561" customFormat="false" ht="13.8" hidden="false" customHeight="false" outlineLevel="0" collapsed="false">
      <c r="AA3561" s="7" t="n">
        <f aca="false">AA3560+1</f>
        <v>44467</v>
      </c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</row>
    <row r="3562" customFormat="false" ht="13.8" hidden="false" customHeight="false" outlineLevel="0" collapsed="false">
      <c r="AA3562" s="7" t="n">
        <f aca="false">AA3561+1</f>
        <v>44468</v>
      </c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</row>
    <row r="3563" customFormat="false" ht="13.8" hidden="false" customHeight="false" outlineLevel="0" collapsed="false">
      <c r="AA3563" s="7" t="n">
        <f aca="false">AA3562+1</f>
        <v>44469</v>
      </c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</row>
    <row r="3564" customFormat="false" ht="13.8" hidden="false" customHeight="false" outlineLevel="0" collapsed="false">
      <c r="AA3564" s="7" t="n">
        <f aca="false">AA3563+1</f>
        <v>44470</v>
      </c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</row>
    <row r="3565" customFormat="false" ht="13.8" hidden="false" customHeight="false" outlineLevel="0" collapsed="false">
      <c r="AA3565" s="7" t="n">
        <f aca="false">AA3564+1</f>
        <v>44471</v>
      </c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</row>
    <row r="3566" customFormat="false" ht="13.8" hidden="false" customHeight="false" outlineLevel="0" collapsed="false">
      <c r="AA3566" s="7" t="n">
        <f aca="false">AA3565+1</f>
        <v>44472</v>
      </c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</row>
    <row r="3567" customFormat="false" ht="13.8" hidden="false" customHeight="false" outlineLevel="0" collapsed="false">
      <c r="AA3567" s="7" t="n">
        <f aca="false">AA3566+1</f>
        <v>44473</v>
      </c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</row>
    <row r="3568" customFormat="false" ht="13.8" hidden="false" customHeight="false" outlineLevel="0" collapsed="false">
      <c r="AA3568" s="7" t="n">
        <f aca="false">AA3567+1</f>
        <v>44474</v>
      </c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</row>
    <row r="3569" customFormat="false" ht="13.8" hidden="false" customHeight="false" outlineLevel="0" collapsed="false">
      <c r="AA3569" s="7" t="n">
        <f aca="false">AA3568+1</f>
        <v>44475</v>
      </c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</row>
    <row r="3570" customFormat="false" ht="13.8" hidden="false" customHeight="false" outlineLevel="0" collapsed="false">
      <c r="AA3570" s="7" t="n">
        <f aca="false">AA3569+1</f>
        <v>44476</v>
      </c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</row>
    <row r="3571" customFormat="false" ht="13.8" hidden="false" customHeight="false" outlineLevel="0" collapsed="false">
      <c r="AA3571" s="7" t="n">
        <f aca="false">AA3570+1</f>
        <v>44477</v>
      </c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</row>
    <row r="3572" customFormat="false" ht="13.8" hidden="false" customHeight="false" outlineLevel="0" collapsed="false">
      <c r="AA3572" s="7" t="n">
        <f aca="false">AA3571+1</f>
        <v>44478</v>
      </c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</row>
    <row r="3573" customFormat="false" ht="13.8" hidden="false" customHeight="false" outlineLevel="0" collapsed="false">
      <c r="AA3573" s="7" t="n">
        <f aca="false">AA3572+1</f>
        <v>44479</v>
      </c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</row>
    <row r="3574" customFormat="false" ht="13.8" hidden="false" customHeight="false" outlineLevel="0" collapsed="false">
      <c r="AA3574" s="7" t="n">
        <f aca="false">AA3573+1</f>
        <v>44480</v>
      </c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</row>
    <row r="3575" customFormat="false" ht="13.8" hidden="false" customHeight="false" outlineLevel="0" collapsed="false">
      <c r="AA3575" s="7" t="n">
        <f aca="false">AA3574+1</f>
        <v>44481</v>
      </c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</row>
    <row r="3576" customFormat="false" ht="13.8" hidden="false" customHeight="false" outlineLevel="0" collapsed="false">
      <c r="AA3576" s="7" t="n">
        <f aca="false">AA3575+1</f>
        <v>44482</v>
      </c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</row>
    <row r="3577" customFormat="false" ht="13.8" hidden="false" customHeight="false" outlineLevel="0" collapsed="false">
      <c r="AA3577" s="7" t="n">
        <f aca="false">AA3576+1</f>
        <v>44483</v>
      </c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</row>
    <row r="3578" customFormat="false" ht="13.8" hidden="false" customHeight="false" outlineLevel="0" collapsed="false">
      <c r="AA3578" s="7" t="n">
        <f aca="false">AA3577+1</f>
        <v>44484</v>
      </c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</row>
    <row r="3579" customFormat="false" ht="13.8" hidden="false" customHeight="false" outlineLevel="0" collapsed="false">
      <c r="AA3579" s="7" t="n">
        <f aca="false">AA3578+1</f>
        <v>44485</v>
      </c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</row>
    <row r="3580" customFormat="false" ht="13.8" hidden="false" customHeight="false" outlineLevel="0" collapsed="false">
      <c r="AA3580" s="7" t="n">
        <f aca="false">AA3579+1</f>
        <v>44486</v>
      </c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</row>
    <row r="3581" customFormat="false" ht="13.8" hidden="false" customHeight="false" outlineLevel="0" collapsed="false">
      <c r="AA3581" s="7" t="n">
        <f aca="false">AA3580+1</f>
        <v>44487</v>
      </c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</row>
    <row r="3582" customFormat="false" ht="13.8" hidden="false" customHeight="false" outlineLevel="0" collapsed="false">
      <c r="AA3582" s="7" t="n">
        <f aca="false">AA3581+1</f>
        <v>44488</v>
      </c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</row>
    <row r="3583" customFormat="false" ht="13.8" hidden="false" customHeight="false" outlineLevel="0" collapsed="false">
      <c r="AA3583" s="7" t="n">
        <f aca="false">AA3582+1</f>
        <v>44489</v>
      </c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</row>
    <row r="3584" customFormat="false" ht="13.8" hidden="false" customHeight="false" outlineLevel="0" collapsed="false">
      <c r="AA3584" s="7" t="n">
        <f aca="false">AA3583+1</f>
        <v>44490</v>
      </c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</row>
    <row r="3585" customFormat="false" ht="13.8" hidden="false" customHeight="false" outlineLevel="0" collapsed="false">
      <c r="AA3585" s="7" t="n">
        <f aca="false">AA3584+1</f>
        <v>44491</v>
      </c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</row>
    <row r="3586" customFormat="false" ht="13.8" hidden="false" customHeight="false" outlineLevel="0" collapsed="false">
      <c r="AA3586" s="7" t="n">
        <f aca="false">AA3585+1</f>
        <v>44492</v>
      </c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</row>
    <row r="3587" customFormat="false" ht="13.8" hidden="false" customHeight="false" outlineLevel="0" collapsed="false">
      <c r="AA3587" s="7" t="n">
        <f aca="false">AA3586+1</f>
        <v>44493</v>
      </c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</row>
    <row r="3588" customFormat="false" ht="13.8" hidden="false" customHeight="false" outlineLevel="0" collapsed="false">
      <c r="AA3588" s="7" t="n">
        <f aca="false">AA3587+1</f>
        <v>44494</v>
      </c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</row>
    <row r="3589" customFormat="false" ht="13.8" hidden="false" customHeight="false" outlineLevel="0" collapsed="false">
      <c r="AA3589" s="7" t="n">
        <f aca="false">AA3588+1</f>
        <v>44495</v>
      </c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</row>
    <row r="3590" customFormat="false" ht="13.8" hidden="false" customHeight="false" outlineLevel="0" collapsed="false">
      <c r="AA3590" s="7" t="n">
        <f aca="false">AA3589+1</f>
        <v>44496</v>
      </c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</row>
    <row r="3591" customFormat="false" ht="13.8" hidden="false" customHeight="false" outlineLevel="0" collapsed="false">
      <c r="AA3591" s="7" t="n">
        <f aca="false">AA3590+1</f>
        <v>44497</v>
      </c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</row>
    <row r="3592" customFormat="false" ht="13.8" hidden="false" customHeight="false" outlineLevel="0" collapsed="false">
      <c r="AA3592" s="7" t="n">
        <f aca="false">AA3591+1</f>
        <v>44498</v>
      </c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</row>
    <row r="3593" customFormat="false" ht="13.8" hidden="false" customHeight="false" outlineLevel="0" collapsed="false">
      <c r="AA3593" s="7" t="n">
        <f aca="false">AA3592+1</f>
        <v>44499</v>
      </c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</row>
    <row r="3594" customFormat="false" ht="13.8" hidden="false" customHeight="false" outlineLevel="0" collapsed="false">
      <c r="AA3594" s="7" t="n">
        <f aca="false">AA3593+1</f>
        <v>44500</v>
      </c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</row>
    <row r="3595" customFormat="false" ht="13.8" hidden="false" customHeight="false" outlineLevel="0" collapsed="false">
      <c r="AA3595" s="7" t="n">
        <f aca="false">AA3594+1</f>
        <v>44501</v>
      </c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</row>
    <row r="3596" customFormat="false" ht="13.8" hidden="false" customHeight="false" outlineLevel="0" collapsed="false">
      <c r="AA3596" s="7" t="n">
        <f aca="false">AA3595+1</f>
        <v>44502</v>
      </c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</row>
    <row r="3597" customFormat="false" ht="13.8" hidden="false" customHeight="false" outlineLevel="0" collapsed="false">
      <c r="AA3597" s="7" t="n">
        <f aca="false">AA3596+1</f>
        <v>44503</v>
      </c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</row>
    <row r="3598" customFormat="false" ht="13.8" hidden="false" customHeight="false" outlineLevel="0" collapsed="false">
      <c r="AA3598" s="7" t="n">
        <f aca="false">AA3597+1</f>
        <v>44504</v>
      </c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</row>
    <row r="3599" customFormat="false" ht="13.8" hidden="false" customHeight="false" outlineLevel="0" collapsed="false">
      <c r="AA3599" s="7" t="n">
        <f aca="false">AA3598+1</f>
        <v>44505</v>
      </c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</row>
    <row r="3600" customFormat="false" ht="13.8" hidden="false" customHeight="false" outlineLevel="0" collapsed="false">
      <c r="AA3600" s="7" t="n">
        <f aca="false">AA3599+1</f>
        <v>44506</v>
      </c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</row>
    <row r="3601" customFormat="false" ht="13.8" hidden="false" customHeight="false" outlineLevel="0" collapsed="false">
      <c r="AA3601" s="7" t="n">
        <f aca="false">AA3600+1</f>
        <v>44507</v>
      </c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</row>
    <row r="3602" customFormat="false" ht="13.8" hidden="false" customHeight="false" outlineLevel="0" collapsed="false">
      <c r="AA3602" s="7" t="n">
        <f aca="false">AA3601+1</f>
        <v>44508</v>
      </c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</row>
    <row r="3603" customFormat="false" ht="13.8" hidden="false" customHeight="false" outlineLevel="0" collapsed="false">
      <c r="AA3603" s="7" t="n">
        <f aca="false">AA3602+1</f>
        <v>44509</v>
      </c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</row>
    <row r="3604" customFormat="false" ht="13.8" hidden="false" customHeight="false" outlineLevel="0" collapsed="false">
      <c r="AA3604" s="7" t="n">
        <f aca="false">AA3603+1</f>
        <v>44510</v>
      </c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</row>
    <row r="3605" customFormat="false" ht="13.8" hidden="false" customHeight="false" outlineLevel="0" collapsed="false">
      <c r="AA3605" s="7" t="n">
        <f aca="false">AA3604+1</f>
        <v>44511</v>
      </c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</row>
    <row r="3606" customFormat="false" ht="13.8" hidden="false" customHeight="false" outlineLevel="0" collapsed="false">
      <c r="AA3606" s="7" t="n">
        <f aca="false">AA3605+1</f>
        <v>44512</v>
      </c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</row>
    <row r="3607" customFormat="false" ht="13.8" hidden="false" customHeight="false" outlineLevel="0" collapsed="false">
      <c r="AA3607" s="7" t="n">
        <f aca="false">AA3606+1</f>
        <v>44513</v>
      </c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</row>
    <row r="3608" customFormat="false" ht="13.8" hidden="false" customHeight="false" outlineLevel="0" collapsed="false">
      <c r="AA3608" s="7" t="n">
        <f aca="false">AA3607+1</f>
        <v>44514</v>
      </c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</row>
    <row r="3609" customFormat="false" ht="13.8" hidden="false" customHeight="false" outlineLevel="0" collapsed="false">
      <c r="AA3609" s="7" t="n">
        <f aca="false">AA3608+1</f>
        <v>44515</v>
      </c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</row>
    <row r="3610" customFormat="false" ht="13.8" hidden="false" customHeight="false" outlineLevel="0" collapsed="false">
      <c r="AA3610" s="7" t="n">
        <f aca="false">AA3609+1</f>
        <v>44516</v>
      </c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</row>
    <row r="3611" customFormat="false" ht="13.8" hidden="false" customHeight="false" outlineLevel="0" collapsed="false">
      <c r="AA3611" s="7" t="n">
        <f aca="false">AA3610+1</f>
        <v>44517</v>
      </c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</row>
    <row r="3612" customFormat="false" ht="13.8" hidden="false" customHeight="false" outlineLevel="0" collapsed="false">
      <c r="AA3612" s="7" t="n">
        <f aca="false">AA3611+1</f>
        <v>44518</v>
      </c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</row>
    <row r="3613" customFormat="false" ht="13.8" hidden="false" customHeight="false" outlineLevel="0" collapsed="false">
      <c r="AA3613" s="7" t="n">
        <f aca="false">AA3612+1</f>
        <v>44519</v>
      </c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</row>
    <row r="3614" customFormat="false" ht="13.8" hidden="false" customHeight="false" outlineLevel="0" collapsed="false">
      <c r="AA3614" s="7" t="n">
        <f aca="false">AA3613+1</f>
        <v>44520</v>
      </c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</row>
    <row r="3615" customFormat="false" ht="13.8" hidden="false" customHeight="false" outlineLevel="0" collapsed="false">
      <c r="AA3615" s="7" t="n">
        <f aca="false">AA3614+1</f>
        <v>44521</v>
      </c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</row>
    <row r="3616" customFormat="false" ht="13.8" hidden="false" customHeight="false" outlineLevel="0" collapsed="false">
      <c r="AA3616" s="7" t="n">
        <f aca="false">AA3615+1</f>
        <v>44522</v>
      </c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</row>
    <row r="3617" customFormat="false" ht="13.8" hidden="false" customHeight="false" outlineLevel="0" collapsed="false">
      <c r="AA3617" s="7" t="n">
        <f aca="false">AA3616+1</f>
        <v>44523</v>
      </c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</row>
    <row r="3618" customFormat="false" ht="13.8" hidden="false" customHeight="false" outlineLevel="0" collapsed="false">
      <c r="AA3618" s="7" t="n">
        <f aca="false">AA3617+1</f>
        <v>44524</v>
      </c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</row>
    <row r="3619" customFormat="false" ht="13.8" hidden="false" customHeight="false" outlineLevel="0" collapsed="false">
      <c r="AA3619" s="7" t="n">
        <f aca="false">AA3618+1</f>
        <v>44525</v>
      </c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</row>
    <row r="3620" customFormat="false" ht="13.8" hidden="false" customHeight="false" outlineLevel="0" collapsed="false">
      <c r="AA3620" s="7" t="n">
        <f aca="false">AA3619+1</f>
        <v>44526</v>
      </c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</row>
    <row r="3621" customFormat="false" ht="13.8" hidden="false" customHeight="false" outlineLevel="0" collapsed="false">
      <c r="AA3621" s="7" t="n">
        <f aca="false">AA3620+1</f>
        <v>44527</v>
      </c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</row>
    <row r="3622" customFormat="false" ht="13.8" hidden="false" customHeight="false" outlineLevel="0" collapsed="false">
      <c r="AA3622" s="7" t="n">
        <f aca="false">AA3621+1</f>
        <v>44528</v>
      </c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</row>
    <row r="3623" customFormat="false" ht="13.8" hidden="false" customHeight="false" outlineLevel="0" collapsed="false">
      <c r="AA3623" s="7" t="n">
        <f aca="false">AA3622+1</f>
        <v>44529</v>
      </c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</row>
    <row r="3624" customFormat="false" ht="13.8" hidden="false" customHeight="false" outlineLevel="0" collapsed="false">
      <c r="AA3624" s="7" t="n">
        <f aca="false">AA3623+1</f>
        <v>44530</v>
      </c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</row>
    <row r="3625" customFormat="false" ht="13.8" hidden="false" customHeight="false" outlineLevel="0" collapsed="false">
      <c r="AA3625" s="7" t="n">
        <f aca="false">AA3624+1</f>
        <v>44531</v>
      </c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</row>
    <row r="3626" customFormat="false" ht="13.8" hidden="false" customHeight="false" outlineLevel="0" collapsed="false">
      <c r="AA3626" s="7" t="n">
        <f aca="false">AA3625+1</f>
        <v>44532</v>
      </c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</row>
    <row r="3627" customFormat="false" ht="13.8" hidden="false" customHeight="false" outlineLevel="0" collapsed="false">
      <c r="AA3627" s="7" t="n">
        <f aca="false">AA3626+1</f>
        <v>44533</v>
      </c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</row>
    <row r="3628" customFormat="false" ht="13.8" hidden="false" customHeight="false" outlineLevel="0" collapsed="false">
      <c r="AA3628" s="7" t="n">
        <f aca="false">AA3627+1</f>
        <v>44534</v>
      </c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</row>
    <row r="3629" customFormat="false" ht="13.8" hidden="false" customHeight="false" outlineLevel="0" collapsed="false">
      <c r="AA3629" s="7" t="n">
        <f aca="false">AA3628+1</f>
        <v>44535</v>
      </c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</row>
    <row r="3630" customFormat="false" ht="13.8" hidden="false" customHeight="false" outlineLevel="0" collapsed="false">
      <c r="AA3630" s="7" t="n">
        <f aca="false">AA3629+1</f>
        <v>44536</v>
      </c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</row>
    <row r="3631" customFormat="false" ht="13.8" hidden="false" customHeight="false" outlineLevel="0" collapsed="false">
      <c r="AA3631" s="7" t="n">
        <f aca="false">AA3630+1</f>
        <v>44537</v>
      </c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</row>
    <row r="3632" customFormat="false" ht="13.8" hidden="false" customHeight="false" outlineLevel="0" collapsed="false">
      <c r="AA3632" s="7" t="n">
        <f aca="false">AA3631+1</f>
        <v>44538</v>
      </c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</row>
    <row r="3633" customFormat="false" ht="13.8" hidden="false" customHeight="false" outlineLevel="0" collapsed="false">
      <c r="AA3633" s="7" t="n">
        <f aca="false">AA3632+1</f>
        <v>44539</v>
      </c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</row>
    <row r="3634" customFormat="false" ht="13.8" hidden="false" customHeight="false" outlineLevel="0" collapsed="false">
      <c r="AA3634" s="7" t="n">
        <f aca="false">AA3633+1</f>
        <v>44540</v>
      </c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</row>
    <row r="3635" customFormat="false" ht="13.8" hidden="false" customHeight="false" outlineLevel="0" collapsed="false">
      <c r="AA3635" s="7" t="n">
        <f aca="false">AA3634+1</f>
        <v>44541</v>
      </c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</row>
    <row r="3636" customFormat="false" ht="13.8" hidden="false" customHeight="false" outlineLevel="0" collapsed="false">
      <c r="AA3636" s="7" t="n">
        <f aca="false">AA3635+1</f>
        <v>44542</v>
      </c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</row>
    <row r="3637" customFormat="false" ht="13.8" hidden="false" customHeight="false" outlineLevel="0" collapsed="false">
      <c r="AA3637" s="7" t="n">
        <f aca="false">AA3636+1</f>
        <v>44543</v>
      </c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</row>
    <row r="3638" customFormat="false" ht="13.8" hidden="false" customHeight="false" outlineLevel="0" collapsed="false">
      <c r="AA3638" s="7" t="n">
        <f aca="false">AA3637+1</f>
        <v>44544</v>
      </c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</row>
    <row r="3639" customFormat="false" ht="13.8" hidden="false" customHeight="false" outlineLevel="0" collapsed="false">
      <c r="AA3639" s="7" t="n">
        <f aca="false">AA3638+1</f>
        <v>44545</v>
      </c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</row>
    <row r="3640" customFormat="false" ht="13.8" hidden="false" customHeight="false" outlineLevel="0" collapsed="false">
      <c r="AA3640" s="7" t="n">
        <f aca="false">AA3639+1</f>
        <v>44546</v>
      </c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</row>
    <row r="3641" customFormat="false" ht="13.8" hidden="false" customHeight="false" outlineLevel="0" collapsed="false">
      <c r="AA3641" s="7" t="n">
        <f aca="false">AA3640+1</f>
        <v>44547</v>
      </c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</row>
    <row r="3642" customFormat="false" ht="13.8" hidden="false" customHeight="false" outlineLevel="0" collapsed="false">
      <c r="AA3642" s="7" t="n">
        <f aca="false">AA3641+1</f>
        <v>44548</v>
      </c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</row>
    <row r="3643" customFormat="false" ht="13.8" hidden="false" customHeight="false" outlineLevel="0" collapsed="false">
      <c r="AA3643" s="7" t="n">
        <f aca="false">AA3642+1</f>
        <v>44549</v>
      </c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</row>
    <row r="3644" customFormat="false" ht="13.8" hidden="false" customHeight="false" outlineLevel="0" collapsed="false">
      <c r="AA3644" s="7" t="n">
        <f aca="false">AA3643+1</f>
        <v>44550</v>
      </c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</row>
    <row r="3645" customFormat="false" ht="13.8" hidden="false" customHeight="false" outlineLevel="0" collapsed="false">
      <c r="AA3645" s="7" t="n">
        <f aca="false">AA3644+1</f>
        <v>44551</v>
      </c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</row>
    <row r="3646" customFormat="false" ht="13.8" hidden="false" customHeight="false" outlineLevel="0" collapsed="false">
      <c r="AA3646" s="7" t="n">
        <f aca="false">AA3645+1</f>
        <v>44552</v>
      </c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</row>
    <row r="3647" customFormat="false" ht="13.8" hidden="false" customHeight="false" outlineLevel="0" collapsed="false">
      <c r="AA3647" s="7" t="n">
        <f aca="false">AA3646+1</f>
        <v>44553</v>
      </c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</row>
    <row r="3648" customFormat="false" ht="13.8" hidden="false" customHeight="false" outlineLevel="0" collapsed="false">
      <c r="AA3648" s="7" t="n">
        <f aca="false">AA3647+1</f>
        <v>44554</v>
      </c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</row>
    <row r="3649" customFormat="false" ht="13.8" hidden="false" customHeight="false" outlineLevel="0" collapsed="false">
      <c r="AA3649" s="7" t="n">
        <f aca="false">AA3648+1</f>
        <v>44555</v>
      </c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</row>
    <row r="3650" customFormat="false" ht="13.8" hidden="false" customHeight="false" outlineLevel="0" collapsed="false">
      <c r="AA3650" s="7" t="n">
        <f aca="false">AA3649+1</f>
        <v>44556</v>
      </c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</row>
    <row r="3651" customFormat="false" ht="13.8" hidden="false" customHeight="false" outlineLevel="0" collapsed="false">
      <c r="AA3651" s="7" t="n">
        <f aca="false">AA3650+1</f>
        <v>44557</v>
      </c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</row>
    <row r="3652" customFormat="false" ht="13.8" hidden="false" customHeight="false" outlineLevel="0" collapsed="false">
      <c r="AA3652" s="7" t="n">
        <f aca="false">AA3651+1</f>
        <v>44558</v>
      </c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</row>
    <row r="3653" customFormat="false" ht="13.8" hidden="false" customHeight="false" outlineLevel="0" collapsed="false">
      <c r="AA3653" s="7" t="n">
        <f aca="false">AA3652+1</f>
        <v>44559</v>
      </c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</row>
    <row r="3654" customFormat="false" ht="13.8" hidden="false" customHeight="false" outlineLevel="0" collapsed="false">
      <c r="AA3654" s="7" t="n">
        <f aca="false">AA3653+1</f>
        <v>44560</v>
      </c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</row>
    <row r="3655" customFormat="false" ht="13.8" hidden="false" customHeight="false" outlineLevel="0" collapsed="false">
      <c r="AA3655" s="7" t="n">
        <f aca="false">AA3654+1</f>
        <v>44561</v>
      </c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</row>
    <row r="3656" customFormat="false" ht="13.8" hidden="false" customHeight="false" outlineLevel="0" collapsed="false">
      <c r="AA3656" s="7" t="n">
        <f aca="false">AA3655+1</f>
        <v>44562</v>
      </c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</row>
    <row r="3657" customFormat="false" ht="13.8" hidden="false" customHeight="false" outlineLevel="0" collapsed="false">
      <c r="AA3657" s="7" t="n">
        <f aca="false">AA3656+1</f>
        <v>44563</v>
      </c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</row>
    <row r="3658" customFormat="false" ht="13.8" hidden="false" customHeight="false" outlineLevel="0" collapsed="false">
      <c r="AA3658" s="7" t="n">
        <f aca="false">AA3657+1</f>
        <v>44564</v>
      </c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</row>
    <row r="3659" customFormat="false" ht="13.8" hidden="false" customHeight="false" outlineLevel="0" collapsed="false">
      <c r="AA3659" s="7" t="n">
        <f aca="false">AA3658+1</f>
        <v>44565</v>
      </c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</row>
    <row r="3660" customFormat="false" ht="13.8" hidden="false" customHeight="false" outlineLevel="0" collapsed="false">
      <c r="AA3660" s="7" t="n">
        <f aca="false">AA3659+1</f>
        <v>44566</v>
      </c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</row>
    <row r="3661" customFormat="false" ht="13.8" hidden="false" customHeight="false" outlineLevel="0" collapsed="false">
      <c r="AA3661" s="7" t="n">
        <f aca="false">AA3660+1</f>
        <v>44567</v>
      </c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</row>
    <row r="3662" customFormat="false" ht="13.8" hidden="false" customHeight="false" outlineLevel="0" collapsed="false">
      <c r="AA3662" s="7" t="n">
        <f aca="false">AA3661+1</f>
        <v>44568</v>
      </c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</row>
    <row r="3663" customFormat="false" ht="13.8" hidden="false" customHeight="false" outlineLevel="0" collapsed="false">
      <c r="AA3663" s="7" t="n">
        <f aca="false">AA3662+1</f>
        <v>44569</v>
      </c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</row>
    <row r="3664" customFormat="false" ht="13.8" hidden="false" customHeight="false" outlineLevel="0" collapsed="false">
      <c r="AA3664" s="7" t="n">
        <f aca="false">AA3663+1</f>
        <v>44570</v>
      </c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</row>
    <row r="3665" customFormat="false" ht="13.8" hidden="false" customHeight="false" outlineLevel="0" collapsed="false">
      <c r="AA3665" s="7" t="n">
        <f aca="false">AA3664+1</f>
        <v>44571</v>
      </c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</row>
    <row r="3666" customFormat="false" ht="13.8" hidden="false" customHeight="false" outlineLevel="0" collapsed="false">
      <c r="AA3666" s="7" t="n">
        <f aca="false">AA3665+1</f>
        <v>44572</v>
      </c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</row>
    <row r="3667" customFormat="false" ht="13.8" hidden="false" customHeight="false" outlineLevel="0" collapsed="false">
      <c r="AA3667" s="7" t="n">
        <f aca="false">AA3666+1</f>
        <v>44573</v>
      </c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</row>
    <row r="3668" customFormat="false" ht="13.8" hidden="false" customHeight="false" outlineLevel="0" collapsed="false">
      <c r="AA3668" s="7" t="n">
        <f aca="false">AA3667+1</f>
        <v>44574</v>
      </c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</row>
    <row r="3669" customFormat="false" ht="13.8" hidden="false" customHeight="false" outlineLevel="0" collapsed="false">
      <c r="AA3669" s="7" t="n">
        <f aca="false">AA3668+1</f>
        <v>44575</v>
      </c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</row>
    <row r="3670" customFormat="false" ht="13.8" hidden="false" customHeight="false" outlineLevel="0" collapsed="false">
      <c r="AA3670" s="7" t="n">
        <f aca="false">AA3669+1</f>
        <v>44576</v>
      </c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</row>
    <row r="3671" customFormat="false" ht="13.8" hidden="false" customHeight="false" outlineLevel="0" collapsed="false">
      <c r="AA3671" s="7" t="n">
        <f aca="false">AA3670+1</f>
        <v>44577</v>
      </c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</row>
    <row r="3672" customFormat="false" ht="13.8" hidden="false" customHeight="false" outlineLevel="0" collapsed="false">
      <c r="AA3672" s="7" t="n">
        <f aca="false">AA3671+1</f>
        <v>44578</v>
      </c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</row>
    <row r="3673" customFormat="false" ht="13.8" hidden="false" customHeight="false" outlineLevel="0" collapsed="false">
      <c r="AA3673" s="7" t="n">
        <f aca="false">AA3672+1</f>
        <v>44579</v>
      </c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</row>
    <row r="3674" customFormat="false" ht="13.8" hidden="false" customHeight="false" outlineLevel="0" collapsed="false">
      <c r="AA3674" s="7" t="n">
        <f aca="false">AA3673+1</f>
        <v>44580</v>
      </c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</row>
    <row r="3675" customFormat="false" ht="13.8" hidden="false" customHeight="false" outlineLevel="0" collapsed="false">
      <c r="AA3675" s="7" t="n">
        <f aca="false">AA3674+1</f>
        <v>44581</v>
      </c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</row>
    <row r="3676" customFormat="false" ht="13.8" hidden="false" customHeight="false" outlineLevel="0" collapsed="false">
      <c r="AA3676" s="7" t="n">
        <f aca="false">AA3675+1</f>
        <v>44582</v>
      </c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</row>
    <row r="3677" customFormat="false" ht="13.8" hidden="false" customHeight="false" outlineLevel="0" collapsed="false">
      <c r="AA3677" s="7" t="n">
        <f aca="false">AA3676+1</f>
        <v>44583</v>
      </c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</row>
    <row r="3678" customFormat="false" ht="13.8" hidden="false" customHeight="false" outlineLevel="0" collapsed="false">
      <c r="AA3678" s="7" t="n">
        <f aca="false">AA3677+1</f>
        <v>44584</v>
      </c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</row>
    <row r="3679" customFormat="false" ht="13.8" hidden="false" customHeight="false" outlineLevel="0" collapsed="false">
      <c r="AA3679" s="7" t="n">
        <f aca="false">AA3678+1</f>
        <v>44585</v>
      </c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</row>
    <row r="3680" customFormat="false" ht="13.8" hidden="false" customHeight="false" outlineLevel="0" collapsed="false">
      <c r="AA3680" s="7" t="n">
        <f aca="false">AA3679+1</f>
        <v>44586</v>
      </c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</row>
    <row r="3681" customFormat="false" ht="13.8" hidden="false" customHeight="false" outlineLevel="0" collapsed="false">
      <c r="AA3681" s="7" t="n">
        <f aca="false">AA3680+1</f>
        <v>44587</v>
      </c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</row>
    <row r="3682" customFormat="false" ht="13.8" hidden="false" customHeight="false" outlineLevel="0" collapsed="false">
      <c r="AA3682" s="7" t="n">
        <f aca="false">AA3681+1</f>
        <v>44588</v>
      </c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</row>
    <row r="3683" customFormat="false" ht="13.8" hidden="false" customHeight="false" outlineLevel="0" collapsed="false">
      <c r="AA3683" s="7" t="n">
        <f aca="false">AA3682+1</f>
        <v>44589</v>
      </c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</row>
    <row r="3684" customFormat="false" ht="13.8" hidden="false" customHeight="false" outlineLevel="0" collapsed="false">
      <c r="AA3684" s="7" t="n">
        <f aca="false">AA3683+1</f>
        <v>44590</v>
      </c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</row>
    <row r="3685" customFormat="false" ht="13.8" hidden="false" customHeight="false" outlineLevel="0" collapsed="false">
      <c r="AA3685" s="7" t="n">
        <f aca="false">AA3684+1</f>
        <v>44591</v>
      </c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</row>
    <row r="3686" customFormat="false" ht="13.8" hidden="false" customHeight="false" outlineLevel="0" collapsed="false">
      <c r="AA3686" s="7" t="n">
        <f aca="false">AA3685+1</f>
        <v>44592</v>
      </c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</row>
    <row r="3687" customFormat="false" ht="13.8" hidden="false" customHeight="false" outlineLevel="0" collapsed="false">
      <c r="AA3687" s="7" t="n">
        <f aca="false">AA3686+1</f>
        <v>44593</v>
      </c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</row>
    <row r="3688" customFormat="false" ht="13.8" hidden="false" customHeight="false" outlineLevel="0" collapsed="false">
      <c r="AA3688" s="7" t="n">
        <f aca="false">AA3687+1</f>
        <v>44594</v>
      </c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</row>
    <row r="3689" customFormat="false" ht="13.8" hidden="false" customHeight="false" outlineLevel="0" collapsed="false">
      <c r="AA3689" s="7" t="n">
        <f aca="false">AA3688+1</f>
        <v>44595</v>
      </c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</row>
    <row r="3690" customFormat="false" ht="13.8" hidden="false" customHeight="false" outlineLevel="0" collapsed="false">
      <c r="AA3690" s="7" t="n">
        <f aca="false">AA3689+1</f>
        <v>44596</v>
      </c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</row>
    <row r="3691" customFormat="false" ht="13.8" hidden="false" customHeight="false" outlineLevel="0" collapsed="false">
      <c r="AA3691" s="7" t="n">
        <f aca="false">AA3690+1</f>
        <v>44597</v>
      </c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</row>
    <row r="3692" customFormat="false" ht="13.8" hidden="false" customHeight="false" outlineLevel="0" collapsed="false">
      <c r="AA3692" s="7" t="n">
        <f aca="false">AA3691+1</f>
        <v>44598</v>
      </c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</row>
    <row r="3693" customFormat="false" ht="13.8" hidden="false" customHeight="false" outlineLevel="0" collapsed="false">
      <c r="AA3693" s="7" t="n">
        <f aca="false">AA3692+1</f>
        <v>44599</v>
      </c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</row>
    <row r="3694" customFormat="false" ht="13.8" hidden="false" customHeight="false" outlineLevel="0" collapsed="false">
      <c r="AA3694" s="7" t="n">
        <f aca="false">AA3693+1</f>
        <v>44600</v>
      </c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</row>
    <row r="3695" customFormat="false" ht="13.8" hidden="false" customHeight="false" outlineLevel="0" collapsed="false">
      <c r="AA3695" s="7" t="n">
        <f aca="false">AA3694+1</f>
        <v>44601</v>
      </c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</row>
    <row r="3696" customFormat="false" ht="13.8" hidden="false" customHeight="false" outlineLevel="0" collapsed="false">
      <c r="AA3696" s="7" t="n">
        <f aca="false">AA3695+1</f>
        <v>44602</v>
      </c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</row>
    <row r="3697" customFormat="false" ht="13.8" hidden="false" customHeight="false" outlineLevel="0" collapsed="false">
      <c r="AA3697" s="7" t="n">
        <f aca="false">AA3696+1</f>
        <v>44603</v>
      </c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</row>
    <row r="3698" customFormat="false" ht="13.8" hidden="false" customHeight="false" outlineLevel="0" collapsed="false">
      <c r="AA3698" s="7" t="n">
        <f aca="false">AA3697+1</f>
        <v>44604</v>
      </c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</row>
    <row r="3699" customFormat="false" ht="13.8" hidden="false" customHeight="false" outlineLevel="0" collapsed="false">
      <c r="AA3699" s="7" t="n">
        <f aca="false">AA3698+1</f>
        <v>44605</v>
      </c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</row>
    <row r="3700" customFormat="false" ht="13.8" hidden="false" customHeight="false" outlineLevel="0" collapsed="false">
      <c r="AA3700" s="7" t="n">
        <f aca="false">AA3699+1</f>
        <v>44606</v>
      </c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</row>
    <row r="3701" customFormat="false" ht="13.8" hidden="false" customHeight="false" outlineLevel="0" collapsed="false">
      <c r="AA3701" s="7" t="n">
        <f aca="false">AA3700+1</f>
        <v>44607</v>
      </c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</row>
    <row r="3702" customFormat="false" ht="13.8" hidden="false" customHeight="false" outlineLevel="0" collapsed="false">
      <c r="AA3702" s="7" t="n">
        <f aca="false">AA3701+1</f>
        <v>44608</v>
      </c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</row>
    <row r="3703" customFormat="false" ht="13.8" hidden="false" customHeight="false" outlineLevel="0" collapsed="false">
      <c r="AA3703" s="7" t="n">
        <f aca="false">AA3702+1</f>
        <v>44609</v>
      </c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</row>
    <row r="3704" customFormat="false" ht="13.8" hidden="false" customHeight="false" outlineLevel="0" collapsed="false">
      <c r="AA3704" s="7" t="n">
        <f aca="false">AA3703+1</f>
        <v>44610</v>
      </c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</row>
    <row r="3705" customFormat="false" ht="13.8" hidden="false" customHeight="false" outlineLevel="0" collapsed="false">
      <c r="AA3705" s="7" t="n">
        <f aca="false">AA3704+1</f>
        <v>44611</v>
      </c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</row>
    <row r="3706" customFormat="false" ht="13.8" hidden="false" customHeight="false" outlineLevel="0" collapsed="false">
      <c r="AA3706" s="7" t="n">
        <f aca="false">AA3705+1</f>
        <v>44612</v>
      </c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</row>
    <row r="3707" customFormat="false" ht="13.8" hidden="false" customHeight="false" outlineLevel="0" collapsed="false">
      <c r="AA3707" s="7" t="n">
        <f aca="false">AA3706+1</f>
        <v>44613</v>
      </c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</row>
    <row r="3708" customFormat="false" ht="13.8" hidden="false" customHeight="false" outlineLevel="0" collapsed="false">
      <c r="AA3708" s="7" t="n">
        <f aca="false">AA3707+1</f>
        <v>44614</v>
      </c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</row>
    <row r="3709" customFormat="false" ht="13.8" hidden="false" customHeight="false" outlineLevel="0" collapsed="false">
      <c r="AA3709" s="7" t="n">
        <f aca="false">AA3708+1</f>
        <v>44615</v>
      </c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</row>
    <row r="3710" customFormat="false" ht="13.8" hidden="false" customHeight="false" outlineLevel="0" collapsed="false">
      <c r="AA3710" s="7" t="n">
        <f aca="false">AA3709+1</f>
        <v>44616</v>
      </c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</row>
    <row r="3711" customFormat="false" ht="13.8" hidden="false" customHeight="false" outlineLevel="0" collapsed="false">
      <c r="AA3711" s="7" t="n">
        <f aca="false">AA3710+1</f>
        <v>44617</v>
      </c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</row>
    <row r="3712" customFormat="false" ht="13.8" hidden="false" customHeight="false" outlineLevel="0" collapsed="false">
      <c r="AA3712" s="7" t="n">
        <f aca="false">AA3711+1</f>
        <v>44618</v>
      </c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</row>
    <row r="3713" customFormat="false" ht="13.8" hidden="false" customHeight="false" outlineLevel="0" collapsed="false">
      <c r="AA3713" s="7" t="n">
        <f aca="false">AA3712+1</f>
        <v>44619</v>
      </c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</row>
    <row r="3714" customFormat="false" ht="13.8" hidden="false" customHeight="false" outlineLevel="0" collapsed="false">
      <c r="AA3714" s="7" t="n">
        <f aca="false">AA3713+1</f>
        <v>44620</v>
      </c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</row>
    <row r="3715" customFormat="false" ht="13.8" hidden="false" customHeight="false" outlineLevel="0" collapsed="false">
      <c r="AA3715" s="7" t="n">
        <f aca="false">AA3714+1</f>
        <v>44621</v>
      </c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</row>
    <row r="3716" customFormat="false" ht="13.8" hidden="false" customHeight="false" outlineLevel="0" collapsed="false">
      <c r="AA3716" s="7" t="n">
        <f aca="false">AA3715+1</f>
        <v>44622</v>
      </c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</row>
    <row r="3717" customFormat="false" ht="13.8" hidden="false" customHeight="false" outlineLevel="0" collapsed="false">
      <c r="AA3717" s="7" t="n">
        <f aca="false">AA3716+1</f>
        <v>44623</v>
      </c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</row>
    <row r="3718" customFormat="false" ht="13.8" hidden="false" customHeight="false" outlineLevel="0" collapsed="false">
      <c r="AA3718" s="7" t="n">
        <f aca="false">AA3717+1</f>
        <v>44624</v>
      </c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</row>
    <row r="3719" customFormat="false" ht="13.8" hidden="false" customHeight="false" outlineLevel="0" collapsed="false">
      <c r="AA3719" s="7" t="n">
        <f aca="false">AA3718+1</f>
        <v>44625</v>
      </c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</row>
    <row r="3720" customFormat="false" ht="13.8" hidden="false" customHeight="false" outlineLevel="0" collapsed="false">
      <c r="AA3720" s="7" t="n">
        <f aca="false">AA3719+1</f>
        <v>44626</v>
      </c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</row>
    <row r="3721" customFormat="false" ht="13.8" hidden="false" customHeight="false" outlineLevel="0" collapsed="false">
      <c r="AA3721" s="7" t="n">
        <f aca="false">AA3720+1</f>
        <v>44627</v>
      </c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</row>
    <row r="3722" customFormat="false" ht="13.8" hidden="false" customHeight="false" outlineLevel="0" collapsed="false">
      <c r="AA3722" s="7" t="n">
        <f aca="false">AA3721+1</f>
        <v>44628</v>
      </c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</row>
    <row r="3723" customFormat="false" ht="13.8" hidden="false" customHeight="false" outlineLevel="0" collapsed="false">
      <c r="AA3723" s="7" t="n">
        <f aca="false">AA3722+1</f>
        <v>44629</v>
      </c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</row>
    <row r="3724" customFormat="false" ht="13.8" hidden="false" customHeight="false" outlineLevel="0" collapsed="false">
      <c r="AA3724" s="7" t="n">
        <f aca="false">AA3723+1</f>
        <v>44630</v>
      </c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</row>
    <row r="3725" customFormat="false" ht="13.8" hidden="false" customHeight="false" outlineLevel="0" collapsed="false">
      <c r="AA3725" s="7" t="n">
        <f aca="false">AA3724+1</f>
        <v>44631</v>
      </c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</row>
    <row r="3726" customFormat="false" ht="13.8" hidden="false" customHeight="false" outlineLevel="0" collapsed="false">
      <c r="AA3726" s="7" t="n">
        <f aca="false">AA3725+1</f>
        <v>44632</v>
      </c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</row>
    <row r="3727" customFormat="false" ht="13.8" hidden="false" customHeight="false" outlineLevel="0" collapsed="false">
      <c r="AA3727" s="7" t="n">
        <f aca="false">AA3726+1</f>
        <v>44633</v>
      </c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</row>
    <row r="3728" customFormat="false" ht="13.8" hidden="false" customHeight="false" outlineLevel="0" collapsed="false">
      <c r="AA3728" s="7" t="n">
        <f aca="false">AA3727+1</f>
        <v>44634</v>
      </c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</row>
    <row r="3729" customFormat="false" ht="13.8" hidden="false" customHeight="false" outlineLevel="0" collapsed="false">
      <c r="AA3729" s="7" t="n">
        <f aca="false">AA3728+1</f>
        <v>44635</v>
      </c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</row>
    <row r="3730" customFormat="false" ht="13.8" hidden="false" customHeight="false" outlineLevel="0" collapsed="false">
      <c r="AA3730" s="7" t="n">
        <f aca="false">AA3729+1</f>
        <v>44636</v>
      </c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</row>
    <row r="3731" customFormat="false" ht="13.8" hidden="false" customHeight="false" outlineLevel="0" collapsed="false">
      <c r="AA3731" s="7" t="n">
        <f aca="false">AA3730+1</f>
        <v>44637</v>
      </c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</row>
    <row r="3732" customFormat="false" ht="13.8" hidden="false" customHeight="false" outlineLevel="0" collapsed="false">
      <c r="AA3732" s="7" t="n">
        <f aca="false">AA3731+1</f>
        <v>44638</v>
      </c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</row>
    <row r="3733" customFormat="false" ht="13.8" hidden="false" customHeight="false" outlineLevel="0" collapsed="false">
      <c r="AA3733" s="7" t="n">
        <f aca="false">AA3732+1</f>
        <v>44639</v>
      </c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</row>
    <row r="3734" customFormat="false" ht="13.8" hidden="false" customHeight="false" outlineLevel="0" collapsed="false">
      <c r="AA3734" s="7" t="n">
        <f aca="false">AA3733+1</f>
        <v>44640</v>
      </c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</row>
    <row r="3735" customFormat="false" ht="13.8" hidden="false" customHeight="false" outlineLevel="0" collapsed="false">
      <c r="AA3735" s="7" t="n">
        <f aca="false">AA3734+1</f>
        <v>44641</v>
      </c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</row>
    <row r="3736" customFormat="false" ht="13.8" hidden="false" customHeight="false" outlineLevel="0" collapsed="false">
      <c r="AA3736" s="7" t="n">
        <f aca="false">AA3735+1</f>
        <v>44642</v>
      </c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</row>
    <row r="3737" customFormat="false" ht="13.8" hidden="false" customHeight="false" outlineLevel="0" collapsed="false">
      <c r="AA3737" s="7" t="n">
        <f aca="false">AA3736+1</f>
        <v>44643</v>
      </c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</row>
    <row r="3738" customFormat="false" ht="13.8" hidden="false" customHeight="false" outlineLevel="0" collapsed="false">
      <c r="AA3738" s="7" t="n">
        <f aca="false">AA3737+1</f>
        <v>44644</v>
      </c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</row>
    <row r="3739" customFormat="false" ht="13.8" hidden="false" customHeight="false" outlineLevel="0" collapsed="false">
      <c r="AA3739" s="7" t="n">
        <f aca="false">AA3738+1</f>
        <v>44645</v>
      </c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</row>
    <row r="3740" customFormat="false" ht="13.8" hidden="false" customHeight="false" outlineLevel="0" collapsed="false">
      <c r="AA3740" s="7" t="n">
        <f aca="false">AA3739+1</f>
        <v>44646</v>
      </c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</row>
    <row r="3741" customFormat="false" ht="13.8" hidden="false" customHeight="false" outlineLevel="0" collapsed="false">
      <c r="AA3741" s="7" t="n">
        <f aca="false">AA3740+1</f>
        <v>44647</v>
      </c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</row>
    <row r="3742" customFormat="false" ht="13.8" hidden="false" customHeight="false" outlineLevel="0" collapsed="false">
      <c r="AA3742" s="7" t="n">
        <f aca="false">AA3741+1</f>
        <v>44648</v>
      </c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</row>
    <row r="3743" customFormat="false" ht="13.8" hidden="false" customHeight="false" outlineLevel="0" collapsed="false">
      <c r="AA3743" s="7" t="n">
        <f aca="false">AA3742+1</f>
        <v>44649</v>
      </c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</row>
    <row r="3744" customFormat="false" ht="13.8" hidden="false" customHeight="false" outlineLevel="0" collapsed="false">
      <c r="AA3744" s="7" t="n">
        <f aca="false">AA3743+1</f>
        <v>44650</v>
      </c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</row>
    <row r="3745" customFormat="false" ht="13.8" hidden="false" customHeight="false" outlineLevel="0" collapsed="false">
      <c r="AA3745" s="7" t="n">
        <f aca="false">AA3744+1</f>
        <v>44651</v>
      </c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</row>
    <row r="3746" customFormat="false" ht="13.8" hidden="false" customHeight="false" outlineLevel="0" collapsed="false">
      <c r="AA3746" s="7" t="n">
        <f aca="false">AA3745+1</f>
        <v>44652</v>
      </c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</row>
    <row r="3747" customFormat="false" ht="13.8" hidden="false" customHeight="false" outlineLevel="0" collapsed="false">
      <c r="AA3747" s="7" t="n">
        <f aca="false">AA3746+1</f>
        <v>44653</v>
      </c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</row>
    <row r="3748" customFormat="false" ht="13.8" hidden="false" customHeight="false" outlineLevel="0" collapsed="false">
      <c r="AA3748" s="7" t="n">
        <f aca="false">AA3747+1</f>
        <v>44654</v>
      </c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</row>
    <row r="3749" customFormat="false" ht="13.8" hidden="false" customHeight="false" outlineLevel="0" collapsed="false">
      <c r="AA3749" s="7" t="n">
        <f aca="false">AA3748+1</f>
        <v>44655</v>
      </c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</row>
    <row r="3750" customFormat="false" ht="13.8" hidden="false" customHeight="false" outlineLevel="0" collapsed="false">
      <c r="AA3750" s="7" t="n">
        <f aca="false">AA3749+1</f>
        <v>44656</v>
      </c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</row>
    <row r="3751" customFormat="false" ht="13.8" hidden="false" customHeight="false" outlineLevel="0" collapsed="false">
      <c r="AA3751" s="7" t="n">
        <f aca="false">AA3750+1</f>
        <v>44657</v>
      </c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</row>
    <row r="3752" customFormat="false" ht="13.8" hidden="false" customHeight="false" outlineLevel="0" collapsed="false">
      <c r="AA3752" s="7" t="n">
        <f aca="false">AA3751+1</f>
        <v>44658</v>
      </c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</row>
    <row r="3753" customFormat="false" ht="13.8" hidden="false" customHeight="false" outlineLevel="0" collapsed="false">
      <c r="AA3753" s="7" t="n">
        <f aca="false">AA3752+1</f>
        <v>44659</v>
      </c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</row>
    <row r="3754" customFormat="false" ht="13.8" hidden="false" customHeight="false" outlineLevel="0" collapsed="false">
      <c r="AA3754" s="7" t="n">
        <f aca="false">AA3753+1</f>
        <v>44660</v>
      </c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</row>
    <row r="3755" customFormat="false" ht="13.8" hidden="false" customHeight="false" outlineLevel="0" collapsed="false">
      <c r="AA3755" s="7" t="n">
        <f aca="false">AA3754+1</f>
        <v>44661</v>
      </c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</row>
    <row r="3756" customFormat="false" ht="13.8" hidden="false" customHeight="false" outlineLevel="0" collapsed="false">
      <c r="AA3756" s="7" t="n">
        <f aca="false">AA3755+1</f>
        <v>44662</v>
      </c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</row>
    <row r="3757" customFormat="false" ht="13.8" hidden="false" customHeight="false" outlineLevel="0" collapsed="false">
      <c r="AA3757" s="7" t="n">
        <f aca="false">AA3756+1</f>
        <v>44663</v>
      </c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</row>
    <row r="3758" customFormat="false" ht="13.8" hidden="false" customHeight="false" outlineLevel="0" collapsed="false">
      <c r="AA3758" s="7" t="n">
        <f aca="false">AA3757+1</f>
        <v>44664</v>
      </c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</row>
    <row r="3759" customFormat="false" ht="13.8" hidden="false" customHeight="false" outlineLevel="0" collapsed="false">
      <c r="AA3759" s="7" t="n">
        <f aca="false">AA3758+1</f>
        <v>44665</v>
      </c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</row>
    <row r="3760" customFormat="false" ht="13.8" hidden="false" customHeight="false" outlineLevel="0" collapsed="false">
      <c r="AA3760" s="7" t="n">
        <f aca="false">AA3759+1</f>
        <v>44666</v>
      </c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</row>
    <row r="3761" customFormat="false" ht="13.8" hidden="false" customHeight="false" outlineLevel="0" collapsed="false">
      <c r="AA3761" s="7" t="n">
        <f aca="false">AA3760+1</f>
        <v>44667</v>
      </c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</row>
    <row r="3762" customFormat="false" ht="13.8" hidden="false" customHeight="false" outlineLevel="0" collapsed="false">
      <c r="AA3762" s="7" t="n">
        <f aca="false">AA3761+1</f>
        <v>44668</v>
      </c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</row>
    <row r="3763" customFormat="false" ht="13.8" hidden="false" customHeight="false" outlineLevel="0" collapsed="false">
      <c r="AA3763" s="7" t="n">
        <f aca="false">AA3762+1</f>
        <v>44669</v>
      </c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</row>
    <row r="3764" customFormat="false" ht="13.8" hidden="false" customHeight="false" outlineLevel="0" collapsed="false">
      <c r="AA3764" s="7" t="n">
        <f aca="false">AA3763+1</f>
        <v>44670</v>
      </c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</row>
    <row r="3765" customFormat="false" ht="13.8" hidden="false" customHeight="false" outlineLevel="0" collapsed="false">
      <c r="AA3765" s="7" t="n">
        <f aca="false">AA3764+1</f>
        <v>44671</v>
      </c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</row>
    <row r="3766" customFormat="false" ht="13.8" hidden="false" customHeight="false" outlineLevel="0" collapsed="false">
      <c r="AA3766" s="7" t="n">
        <f aca="false">AA3765+1</f>
        <v>44672</v>
      </c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</row>
    <row r="3767" customFormat="false" ht="13.8" hidden="false" customHeight="false" outlineLevel="0" collapsed="false">
      <c r="AA3767" s="7" t="n">
        <f aca="false">AA3766+1</f>
        <v>44673</v>
      </c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</row>
    <row r="3768" customFormat="false" ht="13.8" hidden="false" customHeight="false" outlineLevel="0" collapsed="false">
      <c r="AA3768" s="7" t="n">
        <f aca="false">AA3767+1</f>
        <v>44674</v>
      </c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</row>
    <row r="3769" customFormat="false" ht="13.8" hidden="false" customHeight="false" outlineLevel="0" collapsed="false">
      <c r="AA3769" s="7" t="n">
        <f aca="false">AA3768+1</f>
        <v>44675</v>
      </c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</row>
    <row r="3770" customFormat="false" ht="13.8" hidden="false" customHeight="false" outlineLevel="0" collapsed="false">
      <c r="AA3770" s="7" t="n">
        <f aca="false">AA3769+1</f>
        <v>44676</v>
      </c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</row>
    <row r="3771" customFormat="false" ht="13.8" hidden="false" customHeight="false" outlineLevel="0" collapsed="false">
      <c r="AA3771" s="7" t="n">
        <f aca="false">AA3770+1</f>
        <v>44677</v>
      </c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</row>
    <row r="3772" customFormat="false" ht="13.8" hidden="false" customHeight="false" outlineLevel="0" collapsed="false">
      <c r="AA3772" s="7" t="n">
        <f aca="false">AA3771+1</f>
        <v>44678</v>
      </c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</row>
    <row r="3773" customFormat="false" ht="13.8" hidden="false" customHeight="false" outlineLevel="0" collapsed="false">
      <c r="AA3773" s="7" t="n">
        <f aca="false">AA3772+1</f>
        <v>44679</v>
      </c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</row>
    <row r="3774" customFormat="false" ht="13.8" hidden="false" customHeight="false" outlineLevel="0" collapsed="false">
      <c r="AA3774" s="7" t="n">
        <f aca="false">AA3773+1</f>
        <v>44680</v>
      </c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</row>
    <row r="3775" customFormat="false" ht="13.8" hidden="false" customHeight="false" outlineLevel="0" collapsed="false">
      <c r="AA3775" s="7" t="n">
        <f aca="false">AA3774+1</f>
        <v>44681</v>
      </c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</row>
    <row r="3776" customFormat="false" ht="13.8" hidden="false" customHeight="false" outlineLevel="0" collapsed="false">
      <c r="AA3776" s="7" t="n">
        <f aca="false">AA3775+1</f>
        <v>44682</v>
      </c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</row>
    <row r="3777" customFormat="false" ht="13.8" hidden="false" customHeight="false" outlineLevel="0" collapsed="false">
      <c r="AA3777" s="7" t="n">
        <f aca="false">AA3776+1</f>
        <v>44683</v>
      </c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</row>
    <row r="3778" customFormat="false" ht="13.8" hidden="false" customHeight="false" outlineLevel="0" collapsed="false">
      <c r="AA3778" s="7" t="n">
        <f aca="false">AA3777+1</f>
        <v>44684</v>
      </c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</row>
    <row r="3779" customFormat="false" ht="13.8" hidden="false" customHeight="false" outlineLevel="0" collapsed="false">
      <c r="AA3779" s="7" t="n">
        <f aca="false">AA3778+1</f>
        <v>44685</v>
      </c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</row>
    <row r="3780" customFormat="false" ht="13.8" hidden="false" customHeight="false" outlineLevel="0" collapsed="false">
      <c r="AA3780" s="7" t="n">
        <f aca="false">AA3779+1</f>
        <v>44686</v>
      </c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</row>
    <row r="3781" customFormat="false" ht="13.8" hidden="false" customHeight="false" outlineLevel="0" collapsed="false">
      <c r="AA3781" s="7" t="n">
        <f aca="false">AA3780+1</f>
        <v>44687</v>
      </c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</row>
    <row r="3782" customFormat="false" ht="13.8" hidden="false" customHeight="false" outlineLevel="0" collapsed="false">
      <c r="AA3782" s="7" t="n">
        <f aca="false">AA3781+1</f>
        <v>44688</v>
      </c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</row>
    <row r="3783" customFormat="false" ht="13.8" hidden="false" customHeight="false" outlineLevel="0" collapsed="false">
      <c r="AA3783" s="7" t="n">
        <f aca="false">AA3782+1</f>
        <v>44689</v>
      </c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</row>
    <row r="3784" customFormat="false" ht="13.8" hidden="false" customHeight="false" outlineLevel="0" collapsed="false">
      <c r="AA3784" s="7" t="n">
        <f aca="false">AA3783+1</f>
        <v>44690</v>
      </c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</row>
    <row r="3785" customFormat="false" ht="13.8" hidden="false" customHeight="false" outlineLevel="0" collapsed="false">
      <c r="AA3785" s="7" t="n">
        <f aca="false">AA3784+1</f>
        <v>44691</v>
      </c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</row>
    <row r="3786" customFormat="false" ht="13.8" hidden="false" customHeight="false" outlineLevel="0" collapsed="false">
      <c r="AA3786" s="7" t="n">
        <f aca="false">AA3785+1</f>
        <v>44692</v>
      </c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</row>
    <row r="3787" customFormat="false" ht="13.8" hidden="false" customHeight="false" outlineLevel="0" collapsed="false">
      <c r="AA3787" s="7" t="n">
        <f aca="false">AA3786+1</f>
        <v>44693</v>
      </c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</row>
    <row r="3788" customFormat="false" ht="13.8" hidden="false" customHeight="false" outlineLevel="0" collapsed="false">
      <c r="AA3788" s="7" t="n">
        <f aca="false">AA3787+1</f>
        <v>44694</v>
      </c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</row>
    <row r="3789" customFormat="false" ht="13.8" hidden="false" customHeight="false" outlineLevel="0" collapsed="false">
      <c r="AA3789" s="7" t="n">
        <f aca="false">AA3788+1</f>
        <v>44695</v>
      </c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</row>
    <row r="3790" customFormat="false" ht="13.8" hidden="false" customHeight="false" outlineLevel="0" collapsed="false">
      <c r="AA3790" s="7" t="n">
        <f aca="false">AA3789+1</f>
        <v>44696</v>
      </c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</row>
    <row r="3791" customFormat="false" ht="13.8" hidden="false" customHeight="false" outlineLevel="0" collapsed="false">
      <c r="AA3791" s="7" t="n">
        <f aca="false">AA3790+1</f>
        <v>44697</v>
      </c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</row>
    <row r="3792" customFormat="false" ht="13.8" hidden="false" customHeight="false" outlineLevel="0" collapsed="false">
      <c r="AA3792" s="7" t="n">
        <f aca="false">AA3791+1</f>
        <v>44698</v>
      </c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</row>
    <row r="3793" customFormat="false" ht="13.8" hidden="false" customHeight="false" outlineLevel="0" collapsed="false">
      <c r="AA3793" s="7" t="n">
        <f aca="false">AA3792+1</f>
        <v>44699</v>
      </c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</row>
    <row r="3794" customFormat="false" ht="13.8" hidden="false" customHeight="false" outlineLevel="0" collapsed="false">
      <c r="AA3794" s="7" t="n">
        <f aca="false">AA3793+1</f>
        <v>44700</v>
      </c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</row>
    <row r="3795" customFormat="false" ht="13.8" hidden="false" customHeight="false" outlineLevel="0" collapsed="false">
      <c r="AA3795" s="7" t="n">
        <f aca="false">AA3794+1</f>
        <v>44701</v>
      </c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</row>
    <row r="3796" customFormat="false" ht="13.8" hidden="false" customHeight="false" outlineLevel="0" collapsed="false">
      <c r="AA3796" s="7" t="n">
        <f aca="false">AA3795+1</f>
        <v>44702</v>
      </c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</row>
    <row r="3797" customFormat="false" ht="13.8" hidden="false" customHeight="false" outlineLevel="0" collapsed="false">
      <c r="AA3797" s="7" t="n">
        <f aca="false">AA3796+1</f>
        <v>44703</v>
      </c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</row>
    <row r="3798" customFormat="false" ht="13.8" hidden="false" customHeight="false" outlineLevel="0" collapsed="false">
      <c r="AA3798" s="7" t="n">
        <f aca="false">AA3797+1</f>
        <v>44704</v>
      </c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</row>
    <row r="3799" customFormat="false" ht="13.8" hidden="false" customHeight="false" outlineLevel="0" collapsed="false">
      <c r="AA3799" s="7" t="n">
        <f aca="false">AA3798+1</f>
        <v>44705</v>
      </c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</row>
    <row r="3800" customFormat="false" ht="13.8" hidden="false" customHeight="false" outlineLevel="0" collapsed="false">
      <c r="AA3800" s="7" t="n">
        <f aca="false">AA3799+1</f>
        <v>44706</v>
      </c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</row>
    <row r="3801" customFormat="false" ht="13.8" hidden="false" customHeight="false" outlineLevel="0" collapsed="false">
      <c r="AA3801" s="7" t="n">
        <f aca="false">AA3800+1</f>
        <v>44707</v>
      </c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</row>
    <row r="3802" customFormat="false" ht="13.8" hidden="false" customHeight="false" outlineLevel="0" collapsed="false">
      <c r="AA3802" s="7" t="n">
        <f aca="false">AA3801+1</f>
        <v>44708</v>
      </c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</row>
    <row r="3803" customFormat="false" ht="13.8" hidden="false" customHeight="false" outlineLevel="0" collapsed="false">
      <c r="AA3803" s="7" t="n">
        <f aca="false">AA3802+1</f>
        <v>44709</v>
      </c>
      <c r="AB3803" s="14"/>
      <c r="AC3803" s="14"/>
      <c r="AD3803" s="14"/>
      <c r="AE3803" s="14"/>
      <c r="AF3803" s="14"/>
      <c r="AG3803" s="14"/>
      <c r="AH3803" s="14"/>
      <c r="AI3803" s="14"/>
      <c r="AJ3803" s="14"/>
      <c r="AK3803" s="14"/>
      <c r="AL3803" s="14"/>
      <c r="AM3803" s="14"/>
    </row>
    <row r="3804" customFormat="false" ht="13.8" hidden="false" customHeight="false" outlineLevel="0" collapsed="false">
      <c r="AA3804" s="7" t="n">
        <f aca="false">AA3803+1</f>
        <v>44710</v>
      </c>
      <c r="AB3804" s="14"/>
      <c r="AC3804" s="14"/>
      <c r="AD3804" s="14"/>
      <c r="AE3804" s="14"/>
      <c r="AF3804" s="14"/>
      <c r="AG3804" s="14"/>
      <c r="AH3804" s="14"/>
      <c r="AI3804" s="14"/>
      <c r="AJ3804" s="14"/>
      <c r="AK3804" s="14"/>
      <c r="AL3804" s="14"/>
      <c r="AM3804" s="14"/>
    </row>
    <row r="3805" customFormat="false" ht="13.8" hidden="false" customHeight="false" outlineLevel="0" collapsed="false">
      <c r="AA3805" s="7" t="n">
        <f aca="false">AA3804+1</f>
        <v>44711</v>
      </c>
      <c r="AB3805" s="14"/>
      <c r="AC3805" s="14"/>
      <c r="AD3805" s="14"/>
      <c r="AE3805" s="14"/>
      <c r="AF3805" s="14"/>
      <c r="AG3805" s="14"/>
      <c r="AH3805" s="14"/>
      <c r="AI3805" s="14"/>
      <c r="AJ3805" s="14"/>
      <c r="AK3805" s="14"/>
      <c r="AL3805" s="14"/>
      <c r="AM3805" s="14"/>
    </row>
    <row r="3806" customFormat="false" ht="13.8" hidden="false" customHeight="false" outlineLevel="0" collapsed="false">
      <c r="AA3806" s="7" t="n">
        <f aca="false">AA3805+1</f>
        <v>44712</v>
      </c>
      <c r="AB3806" s="14"/>
      <c r="AC3806" s="14"/>
      <c r="AD3806" s="14"/>
      <c r="AE3806" s="14"/>
      <c r="AF3806" s="14"/>
      <c r="AG3806" s="14"/>
      <c r="AH3806" s="14"/>
      <c r="AI3806" s="14"/>
      <c r="AJ3806" s="14"/>
      <c r="AK3806" s="14"/>
      <c r="AL3806" s="14"/>
      <c r="AM3806" s="14"/>
    </row>
    <row r="3807" customFormat="false" ht="13.8" hidden="false" customHeight="false" outlineLevel="0" collapsed="false">
      <c r="AA3807" s="7" t="n">
        <f aca="false">AA3806+1</f>
        <v>44713</v>
      </c>
      <c r="AB3807" s="14"/>
      <c r="AC3807" s="14"/>
      <c r="AD3807" s="14"/>
      <c r="AE3807" s="14"/>
      <c r="AF3807" s="14"/>
      <c r="AG3807" s="14"/>
      <c r="AH3807" s="14"/>
      <c r="AI3807" s="14"/>
      <c r="AJ3807" s="14"/>
      <c r="AK3807" s="14"/>
      <c r="AL3807" s="14"/>
      <c r="AM3807" s="14"/>
    </row>
    <row r="3808" customFormat="false" ht="13.8" hidden="false" customHeight="false" outlineLevel="0" collapsed="false">
      <c r="AA3808" s="7" t="n">
        <f aca="false">AA3807+1</f>
        <v>44714</v>
      </c>
      <c r="AB3808" s="14"/>
      <c r="AC3808" s="14"/>
      <c r="AD3808" s="14"/>
      <c r="AE3808" s="14"/>
      <c r="AF3808" s="14"/>
      <c r="AG3808" s="14"/>
      <c r="AH3808" s="14"/>
      <c r="AI3808" s="14"/>
      <c r="AJ3808" s="14"/>
      <c r="AK3808" s="14"/>
      <c r="AL3808" s="14"/>
      <c r="AM3808" s="14"/>
    </row>
    <row r="3809" customFormat="false" ht="13.8" hidden="false" customHeight="false" outlineLevel="0" collapsed="false">
      <c r="AA3809" s="7" t="n">
        <f aca="false">AA3808+1</f>
        <v>44715</v>
      </c>
      <c r="AB3809" s="14"/>
      <c r="AC3809" s="14"/>
      <c r="AD3809" s="14"/>
      <c r="AE3809" s="14"/>
      <c r="AF3809" s="14"/>
      <c r="AG3809" s="14"/>
      <c r="AH3809" s="14"/>
      <c r="AI3809" s="14"/>
      <c r="AJ3809" s="14"/>
      <c r="AK3809" s="14"/>
      <c r="AL3809" s="14"/>
      <c r="AM3809" s="14"/>
    </row>
    <row r="3810" customFormat="false" ht="13.8" hidden="false" customHeight="false" outlineLevel="0" collapsed="false">
      <c r="AA3810" s="7" t="n">
        <f aca="false">AA3809+1</f>
        <v>44716</v>
      </c>
      <c r="AB3810" s="14"/>
      <c r="AC3810" s="14"/>
      <c r="AD3810" s="14"/>
      <c r="AE3810" s="14"/>
      <c r="AF3810" s="14"/>
      <c r="AG3810" s="14"/>
      <c r="AH3810" s="14"/>
      <c r="AI3810" s="14"/>
      <c r="AJ3810" s="14"/>
      <c r="AK3810" s="14"/>
      <c r="AL3810" s="14"/>
      <c r="AM3810" s="14"/>
    </row>
    <row r="3811" customFormat="false" ht="13.8" hidden="false" customHeight="false" outlineLevel="0" collapsed="false">
      <c r="AA3811" s="7" t="n">
        <f aca="false">AA3810+1</f>
        <v>44717</v>
      </c>
      <c r="AB3811" s="14"/>
      <c r="AC3811" s="14"/>
      <c r="AD3811" s="14"/>
      <c r="AE3811" s="14"/>
      <c r="AF3811" s="14"/>
      <c r="AG3811" s="14"/>
      <c r="AH3811" s="14"/>
      <c r="AI3811" s="14"/>
      <c r="AJ3811" s="14"/>
      <c r="AK3811" s="14"/>
      <c r="AL3811" s="14"/>
      <c r="AM3811" s="14"/>
    </row>
    <row r="3812" customFormat="false" ht="13.8" hidden="false" customHeight="false" outlineLevel="0" collapsed="false">
      <c r="AA3812" s="7" t="n">
        <f aca="false">AA3811+1</f>
        <v>44718</v>
      </c>
      <c r="AB3812" s="14"/>
      <c r="AC3812" s="14"/>
      <c r="AD3812" s="14"/>
      <c r="AE3812" s="14"/>
      <c r="AF3812" s="14"/>
      <c r="AG3812" s="14"/>
      <c r="AH3812" s="14"/>
      <c r="AI3812" s="14"/>
      <c r="AJ3812" s="14"/>
      <c r="AK3812" s="14"/>
      <c r="AL3812" s="14"/>
      <c r="AM3812" s="14"/>
    </row>
    <row r="3813" customFormat="false" ht="13.8" hidden="false" customHeight="false" outlineLevel="0" collapsed="false">
      <c r="AA3813" s="7" t="n">
        <f aca="false">AA3812+1</f>
        <v>44719</v>
      </c>
      <c r="AB3813" s="14"/>
      <c r="AC3813" s="14"/>
      <c r="AD3813" s="14"/>
      <c r="AE3813" s="14"/>
      <c r="AF3813" s="14"/>
      <c r="AG3813" s="14"/>
      <c r="AH3813" s="14"/>
      <c r="AI3813" s="14"/>
      <c r="AJ3813" s="14"/>
      <c r="AK3813" s="14"/>
      <c r="AL3813" s="14"/>
      <c r="AM3813" s="14"/>
    </row>
    <row r="3814" customFormat="false" ht="13.8" hidden="false" customHeight="false" outlineLevel="0" collapsed="false">
      <c r="AA3814" s="7" t="n">
        <f aca="false">AA3813+1</f>
        <v>44720</v>
      </c>
      <c r="AB3814" s="14"/>
      <c r="AC3814" s="14"/>
      <c r="AD3814" s="14"/>
      <c r="AE3814" s="14"/>
      <c r="AF3814" s="14"/>
      <c r="AG3814" s="14"/>
      <c r="AH3814" s="14"/>
      <c r="AI3814" s="14"/>
      <c r="AJ3814" s="14"/>
      <c r="AK3814" s="14"/>
      <c r="AL3814" s="14"/>
      <c r="AM3814" s="14"/>
    </row>
    <row r="3815" customFormat="false" ht="13.8" hidden="false" customHeight="false" outlineLevel="0" collapsed="false">
      <c r="AA3815" s="7" t="n">
        <f aca="false">AA3814+1</f>
        <v>44721</v>
      </c>
      <c r="AB3815" s="14"/>
      <c r="AC3815" s="14"/>
      <c r="AD3815" s="14"/>
      <c r="AE3815" s="14"/>
      <c r="AF3815" s="14"/>
      <c r="AG3815" s="14"/>
      <c r="AH3815" s="14"/>
      <c r="AI3815" s="14"/>
      <c r="AJ3815" s="14"/>
      <c r="AK3815" s="14"/>
      <c r="AL3815" s="14"/>
      <c r="AM3815" s="14"/>
    </row>
    <row r="3816" customFormat="false" ht="13.8" hidden="false" customHeight="false" outlineLevel="0" collapsed="false">
      <c r="AA3816" s="7" t="n">
        <f aca="false">AA3815+1</f>
        <v>44722</v>
      </c>
      <c r="AB3816" s="14"/>
      <c r="AC3816" s="14"/>
      <c r="AD3816" s="14"/>
      <c r="AE3816" s="14"/>
      <c r="AF3816" s="14"/>
      <c r="AG3816" s="14"/>
      <c r="AH3816" s="14"/>
      <c r="AI3816" s="14"/>
      <c r="AJ3816" s="14"/>
      <c r="AK3816" s="14"/>
      <c r="AL3816" s="14"/>
      <c r="AM3816" s="14"/>
    </row>
    <row r="3817" customFormat="false" ht="13.8" hidden="false" customHeight="false" outlineLevel="0" collapsed="false">
      <c r="AA3817" s="7" t="n">
        <f aca="false">AA3816+1</f>
        <v>44723</v>
      </c>
      <c r="AB3817" s="14"/>
      <c r="AC3817" s="14"/>
      <c r="AD3817" s="14"/>
      <c r="AE3817" s="14"/>
      <c r="AF3817" s="14"/>
      <c r="AG3817" s="14"/>
      <c r="AH3817" s="14"/>
      <c r="AI3817" s="14"/>
      <c r="AJ3817" s="14"/>
      <c r="AK3817" s="14"/>
      <c r="AL3817" s="14"/>
      <c r="AM3817" s="14"/>
    </row>
    <row r="3818" customFormat="false" ht="13.8" hidden="false" customHeight="false" outlineLevel="0" collapsed="false">
      <c r="AA3818" s="7" t="n">
        <f aca="false">AA3817+1</f>
        <v>44724</v>
      </c>
      <c r="AB3818" s="14"/>
      <c r="AC3818" s="14"/>
      <c r="AD3818" s="14"/>
      <c r="AE3818" s="14"/>
      <c r="AF3818" s="14"/>
      <c r="AG3818" s="14"/>
      <c r="AH3818" s="14"/>
      <c r="AI3818" s="14"/>
      <c r="AJ3818" s="14"/>
      <c r="AK3818" s="14"/>
      <c r="AL3818" s="14"/>
      <c r="AM3818" s="14"/>
    </row>
    <row r="3819" customFormat="false" ht="13.8" hidden="false" customHeight="false" outlineLevel="0" collapsed="false">
      <c r="AA3819" s="7" t="n">
        <f aca="false">AA3818+1</f>
        <v>44725</v>
      </c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</row>
    <row r="3820" customFormat="false" ht="13.8" hidden="false" customHeight="false" outlineLevel="0" collapsed="false">
      <c r="AA3820" s="7" t="n">
        <f aca="false">AA3819+1</f>
        <v>44726</v>
      </c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</row>
    <row r="3821" customFormat="false" ht="13.8" hidden="false" customHeight="false" outlineLevel="0" collapsed="false">
      <c r="AA3821" s="7" t="n">
        <f aca="false">AA3820+1</f>
        <v>44727</v>
      </c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</row>
    <row r="3822" customFormat="false" ht="13.8" hidden="false" customHeight="false" outlineLevel="0" collapsed="false">
      <c r="AA3822" s="7" t="n">
        <f aca="false">AA3821+1</f>
        <v>44728</v>
      </c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</row>
    <row r="3823" customFormat="false" ht="13.8" hidden="false" customHeight="false" outlineLevel="0" collapsed="false">
      <c r="AA3823" s="7" t="n">
        <f aca="false">AA3822+1</f>
        <v>44729</v>
      </c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</row>
    <row r="3824" customFormat="false" ht="13.8" hidden="false" customHeight="false" outlineLevel="0" collapsed="false">
      <c r="AA3824" s="7" t="n">
        <f aca="false">AA3823+1</f>
        <v>44730</v>
      </c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</row>
    <row r="3825" customFormat="false" ht="13.8" hidden="false" customHeight="false" outlineLevel="0" collapsed="false">
      <c r="AA3825" s="7" t="n">
        <f aca="false">AA3824+1</f>
        <v>44731</v>
      </c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</row>
    <row r="3826" customFormat="false" ht="13.8" hidden="false" customHeight="false" outlineLevel="0" collapsed="false">
      <c r="AA3826" s="7" t="n">
        <f aca="false">AA3825+1</f>
        <v>44732</v>
      </c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</row>
    <row r="3827" customFormat="false" ht="13.8" hidden="false" customHeight="false" outlineLevel="0" collapsed="false">
      <c r="AA3827" s="7" t="n">
        <f aca="false">AA3826+1</f>
        <v>44733</v>
      </c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</row>
    <row r="3828" customFormat="false" ht="13.8" hidden="false" customHeight="false" outlineLevel="0" collapsed="false">
      <c r="AA3828" s="7" t="n">
        <f aca="false">AA3827+1</f>
        <v>44734</v>
      </c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</row>
    <row r="3829" customFormat="false" ht="13.8" hidden="false" customHeight="false" outlineLevel="0" collapsed="false">
      <c r="AA3829" s="7" t="n">
        <f aca="false">AA3828+1</f>
        <v>44735</v>
      </c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</row>
    <row r="3830" customFormat="false" ht="13.8" hidden="false" customHeight="false" outlineLevel="0" collapsed="false">
      <c r="AA3830" s="7" t="n">
        <f aca="false">AA3829+1</f>
        <v>44736</v>
      </c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</row>
    <row r="3831" customFormat="false" ht="13.8" hidden="false" customHeight="false" outlineLevel="0" collapsed="false">
      <c r="AA3831" s="7" t="n">
        <f aca="false">AA3830+1</f>
        <v>44737</v>
      </c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</row>
    <row r="3832" customFormat="false" ht="13.8" hidden="false" customHeight="false" outlineLevel="0" collapsed="false">
      <c r="AA3832" s="7" t="n">
        <f aca="false">AA3831+1</f>
        <v>44738</v>
      </c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</row>
    <row r="3833" customFormat="false" ht="13.8" hidden="false" customHeight="false" outlineLevel="0" collapsed="false">
      <c r="AA3833" s="7" t="n">
        <f aca="false">AA3832+1</f>
        <v>44739</v>
      </c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</row>
    <row r="3834" customFormat="false" ht="13.8" hidden="false" customHeight="false" outlineLevel="0" collapsed="false">
      <c r="AA3834" s="7" t="n">
        <f aca="false">AA3833+1</f>
        <v>44740</v>
      </c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</row>
    <row r="3835" customFormat="false" ht="13.8" hidden="false" customHeight="false" outlineLevel="0" collapsed="false">
      <c r="AA3835" s="7" t="n">
        <f aca="false">AA3834+1</f>
        <v>44741</v>
      </c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</row>
    <row r="3836" customFormat="false" ht="13.8" hidden="false" customHeight="false" outlineLevel="0" collapsed="false">
      <c r="AA3836" s="7" t="n">
        <f aca="false">AA3835+1</f>
        <v>44742</v>
      </c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</row>
    <row r="3837" customFormat="false" ht="13.8" hidden="false" customHeight="false" outlineLevel="0" collapsed="false">
      <c r="AA3837" s="7" t="n">
        <f aca="false">AA3836+1</f>
        <v>44743</v>
      </c>
      <c r="AB3837" s="14"/>
      <c r="AC3837" s="14"/>
      <c r="AD3837" s="14"/>
      <c r="AE3837" s="14"/>
      <c r="AF3837" s="14"/>
      <c r="AG3837" s="14"/>
      <c r="AH3837" s="14"/>
      <c r="AI3837" s="14"/>
      <c r="AJ3837" s="14"/>
      <c r="AK3837" s="14"/>
      <c r="AL3837" s="14"/>
      <c r="AM3837" s="14"/>
    </row>
    <row r="3838" customFormat="false" ht="13.8" hidden="false" customHeight="false" outlineLevel="0" collapsed="false">
      <c r="AA3838" s="7" t="n">
        <f aca="false">AA3837+1</f>
        <v>44744</v>
      </c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</row>
    <row r="3839" customFormat="false" ht="13.8" hidden="false" customHeight="false" outlineLevel="0" collapsed="false">
      <c r="AA3839" s="7" t="n">
        <f aca="false">AA3838+1</f>
        <v>44745</v>
      </c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</row>
    <row r="3840" customFormat="false" ht="13.8" hidden="false" customHeight="false" outlineLevel="0" collapsed="false">
      <c r="AA3840" s="7" t="n">
        <f aca="false">AA3839+1</f>
        <v>44746</v>
      </c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</row>
    <row r="3841" customFormat="false" ht="13.8" hidden="false" customHeight="false" outlineLevel="0" collapsed="false">
      <c r="AA3841" s="7" t="n">
        <f aca="false">AA3840+1</f>
        <v>44747</v>
      </c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</row>
    <row r="3842" customFormat="false" ht="13.8" hidden="false" customHeight="false" outlineLevel="0" collapsed="false">
      <c r="AA3842" s="7" t="n">
        <f aca="false">AA3841+1</f>
        <v>44748</v>
      </c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</row>
    <row r="3843" customFormat="false" ht="13.8" hidden="false" customHeight="false" outlineLevel="0" collapsed="false">
      <c r="AA3843" s="7" t="n">
        <f aca="false">AA3842+1</f>
        <v>44749</v>
      </c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</row>
    <row r="3844" customFormat="false" ht="13.8" hidden="false" customHeight="false" outlineLevel="0" collapsed="false">
      <c r="AA3844" s="7" t="n">
        <f aca="false">AA3843+1</f>
        <v>44750</v>
      </c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</row>
    <row r="3845" customFormat="false" ht="13.8" hidden="false" customHeight="false" outlineLevel="0" collapsed="false">
      <c r="AA3845" s="7" t="n">
        <f aca="false">AA3844+1</f>
        <v>44751</v>
      </c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</row>
    <row r="3846" customFormat="false" ht="13.8" hidden="false" customHeight="false" outlineLevel="0" collapsed="false">
      <c r="AA3846" s="7" t="n">
        <f aca="false">AA3845+1</f>
        <v>44752</v>
      </c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</row>
    <row r="3847" customFormat="false" ht="13.8" hidden="false" customHeight="false" outlineLevel="0" collapsed="false">
      <c r="AA3847" s="7" t="n">
        <f aca="false">AA3846+1</f>
        <v>44753</v>
      </c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</row>
    <row r="3848" customFormat="false" ht="13.8" hidden="false" customHeight="false" outlineLevel="0" collapsed="false">
      <c r="AA3848" s="7" t="n">
        <f aca="false">AA3847+1</f>
        <v>44754</v>
      </c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14"/>
      <c r="AL3848" s="14"/>
      <c r="AM3848" s="14"/>
    </row>
    <row r="3849" customFormat="false" ht="13.8" hidden="false" customHeight="false" outlineLevel="0" collapsed="false">
      <c r="AA3849" s="7" t="n">
        <f aca="false">AA3848+1</f>
        <v>44755</v>
      </c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</row>
    <row r="3850" customFormat="false" ht="13.8" hidden="false" customHeight="false" outlineLevel="0" collapsed="false">
      <c r="AA3850" s="7" t="n">
        <f aca="false">AA3849+1</f>
        <v>44756</v>
      </c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</row>
    <row r="3851" customFormat="false" ht="13.8" hidden="false" customHeight="false" outlineLevel="0" collapsed="false">
      <c r="AA3851" s="7" t="n">
        <f aca="false">AA3850+1</f>
        <v>44757</v>
      </c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</row>
    <row r="3852" customFormat="false" ht="13.8" hidden="false" customHeight="false" outlineLevel="0" collapsed="false">
      <c r="AA3852" s="7" t="n">
        <f aca="false">AA3851+1</f>
        <v>44758</v>
      </c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</row>
    <row r="3853" customFormat="false" ht="13.8" hidden="false" customHeight="false" outlineLevel="0" collapsed="false">
      <c r="AA3853" s="7" t="n">
        <f aca="false">AA3852+1</f>
        <v>44759</v>
      </c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</row>
    <row r="3854" customFormat="false" ht="13.8" hidden="false" customHeight="false" outlineLevel="0" collapsed="false">
      <c r="AA3854" s="7" t="n">
        <f aca="false">AA3853+1</f>
        <v>44760</v>
      </c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</row>
    <row r="3855" customFormat="false" ht="13.8" hidden="false" customHeight="false" outlineLevel="0" collapsed="false">
      <c r="AA3855" s="7" t="n">
        <f aca="false">AA3854+1</f>
        <v>44761</v>
      </c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</row>
    <row r="3856" customFormat="false" ht="13.8" hidden="false" customHeight="false" outlineLevel="0" collapsed="false">
      <c r="AA3856" s="7" t="n">
        <f aca="false">AA3855+1</f>
        <v>44762</v>
      </c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</row>
    <row r="3857" customFormat="false" ht="13.8" hidden="false" customHeight="false" outlineLevel="0" collapsed="false">
      <c r="AA3857" s="7" t="n">
        <f aca="false">AA3856+1</f>
        <v>44763</v>
      </c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</row>
    <row r="3858" customFormat="false" ht="13.8" hidden="false" customHeight="false" outlineLevel="0" collapsed="false">
      <c r="AA3858" s="7" t="n">
        <f aca="false">AA3857+1</f>
        <v>44764</v>
      </c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</row>
    <row r="3859" customFormat="false" ht="13.8" hidden="false" customHeight="false" outlineLevel="0" collapsed="false">
      <c r="AA3859" s="7" t="n">
        <f aca="false">AA3858+1</f>
        <v>44765</v>
      </c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</row>
    <row r="3860" customFormat="false" ht="13.8" hidden="false" customHeight="false" outlineLevel="0" collapsed="false">
      <c r="AA3860" s="7" t="n">
        <f aca="false">AA3859+1</f>
        <v>44766</v>
      </c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</row>
    <row r="3861" customFormat="false" ht="13.8" hidden="false" customHeight="false" outlineLevel="0" collapsed="false">
      <c r="AA3861" s="7" t="n">
        <f aca="false">AA3860+1</f>
        <v>44767</v>
      </c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</row>
    <row r="3862" customFormat="false" ht="13.8" hidden="false" customHeight="false" outlineLevel="0" collapsed="false">
      <c r="AA3862" s="7" t="n">
        <f aca="false">AA3861+1</f>
        <v>44768</v>
      </c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</row>
    <row r="3863" customFormat="false" ht="13.8" hidden="false" customHeight="false" outlineLevel="0" collapsed="false">
      <c r="AA3863" s="7" t="n">
        <f aca="false">AA3862+1</f>
        <v>44769</v>
      </c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</row>
    <row r="3864" customFormat="false" ht="13.8" hidden="false" customHeight="false" outlineLevel="0" collapsed="false">
      <c r="AA3864" s="7" t="n">
        <f aca="false">AA3863+1</f>
        <v>44770</v>
      </c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</row>
    <row r="3865" customFormat="false" ht="13.8" hidden="false" customHeight="false" outlineLevel="0" collapsed="false">
      <c r="AA3865" s="7" t="n">
        <f aca="false">AA3864+1</f>
        <v>44771</v>
      </c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</row>
    <row r="3866" customFormat="false" ht="13.8" hidden="false" customHeight="false" outlineLevel="0" collapsed="false">
      <c r="AA3866" s="7" t="n">
        <f aca="false">AA3865+1</f>
        <v>44772</v>
      </c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</row>
    <row r="3867" customFormat="false" ht="13.8" hidden="false" customHeight="false" outlineLevel="0" collapsed="false">
      <c r="AA3867" s="7" t="n">
        <f aca="false">AA3866+1</f>
        <v>44773</v>
      </c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</row>
    <row r="3868" customFormat="false" ht="13.8" hidden="false" customHeight="false" outlineLevel="0" collapsed="false">
      <c r="AA3868" s="7" t="n">
        <f aca="false">AA3867+1</f>
        <v>44774</v>
      </c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</row>
    <row r="3869" customFormat="false" ht="13.8" hidden="false" customHeight="false" outlineLevel="0" collapsed="false">
      <c r="AA3869" s="7" t="n">
        <f aca="false">AA3868+1</f>
        <v>44775</v>
      </c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</row>
    <row r="3870" customFormat="false" ht="13.8" hidden="false" customHeight="false" outlineLevel="0" collapsed="false">
      <c r="AA3870" s="7" t="n">
        <f aca="false">AA3869+1</f>
        <v>44776</v>
      </c>
      <c r="AB3870" s="14"/>
      <c r="AC3870" s="14"/>
      <c r="AD3870" s="14"/>
      <c r="AE3870" s="14"/>
      <c r="AF3870" s="14"/>
      <c r="AG3870" s="14"/>
      <c r="AH3870" s="14"/>
      <c r="AI3870" s="14"/>
      <c r="AJ3870" s="14"/>
      <c r="AK3870" s="14"/>
      <c r="AL3870" s="14"/>
      <c r="AM3870" s="14"/>
    </row>
    <row r="3871" customFormat="false" ht="13.8" hidden="false" customHeight="false" outlineLevel="0" collapsed="false">
      <c r="AA3871" s="7" t="n">
        <f aca="false">AA3870+1</f>
        <v>44777</v>
      </c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</row>
    <row r="3872" customFormat="false" ht="13.8" hidden="false" customHeight="false" outlineLevel="0" collapsed="false">
      <c r="AA3872" s="7" t="n">
        <f aca="false">AA3871+1</f>
        <v>44778</v>
      </c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</row>
    <row r="3873" customFormat="false" ht="13.8" hidden="false" customHeight="false" outlineLevel="0" collapsed="false">
      <c r="AA3873" s="7" t="n">
        <f aca="false">AA3872+1</f>
        <v>44779</v>
      </c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</row>
    <row r="3874" customFormat="false" ht="13.8" hidden="false" customHeight="false" outlineLevel="0" collapsed="false">
      <c r="AA3874" s="7" t="n">
        <f aca="false">AA3873+1</f>
        <v>44780</v>
      </c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</row>
    <row r="3875" customFormat="false" ht="13.8" hidden="false" customHeight="false" outlineLevel="0" collapsed="false">
      <c r="AA3875" s="7" t="n">
        <f aca="false">AA3874+1</f>
        <v>44781</v>
      </c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</row>
    <row r="3876" customFormat="false" ht="13.8" hidden="false" customHeight="false" outlineLevel="0" collapsed="false">
      <c r="AA3876" s="7" t="n">
        <f aca="false">AA3875+1</f>
        <v>44782</v>
      </c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</row>
    <row r="3877" customFormat="false" ht="13.8" hidden="false" customHeight="false" outlineLevel="0" collapsed="false">
      <c r="AA3877" s="7" t="n">
        <f aca="false">AA3876+1</f>
        <v>44783</v>
      </c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</row>
    <row r="3878" customFormat="false" ht="13.8" hidden="false" customHeight="false" outlineLevel="0" collapsed="false">
      <c r="AA3878" s="7" t="n">
        <f aca="false">AA3877+1</f>
        <v>44784</v>
      </c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</row>
    <row r="3879" customFormat="false" ht="13.8" hidden="false" customHeight="false" outlineLevel="0" collapsed="false">
      <c r="AA3879" s="7" t="n">
        <f aca="false">AA3878+1</f>
        <v>44785</v>
      </c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</row>
    <row r="3880" customFormat="false" ht="13.8" hidden="false" customHeight="false" outlineLevel="0" collapsed="false">
      <c r="AA3880" s="7" t="n">
        <f aca="false">AA3879+1</f>
        <v>44786</v>
      </c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</row>
    <row r="3881" customFormat="false" ht="13.8" hidden="false" customHeight="false" outlineLevel="0" collapsed="false">
      <c r="AA3881" s="7" t="n">
        <f aca="false">AA3880+1</f>
        <v>44787</v>
      </c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</row>
    <row r="3882" customFormat="false" ht="13.8" hidden="false" customHeight="false" outlineLevel="0" collapsed="false">
      <c r="AA3882" s="7" t="n">
        <f aca="false">AA3881+1</f>
        <v>44788</v>
      </c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</row>
    <row r="3883" customFormat="false" ht="13.8" hidden="false" customHeight="false" outlineLevel="0" collapsed="false">
      <c r="AA3883" s="7" t="n">
        <f aca="false">AA3882+1</f>
        <v>44789</v>
      </c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</row>
    <row r="3884" customFormat="false" ht="13.8" hidden="false" customHeight="false" outlineLevel="0" collapsed="false">
      <c r="AA3884" s="7" t="n">
        <f aca="false">AA3883+1</f>
        <v>44790</v>
      </c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</row>
    <row r="3885" customFormat="false" ht="13.8" hidden="false" customHeight="false" outlineLevel="0" collapsed="false">
      <c r="AA3885" s="7" t="n">
        <f aca="false">AA3884+1</f>
        <v>44791</v>
      </c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</row>
    <row r="3886" customFormat="false" ht="13.8" hidden="false" customHeight="false" outlineLevel="0" collapsed="false">
      <c r="AA3886" s="7" t="n">
        <f aca="false">AA3885+1</f>
        <v>44792</v>
      </c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</row>
    <row r="3887" customFormat="false" ht="13.8" hidden="false" customHeight="false" outlineLevel="0" collapsed="false">
      <c r="AA3887" s="7" t="n">
        <f aca="false">AA3886+1</f>
        <v>44793</v>
      </c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</row>
    <row r="3888" customFormat="false" ht="13.8" hidden="false" customHeight="false" outlineLevel="0" collapsed="false">
      <c r="AA3888" s="7" t="n">
        <f aca="false">AA3887+1</f>
        <v>44794</v>
      </c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</row>
    <row r="3889" customFormat="false" ht="13.8" hidden="false" customHeight="false" outlineLevel="0" collapsed="false">
      <c r="AA3889" s="7" t="n">
        <f aca="false">AA3888+1</f>
        <v>44795</v>
      </c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</row>
    <row r="3890" customFormat="false" ht="13.8" hidden="false" customHeight="false" outlineLevel="0" collapsed="false">
      <c r="AA3890" s="7" t="n">
        <f aca="false">AA3889+1</f>
        <v>44796</v>
      </c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</row>
    <row r="3891" customFormat="false" ht="13.8" hidden="false" customHeight="false" outlineLevel="0" collapsed="false">
      <c r="AA3891" s="7" t="n">
        <f aca="false">AA3890+1</f>
        <v>44797</v>
      </c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</row>
    <row r="3892" customFormat="false" ht="13.8" hidden="false" customHeight="false" outlineLevel="0" collapsed="false">
      <c r="AA3892" s="7" t="n">
        <f aca="false">AA3891+1</f>
        <v>44798</v>
      </c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</row>
    <row r="3893" customFormat="false" ht="13.8" hidden="false" customHeight="false" outlineLevel="0" collapsed="false">
      <c r="AA3893" s="7" t="n">
        <f aca="false">AA3892+1</f>
        <v>44799</v>
      </c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</row>
    <row r="3894" customFormat="false" ht="13.8" hidden="false" customHeight="false" outlineLevel="0" collapsed="false">
      <c r="AA3894" s="7" t="n">
        <f aca="false">AA3893+1</f>
        <v>44800</v>
      </c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</row>
    <row r="3895" customFormat="false" ht="13.8" hidden="false" customHeight="false" outlineLevel="0" collapsed="false">
      <c r="AA3895" s="7" t="n">
        <f aca="false">AA3894+1</f>
        <v>44801</v>
      </c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</row>
    <row r="3896" customFormat="false" ht="13.8" hidden="false" customHeight="false" outlineLevel="0" collapsed="false">
      <c r="AA3896" s="7" t="n">
        <f aca="false">AA3895+1</f>
        <v>44802</v>
      </c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</row>
    <row r="3897" customFormat="false" ht="13.8" hidden="false" customHeight="false" outlineLevel="0" collapsed="false">
      <c r="AA3897" s="7" t="n">
        <f aca="false">AA3896+1</f>
        <v>44803</v>
      </c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</row>
    <row r="3898" customFormat="false" ht="13.8" hidden="false" customHeight="false" outlineLevel="0" collapsed="false">
      <c r="AA3898" s="7" t="n">
        <f aca="false">AA3897+1</f>
        <v>44804</v>
      </c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</row>
    <row r="3899" customFormat="false" ht="13.8" hidden="false" customHeight="false" outlineLevel="0" collapsed="false">
      <c r="AA3899" s="7" t="n">
        <f aca="false">AA3898+1</f>
        <v>44805</v>
      </c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</row>
    <row r="3900" customFormat="false" ht="13.8" hidden="false" customHeight="false" outlineLevel="0" collapsed="false">
      <c r="AA3900" s="7" t="n">
        <f aca="false">AA3899+1</f>
        <v>44806</v>
      </c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</row>
    <row r="3901" customFormat="false" ht="13.8" hidden="false" customHeight="false" outlineLevel="0" collapsed="false">
      <c r="AA3901" s="7" t="n">
        <f aca="false">AA3900+1</f>
        <v>44807</v>
      </c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</row>
    <row r="3902" customFormat="false" ht="13.8" hidden="false" customHeight="false" outlineLevel="0" collapsed="false">
      <c r="AA3902" s="7" t="n">
        <f aca="false">AA3901+1</f>
        <v>44808</v>
      </c>
      <c r="AB3902" s="14"/>
      <c r="AC3902" s="14"/>
      <c r="AD3902" s="14"/>
      <c r="AE3902" s="14"/>
      <c r="AF3902" s="14"/>
      <c r="AG3902" s="14"/>
      <c r="AH3902" s="14"/>
      <c r="AI3902" s="14"/>
      <c r="AJ3902" s="14"/>
      <c r="AK3902" s="14"/>
      <c r="AL3902" s="14"/>
      <c r="AM3902" s="14"/>
    </row>
    <row r="3903" customFormat="false" ht="13.8" hidden="false" customHeight="false" outlineLevel="0" collapsed="false">
      <c r="AA3903" s="7" t="n">
        <f aca="false">AA3902+1</f>
        <v>44809</v>
      </c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</row>
    <row r="3904" customFormat="false" ht="13.8" hidden="false" customHeight="false" outlineLevel="0" collapsed="false">
      <c r="AA3904" s="7" t="n">
        <f aca="false">AA3903+1</f>
        <v>44810</v>
      </c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</row>
    <row r="3905" customFormat="false" ht="13.8" hidden="false" customHeight="false" outlineLevel="0" collapsed="false">
      <c r="AA3905" s="7" t="n">
        <f aca="false">AA3904+1</f>
        <v>44811</v>
      </c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</row>
    <row r="3906" customFormat="false" ht="13.8" hidden="false" customHeight="false" outlineLevel="0" collapsed="false">
      <c r="AA3906" s="7" t="n">
        <f aca="false">AA3905+1</f>
        <v>44812</v>
      </c>
      <c r="AB3906" s="14"/>
      <c r="AC3906" s="14"/>
      <c r="AD3906" s="14"/>
      <c r="AE3906" s="14"/>
      <c r="AF3906" s="14"/>
      <c r="AG3906" s="14"/>
      <c r="AH3906" s="14"/>
      <c r="AI3906" s="14"/>
      <c r="AJ3906" s="14"/>
      <c r="AK3906" s="14"/>
      <c r="AL3906" s="14"/>
      <c r="AM3906" s="14"/>
    </row>
    <row r="3907" customFormat="false" ht="13.8" hidden="false" customHeight="false" outlineLevel="0" collapsed="false">
      <c r="AA3907" s="7" t="n">
        <f aca="false">AA3906+1</f>
        <v>44813</v>
      </c>
      <c r="AB3907" s="14"/>
      <c r="AC3907" s="14"/>
      <c r="AD3907" s="14"/>
      <c r="AE3907" s="14"/>
      <c r="AF3907" s="14"/>
      <c r="AG3907" s="14"/>
      <c r="AH3907" s="14"/>
      <c r="AI3907" s="14"/>
      <c r="AJ3907" s="14"/>
      <c r="AK3907" s="14"/>
      <c r="AL3907" s="14"/>
      <c r="AM3907" s="14"/>
    </row>
    <row r="3908" customFormat="false" ht="13.8" hidden="false" customHeight="false" outlineLevel="0" collapsed="false">
      <c r="AA3908" s="7" t="n">
        <f aca="false">AA3907+1</f>
        <v>44814</v>
      </c>
      <c r="AB3908" s="14"/>
      <c r="AC3908" s="14"/>
      <c r="AD3908" s="14"/>
      <c r="AE3908" s="14"/>
      <c r="AF3908" s="14"/>
      <c r="AG3908" s="14"/>
      <c r="AH3908" s="14"/>
      <c r="AI3908" s="14"/>
      <c r="AJ3908" s="14"/>
      <c r="AK3908" s="14"/>
      <c r="AL3908" s="14"/>
      <c r="AM3908" s="14"/>
    </row>
    <row r="3909" customFormat="false" ht="13.8" hidden="false" customHeight="false" outlineLevel="0" collapsed="false">
      <c r="AA3909" s="7" t="n">
        <f aca="false">AA3908+1</f>
        <v>44815</v>
      </c>
      <c r="AB3909" s="14"/>
      <c r="AC3909" s="14"/>
      <c r="AD3909" s="14"/>
      <c r="AE3909" s="14"/>
      <c r="AF3909" s="14"/>
      <c r="AG3909" s="14"/>
      <c r="AH3909" s="14"/>
      <c r="AI3909" s="14"/>
      <c r="AJ3909" s="14"/>
      <c r="AK3909" s="14"/>
      <c r="AL3909" s="14"/>
      <c r="AM3909" s="14"/>
    </row>
    <row r="3910" customFormat="false" ht="13.8" hidden="false" customHeight="false" outlineLevel="0" collapsed="false">
      <c r="AA3910" s="7" t="n">
        <f aca="false">AA3909+1</f>
        <v>44816</v>
      </c>
      <c r="AB3910" s="14"/>
      <c r="AC3910" s="14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</row>
    <row r="3911" customFormat="false" ht="13.8" hidden="false" customHeight="false" outlineLevel="0" collapsed="false">
      <c r="AA3911" s="7" t="n">
        <f aca="false">AA3910+1</f>
        <v>44817</v>
      </c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</row>
    <row r="3912" customFormat="false" ht="13.8" hidden="false" customHeight="false" outlineLevel="0" collapsed="false">
      <c r="AA3912" s="7" t="n">
        <f aca="false">AA3911+1</f>
        <v>44818</v>
      </c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</row>
    <row r="3913" customFormat="false" ht="13.8" hidden="false" customHeight="false" outlineLevel="0" collapsed="false">
      <c r="AA3913" s="7" t="n">
        <f aca="false">AA3912+1</f>
        <v>44819</v>
      </c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</row>
    <row r="3914" customFormat="false" ht="13.8" hidden="false" customHeight="false" outlineLevel="0" collapsed="false">
      <c r="AA3914" s="7" t="n">
        <f aca="false">AA3913+1</f>
        <v>44820</v>
      </c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</row>
    <row r="3915" customFormat="false" ht="13.8" hidden="false" customHeight="false" outlineLevel="0" collapsed="false">
      <c r="AA3915" s="7" t="n">
        <f aca="false">AA3914+1</f>
        <v>44821</v>
      </c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</row>
    <row r="3916" customFormat="false" ht="13.8" hidden="false" customHeight="false" outlineLevel="0" collapsed="false">
      <c r="AA3916" s="7" t="n">
        <f aca="false">AA3915+1</f>
        <v>44822</v>
      </c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</row>
    <row r="3917" customFormat="false" ht="13.8" hidden="false" customHeight="false" outlineLevel="0" collapsed="false">
      <c r="AA3917" s="7" t="n">
        <f aca="false">AA3916+1</f>
        <v>44823</v>
      </c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</row>
    <row r="3918" customFormat="false" ht="13.8" hidden="false" customHeight="false" outlineLevel="0" collapsed="false">
      <c r="AA3918" s="7" t="n">
        <f aca="false">AA3917+1</f>
        <v>44824</v>
      </c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</row>
    <row r="3919" customFormat="false" ht="13.8" hidden="false" customHeight="false" outlineLevel="0" collapsed="false">
      <c r="AA3919" s="7" t="n">
        <f aca="false">AA3918+1</f>
        <v>44825</v>
      </c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</row>
    <row r="3920" customFormat="false" ht="13.8" hidden="false" customHeight="false" outlineLevel="0" collapsed="false">
      <c r="AA3920" s="7" t="n">
        <f aca="false">AA3919+1</f>
        <v>44826</v>
      </c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</row>
    <row r="3921" customFormat="false" ht="13.8" hidden="false" customHeight="false" outlineLevel="0" collapsed="false">
      <c r="AA3921" s="7" t="n">
        <f aca="false">AA3920+1</f>
        <v>44827</v>
      </c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</row>
    <row r="3922" customFormat="false" ht="13.8" hidden="false" customHeight="false" outlineLevel="0" collapsed="false">
      <c r="AA3922" s="7" t="n">
        <f aca="false">AA3921+1</f>
        <v>44828</v>
      </c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</row>
    <row r="3923" customFormat="false" ht="13.8" hidden="false" customHeight="false" outlineLevel="0" collapsed="false">
      <c r="AA3923" s="7" t="n">
        <f aca="false">AA3922+1</f>
        <v>44829</v>
      </c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</row>
    <row r="3924" customFormat="false" ht="13.8" hidden="false" customHeight="false" outlineLevel="0" collapsed="false">
      <c r="AA3924" s="7" t="n">
        <f aca="false">AA3923+1</f>
        <v>44830</v>
      </c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</row>
    <row r="3925" customFormat="false" ht="13.8" hidden="false" customHeight="false" outlineLevel="0" collapsed="false">
      <c r="AA3925" s="7" t="n">
        <f aca="false">AA3924+1</f>
        <v>44831</v>
      </c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</row>
    <row r="3926" customFormat="false" ht="13.8" hidden="false" customHeight="false" outlineLevel="0" collapsed="false">
      <c r="AA3926" s="7" t="n">
        <f aca="false">AA3925+1</f>
        <v>44832</v>
      </c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</row>
    <row r="3927" customFormat="false" ht="13.8" hidden="false" customHeight="false" outlineLevel="0" collapsed="false">
      <c r="AA3927" s="7" t="n">
        <f aca="false">AA3926+1</f>
        <v>44833</v>
      </c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</row>
    <row r="3928" customFormat="false" ht="13.8" hidden="false" customHeight="false" outlineLevel="0" collapsed="false">
      <c r="AA3928" s="7" t="n">
        <f aca="false">AA3927+1</f>
        <v>44834</v>
      </c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</row>
    <row r="3929" customFormat="false" ht="13.8" hidden="false" customHeight="false" outlineLevel="0" collapsed="false">
      <c r="AA3929" s="7" t="n">
        <f aca="false">AA3928+1</f>
        <v>44835</v>
      </c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</row>
    <row r="3930" customFormat="false" ht="13.8" hidden="false" customHeight="false" outlineLevel="0" collapsed="false">
      <c r="AA3930" s="7" t="n">
        <f aca="false">AA3929+1</f>
        <v>44836</v>
      </c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</row>
    <row r="3931" customFormat="false" ht="13.8" hidden="false" customHeight="false" outlineLevel="0" collapsed="false">
      <c r="AA3931" s="7" t="n">
        <f aca="false">AA3930+1</f>
        <v>44837</v>
      </c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</row>
    <row r="3932" customFormat="false" ht="13.8" hidden="false" customHeight="false" outlineLevel="0" collapsed="false">
      <c r="AA3932" s="7" t="n">
        <f aca="false">AA3931+1</f>
        <v>44838</v>
      </c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</row>
    <row r="3933" customFormat="false" ht="13.8" hidden="false" customHeight="false" outlineLevel="0" collapsed="false">
      <c r="AA3933" s="7" t="n">
        <f aca="false">AA3932+1</f>
        <v>44839</v>
      </c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</row>
    <row r="3934" customFormat="false" ht="13.8" hidden="false" customHeight="false" outlineLevel="0" collapsed="false">
      <c r="AA3934" s="7" t="n">
        <f aca="false">AA3933+1</f>
        <v>44840</v>
      </c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</row>
    <row r="3935" customFormat="false" ht="13.8" hidden="false" customHeight="false" outlineLevel="0" collapsed="false">
      <c r="AA3935" s="7" t="n">
        <f aca="false">AA3934+1</f>
        <v>44841</v>
      </c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</row>
    <row r="3936" customFormat="false" ht="13.8" hidden="false" customHeight="false" outlineLevel="0" collapsed="false">
      <c r="AA3936" s="7" t="n">
        <f aca="false">AA3935+1</f>
        <v>44842</v>
      </c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</row>
    <row r="3937" customFormat="false" ht="13.8" hidden="false" customHeight="false" outlineLevel="0" collapsed="false">
      <c r="AA3937" s="7" t="n">
        <f aca="false">AA3936+1</f>
        <v>44843</v>
      </c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</row>
    <row r="3938" customFormat="false" ht="13.8" hidden="false" customHeight="false" outlineLevel="0" collapsed="false">
      <c r="AA3938" s="7" t="n">
        <f aca="false">AA3937+1</f>
        <v>44844</v>
      </c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</row>
    <row r="3939" customFormat="false" ht="13.8" hidden="false" customHeight="false" outlineLevel="0" collapsed="false">
      <c r="AA3939" s="7" t="n">
        <f aca="false">AA3938+1</f>
        <v>44845</v>
      </c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</row>
    <row r="3940" customFormat="false" ht="13.8" hidden="false" customHeight="false" outlineLevel="0" collapsed="false">
      <c r="AA3940" s="7" t="n">
        <f aca="false">AA3939+1</f>
        <v>44846</v>
      </c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</row>
    <row r="3941" customFormat="false" ht="13.8" hidden="false" customHeight="false" outlineLevel="0" collapsed="false">
      <c r="AA3941" s="7" t="n">
        <f aca="false">AA3940+1</f>
        <v>44847</v>
      </c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</row>
    <row r="3942" customFormat="false" ht="13.8" hidden="false" customHeight="false" outlineLevel="0" collapsed="false">
      <c r="AA3942" s="7" t="n">
        <f aca="false">AA3941+1</f>
        <v>44848</v>
      </c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</row>
    <row r="3943" customFormat="false" ht="13.8" hidden="false" customHeight="false" outlineLevel="0" collapsed="false">
      <c r="AA3943" s="7" t="n">
        <f aca="false">AA3942+1</f>
        <v>44849</v>
      </c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</row>
    <row r="3944" customFormat="false" ht="13.8" hidden="false" customHeight="false" outlineLevel="0" collapsed="false">
      <c r="AA3944" s="7" t="n">
        <f aca="false">AA3943+1</f>
        <v>44850</v>
      </c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</row>
    <row r="3945" customFormat="false" ht="13.8" hidden="false" customHeight="false" outlineLevel="0" collapsed="false">
      <c r="AA3945" s="7" t="n">
        <f aca="false">AA3944+1</f>
        <v>44851</v>
      </c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</row>
    <row r="3946" customFormat="false" ht="13.8" hidden="false" customHeight="false" outlineLevel="0" collapsed="false">
      <c r="AA3946" s="7" t="n">
        <f aca="false">AA3945+1</f>
        <v>44852</v>
      </c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</row>
    <row r="3947" customFormat="false" ht="13.8" hidden="false" customHeight="false" outlineLevel="0" collapsed="false">
      <c r="AA3947" s="7" t="n">
        <f aca="false">AA3946+1</f>
        <v>44853</v>
      </c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</row>
    <row r="3948" customFormat="false" ht="13.8" hidden="false" customHeight="false" outlineLevel="0" collapsed="false">
      <c r="AA3948" s="7" t="n">
        <f aca="false">AA3947+1</f>
        <v>44854</v>
      </c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</row>
    <row r="3949" customFormat="false" ht="13.8" hidden="false" customHeight="false" outlineLevel="0" collapsed="false">
      <c r="AA3949" s="7" t="n">
        <f aca="false">AA3948+1</f>
        <v>44855</v>
      </c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</row>
    <row r="3950" customFormat="false" ht="13.8" hidden="false" customHeight="false" outlineLevel="0" collapsed="false">
      <c r="AA3950" s="7" t="n">
        <f aca="false">AA3949+1</f>
        <v>44856</v>
      </c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</row>
    <row r="3951" customFormat="false" ht="13.8" hidden="false" customHeight="false" outlineLevel="0" collapsed="false">
      <c r="AA3951" s="7" t="n">
        <f aca="false">AA3950+1</f>
        <v>44857</v>
      </c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</row>
    <row r="3952" customFormat="false" ht="13.8" hidden="false" customHeight="false" outlineLevel="0" collapsed="false">
      <c r="AA3952" s="7" t="n">
        <f aca="false">AA3951+1</f>
        <v>44858</v>
      </c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</row>
    <row r="3953" customFormat="false" ht="13.8" hidden="false" customHeight="false" outlineLevel="0" collapsed="false">
      <c r="AA3953" s="7" t="n">
        <f aca="false">AA3952+1</f>
        <v>44859</v>
      </c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</row>
    <row r="3954" customFormat="false" ht="13.8" hidden="false" customHeight="false" outlineLevel="0" collapsed="false">
      <c r="AA3954" s="7" t="n">
        <f aca="false">AA3953+1</f>
        <v>44860</v>
      </c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</row>
    <row r="3955" customFormat="false" ht="13.8" hidden="false" customHeight="false" outlineLevel="0" collapsed="false">
      <c r="AA3955" s="7" t="n">
        <f aca="false">AA3954+1</f>
        <v>44861</v>
      </c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</row>
    <row r="3956" customFormat="false" ht="13.8" hidden="false" customHeight="false" outlineLevel="0" collapsed="false">
      <c r="AA3956" s="7" t="n">
        <f aca="false">AA3955+1</f>
        <v>44862</v>
      </c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</row>
    <row r="3957" customFormat="false" ht="13.8" hidden="false" customHeight="false" outlineLevel="0" collapsed="false">
      <c r="AA3957" s="7" t="n">
        <f aca="false">AA3956+1</f>
        <v>44863</v>
      </c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</row>
    <row r="3958" customFormat="false" ht="13.8" hidden="false" customHeight="false" outlineLevel="0" collapsed="false">
      <c r="AA3958" s="7" t="n">
        <f aca="false">AA3957+1</f>
        <v>44864</v>
      </c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</row>
    <row r="3959" customFormat="false" ht="13.8" hidden="false" customHeight="false" outlineLevel="0" collapsed="false">
      <c r="AA3959" s="7" t="n">
        <f aca="false">AA3958+1</f>
        <v>44865</v>
      </c>
      <c r="AB3959" s="14"/>
      <c r="AC3959" s="14"/>
      <c r="AD3959" s="14"/>
      <c r="AE3959" s="14"/>
      <c r="AF3959" s="14"/>
      <c r="AG3959" s="14"/>
      <c r="AH3959" s="14"/>
      <c r="AI3959" s="14"/>
      <c r="AJ3959" s="14"/>
      <c r="AK3959" s="14"/>
      <c r="AL3959" s="14"/>
      <c r="AM3959" s="14"/>
    </row>
    <row r="3960" customFormat="false" ht="13.8" hidden="false" customHeight="false" outlineLevel="0" collapsed="false">
      <c r="AA3960" s="7" t="n">
        <f aca="false">AA3959+1</f>
        <v>44866</v>
      </c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</row>
    <row r="3961" customFormat="false" ht="13.8" hidden="false" customHeight="false" outlineLevel="0" collapsed="false">
      <c r="AA3961" s="7" t="n">
        <f aca="false">AA3960+1</f>
        <v>44867</v>
      </c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</row>
    <row r="3962" customFormat="false" ht="13.8" hidden="false" customHeight="false" outlineLevel="0" collapsed="false">
      <c r="AA3962" s="7" t="n">
        <f aca="false">AA3961+1</f>
        <v>44868</v>
      </c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</row>
    <row r="3963" customFormat="false" ht="13.8" hidden="false" customHeight="false" outlineLevel="0" collapsed="false">
      <c r="AA3963" s="7" t="n">
        <f aca="false">AA3962+1</f>
        <v>44869</v>
      </c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</row>
    <row r="3964" customFormat="false" ht="13.8" hidden="false" customHeight="false" outlineLevel="0" collapsed="false">
      <c r="AA3964" s="7" t="n">
        <f aca="false">AA3963+1</f>
        <v>44870</v>
      </c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</row>
    <row r="3965" customFormat="false" ht="13.8" hidden="false" customHeight="false" outlineLevel="0" collapsed="false">
      <c r="AA3965" s="7" t="n">
        <f aca="false">AA3964+1</f>
        <v>44871</v>
      </c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</row>
    <row r="3966" customFormat="false" ht="13.8" hidden="false" customHeight="false" outlineLevel="0" collapsed="false">
      <c r="AA3966" s="7" t="n">
        <f aca="false">AA3965+1</f>
        <v>44872</v>
      </c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</row>
    <row r="3967" customFormat="false" ht="13.8" hidden="false" customHeight="false" outlineLevel="0" collapsed="false">
      <c r="AA3967" s="7" t="n">
        <f aca="false">AA3966+1</f>
        <v>44873</v>
      </c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</row>
    <row r="3968" customFormat="false" ht="13.8" hidden="false" customHeight="false" outlineLevel="0" collapsed="false">
      <c r="AA3968" s="7" t="n">
        <f aca="false">AA3967+1</f>
        <v>44874</v>
      </c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</row>
    <row r="3969" customFormat="false" ht="13.8" hidden="false" customHeight="false" outlineLevel="0" collapsed="false">
      <c r="AA3969" s="7" t="n">
        <f aca="false">AA3968+1</f>
        <v>44875</v>
      </c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</row>
    <row r="3970" customFormat="false" ht="13.8" hidden="false" customHeight="false" outlineLevel="0" collapsed="false">
      <c r="AA3970" s="7" t="n">
        <f aca="false">AA3969+1</f>
        <v>44876</v>
      </c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</row>
    <row r="3971" customFormat="false" ht="13.8" hidden="false" customHeight="false" outlineLevel="0" collapsed="false">
      <c r="AA3971" s="7" t="n">
        <f aca="false">AA3970+1</f>
        <v>44877</v>
      </c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</row>
    <row r="3972" customFormat="false" ht="13.8" hidden="false" customHeight="false" outlineLevel="0" collapsed="false">
      <c r="AA3972" s="7" t="n">
        <f aca="false">AA3971+1</f>
        <v>44878</v>
      </c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</row>
    <row r="3973" customFormat="false" ht="13.8" hidden="false" customHeight="false" outlineLevel="0" collapsed="false">
      <c r="AA3973" s="7" t="n">
        <f aca="false">AA3972+1</f>
        <v>44879</v>
      </c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</row>
    <row r="3974" customFormat="false" ht="13.8" hidden="false" customHeight="false" outlineLevel="0" collapsed="false">
      <c r="AA3974" s="7" t="n">
        <f aca="false">AA3973+1</f>
        <v>44880</v>
      </c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</row>
    <row r="3975" customFormat="false" ht="13.8" hidden="false" customHeight="false" outlineLevel="0" collapsed="false">
      <c r="AA3975" s="7" t="n">
        <f aca="false">AA3974+1</f>
        <v>44881</v>
      </c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</row>
    <row r="3976" customFormat="false" ht="13.8" hidden="false" customHeight="false" outlineLevel="0" collapsed="false">
      <c r="AA3976" s="7" t="n">
        <f aca="false">AA3975+1</f>
        <v>44882</v>
      </c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</row>
    <row r="3977" customFormat="false" ht="13.8" hidden="false" customHeight="false" outlineLevel="0" collapsed="false">
      <c r="AA3977" s="7" t="n">
        <f aca="false">AA3976+1</f>
        <v>44883</v>
      </c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</row>
    <row r="3978" customFormat="false" ht="13.8" hidden="false" customHeight="false" outlineLevel="0" collapsed="false">
      <c r="AA3978" s="7" t="n">
        <f aca="false">AA3977+1</f>
        <v>44884</v>
      </c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</row>
    <row r="3979" customFormat="false" ht="13.8" hidden="false" customHeight="false" outlineLevel="0" collapsed="false">
      <c r="AA3979" s="7" t="n">
        <f aca="false">AA3978+1</f>
        <v>44885</v>
      </c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</row>
    <row r="3980" customFormat="false" ht="13.8" hidden="false" customHeight="false" outlineLevel="0" collapsed="false">
      <c r="AA3980" s="7" t="n">
        <f aca="false">AA3979+1</f>
        <v>44886</v>
      </c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</row>
    <row r="3981" customFormat="false" ht="13.8" hidden="false" customHeight="false" outlineLevel="0" collapsed="false">
      <c r="AA3981" s="7" t="n">
        <f aca="false">AA3980+1</f>
        <v>44887</v>
      </c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</row>
    <row r="3982" customFormat="false" ht="13.8" hidden="false" customHeight="false" outlineLevel="0" collapsed="false">
      <c r="AA3982" s="7" t="n">
        <f aca="false">AA3981+1</f>
        <v>44888</v>
      </c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</row>
    <row r="3983" customFormat="false" ht="13.8" hidden="false" customHeight="false" outlineLevel="0" collapsed="false">
      <c r="AA3983" s="7" t="n">
        <f aca="false">AA3982+1</f>
        <v>44889</v>
      </c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</row>
    <row r="3984" customFormat="false" ht="13.8" hidden="false" customHeight="false" outlineLevel="0" collapsed="false">
      <c r="AA3984" s="7" t="n">
        <f aca="false">AA3983+1</f>
        <v>44890</v>
      </c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</row>
    <row r="3985" customFormat="false" ht="13.8" hidden="false" customHeight="false" outlineLevel="0" collapsed="false">
      <c r="AA3985" s="7" t="n">
        <f aca="false">AA3984+1</f>
        <v>44891</v>
      </c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</row>
    <row r="3986" customFormat="false" ht="13.8" hidden="false" customHeight="false" outlineLevel="0" collapsed="false">
      <c r="AA3986" s="7" t="n">
        <f aca="false">AA3985+1</f>
        <v>44892</v>
      </c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</row>
    <row r="3987" customFormat="false" ht="13.8" hidden="false" customHeight="false" outlineLevel="0" collapsed="false">
      <c r="AA3987" s="7" t="n">
        <f aca="false">AA3986+1</f>
        <v>44893</v>
      </c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</row>
    <row r="3988" customFormat="false" ht="13.8" hidden="false" customHeight="false" outlineLevel="0" collapsed="false">
      <c r="AA3988" s="7" t="n">
        <f aca="false">AA3987+1</f>
        <v>44894</v>
      </c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</row>
    <row r="3989" customFormat="false" ht="13.8" hidden="false" customHeight="false" outlineLevel="0" collapsed="false">
      <c r="AA3989" s="7" t="n">
        <f aca="false">AA3988+1</f>
        <v>44895</v>
      </c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</row>
    <row r="3990" customFormat="false" ht="13.8" hidden="false" customHeight="false" outlineLevel="0" collapsed="false">
      <c r="AA3990" s="7" t="n">
        <f aca="false">AA3989+1</f>
        <v>44896</v>
      </c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</row>
    <row r="3991" customFormat="false" ht="13.8" hidden="false" customHeight="false" outlineLevel="0" collapsed="false">
      <c r="AA3991" s="7" t="n">
        <f aca="false">AA3990+1</f>
        <v>44897</v>
      </c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</row>
    <row r="3992" customFormat="false" ht="13.8" hidden="false" customHeight="false" outlineLevel="0" collapsed="false">
      <c r="AA3992" s="7" t="n">
        <f aca="false">AA3991+1</f>
        <v>44898</v>
      </c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</row>
    <row r="3993" customFormat="false" ht="13.8" hidden="false" customHeight="false" outlineLevel="0" collapsed="false">
      <c r="AA3993" s="7" t="n">
        <f aca="false">AA3992+1</f>
        <v>44899</v>
      </c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</row>
    <row r="3994" customFormat="false" ht="13.8" hidden="false" customHeight="false" outlineLevel="0" collapsed="false">
      <c r="AA3994" s="7" t="n">
        <f aca="false">AA3993+1</f>
        <v>44900</v>
      </c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</row>
    <row r="3995" customFormat="false" ht="13.8" hidden="false" customHeight="false" outlineLevel="0" collapsed="false">
      <c r="AA3995" s="7" t="n">
        <f aca="false">AA3994+1</f>
        <v>44901</v>
      </c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</row>
    <row r="3996" customFormat="false" ht="13.8" hidden="false" customHeight="false" outlineLevel="0" collapsed="false">
      <c r="AA3996" s="7" t="n">
        <f aca="false">AA3995+1</f>
        <v>44902</v>
      </c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</row>
    <row r="3997" customFormat="false" ht="13.8" hidden="false" customHeight="false" outlineLevel="0" collapsed="false">
      <c r="AA3997" s="7" t="n">
        <f aca="false">AA3996+1</f>
        <v>44903</v>
      </c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</row>
    <row r="3998" customFormat="false" ht="13.8" hidden="false" customHeight="false" outlineLevel="0" collapsed="false">
      <c r="AA3998" s="7" t="n">
        <f aca="false">AA3997+1</f>
        <v>44904</v>
      </c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</row>
    <row r="3999" customFormat="false" ht="13.8" hidden="false" customHeight="false" outlineLevel="0" collapsed="false">
      <c r="AA3999" s="7" t="n">
        <f aca="false">AA3998+1</f>
        <v>44905</v>
      </c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</row>
    <row r="4000" customFormat="false" ht="13.8" hidden="false" customHeight="false" outlineLevel="0" collapsed="false">
      <c r="AA4000" s="7" t="n">
        <f aca="false">AA3999+1</f>
        <v>44906</v>
      </c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</row>
    <row r="4001" customFormat="false" ht="13.8" hidden="false" customHeight="false" outlineLevel="0" collapsed="false">
      <c r="AA4001" s="7" t="n">
        <f aca="false">AA4000+1</f>
        <v>44907</v>
      </c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</row>
    <row r="4002" customFormat="false" ht="13.8" hidden="false" customHeight="false" outlineLevel="0" collapsed="false">
      <c r="AA4002" s="7" t="n">
        <f aca="false">AA4001+1</f>
        <v>44908</v>
      </c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</row>
    <row r="4003" customFormat="false" ht="13.8" hidden="false" customHeight="false" outlineLevel="0" collapsed="false">
      <c r="AA4003" s="7" t="n">
        <f aca="false">AA4002+1</f>
        <v>44909</v>
      </c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</row>
    <row r="4004" customFormat="false" ht="13.8" hidden="false" customHeight="false" outlineLevel="0" collapsed="false">
      <c r="AA4004" s="7" t="n">
        <f aca="false">AA4003+1</f>
        <v>44910</v>
      </c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</row>
    <row r="4005" customFormat="false" ht="13.8" hidden="false" customHeight="false" outlineLevel="0" collapsed="false">
      <c r="AA4005" s="7" t="n">
        <f aca="false">AA4004+1</f>
        <v>44911</v>
      </c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</row>
    <row r="4006" customFormat="false" ht="13.8" hidden="false" customHeight="false" outlineLevel="0" collapsed="false">
      <c r="AA4006" s="7" t="n">
        <f aca="false">AA4005+1</f>
        <v>44912</v>
      </c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</row>
    <row r="4007" customFormat="false" ht="13.8" hidden="false" customHeight="false" outlineLevel="0" collapsed="false">
      <c r="AA4007" s="7" t="n">
        <f aca="false">AA4006+1</f>
        <v>44913</v>
      </c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</row>
    <row r="4008" customFormat="false" ht="13.8" hidden="false" customHeight="false" outlineLevel="0" collapsed="false">
      <c r="AA4008" s="7" t="n">
        <f aca="false">AA4007+1</f>
        <v>44914</v>
      </c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</row>
    <row r="4009" customFormat="false" ht="13.8" hidden="false" customHeight="false" outlineLevel="0" collapsed="false">
      <c r="AA4009" s="7" t="n">
        <f aca="false">AA4008+1</f>
        <v>44915</v>
      </c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</row>
    <row r="4010" customFormat="false" ht="13.8" hidden="false" customHeight="false" outlineLevel="0" collapsed="false">
      <c r="AA4010" s="7" t="n">
        <f aca="false">AA4009+1</f>
        <v>44916</v>
      </c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</row>
    <row r="4011" customFormat="false" ht="13.8" hidden="false" customHeight="false" outlineLevel="0" collapsed="false">
      <c r="AA4011" s="7" t="n">
        <f aca="false">AA4010+1</f>
        <v>44917</v>
      </c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</row>
    <row r="4012" customFormat="false" ht="13.8" hidden="false" customHeight="false" outlineLevel="0" collapsed="false">
      <c r="AA4012" s="7" t="n">
        <f aca="false">AA4011+1</f>
        <v>44918</v>
      </c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</row>
    <row r="4013" customFormat="false" ht="13.8" hidden="false" customHeight="false" outlineLevel="0" collapsed="false">
      <c r="AA4013" s="7" t="n">
        <f aca="false">AA4012+1</f>
        <v>44919</v>
      </c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</row>
    <row r="4014" customFormat="false" ht="13.8" hidden="false" customHeight="false" outlineLevel="0" collapsed="false">
      <c r="AA4014" s="7" t="n">
        <f aca="false">AA4013+1</f>
        <v>44920</v>
      </c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</row>
    <row r="4015" customFormat="false" ht="13.8" hidden="false" customHeight="false" outlineLevel="0" collapsed="false">
      <c r="AA4015" s="7" t="n">
        <f aca="false">AA4014+1</f>
        <v>44921</v>
      </c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</row>
    <row r="4016" customFormat="false" ht="13.8" hidden="false" customHeight="false" outlineLevel="0" collapsed="false">
      <c r="AA4016" s="7" t="n">
        <f aca="false">AA4015+1</f>
        <v>44922</v>
      </c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</row>
    <row r="4017" customFormat="false" ht="13.8" hidden="false" customHeight="false" outlineLevel="0" collapsed="false">
      <c r="AA4017" s="7" t="n">
        <f aca="false">AA4016+1</f>
        <v>44923</v>
      </c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</row>
    <row r="4018" customFormat="false" ht="13.8" hidden="false" customHeight="false" outlineLevel="0" collapsed="false">
      <c r="AA4018" s="7" t="n">
        <f aca="false">AA4017+1</f>
        <v>44924</v>
      </c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</row>
    <row r="4019" customFormat="false" ht="13.8" hidden="false" customHeight="false" outlineLevel="0" collapsed="false">
      <c r="AA4019" s="7" t="n">
        <f aca="false">AA4018+1</f>
        <v>44925</v>
      </c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</row>
    <row r="4020" customFormat="false" ht="13.8" hidden="false" customHeight="false" outlineLevel="0" collapsed="false">
      <c r="AA4020" s="7" t="n">
        <f aca="false">AA4019+1</f>
        <v>44926</v>
      </c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</row>
    <row r="4021" customFormat="false" ht="13.8" hidden="false" customHeight="false" outlineLevel="0" collapsed="false">
      <c r="AA4021" s="7" t="n">
        <f aca="false">AA4020+1</f>
        <v>44927</v>
      </c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</row>
    <row r="4022" customFormat="false" ht="13.8" hidden="false" customHeight="false" outlineLevel="0" collapsed="false">
      <c r="AA4022" s="7" t="n">
        <f aca="false">AA4021+1</f>
        <v>44928</v>
      </c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</row>
    <row r="4023" customFormat="false" ht="13.8" hidden="false" customHeight="false" outlineLevel="0" collapsed="false">
      <c r="AA4023" s="7" t="n">
        <f aca="false">AA4022+1</f>
        <v>44929</v>
      </c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</row>
    <row r="4024" customFormat="false" ht="13.8" hidden="false" customHeight="false" outlineLevel="0" collapsed="false">
      <c r="AA4024" s="7" t="n">
        <f aca="false">AA4023+1</f>
        <v>44930</v>
      </c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</row>
    <row r="4025" customFormat="false" ht="13.8" hidden="false" customHeight="false" outlineLevel="0" collapsed="false">
      <c r="AA4025" s="7" t="n">
        <f aca="false">AA4024+1</f>
        <v>44931</v>
      </c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</row>
    <row r="4026" customFormat="false" ht="13.8" hidden="false" customHeight="false" outlineLevel="0" collapsed="false">
      <c r="AA4026" s="7" t="n">
        <f aca="false">AA4025+1</f>
        <v>44932</v>
      </c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</row>
    <row r="4027" customFormat="false" ht="13.8" hidden="false" customHeight="false" outlineLevel="0" collapsed="false">
      <c r="AA4027" s="7" t="n">
        <f aca="false">AA4026+1</f>
        <v>44933</v>
      </c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</row>
    <row r="4028" customFormat="false" ht="13.8" hidden="false" customHeight="false" outlineLevel="0" collapsed="false">
      <c r="AA4028" s="7" t="n">
        <f aca="false">AA4027+1</f>
        <v>44934</v>
      </c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</row>
    <row r="4029" customFormat="false" ht="13.8" hidden="false" customHeight="false" outlineLevel="0" collapsed="false">
      <c r="AA4029" s="7" t="n">
        <f aca="false">AA4028+1</f>
        <v>44935</v>
      </c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</row>
    <row r="4030" customFormat="false" ht="13.8" hidden="false" customHeight="false" outlineLevel="0" collapsed="false">
      <c r="AA4030" s="7" t="n">
        <f aca="false">AA4029+1</f>
        <v>44936</v>
      </c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</row>
    <row r="4031" customFormat="false" ht="13.8" hidden="false" customHeight="false" outlineLevel="0" collapsed="false">
      <c r="AA4031" s="7" t="n">
        <f aca="false">AA4030+1</f>
        <v>44937</v>
      </c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</row>
    <row r="4032" customFormat="false" ht="13.8" hidden="false" customHeight="false" outlineLevel="0" collapsed="false">
      <c r="AA4032" s="7" t="n">
        <f aca="false">AA4031+1</f>
        <v>44938</v>
      </c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</row>
    <row r="4033" customFormat="false" ht="13.8" hidden="false" customHeight="false" outlineLevel="0" collapsed="false">
      <c r="AA4033" s="7" t="n">
        <f aca="false">AA4032+1</f>
        <v>44939</v>
      </c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</row>
    <row r="4034" customFormat="false" ht="13.8" hidden="false" customHeight="false" outlineLevel="0" collapsed="false">
      <c r="AA4034" s="7" t="n">
        <f aca="false">AA4033+1</f>
        <v>44940</v>
      </c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</row>
    <row r="4035" customFormat="false" ht="13.8" hidden="false" customHeight="false" outlineLevel="0" collapsed="false">
      <c r="AA4035" s="7" t="n">
        <f aca="false">AA4034+1</f>
        <v>44941</v>
      </c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</row>
    <row r="4036" customFormat="false" ht="13.8" hidden="false" customHeight="false" outlineLevel="0" collapsed="false">
      <c r="AA4036" s="7" t="n">
        <f aca="false">AA4035+1</f>
        <v>44942</v>
      </c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</row>
    <row r="4037" customFormat="false" ht="13.8" hidden="false" customHeight="false" outlineLevel="0" collapsed="false">
      <c r="AA4037" s="7" t="n">
        <f aca="false">AA4036+1</f>
        <v>44943</v>
      </c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</row>
    <row r="4038" customFormat="false" ht="13.8" hidden="false" customHeight="false" outlineLevel="0" collapsed="false">
      <c r="AA4038" s="7" t="n">
        <f aca="false">AA4037+1</f>
        <v>44944</v>
      </c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</row>
    <row r="4039" customFormat="false" ht="13.8" hidden="false" customHeight="false" outlineLevel="0" collapsed="false">
      <c r="AA4039" s="7" t="n">
        <f aca="false">AA4038+1</f>
        <v>44945</v>
      </c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</row>
    <row r="4040" customFormat="false" ht="13.8" hidden="false" customHeight="false" outlineLevel="0" collapsed="false">
      <c r="AA4040" s="7" t="n">
        <f aca="false">AA4039+1</f>
        <v>44946</v>
      </c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</row>
    <row r="4041" customFormat="false" ht="13.8" hidden="false" customHeight="false" outlineLevel="0" collapsed="false">
      <c r="AA4041" s="7" t="n">
        <f aca="false">AA4040+1</f>
        <v>44947</v>
      </c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</row>
    <row r="4042" customFormat="false" ht="13.8" hidden="false" customHeight="false" outlineLevel="0" collapsed="false">
      <c r="AA4042" s="7" t="n">
        <f aca="false">AA4041+1</f>
        <v>44948</v>
      </c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</row>
    <row r="4043" customFormat="false" ht="13.8" hidden="false" customHeight="false" outlineLevel="0" collapsed="false">
      <c r="AA4043" s="7" t="n">
        <f aca="false">AA4042+1</f>
        <v>44949</v>
      </c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</row>
    <row r="4044" customFormat="false" ht="13.8" hidden="false" customHeight="false" outlineLevel="0" collapsed="false">
      <c r="AA4044" s="7" t="n">
        <f aca="false">AA4043+1</f>
        <v>44950</v>
      </c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</row>
    <row r="4045" customFormat="false" ht="13.8" hidden="false" customHeight="false" outlineLevel="0" collapsed="false">
      <c r="AA4045" s="7" t="n">
        <f aca="false">AA4044+1</f>
        <v>44951</v>
      </c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</row>
    <row r="4046" customFormat="false" ht="13.8" hidden="false" customHeight="false" outlineLevel="0" collapsed="false">
      <c r="AA4046" s="7" t="n">
        <f aca="false">AA4045+1</f>
        <v>44952</v>
      </c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</row>
    <row r="4047" customFormat="false" ht="13.8" hidden="false" customHeight="false" outlineLevel="0" collapsed="false">
      <c r="AA4047" s="7" t="n">
        <f aca="false">AA4046+1</f>
        <v>44953</v>
      </c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</row>
    <row r="4048" customFormat="false" ht="13.8" hidden="false" customHeight="false" outlineLevel="0" collapsed="false">
      <c r="AA4048" s="7" t="n">
        <f aca="false">AA4047+1</f>
        <v>44954</v>
      </c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</row>
    <row r="4049" customFormat="false" ht="13.8" hidden="false" customHeight="false" outlineLevel="0" collapsed="false">
      <c r="AA4049" s="7" t="n">
        <f aca="false">AA4048+1</f>
        <v>44955</v>
      </c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</row>
    <row r="4050" customFormat="false" ht="13.8" hidden="false" customHeight="false" outlineLevel="0" collapsed="false">
      <c r="AA4050" s="7" t="n">
        <f aca="false">AA4049+1</f>
        <v>44956</v>
      </c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</row>
    <row r="4051" customFormat="false" ht="13.8" hidden="false" customHeight="false" outlineLevel="0" collapsed="false">
      <c r="AA4051" s="7" t="n">
        <f aca="false">AA4050+1</f>
        <v>44957</v>
      </c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</row>
    <row r="4052" customFormat="false" ht="13.8" hidden="false" customHeight="false" outlineLevel="0" collapsed="false">
      <c r="AA4052" s="7" t="n">
        <f aca="false">AA4051+1</f>
        <v>44958</v>
      </c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</row>
    <row r="4053" customFormat="false" ht="13.8" hidden="false" customHeight="false" outlineLevel="0" collapsed="false">
      <c r="AA4053" s="7" t="n">
        <f aca="false">AA4052+1</f>
        <v>44959</v>
      </c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</row>
    <row r="4054" customFormat="false" ht="13.8" hidden="false" customHeight="false" outlineLevel="0" collapsed="false">
      <c r="AA4054" s="7" t="n">
        <f aca="false">AA4053+1</f>
        <v>44960</v>
      </c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</row>
    <row r="4055" customFormat="false" ht="13.8" hidden="false" customHeight="false" outlineLevel="0" collapsed="false">
      <c r="AA4055" s="7" t="n">
        <f aca="false">AA4054+1</f>
        <v>44961</v>
      </c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</row>
    <row r="4056" customFormat="false" ht="13.8" hidden="false" customHeight="false" outlineLevel="0" collapsed="false">
      <c r="AA4056" s="7" t="n">
        <f aca="false">AA4055+1</f>
        <v>44962</v>
      </c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</row>
    <row r="4057" customFormat="false" ht="13.8" hidden="false" customHeight="false" outlineLevel="0" collapsed="false">
      <c r="AA4057" s="7" t="n">
        <f aca="false">AA4056+1</f>
        <v>44963</v>
      </c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</row>
    <row r="4058" customFormat="false" ht="13.8" hidden="false" customHeight="false" outlineLevel="0" collapsed="false">
      <c r="AA4058" s="7" t="n">
        <f aca="false">AA4057+1</f>
        <v>44964</v>
      </c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</row>
    <row r="4059" customFormat="false" ht="13.8" hidden="false" customHeight="false" outlineLevel="0" collapsed="false">
      <c r="AA4059" s="7" t="n">
        <f aca="false">AA4058+1</f>
        <v>44965</v>
      </c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</row>
    <row r="4060" customFormat="false" ht="13.8" hidden="false" customHeight="false" outlineLevel="0" collapsed="false">
      <c r="AA4060" s="7" t="n">
        <f aca="false">AA4059+1</f>
        <v>44966</v>
      </c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</row>
    <row r="4061" customFormat="false" ht="13.8" hidden="false" customHeight="false" outlineLevel="0" collapsed="false">
      <c r="AA4061" s="7" t="n">
        <f aca="false">AA4060+1</f>
        <v>44967</v>
      </c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</row>
    <row r="4062" customFormat="false" ht="13.8" hidden="false" customHeight="false" outlineLevel="0" collapsed="false">
      <c r="AA4062" s="7" t="n">
        <f aca="false">AA4061+1</f>
        <v>44968</v>
      </c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</row>
    <row r="4063" customFormat="false" ht="13.8" hidden="false" customHeight="false" outlineLevel="0" collapsed="false">
      <c r="AA4063" s="7" t="n">
        <f aca="false">AA4062+1</f>
        <v>44969</v>
      </c>
      <c r="AB4063" s="14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</row>
    <row r="4064" customFormat="false" ht="13.8" hidden="false" customHeight="false" outlineLevel="0" collapsed="false">
      <c r="AA4064" s="7" t="n">
        <f aca="false">AA4063+1</f>
        <v>44970</v>
      </c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</row>
    <row r="4065" customFormat="false" ht="13.8" hidden="false" customHeight="false" outlineLevel="0" collapsed="false">
      <c r="AA4065" s="7" t="n">
        <f aca="false">AA4064+1</f>
        <v>44971</v>
      </c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</row>
    <row r="4066" customFormat="false" ht="13.8" hidden="false" customHeight="false" outlineLevel="0" collapsed="false">
      <c r="AA4066" s="7" t="n">
        <f aca="false">AA4065+1</f>
        <v>44972</v>
      </c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</row>
    <row r="4067" customFormat="false" ht="13.8" hidden="false" customHeight="false" outlineLevel="0" collapsed="false">
      <c r="AA4067" s="7" t="n">
        <f aca="false">AA4066+1</f>
        <v>44973</v>
      </c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</row>
    <row r="4068" customFormat="false" ht="13.8" hidden="false" customHeight="false" outlineLevel="0" collapsed="false">
      <c r="AA4068" s="7" t="n">
        <f aca="false">AA4067+1</f>
        <v>44974</v>
      </c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</row>
    <row r="4069" customFormat="false" ht="13.8" hidden="false" customHeight="false" outlineLevel="0" collapsed="false">
      <c r="AA4069" s="7" t="n">
        <f aca="false">AA4068+1</f>
        <v>44975</v>
      </c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</row>
    <row r="4070" customFormat="false" ht="13.8" hidden="false" customHeight="false" outlineLevel="0" collapsed="false">
      <c r="AA4070" s="7" t="n">
        <f aca="false">AA4069+1</f>
        <v>44976</v>
      </c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</row>
    <row r="4071" customFormat="false" ht="13.8" hidden="false" customHeight="false" outlineLevel="0" collapsed="false">
      <c r="AA4071" s="7" t="n">
        <f aca="false">AA4070+1</f>
        <v>44977</v>
      </c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</row>
    <row r="4072" customFormat="false" ht="13.8" hidden="false" customHeight="false" outlineLevel="0" collapsed="false">
      <c r="AA4072" s="7" t="n">
        <f aca="false">AA4071+1</f>
        <v>44978</v>
      </c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</row>
    <row r="4073" customFormat="false" ht="13.8" hidden="false" customHeight="false" outlineLevel="0" collapsed="false">
      <c r="AA4073" s="7" t="n">
        <f aca="false">AA4072+1</f>
        <v>44979</v>
      </c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</row>
    <row r="4074" customFormat="false" ht="13.8" hidden="false" customHeight="false" outlineLevel="0" collapsed="false">
      <c r="AA4074" s="7" t="n">
        <f aca="false">AA4073+1</f>
        <v>44980</v>
      </c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</row>
    <row r="4075" customFormat="false" ht="13.8" hidden="false" customHeight="false" outlineLevel="0" collapsed="false">
      <c r="AA4075" s="7" t="n">
        <f aca="false">AA4074+1</f>
        <v>44981</v>
      </c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</row>
    <row r="4076" customFormat="false" ht="13.8" hidden="false" customHeight="false" outlineLevel="0" collapsed="false">
      <c r="AA4076" s="7" t="n">
        <f aca="false">AA4075+1</f>
        <v>44982</v>
      </c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</row>
    <row r="4077" customFormat="false" ht="13.8" hidden="false" customHeight="false" outlineLevel="0" collapsed="false">
      <c r="AA4077" s="7" t="n">
        <f aca="false">AA4076+1</f>
        <v>44983</v>
      </c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</row>
    <row r="4078" customFormat="false" ht="13.8" hidden="false" customHeight="false" outlineLevel="0" collapsed="false">
      <c r="AA4078" s="7" t="n">
        <f aca="false">AA4077+1</f>
        <v>44984</v>
      </c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</row>
    <row r="4079" customFormat="false" ht="13.8" hidden="false" customHeight="false" outlineLevel="0" collapsed="false">
      <c r="AA4079" s="7" t="n">
        <f aca="false">AA4078+1</f>
        <v>44985</v>
      </c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</row>
    <row r="4080" customFormat="false" ht="13.8" hidden="false" customHeight="false" outlineLevel="0" collapsed="false">
      <c r="AA4080" s="7" t="n">
        <f aca="false">AA4079+1</f>
        <v>44986</v>
      </c>
      <c r="AB4080" s="14"/>
      <c r="AC4080" s="14"/>
      <c r="AD4080" s="14"/>
      <c r="AE4080" s="14"/>
      <c r="AF4080" s="14"/>
      <c r="AG4080" s="14"/>
      <c r="AH4080" s="14"/>
      <c r="AI4080" s="14"/>
      <c r="AJ4080" s="14"/>
      <c r="AK4080" s="14"/>
      <c r="AL4080" s="14"/>
      <c r="AM4080" s="14"/>
    </row>
    <row r="4081" customFormat="false" ht="13.8" hidden="false" customHeight="false" outlineLevel="0" collapsed="false">
      <c r="AA4081" s="7" t="n">
        <f aca="false">AA4080+1</f>
        <v>44987</v>
      </c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</row>
    <row r="4082" customFormat="false" ht="13.8" hidden="false" customHeight="false" outlineLevel="0" collapsed="false">
      <c r="AA4082" s="7" t="n">
        <f aca="false">AA4081+1</f>
        <v>44988</v>
      </c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</row>
    <row r="4083" customFormat="false" ht="13.8" hidden="false" customHeight="false" outlineLevel="0" collapsed="false">
      <c r="AA4083" s="7" t="n">
        <f aca="false">AA4082+1</f>
        <v>44989</v>
      </c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</row>
    <row r="4084" customFormat="false" ht="13.8" hidden="false" customHeight="false" outlineLevel="0" collapsed="false">
      <c r="AA4084" s="7" t="n">
        <f aca="false">AA4083+1</f>
        <v>44990</v>
      </c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</row>
    <row r="4085" customFormat="false" ht="13.8" hidden="false" customHeight="false" outlineLevel="0" collapsed="false">
      <c r="AA4085" s="7" t="n">
        <f aca="false">AA4084+1</f>
        <v>44991</v>
      </c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</row>
    <row r="4086" customFormat="false" ht="13.8" hidden="false" customHeight="false" outlineLevel="0" collapsed="false">
      <c r="AA4086" s="7" t="n">
        <f aca="false">AA4085+1</f>
        <v>44992</v>
      </c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</row>
    <row r="4087" customFormat="false" ht="13.8" hidden="false" customHeight="false" outlineLevel="0" collapsed="false">
      <c r="AA4087" s="7" t="n">
        <f aca="false">AA4086+1</f>
        <v>44993</v>
      </c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</row>
    <row r="4088" customFormat="false" ht="13.8" hidden="false" customHeight="false" outlineLevel="0" collapsed="false">
      <c r="AA4088" s="7" t="n">
        <f aca="false">AA4087+1</f>
        <v>44994</v>
      </c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</row>
    <row r="4089" customFormat="false" ht="13.8" hidden="false" customHeight="false" outlineLevel="0" collapsed="false">
      <c r="AA4089" s="7" t="n">
        <f aca="false">AA4088+1</f>
        <v>44995</v>
      </c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</row>
    <row r="4090" customFormat="false" ht="13.8" hidden="false" customHeight="false" outlineLevel="0" collapsed="false">
      <c r="AA4090" s="7" t="n">
        <f aca="false">AA4089+1</f>
        <v>44996</v>
      </c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</row>
    <row r="4091" customFormat="false" ht="13.8" hidden="false" customHeight="false" outlineLevel="0" collapsed="false">
      <c r="AA4091" s="7" t="n">
        <f aca="false">AA4090+1</f>
        <v>44997</v>
      </c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</row>
    <row r="4092" customFormat="false" ht="13.8" hidden="false" customHeight="false" outlineLevel="0" collapsed="false">
      <c r="AA4092" s="7" t="n">
        <f aca="false">AA4091+1</f>
        <v>44998</v>
      </c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</row>
    <row r="4093" customFormat="false" ht="13.8" hidden="false" customHeight="false" outlineLevel="0" collapsed="false">
      <c r="AA4093" s="7" t="n">
        <f aca="false">AA4092+1</f>
        <v>44999</v>
      </c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</row>
    <row r="4094" customFormat="false" ht="13.8" hidden="false" customHeight="false" outlineLevel="0" collapsed="false">
      <c r="AA4094" s="7" t="n">
        <f aca="false">AA4093+1</f>
        <v>45000</v>
      </c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</row>
    <row r="4095" customFormat="false" ht="13.8" hidden="false" customHeight="false" outlineLevel="0" collapsed="false">
      <c r="AA4095" s="7" t="n">
        <f aca="false">AA4094+1</f>
        <v>45001</v>
      </c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</row>
    <row r="4096" customFormat="false" ht="13.8" hidden="false" customHeight="false" outlineLevel="0" collapsed="false">
      <c r="AA4096" s="7" t="n">
        <f aca="false">AA4095+1</f>
        <v>45002</v>
      </c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</row>
    <row r="4097" customFormat="false" ht="13.8" hidden="false" customHeight="false" outlineLevel="0" collapsed="false">
      <c r="AA4097" s="7" t="n">
        <f aca="false">AA4096+1</f>
        <v>45003</v>
      </c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</row>
    <row r="4098" customFormat="false" ht="13.8" hidden="false" customHeight="false" outlineLevel="0" collapsed="false">
      <c r="AA4098" s="7" t="n">
        <f aca="false">AA4097+1</f>
        <v>45004</v>
      </c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</row>
    <row r="4099" customFormat="false" ht="13.8" hidden="false" customHeight="false" outlineLevel="0" collapsed="false">
      <c r="AA4099" s="7" t="n">
        <f aca="false">AA4098+1</f>
        <v>45005</v>
      </c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</row>
    <row r="4100" customFormat="false" ht="13.8" hidden="false" customHeight="false" outlineLevel="0" collapsed="false">
      <c r="AA4100" s="7" t="n">
        <f aca="false">AA4099+1</f>
        <v>45006</v>
      </c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</row>
    <row r="4101" customFormat="false" ht="13.8" hidden="false" customHeight="false" outlineLevel="0" collapsed="false">
      <c r="AA4101" s="7" t="n">
        <f aca="false">AA4100+1</f>
        <v>45007</v>
      </c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</row>
    <row r="4102" customFormat="false" ht="13.8" hidden="false" customHeight="false" outlineLevel="0" collapsed="false">
      <c r="AA4102" s="7" t="n">
        <f aca="false">AA4101+1</f>
        <v>45008</v>
      </c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</row>
    <row r="4103" customFormat="false" ht="13.8" hidden="false" customHeight="false" outlineLevel="0" collapsed="false">
      <c r="AA4103" s="7" t="n">
        <f aca="false">AA4102+1</f>
        <v>45009</v>
      </c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</row>
    <row r="4104" customFormat="false" ht="13.8" hidden="false" customHeight="false" outlineLevel="0" collapsed="false">
      <c r="AA4104" s="7" t="n">
        <f aca="false">AA4103+1</f>
        <v>45010</v>
      </c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</row>
    <row r="4105" customFormat="false" ht="13.8" hidden="false" customHeight="false" outlineLevel="0" collapsed="false">
      <c r="AA4105" s="7" t="n">
        <f aca="false">AA4104+1</f>
        <v>45011</v>
      </c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</row>
    <row r="4106" customFormat="false" ht="13.8" hidden="false" customHeight="false" outlineLevel="0" collapsed="false">
      <c r="AA4106" s="7" t="n">
        <f aca="false">AA4105+1</f>
        <v>45012</v>
      </c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</row>
    <row r="4107" customFormat="false" ht="13.8" hidden="false" customHeight="false" outlineLevel="0" collapsed="false">
      <c r="AA4107" s="7" t="n">
        <f aca="false">AA4106+1</f>
        <v>45013</v>
      </c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</row>
    <row r="4108" customFormat="false" ht="13.8" hidden="false" customHeight="false" outlineLevel="0" collapsed="false">
      <c r="AA4108" s="7" t="n">
        <f aca="false">AA4107+1</f>
        <v>45014</v>
      </c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</row>
    <row r="4109" customFormat="false" ht="13.8" hidden="false" customHeight="false" outlineLevel="0" collapsed="false">
      <c r="AA4109" s="7" t="n">
        <f aca="false">AA4108+1</f>
        <v>45015</v>
      </c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</row>
    <row r="4110" customFormat="false" ht="13.8" hidden="false" customHeight="false" outlineLevel="0" collapsed="false">
      <c r="AA4110" s="7" t="n">
        <f aca="false">AA4109+1</f>
        <v>45016</v>
      </c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</row>
    <row r="4111" customFormat="false" ht="13.8" hidden="false" customHeight="false" outlineLevel="0" collapsed="false">
      <c r="AA4111" s="7" t="n">
        <f aca="false">AA4110+1</f>
        <v>45017</v>
      </c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</row>
    <row r="4112" customFormat="false" ht="13.8" hidden="false" customHeight="false" outlineLevel="0" collapsed="false">
      <c r="AA4112" s="7" t="n">
        <f aca="false">AA4111+1</f>
        <v>45018</v>
      </c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</row>
    <row r="4113" customFormat="false" ht="13.8" hidden="false" customHeight="false" outlineLevel="0" collapsed="false">
      <c r="AA4113" s="7" t="n">
        <f aca="false">AA4112+1</f>
        <v>45019</v>
      </c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</row>
    <row r="4114" customFormat="false" ht="13.8" hidden="false" customHeight="false" outlineLevel="0" collapsed="false">
      <c r="AA4114" s="7" t="n">
        <f aca="false">AA4113+1</f>
        <v>45020</v>
      </c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</row>
    <row r="4115" customFormat="false" ht="13.8" hidden="false" customHeight="false" outlineLevel="0" collapsed="false">
      <c r="AA4115" s="7" t="n">
        <f aca="false">AA4114+1</f>
        <v>45021</v>
      </c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</row>
    <row r="4116" customFormat="false" ht="13.8" hidden="false" customHeight="false" outlineLevel="0" collapsed="false">
      <c r="AA4116" s="7" t="n">
        <f aca="false">AA4115+1</f>
        <v>45022</v>
      </c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</row>
    <row r="4117" customFormat="false" ht="13.8" hidden="false" customHeight="false" outlineLevel="0" collapsed="false">
      <c r="AA4117" s="7" t="n">
        <f aca="false">AA4116+1</f>
        <v>45023</v>
      </c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</row>
    <row r="4118" customFormat="false" ht="13.8" hidden="false" customHeight="false" outlineLevel="0" collapsed="false">
      <c r="AA4118" s="7" t="n">
        <f aca="false">AA4117+1</f>
        <v>45024</v>
      </c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</row>
    <row r="4119" customFormat="false" ht="13.8" hidden="false" customHeight="false" outlineLevel="0" collapsed="false">
      <c r="AA4119" s="7" t="n">
        <f aca="false">AA4118+1</f>
        <v>45025</v>
      </c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</row>
    <row r="4120" customFormat="false" ht="13.8" hidden="false" customHeight="false" outlineLevel="0" collapsed="false">
      <c r="AA4120" s="7" t="n">
        <f aca="false">AA4119+1</f>
        <v>45026</v>
      </c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</row>
    <row r="4121" customFormat="false" ht="13.8" hidden="false" customHeight="false" outlineLevel="0" collapsed="false">
      <c r="AA4121" s="7" t="n">
        <f aca="false">AA4120+1</f>
        <v>45027</v>
      </c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</row>
    <row r="4122" customFormat="false" ht="13.8" hidden="false" customHeight="false" outlineLevel="0" collapsed="false">
      <c r="AA4122" s="7" t="n">
        <f aca="false">AA4121+1</f>
        <v>45028</v>
      </c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</row>
    <row r="4123" customFormat="false" ht="13.8" hidden="false" customHeight="false" outlineLevel="0" collapsed="false">
      <c r="AA4123" s="7" t="n">
        <f aca="false">AA4122+1</f>
        <v>45029</v>
      </c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</row>
    <row r="4124" customFormat="false" ht="13.8" hidden="false" customHeight="false" outlineLevel="0" collapsed="false">
      <c r="AA4124" s="7" t="n">
        <f aca="false">AA4123+1</f>
        <v>45030</v>
      </c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</row>
    <row r="4125" customFormat="false" ht="13.8" hidden="false" customHeight="false" outlineLevel="0" collapsed="false">
      <c r="AA4125" s="7" t="n">
        <f aca="false">AA4124+1</f>
        <v>45031</v>
      </c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</row>
    <row r="4126" customFormat="false" ht="13.8" hidden="false" customHeight="false" outlineLevel="0" collapsed="false">
      <c r="AA4126" s="7" t="n">
        <f aca="false">AA4125+1</f>
        <v>45032</v>
      </c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</row>
    <row r="4127" customFormat="false" ht="13.8" hidden="false" customHeight="false" outlineLevel="0" collapsed="false">
      <c r="AA4127" s="7" t="n">
        <f aca="false">AA4126+1</f>
        <v>45033</v>
      </c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</row>
    <row r="4128" customFormat="false" ht="13.8" hidden="false" customHeight="false" outlineLevel="0" collapsed="false">
      <c r="AA4128" s="7" t="n">
        <f aca="false">AA4127+1</f>
        <v>45034</v>
      </c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</row>
    <row r="4129" customFormat="false" ht="13.8" hidden="false" customHeight="false" outlineLevel="0" collapsed="false">
      <c r="AA4129" s="7" t="n">
        <f aca="false">AA4128+1</f>
        <v>45035</v>
      </c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</row>
    <row r="4130" customFormat="false" ht="13.8" hidden="false" customHeight="false" outlineLevel="0" collapsed="false">
      <c r="AA4130" s="7" t="n">
        <f aca="false">AA4129+1</f>
        <v>45036</v>
      </c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</row>
    <row r="4131" customFormat="false" ht="13.8" hidden="false" customHeight="false" outlineLevel="0" collapsed="false">
      <c r="AA4131" s="7" t="n">
        <f aca="false">AA4130+1</f>
        <v>45037</v>
      </c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</row>
    <row r="4132" customFormat="false" ht="13.8" hidden="false" customHeight="false" outlineLevel="0" collapsed="false">
      <c r="AA4132" s="7" t="n">
        <f aca="false">AA4131+1</f>
        <v>45038</v>
      </c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</row>
    <row r="4133" customFormat="false" ht="13.8" hidden="false" customHeight="false" outlineLevel="0" collapsed="false">
      <c r="AA4133" s="7" t="n">
        <f aca="false">AA4132+1</f>
        <v>45039</v>
      </c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</row>
    <row r="4134" customFormat="false" ht="13.8" hidden="false" customHeight="false" outlineLevel="0" collapsed="false">
      <c r="AA4134" s="7" t="n">
        <f aca="false">AA4133+1</f>
        <v>45040</v>
      </c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</row>
    <row r="4135" customFormat="false" ht="13.8" hidden="false" customHeight="false" outlineLevel="0" collapsed="false">
      <c r="AA4135" s="7" t="n">
        <f aca="false">AA4134+1</f>
        <v>45041</v>
      </c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</row>
    <row r="4136" customFormat="false" ht="13.8" hidden="false" customHeight="false" outlineLevel="0" collapsed="false">
      <c r="AA4136" s="7" t="n">
        <f aca="false">AA4135+1</f>
        <v>45042</v>
      </c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</row>
    <row r="4137" customFormat="false" ht="13.8" hidden="false" customHeight="false" outlineLevel="0" collapsed="false">
      <c r="AA4137" s="7" t="n">
        <f aca="false">AA4136+1</f>
        <v>45043</v>
      </c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</row>
    <row r="4138" customFormat="false" ht="13.8" hidden="false" customHeight="false" outlineLevel="0" collapsed="false">
      <c r="AA4138" s="7" t="n">
        <f aca="false">AA4137+1</f>
        <v>45044</v>
      </c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</row>
    <row r="4139" customFormat="false" ht="13.8" hidden="false" customHeight="false" outlineLevel="0" collapsed="false">
      <c r="AA4139" s="7" t="n">
        <f aca="false">AA4138+1</f>
        <v>45045</v>
      </c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</row>
    <row r="4140" customFormat="false" ht="13.8" hidden="false" customHeight="false" outlineLevel="0" collapsed="false">
      <c r="AA4140" s="7" t="n">
        <f aca="false">AA4139+1</f>
        <v>45046</v>
      </c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</row>
    <row r="4141" customFormat="false" ht="13.8" hidden="false" customHeight="false" outlineLevel="0" collapsed="false">
      <c r="AA4141" s="7" t="n">
        <f aca="false">AA4140+1</f>
        <v>45047</v>
      </c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</row>
    <row r="4142" customFormat="false" ht="13.8" hidden="false" customHeight="false" outlineLevel="0" collapsed="false">
      <c r="AA4142" s="7" t="n">
        <f aca="false">AA4141+1</f>
        <v>45048</v>
      </c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</row>
    <row r="4143" customFormat="false" ht="13.8" hidden="false" customHeight="false" outlineLevel="0" collapsed="false">
      <c r="AA4143" s="7" t="n">
        <f aca="false">AA4142+1</f>
        <v>45049</v>
      </c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</row>
    <row r="4144" customFormat="false" ht="13.8" hidden="false" customHeight="false" outlineLevel="0" collapsed="false">
      <c r="AA4144" s="7" t="n">
        <f aca="false">AA4143+1</f>
        <v>45050</v>
      </c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</row>
    <row r="4145" customFormat="false" ht="13.8" hidden="false" customHeight="false" outlineLevel="0" collapsed="false">
      <c r="AA4145" s="7" t="n">
        <f aca="false">AA4144+1</f>
        <v>45051</v>
      </c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</row>
    <row r="4146" customFormat="false" ht="13.8" hidden="false" customHeight="false" outlineLevel="0" collapsed="false">
      <c r="AA4146" s="7" t="n">
        <f aca="false">AA4145+1</f>
        <v>45052</v>
      </c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</row>
    <row r="4147" customFormat="false" ht="13.8" hidden="false" customHeight="false" outlineLevel="0" collapsed="false">
      <c r="AA4147" s="7" t="n">
        <f aca="false">AA4146+1</f>
        <v>45053</v>
      </c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</row>
    <row r="4148" customFormat="false" ht="13.8" hidden="false" customHeight="false" outlineLevel="0" collapsed="false">
      <c r="AA4148" s="7" t="n">
        <f aca="false">AA4147+1</f>
        <v>45054</v>
      </c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</row>
    <row r="4149" customFormat="false" ht="13.8" hidden="false" customHeight="false" outlineLevel="0" collapsed="false">
      <c r="AA4149" s="7" t="n">
        <f aca="false">AA4148+1</f>
        <v>45055</v>
      </c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</row>
    <row r="4150" customFormat="false" ht="13.8" hidden="false" customHeight="false" outlineLevel="0" collapsed="false">
      <c r="AA4150" s="7" t="n">
        <f aca="false">AA4149+1</f>
        <v>45056</v>
      </c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</row>
    <row r="4151" customFormat="false" ht="13.8" hidden="false" customHeight="false" outlineLevel="0" collapsed="false">
      <c r="AA4151" s="7" t="n">
        <f aca="false">AA4150+1</f>
        <v>45057</v>
      </c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</row>
    <row r="4152" customFormat="false" ht="13.8" hidden="false" customHeight="false" outlineLevel="0" collapsed="false">
      <c r="AA4152" s="7" t="n">
        <f aca="false">AA4151+1</f>
        <v>45058</v>
      </c>
      <c r="AB4152" s="14"/>
      <c r="AC4152" s="14"/>
      <c r="AD4152" s="14"/>
      <c r="AE4152" s="14"/>
      <c r="AF4152" s="14"/>
      <c r="AG4152" s="14"/>
      <c r="AH4152" s="14"/>
      <c r="AI4152" s="14"/>
      <c r="AJ4152" s="14"/>
      <c r="AK4152" s="14"/>
      <c r="AL4152" s="14"/>
      <c r="AM4152" s="14"/>
    </row>
    <row r="4153" customFormat="false" ht="13.8" hidden="false" customHeight="false" outlineLevel="0" collapsed="false">
      <c r="AA4153" s="7" t="n">
        <f aca="false">AA4152+1</f>
        <v>45059</v>
      </c>
      <c r="AB4153" s="14"/>
      <c r="AC4153" s="14"/>
      <c r="AD4153" s="14"/>
      <c r="AE4153" s="14"/>
      <c r="AF4153" s="14"/>
      <c r="AG4153" s="14"/>
      <c r="AH4153" s="14"/>
      <c r="AI4153" s="14"/>
      <c r="AJ4153" s="14"/>
      <c r="AK4153" s="14"/>
      <c r="AL4153" s="14"/>
      <c r="AM4153" s="14"/>
    </row>
    <row r="4154" customFormat="false" ht="13.8" hidden="false" customHeight="false" outlineLevel="0" collapsed="false">
      <c r="AA4154" s="7" t="n">
        <f aca="false">AA4153+1</f>
        <v>45060</v>
      </c>
      <c r="AB4154" s="14"/>
      <c r="AC4154" s="14"/>
      <c r="AD4154" s="14"/>
      <c r="AE4154" s="14"/>
      <c r="AF4154" s="14"/>
      <c r="AG4154" s="14"/>
      <c r="AH4154" s="14"/>
      <c r="AI4154" s="14"/>
      <c r="AJ4154" s="14"/>
      <c r="AK4154" s="14"/>
      <c r="AL4154" s="14"/>
      <c r="AM4154" s="14"/>
    </row>
    <row r="4155" customFormat="false" ht="13.8" hidden="false" customHeight="false" outlineLevel="0" collapsed="false">
      <c r="AA4155" s="7" t="n">
        <f aca="false">AA4154+1</f>
        <v>45061</v>
      </c>
      <c r="AB4155" s="14"/>
      <c r="AC4155" s="14"/>
      <c r="AD4155" s="14"/>
      <c r="AE4155" s="14"/>
      <c r="AF4155" s="14"/>
      <c r="AG4155" s="14"/>
      <c r="AH4155" s="14"/>
      <c r="AI4155" s="14"/>
      <c r="AJ4155" s="14"/>
      <c r="AK4155" s="14"/>
      <c r="AL4155" s="14"/>
      <c r="AM4155" s="14"/>
    </row>
    <row r="4156" customFormat="false" ht="13.8" hidden="false" customHeight="false" outlineLevel="0" collapsed="false">
      <c r="AA4156" s="7" t="n">
        <f aca="false">AA4155+1</f>
        <v>45062</v>
      </c>
      <c r="AB4156" s="14"/>
      <c r="AC4156" s="14"/>
      <c r="AD4156" s="14"/>
      <c r="AE4156" s="14"/>
      <c r="AF4156" s="14"/>
      <c r="AG4156" s="14"/>
      <c r="AH4156" s="14"/>
      <c r="AI4156" s="14"/>
      <c r="AJ4156" s="14"/>
      <c r="AK4156" s="14"/>
      <c r="AL4156" s="14"/>
      <c r="AM4156" s="14"/>
    </row>
    <row r="4157" customFormat="false" ht="13.8" hidden="false" customHeight="false" outlineLevel="0" collapsed="false">
      <c r="AA4157" s="7" t="n">
        <f aca="false">AA4156+1</f>
        <v>45063</v>
      </c>
      <c r="AB4157" s="14"/>
      <c r="AC4157" s="14"/>
      <c r="AD4157" s="14"/>
      <c r="AE4157" s="14"/>
      <c r="AF4157" s="14"/>
      <c r="AG4157" s="14"/>
      <c r="AH4157" s="14"/>
      <c r="AI4157" s="14"/>
      <c r="AJ4157" s="14"/>
      <c r="AK4157" s="14"/>
      <c r="AL4157" s="14"/>
      <c r="AM4157" s="14"/>
    </row>
    <row r="4158" customFormat="false" ht="13.8" hidden="false" customHeight="false" outlineLevel="0" collapsed="false">
      <c r="AA4158" s="7" t="n">
        <f aca="false">AA4157+1</f>
        <v>45064</v>
      </c>
      <c r="AB4158" s="14"/>
      <c r="AC4158" s="14"/>
      <c r="AD4158" s="14"/>
      <c r="AE4158" s="14"/>
      <c r="AF4158" s="14"/>
      <c r="AG4158" s="14"/>
      <c r="AH4158" s="14"/>
      <c r="AI4158" s="14"/>
      <c r="AJ4158" s="14"/>
      <c r="AK4158" s="14"/>
      <c r="AL4158" s="14"/>
      <c r="AM4158" s="14"/>
    </row>
    <row r="4159" customFormat="false" ht="13.8" hidden="false" customHeight="false" outlineLevel="0" collapsed="false">
      <c r="AA4159" s="7" t="n">
        <f aca="false">AA4158+1</f>
        <v>45065</v>
      </c>
      <c r="AB4159" s="14"/>
      <c r="AC4159" s="14"/>
      <c r="AD4159" s="14"/>
      <c r="AE4159" s="14"/>
      <c r="AF4159" s="14"/>
      <c r="AG4159" s="14"/>
      <c r="AH4159" s="14"/>
      <c r="AI4159" s="14"/>
      <c r="AJ4159" s="14"/>
      <c r="AK4159" s="14"/>
      <c r="AL4159" s="14"/>
      <c r="AM4159" s="14"/>
    </row>
    <row r="4160" customFormat="false" ht="13.8" hidden="false" customHeight="false" outlineLevel="0" collapsed="false">
      <c r="AA4160" s="7" t="n">
        <f aca="false">AA4159+1</f>
        <v>45066</v>
      </c>
      <c r="AB4160" s="14"/>
      <c r="AC4160" s="14"/>
      <c r="AD4160" s="14"/>
      <c r="AE4160" s="14"/>
      <c r="AF4160" s="14"/>
      <c r="AG4160" s="14"/>
      <c r="AH4160" s="14"/>
      <c r="AI4160" s="14"/>
      <c r="AJ4160" s="14"/>
      <c r="AK4160" s="14"/>
      <c r="AL4160" s="14"/>
      <c r="AM4160" s="14"/>
    </row>
    <row r="4161" customFormat="false" ht="13.8" hidden="false" customHeight="false" outlineLevel="0" collapsed="false">
      <c r="AA4161" s="7" t="n">
        <f aca="false">AA4160+1</f>
        <v>45067</v>
      </c>
      <c r="AB4161" s="14"/>
      <c r="AC4161" s="14"/>
      <c r="AD4161" s="14"/>
      <c r="AE4161" s="14"/>
      <c r="AF4161" s="14"/>
      <c r="AG4161" s="14"/>
      <c r="AH4161" s="14"/>
      <c r="AI4161" s="14"/>
      <c r="AJ4161" s="14"/>
      <c r="AK4161" s="14"/>
      <c r="AL4161" s="14"/>
      <c r="AM4161" s="14"/>
    </row>
    <row r="4162" customFormat="false" ht="13.8" hidden="false" customHeight="false" outlineLevel="0" collapsed="false">
      <c r="AA4162" s="7" t="n">
        <f aca="false">AA4161+1</f>
        <v>45068</v>
      </c>
      <c r="AB4162" s="14"/>
      <c r="AC4162" s="14"/>
      <c r="AD4162" s="14"/>
      <c r="AE4162" s="14"/>
      <c r="AF4162" s="14"/>
      <c r="AG4162" s="14"/>
      <c r="AH4162" s="14"/>
      <c r="AI4162" s="14"/>
      <c r="AJ4162" s="14"/>
      <c r="AK4162" s="14"/>
      <c r="AL4162" s="14"/>
      <c r="AM4162" s="14"/>
    </row>
    <row r="4163" customFormat="false" ht="13.8" hidden="false" customHeight="false" outlineLevel="0" collapsed="false">
      <c r="AA4163" s="7" t="n">
        <f aca="false">AA4162+1</f>
        <v>45069</v>
      </c>
      <c r="AB4163" s="14"/>
      <c r="AC4163" s="14"/>
      <c r="AD4163" s="14"/>
      <c r="AE4163" s="14"/>
      <c r="AF4163" s="14"/>
      <c r="AG4163" s="14"/>
      <c r="AH4163" s="14"/>
      <c r="AI4163" s="14"/>
      <c r="AJ4163" s="14"/>
      <c r="AK4163" s="14"/>
      <c r="AL4163" s="14"/>
      <c r="AM4163" s="14"/>
    </row>
    <row r="4164" customFormat="false" ht="13.8" hidden="false" customHeight="false" outlineLevel="0" collapsed="false">
      <c r="AA4164" s="7" t="n">
        <f aca="false">AA4163+1</f>
        <v>45070</v>
      </c>
      <c r="AB4164" s="14"/>
      <c r="AC4164" s="14"/>
      <c r="AD4164" s="14"/>
      <c r="AE4164" s="14"/>
      <c r="AF4164" s="14"/>
      <c r="AG4164" s="14"/>
      <c r="AH4164" s="14"/>
      <c r="AI4164" s="14"/>
      <c r="AJ4164" s="14"/>
      <c r="AK4164" s="14"/>
      <c r="AL4164" s="14"/>
      <c r="AM4164" s="14"/>
    </row>
    <row r="4165" customFormat="false" ht="13.8" hidden="false" customHeight="false" outlineLevel="0" collapsed="false">
      <c r="AA4165" s="7" t="n">
        <f aca="false">AA4164+1</f>
        <v>45071</v>
      </c>
      <c r="AB4165" s="14"/>
      <c r="AC4165" s="14"/>
      <c r="AD4165" s="14"/>
      <c r="AE4165" s="14"/>
      <c r="AF4165" s="14"/>
      <c r="AG4165" s="14"/>
      <c r="AH4165" s="14"/>
      <c r="AI4165" s="14"/>
      <c r="AJ4165" s="14"/>
      <c r="AK4165" s="14"/>
      <c r="AL4165" s="14"/>
      <c r="AM4165" s="14"/>
    </row>
    <row r="4166" customFormat="false" ht="13.8" hidden="false" customHeight="false" outlineLevel="0" collapsed="false">
      <c r="AA4166" s="7" t="n">
        <f aca="false">AA4165+1</f>
        <v>45072</v>
      </c>
      <c r="AB4166" s="14"/>
      <c r="AC4166" s="14"/>
      <c r="AD4166" s="14"/>
      <c r="AE4166" s="14"/>
      <c r="AF4166" s="14"/>
      <c r="AG4166" s="14"/>
      <c r="AH4166" s="14"/>
      <c r="AI4166" s="14"/>
      <c r="AJ4166" s="14"/>
      <c r="AK4166" s="14"/>
      <c r="AL4166" s="14"/>
      <c r="AM4166" s="14"/>
    </row>
    <row r="4167" customFormat="false" ht="13.8" hidden="false" customHeight="false" outlineLevel="0" collapsed="false">
      <c r="AA4167" s="7" t="n">
        <f aca="false">AA4166+1</f>
        <v>45073</v>
      </c>
      <c r="AB4167" s="14"/>
      <c r="AC4167" s="14"/>
      <c r="AD4167" s="14"/>
      <c r="AE4167" s="14"/>
      <c r="AF4167" s="14"/>
      <c r="AG4167" s="14"/>
      <c r="AH4167" s="14"/>
      <c r="AI4167" s="14"/>
      <c r="AJ4167" s="14"/>
      <c r="AK4167" s="14"/>
      <c r="AL4167" s="14"/>
      <c r="AM4167" s="14"/>
    </row>
    <row r="4168" customFormat="false" ht="13.8" hidden="false" customHeight="false" outlineLevel="0" collapsed="false">
      <c r="AA4168" s="7" t="n">
        <f aca="false">AA4167+1</f>
        <v>45074</v>
      </c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</row>
    <row r="4169" customFormat="false" ht="13.8" hidden="false" customHeight="false" outlineLevel="0" collapsed="false">
      <c r="AA4169" s="7" t="n">
        <f aca="false">AA4168+1</f>
        <v>45075</v>
      </c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</row>
    <row r="4170" customFormat="false" ht="13.8" hidden="false" customHeight="false" outlineLevel="0" collapsed="false">
      <c r="AA4170" s="7" t="n">
        <f aca="false">AA4169+1</f>
        <v>45076</v>
      </c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</row>
    <row r="4171" customFormat="false" ht="13.8" hidden="false" customHeight="false" outlineLevel="0" collapsed="false">
      <c r="AA4171" s="7" t="n">
        <f aca="false">AA4170+1</f>
        <v>45077</v>
      </c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</row>
    <row r="4172" customFormat="false" ht="13.8" hidden="false" customHeight="false" outlineLevel="0" collapsed="false">
      <c r="AA4172" s="7" t="n">
        <f aca="false">AA4171+1</f>
        <v>45078</v>
      </c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</row>
    <row r="4173" customFormat="false" ht="13.8" hidden="false" customHeight="false" outlineLevel="0" collapsed="false">
      <c r="AA4173" s="7" t="n">
        <f aca="false">AA4172+1</f>
        <v>45079</v>
      </c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</row>
    <row r="4174" customFormat="false" ht="13.8" hidden="false" customHeight="false" outlineLevel="0" collapsed="false">
      <c r="AA4174" s="7" t="n">
        <f aca="false">AA4173+1</f>
        <v>45080</v>
      </c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</row>
    <row r="4175" customFormat="false" ht="13.8" hidden="false" customHeight="false" outlineLevel="0" collapsed="false">
      <c r="AA4175" s="7" t="n">
        <f aca="false">AA4174+1</f>
        <v>45081</v>
      </c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</row>
    <row r="4176" customFormat="false" ht="13.8" hidden="false" customHeight="false" outlineLevel="0" collapsed="false">
      <c r="AA4176" s="7" t="n">
        <f aca="false">AA4175+1</f>
        <v>45082</v>
      </c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</row>
    <row r="4177" customFormat="false" ht="13.8" hidden="false" customHeight="false" outlineLevel="0" collapsed="false">
      <c r="AA4177" s="7" t="n">
        <f aca="false">AA4176+1</f>
        <v>45083</v>
      </c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</row>
    <row r="4178" customFormat="false" ht="13.8" hidden="false" customHeight="false" outlineLevel="0" collapsed="false">
      <c r="AA4178" s="7" t="n">
        <f aca="false">AA4177+1</f>
        <v>45084</v>
      </c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</row>
    <row r="4179" customFormat="false" ht="13.8" hidden="false" customHeight="false" outlineLevel="0" collapsed="false">
      <c r="AA4179" s="7" t="n">
        <f aca="false">AA4178+1</f>
        <v>45085</v>
      </c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</row>
    <row r="4180" customFormat="false" ht="13.8" hidden="false" customHeight="false" outlineLevel="0" collapsed="false">
      <c r="AA4180" s="7" t="n">
        <f aca="false">AA4179+1</f>
        <v>45086</v>
      </c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</row>
    <row r="4181" customFormat="false" ht="13.8" hidden="false" customHeight="false" outlineLevel="0" collapsed="false">
      <c r="AA4181" s="7" t="n">
        <f aca="false">AA4180+1</f>
        <v>45087</v>
      </c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</row>
    <row r="4182" customFormat="false" ht="13.8" hidden="false" customHeight="false" outlineLevel="0" collapsed="false">
      <c r="AA4182" s="7" t="n">
        <f aca="false">AA4181+1</f>
        <v>45088</v>
      </c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</row>
    <row r="4183" customFormat="false" ht="13.8" hidden="false" customHeight="false" outlineLevel="0" collapsed="false">
      <c r="AA4183" s="7" t="n">
        <f aca="false">AA4182+1</f>
        <v>45089</v>
      </c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</row>
    <row r="4184" customFormat="false" ht="13.8" hidden="false" customHeight="false" outlineLevel="0" collapsed="false">
      <c r="AA4184" s="7" t="n">
        <f aca="false">AA4183+1</f>
        <v>45090</v>
      </c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</row>
    <row r="4185" customFormat="false" ht="13.8" hidden="false" customHeight="false" outlineLevel="0" collapsed="false">
      <c r="AA4185" s="7" t="n">
        <f aca="false">AA4184+1</f>
        <v>45091</v>
      </c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</row>
    <row r="4186" customFormat="false" ht="13.8" hidden="false" customHeight="false" outlineLevel="0" collapsed="false">
      <c r="AA4186" s="7" t="n">
        <f aca="false">AA4185+1</f>
        <v>45092</v>
      </c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</row>
    <row r="4187" customFormat="false" ht="13.8" hidden="false" customHeight="false" outlineLevel="0" collapsed="false">
      <c r="AA4187" s="7" t="n">
        <f aca="false">AA4186+1</f>
        <v>45093</v>
      </c>
      <c r="AB4187" s="14"/>
      <c r="AC4187" s="14"/>
      <c r="AD4187" s="14"/>
      <c r="AE4187" s="14"/>
      <c r="AF4187" s="14"/>
      <c r="AG4187" s="14"/>
      <c r="AH4187" s="14"/>
      <c r="AI4187" s="14"/>
      <c r="AJ4187" s="14"/>
      <c r="AK4187" s="14"/>
      <c r="AL4187" s="14"/>
      <c r="AM4187" s="14"/>
    </row>
    <row r="4188" customFormat="false" ht="13.8" hidden="false" customHeight="false" outlineLevel="0" collapsed="false">
      <c r="AA4188" s="7" t="n">
        <f aca="false">AA4187+1</f>
        <v>45094</v>
      </c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</row>
    <row r="4189" customFormat="false" ht="13.8" hidden="false" customHeight="false" outlineLevel="0" collapsed="false">
      <c r="AA4189" s="7" t="n">
        <f aca="false">AA4188+1</f>
        <v>45095</v>
      </c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</row>
    <row r="4190" customFormat="false" ht="13.8" hidden="false" customHeight="false" outlineLevel="0" collapsed="false">
      <c r="AA4190" s="7" t="n">
        <f aca="false">AA4189+1</f>
        <v>45096</v>
      </c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</row>
    <row r="4191" customFormat="false" ht="13.8" hidden="false" customHeight="false" outlineLevel="0" collapsed="false">
      <c r="AA4191" s="7" t="n">
        <f aca="false">AA4190+1</f>
        <v>45097</v>
      </c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</row>
    <row r="4192" customFormat="false" ht="13.8" hidden="false" customHeight="false" outlineLevel="0" collapsed="false">
      <c r="AA4192" s="7" t="n">
        <f aca="false">AA4191+1</f>
        <v>45098</v>
      </c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</row>
    <row r="4193" customFormat="false" ht="13.8" hidden="false" customHeight="false" outlineLevel="0" collapsed="false">
      <c r="AA4193" s="7" t="n">
        <f aca="false">AA4192+1</f>
        <v>45099</v>
      </c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</row>
    <row r="4194" customFormat="false" ht="13.8" hidden="false" customHeight="false" outlineLevel="0" collapsed="false">
      <c r="AA4194" s="7" t="n">
        <f aca="false">AA4193+1</f>
        <v>45100</v>
      </c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</row>
    <row r="4195" customFormat="false" ht="13.8" hidden="false" customHeight="false" outlineLevel="0" collapsed="false">
      <c r="AA4195" s="7" t="n">
        <f aca="false">AA4194+1</f>
        <v>45101</v>
      </c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</row>
    <row r="4196" customFormat="false" ht="13.8" hidden="false" customHeight="false" outlineLevel="0" collapsed="false">
      <c r="AA4196" s="7" t="n">
        <f aca="false">AA4195+1</f>
        <v>45102</v>
      </c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</row>
    <row r="4197" customFormat="false" ht="13.8" hidden="false" customHeight="false" outlineLevel="0" collapsed="false">
      <c r="AA4197" s="7" t="n">
        <f aca="false">AA4196+1</f>
        <v>45103</v>
      </c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</row>
    <row r="4198" customFormat="false" ht="13.8" hidden="false" customHeight="false" outlineLevel="0" collapsed="false">
      <c r="AA4198" s="7" t="n">
        <f aca="false">AA4197+1</f>
        <v>45104</v>
      </c>
      <c r="AB4198" s="14"/>
      <c r="AC4198" s="14"/>
      <c r="AD4198" s="14"/>
      <c r="AE4198" s="14"/>
      <c r="AF4198" s="14"/>
      <c r="AG4198" s="14"/>
      <c r="AH4198" s="14"/>
      <c r="AI4198" s="14"/>
      <c r="AJ4198" s="14"/>
      <c r="AK4198" s="14"/>
      <c r="AL4198" s="14"/>
      <c r="AM4198" s="14"/>
    </row>
    <row r="4199" customFormat="false" ht="13.8" hidden="false" customHeight="false" outlineLevel="0" collapsed="false">
      <c r="AA4199" s="7" t="n">
        <f aca="false">AA4198+1</f>
        <v>45105</v>
      </c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</row>
    <row r="4200" customFormat="false" ht="13.8" hidden="false" customHeight="false" outlineLevel="0" collapsed="false">
      <c r="AA4200" s="7" t="n">
        <f aca="false">AA4199+1</f>
        <v>45106</v>
      </c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</row>
    <row r="4201" customFormat="false" ht="13.8" hidden="false" customHeight="false" outlineLevel="0" collapsed="false">
      <c r="AA4201" s="7" t="n">
        <f aca="false">AA4200+1</f>
        <v>45107</v>
      </c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</row>
    <row r="4202" customFormat="false" ht="13.8" hidden="false" customHeight="false" outlineLevel="0" collapsed="false">
      <c r="AA4202" s="7" t="n">
        <f aca="false">AA4201+1</f>
        <v>45108</v>
      </c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</row>
    <row r="4203" customFormat="false" ht="13.8" hidden="false" customHeight="false" outlineLevel="0" collapsed="false">
      <c r="AA4203" s="7" t="n">
        <f aca="false">AA4202+1</f>
        <v>45109</v>
      </c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</row>
    <row r="4204" customFormat="false" ht="13.8" hidden="false" customHeight="false" outlineLevel="0" collapsed="false">
      <c r="AA4204" s="7" t="n">
        <f aca="false">AA4203+1</f>
        <v>45110</v>
      </c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</row>
    <row r="4205" customFormat="false" ht="13.8" hidden="false" customHeight="false" outlineLevel="0" collapsed="false">
      <c r="AA4205" s="7" t="n">
        <f aca="false">AA4204+1</f>
        <v>45111</v>
      </c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</row>
    <row r="4206" customFormat="false" ht="13.8" hidden="false" customHeight="false" outlineLevel="0" collapsed="false">
      <c r="AA4206" s="7" t="n">
        <f aca="false">AA4205+1</f>
        <v>45112</v>
      </c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</row>
    <row r="4207" customFormat="false" ht="13.8" hidden="false" customHeight="false" outlineLevel="0" collapsed="false">
      <c r="AA4207" s="7" t="n">
        <f aca="false">AA4206+1</f>
        <v>45113</v>
      </c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</row>
    <row r="4208" customFormat="false" ht="13.8" hidden="false" customHeight="false" outlineLevel="0" collapsed="false">
      <c r="AA4208" s="7" t="n">
        <f aca="false">AA4207+1</f>
        <v>45114</v>
      </c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</row>
    <row r="4209" customFormat="false" ht="13.8" hidden="false" customHeight="false" outlineLevel="0" collapsed="false">
      <c r="AA4209" s="7" t="n">
        <f aca="false">AA4208+1</f>
        <v>45115</v>
      </c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</row>
    <row r="4210" customFormat="false" ht="13.8" hidden="false" customHeight="false" outlineLevel="0" collapsed="false">
      <c r="AA4210" s="7" t="n">
        <f aca="false">AA4209+1</f>
        <v>45116</v>
      </c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</row>
    <row r="4211" customFormat="false" ht="13.8" hidden="false" customHeight="false" outlineLevel="0" collapsed="false">
      <c r="AA4211" s="7" t="n">
        <f aca="false">AA4210+1</f>
        <v>45117</v>
      </c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</row>
    <row r="4212" customFormat="false" ht="13.8" hidden="false" customHeight="false" outlineLevel="0" collapsed="false">
      <c r="AA4212" s="7" t="n">
        <f aca="false">AA4211+1</f>
        <v>45118</v>
      </c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</row>
    <row r="4213" customFormat="false" ht="13.8" hidden="false" customHeight="false" outlineLevel="0" collapsed="false">
      <c r="AA4213" s="7" t="n">
        <f aca="false">AA4212+1</f>
        <v>45119</v>
      </c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</row>
    <row r="4214" customFormat="false" ht="13.8" hidden="false" customHeight="false" outlineLevel="0" collapsed="false">
      <c r="AA4214" s="7" t="n">
        <f aca="false">AA4213+1</f>
        <v>45120</v>
      </c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</row>
    <row r="4215" customFormat="false" ht="13.8" hidden="false" customHeight="false" outlineLevel="0" collapsed="false">
      <c r="AA4215" s="7" t="n">
        <f aca="false">AA4214+1</f>
        <v>45121</v>
      </c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</row>
    <row r="4216" customFormat="false" ht="13.8" hidden="false" customHeight="false" outlineLevel="0" collapsed="false">
      <c r="AA4216" s="7" t="n">
        <f aca="false">AA4215+1</f>
        <v>45122</v>
      </c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</row>
    <row r="4217" customFormat="false" ht="13.8" hidden="false" customHeight="false" outlineLevel="0" collapsed="false">
      <c r="AA4217" s="7" t="n">
        <f aca="false">AA4216+1</f>
        <v>45123</v>
      </c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</row>
    <row r="4218" customFormat="false" ht="13.8" hidden="false" customHeight="false" outlineLevel="0" collapsed="false">
      <c r="AA4218" s="7" t="n">
        <f aca="false">AA4217+1</f>
        <v>45124</v>
      </c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</row>
    <row r="4219" customFormat="false" ht="13.8" hidden="false" customHeight="false" outlineLevel="0" collapsed="false">
      <c r="AA4219" s="7" t="n">
        <f aca="false">AA4218+1</f>
        <v>45125</v>
      </c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</row>
    <row r="4220" customFormat="false" ht="13.8" hidden="false" customHeight="false" outlineLevel="0" collapsed="false">
      <c r="AA4220" s="7" t="n">
        <f aca="false">AA4219+1</f>
        <v>45126</v>
      </c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</row>
    <row r="4221" customFormat="false" ht="13.8" hidden="false" customHeight="false" outlineLevel="0" collapsed="false">
      <c r="AA4221" s="7" t="n">
        <f aca="false">AA4220+1</f>
        <v>45127</v>
      </c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</row>
    <row r="4222" customFormat="false" ht="13.8" hidden="false" customHeight="false" outlineLevel="0" collapsed="false">
      <c r="AA4222" s="7" t="n">
        <f aca="false">AA4221+1</f>
        <v>45128</v>
      </c>
      <c r="AB4222" s="14"/>
      <c r="AC4222" s="14"/>
      <c r="AD4222" s="14"/>
      <c r="AE4222" s="14"/>
      <c r="AF4222" s="14"/>
      <c r="AG4222" s="14"/>
      <c r="AH4222" s="14"/>
      <c r="AI4222" s="14"/>
      <c r="AJ4222" s="14"/>
      <c r="AK4222" s="14"/>
      <c r="AL4222" s="14"/>
      <c r="AM4222" s="14"/>
    </row>
    <row r="4223" customFormat="false" ht="13.8" hidden="false" customHeight="false" outlineLevel="0" collapsed="false">
      <c r="AA4223" s="7" t="n">
        <f aca="false">AA4222+1</f>
        <v>45129</v>
      </c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</row>
    <row r="4224" customFormat="false" ht="13.8" hidden="false" customHeight="false" outlineLevel="0" collapsed="false">
      <c r="AA4224" s="7" t="n">
        <f aca="false">AA4223+1</f>
        <v>45130</v>
      </c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</row>
    <row r="4225" customFormat="false" ht="13.8" hidden="false" customHeight="false" outlineLevel="0" collapsed="false">
      <c r="AA4225" s="7" t="n">
        <f aca="false">AA4224+1</f>
        <v>45131</v>
      </c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</row>
    <row r="4226" customFormat="false" ht="13.8" hidden="false" customHeight="false" outlineLevel="0" collapsed="false">
      <c r="AA4226" s="7" t="n">
        <f aca="false">AA4225+1</f>
        <v>45132</v>
      </c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</row>
    <row r="4227" customFormat="false" ht="13.8" hidden="false" customHeight="false" outlineLevel="0" collapsed="false">
      <c r="AA4227" s="7" t="n">
        <f aca="false">AA4226+1</f>
        <v>45133</v>
      </c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</row>
    <row r="4228" customFormat="false" ht="13.8" hidden="false" customHeight="false" outlineLevel="0" collapsed="false">
      <c r="AA4228" s="7" t="n">
        <f aca="false">AA4227+1</f>
        <v>45134</v>
      </c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</row>
    <row r="4229" customFormat="false" ht="13.8" hidden="false" customHeight="false" outlineLevel="0" collapsed="false">
      <c r="AA4229" s="7" t="n">
        <f aca="false">AA4228+1</f>
        <v>45135</v>
      </c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</row>
    <row r="4230" customFormat="false" ht="13.8" hidden="false" customHeight="false" outlineLevel="0" collapsed="false">
      <c r="AA4230" s="7" t="n">
        <f aca="false">AA4229+1</f>
        <v>45136</v>
      </c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</row>
    <row r="4231" customFormat="false" ht="13.8" hidden="false" customHeight="false" outlineLevel="0" collapsed="false">
      <c r="AA4231" s="7" t="n">
        <f aca="false">AA4230+1</f>
        <v>45137</v>
      </c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</row>
    <row r="4232" customFormat="false" ht="13.8" hidden="false" customHeight="false" outlineLevel="0" collapsed="false">
      <c r="AA4232" s="7" t="n">
        <f aca="false">AA4231+1</f>
        <v>45138</v>
      </c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</row>
    <row r="4233" customFormat="false" ht="13.8" hidden="false" customHeight="false" outlineLevel="0" collapsed="false">
      <c r="AA4233" s="7" t="n">
        <f aca="false">AA4232+1</f>
        <v>45139</v>
      </c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</row>
    <row r="4234" customFormat="false" ht="13.8" hidden="false" customHeight="false" outlineLevel="0" collapsed="false">
      <c r="AA4234" s="7" t="n">
        <f aca="false">AA4233+1</f>
        <v>45140</v>
      </c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</row>
    <row r="4235" customFormat="false" ht="13.8" hidden="false" customHeight="false" outlineLevel="0" collapsed="false">
      <c r="AA4235" s="7" t="n">
        <f aca="false">AA4234+1</f>
        <v>45141</v>
      </c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</row>
    <row r="4236" customFormat="false" ht="13.8" hidden="false" customHeight="false" outlineLevel="0" collapsed="false">
      <c r="AA4236" s="7" t="n">
        <f aca="false">AA4235+1</f>
        <v>45142</v>
      </c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</row>
    <row r="4237" customFormat="false" ht="13.8" hidden="false" customHeight="false" outlineLevel="0" collapsed="false">
      <c r="AA4237" s="7" t="n">
        <f aca="false">AA4236+1</f>
        <v>45143</v>
      </c>
      <c r="AB4237" s="14"/>
      <c r="AC4237" s="14"/>
      <c r="AD4237" s="14"/>
      <c r="AE4237" s="14"/>
      <c r="AF4237" s="14"/>
      <c r="AG4237" s="14"/>
      <c r="AH4237" s="14"/>
      <c r="AI4237" s="14"/>
      <c r="AJ4237" s="14"/>
      <c r="AK4237" s="14"/>
      <c r="AL4237" s="14"/>
      <c r="AM4237" s="14"/>
    </row>
    <row r="4238" customFormat="false" ht="13.8" hidden="false" customHeight="false" outlineLevel="0" collapsed="false">
      <c r="AA4238" s="7" t="n">
        <f aca="false">AA4237+1</f>
        <v>45144</v>
      </c>
      <c r="AB4238" s="14"/>
      <c r="AC4238" s="14"/>
      <c r="AD4238" s="14"/>
      <c r="AE4238" s="14"/>
      <c r="AF4238" s="14"/>
      <c r="AG4238" s="14"/>
      <c r="AH4238" s="14"/>
      <c r="AI4238" s="14"/>
      <c r="AJ4238" s="14"/>
      <c r="AK4238" s="14"/>
      <c r="AL4238" s="14"/>
      <c r="AM4238" s="14"/>
    </row>
    <row r="4239" customFormat="false" ht="13.8" hidden="false" customHeight="false" outlineLevel="0" collapsed="false">
      <c r="AA4239" s="7" t="n">
        <f aca="false">AA4238+1</f>
        <v>45145</v>
      </c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</row>
    <row r="4240" customFormat="false" ht="13.8" hidden="false" customHeight="false" outlineLevel="0" collapsed="false">
      <c r="AA4240" s="7" t="n">
        <f aca="false">AA4239+1</f>
        <v>45146</v>
      </c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</row>
    <row r="4241" customFormat="false" ht="13.8" hidden="false" customHeight="false" outlineLevel="0" collapsed="false">
      <c r="AA4241" s="7" t="n">
        <f aca="false">AA4240+1</f>
        <v>45147</v>
      </c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</row>
    <row r="4242" customFormat="false" ht="13.8" hidden="false" customHeight="false" outlineLevel="0" collapsed="false">
      <c r="AA4242" s="7" t="n">
        <f aca="false">AA4241+1</f>
        <v>45148</v>
      </c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</row>
    <row r="4243" customFormat="false" ht="13.8" hidden="false" customHeight="false" outlineLevel="0" collapsed="false">
      <c r="AA4243" s="7" t="n">
        <f aca="false">AA4242+1</f>
        <v>45149</v>
      </c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</row>
    <row r="4244" customFormat="false" ht="13.8" hidden="false" customHeight="false" outlineLevel="0" collapsed="false">
      <c r="AA4244" s="7" t="n">
        <f aca="false">AA4243+1</f>
        <v>45150</v>
      </c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</row>
    <row r="4245" customFormat="false" ht="13.8" hidden="false" customHeight="false" outlineLevel="0" collapsed="false">
      <c r="AA4245" s="7" t="n">
        <f aca="false">AA4244+1</f>
        <v>45151</v>
      </c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</row>
    <row r="4246" customFormat="false" ht="13.8" hidden="false" customHeight="false" outlineLevel="0" collapsed="false">
      <c r="AA4246" s="7" t="n">
        <f aca="false">AA4245+1</f>
        <v>45152</v>
      </c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</row>
    <row r="4247" customFormat="false" ht="13.8" hidden="false" customHeight="false" outlineLevel="0" collapsed="false">
      <c r="AA4247" s="7" t="n">
        <f aca="false">AA4246+1</f>
        <v>45153</v>
      </c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</row>
    <row r="4248" customFormat="false" ht="13.8" hidden="false" customHeight="false" outlineLevel="0" collapsed="false">
      <c r="AA4248" s="7" t="n">
        <f aca="false">AA4247+1</f>
        <v>45154</v>
      </c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</row>
    <row r="4249" customFormat="false" ht="13.8" hidden="false" customHeight="false" outlineLevel="0" collapsed="false">
      <c r="AA4249" s="7" t="n">
        <f aca="false">AA4248+1</f>
        <v>45155</v>
      </c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</row>
    <row r="4250" customFormat="false" ht="13.8" hidden="false" customHeight="false" outlineLevel="0" collapsed="false">
      <c r="AA4250" s="7" t="n">
        <f aca="false">AA4249+1</f>
        <v>45156</v>
      </c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</row>
    <row r="4251" customFormat="false" ht="13.8" hidden="false" customHeight="false" outlineLevel="0" collapsed="false">
      <c r="AA4251" s="7" t="n">
        <f aca="false">AA4250+1</f>
        <v>45157</v>
      </c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</row>
    <row r="4252" customFormat="false" ht="13.8" hidden="false" customHeight="false" outlineLevel="0" collapsed="false">
      <c r="AA4252" s="7" t="n">
        <f aca="false">AA4251+1</f>
        <v>45158</v>
      </c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</row>
    <row r="4253" customFormat="false" ht="13.8" hidden="false" customHeight="false" outlineLevel="0" collapsed="false">
      <c r="AA4253" s="7" t="n">
        <f aca="false">AA4252+1</f>
        <v>45159</v>
      </c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</row>
    <row r="4254" customFormat="false" ht="13.8" hidden="false" customHeight="false" outlineLevel="0" collapsed="false">
      <c r="AA4254" s="7" t="n">
        <f aca="false">AA4253+1</f>
        <v>45160</v>
      </c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</row>
    <row r="4255" customFormat="false" ht="13.8" hidden="false" customHeight="false" outlineLevel="0" collapsed="false">
      <c r="AA4255" s="7" t="n">
        <f aca="false">AA4254+1</f>
        <v>45161</v>
      </c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</row>
    <row r="4256" customFormat="false" ht="13.8" hidden="false" customHeight="false" outlineLevel="0" collapsed="false">
      <c r="AA4256" s="7" t="n">
        <f aca="false">AA4255+1</f>
        <v>45162</v>
      </c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</row>
    <row r="4257" customFormat="false" ht="13.8" hidden="false" customHeight="false" outlineLevel="0" collapsed="false">
      <c r="AA4257" s="7" t="n">
        <f aca="false">AA4256+1</f>
        <v>45163</v>
      </c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</row>
    <row r="4258" customFormat="false" ht="13.8" hidden="false" customHeight="false" outlineLevel="0" collapsed="false">
      <c r="AA4258" s="7" t="n">
        <f aca="false">AA4257+1</f>
        <v>45164</v>
      </c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</row>
    <row r="4259" customFormat="false" ht="13.8" hidden="false" customHeight="false" outlineLevel="0" collapsed="false">
      <c r="AA4259" s="7" t="n">
        <f aca="false">AA4258+1</f>
        <v>45165</v>
      </c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</row>
    <row r="4260" customFormat="false" ht="13.8" hidden="false" customHeight="false" outlineLevel="0" collapsed="false">
      <c r="AA4260" s="7" t="n">
        <f aca="false">AA4259+1</f>
        <v>45166</v>
      </c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</row>
    <row r="4261" customFormat="false" ht="13.8" hidden="false" customHeight="false" outlineLevel="0" collapsed="false">
      <c r="AA4261" s="7" t="n">
        <f aca="false">AA4260+1</f>
        <v>45167</v>
      </c>
      <c r="AB4261" s="14"/>
      <c r="AC4261" s="14"/>
      <c r="AD4261" s="14"/>
      <c r="AE4261" s="14"/>
      <c r="AF4261" s="14"/>
      <c r="AG4261" s="14"/>
      <c r="AH4261" s="14"/>
      <c r="AI4261" s="14"/>
      <c r="AJ4261" s="14"/>
      <c r="AK4261" s="14"/>
      <c r="AL4261" s="14"/>
      <c r="AM4261" s="14"/>
    </row>
    <row r="4262" customFormat="false" ht="13.8" hidden="false" customHeight="false" outlineLevel="0" collapsed="false">
      <c r="AA4262" s="7" t="n">
        <f aca="false">AA4261+1</f>
        <v>45168</v>
      </c>
      <c r="AB4262" s="14"/>
      <c r="AC4262" s="14"/>
      <c r="AD4262" s="14"/>
      <c r="AE4262" s="14"/>
      <c r="AF4262" s="14"/>
      <c r="AG4262" s="14"/>
      <c r="AH4262" s="14"/>
      <c r="AI4262" s="14"/>
      <c r="AJ4262" s="14"/>
      <c r="AK4262" s="14"/>
      <c r="AL4262" s="14"/>
      <c r="AM4262" s="14"/>
    </row>
    <row r="4263" customFormat="false" ht="13.8" hidden="false" customHeight="false" outlineLevel="0" collapsed="false">
      <c r="AA4263" s="7" t="n">
        <f aca="false">AA4262+1</f>
        <v>45169</v>
      </c>
      <c r="AB4263" s="14"/>
      <c r="AC4263" s="14"/>
      <c r="AD4263" s="14"/>
      <c r="AE4263" s="14"/>
      <c r="AF4263" s="14"/>
      <c r="AG4263" s="14"/>
      <c r="AH4263" s="14"/>
      <c r="AI4263" s="14"/>
      <c r="AJ4263" s="14"/>
      <c r="AK4263" s="14"/>
      <c r="AL4263" s="14"/>
      <c r="AM4263" s="14"/>
    </row>
    <row r="4264" customFormat="false" ht="13.8" hidden="false" customHeight="false" outlineLevel="0" collapsed="false">
      <c r="AA4264" s="7" t="n">
        <f aca="false">AA4263+1</f>
        <v>45170</v>
      </c>
      <c r="AB4264" s="14"/>
      <c r="AC4264" s="14"/>
      <c r="AD4264" s="14"/>
      <c r="AE4264" s="14"/>
      <c r="AF4264" s="14"/>
      <c r="AG4264" s="14"/>
      <c r="AH4264" s="14"/>
      <c r="AI4264" s="14"/>
      <c r="AJ4264" s="14"/>
      <c r="AK4264" s="14"/>
      <c r="AL4264" s="14"/>
      <c r="AM4264" s="14"/>
    </row>
    <row r="4265" customFormat="false" ht="13.8" hidden="false" customHeight="false" outlineLevel="0" collapsed="false">
      <c r="AA4265" s="7" t="n">
        <f aca="false">AA4264+1</f>
        <v>45171</v>
      </c>
      <c r="AB4265" s="14"/>
      <c r="AC4265" s="14"/>
      <c r="AD4265" s="14"/>
      <c r="AE4265" s="14"/>
      <c r="AF4265" s="14"/>
      <c r="AG4265" s="14"/>
      <c r="AH4265" s="14"/>
      <c r="AI4265" s="14"/>
      <c r="AJ4265" s="14"/>
      <c r="AK4265" s="14"/>
      <c r="AL4265" s="14"/>
      <c r="AM4265" s="14"/>
    </row>
    <row r="4266" customFormat="false" ht="13.8" hidden="false" customHeight="false" outlineLevel="0" collapsed="false">
      <c r="AA4266" s="7" t="n">
        <f aca="false">AA4265+1</f>
        <v>45172</v>
      </c>
      <c r="AB4266" s="14"/>
      <c r="AC4266" s="14"/>
      <c r="AD4266" s="14"/>
      <c r="AE4266" s="14"/>
      <c r="AF4266" s="14"/>
      <c r="AG4266" s="14"/>
      <c r="AH4266" s="14"/>
      <c r="AI4266" s="14"/>
      <c r="AJ4266" s="14"/>
      <c r="AK4266" s="14"/>
      <c r="AL4266" s="14"/>
      <c r="AM4266" s="14"/>
    </row>
    <row r="4267" customFormat="false" ht="13.8" hidden="false" customHeight="false" outlineLevel="0" collapsed="false">
      <c r="AA4267" s="7" t="n">
        <f aca="false">AA4266+1</f>
        <v>45173</v>
      </c>
      <c r="AB4267" s="14"/>
      <c r="AC4267" s="14"/>
      <c r="AD4267" s="14"/>
      <c r="AE4267" s="14"/>
      <c r="AF4267" s="14"/>
      <c r="AG4267" s="14"/>
      <c r="AH4267" s="14"/>
      <c r="AI4267" s="14"/>
      <c r="AJ4267" s="14"/>
      <c r="AK4267" s="14"/>
      <c r="AL4267" s="14"/>
      <c r="AM4267" s="14"/>
    </row>
    <row r="4268" customFormat="false" ht="13.8" hidden="false" customHeight="false" outlineLevel="0" collapsed="false">
      <c r="AA4268" s="7" t="n">
        <f aca="false">AA4267+1</f>
        <v>45174</v>
      </c>
      <c r="AB4268" s="14"/>
      <c r="AC4268" s="14"/>
      <c r="AD4268" s="14"/>
      <c r="AE4268" s="14"/>
      <c r="AF4268" s="14"/>
      <c r="AG4268" s="14"/>
      <c r="AH4268" s="14"/>
      <c r="AI4268" s="14"/>
      <c r="AJ4268" s="14"/>
      <c r="AK4268" s="14"/>
      <c r="AL4268" s="14"/>
      <c r="AM4268" s="14"/>
    </row>
    <row r="4269" customFormat="false" ht="13.8" hidden="false" customHeight="false" outlineLevel="0" collapsed="false">
      <c r="AA4269" s="7" t="n">
        <f aca="false">AA4268+1</f>
        <v>45175</v>
      </c>
      <c r="AB4269" s="14"/>
      <c r="AC4269" s="14"/>
      <c r="AD4269" s="14"/>
      <c r="AE4269" s="14"/>
      <c r="AF4269" s="14"/>
      <c r="AG4269" s="14"/>
      <c r="AH4269" s="14"/>
      <c r="AI4269" s="14"/>
      <c r="AJ4269" s="14"/>
      <c r="AK4269" s="14"/>
      <c r="AL4269" s="14"/>
      <c r="AM4269" s="14"/>
    </row>
    <row r="4270" customFormat="false" ht="13.8" hidden="false" customHeight="false" outlineLevel="0" collapsed="false">
      <c r="AA4270" s="7" t="n">
        <f aca="false">AA4269+1</f>
        <v>45176</v>
      </c>
      <c r="AB4270" s="14"/>
      <c r="AC4270" s="14"/>
      <c r="AD4270" s="14"/>
      <c r="AE4270" s="14"/>
      <c r="AF4270" s="14"/>
      <c r="AG4270" s="14"/>
      <c r="AH4270" s="14"/>
      <c r="AI4270" s="14"/>
      <c r="AJ4270" s="14"/>
      <c r="AK4270" s="14"/>
      <c r="AL4270" s="14"/>
      <c r="AM4270" s="14"/>
    </row>
    <row r="4271" customFormat="false" ht="13.8" hidden="false" customHeight="false" outlineLevel="0" collapsed="false">
      <c r="AA4271" s="7" t="n">
        <f aca="false">AA4270+1</f>
        <v>45177</v>
      </c>
      <c r="AB4271" s="14"/>
      <c r="AC4271" s="14"/>
      <c r="AD4271" s="14"/>
      <c r="AE4271" s="14"/>
      <c r="AF4271" s="14"/>
      <c r="AG4271" s="14"/>
      <c r="AH4271" s="14"/>
      <c r="AI4271" s="14"/>
      <c r="AJ4271" s="14"/>
      <c r="AK4271" s="14"/>
      <c r="AL4271" s="14"/>
      <c r="AM4271" s="14"/>
    </row>
    <row r="4272" customFormat="false" ht="13.8" hidden="false" customHeight="false" outlineLevel="0" collapsed="false">
      <c r="AA4272" s="7" t="n">
        <f aca="false">AA4271+1</f>
        <v>45178</v>
      </c>
      <c r="AB4272" s="14"/>
      <c r="AC4272" s="14"/>
      <c r="AD4272" s="14"/>
      <c r="AE4272" s="14"/>
      <c r="AF4272" s="14"/>
      <c r="AG4272" s="14"/>
      <c r="AH4272" s="14"/>
      <c r="AI4272" s="14"/>
      <c r="AJ4272" s="14"/>
      <c r="AK4272" s="14"/>
      <c r="AL4272" s="14"/>
      <c r="AM4272" s="14"/>
    </row>
    <row r="4273" customFormat="false" ht="13.8" hidden="false" customHeight="false" outlineLevel="0" collapsed="false">
      <c r="AA4273" s="7" t="n">
        <f aca="false">AA4272+1</f>
        <v>45179</v>
      </c>
      <c r="AB4273" s="14"/>
      <c r="AC4273" s="14"/>
      <c r="AD4273" s="14"/>
      <c r="AE4273" s="14"/>
      <c r="AF4273" s="14"/>
      <c r="AG4273" s="14"/>
      <c r="AH4273" s="14"/>
      <c r="AI4273" s="14"/>
      <c r="AJ4273" s="14"/>
      <c r="AK4273" s="14"/>
      <c r="AL4273" s="14"/>
      <c r="AM4273" s="14"/>
    </row>
    <row r="4274" customFormat="false" ht="13.8" hidden="false" customHeight="false" outlineLevel="0" collapsed="false">
      <c r="AA4274" s="7" t="n">
        <f aca="false">AA4273+1</f>
        <v>45180</v>
      </c>
      <c r="AB4274" s="14"/>
      <c r="AC4274" s="14"/>
      <c r="AD4274" s="14"/>
      <c r="AE4274" s="14"/>
      <c r="AF4274" s="14"/>
      <c r="AG4274" s="14"/>
      <c r="AH4274" s="14"/>
      <c r="AI4274" s="14"/>
      <c r="AJ4274" s="14"/>
      <c r="AK4274" s="14"/>
      <c r="AL4274" s="14"/>
      <c r="AM4274" s="14"/>
    </row>
    <row r="4275" customFormat="false" ht="13.8" hidden="false" customHeight="false" outlineLevel="0" collapsed="false">
      <c r="AA4275" s="7" t="n">
        <f aca="false">AA4274+1</f>
        <v>45181</v>
      </c>
      <c r="AB4275" s="14"/>
      <c r="AC4275" s="14"/>
      <c r="AD4275" s="14"/>
      <c r="AE4275" s="14"/>
      <c r="AF4275" s="14"/>
      <c r="AG4275" s="14"/>
      <c r="AH4275" s="14"/>
      <c r="AI4275" s="14"/>
      <c r="AJ4275" s="14"/>
      <c r="AK4275" s="14"/>
      <c r="AL4275" s="14"/>
      <c r="AM4275" s="14"/>
    </row>
    <row r="4276" customFormat="false" ht="13.8" hidden="false" customHeight="false" outlineLevel="0" collapsed="false">
      <c r="AA4276" s="7" t="n">
        <f aca="false">AA4275+1</f>
        <v>45182</v>
      </c>
      <c r="AB4276" s="14"/>
      <c r="AC4276" s="14"/>
      <c r="AD4276" s="14"/>
      <c r="AE4276" s="14"/>
      <c r="AF4276" s="14"/>
      <c r="AG4276" s="14"/>
      <c r="AH4276" s="14"/>
      <c r="AI4276" s="14"/>
      <c r="AJ4276" s="14"/>
      <c r="AK4276" s="14"/>
      <c r="AL4276" s="14"/>
      <c r="AM4276" s="14"/>
    </row>
    <row r="4277" customFormat="false" ht="13.8" hidden="false" customHeight="false" outlineLevel="0" collapsed="false">
      <c r="AA4277" s="7" t="n">
        <f aca="false">AA4276+1</f>
        <v>45183</v>
      </c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</row>
    <row r="4278" customFormat="false" ht="13.8" hidden="false" customHeight="false" outlineLevel="0" collapsed="false">
      <c r="AA4278" s="7" t="n">
        <f aca="false">AA4277+1</f>
        <v>45184</v>
      </c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</row>
    <row r="4279" customFormat="false" ht="13.8" hidden="false" customHeight="false" outlineLevel="0" collapsed="false">
      <c r="AA4279" s="7" t="n">
        <f aca="false">AA4278+1</f>
        <v>45185</v>
      </c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</row>
    <row r="4280" customFormat="false" ht="13.8" hidden="false" customHeight="false" outlineLevel="0" collapsed="false">
      <c r="AA4280" s="7" t="n">
        <f aca="false">AA4279+1</f>
        <v>45186</v>
      </c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</row>
    <row r="4281" customFormat="false" ht="13.8" hidden="false" customHeight="false" outlineLevel="0" collapsed="false">
      <c r="AA4281" s="7" t="n">
        <f aca="false">AA4280+1</f>
        <v>45187</v>
      </c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</row>
    <row r="4282" customFormat="false" ht="13.8" hidden="false" customHeight="false" outlineLevel="0" collapsed="false">
      <c r="AA4282" s="7" t="n">
        <f aca="false">AA4281+1</f>
        <v>45188</v>
      </c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</row>
    <row r="4283" customFormat="false" ht="13.8" hidden="false" customHeight="false" outlineLevel="0" collapsed="false">
      <c r="AA4283" s="7" t="n">
        <f aca="false">AA4282+1</f>
        <v>45189</v>
      </c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</row>
    <row r="4284" customFormat="false" ht="13.8" hidden="false" customHeight="false" outlineLevel="0" collapsed="false">
      <c r="AA4284" s="7" t="n">
        <f aca="false">AA4283+1</f>
        <v>45190</v>
      </c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</row>
    <row r="4285" customFormat="false" ht="13.8" hidden="false" customHeight="false" outlineLevel="0" collapsed="false">
      <c r="AA4285" s="7" t="n">
        <f aca="false">AA4284+1</f>
        <v>45191</v>
      </c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</row>
    <row r="4286" customFormat="false" ht="13.8" hidden="false" customHeight="false" outlineLevel="0" collapsed="false">
      <c r="AA4286" s="7" t="n">
        <f aca="false">AA4285+1</f>
        <v>45192</v>
      </c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</row>
    <row r="4287" customFormat="false" ht="13.8" hidden="false" customHeight="false" outlineLevel="0" collapsed="false">
      <c r="AA4287" s="7" t="n">
        <f aca="false">AA4286+1</f>
        <v>45193</v>
      </c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</row>
    <row r="4288" customFormat="false" ht="13.8" hidden="false" customHeight="false" outlineLevel="0" collapsed="false">
      <c r="AA4288" s="7" t="n">
        <f aca="false">AA4287+1</f>
        <v>45194</v>
      </c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</row>
    <row r="4289" customFormat="false" ht="13.8" hidden="false" customHeight="false" outlineLevel="0" collapsed="false">
      <c r="AA4289" s="7" t="n">
        <f aca="false">AA4288+1</f>
        <v>45195</v>
      </c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</row>
    <row r="4290" customFormat="false" ht="13.8" hidden="false" customHeight="false" outlineLevel="0" collapsed="false">
      <c r="AA4290" s="7" t="n">
        <f aca="false">AA4289+1</f>
        <v>45196</v>
      </c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</row>
    <row r="4291" customFormat="false" ht="13.8" hidden="false" customHeight="false" outlineLevel="0" collapsed="false">
      <c r="AA4291" s="7" t="n">
        <f aca="false">AA4290+1</f>
        <v>45197</v>
      </c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</row>
    <row r="4292" customFormat="false" ht="13.8" hidden="false" customHeight="false" outlineLevel="0" collapsed="false">
      <c r="AA4292" s="7" t="n">
        <f aca="false">AA4291+1</f>
        <v>45198</v>
      </c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</row>
    <row r="4293" customFormat="false" ht="13.8" hidden="false" customHeight="false" outlineLevel="0" collapsed="false">
      <c r="AA4293" s="7" t="n">
        <f aca="false">AA4292+1</f>
        <v>45199</v>
      </c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</row>
    <row r="4294" customFormat="false" ht="13.8" hidden="false" customHeight="false" outlineLevel="0" collapsed="false">
      <c r="AA4294" s="7" t="n">
        <f aca="false">AA4293+1</f>
        <v>45200</v>
      </c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</row>
    <row r="4295" customFormat="false" ht="13.8" hidden="false" customHeight="false" outlineLevel="0" collapsed="false">
      <c r="AA4295" s="7" t="n">
        <f aca="false">AA4294+1</f>
        <v>45201</v>
      </c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</row>
    <row r="4296" customFormat="false" ht="13.8" hidden="false" customHeight="false" outlineLevel="0" collapsed="false">
      <c r="AA4296" s="7" t="n">
        <f aca="false">AA4295+1</f>
        <v>45202</v>
      </c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</row>
    <row r="4297" customFormat="false" ht="13.8" hidden="false" customHeight="false" outlineLevel="0" collapsed="false">
      <c r="AA4297" s="7" t="n">
        <f aca="false">AA4296+1</f>
        <v>45203</v>
      </c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</row>
    <row r="4298" customFormat="false" ht="13.8" hidden="false" customHeight="false" outlineLevel="0" collapsed="false">
      <c r="AA4298" s="7" t="n">
        <f aca="false">AA4297+1</f>
        <v>45204</v>
      </c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</row>
    <row r="4299" customFormat="false" ht="13.8" hidden="false" customHeight="false" outlineLevel="0" collapsed="false">
      <c r="AA4299" s="7" t="n">
        <f aca="false">AA4298+1</f>
        <v>45205</v>
      </c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</row>
    <row r="4300" customFormat="false" ht="13.8" hidden="false" customHeight="false" outlineLevel="0" collapsed="false">
      <c r="AA4300" s="7" t="n">
        <f aca="false">AA4299+1</f>
        <v>45206</v>
      </c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</row>
    <row r="4301" customFormat="false" ht="13.8" hidden="false" customHeight="false" outlineLevel="0" collapsed="false">
      <c r="AA4301" s="7" t="n">
        <f aca="false">AA4300+1</f>
        <v>45207</v>
      </c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</row>
    <row r="4302" customFormat="false" ht="13.8" hidden="false" customHeight="false" outlineLevel="0" collapsed="false">
      <c r="AA4302" s="7" t="n">
        <f aca="false">AA4301+1</f>
        <v>45208</v>
      </c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</row>
    <row r="4303" customFormat="false" ht="13.8" hidden="false" customHeight="false" outlineLevel="0" collapsed="false">
      <c r="AA4303" s="7" t="n">
        <f aca="false">AA4302+1</f>
        <v>45209</v>
      </c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</row>
    <row r="4304" customFormat="false" ht="13.8" hidden="false" customHeight="false" outlineLevel="0" collapsed="false">
      <c r="AA4304" s="7" t="n">
        <f aca="false">AA4303+1</f>
        <v>45210</v>
      </c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</row>
    <row r="4305" customFormat="false" ht="13.8" hidden="false" customHeight="false" outlineLevel="0" collapsed="false">
      <c r="AA4305" s="7" t="n">
        <f aca="false">AA4304+1</f>
        <v>45211</v>
      </c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</row>
    <row r="4306" customFormat="false" ht="13.8" hidden="false" customHeight="false" outlineLevel="0" collapsed="false">
      <c r="AA4306" s="7" t="n">
        <f aca="false">AA4305+1</f>
        <v>45212</v>
      </c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</row>
    <row r="4307" customFormat="false" ht="13.8" hidden="false" customHeight="false" outlineLevel="0" collapsed="false">
      <c r="AA4307" s="7" t="n">
        <f aca="false">AA4306+1</f>
        <v>45213</v>
      </c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</row>
    <row r="4308" customFormat="false" ht="13.8" hidden="false" customHeight="false" outlineLevel="0" collapsed="false">
      <c r="AA4308" s="7" t="n">
        <f aca="false">AA4307+1</f>
        <v>45214</v>
      </c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</row>
    <row r="4309" customFormat="false" ht="13.8" hidden="false" customHeight="false" outlineLevel="0" collapsed="false">
      <c r="AA4309" s="7" t="n">
        <f aca="false">AA4308+1</f>
        <v>45215</v>
      </c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</row>
    <row r="4310" customFormat="false" ht="13.8" hidden="false" customHeight="false" outlineLevel="0" collapsed="false">
      <c r="AA4310" s="7" t="n">
        <f aca="false">AA4309+1</f>
        <v>45216</v>
      </c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</row>
    <row r="4311" customFormat="false" ht="13.8" hidden="false" customHeight="false" outlineLevel="0" collapsed="false">
      <c r="AA4311" s="7" t="n">
        <f aca="false">AA4310+1</f>
        <v>45217</v>
      </c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</row>
    <row r="4312" customFormat="false" ht="13.8" hidden="false" customHeight="false" outlineLevel="0" collapsed="false">
      <c r="AA4312" s="7" t="n">
        <f aca="false">AA4311+1</f>
        <v>45218</v>
      </c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</row>
    <row r="4313" customFormat="false" ht="13.8" hidden="false" customHeight="false" outlineLevel="0" collapsed="false">
      <c r="AA4313" s="7" t="n">
        <f aca="false">AA4312+1</f>
        <v>45219</v>
      </c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</row>
    <row r="4314" customFormat="false" ht="13.8" hidden="false" customHeight="false" outlineLevel="0" collapsed="false">
      <c r="AA4314" s="7" t="n">
        <f aca="false">AA4313+1</f>
        <v>45220</v>
      </c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</row>
    <row r="4315" customFormat="false" ht="13.8" hidden="false" customHeight="false" outlineLevel="0" collapsed="false">
      <c r="AA4315" s="7" t="n">
        <f aca="false">AA4314+1</f>
        <v>45221</v>
      </c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</row>
    <row r="4316" customFormat="false" ht="13.8" hidden="false" customHeight="false" outlineLevel="0" collapsed="false">
      <c r="AA4316" s="7" t="n">
        <f aca="false">AA4315+1</f>
        <v>45222</v>
      </c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</row>
    <row r="4317" customFormat="false" ht="13.8" hidden="false" customHeight="false" outlineLevel="0" collapsed="false">
      <c r="AA4317" s="7" t="n">
        <f aca="false">AA4316+1</f>
        <v>45223</v>
      </c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</row>
    <row r="4318" customFormat="false" ht="13.8" hidden="false" customHeight="false" outlineLevel="0" collapsed="false">
      <c r="AA4318" s="7" t="n">
        <f aca="false">AA4317+1</f>
        <v>45224</v>
      </c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</row>
    <row r="4319" customFormat="false" ht="13.8" hidden="false" customHeight="false" outlineLevel="0" collapsed="false">
      <c r="AA4319" s="7" t="n">
        <f aca="false">AA4318+1</f>
        <v>45225</v>
      </c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</row>
    <row r="4320" customFormat="false" ht="13.8" hidden="false" customHeight="false" outlineLevel="0" collapsed="false">
      <c r="AA4320" s="7" t="n">
        <f aca="false">AA4319+1</f>
        <v>45226</v>
      </c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</row>
    <row r="4321" customFormat="false" ht="13.8" hidden="false" customHeight="false" outlineLevel="0" collapsed="false">
      <c r="AA4321" s="7" t="n">
        <f aca="false">AA4320+1</f>
        <v>45227</v>
      </c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</row>
    <row r="4322" customFormat="false" ht="13.8" hidden="false" customHeight="false" outlineLevel="0" collapsed="false">
      <c r="AA4322" s="7" t="n">
        <f aca="false">AA4321+1</f>
        <v>45228</v>
      </c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</row>
    <row r="4323" customFormat="false" ht="13.8" hidden="false" customHeight="false" outlineLevel="0" collapsed="false">
      <c r="AA4323" s="7" t="n">
        <f aca="false">AA4322+1</f>
        <v>45229</v>
      </c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</row>
    <row r="4324" customFormat="false" ht="13.8" hidden="false" customHeight="false" outlineLevel="0" collapsed="false">
      <c r="AA4324" s="7" t="n">
        <f aca="false">AA4323+1</f>
        <v>45230</v>
      </c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</row>
    <row r="4325" customFormat="false" ht="13.8" hidden="false" customHeight="false" outlineLevel="0" collapsed="false">
      <c r="AA4325" s="7" t="n">
        <f aca="false">AA4324+1</f>
        <v>45231</v>
      </c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</row>
    <row r="4326" customFormat="false" ht="13.8" hidden="false" customHeight="false" outlineLevel="0" collapsed="false">
      <c r="AA4326" s="7" t="n">
        <f aca="false">AA4325+1</f>
        <v>45232</v>
      </c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</row>
    <row r="4327" customFormat="false" ht="13.8" hidden="false" customHeight="false" outlineLevel="0" collapsed="false">
      <c r="AA4327" s="7" t="n">
        <f aca="false">AA4326+1</f>
        <v>45233</v>
      </c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</row>
    <row r="4328" customFormat="false" ht="13.8" hidden="false" customHeight="false" outlineLevel="0" collapsed="false">
      <c r="AA4328" s="7" t="n">
        <f aca="false">AA4327+1</f>
        <v>45234</v>
      </c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</row>
    <row r="4329" customFormat="false" ht="13.8" hidden="false" customHeight="false" outlineLevel="0" collapsed="false">
      <c r="AA4329" s="7" t="n">
        <f aca="false">AA4328+1</f>
        <v>45235</v>
      </c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</row>
    <row r="4330" customFormat="false" ht="13.8" hidden="false" customHeight="false" outlineLevel="0" collapsed="false">
      <c r="AA4330" s="7" t="n">
        <f aca="false">AA4329+1</f>
        <v>45236</v>
      </c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</row>
    <row r="4331" customFormat="false" ht="13.8" hidden="false" customHeight="false" outlineLevel="0" collapsed="false">
      <c r="AA4331" s="7" t="n">
        <f aca="false">AA4330+1</f>
        <v>45237</v>
      </c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</row>
    <row r="4332" customFormat="false" ht="13.8" hidden="false" customHeight="false" outlineLevel="0" collapsed="false">
      <c r="AA4332" s="7" t="n">
        <f aca="false">AA4331+1</f>
        <v>45238</v>
      </c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</row>
    <row r="4333" customFormat="false" ht="13.8" hidden="false" customHeight="false" outlineLevel="0" collapsed="false">
      <c r="AA4333" s="7" t="n">
        <f aca="false">AA4332+1</f>
        <v>45239</v>
      </c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</row>
    <row r="4334" customFormat="false" ht="13.8" hidden="false" customHeight="false" outlineLevel="0" collapsed="false">
      <c r="AA4334" s="7" t="n">
        <f aca="false">AA4333+1</f>
        <v>45240</v>
      </c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</row>
    <row r="4335" customFormat="false" ht="13.8" hidden="false" customHeight="false" outlineLevel="0" collapsed="false">
      <c r="AA4335" s="7" t="n">
        <f aca="false">AA4334+1</f>
        <v>45241</v>
      </c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</row>
    <row r="4336" customFormat="false" ht="13.8" hidden="false" customHeight="false" outlineLevel="0" collapsed="false">
      <c r="AA4336" s="7" t="n">
        <f aca="false">AA4335+1</f>
        <v>45242</v>
      </c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</row>
    <row r="4337" customFormat="false" ht="13.8" hidden="false" customHeight="false" outlineLevel="0" collapsed="false">
      <c r="AA4337" s="7" t="n">
        <f aca="false">AA4336+1</f>
        <v>45243</v>
      </c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</row>
    <row r="4338" customFormat="false" ht="13.8" hidden="false" customHeight="false" outlineLevel="0" collapsed="false">
      <c r="AA4338" s="7" t="n">
        <f aca="false">AA4337+1</f>
        <v>45244</v>
      </c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</row>
    <row r="4339" customFormat="false" ht="13.8" hidden="false" customHeight="false" outlineLevel="0" collapsed="false">
      <c r="AA4339" s="7" t="n">
        <f aca="false">AA4338+1</f>
        <v>45245</v>
      </c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</row>
    <row r="4340" customFormat="false" ht="13.8" hidden="false" customHeight="false" outlineLevel="0" collapsed="false">
      <c r="AA4340" s="7" t="n">
        <f aca="false">AA4339+1</f>
        <v>45246</v>
      </c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</row>
    <row r="4341" customFormat="false" ht="13.8" hidden="false" customHeight="false" outlineLevel="0" collapsed="false">
      <c r="AA4341" s="7" t="n">
        <f aca="false">AA4340+1</f>
        <v>45247</v>
      </c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</row>
    <row r="4342" customFormat="false" ht="13.8" hidden="false" customHeight="false" outlineLevel="0" collapsed="false">
      <c r="AA4342" s="7" t="n">
        <f aca="false">AA4341+1</f>
        <v>45248</v>
      </c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</row>
    <row r="4343" customFormat="false" ht="13.8" hidden="false" customHeight="false" outlineLevel="0" collapsed="false">
      <c r="AA4343" s="7" t="n">
        <f aca="false">AA4342+1</f>
        <v>45249</v>
      </c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</row>
    <row r="4344" customFormat="false" ht="13.8" hidden="false" customHeight="false" outlineLevel="0" collapsed="false">
      <c r="AA4344" s="7" t="n">
        <f aca="false">AA4343+1</f>
        <v>45250</v>
      </c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</row>
    <row r="4345" customFormat="false" ht="13.8" hidden="false" customHeight="false" outlineLevel="0" collapsed="false">
      <c r="AA4345" s="7" t="n">
        <f aca="false">AA4344+1</f>
        <v>45251</v>
      </c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</row>
    <row r="4346" customFormat="false" ht="13.8" hidden="false" customHeight="false" outlineLevel="0" collapsed="false">
      <c r="AA4346" s="7" t="n">
        <f aca="false">AA4345+1</f>
        <v>45252</v>
      </c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</row>
    <row r="4347" customFormat="false" ht="13.8" hidden="false" customHeight="false" outlineLevel="0" collapsed="false">
      <c r="AA4347" s="7" t="n">
        <f aca="false">AA4346+1</f>
        <v>45253</v>
      </c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</row>
    <row r="4348" customFormat="false" ht="13.8" hidden="false" customHeight="false" outlineLevel="0" collapsed="false">
      <c r="AA4348" s="7" t="n">
        <f aca="false">AA4347+1</f>
        <v>45254</v>
      </c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</row>
    <row r="4349" customFormat="false" ht="13.8" hidden="false" customHeight="false" outlineLevel="0" collapsed="false">
      <c r="AA4349" s="7" t="n">
        <f aca="false">AA4348+1</f>
        <v>45255</v>
      </c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</row>
    <row r="4350" customFormat="false" ht="13.8" hidden="false" customHeight="false" outlineLevel="0" collapsed="false">
      <c r="AA4350" s="7" t="n">
        <f aca="false">AA4349+1</f>
        <v>45256</v>
      </c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</row>
    <row r="4351" customFormat="false" ht="13.8" hidden="false" customHeight="false" outlineLevel="0" collapsed="false">
      <c r="AA4351" s="7" t="n">
        <f aca="false">AA4350+1</f>
        <v>45257</v>
      </c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</row>
    <row r="4352" customFormat="false" ht="13.8" hidden="false" customHeight="false" outlineLevel="0" collapsed="false">
      <c r="AA4352" s="7" t="n">
        <f aca="false">AA4351+1</f>
        <v>45258</v>
      </c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</row>
    <row r="4353" customFormat="false" ht="13.8" hidden="false" customHeight="false" outlineLevel="0" collapsed="false">
      <c r="AA4353" s="7" t="n">
        <f aca="false">AA4352+1</f>
        <v>45259</v>
      </c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</row>
    <row r="4354" customFormat="false" ht="13.8" hidden="false" customHeight="false" outlineLevel="0" collapsed="false">
      <c r="AA4354" s="7" t="n">
        <f aca="false">AA4353+1</f>
        <v>45260</v>
      </c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</row>
    <row r="4355" customFormat="false" ht="13.8" hidden="false" customHeight="false" outlineLevel="0" collapsed="false">
      <c r="AA4355" s="7" t="n">
        <f aca="false">AA4354+1</f>
        <v>45261</v>
      </c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</row>
    <row r="4356" customFormat="false" ht="13.8" hidden="false" customHeight="false" outlineLevel="0" collapsed="false">
      <c r="AA4356" s="7" t="n">
        <f aca="false">AA4355+1</f>
        <v>45262</v>
      </c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</row>
    <row r="4357" customFormat="false" ht="13.8" hidden="false" customHeight="false" outlineLevel="0" collapsed="false">
      <c r="AA4357" s="7" t="n">
        <f aca="false">AA4356+1</f>
        <v>45263</v>
      </c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</row>
    <row r="4358" customFormat="false" ht="13.8" hidden="false" customHeight="false" outlineLevel="0" collapsed="false">
      <c r="AA4358" s="7" t="n">
        <f aca="false">AA4357+1</f>
        <v>45264</v>
      </c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</row>
    <row r="4359" customFormat="false" ht="13.8" hidden="false" customHeight="false" outlineLevel="0" collapsed="false">
      <c r="AA4359" s="7" t="n">
        <f aca="false">AA4358+1</f>
        <v>45265</v>
      </c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</row>
    <row r="4360" customFormat="false" ht="13.8" hidden="false" customHeight="false" outlineLevel="0" collapsed="false">
      <c r="AA4360" s="7" t="n">
        <f aca="false">AA4359+1</f>
        <v>45266</v>
      </c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</row>
    <row r="4361" customFormat="false" ht="13.8" hidden="false" customHeight="false" outlineLevel="0" collapsed="false">
      <c r="AA4361" s="7" t="n">
        <f aca="false">AA4360+1</f>
        <v>45267</v>
      </c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</row>
    <row r="4362" customFormat="false" ht="13.8" hidden="false" customHeight="false" outlineLevel="0" collapsed="false">
      <c r="AA4362" s="7" t="n">
        <f aca="false">AA4361+1</f>
        <v>45268</v>
      </c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</row>
    <row r="4363" customFormat="false" ht="13.8" hidden="false" customHeight="false" outlineLevel="0" collapsed="false">
      <c r="AA4363" s="7" t="n">
        <f aca="false">AA4362+1</f>
        <v>45269</v>
      </c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</row>
    <row r="4364" customFormat="false" ht="13.8" hidden="false" customHeight="false" outlineLevel="0" collapsed="false">
      <c r="AA4364" s="7" t="n">
        <f aca="false">AA4363+1</f>
        <v>45270</v>
      </c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</row>
    <row r="4365" customFormat="false" ht="13.8" hidden="false" customHeight="false" outlineLevel="0" collapsed="false">
      <c r="AA4365" s="7" t="n">
        <f aca="false">AA4364+1</f>
        <v>45271</v>
      </c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</row>
    <row r="4366" customFormat="false" ht="13.8" hidden="false" customHeight="false" outlineLevel="0" collapsed="false">
      <c r="AA4366" s="7" t="n">
        <f aca="false">AA4365+1</f>
        <v>45272</v>
      </c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</row>
    <row r="4367" customFormat="false" ht="13.8" hidden="false" customHeight="false" outlineLevel="0" collapsed="false">
      <c r="AA4367" s="7" t="n">
        <f aca="false">AA4366+1</f>
        <v>45273</v>
      </c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</row>
    <row r="4368" customFormat="false" ht="13.8" hidden="false" customHeight="false" outlineLevel="0" collapsed="false">
      <c r="AA4368" s="7" t="n">
        <f aca="false">AA4367+1</f>
        <v>45274</v>
      </c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</row>
    <row r="4369" customFormat="false" ht="13.8" hidden="false" customHeight="false" outlineLevel="0" collapsed="false">
      <c r="AA4369" s="7" t="n">
        <f aca="false">AA4368+1</f>
        <v>45275</v>
      </c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</row>
    <row r="4370" customFormat="false" ht="13.8" hidden="false" customHeight="false" outlineLevel="0" collapsed="false">
      <c r="AA4370" s="7" t="n">
        <f aca="false">AA4369+1</f>
        <v>45276</v>
      </c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</row>
    <row r="4371" customFormat="false" ht="13.8" hidden="false" customHeight="false" outlineLevel="0" collapsed="false">
      <c r="AA4371" s="7" t="n">
        <f aca="false">AA4370+1</f>
        <v>45277</v>
      </c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</row>
    <row r="4372" customFormat="false" ht="13.8" hidden="false" customHeight="false" outlineLevel="0" collapsed="false">
      <c r="AA4372" s="7" t="n">
        <f aca="false">AA4371+1</f>
        <v>45278</v>
      </c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</row>
    <row r="4373" customFormat="false" ht="13.8" hidden="false" customHeight="false" outlineLevel="0" collapsed="false">
      <c r="AA4373" s="7" t="n">
        <f aca="false">AA4372+1</f>
        <v>45279</v>
      </c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</row>
    <row r="4374" customFormat="false" ht="13.8" hidden="false" customHeight="false" outlineLevel="0" collapsed="false">
      <c r="AA4374" s="7" t="n">
        <f aca="false">AA4373+1</f>
        <v>45280</v>
      </c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</row>
    <row r="4375" customFormat="false" ht="13.8" hidden="false" customHeight="false" outlineLevel="0" collapsed="false">
      <c r="AA4375" s="7" t="n">
        <f aca="false">AA4374+1</f>
        <v>45281</v>
      </c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</row>
    <row r="4376" customFormat="false" ht="13.8" hidden="false" customHeight="false" outlineLevel="0" collapsed="false">
      <c r="AA4376" s="7" t="n">
        <f aca="false">AA4375+1</f>
        <v>45282</v>
      </c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</row>
    <row r="4377" customFormat="false" ht="13.8" hidden="false" customHeight="false" outlineLevel="0" collapsed="false">
      <c r="AA4377" s="7" t="n">
        <f aca="false">AA4376+1</f>
        <v>45283</v>
      </c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</row>
    <row r="4378" customFormat="false" ht="13.8" hidden="false" customHeight="false" outlineLevel="0" collapsed="false">
      <c r="AA4378" s="7" t="n">
        <f aca="false">AA4377+1</f>
        <v>45284</v>
      </c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</row>
    <row r="4379" customFormat="false" ht="13.8" hidden="false" customHeight="false" outlineLevel="0" collapsed="false">
      <c r="AA4379" s="7" t="n">
        <f aca="false">AA4378+1</f>
        <v>45285</v>
      </c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</row>
    <row r="4380" customFormat="false" ht="13.8" hidden="false" customHeight="false" outlineLevel="0" collapsed="false">
      <c r="AA4380" s="7" t="n">
        <f aca="false">AA4379+1</f>
        <v>45286</v>
      </c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</row>
    <row r="4381" customFormat="false" ht="13.8" hidden="false" customHeight="false" outlineLevel="0" collapsed="false">
      <c r="AA4381" s="7" t="n">
        <f aca="false">AA4380+1</f>
        <v>45287</v>
      </c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</row>
    <row r="4382" customFormat="false" ht="13.8" hidden="false" customHeight="false" outlineLevel="0" collapsed="false">
      <c r="AA4382" s="7" t="n">
        <f aca="false">AA4381+1</f>
        <v>45288</v>
      </c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</row>
    <row r="4383" customFormat="false" ht="13.8" hidden="false" customHeight="false" outlineLevel="0" collapsed="false">
      <c r="AA4383" s="7" t="n">
        <f aca="false">AA4382+1</f>
        <v>45289</v>
      </c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</row>
    <row r="4384" customFormat="false" ht="13.8" hidden="false" customHeight="false" outlineLevel="0" collapsed="false">
      <c r="AA4384" s="7" t="n">
        <f aca="false">AA4383+1</f>
        <v>45290</v>
      </c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</row>
    <row r="4385" customFormat="false" ht="13.8" hidden="false" customHeight="false" outlineLevel="0" collapsed="false">
      <c r="AA4385" s="7" t="n">
        <f aca="false">AA4384+1</f>
        <v>45291</v>
      </c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</row>
    <row r="4386" customFormat="false" ht="14.25" hidden="false" customHeight="false" outlineLevel="0" collapsed="false">
      <c r="AA4386" s="7"/>
    </row>
    <row r="4387" customFormat="false" ht="14.25" hidden="false" customHeight="false" outlineLevel="0" collapsed="false">
      <c r="AA4387" s="7"/>
    </row>
    <row r="4388" customFormat="false" ht="14.25" hidden="false" customHeight="false" outlineLevel="0" collapsed="false">
      <c r="AA4388" s="7"/>
    </row>
    <row r="4389" customFormat="false" ht="14.25" hidden="false" customHeight="false" outlineLevel="0" collapsed="false">
      <c r="AA4389" s="7"/>
    </row>
    <row r="4390" customFormat="false" ht="14.25" hidden="false" customHeight="false" outlineLevel="0" collapsed="false">
      <c r="AA4390" s="7"/>
    </row>
    <row r="4391" customFormat="false" ht="14.25" hidden="false" customHeight="false" outlineLevel="0" collapsed="false">
      <c r="AA4391" s="7"/>
    </row>
    <row r="4392" customFormat="false" ht="14.25" hidden="false" customHeight="false" outlineLevel="0" collapsed="false">
      <c r="AA4392" s="7"/>
    </row>
    <row r="4393" customFormat="false" ht="14.25" hidden="false" customHeight="false" outlineLevel="0" collapsed="false">
      <c r="AA4393" s="7"/>
    </row>
    <row r="4394" customFormat="false" ht="14.25" hidden="false" customHeight="false" outlineLevel="0" collapsed="false">
      <c r="AA4394" s="7"/>
    </row>
    <row r="4395" customFormat="false" ht="14.25" hidden="false" customHeight="false" outlineLevel="0" collapsed="false">
      <c r="AA4395" s="7"/>
    </row>
    <row r="4396" customFormat="false" ht="14.25" hidden="false" customHeight="false" outlineLevel="0" collapsed="false">
      <c r="AA4396" s="7"/>
    </row>
    <row r="4397" customFormat="false" ht="14.25" hidden="false" customHeight="false" outlineLevel="0" collapsed="false">
      <c r="AA4397" s="7"/>
    </row>
    <row r="4398" customFormat="false" ht="14.25" hidden="false" customHeight="false" outlineLevel="0" collapsed="false">
      <c r="AA4398" s="7"/>
    </row>
    <row r="4399" customFormat="false" ht="14.25" hidden="false" customHeight="false" outlineLevel="0" collapsed="false">
      <c r="AA4399" s="7"/>
    </row>
    <row r="4400" customFormat="false" ht="14.25" hidden="false" customHeight="false" outlineLevel="0" collapsed="false">
      <c r="AA4400" s="7"/>
    </row>
    <row r="4401" customFormat="false" ht="14.25" hidden="false" customHeight="false" outlineLevel="0" collapsed="false">
      <c r="AA4401" s="7"/>
    </row>
    <row r="4402" customFormat="false" ht="14.25" hidden="false" customHeight="false" outlineLevel="0" collapsed="false">
      <c r="AA4402" s="7"/>
    </row>
    <row r="4403" customFormat="false" ht="14.25" hidden="false" customHeight="false" outlineLevel="0" collapsed="false">
      <c r="AA4403" s="7"/>
    </row>
    <row r="4404" customFormat="false" ht="14.25" hidden="false" customHeight="false" outlineLevel="0" collapsed="false">
      <c r="AA4404" s="7"/>
    </row>
    <row r="4405" customFormat="false" ht="14.25" hidden="false" customHeight="false" outlineLevel="0" collapsed="false">
      <c r="AA4405" s="7"/>
    </row>
    <row r="4406" customFormat="false" ht="14.25" hidden="false" customHeight="false" outlineLevel="0" collapsed="false">
      <c r="AA4406" s="7"/>
    </row>
    <row r="4407" customFormat="false" ht="14.25" hidden="false" customHeight="false" outlineLevel="0" collapsed="false">
      <c r="AA4407" s="7"/>
    </row>
    <row r="4408" customFormat="false" ht="14.25" hidden="false" customHeight="false" outlineLevel="0" collapsed="false">
      <c r="AA4408" s="7"/>
    </row>
    <row r="4409" customFormat="false" ht="14.25" hidden="false" customHeight="false" outlineLevel="0" collapsed="false">
      <c r="AA4409" s="7"/>
    </row>
    <row r="4410" customFormat="false" ht="14.25" hidden="false" customHeight="false" outlineLevel="0" collapsed="false">
      <c r="AA4410" s="7"/>
    </row>
    <row r="4411" customFormat="false" ht="14.25" hidden="false" customHeight="false" outlineLevel="0" collapsed="false">
      <c r="AA4411" s="7"/>
    </row>
    <row r="4412" customFormat="false" ht="14.25" hidden="false" customHeight="false" outlineLevel="0" collapsed="false">
      <c r="AA4412" s="7"/>
    </row>
    <row r="4413" customFormat="false" ht="14.25" hidden="false" customHeight="false" outlineLevel="0" collapsed="false">
      <c r="AA4413" s="7"/>
    </row>
    <row r="4414" customFormat="false" ht="14.25" hidden="false" customHeight="false" outlineLevel="0" collapsed="false">
      <c r="AA4414" s="7"/>
    </row>
    <row r="4415" customFormat="false" ht="14.25" hidden="false" customHeight="false" outlineLevel="0" collapsed="false">
      <c r="AA4415" s="7"/>
    </row>
    <row r="4416" customFormat="false" ht="14.25" hidden="false" customHeight="false" outlineLevel="0" collapsed="false">
      <c r="AA4416" s="7"/>
    </row>
    <row r="4417" customFormat="false" ht="14.25" hidden="false" customHeight="false" outlineLevel="0" collapsed="false">
      <c r="AA4417" s="7"/>
    </row>
    <row r="4418" customFormat="false" ht="14.25" hidden="false" customHeight="false" outlineLevel="0" collapsed="false">
      <c r="AA4418" s="7"/>
    </row>
    <row r="4419" customFormat="false" ht="14.25" hidden="false" customHeight="false" outlineLevel="0" collapsed="false">
      <c r="AA4419" s="7"/>
    </row>
    <row r="4420" customFormat="false" ht="14.25" hidden="false" customHeight="false" outlineLevel="0" collapsed="false">
      <c r="AA4420" s="7"/>
    </row>
    <row r="4421" customFormat="false" ht="14.25" hidden="false" customHeight="false" outlineLevel="0" collapsed="false">
      <c r="AA4421" s="7"/>
    </row>
    <row r="4422" customFormat="false" ht="14.25" hidden="false" customHeight="false" outlineLevel="0" collapsed="false">
      <c r="AA4422" s="7"/>
    </row>
    <row r="4423" customFormat="false" ht="14.25" hidden="false" customHeight="false" outlineLevel="0" collapsed="false">
      <c r="AA4423" s="7"/>
    </row>
    <row r="4424" customFormat="false" ht="14.25" hidden="false" customHeight="false" outlineLevel="0" collapsed="false">
      <c r="AA4424" s="7"/>
    </row>
    <row r="4425" customFormat="false" ht="14.25" hidden="false" customHeight="false" outlineLevel="0" collapsed="false">
      <c r="AA4425" s="7"/>
    </row>
    <row r="4426" customFormat="false" ht="14.25" hidden="false" customHeight="false" outlineLevel="0" collapsed="false">
      <c r="AA4426" s="7"/>
    </row>
    <row r="4427" customFormat="false" ht="14.25" hidden="false" customHeight="false" outlineLevel="0" collapsed="false">
      <c r="AA4427" s="7"/>
    </row>
    <row r="4428" customFormat="false" ht="14.25" hidden="false" customHeight="false" outlineLevel="0" collapsed="false">
      <c r="AA4428" s="7"/>
    </row>
    <row r="4429" customFormat="false" ht="14.25" hidden="false" customHeight="false" outlineLevel="0" collapsed="false">
      <c r="AA4429" s="7"/>
    </row>
    <row r="4430" customFormat="false" ht="14.25" hidden="false" customHeight="false" outlineLevel="0" collapsed="false">
      <c r="AA4430" s="7"/>
    </row>
    <row r="4431" customFormat="false" ht="14.25" hidden="false" customHeight="false" outlineLevel="0" collapsed="false">
      <c r="AA4431" s="7"/>
    </row>
    <row r="4432" customFormat="false" ht="14.25" hidden="false" customHeight="false" outlineLevel="0" collapsed="false">
      <c r="AA4432" s="7"/>
    </row>
    <row r="4433" customFormat="false" ht="14.25" hidden="false" customHeight="false" outlineLevel="0" collapsed="false">
      <c r="AA4433" s="7"/>
    </row>
    <row r="4434" customFormat="false" ht="14.25" hidden="false" customHeight="false" outlineLevel="0" collapsed="false">
      <c r="AA4434" s="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N372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3" activeCellId="0" sqref="B3"/>
    </sheetView>
  </sheetViews>
  <sheetFormatPr defaultColWidth="8.453125" defaultRowHeight="14.25" zeroHeight="false" outlineLevelRow="0" outlineLevelCol="0"/>
  <cols>
    <col collapsed="false" customWidth="true" hidden="false" outlineLevel="0" max="2" min="2" style="1" width="32.44"/>
    <col collapsed="false" customWidth="true" hidden="false" outlineLevel="0" max="13" min="11" style="1" width="10.66"/>
  </cols>
  <sheetData>
    <row r="1" customFormat="false" ht="15" hidden="false" customHeight="false" outlineLevel="0" collapsed="false"/>
    <row r="2" customFormat="false" ht="15" hidden="false" customHeight="false" outlineLevel="0" collapsed="false">
      <c r="I2" s="1" t="s">
        <v>2</v>
      </c>
      <c r="J2" s="18" t="n">
        <v>5</v>
      </c>
      <c r="K2" s="1" t="s">
        <v>3</v>
      </c>
      <c r="N2" s="1" t="e">
        <f aca="false">MATCH($B$3,daily_items,0)</f>
        <v>#N/A</v>
      </c>
      <c r="Q2" s="1" t="n">
        <f aca="false" t="array" ref="Q2:AB2">daily_items</f>
        <v>0</v>
      </c>
      <c r="R2" s="1" t="n">
        <v>0</v>
      </c>
      <c r="S2" s="1" t="n">
        <v>0</v>
      </c>
      <c r="T2" s="1" t="n">
        <v>0</v>
      </c>
      <c r="U2" s="1" t="n">
        <v>0</v>
      </c>
      <c r="V2" s="1" t="n">
        <v>0</v>
      </c>
      <c r="W2" s="1" t="n">
        <v>0</v>
      </c>
      <c r="X2" s="1" t="n">
        <v>0</v>
      </c>
      <c r="Y2" s="1" t="n">
        <v>0</v>
      </c>
      <c r="Z2" s="1" t="n">
        <v>0</v>
      </c>
      <c r="AA2" s="1" t="n">
        <v>0</v>
      </c>
      <c r="AB2" s="1" t="n">
        <v>0</v>
      </c>
    </row>
    <row r="3" customFormat="false" ht="14.25" hidden="false" customHeight="false" outlineLevel="0" collapsed="false">
      <c r="B3" s="19" t="s">
        <v>4</v>
      </c>
    </row>
    <row r="4" customFormat="false" ht="15" hidden="false" customHeight="false" outlineLevel="0" collapsed="false"/>
    <row r="5" customFormat="false" ht="14.25" hidden="false" customHeight="false" outlineLevel="0" collapsed="false">
      <c r="H5" s="20"/>
      <c r="I5" s="20" t="s">
        <v>5</v>
      </c>
      <c r="J5" s="20" t="s">
        <v>6</v>
      </c>
      <c r="K5" s="20" t="s">
        <v>7</v>
      </c>
      <c r="L5" s="20" t="s">
        <v>8</v>
      </c>
      <c r="M5" s="20" t="str">
        <f aca="false">N5&amp;"F"</f>
        <v>2023F</v>
      </c>
      <c r="N5" s="21" t="n">
        <v>2023</v>
      </c>
      <c r="O5" s="20" t="n">
        <f aca="false">N5-1</f>
        <v>2022</v>
      </c>
      <c r="P5" s="20" t="n">
        <f aca="false">O5-1</f>
        <v>2021</v>
      </c>
      <c r="Q5" s="20" t="n">
        <f aca="false">P5-1</f>
        <v>2020</v>
      </c>
      <c r="R5" s="20" t="n">
        <f aca="false">Q5-1</f>
        <v>2019</v>
      </c>
      <c r="S5" s="20" t="n">
        <f aca="false">R5-1</f>
        <v>2018</v>
      </c>
      <c r="T5" s="20" t="n">
        <f aca="false">S5-1</f>
        <v>2017</v>
      </c>
      <c r="U5" s="20" t="n">
        <f aca="false">T5-1</f>
        <v>2016</v>
      </c>
      <c r="V5" s="20" t="n">
        <f aca="false">U5-1</f>
        <v>2015</v>
      </c>
      <c r="W5" s="20" t="n">
        <f aca="false">V5-1</f>
        <v>2014</v>
      </c>
      <c r="X5" s="20" t="n">
        <f aca="false">W5-1</f>
        <v>2013</v>
      </c>
      <c r="Y5" s="20" t="n">
        <f aca="false">X5-1</f>
        <v>2012</v>
      </c>
      <c r="Z5" s="20" t="s">
        <v>9</v>
      </c>
      <c r="AA5" s="20" t="s">
        <v>10</v>
      </c>
      <c r="AB5" s="20" t="str">
        <f aca="true">"min-max (2019 -"&amp;OFFSET($R$5,0,$J$2)&amp; ")"</f>
        <v>min-max (2019 -2014)</v>
      </c>
      <c r="AC5" s="20" t="s">
        <v>11</v>
      </c>
    </row>
    <row r="6" customFormat="false" ht="14.25" hidden="false" customHeight="false" outlineLevel="0" collapsed="false">
      <c r="B6" s="22" t="s">
        <v>12</v>
      </c>
      <c r="H6" s="1" t="n">
        <v>1</v>
      </c>
      <c r="I6" s="1" t="n">
        <f aca="false">DAY(K6)</f>
        <v>1</v>
      </c>
      <c r="J6" s="1" t="n">
        <f aca="false">MONTH(K6)</f>
        <v>1</v>
      </c>
      <c r="K6" s="23" t="n">
        <v>36526</v>
      </c>
      <c r="L6" s="24" t="n">
        <f aca="true">IF(TODAY()&lt;DATE($N$5,J6,I6),1000000,-1000000)</f>
        <v>-1000000</v>
      </c>
      <c r="M6" s="1" t="e">
        <f aca="false">IF(K6&gt;0,INDEX(big_daily_table,MATCH(DATE(N$5,$J6,$I6),daily_dates,0),MATCH($B$3,daily_items,0)),NA())</f>
        <v>#N/A</v>
      </c>
      <c r="N6" s="1" t="e">
        <f aca="false">IF(L6&lt;0,INDEX(big_daily_table,MATCH(DATE(N$5,$J6,$I6),daily_dates,0),MATCH($B$3,daily_items,0)),NA())</f>
        <v>#N/A</v>
      </c>
      <c r="O6" s="1" t="e">
        <f aca="false">IF(ISBLANK(INDEX(big_daily_table,MATCH(DATE(O$5,$J6,$I6),daily_dates,0),MATCH($B$3,daily_items,0))),NA(),INDEX(big_daily_table,MATCH(DATE(O$5,$J6,$I6),daily_dates,0),MATCH($B$3,daily_items,0)))</f>
        <v>#N/A</v>
      </c>
      <c r="P6" s="1" t="e">
        <f aca="false">IF(ISBLANK(INDEX(big_daily_table,MATCH(DATE(P$5,$J6,$I6),daily_dates,0),MATCH($B$3,daily_items,0))),NA(),INDEX(big_daily_table,MATCH(DATE(P$5,$J6,$I6),daily_dates,0),MATCH($B$3,daily_items,0)))</f>
        <v>#N/A</v>
      </c>
      <c r="Q6" s="1" t="e">
        <f aca="false">IF(ISBLANK(INDEX(big_daily_table,MATCH(DATE(Q$5,$J6,$I6),daily_dates,0),MATCH($B$3,daily_items,0))),NA(),INDEX(big_daily_table,MATCH(DATE(Q$5,$J6,$I6),daily_dates,0),MATCH($B$3,daily_items,0)))</f>
        <v>#N/A</v>
      </c>
      <c r="R6" s="1" t="e">
        <f aca="false">IF(ISBLANK(INDEX(big_daily_table,MATCH(DATE(R$5,$J6,$I6),daily_dates,0),MATCH($B$3,daily_items,0))),NA(),INDEX(big_daily_table,MATCH(DATE(R$5,$J6,$I6),daily_dates,0),MATCH($B$3,daily_items,0)))</f>
        <v>#N/A</v>
      </c>
      <c r="S6" s="1" t="e">
        <f aca="false">IF(ISBLANK(INDEX(big_daily_table,MATCH(DATE(S$5,$J6,$I6),daily_dates,0),MATCH($B$3,daily_items,0))),NA(),INDEX(big_daily_table,MATCH(DATE(S$5,$J6,$I6),daily_dates,0),MATCH($B$3,daily_items,0)))</f>
        <v>#N/A</v>
      </c>
      <c r="T6" s="1" t="e">
        <f aca="false">IF(ISBLANK(INDEX(big_daily_table,MATCH(DATE(T$5,$J6,$I6),daily_dates,0),MATCH($B$3,daily_items,0))),NA(),INDEX(big_daily_table,MATCH(DATE(T$5,$J6,$I6),daily_dates,0),MATCH($B$3,daily_items,0)))</f>
        <v>#N/A</v>
      </c>
      <c r="U6" s="1" t="e">
        <f aca="false">IF(ISBLANK(INDEX(big_daily_table,MATCH(DATE(U$5,$J6,$I6),daily_dates,0),MATCH($B$3,daily_items,0))),NA(),INDEX(big_daily_table,MATCH(DATE(U$5,$J6,$I6),daily_dates,0),MATCH($B$3,daily_items,0)))</f>
        <v>#N/A</v>
      </c>
      <c r="V6" s="1" t="e">
        <f aca="false">IF(ISBLANK(INDEX(big_daily_table,MATCH(DATE(V$5,$J6,$I6),daily_dates,0),MATCH($B$3,daily_items,0))),NA(),INDEX(big_daily_table,MATCH(DATE(V$5,$J6,$I6),daily_dates,0),MATCH($B$3,daily_items,0)))</f>
        <v>#N/A</v>
      </c>
      <c r="W6" s="1" t="e">
        <f aca="false">IF(ISBLANK(INDEX(big_daily_table,MATCH(DATE(W$5,$J6,$I6),daily_dates,0),MATCH($B$3,daily_items,0))),NA(),INDEX(big_daily_table,MATCH(DATE(W$5,$J6,$I6),daily_dates,0),MATCH($B$3,daily_items,0)))</f>
        <v>#N/A</v>
      </c>
      <c r="X6" s="1" t="e">
        <f aca="false">IF(ISBLANK(INDEX(big_daily_table,MATCH(DATE(X$5,$J6,$I6),daily_dates,0),MATCH($B$3,daily_items,0))),NA(),INDEX(big_daily_table,MATCH(DATE(X$5,$J6,$I6),daily_dates,0),MATCH($B$3,daily_items,0)))</f>
        <v>#N/A</v>
      </c>
      <c r="Y6" s="1" t="e">
        <f aca="false">IF(ISBLANK(INDEX(big_daily_table,MATCH(DATE(Y$5,$J6,$I6),daily_dates,0),MATCH($B$3,daily_items,0))),NA(),INDEX(big_daily_table,MATCH(DATE(Y$5,$J6,$I6),daily_dates,0),MATCH($B$3,daily_items,0)))</f>
        <v>#N/A</v>
      </c>
      <c r="Z6" s="1" t="n">
        <f aca="true">_xlfn.AGGREGATE(5,6,OFFSET($R$5,H6,0,1,$J$2))</f>
        <v>0</v>
      </c>
      <c r="AA6" s="1" t="n">
        <f aca="true">_xlfn.AGGREGATE(4,6,OFFSET($R$5,H6,0,1,$J$2))</f>
        <v>0</v>
      </c>
      <c r="AB6" s="1" t="n">
        <f aca="false">AA6-Z6</f>
        <v>0</v>
      </c>
      <c r="AC6" s="1" t="e">
        <f aca="true">_xlfn.AGGREGATE(1,6,OFFSET($R$5,H6,0,1,$J$2))</f>
        <v>#DIV/0!</v>
      </c>
    </row>
    <row r="7" customFormat="false" ht="14.25" hidden="false" customHeight="false" outlineLevel="0" collapsed="false">
      <c r="H7" s="1" t="n">
        <f aca="false">H6+1</f>
        <v>2</v>
      </c>
      <c r="I7" s="1" t="n">
        <f aca="false">DAY(K7)</f>
        <v>2</v>
      </c>
      <c r="J7" s="1" t="n">
        <f aca="false">MONTH(K7)</f>
        <v>1</v>
      </c>
      <c r="K7" s="23" t="n">
        <f aca="false">K6+1</f>
        <v>36527</v>
      </c>
      <c r="L7" s="24" t="n">
        <f aca="true">IF(TODAY()&lt;DATE($N$5,J7,I7),1000000,-1000000)</f>
        <v>-1000000</v>
      </c>
      <c r="M7" s="1" t="e">
        <f aca="false">IF(K7&gt;0,INDEX(big_daily_table,MATCH(DATE(N$5,$J7,$I7),daily_dates,0),MATCH($B$3,daily_items,0)),NA())</f>
        <v>#N/A</v>
      </c>
      <c r="N7" s="1" t="e">
        <f aca="false">IF(L7&lt;0,INDEX(big_daily_table,MATCH(DATE(N$5,$J7,$I7),daily_dates,0),MATCH($B$3,daily_items,0)),NA())</f>
        <v>#N/A</v>
      </c>
      <c r="O7" s="1" t="e">
        <f aca="false">IF(ISBLANK(INDEX(big_daily_table,MATCH(DATE(O$5,$J7,$I7),daily_dates,0),MATCH($B$3,daily_items,0))),NA(),INDEX(big_daily_table,MATCH(DATE(O$5,$J7,$I7),daily_dates,0),MATCH($B$3,daily_items,0)))</f>
        <v>#N/A</v>
      </c>
      <c r="P7" s="1" t="e">
        <f aca="false">IF(ISBLANK(INDEX(big_daily_table,MATCH(DATE(P$5,$J7,$I7),daily_dates,0),MATCH($B$3,daily_items,0))),NA(),INDEX(big_daily_table,MATCH(DATE(P$5,$J7,$I7),daily_dates,0),MATCH($B$3,daily_items,0)))</f>
        <v>#N/A</v>
      </c>
      <c r="Q7" s="1" t="e">
        <f aca="false">IF(ISBLANK(INDEX(big_daily_table,MATCH(DATE(Q$5,$J7,$I7),daily_dates,0),MATCH($B$3,daily_items,0))),NA(),INDEX(big_daily_table,MATCH(DATE(Q$5,$J7,$I7),daily_dates,0),MATCH($B$3,daily_items,0)))</f>
        <v>#N/A</v>
      </c>
      <c r="R7" s="1" t="e">
        <f aca="false">IF(ISBLANK(INDEX(big_daily_table,MATCH(DATE(R$5,$J7,$I7),daily_dates,0),MATCH($B$3,daily_items,0))),NA(),INDEX(big_daily_table,MATCH(DATE(R$5,$J7,$I7),daily_dates,0),MATCH($B$3,daily_items,0)))</f>
        <v>#N/A</v>
      </c>
      <c r="S7" s="1" t="e">
        <f aca="false">IF(ISBLANK(INDEX(big_daily_table,MATCH(DATE(S$5,$J7,$I7),daily_dates,0),MATCH($B$3,daily_items,0))),NA(),INDEX(big_daily_table,MATCH(DATE(S$5,$J7,$I7),daily_dates,0),MATCH($B$3,daily_items,0)))</f>
        <v>#N/A</v>
      </c>
      <c r="T7" s="1" t="e">
        <f aca="false">IF(ISBLANK(INDEX(big_daily_table,MATCH(DATE(T$5,$J7,$I7),daily_dates,0),MATCH($B$3,daily_items,0))),NA(),INDEX(big_daily_table,MATCH(DATE(T$5,$J7,$I7),daily_dates,0),MATCH($B$3,daily_items,0)))</f>
        <v>#N/A</v>
      </c>
      <c r="U7" s="1" t="e">
        <f aca="false">IF(ISBLANK(INDEX(big_daily_table,MATCH(DATE(U$5,$J7,$I7),daily_dates,0),MATCH($B$3,daily_items,0))),NA(),INDEX(big_daily_table,MATCH(DATE(U$5,$J7,$I7),daily_dates,0),MATCH($B$3,daily_items,0)))</f>
        <v>#N/A</v>
      </c>
      <c r="V7" s="1" t="e">
        <f aca="false">IF(ISBLANK(INDEX(big_daily_table,MATCH(DATE(V$5,$J7,$I7),daily_dates,0),MATCH($B$3,daily_items,0))),NA(),INDEX(big_daily_table,MATCH(DATE(V$5,$J7,$I7),daily_dates,0),MATCH($B$3,daily_items,0)))</f>
        <v>#N/A</v>
      </c>
      <c r="W7" s="1" t="e">
        <f aca="false">IF(ISBLANK(INDEX(big_daily_table,MATCH(DATE(W$5,$J7,$I7),daily_dates,0),MATCH($B$3,daily_items,0))),NA(),INDEX(big_daily_table,MATCH(DATE(W$5,$J7,$I7),daily_dates,0),MATCH($B$3,daily_items,0)))</f>
        <v>#N/A</v>
      </c>
      <c r="X7" s="1" t="e">
        <f aca="false">IF(ISBLANK(INDEX(big_daily_table,MATCH(DATE(X$5,$J7,$I7),daily_dates,0),MATCH($B$3,daily_items,0))),NA(),INDEX(big_daily_table,MATCH(DATE(X$5,$J7,$I7),daily_dates,0),MATCH($B$3,daily_items,0)))</f>
        <v>#N/A</v>
      </c>
      <c r="Y7" s="1" t="e">
        <f aca="false">IF(ISBLANK(INDEX(big_daily_table,MATCH(DATE(Y$5,$J7,$I7),daily_dates,0),MATCH($B$3,daily_items,0))),NA(),INDEX(big_daily_table,MATCH(DATE(Y$5,$J7,$I7),daily_dates,0),MATCH($B$3,daily_items,0)))</f>
        <v>#N/A</v>
      </c>
      <c r="Z7" s="1" t="n">
        <f aca="true">_xlfn.AGGREGATE(5,6,OFFSET($R$5,H7,0,1,$J$2))</f>
        <v>0</v>
      </c>
      <c r="AA7" s="1" t="n">
        <f aca="true">_xlfn.AGGREGATE(4,6,OFFSET($R$5,H7,0,1,$J$2))</f>
        <v>0</v>
      </c>
      <c r="AB7" s="1" t="n">
        <f aca="false">AA7-Z7</f>
        <v>0</v>
      </c>
      <c r="AC7" s="1" t="e">
        <f aca="true">_xlfn.AGGREGATE(1,6,OFFSET($R$5,H7,0,1,$J$2))</f>
        <v>#DIV/0!</v>
      </c>
    </row>
    <row r="8" customFormat="false" ht="14.25" hidden="false" customHeight="false" outlineLevel="0" collapsed="false">
      <c r="H8" s="1" t="n">
        <f aca="false">H7+1</f>
        <v>3</v>
      </c>
      <c r="I8" s="1" t="n">
        <f aca="false">DAY(K8)</f>
        <v>3</v>
      </c>
      <c r="J8" s="1" t="n">
        <f aca="false">MONTH(K8)</f>
        <v>1</v>
      </c>
      <c r="K8" s="23" t="n">
        <f aca="false">K7+1</f>
        <v>36528</v>
      </c>
      <c r="L8" s="24" t="n">
        <f aca="true">IF(TODAY()&lt;DATE($N$5,J8,I8),1000000,-1000000)</f>
        <v>-1000000</v>
      </c>
      <c r="M8" s="1" t="e">
        <f aca="false">IF(K8&gt;0,INDEX(big_daily_table,MATCH(DATE(N$5,$J8,$I8),daily_dates,0),MATCH($B$3,daily_items,0)),NA())</f>
        <v>#N/A</v>
      </c>
      <c r="N8" s="1" t="e">
        <f aca="false">IF(L8&lt;0,INDEX(big_daily_table,MATCH(DATE(N$5,$J8,$I8),daily_dates,0),MATCH($B$3,daily_items,0)),NA())</f>
        <v>#N/A</v>
      </c>
      <c r="O8" s="1" t="e">
        <f aca="false">IF(ISBLANK(INDEX(big_daily_table,MATCH(DATE(O$5,$J8,$I8),daily_dates,0),MATCH($B$3,daily_items,0))),NA(),INDEX(big_daily_table,MATCH(DATE(O$5,$J8,$I8),daily_dates,0),MATCH($B$3,daily_items,0)))</f>
        <v>#N/A</v>
      </c>
      <c r="P8" s="1" t="e">
        <f aca="false">IF(ISBLANK(INDEX(big_daily_table,MATCH(DATE(P$5,$J8,$I8),daily_dates,0),MATCH($B$3,daily_items,0))),NA(),INDEX(big_daily_table,MATCH(DATE(P$5,$J8,$I8),daily_dates,0),MATCH($B$3,daily_items,0)))</f>
        <v>#N/A</v>
      </c>
      <c r="Q8" s="1" t="e">
        <f aca="false">IF(ISBLANK(INDEX(big_daily_table,MATCH(DATE(Q$5,$J8,$I8),daily_dates,0),MATCH($B$3,daily_items,0))),NA(),INDEX(big_daily_table,MATCH(DATE(Q$5,$J8,$I8),daily_dates,0),MATCH($B$3,daily_items,0)))</f>
        <v>#N/A</v>
      </c>
      <c r="R8" s="1" t="e">
        <f aca="false">IF(ISBLANK(INDEX(big_daily_table,MATCH(DATE(R$5,$J8,$I8),daily_dates,0),MATCH($B$3,daily_items,0))),NA(),INDEX(big_daily_table,MATCH(DATE(R$5,$J8,$I8),daily_dates,0),MATCH($B$3,daily_items,0)))</f>
        <v>#N/A</v>
      </c>
      <c r="S8" s="1" t="e">
        <f aca="false">IF(ISBLANK(INDEX(big_daily_table,MATCH(DATE(S$5,$J8,$I8),daily_dates,0),MATCH($B$3,daily_items,0))),NA(),INDEX(big_daily_table,MATCH(DATE(S$5,$J8,$I8),daily_dates,0),MATCH($B$3,daily_items,0)))</f>
        <v>#N/A</v>
      </c>
      <c r="T8" s="1" t="e">
        <f aca="false">IF(ISBLANK(INDEX(big_daily_table,MATCH(DATE(T$5,$J8,$I8),daily_dates,0),MATCH($B$3,daily_items,0))),NA(),INDEX(big_daily_table,MATCH(DATE(T$5,$J8,$I8),daily_dates,0),MATCH($B$3,daily_items,0)))</f>
        <v>#N/A</v>
      </c>
      <c r="U8" s="1" t="e">
        <f aca="false">IF(ISBLANK(INDEX(big_daily_table,MATCH(DATE(U$5,$J8,$I8),daily_dates,0),MATCH($B$3,daily_items,0))),NA(),INDEX(big_daily_table,MATCH(DATE(U$5,$J8,$I8),daily_dates,0),MATCH($B$3,daily_items,0)))</f>
        <v>#N/A</v>
      </c>
      <c r="V8" s="1" t="e">
        <f aca="false">IF(ISBLANK(INDEX(big_daily_table,MATCH(DATE(V$5,$J8,$I8),daily_dates,0),MATCH($B$3,daily_items,0))),NA(),INDEX(big_daily_table,MATCH(DATE(V$5,$J8,$I8),daily_dates,0),MATCH($B$3,daily_items,0)))</f>
        <v>#N/A</v>
      </c>
      <c r="W8" s="1" t="e">
        <f aca="false">IF(ISBLANK(INDEX(big_daily_table,MATCH(DATE(W$5,$J8,$I8),daily_dates,0),MATCH($B$3,daily_items,0))),NA(),INDEX(big_daily_table,MATCH(DATE(W$5,$J8,$I8),daily_dates,0),MATCH($B$3,daily_items,0)))</f>
        <v>#N/A</v>
      </c>
      <c r="X8" s="1" t="e">
        <f aca="false">IF(ISBLANK(INDEX(big_daily_table,MATCH(DATE(X$5,$J8,$I8),daily_dates,0),MATCH($B$3,daily_items,0))),NA(),INDEX(big_daily_table,MATCH(DATE(X$5,$J8,$I8),daily_dates,0),MATCH($B$3,daily_items,0)))</f>
        <v>#N/A</v>
      </c>
      <c r="Y8" s="1" t="e">
        <f aca="false">IF(ISBLANK(INDEX(big_daily_table,MATCH(DATE(Y$5,$J8,$I8),daily_dates,0),MATCH($B$3,daily_items,0))),NA(),INDEX(big_daily_table,MATCH(DATE(Y$5,$J8,$I8),daily_dates,0),MATCH($B$3,daily_items,0)))</f>
        <v>#N/A</v>
      </c>
      <c r="Z8" s="1" t="n">
        <f aca="true">_xlfn.AGGREGATE(5,6,OFFSET($R$5,H8,0,1,$J$2))</f>
        <v>0</v>
      </c>
      <c r="AA8" s="1" t="n">
        <f aca="true">_xlfn.AGGREGATE(4,6,OFFSET($R$5,H8,0,1,$J$2))</f>
        <v>0</v>
      </c>
      <c r="AB8" s="1" t="n">
        <f aca="false">AA8-Z8</f>
        <v>0</v>
      </c>
      <c r="AC8" s="1" t="e">
        <f aca="true">_xlfn.AGGREGATE(1,6,OFFSET($R$5,H8,0,1,$J$2))</f>
        <v>#DIV/0!</v>
      </c>
    </row>
    <row r="9" customFormat="false" ht="14.25" hidden="false" customHeight="false" outlineLevel="0" collapsed="false">
      <c r="H9" s="1" t="n">
        <f aca="false">H8+1</f>
        <v>4</v>
      </c>
      <c r="I9" s="1" t="n">
        <f aca="false">DAY(K9)</f>
        <v>4</v>
      </c>
      <c r="J9" s="1" t="n">
        <f aca="false">MONTH(K9)</f>
        <v>1</v>
      </c>
      <c r="K9" s="23" t="n">
        <f aca="false">K8+1</f>
        <v>36529</v>
      </c>
      <c r="L9" s="24" t="n">
        <f aca="true">IF(TODAY()&lt;DATE($N$5,J9,I9),1000000,-1000000)</f>
        <v>-1000000</v>
      </c>
      <c r="M9" s="1" t="e">
        <f aca="false">IF(K9&gt;0,INDEX(big_daily_table,MATCH(DATE(N$5,$J9,$I9),daily_dates,0),MATCH($B$3,daily_items,0)),NA())</f>
        <v>#N/A</v>
      </c>
      <c r="N9" s="1" t="e">
        <f aca="false">IF(L9&lt;0,INDEX(big_daily_table,MATCH(DATE(N$5,$J9,$I9),daily_dates,0),MATCH($B$3,daily_items,0)),NA())</f>
        <v>#N/A</v>
      </c>
      <c r="O9" s="1" t="e">
        <f aca="false">IF(ISBLANK(INDEX(big_daily_table,MATCH(DATE(O$5,$J9,$I9),daily_dates,0),MATCH($B$3,daily_items,0))),NA(),INDEX(big_daily_table,MATCH(DATE(O$5,$J9,$I9),daily_dates,0),MATCH($B$3,daily_items,0)))</f>
        <v>#N/A</v>
      </c>
      <c r="P9" s="1" t="e">
        <f aca="false">IF(ISBLANK(INDEX(big_daily_table,MATCH(DATE(P$5,$J9,$I9),daily_dates,0),MATCH($B$3,daily_items,0))),NA(),INDEX(big_daily_table,MATCH(DATE(P$5,$J9,$I9),daily_dates,0),MATCH($B$3,daily_items,0)))</f>
        <v>#N/A</v>
      </c>
      <c r="Q9" s="1" t="e">
        <f aca="false">IF(ISBLANK(INDEX(big_daily_table,MATCH(DATE(Q$5,$J9,$I9),daily_dates,0),MATCH($B$3,daily_items,0))),NA(),INDEX(big_daily_table,MATCH(DATE(Q$5,$J9,$I9),daily_dates,0),MATCH($B$3,daily_items,0)))</f>
        <v>#N/A</v>
      </c>
      <c r="R9" s="1" t="e">
        <f aca="false">IF(ISBLANK(INDEX(big_daily_table,MATCH(DATE(R$5,$J9,$I9),daily_dates,0),MATCH($B$3,daily_items,0))),NA(),INDEX(big_daily_table,MATCH(DATE(R$5,$J9,$I9),daily_dates,0),MATCH($B$3,daily_items,0)))</f>
        <v>#N/A</v>
      </c>
      <c r="S9" s="1" t="e">
        <f aca="false">IF(ISBLANK(INDEX(big_daily_table,MATCH(DATE(S$5,$J9,$I9),daily_dates,0),MATCH($B$3,daily_items,0))),NA(),INDEX(big_daily_table,MATCH(DATE(S$5,$J9,$I9),daily_dates,0),MATCH($B$3,daily_items,0)))</f>
        <v>#N/A</v>
      </c>
      <c r="T9" s="1" t="e">
        <f aca="false">IF(ISBLANK(INDEX(big_daily_table,MATCH(DATE(T$5,$J9,$I9),daily_dates,0),MATCH($B$3,daily_items,0))),NA(),INDEX(big_daily_table,MATCH(DATE(T$5,$J9,$I9),daily_dates,0),MATCH($B$3,daily_items,0)))</f>
        <v>#N/A</v>
      </c>
      <c r="U9" s="1" t="e">
        <f aca="false">IF(ISBLANK(INDEX(big_daily_table,MATCH(DATE(U$5,$J9,$I9),daily_dates,0),MATCH($B$3,daily_items,0))),NA(),INDEX(big_daily_table,MATCH(DATE(U$5,$J9,$I9),daily_dates,0),MATCH($B$3,daily_items,0)))</f>
        <v>#N/A</v>
      </c>
      <c r="V9" s="1" t="e">
        <f aca="false">IF(ISBLANK(INDEX(big_daily_table,MATCH(DATE(V$5,$J9,$I9),daily_dates,0),MATCH($B$3,daily_items,0))),NA(),INDEX(big_daily_table,MATCH(DATE(V$5,$J9,$I9),daily_dates,0),MATCH($B$3,daily_items,0)))</f>
        <v>#N/A</v>
      </c>
      <c r="W9" s="1" t="e">
        <f aca="false">IF(ISBLANK(INDEX(big_daily_table,MATCH(DATE(W$5,$J9,$I9),daily_dates,0),MATCH($B$3,daily_items,0))),NA(),INDEX(big_daily_table,MATCH(DATE(W$5,$J9,$I9),daily_dates,0),MATCH($B$3,daily_items,0)))</f>
        <v>#N/A</v>
      </c>
      <c r="X9" s="1" t="e">
        <f aca="false">IF(ISBLANK(INDEX(big_daily_table,MATCH(DATE(X$5,$J9,$I9),daily_dates,0),MATCH($B$3,daily_items,0))),NA(),INDEX(big_daily_table,MATCH(DATE(X$5,$J9,$I9),daily_dates,0),MATCH($B$3,daily_items,0)))</f>
        <v>#N/A</v>
      </c>
      <c r="Y9" s="1" t="e">
        <f aca="false">IF(ISBLANK(INDEX(big_daily_table,MATCH(DATE(Y$5,$J9,$I9),daily_dates,0),MATCH($B$3,daily_items,0))),NA(),INDEX(big_daily_table,MATCH(DATE(Y$5,$J9,$I9),daily_dates,0),MATCH($B$3,daily_items,0)))</f>
        <v>#N/A</v>
      </c>
      <c r="Z9" s="1" t="n">
        <f aca="true">_xlfn.AGGREGATE(5,6,OFFSET($R$5,H9,0,1,$J$2))</f>
        <v>0</v>
      </c>
      <c r="AA9" s="1" t="n">
        <f aca="true">_xlfn.AGGREGATE(4,6,OFFSET($R$5,H9,0,1,$J$2))</f>
        <v>0</v>
      </c>
      <c r="AB9" s="1" t="n">
        <f aca="false">AA9-Z9</f>
        <v>0</v>
      </c>
      <c r="AC9" s="1" t="e">
        <f aca="true">_xlfn.AGGREGATE(1,6,OFFSET($R$5,H9,0,1,$J$2))</f>
        <v>#DIV/0!</v>
      </c>
    </row>
    <row r="10" customFormat="false" ht="14.25" hidden="false" customHeight="false" outlineLevel="0" collapsed="false">
      <c r="H10" s="1" t="n">
        <f aca="false">H9+1</f>
        <v>5</v>
      </c>
      <c r="I10" s="1" t="n">
        <f aca="false">DAY(K10)</f>
        <v>5</v>
      </c>
      <c r="J10" s="1" t="n">
        <f aca="false">MONTH(K10)</f>
        <v>1</v>
      </c>
      <c r="K10" s="23" t="n">
        <f aca="false">K9+1</f>
        <v>36530</v>
      </c>
      <c r="L10" s="24" t="n">
        <f aca="true">IF(TODAY()&lt;DATE($N$5,J10,I10),1000000,-1000000)</f>
        <v>-1000000</v>
      </c>
      <c r="M10" s="1" t="e">
        <f aca="false">IF(K10&gt;0,INDEX(big_daily_table,MATCH(DATE(N$5,$J10,$I10),daily_dates,0),MATCH($B$3,daily_items,0)),NA())</f>
        <v>#N/A</v>
      </c>
      <c r="N10" s="1" t="e">
        <f aca="false">IF(L10&lt;0,INDEX(big_daily_table,MATCH(DATE(N$5,$J10,$I10),daily_dates,0),MATCH($B$3,daily_items,0)),NA())</f>
        <v>#N/A</v>
      </c>
      <c r="O10" s="1" t="e">
        <f aca="false">IF(ISBLANK(INDEX(big_daily_table,MATCH(DATE(O$5,$J10,$I10),daily_dates,0),MATCH($B$3,daily_items,0))),NA(),INDEX(big_daily_table,MATCH(DATE(O$5,$J10,$I10),daily_dates,0),MATCH($B$3,daily_items,0)))</f>
        <v>#N/A</v>
      </c>
      <c r="P10" s="1" t="e">
        <f aca="false">IF(ISBLANK(INDEX(big_daily_table,MATCH(DATE(P$5,$J10,$I10),daily_dates,0),MATCH($B$3,daily_items,0))),NA(),INDEX(big_daily_table,MATCH(DATE(P$5,$J10,$I10),daily_dates,0),MATCH($B$3,daily_items,0)))</f>
        <v>#N/A</v>
      </c>
      <c r="Q10" s="1" t="e">
        <f aca="false">IF(ISBLANK(INDEX(big_daily_table,MATCH(DATE(Q$5,$J10,$I10),daily_dates,0),MATCH($B$3,daily_items,0))),NA(),INDEX(big_daily_table,MATCH(DATE(Q$5,$J10,$I10),daily_dates,0),MATCH($B$3,daily_items,0)))</f>
        <v>#N/A</v>
      </c>
      <c r="R10" s="1" t="e">
        <f aca="false">IF(ISBLANK(INDEX(big_daily_table,MATCH(DATE(R$5,$J10,$I10),daily_dates,0),MATCH($B$3,daily_items,0))),NA(),INDEX(big_daily_table,MATCH(DATE(R$5,$J10,$I10),daily_dates,0),MATCH($B$3,daily_items,0)))</f>
        <v>#N/A</v>
      </c>
      <c r="S10" s="1" t="e">
        <f aca="false">IF(ISBLANK(INDEX(big_daily_table,MATCH(DATE(S$5,$J10,$I10),daily_dates,0),MATCH($B$3,daily_items,0))),NA(),INDEX(big_daily_table,MATCH(DATE(S$5,$J10,$I10),daily_dates,0),MATCH($B$3,daily_items,0)))</f>
        <v>#N/A</v>
      </c>
      <c r="T10" s="1" t="e">
        <f aca="false">IF(ISBLANK(INDEX(big_daily_table,MATCH(DATE(T$5,$J10,$I10),daily_dates,0),MATCH($B$3,daily_items,0))),NA(),INDEX(big_daily_table,MATCH(DATE(T$5,$J10,$I10),daily_dates,0),MATCH($B$3,daily_items,0)))</f>
        <v>#N/A</v>
      </c>
      <c r="U10" s="1" t="e">
        <f aca="false">IF(ISBLANK(INDEX(big_daily_table,MATCH(DATE(U$5,$J10,$I10),daily_dates,0),MATCH($B$3,daily_items,0))),NA(),INDEX(big_daily_table,MATCH(DATE(U$5,$J10,$I10),daily_dates,0),MATCH($B$3,daily_items,0)))</f>
        <v>#N/A</v>
      </c>
      <c r="V10" s="1" t="e">
        <f aca="false">IF(ISBLANK(INDEX(big_daily_table,MATCH(DATE(V$5,$J10,$I10),daily_dates,0),MATCH($B$3,daily_items,0))),NA(),INDEX(big_daily_table,MATCH(DATE(V$5,$J10,$I10),daily_dates,0),MATCH($B$3,daily_items,0)))</f>
        <v>#N/A</v>
      </c>
      <c r="W10" s="1" t="e">
        <f aca="false">IF(ISBLANK(INDEX(big_daily_table,MATCH(DATE(W$5,$J10,$I10),daily_dates,0),MATCH($B$3,daily_items,0))),NA(),INDEX(big_daily_table,MATCH(DATE(W$5,$J10,$I10),daily_dates,0),MATCH($B$3,daily_items,0)))</f>
        <v>#N/A</v>
      </c>
      <c r="X10" s="1" t="e">
        <f aca="false">IF(ISBLANK(INDEX(big_daily_table,MATCH(DATE(X$5,$J10,$I10),daily_dates,0),MATCH($B$3,daily_items,0))),NA(),INDEX(big_daily_table,MATCH(DATE(X$5,$J10,$I10),daily_dates,0),MATCH($B$3,daily_items,0)))</f>
        <v>#N/A</v>
      </c>
      <c r="Y10" s="1" t="e">
        <f aca="false">IF(ISBLANK(INDEX(big_daily_table,MATCH(DATE(Y$5,$J10,$I10),daily_dates,0),MATCH($B$3,daily_items,0))),NA(),INDEX(big_daily_table,MATCH(DATE(Y$5,$J10,$I10),daily_dates,0),MATCH($B$3,daily_items,0)))</f>
        <v>#N/A</v>
      </c>
      <c r="Z10" s="1" t="n">
        <f aca="true">_xlfn.AGGREGATE(5,6,OFFSET($R$5,H10,0,1,$J$2))</f>
        <v>0</v>
      </c>
      <c r="AA10" s="1" t="n">
        <f aca="true">_xlfn.AGGREGATE(4,6,OFFSET($R$5,H10,0,1,$J$2))</f>
        <v>0</v>
      </c>
      <c r="AB10" s="1" t="n">
        <f aca="false">AA10-Z10</f>
        <v>0</v>
      </c>
      <c r="AC10" s="1" t="e">
        <f aca="true">_xlfn.AGGREGATE(1,6,OFFSET($R$5,H10,0,1,$J$2))</f>
        <v>#DIV/0!</v>
      </c>
    </row>
    <row r="11" customFormat="false" ht="14.25" hidden="false" customHeight="false" outlineLevel="0" collapsed="false">
      <c r="H11" s="1" t="n">
        <f aca="false">H10+1</f>
        <v>6</v>
      </c>
      <c r="I11" s="1" t="n">
        <f aca="false">DAY(K11)</f>
        <v>6</v>
      </c>
      <c r="J11" s="1" t="n">
        <f aca="false">MONTH(K11)</f>
        <v>1</v>
      </c>
      <c r="K11" s="23" t="n">
        <f aca="false">K10+1</f>
        <v>36531</v>
      </c>
      <c r="L11" s="24" t="n">
        <f aca="true">IF(TODAY()&lt;DATE($N$5,J11,I11),1000000,-1000000)</f>
        <v>-1000000</v>
      </c>
      <c r="M11" s="1" t="e">
        <f aca="false">IF(K11&gt;0,INDEX(big_daily_table,MATCH(DATE(N$5,$J11,$I11),daily_dates,0),MATCH($B$3,daily_items,0)),NA())</f>
        <v>#N/A</v>
      </c>
      <c r="N11" s="1" t="e">
        <f aca="false">IF(L11&lt;0,INDEX(big_daily_table,MATCH(DATE(N$5,$J11,$I11),daily_dates,0),MATCH($B$3,daily_items,0)),NA())</f>
        <v>#N/A</v>
      </c>
      <c r="O11" s="1" t="e">
        <f aca="false">IF(ISBLANK(INDEX(big_daily_table,MATCH(DATE(O$5,$J11,$I11),daily_dates,0),MATCH($B$3,daily_items,0))),NA(),INDEX(big_daily_table,MATCH(DATE(O$5,$J11,$I11),daily_dates,0),MATCH($B$3,daily_items,0)))</f>
        <v>#N/A</v>
      </c>
      <c r="P11" s="1" t="e">
        <f aca="false">IF(ISBLANK(INDEX(big_daily_table,MATCH(DATE(P$5,$J11,$I11),daily_dates,0),MATCH($B$3,daily_items,0))),NA(),INDEX(big_daily_table,MATCH(DATE(P$5,$J11,$I11),daily_dates,0),MATCH($B$3,daily_items,0)))</f>
        <v>#N/A</v>
      </c>
      <c r="Q11" s="1" t="e">
        <f aca="false">IF(ISBLANK(INDEX(big_daily_table,MATCH(DATE(Q$5,$J11,$I11),daily_dates,0),MATCH($B$3,daily_items,0))),NA(),INDEX(big_daily_table,MATCH(DATE(Q$5,$J11,$I11),daily_dates,0),MATCH($B$3,daily_items,0)))</f>
        <v>#N/A</v>
      </c>
      <c r="R11" s="1" t="e">
        <f aca="false">IF(ISBLANK(INDEX(big_daily_table,MATCH(DATE(R$5,$J11,$I11),daily_dates,0),MATCH($B$3,daily_items,0))),NA(),INDEX(big_daily_table,MATCH(DATE(R$5,$J11,$I11),daily_dates,0),MATCH($B$3,daily_items,0)))</f>
        <v>#N/A</v>
      </c>
      <c r="S11" s="1" t="e">
        <f aca="false">IF(ISBLANK(INDEX(big_daily_table,MATCH(DATE(S$5,$J11,$I11),daily_dates,0),MATCH($B$3,daily_items,0))),NA(),INDEX(big_daily_table,MATCH(DATE(S$5,$J11,$I11),daily_dates,0),MATCH($B$3,daily_items,0)))</f>
        <v>#N/A</v>
      </c>
      <c r="T11" s="1" t="e">
        <f aca="false">IF(ISBLANK(INDEX(big_daily_table,MATCH(DATE(T$5,$J11,$I11),daily_dates,0),MATCH($B$3,daily_items,0))),NA(),INDEX(big_daily_table,MATCH(DATE(T$5,$J11,$I11),daily_dates,0),MATCH($B$3,daily_items,0)))</f>
        <v>#N/A</v>
      </c>
      <c r="U11" s="1" t="e">
        <f aca="false">IF(ISBLANK(INDEX(big_daily_table,MATCH(DATE(U$5,$J11,$I11),daily_dates,0),MATCH($B$3,daily_items,0))),NA(),INDEX(big_daily_table,MATCH(DATE(U$5,$J11,$I11),daily_dates,0),MATCH($B$3,daily_items,0)))</f>
        <v>#N/A</v>
      </c>
      <c r="V11" s="1" t="e">
        <f aca="false">IF(ISBLANK(INDEX(big_daily_table,MATCH(DATE(V$5,$J11,$I11),daily_dates,0),MATCH($B$3,daily_items,0))),NA(),INDEX(big_daily_table,MATCH(DATE(V$5,$J11,$I11),daily_dates,0),MATCH($B$3,daily_items,0)))</f>
        <v>#N/A</v>
      </c>
      <c r="W11" s="1" t="e">
        <f aca="false">IF(ISBLANK(INDEX(big_daily_table,MATCH(DATE(W$5,$J11,$I11),daily_dates,0),MATCH($B$3,daily_items,0))),NA(),INDEX(big_daily_table,MATCH(DATE(W$5,$J11,$I11),daily_dates,0),MATCH($B$3,daily_items,0)))</f>
        <v>#N/A</v>
      </c>
      <c r="X11" s="1" t="e">
        <f aca="false">IF(ISBLANK(INDEX(big_daily_table,MATCH(DATE(X$5,$J11,$I11),daily_dates,0),MATCH($B$3,daily_items,0))),NA(),INDEX(big_daily_table,MATCH(DATE(X$5,$J11,$I11),daily_dates,0),MATCH($B$3,daily_items,0)))</f>
        <v>#N/A</v>
      </c>
      <c r="Y11" s="1" t="e">
        <f aca="false">IF(ISBLANK(INDEX(big_daily_table,MATCH(DATE(Y$5,$J11,$I11),daily_dates,0),MATCH($B$3,daily_items,0))),NA(),INDEX(big_daily_table,MATCH(DATE(Y$5,$J11,$I11),daily_dates,0),MATCH($B$3,daily_items,0)))</f>
        <v>#N/A</v>
      </c>
      <c r="Z11" s="1" t="n">
        <f aca="true">_xlfn.AGGREGATE(5,6,OFFSET($R$5,H11,0,1,$J$2))</f>
        <v>0</v>
      </c>
      <c r="AA11" s="1" t="n">
        <f aca="true">_xlfn.AGGREGATE(4,6,OFFSET($R$5,H11,0,1,$J$2))</f>
        <v>0</v>
      </c>
      <c r="AB11" s="1" t="n">
        <f aca="false">AA11-Z11</f>
        <v>0</v>
      </c>
      <c r="AC11" s="1" t="e">
        <f aca="true">_xlfn.AGGREGATE(1,6,OFFSET($R$5,H11,0,1,$J$2))</f>
        <v>#DIV/0!</v>
      </c>
    </row>
    <row r="12" customFormat="false" ht="14.25" hidden="false" customHeight="false" outlineLevel="0" collapsed="false">
      <c r="H12" s="1" t="n">
        <f aca="false">H11+1</f>
        <v>7</v>
      </c>
      <c r="I12" s="1" t="n">
        <f aca="false">DAY(K12)</f>
        <v>7</v>
      </c>
      <c r="J12" s="1" t="n">
        <f aca="false">MONTH(K12)</f>
        <v>1</v>
      </c>
      <c r="K12" s="23" t="n">
        <f aca="false">K11+1</f>
        <v>36532</v>
      </c>
      <c r="L12" s="24" t="n">
        <f aca="true">IF(TODAY()&lt;DATE($N$5,J12,I12),1000000,-1000000)</f>
        <v>-1000000</v>
      </c>
      <c r="M12" s="1" t="e">
        <f aca="false">IF(K12&gt;0,INDEX(big_daily_table,MATCH(DATE(N$5,$J12,$I12),daily_dates,0),MATCH($B$3,daily_items,0)),NA())</f>
        <v>#N/A</v>
      </c>
      <c r="N12" s="1" t="e">
        <f aca="false">IF(L12&lt;0,INDEX(big_daily_table,MATCH(DATE(N$5,$J12,$I12),daily_dates,0),MATCH($B$3,daily_items,0)),NA())</f>
        <v>#N/A</v>
      </c>
      <c r="O12" s="1" t="e">
        <f aca="false">IF(ISBLANK(INDEX(big_daily_table,MATCH(DATE(O$5,$J12,$I12),daily_dates,0),MATCH($B$3,daily_items,0))),NA(),INDEX(big_daily_table,MATCH(DATE(O$5,$J12,$I12),daily_dates,0),MATCH($B$3,daily_items,0)))</f>
        <v>#N/A</v>
      </c>
      <c r="P12" s="1" t="e">
        <f aca="false">IF(ISBLANK(INDEX(big_daily_table,MATCH(DATE(P$5,$J12,$I12),daily_dates,0),MATCH($B$3,daily_items,0))),NA(),INDEX(big_daily_table,MATCH(DATE(P$5,$J12,$I12),daily_dates,0),MATCH($B$3,daily_items,0)))</f>
        <v>#N/A</v>
      </c>
      <c r="Q12" s="1" t="e">
        <f aca="false">IF(ISBLANK(INDEX(big_daily_table,MATCH(DATE(Q$5,$J12,$I12),daily_dates,0),MATCH($B$3,daily_items,0))),NA(),INDEX(big_daily_table,MATCH(DATE(Q$5,$J12,$I12),daily_dates,0),MATCH($B$3,daily_items,0)))</f>
        <v>#N/A</v>
      </c>
      <c r="R12" s="1" t="e">
        <f aca="false">IF(ISBLANK(INDEX(big_daily_table,MATCH(DATE(R$5,$J12,$I12),daily_dates,0),MATCH($B$3,daily_items,0))),NA(),INDEX(big_daily_table,MATCH(DATE(R$5,$J12,$I12),daily_dates,0),MATCH($B$3,daily_items,0)))</f>
        <v>#N/A</v>
      </c>
      <c r="S12" s="1" t="e">
        <f aca="false">IF(ISBLANK(INDEX(big_daily_table,MATCH(DATE(S$5,$J12,$I12),daily_dates,0),MATCH($B$3,daily_items,0))),NA(),INDEX(big_daily_table,MATCH(DATE(S$5,$J12,$I12),daily_dates,0),MATCH($B$3,daily_items,0)))</f>
        <v>#N/A</v>
      </c>
      <c r="T12" s="1" t="e">
        <f aca="false">IF(ISBLANK(INDEX(big_daily_table,MATCH(DATE(T$5,$J12,$I12),daily_dates,0),MATCH($B$3,daily_items,0))),NA(),INDEX(big_daily_table,MATCH(DATE(T$5,$J12,$I12),daily_dates,0),MATCH($B$3,daily_items,0)))</f>
        <v>#N/A</v>
      </c>
      <c r="U12" s="1" t="e">
        <f aca="false">IF(ISBLANK(INDEX(big_daily_table,MATCH(DATE(U$5,$J12,$I12),daily_dates,0),MATCH($B$3,daily_items,0))),NA(),INDEX(big_daily_table,MATCH(DATE(U$5,$J12,$I12),daily_dates,0),MATCH($B$3,daily_items,0)))</f>
        <v>#N/A</v>
      </c>
      <c r="V12" s="1" t="e">
        <f aca="false">IF(ISBLANK(INDEX(big_daily_table,MATCH(DATE(V$5,$J12,$I12),daily_dates,0),MATCH($B$3,daily_items,0))),NA(),INDEX(big_daily_table,MATCH(DATE(V$5,$J12,$I12),daily_dates,0),MATCH($B$3,daily_items,0)))</f>
        <v>#N/A</v>
      </c>
      <c r="W12" s="1" t="e">
        <f aca="false">IF(ISBLANK(INDEX(big_daily_table,MATCH(DATE(W$5,$J12,$I12),daily_dates,0),MATCH($B$3,daily_items,0))),NA(),INDEX(big_daily_table,MATCH(DATE(W$5,$J12,$I12),daily_dates,0),MATCH($B$3,daily_items,0)))</f>
        <v>#N/A</v>
      </c>
      <c r="X12" s="1" t="e">
        <f aca="false">IF(ISBLANK(INDEX(big_daily_table,MATCH(DATE(X$5,$J12,$I12),daily_dates,0),MATCH($B$3,daily_items,0))),NA(),INDEX(big_daily_table,MATCH(DATE(X$5,$J12,$I12),daily_dates,0),MATCH($B$3,daily_items,0)))</f>
        <v>#N/A</v>
      </c>
      <c r="Y12" s="1" t="e">
        <f aca="false">IF(ISBLANK(INDEX(big_daily_table,MATCH(DATE(Y$5,$J12,$I12),daily_dates,0),MATCH($B$3,daily_items,0))),NA(),INDEX(big_daily_table,MATCH(DATE(Y$5,$J12,$I12),daily_dates,0),MATCH($B$3,daily_items,0)))</f>
        <v>#N/A</v>
      </c>
      <c r="Z12" s="1" t="n">
        <f aca="true">_xlfn.AGGREGATE(5,6,OFFSET($R$5,H12,0,1,$J$2))</f>
        <v>0</v>
      </c>
      <c r="AA12" s="1" t="n">
        <f aca="true">_xlfn.AGGREGATE(4,6,OFFSET($R$5,H12,0,1,$J$2))</f>
        <v>0</v>
      </c>
      <c r="AB12" s="1" t="n">
        <f aca="false">AA12-Z12</f>
        <v>0</v>
      </c>
      <c r="AC12" s="1" t="e">
        <f aca="true">_xlfn.AGGREGATE(1,6,OFFSET($R$5,H12,0,1,$J$2))</f>
        <v>#DIV/0!</v>
      </c>
    </row>
    <row r="13" customFormat="false" ht="14.25" hidden="false" customHeight="false" outlineLevel="0" collapsed="false">
      <c r="H13" s="1" t="n">
        <f aca="false">H12+1</f>
        <v>8</v>
      </c>
      <c r="I13" s="1" t="n">
        <f aca="false">DAY(K13)</f>
        <v>8</v>
      </c>
      <c r="J13" s="1" t="n">
        <f aca="false">MONTH(K13)</f>
        <v>1</v>
      </c>
      <c r="K13" s="23" t="n">
        <f aca="false">K12+1</f>
        <v>36533</v>
      </c>
      <c r="L13" s="24" t="n">
        <f aca="true">IF(TODAY()&lt;DATE($N$5,J13,I13),1000000,-1000000)</f>
        <v>-1000000</v>
      </c>
      <c r="M13" s="1" t="e">
        <f aca="false">IF(K13&gt;0,INDEX(big_daily_table,MATCH(DATE(N$5,$J13,$I13),daily_dates,0),MATCH($B$3,daily_items,0)),NA())</f>
        <v>#N/A</v>
      </c>
      <c r="N13" s="1" t="e">
        <f aca="false">IF(L13&lt;0,INDEX(big_daily_table,MATCH(DATE(N$5,$J13,$I13),daily_dates,0),MATCH($B$3,daily_items,0)),NA())</f>
        <v>#N/A</v>
      </c>
      <c r="O13" s="1" t="e">
        <f aca="false">IF(ISBLANK(INDEX(big_daily_table,MATCH(DATE(O$5,$J13,$I13),daily_dates,0),MATCH($B$3,daily_items,0))),NA(),INDEX(big_daily_table,MATCH(DATE(O$5,$J13,$I13),daily_dates,0),MATCH($B$3,daily_items,0)))</f>
        <v>#N/A</v>
      </c>
      <c r="P13" s="1" t="e">
        <f aca="false">IF(ISBLANK(INDEX(big_daily_table,MATCH(DATE(P$5,$J13,$I13),daily_dates,0),MATCH($B$3,daily_items,0))),NA(),INDEX(big_daily_table,MATCH(DATE(P$5,$J13,$I13),daily_dates,0),MATCH($B$3,daily_items,0)))</f>
        <v>#N/A</v>
      </c>
      <c r="Q13" s="1" t="e">
        <f aca="false">IF(ISBLANK(INDEX(big_daily_table,MATCH(DATE(Q$5,$J13,$I13),daily_dates,0),MATCH($B$3,daily_items,0))),NA(),INDEX(big_daily_table,MATCH(DATE(Q$5,$J13,$I13),daily_dates,0),MATCH($B$3,daily_items,0)))</f>
        <v>#N/A</v>
      </c>
      <c r="R13" s="1" t="e">
        <f aca="false">IF(ISBLANK(INDEX(big_daily_table,MATCH(DATE(R$5,$J13,$I13),daily_dates,0),MATCH($B$3,daily_items,0))),NA(),INDEX(big_daily_table,MATCH(DATE(R$5,$J13,$I13),daily_dates,0),MATCH($B$3,daily_items,0)))</f>
        <v>#N/A</v>
      </c>
      <c r="S13" s="1" t="e">
        <f aca="false">IF(ISBLANK(INDEX(big_daily_table,MATCH(DATE(S$5,$J13,$I13),daily_dates,0),MATCH($B$3,daily_items,0))),NA(),INDEX(big_daily_table,MATCH(DATE(S$5,$J13,$I13),daily_dates,0),MATCH($B$3,daily_items,0)))</f>
        <v>#N/A</v>
      </c>
      <c r="T13" s="1" t="e">
        <f aca="false">IF(ISBLANK(INDEX(big_daily_table,MATCH(DATE(T$5,$J13,$I13),daily_dates,0),MATCH($B$3,daily_items,0))),NA(),INDEX(big_daily_table,MATCH(DATE(T$5,$J13,$I13),daily_dates,0),MATCH($B$3,daily_items,0)))</f>
        <v>#N/A</v>
      </c>
      <c r="U13" s="1" t="e">
        <f aca="false">IF(ISBLANK(INDEX(big_daily_table,MATCH(DATE(U$5,$J13,$I13),daily_dates,0),MATCH($B$3,daily_items,0))),NA(),INDEX(big_daily_table,MATCH(DATE(U$5,$J13,$I13),daily_dates,0),MATCH($B$3,daily_items,0)))</f>
        <v>#N/A</v>
      </c>
      <c r="V13" s="1" t="e">
        <f aca="false">IF(ISBLANK(INDEX(big_daily_table,MATCH(DATE(V$5,$J13,$I13),daily_dates,0),MATCH($B$3,daily_items,0))),NA(),INDEX(big_daily_table,MATCH(DATE(V$5,$J13,$I13),daily_dates,0),MATCH($B$3,daily_items,0)))</f>
        <v>#N/A</v>
      </c>
      <c r="W13" s="1" t="e">
        <f aca="false">IF(ISBLANK(INDEX(big_daily_table,MATCH(DATE(W$5,$J13,$I13),daily_dates,0),MATCH($B$3,daily_items,0))),NA(),INDEX(big_daily_table,MATCH(DATE(W$5,$J13,$I13),daily_dates,0),MATCH($B$3,daily_items,0)))</f>
        <v>#N/A</v>
      </c>
      <c r="X13" s="1" t="e">
        <f aca="false">IF(ISBLANK(INDEX(big_daily_table,MATCH(DATE(X$5,$J13,$I13),daily_dates,0),MATCH($B$3,daily_items,0))),NA(),INDEX(big_daily_table,MATCH(DATE(X$5,$J13,$I13),daily_dates,0),MATCH($B$3,daily_items,0)))</f>
        <v>#N/A</v>
      </c>
      <c r="Y13" s="1" t="e">
        <f aca="false">IF(ISBLANK(INDEX(big_daily_table,MATCH(DATE(Y$5,$J13,$I13),daily_dates,0),MATCH($B$3,daily_items,0))),NA(),INDEX(big_daily_table,MATCH(DATE(Y$5,$J13,$I13),daily_dates,0),MATCH($B$3,daily_items,0)))</f>
        <v>#N/A</v>
      </c>
      <c r="Z13" s="1" t="n">
        <f aca="true">_xlfn.AGGREGATE(5,6,OFFSET($R$5,H13,0,1,$J$2))</f>
        <v>0</v>
      </c>
      <c r="AA13" s="1" t="n">
        <f aca="true">_xlfn.AGGREGATE(4,6,OFFSET($R$5,H13,0,1,$J$2))</f>
        <v>0</v>
      </c>
      <c r="AB13" s="1" t="n">
        <f aca="false">AA13-Z13</f>
        <v>0</v>
      </c>
      <c r="AC13" s="1" t="e">
        <f aca="true">_xlfn.AGGREGATE(1,6,OFFSET($R$5,H13,0,1,$J$2))</f>
        <v>#DIV/0!</v>
      </c>
    </row>
    <row r="14" customFormat="false" ht="14.25" hidden="false" customHeight="false" outlineLevel="0" collapsed="false">
      <c r="H14" s="1" t="n">
        <f aca="false">H13+1</f>
        <v>9</v>
      </c>
      <c r="I14" s="1" t="n">
        <f aca="false">DAY(K14)</f>
        <v>9</v>
      </c>
      <c r="J14" s="1" t="n">
        <f aca="false">MONTH(K14)</f>
        <v>1</v>
      </c>
      <c r="K14" s="23" t="n">
        <f aca="false">K13+1</f>
        <v>36534</v>
      </c>
      <c r="L14" s="24" t="n">
        <f aca="true">IF(TODAY()&lt;DATE($N$5,J14,I14),1000000,-1000000)</f>
        <v>-1000000</v>
      </c>
      <c r="M14" s="1" t="e">
        <f aca="false">IF(K14&gt;0,INDEX(big_daily_table,MATCH(DATE(N$5,$J14,$I14),daily_dates,0),MATCH($B$3,daily_items,0)),NA())</f>
        <v>#N/A</v>
      </c>
      <c r="N14" s="1" t="e">
        <f aca="false">IF(L14&lt;0,INDEX(big_daily_table,MATCH(DATE(N$5,$J14,$I14),daily_dates,0),MATCH($B$3,daily_items,0)),NA())</f>
        <v>#N/A</v>
      </c>
      <c r="O14" s="1" t="e">
        <f aca="false">IF(ISBLANK(INDEX(big_daily_table,MATCH(DATE(O$5,$J14,$I14),daily_dates,0),MATCH($B$3,daily_items,0))),NA(),INDEX(big_daily_table,MATCH(DATE(O$5,$J14,$I14),daily_dates,0),MATCH($B$3,daily_items,0)))</f>
        <v>#N/A</v>
      </c>
      <c r="P14" s="1" t="e">
        <f aca="false">IF(ISBLANK(INDEX(big_daily_table,MATCH(DATE(P$5,$J14,$I14),daily_dates,0),MATCH($B$3,daily_items,0))),NA(),INDEX(big_daily_table,MATCH(DATE(P$5,$J14,$I14),daily_dates,0),MATCH($B$3,daily_items,0)))</f>
        <v>#N/A</v>
      </c>
      <c r="Q14" s="1" t="e">
        <f aca="false">IF(ISBLANK(INDEX(big_daily_table,MATCH(DATE(Q$5,$J14,$I14),daily_dates,0),MATCH($B$3,daily_items,0))),NA(),INDEX(big_daily_table,MATCH(DATE(Q$5,$J14,$I14),daily_dates,0),MATCH($B$3,daily_items,0)))</f>
        <v>#N/A</v>
      </c>
      <c r="R14" s="1" t="e">
        <f aca="false">IF(ISBLANK(INDEX(big_daily_table,MATCH(DATE(R$5,$J14,$I14),daily_dates,0),MATCH($B$3,daily_items,0))),NA(),INDEX(big_daily_table,MATCH(DATE(R$5,$J14,$I14),daily_dates,0),MATCH($B$3,daily_items,0)))</f>
        <v>#N/A</v>
      </c>
      <c r="S14" s="1" t="e">
        <f aca="false">IF(ISBLANK(INDEX(big_daily_table,MATCH(DATE(S$5,$J14,$I14),daily_dates,0),MATCH($B$3,daily_items,0))),NA(),INDEX(big_daily_table,MATCH(DATE(S$5,$J14,$I14),daily_dates,0),MATCH($B$3,daily_items,0)))</f>
        <v>#N/A</v>
      </c>
      <c r="T14" s="1" t="e">
        <f aca="false">IF(ISBLANK(INDEX(big_daily_table,MATCH(DATE(T$5,$J14,$I14),daily_dates,0),MATCH($B$3,daily_items,0))),NA(),INDEX(big_daily_table,MATCH(DATE(T$5,$J14,$I14),daily_dates,0),MATCH($B$3,daily_items,0)))</f>
        <v>#N/A</v>
      </c>
      <c r="U14" s="1" t="e">
        <f aca="false">IF(ISBLANK(INDEX(big_daily_table,MATCH(DATE(U$5,$J14,$I14),daily_dates,0),MATCH($B$3,daily_items,0))),NA(),INDEX(big_daily_table,MATCH(DATE(U$5,$J14,$I14),daily_dates,0),MATCH($B$3,daily_items,0)))</f>
        <v>#N/A</v>
      </c>
      <c r="V14" s="1" t="e">
        <f aca="false">IF(ISBLANK(INDEX(big_daily_table,MATCH(DATE(V$5,$J14,$I14),daily_dates,0),MATCH($B$3,daily_items,0))),NA(),INDEX(big_daily_table,MATCH(DATE(V$5,$J14,$I14),daily_dates,0),MATCH($B$3,daily_items,0)))</f>
        <v>#N/A</v>
      </c>
      <c r="W14" s="1" t="e">
        <f aca="false">IF(ISBLANK(INDEX(big_daily_table,MATCH(DATE(W$5,$J14,$I14),daily_dates,0),MATCH($B$3,daily_items,0))),NA(),INDEX(big_daily_table,MATCH(DATE(W$5,$J14,$I14),daily_dates,0),MATCH($B$3,daily_items,0)))</f>
        <v>#N/A</v>
      </c>
      <c r="X14" s="1" t="e">
        <f aca="false">IF(ISBLANK(INDEX(big_daily_table,MATCH(DATE(X$5,$J14,$I14),daily_dates,0),MATCH($B$3,daily_items,0))),NA(),INDEX(big_daily_table,MATCH(DATE(X$5,$J14,$I14),daily_dates,0),MATCH($B$3,daily_items,0)))</f>
        <v>#N/A</v>
      </c>
      <c r="Y14" s="1" t="e">
        <f aca="false">IF(ISBLANK(INDEX(big_daily_table,MATCH(DATE(Y$5,$J14,$I14),daily_dates,0),MATCH($B$3,daily_items,0))),NA(),INDEX(big_daily_table,MATCH(DATE(Y$5,$J14,$I14),daily_dates,0),MATCH($B$3,daily_items,0)))</f>
        <v>#N/A</v>
      </c>
      <c r="Z14" s="1" t="n">
        <f aca="true">_xlfn.AGGREGATE(5,6,OFFSET($R$5,H14,0,1,$J$2))</f>
        <v>0</v>
      </c>
      <c r="AA14" s="1" t="n">
        <f aca="true">_xlfn.AGGREGATE(4,6,OFFSET($R$5,H14,0,1,$J$2))</f>
        <v>0</v>
      </c>
      <c r="AB14" s="1" t="n">
        <f aca="false">AA14-Z14</f>
        <v>0</v>
      </c>
      <c r="AC14" s="1" t="e">
        <f aca="true">_xlfn.AGGREGATE(1,6,OFFSET($R$5,H14,0,1,$J$2))</f>
        <v>#DIV/0!</v>
      </c>
    </row>
    <row r="15" customFormat="false" ht="14.25" hidden="false" customHeight="false" outlineLevel="0" collapsed="false">
      <c r="H15" s="1" t="n">
        <f aca="false">H14+1</f>
        <v>10</v>
      </c>
      <c r="I15" s="1" t="n">
        <f aca="false">DAY(K15)</f>
        <v>10</v>
      </c>
      <c r="J15" s="1" t="n">
        <f aca="false">MONTH(K15)</f>
        <v>1</v>
      </c>
      <c r="K15" s="23" t="n">
        <f aca="false">K14+1</f>
        <v>36535</v>
      </c>
      <c r="L15" s="24" t="n">
        <f aca="true">IF(TODAY()&lt;DATE($N$5,J15,I15),1000000,-1000000)</f>
        <v>-1000000</v>
      </c>
      <c r="M15" s="1" t="e">
        <f aca="false">IF(K15&gt;0,INDEX(big_daily_table,MATCH(DATE(N$5,$J15,$I15),daily_dates,0),MATCH($B$3,daily_items,0)),NA())</f>
        <v>#N/A</v>
      </c>
      <c r="N15" s="1" t="e">
        <f aca="false">IF(L15&lt;0,INDEX(big_daily_table,MATCH(DATE(N$5,$J15,$I15),daily_dates,0),MATCH($B$3,daily_items,0)),NA())</f>
        <v>#N/A</v>
      </c>
      <c r="O15" s="1" t="e">
        <f aca="false">IF(ISBLANK(INDEX(big_daily_table,MATCH(DATE(O$5,$J15,$I15),daily_dates,0),MATCH($B$3,daily_items,0))),NA(),INDEX(big_daily_table,MATCH(DATE(O$5,$J15,$I15),daily_dates,0),MATCH($B$3,daily_items,0)))</f>
        <v>#N/A</v>
      </c>
      <c r="P15" s="1" t="e">
        <f aca="false">IF(ISBLANK(INDEX(big_daily_table,MATCH(DATE(P$5,$J15,$I15),daily_dates,0),MATCH($B$3,daily_items,0))),NA(),INDEX(big_daily_table,MATCH(DATE(P$5,$J15,$I15),daily_dates,0),MATCH($B$3,daily_items,0)))</f>
        <v>#N/A</v>
      </c>
      <c r="Q15" s="1" t="e">
        <f aca="false">IF(ISBLANK(INDEX(big_daily_table,MATCH(DATE(Q$5,$J15,$I15),daily_dates,0),MATCH($B$3,daily_items,0))),NA(),INDEX(big_daily_table,MATCH(DATE(Q$5,$J15,$I15),daily_dates,0),MATCH($B$3,daily_items,0)))</f>
        <v>#N/A</v>
      </c>
      <c r="R15" s="1" t="e">
        <f aca="false">IF(ISBLANK(INDEX(big_daily_table,MATCH(DATE(R$5,$J15,$I15),daily_dates,0),MATCH($B$3,daily_items,0))),NA(),INDEX(big_daily_table,MATCH(DATE(R$5,$J15,$I15),daily_dates,0),MATCH($B$3,daily_items,0)))</f>
        <v>#N/A</v>
      </c>
      <c r="S15" s="1" t="e">
        <f aca="false">IF(ISBLANK(INDEX(big_daily_table,MATCH(DATE(S$5,$J15,$I15),daily_dates,0),MATCH($B$3,daily_items,0))),NA(),INDEX(big_daily_table,MATCH(DATE(S$5,$J15,$I15),daily_dates,0),MATCH($B$3,daily_items,0)))</f>
        <v>#N/A</v>
      </c>
      <c r="T15" s="1" t="e">
        <f aca="false">IF(ISBLANK(INDEX(big_daily_table,MATCH(DATE(T$5,$J15,$I15),daily_dates,0),MATCH($B$3,daily_items,0))),NA(),INDEX(big_daily_table,MATCH(DATE(T$5,$J15,$I15),daily_dates,0),MATCH($B$3,daily_items,0)))</f>
        <v>#N/A</v>
      </c>
      <c r="U15" s="1" t="e">
        <f aca="false">IF(ISBLANK(INDEX(big_daily_table,MATCH(DATE(U$5,$J15,$I15),daily_dates,0),MATCH($B$3,daily_items,0))),NA(),INDEX(big_daily_table,MATCH(DATE(U$5,$J15,$I15),daily_dates,0),MATCH($B$3,daily_items,0)))</f>
        <v>#N/A</v>
      </c>
      <c r="V15" s="1" t="e">
        <f aca="false">IF(ISBLANK(INDEX(big_daily_table,MATCH(DATE(V$5,$J15,$I15),daily_dates,0),MATCH($B$3,daily_items,0))),NA(),INDEX(big_daily_table,MATCH(DATE(V$5,$J15,$I15),daily_dates,0),MATCH($B$3,daily_items,0)))</f>
        <v>#N/A</v>
      </c>
      <c r="W15" s="1" t="e">
        <f aca="false">IF(ISBLANK(INDEX(big_daily_table,MATCH(DATE(W$5,$J15,$I15),daily_dates,0),MATCH($B$3,daily_items,0))),NA(),INDEX(big_daily_table,MATCH(DATE(W$5,$J15,$I15),daily_dates,0),MATCH($B$3,daily_items,0)))</f>
        <v>#N/A</v>
      </c>
      <c r="X15" s="1" t="e">
        <f aca="false">IF(ISBLANK(INDEX(big_daily_table,MATCH(DATE(X$5,$J15,$I15),daily_dates,0),MATCH($B$3,daily_items,0))),NA(),INDEX(big_daily_table,MATCH(DATE(X$5,$J15,$I15),daily_dates,0),MATCH($B$3,daily_items,0)))</f>
        <v>#N/A</v>
      </c>
      <c r="Y15" s="1" t="e">
        <f aca="false">IF(ISBLANK(INDEX(big_daily_table,MATCH(DATE(Y$5,$J15,$I15),daily_dates,0),MATCH($B$3,daily_items,0))),NA(),INDEX(big_daily_table,MATCH(DATE(Y$5,$J15,$I15),daily_dates,0),MATCH($B$3,daily_items,0)))</f>
        <v>#N/A</v>
      </c>
      <c r="Z15" s="1" t="n">
        <f aca="true">_xlfn.AGGREGATE(5,6,OFFSET($R$5,H15,0,1,$J$2))</f>
        <v>0</v>
      </c>
      <c r="AA15" s="1" t="n">
        <f aca="true">_xlfn.AGGREGATE(4,6,OFFSET($R$5,H15,0,1,$J$2))</f>
        <v>0</v>
      </c>
      <c r="AB15" s="1" t="n">
        <f aca="false">AA15-Z15</f>
        <v>0</v>
      </c>
      <c r="AC15" s="1" t="e">
        <f aca="true">_xlfn.AGGREGATE(1,6,OFFSET($R$5,H15,0,1,$J$2))</f>
        <v>#DIV/0!</v>
      </c>
    </row>
    <row r="16" customFormat="false" ht="14.25" hidden="false" customHeight="false" outlineLevel="0" collapsed="false">
      <c r="H16" s="1" t="n">
        <f aca="false">H15+1</f>
        <v>11</v>
      </c>
      <c r="I16" s="1" t="n">
        <f aca="false">DAY(K16)</f>
        <v>11</v>
      </c>
      <c r="J16" s="1" t="n">
        <f aca="false">MONTH(K16)</f>
        <v>1</v>
      </c>
      <c r="K16" s="23" t="n">
        <f aca="false">K15+1</f>
        <v>36536</v>
      </c>
      <c r="L16" s="24" t="n">
        <f aca="true">IF(TODAY()&lt;DATE($N$5,J16,I16),1000000,-1000000)</f>
        <v>-1000000</v>
      </c>
      <c r="M16" s="1" t="e">
        <f aca="false">IF(K16&gt;0,INDEX(big_daily_table,MATCH(DATE(N$5,$J16,$I16),daily_dates,0),MATCH($B$3,daily_items,0)),NA())</f>
        <v>#N/A</v>
      </c>
      <c r="N16" s="1" t="e">
        <f aca="false">IF(L16&lt;0,INDEX(big_daily_table,MATCH(DATE(N$5,$J16,$I16),daily_dates,0),MATCH($B$3,daily_items,0)),NA())</f>
        <v>#N/A</v>
      </c>
      <c r="O16" s="1" t="e">
        <f aca="false">IF(ISBLANK(INDEX(big_daily_table,MATCH(DATE(O$5,$J16,$I16),daily_dates,0),MATCH($B$3,daily_items,0))),NA(),INDEX(big_daily_table,MATCH(DATE(O$5,$J16,$I16),daily_dates,0),MATCH($B$3,daily_items,0)))</f>
        <v>#N/A</v>
      </c>
      <c r="P16" s="1" t="e">
        <f aca="false">IF(ISBLANK(INDEX(big_daily_table,MATCH(DATE(P$5,$J16,$I16),daily_dates,0),MATCH($B$3,daily_items,0))),NA(),INDEX(big_daily_table,MATCH(DATE(P$5,$J16,$I16),daily_dates,0),MATCH($B$3,daily_items,0)))</f>
        <v>#N/A</v>
      </c>
      <c r="Q16" s="1" t="e">
        <f aca="false">IF(ISBLANK(INDEX(big_daily_table,MATCH(DATE(Q$5,$J16,$I16),daily_dates,0),MATCH($B$3,daily_items,0))),NA(),INDEX(big_daily_table,MATCH(DATE(Q$5,$J16,$I16),daily_dates,0),MATCH($B$3,daily_items,0)))</f>
        <v>#N/A</v>
      </c>
      <c r="R16" s="1" t="e">
        <f aca="false">IF(ISBLANK(INDEX(big_daily_table,MATCH(DATE(R$5,$J16,$I16),daily_dates,0),MATCH($B$3,daily_items,0))),NA(),INDEX(big_daily_table,MATCH(DATE(R$5,$J16,$I16),daily_dates,0),MATCH($B$3,daily_items,0)))</f>
        <v>#N/A</v>
      </c>
      <c r="S16" s="1" t="e">
        <f aca="false">IF(ISBLANK(INDEX(big_daily_table,MATCH(DATE(S$5,$J16,$I16),daily_dates,0),MATCH($B$3,daily_items,0))),NA(),INDEX(big_daily_table,MATCH(DATE(S$5,$J16,$I16),daily_dates,0),MATCH($B$3,daily_items,0)))</f>
        <v>#N/A</v>
      </c>
      <c r="T16" s="1" t="e">
        <f aca="false">IF(ISBLANK(INDEX(big_daily_table,MATCH(DATE(T$5,$J16,$I16),daily_dates,0),MATCH($B$3,daily_items,0))),NA(),INDEX(big_daily_table,MATCH(DATE(T$5,$J16,$I16),daily_dates,0),MATCH($B$3,daily_items,0)))</f>
        <v>#N/A</v>
      </c>
      <c r="U16" s="1" t="e">
        <f aca="false">IF(ISBLANK(INDEX(big_daily_table,MATCH(DATE(U$5,$J16,$I16),daily_dates,0),MATCH($B$3,daily_items,0))),NA(),INDEX(big_daily_table,MATCH(DATE(U$5,$J16,$I16),daily_dates,0),MATCH($B$3,daily_items,0)))</f>
        <v>#N/A</v>
      </c>
      <c r="V16" s="1" t="e">
        <f aca="false">IF(ISBLANK(INDEX(big_daily_table,MATCH(DATE(V$5,$J16,$I16),daily_dates,0),MATCH($B$3,daily_items,0))),NA(),INDEX(big_daily_table,MATCH(DATE(V$5,$J16,$I16),daily_dates,0),MATCH($B$3,daily_items,0)))</f>
        <v>#N/A</v>
      </c>
      <c r="W16" s="1" t="e">
        <f aca="false">IF(ISBLANK(INDEX(big_daily_table,MATCH(DATE(W$5,$J16,$I16),daily_dates,0),MATCH($B$3,daily_items,0))),NA(),INDEX(big_daily_table,MATCH(DATE(W$5,$J16,$I16),daily_dates,0),MATCH($B$3,daily_items,0)))</f>
        <v>#N/A</v>
      </c>
      <c r="X16" s="1" t="e">
        <f aca="false">IF(ISBLANK(INDEX(big_daily_table,MATCH(DATE(X$5,$J16,$I16),daily_dates,0),MATCH($B$3,daily_items,0))),NA(),INDEX(big_daily_table,MATCH(DATE(X$5,$J16,$I16),daily_dates,0),MATCH($B$3,daily_items,0)))</f>
        <v>#N/A</v>
      </c>
      <c r="Y16" s="1" t="e">
        <f aca="false">IF(ISBLANK(INDEX(big_daily_table,MATCH(DATE(Y$5,$J16,$I16),daily_dates,0),MATCH($B$3,daily_items,0))),NA(),INDEX(big_daily_table,MATCH(DATE(Y$5,$J16,$I16),daily_dates,0),MATCH($B$3,daily_items,0)))</f>
        <v>#N/A</v>
      </c>
      <c r="Z16" s="1" t="n">
        <f aca="true">_xlfn.AGGREGATE(5,6,OFFSET($R$5,H16,0,1,$J$2))</f>
        <v>0</v>
      </c>
      <c r="AA16" s="1" t="n">
        <f aca="true">_xlfn.AGGREGATE(4,6,OFFSET($R$5,H16,0,1,$J$2))</f>
        <v>0</v>
      </c>
      <c r="AB16" s="1" t="n">
        <f aca="false">AA16-Z16</f>
        <v>0</v>
      </c>
      <c r="AC16" s="1" t="e">
        <f aca="true">_xlfn.AGGREGATE(1,6,OFFSET($R$5,H16,0,1,$J$2))</f>
        <v>#DIV/0!</v>
      </c>
    </row>
    <row r="17" customFormat="false" ht="14.25" hidden="false" customHeight="false" outlineLevel="0" collapsed="false">
      <c r="H17" s="1" t="n">
        <f aca="false">H16+1</f>
        <v>12</v>
      </c>
      <c r="I17" s="1" t="n">
        <f aca="false">DAY(K17)</f>
        <v>12</v>
      </c>
      <c r="J17" s="1" t="n">
        <f aca="false">MONTH(K17)</f>
        <v>1</v>
      </c>
      <c r="K17" s="23" t="n">
        <f aca="false">K16+1</f>
        <v>36537</v>
      </c>
      <c r="L17" s="24" t="n">
        <f aca="true">IF(TODAY()&lt;DATE($N$5,J17,I17),1000000,-1000000)</f>
        <v>-1000000</v>
      </c>
      <c r="M17" s="1" t="e">
        <f aca="false">IF(K17&gt;0,INDEX(big_daily_table,MATCH(DATE(N$5,$J17,$I17),daily_dates,0),MATCH($B$3,daily_items,0)),NA())</f>
        <v>#N/A</v>
      </c>
      <c r="N17" s="1" t="e">
        <f aca="false">IF(L17&lt;0,INDEX(big_daily_table,MATCH(DATE(N$5,$J17,$I17),daily_dates,0),MATCH($B$3,daily_items,0)),NA())</f>
        <v>#N/A</v>
      </c>
      <c r="O17" s="1" t="e">
        <f aca="false">IF(ISBLANK(INDEX(big_daily_table,MATCH(DATE(O$5,$J17,$I17),daily_dates,0),MATCH($B$3,daily_items,0))),NA(),INDEX(big_daily_table,MATCH(DATE(O$5,$J17,$I17),daily_dates,0),MATCH($B$3,daily_items,0)))</f>
        <v>#N/A</v>
      </c>
      <c r="P17" s="1" t="e">
        <f aca="false">IF(ISBLANK(INDEX(big_daily_table,MATCH(DATE(P$5,$J17,$I17),daily_dates,0),MATCH($B$3,daily_items,0))),NA(),INDEX(big_daily_table,MATCH(DATE(P$5,$J17,$I17),daily_dates,0),MATCH($B$3,daily_items,0)))</f>
        <v>#N/A</v>
      </c>
      <c r="Q17" s="1" t="e">
        <f aca="false">IF(ISBLANK(INDEX(big_daily_table,MATCH(DATE(Q$5,$J17,$I17),daily_dates,0),MATCH($B$3,daily_items,0))),NA(),INDEX(big_daily_table,MATCH(DATE(Q$5,$J17,$I17),daily_dates,0),MATCH($B$3,daily_items,0)))</f>
        <v>#N/A</v>
      </c>
      <c r="R17" s="1" t="e">
        <f aca="false">IF(ISBLANK(INDEX(big_daily_table,MATCH(DATE(R$5,$J17,$I17),daily_dates,0),MATCH($B$3,daily_items,0))),NA(),INDEX(big_daily_table,MATCH(DATE(R$5,$J17,$I17),daily_dates,0),MATCH($B$3,daily_items,0)))</f>
        <v>#N/A</v>
      </c>
      <c r="S17" s="1" t="e">
        <f aca="false">IF(ISBLANK(INDEX(big_daily_table,MATCH(DATE(S$5,$J17,$I17),daily_dates,0),MATCH($B$3,daily_items,0))),NA(),INDEX(big_daily_table,MATCH(DATE(S$5,$J17,$I17),daily_dates,0),MATCH($B$3,daily_items,0)))</f>
        <v>#N/A</v>
      </c>
      <c r="T17" s="1" t="e">
        <f aca="false">IF(ISBLANK(INDEX(big_daily_table,MATCH(DATE(T$5,$J17,$I17),daily_dates,0),MATCH($B$3,daily_items,0))),NA(),INDEX(big_daily_table,MATCH(DATE(T$5,$J17,$I17),daily_dates,0),MATCH($B$3,daily_items,0)))</f>
        <v>#N/A</v>
      </c>
      <c r="U17" s="1" t="e">
        <f aca="false">IF(ISBLANK(INDEX(big_daily_table,MATCH(DATE(U$5,$J17,$I17),daily_dates,0),MATCH($B$3,daily_items,0))),NA(),INDEX(big_daily_table,MATCH(DATE(U$5,$J17,$I17),daily_dates,0),MATCH($B$3,daily_items,0)))</f>
        <v>#N/A</v>
      </c>
      <c r="V17" s="1" t="e">
        <f aca="false">IF(ISBLANK(INDEX(big_daily_table,MATCH(DATE(V$5,$J17,$I17),daily_dates,0),MATCH($B$3,daily_items,0))),NA(),INDEX(big_daily_table,MATCH(DATE(V$5,$J17,$I17),daily_dates,0),MATCH($B$3,daily_items,0)))</f>
        <v>#N/A</v>
      </c>
      <c r="W17" s="1" t="e">
        <f aca="false">IF(ISBLANK(INDEX(big_daily_table,MATCH(DATE(W$5,$J17,$I17),daily_dates,0),MATCH($B$3,daily_items,0))),NA(),INDEX(big_daily_table,MATCH(DATE(W$5,$J17,$I17),daily_dates,0),MATCH($B$3,daily_items,0)))</f>
        <v>#N/A</v>
      </c>
      <c r="X17" s="1" t="e">
        <f aca="false">IF(ISBLANK(INDEX(big_daily_table,MATCH(DATE(X$5,$J17,$I17),daily_dates,0),MATCH($B$3,daily_items,0))),NA(),INDEX(big_daily_table,MATCH(DATE(X$5,$J17,$I17),daily_dates,0),MATCH($B$3,daily_items,0)))</f>
        <v>#N/A</v>
      </c>
      <c r="Y17" s="1" t="e">
        <f aca="false">IF(ISBLANK(INDEX(big_daily_table,MATCH(DATE(Y$5,$J17,$I17),daily_dates,0),MATCH($B$3,daily_items,0))),NA(),INDEX(big_daily_table,MATCH(DATE(Y$5,$J17,$I17),daily_dates,0),MATCH($B$3,daily_items,0)))</f>
        <v>#N/A</v>
      </c>
      <c r="Z17" s="1" t="n">
        <f aca="true">_xlfn.AGGREGATE(5,6,OFFSET($R$5,H17,0,1,$J$2))</f>
        <v>0</v>
      </c>
      <c r="AA17" s="1" t="n">
        <f aca="true">_xlfn.AGGREGATE(4,6,OFFSET($R$5,H17,0,1,$J$2))</f>
        <v>0</v>
      </c>
      <c r="AB17" s="1" t="n">
        <f aca="false">AA17-Z17</f>
        <v>0</v>
      </c>
      <c r="AC17" s="1" t="e">
        <f aca="true">_xlfn.AGGREGATE(1,6,OFFSET($R$5,H17,0,1,$J$2))</f>
        <v>#DIV/0!</v>
      </c>
    </row>
    <row r="18" customFormat="false" ht="14.25" hidden="false" customHeight="false" outlineLevel="0" collapsed="false">
      <c r="H18" s="1" t="n">
        <f aca="false">H17+1</f>
        <v>13</v>
      </c>
      <c r="I18" s="1" t="n">
        <f aca="false">DAY(K18)</f>
        <v>13</v>
      </c>
      <c r="J18" s="1" t="n">
        <f aca="false">MONTH(K18)</f>
        <v>1</v>
      </c>
      <c r="K18" s="23" t="n">
        <f aca="false">K17+1</f>
        <v>36538</v>
      </c>
      <c r="L18" s="24" t="n">
        <f aca="true">IF(TODAY()&lt;DATE($N$5,J18,I18),1000000,-1000000)</f>
        <v>-1000000</v>
      </c>
      <c r="M18" s="1" t="e">
        <f aca="false">IF(K18&gt;0,INDEX(big_daily_table,MATCH(DATE(N$5,$J18,$I18),daily_dates,0),MATCH($B$3,daily_items,0)),NA())</f>
        <v>#N/A</v>
      </c>
      <c r="N18" s="1" t="e">
        <f aca="false">IF(L18&lt;0,INDEX(big_daily_table,MATCH(DATE(N$5,$J18,$I18),daily_dates,0),MATCH($B$3,daily_items,0)),NA())</f>
        <v>#N/A</v>
      </c>
      <c r="O18" s="1" t="e">
        <f aca="false">IF(ISBLANK(INDEX(big_daily_table,MATCH(DATE(O$5,$J18,$I18),daily_dates,0),MATCH($B$3,daily_items,0))),NA(),INDEX(big_daily_table,MATCH(DATE(O$5,$J18,$I18),daily_dates,0),MATCH($B$3,daily_items,0)))</f>
        <v>#N/A</v>
      </c>
      <c r="P18" s="1" t="e">
        <f aca="false">IF(ISBLANK(INDEX(big_daily_table,MATCH(DATE(P$5,$J18,$I18),daily_dates,0),MATCH($B$3,daily_items,0))),NA(),INDEX(big_daily_table,MATCH(DATE(P$5,$J18,$I18),daily_dates,0),MATCH($B$3,daily_items,0)))</f>
        <v>#N/A</v>
      </c>
      <c r="Q18" s="1" t="e">
        <f aca="false">IF(ISBLANK(INDEX(big_daily_table,MATCH(DATE(Q$5,$J18,$I18),daily_dates,0),MATCH($B$3,daily_items,0))),NA(),INDEX(big_daily_table,MATCH(DATE(Q$5,$J18,$I18),daily_dates,0),MATCH($B$3,daily_items,0)))</f>
        <v>#N/A</v>
      </c>
      <c r="R18" s="1" t="e">
        <f aca="false">IF(ISBLANK(INDEX(big_daily_table,MATCH(DATE(R$5,$J18,$I18),daily_dates,0),MATCH($B$3,daily_items,0))),NA(),INDEX(big_daily_table,MATCH(DATE(R$5,$J18,$I18),daily_dates,0),MATCH($B$3,daily_items,0)))</f>
        <v>#N/A</v>
      </c>
      <c r="S18" s="1" t="e">
        <f aca="false">IF(ISBLANK(INDEX(big_daily_table,MATCH(DATE(S$5,$J18,$I18),daily_dates,0),MATCH($B$3,daily_items,0))),NA(),INDEX(big_daily_table,MATCH(DATE(S$5,$J18,$I18),daily_dates,0),MATCH($B$3,daily_items,0)))</f>
        <v>#N/A</v>
      </c>
      <c r="T18" s="1" t="e">
        <f aca="false">IF(ISBLANK(INDEX(big_daily_table,MATCH(DATE(T$5,$J18,$I18),daily_dates,0),MATCH($B$3,daily_items,0))),NA(),INDEX(big_daily_table,MATCH(DATE(T$5,$J18,$I18),daily_dates,0),MATCH($B$3,daily_items,0)))</f>
        <v>#N/A</v>
      </c>
      <c r="U18" s="1" t="e">
        <f aca="false">IF(ISBLANK(INDEX(big_daily_table,MATCH(DATE(U$5,$J18,$I18),daily_dates,0),MATCH($B$3,daily_items,0))),NA(),INDEX(big_daily_table,MATCH(DATE(U$5,$J18,$I18),daily_dates,0),MATCH($B$3,daily_items,0)))</f>
        <v>#N/A</v>
      </c>
      <c r="V18" s="1" t="e">
        <f aca="false">IF(ISBLANK(INDEX(big_daily_table,MATCH(DATE(V$5,$J18,$I18),daily_dates,0),MATCH($B$3,daily_items,0))),NA(),INDEX(big_daily_table,MATCH(DATE(V$5,$J18,$I18),daily_dates,0),MATCH($B$3,daily_items,0)))</f>
        <v>#N/A</v>
      </c>
      <c r="W18" s="1" t="e">
        <f aca="false">IF(ISBLANK(INDEX(big_daily_table,MATCH(DATE(W$5,$J18,$I18),daily_dates,0),MATCH($B$3,daily_items,0))),NA(),INDEX(big_daily_table,MATCH(DATE(W$5,$J18,$I18),daily_dates,0),MATCH($B$3,daily_items,0)))</f>
        <v>#N/A</v>
      </c>
      <c r="X18" s="1" t="e">
        <f aca="false">IF(ISBLANK(INDEX(big_daily_table,MATCH(DATE(X$5,$J18,$I18),daily_dates,0),MATCH($B$3,daily_items,0))),NA(),INDEX(big_daily_table,MATCH(DATE(X$5,$J18,$I18),daily_dates,0),MATCH($B$3,daily_items,0)))</f>
        <v>#N/A</v>
      </c>
      <c r="Y18" s="1" t="e">
        <f aca="false">IF(ISBLANK(INDEX(big_daily_table,MATCH(DATE(Y$5,$J18,$I18),daily_dates,0),MATCH($B$3,daily_items,0))),NA(),INDEX(big_daily_table,MATCH(DATE(Y$5,$J18,$I18),daily_dates,0),MATCH($B$3,daily_items,0)))</f>
        <v>#N/A</v>
      </c>
      <c r="Z18" s="1" t="n">
        <f aca="true">_xlfn.AGGREGATE(5,6,OFFSET($R$5,H18,0,1,$J$2))</f>
        <v>0</v>
      </c>
      <c r="AA18" s="1" t="n">
        <f aca="true">_xlfn.AGGREGATE(4,6,OFFSET($R$5,H18,0,1,$J$2))</f>
        <v>0</v>
      </c>
      <c r="AB18" s="1" t="n">
        <f aca="false">AA18-Z18</f>
        <v>0</v>
      </c>
      <c r="AC18" s="1" t="e">
        <f aca="true">_xlfn.AGGREGATE(1,6,OFFSET($R$5,H18,0,1,$J$2))</f>
        <v>#DIV/0!</v>
      </c>
    </row>
    <row r="19" customFormat="false" ht="14.25" hidden="false" customHeight="false" outlineLevel="0" collapsed="false">
      <c r="H19" s="1" t="n">
        <f aca="false">H18+1</f>
        <v>14</v>
      </c>
      <c r="I19" s="1" t="n">
        <f aca="false">DAY(K19)</f>
        <v>14</v>
      </c>
      <c r="J19" s="1" t="n">
        <f aca="false">MONTH(K19)</f>
        <v>1</v>
      </c>
      <c r="K19" s="23" t="n">
        <f aca="false">K18+1</f>
        <v>36539</v>
      </c>
      <c r="L19" s="24" t="n">
        <f aca="true">IF(TODAY()&lt;DATE($N$5,J19,I19),1000000,-1000000)</f>
        <v>-1000000</v>
      </c>
      <c r="M19" s="1" t="e">
        <f aca="false">IF(K19&gt;0,INDEX(big_daily_table,MATCH(DATE(N$5,$J19,$I19),daily_dates,0),MATCH($B$3,daily_items,0)),NA())</f>
        <v>#N/A</v>
      </c>
      <c r="N19" s="1" t="e">
        <f aca="false">IF(L19&lt;0,INDEX(big_daily_table,MATCH(DATE(N$5,$J19,$I19),daily_dates,0),MATCH($B$3,daily_items,0)),NA())</f>
        <v>#N/A</v>
      </c>
      <c r="O19" s="1" t="e">
        <f aca="false">IF(ISBLANK(INDEX(big_daily_table,MATCH(DATE(O$5,$J19,$I19),daily_dates,0),MATCH($B$3,daily_items,0))),NA(),INDEX(big_daily_table,MATCH(DATE(O$5,$J19,$I19),daily_dates,0),MATCH($B$3,daily_items,0)))</f>
        <v>#N/A</v>
      </c>
      <c r="P19" s="1" t="e">
        <f aca="false">IF(ISBLANK(INDEX(big_daily_table,MATCH(DATE(P$5,$J19,$I19),daily_dates,0),MATCH($B$3,daily_items,0))),NA(),INDEX(big_daily_table,MATCH(DATE(P$5,$J19,$I19),daily_dates,0),MATCH($B$3,daily_items,0)))</f>
        <v>#N/A</v>
      </c>
      <c r="Q19" s="1" t="e">
        <f aca="false">IF(ISBLANK(INDEX(big_daily_table,MATCH(DATE(Q$5,$J19,$I19),daily_dates,0),MATCH($B$3,daily_items,0))),NA(),INDEX(big_daily_table,MATCH(DATE(Q$5,$J19,$I19),daily_dates,0),MATCH($B$3,daily_items,0)))</f>
        <v>#N/A</v>
      </c>
      <c r="R19" s="1" t="e">
        <f aca="false">IF(ISBLANK(INDEX(big_daily_table,MATCH(DATE(R$5,$J19,$I19),daily_dates,0),MATCH($B$3,daily_items,0))),NA(),INDEX(big_daily_table,MATCH(DATE(R$5,$J19,$I19),daily_dates,0),MATCH($B$3,daily_items,0)))</f>
        <v>#N/A</v>
      </c>
      <c r="S19" s="1" t="e">
        <f aca="false">IF(ISBLANK(INDEX(big_daily_table,MATCH(DATE(S$5,$J19,$I19),daily_dates,0),MATCH($B$3,daily_items,0))),NA(),INDEX(big_daily_table,MATCH(DATE(S$5,$J19,$I19),daily_dates,0),MATCH($B$3,daily_items,0)))</f>
        <v>#N/A</v>
      </c>
      <c r="T19" s="1" t="e">
        <f aca="false">IF(ISBLANK(INDEX(big_daily_table,MATCH(DATE(T$5,$J19,$I19),daily_dates,0),MATCH($B$3,daily_items,0))),NA(),INDEX(big_daily_table,MATCH(DATE(T$5,$J19,$I19),daily_dates,0),MATCH($B$3,daily_items,0)))</f>
        <v>#N/A</v>
      </c>
      <c r="U19" s="1" t="e">
        <f aca="false">IF(ISBLANK(INDEX(big_daily_table,MATCH(DATE(U$5,$J19,$I19),daily_dates,0),MATCH($B$3,daily_items,0))),NA(),INDEX(big_daily_table,MATCH(DATE(U$5,$J19,$I19),daily_dates,0),MATCH($B$3,daily_items,0)))</f>
        <v>#N/A</v>
      </c>
      <c r="V19" s="1" t="e">
        <f aca="false">IF(ISBLANK(INDEX(big_daily_table,MATCH(DATE(V$5,$J19,$I19),daily_dates,0),MATCH($B$3,daily_items,0))),NA(),INDEX(big_daily_table,MATCH(DATE(V$5,$J19,$I19),daily_dates,0),MATCH($B$3,daily_items,0)))</f>
        <v>#N/A</v>
      </c>
      <c r="W19" s="1" t="e">
        <f aca="false">IF(ISBLANK(INDEX(big_daily_table,MATCH(DATE(W$5,$J19,$I19),daily_dates,0),MATCH($B$3,daily_items,0))),NA(),INDEX(big_daily_table,MATCH(DATE(W$5,$J19,$I19),daily_dates,0),MATCH($B$3,daily_items,0)))</f>
        <v>#N/A</v>
      </c>
      <c r="X19" s="1" t="e">
        <f aca="false">IF(ISBLANK(INDEX(big_daily_table,MATCH(DATE(X$5,$J19,$I19),daily_dates,0),MATCH($B$3,daily_items,0))),NA(),INDEX(big_daily_table,MATCH(DATE(X$5,$J19,$I19),daily_dates,0),MATCH($B$3,daily_items,0)))</f>
        <v>#N/A</v>
      </c>
      <c r="Y19" s="1" t="e">
        <f aca="false">IF(ISBLANK(INDEX(big_daily_table,MATCH(DATE(Y$5,$J19,$I19),daily_dates,0),MATCH($B$3,daily_items,0))),NA(),INDEX(big_daily_table,MATCH(DATE(Y$5,$J19,$I19),daily_dates,0),MATCH($B$3,daily_items,0)))</f>
        <v>#N/A</v>
      </c>
      <c r="Z19" s="1" t="n">
        <f aca="true">_xlfn.AGGREGATE(5,6,OFFSET($R$5,H19,0,1,$J$2))</f>
        <v>0</v>
      </c>
      <c r="AA19" s="1" t="n">
        <f aca="true">_xlfn.AGGREGATE(4,6,OFFSET($R$5,H19,0,1,$J$2))</f>
        <v>0</v>
      </c>
      <c r="AB19" s="1" t="n">
        <f aca="false">AA19-Z19</f>
        <v>0</v>
      </c>
      <c r="AC19" s="1" t="e">
        <f aca="true">_xlfn.AGGREGATE(1,6,OFFSET($R$5,H19,0,1,$J$2))</f>
        <v>#DIV/0!</v>
      </c>
    </row>
    <row r="20" customFormat="false" ht="14.25" hidden="false" customHeight="false" outlineLevel="0" collapsed="false">
      <c r="H20" s="1" t="n">
        <f aca="false">H19+1</f>
        <v>15</v>
      </c>
      <c r="I20" s="1" t="n">
        <f aca="false">DAY(K20)</f>
        <v>15</v>
      </c>
      <c r="J20" s="1" t="n">
        <f aca="false">MONTH(K20)</f>
        <v>1</v>
      </c>
      <c r="K20" s="23" t="n">
        <f aca="false">K19+1</f>
        <v>36540</v>
      </c>
      <c r="L20" s="24" t="n">
        <f aca="true">IF(TODAY()&lt;DATE($N$5,J20,I20),1000000,-1000000)</f>
        <v>-1000000</v>
      </c>
      <c r="M20" s="1" t="e">
        <f aca="false">IF(K20&gt;0,INDEX(big_daily_table,MATCH(DATE(N$5,$J20,$I20),daily_dates,0),MATCH($B$3,daily_items,0)),NA())</f>
        <v>#N/A</v>
      </c>
      <c r="N20" s="1" t="e">
        <f aca="false">IF(L20&lt;0,INDEX(big_daily_table,MATCH(DATE(N$5,$J20,$I20),daily_dates,0),MATCH($B$3,daily_items,0)),NA())</f>
        <v>#N/A</v>
      </c>
      <c r="O20" s="1" t="e">
        <f aca="false">IF(ISBLANK(INDEX(big_daily_table,MATCH(DATE(O$5,$J20,$I20),daily_dates,0),MATCH($B$3,daily_items,0))),NA(),INDEX(big_daily_table,MATCH(DATE(O$5,$J20,$I20),daily_dates,0),MATCH($B$3,daily_items,0)))</f>
        <v>#N/A</v>
      </c>
      <c r="P20" s="1" t="e">
        <f aca="false">IF(ISBLANK(INDEX(big_daily_table,MATCH(DATE(P$5,$J20,$I20),daily_dates,0),MATCH($B$3,daily_items,0))),NA(),INDEX(big_daily_table,MATCH(DATE(P$5,$J20,$I20),daily_dates,0),MATCH($B$3,daily_items,0)))</f>
        <v>#N/A</v>
      </c>
      <c r="Q20" s="1" t="e">
        <f aca="false">IF(ISBLANK(INDEX(big_daily_table,MATCH(DATE(Q$5,$J20,$I20),daily_dates,0),MATCH($B$3,daily_items,0))),NA(),INDEX(big_daily_table,MATCH(DATE(Q$5,$J20,$I20),daily_dates,0),MATCH($B$3,daily_items,0)))</f>
        <v>#N/A</v>
      </c>
      <c r="R20" s="1" t="e">
        <f aca="false">IF(ISBLANK(INDEX(big_daily_table,MATCH(DATE(R$5,$J20,$I20),daily_dates,0),MATCH($B$3,daily_items,0))),NA(),INDEX(big_daily_table,MATCH(DATE(R$5,$J20,$I20),daily_dates,0),MATCH($B$3,daily_items,0)))</f>
        <v>#N/A</v>
      </c>
      <c r="S20" s="1" t="e">
        <f aca="false">IF(ISBLANK(INDEX(big_daily_table,MATCH(DATE(S$5,$J20,$I20),daily_dates,0),MATCH($B$3,daily_items,0))),NA(),INDEX(big_daily_table,MATCH(DATE(S$5,$J20,$I20),daily_dates,0),MATCH($B$3,daily_items,0)))</f>
        <v>#N/A</v>
      </c>
      <c r="T20" s="1" t="e">
        <f aca="false">IF(ISBLANK(INDEX(big_daily_table,MATCH(DATE(T$5,$J20,$I20),daily_dates,0),MATCH($B$3,daily_items,0))),NA(),INDEX(big_daily_table,MATCH(DATE(T$5,$J20,$I20),daily_dates,0),MATCH($B$3,daily_items,0)))</f>
        <v>#N/A</v>
      </c>
      <c r="U20" s="1" t="e">
        <f aca="false">IF(ISBLANK(INDEX(big_daily_table,MATCH(DATE(U$5,$J20,$I20),daily_dates,0),MATCH($B$3,daily_items,0))),NA(),INDEX(big_daily_table,MATCH(DATE(U$5,$J20,$I20),daily_dates,0),MATCH($B$3,daily_items,0)))</f>
        <v>#N/A</v>
      </c>
      <c r="V20" s="1" t="e">
        <f aca="false">IF(ISBLANK(INDEX(big_daily_table,MATCH(DATE(V$5,$J20,$I20),daily_dates,0),MATCH($B$3,daily_items,0))),NA(),INDEX(big_daily_table,MATCH(DATE(V$5,$J20,$I20),daily_dates,0),MATCH($B$3,daily_items,0)))</f>
        <v>#N/A</v>
      </c>
      <c r="W20" s="1" t="e">
        <f aca="false">IF(ISBLANK(INDEX(big_daily_table,MATCH(DATE(W$5,$J20,$I20),daily_dates,0),MATCH($B$3,daily_items,0))),NA(),INDEX(big_daily_table,MATCH(DATE(W$5,$J20,$I20),daily_dates,0),MATCH($B$3,daily_items,0)))</f>
        <v>#N/A</v>
      </c>
      <c r="X20" s="1" t="e">
        <f aca="false">IF(ISBLANK(INDEX(big_daily_table,MATCH(DATE(X$5,$J20,$I20),daily_dates,0),MATCH($B$3,daily_items,0))),NA(),INDEX(big_daily_table,MATCH(DATE(X$5,$J20,$I20),daily_dates,0),MATCH($B$3,daily_items,0)))</f>
        <v>#N/A</v>
      </c>
      <c r="Y20" s="1" t="e">
        <f aca="false">IF(ISBLANK(INDEX(big_daily_table,MATCH(DATE(Y$5,$J20,$I20),daily_dates,0),MATCH($B$3,daily_items,0))),NA(),INDEX(big_daily_table,MATCH(DATE(Y$5,$J20,$I20),daily_dates,0),MATCH($B$3,daily_items,0)))</f>
        <v>#N/A</v>
      </c>
      <c r="Z20" s="1" t="n">
        <f aca="true">_xlfn.AGGREGATE(5,6,OFFSET($R$5,H20,0,1,$J$2))</f>
        <v>0</v>
      </c>
      <c r="AA20" s="1" t="n">
        <f aca="true">_xlfn.AGGREGATE(4,6,OFFSET($R$5,H20,0,1,$J$2))</f>
        <v>0</v>
      </c>
      <c r="AB20" s="1" t="n">
        <f aca="false">AA20-Z20</f>
        <v>0</v>
      </c>
      <c r="AC20" s="1" t="e">
        <f aca="true">_xlfn.AGGREGATE(1,6,OFFSET($R$5,H20,0,1,$J$2))</f>
        <v>#DIV/0!</v>
      </c>
    </row>
    <row r="21" customFormat="false" ht="14.25" hidden="false" customHeight="false" outlineLevel="0" collapsed="false">
      <c r="H21" s="1" t="n">
        <f aca="false">H20+1</f>
        <v>16</v>
      </c>
      <c r="I21" s="1" t="n">
        <f aca="false">DAY(K21)</f>
        <v>16</v>
      </c>
      <c r="J21" s="1" t="n">
        <f aca="false">MONTH(K21)</f>
        <v>1</v>
      </c>
      <c r="K21" s="23" t="n">
        <f aca="false">K20+1</f>
        <v>36541</v>
      </c>
      <c r="L21" s="24" t="n">
        <f aca="true">IF(TODAY()&lt;DATE($N$5,J21,I21),1000000,-1000000)</f>
        <v>-1000000</v>
      </c>
      <c r="M21" s="1" t="e">
        <f aca="false">IF(K21&gt;0,INDEX(big_daily_table,MATCH(DATE(N$5,$J21,$I21),daily_dates,0),MATCH($B$3,daily_items,0)),NA())</f>
        <v>#N/A</v>
      </c>
      <c r="N21" s="1" t="e">
        <f aca="false">IF(L21&lt;0,INDEX(big_daily_table,MATCH(DATE(N$5,$J21,$I21),daily_dates,0),MATCH($B$3,daily_items,0)),NA())</f>
        <v>#N/A</v>
      </c>
      <c r="O21" s="1" t="e">
        <f aca="false">IF(ISBLANK(INDEX(big_daily_table,MATCH(DATE(O$5,$J21,$I21),daily_dates,0),MATCH($B$3,daily_items,0))),NA(),INDEX(big_daily_table,MATCH(DATE(O$5,$J21,$I21),daily_dates,0),MATCH($B$3,daily_items,0)))</f>
        <v>#N/A</v>
      </c>
      <c r="P21" s="1" t="e">
        <f aca="false">IF(ISBLANK(INDEX(big_daily_table,MATCH(DATE(P$5,$J21,$I21),daily_dates,0),MATCH($B$3,daily_items,0))),NA(),INDEX(big_daily_table,MATCH(DATE(P$5,$J21,$I21),daily_dates,0),MATCH($B$3,daily_items,0)))</f>
        <v>#N/A</v>
      </c>
      <c r="Q21" s="1" t="e">
        <f aca="false">IF(ISBLANK(INDEX(big_daily_table,MATCH(DATE(Q$5,$J21,$I21),daily_dates,0),MATCH($B$3,daily_items,0))),NA(),INDEX(big_daily_table,MATCH(DATE(Q$5,$J21,$I21),daily_dates,0),MATCH($B$3,daily_items,0)))</f>
        <v>#N/A</v>
      </c>
      <c r="R21" s="1" t="e">
        <f aca="false">IF(ISBLANK(INDEX(big_daily_table,MATCH(DATE(R$5,$J21,$I21),daily_dates,0),MATCH($B$3,daily_items,0))),NA(),INDEX(big_daily_table,MATCH(DATE(R$5,$J21,$I21),daily_dates,0),MATCH($B$3,daily_items,0)))</f>
        <v>#N/A</v>
      </c>
      <c r="S21" s="1" t="e">
        <f aca="false">IF(ISBLANK(INDEX(big_daily_table,MATCH(DATE(S$5,$J21,$I21),daily_dates,0),MATCH($B$3,daily_items,0))),NA(),INDEX(big_daily_table,MATCH(DATE(S$5,$J21,$I21),daily_dates,0),MATCH($B$3,daily_items,0)))</f>
        <v>#N/A</v>
      </c>
      <c r="T21" s="1" t="e">
        <f aca="false">IF(ISBLANK(INDEX(big_daily_table,MATCH(DATE(T$5,$J21,$I21),daily_dates,0),MATCH($B$3,daily_items,0))),NA(),INDEX(big_daily_table,MATCH(DATE(T$5,$J21,$I21),daily_dates,0),MATCH($B$3,daily_items,0)))</f>
        <v>#N/A</v>
      </c>
      <c r="U21" s="1" t="e">
        <f aca="false">IF(ISBLANK(INDEX(big_daily_table,MATCH(DATE(U$5,$J21,$I21),daily_dates,0),MATCH($B$3,daily_items,0))),NA(),INDEX(big_daily_table,MATCH(DATE(U$5,$J21,$I21),daily_dates,0),MATCH($B$3,daily_items,0)))</f>
        <v>#N/A</v>
      </c>
      <c r="V21" s="1" t="e">
        <f aca="false">IF(ISBLANK(INDEX(big_daily_table,MATCH(DATE(V$5,$J21,$I21),daily_dates,0),MATCH($B$3,daily_items,0))),NA(),INDEX(big_daily_table,MATCH(DATE(V$5,$J21,$I21),daily_dates,0),MATCH($B$3,daily_items,0)))</f>
        <v>#N/A</v>
      </c>
      <c r="W21" s="1" t="e">
        <f aca="false">IF(ISBLANK(INDEX(big_daily_table,MATCH(DATE(W$5,$J21,$I21),daily_dates,0),MATCH($B$3,daily_items,0))),NA(),INDEX(big_daily_table,MATCH(DATE(W$5,$J21,$I21),daily_dates,0),MATCH($B$3,daily_items,0)))</f>
        <v>#N/A</v>
      </c>
      <c r="X21" s="1" t="e">
        <f aca="false">IF(ISBLANK(INDEX(big_daily_table,MATCH(DATE(X$5,$J21,$I21),daily_dates,0),MATCH($B$3,daily_items,0))),NA(),INDEX(big_daily_table,MATCH(DATE(X$5,$J21,$I21),daily_dates,0),MATCH($B$3,daily_items,0)))</f>
        <v>#N/A</v>
      </c>
      <c r="Y21" s="1" t="e">
        <f aca="false">IF(ISBLANK(INDEX(big_daily_table,MATCH(DATE(Y$5,$J21,$I21),daily_dates,0),MATCH($B$3,daily_items,0))),NA(),INDEX(big_daily_table,MATCH(DATE(Y$5,$J21,$I21),daily_dates,0),MATCH($B$3,daily_items,0)))</f>
        <v>#N/A</v>
      </c>
      <c r="Z21" s="1" t="n">
        <f aca="true">_xlfn.AGGREGATE(5,6,OFFSET($R$5,H21,0,1,$J$2))</f>
        <v>0</v>
      </c>
      <c r="AA21" s="1" t="n">
        <f aca="true">_xlfn.AGGREGATE(4,6,OFFSET($R$5,H21,0,1,$J$2))</f>
        <v>0</v>
      </c>
      <c r="AB21" s="1" t="n">
        <f aca="false">AA21-Z21</f>
        <v>0</v>
      </c>
      <c r="AC21" s="1" t="e">
        <f aca="true">_xlfn.AGGREGATE(1,6,OFFSET($R$5,H21,0,1,$J$2))</f>
        <v>#DIV/0!</v>
      </c>
    </row>
    <row r="22" customFormat="false" ht="14.25" hidden="false" customHeight="false" outlineLevel="0" collapsed="false">
      <c r="H22" s="1" t="n">
        <f aca="false">H21+1</f>
        <v>17</v>
      </c>
      <c r="I22" s="1" t="n">
        <f aca="false">DAY(K22)</f>
        <v>17</v>
      </c>
      <c r="J22" s="1" t="n">
        <f aca="false">MONTH(K22)</f>
        <v>1</v>
      </c>
      <c r="K22" s="23" t="n">
        <f aca="false">K21+1</f>
        <v>36542</v>
      </c>
      <c r="L22" s="24" t="n">
        <f aca="true">IF(TODAY()&lt;DATE($N$5,J22,I22),1000000,-1000000)</f>
        <v>-1000000</v>
      </c>
      <c r="M22" s="1" t="e">
        <f aca="false">IF(K22&gt;0,INDEX(big_daily_table,MATCH(DATE(N$5,$J22,$I22),daily_dates,0),MATCH($B$3,daily_items,0)),NA())</f>
        <v>#N/A</v>
      </c>
      <c r="N22" s="1" t="e">
        <f aca="false">IF(L22&lt;0,INDEX(big_daily_table,MATCH(DATE(N$5,$J22,$I22),daily_dates,0),MATCH($B$3,daily_items,0)),NA())</f>
        <v>#N/A</v>
      </c>
      <c r="O22" s="1" t="e">
        <f aca="false">IF(ISBLANK(INDEX(big_daily_table,MATCH(DATE(O$5,$J22,$I22),daily_dates,0),MATCH($B$3,daily_items,0))),NA(),INDEX(big_daily_table,MATCH(DATE(O$5,$J22,$I22),daily_dates,0),MATCH($B$3,daily_items,0)))</f>
        <v>#N/A</v>
      </c>
      <c r="P22" s="1" t="e">
        <f aca="false">IF(ISBLANK(INDEX(big_daily_table,MATCH(DATE(P$5,$J22,$I22),daily_dates,0),MATCH($B$3,daily_items,0))),NA(),INDEX(big_daily_table,MATCH(DATE(P$5,$J22,$I22),daily_dates,0),MATCH($B$3,daily_items,0)))</f>
        <v>#N/A</v>
      </c>
      <c r="Q22" s="1" t="e">
        <f aca="false">IF(ISBLANK(INDEX(big_daily_table,MATCH(DATE(Q$5,$J22,$I22),daily_dates,0),MATCH($B$3,daily_items,0))),NA(),INDEX(big_daily_table,MATCH(DATE(Q$5,$J22,$I22),daily_dates,0),MATCH($B$3,daily_items,0)))</f>
        <v>#N/A</v>
      </c>
      <c r="R22" s="1" t="e">
        <f aca="false">IF(ISBLANK(INDEX(big_daily_table,MATCH(DATE(R$5,$J22,$I22),daily_dates,0),MATCH($B$3,daily_items,0))),NA(),INDEX(big_daily_table,MATCH(DATE(R$5,$J22,$I22),daily_dates,0),MATCH($B$3,daily_items,0)))</f>
        <v>#N/A</v>
      </c>
      <c r="S22" s="1" t="e">
        <f aca="false">IF(ISBLANK(INDEX(big_daily_table,MATCH(DATE(S$5,$J22,$I22),daily_dates,0),MATCH($B$3,daily_items,0))),NA(),INDEX(big_daily_table,MATCH(DATE(S$5,$J22,$I22),daily_dates,0),MATCH($B$3,daily_items,0)))</f>
        <v>#N/A</v>
      </c>
      <c r="T22" s="1" t="e">
        <f aca="false">IF(ISBLANK(INDEX(big_daily_table,MATCH(DATE(T$5,$J22,$I22),daily_dates,0),MATCH($B$3,daily_items,0))),NA(),INDEX(big_daily_table,MATCH(DATE(T$5,$J22,$I22),daily_dates,0),MATCH($B$3,daily_items,0)))</f>
        <v>#N/A</v>
      </c>
      <c r="U22" s="1" t="e">
        <f aca="false">IF(ISBLANK(INDEX(big_daily_table,MATCH(DATE(U$5,$J22,$I22),daily_dates,0),MATCH($B$3,daily_items,0))),NA(),INDEX(big_daily_table,MATCH(DATE(U$5,$J22,$I22),daily_dates,0),MATCH($B$3,daily_items,0)))</f>
        <v>#N/A</v>
      </c>
      <c r="V22" s="1" t="e">
        <f aca="false">IF(ISBLANK(INDEX(big_daily_table,MATCH(DATE(V$5,$J22,$I22),daily_dates,0),MATCH($B$3,daily_items,0))),NA(),INDEX(big_daily_table,MATCH(DATE(V$5,$J22,$I22),daily_dates,0),MATCH($B$3,daily_items,0)))</f>
        <v>#N/A</v>
      </c>
      <c r="W22" s="1" t="e">
        <f aca="false">IF(ISBLANK(INDEX(big_daily_table,MATCH(DATE(W$5,$J22,$I22),daily_dates,0),MATCH($B$3,daily_items,0))),NA(),INDEX(big_daily_table,MATCH(DATE(W$5,$J22,$I22),daily_dates,0),MATCH($B$3,daily_items,0)))</f>
        <v>#N/A</v>
      </c>
      <c r="X22" s="1" t="e">
        <f aca="false">IF(ISBLANK(INDEX(big_daily_table,MATCH(DATE(X$5,$J22,$I22),daily_dates,0),MATCH($B$3,daily_items,0))),NA(),INDEX(big_daily_table,MATCH(DATE(X$5,$J22,$I22),daily_dates,0),MATCH($B$3,daily_items,0)))</f>
        <v>#N/A</v>
      </c>
      <c r="Y22" s="1" t="e">
        <f aca="false">IF(ISBLANK(INDEX(big_daily_table,MATCH(DATE(Y$5,$J22,$I22),daily_dates,0),MATCH($B$3,daily_items,0))),NA(),INDEX(big_daily_table,MATCH(DATE(Y$5,$J22,$I22),daily_dates,0),MATCH($B$3,daily_items,0)))</f>
        <v>#N/A</v>
      </c>
      <c r="Z22" s="1" t="n">
        <f aca="true">_xlfn.AGGREGATE(5,6,OFFSET($R$5,H22,0,1,$J$2))</f>
        <v>0</v>
      </c>
      <c r="AA22" s="1" t="n">
        <f aca="true">_xlfn.AGGREGATE(4,6,OFFSET($R$5,H22,0,1,$J$2))</f>
        <v>0</v>
      </c>
      <c r="AB22" s="1" t="n">
        <f aca="false">AA22-Z22</f>
        <v>0</v>
      </c>
      <c r="AC22" s="1" t="e">
        <f aca="true">_xlfn.AGGREGATE(1,6,OFFSET($R$5,H22,0,1,$J$2))</f>
        <v>#DIV/0!</v>
      </c>
    </row>
    <row r="23" customFormat="false" ht="14.25" hidden="false" customHeight="false" outlineLevel="0" collapsed="false">
      <c r="H23" s="1" t="n">
        <f aca="false">H22+1</f>
        <v>18</v>
      </c>
      <c r="I23" s="1" t="n">
        <f aca="false">DAY(K23)</f>
        <v>18</v>
      </c>
      <c r="J23" s="1" t="n">
        <f aca="false">MONTH(K23)</f>
        <v>1</v>
      </c>
      <c r="K23" s="23" t="n">
        <f aca="false">K22+1</f>
        <v>36543</v>
      </c>
      <c r="L23" s="24" t="n">
        <f aca="true">IF(TODAY()&lt;DATE($N$5,J23,I23),1000000,-1000000)</f>
        <v>-1000000</v>
      </c>
      <c r="M23" s="1" t="e">
        <f aca="false">IF(K23&gt;0,INDEX(big_daily_table,MATCH(DATE(N$5,$J23,$I23),daily_dates,0),MATCH($B$3,daily_items,0)),NA())</f>
        <v>#N/A</v>
      </c>
      <c r="N23" s="1" t="e">
        <f aca="false">IF(L23&lt;0,INDEX(big_daily_table,MATCH(DATE(N$5,$J23,$I23),daily_dates,0),MATCH($B$3,daily_items,0)),NA())</f>
        <v>#N/A</v>
      </c>
      <c r="O23" s="1" t="e">
        <f aca="false">IF(ISBLANK(INDEX(big_daily_table,MATCH(DATE(O$5,$J23,$I23),daily_dates,0),MATCH($B$3,daily_items,0))),NA(),INDEX(big_daily_table,MATCH(DATE(O$5,$J23,$I23),daily_dates,0),MATCH($B$3,daily_items,0)))</f>
        <v>#N/A</v>
      </c>
      <c r="P23" s="1" t="e">
        <f aca="false">IF(ISBLANK(INDEX(big_daily_table,MATCH(DATE(P$5,$J23,$I23),daily_dates,0),MATCH($B$3,daily_items,0))),NA(),INDEX(big_daily_table,MATCH(DATE(P$5,$J23,$I23),daily_dates,0),MATCH($B$3,daily_items,0)))</f>
        <v>#N/A</v>
      </c>
      <c r="Q23" s="1" t="e">
        <f aca="false">IF(ISBLANK(INDEX(big_daily_table,MATCH(DATE(Q$5,$J23,$I23),daily_dates,0),MATCH($B$3,daily_items,0))),NA(),INDEX(big_daily_table,MATCH(DATE(Q$5,$J23,$I23),daily_dates,0),MATCH($B$3,daily_items,0)))</f>
        <v>#N/A</v>
      </c>
      <c r="R23" s="1" t="e">
        <f aca="false">IF(ISBLANK(INDEX(big_daily_table,MATCH(DATE(R$5,$J23,$I23),daily_dates,0),MATCH($B$3,daily_items,0))),NA(),INDEX(big_daily_table,MATCH(DATE(R$5,$J23,$I23),daily_dates,0),MATCH($B$3,daily_items,0)))</f>
        <v>#N/A</v>
      </c>
      <c r="S23" s="1" t="e">
        <f aca="false">IF(ISBLANK(INDEX(big_daily_table,MATCH(DATE(S$5,$J23,$I23),daily_dates,0),MATCH($B$3,daily_items,0))),NA(),INDEX(big_daily_table,MATCH(DATE(S$5,$J23,$I23),daily_dates,0),MATCH($B$3,daily_items,0)))</f>
        <v>#N/A</v>
      </c>
      <c r="T23" s="1" t="e">
        <f aca="false">IF(ISBLANK(INDEX(big_daily_table,MATCH(DATE(T$5,$J23,$I23),daily_dates,0),MATCH($B$3,daily_items,0))),NA(),INDEX(big_daily_table,MATCH(DATE(T$5,$J23,$I23),daily_dates,0),MATCH($B$3,daily_items,0)))</f>
        <v>#N/A</v>
      </c>
      <c r="U23" s="1" t="e">
        <f aca="false">IF(ISBLANK(INDEX(big_daily_table,MATCH(DATE(U$5,$J23,$I23),daily_dates,0),MATCH($B$3,daily_items,0))),NA(),INDEX(big_daily_table,MATCH(DATE(U$5,$J23,$I23),daily_dates,0),MATCH($B$3,daily_items,0)))</f>
        <v>#N/A</v>
      </c>
      <c r="V23" s="1" t="e">
        <f aca="false">IF(ISBLANK(INDEX(big_daily_table,MATCH(DATE(V$5,$J23,$I23),daily_dates,0),MATCH($B$3,daily_items,0))),NA(),INDEX(big_daily_table,MATCH(DATE(V$5,$J23,$I23),daily_dates,0),MATCH($B$3,daily_items,0)))</f>
        <v>#N/A</v>
      </c>
      <c r="W23" s="1" t="e">
        <f aca="false">IF(ISBLANK(INDEX(big_daily_table,MATCH(DATE(W$5,$J23,$I23),daily_dates,0),MATCH($B$3,daily_items,0))),NA(),INDEX(big_daily_table,MATCH(DATE(W$5,$J23,$I23),daily_dates,0),MATCH($B$3,daily_items,0)))</f>
        <v>#N/A</v>
      </c>
      <c r="X23" s="1" t="e">
        <f aca="false">IF(ISBLANK(INDEX(big_daily_table,MATCH(DATE(X$5,$J23,$I23),daily_dates,0),MATCH($B$3,daily_items,0))),NA(),INDEX(big_daily_table,MATCH(DATE(X$5,$J23,$I23),daily_dates,0),MATCH($B$3,daily_items,0)))</f>
        <v>#N/A</v>
      </c>
      <c r="Y23" s="1" t="e">
        <f aca="false">IF(ISBLANK(INDEX(big_daily_table,MATCH(DATE(Y$5,$J23,$I23),daily_dates,0),MATCH($B$3,daily_items,0))),NA(),INDEX(big_daily_table,MATCH(DATE(Y$5,$J23,$I23),daily_dates,0),MATCH($B$3,daily_items,0)))</f>
        <v>#N/A</v>
      </c>
      <c r="Z23" s="1" t="n">
        <f aca="true">_xlfn.AGGREGATE(5,6,OFFSET($R$5,H23,0,1,$J$2))</f>
        <v>0</v>
      </c>
      <c r="AA23" s="1" t="n">
        <f aca="true">_xlfn.AGGREGATE(4,6,OFFSET($R$5,H23,0,1,$J$2))</f>
        <v>0</v>
      </c>
      <c r="AB23" s="1" t="n">
        <f aca="false">AA23-Z23</f>
        <v>0</v>
      </c>
      <c r="AC23" s="1" t="e">
        <f aca="true">_xlfn.AGGREGATE(1,6,OFFSET($R$5,H23,0,1,$J$2))</f>
        <v>#DIV/0!</v>
      </c>
    </row>
    <row r="24" customFormat="false" ht="14.25" hidden="false" customHeight="false" outlineLevel="0" collapsed="false">
      <c r="B24" s="22" t="s">
        <v>13</v>
      </c>
      <c r="H24" s="1" t="n">
        <f aca="false">H23+1</f>
        <v>19</v>
      </c>
      <c r="I24" s="1" t="n">
        <f aca="false">DAY(K24)</f>
        <v>19</v>
      </c>
      <c r="J24" s="1" t="n">
        <f aca="false">MONTH(K24)</f>
        <v>1</v>
      </c>
      <c r="K24" s="23" t="n">
        <f aca="false">K23+1</f>
        <v>36544</v>
      </c>
      <c r="L24" s="24" t="n">
        <f aca="true">IF(TODAY()&lt;DATE($N$5,J24,I24),1000000,-1000000)</f>
        <v>-1000000</v>
      </c>
      <c r="M24" s="1" t="e">
        <f aca="false">IF(K24&gt;0,INDEX(big_daily_table,MATCH(DATE(N$5,$J24,$I24),daily_dates,0),MATCH($B$3,daily_items,0)),NA())</f>
        <v>#N/A</v>
      </c>
      <c r="N24" s="1" t="e">
        <f aca="false">IF(L24&lt;0,INDEX(big_daily_table,MATCH(DATE(N$5,$J24,$I24),daily_dates,0),MATCH($B$3,daily_items,0)),NA())</f>
        <v>#N/A</v>
      </c>
      <c r="O24" s="1" t="e">
        <f aca="false">IF(ISBLANK(INDEX(big_daily_table,MATCH(DATE(O$5,$J24,$I24),daily_dates,0),MATCH($B$3,daily_items,0))),NA(),INDEX(big_daily_table,MATCH(DATE(O$5,$J24,$I24),daily_dates,0),MATCH($B$3,daily_items,0)))</f>
        <v>#N/A</v>
      </c>
      <c r="P24" s="1" t="e">
        <f aca="false">IF(ISBLANK(INDEX(big_daily_table,MATCH(DATE(P$5,$J24,$I24),daily_dates,0),MATCH($B$3,daily_items,0))),NA(),INDEX(big_daily_table,MATCH(DATE(P$5,$J24,$I24),daily_dates,0),MATCH($B$3,daily_items,0)))</f>
        <v>#N/A</v>
      </c>
      <c r="Q24" s="1" t="e">
        <f aca="false">IF(ISBLANK(INDEX(big_daily_table,MATCH(DATE(Q$5,$J24,$I24),daily_dates,0),MATCH($B$3,daily_items,0))),NA(),INDEX(big_daily_table,MATCH(DATE(Q$5,$J24,$I24),daily_dates,0),MATCH($B$3,daily_items,0)))</f>
        <v>#N/A</v>
      </c>
      <c r="R24" s="1" t="e">
        <f aca="false">IF(ISBLANK(INDEX(big_daily_table,MATCH(DATE(R$5,$J24,$I24),daily_dates,0),MATCH($B$3,daily_items,0))),NA(),INDEX(big_daily_table,MATCH(DATE(R$5,$J24,$I24),daily_dates,0),MATCH($B$3,daily_items,0)))</f>
        <v>#N/A</v>
      </c>
      <c r="S24" s="1" t="e">
        <f aca="false">IF(ISBLANK(INDEX(big_daily_table,MATCH(DATE(S$5,$J24,$I24),daily_dates,0),MATCH($B$3,daily_items,0))),NA(),INDEX(big_daily_table,MATCH(DATE(S$5,$J24,$I24),daily_dates,0),MATCH($B$3,daily_items,0)))</f>
        <v>#N/A</v>
      </c>
      <c r="T24" s="1" t="e">
        <f aca="false">IF(ISBLANK(INDEX(big_daily_table,MATCH(DATE(T$5,$J24,$I24),daily_dates,0),MATCH($B$3,daily_items,0))),NA(),INDEX(big_daily_table,MATCH(DATE(T$5,$J24,$I24),daily_dates,0),MATCH($B$3,daily_items,0)))</f>
        <v>#N/A</v>
      </c>
      <c r="U24" s="1" t="e">
        <f aca="false">IF(ISBLANK(INDEX(big_daily_table,MATCH(DATE(U$5,$J24,$I24),daily_dates,0),MATCH($B$3,daily_items,0))),NA(),INDEX(big_daily_table,MATCH(DATE(U$5,$J24,$I24),daily_dates,0),MATCH($B$3,daily_items,0)))</f>
        <v>#N/A</v>
      </c>
      <c r="V24" s="1" t="e">
        <f aca="false">IF(ISBLANK(INDEX(big_daily_table,MATCH(DATE(V$5,$J24,$I24),daily_dates,0),MATCH($B$3,daily_items,0))),NA(),INDEX(big_daily_table,MATCH(DATE(V$5,$J24,$I24),daily_dates,0),MATCH($B$3,daily_items,0)))</f>
        <v>#N/A</v>
      </c>
      <c r="W24" s="1" t="e">
        <f aca="false">IF(ISBLANK(INDEX(big_daily_table,MATCH(DATE(W$5,$J24,$I24),daily_dates,0),MATCH($B$3,daily_items,0))),NA(),INDEX(big_daily_table,MATCH(DATE(W$5,$J24,$I24),daily_dates,0),MATCH($B$3,daily_items,0)))</f>
        <v>#N/A</v>
      </c>
      <c r="X24" s="1" t="e">
        <f aca="false">IF(ISBLANK(INDEX(big_daily_table,MATCH(DATE(X$5,$J24,$I24),daily_dates,0),MATCH($B$3,daily_items,0))),NA(),INDEX(big_daily_table,MATCH(DATE(X$5,$J24,$I24),daily_dates,0),MATCH($B$3,daily_items,0)))</f>
        <v>#N/A</v>
      </c>
      <c r="Y24" s="1" t="e">
        <f aca="false">IF(ISBLANK(INDEX(big_daily_table,MATCH(DATE(Y$5,$J24,$I24),daily_dates,0),MATCH($B$3,daily_items,0))),NA(),INDEX(big_daily_table,MATCH(DATE(Y$5,$J24,$I24),daily_dates,0),MATCH($B$3,daily_items,0)))</f>
        <v>#N/A</v>
      </c>
      <c r="Z24" s="1" t="n">
        <f aca="true">_xlfn.AGGREGATE(5,6,OFFSET($R$5,H24,0,1,$J$2))</f>
        <v>0</v>
      </c>
      <c r="AA24" s="1" t="n">
        <f aca="true">_xlfn.AGGREGATE(4,6,OFFSET($R$5,H24,0,1,$J$2))</f>
        <v>0</v>
      </c>
      <c r="AB24" s="1" t="n">
        <f aca="false">AA24-Z24</f>
        <v>0</v>
      </c>
      <c r="AC24" s="1" t="e">
        <f aca="true">_xlfn.AGGREGATE(1,6,OFFSET($R$5,H24,0,1,$J$2))</f>
        <v>#DIV/0!</v>
      </c>
      <c r="AE24" s="25"/>
      <c r="AF24" s="26" t="n">
        <f aca="false">_xlfn.AGGREGATE(5,6,M6:AA371)+0.0001</f>
        <v>0.0001</v>
      </c>
      <c r="AG24" s="26" t="n">
        <f aca="false">_xlfn.AGGREGATE(4,6,M6:AA371)+0.0001</f>
        <v>0.0001</v>
      </c>
      <c r="AH24" s="26"/>
      <c r="AI24" s="27"/>
      <c r="AJ24" s="26"/>
      <c r="AK24" s="26"/>
      <c r="AL24" s="26"/>
      <c r="AM24" s="26"/>
      <c r="AN24" s="28"/>
    </row>
    <row r="25" customFormat="false" ht="14.25" hidden="false" customHeight="false" outlineLevel="0" collapsed="false">
      <c r="H25" s="1" t="n">
        <f aca="false">H24+1</f>
        <v>20</v>
      </c>
      <c r="I25" s="1" t="n">
        <f aca="false">DAY(K25)</f>
        <v>20</v>
      </c>
      <c r="J25" s="1" t="n">
        <f aca="false">MONTH(K25)</f>
        <v>1</v>
      </c>
      <c r="K25" s="23" t="n">
        <f aca="false">K24+1</f>
        <v>36545</v>
      </c>
      <c r="L25" s="24" t="n">
        <f aca="true">IF(TODAY()&lt;DATE($N$5,J25,I25),1000000,-1000000)</f>
        <v>-1000000</v>
      </c>
      <c r="M25" s="1" t="e">
        <f aca="false">IF(K25&gt;0,INDEX(big_daily_table,MATCH(DATE(N$5,$J25,$I25),daily_dates,0),MATCH($B$3,daily_items,0)),NA())</f>
        <v>#N/A</v>
      </c>
      <c r="N25" s="1" t="e">
        <f aca="false">IF(L25&lt;0,INDEX(big_daily_table,MATCH(DATE(N$5,$J25,$I25),daily_dates,0),MATCH($B$3,daily_items,0)),NA())</f>
        <v>#N/A</v>
      </c>
      <c r="O25" s="1" t="e">
        <f aca="false">IF(ISBLANK(INDEX(big_daily_table,MATCH(DATE(O$5,$J25,$I25),daily_dates,0),MATCH($B$3,daily_items,0))),NA(),INDEX(big_daily_table,MATCH(DATE(O$5,$J25,$I25),daily_dates,0),MATCH($B$3,daily_items,0)))</f>
        <v>#N/A</v>
      </c>
      <c r="P25" s="1" t="e">
        <f aca="false">IF(ISBLANK(INDEX(big_daily_table,MATCH(DATE(P$5,$J25,$I25),daily_dates,0),MATCH($B$3,daily_items,0))),NA(),INDEX(big_daily_table,MATCH(DATE(P$5,$J25,$I25),daily_dates,0),MATCH($B$3,daily_items,0)))</f>
        <v>#N/A</v>
      </c>
      <c r="Q25" s="1" t="e">
        <f aca="false">IF(ISBLANK(INDEX(big_daily_table,MATCH(DATE(Q$5,$J25,$I25),daily_dates,0),MATCH($B$3,daily_items,0))),NA(),INDEX(big_daily_table,MATCH(DATE(Q$5,$J25,$I25),daily_dates,0),MATCH($B$3,daily_items,0)))</f>
        <v>#N/A</v>
      </c>
      <c r="R25" s="1" t="e">
        <f aca="false">IF(ISBLANK(INDEX(big_daily_table,MATCH(DATE(R$5,$J25,$I25),daily_dates,0),MATCH($B$3,daily_items,0))),NA(),INDEX(big_daily_table,MATCH(DATE(R$5,$J25,$I25),daily_dates,0),MATCH($B$3,daily_items,0)))</f>
        <v>#N/A</v>
      </c>
      <c r="S25" s="1" t="e">
        <f aca="false">IF(ISBLANK(INDEX(big_daily_table,MATCH(DATE(S$5,$J25,$I25),daily_dates,0),MATCH($B$3,daily_items,0))),NA(),INDEX(big_daily_table,MATCH(DATE(S$5,$J25,$I25),daily_dates,0),MATCH($B$3,daily_items,0)))</f>
        <v>#N/A</v>
      </c>
      <c r="T25" s="1" t="e">
        <f aca="false">IF(ISBLANK(INDEX(big_daily_table,MATCH(DATE(T$5,$J25,$I25),daily_dates,0),MATCH($B$3,daily_items,0))),NA(),INDEX(big_daily_table,MATCH(DATE(T$5,$J25,$I25),daily_dates,0),MATCH($B$3,daily_items,0)))</f>
        <v>#N/A</v>
      </c>
      <c r="U25" s="1" t="e">
        <f aca="false">IF(ISBLANK(INDEX(big_daily_table,MATCH(DATE(U$5,$J25,$I25),daily_dates,0),MATCH($B$3,daily_items,0))),NA(),INDEX(big_daily_table,MATCH(DATE(U$5,$J25,$I25),daily_dates,0),MATCH($B$3,daily_items,0)))</f>
        <v>#N/A</v>
      </c>
      <c r="V25" s="1" t="e">
        <f aca="false">IF(ISBLANK(INDEX(big_daily_table,MATCH(DATE(V$5,$J25,$I25),daily_dates,0),MATCH($B$3,daily_items,0))),NA(),INDEX(big_daily_table,MATCH(DATE(V$5,$J25,$I25),daily_dates,0),MATCH($B$3,daily_items,0)))</f>
        <v>#N/A</v>
      </c>
      <c r="W25" s="1" t="e">
        <f aca="false">IF(ISBLANK(INDEX(big_daily_table,MATCH(DATE(W$5,$J25,$I25),daily_dates,0),MATCH($B$3,daily_items,0))),NA(),INDEX(big_daily_table,MATCH(DATE(W$5,$J25,$I25),daily_dates,0),MATCH($B$3,daily_items,0)))</f>
        <v>#N/A</v>
      </c>
      <c r="X25" s="1" t="e">
        <f aca="false">IF(ISBLANK(INDEX(big_daily_table,MATCH(DATE(X$5,$J25,$I25),daily_dates,0),MATCH($B$3,daily_items,0))),NA(),INDEX(big_daily_table,MATCH(DATE(X$5,$J25,$I25),daily_dates,0),MATCH($B$3,daily_items,0)))</f>
        <v>#N/A</v>
      </c>
      <c r="Y25" s="1" t="e">
        <f aca="false">IF(ISBLANK(INDEX(big_daily_table,MATCH(DATE(Y$5,$J25,$I25),daily_dates,0),MATCH($B$3,daily_items,0))),NA(),INDEX(big_daily_table,MATCH(DATE(Y$5,$J25,$I25),daily_dates,0),MATCH($B$3,daily_items,0)))</f>
        <v>#N/A</v>
      </c>
      <c r="Z25" s="1" t="n">
        <f aca="true">_xlfn.AGGREGATE(5,6,OFFSET($R$5,H25,0,1,$J$2))</f>
        <v>0</v>
      </c>
      <c r="AA25" s="1" t="n">
        <f aca="true">_xlfn.AGGREGATE(4,6,OFFSET($R$5,H25,0,1,$J$2))</f>
        <v>0</v>
      </c>
      <c r="AB25" s="1" t="n">
        <f aca="false">AA25-Z25</f>
        <v>0</v>
      </c>
      <c r="AC25" s="1" t="e">
        <f aca="true">_xlfn.AGGREGATE(1,6,OFFSET($R$5,H25,0,1,$J$2))</f>
        <v>#DIV/0!</v>
      </c>
      <c r="AE25" s="29" t="s">
        <v>14</v>
      </c>
      <c r="AF25" s="1" t="n">
        <f aca="false">AF24</f>
        <v>0.0001</v>
      </c>
      <c r="AH25" s="1" t="n">
        <f aca="false">LOG10(ABS(AF25))</f>
        <v>-4</v>
      </c>
      <c r="AI25" s="1" t="n">
        <f aca="false">10^ROUND(AH25,0)</f>
        <v>0.0001</v>
      </c>
      <c r="AJ25" s="1" t="n">
        <f aca="false">AI25/5</f>
        <v>2E-005</v>
      </c>
      <c r="AK25" s="1" t="n">
        <f aca="false">ROUNDDOWN(AF25/AI25,0)*AI25</f>
        <v>0.0001</v>
      </c>
      <c r="AL25" s="1" t="n">
        <f aca="false">AF25-AK25</f>
        <v>0</v>
      </c>
      <c r="AM25" s="1" t="n">
        <f aca="false">IF(ABS(AL25)=AK25,ROUNDDOWN(AL25/AJ25,0),ROUNDUP(AL25/AJ25,0))*AJ25</f>
        <v>0</v>
      </c>
      <c r="AN25" s="30" t="n">
        <f aca="false">AM25+AK25</f>
        <v>0.0001</v>
      </c>
    </row>
    <row r="26" customFormat="false" ht="14.25" hidden="false" customHeight="false" outlineLevel="0" collapsed="false">
      <c r="H26" s="1" t="n">
        <f aca="false">H25+1</f>
        <v>21</v>
      </c>
      <c r="I26" s="1" t="n">
        <f aca="false">DAY(K26)</f>
        <v>21</v>
      </c>
      <c r="J26" s="1" t="n">
        <f aca="false">MONTH(K26)</f>
        <v>1</v>
      </c>
      <c r="K26" s="23" t="n">
        <f aca="false">K25+1</f>
        <v>36546</v>
      </c>
      <c r="L26" s="24" t="n">
        <f aca="true">IF(TODAY()&lt;DATE($N$5,J26,I26),1000000,-1000000)</f>
        <v>-1000000</v>
      </c>
      <c r="M26" s="1" t="e">
        <f aca="false">IF(K26&gt;0,INDEX(big_daily_table,MATCH(DATE(N$5,$J26,$I26),daily_dates,0),MATCH($B$3,daily_items,0)),NA())</f>
        <v>#N/A</v>
      </c>
      <c r="N26" s="1" t="e">
        <f aca="false">IF(L26&lt;0,INDEX(big_daily_table,MATCH(DATE(N$5,$J26,$I26),daily_dates,0),MATCH($B$3,daily_items,0)),NA())</f>
        <v>#N/A</v>
      </c>
      <c r="O26" s="1" t="e">
        <f aca="false">IF(ISBLANK(INDEX(big_daily_table,MATCH(DATE(O$5,$J26,$I26),daily_dates,0),MATCH($B$3,daily_items,0))),NA(),INDEX(big_daily_table,MATCH(DATE(O$5,$J26,$I26),daily_dates,0),MATCH($B$3,daily_items,0)))</f>
        <v>#N/A</v>
      </c>
      <c r="P26" s="1" t="e">
        <f aca="false">IF(ISBLANK(INDEX(big_daily_table,MATCH(DATE(P$5,$J26,$I26),daily_dates,0),MATCH($B$3,daily_items,0))),NA(),INDEX(big_daily_table,MATCH(DATE(P$5,$J26,$I26),daily_dates,0),MATCH($B$3,daily_items,0)))</f>
        <v>#N/A</v>
      </c>
      <c r="Q26" s="1" t="e">
        <f aca="false">IF(ISBLANK(INDEX(big_daily_table,MATCH(DATE(Q$5,$J26,$I26),daily_dates,0),MATCH($B$3,daily_items,0))),NA(),INDEX(big_daily_table,MATCH(DATE(Q$5,$J26,$I26),daily_dates,0),MATCH($B$3,daily_items,0)))</f>
        <v>#N/A</v>
      </c>
      <c r="R26" s="1" t="e">
        <f aca="false">IF(ISBLANK(INDEX(big_daily_table,MATCH(DATE(R$5,$J26,$I26),daily_dates,0),MATCH($B$3,daily_items,0))),NA(),INDEX(big_daily_table,MATCH(DATE(R$5,$J26,$I26),daily_dates,0),MATCH($B$3,daily_items,0)))</f>
        <v>#N/A</v>
      </c>
      <c r="S26" s="1" t="e">
        <f aca="false">IF(ISBLANK(INDEX(big_daily_table,MATCH(DATE(S$5,$J26,$I26),daily_dates,0),MATCH($B$3,daily_items,0))),NA(),INDEX(big_daily_table,MATCH(DATE(S$5,$J26,$I26),daily_dates,0),MATCH($B$3,daily_items,0)))</f>
        <v>#N/A</v>
      </c>
      <c r="T26" s="1" t="e">
        <f aca="false">IF(ISBLANK(INDEX(big_daily_table,MATCH(DATE(T$5,$J26,$I26),daily_dates,0),MATCH($B$3,daily_items,0))),NA(),INDEX(big_daily_table,MATCH(DATE(T$5,$J26,$I26),daily_dates,0),MATCH($B$3,daily_items,0)))</f>
        <v>#N/A</v>
      </c>
      <c r="U26" s="1" t="e">
        <f aca="false">IF(ISBLANK(INDEX(big_daily_table,MATCH(DATE(U$5,$J26,$I26),daily_dates,0),MATCH($B$3,daily_items,0))),NA(),INDEX(big_daily_table,MATCH(DATE(U$5,$J26,$I26),daily_dates,0),MATCH($B$3,daily_items,0)))</f>
        <v>#N/A</v>
      </c>
      <c r="V26" s="1" t="e">
        <f aca="false">IF(ISBLANK(INDEX(big_daily_table,MATCH(DATE(V$5,$J26,$I26),daily_dates,0),MATCH($B$3,daily_items,0))),NA(),INDEX(big_daily_table,MATCH(DATE(V$5,$J26,$I26),daily_dates,0),MATCH($B$3,daily_items,0)))</f>
        <v>#N/A</v>
      </c>
      <c r="W26" s="1" t="e">
        <f aca="false">IF(ISBLANK(INDEX(big_daily_table,MATCH(DATE(W$5,$J26,$I26),daily_dates,0),MATCH($B$3,daily_items,0))),NA(),INDEX(big_daily_table,MATCH(DATE(W$5,$J26,$I26),daily_dates,0),MATCH($B$3,daily_items,0)))</f>
        <v>#N/A</v>
      </c>
      <c r="X26" s="1" t="e">
        <f aca="false">IF(ISBLANK(INDEX(big_daily_table,MATCH(DATE(X$5,$J26,$I26),daily_dates,0),MATCH($B$3,daily_items,0))),NA(),INDEX(big_daily_table,MATCH(DATE(X$5,$J26,$I26),daily_dates,0),MATCH($B$3,daily_items,0)))</f>
        <v>#N/A</v>
      </c>
      <c r="Y26" s="1" t="e">
        <f aca="false">IF(ISBLANK(INDEX(big_daily_table,MATCH(DATE(Y$5,$J26,$I26),daily_dates,0),MATCH($B$3,daily_items,0))),NA(),INDEX(big_daily_table,MATCH(DATE(Y$5,$J26,$I26),daily_dates,0),MATCH($B$3,daily_items,0)))</f>
        <v>#N/A</v>
      </c>
      <c r="Z26" s="1" t="n">
        <f aca="true">_xlfn.AGGREGATE(5,6,OFFSET($R$5,H26,0,1,$J$2))</f>
        <v>0</v>
      </c>
      <c r="AA26" s="1" t="n">
        <f aca="true">_xlfn.AGGREGATE(4,6,OFFSET($R$5,H26,0,1,$J$2))</f>
        <v>0</v>
      </c>
      <c r="AB26" s="1" t="n">
        <f aca="false">AA26-Z26</f>
        <v>0</v>
      </c>
      <c r="AC26" s="1" t="e">
        <f aca="true">_xlfn.AGGREGATE(1,6,OFFSET($R$5,H26,0,1,$J$2))</f>
        <v>#DIV/0!</v>
      </c>
      <c r="AE26" s="31" t="s">
        <v>15</v>
      </c>
      <c r="AF26" s="20" t="n">
        <f aca="false">AG24</f>
        <v>0.0001</v>
      </c>
      <c r="AG26" s="20"/>
      <c r="AH26" s="20" t="n">
        <f aca="false">LOG10(AF26)</f>
        <v>-4</v>
      </c>
      <c r="AI26" s="20" t="n">
        <f aca="false">AI25</f>
        <v>0.0001</v>
      </c>
      <c r="AJ26" s="20" t="n">
        <f aca="false">AJ25</f>
        <v>2E-005</v>
      </c>
      <c r="AK26" s="20" t="n">
        <f aca="false">ROUNDDOWN(AF26/AI26,0)*AI26</f>
        <v>0.0001</v>
      </c>
      <c r="AL26" s="20" t="n">
        <f aca="false">AF26-AK26</f>
        <v>0</v>
      </c>
      <c r="AM26" s="20" t="n">
        <f aca="false">IF(ABS(AL26)=AK26,ROUNDDOWN(AL26/AJ26,0),ROUNDUP(AL26/AJ26,0))*AJ26</f>
        <v>0</v>
      </c>
      <c r="AN26" s="32" t="n">
        <f aca="false">AM26+AK26</f>
        <v>0.0001</v>
      </c>
    </row>
    <row r="27" customFormat="false" ht="14.25" hidden="false" customHeight="false" outlineLevel="0" collapsed="false">
      <c r="H27" s="1" t="n">
        <f aca="false">H26+1</f>
        <v>22</v>
      </c>
      <c r="I27" s="1" t="n">
        <f aca="false">DAY(K27)</f>
        <v>22</v>
      </c>
      <c r="J27" s="1" t="n">
        <f aca="false">MONTH(K27)</f>
        <v>1</v>
      </c>
      <c r="K27" s="23" t="n">
        <f aca="false">K26+1</f>
        <v>36547</v>
      </c>
      <c r="L27" s="24" t="n">
        <f aca="true">IF(TODAY()&lt;DATE($N$5,J27,I27),1000000,-1000000)</f>
        <v>-1000000</v>
      </c>
      <c r="M27" s="1" t="e">
        <f aca="false">IF(K27&gt;0,INDEX(big_daily_table,MATCH(DATE(N$5,$J27,$I27),daily_dates,0),MATCH($B$3,daily_items,0)),NA())</f>
        <v>#N/A</v>
      </c>
      <c r="N27" s="1" t="e">
        <f aca="false">IF(L27&lt;0,INDEX(big_daily_table,MATCH(DATE(N$5,$J27,$I27),daily_dates,0),MATCH($B$3,daily_items,0)),NA())</f>
        <v>#N/A</v>
      </c>
      <c r="O27" s="1" t="e">
        <f aca="false">IF(ISBLANK(INDEX(big_daily_table,MATCH(DATE(O$5,$J27,$I27),daily_dates,0),MATCH($B$3,daily_items,0))),NA(),INDEX(big_daily_table,MATCH(DATE(O$5,$J27,$I27),daily_dates,0),MATCH($B$3,daily_items,0)))</f>
        <v>#N/A</v>
      </c>
      <c r="P27" s="1" t="e">
        <f aca="false">IF(ISBLANK(INDEX(big_daily_table,MATCH(DATE(P$5,$J27,$I27),daily_dates,0),MATCH($B$3,daily_items,0))),NA(),INDEX(big_daily_table,MATCH(DATE(P$5,$J27,$I27),daily_dates,0),MATCH($B$3,daily_items,0)))</f>
        <v>#N/A</v>
      </c>
      <c r="Q27" s="1" t="e">
        <f aca="false">IF(ISBLANK(INDEX(big_daily_table,MATCH(DATE(Q$5,$J27,$I27),daily_dates,0),MATCH($B$3,daily_items,0))),NA(),INDEX(big_daily_table,MATCH(DATE(Q$5,$J27,$I27),daily_dates,0),MATCH($B$3,daily_items,0)))</f>
        <v>#N/A</v>
      </c>
      <c r="R27" s="1" t="e">
        <f aca="false">IF(ISBLANK(INDEX(big_daily_table,MATCH(DATE(R$5,$J27,$I27),daily_dates,0),MATCH($B$3,daily_items,0))),NA(),INDEX(big_daily_table,MATCH(DATE(R$5,$J27,$I27),daily_dates,0),MATCH($B$3,daily_items,0)))</f>
        <v>#N/A</v>
      </c>
      <c r="S27" s="1" t="e">
        <f aca="false">IF(ISBLANK(INDEX(big_daily_table,MATCH(DATE(S$5,$J27,$I27),daily_dates,0),MATCH($B$3,daily_items,0))),NA(),INDEX(big_daily_table,MATCH(DATE(S$5,$J27,$I27),daily_dates,0),MATCH($B$3,daily_items,0)))</f>
        <v>#N/A</v>
      </c>
      <c r="T27" s="1" t="e">
        <f aca="false">IF(ISBLANK(INDEX(big_daily_table,MATCH(DATE(T$5,$J27,$I27),daily_dates,0),MATCH($B$3,daily_items,0))),NA(),INDEX(big_daily_table,MATCH(DATE(T$5,$J27,$I27),daily_dates,0),MATCH($B$3,daily_items,0)))</f>
        <v>#N/A</v>
      </c>
      <c r="U27" s="1" t="e">
        <f aca="false">IF(ISBLANK(INDEX(big_daily_table,MATCH(DATE(U$5,$J27,$I27),daily_dates,0),MATCH($B$3,daily_items,0))),NA(),INDEX(big_daily_table,MATCH(DATE(U$5,$J27,$I27),daily_dates,0),MATCH($B$3,daily_items,0)))</f>
        <v>#N/A</v>
      </c>
      <c r="V27" s="1" t="e">
        <f aca="false">IF(ISBLANK(INDEX(big_daily_table,MATCH(DATE(V$5,$J27,$I27),daily_dates,0),MATCH($B$3,daily_items,0))),NA(),INDEX(big_daily_table,MATCH(DATE(V$5,$J27,$I27),daily_dates,0),MATCH($B$3,daily_items,0)))</f>
        <v>#N/A</v>
      </c>
      <c r="W27" s="1" t="e">
        <f aca="false">IF(ISBLANK(INDEX(big_daily_table,MATCH(DATE(W$5,$J27,$I27),daily_dates,0),MATCH($B$3,daily_items,0))),NA(),INDEX(big_daily_table,MATCH(DATE(W$5,$J27,$I27),daily_dates,0),MATCH($B$3,daily_items,0)))</f>
        <v>#N/A</v>
      </c>
      <c r="X27" s="1" t="e">
        <f aca="false">IF(ISBLANK(INDEX(big_daily_table,MATCH(DATE(X$5,$J27,$I27),daily_dates,0),MATCH($B$3,daily_items,0))),NA(),INDEX(big_daily_table,MATCH(DATE(X$5,$J27,$I27),daily_dates,0),MATCH($B$3,daily_items,0)))</f>
        <v>#N/A</v>
      </c>
      <c r="Y27" s="1" t="e">
        <f aca="false">IF(ISBLANK(INDEX(big_daily_table,MATCH(DATE(Y$5,$J27,$I27),daily_dates,0),MATCH($B$3,daily_items,0))),NA(),INDEX(big_daily_table,MATCH(DATE(Y$5,$J27,$I27),daily_dates,0),MATCH($B$3,daily_items,0)))</f>
        <v>#N/A</v>
      </c>
      <c r="Z27" s="1" t="n">
        <f aca="true">_xlfn.AGGREGATE(5,6,OFFSET($R$5,H27,0,1,$J$2))</f>
        <v>0</v>
      </c>
      <c r="AA27" s="1" t="n">
        <f aca="true">_xlfn.AGGREGATE(4,6,OFFSET($R$5,H27,0,1,$J$2))</f>
        <v>0</v>
      </c>
      <c r="AB27" s="1" t="n">
        <f aca="false">AA27-Z27</f>
        <v>0</v>
      </c>
      <c r="AC27" s="1" t="e">
        <f aca="true">_xlfn.AGGREGATE(1,6,OFFSET($R$5,H27,0,1,$J$2))</f>
        <v>#DIV/0!</v>
      </c>
    </row>
    <row r="28" customFormat="false" ht="14.25" hidden="false" customHeight="false" outlineLevel="0" collapsed="false">
      <c r="H28" s="1" t="n">
        <f aca="false">H27+1</f>
        <v>23</v>
      </c>
      <c r="I28" s="1" t="n">
        <f aca="false">DAY(K28)</f>
        <v>23</v>
      </c>
      <c r="J28" s="1" t="n">
        <f aca="false">MONTH(K28)</f>
        <v>1</v>
      </c>
      <c r="K28" s="23" t="n">
        <f aca="false">K27+1</f>
        <v>36548</v>
      </c>
      <c r="L28" s="24" t="n">
        <f aca="true">IF(TODAY()&lt;DATE($N$5,J28,I28),1000000,-1000000)</f>
        <v>-1000000</v>
      </c>
      <c r="M28" s="1" t="e">
        <f aca="false">IF(K28&gt;0,INDEX(big_daily_table,MATCH(DATE(N$5,$J28,$I28),daily_dates,0),MATCH($B$3,daily_items,0)),NA())</f>
        <v>#N/A</v>
      </c>
      <c r="N28" s="1" t="e">
        <f aca="false">IF(L28&lt;0,INDEX(big_daily_table,MATCH(DATE(N$5,$J28,$I28),daily_dates,0),MATCH($B$3,daily_items,0)),NA())</f>
        <v>#N/A</v>
      </c>
      <c r="O28" s="1" t="e">
        <f aca="false">IF(ISBLANK(INDEX(big_daily_table,MATCH(DATE(O$5,$J28,$I28),daily_dates,0),MATCH($B$3,daily_items,0))),NA(),INDEX(big_daily_table,MATCH(DATE(O$5,$J28,$I28),daily_dates,0),MATCH($B$3,daily_items,0)))</f>
        <v>#N/A</v>
      </c>
      <c r="P28" s="1" t="e">
        <f aca="false">IF(ISBLANK(INDEX(big_daily_table,MATCH(DATE(P$5,$J28,$I28),daily_dates,0),MATCH($B$3,daily_items,0))),NA(),INDEX(big_daily_table,MATCH(DATE(P$5,$J28,$I28),daily_dates,0),MATCH($B$3,daily_items,0)))</f>
        <v>#N/A</v>
      </c>
      <c r="Q28" s="1" t="e">
        <f aca="false">IF(ISBLANK(INDEX(big_daily_table,MATCH(DATE(Q$5,$J28,$I28),daily_dates,0),MATCH($B$3,daily_items,0))),NA(),INDEX(big_daily_table,MATCH(DATE(Q$5,$J28,$I28),daily_dates,0),MATCH($B$3,daily_items,0)))</f>
        <v>#N/A</v>
      </c>
      <c r="R28" s="1" t="e">
        <f aca="false">IF(ISBLANK(INDEX(big_daily_table,MATCH(DATE(R$5,$J28,$I28),daily_dates,0),MATCH($B$3,daily_items,0))),NA(),INDEX(big_daily_table,MATCH(DATE(R$5,$J28,$I28),daily_dates,0),MATCH($B$3,daily_items,0)))</f>
        <v>#N/A</v>
      </c>
      <c r="S28" s="1" t="e">
        <f aca="false">IF(ISBLANK(INDEX(big_daily_table,MATCH(DATE(S$5,$J28,$I28),daily_dates,0),MATCH($B$3,daily_items,0))),NA(),INDEX(big_daily_table,MATCH(DATE(S$5,$J28,$I28),daily_dates,0),MATCH($B$3,daily_items,0)))</f>
        <v>#N/A</v>
      </c>
      <c r="T28" s="1" t="e">
        <f aca="false">IF(ISBLANK(INDEX(big_daily_table,MATCH(DATE(T$5,$J28,$I28),daily_dates,0),MATCH($B$3,daily_items,0))),NA(),INDEX(big_daily_table,MATCH(DATE(T$5,$J28,$I28),daily_dates,0),MATCH($B$3,daily_items,0)))</f>
        <v>#N/A</v>
      </c>
      <c r="U28" s="1" t="e">
        <f aca="false">IF(ISBLANK(INDEX(big_daily_table,MATCH(DATE(U$5,$J28,$I28),daily_dates,0),MATCH($B$3,daily_items,0))),NA(),INDEX(big_daily_table,MATCH(DATE(U$5,$J28,$I28),daily_dates,0),MATCH($B$3,daily_items,0)))</f>
        <v>#N/A</v>
      </c>
      <c r="V28" s="1" t="e">
        <f aca="false">IF(ISBLANK(INDEX(big_daily_table,MATCH(DATE(V$5,$J28,$I28),daily_dates,0),MATCH($B$3,daily_items,0))),NA(),INDEX(big_daily_table,MATCH(DATE(V$5,$J28,$I28),daily_dates,0),MATCH($B$3,daily_items,0)))</f>
        <v>#N/A</v>
      </c>
      <c r="W28" s="1" t="e">
        <f aca="false">IF(ISBLANK(INDEX(big_daily_table,MATCH(DATE(W$5,$J28,$I28),daily_dates,0),MATCH($B$3,daily_items,0))),NA(),INDEX(big_daily_table,MATCH(DATE(W$5,$J28,$I28),daily_dates,0),MATCH($B$3,daily_items,0)))</f>
        <v>#N/A</v>
      </c>
      <c r="X28" s="1" t="e">
        <f aca="false">IF(ISBLANK(INDEX(big_daily_table,MATCH(DATE(X$5,$J28,$I28),daily_dates,0),MATCH($B$3,daily_items,0))),NA(),INDEX(big_daily_table,MATCH(DATE(X$5,$J28,$I28),daily_dates,0),MATCH($B$3,daily_items,0)))</f>
        <v>#N/A</v>
      </c>
      <c r="Y28" s="1" t="e">
        <f aca="false">IF(ISBLANK(INDEX(big_daily_table,MATCH(DATE(Y$5,$J28,$I28),daily_dates,0),MATCH($B$3,daily_items,0))),NA(),INDEX(big_daily_table,MATCH(DATE(Y$5,$J28,$I28),daily_dates,0),MATCH($B$3,daily_items,0)))</f>
        <v>#N/A</v>
      </c>
      <c r="Z28" s="1" t="n">
        <f aca="true">_xlfn.AGGREGATE(5,6,OFFSET($R$5,H28,0,1,$J$2))</f>
        <v>0</v>
      </c>
      <c r="AA28" s="1" t="n">
        <f aca="true">_xlfn.AGGREGATE(4,6,OFFSET($R$5,H28,0,1,$J$2))</f>
        <v>0</v>
      </c>
      <c r="AB28" s="1" t="n">
        <f aca="false">AA28-Z28</f>
        <v>0</v>
      </c>
      <c r="AC28" s="1" t="e">
        <f aca="true">_xlfn.AGGREGATE(1,6,OFFSET($R$5,H28,0,1,$J$2))</f>
        <v>#DIV/0!</v>
      </c>
    </row>
    <row r="29" customFormat="false" ht="14.25" hidden="false" customHeight="false" outlineLevel="0" collapsed="false">
      <c r="H29" s="1" t="n">
        <f aca="false">H28+1</f>
        <v>24</v>
      </c>
      <c r="I29" s="1" t="n">
        <f aca="false">DAY(K29)</f>
        <v>24</v>
      </c>
      <c r="J29" s="1" t="n">
        <f aca="false">MONTH(K29)</f>
        <v>1</v>
      </c>
      <c r="K29" s="23" t="n">
        <f aca="false">K28+1</f>
        <v>36549</v>
      </c>
      <c r="L29" s="24" t="n">
        <f aca="true">IF(TODAY()&lt;DATE($N$5,J29,I29),1000000,-1000000)</f>
        <v>-1000000</v>
      </c>
      <c r="M29" s="1" t="e">
        <f aca="false">IF(K29&gt;0,INDEX(big_daily_table,MATCH(DATE(N$5,$J29,$I29),daily_dates,0),MATCH($B$3,daily_items,0)),NA())</f>
        <v>#N/A</v>
      </c>
      <c r="N29" s="1" t="e">
        <f aca="false">IF(L29&lt;0,INDEX(big_daily_table,MATCH(DATE(N$5,$J29,$I29),daily_dates,0),MATCH($B$3,daily_items,0)),NA())</f>
        <v>#N/A</v>
      </c>
      <c r="O29" s="1" t="e">
        <f aca="false">IF(ISBLANK(INDEX(big_daily_table,MATCH(DATE(O$5,$J29,$I29),daily_dates,0),MATCH($B$3,daily_items,0))),NA(),INDEX(big_daily_table,MATCH(DATE(O$5,$J29,$I29),daily_dates,0),MATCH($B$3,daily_items,0)))</f>
        <v>#N/A</v>
      </c>
      <c r="P29" s="1" t="e">
        <f aca="false">IF(ISBLANK(INDEX(big_daily_table,MATCH(DATE(P$5,$J29,$I29),daily_dates,0),MATCH($B$3,daily_items,0))),NA(),INDEX(big_daily_table,MATCH(DATE(P$5,$J29,$I29),daily_dates,0),MATCH($B$3,daily_items,0)))</f>
        <v>#N/A</v>
      </c>
      <c r="Q29" s="1" t="e">
        <f aca="false">IF(ISBLANK(INDEX(big_daily_table,MATCH(DATE(Q$5,$J29,$I29),daily_dates,0),MATCH($B$3,daily_items,0))),NA(),INDEX(big_daily_table,MATCH(DATE(Q$5,$J29,$I29),daily_dates,0),MATCH($B$3,daily_items,0)))</f>
        <v>#N/A</v>
      </c>
      <c r="R29" s="1" t="e">
        <f aca="false">IF(ISBLANK(INDEX(big_daily_table,MATCH(DATE(R$5,$J29,$I29),daily_dates,0),MATCH($B$3,daily_items,0))),NA(),INDEX(big_daily_table,MATCH(DATE(R$5,$J29,$I29),daily_dates,0),MATCH($B$3,daily_items,0)))</f>
        <v>#N/A</v>
      </c>
      <c r="S29" s="1" t="e">
        <f aca="false">IF(ISBLANK(INDEX(big_daily_table,MATCH(DATE(S$5,$J29,$I29),daily_dates,0),MATCH($B$3,daily_items,0))),NA(),INDEX(big_daily_table,MATCH(DATE(S$5,$J29,$I29),daily_dates,0),MATCH($B$3,daily_items,0)))</f>
        <v>#N/A</v>
      </c>
      <c r="T29" s="1" t="e">
        <f aca="false">IF(ISBLANK(INDEX(big_daily_table,MATCH(DATE(T$5,$J29,$I29),daily_dates,0),MATCH($B$3,daily_items,0))),NA(),INDEX(big_daily_table,MATCH(DATE(T$5,$J29,$I29),daily_dates,0),MATCH($B$3,daily_items,0)))</f>
        <v>#N/A</v>
      </c>
      <c r="U29" s="1" t="e">
        <f aca="false">IF(ISBLANK(INDEX(big_daily_table,MATCH(DATE(U$5,$J29,$I29),daily_dates,0),MATCH($B$3,daily_items,0))),NA(),INDEX(big_daily_table,MATCH(DATE(U$5,$J29,$I29),daily_dates,0),MATCH($B$3,daily_items,0)))</f>
        <v>#N/A</v>
      </c>
      <c r="V29" s="1" t="e">
        <f aca="false">IF(ISBLANK(INDEX(big_daily_table,MATCH(DATE(V$5,$J29,$I29),daily_dates,0),MATCH($B$3,daily_items,0))),NA(),INDEX(big_daily_table,MATCH(DATE(V$5,$J29,$I29),daily_dates,0),MATCH($B$3,daily_items,0)))</f>
        <v>#N/A</v>
      </c>
      <c r="W29" s="1" t="e">
        <f aca="false">IF(ISBLANK(INDEX(big_daily_table,MATCH(DATE(W$5,$J29,$I29),daily_dates,0),MATCH($B$3,daily_items,0))),NA(),INDEX(big_daily_table,MATCH(DATE(W$5,$J29,$I29),daily_dates,0),MATCH($B$3,daily_items,0)))</f>
        <v>#N/A</v>
      </c>
      <c r="X29" s="1" t="e">
        <f aca="false">IF(ISBLANK(INDEX(big_daily_table,MATCH(DATE(X$5,$J29,$I29),daily_dates,0),MATCH($B$3,daily_items,0))),NA(),INDEX(big_daily_table,MATCH(DATE(X$5,$J29,$I29),daily_dates,0),MATCH($B$3,daily_items,0)))</f>
        <v>#N/A</v>
      </c>
      <c r="Y29" s="1" t="e">
        <f aca="false">IF(ISBLANK(INDEX(big_daily_table,MATCH(DATE(Y$5,$J29,$I29),daily_dates,0),MATCH($B$3,daily_items,0))),NA(),INDEX(big_daily_table,MATCH(DATE(Y$5,$J29,$I29),daily_dates,0),MATCH($B$3,daily_items,0)))</f>
        <v>#N/A</v>
      </c>
      <c r="Z29" s="1" t="n">
        <f aca="true">_xlfn.AGGREGATE(5,6,OFFSET($R$5,H29,0,1,$J$2))</f>
        <v>0</v>
      </c>
      <c r="AA29" s="1" t="n">
        <f aca="true">_xlfn.AGGREGATE(4,6,OFFSET($R$5,H29,0,1,$J$2))</f>
        <v>0</v>
      </c>
      <c r="AB29" s="1" t="n">
        <f aca="false">AA29-Z29</f>
        <v>0</v>
      </c>
      <c r="AC29" s="1" t="e">
        <f aca="true">_xlfn.AGGREGATE(1,6,OFFSET($R$5,H29,0,1,$J$2))</f>
        <v>#DIV/0!</v>
      </c>
    </row>
    <row r="30" customFormat="false" ht="14.25" hidden="false" customHeight="false" outlineLevel="0" collapsed="false">
      <c r="H30" s="1" t="n">
        <f aca="false">H29+1</f>
        <v>25</v>
      </c>
      <c r="I30" s="1" t="n">
        <f aca="false">DAY(K30)</f>
        <v>25</v>
      </c>
      <c r="J30" s="1" t="n">
        <f aca="false">MONTH(K30)</f>
        <v>1</v>
      </c>
      <c r="K30" s="23" t="n">
        <f aca="false">K29+1</f>
        <v>36550</v>
      </c>
      <c r="L30" s="24" t="n">
        <f aca="true">IF(TODAY()&lt;DATE($N$5,J30,I30),1000000,-1000000)</f>
        <v>-1000000</v>
      </c>
      <c r="M30" s="1" t="e">
        <f aca="false">IF(K30&gt;0,INDEX(big_daily_table,MATCH(DATE(N$5,$J30,$I30),daily_dates,0),MATCH($B$3,daily_items,0)),NA())</f>
        <v>#N/A</v>
      </c>
      <c r="N30" s="1" t="e">
        <f aca="false">IF(L30&lt;0,INDEX(big_daily_table,MATCH(DATE(N$5,$J30,$I30),daily_dates,0),MATCH($B$3,daily_items,0)),NA())</f>
        <v>#N/A</v>
      </c>
      <c r="O30" s="1" t="e">
        <f aca="false">IF(ISBLANK(INDEX(big_daily_table,MATCH(DATE(O$5,$J30,$I30),daily_dates,0),MATCH($B$3,daily_items,0))),NA(),INDEX(big_daily_table,MATCH(DATE(O$5,$J30,$I30),daily_dates,0),MATCH($B$3,daily_items,0)))</f>
        <v>#N/A</v>
      </c>
      <c r="P30" s="1" t="e">
        <f aca="false">IF(ISBLANK(INDEX(big_daily_table,MATCH(DATE(P$5,$J30,$I30),daily_dates,0),MATCH($B$3,daily_items,0))),NA(),INDEX(big_daily_table,MATCH(DATE(P$5,$J30,$I30),daily_dates,0),MATCH($B$3,daily_items,0)))</f>
        <v>#N/A</v>
      </c>
      <c r="Q30" s="1" t="e">
        <f aca="false">IF(ISBLANK(INDEX(big_daily_table,MATCH(DATE(Q$5,$J30,$I30),daily_dates,0),MATCH($B$3,daily_items,0))),NA(),INDEX(big_daily_table,MATCH(DATE(Q$5,$J30,$I30),daily_dates,0),MATCH($B$3,daily_items,0)))</f>
        <v>#N/A</v>
      </c>
      <c r="R30" s="1" t="e">
        <f aca="false">IF(ISBLANK(INDEX(big_daily_table,MATCH(DATE(R$5,$J30,$I30),daily_dates,0),MATCH($B$3,daily_items,0))),NA(),INDEX(big_daily_table,MATCH(DATE(R$5,$J30,$I30),daily_dates,0),MATCH($B$3,daily_items,0)))</f>
        <v>#N/A</v>
      </c>
      <c r="S30" s="1" t="e">
        <f aca="false">IF(ISBLANK(INDEX(big_daily_table,MATCH(DATE(S$5,$J30,$I30),daily_dates,0),MATCH($B$3,daily_items,0))),NA(),INDEX(big_daily_table,MATCH(DATE(S$5,$J30,$I30),daily_dates,0),MATCH($B$3,daily_items,0)))</f>
        <v>#N/A</v>
      </c>
      <c r="T30" s="1" t="e">
        <f aca="false">IF(ISBLANK(INDEX(big_daily_table,MATCH(DATE(T$5,$J30,$I30),daily_dates,0),MATCH($B$3,daily_items,0))),NA(),INDEX(big_daily_table,MATCH(DATE(T$5,$J30,$I30),daily_dates,0),MATCH($B$3,daily_items,0)))</f>
        <v>#N/A</v>
      </c>
      <c r="U30" s="1" t="e">
        <f aca="false">IF(ISBLANK(INDEX(big_daily_table,MATCH(DATE(U$5,$J30,$I30),daily_dates,0),MATCH($B$3,daily_items,0))),NA(),INDEX(big_daily_table,MATCH(DATE(U$5,$J30,$I30),daily_dates,0),MATCH($B$3,daily_items,0)))</f>
        <v>#N/A</v>
      </c>
      <c r="V30" s="1" t="e">
        <f aca="false">IF(ISBLANK(INDEX(big_daily_table,MATCH(DATE(V$5,$J30,$I30),daily_dates,0),MATCH($B$3,daily_items,0))),NA(),INDEX(big_daily_table,MATCH(DATE(V$5,$J30,$I30),daily_dates,0),MATCH($B$3,daily_items,0)))</f>
        <v>#N/A</v>
      </c>
      <c r="W30" s="1" t="e">
        <f aca="false">IF(ISBLANK(INDEX(big_daily_table,MATCH(DATE(W$5,$J30,$I30),daily_dates,0),MATCH($B$3,daily_items,0))),NA(),INDEX(big_daily_table,MATCH(DATE(W$5,$J30,$I30),daily_dates,0),MATCH($B$3,daily_items,0)))</f>
        <v>#N/A</v>
      </c>
      <c r="X30" s="1" t="e">
        <f aca="false">IF(ISBLANK(INDEX(big_daily_table,MATCH(DATE(X$5,$J30,$I30),daily_dates,0),MATCH($B$3,daily_items,0))),NA(),INDEX(big_daily_table,MATCH(DATE(X$5,$J30,$I30),daily_dates,0),MATCH($B$3,daily_items,0)))</f>
        <v>#N/A</v>
      </c>
      <c r="Y30" s="1" t="e">
        <f aca="false">IF(ISBLANK(INDEX(big_daily_table,MATCH(DATE(Y$5,$J30,$I30),daily_dates,0),MATCH($B$3,daily_items,0))),NA(),INDEX(big_daily_table,MATCH(DATE(Y$5,$J30,$I30),daily_dates,0),MATCH($B$3,daily_items,0)))</f>
        <v>#N/A</v>
      </c>
      <c r="Z30" s="1" t="n">
        <f aca="true">_xlfn.AGGREGATE(5,6,OFFSET($R$5,H30,0,1,$J$2))</f>
        <v>0</v>
      </c>
      <c r="AA30" s="1" t="n">
        <f aca="true">_xlfn.AGGREGATE(4,6,OFFSET($R$5,H30,0,1,$J$2))</f>
        <v>0</v>
      </c>
      <c r="AB30" s="1" t="n">
        <f aca="false">AA30-Z30</f>
        <v>0</v>
      </c>
      <c r="AC30" s="1" t="e">
        <f aca="true">_xlfn.AGGREGATE(1,6,OFFSET($R$5,H30,0,1,$J$2))</f>
        <v>#DIV/0!</v>
      </c>
    </row>
    <row r="31" customFormat="false" ht="14.25" hidden="false" customHeight="false" outlineLevel="0" collapsed="false">
      <c r="H31" s="1" t="n">
        <f aca="false">H30+1</f>
        <v>26</v>
      </c>
      <c r="I31" s="1" t="n">
        <f aca="false">DAY(K31)</f>
        <v>26</v>
      </c>
      <c r="J31" s="1" t="n">
        <f aca="false">MONTH(K31)</f>
        <v>1</v>
      </c>
      <c r="K31" s="23" t="n">
        <f aca="false">K30+1</f>
        <v>36551</v>
      </c>
      <c r="L31" s="24" t="n">
        <f aca="true">IF(TODAY()&lt;DATE($N$5,J31,I31),1000000,-1000000)</f>
        <v>-1000000</v>
      </c>
      <c r="M31" s="1" t="e">
        <f aca="false">IF(K31&gt;0,INDEX(big_daily_table,MATCH(DATE(N$5,$J31,$I31),daily_dates,0),MATCH($B$3,daily_items,0)),NA())</f>
        <v>#N/A</v>
      </c>
      <c r="N31" s="1" t="e">
        <f aca="false">IF(L31&lt;0,INDEX(big_daily_table,MATCH(DATE(N$5,$J31,$I31),daily_dates,0),MATCH($B$3,daily_items,0)),NA())</f>
        <v>#N/A</v>
      </c>
      <c r="O31" s="1" t="e">
        <f aca="false">IF(ISBLANK(INDEX(big_daily_table,MATCH(DATE(O$5,$J31,$I31),daily_dates,0),MATCH($B$3,daily_items,0))),NA(),INDEX(big_daily_table,MATCH(DATE(O$5,$J31,$I31),daily_dates,0),MATCH($B$3,daily_items,0)))</f>
        <v>#N/A</v>
      </c>
      <c r="P31" s="1" t="e">
        <f aca="false">IF(ISBLANK(INDEX(big_daily_table,MATCH(DATE(P$5,$J31,$I31),daily_dates,0),MATCH($B$3,daily_items,0))),NA(),INDEX(big_daily_table,MATCH(DATE(P$5,$J31,$I31),daily_dates,0),MATCH($B$3,daily_items,0)))</f>
        <v>#N/A</v>
      </c>
      <c r="Q31" s="1" t="e">
        <f aca="false">IF(ISBLANK(INDEX(big_daily_table,MATCH(DATE(Q$5,$J31,$I31),daily_dates,0),MATCH($B$3,daily_items,0))),NA(),INDEX(big_daily_table,MATCH(DATE(Q$5,$J31,$I31),daily_dates,0),MATCH($B$3,daily_items,0)))</f>
        <v>#N/A</v>
      </c>
      <c r="R31" s="1" t="e">
        <f aca="false">IF(ISBLANK(INDEX(big_daily_table,MATCH(DATE(R$5,$J31,$I31),daily_dates,0),MATCH($B$3,daily_items,0))),NA(),INDEX(big_daily_table,MATCH(DATE(R$5,$J31,$I31),daily_dates,0),MATCH($B$3,daily_items,0)))</f>
        <v>#N/A</v>
      </c>
      <c r="S31" s="1" t="e">
        <f aca="false">IF(ISBLANK(INDEX(big_daily_table,MATCH(DATE(S$5,$J31,$I31),daily_dates,0),MATCH($B$3,daily_items,0))),NA(),INDEX(big_daily_table,MATCH(DATE(S$5,$J31,$I31),daily_dates,0),MATCH($B$3,daily_items,0)))</f>
        <v>#N/A</v>
      </c>
      <c r="T31" s="1" t="e">
        <f aca="false">IF(ISBLANK(INDEX(big_daily_table,MATCH(DATE(T$5,$J31,$I31),daily_dates,0),MATCH($B$3,daily_items,0))),NA(),INDEX(big_daily_table,MATCH(DATE(T$5,$J31,$I31),daily_dates,0),MATCH($B$3,daily_items,0)))</f>
        <v>#N/A</v>
      </c>
      <c r="U31" s="1" t="e">
        <f aca="false">IF(ISBLANK(INDEX(big_daily_table,MATCH(DATE(U$5,$J31,$I31),daily_dates,0),MATCH($B$3,daily_items,0))),NA(),INDEX(big_daily_table,MATCH(DATE(U$5,$J31,$I31),daily_dates,0),MATCH($B$3,daily_items,0)))</f>
        <v>#N/A</v>
      </c>
      <c r="V31" s="1" t="e">
        <f aca="false">IF(ISBLANK(INDEX(big_daily_table,MATCH(DATE(V$5,$J31,$I31),daily_dates,0),MATCH($B$3,daily_items,0))),NA(),INDEX(big_daily_table,MATCH(DATE(V$5,$J31,$I31),daily_dates,0),MATCH($B$3,daily_items,0)))</f>
        <v>#N/A</v>
      </c>
      <c r="W31" s="1" t="e">
        <f aca="false">IF(ISBLANK(INDEX(big_daily_table,MATCH(DATE(W$5,$J31,$I31),daily_dates,0),MATCH($B$3,daily_items,0))),NA(),INDEX(big_daily_table,MATCH(DATE(W$5,$J31,$I31),daily_dates,0),MATCH($B$3,daily_items,0)))</f>
        <v>#N/A</v>
      </c>
      <c r="X31" s="1" t="e">
        <f aca="false">IF(ISBLANK(INDEX(big_daily_table,MATCH(DATE(X$5,$J31,$I31),daily_dates,0),MATCH($B$3,daily_items,0))),NA(),INDEX(big_daily_table,MATCH(DATE(X$5,$J31,$I31),daily_dates,0),MATCH($B$3,daily_items,0)))</f>
        <v>#N/A</v>
      </c>
      <c r="Y31" s="1" t="e">
        <f aca="false">IF(ISBLANK(INDEX(big_daily_table,MATCH(DATE(Y$5,$J31,$I31),daily_dates,0),MATCH($B$3,daily_items,0))),NA(),INDEX(big_daily_table,MATCH(DATE(Y$5,$J31,$I31),daily_dates,0),MATCH($B$3,daily_items,0)))</f>
        <v>#N/A</v>
      </c>
      <c r="Z31" s="1" t="n">
        <f aca="true">_xlfn.AGGREGATE(5,6,OFFSET($R$5,H31,0,1,$J$2))</f>
        <v>0</v>
      </c>
      <c r="AA31" s="1" t="n">
        <f aca="true">_xlfn.AGGREGATE(4,6,OFFSET($R$5,H31,0,1,$J$2))</f>
        <v>0</v>
      </c>
      <c r="AB31" s="1" t="n">
        <f aca="false">AA31-Z31</f>
        <v>0</v>
      </c>
      <c r="AC31" s="1" t="e">
        <f aca="true">_xlfn.AGGREGATE(1,6,OFFSET($R$5,H31,0,1,$J$2))</f>
        <v>#DIV/0!</v>
      </c>
    </row>
    <row r="32" customFormat="false" ht="14.25" hidden="false" customHeight="false" outlineLevel="0" collapsed="false">
      <c r="H32" s="1" t="n">
        <f aca="false">H31+1</f>
        <v>27</v>
      </c>
      <c r="I32" s="1" t="n">
        <f aca="false">DAY(K32)</f>
        <v>27</v>
      </c>
      <c r="J32" s="1" t="n">
        <f aca="false">MONTH(K32)</f>
        <v>1</v>
      </c>
      <c r="K32" s="23" t="n">
        <f aca="false">K31+1</f>
        <v>36552</v>
      </c>
      <c r="L32" s="24" t="n">
        <f aca="true">IF(TODAY()&lt;DATE($N$5,J32,I32),1000000,-1000000)</f>
        <v>-1000000</v>
      </c>
      <c r="M32" s="1" t="e">
        <f aca="false">IF(K32&gt;0,INDEX(big_daily_table,MATCH(DATE(N$5,$J32,$I32),daily_dates,0),MATCH($B$3,daily_items,0)),NA())</f>
        <v>#N/A</v>
      </c>
      <c r="N32" s="1" t="e">
        <f aca="false">IF(L32&lt;0,INDEX(big_daily_table,MATCH(DATE(N$5,$J32,$I32),daily_dates,0),MATCH($B$3,daily_items,0)),NA())</f>
        <v>#N/A</v>
      </c>
      <c r="O32" s="1" t="e">
        <f aca="false">IF(ISBLANK(INDEX(big_daily_table,MATCH(DATE(O$5,$J32,$I32),daily_dates,0),MATCH($B$3,daily_items,0))),NA(),INDEX(big_daily_table,MATCH(DATE(O$5,$J32,$I32),daily_dates,0),MATCH($B$3,daily_items,0)))</f>
        <v>#N/A</v>
      </c>
      <c r="P32" s="1" t="e">
        <f aca="false">IF(ISBLANK(INDEX(big_daily_table,MATCH(DATE(P$5,$J32,$I32),daily_dates,0),MATCH($B$3,daily_items,0))),NA(),INDEX(big_daily_table,MATCH(DATE(P$5,$J32,$I32),daily_dates,0),MATCH($B$3,daily_items,0)))</f>
        <v>#N/A</v>
      </c>
      <c r="Q32" s="1" t="e">
        <f aca="false">IF(ISBLANK(INDEX(big_daily_table,MATCH(DATE(Q$5,$J32,$I32),daily_dates,0),MATCH($B$3,daily_items,0))),NA(),INDEX(big_daily_table,MATCH(DATE(Q$5,$J32,$I32),daily_dates,0),MATCH($B$3,daily_items,0)))</f>
        <v>#N/A</v>
      </c>
      <c r="R32" s="1" t="e">
        <f aca="false">IF(ISBLANK(INDEX(big_daily_table,MATCH(DATE(R$5,$J32,$I32),daily_dates,0),MATCH($B$3,daily_items,0))),NA(),INDEX(big_daily_table,MATCH(DATE(R$5,$J32,$I32),daily_dates,0),MATCH($B$3,daily_items,0)))</f>
        <v>#N/A</v>
      </c>
      <c r="S32" s="1" t="e">
        <f aca="false">IF(ISBLANK(INDEX(big_daily_table,MATCH(DATE(S$5,$J32,$I32),daily_dates,0),MATCH($B$3,daily_items,0))),NA(),INDEX(big_daily_table,MATCH(DATE(S$5,$J32,$I32),daily_dates,0),MATCH($B$3,daily_items,0)))</f>
        <v>#N/A</v>
      </c>
      <c r="T32" s="1" t="e">
        <f aca="false">IF(ISBLANK(INDEX(big_daily_table,MATCH(DATE(T$5,$J32,$I32),daily_dates,0),MATCH($B$3,daily_items,0))),NA(),INDEX(big_daily_table,MATCH(DATE(T$5,$J32,$I32),daily_dates,0),MATCH($B$3,daily_items,0)))</f>
        <v>#N/A</v>
      </c>
      <c r="U32" s="1" t="e">
        <f aca="false">IF(ISBLANK(INDEX(big_daily_table,MATCH(DATE(U$5,$J32,$I32),daily_dates,0),MATCH($B$3,daily_items,0))),NA(),INDEX(big_daily_table,MATCH(DATE(U$5,$J32,$I32),daily_dates,0),MATCH($B$3,daily_items,0)))</f>
        <v>#N/A</v>
      </c>
      <c r="V32" s="1" t="e">
        <f aca="false">IF(ISBLANK(INDEX(big_daily_table,MATCH(DATE(V$5,$J32,$I32),daily_dates,0),MATCH($B$3,daily_items,0))),NA(),INDEX(big_daily_table,MATCH(DATE(V$5,$J32,$I32),daily_dates,0),MATCH($B$3,daily_items,0)))</f>
        <v>#N/A</v>
      </c>
      <c r="W32" s="1" t="e">
        <f aca="false">IF(ISBLANK(INDEX(big_daily_table,MATCH(DATE(W$5,$J32,$I32),daily_dates,0),MATCH($B$3,daily_items,0))),NA(),INDEX(big_daily_table,MATCH(DATE(W$5,$J32,$I32),daily_dates,0),MATCH($B$3,daily_items,0)))</f>
        <v>#N/A</v>
      </c>
      <c r="X32" s="1" t="e">
        <f aca="false">IF(ISBLANK(INDEX(big_daily_table,MATCH(DATE(X$5,$J32,$I32),daily_dates,0),MATCH($B$3,daily_items,0))),NA(),INDEX(big_daily_table,MATCH(DATE(X$5,$J32,$I32),daily_dates,0),MATCH($B$3,daily_items,0)))</f>
        <v>#N/A</v>
      </c>
      <c r="Y32" s="1" t="e">
        <f aca="false">IF(ISBLANK(INDEX(big_daily_table,MATCH(DATE(Y$5,$J32,$I32),daily_dates,0),MATCH($B$3,daily_items,0))),NA(),INDEX(big_daily_table,MATCH(DATE(Y$5,$J32,$I32),daily_dates,0),MATCH($B$3,daily_items,0)))</f>
        <v>#N/A</v>
      </c>
      <c r="Z32" s="1" t="n">
        <f aca="true">_xlfn.AGGREGATE(5,6,OFFSET($R$5,H32,0,1,$J$2))</f>
        <v>0</v>
      </c>
      <c r="AA32" s="1" t="n">
        <f aca="true">_xlfn.AGGREGATE(4,6,OFFSET($R$5,H32,0,1,$J$2))</f>
        <v>0</v>
      </c>
      <c r="AB32" s="1" t="n">
        <f aca="false">AA32-Z32</f>
        <v>0</v>
      </c>
      <c r="AC32" s="1" t="e">
        <f aca="true">_xlfn.AGGREGATE(1,6,OFFSET($R$5,H32,0,1,$J$2))</f>
        <v>#DIV/0!</v>
      </c>
    </row>
    <row r="33" customFormat="false" ht="14.25" hidden="false" customHeight="false" outlineLevel="0" collapsed="false">
      <c r="H33" s="1" t="n">
        <f aca="false">H32+1</f>
        <v>28</v>
      </c>
      <c r="I33" s="1" t="n">
        <f aca="false">DAY(K33)</f>
        <v>28</v>
      </c>
      <c r="J33" s="1" t="n">
        <f aca="false">MONTH(K33)</f>
        <v>1</v>
      </c>
      <c r="K33" s="23" t="n">
        <f aca="false">K32+1</f>
        <v>36553</v>
      </c>
      <c r="L33" s="24" t="n">
        <f aca="true">IF(TODAY()&lt;DATE($N$5,J33,I33),1000000,-1000000)</f>
        <v>-1000000</v>
      </c>
      <c r="M33" s="1" t="e">
        <f aca="false">IF(K33&gt;0,INDEX(big_daily_table,MATCH(DATE(N$5,$J33,$I33),daily_dates,0),MATCH($B$3,daily_items,0)),NA())</f>
        <v>#N/A</v>
      </c>
      <c r="N33" s="1" t="e">
        <f aca="false">IF(L33&lt;0,INDEX(big_daily_table,MATCH(DATE(N$5,$J33,$I33),daily_dates,0),MATCH($B$3,daily_items,0)),NA())</f>
        <v>#N/A</v>
      </c>
      <c r="O33" s="1" t="e">
        <f aca="false">IF(ISBLANK(INDEX(big_daily_table,MATCH(DATE(O$5,$J33,$I33),daily_dates,0),MATCH($B$3,daily_items,0))),NA(),INDEX(big_daily_table,MATCH(DATE(O$5,$J33,$I33),daily_dates,0),MATCH($B$3,daily_items,0)))</f>
        <v>#N/A</v>
      </c>
      <c r="P33" s="1" t="e">
        <f aca="false">IF(ISBLANK(INDEX(big_daily_table,MATCH(DATE(P$5,$J33,$I33),daily_dates,0),MATCH($B$3,daily_items,0))),NA(),INDEX(big_daily_table,MATCH(DATE(P$5,$J33,$I33),daily_dates,0),MATCH($B$3,daily_items,0)))</f>
        <v>#N/A</v>
      </c>
      <c r="Q33" s="1" t="e">
        <f aca="false">IF(ISBLANK(INDEX(big_daily_table,MATCH(DATE(Q$5,$J33,$I33),daily_dates,0),MATCH($B$3,daily_items,0))),NA(),INDEX(big_daily_table,MATCH(DATE(Q$5,$J33,$I33),daily_dates,0),MATCH($B$3,daily_items,0)))</f>
        <v>#N/A</v>
      </c>
      <c r="R33" s="1" t="e">
        <f aca="false">IF(ISBLANK(INDEX(big_daily_table,MATCH(DATE(R$5,$J33,$I33),daily_dates,0),MATCH($B$3,daily_items,0))),NA(),INDEX(big_daily_table,MATCH(DATE(R$5,$J33,$I33),daily_dates,0),MATCH($B$3,daily_items,0)))</f>
        <v>#N/A</v>
      </c>
      <c r="S33" s="1" t="e">
        <f aca="false">IF(ISBLANK(INDEX(big_daily_table,MATCH(DATE(S$5,$J33,$I33),daily_dates,0),MATCH($B$3,daily_items,0))),NA(),INDEX(big_daily_table,MATCH(DATE(S$5,$J33,$I33),daily_dates,0),MATCH($B$3,daily_items,0)))</f>
        <v>#N/A</v>
      </c>
      <c r="T33" s="1" t="e">
        <f aca="false">IF(ISBLANK(INDEX(big_daily_table,MATCH(DATE(T$5,$J33,$I33),daily_dates,0),MATCH($B$3,daily_items,0))),NA(),INDEX(big_daily_table,MATCH(DATE(T$5,$J33,$I33),daily_dates,0),MATCH($B$3,daily_items,0)))</f>
        <v>#N/A</v>
      </c>
      <c r="U33" s="1" t="e">
        <f aca="false">IF(ISBLANK(INDEX(big_daily_table,MATCH(DATE(U$5,$J33,$I33),daily_dates,0),MATCH($B$3,daily_items,0))),NA(),INDEX(big_daily_table,MATCH(DATE(U$5,$J33,$I33),daily_dates,0),MATCH($B$3,daily_items,0)))</f>
        <v>#N/A</v>
      </c>
      <c r="V33" s="1" t="e">
        <f aca="false">IF(ISBLANK(INDEX(big_daily_table,MATCH(DATE(V$5,$J33,$I33),daily_dates,0),MATCH($B$3,daily_items,0))),NA(),INDEX(big_daily_table,MATCH(DATE(V$5,$J33,$I33),daily_dates,0),MATCH($B$3,daily_items,0)))</f>
        <v>#N/A</v>
      </c>
      <c r="W33" s="1" t="e">
        <f aca="false">IF(ISBLANK(INDEX(big_daily_table,MATCH(DATE(W$5,$J33,$I33),daily_dates,0),MATCH($B$3,daily_items,0))),NA(),INDEX(big_daily_table,MATCH(DATE(W$5,$J33,$I33),daily_dates,0),MATCH($B$3,daily_items,0)))</f>
        <v>#N/A</v>
      </c>
      <c r="X33" s="1" t="e">
        <f aca="false">IF(ISBLANK(INDEX(big_daily_table,MATCH(DATE(X$5,$J33,$I33),daily_dates,0),MATCH($B$3,daily_items,0))),NA(),INDEX(big_daily_table,MATCH(DATE(X$5,$J33,$I33),daily_dates,0),MATCH($B$3,daily_items,0)))</f>
        <v>#N/A</v>
      </c>
      <c r="Y33" s="1" t="e">
        <f aca="false">IF(ISBLANK(INDEX(big_daily_table,MATCH(DATE(Y$5,$J33,$I33),daily_dates,0),MATCH($B$3,daily_items,0))),NA(),INDEX(big_daily_table,MATCH(DATE(Y$5,$J33,$I33),daily_dates,0),MATCH($B$3,daily_items,0)))</f>
        <v>#N/A</v>
      </c>
      <c r="Z33" s="1" t="n">
        <f aca="true">_xlfn.AGGREGATE(5,6,OFFSET($R$5,H33,0,1,$J$2))</f>
        <v>0</v>
      </c>
      <c r="AA33" s="1" t="n">
        <f aca="true">_xlfn.AGGREGATE(4,6,OFFSET($R$5,H33,0,1,$J$2))</f>
        <v>0</v>
      </c>
      <c r="AB33" s="1" t="n">
        <f aca="false">AA33-Z33</f>
        <v>0</v>
      </c>
      <c r="AC33" s="1" t="e">
        <f aca="true">_xlfn.AGGREGATE(1,6,OFFSET($R$5,H33,0,1,$J$2))</f>
        <v>#DIV/0!</v>
      </c>
    </row>
    <row r="34" customFormat="false" ht="14.25" hidden="false" customHeight="false" outlineLevel="0" collapsed="false">
      <c r="H34" s="1" t="n">
        <f aca="false">H33+1</f>
        <v>29</v>
      </c>
      <c r="I34" s="1" t="n">
        <f aca="false">DAY(K34)</f>
        <v>29</v>
      </c>
      <c r="J34" s="1" t="n">
        <f aca="false">MONTH(K34)</f>
        <v>1</v>
      </c>
      <c r="K34" s="23" t="n">
        <f aca="false">K33+1</f>
        <v>36554</v>
      </c>
      <c r="L34" s="24" t="n">
        <f aca="true">IF(TODAY()&lt;DATE($N$5,J34,I34),1000000,-1000000)</f>
        <v>-1000000</v>
      </c>
      <c r="M34" s="1" t="e">
        <f aca="false">IF(K34&gt;0,INDEX(big_daily_table,MATCH(DATE(N$5,$J34,$I34),daily_dates,0),MATCH($B$3,daily_items,0)),NA())</f>
        <v>#N/A</v>
      </c>
      <c r="N34" s="1" t="e">
        <f aca="false">IF(L34&lt;0,INDEX(big_daily_table,MATCH(DATE(N$5,$J34,$I34),daily_dates,0),MATCH($B$3,daily_items,0)),NA())</f>
        <v>#N/A</v>
      </c>
      <c r="O34" s="1" t="e">
        <f aca="false">IF(ISBLANK(INDEX(big_daily_table,MATCH(DATE(O$5,$J34,$I34),daily_dates,0),MATCH($B$3,daily_items,0))),NA(),INDEX(big_daily_table,MATCH(DATE(O$5,$J34,$I34),daily_dates,0),MATCH($B$3,daily_items,0)))</f>
        <v>#N/A</v>
      </c>
      <c r="P34" s="1" t="e">
        <f aca="false">IF(ISBLANK(INDEX(big_daily_table,MATCH(DATE(P$5,$J34,$I34),daily_dates,0),MATCH($B$3,daily_items,0))),NA(),INDEX(big_daily_table,MATCH(DATE(P$5,$J34,$I34),daily_dates,0),MATCH($B$3,daily_items,0)))</f>
        <v>#N/A</v>
      </c>
      <c r="Q34" s="1" t="e">
        <f aca="false">IF(ISBLANK(INDEX(big_daily_table,MATCH(DATE(Q$5,$J34,$I34),daily_dates,0),MATCH($B$3,daily_items,0))),NA(),INDEX(big_daily_table,MATCH(DATE(Q$5,$J34,$I34),daily_dates,0),MATCH($B$3,daily_items,0)))</f>
        <v>#N/A</v>
      </c>
      <c r="R34" s="1" t="e">
        <f aca="false">IF(ISBLANK(INDEX(big_daily_table,MATCH(DATE(R$5,$J34,$I34),daily_dates,0),MATCH($B$3,daily_items,0))),NA(),INDEX(big_daily_table,MATCH(DATE(R$5,$J34,$I34),daily_dates,0),MATCH($B$3,daily_items,0)))</f>
        <v>#N/A</v>
      </c>
      <c r="S34" s="1" t="e">
        <f aca="false">IF(ISBLANK(INDEX(big_daily_table,MATCH(DATE(S$5,$J34,$I34),daily_dates,0),MATCH($B$3,daily_items,0))),NA(),INDEX(big_daily_table,MATCH(DATE(S$5,$J34,$I34),daily_dates,0),MATCH($B$3,daily_items,0)))</f>
        <v>#N/A</v>
      </c>
      <c r="T34" s="1" t="e">
        <f aca="false">IF(ISBLANK(INDEX(big_daily_table,MATCH(DATE(T$5,$J34,$I34),daily_dates,0),MATCH($B$3,daily_items,0))),NA(),INDEX(big_daily_table,MATCH(DATE(T$5,$J34,$I34),daily_dates,0),MATCH($B$3,daily_items,0)))</f>
        <v>#N/A</v>
      </c>
      <c r="U34" s="1" t="e">
        <f aca="false">IF(ISBLANK(INDEX(big_daily_table,MATCH(DATE(U$5,$J34,$I34),daily_dates,0),MATCH($B$3,daily_items,0))),NA(),INDEX(big_daily_table,MATCH(DATE(U$5,$J34,$I34),daily_dates,0),MATCH($B$3,daily_items,0)))</f>
        <v>#N/A</v>
      </c>
      <c r="V34" s="1" t="e">
        <f aca="false">IF(ISBLANK(INDEX(big_daily_table,MATCH(DATE(V$5,$J34,$I34),daily_dates,0),MATCH($B$3,daily_items,0))),NA(),INDEX(big_daily_table,MATCH(DATE(V$5,$J34,$I34),daily_dates,0),MATCH($B$3,daily_items,0)))</f>
        <v>#N/A</v>
      </c>
      <c r="W34" s="1" t="e">
        <f aca="false">IF(ISBLANK(INDEX(big_daily_table,MATCH(DATE(W$5,$J34,$I34),daily_dates,0),MATCH($B$3,daily_items,0))),NA(),INDEX(big_daily_table,MATCH(DATE(W$5,$J34,$I34),daily_dates,0),MATCH($B$3,daily_items,0)))</f>
        <v>#N/A</v>
      </c>
      <c r="X34" s="1" t="e">
        <f aca="false">IF(ISBLANK(INDEX(big_daily_table,MATCH(DATE(X$5,$J34,$I34),daily_dates,0),MATCH($B$3,daily_items,0))),NA(),INDEX(big_daily_table,MATCH(DATE(X$5,$J34,$I34),daily_dates,0),MATCH($B$3,daily_items,0)))</f>
        <v>#N/A</v>
      </c>
      <c r="Y34" s="1" t="e">
        <f aca="false">IF(ISBLANK(INDEX(big_daily_table,MATCH(DATE(Y$5,$J34,$I34),daily_dates,0),MATCH($B$3,daily_items,0))),NA(),INDEX(big_daily_table,MATCH(DATE(Y$5,$J34,$I34),daily_dates,0),MATCH($B$3,daily_items,0)))</f>
        <v>#N/A</v>
      </c>
      <c r="Z34" s="1" t="n">
        <f aca="true">_xlfn.AGGREGATE(5,6,OFFSET($R$5,H34,0,1,$J$2))</f>
        <v>0</v>
      </c>
      <c r="AA34" s="1" t="n">
        <f aca="true">_xlfn.AGGREGATE(4,6,OFFSET($R$5,H34,0,1,$J$2))</f>
        <v>0</v>
      </c>
      <c r="AB34" s="1" t="n">
        <f aca="false">AA34-Z34</f>
        <v>0</v>
      </c>
      <c r="AC34" s="1" t="e">
        <f aca="true">_xlfn.AGGREGATE(1,6,OFFSET($R$5,H34,0,1,$J$2))</f>
        <v>#DIV/0!</v>
      </c>
    </row>
    <row r="35" customFormat="false" ht="14.25" hidden="false" customHeight="false" outlineLevel="0" collapsed="false">
      <c r="H35" s="1" t="n">
        <f aca="false">H34+1</f>
        <v>30</v>
      </c>
      <c r="I35" s="1" t="n">
        <f aca="false">DAY(K35)</f>
        <v>30</v>
      </c>
      <c r="J35" s="1" t="n">
        <f aca="false">MONTH(K35)</f>
        <v>1</v>
      </c>
      <c r="K35" s="23" t="n">
        <f aca="false">K34+1</f>
        <v>36555</v>
      </c>
      <c r="L35" s="24" t="n">
        <f aca="true">IF(TODAY()&lt;DATE($N$5,J35,I35),1000000,-1000000)</f>
        <v>-1000000</v>
      </c>
      <c r="M35" s="1" t="e">
        <f aca="false">IF(K35&gt;0,INDEX(big_daily_table,MATCH(DATE(N$5,$J35,$I35),daily_dates,0),MATCH($B$3,daily_items,0)),NA())</f>
        <v>#N/A</v>
      </c>
      <c r="N35" s="1" t="e">
        <f aca="false">IF(L35&lt;0,INDEX(big_daily_table,MATCH(DATE(N$5,$J35,$I35),daily_dates,0),MATCH($B$3,daily_items,0)),NA())</f>
        <v>#N/A</v>
      </c>
      <c r="O35" s="1" t="e">
        <f aca="false">IF(ISBLANK(INDEX(big_daily_table,MATCH(DATE(O$5,$J35,$I35),daily_dates,0),MATCH($B$3,daily_items,0))),NA(),INDEX(big_daily_table,MATCH(DATE(O$5,$J35,$I35),daily_dates,0),MATCH($B$3,daily_items,0)))</f>
        <v>#N/A</v>
      </c>
      <c r="P35" s="1" t="e">
        <f aca="false">IF(ISBLANK(INDEX(big_daily_table,MATCH(DATE(P$5,$J35,$I35),daily_dates,0),MATCH($B$3,daily_items,0))),NA(),INDEX(big_daily_table,MATCH(DATE(P$5,$J35,$I35),daily_dates,0),MATCH($B$3,daily_items,0)))</f>
        <v>#N/A</v>
      </c>
      <c r="Q35" s="1" t="e">
        <f aca="false">IF(ISBLANK(INDEX(big_daily_table,MATCH(DATE(Q$5,$J35,$I35),daily_dates,0),MATCH($B$3,daily_items,0))),NA(),INDEX(big_daily_table,MATCH(DATE(Q$5,$J35,$I35),daily_dates,0),MATCH($B$3,daily_items,0)))</f>
        <v>#N/A</v>
      </c>
      <c r="R35" s="1" t="e">
        <f aca="false">IF(ISBLANK(INDEX(big_daily_table,MATCH(DATE(R$5,$J35,$I35),daily_dates,0),MATCH($B$3,daily_items,0))),NA(),INDEX(big_daily_table,MATCH(DATE(R$5,$J35,$I35),daily_dates,0),MATCH($B$3,daily_items,0)))</f>
        <v>#N/A</v>
      </c>
      <c r="S35" s="1" t="e">
        <f aca="false">IF(ISBLANK(INDEX(big_daily_table,MATCH(DATE(S$5,$J35,$I35),daily_dates,0),MATCH($B$3,daily_items,0))),NA(),INDEX(big_daily_table,MATCH(DATE(S$5,$J35,$I35),daily_dates,0),MATCH($B$3,daily_items,0)))</f>
        <v>#N/A</v>
      </c>
      <c r="T35" s="1" t="e">
        <f aca="false">IF(ISBLANK(INDEX(big_daily_table,MATCH(DATE(T$5,$J35,$I35),daily_dates,0),MATCH($B$3,daily_items,0))),NA(),INDEX(big_daily_table,MATCH(DATE(T$5,$J35,$I35),daily_dates,0),MATCH($B$3,daily_items,0)))</f>
        <v>#N/A</v>
      </c>
      <c r="U35" s="1" t="e">
        <f aca="false">IF(ISBLANK(INDEX(big_daily_table,MATCH(DATE(U$5,$J35,$I35),daily_dates,0),MATCH($B$3,daily_items,0))),NA(),INDEX(big_daily_table,MATCH(DATE(U$5,$J35,$I35),daily_dates,0),MATCH($B$3,daily_items,0)))</f>
        <v>#N/A</v>
      </c>
      <c r="V35" s="1" t="e">
        <f aca="false">IF(ISBLANK(INDEX(big_daily_table,MATCH(DATE(V$5,$J35,$I35),daily_dates,0),MATCH($B$3,daily_items,0))),NA(),INDEX(big_daily_table,MATCH(DATE(V$5,$J35,$I35),daily_dates,0),MATCH($B$3,daily_items,0)))</f>
        <v>#N/A</v>
      </c>
      <c r="W35" s="1" t="e">
        <f aca="false">IF(ISBLANK(INDEX(big_daily_table,MATCH(DATE(W$5,$J35,$I35),daily_dates,0),MATCH($B$3,daily_items,0))),NA(),INDEX(big_daily_table,MATCH(DATE(W$5,$J35,$I35),daily_dates,0),MATCH($B$3,daily_items,0)))</f>
        <v>#N/A</v>
      </c>
      <c r="X35" s="1" t="e">
        <f aca="false">IF(ISBLANK(INDEX(big_daily_table,MATCH(DATE(X$5,$J35,$I35),daily_dates,0),MATCH($B$3,daily_items,0))),NA(),INDEX(big_daily_table,MATCH(DATE(X$5,$J35,$I35),daily_dates,0),MATCH($B$3,daily_items,0)))</f>
        <v>#N/A</v>
      </c>
      <c r="Y35" s="1" t="e">
        <f aca="false">IF(ISBLANK(INDEX(big_daily_table,MATCH(DATE(Y$5,$J35,$I35),daily_dates,0),MATCH($B$3,daily_items,0))),NA(),INDEX(big_daily_table,MATCH(DATE(Y$5,$J35,$I35),daily_dates,0),MATCH($B$3,daily_items,0)))</f>
        <v>#N/A</v>
      </c>
      <c r="Z35" s="1" t="n">
        <f aca="true">_xlfn.AGGREGATE(5,6,OFFSET($R$5,H35,0,1,$J$2))</f>
        <v>0</v>
      </c>
      <c r="AA35" s="1" t="n">
        <f aca="true">_xlfn.AGGREGATE(4,6,OFFSET($R$5,H35,0,1,$J$2))</f>
        <v>0</v>
      </c>
      <c r="AB35" s="1" t="n">
        <f aca="false">AA35-Z35</f>
        <v>0</v>
      </c>
      <c r="AC35" s="1" t="e">
        <f aca="true">_xlfn.AGGREGATE(1,6,OFFSET($R$5,H35,0,1,$J$2))</f>
        <v>#DIV/0!</v>
      </c>
    </row>
    <row r="36" customFormat="false" ht="14.25" hidden="false" customHeight="false" outlineLevel="0" collapsed="false">
      <c r="H36" s="1" t="n">
        <f aca="false">H35+1</f>
        <v>31</v>
      </c>
      <c r="I36" s="1" t="n">
        <f aca="false">DAY(K36)</f>
        <v>31</v>
      </c>
      <c r="J36" s="1" t="n">
        <f aca="false">MONTH(K36)</f>
        <v>1</v>
      </c>
      <c r="K36" s="23" t="n">
        <f aca="false">K35+1</f>
        <v>36556</v>
      </c>
      <c r="L36" s="24" t="n">
        <f aca="true">IF(TODAY()&lt;DATE($N$5,J36,I36),1000000,-1000000)</f>
        <v>-1000000</v>
      </c>
      <c r="M36" s="1" t="e">
        <f aca="false">IF(K36&gt;0,INDEX(big_daily_table,MATCH(DATE(N$5,$J36,$I36),daily_dates,0),MATCH($B$3,daily_items,0)),NA())</f>
        <v>#N/A</v>
      </c>
      <c r="N36" s="1" t="e">
        <f aca="false">IF(L36&lt;0,INDEX(big_daily_table,MATCH(DATE(N$5,$J36,$I36),daily_dates,0),MATCH($B$3,daily_items,0)),NA())</f>
        <v>#N/A</v>
      </c>
      <c r="O36" s="1" t="e">
        <f aca="false">IF(ISBLANK(INDEX(big_daily_table,MATCH(DATE(O$5,$J36,$I36),daily_dates,0),MATCH($B$3,daily_items,0))),NA(),INDEX(big_daily_table,MATCH(DATE(O$5,$J36,$I36),daily_dates,0),MATCH($B$3,daily_items,0)))</f>
        <v>#N/A</v>
      </c>
      <c r="P36" s="1" t="e">
        <f aca="false">IF(ISBLANK(INDEX(big_daily_table,MATCH(DATE(P$5,$J36,$I36),daily_dates,0),MATCH($B$3,daily_items,0))),NA(),INDEX(big_daily_table,MATCH(DATE(P$5,$J36,$I36),daily_dates,0),MATCH($B$3,daily_items,0)))</f>
        <v>#N/A</v>
      </c>
      <c r="Q36" s="1" t="e">
        <f aca="false">IF(ISBLANK(INDEX(big_daily_table,MATCH(DATE(Q$5,$J36,$I36),daily_dates,0),MATCH($B$3,daily_items,0))),NA(),INDEX(big_daily_table,MATCH(DATE(Q$5,$J36,$I36),daily_dates,0),MATCH($B$3,daily_items,0)))</f>
        <v>#N/A</v>
      </c>
      <c r="R36" s="1" t="e">
        <f aca="false">IF(ISBLANK(INDEX(big_daily_table,MATCH(DATE(R$5,$J36,$I36),daily_dates,0),MATCH($B$3,daily_items,0))),NA(),INDEX(big_daily_table,MATCH(DATE(R$5,$J36,$I36),daily_dates,0),MATCH($B$3,daily_items,0)))</f>
        <v>#N/A</v>
      </c>
      <c r="S36" s="1" t="e">
        <f aca="false">IF(ISBLANK(INDEX(big_daily_table,MATCH(DATE(S$5,$J36,$I36),daily_dates,0),MATCH($B$3,daily_items,0))),NA(),INDEX(big_daily_table,MATCH(DATE(S$5,$J36,$I36),daily_dates,0),MATCH($B$3,daily_items,0)))</f>
        <v>#N/A</v>
      </c>
      <c r="T36" s="1" t="e">
        <f aca="false">IF(ISBLANK(INDEX(big_daily_table,MATCH(DATE(T$5,$J36,$I36),daily_dates,0),MATCH($B$3,daily_items,0))),NA(),INDEX(big_daily_table,MATCH(DATE(T$5,$J36,$I36),daily_dates,0),MATCH($B$3,daily_items,0)))</f>
        <v>#N/A</v>
      </c>
      <c r="U36" s="1" t="e">
        <f aca="false">IF(ISBLANK(INDEX(big_daily_table,MATCH(DATE(U$5,$J36,$I36),daily_dates,0),MATCH($B$3,daily_items,0))),NA(),INDEX(big_daily_table,MATCH(DATE(U$5,$J36,$I36),daily_dates,0),MATCH($B$3,daily_items,0)))</f>
        <v>#N/A</v>
      </c>
      <c r="V36" s="1" t="e">
        <f aca="false">IF(ISBLANK(INDEX(big_daily_table,MATCH(DATE(V$5,$J36,$I36),daily_dates,0),MATCH($B$3,daily_items,0))),NA(),INDEX(big_daily_table,MATCH(DATE(V$5,$J36,$I36),daily_dates,0),MATCH($B$3,daily_items,0)))</f>
        <v>#N/A</v>
      </c>
      <c r="W36" s="1" t="e">
        <f aca="false">IF(ISBLANK(INDEX(big_daily_table,MATCH(DATE(W$5,$J36,$I36),daily_dates,0),MATCH($B$3,daily_items,0))),NA(),INDEX(big_daily_table,MATCH(DATE(W$5,$J36,$I36),daily_dates,0),MATCH($B$3,daily_items,0)))</f>
        <v>#N/A</v>
      </c>
      <c r="X36" s="1" t="e">
        <f aca="false">IF(ISBLANK(INDEX(big_daily_table,MATCH(DATE(X$5,$J36,$I36),daily_dates,0),MATCH($B$3,daily_items,0))),NA(),INDEX(big_daily_table,MATCH(DATE(X$5,$J36,$I36),daily_dates,0),MATCH($B$3,daily_items,0)))</f>
        <v>#N/A</v>
      </c>
      <c r="Y36" s="1" t="e">
        <f aca="false">IF(ISBLANK(INDEX(big_daily_table,MATCH(DATE(Y$5,$J36,$I36),daily_dates,0),MATCH($B$3,daily_items,0))),NA(),INDEX(big_daily_table,MATCH(DATE(Y$5,$J36,$I36),daily_dates,0),MATCH($B$3,daily_items,0)))</f>
        <v>#N/A</v>
      </c>
      <c r="Z36" s="1" t="n">
        <f aca="true">_xlfn.AGGREGATE(5,6,OFFSET($R$5,H36,0,1,$J$2))</f>
        <v>0</v>
      </c>
      <c r="AA36" s="1" t="n">
        <f aca="true">_xlfn.AGGREGATE(4,6,OFFSET($R$5,H36,0,1,$J$2))</f>
        <v>0</v>
      </c>
      <c r="AB36" s="1" t="n">
        <f aca="false">AA36-Z36</f>
        <v>0</v>
      </c>
      <c r="AC36" s="1" t="e">
        <f aca="true">_xlfn.AGGREGATE(1,6,OFFSET($R$5,H36,0,1,$J$2))</f>
        <v>#DIV/0!</v>
      </c>
    </row>
    <row r="37" customFormat="false" ht="14.25" hidden="false" customHeight="false" outlineLevel="0" collapsed="false">
      <c r="H37" s="1" t="n">
        <f aca="false">H36+1</f>
        <v>32</v>
      </c>
      <c r="I37" s="1" t="n">
        <f aca="false">DAY(K37)</f>
        <v>1</v>
      </c>
      <c r="J37" s="1" t="n">
        <f aca="false">MONTH(K37)</f>
        <v>2</v>
      </c>
      <c r="K37" s="23" t="n">
        <f aca="false">K36+1</f>
        <v>36557</v>
      </c>
      <c r="L37" s="24" t="n">
        <f aca="true">IF(TODAY()&lt;DATE($N$5,J37,I37),1000000,-1000000)</f>
        <v>-1000000</v>
      </c>
      <c r="M37" s="1" t="e">
        <f aca="false">IF(K37&gt;0,INDEX(big_daily_table,MATCH(DATE(N$5,$J37,$I37),daily_dates,0),MATCH($B$3,daily_items,0)),NA())</f>
        <v>#N/A</v>
      </c>
      <c r="N37" s="1" t="e">
        <f aca="false">IF(L37&lt;0,INDEX(big_daily_table,MATCH(DATE(N$5,$J37,$I37),daily_dates,0),MATCH($B$3,daily_items,0)),NA())</f>
        <v>#N/A</v>
      </c>
      <c r="O37" s="1" t="e">
        <f aca="false">IF(ISBLANK(INDEX(big_daily_table,MATCH(DATE(O$5,$J37,$I37),daily_dates,0),MATCH($B$3,daily_items,0))),NA(),INDEX(big_daily_table,MATCH(DATE(O$5,$J37,$I37),daily_dates,0),MATCH($B$3,daily_items,0)))</f>
        <v>#N/A</v>
      </c>
      <c r="P37" s="1" t="e">
        <f aca="false">IF(ISBLANK(INDEX(big_daily_table,MATCH(DATE(P$5,$J37,$I37),daily_dates,0),MATCH($B$3,daily_items,0))),NA(),INDEX(big_daily_table,MATCH(DATE(P$5,$J37,$I37),daily_dates,0),MATCH($B$3,daily_items,0)))</f>
        <v>#N/A</v>
      </c>
      <c r="Q37" s="1" t="e">
        <f aca="false">IF(ISBLANK(INDEX(big_daily_table,MATCH(DATE(Q$5,$J37,$I37),daily_dates,0),MATCH($B$3,daily_items,0))),NA(),INDEX(big_daily_table,MATCH(DATE(Q$5,$J37,$I37),daily_dates,0),MATCH($B$3,daily_items,0)))</f>
        <v>#N/A</v>
      </c>
      <c r="R37" s="1" t="e">
        <f aca="false">IF(ISBLANK(INDEX(big_daily_table,MATCH(DATE(R$5,$J37,$I37),daily_dates,0),MATCH($B$3,daily_items,0))),NA(),INDEX(big_daily_table,MATCH(DATE(R$5,$J37,$I37),daily_dates,0),MATCH($B$3,daily_items,0)))</f>
        <v>#N/A</v>
      </c>
      <c r="S37" s="1" t="e">
        <f aca="false">IF(ISBLANK(INDEX(big_daily_table,MATCH(DATE(S$5,$J37,$I37),daily_dates,0),MATCH($B$3,daily_items,0))),NA(),INDEX(big_daily_table,MATCH(DATE(S$5,$J37,$I37),daily_dates,0),MATCH($B$3,daily_items,0)))</f>
        <v>#N/A</v>
      </c>
      <c r="T37" s="1" t="e">
        <f aca="false">IF(ISBLANK(INDEX(big_daily_table,MATCH(DATE(T$5,$J37,$I37),daily_dates,0),MATCH($B$3,daily_items,0))),NA(),INDEX(big_daily_table,MATCH(DATE(T$5,$J37,$I37),daily_dates,0),MATCH($B$3,daily_items,0)))</f>
        <v>#N/A</v>
      </c>
      <c r="U37" s="1" t="e">
        <f aca="false">IF(ISBLANK(INDEX(big_daily_table,MATCH(DATE(U$5,$J37,$I37),daily_dates,0),MATCH($B$3,daily_items,0))),NA(),INDEX(big_daily_table,MATCH(DATE(U$5,$J37,$I37),daily_dates,0),MATCH($B$3,daily_items,0)))</f>
        <v>#N/A</v>
      </c>
      <c r="V37" s="1" t="e">
        <f aca="false">IF(ISBLANK(INDEX(big_daily_table,MATCH(DATE(V$5,$J37,$I37),daily_dates,0),MATCH($B$3,daily_items,0))),NA(),INDEX(big_daily_table,MATCH(DATE(V$5,$J37,$I37),daily_dates,0),MATCH($B$3,daily_items,0)))</f>
        <v>#N/A</v>
      </c>
      <c r="W37" s="1" t="e">
        <f aca="false">IF(ISBLANK(INDEX(big_daily_table,MATCH(DATE(W$5,$J37,$I37),daily_dates,0),MATCH($B$3,daily_items,0))),NA(),INDEX(big_daily_table,MATCH(DATE(W$5,$J37,$I37),daily_dates,0),MATCH($B$3,daily_items,0)))</f>
        <v>#N/A</v>
      </c>
      <c r="X37" s="1" t="e">
        <f aca="false">IF(ISBLANK(INDEX(big_daily_table,MATCH(DATE(X$5,$J37,$I37),daily_dates,0),MATCH($B$3,daily_items,0))),NA(),INDEX(big_daily_table,MATCH(DATE(X$5,$J37,$I37),daily_dates,0),MATCH($B$3,daily_items,0)))</f>
        <v>#N/A</v>
      </c>
      <c r="Y37" s="1" t="e">
        <f aca="false">IF(ISBLANK(INDEX(big_daily_table,MATCH(DATE(Y$5,$J37,$I37),daily_dates,0),MATCH($B$3,daily_items,0))),NA(),INDEX(big_daily_table,MATCH(DATE(Y$5,$J37,$I37),daily_dates,0),MATCH($B$3,daily_items,0)))</f>
        <v>#N/A</v>
      </c>
      <c r="Z37" s="1" t="n">
        <f aca="true">_xlfn.AGGREGATE(5,6,OFFSET($R$5,H37,0,1,$J$2))</f>
        <v>0</v>
      </c>
      <c r="AA37" s="1" t="n">
        <f aca="true">_xlfn.AGGREGATE(4,6,OFFSET($R$5,H37,0,1,$J$2))</f>
        <v>0</v>
      </c>
      <c r="AB37" s="1" t="n">
        <f aca="false">AA37-Z37</f>
        <v>0</v>
      </c>
      <c r="AC37" s="1" t="e">
        <f aca="true">_xlfn.AGGREGATE(1,6,OFFSET($R$5,H37,0,1,$J$2))</f>
        <v>#DIV/0!</v>
      </c>
    </row>
    <row r="38" customFormat="false" ht="14.25" hidden="false" customHeight="false" outlineLevel="0" collapsed="false">
      <c r="H38" s="1" t="n">
        <f aca="false">H37+1</f>
        <v>33</v>
      </c>
      <c r="I38" s="1" t="n">
        <f aca="false">DAY(K38)</f>
        <v>2</v>
      </c>
      <c r="J38" s="1" t="n">
        <f aca="false">MONTH(K38)</f>
        <v>2</v>
      </c>
      <c r="K38" s="23" t="n">
        <f aca="false">K37+1</f>
        <v>36558</v>
      </c>
      <c r="L38" s="24" t="n">
        <f aca="true">IF(TODAY()&lt;DATE($N$5,J38,I38),1000000,-1000000)</f>
        <v>-1000000</v>
      </c>
      <c r="M38" s="1" t="e">
        <f aca="false">IF(K38&gt;0,INDEX(big_daily_table,MATCH(DATE(N$5,$J38,$I38),daily_dates,0),MATCH($B$3,daily_items,0)),NA())</f>
        <v>#N/A</v>
      </c>
      <c r="N38" s="1" t="e">
        <f aca="false">IF(L38&lt;0,INDEX(big_daily_table,MATCH(DATE(N$5,$J38,$I38),daily_dates,0),MATCH($B$3,daily_items,0)),NA())</f>
        <v>#N/A</v>
      </c>
      <c r="O38" s="1" t="e">
        <f aca="false">IF(ISBLANK(INDEX(big_daily_table,MATCH(DATE(O$5,$J38,$I38),daily_dates,0),MATCH($B$3,daily_items,0))),NA(),INDEX(big_daily_table,MATCH(DATE(O$5,$J38,$I38),daily_dates,0),MATCH($B$3,daily_items,0)))</f>
        <v>#N/A</v>
      </c>
      <c r="P38" s="1" t="e">
        <f aca="false">IF(ISBLANK(INDEX(big_daily_table,MATCH(DATE(P$5,$J38,$I38),daily_dates,0),MATCH($B$3,daily_items,0))),NA(),INDEX(big_daily_table,MATCH(DATE(P$5,$J38,$I38),daily_dates,0),MATCH($B$3,daily_items,0)))</f>
        <v>#N/A</v>
      </c>
      <c r="Q38" s="1" t="e">
        <f aca="false">IF(ISBLANK(INDEX(big_daily_table,MATCH(DATE(Q$5,$J38,$I38),daily_dates,0),MATCH($B$3,daily_items,0))),NA(),INDEX(big_daily_table,MATCH(DATE(Q$5,$J38,$I38),daily_dates,0),MATCH($B$3,daily_items,0)))</f>
        <v>#N/A</v>
      </c>
      <c r="R38" s="1" t="e">
        <f aca="false">IF(ISBLANK(INDEX(big_daily_table,MATCH(DATE(R$5,$J38,$I38),daily_dates,0),MATCH($B$3,daily_items,0))),NA(),INDEX(big_daily_table,MATCH(DATE(R$5,$J38,$I38),daily_dates,0),MATCH($B$3,daily_items,0)))</f>
        <v>#N/A</v>
      </c>
      <c r="S38" s="1" t="e">
        <f aca="false">IF(ISBLANK(INDEX(big_daily_table,MATCH(DATE(S$5,$J38,$I38),daily_dates,0),MATCH($B$3,daily_items,0))),NA(),INDEX(big_daily_table,MATCH(DATE(S$5,$J38,$I38),daily_dates,0),MATCH($B$3,daily_items,0)))</f>
        <v>#N/A</v>
      </c>
      <c r="T38" s="1" t="e">
        <f aca="false">IF(ISBLANK(INDEX(big_daily_table,MATCH(DATE(T$5,$J38,$I38),daily_dates,0),MATCH($B$3,daily_items,0))),NA(),INDEX(big_daily_table,MATCH(DATE(T$5,$J38,$I38),daily_dates,0),MATCH($B$3,daily_items,0)))</f>
        <v>#N/A</v>
      </c>
      <c r="U38" s="1" t="e">
        <f aca="false">IF(ISBLANK(INDEX(big_daily_table,MATCH(DATE(U$5,$J38,$I38),daily_dates,0),MATCH($B$3,daily_items,0))),NA(),INDEX(big_daily_table,MATCH(DATE(U$5,$J38,$I38),daily_dates,0),MATCH($B$3,daily_items,0)))</f>
        <v>#N/A</v>
      </c>
      <c r="V38" s="1" t="e">
        <f aca="false">IF(ISBLANK(INDEX(big_daily_table,MATCH(DATE(V$5,$J38,$I38),daily_dates,0),MATCH($B$3,daily_items,0))),NA(),INDEX(big_daily_table,MATCH(DATE(V$5,$J38,$I38),daily_dates,0),MATCH($B$3,daily_items,0)))</f>
        <v>#N/A</v>
      </c>
      <c r="W38" s="1" t="e">
        <f aca="false">IF(ISBLANK(INDEX(big_daily_table,MATCH(DATE(W$5,$J38,$I38),daily_dates,0),MATCH($B$3,daily_items,0))),NA(),INDEX(big_daily_table,MATCH(DATE(W$5,$J38,$I38),daily_dates,0),MATCH($B$3,daily_items,0)))</f>
        <v>#N/A</v>
      </c>
      <c r="X38" s="1" t="e">
        <f aca="false">IF(ISBLANK(INDEX(big_daily_table,MATCH(DATE(X$5,$J38,$I38),daily_dates,0),MATCH($B$3,daily_items,0))),NA(),INDEX(big_daily_table,MATCH(DATE(X$5,$J38,$I38),daily_dates,0),MATCH($B$3,daily_items,0)))</f>
        <v>#N/A</v>
      </c>
      <c r="Y38" s="1" t="e">
        <f aca="false">IF(ISBLANK(INDEX(big_daily_table,MATCH(DATE(Y$5,$J38,$I38),daily_dates,0),MATCH($B$3,daily_items,0))),NA(),INDEX(big_daily_table,MATCH(DATE(Y$5,$J38,$I38),daily_dates,0),MATCH($B$3,daily_items,0)))</f>
        <v>#N/A</v>
      </c>
      <c r="Z38" s="1" t="n">
        <f aca="true">_xlfn.AGGREGATE(5,6,OFFSET($R$5,H38,0,1,$J$2))</f>
        <v>0</v>
      </c>
      <c r="AA38" s="1" t="n">
        <f aca="true">_xlfn.AGGREGATE(4,6,OFFSET($R$5,H38,0,1,$J$2))</f>
        <v>0</v>
      </c>
      <c r="AB38" s="1" t="n">
        <f aca="false">AA38-Z38</f>
        <v>0</v>
      </c>
      <c r="AC38" s="1" t="e">
        <f aca="true">_xlfn.AGGREGATE(1,6,OFFSET($R$5,H38,0,1,$J$2))</f>
        <v>#DIV/0!</v>
      </c>
    </row>
    <row r="39" customFormat="false" ht="14.25" hidden="false" customHeight="false" outlineLevel="0" collapsed="false">
      <c r="H39" s="1" t="n">
        <f aca="false">H38+1</f>
        <v>34</v>
      </c>
      <c r="I39" s="1" t="n">
        <f aca="false">DAY(K39)</f>
        <v>3</v>
      </c>
      <c r="J39" s="1" t="n">
        <f aca="false">MONTH(K39)</f>
        <v>2</v>
      </c>
      <c r="K39" s="23" t="n">
        <f aca="false">K38+1</f>
        <v>36559</v>
      </c>
      <c r="L39" s="24" t="n">
        <f aca="true">IF(TODAY()&lt;DATE($N$5,J39,I39),1000000,-1000000)</f>
        <v>-1000000</v>
      </c>
      <c r="M39" s="1" t="e">
        <f aca="false">IF(K39&gt;0,INDEX(big_daily_table,MATCH(DATE(N$5,$J39,$I39),daily_dates,0),MATCH($B$3,daily_items,0)),NA())</f>
        <v>#N/A</v>
      </c>
      <c r="N39" s="1" t="e">
        <f aca="false">IF(L39&lt;0,INDEX(big_daily_table,MATCH(DATE(N$5,$J39,$I39),daily_dates,0),MATCH($B$3,daily_items,0)),NA())</f>
        <v>#N/A</v>
      </c>
      <c r="O39" s="1" t="e">
        <f aca="false">IF(ISBLANK(INDEX(big_daily_table,MATCH(DATE(O$5,$J39,$I39),daily_dates,0),MATCH($B$3,daily_items,0))),NA(),INDEX(big_daily_table,MATCH(DATE(O$5,$J39,$I39),daily_dates,0),MATCH($B$3,daily_items,0)))</f>
        <v>#N/A</v>
      </c>
      <c r="P39" s="1" t="e">
        <f aca="false">IF(ISBLANK(INDEX(big_daily_table,MATCH(DATE(P$5,$J39,$I39),daily_dates,0),MATCH($B$3,daily_items,0))),NA(),INDEX(big_daily_table,MATCH(DATE(P$5,$J39,$I39),daily_dates,0),MATCH($B$3,daily_items,0)))</f>
        <v>#N/A</v>
      </c>
      <c r="Q39" s="1" t="e">
        <f aca="false">IF(ISBLANK(INDEX(big_daily_table,MATCH(DATE(Q$5,$J39,$I39),daily_dates,0),MATCH($B$3,daily_items,0))),NA(),INDEX(big_daily_table,MATCH(DATE(Q$5,$J39,$I39),daily_dates,0),MATCH($B$3,daily_items,0)))</f>
        <v>#N/A</v>
      </c>
      <c r="R39" s="1" t="e">
        <f aca="false">IF(ISBLANK(INDEX(big_daily_table,MATCH(DATE(R$5,$J39,$I39),daily_dates,0),MATCH($B$3,daily_items,0))),NA(),INDEX(big_daily_table,MATCH(DATE(R$5,$J39,$I39),daily_dates,0),MATCH($B$3,daily_items,0)))</f>
        <v>#N/A</v>
      </c>
      <c r="S39" s="1" t="e">
        <f aca="false">IF(ISBLANK(INDEX(big_daily_table,MATCH(DATE(S$5,$J39,$I39),daily_dates,0),MATCH($B$3,daily_items,0))),NA(),INDEX(big_daily_table,MATCH(DATE(S$5,$J39,$I39),daily_dates,0),MATCH($B$3,daily_items,0)))</f>
        <v>#N/A</v>
      </c>
      <c r="T39" s="1" t="e">
        <f aca="false">IF(ISBLANK(INDEX(big_daily_table,MATCH(DATE(T$5,$J39,$I39),daily_dates,0),MATCH($B$3,daily_items,0))),NA(),INDEX(big_daily_table,MATCH(DATE(T$5,$J39,$I39),daily_dates,0),MATCH($B$3,daily_items,0)))</f>
        <v>#N/A</v>
      </c>
      <c r="U39" s="1" t="e">
        <f aca="false">IF(ISBLANK(INDEX(big_daily_table,MATCH(DATE(U$5,$J39,$I39),daily_dates,0),MATCH($B$3,daily_items,0))),NA(),INDEX(big_daily_table,MATCH(DATE(U$5,$J39,$I39),daily_dates,0),MATCH($B$3,daily_items,0)))</f>
        <v>#N/A</v>
      </c>
      <c r="V39" s="1" t="e">
        <f aca="false">IF(ISBLANK(INDEX(big_daily_table,MATCH(DATE(V$5,$J39,$I39),daily_dates,0),MATCH($B$3,daily_items,0))),NA(),INDEX(big_daily_table,MATCH(DATE(V$5,$J39,$I39),daily_dates,0),MATCH($B$3,daily_items,0)))</f>
        <v>#N/A</v>
      </c>
      <c r="W39" s="1" t="e">
        <f aca="false">IF(ISBLANK(INDEX(big_daily_table,MATCH(DATE(W$5,$J39,$I39),daily_dates,0),MATCH($B$3,daily_items,0))),NA(),INDEX(big_daily_table,MATCH(DATE(W$5,$J39,$I39),daily_dates,0),MATCH($B$3,daily_items,0)))</f>
        <v>#N/A</v>
      </c>
      <c r="X39" s="1" t="e">
        <f aca="false">IF(ISBLANK(INDEX(big_daily_table,MATCH(DATE(X$5,$J39,$I39),daily_dates,0),MATCH($B$3,daily_items,0))),NA(),INDEX(big_daily_table,MATCH(DATE(X$5,$J39,$I39),daily_dates,0),MATCH($B$3,daily_items,0)))</f>
        <v>#N/A</v>
      </c>
      <c r="Y39" s="1" t="e">
        <f aca="false">IF(ISBLANK(INDEX(big_daily_table,MATCH(DATE(Y$5,$J39,$I39),daily_dates,0),MATCH($B$3,daily_items,0))),NA(),INDEX(big_daily_table,MATCH(DATE(Y$5,$J39,$I39),daily_dates,0),MATCH($B$3,daily_items,0)))</f>
        <v>#N/A</v>
      </c>
      <c r="Z39" s="1" t="n">
        <f aca="true">_xlfn.AGGREGATE(5,6,OFFSET($R$5,H39,0,1,$J$2))</f>
        <v>0</v>
      </c>
      <c r="AA39" s="1" t="n">
        <f aca="true">_xlfn.AGGREGATE(4,6,OFFSET($R$5,H39,0,1,$J$2))</f>
        <v>0</v>
      </c>
      <c r="AB39" s="1" t="n">
        <f aca="false">AA39-Z39</f>
        <v>0</v>
      </c>
      <c r="AC39" s="1" t="e">
        <f aca="true">_xlfn.AGGREGATE(1,6,OFFSET($R$5,H39,0,1,$J$2))</f>
        <v>#DIV/0!</v>
      </c>
    </row>
    <row r="40" customFormat="false" ht="14.25" hidden="false" customHeight="false" outlineLevel="0" collapsed="false">
      <c r="H40" s="1" t="n">
        <f aca="false">H39+1</f>
        <v>35</v>
      </c>
      <c r="I40" s="1" t="n">
        <f aca="false">DAY(K40)</f>
        <v>4</v>
      </c>
      <c r="J40" s="1" t="n">
        <f aca="false">MONTH(K40)</f>
        <v>2</v>
      </c>
      <c r="K40" s="23" t="n">
        <f aca="false">K39+1</f>
        <v>36560</v>
      </c>
      <c r="L40" s="24" t="n">
        <f aca="true">IF(TODAY()&lt;DATE($N$5,J40,I40),1000000,-1000000)</f>
        <v>-1000000</v>
      </c>
      <c r="M40" s="1" t="e">
        <f aca="false">IF(K40&gt;0,INDEX(big_daily_table,MATCH(DATE(N$5,$J40,$I40),daily_dates,0),MATCH($B$3,daily_items,0)),NA())</f>
        <v>#N/A</v>
      </c>
      <c r="N40" s="1" t="e">
        <f aca="false">IF(L40&lt;0,INDEX(big_daily_table,MATCH(DATE(N$5,$J40,$I40),daily_dates,0),MATCH($B$3,daily_items,0)),NA())</f>
        <v>#N/A</v>
      </c>
      <c r="O40" s="1" t="e">
        <f aca="false">IF(ISBLANK(INDEX(big_daily_table,MATCH(DATE(O$5,$J40,$I40),daily_dates,0),MATCH($B$3,daily_items,0))),NA(),INDEX(big_daily_table,MATCH(DATE(O$5,$J40,$I40),daily_dates,0),MATCH($B$3,daily_items,0)))</f>
        <v>#N/A</v>
      </c>
      <c r="P40" s="1" t="e">
        <f aca="false">IF(ISBLANK(INDEX(big_daily_table,MATCH(DATE(P$5,$J40,$I40),daily_dates,0),MATCH($B$3,daily_items,0))),NA(),INDEX(big_daily_table,MATCH(DATE(P$5,$J40,$I40),daily_dates,0),MATCH($B$3,daily_items,0)))</f>
        <v>#N/A</v>
      </c>
      <c r="Q40" s="1" t="e">
        <f aca="false">IF(ISBLANK(INDEX(big_daily_table,MATCH(DATE(Q$5,$J40,$I40),daily_dates,0),MATCH($B$3,daily_items,0))),NA(),INDEX(big_daily_table,MATCH(DATE(Q$5,$J40,$I40),daily_dates,0),MATCH($B$3,daily_items,0)))</f>
        <v>#N/A</v>
      </c>
      <c r="R40" s="1" t="e">
        <f aca="false">IF(ISBLANK(INDEX(big_daily_table,MATCH(DATE(R$5,$J40,$I40),daily_dates,0),MATCH($B$3,daily_items,0))),NA(),INDEX(big_daily_table,MATCH(DATE(R$5,$J40,$I40),daily_dates,0),MATCH($B$3,daily_items,0)))</f>
        <v>#N/A</v>
      </c>
      <c r="S40" s="1" t="e">
        <f aca="false">IF(ISBLANK(INDEX(big_daily_table,MATCH(DATE(S$5,$J40,$I40),daily_dates,0),MATCH($B$3,daily_items,0))),NA(),INDEX(big_daily_table,MATCH(DATE(S$5,$J40,$I40),daily_dates,0),MATCH($B$3,daily_items,0)))</f>
        <v>#N/A</v>
      </c>
      <c r="T40" s="1" t="e">
        <f aca="false">IF(ISBLANK(INDEX(big_daily_table,MATCH(DATE(T$5,$J40,$I40),daily_dates,0),MATCH($B$3,daily_items,0))),NA(),INDEX(big_daily_table,MATCH(DATE(T$5,$J40,$I40),daily_dates,0),MATCH($B$3,daily_items,0)))</f>
        <v>#N/A</v>
      </c>
      <c r="U40" s="1" t="e">
        <f aca="false">IF(ISBLANK(INDEX(big_daily_table,MATCH(DATE(U$5,$J40,$I40),daily_dates,0),MATCH($B$3,daily_items,0))),NA(),INDEX(big_daily_table,MATCH(DATE(U$5,$J40,$I40),daily_dates,0),MATCH($B$3,daily_items,0)))</f>
        <v>#N/A</v>
      </c>
      <c r="V40" s="1" t="e">
        <f aca="false">IF(ISBLANK(INDEX(big_daily_table,MATCH(DATE(V$5,$J40,$I40),daily_dates,0),MATCH($B$3,daily_items,0))),NA(),INDEX(big_daily_table,MATCH(DATE(V$5,$J40,$I40),daily_dates,0),MATCH($B$3,daily_items,0)))</f>
        <v>#N/A</v>
      </c>
      <c r="W40" s="1" t="e">
        <f aca="false">IF(ISBLANK(INDEX(big_daily_table,MATCH(DATE(W$5,$J40,$I40),daily_dates,0),MATCH($B$3,daily_items,0))),NA(),INDEX(big_daily_table,MATCH(DATE(W$5,$J40,$I40),daily_dates,0),MATCH($B$3,daily_items,0)))</f>
        <v>#N/A</v>
      </c>
      <c r="X40" s="1" t="e">
        <f aca="false">IF(ISBLANK(INDEX(big_daily_table,MATCH(DATE(X$5,$J40,$I40),daily_dates,0),MATCH($B$3,daily_items,0))),NA(),INDEX(big_daily_table,MATCH(DATE(X$5,$J40,$I40),daily_dates,0),MATCH($B$3,daily_items,0)))</f>
        <v>#N/A</v>
      </c>
      <c r="Y40" s="1" t="e">
        <f aca="false">IF(ISBLANK(INDEX(big_daily_table,MATCH(DATE(Y$5,$J40,$I40),daily_dates,0),MATCH($B$3,daily_items,0))),NA(),INDEX(big_daily_table,MATCH(DATE(Y$5,$J40,$I40),daily_dates,0),MATCH($B$3,daily_items,0)))</f>
        <v>#N/A</v>
      </c>
      <c r="Z40" s="1" t="n">
        <f aca="true">_xlfn.AGGREGATE(5,6,OFFSET($R$5,H40,0,1,$J$2))</f>
        <v>0</v>
      </c>
      <c r="AA40" s="1" t="n">
        <f aca="true">_xlfn.AGGREGATE(4,6,OFFSET($R$5,H40,0,1,$J$2))</f>
        <v>0</v>
      </c>
      <c r="AB40" s="1" t="n">
        <f aca="false">AA40-Z40</f>
        <v>0</v>
      </c>
      <c r="AC40" s="1" t="e">
        <f aca="true">_xlfn.AGGREGATE(1,6,OFFSET($R$5,H40,0,1,$J$2))</f>
        <v>#DIV/0!</v>
      </c>
    </row>
    <row r="41" customFormat="false" ht="14.25" hidden="false" customHeight="false" outlineLevel="0" collapsed="false">
      <c r="H41" s="1" t="n">
        <f aca="false">H40+1</f>
        <v>36</v>
      </c>
      <c r="I41" s="1" t="n">
        <f aca="false">DAY(K41)</f>
        <v>5</v>
      </c>
      <c r="J41" s="1" t="n">
        <f aca="false">MONTH(K41)</f>
        <v>2</v>
      </c>
      <c r="K41" s="23" t="n">
        <f aca="false">K40+1</f>
        <v>36561</v>
      </c>
      <c r="L41" s="24" t="n">
        <f aca="true">IF(TODAY()&lt;DATE($N$5,J41,I41),1000000,-1000000)</f>
        <v>-1000000</v>
      </c>
      <c r="M41" s="1" t="e">
        <f aca="false">IF(K41&gt;0,INDEX(big_daily_table,MATCH(DATE(N$5,$J41,$I41),daily_dates,0),MATCH($B$3,daily_items,0)),NA())</f>
        <v>#N/A</v>
      </c>
      <c r="N41" s="1" t="e">
        <f aca="false">IF(L41&lt;0,INDEX(big_daily_table,MATCH(DATE(N$5,$J41,$I41),daily_dates,0),MATCH($B$3,daily_items,0)),NA())</f>
        <v>#N/A</v>
      </c>
      <c r="O41" s="1" t="e">
        <f aca="false">IF(ISBLANK(INDEX(big_daily_table,MATCH(DATE(O$5,$J41,$I41),daily_dates,0),MATCH($B$3,daily_items,0))),NA(),INDEX(big_daily_table,MATCH(DATE(O$5,$J41,$I41),daily_dates,0),MATCH($B$3,daily_items,0)))</f>
        <v>#N/A</v>
      </c>
      <c r="P41" s="1" t="e">
        <f aca="false">IF(ISBLANK(INDEX(big_daily_table,MATCH(DATE(P$5,$J41,$I41),daily_dates,0),MATCH($B$3,daily_items,0))),NA(),INDEX(big_daily_table,MATCH(DATE(P$5,$J41,$I41),daily_dates,0),MATCH($B$3,daily_items,0)))</f>
        <v>#N/A</v>
      </c>
      <c r="Q41" s="1" t="e">
        <f aca="false">IF(ISBLANK(INDEX(big_daily_table,MATCH(DATE(Q$5,$J41,$I41),daily_dates,0),MATCH($B$3,daily_items,0))),NA(),INDEX(big_daily_table,MATCH(DATE(Q$5,$J41,$I41),daily_dates,0),MATCH($B$3,daily_items,0)))</f>
        <v>#N/A</v>
      </c>
      <c r="R41" s="1" t="e">
        <f aca="false">IF(ISBLANK(INDEX(big_daily_table,MATCH(DATE(R$5,$J41,$I41),daily_dates,0),MATCH($B$3,daily_items,0))),NA(),INDEX(big_daily_table,MATCH(DATE(R$5,$J41,$I41),daily_dates,0),MATCH($B$3,daily_items,0)))</f>
        <v>#N/A</v>
      </c>
      <c r="S41" s="1" t="e">
        <f aca="false">IF(ISBLANK(INDEX(big_daily_table,MATCH(DATE(S$5,$J41,$I41),daily_dates,0),MATCH($B$3,daily_items,0))),NA(),INDEX(big_daily_table,MATCH(DATE(S$5,$J41,$I41),daily_dates,0),MATCH($B$3,daily_items,0)))</f>
        <v>#N/A</v>
      </c>
      <c r="T41" s="1" t="e">
        <f aca="false">IF(ISBLANK(INDEX(big_daily_table,MATCH(DATE(T$5,$J41,$I41),daily_dates,0),MATCH($B$3,daily_items,0))),NA(),INDEX(big_daily_table,MATCH(DATE(T$5,$J41,$I41),daily_dates,0),MATCH($B$3,daily_items,0)))</f>
        <v>#N/A</v>
      </c>
      <c r="U41" s="1" t="e">
        <f aca="false">IF(ISBLANK(INDEX(big_daily_table,MATCH(DATE(U$5,$J41,$I41),daily_dates,0),MATCH($B$3,daily_items,0))),NA(),INDEX(big_daily_table,MATCH(DATE(U$5,$J41,$I41),daily_dates,0),MATCH($B$3,daily_items,0)))</f>
        <v>#N/A</v>
      </c>
      <c r="V41" s="1" t="e">
        <f aca="false">IF(ISBLANK(INDEX(big_daily_table,MATCH(DATE(V$5,$J41,$I41),daily_dates,0),MATCH($B$3,daily_items,0))),NA(),INDEX(big_daily_table,MATCH(DATE(V$5,$J41,$I41),daily_dates,0),MATCH($B$3,daily_items,0)))</f>
        <v>#N/A</v>
      </c>
      <c r="W41" s="1" t="e">
        <f aca="false">IF(ISBLANK(INDEX(big_daily_table,MATCH(DATE(W$5,$J41,$I41),daily_dates,0),MATCH($B$3,daily_items,0))),NA(),INDEX(big_daily_table,MATCH(DATE(W$5,$J41,$I41),daily_dates,0),MATCH($B$3,daily_items,0)))</f>
        <v>#N/A</v>
      </c>
      <c r="X41" s="1" t="e">
        <f aca="false">IF(ISBLANK(INDEX(big_daily_table,MATCH(DATE(X$5,$J41,$I41),daily_dates,0),MATCH($B$3,daily_items,0))),NA(),INDEX(big_daily_table,MATCH(DATE(X$5,$J41,$I41),daily_dates,0),MATCH($B$3,daily_items,0)))</f>
        <v>#N/A</v>
      </c>
      <c r="Y41" s="1" t="e">
        <f aca="false">IF(ISBLANK(INDEX(big_daily_table,MATCH(DATE(Y$5,$J41,$I41),daily_dates,0),MATCH($B$3,daily_items,0))),NA(),INDEX(big_daily_table,MATCH(DATE(Y$5,$J41,$I41),daily_dates,0),MATCH($B$3,daily_items,0)))</f>
        <v>#N/A</v>
      </c>
      <c r="Z41" s="1" t="n">
        <f aca="true">_xlfn.AGGREGATE(5,6,OFFSET($R$5,H41,0,1,$J$2))</f>
        <v>0</v>
      </c>
      <c r="AA41" s="1" t="n">
        <f aca="true">_xlfn.AGGREGATE(4,6,OFFSET($R$5,H41,0,1,$J$2))</f>
        <v>0</v>
      </c>
      <c r="AB41" s="1" t="n">
        <f aca="false">AA41-Z41</f>
        <v>0</v>
      </c>
      <c r="AC41" s="1" t="e">
        <f aca="true">_xlfn.AGGREGATE(1,6,OFFSET($R$5,H41,0,1,$J$2))</f>
        <v>#DIV/0!</v>
      </c>
    </row>
    <row r="42" customFormat="false" ht="14.25" hidden="false" customHeight="false" outlineLevel="0" collapsed="false">
      <c r="H42" s="1" t="n">
        <f aca="false">H41+1</f>
        <v>37</v>
      </c>
      <c r="I42" s="1" t="n">
        <f aca="false">DAY(K42)</f>
        <v>6</v>
      </c>
      <c r="J42" s="1" t="n">
        <f aca="false">MONTH(K42)</f>
        <v>2</v>
      </c>
      <c r="K42" s="23" t="n">
        <f aca="false">K41+1</f>
        <v>36562</v>
      </c>
      <c r="L42" s="24" t="n">
        <f aca="true">IF(TODAY()&lt;DATE($N$5,J42,I42),1000000,-1000000)</f>
        <v>-1000000</v>
      </c>
      <c r="M42" s="1" t="e">
        <f aca="false">IF(K42&gt;0,INDEX(big_daily_table,MATCH(DATE(N$5,$J42,$I42),daily_dates,0),MATCH($B$3,daily_items,0)),NA())</f>
        <v>#N/A</v>
      </c>
      <c r="N42" s="1" t="e">
        <f aca="false">IF(L42&lt;0,INDEX(big_daily_table,MATCH(DATE(N$5,$J42,$I42),daily_dates,0),MATCH($B$3,daily_items,0)),NA())</f>
        <v>#N/A</v>
      </c>
      <c r="O42" s="1" t="e">
        <f aca="false">IF(ISBLANK(INDEX(big_daily_table,MATCH(DATE(O$5,$J42,$I42),daily_dates,0),MATCH($B$3,daily_items,0))),NA(),INDEX(big_daily_table,MATCH(DATE(O$5,$J42,$I42),daily_dates,0),MATCH($B$3,daily_items,0)))</f>
        <v>#N/A</v>
      </c>
      <c r="P42" s="1" t="e">
        <f aca="false">IF(ISBLANK(INDEX(big_daily_table,MATCH(DATE(P$5,$J42,$I42),daily_dates,0),MATCH($B$3,daily_items,0))),NA(),INDEX(big_daily_table,MATCH(DATE(P$5,$J42,$I42),daily_dates,0),MATCH($B$3,daily_items,0)))</f>
        <v>#N/A</v>
      </c>
      <c r="Q42" s="1" t="e">
        <f aca="false">IF(ISBLANK(INDEX(big_daily_table,MATCH(DATE(Q$5,$J42,$I42),daily_dates,0),MATCH($B$3,daily_items,0))),NA(),INDEX(big_daily_table,MATCH(DATE(Q$5,$J42,$I42),daily_dates,0),MATCH($B$3,daily_items,0)))</f>
        <v>#N/A</v>
      </c>
      <c r="R42" s="1" t="e">
        <f aca="false">IF(ISBLANK(INDEX(big_daily_table,MATCH(DATE(R$5,$J42,$I42),daily_dates,0),MATCH($B$3,daily_items,0))),NA(),INDEX(big_daily_table,MATCH(DATE(R$5,$J42,$I42),daily_dates,0),MATCH($B$3,daily_items,0)))</f>
        <v>#N/A</v>
      </c>
      <c r="S42" s="1" t="e">
        <f aca="false">IF(ISBLANK(INDEX(big_daily_table,MATCH(DATE(S$5,$J42,$I42),daily_dates,0),MATCH($B$3,daily_items,0))),NA(),INDEX(big_daily_table,MATCH(DATE(S$5,$J42,$I42),daily_dates,0),MATCH($B$3,daily_items,0)))</f>
        <v>#N/A</v>
      </c>
      <c r="T42" s="1" t="e">
        <f aca="false">IF(ISBLANK(INDEX(big_daily_table,MATCH(DATE(T$5,$J42,$I42),daily_dates,0),MATCH($B$3,daily_items,0))),NA(),INDEX(big_daily_table,MATCH(DATE(T$5,$J42,$I42),daily_dates,0),MATCH($B$3,daily_items,0)))</f>
        <v>#N/A</v>
      </c>
      <c r="U42" s="1" t="e">
        <f aca="false">IF(ISBLANK(INDEX(big_daily_table,MATCH(DATE(U$5,$J42,$I42),daily_dates,0),MATCH($B$3,daily_items,0))),NA(),INDEX(big_daily_table,MATCH(DATE(U$5,$J42,$I42),daily_dates,0),MATCH($B$3,daily_items,0)))</f>
        <v>#N/A</v>
      </c>
      <c r="V42" s="1" t="e">
        <f aca="false">IF(ISBLANK(INDEX(big_daily_table,MATCH(DATE(V$5,$J42,$I42),daily_dates,0),MATCH($B$3,daily_items,0))),NA(),INDEX(big_daily_table,MATCH(DATE(V$5,$J42,$I42),daily_dates,0),MATCH($B$3,daily_items,0)))</f>
        <v>#N/A</v>
      </c>
      <c r="W42" s="1" t="e">
        <f aca="false">IF(ISBLANK(INDEX(big_daily_table,MATCH(DATE(W$5,$J42,$I42),daily_dates,0),MATCH($B$3,daily_items,0))),NA(),INDEX(big_daily_table,MATCH(DATE(W$5,$J42,$I42),daily_dates,0),MATCH($B$3,daily_items,0)))</f>
        <v>#N/A</v>
      </c>
      <c r="X42" s="1" t="e">
        <f aca="false">IF(ISBLANK(INDEX(big_daily_table,MATCH(DATE(X$5,$J42,$I42),daily_dates,0),MATCH($B$3,daily_items,0))),NA(),INDEX(big_daily_table,MATCH(DATE(X$5,$J42,$I42),daily_dates,0),MATCH($B$3,daily_items,0)))</f>
        <v>#N/A</v>
      </c>
      <c r="Y42" s="1" t="e">
        <f aca="false">IF(ISBLANK(INDEX(big_daily_table,MATCH(DATE(Y$5,$J42,$I42),daily_dates,0),MATCH($B$3,daily_items,0))),NA(),INDEX(big_daily_table,MATCH(DATE(Y$5,$J42,$I42),daily_dates,0),MATCH($B$3,daily_items,0)))</f>
        <v>#N/A</v>
      </c>
      <c r="Z42" s="1" t="n">
        <f aca="true">_xlfn.AGGREGATE(5,6,OFFSET($R$5,H42,0,1,$J$2))</f>
        <v>0</v>
      </c>
      <c r="AA42" s="1" t="n">
        <f aca="true">_xlfn.AGGREGATE(4,6,OFFSET($R$5,H42,0,1,$J$2))</f>
        <v>0</v>
      </c>
      <c r="AB42" s="1" t="n">
        <f aca="false">AA42-Z42</f>
        <v>0</v>
      </c>
      <c r="AC42" s="1" t="e">
        <f aca="true">_xlfn.AGGREGATE(1,6,OFFSET($R$5,H42,0,1,$J$2))</f>
        <v>#DIV/0!</v>
      </c>
    </row>
    <row r="43" customFormat="false" ht="14.25" hidden="false" customHeight="false" outlineLevel="0" collapsed="false">
      <c r="H43" s="1" t="n">
        <f aca="false">H42+1</f>
        <v>38</v>
      </c>
      <c r="I43" s="1" t="n">
        <f aca="false">DAY(K43)</f>
        <v>7</v>
      </c>
      <c r="J43" s="1" t="n">
        <f aca="false">MONTH(K43)</f>
        <v>2</v>
      </c>
      <c r="K43" s="23" t="n">
        <f aca="false">K42+1</f>
        <v>36563</v>
      </c>
      <c r="L43" s="24" t="n">
        <f aca="true">IF(TODAY()&lt;DATE($N$5,J43,I43),1000000,-1000000)</f>
        <v>-1000000</v>
      </c>
      <c r="M43" s="1" t="e">
        <f aca="false">IF(K43&gt;0,INDEX(big_daily_table,MATCH(DATE(N$5,$J43,$I43),daily_dates,0),MATCH($B$3,daily_items,0)),NA())</f>
        <v>#N/A</v>
      </c>
      <c r="N43" s="1" t="e">
        <f aca="false">IF(L43&lt;0,INDEX(big_daily_table,MATCH(DATE(N$5,$J43,$I43),daily_dates,0),MATCH($B$3,daily_items,0)),NA())</f>
        <v>#N/A</v>
      </c>
      <c r="O43" s="1" t="e">
        <f aca="false">IF(ISBLANK(INDEX(big_daily_table,MATCH(DATE(O$5,$J43,$I43),daily_dates,0),MATCH($B$3,daily_items,0))),NA(),INDEX(big_daily_table,MATCH(DATE(O$5,$J43,$I43),daily_dates,0),MATCH($B$3,daily_items,0)))</f>
        <v>#N/A</v>
      </c>
      <c r="P43" s="1" t="e">
        <f aca="false">IF(ISBLANK(INDEX(big_daily_table,MATCH(DATE(P$5,$J43,$I43),daily_dates,0),MATCH($B$3,daily_items,0))),NA(),INDEX(big_daily_table,MATCH(DATE(P$5,$J43,$I43),daily_dates,0),MATCH($B$3,daily_items,0)))</f>
        <v>#N/A</v>
      </c>
      <c r="Q43" s="1" t="e">
        <f aca="false">IF(ISBLANK(INDEX(big_daily_table,MATCH(DATE(Q$5,$J43,$I43),daily_dates,0),MATCH($B$3,daily_items,0))),NA(),INDEX(big_daily_table,MATCH(DATE(Q$5,$J43,$I43),daily_dates,0),MATCH($B$3,daily_items,0)))</f>
        <v>#N/A</v>
      </c>
      <c r="R43" s="1" t="e">
        <f aca="false">IF(ISBLANK(INDEX(big_daily_table,MATCH(DATE(R$5,$J43,$I43),daily_dates,0),MATCH($B$3,daily_items,0))),NA(),INDEX(big_daily_table,MATCH(DATE(R$5,$J43,$I43),daily_dates,0),MATCH($B$3,daily_items,0)))</f>
        <v>#N/A</v>
      </c>
      <c r="S43" s="1" t="e">
        <f aca="false">IF(ISBLANK(INDEX(big_daily_table,MATCH(DATE(S$5,$J43,$I43),daily_dates,0),MATCH($B$3,daily_items,0))),NA(),INDEX(big_daily_table,MATCH(DATE(S$5,$J43,$I43),daily_dates,0),MATCH($B$3,daily_items,0)))</f>
        <v>#N/A</v>
      </c>
      <c r="T43" s="1" t="e">
        <f aca="false">IF(ISBLANK(INDEX(big_daily_table,MATCH(DATE(T$5,$J43,$I43),daily_dates,0),MATCH($B$3,daily_items,0))),NA(),INDEX(big_daily_table,MATCH(DATE(T$5,$J43,$I43),daily_dates,0),MATCH($B$3,daily_items,0)))</f>
        <v>#N/A</v>
      </c>
      <c r="U43" s="1" t="e">
        <f aca="false">IF(ISBLANK(INDEX(big_daily_table,MATCH(DATE(U$5,$J43,$I43),daily_dates,0),MATCH($B$3,daily_items,0))),NA(),INDEX(big_daily_table,MATCH(DATE(U$5,$J43,$I43),daily_dates,0),MATCH($B$3,daily_items,0)))</f>
        <v>#N/A</v>
      </c>
      <c r="V43" s="1" t="e">
        <f aca="false">IF(ISBLANK(INDEX(big_daily_table,MATCH(DATE(V$5,$J43,$I43),daily_dates,0),MATCH($B$3,daily_items,0))),NA(),INDEX(big_daily_table,MATCH(DATE(V$5,$J43,$I43),daily_dates,0),MATCH($B$3,daily_items,0)))</f>
        <v>#N/A</v>
      </c>
      <c r="W43" s="1" t="e">
        <f aca="false">IF(ISBLANK(INDEX(big_daily_table,MATCH(DATE(W$5,$J43,$I43),daily_dates,0),MATCH($B$3,daily_items,0))),NA(),INDEX(big_daily_table,MATCH(DATE(W$5,$J43,$I43),daily_dates,0),MATCH($B$3,daily_items,0)))</f>
        <v>#N/A</v>
      </c>
      <c r="X43" s="1" t="e">
        <f aca="false">IF(ISBLANK(INDEX(big_daily_table,MATCH(DATE(X$5,$J43,$I43),daily_dates,0),MATCH($B$3,daily_items,0))),NA(),INDEX(big_daily_table,MATCH(DATE(X$5,$J43,$I43),daily_dates,0),MATCH($B$3,daily_items,0)))</f>
        <v>#N/A</v>
      </c>
      <c r="Y43" s="1" t="e">
        <f aca="false">IF(ISBLANK(INDEX(big_daily_table,MATCH(DATE(Y$5,$J43,$I43),daily_dates,0),MATCH($B$3,daily_items,0))),NA(),INDEX(big_daily_table,MATCH(DATE(Y$5,$J43,$I43),daily_dates,0),MATCH($B$3,daily_items,0)))</f>
        <v>#N/A</v>
      </c>
      <c r="Z43" s="1" t="n">
        <f aca="true">_xlfn.AGGREGATE(5,6,OFFSET($R$5,H43,0,1,$J$2))</f>
        <v>0</v>
      </c>
      <c r="AA43" s="1" t="n">
        <f aca="true">_xlfn.AGGREGATE(4,6,OFFSET($R$5,H43,0,1,$J$2))</f>
        <v>0</v>
      </c>
      <c r="AB43" s="1" t="n">
        <f aca="false">AA43-Z43</f>
        <v>0</v>
      </c>
      <c r="AC43" s="1" t="e">
        <f aca="true">_xlfn.AGGREGATE(1,6,OFFSET($R$5,H43,0,1,$J$2))</f>
        <v>#DIV/0!</v>
      </c>
    </row>
    <row r="44" customFormat="false" ht="14.25" hidden="false" customHeight="false" outlineLevel="0" collapsed="false">
      <c r="H44" s="1" t="n">
        <f aca="false">H43+1</f>
        <v>39</v>
      </c>
      <c r="I44" s="1" t="n">
        <f aca="false">DAY(K44)</f>
        <v>8</v>
      </c>
      <c r="J44" s="1" t="n">
        <f aca="false">MONTH(K44)</f>
        <v>2</v>
      </c>
      <c r="K44" s="23" t="n">
        <f aca="false">K43+1</f>
        <v>36564</v>
      </c>
      <c r="L44" s="24" t="n">
        <f aca="true">IF(TODAY()&lt;DATE($N$5,J44,I44),1000000,-1000000)</f>
        <v>-1000000</v>
      </c>
      <c r="M44" s="1" t="e">
        <f aca="false">IF(K44&gt;0,INDEX(big_daily_table,MATCH(DATE(N$5,$J44,$I44),daily_dates,0),MATCH($B$3,daily_items,0)),NA())</f>
        <v>#N/A</v>
      </c>
      <c r="N44" s="1" t="e">
        <f aca="false">IF(L44&lt;0,INDEX(big_daily_table,MATCH(DATE(N$5,$J44,$I44),daily_dates,0),MATCH($B$3,daily_items,0)),NA())</f>
        <v>#N/A</v>
      </c>
      <c r="O44" s="1" t="e">
        <f aca="false">IF(ISBLANK(INDEX(big_daily_table,MATCH(DATE(O$5,$J44,$I44),daily_dates,0),MATCH($B$3,daily_items,0))),NA(),INDEX(big_daily_table,MATCH(DATE(O$5,$J44,$I44),daily_dates,0),MATCH($B$3,daily_items,0)))</f>
        <v>#N/A</v>
      </c>
      <c r="P44" s="1" t="e">
        <f aca="false">IF(ISBLANK(INDEX(big_daily_table,MATCH(DATE(P$5,$J44,$I44),daily_dates,0),MATCH($B$3,daily_items,0))),NA(),INDEX(big_daily_table,MATCH(DATE(P$5,$J44,$I44),daily_dates,0),MATCH($B$3,daily_items,0)))</f>
        <v>#N/A</v>
      </c>
      <c r="Q44" s="1" t="e">
        <f aca="false">IF(ISBLANK(INDEX(big_daily_table,MATCH(DATE(Q$5,$J44,$I44),daily_dates,0),MATCH($B$3,daily_items,0))),NA(),INDEX(big_daily_table,MATCH(DATE(Q$5,$J44,$I44),daily_dates,0),MATCH($B$3,daily_items,0)))</f>
        <v>#N/A</v>
      </c>
      <c r="R44" s="1" t="e">
        <f aca="false">IF(ISBLANK(INDEX(big_daily_table,MATCH(DATE(R$5,$J44,$I44),daily_dates,0),MATCH($B$3,daily_items,0))),NA(),INDEX(big_daily_table,MATCH(DATE(R$5,$J44,$I44),daily_dates,0),MATCH($B$3,daily_items,0)))</f>
        <v>#N/A</v>
      </c>
      <c r="S44" s="1" t="e">
        <f aca="false">IF(ISBLANK(INDEX(big_daily_table,MATCH(DATE(S$5,$J44,$I44),daily_dates,0),MATCH($B$3,daily_items,0))),NA(),INDEX(big_daily_table,MATCH(DATE(S$5,$J44,$I44),daily_dates,0),MATCH($B$3,daily_items,0)))</f>
        <v>#N/A</v>
      </c>
      <c r="T44" s="1" t="e">
        <f aca="false">IF(ISBLANK(INDEX(big_daily_table,MATCH(DATE(T$5,$J44,$I44),daily_dates,0),MATCH($B$3,daily_items,0))),NA(),INDEX(big_daily_table,MATCH(DATE(T$5,$J44,$I44),daily_dates,0),MATCH($B$3,daily_items,0)))</f>
        <v>#N/A</v>
      </c>
      <c r="U44" s="1" t="e">
        <f aca="false">IF(ISBLANK(INDEX(big_daily_table,MATCH(DATE(U$5,$J44,$I44),daily_dates,0),MATCH($B$3,daily_items,0))),NA(),INDEX(big_daily_table,MATCH(DATE(U$5,$J44,$I44),daily_dates,0),MATCH($B$3,daily_items,0)))</f>
        <v>#N/A</v>
      </c>
      <c r="V44" s="1" t="e">
        <f aca="false">IF(ISBLANK(INDEX(big_daily_table,MATCH(DATE(V$5,$J44,$I44),daily_dates,0),MATCH($B$3,daily_items,0))),NA(),INDEX(big_daily_table,MATCH(DATE(V$5,$J44,$I44),daily_dates,0),MATCH($B$3,daily_items,0)))</f>
        <v>#N/A</v>
      </c>
      <c r="W44" s="1" t="e">
        <f aca="false">IF(ISBLANK(INDEX(big_daily_table,MATCH(DATE(W$5,$J44,$I44),daily_dates,0),MATCH($B$3,daily_items,0))),NA(),INDEX(big_daily_table,MATCH(DATE(W$5,$J44,$I44),daily_dates,0),MATCH($B$3,daily_items,0)))</f>
        <v>#N/A</v>
      </c>
      <c r="X44" s="1" t="e">
        <f aca="false">IF(ISBLANK(INDEX(big_daily_table,MATCH(DATE(X$5,$J44,$I44),daily_dates,0),MATCH($B$3,daily_items,0))),NA(),INDEX(big_daily_table,MATCH(DATE(X$5,$J44,$I44),daily_dates,0),MATCH($B$3,daily_items,0)))</f>
        <v>#N/A</v>
      </c>
      <c r="Y44" s="1" t="e">
        <f aca="false">IF(ISBLANK(INDEX(big_daily_table,MATCH(DATE(Y$5,$J44,$I44),daily_dates,0),MATCH($B$3,daily_items,0))),NA(),INDEX(big_daily_table,MATCH(DATE(Y$5,$J44,$I44),daily_dates,0),MATCH($B$3,daily_items,0)))</f>
        <v>#N/A</v>
      </c>
      <c r="Z44" s="1" t="n">
        <f aca="true">_xlfn.AGGREGATE(5,6,OFFSET($R$5,H44,0,1,$J$2))</f>
        <v>0</v>
      </c>
      <c r="AA44" s="1" t="n">
        <f aca="true">_xlfn.AGGREGATE(4,6,OFFSET($R$5,H44,0,1,$J$2))</f>
        <v>0</v>
      </c>
      <c r="AB44" s="1" t="n">
        <f aca="false">AA44-Z44</f>
        <v>0</v>
      </c>
      <c r="AC44" s="1" t="e">
        <f aca="true">_xlfn.AGGREGATE(1,6,OFFSET($R$5,H44,0,1,$J$2))</f>
        <v>#DIV/0!</v>
      </c>
    </row>
    <row r="45" customFormat="false" ht="14.25" hidden="false" customHeight="false" outlineLevel="0" collapsed="false">
      <c r="H45" s="1" t="n">
        <f aca="false">H44+1</f>
        <v>40</v>
      </c>
      <c r="I45" s="1" t="n">
        <f aca="false">DAY(K45)</f>
        <v>9</v>
      </c>
      <c r="J45" s="1" t="n">
        <f aca="false">MONTH(K45)</f>
        <v>2</v>
      </c>
      <c r="K45" s="23" t="n">
        <f aca="false">K44+1</f>
        <v>36565</v>
      </c>
      <c r="L45" s="24" t="n">
        <f aca="true">IF(TODAY()&lt;DATE($N$5,J45,I45),1000000,-1000000)</f>
        <v>-1000000</v>
      </c>
      <c r="M45" s="1" t="e">
        <f aca="false">IF(K45&gt;0,INDEX(big_daily_table,MATCH(DATE(N$5,$J45,$I45),daily_dates,0),MATCH($B$3,daily_items,0)),NA())</f>
        <v>#N/A</v>
      </c>
      <c r="N45" s="1" t="e">
        <f aca="false">IF(L45&lt;0,INDEX(big_daily_table,MATCH(DATE(N$5,$J45,$I45),daily_dates,0),MATCH($B$3,daily_items,0)),NA())</f>
        <v>#N/A</v>
      </c>
      <c r="O45" s="1" t="e">
        <f aca="false">IF(ISBLANK(INDEX(big_daily_table,MATCH(DATE(O$5,$J45,$I45),daily_dates,0),MATCH($B$3,daily_items,0))),NA(),INDEX(big_daily_table,MATCH(DATE(O$5,$J45,$I45),daily_dates,0),MATCH($B$3,daily_items,0)))</f>
        <v>#N/A</v>
      </c>
      <c r="P45" s="1" t="e">
        <f aca="false">IF(ISBLANK(INDEX(big_daily_table,MATCH(DATE(P$5,$J45,$I45),daily_dates,0),MATCH($B$3,daily_items,0))),NA(),INDEX(big_daily_table,MATCH(DATE(P$5,$J45,$I45),daily_dates,0),MATCH($B$3,daily_items,0)))</f>
        <v>#N/A</v>
      </c>
      <c r="Q45" s="1" t="e">
        <f aca="false">IF(ISBLANK(INDEX(big_daily_table,MATCH(DATE(Q$5,$J45,$I45),daily_dates,0),MATCH($B$3,daily_items,0))),NA(),INDEX(big_daily_table,MATCH(DATE(Q$5,$J45,$I45),daily_dates,0),MATCH($B$3,daily_items,0)))</f>
        <v>#N/A</v>
      </c>
      <c r="R45" s="1" t="e">
        <f aca="false">IF(ISBLANK(INDEX(big_daily_table,MATCH(DATE(R$5,$J45,$I45),daily_dates,0),MATCH($B$3,daily_items,0))),NA(),INDEX(big_daily_table,MATCH(DATE(R$5,$J45,$I45),daily_dates,0),MATCH($B$3,daily_items,0)))</f>
        <v>#N/A</v>
      </c>
      <c r="S45" s="1" t="e">
        <f aca="false">IF(ISBLANK(INDEX(big_daily_table,MATCH(DATE(S$5,$J45,$I45),daily_dates,0),MATCH($B$3,daily_items,0))),NA(),INDEX(big_daily_table,MATCH(DATE(S$5,$J45,$I45),daily_dates,0),MATCH($B$3,daily_items,0)))</f>
        <v>#N/A</v>
      </c>
      <c r="T45" s="1" t="e">
        <f aca="false">IF(ISBLANK(INDEX(big_daily_table,MATCH(DATE(T$5,$J45,$I45),daily_dates,0),MATCH($B$3,daily_items,0))),NA(),INDEX(big_daily_table,MATCH(DATE(T$5,$J45,$I45),daily_dates,0),MATCH($B$3,daily_items,0)))</f>
        <v>#N/A</v>
      </c>
      <c r="U45" s="1" t="e">
        <f aca="false">IF(ISBLANK(INDEX(big_daily_table,MATCH(DATE(U$5,$J45,$I45),daily_dates,0),MATCH($B$3,daily_items,0))),NA(),INDEX(big_daily_table,MATCH(DATE(U$5,$J45,$I45),daily_dates,0),MATCH($B$3,daily_items,0)))</f>
        <v>#N/A</v>
      </c>
      <c r="V45" s="1" t="e">
        <f aca="false">IF(ISBLANK(INDEX(big_daily_table,MATCH(DATE(V$5,$J45,$I45),daily_dates,0),MATCH($B$3,daily_items,0))),NA(),INDEX(big_daily_table,MATCH(DATE(V$5,$J45,$I45),daily_dates,0),MATCH($B$3,daily_items,0)))</f>
        <v>#N/A</v>
      </c>
      <c r="W45" s="1" t="e">
        <f aca="false">IF(ISBLANK(INDEX(big_daily_table,MATCH(DATE(W$5,$J45,$I45),daily_dates,0),MATCH($B$3,daily_items,0))),NA(),INDEX(big_daily_table,MATCH(DATE(W$5,$J45,$I45),daily_dates,0),MATCH($B$3,daily_items,0)))</f>
        <v>#N/A</v>
      </c>
      <c r="X45" s="1" t="e">
        <f aca="false">IF(ISBLANK(INDEX(big_daily_table,MATCH(DATE(X$5,$J45,$I45),daily_dates,0),MATCH($B$3,daily_items,0))),NA(),INDEX(big_daily_table,MATCH(DATE(X$5,$J45,$I45),daily_dates,0),MATCH($B$3,daily_items,0)))</f>
        <v>#N/A</v>
      </c>
      <c r="Y45" s="1" t="e">
        <f aca="false">IF(ISBLANK(INDEX(big_daily_table,MATCH(DATE(Y$5,$J45,$I45),daily_dates,0),MATCH($B$3,daily_items,0))),NA(),INDEX(big_daily_table,MATCH(DATE(Y$5,$J45,$I45),daily_dates,0),MATCH($B$3,daily_items,0)))</f>
        <v>#N/A</v>
      </c>
      <c r="Z45" s="1" t="n">
        <f aca="true">_xlfn.AGGREGATE(5,6,OFFSET($R$5,H45,0,1,$J$2))</f>
        <v>0</v>
      </c>
      <c r="AA45" s="1" t="n">
        <f aca="true">_xlfn.AGGREGATE(4,6,OFFSET($R$5,H45,0,1,$J$2))</f>
        <v>0</v>
      </c>
      <c r="AB45" s="1" t="n">
        <f aca="false">AA45-Z45</f>
        <v>0</v>
      </c>
      <c r="AC45" s="1" t="e">
        <f aca="true">_xlfn.AGGREGATE(1,6,OFFSET($R$5,H45,0,1,$J$2))</f>
        <v>#DIV/0!</v>
      </c>
    </row>
    <row r="46" customFormat="false" ht="14.25" hidden="false" customHeight="false" outlineLevel="0" collapsed="false">
      <c r="H46" s="1" t="n">
        <f aca="false">H45+1</f>
        <v>41</v>
      </c>
      <c r="I46" s="1" t="n">
        <f aca="false">DAY(K46)</f>
        <v>10</v>
      </c>
      <c r="J46" s="1" t="n">
        <f aca="false">MONTH(K46)</f>
        <v>2</v>
      </c>
      <c r="K46" s="23" t="n">
        <f aca="false">K45+1</f>
        <v>36566</v>
      </c>
      <c r="L46" s="24" t="n">
        <f aca="true">IF(TODAY()&lt;DATE($N$5,J46,I46),1000000,-1000000)</f>
        <v>-1000000</v>
      </c>
      <c r="M46" s="1" t="e">
        <f aca="false">IF(K46&gt;0,INDEX(big_daily_table,MATCH(DATE(N$5,$J46,$I46),daily_dates,0),MATCH($B$3,daily_items,0)),NA())</f>
        <v>#N/A</v>
      </c>
      <c r="N46" s="1" t="e">
        <f aca="false">IF(L46&lt;0,INDEX(big_daily_table,MATCH(DATE(N$5,$J46,$I46),daily_dates,0),MATCH($B$3,daily_items,0)),NA())</f>
        <v>#N/A</v>
      </c>
      <c r="O46" s="1" t="e">
        <f aca="false">IF(ISBLANK(INDEX(big_daily_table,MATCH(DATE(O$5,$J46,$I46),daily_dates,0),MATCH($B$3,daily_items,0))),NA(),INDEX(big_daily_table,MATCH(DATE(O$5,$J46,$I46),daily_dates,0),MATCH($B$3,daily_items,0)))</f>
        <v>#N/A</v>
      </c>
      <c r="P46" s="1" t="e">
        <f aca="false">IF(ISBLANK(INDEX(big_daily_table,MATCH(DATE(P$5,$J46,$I46),daily_dates,0),MATCH($B$3,daily_items,0))),NA(),INDEX(big_daily_table,MATCH(DATE(P$5,$J46,$I46),daily_dates,0),MATCH($B$3,daily_items,0)))</f>
        <v>#N/A</v>
      </c>
      <c r="Q46" s="1" t="e">
        <f aca="false">IF(ISBLANK(INDEX(big_daily_table,MATCH(DATE(Q$5,$J46,$I46),daily_dates,0),MATCH($B$3,daily_items,0))),NA(),INDEX(big_daily_table,MATCH(DATE(Q$5,$J46,$I46),daily_dates,0),MATCH($B$3,daily_items,0)))</f>
        <v>#N/A</v>
      </c>
      <c r="R46" s="1" t="e">
        <f aca="false">IF(ISBLANK(INDEX(big_daily_table,MATCH(DATE(R$5,$J46,$I46),daily_dates,0),MATCH($B$3,daily_items,0))),NA(),INDEX(big_daily_table,MATCH(DATE(R$5,$J46,$I46),daily_dates,0),MATCH($B$3,daily_items,0)))</f>
        <v>#N/A</v>
      </c>
      <c r="S46" s="1" t="e">
        <f aca="false">IF(ISBLANK(INDEX(big_daily_table,MATCH(DATE(S$5,$J46,$I46),daily_dates,0),MATCH($B$3,daily_items,0))),NA(),INDEX(big_daily_table,MATCH(DATE(S$5,$J46,$I46),daily_dates,0),MATCH($B$3,daily_items,0)))</f>
        <v>#N/A</v>
      </c>
      <c r="T46" s="1" t="e">
        <f aca="false">IF(ISBLANK(INDEX(big_daily_table,MATCH(DATE(T$5,$J46,$I46),daily_dates,0),MATCH($B$3,daily_items,0))),NA(),INDEX(big_daily_table,MATCH(DATE(T$5,$J46,$I46),daily_dates,0),MATCH($B$3,daily_items,0)))</f>
        <v>#N/A</v>
      </c>
      <c r="U46" s="1" t="e">
        <f aca="false">IF(ISBLANK(INDEX(big_daily_table,MATCH(DATE(U$5,$J46,$I46),daily_dates,0),MATCH($B$3,daily_items,0))),NA(),INDEX(big_daily_table,MATCH(DATE(U$5,$J46,$I46),daily_dates,0),MATCH($B$3,daily_items,0)))</f>
        <v>#N/A</v>
      </c>
      <c r="V46" s="1" t="e">
        <f aca="false">IF(ISBLANK(INDEX(big_daily_table,MATCH(DATE(V$5,$J46,$I46),daily_dates,0),MATCH($B$3,daily_items,0))),NA(),INDEX(big_daily_table,MATCH(DATE(V$5,$J46,$I46),daily_dates,0),MATCH($B$3,daily_items,0)))</f>
        <v>#N/A</v>
      </c>
      <c r="W46" s="1" t="e">
        <f aca="false">IF(ISBLANK(INDEX(big_daily_table,MATCH(DATE(W$5,$J46,$I46),daily_dates,0),MATCH($B$3,daily_items,0))),NA(),INDEX(big_daily_table,MATCH(DATE(W$5,$J46,$I46),daily_dates,0),MATCH($B$3,daily_items,0)))</f>
        <v>#N/A</v>
      </c>
      <c r="X46" s="1" t="e">
        <f aca="false">IF(ISBLANK(INDEX(big_daily_table,MATCH(DATE(X$5,$J46,$I46),daily_dates,0),MATCH($B$3,daily_items,0))),NA(),INDEX(big_daily_table,MATCH(DATE(X$5,$J46,$I46),daily_dates,0),MATCH($B$3,daily_items,0)))</f>
        <v>#N/A</v>
      </c>
      <c r="Y46" s="1" t="e">
        <f aca="false">IF(ISBLANK(INDEX(big_daily_table,MATCH(DATE(Y$5,$J46,$I46),daily_dates,0),MATCH($B$3,daily_items,0))),NA(),INDEX(big_daily_table,MATCH(DATE(Y$5,$J46,$I46),daily_dates,0),MATCH($B$3,daily_items,0)))</f>
        <v>#N/A</v>
      </c>
      <c r="Z46" s="1" t="n">
        <f aca="true">_xlfn.AGGREGATE(5,6,OFFSET($R$5,H46,0,1,$J$2))</f>
        <v>0</v>
      </c>
      <c r="AA46" s="1" t="n">
        <f aca="true">_xlfn.AGGREGATE(4,6,OFFSET($R$5,H46,0,1,$J$2))</f>
        <v>0</v>
      </c>
      <c r="AB46" s="1" t="n">
        <f aca="false">AA46-Z46</f>
        <v>0</v>
      </c>
      <c r="AC46" s="1" t="e">
        <f aca="true">_xlfn.AGGREGATE(1,6,OFFSET($R$5,H46,0,1,$J$2))</f>
        <v>#DIV/0!</v>
      </c>
    </row>
    <row r="47" customFormat="false" ht="14.25" hidden="false" customHeight="false" outlineLevel="0" collapsed="false">
      <c r="H47" s="1" t="n">
        <f aca="false">H46+1</f>
        <v>42</v>
      </c>
      <c r="I47" s="1" t="n">
        <f aca="false">DAY(K47)</f>
        <v>11</v>
      </c>
      <c r="J47" s="1" t="n">
        <f aca="false">MONTH(K47)</f>
        <v>2</v>
      </c>
      <c r="K47" s="23" t="n">
        <f aca="false">K46+1</f>
        <v>36567</v>
      </c>
      <c r="L47" s="24" t="n">
        <f aca="true">IF(TODAY()&lt;DATE($N$5,J47,I47),1000000,-1000000)</f>
        <v>-1000000</v>
      </c>
      <c r="M47" s="1" t="e">
        <f aca="false">IF(K47&gt;0,INDEX(big_daily_table,MATCH(DATE(N$5,$J47,$I47),daily_dates,0),MATCH($B$3,daily_items,0)),NA())</f>
        <v>#N/A</v>
      </c>
      <c r="N47" s="1" t="e">
        <f aca="false">IF(L47&lt;0,INDEX(big_daily_table,MATCH(DATE(N$5,$J47,$I47),daily_dates,0),MATCH($B$3,daily_items,0)),NA())</f>
        <v>#N/A</v>
      </c>
      <c r="O47" s="1" t="e">
        <f aca="false">IF(ISBLANK(INDEX(big_daily_table,MATCH(DATE(O$5,$J47,$I47),daily_dates,0),MATCH($B$3,daily_items,0))),NA(),INDEX(big_daily_table,MATCH(DATE(O$5,$J47,$I47),daily_dates,0),MATCH($B$3,daily_items,0)))</f>
        <v>#N/A</v>
      </c>
      <c r="P47" s="1" t="e">
        <f aca="false">IF(ISBLANK(INDEX(big_daily_table,MATCH(DATE(P$5,$J47,$I47),daily_dates,0),MATCH($B$3,daily_items,0))),NA(),INDEX(big_daily_table,MATCH(DATE(P$5,$J47,$I47),daily_dates,0),MATCH($B$3,daily_items,0)))</f>
        <v>#N/A</v>
      </c>
      <c r="Q47" s="1" t="e">
        <f aca="false">IF(ISBLANK(INDEX(big_daily_table,MATCH(DATE(Q$5,$J47,$I47),daily_dates,0),MATCH($B$3,daily_items,0))),NA(),INDEX(big_daily_table,MATCH(DATE(Q$5,$J47,$I47),daily_dates,0),MATCH($B$3,daily_items,0)))</f>
        <v>#N/A</v>
      </c>
      <c r="R47" s="1" t="e">
        <f aca="false">IF(ISBLANK(INDEX(big_daily_table,MATCH(DATE(R$5,$J47,$I47),daily_dates,0),MATCH($B$3,daily_items,0))),NA(),INDEX(big_daily_table,MATCH(DATE(R$5,$J47,$I47),daily_dates,0),MATCH($B$3,daily_items,0)))</f>
        <v>#N/A</v>
      </c>
      <c r="S47" s="1" t="e">
        <f aca="false">IF(ISBLANK(INDEX(big_daily_table,MATCH(DATE(S$5,$J47,$I47),daily_dates,0),MATCH($B$3,daily_items,0))),NA(),INDEX(big_daily_table,MATCH(DATE(S$5,$J47,$I47),daily_dates,0),MATCH($B$3,daily_items,0)))</f>
        <v>#N/A</v>
      </c>
      <c r="T47" s="1" t="e">
        <f aca="false">IF(ISBLANK(INDEX(big_daily_table,MATCH(DATE(T$5,$J47,$I47),daily_dates,0),MATCH($B$3,daily_items,0))),NA(),INDEX(big_daily_table,MATCH(DATE(T$5,$J47,$I47),daily_dates,0),MATCH($B$3,daily_items,0)))</f>
        <v>#N/A</v>
      </c>
      <c r="U47" s="1" t="e">
        <f aca="false">IF(ISBLANK(INDEX(big_daily_table,MATCH(DATE(U$5,$J47,$I47),daily_dates,0),MATCH($B$3,daily_items,0))),NA(),INDEX(big_daily_table,MATCH(DATE(U$5,$J47,$I47),daily_dates,0),MATCH($B$3,daily_items,0)))</f>
        <v>#N/A</v>
      </c>
      <c r="V47" s="1" t="e">
        <f aca="false">IF(ISBLANK(INDEX(big_daily_table,MATCH(DATE(V$5,$J47,$I47),daily_dates,0),MATCH($B$3,daily_items,0))),NA(),INDEX(big_daily_table,MATCH(DATE(V$5,$J47,$I47),daily_dates,0),MATCH($B$3,daily_items,0)))</f>
        <v>#N/A</v>
      </c>
      <c r="W47" s="1" t="e">
        <f aca="false">IF(ISBLANK(INDEX(big_daily_table,MATCH(DATE(W$5,$J47,$I47),daily_dates,0),MATCH($B$3,daily_items,0))),NA(),INDEX(big_daily_table,MATCH(DATE(W$5,$J47,$I47),daily_dates,0),MATCH($B$3,daily_items,0)))</f>
        <v>#N/A</v>
      </c>
      <c r="X47" s="1" t="e">
        <f aca="false">IF(ISBLANK(INDEX(big_daily_table,MATCH(DATE(X$5,$J47,$I47),daily_dates,0),MATCH($B$3,daily_items,0))),NA(),INDEX(big_daily_table,MATCH(DATE(X$5,$J47,$I47),daily_dates,0),MATCH($B$3,daily_items,0)))</f>
        <v>#N/A</v>
      </c>
      <c r="Y47" s="1" t="e">
        <f aca="false">IF(ISBLANK(INDEX(big_daily_table,MATCH(DATE(Y$5,$J47,$I47),daily_dates,0),MATCH($B$3,daily_items,0))),NA(),INDEX(big_daily_table,MATCH(DATE(Y$5,$J47,$I47),daily_dates,0),MATCH($B$3,daily_items,0)))</f>
        <v>#N/A</v>
      </c>
      <c r="Z47" s="1" t="n">
        <f aca="true">_xlfn.AGGREGATE(5,6,OFFSET($R$5,H47,0,1,$J$2))</f>
        <v>0</v>
      </c>
      <c r="AA47" s="1" t="n">
        <f aca="true">_xlfn.AGGREGATE(4,6,OFFSET($R$5,H47,0,1,$J$2))</f>
        <v>0</v>
      </c>
      <c r="AB47" s="1" t="n">
        <f aca="false">AA47-Z47</f>
        <v>0</v>
      </c>
      <c r="AC47" s="1" t="e">
        <f aca="true">_xlfn.AGGREGATE(1,6,OFFSET($R$5,H47,0,1,$J$2))</f>
        <v>#DIV/0!</v>
      </c>
    </row>
    <row r="48" customFormat="false" ht="14.25" hidden="false" customHeight="false" outlineLevel="0" collapsed="false">
      <c r="H48" s="1" t="n">
        <f aca="false">H47+1</f>
        <v>43</v>
      </c>
      <c r="I48" s="1" t="n">
        <f aca="false">DAY(K48)</f>
        <v>12</v>
      </c>
      <c r="J48" s="1" t="n">
        <f aca="false">MONTH(K48)</f>
        <v>2</v>
      </c>
      <c r="K48" s="23" t="n">
        <f aca="false">K47+1</f>
        <v>36568</v>
      </c>
      <c r="L48" s="24" t="n">
        <f aca="true">IF(TODAY()&lt;DATE($N$5,J48,I48),1000000,-1000000)</f>
        <v>-1000000</v>
      </c>
      <c r="M48" s="1" t="e">
        <f aca="false">IF(K48&gt;0,INDEX(big_daily_table,MATCH(DATE(N$5,$J48,$I48),daily_dates,0),MATCH($B$3,daily_items,0)),NA())</f>
        <v>#N/A</v>
      </c>
      <c r="N48" s="1" t="e">
        <f aca="false">IF(L48&lt;0,INDEX(big_daily_table,MATCH(DATE(N$5,$J48,$I48),daily_dates,0),MATCH($B$3,daily_items,0)),NA())</f>
        <v>#N/A</v>
      </c>
      <c r="O48" s="1" t="e">
        <f aca="false">IF(ISBLANK(INDEX(big_daily_table,MATCH(DATE(O$5,$J48,$I48),daily_dates,0),MATCH($B$3,daily_items,0))),NA(),INDEX(big_daily_table,MATCH(DATE(O$5,$J48,$I48),daily_dates,0),MATCH($B$3,daily_items,0)))</f>
        <v>#N/A</v>
      </c>
      <c r="P48" s="1" t="e">
        <f aca="false">IF(ISBLANK(INDEX(big_daily_table,MATCH(DATE(P$5,$J48,$I48),daily_dates,0),MATCH($B$3,daily_items,0))),NA(),INDEX(big_daily_table,MATCH(DATE(P$5,$J48,$I48),daily_dates,0),MATCH($B$3,daily_items,0)))</f>
        <v>#N/A</v>
      </c>
      <c r="Q48" s="1" t="e">
        <f aca="false">IF(ISBLANK(INDEX(big_daily_table,MATCH(DATE(Q$5,$J48,$I48),daily_dates,0),MATCH($B$3,daily_items,0))),NA(),INDEX(big_daily_table,MATCH(DATE(Q$5,$J48,$I48),daily_dates,0),MATCH($B$3,daily_items,0)))</f>
        <v>#N/A</v>
      </c>
      <c r="R48" s="1" t="e">
        <f aca="false">IF(ISBLANK(INDEX(big_daily_table,MATCH(DATE(R$5,$J48,$I48),daily_dates,0),MATCH($B$3,daily_items,0))),NA(),INDEX(big_daily_table,MATCH(DATE(R$5,$J48,$I48),daily_dates,0),MATCH($B$3,daily_items,0)))</f>
        <v>#N/A</v>
      </c>
      <c r="S48" s="1" t="e">
        <f aca="false">IF(ISBLANK(INDEX(big_daily_table,MATCH(DATE(S$5,$J48,$I48),daily_dates,0),MATCH($B$3,daily_items,0))),NA(),INDEX(big_daily_table,MATCH(DATE(S$5,$J48,$I48),daily_dates,0),MATCH($B$3,daily_items,0)))</f>
        <v>#N/A</v>
      </c>
      <c r="T48" s="1" t="e">
        <f aca="false">IF(ISBLANK(INDEX(big_daily_table,MATCH(DATE(T$5,$J48,$I48),daily_dates,0),MATCH($B$3,daily_items,0))),NA(),INDEX(big_daily_table,MATCH(DATE(T$5,$J48,$I48),daily_dates,0),MATCH($B$3,daily_items,0)))</f>
        <v>#N/A</v>
      </c>
      <c r="U48" s="1" t="e">
        <f aca="false">IF(ISBLANK(INDEX(big_daily_table,MATCH(DATE(U$5,$J48,$I48),daily_dates,0),MATCH($B$3,daily_items,0))),NA(),INDEX(big_daily_table,MATCH(DATE(U$5,$J48,$I48),daily_dates,0),MATCH($B$3,daily_items,0)))</f>
        <v>#N/A</v>
      </c>
      <c r="V48" s="1" t="e">
        <f aca="false">IF(ISBLANK(INDEX(big_daily_table,MATCH(DATE(V$5,$J48,$I48),daily_dates,0),MATCH($B$3,daily_items,0))),NA(),INDEX(big_daily_table,MATCH(DATE(V$5,$J48,$I48),daily_dates,0),MATCH($B$3,daily_items,0)))</f>
        <v>#N/A</v>
      </c>
      <c r="W48" s="1" t="e">
        <f aca="false">IF(ISBLANK(INDEX(big_daily_table,MATCH(DATE(W$5,$J48,$I48),daily_dates,0),MATCH($B$3,daily_items,0))),NA(),INDEX(big_daily_table,MATCH(DATE(W$5,$J48,$I48),daily_dates,0),MATCH($B$3,daily_items,0)))</f>
        <v>#N/A</v>
      </c>
      <c r="X48" s="1" t="e">
        <f aca="false">IF(ISBLANK(INDEX(big_daily_table,MATCH(DATE(X$5,$J48,$I48),daily_dates,0),MATCH($B$3,daily_items,0))),NA(),INDEX(big_daily_table,MATCH(DATE(X$5,$J48,$I48),daily_dates,0),MATCH($B$3,daily_items,0)))</f>
        <v>#N/A</v>
      </c>
      <c r="Y48" s="1" t="e">
        <f aca="false">IF(ISBLANK(INDEX(big_daily_table,MATCH(DATE(Y$5,$J48,$I48),daily_dates,0),MATCH($B$3,daily_items,0))),NA(),INDEX(big_daily_table,MATCH(DATE(Y$5,$J48,$I48),daily_dates,0),MATCH($B$3,daily_items,0)))</f>
        <v>#N/A</v>
      </c>
      <c r="Z48" s="1" t="n">
        <f aca="true">_xlfn.AGGREGATE(5,6,OFFSET($R$5,H48,0,1,$J$2))</f>
        <v>0</v>
      </c>
      <c r="AA48" s="1" t="n">
        <f aca="true">_xlfn.AGGREGATE(4,6,OFFSET($R$5,H48,0,1,$J$2))</f>
        <v>0</v>
      </c>
      <c r="AB48" s="1" t="n">
        <f aca="false">AA48-Z48</f>
        <v>0</v>
      </c>
      <c r="AC48" s="1" t="e">
        <f aca="true">_xlfn.AGGREGATE(1,6,OFFSET($R$5,H48,0,1,$J$2))</f>
        <v>#DIV/0!</v>
      </c>
    </row>
    <row r="49" customFormat="false" ht="14.25" hidden="false" customHeight="false" outlineLevel="0" collapsed="false">
      <c r="H49" s="1" t="n">
        <f aca="false">H48+1</f>
        <v>44</v>
      </c>
      <c r="I49" s="1" t="n">
        <f aca="false">DAY(K49)</f>
        <v>13</v>
      </c>
      <c r="J49" s="1" t="n">
        <f aca="false">MONTH(K49)</f>
        <v>2</v>
      </c>
      <c r="K49" s="23" t="n">
        <f aca="false">K48+1</f>
        <v>36569</v>
      </c>
      <c r="L49" s="24" t="n">
        <f aca="true">IF(TODAY()&lt;DATE($N$5,J49,I49),1000000,-1000000)</f>
        <v>-1000000</v>
      </c>
      <c r="M49" s="1" t="e">
        <f aca="false">IF(K49&gt;0,INDEX(big_daily_table,MATCH(DATE(N$5,$J49,$I49),daily_dates,0),MATCH($B$3,daily_items,0)),NA())</f>
        <v>#N/A</v>
      </c>
      <c r="N49" s="1" t="e">
        <f aca="false">IF(L49&lt;0,INDEX(big_daily_table,MATCH(DATE(N$5,$J49,$I49),daily_dates,0),MATCH($B$3,daily_items,0)),NA())</f>
        <v>#N/A</v>
      </c>
      <c r="O49" s="1" t="e">
        <f aca="false">IF(ISBLANK(INDEX(big_daily_table,MATCH(DATE(O$5,$J49,$I49),daily_dates,0),MATCH($B$3,daily_items,0))),NA(),INDEX(big_daily_table,MATCH(DATE(O$5,$J49,$I49),daily_dates,0),MATCH($B$3,daily_items,0)))</f>
        <v>#N/A</v>
      </c>
      <c r="P49" s="1" t="e">
        <f aca="false">IF(ISBLANK(INDEX(big_daily_table,MATCH(DATE(P$5,$J49,$I49),daily_dates,0),MATCH($B$3,daily_items,0))),NA(),INDEX(big_daily_table,MATCH(DATE(P$5,$J49,$I49),daily_dates,0),MATCH($B$3,daily_items,0)))</f>
        <v>#N/A</v>
      </c>
      <c r="Q49" s="1" t="e">
        <f aca="false">IF(ISBLANK(INDEX(big_daily_table,MATCH(DATE(Q$5,$J49,$I49),daily_dates,0),MATCH($B$3,daily_items,0))),NA(),INDEX(big_daily_table,MATCH(DATE(Q$5,$J49,$I49),daily_dates,0),MATCH($B$3,daily_items,0)))</f>
        <v>#N/A</v>
      </c>
      <c r="R49" s="1" t="e">
        <f aca="false">IF(ISBLANK(INDEX(big_daily_table,MATCH(DATE(R$5,$J49,$I49),daily_dates,0),MATCH($B$3,daily_items,0))),NA(),INDEX(big_daily_table,MATCH(DATE(R$5,$J49,$I49),daily_dates,0),MATCH($B$3,daily_items,0)))</f>
        <v>#N/A</v>
      </c>
      <c r="S49" s="1" t="e">
        <f aca="false">IF(ISBLANK(INDEX(big_daily_table,MATCH(DATE(S$5,$J49,$I49),daily_dates,0),MATCH($B$3,daily_items,0))),NA(),INDEX(big_daily_table,MATCH(DATE(S$5,$J49,$I49),daily_dates,0),MATCH($B$3,daily_items,0)))</f>
        <v>#N/A</v>
      </c>
      <c r="T49" s="1" t="e">
        <f aca="false">IF(ISBLANK(INDEX(big_daily_table,MATCH(DATE(T$5,$J49,$I49),daily_dates,0),MATCH($B$3,daily_items,0))),NA(),INDEX(big_daily_table,MATCH(DATE(T$5,$J49,$I49),daily_dates,0),MATCH($B$3,daily_items,0)))</f>
        <v>#N/A</v>
      </c>
      <c r="U49" s="1" t="e">
        <f aca="false">IF(ISBLANK(INDEX(big_daily_table,MATCH(DATE(U$5,$J49,$I49),daily_dates,0),MATCH($B$3,daily_items,0))),NA(),INDEX(big_daily_table,MATCH(DATE(U$5,$J49,$I49),daily_dates,0),MATCH($B$3,daily_items,0)))</f>
        <v>#N/A</v>
      </c>
      <c r="V49" s="1" t="e">
        <f aca="false">IF(ISBLANK(INDEX(big_daily_table,MATCH(DATE(V$5,$J49,$I49),daily_dates,0),MATCH($B$3,daily_items,0))),NA(),INDEX(big_daily_table,MATCH(DATE(V$5,$J49,$I49),daily_dates,0),MATCH($B$3,daily_items,0)))</f>
        <v>#N/A</v>
      </c>
      <c r="W49" s="1" t="e">
        <f aca="false">IF(ISBLANK(INDEX(big_daily_table,MATCH(DATE(W$5,$J49,$I49),daily_dates,0),MATCH($B$3,daily_items,0))),NA(),INDEX(big_daily_table,MATCH(DATE(W$5,$J49,$I49),daily_dates,0),MATCH($B$3,daily_items,0)))</f>
        <v>#N/A</v>
      </c>
      <c r="X49" s="1" t="e">
        <f aca="false">IF(ISBLANK(INDEX(big_daily_table,MATCH(DATE(X$5,$J49,$I49),daily_dates,0),MATCH($B$3,daily_items,0))),NA(),INDEX(big_daily_table,MATCH(DATE(X$5,$J49,$I49),daily_dates,0),MATCH($B$3,daily_items,0)))</f>
        <v>#N/A</v>
      </c>
      <c r="Y49" s="1" t="e">
        <f aca="false">IF(ISBLANK(INDEX(big_daily_table,MATCH(DATE(Y$5,$J49,$I49),daily_dates,0),MATCH($B$3,daily_items,0))),NA(),INDEX(big_daily_table,MATCH(DATE(Y$5,$J49,$I49),daily_dates,0),MATCH($B$3,daily_items,0)))</f>
        <v>#N/A</v>
      </c>
      <c r="Z49" s="1" t="n">
        <f aca="true">_xlfn.AGGREGATE(5,6,OFFSET($R$5,H49,0,1,$J$2))</f>
        <v>0</v>
      </c>
      <c r="AA49" s="1" t="n">
        <f aca="true">_xlfn.AGGREGATE(4,6,OFFSET($R$5,H49,0,1,$J$2))</f>
        <v>0</v>
      </c>
      <c r="AB49" s="1" t="n">
        <f aca="false">AA49-Z49</f>
        <v>0</v>
      </c>
      <c r="AC49" s="1" t="e">
        <f aca="true">_xlfn.AGGREGATE(1,6,OFFSET($R$5,H49,0,1,$J$2))</f>
        <v>#DIV/0!</v>
      </c>
    </row>
    <row r="50" customFormat="false" ht="14.25" hidden="false" customHeight="false" outlineLevel="0" collapsed="false">
      <c r="H50" s="1" t="n">
        <f aca="false">H49+1</f>
        <v>45</v>
      </c>
      <c r="I50" s="1" t="n">
        <f aca="false">DAY(K50)</f>
        <v>14</v>
      </c>
      <c r="J50" s="1" t="n">
        <f aca="false">MONTH(K50)</f>
        <v>2</v>
      </c>
      <c r="K50" s="23" t="n">
        <f aca="false">K49+1</f>
        <v>36570</v>
      </c>
      <c r="L50" s="24" t="n">
        <f aca="true">IF(TODAY()&lt;DATE($N$5,J50,I50),1000000,-1000000)</f>
        <v>-1000000</v>
      </c>
      <c r="M50" s="1" t="e">
        <f aca="false">IF(K50&gt;0,INDEX(big_daily_table,MATCH(DATE(N$5,$J50,$I50),daily_dates,0),MATCH($B$3,daily_items,0)),NA())</f>
        <v>#N/A</v>
      </c>
      <c r="N50" s="1" t="e">
        <f aca="false">IF(L50&lt;0,INDEX(big_daily_table,MATCH(DATE(N$5,$J50,$I50),daily_dates,0),MATCH($B$3,daily_items,0)),NA())</f>
        <v>#N/A</v>
      </c>
      <c r="O50" s="1" t="e">
        <f aca="false">IF(ISBLANK(INDEX(big_daily_table,MATCH(DATE(O$5,$J50,$I50),daily_dates,0),MATCH($B$3,daily_items,0))),NA(),INDEX(big_daily_table,MATCH(DATE(O$5,$J50,$I50),daily_dates,0),MATCH($B$3,daily_items,0)))</f>
        <v>#N/A</v>
      </c>
      <c r="P50" s="1" t="e">
        <f aca="false">IF(ISBLANK(INDEX(big_daily_table,MATCH(DATE(P$5,$J50,$I50),daily_dates,0),MATCH($B$3,daily_items,0))),NA(),INDEX(big_daily_table,MATCH(DATE(P$5,$J50,$I50),daily_dates,0),MATCH($B$3,daily_items,0)))</f>
        <v>#N/A</v>
      </c>
      <c r="Q50" s="1" t="e">
        <f aca="false">IF(ISBLANK(INDEX(big_daily_table,MATCH(DATE(Q$5,$J50,$I50),daily_dates,0),MATCH($B$3,daily_items,0))),NA(),INDEX(big_daily_table,MATCH(DATE(Q$5,$J50,$I50),daily_dates,0),MATCH($B$3,daily_items,0)))</f>
        <v>#N/A</v>
      </c>
      <c r="R50" s="1" t="e">
        <f aca="false">IF(ISBLANK(INDEX(big_daily_table,MATCH(DATE(R$5,$J50,$I50),daily_dates,0),MATCH($B$3,daily_items,0))),NA(),INDEX(big_daily_table,MATCH(DATE(R$5,$J50,$I50),daily_dates,0),MATCH($B$3,daily_items,0)))</f>
        <v>#N/A</v>
      </c>
      <c r="S50" s="1" t="e">
        <f aca="false">IF(ISBLANK(INDEX(big_daily_table,MATCH(DATE(S$5,$J50,$I50),daily_dates,0),MATCH($B$3,daily_items,0))),NA(),INDEX(big_daily_table,MATCH(DATE(S$5,$J50,$I50),daily_dates,0),MATCH($B$3,daily_items,0)))</f>
        <v>#N/A</v>
      </c>
      <c r="T50" s="1" t="e">
        <f aca="false">IF(ISBLANK(INDEX(big_daily_table,MATCH(DATE(T$5,$J50,$I50),daily_dates,0),MATCH($B$3,daily_items,0))),NA(),INDEX(big_daily_table,MATCH(DATE(T$5,$J50,$I50),daily_dates,0),MATCH($B$3,daily_items,0)))</f>
        <v>#N/A</v>
      </c>
      <c r="U50" s="1" t="e">
        <f aca="false">IF(ISBLANK(INDEX(big_daily_table,MATCH(DATE(U$5,$J50,$I50),daily_dates,0),MATCH($B$3,daily_items,0))),NA(),INDEX(big_daily_table,MATCH(DATE(U$5,$J50,$I50),daily_dates,0),MATCH($B$3,daily_items,0)))</f>
        <v>#N/A</v>
      </c>
      <c r="V50" s="1" t="e">
        <f aca="false">IF(ISBLANK(INDEX(big_daily_table,MATCH(DATE(V$5,$J50,$I50),daily_dates,0),MATCH($B$3,daily_items,0))),NA(),INDEX(big_daily_table,MATCH(DATE(V$5,$J50,$I50),daily_dates,0),MATCH($B$3,daily_items,0)))</f>
        <v>#N/A</v>
      </c>
      <c r="W50" s="1" t="e">
        <f aca="false">IF(ISBLANK(INDEX(big_daily_table,MATCH(DATE(W$5,$J50,$I50),daily_dates,0),MATCH($B$3,daily_items,0))),NA(),INDEX(big_daily_table,MATCH(DATE(W$5,$J50,$I50),daily_dates,0),MATCH($B$3,daily_items,0)))</f>
        <v>#N/A</v>
      </c>
      <c r="X50" s="1" t="e">
        <f aca="false">IF(ISBLANK(INDEX(big_daily_table,MATCH(DATE(X$5,$J50,$I50),daily_dates,0),MATCH($B$3,daily_items,0))),NA(),INDEX(big_daily_table,MATCH(DATE(X$5,$J50,$I50),daily_dates,0),MATCH($B$3,daily_items,0)))</f>
        <v>#N/A</v>
      </c>
      <c r="Y50" s="1" t="e">
        <f aca="false">IF(ISBLANK(INDEX(big_daily_table,MATCH(DATE(Y$5,$J50,$I50),daily_dates,0),MATCH($B$3,daily_items,0))),NA(),INDEX(big_daily_table,MATCH(DATE(Y$5,$J50,$I50),daily_dates,0),MATCH($B$3,daily_items,0)))</f>
        <v>#N/A</v>
      </c>
      <c r="Z50" s="1" t="n">
        <f aca="true">_xlfn.AGGREGATE(5,6,OFFSET($R$5,H50,0,1,$J$2))</f>
        <v>0</v>
      </c>
      <c r="AA50" s="1" t="n">
        <f aca="true">_xlfn.AGGREGATE(4,6,OFFSET($R$5,H50,0,1,$J$2))</f>
        <v>0</v>
      </c>
      <c r="AB50" s="1" t="n">
        <f aca="false">AA50-Z50</f>
        <v>0</v>
      </c>
      <c r="AC50" s="1" t="e">
        <f aca="true">_xlfn.AGGREGATE(1,6,OFFSET($R$5,H50,0,1,$J$2))</f>
        <v>#DIV/0!</v>
      </c>
    </row>
    <row r="51" customFormat="false" ht="14.25" hidden="false" customHeight="false" outlineLevel="0" collapsed="false">
      <c r="H51" s="1" t="n">
        <f aca="false">H50+1</f>
        <v>46</v>
      </c>
      <c r="I51" s="1" t="n">
        <f aca="false">DAY(K51)</f>
        <v>15</v>
      </c>
      <c r="J51" s="1" t="n">
        <f aca="false">MONTH(K51)</f>
        <v>2</v>
      </c>
      <c r="K51" s="23" t="n">
        <f aca="false">K50+1</f>
        <v>36571</v>
      </c>
      <c r="L51" s="24" t="n">
        <f aca="true">IF(TODAY()&lt;DATE($N$5,J51,I51),1000000,-1000000)</f>
        <v>-1000000</v>
      </c>
      <c r="M51" s="1" t="e">
        <f aca="false">IF(K51&gt;0,INDEX(big_daily_table,MATCH(DATE(N$5,$J51,$I51),daily_dates,0),MATCH($B$3,daily_items,0)),NA())</f>
        <v>#N/A</v>
      </c>
      <c r="N51" s="1" t="e">
        <f aca="false">IF(L51&lt;0,INDEX(big_daily_table,MATCH(DATE(N$5,$J51,$I51),daily_dates,0),MATCH($B$3,daily_items,0)),NA())</f>
        <v>#N/A</v>
      </c>
      <c r="O51" s="1" t="e">
        <f aca="false">IF(ISBLANK(INDEX(big_daily_table,MATCH(DATE(O$5,$J51,$I51),daily_dates,0),MATCH($B$3,daily_items,0))),NA(),INDEX(big_daily_table,MATCH(DATE(O$5,$J51,$I51),daily_dates,0),MATCH($B$3,daily_items,0)))</f>
        <v>#N/A</v>
      </c>
      <c r="P51" s="1" t="e">
        <f aca="false">IF(ISBLANK(INDEX(big_daily_table,MATCH(DATE(P$5,$J51,$I51),daily_dates,0),MATCH($B$3,daily_items,0))),NA(),INDEX(big_daily_table,MATCH(DATE(P$5,$J51,$I51),daily_dates,0),MATCH($B$3,daily_items,0)))</f>
        <v>#N/A</v>
      </c>
      <c r="Q51" s="1" t="e">
        <f aca="false">IF(ISBLANK(INDEX(big_daily_table,MATCH(DATE(Q$5,$J51,$I51),daily_dates,0),MATCH($B$3,daily_items,0))),NA(),INDEX(big_daily_table,MATCH(DATE(Q$5,$J51,$I51),daily_dates,0),MATCH($B$3,daily_items,0)))</f>
        <v>#N/A</v>
      </c>
      <c r="R51" s="1" t="e">
        <f aca="false">IF(ISBLANK(INDEX(big_daily_table,MATCH(DATE(R$5,$J51,$I51),daily_dates,0),MATCH($B$3,daily_items,0))),NA(),INDEX(big_daily_table,MATCH(DATE(R$5,$J51,$I51),daily_dates,0),MATCH($B$3,daily_items,0)))</f>
        <v>#N/A</v>
      </c>
      <c r="S51" s="1" t="e">
        <f aca="false">IF(ISBLANK(INDEX(big_daily_table,MATCH(DATE(S$5,$J51,$I51),daily_dates,0),MATCH($B$3,daily_items,0))),NA(),INDEX(big_daily_table,MATCH(DATE(S$5,$J51,$I51),daily_dates,0),MATCH($B$3,daily_items,0)))</f>
        <v>#N/A</v>
      </c>
      <c r="T51" s="1" t="e">
        <f aca="false">IF(ISBLANK(INDEX(big_daily_table,MATCH(DATE(T$5,$J51,$I51),daily_dates,0),MATCH($B$3,daily_items,0))),NA(),INDEX(big_daily_table,MATCH(DATE(T$5,$J51,$I51),daily_dates,0),MATCH($B$3,daily_items,0)))</f>
        <v>#N/A</v>
      </c>
      <c r="U51" s="1" t="e">
        <f aca="false">IF(ISBLANK(INDEX(big_daily_table,MATCH(DATE(U$5,$J51,$I51),daily_dates,0),MATCH($B$3,daily_items,0))),NA(),INDEX(big_daily_table,MATCH(DATE(U$5,$J51,$I51),daily_dates,0),MATCH($B$3,daily_items,0)))</f>
        <v>#N/A</v>
      </c>
      <c r="V51" s="1" t="e">
        <f aca="false">IF(ISBLANK(INDEX(big_daily_table,MATCH(DATE(V$5,$J51,$I51),daily_dates,0),MATCH($B$3,daily_items,0))),NA(),INDEX(big_daily_table,MATCH(DATE(V$5,$J51,$I51),daily_dates,0),MATCH($B$3,daily_items,0)))</f>
        <v>#N/A</v>
      </c>
      <c r="W51" s="1" t="e">
        <f aca="false">IF(ISBLANK(INDEX(big_daily_table,MATCH(DATE(W$5,$J51,$I51),daily_dates,0),MATCH($B$3,daily_items,0))),NA(),INDEX(big_daily_table,MATCH(DATE(W$5,$J51,$I51),daily_dates,0),MATCH($B$3,daily_items,0)))</f>
        <v>#N/A</v>
      </c>
      <c r="X51" s="1" t="e">
        <f aca="false">IF(ISBLANK(INDEX(big_daily_table,MATCH(DATE(X$5,$J51,$I51),daily_dates,0),MATCH($B$3,daily_items,0))),NA(),INDEX(big_daily_table,MATCH(DATE(X$5,$J51,$I51),daily_dates,0),MATCH($B$3,daily_items,0)))</f>
        <v>#N/A</v>
      </c>
      <c r="Y51" s="1" t="e">
        <f aca="false">IF(ISBLANK(INDEX(big_daily_table,MATCH(DATE(Y$5,$J51,$I51),daily_dates,0),MATCH($B$3,daily_items,0))),NA(),INDEX(big_daily_table,MATCH(DATE(Y$5,$J51,$I51),daily_dates,0),MATCH($B$3,daily_items,0)))</f>
        <v>#N/A</v>
      </c>
      <c r="Z51" s="1" t="n">
        <f aca="true">_xlfn.AGGREGATE(5,6,OFFSET($R$5,H51,0,1,$J$2))</f>
        <v>0</v>
      </c>
      <c r="AA51" s="1" t="n">
        <f aca="true">_xlfn.AGGREGATE(4,6,OFFSET($R$5,H51,0,1,$J$2))</f>
        <v>0</v>
      </c>
      <c r="AB51" s="1" t="n">
        <f aca="false">AA51-Z51</f>
        <v>0</v>
      </c>
      <c r="AC51" s="1" t="e">
        <f aca="true">_xlfn.AGGREGATE(1,6,OFFSET($R$5,H51,0,1,$J$2))</f>
        <v>#DIV/0!</v>
      </c>
    </row>
    <row r="52" customFormat="false" ht="14.25" hidden="false" customHeight="false" outlineLevel="0" collapsed="false">
      <c r="H52" s="1" t="n">
        <f aca="false">H51+1</f>
        <v>47</v>
      </c>
      <c r="I52" s="1" t="n">
        <f aca="false">DAY(K52)</f>
        <v>16</v>
      </c>
      <c r="J52" s="1" t="n">
        <f aca="false">MONTH(K52)</f>
        <v>2</v>
      </c>
      <c r="K52" s="23" t="n">
        <f aca="false">K51+1</f>
        <v>36572</v>
      </c>
      <c r="L52" s="24" t="n">
        <f aca="true">IF(TODAY()&lt;DATE($N$5,J52,I52),1000000,-1000000)</f>
        <v>-1000000</v>
      </c>
      <c r="M52" s="1" t="e">
        <f aca="false">IF(K52&gt;0,INDEX(big_daily_table,MATCH(DATE(N$5,$J52,$I52),daily_dates,0),MATCH($B$3,daily_items,0)),NA())</f>
        <v>#N/A</v>
      </c>
      <c r="N52" s="1" t="e">
        <f aca="false">IF(L52&lt;0,INDEX(big_daily_table,MATCH(DATE(N$5,$J52,$I52),daily_dates,0),MATCH($B$3,daily_items,0)),NA())</f>
        <v>#N/A</v>
      </c>
      <c r="O52" s="1" t="e">
        <f aca="false">IF(ISBLANK(INDEX(big_daily_table,MATCH(DATE(O$5,$J52,$I52),daily_dates,0),MATCH($B$3,daily_items,0))),NA(),INDEX(big_daily_table,MATCH(DATE(O$5,$J52,$I52),daily_dates,0),MATCH($B$3,daily_items,0)))</f>
        <v>#N/A</v>
      </c>
      <c r="P52" s="1" t="e">
        <f aca="false">IF(ISBLANK(INDEX(big_daily_table,MATCH(DATE(P$5,$J52,$I52),daily_dates,0),MATCH($B$3,daily_items,0))),NA(),INDEX(big_daily_table,MATCH(DATE(P$5,$J52,$I52),daily_dates,0),MATCH($B$3,daily_items,0)))</f>
        <v>#N/A</v>
      </c>
      <c r="Q52" s="1" t="e">
        <f aca="false">IF(ISBLANK(INDEX(big_daily_table,MATCH(DATE(Q$5,$J52,$I52),daily_dates,0),MATCH($B$3,daily_items,0))),NA(),INDEX(big_daily_table,MATCH(DATE(Q$5,$J52,$I52),daily_dates,0),MATCH($B$3,daily_items,0)))</f>
        <v>#N/A</v>
      </c>
      <c r="R52" s="1" t="e">
        <f aca="false">IF(ISBLANK(INDEX(big_daily_table,MATCH(DATE(R$5,$J52,$I52),daily_dates,0),MATCH($B$3,daily_items,0))),NA(),INDEX(big_daily_table,MATCH(DATE(R$5,$J52,$I52),daily_dates,0),MATCH($B$3,daily_items,0)))</f>
        <v>#N/A</v>
      </c>
      <c r="S52" s="1" t="e">
        <f aca="false">IF(ISBLANK(INDEX(big_daily_table,MATCH(DATE(S$5,$J52,$I52),daily_dates,0),MATCH($B$3,daily_items,0))),NA(),INDEX(big_daily_table,MATCH(DATE(S$5,$J52,$I52),daily_dates,0),MATCH($B$3,daily_items,0)))</f>
        <v>#N/A</v>
      </c>
      <c r="T52" s="1" t="e">
        <f aca="false">IF(ISBLANK(INDEX(big_daily_table,MATCH(DATE(T$5,$J52,$I52),daily_dates,0),MATCH($B$3,daily_items,0))),NA(),INDEX(big_daily_table,MATCH(DATE(T$5,$J52,$I52),daily_dates,0),MATCH($B$3,daily_items,0)))</f>
        <v>#N/A</v>
      </c>
      <c r="U52" s="1" t="e">
        <f aca="false">IF(ISBLANK(INDEX(big_daily_table,MATCH(DATE(U$5,$J52,$I52),daily_dates,0),MATCH($B$3,daily_items,0))),NA(),INDEX(big_daily_table,MATCH(DATE(U$5,$J52,$I52),daily_dates,0),MATCH($B$3,daily_items,0)))</f>
        <v>#N/A</v>
      </c>
      <c r="V52" s="1" t="e">
        <f aca="false">IF(ISBLANK(INDEX(big_daily_table,MATCH(DATE(V$5,$J52,$I52),daily_dates,0),MATCH($B$3,daily_items,0))),NA(),INDEX(big_daily_table,MATCH(DATE(V$5,$J52,$I52),daily_dates,0),MATCH($B$3,daily_items,0)))</f>
        <v>#N/A</v>
      </c>
      <c r="W52" s="1" t="e">
        <f aca="false">IF(ISBLANK(INDEX(big_daily_table,MATCH(DATE(W$5,$J52,$I52),daily_dates,0),MATCH($B$3,daily_items,0))),NA(),INDEX(big_daily_table,MATCH(DATE(W$5,$J52,$I52),daily_dates,0),MATCH($B$3,daily_items,0)))</f>
        <v>#N/A</v>
      </c>
      <c r="X52" s="1" t="e">
        <f aca="false">IF(ISBLANK(INDEX(big_daily_table,MATCH(DATE(X$5,$J52,$I52),daily_dates,0),MATCH($B$3,daily_items,0))),NA(),INDEX(big_daily_table,MATCH(DATE(X$5,$J52,$I52),daily_dates,0),MATCH($B$3,daily_items,0)))</f>
        <v>#N/A</v>
      </c>
      <c r="Y52" s="1" t="e">
        <f aca="false">IF(ISBLANK(INDEX(big_daily_table,MATCH(DATE(Y$5,$J52,$I52),daily_dates,0),MATCH($B$3,daily_items,0))),NA(),INDEX(big_daily_table,MATCH(DATE(Y$5,$J52,$I52),daily_dates,0),MATCH($B$3,daily_items,0)))</f>
        <v>#N/A</v>
      </c>
      <c r="Z52" s="1" t="n">
        <f aca="true">_xlfn.AGGREGATE(5,6,OFFSET($R$5,H52,0,1,$J$2))</f>
        <v>0</v>
      </c>
      <c r="AA52" s="1" t="n">
        <f aca="true">_xlfn.AGGREGATE(4,6,OFFSET($R$5,H52,0,1,$J$2))</f>
        <v>0</v>
      </c>
      <c r="AB52" s="1" t="n">
        <f aca="false">AA52-Z52</f>
        <v>0</v>
      </c>
      <c r="AC52" s="1" t="e">
        <f aca="true">_xlfn.AGGREGATE(1,6,OFFSET($R$5,H52,0,1,$J$2))</f>
        <v>#DIV/0!</v>
      </c>
    </row>
    <row r="53" customFormat="false" ht="14.25" hidden="false" customHeight="false" outlineLevel="0" collapsed="false">
      <c r="H53" s="1" t="n">
        <f aca="false">H52+1</f>
        <v>48</v>
      </c>
      <c r="I53" s="1" t="n">
        <f aca="false">DAY(K53)</f>
        <v>17</v>
      </c>
      <c r="J53" s="1" t="n">
        <f aca="false">MONTH(K53)</f>
        <v>2</v>
      </c>
      <c r="K53" s="23" t="n">
        <f aca="false">K52+1</f>
        <v>36573</v>
      </c>
      <c r="L53" s="24" t="n">
        <f aca="true">IF(TODAY()&lt;DATE($N$5,J53,I53),1000000,-1000000)</f>
        <v>-1000000</v>
      </c>
      <c r="M53" s="1" t="e">
        <f aca="false">IF(K53&gt;0,INDEX(big_daily_table,MATCH(DATE(N$5,$J53,$I53),daily_dates,0),MATCH($B$3,daily_items,0)),NA())</f>
        <v>#N/A</v>
      </c>
      <c r="N53" s="1" t="e">
        <f aca="false">IF(L53&lt;0,INDEX(big_daily_table,MATCH(DATE(N$5,$J53,$I53),daily_dates,0),MATCH($B$3,daily_items,0)),NA())</f>
        <v>#N/A</v>
      </c>
      <c r="O53" s="1" t="e">
        <f aca="false">IF(ISBLANK(INDEX(big_daily_table,MATCH(DATE(O$5,$J53,$I53),daily_dates,0),MATCH($B$3,daily_items,0))),NA(),INDEX(big_daily_table,MATCH(DATE(O$5,$J53,$I53),daily_dates,0),MATCH($B$3,daily_items,0)))</f>
        <v>#N/A</v>
      </c>
      <c r="P53" s="1" t="e">
        <f aca="false">IF(ISBLANK(INDEX(big_daily_table,MATCH(DATE(P$5,$J53,$I53),daily_dates,0),MATCH($B$3,daily_items,0))),NA(),INDEX(big_daily_table,MATCH(DATE(P$5,$J53,$I53),daily_dates,0),MATCH($B$3,daily_items,0)))</f>
        <v>#N/A</v>
      </c>
      <c r="Q53" s="1" t="e">
        <f aca="false">IF(ISBLANK(INDEX(big_daily_table,MATCH(DATE(Q$5,$J53,$I53),daily_dates,0),MATCH($B$3,daily_items,0))),NA(),INDEX(big_daily_table,MATCH(DATE(Q$5,$J53,$I53),daily_dates,0),MATCH($B$3,daily_items,0)))</f>
        <v>#N/A</v>
      </c>
      <c r="R53" s="1" t="e">
        <f aca="false">IF(ISBLANK(INDEX(big_daily_table,MATCH(DATE(R$5,$J53,$I53),daily_dates,0),MATCH($B$3,daily_items,0))),NA(),INDEX(big_daily_table,MATCH(DATE(R$5,$J53,$I53),daily_dates,0),MATCH($B$3,daily_items,0)))</f>
        <v>#N/A</v>
      </c>
      <c r="S53" s="1" t="e">
        <f aca="false">IF(ISBLANK(INDEX(big_daily_table,MATCH(DATE(S$5,$J53,$I53),daily_dates,0),MATCH($B$3,daily_items,0))),NA(),INDEX(big_daily_table,MATCH(DATE(S$5,$J53,$I53),daily_dates,0),MATCH($B$3,daily_items,0)))</f>
        <v>#N/A</v>
      </c>
      <c r="T53" s="1" t="e">
        <f aca="false">IF(ISBLANK(INDEX(big_daily_table,MATCH(DATE(T$5,$J53,$I53),daily_dates,0),MATCH($B$3,daily_items,0))),NA(),INDEX(big_daily_table,MATCH(DATE(T$5,$J53,$I53),daily_dates,0),MATCH($B$3,daily_items,0)))</f>
        <v>#N/A</v>
      </c>
      <c r="U53" s="1" t="e">
        <f aca="false">IF(ISBLANK(INDEX(big_daily_table,MATCH(DATE(U$5,$J53,$I53),daily_dates,0),MATCH($B$3,daily_items,0))),NA(),INDEX(big_daily_table,MATCH(DATE(U$5,$J53,$I53),daily_dates,0),MATCH($B$3,daily_items,0)))</f>
        <v>#N/A</v>
      </c>
      <c r="V53" s="1" t="e">
        <f aca="false">IF(ISBLANK(INDEX(big_daily_table,MATCH(DATE(V$5,$J53,$I53),daily_dates,0),MATCH($B$3,daily_items,0))),NA(),INDEX(big_daily_table,MATCH(DATE(V$5,$J53,$I53),daily_dates,0),MATCH($B$3,daily_items,0)))</f>
        <v>#N/A</v>
      </c>
      <c r="W53" s="1" t="e">
        <f aca="false">IF(ISBLANK(INDEX(big_daily_table,MATCH(DATE(W$5,$J53,$I53),daily_dates,0),MATCH($B$3,daily_items,0))),NA(),INDEX(big_daily_table,MATCH(DATE(W$5,$J53,$I53),daily_dates,0),MATCH($B$3,daily_items,0)))</f>
        <v>#N/A</v>
      </c>
      <c r="X53" s="1" t="e">
        <f aca="false">IF(ISBLANK(INDEX(big_daily_table,MATCH(DATE(X$5,$J53,$I53),daily_dates,0),MATCH($B$3,daily_items,0))),NA(),INDEX(big_daily_table,MATCH(DATE(X$5,$J53,$I53),daily_dates,0),MATCH($B$3,daily_items,0)))</f>
        <v>#N/A</v>
      </c>
      <c r="Y53" s="1" t="e">
        <f aca="false">IF(ISBLANK(INDEX(big_daily_table,MATCH(DATE(Y$5,$J53,$I53),daily_dates,0),MATCH($B$3,daily_items,0))),NA(),INDEX(big_daily_table,MATCH(DATE(Y$5,$J53,$I53),daily_dates,0),MATCH($B$3,daily_items,0)))</f>
        <v>#N/A</v>
      </c>
      <c r="Z53" s="1" t="n">
        <f aca="true">_xlfn.AGGREGATE(5,6,OFFSET($R$5,H53,0,1,$J$2))</f>
        <v>0</v>
      </c>
      <c r="AA53" s="1" t="n">
        <f aca="true">_xlfn.AGGREGATE(4,6,OFFSET($R$5,H53,0,1,$J$2))</f>
        <v>0</v>
      </c>
      <c r="AB53" s="1" t="n">
        <f aca="false">AA53-Z53</f>
        <v>0</v>
      </c>
      <c r="AC53" s="1" t="e">
        <f aca="true">_xlfn.AGGREGATE(1,6,OFFSET($R$5,H53,0,1,$J$2))</f>
        <v>#DIV/0!</v>
      </c>
    </row>
    <row r="54" customFormat="false" ht="14.25" hidden="false" customHeight="false" outlineLevel="0" collapsed="false">
      <c r="H54" s="1" t="n">
        <f aca="false">H53+1</f>
        <v>49</v>
      </c>
      <c r="I54" s="1" t="n">
        <f aca="false">DAY(K54)</f>
        <v>18</v>
      </c>
      <c r="J54" s="1" t="n">
        <f aca="false">MONTH(K54)</f>
        <v>2</v>
      </c>
      <c r="K54" s="23" t="n">
        <f aca="false">K53+1</f>
        <v>36574</v>
      </c>
      <c r="L54" s="24" t="n">
        <f aca="true">IF(TODAY()&lt;DATE($N$5,J54,I54),1000000,-1000000)</f>
        <v>-1000000</v>
      </c>
      <c r="M54" s="1" t="e">
        <f aca="false">IF(K54&gt;0,INDEX(big_daily_table,MATCH(DATE(N$5,$J54,$I54),daily_dates,0),MATCH($B$3,daily_items,0)),NA())</f>
        <v>#N/A</v>
      </c>
      <c r="N54" s="1" t="e">
        <f aca="false">IF(L54&lt;0,INDEX(big_daily_table,MATCH(DATE(N$5,$J54,$I54),daily_dates,0),MATCH($B$3,daily_items,0)),NA())</f>
        <v>#N/A</v>
      </c>
      <c r="O54" s="1" t="e">
        <f aca="false">IF(ISBLANK(INDEX(big_daily_table,MATCH(DATE(O$5,$J54,$I54),daily_dates,0),MATCH($B$3,daily_items,0))),NA(),INDEX(big_daily_table,MATCH(DATE(O$5,$J54,$I54),daily_dates,0),MATCH($B$3,daily_items,0)))</f>
        <v>#N/A</v>
      </c>
      <c r="P54" s="1" t="e">
        <f aca="false">IF(ISBLANK(INDEX(big_daily_table,MATCH(DATE(P$5,$J54,$I54),daily_dates,0),MATCH($B$3,daily_items,0))),NA(),INDEX(big_daily_table,MATCH(DATE(P$5,$J54,$I54),daily_dates,0),MATCH($B$3,daily_items,0)))</f>
        <v>#N/A</v>
      </c>
      <c r="Q54" s="1" t="e">
        <f aca="false">IF(ISBLANK(INDEX(big_daily_table,MATCH(DATE(Q$5,$J54,$I54),daily_dates,0),MATCH($B$3,daily_items,0))),NA(),INDEX(big_daily_table,MATCH(DATE(Q$5,$J54,$I54),daily_dates,0),MATCH($B$3,daily_items,0)))</f>
        <v>#N/A</v>
      </c>
      <c r="R54" s="1" t="e">
        <f aca="false">IF(ISBLANK(INDEX(big_daily_table,MATCH(DATE(R$5,$J54,$I54),daily_dates,0),MATCH($B$3,daily_items,0))),NA(),INDEX(big_daily_table,MATCH(DATE(R$5,$J54,$I54),daily_dates,0),MATCH($B$3,daily_items,0)))</f>
        <v>#N/A</v>
      </c>
      <c r="S54" s="1" t="e">
        <f aca="false">IF(ISBLANK(INDEX(big_daily_table,MATCH(DATE(S$5,$J54,$I54),daily_dates,0),MATCH($B$3,daily_items,0))),NA(),INDEX(big_daily_table,MATCH(DATE(S$5,$J54,$I54),daily_dates,0),MATCH($B$3,daily_items,0)))</f>
        <v>#N/A</v>
      </c>
      <c r="T54" s="1" t="e">
        <f aca="false">IF(ISBLANK(INDEX(big_daily_table,MATCH(DATE(T$5,$J54,$I54),daily_dates,0),MATCH($B$3,daily_items,0))),NA(),INDEX(big_daily_table,MATCH(DATE(T$5,$J54,$I54),daily_dates,0),MATCH($B$3,daily_items,0)))</f>
        <v>#N/A</v>
      </c>
      <c r="U54" s="1" t="e">
        <f aca="false">IF(ISBLANK(INDEX(big_daily_table,MATCH(DATE(U$5,$J54,$I54),daily_dates,0),MATCH($B$3,daily_items,0))),NA(),INDEX(big_daily_table,MATCH(DATE(U$5,$J54,$I54),daily_dates,0),MATCH($B$3,daily_items,0)))</f>
        <v>#N/A</v>
      </c>
      <c r="V54" s="1" t="e">
        <f aca="false">IF(ISBLANK(INDEX(big_daily_table,MATCH(DATE(V$5,$J54,$I54),daily_dates,0),MATCH($B$3,daily_items,0))),NA(),INDEX(big_daily_table,MATCH(DATE(V$5,$J54,$I54),daily_dates,0),MATCH($B$3,daily_items,0)))</f>
        <v>#N/A</v>
      </c>
      <c r="W54" s="1" t="e">
        <f aca="false">IF(ISBLANK(INDEX(big_daily_table,MATCH(DATE(W$5,$J54,$I54),daily_dates,0),MATCH($B$3,daily_items,0))),NA(),INDEX(big_daily_table,MATCH(DATE(W$5,$J54,$I54),daily_dates,0),MATCH($B$3,daily_items,0)))</f>
        <v>#N/A</v>
      </c>
      <c r="X54" s="1" t="e">
        <f aca="false">IF(ISBLANK(INDEX(big_daily_table,MATCH(DATE(X$5,$J54,$I54),daily_dates,0),MATCH($B$3,daily_items,0))),NA(),INDEX(big_daily_table,MATCH(DATE(X$5,$J54,$I54),daily_dates,0),MATCH($B$3,daily_items,0)))</f>
        <v>#N/A</v>
      </c>
      <c r="Y54" s="1" t="e">
        <f aca="false">IF(ISBLANK(INDEX(big_daily_table,MATCH(DATE(Y$5,$J54,$I54),daily_dates,0),MATCH($B$3,daily_items,0))),NA(),INDEX(big_daily_table,MATCH(DATE(Y$5,$J54,$I54),daily_dates,0),MATCH($B$3,daily_items,0)))</f>
        <v>#N/A</v>
      </c>
      <c r="Z54" s="1" t="n">
        <f aca="true">_xlfn.AGGREGATE(5,6,OFFSET($R$5,H54,0,1,$J$2))</f>
        <v>0</v>
      </c>
      <c r="AA54" s="1" t="n">
        <f aca="true">_xlfn.AGGREGATE(4,6,OFFSET($R$5,H54,0,1,$J$2))</f>
        <v>0</v>
      </c>
      <c r="AB54" s="1" t="n">
        <f aca="false">AA54-Z54</f>
        <v>0</v>
      </c>
      <c r="AC54" s="1" t="e">
        <f aca="true">_xlfn.AGGREGATE(1,6,OFFSET($R$5,H54,0,1,$J$2))</f>
        <v>#DIV/0!</v>
      </c>
    </row>
    <row r="55" customFormat="false" ht="14.25" hidden="false" customHeight="false" outlineLevel="0" collapsed="false">
      <c r="H55" s="1" t="n">
        <f aca="false">H54+1</f>
        <v>50</v>
      </c>
      <c r="I55" s="1" t="n">
        <f aca="false">DAY(K55)</f>
        <v>19</v>
      </c>
      <c r="J55" s="1" t="n">
        <f aca="false">MONTH(K55)</f>
        <v>2</v>
      </c>
      <c r="K55" s="23" t="n">
        <f aca="false">K54+1</f>
        <v>36575</v>
      </c>
      <c r="L55" s="24" t="n">
        <f aca="true">IF(TODAY()&lt;DATE($N$5,J55,I55),1000000,-1000000)</f>
        <v>-1000000</v>
      </c>
      <c r="M55" s="1" t="e">
        <f aca="false">IF(K55&gt;0,INDEX(big_daily_table,MATCH(DATE(N$5,$J55,$I55),daily_dates,0),MATCH($B$3,daily_items,0)),NA())</f>
        <v>#N/A</v>
      </c>
      <c r="N55" s="1" t="e">
        <f aca="false">IF(L55&lt;0,INDEX(big_daily_table,MATCH(DATE(N$5,$J55,$I55),daily_dates,0),MATCH($B$3,daily_items,0)),NA())</f>
        <v>#N/A</v>
      </c>
      <c r="O55" s="1" t="e">
        <f aca="false">IF(ISBLANK(INDEX(big_daily_table,MATCH(DATE(O$5,$J55,$I55),daily_dates,0),MATCH($B$3,daily_items,0))),NA(),INDEX(big_daily_table,MATCH(DATE(O$5,$J55,$I55),daily_dates,0),MATCH($B$3,daily_items,0)))</f>
        <v>#N/A</v>
      </c>
      <c r="P55" s="1" t="e">
        <f aca="false">IF(ISBLANK(INDEX(big_daily_table,MATCH(DATE(P$5,$J55,$I55),daily_dates,0),MATCH($B$3,daily_items,0))),NA(),INDEX(big_daily_table,MATCH(DATE(P$5,$J55,$I55),daily_dates,0),MATCH($B$3,daily_items,0)))</f>
        <v>#N/A</v>
      </c>
      <c r="Q55" s="1" t="e">
        <f aca="false">IF(ISBLANK(INDEX(big_daily_table,MATCH(DATE(Q$5,$J55,$I55),daily_dates,0),MATCH($B$3,daily_items,0))),NA(),INDEX(big_daily_table,MATCH(DATE(Q$5,$J55,$I55),daily_dates,0),MATCH($B$3,daily_items,0)))</f>
        <v>#N/A</v>
      </c>
      <c r="R55" s="1" t="e">
        <f aca="false">IF(ISBLANK(INDEX(big_daily_table,MATCH(DATE(R$5,$J55,$I55),daily_dates,0),MATCH($B$3,daily_items,0))),NA(),INDEX(big_daily_table,MATCH(DATE(R$5,$J55,$I55),daily_dates,0),MATCH($B$3,daily_items,0)))</f>
        <v>#N/A</v>
      </c>
      <c r="S55" s="1" t="e">
        <f aca="false">IF(ISBLANK(INDEX(big_daily_table,MATCH(DATE(S$5,$J55,$I55),daily_dates,0),MATCH($B$3,daily_items,0))),NA(),INDEX(big_daily_table,MATCH(DATE(S$5,$J55,$I55),daily_dates,0),MATCH($B$3,daily_items,0)))</f>
        <v>#N/A</v>
      </c>
      <c r="T55" s="1" t="e">
        <f aca="false">IF(ISBLANK(INDEX(big_daily_table,MATCH(DATE(T$5,$J55,$I55),daily_dates,0),MATCH($B$3,daily_items,0))),NA(),INDEX(big_daily_table,MATCH(DATE(T$5,$J55,$I55),daily_dates,0),MATCH($B$3,daily_items,0)))</f>
        <v>#N/A</v>
      </c>
      <c r="U55" s="1" t="e">
        <f aca="false">IF(ISBLANK(INDEX(big_daily_table,MATCH(DATE(U$5,$J55,$I55),daily_dates,0),MATCH($B$3,daily_items,0))),NA(),INDEX(big_daily_table,MATCH(DATE(U$5,$J55,$I55),daily_dates,0),MATCH($B$3,daily_items,0)))</f>
        <v>#N/A</v>
      </c>
      <c r="V55" s="1" t="e">
        <f aca="false">IF(ISBLANK(INDEX(big_daily_table,MATCH(DATE(V$5,$J55,$I55),daily_dates,0),MATCH($B$3,daily_items,0))),NA(),INDEX(big_daily_table,MATCH(DATE(V$5,$J55,$I55),daily_dates,0),MATCH($B$3,daily_items,0)))</f>
        <v>#N/A</v>
      </c>
      <c r="W55" s="1" t="e">
        <f aca="false">IF(ISBLANK(INDEX(big_daily_table,MATCH(DATE(W$5,$J55,$I55),daily_dates,0),MATCH($B$3,daily_items,0))),NA(),INDEX(big_daily_table,MATCH(DATE(W$5,$J55,$I55),daily_dates,0),MATCH($B$3,daily_items,0)))</f>
        <v>#N/A</v>
      </c>
      <c r="X55" s="1" t="e">
        <f aca="false">IF(ISBLANK(INDEX(big_daily_table,MATCH(DATE(X$5,$J55,$I55),daily_dates,0),MATCH($B$3,daily_items,0))),NA(),INDEX(big_daily_table,MATCH(DATE(X$5,$J55,$I55),daily_dates,0),MATCH($B$3,daily_items,0)))</f>
        <v>#N/A</v>
      </c>
      <c r="Y55" s="1" t="e">
        <f aca="false">IF(ISBLANK(INDEX(big_daily_table,MATCH(DATE(Y$5,$J55,$I55),daily_dates,0),MATCH($B$3,daily_items,0))),NA(),INDEX(big_daily_table,MATCH(DATE(Y$5,$J55,$I55),daily_dates,0),MATCH($B$3,daily_items,0)))</f>
        <v>#N/A</v>
      </c>
      <c r="Z55" s="1" t="n">
        <f aca="true">_xlfn.AGGREGATE(5,6,OFFSET($R$5,H55,0,1,$J$2))</f>
        <v>0</v>
      </c>
      <c r="AA55" s="1" t="n">
        <f aca="true">_xlfn.AGGREGATE(4,6,OFFSET($R$5,H55,0,1,$J$2))</f>
        <v>0</v>
      </c>
      <c r="AB55" s="1" t="n">
        <f aca="false">AA55-Z55</f>
        <v>0</v>
      </c>
      <c r="AC55" s="1" t="e">
        <f aca="true">_xlfn.AGGREGATE(1,6,OFFSET($R$5,H55,0,1,$J$2))</f>
        <v>#DIV/0!</v>
      </c>
    </row>
    <row r="56" customFormat="false" ht="14.25" hidden="false" customHeight="false" outlineLevel="0" collapsed="false">
      <c r="H56" s="1" t="n">
        <f aca="false">H55+1</f>
        <v>51</v>
      </c>
      <c r="I56" s="1" t="n">
        <f aca="false">DAY(K56)</f>
        <v>20</v>
      </c>
      <c r="J56" s="1" t="n">
        <f aca="false">MONTH(K56)</f>
        <v>2</v>
      </c>
      <c r="K56" s="23" t="n">
        <f aca="false">K55+1</f>
        <v>36576</v>
      </c>
      <c r="L56" s="24" t="n">
        <f aca="true">IF(TODAY()&lt;DATE($N$5,J56,I56),1000000,-1000000)</f>
        <v>-1000000</v>
      </c>
      <c r="M56" s="1" t="e">
        <f aca="false">IF(K56&gt;0,INDEX(big_daily_table,MATCH(DATE(N$5,$J56,$I56),daily_dates,0),MATCH($B$3,daily_items,0)),NA())</f>
        <v>#N/A</v>
      </c>
      <c r="N56" s="1" t="e">
        <f aca="false">IF(L56&lt;0,INDEX(big_daily_table,MATCH(DATE(N$5,$J56,$I56),daily_dates,0),MATCH($B$3,daily_items,0)),NA())</f>
        <v>#N/A</v>
      </c>
      <c r="O56" s="1" t="e">
        <f aca="false">IF(ISBLANK(INDEX(big_daily_table,MATCH(DATE(O$5,$J56,$I56),daily_dates,0),MATCH($B$3,daily_items,0))),NA(),INDEX(big_daily_table,MATCH(DATE(O$5,$J56,$I56),daily_dates,0),MATCH($B$3,daily_items,0)))</f>
        <v>#N/A</v>
      </c>
      <c r="P56" s="1" t="e">
        <f aca="false">IF(ISBLANK(INDEX(big_daily_table,MATCH(DATE(P$5,$J56,$I56),daily_dates,0),MATCH($B$3,daily_items,0))),NA(),INDEX(big_daily_table,MATCH(DATE(P$5,$J56,$I56),daily_dates,0),MATCH($B$3,daily_items,0)))</f>
        <v>#N/A</v>
      </c>
      <c r="Q56" s="1" t="e">
        <f aca="false">IF(ISBLANK(INDEX(big_daily_table,MATCH(DATE(Q$5,$J56,$I56),daily_dates,0),MATCH($B$3,daily_items,0))),NA(),INDEX(big_daily_table,MATCH(DATE(Q$5,$J56,$I56),daily_dates,0),MATCH($B$3,daily_items,0)))</f>
        <v>#N/A</v>
      </c>
      <c r="R56" s="1" t="e">
        <f aca="false">IF(ISBLANK(INDEX(big_daily_table,MATCH(DATE(R$5,$J56,$I56),daily_dates,0),MATCH($B$3,daily_items,0))),NA(),INDEX(big_daily_table,MATCH(DATE(R$5,$J56,$I56),daily_dates,0),MATCH($B$3,daily_items,0)))</f>
        <v>#N/A</v>
      </c>
      <c r="S56" s="1" t="e">
        <f aca="false">IF(ISBLANK(INDEX(big_daily_table,MATCH(DATE(S$5,$J56,$I56),daily_dates,0),MATCH($B$3,daily_items,0))),NA(),INDEX(big_daily_table,MATCH(DATE(S$5,$J56,$I56),daily_dates,0),MATCH($B$3,daily_items,0)))</f>
        <v>#N/A</v>
      </c>
      <c r="T56" s="1" t="e">
        <f aca="false">IF(ISBLANK(INDEX(big_daily_table,MATCH(DATE(T$5,$J56,$I56),daily_dates,0),MATCH($B$3,daily_items,0))),NA(),INDEX(big_daily_table,MATCH(DATE(T$5,$J56,$I56),daily_dates,0),MATCH($B$3,daily_items,0)))</f>
        <v>#N/A</v>
      </c>
      <c r="U56" s="1" t="e">
        <f aca="false">IF(ISBLANK(INDEX(big_daily_table,MATCH(DATE(U$5,$J56,$I56),daily_dates,0),MATCH($B$3,daily_items,0))),NA(),INDEX(big_daily_table,MATCH(DATE(U$5,$J56,$I56),daily_dates,0),MATCH($B$3,daily_items,0)))</f>
        <v>#N/A</v>
      </c>
      <c r="V56" s="1" t="e">
        <f aca="false">IF(ISBLANK(INDEX(big_daily_table,MATCH(DATE(V$5,$J56,$I56),daily_dates,0),MATCH($B$3,daily_items,0))),NA(),INDEX(big_daily_table,MATCH(DATE(V$5,$J56,$I56),daily_dates,0),MATCH($B$3,daily_items,0)))</f>
        <v>#N/A</v>
      </c>
      <c r="W56" s="1" t="e">
        <f aca="false">IF(ISBLANK(INDEX(big_daily_table,MATCH(DATE(W$5,$J56,$I56),daily_dates,0),MATCH($B$3,daily_items,0))),NA(),INDEX(big_daily_table,MATCH(DATE(W$5,$J56,$I56),daily_dates,0),MATCH($B$3,daily_items,0)))</f>
        <v>#N/A</v>
      </c>
      <c r="X56" s="1" t="e">
        <f aca="false">IF(ISBLANK(INDEX(big_daily_table,MATCH(DATE(X$5,$J56,$I56),daily_dates,0),MATCH($B$3,daily_items,0))),NA(),INDEX(big_daily_table,MATCH(DATE(X$5,$J56,$I56),daily_dates,0),MATCH($B$3,daily_items,0)))</f>
        <v>#N/A</v>
      </c>
      <c r="Y56" s="1" t="e">
        <f aca="false">IF(ISBLANK(INDEX(big_daily_table,MATCH(DATE(Y$5,$J56,$I56),daily_dates,0),MATCH($B$3,daily_items,0))),NA(),INDEX(big_daily_table,MATCH(DATE(Y$5,$J56,$I56),daily_dates,0),MATCH($B$3,daily_items,0)))</f>
        <v>#N/A</v>
      </c>
      <c r="Z56" s="1" t="n">
        <f aca="true">_xlfn.AGGREGATE(5,6,OFFSET($R$5,H56,0,1,$J$2))</f>
        <v>0</v>
      </c>
      <c r="AA56" s="1" t="n">
        <f aca="true">_xlfn.AGGREGATE(4,6,OFFSET($R$5,H56,0,1,$J$2))</f>
        <v>0</v>
      </c>
      <c r="AB56" s="1" t="n">
        <f aca="false">AA56-Z56</f>
        <v>0</v>
      </c>
      <c r="AC56" s="1" t="e">
        <f aca="true">_xlfn.AGGREGATE(1,6,OFFSET($R$5,H56,0,1,$J$2))</f>
        <v>#DIV/0!</v>
      </c>
    </row>
    <row r="57" customFormat="false" ht="14.25" hidden="false" customHeight="false" outlineLevel="0" collapsed="false">
      <c r="H57" s="1" t="n">
        <f aca="false">H56+1</f>
        <v>52</v>
      </c>
      <c r="I57" s="1" t="n">
        <f aca="false">DAY(K57)</f>
        <v>21</v>
      </c>
      <c r="J57" s="1" t="n">
        <f aca="false">MONTH(K57)</f>
        <v>2</v>
      </c>
      <c r="K57" s="23" t="n">
        <f aca="false">K56+1</f>
        <v>36577</v>
      </c>
      <c r="L57" s="24" t="n">
        <f aca="true">IF(TODAY()&lt;DATE($N$5,J57,I57),1000000,-1000000)</f>
        <v>-1000000</v>
      </c>
      <c r="M57" s="1" t="e">
        <f aca="false">IF(K57&gt;0,INDEX(big_daily_table,MATCH(DATE(N$5,$J57,$I57),daily_dates,0),MATCH($B$3,daily_items,0)),NA())</f>
        <v>#N/A</v>
      </c>
      <c r="N57" s="1" t="e">
        <f aca="false">IF(L57&lt;0,INDEX(big_daily_table,MATCH(DATE(N$5,$J57,$I57),daily_dates,0),MATCH($B$3,daily_items,0)),NA())</f>
        <v>#N/A</v>
      </c>
      <c r="O57" s="1" t="e">
        <f aca="false">IF(ISBLANK(INDEX(big_daily_table,MATCH(DATE(O$5,$J57,$I57),daily_dates,0),MATCH($B$3,daily_items,0))),NA(),INDEX(big_daily_table,MATCH(DATE(O$5,$J57,$I57),daily_dates,0),MATCH($B$3,daily_items,0)))</f>
        <v>#N/A</v>
      </c>
      <c r="P57" s="1" t="e">
        <f aca="false">IF(ISBLANK(INDEX(big_daily_table,MATCH(DATE(P$5,$J57,$I57),daily_dates,0),MATCH($B$3,daily_items,0))),NA(),INDEX(big_daily_table,MATCH(DATE(P$5,$J57,$I57),daily_dates,0),MATCH($B$3,daily_items,0)))</f>
        <v>#N/A</v>
      </c>
      <c r="Q57" s="1" t="e">
        <f aca="false">IF(ISBLANK(INDEX(big_daily_table,MATCH(DATE(Q$5,$J57,$I57),daily_dates,0),MATCH($B$3,daily_items,0))),NA(),INDEX(big_daily_table,MATCH(DATE(Q$5,$J57,$I57),daily_dates,0),MATCH($B$3,daily_items,0)))</f>
        <v>#N/A</v>
      </c>
      <c r="R57" s="1" t="e">
        <f aca="false">IF(ISBLANK(INDEX(big_daily_table,MATCH(DATE(R$5,$J57,$I57),daily_dates,0),MATCH($B$3,daily_items,0))),NA(),INDEX(big_daily_table,MATCH(DATE(R$5,$J57,$I57),daily_dates,0),MATCH($B$3,daily_items,0)))</f>
        <v>#N/A</v>
      </c>
      <c r="S57" s="1" t="e">
        <f aca="false">IF(ISBLANK(INDEX(big_daily_table,MATCH(DATE(S$5,$J57,$I57),daily_dates,0),MATCH($B$3,daily_items,0))),NA(),INDEX(big_daily_table,MATCH(DATE(S$5,$J57,$I57),daily_dates,0),MATCH($B$3,daily_items,0)))</f>
        <v>#N/A</v>
      </c>
      <c r="T57" s="1" t="e">
        <f aca="false">IF(ISBLANK(INDEX(big_daily_table,MATCH(DATE(T$5,$J57,$I57),daily_dates,0),MATCH($B$3,daily_items,0))),NA(),INDEX(big_daily_table,MATCH(DATE(T$5,$J57,$I57),daily_dates,0),MATCH($B$3,daily_items,0)))</f>
        <v>#N/A</v>
      </c>
      <c r="U57" s="1" t="e">
        <f aca="false">IF(ISBLANK(INDEX(big_daily_table,MATCH(DATE(U$5,$J57,$I57),daily_dates,0),MATCH($B$3,daily_items,0))),NA(),INDEX(big_daily_table,MATCH(DATE(U$5,$J57,$I57),daily_dates,0),MATCH($B$3,daily_items,0)))</f>
        <v>#N/A</v>
      </c>
      <c r="V57" s="1" t="e">
        <f aca="false">IF(ISBLANK(INDEX(big_daily_table,MATCH(DATE(V$5,$J57,$I57),daily_dates,0),MATCH($B$3,daily_items,0))),NA(),INDEX(big_daily_table,MATCH(DATE(V$5,$J57,$I57),daily_dates,0),MATCH($B$3,daily_items,0)))</f>
        <v>#N/A</v>
      </c>
      <c r="W57" s="1" t="e">
        <f aca="false">IF(ISBLANK(INDEX(big_daily_table,MATCH(DATE(W$5,$J57,$I57),daily_dates,0),MATCH($B$3,daily_items,0))),NA(),INDEX(big_daily_table,MATCH(DATE(W$5,$J57,$I57),daily_dates,0),MATCH($B$3,daily_items,0)))</f>
        <v>#N/A</v>
      </c>
      <c r="X57" s="1" t="e">
        <f aca="false">IF(ISBLANK(INDEX(big_daily_table,MATCH(DATE(X$5,$J57,$I57),daily_dates,0),MATCH($B$3,daily_items,0))),NA(),INDEX(big_daily_table,MATCH(DATE(X$5,$J57,$I57),daily_dates,0),MATCH($B$3,daily_items,0)))</f>
        <v>#N/A</v>
      </c>
      <c r="Y57" s="1" t="e">
        <f aca="false">IF(ISBLANK(INDEX(big_daily_table,MATCH(DATE(Y$5,$J57,$I57),daily_dates,0),MATCH($B$3,daily_items,0))),NA(),INDEX(big_daily_table,MATCH(DATE(Y$5,$J57,$I57),daily_dates,0),MATCH($B$3,daily_items,0)))</f>
        <v>#N/A</v>
      </c>
      <c r="Z57" s="1" t="n">
        <f aca="true">_xlfn.AGGREGATE(5,6,OFFSET($R$5,H57,0,1,$J$2))</f>
        <v>0</v>
      </c>
      <c r="AA57" s="1" t="n">
        <f aca="true">_xlfn.AGGREGATE(4,6,OFFSET($R$5,H57,0,1,$J$2))</f>
        <v>0</v>
      </c>
      <c r="AB57" s="1" t="n">
        <f aca="false">AA57-Z57</f>
        <v>0</v>
      </c>
      <c r="AC57" s="1" t="e">
        <f aca="true">_xlfn.AGGREGATE(1,6,OFFSET($R$5,H57,0,1,$J$2))</f>
        <v>#DIV/0!</v>
      </c>
    </row>
    <row r="58" customFormat="false" ht="14.25" hidden="false" customHeight="false" outlineLevel="0" collapsed="false">
      <c r="H58" s="1" t="n">
        <f aca="false">H57+1</f>
        <v>53</v>
      </c>
      <c r="I58" s="1" t="n">
        <f aca="false">DAY(K58)</f>
        <v>22</v>
      </c>
      <c r="J58" s="1" t="n">
        <f aca="false">MONTH(K58)</f>
        <v>2</v>
      </c>
      <c r="K58" s="23" t="n">
        <f aca="false">K57+1</f>
        <v>36578</v>
      </c>
      <c r="L58" s="24" t="n">
        <f aca="true">IF(TODAY()&lt;DATE($N$5,J58,I58),1000000,-1000000)</f>
        <v>-1000000</v>
      </c>
      <c r="M58" s="1" t="e">
        <f aca="false">IF(K58&gt;0,INDEX(big_daily_table,MATCH(DATE(N$5,$J58,$I58),daily_dates,0),MATCH($B$3,daily_items,0)),NA())</f>
        <v>#N/A</v>
      </c>
      <c r="N58" s="1" t="e">
        <f aca="false">IF(L58&lt;0,INDEX(big_daily_table,MATCH(DATE(N$5,$J58,$I58),daily_dates,0),MATCH($B$3,daily_items,0)),NA())</f>
        <v>#N/A</v>
      </c>
      <c r="O58" s="1" t="e">
        <f aca="false">IF(ISBLANK(INDEX(big_daily_table,MATCH(DATE(O$5,$J58,$I58),daily_dates,0),MATCH($B$3,daily_items,0))),NA(),INDEX(big_daily_table,MATCH(DATE(O$5,$J58,$I58),daily_dates,0),MATCH($B$3,daily_items,0)))</f>
        <v>#N/A</v>
      </c>
      <c r="P58" s="1" t="e">
        <f aca="false">IF(ISBLANK(INDEX(big_daily_table,MATCH(DATE(P$5,$J58,$I58),daily_dates,0),MATCH($B$3,daily_items,0))),NA(),INDEX(big_daily_table,MATCH(DATE(P$5,$J58,$I58),daily_dates,0),MATCH($B$3,daily_items,0)))</f>
        <v>#N/A</v>
      </c>
      <c r="Q58" s="1" t="e">
        <f aca="false">IF(ISBLANK(INDEX(big_daily_table,MATCH(DATE(Q$5,$J58,$I58),daily_dates,0),MATCH($B$3,daily_items,0))),NA(),INDEX(big_daily_table,MATCH(DATE(Q$5,$J58,$I58),daily_dates,0),MATCH($B$3,daily_items,0)))</f>
        <v>#N/A</v>
      </c>
      <c r="R58" s="1" t="e">
        <f aca="false">IF(ISBLANK(INDEX(big_daily_table,MATCH(DATE(R$5,$J58,$I58),daily_dates,0),MATCH($B$3,daily_items,0))),NA(),INDEX(big_daily_table,MATCH(DATE(R$5,$J58,$I58),daily_dates,0),MATCH($B$3,daily_items,0)))</f>
        <v>#N/A</v>
      </c>
      <c r="S58" s="1" t="e">
        <f aca="false">IF(ISBLANK(INDEX(big_daily_table,MATCH(DATE(S$5,$J58,$I58),daily_dates,0),MATCH($B$3,daily_items,0))),NA(),INDEX(big_daily_table,MATCH(DATE(S$5,$J58,$I58),daily_dates,0),MATCH($B$3,daily_items,0)))</f>
        <v>#N/A</v>
      </c>
      <c r="T58" s="1" t="e">
        <f aca="false">IF(ISBLANK(INDEX(big_daily_table,MATCH(DATE(T$5,$J58,$I58),daily_dates,0),MATCH($B$3,daily_items,0))),NA(),INDEX(big_daily_table,MATCH(DATE(T$5,$J58,$I58),daily_dates,0),MATCH($B$3,daily_items,0)))</f>
        <v>#N/A</v>
      </c>
      <c r="U58" s="1" t="e">
        <f aca="false">IF(ISBLANK(INDEX(big_daily_table,MATCH(DATE(U$5,$J58,$I58),daily_dates,0),MATCH($B$3,daily_items,0))),NA(),INDEX(big_daily_table,MATCH(DATE(U$5,$J58,$I58),daily_dates,0),MATCH($B$3,daily_items,0)))</f>
        <v>#N/A</v>
      </c>
      <c r="V58" s="1" t="e">
        <f aca="false">IF(ISBLANK(INDEX(big_daily_table,MATCH(DATE(V$5,$J58,$I58),daily_dates,0),MATCH($B$3,daily_items,0))),NA(),INDEX(big_daily_table,MATCH(DATE(V$5,$J58,$I58),daily_dates,0),MATCH($B$3,daily_items,0)))</f>
        <v>#N/A</v>
      </c>
      <c r="W58" s="1" t="e">
        <f aca="false">IF(ISBLANK(INDEX(big_daily_table,MATCH(DATE(W$5,$J58,$I58),daily_dates,0),MATCH($B$3,daily_items,0))),NA(),INDEX(big_daily_table,MATCH(DATE(W$5,$J58,$I58),daily_dates,0),MATCH($B$3,daily_items,0)))</f>
        <v>#N/A</v>
      </c>
      <c r="X58" s="1" t="e">
        <f aca="false">IF(ISBLANK(INDEX(big_daily_table,MATCH(DATE(X$5,$J58,$I58),daily_dates,0),MATCH($B$3,daily_items,0))),NA(),INDEX(big_daily_table,MATCH(DATE(X$5,$J58,$I58),daily_dates,0),MATCH($B$3,daily_items,0)))</f>
        <v>#N/A</v>
      </c>
      <c r="Y58" s="1" t="e">
        <f aca="false">IF(ISBLANK(INDEX(big_daily_table,MATCH(DATE(Y$5,$J58,$I58),daily_dates,0),MATCH($B$3,daily_items,0))),NA(),INDEX(big_daily_table,MATCH(DATE(Y$5,$J58,$I58),daily_dates,0),MATCH($B$3,daily_items,0)))</f>
        <v>#N/A</v>
      </c>
      <c r="Z58" s="1" t="n">
        <f aca="true">_xlfn.AGGREGATE(5,6,OFFSET($R$5,H58,0,1,$J$2))</f>
        <v>0</v>
      </c>
      <c r="AA58" s="1" t="n">
        <f aca="true">_xlfn.AGGREGATE(4,6,OFFSET($R$5,H58,0,1,$J$2))</f>
        <v>0</v>
      </c>
      <c r="AB58" s="1" t="n">
        <f aca="false">AA58-Z58</f>
        <v>0</v>
      </c>
      <c r="AC58" s="1" t="e">
        <f aca="true">_xlfn.AGGREGATE(1,6,OFFSET($R$5,H58,0,1,$J$2))</f>
        <v>#DIV/0!</v>
      </c>
    </row>
    <row r="59" customFormat="false" ht="14.25" hidden="false" customHeight="false" outlineLevel="0" collapsed="false">
      <c r="H59" s="1" t="n">
        <f aca="false">H58+1</f>
        <v>54</v>
      </c>
      <c r="I59" s="1" t="n">
        <f aca="false">DAY(K59)</f>
        <v>23</v>
      </c>
      <c r="J59" s="1" t="n">
        <f aca="false">MONTH(K59)</f>
        <v>2</v>
      </c>
      <c r="K59" s="23" t="n">
        <f aca="false">K58+1</f>
        <v>36579</v>
      </c>
      <c r="L59" s="24" t="n">
        <f aca="true">IF(TODAY()&lt;DATE($N$5,J59,I59),1000000,-1000000)</f>
        <v>-1000000</v>
      </c>
      <c r="M59" s="1" t="e">
        <f aca="false">IF(K59&gt;0,INDEX(big_daily_table,MATCH(DATE(N$5,$J59,$I59),daily_dates,0),MATCH($B$3,daily_items,0)),NA())</f>
        <v>#N/A</v>
      </c>
      <c r="N59" s="1" t="e">
        <f aca="false">IF(L59&lt;0,INDEX(big_daily_table,MATCH(DATE(N$5,$J59,$I59),daily_dates,0),MATCH($B$3,daily_items,0)),NA())</f>
        <v>#N/A</v>
      </c>
      <c r="O59" s="1" t="e">
        <f aca="false">IF(ISBLANK(INDEX(big_daily_table,MATCH(DATE(O$5,$J59,$I59),daily_dates,0),MATCH($B$3,daily_items,0))),NA(),INDEX(big_daily_table,MATCH(DATE(O$5,$J59,$I59),daily_dates,0),MATCH($B$3,daily_items,0)))</f>
        <v>#N/A</v>
      </c>
      <c r="P59" s="1" t="e">
        <f aca="false">IF(ISBLANK(INDEX(big_daily_table,MATCH(DATE(P$5,$J59,$I59),daily_dates,0),MATCH($B$3,daily_items,0))),NA(),INDEX(big_daily_table,MATCH(DATE(P$5,$J59,$I59),daily_dates,0),MATCH($B$3,daily_items,0)))</f>
        <v>#N/A</v>
      </c>
      <c r="Q59" s="1" t="e">
        <f aca="false">IF(ISBLANK(INDEX(big_daily_table,MATCH(DATE(Q$5,$J59,$I59),daily_dates,0),MATCH($B$3,daily_items,0))),NA(),INDEX(big_daily_table,MATCH(DATE(Q$5,$J59,$I59),daily_dates,0),MATCH($B$3,daily_items,0)))</f>
        <v>#N/A</v>
      </c>
      <c r="R59" s="1" t="e">
        <f aca="false">IF(ISBLANK(INDEX(big_daily_table,MATCH(DATE(R$5,$J59,$I59),daily_dates,0),MATCH($B$3,daily_items,0))),NA(),INDEX(big_daily_table,MATCH(DATE(R$5,$J59,$I59),daily_dates,0),MATCH($B$3,daily_items,0)))</f>
        <v>#N/A</v>
      </c>
      <c r="S59" s="1" t="e">
        <f aca="false">IF(ISBLANK(INDEX(big_daily_table,MATCH(DATE(S$5,$J59,$I59),daily_dates,0),MATCH($B$3,daily_items,0))),NA(),INDEX(big_daily_table,MATCH(DATE(S$5,$J59,$I59),daily_dates,0),MATCH($B$3,daily_items,0)))</f>
        <v>#N/A</v>
      </c>
      <c r="T59" s="1" t="e">
        <f aca="false">IF(ISBLANK(INDEX(big_daily_table,MATCH(DATE(T$5,$J59,$I59),daily_dates,0),MATCH($B$3,daily_items,0))),NA(),INDEX(big_daily_table,MATCH(DATE(T$5,$J59,$I59),daily_dates,0),MATCH($B$3,daily_items,0)))</f>
        <v>#N/A</v>
      </c>
      <c r="U59" s="1" t="e">
        <f aca="false">IF(ISBLANK(INDEX(big_daily_table,MATCH(DATE(U$5,$J59,$I59),daily_dates,0),MATCH($B$3,daily_items,0))),NA(),INDEX(big_daily_table,MATCH(DATE(U$5,$J59,$I59),daily_dates,0),MATCH($B$3,daily_items,0)))</f>
        <v>#N/A</v>
      </c>
      <c r="V59" s="1" t="e">
        <f aca="false">IF(ISBLANK(INDEX(big_daily_table,MATCH(DATE(V$5,$J59,$I59),daily_dates,0),MATCH($B$3,daily_items,0))),NA(),INDEX(big_daily_table,MATCH(DATE(V$5,$J59,$I59),daily_dates,0),MATCH($B$3,daily_items,0)))</f>
        <v>#N/A</v>
      </c>
      <c r="W59" s="1" t="e">
        <f aca="false">IF(ISBLANK(INDEX(big_daily_table,MATCH(DATE(W$5,$J59,$I59),daily_dates,0),MATCH($B$3,daily_items,0))),NA(),INDEX(big_daily_table,MATCH(DATE(W$5,$J59,$I59),daily_dates,0),MATCH($B$3,daily_items,0)))</f>
        <v>#N/A</v>
      </c>
      <c r="X59" s="1" t="e">
        <f aca="false">IF(ISBLANK(INDEX(big_daily_table,MATCH(DATE(X$5,$J59,$I59),daily_dates,0),MATCH($B$3,daily_items,0))),NA(),INDEX(big_daily_table,MATCH(DATE(X$5,$J59,$I59),daily_dates,0),MATCH($B$3,daily_items,0)))</f>
        <v>#N/A</v>
      </c>
      <c r="Y59" s="1" t="e">
        <f aca="false">IF(ISBLANK(INDEX(big_daily_table,MATCH(DATE(Y$5,$J59,$I59),daily_dates,0),MATCH($B$3,daily_items,0))),NA(),INDEX(big_daily_table,MATCH(DATE(Y$5,$J59,$I59),daily_dates,0),MATCH($B$3,daily_items,0)))</f>
        <v>#N/A</v>
      </c>
      <c r="Z59" s="1" t="n">
        <f aca="true">_xlfn.AGGREGATE(5,6,OFFSET($R$5,H59,0,1,$J$2))</f>
        <v>0</v>
      </c>
      <c r="AA59" s="1" t="n">
        <f aca="true">_xlfn.AGGREGATE(4,6,OFFSET($R$5,H59,0,1,$J$2))</f>
        <v>0</v>
      </c>
      <c r="AB59" s="1" t="n">
        <f aca="false">AA59-Z59</f>
        <v>0</v>
      </c>
      <c r="AC59" s="1" t="e">
        <f aca="true">_xlfn.AGGREGATE(1,6,OFFSET($R$5,H59,0,1,$J$2))</f>
        <v>#DIV/0!</v>
      </c>
    </row>
    <row r="60" customFormat="false" ht="14.25" hidden="false" customHeight="false" outlineLevel="0" collapsed="false">
      <c r="H60" s="1" t="n">
        <f aca="false">H59+1</f>
        <v>55</v>
      </c>
      <c r="I60" s="1" t="n">
        <f aca="false">DAY(K60)</f>
        <v>24</v>
      </c>
      <c r="J60" s="1" t="n">
        <f aca="false">MONTH(K60)</f>
        <v>2</v>
      </c>
      <c r="K60" s="23" t="n">
        <f aca="false">K59+1</f>
        <v>36580</v>
      </c>
      <c r="L60" s="24" t="n">
        <f aca="true">IF(TODAY()&lt;DATE($N$5,J60,I60),1000000,-1000000)</f>
        <v>-1000000</v>
      </c>
      <c r="M60" s="1" t="e">
        <f aca="false">IF(K60&gt;0,INDEX(big_daily_table,MATCH(DATE(N$5,$J60,$I60),daily_dates,0),MATCH($B$3,daily_items,0)),NA())</f>
        <v>#N/A</v>
      </c>
      <c r="N60" s="1" t="e">
        <f aca="false">IF(L60&lt;0,INDEX(big_daily_table,MATCH(DATE(N$5,$J60,$I60),daily_dates,0),MATCH($B$3,daily_items,0)),NA())</f>
        <v>#N/A</v>
      </c>
      <c r="O60" s="1" t="e">
        <f aca="false">IF(ISBLANK(INDEX(big_daily_table,MATCH(DATE(O$5,$J60,$I60),daily_dates,0),MATCH($B$3,daily_items,0))),NA(),INDEX(big_daily_table,MATCH(DATE(O$5,$J60,$I60),daily_dates,0),MATCH($B$3,daily_items,0)))</f>
        <v>#N/A</v>
      </c>
      <c r="P60" s="1" t="e">
        <f aca="false">IF(ISBLANK(INDEX(big_daily_table,MATCH(DATE(P$5,$J60,$I60),daily_dates,0),MATCH($B$3,daily_items,0))),NA(),INDEX(big_daily_table,MATCH(DATE(P$5,$J60,$I60),daily_dates,0),MATCH($B$3,daily_items,0)))</f>
        <v>#N/A</v>
      </c>
      <c r="Q60" s="1" t="e">
        <f aca="false">IF(ISBLANK(INDEX(big_daily_table,MATCH(DATE(Q$5,$J60,$I60),daily_dates,0),MATCH($B$3,daily_items,0))),NA(),INDEX(big_daily_table,MATCH(DATE(Q$5,$J60,$I60),daily_dates,0),MATCH($B$3,daily_items,0)))</f>
        <v>#N/A</v>
      </c>
      <c r="R60" s="1" t="e">
        <f aca="false">IF(ISBLANK(INDEX(big_daily_table,MATCH(DATE(R$5,$J60,$I60),daily_dates,0),MATCH($B$3,daily_items,0))),NA(),INDEX(big_daily_table,MATCH(DATE(R$5,$J60,$I60),daily_dates,0),MATCH($B$3,daily_items,0)))</f>
        <v>#N/A</v>
      </c>
      <c r="S60" s="1" t="e">
        <f aca="false">IF(ISBLANK(INDEX(big_daily_table,MATCH(DATE(S$5,$J60,$I60),daily_dates,0),MATCH($B$3,daily_items,0))),NA(),INDEX(big_daily_table,MATCH(DATE(S$5,$J60,$I60),daily_dates,0),MATCH($B$3,daily_items,0)))</f>
        <v>#N/A</v>
      </c>
      <c r="T60" s="1" t="e">
        <f aca="false">IF(ISBLANK(INDEX(big_daily_table,MATCH(DATE(T$5,$J60,$I60),daily_dates,0),MATCH($B$3,daily_items,0))),NA(),INDEX(big_daily_table,MATCH(DATE(T$5,$J60,$I60),daily_dates,0),MATCH($B$3,daily_items,0)))</f>
        <v>#N/A</v>
      </c>
      <c r="U60" s="1" t="e">
        <f aca="false">IF(ISBLANK(INDEX(big_daily_table,MATCH(DATE(U$5,$J60,$I60),daily_dates,0),MATCH($B$3,daily_items,0))),NA(),INDEX(big_daily_table,MATCH(DATE(U$5,$J60,$I60),daily_dates,0),MATCH($B$3,daily_items,0)))</f>
        <v>#N/A</v>
      </c>
      <c r="V60" s="1" t="e">
        <f aca="false">IF(ISBLANK(INDEX(big_daily_table,MATCH(DATE(V$5,$J60,$I60),daily_dates,0),MATCH($B$3,daily_items,0))),NA(),INDEX(big_daily_table,MATCH(DATE(V$5,$J60,$I60),daily_dates,0),MATCH($B$3,daily_items,0)))</f>
        <v>#N/A</v>
      </c>
      <c r="W60" s="1" t="e">
        <f aca="false">IF(ISBLANK(INDEX(big_daily_table,MATCH(DATE(W$5,$J60,$I60),daily_dates,0),MATCH($B$3,daily_items,0))),NA(),INDEX(big_daily_table,MATCH(DATE(W$5,$J60,$I60),daily_dates,0),MATCH($B$3,daily_items,0)))</f>
        <v>#N/A</v>
      </c>
      <c r="X60" s="1" t="e">
        <f aca="false">IF(ISBLANK(INDEX(big_daily_table,MATCH(DATE(X$5,$J60,$I60),daily_dates,0),MATCH($B$3,daily_items,0))),NA(),INDEX(big_daily_table,MATCH(DATE(X$5,$J60,$I60),daily_dates,0),MATCH($B$3,daily_items,0)))</f>
        <v>#N/A</v>
      </c>
      <c r="Y60" s="1" t="e">
        <f aca="false">IF(ISBLANK(INDEX(big_daily_table,MATCH(DATE(Y$5,$J60,$I60),daily_dates,0),MATCH($B$3,daily_items,0))),NA(),INDEX(big_daily_table,MATCH(DATE(Y$5,$J60,$I60),daily_dates,0),MATCH($B$3,daily_items,0)))</f>
        <v>#N/A</v>
      </c>
      <c r="Z60" s="1" t="n">
        <f aca="true">_xlfn.AGGREGATE(5,6,OFFSET($R$5,H60,0,1,$J$2))</f>
        <v>0</v>
      </c>
      <c r="AA60" s="1" t="n">
        <f aca="true">_xlfn.AGGREGATE(4,6,OFFSET($R$5,H60,0,1,$J$2))</f>
        <v>0</v>
      </c>
      <c r="AB60" s="1" t="n">
        <f aca="false">AA60-Z60</f>
        <v>0</v>
      </c>
      <c r="AC60" s="1" t="e">
        <f aca="true">_xlfn.AGGREGATE(1,6,OFFSET($R$5,H60,0,1,$J$2))</f>
        <v>#DIV/0!</v>
      </c>
    </row>
    <row r="61" customFormat="false" ht="14.25" hidden="false" customHeight="false" outlineLevel="0" collapsed="false">
      <c r="H61" s="1" t="n">
        <f aca="false">H60+1</f>
        <v>56</v>
      </c>
      <c r="I61" s="1" t="n">
        <f aca="false">DAY(K61)</f>
        <v>25</v>
      </c>
      <c r="J61" s="1" t="n">
        <f aca="false">MONTH(K61)</f>
        <v>2</v>
      </c>
      <c r="K61" s="23" t="n">
        <f aca="false">K60+1</f>
        <v>36581</v>
      </c>
      <c r="L61" s="24" t="n">
        <f aca="true">IF(TODAY()&lt;DATE($N$5,J61,I61),1000000,-1000000)</f>
        <v>-1000000</v>
      </c>
      <c r="M61" s="1" t="e">
        <f aca="false">IF(K61&gt;0,INDEX(big_daily_table,MATCH(DATE(N$5,$J61,$I61),daily_dates,0),MATCH($B$3,daily_items,0)),NA())</f>
        <v>#N/A</v>
      </c>
      <c r="N61" s="1" t="e">
        <f aca="false">IF(L61&lt;0,INDEX(big_daily_table,MATCH(DATE(N$5,$J61,$I61),daily_dates,0),MATCH($B$3,daily_items,0)),NA())</f>
        <v>#N/A</v>
      </c>
      <c r="O61" s="1" t="e">
        <f aca="false">IF(ISBLANK(INDEX(big_daily_table,MATCH(DATE(O$5,$J61,$I61),daily_dates,0),MATCH($B$3,daily_items,0))),NA(),INDEX(big_daily_table,MATCH(DATE(O$5,$J61,$I61),daily_dates,0),MATCH($B$3,daily_items,0)))</f>
        <v>#N/A</v>
      </c>
      <c r="P61" s="1" t="e">
        <f aca="false">IF(ISBLANK(INDEX(big_daily_table,MATCH(DATE(P$5,$J61,$I61),daily_dates,0),MATCH($B$3,daily_items,0))),NA(),INDEX(big_daily_table,MATCH(DATE(P$5,$J61,$I61),daily_dates,0),MATCH($B$3,daily_items,0)))</f>
        <v>#N/A</v>
      </c>
      <c r="Q61" s="1" t="e">
        <f aca="false">IF(ISBLANK(INDEX(big_daily_table,MATCH(DATE(Q$5,$J61,$I61),daily_dates,0),MATCH($B$3,daily_items,0))),NA(),INDEX(big_daily_table,MATCH(DATE(Q$5,$J61,$I61),daily_dates,0),MATCH($B$3,daily_items,0)))</f>
        <v>#N/A</v>
      </c>
      <c r="R61" s="1" t="e">
        <f aca="false">IF(ISBLANK(INDEX(big_daily_table,MATCH(DATE(R$5,$J61,$I61),daily_dates,0),MATCH($B$3,daily_items,0))),NA(),INDEX(big_daily_table,MATCH(DATE(R$5,$J61,$I61),daily_dates,0),MATCH($B$3,daily_items,0)))</f>
        <v>#N/A</v>
      </c>
      <c r="S61" s="1" t="e">
        <f aca="false">IF(ISBLANK(INDEX(big_daily_table,MATCH(DATE(S$5,$J61,$I61),daily_dates,0),MATCH($B$3,daily_items,0))),NA(),INDEX(big_daily_table,MATCH(DATE(S$5,$J61,$I61),daily_dates,0),MATCH($B$3,daily_items,0)))</f>
        <v>#N/A</v>
      </c>
      <c r="T61" s="1" t="e">
        <f aca="false">IF(ISBLANK(INDEX(big_daily_table,MATCH(DATE(T$5,$J61,$I61),daily_dates,0),MATCH($B$3,daily_items,0))),NA(),INDEX(big_daily_table,MATCH(DATE(T$5,$J61,$I61),daily_dates,0),MATCH($B$3,daily_items,0)))</f>
        <v>#N/A</v>
      </c>
      <c r="U61" s="1" t="e">
        <f aca="false">IF(ISBLANK(INDEX(big_daily_table,MATCH(DATE(U$5,$J61,$I61),daily_dates,0),MATCH($B$3,daily_items,0))),NA(),INDEX(big_daily_table,MATCH(DATE(U$5,$J61,$I61),daily_dates,0),MATCH($B$3,daily_items,0)))</f>
        <v>#N/A</v>
      </c>
      <c r="V61" s="1" t="e">
        <f aca="false">IF(ISBLANK(INDEX(big_daily_table,MATCH(DATE(V$5,$J61,$I61),daily_dates,0),MATCH($B$3,daily_items,0))),NA(),INDEX(big_daily_table,MATCH(DATE(V$5,$J61,$I61),daily_dates,0),MATCH($B$3,daily_items,0)))</f>
        <v>#N/A</v>
      </c>
      <c r="W61" s="1" t="e">
        <f aca="false">IF(ISBLANK(INDEX(big_daily_table,MATCH(DATE(W$5,$J61,$I61),daily_dates,0),MATCH($B$3,daily_items,0))),NA(),INDEX(big_daily_table,MATCH(DATE(W$5,$J61,$I61),daily_dates,0),MATCH($B$3,daily_items,0)))</f>
        <v>#N/A</v>
      </c>
      <c r="X61" s="1" t="e">
        <f aca="false">IF(ISBLANK(INDEX(big_daily_table,MATCH(DATE(X$5,$J61,$I61),daily_dates,0),MATCH($B$3,daily_items,0))),NA(),INDEX(big_daily_table,MATCH(DATE(X$5,$J61,$I61),daily_dates,0),MATCH($B$3,daily_items,0)))</f>
        <v>#N/A</v>
      </c>
      <c r="Y61" s="1" t="e">
        <f aca="false">IF(ISBLANK(INDEX(big_daily_table,MATCH(DATE(Y$5,$J61,$I61),daily_dates,0),MATCH($B$3,daily_items,0))),NA(),INDEX(big_daily_table,MATCH(DATE(Y$5,$J61,$I61),daily_dates,0),MATCH($B$3,daily_items,0)))</f>
        <v>#N/A</v>
      </c>
      <c r="Z61" s="1" t="n">
        <f aca="true">_xlfn.AGGREGATE(5,6,OFFSET($R$5,H61,0,1,$J$2))</f>
        <v>0</v>
      </c>
      <c r="AA61" s="1" t="n">
        <f aca="true">_xlfn.AGGREGATE(4,6,OFFSET($R$5,H61,0,1,$J$2))</f>
        <v>0</v>
      </c>
      <c r="AB61" s="1" t="n">
        <f aca="false">AA61-Z61</f>
        <v>0</v>
      </c>
      <c r="AC61" s="1" t="e">
        <f aca="true">_xlfn.AGGREGATE(1,6,OFFSET($R$5,H61,0,1,$J$2))</f>
        <v>#DIV/0!</v>
      </c>
    </row>
    <row r="62" customFormat="false" ht="14.25" hidden="false" customHeight="false" outlineLevel="0" collapsed="false">
      <c r="H62" s="1" t="n">
        <f aca="false">H61+1</f>
        <v>57</v>
      </c>
      <c r="I62" s="1" t="n">
        <f aca="false">DAY(K62)</f>
        <v>26</v>
      </c>
      <c r="J62" s="1" t="n">
        <f aca="false">MONTH(K62)</f>
        <v>2</v>
      </c>
      <c r="K62" s="23" t="n">
        <f aca="false">K61+1</f>
        <v>36582</v>
      </c>
      <c r="L62" s="24" t="n">
        <f aca="true">IF(TODAY()&lt;DATE($N$5,J62,I62),1000000,-1000000)</f>
        <v>-1000000</v>
      </c>
      <c r="M62" s="1" t="e">
        <f aca="false">IF(K62&gt;0,INDEX(big_daily_table,MATCH(DATE(N$5,$J62,$I62),daily_dates,0),MATCH($B$3,daily_items,0)),NA())</f>
        <v>#N/A</v>
      </c>
      <c r="N62" s="1" t="e">
        <f aca="false">IF(L62&lt;0,INDEX(big_daily_table,MATCH(DATE(N$5,$J62,$I62),daily_dates,0),MATCH($B$3,daily_items,0)),NA())</f>
        <v>#N/A</v>
      </c>
      <c r="O62" s="1" t="e">
        <f aca="false">IF(ISBLANK(INDEX(big_daily_table,MATCH(DATE(O$5,$J62,$I62),daily_dates,0),MATCH($B$3,daily_items,0))),NA(),INDEX(big_daily_table,MATCH(DATE(O$5,$J62,$I62),daily_dates,0),MATCH($B$3,daily_items,0)))</f>
        <v>#N/A</v>
      </c>
      <c r="P62" s="1" t="e">
        <f aca="false">IF(ISBLANK(INDEX(big_daily_table,MATCH(DATE(P$5,$J62,$I62),daily_dates,0),MATCH($B$3,daily_items,0))),NA(),INDEX(big_daily_table,MATCH(DATE(P$5,$J62,$I62),daily_dates,0),MATCH($B$3,daily_items,0)))</f>
        <v>#N/A</v>
      </c>
      <c r="Q62" s="1" t="e">
        <f aca="false">IF(ISBLANK(INDEX(big_daily_table,MATCH(DATE(Q$5,$J62,$I62),daily_dates,0),MATCH($B$3,daily_items,0))),NA(),INDEX(big_daily_table,MATCH(DATE(Q$5,$J62,$I62),daily_dates,0),MATCH($B$3,daily_items,0)))</f>
        <v>#N/A</v>
      </c>
      <c r="R62" s="1" t="e">
        <f aca="false">IF(ISBLANK(INDEX(big_daily_table,MATCH(DATE(R$5,$J62,$I62),daily_dates,0),MATCH($B$3,daily_items,0))),NA(),INDEX(big_daily_table,MATCH(DATE(R$5,$J62,$I62),daily_dates,0),MATCH($B$3,daily_items,0)))</f>
        <v>#N/A</v>
      </c>
      <c r="S62" s="1" t="e">
        <f aca="false">IF(ISBLANK(INDEX(big_daily_table,MATCH(DATE(S$5,$J62,$I62),daily_dates,0),MATCH($B$3,daily_items,0))),NA(),INDEX(big_daily_table,MATCH(DATE(S$5,$J62,$I62),daily_dates,0),MATCH($B$3,daily_items,0)))</f>
        <v>#N/A</v>
      </c>
      <c r="T62" s="1" t="e">
        <f aca="false">IF(ISBLANK(INDEX(big_daily_table,MATCH(DATE(T$5,$J62,$I62),daily_dates,0),MATCH($B$3,daily_items,0))),NA(),INDEX(big_daily_table,MATCH(DATE(T$5,$J62,$I62),daily_dates,0),MATCH($B$3,daily_items,0)))</f>
        <v>#N/A</v>
      </c>
      <c r="U62" s="1" t="e">
        <f aca="false">IF(ISBLANK(INDEX(big_daily_table,MATCH(DATE(U$5,$J62,$I62),daily_dates,0),MATCH($B$3,daily_items,0))),NA(),INDEX(big_daily_table,MATCH(DATE(U$5,$J62,$I62),daily_dates,0),MATCH($B$3,daily_items,0)))</f>
        <v>#N/A</v>
      </c>
      <c r="V62" s="1" t="e">
        <f aca="false">IF(ISBLANK(INDEX(big_daily_table,MATCH(DATE(V$5,$J62,$I62),daily_dates,0),MATCH($B$3,daily_items,0))),NA(),INDEX(big_daily_table,MATCH(DATE(V$5,$J62,$I62),daily_dates,0),MATCH($B$3,daily_items,0)))</f>
        <v>#N/A</v>
      </c>
      <c r="W62" s="1" t="e">
        <f aca="false">IF(ISBLANK(INDEX(big_daily_table,MATCH(DATE(W$5,$J62,$I62),daily_dates,0),MATCH($B$3,daily_items,0))),NA(),INDEX(big_daily_table,MATCH(DATE(W$5,$J62,$I62),daily_dates,0),MATCH($B$3,daily_items,0)))</f>
        <v>#N/A</v>
      </c>
      <c r="X62" s="1" t="e">
        <f aca="false">IF(ISBLANK(INDEX(big_daily_table,MATCH(DATE(X$5,$J62,$I62),daily_dates,0),MATCH($B$3,daily_items,0))),NA(),INDEX(big_daily_table,MATCH(DATE(X$5,$J62,$I62),daily_dates,0),MATCH($B$3,daily_items,0)))</f>
        <v>#N/A</v>
      </c>
      <c r="Y62" s="1" t="e">
        <f aca="false">IF(ISBLANK(INDEX(big_daily_table,MATCH(DATE(Y$5,$J62,$I62),daily_dates,0),MATCH($B$3,daily_items,0))),NA(),INDEX(big_daily_table,MATCH(DATE(Y$5,$J62,$I62),daily_dates,0),MATCH($B$3,daily_items,0)))</f>
        <v>#N/A</v>
      </c>
      <c r="Z62" s="1" t="n">
        <f aca="true">_xlfn.AGGREGATE(5,6,OFFSET($R$5,H62,0,1,$J$2))</f>
        <v>0</v>
      </c>
      <c r="AA62" s="1" t="n">
        <f aca="true">_xlfn.AGGREGATE(4,6,OFFSET($R$5,H62,0,1,$J$2))</f>
        <v>0</v>
      </c>
      <c r="AB62" s="1" t="n">
        <f aca="false">AA62-Z62</f>
        <v>0</v>
      </c>
      <c r="AC62" s="1" t="e">
        <f aca="true">_xlfn.AGGREGATE(1,6,OFFSET($R$5,H62,0,1,$J$2))</f>
        <v>#DIV/0!</v>
      </c>
    </row>
    <row r="63" customFormat="false" ht="14.25" hidden="false" customHeight="false" outlineLevel="0" collapsed="false">
      <c r="H63" s="1" t="n">
        <f aca="false">H62+1</f>
        <v>58</v>
      </c>
      <c r="I63" s="1" t="n">
        <f aca="false">DAY(K63)</f>
        <v>27</v>
      </c>
      <c r="J63" s="1" t="n">
        <f aca="false">MONTH(K63)</f>
        <v>2</v>
      </c>
      <c r="K63" s="23" t="n">
        <f aca="false">K62+1</f>
        <v>36583</v>
      </c>
      <c r="L63" s="24" t="n">
        <f aca="true">IF(TODAY()&lt;DATE($N$5,J63,I63),1000000,-1000000)</f>
        <v>-1000000</v>
      </c>
      <c r="M63" s="1" t="e">
        <f aca="false">IF(K63&gt;0,INDEX(big_daily_table,MATCH(DATE(N$5,$J63,$I63),daily_dates,0),MATCH($B$3,daily_items,0)),NA())</f>
        <v>#N/A</v>
      </c>
      <c r="N63" s="1" t="e">
        <f aca="false">IF(L63&lt;0,INDEX(big_daily_table,MATCH(DATE(N$5,$J63,$I63),daily_dates,0),MATCH($B$3,daily_items,0)),NA())</f>
        <v>#N/A</v>
      </c>
      <c r="O63" s="1" t="e">
        <f aca="false">IF(ISBLANK(INDEX(big_daily_table,MATCH(DATE(O$5,$J63,$I63),daily_dates,0),MATCH($B$3,daily_items,0))),NA(),INDEX(big_daily_table,MATCH(DATE(O$5,$J63,$I63),daily_dates,0),MATCH($B$3,daily_items,0)))</f>
        <v>#N/A</v>
      </c>
      <c r="P63" s="1" t="e">
        <f aca="false">IF(ISBLANK(INDEX(big_daily_table,MATCH(DATE(P$5,$J63,$I63),daily_dates,0),MATCH($B$3,daily_items,0))),NA(),INDEX(big_daily_table,MATCH(DATE(P$5,$J63,$I63),daily_dates,0),MATCH($B$3,daily_items,0)))</f>
        <v>#N/A</v>
      </c>
      <c r="Q63" s="1" t="e">
        <f aca="false">IF(ISBLANK(INDEX(big_daily_table,MATCH(DATE(Q$5,$J63,$I63),daily_dates,0),MATCH($B$3,daily_items,0))),NA(),INDEX(big_daily_table,MATCH(DATE(Q$5,$J63,$I63),daily_dates,0),MATCH($B$3,daily_items,0)))</f>
        <v>#N/A</v>
      </c>
      <c r="R63" s="1" t="e">
        <f aca="false">IF(ISBLANK(INDEX(big_daily_table,MATCH(DATE(R$5,$J63,$I63),daily_dates,0),MATCH($B$3,daily_items,0))),NA(),INDEX(big_daily_table,MATCH(DATE(R$5,$J63,$I63),daily_dates,0),MATCH($B$3,daily_items,0)))</f>
        <v>#N/A</v>
      </c>
      <c r="S63" s="1" t="e">
        <f aca="false">IF(ISBLANK(INDEX(big_daily_table,MATCH(DATE(S$5,$J63,$I63),daily_dates,0),MATCH($B$3,daily_items,0))),NA(),INDEX(big_daily_table,MATCH(DATE(S$5,$J63,$I63),daily_dates,0),MATCH($B$3,daily_items,0)))</f>
        <v>#N/A</v>
      </c>
      <c r="T63" s="1" t="e">
        <f aca="false">IF(ISBLANK(INDEX(big_daily_table,MATCH(DATE(T$5,$J63,$I63),daily_dates,0),MATCH($B$3,daily_items,0))),NA(),INDEX(big_daily_table,MATCH(DATE(T$5,$J63,$I63),daily_dates,0),MATCH($B$3,daily_items,0)))</f>
        <v>#N/A</v>
      </c>
      <c r="U63" s="1" t="e">
        <f aca="false">IF(ISBLANK(INDEX(big_daily_table,MATCH(DATE(U$5,$J63,$I63),daily_dates,0),MATCH($B$3,daily_items,0))),NA(),INDEX(big_daily_table,MATCH(DATE(U$5,$J63,$I63),daily_dates,0),MATCH($B$3,daily_items,0)))</f>
        <v>#N/A</v>
      </c>
      <c r="V63" s="1" t="e">
        <f aca="false">IF(ISBLANK(INDEX(big_daily_table,MATCH(DATE(V$5,$J63,$I63),daily_dates,0),MATCH($B$3,daily_items,0))),NA(),INDEX(big_daily_table,MATCH(DATE(V$5,$J63,$I63),daily_dates,0),MATCH($B$3,daily_items,0)))</f>
        <v>#N/A</v>
      </c>
      <c r="W63" s="1" t="e">
        <f aca="false">IF(ISBLANK(INDEX(big_daily_table,MATCH(DATE(W$5,$J63,$I63),daily_dates,0),MATCH($B$3,daily_items,0))),NA(),INDEX(big_daily_table,MATCH(DATE(W$5,$J63,$I63),daily_dates,0),MATCH($B$3,daily_items,0)))</f>
        <v>#N/A</v>
      </c>
      <c r="X63" s="1" t="e">
        <f aca="false">IF(ISBLANK(INDEX(big_daily_table,MATCH(DATE(X$5,$J63,$I63),daily_dates,0),MATCH($B$3,daily_items,0))),NA(),INDEX(big_daily_table,MATCH(DATE(X$5,$J63,$I63),daily_dates,0),MATCH($B$3,daily_items,0)))</f>
        <v>#N/A</v>
      </c>
      <c r="Y63" s="1" t="e">
        <f aca="false">IF(ISBLANK(INDEX(big_daily_table,MATCH(DATE(Y$5,$J63,$I63),daily_dates,0),MATCH($B$3,daily_items,0))),NA(),INDEX(big_daily_table,MATCH(DATE(Y$5,$J63,$I63),daily_dates,0),MATCH($B$3,daily_items,0)))</f>
        <v>#N/A</v>
      </c>
      <c r="Z63" s="1" t="n">
        <f aca="true">_xlfn.AGGREGATE(5,6,OFFSET($R$5,H63,0,1,$J$2))</f>
        <v>0</v>
      </c>
      <c r="AA63" s="1" t="n">
        <f aca="true">_xlfn.AGGREGATE(4,6,OFFSET($R$5,H63,0,1,$J$2))</f>
        <v>0</v>
      </c>
      <c r="AB63" s="1" t="n">
        <f aca="false">AA63-Z63</f>
        <v>0</v>
      </c>
      <c r="AC63" s="1" t="e">
        <f aca="true">_xlfn.AGGREGATE(1,6,OFFSET($R$5,H63,0,1,$J$2))</f>
        <v>#DIV/0!</v>
      </c>
    </row>
    <row r="64" customFormat="false" ht="14.25" hidden="false" customHeight="false" outlineLevel="0" collapsed="false">
      <c r="H64" s="1" t="n">
        <f aca="false">H63+1</f>
        <v>59</v>
      </c>
      <c r="I64" s="1" t="n">
        <f aca="false">DAY(K64)</f>
        <v>28</v>
      </c>
      <c r="J64" s="1" t="n">
        <f aca="false">MONTH(K64)</f>
        <v>2</v>
      </c>
      <c r="K64" s="23" t="n">
        <f aca="false">K63+1</f>
        <v>36584</v>
      </c>
      <c r="L64" s="24" t="n">
        <f aca="true">IF(TODAY()&lt;DATE($N$5,J64,I64),1000000,-1000000)</f>
        <v>-1000000</v>
      </c>
      <c r="M64" s="1" t="e">
        <f aca="false">IF(K64&gt;0,INDEX(big_daily_table,MATCH(DATE(N$5,$J64,$I64),daily_dates,0),MATCH($B$3,daily_items,0)),NA())</f>
        <v>#N/A</v>
      </c>
      <c r="N64" s="1" t="e">
        <f aca="false">IF(L64&lt;0,INDEX(big_daily_table,MATCH(DATE(N$5,$J64,$I64),daily_dates,0),MATCH($B$3,daily_items,0)),NA())</f>
        <v>#N/A</v>
      </c>
      <c r="O64" s="1" t="e">
        <f aca="false">IF(ISBLANK(INDEX(big_daily_table,MATCH(DATE(O$5,$J64,$I64),daily_dates,0),MATCH($B$3,daily_items,0))),NA(),INDEX(big_daily_table,MATCH(DATE(O$5,$J64,$I64),daily_dates,0),MATCH($B$3,daily_items,0)))</f>
        <v>#N/A</v>
      </c>
      <c r="P64" s="1" t="e">
        <f aca="false">IF(ISBLANK(INDEX(big_daily_table,MATCH(DATE(P$5,$J64,$I64),daily_dates,0),MATCH($B$3,daily_items,0))),NA(),INDEX(big_daily_table,MATCH(DATE(P$5,$J64,$I64),daily_dates,0),MATCH($B$3,daily_items,0)))</f>
        <v>#N/A</v>
      </c>
      <c r="Q64" s="1" t="e">
        <f aca="false">IF(ISBLANK(INDEX(big_daily_table,MATCH(DATE(Q$5,$J64,$I64),daily_dates,0),MATCH($B$3,daily_items,0))),NA(),INDEX(big_daily_table,MATCH(DATE(Q$5,$J64,$I64),daily_dates,0),MATCH($B$3,daily_items,0)))</f>
        <v>#N/A</v>
      </c>
      <c r="R64" s="1" t="e">
        <f aca="false">IF(ISBLANK(INDEX(big_daily_table,MATCH(DATE(R$5,$J64,$I64),daily_dates,0),MATCH($B$3,daily_items,0))),NA(),INDEX(big_daily_table,MATCH(DATE(R$5,$J64,$I64),daily_dates,0),MATCH($B$3,daily_items,0)))</f>
        <v>#N/A</v>
      </c>
      <c r="S64" s="1" t="e">
        <f aca="false">IF(ISBLANK(INDEX(big_daily_table,MATCH(DATE(S$5,$J64,$I64),daily_dates,0),MATCH($B$3,daily_items,0))),NA(),INDEX(big_daily_table,MATCH(DATE(S$5,$J64,$I64),daily_dates,0),MATCH($B$3,daily_items,0)))</f>
        <v>#N/A</v>
      </c>
      <c r="T64" s="1" t="e">
        <f aca="false">IF(ISBLANK(INDEX(big_daily_table,MATCH(DATE(T$5,$J64,$I64),daily_dates,0),MATCH($B$3,daily_items,0))),NA(),INDEX(big_daily_table,MATCH(DATE(T$5,$J64,$I64),daily_dates,0),MATCH($B$3,daily_items,0)))</f>
        <v>#N/A</v>
      </c>
      <c r="U64" s="1" t="e">
        <f aca="false">IF(ISBLANK(INDEX(big_daily_table,MATCH(DATE(U$5,$J64,$I64),daily_dates,0),MATCH($B$3,daily_items,0))),NA(),INDEX(big_daily_table,MATCH(DATE(U$5,$J64,$I64),daily_dates,0),MATCH($B$3,daily_items,0)))</f>
        <v>#N/A</v>
      </c>
      <c r="V64" s="1" t="e">
        <f aca="false">IF(ISBLANK(INDEX(big_daily_table,MATCH(DATE(V$5,$J64,$I64),daily_dates,0),MATCH($B$3,daily_items,0))),NA(),INDEX(big_daily_table,MATCH(DATE(V$5,$J64,$I64),daily_dates,0),MATCH($B$3,daily_items,0)))</f>
        <v>#N/A</v>
      </c>
      <c r="W64" s="1" t="e">
        <f aca="false">IF(ISBLANK(INDEX(big_daily_table,MATCH(DATE(W$5,$J64,$I64),daily_dates,0),MATCH($B$3,daily_items,0))),NA(),INDEX(big_daily_table,MATCH(DATE(W$5,$J64,$I64),daily_dates,0),MATCH($B$3,daily_items,0)))</f>
        <v>#N/A</v>
      </c>
      <c r="X64" s="1" t="e">
        <f aca="false">IF(ISBLANK(INDEX(big_daily_table,MATCH(DATE(X$5,$J64,$I64),daily_dates,0),MATCH($B$3,daily_items,0))),NA(),INDEX(big_daily_table,MATCH(DATE(X$5,$J64,$I64),daily_dates,0),MATCH($B$3,daily_items,0)))</f>
        <v>#N/A</v>
      </c>
      <c r="Y64" s="1" t="e">
        <f aca="false">IF(ISBLANK(INDEX(big_daily_table,MATCH(DATE(Y$5,$J64,$I64),daily_dates,0),MATCH($B$3,daily_items,0))),NA(),INDEX(big_daily_table,MATCH(DATE(Y$5,$J64,$I64),daily_dates,0),MATCH($B$3,daily_items,0)))</f>
        <v>#N/A</v>
      </c>
      <c r="Z64" s="1" t="n">
        <f aca="true">_xlfn.AGGREGATE(5,6,OFFSET($R$5,H64,0,1,$J$2))</f>
        <v>0</v>
      </c>
      <c r="AA64" s="1" t="n">
        <f aca="true">_xlfn.AGGREGATE(4,6,OFFSET($R$5,H64,0,1,$J$2))</f>
        <v>0</v>
      </c>
      <c r="AB64" s="1" t="n">
        <f aca="false">AA64-Z64</f>
        <v>0</v>
      </c>
      <c r="AC64" s="1" t="e">
        <f aca="true">_xlfn.AGGREGATE(1,6,OFFSET($R$5,H64,0,1,$J$2))</f>
        <v>#DIV/0!</v>
      </c>
    </row>
    <row r="65" customFormat="false" ht="14.25" hidden="false" customHeight="false" outlineLevel="0" collapsed="false">
      <c r="H65" s="1" t="n">
        <f aca="false">H64+1</f>
        <v>60</v>
      </c>
      <c r="I65" s="1" t="n">
        <f aca="false">DAY(K65)</f>
        <v>29</v>
      </c>
      <c r="J65" s="1" t="n">
        <f aca="false">MONTH(K65)</f>
        <v>2</v>
      </c>
      <c r="K65" s="23" t="n">
        <f aca="false">K64+1</f>
        <v>36585</v>
      </c>
      <c r="L65" s="24" t="n">
        <f aca="true">IF(TODAY()&lt;DATE($N$5,J65,I65),1000000,-1000000)</f>
        <v>-1000000</v>
      </c>
      <c r="M65" s="1" t="e">
        <f aca="false">IF(K65&gt;0,INDEX(big_daily_table,MATCH(DATE(N$5,$J65,$I65),daily_dates,0),MATCH($B$3,daily_items,0)),NA())</f>
        <v>#N/A</v>
      </c>
      <c r="N65" s="1" t="e">
        <f aca="false">IF(L65&lt;0,INDEX(big_daily_table,MATCH(DATE(N$5,$J65,$I65),daily_dates,0),MATCH($B$3,daily_items,0)),NA())</f>
        <v>#N/A</v>
      </c>
      <c r="O65" s="1" t="e">
        <f aca="false">IF(ISBLANK(INDEX(big_daily_table,MATCH(DATE(O$5,$J65,$I65),daily_dates,0),MATCH($B$3,daily_items,0))),NA(),INDEX(big_daily_table,MATCH(DATE(O$5,$J65,$I65),daily_dates,0),MATCH($B$3,daily_items,0)))</f>
        <v>#N/A</v>
      </c>
      <c r="P65" s="1" t="e">
        <f aca="false">IF(ISBLANK(INDEX(big_daily_table,MATCH(DATE(P$5,$J65,$I65),daily_dates,0),MATCH($B$3,daily_items,0))),NA(),INDEX(big_daily_table,MATCH(DATE(P$5,$J65,$I65),daily_dates,0),MATCH($B$3,daily_items,0)))</f>
        <v>#N/A</v>
      </c>
      <c r="Q65" s="1" t="e">
        <f aca="false">IF(ISBLANK(INDEX(big_daily_table,MATCH(DATE(Q$5,$J65,$I65),daily_dates,0),MATCH($B$3,daily_items,0))),NA(),INDEX(big_daily_table,MATCH(DATE(Q$5,$J65,$I65),daily_dates,0),MATCH($B$3,daily_items,0)))</f>
        <v>#N/A</v>
      </c>
      <c r="R65" s="1" t="e">
        <f aca="false">IF(ISBLANK(INDEX(big_daily_table,MATCH(DATE(R$5,$J65,$I65),daily_dates,0),MATCH($B$3,daily_items,0))),NA(),INDEX(big_daily_table,MATCH(DATE(R$5,$J65,$I65),daily_dates,0),MATCH($B$3,daily_items,0)))</f>
        <v>#N/A</v>
      </c>
      <c r="S65" s="1" t="e">
        <f aca="false">IF(ISBLANK(INDEX(big_daily_table,MATCH(DATE(S$5,$J65,$I65),daily_dates,0),MATCH($B$3,daily_items,0))),NA(),INDEX(big_daily_table,MATCH(DATE(S$5,$J65,$I65),daily_dates,0),MATCH($B$3,daily_items,0)))</f>
        <v>#N/A</v>
      </c>
      <c r="T65" s="1" t="e">
        <f aca="false">IF(ISBLANK(INDEX(big_daily_table,MATCH(DATE(T$5,$J65,$I65),daily_dates,0),MATCH($B$3,daily_items,0))),NA(),INDEX(big_daily_table,MATCH(DATE(T$5,$J65,$I65),daily_dates,0),MATCH($B$3,daily_items,0)))</f>
        <v>#N/A</v>
      </c>
      <c r="U65" s="1" t="e">
        <f aca="false">IF(ISBLANK(INDEX(big_daily_table,MATCH(DATE(U$5,$J65,$I65),daily_dates,0),MATCH($B$3,daily_items,0))),NA(),INDEX(big_daily_table,MATCH(DATE(U$5,$J65,$I65),daily_dates,0),MATCH($B$3,daily_items,0)))</f>
        <v>#N/A</v>
      </c>
      <c r="V65" s="1" t="e">
        <f aca="false">IF(ISBLANK(INDEX(big_daily_table,MATCH(DATE(V$5,$J65,$I65),daily_dates,0),MATCH($B$3,daily_items,0))),NA(),INDEX(big_daily_table,MATCH(DATE(V$5,$J65,$I65),daily_dates,0),MATCH($B$3,daily_items,0)))</f>
        <v>#N/A</v>
      </c>
      <c r="W65" s="1" t="e">
        <f aca="false">IF(ISBLANK(INDEX(big_daily_table,MATCH(DATE(W$5,$J65,$I65),daily_dates,0),MATCH($B$3,daily_items,0))),NA(),INDEX(big_daily_table,MATCH(DATE(W$5,$J65,$I65),daily_dates,0),MATCH($B$3,daily_items,0)))</f>
        <v>#N/A</v>
      </c>
      <c r="X65" s="1" t="e">
        <f aca="false">IF(ISBLANK(INDEX(big_daily_table,MATCH(DATE(X$5,$J65,$I65),daily_dates,0),MATCH($B$3,daily_items,0))),NA(),INDEX(big_daily_table,MATCH(DATE(X$5,$J65,$I65),daily_dates,0),MATCH($B$3,daily_items,0)))</f>
        <v>#N/A</v>
      </c>
      <c r="Y65" s="1" t="e">
        <f aca="false">IF(ISBLANK(INDEX(big_daily_table,MATCH(DATE(Y$5,$J65,$I65),daily_dates,0),MATCH($B$3,daily_items,0))),NA(),INDEX(big_daily_table,MATCH(DATE(Y$5,$J65,$I65),daily_dates,0),MATCH($B$3,daily_items,0)))</f>
        <v>#N/A</v>
      </c>
      <c r="Z65" s="1" t="n">
        <f aca="true">_xlfn.AGGREGATE(5,6,OFFSET($R$5,H65,0,1,$J$2))</f>
        <v>0</v>
      </c>
      <c r="AA65" s="1" t="n">
        <f aca="true">_xlfn.AGGREGATE(4,6,OFFSET($R$5,H65,0,1,$J$2))</f>
        <v>0</v>
      </c>
      <c r="AB65" s="1" t="n">
        <f aca="false">AA65-Z65</f>
        <v>0</v>
      </c>
      <c r="AC65" s="1" t="e">
        <f aca="true">_xlfn.AGGREGATE(1,6,OFFSET($R$5,H65,0,1,$J$2))</f>
        <v>#DIV/0!</v>
      </c>
    </row>
    <row r="66" customFormat="false" ht="14.25" hidden="false" customHeight="false" outlineLevel="0" collapsed="false">
      <c r="H66" s="1" t="n">
        <f aca="false">H65+1</f>
        <v>61</v>
      </c>
      <c r="I66" s="1" t="n">
        <f aca="false">DAY(K66)</f>
        <v>1</v>
      </c>
      <c r="J66" s="1" t="n">
        <f aca="false">MONTH(K66)</f>
        <v>3</v>
      </c>
      <c r="K66" s="23" t="n">
        <f aca="false">K65+1</f>
        <v>36586</v>
      </c>
      <c r="L66" s="24" t="n">
        <f aca="true">IF(TODAY()&lt;DATE($N$5,J66,I66),1000000,-1000000)</f>
        <v>-1000000</v>
      </c>
      <c r="M66" s="1" t="e">
        <f aca="false">IF(K66&gt;0,INDEX(big_daily_table,MATCH(DATE(N$5,$J66,$I66),daily_dates,0),MATCH($B$3,daily_items,0)),NA())</f>
        <v>#N/A</v>
      </c>
      <c r="N66" s="1" t="e">
        <f aca="false">IF(L66&lt;0,INDEX(big_daily_table,MATCH(DATE(N$5,$J66,$I66),daily_dates,0),MATCH($B$3,daily_items,0)),NA())</f>
        <v>#N/A</v>
      </c>
      <c r="O66" s="1" t="e">
        <f aca="false">IF(ISBLANK(INDEX(big_daily_table,MATCH(DATE(O$5,$J66,$I66),daily_dates,0),MATCH($B$3,daily_items,0))),NA(),INDEX(big_daily_table,MATCH(DATE(O$5,$J66,$I66),daily_dates,0),MATCH($B$3,daily_items,0)))</f>
        <v>#N/A</v>
      </c>
      <c r="P66" s="1" t="e">
        <f aca="false">IF(ISBLANK(INDEX(big_daily_table,MATCH(DATE(P$5,$J66,$I66),daily_dates,0),MATCH($B$3,daily_items,0))),NA(),INDEX(big_daily_table,MATCH(DATE(P$5,$J66,$I66),daily_dates,0),MATCH($B$3,daily_items,0)))</f>
        <v>#N/A</v>
      </c>
      <c r="Q66" s="1" t="e">
        <f aca="false">IF(ISBLANK(INDEX(big_daily_table,MATCH(DATE(Q$5,$J66,$I66),daily_dates,0),MATCH($B$3,daily_items,0))),NA(),INDEX(big_daily_table,MATCH(DATE(Q$5,$J66,$I66),daily_dates,0),MATCH($B$3,daily_items,0)))</f>
        <v>#N/A</v>
      </c>
      <c r="R66" s="1" t="e">
        <f aca="false">IF(ISBLANK(INDEX(big_daily_table,MATCH(DATE(R$5,$J66,$I66),daily_dates,0),MATCH($B$3,daily_items,0))),NA(),INDEX(big_daily_table,MATCH(DATE(R$5,$J66,$I66),daily_dates,0),MATCH($B$3,daily_items,0)))</f>
        <v>#N/A</v>
      </c>
      <c r="S66" s="1" t="e">
        <f aca="false">IF(ISBLANK(INDEX(big_daily_table,MATCH(DATE(S$5,$J66,$I66),daily_dates,0),MATCH($B$3,daily_items,0))),NA(),INDEX(big_daily_table,MATCH(DATE(S$5,$J66,$I66),daily_dates,0),MATCH($B$3,daily_items,0)))</f>
        <v>#N/A</v>
      </c>
      <c r="T66" s="1" t="e">
        <f aca="false">IF(ISBLANK(INDEX(big_daily_table,MATCH(DATE(T$5,$J66,$I66),daily_dates,0),MATCH($B$3,daily_items,0))),NA(),INDEX(big_daily_table,MATCH(DATE(T$5,$J66,$I66),daily_dates,0),MATCH($B$3,daily_items,0)))</f>
        <v>#N/A</v>
      </c>
      <c r="U66" s="1" t="e">
        <f aca="false">IF(ISBLANK(INDEX(big_daily_table,MATCH(DATE(U$5,$J66,$I66),daily_dates,0),MATCH($B$3,daily_items,0))),NA(),INDEX(big_daily_table,MATCH(DATE(U$5,$J66,$I66),daily_dates,0),MATCH($B$3,daily_items,0)))</f>
        <v>#N/A</v>
      </c>
      <c r="V66" s="1" t="e">
        <f aca="false">IF(ISBLANK(INDEX(big_daily_table,MATCH(DATE(V$5,$J66,$I66),daily_dates,0),MATCH($B$3,daily_items,0))),NA(),INDEX(big_daily_table,MATCH(DATE(V$5,$J66,$I66),daily_dates,0),MATCH($B$3,daily_items,0)))</f>
        <v>#N/A</v>
      </c>
      <c r="W66" s="1" t="e">
        <f aca="false">IF(ISBLANK(INDEX(big_daily_table,MATCH(DATE(W$5,$J66,$I66),daily_dates,0),MATCH($B$3,daily_items,0))),NA(),INDEX(big_daily_table,MATCH(DATE(W$5,$J66,$I66),daily_dates,0),MATCH($B$3,daily_items,0)))</f>
        <v>#N/A</v>
      </c>
      <c r="X66" s="1" t="e">
        <f aca="false">IF(ISBLANK(INDEX(big_daily_table,MATCH(DATE(X$5,$J66,$I66),daily_dates,0),MATCH($B$3,daily_items,0))),NA(),INDEX(big_daily_table,MATCH(DATE(X$5,$J66,$I66),daily_dates,0),MATCH($B$3,daily_items,0)))</f>
        <v>#N/A</v>
      </c>
      <c r="Y66" s="1" t="e">
        <f aca="false">IF(ISBLANK(INDEX(big_daily_table,MATCH(DATE(Y$5,$J66,$I66),daily_dates,0),MATCH($B$3,daily_items,0))),NA(),INDEX(big_daily_table,MATCH(DATE(Y$5,$J66,$I66),daily_dates,0),MATCH($B$3,daily_items,0)))</f>
        <v>#N/A</v>
      </c>
      <c r="Z66" s="1" t="n">
        <f aca="true">_xlfn.AGGREGATE(5,6,OFFSET($R$5,H66,0,1,$J$2))</f>
        <v>0</v>
      </c>
      <c r="AA66" s="1" t="n">
        <f aca="true">_xlfn.AGGREGATE(4,6,OFFSET($R$5,H66,0,1,$J$2))</f>
        <v>0</v>
      </c>
      <c r="AB66" s="1" t="n">
        <f aca="false">AA66-Z66</f>
        <v>0</v>
      </c>
      <c r="AC66" s="1" t="e">
        <f aca="true">_xlfn.AGGREGATE(1,6,OFFSET($R$5,H66,0,1,$J$2))</f>
        <v>#DIV/0!</v>
      </c>
    </row>
    <row r="67" customFormat="false" ht="14.25" hidden="false" customHeight="false" outlineLevel="0" collapsed="false">
      <c r="H67" s="1" t="n">
        <f aca="false">H66+1</f>
        <v>62</v>
      </c>
      <c r="I67" s="1" t="n">
        <f aca="false">DAY(K67)</f>
        <v>2</v>
      </c>
      <c r="J67" s="1" t="n">
        <f aca="false">MONTH(K67)</f>
        <v>3</v>
      </c>
      <c r="K67" s="23" t="n">
        <f aca="false">K66+1</f>
        <v>36587</v>
      </c>
      <c r="L67" s="24" t="n">
        <f aca="true">IF(TODAY()&lt;DATE($N$5,J67,I67),1000000,-1000000)</f>
        <v>-1000000</v>
      </c>
      <c r="M67" s="1" t="e">
        <f aca="false">IF(K67&gt;0,INDEX(big_daily_table,MATCH(DATE(N$5,$J67,$I67),daily_dates,0),MATCH($B$3,daily_items,0)),NA())</f>
        <v>#N/A</v>
      </c>
      <c r="N67" s="1" t="e">
        <f aca="false">IF(L67&lt;0,INDEX(big_daily_table,MATCH(DATE(N$5,$J67,$I67),daily_dates,0),MATCH($B$3,daily_items,0)),NA())</f>
        <v>#N/A</v>
      </c>
      <c r="O67" s="1" t="e">
        <f aca="false">IF(ISBLANK(INDEX(big_daily_table,MATCH(DATE(O$5,$J67,$I67),daily_dates,0),MATCH($B$3,daily_items,0))),NA(),INDEX(big_daily_table,MATCH(DATE(O$5,$J67,$I67),daily_dates,0),MATCH($B$3,daily_items,0)))</f>
        <v>#N/A</v>
      </c>
      <c r="P67" s="1" t="e">
        <f aca="false">IF(ISBLANK(INDEX(big_daily_table,MATCH(DATE(P$5,$J67,$I67),daily_dates,0),MATCH($B$3,daily_items,0))),NA(),INDEX(big_daily_table,MATCH(DATE(P$5,$J67,$I67),daily_dates,0),MATCH($B$3,daily_items,0)))</f>
        <v>#N/A</v>
      </c>
      <c r="Q67" s="1" t="e">
        <f aca="false">IF(ISBLANK(INDEX(big_daily_table,MATCH(DATE(Q$5,$J67,$I67),daily_dates,0),MATCH($B$3,daily_items,0))),NA(),INDEX(big_daily_table,MATCH(DATE(Q$5,$J67,$I67),daily_dates,0),MATCH($B$3,daily_items,0)))</f>
        <v>#N/A</v>
      </c>
      <c r="R67" s="1" t="e">
        <f aca="false">IF(ISBLANK(INDEX(big_daily_table,MATCH(DATE(R$5,$J67,$I67),daily_dates,0),MATCH($B$3,daily_items,0))),NA(),INDEX(big_daily_table,MATCH(DATE(R$5,$J67,$I67),daily_dates,0),MATCH($B$3,daily_items,0)))</f>
        <v>#N/A</v>
      </c>
      <c r="S67" s="1" t="e">
        <f aca="false">IF(ISBLANK(INDEX(big_daily_table,MATCH(DATE(S$5,$J67,$I67),daily_dates,0),MATCH($B$3,daily_items,0))),NA(),INDEX(big_daily_table,MATCH(DATE(S$5,$J67,$I67),daily_dates,0),MATCH($B$3,daily_items,0)))</f>
        <v>#N/A</v>
      </c>
      <c r="T67" s="1" t="e">
        <f aca="false">IF(ISBLANK(INDEX(big_daily_table,MATCH(DATE(T$5,$J67,$I67),daily_dates,0),MATCH($B$3,daily_items,0))),NA(),INDEX(big_daily_table,MATCH(DATE(T$5,$J67,$I67),daily_dates,0),MATCH($B$3,daily_items,0)))</f>
        <v>#N/A</v>
      </c>
      <c r="U67" s="1" t="e">
        <f aca="false">IF(ISBLANK(INDEX(big_daily_table,MATCH(DATE(U$5,$J67,$I67),daily_dates,0),MATCH($B$3,daily_items,0))),NA(),INDEX(big_daily_table,MATCH(DATE(U$5,$J67,$I67),daily_dates,0),MATCH($B$3,daily_items,0)))</f>
        <v>#N/A</v>
      </c>
      <c r="V67" s="1" t="e">
        <f aca="false">IF(ISBLANK(INDEX(big_daily_table,MATCH(DATE(V$5,$J67,$I67),daily_dates,0),MATCH($B$3,daily_items,0))),NA(),INDEX(big_daily_table,MATCH(DATE(V$5,$J67,$I67),daily_dates,0),MATCH($B$3,daily_items,0)))</f>
        <v>#N/A</v>
      </c>
      <c r="W67" s="1" t="e">
        <f aca="false">IF(ISBLANK(INDEX(big_daily_table,MATCH(DATE(W$5,$J67,$I67),daily_dates,0),MATCH($B$3,daily_items,0))),NA(),INDEX(big_daily_table,MATCH(DATE(W$5,$J67,$I67),daily_dates,0),MATCH($B$3,daily_items,0)))</f>
        <v>#N/A</v>
      </c>
      <c r="X67" s="1" t="e">
        <f aca="false">IF(ISBLANK(INDEX(big_daily_table,MATCH(DATE(X$5,$J67,$I67),daily_dates,0),MATCH($B$3,daily_items,0))),NA(),INDEX(big_daily_table,MATCH(DATE(X$5,$J67,$I67),daily_dates,0),MATCH($B$3,daily_items,0)))</f>
        <v>#N/A</v>
      </c>
      <c r="Y67" s="1" t="e">
        <f aca="false">IF(ISBLANK(INDEX(big_daily_table,MATCH(DATE(Y$5,$J67,$I67),daily_dates,0),MATCH($B$3,daily_items,0))),NA(),INDEX(big_daily_table,MATCH(DATE(Y$5,$J67,$I67),daily_dates,0),MATCH($B$3,daily_items,0)))</f>
        <v>#N/A</v>
      </c>
      <c r="Z67" s="1" t="n">
        <f aca="true">_xlfn.AGGREGATE(5,6,OFFSET($R$5,H67,0,1,$J$2))</f>
        <v>0</v>
      </c>
      <c r="AA67" s="1" t="n">
        <f aca="true">_xlfn.AGGREGATE(4,6,OFFSET($R$5,H67,0,1,$J$2))</f>
        <v>0</v>
      </c>
      <c r="AB67" s="1" t="n">
        <f aca="false">AA67-Z67</f>
        <v>0</v>
      </c>
      <c r="AC67" s="1" t="e">
        <f aca="true">_xlfn.AGGREGATE(1,6,OFFSET($R$5,H67,0,1,$J$2))</f>
        <v>#DIV/0!</v>
      </c>
    </row>
    <row r="68" customFormat="false" ht="14.25" hidden="false" customHeight="false" outlineLevel="0" collapsed="false">
      <c r="H68" s="1" t="n">
        <f aca="false">H67+1</f>
        <v>63</v>
      </c>
      <c r="I68" s="1" t="n">
        <f aca="false">DAY(K68)</f>
        <v>3</v>
      </c>
      <c r="J68" s="1" t="n">
        <f aca="false">MONTH(K68)</f>
        <v>3</v>
      </c>
      <c r="K68" s="23" t="n">
        <f aca="false">K67+1</f>
        <v>36588</v>
      </c>
      <c r="L68" s="24" t="n">
        <f aca="true">IF(TODAY()&lt;DATE($N$5,J68,I68),1000000,-1000000)</f>
        <v>-1000000</v>
      </c>
      <c r="M68" s="1" t="e">
        <f aca="false">IF(K68&gt;0,INDEX(big_daily_table,MATCH(DATE(N$5,$J68,$I68),daily_dates,0),MATCH($B$3,daily_items,0)),NA())</f>
        <v>#N/A</v>
      </c>
      <c r="N68" s="1" t="e">
        <f aca="false">IF(L68&lt;0,INDEX(big_daily_table,MATCH(DATE(N$5,$J68,$I68),daily_dates,0),MATCH($B$3,daily_items,0)),NA())</f>
        <v>#N/A</v>
      </c>
      <c r="O68" s="1" t="e">
        <f aca="false">IF(ISBLANK(INDEX(big_daily_table,MATCH(DATE(O$5,$J68,$I68),daily_dates,0),MATCH($B$3,daily_items,0))),NA(),INDEX(big_daily_table,MATCH(DATE(O$5,$J68,$I68),daily_dates,0),MATCH($B$3,daily_items,0)))</f>
        <v>#N/A</v>
      </c>
      <c r="P68" s="1" t="e">
        <f aca="false">IF(ISBLANK(INDEX(big_daily_table,MATCH(DATE(P$5,$J68,$I68),daily_dates,0),MATCH($B$3,daily_items,0))),NA(),INDEX(big_daily_table,MATCH(DATE(P$5,$J68,$I68),daily_dates,0),MATCH($B$3,daily_items,0)))</f>
        <v>#N/A</v>
      </c>
      <c r="Q68" s="1" t="e">
        <f aca="false">IF(ISBLANK(INDEX(big_daily_table,MATCH(DATE(Q$5,$J68,$I68),daily_dates,0),MATCH($B$3,daily_items,0))),NA(),INDEX(big_daily_table,MATCH(DATE(Q$5,$J68,$I68),daily_dates,0),MATCH($B$3,daily_items,0)))</f>
        <v>#N/A</v>
      </c>
      <c r="R68" s="1" t="e">
        <f aca="false">IF(ISBLANK(INDEX(big_daily_table,MATCH(DATE(R$5,$J68,$I68),daily_dates,0),MATCH($B$3,daily_items,0))),NA(),INDEX(big_daily_table,MATCH(DATE(R$5,$J68,$I68),daily_dates,0),MATCH($B$3,daily_items,0)))</f>
        <v>#N/A</v>
      </c>
      <c r="S68" s="1" t="e">
        <f aca="false">IF(ISBLANK(INDEX(big_daily_table,MATCH(DATE(S$5,$J68,$I68),daily_dates,0),MATCH($B$3,daily_items,0))),NA(),INDEX(big_daily_table,MATCH(DATE(S$5,$J68,$I68),daily_dates,0),MATCH($B$3,daily_items,0)))</f>
        <v>#N/A</v>
      </c>
      <c r="T68" s="1" t="e">
        <f aca="false">IF(ISBLANK(INDEX(big_daily_table,MATCH(DATE(T$5,$J68,$I68),daily_dates,0),MATCH($B$3,daily_items,0))),NA(),INDEX(big_daily_table,MATCH(DATE(T$5,$J68,$I68),daily_dates,0),MATCH($B$3,daily_items,0)))</f>
        <v>#N/A</v>
      </c>
      <c r="U68" s="1" t="e">
        <f aca="false">IF(ISBLANK(INDEX(big_daily_table,MATCH(DATE(U$5,$J68,$I68),daily_dates,0),MATCH($B$3,daily_items,0))),NA(),INDEX(big_daily_table,MATCH(DATE(U$5,$J68,$I68),daily_dates,0),MATCH($B$3,daily_items,0)))</f>
        <v>#N/A</v>
      </c>
      <c r="V68" s="1" t="e">
        <f aca="false">IF(ISBLANK(INDEX(big_daily_table,MATCH(DATE(V$5,$J68,$I68),daily_dates,0),MATCH($B$3,daily_items,0))),NA(),INDEX(big_daily_table,MATCH(DATE(V$5,$J68,$I68),daily_dates,0),MATCH($B$3,daily_items,0)))</f>
        <v>#N/A</v>
      </c>
      <c r="W68" s="1" t="e">
        <f aca="false">IF(ISBLANK(INDEX(big_daily_table,MATCH(DATE(W$5,$J68,$I68),daily_dates,0),MATCH($B$3,daily_items,0))),NA(),INDEX(big_daily_table,MATCH(DATE(W$5,$J68,$I68),daily_dates,0),MATCH($B$3,daily_items,0)))</f>
        <v>#N/A</v>
      </c>
      <c r="X68" s="1" t="e">
        <f aca="false">IF(ISBLANK(INDEX(big_daily_table,MATCH(DATE(X$5,$J68,$I68),daily_dates,0),MATCH($B$3,daily_items,0))),NA(),INDEX(big_daily_table,MATCH(DATE(X$5,$J68,$I68),daily_dates,0),MATCH($B$3,daily_items,0)))</f>
        <v>#N/A</v>
      </c>
      <c r="Y68" s="1" t="e">
        <f aca="false">IF(ISBLANK(INDEX(big_daily_table,MATCH(DATE(Y$5,$J68,$I68),daily_dates,0),MATCH($B$3,daily_items,0))),NA(),INDEX(big_daily_table,MATCH(DATE(Y$5,$J68,$I68),daily_dates,0),MATCH($B$3,daily_items,0)))</f>
        <v>#N/A</v>
      </c>
      <c r="Z68" s="1" t="n">
        <f aca="true">_xlfn.AGGREGATE(5,6,OFFSET($R$5,H68,0,1,$J$2))</f>
        <v>0</v>
      </c>
      <c r="AA68" s="1" t="n">
        <f aca="true">_xlfn.AGGREGATE(4,6,OFFSET($R$5,H68,0,1,$J$2))</f>
        <v>0</v>
      </c>
      <c r="AB68" s="1" t="n">
        <f aca="false">AA68-Z68</f>
        <v>0</v>
      </c>
      <c r="AC68" s="1" t="e">
        <f aca="true">_xlfn.AGGREGATE(1,6,OFFSET($R$5,H68,0,1,$J$2))</f>
        <v>#DIV/0!</v>
      </c>
    </row>
    <row r="69" customFormat="false" ht="14.25" hidden="false" customHeight="false" outlineLevel="0" collapsed="false">
      <c r="H69" s="1" t="n">
        <f aca="false">H68+1</f>
        <v>64</v>
      </c>
      <c r="I69" s="1" t="n">
        <f aca="false">DAY(K69)</f>
        <v>4</v>
      </c>
      <c r="J69" s="1" t="n">
        <f aca="false">MONTH(K69)</f>
        <v>3</v>
      </c>
      <c r="K69" s="23" t="n">
        <f aca="false">K68+1</f>
        <v>36589</v>
      </c>
      <c r="L69" s="24" t="n">
        <f aca="true">IF(TODAY()&lt;DATE($N$5,J69,I69),1000000,-1000000)</f>
        <v>-1000000</v>
      </c>
      <c r="M69" s="1" t="e">
        <f aca="false">IF(K69&gt;0,INDEX(big_daily_table,MATCH(DATE(N$5,$J69,$I69),daily_dates,0),MATCH($B$3,daily_items,0)),NA())</f>
        <v>#N/A</v>
      </c>
      <c r="N69" s="1" t="e">
        <f aca="false">IF(L69&lt;0,INDEX(big_daily_table,MATCH(DATE(N$5,$J69,$I69),daily_dates,0),MATCH($B$3,daily_items,0)),NA())</f>
        <v>#N/A</v>
      </c>
      <c r="O69" s="1" t="e">
        <f aca="false">IF(ISBLANK(INDEX(big_daily_table,MATCH(DATE(O$5,$J69,$I69),daily_dates,0),MATCH($B$3,daily_items,0))),NA(),INDEX(big_daily_table,MATCH(DATE(O$5,$J69,$I69),daily_dates,0),MATCH($B$3,daily_items,0)))</f>
        <v>#N/A</v>
      </c>
      <c r="P69" s="1" t="e">
        <f aca="false">IF(ISBLANK(INDEX(big_daily_table,MATCH(DATE(P$5,$J69,$I69),daily_dates,0),MATCH($B$3,daily_items,0))),NA(),INDEX(big_daily_table,MATCH(DATE(P$5,$J69,$I69),daily_dates,0),MATCH($B$3,daily_items,0)))</f>
        <v>#N/A</v>
      </c>
      <c r="Q69" s="1" t="e">
        <f aca="false">IF(ISBLANK(INDEX(big_daily_table,MATCH(DATE(Q$5,$J69,$I69),daily_dates,0),MATCH($B$3,daily_items,0))),NA(),INDEX(big_daily_table,MATCH(DATE(Q$5,$J69,$I69),daily_dates,0),MATCH($B$3,daily_items,0)))</f>
        <v>#N/A</v>
      </c>
      <c r="R69" s="1" t="e">
        <f aca="false">IF(ISBLANK(INDEX(big_daily_table,MATCH(DATE(R$5,$J69,$I69),daily_dates,0),MATCH($B$3,daily_items,0))),NA(),INDEX(big_daily_table,MATCH(DATE(R$5,$J69,$I69),daily_dates,0),MATCH($B$3,daily_items,0)))</f>
        <v>#N/A</v>
      </c>
      <c r="S69" s="1" t="e">
        <f aca="false">IF(ISBLANK(INDEX(big_daily_table,MATCH(DATE(S$5,$J69,$I69),daily_dates,0),MATCH($B$3,daily_items,0))),NA(),INDEX(big_daily_table,MATCH(DATE(S$5,$J69,$I69),daily_dates,0),MATCH($B$3,daily_items,0)))</f>
        <v>#N/A</v>
      </c>
      <c r="T69" s="1" t="e">
        <f aca="false">IF(ISBLANK(INDEX(big_daily_table,MATCH(DATE(T$5,$J69,$I69),daily_dates,0),MATCH($B$3,daily_items,0))),NA(),INDEX(big_daily_table,MATCH(DATE(T$5,$J69,$I69),daily_dates,0),MATCH($B$3,daily_items,0)))</f>
        <v>#N/A</v>
      </c>
      <c r="U69" s="1" t="e">
        <f aca="false">IF(ISBLANK(INDEX(big_daily_table,MATCH(DATE(U$5,$J69,$I69),daily_dates,0),MATCH($B$3,daily_items,0))),NA(),INDEX(big_daily_table,MATCH(DATE(U$5,$J69,$I69),daily_dates,0),MATCH($B$3,daily_items,0)))</f>
        <v>#N/A</v>
      </c>
      <c r="V69" s="1" t="e">
        <f aca="false">IF(ISBLANK(INDEX(big_daily_table,MATCH(DATE(V$5,$J69,$I69),daily_dates,0),MATCH($B$3,daily_items,0))),NA(),INDEX(big_daily_table,MATCH(DATE(V$5,$J69,$I69),daily_dates,0),MATCH($B$3,daily_items,0)))</f>
        <v>#N/A</v>
      </c>
      <c r="W69" s="1" t="e">
        <f aca="false">IF(ISBLANK(INDEX(big_daily_table,MATCH(DATE(W$5,$J69,$I69),daily_dates,0),MATCH($B$3,daily_items,0))),NA(),INDEX(big_daily_table,MATCH(DATE(W$5,$J69,$I69),daily_dates,0),MATCH($B$3,daily_items,0)))</f>
        <v>#N/A</v>
      </c>
      <c r="X69" s="1" t="e">
        <f aca="false">IF(ISBLANK(INDEX(big_daily_table,MATCH(DATE(X$5,$J69,$I69),daily_dates,0),MATCH($B$3,daily_items,0))),NA(),INDEX(big_daily_table,MATCH(DATE(X$5,$J69,$I69),daily_dates,0),MATCH($B$3,daily_items,0)))</f>
        <v>#N/A</v>
      </c>
      <c r="Y69" s="1" t="e">
        <f aca="false">IF(ISBLANK(INDEX(big_daily_table,MATCH(DATE(Y$5,$J69,$I69),daily_dates,0),MATCH($B$3,daily_items,0))),NA(),INDEX(big_daily_table,MATCH(DATE(Y$5,$J69,$I69),daily_dates,0),MATCH($B$3,daily_items,0)))</f>
        <v>#N/A</v>
      </c>
      <c r="Z69" s="1" t="n">
        <f aca="true">_xlfn.AGGREGATE(5,6,OFFSET($R$5,H69,0,1,$J$2))</f>
        <v>0</v>
      </c>
      <c r="AA69" s="1" t="n">
        <f aca="true">_xlfn.AGGREGATE(4,6,OFFSET($R$5,H69,0,1,$J$2))</f>
        <v>0</v>
      </c>
      <c r="AB69" s="1" t="n">
        <f aca="false">AA69-Z69</f>
        <v>0</v>
      </c>
      <c r="AC69" s="1" t="e">
        <f aca="true">_xlfn.AGGREGATE(1,6,OFFSET($R$5,H69,0,1,$J$2))</f>
        <v>#DIV/0!</v>
      </c>
    </row>
    <row r="70" customFormat="false" ht="14.25" hidden="false" customHeight="false" outlineLevel="0" collapsed="false">
      <c r="H70" s="1" t="n">
        <f aca="false">H69+1</f>
        <v>65</v>
      </c>
      <c r="I70" s="1" t="n">
        <f aca="false">DAY(K70)</f>
        <v>5</v>
      </c>
      <c r="J70" s="1" t="n">
        <f aca="false">MONTH(K70)</f>
        <v>3</v>
      </c>
      <c r="K70" s="23" t="n">
        <f aca="false">K69+1</f>
        <v>36590</v>
      </c>
      <c r="L70" s="24" t="n">
        <f aca="true">IF(TODAY()&lt;DATE($N$5,J70,I70),1000000,-1000000)</f>
        <v>-1000000</v>
      </c>
      <c r="M70" s="1" t="e">
        <f aca="false">IF(K70&gt;0,INDEX(big_daily_table,MATCH(DATE(N$5,$J70,$I70),daily_dates,0),MATCH($B$3,daily_items,0)),NA())</f>
        <v>#N/A</v>
      </c>
      <c r="N70" s="1" t="e">
        <f aca="false">IF(L70&lt;0,INDEX(big_daily_table,MATCH(DATE(N$5,$J70,$I70),daily_dates,0),MATCH($B$3,daily_items,0)),NA())</f>
        <v>#N/A</v>
      </c>
      <c r="O70" s="1" t="e">
        <f aca="false">IF(ISBLANK(INDEX(big_daily_table,MATCH(DATE(O$5,$J70,$I70),daily_dates,0),MATCH($B$3,daily_items,0))),NA(),INDEX(big_daily_table,MATCH(DATE(O$5,$J70,$I70),daily_dates,0),MATCH($B$3,daily_items,0)))</f>
        <v>#N/A</v>
      </c>
      <c r="P70" s="1" t="e">
        <f aca="false">IF(ISBLANK(INDEX(big_daily_table,MATCH(DATE(P$5,$J70,$I70),daily_dates,0),MATCH($B$3,daily_items,0))),NA(),INDEX(big_daily_table,MATCH(DATE(P$5,$J70,$I70),daily_dates,0),MATCH($B$3,daily_items,0)))</f>
        <v>#N/A</v>
      </c>
      <c r="Q70" s="1" t="e">
        <f aca="false">IF(ISBLANK(INDEX(big_daily_table,MATCH(DATE(Q$5,$J70,$I70),daily_dates,0),MATCH($B$3,daily_items,0))),NA(),INDEX(big_daily_table,MATCH(DATE(Q$5,$J70,$I70),daily_dates,0),MATCH($B$3,daily_items,0)))</f>
        <v>#N/A</v>
      </c>
      <c r="R70" s="1" t="e">
        <f aca="false">IF(ISBLANK(INDEX(big_daily_table,MATCH(DATE(R$5,$J70,$I70),daily_dates,0),MATCH($B$3,daily_items,0))),NA(),INDEX(big_daily_table,MATCH(DATE(R$5,$J70,$I70),daily_dates,0),MATCH($B$3,daily_items,0)))</f>
        <v>#N/A</v>
      </c>
      <c r="S70" s="1" t="e">
        <f aca="false">IF(ISBLANK(INDEX(big_daily_table,MATCH(DATE(S$5,$J70,$I70),daily_dates,0),MATCH($B$3,daily_items,0))),NA(),INDEX(big_daily_table,MATCH(DATE(S$5,$J70,$I70),daily_dates,0),MATCH($B$3,daily_items,0)))</f>
        <v>#N/A</v>
      </c>
      <c r="T70" s="1" t="e">
        <f aca="false">IF(ISBLANK(INDEX(big_daily_table,MATCH(DATE(T$5,$J70,$I70),daily_dates,0),MATCH($B$3,daily_items,0))),NA(),INDEX(big_daily_table,MATCH(DATE(T$5,$J70,$I70),daily_dates,0),MATCH($B$3,daily_items,0)))</f>
        <v>#N/A</v>
      </c>
      <c r="U70" s="1" t="e">
        <f aca="false">IF(ISBLANK(INDEX(big_daily_table,MATCH(DATE(U$5,$J70,$I70),daily_dates,0),MATCH($B$3,daily_items,0))),NA(),INDEX(big_daily_table,MATCH(DATE(U$5,$J70,$I70),daily_dates,0),MATCH($B$3,daily_items,0)))</f>
        <v>#N/A</v>
      </c>
      <c r="V70" s="1" t="e">
        <f aca="false">IF(ISBLANK(INDEX(big_daily_table,MATCH(DATE(V$5,$J70,$I70),daily_dates,0),MATCH($B$3,daily_items,0))),NA(),INDEX(big_daily_table,MATCH(DATE(V$5,$J70,$I70),daily_dates,0),MATCH($B$3,daily_items,0)))</f>
        <v>#N/A</v>
      </c>
      <c r="W70" s="1" t="e">
        <f aca="false">IF(ISBLANK(INDEX(big_daily_table,MATCH(DATE(W$5,$J70,$I70),daily_dates,0),MATCH($B$3,daily_items,0))),NA(),INDEX(big_daily_table,MATCH(DATE(W$5,$J70,$I70),daily_dates,0),MATCH($B$3,daily_items,0)))</f>
        <v>#N/A</v>
      </c>
      <c r="X70" s="1" t="e">
        <f aca="false">IF(ISBLANK(INDEX(big_daily_table,MATCH(DATE(X$5,$J70,$I70),daily_dates,0),MATCH($B$3,daily_items,0))),NA(),INDEX(big_daily_table,MATCH(DATE(X$5,$J70,$I70),daily_dates,0),MATCH($B$3,daily_items,0)))</f>
        <v>#N/A</v>
      </c>
      <c r="Y70" s="1" t="e">
        <f aca="false">IF(ISBLANK(INDEX(big_daily_table,MATCH(DATE(Y$5,$J70,$I70),daily_dates,0),MATCH($B$3,daily_items,0))),NA(),INDEX(big_daily_table,MATCH(DATE(Y$5,$J70,$I70),daily_dates,0),MATCH($B$3,daily_items,0)))</f>
        <v>#N/A</v>
      </c>
      <c r="Z70" s="1" t="n">
        <f aca="true">_xlfn.AGGREGATE(5,6,OFFSET($R$5,H70,0,1,$J$2))</f>
        <v>0</v>
      </c>
      <c r="AA70" s="1" t="n">
        <f aca="true">_xlfn.AGGREGATE(4,6,OFFSET($R$5,H70,0,1,$J$2))</f>
        <v>0</v>
      </c>
      <c r="AB70" s="1" t="n">
        <f aca="false">AA70-Z70</f>
        <v>0</v>
      </c>
      <c r="AC70" s="1" t="e">
        <f aca="true">_xlfn.AGGREGATE(1,6,OFFSET($R$5,H70,0,1,$J$2))</f>
        <v>#DIV/0!</v>
      </c>
    </row>
    <row r="71" customFormat="false" ht="14.25" hidden="false" customHeight="false" outlineLevel="0" collapsed="false">
      <c r="H71" s="1" t="n">
        <f aca="false">H70+1</f>
        <v>66</v>
      </c>
      <c r="I71" s="1" t="n">
        <f aca="false">DAY(K71)</f>
        <v>6</v>
      </c>
      <c r="J71" s="1" t="n">
        <f aca="false">MONTH(K71)</f>
        <v>3</v>
      </c>
      <c r="K71" s="23" t="n">
        <f aca="false">K70+1</f>
        <v>36591</v>
      </c>
      <c r="L71" s="24" t="n">
        <f aca="true">IF(TODAY()&lt;DATE($N$5,J71,I71),1000000,-1000000)</f>
        <v>-1000000</v>
      </c>
      <c r="M71" s="1" t="e">
        <f aca="false">IF(K71&gt;0,INDEX(big_daily_table,MATCH(DATE(N$5,$J71,$I71),daily_dates,0),MATCH($B$3,daily_items,0)),NA())</f>
        <v>#N/A</v>
      </c>
      <c r="N71" s="1" t="e">
        <f aca="false">IF(L71&lt;0,INDEX(big_daily_table,MATCH(DATE(N$5,$J71,$I71),daily_dates,0),MATCH($B$3,daily_items,0)),NA())</f>
        <v>#N/A</v>
      </c>
      <c r="O71" s="1" t="e">
        <f aca="false">IF(ISBLANK(INDEX(big_daily_table,MATCH(DATE(O$5,$J71,$I71),daily_dates,0),MATCH($B$3,daily_items,0))),NA(),INDEX(big_daily_table,MATCH(DATE(O$5,$J71,$I71),daily_dates,0),MATCH($B$3,daily_items,0)))</f>
        <v>#N/A</v>
      </c>
      <c r="P71" s="1" t="e">
        <f aca="false">IF(ISBLANK(INDEX(big_daily_table,MATCH(DATE(P$5,$J71,$I71),daily_dates,0),MATCH($B$3,daily_items,0))),NA(),INDEX(big_daily_table,MATCH(DATE(P$5,$J71,$I71),daily_dates,0),MATCH($B$3,daily_items,0)))</f>
        <v>#N/A</v>
      </c>
      <c r="Q71" s="1" t="e">
        <f aca="false">IF(ISBLANK(INDEX(big_daily_table,MATCH(DATE(Q$5,$J71,$I71),daily_dates,0),MATCH($B$3,daily_items,0))),NA(),INDEX(big_daily_table,MATCH(DATE(Q$5,$J71,$I71),daily_dates,0),MATCH($B$3,daily_items,0)))</f>
        <v>#N/A</v>
      </c>
      <c r="R71" s="1" t="e">
        <f aca="false">IF(ISBLANK(INDEX(big_daily_table,MATCH(DATE(R$5,$J71,$I71),daily_dates,0),MATCH($B$3,daily_items,0))),NA(),INDEX(big_daily_table,MATCH(DATE(R$5,$J71,$I71),daily_dates,0),MATCH($B$3,daily_items,0)))</f>
        <v>#N/A</v>
      </c>
      <c r="S71" s="1" t="e">
        <f aca="false">IF(ISBLANK(INDEX(big_daily_table,MATCH(DATE(S$5,$J71,$I71),daily_dates,0),MATCH($B$3,daily_items,0))),NA(),INDEX(big_daily_table,MATCH(DATE(S$5,$J71,$I71),daily_dates,0),MATCH($B$3,daily_items,0)))</f>
        <v>#N/A</v>
      </c>
      <c r="T71" s="1" t="e">
        <f aca="false">IF(ISBLANK(INDEX(big_daily_table,MATCH(DATE(T$5,$J71,$I71),daily_dates,0),MATCH($B$3,daily_items,0))),NA(),INDEX(big_daily_table,MATCH(DATE(T$5,$J71,$I71),daily_dates,0),MATCH($B$3,daily_items,0)))</f>
        <v>#N/A</v>
      </c>
      <c r="U71" s="1" t="e">
        <f aca="false">IF(ISBLANK(INDEX(big_daily_table,MATCH(DATE(U$5,$J71,$I71),daily_dates,0),MATCH($B$3,daily_items,0))),NA(),INDEX(big_daily_table,MATCH(DATE(U$5,$J71,$I71),daily_dates,0),MATCH($B$3,daily_items,0)))</f>
        <v>#N/A</v>
      </c>
      <c r="V71" s="1" t="e">
        <f aca="false">IF(ISBLANK(INDEX(big_daily_table,MATCH(DATE(V$5,$J71,$I71),daily_dates,0),MATCH($B$3,daily_items,0))),NA(),INDEX(big_daily_table,MATCH(DATE(V$5,$J71,$I71),daily_dates,0),MATCH($B$3,daily_items,0)))</f>
        <v>#N/A</v>
      </c>
      <c r="W71" s="1" t="e">
        <f aca="false">IF(ISBLANK(INDEX(big_daily_table,MATCH(DATE(W$5,$J71,$I71),daily_dates,0),MATCH($B$3,daily_items,0))),NA(),INDEX(big_daily_table,MATCH(DATE(W$5,$J71,$I71),daily_dates,0),MATCH($B$3,daily_items,0)))</f>
        <v>#N/A</v>
      </c>
      <c r="X71" s="1" t="e">
        <f aca="false">IF(ISBLANK(INDEX(big_daily_table,MATCH(DATE(X$5,$J71,$I71),daily_dates,0),MATCH($B$3,daily_items,0))),NA(),INDEX(big_daily_table,MATCH(DATE(X$5,$J71,$I71),daily_dates,0),MATCH($B$3,daily_items,0)))</f>
        <v>#N/A</v>
      </c>
      <c r="Y71" s="1" t="e">
        <f aca="false">IF(ISBLANK(INDEX(big_daily_table,MATCH(DATE(Y$5,$J71,$I71),daily_dates,0),MATCH($B$3,daily_items,0))),NA(),INDEX(big_daily_table,MATCH(DATE(Y$5,$J71,$I71),daily_dates,0),MATCH($B$3,daily_items,0)))</f>
        <v>#N/A</v>
      </c>
      <c r="Z71" s="1" t="n">
        <f aca="true">_xlfn.AGGREGATE(5,6,OFFSET($R$5,H71,0,1,$J$2))</f>
        <v>0</v>
      </c>
      <c r="AA71" s="1" t="n">
        <f aca="true">_xlfn.AGGREGATE(4,6,OFFSET($R$5,H71,0,1,$J$2))</f>
        <v>0</v>
      </c>
      <c r="AB71" s="1" t="n">
        <f aca="false">AA71-Z71</f>
        <v>0</v>
      </c>
      <c r="AC71" s="1" t="e">
        <f aca="true">_xlfn.AGGREGATE(1,6,OFFSET($R$5,H71,0,1,$J$2))</f>
        <v>#DIV/0!</v>
      </c>
    </row>
    <row r="72" customFormat="false" ht="14.25" hidden="false" customHeight="false" outlineLevel="0" collapsed="false">
      <c r="H72" s="1" t="n">
        <f aca="false">H71+1</f>
        <v>67</v>
      </c>
      <c r="I72" s="1" t="n">
        <f aca="false">DAY(K72)</f>
        <v>7</v>
      </c>
      <c r="J72" s="1" t="n">
        <f aca="false">MONTH(K72)</f>
        <v>3</v>
      </c>
      <c r="K72" s="23" t="n">
        <f aca="false">K71+1</f>
        <v>36592</v>
      </c>
      <c r="L72" s="24" t="n">
        <f aca="true">IF(TODAY()&lt;DATE($N$5,J72,I72),1000000,-1000000)</f>
        <v>-1000000</v>
      </c>
      <c r="M72" s="1" t="e">
        <f aca="false">IF(K72&gt;0,INDEX(big_daily_table,MATCH(DATE(N$5,$J72,$I72),daily_dates,0),MATCH($B$3,daily_items,0)),NA())</f>
        <v>#N/A</v>
      </c>
      <c r="N72" s="1" t="e">
        <f aca="false">IF(L72&lt;0,INDEX(big_daily_table,MATCH(DATE(N$5,$J72,$I72),daily_dates,0),MATCH($B$3,daily_items,0)),NA())</f>
        <v>#N/A</v>
      </c>
      <c r="O72" s="1" t="e">
        <f aca="false">IF(ISBLANK(INDEX(big_daily_table,MATCH(DATE(O$5,$J72,$I72),daily_dates,0),MATCH($B$3,daily_items,0))),NA(),INDEX(big_daily_table,MATCH(DATE(O$5,$J72,$I72),daily_dates,0),MATCH($B$3,daily_items,0)))</f>
        <v>#N/A</v>
      </c>
      <c r="P72" s="1" t="e">
        <f aca="false">IF(ISBLANK(INDEX(big_daily_table,MATCH(DATE(P$5,$J72,$I72),daily_dates,0),MATCH($B$3,daily_items,0))),NA(),INDEX(big_daily_table,MATCH(DATE(P$5,$J72,$I72),daily_dates,0),MATCH($B$3,daily_items,0)))</f>
        <v>#N/A</v>
      </c>
      <c r="Q72" s="1" t="e">
        <f aca="false">IF(ISBLANK(INDEX(big_daily_table,MATCH(DATE(Q$5,$J72,$I72),daily_dates,0),MATCH($B$3,daily_items,0))),NA(),INDEX(big_daily_table,MATCH(DATE(Q$5,$J72,$I72),daily_dates,0),MATCH($B$3,daily_items,0)))</f>
        <v>#N/A</v>
      </c>
      <c r="R72" s="1" t="e">
        <f aca="false">IF(ISBLANK(INDEX(big_daily_table,MATCH(DATE(R$5,$J72,$I72),daily_dates,0),MATCH($B$3,daily_items,0))),NA(),INDEX(big_daily_table,MATCH(DATE(R$5,$J72,$I72),daily_dates,0),MATCH($B$3,daily_items,0)))</f>
        <v>#N/A</v>
      </c>
      <c r="S72" s="1" t="e">
        <f aca="false">IF(ISBLANK(INDEX(big_daily_table,MATCH(DATE(S$5,$J72,$I72),daily_dates,0),MATCH($B$3,daily_items,0))),NA(),INDEX(big_daily_table,MATCH(DATE(S$5,$J72,$I72),daily_dates,0),MATCH($B$3,daily_items,0)))</f>
        <v>#N/A</v>
      </c>
      <c r="T72" s="1" t="e">
        <f aca="false">IF(ISBLANK(INDEX(big_daily_table,MATCH(DATE(T$5,$J72,$I72),daily_dates,0),MATCH($B$3,daily_items,0))),NA(),INDEX(big_daily_table,MATCH(DATE(T$5,$J72,$I72),daily_dates,0),MATCH($B$3,daily_items,0)))</f>
        <v>#N/A</v>
      </c>
      <c r="U72" s="1" t="e">
        <f aca="false">IF(ISBLANK(INDEX(big_daily_table,MATCH(DATE(U$5,$J72,$I72),daily_dates,0),MATCH($B$3,daily_items,0))),NA(),INDEX(big_daily_table,MATCH(DATE(U$5,$J72,$I72),daily_dates,0),MATCH($B$3,daily_items,0)))</f>
        <v>#N/A</v>
      </c>
      <c r="V72" s="1" t="e">
        <f aca="false">IF(ISBLANK(INDEX(big_daily_table,MATCH(DATE(V$5,$J72,$I72),daily_dates,0),MATCH($B$3,daily_items,0))),NA(),INDEX(big_daily_table,MATCH(DATE(V$5,$J72,$I72),daily_dates,0),MATCH($B$3,daily_items,0)))</f>
        <v>#N/A</v>
      </c>
      <c r="W72" s="1" t="e">
        <f aca="false">IF(ISBLANK(INDEX(big_daily_table,MATCH(DATE(W$5,$J72,$I72),daily_dates,0),MATCH($B$3,daily_items,0))),NA(),INDEX(big_daily_table,MATCH(DATE(W$5,$J72,$I72),daily_dates,0),MATCH($B$3,daily_items,0)))</f>
        <v>#N/A</v>
      </c>
      <c r="X72" s="1" t="e">
        <f aca="false">IF(ISBLANK(INDEX(big_daily_table,MATCH(DATE(X$5,$J72,$I72),daily_dates,0),MATCH($B$3,daily_items,0))),NA(),INDEX(big_daily_table,MATCH(DATE(X$5,$J72,$I72),daily_dates,0),MATCH($B$3,daily_items,0)))</f>
        <v>#N/A</v>
      </c>
      <c r="Y72" s="1" t="e">
        <f aca="false">IF(ISBLANK(INDEX(big_daily_table,MATCH(DATE(Y$5,$J72,$I72),daily_dates,0),MATCH($B$3,daily_items,0))),NA(),INDEX(big_daily_table,MATCH(DATE(Y$5,$J72,$I72),daily_dates,0),MATCH($B$3,daily_items,0)))</f>
        <v>#N/A</v>
      </c>
      <c r="Z72" s="1" t="n">
        <f aca="true">_xlfn.AGGREGATE(5,6,OFFSET($R$5,H72,0,1,$J$2))</f>
        <v>0</v>
      </c>
      <c r="AA72" s="1" t="n">
        <f aca="true">_xlfn.AGGREGATE(4,6,OFFSET($R$5,H72,0,1,$J$2))</f>
        <v>0</v>
      </c>
      <c r="AB72" s="1" t="n">
        <f aca="false">AA72-Z72</f>
        <v>0</v>
      </c>
      <c r="AC72" s="1" t="e">
        <f aca="true">_xlfn.AGGREGATE(1,6,OFFSET($R$5,H72,0,1,$J$2))</f>
        <v>#DIV/0!</v>
      </c>
    </row>
    <row r="73" customFormat="false" ht="14.25" hidden="false" customHeight="false" outlineLevel="0" collapsed="false">
      <c r="H73" s="1" t="n">
        <f aca="false">H72+1</f>
        <v>68</v>
      </c>
      <c r="I73" s="1" t="n">
        <f aca="false">DAY(K73)</f>
        <v>8</v>
      </c>
      <c r="J73" s="1" t="n">
        <f aca="false">MONTH(K73)</f>
        <v>3</v>
      </c>
      <c r="K73" s="23" t="n">
        <f aca="false">K72+1</f>
        <v>36593</v>
      </c>
      <c r="L73" s="24" t="n">
        <f aca="true">IF(TODAY()&lt;DATE($N$5,J73,I73),1000000,-1000000)</f>
        <v>-1000000</v>
      </c>
      <c r="M73" s="1" t="e">
        <f aca="false">IF(K73&gt;0,INDEX(big_daily_table,MATCH(DATE(N$5,$J73,$I73),daily_dates,0),MATCH($B$3,daily_items,0)),NA())</f>
        <v>#N/A</v>
      </c>
      <c r="N73" s="1" t="e">
        <f aca="false">IF(L73&lt;0,INDEX(big_daily_table,MATCH(DATE(N$5,$J73,$I73),daily_dates,0),MATCH($B$3,daily_items,0)),NA())</f>
        <v>#N/A</v>
      </c>
      <c r="O73" s="1" t="e">
        <f aca="false">IF(ISBLANK(INDEX(big_daily_table,MATCH(DATE(O$5,$J73,$I73),daily_dates,0),MATCH($B$3,daily_items,0))),NA(),INDEX(big_daily_table,MATCH(DATE(O$5,$J73,$I73),daily_dates,0),MATCH($B$3,daily_items,0)))</f>
        <v>#N/A</v>
      </c>
      <c r="P73" s="1" t="e">
        <f aca="false">IF(ISBLANK(INDEX(big_daily_table,MATCH(DATE(P$5,$J73,$I73),daily_dates,0),MATCH($B$3,daily_items,0))),NA(),INDEX(big_daily_table,MATCH(DATE(P$5,$J73,$I73),daily_dates,0),MATCH($B$3,daily_items,0)))</f>
        <v>#N/A</v>
      </c>
      <c r="Q73" s="1" t="e">
        <f aca="false">IF(ISBLANK(INDEX(big_daily_table,MATCH(DATE(Q$5,$J73,$I73),daily_dates,0),MATCH($B$3,daily_items,0))),NA(),INDEX(big_daily_table,MATCH(DATE(Q$5,$J73,$I73),daily_dates,0),MATCH($B$3,daily_items,0)))</f>
        <v>#N/A</v>
      </c>
      <c r="R73" s="1" t="e">
        <f aca="false">IF(ISBLANK(INDEX(big_daily_table,MATCH(DATE(R$5,$J73,$I73),daily_dates,0),MATCH($B$3,daily_items,0))),NA(),INDEX(big_daily_table,MATCH(DATE(R$5,$J73,$I73),daily_dates,0),MATCH($B$3,daily_items,0)))</f>
        <v>#N/A</v>
      </c>
      <c r="S73" s="1" t="e">
        <f aca="false">IF(ISBLANK(INDEX(big_daily_table,MATCH(DATE(S$5,$J73,$I73),daily_dates,0),MATCH($B$3,daily_items,0))),NA(),INDEX(big_daily_table,MATCH(DATE(S$5,$J73,$I73),daily_dates,0),MATCH($B$3,daily_items,0)))</f>
        <v>#N/A</v>
      </c>
      <c r="T73" s="1" t="e">
        <f aca="false">IF(ISBLANK(INDEX(big_daily_table,MATCH(DATE(T$5,$J73,$I73),daily_dates,0),MATCH($B$3,daily_items,0))),NA(),INDEX(big_daily_table,MATCH(DATE(T$5,$J73,$I73),daily_dates,0),MATCH($B$3,daily_items,0)))</f>
        <v>#N/A</v>
      </c>
      <c r="U73" s="1" t="e">
        <f aca="false">IF(ISBLANK(INDEX(big_daily_table,MATCH(DATE(U$5,$J73,$I73),daily_dates,0),MATCH($B$3,daily_items,0))),NA(),INDEX(big_daily_table,MATCH(DATE(U$5,$J73,$I73),daily_dates,0),MATCH($B$3,daily_items,0)))</f>
        <v>#N/A</v>
      </c>
      <c r="V73" s="1" t="e">
        <f aca="false">IF(ISBLANK(INDEX(big_daily_table,MATCH(DATE(V$5,$J73,$I73),daily_dates,0),MATCH($B$3,daily_items,0))),NA(),INDEX(big_daily_table,MATCH(DATE(V$5,$J73,$I73),daily_dates,0),MATCH($B$3,daily_items,0)))</f>
        <v>#N/A</v>
      </c>
      <c r="W73" s="1" t="e">
        <f aca="false">IF(ISBLANK(INDEX(big_daily_table,MATCH(DATE(W$5,$J73,$I73),daily_dates,0),MATCH($B$3,daily_items,0))),NA(),INDEX(big_daily_table,MATCH(DATE(W$5,$J73,$I73),daily_dates,0),MATCH($B$3,daily_items,0)))</f>
        <v>#N/A</v>
      </c>
      <c r="X73" s="1" t="e">
        <f aca="false">IF(ISBLANK(INDEX(big_daily_table,MATCH(DATE(X$5,$J73,$I73),daily_dates,0),MATCH($B$3,daily_items,0))),NA(),INDEX(big_daily_table,MATCH(DATE(X$5,$J73,$I73),daily_dates,0),MATCH($B$3,daily_items,0)))</f>
        <v>#N/A</v>
      </c>
      <c r="Y73" s="1" t="e">
        <f aca="false">IF(ISBLANK(INDEX(big_daily_table,MATCH(DATE(Y$5,$J73,$I73),daily_dates,0),MATCH($B$3,daily_items,0))),NA(),INDEX(big_daily_table,MATCH(DATE(Y$5,$J73,$I73),daily_dates,0),MATCH($B$3,daily_items,0)))</f>
        <v>#N/A</v>
      </c>
      <c r="Z73" s="1" t="n">
        <f aca="true">_xlfn.AGGREGATE(5,6,OFFSET($R$5,H73,0,1,$J$2))</f>
        <v>0</v>
      </c>
      <c r="AA73" s="1" t="n">
        <f aca="true">_xlfn.AGGREGATE(4,6,OFFSET($R$5,H73,0,1,$J$2))</f>
        <v>0</v>
      </c>
      <c r="AB73" s="1" t="n">
        <f aca="false">AA73-Z73</f>
        <v>0</v>
      </c>
      <c r="AC73" s="1" t="e">
        <f aca="true">_xlfn.AGGREGATE(1,6,OFFSET($R$5,H73,0,1,$J$2))</f>
        <v>#DIV/0!</v>
      </c>
    </row>
    <row r="74" customFormat="false" ht="14.25" hidden="false" customHeight="false" outlineLevel="0" collapsed="false">
      <c r="H74" s="1" t="n">
        <f aca="false">H73+1</f>
        <v>69</v>
      </c>
      <c r="I74" s="1" t="n">
        <f aca="false">DAY(K74)</f>
        <v>9</v>
      </c>
      <c r="J74" s="1" t="n">
        <f aca="false">MONTH(K74)</f>
        <v>3</v>
      </c>
      <c r="K74" s="23" t="n">
        <f aca="false">K73+1</f>
        <v>36594</v>
      </c>
      <c r="L74" s="24" t="n">
        <f aca="true">IF(TODAY()&lt;DATE($N$5,J74,I74),1000000,-1000000)</f>
        <v>-1000000</v>
      </c>
      <c r="M74" s="1" t="e">
        <f aca="false">IF(K74&gt;0,INDEX(big_daily_table,MATCH(DATE(N$5,$J74,$I74),daily_dates,0),MATCH($B$3,daily_items,0)),NA())</f>
        <v>#N/A</v>
      </c>
      <c r="N74" s="1" t="e">
        <f aca="false">IF(L74&lt;0,INDEX(big_daily_table,MATCH(DATE(N$5,$J74,$I74),daily_dates,0),MATCH($B$3,daily_items,0)),NA())</f>
        <v>#N/A</v>
      </c>
      <c r="O74" s="1" t="e">
        <f aca="false">IF(ISBLANK(INDEX(big_daily_table,MATCH(DATE(O$5,$J74,$I74),daily_dates,0),MATCH($B$3,daily_items,0))),NA(),INDEX(big_daily_table,MATCH(DATE(O$5,$J74,$I74),daily_dates,0),MATCH($B$3,daily_items,0)))</f>
        <v>#N/A</v>
      </c>
      <c r="P74" s="1" t="e">
        <f aca="false">IF(ISBLANK(INDEX(big_daily_table,MATCH(DATE(P$5,$J74,$I74),daily_dates,0),MATCH($B$3,daily_items,0))),NA(),INDEX(big_daily_table,MATCH(DATE(P$5,$J74,$I74),daily_dates,0),MATCH($B$3,daily_items,0)))</f>
        <v>#N/A</v>
      </c>
      <c r="Q74" s="1" t="e">
        <f aca="false">IF(ISBLANK(INDEX(big_daily_table,MATCH(DATE(Q$5,$J74,$I74),daily_dates,0),MATCH($B$3,daily_items,0))),NA(),INDEX(big_daily_table,MATCH(DATE(Q$5,$J74,$I74),daily_dates,0),MATCH($B$3,daily_items,0)))</f>
        <v>#N/A</v>
      </c>
      <c r="R74" s="1" t="e">
        <f aca="false">IF(ISBLANK(INDEX(big_daily_table,MATCH(DATE(R$5,$J74,$I74),daily_dates,0),MATCH($B$3,daily_items,0))),NA(),INDEX(big_daily_table,MATCH(DATE(R$5,$J74,$I74),daily_dates,0),MATCH($B$3,daily_items,0)))</f>
        <v>#N/A</v>
      </c>
      <c r="S74" s="1" t="e">
        <f aca="false">IF(ISBLANK(INDEX(big_daily_table,MATCH(DATE(S$5,$J74,$I74),daily_dates,0),MATCH($B$3,daily_items,0))),NA(),INDEX(big_daily_table,MATCH(DATE(S$5,$J74,$I74),daily_dates,0),MATCH($B$3,daily_items,0)))</f>
        <v>#N/A</v>
      </c>
      <c r="T74" s="1" t="e">
        <f aca="false">IF(ISBLANK(INDEX(big_daily_table,MATCH(DATE(T$5,$J74,$I74),daily_dates,0),MATCH($B$3,daily_items,0))),NA(),INDEX(big_daily_table,MATCH(DATE(T$5,$J74,$I74),daily_dates,0),MATCH($B$3,daily_items,0)))</f>
        <v>#N/A</v>
      </c>
      <c r="U74" s="1" t="e">
        <f aca="false">IF(ISBLANK(INDEX(big_daily_table,MATCH(DATE(U$5,$J74,$I74),daily_dates,0),MATCH($B$3,daily_items,0))),NA(),INDEX(big_daily_table,MATCH(DATE(U$5,$J74,$I74),daily_dates,0),MATCH($B$3,daily_items,0)))</f>
        <v>#N/A</v>
      </c>
      <c r="V74" s="1" t="e">
        <f aca="false">IF(ISBLANK(INDEX(big_daily_table,MATCH(DATE(V$5,$J74,$I74),daily_dates,0),MATCH($B$3,daily_items,0))),NA(),INDEX(big_daily_table,MATCH(DATE(V$5,$J74,$I74),daily_dates,0),MATCH($B$3,daily_items,0)))</f>
        <v>#N/A</v>
      </c>
      <c r="W74" s="1" t="e">
        <f aca="false">IF(ISBLANK(INDEX(big_daily_table,MATCH(DATE(W$5,$J74,$I74),daily_dates,0),MATCH($B$3,daily_items,0))),NA(),INDEX(big_daily_table,MATCH(DATE(W$5,$J74,$I74),daily_dates,0),MATCH($B$3,daily_items,0)))</f>
        <v>#N/A</v>
      </c>
      <c r="X74" s="1" t="e">
        <f aca="false">IF(ISBLANK(INDEX(big_daily_table,MATCH(DATE(X$5,$J74,$I74),daily_dates,0),MATCH($B$3,daily_items,0))),NA(),INDEX(big_daily_table,MATCH(DATE(X$5,$J74,$I74),daily_dates,0),MATCH($B$3,daily_items,0)))</f>
        <v>#N/A</v>
      </c>
      <c r="Y74" s="1" t="e">
        <f aca="false">IF(ISBLANK(INDEX(big_daily_table,MATCH(DATE(Y$5,$J74,$I74),daily_dates,0),MATCH($B$3,daily_items,0))),NA(),INDEX(big_daily_table,MATCH(DATE(Y$5,$J74,$I74),daily_dates,0),MATCH($B$3,daily_items,0)))</f>
        <v>#N/A</v>
      </c>
      <c r="Z74" s="1" t="n">
        <f aca="true">_xlfn.AGGREGATE(5,6,OFFSET($R$5,H74,0,1,$J$2))</f>
        <v>0</v>
      </c>
      <c r="AA74" s="1" t="n">
        <f aca="true">_xlfn.AGGREGATE(4,6,OFFSET($R$5,H74,0,1,$J$2))</f>
        <v>0</v>
      </c>
      <c r="AB74" s="1" t="n">
        <f aca="false">AA74-Z74</f>
        <v>0</v>
      </c>
      <c r="AC74" s="1" t="e">
        <f aca="true">_xlfn.AGGREGATE(1,6,OFFSET($R$5,H74,0,1,$J$2))</f>
        <v>#DIV/0!</v>
      </c>
    </row>
    <row r="75" customFormat="false" ht="14.25" hidden="false" customHeight="false" outlineLevel="0" collapsed="false">
      <c r="H75" s="1" t="n">
        <f aca="false">H74+1</f>
        <v>70</v>
      </c>
      <c r="I75" s="1" t="n">
        <f aca="false">DAY(K75)</f>
        <v>10</v>
      </c>
      <c r="J75" s="1" t="n">
        <f aca="false">MONTH(K75)</f>
        <v>3</v>
      </c>
      <c r="K75" s="23" t="n">
        <f aca="false">K74+1</f>
        <v>36595</v>
      </c>
      <c r="L75" s="24" t="n">
        <f aca="true">IF(TODAY()&lt;DATE($N$5,J75,I75),1000000,-1000000)</f>
        <v>-1000000</v>
      </c>
      <c r="M75" s="1" t="e">
        <f aca="false">IF(K75&gt;0,INDEX(big_daily_table,MATCH(DATE(N$5,$J75,$I75),daily_dates,0),MATCH($B$3,daily_items,0)),NA())</f>
        <v>#N/A</v>
      </c>
      <c r="N75" s="1" t="e">
        <f aca="false">IF(L75&lt;0,INDEX(big_daily_table,MATCH(DATE(N$5,$J75,$I75),daily_dates,0),MATCH($B$3,daily_items,0)),NA())</f>
        <v>#N/A</v>
      </c>
      <c r="O75" s="1" t="e">
        <f aca="false">IF(ISBLANK(INDEX(big_daily_table,MATCH(DATE(O$5,$J75,$I75),daily_dates,0),MATCH($B$3,daily_items,0))),NA(),INDEX(big_daily_table,MATCH(DATE(O$5,$J75,$I75),daily_dates,0),MATCH($B$3,daily_items,0)))</f>
        <v>#N/A</v>
      </c>
      <c r="P75" s="1" t="e">
        <f aca="false">IF(ISBLANK(INDEX(big_daily_table,MATCH(DATE(P$5,$J75,$I75),daily_dates,0),MATCH($B$3,daily_items,0))),NA(),INDEX(big_daily_table,MATCH(DATE(P$5,$J75,$I75),daily_dates,0),MATCH($B$3,daily_items,0)))</f>
        <v>#N/A</v>
      </c>
      <c r="Q75" s="1" t="e">
        <f aca="false">IF(ISBLANK(INDEX(big_daily_table,MATCH(DATE(Q$5,$J75,$I75),daily_dates,0),MATCH($B$3,daily_items,0))),NA(),INDEX(big_daily_table,MATCH(DATE(Q$5,$J75,$I75),daily_dates,0),MATCH($B$3,daily_items,0)))</f>
        <v>#N/A</v>
      </c>
      <c r="R75" s="1" t="e">
        <f aca="false">IF(ISBLANK(INDEX(big_daily_table,MATCH(DATE(R$5,$J75,$I75),daily_dates,0),MATCH($B$3,daily_items,0))),NA(),INDEX(big_daily_table,MATCH(DATE(R$5,$J75,$I75),daily_dates,0),MATCH($B$3,daily_items,0)))</f>
        <v>#N/A</v>
      </c>
      <c r="S75" s="1" t="e">
        <f aca="false">IF(ISBLANK(INDEX(big_daily_table,MATCH(DATE(S$5,$J75,$I75),daily_dates,0),MATCH($B$3,daily_items,0))),NA(),INDEX(big_daily_table,MATCH(DATE(S$5,$J75,$I75),daily_dates,0),MATCH($B$3,daily_items,0)))</f>
        <v>#N/A</v>
      </c>
      <c r="T75" s="1" t="e">
        <f aca="false">IF(ISBLANK(INDEX(big_daily_table,MATCH(DATE(T$5,$J75,$I75),daily_dates,0),MATCH($B$3,daily_items,0))),NA(),INDEX(big_daily_table,MATCH(DATE(T$5,$J75,$I75),daily_dates,0),MATCH($B$3,daily_items,0)))</f>
        <v>#N/A</v>
      </c>
      <c r="U75" s="1" t="e">
        <f aca="false">IF(ISBLANK(INDEX(big_daily_table,MATCH(DATE(U$5,$J75,$I75),daily_dates,0),MATCH($B$3,daily_items,0))),NA(),INDEX(big_daily_table,MATCH(DATE(U$5,$J75,$I75),daily_dates,0),MATCH($B$3,daily_items,0)))</f>
        <v>#N/A</v>
      </c>
      <c r="V75" s="1" t="e">
        <f aca="false">IF(ISBLANK(INDEX(big_daily_table,MATCH(DATE(V$5,$J75,$I75),daily_dates,0),MATCH($B$3,daily_items,0))),NA(),INDEX(big_daily_table,MATCH(DATE(V$5,$J75,$I75),daily_dates,0),MATCH($B$3,daily_items,0)))</f>
        <v>#N/A</v>
      </c>
      <c r="W75" s="1" t="e">
        <f aca="false">IF(ISBLANK(INDEX(big_daily_table,MATCH(DATE(W$5,$J75,$I75),daily_dates,0),MATCH($B$3,daily_items,0))),NA(),INDEX(big_daily_table,MATCH(DATE(W$5,$J75,$I75),daily_dates,0),MATCH($B$3,daily_items,0)))</f>
        <v>#N/A</v>
      </c>
      <c r="X75" s="1" t="e">
        <f aca="false">IF(ISBLANK(INDEX(big_daily_table,MATCH(DATE(X$5,$J75,$I75),daily_dates,0),MATCH($B$3,daily_items,0))),NA(),INDEX(big_daily_table,MATCH(DATE(X$5,$J75,$I75),daily_dates,0),MATCH($B$3,daily_items,0)))</f>
        <v>#N/A</v>
      </c>
      <c r="Y75" s="1" t="e">
        <f aca="false">IF(ISBLANK(INDEX(big_daily_table,MATCH(DATE(Y$5,$J75,$I75),daily_dates,0),MATCH($B$3,daily_items,0))),NA(),INDEX(big_daily_table,MATCH(DATE(Y$5,$J75,$I75),daily_dates,0),MATCH($B$3,daily_items,0)))</f>
        <v>#N/A</v>
      </c>
      <c r="Z75" s="1" t="n">
        <f aca="true">_xlfn.AGGREGATE(5,6,OFFSET($R$5,H75,0,1,$J$2))</f>
        <v>0</v>
      </c>
      <c r="AA75" s="1" t="n">
        <f aca="true">_xlfn.AGGREGATE(4,6,OFFSET($R$5,H75,0,1,$J$2))</f>
        <v>0</v>
      </c>
      <c r="AB75" s="1" t="n">
        <f aca="false">AA75-Z75</f>
        <v>0</v>
      </c>
      <c r="AC75" s="1" t="e">
        <f aca="true">_xlfn.AGGREGATE(1,6,OFFSET($R$5,H75,0,1,$J$2))</f>
        <v>#DIV/0!</v>
      </c>
    </row>
    <row r="76" customFormat="false" ht="14.25" hidden="false" customHeight="false" outlineLevel="0" collapsed="false">
      <c r="H76" s="1" t="n">
        <f aca="false">H75+1</f>
        <v>71</v>
      </c>
      <c r="I76" s="1" t="n">
        <f aca="false">DAY(K76)</f>
        <v>11</v>
      </c>
      <c r="J76" s="1" t="n">
        <f aca="false">MONTH(K76)</f>
        <v>3</v>
      </c>
      <c r="K76" s="23" t="n">
        <f aca="false">K75+1</f>
        <v>36596</v>
      </c>
      <c r="L76" s="24" t="n">
        <f aca="true">IF(TODAY()&lt;DATE($N$5,J76,I76),1000000,-1000000)</f>
        <v>-1000000</v>
      </c>
      <c r="M76" s="1" t="e">
        <f aca="false">IF(K76&gt;0,INDEX(big_daily_table,MATCH(DATE(N$5,$J76,$I76),daily_dates,0),MATCH($B$3,daily_items,0)),NA())</f>
        <v>#N/A</v>
      </c>
      <c r="N76" s="1" t="e">
        <f aca="false">IF(L76&lt;0,INDEX(big_daily_table,MATCH(DATE(N$5,$J76,$I76),daily_dates,0),MATCH($B$3,daily_items,0)),NA())</f>
        <v>#N/A</v>
      </c>
      <c r="O76" s="1" t="e">
        <f aca="false">IF(ISBLANK(INDEX(big_daily_table,MATCH(DATE(O$5,$J76,$I76),daily_dates,0),MATCH($B$3,daily_items,0))),NA(),INDEX(big_daily_table,MATCH(DATE(O$5,$J76,$I76),daily_dates,0),MATCH($B$3,daily_items,0)))</f>
        <v>#N/A</v>
      </c>
      <c r="P76" s="1" t="e">
        <f aca="false">IF(ISBLANK(INDEX(big_daily_table,MATCH(DATE(P$5,$J76,$I76),daily_dates,0),MATCH($B$3,daily_items,0))),NA(),INDEX(big_daily_table,MATCH(DATE(P$5,$J76,$I76),daily_dates,0),MATCH($B$3,daily_items,0)))</f>
        <v>#N/A</v>
      </c>
      <c r="Q76" s="1" t="e">
        <f aca="false">IF(ISBLANK(INDEX(big_daily_table,MATCH(DATE(Q$5,$J76,$I76),daily_dates,0),MATCH($B$3,daily_items,0))),NA(),INDEX(big_daily_table,MATCH(DATE(Q$5,$J76,$I76),daily_dates,0),MATCH($B$3,daily_items,0)))</f>
        <v>#N/A</v>
      </c>
      <c r="R76" s="1" t="e">
        <f aca="false">IF(ISBLANK(INDEX(big_daily_table,MATCH(DATE(R$5,$J76,$I76),daily_dates,0),MATCH($B$3,daily_items,0))),NA(),INDEX(big_daily_table,MATCH(DATE(R$5,$J76,$I76),daily_dates,0),MATCH($B$3,daily_items,0)))</f>
        <v>#N/A</v>
      </c>
      <c r="S76" s="1" t="e">
        <f aca="false">IF(ISBLANK(INDEX(big_daily_table,MATCH(DATE(S$5,$J76,$I76),daily_dates,0),MATCH($B$3,daily_items,0))),NA(),INDEX(big_daily_table,MATCH(DATE(S$5,$J76,$I76),daily_dates,0),MATCH($B$3,daily_items,0)))</f>
        <v>#N/A</v>
      </c>
      <c r="T76" s="1" t="e">
        <f aca="false">IF(ISBLANK(INDEX(big_daily_table,MATCH(DATE(T$5,$J76,$I76),daily_dates,0),MATCH($B$3,daily_items,0))),NA(),INDEX(big_daily_table,MATCH(DATE(T$5,$J76,$I76),daily_dates,0),MATCH($B$3,daily_items,0)))</f>
        <v>#N/A</v>
      </c>
      <c r="U76" s="1" t="e">
        <f aca="false">IF(ISBLANK(INDEX(big_daily_table,MATCH(DATE(U$5,$J76,$I76),daily_dates,0),MATCH($B$3,daily_items,0))),NA(),INDEX(big_daily_table,MATCH(DATE(U$5,$J76,$I76),daily_dates,0),MATCH($B$3,daily_items,0)))</f>
        <v>#N/A</v>
      </c>
      <c r="V76" s="1" t="e">
        <f aca="false">IF(ISBLANK(INDEX(big_daily_table,MATCH(DATE(V$5,$J76,$I76),daily_dates,0),MATCH($B$3,daily_items,0))),NA(),INDEX(big_daily_table,MATCH(DATE(V$5,$J76,$I76),daily_dates,0),MATCH($B$3,daily_items,0)))</f>
        <v>#N/A</v>
      </c>
      <c r="W76" s="1" t="e">
        <f aca="false">IF(ISBLANK(INDEX(big_daily_table,MATCH(DATE(W$5,$J76,$I76),daily_dates,0),MATCH($B$3,daily_items,0))),NA(),INDEX(big_daily_table,MATCH(DATE(W$5,$J76,$I76),daily_dates,0),MATCH($B$3,daily_items,0)))</f>
        <v>#N/A</v>
      </c>
      <c r="X76" s="1" t="e">
        <f aca="false">IF(ISBLANK(INDEX(big_daily_table,MATCH(DATE(X$5,$J76,$I76),daily_dates,0),MATCH($B$3,daily_items,0))),NA(),INDEX(big_daily_table,MATCH(DATE(X$5,$J76,$I76),daily_dates,0),MATCH($B$3,daily_items,0)))</f>
        <v>#N/A</v>
      </c>
      <c r="Y76" s="1" t="e">
        <f aca="false">IF(ISBLANK(INDEX(big_daily_table,MATCH(DATE(Y$5,$J76,$I76),daily_dates,0),MATCH($B$3,daily_items,0))),NA(),INDEX(big_daily_table,MATCH(DATE(Y$5,$J76,$I76),daily_dates,0),MATCH($B$3,daily_items,0)))</f>
        <v>#N/A</v>
      </c>
      <c r="Z76" s="1" t="n">
        <f aca="true">_xlfn.AGGREGATE(5,6,OFFSET($R$5,H76,0,1,$J$2))</f>
        <v>0</v>
      </c>
      <c r="AA76" s="1" t="n">
        <f aca="true">_xlfn.AGGREGATE(4,6,OFFSET($R$5,H76,0,1,$J$2))</f>
        <v>0</v>
      </c>
      <c r="AB76" s="1" t="n">
        <f aca="false">AA76-Z76</f>
        <v>0</v>
      </c>
      <c r="AC76" s="1" t="e">
        <f aca="true">_xlfn.AGGREGATE(1,6,OFFSET($R$5,H76,0,1,$J$2))</f>
        <v>#DIV/0!</v>
      </c>
    </row>
    <row r="77" customFormat="false" ht="14.25" hidden="false" customHeight="false" outlineLevel="0" collapsed="false">
      <c r="H77" s="1" t="n">
        <f aca="false">H76+1</f>
        <v>72</v>
      </c>
      <c r="I77" s="1" t="n">
        <f aca="false">DAY(K77)</f>
        <v>12</v>
      </c>
      <c r="J77" s="1" t="n">
        <f aca="false">MONTH(K77)</f>
        <v>3</v>
      </c>
      <c r="K77" s="23" t="n">
        <f aca="false">K76+1</f>
        <v>36597</v>
      </c>
      <c r="L77" s="24" t="n">
        <f aca="true">IF(TODAY()&lt;DATE($N$5,J77,I77),1000000,-1000000)</f>
        <v>-1000000</v>
      </c>
      <c r="M77" s="1" t="e">
        <f aca="false">IF(K77&gt;0,INDEX(big_daily_table,MATCH(DATE(N$5,$J77,$I77),daily_dates,0),MATCH($B$3,daily_items,0)),NA())</f>
        <v>#N/A</v>
      </c>
      <c r="N77" s="1" t="e">
        <f aca="false">IF(L77&lt;0,INDEX(big_daily_table,MATCH(DATE(N$5,$J77,$I77),daily_dates,0),MATCH($B$3,daily_items,0)),NA())</f>
        <v>#N/A</v>
      </c>
      <c r="O77" s="1" t="e">
        <f aca="false">IF(ISBLANK(INDEX(big_daily_table,MATCH(DATE(O$5,$J77,$I77),daily_dates,0),MATCH($B$3,daily_items,0))),NA(),INDEX(big_daily_table,MATCH(DATE(O$5,$J77,$I77),daily_dates,0),MATCH($B$3,daily_items,0)))</f>
        <v>#N/A</v>
      </c>
      <c r="P77" s="1" t="e">
        <f aca="false">IF(ISBLANK(INDEX(big_daily_table,MATCH(DATE(P$5,$J77,$I77),daily_dates,0),MATCH($B$3,daily_items,0))),NA(),INDEX(big_daily_table,MATCH(DATE(P$5,$J77,$I77),daily_dates,0),MATCH($B$3,daily_items,0)))</f>
        <v>#N/A</v>
      </c>
      <c r="Q77" s="1" t="e">
        <f aca="false">IF(ISBLANK(INDEX(big_daily_table,MATCH(DATE(Q$5,$J77,$I77),daily_dates,0),MATCH($B$3,daily_items,0))),NA(),INDEX(big_daily_table,MATCH(DATE(Q$5,$J77,$I77),daily_dates,0),MATCH($B$3,daily_items,0)))</f>
        <v>#N/A</v>
      </c>
      <c r="R77" s="1" t="e">
        <f aca="false">IF(ISBLANK(INDEX(big_daily_table,MATCH(DATE(R$5,$J77,$I77),daily_dates,0),MATCH($B$3,daily_items,0))),NA(),INDEX(big_daily_table,MATCH(DATE(R$5,$J77,$I77),daily_dates,0),MATCH($B$3,daily_items,0)))</f>
        <v>#N/A</v>
      </c>
      <c r="S77" s="1" t="e">
        <f aca="false">IF(ISBLANK(INDEX(big_daily_table,MATCH(DATE(S$5,$J77,$I77),daily_dates,0),MATCH($B$3,daily_items,0))),NA(),INDEX(big_daily_table,MATCH(DATE(S$5,$J77,$I77),daily_dates,0),MATCH($B$3,daily_items,0)))</f>
        <v>#N/A</v>
      </c>
      <c r="T77" s="1" t="e">
        <f aca="false">IF(ISBLANK(INDEX(big_daily_table,MATCH(DATE(T$5,$J77,$I77),daily_dates,0),MATCH($B$3,daily_items,0))),NA(),INDEX(big_daily_table,MATCH(DATE(T$5,$J77,$I77),daily_dates,0),MATCH($B$3,daily_items,0)))</f>
        <v>#N/A</v>
      </c>
      <c r="U77" s="1" t="e">
        <f aca="false">IF(ISBLANK(INDEX(big_daily_table,MATCH(DATE(U$5,$J77,$I77),daily_dates,0),MATCH($B$3,daily_items,0))),NA(),INDEX(big_daily_table,MATCH(DATE(U$5,$J77,$I77),daily_dates,0),MATCH($B$3,daily_items,0)))</f>
        <v>#N/A</v>
      </c>
      <c r="V77" s="1" t="e">
        <f aca="false">IF(ISBLANK(INDEX(big_daily_table,MATCH(DATE(V$5,$J77,$I77),daily_dates,0),MATCH($B$3,daily_items,0))),NA(),INDEX(big_daily_table,MATCH(DATE(V$5,$J77,$I77),daily_dates,0),MATCH($B$3,daily_items,0)))</f>
        <v>#N/A</v>
      </c>
      <c r="W77" s="1" t="e">
        <f aca="false">IF(ISBLANK(INDEX(big_daily_table,MATCH(DATE(W$5,$J77,$I77),daily_dates,0),MATCH($B$3,daily_items,0))),NA(),INDEX(big_daily_table,MATCH(DATE(W$5,$J77,$I77),daily_dates,0),MATCH($B$3,daily_items,0)))</f>
        <v>#N/A</v>
      </c>
      <c r="X77" s="1" t="e">
        <f aca="false">IF(ISBLANK(INDEX(big_daily_table,MATCH(DATE(X$5,$J77,$I77),daily_dates,0),MATCH($B$3,daily_items,0))),NA(),INDEX(big_daily_table,MATCH(DATE(X$5,$J77,$I77),daily_dates,0),MATCH($B$3,daily_items,0)))</f>
        <v>#N/A</v>
      </c>
      <c r="Y77" s="1" t="e">
        <f aca="false">IF(ISBLANK(INDEX(big_daily_table,MATCH(DATE(Y$5,$J77,$I77),daily_dates,0),MATCH($B$3,daily_items,0))),NA(),INDEX(big_daily_table,MATCH(DATE(Y$5,$J77,$I77),daily_dates,0),MATCH($B$3,daily_items,0)))</f>
        <v>#N/A</v>
      </c>
      <c r="Z77" s="1" t="n">
        <f aca="true">_xlfn.AGGREGATE(5,6,OFFSET($R$5,H77,0,1,$J$2))</f>
        <v>0</v>
      </c>
      <c r="AA77" s="1" t="n">
        <f aca="true">_xlfn.AGGREGATE(4,6,OFFSET($R$5,H77,0,1,$J$2))</f>
        <v>0</v>
      </c>
      <c r="AB77" s="1" t="n">
        <f aca="false">AA77-Z77</f>
        <v>0</v>
      </c>
      <c r="AC77" s="1" t="e">
        <f aca="true">_xlfn.AGGREGATE(1,6,OFFSET($R$5,H77,0,1,$J$2))</f>
        <v>#DIV/0!</v>
      </c>
    </row>
    <row r="78" customFormat="false" ht="14.25" hidden="false" customHeight="false" outlineLevel="0" collapsed="false">
      <c r="H78" s="1" t="n">
        <f aca="false">H77+1</f>
        <v>73</v>
      </c>
      <c r="I78" s="1" t="n">
        <f aca="false">DAY(K78)</f>
        <v>13</v>
      </c>
      <c r="J78" s="1" t="n">
        <f aca="false">MONTH(K78)</f>
        <v>3</v>
      </c>
      <c r="K78" s="23" t="n">
        <f aca="false">K77+1</f>
        <v>36598</v>
      </c>
      <c r="L78" s="24" t="n">
        <f aca="true">IF(TODAY()&lt;DATE($N$5,J78,I78),1000000,-1000000)</f>
        <v>-1000000</v>
      </c>
      <c r="M78" s="1" t="e">
        <f aca="false">IF(K78&gt;0,INDEX(big_daily_table,MATCH(DATE(N$5,$J78,$I78),daily_dates,0),MATCH($B$3,daily_items,0)),NA())</f>
        <v>#N/A</v>
      </c>
      <c r="N78" s="1" t="e">
        <f aca="false">IF(L78&lt;0,INDEX(big_daily_table,MATCH(DATE(N$5,$J78,$I78),daily_dates,0),MATCH($B$3,daily_items,0)),NA())</f>
        <v>#N/A</v>
      </c>
      <c r="O78" s="1" t="e">
        <f aca="false">IF(ISBLANK(INDEX(big_daily_table,MATCH(DATE(O$5,$J78,$I78),daily_dates,0),MATCH($B$3,daily_items,0))),NA(),INDEX(big_daily_table,MATCH(DATE(O$5,$J78,$I78),daily_dates,0),MATCH($B$3,daily_items,0)))</f>
        <v>#N/A</v>
      </c>
      <c r="P78" s="1" t="e">
        <f aca="false">IF(ISBLANK(INDEX(big_daily_table,MATCH(DATE(P$5,$J78,$I78),daily_dates,0),MATCH($B$3,daily_items,0))),NA(),INDEX(big_daily_table,MATCH(DATE(P$5,$J78,$I78),daily_dates,0),MATCH($B$3,daily_items,0)))</f>
        <v>#N/A</v>
      </c>
      <c r="Q78" s="1" t="e">
        <f aca="false">IF(ISBLANK(INDEX(big_daily_table,MATCH(DATE(Q$5,$J78,$I78),daily_dates,0),MATCH($B$3,daily_items,0))),NA(),INDEX(big_daily_table,MATCH(DATE(Q$5,$J78,$I78),daily_dates,0),MATCH($B$3,daily_items,0)))</f>
        <v>#N/A</v>
      </c>
      <c r="R78" s="1" t="e">
        <f aca="false">IF(ISBLANK(INDEX(big_daily_table,MATCH(DATE(R$5,$J78,$I78),daily_dates,0),MATCH($B$3,daily_items,0))),NA(),INDEX(big_daily_table,MATCH(DATE(R$5,$J78,$I78),daily_dates,0),MATCH($B$3,daily_items,0)))</f>
        <v>#N/A</v>
      </c>
      <c r="S78" s="1" t="e">
        <f aca="false">IF(ISBLANK(INDEX(big_daily_table,MATCH(DATE(S$5,$J78,$I78),daily_dates,0),MATCH($B$3,daily_items,0))),NA(),INDEX(big_daily_table,MATCH(DATE(S$5,$J78,$I78),daily_dates,0),MATCH($B$3,daily_items,0)))</f>
        <v>#N/A</v>
      </c>
      <c r="T78" s="1" t="e">
        <f aca="false">IF(ISBLANK(INDEX(big_daily_table,MATCH(DATE(T$5,$J78,$I78),daily_dates,0),MATCH($B$3,daily_items,0))),NA(),INDEX(big_daily_table,MATCH(DATE(T$5,$J78,$I78),daily_dates,0),MATCH($B$3,daily_items,0)))</f>
        <v>#N/A</v>
      </c>
      <c r="U78" s="1" t="e">
        <f aca="false">IF(ISBLANK(INDEX(big_daily_table,MATCH(DATE(U$5,$J78,$I78),daily_dates,0),MATCH($B$3,daily_items,0))),NA(),INDEX(big_daily_table,MATCH(DATE(U$5,$J78,$I78),daily_dates,0),MATCH($B$3,daily_items,0)))</f>
        <v>#N/A</v>
      </c>
      <c r="V78" s="1" t="e">
        <f aca="false">IF(ISBLANK(INDEX(big_daily_table,MATCH(DATE(V$5,$J78,$I78),daily_dates,0),MATCH($B$3,daily_items,0))),NA(),INDEX(big_daily_table,MATCH(DATE(V$5,$J78,$I78),daily_dates,0),MATCH($B$3,daily_items,0)))</f>
        <v>#N/A</v>
      </c>
      <c r="W78" s="1" t="e">
        <f aca="false">IF(ISBLANK(INDEX(big_daily_table,MATCH(DATE(W$5,$J78,$I78),daily_dates,0),MATCH($B$3,daily_items,0))),NA(),INDEX(big_daily_table,MATCH(DATE(W$5,$J78,$I78),daily_dates,0),MATCH($B$3,daily_items,0)))</f>
        <v>#N/A</v>
      </c>
      <c r="X78" s="1" t="e">
        <f aca="false">IF(ISBLANK(INDEX(big_daily_table,MATCH(DATE(X$5,$J78,$I78),daily_dates,0),MATCH($B$3,daily_items,0))),NA(),INDEX(big_daily_table,MATCH(DATE(X$5,$J78,$I78),daily_dates,0),MATCH($B$3,daily_items,0)))</f>
        <v>#N/A</v>
      </c>
      <c r="Y78" s="1" t="e">
        <f aca="false">IF(ISBLANK(INDEX(big_daily_table,MATCH(DATE(Y$5,$J78,$I78),daily_dates,0),MATCH($B$3,daily_items,0))),NA(),INDEX(big_daily_table,MATCH(DATE(Y$5,$J78,$I78),daily_dates,0),MATCH($B$3,daily_items,0)))</f>
        <v>#N/A</v>
      </c>
      <c r="Z78" s="1" t="n">
        <f aca="true">_xlfn.AGGREGATE(5,6,OFFSET($R$5,H78,0,1,$J$2))</f>
        <v>0</v>
      </c>
      <c r="AA78" s="1" t="n">
        <f aca="true">_xlfn.AGGREGATE(4,6,OFFSET($R$5,H78,0,1,$J$2))</f>
        <v>0</v>
      </c>
      <c r="AB78" s="1" t="n">
        <f aca="false">AA78-Z78</f>
        <v>0</v>
      </c>
      <c r="AC78" s="1" t="e">
        <f aca="true">_xlfn.AGGREGATE(1,6,OFFSET($R$5,H78,0,1,$J$2))</f>
        <v>#DIV/0!</v>
      </c>
    </row>
    <row r="79" customFormat="false" ht="14.25" hidden="false" customHeight="false" outlineLevel="0" collapsed="false">
      <c r="H79" s="1" t="n">
        <f aca="false">H78+1</f>
        <v>74</v>
      </c>
      <c r="I79" s="1" t="n">
        <f aca="false">DAY(K79)</f>
        <v>14</v>
      </c>
      <c r="J79" s="1" t="n">
        <f aca="false">MONTH(K79)</f>
        <v>3</v>
      </c>
      <c r="K79" s="23" t="n">
        <f aca="false">K78+1</f>
        <v>36599</v>
      </c>
      <c r="L79" s="24" t="n">
        <f aca="true">IF(TODAY()&lt;DATE($N$5,J79,I79),1000000,-1000000)</f>
        <v>-1000000</v>
      </c>
      <c r="M79" s="1" t="e">
        <f aca="false">IF(K79&gt;0,INDEX(big_daily_table,MATCH(DATE(N$5,$J79,$I79),daily_dates,0),MATCH($B$3,daily_items,0)),NA())</f>
        <v>#N/A</v>
      </c>
      <c r="N79" s="1" t="e">
        <f aca="false">IF(L79&lt;0,INDEX(big_daily_table,MATCH(DATE(N$5,$J79,$I79),daily_dates,0),MATCH($B$3,daily_items,0)),NA())</f>
        <v>#N/A</v>
      </c>
      <c r="O79" s="1" t="e">
        <f aca="false">IF(ISBLANK(INDEX(big_daily_table,MATCH(DATE(O$5,$J79,$I79),daily_dates,0),MATCH($B$3,daily_items,0))),NA(),INDEX(big_daily_table,MATCH(DATE(O$5,$J79,$I79),daily_dates,0),MATCH($B$3,daily_items,0)))</f>
        <v>#N/A</v>
      </c>
      <c r="P79" s="1" t="e">
        <f aca="false">IF(ISBLANK(INDEX(big_daily_table,MATCH(DATE(P$5,$J79,$I79),daily_dates,0),MATCH($B$3,daily_items,0))),NA(),INDEX(big_daily_table,MATCH(DATE(P$5,$J79,$I79),daily_dates,0),MATCH($B$3,daily_items,0)))</f>
        <v>#N/A</v>
      </c>
      <c r="Q79" s="1" t="e">
        <f aca="false">IF(ISBLANK(INDEX(big_daily_table,MATCH(DATE(Q$5,$J79,$I79),daily_dates,0),MATCH($B$3,daily_items,0))),NA(),INDEX(big_daily_table,MATCH(DATE(Q$5,$J79,$I79),daily_dates,0),MATCH($B$3,daily_items,0)))</f>
        <v>#N/A</v>
      </c>
      <c r="R79" s="1" t="e">
        <f aca="false">IF(ISBLANK(INDEX(big_daily_table,MATCH(DATE(R$5,$J79,$I79),daily_dates,0),MATCH($B$3,daily_items,0))),NA(),INDEX(big_daily_table,MATCH(DATE(R$5,$J79,$I79),daily_dates,0),MATCH($B$3,daily_items,0)))</f>
        <v>#N/A</v>
      </c>
      <c r="S79" s="1" t="e">
        <f aca="false">IF(ISBLANK(INDEX(big_daily_table,MATCH(DATE(S$5,$J79,$I79),daily_dates,0),MATCH($B$3,daily_items,0))),NA(),INDEX(big_daily_table,MATCH(DATE(S$5,$J79,$I79),daily_dates,0),MATCH($B$3,daily_items,0)))</f>
        <v>#N/A</v>
      </c>
      <c r="T79" s="1" t="e">
        <f aca="false">IF(ISBLANK(INDEX(big_daily_table,MATCH(DATE(T$5,$J79,$I79),daily_dates,0),MATCH($B$3,daily_items,0))),NA(),INDEX(big_daily_table,MATCH(DATE(T$5,$J79,$I79),daily_dates,0),MATCH($B$3,daily_items,0)))</f>
        <v>#N/A</v>
      </c>
      <c r="U79" s="1" t="e">
        <f aca="false">IF(ISBLANK(INDEX(big_daily_table,MATCH(DATE(U$5,$J79,$I79),daily_dates,0),MATCH($B$3,daily_items,0))),NA(),INDEX(big_daily_table,MATCH(DATE(U$5,$J79,$I79),daily_dates,0),MATCH($B$3,daily_items,0)))</f>
        <v>#N/A</v>
      </c>
      <c r="V79" s="1" t="e">
        <f aca="false">IF(ISBLANK(INDEX(big_daily_table,MATCH(DATE(V$5,$J79,$I79),daily_dates,0),MATCH($B$3,daily_items,0))),NA(),INDEX(big_daily_table,MATCH(DATE(V$5,$J79,$I79),daily_dates,0),MATCH($B$3,daily_items,0)))</f>
        <v>#N/A</v>
      </c>
      <c r="W79" s="1" t="e">
        <f aca="false">IF(ISBLANK(INDEX(big_daily_table,MATCH(DATE(W$5,$J79,$I79),daily_dates,0),MATCH($B$3,daily_items,0))),NA(),INDEX(big_daily_table,MATCH(DATE(W$5,$J79,$I79),daily_dates,0),MATCH($B$3,daily_items,0)))</f>
        <v>#N/A</v>
      </c>
      <c r="X79" s="1" t="e">
        <f aca="false">IF(ISBLANK(INDEX(big_daily_table,MATCH(DATE(X$5,$J79,$I79),daily_dates,0),MATCH($B$3,daily_items,0))),NA(),INDEX(big_daily_table,MATCH(DATE(X$5,$J79,$I79),daily_dates,0),MATCH($B$3,daily_items,0)))</f>
        <v>#N/A</v>
      </c>
      <c r="Y79" s="1" t="e">
        <f aca="false">IF(ISBLANK(INDEX(big_daily_table,MATCH(DATE(Y$5,$J79,$I79),daily_dates,0),MATCH($B$3,daily_items,0))),NA(),INDEX(big_daily_table,MATCH(DATE(Y$5,$J79,$I79),daily_dates,0),MATCH($B$3,daily_items,0)))</f>
        <v>#N/A</v>
      </c>
      <c r="Z79" s="1" t="n">
        <f aca="true">_xlfn.AGGREGATE(5,6,OFFSET($R$5,H79,0,1,$J$2))</f>
        <v>0</v>
      </c>
      <c r="AA79" s="1" t="n">
        <f aca="true">_xlfn.AGGREGATE(4,6,OFFSET($R$5,H79,0,1,$J$2))</f>
        <v>0</v>
      </c>
      <c r="AB79" s="1" t="n">
        <f aca="false">AA79-Z79</f>
        <v>0</v>
      </c>
      <c r="AC79" s="1" t="e">
        <f aca="true">_xlfn.AGGREGATE(1,6,OFFSET($R$5,H79,0,1,$J$2))</f>
        <v>#DIV/0!</v>
      </c>
    </row>
    <row r="80" customFormat="false" ht="14.25" hidden="false" customHeight="false" outlineLevel="0" collapsed="false">
      <c r="H80" s="1" t="n">
        <f aca="false">H79+1</f>
        <v>75</v>
      </c>
      <c r="I80" s="1" t="n">
        <f aca="false">DAY(K80)</f>
        <v>15</v>
      </c>
      <c r="J80" s="1" t="n">
        <f aca="false">MONTH(K80)</f>
        <v>3</v>
      </c>
      <c r="K80" s="23" t="n">
        <f aca="false">K79+1</f>
        <v>36600</v>
      </c>
      <c r="L80" s="24" t="n">
        <f aca="true">IF(TODAY()&lt;DATE($N$5,J80,I80),1000000,-1000000)</f>
        <v>-1000000</v>
      </c>
      <c r="M80" s="1" t="e">
        <f aca="false">IF(K80&gt;0,INDEX(big_daily_table,MATCH(DATE(N$5,$J80,$I80),daily_dates,0),MATCH($B$3,daily_items,0)),NA())</f>
        <v>#N/A</v>
      </c>
      <c r="N80" s="1" t="e">
        <f aca="false">IF(L80&lt;0,INDEX(big_daily_table,MATCH(DATE(N$5,$J80,$I80),daily_dates,0),MATCH($B$3,daily_items,0)),NA())</f>
        <v>#N/A</v>
      </c>
      <c r="O80" s="1" t="e">
        <f aca="false">IF(ISBLANK(INDEX(big_daily_table,MATCH(DATE(O$5,$J80,$I80),daily_dates,0),MATCH($B$3,daily_items,0))),NA(),INDEX(big_daily_table,MATCH(DATE(O$5,$J80,$I80),daily_dates,0),MATCH($B$3,daily_items,0)))</f>
        <v>#N/A</v>
      </c>
      <c r="P80" s="1" t="e">
        <f aca="false">IF(ISBLANK(INDEX(big_daily_table,MATCH(DATE(P$5,$J80,$I80),daily_dates,0),MATCH($B$3,daily_items,0))),NA(),INDEX(big_daily_table,MATCH(DATE(P$5,$J80,$I80),daily_dates,0),MATCH($B$3,daily_items,0)))</f>
        <v>#N/A</v>
      </c>
      <c r="Q80" s="1" t="e">
        <f aca="false">IF(ISBLANK(INDEX(big_daily_table,MATCH(DATE(Q$5,$J80,$I80),daily_dates,0),MATCH($B$3,daily_items,0))),NA(),INDEX(big_daily_table,MATCH(DATE(Q$5,$J80,$I80),daily_dates,0),MATCH($B$3,daily_items,0)))</f>
        <v>#N/A</v>
      </c>
      <c r="R80" s="1" t="e">
        <f aca="false">IF(ISBLANK(INDEX(big_daily_table,MATCH(DATE(R$5,$J80,$I80),daily_dates,0),MATCH($B$3,daily_items,0))),NA(),INDEX(big_daily_table,MATCH(DATE(R$5,$J80,$I80),daily_dates,0),MATCH($B$3,daily_items,0)))</f>
        <v>#N/A</v>
      </c>
      <c r="S80" s="1" t="e">
        <f aca="false">IF(ISBLANK(INDEX(big_daily_table,MATCH(DATE(S$5,$J80,$I80),daily_dates,0),MATCH($B$3,daily_items,0))),NA(),INDEX(big_daily_table,MATCH(DATE(S$5,$J80,$I80),daily_dates,0),MATCH($B$3,daily_items,0)))</f>
        <v>#N/A</v>
      </c>
      <c r="T80" s="1" t="e">
        <f aca="false">IF(ISBLANK(INDEX(big_daily_table,MATCH(DATE(T$5,$J80,$I80),daily_dates,0),MATCH($B$3,daily_items,0))),NA(),INDEX(big_daily_table,MATCH(DATE(T$5,$J80,$I80),daily_dates,0),MATCH($B$3,daily_items,0)))</f>
        <v>#N/A</v>
      </c>
      <c r="U80" s="1" t="e">
        <f aca="false">IF(ISBLANK(INDEX(big_daily_table,MATCH(DATE(U$5,$J80,$I80),daily_dates,0),MATCH($B$3,daily_items,0))),NA(),INDEX(big_daily_table,MATCH(DATE(U$5,$J80,$I80),daily_dates,0),MATCH($B$3,daily_items,0)))</f>
        <v>#N/A</v>
      </c>
      <c r="V80" s="1" t="e">
        <f aca="false">IF(ISBLANK(INDEX(big_daily_table,MATCH(DATE(V$5,$J80,$I80),daily_dates,0),MATCH($B$3,daily_items,0))),NA(),INDEX(big_daily_table,MATCH(DATE(V$5,$J80,$I80),daily_dates,0),MATCH($B$3,daily_items,0)))</f>
        <v>#N/A</v>
      </c>
      <c r="W80" s="1" t="e">
        <f aca="false">IF(ISBLANK(INDEX(big_daily_table,MATCH(DATE(W$5,$J80,$I80),daily_dates,0),MATCH($B$3,daily_items,0))),NA(),INDEX(big_daily_table,MATCH(DATE(W$5,$J80,$I80),daily_dates,0),MATCH($B$3,daily_items,0)))</f>
        <v>#N/A</v>
      </c>
      <c r="X80" s="1" t="e">
        <f aca="false">IF(ISBLANK(INDEX(big_daily_table,MATCH(DATE(X$5,$J80,$I80),daily_dates,0),MATCH($B$3,daily_items,0))),NA(),INDEX(big_daily_table,MATCH(DATE(X$5,$J80,$I80),daily_dates,0),MATCH($B$3,daily_items,0)))</f>
        <v>#N/A</v>
      </c>
      <c r="Y80" s="1" t="e">
        <f aca="false">IF(ISBLANK(INDEX(big_daily_table,MATCH(DATE(Y$5,$J80,$I80),daily_dates,0),MATCH($B$3,daily_items,0))),NA(),INDEX(big_daily_table,MATCH(DATE(Y$5,$J80,$I80),daily_dates,0),MATCH($B$3,daily_items,0)))</f>
        <v>#N/A</v>
      </c>
      <c r="Z80" s="1" t="n">
        <f aca="true">_xlfn.AGGREGATE(5,6,OFFSET($R$5,H80,0,1,$J$2))</f>
        <v>0</v>
      </c>
      <c r="AA80" s="1" t="n">
        <f aca="true">_xlfn.AGGREGATE(4,6,OFFSET($R$5,H80,0,1,$J$2))</f>
        <v>0</v>
      </c>
      <c r="AB80" s="1" t="n">
        <f aca="false">AA80-Z80</f>
        <v>0</v>
      </c>
      <c r="AC80" s="1" t="e">
        <f aca="true">_xlfn.AGGREGATE(1,6,OFFSET($R$5,H80,0,1,$J$2))</f>
        <v>#DIV/0!</v>
      </c>
    </row>
    <row r="81" customFormat="false" ht="14.25" hidden="false" customHeight="false" outlineLevel="0" collapsed="false">
      <c r="H81" s="1" t="n">
        <f aca="false">H80+1</f>
        <v>76</v>
      </c>
      <c r="I81" s="1" t="n">
        <f aca="false">DAY(K81)</f>
        <v>16</v>
      </c>
      <c r="J81" s="1" t="n">
        <f aca="false">MONTH(K81)</f>
        <v>3</v>
      </c>
      <c r="K81" s="23" t="n">
        <f aca="false">K80+1</f>
        <v>36601</v>
      </c>
      <c r="L81" s="24" t="n">
        <f aca="true">IF(TODAY()&lt;DATE($N$5,J81,I81),1000000,-1000000)</f>
        <v>-1000000</v>
      </c>
      <c r="M81" s="1" t="e">
        <f aca="false">IF(K81&gt;0,INDEX(big_daily_table,MATCH(DATE(N$5,$J81,$I81),daily_dates,0),MATCH($B$3,daily_items,0)),NA())</f>
        <v>#N/A</v>
      </c>
      <c r="N81" s="1" t="e">
        <f aca="false">IF(L81&lt;0,INDEX(big_daily_table,MATCH(DATE(N$5,$J81,$I81),daily_dates,0),MATCH($B$3,daily_items,0)),NA())</f>
        <v>#N/A</v>
      </c>
      <c r="O81" s="1" t="e">
        <f aca="false">IF(ISBLANK(INDEX(big_daily_table,MATCH(DATE(O$5,$J81,$I81),daily_dates,0),MATCH($B$3,daily_items,0))),NA(),INDEX(big_daily_table,MATCH(DATE(O$5,$J81,$I81),daily_dates,0),MATCH($B$3,daily_items,0)))</f>
        <v>#N/A</v>
      </c>
      <c r="P81" s="1" t="e">
        <f aca="false">IF(ISBLANK(INDEX(big_daily_table,MATCH(DATE(P$5,$J81,$I81),daily_dates,0),MATCH($B$3,daily_items,0))),NA(),INDEX(big_daily_table,MATCH(DATE(P$5,$J81,$I81),daily_dates,0),MATCH($B$3,daily_items,0)))</f>
        <v>#N/A</v>
      </c>
      <c r="Q81" s="1" t="e">
        <f aca="false">IF(ISBLANK(INDEX(big_daily_table,MATCH(DATE(Q$5,$J81,$I81),daily_dates,0),MATCH($B$3,daily_items,0))),NA(),INDEX(big_daily_table,MATCH(DATE(Q$5,$J81,$I81),daily_dates,0),MATCH($B$3,daily_items,0)))</f>
        <v>#N/A</v>
      </c>
      <c r="R81" s="1" t="e">
        <f aca="false">IF(ISBLANK(INDEX(big_daily_table,MATCH(DATE(R$5,$J81,$I81),daily_dates,0),MATCH($B$3,daily_items,0))),NA(),INDEX(big_daily_table,MATCH(DATE(R$5,$J81,$I81),daily_dates,0),MATCH($B$3,daily_items,0)))</f>
        <v>#N/A</v>
      </c>
      <c r="S81" s="1" t="e">
        <f aca="false">IF(ISBLANK(INDEX(big_daily_table,MATCH(DATE(S$5,$J81,$I81),daily_dates,0),MATCH($B$3,daily_items,0))),NA(),INDEX(big_daily_table,MATCH(DATE(S$5,$J81,$I81),daily_dates,0),MATCH($B$3,daily_items,0)))</f>
        <v>#N/A</v>
      </c>
      <c r="T81" s="1" t="e">
        <f aca="false">IF(ISBLANK(INDEX(big_daily_table,MATCH(DATE(T$5,$J81,$I81),daily_dates,0),MATCH($B$3,daily_items,0))),NA(),INDEX(big_daily_table,MATCH(DATE(T$5,$J81,$I81),daily_dates,0),MATCH($B$3,daily_items,0)))</f>
        <v>#N/A</v>
      </c>
      <c r="U81" s="1" t="e">
        <f aca="false">IF(ISBLANK(INDEX(big_daily_table,MATCH(DATE(U$5,$J81,$I81),daily_dates,0),MATCH($B$3,daily_items,0))),NA(),INDEX(big_daily_table,MATCH(DATE(U$5,$J81,$I81),daily_dates,0),MATCH($B$3,daily_items,0)))</f>
        <v>#N/A</v>
      </c>
      <c r="V81" s="1" t="e">
        <f aca="false">IF(ISBLANK(INDEX(big_daily_table,MATCH(DATE(V$5,$J81,$I81),daily_dates,0),MATCH($B$3,daily_items,0))),NA(),INDEX(big_daily_table,MATCH(DATE(V$5,$J81,$I81),daily_dates,0),MATCH($B$3,daily_items,0)))</f>
        <v>#N/A</v>
      </c>
      <c r="W81" s="1" t="e">
        <f aca="false">IF(ISBLANK(INDEX(big_daily_table,MATCH(DATE(W$5,$J81,$I81),daily_dates,0),MATCH($B$3,daily_items,0))),NA(),INDEX(big_daily_table,MATCH(DATE(W$5,$J81,$I81),daily_dates,0),MATCH($B$3,daily_items,0)))</f>
        <v>#N/A</v>
      </c>
      <c r="X81" s="1" t="e">
        <f aca="false">IF(ISBLANK(INDEX(big_daily_table,MATCH(DATE(X$5,$J81,$I81),daily_dates,0),MATCH($B$3,daily_items,0))),NA(),INDEX(big_daily_table,MATCH(DATE(X$5,$J81,$I81),daily_dates,0),MATCH($B$3,daily_items,0)))</f>
        <v>#N/A</v>
      </c>
      <c r="Y81" s="1" t="e">
        <f aca="false">IF(ISBLANK(INDEX(big_daily_table,MATCH(DATE(Y$5,$J81,$I81),daily_dates,0),MATCH($B$3,daily_items,0))),NA(),INDEX(big_daily_table,MATCH(DATE(Y$5,$J81,$I81),daily_dates,0),MATCH($B$3,daily_items,0)))</f>
        <v>#N/A</v>
      </c>
      <c r="Z81" s="1" t="n">
        <f aca="true">_xlfn.AGGREGATE(5,6,OFFSET($R$5,H81,0,1,$J$2))</f>
        <v>0</v>
      </c>
      <c r="AA81" s="1" t="n">
        <f aca="true">_xlfn.AGGREGATE(4,6,OFFSET($R$5,H81,0,1,$J$2))</f>
        <v>0</v>
      </c>
      <c r="AB81" s="1" t="n">
        <f aca="false">AA81-Z81</f>
        <v>0</v>
      </c>
      <c r="AC81" s="1" t="e">
        <f aca="true">_xlfn.AGGREGATE(1,6,OFFSET($R$5,H81,0,1,$J$2))</f>
        <v>#DIV/0!</v>
      </c>
    </row>
    <row r="82" customFormat="false" ht="14.25" hidden="false" customHeight="false" outlineLevel="0" collapsed="false">
      <c r="H82" s="1" t="n">
        <f aca="false">H81+1</f>
        <v>77</v>
      </c>
      <c r="I82" s="1" t="n">
        <f aca="false">DAY(K82)</f>
        <v>17</v>
      </c>
      <c r="J82" s="1" t="n">
        <f aca="false">MONTH(K82)</f>
        <v>3</v>
      </c>
      <c r="K82" s="23" t="n">
        <f aca="false">K81+1</f>
        <v>36602</v>
      </c>
      <c r="L82" s="24" t="n">
        <f aca="true">IF(TODAY()&lt;DATE($N$5,J82,I82),1000000,-1000000)</f>
        <v>-1000000</v>
      </c>
      <c r="M82" s="1" t="e">
        <f aca="false">IF(K82&gt;0,INDEX(big_daily_table,MATCH(DATE(N$5,$J82,$I82),daily_dates,0),MATCH($B$3,daily_items,0)),NA())</f>
        <v>#N/A</v>
      </c>
      <c r="N82" s="1" t="e">
        <f aca="false">IF(L82&lt;0,INDEX(big_daily_table,MATCH(DATE(N$5,$J82,$I82),daily_dates,0),MATCH($B$3,daily_items,0)),NA())</f>
        <v>#N/A</v>
      </c>
      <c r="O82" s="1" t="e">
        <f aca="false">IF(ISBLANK(INDEX(big_daily_table,MATCH(DATE(O$5,$J82,$I82),daily_dates,0),MATCH($B$3,daily_items,0))),NA(),INDEX(big_daily_table,MATCH(DATE(O$5,$J82,$I82),daily_dates,0),MATCH($B$3,daily_items,0)))</f>
        <v>#N/A</v>
      </c>
      <c r="P82" s="1" t="e">
        <f aca="false">IF(ISBLANK(INDEX(big_daily_table,MATCH(DATE(P$5,$J82,$I82),daily_dates,0),MATCH($B$3,daily_items,0))),NA(),INDEX(big_daily_table,MATCH(DATE(P$5,$J82,$I82),daily_dates,0),MATCH($B$3,daily_items,0)))</f>
        <v>#N/A</v>
      </c>
      <c r="Q82" s="1" t="e">
        <f aca="false">IF(ISBLANK(INDEX(big_daily_table,MATCH(DATE(Q$5,$J82,$I82),daily_dates,0),MATCH($B$3,daily_items,0))),NA(),INDEX(big_daily_table,MATCH(DATE(Q$5,$J82,$I82),daily_dates,0),MATCH($B$3,daily_items,0)))</f>
        <v>#N/A</v>
      </c>
      <c r="R82" s="1" t="e">
        <f aca="false">IF(ISBLANK(INDEX(big_daily_table,MATCH(DATE(R$5,$J82,$I82),daily_dates,0),MATCH($B$3,daily_items,0))),NA(),INDEX(big_daily_table,MATCH(DATE(R$5,$J82,$I82),daily_dates,0),MATCH($B$3,daily_items,0)))</f>
        <v>#N/A</v>
      </c>
      <c r="S82" s="1" t="e">
        <f aca="false">IF(ISBLANK(INDEX(big_daily_table,MATCH(DATE(S$5,$J82,$I82),daily_dates,0),MATCH($B$3,daily_items,0))),NA(),INDEX(big_daily_table,MATCH(DATE(S$5,$J82,$I82),daily_dates,0),MATCH($B$3,daily_items,0)))</f>
        <v>#N/A</v>
      </c>
      <c r="T82" s="1" t="e">
        <f aca="false">IF(ISBLANK(INDEX(big_daily_table,MATCH(DATE(T$5,$J82,$I82),daily_dates,0),MATCH($B$3,daily_items,0))),NA(),INDEX(big_daily_table,MATCH(DATE(T$5,$J82,$I82),daily_dates,0),MATCH($B$3,daily_items,0)))</f>
        <v>#N/A</v>
      </c>
      <c r="U82" s="1" t="e">
        <f aca="false">IF(ISBLANK(INDEX(big_daily_table,MATCH(DATE(U$5,$J82,$I82),daily_dates,0),MATCH($B$3,daily_items,0))),NA(),INDEX(big_daily_table,MATCH(DATE(U$5,$J82,$I82),daily_dates,0),MATCH($B$3,daily_items,0)))</f>
        <v>#N/A</v>
      </c>
      <c r="V82" s="1" t="e">
        <f aca="false">IF(ISBLANK(INDEX(big_daily_table,MATCH(DATE(V$5,$J82,$I82),daily_dates,0),MATCH($B$3,daily_items,0))),NA(),INDEX(big_daily_table,MATCH(DATE(V$5,$J82,$I82),daily_dates,0),MATCH($B$3,daily_items,0)))</f>
        <v>#N/A</v>
      </c>
      <c r="W82" s="1" t="e">
        <f aca="false">IF(ISBLANK(INDEX(big_daily_table,MATCH(DATE(W$5,$J82,$I82),daily_dates,0),MATCH($B$3,daily_items,0))),NA(),INDEX(big_daily_table,MATCH(DATE(W$5,$J82,$I82),daily_dates,0),MATCH($B$3,daily_items,0)))</f>
        <v>#N/A</v>
      </c>
      <c r="X82" s="1" t="e">
        <f aca="false">IF(ISBLANK(INDEX(big_daily_table,MATCH(DATE(X$5,$J82,$I82),daily_dates,0),MATCH($B$3,daily_items,0))),NA(),INDEX(big_daily_table,MATCH(DATE(X$5,$J82,$I82),daily_dates,0),MATCH($B$3,daily_items,0)))</f>
        <v>#N/A</v>
      </c>
      <c r="Y82" s="1" t="e">
        <f aca="false">IF(ISBLANK(INDEX(big_daily_table,MATCH(DATE(Y$5,$J82,$I82),daily_dates,0),MATCH($B$3,daily_items,0))),NA(),INDEX(big_daily_table,MATCH(DATE(Y$5,$J82,$I82),daily_dates,0),MATCH($B$3,daily_items,0)))</f>
        <v>#N/A</v>
      </c>
      <c r="Z82" s="1" t="n">
        <f aca="true">_xlfn.AGGREGATE(5,6,OFFSET($R$5,H82,0,1,$J$2))</f>
        <v>0</v>
      </c>
      <c r="AA82" s="1" t="n">
        <f aca="true">_xlfn.AGGREGATE(4,6,OFFSET($R$5,H82,0,1,$J$2))</f>
        <v>0</v>
      </c>
      <c r="AB82" s="1" t="n">
        <f aca="false">AA82-Z82</f>
        <v>0</v>
      </c>
      <c r="AC82" s="1" t="e">
        <f aca="true">_xlfn.AGGREGATE(1,6,OFFSET($R$5,H82,0,1,$J$2))</f>
        <v>#DIV/0!</v>
      </c>
    </row>
    <row r="83" customFormat="false" ht="14.25" hidden="false" customHeight="false" outlineLevel="0" collapsed="false">
      <c r="H83" s="1" t="n">
        <f aca="false">H82+1</f>
        <v>78</v>
      </c>
      <c r="I83" s="1" t="n">
        <f aca="false">DAY(K83)</f>
        <v>18</v>
      </c>
      <c r="J83" s="1" t="n">
        <f aca="false">MONTH(K83)</f>
        <v>3</v>
      </c>
      <c r="K83" s="23" t="n">
        <f aca="false">K82+1</f>
        <v>36603</v>
      </c>
      <c r="L83" s="24" t="n">
        <f aca="true">IF(TODAY()&lt;DATE($N$5,J83,I83),1000000,-1000000)</f>
        <v>-1000000</v>
      </c>
      <c r="M83" s="1" t="e">
        <f aca="false">IF(K83&gt;0,INDEX(big_daily_table,MATCH(DATE(N$5,$J83,$I83),daily_dates,0),MATCH($B$3,daily_items,0)),NA())</f>
        <v>#N/A</v>
      </c>
      <c r="N83" s="1" t="e">
        <f aca="false">IF(L83&lt;0,INDEX(big_daily_table,MATCH(DATE(N$5,$J83,$I83),daily_dates,0),MATCH($B$3,daily_items,0)),NA())</f>
        <v>#N/A</v>
      </c>
      <c r="O83" s="1" t="e">
        <f aca="false">IF(ISBLANK(INDEX(big_daily_table,MATCH(DATE(O$5,$J83,$I83),daily_dates,0),MATCH($B$3,daily_items,0))),NA(),INDEX(big_daily_table,MATCH(DATE(O$5,$J83,$I83),daily_dates,0),MATCH($B$3,daily_items,0)))</f>
        <v>#N/A</v>
      </c>
      <c r="P83" s="1" t="e">
        <f aca="false">IF(ISBLANK(INDEX(big_daily_table,MATCH(DATE(P$5,$J83,$I83),daily_dates,0),MATCH($B$3,daily_items,0))),NA(),INDEX(big_daily_table,MATCH(DATE(P$5,$J83,$I83),daily_dates,0),MATCH($B$3,daily_items,0)))</f>
        <v>#N/A</v>
      </c>
      <c r="Q83" s="1" t="e">
        <f aca="false">IF(ISBLANK(INDEX(big_daily_table,MATCH(DATE(Q$5,$J83,$I83),daily_dates,0),MATCH($B$3,daily_items,0))),NA(),INDEX(big_daily_table,MATCH(DATE(Q$5,$J83,$I83),daily_dates,0),MATCH($B$3,daily_items,0)))</f>
        <v>#N/A</v>
      </c>
      <c r="R83" s="1" t="e">
        <f aca="false">IF(ISBLANK(INDEX(big_daily_table,MATCH(DATE(R$5,$J83,$I83),daily_dates,0),MATCH($B$3,daily_items,0))),NA(),INDEX(big_daily_table,MATCH(DATE(R$5,$J83,$I83),daily_dates,0),MATCH($B$3,daily_items,0)))</f>
        <v>#N/A</v>
      </c>
      <c r="S83" s="1" t="e">
        <f aca="false">IF(ISBLANK(INDEX(big_daily_table,MATCH(DATE(S$5,$J83,$I83),daily_dates,0),MATCH($B$3,daily_items,0))),NA(),INDEX(big_daily_table,MATCH(DATE(S$5,$J83,$I83),daily_dates,0),MATCH($B$3,daily_items,0)))</f>
        <v>#N/A</v>
      </c>
      <c r="T83" s="1" t="e">
        <f aca="false">IF(ISBLANK(INDEX(big_daily_table,MATCH(DATE(T$5,$J83,$I83),daily_dates,0),MATCH($B$3,daily_items,0))),NA(),INDEX(big_daily_table,MATCH(DATE(T$5,$J83,$I83),daily_dates,0),MATCH($B$3,daily_items,0)))</f>
        <v>#N/A</v>
      </c>
      <c r="U83" s="1" t="e">
        <f aca="false">IF(ISBLANK(INDEX(big_daily_table,MATCH(DATE(U$5,$J83,$I83),daily_dates,0),MATCH($B$3,daily_items,0))),NA(),INDEX(big_daily_table,MATCH(DATE(U$5,$J83,$I83),daily_dates,0),MATCH($B$3,daily_items,0)))</f>
        <v>#N/A</v>
      </c>
      <c r="V83" s="1" t="e">
        <f aca="false">IF(ISBLANK(INDEX(big_daily_table,MATCH(DATE(V$5,$J83,$I83),daily_dates,0),MATCH($B$3,daily_items,0))),NA(),INDEX(big_daily_table,MATCH(DATE(V$5,$J83,$I83),daily_dates,0),MATCH($B$3,daily_items,0)))</f>
        <v>#N/A</v>
      </c>
      <c r="W83" s="1" t="e">
        <f aca="false">IF(ISBLANK(INDEX(big_daily_table,MATCH(DATE(W$5,$J83,$I83),daily_dates,0),MATCH($B$3,daily_items,0))),NA(),INDEX(big_daily_table,MATCH(DATE(W$5,$J83,$I83),daily_dates,0),MATCH($B$3,daily_items,0)))</f>
        <v>#N/A</v>
      </c>
      <c r="X83" s="1" t="e">
        <f aca="false">IF(ISBLANK(INDEX(big_daily_table,MATCH(DATE(X$5,$J83,$I83),daily_dates,0),MATCH($B$3,daily_items,0))),NA(),INDEX(big_daily_table,MATCH(DATE(X$5,$J83,$I83),daily_dates,0),MATCH($B$3,daily_items,0)))</f>
        <v>#N/A</v>
      </c>
      <c r="Y83" s="1" t="e">
        <f aca="false">IF(ISBLANK(INDEX(big_daily_table,MATCH(DATE(Y$5,$J83,$I83),daily_dates,0),MATCH($B$3,daily_items,0))),NA(),INDEX(big_daily_table,MATCH(DATE(Y$5,$J83,$I83),daily_dates,0),MATCH($B$3,daily_items,0)))</f>
        <v>#N/A</v>
      </c>
      <c r="Z83" s="1" t="n">
        <f aca="true">_xlfn.AGGREGATE(5,6,OFFSET($R$5,H83,0,1,$J$2))</f>
        <v>0</v>
      </c>
      <c r="AA83" s="1" t="n">
        <f aca="true">_xlfn.AGGREGATE(4,6,OFFSET($R$5,H83,0,1,$J$2))</f>
        <v>0</v>
      </c>
      <c r="AB83" s="1" t="n">
        <f aca="false">AA83-Z83</f>
        <v>0</v>
      </c>
      <c r="AC83" s="1" t="e">
        <f aca="true">_xlfn.AGGREGATE(1,6,OFFSET($R$5,H83,0,1,$J$2))</f>
        <v>#DIV/0!</v>
      </c>
    </row>
    <row r="84" customFormat="false" ht="14.25" hidden="false" customHeight="false" outlineLevel="0" collapsed="false">
      <c r="H84" s="1" t="n">
        <f aca="false">H83+1</f>
        <v>79</v>
      </c>
      <c r="I84" s="1" t="n">
        <f aca="false">DAY(K84)</f>
        <v>19</v>
      </c>
      <c r="J84" s="1" t="n">
        <f aca="false">MONTH(K84)</f>
        <v>3</v>
      </c>
      <c r="K84" s="23" t="n">
        <f aca="false">K83+1</f>
        <v>36604</v>
      </c>
      <c r="L84" s="24" t="n">
        <f aca="true">IF(TODAY()&lt;DATE($N$5,J84,I84),1000000,-1000000)</f>
        <v>-1000000</v>
      </c>
      <c r="M84" s="1" t="e">
        <f aca="false">IF(K84&gt;0,INDEX(big_daily_table,MATCH(DATE(N$5,$J84,$I84),daily_dates,0),MATCH($B$3,daily_items,0)),NA())</f>
        <v>#N/A</v>
      </c>
      <c r="N84" s="1" t="e">
        <f aca="false">IF(L84&lt;0,INDEX(big_daily_table,MATCH(DATE(N$5,$J84,$I84),daily_dates,0),MATCH($B$3,daily_items,0)),NA())</f>
        <v>#N/A</v>
      </c>
      <c r="O84" s="1" t="e">
        <f aca="false">IF(ISBLANK(INDEX(big_daily_table,MATCH(DATE(O$5,$J84,$I84),daily_dates,0),MATCH($B$3,daily_items,0))),NA(),INDEX(big_daily_table,MATCH(DATE(O$5,$J84,$I84),daily_dates,0),MATCH($B$3,daily_items,0)))</f>
        <v>#N/A</v>
      </c>
      <c r="P84" s="1" t="e">
        <f aca="false">IF(ISBLANK(INDEX(big_daily_table,MATCH(DATE(P$5,$J84,$I84),daily_dates,0),MATCH($B$3,daily_items,0))),NA(),INDEX(big_daily_table,MATCH(DATE(P$5,$J84,$I84),daily_dates,0),MATCH($B$3,daily_items,0)))</f>
        <v>#N/A</v>
      </c>
      <c r="Q84" s="1" t="e">
        <f aca="false">IF(ISBLANK(INDEX(big_daily_table,MATCH(DATE(Q$5,$J84,$I84),daily_dates,0),MATCH($B$3,daily_items,0))),NA(),INDEX(big_daily_table,MATCH(DATE(Q$5,$J84,$I84),daily_dates,0),MATCH($B$3,daily_items,0)))</f>
        <v>#N/A</v>
      </c>
      <c r="R84" s="1" t="e">
        <f aca="false">IF(ISBLANK(INDEX(big_daily_table,MATCH(DATE(R$5,$J84,$I84),daily_dates,0),MATCH($B$3,daily_items,0))),NA(),INDEX(big_daily_table,MATCH(DATE(R$5,$J84,$I84),daily_dates,0),MATCH($B$3,daily_items,0)))</f>
        <v>#N/A</v>
      </c>
      <c r="S84" s="1" t="e">
        <f aca="false">IF(ISBLANK(INDEX(big_daily_table,MATCH(DATE(S$5,$J84,$I84),daily_dates,0),MATCH($B$3,daily_items,0))),NA(),INDEX(big_daily_table,MATCH(DATE(S$5,$J84,$I84),daily_dates,0),MATCH($B$3,daily_items,0)))</f>
        <v>#N/A</v>
      </c>
      <c r="T84" s="1" t="e">
        <f aca="false">IF(ISBLANK(INDEX(big_daily_table,MATCH(DATE(T$5,$J84,$I84),daily_dates,0),MATCH($B$3,daily_items,0))),NA(),INDEX(big_daily_table,MATCH(DATE(T$5,$J84,$I84),daily_dates,0),MATCH($B$3,daily_items,0)))</f>
        <v>#N/A</v>
      </c>
      <c r="U84" s="1" t="e">
        <f aca="false">IF(ISBLANK(INDEX(big_daily_table,MATCH(DATE(U$5,$J84,$I84),daily_dates,0),MATCH($B$3,daily_items,0))),NA(),INDEX(big_daily_table,MATCH(DATE(U$5,$J84,$I84),daily_dates,0),MATCH($B$3,daily_items,0)))</f>
        <v>#N/A</v>
      </c>
      <c r="V84" s="1" t="e">
        <f aca="false">IF(ISBLANK(INDEX(big_daily_table,MATCH(DATE(V$5,$J84,$I84),daily_dates,0),MATCH($B$3,daily_items,0))),NA(),INDEX(big_daily_table,MATCH(DATE(V$5,$J84,$I84),daily_dates,0),MATCH($B$3,daily_items,0)))</f>
        <v>#N/A</v>
      </c>
      <c r="W84" s="1" t="e">
        <f aca="false">IF(ISBLANK(INDEX(big_daily_table,MATCH(DATE(W$5,$J84,$I84),daily_dates,0),MATCH($B$3,daily_items,0))),NA(),INDEX(big_daily_table,MATCH(DATE(W$5,$J84,$I84),daily_dates,0),MATCH($B$3,daily_items,0)))</f>
        <v>#N/A</v>
      </c>
      <c r="X84" s="1" t="e">
        <f aca="false">IF(ISBLANK(INDEX(big_daily_table,MATCH(DATE(X$5,$J84,$I84),daily_dates,0),MATCH($B$3,daily_items,0))),NA(),INDEX(big_daily_table,MATCH(DATE(X$5,$J84,$I84),daily_dates,0),MATCH($B$3,daily_items,0)))</f>
        <v>#N/A</v>
      </c>
      <c r="Y84" s="1" t="e">
        <f aca="false">IF(ISBLANK(INDEX(big_daily_table,MATCH(DATE(Y$5,$J84,$I84),daily_dates,0),MATCH($B$3,daily_items,0))),NA(),INDEX(big_daily_table,MATCH(DATE(Y$5,$J84,$I84),daily_dates,0),MATCH($B$3,daily_items,0)))</f>
        <v>#N/A</v>
      </c>
      <c r="Z84" s="1" t="n">
        <f aca="true">_xlfn.AGGREGATE(5,6,OFFSET($R$5,H84,0,1,$J$2))</f>
        <v>0</v>
      </c>
      <c r="AA84" s="1" t="n">
        <f aca="true">_xlfn.AGGREGATE(4,6,OFFSET($R$5,H84,0,1,$J$2))</f>
        <v>0</v>
      </c>
      <c r="AB84" s="1" t="n">
        <f aca="false">AA84-Z84</f>
        <v>0</v>
      </c>
      <c r="AC84" s="1" t="e">
        <f aca="true">_xlfn.AGGREGATE(1,6,OFFSET($R$5,H84,0,1,$J$2))</f>
        <v>#DIV/0!</v>
      </c>
    </row>
    <row r="85" customFormat="false" ht="14.25" hidden="false" customHeight="false" outlineLevel="0" collapsed="false">
      <c r="H85" s="1" t="n">
        <f aca="false">H84+1</f>
        <v>80</v>
      </c>
      <c r="I85" s="1" t="n">
        <f aca="false">DAY(K85)</f>
        <v>20</v>
      </c>
      <c r="J85" s="1" t="n">
        <f aca="false">MONTH(K85)</f>
        <v>3</v>
      </c>
      <c r="K85" s="23" t="n">
        <f aca="false">K84+1</f>
        <v>36605</v>
      </c>
      <c r="L85" s="24" t="n">
        <f aca="true">IF(TODAY()&lt;DATE($N$5,J85,I85),1000000,-1000000)</f>
        <v>-1000000</v>
      </c>
      <c r="M85" s="1" t="e">
        <f aca="false">IF(K85&gt;0,INDEX(big_daily_table,MATCH(DATE(N$5,$J85,$I85),daily_dates,0),MATCH($B$3,daily_items,0)),NA())</f>
        <v>#N/A</v>
      </c>
      <c r="N85" s="1" t="e">
        <f aca="false">IF(L85&lt;0,INDEX(big_daily_table,MATCH(DATE(N$5,$J85,$I85),daily_dates,0),MATCH($B$3,daily_items,0)),NA())</f>
        <v>#N/A</v>
      </c>
      <c r="O85" s="1" t="e">
        <f aca="false">IF(ISBLANK(INDEX(big_daily_table,MATCH(DATE(O$5,$J85,$I85),daily_dates,0),MATCH($B$3,daily_items,0))),NA(),INDEX(big_daily_table,MATCH(DATE(O$5,$J85,$I85),daily_dates,0),MATCH($B$3,daily_items,0)))</f>
        <v>#N/A</v>
      </c>
      <c r="P85" s="1" t="e">
        <f aca="false">IF(ISBLANK(INDEX(big_daily_table,MATCH(DATE(P$5,$J85,$I85),daily_dates,0),MATCH($B$3,daily_items,0))),NA(),INDEX(big_daily_table,MATCH(DATE(P$5,$J85,$I85),daily_dates,0),MATCH($B$3,daily_items,0)))</f>
        <v>#N/A</v>
      </c>
      <c r="Q85" s="1" t="e">
        <f aca="false">IF(ISBLANK(INDEX(big_daily_table,MATCH(DATE(Q$5,$J85,$I85),daily_dates,0),MATCH($B$3,daily_items,0))),NA(),INDEX(big_daily_table,MATCH(DATE(Q$5,$J85,$I85),daily_dates,0),MATCH($B$3,daily_items,0)))</f>
        <v>#N/A</v>
      </c>
      <c r="R85" s="1" t="e">
        <f aca="false">IF(ISBLANK(INDEX(big_daily_table,MATCH(DATE(R$5,$J85,$I85),daily_dates,0),MATCH($B$3,daily_items,0))),NA(),INDEX(big_daily_table,MATCH(DATE(R$5,$J85,$I85),daily_dates,0),MATCH($B$3,daily_items,0)))</f>
        <v>#N/A</v>
      </c>
      <c r="S85" s="1" t="e">
        <f aca="false">IF(ISBLANK(INDEX(big_daily_table,MATCH(DATE(S$5,$J85,$I85),daily_dates,0),MATCH($B$3,daily_items,0))),NA(),INDEX(big_daily_table,MATCH(DATE(S$5,$J85,$I85),daily_dates,0),MATCH($B$3,daily_items,0)))</f>
        <v>#N/A</v>
      </c>
      <c r="T85" s="1" t="e">
        <f aca="false">IF(ISBLANK(INDEX(big_daily_table,MATCH(DATE(T$5,$J85,$I85),daily_dates,0),MATCH($B$3,daily_items,0))),NA(),INDEX(big_daily_table,MATCH(DATE(T$5,$J85,$I85),daily_dates,0),MATCH($B$3,daily_items,0)))</f>
        <v>#N/A</v>
      </c>
      <c r="U85" s="1" t="e">
        <f aca="false">IF(ISBLANK(INDEX(big_daily_table,MATCH(DATE(U$5,$J85,$I85),daily_dates,0),MATCH($B$3,daily_items,0))),NA(),INDEX(big_daily_table,MATCH(DATE(U$5,$J85,$I85),daily_dates,0),MATCH($B$3,daily_items,0)))</f>
        <v>#N/A</v>
      </c>
      <c r="V85" s="1" t="e">
        <f aca="false">IF(ISBLANK(INDEX(big_daily_table,MATCH(DATE(V$5,$J85,$I85),daily_dates,0),MATCH($B$3,daily_items,0))),NA(),INDEX(big_daily_table,MATCH(DATE(V$5,$J85,$I85),daily_dates,0),MATCH($B$3,daily_items,0)))</f>
        <v>#N/A</v>
      </c>
      <c r="W85" s="1" t="e">
        <f aca="false">IF(ISBLANK(INDEX(big_daily_table,MATCH(DATE(W$5,$J85,$I85),daily_dates,0),MATCH($B$3,daily_items,0))),NA(),INDEX(big_daily_table,MATCH(DATE(W$5,$J85,$I85),daily_dates,0),MATCH($B$3,daily_items,0)))</f>
        <v>#N/A</v>
      </c>
      <c r="X85" s="1" t="e">
        <f aca="false">IF(ISBLANK(INDEX(big_daily_table,MATCH(DATE(X$5,$J85,$I85),daily_dates,0),MATCH($B$3,daily_items,0))),NA(),INDEX(big_daily_table,MATCH(DATE(X$5,$J85,$I85),daily_dates,0),MATCH($B$3,daily_items,0)))</f>
        <v>#N/A</v>
      </c>
      <c r="Y85" s="1" t="e">
        <f aca="false">IF(ISBLANK(INDEX(big_daily_table,MATCH(DATE(Y$5,$J85,$I85),daily_dates,0),MATCH($B$3,daily_items,0))),NA(),INDEX(big_daily_table,MATCH(DATE(Y$5,$J85,$I85),daily_dates,0),MATCH($B$3,daily_items,0)))</f>
        <v>#N/A</v>
      </c>
      <c r="Z85" s="1" t="n">
        <f aca="true">_xlfn.AGGREGATE(5,6,OFFSET($R$5,H85,0,1,$J$2))</f>
        <v>0</v>
      </c>
      <c r="AA85" s="1" t="n">
        <f aca="true">_xlfn.AGGREGATE(4,6,OFFSET($R$5,H85,0,1,$J$2))</f>
        <v>0</v>
      </c>
      <c r="AB85" s="1" t="n">
        <f aca="false">AA85-Z85</f>
        <v>0</v>
      </c>
      <c r="AC85" s="1" t="e">
        <f aca="true">_xlfn.AGGREGATE(1,6,OFFSET($R$5,H85,0,1,$J$2))</f>
        <v>#DIV/0!</v>
      </c>
    </row>
    <row r="86" customFormat="false" ht="14.25" hidden="false" customHeight="false" outlineLevel="0" collapsed="false">
      <c r="H86" s="1" t="n">
        <f aca="false">H85+1</f>
        <v>81</v>
      </c>
      <c r="I86" s="1" t="n">
        <f aca="false">DAY(K86)</f>
        <v>21</v>
      </c>
      <c r="J86" s="1" t="n">
        <f aca="false">MONTH(K86)</f>
        <v>3</v>
      </c>
      <c r="K86" s="23" t="n">
        <f aca="false">K85+1</f>
        <v>36606</v>
      </c>
      <c r="L86" s="24" t="n">
        <f aca="true">IF(TODAY()&lt;DATE($N$5,J86,I86),1000000,-1000000)</f>
        <v>-1000000</v>
      </c>
      <c r="M86" s="1" t="e">
        <f aca="false">IF(K86&gt;0,INDEX(big_daily_table,MATCH(DATE(N$5,$J86,$I86),daily_dates,0),MATCH($B$3,daily_items,0)),NA())</f>
        <v>#N/A</v>
      </c>
      <c r="N86" s="1" t="e">
        <f aca="false">IF(L86&lt;0,INDEX(big_daily_table,MATCH(DATE(N$5,$J86,$I86),daily_dates,0),MATCH($B$3,daily_items,0)),NA())</f>
        <v>#N/A</v>
      </c>
      <c r="O86" s="1" t="e">
        <f aca="false">IF(ISBLANK(INDEX(big_daily_table,MATCH(DATE(O$5,$J86,$I86),daily_dates,0),MATCH($B$3,daily_items,0))),NA(),INDEX(big_daily_table,MATCH(DATE(O$5,$J86,$I86),daily_dates,0),MATCH($B$3,daily_items,0)))</f>
        <v>#N/A</v>
      </c>
      <c r="P86" s="1" t="e">
        <f aca="false">IF(ISBLANK(INDEX(big_daily_table,MATCH(DATE(P$5,$J86,$I86),daily_dates,0),MATCH($B$3,daily_items,0))),NA(),INDEX(big_daily_table,MATCH(DATE(P$5,$J86,$I86),daily_dates,0),MATCH($B$3,daily_items,0)))</f>
        <v>#N/A</v>
      </c>
      <c r="Q86" s="1" t="e">
        <f aca="false">IF(ISBLANK(INDEX(big_daily_table,MATCH(DATE(Q$5,$J86,$I86),daily_dates,0),MATCH($B$3,daily_items,0))),NA(),INDEX(big_daily_table,MATCH(DATE(Q$5,$J86,$I86),daily_dates,0),MATCH($B$3,daily_items,0)))</f>
        <v>#N/A</v>
      </c>
      <c r="R86" s="1" t="e">
        <f aca="false">IF(ISBLANK(INDEX(big_daily_table,MATCH(DATE(R$5,$J86,$I86),daily_dates,0),MATCH($B$3,daily_items,0))),NA(),INDEX(big_daily_table,MATCH(DATE(R$5,$J86,$I86),daily_dates,0),MATCH($B$3,daily_items,0)))</f>
        <v>#N/A</v>
      </c>
      <c r="S86" s="1" t="e">
        <f aca="false">IF(ISBLANK(INDEX(big_daily_table,MATCH(DATE(S$5,$J86,$I86),daily_dates,0),MATCH($B$3,daily_items,0))),NA(),INDEX(big_daily_table,MATCH(DATE(S$5,$J86,$I86),daily_dates,0),MATCH($B$3,daily_items,0)))</f>
        <v>#N/A</v>
      </c>
      <c r="T86" s="1" t="e">
        <f aca="false">IF(ISBLANK(INDEX(big_daily_table,MATCH(DATE(T$5,$J86,$I86),daily_dates,0),MATCH($B$3,daily_items,0))),NA(),INDEX(big_daily_table,MATCH(DATE(T$5,$J86,$I86),daily_dates,0),MATCH($B$3,daily_items,0)))</f>
        <v>#N/A</v>
      </c>
      <c r="U86" s="1" t="e">
        <f aca="false">IF(ISBLANK(INDEX(big_daily_table,MATCH(DATE(U$5,$J86,$I86),daily_dates,0),MATCH($B$3,daily_items,0))),NA(),INDEX(big_daily_table,MATCH(DATE(U$5,$J86,$I86),daily_dates,0),MATCH($B$3,daily_items,0)))</f>
        <v>#N/A</v>
      </c>
      <c r="V86" s="1" t="e">
        <f aca="false">IF(ISBLANK(INDEX(big_daily_table,MATCH(DATE(V$5,$J86,$I86),daily_dates,0),MATCH($B$3,daily_items,0))),NA(),INDEX(big_daily_table,MATCH(DATE(V$5,$J86,$I86),daily_dates,0),MATCH($B$3,daily_items,0)))</f>
        <v>#N/A</v>
      </c>
      <c r="W86" s="1" t="e">
        <f aca="false">IF(ISBLANK(INDEX(big_daily_table,MATCH(DATE(W$5,$J86,$I86),daily_dates,0),MATCH($B$3,daily_items,0))),NA(),INDEX(big_daily_table,MATCH(DATE(W$5,$J86,$I86),daily_dates,0),MATCH($B$3,daily_items,0)))</f>
        <v>#N/A</v>
      </c>
      <c r="X86" s="1" t="e">
        <f aca="false">IF(ISBLANK(INDEX(big_daily_table,MATCH(DATE(X$5,$J86,$I86),daily_dates,0),MATCH($B$3,daily_items,0))),NA(),INDEX(big_daily_table,MATCH(DATE(X$5,$J86,$I86),daily_dates,0),MATCH($B$3,daily_items,0)))</f>
        <v>#N/A</v>
      </c>
      <c r="Y86" s="1" t="e">
        <f aca="false">IF(ISBLANK(INDEX(big_daily_table,MATCH(DATE(Y$5,$J86,$I86),daily_dates,0),MATCH($B$3,daily_items,0))),NA(),INDEX(big_daily_table,MATCH(DATE(Y$5,$J86,$I86),daily_dates,0),MATCH($B$3,daily_items,0)))</f>
        <v>#N/A</v>
      </c>
      <c r="Z86" s="1" t="n">
        <f aca="true">_xlfn.AGGREGATE(5,6,OFFSET($R$5,H86,0,1,$J$2))</f>
        <v>0</v>
      </c>
      <c r="AA86" s="1" t="n">
        <f aca="true">_xlfn.AGGREGATE(4,6,OFFSET($R$5,H86,0,1,$J$2))</f>
        <v>0</v>
      </c>
      <c r="AB86" s="1" t="n">
        <f aca="false">AA86-Z86</f>
        <v>0</v>
      </c>
      <c r="AC86" s="1" t="e">
        <f aca="true">_xlfn.AGGREGATE(1,6,OFFSET($R$5,H86,0,1,$J$2))</f>
        <v>#DIV/0!</v>
      </c>
    </row>
    <row r="87" customFormat="false" ht="14.25" hidden="false" customHeight="false" outlineLevel="0" collapsed="false">
      <c r="H87" s="1" t="n">
        <f aca="false">H86+1</f>
        <v>82</v>
      </c>
      <c r="I87" s="1" t="n">
        <f aca="false">DAY(K87)</f>
        <v>22</v>
      </c>
      <c r="J87" s="1" t="n">
        <f aca="false">MONTH(K87)</f>
        <v>3</v>
      </c>
      <c r="K87" s="23" t="n">
        <f aca="false">K86+1</f>
        <v>36607</v>
      </c>
      <c r="L87" s="24" t="n">
        <f aca="true">IF(TODAY()&lt;DATE($N$5,J87,I87),1000000,-1000000)</f>
        <v>-1000000</v>
      </c>
      <c r="M87" s="1" t="e">
        <f aca="false">IF(K87&gt;0,INDEX(big_daily_table,MATCH(DATE(N$5,$J87,$I87),daily_dates,0),MATCH($B$3,daily_items,0)),NA())</f>
        <v>#N/A</v>
      </c>
      <c r="N87" s="1" t="e">
        <f aca="false">IF(L87&lt;0,INDEX(big_daily_table,MATCH(DATE(N$5,$J87,$I87),daily_dates,0),MATCH($B$3,daily_items,0)),NA())</f>
        <v>#N/A</v>
      </c>
      <c r="O87" s="1" t="e">
        <f aca="false">IF(ISBLANK(INDEX(big_daily_table,MATCH(DATE(O$5,$J87,$I87),daily_dates,0),MATCH($B$3,daily_items,0))),NA(),INDEX(big_daily_table,MATCH(DATE(O$5,$J87,$I87),daily_dates,0),MATCH($B$3,daily_items,0)))</f>
        <v>#N/A</v>
      </c>
      <c r="P87" s="1" t="e">
        <f aca="false">IF(ISBLANK(INDEX(big_daily_table,MATCH(DATE(P$5,$J87,$I87),daily_dates,0),MATCH($B$3,daily_items,0))),NA(),INDEX(big_daily_table,MATCH(DATE(P$5,$J87,$I87),daily_dates,0),MATCH($B$3,daily_items,0)))</f>
        <v>#N/A</v>
      </c>
      <c r="Q87" s="1" t="e">
        <f aca="false">IF(ISBLANK(INDEX(big_daily_table,MATCH(DATE(Q$5,$J87,$I87),daily_dates,0),MATCH($B$3,daily_items,0))),NA(),INDEX(big_daily_table,MATCH(DATE(Q$5,$J87,$I87),daily_dates,0),MATCH($B$3,daily_items,0)))</f>
        <v>#N/A</v>
      </c>
      <c r="R87" s="1" t="e">
        <f aca="false">IF(ISBLANK(INDEX(big_daily_table,MATCH(DATE(R$5,$J87,$I87),daily_dates,0),MATCH($B$3,daily_items,0))),NA(),INDEX(big_daily_table,MATCH(DATE(R$5,$J87,$I87),daily_dates,0),MATCH($B$3,daily_items,0)))</f>
        <v>#N/A</v>
      </c>
      <c r="S87" s="1" t="e">
        <f aca="false">IF(ISBLANK(INDEX(big_daily_table,MATCH(DATE(S$5,$J87,$I87),daily_dates,0),MATCH($B$3,daily_items,0))),NA(),INDEX(big_daily_table,MATCH(DATE(S$5,$J87,$I87),daily_dates,0),MATCH($B$3,daily_items,0)))</f>
        <v>#N/A</v>
      </c>
      <c r="T87" s="1" t="e">
        <f aca="false">IF(ISBLANK(INDEX(big_daily_table,MATCH(DATE(T$5,$J87,$I87),daily_dates,0),MATCH($B$3,daily_items,0))),NA(),INDEX(big_daily_table,MATCH(DATE(T$5,$J87,$I87),daily_dates,0),MATCH($B$3,daily_items,0)))</f>
        <v>#N/A</v>
      </c>
      <c r="U87" s="1" t="e">
        <f aca="false">IF(ISBLANK(INDEX(big_daily_table,MATCH(DATE(U$5,$J87,$I87),daily_dates,0),MATCH($B$3,daily_items,0))),NA(),INDEX(big_daily_table,MATCH(DATE(U$5,$J87,$I87),daily_dates,0),MATCH($B$3,daily_items,0)))</f>
        <v>#N/A</v>
      </c>
      <c r="V87" s="1" t="e">
        <f aca="false">IF(ISBLANK(INDEX(big_daily_table,MATCH(DATE(V$5,$J87,$I87),daily_dates,0),MATCH($B$3,daily_items,0))),NA(),INDEX(big_daily_table,MATCH(DATE(V$5,$J87,$I87),daily_dates,0),MATCH($B$3,daily_items,0)))</f>
        <v>#N/A</v>
      </c>
      <c r="W87" s="1" t="e">
        <f aca="false">IF(ISBLANK(INDEX(big_daily_table,MATCH(DATE(W$5,$J87,$I87),daily_dates,0),MATCH($B$3,daily_items,0))),NA(),INDEX(big_daily_table,MATCH(DATE(W$5,$J87,$I87),daily_dates,0),MATCH($B$3,daily_items,0)))</f>
        <v>#N/A</v>
      </c>
      <c r="X87" s="1" t="e">
        <f aca="false">IF(ISBLANK(INDEX(big_daily_table,MATCH(DATE(X$5,$J87,$I87),daily_dates,0),MATCH($B$3,daily_items,0))),NA(),INDEX(big_daily_table,MATCH(DATE(X$5,$J87,$I87),daily_dates,0),MATCH($B$3,daily_items,0)))</f>
        <v>#N/A</v>
      </c>
      <c r="Y87" s="1" t="e">
        <f aca="false">IF(ISBLANK(INDEX(big_daily_table,MATCH(DATE(Y$5,$J87,$I87),daily_dates,0),MATCH($B$3,daily_items,0))),NA(),INDEX(big_daily_table,MATCH(DATE(Y$5,$J87,$I87),daily_dates,0),MATCH($B$3,daily_items,0)))</f>
        <v>#N/A</v>
      </c>
      <c r="Z87" s="1" t="n">
        <f aca="true">_xlfn.AGGREGATE(5,6,OFFSET($R$5,H87,0,1,$J$2))</f>
        <v>0</v>
      </c>
      <c r="AA87" s="1" t="n">
        <f aca="true">_xlfn.AGGREGATE(4,6,OFFSET($R$5,H87,0,1,$J$2))</f>
        <v>0</v>
      </c>
      <c r="AB87" s="1" t="n">
        <f aca="false">AA87-Z87</f>
        <v>0</v>
      </c>
      <c r="AC87" s="1" t="e">
        <f aca="true">_xlfn.AGGREGATE(1,6,OFFSET($R$5,H87,0,1,$J$2))</f>
        <v>#DIV/0!</v>
      </c>
    </row>
    <row r="88" customFormat="false" ht="14.25" hidden="false" customHeight="false" outlineLevel="0" collapsed="false">
      <c r="H88" s="1" t="n">
        <f aca="false">H87+1</f>
        <v>83</v>
      </c>
      <c r="I88" s="1" t="n">
        <f aca="false">DAY(K88)</f>
        <v>23</v>
      </c>
      <c r="J88" s="1" t="n">
        <f aca="false">MONTH(K88)</f>
        <v>3</v>
      </c>
      <c r="K88" s="23" t="n">
        <f aca="false">K87+1</f>
        <v>36608</v>
      </c>
      <c r="L88" s="24" t="n">
        <f aca="true">IF(TODAY()&lt;DATE($N$5,J88,I88),1000000,-1000000)</f>
        <v>-1000000</v>
      </c>
      <c r="M88" s="1" t="e">
        <f aca="false">IF(K88&gt;0,INDEX(big_daily_table,MATCH(DATE(N$5,$J88,$I88),daily_dates,0),MATCH($B$3,daily_items,0)),NA())</f>
        <v>#N/A</v>
      </c>
      <c r="N88" s="1" t="e">
        <f aca="false">IF(L88&lt;0,INDEX(big_daily_table,MATCH(DATE(N$5,$J88,$I88),daily_dates,0),MATCH($B$3,daily_items,0)),NA())</f>
        <v>#N/A</v>
      </c>
      <c r="O88" s="1" t="e">
        <f aca="false">IF(ISBLANK(INDEX(big_daily_table,MATCH(DATE(O$5,$J88,$I88),daily_dates,0),MATCH($B$3,daily_items,0))),NA(),INDEX(big_daily_table,MATCH(DATE(O$5,$J88,$I88),daily_dates,0),MATCH($B$3,daily_items,0)))</f>
        <v>#N/A</v>
      </c>
      <c r="P88" s="1" t="e">
        <f aca="false">IF(ISBLANK(INDEX(big_daily_table,MATCH(DATE(P$5,$J88,$I88),daily_dates,0),MATCH($B$3,daily_items,0))),NA(),INDEX(big_daily_table,MATCH(DATE(P$5,$J88,$I88),daily_dates,0),MATCH($B$3,daily_items,0)))</f>
        <v>#N/A</v>
      </c>
      <c r="Q88" s="1" t="e">
        <f aca="false">IF(ISBLANK(INDEX(big_daily_table,MATCH(DATE(Q$5,$J88,$I88),daily_dates,0),MATCH($B$3,daily_items,0))),NA(),INDEX(big_daily_table,MATCH(DATE(Q$5,$J88,$I88),daily_dates,0),MATCH($B$3,daily_items,0)))</f>
        <v>#N/A</v>
      </c>
      <c r="R88" s="1" t="e">
        <f aca="false">IF(ISBLANK(INDEX(big_daily_table,MATCH(DATE(R$5,$J88,$I88),daily_dates,0),MATCH($B$3,daily_items,0))),NA(),INDEX(big_daily_table,MATCH(DATE(R$5,$J88,$I88),daily_dates,0),MATCH($B$3,daily_items,0)))</f>
        <v>#N/A</v>
      </c>
      <c r="S88" s="1" t="e">
        <f aca="false">IF(ISBLANK(INDEX(big_daily_table,MATCH(DATE(S$5,$J88,$I88),daily_dates,0),MATCH($B$3,daily_items,0))),NA(),INDEX(big_daily_table,MATCH(DATE(S$5,$J88,$I88),daily_dates,0),MATCH($B$3,daily_items,0)))</f>
        <v>#N/A</v>
      </c>
      <c r="T88" s="1" t="e">
        <f aca="false">IF(ISBLANK(INDEX(big_daily_table,MATCH(DATE(T$5,$J88,$I88),daily_dates,0),MATCH($B$3,daily_items,0))),NA(),INDEX(big_daily_table,MATCH(DATE(T$5,$J88,$I88),daily_dates,0),MATCH($B$3,daily_items,0)))</f>
        <v>#N/A</v>
      </c>
      <c r="U88" s="1" t="e">
        <f aca="false">IF(ISBLANK(INDEX(big_daily_table,MATCH(DATE(U$5,$J88,$I88),daily_dates,0),MATCH($B$3,daily_items,0))),NA(),INDEX(big_daily_table,MATCH(DATE(U$5,$J88,$I88),daily_dates,0),MATCH($B$3,daily_items,0)))</f>
        <v>#N/A</v>
      </c>
      <c r="V88" s="1" t="e">
        <f aca="false">IF(ISBLANK(INDEX(big_daily_table,MATCH(DATE(V$5,$J88,$I88),daily_dates,0),MATCH($B$3,daily_items,0))),NA(),INDEX(big_daily_table,MATCH(DATE(V$5,$J88,$I88),daily_dates,0),MATCH($B$3,daily_items,0)))</f>
        <v>#N/A</v>
      </c>
      <c r="W88" s="1" t="e">
        <f aca="false">IF(ISBLANK(INDEX(big_daily_table,MATCH(DATE(W$5,$J88,$I88),daily_dates,0),MATCH($B$3,daily_items,0))),NA(),INDEX(big_daily_table,MATCH(DATE(W$5,$J88,$I88),daily_dates,0),MATCH($B$3,daily_items,0)))</f>
        <v>#N/A</v>
      </c>
      <c r="X88" s="1" t="e">
        <f aca="false">IF(ISBLANK(INDEX(big_daily_table,MATCH(DATE(X$5,$J88,$I88),daily_dates,0),MATCH($B$3,daily_items,0))),NA(),INDEX(big_daily_table,MATCH(DATE(X$5,$J88,$I88),daily_dates,0),MATCH($B$3,daily_items,0)))</f>
        <v>#N/A</v>
      </c>
      <c r="Y88" s="1" t="e">
        <f aca="false">IF(ISBLANK(INDEX(big_daily_table,MATCH(DATE(Y$5,$J88,$I88),daily_dates,0),MATCH($B$3,daily_items,0))),NA(),INDEX(big_daily_table,MATCH(DATE(Y$5,$J88,$I88),daily_dates,0),MATCH($B$3,daily_items,0)))</f>
        <v>#N/A</v>
      </c>
      <c r="Z88" s="1" t="n">
        <f aca="true">_xlfn.AGGREGATE(5,6,OFFSET($R$5,H88,0,1,$J$2))</f>
        <v>0</v>
      </c>
      <c r="AA88" s="1" t="n">
        <f aca="true">_xlfn.AGGREGATE(4,6,OFFSET($R$5,H88,0,1,$J$2))</f>
        <v>0</v>
      </c>
      <c r="AB88" s="1" t="n">
        <f aca="false">AA88-Z88</f>
        <v>0</v>
      </c>
      <c r="AC88" s="1" t="e">
        <f aca="true">_xlfn.AGGREGATE(1,6,OFFSET($R$5,H88,0,1,$J$2))</f>
        <v>#DIV/0!</v>
      </c>
    </row>
    <row r="89" customFormat="false" ht="14.25" hidden="false" customHeight="false" outlineLevel="0" collapsed="false">
      <c r="H89" s="1" t="n">
        <f aca="false">H88+1</f>
        <v>84</v>
      </c>
      <c r="I89" s="1" t="n">
        <f aca="false">DAY(K89)</f>
        <v>24</v>
      </c>
      <c r="J89" s="1" t="n">
        <f aca="false">MONTH(K89)</f>
        <v>3</v>
      </c>
      <c r="K89" s="23" t="n">
        <f aca="false">K88+1</f>
        <v>36609</v>
      </c>
      <c r="L89" s="24" t="n">
        <f aca="true">IF(TODAY()&lt;DATE($N$5,J89,I89),1000000,-1000000)</f>
        <v>-1000000</v>
      </c>
      <c r="M89" s="1" t="e">
        <f aca="false">IF(K89&gt;0,INDEX(big_daily_table,MATCH(DATE(N$5,$J89,$I89),daily_dates,0),MATCH($B$3,daily_items,0)),NA())</f>
        <v>#N/A</v>
      </c>
      <c r="N89" s="1" t="e">
        <f aca="false">IF(L89&lt;0,INDEX(big_daily_table,MATCH(DATE(N$5,$J89,$I89),daily_dates,0),MATCH($B$3,daily_items,0)),NA())</f>
        <v>#N/A</v>
      </c>
      <c r="O89" s="1" t="e">
        <f aca="false">IF(ISBLANK(INDEX(big_daily_table,MATCH(DATE(O$5,$J89,$I89),daily_dates,0),MATCH($B$3,daily_items,0))),NA(),INDEX(big_daily_table,MATCH(DATE(O$5,$J89,$I89),daily_dates,0),MATCH($B$3,daily_items,0)))</f>
        <v>#N/A</v>
      </c>
      <c r="P89" s="1" t="e">
        <f aca="false">IF(ISBLANK(INDEX(big_daily_table,MATCH(DATE(P$5,$J89,$I89),daily_dates,0),MATCH($B$3,daily_items,0))),NA(),INDEX(big_daily_table,MATCH(DATE(P$5,$J89,$I89),daily_dates,0),MATCH($B$3,daily_items,0)))</f>
        <v>#N/A</v>
      </c>
      <c r="Q89" s="1" t="e">
        <f aca="false">IF(ISBLANK(INDEX(big_daily_table,MATCH(DATE(Q$5,$J89,$I89),daily_dates,0),MATCH($B$3,daily_items,0))),NA(),INDEX(big_daily_table,MATCH(DATE(Q$5,$J89,$I89),daily_dates,0),MATCH($B$3,daily_items,0)))</f>
        <v>#N/A</v>
      </c>
      <c r="R89" s="1" t="e">
        <f aca="false">IF(ISBLANK(INDEX(big_daily_table,MATCH(DATE(R$5,$J89,$I89),daily_dates,0),MATCH($B$3,daily_items,0))),NA(),INDEX(big_daily_table,MATCH(DATE(R$5,$J89,$I89),daily_dates,0),MATCH($B$3,daily_items,0)))</f>
        <v>#N/A</v>
      </c>
      <c r="S89" s="1" t="e">
        <f aca="false">IF(ISBLANK(INDEX(big_daily_table,MATCH(DATE(S$5,$J89,$I89),daily_dates,0),MATCH($B$3,daily_items,0))),NA(),INDEX(big_daily_table,MATCH(DATE(S$5,$J89,$I89),daily_dates,0),MATCH($B$3,daily_items,0)))</f>
        <v>#N/A</v>
      </c>
      <c r="T89" s="1" t="e">
        <f aca="false">IF(ISBLANK(INDEX(big_daily_table,MATCH(DATE(T$5,$J89,$I89),daily_dates,0),MATCH($B$3,daily_items,0))),NA(),INDEX(big_daily_table,MATCH(DATE(T$5,$J89,$I89),daily_dates,0),MATCH($B$3,daily_items,0)))</f>
        <v>#N/A</v>
      </c>
      <c r="U89" s="1" t="e">
        <f aca="false">IF(ISBLANK(INDEX(big_daily_table,MATCH(DATE(U$5,$J89,$I89),daily_dates,0),MATCH($B$3,daily_items,0))),NA(),INDEX(big_daily_table,MATCH(DATE(U$5,$J89,$I89),daily_dates,0),MATCH($B$3,daily_items,0)))</f>
        <v>#N/A</v>
      </c>
      <c r="V89" s="1" t="e">
        <f aca="false">IF(ISBLANK(INDEX(big_daily_table,MATCH(DATE(V$5,$J89,$I89),daily_dates,0),MATCH($B$3,daily_items,0))),NA(),INDEX(big_daily_table,MATCH(DATE(V$5,$J89,$I89),daily_dates,0),MATCH($B$3,daily_items,0)))</f>
        <v>#N/A</v>
      </c>
      <c r="W89" s="1" t="e">
        <f aca="false">IF(ISBLANK(INDEX(big_daily_table,MATCH(DATE(W$5,$J89,$I89),daily_dates,0),MATCH($B$3,daily_items,0))),NA(),INDEX(big_daily_table,MATCH(DATE(W$5,$J89,$I89),daily_dates,0),MATCH($B$3,daily_items,0)))</f>
        <v>#N/A</v>
      </c>
      <c r="X89" s="1" t="e">
        <f aca="false">IF(ISBLANK(INDEX(big_daily_table,MATCH(DATE(X$5,$J89,$I89),daily_dates,0),MATCH($B$3,daily_items,0))),NA(),INDEX(big_daily_table,MATCH(DATE(X$5,$J89,$I89),daily_dates,0),MATCH($B$3,daily_items,0)))</f>
        <v>#N/A</v>
      </c>
      <c r="Y89" s="1" t="e">
        <f aca="false">IF(ISBLANK(INDEX(big_daily_table,MATCH(DATE(Y$5,$J89,$I89),daily_dates,0),MATCH($B$3,daily_items,0))),NA(),INDEX(big_daily_table,MATCH(DATE(Y$5,$J89,$I89),daily_dates,0),MATCH($B$3,daily_items,0)))</f>
        <v>#N/A</v>
      </c>
      <c r="Z89" s="1" t="n">
        <f aca="true">_xlfn.AGGREGATE(5,6,OFFSET($R$5,H89,0,1,$J$2))</f>
        <v>0</v>
      </c>
      <c r="AA89" s="1" t="n">
        <f aca="true">_xlfn.AGGREGATE(4,6,OFFSET($R$5,H89,0,1,$J$2))</f>
        <v>0</v>
      </c>
      <c r="AB89" s="1" t="n">
        <f aca="false">AA89-Z89</f>
        <v>0</v>
      </c>
      <c r="AC89" s="1" t="e">
        <f aca="true">_xlfn.AGGREGATE(1,6,OFFSET($R$5,H89,0,1,$J$2))</f>
        <v>#DIV/0!</v>
      </c>
    </row>
    <row r="90" customFormat="false" ht="14.25" hidden="false" customHeight="false" outlineLevel="0" collapsed="false">
      <c r="H90" s="1" t="n">
        <f aca="false">H89+1</f>
        <v>85</v>
      </c>
      <c r="I90" s="1" t="n">
        <f aca="false">DAY(K90)</f>
        <v>25</v>
      </c>
      <c r="J90" s="1" t="n">
        <f aca="false">MONTH(K90)</f>
        <v>3</v>
      </c>
      <c r="K90" s="23" t="n">
        <f aca="false">K89+1</f>
        <v>36610</v>
      </c>
      <c r="L90" s="24" t="n">
        <f aca="true">IF(TODAY()&lt;DATE($N$5,J90,I90),1000000,-1000000)</f>
        <v>-1000000</v>
      </c>
      <c r="M90" s="1" t="e">
        <f aca="false">IF(K90&gt;0,INDEX(big_daily_table,MATCH(DATE(N$5,$J90,$I90),daily_dates,0),MATCH($B$3,daily_items,0)),NA())</f>
        <v>#N/A</v>
      </c>
      <c r="N90" s="1" t="e">
        <f aca="false">IF(L90&lt;0,INDEX(big_daily_table,MATCH(DATE(N$5,$J90,$I90),daily_dates,0),MATCH($B$3,daily_items,0)),NA())</f>
        <v>#N/A</v>
      </c>
      <c r="O90" s="1" t="e">
        <f aca="false">IF(ISBLANK(INDEX(big_daily_table,MATCH(DATE(O$5,$J90,$I90),daily_dates,0),MATCH($B$3,daily_items,0))),NA(),INDEX(big_daily_table,MATCH(DATE(O$5,$J90,$I90),daily_dates,0),MATCH($B$3,daily_items,0)))</f>
        <v>#N/A</v>
      </c>
      <c r="P90" s="1" t="e">
        <f aca="false">IF(ISBLANK(INDEX(big_daily_table,MATCH(DATE(P$5,$J90,$I90),daily_dates,0),MATCH($B$3,daily_items,0))),NA(),INDEX(big_daily_table,MATCH(DATE(P$5,$J90,$I90),daily_dates,0),MATCH($B$3,daily_items,0)))</f>
        <v>#N/A</v>
      </c>
      <c r="Q90" s="1" t="e">
        <f aca="false">IF(ISBLANK(INDEX(big_daily_table,MATCH(DATE(Q$5,$J90,$I90),daily_dates,0),MATCH($B$3,daily_items,0))),NA(),INDEX(big_daily_table,MATCH(DATE(Q$5,$J90,$I90),daily_dates,0),MATCH($B$3,daily_items,0)))</f>
        <v>#N/A</v>
      </c>
      <c r="R90" s="1" t="e">
        <f aca="false">IF(ISBLANK(INDEX(big_daily_table,MATCH(DATE(R$5,$J90,$I90),daily_dates,0),MATCH($B$3,daily_items,0))),NA(),INDEX(big_daily_table,MATCH(DATE(R$5,$J90,$I90),daily_dates,0),MATCH($B$3,daily_items,0)))</f>
        <v>#N/A</v>
      </c>
      <c r="S90" s="1" t="e">
        <f aca="false">IF(ISBLANK(INDEX(big_daily_table,MATCH(DATE(S$5,$J90,$I90),daily_dates,0),MATCH($B$3,daily_items,0))),NA(),INDEX(big_daily_table,MATCH(DATE(S$5,$J90,$I90),daily_dates,0),MATCH($B$3,daily_items,0)))</f>
        <v>#N/A</v>
      </c>
      <c r="T90" s="1" t="e">
        <f aca="false">IF(ISBLANK(INDEX(big_daily_table,MATCH(DATE(T$5,$J90,$I90),daily_dates,0),MATCH($B$3,daily_items,0))),NA(),INDEX(big_daily_table,MATCH(DATE(T$5,$J90,$I90),daily_dates,0),MATCH($B$3,daily_items,0)))</f>
        <v>#N/A</v>
      </c>
      <c r="U90" s="1" t="e">
        <f aca="false">IF(ISBLANK(INDEX(big_daily_table,MATCH(DATE(U$5,$J90,$I90),daily_dates,0),MATCH($B$3,daily_items,0))),NA(),INDEX(big_daily_table,MATCH(DATE(U$5,$J90,$I90),daily_dates,0),MATCH($B$3,daily_items,0)))</f>
        <v>#N/A</v>
      </c>
      <c r="V90" s="1" t="e">
        <f aca="false">IF(ISBLANK(INDEX(big_daily_table,MATCH(DATE(V$5,$J90,$I90),daily_dates,0),MATCH($B$3,daily_items,0))),NA(),INDEX(big_daily_table,MATCH(DATE(V$5,$J90,$I90),daily_dates,0),MATCH($B$3,daily_items,0)))</f>
        <v>#N/A</v>
      </c>
      <c r="W90" s="1" t="e">
        <f aca="false">IF(ISBLANK(INDEX(big_daily_table,MATCH(DATE(W$5,$J90,$I90),daily_dates,0),MATCH($B$3,daily_items,0))),NA(),INDEX(big_daily_table,MATCH(DATE(W$5,$J90,$I90),daily_dates,0),MATCH($B$3,daily_items,0)))</f>
        <v>#N/A</v>
      </c>
      <c r="X90" s="1" t="e">
        <f aca="false">IF(ISBLANK(INDEX(big_daily_table,MATCH(DATE(X$5,$J90,$I90),daily_dates,0),MATCH($B$3,daily_items,0))),NA(),INDEX(big_daily_table,MATCH(DATE(X$5,$J90,$I90),daily_dates,0),MATCH($B$3,daily_items,0)))</f>
        <v>#N/A</v>
      </c>
      <c r="Y90" s="1" t="e">
        <f aca="false">IF(ISBLANK(INDEX(big_daily_table,MATCH(DATE(Y$5,$J90,$I90),daily_dates,0),MATCH($B$3,daily_items,0))),NA(),INDEX(big_daily_table,MATCH(DATE(Y$5,$J90,$I90),daily_dates,0),MATCH($B$3,daily_items,0)))</f>
        <v>#N/A</v>
      </c>
      <c r="Z90" s="1" t="n">
        <f aca="true">_xlfn.AGGREGATE(5,6,OFFSET($R$5,H90,0,1,$J$2))</f>
        <v>0</v>
      </c>
      <c r="AA90" s="1" t="n">
        <f aca="true">_xlfn.AGGREGATE(4,6,OFFSET($R$5,H90,0,1,$J$2))</f>
        <v>0</v>
      </c>
      <c r="AB90" s="1" t="n">
        <f aca="false">AA90-Z90</f>
        <v>0</v>
      </c>
      <c r="AC90" s="1" t="e">
        <f aca="true">_xlfn.AGGREGATE(1,6,OFFSET($R$5,H90,0,1,$J$2))</f>
        <v>#DIV/0!</v>
      </c>
    </row>
    <row r="91" customFormat="false" ht="14.25" hidden="false" customHeight="false" outlineLevel="0" collapsed="false">
      <c r="H91" s="1" t="n">
        <f aca="false">H90+1</f>
        <v>86</v>
      </c>
      <c r="I91" s="1" t="n">
        <f aca="false">DAY(K91)</f>
        <v>26</v>
      </c>
      <c r="J91" s="1" t="n">
        <f aca="false">MONTH(K91)</f>
        <v>3</v>
      </c>
      <c r="K91" s="23" t="n">
        <f aca="false">K90+1</f>
        <v>36611</v>
      </c>
      <c r="L91" s="24" t="n">
        <f aca="true">IF(TODAY()&lt;DATE($N$5,J91,I91),1000000,-1000000)</f>
        <v>-1000000</v>
      </c>
      <c r="M91" s="1" t="e">
        <f aca="false">IF(K91&gt;0,INDEX(big_daily_table,MATCH(DATE(N$5,$J91,$I91),daily_dates,0),MATCH($B$3,daily_items,0)),NA())</f>
        <v>#N/A</v>
      </c>
      <c r="N91" s="1" t="e">
        <f aca="false">IF(L91&lt;0,INDEX(big_daily_table,MATCH(DATE(N$5,$J91,$I91),daily_dates,0),MATCH($B$3,daily_items,0)),NA())</f>
        <v>#N/A</v>
      </c>
      <c r="O91" s="1" t="e">
        <f aca="false">IF(ISBLANK(INDEX(big_daily_table,MATCH(DATE(O$5,$J91,$I91),daily_dates,0),MATCH($B$3,daily_items,0))),NA(),INDEX(big_daily_table,MATCH(DATE(O$5,$J91,$I91),daily_dates,0),MATCH($B$3,daily_items,0)))</f>
        <v>#N/A</v>
      </c>
      <c r="P91" s="1" t="e">
        <f aca="false">IF(ISBLANK(INDEX(big_daily_table,MATCH(DATE(P$5,$J91,$I91),daily_dates,0),MATCH($B$3,daily_items,0))),NA(),INDEX(big_daily_table,MATCH(DATE(P$5,$J91,$I91),daily_dates,0),MATCH($B$3,daily_items,0)))</f>
        <v>#N/A</v>
      </c>
      <c r="Q91" s="1" t="e">
        <f aca="false">IF(ISBLANK(INDEX(big_daily_table,MATCH(DATE(Q$5,$J91,$I91),daily_dates,0),MATCH($B$3,daily_items,0))),NA(),INDEX(big_daily_table,MATCH(DATE(Q$5,$J91,$I91),daily_dates,0),MATCH($B$3,daily_items,0)))</f>
        <v>#N/A</v>
      </c>
      <c r="R91" s="1" t="e">
        <f aca="false">IF(ISBLANK(INDEX(big_daily_table,MATCH(DATE(R$5,$J91,$I91),daily_dates,0),MATCH($B$3,daily_items,0))),NA(),INDEX(big_daily_table,MATCH(DATE(R$5,$J91,$I91),daily_dates,0),MATCH($B$3,daily_items,0)))</f>
        <v>#N/A</v>
      </c>
      <c r="S91" s="1" t="e">
        <f aca="false">IF(ISBLANK(INDEX(big_daily_table,MATCH(DATE(S$5,$J91,$I91),daily_dates,0),MATCH($B$3,daily_items,0))),NA(),INDEX(big_daily_table,MATCH(DATE(S$5,$J91,$I91),daily_dates,0),MATCH($B$3,daily_items,0)))</f>
        <v>#N/A</v>
      </c>
      <c r="T91" s="1" t="e">
        <f aca="false">IF(ISBLANK(INDEX(big_daily_table,MATCH(DATE(T$5,$J91,$I91),daily_dates,0),MATCH($B$3,daily_items,0))),NA(),INDEX(big_daily_table,MATCH(DATE(T$5,$J91,$I91),daily_dates,0),MATCH($B$3,daily_items,0)))</f>
        <v>#N/A</v>
      </c>
      <c r="U91" s="1" t="e">
        <f aca="false">IF(ISBLANK(INDEX(big_daily_table,MATCH(DATE(U$5,$J91,$I91),daily_dates,0),MATCH($B$3,daily_items,0))),NA(),INDEX(big_daily_table,MATCH(DATE(U$5,$J91,$I91),daily_dates,0),MATCH($B$3,daily_items,0)))</f>
        <v>#N/A</v>
      </c>
      <c r="V91" s="1" t="e">
        <f aca="false">IF(ISBLANK(INDEX(big_daily_table,MATCH(DATE(V$5,$J91,$I91),daily_dates,0),MATCH($B$3,daily_items,0))),NA(),INDEX(big_daily_table,MATCH(DATE(V$5,$J91,$I91),daily_dates,0),MATCH($B$3,daily_items,0)))</f>
        <v>#N/A</v>
      </c>
      <c r="W91" s="1" t="e">
        <f aca="false">IF(ISBLANK(INDEX(big_daily_table,MATCH(DATE(W$5,$J91,$I91),daily_dates,0),MATCH($B$3,daily_items,0))),NA(),INDEX(big_daily_table,MATCH(DATE(W$5,$J91,$I91),daily_dates,0),MATCH($B$3,daily_items,0)))</f>
        <v>#N/A</v>
      </c>
      <c r="X91" s="1" t="e">
        <f aca="false">IF(ISBLANK(INDEX(big_daily_table,MATCH(DATE(X$5,$J91,$I91),daily_dates,0),MATCH($B$3,daily_items,0))),NA(),INDEX(big_daily_table,MATCH(DATE(X$5,$J91,$I91),daily_dates,0),MATCH($B$3,daily_items,0)))</f>
        <v>#N/A</v>
      </c>
      <c r="Y91" s="1" t="e">
        <f aca="false">IF(ISBLANK(INDEX(big_daily_table,MATCH(DATE(Y$5,$J91,$I91),daily_dates,0),MATCH($B$3,daily_items,0))),NA(),INDEX(big_daily_table,MATCH(DATE(Y$5,$J91,$I91),daily_dates,0),MATCH($B$3,daily_items,0)))</f>
        <v>#N/A</v>
      </c>
      <c r="Z91" s="1" t="n">
        <f aca="true">_xlfn.AGGREGATE(5,6,OFFSET($R$5,H91,0,1,$J$2))</f>
        <v>0</v>
      </c>
      <c r="AA91" s="1" t="n">
        <f aca="true">_xlfn.AGGREGATE(4,6,OFFSET($R$5,H91,0,1,$J$2))</f>
        <v>0</v>
      </c>
      <c r="AB91" s="1" t="n">
        <f aca="false">AA91-Z91</f>
        <v>0</v>
      </c>
      <c r="AC91" s="1" t="e">
        <f aca="true">_xlfn.AGGREGATE(1,6,OFFSET($R$5,H91,0,1,$J$2))</f>
        <v>#DIV/0!</v>
      </c>
    </row>
    <row r="92" customFormat="false" ht="14.25" hidden="false" customHeight="false" outlineLevel="0" collapsed="false">
      <c r="H92" s="1" t="n">
        <f aca="false">H91+1</f>
        <v>87</v>
      </c>
      <c r="I92" s="1" t="n">
        <f aca="false">DAY(K92)</f>
        <v>27</v>
      </c>
      <c r="J92" s="1" t="n">
        <f aca="false">MONTH(K92)</f>
        <v>3</v>
      </c>
      <c r="K92" s="23" t="n">
        <f aca="false">K91+1</f>
        <v>36612</v>
      </c>
      <c r="L92" s="24" t="n">
        <f aca="true">IF(TODAY()&lt;DATE($N$5,J92,I92),1000000,-1000000)</f>
        <v>-1000000</v>
      </c>
      <c r="M92" s="1" t="e">
        <f aca="false">IF(K92&gt;0,INDEX(big_daily_table,MATCH(DATE(N$5,$J92,$I92),daily_dates,0),MATCH($B$3,daily_items,0)),NA())</f>
        <v>#N/A</v>
      </c>
      <c r="N92" s="1" t="e">
        <f aca="false">IF(L92&lt;0,INDEX(big_daily_table,MATCH(DATE(N$5,$J92,$I92),daily_dates,0),MATCH($B$3,daily_items,0)),NA())</f>
        <v>#N/A</v>
      </c>
      <c r="O92" s="1" t="e">
        <f aca="false">IF(ISBLANK(INDEX(big_daily_table,MATCH(DATE(O$5,$J92,$I92),daily_dates,0),MATCH($B$3,daily_items,0))),NA(),INDEX(big_daily_table,MATCH(DATE(O$5,$J92,$I92),daily_dates,0),MATCH($B$3,daily_items,0)))</f>
        <v>#N/A</v>
      </c>
      <c r="P92" s="1" t="e">
        <f aca="false">IF(ISBLANK(INDEX(big_daily_table,MATCH(DATE(P$5,$J92,$I92),daily_dates,0),MATCH($B$3,daily_items,0))),NA(),INDEX(big_daily_table,MATCH(DATE(P$5,$J92,$I92),daily_dates,0),MATCH($B$3,daily_items,0)))</f>
        <v>#N/A</v>
      </c>
      <c r="Q92" s="1" t="e">
        <f aca="false">IF(ISBLANK(INDEX(big_daily_table,MATCH(DATE(Q$5,$J92,$I92),daily_dates,0),MATCH($B$3,daily_items,0))),NA(),INDEX(big_daily_table,MATCH(DATE(Q$5,$J92,$I92),daily_dates,0),MATCH($B$3,daily_items,0)))</f>
        <v>#N/A</v>
      </c>
      <c r="R92" s="1" t="e">
        <f aca="false">IF(ISBLANK(INDEX(big_daily_table,MATCH(DATE(R$5,$J92,$I92),daily_dates,0),MATCH($B$3,daily_items,0))),NA(),INDEX(big_daily_table,MATCH(DATE(R$5,$J92,$I92),daily_dates,0),MATCH($B$3,daily_items,0)))</f>
        <v>#N/A</v>
      </c>
      <c r="S92" s="1" t="e">
        <f aca="false">IF(ISBLANK(INDEX(big_daily_table,MATCH(DATE(S$5,$J92,$I92),daily_dates,0),MATCH($B$3,daily_items,0))),NA(),INDEX(big_daily_table,MATCH(DATE(S$5,$J92,$I92),daily_dates,0),MATCH($B$3,daily_items,0)))</f>
        <v>#N/A</v>
      </c>
      <c r="T92" s="1" t="e">
        <f aca="false">IF(ISBLANK(INDEX(big_daily_table,MATCH(DATE(T$5,$J92,$I92),daily_dates,0),MATCH($B$3,daily_items,0))),NA(),INDEX(big_daily_table,MATCH(DATE(T$5,$J92,$I92),daily_dates,0),MATCH($B$3,daily_items,0)))</f>
        <v>#N/A</v>
      </c>
      <c r="U92" s="1" t="e">
        <f aca="false">IF(ISBLANK(INDEX(big_daily_table,MATCH(DATE(U$5,$J92,$I92),daily_dates,0),MATCH($B$3,daily_items,0))),NA(),INDEX(big_daily_table,MATCH(DATE(U$5,$J92,$I92),daily_dates,0),MATCH($B$3,daily_items,0)))</f>
        <v>#N/A</v>
      </c>
      <c r="V92" s="1" t="e">
        <f aca="false">IF(ISBLANK(INDEX(big_daily_table,MATCH(DATE(V$5,$J92,$I92),daily_dates,0),MATCH($B$3,daily_items,0))),NA(),INDEX(big_daily_table,MATCH(DATE(V$5,$J92,$I92),daily_dates,0),MATCH($B$3,daily_items,0)))</f>
        <v>#N/A</v>
      </c>
      <c r="W92" s="1" t="e">
        <f aca="false">IF(ISBLANK(INDEX(big_daily_table,MATCH(DATE(W$5,$J92,$I92),daily_dates,0),MATCH($B$3,daily_items,0))),NA(),INDEX(big_daily_table,MATCH(DATE(W$5,$J92,$I92),daily_dates,0),MATCH($B$3,daily_items,0)))</f>
        <v>#N/A</v>
      </c>
      <c r="X92" s="1" t="e">
        <f aca="false">IF(ISBLANK(INDEX(big_daily_table,MATCH(DATE(X$5,$J92,$I92),daily_dates,0),MATCH($B$3,daily_items,0))),NA(),INDEX(big_daily_table,MATCH(DATE(X$5,$J92,$I92),daily_dates,0),MATCH($B$3,daily_items,0)))</f>
        <v>#N/A</v>
      </c>
      <c r="Y92" s="1" t="e">
        <f aca="false">IF(ISBLANK(INDEX(big_daily_table,MATCH(DATE(Y$5,$J92,$I92),daily_dates,0),MATCH($B$3,daily_items,0))),NA(),INDEX(big_daily_table,MATCH(DATE(Y$5,$J92,$I92),daily_dates,0),MATCH($B$3,daily_items,0)))</f>
        <v>#N/A</v>
      </c>
      <c r="Z92" s="1" t="n">
        <f aca="true">_xlfn.AGGREGATE(5,6,OFFSET($R$5,H92,0,1,$J$2))</f>
        <v>0</v>
      </c>
      <c r="AA92" s="1" t="n">
        <f aca="true">_xlfn.AGGREGATE(4,6,OFFSET($R$5,H92,0,1,$J$2))</f>
        <v>0</v>
      </c>
      <c r="AB92" s="1" t="n">
        <f aca="false">AA92-Z92</f>
        <v>0</v>
      </c>
      <c r="AC92" s="1" t="e">
        <f aca="true">_xlfn.AGGREGATE(1,6,OFFSET($R$5,H92,0,1,$J$2))</f>
        <v>#DIV/0!</v>
      </c>
    </row>
    <row r="93" customFormat="false" ht="14.25" hidden="false" customHeight="false" outlineLevel="0" collapsed="false">
      <c r="H93" s="1" t="n">
        <f aca="false">H92+1</f>
        <v>88</v>
      </c>
      <c r="I93" s="1" t="n">
        <f aca="false">DAY(K93)</f>
        <v>28</v>
      </c>
      <c r="J93" s="1" t="n">
        <f aca="false">MONTH(K93)</f>
        <v>3</v>
      </c>
      <c r="K93" s="23" t="n">
        <f aca="false">K92+1</f>
        <v>36613</v>
      </c>
      <c r="L93" s="24" t="n">
        <f aca="true">IF(TODAY()&lt;DATE($N$5,J93,I93),1000000,-1000000)</f>
        <v>-1000000</v>
      </c>
      <c r="M93" s="1" t="e">
        <f aca="false">IF(K93&gt;0,INDEX(big_daily_table,MATCH(DATE(N$5,$J93,$I93),daily_dates,0),MATCH($B$3,daily_items,0)),NA())</f>
        <v>#N/A</v>
      </c>
      <c r="N93" s="1" t="e">
        <f aca="false">IF(L93&lt;0,INDEX(big_daily_table,MATCH(DATE(N$5,$J93,$I93),daily_dates,0),MATCH($B$3,daily_items,0)),NA())</f>
        <v>#N/A</v>
      </c>
      <c r="O93" s="1" t="e">
        <f aca="false">IF(ISBLANK(INDEX(big_daily_table,MATCH(DATE(O$5,$J93,$I93),daily_dates,0),MATCH($B$3,daily_items,0))),NA(),INDEX(big_daily_table,MATCH(DATE(O$5,$J93,$I93),daily_dates,0),MATCH($B$3,daily_items,0)))</f>
        <v>#N/A</v>
      </c>
      <c r="P93" s="1" t="e">
        <f aca="false">IF(ISBLANK(INDEX(big_daily_table,MATCH(DATE(P$5,$J93,$I93),daily_dates,0),MATCH($B$3,daily_items,0))),NA(),INDEX(big_daily_table,MATCH(DATE(P$5,$J93,$I93),daily_dates,0),MATCH($B$3,daily_items,0)))</f>
        <v>#N/A</v>
      </c>
      <c r="Q93" s="1" t="e">
        <f aca="false">IF(ISBLANK(INDEX(big_daily_table,MATCH(DATE(Q$5,$J93,$I93),daily_dates,0),MATCH($B$3,daily_items,0))),NA(),INDEX(big_daily_table,MATCH(DATE(Q$5,$J93,$I93),daily_dates,0),MATCH($B$3,daily_items,0)))</f>
        <v>#N/A</v>
      </c>
      <c r="R93" s="1" t="e">
        <f aca="false">IF(ISBLANK(INDEX(big_daily_table,MATCH(DATE(R$5,$J93,$I93),daily_dates,0),MATCH($B$3,daily_items,0))),NA(),INDEX(big_daily_table,MATCH(DATE(R$5,$J93,$I93),daily_dates,0),MATCH($B$3,daily_items,0)))</f>
        <v>#N/A</v>
      </c>
      <c r="S93" s="1" t="e">
        <f aca="false">IF(ISBLANK(INDEX(big_daily_table,MATCH(DATE(S$5,$J93,$I93),daily_dates,0),MATCH($B$3,daily_items,0))),NA(),INDEX(big_daily_table,MATCH(DATE(S$5,$J93,$I93),daily_dates,0),MATCH($B$3,daily_items,0)))</f>
        <v>#N/A</v>
      </c>
      <c r="T93" s="1" t="e">
        <f aca="false">IF(ISBLANK(INDEX(big_daily_table,MATCH(DATE(T$5,$J93,$I93),daily_dates,0),MATCH($B$3,daily_items,0))),NA(),INDEX(big_daily_table,MATCH(DATE(T$5,$J93,$I93),daily_dates,0),MATCH($B$3,daily_items,0)))</f>
        <v>#N/A</v>
      </c>
      <c r="U93" s="1" t="e">
        <f aca="false">IF(ISBLANK(INDEX(big_daily_table,MATCH(DATE(U$5,$J93,$I93),daily_dates,0),MATCH($B$3,daily_items,0))),NA(),INDEX(big_daily_table,MATCH(DATE(U$5,$J93,$I93),daily_dates,0),MATCH($B$3,daily_items,0)))</f>
        <v>#N/A</v>
      </c>
      <c r="V93" s="1" t="e">
        <f aca="false">IF(ISBLANK(INDEX(big_daily_table,MATCH(DATE(V$5,$J93,$I93),daily_dates,0),MATCH($B$3,daily_items,0))),NA(),INDEX(big_daily_table,MATCH(DATE(V$5,$J93,$I93),daily_dates,0),MATCH($B$3,daily_items,0)))</f>
        <v>#N/A</v>
      </c>
      <c r="W93" s="1" t="e">
        <f aca="false">IF(ISBLANK(INDEX(big_daily_table,MATCH(DATE(W$5,$J93,$I93),daily_dates,0),MATCH($B$3,daily_items,0))),NA(),INDEX(big_daily_table,MATCH(DATE(W$5,$J93,$I93),daily_dates,0),MATCH($B$3,daily_items,0)))</f>
        <v>#N/A</v>
      </c>
      <c r="X93" s="1" t="e">
        <f aca="false">IF(ISBLANK(INDEX(big_daily_table,MATCH(DATE(X$5,$J93,$I93),daily_dates,0),MATCH($B$3,daily_items,0))),NA(),INDEX(big_daily_table,MATCH(DATE(X$5,$J93,$I93),daily_dates,0),MATCH($B$3,daily_items,0)))</f>
        <v>#N/A</v>
      </c>
      <c r="Y93" s="1" t="e">
        <f aca="false">IF(ISBLANK(INDEX(big_daily_table,MATCH(DATE(Y$5,$J93,$I93),daily_dates,0),MATCH($B$3,daily_items,0))),NA(),INDEX(big_daily_table,MATCH(DATE(Y$5,$J93,$I93),daily_dates,0),MATCH($B$3,daily_items,0)))</f>
        <v>#N/A</v>
      </c>
      <c r="Z93" s="1" t="n">
        <f aca="true">_xlfn.AGGREGATE(5,6,OFFSET($R$5,H93,0,1,$J$2))</f>
        <v>0</v>
      </c>
      <c r="AA93" s="1" t="n">
        <f aca="true">_xlfn.AGGREGATE(4,6,OFFSET($R$5,H93,0,1,$J$2))</f>
        <v>0</v>
      </c>
      <c r="AB93" s="1" t="n">
        <f aca="false">AA93-Z93</f>
        <v>0</v>
      </c>
      <c r="AC93" s="1" t="e">
        <f aca="true">_xlfn.AGGREGATE(1,6,OFFSET($R$5,H93,0,1,$J$2))</f>
        <v>#DIV/0!</v>
      </c>
    </row>
    <row r="94" customFormat="false" ht="14.25" hidden="false" customHeight="false" outlineLevel="0" collapsed="false">
      <c r="H94" s="1" t="n">
        <f aca="false">H93+1</f>
        <v>89</v>
      </c>
      <c r="I94" s="1" t="n">
        <f aca="false">DAY(K94)</f>
        <v>29</v>
      </c>
      <c r="J94" s="1" t="n">
        <f aca="false">MONTH(K94)</f>
        <v>3</v>
      </c>
      <c r="K94" s="23" t="n">
        <f aca="false">K93+1</f>
        <v>36614</v>
      </c>
      <c r="L94" s="24" t="n">
        <f aca="true">IF(TODAY()&lt;DATE($N$5,J94,I94),1000000,-1000000)</f>
        <v>-1000000</v>
      </c>
      <c r="M94" s="1" t="e">
        <f aca="false">IF(K94&gt;0,INDEX(big_daily_table,MATCH(DATE(N$5,$J94,$I94),daily_dates,0),MATCH($B$3,daily_items,0)),NA())</f>
        <v>#N/A</v>
      </c>
      <c r="N94" s="1" t="e">
        <f aca="false">IF(L94&lt;0,INDEX(big_daily_table,MATCH(DATE(N$5,$J94,$I94),daily_dates,0),MATCH($B$3,daily_items,0)),NA())</f>
        <v>#N/A</v>
      </c>
      <c r="O94" s="1" t="e">
        <f aca="false">IF(ISBLANK(INDEX(big_daily_table,MATCH(DATE(O$5,$J94,$I94),daily_dates,0),MATCH($B$3,daily_items,0))),NA(),INDEX(big_daily_table,MATCH(DATE(O$5,$J94,$I94),daily_dates,0),MATCH($B$3,daily_items,0)))</f>
        <v>#N/A</v>
      </c>
      <c r="P94" s="1" t="e">
        <f aca="false">IF(ISBLANK(INDEX(big_daily_table,MATCH(DATE(P$5,$J94,$I94),daily_dates,0),MATCH($B$3,daily_items,0))),NA(),INDEX(big_daily_table,MATCH(DATE(P$5,$J94,$I94),daily_dates,0),MATCH($B$3,daily_items,0)))</f>
        <v>#N/A</v>
      </c>
      <c r="Q94" s="1" t="e">
        <f aca="false">IF(ISBLANK(INDEX(big_daily_table,MATCH(DATE(Q$5,$J94,$I94),daily_dates,0),MATCH($B$3,daily_items,0))),NA(),INDEX(big_daily_table,MATCH(DATE(Q$5,$J94,$I94),daily_dates,0),MATCH($B$3,daily_items,0)))</f>
        <v>#N/A</v>
      </c>
      <c r="R94" s="1" t="e">
        <f aca="false">IF(ISBLANK(INDEX(big_daily_table,MATCH(DATE(R$5,$J94,$I94),daily_dates,0),MATCH($B$3,daily_items,0))),NA(),INDEX(big_daily_table,MATCH(DATE(R$5,$J94,$I94),daily_dates,0),MATCH($B$3,daily_items,0)))</f>
        <v>#N/A</v>
      </c>
      <c r="S94" s="1" t="e">
        <f aca="false">IF(ISBLANK(INDEX(big_daily_table,MATCH(DATE(S$5,$J94,$I94),daily_dates,0),MATCH($B$3,daily_items,0))),NA(),INDEX(big_daily_table,MATCH(DATE(S$5,$J94,$I94),daily_dates,0),MATCH($B$3,daily_items,0)))</f>
        <v>#N/A</v>
      </c>
      <c r="T94" s="1" t="e">
        <f aca="false">IF(ISBLANK(INDEX(big_daily_table,MATCH(DATE(T$5,$J94,$I94),daily_dates,0),MATCH($B$3,daily_items,0))),NA(),INDEX(big_daily_table,MATCH(DATE(T$5,$J94,$I94),daily_dates,0),MATCH($B$3,daily_items,0)))</f>
        <v>#N/A</v>
      </c>
      <c r="U94" s="1" t="e">
        <f aca="false">IF(ISBLANK(INDEX(big_daily_table,MATCH(DATE(U$5,$J94,$I94),daily_dates,0),MATCH($B$3,daily_items,0))),NA(),INDEX(big_daily_table,MATCH(DATE(U$5,$J94,$I94),daily_dates,0),MATCH($B$3,daily_items,0)))</f>
        <v>#N/A</v>
      </c>
      <c r="V94" s="1" t="e">
        <f aca="false">IF(ISBLANK(INDEX(big_daily_table,MATCH(DATE(V$5,$J94,$I94),daily_dates,0),MATCH($B$3,daily_items,0))),NA(),INDEX(big_daily_table,MATCH(DATE(V$5,$J94,$I94),daily_dates,0),MATCH($B$3,daily_items,0)))</f>
        <v>#N/A</v>
      </c>
      <c r="W94" s="1" t="e">
        <f aca="false">IF(ISBLANK(INDEX(big_daily_table,MATCH(DATE(W$5,$J94,$I94),daily_dates,0),MATCH($B$3,daily_items,0))),NA(),INDEX(big_daily_table,MATCH(DATE(W$5,$J94,$I94),daily_dates,0),MATCH($B$3,daily_items,0)))</f>
        <v>#N/A</v>
      </c>
      <c r="X94" s="1" t="e">
        <f aca="false">IF(ISBLANK(INDEX(big_daily_table,MATCH(DATE(X$5,$J94,$I94),daily_dates,0),MATCH($B$3,daily_items,0))),NA(),INDEX(big_daily_table,MATCH(DATE(X$5,$J94,$I94),daily_dates,0),MATCH($B$3,daily_items,0)))</f>
        <v>#N/A</v>
      </c>
      <c r="Y94" s="1" t="e">
        <f aca="false">IF(ISBLANK(INDEX(big_daily_table,MATCH(DATE(Y$5,$J94,$I94),daily_dates,0),MATCH($B$3,daily_items,0))),NA(),INDEX(big_daily_table,MATCH(DATE(Y$5,$J94,$I94),daily_dates,0),MATCH($B$3,daily_items,0)))</f>
        <v>#N/A</v>
      </c>
      <c r="Z94" s="1" t="n">
        <f aca="true">_xlfn.AGGREGATE(5,6,OFFSET($R$5,H94,0,1,$J$2))</f>
        <v>0</v>
      </c>
      <c r="AA94" s="1" t="n">
        <f aca="true">_xlfn.AGGREGATE(4,6,OFFSET($R$5,H94,0,1,$J$2))</f>
        <v>0</v>
      </c>
      <c r="AB94" s="1" t="n">
        <f aca="false">AA94-Z94</f>
        <v>0</v>
      </c>
      <c r="AC94" s="1" t="e">
        <f aca="true">_xlfn.AGGREGATE(1,6,OFFSET($R$5,H94,0,1,$J$2))</f>
        <v>#DIV/0!</v>
      </c>
    </row>
    <row r="95" customFormat="false" ht="14.25" hidden="false" customHeight="false" outlineLevel="0" collapsed="false">
      <c r="H95" s="1" t="n">
        <f aca="false">H94+1</f>
        <v>90</v>
      </c>
      <c r="I95" s="1" t="n">
        <f aca="false">DAY(K95)</f>
        <v>30</v>
      </c>
      <c r="J95" s="1" t="n">
        <f aca="false">MONTH(K95)</f>
        <v>3</v>
      </c>
      <c r="K95" s="23" t="n">
        <f aca="false">K94+1</f>
        <v>36615</v>
      </c>
      <c r="L95" s="24" t="n">
        <f aca="true">IF(TODAY()&lt;DATE($N$5,J95,I95),1000000,-1000000)</f>
        <v>-1000000</v>
      </c>
      <c r="M95" s="1" t="e">
        <f aca="false">IF(K95&gt;0,INDEX(big_daily_table,MATCH(DATE(N$5,$J95,$I95),daily_dates,0),MATCH($B$3,daily_items,0)),NA())</f>
        <v>#N/A</v>
      </c>
      <c r="N95" s="1" t="e">
        <f aca="false">IF(L95&lt;0,INDEX(big_daily_table,MATCH(DATE(N$5,$J95,$I95),daily_dates,0),MATCH($B$3,daily_items,0)),NA())</f>
        <v>#N/A</v>
      </c>
      <c r="O95" s="1" t="e">
        <f aca="false">IF(ISBLANK(INDEX(big_daily_table,MATCH(DATE(O$5,$J95,$I95),daily_dates,0),MATCH($B$3,daily_items,0))),NA(),INDEX(big_daily_table,MATCH(DATE(O$5,$J95,$I95),daily_dates,0),MATCH($B$3,daily_items,0)))</f>
        <v>#N/A</v>
      </c>
      <c r="P95" s="1" t="e">
        <f aca="false">IF(ISBLANK(INDEX(big_daily_table,MATCH(DATE(P$5,$J95,$I95),daily_dates,0),MATCH($B$3,daily_items,0))),NA(),INDEX(big_daily_table,MATCH(DATE(P$5,$J95,$I95),daily_dates,0),MATCH($B$3,daily_items,0)))</f>
        <v>#N/A</v>
      </c>
      <c r="Q95" s="1" t="e">
        <f aca="false">IF(ISBLANK(INDEX(big_daily_table,MATCH(DATE(Q$5,$J95,$I95),daily_dates,0),MATCH($B$3,daily_items,0))),NA(),INDEX(big_daily_table,MATCH(DATE(Q$5,$J95,$I95),daily_dates,0),MATCH($B$3,daily_items,0)))</f>
        <v>#N/A</v>
      </c>
      <c r="R95" s="1" t="e">
        <f aca="false">IF(ISBLANK(INDEX(big_daily_table,MATCH(DATE(R$5,$J95,$I95),daily_dates,0),MATCH($B$3,daily_items,0))),NA(),INDEX(big_daily_table,MATCH(DATE(R$5,$J95,$I95),daily_dates,0),MATCH($B$3,daily_items,0)))</f>
        <v>#N/A</v>
      </c>
      <c r="S95" s="1" t="e">
        <f aca="false">IF(ISBLANK(INDEX(big_daily_table,MATCH(DATE(S$5,$J95,$I95),daily_dates,0),MATCH($B$3,daily_items,0))),NA(),INDEX(big_daily_table,MATCH(DATE(S$5,$J95,$I95),daily_dates,0),MATCH($B$3,daily_items,0)))</f>
        <v>#N/A</v>
      </c>
      <c r="T95" s="1" t="e">
        <f aca="false">IF(ISBLANK(INDEX(big_daily_table,MATCH(DATE(T$5,$J95,$I95),daily_dates,0),MATCH($B$3,daily_items,0))),NA(),INDEX(big_daily_table,MATCH(DATE(T$5,$J95,$I95),daily_dates,0),MATCH($B$3,daily_items,0)))</f>
        <v>#N/A</v>
      </c>
      <c r="U95" s="1" t="e">
        <f aca="false">IF(ISBLANK(INDEX(big_daily_table,MATCH(DATE(U$5,$J95,$I95),daily_dates,0),MATCH($B$3,daily_items,0))),NA(),INDEX(big_daily_table,MATCH(DATE(U$5,$J95,$I95),daily_dates,0),MATCH($B$3,daily_items,0)))</f>
        <v>#N/A</v>
      </c>
      <c r="V95" s="1" t="e">
        <f aca="false">IF(ISBLANK(INDEX(big_daily_table,MATCH(DATE(V$5,$J95,$I95),daily_dates,0),MATCH($B$3,daily_items,0))),NA(),INDEX(big_daily_table,MATCH(DATE(V$5,$J95,$I95),daily_dates,0),MATCH($B$3,daily_items,0)))</f>
        <v>#N/A</v>
      </c>
      <c r="W95" s="1" t="e">
        <f aca="false">IF(ISBLANK(INDEX(big_daily_table,MATCH(DATE(W$5,$J95,$I95),daily_dates,0),MATCH($B$3,daily_items,0))),NA(),INDEX(big_daily_table,MATCH(DATE(W$5,$J95,$I95),daily_dates,0),MATCH($B$3,daily_items,0)))</f>
        <v>#N/A</v>
      </c>
      <c r="X95" s="1" t="e">
        <f aca="false">IF(ISBLANK(INDEX(big_daily_table,MATCH(DATE(X$5,$J95,$I95),daily_dates,0),MATCH($B$3,daily_items,0))),NA(),INDEX(big_daily_table,MATCH(DATE(X$5,$J95,$I95),daily_dates,0),MATCH($B$3,daily_items,0)))</f>
        <v>#N/A</v>
      </c>
      <c r="Y95" s="1" t="e">
        <f aca="false">IF(ISBLANK(INDEX(big_daily_table,MATCH(DATE(Y$5,$J95,$I95),daily_dates,0),MATCH($B$3,daily_items,0))),NA(),INDEX(big_daily_table,MATCH(DATE(Y$5,$J95,$I95),daily_dates,0),MATCH($B$3,daily_items,0)))</f>
        <v>#N/A</v>
      </c>
      <c r="Z95" s="1" t="n">
        <f aca="true">_xlfn.AGGREGATE(5,6,OFFSET($R$5,H95,0,1,$J$2))</f>
        <v>0</v>
      </c>
      <c r="AA95" s="1" t="n">
        <f aca="true">_xlfn.AGGREGATE(4,6,OFFSET($R$5,H95,0,1,$J$2))</f>
        <v>0</v>
      </c>
      <c r="AB95" s="1" t="n">
        <f aca="false">AA95-Z95</f>
        <v>0</v>
      </c>
      <c r="AC95" s="1" t="e">
        <f aca="true">_xlfn.AGGREGATE(1,6,OFFSET($R$5,H95,0,1,$J$2))</f>
        <v>#DIV/0!</v>
      </c>
    </row>
    <row r="96" customFormat="false" ht="14.25" hidden="false" customHeight="false" outlineLevel="0" collapsed="false">
      <c r="H96" s="1" t="n">
        <f aca="false">H95+1</f>
        <v>91</v>
      </c>
      <c r="I96" s="1" t="n">
        <f aca="false">DAY(K96)</f>
        <v>31</v>
      </c>
      <c r="J96" s="1" t="n">
        <f aca="false">MONTH(K96)</f>
        <v>3</v>
      </c>
      <c r="K96" s="23" t="n">
        <f aca="false">K95+1</f>
        <v>36616</v>
      </c>
      <c r="L96" s="24" t="n">
        <f aca="true">IF(TODAY()&lt;DATE($N$5,J96,I96),1000000,-1000000)</f>
        <v>-1000000</v>
      </c>
      <c r="M96" s="1" t="e">
        <f aca="false">IF(K96&gt;0,INDEX(big_daily_table,MATCH(DATE(N$5,$J96,$I96),daily_dates,0),MATCH($B$3,daily_items,0)),NA())</f>
        <v>#N/A</v>
      </c>
      <c r="N96" s="1" t="e">
        <f aca="false">IF(L96&lt;0,INDEX(big_daily_table,MATCH(DATE(N$5,$J96,$I96),daily_dates,0),MATCH($B$3,daily_items,0)),NA())</f>
        <v>#N/A</v>
      </c>
      <c r="O96" s="1" t="e">
        <f aca="false">IF(ISBLANK(INDEX(big_daily_table,MATCH(DATE(O$5,$J96,$I96),daily_dates,0),MATCH($B$3,daily_items,0))),NA(),INDEX(big_daily_table,MATCH(DATE(O$5,$J96,$I96),daily_dates,0),MATCH($B$3,daily_items,0)))</f>
        <v>#N/A</v>
      </c>
      <c r="P96" s="1" t="e">
        <f aca="false">IF(ISBLANK(INDEX(big_daily_table,MATCH(DATE(P$5,$J96,$I96),daily_dates,0),MATCH($B$3,daily_items,0))),NA(),INDEX(big_daily_table,MATCH(DATE(P$5,$J96,$I96),daily_dates,0),MATCH($B$3,daily_items,0)))</f>
        <v>#N/A</v>
      </c>
      <c r="Q96" s="1" t="e">
        <f aca="false">IF(ISBLANK(INDEX(big_daily_table,MATCH(DATE(Q$5,$J96,$I96),daily_dates,0),MATCH($B$3,daily_items,0))),NA(),INDEX(big_daily_table,MATCH(DATE(Q$5,$J96,$I96),daily_dates,0),MATCH($B$3,daily_items,0)))</f>
        <v>#N/A</v>
      </c>
      <c r="R96" s="1" t="e">
        <f aca="false">IF(ISBLANK(INDEX(big_daily_table,MATCH(DATE(R$5,$J96,$I96),daily_dates,0),MATCH($B$3,daily_items,0))),NA(),INDEX(big_daily_table,MATCH(DATE(R$5,$J96,$I96),daily_dates,0),MATCH($B$3,daily_items,0)))</f>
        <v>#N/A</v>
      </c>
      <c r="S96" s="1" t="e">
        <f aca="false">IF(ISBLANK(INDEX(big_daily_table,MATCH(DATE(S$5,$J96,$I96),daily_dates,0),MATCH($B$3,daily_items,0))),NA(),INDEX(big_daily_table,MATCH(DATE(S$5,$J96,$I96),daily_dates,0),MATCH($B$3,daily_items,0)))</f>
        <v>#N/A</v>
      </c>
      <c r="T96" s="1" t="e">
        <f aca="false">IF(ISBLANK(INDEX(big_daily_table,MATCH(DATE(T$5,$J96,$I96),daily_dates,0),MATCH($B$3,daily_items,0))),NA(),INDEX(big_daily_table,MATCH(DATE(T$5,$J96,$I96),daily_dates,0),MATCH($B$3,daily_items,0)))</f>
        <v>#N/A</v>
      </c>
      <c r="U96" s="1" t="e">
        <f aca="false">IF(ISBLANK(INDEX(big_daily_table,MATCH(DATE(U$5,$J96,$I96),daily_dates,0),MATCH($B$3,daily_items,0))),NA(),INDEX(big_daily_table,MATCH(DATE(U$5,$J96,$I96),daily_dates,0),MATCH($B$3,daily_items,0)))</f>
        <v>#N/A</v>
      </c>
      <c r="V96" s="1" t="e">
        <f aca="false">IF(ISBLANK(INDEX(big_daily_table,MATCH(DATE(V$5,$J96,$I96),daily_dates,0),MATCH($B$3,daily_items,0))),NA(),INDEX(big_daily_table,MATCH(DATE(V$5,$J96,$I96),daily_dates,0),MATCH($B$3,daily_items,0)))</f>
        <v>#N/A</v>
      </c>
      <c r="W96" s="1" t="e">
        <f aca="false">IF(ISBLANK(INDEX(big_daily_table,MATCH(DATE(W$5,$J96,$I96),daily_dates,0),MATCH($B$3,daily_items,0))),NA(),INDEX(big_daily_table,MATCH(DATE(W$5,$J96,$I96),daily_dates,0),MATCH($B$3,daily_items,0)))</f>
        <v>#N/A</v>
      </c>
      <c r="X96" s="1" t="e">
        <f aca="false">IF(ISBLANK(INDEX(big_daily_table,MATCH(DATE(X$5,$J96,$I96),daily_dates,0),MATCH($B$3,daily_items,0))),NA(),INDEX(big_daily_table,MATCH(DATE(X$5,$J96,$I96),daily_dates,0),MATCH($B$3,daily_items,0)))</f>
        <v>#N/A</v>
      </c>
      <c r="Y96" s="1" t="e">
        <f aca="false">IF(ISBLANK(INDEX(big_daily_table,MATCH(DATE(Y$5,$J96,$I96),daily_dates,0),MATCH($B$3,daily_items,0))),NA(),INDEX(big_daily_table,MATCH(DATE(Y$5,$J96,$I96),daily_dates,0),MATCH($B$3,daily_items,0)))</f>
        <v>#N/A</v>
      </c>
      <c r="Z96" s="1" t="n">
        <f aca="true">_xlfn.AGGREGATE(5,6,OFFSET($R$5,H96,0,1,$J$2))</f>
        <v>0</v>
      </c>
      <c r="AA96" s="1" t="n">
        <f aca="true">_xlfn.AGGREGATE(4,6,OFFSET($R$5,H96,0,1,$J$2))</f>
        <v>0</v>
      </c>
      <c r="AB96" s="1" t="n">
        <f aca="false">AA96-Z96</f>
        <v>0</v>
      </c>
      <c r="AC96" s="1" t="e">
        <f aca="true">_xlfn.AGGREGATE(1,6,OFFSET($R$5,H96,0,1,$J$2))</f>
        <v>#DIV/0!</v>
      </c>
    </row>
    <row r="97" customFormat="false" ht="14.25" hidden="false" customHeight="false" outlineLevel="0" collapsed="false">
      <c r="H97" s="1" t="n">
        <f aca="false">H96+1</f>
        <v>92</v>
      </c>
      <c r="I97" s="1" t="n">
        <f aca="false">DAY(K97)</f>
        <v>1</v>
      </c>
      <c r="J97" s="1" t="n">
        <f aca="false">MONTH(K97)</f>
        <v>4</v>
      </c>
      <c r="K97" s="23" t="n">
        <f aca="false">K96+1</f>
        <v>36617</v>
      </c>
      <c r="L97" s="24" t="n">
        <f aca="true">IF(TODAY()&lt;DATE($N$5,J97,I97),1000000,-1000000)</f>
        <v>-1000000</v>
      </c>
      <c r="M97" s="1" t="e">
        <f aca="false">IF(K97&gt;0,INDEX(big_daily_table,MATCH(DATE(N$5,$J97,$I97),daily_dates,0),MATCH($B$3,daily_items,0)),NA())</f>
        <v>#N/A</v>
      </c>
      <c r="N97" s="1" t="e">
        <f aca="false">IF(L97&lt;0,INDEX(big_daily_table,MATCH(DATE(N$5,$J97,$I97),daily_dates,0),MATCH($B$3,daily_items,0)),NA())</f>
        <v>#N/A</v>
      </c>
      <c r="O97" s="1" t="e">
        <f aca="false">IF(ISBLANK(INDEX(big_daily_table,MATCH(DATE(O$5,$J97,$I97),daily_dates,0),MATCH($B$3,daily_items,0))),NA(),INDEX(big_daily_table,MATCH(DATE(O$5,$J97,$I97),daily_dates,0),MATCH($B$3,daily_items,0)))</f>
        <v>#N/A</v>
      </c>
      <c r="P97" s="1" t="e">
        <f aca="false">IF(ISBLANK(INDEX(big_daily_table,MATCH(DATE(P$5,$J97,$I97),daily_dates,0),MATCH($B$3,daily_items,0))),NA(),INDEX(big_daily_table,MATCH(DATE(P$5,$J97,$I97),daily_dates,0),MATCH($B$3,daily_items,0)))</f>
        <v>#N/A</v>
      </c>
      <c r="Q97" s="1" t="e">
        <f aca="false">IF(ISBLANK(INDEX(big_daily_table,MATCH(DATE(Q$5,$J97,$I97),daily_dates,0),MATCH($B$3,daily_items,0))),NA(),INDEX(big_daily_table,MATCH(DATE(Q$5,$J97,$I97),daily_dates,0),MATCH($B$3,daily_items,0)))</f>
        <v>#N/A</v>
      </c>
      <c r="R97" s="1" t="e">
        <f aca="false">IF(ISBLANK(INDEX(big_daily_table,MATCH(DATE(R$5,$J97,$I97),daily_dates,0),MATCH($B$3,daily_items,0))),NA(),INDEX(big_daily_table,MATCH(DATE(R$5,$J97,$I97),daily_dates,0),MATCH($B$3,daily_items,0)))</f>
        <v>#N/A</v>
      </c>
      <c r="S97" s="1" t="e">
        <f aca="false">IF(ISBLANK(INDEX(big_daily_table,MATCH(DATE(S$5,$J97,$I97),daily_dates,0),MATCH($B$3,daily_items,0))),NA(),INDEX(big_daily_table,MATCH(DATE(S$5,$J97,$I97),daily_dates,0),MATCH($B$3,daily_items,0)))</f>
        <v>#N/A</v>
      </c>
      <c r="T97" s="1" t="e">
        <f aca="false">IF(ISBLANK(INDEX(big_daily_table,MATCH(DATE(T$5,$J97,$I97),daily_dates,0),MATCH($B$3,daily_items,0))),NA(),INDEX(big_daily_table,MATCH(DATE(T$5,$J97,$I97),daily_dates,0),MATCH($B$3,daily_items,0)))</f>
        <v>#N/A</v>
      </c>
      <c r="U97" s="1" t="e">
        <f aca="false">IF(ISBLANK(INDEX(big_daily_table,MATCH(DATE(U$5,$J97,$I97),daily_dates,0),MATCH($B$3,daily_items,0))),NA(),INDEX(big_daily_table,MATCH(DATE(U$5,$J97,$I97),daily_dates,0),MATCH($B$3,daily_items,0)))</f>
        <v>#N/A</v>
      </c>
      <c r="V97" s="1" t="e">
        <f aca="false">IF(ISBLANK(INDEX(big_daily_table,MATCH(DATE(V$5,$J97,$I97),daily_dates,0),MATCH($B$3,daily_items,0))),NA(),INDEX(big_daily_table,MATCH(DATE(V$5,$J97,$I97),daily_dates,0),MATCH($B$3,daily_items,0)))</f>
        <v>#N/A</v>
      </c>
      <c r="W97" s="1" t="e">
        <f aca="false">IF(ISBLANK(INDEX(big_daily_table,MATCH(DATE(W$5,$J97,$I97),daily_dates,0),MATCH($B$3,daily_items,0))),NA(),INDEX(big_daily_table,MATCH(DATE(W$5,$J97,$I97),daily_dates,0),MATCH($B$3,daily_items,0)))</f>
        <v>#N/A</v>
      </c>
      <c r="X97" s="1" t="e">
        <f aca="false">IF(ISBLANK(INDEX(big_daily_table,MATCH(DATE(X$5,$J97,$I97),daily_dates,0),MATCH($B$3,daily_items,0))),NA(),INDEX(big_daily_table,MATCH(DATE(X$5,$J97,$I97),daily_dates,0),MATCH($B$3,daily_items,0)))</f>
        <v>#N/A</v>
      </c>
      <c r="Y97" s="1" t="e">
        <f aca="false">IF(ISBLANK(INDEX(big_daily_table,MATCH(DATE(Y$5,$J97,$I97),daily_dates,0),MATCH($B$3,daily_items,0))),NA(),INDEX(big_daily_table,MATCH(DATE(Y$5,$J97,$I97),daily_dates,0),MATCH($B$3,daily_items,0)))</f>
        <v>#N/A</v>
      </c>
      <c r="Z97" s="1" t="n">
        <f aca="true">_xlfn.AGGREGATE(5,6,OFFSET($R$5,H97,0,1,$J$2))</f>
        <v>0</v>
      </c>
      <c r="AA97" s="1" t="n">
        <f aca="true">_xlfn.AGGREGATE(4,6,OFFSET($R$5,H97,0,1,$J$2))</f>
        <v>0</v>
      </c>
      <c r="AB97" s="1" t="n">
        <f aca="false">AA97-Z97</f>
        <v>0</v>
      </c>
      <c r="AC97" s="1" t="e">
        <f aca="true">_xlfn.AGGREGATE(1,6,OFFSET($R$5,H97,0,1,$J$2))</f>
        <v>#DIV/0!</v>
      </c>
    </row>
    <row r="98" customFormat="false" ht="14.25" hidden="false" customHeight="false" outlineLevel="0" collapsed="false">
      <c r="H98" s="1" t="n">
        <f aca="false">H97+1</f>
        <v>93</v>
      </c>
      <c r="I98" s="1" t="n">
        <f aca="false">DAY(K98)</f>
        <v>2</v>
      </c>
      <c r="J98" s="1" t="n">
        <f aca="false">MONTH(K98)</f>
        <v>4</v>
      </c>
      <c r="K98" s="23" t="n">
        <f aca="false">K97+1</f>
        <v>36618</v>
      </c>
      <c r="L98" s="24" t="n">
        <f aca="true">IF(TODAY()&lt;DATE($N$5,J98,I98),1000000,-1000000)</f>
        <v>-1000000</v>
      </c>
      <c r="M98" s="1" t="e">
        <f aca="false">IF(K98&gt;0,INDEX(big_daily_table,MATCH(DATE(N$5,$J98,$I98),daily_dates,0),MATCH($B$3,daily_items,0)),NA())</f>
        <v>#N/A</v>
      </c>
      <c r="N98" s="1" t="e">
        <f aca="false">IF(L98&lt;0,INDEX(big_daily_table,MATCH(DATE(N$5,$J98,$I98),daily_dates,0),MATCH($B$3,daily_items,0)),NA())</f>
        <v>#N/A</v>
      </c>
      <c r="O98" s="1" t="e">
        <f aca="false">IF(ISBLANK(INDEX(big_daily_table,MATCH(DATE(O$5,$J98,$I98),daily_dates,0),MATCH($B$3,daily_items,0))),NA(),INDEX(big_daily_table,MATCH(DATE(O$5,$J98,$I98),daily_dates,0),MATCH($B$3,daily_items,0)))</f>
        <v>#N/A</v>
      </c>
      <c r="P98" s="1" t="e">
        <f aca="false">IF(ISBLANK(INDEX(big_daily_table,MATCH(DATE(P$5,$J98,$I98),daily_dates,0),MATCH($B$3,daily_items,0))),NA(),INDEX(big_daily_table,MATCH(DATE(P$5,$J98,$I98),daily_dates,0),MATCH($B$3,daily_items,0)))</f>
        <v>#N/A</v>
      </c>
      <c r="Q98" s="1" t="e">
        <f aca="false">IF(ISBLANK(INDEX(big_daily_table,MATCH(DATE(Q$5,$J98,$I98),daily_dates,0),MATCH($B$3,daily_items,0))),NA(),INDEX(big_daily_table,MATCH(DATE(Q$5,$J98,$I98),daily_dates,0),MATCH($B$3,daily_items,0)))</f>
        <v>#N/A</v>
      </c>
      <c r="R98" s="1" t="e">
        <f aca="false">IF(ISBLANK(INDEX(big_daily_table,MATCH(DATE(R$5,$J98,$I98),daily_dates,0),MATCH($B$3,daily_items,0))),NA(),INDEX(big_daily_table,MATCH(DATE(R$5,$J98,$I98),daily_dates,0),MATCH($B$3,daily_items,0)))</f>
        <v>#N/A</v>
      </c>
      <c r="S98" s="1" t="e">
        <f aca="false">IF(ISBLANK(INDEX(big_daily_table,MATCH(DATE(S$5,$J98,$I98),daily_dates,0),MATCH($B$3,daily_items,0))),NA(),INDEX(big_daily_table,MATCH(DATE(S$5,$J98,$I98),daily_dates,0),MATCH($B$3,daily_items,0)))</f>
        <v>#N/A</v>
      </c>
      <c r="T98" s="1" t="e">
        <f aca="false">IF(ISBLANK(INDEX(big_daily_table,MATCH(DATE(T$5,$J98,$I98),daily_dates,0),MATCH($B$3,daily_items,0))),NA(),INDEX(big_daily_table,MATCH(DATE(T$5,$J98,$I98),daily_dates,0),MATCH($B$3,daily_items,0)))</f>
        <v>#N/A</v>
      </c>
      <c r="U98" s="1" t="e">
        <f aca="false">IF(ISBLANK(INDEX(big_daily_table,MATCH(DATE(U$5,$J98,$I98),daily_dates,0),MATCH($B$3,daily_items,0))),NA(),INDEX(big_daily_table,MATCH(DATE(U$5,$J98,$I98),daily_dates,0),MATCH($B$3,daily_items,0)))</f>
        <v>#N/A</v>
      </c>
      <c r="V98" s="1" t="e">
        <f aca="false">IF(ISBLANK(INDEX(big_daily_table,MATCH(DATE(V$5,$J98,$I98),daily_dates,0),MATCH($B$3,daily_items,0))),NA(),INDEX(big_daily_table,MATCH(DATE(V$5,$J98,$I98),daily_dates,0),MATCH($B$3,daily_items,0)))</f>
        <v>#N/A</v>
      </c>
      <c r="W98" s="1" t="e">
        <f aca="false">IF(ISBLANK(INDEX(big_daily_table,MATCH(DATE(W$5,$J98,$I98),daily_dates,0),MATCH($B$3,daily_items,0))),NA(),INDEX(big_daily_table,MATCH(DATE(W$5,$J98,$I98),daily_dates,0),MATCH($B$3,daily_items,0)))</f>
        <v>#N/A</v>
      </c>
      <c r="X98" s="1" t="e">
        <f aca="false">IF(ISBLANK(INDEX(big_daily_table,MATCH(DATE(X$5,$J98,$I98),daily_dates,0),MATCH($B$3,daily_items,0))),NA(),INDEX(big_daily_table,MATCH(DATE(X$5,$J98,$I98),daily_dates,0),MATCH($B$3,daily_items,0)))</f>
        <v>#N/A</v>
      </c>
      <c r="Y98" s="1" t="e">
        <f aca="false">IF(ISBLANK(INDEX(big_daily_table,MATCH(DATE(Y$5,$J98,$I98),daily_dates,0),MATCH($B$3,daily_items,0))),NA(),INDEX(big_daily_table,MATCH(DATE(Y$5,$J98,$I98),daily_dates,0),MATCH($B$3,daily_items,0)))</f>
        <v>#N/A</v>
      </c>
      <c r="Z98" s="1" t="n">
        <f aca="true">_xlfn.AGGREGATE(5,6,OFFSET($R$5,H98,0,1,$J$2))</f>
        <v>0</v>
      </c>
      <c r="AA98" s="1" t="n">
        <f aca="true">_xlfn.AGGREGATE(4,6,OFFSET($R$5,H98,0,1,$J$2))</f>
        <v>0</v>
      </c>
      <c r="AB98" s="1" t="n">
        <f aca="false">AA98-Z98</f>
        <v>0</v>
      </c>
      <c r="AC98" s="1" t="e">
        <f aca="true">_xlfn.AGGREGATE(1,6,OFFSET($R$5,H98,0,1,$J$2))</f>
        <v>#DIV/0!</v>
      </c>
    </row>
    <row r="99" customFormat="false" ht="14.25" hidden="false" customHeight="false" outlineLevel="0" collapsed="false">
      <c r="H99" s="1" t="n">
        <f aca="false">H98+1</f>
        <v>94</v>
      </c>
      <c r="I99" s="1" t="n">
        <f aca="false">DAY(K99)</f>
        <v>3</v>
      </c>
      <c r="J99" s="1" t="n">
        <f aca="false">MONTH(K99)</f>
        <v>4</v>
      </c>
      <c r="K99" s="23" t="n">
        <f aca="false">K98+1</f>
        <v>36619</v>
      </c>
      <c r="L99" s="24" t="n">
        <f aca="true">IF(TODAY()&lt;DATE($N$5,J99,I99),1000000,-1000000)</f>
        <v>-1000000</v>
      </c>
      <c r="M99" s="1" t="e">
        <f aca="false">IF(K99&gt;0,INDEX(big_daily_table,MATCH(DATE(N$5,$J99,$I99),daily_dates,0),MATCH($B$3,daily_items,0)),NA())</f>
        <v>#N/A</v>
      </c>
      <c r="N99" s="1" t="e">
        <f aca="false">IF(L99&lt;0,INDEX(big_daily_table,MATCH(DATE(N$5,$J99,$I99),daily_dates,0),MATCH($B$3,daily_items,0)),NA())</f>
        <v>#N/A</v>
      </c>
      <c r="O99" s="1" t="e">
        <f aca="false">IF(ISBLANK(INDEX(big_daily_table,MATCH(DATE(O$5,$J99,$I99),daily_dates,0),MATCH($B$3,daily_items,0))),NA(),INDEX(big_daily_table,MATCH(DATE(O$5,$J99,$I99),daily_dates,0),MATCH($B$3,daily_items,0)))</f>
        <v>#N/A</v>
      </c>
      <c r="P99" s="1" t="e">
        <f aca="false">IF(ISBLANK(INDEX(big_daily_table,MATCH(DATE(P$5,$J99,$I99),daily_dates,0),MATCH($B$3,daily_items,0))),NA(),INDEX(big_daily_table,MATCH(DATE(P$5,$J99,$I99),daily_dates,0),MATCH($B$3,daily_items,0)))</f>
        <v>#N/A</v>
      </c>
      <c r="Q99" s="1" t="e">
        <f aca="false">IF(ISBLANK(INDEX(big_daily_table,MATCH(DATE(Q$5,$J99,$I99),daily_dates,0),MATCH($B$3,daily_items,0))),NA(),INDEX(big_daily_table,MATCH(DATE(Q$5,$J99,$I99),daily_dates,0),MATCH($B$3,daily_items,0)))</f>
        <v>#N/A</v>
      </c>
      <c r="R99" s="1" t="e">
        <f aca="false">IF(ISBLANK(INDEX(big_daily_table,MATCH(DATE(R$5,$J99,$I99),daily_dates,0),MATCH($B$3,daily_items,0))),NA(),INDEX(big_daily_table,MATCH(DATE(R$5,$J99,$I99),daily_dates,0),MATCH($B$3,daily_items,0)))</f>
        <v>#N/A</v>
      </c>
      <c r="S99" s="1" t="e">
        <f aca="false">IF(ISBLANK(INDEX(big_daily_table,MATCH(DATE(S$5,$J99,$I99),daily_dates,0),MATCH($B$3,daily_items,0))),NA(),INDEX(big_daily_table,MATCH(DATE(S$5,$J99,$I99),daily_dates,0),MATCH($B$3,daily_items,0)))</f>
        <v>#N/A</v>
      </c>
      <c r="T99" s="1" t="e">
        <f aca="false">IF(ISBLANK(INDEX(big_daily_table,MATCH(DATE(T$5,$J99,$I99),daily_dates,0),MATCH($B$3,daily_items,0))),NA(),INDEX(big_daily_table,MATCH(DATE(T$5,$J99,$I99),daily_dates,0),MATCH($B$3,daily_items,0)))</f>
        <v>#N/A</v>
      </c>
      <c r="U99" s="1" t="e">
        <f aca="false">IF(ISBLANK(INDEX(big_daily_table,MATCH(DATE(U$5,$J99,$I99),daily_dates,0),MATCH($B$3,daily_items,0))),NA(),INDEX(big_daily_table,MATCH(DATE(U$5,$J99,$I99),daily_dates,0),MATCH($B$3,daily_items,0)))</f>
        <v>#N/A</v>
      </c>
      <c r="V99" s="1" t="e">
        <f aca="false">IF(ISBLANK(INDEX(big_daily_table,MATCH(DATE(V$5,$J99,$I99),daily_dates,0),MATCH($B$3,daily_items,0))),NA(),INDEX(big_daily_table,MATCH(DATE(V$5,$J99,$I99),daily_dates,0),MATCH($B$3,daily_items,0)))</f>
        <v>#N/A</v>
      </c>
      <c r="W99" s="1" t="e">
        <f aca="false">IF(ISBLANK(INDEX(big_daily_table,MATCH(DATE(W$5,$J99,$I99),daily_dates,0),MATCH($B$3,daily_items,0))),NA(),INDEX(big_daily_table,MATCH(DATE(W$5,$J99,$I99),daily_dates,0),MATCH($B$3,daily_items,0)))</f>
        <v>#N/A</v>
      </c>
      <c r="X99" s="1" t="e">
        <f aca="false">IF(ISBLANK(INDEX(big_daily_table,MATCH(DATE(X$5,$J99,$I99),daily_dates,0),MATCH($B$3,daily_items,0))),NA(),INDEX(big_daily_table,MATCH(DATE(X$5,$J99,$I99),daily_dates,0),MATCH($B$3,daily_items,0)))</f>
        <v>#N/A</v>
      </c>
      <c r="Y99" s="1" t="e">
        <f aca="false">IF(ISBLANK(INDEX(big_daily_table,MATCH(DATE(Y$5,$J99,$I99),daily_dates,0),MATCH($B$3,daily_items,0))),NA(),INDEX(big_daily_table,MATCH(DATE(Y$5,$J99,$I99),daily_dates,0),MATCH($B$3,daily_items,0)))</f>
        <v>#N/A</v>
      </c>
      <c r="Z99" s="1" t="n">
        <f aca="true">_xlfn.AGGREGATE(5,6,OFFSET($R$5,H99,0,1,$J$2))</f>
        <v>0</v>
      </c>
      <c r="AA99" s="1" t="n">
        <f aca="true">_xlfn.AGGREGATE(4,6,OFFSET($R$5,H99,0,1,$J$2))</f>
        <v>0</v>
      </c>
      <c r="AB99" s="1" t="n">
        <f aca="false">AA99-Z99</f>
        <v>0</v>
      </c>
      <c r="AC99" s="1" t="e">
        <f aca="true">_xlfn.AGGREGATE(1,6,OFFSET($R$5,H99,0,1,$J$2))</f>
        <v>#DIV/0!</v>
      </c>
    </row>
    <row r="100" customFormat="false" ht="14.25" hidden="false" customHeight="false" outlineLevel="0" collapsed="false">
      <c r="H100" s="1" t="n">
        <f aca="false">H99+1</f>
        <v>95</v>
      </c>
      <c r="I100" s="1" t="n">
        <f aca="false">DAY(K100)</f>
        <v>4</v>
      </c>
      <c r="J100" s="1" t="n">
        <f aca="false">MONTH(K100)</f>
        <v>4</v>
      </c>
      <c r="K100" s="23" t="n">
        <f aca="false">K99+1</f>
        <v>36620</v>
      </c>
      <c r="L100" s="24" t="n">
        <f aca="true">IF(TODAY()&lt;DATE($N$5,J100,I100),1000000,-1000000)</f>
        <v>-1000000</v>
      </c>
      <c r="M100" s="1" t="e">
        <f aca="false">IF(K100&gt;0,INDEX(big_daily_table,MATCH(DATE(N$5,$J100,$I100),daily_dates,0),MATCH($B$3,daily_items,0)),NA())</f>
        <v>#N/A</v>
      </c>
      <c r="N100" s="1" t="e">
        <f aca="false">IF(L100&lt;0,INDEX(big_daily_table,MATCH(DATE(N$5,$J100,$I100),daily_dates,0),MATCH($B$3,daily_items,0)),NA())</f>
        <v>#N/A</v>
      </c>
      <c r="O100" s="1" t="e">
        <f aca="false">IF(ISBLANK(INDEX(big_daily_table,MATCH(DATE(O$5,$J100,$I100),daily_dates,0),MATCH($B$3,daily_items,0))),NA(),INDEX(big_daily_table,MATCH(DATE(O$5,$J100,$I100),daily_dates,0),MATCH($B$3,daily_items,0)))</f>
        <v>#N/A</v>
      </c>
      <c r="P100" s="1" t="e">
        <f aca="false">IF(ISBLANK(INDEX(big_daily_table,MATCH(DATE(P$5,$J100,$I100),daily_dates,0),MATCH($B$3,daily_items,0))),NA(),INDEX(big_daily_table,MATCH(DATE(P$5,$J100,$I100),daily_dates,0),MATCH($B$3,daily_items,0)))</f>
        <v>#N/A</v>
      </c>
      <c r="Q100" s="1" t="e">
        <f aca="false">IF(ISBLANK(INDEX(big_daily_table,MATCH(DATE(Q$5,$J100,$I100),daily_dates,0),MATCH($B$3,daily_items,0))),NA(),INDEX(big_daily_table,MATCH(DATE(Q$5,$J100,$I100),daily_dates,0),MATCH($B$3,daily_items,0)))</f>
        <v>#N/A</v>
      </c>
      <c r="R100" s="1" t="e">
        <f aca="false">IF(ISBLANK(INDEX(big_daily_table,MATCH(DATE(R$5,$J100,$I100),daily_dates,0),MATCH($B$3,daily_items,0))),NA(),INDEX(big_daily_table,MATCH(DATE(R$5,$J100,$I100),daily_dates,0),MATCH($B$3,daily_items,0)))</f>
        <v>#N/A</v>
      </c>
      <c r="S100" s="1" t="e">
        <f aca="false">IF(ISBLANK(INDEX(big_daily_table,MATCH(DATE(S$5,$J100,$I100),daily_dates,0),MATCH($B$3,daily_items,0))),NA(),INDEX(big_daily_table,MATCH(DATE(S$5,$J100,$I100),daily_dates,0),MATCH($B$3,daily_items,0)))</f>
        <v>#N/A</v>
      </c>
      <c r="T100" s="1" t="e">
        <f aca="false">IF(ISBLANK(INDEX(big_daily_table,MATCH(DATE(T$5,$J100,$I100),daily_dates,0),MATCH($B$3,daily_items,0))),NA(),INDEX(big_daily_table,MATCH(DATE(T$5,$J100,$I100),daily_dates,0),MATCH($B$3,daily_items,0)))</f>
        <v>#N/A</v>
      </c>
      <c r="U100" s="1" t="e">
        <f aca="false">IF(ISBLANK(INDEX(big_daily_table,MATCH(DATE(U$5,$J100,$I100),daily_dates,0),MATCH($B$3,daily_items,0))),NA(),INDEX(big_daily_table,MATCH(DATE(U$5,$J100,$I100),daily_dates,0),MATCH($B$3,daily_items,0)))</f>
        <v>#N/A</v>
      </c>
      <c r="V100" s="1" t="e">
        <f aca="false">IF(ISBLANK(INDEX(big_daily_table,MATCH(DATE(V$5,$J100,$I100),daily_dates,0),MATCH($B$3,daily_items,0))),NA(),INDEX(big_daily_table,MATCH(DATE(V$5,$J100,$I100),daily_dates,0),MATCH($B$3,daily_items,0)))</f>
        <v>#N/A</v>
      </c>
      <c r="W100" s="1" t="e">
        <f aca="false">IF(ISBLANK(INDEX(big_daily_table,MATCH(DATE(W$5,$J100,$I100),daily_dates,0),MATCH($B$3,daily_items,0))),NA(),INDEX(big_daily_table,MATCH(DATE(W$5,$J100,$I100),daily_dates,0),MATCH($B$3,daily_items,0)))</f>
        <v>#N/A</v>
      </c>
      <c r="X100" s="1" t="e">
        <f aca="false">IF(ISBLANK(INDEX(big_daily_table,MATCH(DATE(X$5,$J100,$I100),daily_dates,0),MATCH($B$3,daily_items,0))),NA(),INDEX(big_daily_table,MATCH(DATE(X$5,$J100,$I100),daily_dates,0),MATCH($B$3,daily_items,0)))</f>
        <v>#N/A</v>
      </c>
      <c r="Y100" s="1" t="e">
        <f aca="false">IF(ISBLANK(INDEX(big_daily_table,MATCH(DATE(Y$5,$J100,$I100),daily_dates,0),MATCH($B$3,daily_items,0))),NA(),INDEX(big_daily_table,MATCH(DATE(Y$5,$J100,$I100),daily_dates,0),MATCH($B$3,daily_items,0)))</f>
        <v>#N/A</v>
      </c>
      <c r="Z100" s="1" t="n">
        <f aca="true">_xlfn.AGGREGATE(5,6,OFFSET($R$5,H100,0,1,$J$2))</f>
        <v>0</v>
      </c>
      <c r="AA100" s="1" t="n">
        <f aca="true">_xlfn.AGGREGATE(4,6,OFFSET($R$5,H100,0,1,$J$2))</f>
        <v>0</v>
      </c>
      <c r="AB100" s="1" t="n">
        <f aca="false">AA100-Z100</f>
        <v>0</v>
      </c>
      <c r="AC100" s="1" t="e">
        <f aca="true">_xlfn.AGGREGATE(1,6,OFFSET($R$5,H100,0,1,$J$2))</f>
        <v>#DIV/0!</v>
      </c>
    </row>
    <row r="101" customFormat="false" ht="14.25" hidden="false" customHeight="false" outlineLevel="0" collapsed="false">
      <c r="H101" s="1" t="n">
        <f aca="false">H100+1</f>
        <v>96</v>
      </c>
      <c r="I101" s="1" t="n">
        <f aca="false">DAY(K101)</f>
        <v>5</v>
      </c>
      <c r="J101" s="1" t="n">
        <f aca="false">MONTH(K101)</f>
        <v>4</v>
      </c>
      <c r="K101" s="23" t="n">
        <f aca="false">K100+1</f>
        <v>36621</v>
      </c>
      <c r="L101" s="24" t="n">
        <f aca="true">IF(TODAY()&lt;DATE($N$5,J101,I101),1000000,-1000000)</f>
        <v>-1000000</v>
      </c>
      <c r="M101" s="1" t="e">
        <f aca="false">IF(K101&gt;0,INDEX(big_daily_table,MATCH(DATE(N$5,$J101,$I101),daily_dates,0),MATCH($B$3,daily_items,0)),NA())</f>
        <v>#N/A</v>
      </c>
      <c r="N101" s="1" t="e">
        <f aca="false">IF(L101&lt;0,INDEX(big_daily_table,MATCH(DATE(N$5,$J101,$I101),daily_dates,0),MATCH($B$3,daily_items,0)),NA())</f>
        <v>#N/A</v>
      </c>
      <c r="O101" s="1" t="e">
        <f aca="false">IF(ISBLANK(INDEX(big_daily_table,MATCH(DATE(O$5,$J101,$I101),daily_dates,0),MATCH($B$3,daily_items,0))),NA(),INDEX(big_daily_table,MATCH(DATE(O$5,$J101,$I101),daily_dates,0),MATCH($B$3,daily_items,0)))</f>
        <v>#N/A</v>
      </c>
      <c r="P101" s="1" t="e">
        <f aca="false">IF(ISBLANK(INDEX(big_daily_table,MATCH(DATE(P$5,$J101,$I101),daily_dates,0),MATCH($B$3,daily_items,0))),NA(),INDEX(big_daily_table,MATCH(DATE(P$5,$J101,$I101),daily_dates,0),MATCH($B$3,daily_items,0)))</f>
        <v>#N/A</v>
      </c>
      <c r="Q101" s="1" t="e">
        <f aca="false">IF(ISBLANK(INDEX(big_daily_table,MATCH(DATE(Q$5,$J101,$I101),daily_dates,0),MATCH($B$3,daily_items,0))),NA(),INDEX(big_daily_table,MATCH(DATE(Q$5,$J101,$I101),daily_dates,0),MATCH($B$3,daily_items,0)))</f>
        <v>#N/A</v>
      </c>
      <c r="R101" s="1" t="e">
        <f aca="false">IF(ISBLANK(INDEX(big_daily_table,MATCH(DATE(R$5,$J101,$I101),daily_dates,0),MATCH($B$3,daily_items,0))),NA(),INDEX(big_daily_table,MATCH(DATE(R$5,$J101,$I101),daily_dates,0),MATCH($B$3,daily_items,0)))</f>
        <v>#N/A</v>
      </c>
      <c r="S101" s="1" t="e">
        <f aca="false">IF(ISBLANK(INDEX(big_daily_table,MATCH(DATE(S$5,$J101,$I101),daily_dates,0),MATCH($B$3,daily_items,0))),NA(),INDEX(big_daily_table,MATCH(DATE(S$5,$J101,$I101),daily_dates,0),MATCH($B$3,daily_items,0)))</f>
        <v>#N/A</v>
      </c>
      <c r="T101" s="1" t="e">
        <f aca="false">IF(ISBLANK(INDEX(big_daily_table,MATCH(DATE(T$5,$J101,$I101),daily_dates,0),MATCH($B$3,daily_items,0))),NA(),INDEX(big_daily_table,MATCH(DATE(T$5,$J101,$I101),daily_dates,0),MATCH($B$3,daily_items,0)))</f>
        <v>#N/A</v>
      </c>
      <c r="U101" s="1" t="e">
        <f aca="false">IF(ISBLANK(INDEX(big_daily_table,MATCH(DATE(U$5,$J101,$I101),daily_dates,0),MATCH($B$3,daily_items,0))),NA(),INDEX(big_daily_table,MATCH(DATE(U$5,$J101,$I101),daily_dates,0),MATCH($B$3,daily_items,0)))</f>
        <v>#N/A</v>
      </c>
      <c r="V101" s="1" t="e">
        <f aca="false">IF(ISBLANK(INDEX(big_daily_table,MATCH(DATE(V$5,$J101,$I101),daily_dates,0),MATCH($B$3,daily_items,0))),NA(),INDEX(big_daily_table,MATCH(DATE(V$5,$J101,$I101),daily_dates,0),MATCH($B$3,daily_items,0)))</f>
        <v>#N/A</v>
      </c>
      <c r="W101" s="1" t="e">
        <f aca="false">IF(ISBLANK(INDEX(big_daily_table,MATCH(DATE(W$5,$J101,$I101),daily_dates,0),MATCH($B$3,daily_items,0))),NA(),INDEX(big_daily_table,MATCH(DATE(W$5,$J101,$I101),daily_dates,0),MATCH($B$3,daily_items,0)))</f>
        <v>#N/A</v>
      </c>
      <c r="X101" s="1" t="e">
        <f aca="false">IF(ISBLANK(INDEX(big_daily_table,MATCH(DATE(X$5,$J101,$I101),daily_dates,0),MATCH($B$3,daily_items,0))),NA(),INDEX(big_daily_table,MATCH(DATE(X$5,$J101,$I101),daily_dates,0),MATCH($B$3,daily_items,0)))</f>
        <v>#N/A</v>
      </c>
      <c r="Y101" s="1" t="e">
        <f aca="false">IF(ISBLANK(INDEX(big_daily_table,MATCH(DATE(Y$5,$J101,$I101),daily_dates,0),MATCH($B$3,daily_items,0))),NA(),INDEX(big_daily_table,MATCH(DATE(Y$5,$J101,$I101),daily_dates,0),MATCH($B$3,daily_items,0)))</f>
        <v>#N/A</v>
      </c>
      <c r="Z101" s="1" t="n">
        <f aca="true">_xlfn.AGGREGATE(5,6,OFFSET($R$5,H101,0,1,$J$2))</f>
        <v>0</v>
      </c>
      <c r="AA101" s="1" t="n">
        <f aca="true">_xlfn.AGGREGATE(4,6,OFFSET($R$5,H101,0,1,$J$2))</f>
        <v>0</v>
      </c>
      <c r="AB101" s="1" t="n">
        <f aca="false">AA101-Z101</f>
        <v>0</v>
      </c>
      <c r="AC101" s="1" t="e">
        <f aca="true">_xlfn.AGGREGATE(1,6,OFFSET($R$5,H101,0,1,$J$2))</f>
        <v>#DIV/0!</v>
      </c>
    </row>
    <row r="102" customFormat="false" ht="14.25" hidden="false" customHeight="false" outlineLevel="0" collapsed="false">
      <c r="H102" s="1" t="n">
        <f aca="false">H101+1</f>
        <v>97</v>
      </c>
      <c r="I102" s="1" t="n">
        <f aca="false">DAY(K102)</f>
        <v>6</v>
      </c>
      <c r="J102" s="1" t="n">
        <f aca="false">MONTH(K102)</f>
        <v>4</v>
      </c>
      <c r="K102" s="23" t="n">
        <f aca="false">K101+1</f>
        <v>36622</v>
      </c>
      <c r="L102" s="24" t="n">
        <f aca="true">IF(TODAY()&lt;DATE($N$5,J102,I102),1000000,-1000000)</f>
        <v>-1000000</v>
      </c>
      <c r="M102" s="1" t="e">
        <f aca="false">IF(K102&gt;0,INDEX(big_daily_table,MATCH(DATE(N$5,$J102,$I102),daily_dates,0),MATCH($B$3,daily_items,0)),NA())</f>
        <v>#N/A</v>
      </c>
      <c r="N102" s="1" t="e">
        <f aca="false">IF(L102&lt;0,INDEX(big_daily_table,MATCH(DATE(N$5,$J102,$I102),daily_dates,0),MATCH($B$3,daily_items,0)),NA())</f>
        <v>#N/A</v>
      </c>
      <c r="O102" s="1" t="e">
        <f aca="false">IF(ISBLANK(INDEX(big_daily_table,MATCH(DATE(O$5,$J102,$I102),daily_dates,0),MATCH($B$3,daily_items,0))),NA(),INDEX(big_daily_table,MATCH(DATE(O$5,$J102,$I102),daily_dates,0),MATCH($B$3,daily_items,0)))</f>
        <v>#N/A</v>
      </c>
      <c r="P102" s="1" t="e">
        <f aca="false">IF(ISBLANK(INDEX(big_daily_table,MATCH(DATE(P$5,$J102,$I102),daily_dates,0),MATCH($B$3,daily_items,0))),NA(),INDEX(big_daily_table,MATCH(DATE(P$5,$J102,$I102),daily_dates,0),MATCH($B$3,daily_items,0)))</f>
        <v>#N/A</v>
      </c>
      <c r="Q102" s="1" t="e">
        <f aca="false">IF(ISBLANK(INDEX(big_daily_table,MATCH(DATE(Q$5,$J102,$I102),daily_dates,0),MATCH($B$3,daily_items,0))),NA(),INDEX(big_daily_table,MATCH(DATE(Q$5,$J102,$I102),daily_dates,0),MATCH($B$3,daily_items,0)))</f>
        <v>#N/A</v>
      </c>
      <c r="R102" s="1" t="e">
        <f aca="false">IF(ISBLANK(INDEX(big_daily_table,MATCH(DATE(R$5,$J102,$I102),daily_dates,0),MATCH($B$3,daily_items,0))),NA(),INDEX(big_daily_table,MATCH(DATE(R$5,$J102,$I102),daily_dates,0),MATCH($B$3,daily_items,0)))</f>
        <v>#N/A</v>
      </c>
      <c r="S102" s="1" t="e">
        <f aca="false">IF(ISBLANK(INDEX(big_daily_table,MATCH(DATE(S$5,$J102,$I102),daily_dates,0),MATCH($B$3,daily_items,0))),NA(),INDEX(big_daily_table,MATCH(DATE(S$5,$J102,$I102),daily_dates,0),MATCH($B$3,daily_items,0)))</f>
        <v>#N/A</v>
      </c>
      <c r="T102" s="1" t="e">
        <f aca="false">IF(ISBLANK(INDEX(big_daily_table,MATCH(DATE(T$5,$J102,$I102),daily_dates,0),MATCH($B$3,daily_items,0))),NA(),INDEX(big_daily_table,MATCH(DATE(T$5,$J102,$I102),daily_dates,0),MATCH($B$3,daily_items,0)))</f>
        <v>#N/A</v>
      </c>
      <c r="U102" s="1" t="e">
        <f aca="false">IF(ISBLANK(INDEX(big_daily_table,MATCH(DATE(U$5,$J102,$I102),daily_dates,0),MATCH($B$3,daily_items,0))),NA(),INDEX(big_daily_table,MATCH(DATE(U$5,$J102,$I102),daily_dates,0),MATCH($B$3,daily_items,0)))</f>
        <v>#N/A</v>
      </c>
      <c r="V102" s="1" t="e">
        <f aca="false">IF(ISBLANK(INDEX(big_daily_table,MATCH(DATE(V$5,$J102,$I102),daily_dates,0),MATCH($B$3,daily_items,0))),NA(),INDEX(big_daily_table,MATCH(DATE(V$5,$J102,$I102),daily_dates,0),MATCH($B$3,daily_items,0)))</f>
        <v>#N/A</v>
      </c>
      <c r="W102" s="1" t="e">
        <f aca="false">IF(ISBLANK(INDEX(big_daily_table,MATCH(DATE(W$5,$J102,$I102),daily_dates,0),MATCH($B$3,daily_items,0))),NA(),INDEX(big_daily_table,MATCH(DATE(W$5,$J102,$I102),daily_dates,0),MATCH($B$3,daily_items,0)))</f>
        <v>#N/A</v>
      </c>
      <c r="X102" s="1" t="e">
        <f aca="false">IF(ISBLANK(INDEX(big_daily_table,MATCH(DATE(X$5,$J102,$I102),daily_dates,0),MATCH($B$3,daily_items,0))),NA(),INDEX(big_daily_table,MATCH(DATE(X$5,$J102,$I102),daily_dates,0),MATCH($B$3,daily_items,0)))</f>
        <v>#N/A</v>
      </c>
      <c r="Y102" s="1" t="e">
        <f aca="false">IF(ISBLANK(INDEX(big_daily_table,MATCH(DATE(Y$5,$J102,$I102),daily_dates,0),MATCH($B$3,daily_items,0))),NA(),INDEX(big_daily_table,MATCH(DATE(Y$5,$J102,$I102),daily_dates,0),MATCH($B$3,daily_items,0)))</f>
        <v>#N/A</v>
      </c>
      <c r="Z102" s="1" t="n">
        <f aca="true">_xlfn.AGGREGATE(5,6,OFFSET($R$5,H102,0,1,$J$2))</f>
        <v>0</v>
      </c>
      <c r="AA102" s="1" t="n">
        <f aca="true">_xlfn.AGGREGATE(4,6,OFFSET($R$5,H102,0,1,$J$2))</f>
        <v>0</v>
      </c>
      <c r="AB102" s="1" t="n">
        <f aca="false">AA102-Z102</f>
        <v>0</v>
      </c>
      <c r="AC102" s="1" t="e">
        <f aca="true">_xlfn.AGGREGATE(1,6,OFFSET($R$5,H102,0,1,$J$2))</f>
        <v>#DIV/0!</v>
      </c>
    </row>
    <row r="103" customFormat="false" ht="14.25" hidden="false" customHeight="false" outlineLevel="0" collapsed="false">
      <c r="H103" s="1" t="n">
        <f aca="false">H102+1</f>
        <v>98</v>
      </c>
      <c r="I103" s="1" t="n">
        <f aca="false">DAY(K103)</f>
        <v>7</v>
      </c>
      <c r="J103" s="1" t="n">
        <f aca="false">MONTH(K103)</f>
        <v>4</v>
      </c>
      <c r="K103" s="23" t="n">
        <f aca="false">K102+1</f>
        <v>36623</v>
      </c>
      <c r="L103" s="24" t="n">
        <f aca="true">IF(TODAY()&lt;DATE($N$5,J103,I103),1000000,-1000000)</f>
        <v>-1000000</v>
      </c>
      <c r="M103" s="1" t="e">
        <f aca="false">IF(K103&gt;0,INDEX(big_daily_table,MATCH(DATE(N$5,$J103,$I103),daily_dates,0),MATCH($B$3,daily_items,0)),NA())</f>
        <v>#N/A</v>
      </c>
      <c r="N103" s="1" t="e">
        <f aca="false">IF(L103&lt;0,INDEX(big_daily_table,MATCH(DATE(N$5,$J103,$I103),daily_dates,0),MATCH($B$3,daily_items,0)),NA())</f>
        <v>#N/A</v>
      </c>
      <c r="O103" s="1" t="e">
        <f aca="false">IF(ISBLANK(INDEX(big_daily_table,MATCH(DATE(O$5,$J103,$I103),daily_dates,0),MATCH($B$3,daily_items,0))),NA(),INDEX(big_daily_table,MATCH(DATE(O$5,$J103,$I103),daily_dates,0),MATCH($B$3,daily_items,0)))</f>
        <v>#N/A</v>
      </c>
      <c r="P103" s="1" t="e">
        <f aca="false">IF(ISBLANK(INDEX(big_daily_table,MATCH(DATE(P$5,$J103,$I103),daily_dates,0),MATCH($B$3,daily_items,0))),NA(),INDEX(big_daily_table,MATCH(DATE(P$5,$J103,$I103),daily_dates,0),MATCH($B$3,daily_items,0)))</f>
        <v>#N/A</v>
      </c>
      <c r="Q103" s="1" t="e">
        <f aca="false">IF(ISBLANK(INDEX(big_daily_table,MATCH(DATE(Q$5,$J103,$I103),daily_dates,0),MATCH($B$3,daily_items,0))),NA(),INDEX(big_daily_table,MATCH(DATE(Q$5,$J103,$I103),daily_dates,0),MATCH($B$3,daily_items,0)))</f>
        <v>#N/A</v>
      </c>
      <c r="R103" s="1" t="e">
        <f aca="false">IF(ISBLANK(INDEX(big_daily_table,MATCH(DATE(R$5,$J103,$I103),daily_dates,0),MATCH($B$3,daily_items,0))),NA(),INDEX(big_daily_table,MATCH(DATE(R$5,$J103,$I103),daily_dates,0),MATCH($B$3,daily_items,0)))</f>
        <v>#N/A</v>
      </c>
      <c r="S103" s="1" t="e">
        <f aca="false">IF(ISBLANK(INDEX(big_daily_table,MATCH(DATE(S$5,$J103,$I103),daily_dates,0),MATCH($B$3,daily_items,0))),NA(),INDEX(big_daily_table,MATCH(DATE(S$5,$J103,$I103),daily_dates,0),MATCH($B$3,daily_items,0)))</f>
        <v>#N/A</v>
      </c>
      <c r="T103" s="1" t="e">
        <f aca="false">IF(ISBLANK(INDEX(big_daily_table,MATCH(DATE(T$5,$J103,$I103),daily_dates,0),MATCH($B$3,daily_items,0))),NA(),INDEX(big_daily_table,MATCH(DATE(T$5,$J103,$I103),daily_dates,0),MATCH($B$3,daily_items,0)))</f>
        <v>#N/A</v>
      </c>
      <c r="U103" s="1" t="e">
        <f aca="false">IF(ISBLANK(INDEX(big_daily_table,MATCH(DATE(U$5,$J103,$I103),daily_dates,0),MATCH($B$3,daily_items,0))),NA(),INDEX(big_daily_table,MATCH(DATE(U$5,$J103,$I103),daily_dates,0),MATCH($B$3,daily_items,0)))</f>
        <v>#N/A</v>
      </c>
      <c r="V103" s="1" t="e">
        <f aca="false">IF(ISBLANK(INDEX(big_daily_table,MATCH(DATE(V$5,$J103,$I103),daily_dates,0),MATCH($B$3,daily_items,0))),NA(),INDEX(big_daily_table,MATCH(DATE(V$5,$J103,$I103),daily_dates,0),MATCH($B$3,daily_items,0)))</f>
        <v>#N/A</v>
      </c>
      <c r="W103" s="1" t="e">
        <f aca="false">IF(ISBLANK(INDEX(big_daily_table,MATCH(DATE(W$5,$J103,$I103),daily_dates,0),MATCH($B$3,daily_items,0))),NA(),INDEX(big_daily_table,MATCH(DATE(W$5,$J103,$I103),daily_dates,0),MATCH($B$3,daily_items,0)))</f>
        <v>#N/A</v>
      </c>
      <c r="X103" s="1" t="e">
        <f aca="false">IF(ISBLANK(INDEX(big_daily_table,MATCH(DATE(X$5,$J103,$I103),daily_dates,0),MATCH($B$3,daily_items,0))),NA(),INDEX(big_daily_table,MATCH(DATE(X$5,$J103,$I103),daily_dates,0),MATCH($B$3,daily_items,0)))</f>
        <v>#N/A</v>
      </c>
      <c r="Y103" s="1" t="e">
        <f aca="false">IF(ISBLANK(INDEX(big_daily_table,MATCH(DATE(Y$5,$J103,$I103),daily_dates,0),MATCH($B$3,daily_items,0))),NA(),INDEX(big_daily_table,MATCH(DATE(Y$5,$J103,$I103),daily_dates,0),MATCH($B$3,daily_items,0)))</f>
        <v>#N/A</v>
      </c>
      <c r="Z103" s="1" t="n">
        <f aca="true">_xlfn.AGGREGATE(5,6,OFFSET($R$5,H103,0,1,$J$2))</f>
        <v>0</v>
      </c>
      <c r="AA103" s="1" t="n">
        <f aca="true">_xlfn.AGGREGATE(4,6,OFFSET($R$5,H103,0,1,$J$2))</f>
        <v>0</v>
      </c>
      <c r="AB103" s="1" t="n">
        <f aca="false">AA103-Z103</f>
        <v>0</v>
      </c>
      <c r="AC103" s="1" t="e">
        <f aca="true">_xlfn.AGGREGATE(1,6,OFFSET($R$5,H103,0,1,$J$2))</f>
        <v>#DIV/0!</v>
      </c>
    </row>
    <row r="104" customFormat="false" ht="14.25" hidden="false" customHeight="false" outlineLevel="0" collapsed="false">
      <c r="H104" s="1" t="n">
        <f aca="false">H103+1</f>
        <v>99</v>
      </c>
      <c r="I104" s="1" t="n">
        <f aca="false">DAY(K104)</f>
        <v>8</v>
      </c>
      <c r="J104" s="1" t="n">
        <f aca="false">MONTH(K104)</f>
        <v>4</v>
      </c>
      <c r="K104" s="23" t="n">
        <f aca="false">K103+1</f>
        <v>36624</v>
      </c>
      <c r="L104" s="24" t="n">
        <f aca="true">IF(TODAY()&lt;DATE($N$5,J104,I104),1000000,-1000000)</f>
        <v>-1000000</v>
      </c>
      <c r="M104" s="1" t="e">
        <f aca="false">IF(K104&gt;0,INDEX(big_daily_table,MATCH(DATE(N$5,$J104,$I104),daily_dates,0),MATCH($B$3,daily_items,0)),NA())</f>
        <v>#N/A</v>
      </c>
      <c r="N104" s="1" t="e">
        <f aca="false">IF(L104&lt;0,INDEX(big_daily_table,MATCH(DATE(N$5,$J104,$I104),daily_dates,0),MATCH($B$3,daily_items,0)),NA())</f>
        <v>#N/A</v>
      </c>
      <c r="O104" s="1" t="e">
        <f aca="false">IF(ISBLANK(INDEX(big_daily_table,MATCH(DATE(O$5,$J104,$I104),daily_dates,0),MATCH($B$3,daily_items,0))),NA(),INDEX(big_daily_table,MATCH(DATE(O$5,$J104,$I104),daily_dates,0),MATCH($B$3,daily_items,0)))</f>
        <v>#N/A</v>
      </c>
      <c r="P104" s="1" t="e">
        <f aca="false">IF(ISBLANK(INDEX(big_daily_table,MATCH(DATE(P$5,$J104,$I104),daily_dates,0),MATCH($B$3,daily_items,0))),NA(),INDEX(big_daily_table,MATCH(DATE(P$5,$J104,$I104),daily_dates,0),MATCH($B$3,daily_items,0)))</f>
        <v>#N/A</v>
      </c>
      <c r="Q104" s="1" t="e">
        <f aca="false">IF(ISBLANK(INDEX(big_daily_table,MATCH(DATE(Q$5,$J104,$I104),daily_dates,0),MATCH($B$3,daily_items,0))),NA(),INDEX(big_daily_table,MATCH(DATE(Q$5,$J104,$I104),daily_dates,0),MATCH($B$3,daily_items,0)))</f>
        <v>#N/A</v>
      </c>
      <c r="R104" s="1" t="e">
        <f aca="false">IF(ISBLANK(INDEX(big_daily_table,MATCH(DATE(R$5,$J104,$I104),daily_dates,0),MATCH($B$3,daily_items,0))),NA(),INDEX(big_daily_table,MATCH(DATE(R$5,$J104,$I104),daily_dates,0),MATCH($B$3,daily_items,0)))</f>
        <v>#N/A</v>
      </c>
      <c r="S104" s="1" t="e">
        <f aca="false">IF(ISBLANK(INDEX(big_daily_table,MATCH(DATE(S$5,$J104,$I104),daily_dates,0),MATCH($B$3,daily_items,0))),NA(),INDEX(big_daily_table,MATCH(DATE(S$5,$J104,$I104),daily_dates,0),MATCH($B$3,daily_items,0)))</f>
        <v>#N/A</v>
      </c>
      <c r="T104" s="1" t="e">
        <f aca="false">IF(ISBLANK(INDEX(big_daily_table,MATCH(DATE(T$5,$J104,$I104),daily_dates,0),MATCH($B$3,daily_items,0))),NA(),INDEX(big_daily_table,MATCH(DATE(T$5,$J104,$I104),daily_dates,0),MATCH($B$3,daily_items,0)))</f>
        <v>#N/A</v>
      </c>
      <c r="U104" s="1" t="e">
        <f aca="false">IF(ISBLANK(INDEX(big_daily_table,MATCH(DATE(U$5,$J104,$I104),daily_dates,0),MATCH($B$3,daily_items,0))),NA(),INDEX(big_daily_table,MATCH(DATE(U$5,$J104,$I104),daily_dates,0),MATCH($B$3,daily_items,0)))</f>
        <v>#N/A</v>
      </c>
      <c r="V104" s="1" t="e">
        <f aca="false">IF(ISBLANK(INDEX(big_daily_table,MATCH(DATE(V$5,$J104,$I104),daily_dates,0),MATCH($B$3,daily_items,0))),NA(),INDEX(big_daily_table,MATCH(DATE(V$5,$J104,$I104),daily_dates,0),MATCH($B$3,daily_items,0)))</f>
        <v>#N/A</v>
      </c>
      <c r="W104" s="1" t="e">
        <f aca="false">IF(ISBLANK(INDEX(big_daily_table,MATCH(DATE(W$5,$J104,$I104),daily_dates,0),MATCH($B$3,daily_items,0))),NA(),INDEX(big_daily_table,MATCH(DATE(W$5,$J104,$I104),daily_dates,0),MATCH($B$3,daily_items,0)))</f>
        <v>#N/A</v>
      </c>
      <c r="X104" s="1" t="e">
        <f aca="false">IF(ISBLANK(INDEX(big_daily_table,MATCH(DATE(X$5,$J104,$I104),daily_dates,0),MATCH($B$3,daily_items,0))),NA(),INDEX(big_daily_table,MATCH(DATE(X$5,$J104,$I104),daily_dates,0),MATCH($B$3,daily_items,0)))</f>
        <v>#N/A</v>
      </c>
      <c r="Y104" s="1" t="e">
        <f aca="false">IF(ISBLANK(INDEX(big_daily_table,MATCH(DATE(Y$5,$J104,$I104),daily_dates,0),MATCH($B$3,daily_items,0))),NA(),INDEX(big_daily_table,MATCH(DATE(Y$5,$J104,$I104),daily_dates,0),MATCH($B$3,daily_items,0)))</f>
        <v>#N/A</v>
      </c>
      <c r="Z104" s="1" t="n">
        <f aca="true">_xlfn.AGGREGATE(5,6,OFFSET($R$5,H104,0,1,$J$2))</f>
        <v>0</v>
      </c>
      <c r="AA104" s="1" t="n">
        <f aca="true">_xlfn.AGGREGATE(4,6,OFFSET($R$5,H104,0,1,$J$2))</f>
        <v>0</v>
      </c>
      <c r="AB104" s="1" t="n">
        <f aca="false">AA104-Z104</f>
        <v>0</v>
      </c>
      <c r="AC104" s="1" t="e">
        <f aca="true">_xlfn.AGGREGATE(1,6,OFFSET($R$5,H104,0,1,$J$2))</f>
        <v>#DIV/0!</v>
      </c>
    </row>
    <row r="105" customFormat="false" ht="14.25" hidden="false" customHeight="false" outlineLevel="0" collapsed="false">
      <c r="H105" s="1" t="n">
        <f aca="false">H104+1</f>
        <v>100</v>
      </c>
      <c r="I105" s="1" t="n">
        <f aca="false">DAY(K105)</f>
        <v>9</v>
      </c>
      <c r="J105" s="1" t="n">
        <f aca="false">MONTH(K105)</f>
        <v>4</v>
      </c>
      <c r="K105" s="23" t="n">
        <f aca="false">K104+1</f>
        <v>36625</v>
      </c>
      <c r="L105" s="24" t="n">
        <f aca="true">IF(TODAY()&lt;DATE($N$5,J105,I105),1000000,-1000000)</f>
        <v>-1000000</v>
      </c>
      <c r="M105" s="1" t="e">
        <f aca="false">IF(K105&gt;0,INDEX(big_daily_table,MATCH(DATE(N$5,$J105,$I105),daily_dates,0),MATCH($B$3,daily_items,0)),NA())</f>
        <v>#N/A</v>
      </c>
      <c r="N105" s="1" t="e">
        <f aca="false">IF(L105&lt;0,INDEX(big_daily_table,MATCH(DATE(N$5,$J105,$I105),daily_dates,0),MATCH($B$3,daily_items,0)),NA())</f>
        <v>#N/A</v>
      </c>
      <c r="O105" s="1" t="e">
        <f aca="false">IF(ISBLANK(INDEX(big_daily_table,MATCH(DATE(O$5,$J105,$I105),daily_dates,0),MATCH($B$3,daily_items,0))),NA(),INDEX(big_daily_table,MATCH(DATE(O$5,$J105,$I105),daily_dates,0),MATCH($B$3,daily_items,0)))</f>
        <v>#N/A</v>
      </c>
      <c r="P105" s="1" t="e">
        <f aca="false">IF(ISBLANK(INDEX(big_daily_table,MATCH(DATE(P$5,$J105,$I105),daily_dates,0),MATCH($B$3,daily_items,0))),NA(),INDEX(big_daily_table,MATCH(DATE(P$5,$J105,$I105),daily_dates,0),MATCH($B$3,daily_items,0)))</f>
        <v>#N/A</v>
      </c>
      <c r="Q105" s="1" t="e">
        <f aca="false">IF(ISBLANK(INDEX(big_daily_table,MATCH(DATE(Q$5,$J105,$I105),daily_dates,0),MATCH($B$3,daily_items,0))),NA(),INDEX(big_daily_table,MATCH(DATE(Q$5,$J105,$I105),daily_dates,0),MATCH($B$3,daily_items,0)))</f>
        <v>#N/A</v>
      </c>
      <c r="R105" s="1" t="e">
        <f aca="false">IF(ISBLANK(INDEX(big_daily_table,MATCH(DATE(R$5,$J105,$I105),daily_dates,0),MATCH($B$3,daily_items,0))),NA(),INDEX(big_daily_table,MATCH(DATE(R$5,$J105,$I105),daily_dates,0),MATCH($B$3,daily_items,0)))</f>
        <v>#N/A</v>
      </c>
      <c r="S105" s="1" t="e">
        <f aca="false">IF(ISBLANK(INDEX(big_daily_table,MATCH(DATE(S$5,$J105,$I105),daily_dates,0),MATCH($B$3,daily_items,0))),NA(),INDEX(big_daily_table,MATCH(DATE(S$5,$J105,$I105),daily_dates,0),MATCH($B$3,daily_items,0)))</f>
        <v>#N/A</v>
      </c>
      <c r="T105" s="1" t="e">
        <f aca="false">IF(ISBLANK(INDEX(big_daily_table,MATCH(DATE(T$5,$J105,$I105),daily_dates,0),MATCH($B$3,daily_items,0))),NA(),INDEX(big_daily_table,MATCH(DATE(T$5,$J105,$I105),daily_dates,0),MATCH($B$3,daily_items,0)))</f>
        <v>#N/A</v>
      </c>
      <c r="U105" s="1" t="e">
        <f aca="false">IF(ISBLANK(INDEX(big_daily_table,MATCH(DATE(U$5,$J105,$I105),daily_dates,0),MATCH($B$3,daily_items,0))),NA(),INDEX(big_daily_table,MATCH(DATE(U$5,$J105,$I105),daily_dates,0),MATCH($B$3,daily_items,0)))</f>
        <v>#N/A</v>
      </c>
      <c r="V105" s="1" t="e">
        <f aca="false">IF(ISBLANK(INDEX(big_daily_table,MATCH(DATE(V$5,$J105,$I105),daily_dates,0),MATCH($B$3,daily_items,0))),NA(),INDEX(big_daily_table,MATCH(DATE(V$5,$J105,$I105),daily_dates,0),MATCH($B$3,daily_items,0)))</f>
        <v>#N/A</v>
      </c>
      <c r="W105" s="1" t="e">
        <f aca="false">IF(ISBLANK(INDEX(big_daily_table,MATCH(DATE(W$5,$J105,$I105),daily_dates,0),MATCH($B$3,daily_items,0))),NA(),INDEX(big_daily_table,MATCH(DATE(W$5,$J105,$I105),daily_dates,0),MATCH($B$3,daily_items,0)))</f>
        <v>#N/A</v>
      </c>
      <c r="X105" s="1" t="e">
        <f aca="false">IF(ISBLANK(INDEX(big_daily_table,MATCH(DATE(X$5,$J105,$I105),daily_dates,0),MATCH($B$3,daily_items,0))),NA(),INDEX(big_daily_table,MATCH(DATE(X$5,$J105,$I105),daily_dates,0),MATCH($B$3,daily_items,0)))</f>
        <v>#N/A</v>
      </c>
      <c r="Y105" s="1" t="e">
        <f aca="false">IF(ISBLANK(INDEX(big_daily_table,MATCH(DATE(Y$5,$J105,$I105),daily_dates,0),MATCH($B$3,daily_items,0))),NA(),INDEX(big_daily_table,MATCH(DATE(Y$5,$J105,$I105),daily_dates,0),MATCH($B$3,daily_items,0)))</f>
        <v>#N/A</v>
      </c>
      <c r="Z105" s="1" t="n">
        <f aca="true">_xlfn.AGGREGATE(5,6,OFFSET($R$5,H105,0,1,$J$2))</f>
        <v>0</v>
      </c>
      <c r="AA105" s="1" t="n">
        <f aca="true">_xlfn.AGGREGATE(4,6,OFFSET($R$5,H105,0,1,$J$2))</f>
        <v>0</v>
      </c>
      <c r="AB105" s="1" t="n">
        <f aca="false">AA105-Z105</f>
        <v>0</v>
      </c>
      <c r="AC105" s="1" t="e">
        <f aca="true">_xlfn.AGGREGATE(1,6,OFFSET($R$5,H105,0,1,$J$2))</f>
        <v>#DIV/0!</v>
      </c>
    </row>
    <row r="106" customFormat="false" ht="14.25" hidden="false" customHeight="false" outlineLevel="0" collapsed="false">
      <c r="H106" s="1" t="n">
        <f aca="false">H105+1</f>
        <v>101</v>
      </c>
      <c r="I106" s="1" t="n">
        <f aca="false">DAY(K106)</f>
        <v>10</v>
      </c>
      <c r="J106" s="1" t="n">
        <f aca="false">MONTH(K106)</f>
        <v>4</v>
      </c>
      <c r="K106" s="23" t="n">
        <f aca="false">K105+1</f>
        <v>36626</v>
      </c>
      <c r="L106" s="24" t="n">
        <f aca="true">IF(TODAY()&lt;DATE($N$5,J106,I106),1000000,-1000000)</f>
        <v>-1000000</v>
      </c>
      <c r="M106" s="1" t="e">
        <f aca="false">IF(K106&gt;0,INDEX(big_daily_table,MATCH(DATE(N$5,$J106,$I106),daily_dates,0),MATCH($B$3,daily_items,0)),NA())</f>
        <v>#N/A</v>
      </c>
      <c r="N106" s="1" t="e">
        <f aca="false">IF(L106&lt;0,INDEX(big_daily_table,MATCH(DATE(N$5,$J106,$I106),daily_dates,0),MATCH($B$3,daily_items,0)),NA())</f>
        <v>#N/A</v>
      </c>
      <c r="O106" s="1" t="e">
        <f aca="false">IF(ISBLANK(INDEX(big_daily_table,MATCH(DATE(O$5,$J106,$I106),daily_dates,0),MATCH($B$3,daily_items,0))),NA(),INDEX(big_daily_table,MATCH(DATE(O$5,$J106,$I106),daily_dates,0),MATCH($B$3,daily_items,0)))</f>
        <v>#N/A</v>
      </c>
      <c r="P106" s="1" t="e">
        <f aca="false">IF(ISBLANK(INDEX(big_daily_table,MATCH(DATE(P$5,$J106,$I106),daily_dates,0),MATCH($B$3,daily_items,0))),NA(),INDEX(big_daily_table,MATCH(DATE(P$5,$J106,$I106),daily_dates,0),MATCH($B$3,daily_items,0)))</f>
        <v>#N/A</v>
      </c>
      <c r="Q106" s="1" t="e">
        <f aca="false">IF(ISBLANK(INDEX(big_daily_table,MATCH(DATE(Q$5,$J106,$I106),daily_dates,0),MATCH($B$3,daily_items,0))),NA(),INDEX(big_daily_table,MATCH(DATE(Q$5,$J106,$I106),daily_dates,0),MATCH($B$3,daily_items,0)))</f>
        <v>#N/A</v>
      </c>
      <c r="R106" s="1" t="e">
        <f aca="false">IF(ISBLANK(INDEX(big_daily_table,MATCH(DATE(R$5,$J106,$I106),daily_dates,0),MATCH($B$3,daily_items,0))),NA(),INDEX(big_daily_table,MATCH(DATE(R$5,$J106,$I106),daily_dates,0),MATCH($B$3,daily_items,0)))</f>
        <v>#N/A</v>
      </c>
      <c r="S106" s="1" t="e">
        <f aca="false">IF(ISBLANK(INDEX(big_daily_table,MATCH(DATE(S$5,$J106,$I106),daily_dates,0),MATCH($B$3,daily_items,0))),NA(),INDEX(big_daily_table,MATCH(DATE(S$5,$J106,$I106),daily_dates,0),MATCH($B$3,daily_items,0)))</f>
        <v>#N/A</v>
      </c>
      <c r="T106" s="1" t="e">
        <f aca="false">IF(ISBLANK(INDEX(big_daily_table,MATCH(DATE(T$5,$J106,$I106),daily_dates,0),MATCH($B$3,daily_items,0))),NA(),INDEX(big_daily_table,MATCH(DATE(T$5,$J106,$I106),daily_dates,0),MATCH($B$3,daily_items,0)))</f>
        <v>#N/A</v>
      </c>
      <c r="U106" s="1" t="e">
        <f aca="false">IF(ISBLANK(INDEX(big_daily_table,MATCH(DATE(U$5,$J106,$I106),daily_dates,0),MATCH($B$3,daily_items,0))),NA(),INDEX(big_daily_table,MATCH(DATE(U$5,$J106,$I106),daily_dates,0),MATCH($B$3,daily_items,0)))</f>
        <v>#N/A</v>
      </c>
      <c r="V106" s="1" t="e">
        <f aca="false">IF(ISBLANK(INDEX(big_daily_table,MATCH(DATE(V$5,$J106,$I106),daily_dates,0),MATCH($B$3,daily_items,0))),NA(),INDEX(big_daily_table,MATCH(DATE(V$5,$J106,$I106),daily_dates,0),MATCH($B$3,daily_items,0)))</f>
        <v>#N/A</v>
      </c>
      <c r="W106" s="1" t="e">
        <f aca="false">IF(ISBLANK(INDEX(big_daily_table,MATCH(DATE(W$5,$J106,$I106),daily_dates,0),MATCH($B$3,daily_items,0))),NA(),INDEX(big_daily_table,MATCH(DATE(W$5,$J106,$I106),daily_dates,0),MATCH($B$3,daily_items,0)))</f>
        <v>#N/A</v>
      </c>
      <c r="X106" s="1" t="e">
        <f aca="false">IF(ISBLANK(INDEX(big_daily_table,MATCH(DATE(X$5,$J106,$I106),daily_dates,0),MATCH($B$3,daily_items,0))),NA(),INDEX(big_daily_table,MATCH(DATE(X$5,$J106,$I106),daily_dates,0),MATCH($B$3,daily_items,0)))</f>
        <v>#N/A</v>
      </c>
      <c r="Y106" s="1" t="e">
        <f aca="false">IF(ISBLANK(INDEX(big_daily_table,MATCH(DATE(Y$5,$J106,$I106),daily_dates,0),MATCH($B$3,daily_items,0))),NA(),INDEX(big_daily_table,MATCH(DATE(Y$5,$J106,$I106),daily_dates,0),MATCH($B$3,daily_items,0)))</f>
        <v>#N/A</v>
      </c>
      <c r="Z106" s="1" t="n">
        <f aca="true">_xlfn.AGGREGATE(5,6,OFFSET($R$5,H106,0,1,$J$2))</f>
        <v>0</v>
      </c>
      <c r="AA106" s="1" t="n">
        <f aca="true">_xlfn.AGGREGATE(4,6,OFFSET($R$5,H106,0,1,$J$2))</f>
        <v>0</v>
      </c>
      <c r="AB106" s="1" t="n">
        <f aca="false">AA106-Z106</f>
        <v>0</v>
      </c>
      <c r="AC106" s="1" t="e">
        <f aca="true">_xlfn.AGGREGATE(1,6,OFFSET($R$5,H106,0,1,$J$2))</f>
        <v>#DIV/0!</v>
      </c>
    </row>
    <row r="107" customFormat="false" ht="14.25" hidden="false" customHeight="false" outlineLevel="0" collapsed="false">
      <c r="H107" s="1" t="n">
        <f aca="false">H106+1</f>
        <v>102</v>
      </c>
      <c r="I107" s="1" t="n">
        <f aca="false">DAY(K107)</f>
        <v>11</v>
      </c>
      <c r="J107" s="1" t="n">
        <f aca="false">MONTH(K107)</f>
        <v>4</v>
      </c>
      <c r="K107" s="23" t="n">
        <f aca="false">K106+1</f>
        <v>36627</v>
      </c>
      <c r="L107" s="24" t="n">
        <f aca="true">IF(TODAY()&lt;DATE($N$5,J107,I107),1000000,-1000000)</f>
        <v>-1000000</v>
      </c>
      <c r="M107" s="1" t="e">
        <f aca="false">IF(K107&gt;0,INDEX(big_daily_table,MATCH(DATE(N$5,$J107,$I107),daily_dates,0),MATCH($B$3,daily_items,0)),NA())</f>
        <v>#N/A</v>
      </c>
      <c r="N107" s="1" t="e">
        <f aca="false">IF(L107&lt;0,INDEX(big_daily_table,MATCH(DATE(N$5,$J107,$I107),daily_dates,0),MATCH($B$3,daily_items,0)),NA())</f>
        <v>#N/A</v>
      </c>
      <c r="O107" s="1" t="e">
        <f aca="false">IF(ISBLANK(INDEX(big_daily_table,MATCH(DATE(O$5,$J107,$I107),daily_dates,0),MATCH($B$3,daily_items,0))),NA(),INDEX(big_daily_table,MATCH(DATE(O$5,$J107,$I107),daily_dates,0),MATCH($B$3,daily_items,0)))</f>
        <v>#N/A</v>
      </c>
      <c r="P107" s="1" t="e">
        <f aca="false">IF(ISBLANK(INDEX(big_daily_table,MATCH(DATE(P$5,$J107,$I107),daily_dates,0),MATCH($B$3,daily_items,0))),NA(),INDEX(big_daily_table,MATCH(DATE(P$5,$J107,$I107),daily_dates,0),MATCH($B$3,daily_items,0)))</f>
        <v>#N/A</v>
      </c>
      <c r="Q107" s="1" t="e">
        <f aca="false">IF(ISBLANK(INDEX(big_daily_table,MATCH(DATE(Q$5,$J107,$I107),daily_dates,0),MATCH($B$3,daily_items,0))),NA(),INDEX(big_daily_table,MATCH(DATE(Q$5,$J107,$I107),daily_dates,0),MATCH($B$3,daily_items,0)))</f>
        <v>#N/A</v>
      </c>
      <c r="R107" s="1" t="e">
        <f aca="false">IF(ISBLANK(INDEX(big_daily_table,MATCH(DATE(R$5,$J107,$I107),daily_dates,0),MATCH($B$3,daily_items,0))),NA(),INDEX(big_daily_table,MATCH(DATE(R$5,$J107,$I107),daily_dates,0),MATCH($B$3,daily_items,0)))</f>
        <v>#N/A</v>
      </c>
      <c r="S107" s="1" t="e">
        <f aca="false">IF(ISBLANK(INDEX(big_daily_table,MATCH(DATE(S$5,$J107,$I107),daily_dates,0),MATCH($B$3,daily_items,0))),NA(),INDEX(big_daily_table,MATCH(DATE(S$5,$J107,$I107),daily_dates,0),MATCH($B$3,daily_items,0)))</f>
        <v>#N/A</v>
      </c>
      <c r="T107" s="1" t="e">
        <f aca="false">IF(ISBLANK(INDEX(big_daily_table,MATCH(DATE(T$5,$J107,$I107),daily_dates,0),MATCH($B$3,daily_items,0))),NA(),INDEX(big_daily_table,MATCH(DATE(T$5,$J107,$I107),daily_dates,0),MATCH($B$3,daily_items,0)))</f>
        <v>#N/A</v>
      </c>
      <c r="U107" s="1" t="e">
        <f aca="false">IF(ISBLANK(INDEX(big_daily_table,MATCH(DATE(U$5,$J107,$I107),daily_dates,0),MATCH($B$3,daily_items,0))),NA(),INDEX(big_daily_table,MATCH(DATE(U$5,$J107,$I107),daily_dates,0),MATCH($B$3,daily_items,0)))</f>
        <v>#N/A</v>
      </c>
      <c r="V107" s="1" t="e">
        <f aca="false">IF(ISBLANK(INDEX(big_daily_table,MATCH(DATE(V$5,$J107,$I107),daily_dates,0),MATCH($B$3,daily_items,0))),NA(),INDEX(big_daily_table,MATCH(DATE(V$5,$J107,$I107),daily_dates,0),MATCH($B$3,daily_items,0)))</f>
        <v>#N/A</v>
      </c>
      <c r="W107" s="1" t="e">
        <f aca="false">IF(ISBLANK(INDEX(big_daily_table,MATCH(DATE(W$5,$J107,$I107),daily_dates,0),MATCH($B$3,daily_items,0))),NA(),INDEX(big_daily_table,MATCH(DATE(W$5,$J107,$I107),daily_dates,0),MATCH($B$3,daily_items,0)))</f>
        <v>#N/A</v>
      </c>
      <c r="X107" s="1" t="e">
        <f aca="false">IF(ISBLANK(INDEX(big_daily_table,MATCH(DATE(X$5,$J107,$I107),daily_dates,0),MATCH($B$3,daily_items,0))),NA(),INDEX(big_daily_table,MATCH(DATE(X$5,$J107,$I107),daily_dates,0),MATCH($B$3,daily_items,0)))</f>
        <v>#N/A</v>
      </c>
      <c r="Y107" s="1" t="e">
        <f aca="false">IF(ISBLANK(INDEX(big_daily_table,MATCH(DATE(Y$5,$J107,$I107),daily_dates,0),MATCH($B$3,daily_items,0))),NA(),INDEX(big_daily_table,MATCH(DATE(Y$5,$J107,$I107),daily_dates,0),MATCH($B$3,daily_items,0)))</f>
        <v>#N/A</v>
      </c>
      <c r="Z107" s="1" t="n">
        <f aca="true">_xlfn.AGGREGATE(5,6,OFFSET($R$5,H107,0,1,$J$2))</f>
        <v>0</v>
      </c>
      <c r="AA107" s="1" t="n">
        <f aca="true">_xlfn.AGGREGATE(4,6,OFFSET($R$5,H107,0,1,$J$2))</f>
        <v>0</v>
      </c>
      <c r="AB107" s="1" t="n">
        <f aca="false">AA107-Z107</f>
        <v>0</v>
      </c>
      <c r="AC107" s="1" t="e">
        <f aca="true">_xlfn.AGGREGATE(1,6,OFFSET($R$5,H107,0,1,$J$2))</f>
        <v>#DIV/0!</v>
      </c>
    </row>
    <row r="108" customFormat="false" ht="14.25" hidden="false" customHeight="false" outlineLevel="0" collapsed="false">
      <c r="H108" s="1" t="n">
        <f aca="false">H107+1</f>
        <v>103</v>
      </c>
      <c r="I108" s="1" t="n">
        <f aca="false">DAY(K108)</f>
        <v>12</v>
      </c>
      <c r="J108" s="1" t="n">
        <f aca="false">MONTH(K108)</f>
        <v>4</v>
      </c>
      <c r="K108" s="23" t="n">
        <f aca="false">K107+1</f>
        <v>36628</v>
      </c>
      <c r="L108" s="24" t="n">
        <f aca="true">IF(TODAY()&lt;DATE($N$5,J108,I108),1000000,-1000000)</f>
        <v>-1000000</v>
      </c>
      <c r="M108" s="1" t="e">
        <f aca="false">IF(K108&gt;0,INDEX(big_daily_table,MATCH(DATE(N$5,$J108,$I108),daily_dates,0),MATCH($B$3,daily_items,0)),NA())</f>
        <v>#N/A</v>
      </c>
      <c r="N108" s="1" t="e">
        <f aca="false">IF(L108&lt;0,INDEX(big_daily_table,MATCH(DATE(N$5,$J108,$I108),daily_dates,0),MATCH($B$3,daily_items,0)),NA())</f>
        <v>#N/A</v>
      </c>
      <c r="O108" s="1" t="e">
        <f aca="false">IF(ISBLANK(INDEX(big_daily_table,MATCH(DATE(O$5,$J108,$I108),daily_dates,0),MATCH($B$3,daily_items,0))),NA(),INDEX(big_daily_table,MATCH(DATE(O$5,$J108,$I108),daily_dates,0),MATCH($B$3,daily_items,0)))</f>
        <v>#N/A</v>
      </c>
      <c r="P108" s="1" t="e">
        <f aca="false">IF(ISBLANK(INDEX(big_daily_table,MATCH(DATE(P$5,$J108,$I108),daily_dates,0),MATCH($B$3,daily_items,0))),NA(),INDEX(big_daily_table,MATCH(DATE(P$5,$J108,$I108),daily_dates,0),MATCH($B$3,daily_items,0)))</f>
        <v>#N/A</v>
      </c>
      <c r="Q108" s="1" t="e">
        <f aca="false">IF(ISBLANK(INDEX(big_daily_table,MATCH(DATE(Q$5,$J108,$I108),daily_dates,0),MATCH($B$3,daily_items,0))),NA(),INDEX(big_daily_table,MATCH(DATE(Q$5,$J108,$I108),daily_dates,0),MATCH($B$3,daily_items,0)))</f>
        <v>#N/A</v>
      </c>
      <c r="R108" s="1" t="e">
        <f aca="false">IF(ISBLANK(INDEX(big_daily_table,MATCH(DATE(R$5,$J108,$I108),daily_dates,0),MATCH($B$3,daily_items,0))),NA(),INDEX(big_daily_table,MATCH(DATE(R$5,$J108,$I108),daily_dates,0),MATCH($B$3,daily_items,0)))</f>
        <v>#N/A</v>
      </c>
      <c r="S108" s="1" t="e">
        <f aca="false">IF(ISBLANK(INDEX(big_daily_table,MATCH(DATE(S$5,$J108,$I108),daily_dates,0),MATCH($B$3,daily_items,0))),NA(),INDEX(big_daily_table,MATCH(DATE(S$5,$J108,$I108),daily_dates,0),MATCH($B$3,daily_items,0)))</f>
        <v>#N/A</v>
      </c>
      <c r="T108" s="1" t="e">
        <f aca="false">IF(ISBLANK(INDEX(big_daily_table,MATCH(DATE(T$5,$J108,$I108),daily_dates,0),MATCH($B$3,daily_items,0))),NA(),INDEX(big_daily_table,MATCH(DATE(T$5,$J108,$I108),daily_dates,0),MATCH($B$3,daily_items,0)))</f>
        <v>#N/A</v>
      </c>
      <c r="U108" s="1" t="e">
        <f aca="false">IF(ISBLANK(INDEX(big_daily_table,MATCH(DATE(U$5,$J108,$I108),daily_dates,0),MATCH($B$3,daily_items,0))),NA(),INDEX(big_daily_table,MATCH(DATE(U$5,$J108,$I108),daily_dates,0),MATCH($B$3,daily_items,0)))</f>
        <v>#N/A</v>
      </c>
      <c r="V108" s="1" t="e">
        <f aca="false">IF(ISBLANK(INDEX(big_daily_table,MATCH(DATE(V$5,$J108,$I108),daily_dates,0),MATCH($B$3,daily_items,0))),NA(),INDEX(big_daily_table,MATCH(DATE(V$5,$J108,$I108),daily_dates,0),MATCH($B$3,daily_items,0)))</f>
        <v>#N/A</v>
      </c>
      <c r="W108" s="1" t="e">
        <f aca="false">IF(ISBLANK(INDEX(big_daily_table,MATCH(DATE(W$5,$J108,$I108),daily_dates,0),MATCH($B$3,daily_items,0))),NA(),INDEX(big_daily_table,MATCH(DATE(W$5,$J108,$I108),daily_dates,0),MATCH($B$3,daily_items,0)))</f>
        <v>#N/A</v>
      </c>
      <c r="X108" s="1" t="e">
        <f aca="false">IF(ISBLANK(INDEX(big_daily_table,MATCH(DATE(X$5,$J108,$I108),daily_dates,0),MATCH($B$3,daily_items,0))),NA(),INDEX(big_daily_table,MATCH(DATE(X$5,$J108,$I108),daily_dates,0),MATCH($B$3,daily_items,0)))</f>
        <v>#N/A</v>
      </c>
      <c r="Y108" s="1" t="e">
        <f aca="false">IF(ISBLANK(INDEX(big_daily_table,MATCH(DATE(Y$5,$J108,$I108),daily_dates,0),MATCH($B$3,daily_items,0))),NA(),INDEX(big_daily_table,MATCH(DATE(Y$5,$J108,$I108),daily_dates,0),MATCH($B$3,daily_items,0)))</f>
        <v>#N/A</v>
      </c>
      <c r="Z108" s="1" t="n">
        <f aca="true">_xlfn.AGGREGATE(5,6,OFFSET($R$5,H108,0,1,$J$2))</f>
        <v>0</v>
      </c>
      <c r="AA108" s="1" t="n">
        <f aca="true">_xlfn.AGGREGATE(4,6,OFFSET($R$5,H108,0,1,$J$2))</f>
        <v>0</v>
      </c>
      <c r="AB108" s="1" t="n">
        <f aca="false">AA108-Z108</f>
        <v>0</v>
      </c>
      <c r="AC108" s="1" t="e">
        <f aca="true">_xlfn.AGGREGATE(1,6,OFFSET($R$5,H108,0,1,$J$2))</f>
        <v>#DIV/0!</v>
      </c>
    </row>
    <row r="109" customFormat="false" ht="14.25" hidden="false" customHeight="false" outlineLevel="0" collapsed="false">
      <c r="H109" s="1" t="n">
        <f aca="false">H108+1</f>
        <v>104</v>
      </c>
      <c r="I109" s="1" t="n">
        <f aca="false">DAY(K109)</f>
        <v>13</v>
      </c>
      <c r="J109" s="1" t="n">
        <f aca="false">MONTH(K109)</f>
        <v>4</v>
      </c>
      <c r="K109" s="23" t="n">
        <f aca="false">K108+1</f>
        <v>36629</v>
      </c>
      <c r="L109" s="24" t="n">
        <f aca="true">IF(TODAY()&lt;DATE($N$5,J109,I109),1000000,-1000000)</f>
        <v>-1000000</v>
      </c>
      <c r="M109" s="1" t="e">
        <f aca="false">IF(K109&gt;0,INDEX(big_daily_table,MATCH(DATE(N$5,$J109,$I109),daily_dates,0),MATCH($B$3,daily_items,0)),NA())</f>
        <v>#N/A</v>
      </c>
      <c r="N109" s="1" t="e">
        <f aca="false">IF(L109&lt;0,INDEX(big_daily_table,MATCH(DATE(N$5,$J109,$I109),daily_dates,0),MATCH($B$3,daily_items,0)),NA())</f>
        <v>#N/A</v>
      </c>
      <c r="O109" s="1" t="e">
        <f aca="false">IF(ISBLANK(INDEX(big_daily_table,MATCH(DATE(O$5,$J109,$I109),daily_dates,0),MATCH($B$3,daily_items,0))),NA(),INDEX(big_daily_table,MATCH(DATE(O$5,$J109,$I109),daily_dates,0),MATCH($B$3,daily_items,0)))</f>
        <v>#N/A</v>
      </c>
      <c r="P109" s="1" t="e">
        <f aca="false">IF(ISBLANK(INDEX(big_daily_table,MATCH(DATE(P$5,$J109,$I109),daily_dates,0),MATCH($B$3,daily_items,0))),NA(),INDEX(big_daily_table,MATCH(DATE(P$5,$J109,$I109),daily_dates,0),MATCH($B$3,daily_items,0)))</f>
        <v>#N/A</v>
      </c>
      <c r="Q109" s="1" t="e">
        <f aca="false">IF(ISBLANK(INDEX(big_daily_table,MATCH(DATE(Q$5,$J109,$I109),daily_dates,0),MATCH($B$3,daily_items,0))),NA(),INDEX(big_daily_table,MATCH(DATE(Q$5,$J109,$I109),daily_dates,0),MATCH($B$3,daily_items,0)))</f>
        <v>#N/A</v>
      </c>
      <c r="R109" s="1" t="e">
        <f aca="false">IF(ISBLANK(INDEX(big_daily_table,MATCH(DATE(R$5,$J109,$I109),daily_dates,0),MATCH($B$3,daily_items,0))),NA(),INDEX(big_daily_table,MATCH(DATE(R$5,$J109,$I109),daily_dates,0),MATCH($B$3,daily_items,0)))</f>
        <v>#N/A</v>
      </c>
      <c r="S109" s="1" t="e">
        <f aca="false">IF(ISBLANK(INDEX(big_daily_table,MATCH(DATE(S$5,$J109,$I109),daily_dates,0),MATCH($B$3,daily_items,0))),NA(),INDEX(big_daily_table,MATCH(DATE(S$5,$J109,$I109),daily_dates,0),MATCH($B$3,daily_items,0)))</f>
        <v>#N/A</v>
      </c>
      <c r="T109" s="1" t="e">
        <f aca="false">IF(ISBLANK(INDEX(big_daily_table,MATCH(DATE(T$5,$J109,$I109),daily_dates,0),MATCH($B$3,daily_items,0))),NA(),INDEX(big_daily_table,MATCH(DATE(T$5,$J109,$I109),daily_dates,0),MATCH($B$3,daily_items,0)))</f>
        <v>#N/A</v>
      </c>
      <c r="U109" s="1" t="e">
        <f aca="false">IF(ISBLANK(INDEX(big_daily_table,MATCH(DATE(U$5,$J109,$I109),daily_dates,0),MATCH($B$3,daily_items,0))),NA(),INDEX(big_daily_table,MATCH(DATE(U$5,$J109,$I109),daily_dates,0),MATCH($B$3,daily_items,0)))</f>
        <v>#N/A</v>
      </c>
      <c r="V109" s="1" t="e">
        <f aca="false">IF(ISBLANK(INDEX(big_daily_table,MATCH(DATE(V$5,$J109,$I109),daily_dates,0),MATCH($B$3,daily_items,0))),NA(),INDEX(big_daily_table,MATCH(DATE(V$5,$J109,$I109),daily_dates,0),MATCH($B$3,daily_items,0)))</f>
        <v>#N/A</v>
      </c>
      <c r="W109" s="1" t="e">
        <f aca="false">IF(ISBLANK(INDEX(big_daily_table,MATCH(DATE(W$5,$J109,$I109),daily_dates,0),MATCH($B$3,daily_items,0))),NA(),INDEX(big_daily_table,MATCH(DATE(W$5,$J109,$I109),daily_dates,0),MATCH($B$3,daily_items,0)))</f>
        <v>#N/A</v>
      </c>
      <c r="X109" s="1" t="e">
        <f aca="false">IF(ISBLANK(INDEX(big_daily_table,MATCH(DATE(X$5,$J109,$I109),daily_dates,0),MATCH($B$3,daily_items,0))),NA(),INDEX(big_daily_table,MATCH(DATE(X$5,$J109,$I109),daily_dates,0),MATCH($B$3,daily_items,0)))</f>
        <v>#N/A</v>
      </c>
      <c r="Y109" s="1" t="e">
        <f aca="false">IF(ISBLANK(INDEX(big_daily_table,MATCH(DATE(Y$5,$J109,$I109),daily_dates,0),MATCH($B$3,daily_items,0))),NA(),INDEX(big_daily_table,MATCH(DATE(Y$5,$J109,$I109),daily_dates,0),MATCH($B$3,daily_items,0)))</f>
        <v>#N/A</v>
      </c>
      <c r="Z109" s="1" t="n">
        <f aca="true">_xlfn.AGGREGATE(5,6,OFFSET($R$5,H109,0,1,$J$2))</f>
        <v>0</v>
      </c>
      <c r="AA109" s="1" t="n">
        <f aca="true">_xlfn.AGGREGATE(4,6,OFFSET($R$5,H109,0,1,$J$2))</f>
        <v>0</v>
      </c>
      <c r="AB109" s="1" t="n">
        <f aca="false">AA109-Z109</f>
        <v>0</v>
      </c>
      <c r="AC109" s="1" t="e">
        <f aca="true">_xlfn.AGGREGATE(1,6,OFFSET($R$5,H109,0,1,$J$2))</f>
        <v>#DIV/0!</v>
      </c>
    </row>
    <row r="110" customFormat="false" ht="14.25" hidden="false" customHeight="false" outlineLevel="0" collapsed="false">
      <c r="H110" s="1" t="n">
        <f aca="false">H109+1</f>
        <v>105</v>
      </c>
      <c r="I110" s="1" t="n">
        <f aca="false">DAY(K110)</f>
        <v>14</v>
      </c>
      <c r="J110" s="1" t="n">
        <f aca="false">MONTH(K110)</f>
        <v>4</v>
      </c>
      <c r="K110" s="23" t="n">
        <f aca="false">K109+1</f>
        <v>36630</v>
      </c>
      <c r="L110" s="24" t="n">
        <f aca="true">IF(TODAY()&lt;DATE($N$5,J110,I110),1000000,-1000000)</f>
        <v>-1000000</v>
      </c>
      <c r="M110" s="1" t="e">
        <f aca="false">IF(K110&gt;0,INDEX(big_daily_table,MATCH(DATE(N$5,$J110,$I110),daily_dates,0),MATCH($B$3,daily_items,0)),NA())</f>
        <v>#N/A</v>
      </c>
      <c r="N110" s="1" t="e">
        <f aca="false">IF(L110&lt;0,INDEX(big_daily_table,MATCH(DATE(N$5,$J110,$I110),daily_dates,0),MATCH($B$3,daily_items,0)),NA())</f>
        <v>#N/A</v>
      </c>
      <c r="O110" s="1" t="e">
        <f aca="false">IF(ISBLANK(INDEX(big_daily_table,MATCH(DATE(O$5,$J110,$I110),daily_dates,0),MATCH($B$3,daily_items,0))),NA(),INDEX(big_daily_table,MATCH(DATE(O$5,$J110,$I110),daily_dates,0),MATCH($B$3,daily_items,0)))</f>
        <v>#N/A</v>
      </c>
      <c r="P110" s="1" t="e">
        <f aca="false">IF(ISBLANK(INDEX(big_daily_table,MATCH(DATE(P$5,$J110,$I110),daily_dates,0),MATCH($B$3,daily_items,0))),NA(),INDEX(big_daily_table,MATCH(DATE(P$5,$J110,$I110),daily_dates,0),MATCH($B$3,daily_items,0)))</f>
        <v>#N/A</v>
      </c>
      <c r="Q110" s="1" t="e">
        <f aca="false">IF(ISBLANK(INDEX(big_daily_table,MATCH(DATE(Q$5,$J110,$I110),daily_dates,0),MATCH($B$3,daily_items,0))),NA(),INDEX(big_daily_table,MATCH(DATE(Q$5,$J110,$I110),daily_dates,0),MATCH($B$3,daily_items,0)))</f>
        <v>#N/A</v>
      </c>
      <c r="R110" s="1" t="e">
        <f aca="false">IF(ISBLANK(INDEX(big_daily_table,MATCH(DATE(R$5,$J110,$I110),daily_dates,0),MATCH($B$3,daily_items,0))),NA(),INDEX(big_daily_table,MATCH(DATE(R$5,$J110,$I110),daily_dates,0),MATCH($B$3,daily_items,0)))</f>
        <v>#N/A</v>
      </c>
      <c r="S110" s="1" t="e">
        <f aca="false">IF(ISBLANK(INDEX(big_daily_table,MATCH(DATE(S$5,$J110,$I110),daily_dates,0),MATCH($B$3,daily_items,0))),NA(),INDEX(big_daily_table,MATCH(DATE(S$5,$J110,$I110),daily_dates,0),MATCH($B$3,daily_items,0)))</f>
        <v>#N/A</v>
      </c>
      <c r="T110" s="1" t="e">
        <f aca="false">IF(ISBLANK(INDEX(big_daily_table,MATCH(DATE(T$5,$J110,$I110),daily_dates,0),MATCH($B$3,daily_items,0))),NA(),INDEX(big_daily_table,MATCH(DATE(T$5,$J110,$I110),daily_dates,0),MATCH($B$3,daily_items,0)))</f>
        <v>#N/A</v>
      </c>
      <c r="U110" s="1" t="e">
        <f aca="false">IF(ISBLANK(INDEX(big_daily_table,MATCH(DATE(U$5,$J110,$I110),daily_dates,0),MATCH($B$3,daily_items,0))),NA(),INDEX(big_daily_table,MATCH(DATE(U$5,$J110,$I110),daily_dates,0),MATCH($B$3,daily_items,0)))</f>
        <v>#N/A</v>
      </c>
      <c r="V110" s="1" t="e">
        <f aca="false">IF(ISBLANK(INDEX(big_daily_table,MATCH(DATE(V$5,$J110,$I110),daily_dates,0),MATCH($B$3,daily_items,0))),NA(),INDEX(big_daily_table,MATCH(DATE(V$5,$J110,$I110),daily_dates,0),MATCH($B$3,daily_items,0)))</f>
        <v>#N/A</v>
      </c>
      <c r="W110" s="1" t="e">
        <f aca="false">IF(ISBLANK(INDEX(big_daily_table,MATCH(DATE(W$5,$J110,$I110),daily_dates,0),MATCH($B$3,daily_items,0))),NA(),INDEX(big_daily_table,MATCH(DATE(W$5,$J110,$I110),daily_dates,0),MATCH($B$3,daily_items,0)))</f>
        <v>#N/A</v>
      </c>
      <c r="X110" s="1" t="e">
        <f aca="false">IF(ISBLANK(INDEX(big_daily_table,MATCH(DATE(X$5,$J110,$I110),daily_dates,0),MATCH($B$3,daily_items,0))),NA(),INDEX(big_daily_table,MATCH(DATE(X$5,$J110,$I110),daily_dates,0),MATCH($B$3,daily_items,0)))</f>
        <v>#N/A</v>
      </c>
      <c r="Y110" s="1" t="e">
        <f aca="false">IF(ISBLANK(INDEX(big_daily_table,MATCH(DATE(Y$5,$J110,$I110),daily_dates,0),MATCH($B$3,daily_items,0))),NA(),INDEX(big_daily_table,MATCH(DATE(Y$5,$J110,$I110),daily_dates,0),MATCH($B$3,daily_items,0)))</f>
        <v>#N/A</v>
      </c>
      <c r="Z110" s="1" t="n">
        <f aca="true">_xlfn.AGGREGATE(5,6,OFFSET($R$5,H110,0,1,$J$2))</f>
        <v>0</v>
      </c>
      <c r="AA110" s="1" t="n">
        <f aca="true">_xlfn.AGGREGATE(4,6,OFFSET($R$5,H110,0,1,$J$2))</f>
        <v>0</v>
      </c>
      <c r="AB110" s="1" t="n">
        <f aca="false">AA110-Z110</f>
        <v>0</v>
      </c>
      <c r="AC110" s="1" t="e">
        <f aca="true">_xlfn.AGGREGATE(1,6,OFFSET($R$5,H110,0,1,$J$2))</f>
        <v>#DIV/0!</v>
      </c>
    </row>
    <row r="111" customFormat="false" ht="14.25" hidden="false" customHeight="false" outlineLevel="0" collapsed="false">
      <c r="H111" s="1" t="n">
        <f aca="false">H110+1</f>
        <v>106</v>
      </c>
      <c r="I111" s="1" t="n">
        <f aca="false">DAY(K111)</f>
        <v>15</v>
      </c>
      <c r="J111" s="1" t="n">
        <f aca="false">MONTH(K111)</f>
        <v>4</v>
      </c>
      <c r="K111" s="23" t="n">
        <f aca="false">K110+1</f>
        <v>36631</v>
      </c>
      <c r="L111" s="24" t="n">
        <f aca="true">IF(TODAY()&lt;DATE($N$5,J111,I111),1000000,-1000000)</f>
        <v>-1000000</v>
      </c>
      <c r="M111" s="1" t="e">
        <f aca="false">IF(K111&gt;0,INDEX(big_daily_table,MATCH(DATE(N$5,$J111,$I111),daily_dates,0),MATCH($B$3,daily_items,0)),NA())</f>
        <v>#N/A</v>
      </c>
      <c r="N111" s="1" t="e">
        <f aca="false">IF(L111&lt;0,INDEX(big_daily_table,MATCH(DATE(N$5,$J111,$I111),daily_dates,0),MATCH($B$3,daily_items,0)),NA())</f>
        <v>#N/A</v>
      </c>
      <c r="O111" s="1" t="e">
        <f aca="false">IF(ISBLANK(INDEX(big_daily_table,MATCH(DATE(O$5,$J111,$I111),daily_dates,0),MATCH($B$3,daily_items,0))),NA(),INDEX(big_daily_table,MATCH(DATE(O$5,$J111,$I111),daily_dates,0),MATCH($B$3,daily_items,0)))</f>
        <v>#N/A</v>
      </c>
      <c r="P111" s="1" t="e">
        <f aca="false">IF(ISBLANK(INDEX(big_daily_table,MATCH(DATE(P$5,$J111,$I111),daily_dates,0),MATCH($B$3,daily_items,0))),NA(),INDEX(big_daily_table,MATCH(DATE(P$5,$J111,$I111),daily_dates,0),MATCH($B$3,daily_items,0)))</f>
        <v>#N/A</v>
      </c>
      <c r="Q111" s="1" t="e">
        <f aca="false">IF(ISBLANK(INDEX(big_daily_table,MATCH(DATE(Q$5,$J111,$I111),daily_dates,0),MATCH($B$3,daily_items,0))),NA(),INDEX(big_daily_table,MATCH(DATE(Q$5,$J111,$I111),daily_dates,0),MATCH($B$3,daily_items,0)))</f>
        <v>#N/A</v>
      </c>
      <c r="R111" s="1" t="e">
        <f aca="false">IF(ISBLANK(INDEX(big_daily_table,MATCH(DATE(R$5,$J111,$I111),daily_dates,0),MATCH($B$3,daily_items,0))),NA(),INDEX(big_daily_table,MATCH(DATE(R$5,$J111,$I111),daily_dates,0),MATCH($B$3,daily_items,0)))</f>
        <v>#N/A</v>
      </c>
      <c r="S111" s="1" t="e">
        <f aca="false">IF(ISBLANK(INDEX(big_daily_table,MATCH(DATE(S$5,$J111,$I111),daily_dates,0),MATCH($B$3,daily_items,0))),NA(),INDEX(big_daily_table,MATCH(DATE(S$5,$J111,$I111),daily_dates,0),MATCH($B$3,daily_items,0)))</f>
        <v>#N/A</v>
      </c>
      <c r="T111" s="1" t="e">
        <f aca="false">IF(ISBLANK(INDEX(big_daily_table,MATCH(DATE(T$5,$J111,$I111),daily_dates,0),MATCH($B$3,daily_items,0))),NA(),INDEX(big_daily_table,MATCH(DATE(T$5,$J111,$I111),daily_dates,0),MATCH($B$3,daily_items,0)))</f>
        <v>#N/A</v>
      </c>
      <c r="U111" s="1" t="e">
        <f aca="false">IF(ISBLANK(INDEX(big_daily_table,MATCH(DATE(U$5,$J111,$I111),daily_dates,0),MATCH($B$3,daily_items,0))),NA(),INDEX(big_daily_table,MATCH(DATE(U$5,$J111,$I111),daily_dates,0),MATCH($B$3,daily_items,0)))</f>
        <v>#N/A</v>
      </c>
      <c r="V111" s="1" t="e">
        <f aca="false">IF(ISBLANK(INDEX(big_daily_table,MATCH(DATE(V$5,$J111,$I111),daily_dates,0),MATCH($B$3,daily_items,0))),NA(),INDEX(big_daily_table,MATCH(DATE(V$5,$J111,$I111),daily_dates,0),MATCH($B$3,daily_items,0)))</f>
        <v>#N/A</v>
      </c>
      <c r="W111" s="1" t="e">
        <f aca="false">IF(ISBLANK(INDEX(big_daily_table,MATCH(DATE(W$5,$J111,$I111),daily_dates,0),MATCH($B$3,daily_items,0))),NA(),INDEX(big_daily_table,MATCH(DATE(W$5,$J111,$I111),daily_dates,0),MATCH($B$3,daily_items,0)))</f>
        <v>#N/A</v>
      </c>
      <c r="X111" s="1" t="e">
        <f aca="false">IF(ISBLANK(INDEX(big_daily_table,MATCH(DATE(X$5,$J111,$I111),daily_dates,0),MATCH($B$3,daily_items,0))),NA(),INDEX(big_daily_table,MATCH(DATE(X$5,$J111,$I111),daily_dates,0),MATCH($B$3,daily_items,0)))</f>
        <v>#N/A</v>
      </c>
      <c r="Y111" s="1" t="e">
        <f aca="false">IF(ISBLANK(INDEX(big_daily_table,MATCH(DATE(Y$5,$J111,$I111),daily_dates,0),MATCH($B$3,daily_items,0))),NA(),INDEX(big_daily_table,MATCH(DATE(Y$5,$J111,$I111),daily_dates,0),MATCH($B$3,daily_items,0)))</f>
        <v>#N/A</v>
      </c>
      <c r="Z111" s="1" t="n">
        <f aca="true">_xlfn.AGGREGATE(5,6,OFFSET($R$5,H111,0,1,$J$2))</f>
        <v>0</v>
      </c>
      <c r="AA111" s="1" t="n">
        <f aca="true">_xlfn.AGGREGATE(4,6,OFFSET($R$5,H111,0,1,$J$2))</f>
        <v>0</v>
      </c>
      <c r="AB111" s="1" t="n">
        <f aca="false">AA111-Z111</f>
        <v>0</v>
      </c>
      <c r="AC111" s="1" t="e">
        <f aca="true">_xlfn.AGGREGATE(1,6,OFFSET($R$5,H111,0,1,$J$2))</f>
        <v>#DIV/0!</v>
      </c>
    </row>
    <row r="112" customFormat="false" ht="14.25" hidden="false" customHeight="false" outlineLevel="0" collapsed="false">
      <c r="H112" s="1" t="n">
        <f aca="false">H111+1</f>
        <v>107</v>
      </c>
      <c r="I112" s="1" t="n">
        <f aca="false">DAY(K112)</f>
        <v>16</v>
      </c>
      <c r="J112" s="1" t="n">
        <f aca="false">MONTH(K112)</f>
        <v>4</v>
      </c>
      <c r="K112" s="23" t="n">
        <f aca="false">K111+1</f>
        <v>36632</v>
      </c>
      <c r="L112" s="24" t="n">
        <f aca="true">IF(TODAY()&lt;DATE($N$5,J112,I112),1000000,-1000000)</f>
        <v>-1000000</v>
      </c>
      <c r="M112" s="1" t="e">
        <f aca="false">IF(K112&gt;0,INDEX(big_daily_table,MATCH(DATE(N$5,$J112,$I112),daily_dates,0),MATCH($B$3,daily_items,0)),NA())</f>
        <v>#N/A</v>
      </c>
      <c r="N112" s="1" t="e">
        <f aca="false">IF(L112&lt;0,INDEX(big_daily_table,MATCH(DATE(N$5,$J112,$I112),daily_dates,0),MATCH($B$3,daily_items,0)),NA())</f>
        <v>#N/A</v>
      </c>
      <c r="O112" s="1" t="e">
        <f aca="false">IF(ISBLANK(INDEX(big_daily_table,MATCH(DATE(O$5,$J112,$I112),daily_dates,0),MATCH($B$3,daily_items,0))),NA(),INDEX(big_daily_table,MATCH(DATE(O$5,$J112,$I112),daily_dates,0),MATCH($B$3,daily_items,0)))</f>
        <v>#N/A</v>
      </c>
      <c r="P112" s="1" t="e">
        <f aca="false">IF(ISBLANK(INDEX(big_daily_table,MATCH(DATE(P$5,$J112,$I112),daily_dates,0),MATCH($B$3,daily_items,0))),NA(),INDEX(big_daily_table,MATCH(DATE(P$5,$J112,$I112),daily_dates,0),MATCH($B$3,daily_items,0)))</f>
        <v>#N/A</v>
      </c>
      <c r="Q112" s="1" t="e">
        <f aca="false">IF(ISBLANK(INDEX(big_daily_table,MATCH(DATE(Q$5,$J112,$I112),daily_dates,0),MATCH($B$3,daily_items,0))),NA(),INDEX(big_daily_table,MATCH(DATE(Q$5,$J112,$I112),daily_dates,0),MATCH($B$3,daily_items,0)))</f>
        <v>#N/A</v>
      </c>
      <c r="R112" s="1" t="e">
        <f aca="false">IF(ISBLANK(INDEX(big_daily_table,MATCH(DATE(R$5,$J112,$I112),daily_dates,0),MATCH($B$3,daily_items,0))),NA(),INDEX(big_daily_table,MATCH(DATE(R$5,$J112,$I112),daily_dates,0),MATCH($B$3,daily_items,0)))</f>
        <v>#N/A</v>
      </c>
      <c r="S112" s="1" t="e">
        <f aca="false">IF(ISBLANK(INDEX(big_daily_table,MATCH(DATE(S$5,$J112,$I112),daily_dates,0),MATCH($B$3,daily_items,0))),NA(),INDEX(big_daily_table,MATCH(DATE(S$5,$J112,$I112),daily_dates,0),MATCH($B$3,daily_items,0)))</f>
        <v>#N/A</v>
      </c>
      <c r="T112" s="1" t="e">
        <f aca="false">IF(ISBLANK(INDEX(big_daily_table,MATCH(DATE(T$5,$J112,$I112),daily_dates,0),MATCH($B$3,daily_items,0))),NA(),INDEX(big_daily_table,MATCH(DATE(T$5,$J112,$I112),daily_dates,0),MATCH($B$3,daily_items,0)))</f>
        <v>#N/A</v>
      </c>
      <c r="U112" s="1" t="e">
        <f aca="false">IF(ISBLANK(INDEX(big_daily_table,MATCH(DATE(U$5,$J112,$I112),daily_dates,0),MATCH($B$3,daily_items,0))),NA(),INDEX(big_daily_table,MATCH(DATE(U$5,$J112,$I112),daily_dates,0),MATCH($B$3,daily_items,0)))</f>
        <v>#N/A</v>
      </c>
      <c r="V112" s="1" t="e">
        <f aca="false">IF(ISBLANK(INDEX(big_daily_table,MATCH(DATE(V$5,$J112,$I112),daily_dates,0),MATCH($B$3,daily_items,0))),NA(),INDEX(big_daily_table,MATCH(DATE(V$5,$J112,$I112),daily_dates,0),MATCH($B$3,daily_items,0)))</f>
        <v>#N/A</v>
      </c>
      <c r="W112" s="1" t="e">
        <f aca="false">IF(ISBLANK(INDEX(big_daily_table,MATCH(DATE(W$5,$J112,$I112),daily_dates,0),MATCH($B$3,daily_items,0))),NA(),INDEX(big_daily_table,MATCH(DATE(W$5,$J112,$I112),daily_dates,0),MATCH($B$3,daily_items,0)))</f>
        <v>#N/A</v>
      </c>
      <c r="X112" s="1" t="e">
        <f aca="false">IF(ISBLANK(INDEX(big_daily_table,MATCH(DATE(X$5,$J112,$I112),daily_dates,0),MATCH($B$3,daily_items,0))),NA(),INDEX(big_daily_table,MATCH(DATE(X$5,$J112,$I112),daily_dates,0),MATCH($B$3,daily_items,0)))</f>
        <v>#N/A</v>
      </c>
      <c r="Y112" s="1" t="e">
        <f aca="false">IF(ISBLANK(INDEX(big_daily_table,MATCH(DATE(Y$5,$J112,$I112),daily_dates,0),MATCH($B$3,daily_items,0))),NA(),INDEX(big_daily_table,MATCH(DATE(Y$5,$J112,$I112),daily_dates,0),MATCH($B$3,daily_items,0)))</f>
        <v>#N/A</v>
      </c>
      <c r="Z112" s="1" t="n">
        <f aca="true">_xlfn.AGGREGATE(5,6,OFFSET($R$5,H112,0,1,$J$2))</f>
        <v>0</v>
      </c>
      <c r="AA112" s="1" t="n">
        <f aca="true">_xlfn.AGGREGATE(4,6,OFFSET($R$5,H112,0,1,$J$2))</f>
        <v>0</v>
      </c>
      <c r="AB112" s="1" t="n">
        <f aca="false">AA112-Z112</f>
        <v>0</v>
      </c>
      <c r="AC112" s="1" t="e">
        <f aca="true">_xlfn.AGGREGATE(1,6,OFFSET($R$5,H112,0,1,$J$2))</f>
        <v>#DIV/0!</v>
      </c>
    </row>
    <row r="113" customFormat="false" ht="14.25" hidden="false" customHeight="false" outlineLevel="0" collapsed="false">
      <c r="H113" s="1" t="n">
        <f aca="false">H112+1</f>
        <v>108</v>
      </c>
      <c r="I113" s="1" t="n">
        <f aca="false">DAY(K113)</f>
        <v>17</v>
      </c>
      <c r="J113" s="1" t="n">
        <f aca="false">MONTH(K113)</f>
        <v>4</v>
      </c>
      <c r="K113" s="23" t="n">
        <f aca="false">K112+1</f>
        <v>36633</v>
      </c>
      <c r="L113" s="24" t="n">
        <f aca="true">IF(TODAY()&lt;DATE($N$5,J113,I113),1000000,-1000000)</f>
        <v>-1000000</v>
      </c>
      <c r="M113" s="1" t="e">
        <f aca="false">IF(K113&gt;0,INDEX(big_daily_table,MATCH(DATE(N$5,$J113,$I113),daily_dates,0),MATCH($B$3,daily_items,0)),NA())</f>
        <v>#N/A</v>
      </c>
      <c r="N113" s="1" t="e">
        <f aca="false">IF(L113&lt;0,INDEX(big_daily_table,MATCH(DATE(N$5,$J113,$I113),daily_dates,0),MATCH($B$3,daily_items,0)),NA())</f>
        <v>#N/A</v>
      </c>
      <c r="O113" s="1" t="e">
        <f aca="false">IF(ISBLANK(INDEX(big_daily_table,MATCH(DATE(O$5,$J113,$I113),daily_dates,0),MATCH($B$3,daily_items,0))),NA(),INDEX(big_daily_table,MATCH(DATE(O$5,$J113,$I113),daily_dates,0),MATCH($B$3,daily_items,0)))</f>
        <v>#N/A</v>
      </c>
      <c r="P113" s="1" t="e">
        <f aca="false">IF(ISBLANK(INDEX(big_daily_table,MATCH(DATE(P$5,$J113,$I113),daily_dates,0),MATCH($B$3,daily_items,0))),NA(),INDEX(big_daily_table,MATCH(DATE(P$5,$J113,$I113),daily_dates,0),MATCH($B$3,daily_items,0)))</f>
        <v>#N/A</v>
      </c>
      <c r="Q113" s="1" t="e">
        <f aca="false">IF(ISBLANK(INDEX(big_daily_table,MATCH(DATE(Q$5,$J113,$I113),daily_dates,0),MATCH($B$3,daily_items,0))),NA(),INDEX(big_daily_table,MATCH(DATE(Q$5,$J113,$I113),daily_dates,0),MATCH($B$3,daily_items,0)))</f>
        <v>#N/A</v>
      </c>
      <c r="R113" s="1" t="e">
        <f aca="false">IF(ISBLANK(INDEX(big_daily_table,MATCH(DATE(R$5,$J113,$I113),daily_dates,0),MATCH($B$3,daily_items,0))),NA(),INDEX(big_daily_table,MATCH(DATE(R$5,$J113,$I113),daily_dates,0),MATCH($B$3,daily_items,0)))</f>
        <v>#N/A</v>
      </c>
      <c r="S113" s="1" t="e">
        <f aca="false">IF(ISBLANK(INDEX(big_daily_table,MATCH(DATE(S$5,$J113,$I113),daily_dates,0),MATCH($B$3,daily_items,0))),NA(),INDEX(big_daily_table,MATCH(DATE(S$5,$J113,$I113),daily_dates,0),MATCH($B$3,daily_items,0)))</f>
        <v>#N/A</v>
      </c>
      <c r="T113" s="1" t="e">
        <f aca="false">IF(ISBLANK(INDEX(big_daily_table,MATCH(DATE(T$5,$J113,$I113),daily_dates,0),MATCH($B$3,daily_items,0))),NA(),INDEX(big_daily_table,MATCH(DATE(T$5,$J113,$I113),daily_dates,0),MATCH($B$3,daily_items,0)))</f>
        <v>#N/A</v>
      </c>
      <c r="U113" s="1" t="e">
        <f aca="false">IF(ISBLANK(INDEX(big_daily_table,MATCH(DATE(U$5,$J113,$I113),daily_dates,0),MATCH($B$3,daily_items,0))),NA(),INDEX(big_daily_table,MATCH(DATE(U$5,$J113,$I113),daily_dates,0),MATCH($B$3,daily_items,0)))</f>
        <v>#N/A</v>
      </c>
      <c r="V113" s="1" t="e">
        <f aca="false">IF(ISBLANK(INDEX(big_daily_table,MATCH(DATE(V$5,$J113,$I113),daily_dates,0),MATCH($B$3,daily_items,0))),NA(),INDEX(big_daily_table,MATCH(DATE(V$5,$J113,$I113),daily_dates,0),MATCH($B$3,daily_items,0)))</f>
        <v>#N/A</v>
      </c>
      <c r="W113" s="1" t="e">
        <f aca="false">IF(ISBLANK(INDEX(big_daily_table,MATCH(DATE(W$5,$J113,$I113),daily_dates,0),MATCH($B$3,daily_items,0))),NA(),INDEX(big_daily_table,MATCH(DATE(W$5,$J113,$I113),daily_dates,0),MATCH($B$3,daily_items,0)))</f>
        <v>#N/A</v>
      </c>
      <c r="X113" s="1" t="e">
        <f aca="false">IF(ISBLANK(INDEX(big_daily_table,MATCH(DATE(X$5,$J113,$I113),daily_dates,0),MATCH($B$3,daily_items,0))),NA(),INDEX(big_daily_table,MATCH(DATE(X$5,$J113,$I113),daily_dates,0),MATCH($B$3,daily_items,0)))</f>
        <v>#N/A</v>
      </c>
      <c r="Y113" s="1" t="e">
        <f aca="false">IF(ISBLANK(INDEX(big_daily_table,MATCH(DATE(Y$5,$J113,$I113),daily_dates,0),MATCH($B$3,daily_items,0))),NA(),INDEX(big_daily_table,MATCH(DATE(Y$5,$J113,$I113),daily_dates,0),MATCH($B$3,daily_items,0)))</f>
        <v>#N/A</v>
      </c>
      <c r="Z113" s="1" t="n">
        <f aca="true">_xlfn.AGGREGATE(5,6,OFFSET($R$5,H113,0,1,$J$2))</f>
        <v>0</v>
      </c>
      <c r="AA113" s="1" t="n">
        <f aca="true">_xlfn.AGGREGATE(4,6,OFFSET($R$5,H113,0,1,$J$2))</f>
        <v>0</v>
      </c>
      <c r="AB113" s="1" t="n">
        <f aca="false">AA113-Z113</f>
        <v>0</v>
      </c>
      <c r="AC113" s="1" t="e">
        <f aca="true">_xlfn.AGGREGATE(1,6,OFFSET($R$5,H113,0,1,$J$2))</f>
        <v>#DIV/0!</v>
      </c>
    </row>
    <row r="114" customFormat="false" ht="14.25" hidden="false" customHeight="false" outlineLevel="0" collapsed="false">
      <c r="H114" s="1" t="n">
        <f aca="false">H113+1</f>
        <v>109</v>
      </c>
      <c r="I114" s="1" t="n">
        <f aca="false">DAY(K114)</f>
        <v>18</v>
      </c>
      <c r="J114" s="1" t="n">
        <f aca="false">MONTH(K114)</f>
        <v>4</v>
      </c>
      <c r="K114" s="23" t="n">
        <f aca="false">K113+1</f>
        <v>36634</v>
      </c>
      <c r="L114" s="24" t="n">
        <f aca="true">IF(TODAY()&lt;DATE($N$5,J114,I114),1000000,-1000000)</f>
        <v>-1000000</v>
      </c>
      <c r="M114" s="1" t="e">
        <f aca="false">IF(K114&gt;0,INDEX(big_daily_table,MATCH(DATE(N$5,$J114,$I114),daily_dates,0),MATCH($B$3,daily_items,0)),NA())</f>
        <v>#N/A</v>
      </c>
      <c r="N114" s="1" t="e">
        <f aca="false">IF(L114&lt;0,INDEX(big_daily_table,MATCH(DATE(N$5,$J114,$I114),daily_dates,0),MATCH($B$3,daily_items,0)),NA())</f>
        <v>#N/A</v>
      </c>
      <c r="O114" s="1" t="e">
        <f aca="false">IF(ISBLANK(INDEX(big_daily_table,MATCH(DATE(O$5,$J114,$I114),daily_dates,0),MATCH($B$3,daily_items,0))),NA(),INDEX(big_daily_table,MATCH(DATE(O$5,$J114,$I114),daily_dates,0),MATCH($B$3,daily_items,0)))</f>
        <v>#N/A</v>
      </c>
      <c r="P114" s="1" t="e">
        <f aca="false">IF(ISBLANK(INDEX(big_daily_table,MATCH(DATE(P$5,$J114,$I114),daily_dates,0),MATCH($B$3,daily_items,0))),NA(),INDEX(big_daily_table,MATCH(DATE(P$5,$J114,$I114),daily_dates,0),MATCH($B$3,daily_items,0)))</f>
        <v>#N/A</v>
      </c>
      <c r="Q114" s="1" t="e">
        <f aca="false">IF(ISBLANK(INDEX(big_daily_table,MATCH(DATE(Q$5,$J114,$I114),daily_dates,0),MATCH($B$3,daily_items,0))),NA(),INDEX(big_daily_table,MATCH(DATE(Q$5,$J114,$I114),daily_dates,0),MATCH($B$3,daily_items,0)))</f>
        <v>#N/A</v>
      </c>
      <c r="R114" s="1" t="e">
        <f aca="false">IF(ISBLANK(INDEX(big_daily_table,MATCH(DATE(R$5,$J114,$I114),daily_dates,0),MATCH($B$3,daily_items,0))),NA(),INDEX(big_daily_table,MATCH(DATE(R$5,$J114,$I114),daily_dates,0),MATCH($B$3,daily_items,0)))</f>
        <v>#N/A</v>
      </c>
      <c r="S114" s="1" t="e">
        <f aca="false">IF(ISBLANK(INDEX(big_daily_table,MATCH(DATE(S$5,$J114,$I114),daily_dates,0),MATCH($B$3,daily_items,0))),NA(),INDEX(big_daily_table,MATCH(DATE(S$5,$J114,$I114),daily_dates,0),MATCH($B$3,daily_items,0)))</f>
        <v>#N/A</v>
      </c>
      <c r="T114" s="1" t="e">
        <f aca="false">IF(ISBLANK(INDEX(big_daily_table,MATCH(DATE(T$5,$J114,$I114),daily_dates,0),MATCH($B$3,daily_items,0))),NA(),INDEX(big_daily_table,MATCH(DATE(T$5,$J114,$I114),daily_dates,0),MATCH($B$3,daily_items,0)))</f>
        <v>#N/A</v>
      </c>
      <c r="U114" s="1" t="e">
        <f aca="false">IF(ISBLANK(INDEX(big_daily_table,MATCH(DATE(U$5,$J114,$I114),daily_dates,0),MATCH($B$3,daily_items,0))),NA(),INDEX(big_daily_table,MATCH(DATE(U$5,$J114,$I114),daily_dates,0),MATCH($B$3,daily_items,0)))</f>
        <v>#N/A</v>
      </c>
      <c r="V114" s="1" t="e">
        <f aca="false">IF(ISBLANK(INDEX(big_daily_table,MATCH(DATE(V$5,$J114,$I114),daily_dates,0),MATCH($B$3,daily_items,0))),NA(),INDEX(big_daily_table,MATCH(DATE(V$5,$J114,$I114),daily_dates,0),MATCH($B$3,daily_items,0)))</f>
        <v>#N/A</v>
      </c>
      <c r="W114" s="1" t="e">
        <f aca="false">IF(ISBLANK(INDEX(big_daily_table,MATCH(DATE(W$5,$J114,$I114),daily_dates,0),MATCH($B$3,daily_items,0))),NA(),INDEX(big_daily_table,MATCH(DATE(W$5,$J114,$I114),daily_dates,0),MATCH($B$3,daily_items,0)))</f>
        <v>#N/A</v>
      </c>
      <c r="X114" s="1" t="e">
        <f aca="false">IF(ISBLANK(INDEX(big_daily_table,MATCH(DATE(X$5,$J114,$I114),daily_dates,0),MATCH($B$3,daily_items,0))),NA(),INDEX(big_daily_table,MATCH(DATE(X$5,$J114,$I114),daily_dates,0),MATCH($B$3,daily_items,0)))</f>
        <v>#N/A</v>
      </c>
      <c r="Y114" s="1" t="e">
        <f aca="false">IF(ISBLANK(INDEX(big_daily_table,MATCH(DATE(Y$5,$J114,$I114),daily_dates,0),MATCH($B$3,daily_items,0))),NA(),INDEX(big_daily_table,MATCH(DATE(Y$5,$J114,$I114),daily_dates,0),MATCH($B$3,daily_items,0)))</f>
        <v>#N/A</v>
      </c>
      <c r="Z114" s="1" t="n">
        <f aca="true">_xlfn.AGGREGATE(5,6,OFFSET($R$5,H114,0,1,$J$2))</f>
        <v>0</v>
      </c>
      <c r="AA114" s="1" t="n">
        <f aca="true">_xlfn.AGGREGATE(4,6,OFFSET($R$5,H114,0,1,$J$2))</f>
        <v>0</v>
      </c>
      <c r="AB114" s="1" t="n">
        <f aca="false">AA114-Z114</f>
        <v>0</v>
      </c>
      <c r="AC114" s="1" t="e">
        <f aca="true">_xlfn.AGGREGATE(1,6,OFFSET($R$5,H114,0,1,$J$2))</f>
        <v>#DIV/0!</v>
      </c>
    </row>
    <row r="115" customFormat="false" ht="14.25" hidden="false" customHeight="false" outlineLevel="0" collapsed="false">
      <c r="H115" s="1" t="n">
        <f aca="false">H114+1</f>
        <v>110</v>
      </c>
      <c r="I115" s="1" t="n">
        <f aca="false">DAY(K115)</f>
        <v>19</v>
      </c>
      <c r="J115" s="1" t="n">
        <f aca="false">MONTH(K115)</f>
        <v>4</v>
      </c>
      <c r="K115" s="23" t="n">
        <f aca="false">K114+1</f>
        <v>36635</v>
      </c>
      <c r="L115" s="24" t="n">
        <f aca="true">IF(TODAY()&lt;DATE($N$5,J115,I115),1000000,-1000000)</f>
        <v>-1000000</v>
      </c>
      <c r="M115" s="1" t="e">
        <f aca="false">IF(K115&gt;0,INDEX(big_daily_table,MATCH(DATE(N$5,$J115,$I115),daily_dates,0),MATCH($B$3,daily_items,0)),NA())</f>
        <v>#N/A</v>
      </c>
      <c r="N115" s="1" t="e">
        <f aca="false">IF(L115&lt;0,INDEX(big_daily_table,MATCH(DATE(N$5,$J115,$I115),daily_dates,0),MATCH($B$3,daily_items,0)),NA())</f>
        <v>#N/A</v>
      </c>
      <c r="O115" s="1" t="e">
        <f aca="false">IF(ISBLANK(INDEX(big_daily_table,MATCH(DATE(O$5,$J115,$I115),daily_dates,0),MATCH($B$3,daily_items,0))),NA(),INDEX(big_daily_table,MATCH(DATE(O$5,$J115,$I115),daily_dates,0),MATCH($B$3,daily_items,0)))</f>
        <v>#N/A</v>
      </c>
      <c r="P115" s="1" t="e">
        <f aca="false">IF(ISBLANK(INDEX(big_daily_table,MATCH(DATE(P$5,$J115,$I115),daily_dates,0),MATCH($B$3,daily_items,0))),NA(),INDEX(big_daily_table,MATCH(DATE(P$5,$J115,$I115),daily_dates,0),MATCH($B$3,daily_items,0)))</f>
        <v>#N/A</v>
      </c>
      <c r="Q115" s="1" t="e">
        <f aca="false">IF(ISBLANK(INDEX(big_daily_table,MATCH(DATE(Q$5,$J115,$I115),daily_dates,0),MATCH($B$3,daily_items,0))),NA(),INDEX(big_daily_table,MATCH(DATE(Q$5,$J115,$I115),daily_dates,0),MATCH($B$3,daily_items,0)))</f>
        <v>#N/A</v>
      </c>
      <c r="R115" s="1" t="e">
        <f aca="false">IF(ISBLANK(INDEX(big_daily_table,MATCH(DATE(R$5,$J115,$I115),daily_dates,0),MATCH($B$3,daily_items,0))),NA(),INDEX(big_daily_table,MATCH(DATE(R$5,$J115,$I115),daily_dates,0),MATCH($B$3,daily_items,0)))</f>
        <v>#N/A</v>
      </c>
      <c r="S115" s="1" t="e">
        <f aca="false">IF(ISBLANK(INDEX(big_daily_table,MATCH(DATE(S$5,$J115,$I115),daily_dates,0),MATCH($B$3,daily_items,0))),NA(),INDEX(big_daily_table,MATCH(DATE(S$5,$J115,$I115),daily_dates,0),MATCH($B$3,daily_items,0)))</f>
        <v>#N/A</v>
      </c>
      <c r="T115" s="1" t="e">
        <f aca="false">IF(ISBLANK(INDEX(big_daily_table,MATCH(DATE(T$5,$J115,$I115),daily_dates,0),MATCH($B$3,daily_items,0))),NA(),INDEX(big_daily_table,MATCH(DATE(T$5,$J115,$I115),daily_dates,0),MATCH($B$3,daily_items,0)))</f>
        <v>#N/A</v>
      </c>
      <c r="U115" s="1" t="e">
        <f aca="false">IF(ISBLANK(INDEX(big_daily_table,MATCH(DATE(U$5,$J115,$I115),daily_dates,0),MATCH($B$3,daily_items,0))),NA(),INDEX(big_daily_table,MATCH(DATE(U$5,$J115,$I115),daily_dates,0),MATCH($B$3,daily_items,0)))</f>
        <v>#N/A</v>
      </c>
      <c r="V115" s="1" t="e">
        <f aca="false">IF(ISBLANK(INDEX(big_daily_table,MATCH(DATE(V$5,$J115,$I115),daily_dates,0),MATCH($B$3,daily_items,0))),NA(),INDEX(big_daily_table,MATCH(DATE(V$5,$J115,$I115),daily_dates,0),MATCH($B$3,daily_items,0)))</f>
        <v>#N/A</v>
      </c>
      <c r="W115" s="1" t="e">
        <f aca="false">IF(ISBLANK(INDEX(big_daily_table,MATCH(DATE(W$5,$J115,$I115),daily_dates,0),MATCH($B$3,daily_items,0))),NA(),INDEX(big_daily_table,MATCH(DATE(W$5,$J115,$I115),daily_dates,0),MATCH($B$3,daily_items,0)))</f>
        <v>#N/A</v>
      </c>
      <c r="X115" s="1" t="e">
        <f aca="false">IF(ISBLANK(INDEX(big_daily_table,MATCH(DATE(X$5,$J115,$I115),daily_dates,0),MATCH($B$3,daily_items,0))),NA(),INDEX(big_daily_table,MATCH(DATE(X$5,$J115,$I115),daily_dates,0),MATCH($B$3,daily_items,0)))</f>
        <v>#N/A</v>
      </c>
      <c r="Y115" s="1" t="e">
        <f aca="false">IF(ISBLANK(INDEX(big_daily_table,MATCH(DATE(Y$5,$J115,$I115),daily_dates,0),MATCH($B$3,daily_items,0))),NA(),INDEX(big_daily_table,MATCH(DATE(Y$5,$J115,$I115),daily_dates,0),MATCH($B$3,daily_items,0)))</f>
        <v>#N/A</v>
      </c>
      <c r="Z115" s="1" t="n">
        <f aca="true">_xlfn.AGGREGATE(5,6,OFFSET($R$5,H115,0,1,$J$2))</f>
        <v>0</v>
      </c>
      <c r="AA115" s="1" t="n">
        <f aca="true">_xlfn.AGGREGATE(4,6,OFFSET($R$5,H115,0,1,$J$2))</f>
        <v>0</v>
      </c>
      <c r="AB115" s="1" t="n">
        <f aca="false">AA115-Z115</f>
        <v>0</v>
      </c>
      <c r="AC115" s="1" t="e">
        <f aca="true">_xlfn.AGGREGATE(1,6,OFFSET($R$5,H115,0,1,$J$2))</f>
        <v>#DIV/0!</v>
      </c>
    </row>
    <row r="116" customFormat="false" ht="14.25" hidden="false" customHeight="false" outlineLevel="0" collapsed="false">
      <c r="H116" s="1" t="n">
        <f aca="false">H115+1</f>
        <v>111</v>
      </c>
      <c r="I116" s="1" t="n">
        <f aca="false">DAY(K116)</f>
        <v>20</v>
      </c>
      <c r="J116" s="1" t="n">
        <f aca="false">MONTH(K116)</f>
        <v>4</v>
      </c>
      <c r="K116" s="23" t="n">
        <f aca="false">K115+1</f>
        <v>36636</v>
      </c>
      <c r="L116" s="24" t="n">
        <f aca="true">IF(TODAY()&lt;DATE($N$5,J116,I116),1000000,-1000000)</f>
        <v>-1000000</v>
      </c>
      <c r="M116" s="1" t="e">
        <f aca="false">IF(K116&gt;0,INDEX(big_daily_table,MATCH(DATE(N$5,$J116,$I116),daily_dates,0),MATCH($B$3,daily_items,0)),NA())</f>
        <v>#N/A</v>
      </c>
      <c r="N116" s="1" t="e">
        <f aca="false">IF(L116&lt;0,INDEX(big_daily_table,MATCH(DATE(N$5,$J116,$I116),daily_dates,0),MATCH($B$3,daily_items,0)),NA())</f>
        <v>#N/A</v>
      </c>
      <c r="O116" s="1" t="e">
        <f aca="false">IF(ISBLANK(INDEX(big_daily_table,MATCH(DATE(O$5,$J116,$I116),daily_dates,0),MATCH($B$3,daily_items,0))),NA(),INDEX(big_daily_table,MATCH(DATE(O$5,$J116,$I116),daily_dates,0),MATCH($B$3,daily_items,0)))</f>
        <v>#N/A</v>
      </c>
      <c r="P116" s="1" t="e">
        <f aca="false">IF(ISBLANK(INDEX(big_daily_table,MATCH(DATE(P$5,$J116,$I116),daily_dates,0),MATCH($B$3,daily_items,0))),NA(),INDEX(big_daily_table,MATCH(DATE(P$5,$J116,$I116),daily_dates,0),MATCH($B$3,daily_items,0)))</f>
        <v>#N/A</v>
      </c>
      <c r="Q116" s="1" t="e">
        <f aca="false">IF(ISBLANK(INDEX(big_daily_table,MATCH(DATE(Q$5,$J116,$I116),daily_dates,0),MATCH($B$3,daily_items,0))),NA(),INDEX(big_daily_table,MATCH(DATE(Q$5,$J116,$I116),daily_dates,0),MATCH($B$3,daily_items,0)))</f>
        <v>#N/A</v>
      </c>
      <c r="R116" s="1" t="e">
        <f aca="false">IF(ISBLANK(INDEX(big_daily_table,MATCH(DATE(R$5,$J116,$I116),daily_dates,0),MATCH($B$3,daily_items,0))),NA(),INDEX(big_daily_table,MATCH(DATE(R$5,$J116,$I116),daily_dates,0),MATCH($B$3,daily_items,0)))</f>
        <v>#N/A</v>
      </c>
      <c r="S116" s="1" t="e">
        <f aca="false">IF(ISBLANK(INDEX(big_daily_table,MATCH(DATE(S$5,$J116,$I116),daily_dates,0),MATCH($B$3,daily_items,0))),NA(),INDEX(big_daily_table,MATCH(DATE(S$5,$J116,$I116),daily_dates,0),MATCH($B$3,daily_items,0)))</f>
        <v>#N/A</v>
      </c>
      <c r="T116" s="1" t="e">
        <f aca="false">IF(ISBLANK(INDEX(big_daily_table,MATCH(DATE(T$5,$J116,$I116),daily_dates,0),MATCH($B$3,daily_items,0))),NA(),INDEX(big_daily_table,MATCH(DATE(T$5,$J116,$I116),daily_dates,0),MATCH($B$3,daily_items,0)))</f>
        <v>#N/A</v>
      </c>
      <c r="U116" s="1" t="e">
        <f aca="false">IF(ISBLANK(INDEX(big_daily_table,MATCH(DATE(U$5,$J116,$I116),daily_dates,0),MATCH($B$3,daily_items,0))),NA(),INDEX(big_daily_table,MATCH(DATE(U$5,$J116,$I116),daily_dates,0),MATCH($B$3,daily_items,0)))</f>
        <v>#N/A</v>
      </c>
      <c r="V116" s="1" t="e">
        <f aca="false">IF(ISBLANK(INDEX(big_daily_table,MATCH(DATE(V$5,$J116,$I116),daily_dates,0),MATCH($B$3,daily_items,0))),NA(),INDEX(big_daily_table,MATCH(DATE(V$5,$J116,$I116),daily_dates,0),MATCH($B$3,daily_items,0)))</f>
        <v>#N/A</v>
      </c>
      <c r="W116" s="1" t="e">
        <f aca="false">IF(ISBLANK(INDEX(big_daily_table,MATCH(DATE(W$5,$J116,$I116),daily_dates,0),MATCH($B$3,daily_items,0))),NA(),INDEX(big_daily_table,MATCH(DATE(W$5,$J116,$I116),daily_dates,0),MATCH($B$3,daily_items,0)))</f>
        <v>#N/A</v>
      </c>
      <c r="X116" s="1" t="e">
        <f aca="false">IF(ISBLANK(INDEX(big_daily_table,MATCH(DATE(X$5,$J116,$I116),daily_dates,0),MATCH($B$3,daily_items,0))),NA(),INDEX(big_daily_table,MATCH(DATE(X$5,$J116,$I116),daily_dates,0),MATCH($B$3,daily_items,0)))</f>
        <v>#N/A</v>
      </c>
      <c r="Y116" s="1" t="e">
        <f aca="false">IF(ISBLANK(INDEX(big_daily_table,MATCH(DATE(Y$5,$J116,$I116),daily_dates,0),MATCH($B$3,daily_items,0))),NA(),INDEX(big_daily_table,MATCH(DATE(Y$5,$J116,$I116),daily_dates,0),MATCH($B$3,daily_items,0)))</f>
        <v>#N/A</v>
      </c>
      <c r="Z116" s="1" t="n">
        <f aca="true">_xlfn.AGGREGATE(5,6,OFFSET($R$5,H116,0,1,$J$2))</f>
        <v>0</v>
      </c>
      <c r="AA116" s="1" t="n">
        <f aca="true">_xlfn.AGGREGATE(4,6,OFFSET($R$5,H116,0,1,$J$2))</f>
        <v>0</v>
      </c>
      <c r="AB116" s="1" t="n">
        <f aca="false">AA116-Z116</f>
        <v>0</v>
      </c>
      <c r="AC116" s="1" t="e">
        <f aca="true">_xlfn.AGGREGATE(1,6,OFFSET($R$5,H116,0,1,$J$2))</f>
        <v>#DIV/0!</v>
      </c>
    </row>
    <row r="117" customFormat="false" ht="14.25" hidden="false" customHeight="false" outlineLevel="0" collapsed="false">
      <c r="H117" s="1" t="n">
        <f aca="false">H116+1</f>
        <v>112</v>
      </c>
      <c r="I117" s="1" t="n">
        <f aca="false">DAY(K117)</f>
        <v>21</v>
      </c>
      <c r="J117" s="1" t="n">
        <f aca="false">MONTH(K117)</f>
        <v>4</v>
      </c>
      <c r="K117" s="23" t="n">
        <f aca="false">K116+1</f>
        <v>36637</v>
      </c>
      <c r="L117" s="24" t="n">
        <f aca="true">IF(TODAY()&lt;DATE($N$5,J117,I117),1000000,-1000000)</f>
        <v>-1000000</v>
      </c>
      <c r="M117" s="1" t="e">
        <f aca="false">IF(K117&gt;0,INDEX(big_daily_table,MATCH(DATE(N$5,$J117,$I117),daily_dates,0),MATCH($B$3,daily_items,0)),NA())</f>
        <v>#N/A</v>
      </c>
      <c r="N117" s="1" t="e">
        <f aca="false">IF(L117&lt;0,INDEX(big_daily_table,MATCH(DATE(N$5,$J117,$I117),daily_dates,0),MATCH($B$3,daily_items,0)),NA())</f>
        <v>#N/A</v>
      </c>
      <c r="O117" s="1" t="e">
        <f aca="false">IF(ISBLANK(INDEX(big_daily_table,MATCH(DATE(O$5,$J117,$I117),daily_dates,0),MATCH($B$3,daily_items,0))),NA(),INDEX(big_daily_table,MATCH(DATE(O$5,$J117,$I117),daily_dates,0),MATCH($B$3,daily_items,0)))</f>
        <v>#N/A</v>
      </c>
      <c r="P117" s="1" t="e">
        <f aca="false">IF(ISBLANK(INDEX(big_daily_table,MATCH(DATE(P$5,$J117,$I117),daily_dates,0),MATCH($B$3,daily_items,0))),NA(),INDEX(big_daily_table,MATCH(DATE(P$5,$J117,$I117),daily_dates,0),MATCH($B$3,daily_items,0)))</f>
        <v>#N/A</v>
      </c>
      <c r="Q117" s="1" t="e">
        <f aca="false">IF(ISBLANK(INDEX(big_daily_table,MATCH(DATE(Q$5,$J117,$I117),daily_dates,0),MATCH($B$3,daily_items,0))),NA(),INDEX(big_daily_table,MATCH(DATE(Q$5,$J117,$I117),daily_dates,0),MATCH($B$3,daily_items,0)))</f>
        <v>#N/A</v>
      </c>
      <c r="R117" s="1" t="e">
        <f aca="false">IF(ISBLANK(INDEX(big_daily_table,MATCH(DATE(R$5,$J117,$I117),daily_dates,0),MATCH($B$3,daily_items,0))),NA(),INDEX(big_daily_table,MATCH(DATE(R$5,$J117,$I117),daily_dates,0),MATCH($B$3,daily_items,0)))</f>
        <v>#N/A</v>
      </c>
      <c r="S117" s="1" t="e">
        <f aca="false">IF(ISBLANK(INDEX(big_daily_table,MATCH(DATE(S$5,$J117,$I117),daily_dates,0),MATCH($B$3,daily_items,0))),NA(),INDEX(big_daily_table,MATCH(DATE(S$5,$J117,$I117),daily_dates,0),MATCH($B$3,daily_items,0)))</f>
        <v>#N/A</v>
      </c>
      <c r="T117" s="1" t="e">
        <f aca="false">IF(ISBLANK(INDEX(big_daily_table,MATCH(DATE(T$5,$J117,$I117),daily_dates,0),MATCH($B$3,daily_items,0))),NA(),INDEX(big_daily_table,MATCH(DATE(T$5,$J117,$I117),daily_dates,0),MATCH($B$3,daily_items,0)))</f>
        <v>#N/A</v>
      </c>
      <c r="U117" s="1" t="e">
        <f aca="false">IF(ISBLANK(INDEX(big_daily_table,MATCH(DATE(U$5,$J117,$I117),daily_dates,0),MATCH($B$3,daily_items,0))),NA(),INDEX(big_daily_table,MATCH(DATE(U$5,$J117,$I117),daily_dates,0),MATCH($B$3,daily_items,0)))</f>
        <v>#N/A</v>
      </c>
      <c r="V117" s="1" t="e">
        <f aca="false">IF(ISBLANK(INDEX(big_daily_table,MATCH(DATE(V$5,$J117,$I117),daily_dates,0),MATCH($B$3,daily_items,0))),NA(),INDEX(big_daily_table,MATCH(DATE(V$5,$J117,$I117),daily_dates,0),MATCH($B$3,daily_items,0)))</f>
        <v>#N/A</v>
      </c>
      <c r="W117" s="1" t="e">
        <f aca="false">IF(ISBLANK(INDEX(big_daily_table,MATCH(DATE(W$5,$J117,$I117),daily_dates,0),MATCH($B$3,daily_items,0))),NA(),INDEX(big_daily_table,MATCH(DATE(W$5,$J117,$I117),daily_dates,0),MATCH($B$3,daily_items,0)))</f>
        <v>#N/A</v>
      </c>
      <c r="X117" s="1" t="e">
        <f aca="false">IF(ISBLANK(INDEX(big_daily_table,MATCH(DATE(X$5,$J117,$I117),daily_dates,0),MATCH($B$3,daily_items,0))),NA(),INDEX(big_daily_table,MATCH(DATE(X$5,$J117,$I117),daily_dates,0),MATCH($B$3,daily_items,0)))</f>
        <v>#N/A</v>
      </c>
      <c r="Y117" s="1" t="e">
        <f aca="false">IF(ISBLANK(INDEX(big_daily_table,MATCH(DATE(Y$5,$J117,$I117),daily_dates,0),MATCH($B$3,daily_items,0))),NA(),INDEX(big_daily_table,MATCH(DATE(Y$5,$J117,$I117),daily_dates,0),MATCH($B$3,daily_items,0)))</f>
        <v>#N/A</v>
      </c>
      <c r="Z117" s="1" t="n">
        <f aca="true">_xlfn.AGGREGATE(5,6,OFFSET($R$5,H117,0,1,$J$2))</f>
        <v>0</v>
      </c>
      <c r="AA117" s="1" t="n">
        <f aca="true">_xlfn.AGGREGATE(4,6,OFFSET($R$5,H117,0,1,$J$2))</f>
        <v>0</v>
      </c>
      <c r="AB117" s="1" t="n">
        <f aca="false">AA117-Z117</f>
        <v>0</v>
      </c>
      <c r="AC117" s="1" t="e">
        <f aca="true">_xlfn.AGGREGATE(1,6,OFFSET($R$5,H117,0,1,$J$2))</f>
        <v>#DIV/0!</v>
      </c>
    </row>
    <row r="118" customFormat="false" ht="14.25" hidden="false" customHeight="false" outlineLevel="0" collapsed="false">
      <c r="H118" s="1" t="n">
        <f aca="false">H117+1</f>
        <v>113</v>
      </c>
      <c r="I118" s="1" t="n">
        <f aca="false">DAY(K118)</f>
        <v>22</v>
      </c>
      <c r="J118" s="1" t="n">
        <f aca="false">MONTH(K118)</f>
        <v>4</v>
      </c>
      <c r="K118" s="23" t="n">
        <f aca="false">K117+1</f>
        <v>36638</v>
      </c>
      <c r="L118" s="24" t="n">
        <f aca="true">IF(TODAY()&lt;DATE($N$5,J118,I118),1000000,-1000000)</f>
        <v>-1000000</v>
      </c>
      <c r="M118" s="1" t="e">
        <f aca="false">IF(K118&gt;0,INDEX(big_daily_table,MATCH(DATE(N$5,$J118,$I118),daily_dates,0),MATCH($B$3,daily_items,0)),NA())</f>
        <v>#N/A</v>
      </c>
      <c r="N118" s="1" t="e">
        <f aca="false">IF(L118&lt;0,INDEX(big_daily_table,MATCH(DATE(N$5,$J118,$I118),daily_dates,0),MATCH($B$3,daily_items,0)),NA())</f>
        <v>#N/A</v>
      </c>
      <c r="O118" s="1" t="e">
        <f aca="false">IF(ISBLANK(INDEX(big_daily_table,MATCH(DATE(O$5,$J118,$I118),daily_dates,0),MATCH($B$3,daily_items,0))),NA(),INDEX(big_daily_table,MATCH(DATE(O$5,$J118,$I118),daily_dates,0),MATCH($B$3,daily_items,0)))</f>
        <v>#N/A</v>
      </c>
      <c r="P118" s="1" t="e">
        <f aca="false">IF(ISBLANK(INDEX(big_daily_table,MATCH(DATE(P$5,$J118,$I118),daily_dates,0),MATCH($B$3,daily_items,0))),NA(),INDEX(big_daily_table,MATCH(DATE(P$5,$J118,$I118),daily_dates,0),MATCH($B$3,daily_items,0)))</f>
        <v>#N/A</v>
      </c>
      <c r="Q118" s="1" t="e">
        <f aca="false">IF(ISBLANK(INDEX(big_daily_table,MATCH(DATE(Q$5,$J118,$I118),daily_dates,0),MATCH($B$3,daily_items,0))),NA(),INDEX(big_daily_table,MATCH(DATE(Q$5,$J118,$I118),daily_dates,0),MATCH($B$3,daily_items,0)))</f>
        <v>#N/A</v>
      </c>
      <c r="R118" s="1" t="e">
        <f aca="false">IF(ISBLANK(INDEX(big_daily_table,MATCH(DATE(R$5,$J118,$I118),daily_dates,0),MATCH($B$3,daily_items,0))),NA(),INDEX(big_daily_table,MATCH(DATE(R$5,$J118,$I118),daily_dates,0),MATCH($B$3,daily_items,0)))</f>
        <v>#N/A</v>
      </c>
      <c r="S118" s="1" t="e">
        <f aca="false">IF(ISBLANK(INDEX(big_daily_table,MATCH(DATE(S$5,$J118,$I118),daily_dates,0),MATCH($B$3,daily_items,0))),NA(),INDEX(big_daily_table,MATCH(DATE(S$5,$J118,$I118),daily_dates,0),MATCH($B$3,daily_items,0)))</f>
        <v>#N/A</v>
      </c>
      <c r="T118" s="1" t="e">
        <f aca="false">IF(ISBLANK(INDEX(big_daily_table,MATCH(DATE(T$5,$J118,$I118),daily_dates,0),MATCH($B$3,daily_items,0))),NA(),INDEX(big_daily_table,MATCH(DATE(T$5,$J118,$I118),daily_dates,0),MATCH($B$3,daily_items,0)))</f>
        <v>#N/A</v>
      </c>
      <c r="U118" s="1" t="e">
        <f aca="false">IF(ISBLANK(INDEX(big_daily_table,MATCH(DATE(U$5,$J118,$I118),daily_dates,0),MATCH($B$3,daily_items,0))),NA(),INDEX(big_daily_table,MATCH(DATE(U$5,$J118,$I118),daily_dates,0),MATCH($B$3,daily_items,0)))</f>
        <v>#N/A</v>
      </c>
      <c r="V118" s="1" t="e">
        <f aca="false">IF(ISBLANK(INDEX(big_daily_table,MATCH(DATE(V$5,$J118,$I118),daily_dates,0),MATCH($B$3,daily_items,0))),NA(),INDEX(big_daily_table,MATCH(DATE(V$5,$J118,$I118),daily_dates,0),MATCH($B$3,daily_items,0)))</f>
        <v>#N/A</v>
      </c>
      <c r="W118" s="1" t="e">
        <f aca="false">IF(ISBLANK(INDEX(big_daily_table,MATCH(DATE(W$5,$J118,$I118),daily_dates,0),MATCH($B$3,daily_items,0))),NA(),INDEX(big_daily_table,MATCH(DATE(W$5,$J118,$I118),daily_dates,0),MATCH($B$3,daily_items,0)))</f>
        <v>#N/A</v>
      </c>
      <c r="X118" s="1" t="e">
        <f aca="false">IF(ISBLANK(INDEX(big_daily_table,MATCH(DATE(X$5,$J118,$I118),daily_dates,0),MATCH($B$3,daily_items,0))),NA(),INDEX(big_daily_table,MATCH(DATE(X$5,$J118,$I118),daily_dates,0),MATCH($B$3,daily_items,0)))</f>
        <v>#N/A</v>
      </c>
      <c r="Y118" s="1" t="e">
        <f aca="false">IF(ISBLANK(INDEX(big_daily_table,MATCH(DATE(Y$5,$J118,$I118),daily_dates,0),MATCH($B$3,daily_items,0))),NA(),INDEX(big_daily_table,MATCH(DATE(Y$5,$J118,$I118),daily_dates,0),MATCH($B$3,daily_items,0)))</f>
        <v>#N/A</v>
      </c>
      <c r="Z118" s="1" t="n">
        <f aca="true">_xlfn.AGGREGATE(5,6,OFFSET($R$5,H118,0,1,$J$2))</f>
        <v>0</v>
      </c>
      <c r="AA118" s="1" t="n">
        <f aca="true">_xlfn.AGGREGATE(4,6,OFFSET($R$5,H118,0,1,$J$2))</f>
        <v>0</v>
      </c>
      <c r="AB118" s="1" t="n">
        <f aca="false">AA118-Z118</f>
        <v>0</v>
      </c>
      <c r="AC118" s="1" t="e">
        <f aca="true">_xlfn.AGGREGATE(1,6,OFFSET($R$5,H118,0,1,$J$2))</f>
        <v>#DIV/0!</v>
      </c>
    </row>
    <row r="119" customFormat="false" ht="14.25" hidden="false" customHeight="false" outlineLevel="0" collapsed="false">
      <c r="H119" s="1" t="n">
        <f aca="false">H118+1</f>
        <v>114</v>
      </c>
      <c r="I119" s="1" t="n">
        <f aca="false">DAY(K119)</f>
        <v>23</v>
      </c>
      <c r="J119" s="1" t="n">
        <f aca="false">MONTH(K119)</f>
        <v>4</v>
      </c>
      <c r="K119" s="23" t="n">
        <f aca="false">K118+1</f>
        <v>36639</v>
      </c>
      <c r="L119" s="24" t="n">
        <f aca="true">IF(TODAY()&lt;DATE($N$5,J119,I119),1000000,-1000000)</f>
        <v>-1000000</v>
      </c>
      <c r="M119" s="1" t="e">
        <f aca="false">IF(K119&gt;0,INDEX(big_daily_table,MATCH(DATE(N$5,$J119,$I119),daily_dates,0),MATCH($B$3,daily_items,0)),NA())</f>
        <v>#N/A</v>
      </c>
      <c r="N119" s="1" t="e">
        <f aca="false">IF(L119&lt;0,INDEX(big_daily_table,MATCH(DATE(N$5,$J119,$I119),daily_dates,0),MATCH($B$3,daily_items,0)),NA())</f>
        <v>#N/A</v>
      </c>
      <c r="O119" s="1" t="e">
        <f aca="false">IF(ISBLANK(INDEX(big_daily_table,MATCH(DATE(O$5,$J119,$I119),daily_dates,0),MATCH($B$3,daily_items,0))),NA(),INDEX(big_daily_table,MATCH(DATE(O$5,$J119,$I119),daily_dates,0),MATCH($B$3,daily_items,0)))</f>
        <v>#N/A</v>
      </c>
      <c r="P119" s="1" t="e">
        <f aca="false">IF(ISBLANK(INDEX(big_daily_table,MATCH(DATE(P$5,$J119,$I119),daily_dates,0),MATCH($B$3,daily_items,0))),NA(),INDEX(big_daily_table,MATCH(DATE(P$5,$J119,$I119),daily_dates,0),MATCH($B$3,daily_items,0)))</f>
        <v>#N/A</v>
      </c>
      <c r="Q119" s="1" t="e">
        <f aca="false">IF(ISBLANK(INDEX(big_daily_table,MATCH(DATE(Q$5,$J119,$I119),daily_dates,0),MATCH($B$3,daily_items,0))),NA(),INDEX(big_daily_table,MATCH(DATE(Q$5,$J119,$I119),daily_dates,0),MATCH($B$3,daily_items,0)))</f>
        <v>#N/A</v>
      </c>
      <c r="R119" s="1" t="e">
        <f aca="false">IF(ISBLANK(INDEX(big_daily_table,MATCH(DATE(R$5,$J119,$I119),daily_dates,0),MATCH($B$3,daily_items,0))),NA(),INDEX(big_daily_table,MATCH(DATE(R$5,$J119,$I119),daily_dates,0),MATCH($B$3,daily_items,0)))</f>
        <v>#N/A</v>
      </c>
      <c r="S119" s="1" t="e">
        <f aca="false">IF(ISBLANK(INDEX(big_daily_table,MATCH(DATE(S$5,$J119,$I119),daily_dates,0),MATCH($B$3,daily_items,0))),NA(),INDEX(big_daily_table,MATCH(DATE(S$5,$J119,$I119),daily_dates,0),MATCH($B$3,daily_items,0)))</f>
        <v>#N/A</v>
      </c>
      <c r="T119" s="1" t="e">
        <f aca="false">IF(ISBLANK(INDEX(big_daily_table,MATCH(DATE(T$5,$J119,$I119),daily_dates,0),MATCH($B$3,daily_items,0))),NA(),INDEX(big_daily_table,MATCH(DATE(T$5,$J119,$I119),daily_dates,0),MATCH($B$3,daily_items,0)))</f>
        <v>#N/A</v>
      </c>
      <c r="U119" s="1" t="e">
        <f aca="false">IF(ISBLANK(INDEX(big_daily_table,MATCH(DATE(U$5,$J119,$I119),daily_dates,0),MATCH($B$3,daily_items,0))),NA(),INDEX(big_daily_table,MATCH(DATE(U$5,$J119,$I119),daily_dates,0),MATCH($B$3,daily_items,0)))</f>
        <v>#N/A</v>
      </c>
      <c r="V119" s="1" t="e">
        <f aca="false">IF(ISBLANK(INDEX(big_daily_table,MATCH(DATE(V$5,$J119,$I119),daily_dates,0),MATCH($B$3,daily_items,0))),NA(),INDEX(big_daily_table,MATCH(DATE(V$5,$J119,$I119),daily_dates,0),MATCH($B$3,daily_items,0)))</f>
        <v>#N/A</v>
      </c>
      <c r="W119" s="1" t="e">
        <f aca="false">IF(ISBLANK(INDEX(big_daily_table,MATCH(DATE(W$5,$J119,$I119),daily_dates,0),MATCH($B$3,daily_items,0))),NA(),INDEX(big_daily_table,MATCH(DATE(W$5,$J119,$I119),daily_dates,0),MATCH($B$3,daily_items,0)))</f>
        <v>#N/A</v>
      </c>
      <c r="X119" s="1" t="e">
        <f aca="false">IF(ISBLANK(INDEX(big_daily_table,MATCH(DATE(X$5,$J119,$I119),daily_dates,0),MATCH($B$3,daily_items,0))),NA(),INDEX(big_daily_table,MATCH(DATE(X$5,$J119,$I119),daily_dates,0),MATCH($B$3,daily_items,0)))</f>
        <v>#N/A</v>
      </c>
      <c r="Y119" s="1" t="e">
        <f aca="false">IF(ISBLANK(INDEX(big_daily_table,MATCH(DATE(Y$5,$J119,$I119),daily_dates,0),MATCH($B$3,daily_items,0))),NA(),INDEX(big_daily_table,MATCH(DATE(Y$5,$J119,$I119),daily_dates,0),MATCH($B$3,daily_items,0)))</f>
        <v>#N/A</v>
      </c>
      <c r="Z119" s="1" t="n">
        <f aca="true">_xlfn.AGGREGATE(5,6,OFFSET($R$5,H119,0,1,$J$2))</f>
        <v>0</v>
      </c>
      <c r="AA119" s="1" t="n">
        <f aca="true">_xlfn.AGGREGATE(4,6,OFFSET($R$5,H119,0,1,$J$2))</f>
        <v>0</v>
      </c>
      <c r="AB119" s="1" t="n">
        <f aca="false">AA119-Z119</f>
        <v>0</v>
      </c>
      <c r="AC119" s="1" t="e">
        <f aca="true">_xlfn.AGGREGATE(1,6,OFFSET($R$5,H119,0,1,$J$2))</f>
        <v>#DIV/0!</v>
      </c>
    </row>
    <row r="120" customFormat="false" ht="14.25" hidden="false" customHeight="false" outlineLevel="0" collapsed="false">
      <c r="H120" s="1" t="n">
        <f aca="false">H119+1</f>
        <v>115</v>
      </c>
      <c r="I120" s="1" t="n">
        <f aca="false">DAY(K120)</f>
        <v>24</v>
      </c>
      <c r="J120" s="1" t="n">
        <f aca="false">MONTH(K120)</f>
        <v>4</v>
      </c>
      <c r="K120" s="23" t="n">
        <f aca="false">K119+1</f>
        <v>36640</v>
      </c>
      <c r="L120" s="24" t="n">
        <f aca="true">IF(TODAY()&lt;DATE($N$5,J120,I120),1000000,-1000000)</f>
        <v>-1000000</v>
      </c>
      <c r="M120" s="1" t="e">
        <f aca="false">IF(K120&gt;0,INDEX(big_daily_table,MATCH(DATE(N$5,$J120,$I120),daily_dates,0),MATCH($B$3,daily_items,0)),NA())</f>
        <v>#N/A</v>
      </c>
      <c r="N120" s="1" t="e">
        <f aca="false">IF(L120&lt;0,INDEX(big_daily_table,MATCH(DATE(N$5,$J120,$I120),daily_dates,0),MATCH($B$3,daily_items,0)),NA())</f>
        <v>#N/A</v>
      </c>
      <c r="O120" s="1" t="e">
        <f aca="false">IF(ISBLANK(INDEX(big_daily_table,MATCH(DATE(O$5,$J120,$I120),daily_dates,0),MATCH($B$3,daily_items,0))),NA(),INDEX(big_daily_table,MATCH(DATE(O$5,$J120,$I120),daily_dates,0),MATCH($B$3,daily_items,0)))</f>
        <v>#N/A</v>
      </c>
      <c r="P120" s="1" t="e">
        <f aca="false">IF(ISBLANK(INDEX(big_daily_table,MATCH(DATE(P$5,$J120,$I120),daily_dates,0),MATCH($B$3,daily_items,0))),NA(),INDEX(big_daily_table,MATCH(DATE(P$5,$J120,$I120),daily_dates,0),MATCH($B$3,daily_items,0)))</f>
        <v>#N/A</v>
      </c>
      <c r="Q120" s="1" t="e">
        <f aca="false">IF(ISBLANK(INDEX(big_daily_table,MATCH(DATE(Q$5,$J120,$I120),daily_dates,0),MATCH($B$3,daily_items,0))),NA(),INDEX(big_daily_table,MATCH(DATE(Q$5,$J120,$I120),daily_dates,0),MATCH($B$3,daily_items,0)))</f>
        <v>#N/A</v>
      </c>
      <c r="R120" s="1" t="e">
        <f aca="false">IF(ISBLANK(INDEX(big_daily_table,MATCH(DATE(R$5,$J120,$I120),daily_dates,0),MATCH($B$3,daily_items,0))),NA(),INDEX(big_daily_table,MATCH(DATE(R$5,$J120,$I120),daily_dates,0),MATCH($B$3,daily_items,0)))</f>
        <v>#N/A</v>
      </c>
      <c r="S120" s="1" t="e">
        <f aca="false">IF(ISBLANK(INDEX(big_daily_table,MATCH(DATE(S$5,$J120,$I120),daily_dates,0),MATCH($B$3,daily_items,0))),NA(),INDEX(big_daily_table,MATCH(DATE(S$5,$J120,$I120),daily_dates,0),MATCH($B$3,daily_items,0)))</f>
        <v>#N/A</v>
      </c>
      <c r="T120" s="1" t="e">
        <f aca="false">IF(ISBLANK(INDEX(big_daily_table,MATCH(DATE(T$5,$J120,$I120),daily_dates,0),MATCH($B$3,daily_items,0))),NA(),INDEX(big_daily_table,MATCH(DATE(T$5,$J120,$I120),daily_dates,0),MATCH($B$3,daily_items,0)))</f>
        <v>#N/A</v>
      </c>
      <c r="U120" s="1" t="e">
        <f aca="false">IF(ISBLANK(INDEX(big_daily_table,MATCH(DATE(U$5,$J120,$I120),daily_dates,0),MATCH($B$3,daily_items,0))),NA(),INDEX(big_daily_table,MATCH(DATE(U$5,$J120,$I120),daily_dates,0),MATCH($B$3,daily_items,0)))</f>
        <v>#N/A</v>
      </c>
      <c r="V120" s="1" t="e">
        <f aca="false">IF(ISBLANK(INDEX(big_daily_table,MATCH(DATE(V$5,$J120,$I120),daily_dates,0),MATCH($B$3,daily_items,0))),NA(),INDEX(big_daily_table,MATCH(DATE(V$5,$J120,$I120),daily_dates,0),MATCH($B$3,daily_items,0)))</f>
        <v>#N/A</v>
      </c>
      <c r="W120" s="1" t="e">
        <f aca="false">IF(ISBLANK(INDEX(big_daily_table,MATCH(DATE(W$5,$J120,$I120),daily_dates,0),MATCH($B$3,daily_items,0))),NA(),INDEX(big_daily_table,MATCH(DATE(W$5,$J120,$I120),daily_dates,0),MATCH($B$3,daily_items,0)))</f>
        <v>#N/A</v>
      </c>
      <c r="X120" s="1" t="e">
        <f aca="false">IF(ISBLANK(INDEX(big_daily_table,MATCH(DATE(X$5,$J120,$I120),daily_dates,0),MATCH($B$3,daily_items,0))),NA(),INDEX(big_daily_table,MATCH(DATE(X$5,$J120,$I120),daily_dates,0),MATCH($B$3,daily_items,0)))</f>
        <v>#N/A</v>
      </c>
      <c r="Y120" s="1" t="e">
        <f aca="false">IF(ISBLANK(INDEX(big_daily_table,MATCH(DATE(Y$5,$J120,$I120),daily_dates,0),MATCH($B$3,daily_items,0))),NA(),INDEX(big_daily_table,MATCH(DATE(Y$5,$J120,$I120),daily_dates,0),MATCH($B$3,daily_items,0)))</f>
        <v>#N/A</v>
      </c>
      <c r="Z120" s="1" t="n">
        <f aca="true">_xlfn.AGGREGATE(5,6,OFFSET($R$5,H120,0,1,$J$2))</f>
        <v>0</v>
      </c>
      <c r="AA120" s="1" t="n">
        <f aca="true">_xlfn.AGGREGATE(4,6,OFFSET($R$5,H120,0,1,$J$2))</f>
        <v>0</v>
      </c>
      <c r="AB120" s="1" t="n">
        <f aca="false">AA120-Z120</f>
        <v>0</v>
      </c>
      <c r="AC120" s="1" t="e">
        <f aca="true">_xlfn.AGGREGATE(1,6,OFFSET($R$5,H120,0,1,$J$2))</f>
        <v>#DIV/0!</v>
      </c>
    </row>
    <row r="121" customFormat="false" ht="14.25" hidden="false" customHeight="false" outlineLevel="0" collapsed="false">
      <c r="H121" s="1" t="n">
        <f aca="false">H120+1</f>
        <v>116</v>
      </c>
      <c r="I121" s="1" t="n">
        <f aca="false">DAY(K121)</f>
        <v>25</v>
      </c>
      <c r="J121" s="1" t="n">
        <f aca="false">MONTH(K121)</f>
        <v>4</v>
      </c>
      <c r="K121" s="23" t="n">
        <f aca="false">K120+1</f>
        <v>36641</v>
      </c>
      <c r="L121" s="24" t="n">
        <f aca="true">IF(TODAY()&lt;DATE($N$5,J121,I121),1000000,-1000000)</f>
        <v>-1000000</v>
      </c>
      <c r="M121" s="1" t="e">
        <f aca="false">IF(K121&gt;0,INDEX(big_daily_table,MATCH(DATE(N$5,$J121,$I121),daily_dates,0),MATCH($B$3,daily_items,0)),NA())</f>
        <v>#N/A</v>
      </c>
      <c r="N121" s="1" t="e">
        <f aca="false">IF(L121&lt;0,INDEX(big_daily_table,MATCH(DATE(N$5,$J121,$I121),daily_dates,0),MATCH($B$3,daily_items,0)),NA())</f>
        <v>#N/A</v>
      </c>
      <c r="O121" s="1" t="e">
        <f aca="false">IF(ISBLANK(INDEX(big_daily_table,MATCH(DATE(O$5,$J121,$I121),daily_dates,0),MATCH($B$3,daily_items,0))),NA(),INDEX(big_daily_table,MATCH(DATE(O$5,$J121,$I121),daily_dates,0),MATCH($B$3,daily_items,0)))</f>
        <v>#N/A</v>
      </c>
      <c r="P121" s="1" t="e">
        <f aca="false">IF(ISBLANK(INDEX(big_daily_table,MATCH(DATE(P$5,$J121,$I121),daily_dates,0),MATCH($B$3,daily_items,0))),NA(),INDEX(big_daily_table,MATCH(DATE(P$5,$J121,$I121),daily_dates,0),MATCH($B$3,daily_items,0)))</f>
        <v>#N/A</v>
      </c>
      <c r="Q121" s="1" t="e">
        <f aca="false">IF(ISBLANK(INDEX(big_daily_table,MATCH(DATE(Q$5,$J121,$I121),daily_dates,0),MATCH($B$3,daily_items,0))),NA(),INDEX(big_daily_table,MATCH(DATE(Q$5,$J121,$I121),daily_dates,0),MATCH($B$3,daily_items,0)))</f>
        <v>#N/A</v>
      </c>
      <c r="R121" s="1" t="e">
        <f aca="false">IF(ISBLANK(INDEX(big_daily_table,MATCH(DATE(R$5,$J121,$I121),daily_dates,0),MATCH($B$3,daily_items,0))),NA(),INDEX(big_daily_table,MATCH(DATE(R$5,$J121,$I121),daily_dates,0),MATCH($B$3,daily_items,0)))</f>
        <v>#N/A</v>
      </c>
      <c r="S121" s="1" t="e">
        <f aca="false">IF(ISBLANK(INDEX(big_daily_table,MATCH(DATE(S$5,$J121,$I121),daily_dates,0),MATCH($B$3,daily_items,0))),NA(),INDEX(big_daily_table,MATCH(DATE(S$5,$J121,$I121),daily_dates,0),MATCH($B$3,daily_items,0)))</f>
        <v>#N/A</v>
      </c>
      <c r="T121" s="1" t="e">
        <f aca="false">IF(ISBLANK(INDEX(big_daily_table,MATCH(DATE(T$5,$J121,$I121),daily_dates,0),MATCH($B$3,daily_items,0))),NA(),INDEX(big_daily_table,MATCH(DATE(T$5,$J121,$I121),daily_dates,0),MATCH($B$3,daily_items,0)))</f>
        <v>#N/A</v>
      </c>
      <c r="U121" s="1" t="e">
        <f aca="false">IF(ISBLANK(INDEX(big_daily_table,MATCH(DATE(U$5,$J121,$I121),daily_dates,0),MATCH($B$3,daily_items,0))),NA(),INDEX(big_daily_table,MATCH(DATE(U$5,$J121,$I121),daily_dates,0),MATCH($B$3,daily_items,0)))</f>
        <v>#N/A</v>
      </c>
      <c r="V121" s="1" t="e">
        <f aca="false">IF(ISBLANK(INDEX(big_daily_table,MATCH(DATE(V$5,$J121,$I121),daily_dates,0),MATCH($B$3,daily_items,0))),NA(),INDEX(big_daily_table,MATCH(DATE(V$5,$J121,$I121),daily_dates,0),MATCH($B$3,daily_items,0)))</f>
        <v>#N/A</v>
      </c>
      <c r="W121" s="1" t="e">
        <f aca="false">IF(ISBLANK(INDEX(big_daily_table,MATCH(DATE(W$5,$J121,$I121),daily_dates,0),MATCH($B$3,daily_items,0))),NA(),INDEX(big_daily_table,MATCH(DATE(W$5,$J121,$I121),daily_dates,0),MATCH($B$3,daily_items,0)))</f>
        <v>#N/A</v>
      </c>
      <c r="X121" s="1" t="e">
        <f aca="false">IF(ISBLANK(INDEX(big_daily_table,MATCH(DATE(X$5,$J121,$I121),daily_dates,0),MATCH($B$3,daily_items,0))),NA(),INDEX(big_daily_table,MATCH(DATE(X$5,$J121,$I121),daily_dates,0),MATCH($B$3,daily_items,0)))</f>
        <v>#N/A</v>
      </c>
      <c r="Y121" s="1" t="e">
        <f aca="false">IF(ISBLANK(INDEX(big_daily_table,MATCH(DATE(Y$5,$J121,$I121),daily_dates,0),MATCH($B$3,daily_items,0))),NA(),INDEX(big_daily_table,MATCH(DATE(Y$5,$J121,$I121),daily_dates,0),MATCH($B$3,daily_items,0)))</f>
        <v>#N/A</v>
      </c>
      <c r="Z121" s="1" t="n">
        <f aca="true">_xlfn.AGGREGATE(5,6,OFFSET($R$5,H121,0,1,$J$2))</f>
        <v>0</v>
      </c>
      <c r="AA121" s="1" t="n">
        <f aca="true">_xlfn.AGGREGATE(4,6,OFFSET($R$5,H121,0,1,$J$2))</f>
        <v>0</v>
      </c>
      <c r="AB121" s="1" t="n">
        <f aca="false">AA121-Z121</f>
        <v>0</v>
      </c>
      <c r="AC121" s="1" t="e">
        <f aca="true">_xlfn.AGGREGATE(1,6,OFFSET($R$5,H121,0,1,$J$2))</f>
        <v>#DIV/0!</v>
      </c>
    </row>
    <row r="122" customFormat="false" ht="14.25" hidden="false" customHeight="false" outlineLevel="0" collapsed="false">
      <c r="H122" s="1" t="n">
        <f aca="false">H121+1</f>
        <v>117</v>
      </c>
      <c r="I122" s="1" t="n">
        <f aca="false">DAY(K122)</f>
        <v>26</v>
      </c>
      <c r="J122" s="1" t="n">
        <f aca="false">MONTH(K122)</f>
        <v>4</v>
      </c>
      <c r="K122" s="23" t="n">
        <f aca="false">K121+1</f>
        <v>36642</v>
      </c>
      <c r="L122" s="24" t="n">
        <f aca="true">IF(TODAY()&lt;DATE($N$5,J122,I122),1000000,-1000000)</f>
        <v>-1000000</v>
      </c>
      <c r="M122" s="1" t="e">
        <f aca="false">IF(K122&gt;0,INDEX(big_daily_table,MATCH(DATE(N$5,$J122,$I122),daily_dates,0),MATCH($B$3,daily_items,0)),NA())</f>
        <v>#N/A</v>
      </c>
      <c r="N122" s="1" t="e">
        <f aca="false">IF(L122&lt;0,INDEX(big_daily_table,MATCH(DATE(N$5,$J122,$I122),daily_dates,0),MATCH($B$3,daily_items,0)),NA())</f>
        <v>#N/A</v>
      </c>
      <c r="O122" s="1" t="e">
        <f aca="false">IF(ISBLANK(INDEX(big_daily_table,MATCH(DATE(O$5,$J122,$I122),daily_dates,0),MATCH($B$3,daily_items,0))),NA(),INDEX(big_daily_table,MATCH(DATE(O$5,$J122,$I122),daily_dates,0),MATCH($B$3,daily_items,0)))</f>
        <v>#N/A</v>
      </c>
      <c r="P122" s="1" t="e">
        <f aca="false">IF(ISBLANK(INDEX(big_daily_table,MATCH(DATE(P$5,$J122,$I122),daily_dates,0),MATCH($B$3,daily_items,0))),NA(),INDEX(big_daily_table,MATCH(DATE(P$5,$J122,$I122),daily_dates,0),MATCH($B$3,daily_items,0)))</f>
        <v>#N/A</v>
      </c>
      <c r="Q122" s="1" t="e">
        <f aca="false">IF(ISBLANK(INDEX(big_daily_table,MATCH(DATE(Q$5,$J122,$I122),daily_dates,0),MATCH($B$3,daily_items,0))),NA(),INDEX(big_daily_table,MATCH(DATE(Q$5,$J122,$I122),daily_dates,0),MATCH($B$3,daily_items,0)))</f>
        <v>#N/A</v>
      </c>
      <c r="R122" s="1" t="e">
        <f aca="false">IF(ISBLANK(INDEX(big_daily_table,MATCH(DATE(R$5,$J122,$I122),daily_dates,0),MATCH($B$3,daily_items,0))),NA(),INDEX(big_daily_table,MATCH(DATE(R$5,$J122,$I122),daily_dates,0),MATCH($B$3,daily_items,0)))</f>
        <v>#N/A</v>
      </c>
      <c r="S122" s="1" t="e">
        <f aca="false">IF(ISBLANK(INDEX(big_daily_table,MATCH(DATE(S$5,$J122,$I122),daily_dates,0),MATCH($B$3,daily_items,0))),NA(),INDEX(big_daily_table,MATCH(DATE(S$5,$J122,$I122),daily_dates,0),MATCH($B$3,daily_items,0)))</f>
        <v>#N/A</v>
      </c>
      <c r="T122" s="1" t="e">
        <f aca="false">IF(ISBLANK(INDEX(big_daily_table,MATCH(DATE(T$5,$J122,$I122),daily_dates,0),MATCH($B$3,daily_items,0))),NA(),INDEX(big_daily_table,MATCH(DATE(T$5,$J122,$I122),daily_dates,0),MATCH($B$3,daily_items,0)))</f>
        <v>#N/A</v>
      </c>
      <c r="U122" s="1" t="e">
        <f aca="false">IF(ISBLANK(INDEX(big_daily_table,MATCH(DATE(U$5,$J122,$I122),daily_dates,0),MATCH($B$3,daily_items,0))),NA(),INDEX(big_daily_table,MATCH(DATE(U$5,$J122,$I122),daily_dates,0),MATCH($B$3,daily_items,0)))</f>
        <v>#N/A</v>
      </c>
      <c r="V122" s="1" t="e">
        <f aca="false">IF(ISBLANK(INDEX(big_daily_table,MATCH(DATE(V$5,$J122,$I122),daily_dates,0),MATCH($B$3,daily_items,0))),NA(),INDEX(big_daily_table,MATCH(DATE(V$5,$J122,$I122),daily_dates,0),MATCH($B$3,daily_items,0)))</f>
        <v>#N/A</v>
      </c>
      <c r="W122" s="1" t="e">
        <f aca="false">IF(ISBLANK(INDEX(big_daily_table,MATCH(DATE(W$5,$J122,$I122),daily_dates,0),MATCH($B$3,daily_items,0))),NA(),INDEX(big_daily_table,MATCH(DATE(W$5,$J122,$I122),daily_dates,0),MATCH($B$3,daily_items,0)))</f>
        <v>#N/A</v>
      </c>
      <c r="X122" s="1" t="e">
        <f aca="false">IF(ISBLANK(INDEX(big_daily_table,MATCH(DATE(X$5,$J122,$I122),daily_dates,0),MATCH($B$3,daily_items,0))),NA(),INDEX(big_daily_table,MATCH(DATE(X$5,$J122,$I122),daily_dates,0),MATCH($B$3,daily_items,0)))</f>
        <v>#N/A</v>
      </c>
      <c r="Y122" s="1" t="e">
        <f aca="false">IF(ISBLANK(INDEX(big_daily_table,MATCH(DATE(Y$5,$J122,$I122),daily_dates,0),MATCH($B$3,daily_items,0))),NA(),INDEX(big_daily_table,MATCH(DATE(Y$5,$J122,$I122),daily_dates,0),MATCH($B$3,daily_items,0)))</f>
        <v>#N/A</v>
      </c>
      <c r="Z122" s="1" t="n">
        <f aca="true">_xlfn.AGGREGATE(5,6,OFFSET($R$5,H122,0,1,$J$2))</f>
        <v>0</v>
      </c>
      <c r="AA122" s="1" t="n">
        <f aca="true">_xlfn.AGGREGATE(4,6,OFFSET($R$5,H122,0,1,$J$2))</f>
        <v>0</v>
      </c>
      <c r="AB122" s="1" t="n">
        <f aca="false">AA122-Z122</f>
        <v>0</v>
      </c>
      <c r="AC122" s="1" t="e">
        <f aca="true">_xlfn.AGGREGATE(1,6,OFFSET($R$5,H122,0,1,$J$2))</f>
        <v>#DIV/0!</v>
      </c>
    </row>
    <row r="123" customFormat="false" ht="14.25" hidden="false" customHeight="false" outlineLevel="0" collapsed="false">
      <c r="H123" s="1" t="n">
        <f aca="false">H122+1</f>
        <v>118</v>
      </c>
      <c r="I123" s="1" t="n">
        <f aca="false">DAY(K123)</f>
        <v>27</v>
      </c>
      <c r="J123" s="1" t="n">
        <f aca="false">MONTH(K123)</f>
        <v>4</v>
      </c>
      <c r="K123" s="23" t="n">
        <f aca="false">K122+1</f>
        <v>36643</v>
      </c>
      <c r="L123" s="24" t="n">
        <f aca="true">IF(TODAY()&lt;DATE($N$5,J123,I123),1000000,-1000000)</f>
        <v>-1000000</v>
      </c>
      <c r="M123" s="1" t="e">
        <f aca="false">IF(K123&gt;0,INDEX(big_daily_table,MATCH(DATE(N$5,$J123,$I123),daily_dates,0),MATCH($B$3,daily_items,0)),NA())</f>
        <v>#N/A</v>
      </c>
      <c r="N123" s="1" t="e">
        <f aca="false">IF(L123&lt;0,INDEX(big_daily_table,MATCH(DATE(N$5,$J123,$I123),daily_dates,0),MATCH($B$3,daily_items,0)),NA())</f>
        <v>#N/A</v>
      </c>
      <c r="O123" s="1" t="e">
        <f aca="false">IF(ISBLANK(INDEX(big_daily_table,MATCH(DATE(O$5,$J123,$I123),daily_dates,0),MATCH($B$3,daily_items,0))),NA(),INDEX(big_daily_table,MATCH(DATE(O$5,$J123,$I123),daily_dates,0),MATCH($B$3,daily_items,0)))</f>
        <v>#N/A</v>
      </c>
      <c r="P123" s="1" t="e">
        <f aca="false">IF(ISBLANK(INDEX(big_daily_table,MATCH(DATE(P$5,$J123,$I123),daily_dates,0),MATCH($B$3,daily_items,0))),NA(),INDEX(big_daily_table,MATCH(DATE(P$5,$J123,$I123),daily_dates,0),MATCH($B$3,daily_items,0)))</f>
        <v>#N/A</v>
      </c>
      <c r="Q123" s="1" t="e">
        <f aca="false">IF(ISBLANK(INDEX(big_daily_table,MATCH(DATE(Q$5,$J123,$I123),daily_dates,0),MATCH($B$3,daily_items,0))),NA(),INDEX(big_daily_table,MATCH(DATE(Q$5,$J123,$I123),daily_dates,0),MATCH($B$3,daily_items,0)))</f>
        <v>#N/A</v>
      </c>
      <c r="R123" s="1" t="e">
        <f aca="false">IF(ISBLANK(INDEX(big_daily_table,MATCH(DATE(R$5,$J123,$I123),daily_dates,0),MATCH($B$3,daily_items,0))),NA(),INDEX(big_daily_table,MATCH(DATE(R$5,$J123,$I123),daily_dates,0),MATCH($B$3,daily_items,0)))</f>
        <v>#N/A</v>
      </c>
      <c r="S123" s="1" t="e">
        <f aca="false">IF(ISBLANK(INDEX(big_daily_table,MATCH(DATE(S$5,$J123,$I123),daily_dates,0),MATCH($B$3,daily_items,0))),NA(),INDEX(big_daily_table,MATCH(DATE(S$5,$J123,$I123),daily_dates,0),MATCH($B$3,daily_items,0)))</f>
        <v>#N/A</v>
      </c>
      <c r="T123" s="1" t="e">
        <f aca="false">IF(ISBLANK(INDEX(big_daily_table,MATCH(DATE(T$5,$J123,$I123),daily_dates,0),MATCH($B$3,daily_items,0))),NA(),INDEX(big_daily_table,MATCH(DATE(T$5,$J123,$I123),daily_dates,0),MATCH($B$3,daily_items,0)))</f>
        <v>#N/A</v>
      </c>
      <c r="U123" s="1" t="e">
        <f aca="false">IF(ISBLANK(INDEX(big_daily_table,MATCH(DATE(U$5,$J123,$I123),daily_dates,0),MATCH($B$3,daily_items,0))),NA(),INDEX(big_daily_table,MATCH(DATE(U$5,$J123,$I123),daily_dates,0),MATCH($B$3,daily_items,0)))</f>
        <v>#N/A</v>
      </c>
      <c r="V123" s="1" t="e">
        <f aca="false">IF(ISBLANK(INDEX(big_daily_table,MATCH(DATE(V$5,$J123,$I123),daily_dates,0),MATCH($B$3,daily_items,0))),NA(),INDEX(big_daily_table,MATCH(DATE(V$5,$J123,$I123),daily_dates,0),MATCH($B$3,daily_items,0)))</f>
        <v>#N/A</v>
      </c>
      <c r="W123" s="1" t="e">
        <f aca="false">IF(ISBLANK(INDEX(big_daily_table,MATCH(DATE(W$5,$J123,$I123),daily_dates,0),MATCH($B$3,daily_items,0))),NA(),INDEX(big_daily_table,MATCH(DATE(W$5,$J123,$I123),daily_dates,0),MATCH($B$3,daily_items,0)))</f>
        <v>#N/A</v>
      </c>
      <c r="X123" s="1" t="e">
        <f aca="false">IF(ISBLANK(INDEX(big_daily_table,MATCH(DATE(X$5,$J123,$I123),daily_dates,0),MATCH($B$3,daily_items,0))),NA(),INDEX(big_daily_table,MATCH(DATE(X$5,$J123,$I123),daily_dates,0),MATCH($B$3,daily_items,0)))</f>
        <v>#N/A</v>
      </c>
      <c r="Y123" s="1" t="e">
        <f aca="false">IF(ISBLANK(INDEX(big_daily_table,MATCH(DATE(Y$5,$J123,$I123),daily_dates,0),MATCH($B$3,daily_items,0))),NA(),INDEX(big_daily_table,MATCH(DATE(Y$5,$J123,$I123),daily_dates,0),MATCH($B$3,daily_items,0)))</f>
        <v>#N/A</v>
      </c>
      <c r="Z123" s="1" t="n">
        <f aca="true">_xlfn.AGGREGATE(5,6,OFFSET($R$5,H123,0,1,$J$2))</f>
        <v>0</v>
      </c>
      <c r="AA123" s="1" t="n">
        <f aca="true">_xlfn.AGGREGATE(4,6,OFFSET($R$5,H123,0,1,$J$2))</f>
        <v>0</v>
      </c>
      <c r="AB123" s="1" t="n">
        <f aca="false">AA123-Z123</f>
        <v>0</v>
      </c>
      <c r="AC123" s="1" t="e">
        <f aca="true">_xlfn.AGGREGATE(1,6,OFFSET($R$5,H123,0,1,$J$2))</f>
        <v>#DIV/0!</v>
      </c>
    </row>
    <row r="124" customFormat="false" ht="14.25" hidden="false" customHeight="false" outlineLevel="0" collapsed="false">
      <c r="H124" s="1" t="n">
        <f aca="false">H123+1</f>
        <v>119</v>
      </c>
      <c r="I124" s="1" t="n">
        <f aca="false">DAY(K124)</f>
        <v>28</v>
      </c>
      <c r="J124" s="1" t="n">
        <f aca="false">MONTH(K124)</f>
        <v>4</v>
      </c>
      <c r="K124" s="23" t="n">
        <f aca="false">K123+1</f>
        <v>36644</v>
      </c>
      <c r="L124" s="24" t="n">
        <f aca="true">IF(TODAY()&lt;DATE($N$5,J124,I124),1000000,-1000000)</f>
        <v>-1000000</v>
      </c>
      <c r="M124" s="1" t="e">
        <f aca="false">IF(K124&gt;0,INDEX(big_daily_table,MATCH(DATE(N$5,$J124,$I124),daily_dates,0),MATCH($B$3,daily_items,0)),NA())</f>
        <v>#N/A</v>
      </c>
      <c r="N124" s="1" t="e">
        <f aca="false">IF(L124&lt;0,INDEX(big_daily_table,MATCH(DATE(N$5,$J124,$I124),daily_dates,0),MATCH($B$3,daily_items,0)),NA())</f>
        <v>#N/A</v>
      </c>
      <c r="O124" s="1" t="e">
        <f aca="false">IF(ISBLANK(INDEX(big_daily_table,MATCH(DATE(O$5,$J124,$I124),daily_dates,0),MATCH($B$3,daily_items,0))),NA(),INDEX(big_daily_table,MATCH(DATE(O$5,$J124,$I124),daily_dates,0),MATCH($B$3,daily_items,0)))</f>
        <v>#N/A</v>
      </c>
      <c r="P124" s="1" t="e">
        <f aca="false">IF(ISBLANK(INDEX(big_daily_table,MATCH(DATE(P$5,$J124,$I124),daily_dates,0),MATCH($B$3,daily_items,0))),NA(),INDEX(big_daily_table,MATCH(DATE(P$5,$J124,$I124),daily_dates,0),MATCH($B$3,daily_items,0)))</f>
        <v>#N/A</v>
      </c>
      <c r="Q124" s="1" t="e">
        <f aca="false">IF(ISBLANK(INDEX(big_daily_table,MATCH(DATE(Q$5,$J124,$I124),daily_dates,0),MATCH($B$3,daily_items,0))),NA(),INDEX(big_daily_table,MATCH(DATE(Q$5,$J124,$I124),daily_dates,0),MATCH($B$3,daily_items,0)))</f>
        <v>#N/A</v>
      </c>
      <c r="R124" s="1" t="e">
        <f aca="false">IF(ISBLANK(INDEX(big_daily_table,MATCH(DATE(R$5,$J124,$I124),daily_dates,0),MATCH($B$3,daily_items,0))),NA(),INDEX(big_daily_table,MATCH(DATE(R$5,$J124,$I124),daily_dates,0),MATCH($B$3,daily_items,0)))</f>
        <v>#N/A</v>
      </c>
      <c r="S124" s="1" t="e">
        <f aca="false">IF(ISBLANK(INDEX(big_daily_table,MATCH(DATE(S$5,$J124,$I124),daily_dates,0),MATCH($B$3,daily_items,0))),NA(),INDEX(big_daily_table,MATCH(DATE(S$5,$J124,$I124),daily_dates,0),MATCH($B$3,daily_items,0)))</f>
        <v>#N/A</v>
      </c>
      <c r="T124" s="1" t="e">
        <f aca="false">IF(ISBLANK(INDEX(big_daily_table,MATCH(DATE(T$5,$J124,$I124),daily_dates,0),MATCH($B$3,daily_items,0))),NA(),INDEX(big_daily_table,MATCH(DATE(T$5,$J124,$I124),daily_dates,0),MATCH($B$3,daily_items,0)))</f>
        <v>#N/A</v>
      </c>
      <c r="U124" s="1" t="e">
        <f aca="false">IF(ISBLANK(INDEX(big_daily_table,MATCH(DATE(U$5,$J124,$I124),daily_dates,0),MATCH($B$3,daily_items,0))),NA(),INDEX(big_daily_table,MATCH(DATE(U$5,$J124,$I124),daily_dates,0),MATCH($B$3,daily_items,0)))</f>
        <v>#N/A</v>
      </c>
      <c r="V124" s="1" t="e">
        <f aca="false">IF(ISBLANK(INDEX(big_daily_table,MATCH(DATE(V$5,$J124,$I124),daily_dates,0),MATCH($B$3,daily_items,0))),NA(),INDEX(big_daily_table,MATCH(DATE(V$5,$J124,$I124),daily_dates,0),MATCH($B$3,daily_items,0)))</f>
        <v>#N/A</v>
      </c>
      <c r="W124" s="1" t="e">
        <f aca="false">IF(ISBLANK(INDEX(big_daily_table,MATCH(DATE(W$5,$J124,$I124),daily_dates,0),MATCH($B$3,daily_items,0))),NA(),INDEX(big_daily_table,MATCH(DATE(W$5,$J124,$I124),daily_dates,0),MATCH($B$3,daily_items,0)))</f>
        <v>#N/A</v>
      </c>
      <c r="X124" s="1" t="e">
        <f aca="false">IF(ISBLANK(INDEX(big_daily_table,MATCH(DATE(X$5,$J124,$I124),daily_dates,0),MATCH($B$3,daily_items,0))),NA(),INDEX(big_daily_table,MATCH(DATE(X$5,$J124,$I124),daily_dates,0),MATCH($B$3,daily_items,0)))</f>
        <v>#N/A</v>
      </c>
      <c r="Y124" s="1" t="e">
        <f aca="false">IF(ISBLANK(INDEX(big_daily_table,MATCH(DATE(Y$5,$J124,$I124),daily_dates,0),MATCH($B$3,daily_items,0))),NA(),INDEX(big_daily_table,MATCH(DATE(Y$5,$J124,$I124),daily_dates,0),MATCH($B$3,daily_items,0)))</f>
        <v>#N/A</v>
      </c>
      <c r="Z124" s="1" t="n">
        <f aca="true">_xlfn.AGGREGATE(5,6,OFFSET($R$5,H124,0,1,$J$2))</f>
        <v>0</v>
      </c>
      <c r="AA124" s="1" t="n">
        <f aca="true">_xlfn.AGGREGATE(4,6,OFFSET($R$5,H124,0,1,$J$2))</f>
        <v>0</v>
      </c>
      <c r="AB124" s="1" t="n">
        <f aca="false">AA124-Z124</f>
        <v>0</v>
      </c>
      <c r="AC124" s="1" t="e">
        <f aca="true">_xlfn.AGGREGATE(1,6,OFFSET($R$5,H124,0,1,$J$2))</f>
        <v>#DIV/0!</v>
      </c>
    </row>
    <row r="125" customFormat="false" ht="14.25" hidden="false" customHeight="false" outlineLevel="0" collapsed="false">
      <c r="H125" s="1" t="n">
        <f aca="false">H124+1</f>
        <v>120</v>
      </c>
      <c r="I125" s="1" t="n">
        <f aca="false">DAY(K125)</f>
        <v>29</v>
      </c>
      <c r="J125" s="1" t="n">
        <f aca="false">MONTH(K125)</f>
        <v>4</v>
      </c>
      <c r="K125" s="23" t="n">
        <f aca="false">K124+1</f>
        <v>36645</v>
      </c>
      <c r="L125" s="24" t="n">
        <f aca="true">IF(TODAY()&lt;DATE($N$5,J125,I125),1000000,-1000000)</f>
        <v>-1000000</v>
      </c>
      <c r="M125" s="1" t="e">
        <f aca="false">IF(K125&gt;0,INDEX(big_daily_table,MATCH(DATE(N$5,$J125,$I125),daily_dates,0),MATCH($B$3,daily_items,0)),NA())</f>
        <v>#N/A</v>
      </c>
      <c r="N125" s="1" t="e">
        <f aca="false">IF(L125&lt;0,INDEX(big_daily_table,MATCH(DATE(N$5,$J125,$I125),daily_dates,0),MATCH($B$3,daily_items,0)),NA())</f>
        <v>#N/A</v>
      </c>
      <c r="O125" s="1" t="e">
        <f aca="false">IF(ISBLANK(INDEX(big_daily_table,MATCH(DATE(O$5,$J125,$I125),daily_dates,0),MATCH($B$3,daily_items,0))),NA(),INDEX(big_daily_table,MATCH(DATE(O$5,$J125,$I125),daily_dates,0),MATCH($B$3,daily_items,0)))</f>
        <v>#N/A</v>
      </c>
      <c r="P125" s="1" t="e">
        <f aca="false">IF(ISBLANK(INDEX(big_daily_table,MATCH(DATE(P$5,$J125,$I125),daily_dates,0),MATCH($B$3,daily_items,0))),NA(),INDEX(big_daily_table,MATCH(DATE(P$5,$J125,$I125),daily_dates,0),MATCH($B$3,daily_items,0)))</f>
        <v>#N/A</v>
      </c>
      <c r="Q125" s="1" t="e">
        <f aca="false">IF(ISBLANK(INDEX(big_daily_table,MATCH(DATE(Q$5,$J125,$I125),daily_dates,0),MATCH($B$3,daily_items,0))),NA(),INDEX(big_daily_table,MATCH(DATE(Q$5,$J125,$I125),daily_dates,0),MATCH($B$3,daily_items,0)))</f>
        <v>#N/A</v>
      </c>
      <c r="R125" s="1" t="e">
        <f aca="false">IF(ISBLANK(INDEX(big_daily_table,MATCH(DATE(R$5,$J125,$I125),daily_dates,0),MATCH($B$3,daily_items,0))),NA(),INDEX(big_daily_table,MATCH(DATE(R$5,$J125,$I125),daily_dates,0),MATCH($B$3,daily_items,0)))</f>
        <v>#N/A</v>
      </c>
      <c r="S125" s="1" t="e">
        <f aca="false">IF(ISBLANK(INDEX(big_daily_table,MATCH(DATE(S$5,$J125,$I125),daily_dates,0),MATCH($B$3,daily_items,0))),NA(),INDEX(big_daily_table,MATCH(DATE(S$5,$J125,$I125),daily_dates,0),MATCH($B$3,daily_items,0)))</f>
        <v>#N/A</v>
      </c>
      <c r="T125" s="1" t="e">
        <f aca="false">IF(ISBLANK(INDEX(big_daily_table,MATCH(DATE(T$5,$J125,$I125),daily_dates,0),MATCH($B$3,daily_items,0))),NA(),INDEX(big_daily_table,MATCH(DATE(T$5,$J125,$I125),daily_dates,0),MATCH($B$3,daily_items,0)))</f>
        <v>#N/A</v>
      </c>
      <c r="U125" s="1" t="e">
        <f aca="false">IF(ISBLANK(INDEX(big_daily_table,MATCH(DATE(U$5,$J125,$I125),daily_dates,0),MATCH($B$3,daily_items,0))),NA(),INDEX(big_daily_table,MATCH(DATE(U$5,$J125,$I125),daily_dates,0),MATCH($B$3,daily_items,0)))</f>
        <v>#N/A</v>
      </c>
      <c r="V125" s="1" t="e">
        <f aca="false">IF(ISBLANK(INDEX(big_daily_table,MATCH(DATE(V$5,$J125,$I125),daily_dates,0),MATCH($B$3,daily_items,0))),NA(),INDEX(big_daily_table,MATCH(DATE(V$5,$J125,$I125),daily_dates,0),MATCH($B$3,daily_items,0)))</f>
        <v>#N/A</v>
      </c>
      <c r="W125" s="1" t="e">
        <f aca="false">IF(ISBLANK(INDEX(big_daily_table,MATCH(DATE(W$5,$J125,$I125),daily_dates,0),MATCH($B$3,daily_items,0))),NA(),INDEX(big_daily_table,MATCH(DATE(W$5,$J125,$I125),daily_dates,0),MATCH($B$3,daily_items,0)))</f>
        <v>#N/A</v>
      </c>
      <c r="X125" s="1" t="e">
        <f aca="false">IF(ISBLANK(INDEX(big_daily_table,MATCH(DATE(X$5,$J125,$I125),daily_dates,0),MATCH($B$3,daily_items,0))),NA(),INDEX(big_daily_table,MATCH(DATE(X$5,$J125,$I125),daily_dates,0),MATCH($B$3,daily_items,0)))</f>
        <v>#N/A</v>
      </c>
      <c r="Y125" s="1" t="e">
        <f aca="false">IF(ISBLANK(INDEX(big_daily_table,MATCH(DATE(Y$5,$J125,$I125),daily_dates,0),MATCH($B$3,daily_items,0))),NA(),INDEX(big_daily_table,MATCH(DATE(Y$5,$J125,$I125),daily_dates,0),MATCH($B$3,daily_items,0)))</f>
        <v>#N/A</v>
      </c>
      <c r="Z125" s="1" t="n">
        <f aca="true">_xlfn.AGGREGATE(5,6,OFFSET($R$5,H125,0,1,$J$2))</f>
        <v>0</v>
      </c>
      <c r="AA125" s="1" t="n">
        <f aca="true">_xlfn.AGGREGATE(4,6,OFFSET($R$5,H125,0,1,$J$2))</f>
        <v>0</v>
      </c>
      <c r="AB125" s="1" t="n">
        <f aca="false">AA125-Z125</f>
        <v>0</v>
      </c>
      <c r="AC125" s="1" t="e">
        <f aca="true">_xlfn.AGGREGATE(1,6,OFFSET($R$5,H125,0,1,$J$2))</f>
        <v>#DIV/0!</v>
      </c>
    </row>
    <row r="126" customFormat="false" ht="14.25" hidden="false" customHeight="false" outlineLevel="0" collapsed="false">
      <c r="H126" s="1" t="n">
        <f aca="false">H125+1</f>
        <v>121</v>
      </c>
      <c r="I126" s="1" t="n">
        <f aca="false">DAY(K126)</f>
        <v>30</v>
      </c>
      <c r="J126" s="1" t="n">
        <f aca="false">MONTH(K126)</f>
        <v>4</v>
      </c>
      <c r="K126" s="23" t="n">
        <f aca="false">K125+1</f>
        <v>36646</v>
      </c>
      <c r="L126" s="24" t="n">
        <f aca="true">IF(TODAY()&lt;DATE($N$5,J126,I126),1000000,-1000000)</f>
        <v>-1000000</v>
      </c>
      <c r="M126" s="1" t="e">
        <f aca="false">IF(K126&gt;0,INDEX(big_daily_table,MATCH(DATE(N$5,$J126,$I126),daily_dates,0),MATCH($B$3,daily_items,0)),NA())</f>
        <v>#N/A</v>
      </c>
      <c r="N126" s="1" t="e">
        <f aca="false">IF(L126&lt;0,INDEX(big_daily_table,MATCH(DATE(N$5,$J126,$I126),daily_dates,0),MATCH($B$3,daily_items,0)),NA())</f>
        <v>#N/A</v>
      </c>
      <c r="O126" s="1" t="e">
        <f aca="false">IF(ISBLANK(INDEX(big_daily_table,MATCH(DATE(O$5,$J126,$I126),daily_dates,0),MATCH($B$3,daily_items,0))),NA(),INDEX(big_daily_table,MATCH(DATE(O$5,$J126,$I126),daily_dates,0),MATCH($B$3,daily_items,0)))</f>
        <v>#N/A</v>
      </c>
      <c r="P126" s="1" t="e">
        <f aca="false">IF(ISBLANK(INDEX(big_daily_table,MATCH(DATE(P$5,$J126,$I126),daily_dates,0),MATCH($B$3,daily_items,0))),NA(),INDEX(big_daily_table,MATCH(DATE(P$5,$J126,$I126),daily_dates,0),MATCH($B$3,daily_items,0)))</f>
        <v>#N/A</v>
      </c>
      <c r="Q126" s="1" t="e">
        <f aca="false">IF(ISBLANK(INDEX(big_daily_table,MATCH(DATE(Q$5,$J126,$I126),daily_dates,0),MATCH($B$3,daily_items,0))),NA(),INDEX(big_daily_table,MATCH(DATE(Q$5,$J126,$I126),daily_dates,0),MATCH($B$3,daily_items,0)))</f>
        <v>#N/A</v>
      </c>
      <c r="R126" s="1" t="e">
        <f aca="false">IF(ISBLANK(INDEX(big_daily_table,MATCH(DATE(R$5,$J126,$I126),daily_dates,0),MATCH($B$3,daily_items,0))),NA(),INDEX(big_daily_table,MATCH(DATE(R$5,$J126,$I126),daily_dates,0),MATCH($B$3,daily_items,0)))</f>
        <v>#N/A</v>
      </c>
      <c r="S126" s="1" t="e">
        <f aca="false">IF(ISBLANK(INDEX(big_daily_table,MATCH(DATE(S$5,$J126,$I126),daily_dates,0),MATCH($B$3,daily_items,0))),NA(),INDEX(big_daily_table,MATCH(DATE(S$5,$J126,$I126),daily_dates,0),MATCH($B$3,daily_items,0)))</f>
        <v>#N/A</v>
      </c>
      <c r="T126" s="1" t="e">
        <f aca="false">IF(ISBLANK(INDEX(big_daily_table,MATCH(DATE(T$5,$J126,$I126),daily_dates,0),MATCH($B$3,daily_items,0))),NA(),INDEX(big_daily_table,MATCH(DATE(T$5,$J126,$I126),daily_dates,0),MATCH($B$3,daily_items,0)))</f>
        <v>#N/A</v>
      </c>
      <c r="U126" s="1" t="e">
        <f aca="false">IF(ISBLANK(INDEX(big_daily_table,MATCH(DATE(U$5,$J126,$I126),daily_dates,0),MATCH($B$3,daily_items,0))),NA(),INDEX(big_daily_table,MATCH(DATE(U$5,$J126,$I126),daily_dates,0),MATCH($B$3,daily_items,0)))</f>
        <v>#N/A</v>
      </c>
      <c r="V126" s="1" t="e">
        <f aca="false">IF(ISBLANK(INDEX(big_daily_table,MATCH(DATE(V$5,$J126,$I126),daily_dates,0),MATCH($B$3,daily_items,0))),NA(),INDEX(big_daily_table,MATCH(DATE(V$5,$J126,$I126),daily_dates,0),MATCH($B$3,daily_items,0)))</f>
        <v>#N/A</v>
      </c>
      <c r="W126" s="1" t="e">
        <f aca="false">IF(ISBLANK(INDEX(big_daily_table,MATCH(DATE(W$5,$J126,$I126),daily_dates,0),MATCH($B$3,daily_items,0))),NA(),INDEX(big_daily_table,MATCH(DATE(W$5,$J126,$I126),daily_dates,0),MATCH($B$3,daily_items,0)))</f>
        <v>#N/A</v>
      </c>
      <c r="X126" s="1" t="e">
        <f aca="false">IF(ISBLANK(INDEX(big_daily_table,MATCH(DATE(X$5,$J126,$I126),daily_dates,0),MATCH($B$3,daily_items,0))),NA(),INDEX(big_daily_table,MATCH(DATE(X$5,$J126,$I126),daily_dates,0),MATCH($B$3,daily_items,0)))</f>
        <v>#N/A</v>
      </c>
      <c r="Y126" s="1" t="e">
        <f aca="false">IF(ISBLANK(INDEX(big_daily_table,MATCH(DATE(Y$5,$J126,$I126),daily_dates,0),MATCH($B$3,daily_items,0))),NA(),INDEX(big_daily_table,MATCH(DATE(Y$5,$J126,$I126),daily_dates,0),MATCH($B$3,daily_items,0)))</f>
        <v>#N/A</v>
      </c>
      <c r="Z126" s="1" t="n">
        <f aca="true">_xlfn.AGGREGATE(5,6,OFFSET($R$5,H126,0,1,$J$2))</f>
        <v>0</v>
      </c>
      <c r="AA126" s="1" t="n">
        <f aca="true">_xlfn.AGGREGATE(4,6,OFFSET($R$5,H126,0,1,$J$2))</f>
        <v>0</v>
      </c>
      <c r="AB126" s="1" t="n">
        <f aca="false">AA126-Z126</f>
        <v>0</v>
      </c>
      <c r="AC126" s="1" t="e">
        <f aca="true">_xlfn.AGGREGATE(1,6,OFFSET($R$5,H126,0,1,$J$2))</f>
        <v>#DIV/0!</v>
      </c>
    </row>
    <row r="127" customFormat="false" ht="14.25" hidden="false" customHeight="false" outlineLevel="0" collapsed="false">
      <c r="H127" s="1" t="n">
        <f aca="false">H126+1</f>
        <v>122</v>
      </c>
      <c r="I127" s="1" t="n">
        <f aca="false">DAY(K127)</f>
        <v>1</v>
      </c>
      <c r="J127" s="1" t="n">
        <f aca="false">MONTH(K127)</f>
        <v>5</v>
      </c>
      <c r="K127" s="23" t="n">
        <f aca="false">K126+1</f>
        <v>36647</v>
      </c>
      <c r="L127" s="24" t="n">
        <f aca="true">IF(TODAY()&lt;DATE($N$5,J127,I127),1000000,-1000000)</f>
        <v>-1000000</v>
      </c>
      <c r="M127" s="1" t="e">
        <f aca="false">IF(K127&gt;0,INDEX(big_daily_table,MATCH(DATE(N$5,$J127,$I127),daily_dates,0),MATCH($B$3,daily_items,0)),NA())</f>
        <v>#N/A</v>
      </c>
      <c r="N127" s="1" t="e">
        <f aca="false">IF(L127&lt;0,INDEX(big_daily_table,MATCH(DATE(N$5,$J127,$I127),daily_dates,0),MATCH($B$3,daily_items,0)),NA())</f>
        <v>#N/A</v>
      </c>
      <c r="O127" s="1" t="e">
        <f aca="false">IF(ISBLANK(INDEX(big_daily_table,MATCH(DATE(O$5,$J127,$I127),daily_dates,0),MATCH($B$3,daily_items,0))),NA(),INDEX(big_daily_table,MATCH(DATE(O$5,$J127,$I127),daily_dates,0),MATCH($B$3,daily_items,0)))</f>
        <v>#N/A</v>
      </c>
      <c r="P127" s="1" t="e">
        <f aca="false">IF(ISBLANK(INDEX(big_daily_table,MATCH(DATE(P$5,$J127,$I127),daily_dates,0),MATCH($B$3,daily_items,0))),NA(),INDEX(big_daily_table,MATCH(DATE(P$5,$J127,$I127),daily_dates,0),MATCH($B$3,daily_items,0)))</f>
        <v>#N/A</v>
      </c>
      <c r="Q127" s="1" t="e">
        <f aca="false">IF(ISBLANK(INDEX(big_daily_table,MATCH(DATE(Q$5,$J127,$I127),daily_dates,0),MATCH($B$3,daily_items,0))),NA(),INDEX(big_daily_table,MATCH(DATE(Q$5,$J127,$I127),daily_dates,0),MATCH($B$3,daily_items,0)))</f>
        <v>#N/A</v>
      </c>
      <c r="R127" s="1" t="e">
        <f aca="false">IF(ISBLANK(INDEX(big_daily_table,MATCH(DATE(R$5,$J127,$I127),daily_dates,0),MATCH($B$3,daily_items,0))),NA(),INDEX(big_daily_table,MATCH(DATE(R$5,$J127,$I127),daily_dates,0),MATCH($B$3,daily_items,0)))</f>
        <v>#N/A</v>
      </c>
      <c r="S127" s="1" t="e">
        <f aca="false">IF(ISBLANK(INDEX(big_daily_table,MATCH(DATE(S$5,$J127,$I127),daily_dates,0),MATCH($B$3,daily_items,0))),NA(),INDEX(big_daily_table,MATCH(DATE(S$5,$J127,$I127),daily_dates,0),MATCH($B$3,daily_items,0)))</f>
        <v>#N/A</v>
      </c>
      <c r="T127" s="1" t="e">
        <f aca="false">IF(ISBLANK(INDEX(big_daily_table,MATCH(DATE(T$5,$J127,$I127),daily_dates,0),MATCH($B$3,daily_items,0))),NA(),INDEX(big_daily_table,MATCH(DATE(T$5,$J127,$I127),daily_dates,0),MATCH($B$3,daily_items,0)))</f>
        <v>#N/A</v>
      </c>
      <c r="U127" s="1" t="e">
        <f aca="false">IF(ISBLANK(INDEX(big_daily_table,MATCH(DATE(U$5,$J127,$I127),daily_dates,0),MATCH($B$3,daily_items,0))),NA(),INDEX(big_daily_table,MATCH(DATE(U$5,$J127,$I127),daily_dates,0),MATCH($B$3,daily_items,0)))</f>
        <v>#N/A</v>
      </c>
      <c r="V127" s="1" t="e">
        <f aca="false">IF(ISBLANK(INDEX(big_daily_table,MATCH(DATE(V$5,$J127,$I127),daily_dates,0),MATCH($B$3,daily_items,0))),NA(),INDEX(big_daily_table,MATCH(DATE(V$5,$J127,$I127),daily_dates,0),MATCH($B$3,daily_items,0)))</f>
        <v>#N/A</v>
      </c>
      <c r="W127" s="1" t="e">
        <f aca="false">IF(ISBLANK(INDEX(big_daily_table,MATCH(DATE(W$5,$J127,$I127),daily_dates,0),MATCH($B$3,daily_items,0))),NA(),INDEX(big_daily_table,MATCH(DATE(W$5,$J127,$I127),daily_dates,0),MATCH($B$3,daily_items,0)))</f>
        <v>#N/A</v>
      </c>
      <c r="X127" s="1" t="e">
        <f aca="false">IF(ISBLANK(INDEX(big_daily_table,MATCH(DATE(X$5,$J127,$I127),daily_dates,0),MATCH($B$3,daily_items,0))),NA(),INDEX(big_daily_table,MATCH(DATE(X$5,$J127,$I127),daily_dates,0),MATCH($B$3,daily_items,0)))</f>
        <v>#N/A</v>
      </c>
      <c r="Y127" s="1" t="e">
        <f aca="false">IF(ISBLANK(INDEX(big_daily_table,MATCH(DATE(Y$5,$J127,$I127),daily_dates,0),MATCH($B$3,daily_items,0))),NA(),INDEX(big_daily_table,MATCH(DATE(Y$5,$J127,$I127),daily_dates,0),MATCH($B$3,daily_items,0)))</f>
        <v>#N/A</v>
      </c>
      <c r="Z127" s="1" t="n">
        <f aca="true">_xlfn.AGGREGATE(5,6,OFFSET($R$5,H127,0,1,$J$2))</f>
        <v>0</v>
      </c>
      <c r="AA127" s="1" t="n">
        <f aca="true">_xlfn.AGGREGATE(4,6,OFFSET($R$5,H127,0,1,$J$2))</f>
        <v>0</v>
      </c>
      <c r="AB127" s="1" t="n">
        <f aca="false">AA127-Z127</f>
        <v>0</v>
      </c>
      <c r="AC127" s="1" t="e">
        <f aca="true">_xlfn.AGGREGATE(1,6,OFFSET($R$5,H127,0,1,$J$2))</f>
        <v>#DIV/0!</v>
      </c>
    </row>
    <row r="128" customFormat="false" ht="14.25" hidden="false" customHeight="false" outlineLevel="0" collapsed="false">
      <c r="H128" s="1" t="n">
        <f aca="false">H127+1</f>
        <v>123</v>
      </c>
      <c r="I128" s="1" t="n">
        <f aca="false">DAY(K128)</f>
        <v>2</v>
      </c>
      <c r="J128" s="1" t="n">
        <f aca="false">MONTH(K128)</f>
        <v>5</v>
      </c>
      <c r="K128" s="23" t="n">
        <f aca="false">K127+1</f>
        <v>36648</v>
      </c>
      <c r="L128" s="24" t="n">
        <f aca="true">IF(TODAY()&lt;DATE($N$5,J128,I128),1000000,-1000000)</f>
        <v>-1000000</v>
      </c>
      <c r="M128" s="1" t="e">
        <f aca="false">IF(K128&gt;0,INDEX(big_daily_table,MATCH(DATE(N$5,$J128,$I128),daily_dates,0),MATCH($B$3,daily_items,0)),NA())</f>
        <v>#N/A</v>
      </c>
      <c r="N128" s="1" t="e">
        <f aca="false">IF(L128&lt;0,INDEX(big_daily_table,MATCH(DATE(N$5,$J128,$I128),daily_dates,0),MATCH($B$3,daily_items,0)),NA())</f>
        <v>#N/A</v>
      </c>
      <c r="O128" s="1" t="e">
        <f aca="false">IF(ISBLANK(INDEX(big_daily_table,MATCH(DATE(O$5,$J128,$I128),daily_dates,0),MATCH($B$3,daily_items,0))),NA(),INDEX(big_daily_table,MATCH(DATE(O$5,$J128,$I128),daily_dates,0),MATCH($B$3,daily_items,0)))</f>
        <v>#N/A</v>
      </c>
      <c r="P128" s="1" t="e">
        <f aca="false">IF(ISBLANK(INDEX(big_daily_table,MATCH(DATE(P$5,$J128,$I128),daily_dates,0),MATCH($B$3,daily_items,0))),NA(),INDEX(big_daily_table,MATCH(DATE(P$5,$J128,$I128),daily_dates,0),MATCH($B$3,daily_items,0)))</f>
        <v>#N/A</v>
      </c>
      <c r="Q128" s="1" t="e">
        <f aca="false">IF(ISBLANK(INDEX(big_daily_table,MATCH(DATE(Q$5,$J128,$I128),daily_dates,0),MATCH($B$3,daily_items,0))),NA(),INDEX(big_daily_table,MATCH(DATE(Q$5,$J128,$I128),daily_dates,0),MATCH($B$3,daily_items,0)))</f>
        <v>#N/A</v>
      </c>
      <c r="R128" s="1" t="e">
        <f aca="false">IF(ISBLANK(INDEX(big_daily_table,MATCH(DATE(R$5,$J128,$I128),daily_dates,0),MATCH($B$3,daily_items,0))),NA(),INDEX(big_daily_table,MATCH(DATE(R$5,$J128,$I128),daily_dates,0),MATCH($B$3,daily_items,0)))</f>
        <v>#N/A</v>
      </c>
      <c r="S128" s="1" t="e">
        <f aca="false">IF(ISBLANK(INDEX(big_daily_table,MATCH(DATE(S$5,$J128,$I128),daily_dates,0),MATCH($B$3,daily_items,0))),NA(),INDEX(big_daily_table,MATCH(DATE(S$5,$J128,$I128),daily_dates,0),MATCH($B$3,daily_items,0)))</f>
        <v>#N/A</v>
      </c>
      <c r="T128" s="1" t="e">
        <f aca="false">IF(ISBLANK(INDEX(big_daily_table,MATCH(DATE(T$5,$J128,$I128),daily_dates,0),MATCH($B$3,daily_items,0))),NA(),INDEX(big_daily_table,MATCH(DATE(T$5,$J128,$I128),daily_dates,0),MATCH($B$3,daily_items,0)))</f>
        <v>#N/A</v>
      </c>
      <c r="U128" s="1" t="e">
        <f aca="false">IF(ISBLANK(INDEX(big_daily_table,MATCH(DATE(U$5,$J128,$I128),daily_dates,0),MATCH($B$3,daily_items,0))),NA(),INDEX(big_daily_table,MATCH(DATE(U$5,$J128,$I128),daily_dates,0),MATCH($B$3,daily_items,0)))</f>
        <v>#N/A</v>
      </c>
      <c r="V128" s="1" t="e">
        <f aca="false">IF(ISBLANK(INDEX(big_daily_table,MATCH(DATE(V$5,$J128,$I128),daily_dates,0),MATCH($B$3,daily_items,0))),NA(),INDEX(big_daily_table,MATCH(DATE(V$5,$J128,$I128),daily_dates,0),MATCH($B$3,daily_items,0)))</f>
        <v>#N/A</v>
      </c>
      <c r="W128" s="1" t="e">
        <f aca="false">IF(ISBLANK(INDEX(big_daily_table,MATCH(DATE(W$5,$J128,$I128),daily_dates,0),MATCH($B$3,daily_items,0))),NA(),INDEX(big_daily_table,MATCH(DATE(W$5,$J128,$I128),daily_dates,0),MATCH($B$3,daily_items,0)))</f>
        <v>#N/A</v>
      </c>
      <c r="X128" s="1" t="e">
        <f aca="false">IF(ISBLANK(INDEX(big_daily_table,MATCH(DATE(X$5,$J128,$I128),daily_dates,0),MATCH($B$3,daily_items,0))),NA(),INDEX(big_daily_table,MATCH(DATE(X$5,$J128,$I128),daily_dates,0),MATCH($B$3,daily_items,0)))</f>
        <v>#N/A</v>
      </c>
      <c r="Y128" s="1" t="e">
        <f aca="false">IF(ISBLANK(INDEX(big_daily_table,MATCH(DATE(Y$5,$J128,$I128),daily_dates,0),MATCH($B$3,daily_items,0))),NA(),INDEX(big_daily_table,MATCH(DATE(Y$5,$J128,$I128),daily_dates,0),MATCH($B$3,daily_items,0)))</f>
        <v>#N/A</v>
      </c>
      <c r="Z128" s="1" t="n">
        <f aca="true">_xlfn.AGGREGATE(5,6,OFFSET($R$5,H128,0,1,$J$2))</f>
        <v>0</v>
      </c>
      <c r="AA128" s="1" t="n">
        <f aca="true">_xlfn.AGGREGATE(4,6,OFFSET($R$5,H128,0,1,$J$2))</f>
        <v>0</v>
      </c>
      <c r="AB128" s="1" t="n">
        <f aca="false">AA128-Z128</f>
        <v>0</v>
      </c>
      <c r="AC128" s="1" t="e">
        <f aca="true">_xlfn.AGGREGATE(1,6,OFFSET($R$5,H128,0,1,$J$2))</f>
        <v>#DIV/0!</v>
      </c>
    </row>
    <row r="129" customFormat="false" ht="14.25" hidden="false" customHeight="false" outlineLevel="0" collapsed="false">
      <c r="H129" s="1" t="n">
        <f aca="false">H128+1</f>
        <v>124</v>
      </c>
      <c r="I129" s="1" t="n">
        <f aca="false">DAY(K129)</f>
        <v>3</v>
      </c>
      <c r="J129" s="1" t="n">
        <f aca="false">MONTH(K129)</f>
        <v>5</v>
      </c>
      <c r="K129" s="23" t="n">
        <f aca="false">K128+1</f>
        <v>36649</v>
      </c>
      <c r="L129" s="24" t="n">
        <f aca="true">IF(TODAY()&lt;DATE($N$5,J129,I129),1000000,-1000000)</f>
        <v>-1000000</v>
      </c>
      <c r="M129" s="1" t="e">
        <f aca="false">IF(K129&gt;0,INDEX(big_daily_table,MATCH(DATE(N$5,$J129,$I129),daily_dates,0),MATCH($B$3,daily_items,0)),NA())</f>
        <v>#N/A</v>
      </c>
      <c r="N129" s="1" t="e">
        <f aca="false">IF(L129&lt;0,INDEX(big_daily_table,MATCH(DATE(N$5,$J129,$I129),daily_dates,0),MATCH($B$3,daily_items,0)),NA())</f>
        <v>#N/A</v>
      </c>
      <c r="O129" s="1" t="e">
        <f aca="false">IF(ISBLANK(INDEX(big_daily_table,MATCH(DATE(O$5,$J129,$I129),daily_dates,0),MATCH($B$3,daily_items,0))),NA(),INDEX(big_daily_table,MATCH(DATE(O$5,$J129,$I129),daily_dates,0),MATCH($B$3,daily_items,0)))</f>
        <v>#N/A</v>
      </c>
      <c r="P129" s="1" t="e">
        <f aca="false">IF(ISBLANK(INDEX(big_daily_table,MATCH(DATE(P$5,$J129,$I129),daily_dates,0),MATCH($B$3,daily_items,0))),NA(),INDEX(big_daily_table,MATCH(DATE(P$5,$J129,$I129),daily_dates,0),MATCH($B$3,daily_items,0)))</f>
        <v>#N/A</v>
      </c>
      <c r="Q129" s="1" t="e">
        <f aca="false">IF(ISBLANK(INDEX(big_daily_table,MATCH(DATE(Q$5,$J129,$I129),daily_dates,0),MATCH($B$3,daily_items,0))),NA(),INDEX(big_daily_table,MATCH(DATE(Q$5,$J129,$I129),daily_dates,0),MATCH($B$3,daily_items,0)))</f>
        <v>#N/A</v>
      </c>
      <c r="R129" s="1" t="e">
        <f aca="false">IF(ISBLANK(INDEX(big_daily_table,MATCH(DATE(R$5,$J129,$I129),daily_dates,0),MATCH($B$3,daily_items,0))),NA(),INDEX(big_daily_table,MATCH(DATE(R$5,$J129,$I129),daily_dates,0),MATCH($B$3,daily_items,0)))</f>
        <v>#N/A</v>
      </c>
      <c r="S129" s="1" t="e">
        <f aca="false">IF(ISBLANK(INDEX(big_daily_table,MATCH(DATE(S$5,$J129,$I129),daily_dates,0),MATCH($B$3,daily_items,0))),NA(),INDEX(big_daily_table,MATCH(DATE(S$5,$J129,$I129),daily_dates,0),MATCH($B$3,daily_items,0)))</f>
        <v>#N/A</v>
      </c>
      <c r="T129" s="1" t="e">
        <f aca="false">IF(ISBLANK(INDEX(big_daily_table,MATCH(DATE(T$5,$J129,$I129),daily_dates,0),MATCH($B$3,daily_items,0))),NA(),INDEX(big_daily_table,MATCH(DATE(T$5,$J129,$I129),daily_dates,0),MATCH($B$3,daily_items,0)))</f>
        <v>#N/A</v>
      </c>
      <c r="U129" s="1" t="e">
        <f aca="false">IF(ISBLANK(INDEX(big_daily_table,MATCH(DATE(U$5,$J129,$I129),daily_dates,0),MATCH($B$3,daily_items,0))),NA(),INDEX(big_daily_table,MATCH(DATE(U$5,$J129,$I129),daily_dates,0),MATCH($B$3,daily_items,0)))</f>
        <v>#N/A</v>
      </c>
      <c r="V129" s="1" t="e">
        <f aca="false">IF(ISBLANK(INDEX(big_daily_table,MATCH(DATE(V$5,$J129,$I129),daily_dates,0),MATCH($B$3,daily_items,0))),NA(),INDEX(big_daily_table,MATCH(DATE(V$5,$J129,$I129),daily_dates,0),MATCH($B$3,daily_items,0)))</f>
        <v>#N/A</v>
      </c>
      <c r="W129" s="1" t="e">
        <f aca="false">IF(ISBLANK(INDEX(big_daily_table,MATCH(DATE(W$5,$J129,$I129),daily_dates,0),MATCH($B$3,daily_items,0))),NA(),INDEX(big_daily_table,MATCH(DATE(W$5,$J129,$I129),daily_dates,0),MATCH($B$3,daily_items,0)))</f>
        <v>#N/A</v>
      </c>
      <c r="X129" s="1" t="e">
        <f aca="false">IF(ISBLANK(INDEX(big_daily_table,MATCH(DATE(X$5,$J129,$I129),daily_dates,0),MATCH($B$3,daily_items,0))),NA(),INDEX(big_daily_table,MATCH(DATE(X$5,$J129,$I129),daily_dates,0),MATCH($B$3,daily_items,0)))</f>
        <v>#N/A</v>
      </c>
      <c r="Y129" s="1" t="e">
        <f aca="false">IF(ISBLANK(INDEX(big_daily_table,MATCH(DATE(Y$5,$J129,$I129),daily_dates,0),MATCH($B$3,daily_items,0))),NA(),INDEX(big_daily_table,MATCH(DATE(Y$5,$J129,$I129),daily_dates,0),MATCH($B$3,daily_items,0)))</f>
        <v>#N/A</v>
      </c>
      <c r="Z129" s="1" t="n">
        <f aca="true">_xlfn.AGGREGATE(5,6,OFFSET($R$5,H129,0,1,$J$2))</f>
        <v>0</v>
      </c>
      <c r="AA129" s="1" t="n">
        <f aca="true">_xlfn.AGGREGATE(4,6,OFFSET($R$5,H129,0,1,$J$2))</f>
        <v>0</v>
      </c>
      <c r="AB129" s="1" t="n">
        <f aca="false">AA129-Z129</f>
        <v>0</v>
      </c>
      <c r="AC129" s="1" t="e">
        <f aca="true">_xlfn.AGGREGATE(1,6,OFFSET($R$5,H129,0,1,$J$2))</f>
        <v>#DIV/0!</v>
      </c>
    </row>
    <row r="130" customFormat="false" ht="14.25" hidden="false" customHeight="false" outlineLevel="0" collapsed="false">
      <c r="H130" s="1" t="n">
        <f aca="false">H129+1</f>
        <v>125</v>
      </c>
      <c r="I130" s="1" t="n">
        <f aca="false">DAY(K130)</f>
        <v>4</v>
      </c>
      <c r="J130" s="1" t="n">
        <f aca="false">MONTH(K130)</f>
        <v>5</v>
      </c>
      <c r="K130" s="23" t="n">
        <f aca="false">K129+1</f>
        <v>36650</v>
      </c>
      <c r="L130" s="24" t="n">
        <f aca="true">IF(TODAY()&lt;DATE($N$5,J130,I130),1000000,-1000000)</f>
        <v>-1000000</v>
      </c>
      <c r="M130" s="1" t="e">
        <f aca="false">IF(K130&gt;0,INDEX(big_daily_table,MATCH(DATE(N$5,$J130,$I130),daily_dates,0),MATCH($B$3,daily_items,0)),NA())</f>
        <v>#N/A</v>
      </c>
      <c r="N130" s="1" t="e">
        <f aca="false">IF(L130&lt;0,INDEX(big_daily_table,MATCH(DATE(N$5,$J130,$I130),daily_dates,0),MATCH($B$3,daily_items,0)),NA())</f>
        <v>#N/A</v>
      </c>
      <c r="O130" s="1" t="e">
        <f aca="false">IF(ISBLANK(INDEX(big_daily_table,MATCH(DATE(O$5,$J130,$I130),daily_dates,0),MATCH($B$3,daily_items,0))),NA(),INDEX(big_daily_table,MATCH(DATE(O$5,$J130,$I130),daily_dates,0),MATCH($B$3,daily_items,0)))</f>
        <v>#N/A</v>
      </c>
      <c r="P130" s="1" t="e">
        <f aca="false">IF(ISBLANK(INDEX(big_daily_table,MATCH(DATE(P$5,$J130,$I130),daily_dates,0),MATCH($B$3,daily_items,0))),NA(),INDEX(big_daily_table,MATCH(DATE(P$5,$J130,$I130),daily_dates,0),MATCH($B$3,daily_items,0)))</f>
        <v>#N/A</v>
      </c>
      <c r="Q130" s="1" t="e">
        <f aca="false">IF(ISBLANK(INDEX(big_daily_table,MATCH(DATE(Q$5,$J130,$I130),daily_dates,0),MATCH($B$3,daily_items,0))),NA(),INDEX(big_daily_table,MATCH(DATE(Q$5,$J130,$I130),daily_dates,0),MATCH($B$3,daily_items,0)))</f>
        <v>#N/A</v>
      </c>
      <c r="R130" s="1" t="e">
        <f aca="false">IF(ISBLANK(INDEX(big_daily_table,MATCH(DATE(R$5,$J130,$I130),daily_dates,0),MATCH($B$3,daily_items,0))),NA(),INDEX(big_daily_table,MATCH(DATE(R$5,$J130,$I130),daily_dates,0),MATCH($B$3,daily_items,0)))</f>
        <v>#N/A</v>
      </c>
      <c r="S130" s="1" t="e">
        <f aca="false">IF(ISBLANK(INDEX(big_daily_table,MATCH(DATE(S$5,$J130,$I130),daily_dates,0),MATCH($B$3,daily_items,0))),NA(),INDEX(big_daily_table,MATCH(DATE(S$5,$J130,$I130),daily_dates,0),MATCH($B$3,daily_items,0)))</f>
        <v>#N/A</v>
      </c>
      <c r="T130" s="1" t="e">
        <f aca="false">IF(ISBLANK(INDEX(big_daily_table,MATCH(DATE(T$5,$J130,$I130),daily_dates,0),MATCH($B$3,daily_items,0))),NA(),INDEX(big_daily_table,MATCH(DATE(T$5,$J130,$I130),daily_dates,0),MATCH($B$3,daily_items,0)))</f>
        <v>#N/A</v>
      </c>
      <c r="U130" s="1" t="e">
        <f aca="false">IF(ISBLANK(INDEX(big_daily_table,MATCH(DATE(U$5,$J130,$I130),daily_dates,0),MATCH($B$3,daily_items,0))),NA(),INDEX(big_daily_table,MATCH(DATE(U$5,$J130,$I130),daily_dates,0),MATCH($B$3,daily_items,0)))</f>
        <v>#N/A</v>
      </c>
      <c r="V130" s="1" t="e">
        <f aca="false">IF(ISBLANK(INDEX(big_daily_table,MATCH(DATE(V$5,$J130,$I130),daily_dates,0),MATCH($B$3,daily_items,0))),NA(),INDEX(big_daily_table,MATCH(DATE(V$5,$J130,$I130),daily_dates,0),MATCH($B$3,daily_items,0)))</f>
        <v>#N/A</v>
      </c>
      <c r="W130" s="1" t="e">
        <f aca="false">IF(ISBLANK(INDEX(big_daily_table,MATCH(DATE(W$5,$J130,$I130),daily_dates,0),MATCH($B$3,daily_items,0))),NA(),INDEX(big_daily_table,MATCH(DATE(W$5,$J130,$I130),daily_dates,0),MATCH($B$3,daily_items,0)))</f>
        <v>#N/A</v>
      </c>
      <c r="X130" s="1" t="e">
        <f aca="false">IF(ISBLANK(INDEX(big_daily_table,MATCH(DATE(X$5,$J130,$I130),daily_dates,0),MATCH($B$3,daily_items,0))),NA(),INDEX(big_daily_table,MATCH(DATE(X$5,$J130,$I130),daily_dates,0),MATCH($B$3,daily_items,0)))</f>
        <v>#N/A</v>
      </c>
      <c r="Y130" s="1" t="e">
        <f aca="false">IF(ISBLANK(INDEX(big_daily_table,MATCH(DATE(Y$5,$J130,$I130),daily_dates,0),MATCH($B$3,daily_items,0))),NA(),INDEX(big_daily_table,MATCH(DATE(Y$5,$J130,$I130),daily_dates,0),MATCH($B$3,daily_items,0)))</f>
        <v>#N/A</v>
      </c>
      <c r="Z130" s="1" t="n">
        <f aca="true">_xlfn.AGGREGATE(5,6,OFFSET($R$5,H130,0,1,$J$2))</f>
        <v>0</v>
      </c>
      <c r="AA130" s="1" t="n">
        <f aca="true">_xlfn.AGGREGATE(4,6,OFFSET($R$5,H130,0,1,$J$2))</f>
        <v>0</v>
      </c>
      <c r="AB130" s="1" t="n">
        <f aca="false">AA130-Z130</f>
        <v>0</v>
      </c>
      <c r="AC130" s="1" t="e">
        <f aca="true">_xlfn.AGGREGATE(1,6,OFFSET($R$5,H130,0,1,$J$2))</f>
        <v>#DIV/0!</v>
      </c>
    </row>
    <row r="131" customFormat="false" ht="14.25" hidden="false" customHeight="false" outlineLevel="0" collapsed="false">
      <c r="H131" s="1" t="n">
        <f aca="false">H130+1</f>
        <v>126</v>
      </c>
      <c r="I131" s="1" t="n">
        <f aca="false">DAY(K131)</f>
        <v>5</v>
      </c>
      <c r="J131" s="1" t="n">
        <f aca="false">MONTH(K131)</f>
        <v>5</v>
      </c>
      <c r="K131" s="23" t="n">
        <f aca="false">K130+1</f>
        <v>36651</v>
      </c>
      <c r="L131" s="24" t="n">
        <f aca="true">IF(TODAY()&lt;DATE($N$5,J131,I131),1000000,-1000000)</f>
        <v>-1000000</v>
      </c>
      <c r="M131" s="1" t="e">
        <f aca="false">IF(K131&gt;0,INDEX(big_daily_table,MATCH(DATE(N$5,$J131,$I131),daily_dates,0),MATCH($B$3,daily_items,0)),NA())</f>
        <v>#N/A</v>
      </c>
      <c r="N131" s="1" t="e">
        <f aca="false">IF(L131&lt;0,INDEX(big_daily_table,MATCH(DATE(N$5,$J131,$I131),daily_dates,0),MATCH($B$3,daily_items,0)),NA())</f>
        <v>#N/A</v>
      </c>
      <c r="O131" s="1" t="e">
        <f aca="false">IF(ISBLANK(INDEX(big_daily_table,MATCH(DATE(O$5,$J131,$I131),daily_dates,0),MATCH($B$3,daily_items,0))),NA(),INDEX(big_daily_table,MATCH(DATE(O$5,$J131,$I131),daily_dates,0),MATCH($B$3,daily_items,0)))</f>
        <v>#N/A</v>
      </c>
      <c r="P131" s="1" t="e">
        <f aca="false">IF(ISBLANK(INDEX(big_daily_table,MATCH(DATE(P$5,$J131,$I131),daily_dates,0),MATCH($B$3,daily_items,0))),NA(),INDEX(big_daily_table,MATCH(DATE(P$5,$J131,$I131),daily_dates,0),MATCH($B$3,daily_items,0)))</f>
        <v>#N/A</v>
      </c>
      <c r="Q131" s="1" t="e">
        <f aca="false">IF(ISBLANK(INDEX(big_daily_table,MATCH(DATE(Q$5,$J131,$I131),daily_dates,0),MATCH($B$3,daily_items,0))),NA(),INDEX(big_daily_table,MATCH(DATE(Q$5,$J131,$I131),daily_dates,0),MATCH($B$3,daily_items,0)))</f>
        <v>#N/A</v>
      </c>
      <c r="R131" s="1" t="e">
        <f aca="false">IF(ISBLANK(INDEX(big_daily_table,MATCH(DATE(R$5,$J131,$I131),daily_dates,0),MATCH($B$3,daily_items,0))),NA(),INDEX(big_daily_table,MATCH(DATE(R$5,$J131,$I131),daily_dates,0),MATCH($B$3,daily_items,0)))</f>
        <v>#N/A</v>
      </c>
      <c r="S131" s="1" t="e">
        <f aca="false">IF(ISBLANK(INDEX(big_daily_table,MATCH(DATE(S$5,$J131,$I131),daily_dates,0),MATCH($B$3,daily_items,0))),NA(),INDEX(big_daily_table,MATCH(DATE(S$5,$J131,$I131),daily_dates,0),MATCH($B$3,daily_items,0)))</f>
        <v>#N/A</v>
      </c>
      <c r="T131" s="1" t="e">
        <f aca="false">IF(ISBLANK(INDEX(big_daily_table,MATCH(DATE(T$5,$J131,$I131),daily_dates,0),MATCH($B$3,daily_items,0))),NA(),INDEX(big_daily_table,MATCH(DATE(T$5,$J131,$I131),daily_dates,0),MATCH($B$3,daily_items,0)))</f>
        <v>#N/A</v>
      </c>
      <c r="U131" s="1" t="e">
        <f aca="false">IF(ISBLANK(INDEX(big_daily_table,MATCH(DATE(U$5,$J131,$I131),daily_dates,0),MATCH($B$3,daily_items,0))),NA(),INDEX(big_daily_table,MATCH(DATE(U$5,$J131,$I131),daily_dates,0),MATCH($B$3,daily_items,0)))</f>
        <v>#N/A</v>
      </c>
      <c r="V131" s="1" t="e">
        <f aca="false">IF(ISBLANK(INDEX(big_daily_table,MATCH(DATE(V$5,$J131,$I131),daily_dates,0),MATCH($B$3,daily_items,0))),NA(),INDEX(big_daily_table,MATCH(DATE(V$5,$J131,$I131),daily_dates,0),MATCH($B$3,daily_items,0)))</f>
        <v>#N/A</v>
      </c>
      <c r="W131" s="1" t="e">
        <f aca="false">IF(ISBLANK(INDEX(big_daily_table,MATCH(DATE(W$5,$J131,$I131),daily_dates,0),MATCH($B$3,daily_items,0))),NA(),INDEX(big_daily_table,MATCH(DATE(W$5,$J131,$I131),daily_dates,0),MATCH($B$3,daily_items,0)))</f>
        <v>#N/A</v>
      </c>
      <c r="X131" s="1" t="e">
        <f aca="false">IF(ISBLANK(INDEX(big_daily_table,MATCH(DATE(X$5,$J131,$I131),daily_dates,0),MATCH($B$3,daily_items,0))),NA(),INDEX(big_daily_table,MATCH(DATE(X$5,$J131,$I131),daily_dates,0),MATCH($B$3,daily_items,0)))</f>
        <v>#N/A</v>
      </c>
      <c r="Y131" s="1" t="e">
        <f aca="false">IF(ISBLANK(INDEX(big_daily_table,MATCH(DATE(Y$5,$J131,$I131),daily_dates,0),MATCH($B$3,daily_items,0))),NA(),INDEX(big_daily_table,MATCH(DATE(Y$5,$J131,$I131),daily_dates,0),MATCH($B$3,daily_items,0)))</f>
        <v>#N/A</v>
      </c>
      <c r="Z131" s="1" t="n">
        <f aca="true">_xlfn.AGGREGATE(5,6,OFFSET($R$5,H131,0,1,$J$2))</f>
        <v>0</v>
      </c>
      <c r="AA131" s="1" t="n">
        <f aca="true">_xlfn.AGGREGATE(4,6,OFFSET($R$5,H131,0,1,$J$2))</f>
        <v>0</v>
      </c>
      <c r="AB131" s="1" t="n">
        <f aca="false">AA131-Z131</f>
        <v>0</v>
      </c>
      <c r="AC131" s="1" t="e">
        <f aca="true">_xlfn.AGGREGATE(1,6,OFFSET($R$5,H131,0,1,$J$2))</f>
        <v>#DIV/0!</v>
      </c>
    </row>
    <row r="132" customFormat="false" ht="14.25" hidden="false" customHeight="false" outlineLevel="0" collapsed="false">
      <c r="H132" s="1" t="n">
        <f aca="false">H131+1</f>
        <v>127</v>
      </c>
      <c r="I132" s="1" t="n">
        <f aca="false">DAY(K132)</f>
        <v>6</v>
      </c>
      <c r="J132" s="1" t="n">
        <f aca="false">MONTH(K132)</f>
        <v>5</v>
      </c>
      <c r="K132" s="23" t="n">
        <f aca="false">K131+1</f>
        <v>36652</v>
      </c>
      <c r="L132" s="24" t="n">
        <f aca="true">IF(TODAY()&lt;DATE($N$5,J132,I132),1000000,-1000000)</f>
        <v>-1000000</v>
      </c>
      <c r="M132" s="1" t="e">
        <f aca="false">IF(K132&gt;0,INDEX(big_daily_table,MATCH(DATE(N$5,$J132,$I132),daily_dates,0),MATCH($B$3,daily_items,0)),NA())</f>
        <v>#N/A</v>
      </c>
      <c r="N132" s="1" t="e">
        <f aca="false">IF(L132&lt;0,INDEX(big_daily_table,MATCH(DATE(N$5,$J132,$I132),daily_dates,0),MATCH($B$3,daily_items,0)),NA())</f>
        <v>#N/A</v>
      </c>
      <c r="O132" s="1" t="e">
        <f aca="false">IF(ISBLANK(INDEX(big_daily_table,MATCH(DATE(O$5,$J132,$I132),daily_dates,0),MATCH($B$3,daily_items,0))),NA(),INDEX(big_daily_table,MATCH(DATE(O$5,$J132,$I132),daily_dates,0),MATCH($B$3,daily_items,0)))</f>
        <v>#N/A</v>
      </c>
      <c r="P132" s="1" t="e">
        <f aca="false">IF(ISBLANK(INDEX(big_daily_table,MATCH(DATE(P$5,$J132,$I132),daily_dates,0),MATCH($B$3,daily_items,0))),NA(),INDEX(big_daily_table,MATCH(DATE(P$5,$J132,$I132),daily_dates,0),MATCH($B$3,daily_items,0)))</f>
        <v>#N/A</v>
      </c>
      <c r="Q132" s="1" t="e">
        <f aca="false">IF(ISBLANK(INDEX(big_daily_table,MATCH(DATE(Q$5,$J132,$I132),daily_dates,0),MATCH($B$3,daily_items,0))),NA(),INDEX(big_daily_table,MATCH(DATE(Q$5,$J132,$I132),daily_dates,0),MATCH($B$3,daily_items,0)))</f>
        <v>#N/A</v>
      </c>
      <c r="R132" s="1" t="e">
        <f aca="false">IF(ISBLANK(INDEX(big_daily_table,MATCH(DATE(R$5,$J132,$I132),daily_dates,0),MATCH($B$3,daily_items,0))),NA(),INDEX(big_daily_table,MATCH(DATE(R$5,$J132,$I132),daily_dates,0),MATCH($B$3,daily_items,0)))</f>
        <v>#N/A</v>
      </c>
      <c r="S132" s="1" t="e">
        <f aca="false">IF(ISBLANK(INDEX(big_daily_table,MATCH(DATE(S$5,$J132,$I132),daily_dates,0),MATCH($B$3,daily_items,0))),NA(),INDEX(big_daily_table,MATCH(DATE(S$5,$J132,$I132),daily_dates,0),MATCH($B$3,daily_items,0)))</f>
        <v>#N/A</v>
      </c>
      <c r="T132" s="1" t="e">
        <f aca="false">IF(ISBLANK(INDEX(big_daily_table,MATCH(DATE(T$5,$J132,$I132),daily_dates,0),MATCH($B$3,daily_items,0))),NA(),INDEX(big_daily_table,MATCH(DATE(T$5,$J132,$I132),daily_dates,0),MATCH($B$3,daily_items,0)))</f>
        <v>#N/A</v>
      </c>
      <c r="U132" s="1" t="e">
        <f aca="false">IF(ISBLANK(INDEX(big_daily_table,MATCH(DATE(U$5,$J132,$I132),daily_dates,0),MATCH($B$3,daily_items,0))),NA(),INDEX(big_daily_table,MATCH(DATE(U$5,$J132,$I132),daily_dates,0),MATCH($B$3,daily_items,0)))</f>
        <v>#N/A</v>
      </c>
      <c r="V132" s="1" t="e">
        <f aca="false">IF(ISBLANK(INDEX(big_daily_table,MATCH(DATE(V$5,$J132,$I132),daily_dates,0),MATCH($B$3,daily_items,0))),NA(),INDEX(big_daily_table,MATCH(DATE(V$5,$J132,$I132),daily_dates,0),MATCH($B$3,daily_items,0)))</f>
        <v>#N/A</v>
      </c>
      <c r="W132" s="1" t="e">
        <f aca="false">IF(ISBLANK(INDEX(big_daily_table,MATCH(DATE(W$5,$J132,$I132),daily_dates,0),MATCH($B$3,daily_items,0))),NA(),INDEX(big_daily_table,MATCH(DATE(W$5,$J132,$I132),daily_dates,0),MATCH($B$3,daily_items,0)))</f>
        <v>#N/A</v>
      </c>
      <c r="X132" s="1" t="e">
        <f aca="false">IF(ISBLANK(INDEX(big_daily_table,MATCH(DATE(X$5,$J132,$I132),daily_dates,0),MATCH($B$3,daily_items,0))),NA(),INDEX(big_daily_table,MATCH(DATE(X$5,$J132,$I132),daily_dates,0),MATCH($B$3,daily_items,0)))</f>
        <v>#N/A</v>
      </c>
      <c r="Y132" s="1" t="e">
        <f aca="false">IF(ISBLANK(INDEX(big_daily_table,MATCH(DATE(Y$5,$J132,$I132),daily_dates,0),MATCH($B$3,daily_items,0))),NA(),INDEX(big_daily_table,MATCH(DATE(Y$5,$J132,$I132),daily_dates,0),MATCH($B$3,daily_items,0)))</f>
        <v>#N/A</v>
      </c>
      <c r="Z132" s="1" t="n">
        <f aca="true">_xlfn.AGGREGATE(5,6,OFFSET($R$5,H132,0,1,$J$2))</f>
        <v>0</v>
      </c>
      <c r="AA132" s="1" t="n">
        <f aca="true">_xlfn.AGGREGATE(4,6,OFFSET($R$5,H132,0,1,$J$2))</f>
        <v>0</v>
      </c>
      <c r="AB132" s="1" t="n">
        <f aca="false">AA132-Z132</f>
        <v>0</v>
      </c>
      <c r="AC132" s="1" t="e">
        <f aca="true">_xlfn.AGGREGATE(1,6,OFFSET($R$5,H132,0,1,$J$2))</f>
        <v>#DIV/0!</v>
      </c>
    </row>
    <row r="133" customFormat="false" ht="14.25" hidden="false" customHeight="false" outlineLevel="0" collapsed="false">
      <c r="H133" s="1" t="n">
        <f aca="false">H132+1</f>
        <v>128</v>
      </c>
      <c r="I133" s="1" t="n">
        <f aca="false">DAY(K133)</f>
        <v>7</v>
      </c>
      <c r="J133" s="1" t="n">
        <f aca="false">MONTH(K133)</f>
        <v>5</v>
      </c>
      <c r="K133" s="23" t="n">
        <f aca="false">K132+1</f>
        <v>36653</v>
      </c>
      <c r="L133" s="24" t="n">
        <f aca="true">IF(TODAY()&lt;DATE($N$5,J133,I133),1000000,-1000000)</f>
        <v>-1000000</v>
      </c>
      <c r="M133" s="1" t="e">
        <f aca="false">IF(K133&gt;0,INDEX(big_daily_table,MATCH(DATE(N$5,$J133,$I133),daily_dates,0),MATCH($B$3,daily_items,0)),NA())</f>
        <v>#N/A</v>
      </c>
      <c r="N133" s="1" t="e">
        <f aca="false">IF(L133&lt;0,INDEX(big_daily_table,MATCH(DATE(N$5,$J133,$I133),daily_dates,0),MATCH($B$3,daily_items,0)),NA())</f>
        <v>#N/A</v>
      </c>
      <c r="O133" s="1" t="e">
        <f aca="false">IF(ISBLANK(INDEX(big_daily_table,MATCH(DATE(O$5,$J133,$I133),daily_dates,0),MATCH($B$3,daily_items,0))),NA(),INDEX(big_daily_table,MATCH(DATE(O$5,$J133,$I133),daily_dates,0),MATCH($B$3,daily_items,0)))</f>
        <v>#N/A</v>
      </c>
      <c r="P133" s="1" t="e">
        <f aca="false">IF(ISBLANK(INDEX(big_daily_table,MATCH(DATE(P$5,$J133,$I133),daily_dates,0),MATCH($B$3,daily_items,0))),NA(),INDEX(big_daily_table,MATCH(DATE(P$5,$J133,$I133),daily_dates,0),MATCH($B$3,daily_items,0)))</f>
        <v>#N/A</v>
      </c>
      <c r="Q133" s="1" t="e">
        <f aca="false">IF(ISBLANK(INDEX(big_daily_table,MATCH(DATE(Q$5,$J133,$I133),daily_dates,0),MATCH($B$3,daily_items,0))),NA(),INDEX(big_daily_table,MATCH(DATE(Q$5,$J133,$I133),daily_dates,0),MATCH($B$3,daily_items,0)))</f>
        <v>#N/A</v>
      </c>
      <c r="R133" s="1" t="e">
        <f aca="false">IF(ISBLANK(INDEX(big_daily_table,MATCH(DATE(R$5,$J133,$I133),daily_dates,0),MATCH($B$3,daily_items,0))),NA(),INDEX(big_daily_table,MATCH(DATE(R$5,$J133,$I133),daily_dates,0),MATCH($B$3,daily_items,0)))</f>
        <v>#N/A</v>
      </c>
      <c r="S133" s="1" t="e">
        <f aca="false">IF(ISBLANK(INDEX(big_daily_table,MATCH(DATE(S$5,$J133,$I133),daily_dates,0),MATCH($B$3,daily_items,0))),NA(),INDEX(big_daily_table,MATCH(DATE(S$5,$J133,$I133),daily_dates,0),MATCH($B$3,daily_items,0)))</f>
        <v>#N/A</v>
      </c>
      <c r="T133" s="1" t="e">
        <f aca="false">IF(ISBLANK(INDEX(big_daily_table,MATCH(DATE(T$5,$J133,$I133),daily_dates,0),MATCH($B$3,daily_items,0))),NA(),INDEX(big_daily_table,MATCH(DATE(T$5,$J133,$I133),daily_dates,0),MATCH($B$3,daily_items,0)))</f>
        <v>#N/A</v>
      </c>
      <c r="U133" s="1" t="e">
        <f aca="false">IF(ISBLANK(INDEX(big_daily_table,MATCH(DATE(U$5,$J133,$I133),daily_dates,0),MATCH($B$3,daily_items,0))),NA(),INDEX(big_daily_table,MATCH(DATE(U$5,$J133,$I133),daily_dates,0),MATCH($B$3,daily_items,0)))</f>
        <v>#N/A</v>
      </c>
      <c r="V133" s="1" t="e">
        <f aca="false">IF(ISBLANK(INDEX(big_daily_table,MATCH(DATE(V$5,$J133,$I133),daily_dates,0),MATCH($B$3,daily_items,0))),NA(),INDEX(big_daily_table,MATCH(DATE(V$5,$J133,$I133),daily_dates,0),MATCH($B$3,daily_items,0)))</f>
        <v>#N/A</v>
      </c>
      <c r="W133" s="1" t="e">
        <f aca="false">IF(ISBLANK(INDEX(big_daily_table,MATCH(DATE(W$5,$J133,$I133),daily_dates,0),MATCH($B$3,daily_items,0))),NA(),INDEX(big_daily_table,MATCH(DATE(W$5,$J133,$I133),daily_dates,0),MATCH($B$3,daily_items,0)))</f>
        <v>#N/A</v>
      </c>
      <c r="X133" s="1" t="e">
        <f aca="false">IF(ISBLANK(INDEX(big_daily_table,MATCH(DATE(X$5,$J133,$I133),daily_dates,0),MATCH($B$3,daily_items,0))),NA(),INDEX(big_daily_table,MATCH(DATE(X$5,$J133,$I133),daily_dates,0),MATCH($B$3,daily_items,0)))</f>
        <v>#N/A</v>
      </c>
      <c r="Y133" s="1" t="e">
        <f aca="false">IF(ISBLANK(INDEX(big_daily_table,MATCH(DATE(Y$5,$J133,$I133),daily_dates,0),MATCH($B$3,daily_items,0))),NA(),INDEX(big_daily_table,MATCH(DATE(Y$5,$J133,$I133),daily_dates,0),MATCH($B$3,daily_items,0)))</f>
        <v>#N/A</v>
      </c>
      <c r="Z133" s="1" t="n">
        <f aca="true">_xlfn.AGGREGATE(5,6,OFFSET($R$5,H133,0,1,$J$2))</f>
        <v>0</v>
      </c>
      <c r="AA133" s="1" t="n">
        <f aca="true">_xlfn.AGGREGATE(4,6,OFFSET($R$5,H133,0,1,$J$2))</f>
        <v>0</v>
      </c>
      <c r="AB133" s="1" t="n">
        <f aca="false">AA133-Z133</f>
        <v>0</v>
      </c>
      <c r="AC133" s="1" t="e">
        <f aca="true">_xlfn.AGGREGATE(1,6,OFFSET($R$5,H133,0,1,$J$2))</f>
        <v>#DIV/0!</v>
      </c>
    </row>
    <row r="134" customFormat="false" ht="14.25" hidden="false" customHeight="false" outlineLevel="0" collapsed="false">
      <c r="H134" s="1" t="n">
        <f aca="false">H133+1</f>
        <v>129</v>
      </c>
      <c r="I134" s="1" t="n">
        <f aca="false">DAY(K134)</f>
        <v>8</v>
      </c>
      <c r="J134" s="1" t="n">
        <f aca="false">MONTH(K134)</f>
        <v>5</v>
      </c>
      <c r="K134" s="23" t="n">
        <f aca="false">K133+1</f>
        <v>36654</v>
      </c>
      <c r="L134" s="24" t="n">
        <f aca="true">IF(TODAY()&lt;DATE($N$5,J134,I134),1000000,-1000000)</f>
        <v>-1000000</v>
      </c>
      <c r="M134" s="1" t="e">
        <f aca="false">IF(K134&gt;0,INDEX(big_daily_table,MATCH(DATE(N$5,$J134,$I134),daily_dates,0),MATCH($B$3,daily_items,0)),NA())</f>
        <v>#N/A</v>
      </c>
      <c r="N134" s="1" t="e">
        <f aca="false">IF(L134&lt;0,INDEX(big_daily_table,MATCH(DATE(N$5,$J134,$I134),daily_dates,0),MATCH($B$3,daily_items,0)),NA())</f>
        <v>#N/A</v>
      </c>
      <c r="O134" s="1" t="e">
        <f aca="false">IF(ISBLANK(INDEX(big_daily_table,MATCH(DATE(O$5,$J134,$I134),daily_dates,0),MATCH($B$3,daily_items,0))),NA(),INDEX(big_daily_table,MATCH(DATE(O$5,$J134,$I134),daily_dates,0),MATCH($B$3,daily_items,0)))</f>
        <v>#N/A</v>
      </c>
      <c r="P134" s="1" t="e">
        <f aca="false">IF(ISBLANK(INDEX(big_daily_table,MATCH(DATE(P$5,$J134,$I134),daily_dates,0),MATCH($B$3,daily_items,0))),NA(),INDEX(big_daily_table,MATCH(DATE(P$5,$J134,$I134),daily_dates,0),MATCH($B$3,daily_items,0)))</f>
        <v>#N/A</v>
      </c>
      <c r="Q134" s="1" t="e">
        <f aca="false">IF(ISBLANK(INDEX(big_daily_table,MATCH(DATE(Q$5,$J134,$I134),daily_dates,0),MATCH($B$3,daily_items,0))),NA(),INDEX(big_daily_table,MATCH(DATE(Q$5,$J134,$I134),daily_dates,0),MATCH($B$3,daily_items,0)))</f>
        <v>#N/A</v>
      </c>
      <c r="R134" s="1" t="e">
        <f aca="false">IF(ISBLANK(INDEX(big_daily_table,MATCH(DATE(R$5,$J134,$I134),daily_dates,0),MATCH($B$3,daily_items,0))),NA(),INDEX(big_daily_table,MATCH(DATE(R$5,$J134,$I134),daily_dates,0),MATCH($B$3,daily_items,0)))</f>
        <v>#N/A</v>
      </c>
      <c r="S134" s="1" t="e">
        <f aca="false">IF(ISBLANK(INDEX(big_daily_table,MATCH(DATE(S$5,$J134,$I134),daily_dates,0),MATCH($B$3,daily_items,0))),NA(),INDEX(big_daily_table,MATCH(DATE(S$5,$J134,$I134),daily_dates,0),MATCH($B$3,daily_items,0)))</f>
        <v>#N/A</v>
      </c>
      <c r="T134" s="1" t="e">
        <f aca="false">IF(ISBLANK(INDEX(big_daily_table,MATCH(DATE(T$5,$J134,$I134),daily_dates,0),MATCH($B$3,daily_items,0))),NA(),INDEX(big_daily_table,MATCH(DATE(T$5,$J134,$I134),daily_dates,0),MATCH($B$3,daily_items,0)))</f>
        <v>#N/A</v>
      </c>
      <c r="U134" s="1" t="e">
        <f aca="false">IF(ISBLANK(INDEX(big_daily_table,MATCH(DATE(U$5,$J134,$I134),daily_dates,0),MATCH($B$3,daily_items,0))),NA(),INDEX(big_daily_table,MATCH(DATE(U$5,$J134,$I134),daily_dates,0),MATCH($B$3,daily_items,0)))</f>
        <v>#N/A</v>
      </c>
      <c r="V134" s="1" t="e">
        <f aca="false">IF(ISBLANK(INDEX(big_daily_table,MATCH(DATE(V$5,$J134,$I134),daily_dates,0),MATCH($B$3,daily_items,0))),NA(),INDEX(big_daily_table,MATCH(DATE(V$5,$J134,$I134),daily_dates,0),MATCH($B$3,daily_items,0)))</f>
        <v>#N/A</v>
      </c>
      <c r="W134" s="1" t="e">
        <f aca="false">IF(ISBLANK(INDEX(big_daily_table,MATCH(DATE(W$5,$J134,$I134),daily_dates,0),MATCH($B$3,daily_items,0))),NA(),INDEX(big_daily_table,MATCH(DATE(W$5,$J134,$I134),daily_dates,0),MATCH($B$3,daily_items,0)))</f>
        <v>#N/A</v>
      </c>
      <c r="X134" s="1" t="e">
        <f aca="false">IF(ISBLANK(INDEX(big_daily_table,MATCH(DATE(X$5,$J134,$I134),daily_dates,0),MATCH($B$3,daily_items,0))),NA(),INDEX(big_daily_table,MATCH(DATE(X$5,$J134,$I134),daily_dates,0),MATCH($B$3,daily_items,0)))</f>
        <v>#N/A</v>
      </c>
      <c r="Y134" s="1" t="e">
        <f aca="false">IF(ISBLANK(INDEX(big_daily_table,MATCH(DATE(Y$5,$J134,$I134),daily_dates,0),MATCH($B$3,daily_items,0))),NA(),INDEX(big_daily_table,MATCH(DATE(Y$5,$J134,$I134),daily_dates,0),MATCH($B$3,daily_items,0)))</f>
        <v>#N/A</v>
      </c>
      <c r="Z134" s="1" t="n">
        <f aca="true">_xlfn.AGGREGATE(5,6,OFFSET($R$5,H134,0,1,$J$2))</f>
        <v>0</v>
      </c>
      <c r="AA134" s="1" t="n">
        <f aca="true">_xlfn.AGGREGATE(4,6,OFFSET($R$5,H134,0,1,$J$2))</f>
        <v>0</v>
      </c>
      <c r="AB134" s="1" t="n">
        <f aca="false">AA134-Z134</f>
        <v>0</v>
      </c>
      <c r="AC134" s="1" t="e">
        <f aca="true">_xlfn.AGGREGATE(1,6,OFFSET($R$5,H134,0,1,$J$2))</f>
        <v>#DIV/0!</v>
      </c>
    </row>
    <row r="135" customFormat="false" ht="14.25" hidden="false" customHeight="false" outlineLevel="0" collapsed="false">
      <c r="H135" s="1" t="n">
        <f aca="false">H134+1</f>
        <v>130</v>
      </c>
      <c r="I135" s="1" t="n">
        <f aca="false">DAY(K135)</f>
        <v>9</v>
      </c>
      <c r="J135" s="1" t="n">
        <f aca="false">MONTH(K135)</f>
        <v>5</v>
      </c>
      <c r="K135" s="23" t="n">
        <f aca="false">K134+1</f>
        <v>36655</v>
      </c>
      <c r="L135" s="24" t="n">
        <f aca="true">IF(TODAY()&lt;DATE($N$5,J135,I135),1000000,-1000000)</f>
        <v>-1000000</v>
      </c>
      <c r="M135" s="1" t="e">
        <f aca="false">IF(K135&gt;0,INDEX(big_daily_table,MATCH(DATE(N$5,$J135,$I135),daily_dates,0),MATCH($B$3,daily_items,0)),NA())</f>
        <v>#N/A</v>
      </c>
      <c r="N135" s="1" t="e">
        <f aca="false">IF(L135&lt;0,INDEX(big_daily_table,MATCH(DATE(N$5,$J135,$I135),daily_dates,0),MATCH($B$3,daily_items,0)),NA())</f>
        <v>#N/A</v>
      </c>
      <c r="O135" s="1" t="e">
        <f aca="false">IF(ISBLANK(INDEX(big_daily_table,MATCH(DATE(O$5,$J135,$I135),daily_dates,0),MATCH($B$3,daily_items,0))),NA(),INDEX(big_daily_table,MATCH(DATE(O$5,$J135,$I135),daily_dates,0),MATCH($B$3,daily_items,0)))</f>
        <v>#N/A</v>
      </c>
      <c r="P135" s="1" t="e">
        <f aca="false">IF(ISBLANK(INDEX(big_daily_table,MATCH(DATE(P$5,$J135,$I135),daily_dates,0),MATCH($B$3,daily_items,0))),NA(),INDEX(big_daily_table,MATCH(DATE(P$5,$J135,$I135),daily_dates,0),MATCH($B$3,daily_items,0)))</f>
        <v>#N/A</v>
      </c>
      <c r="Q135" s="1" t="e">
        <f aca="false">IF(ISBLANK(INDEX(big_daily_table,MATCH(DATE(Q$5,$J135,$I135),daily_dates,0),MATCH($B$3,daily_items,0))),NA(),INDEX(big_daily_table,MATCH(DATE(Q$5,$J135,$I135),daily_dates,0),MATCH($B$3,daily_items,0)))</f>
        <v>#N/A</v>
      </c>
      <c r="R135" s="1" t="e">
        <f aca="false">IF(ISBLANK(INDEX(big_daily_table,MATCH(DATE(R$5,$J135,$I135),daily_dates,0),MATCH($B$3,daily_items,0))),NA(),INDEX(big_daily_table,MATCH(DATE(R$5,$J135,$I135),daily_dates,0),MATCH($B$3,daily_items,0)))</f>
        <v>#N/A</v>
      </c>
      <c r="S135" s="1" t="e">
        <f aca="false">IF(ISBLANK(INDEX(big_daily_table,MATCH(DATE(S$5,$J135,$I135),daily_dates,0),MATCH($B$3,daily_items,0))),NA(),INDEX(big_daily_table,MATCH(DATE(S$5,$J135,$I135),daily_dates,0),MATCH($B$3,daily_items,0)))</f>
        <v>#N/A</v>
      </c>
      <c r="T135" s="1" t="e">
        <f aca="false">IF(ISBLANK(INDEX(big_daily_table,MATCH(DATE(T$5,$J135,$I135),daily_dates,0),MATCH($B$3,daily_items,0))),NA(),INDEX(big_daily_table,MATCH(DATE(T$5,$J135,$I135),daily_dates,0),MATCH($B$3,daily_items,0)))</f>
        <v>#N/A</v>
      </c>
      <c r="U135" s="1" t="e">
        <f aca="false">IF(ISBLANK(INDEX(big_daily_table,MATCH(DATE(U$5,$J135,$I135),daily_dates,0),MATCH($B$3,daily_items,0))),NA(),INDEX(big_daily_table,MATCH(DATE(U$5,$J135,$I135),daily_dates,0),MATCH($B$3,daily_items,0)))</f>
        <v>#N/A</v>
      </c>
      <c r="V135" s="1" t="e">
        <f aca="false">IF(ISBLANK(INDEX(big_daily_table,MATCH(DATE(V$5,$J135,$I135),daily_dates,0),MATCH($B$3,daily_items,0))),NA(),INDEX(big_daily_table,MATCH(DATE(V$5,$J135,$I135),daily_dates,0),MATCH($B$3,daily_items,0)))</f>
        <v>#N/A</v>
      </c>
      <c r="W135" s="1" t="e">
        <f aca="false">IF(ISBLANK(INDEX(big_daily_table,MATCH(DATE(W$5,$J135,$I135),daily_dates,0),MATCH($B$3,daily_items,0))),NA(),INDEX(big_daily_table,MATCH(DATE(W$5,$J135,$I135),daily_dates,0),MATCH($B$3,daily_items,0)))</f>
        <v>#N/A</v>
      </c>
      <c r="X135" s="1" t="e">
        <f aca="false">IF(ISBLANK(INDEX(big_daily_table,MATCH(DATE(X$5,$J135,$I135),daily_dates,0),MATCH($B$3,daily_items,0))),NA(),INDEX(big_daily_table,MATCH(DATE(X$5,$J135,$I135),daily_dates,0),MATCH($B$3,daily_items,0)))</f>
        <v>#N/A</v>
      </c>
      <c r="Y135" s="1" t="e">
        <f aca="false">IF(ISBLANK(INDEX(big_daily_table,MATCH(DATE(Y$5,$J135,$I135),daily_dates,0),MATCH($B$3,daily_items,0))),NA(),INDEX(big_daily_table,MATCH(DATE(Y$5,$J135,$I135),daily_dates,0),MATCH($B$3,daily_items,0)))</f>
        <v>#N/A</v>
      </c>
      <c r="Z135" s="1" t="n">
        <f aca="true">_xlfn.AGGREGATE(5,6,OFFSET($R$5,H135,0,1,$J$2))</f>
        <v>0</v>
      </c>
      <c r="AA135" s="1" t="n">
        <f aca="true">_xlfn.AGGREGATE(4,6,OFFSET($R$5,H135,0,1,$J$2))</f>
        <v>0</v>
      </c>
      <c r="AB135" s="1" t="n">
        <f aca="false">AA135-Z135</f>
        <v>0</v>
      </c>
      <c r="AC135" s="1" t="e">
        <f aca="true">_xlfn.AGGREGATE(1,6,OFFSET($R$5,H135,0,1,$J$2))</f>
        <v>#DIV/0!</v>
      </c>
    </row>
    <row r="136" customFormat="false" ht="14.25" hidden="false" customHeight="false" outlineLevel="0" collapsed="false">
      <c r="H136" s="1" t="n">
        <f aca="false">H135+1</f>
        <v>131</v>
      </c>
      <c r="I136" s="1" t="n">
        <f aca="false">DAY(K136)</f>
        <v>10</v>
      </c>
      <c r="J136" s="1" t="n">
        <f aca="false">MONTH(K136)</f>
        <v>5</v>
      </c>
      <c r="K136" s="23" t="n">
        <f aca="false">K135+1</f>
        <v>36656</v>
      </c>
      <c r="L136" s="24" t="n">
        <f aca="true">IF(TODAY()&lt;DATE($N$5,J136,I136),1000000,-1000000)</f>
        <v>-1000000</v>
      </c>
      <c r="M136" s="1" t="e">
        <f aca="false">IF(K136&gt;0,INDEX(big_daily_table,MATCH(DATE(N$5,$J136,$I136),daily_dates,0),MATCH($B$3,daily_items,0)),NA())</f>
        <v>#N/A</v>
      </c>
      <c r="N136" s="1" t="e">
        <f aca="false">IF(L136&lt;0,INDEX(big_daily_table,MATCH(DATE(N$5,$J136,$I136),daily_dates,0),MATCH($B$3,daily_items,0)),NA())</f>
        <v>#N/A</v>
      </c>
      <c r="O136" s="1" t="e">
        <f aca="false">IF(ISBLANK(INDEX(big_daily_table,MATCH(DATE(O$5,$J136,$I136),daily_dates,0),MATCH($B$3,daily_items,0))),NA(),INDEX(big_daily_table,MATCH(DATE(O$5,$J136,$I136),daily_dates,0),MATCH($B$3,daily_items,0)))</f>
        <v>#N/A</v>
      </c>
      <c r="P136" s="1" t="e">
        <f aca="false">IF(ISBLANK(INDEX(big_daily_table,MATCH(DATE(P$5,$J136,$I136),daily_dates,0),MATCH($B$3,daily_items,0))),NA(),INDEX(big_daily_table,MATCH(DATE(P$5,$J136,$I136),daily_dates,0),MATCH($B$3,daily_items,0)))</f>
        <v>#N/A</v>
      </c>
      <c r="Q136" s="1" t="e">
        <f aca="false">IF(ISBLANK(INDEX(big_daily_table,MATCH(DATE(Q$5,$J136,$I136),daily_dates,0),MATCH($B$3,daily_items,0))),NA(),INDEX(big_daily_table,MATCH(DATE(Q$5,$J136,$I136),daily_dates,0),MATCH($B$3,daily_items,0)))</f>
        <v>#N/A</v>
      </c>
      <c r="R136" s="1" t="e">
        <f aca="false">IF(ISBLANK(INDEX(big_daily_table,MATCH(DATE(R$5,$J136,$I136),daily_dates,0),MATCH($B$3,daily_items,0))),NA(),INDEX(big_daily_table,MATCH(DATE(R$5,$J136,$I136),daily_dates,0),MATCH($B$3,daily_items,0)))</f>
        <v>#N/A</v>
      </c>
      <c r="S136" s="1" t="e">
        <f aca="false">IF(ISBLANK(INDEX(big_daily_table,MATCH(DATE(S$5,$J136,$I136),daily_dates,0),MATCH($B$3,daily_items,0))),NA(),INDEX(big_daily_table,MATCH(DATE(S$5,$J136,$I136),daily_dates,0),MATCH($B$3,daily_items,0)))</f>
        <v>#N/A</v>
      </c>
      <c r="T136" s="1" t="e">
        <f aca="false">IF(ISBLANK(INDEX(big_daily_table,MATCH(DATE(T$5,$J136,$I136),daily_dates,0),MATCH($B$3,daily_items,0))),NA(),INDEX(big_daily_table,MATCH(DATE(T$5,$J136,$I136),daily_dates,0),MATCH($B$3,daily_items,0)))</f>
        <v>#N/A</v>
      </c>
      <c r="U136" s="1" t="e">
        <f aca="false">IF(ISBLANK(INDEX(big_daily_table,MATCH(DATE(U$5,$J136,$I136),daily_dates,0),MATCH($B$3,daily_items,0))),NA(),INDEX(big_daily_table,MATCH(DATE(U$5,$J136,$I136),daily_dates,0),MATCH($B$3,daily_items,0)))</f>
        <v>#N/A</v>
      </c>
      <c r="V136" s="1" t="e">
        <f aca="false">IF(ISBLANK(INDEX(big_daily_table,MATCH(DATE(V$5,$J136,$I136),daily_dates,0),MATCH($B$3,daily_items,0))),NA(),INDEX(big_daily_table,MATCH(DATE(V$5,$J136,$I136),daily_dates,0),MATCH($B$3,daily_items,0)))</f>
        <v>#N/A</v>
      </c>
      <c r="W136" s="1" t="e">
        <f aca="false">IF(ISBLANK(INDEX(big_daily_table,MATCH(DATE(W$5,$J136,$I136),daily_dates,0),MATCH($B$3,daily_items,0))),NA(),INDEX(big_daily_table,MATCH(DATE(W$5,$J136,$I136),daily_dates,0),MATCH($B$3,daily_items,0)))</f>
        <v>#N/A</v>
      </c>
      <c r="X136" s="1" t="e">
        <f aca="false">IF(ISBLANK(INDEX(big_daily_table,MATCH(DATE(X$5,$J136,$I136),daily_dates,0),MATCH($B$3,daily_items,0))),NA(),INDEX(big_daily_table,MATCH(DATE(X$5,$J136,$I136),daily_dates,0),MATCH($B$3,daily_items,0)))</f>
        <v>#N/A</v>
      </c>
      <c r="Y136" s="1" t="e">
        <f aca="false">IF(ISBLANK(INDEX(big_daily_table,MATCH(DATE(Y$5,$J136,$I136),daily_dates,0),MATCH($B$3,daily_items,0))),NA(),INDEX(big_daily_table,MATCH(DATE(Y$5,$J136,$I136),daily_dates,0),MATCH($B$3,daily_items,0)))</f>
        <v>#N/A</v>
      </c>
      <c r="Z136" s="1" t="n">
        <f aca="true">_xlfn.AGGREGATE(5,6,OFFSET($R$5,H136,0,1,$J$2))</f>
        <v>0</v>
      </c>
      <c r="AA136" s="1" t="n">
        <f aca="true">_xlfn.AGGREGATE(4,6,OFFSET($R$5,H136,0,1,$J$2))</f>
        <v>0</v>
      </c>
      <c r="AB136" s="1" t="n">
        <f aca="false">AA136-Z136</f>
        <v>0</v>
      </c>
      <c r="AC136" s="1" t="e">
        <f aca="true">_xlfn.AGGREGATE(1,6,OFFSET($R$5,H136,0,1,$J$2))</f>
        <v>#DIV/0!</v>
      </c>
    </row>
    <row r="137" customFormat="false" ht="14.25" hidden="false" customHeight="false" outlineLevel="0" collapsed="false">
      <c r="H137" s="1" t="n">
        <f aca="false">H136+1</f>
        <v>132</v>
      </c>
      <c r="I137" s="1" t="n">
        <f aca="false">DAY(K137)</f>
        <v>11</v>
      </c>
      <c r="J137" s="1" t="n">
        <f aca="false">MONTH(K137)</f>
        <v>5</v>
      </c>
      <c r="K137" s="23" t="n">
        <f aca="false">K136+1</f>
        <v>36657</v>
      </c>
      <c r="L137" s="24" t="n">
        <f aca="true">IF(TODAY()&lt;DATE($N$5,J137,I137),1000000,-1000000)</f>
        <v>-1000000</v>
      </c>
      <c r="M137" s="1" t="e">
        <f aca="false">IF(K137&gt;0,INDEX(big_daily_table,MATCH(DATE(N$5,$J137,$I137),daily_dates,0),MATCH($B$3,daily_items,0)),NA())</f>
        <v>#N/A</v>
      </c>
      <c r="N137" s="1" t="e">
        <f aca="false">IF(L137&lt;0,INDEX(big_daily_table,MATCH(DATE(N$5,$J137,$I137),daily_dates,0),MATCH($B$3,daily_items,0)),NA())</f>
        <v>#N/A</v>
      </c>
      <c r="O137" s="1" t="e">
        <f aca="false">IF(ISBLANK(INDEX(big_daily_table,MATCH(DATE(O$5,$J137,$I137),daily_dates,0),MATCH($B$3,daily_items,0))),NA(),INDEX(big_daily_table,MATCH(DATE(O$5,$J137,$I137),daily_dates,0),MATCH($B$3,daily_items,0)))</f>
        <v>#N/A</v>
      </c>
      <c r="P137" s="1" t="e">
        <f aca="false">IF(ISBLANK(INDEX(big_daily_table,MATCH(DATE(P$5,$J137,$I137),daily_dates,0),MATCH($B$3,daily_items,0))),NA(),INDEX(big_daily_table,MATCH(DATE(P$5,$J137,$I137),daily_dates,0),MATCH($B$3,daily_items,0)))</f>
        <v>#N/A</v>
      </c>
      <c r="Q137" s="1" t="e">
        <f aca="false">IF(ISBLANK(INDEX(big_daily_table,MATCH(DATE(Q$5,$J137,$I137),daily_dates,0),MATCH($B$3,daily_items,0))),NA(),INDEX(big_daily_table,MATCH(DATE(Q$5,$J137,$I137),daily_dates,0),MATCH($B$3,daily_items,0)))</f>
        <v>#N/A</v>
      </c>
      <c r="R137" s="1" t="e">
        <f aca="false">IF(ISBLANK(INDEX(big_daily_table,MATCH(DATE(R$5,$J137,$I137),daily_dates,0),MATCH($B$3,daily_items,0))),NA(),INDEX(big_daily_table,MATCH(DATE(R$5,$J137,$I137),daily_dates,0),MATCH($B$3,daily_items,0)))</f>
        <v>#N/A</v>
      </c>
      <c r="S137" s="1" t="e">
        <f aca="false">IF(ISBLANK(INDEX(big_daily_table,MATCH(DATE(S$5,$J137,$I137),daily_dates,0),MATCH($B$3,daily_items,0))),NA(),INDEX(big_daily_table,MATCH(DATE(S$5,$J137,$I137),daily_dates,0),MATCH($B$3,daily_items,0)))</f>
        <v>#N/A</v>
      </c>
      <c r="T137" s="1" t="e">
        <f aca="false">IF(ISBLANK(INDEX(big_daily_table,MATCH(DATE(T$5,$J137,$I137),daily_dates,0),MATCH($B$3,daily_items,0))),NA(),INDEX(big_daily_table,MATCH(DATE(T$5,$J137,$I137),daily_dates,0),MATCH($B$3,daily_items,0)))</f>
        <v>#N/A</v>
      </c>
      <c r="U137" s="1" t="e">
        <f aca="false">IF(ISBLANK(INDEX(big_daily_table,MATCH(DATE(U$5,$J137,$I137),daily_dates,0),MATCH($B$3,daily_items,0))),NA(),INDEX(big_daily_table,MATCH(DATE(U$5,$J137,$I137),daily_dates,0),MATCH($B$3,daily_items,0)))</f>
        <v>#N/A</v>
      </c>
      <c r="V137" s="1" t="e">
        <f aca="false">IF(ISBLANK(INDEX(big_daily_table,MATCH(DATE(V$5,$J137,$I137),daily_dates,0),MATCH($B$3,daily_items,0))),NA(),INDEX(big_daily_table,MATCH(DATE(V$5,$J137,$I137),daily_dates,0),MATCH($B$3,daily_items,0)))</f>
        <v>#N/A</v>
      </c>
      <c r="W137" s="1" t="e">
        <f aca="false">IF(ISBLANK(INDEX(big_daily_table,MATCH(DATE(W$5,$J137,$I137),daily_dates,0),MATCH($B$3,daily_items,0))),NA(),INDEX(big_daily_table,MATCH(DATE(W$5,$J137,$I137),daily_dates,0),MATCH($B$3,daily_items,0)))</f>
        <v>#N/A</v>
      </c>
      <c r="X137" s="1" t="e">
        <f aca="false">IF(ISBLANK(INDEX(big_daily_table,MATCH(DATE(X$5,$J137,$I137),daily_dates,0),MATCH($B$3,daily_items,0))),NA(),INDEX(big_daily_table,MATCH(DATE(X$5,$J137,$I137),daily_dates,0),MATCH($B$3,daily_items,0)))</f>
        <v>#N/A</v>
      </c>
      <c r="Y137" s="1" t="e">
        <f aca="false">IF(ISBLANK(INDEX(big_daily_table,MATCH(DATE(Y$5,$J137,$I137),daily_dates,0),MATCH($B$3,daily_items,0))),NA(),INDEX(big_daily_table,MATCH(DATE(Y$5,$J137,$I137),daily_dates,0),MATCH($B$3,daily_items,0)))</f>
        <v>#N/A</v>
      </c>
      <c r="Z137" s="1" t="n">
        <f aca="true">_xlfn.AGGREGATE(5,6,OFFSET($R$5,H137,0,1,$J$2))</f>
        <v>0</v>
      </c>
      <c r="AA137" s="1" t="n">
        <f aca="true">_xlfn.AGGREGATE(4,6,OFFSET($R$5,H137,0,1,$J$2))</f>
        <v>0</v>
      </c>
      <c r="AB137" s="1" t="n">
        <f aca="false">AA137-Z137</f>
        <v>0</v>
      </c>
      <c r="AC137" s="1" t="e">
        <f aca="true">_xlfn.AGGREGATE(1,6,OFFSET($R$5,H137,0,1,$J$2))</f>
        <v>#DIV/0!</v>
      </c>
    </row>
    <row r="138" customFormat="false" ht="14.25" hidden="false" customHeight="false" outlineLevel="0" collapsed="false">
      <c r="H138" s="1" t="n">
        <f aca="false">H137+1</f>
        <v>133</v>
      </c>
      <c r="I138" s="1" t="n">
        <f aca="false">DAY(K138)</f>
        <v>12</v>
      </c>
      <c r="J138" s="1" t="n">
        <f aca="false">MONTH(K138)</f>
        <v>5</v>
      </c>
      <c r="K138" s="23" t="n">
        <f aca="false">K137+1</f>
        <v>36658</v>
      </c>
      <c r="L138" s="24" t="n">
        <f aca="true">IF(TODAY()&lt;DATE($N$5,J138,I138),1000000,-1000000)</f>
        <v>-1000000</v>
      </c>
      <c r="M138" s="1" t="e">
        <f aca="false">IF(K138&gt;0,INDEX(big_daily_table,MATCH(DATE(N$5,$J138,$I138),daily_dates,0),MATCH($B$3,daily_items,0)),NA())</f>
        <v>#N/A</v>
      </c>
      <c r="N138" s="1" t="e">
        <f aca="false">IF(L138&lt;0,INDEX(big_daily_table,MATCH(DATE(N$5,$J138,$I138),daily_dates,0),MATCH($B$3,daily_items,0)),NA())</f>
        <v>#N/A</v>
      </c>
      <c r="O138" s="1" t="e">
        <f aca="false">IF(ISBLANK(INDEX(big_daily_table,MATCH(DATE(O$5,$J138,$I138),daily_dates,0),MATCH($B$3,daily_items,0))),NA(),INDEX(big_daily_table,MATCH(DATE(O$5,$J138,$I138),daily_dates,0),MATCH($B$3,daily_items,0)))</f>
        <v>#N/A</v>
      </c>
      <c r="P138" s="1" t="e">
        <f aca="false">IF(ISBLANK(INDEX(big_daily_table,MATCH(DATE(P$5,$J138,$I138),daily_dates,0),MATCH($B$3,daily_items,0))),NA(),INDEX(big_daily_table,MATCH(DATE(P$5,$J138,$I138),daily_dates,0),MATCH($B$3,daily_items,0)))</f>
        <v>#N/A</v>
      </c>
      <c r="Q138" s="1" t="e">
        <f aca="false">IF(ISBLANK(INDEX(big_daily_table,MATCH(DATE(Q$5,$J138,$I138),daily_dates,0),MATCH($B$3,daily_items,0))),NA(),INDEX(big_daily_table,MATCH(DATE(Q$5,$J138,$I138),daily_dates,0),MATCH($B$3,daily_items,0)))</f>
        <v>#N/A</v>
      </c>
      <c r="R138" s="1" t="e">
        <f aca="false">IF(ISBLANK(INDEX(big_daily_table,MATCH(DATE(R$5,$J138,$I138),daily_dates,0),MATCH($B$3,daily_items,0))),NA(),INDEX(big_daily_table,MATCH(DATE(R$5,$J138,$I138),daily_dates,0),MATCH($B$3,daily_items,0)))</f>
        <v>#N/A</v>
      </c>
      <c r="S138" s="1" t="e">
        <f aca="false">IF(ISBLANK(INDEX(big_daily_table,MATCH(DATE(S$5,$J138,$I138),daily_dates,0),MATCH($B$3,daily_items,0))),NA(),INDEX(big_daily_table,MATCH(DATE(S$5,$J138,$I138),daily_dates,0),MATCH($B$3,daily_items,0)))</f>
        <v>#N/A</v>
      </c>
      <c r="T138" s="1" t="e">
        <f aca="false">IF(ISBLANK(INDEX(big_daily_table,MATCH(DATE(T$5,$J138,$I138),daily_dates,0),MATCH($B$3,daily_items,0))),NA(),INDEX(big_daily_table,MATCH(DATE(T$5,$J138,$I138),daily_dates,0),MATCH($B$3,daily_items,0)))</f>
        <v>#N/A</v>
      </c>
      <c r="U138" s="1" t="e">
        <f aca="false">IF(ISBLANK(INDEX(big_daily_table,MATCH(DATE(U$5,$J138,$I138),daily_dates,0),MATCH($B$3,daily_items,0))),NA(),INDEX(big_daily_table,MATCH(DATE(U$5,$J138,$I138),daily_dates,0),MATCH($B$3,daily_items,0)))</f>
        <v>#N/A</v>
      </c>
      <c r="V138" s="1" t="e">
        <f aca="false">IF(ISBLANK(INDEX(big_daily_table,MATCH(DATE(V$5,$J138,$I138),daily_dates,0),MATCH($B$3,daily_items,0))),NA(),INDEX(big_daily_table,MATCH(DATE(V$5,$J138,$I138),daily_dates,0),MATCH($B$3,daily_items,0)))</f>
        <v>#N/A</v>
      </c>
      <c r="W138" s="1" t="e">
        <f aca="false">IF(ISBLANK(INDEX(big_daily_table,MATCH(DATE(W$5,$J138,$I138),daily_dates,0),MATCH($B$3,daily_items,0))),NA(),INDEX(big_daily_table,MATCH(DATE(W$5,$J138,$I138),daily_dates,0),MATCH($B$3,daily_items,0)))</f>
        <v>#N/A</v>
      </c>
      <c r="X138" s="1" t="e">
        <f aca="false">IF(ISBLANK(INDEX(big_daily_table,MATCH(DATE(X$5,$J138,$I138),daily_dates,0),MATCH($B$3,daily_items,0))),NA(),INDEX(big_daily_table,MATCH(DATE(X$5,$J138,$I138),daily_dates,0),MATCH($B$3,daily_items,0)))</f>
        <v>#N/A</v>
      </c>
      <c r="Y138" s="1" t="e">
        <f aca="false">IF(ISBLANK(INDEX(big_daily_table,MATCH(DATE(Y$5,$J138,$I138),daily_dates,0),MATCH($B$3,daily_items,0))),NA(),INDEX(big_daily_table,MATCH(DATE(Y$5,$J138,$I138),daily_dates,0),MATCH($B$3,daily_items,0)))</f>
        <v>#N/A</v>
      </c>
      <c r="Z138" s="1" t="n">
        <f aca="true">_xlfn.AGGREGATE(5,6,OFFSET($R$5,H138,0,1,$J$2))</f>
        <v>0</v>
      </c>
      <c r="AA138" s="1" t="n">
        <f aca="true">_xlfn.AGGREGATE(4,6,OFFSET($R$5,H138,0,1,$J$2))</f>
        <v>0</v>
      </c>
      <c r="AB138" s="1" t="n">
        <f aca="false">AA138-Z138</f>
        <v>0</v>
      </c>
      <c r="AC138" s="1" t="e">
        <f aca="true">_xlfn.AGGREGATE(1,6,OFFSET($R$5,H138,0,1,$J$2))</f>
        <v>#DIV/0!</v>
      </c>
    </row>
    <row r="139" customFormat="false" ht="14.25" hidden="false" customHeight="false" outlineLevel="0" collapsed="false">
      <c r="H139" s="1" t="n">
        <f aca="false">H138+1</f>
        <v>134</v>
      </c>
      <c r="I139" s="1" t="n">
        <f aca="false">DAY(K139)</f>
        <v>13</v>
      </c>
      <c r="J139" s="1" t="n">
        <f aca="false">MONTH(K139)</f>
        <v>5</v>
      </c>
      <c r="K139" s="23" t="n">
        <f aca="false">K138+1</f>
        <v>36659</v>
      </c>
      <c r="L139" s="24" t="n">
        <f aca="true">IF(TODAY()&lt;DATE($N$5,J139,I139),1000000,-1000000)</f>
        <v>-1000000</v>
      </c>
      <c r="M139" s="1" t="e">
        <f aca="false">IF(K139&gt;0,INDEX(big_daily_table,MATCH(DATE(N$5,$J139,$I139),daily_dates,0),MATCH($B$3,daily_items,0)),NA())</f>
        <v>#N/A</v>
      </c>
      <c r="N139" s="1" t="e">
        <f aca="false">IF(L139&lt;0,INDEX(big_daily_table,MATCH(DATE(N$5,$J139,$I139),daily_dates,0),MATCH($B$3,daily_items,0)),NA())</f>
        <v>#N/A</v>
      </c>
      <c r="O139" s="1" t="e">
        <f aca="false">IF(ISBLANK(INDEX(big_daily_table,MATCH(DATE(O$5,$J139,$I139),daily_dates,0),MATCH($B$3,daily_items,0))),NA(),INDEX(big_daily_table,MATCH(DATE(O$5,$J139,$I139),daily_dates,0),MATCH($B$3,daily_items,0)))</f>
        <v>#N/A</v>
      </c>
      <c r="P139" s="1" t="e">
        <f aca="false">IF(ISBLANK(INDEX(big_daily_table,MATCH(DATE(P$5,$J139,$I139),daily_dates,0),MATCH($B$3,daily_items,0))),NA(),INDEX(big_daily_table,MATCH(DATE(P$5,$J139,$I139),daily_dates,0),MATCH($B$3,daily_items,0)))</f>
        <v>#N/A</v>
      </c>
      <c r="Q139" s="1" t="e">
        <f aca="false">IF(ISBLANK(INDEX(big_daily_table,MATCH(DATE(Q$5,$J139,$I139),daily_dates,0),MATCH($B$3,daily_items,0))),NA(),INDEX(big_daily_table,MATCH(DATE(Q$5,$J139,$I139),daily_dates,0),MATCH($B$3,daily_items,0)))</f>
        <v>#N/A</v>
      </c>
      <c r="R139" s="1" t="e">
        <f aca="false">IF(ISBLANK(INDEX(big_daily_table,MATCH(DATE(R$5,$J139,$I139),daily_dates,0),MATCH($B$3,daily_items,0))),NA(),INDEX(big_daily_table,MATCH(DATE(R$5,$J139,$I139),daily_dates,0),MATCH($B$3,daily_items,0)))</f>
        <v>#N/A</v>
      </c>
      <c r="S139" s="1" t="e">
        <f aca="false">IF(ISBLANK(INDEX(big_daily_table,MATCH(DATE(S$5,$J139,$I139),daily_dates,0),MATCH($B$3,daily_items,0))),NA(),INDEX(big_daily_table,MATCH(DATE(S$5,$J139,$I139),daily_dates,0),MATCH($B$3,daily_items,0)))</f>
        <v>#N/A</v>
      </c>
      <c r="T139" s="1" t="e">
        <f aca="false">IF(ISBLANK(INDEX(big_daily_table,MATCH(DATE(T$5,$J139,$I139),daily_dates,0),MATCH($B$3,daily_items,0))),NA(),INDEX(big_daily_table,MATCH(DATE(T$5,$J139,$I139),daily_dates,0),MATCH($B$3,daily_items,0)))</f>
        <v>#N/A</v>
      </c>
      <c r="U139" s="1" t="e">
        <f aca="false">IF(ISBLANK(INDEX(big_daily_table,MATCH(DATE(U$5,$J139,$I139),daily_dates,0),MATCH($B$3,daily_items,0))),NA(),INDEX(big_daily_table,MATCH(DATE(U$5,$J139,$I139),daily_dates,0),MATCH($B$3,daily_items,0)))</f>
        <v>#N/A</v>
      </c>
      <c r="V139" s="1" t="e">
        <f aca="false">IF(ISBLANK(INDEX(big_daily_table,MATCH(DATE(V$5,$J139,$I139),daily_dates,0),MATCH($B$3,daily_items,0))),NA(),INDEX(big_daily_table,MATCH(DATE(V$5,$J139,$I139),daily_dates,0),MATCH($B$3,daily_items,0)))</f>
        <v>#N/A</v>
      </c>
      <c r="W139" s="1" t="e">
        <f aca="false">IF(ISBLANK(INDEX(big_daily_table,MATCH(DATE(W$5,$J139,$I139),daily_dates,0),MATCH($B$3,daily_items,0))),NA(),INDEX(big_daily_table,MATCH(DATE(W$5,$J139,$I139),daily_dates,0),MATCH($B$3,daily_items,0)))</f>
        <v>#N/A</v>
      </c>
      <c r="X139" s="1" t="e">
        <f aca="false">IF(ISBLANK(INDEX(big_daily_table,MATCH(DATE(X$5,$J139,$I139),daily_dates,0),MATCH($B$3,daily_items,0))),NA(),INDEX(big_daily_table,MATCH(DATE(X$5,$J139,$I139),daily_dates,0),MATCH($B$3,daily_items,0)))</f>
        <v>#N/A</v>
      </c>
      <c r="Y139" s="1" t="e">
        <f aca="false">IF(ISBLANK(INDEX(big_daily_table,MATCH(DATE(Y$5,$J139,$I139),daily_dates,0),MATCH($B$3,daily_items,0))),NA(),INDEX(big_daily_table,MATCH(DATE(Y$5,$J139,$I139),daily_dates,0),MATCH($B$3,daily_items,0)))</f>
        <v>#N/A</v>
      </c>
      <c r="Z139" s="1" t="n">
        <f aca="true">_xlfn.AGGREGATE(5,6,OFFSET($R$5,H139,0,1,$J$2))</f>
        <v>0</v>
      </c>
      <c r="AA139" s="1" t="n">
        <f aca="true">_xlfn.AGGREGATE(4,6,OFFSET($R$5,H139,0,1,$J$2))</f>
        <v>0</v>
      </c>
      <c r="AB139" s="1" t="n">
        <f aca="false">AA139-Z139</f>
        <v>0</v>
      </c>
      <c r="AC139" s="1" t="e">
        <f aca="true">_xlfn.AGGREGATE(1,6,OFFSET($R$5,H139,0,1,$J$2))</f>
        <v>#DIV/0!</v>
      </c>
    </row>
    <row r="140" customFormat="false" ht="14.25" hidden="false" customHeight="false" outlineLevel="0" collapsed="false">
      <c r="H140" s="1" t="n">
        <f aca="false">H139+1</f>
        <v>135</v>
      </c>
      <c r="I140" s="1" t="n">
        <f aca="false">DAY(K140)</f>
        <v>14</v>
      </c>
      <c r="J140" s="1" t="n">
        <f aca="false">MONTH(K140)</f>
        <v>5</v>
      </c>
      <c r="K140" s="23" t="n">
        <f aca="false">K139+1</f>
        <v>36660</v>
      </c>
      <c r="L140" s="24" t="n">
        <f aca="true">IF(TODAY()&lt;DATE($N$5,J140,I140),1000000,-1000000)</f>
        <v>-1000000</v>
      </c>
      <c r="M140" s="1" t="e">
        <f aca="false">IF(K140&gt;0,INDEX(big_daily_table,MATCH(DATE(N$5,$J140,$I140),daily_dates,0),MATCH($B$3,daily_items,0)),NA())</f>
        <v>#N/A</v>
      </c>
      <c r="N140" s="1" t="e">
        <f aca="false">IF(L140&lt;0,INDEX(big_daily_table,MATCH(DATE(N$5,$J140,$I140),daily_dates,0),MATCH($B$3,daily_items,0)),NA())</f>
        <v>#N/A</v>
      </c>
      <c r="O140" s="1" t="e">
        <f aca="false">IF(ISBLANK(INDEX(big_daily_table,MATCH(DATE(O$5,$J140,$I140),daily_dates,0),MATCH($B$3,daily_items,0))),NA(),INDEX(big_daily_table,MATCH(DATE(O$5,$J140,$I140),daily_dates,0),MATCH($B$3,daily_items,0)))</f>
        <v>#N/A</v>
      </c>
      <c r="P140" s="1" t="e">
        <f aca="false">IF(ISBLANK(INDEX(big_daily_table,MATCH(DATE(P$5,$J140,$I140),daily_dates,0),MATCH($B$3,daily_items,0))),NA(),INDEX(big_daily_table,MATCH(DATE(P$5,$J140,$I140),daily_dates,0),MATCH($B$3,daily_items,0)))</f>
        <v>#N/A</v>
      </c>
      <c r="Q140" s="1" t="e">
        <f aca="false">IF(ISBLANK(INDEX(big_daily_table,MATCH(DATE(Q$5,$J140,$I140),daily_dates,0),MATCH($B$3,daily_items,0))),NA(),INDEX(big_daily_table,MATCH(DATE(Q$5,$J140,$I140),daily_dates,0),MATCH($B$3,daily_items,0)))</f>
        <v>#N/A</v>
      </c>
      <c r="R140" s="1" t="e">
        <f aca="false">IF(ISBLANK(INDEX(big_daily_table,MATCH(DATE(R$5,$J140,$I140),daily_dates,0),MATCH($B$3,daily_items,0))),NA(),INDEX(big_daily_table,MATCH(DATE(R$5,$J140,$I140),daily_dates,0),MATCH($B$3,daily_items,0)))</f>
        <v>#N/A</v>
      </c>
      <c r="S140" s="1" t="e">
        <f aca="false">IF(ISBLANK(INDEX(big_daily_table,MATCH(DATE(S$5,$J140,$I140),daily_dates,0),MATCH($B$3,daily_items,0))),NA(),INDEX(big_daily_table,MATCH(DATE(S$5,$J140,$I140),daily_dates,0),MATCH($B$3,daily_items,0)))</f>
        <v>#N/A</v>
      </c>
      <c r="T140" s="1" t="e">
        <f aca="false">IF(ISBLANK(INDEX(big_daily_table,MATCH(DATE(T$5,$J140,$I140),daily_dates,0),MATCH($B$3,daily_items,0))),NA(),INDEX(big_daily_table,MATCH(DATE(T$5,$J140,$I140),daily_dates,0),MATCH($B$3,daily_items,0)))</f>
        <v>#N/A</v>
      </c>
      <c r="U140" s="1" t="e">
        <f aca="false">IF(ISBLANK(INDEX(big_daily_table,MATCH(DATE(U$5,$J140,$I140),daily_dates,0),MATCH($B$3,daily_items,0))),NA(),INDEX(big_daily_table,MATCH(DATE(U$5,$J140,$I140),daily_dates,0),MATCH($B$3,daily_items,0)))</f>
        <v>#N/A</v>
      </c>
      <c r="V140" s="1" t="e">
        <f aca="false">IF(ISBLANK(INDEX(big_daily_table,MATCH(DATE(V$5,$J140,$I140),daily_dates,0),MATCH($B$3,daily_items,0))),NA(),INDEX(big_daily_table,MATCH(DATE(V$5,$J140,$I140),daily_dates,0),MATCH($B$3,daily_items,0)))</f>
        <v>#N/A</v>
      </c>
      <c r="W140" s="1" t="e">
        <f aca="false">IF(ISBLANK(INDEX(big_daily_table,MATCH(DATE(W$5,$J140,$I140),daily_dates,0),MATCH($B$3,daily_items,0))),NA(),INDEX(big_daily_table,MATCH(DATE(W$5,$J140,$I140),daily_dates,0),MATCH($B$3,daily_items,0)))</f>
        <v>#N/A</v>
      </c>
      <c r="X140" s="1" t="e">
        <f aca="false">IF(ISBLANK(INDEX(big_daily_table,MATCH(DATE(X$5,$J140,$I140),daily_dates,0),MATCH($B$3,daily_items,0))),NA(),INDEX(big_daily_table,MATCH(DATE(X$5,$J140,$I140),daily_dates,0),MATCH($B$3,daily_items,0)))</f>
        <v>#N/A</v>
      </c>
      <c r="Y140" s="1" t="e">
        <f aca="false">IF(ISBLANK(INDEX(big_daily_table,MATCH(DATE(Y$5,$J140,$I140),daily_dates,0),MATCH($B$3,daily_items,0))),NA(),INDEX(big_daily_table,MATCH(DATE(Y$5,$J140,$I140),daily_dates,0),MATCH($B$3,daily_items,0)))</f>
        <v>#N/A</v>
      </c>
      <c r="Z140" s="1" t="n">
        <f aca="true">_xlfn.AGGREGATE(5,6,OFFSET($R$5,H140,0,1,$J$2))</f>
        <v>0</v>
      </c>
      <c r="AA140" s="1" t="n">
        <f aca="true">_xlfn.AGGREGATE(4,6,OFFSET($R$5,H140,0,1,$J$2))</f>
        <v>0</v>
      </c>
      <c r="AB140" s="1" t="n">
        <f aca="false">AA140-Z140</f>
        <v>0</v>
      </c>
      <c r="AC140" s="1" t="e">
        <f aca="true">_xlfn.AGGREGATE(1,6,OFFSET($R$5,H140,0,1,$J$2))</f>
        <v>#DIV/0!</v>
      </c>
    </row>
    <row r="141" customFormat="false" ht="14.25" hidden="false" customHeight="false" outlineLevel="0" collapsed="false">
      <c r="H141" s="1" t="n">
        <f aca="false">H140+1</f>
        <v>136</v>
      </c>
      <c r="I141" s="1" t="n">
        <f aca="false">DAY(K141)</f>
        <v>15</v>
      </c>
      <c r="J141" s="1" t="n">
        <f aca="false">MONTH(K141)</f>
        <v>5</v>
      </c>
      <c r="K141" s="23" t="n">
        <f aca="false">K140+1</f>
        <v>36661</v>
      </c>
      <c r="L141" s="24" t="n">
        <f aca="true">IF(TODAY()&lt;DATE($N$5,J141,I141),1000000,-1000000)</f>
        <v>-1000000</v>
      </c>
      <c r="M141" s="1" t="e">
        <f aca="false">IF(K141&gt;0,INDEX(big_daily_table,MATCH(DATE(N$5,$J141,$I141),daily_dates,0),MATCH($B$3,daily_items,0)),NA())</f>
        <v>#N/A</v>
      </c>
      <c r="N141" s="1" t="e">
        <f aca="false">IF(L141&lt;0,INDEX(big_daily_table,MATCH(DATE(N$5,$J141,$I141),daily_dates,0),MATCH($B$3,daily_items,0)),NA())</f>
        <v>#N/A</v>
      </c>
      <c r="O141" s="1" t="e">
        <f aca="false">IF(ISBLANK(INDEX(big_daily_table,MATCH(DATE(O$5,$J141,$I141),daily_dates,0),MATCH($B$3,daily_items,0))),NA(),INDEX(big_daily_table,MATCH(DATE(O$5,$J141,$I141),daily_dates,0),MATCH($B$3,daily_items,0)))</f>
        <v>#N/A</v>
      </c>
      <c r="P141" s="1" t="e">
        <f aca="false">IF(ISBLANK(INDEX(big_daily_table,MATCH(DATE(P$5,$J141,$I141),daily_dates,0),MATCH($B$3,daily_items,0))),NA(),INDEX(big_daily_table,MATCH(DATE(P$5,$J141,$I141),daily_dates,0),MATCH($B$3,daily_items,0)))</f>
        <v>#N/A</v>
      </c>
      <c r="Q141" s="1" t="e">
        <f aca="false">IF(ISBLANK(INDEX(big_daily_table,MATCH(DATE(Q$5,$J141,$I141),daily_dates,0),MATCH($B$3,daily_items,0))),NA(),INDEX(big_daily_table,MATCH(DATE(Q$5,$J141,$I141),daily_dates,0),MATCH($B$3,daily_items,0)))</f>
        <v>#N/A</v>
      </c>
      <c r="R141" s="1" t="e">
        <f aca="false">IF(ISBLANK(INDEX(big_daily_table,MATCH(DATE(R$5,$J141,$I141),daily_dates,0),MATCH($B$3,daily_items,0))),NA(),INDEX(big_daily_table,MATCH(DATE(R$5,$J141,$I141),daily_dates,0),MATCH($B$3,daily_items,0)))</f>
        <v>#N/A</v>
      </c>
      <c r="S141" s="1" t="e">
        <f aca="false">IF(ISBLANK(INDEX(big_daily_table,MATCH(DATE(S$5,$J141,$I141),daily_dates,0),MATCH($B$3,daily_items,0))),NA(),INDEX(big_daily_table,MATCH(DATE(S$5,$J141,$I141),daily_dates,0),MATCH($B$3,daily_items,0)))</f>
        <v>#N/A</v>
      </c>
      <c r="T141" s="1" t="e">
        <f aca="false">IF(ISBLANK(INDEX(big_daily_table,MATCH(DATE(T$5,$J141,$I141),daily_dates,0),MATCH($B$3,daily_items,0))),NA(),INDEX(big_daily_table,MATCH(DATE(T$5,$J141,$I141),daily_dates,0),MATCH($B$3,daily_items,0)))</f>
        <v>#N/A</v>
      </c>
      <c r="U141" s="1" t="e">
        <f aca="false">IF(ISBLANK(INDEX(big_daily_table,MATCH(DATE(U$5,$J141,$I141),daily_dates,0),MATCH($B$3,daily_items,0))),NA(),INDEX(big_daily_table,MATCH(DATE(U$5,$J141,$I141),daily_dates,0),MATCH($B$3,daily_items,0)))</f>
        <v>#N/A</v>
      </c>
      <c r="V141" s="1" t="e">
        <f aca="false">IF(ISBLANK(INDEX(big_daily_table,MATCH(DATE(V$5,$J141,$I141),daily_dates,0),MATCH($B$3,daily_items,0))),NA(),INDEX(big_daily_table,MATCH(DATE(V$5,$J141,$I141),daily_dates,0),MATCH($B$3,daily_items,0)))</f>
        <v>#N/A</v>
      </c>
      <c r="W141" s="1" t="e">
        <f aca="false">IF(ISBLANK(INDEX(big_daily_table,MATCH(DATE(W$5,$J141,$I141),daily_dates,0),MATCH($B$3,daily_items,0))),NA(),INDEX(big_daily_table,MATCH(DATE(W$5,$J141,$I141),daily_dates,0),MATCH($B$3,daily_items,0)))</f>
        <v>#N/A</v>
      </c>
      <c r="X141" s="1" t="e">
        <f aca="false">IF(ISBLANK(INDEX(big_daily_table,MATCH(DATE(X$5,$J141,$I141),daily_dates,0),MATCH($B$3,daily_items,0))),NA(),INDEX(big_daily_table,MATCH(DATE(X$5,$J141,$I141),daily_dates,0),MATCH($B$3,daily_items,0)))</f>
        <v>#N/A</v>
      </c>
      <c r="Y141" s="1" t="e">
        <f aca="false">IF(ISBLANK(INDEX(big_daily_table,MATCH(DATE(Y$5,$J141,$I141),daily_dates,0),MATCH($B$3,daily_items,0))),NA(),INDEX(big_daily_table,MATCH(DATE(Y$5,$J141,$I141),daily_dates,0),MATCH($B$3,daily_items,0)))</f>
        <v>#N/A</v>
      </c>
      <c r="Z141" s="1" t="n">
        <f aca="true">_xlfn.AGGREGATE(5,6,OFFSET($R$5,H141,0,1,$J$2))</f>
        <v>0</v>
      </c>
      <c r="AA141" s="1" t="n">
        <f aca="true">_xlfn.AGGREGATE(4,6,OFFSET($R$5,H141,0,1,$J$2))</f>
        <v>0</v>
      </c>
      <c r="AB141" s="1" t="n">
        <f aca="false">AA141-Z141</f>
        <v>0</v>
      </c>
      <c r="AC141" s="1" t="e">
        <f aca="true">_xlfn.AGGREGATE(1,6,OFFSET($R$5,H141,0,1,$J$2))</f>
        <v>#DIV/0!</v>
      </c>
    </row>
    <row r="142" customFormat="false" ht="14.25" hidden="false" customHeight="false" outlineLevel="0" collapsed="false">
      <c r="H142" s="1" t="n">
        <f aca="false">H141+1</f>
        <v>137</v>
      </c>
      <c r="I142" s="1" t="n">
        <f aca="false">DAY(K142)</f>
        <v>16</v>
      </c>
      <c r="J142" s="1" t="n">
        <f aca="false">MONTH(K142)</f>
        <v>5</v>
      </c>
      <c r="K142" s="23" t="n">
        <f aca="false">K141+1</f>
        <v>36662</v>
      </c>
      <c r="L142" s="24" t="n">
        <f aca="true">IF(TODAY()&lt;DATE($N$5,J142,I142),1000000,-1000000)</f>
        <v>-1000000</v>
      </c>
      <c r="M142" s="1" t="e">
        <f aca="false">IF(K142&gt;0,INDEX(big_daily_table,MATCH(DATE(N$5,$J142,$I142),daily_dates,0),MATCH($B$3,daily_items,0)),NA())</f>
        <v>#N/A</v>
      </c>
      <c r="N142" s="1" t="e">
        <f aca="false">IF(L142&lt;0,INDEX(big_daily_table,MATCH(DATE(N$5,$J142,$I142),daily_dates,0),MATCH($B$3,daily_items,0)),NA())</f>
        <v>#N/A</v>
      </c>
      <c r="O142" s="1" t="e">
        <f aca="false">IF(ISBLANK(INDEX(big_daily_table,MATCH(DATE(O$5,$J142,$I142),daily_dates,0),MATCH($B$3,daily_items,0))),NA(),INDEX(big_daily_table,MATCH(DATE(O$5,$J142,$I142),daily_dates,0),MATCH($B$3,daily_items,0)))</f>
        <v>#N/A</v>
      </c>
      <c r="P142" s="1" t="e">
        <f aca="false">IF(ISBLANK(INDEX(big_daily_table,MATCH(DATE(P$5,$J142,$I142),daily_dates,0),MATCH($B$3,daily_items,0))),NA(),INDEX(big_daily_table,MATCH(DATE(P$5,$J142,$I142),daily_dates,0),MATCH($B$3,daily_items,0)))</f>
        <v>#N/A</v>
      </c>
      <c r="Q142" s="1" t="e">
        <f aca="false">IF(ISBLANK(INDEX(big_daily_table,MATCH(DATE(Q$5,$J142,$I142),daily_dates,0),MATCH($B$3,daily_items,0))),NA(),INDEX(big_daily_table,MATCH(DATE(Q$5,$J142,$I142),daily_dates,0),MATCH($B$3,daily_items,0)))</f>
        <v>#N/A</v>
      </c>
      <c r="R142" s="1" t="e">
        <f aca="false">IF(ISBLANK(INDEX(big_daily_table,MATCH(DATE(R$5,$J142,$I142),daily_dates,0),MATCH($B$3,daily_items,0))),NA(),INDEX(big_daily_table,MATCH(DATE(R$5,$J142,$I142),daily_dates,0),MATCH($B$3,daily_items,0)))</f>
        <v>#N/A</v>
      </c>
      <c r="S142" s="1" t="e">
        <f aca="false">IF(ISBLANK(INDEX(big_daily_table,MATCH(DATE(S$5,$J142,$I142),daily_dates,0),MATCH($B$3,daily_items,0))),NA(),INDEX(big_daily_table,MATCH(DATE(S$5,$J142,$I142),daily_dates,0),MATCH($B$3,daily_items,0)))</f>
        <v>#N/A</v>
      </c>
      <c r="T142" s="1" t="e">
        <f aca="false">IF(ISBLANK(INDEX(big_daily_table,MATCH(DATE(T$5,$J142,$I142),daily_dates,0),MATCH($B$3,daily_items,0))),NA(),INDEX(big_daily_table,MATCH(DATE(T$5,$J142,$I142),daily_dates,0),MATCH($B$3,daily_items,0)))</f>
        <v>#N/A</v>
      </c>
      <c r="U142" s="1" t="e">
        <f aca="false">IF(ISBLANK(INDEX(big_daily_table,MATCH(DATE(U$5,$J142,$I142),daily_dates,0),MATCH($B$3,daily_items,0))),NA(),INDEX(big_daily_table,MATCH(DATE(U$5,$J142,$I142),daily_dates,0),MATCH($B$3,daily_items,0)))</f>
        <v>#N/A</v>
      </c>
      <c r="V142" s="1" t="e">
        <f aca="false">IF(ISBLANK(INDEX(big_daily_table,MATCH(DATE(V$5,$J142,$I142),daily_dates,0),MATCH($B$3,daily_items,0))),NA(),INDEX(big_daily_table,MATCH(DATE(V$5,$J142,$I142),daily_dates,0),MATCH($B$3,daily_items,0)))</f>
        <v>#N/A</v>
      </c>
      <c r="W142" s="1" t="e">
        <f aca="false">IF(ISBLANK(INDEX(big_daily_table,MATCH(DATE(W$5,$J142,$I142),daily_dates,0),MATCH($B$3,daily_items,0))),NA(),INDEX(big_daily_table,MATCH(DATE(W$5,$J142,$I142),daily_dates,0),MATCH($B$3,daily_items,0)))</f>
        <v>#N/A</v>
      </c>
      <c r="X142" s="1" t="e">
        <f aca="false">IF(ISBLANK(INDEX(big_daily_table,MATCH(DATE(X$5,$J142,$I142),daily_dates,0),MATCH($B$3,daily_items,0))),NA(),INDEX(big_daily_table,MATCH(DATE(X$5,$J142,$I142),daily_dates,0),MATCH($B$3,daily_items,0)))</f>
        <v>#N/A</v>
      </c>
      <c r="Y142" s="1" t="e">
        <f aca="false">IF(ISBLANK(INDEX(big_daily_table,MATCH(DATE(Y$5,$J142,$I142),daily_dates,0),MATCH($B$3,daily_items,0))),NA(),INDEX(big_daily_table,MATCH(DATE(Y$5,$J142,$I142),daily_dates,0),MATCH($B$3,daily_items,0)))</f>
        <v>#N/A</v>
      </c>
      <c r="Z142" s="1" t="n">
        <f aca="true">_xlfn.AGGREGATE(5,6,OFFSET($R$5,H142,0,1,$J$2))</f>
        <v>0</v>
      </c>
      <c r="AA142" s="1" t="n">
        <f aca="true">_xlfn.AGGREGATE(4,6,OFFSET($R$5,H142,0,1,$J$2))</f>
        <v>0</v>
      </c>
      <c r="AB142" s="1" t="n">
        <f aca="false">AA142-Z142</f>
        <v>0</v>
      </c>
      <c r="AC142" s="1" t="e">
        <f aca="true">_xlfn.AGGREGATE(1,6,OFFSET($R$5,H142,0,1,$J$2))</f>
        <v>#DIV/0!</v>
      </c>
    </row>
    <row r="143" customFormat="false" ht="14.25" hidden="false" customHeight="false" outlineLevel="0" collapsed="false">
      <c r="H143" s="1" t="n">
        <f aca="false">H142+1</f>
        <v>138</v>
      </c>
      <c r="I143" s="1" t="n">
        <f aca="false">DAY(K143)</f>
        <v>17</v>
      </c>
      <c r="J143" s="1" t="n">
        <f aca="false">MONTH(K143)</f>
        <v>5</v>
      </c>
      <c r="K143" s="23" t="n">
        <f aca="false">K142+1</f>
        <v>36663</v>
      </c>
      <c r="L143" s="24" t="n">
        <f aca="true">IF(TODAY()&lt;DATE($N$5,J143,I143),1000000,-1000000)</f>
        <v>-1000000</v>
      </c>
      <c r="M143" s="1" t="e">
        <f aca="false">IF(K143&gt;0,INDEX(big_daily_table,MATCH(DATE(N$5,$J143,$I143),daily_dates,0),MATCH($B$3,daily_items,0)),NA())</f>
        <v>#N/A</v>
      </c>
      <c r="N143" s="1" t="e">
        <f aca="false">IF(L143&lt;0,INDEX(big_daily_table,MATCH(DATE(N$5,$J143,$I143),daily_dates,0),MATCH($B$3,daily_items,0)),NA())</f>
        <v>#N/A</v>
      </c>
      <c r="O143" s="1" t="e">
        <f aca="false">IF(ISBLANK(INDEX(big_daily_table,MATCH(DATE(O$5,$J143,$I143),daily_dates,0),MATCH($B$3,daily_items,0))),NA(),INDEX(big_daily_table,MATCH(DATE(O$5,$J143,$I143),daily_dates,0),MATCH($B$3,daily_items,0)))</f>
        <v>#N/A</v>
      </c>
      <c r="P143" s="1" t="e">
        <f aca="false">IF(ISBLANK(INDEX(big_daily_table,MATCH(DATE(P$5,$J143,$I143),daily_dates,0),MATCH($B$3,daily_items,0))),NA(),INDEX(big_daily_table,MATCH(DATE(P$5,$J143,$I143),daily_dates,0),MATCH($B$3,daily_items,0)))</f>
        <v>#N/A</v>
      </c>
      <c r="Q143" s="1" t="e">
        <f aca="false">IF(ISBLANK(INDEX(big_daily_table,MATCH(DATE(Q$5,$J143,$I143),daily_dates,0),MATCH($B$3,daily_items,0))),NA(),INDEX(big_daily_table,MATCH(DATE(Q$5,$J143,$I143),daily_dates,0),MATCH($B$3,daily_items,0)))</f>
        <v>#N/A</v>
      </c>
      <c r="R143" s="1" t="e">
        <f aca="false">IF(ISBLANK(INDEX(big_daily_table,MATCH(DATE(R$5,$J143,$I143),daily_dates,0),MATCH($B$3,daily_items,0))),NA(),INDEX(big_daily_table,MATCH(DATE(R$5,$J143,$I143),daily_dates,0),MATCH($B$3,daily_items,0)))</f>
        <v>#N/A</v>
      </c>
      <c r="S143" s="1" t="e">
        <f aca="false">IF(ISBLANK(INDEX(big_daily_table,MATCH(DATE(S$5,$J143,$I143),daily_dates,0),MATCH($B$3,daily_items,0))),NA(),INDEX(big_daily_table,MATCH(DATE(S$5,$J143,$I143),daily_dates,0),MATCH($B$3,daily_items,0)))</f>
        <v>#N/A</v>
      </c>
      <c r="T143" s="1" t="e">
        <f aca="false">IF(ISBLANK(INDEX(big_daily_table,MATCH(DATE(T$5,$J143,$I143),daily_dates,0),MATCH($B$3,daily_items,0))),NA(),INDEX(big_daily_table,MATCH(DATE(T$5,$J143,$I143),daily_dates,0),MATCH($B$3,daily_items,0)))</f>
        <v>#N/A</v>
      </c>
      <c r="U143" s="1" t="e">
        <f aca="false">IF(ISBLANK(INDEX(big_daily_table,MATCH(DATE(U$5,$J143,$I143),daily_dates,0),MATCH($B$3,daily_items,0))),NA(),INDEX(big_daily_table,MATCH(DATE(U$5,$J143,$I143),daily_dates,0),MATCH($B$3,daily_items,0)))</f>
        <v>#N/A</v>
      </c>
      <c r="V143" s="1" t="e">
        <f aca="false">IF(ISBLANK(INDEX(big_daily_table,MATCH(DATE(V$5,$J143,$I143),daily_dates,0),MATCH($B$3,daily_items,0))),NA(),INDEX(big_daily_table,MATCH(DATE(V$5,$J143,$I143),daily_dates,0),MATCH($B$3,daily_items,0)))</f>
        <v>#N/A</v>
      </c>
      <c r="W143" s="1" t="e">
        <f aca="false">IF(ISBLANK(INDEX(big_daily_table,MATCH(DATE(W$5,$J143,$I143),daily_dates,0),MATCH($B$3,daily_items,0))),NA(),INDEX(big_daily_table,MATCH(DATE(W$5,$J143,$I143),daily_dates,0),MATCH($B$3,daily_items,0)))</f>
        <v>#N/A</v>
      </c>
      <c r="X143" s="1" t="e">
        <f aca="false">IF(ISBLANK(INDEX(big_daily_table,MATCH(DATE(X$5,$J143,$I143),daily_dates,0),MATCH($B$3,daily_items,0))),NA(),INDEX(big_daily_table,MATCH(DATE(X$5,$J143,$I143),daily_dates,0),MATCH($B$3,daily_items,0)))</f>
        <v>#N/A</v>
      </c>
      <c r="Y143" s="1" t="e">
        <f aca="false">IF(ISBLANK(INDEX(big_daily_table,MATCH(DATE(Y$5,$J143,$I143),daily_dates,0),MATCH($B$3,daily_items,0))),NA(),INDEX(big_daily_table,MATCH(DATE(Y$5,$J143,$I143),daily_dates,0),MATCH($B$3,daily_items,0)))</f>
        <v>#N/A</v>
      </c>
      <c r="Z143" s="1" t="n">
        <f aca="true">_xlfn.AGGREGATE(5,6,OFFSET($R$5,H143,0,1,$J$2))</f>
        <v>0</v>
      </c>
      <c r="AA143" s="1" t="n">
        <f aca="true">_xlfn.AGGREGATE(4,6,OFFSET($R$5,H143,0,1,$J$2))</f>
        <v>0</v>
      </c>
      <c r="AB143" s="1" t="n">
        <f aca="false">AA143-Z143</f>
        <v>0</v>
      </c>
      <c r="AC143" s="1" t="e">
        <f aca="true">_xlfn.AGGREGATE(1,6,OFFSET($R$5,H143,0,1,$J$2))</f>
        <v>#DIV/0!</v>
      </c>
    </row>
    <row r="144" customFormat="false" ht="14.25" hidden="false" customHeight="false" outlineLevel="0" collapsed="false">
      <c r="H144" s="1" t="n">
        <f aca="false">H143+1</f>
        <v>139</v>
      </c>
      <c r="I144" s="1" t="n">
        <f aca="false">DAY(K144)</f>
        <v>18</v>
      </c>
      <c r="J144" s="1" t="n">
        <f aca="false">MONTH(K144)</f>
        <v>5</v>
      </c>
      <c r="K144" s="23" t="n">
        <f aca="false">K143+1</f>
        <v>36664</v>
      </c>
      <c r="L144" s="24" t="n">
        <f aca="true">IF(TODAY()&lt;DATE($N$5,J144,I144),1000000,-1000000)</f>
        <v>-1000000</v>
      </c>
      <c r="M144" s="1" t="e">
        <f aca="false">IF(K144&gt;0,INDEX(big_daily_table,MATCH(DATE(N$5,$J144,$I144),daily_dates,0),MATCH($B$3,daily_items,0)),NA())</f>
        <v>#N/A</v>
      </c>
      <c r="N144" s="1" t="e">
        <f aca="false">IF(L144&lt;0,INDEX(big_daily_table,MATCH(DATE(N$5,$J144,$I144),daily_dates,0),MATCH($B$3,daily_items,0)),NA())</f>
        <v>#N/A</v>
      </c>
      <c r="O144" s="1" t="e">
        <f aca="false">IF(ISBLANK(INDEX(big_daily_table,MATCH(DATE(O$5,$J144,$I144),daily_dates,0),MATCH($B$3,daily_items,0))),NA(),INDEX(big_daily_table,MATCH(DATE(O$5,$J144,$I144),daily_dates,0),MATCH($B$3,daily_items,0)))</f>
        <v>#N/A</v>
      </c>
      <c r="P144" s="1" t="e">
        <f aca="false">IF(ISBLANK(INDEX(big_daily_table,MATCH(DATE(P$5,$J144,$I144),daily_dates,0),MATCH($B$3,daily_items,0))),NA(),INDEX(big_daily_table,MATCH(DATE(P$5,$J144,$I144),daily_dates,0),MATCH($B$3,daily_items,0)))</f>
        <v>#N/A</v>
      </c>
      <c r="Q144" s="1" t="e">
        <f aca="false">IF(ISBLANK(INDEX(big_daily_table,MATCH(DATE(Q$5,$J144,$I144),daily_dates,0),MATCH($B$3,daily_items,0))),NA(),INDEX(big_daily_table,MATCH(DATE(Q$5,$J144,$I144),daily_dates,0),MATCH($B$3,daily_items,0)))</f>
        <v>#N/A</v>
      </c>
      <c r="R144" s="1" t="e">
        <f aca="false">IF(ISBLANK(INDEX(big_daily_table,MATCH(DATE(R$5,$J144,$I144),daily_dates,0),MATCH($B$3,daily_items,0))),NA(),INDEX(big_daily_table,MATCH(DATE(R$5,$J144,$I144),daily_dates,0),MATCH($B$3,daily_items,0)))</f>
        <v>#N/A</v>
      </c>
      <c r="S144" s="1" t="e">
        <f aca="false">IF(ISBLANK(INDEX(big_daily_table,MATCH(DATE(S$5,$J144,$I144),daily_dates,0),MATCH($B$3,daily_items,0))),NA(),INDEX(big_daily_table,MATCH(DATE(S$5,$J144,$I144),daily_dates,0),MATCH($B$3,daily_items,0)))</f>
        <v>#N/A</v>
      </c>
      <c r="T144" s="1" t="e">
        <f aca="false">IF(ISBLANK(INDEX(big_daily_table,MATCH(DATE(T$5,$J144,$I144),daily_dates,0),MATCH($B$3,daily_items,0))),NA(),INDEX(big_daily_table,MATCH(DATE(T$5,$J144,$I144),daily_dates,0),MATCH($B$3,daily_items,0)))</f>
        <v>#N/A</v>
      </c>
      <c r="U144" s="1" t="e">
        <f aca="false">IF(ISBLANK(INDEX(big_daily_table,MATCH(DATE(U$5,$J144,$I144),daily_dates,0),MATCH($B$3,daily_items,0))),NA(),INDEX(big_daily_table,MATCH(DATE(U$5,$J144,$I144),daily_dates,0),MATCH($B$3,daily_items,0)))</f>
        <v>#N/A</v>
      </c>
      <c r="V144" s="1" t="e">
        <f aca="false">IF(ISBLANK(INDEX(big_daily_table,MATCH(DATE(V$5,$J144,$I144),daily_dates,0),MATCH($B$3,daily_items,0))),NA(),INDEX(big_daily_table,MATCH(DATE(V$5,$J144,$I144),daily_dates,0),MATCH($B$3,daily_items,0)))</f>
        <v>#N/A</v>
      </c>
      <c r="W144" s="1" t="e">
        <f aca="false">IF(ISBLANK(INDEX(big_daily_table,MATCH(DATE(W$5,$J144,$I144),daily_dates,0),MATCH($B$3,daily_items,0))),NA(),INDEX(big_daily_table,MATCH(DATE(W$5,$J144,$I144),daily_dates,0),MATCH($B$3,daily_items,0)))</f>
        <v>#N/A</v>
      </c>
      <c r="X144" s="1" t="e">
        <f aca="false">IF(ISBLANK(INDEX(big_daily_table,MATCH(DATE(X$5,$J144,$I144),daily_dates,0),MATCH($B$3,daily_items,0))),NA(),INDEX(big_daily_table,MATCH(DATE(X$5,$J144,$I144),daily_dates,0),MATCH($B$3,daily_items,0)))</f>
        <v>#N/A</v>
      </c>
      <c r="Y144" s="1" t="e">
        <f aca="false">IF(ISBLANK(INDEX(big_daily_table,MATCH(DATE(Y$5,$J144,$I144),daily_dates,0),MATCH($B$3,daily_items,0))),NA(),INDEX(big_daily_table,MATCH(DATE(Y$5,$J144,$I144),daily_dates,0),MATCH($B$3,daily_items,0)))</f>
        <v>#N/A</v>
      </c>
      <c r="Z144" s="1" t="n">
        <f aca="true">_xlfn.AGGREGATE(5,6,OFFSET($R$5,H144,0,1,$J$2))</f>
        <v>0</v>
      </c>
      <c r="AA144" s="1" t="n">
        <f aca="true">_xlfn.AGGREGATE(4,6,OFFSET($R$5,H144,0,1,$J$2))</f>
        <v>0</v>
      </c>
      <c r="AB144" s="1" t="n">
        <f aca="false">AA144-Z144</f>
        <v>0</v>
      </c>
      <c r="AC144" s="1" t="e">
        <f aca="true">_xlfn.AGGREGATE(1,6,OFFSET($R$5,H144,0,1,$J$2))</f>
        <v>#DIV/0!</v>
      </c>
    </row>
    <row r="145" customFormat="false" ht="14.25" hidden="false" customHeight="false" outlineLevel="0" collapsed="false">
      <c r="H145" s="1" t="n">
        <f aca="false">H144+1</f>
        <v>140</v>
      </c>
      <c r="I145" s="1" t="n">
        <f aca="false">DAY(K145)</f>
        <v>19</v>
      </c>
      <c r="J145" s="1" t="n">
        <f aca="false">MONTH(K145)</f>
        <v>5</v>
      </c>
      <c r="K145" s="23" t="n">
        <f aca="false">K144+1</f>
        <v>36665</v>
      </c>
      <c r="L145" s="24" t="n">
        <f aca="true">IF(TODAY()&lt;DATE($N$5,J145,I145),1000000,-1000000)</f>
        <v>-1000000</v>
      </c>
      <c r="M145" s="1" t="e">
        <f aca="false">IF(K145&gt;0,INDEX(big_daily_table,MATCH(DATE(N$5,$J145,$I145),daily_dates,0),MATCH($B$3,daily_items,0)),NA())</f>
        <v>#N/A</v>
      </c>
      <c r="N145" s="1" t="e">
        <f aca="false">IF(L145&lt;0,INDEX(big_daily_table,MATCH(DATE(N$5,$J145,$I145),daily_dates,0),MATCH($B$3,daily_items,0)),NA())</f>
        <v>#N/A</v>
      </c>
      <c r="O145" s="1" t="e">
        <f aca="false">IF(ISBLANK(INDEX(big_daily_table,MATCH(DATE(O$5,$J145,$I145),daily_dates,0),MATCH($B$3,daily_items,0))),NA(),INDEX(big_daily_table,MATCH(DATE(O$5,$J145,$I145),daily_dates,0),MATCH($B$3,daily_items,0)))</f>
        <v>#N/A</v>
      </c>
      <c r="P145" s="1" t="e">
        <f aca="false">IF(ISBLANK(INDEX(big_daily_table,MATCH(DATE(P$5,$J145,$I145),daily_dates,0),MATCH($B$3,daily_items,0))),NA(),INDEX(big_daily_table,MATCH(DATE(P$5,$J145,$I145),daily_dates,0),MATCH($B$3,daily_items,0)))</f>
        <v>#N/A</v>
      </c>
      <c r="Q145" s="1" t="e">
        <f aca="false">IF(ISBLANK(INDEX(big_daily_table,MATCH(DATE(Q$5,$J145,$I145),daily_dates,0),MATCH($B$3,daily_items,0))),NA(),INDEX(big_daily_table,MATCH(DATE(Q$5,$J145,$I145),daily_dates,0),MATCH($B$3,daily_items,0)))</f>
        <v>#N/A</v>
      </c>
      <c r="R145" s="1" t="e">
        <f aca="false">IF(ISBLANK(INDEX(big_daily_table,MATCH(DATE(R$5,$J145,$I145),daily_dates,0),MATCH($B$3,daily_items,0))),NA(),INDEX(big_daily_table,MATCH(DATE(R$5,$J145,$I145),daily_dates,0),MATCH($B$3,daily_items,0)))</f>
        <v>#N/A</v>
      </c>
      <c r="S145" s="1" t="e">
        <f aca="false">IF(ISBLANK(INDEX(big_daily_table,MATCH(DATE(S$5,$J145,$I145),daily_dates,0),MATCH($B$3,daily_items,0))),NA(),INDEX(big_daily_table,MATCH(DATE(S$5,$J145,$I145),daily_dates,0),MATCH($B$3,daily_items,0)))</f>
        <v>#N/A</v>
      </c>
      <c r="T145" s="1" t="e">
        <f aca="false">IF(ISBLANK(INDEX(big_daily_table,MATCH(DATE(T$5,$J145,$I145),daily_dates,0),MATCH($B$3,daily_items,0))),NA(),INDEX(big_daily_table,MATCH(DATE(T$5,$J145,$I145),daily_dates,0),MATCH($B$3,daily_items,0)))</f>
        <v>#N/A</v>
      </c>
      <c r="U145" s="1" t="e">
        <f aca="false">IF(ISBLANK(INDEX(big_daily_table,MATCH(DATE(U$5,$J145,$I145),daily_dates,0),MATCH($B$3,daily_items,0))),NA(),INDEX(big_daily_table,MATCH(DATE(U$5,$J145,$I145),daily_dates,0),MATCH($B$3,daily_items,0)))</f>
        <v>#N/A</v>
      </c>
      <c r="V145" s="1" t="e">
        <f aca="false">IF(ISBLANK(INDEX(big_daily_table,MATCH(DATE(V$5,$J145,$I145),daily_dates,0),MATCH($B$3,daily_items,0))),NA(),INDEX(big_daily_table,MATCH(DATE(V$5,$J145,$I145),daily_dates,0),MATCH($B$3,daily_items,0)))</f>
        <v>#N/A</v>
      </c>
      <c r="W145" s="1" t="e">
        <f aca="false">IF(ISBLANK(INDEX(big_daily_table,MATCH(DATE(W$5,$J145,$I145),daily_dates,0),MATCH($B$3,daily_items,0))),NA(),INDEX(big_daily_table,MATCH(DATE(W$5,$J145,$I145),daily_dates,0),MATCH($B$3,daily_items,0)))</f>
        <v>#N/A</v>
      </c>
      <c r="X145" s="1" t="e">
        <f aca="false">IF(ISBLANK(INDEX(big_daily_table,MATCH(DATE(X$5,$J145,$I145),daily_dates,0),MATCH($B$3,daily_items,0))),NA(),INDEX(big_daily_table,MATCH(DATE(X$5,$J145,$I145),daily_dates,0),MATCH($B$3,daily_items,0)))</f>
        <v>#N/A</v>
      </c>
      <c r="Y145" s="1" t="e">
        <f aca="false">IF(ISBLANK(INDEX(big_daily_table,MATCH(DATE(Y$5,$J145,$I145),daily_dates,0),MATCH($B$3,daily_items,0))),NA(),INDEX(big_daily_table,MATCH(DATE(Y$5,$J145,$I145),daily_dates,0),MATCH($B$3,daily_items,0)))</f>
        <v>#N/A</v>
      </c>
      <c r="Z145" s="1" t="n">
        <f aca="true">_xlfn.AGGREGATE(5,6,OFFSET($R$5,H145,0,1,$J$2))</f>
        <v>0</v>
      </c>
      <c r="AA145" s="1" t="n">
        <f aca="true">_xlfn.AGGREGATE(4,6,OFFSET($R$5,H145,0,1,$J$2))</f>
        <v>0</v>
      </c>
      <c r="AB145" s="1" t="n">
        <f aca="false">AA145-Z145</f>
        <v>0</v>
      </c>
      <c r="AC145" s="1" t="e">
        <f aca="true">_xlfn.AGGREGATE(1,6,OFFSET($R$5,H145,0,1,$J$2))</f>
        <v>#DIV/0!</v>
      </c>
    </row>
    <row r="146" customFormat="false" ht="14.25" hidden="false" customHeight="false" outlineLevel="0" collapsed="false">
      <c r="H146" s="1" t="n">
        <f aca="false">H145+1</f>
        <v>141</v>
      </c>
      <c r="I146" s="1" t="n">
        <f aca="false">DAY(K146)</f>
        <v>20</v>
      </c>
      <c r="J146" s="1" t="n">
        <f aca="false">MONTH(K146)</f>
        <v>5</v>
      </c>
      <c r="K146" s="23" t="n">
        <f aca="false">K145+1</f>
        <v>36666</v>
      </c>
      <c r="L146" s="24" t="n">
        <f aca="true">IF(TODAY()&lt;DATE($N$5,J146,I146),1000000,-1000000)</f>
        <v>-1000000</v>
      </c>
      <c r="M146" s="1" t="e">
        <f aca="false">IF(K146&gt;0,INDEX(big_daily_table,MATCH(DATE(N$5,$J146,$I146),daily_dates,0),MATCH($B$3,daily_items,0)),NA())</f>
        <v>#N/A</v>
      </c>
      <c r="N146" s="1" t="e">
        <f aca="false">IF(L146&lt;0,INDEX(big_daily_table,MATCH(DATE(N$5,$J146,$I146),daily_dates,0),MATCH($B$3,daily_items,0)),NA())</f>
        <v>#N/A</v>
      </c>
      <c r="O146" s="1" t="e">
        <f aca="false">IF(ISBLANK(INDEX(big_daily_table,MATCH(DATE(O$5,$J146,$I146),daily_dates,0),MATCH($B$3,daily_items,0))),NA(),INDEX(big_daily_table,MATCH(DATE(O$5,$J146,$I146),daily_dates,0),MATCH($B$3,daily_items,0)))</f>
        <v>#N/A</v>
      </c>
      <c r="P146" s="1" t="e">
        <f aca="false">IF(ISBLANK(INDEX(big_daily_table,MATCH(DATE(P$5,$J146,$I146),daily_dates,0),MATCH($B$3,daily_items,0))),NA(),INDEX(big_daily_table,MATCH(DATE(P$5,$J146,$I146),daily_dates,0),MATCH($B$3,daily_items,0)))</f>
        <v>#N/A</v>
      </c>
      <c r="Q146" s="1" t="e">
        <f aca="false">IF(ISBLANK(INDEX(big_daily_table,MATCH(DATE(Q$5,$J146,$I146),daily_dates,0),MATCH($B$3,daily_items,0))),NA(),INDEX(big_daily_table,MATCH(DATE(Q$5,$J146,$I146),daily_dates,0),MATCH($B$3,daily_items,0)))</f>
        <v>#N/A</v>
      </c>
      <c r="R146" s="1" t="e">
        <f aca="false">IF(ISBLANK(INDEX(big_daily_table,MATCH(DATE(R$5,$J146,$I146),daily_dates,0),MATCH($B$3,daily_items,0))),NA(),INDEX(big_daily_table,MATCH(DATE(R$5,$J146,$I146),daily_dates,0),MATCH($B$3,daily_items,0)))</f>
        <v>#N/A</v>
      </c>
      <c r="S146" s="1" t="e">
        <f aca="false">IF(ISBLANK(INDEX(big_daily_table,MATCH(DATE(S$5,$J146,$I146),daily_dates,0),MATCH($B$3,daily_items,0))),NA(),INDEX(big_daily_table,MATCH(DATE(S$5,$J146,$I146),daily_dates,0),MATCH($B$3,daily_items,0)))</f>
        <v>#N/A</v>
      </c>
      <c r="T146" s="1" t="e">
        <f aca="false">IF(ISBLANK(INDEX(big_daily_table,MATCH(DATE(T$5,$J146,$I146),daily_dates,0),MATCH($B$3,daily_items,0))),NA(),INDEX(big_daily_table,MATCH(DATE(T$5,$J146,$I146),daily_dates,0),MATCH($B$3,daily_items,0)))</f>
        <v>#N/A</v>
      </c>
      <c r="U146" s="1" t="e">
        <f aca="false">IF(ISBLANK(INDEX(big_daily_table,MATCH(DATE(U$5,$J146,$I146),daily_dates,0),MATCH($B$3,daily_items,0))),NA(),INDEX(big_daily_table,MATCH(DATE(U$5,$J146,$I146),daily_dates,0),MATCH($B$3,daily_items,0)))</f>
        <v>#N/A</v>
      </c>
      <c r="V146" s="1" t="e">
        <f aca="false">IF(ISBLANK(INDEX(big_daily_table,MATCH(DATE(V$5,$J146,$I146),daily_dates,0),MATCH($B$3,daily_items,0))),NA(),INDEX(big_daily_table,MATCH(DATE(V$5,$J146,$I146),daily_dates,0),MATCH($B$3,daily_items,0)))</f>
        <v>#N/A</v>
      </c>
      <c r="W146" s="1" t="e">
        <f aca="false">IF(ISBLANK(INDEX(big_daily_table,MATCH(DATE(W$5,$J146,$I146),daily_dates,0),MATCH($B$3,daily_items,0))),NA(),INDEX(big_daily_table,MATCH(DATE(W$5,$J146,$I146),daily_dates,0),MATCH($B$3,daily_items,0)))</f>
        <v>#N/A</v>
      </c>
      <c r="X146" s="1" t="e">
        <f aca="false">IF(ISBLANK(INDEX(big_daily_table,MATCH(DATE(X$5,$J146,$I146),daily_dates,0),MATCH($B$3,daily_items,0))),NA(),INDEX(big_daily_table,MATCH(DATE(X$5,$J146,$I146),daily_dates,0),MATCH($B$3,daily_items,0)))</f>
        <v>#N/A</v>
      </c>
      <c r="Y146" s="1" t="e">
        <f aca="false">IF(ISBLANK(INDEX(big_daily_table,MATCH(DATE(Y$5,$J146,$I146),daily_dates,0),MATCH($B$3,daily_items,0))),NA(),INDEX(big_daily_table,MATCH(DATE(Y$5,$J146,$I146),daily_dates,0),MATCH($B$3,daily_items,0)))</f>
        <v>#N/A</v>
      </c>
      <c r="Z146" s="1" t="n">
        <f aca="true">_xlfn.AGGREGATE(5,6,OFFSET($R$5,H146,0,1,$J$2))</f>
        <v>0</v>
      </c>
      <c r="AA146" s="1" t="n">
        <f aca="true">_xlfn.AGGREGATE(4,6,OFFSET($R$5,H146,0,1,$J$2))</f>
        <v>0</v>
      </c>
      <c r="AB146" s="1" t="n">
        <f aca="false">AA146-Z146</f>
        <v>0</v>
      </c>
      <c r="AC146" s="1" t="e">
        <f aca="true">_xlfn.AGGREGATE(1,6,OFFSET($R$5,H146,0,1,$J$2))</f>
        <v>#DIV/0!</v>
      </c>
    </row>
    <row r="147" customFormat="false" ht="14.25" hidden="false" customHeight="false" outlineLevel="0" collapsed="false">
      <c r="H147" s="1" t="n">
        <f aca="false">H146+1</f>
        <v>142</v>
      </c>
      <c r="I147" s="1" t="n">
        <f aca="false">DAY(K147)</f>
        <v>21</v>
      </c>
      <c r="J147" s="1" t="n">
        <f aca="false">MONTH(K147)</f>
        <v>5</v>
      </c>
      <c r="K147" s="23" t="n">
        <f aca="false">K146+1</f>
        <v>36667</v>
      </c>
      <c r="L147" s="24" t="n">
        <f aca="true">IF(TODAY()&lt;DATE($N$5,J147,I147),1000000,-1000000)</f>
        <v>-1000000</v>
      </c>
      <c r="M147" s="1" t="e">
        <f aca="false">IF(K147&gt;0,INDEX(big_daily_table,MATCH(DATE(N$5,$J147,$I147),daily_dates,0),MATCH($B$3,daily_items,0)),NA())</f>
        <v>#N/A</v>
      </c>
      <c r="N147" s="1" t="e">
        <f aca="false">IF(L147&lt;0,INDEX(big_daily_table,MATCH(DATE(N$5,$J147,$I147),daily_dates,0),MATCH($B$3,daily_items,0)),NA())</f>
        <v>#N/A</v>
      </c>
      <c r="O147" s="1" t="e">
        <f aca="false">IF(ISBLANK(INDEX(big_daily_table,MATCH(DATE(O$5,$J147,$I147),daily_dates,0),MATCH($B$3,daily_items,0))),NA(),INDEX(big_daily_table,MATCH(DATE(O$5,$J147,$I147),daily_dates,0),MATCH($B$3,daily_items,0)))</f>
        <v>#N/A</v>
      </c>
      <c r="P147" s="1" t="e">
        <f aca="false">IF(ISBLANK(INDEX(big_daily_table,MATCH(DATE(P$5,$J147,$I147),daily_dates,0),MATCH($B$3,daily_items,0))),NA(),INDEX(big_daily_table,MATCH(DATE(P$5,$J147,$I147),daily_dates,0),MATCH($B$3,daily_items,0)))</f>
        <v>#N/A</v>
      </c>
      <c r="Q147" s="1" t="e">
        <f aca="false">IF(ISBLANK(INDEX(big_daily_table,MATCH(DATE(Q$5,$J147,$I147),daily_dates,0),MATCH($B$3,daily_items,0))),NA(),INDEX(big_daily_table,MATCH(DATE(Q$5,$J147,$I147),daily_dates,0),MATCH($B$3,daily_items,0)))</f>
        <v>#N/A</v>
      </c>
      <c r="R147" s="1" t="e">
        <f aca="false">IF(ISBLANK(INDEX(big_daily_table,MATCH(DATE(R$5,$J147,$I147),daily_dates,0),MATCH($B$3,daily_items,0))),NA(),INDEX(big_daily_table,MATCH(DATE(R$5,$J147,$I147),daily_dates,0),MATCH($B$3,daily_items,0)))</f>
        <v>#N/A</v>
      </c>
      <c r="S147" s="1" t="e">
        <f aca="false">IF(ISBLANK(INDEX(big_daily_table,MATCH(DATE(S$5,$J147,$I147),daily_dates,0),MATCH($B$3,daily_items,0))),NA(),INDEX(big_daily_table,MATCH(DATE(S$5,$J147,$I147),daily_dates,0),MATCH($B$3,daily_items,0)))</f>
        <v>#N/A</v>
      </c>
      <c r="T147" s="1" t="e">
        <f aca="false">IF(ISBLANK(INDEX(big_daily_table,MATCH(DATE(T$5,$J147,$I147),daily_dates,0),MATCH($B$3,daily_items,0))),NA(),INDEX(big_daily_table,MATCH(DATE(T$5,$J147,$I147),daily_dates,0),MATCH($B$3,daily_items,0)))</f>
        <v>#N/A</v>
      </c>
      <c r="U147" s="1" t="e">
        <f aca="false">IF(ISBLANK(INDEX(big_daily_table,MATCH(DATE(U$5,$J147,$I147),daily_dates,0),MATCH($B$3,daily_items,0))),NA(),INDEX(big_daily_table,MATCH(DATE(U$5,$J147,$I147),daily_dates,0),MATCH($B$3,daily_items,0)))</f>
        <v>#N/A</v>
      </c>
      <c r="V147" s="1" t="e">
        <f aca="false">IF(ISBLANK(INDEX(big_daily_table,MATCH(DATE(V$5,$J147,$I147),daily_dates,0),MATCH($B$3,daily_items,0))),NA(),INDEX(big_daily_table,MATCH(DATE(V$5,$J147,$I147),daily_dates,0),MATCH($B$3,daily_items,0)))</f>
        <v>#N/A</v>
      </c>
      <c r="W147" s="1" t="e">
        <f aca="false">IF(ISBLANK(INDEX(big_daily_table,MATCH(DATE(W$5,$J147,$I147),daily_dates,0),MATCH($B$3,daily_items,0))),NA(),INDEX(big_daily_table,MATCH(DATE(W$5,$J147,$I147),daily_dates,0),MATCH($B$3,daily_items,0)))</f>
        <v>#N/A</v>
      </c>
      <c r="X147" s="1" t="e">
        <f aca="false">IF(ISBLANK(INDEX(big_daily_table,MATCH(DATE(X$5,$J147,$I147),daily_dates,0),MATCH($B$3,daily_items,0))),NA(),INDEX(big_daily_table,MATCH(DATE(X$5,$J147,$I147),daily_dates,0),MATCH($B$3,daily_items,0)))</f>
        <v>#N/A</v>
      </c>
      <c r="Y147" s="1" t="e">
        <f aca="false">IF(ISBLANK(INDEX(big_daily_table,MATCH(DATE(Y$5,$J147,$I147),daily_dates,0),MATCH($B$3,daily_items,0))),NA(),INDEX(big_daily_table,MATCH(DATE(Y$5,$J147,$I147),daily_dates,0),MATCH($B$3,daily_items,0)))</f>
        <v>#N/A</v>
      </c>
      <c r="Z147" s="1" t="n">
        <f aca="true">_xlfn.AGGREGATE(5,6,OFFSET($R$5,H147,0,1,$J$2))</f>
        <v>0</v>
      </c>
      <c r="AA147" s="1" t="n">
        <f aca="true">_xlfn.AGGREGATE(4,6,OFFSET($R$5,H147,0,1,$J$2))</f>
        <v>0</v>
      </c>
      <c r="AB147" s="1" t="n">
        <f aca="false">AA147-Z147</f>
        <v>0</v>
      </c>
      <c r="AC147" s="1" t="e">
        <f aca="true">_xlfn.AGGREGATE(1,6,OFFSET($R$5,H147,0,1,$J$2))</f>
        <v>#DIV/0!</v>
      </c>
    </row>
    <row r="148" customFormat="false" ht="14.25" hidden="false" customHeight="false" outlineLevel="0" collapsed="false">
      <c r="H148" s="1" t="n">
        <f aca="false">H147+1</f>
        <v>143</v>
      </c>
      <c r="I148" s="1" t="n">
        <f aca="false">DAY(K148)</f>
        <v>22</v>
      </c>
      <c r="J148" s="1" t="n">
        <f aca="false">MONTH(K148)</f>
        <v>5</v>
      </c>
      <c r="K148" s="23" t="n">
        <f aca="false">K147+1</f>
        <v>36668</v>
      </c>
      <c r="L148" s="24" t="n">
        <f aca="true">IF(TODAY()&lt;DATE($N$5,J148,I148),1000000,-1000000)</f>
        <v>-1000000</v>
      </c>
      <c r="M148" s="1" t="e">
        <f aca="false">IF(K148&gt;0,INDEX(big_daily_table,MATCH(DATE(N$5,$J148,$I148),daily_dates,0),MATCH($B$3,daily_items,0)),NA())</f>
        <v>#N/A</v>
      </c>
      <c r="N148" s="1" t="e">
        <f aca="false">IF(L148&lt;0,INDEX(big_daily_table,MATCH(DATE(N$5,$J148,$I148),daily_dates,0),MATCH($B$3,daily_items,0)),NA())</f>
        <v>#N/A</v>
      </c>
      <c r="O148" s="1" t="e">
        <f aca="false">IF(ISBLANK(INDEX(big_daily_table,MATCH(DATE(O$5,$J148,$I148),daily_dates,0),MATCH($B$3,daily_items,0))),NA(),INDEX(big_daily_table,MATCH(DATE(O$5,$J148,$I148),daily_dates,0),MATCH($B$3,daily_items,0)))</f>
        <v>#N/A</v>
      </c>
      <c r="P148" s="1" t="e">
        <f aca="false">IF(ISBLANK(INDEX(big_daily_table,MATCH(DATE(P$5,$J148,$I148),daily_dates,0),MATCH($B$3,daily_items,0))),NA(),INDEX(big_daily_table,MATCH(DATE(P$5,$J148,$I148),daily_dates,0),MATCH($B$3,daily_items,0)))</f>
        <v>#N/A</v>
      </c>
      <c r="Q148" s="1" t="e">
        <f aca="false">IF(ISBLANK(INDEX(big_daily_table,MATCH(DATE(Q$5,$J148,$I148),daily_dates,0),MATCH($B$3,daily_items,0))),NA(),INDEX(big_daily_table,MATCH(DATE(Q$5,$J148,$I148),daily_dates,0),MATCH($B$3,daily_items,0)))</f>
        <v>#N/A</v>
      </c>
      <c r="R148" s="1" t="e">
        <f aca="false">IF(ISBLANK(INDEX(big_daily_table,MATCH(DATE(R$5,$J148,$I148),daily_dates,0),MATCH($B$3,daily_items,0))),NA(),INDEX(big_daily_table,MATCH(DATE(R$5,$J148,$I148),daily_dates,0),MATCH($B$3,daily_items,0)))</f>
        <v>#N/A</v>
      </c>
      <c r="S148" s="1" t="e">
        <f aca="false">IF(ISBLANK(INDEX(big_daily_table,MATCH(DATE(S$5,$J148,$I148),daily_dates,0),MATCH($B$3,daily_items,0))),NA(),INDEX(big_daily_table,MATCH(DATE(S$5,$J148,$I148),daily_dates,0),MATCH($B$3,daily_items,0)))</f>
        <v>#N/A</v>
      </c>
      <c r="T148" s="1" t="e">
        <f aca="false">IF(ISBLANK(INDEX(big_daily_table,MATCH(DATE(T$5,$J148,$I148),daily_dates,0),MATCH($B$3,daily_items,0))),NA(),INDEX(big_daily_table,MATCH(DATE(T$5,$J148,$I148),daily_dates,0),MATCH($B$3,daily_items,0)))</f>
        <v>#N/A</v>
      </c>
      <c r="U148" s="1" t="e">
        <f aca="false">IF(ISBLANK(INDEX(big_daily_table,MATCH(DATE(U$5,$J148,$I148),daily_dates,0),MATCH($B$3,daily_items,0))),NA(),INDEX(big_daily_table,MATCH(DATE(U$5,$J148,$I148),daily_dates,0),MATCH($B$3,daily_items,0)))</f>
        <v>#N/A</v>
      </c>
      <c r="V148" s="1" t="e">
        <f aca="false">IF(ISBLANK(INDEX(big_daily_table,MATCH(DATE(V$5,$J148,$I148),daily_dates,0),MATCH($B$3,daily_items,0))),NA(),INDEX(big_daily_table,MATCH(DATE(V$5,$J148,$I148),daily_dates,0),MATCH($B$3,daily_items,0)))</f>
        <v>#N/A</v>
      </c>
      <c r="W148" s="1" t="e">
        <f aca="false">IF(ISBLANK(INDEX(big_daily_table,MATCH(DATE(W$5,$J148,$I148),daily_dates,0),MATCH($B$3,daily_items,0))),NA(),INDEX(big_daily_table,MATCH(DATE(W$5,$J148,$I148),daily_dates,0),MATCH($B$3,daily_items,0)))</f>
        <v>#N/A</v>
      </c>
      <c r="X148" s="1" t="e">
        <f aca="false">IF(ISBLANK(INDEX(big_daily_table,MATCH(DATE(X$5,$J148,$I148),daily_dates,0),MATCH($B$3,daily_items,0))),NA(),INDEX(big_daily_table,MATCH(DATE(X$5,$J148,$I148),daily_dates,0),MATCH($B$3,daily_items,0)))</f>
        <v>#N/A</v>
      </c>
      <c r="Y148" s="1" t="e">
        <f aca="false">IF(ISBLANK(INDEX(big_daily_table,MATCH(DATE(Y$5,$J148,$I148),daily_dates,0),MATCH($B$3,daily_items,0))),NA(),INDEX(big_daily_table,MATCH(DATE(Y$5,$J148,$I148),daily_dates,0),MATCH($B$3,daily_items,0)))</f>
        <v>#N/A</v>
      </c>
      <c r="Z148" s="1" t="n">
        <f aca="true">_xlfn.AGGREGATE(5,6,OFFSET($R$5,H148,0,1,$J$2))</f>
        <v>0</v>
      </c>
      <c r="AA148" s="1" t="n">
        <f aca="true">_xlfn.AGGREGATE(4,6,OFFSET($R$5,H148,0,1,$J$2))</f>
        <v>0</v>
      </c>
      <c r="AB148" s="1" t="n">
        <f aca="false">AA148-Z148</f>
        <v>0</v>
      </c>
      <c r="AC148" s="1" t="e">
        <f aca="true">_xlfn.AGGREGATE(1,6,OFFSET($R$5,H148,0,1,$J$2))</f>
        <v>#DIV/0!</v>
      </c>
    </row>
    <row r="149" customFormat="false" ht="14.25" hidden="false" customHeight="false" outlineLevel="0" collapsed="false">
      <c r="H149" s="1" t="n">
        <f aca="false">H148+1</f>
        <v>144</v>
      </c>
      <c r="I149" s="1" t="n">
        <f aca="false">DAY(K149)</f>
        <v>23</v>
      </c>
      <c r="J149" s="1" t="n">
        <f aca="false">MONTH(K149)</f>
        <v>5</v>
      </c>
      <c r="K149" s="23" t="n">
        <f aca="false">K148+1</f>
        <v>36669</v>
      </c>
      <c r="L149" s="24" t="n">
        <f aca="true">IF(TODAY()&lt;DATE($N$5,J149,I149),1000000,-1000000)</f>
        <v>-1000000</v>
      </c>
      <c r="M149" s="1" t="e">
        <f aca="false">IF(K149&gt;0,INDEX(big_daily_table,MATCH(DATE(N$5,$J149,$I149),daily_dates,0),MATCH($B$3,daily_items,0)),NA())</f>
        <v>#N/A</v>
      </c>
      <c r="N149" s="1" t="e">
        <f aca="false">IF(L149&lt;0,INDEX(big_daily_table,MATCH(DATE(N$5,$J149,$I149),daily_dates,0),MATCH($B$3,daily_items,0)),NA())</f>
        <v>#N/A</v>
      </c>
      <c r="O149" s="1" t="e">
        <f aca="false">IF(ISBLANK(INDEX(big_daily_table,MATCH(DATE(O$5,$J149,$I149),daily_dates,0),MATCH($B$3,daily_items,0))),NA(),INDEX(big_daily_table,MATCH(DATE(O$5,$J149,$I149),daily_dates,0),MATCH($B$3,daily_items,0)))</f>
        <v>#N/A</v>
      </c>
      <c r="P149" s="1" t="e">
        <f aca="false">IF(ISBLANK(INDEX(big_daily_table,MATCH(DATE(P$5,$J149,$I149),daily_dates,0),MATCH($B$3,daily_items,0))),NA(),INDEX(big_daily_table,MATCH(DATE(P$5,$J149,$I149),daily_dates,0),MATCH($B$3,daily_items,0)))</f>
        <v>#N/A</v>
      </c>
      <c r="Q149" s="1" t="e">
        <f aca="false">IF(ISBLANK(INDEX(big_daily_table,MATCH(DATE(Q$5,$J149,$I149),daily_dates,0),MATCH($B$3,daily_items,0))),NA(),INDEX(big_daily_table,MATCH(DATE(Q$5,$J149,$I149),daily_dates,0),MATCH($B$3,daily_items,0)))</f>
        <v>#N/A</v>
      </c>
      <c r="R149" s="1" t="e">
        <f aca="false">IF(ISBLANK(INDEX(big_daily_table,MATCH(DATE(R$5,$J149,$I149),daily_dates,0),MATCH($B$3,daily_items,0))),NA(),INDEX(big_daily_table,MATCH(DATE(R$5,$J149,$I149),daily_dates,0),MATCH($B$3,daily_items,0)))</f>
        <v>#N/A</v>
      </c>
      <c r="S149" s="1" t="e">
        <f aca="false">IF(ISBLANK(INDEX(big_daily_table,MATCH(DATE(S$5,$J149,$I149),daily_dates,0),MATCH($B$3,daily_items,0))),NA(),INDEX(big_daily_table,MATCH(DATE(S$5,$J149,$I149),daily_dates,0),MATCH($B$3,daily_items,0)))</f>
        <v>#N/A</v>
      </c>
      <c r="T149" s="1" t="e">
        <f aca="false">IF(ISBLANK(INDEX(big_daily_table,MATCH(DATE(T$5,$J149,$I149),daily_dates,0),MATCH($B$3,daily_items,0))),NA(),INDEX(big_daily_table,MATCH(DATE(T$5,$J149,$I149),daily_dates,0),MATCH($B$3,daily_items,0)))</f>
        <v>#N/A</v>
      </c>
      <c r="U149" s="1" t="e">
        <f aca="false">IF(ISBLANK(INDEX(big_daily_table,MATCH(DATE(U$5,$J149,$I149),daily_dates,0),MATCH($B$3,daily_items,0))),NA(),INDEX(big_daily_table,MATCH(DATE(U$5,$J149,$I149),daily_dates,0),MATCH($B$3,daily_items,0)))</f>
        <v>#N/A</v>
      </c>
      <c r="V149" s="1" t="e">
        <f aca="false">IF(ISBLANK(INDEX(big_daily_table,MATCH(DATE(V$5,$J149,$I149),daily_dates,0),MATCH($B$3,daily_items,0))),NA(),INDEX(big_daily_table,MATCH(DATE(V$5,$J149,$I149),daily_dates,0),MATCH($B$3,daily_items,0)))</f>
        <v>#N/A</v>
      </c>
      <c r="W149" s="1" t="e">
        <f aca="false">IF(ISBLANK(INDEX(big_daily_table,MATCH(DATE(W$5,$J149,$I149),daily_dates,0),MATCH($B$3,daily_items,0))),NA(),INDEX(big_daily_table,MATCH(DATE(W$5,$J149,$I149),daily_dates,0),MATCH($B$3,daily_items,0)))</f>
        <v>#N/A</v>
      </c>
      <c r="X149" s="1" t="e">
        <f aca="false">IF(ISBLANK(INDEX(big_daily_table,MATCH(DATE(X$5,$J149,$I149),daily_dates,0),MATCH($B$3,daily_items,0))),NA(),INDEX(big_daily_table,MATCH(DATE(X$5,$J149,$I149),daily_dates,0),MATCH($B$3,daily_items,0)))</f>
        <v>#N/A</v>
      </c>
      <c r="Y149" s="1" t="e">
        <f aca="false">IF(ISBLANK(INDEX(big_daily_table,MATCH(DATE(Y$5,$J149,$I149),daily_dates,0),MATCH($B$3,daily_items,0))),NA(),INDEX(big_daily_table,MATCH(DATE(Y$5,$J149,$I149),daily_dates,0),MATCH($B$3,daily_items,0)))</f>
        <v>#N/A</v>
      </c>
      <c r="Z149" s="1" t="n">
        <f aca="true">_xlfn.AGGREGATE(5,6,OFFSET($R$5,H149,0,1,$J$2))</f>
        <v>0</v>
      </c>
      <c r="AA149" s="1" t="n">
        <f aca="true">_xlfn.AGGREGATE(4,6,OFFSET($R$5,H149,0,1,$J$2))</f>
        <v>0</v>
      </c>
      <c r="AB149" s="1" t="n">
        <f aca="false">AA149-Z149</f>
        <v>0</v>
      </c>
      <c r="AC149" s="1" t="e">
        <f aca="true">_xlfn.AGGREGATE(1,6,OFFSET($R$5,H149,0,1,$J$2))</f>
        <v>#DIV/0!</v>
      </c>
    </row>
    <row r="150" customFormat="false" ht="14.25" hidden="false" customHeight="false" outlineLevel="0" collapsed="false">
      <c r="H150" s="1" t="n">
        <f aca="false">H149+1</f>
        <v>145</v>
      </c>
      <c r="I150" s="1" t="n">
        <f aca="false">DAY(K150)</f>
        <v>24</v>
      </c>
      <c r="J150" s="1" t="n">
        <f aca="false">MONTH(K150)</f>
        <v>5</v>
      </c>
      <c r="K150" s="23" t="n">
        <f aca="false">K149+1</f>
        <v>36670</v>
      </c>
      <c r="L150" s="24" t="n">
        <f aca="true">IF(TODAY()&lt;DATE($N$5,J150,I150),1000000,-1000000)</f>
        <v>-1000000</v>
      </c>
      <c r="M150" s="1" t="e">
        <f aca="false">IF(K150&gt;0,INDEX(big_daily_table,MATCH(DATE(N$5,$J150,$I150),daily_dates,0),MATCH($B$3,daily_items,0)),NA())</f>
        <v>#N/A</v>
      </c>
      <c r="N150" s="1" t="e">
        <f aca="false">IF(L150&lt;0,INDEX(big_daily_table,MATCH(DATE(N$5,$J150,$I150),daily_dates,0),MATCH($B$3,daily_items,0)),NA())</f>
        <v>#N/A</v>
      </c>
      <c r="O150" s="1" t="e">
        <f aca="false">IF(ISBLANK(INDEX(big_daily_table,MATCH(DATE(O$5,$J150,$I150),daily_dates,0),MATCH($B$3,daily_items,0))),NA(),INDEX(big_daily_table,MATCH(DATE(O$5,$J150,$I150),daily_dates,0),MATCH($B$3,daily_items,0)))</f>
        <v>#N/A</v>
      </c>
      <c r="P150" s="1" t="e">
        <f aca="false">IF(ISBLANK(INDEX(big_daily_table,MATCH(DATE(P$5,$J150,$I150),daily_dates,0),MATCH($B$3,daily_items,0))),NA(),INDEX(big_daily_table,MATCH(DATE(P$5,$J150,$I150),daily_dates,0),MATCH($B$3,daily_items,0)))</f>
        <v>#N/A</v>
      </c>
      <c r="Q150" s="1" t="e">
        <f aca="false">IF(ISBLANK(INDEX(big_daily_table,MATCH(DATE(Q$5,$J150,$I150),daily_dates,0),MATCH($B$3,daily_items,0))),NA(),INDEX(big_daily_table,MATCH(DATE(Q$5,$J150,$I150),daily_dates,0),MATCH($B$3,daily_items,0)))</f>
        <v>#N/A</v>
      </c>
      <c r="R150" s="1" t="e">
        <f aca="false">IF(ISBLANK(INDEX(big_daily_table,MATCH(DATE(R$5,$J150,$I150),daily_dates,0),MATCH($B$3,daily_items,0))),NA(),INDEX(big_daily_table,MATCH(DATE(R$5,$J150,$I150),daily_dates,0),MATCH($B$3,daily_items,0)))</f>
        <v>#N/A</v>
      </c>
      <c r="S150" s="1" t="e">
        <f aca="false">IF(ISBLANK(INDEX(big_daily_table,MATCH(DATE(S$5,$J150,$I150),daily_dates,0),MATCH($B$3,daily_items,0))),NA(),INDEX(big_daily_table,MATCH(DATE(S$5,$J150,$I150),daily_dates,0),MATCH($B$3,daily_items,0)))</f>
        <v>#N/A</v>
      </c>
      <c r="T150" s="1" t="e">
        <f aca="false">IF(ISBLANK(INDEX(big_daily_table,MATCH(DATE(T$5,$J150,$I150),daily_dates,0),MATCH($B$3,daily_items,0))),NA(),INDEX(big_daily_table,MATCH(DATE(T$5,$J150,$I150),daily_dates,0),MATCH($B$3,daily_items,0)))</f>
        <v>#N/A</v>
      </c>
      <c r="U150" s="1" t="e">
        <f aca="false">IF(ISBLANK(INDEX(big_daily_table,MATCH(DATE(U$5,$J150,$I150),daily_dates,0),MATCH($B$3,daily_items,0))),NA(),INDEX(big_daily_table,MATCH(DATE(U$5,$J150,$I150),daily_dates,0),MATCH($B$3,daily_items,0)))</f>
        <v>#N/A</v>
      </c>
      <c r="V150" s="1" t="e">
        <f aca="false">IF(ISBLANK(INDEX(big_daily_table,MATCH(DATE(V$5,$J150,$I150),daily_dates,0),MATCH($B$3,daily_items,0))),NA(),INDEX(big_daily_table,MATCH(DATE(V$5,$J150,$I150),daily_dates,0),MATCH($B$3,daily_items,0)))</f>
        <v>#N/A</v>
      </c>
      <c r="W150" s="1" t="e">
        <f aca="false">IF(ISBLANK(INDEX(big_daily_table,MATCH(DATE(W$5,$J150,$I150),daily_dates,0),MATCH($B$3,daily_items,0))),NA(),INDEX(big_daily_table,MATCH(DATE(W$5,$J150,$I150),daily_dates,0),MATCH($B$3,daily_items,0)))</f>
        <v>#N/A</v>
      </c>
      <c r="X150" s="1" t="e">
        <f aca="false">IF(ISBLANK(INDEX(big_daily_table,MATCH(DATE(X$5,$J150,$I150),daily_dates,0),MATCH($B$3,daily_items,0))),NA(),INDEX(big_daily_table,MATCH(DATE(X$5,$J150,$I150),daily_dates,0),MATCH($B$3,daily_items,0)))</f>
        <v>#N/A</v>
      </c>
      <c r="Y150" s="1" t="e">
        <f aca="false">IF(ISBLANK(INDEX(big_daily_table,MATCH(DATE(Y$5,$J150,$I150),daily_dates,0),MATCH($B$3,daily_items,0))),NA(),INDEX(big_daily_table,MATCH(DATE(Y$5,$J150,$I150),daily_dates,0),MATCH($B$3,daily_items,0)))</f>
        <v>#N/A</v>
      </c>
      <c r="Z150" s="1" t="n">
        <f aca="true">_xlfn.AGGREGATE(5,6,OFFSET($R$5,H150,0,1,$J$2))</f>
        <v>0</v>
      </c>
      <c r="AA150" s="1" t="n">
        <f aca="true">_xlfn.AGGREGATE(4,6,OFFSET($R$5,H150,0,1,$J$2))</f>
        <v>0</v>
      </c>
      <c r="AB150" s="1" t="n">
        <f aca="false">AA150-Z150</f>
        <v>0</v>
      </c>
      <c r="AC150" s="1" t="e">
        <f aca="true">_xlfn.AGGREGATE(1,6,OFFSET($R$5,H150,0,1,$J$2))</f>
        <v>#DIV/0!</v>
      </c>
    </row>
    <row r="151" customFormat="false" ht="14.25" hidden="false" customHeight="false" outlineLevel="0" collapsed="false">
      <c r="H151" s="1" t="n">
        <f aca="false">H150+1</f>
        <v>146</v>
      </c>
      <c r="I151" s="1" t="n">
        <f aca="false">DAY(K151)</f>
        <v>25</v>
      </c>
      <c r="J151" s="1" t="n">
        <f aca="false">MONTH(K151)</f>
        <v>5</v>
      </c>
      <c r="K151" s="23" t="n">
        <f aca="false">K150+1</f>
        <v>36671</v>
      </c>
      <c r="L151" s="24" t="n">
        <f aca="true">IF(TODAY()&lt;DATE($N$5,J151,I151),1000000,-1000000)</f>
        <v>-1000000</v>
      </c>
      <c r="M151" s="1" t="e">
        <f aca="false">IF(K151&gt;0,INDEX(big_daily_table,MATCH(DATE(N$5,$J151,$I151),daily_dates,0),MATCH($B$3,daily_items,0)),NA())</f>
        <v>#N/A</v>
      </c>
      <c r="N151" s="1" t="e">
        <f aca="false">IF(L151&lt;0,INDEX(big_daily_table,MATCH(DATE(N$5,$J151,$I151),daily_dates,0),MATCH($B$3,daily_items,0)),NA())</f>
        <v>#N/A</v>
      </c>
      <c r="O151" s="1" t="e">
        <f aca="false">IF(ISBLANK(INDEX(big_daily_table,MATCH(DATE(O$5,$J151,$I151),daily_dates,0),MATCH($B$3,daily_items,0))),NA(),INDEX(big_daily_table,MATCH(DATE(O$5,$J151,$I151),daily_dates,0),MATCH($B$3,daily_items,0)))</f>
        <v>#N/A</v>
      </c>
      <c r="P151" s="1" t="e">
        <f aca="false">IF(ISBLANK(INDEX(big_daily_table,MATCH(DATE(P$5,$J151,$I151),daily_dates,0),MATCH($B$3,daily_items,0))),NA(),INDEX(big_daily_table,MATCH(DATE(P$5,$J151,$I151),daily_dates,0),MATCH($B$3,daily_items,0)))</f>
        <v>#N/A</v>
      </c>
      <c r="Q151" s="1" t="e">
        <f aca="false">IF(ISBLANK(INDEX(big_daily_table,MATCH(DATE(Q$5,$J151,$I151),daily_dates,0),MATCH($B$3,daily_items,0))),NA(),INDEX(big_daily_table,MATCH(DATE(Q$5,$J151,$I151),daily_dates,0),MATCH($B$3,daily_items,0)))</f>
        <v>#N/A</v>
      </c>
      <c r="R151" s="1" t="e">
        <f aca="false">IF(ISBLANK(INDEX(big_daily_table,MATCH(DATE(R$5,$J151,$I151),daily_dates,0),MATCH($B$3,daily_items,0))),NA(),INDEX(big_daily_table,MATCH(DATE(R$5,$J151,$I151),daily_dates,0),MATCH($B$3,daily_items,0)))</f>
        <v>#N/A</v>
      </c>
      <c r="S151" s="1" t="e">
        <f aca="false">IF(ISBLANK(INDEX(big_daily_table,MATCH(DATE(S$5,$J151,$I151),daily_dates,0),MATCH($B$3,daily_items,0))),NA(),INDEX(big_daily_table,MATCH(DATE(S$5,$J151,$I151),daily_dates,0),MATCH($B$3,daily_items,0)))</f>
        <v>#N/A</v>
      </c>
      <c r="T151" s="1" t="e">
        <f aca="false">IF(ISBLANK(INDEX(big_daily_table,MATCH(DATE(T$5,$J151,$I151),daily_dates,0),MATCH($B$3,daily_items,0))),NA(),INDEX(big_daily_table,MATCH(DATE(T$5,$J151,$I151),daily_dates,0),MATCH($B$3,daily_items,0)))</f>
        <v>#N/A</v>
      </c>
      <c r="U151" s="1" t="e">
        <f aca="false">IF(ISBLANK(INDEX(big_daily_table,MATCH(DATE(U$5,$J151,$I151),daily_dates,0),MATCH($B$3,daily_items,0))),NA(),INDEX(big_daily_table,MATCH(DATE(U$5,$J151,$I151),daily_dates,0),MATCH($B$3,daily_items,0)))</f>
        <v>#N/A</v>
      </c>
      <c r="V151" s="1" t="e">
        <f aca="false">IF(ISBLANK(INDEX(big_daily_table,MATCH(DATE(V$5,$J151,$I151),daily_dates,0),MATCH($B$3,daily_items,0))),NA(),INDEX(big_daily_table,MATCH(DATE(V$5,$J151,$I151),daily_dates,0),MATCH($B$3,daily_items,0)))</f>
        <v>#N/A</v>
      </c>
      <c r="W151" s="1" t="e">
        <f aca="false">IF(ISBLANK(INDEX(big_daily_table,MATCH(DATE(W$5,$J151,$I151),daily_dates,0),MATCH($B$3,daily_items,0))),NA(),INDEX(big_daily_table,MATCH(DATE(W$5,$J151,$I151),daily_dates,0),MATCH($B$3,daily_items,0)))</f>
        <v>#N/A</v>
      </c>
      <c r="X151" s="1" t="e">
        <f aca="false">IF(ISBLANK(INDEX(big_daily_table,MATCH(DATE(X$5,$J151,$I151),daily_dates,0),MATCH($B$3,daily_items,0))),NA(),INDEX(big_daily_table,MATCH(DATE(X$5,$J151,$I151),daily_dates,0),MATCH($B$3,daily_items,0)))</f>
        <v>#N/A</v>
      </c>
      <c r="Y151" s="1" t="e">
        <f aca="false">IF(ISBLANK(INDEX(big_daily_table,MATCH(DATE(Y$5,$J151,$I151),daily_dates,0),MATCH($B$3,daily_items,0))),NA(),INDEX(big_daily_table,MATCH(DATE(Y$5,$J151,$I151),daily_dates,0),MATCH($B$3,daily_items,0)))</f>
        <v>#N/A</v>
      </c>
      <c r="Z151" s="1" t="n">
        <f aca="true">_xlfn.AGGREGATE(5,6,OFFSET($R$5,H151,0,1,$J$2))</f>
        <v>0</v>
      </c>
      <c r="AA151" s="1" t="n">
        <f aca="true">_xlfn.AGGREGATE(4,6,OFFSET($R$5,H151,0,1,$J$2))</f>
        <v>0</v>
      </c>
      <c r="AB151" s="1" t="n">
        <f aca="false">AA151-Z151</f>
        <v>0</v>
      </c>
      <c r="AC151" s="1" t="e">
        <f aca="true">_xlfn.AGGREGATE(1,6,OFFSET($R$5,H151,0,1,$J$2))</f>
        <v>#DIV/0!</v>
      </c>
    </row>
    <row r="152" customFormat="false" ht="14.25" hidden="false" customHeight="false" outlineLevel="0" collapsed="false">
      <c r="H152" s="1" t="n">
        <f aca="false">H151+1</f>
        <v>147</v>
      </c>
      <c r="I152" s="1" t="n">
        <f aca="false">DAY(K152)</f>
        <v>26</v>
      </c>
      <c r="J152" s="1" t="n">
        <f aca="false">MONTH(K152)</f>
        <v>5</v>
      </c>
      <c r="K152" s="23" t="n">
        <f aca="false">K151+1</f>
        <v>36672</v>
      </c>
      <c r="L152" s="24" t="n">
        <f aca="true">IF(TODAY()&lt;DATE($N$5,J152,I152),1000000,-1000000)</f>
        <v>-1000000</v>
      </c>
      <c r="M152" s="1" t="e">
        <f aca="false">IF(K152&gt;0,INDEX(big_daily_table,MATCH(DATE(N$5,$J152,$I152),daily_dates,0),MATCH($B$3,daily_items,0)),NA())</f>
        <v>#N/A</v>
      </c>
      <c r="N152" s="1" t="e">
        <f aca="false">IF(L152&lt;0,INDEX(big_daily_table,MATCH(DATE(N$5,$J152,$I152),daily_dates,0),MATCH($B$3,daily_items,0)),NA())</f>
        <v>#N/A</v>
      </c>
      <c r="O152" s="1" t="e">
        <f aca="false">IF(ISBLANK(INDEX(big_daily_table,MATCH(DATE(O$5,$J152,$I152),daily_dates,0),MATCH($B$3,daily_items,0))),NA(),INDEX(big_daily_table,MATCH(DATE(O$5,$J152,$I152),daily_dates,0),MATCH($B$3,daily_items,0)))</f>
        <v>#N/A</v>
      </c>
      <c r="P152" s="1" t="e">
        <f aca="false">IF(ISBLANK(INDEX(big_daily_table,MATCH(DATE(P$5,$J152,$I152),daily_dates,0),MATCH($B$3,daily_items,0))),NA(),INDEX(big_daily_table,MATCH(DATE(P$5,$J152,$I152),daily_dates,0),MATCH($B$3,daily_items,0)))</f>
        <v>#N/A</v>
      </c>
      <c r="Q152" s="1" t="e">
        <f aca="false">IF(ISBLANK(INDEX(big_daily_table,MATCH(DATE(Q$5,$J152,$I152),daily_dates,0),MATCH($B$3,daily_items,0))),NA(),INDEX(big_daily_table,MATCH(DATE(Q$5,$J152,$I152),daily_dates,0),MATCH($B$3,daily_items,0)))</f>
        <v>#N/A</v>
      </c>
      <c r="R152" s="1" t="e">
        <f aca="false">IF(ISBLANK(INDEX(big_daily_table,MATCH(DATE(R$5,$J152,$I152),daily_dates,0),MATCH($B$3,daily_items,0))),NA(),INDEX(big_daily_table,MATCH(DATE(R$5,$J152,$I152),daily_dates,0),MATCH($B$3,daily_items,0)))</f>
        <v>#N/A</v>
      </c>
      <c r="S152" s="1" t="e">
        <f aca="false">IF(ISBLANK(INDEX(big_daily_table,MATCH(DATE(S$5,$J152,$I152),daily_dates,0),MATCH($B$3,daily_items,0))),NA(),INDEX(big_daily_table,MATCH(DATE(S$5,$J152,$I152),daily_dates,0),MATCH($B$3,daily_items,0)))</f>
        <v>#N/A</v>
      </c>
      <c r="T152" s="1" t="e">
        <f aca="false">IF(ISBLANK(INDEX(big_daily_table,MATCH(DATE(T$5,$J152,$I152),daily_dates,0),MATCH($B$3,daily_items,0))),NA(),INDEX(big_daily_table,MATCH(DATE(T$5,$J152,$I152),daily_dates,0),MATCH($B$3,daily_items,0)))</f>
        <v>#N/A</v>
      </c>
      <c r="U152" s="1" t="e">
        <f aca="false">IF(ISBLANK(INDEX(big_daily_table,MATCH(DATE(U$5,$J152,$I152),daily_dates,0),MATCH($B$3,daily_items,0))),NA(),INDEX(big_daily_table,MATCH(DATE(U$5,$J152,$I152),daily_dates,0),MATCH($B$3,daily_items,0)))</f>
        <v>#N/A</v>
      </c>
      <c r="V152" s="1" t="e">
        <f aca="false">IF(ISBLANK(INDEX(big_daily_table,MATCH(DATE(V$5,$J152,$I152),daily_dates,0),MATCH($B$3,daily_items,0))),NA(),INDEX(big_daily_table,MATCH(DATE(V$5,$J152,$I152),daily_dates,0),MATCH($B$3,daily_items,0)))</f>
        <v>#N/A</v>
      </c>
      <c r="W152" s="1" t="e">
        <f aca="false">IF(ISBLANK(INDEX(big_daily_table,MATCH(DATE(W$5,$J152,$I152),daily_dates,0),MATCH($B$3,daily_items,0))),NA(),INDEX(big_daily_table,MATCH(DATE(W$5,$J152,$I152),daily_dates,0),MATCH($B$3,daily_items,0)))</f>
        <v>#N/A</v>
      </c>
      <c r="X152" s="1" t="e">
        <f aca="false">IF(ISBLANK(INDEX(big_daily_table,MATCH(DATE(X$5,$J152,$I152),daily_dates,0),MATCH($B$3,daily_items,0))),NA(),INDEX(big_daily_table,MATCH(DATE(X$5,$J152,$I152),daily_dates,0),MATCH($B$3,daily_items,0)))</f>
        <v>#N/A</v>
      </c>
      <c r="Y152" s="1" t="e">
        <f aca="false">IF(ISBLANK(INDEX(big_daily_table,MATCH(DATE(Y$5,$J152,$I152),daily_dates,0),MATCH($B$3,daily_items,0))),NA(),INDEX(big_daily_table,MATCH(DATE(Y$5,$J152,$I152),daily_dates,0),MATCH($B$3,daily_items,0)))</f>
        <v>#N/A</v>
      </c>
      <c r="Z152" s="1" t="n">
        <f aca="true">_xlfn.AGGREGATE(5,6,OFFSET($R$5,H152,0,1,$J$2))</f>
        <v>0</v>
      </c>
      <c r="AA152" s="1" t="n">
        <f aca="true">_xlfn.AGGREGATE(4,6,OFFSET($R$5,H152,0,1,$J$2))</f>
        <v>0</v>
      </c>
      <c r="AB152" s="1" t="n">
        <f aca="false">AA152-Z152</f>
        <v>0</v>
      </c>
      <c r="AC152" s="1" t="e">
        <f aca="true">_xlfn.AGGREGATE(1,6,OFFSET($R$5,H152,0,1,$J$2))</f>
        <v>#DIV/0!</v>
      </c>
    </row>
    <row r="153" customFormat="false" ht="14.25" hidden="false" customHeight="false" outlineLevel="0" collapsed="false">
      <c r="H153" s="1" t="n">
        <f aca="false">H152+1</f>
        <v>148</v>
      </c>
      <c r="I153" s="1" t="n">
        <f aca="false">DAY(K153)</f>
        <v>27</v>
      </c>
      <c r="J153" s="1" t="n">
        <f aca="false">MONTH(K153)</f>
        <v>5</v>
      </c>
      <c r="K153" s="23" t="n">
        <f aca="false">K152+1</f>
        <v>36673</v>
      </c>
      <c r="L153" s="24" t="n">
        <f aca="true">IF(TODAY()&lt;DATE($N$5,J153,I153),1000000,-1000000)</f>
        <v>-1000000</v>
      </c>
      <c r="M153" s="1" t="e">
        <f aca="false">IF(K153&gt;0,INDEX(big_daily_table,MATCH(DATE(N$5,$J153,$I153),daily_dates,0),MATCH($B$3,daily_items,0)),NA())</f>
        <v>#N/A</v>
      </c>
      <c r="N153" s="1" t="e">
        <f aca="false">IF(L153&lt;0,INDEX(big_daily_table,MATCH(DATE(N$5,$J153,$I153),daily_dates,0),MATCH($B$3,daily_items,0)),NA())</f>
        <v>#N/A</v>
      </c>
      <c r="O153" s="1" t="e">
        <f aca="false">IF(ISBLANK(INDEX(big_daily_table,MATCH(DATE(O$5,$J153,$I153),daily_dates,0),MATCH($B$3,daily_items,0))),NA(),INDEX(big_daily_table,MATCH(DATE(O$5,$J153,$I153),daily_dates,0),MATCH($B$3,daily_items,0)))</f>
        <v>#N/A</v>
      </c>
      <c r="P153" s="1" t="e">
        <f aca="false">IF(ISBLANK(INDEX(big_daily_table,MATCH(DATE(P$5,$J153,$I153),daily_dates,0),MATCH($B$3,daily_items,0))),NA(),INDEX(big_daily_table,MATCH(DATE(P$5,$J153,$I153),daily_dates,0),MATCH($B$3,daily_items,0)))</f>
        <v>#N/A</v>
      </c>
      <c r="Q153" s="1" t="e">
        <f aca="false">IF(ISBLANK(INDEX(big_daily_table,MATCH(DATE(Q$5,$J153,$I153),daily_dates,0),MATCH($B$3,daily_items,0))),NA(),INDEX(big_daily_table,MATCH(DATE(Q$5,$J153,$I153),daily_dates,0),MATCH($B$3,daily_items,0)))</f>
        <v>#N/A</v>
      </c>
      <c r="R153" s="1" t="e">
        <f aca="false">IF(ISBLANK(INDEX(big_daily_table,MATCH(DATE(R$5,$J153,$I153),daily_dates,0),MATCH($B$3,daily_items,0))),NA(),INDEX(big_daily_table,MATCH(DATE(R$5,$J153,$I153),daily_dates,0),MATCH($B$3,daily_items,0)))</f>
        <v>#N/A</v>
      </c>
      <c r="S153" s="1" t="e">
        <f aca="false">IF(ISBLANK(INDEX(big_daily_table,MATCH(DATE(S$5,$J153,$I153),daily_dates,0),MATCH($B$3,daily_items,0))),NA(),INDEX(big_daily_table,MATCH(DATE(S$5,$J153,$I153),daily_dates,0),MATCH($B$3,daily_items,0)))</f>
        <v>#N/A</v>
      </c>
      <c r="T153" s="1" t="e">
        <f aca="false">IF(ISBLANK(INDEX(big_daily_table,MATCH(DATE(T$5,$J153,$I153),daily_dates,0),MATCH($B$3,daily_items,0))),NA(),INDEX(big_daily_table,MATCH(DATE(T$5,$J153,$I153),daily_dates,0),MATCH($B$3,daily_items,0)))</f>
        <v>#N/A</v>
      </c>
      <c r="U153" s="1" t="e">
        <f aca="false">IF(ISBLANK(INDEX(big_daily_table,MATCH(DATE(U$5,$J153,$I153),daily_dates,0),MATCH($B$3,daily_items,0))),NA(),INDEX(big_daily_table,MATCH(DATE(U$5,$J153,$I153),daily_dates,0),MATCH($B$3,daily_items,0)))</f>
        <v>#N/A</v>
      </c>
      <c r="V153" s="1" t="e">
        <f aca="false">IF(ISBLANK(INDEX(big_daily_table,MATCH(DATE(V$5,$J153,$I153),daily_dates,0),MATCH($B$3,daily_items,0))),NA(),INDEX(big_daily_table,MATCH(DATE(V$5,$J153,$I153),daily_dates,0),MATCH($B$3,daily_items,0)))</f>
        <v>#N/A</v>
      </c>
      <c r="W153" s="1" t="e">
        <f aca="false">IF(ISBLANK(INDEX(big_daily_table,MATCH(DATE(W$5,$J153,$I153),daily_dates,0),MATCH($B$3,daily_items,0))),NA(),INDEX(big_daily_table,MATCH(DATE(W$5,$J153,$I153),daily_dates,0),MATCH($B$3,daily_items,0)))</f>
        <v>#N/A</v>
      </c>
      <c r="X153" s="1" t="e">
        <f aca="false">IF(ISBLANK(INDEX(big_daily_table,MATCH(DATE(X$5,$J153,$I153),daily_dates,0),MATCH($B$3,daily_items,0))),NA(),INDEX(big_daily_table,MATCH(DATE(X$5,$J153,$I153),daily_dates,0),MATCH($B$3,daily_items,0)))</f>
        <v>#N/A</v>
      </c>
      <c r="Y153" s="1" t="e">
        <f aca="false">IF(ISBLANK(INDEX(big_daily_table,MATCH(DATE(Y$5,$J153,$I153),daily_dates,0),MATCH($B$3,daily_items,0))),NA(),INDEX(big_daily_table,MATCH(DATE(Y$5,$J153,$I153),daily_dates,0),MATCH($B$3,daily_items,0)))</f>
        <v>#N/A</v>
      </c>
      <c r="Z153" s="1" t="n">
        <f aca="true">_xlfn.AGGREGATE(5,6,OFFSET($R$5,H153,0,1,$J$2))</f>
        <v>0</v>
      </c>
      <c r="AA153" s="1" t="n">
        <f aca="true">_xlfn.AGGREGATE(4,6,OFFSET($R$5,H153,0,1,$J$2))</f>
        <v>0</v>
      </c>
      <c r="AB153" s="1" t="n">
        <f aca="false">AA153-Z153</f>
        <v>0</v>
      </c>
      <c r="AC153" s="1" t="e">
        <f aca="true">_xlfn.AGGREGATE(1,6,OFFSET($R$5,H153,0,1,$J$2))</f>
        <v>#DIV/0!</v>
      </c>
    </row>
    <row r="154" customFormat="false" ht="14.25" hidden="false" customHeight="false" outlineLevel="0" collapsed="false">
      <c r="H154" s="1" t="n">
        <f aca="false">H153+1</f>
        <v>149</v>
      </c>
      <c r="I154" s="1" t="n">
        <f aca="false">DAY(K154)</f>
        <v>28</v>
      </c>
      <c r="J154" s="1" t="n">
        <f aca="false">MONTH(K154)</f>
        <v>5</v>
      </c>
      <c r="K154" s="23" t="n">
        <f aca="false">K153+1</f>
        <v>36674</v>
      </c>
      <c r="L154" s="24" t="n">
        <f aca="true">IF(TODAY()&lt;DATE($N$5,J154,I154),1000000,-1000000)</f>
        <v>-1000000</v>
      </c>
      <c r="M154" s="1" t="e">
        <f aca="false">IF(K154&gt;0,INDEX(big_daily_table,MATCH(DATE(N$5,$J154,$I154),daily_dates,0),MATCH($B$3,daily_items,0)),NA())</f>
        <v>#N/A</v>
      </c>
      <c r="N154" s="1" t="e">
        <f aca="false">IF(L154&lt;0,INDEX(big_daily_table,MATCH(DATE(N$5,$J154,$I154),daily_dates,0),MATCH($B$3,daily_items,0)),NA())</f>
        <v>#N/A</v>
      </c>
      <c r="O154" s="1" t="e">
        <f aca="false">IF(ISBLANK(INDEX(big_daily_table,MATCH(DATE(O$5,$J154,$I154),daily_dates,0),MATCH($B$3,daily_items,0))),NA(),INDEX(big_daily_table,MATCH(DATE(O$5,$J154,$I154),daily_dates,0),MATCH($B$3,daily_items,0)))</f>
        <v>#N/A</v>
      </c>
      <c r="P154" s="1" t="e">
        <f aca="false">IF(ISBLANK(INDEX(big_daily_table,MATCH(DATE(P$5,$J154,$I154),daily_dates,0),MATCH($B$3,daily_items,0))),NA(),INDEX(big_daily_table,MATCH(DATE(P$5,$J154,$I154),daily_dates,0),MATCH($B$3,daily_items,0)))</f>
        <v>#N/A</v>
      </c>
      <c r="Q154" s="1" t="e">
        <f aca="false">IF(ISBLANK(INDEX(big_daily_table,MATCH(DATE(Q$5,$J154,$I154),daily_dates,0),MATCH($B$3,daily_items,0))),NA(),INDEX(big_daily_table,MATCH(DATE(Q$5,$J154,$I154),daily_dates,0),MATCH($B$3,daily_items,0)))</f>
        <v>#N/A</v>
      </c>
      <c r="R154" s="1" t="e">
        <f aca="false">IF(ISBLANK(INDEX(big_daily_table,MATCH(DATE(R$5,$J154,$I154),daily_dates,0),MATCH($B$3,daily_items,0))),NA(),INDEX(big_daily_table,MATCH(DATE(R$5,$J154,$I154),daily_dates,0),MATCH($B$3,daily_items,0)))</f>
        <v>#N/A</v>
      </c>
      <c r="S154" s="1" t="e">
        <f aca="false">IF(ISBLANK(INDEX(big_daily_table,MATCH(DATE(S$5,$J154,$I154),daily_dates,0),MATCH($B$3,daily_items,0))),NA(),INDEX(big_daily_table,MATCH(DATE(S$5,$J154,$I154),daily_dates,0),MATCH($B$3,daily_items,0)))</f>
        <v>#N/A</v>
      </c>
      <c r="T154" s="1" t="e">
        <f aca="false">IF(ISBLANK(INDEX(big_daily_table,MATCH(DATE(T$5,$J154,$I154),daily_dates,0),MATCH($B$3,daily_items,0))),NA(),INDEX(big_daily_table,MATCH(DATE(T$5,$J154,$I154),daily_dates,0),MATCH($B$3,daily_items,0)))</f>
        <v>#N/A</v>
      </c>
      <c r="U154" s="1" t="e">
        <f aca="false">IF(ISBLANK(INDEX(big_daily_table,MATCH(DATE(U$5,$J154,$I154),daily_dates,0),MATCH($B$3,daily_items,0))),NA(),INDEX(big_daily_table,MATCH(DATE(U$5,$J154,$I154),daily_dates,0),MATCH($B$3,daily_items,0)))</f>
        <v>#N/A</v>
      </c>
      <c r="V154" s="1" t="e">
        <f aca="false">IF(ISBLANK(INDEX(big_daily_table,MATCH(DATE(V$5,$J154,$I154),daily_dates,0),MATCH($B$3,daily_items,0))),NA(),INDEX(big_daily_table,MATCH(DATE(V$5,$J154,$I154),daily_dates,0),MATCH($B$3,daily_items,0)))</f>
        <v>#N/A</v>
      </c>
      <c r="W154" s="1" t="e">
        <f aca="false">IF(ISBLANK(INDEX(big_daily_table,MATCH(DATE(W$5,$J154,$I154),daily_dates,0),MATCH($B$3,daily_items,0))),NA(),INDEX(big_daily_table,MATCH(DATE(W$5,$J154,$I154),daily_dates,0),MATCH($B$3,daily_items,0)))</f>
        <v>#N/A</v>
      </c>
      <c r="X154" s="1" t="e">
        <f aca="false">IF(ISBLANK(INDEX(big_daily_table,MATCH(DATE(X$5,$J154,$I154),daily_dates,0),MATCH($B$3,daily_items,0))),NA(),INDEX(big_daily_table,MATCH(DATE(X$5,$J154,$I154),daily_dates,0),MATCH($B$3,daily_items,0)))</f>
        <v>#N/A</v>
      </c>
      <c r="Y154" s="1" t="e">
        <f aca="false">IF(ISBLANK(INDEX(big_daily_table,MATCH(DATE(Y$5,$J154,$I154),daily_dates,0),MATCH($B$3,daily_items,0))),NA(),INDEX(big_daily_table,MATCH(DATE(Y$5,$J154,$I154),daily_dates,0),MATCH($B$3,daily_items,0)))</f>
        <v>#N/A</v>
      </c>
      <c r="Z154" s="1" t="n">
        <f aca="true">_xlfn.AGGREGATE(5,6,OFFSET($R$5,H154,0,1,$J$2))</f>
        <v>0</v>
      </c>
      <c r="AA154" s="1" t="n">
        <f aca="true">_xlfn.AGGREGATE(4,6,OFFSET($R$5,H154,0,1,$J$2))</f>
        <v>0</v>
      </c>
      <c r="AB154" s="1" t="n">
        <f aca="false">AA154-Z154</f>
        <v>0</v>
      </c>
      <c r="AC154" s="1" t="e">
        <f aca="true">_xlfn.AGGREGATE(1,6,OFFSET($R$5,H154,0,1,$J$2))</f>
        <v>#DIV/0!</v>
      </c>
    </row>
    <row r="155" customFormat="false" ht="14.25" hidden="false" customHeight="false" outlineLevel="0" collapsed="false">
      <c r="H155" s="1" t="n">
        <f aca="false">H154+1</f>
        <v>150</v>
      </c>
      <c r="I155" s="1" t="n">
        <f aca="false">DAY(K155)</f>
        <v>29</v>
      </c>
      <c r="J155" s="1" t="n">
        <f aca="false">MONTH(K155)</f>
        <v>5</v>
      </c>
      <c r="K155" s="23" t="n">
        <f aca="false">K154+1</f>
        <v>36675</v>
      </c>
      <c r="L155" s="24" t="n">
        <f aca="true">IF(TODAY()&lt;DATE($N$5,J155,I155),1000000,-1000000)</f>
        <v>-1000000</v>
      </c>
      <c r="M155" s="1" t="e">
        <f aca="false">IF(K155&gt;0,INDEX(big_daily_table,MATCH(DATE(N$5,$J155,$I155),daily_dates,0),MATCH($B$3,daily_items,0)),NA())</f>
        <v>#N/A</v>
      </c>
      <c r="N155" s="1" t="e">
        <f aca="false">IF(L155&lt;0,INDEX(big_daily_table,MATCH(DATE(N$5,$J155,$I155),daily_dates,0),MATCH($B$3,daily_items,0)),NA())</f>
        <v>#N/A</v>
      </c>
      <c r="O155" s="1" t="e">
        <f aca="false">IF(ISBLANK(INDEX(big_daily_table,MATCH(DATE(O$5,$J155,$I155),daily_dates,0),MATCH($B$3,daily_items,0))),NA(),INDEX(big_daily_table,MATCH(DATE(O$5,$J155,$I155),daily_dates,0),MATCH($B$3,daily_items,0)))</f>
        <v>#N/A</v>
      </c>
      <c r="P155" s="1" t="e">
        <f aca="false">IF(ISBLANK(INDEX(big_daily_table,MATCH(DATE(P$5,$J155,$I155),daily_dates,0),MATCH($B$3,daily_items,0))),NA(),INDEX(big_daily_table,MATCH(DATE(P$5,$J155,$I155),daily_dates,0),MATCH($B$3,daily_items,0)))</f>
        <v>#N/A</v>
      </c>
      <c r="Q155" s="1" t="e">
        <f aca="false">IF(ISBLANK(INDEX(big_daily_table,MATCH(DATE(Q$5,$J155,$I155),daily_dates,0),MATCH($B$3,daily_items,0))),NA(),INDEX(big_daily_table,MATCH(DATE(Q$5,$J155,$I155),daily_dates,0),MATCH($B$3,daily_items,0)))</f>
        <v>#N/A</v>
      </c>
      <c r="R155" s="1" t="e">
        <f aca="false">IF(ISBLANK(INDEX(big_daily_table,MATCH(DATE(R$5,$J155,$I155),daily_dates,0),MATCH($B$3,daily_items,0))),NA(),INDEX(big_daily_table,MATCH(DATE(R$5,$J155,$I155),daily_dates,0),MATCH($B$3,daily_items,0)))</f>
        <v>#N/A</v>
      </c>
      <c r="S155" s="1" t="e">
        <f aca="false">IF(ISBLANK(INDEX(big_daily_table,MATCH(DATE(S$5,$J155,$I155),daily_dates,0),MATCH($B$3,daily_items,0))),NA(),INDEX(big_daily_table,MATCH(DATE(S$5,$J155,$I155),daily_dates,0),MATCH($B$3,daily_items,0)))</f>
        <v>#N/A</v>
      </c>
      <c r="T155" s="1" t="e">
        <f aca="false">IF(ISBLANK(INDEX(big_daily_table,MATCH(DATE(T$5,$J155,$I155),daily_dates,0),MATCH($B$3,daily_items,0))),NA(),INDEX(big_daily_table,MATCH(DATE(T$5,$J155,$I155),daily_dates,0),MATCH($B$3,daily_items,0)))</f>
        <v>#N/A</v>
      </c>
      <c r="U155" s="1" t="e">
        <f aca="false">IF(ISBLANK(INDEX(big_daily_table,MATCH(DATE(U$5,$J155,$I155),daily_dates,0),MATCH($B$3,daily_items,0))),NA(),INDEX(big_daily_table,MATCH(DATE(U$5,$J155,$I155),daily_dates,0),MATCH($B$3,daily_items,0)))</f>
        <v>#N/A</v>
      </c>
      <c r="V155" s="1" t="e">
        <f aca="false">IF(ISBLANK(INDEX(big_daily_table,MATCH(DATE(V$5,$J155,$I155),daily_dates,0),MATCH($B$3,daily_items,0))),NA(),INDEX(big_daily_table,MATCH(DATE(V$5,$J155,$I155),daily_dates,0),MATCH($B$3,daily_items,0)))</f>
        <v>#N/A</v>
      </c>
      <c r="W155" s="1" t="e">
        <f aca="false">IF(ISBLANK(INDEX(big_daily_table,MATCH(DATE(W$5,$J155,$I155),daily_dates,0),MATCH($B$3,daily_items,0))),NA(),INDEX(big_daily_table,MATCH(DATE(W$5,$J155,$I155),daily_dates,0),MATCH($B$3,daily_items,0)))</f>
        <v>#N/A</v>
      </c>
      <c r="X155" s="1" t="e">
        <f aca="false">IF(ISBLANK(INDEX(big_daily_table,MATCH(DATE(X$5,$J155,$I155),daily_dates,0),MATCH($B$3,daily_items,0))),NA(),INDEX(big_daily_table,MATCH(DATE(X$5,$J155,$I155),daily_dates,0),MATCH($B$3,daily_items,0)))</f>
        <v>#N/A</v>
      </c>
      <c r="Y155" s="1" t="e">
        <f aca="false">IF(ISBLANK(INDEX(big_daily_table,MATCH(DATE(Y$5,$J155,$I155),daily_dates,0),MATCH($B$3,daily_items,0))),NA(),INDEX(big_daily_table,MATCH(DATE(Y$5,$J155,$I155),daily_dates,0),MATCH($B$3,daily_items,0)))</f>
        <v>#N/A</v>
      </c>
      <c r="Z155" s="1" t="n">
        <f aca="true">_xlfn.AGGREGATE(5,6,OFFSET($R$5,H155,0,1,$J$2))</f>
        <v>0</v>
      </c>
      <c r="AA155" s="1" t="n">
        <f aca="true">_xlfn.AGGREGATE(4,6,OFFSET($R$5,H155,0,1,$J$2))</f>
        <v>0</v>
      </c>
      <c r="AB155" s="1" t="n">
        <f aca="false">AA155-Z155</f>
        <v>0</v>
      </c>
      <c r="AC155" s="1" t="e">
        <f aca="true">_xlfn.AGGREGATE(1,6,OFFSET($R$5,H155,0,1,$J$2))</f>
        <v>#DIV/0!</v>
      </c>
    </row>
    <row r="156" customFormat="false" ht="14.25" hidden="false" customHeight="false" outlineLevel="0" collapsed="false">
      <c r="H156" s="1" t="n">
        <f aca="false">H155+1</f>
        <v>151</v>
      </c>
      <c r="I156" s="1" t="n">
        <f aca="false">DAY(K156)</f>
        <v>30</v>
      </c>
      <c r="J156" s="1" t="n">
        <f aca="false">MONTH(K156)</f>
        <v>5</v>
      </c>
      <c r="K156" s="23" t="n">
        <f aca="false">K155+1</f>
        <v>36676</v>
      </c>
      <c r="L156" s="24" t="n">
        <f aca="true">IF(TODAY()&lt;DATE($N$5,J156,I156),1000000,-1000000)</f>
        <v>-1000000</v>
      </c>
      <c r="M156" s="1" t="e">
        <f aca="false">IF(K156&gt;0,INDEX(big_daily_table,MATCH(DATE(N$5,$J156,$I156),daily_dates,0),MATCH($B$3,daily_items,0)),NA())</f>
        <v>#N/A</v>
      </c>
      <c r="N156" s="1" t="e">
        <f aca="false">IF(L156&lt;0,INDEX(big_daily_table,MATCH(DATE(N$5,$J156,$I156),daily_dates,0),MATCH($B$3,daily_items,0)),NA())</f>
        <v>#N/A</v>
      </c>
      <c r="O156" s="1" t="e">
        <f aca="false">IF(ISBLANK(INDEX(big_daily_table,MATCH(DATE(O$5,$J156,$I156),daily_dates,0),MATCH($B$3,daily_items,0))),NA(),INDEX(big_daily_table,MATCH(DATE(O$5,$J156,$I156),daily_dates,0),MATCH($B$3,daily_items,0)))</f>
        <v>#N/A</v>
      </c>
      <c r="P156" s="1" t="e">
        <f aca="false">IF(ISBLANK(INDEX(big_daily_table,MATCH(DATE(P$5,$J156,$I156),daily_dates,0),MATCH($B$3,daily_items,0))),NA(),INDEX(big_daily_table,MATCH(DATE(P$5,$J156,$I156),daily_dates,0),MATCH($B$3,daily_items,0)))</f>
        <v>#N/A</v>
      </c>
      <c r="Q156" s="1" t="e">
        <f aca="false">IF(ISBLANK(INDEX(big_daily_table,MATCH(DATE(Q$5,$J156,$I156),daily_dates,0),MATCH($B$3,daily_items,0))),NA(),INDEX(big_daily_table,MATCH(DATE(Q$5,$J156,$I156),daily_dates,0),MATCH($B$3,daily_items,0)))</f>
        <v>#N/A</v>
      </c>
      <c r="R156" s="1" t="e">
        <f aca="false">IF(ISBLANK(INDEX(big_daily_table,MATCH(DATE(R$5,$J156,$I156),daily_dates,0),MATCH($B$3,daily_items,0))),NA(),INDEX(big_daily_table,MATCH(DATE(R$5,$J156,$I156),daily_dates,0),MATCH($B$3,daily_items,0)))</f>
        <v>#N/A</v>
      </c>
      <c r="S156" s="1" t="e">
        <f aca="false">IF(ISBLANK(INDEX(big_daily_table,MATCH(DATE(S$5,$J156,$I156),daily_dates,0),MATCH($B$3,daily_items,0))),NA(),INDEX(big_daily_table,MATCH(DATE(S$5,$J156,$I156),daily_dates,0),MATCH($B$3,daily_items,0)))</f>
        <v>#N/A</v>
      </c>
      <c r="T156" s="1" t="e">
        <f aca="false">IF(ISBLANK(INDEX(big_daily_table,MATCH(DATE(T$5,$J156,$I156),daily_dates,0),MATCH($B$3,daily_items,0))),NA(),INDEX(big_daily_table,MATCH(DATE(T$5,$J156,$I156),daily_dates,0),MATCH($B$3,daily_items,0)))</f>
        <v>#N/A</v>
      </c>
      <c r="U156" s="1" t="e">
        <f aca="false">IF(ISBLANK(INDEX(big_daily_table,MATCH(DATE(U$5,$J156,$I156),daily_dates,0),MATCH($B$3,daily_items,0))),NA(),INDEX(big_daily_table,MATCH(DATE(U$5,$J156,$I156),daily_dates,0),MATCH($B$3,daily_items,0)))</f>
        <v>#N/A</v>
      </c>
      <c r="V156" s="1" t="e">
        <f aca="false">IF(ISBLANK(INDEX(big_daily_table,MATCH(DATE(V$5,$J156,$I156),daily_dates,0),MATCH($B$3,daily_items,0))),NA(),INDEX(big_daily_table,MATCH(DATE(V$5,$J156,$I156),daily_dates,0),MATCH($B$3,daily_items,0)))</f>
        <v>#N/A</v>
      </c>
      <c r="W156" s="1" t="e">
        <f aca="false">IF(ISBLANK(INDEX(big_daily_table,MATCH(DATE(W$5,$J156,$I156),daily_dates,0),MATCH($B$3,daily_items,0))),NA(),INDEX(big_daily_table,MATCH(DATE(W$5,$J156,$I156),daily_dates,0),MATCH($B$3,daily_items,0)))</f>
        <v>#N/A</v>
      </c>
      <c r="X156" s="1" t="e">
        <f aca="false">IF(ISBLANK(INDEX(big_daily_table,MATCH(DATE(X$5,$J156,$I156),daily_dates,0),MATCH($B$3,daily_items,0))),NA(),INDEX(big_daily_table,MATCH(DATE(X$5,$J156,$I156),daily_dates,0),MATCH($B$3,daily_items,0)))</f>
        <v>#N/A</v>
      </c>
      <c r="Y156" s="1" t="e">
        <f aca="false">IF(ISBLANK(INDEX(big_daily_table,MATCH(DATE(Y$5,$J156,$I156),daily_dates,0),MATCH($B$3,daily_items,0))),NA(),INDEX(big_daily_table,MATCH(DATE(Y$5,$J156,$I156),daily_dates,0),MATCH($B$3,daily_items,0)))</f>
        <v>#N/A</v>
      </c>
      <c r="Z156" s="1" t="n">
        <f aca="true">_xlfn.AGGREGATE(5,6,OFFSET($R$5,H156,0,1,$J$2))</f>
        <v>0</v>
      </c>
      <c r="AA156" s="1" t="n">
        <f aca="true">_xlfn.AGGREGATE(4,6,OFFSET($R$5,H156,0,1,$J$2))</f>
        <v>0</v>
      </c>
      <c r="AB156" s="1" t="n">
        <f aca="false">AA156-Z156</f>
        <v>0</v>
      </c>
      <c r="AC156" s="1" t="e">
        <f aca="true">_xlfn.AGGREGATE(1,6,OFFSET($R$5,H156,0,1,$J$2))</f>
        <v>#DIV/0!</v>
      </c>
    </row>
    <row r="157" customFormat="false" ht="14.25" hidden="false" customHeight="false" outlineLevel="0" collapsed="false">
      <c r="H157" s="1" t="n">
        <f aca="false">H156+1</f>
        <v>152</v>
      </c>
      <c r="I157" s="1" t="n">
        <f aca="false">DAY(K157)</f>
        <v>31</v>
      </c>
      <c r="J157" s="1" t="n">
        <f aca="false">MONTH(K157)</f>
        <v>5</v>
      </c>
      <c r="K157" s="23" t="n">
        <f aca="false">K156+1</f>
        <v>36677</v>
      </c>
      <c r="L157" s="24" t="n">
        <f aca="true">IF(TODAY()&lt;DATE($N$5,J157,I157),1000000,-1000000)</f>
        <v>-1000000</v>
      </c>
      <c r="M157" s="1" t="e">
        <f aca="false">IF(K157&gt;0,INDEX(big_daily_table,MATCH(DATE(N$5,$J157,$I157),daily_dates,0),MATCH($B$3,daily_items,0)),NA())</f>
        <v>#N/A</v>
      </c>
      <c r="N157" s="1" t="e">
        <f aca="false">IF(L157&lt;0,INDEX(big_daily_table,MATCH(DATE(N$5,$J157,$I157),daily_dates,0),MATCH($B$3,daily_items,0)),NA())</f>
        <v>#N/A</v>
      </c>
      <c r="O157" s="1" t="e">
        <f aca="false">IF(ISBLANK(INDEX(big_daily_table,MATCH(DATE(O$5,$J157,$I157),daily_dates,0),MATCH($B$3,daily_items,0))),NA(),INDEX(big_daily_table,MATCH(DATE(O$5,$J157,$I157),daily_dates,0),MATCH($B$3,daily_items,0)))</f>
        <v>#N/A</v>
      </c>
      <c r="P157" s="1" t="e">
        <f aca="false">IF(ISBLANK(INDEX(big_daily_table,MATCH(DATE(P$5,$J157,$I157),daily_dates,0),MATCH($B$3,daily_items,0))),NA(),INDEX(big_daily_table,MATCH(DATE(P$5,$J157,$I157),daily_dates,0),MATCH($B$3,daily_items,0)))</f>
        <v>#N/A</v>
      </c>
      <c r="Q157" s="1" t="e">
        <f aca="false">IF(ISBLANK(INDEX(big_daily_table,MATCH(DATE(Q$5,$J157,$I157),daily_dates,0),MATCH($B$3,daily_items,0))),NA(),INDEX(big_daily_table,MATCH(DATE(Q$5,$J157,$I157),daily_dates,0),MATCH($B$3,daily_items,0)))</f>
        <v>#N/A</v>
      </c>
      <c r="R157" s="1" t="e">
        <f aca="false">IF(ISBLANK(INDEX(big_daily_table,MATCH(DATE(R$5,$J157,$I157),daily_dates,0),MATCH($B$3,daily_items,0))),NA(),INDEX(big_daily_table,MATCH(DATE(R$5,$J157,$I157),daily_dates,0),MATCH($B$3,daily_items,0)))</f>
        <v>#N/A</v>
      </c>
      <c r="S157" s="1" t="e">
        <f aca="false">IF(ISBLANK(INDEX(big_daily_table,MATCH(DATE(S$5,$J157,$I157),daily_dates,0),MATCH($B$3,daily_items,0))),NA(),INDEX(big_daily_table,MATCH(DATE(S$5,$J157,$I157),daily_dates,0),MATCH($B$3,daily_items,0)))</f>
        <v>#N/A</v>
      </c>
      <c r="T157" s="1" t="e">
        <f aca="false">IF(ISBLANK(INDEX(big_daily_table,MATCH(DATE(T$5,$J157,$I157),daily_dates,0),MATCH($B$3,daily_items,0))),NA(),INDEX(big_daily_table,MATCH(DATE(T$5,$J157,$I157),daily_dates,0),MATCH($B$3,daily_items,0)))</f>
        <v>#N/A</v>
      </c>
      <c r="U157" s="1" t="e">
        <f aca="false">IF(ISBLANK(INDEX(big_daily_table,MATCH(DATE(U$5,$J157,$I157),daily_dates,0),MATCH($B$3,daily_items,0))),NA(),INDEX(big_daily_table,MATCH(DATE(U$5,$J157,$I157),daily_dates,0),MATCH($B$3,daily_items,0)))</f>
        <v>#N/A</v>
      </c>
      <c r="V157" s="1" t="e">
        <f aca="false">IF(ISBLANK(INDEX(big_daily_table,MATCH(DATE(V$5,$J157,$I157),daily_dates,0),MATCH($B$3,daily_items,0))),NA(),INDEX(big_daily_table,MATCH(DATE(V$5,$J157,$I157),daily_dates,0),MATCH($B$3,daily_items,0)))</f>
        <v>#N/A</v>
      </c>
      <c r="W157" s="1" t="e">
        <f aca="false">IF(ISBLANK(INDEX(big_daily_table,MATCH(DATE(W$5,$J157,$I157),daily_dates,0),MATCH($B$3,daily_items,0))),NA(),INDEX(big_daily_table,MATCH(DATE(W$5,$J157,$I157),daily_dates,0),MATCH($B$3,daily_items,0)))</f>
        <v>#N/A</v>
      </c>
      <c r="X157" s="1" t="e">
        <f aca="false">IF(ISBLANK(INDEX(big_daily_table,MATCH(DATE(X$5,$J157,$I157),daily_dates,0),MATCH($B$3,daily_items,0))),NA(),INDEX(big_daily_table,MATCH(DATE(X$5,$J157,$I157),daily_dates,0),MATCH($B$3,daily_items,0)))</f>
        <v>#N/A</v>
      </c>
      <c r="Y157" s="1" t="e">
        <f aca="false">IF(ISBLANK(INDEX(big_daily_table,MATCH(DATE(Y$5,$J157,$I157),daily_dates,0),MATCH($B$3,daily_items,0))),NA(),INDEX(big_daily_table,MATCH(DATE(Y$5,$J157,$I157),daily_dates,0),MATCH($B$3,daily_items,0)))</f>
        <v>#N/A</v>
      </c>
      <c r="Z157" s="1" t="n">
        <f aca="true">_xlfn.AGGREGATE(5,6,OFFSET($R$5,H157,0,1,$J$2))</f>
        <v>0</v>
      </c>
      <c r="AA157" s="1" t="n">
        <f aca="true">_xlfn.AGGREGATE(4,6,OFFSET($R$5,H157,0,1,$J$2))</f>
        <v>0</v>
      </c>
      <c r="AB157" s="1" t="n">
        <f aca="false">AA157-Z157</f>
        <v>0</v>
      </c>
      <c r="AC157" s="1" t="e">
        <f aca="true">_xlfn.AGGREGATE(1,6,OFFSET($R$5,H157,0,1,$J$2))</f>
        <v>#DIV/0!</v>
      </c>
    </row>
    <row r="158" customFormat="false" ht="14.25" hidden="false" customHeight="false" outlineLevel="0" collapsed="false">
      <c r="H158" s="1" t="n">
        <f aca="false">H157+1</f>
        <v>153</v>
      </c>
      <c r="I158" s="1" t="n">
        <f aca="false">DAY(K158)</f>
        <v>1</v>
      </c>
      <c r="J158" s="1" t="n">
        <f aca="false">MONTH(K158)</f>
        <v>6</v>
      </c>
      <c r="K158" s="23" t="n">
        <f aca="false">K157+1</f>
        <v>36678</v>
      </c>
      <c r="L158" s="24" t="n">
        <f aca="true">IF(TODAY()&lt;DATE($N$5,J158,I158),1000000,-1000000)</f>
        <v>-1000000</v>
      </c>
      <c r="M158" s="1" t="e">
        <f aca="false">IF(K158&gt;0,INDEX(big_daily_table,MATCH(DATE(N$5,$J158,$I158),daily_dates,0),MATCH($B$3,daily_items,0)),NA())</f>
        <v>#N/A</v>
      </c>
      <c r="N158" s="1" t="e">
        <f aca="false">IF(L158&lt;0,INDEX(big_daily_table,MATCH(DATE(N$5,$J158,$I158),daily_dates,0),MATCH($B$3,daily_items,0)),NA())</f>
        <v>#N/A</v>
      </c>
      <c r="O158" s="1" t="e">
        <f aca="false">IF(ISBLANK(INDEX(big_daily_table,MATCH(DATE(O$5,$J158,$I158),daily_dates,0),MATCH($B$3,daily_items,0))),NA(),INDEX(big_daily_table,MATCH(DATE(O$5,$J158,$I158),daily_dates,0),MATCH($B$3,daily_items,0)))</f>
        <v>#N/A</v>
      </c>
      <c r="P158" s="1" t="e">
        <f aca="false">IF(ISBLANK(INDEX(big_daily_table,MATCH(DATE(P$5,$J158,$I158),daily_dates,0),MATCH($B$3,daily_items,0))),NA(),INDEX(big_daily_table,MATCH(DATE(P$5,$J158,$I158),daily_dates,0),MATCH($B$3,daily_items,0)))</f>
        <v>#N/A</v>
      </c>
      <c r="Q158" s="1" t="e">
        <f aca="false">IF(ISBLANK(INDEX(big_daily_table,MATCH(DATE(Q$5,$J158,$I158),daily_dates,0),MATCH($B$3,daily_items,0))),NA(),INDEX(big_daily_table,MATCH(DATE(Q$5,$J158,$I158),daily_dates,0),MATCH($B$3,daily_items,0)))</f>
        <v>#N/A</v>
      </c>
      <c r="R158" s="1" t="e">
        <f aca="false">IF(ISBLANK(INDEX(big_daily_table,MATCH(DATE(R$5,$J158,$I158),daily_dates,0),MATCH($B$3,daily_items,0))),NA(),INDEX(big_daily_table,MATCH(DATE(R$5,$J158,$I158),daily_dates,0),MATCH($B$3,daily_items,0)))</f>
        <v>#N/A</v>
      </c>
      <c r="S158" s="1" t="e">
        <f aca="false">IF(ISBLANK(INDEX(big_daily_table,MATCH(DATE(S$5,$J158,$I158),daily_dates,0),MATCH($B$3,daily_items,0))),NA(),INDEX(big_daily_table,MATCH(DATE(S$5,$J158,$I158),daily_dates,0),MATCH($B$3,daily_items,0)))</f>
        <v>#N/A</v>
      </c>
      <c r="T158" s="1" t="e">
        <f aca="false">IF(ISBLANK(INDEX(big_daily_table,MATCH(DATE(T$5,$J158,$I158),daily_dates,0),MATCH($B$3,daily_items,0))),NA(),INDEX(big_daily_table,MATCH(DATE(T$5,$J158,$I158),daily_dates,0),MATCH($B$3,daily_items,0)))</f>
        <v>#N/A</v>
      </c>
      <c r="U158" s="1" t="e">
        <f aca="false">IF(ISBLANK(INDEX(big_daily_table,MATCH(DATE(U$5,$J158,$I158),daily_dates,0),MATCH($B$3,daily_items,0))),NA(),INDEX(big_daily_table,MATCH(DATE(U$5,$J158,$I158),daily_dates,0),MATCH($B$3,daily_items,0)))</f>
        <v>#N/A</v>
      </c>
      <c r="V158" s="1" t="e">
        <f aca="false">IF(ISBLANK(INDEX(big_daily_table,MATCH(DATE(V$5,$J158,$I158),daily_dates,0),MATCH($B$3,daily_items,0))),NA(),INDEX(big_daily_table,MATCH(DATE(V$5,$J158,$I158),daily_dates,0),MATCH($B$3,daily_items,0)))</f>
        <v>#N/A</v>
      </c>
      <c r="W158" s="1" t="e">
        <f aca="false">IF(ISBLANK(INDEX(big_daily_table,MATCH(DATE(W$5,$J158,$I158),daily_dates,0),MATCH($B$3,daily_items,0))),NA(),INDEX(big_daily_table,MATCH(DATE(W$5,$J158,$I158),daily_dates,0),MATCH($B$3,daily_items,0)))</f>
        <v>#N/A</v>
      </c>
      <c r="X158" s="1" t="e">
        <f aca="false">IF(ISBLANK(INDEX(big_daily_table,MATCH(DATE(X$5,$J158,$I158),daily_dates,0),MATCH($B$3,daily_items,0))),NA(),INDEX(big_daily_table,MATCH(DATE(X$5,$J158,$I158),daily_dates,0),MATCH($B$3,daily_items,0)))</f>
        <v>#N/A</v>
      </c>
      <c r="Y158" s="1" t="e">
        <f aca="false">IF(ISBLANK(INDEX(big_daily_table,MATCH(DATE(Y$5,$J158,$I158),daily_dates,0),MATCH($B$3,daily_items,0))),NA(),INDEX(big_daily_table,MATCH(DATE(Y$5,$J158,$I158),daily_dates,0),MATCH($B$3,daily_items,0)))</f>
        <v>#N/A</v>
      </c>
      <c r="Z158" s="1" t="n">
        <f aca="true">_xlfn.AGGREGATE(5,6,OFFSET($R$5,H158,0,1,$J$2))</f>
        <v>0</v>
      </c>
      <c r="AA158" s="1" t="n">
        <f aca="true">_xlfn.AGGREGATE(4,6,OFFSET($R$5,H158,0,1,$J$2))</f>
        <v>0</v>
      </c>
      <c r="AB158" s="1" t="n">
        <f aca="false">AA158-Z158</f>
        <v>0</v>
      </c>
      <c r="AC158" s="1" t="e">
        <f aca="true">_xlfn.AGGREGATE(1,6,OFFSET($R$5,H158,0,1,$J$2))</f>
        <v>#DIV/0!</v>
      </c>
    </row>
    <row r="159" customFormat="false" ht="14.25" hidden="false" customHeight="false" outlineLevel="0" collapsed="false">
      <c r="H159" s="1" t="n">
        <f aca="false">H158+1</f>
        <v>154</v>
      </c>
      <c r="I159" s="1" t="n">
        <f aca="false">DAY(K159)</f>
        <v>2</v>
      </c>
      <c r="J159" s="1" t="n">
        <f aca="false">MONTH(K159)</f>
        <v>6</v>
      </c>
      <c r="K159" s="23" t="n">
        <f aca="false">K158+1</f>
        <v>36679</v>
      </c>
      <c r="L159" s="24" t="n">
        <f aca="true">IF(TODAY()&lt;DATE($N$5,J159,I159),1000000,-1000000)</f>
        <v>-1000000</v>
      </c>
      <c r="M159" s="1" t="e">
        <f aca="false">IF(K159&gt;0,INDEX(big_daily_table,MATCH(DATE(N$5,$J159,$I159),daily_dates,0),MATCH($B$3,daily_items,0)),NA())</f>
        <v>#N/A</v>
      </c>
      <c r="N159" s="1" t="e">
        <f aca="false">IF(L159&lt;0,INDEX(big_daily_table,MATCH(DATE(N$5,$J159,$I159),daily_dates,0),MATCH($B$3,daily_items,0)),NA())</f>
        <v>#N/A</v>
      </c>
      <c r="O159" s="1" t="e">
        <f aca="false">IF(ISBLANK(INDEX(big_daily_table,MATCH(DATE(O$5,$J159,$I159),daily_dates,0),MATCH($B$3,daily_items,0))),NA(),INDEX(big_daily_table,MATCH(DATE(O$5,$J159,$I159),daily_dates,0),MATCH($B$3,daily_items,0)))</f>
        <v>#N/A</v>
      </c>
      <c r="P159" s="1" t="e">
        <f aca="false">IF(ISBLANK(INDEX(big_daily_table,MATCH(DATE(P$5,$J159,$I159),daily_dates,0),MATCH($B$3,daily_items,0))),NA(),INDEX(big_daily_table,MATCH(DATE(P$5,$J159,$I159),daily_dates,0),MATCH($B$3,daily_items,0)))</f>
        <v>#N/A</v>
      </c>
      <c r="Q159" s="1" t="e">
        <f aca="false">IF(ISBLANK(INDEX(big_daily_table,MATCH(DATE(Q$5,$J159,$I159),daily_dates,0),MATCH($B$3,daily_items,0))),NA(),INDEX(big_daily_table,MATCH(DATE(Q$5,$J159,$I159),daily_dates,0),MATCH($B$3,daily_items,0)))</f>
        <v>#N/A</v>
      </c>
      <c r="R159" s="1" t="e">
        <f aca="false">IF(ISBLANK(INDEX(big_daily_table,MATCH(DATE(R$5,$J159,$I159),daily_dates,0),MATCH($B$3,daily_items,0))),NA(),INDEX(big_daily_table,MATCH(DATE(R$5,$J159,$I159),daily_dates,0),MATCH($B$3,daily_items,0)))</f>
        <v>#N/A</v>
      </c>
      <c r="S159" s="1" t="e">
        <f aca="false">IF(ISBLANK(INDEX(big_daily_table,MATCH(DATE(S$5,$J159,$I159),daily_dates,0),MATCH($B$3,daily_items,0))),NA(),INDEX(big_daily_table,MATCH(DATE(S$5,$J159,$I159),daily_dates,0),MATCH($B$3,daily_items,0)))</f>
        <v>#N/A</v>
      </c>
      <c r="T159" s="1" t="e">
        <f aca="false">IF(ISBLANK(INDEX(big_daily_table,MATCH(DATE(T$5,$J159,$I159),daily_dates,0),MATCH($B$3,daily_items,0))),NA(),INDEX(big_daily_table,MATCH(DATE(T$5,$J159,$I159),daily_dates,0),MATCH($B$3,daily_items,0)))</f>
        <v>#N/A</v>
      </c>
      <c r="U159" s="1" t="e">
        <f aca="false">IF(ISBLANK(INDEX(big_daily_table,MATCH(DATE(U$5,$J159,$I159),daily_dates,0),MATCH($B$3,daily_items,0))),NA(),INDEX(big_daily_table,MATCH(DATE(U$5,$J159,$I159),daily_dates,0),MATCH($B$3,daily_items,0)))</f>
        <v>#N/A</v>
      </c>
      <c r="V159" s="1" t="e">
        <f aca="false">IF(ISBLANK(INDEX(big_daily_table,MATCH(DATE(V$5,$J159,$I159),daily_dates,0),MATCH($B$3,daily_items,0))),NA(),INDEX(big_daily_table,MATCH(DATE(V$5,$J159,$I159),daily_dates,0),MATCH($B$3,daily_items,0)))</f>
        <v>#N/A</v>
      </c>
      <c r="W159" s="1" t="e">
        <f aca="false">IF(ISBLANK(INDEX(big_daily_table,MATCH(DATE(W$5,$J159,$I159),daily_dates,0),MATCH($B$3,daily_items,0))),NA(),INDEX(big_daily_table,MATCH(DATE(W$5,$J159,$I159),daily_dates,0),MATCH($B$3,daily_items,0)))</f>
        <v>#N/A</v>
      </c>
      <c r="X159" s="1" t="e">
        <f aca="false">IF(ISBLANK(INDEX(big_daily_table,MATCH(DATE(X$5,$J159,$I159),daily_dates,0),MATCH($B$3,daily_items,0))),NA(),INDEX(big_daily_table,MATCH(DATE(X$5,$J159,$I159),daily_dates,0),MATCH($B$3,daily_items,0)))</f>
        <v>#N/A</v>
      </c>
      <c r="Y159" s="1" t="e">
        <f aca="false">IF(ISBLANK(INDEX(big_daily_table,MATCH(DATE(Y$5,$J159,$I159),daily_dates,0),MATCH($B$3,daily_items,0))),NA(),INDEX(big_daily_table,MATCH(DATE(Y$5,$J159,$I159),daily_dates,0),MATCH($B$3,daily_items,0)))</f>
        <v>#N/A</v>
      </c>
      <c r="Z159" s="1" t="n">
        <f aca="true">_xlfn.AGGREGATE(5,6,OFFSET($R$5,H159,0,1,$J$2))</f>
        <v>0</v>
      </c>
      <c r="AA159" s="1" t="n">
        <f aca="true">_xlfn.AGGREGATE(4,6,OFFSET($R$5,H159,0,1,$J$2))</f>
        <v>0</v>
      </c>
      <c r="AB159" s="1" t="n">
        <f aca="false">AA159-Z159</f>
        <v>0</v>
      </c>
      <c r="AC159" s="1" t="e">
        <f aca="true">_xlfn.AGGREGATE(1,6,OFFSET($R$5,H159,0,1,$J$2))</f>
        <v>#DIV/0!</v>
      </c>
    </row>
    <row r="160" customFormat="false" ht="14.25" hidden="false" customHeight="false" outlineLevel="0" collapsed="false">
      <c r="H160" s="1" t="n">
        <f aca="false">H159+1</f>
        <v>155</v>
      </c>
      <c r="I160" s="1" t="n">
        <f aca="false">DAY(K160)</f>
        <v>3</v>
      </c>
      <c r="J160" s="1" t="n">
        <f aca="false">MONTH(K160)</f>
        <v>6</v>
      </c>
      <c r="K160" s="23" t="n">
        <f aca="false">K159+1</f>
        <v>36680</v>
      </c>
      <c r="L160" s="24" t="n">
        <f aca="true">IF(TODAY()&lt;DATE($N$5,J160,I160),1000000,-1000000)</f>
        <v>-1000000</v>
      </c>
      <c r="M160" s="1" t="e">
        <f aca="false">IF(K160&gt;0,INDEX(big_daily_table,MATCH(DATE(N$5,$J160,$I160),daily_dates,0),MATCH($B$3,daily_items,0)),NA())</f>
        <v>#N/A</v>
      </c>
      <c r="N160" s="1" t="e">
        <f aca="false">IF(L160&lt;0,INDEX(big_daily_table,MATCH(DATE(N$5,$J160,$I160),daily_dates,0),MATCH($B$3,daily_items,0)),NA())</f>
        <v>#N/A</v>
      </c>
      <c r="O160" s="1" t="e">
        <f aca="false">IF(ISBLANK(INDEX(big_daily_table,MATCH(DATE(O$5,$J160,$I160),daily_dates,0),MATCH($B$3,daily_items,0))),NA(),INDEX(big_daily_table,MATCH(DATE(O$5,$J160,$I160),daily_dates,0),MATCH($B$3,daily_items,0)))</f>
        <v>#N/A</v>
      </c>
      <c r="P160" s="1" t="e">
        <f aca="false">IF(ISBLANK(INDEX(big_daily_table,MATCH(DATE(P$5,$J160,$I160),daily_dates,0),MATCH($B$3,daily_items,0))),NA(),INDEX(big_daily_table,MATCH(DATE(P$5,$J160,$I160),daily_dates,0),MATCH($B$3,daily_items,0)))</f>
        <v>#N/A</v>
      </c>
      <c r="Q160" s="1" t="e">
        <f aca="false">IF(ISBLANK(INDEX(big_daily_table,MATCH(DATE(Q$5,$J160,$I160),daily_dates,0),MATCH($B$3,daily_items,0))),NA(),INDEX(big_daily_table,MATCH(DATE(Q$5,$J160,$I160),daily_dates,0),MATCH($B$3,daily_items,0)))</f>
        <v>#N/A</v>
      </c>
      <c r="R160" s="1" t="e">
        <f aca="false">IF(ISBLANK(INDEX(big_daily_table,MATCH(DATE(R$5,$J160,$I160),daily_dates,0),MATCH($B$3,daily_items,0))),NA(),INDEX(big_daily_table,MATCH(DATE(R$5,$J160,$I160),daily_dates,0),MATCH($B$3,daily_items,0)))</f>
        <v>#N/A</v>
      </c>
      <c r="S160" s="1" t="e">
        <f aca="false">IF(ISBLANK(INDEX(big_daily_table,MATCH(DATE(S$5,$J160,$I160),daily_dates,0),MATCH($B$3,daily_items,0))),NA(),INDEX(big_daily_table,MATCH(DATE(S$5,$J160,$I160),daily_dates,0),MATCH($B$3,daily_items,0)))</f>
        <v>#N/A</v>
      </c>
      <c r="T160" s="1" t="e">
        <f aca="false">IF(ISBLANK(INDEX(big_daily_table,MATCH(DATE(T$5,$J160,$I160),daily_dates,0),MATCH($B$3,daily_items,0))),NA(),INDEX(big_daily_table,MATCH(DATE(T$5,$J160,$I160),daily_dates,0),MATCH($B$3,daily_items,0)))</f>
        <v>#N/A</v>
      </c>
      <c r="U160" s="1" t="e">
        <f aca="false">IF(ISBLANK(INDEX(big_daily_table,MATCH(DATE(U$5,$J160,$I160),daily_dates,0),MATCH($B$3,daily_items,0))),NA(),INDEX(big_daily_table,MATCH(DATE(U$5,$J160,$I160),daily_dates,0),MATCH($B$3,daily_items,0)))</f>
        <v>#N/A</v>
      </c>
      <c r="V160" s="1" t="e">
        <f aca="false">IF(ISBLANK(INDEX(big_daily_table,MATCH(DATE(V$5,$J160,$I160),daily_dates,0),MATCH($B$3,daily_items,0))),NA(),INDEX(big_daily_table,MATCH(DATE(V$5,$J160,$I160),daily_dates,0),MATCH($B$3,daily_items,0)))</f>
        <v>#N/A</v>
      </c>
      <c r="W160" s="1" t="e">
        <f aca="false">IF(ISBLANK(INDEX(big_daily_table,MATCH(DATE(W$5,$J160,$I160),daily_dates,0),MATCH($B$3,daily_items,0))),NA(),INDEX(big_daily_table,MATCH(DATE(W$5,$J160,$I160),daily_dates,0),MATCH($B$3,daily_items,0)))</f>
        <v>#N/A</v>
      </c>
      <c r="X160" s="1" t="e">
        <f aca="false">IF(ISBLANK(INDEX(big_daily_table,MATCH(DATE(X$5,$J160,$I160),daily_dates,0),MATCH($B$3,daily_items,0))),NA(),INDEX(big_daily_table,MATCH(DATE(X$5,$J160,$I160),daily_dates,0),MATCH($B$3,daily_items,0)))</f>
        <v>#N/A</v>
      </c>
      <c r="Y160" s="1" t="e">
        <f aca="false">IF(ISBLANK(INDEX(big_daily_table,MATCH(DATE(Y$5,$J160,$I160),daily_dates,0),MATCH($B$3,daily_items,0))),NA(),INDEX(big_daily_table,MATCH(DATE(Y$5,$J160,$I160),daily_dates,0),MATCH($B$3,daily_items,0)))</f>
        <v>#N/A</v>
      </c>
      <c r="Z160" s="1" t="n">
        <f aca="true">_xlfn.AGGREGATE(5,6,OFFSET($R$5,H160,0,1,$J$2))</f>
        <v>0</v>
      </c>
      <c r="AA160" s="1" t="n">
        <f aca="true">_xlfn.AGGREGATE(4,6,OFFSET($R$5,H160,0,1,$J$2))</f>
        <v>0</v>
      </c>
      <c r="AB160" s="1" t="n">
        <f aca="false">AA160-Z160</f>
        <v>0</v>
      </c>
      <c r="AC160" s="1" t="e">
        <f aca="true">_xlfn.AGGREGATE(1,6,OFFSET($R$5,H160,0,1,$J$2))</f>
        <v>#DIV/0!</v>
      </c>
    </row>
    <row r="161" customFormat="false" ht="14.25" hidden="false" customHeight="false" outlineLevel="0" collapsed="false">
      <c r="H161" s="1" t="n">
        <f aca="false">H160+1</f>
        <v>156</v>
      </c>
      <c r="I161" s="1" t="n">
        <f aca="false">DAY(K161)</f>
        <v>4</v>
      </c>
      <c r="J161" s="1" t="n">
        <f aca="false">MONTH(K161)</f>
        <v>6</v>
      </c>
      <c r="K161" s="23" t="n">
        <f aca="false">K160+1</f>
        <v>36681</v>
      </c>
      <c r="L161" s="24" t="n">
        <f aca="true">IF(TODAY()&lt;DATE($N$5,J161,I161),1000000,-1000000)</f>
        <v>-1000000</v>
      </c>
      <c r="M161" s="1" t="e">
        <f aca="false">IF(K161&gt;0,INDEX(big_daily_table,MATCH(DATE(N$5,$J161,$I161),daily_dates,0),MATCH($B$3,daily_items,0)),NA())</f>
        <v>#N/A</v>
      </c>
      <c r="N161" s="1" t="e">
        <f aca="false">IF(L161&lt;0,INDEX(big_daily_table,MATCH(DATE(N$5,$J161,$I161),daily_dates,0),MATCH($B$3,daily_items,0)),NA())</f>
        <v>#N/A</v>
      </c>
      <c r="O161" s="1" t="e">
        <f aca="false">IF(ISBLANK(INDEX(big_daily_table,MATCH(DATE(O$5,$J161,$I161),daily_dates,0),MATCH($B$3,daily_items,0))),NA(),INDEX(big_daily_table,MATCH(DATE(O$5,$J161,$I161),daily_dates,0),MATCH($B$3,daily_items,0)))</f>
        <v>#N/A</v>
      </c>
      <c r="P161" s="1" t="e">
        <f aca="false">IF(ISBLANK(INDEX(big_daily_table,MATCH(DATE(P$5,$J161,$I161),daily_dates,0),MATCH($B$3,daily_items,0))),NA(),INDEX(big_daily_table,MATCH(DATE(P$5,$J161,$I161),daily_dates,0),MATCH($B$3,daily_items,0)))</f>
        <v>#N/A</v>
      </c>
      <c r="Q161" s="1" t="e">
        <f aca="false">IF(ISBLANK(INDEX(big_daily_table,MATCH(DATE(Q$5,$J161,$I161),daily_dates,0),MATCH($B$3,daily_items,0))),NA(),INDEX(big_daily_table,MATCH(DATE(Q$5,$J161,$I161),daily_dates,0),MATCH($B$3,daily_items,0)))</f>
        <v>#N/A</v>
      </c>
      <c r="R161" s="1" t="e">
        <f aca="false">IF(ISBLANK(INDEX(big_daily_table,MATCH(DATE(R$5,$J161,$I161),daily_dates,0),MATCH($B$3,daily_items,0))),NA(),INDEX(big_daily_table,MATCH(DATE(R$5,$J161,$I161),daily_dates,0),MATCH($B$3,daily_items,0)))</f>
        <v>#N/A</v>
      </c>
      <c r="S161" s="1" t="e">
        <f aca="false">IF(ISBLANK(INDEX(big_daily_table,MATCH(DATE(S$5,$J161,$I161),daily_dates,0),MATCH($B$3,daily_items,0))),NA(),INDEX(big_daily_table,MATCH(DATE(S$5,$J161,$I161),daily_dates,0),MATCH($B$3,daily_items,0)))</f>
        <v>#N/A</v>
      </c>
      <c r="T161" s="1" t="e">
        <f aca="false">IF(ISBLANK(INDEX(big_daily_table,MATCH(DATE(T$5,$J161,$I161),daily_dates,0),MATCH($B$3,daily_items,0))),NA(),INDEX(big_daily_table,MATCH(DATE(T$5,$J161,$I161),daily_dates,0),MATCH($B$3,daily_items,0)))</f>
        <v>#N/A</v>
      </c>
      <c r="U161" s="1" t="e">
        <f aca="false">IF(ISBLANK(INDEX(big_daily_table,MATCH(DATE(U$5,$J161,$I161),daily_dates,0),MATCH($B$3,daily_items,0))),NA(),INDEX(big_daily_table,MATCH(DATE(U$5,$J161,$I161),daily_dates,0),MATCH($B$3,daily_items,0)))</f>
        <v>#N/A</v>
      </c>
      <c r="V161" s="1" t="e">
        <f aca="false">IF(ISBLANK(INDEX(big_daily_table,MATCH(DATE(V$5,$J161,$I161),daily_dates,0),MATCH($B$3,daily_items,0))),NA(),INDEX(big_daily_table,MATCH(DATE(V$5,$J161,$I161),daily_dates,0),MATCH($B$3,daily_items,0)))</f>
        <v>#N/A</v>
      </c>
      <c r="W161" s="1" t="e">
        <f aca="false">IF(ISBLANK(INDEX(big_daily_table,MATCH(DATE(W$5,$J161,$I161),daily_dates,0),MATCH($B$3,daily_items,0))),NA(),INDEX(big_daily_table,MATCH(DATE(W$5,$J161,$I161),daily_dates,0),MATCH($B$3,daily_items,0)))</f>
        <v>#N/A</v>
      </c>
      <c r="X161" s="1" t="e">
        <f aca="false">IF(ISBLANK(INDEX(big_daily_table,MATCH(DATE(X$5,$J161,$I161),daily_dates,0),MATCH($B$3,daily_items,0))),NA(),INDEX(big_daily_table,MATCH(DATE(X$5,$J161,$I161),daily_dates,0),MATCH($B$3,daily_items,0)))</f>
        <v>#N/A</v>
      </c>
      <c r="Y161" s="1" t="e">
        <f aca="false">IF(ISBLANK(INDEX(big_daily_table,MATCH(DATE(Y$5,$J161,$I161),daily_dates,0),MATCH($B$3,daily_items,0))),NA(),INDEX(big_daily_table,MATCH(DATE(Y$5,$J161,$I161),daily_dates,0),MATCH($B$3,daily_items,0)))</f>
        <v>#N/A</v>
      </c>
      <c r="Z161" s="1" t="n">
        <f aca="true">_xlfn.AGGREGATE(5,6,OFFSET($R$5,H161,0,1,$J$2))</f>
        <v>0</v>
      </c>
      <c r="AA161" s="1" t="n">
        <f aca="true">_xlfn.AGGREGATE(4,6,OFFSET($R$5,H161,0,1,$J$2))</f>
        <v>0</v>
      </c>
      <c r="AB161" s="1" t="n">
        <f aca="false">AA161-Z161</f>
        <v>0</v>
      </c>
      <c r="AC161" s="1" t="e">
        <f aca="true">_xlfn.AGGREGATE(1,6,OFFSET($R$5,H161,0,1,$J$2))</f>
        <v>#DIV/0!</v>
      </c>
    </row>
    <row r="162" customFormat="false" ht="14.25" hidden="false" customHeight="false" outlineLevel="0" collapsed="false">
      <c r="H162" s="1" t="n">
        <f aca="false">H161+1</f>
        <v>157</v>
      </c>
      <c r="I162" s="1" t="n">
        <f aca="false">DAY(K162)</f>
        <v>5</v>
      </c>
      <c r="J162" s="1" t="n">
        <f aca="false">MONTH(K162)</f>
        <v>6</v>
      </c>
      <c r="K162" s="23" t="n">
        <f aca="false">K161+1</f>
        <v>36682</v>
      </c>
      <c r="L162" s="24" t="n">
        <f aca="true">IF(TODAY()&lt;DATE($N$5,J162,I162),1000000,-1000000)</f>
        <v>-1000000</v>
      </c>
      <c r="M162" s="1" t="e">
        <f aca="false">IF(K162&gt;0,INDEX(big_daily_table,MATCH(DATE(N$5,$J162,$I162),daily_dates,0),MATCH($B$3,daily_items,0)),NA())</f>
        <v>#N/A</v>
      </c>
      <c r="N162" s="1" t="e">
        <f aca="false">IF(L162&lt;0,INDEX(big_daily_table,MATCH(DATE(N$5,$J162,$I162),daily_dates,0),MATCH($B$3,daily_items,0)),NA())</f>
        <v>#N/A</v>
      </c>
      <c r="O162" s="1" t="e">
        <f aca="false">IF(ISBLANK(INDEX(big_daily_table,MATCH(DATE(O$5,$J162,$I162),daily_dates,0),MATCH($B$3,daily_items,0))),NA(),INDEX(big_daily_table,MATCH(DATE(O$5,$J162,$I162),daily_dates,0),MATCH($B$3,daily_items,0)))</f>
        <v>#N/A</v>
      </c>
      <c r="P162" s="1" t="e">
        <f aca="false">IF(ISBLANK(INDEX(big_daily_table,MATCH(DATE(P$5,$J162,$I162),daily_dates,0),MATCH($B$3,daily_items,0))),NA(),INDEX(big_daily_table,MATCH(DATE(P$5,$J162,$I162),daily_dates,0),MATCH($B$3,daily_items,0)))</f>
        <v>#N/A</v>
      </c>
      <c r="Q162" s="1" t="e">
        <f aca="false">IF(ISBLANK(INDEX(big_daily_table,MATCH(DATE(Q$5,$J162,$I162),daily_dates,0),MATCH($B$3,daily_items,0))),NA(),INDEX(big_daily_table,MATCH(DATE(Q$5,$J162,$I162),daily_dates,0),MATCH($B$3,daily_items,0)))</f>
        <v>#N/A</v>
      </c>
      <c r="R162" s="1" t="e">
        <f aca="false">IF(ISBLANK(INDEX(big_daily_table,MATCH(DATE(R$5,$J162,$I162),daily_dates,0),MATCH($B$3,daily_items,0))),NA(),INDEX(big_daily_table,MATCH(DATE(R$5,$J162,$I162),daily_dates,0),MATCH($B$3,daily_items,0)))</f>
        <v>#N/A</v>
      </c>
      <c r="S162" s="1" t="e">
        <f aca="false">IF(ISBLANK(INDEX(big_daily_table,MATCH(DATE(S$5,$J162,$I162),daily_dates,0),MATCH($B$3,daily_items,0))),NA(),INDEX(big_daily_table,MATCH(DATE(S$5,$J162,$I162),daily_dates,0),MATCH($B$3,daily_items,0)))</f>
        <v>#N/A</v>
      </c>
      <c r="T162" s="1" t="e">
        <f aca="false">IF(ISBLANK(INDEX(big_daily_table,MATCH(DATE(T$5,$J162,$I162),daily_dates,0),MATCH($B$3,daily_items,0))),NA(),INDEX(big_daily_table,MATCH(DATE(T$5,$J162,$I162),daily_dates,0),MATCH($B$3,daily_items,0)))</f>
        <v>#N/A</v>
      </c>
      <c r="U162" s="1" t="e">
        <f aca="false">IF(ISBLANK(INDEX(big_daily_table,MATCH(DATE(U$5,$J162,$I162),daily_dates,0),MATCH($B$3,daily_items,0))),NA(),INDEX(big_daily_table,MATCH(DATE(U$5,$J162,$I162),daily_dates,0),MATCH($B$3,daily_items,0)))</f>
        <v>#N/A</v>
      </c>
      <c r="V162" s="1" t="e">
        <f aca="false">IF(ISBLANK(INDEX(big_daily_table,MATCH(DATE(V$5,$J162,$I162),daily_dates,0),MATCH($B$3,daily_items,0))),NA(),INDEX(big_daily_table,MATCH(DATE(V$5,$J162,$I162),daily_dates,0),MATCH($B$3,daily_items,0)))</f>
        <v>#N/A</v>
      </c>
      <c r="W162" s="1" t="e">
        <f aca="false">IF(ISBLANK(INDEX(big_daily_table,MATCH(DATE(W$5,$J162,$I162),daily_dates,0),MATCH($B$3,daily_items,0))),NA(),INDEX(big_daily_table,MATCH(DATE(W$5,$J162,$I162),daily_dates,0),MATCH($B$3,daily_items,0)))</f>
        <v>#N/A</v>
      </c>
      <c r="X162" s="1" t="e">
        <f aca="false">IF(ISBLANK(INDEX(big_daily_table,MATCH(DATE(X$5,$J162,$I162),daily_dates,0),MATCH($B$3,daily_items,0))),NA(),INDEX(big_daily_table,MATCH(DATE(X$5,$J162,$I162),daily_dates,0),MATCH($B$3,daily_items,0)))</f>
        <v>#N/A</v>
      </c>
      <c r="Y162" s="1" t="e">
        <f aca="false">IF(ISBLANK(INDEX(big_daily_table,MATCH(DATE(Y$5,$J162,$I162),daily_dates,0),MATCH($B$3,daily_items,0))),NA(),INDEX(big_daily_table,MATCH(DATE(Y$5,$J162,$I162),daily_dates,0),MATCH($B$3,daily_items,0)))</f>
        <v>#N/A</v>
      </c>
      <c r="Z162" s="1" t="n">
        <f aca="true">_xlfn.AGGREGATE(5,6,OFFSET($R$5,H162,0,1,$J$2))</f>
        <v>0</v>
      </c>
      <c r="AA162" s="1" t="n">
        <f aca="true">_xlfn.AGGREGATE(4,6,OFFSET($R$5,H162,0,1,$J$2))</f>
        <v>0</v>
      </c>
      <c r="AB162" s="1" t="n">
        <f aca="false">AA162-Z162</f>
        <v>0</v>
      </c>
      <c r="AC162" s="1" t="e">
        <f aca="true">_xlfn.AGGREGATE(1,6,OFFSET($R$5,H162,0,1,$J$2))</f>
        <v>#DIV/0!</v>
      </c>
    </row>
    <row r="163" customFormat="false" ht="14.25" hidden="false" customHeight="false" outlineLevel="0" collapsed="false">
      <c r="H163" s="1" t="n">
        <f aca="false">H162+1</f>
        <v>158</v>
      </c>
      <c r="I163" s="1" t="n">
        <f aca="false">DAY(K163)</f>
        <v>6</v>
      </c>
      <c r="J163" s="1" t="n">
        <f aca="false">MONTH(K163)</f>
        <v>6</v>
      </c>
      <c r="K163" s="23" t="n">
        <f aca="false">K162+1</f>
        <v>36683</v>
      </c>
      <c r="L163" s="24" t="n">
        <f aca="true">IF(TODAY()&lt;DATE($N$5,J163,I163),1000000,-1000000)</f>
        <v>-1000000</v>
      </c>
      <c r="M163" s="1" t="e">
        <f aca="false">IF(K163&gt;0,INDEX(big_daily_table,MATCH(DATE(N$5,$J163,$I163),daily_dates,0),MATCH($B$3,daily_items,0)),NA())</f>
        <v>#N/A</v>
      </c>
      <c r="N163" s="1" t="e">
        <f aca="false">IF(L163&lt;0,INDEX(big_daily_table,MATCH(DATE(N$5,$J163,$I163),daily_dates,0),MATCH($B$3,daily_items,0)),NA())</f>
        <v>#N/A</v>
      </c>
      <c r="O163" s="1" t="e">
        <f aca="false">IF(ISBLANK(INDEX(big_daily_table,MATCH(DATE(O$5,$J163,$I163),daily_dates,0),MATCH($B$3,daily_items,0))),NA(),INDEX(big_daily_table,MATCH(DATE(O$5,$J163,$I163),daily_dates,0),MATCH($B$3,daily_items,0)))</f>
        <v>#N/A</v>
      </c>
      <c r="P163" s="1" t="e">
        <f aca="false">IF(ISBLANK(INDEX(big_daily_table,MATCH(DATE(P$5,$J163,$I163),daily_dates,0),MATCH($B$3,daily_items,0))),NA(),INDEX(big_daily_table,MATCH(DATE(P$5,$J163,$I163),daily_dates,0),MATCH($B$3,daily_items,0)))</f>
        <v>#N/A</v>
      </c>
      <c r="Q163" s="1" t="e">
        <f aca="false">IF(ISBLANK(INDEX(big_daily_table,MATCH(DATE(Q$5,$J163,$I163),daily_dates,0),MATCH($B$3,daily_items,0))),NA(),INDEX(big_daily_table,MATCH(DATE(Q$5,$J163,$I163),daily_dates,0),MATCH($B$3,daily_items,0)))</f>
        <v>#N/A</v>
      </c>
      <c r="R163" s="1" t="e">
        <f aca="false">IF(ISBLANK(INDEX(big_daily_table,MATCH(DATE(R$5,$J163,$I163),daily_dates,0),MATCH($B$3,daily_items,0))),NA(),INDEX(big_daily_table,MATCH(DATE(R$5,$J163,$I163),daily_dates,0),MATCH($B$3,daily_items,0)))</f>
        <v>#N/A</v>
      </c>
      <c r="S163" s="1" t="e">
        <f aca="false">IF(ISBLANK(INDEX(big_daily_table,MATCH(DATE(S$5,$J163,$I163),daily_dates,0),MATCH($B$3,daily_items,0))),NA(),INDEX(big_daily_table,MATCH(DATE(S$5,$J163,$I163),daily_dates,0),MATCH($B$3,daily_items,0)))</f>
        <v>#N/A</v>
      </c>
      <c r="T163" s="1" t="e">
        <f aca="false">IF(ISBLANK(INDEX(big_daily_table,MATCH(DATE(T$5,$J163,$I163),daily_dates,0),MATCH($B$3,daily_items,0))),NA(),INDEX(big_daily_table,MATCH(DATE(T$5,$J163,$I163),daily_dates,0),MATCH($B$3,daily_items,0)))</f>
        <v>#N/A</v>
      </c>
      <c r="U163" s="1" t="e">
        <f aca="false">IF(ISBLANK(INDEX(big_daily_table,MATCH(DATE(U$5,$J163,$I163),daily_dates,0),MATCH($B$3,daily_items,0))),NA(),INDEX(big_daily_table,MATCH(DATE(U$5,$J163,$I163),daily_dates,0),MATCH($B$3,daily_items,0)))</f>
        <v>#N/A</v>
      </c>
      <c r="V163" s="1" t="e">
        <f aca="false">IF(ISBLANK(INDEX(big_daily_table,MATCH(DATE(V$5,$J163,$I163),daily_dates,0),MATCH($B$3,daily_items,0))),NA(),INDEX(big_daily_table,MATCH(DATE(V$5,$J163,$I163),daily_dates,0),MATCH($B$3,daily_items,0)))</f>
        <v>#N/A</v>
      </c>
      <c r="W163" s="1" t="e">
        <f aca="false">IF(ISBLANK(INDEX(big_daily_table,MATCH(DATE(W$5,$J163,$I163),daily_dates,0),MATCH($B$3,daily_items,0))),NA(),INDEX(big_daily_table,MATCH(DATE(W$5,$J163,$I163),daily_dates,0),MATCH($B$3,daily_items,0)))</f>
        <v>#N/A</v>
      </c>
      <c r="X163" s="1" t="e">
        <f aca="false">IF(ISBLANK(INDEX(big_daily_table,MATCH(DATE(X$5,$J163,$I163),daily_dates,0),MATCH($B$3,daily_items,0))),NA(),INDEX(big_daily_table,MATCH(DATE(X$5,$J163,$I163),daily_dates,0),MATCH($B$3,daily_items,0)))</f>
        <v>#N/A</v>
      </c>
      <c r="Y163" s="1" t="e">
        <f aca="false">IF(ISBLANK(INDEX(big_daily_table,MATCH(DATE(Y$5,$J163,$I163),daily_dates,0),MATCH($B$3,daily_items,0))),NA(),INDEX(big_daily_table,MATCH(DATE(Y$5,$J163,$I163),daily_dates,0),MATCH($B$3,daily_items,0)))</f>
        <v>#N/A</v>
      </c>
      <c r="Z163" s="1" t="n">
        <f aca="true">_xlfn.AGGREGATE(5,6,OFFSET($R$5,H163,0,1,$J$2))</f>
        <v>0</v>
      </c>
      <c r="AA163" s="1" t="n">
        <f aca="true">_xlfn.AGGREGATE(4,6,OFFSET($R$5,H163,0,1,$J$2))</f>
        <v>0</v>
      </c>
      <c r="AB163" s="1" t="n">
        <f aca="false">AA163-Z163</f>
        <v>0</v>
      </c>
      <c r="AC163" s="1" t="e">
        <f aca="true">_xlfn.AGGREGATE(1,6,OFFSET($R$5,H163,0,1,$J$2))</f>
        <v>#DIV/0!</v>
      </c>
    </row>
    <row r="164" customFormat="false" ht="14.25" hidden="false" customHeight="false" outlineLevel="0" collapsed="false">
      <c r="H164" s="1" t="n">
        <f aca="false">H163+1</f>
        <v>159</v>
      </c>
      <c r="I164" s="1" t="n">
        <f aca="false">DAY(K164)</f>
        <v>7</v>
      </c>
      <c r="J164" s="1" t="n">
        <f aca="false">MONTH(K164)</f>
        <v>6</v>
      </c>
      <c r="K164" s="23" t="n">
        <f aca="false">K163+1</f>
        <v>36684</v>
      </c>
      <c r="L164" s="24" t="n">
        <f aca="true">IF(TODAY()&lt;DATE($N$5,J164,I164),1000000,-1000000)</f>
        <v>-1000000</v>
      </c>
      <c r="M164" s="1" t="e">
        <f aca="false">IF(K164&gt;0,INDEX(big_daily_table,MATCH(DATE(N$5,$J164,$I164),daily_dates,0),MATCH($B$3,daily_items,0)),NA())</f>
        <v>#N/A</v>
      </c>
      <c r="N164" s="1" t="e">
        <f aca="false">IF(L164&lt;0,INDEX(big_daily_table,MATCH(DATE(N$5,$J164,$I164),daily_dates,0),MATCH($B$3,daily_items,0)),NA())</f>
        <v>#N/A</v>
      </c>
      <c r="O164" s="1" t="e">
        <f aca="false">IF(ISBLANK(INDEX(big_daily_table,MATCH(DATE(O$5,$J164,$I164),daily_dates,0),MATCH($B$3,daily_items,0))),NA(),INDEX(big_daily_table,MATCH(DATE(O$5,$J164,$I164),daily_dates,0),MATCH($B$3,daily_items,0)))</f>
        <v>#N/A</v>
      </c>
      <c r="P164" s="1" t="e">
        <f aca="false">IF(ISBLANK(INDEX(big_daily_table,MATCH(DATE(P$5,$J164,$I164),daily_dates,0),MATCH($B$3,daily_items,0))),NA(),INDEX(big_daily_table,MATCH(DATE(P$5,$J164,$I164),daily_dates,0),MATCH($B$3,daily_items,0)))</f>
        <v>#N/A</v>
      </c>
      <c r="Q164" s="1" t="e">
        <f aca="false">IF(ISBLANK(INDEX(big_daily_table,MATCH(DATE(Q$5,$J164,$I164),daily_dates,0),MATCH($B$3,daily_items,0))),NA(),INDEX(big_daily_table,MATCH(DATE(Q$5,$J164,$I164),daily_dates,0),MATCH($B$3,daily_items,0)))</f>
        <v>#N/A</v>
      </c>
      <c r="R164" s="1" t="e">
        <f aca="false">IF(ISBLANK(INDEX(big_daily_table,MATCH(DATE(R$5,$J164,$I164),daily_dates,0),MATCH($B$3,daily_items,0))),NA(),INDEX(big_daily_table,MATCH(DATE(R$5,$J164,$I164),daily_dates,0),MATCH($B$3,daily_items,0)))</f>
        <v>#N/A</v>
      </c>
      <c r="S164" s="1" t="e">
        <f aca="false">IF(ISBLANK(INDEX(big_daily_table,MATCH(DATE(S$5,$J164,$I164),daily_dates,0),MATCH($B$3,daily_items,0))),NA(),INDEX(big_daily_table,MATCH(DATE(S$5,$J164,$I164),daily_dates,0),MATCH($B$3,daily_items,0)))</f>
        <v>#N/A</v>
      </c>
      <c r="T164" s="1" t="e">
        <f aca="false">IF(ISBLANK(INDEX(big_daily_table,MATCH(DATE(T$5,$J164,$I164),daily_dates,0),MATCH($B$3,daily_items,0))),NA(),INDEX(big_daily_table,MATCH(DATE(T$5,$J164,$I164),daily_dates,0),MATCH($B$3,daily_items,0)))</f>
        <v>#N/A</v>
      </c>
      <c r="U164" s="1" t="e">
        <f aca="false">IF(ISBLANK(INDEX(big_daily_table,MATCH(DATE(U$5,$J164,$I164),daily_dates,0),MATCH($B$3,daily_items,0))),NA(),INDEX(big_daily_table,MATCH(DATE(U$5,$J164,$I164),daily_dates,0),MATCH($B$3,daily_items,0)))</f>
        <v>#N/A</v>
      </c>
      <c r="V164" s="1" t="e">
        <f aca="false">IF(ISBLANK(INDEX(big_daily_table,MATCH(DATE(V$5,$J164,$I164),daily_dates,0),MATCH($B$3,daily_items,0))),NA(),INDEX(big_daily_table,MATCH(DATE(V$5,$J164,$I164),daily_dates,0),MATCH($B$3,daily_items,0)))</f>
        <v>#N/A</v>
      </c>
      <c r="W164" s="1" t="e">
        <f aca="false">IF(ISBLANK(INDEX(big_daily_table,MATCH(DATE(W$5,$J164,$I164),daily_dates,0),MATCH($B$3,daily_items,0))),NA(),INDEX(big_daily_table,MATCH(DATE(W$5,$J164,$I164),daily_dates,0),MATCH($B$3,daily_items,0)))</f>
        <v>#N/A</v>
      </c>
      <c r="X164" s="1" t="e">
        <f aca="false">IF(ISBLANK(INDEX(big_daily_table,MATCH(DATE(X$5,$J164,$I164),daily_dates,0),MATCH($B$3,daily_items,0))),NA(),INDEX(big_daily_table,MATCH(DATE(X$5,$J164,$I164),daily_dates,0),MATCH($B$3,daily_items,0)))</f>
        <v>#N/A</v>
      </c>
      <c r="Y164" s="1" t="e">
        <f aca="false">IF(ISBLANK(INDEX(big_daily_table,MATCH(DATE(Y$5,$J164,$I164),daily_dates,0),MATCH($B$3,daily_items,0))),NA(),INDEX(big_daily_table,MATCH(DATE(Y$5,$J164,$I164),daily_dates,0),MATCH($B$3,daily_items,0)))</f>
        <v>#N/A</v>
      </c>
      <c r="Z164" s="1" t="n">
        <f aca="true">_xlfn.AGGREGATE(5,6,OFFSET($R$5,H164,0,1,$J$2))</f>
        <v>0</v>
      </c>
      <c r="AA164" s="1" t="n">
        <f aca="true">_xlfn.AGGREGATE(4,6,OFFSET($R$5,H164,0,1,$J$2))</f>
        <v>0</v>
      </c>
      <c r="AB164" s="1" t="n">
        <f aca="false">AA164-Z164</f>
        <v>0</v>
      </c>
      <c r="AC164" s="1" t="e">
        <f aca="true">_xlfn.AGGREGATE(1,6,OFFSET($R$5,H164,0,1,$J$2))</f>
        <v>#DIV/0!</v>
      </c>
    </row>
    <row r="165" customFormat="false" ht="14.25" hidden="false" customHeight="false" outlineLevel="0" collapsed="false">
      <c r="H165" s="1" t="n">
        <f aca="false">H164+1</f>
        <v>160</v>
      </c>
      <c r="I165" s="1" t="n">
        <f aca="false">DAY(K165)</f>
        <v>8</v>
      </c>
      <c r="J165" s="1" t="n">
        <f aca="false">MONTH(K165)</f>
        <v>6</v>
      </c>
      <c r="K165" s="23" t="n">
        <f aca="false">K164+1</f>
        <v>36685</v>
      </c>
      <c r="L165" s="24" t="n">
        <f aca="true">IF(TODAY()&lt;DATE($N$5,J165,I165),1000000,-1000000)</f>
        <v>-1000000</v>
      </c>
      <c r="M165" s="1" t="e">
        <f aca="false">IF(K165&gt;0,INDEX(big_daily_table,MATCH(DATE(N$5,$J165,$I165),daily_dates,0),MATCH($B$3,daily_items,0)),NA())</f>
        <v>#N/A</v>
      </c>
      <c r="N165" s="1" t="e">
        <f aca="false">IF(L165&lt;0,INDEX(big_daily_table,MATCH(DATE(N$5,$J165,$I165),daily_dates,0),MATCH($B$3,daily_items,0)),NA())</f>
        <v>#N/A</v>
      </c>
      <c r="O165" s="1" t="e">
        <f aca="false">IF(ISBLANK(INDEX(big_daily_table,MATCH(DATE(O$5,$J165,$I165),daily_dates,0),MATCH($B$3,daily_items,0))),NA(),INDEX(big_daily_table,MATCH(DATE(O$5,$J165,$I165),daily_dates,0),MATCH($B$3,daily_items,0)))</f>
        <v>#N/A</v>
      </c>
      <c r="P165" s="1" t="e">
        <f aca="false">IF(ISBLANK(INDEX(big_daily_table,MATCH(DATE(P$5,$J165,$I165),daily_dates,0),MATCH($B$3,daily_items,0))),NA(),INDEX(big_daily_table,MATCH(DATE(P$5,$J165,$I165),daily_dates,0),MATCH($B$3,daily_items,0)))</f>
        <v>#N/A</v>
      </c>
      <c r="Q165" s="1" t="e">
        <f aca="false">IF(ISBLANK(INDEX(big_daily_table,MATCH(DATE(Q$5,$J165,$I165),daily_dates,0),MATCH($B$3,daily_items,0))),NA(),INDEX(big_daily_table,MATCH(DATE(Q$5,$J165,$I165),daily_dates,0),MATCH($B$3,daily_items,0)))</f>
        <v>#N/A</v>
      </c>
      <c r="R165" s="1" t="e">
        <f aca="false">IF(ISBLANK(INDEX(big_daily_table,MATCH(DATE(R$5,$J165,$I165),daily_dates,0),MATCH($B$3,daily_items,0))),NA(),INDEX(big_daily_table,MATCH(DATE(R$5,$J165,$I165),daily_dates,0),MATCH($B$3,daily_items,0)))</f>
        <v>#N/A</v>
      </c>
      <c r="S165" s="1" t="e">
        <f aca="false">IF(ISBLANK(INDEX(big_daily_table,MATCH(DATE(S$5,$J165,$I165),daily_dates,0),MATCH($B$3,daily_items,0))),NA(),INDEX(big_daily_table,MATCH(DATE(S$5,$J165,$I165),daily_dates,0),MATCH($B$3,daily_items,0)))</f>
        <v>#N/A</v>
      </c>
      <c r="T165" s="1" t="e">
        <f aca="false">IF(ISBLANK(INDEX(big_daily_table,MATCH(DATE(T$5,$J165,$I165),daily_dates,0),MATCH($B$3,daily_items,0))),NA(),INDEX(big_daily_table,MATCH(DATE(T$5,$J165,$I165),daily_dates,0),MATCH($B$3,daily_items,0)))</f>
        <v>#N/A</v>
      </c>
      <c r="U165" s="1" t="e">
        <f aca="false">IF(ISBLANK(INDEX(big_daily_table,MATCH(DATE(U$5,$J165,$I165),daily_dates,0),MATCH($B$3,daily_items,0))),NA(),INDEX(big_daily_table,MATCH(DATE(U$5,$J165,$I165),daily_dates,0),MATCH($B$3,daily_items,0)))</f>
        <v>#N/A</v>
      </c>
      <c r="V165" s="1" t="e">
        <f aca="false">IF(ISBLANK(INDEX(big_daily_table,MATCH(DATE(V$5,$J165,$I165),daily_dates,0),MATCH($B$3,daily_items,0))),NA(),INDEX(big_daily_table,MATCH(DATE(V$5,$J165,$I165),daily_dates,0),MATCH($B$3,daily_items,0)))</f>
        <v>#N/A</v>
      </c>
      <c r="W165" s="1" t="e">
        <f aca="false">IF(ISBLANK(INDEX(big_daily_table,MATCH(DATE(W$5,$J165,$I165),daily_dates,0),MATCH($B$3,daily_items,0))),NA(),INDEX(big_daily_table,MATCH(DATE(W$5,$J165,$I165),daily_dates,0),MATCH($B$3,daily_items,0)))</f>
        <v>#N/A</v>
      </c>
      <c r="X165" s="1" t="e">
        <f aca="false">IF(ISBLANK(INDEX(big_daily_table,MATCH(DATE(X$5,$J165,$I165),daily_dates,0),MATCH($B$3,daily_items,0))),NA(),INDEX(big_daily_table,MATCH(DATE(X$5,$J165,$I165),daily_dates,0),MATCH($B$3,daily_items,0)))</f>
        <v>#N/A</v>
      </c>
      <c r="Y165" s="1" t="e">
        <f aca="false">IF(ISBLANK(INDEX(big_daily_table,MATCH(DATE(Y$5,$J165,$I165),daily_dates,0),MATCH($B$3,daily_items,0))),NA(),INDEX(big_daily_table,MATCH(DATE(Y$5,$J165,$I165),daily_dates,0),MATCH($B$3,daily_items,0)))</f>
        <v>#N/A</v>
      </c>
      <c r="Z165" s="1" t="n">
        <f aca="true">_xlfn.AGGREGATE(5,6,OFFSET($R$5,H165,0,1,$J$2))</f>
        <v>0</v>
      </c>
      <c r="AA165" s="1" t="n">
        <f aca="true">_xlfn.AGGREGATE(4,6,OFFSET($R$5,H165,0,1,$J$2))</f>
        <v>0</v>
      </c>
      <c r="AB165" s="1" t="n">
        <f aca="false">AA165-Z165</f>
        <v>0</v>
      </c>
      <c r="AC165" s="1" t="e">
        <f aca="true">_xlfn.AGGREGATE(1,6,OFFSET($R$5,H165,0,1,$J$2))</f>
        <v>#DIV/0!</v>
      </c>
    </row>
    <row r="166" customFormat="false" ht="14.25" hidden="false" customHeight="false" outlineLevel="0" collapsed="false">
      <c r="H166" s="1" t="n">
        <f aca="false">H165+1</f>
        <v>161</v>
      </c>
      <c r="I166" s="1" t="n">
        <f aca="false">DAY(K166)</f>
        <v>9</v>
      </c>
      <c r="J166" s="1" t="n">
        <f aca="false">MONTH(K166)</f>
        <v>6</v>
      </c>
      <c r="K166" s="23" t="n">
        <f aca="false">K165+1</f>
        <v>36686</v>
      </c>
      <c r="L166" s="24" t="n">
        <f aca="true">IF(TODAY()&lt;DATE($N$5,J166,I166),1000000,-1000000)</f>
        <v>-1000000</v>
      </c>
      <c r="M166" s="1" t="e">
        <f aca="false">IF(K166&gt;0,INDEX(big_daily_table,MATCH(DATE(N$5,$J166,$I166),daily_dates,0),MATCH($B$3,daily_items,0)),NA())</f>
        <v>#N/A</v>
      </c>
      <c r="N166" s="1" t="e">
        <f aca="false">IF(L166&lt;0,INDEX(big_daily_table,MATCH(DATE(N$5,$J166,$I166),daily_dates,0),MATCH($B$3,daily_items,0)),NA())</f>
        <v>#N/A</v>
      </c>
      <c r="O166" s="1" t="e">
        <f aca="false">IF(ISBLANK(INDEX(big_daily_table,MATCH(DATE(O$5,$J166,$I166),daily_dates,0),MATCH($B$3,daily_items,0))),NA(),INDEX(big_daily_table,MATCH(DATE(O$5,$J166,$I166),daily_dates,0),MATCH($B$3,daily_items,0)))</f>
        <v>#N/A</v>
      </c>
      <c r="P166" s="1" t="e">
        <f aca="false">IF(ISBLANK(INDEX(big_daily_table,MATCH(DATE(P$5,$J166,$I166),daily_dates,0),MATCH($B$3,daily_items,0))),NA(),INDEX(big_daily_table,MATCH(DATE(P$5,$J166,$I166),daily_dates,0),MATCH($B$3,daily_items,0)))</f>
        <v>#N/A</v>
      </c>
      <c r="Q166" s="1" t="e">
        <f aca="false">IF(ISBLANK(INDEX(big_daily_table,MATCH(DATE(Q$5,$J166,$I166),daily_dates,0),MATCH($B$3,daily_items,0))),NA(),INDEX(big_daily_table,MATCH(DATE(Q$5,$J166,$I166),daily_dates,0),MATCH($B$3,daily_items,0)))</f>
        <v>#N/A</v>
      </c>
      <c r="R166" s="1" t="e">
        <f aca="false">IF(ISBLANK(INDEX(big_daily_table,MATCH(DATE(R$5,$J166,$I166),daily_dates,0),MATCH($B$3,daily_items,0))),NA(),INDEX(big_daily_table,MATCH(DATE(R$5,$J166,$I166),daily_dates,0),MATCH($B$3,daily_items,0)))</f>
        <v>#N/A</v>
      </c>
      <c r="S166" s="1" t="e">
        <f aca="false">IF(ISBLANK(INDEX(big_daily_table,MATCH(DATE(S$5,$J166,$I166),daily_dates,0),MATCH($B$3,daily_items,0))),NA(),INDEX(big_daily_table,MATCH(DATE(S$5,$J166,$I166),daily_dates,0),MATCH($B$3,daily_items,0)))</f>
        <v>#N/A</v>
      </c>
      <c r="T166" s="1" t="e">
        <f aca="false">IF(ISBLANK(INDEX(big_daily_table,MATCH(DATE(T$5,$J166,$I166),daily_dates,0),MATCH($B$3,daily_items,0))),NA(),INDEX(big_daily_table,MATCH(DATE(T$5,$J166,$I166),daily_dates,0),MATCH($B$3,daily_items,0)))</f>
        <v>#N/A</v>
      </c>
      <c r="U166" s="1" t="e">
        <f aca="false">IF(ISBLANK(INDEX(big_daily_table,MATCH(DATE(U$5,$J166,$I166),daily_dates,0),MATCH($B$3,daily_items,0))),NA(),INDEX(big_daily_table,MATCH(DATE(U$5,$J166,$I166),daily_dates,0),MATCH($B$3,daily_items,0)))</f>
        <v>#N/A</v>
      </c>
      <c r="V166" s="1" t="e">
        <f aca="false">IF(ISBLANK(INDEX(big_daily_table,MATCH(DATE(V$5,$J166,$I166),daily_dates,0),MATCH($B$3,daily_items,0))),NA(),INDEX(big_daily_table,MATCH(DATE(V$5,$J166,$I166),daily_dates,0),MATCH($B$3,daily_items,0)))</f>
        <v>#N/A</v>
      </c>
      <c r="W166" s="1" t="e">
        <f aca="false">IF(ISBLANK(INDEX(big_daily_table,MATCH(DATE(W$5,$J166,$I166),daily_dates,0),MATCH($B$3,daily_items,0))),NA(),INDEX(big_daily_table,MATCH(DATE(W$5,$J166,$I166),daily_dates,0),MATCH($B$3,daily_items,0)))</f>
        <v>#N/A</v>
      </c>
      <c r="X166" s="1" t="e">
        <f aca="false">IF(ISBLANK(INDEX(big_daily_table,MATCH(DATE(X$5,$J166,$I166),daily_dates,0),MATCH($B$3,daily_items,0))),NA(),INDEX(big_daily_table,MATCH(DATE(X$5,$J166,$I166),daily_dates,0),MATCH($B$3,daily_items,0)))</f>
        <v>#N/A</v>
      </c>
      <c r="Y166" s="1" t="e">
        <f aca="false">IF(ISBLANK(INDEX(big_daily_table,MATCH(DATE(Y$5,$J166,$I166),daily_dates,0),MATCH($B$3,daily_items,0))),NA(),INDEX(big_daily_table,MATCH(DATE(Y$5,$J166,$I166),daily_dates,0),MATCH($B$3,daily_items,0)))</f>
        <v>#N/A</v>
      </c>
      <c r="Z166" s="1" t="n">
        <f aca="true">_xlfn.AGGREGATE(5,6,OFFSET($R$5,H166,0,1,$J$2))</f>
        <v>0</v>
      </c>
      <c r="AA166" s="1" t="n">
        <f aca="true">_xlfn.AGGREGATE(4,6,OFFSET($R$5,H166,0,1,$J$2))</f>
        <v>0</v>
      </c>
      <c r="AB166" s="1" t="n">
        <f aca="false">AA166-Z166</f>
        <v>0</v>
      </c>
      <c r="AC166" s="1" t="e">
        <f aca="true">_xlfn.AGGREGATE(1,6,OFFSET($R$5,H166,0,1,$J$2))</f>
        <v>#DIV/0!</v>
      </c>
    </row>
    <row r="167" customFormat="false" ht="14.25" hidden="false" customHeight="false" outlineLevel="0" collapsed="false">
      <c r="H167" s="1" t="n">
        <f aca="false">H166+1</f>
        <v>162</v>
      </c>
      <c r="I167" s="1" t="n">
        <f aca="false">DAY(K167)</f>
        <v>10</v>
      </c>
      <c r="J167" s="1" t="n">
        <f aca="false">MONTH(K167)</f>
        <v>6</v>
      </c>
      <c r="K167" s="23" t="n">
        <f aca="false">K166+1</f>
        <v>36687</v>
      </c>
      <c r="L167" s="24" t="n">
        <f aca="true">IF(TODAY()&lt;DATE($N$5,J167,I167),1000000,-1000000)</f>
        <v>-1000000</v>
      </c>
      <c r="M167" s="1" t="e">
        <f aca="false">IF(K167&gt;0,INDEX(big_daily_table,MATCH(DATE(N$5,$J167,$I167),daily_dates,0),MATCH($B$3,daily_items,0)),NA())</f>
        <v>#N/A</v>
      </c>
      <c r="N167" s="1" t="e">
        <f aca="false">IF(L167&lt;0,INDEX(big_daily_table,MATCH(DATE(N$5,$J167,$I167),daily_dates,0),MATCH($B$3,daily_items,0)),NA())</f>
        <v>#N/A</v>
      </c>
      <c r="O167" s="1" t="e">
        <f aca="false">IF(ISBLANK(INDEX(big_daily_table,MATCH(DATE(O$5,$J167,$I167),daily_dates,0),MATCH($B$3,daily_items,0))),NA(),INDEX(big_daily_table,MATCH(DATE(O$5,$J167,$I167),daily_dates,0),MATCH($B$3,daily_items,0)))</f>
        <v>#N/A</v>
      </c>
      <c r="P167" s="1" t="e">
        <f aca="false">IF(ISBLANK(INDEX(big_daily_table,MATCH(DATE(P$5,$J167,$I167),daily_dates,0),MATCH($B$3,daily_items,0))),NA(),INDEX(big_daily_table,MATCH(DATE(P$5,$J167,$I167),daily_dates,0),MATCH($B$3,daily_items,0)))</f>
        <v>#N/A</v>
      </c>
      <c r="Q167" s="1" t="e">
        <f aca="false">IF(ISBLANK(INDEX(big_daily_table,MATCH(DATE(Q$5,$J167,$I167),daily_dates,0),MATCH($B$3,daily_items,0))),NA(),INDEX(big_daily_table,MATCH(DATE(Q$5,$J167,$I167),daily_dates,0),MATCH($B$3,daily_items,0)))</f>
        <v>#N/A</v>
      </c>
      <c r="R167" s="1" t="e">
        <f aca="false">IF(ISBLANK(INDEX(big_daily_table,MATCH(DATE(R$5,$J167,$I167),daily_dates,0),MATCH($B$3,daily_items,0))),NA(),INDEX(big_daily_table,MATCH(DATE(R$5,$J167,$I167),daily_dates,0),MATCH($B$3,daily_items,0)))</f>
        <v>#N/A</v>
      </c>
      <c r="S167" s="1" t="e">
        <f aca="false">IF(ISBLANK(INDEX(big_daily_table,MATCH(DATE(S$5,$J167,$I167),daily_dates,0),MATCH($B$3,daily_items,0))),NA(),INDEX(big_daily_table,MATCH(DATE(S$5,$J167,$I167),daily_dates,0),MATCH($B$3,daily_items,0)))</f>
        <v>#N/A</v>
      </c>
      <c r="T167" s="1" t="e">
        <f aca="false">IF(ISBLANK(INDEX(big_daily_table,MATCH(DATE(T$5,$J167,$I167),daily_dates,0),MATCH($B$3,daily_items,0))),NA(),INDEX(big_daily_table,MATCH(DATE(T$5,$J167,$I167),daily_dates,0),MATCH($B$3,daily_items,0)))</f>
        <v>#N/A</v>
      </c>
      <c r="U167" s="1" t="e">
        <f aca="false">IF(ISBLANK(INDEX(big_daily_table,MATCH(DATE(U$5,$J167,$I167),daily_dates,0),MATCH($B$3,daily_items,0))),NA(),INDEX(big_daily_table,MATCH(DATE(U$5,$J167,$I167),daily_dates,0),MATCH($B$3,daily_items,0)))</f>
        <v>#N/A</v>
      </c>
      <c r="V167" s="1" t="e">
        <f aca="false">IF(ISBLANK(INDEX(big_daily_table,MATCH(DATE(V$5,$J167,$I167),daily_dates,0),MATCH($B$3,daily_items,0))),NA(),INDEX(big_daily_table,MATCH(DATE(V$5,$J167,$I167),daily_dates,0),MATCH($B$3,daily_items,0)))</f>
        <v>#N/A</v>
      </c>
      <c r="W167" s="1" t="e">
        <f aca="false">IF(ISBLANK(INDEX(big_daily_table,MATCH(DATE(W$5,$J167,$I167),daily_dates,0),MATCH($B$3,daily_items,0))),NA(),INDEX(big_daily_table,MATCH(DATE(W$5,$J167,$I167),daily_dates,0),MATCH($B$3,daily_items,0)))</f>
        <v>#N/A</v>
      </c>
      <c r="X167" s="1" t="e">
        <f aca="false">IF(ISBLANK(INDEX(big_daily_table,MATCH(DATE(X$5,$J167,$I167),daily_dates,0),MATCH($B$3,daily_items,0))),NA(),INDEX(big_daily_table,MATCH(DATE(X$5,$J167,$I167),daily_dates,0),MATCH($B$3,daily_items,0)))</f>
        <v>#N/A</v>
      </c>
      <c r="Y167" s="1" t="e">
        <f aca="false">IF(ISBLANK(INDEX(big_daily_table,MATCH(DATE(Y$5,$J167,$I167),daily_dates,0),MATCH($B$3,daily_items,0))),NA(),INDEX(big_daily_table,MATCH(DATE(Y$5,$J167,$I167),daily_dates,0),MATCH($B$3,daily_items,0)))</f>
        <v>#N/A</v>
      </c>
      <c r="Z167" s="1" t="n">
        <f aca="true">_xlfn.AGGREGATE(5,6,OFFSET($R$5,H167,0,1,$J$2))</f>
        <v>0</v>
      </c>
      <c r="AA167" s="1" t="n">
        <f aca="true">_xlfn.AGGREGATE(4,6,OFFSET($R$5,H167,0,1,$J$2))</f>
        <v>0</v>
      </c>
      <c r="AB167" s="1" t="n">
        <f aca="false">AA167-Z167</f>
        <v>0</v>
      </c>
      <c r="AC167" s="1" t="e">
        <f aca="true">_xlfn.AGGREGATE(1,6,OFFSET($R$5,H167,0,1,$J$2))</f>
        <v>#DIV/0!</v>
      </c>
    </row>
    <row r="168" customFormat="false" ht="14.25" hidden="false" customHeight="false" outlineLevel="0" collapsed="false">
      <c r="H168" s="1" t="n">
        <f aca="false">H167+1</f>
        <v>163</v>
      </c>
      <c r="I168" s="1" t="n">
        <f aca="false">DAY(K168)</f>
        <v>11</v>
      </c>
      <c r="J168" s="1" t="n">
        <f aca="false">MONTH(K168)</f>
        <v>6</v>
      </c>
      <c r="K168" s="23" t="n">
        <f aca="false">K167+1</f>
        <v>36688</v>
      </c>
      <c r="L168" s="24" t="n">
        <f aca="true">IF(TODAY()&lt;DATE($N$5,J168,I168),1000000,-1000000)</f>
        <v>-1000000</v>
      </c>
      <c r="M168" s="1" t="e">
        <f aca="false">IF(K168&gt;0,INDEX(big_daily_table,MATCH(DATE(N$5,$J168,$I168),daily_dates,0),MATCH($B$3,daily_items,0)),NA())</f>
        <v>#N/A</v>
      </c>
      <c r="N168" s="1" t="e">
        <f aca="false">IF(L168&lt;0,INDEX(big_daily_table,MATCH(DATE(N$5,$J168,$I168),daily_dates,0),MATCH($B$3,daily_items,0)),NA())</f>
        <v>#N/A</v>
      </c>
      <c r="O168" s="1" t="e">
        <f aca="false">IF(ISBLANK(INDEX(big_daily_table,MATCH(DATE(O$5,$J168,$I168),daily_dates,0),MATCH($B$3,daily_items,0))),NA(),INDEX(big_daily_table,MATCH(DATE(O$5,$J168,$I168),daily_dates,0),MATCH($B$3,daily_items,0)))</f>
        <v>#N/A</v>
      </c>
      <c r="P168" s="1" t="e">
        <f aca="false">IF(ISBLANK(INDEX(big_daily_table,MATCH(DATE(P$5,$J168,$I168),daily_dates,0),MATCH($B$3,daily_items,0))),NA(),INDEX(big_daily_table,MATCH(DATE(P$5,$J168,$I168),daily_dates,0),MATCH($B$3,daily_items,0)))</f>
        <v>#N/A</v>
      </c>
      <c r="Q168" s="1" t="e">
        <f aca="false">IF(ISBLANK(INDEX(big_daily_table,MATCH(DATE(Q$5,$J168,$I168),daily_dates,0),MATCH($B$3,daily_items,0))),NA(),INDEX(big_daily_table,MATCH(DATE(Q$5,$J168,$I168),daily_dates,0),MATCH($B$3,daily_items,0)))</f>
        <v>#N/A</v>
      </c>
      <c r="R168" s="1" t="e">
        <f aca="false">IF(ISBLANK(INDEX(big_daily_table,MATCH(DATE(R$5,$J168,$I168),daily_dates,0),MATCH($B$3,daily_items,0))),NA(),INDEX(big_daily_table,MATCH(DATE(R$5,$J168,$I168),daily_dates,0),MATCH($B$3,daily_items,0)))</f>
        <v>#N/A</v>
      </c>
      <c r="S168" s="1" t="e">
        <f aca="false">IF(ISBLANK(INDEX(big_daily_table,MATCH(DATE(S$5,$J168,$I168),daily_dates,0),MATCH($B$3,daily_items,0))),NA(),INDEX(big_daily_table,MATCH(DATE(S$5,$J168,$I168),daily_dates,0),MATCH($B$3,daily_items,0)))</f>
        <v>#N/A</v>
      </c>
      <c r="T168" s="1" t="e">
        <f aca="false">IF(ISBLANK(INDEX(big_daily_table,MATCH(DATE(T$5,$J168,$I168),daily_dates,0),MATCH($B$3,daily_items,0))),NA(),INDEX(big_daily_table,MATCH(DATE(T$5,$J168,$I168),daily_dates,0),MATCH($B$3,daily_items,0)))</f>
        <v>#N/A</v>
      </c>
      <c r="U168" s="1" t="e">
        <f aca="false">IF(ISBLANK(INDEX(big_daily_table,MATCH(DATE(U$5,$J168,$I168),daily_dates,0),MATCH($B$3,daily_items,0))),NA(),INDEX(big_daily_table,MATCH(DATE(U$5,$J168,$I168),daily_dates,0),MATCH($B$3,daily_items,0)))</f>
        <v>#N/A</v>
      </c>
      <c r="V168" s="1" t="e">
        <f aca="false">IF(ISBLANK(INDEX(big_daily_table,MATCH(DATE(V$5,$J168,$I168),daily_dates,0),MATCH($B$3,daily_items,0))),NA(),INDEX(big_daily_table,MATCH(DATE(V$5,$J168,$I168),daily_dates,0),MATCH($B$3,daily_items,0)))</f>
        <v>#N/A</v>
      </c>
      <c r="W168" s="1" t="e">
        <f aca="false">IF(ISBLANK(INDEX(big_daily_table,MATCH(DATE(W$5,$J168,$I168),daily_dates,0),MATCH($B$3,daily_items,0))),NA(),INDEX(big_daily_table,MATCH(DATE(W$5,$J168,$I168),daily_dates,0),MATCH($B$3,daily_items,0)))</f>
        <v>#N/A</v>
      </c>
      <c r="X168" s="1" t="e">
        <f aca="false">IF(ISBLANK(INDEX(big_daily_table,MATCH(DATE(X$5,$J168,$I168),daily_dates,0),MATCH($B$3,daily_items,0))),NA(),INDEX(big_daily_table,MATCH(DATE(X$5,$J168,$I168),daily_dates,0),MATCH($B$3,daily_items,0)))</f>
        <v>#N/A</v>
      </c>
      <c r="Y168" s="1" t="e">
        <f aca="false">IF(ISBLANK(INDEX(big_daily_table,MATCH(DATE(Y$5,$J168,$I168),daily_dates,0),MATCH($B$3,daily_items,0))),NA(),INDEX(big_daily_table,MATCH(DATE(Y$5,$J168,$I168),daily_dates,0),MATCH($B$3,daily_items,0)))</f>
        <v>#N/A</v>
      </c>
      <c r="Z168" s="1" t="n">
        <f aca="true">_xlfn.AGGREGATE(5,6,OFFSET($R$5,H168,0,1,$J$2))</f>
        <v>0</v>
      </c>
      <c r="AA168" s="1" t="n">
        <f aca="true">_xlfn.AGGREGATE(4,6,OFFSET($R$5,H168,0,1,$J$2))</f>
        <v>0</v>
      </c>
      <c r="AB168" s="1" t="n">
        <f aca="false">AA168-Z168</f>
        <v>0</v>
      </c>
      <c r="AC168" s="1" t="e">
        <f aca="true">_xlfn.AGGREGATE(1,6,OFFSET($R$5,H168,0,1,$J$2))</f>
        <v>#DIV/0!</v>
      </c>
    </row>
    <row r="169" customFormat="false" ht="14.25" hidden="false" customHeight="false" outlineLevel="0" collapsed="false">
      <c r="H169" s="1" t="n">
        <f aca="false">H168+1</f>
        <v>164</v>
      </c>
      <c r="I169" s="1" t="n">
        <f aca="false">DAY(K169)</f>
        <v>12</v>
      </c>
      <c r="J169" s="1" t="n">
        <f aca="false">MONTH(K169)</f>
        <v>6</v>
      </c>
      <c r="K169" s="23" t="n">
        <f aca="false">K168+1</f>
        <v>36689</v>
      </c>
      <c r="L169" s="24" t="n">
        <f aca="true">IF(TODAY()&lt;DATE($N$5,J169,I169),1000000,-1000000)</f>
        <v>-1000000</v>
      </c>
      <c r="M169" s="1" t="e">
        <f aca="false">IF(K169&gt;0,INDEX(big_daily_table,MATCH(DATE(N$5,$J169,$I169),daily_dates,0),MATCH($B$3,daily_items,0)),NA())</f>
        <v>#N/A</v>
      </c>
      <c r="N169" s="1" t="e">
        <f aca="false">IF(L169&lt;0,INDEX(big_daily_table,MATCH(DATE(N$5,$J169,$I169),daily_dates,0),MATCH($B$3,daily_items,0)),NA())</f>
        <v>#N/A</v>
      </c>
      <c r="O169" s="1" t="e">
        <f aca="false">IF(ISBLANK(INDEX(big_daily_table,MATCH(DATE(O$5,$J169,$I169),daily_dates,0),MATCH($B$3,daily_items,0))),NA(),INDEX(big_daily_table,MATCH(DATE(O$5,$J169,$I169),daily_dates,0),MATCH($B$3,daily_items,0)))</f>
        <v>#N/A</v>
      </c>
      <c r="P169" s="1" t="e">
        <f aca="false">IF(ISBLANK(INDEX(big_daily_table,MATCH(DATE(P$5,$J169,$I169),daily_dates,0),MATCH($B$3,daily_items,0))),NA(),INDEX(big_daily_table,MATCH(DATE(P$5,$J169,$I169),daily_dates,0),MATCH($B$3,daily_items,0)))</f>
        <v>#N/A</v>
      </c>
      <c r="Q169" s="1" t="e">
        <f aca="false">IF(ISBLANK(INDEX(big_daily_table,MATCH(DATE(Q$5,$J169,$I169),daily_dates,0),MATCH($B$3,daily_items,0))),NA(),INDEX(big_daily_table,MATCH(DATE(Q$5,$J169,$I169),daily_dates,0),MATCH($B$3,daily_items,0)))</f>
        <v>#N/A</v>
      </c>
      <c r="R169" s="1" t="e">
        <f aca="false">IF(ISBLANK(INDEX(big_daily_table,MATCH(DATE(R$5,$J169,$I169),daily_dates,0),MATCH($B$3,daily_items,0))),NA(),INDEX(big_daily_table,MATCH(DATE(R$5,$J169,$I169),daily_dates,0),MATCH($B$3,daily_items,0)))</f>
        <v>#N/A</v>
      </c>
      <c r="S169" s="1" t="e">
        <f aca="false">IF(ISBLANK(INDEX(big_daily_table,MATCH(DATE(S$5,$J169,$I169),daily_dates,0),MATCH($B$3,daily_items,0))),NA(),INDEX(big_daily_table,MATCH(DATE(S$5,$J169,$I169),daily_dates,0),MATCH($B$3,daily_items,0)))</f>
        <v>#N/A</v>
      </c>
      <c r="T169" s="1" t="e">
        <f aca="false">IF(ISBLANK(INDEX(big_daily_table,MATCH(DATE(T$5,$J169,$I169),daily_dates,0),MATCH($B$3,daily_items,0))),NA(),INDEX(big_daily_table,MATCH(DATE(T$5,$J169,$I169),daily_dates,0),MATCH($B$3,daily_items,0)))</f>
        <v>#N/A</v>
      </c>
      <c r="U169" s="1" t="e">
        <f aca="false">IF(ISBLANK(INDEX(big_daily_table,MATCH(DATE(U$5,$J169,$I169),daily_dates,0),MATCH($B$3,daily_items,0))),NA(),INDEX(big_daily_table,MATCH(DATE(U$5,$J169,$I169),daily_dates,0),MATCH($B$3,daily_items,0)))</f>
        <v>#N/A</v>
      </c>
      <c r="V169" s="1" t="e">
        <f aca="false">IF(ISBLANK(INDEX(big_daily_table,MATCH(DATE(V$5,$J169,$I169),daily_dates,0),MATCH($B$3,daily_items,0))),NA(),INDEX(big_daily_table,MATCH(DATE(V$5,$J169,$I169),daily_dates,0),MATCH($B$3,daily_items,0)))</f>
        <v>#N/A</v>
      </c>
      <c r="W169" s="1" t="e">
        <f aca="false">IF(ISBLANK(INDEX(big_daily_table,MATCH(DATE(W$5,$J169,$I169),daily_dates,0),MATCH($B$3,daily_items,0))),NA(),INDEX(big_daily_table,MATCH(DATE(W$5,$J169,$I169),daily_dates,0),MATCH($B$3,daily_items,0)))</f>
        <v>#N/A</v>
      </c>
      <c r="X169" s="1" t="e">
        <f aca="false">IF(ISBLANK(INDEX(big_daily_table,MATCH(DATE(X$5,$J169,$I169),daily_dates,0),MATCH($B$3,daily_items,0))),NA(),INDEX(big_daily_table,MATCH(DATE(X$5,$J169,$I169),daily_dates,0),MATCH($B$3,daily_items,0)))</f>
        <v>#N/A</v>
      </c>
      <c r="Y169" s="1" t="e">
        <f aca="false">IF(ISBLANK(INDEX(big_daily_table,MATCH(DATE(Y$5,$J169,$I169),daily_dates,0),MATCH($B$3,daily_items,0))),NA(),INDEX(big_daily_table,MATCH(DATE(Y$5,$J169,$I169),daily_dates,0),MATCH($B$3,daily_items,0)))</f>
        <v>#N/A</v>
      </c>
      <c r="Z169" s="1" t="n">
        <f aca="true">_xlfn.AGGREGATE(5,6,OFFSET($R$5,H169,0,1,$J$2))</f>
        <v>0</v>
      </c>
      <c r="AA169" s="1" t="n">
        <f aca="true">_xlfn.AGGREGATE(4,6,OFFSET($R$5,H169,0,1,$J$2))</f>
        <v>0</v>
      </c>
      <c r="AB169" s="1" t="n">
        <f aca="false">AA169-Z169</f>
        <v>0</v>
      </c>
      <c r="AC169" s="1" t="e">
        <f aca="true">_xlfn.AGGREGATE(1,6,OFFSET($R$5,H169,0,1,$J$2))</f>
        <v>#DIV/0!</v>
      </c>
    </row>
    <row r="170" customFormat="false" ht="14.25" hidden="false" customHeight="false" outlineLevel="0" collapsed="false">
      <c r="H170" s="1" t="n">
        <f aca="false">H169+1</f>
        <v>165</v>
      </c>
      <c r="I170" s="1" t="n">
        <f aca="false">DAY(K170)</f>
        <v>13</v>
      </c>
      <c r="J170" s="1" t="n">
        <f aca="false">MONTH(K170)</f>
        <v>6</v>
      </c>
      <c r="K170" s="23" t="n">
        <f aca="false">K169+1</f>
        <v>36690</v>
      </c>
      <c r="L170" s="24" t="n">
        <f aca="true">IF(TODAY()&lt;DATE($N$5,J170,I170),1000000,-1000000)</f>
        <v>-1000000</v>
      </c>
      <c r="M170" s="1" t="e">
        <f aca="false">IF(K170&gt;0,INDEX(big_daily_table,MATCH(DATE(N$5,$J170,$I170),daily_dates,0),MATCH($B$3,daily_items,0)),NA())</f>
        <v>#N/A</v>
      </c>
      <c r="N170" s="1" t="e">
        <f aca="false">IF(L170&lt;0,INDEX(big_daily_table,MATCH(DATE(N$5,$J170,$I170),daily_dates,0),MATCH($B$3,daily_items,0)),NA())</f>
        <v>#N/A</v>
      </c>
      <c r="O170" s="1" t="e">
        <f aca="false">IF(ISBLANK(INDEX(big_daily_table,MATCH(DATE(O$5,$J170,$I170),daily_dates,0),MATCH($B$3,daily_items,0))),NA(),INDEX(big_daily_table,MATCH(DATE(O$5,$J170,$I170),daily_dates,0),MATCH($B$3,daily_items,0)))</f>
        <v>#N/A</v>
      </c>
      <c r="P170" s="1" t="e">
        <f aca="false">IF(ISBLANK(INDEX(big_daily_table,MATCH(DATE(P$5,$J170,$I170),daily_dates,0),MATCH($B$3,daily_items,0))),NA(),INDEX(big_daily_table,MATCH(DATE(P$5,$J170,$I170),daily_dates,0),MATCH($B$3,daily_items,0)))</f>
        <v>#N/A</v>
      </c>
      <c r="Q170" s="1" t="e">
        <f aca="false">IF(ISBLANK(INDEX(big_daily_table,MATCH(DATE(Q$5,$J170,$I170),daily_dates,0),MATCH($B$3,daily_items,0))),NA(),INDEX(big_daily_table,MATCH(DATE(Q$5,$J170,$I170),daily_dates,0),MATCH($B$3,daily_items,0)))</f>
        <v>#N/A</v>
      </c>
      <c r="R170" s="1" t="e">
        <f aca="false">IF(ISBLANK(INDEX(big_daily_table,MATCH(DATE(R$5,$J170,$I170),daily_dates,0),MATCH($B$3,daily_items,0))),NA(),INDEX(big_daily_table,MATCH(DATE(R$5,$J170,$I170),daily_dates,0),MATCH($B$3,daily_items,0)))</f>
        <v>#N/A</v>
      </c>
      <c r="S170" s="1" t="e">
        <f aca="false">IF(ISBLANK(INDEX(big_daily_table,MATCH(DATE(S$5,$J170,$I170),daily_dates,0),MATCH($B$3,daily_items,0))),NA(),INDEX(big_daily_table,MATCH(DATE(S$5,$J170,$I170),daily_dates,0),MATCH($B$3,daily_items,0)))</f>
        <v>#N/A</v>
      </c>
      <c r="T170" s="1" t="e">
        <f aca="false">IF(ISBLANK(INDEX(big_daily_table,MATCH(DATE(T$5,$J170,$I170),daily_dates,0),MATCH($B$3,daily_items,0))),NA(),INDEX(big_daily_table,MATCH(DATE(T$5,$J170,$I170),daily_dates,0),MATCH($B$3,daily_items,0)))</f>
        <v>#N/A</v>
      </c>
      <c r="U170" s="1" t="e">
        <f aca="false">IF(ISBLANK(INDEX(big_daily_table,MATCH(DATE(U$5,$J170,$I170),daily_dates,0),MATCH($B$3,daily_items,0))),NA(),INDEX(big_daily_table,MATCH(DATE(U$5,$J170,$I170),daily_dates,0),MATCH($B$3,daily_items,0)))</f>
        <v>#N/A</v>
      </c>
      <c r="V170" s="1" t="e">
        <f aca="false">IF(ISBLANK(INDEX(big_daily_table,MATCH(DATE(V$5,$J170,$I170),daily_dates,0),MATCH($B$3,daily_items,0))),NA(),INDEX(big_daily_table,MATCH(DATE(V$5,$J170,$I170),daily_dates,0),MATCH($B$3,daily_items,0)))</f>
        <v>#N/A</v>
      </c>
      <c r="W170" s="1" t="e">
        <f aca="false">IF(ISBLANK(INDEX(big_daily_table,MATCH(DATE(W$5,$J170,$I170),daily_dates,0),MATCH($B$3,daily_items,0))),NA(),INDEX(big_daily_table,MATCH(DATE(W$5,$J170,$I170),daily_dates,0),MATCH($B$3,daily_items,0)))</f>
        <v>#N/A</v>
      </c>
      <c r="X170" s="1" t="e">
        <f aca="false">IF(ISBLANK(INDEX(big_daily_table,MATCH(DATE(X$5,$J170,$I170),daily_dates,0),MATCH($B$3,daily_items,0))),NA(),INDEX(big_daily_table,MATCH(DATE(X$5,$J170,$I170),daily_dates,0),MATCH($B$3,daily_items,0)))</f>
        <v>#N/A</v>
      </c>
      <c r="Y170" s="1" t="e">
        <f aca="false">IF(ISBLANK(INDEX(big_daily_table,MATCH(DATE(Y$5,$J170,$I170),daily_dates,0),MATCH($B$3,daily_items,0))),NA(),INDEX(big_daily_table,MATCH(DATE(Y$5,$J170,$I170),daily_dates,0),MATCH($B$3,daily_items,0)))</f>
        <v>#N/A</v>
      </c>
      <c r="Z170" s="1" t="n">
        <f aca="true">_xlfn.AGGREGATE(5,6,OFFSET($R$5,H170,0,1,$J$2))</f>
        <v>0</v>
      </c>
      <c r="AA170" s="1" t="n">
        <f aca="true">_xlfn.AGGREGATE(4,6,OFFSET($R$5,H170,0,1,$J$2))</f>
        <v>0</v>
      </c>
      <c r="AB170" s="1" t="n">
        <f aca="false">AA170-Z170</f>
        <v>0</v>
      </c>
      <c r="AC170" s="1" t="e">
        <f aca="true">_xlfn.AGGREGATE(1,6,OFFSET($R$5,H170,0,1,$J$2))</f>
        <v>#DIV/0!</v>
      </c>
    </row>
    <row r="171" customFormat="false" ht="14.25" hidden="false" customHeight="false" outlineLevel="0" collapsed="false">
      <c r="H171" s="1" t="n">
        <f aca="false">H170+1</f>
        <v>166</v>
      </c>
      <c r="I171" s="1" t="n">
        <f aca="false">DAY(K171)</f>
        <v>14</v>
      </c>
      <c r="J171" s="1" t="n">
        <f aca="false">MONTH(K171)</f>
        <v>6</v>
      </c>
      <c r="K171" s="23" t="n">
        <f aca="false">K170+1</f>
        <v>36691</v>
      </c>
      <c r="L171" s="24" t="n">
        <f aca="true">IF(TODAY()&lt;DATE($N$5,J171,I171),1000000,-1000000)</f>
        <v>-1000000</v>
      </c>
      <c r="M171" s="1" t="e">
        <f aca="false">IF(K171&gt;0,INDEX(big_daily_table,MATCH(DATE(N$5,$J171,$I171),daily_dates,0),MATCH($B$3,daily_items,0)),NA())</f>
        <v>#N/A</v>
      </c>
      <c r="N171" s="1" t="e">
        <f aca="false">IF(L171&lt;0,INDEX(big_daily_table,MATCH(DATE(N$5,$J171,$I171),daily_dates,0),MATCH($B$3,daily_items,0)),NA())</f>
        <v>#N/A</v>
      </c>
      <c r="O171" s="1" t="e">
        <f aca="false">IF(ISBLANK(INDEX(big_daily_table,MATCH(DATE(O$5,$J171,$I171),daily_dates,0),MATCH($B$3,daily_items,0))),NA(),INDEX(big_daily_table,MATCH(DATE(O$5,$J171,$I171),daily_dates,0),MATCH($B$3,daily_items,0)))</f>
        <v>#N/A</v>
      </c>
      <c r="P171" s="1" t="e">
        <f aca="false">IF(ISBLANK(INDEX(big_daily_table,MATCH(DATE(P$5,$J171,$I171),daily_dates,0),MATCH($B$3,daily_items,0))),NA(),INDEX(big_daily_table,MATCH(DATE(P$5,$J171,$I171),daily_dates,0),MATCH($B$3,daily_items,0)))</f>
        <v>#N/A</v>
      </c>
      <c r="Q171" s="1" t="e">
        <f aca="false">IF(ISBLANK(INDEX(big_daily_table,MATCH(DATE(Q$5,$J171,$I171),daily_dates,0),MATCH($B$3,daily_items,0))),NA(),INDEX(big_daily_table,MATCH(DATE(Q$5,$J171,$I171),daily_dates,0),MATCH($B$3,daily_items,0)))</f>
        <v>#N/A</v>
      </c>
      <c r="R171" s="1" t="e">
        <f aca="false">IF(ISBLANK(INDEX(big_daily_table,MATCH(DATE(R$5,$J171,$I171),daily_dates,0),MATCH($B$3,daily_items,0))),NA(),INDEX(big_daily_table,MATCH(DATE(R$5,$J171,$I171),daily_dates,0),MATCH($B$3,daily_items,0)))</f>
        <v>#N/A</v>
      </c>
      <c r="S171" s="1" t="e">
        <f aca="false">IF(ISBLANK(INDEX(big_daily_table,MATCH(DATE(S$5,$J171,$I171),daily_dates,0),MATCH($B$3,daily_items,0))),NA(),INDEX(big_daily_table,MATCH(DATE(S$5,$J171,$I171),daily_dates,0),MATCH($B$3,daily_items,0)))</f>
        <v>#N/A</v>
      </c>
      <c r="T171" s="1" t="e">
        <f aca="false">IF(ISBLANK(INDEX(big_daily_table,MATCH(DATE(T$5,$J171,$I171),daily_dates,0),MATCH($B$3,daily_items,0))),NA(),INDEX(big_daily_table,MATCH(DATE(T$5,$J171,$I171),daily_dates,0),MATCH($B$3,daily_items,0)))</f>
        <v>#N/A</v>
      </c>
      <c r="U171" s="1" t="e">
        <f aca="false">IF(ISBLANK(INDEX(big_daily_table,MATCH(DATE(U$5,$J171,$I171),daily_dates,0),MATCH($B$3,daily_items,0))),NA(),INDEX(big_daily_table,MATCH(DATE(U$5,$J171,$I171),daily_dates,0),MATCH($B$3,daily_items,0)))</f>
        <v>#N/A</v>
      </c>
      <c r="V171" s="1" t="e">
        <f aca="false">IF(ISBLANK(INDEX(big_daily_table,MATCH(DATE(V$5,$J171,$I171),daily_dates,0),MATCH($B$3,daily_items,0))),NA(),INDEX(big_daily_table,MATCH(DATE(V$5,$J171,$I171),daily_dates,0),MATCH($B$3,daily_items,0)))</f>
        <v>#N/A</v>
      </c>
      <c r="W171" s="1" t="e">
        <f aca="false">IF(ISBLANK(INDEX(big_daily_table,MATCH(DATE(W$5,$J171,$I171),daily_dates,0),MATCH($B$3,daily_items,0))),NA(),INDEX(big_daily_table,MATCH(DATE(W$5,$J171,$I171),daily_dates,0),MATCH($B$3,daily_items,0)))</f>
        <v>#N/A</v>
      </c>
      <c r="X171" s="1" t="e">
        <f aca="false">IF(ISBLANK(INDEX(big_daily_table,MATCH(DATE(X$5,$J171,$I171),daily_dates,0),MATCH($B$3,daily_items,0))),NA(),INDEX(big_daily_table,MATCH(DATE(X$5,$J171,$I171),daily_dates,0),MATCH($B$3,daily_items,0)))</f>
        <v>#N/A</v>
      </c>
      <c r="Y171" s="1" t="e">
        <f aca="false">IF(ISBLANK(INDEX(big_daily_table,MATCH(DATE(Y$5,$J171,$I171),daily_dates,0),MATCH($B$3,daily_items,0))),NA(),INDEX(big_daily_table,MATCH(DATE(Y$5,$J171,$I171),daily_dates,0),MATCH($B$3,daily_items,0)))</f>
        <v>#N/A</v>
      </c>
      <c r="Z171" s="1" t="n">
        <f aca="true">_xlfn.AGGREGATE(5,6,OFFSET($R$5,H171,0,1,$J$2))</f>
        <v>0</v>
      </c>
      <c r="AA171" s="1" t="n">
        <f aca="true">_xlfn.AGGREGATE(4,6,OFFSET($R$5,H171,0,1,$J$2))</f>
        <v>0</v>
      </c>
      <c r="AB171" s="1" t="n">
        <f aca="false">AA171-Z171</f>
        <v>0</v>
      </c>
      <c r="AC171" s="1" t="e">
        <f aca="true">_xlfn.AGGREGATE(1,6,OFFSET($R$5,H171,0,1,$J$2))</f>
        <v>#DIV/0!</v>
      </c>
    </row>
    <row r="172" customFormat="false" ht="14.25" hidden="false" customHeight="false" outlineLevel="0" collapsed="false">
      <c r="H172" s="1" t="n">
        <f aca="false">H171+1</f>
        <v>167</v>
      </c>
      <c r="I172" s="1" t="n">
        <f aca="false">DAY(K172)</f>
        <v>15</v>
      </c>
      <c r="J172" s="1" t="n">
        <f aca="false">MONTH(K172)</f>
        <v>6</v>
      </c>
      <c r="K172" s="23" t="n">
        <f aca="false">K171+1</f>
        <v>36692</v>
      </c>
      <c r="L172" s="24" t="n">
        <f aca="true">IF(TODAY()&lt;DATE($N$5,J172,I172),1000000,-1000000)</f>
        <v>-1000000</v>
      </c>
      <c r="M172" s="1" t="e">
        <f aca="false">IF(K172&gt;0,INDEX(big_daily_table,MATCH(DATE(N$5,$J172,$I172),daily_dates,0),MATCH($B$3,daily_items,0)),NA())</f>
        <v>#N/A</v>
      </c>
      <c r="N172" s="1" t="e">
        <f aca="false">IF(L172&lt;0,INDEX(big_daily_table,MATCH(DATE(N$5,$J172,$I172),daily_dates,0),MATCH($B$3,daily_items,0)),NA())</f>
        <v>#N/A</v>
      </c>
      <c r="O172" s="1" t="e">
        <f aca="false">IF(ISBLANK(INDEX(big_daily_table,MATCH(DATE(O$5,$J172,$I172),daily_dates,0),MATCH($B$3,daily_items,0))),NA(),INDEX(big_daily_table,MATCH(DATE(O$5,$J172,$I172),daily_dates,0),MATCH($B$3,daily_items,0)))</f>
        <v>#N/A</v>
      </c>
      <c r="P172" s="1" t="e">
        <f aca="false">IF(ISBLANK(INDEX(big_daily_table,MATCH(DATE(P$5,$J172,$I172),daily_dates,0),MATCH($B$3,daily_items,0))),NA(),INDEX(big_daily_table,MATCH(DATE(P$5,$J172,$I172),daily_dates,0),MATCH($B$3,daily_items,0)))</f>
        <v>#N/A</v>
      </c>
      <c r="Q172" s="1" t="e">
        <f aca="false">IF(ISBLANK(INDEX(big_daily_table,MATCH(DATE(Q$5,$J172,$I172),daily_dates,0),MATCH($B$3,daily_items,0))),NA(),INDEX(big_daily_table,MATCH(DATE(Q$5,$J172,$I172),daily_dates,0),MATCH($B$3,daily_items,0)))</f>
        <v>#N/A</v>
      </c>
      <c r="R172" s="1" t="e">
        <f aca="false">IF(ISBLANK(INDEX(big_daily_table,MATCH(DATE(R$5,$J172,$I172),daily_dates,0),MATCH($B$3,daily_items,0))),NA(),INDEX(big_daily_table,MATCH(DATE(R$5,$J172,$I172),daily_dates,0),MATCH($B$3,daily_items,0)))</f>
        <v>#N/A</v>
      </c>
      <c r="S172" s="1" t="e">
        <f aca="false">IF(ISBLANK(INDEX(big_daily_table,MATCH(DATE(S$5,$J172,$I172),daily_dates,0),MATCH($B$3,daily_items,0))),NA(),INDEX(big_daily_table,MATCH(DATE(S$5,$J172,$I172),daily_dates,0),MATCH($B$3,daily_items,0)))</f>
        <v>#N/A</v>
      </c>
      <c r="T172" s="1" t="e">
        <f aca="false">IF(ISBLANK(INDEX(big_daily_table,MATCH(DATE(T$5,$J172,$I172),daily_dates,0),MATCH($B$3,daily_items,0))),NA(),INDEX(big_daily_table,MATCH(DATE(T$5,$J172,$I172),daily_dates,0),MATCH($B$3,daily_items,0)))</f>
        <v>#N/A</v>
      </c>
      <c r="U172" s="1" t="e">
        <f aca="false">IF(ISBLANK(INDEX(big_daily_table,MATCH(DATE(U$5,$J172,$I172),daily_dates,0),MATCH($B$3,daily_items,0))),NA(),INDEX(big_daily_table,MATCH(DATE(U$5,$J172,$I172),daily_dates,0),MATCH($B$3,daily_items,0)))</f>
        <v>#N/A</v>
      </c>
      <c r="V172" s="1" t="e">
        <f aca="false">IF(ISBLANK(INDEX(big_daily_table,MATCH(DATE(V$5,$J172,$I172),daily_dates,0),MATCH($B$3,daily_items,0))),NA(),INDEX(big_daily_table,MATCH(DATE(V$5,$J172,$I172),daily_dates,0),MATCH($B$3,daily_items,0)))</f>
        <v>#N/A</v>
      </c>
      <c r="W172" s="1" t="e">
        <f aca="false">IF(ISBLANK(INDEX(big_daily_table,MATCH(DATE(W$5,$J172,$I172),daily_dates,0),MATCH($B$3,daily_items,0))),NA(),INDEX(big_daily_table,MATCH(DATE(W$5,$J172,$I172),daily_dates,0),MATCH($B$3,daily_items,0)))</f>
        <v>#N/A</v>
      </c>
      <c r="X172" s="1" t="e">
        <f aca="false">IF(ISBLANK(INDEX(big_daily_table,MATCH(DATE(X$5,$J172,$I172),daily_dates,0),MATCH($B$3,daily_items,0))),NA(),INDEX(big_daily_table,MATCH(DATE(X$5,$J172,$I172),daily_dates,0),MATCH($B$3,daily_items,0)))</f>
        <v>#N/A</v>
      </c>
      <c r="Y172" s="1" t="e">
        <f aca="false">IF(ISBLANK(INDEX(big_daily_table,MATCH(DATE(Y$5,$J172,$I172),daily_dates,0),MATCH($B$3,daily_items,0))),NA(),INDEX(big_daily_table,MATCH(DATE(Y$5,$J172,$I172),daily_dates,0),MATCH($B$3,daily_items,0)))</f>
        <v>#N/A</v>
      </c>
      <c r="Z172" s="1" t="n">
        <f aca="true">_xlfn.AGGREGATE(5,6,OFFSET($R$5,H172,0,1,$J$2))</f>
        <v>0</v>
      </c>
      <c r="AA172" s="1" t="n">
        <f aca="true">_xlfn.AGGREGATE(4,6,OFFSET($R$5,H172,0,1,$J$2))</f>
        <v>0</v>
      </c>
      <c r="AB172" s="1" t="n">
        <f aca="false">AA172-Z172</f>
        <v>0</v>
      </c>
      <c r="AC172" s="1" t="e">
        <f aca="true">_xlfn.AGGREGATE(1,6,OFFSET($R$5,H172,0,1,$J$2))</f>
        <v>#DIV/0!</v>
      </c>
    </row>
    <row r="173" customFormat="false" ht="14.25" hidden="false" customHeight="false" outlineLevel="0" collapsed="false">
      <c r="H173" s="1" t="n">
        <f aca="false">H172+1</f>
        <v>168</v>
      </c>
      <c r="I173" s="1" t="n">
        <f aca="false">DAY(K173)</f>
        <v>16</v>
      </c>
      <c r="J173" s="1" t="n">
        <f aca="false">MONTH(K173)</f>
        <v>6</v>
      </c>
      <c r="K173" s="23" t="n">
        <f aca="false">K172+1</f>
        <v>36693</v>
      </c>
      <c r="L173" s="24" t="n">
        <f aca="true">IF(TODAY()&lt;DATE($N$5,J173,I173),1000000,-1000000)</f>
        <v>-1000000</v>
      </c>
      <c r="M173" s="1" t="e">
        <f aca="false">IF(K173&gt;0,INDEX(big_daily_table,MATCH(DATE(N$5,$J173,$I173),daily_dates,0),MATCH($B$3,daily_items,0)),NA())</f>
        <v>#N/A</v>
      </c>
      <c r="N173" s="1" t="e">
        <f aca="false">IF(L173&lt;0,INDEX(big_daily_table,MATCH(DATE(N$5,$J173,$I173),daily_dates,0),MATCH($B$3,daily_items,0)),NA())</f>
        <v>#N/A</v>
      </c>
      <c r="O173" s="1" t="e">
        <f aca="false">IF(ISBLANK(INDEX(big_daily_table,MATCH(DATE(O$5,$J173,$I173),daily_dates,0),MATCH($B$3,daily_items,0))),NA(),INDEX(big_daily_table,MATCH(DATE(O$5,$J173,$I173),daily_dates,0),MATCH($B$3,daily_items,0)))</f>
        <v>#N/A</v>
      </c>
      <c r="P173" s="1" t="e">
        <f aca="false">IF(ISBLANK(INDEX(big_daily_table,MATCH(DATE(P$5,$J173,$I173),daily_dates,0),MATCH($B$3,daily_items,0))),NA(),INDEX(big_daily_table,MATCH(DATE(P$5,$J173,$I173),daily_dates,0),MATCH($B$3,daily_items,0)))</f>
        <v>#N/A</v>
      </c>
      <c r="Q173" s="1" t="e">
        <f aca="false">IF(ISBLANK(INDEX(big_daily_table,MATCH(DATE(Q$5,$J173,$I173),daily_dates,0),MATCH($B$3,daily_items,0))),NA(),INDEX(big_daily_table,MATCH(DATE(Q$5,$J173,$I173),daily_dates,0),MATCH($B$3,daily_items,0)))</f>
        <v>#N/A</v>
      </c>
      <c r="R173" s="1" t="e">
        <f aca="false">IF(ISBLANK(INDEX(big_daily_table,MATCH(DATE(R$5,$J173,$I173),daily_dates,0),MATCH($B$3,daily_items,0))),NA(),INDEX(big_daily_table,MATCH(DATE(R$5,$J173,$I173),daily_dates,0),MATCH($B$3,daily_items,0)))</f>
        <v>#N/A</v>
      </c>
      <c r="S173" s="1" t="e">
        <f aca="false">IF(ISBLANK(INDEX(big_daily_table,MATCH(DATE(S$5,$J173,$I173),daily_dates,0),MATCH($B$3,daily_items,0))),NA(),INDEX(big_daily_table,MATCH(DATE(S$5,$J173,$I173),daily_dates,0),MATCH($B$3,daily_items,0)))</f>
        <v>#N/A</v>
      </c>
      <c r="T173" s="1" t="e">
        <f aca="false">IF(ISBLANK(INDEX(big_daily_table,MATCH(DATE(T$5,$J173,$I173),daily_dates,0),MATCH($B$3,daily_items,0))),NA(),INDEX(big_daily_table,MATCH(DATE(T$5,$J173,$I173),daily_dates,0),MATCH($B$3,daily_items,0)))</f>
        <v>#N/A</v>
      </c>
      <c r="U173" s="1" t="e">
        <f aca="false">IF(ISBLANK(INDEX(big_daily_table,MATCH(DATE(U$5,$J173,$I173),daily_dates,0),MATCH($B$3,daily_items,0))),NA(),INDEX(big_daily_table,MATCH(DATE(U$5,$J173,$I173),daily_dates,0),MATCH($B$3,daily_items,0)))</f>
        <v>#N/A</v>
      </c>
      <c r="V173" s="1" t="e">
        <f aca="false">IF(ISBLANK(INDEX(big_daily_table,MATCH(DATE(V$5,$J173,$I173),daily_dates,0),MATCH($B$3,daily_items,0))),NA(),INDEX(big_daily_table,MATCH(DATE(V$5,$J173,$I173),daily_dates,0),MATCH($B$3,daily_items,0)))</f>
        <v>#N/A</v>
      </c>
      <c r="W173" s="1" t="e">
        <f aca="false">IF(ISBLANK(INDEX(big_daily_table,MATCH(DATE(W$5,$J173,$I173),daily_dates,0),MATCH($B$3,daily_items,0))),NA(),INDEX(big_daily_table,MATCH(DATE(W$5,$J173,$I173),daily_dates,0),MATCH($B$3,daily_items,0)))</f>
        <v>#N/A</v>
      </c>
      <c r="X173" s="1" t="e">
        <f aca="false">IF(ISBLANK(INDEX(big_daily_table,MATCH(DATE(X$5,$J173,$I173),daily_dates,0),MATCH($B$3,daily_items,0))),NA(),INDEX(big_daily_table,MATCH(DATE(X$5,$J173,$I173),daily_dates,0),MATCH($B$3,daily_items,0)))</f>
        <v>#N/A</v>
      </c>
      <c r="Y173" s="1" t="e">
        <f aca="false">IF(ISBLANK(INDEX(big_daily_table,MATCH(DATE(Y$5,$J173,$I173),daily_dates,0),MATCH($B$3,daily_items,0))),NA(),INDEX(big_daily_table,MATCH(DATE(Y$5,$J173,$I173),daily_dates,0),MATCH($B$3,daily_items,0)))</f>
        <v>#N/A</v>
      </c>
      <c r="Z173" s="1" t="n">
        <f aca="true">_xlfn.AGGREGATE(5,6,OFFSET($R$5,H173,0,1,$J$2))</f>
        <v>0</v>
      </c>
      <c r="AA173" s="1" t="n">
        <f aca="true">_xlfn.AGGREGATE(4,6,OFFSET($R$5,H173,0,1,$J$2))</f>
        <v>0</v>
      </c>
      <c r="AB173" s="1" t="n">
        <f aca="false">AA173-Z173</f>
        <v>0</v>
      </c>
      <c r="AC173" s="1" t="e">
        <f aca="true">_xlfn.AGGREGATE(1,6,OFFSET($R$5,H173,0,1,$J$2))</f>
        <v>#DIV/0!</v>
      </c>
    </row>
    <row r="174" customFormat="false" ht="14.25" hidden="false" customHeight="false" outlineLevel="0" collapsed="false">
      <c r="H174" s="1" t="n">
        <f aca="false">H173+1</f>
        <v>169</v>
      </c>
      <c r="I174" s="1" t="n">
        <f aca="false">DAY(K174)</f>
        <v>17</v>
      </c>
      <c r="J174" s="1" t="n">
        <f aca="false">MONTH(K174)</f>
        <v>6</v>
      </c>
      <c r="K174" s="23" t="n">
        <f aca="false">K173+1</f>
        <v>36694</v>
      </c>
      <c r="L174" s="24" t="n">
        <f aca="true">IF(TODAY()&lt;DATE($N$5,J174,I174),1000000,-1000000)</f>
        <v>-1000000</v>
      </c>
      <c r="M174" s="1" t="e">
        <f aca="false">IF(K174&gt;0,INDEX(big_daily_table,MATCH(DATE(N$5,$J174,$I174),daily_dates,0),MATCH($B$3,daily_items,0)),NA())</f>
        <v>#N/A</v>
      </c>
      <c r="N174" s="1" t="e">
        <f aca="false">IF(L174&lt;0,INDEX(big_daily_table,MATCH(DATE(N$5,$J174,$I174),daily_dates,0),MATCH($B$3,daily_items,0)),NA())</f>
        <v>#N/A</v>
      </c>
      <c r="O174" s="1" t="e">
        <f aca="false">IF(ISBLANK(INDEX(big_daily_table,MATCH(DATE(O$5,$J174,$I174),daily_dates,0),MATCH($B$3,daily_items,0))),NA(),INDEX(big_daily_table,MATCH(DATE(O$5,$J174,$I174),daily_dates,0),MATCH($B$3,daily_items,0)))</f>
        <v>#N/A</v>
      </c>
      <c r="P174" s="1" t="e">
        <f aca="false">IF(ISBLANK(INDEX(big_daily_table,MATCH(DATE(P$5,$J174,$I174),daily_dates,0),MATCH($B$3,daily_items,0))),NA(),INDEX(big_daily_table,MATCH(DATE(P$5,$J174,$I174),daily_dates,0),MATCH($B$3,daily_items,0)))</f>
        <v>#N/A</v>
      </c>
      <c r="Q174" s="1" t="e">
        <f aca="false">IF(ISBLANK(INDEX(big_daily_table,MATCH(DATE(Q$5,$J174,$I174),daily_dates,0),MATCH($B$3,daily_items,0))),NA(),INDEX(big_daily_table,MATCH(DATE(Q$5,$J174,$I174),daily_dates,0),MATCH($B$3,daily_items,0)))</f>
        <v>#N/A</v>
      </c>
      <c r="R174" s="1" t="e">
        <f aca="false">IF(ISBLANK(INDEX(big_daily_table,MATCH(DATE(R$5,$J174,$I174),daily_dates,0),MATCH($B$3,daily_items,0))),NA(),INDEX(big_daily_table,MATCH(DATE(R$5,$J174,$I174),daily_dates,0),MATCH($B$3,daily_items,0)))</f>
        <v>#N/A</v>
      </c>
      <c r="S174" s="1" t="e">
        <f aca="false">IF(ISBLANK(INDEX(big_daily_table,MATCH(DATE(S$5,$J174,$I174),daily_dates,0),MATCH($B$3,daily_items,0))),NA(),INDEX(big_daily_table,MATCH(DATE(S$5,$J174,$I174),daily_dates,0),MATCH($B$3,daily_items,0)))</f>
        <v>#N/A</v>
      </c>
      <c r="T174" s="1" t="e">
        <f aca="false">IF(ISBLANK(INDEX(big_daily_table,MATCH(DATE(T$5,$J174,$I174),daily_dates,0),MATCH($B$3,daily_items,0))),NA(),INDEX(big_daily_table,MATCH(DATE(T$5,$J174,$I174),daily_dates,0),MATCH($B$3,daily_items,0)))</f>
        <v>#N/A</v>
      </c>
      <c r="U174" s="1" t="e">
        <f aca="false">IF(ISBLANK(INDEX(big_daily_table,MATCH(DATE(U$5,$J174,$I174),daily_dates,0),MATCH($B$3,daily_items,0))),NA(),INDEX(big_daily_table,MATCH(DATE(U$5,$J174,$I174),daily_dates,0),MATCH($B$3,daily_items,0)))</f>
        <v>#N/A</v>
      </c>
      <c r="V174" s="1" t="e">
        <f aca="false">IF(ISBLANK(INDEX(big_daily_table,MATCH(DATE(V$5,$J174,$I174),daily_dates,0),MATCH($B$3,daily_items,0))),NA(),INDEX(big_daily_table,MATCH(DATE(V$5,$J174,$I174),daily_dates,0),MATCH($B$3,daily_items,0)))</f>
        <v>#N/A</v>
      </c>
      <c r="W174" s="1" t="e">
        <f aca="false">IF(ISBLANK(INDEX(big_daily_table,MATCH(DATE(W$5,$J174,$I174),daily_dates,0),MATCH($B$3,daily_items,0))),NA(),INDEX(big_daily_table,MATCH(DATE(W$5,$J174,$I174),daily_dates,0),MATCH($B$3,daily_items,0)))</f>
        <v>#N/A</v>
      </c>
      <c r="X174" s="1" t="e">
        <f aca="false">IF(ISBLANK(INDEX(big_daily_table,MATCH(DATE(X$5,$J174,$I174),daily_dates,0),MATCH($B$3,daily_items,0))),NA(),INDEX(big_daily_table,MATCH(DATE(X$5,$J174,$I174),daily_dates,0),MATCH($B$3,daily_items,0)))</f>
        <v>#N/A</v>
      </c>
      <c r="Y174" s="1" t="e">
        <f aca="false">IF(ISBLANK(INDEX(big_daily_table,MATCH(DATE(Y$5,$J174,$I174),daily_dates,0),MATCH($B$3,daily_items,0))),NA(),INDEX(big_daily_table,MATCH(DATE(Y$5,$J174,$I174),daily_dates,0),MATCH($B$3,daily_items,0)))</f>
        <v>#N/A</v>
      </c>
      <c r="Z174" s="1" t="n">
        <f aca="true">_xlfn.AGGREGATE(5,6,OFFSET($R$5,H174,0,1,$J$2))</f>
        <v>0</v>
      </c>
      <c r="AA174" s="1" t="n">
        <f aca="true">_xlfn.AGGREGATE(4,6,OFFSET($R$5,H174,0,1,$J$2))</f>
        <v>0</v>
      </c>
      <c r="AB174" s="1" t="n">
        <f aca="false">AA174-Z174</f>
        <v>0</v>
      </c>
      <c r="AC174" s="1" t="e">
        <f aca="true">_xlfn.AGGREGATE(1,6,OFFSET($R$5,H174,0,1,$J$2))</f>
        <v>#DIV/0!</v>
      </c>
    </row>
    <row r="175" customFormat="false" ht="14.25" hidden="false" customHeight="false" outlineLevel="0" collapsed="false">
      <c r="H175" s="1" t="n">
        <f aca="false">H174+1</f>
        <v>170</v>
      </c>
      <c r="I175" s="1" t="n">
        <f aca="false">DAY(K175)</f>
        <v>18</v>
      </c>
      <c r="J175" s="1" t="n">
        <f aca="false">MONTH(K175)</f>
        <v>6</v>
      </c>
      <c r="K175" s="23" t="n">
        <f aca="false">K174+1</f>
        <v>36695</v>
      </c>
      <c r="L175" s="24" t="n">
        <f aca="true">IF(TODAY()&lt;DATE($N$5,J175,I175),1000000,-1000000)</f>
        <v>-1000000</v>
      </c>
      <c r="M175" s="1" t="e">
        <f aca="false">IF(K175&gt;0,INDEX(big_daily_table,MATCH(DATE(N$5,$J175,$I175),daily_dates,0),MATCH($B$3,daily_items,0)),NA())</f>
        <v>#N/A</v>
      </c>
      <c r="N175" s="1" t="e">
        <f aca="false">IF(L175&lt;0,INDEX(big_daily_table,MATCH(DATE(N$5,$J175,$I175),daily_dates,0),MATCH($B$3,daily_items,0)),NA())</f>
        <v>#N/A</v>
      </c>
      <c r="O175" s="1" t="e">
        <f aca="false">IF(ISBLANK(INDEX(big_daily_table,MATCH(DATE(O$5,$J175,$I175),daily_dates,0),MATCH($B$3,daily_items,0))),NA(),INDEX(big_daily_table,MATCH(DATE(O$5,$J175,$I175),daily_dates,0),MATCH($B$3,daily_items,0)))</f>
        <v>#N/A</v>
      </c>
      <c r="P175" s="1" t="e">
        <f aca="false">IF(ISBLANK(INDEX(big_daily_table,MATCH(DATE(P$5,$J175,$I175),daily_dates,0),MATCH($B$3,daily_items,0))),NA(),INDEX(big_daily_table,MATCH(DATE(P$5,$J175,$I175),daily_dates,0),MATCH($B$3,daily_items,0)))</f>
        <v>#N/A</v>
      </c>
      <c r="Q175" s="1" t="e">
        <f aca="false">IF(ISBLANK(INDEX(big_daily_table,MATCH(DATE(Q$5,$J175,$I175),daily_dates,0),MATCH($B$3,daily_items,0))),NA(),INDEX(big_daily_table,MATCH(DATE(Q$5,$J175,$I175),daily_dates,0),MATCH($B$3,daily_items,0)))</f>
        <v>#N/A</v>
      </c>
      <c r="R175" s="1" t="e">
        <f aca="false">IF(ISBLANK(INDEX(big_daily_table,MATCH(DATE(R$5,$J175,$I175),daily_dates,0),MATCH($B$3,daily_items,0))),NA(),INDEX(big_daily_table,MATCH(DATE(R$5,$J175,$I175),daily_dates,0),MATCH($B$3,daily_items,0)))</f>
        <v>#N/A</v>
      </c>
      <c r="S175" s="1" t="e">
        <f aca="false">IF(ISBLANK(INDEX(big_daily_table,MATCH(DATE(S$5,$J175,$I175),daily_dates,0),MATCH($B$3,daily_items,0))),NA(),INDEX(big_daily_table,MATCH(DATE(S$5,$J175,$I175),daily_dates,0),MATCH($B$3,daily_items,0)))</f>
        <v>#N/A</v>
      </c>
      <c r="T175" s="1" t="e">
        <f aca="false">IF(ISBLANK(INDEX(big_daily_table,MATCH(DATE(T$5,$J175,$I175),daily_dates,0),MATCH($B$3,daily_items,0))),NA(),INDEX(big_daily_table,MATCH(DATE(T$5,$J175,$I175),daily_dates,0),MATCH($B$3,daily_items,0)))</f>
        <v>#N/A</v>
      </c>
      <c r="U175" s="1" t="e">
        <f aca="false">IF(ISBLANK(INDEX(big_daily_table,MATCH(DATE(U$5,$J175,$I175),daily_dates,0),MATCH($B$3,daily_items,0))),NA(),INDEX(big_daily_table,MATCH(DATE(U$5,$J175,$I175),daily_dates,0),MATCH($B$3,daily_items,0)))</f>
        <v>#N/A</v>
      </c>
      <c r="V175" s="1" t="e">
        <f aca="false">IF(ISBLANK(INDEX(big_daily_table,MATCH(DATE(V$5,$J175,$I175),daily_dates,0),MATCH($B$3,daily_items,0))),NA(),INDEX(big_daily_table,MATCH(DATE(V$5,$J175,$I175),daily_dates,0),MATCH($B$3,daily_items,0)))</f>
        <v>#N/A</v>
      </c>
      <c r="W175" s="1" t="e">
        <f aca="false">IF(ISBLANK(INDEX(big_daily_table,MATCH(DATE(W$5,$J175,$I175),daily_dates,0),MATCH($B$3,daily_items,0))),NA(),INDEX(big_daily_table,MATCH(DATE(W$5,$J175,$I175),daily_dates,0),MATCH($B$3,daily_items,0)))</f>
        <v>#N/A</v>
      </c>
      <c r="X175" s="1" t="e">
        <f aca="false">IF(ISBLANK(INDEX(big_daily_table,MATCH(DATE(X$5,$J175,$I175),daily_dates,0),MATCH($B$3,daily_items,0))),NA(),INDEX(big_daily_table,MATCH(DATE(X$5,$J175,$I175),daily_dates,0),MATCH($B$3,daily_items,0)))</f>
        <v>#N/A</v>
      </c>
      <c r="Y175" s="1" t="e">
        <f aca="false">IF(ISBLANK(INDEX(big_daily_table,MATCH(DATE(Y$5,$J175,$I175),daily_dates,0),MATCH($B$3,daily_items,0))),NA(),INDEX(big_daily_table,MATCH(DATE(Y$5,$J175,$I175),daily_dates,0),MATCH($B$3,daily_items,0)))</f>
        <v>#N/A</v>
      </c>
      <c r="Z175" s="1" t="n">
        <f aca="true">_xlfn.AGGREGATE(5,6,OFFSET($R$5,H175,0,1,$J$2))</f>
        <v>0</v>
      </c>
      <c r="AA175" s="1" t="n">
        <f aca="true">_xlfn.AGGREGATE(4,6,OFFSET($R$5,H175,0,1,$J$2))</f>
        <v>0</v>
      </c>
      <c r="AB175" s="1" t="n">
        <f aca="false">AA175-Z175</f>
        <v>0</v>
      </c>
      <c r="AC175" s="1" t="e">
        <f aca="true">_xlfn.AGGREGATE(1,6,OFFSET($R$5,H175,0,1,$J$2))</f>
        <v>#DIV/0!</v>
      </c>
    </row>
    <row r="176" customFormat="false" ht="14.25" hidden="false" customHeight="false" outlineLevel="0" collapsed="false">
      <c r="H176" s="1" t="n">
        <f aca="false">H175+1</f>
        <v>171</v>
      </c>
      <c r="I176" s="1" t="n">
        <f aca="false">DAY(K176)</f>
        <v>19</v>
      </c>
      <c r="J176" s="1" t="n">
        <f aca="false">MONTH(K176)</f>
        <v>6</v>
      </c>
      <c r="K176" s="23" t="n">
        <f aca="false">K175+1</f>
        <v>36696</v>
      </c>
      <c r="L176" s="24" t="n">
        <f aca="true">IF(TODAY()&lt;DATE($N$5,J176,I176),1000000,-1000000)</f>
        <v>-1000000</v>
      </c>
      <c r="M176" s="1" t="e">
        <f aca="false">IF(K176&gt;0,INDEX(big_daily_table,MATCH(DATE(N$5,$J176,$I176),daily_dates,0),MATCH($B$3,daily_items,0)),NA())</f>
        <v>#N/A</v>
      </c>
      <c r="N176" s="1" t="e">
        <f aca="false">IF(L176&lt;0,INDEX(big_daily_table,MATCH(DATE(N$5,$J176,$I176),daily_dates,0),MATCH($B$3,daily_items,0)),NA())</f>
        <v>#N/A</v>
      </c>
      <c r="O176" s="1" t="e">
        <f aca="false">IF(ISBLANK(INDEX(big_daily_table,MATCH(DATE(O$5,$J176,$I176),daily_dates,0),MATCH($B$3,daily_items,0))),NA(),INDEX(big_daily_table,MATCH(DATE(O$5,$J176,$I176),daily_dates,0),MATCH($B$3,daily_items,0)))</f>
        <v>#N/A</v>
      </c>
      <c r="P176" s="1" t="e">
        <f aca="false">IF(ISBLANK(INDEX(big_daily_table,MATCH(DATE(P$5,$J176,$I176),daily_dates,0),MATCH($B$3,daily_items,0))),NA(),INDEX(big_daily_table,MATCH(DATE(P$5,$J176,$I176),daily_dates,0),MATCH($B$3,daily_items,0)))</f>
        <v>#N/A</v>
      </c>
      <c r="Q176" s="1" t="e">
        <f aca="false">IF(ISBLANK(INDEX(big_daily_table,MATCH(DATE(Q$5,$J176,$I176),daily_dates,0),MATCH($B$3,daily_items,0))),NA(),INDEX(big_daily_table,MATCH(DATE(Q$5,$J176,$I176),daily_dates,0),MATCH($B$3,daily_items,0)))</f>
        <v>#N/A</v>
      </c>
      <c r="R176" s="1" t="e">
        <f aca="false">IF(ISBLANK(INDEX(big_daily_table,MATCH(DATE(R$5,$J176,$I176),daily_dates,0),MATCH($B$3,daily_items,0))),NA(),INDEX(big_daily_table,MATCH(DATE(R$5,$J176,$I176),daily_dates,0),MATCH($B$3,daily_items,0)))</f>
        <v>#N/A</v>
      </c>
      <c r="S176" s="1" t="e">
        <f aca="false">IF(ISBLANK(INDEX(big_daily_table,MATCH(DATE(S$5,$J176,$I176),daily_dates,0),MATCH($B$3,daily_items,0))),NA(),INDEX(big_daily_table,MATCH(DATE(S$5,$J176,$I176),daily_dates,0),MATCH($B$3,daily_items,0)))</f>
        <v>#N/A</v>
      </c>
      <c r="T176" s="1" t="e">
        <f aca="false">IF(ISBLANK(INDEX(big_daily_table,MATCH(DATE(T$5,$J176,$I176),daily_dates,0),MATCH($B$3,daily_items,0))),NA(),INDEX(big_daily_table,MATCH(DATE(T$5,$J176,$I176),daily_dates,0),MATCH($B$3,daily_items,0)))</f>
        <v>#N/A</v>
      </c>
      <c r="U176" s="1" t="e">
        <f aca="false">IF(ISBLANK(INDEX(big_daily_table,MATCH(DATE(U$5,$J176,$I176),daily_dates,0),MATCH($B$3,daily_items,0))),NA(),INDEX(big_daily_table,MATCH(DATE(U$5,$J176,$I176),daily_dates,0),MATCH($B$3,daily_items,0)))</f>
        <v>#N/A</v>
      </c>
      <c r="V176" s="1" t="e">
        <f aca="false">IF(ISBLANK(INDEX(big_daily_table,MATCH(DATE(V$5,$J176,$I176),daily_dates,0),MATCH($B$3,daily_items,0))),NA(),INDEX(big_daily_table,MATCH(DATE(V$5,$J176,$I176),daily_dates,0),MATCH($B$3,daily_items,0)))</f>
        <v>#N/A</v>
      </c>
      <c r="W176" s="1" t="e">
        <f aca="false">IF(ISBLANK(INDEX(big_daily_table,MATCH(DATE(W$5,$J176,$I176),daily_dates,0),MATCH($B$3,daily_items,0))),NA(),INDEX(big_daily_table,MATCH(DATE(W$5,$J176,$I176),daily_dates,0),MATCH($B$3,daily_items,0)))</f>
        <v>#N/A</v>
      </c>
      <c r="X176" s="1" t="e">
        <f aca="false">IF(ISBLANK(INDEX(big_daily_table,MATCH(DATE(X$5,$J176,$I176),daily_dates,0),MATCH($B$3,daily_items,0))),NA(),INDEX(big_daily_table,MATCH(DATE(X$5,$J176,$I176),daily_dates,0),MATCH($B$3,daily_items,0)))</f>
        <v>#N/A</v>
      </c>
      <c r="Y176" s="1" t="e">
        <f aca="false">IF(ISBLANK(INDEX(big_daily_table,MATCH(DATE(Y$5,$J176,$I176),daily_dates,0),MATCH($B$3,daily_items,0))),NA(),INDEX(big_daily_table,MATCH(DATE(Y$5,$J176,$I176),daily_dates,0),MATCH($B$3,daily_items,0)))</f>
        <v>#N/A</v>
      </c>
      <c r="Z176" s="1" t="n">
        <f aca="true">_xlfn.AGGREGATE(5,6,OFFSET($R$5,H176,0,1,$J$2))</f>
        <v>0</v>
      </c>
      <c r="AA176" s="1" t="n">
        <f aca="true">_xlfn.AGGREGATE(4,6,OFFSET($R$5,H176,0,1,$J$2))</f>
        <v>0</v>
      </c>
      <c r="AB176" s="1" t="n">
        <f aca="false">AA176-Z176</f>
        <v>0</v>
      </c>
      <c r="AC176" s="1" t="e">
        <f aca="true">_xlfn.AGGREGATE(1,6,OFFSET($R$5,H176,0,1,$J$2))</f>
        <v>#DIV/0!</v>
      </c>
    </row>
    <row r="177" customFormat="false" ht="14.25" hidden="false" customHeight="false" outlineLevel="0" collapsed="false">
      <c r="H177" s="1" t="n">
        <f aca="false">H176+1</f>
        <v>172</v>
      </c>
      <c r="I177" s="1" t="n">
        <f aca="false">DAY(K177)</f>
        <v>20</v>
      </c>
      <c r="J177" s="1" t="n">
        <f aca="false">MONTH(K177)</f>
        <v>6</v>
      </c>
      <c r="K177" s="23" t="n">
        <f aca="false">K176+1</f>
        <v>36697</v>
      </c>
      <c r="L177" s="24" t="n">
        <f aca="true">IF(TODAY()&lt;DATE($N$5,J177,I177),1000000,-1000000)</f>
        <v>-1000000</v>
      </c>
      <c r="M177" s="1" t="e">
        <f aca="false">IF(K177&gt;0,INDEX(big_daily_table,MATCH(DATE(N$5,$J177,$I177),daily_dates,0),MATCH($B$3,daily_items,0)),NA())</f>
        <v>#N/A</v>
      </c>
      <c r="N177" s="1" t="e">
        <f aca="false">IF(L177&lt;0,INDEX(big_daily_table,MATCH(DATE(N$5,$J177,$I177),daily_dates,0),MATCH($B$3,daily_items,0)),NA())</f>
        <v>#N/A</v>
      </c>
      <c r="O177" s="1" t="e">
        <f aca="false">IF(ISBLANK(INDEX(big_daily_table,MATCH(DATE(O$5,$J177,$I177),daily_dates,0),MATCH($B$3,daily_items,0))),NA(),INDEX(big_daily_table,MATCH(DATE(O$5,$J177,$I177),daily_dates,0),MATCH($B$3,daily_items,0)))</f>
        <v>#N/A</v>
      </c>
      <c r="P177" s="1" t="e">
        <f aca="false">IF(ISBLANK(INDEX(big_daily_table,MATCH(DATE(P$5,$J177,$I177),daily_dates,0),MATCH($B$3,daily_items,0))),NA(),INDEX(big_daily_table,MATCH(DATE(P$5,$J177,$I177),daily_dates,0),MATCH($B$3,daily_items,0)))</f>
        <v>#N/A</v>
      </c>
      <c r="Q177" s="1" t="e">
        <f aca="false">IF(ISBLANK(INDEX(big_daily_table,MATCH(DATE(Q$5,$J177,$I177),daily_dates,0),MATCH($B$3,daily_items,0))),NA(),INDEX(big_daily_table,MATCH(DATE(Q$5,$J177,$I177),daily_dates,0),MATCH($B$3,daily_items,0)))</f>
        <v>#N/A</v>
      </c>
      <c r="R177" s="1" t="e">
        <f aca="false">IF(ISBLANK(INDEX(big_daily_table,MATCH(DATE(R$5,$J177,$I177),daily_dates,0),MATCH($B$3,daily_items,0))),NA(),INDEX(big_daily_table,MATCH(DATE(R$5,$J177,$I177),daily_dates,0),MATCH($B$3,daily_items,0)))</f>
        <v>#N/A</v>
      </c>
      <c r="S177" s="1" t="e">
        <f aca="false">IF(ISBLANK(INDEX(big_daily_table,MATCH(DATE(S$5,$J177,$I177),daily_dates,0),MATCH($B$3,daily_items,0))),NA(),INDEX(big_daily_table,MATCH(DATE(S$5,$J177,$I177),daily_dates,0),MATCH($B$3,daily_items,0)))</f>
        <v>#N/A</v>
      </c>
      <c r="T177" s="1" t="e">
        <f aca="false">IF(ISBLANK(INDEX(big_daily_table,MATCH(DATE(T$5,$J177,$I177),daily_dates,0),MATCH($B$3,daily_items,0))),NA(),INDEX(big_daily_table,MATCH(DATE(T$5,$J177,$I177),daily_dates,0),MATCH($B$3,daily_items,0)))</f>
        <v>#N/A</v>
      </c>
      <c r="U177" s="1" t="e">
        <f aca="false">IF(ISBLANK(INDEX(big_daily_table,MATCH(DATE(U$5,$J177,$I177),daily_dates,0),MATCH($B$3,daily_items,0))),NA(),INDEX(big_daily_table,MATCH(DATE(U$5,$J177,$I177),daily_dates,0),MATCH($B$3,daily_items,0)))</f>
        <v>#N/A</v>
      </c>
      <c r="V177" s="1" t="e">
        <f aca="false">IF(ISBLANK(INDEX(big_daily_table,MATCH(DATE(V$5,$J177,$I177),daily_dates,0),MATCH($B$3,daily_items,0))),NA(),INDEX(big_daily_table,MATCH(DATE(V$5,$J177,$I177),daily_dates,0),MATCH($B$3,daily_items,0)))</f>
        <v>#N/A</v>
      </c>
      <c r="W177" s="1" t="e">
        <f aca="false">IF(ISBLANK(INDEX(big_daily_table,MATCH(DATE(W$5,$J177,$I177),daily_dates,0),MATCH($B$3,daily_items,0))),NA(),INDEX(big_daily_table,MATCH(DATE(W$5,$J177,$I177),daily_dates,0),MATCH($B$3,daily_items,0)))</f>
        <v>#N/A</v>
      </c>
      <c r="X177" s="1" t="e">
        <f aca="false">IF(ISBLANK(INDEX(big_daily_table,MATCH(DATE(X$5,$J177,$I177),daily_dates,0),MATCH($B$3,daily_items,0))),NA(),INDEX(big_daily_table,MATCH(DATE(X$5,$J177,$I177),daily_dates,0),MATCH($B$3,daily_items,0)))</f>
        <v>#N/A</v>
      </c>
      <c r="Y177" s="1" t="e">
        <f aca="false">IF(ISBLANK(INDEX(big_daily_table,MATCH(DATE(Y$5,$J177,$I177),daily_dates,0),MATCH($B$3,daily_items,0))),NA(),INDEX(big_daily_table,MATCH(DATE(Y$5,$J177,$I177),daily_dates,0),MATCH($B$3,daily_items,0)))</f>
        <v>#N/A</v>
      </c>
      <c r="Z177" s="1" t="n">
        <f aca="true">_xlfn.AGGREGATE(5,6,OFFSET($R$5,H177,0,1,$J$2))</f>
        <v>0</v>
      </c>
      <c r="AA177" s="1" t="n">
        <f aca="true">_xlfn.AGGREGATE(4,6,OFFSET($R$5,H177,0,1,$J$2))</f>
        <v>0</v>
      </c>
      <c r="AB177" s="1" t="n">
        <f aca="false">AA177-Z177</f>
        <v>0</v>
      </c>
      <c r="AC177" s="1" t="e">
        <f aca="true">_xlfn.AGGREGATE(1,6,OFFSET($R$5,H177,0,1,$J$2))</f>
        <v>#DIV/0!</v>
      </c>
    </row>
    <row r="178" customFormat="false" ht="14.25" hidden="false" customHeight="false" outlineLevel="0" collapsed="false">
      <c r="H178" s="1" t="n">
        <f aca="false">H177+1</f>
        <v>173</v>
      </c>
      <c r="I178" s="1" t="n">
        <f aca="false">DAY(K178)</f>
        <v>21</v>
      </c>
      <c r="J178" s="1" t="n">
        <f aca="false">MONTH(K178)</f>
        <v>6</v>
      </c>
      <c r="K178" s="23" t="n">
        <f aca="false">K177+1</f>
        <v>36698</v>
      </c>
      <c r="L178" s="24" t="n">
        <f aca="true">IF(TODAY()&lt;DATE($N$5,J178,I178),1000000,-1000000)</f>
        <v>-1000000</v>
      </c>
      <c r="M178" s="1" t="e">
        <f aca="false">IF(K178&gt;0,INDEX(big_daily_table,MATCH(DATE(N$5,$J178,$I178),daily_dates,0),MATCH($B$3,daily_items,0)),NA())</f>
        <v>#N/A</v>
      </c>
      <c r="N178" s="1" t="e">
        <f aca="false">IF(L178&lt;0,INDEX(big_daily_table,MATCH(DATE(N$5,$J178,$I178),daily_dates,0),MATCH($B$3,daily_items,0)),NA())</f>
        <v>#N/A</v>
      </c>
      <c r="O178" s="1" t="e">
        <f aca="false">IF(ISBLANK(INDEX(big_daily_table,MATCH(DATE(O$5,$J178,$I178),daily_dates,0),MATCH($B$3,daily_items,0))),NA(),INDEX(big_daily_table,MATCH(DATE(O$5,$J178,$I178),daily_dates,0),MATCH($B$3,daily_items,0)))</f>
        <v>#N/A</v>
      </c>
      <c r="P178" s="1" t="e">
        <f aca="false">IF(ISBLANK(INDEX(big_daily_table,MATCH(DATE(P$5,$J178,$I178),daily_dates,0),MATCH($B$3,daily_items,0))),NA(),INDEX(big_daily_table,MATCH(DATE(P$5,$J178,$I178),daily_dates,0),MATCH($B$3,daily_items,0)))</f>
        <v>#N/A</v>
      </c>
      <c r="Q178" s="1" t="e">
        <f aca="false">IF(ISBLANK(INDEX(big_daily_table,MATCH(DATE(Q$5,$J178,$I178),daily_dates,0),MATCH($B$3,daily_items,0))),NA(),INDEX(big_daily_table,MATCH(DATE(Q$5,$J178,$I178),daily_dates,0),MATCH($B$3,daily_items,0)))</f>
        <v>#N/A</v>
      </c>
      <c r="R178" s="1" t="e">
        <f aca="false">IF(ISBLANK(INDEX(big_daily_table,MATCH(DATE(R$5,$J178,$I178),daily_dates,0),MATCH($B$3,daily_items,0))),NA(),INDEX(big_daily_table,MATCH(DATE(R$5,$J178,$I178),daily_dates,0),MATCH($B$3,daily_items,0)))</f>
        <v>#N/A</v>
      </c>
      <c r="S178" s="1" t="e">
        <f aca="false">IF(ISBLANK(INDEX(big_daily_table,MATCH(DATE(S$5,$J178,$I178),daily_dates,0),MATCH($B$3,daily_items,0))),NA(),INDEX(big_daily_table,MATCH(DATE(S$5,$J178,$I178),daily_dates,0),MATCH($B$3,daily_items,0)))</f>
        <v>#N/A</v>
      </c>
      <c r="T178" s="1" t="e">
        <f aca="false">IF(ISBLANK(INDEX(big_daily_table,MATCH(DATE(T$5,$J178,$I178),daily_dates,0),MATCH($B$3,daily_items,0))),NA(),INDEX(big_daily_table,MATCH(DATE(T$5,$J178,$I178),daily_dates,0),MATCH($B$3,daily_items,0)))</f>
        <v>#N/A</v>
      </c>
      <c r="U178" s="1" t="e">
        <f aca="false">IF(ISBLANK(INDEX(big_daily_table,MATCH(DATE(U$5,$J178,$I178),daily_dates,0),MATCH($B$3,daily_items,0))),NA(),INDEX(big_daily_table,MATCH(DATE(U$5,$J178,$I178),daily_dates,0),MATCH($B$3,daily_items,0)))</f>
        <v>#N/A</v>
      </c>
      <c r="V178" s="1" t="e">
        <f aca="false">IF(ISBLANK(INDEX(big_daily_table,MATCH(DATE(V$5,$J178,$I178),daily_dates,0),MATCH($B$3,daily_items,0))),NA(),INDEX(big_daily_table,MATCH(DATE(V$5,$J178,$I178),daily_dates,0),MATCH($B$3,daily_items,0)))</f>
        <v>#N/A</v>
      </c>
      <c r="W178" s="1" t="e">
        <f aca="false">IF(ISBLANK(INDEX(big_daily_table,MATCH(DATE(W$5,$J178,$I178),daily_dates,0),MATCH($B$3,daily_items,0))),NA(),INDEX(big_daily_table,MATCH(DATE(W$5,$J178,$I178),daily_dates,0),MATCH($B$3,daily_items,0)))</f>
        <v>#N/A</v>
      </c>
      <c r="X178" s="1" t="e">
        <f aca="false">IF(ISBLANK(INDEX(big_daily_table,MATCH(DATE(X$5,$J178,$I178),daily_dates,0),MATCH($B$3,daily_items,0))),NA(),INDEX(big_daily_table,MATCH(DATE(X$5,$J178,$I178),daily_dates,0),MATCH($B$3,daily_items,0)))</f>
        <v>#N/A</v>
      </c>
      <c r="Y178" s="1" t="e">
        <f aca="false">IF(ISBLANK(INDEX(big_daily_table,MATCH(DATE(Y$5,$J178,$I178),daily_dates,0),MATCH($B$3,daily_items,0))),NA(),INDEX(big_daily_table,MATCH(DATE(Y$5,$J178,$I178),daily_dates,0),MATCH($B$3,daily_items,0)))</f>
        <v>#N/A</v>
      </c>
      <c r="Z178" s="1" t="n">
        <f aca="true">_xlfn.AGGREGATE(5,6,OFFSET($R$5,H178,0,1,$J$2))</f>
        <v>0</v>
      </c>
      <c r="AA178" s="1" t="n">
        <f aca="true">_xlfn.AGGREGATE(4,6,OFFSET($R$5,H178,0,1,$J$2))</f>
        <v>0</v>
      </c>
      <c r="AB178" s="1" t="n">
        <f aca="false">AA178-Z178</f>
        <v>0</v>
      </c>
      <c r="AC178" s="1" t="e">
        <f aca="true">_xlfn.AGGREGATE(1,6,OFFSET($R$5,H178,0,1,$J$2))</f>
        <v>#DIV/0!</v>
      </c>
    </row>
    <row r="179" customFormat="false" ht="14.25" hidden="false" customHeight="false" outlineLevel="0" collapsed="false">
      <c r="H179" s="1" t="n">
        <f aca="false">H178+1</f>
        <v>174</v>
      </c>
      <c r="I179" s="1" t="n">
        <f aca="false">DAY(K179)</f>
        <v>22</v>
      </c>
      <c r="J179" s="1" t="n">
        <f aca="false">MONTH(K179)</f>
        <v>6</v>
      </c>
      <c r="K179" s="23" t="n">
        <f aca="false">K178+1</f>
        <v>36699</v>
      </c>
      <c r="L179" s="24" t="n">
        <f aca="true">IF(TODAY()&lt;DATE($N$5,J179,I179),1000000,-1000000)</f>
        <v>-1000000</v>
      </c>
      <c r="M179" s="1" t="e">
        <f aca="false">IF(K179&gt;0,INDEX(big_daily_table,MATCH(DATE(N$5,$J179,$I179),daily_dates,0),MATCH($B$3,daily_items,0)),NA())</f>
        <v>#N/A</v>
      </c>
      <c r="N179" s="1" t="e">
        <f aca="false">IF(L179&lt;0,INDEX(big_daily_table,MATCH(DATE(N$5,$J179,$I179),daily_dates,0),MATCH($B$3,daily_items,0)),NA())</f>
        <v>#N/A</v>
      </c>
      <c r="O179" s="1" t="e">
        <f aca="false">IF(ISBLANK(INDEX(big_daily_table,MATCH(DATE(O$5,$J179,$I179),daily_dates,0),MATCH($B$3,daily_items,0))),NA(),INDEX(big_daily_table,MATCH(DATE(O$5,$J179,$I179),daily_dates,0),MATCH($B$3,daily_items,0)))</f>
        <v>#N/A</v>
      </c>
      <c r="P179" s="1" t="e">
        <f aca="false">IF(ISBLANK(INDEX(big_daily_table,MATCH(DATE(P$5,$J179,$I179),daily_dates,0),MATCH($B$3,daily_items,0))),NA(),INDEX(big_daily_table,MATCH(DATE(P$5,$J179,$I179),daily_dates,0),MATCH($B$3,daily_items,0)))</f>
        <v>#N/A</v>
      </c>
      <c r="Q179" s="1" t="e">
        <f aca="false">IF(ISBLANK(INDEX(big_daily_table,MATCH(DATE(Q$5,$J179,$I179),daily_dates,0),MATCH($B$3,daily_items,0))),NA(),INDEX(big_daily_table,MATCH(DATE(Q$5,$J179,$I179),daily_dates,0),MATCH($B$3,daily_items,0)))</f>
        <v>#N/A</v>
      </c>
      <c r="R179" s="1" t="e">
        <f aca="false">IF(ISBLANK(INDEX(big_daily_table,MATCH(DATE(R$5,$J179,$I179),daily_dates,0),MATCH($B$3,daily_items,0))),NA(),INDEX(big_daily_table,MATCH(DATE(R$5,$J179,$I179),daily_dates,0),MATCH($B$3,daily_items,0)))</f>
        <v>#N/A</v>
      </c>
      <c r="S179" s="1" t="e">
        <f aca="false">IF(ISBLANK(INDEX(big_daily_table,MATCH(DATE(S$5,$J179,$I179),daily_dates,0),MATCH($B$3,daily_items,0))),NA(),INDEX(big_daily_table,MATCH(DATE(S$5,$J179,$I179),daily_dates,0),MATCH($B$3,daily_items,0)))</f>
        <v>#N/A</v>
      </c>
      <c r="T179" s="1" t="e">
        <f aca="false">IF(ISBLANK(INDEX(big_daily_table,MATCH(DATE(T$5,$J179,$I179),daily_dates,0),MATCH($B$3,daily_items,0))),NA(),INDEX(big_daily_table,MATCH(DATE(T$5,$J179,$I179),daily_dates,0),MATCH($B$3,daily_items,0)))</f>
        <v>#N/A</v>
      </c>
      <c r="U179" s="1" t="e">
        <f aca="false">IF(ISBLANK(INDEX(big_daily_table,MATCH(DATE(U$5,$J179,$I179),daily_dates,0),MATCH($B$3,daily_items,0))),NA(),INDEX(big_daily_table,MATCH(DATE(U$5,$J179,$I179),daily_dates,0),MATCH($B$3,daily_items,0)))</f>
        <v>#N/A</v>
      </c>
      <c r="V179" s="1" t="e">
        <f aca="false">IF(ISBLANK(INDEX(big_daily_table,MATCH(DATE(V$5,$J179,$I179),daily_dates,0),MATCH($B$3,daily_items,0))),NA(),INDEX(big_daily_table,MATCH(DATE(V$5,$J179,$I179),daily_dates,0),MATCH($B$3,daily_items,0)))</f>
        <v>#N/A</v>
      </c>
      <c r="W179" s="1" t="e">
        <f aca="false">IF(ISBLANK(INDEX(big_daily_table,MATCH(DATE(W$5,$J179,$I179),daily_dates,0),MATCH($B$3,daily_items,0))),NA(),INDEX(big_daily_table,MATCH(DATE(W$5,$J179,$I179),daily_dates,0),MATCH($B$3,daily_items,0)))</f>
        <v>#N/A</v>
      </c>
      <c r="X179" s="1" t="e">
        <f aca="false">IF(ISBLANK(INDEX(big_daily_table,MATCH(DATE(X$5,$J179,$I179),daily_dates,0),MATCH($B$3,daily_items,0))),NA(),INDEX(big_daily_table,MATCH(DATE(X$5,$J179,$I179),daily_dates,0),MATCH($B$3,daily_items,0)))</f>
        <v>#N/A</v>
      </c>
      <c r="Y179" s="1" t="e">
        <f aca="false">IF(ISBLANK(INDEX(big_daily_table,MATCH(DATE(Y$5,$J179,$I179),daily_dates,0),MATCH($B$3,daily_items,0))),NA(),INDEX(big_daily_table,MATCH(DATE(Y$5,$J179,$I179),daily_dates,0),MATCH($B$3,daily_items,0)))</f>
        <v>#N/A</v>
      </c>
      <c r="Z179" s="1" t="n">
        <f aca="true">_xlfn.AGGREGATE(5,6,OFFSET($R$5,H179,0,1,$J$2))</f>
        <v>0</v>
      </c>
      <c r="AA179" s="1" t="n">
        <f aca="true">_xlfn.AGGREGATE(4,6,OFFSET($R$5,H179,0,1,$J$2))</f>
        <v>0</v>
      </c>
      <c r="AB179" s="1" t="n">
        <f aca="false">AA179-Z179</f>
        <v>0</v>
      </c>
      <c r="AC179" s="1" t="e">
        <f aca="true">_xlfn.AGGREGATE(1,6,OFFSET($R$5,H179,0,1,$J$2))</f>
        <v>#DIV/0!</v>
      </c>
    </row>
    <row r="180" customFormat="false" ht="14.25" hidden="false" customHeight="false" outlineLevel="0" collapsed="false">
      <c r="H180" s="1" t="n">
        <f aca="false">H179+1</f>
        <v>175</v>
      </c>
      <c r="I180" s="1" t="n">
        <f aca="false">DAY(K180)</f>
        <v>23</v>
      </c>
      <c r="J180" s="1" t="n">
        <f aca="false">MONTH(K180)</f>
        <v>6</v>
      </c>
      <c r="K180" s="23" t="n">
        <f aca="false">K179+1</f>
        <v>36700</v>
      </c>
      <c r="L180" s="24" t="n">
        <f aca="true">IF(TODAY()&lt;DATE($N$5,J180,I180),1000000,-1000000)</f>
        <v>-1000000</v>
      </c>
      <c r="M180" s="1" t="e">
        <f aca="false">IF(K180&gt;0,INDEX(big_daily_table,MATCH(DATE(N$5,$J180,$I180),daily_dates,0),MATCH($B$3,daily_items,0)),NA())</f>
        <v>#N/A</v>
      </c>
      <c r="N180" s="1" t="e">
        <f aca="false">IF(L180&lt;0,INDEX(big_daily_table,MATCH(DATE(N$5,$J180,$I180),daily_dates,0),MATCH($B$3,daily_items,0)),NA())</f>
        <v>#N/A</v>
      </c>
      <c r="O180" s="1" t="e">
        <f aca="false">IF(ISBLANK(INDEX(big_daily_table,MATCH(DATE(O$5,$J180,$I180),daily_dates,0),MATCH($B$3,daily_items,0))),NA(),INDEX(big_daily_table,MATCH(DATE(O$5,$J180,$I180),daily_dates,0),MATCH($B$3,daily_items,0)))</f>
        <v>#N/A</v>
      </c>
      <c r="P180" s="1" t="e">
        <f aca="false">IF(ISBLANK(INDEX(big_daily_table,MATCH(DATE(P$5,$J180,$I180),daily_dates,0),MATCH($B$3,daily_items,0))),NA(),INDEX(big_daily_table,MATCH(DATE(P$5,$J180,$I180),daily_dates,0),MATCH($B$3,daily_items,0)))</f>
        <v>#N/A</v>
      </c>
      <c r="Q180" s="1" t="e">
        <f aca="false">IF(ISBLANK(INDEX(big_daily_table,MATCH(DATE(Q$5,$J180,$I180),daily_dates,0),MATCH($B$3,daily_items,0))),NA(),INDEX(big_daily_table,MATCH(DATE(Q$5,$J180,$I180),daily_dates,0),MATCH($B$3,daily_items,0)))</f>
        <v>#N/A</v>
      </c>
      <c r="R180" s="1" t="e">
        <f aca="false">IF(ISBLANK(INDEX(big_daily_table,MATCH(DATE(R$5,$J180,$I180),daily_dates,0),MATCH($B$3,daily_items,0))),NA(),INDEX(big_daily_table,MATCH(DATE(R$5,$J180,$I180),daily_dates,0),MATCH($B$3,daily_items,0)))</f>
        <v>#N/A</v>
      </c>
      <c r="S180" s="1" t="e">
        <f aca="false">IF(ISBLANK(INDEX(big_daily_table,MATCH(DATE(S$5,$J180,$I180),daily_dates,0),MATCH($B$3,daily_items,0))),NA(),INDEX(big_daily_table,MATCH(DATE(S$5,$J180,$I180),daily_dates,0),MATCH($B$3,daily_items,0)))</f>
        <v>#N/A</v>
      </c>
      <c r="T180" s="1" t="e">
        <f aca="false">IF(ISBLANK(INDEX(big_daily_table,MATCH(DATE(T$5,$J180,$I180),daily_dates,0),MATCH($B$3,daily_items,0))),NA(),INDEX(big_daily_table,MATCH(DATE(T$5,$J180,$I180),daily_dates,0),MATCH($B$3,daily_items,0)))</f>
        <v>#N/A</v>
      </c>
      <c r="U180" s="1" t="e">
        <f aca="false">IF(ISBLANK(INDEX(big_daily_table,MATCH(DATE(U$5,$J180,$I180),daily_dates,0),MATCH($B$3,daily_items,0))),NA(),INDEX(big_daily_table,MATCH(DATE(U$5,$J180,$I180),daily_dates,0),MATCH($B$3,daily_items,0)))</f>
        <v>#N/A</v>
      </c>
      <c r="V180" s="1" t="e">
        <f aca="false">IF(ISBLANK(INDEX(big_daily_table,MATCH(DATE(V$5,$J180,$I180),daily_dates,0),MATCH($B$3,daily_items,0))),NA(),INDEX(big_daily_table,MATCH(DATE(V$5,$J180,$I180),daily_dates,0),MATCH($B$3,daily_items,0)))</f>
        <v>#N/A</v>
      </c>
      <c r="W180" s="1" t="e">
        <f aca="false">IF(ISBLANK(INDEX(big_daily_table,MATCH(DATE(W$5,$J180,$I180),daily_dates,0),MATCH($B$3,daily_items,0))),NA(),INDEX(big_daily_table,MATCH(DATE(W$5,$J180,$I180),daily_dates,0),MATCH($B$3,daily_items,0)))</f>
        <v>#N/A</v>
      </c>
      <c r="X180" s="1" t="e">
        <f aca="false">IF(ISBLANK(INDEX(big_daily_table,MATCH(DATE(X$5,$J180,$I180),daily_dates,0),MATCH($B$3,daily_items,0))),NA(),INDEX(big_daily_table,MATCH(DATE(X$5,$J180,$I180),daily_dates,0),MATCH($B$3,daily_items,0)))</f>
        <v>#N/A</v>
      </c>
      <c r="Y180" s="1" t="e">
        <f aca="false">IF(ISBLANK(INDEX(big_daily_table,MATCH(DATE(Y$5,$J180,$I180),daily_dates,0),MATCH($B$3,daily_items,0))),NA(),INDEX(big_daily_table,MATCH(DATE(Y$5,$J180,$I180),daily_dates,0),MATCH($B$3,daily_items,0)))</f>
        <v>#N/A</v>
      </c>
      <c r="Z180" s="1" t="n">
        <f aca="true">_xlfn.AGGREGATE(5,6,OFFSET($R$5,H180,0,1,$J$2))</f>
        <v>0</v>
      </c>
      <c r="AA180" s="1" t="n">
        <f aca="true">_xlfn.AGGREGATE(4,6,OFFSET($R$5,H180,0,1,$J$2))</f>
        <v>0</v>
      </c>
      <c r="AB180" s="1" t="n">
        <f aca="false">AA180-Z180</f>
        <v>0</v>
      </c>
      <c r="AC180" s="1" t="e">
        <f aca="true">_xlfn.AGGREGATE(1,6,OFFSET($R$5,H180,0,1,$J$2))</f>
        <v>#DIV/0!</v>
      </c>
    </row>
    <row r="181" customFormat="false" ht="14.25" hidden="false" customHeight="false" outlineLevel="0" collapsed="false">
      <c r="H181" s="1" t="n">
        <f aca="false">H180+1</f>
        <v>176</v>
      </c>
      <c r="I181" s="1" t="n">
        <f aca="false">DAY(K181)</f>
        <v>24</v>
      </c>
      <c r="J181" s="1" t="n">
        <f aca="false">MONTH(K181)</f>
        <v>6</v>
      </c>
      <c r="K181" s="23" t="n">
        <f aca="false">K180+1</f>
        <v>36701</v>
      </c>
      <c r="L181" s="24" t="n">
        <f aca="true">IF(TODAY()&lt;DATE($N$5,J181,I181),1000000,-1000000)</f>
        <v>-1000000</v>
      </c>
      <c r="M181" s="1" t="e">
        <f aca="false">IF(K181&gt;0,INDEX(big_daily_table,MATCH(DATE(N$5,$J181,$I181),daily_dates,0),MATCH($B$3,daily_items,0)),NA())</f>
        <v>#N/A</v>
      </c>
      <c r="N181" s="1" t="e">
        <f aca="false">IF(L181&lt;0,INDEX(big_daily_table,MATCH(DATE(N$5,$J181,$I181),daily_dates,0),MATCH($B$3,daily_items,0)),NA())</f>
        <v>#N/A</v>
      </c>
      <c r="O181" s="1" t="e">
        <f aca="false">IF(ISBLANK(INDEX(big_daily_table,MATCH(DATE(O$5,$J181,$I181),daily_dates,0),MATCH($B$3,daily_items,0))),NA(),INDEX(big_daily_table,MATCH(DATE(O$5,$J181,$I181),daily_dates,0),MATCH($B$3,daily_items,0)))</f>
        <v>#N/A</v>
      </c>
      <c r="P181" s="1" t="e">
        <f aca="false">IF(ISBLANK(INDEX(big_daily_table,MATCH(DATE(P$5,$J181,$I181),daily_dates,0),MATCH($B$3,daily_items,0))),NA(),INDEX(big_daily_table,MATCH(DATE(P$5,$J181,$I181),daily_dates,0),MATCH($B$3,daily_items,0)))</f>
        <v>#N/A</v>
      </c>
      <c r="Q181" s="1" t="e">
        <f aca="false">IF(ISBLANK(INDEX(big_daily_table,MATCH(DATE(Q$5,$J181,$I181),daily_dates,0),MATCH($B$3,daily_items,0))),NA(),INDEX(big_daily_table,MATCH(DATE(Q$5,$J181,$I181),daily_dates,0),MATCH($B$3,daily_items,0)))</f>
        <v>#N/A</v>
      </c>
      <c r="R181" s="1" t="e">
        <f aca="false">IF(ISBLANK(INDEX(big_daily_table,MATCH(DATE(R$5,$J181,$I181),daily_dates,0),MATCH($B$3,daily_items,0))),NA(),INDEX(big_daily_table,MATCH(DATE(R$5,$J181,$I181),daily_dates,0),MATCH($B$3,daily_items,0)))</f>
        <v>#N/A</v>
      </c>
      <c r="S181" s="1" t="e">
        <f aca="false">IF(ISBLANK(INDEX(big_daily_table,MATCH(DATE(S$5,$J181,$I181),daily_dates,0),MATCH($B$3,daily_items,0))),NA(),INDEX(big_daily_table,MATCH(DATE(S$5,$J181,$I181),daily_dates,0),MATCH($B$3,daily_items,0)))</f>
        <v>#N/A</v>
      </c>
      <c r="T181" s="1" t="e">
        <f aca="false">IF(ISBLANK(INDEX(big_daily_table,MATCH(DATE(T$5,$J181,$I181),daily_dates,0),MATCH($B$3,daily_items,0))),NA(),INDEX(big_daily_table,MATCH(DATE(T$5,$J181,$I181),daily_dates,0),MATCH($B$3,daily_items,0)))</f>
        <v>#N/A</v>
      </c>
      <c r="U181" s="1" t="e">
        <f aca="false">IF(ISBLANK(INDEX(big_daily_table,MATCH(DATE(U$5,$J181,$I181),daily_dates,0),MATCH($B$3,daily_items,0))),NA(),INDEX(big_daily_table,MATCH(DATE(U$5,$J181,$I181),daily_dates,0),MATCH($B$3,daily_items,0)))</f>
        <v>#N/A</v>
      </c>
      <c r="V181" s="1" t="e">
        <f aca="false">IF(ISBLANK(INDEX(big_daily_table,MATCH(DATE(V$5,$J181,$I181),daily_dates,0),MATCH($B$3,daily_items,0))),NA(),INDEX(big_daily_table,MATCH(DATE(V$5,$J181,$I181),daily_dates,0),MATCH($B$3,daily_items,0)))</f>
        <v>#N/A</v>
      </c>
      <c r="W181" s="1" t="e">
        <f aca="false">IF(ISBLANK(INDEX(big_daily_table,MATCH(DATE(W$5,$J181,$I181),daily_dates,0),MATCH($B$3,daily_items,0))),NA(),INDEX(big_daily_table,MATCH(DATE(W$5,$J181,$I181),daily_dates,0),MATCH($B$3,daily_items,0)))</f>
        <v>#N/A</v>
      </c>
      <c r="X181" s="1" t="e">
        <f aca="false">IF(ISBLANK(INDEX(big_daily_table,MATCH(DATE(X$5,$J181,$I181),daily_dates,0),MATCH($B$3,daily_items,0))),NA(),INDEX(big_daily_table,MATCH(DATE(X$5,$J181,$I181),daily_dates,0),MATCH($B$3,daily_items,0)))</f>
        <v>#N/A</v>
      </c>
      <c r="Y181" s="1" t="e">
        <f aca="false">IF(ISBLANK(INDEX(big_daily_table,MATCH(DATE(Y$5,$J181,$I181),daily_dates,0),MATCH($B$3,daily_items,0))),NA(),INDEX(big_daily_table,MATCH(DATE(Y$5,$J181,$I181),daily_dates,0),MATCH($B$3,daily_items,0)))</f>
        <v>#N/A</v>
      </c>
      <c r="Z181" s="1" t="n">
        <f aca="true">_xlfn.AGGREGATE(5,6,OFFSET($R$5,H181,0,1,$J$2))</f>
        <v>0</v>
      </c>
      <c r="AA181" s="1" t="n">
        <f aca="true">_xlfn.AGGREGATE(4,6,OFFSET($R$5,H181,0,1,$J$2))</f>
        <v>0</v>
      </c>
      <c r="AB181" s="1" t="n">
        <f aca="false">AA181-Z181</f>
        <v>0</v>
      </c>
      <c r="AC181" s="1" t="e">
        <f aca="true">_xlfn.AGGREGATE(1,6,OFFSET($R$5,H181,0,1,$J$2))</f>
        <v>#DIV/0!</v>
      </c>
    </row>
    <row r="182" customFormat="false" ht="14.25" hidden="false" customHeight="false" outlineLevel="0" collapsed="false">
      <c r="H182" s="1" t="n">
        <f aca="false">H181+1</f>
        <v>177</v>
      </c>
      <c r="I182" s="1" t="n">
        <f aca="false">DAY(K182)</f>
        <v>25</v>
      </c>
      <c r="J182" s="1" t="n">
        <f aca="false">MONTH(K182)</f>
        <v>6</v>
      </c>
      <c r="K182" s="23" t="n">
        <f aca="false">K181+1</f>
        <v>36702</v>
      </c>
      <c r="L182" s="24" t="n">
        <f aca="true">IF(TODAY()&lt;DATE($N$5,J182,I182),1000000,-1000000)</f>
        <v>-1000000</v>
      </c>
      <c r="M182" s="1" t="e">
        <f aca="false">IF(K182&gt;0,INDEX(big_daily_table,MATCH(DATE(N$5,$J182,$I182),daily_dates,0),MATCH($B$3,daily_items,0)),NA())</f>
        <v>#N/A</v>
      </c>
      <c r="N182" s="1" t="e">
        <f aca="false">IF(L182&lt;0,INDEX(big_daily_table,MATCH(DATE(N$5,$J182,$I182),daily_dates,0),MATCH($B$3,daily_items,0)),NA())</f>
        <v>#N/A</v>
      </c>
      <c r="O182" s="1" t="e">
        <f aca="false">IF(ISBLANK(INDEX(big_daily_table,MATCH(DATE(O$5,$J182,$I182),daily_dates,0),MATCH($B$3,daily_items,0))),NA(),INDEX(big_daily_table,MATCH(DATE(O$5,$J182,$I182),daily_dates,0),MATCH($B$3,daily_items,0)))</f>
        <v>#N/A</v>
      </c>
      <c r="P182" s="1" t="e">
        <f aca="false">IF(ISBLANK(INDEX(big_daily_table,MATCH(DATE(P$5,$J182,$I182),daily_dates,0),MATCH($B$3,daily_items,0))),NA(),INDEX(big_daily_table,MATCH(DATE(P$5,$J182,$I182),daily_dates,0),MATCH($B$3,daily_items,0)))</f>
        <v>#N/A</v>
      </c>
      <c r="Q182" s="1" t="e">
        <f aca="false">IF(ISBLANK(INDEX(big_daily_table,MATCH(DATE(Q$5,$J182,$I182),daily_dates,0),MATCH($B$3,daily_items,0))),NA(),INDEX(big_daily_table,MATCH(DATE(Q$5,$J182,$I182),daily_dates,0),MATCH($B$3,daily_items,0)))</f>
        <v>#N/A</v>
      </c>
      <c r="R182" s="1" t="e">
        <f aca="false">IF(ISBLANK(INDEX(big_daily_table,MATCH(DATE(R$5,$J182,$I182),daily_dates,0),MATCH($B$3,daily_items,0))),NA(),INDEX(big_daily_table,MATCH(DATE(R$5,$J182,$I182),daily_dates,0),MATCH($B$3,daily_items,0)))</f>
        <v>#N/A</v>
      </c>
      <c r="S182" s="1" t="e">
        <f aca="false">IF(ISBLANK(INDEX(big_daily_table,MATCH(DATE(S$5,$J182,$I182),daily_dates,0),MATCH($B$3,daily_items,0))),NA(),INDEX(big_daily_table,MATCH(DATE(S$5,$J182,$I182),daily_dates,0),MATCH($B$3,daily_items,0)))</f>
        <v>#N/A</v>
      </c>
      <c r="T182" s="1" t="e">
        <f aca="false">IF(ISBLANK(INDEX(big_daily_table,MATCH(DATE(T$5,$J182,$I182),daily_dates,0),MATCH($B$3,daily_items,0))),NA(),INDEX(big_daily_table,MATCH(DATE(T$5,$J182,$I182),daily_dates,0),MATCH($B$3,daily_items,0)))</f>
        <v>#N/A</v>
      </c>
      <c r="U182" s="1" t="e">
        <f aca="false">IF(ISBLANK(INDEX(big_daily_table,MATCH(DATE(U$5,$J182,$I182),daily_dates,0),MATCH($B$3,daily_items,0))),NA(),INDEX(big_daily_table,MATCH(DATE(U$5,$J182,$I182),daily_dates,0),MATCH($B$3,daily_items,0)))</f>
        <v>#N/A</v>
      </c>
      <c r="V182" s="1" t="e">
        <f aca="false">IF(ISBLANK(INDEX(big_daily_table,MATCH(DATE(V$5,$J182,$I182),daily_dates,0),MATCH($B$3,daily_items,0))),NA(),INDEX(big_daily_table,MATCH(DATE(V$5,$J182,$I182),daily_dates,0),MATCH($B$3,daily_items,0)))</f>
        <v>#N/A</v>
      </c>
      <c r="W182" s="1" t="e">
        <f aca="false">IF(ISBLANK(INDEX(big_daily_table,MATCH(DATE(W$5,$J182,$I182),daily_dates,0),MATCH($B$3,daily_items,0))),NA(),INDEX(big_daily_table,MATCH(DATE(W$5,$J182,$I182),daily_dates,0),MATCH($B$3,daily_items,0)))</f>
        <v>#N/A</v>
      </c>
      <c r="X182" s="1" t="e">
        <f aca="false">IF(ISBLANK(INDEX(big_daily_table,MATCH(DATE(X$5,$J182,$I182),daily_dates,0),MATCH($B$3,daily_items,0))),NA(),INDEX(big_daily_table,MATCH(DATE(X$5,$J182,$I182),daily_dates,0),MATCH($B$3,daily_items,0)))</f>
        <v>#N/A</v>
      </c>
      <c r="Y182" s="1" t="e">
        <f aca="false">IF(ISBLANK(INDEX(big_daily_table,MATCH(DATE(Y$5,$J182,$I182),daily_dates,0),MATCH($B$3,daily_items,0))),NA(),INDEX(big_daily_table,MATCH(DATE(Y$5,$J182,$I182),daily_dates,0),MATCH($B$3,daily_items,0)))</f>
        <v>#N/A</v>
      </c>
      <c r="Z182" s="1" t="n">
        <f aca="true">_xlfn.AGGREGATE(5,6,OFFSET($R$5,H182,0,1,$J$2))</f>
        <v>0</v>
      </c>
      <c r="AA182" s="1" t="n">
        <f aca="true">_xlfn.AGGREGATE(4,6,OFFSET($R$5,H182,0,1,$J$2))</f>
        <v>0</v>
      </c>
      <c r="AB182" s="1" t="n">
        <f aca="false">AA182-Z182</f>
        <v>0</v>
      </c>
      <c r="AC182" s="1" t="e">
        <f aca="true">_xlfn.AGGREGATE(1,6,OFFSET($R$5,H182,0,1,$J$2))</f>
        <v>#DIV/0!</v>
      </c>
    </row>
    <row r="183" customFormat="false" ht="14.25" hidden="false" customHeight="false" outlineLevel="0" collapsed="false">
      <c r="H183" s="1" t="n">
        <f aca="false">H182+1</f>
        <v>178</v>
      </c>
      <c r="I183" s="1" t="n">
        <f aca="false">DAY(K183)</f>
        <v>26</v>
      </c>
      <c r="J183" s="1" t="n">
        <f aca="false">MONTH(K183)</f>
        <v>6</v>
      </c>
      <c r="K183" s="23" t="n">
        <f aca="false">K182+1</f>
        <v>36703</v>
      </c>
      <c r="L183" s="24" t="n">
        <f aca="true">IF(TODAY()&lt;DATE($N$5,J183,I183),1000000,-1000000)</f>
        <v>-1000000</v>
      </c>
      <c r="M183" s="1" t="e">
        <f aca="false">IF(K183&gt;0,INDEX(big_daily_table,MATCH(DATE(N$5,$J183,$I183),daily_dates,0),MATCH($B$3,daily_items,0)),NA())</f>
        <v>#N/A</v>
      </c>
      <c r="N183" s="1" t="e">
        <f aca="false">IF(L183&lt;0,INDEX(big_daily_table,MATCH(DATE(N$5,$J183,$I183),daily_dates,0),MATCH($B$3,daily_items,0)),NA())</f>
        <v>#N/A</v>
      </c>
      <c r="O183" s="1" t="e">
        <f aca="false">IF(ISBLANK(INDEX(big_daily_table,MATCH(DATE(O$5,$J183,$I183),daily_dates,0),MATCH($B$3,daily_items,0))),NA(),INDEX(big_daily_table,MATCH(DATE(O$5,$J183,$I183),daily_dates,0),MATCH($B$3,daily_items,0)))</f>
        <v>#N/A</v>
      </c>
      <c r="P183" s="1" t="e">
        <f aca="false">IF(ISBLANK(INDEX(big_daily_table,MATCH(DATE(P$5,$J183,$I183),daily_dates,0),MATCH($B$3,daily_items,0))),NA(),INDEX(big_daily_table,MATCH(DATE(P$5,$J183,$I183),daily_dates,0),MATCH($B$3,daily_items,0)))</f>
        <v>#N/A</v>
      </c>
      <c r="Q183" s="1" t="e">
        <f aca="false">IF(ISBLANK(INDEX(big_daily_table,MATCH(DATE(Q$5,$J183,$I183),daily_dates,0),MATCH($B$3,daily_items,0))),NA(),INDEX(big_daily_table,MATCH(DATE(Q$5,$J183,$I183),daily_dates,0),MATCH($B$3,daily_items,0)))</f>
        <v>#N/A</v>
      </c>
      <c r="R183" s="1" t="e">
        <f aca="false">IF(ISBLANK(INDEX(big_daily_table,MATCH(DATE(R$5,$J183,$I183),daily_dates,0),MATCH($B$3,daily_items,0))),NA(),INDEX(big_daily_table,MATCH(DATE(R$5,$J183,$I183),daily_dates,0),MATCH($B$3,daily_items,0)))</f>
        <v>#N/A</v>
      </c>
      <c r="S183" s="1" t="e">
        <f aca="false">IF(ISBLANK(INDEX(big_daily_table,MATCH(DATE(S$5,$J183,$I183),daily_dates,0),MATCH($B$3,daily_items,0))),NA(),INDEX(big_daily_table,MATCH(DATE(S$5,$J183,$I183),daily_dates,0),MATCH($B$3,daily_items,0)))</f>
        <v>#N/A</v>
      </c>
      <c r="T183" s="1" t="e">
        <f aca="false">IF(ISBLANK(INDEX(big_daily_table,MATCH(DATE(T$5,$J183,$I183),daily_dates,0),MATCH($B$3,daily_items,0))),NA(),INDEX(big_daily_table,MATCH(DATE(T$5,$J183,$I183),daily_dates,0),MATCH($B$3,daily_items,0)))</f>
        <v>#N/A</v>
      </c>
      <c r="U183" s="1" t="e">
        <f aca="false">IF(ISBLANK(INDEX(big_daily_table,MATCH(DATE(U$5,$J183,$I183),daily_dates,0),MATCH($B$3,daily_items,0))),NA(),INDEX(big_daily_table,MATCH(DATE(U$5,$J183,$I183),daily_dates,0),MATCH($B$3,daily_items,0)))</f>
        <v>#N/A</v>
      </c>
      <c r="V183" s="1" t="e">
        <f aca="false">IF(ISBLANK(INDEX(big_daily_table,MATCH(DATE(V$5,$J183,$I183),daily_dates,0),MATCH($B$3,daily_items,0))),NA(),INDEX(big_daily_table,MATCH(DATE(V$5,$J183,$I183),daily_dates,0),MATCH($B$3,daily_items,0)))</f>
        <v>#N/A</v>
      </c>
      <c r="W183" s="1" t="e">
        <f aca="false">IF(ISBLANK(INDEX(big_daily_table,MATCH(DATE(W$5,$J183,$I183),daily_dates,0),MATCH($B$3,daily_items,0))),NA(),INDEX(big_daily_table,MATCH(DATE(W$5,$J183,$I183),daily_dates,0),MATCH($B$3,daily_items,0)))</f>
        <v>#N/A</v>
      </c>
      <c r="X183" s="1" t="e">
        <f aca="false">IF(ISBLANK(INDEX(big_daily_table,MATCH(DATE(X$5,$J183,$I183),daily_dates,0),MATCH($B$3,daily_items,0))),NA(),INDEX(big_daily_table,MATCH(DATE(X$5,$J183,$I183),daily_dates,0),MATCH($B$3,daily_items,0)))</f>
        <v>#N/A</v>
      </c>
      <c r="Y183" s="1" t="e">
        <f aca="false">IF(ISBLANK(INDEX(big_daily_table,MATCH(DATE(Y$5,$J183,$I183),daily_dates,0),MATCH($B$3,daily_items,0))),NA(),INDEX(big_daily_table,MATCH(DATE(Y$5,$J183,$I183),daily_dates,0),MATCH($B$3,daily_items,0)))</f>
        <v>#N/A</v>
      </c>
      <c r="Z183" s="1" t="n">
        <f aca="true">_xlfn.AGGREGATE(5,6,OFFSET($R$5,H183,0,1,$J$2))</f>
        <v>0</v>
      </c>
      <c r="AA183" s="1" t="n">
        <f aca="true">_xlfn.AGGREGATE(4,6,OFFSET($R$5,H183,0,1,$J$2))</f>
        <v>0</v>
      </c>
      <c r="AB183" s="1" t="n">
        <f aca="false">AA183-Z183</f>
        <v>0</v>
      </c>
      <c r="AC183" s="1" t="e">
        <f aca="true">_xlfn.AGGREGATE(1,6,OFFSET($R$5,H183,0,1,$J$2))</f>
        <v>#DIV/0!</v>
      </c>
    </row>
    <row r="184" customFormat="false" ht="14.25" hidden="false" customHeight="false" outlineLevel="0" collapsed="false">
      <c r="H184" s="1" t="n">
        <f aca="false">H183+1</f>
        <v>179</v>
      </c>
      <c r="I184" s="1" t="n">
        <f aca="false">DAY(K184)</f>
        <v>27</v>
      </c>
      <c r="J184" s="1" t="n">
        <f aca="false">MONTH(K184)</f>
        <v>6</v>
      </c>
      <c r="K184" s="23" t="n">
        <f aca="false">K183+1</f>
        <v>36704</v>
      </c>
      <c r="L184" s="24" t="n">
        <f aca="true">IF(TODAY()&lt;DATE($N$5,J184,I184),1000000,-1000000)</f>
        <v>-1000000</v>
      </c>
      <c r="M184" s="1" t="e">
        <f aca="false">IF(K184&gt;0,INDEX(big_daily_table,MATCH(DATE(N$5,$J184,$I184),daily_dates,0),MATCH($B$3,daily_items,0)),NA())</f>
        <v>#N/A</v>
      </c>
      <c r="N184" s="1" t="e">
        <f aca="false">IF(L184&lt;0,INDEX(big_daily_table,MATCH(DATE(N$5,$J184,$I184),daily_dates,0),MATCH($B$3,daily_items,0)),NA())</f>
        <v>#N/A</v>
      </c>
      <c r="O184" s="1" t="e">
        <f aca="false">IF(ISBLANK(INDEX(big_daily_table,MATCH(DATE(O$5,$J184,$I184),daily_dates,0),MATCH($B$3,daily_items,0))),NA(),INDEX(big_daily_table,MATCH(DATE(O$5,$J184,$I184),daily_dates,0),MATCH($B$3,daily_items,0)))</f>
        <v>#N/A</v>
      </c>
      <c r="P184" s="1" t="e">
        <f aca="false">IF(ISBLANK(INDEX(big_daily_table,MATCH(DATE(P$5,$J184,$I184),daily_dates,0),MATCH($B$3,daily_items,0))),NA(),INDEX(big_daily_table,MATCH(DATE(P$5,$J184,$I184),daily_dates,0),MATCH($B$3,daily_items,0)))</f>
        <v>#N/A</v>
      </c>
      <c r="Q184" s="1" t="e">
        <f aca="false">IF(ISBLANK(INDEX(big_daily_table,MATCH(DATE(Q$5,$J184,$I184),daily_dates,0),MATCH($B$3,daily_items,0))),NA(),INDEX(big_daily_table,MATCH(DATE(Q$5,$J184,$I184),daily_dates,0),MATCH($B$3,daily_items,0)))</f>
        <v>#N/A</v>
      </c>
      <c r="R184" s="1" t="e">
        <f aca="false">IF(ISBLANK(INDEX(big_daily_table,MATCH(DATE(R$5,$J184,$I184),daily_dates,0),MATCH($B$3,daily_items,0))),NA(),INDEX(big_daily_table,MATCH(DATE(R$5,$J184,$I184),daily_dates,0),MATCH($B$3,daily_items,0)))</f>
        <v>#N/A</v>
      </c>
      <c r="S184" s="1" t="e">
        <f aca="false">IF(ISBLANK(INDEX(big_daily_table,MATCH(DATE(S$5,$J184,$I184),daily_dates,0),MATCH($B$3,daily_items,0))),NA(),INDEX(big_daily_table,MATCH(DATE(S$5,$J184,$I184),daily_dates,0),MATCH($B$3,daily_items,0)))</f>
        <v>#N/A</v>
      </c>
      <c r="T184" s="1" t="e">
        <f aca="false">IF(ISBLANK(INDEX(big_daily_table,MATCH(DATE(T$5,$J184,$I184),daily_dates,0),MATCH($B$3,daily_items,0))),NA(),INDEX(big_daily_table,MATCH(DATE(T$5,$J184,$I184),daily_dates,0),MATCH($B$3,daily_items,0)))</f>
        <v>#N/A</v>
      </c>
      <c r="U184" s="1" t="e">
        <f aca="false">IF(ISBLANK(INDEX(big_daily_table,MATCH(DATE(U$5,$J184,$I184),daily_dates,0),MATCH($B$3,daily_items,0))),NA(),INDEX(big_daily_table,MATCH(DATE(U$5,$J184,$I184),daily_dates,0),MATCH($B$3,daily_items,0)))</f>
        <v>#N/A</v>
      </c>
      <c r="V184" s="1" t="e">
        <f aca="false">IF(ISBLANK(INDEX(big_daily_table,MATCH(DATE(V$5,$J184,$I184),daily_dates,0),MATCH($B$3,daily_items,0))),NA(),INDEX(big_daily_table,MATCH(DATE(V$5,$J184,$I184),daily_dates,0),MATCH($B$3,daily_items,0)))</f>
        <v>#N/A</v>
      </c>
      <c r="W184" s="1" t="e">
        <f aca="false">IF(ISBLANK(INDEX(big_daily_table,MATCH(DATE(W$5,$J184,$I184),daily_dates,0),MATCH($B$3,daily_items,0))),NA(),INDEX(big_daily_table,MATCH(DATE(W$5,$J184,$I184),daily_dates,0),MATCH($B$3,daily_items,0)))</f>
        <v>#N/A</v>
      </c>
      <c r="X184" s="1" t="e">
        <f aca="false">IF(ISBLANK(INDEX(big_daily_table,MATCH(DATE(X$5,$J184,$I184),daily_dates,0),MATCH($B$3,daily_items,0))),NA(),INDEX(big_daily_table,MATCH(DATE(X$5,$J184,$I184),daily_dates,0),MATCH($B$3,daily_items,0)))</f>
        <v>#N/A</v>
      </c>
      <c r="Y184" s="1" t="e">
        <f aca="false">IF(ISBLANK(INDEX(big_daily_table,MATCH(DATE(Y$5,$J184,$I184),daily_dates,0),MATCH($B$3,daily_items,0))),NA(),INDEX(big_daily_table,MATCH(DATE(Y$5,$J184,$I184),daily_dates,0),MATCH($B$3,daily_items,0)))</f>
        <v>#N/A</v>
      </c>
      <c r="Z184" s="1" t="n">
        <f aca="true">_xlfn.AGGREGATE(5,6,OFFSET($R$5,H184,0,1,$J$2))</f>
        <v>0</v>
      </c>
      <c r="AA184" s="1" t="n">
        <f aca="true">_xlfn.AGGREGATE(4,6,OFFSET($R$5,H184,0,1,$J$2))</f>
        <v>0</v>
      </c>
      <c r="AB184" s="1" t="n">
        <f aca="false">AA184-Z184</f>
        <v>0</v>
      </c>
      <c r="AC184" s="1" t="e">
        <f aca="true">_xlfn.AGGREGATE(1,6,OFFSET($R$5,H184,0,1,$J$2))</f>
        <v>#DIV/0!</v>
      </c>
    </row>
    <row r="185" customFormat="false" ht="14.25" hidden="false" customHeight="false" outlineLevel="0" collapsed="false">
      <c r="H185" s="1" t="n">
        <f aca="false">H184+1</f>
        <v>180</v>
      </c>
      <c r="I185" s="1" t="n">
        <f aca="false">DAY(K185)</f>
        <v>28</v>
      </c>
      <c r="J185" s="1" t="n">
        <f aca="false">MONTH(K185)</f>
        <v>6</v>
      </c>
      <c r="K185" s="23" t="n">
        <f aca="false">K184+1</f>
        <v>36705</v>
      </c>
      <c r="L185" s="24" t="n">
        <f aca="true">IF(TODAY()&lt;DATE($N$5,J185,I185),1000000,-1000000)</f>
        <v>-1000000</v>
      </c>
      <c r="M185" s="1" t="e">
        <f aca="false">IF(K185&gt;0,INDEX(big_daily_table,MATCH(DATE(N$5,$J185,$I185),daily_dates,0),MATCH($B$3,daily_items,0)),NA())</f>
        <v>#N/A</v>
      </c>
      <c r="N185" s="1" t="e">
        <f aca="false">IF(L185&lt;0,INDEX(big_daily_table,MATCH(DATE(N$5,$J185,$I185),daily_dates,0),MATCH($B$3,daily_items,0)),NA())</f>
        <v>#N/A</v>
      </c>
      <c r="O185" s="1" t="e">
        <f aca="false">IF(ISBLANK(INDEX(big_daily_table,MATCH(DATE(O$5,$J185,$I185),daily_dates,0),MATCH($B$3,daily_items,0))),NA(),INDEX(big_daily_table,MATCH(DATE(O$5,$J185,$I185),daily_dates,0),MATCH($B$3,daily_items,0)))</f>
        <v>#N/A</v>
      </c>
      <c r="P185" s="1" t="e">
        <f aca="false">IF(ISBLANK(INDEX(big_daily_table,MATCH(DATE(P$5,$J185,$I185),daily_dates,0),MATCH($B$3,daily_items,0))),NA(),INDEX(big_daily_table,MATCH(DATE(P$5,$J185,$I185),daily_dates,0),MATCH($B$3,daily_items,0)))</f>
        <v>#N/A</v>
      </c>
      <c r="Q185" s="1" t="e">
        <f aca="false">IF(ISBLANK(INDEX(big_daily_table,MATCH(DATE(Q$5,$J185,$I185),daily_dates,0),MATCH($B$3,daily_items,0))),NA(),INDEX(big_daily_table,MATCH(DATE(Q$5,$J185,$I185),daily_dates,0),MATCH($B$3,daily_items,0)))</f>
        <v>#N/A</v>
      </c>
      <c r="R185" s="1" t="e">
        <f aca="false">IF(ISBLANK(INDEX(big_daily_table,MATCH(DATE(R$5,$J185,$I185),daily_dates,0),MATCH($B$3,daily_items,0))),NA(),INDEX(big_daily_table,MATCH(DATE(R$5,$J185,$I185),daily_dates,0),MATCH($B$3,daily_items,0)))</f>
        <v>#N/A</v>
      </c>
      <c r="S185" s="1" t="e">
        <f aca="false">IF(ISBLANK(INDEX(big_daily_table,MATCH(DATE(S$5,$J185,$I185),daily_dates,0),MATCH($B$3,daily_items,0))),NA(),INDEX(big_daily_table,MATCH(DATE(S$5,$J185,$I185),daily_dates,0),MATCH($B$3,daily_items,0)))</f>
        <v>#N/A</v>
      </c>
      <c r="T185" s="1" t="e">
        <f aca="false">IF(ISBLANK(INDEX(big_daily_table,MATCH(DATE(T$5,$J185,$I185),daily_dates,0),MATCH($B$3,daily_items,0))),NA(),INDEX(big_daily_table,MATCH(DATE(T$5,$J185,$I185),daily_dates,0),MATCH($B$3,daily_items,0)))</f>
        <v>#N/A</v>
      </c>
      <c r="U185" s="1" t="e">
        <f aca="false">IF(ISBLANK(INDEX(big_daily_table,MATCH(DATE(U$5,$J185,$I185),daily_dates,0),MATCH($B$3,daily_items,0))),NA(),INDEX(big_daily_table,MATCH(DATE(U$5,$J185,$I185),daily_dates,0),MATCH($B$3,daily_items,0)))</f>
        <v>#N/A</v>
      </c>
      <c r="V185" s="1" t="e">
        <f aca="false">IF(ISBLANK(INDEX(big_daily_table,MATCH(DATE(V$5,$J185,$I185),daily_dates,0),MATCH($B$3,daily_items,0))),NA(),INDEX(big_daily_table,MATCH(DATE(V$5,$J185,$I185),daily_dates,0),MATCH($B$3,daily_items,0)))</f>
        <v>#N/A</v>
      </c>
      <c r="W185" s="1" t="e">
        <f aca="false">IF(ISBLANK(INDEX(big_daily_table,MATCH(DATE(W$5,$J185,$I185),daily_dates,0),MATCH($B$3,daily_items,0))),NA(),INDEX(big_daily_table,MATCH(DATE(W$5,$J185,$I185),daily_dates,0),MATCH($B$3,daily_items,0)))</f>
        <v>#N/A</v>
      </c>
      <c r="X185" s="1" t="e">
        <f aca="false">IF(ISBLANK(INDEX(big_daily_table,MATCH(DATE(X$5,$J185,$I185),daily_dates,0),MATCH($B$3,daily_items,0))),NA(),INDEX(big_daily_table,MATCH(DATE(X$5,$J185,$I185),daily_dates,0),MATCH($B$3,daily_items,0)))</f>
        <v>#N/A</v>
      </c>
      <c r="Y185" s="1" t="e">
        <f aca="false">IF(ISBLANK(INDEX(big_daily_table,MATCH(DATE(Y$5,$J185,$I185),daily_dates,0),MATCH($B$3,daily_items,0))),NA(),INDEX(big_daily_table,MATCH(DATE(Y$5,$J185,$I185),daily_dates,0),MATCH($B$3,daily_items,0)))</f>
        <v>#N/A</v>
      </c>
      <c r="Z185" s="1" t="n">
        <f aca="true">_xlfn.AGGREGATE(5,6,OFFSET($R$5,H185,0,1,$J$2))</f>
        <v>0</v>
      </c>
      <c r="AA185" s="1" t="n">
        <f aca="true">_xlfn.AGGREGATE(4,6,OFFSET($R$5,H185,0,1,$J$2))</f>
        <v>0</v>
      </c>
      <c r="AB185" s="1" t="n">
        <f aca="false">AA185-Z185</f>
        <v>0</v>
      </c>
      <c r="AC185" s="1" t="e">
        <f aca="true">_xlfn.AGGREGATE(1,6,OFFSET($R$5,H185,0,1,$J$2))</f>
        <v>#DIV/0!</v>
      </c>
    </row>
    <row r="186" customFormat="false" ht="14.25" hidden="false" customHeight="false" outlineLevel="0" collapsed="false">
      <c r="H186" s="1" t="n">
        <f aca="false">H185+1</f>
        <v>181</v>
      </c>
      <c r="I186" s="1" t="n">
        <f aca="false">DAY(K186)</f>
        <v>29</v>
      </c>
      <c r="J186" s="1" t="n">
        <f aca="false">MONTH(K186)</f>
        <v>6</v>
      </c>
      <c r="K186" s="23" t="n">
        <f aca="false">K185+1</f>
        <v>36706</v>
      </c>
      <c r="L186" s="24" t="n">
        <f aca="true">IF(TODAY()&lt;DATE($N$5,J186,I186),1000000,-1000000)</f>
        <v>-1000000</v>
      </c>
      <c r="M186" s="1" t="e">
        <f aca="false">IF(K186&gt;0,INDEX(big_daily_table,MATCH(DATE(N$5,$J186,$I186),daily_dates,0),MATCH($B$3,daily_items,0)),NA())</f>
        <v>#N/A</v>
      </c>
      <c r="N186" s="1" t="e">
        <f aca="false">IF(L186&lt;0,INDEX(big_daily_table,MATCH(DATE(N$5,$J186,$I186),daily_dates,0),MATCH($B$3,daily_items,0)),NA())</f>
        <v>#N/A</v>
      </c>
      <c r="O186" s="1" t="e">
        <f aca="false">IF(ISBLANK(INDEX(big_daily_table,MATCH(DATE(O$5,$J186,$I186),daily_dates,0),MATCH($B$3,daily_items,0))),NA(),INDEX(big_daily_table,MATCH(DATE(O$5,$J186,$I186),daily_dates,0),MATCH($B$3,daily_items,0)))</f>
        <v>#N/A</v>
      </c>
      <c r="P186" s="1" t="e">
        <f aca="false">IF(ISBLANK(INDEX(big_daily_table,MATCH(DATE(P$5,$J186,$I186),daily_dates,0),MATCH($B$3,daily_items,0))),NA(),INDEX(big_daily_table,MATCH(DATE(P$5,$J186,$I186),daily_dates,0),MATCH($B$3,daily_items,0)))</f>
        <v>#N/A</v>
      </c>
      <c r="Q186" s="1" t="e">
        <f aca="false">IF(ISBLANK(INDEX(big_daily_table,MATCH(DATE(Q$5,$J186,$I186),daily_dates,0),MATCH($B$3,daily_items,0))),NA(),INDEX(big_daily_table,MATCH(DATE(Q$5,$J186,$I186),daily_dates,0),MATCH($B$3,daily_items,0)))</f>
        <v>#N/A</v>
      </c>
      <c r="R186" s="1" t="e">
        <f aca="false">IF(ISBLANK(INDEX(big_daily_table,MATCH(DATE(R$5,$J186,$I186),daily_dates,0),MATCH($B$3,daily_items,0))),NA(),INDEX(big_daily_table,MATCH(DATE(R$5,$J186,$I186),daily_dates,0),MATCH($B$3,daily_items,0)))</f>
        <v>#N/A</v>
      </c>
      <c r="S186" s="1" t="e">
        <f aca="false">IF(ISBLANK(INDEX(big_daily_table,MATCH(DATE(S$5,$J186,$I186),daily_dates,0),MATCH($B$3,daily_items,0))),NA(),INDEX(big_daily_table,MATCH(DATE(S$5,$J186,$I186),daily_dates,0),MATCH($B$3,daily_items,0)))</f>
        <v>#N/A</v>
      </c>
      <c r="T186" s="1" t="e">
        <f aca="false">IF(ISBLANK(INDEX(big_daily_table,MATCH(DATE(T$5,$J186,$I186),daily_dates,0),MATCH($B$3,daily_items,0))),NA(),INDEX(big_daily_table,MATCH(DATE(T$5,$J186,$I186),daily_dates,0),MATCH($B$3,daily_items,0)))</f>
        <v>#N/A</v>
      </c>
      <c r="U186" s="1" t="e">
        <f aca="false">IF(ISBLANK(INDEX(big_daily_table,MATCH(DATE(U$5,$J186,$I186),daily_dates,0),MATCH($B$3,daily_items,0))),NA(),INDEX(big_daily_table,MATCH(DATE(U$5,$J186,$I186),daily_dates,0),MATCH($B$3,daily_items,0)))</f>
        <v>#N/A</v>
      </c>
      <c r="V186" s="1" t="e">
        <f aca="false">IF(ISBLANK(INDEX(big_daily_table,MATCH(DATE(V$5,$J186,$I186),daily_dates,0),MATCH($B$3,daily_items,0))),NA(),INDEX(big_daily_table,MATCH(DATE(V$5,$J186,$I186),daily_dates,0),MATCH($B$3,daily_items,0)))</f>
        <v>#N/A</v>
      </c>
      <c r="W186" s="1" t="e">
        <f aca="false">IF(ISBLANK(INDEX(big_daily_table,MATCH(DATE(W$5,$J186,$I186),daily_dates,0),MATCH($B$3,daily_items,0))),NA(),INDEX(big_daily_table,MATCH(DATE(W$5,$J186,$I186),daily_dates,0),MATCH($B$3,daily_items,0)))</f>
        <v>#N/A</v>
      </c>
      <c r="X186" s="1" t="e">
        <f aca="false">IF(ISBLANK(INDEX(big_daily_table,MATCH(DATE(X$5,$J186,$I186),daily_dates,0),MATCH($B$3,daily_items,0))),NA(),INDEX(big_daily_table,MATCH(DATE(X$5,$J186,$I186),daily_dates,0),MATCH($B$3,daily_items,0)))</f>
        <v>#N/A</v>
      </c>
      <c r="Y186" s="1" t="e">
        <f aca="false">IF(ISBLANK(INDEX(big_daily_table,MATCH(DATE(Y$5,$J186,$I186),daily_dates,0),MATCH($B$3,daily_items,0))),NA(),INDEX(big_daily_table,MATCH(DATE(Y$5,$J186,$I186),daily_dates,0),MATCH($B$3,daily_items,0)))</f>
        <v>#N/A</v>
      </c>
      <c r="Z186" s="1" t="n">
        <f aca="true">_xlfn.AGGREGATE(5,6,OFFSET($R$5,H186,0,1,$J$2))</f>
        <v>0</v>
      </c>
      <c r="AA186" s="1" t="n">
        <f aca="true">_xlfn.AGGREGATE(4,6,OFFSET($R$5,H186,0,1,$J$2))</f>
        <v>0</v>
      </c>
      <c r="AB186" s="1" t="n">
        <f aca="false">AA186-Z186</f>
        <v>0</v>
      </c>
      <c r="AC186" s="1" t="e">
        <f aca="true">_xlfn.AGGREGATE(1,6,OFFSET($R$5,H186,0,1,$J$2))</f>
        <v>#DIV/0!</v>
      </c>
    </row>
    <row r="187" customFormat="false" ht="14.25" hidden="false" customHeight="false" outlineLevel="0" collapsed="false">
      <c r="H187" s="1" t="n">
        <f aca="false">H186+1</f>
        <v>182</v>
      </c>
      <c r="I187" s="1" t="n">
        <f aca="false">DAY(K187)</f>
        <v>30</v>
      </c>
      <c r="J187" s="1" t="n">
        <f aca="false">MONTH(K187)</f>
        <v>6</v>
      </c>
      <c r="K187" s="23" t="n">
        <f aca="false">K186+1</f>
        <v>36707</v>
      </c>
      <c r="L187" s="24" t="n">
        <f aca="true">IF(TODAY()&lt;DATE($N$5,J187,I187),1000000,-1000000)</f>
        <v>-1000000</v>
      </c>
      <c r="M187" s="1" t="e">
        <f aca="false">IF(K187&gt;0,INDEX(big_daily_table,MATCH(DATE(N$5,$J187,$I187),daily_dates,0),MATCH($B$3,daily_items,0)),NA())</f>
        <v>#N/A</v>
      </c>
      <c r="N187" s="1" t="e">
        <f aca="false">IF(L187&lt;0,INDEX(big_daily_table,MATCH(DATE(N$5,$J187,$I187),daily_dates,0),MATCH($B$3,daily_items,0)),NA())</f>
        <v>#N/A</v>
      </c>
      <c r="O187" s="1" t="e">
        <f aca="false">IF(ISBLANK(INDEX(big_daily_table,MATCH(DATE(O$5,$J187,$I187),daily_dates,0),MATCH($B$3,daily_items,0))),NA(),INDEX(big_daily_table,MATCH(DATE(O$5,$J187,$I187),daily_dates,0),MATCH($B$3,daily_items,0)))</f>
        <v>#N/A</v>
      </c>
      <c r="P187" s="1" t="e">
        <f aca="false">IF(ISBLANK(INDEX(big_daily_table,MATCH(DATE(P$5,$J187,$I187),daily_dates,0),MATCH($B$3,daily_items,0))),NA(),INDEX(big_daily_table,MATCH(DATE(P$5,$J187,$I187),daily_dates,0),MATCH($B$3,daily_items,0)))</f>
        <v>#N/A</v>
      </c>
      <c r="Q187" s="1" t="e">
        <f aca="false">IF(ISBLANK(INDEX(big_daily_table,MATCH(DATE(Q$5,$J187,$I187),daily_dates,0),MATCH($B$3,daily_items,0))),NA(),INDEX(big_daily_table,MATCH(DATE(Q$5,$J187,$I187),daily_dates,0),MATCH($B$3,daily_items,0)))</f>
        <v>#N/A</v>
      </c>
      <c r="R187" s="1" t="e">
        <f aca="false">IF(ISBLANK(INDEX(big_daily_table,MATCH(DATE(R$5,$J187,$I187),daily_dates,0),MATCH($B$3,daily_items,0))),NA(),INDEX(big_daily_table,MATCH(DATE(R$5,$J187,$I187),daily_dates,0),MATCH($B$3,daily_items,0)))</f>
        <v>#N/A</v>
      </c>
      <c r="S187" s="1" t="e">
        <f aca="false">IF(ISBLANK(INDEX(big_daily_table,MATCH(DATE(S$5,$J187,$I187),daily_dates,0),MATCH($B$3,daily_items,0))),NA(),INDEX(big_daily_table,MATCH(DATE(S$5,$J187,$I187),daily_dates,0),MATCH($B$3,daily_items,0)))</f>
        <v>#N/A</v>
      </c>
      <c r="T187" s="1" t="e">
        <f aca="false">IF(ISBLANK(INDEX(big_daily_table,MATCH(DATE(T$5,$J187,$I187),daily_dates,0),MATCH($B$3,daily_items,0))),NA(),INDEX(big_daily_table,MATCH(DATE(T$5,$J187,$I187),daily_dates,0),MATCH($B$3,daily_items,0)))</f>
        <v>#N/A</v>
      </c>
      <c r="U187" s="1" t="e">
        <f aca="false">IF(ISBLANK(INDEX(big_daily_table,MATCH(DATE(U$5,$J187,$I187),daily_dates,0),MATCH($B$3,daily_items,0))),NA(),INDEX(big_daily_table,MATCH(DATE(U$5,$J187,$I187),daily_dates,0),MATCH($B$3,daily_items,0)))</f>
        <v>#N/A</v>
      </c>
      <c r="V187" s="1" t="e">
        <f aca="false">IF(ISBLANK(INDEX(big_daily_table,MATCH(DATE(V$5,$J187,$I187),daily_dates,0),MATCH($B$3,daily_items,0))),NA(),INDEX(big_daily_table,MATCH(DATE(V$5,$J187,$I187),daily_dates,0),MATCH($B$3,daily_items,0)))</f>
        <v>#N/A</v>
      </c>
      <c r="W187" s="1" t="e">
        <f aca="false">IF(ISBLANK(INDEX(big_daily_table,MATCH(DATE(W$5,$J187,$I187),daily_dates,0),MATCH($B$3,daily_items,0))),NA(),INDEX(big_daily_table,MATCH(DATE(W$5,$J187,$I187),daily_dates,0),MATCH($B$3,daily_items,0)))</f>
        <v>#N/A</v>
      </c>
      <c r="X187" s="1" t="e">
        <f aca="false">IF(ISBLANK(INDEX(big_daily_table,MATCH(DATE(X$5,$J187,$I187),daily_dates,0),MATCH($B$3,daily_items,0))),NA(),INDEX(big_daily_table,MATCH(DATE(X$5,$J187,$I187),daily_dates,0),MATCH($B$3,daily_items,0)))</f>
        <v>#N/A</v>
      </c>
      <c r="Y187" s="1" t="e">
        <f aca="false">IF(ISBLANK(INDEX(big_daily_table,MATCH(DATE(Y$5,$J187,$I187),daily_dates,0),MATCH($B$3,daily_items,0))),NA(),INDEX(big_daily_table,MATCH(DATE(Y$5,$J187,$I187),daily_dates,0),MATCH($B$3,daily_items,0)))</f>
        <v>#N/A</v>
      </c>
      <c r="Z187" s="1" t="n">
        <f aca="true">_xlfn.AGGREGATE(5,6,OFFSET($R$5,H187,0,1,$J$2))</f>
        <v>0</v>
      </c>
      <c r="AA187" s="1" t="n">
        <f aca="true">_xlfn.AGGREGATE(4,6,OFFSET($R$5,H187,0,1,$J$2))</f>
        <v>0</v>
      </c>
      <c r="AB187" s="1" t="n">
        <f aca="false">AA187-Z187</f>
        <v>0</v>
      </c>
      <c r="AC187" s="1" t="e">
        <f aca="true">_xlfn.AGGREGATE(1,6,OFFSET($R$5,H187,0,1,$J$2))</f>
        <v>#DIV/0!</v>
      </c>
    </row>
    <row r="188" customFormat="false" ht="14.25" hidden="false" customHeight="false" outlineLevel="0" collapsed="false">
      <c r="H188" s="1" t="n">
        <f aca="false">H187+1</f>
        <v>183</v>
      </c>
      <c r="I188" s="1" t="n">
        <f aca="false">DAY(K188)</f>
        <v>1</v>
      </c>
      <c r="J188" s="1" t="n">
        <f aca="false">MONTH(K188)</f>
        <v>7</v>
      </c>
      <c r="K188" s="23" t="n">
        <f aca="false">K187+1</f>
        <v>36708</v>
      </c>
      <c r="L188" s="24" t="n">
        <f aca="true">IF(TODAY()&lt;DATE($N$5,J188,I188),1000000,-1000000)</f>
        <v>-1000000</v>
      </c>
      <c r="M188" s="1" t="e">
        <f aca="false">IF(K188&gt;0,INDEX(big_daily_table,MATCH(DATE(N$5,$J188,$I188),daily_dates,0),MATCH($B$3,daily_items,0)),NA())</f>
        <v>#N/A</v>
      </c>
      <c r="N188" s="1" t="e">
        <f aca="false">IF(L188&lt;0,INDEX(big_daily_table,MATCH(DATE(N$5,$J188,$I188),daily_dates,0),MATCH($B$3,daily_items,0)),NA())</f>
        <v>#N/A</v>
      </c>
      <c r="O188" s="1" t="e">
        <f aca="false">IF(ISBLANK(INDEX(big_daily_table,MATCH(DATE(O$5,$J188,$I188),daily_dates,0),MATCH($B$3,daily_items,0))),NA(),INDEX(big_daily_table,MATCH(DATE(O$5,$J188,$I188),daily_dates,0),MATCH($B$3,daily_items,0)))</f>
        <v>#N/A</v>
      </c>
      <c r="P188" s="1" t="e">
        <f aca="false">IF(ISBLANK(INDEX(big_daily_table,MATCH(DATE(P$5,$J188,$I188),daily_dates,0),MATCH($B$3,daily_items,0))),NA(),INDEX(big_daily_table,MATCH(DATE(P$5,$J188,$I188),daily_dates,0),MATCH($B$3,daily_items,0)))</f>
        <v>#N/A</v>
      </c>
      <c r="Q188" s="1" t="e">
        <f aca="false">IF(ISBLANK(INDEX(big_daily_table,MATCH(DATE(Q$5,$J188,$I188),daily_dates,0),MATCH($B$3,daily_items,0))),NA(),INDEX(big_daily_table,MATCH(DATE(Q$5,$J188,$I188),daily_dates,0),MATCH($B$3,daily_items,0)))</f>
        <v>#N/A</v>
      </c>
      <c r="R188" s="1" t="e">
        <f aca="false">IF(ISBLANK(INDEX(big_daily_table,MATCH(DATE(R$5,$J188,$I188),daily_dates,0),MATCH($B$3,daily_items,0))),NA(),INDEX(big_daily_table,MATCH(DATE(R$5,$J188,$I188),daily_dates,0),MATCH($B$3,daily_items,0)))</f>
        <v>#N/A</v>
      </c>
      <c r="S188" s="1" t="e">
        <f aca="false">IF(ISBLANK(INDEX(big_daily_table,MATCH(DATE(S$5,$J188,$I188),daily_dates,0),MATCH($B$3,daily_items,0))),NA(),INDEX(big_daily_table,MATCH(DATE(S$5,$J188,$I188),daily_dates,0),MATCH($B$3,daily_items,0)))</f>
        <v>#N/A</v>
      </c>
      <c r="T188" s="1" t="e">
        <f aca="false">IF(ISBLANK(INDEX(big_daily_table,MATCH(DATE(T$5,$J188,$I188),daily_dates,0),MATCH($B$3,daily_items,0))),NA(),INDEX(big_daily_table,MATCH(DATE(T$5,$J188,$I188),daily_dates,0),MATCH($B$3,daily_items,0)))</f>
        <v>#N/A</v>
      </c>
      <c r="U188" s="1" t="e">
        <f aca="false">IF(ISBLANK(INDEX(big_daily_table,MATCH(DATE(U$5,$J188,$I188),daily_dates,0),MATCH($B$3,daily_items,0))),NA(),INDEX(big_daily_table,MATCH(DATE(U$5,$J188,$I188),daily_dates,0),MATCH($B$3,daily_items,0)))</f>
        <v>#N/A</v>
      </c>
      <c r="V188" s="1" t="e">
        <f aca="false">IF(ISBLANK(INDEX(big_daily_table,MATCH(DATE(V$5,$J188,$I188),daily_dates,0),MATCH($B$3,daily_items,0))),NA(),INDEX(big_daily_table,MATCH(DATE(V$5,$J188,$I188),daily_dates,0),MATCH($B$3,daily_items,0)))</f>
        <v>#N/A</v>
      </c>
      <c r="W188" s="1" t="e">
        <f aca="false">IF(ISBLANK(INDEX(big_daily_table,MATCH(DATE(W$5,$J188,$I188),daily_dates,0),MATCH($B$3,daily_items,0))),NA(),INDEX(big_daily_table,MATCH(DATE(W$5,$J188,$I188),daily_dates,0),MATCH($B$3,daily_items,0)))</f>
        <v>#N/A</v>
      </c>
      <c r="X188" s="1" t="e">
        <f aca="false">IF(ISBLANK(INDEX(big_daily_table,MATCH(DATE(X$5,$J188,$I188),daily_dates,0),MATCH($B$3,daily_items,0))),NA(),INDEX(big_daily_table,MATCH(DATE(X$5,$J188,$I188),daily_dates,0),MATCH($B$3,daily_items,0)))</f>
        <v>#N/A</v>
      </c>
      <c r="Y188" s="1" t="e">
        <f aca="false">IF(ISBLANK(INDEX(big_daily_table,MATCH(DATE(Y$5,$J188,$I188),daily_dates,0),MATCH($B$3,daily_items,0))),NA(),INDEX(big_daily_table,MATCH(DATE(Y$5,$J188,$I188),daily_dates,0),MATCH($B$3,daily_items,0)))</f>
        <v>#N/A</v>
      </c>
      <c r="Z188" s="1" t="n">
        <f aca="true">_xlfn.AGGREGATE(5,6,OFFSET($R$5,H188,0,1,$J$2))</f>
        <v>0</v>
      </c>
      <c r="AA188" s="1" t="n">
        <f aca="true">_xlfn.AGGREGATE(4,6,OFFSET($R$5,H188,0,1,$J$2))</f>
        <v>0</v>
      </c>
      <c r="AB188" s="1" t="n">
        <f aca="false">AA188-Z188</f>
        <v>0</v>
      </c>
      <c r="AC188" s="1" t="e">
        <f aca="true">_xlfn.AGGREGATE(1,6,OFFSET($R$5,H188,0,1,$J$2))</f>
        <v>#DIV/0!</v>
      </c>
    </row>
    <row r="189" customFormat="false" ht="14.25" hidden="false" customHeight="false" outlineLevel="0" collapsed="false">
      <c r="H189" s="1" t="n">
        <f aca="false">H188+1</f>
        <v>184</v>
      </c>
      <c r="I189" s="1" t="n">
        <f aca="false">DAY(K189)</f>
        <v>2</v>
      </c>
      <c r="J189" s="1" t="n">
        <f aca="false">MONTH(K189)</f>
        <v>7</v>
      </c>
      <c r="K189" s="23" t="n">
        <f aca="false">K188+1</f>
        <v>36709</v>
      </c>
      <c r="L189" s="24" t="n">
        <f aca="true">IF(TODAY()&lt;DATE($N$5,J189,I189),1000000,-1000000)</f>
        <v>-1000000</v>
      </c>
      <c r="M189" s="1" t="e">
        <f aca="false">IF(K189&gt;0,INDEX(big_daily_table,MATCH(DATE(N$5,$J189,$I189),daily_dates,0),MATCH($B$3,daily_items,0)),NA())</f>
        <v>#N/A</v>
      </c>
      <c r="N189" s="1" t="e">
        <f aca="false">IF(L189&lt;0,INDEX(big_daily_table,MATCH(DATE(N$5,$J189,$I189),daily_dates,0),MATCH($B$3,daily_items,0)),NA())</f>
        <v>#N/A</v>
      </c>
      <c r="O189" s="1" t="e">
        <f aca="false">IF(ISBLANK(INDEX(big_daily_table,MATCH(DATE(O$5,$J189,$I189),daily_dates,0),MATCH($B$3,daily_items,0))),NA(),INDEX(big_daily_table,MATCH(DATE(O$5,$J189,$I189),daily_dates,0),MATCH($B$3,daily_items,0)))</f>
        <v>#N/A</v>
      </c>
      <c r="P189" s="1" t="e">
        <f aca="false">IF(ISBLANK(INDEX(big_daily_table,MATCH(DATE(P$5,$J189,$I189),daily_dates,0),MATCH($B$3,daily_items,0))),NA(),INDEX(big_daily_table,MATCH(DATE(P$5,$J189,$I189),daily_dates,0),MATCH($B$3,daily_items,0)))</f>
        <v>#N/A</v>
      </c>
      <c r="Q189" s="1" t="e">
        <f aca="false">IF(ISBLANK(INDEX(big_daily_table,MATCH(DATE(Q$5,$J189,$I189),daily_dates,0),MATCH($B$3,daily_items,0))),NA(),INDEX(big_daily_table,MATCH(DATE(Q$5,$J189,$I189),daily_dates,0),MATCH($B$3,daily_items,0)))</f>
        <v>#N/A</v>
      </c>
      <c r="R189" s="1" t="e">
        <f aca="false">IF(ISBLANK(INDEX(big_daily_table,MATCH(DATE(R$5,$J189,$I189),daily_dates,0),MATCH($B$3,daily_items,0))),NA(),INDEX(big_daily_table,MATCH(DATE(R$5,$J189,$I189),daily_dates,0),MATCH($B$3,daily_items,0)))</f>
        <v>#N/A</v>
      </c>
      <c r="S189" s="1" t="e">
        <f aca="false">IF(ISBLANK(INDEX(big_daily_table,MATCH(DATE(S$5,$J189,$I189),daily_dates,0),MATCH($B$3,daily_items,0))),NA(),INDEX(big_daily_table,MATCH(DATE(S$5,$J189,$I189),daily_dates,0),MATCH($B$3,daily_items,0)))</f>
        <v>#N/A</v>
      </c>
      <c r="T189" s="1" t="e">
        <f aca="false">IF(ISBLANK(INDEX(big_daily_table,MATCH(DATE(T$5,$J189,$I189),daily_dates,0),MATCH($B$3,daily_items,0))),NA(),INDEX(big_daily_table,MATCH(DATE(T$5,$J189,$I189),daily_dates,0),MATCH($B$3,daily_items,0)))</f>
        <v>#N/A</v>
      </c>
      <c r="U189" s="1" t="e">
        <f aca="false">IF(ISBLANK(INDEX(big_daily_table,MATCH(DATE(U$5,$J189,$I189),daily_dates,0),MATCH($B$3,daily_items,0))),NA(),INDEX(big_daily_table,MATCH(DATE(U$5,$J189,$I189),daily_dates,0),MATCH($B$3,daily_items,0)))</f>
        <v>#N/A</v>
      </c>
      <c r="V189" s="1" t="e">
        <f aca="false">IF(ISBLANK(INDEX(big_daily_table,MATCH(DATE(V$5,$J189,$I189),daily_dates,0),MATCH($B$3,daily_items,0))),NA(),INDEX(big_daily_table,MATCH(DATE(V$5,$J189,$I189),daily_dates,0),MATCH($B$3,daily_items,0)))</f>
        <v>#N/A</v>
      </c>
      <c r="W189" s="1" t="e">
        <f aca="false">IF(ISBLANK(INDEX(big_daily_table,MATCH(DATE(W$5,$J189,$I189),daily_dates,0),MATCH($B$3,daily_items,0))),NA(),INDEX(big_daily_table,MATCH(DATE(W$5,$J189,$I189),daily_dates,0),MATCH($B$3,daily_items,0)))</f>
        <v>#N/A</v>
      </c>
      <c r="X189" s="1" t="e">
        <f aca="false">IF(ISBLANK(INDEX(big_daily_table,MATCH(DATE(X$5,$J189,$I189),daily_dates,0),MATCH($B$3,daily_items,0))),NA(),INDEX(big_daily_table,MATCH(DATE(X$5,$J189,$I189),daily_dates,0),MATCH($B$3,daily_items,0)))</f>
        <v>#N/A</v>
      </c>
      <c r="Y189" s="1" t="e">
        <f aca="false">IF(ISBLANK(INDEX(big_daily_table,MATCH(DATE(Y$5,$J189,$I189),daily_dates,0),MATCH($B$3,daily_items,0))),NA(),INDEX(big_daily_table,MATCH(DATE(Y$5,$J189,$I189),daily_dates,0),MATCH($B$3,daily_items,0)))</f>
        <v>#N/A</v>
      </c>
      <c r="Z189" s="1" t="n">
        <f aca="true">_xlfn.AGGREGATE(5,6,OFFSET($R$5,H189,0,1,$J$2))</f>
        <v>0</v>
      </c>
      <c r="AA189" s="1" t="n">
        <f aca="true">_xlfn.AGGREGATE(4,6,OFFSET($R$5,H189,0,1,$J$2))</f>
        <v>0</v>
      </c>
      <c r="AB189" s="1" t="n">
        <f aca="false">AA189-Z189</f>
        <v>0</v>
      </c>
      <c r="AC189" s="1" t="e">
        <f aca="true">_xlfn.AGGREGATE(1,6,OFFSET($R$5,H189,0,1,$J$2))</f>
        <v>#DIV/0!</v>
      </c>
    </row>
    <row r="190" customFormat="false" ht="14.25" hidden="false" customHeight="false" outlineLevel="0" collapsed="false">
      <c r="H190" s="1" t="n">
        <f aca="false">H189+1</f>
        <v>185</v>
      </c>
      <c r="I190" s="1" t="n">
        <f aca="false">DAY(K190)</f>
        <v>3</v>
      </c>
      <c r="J190" s="1" t="n">
        <f aca="false">MONTH(K190)</f>
        <v>7</v>
      </c>
      <c r="K190" s="23" t="n">
        <f aca="false">K189+1</f>
        <v>36710</v>
      </c>
      <c r="L190" s="24" t="n">
        <f aca="true">IF(TODAY()&lt;DATE($N$5,J190,I190),1000000,-1000000)</f>
        <v>-1000000</v>
      </c>
      <c r="M190" s="1" t="e">
        <f aca="false">IF(K190&gt;0,INDEX(big_daily_table,MATCH(DATE(N$5,$J190,$I190),daily_dates,0),MATCH($B$3,daily_items,0)),NA())</f>
        <v>#N/A</v>
      </c>
      <c r="N190" s="1" t="e">
        <f aca="false">IF(L190&lt;0,INDEX(big_daily_table,MATCH(DATE(N$5,$J190,$I190),daily_dates,0),MATCH($B$3,daily_items,0)),NA())</f>
        <v>#N/A</v>
      </c>
      <c r="O190" s="1" t="e">
        <f aca="false">IF(ISBLANK(INDEX(big_daily_table,MATCH(DATE(O$5,$J190,$I190),daily_dates,0),MATCH($B$3,daily_items,0))),NA(),INDEX(big_daily_table,MATCH(DATE(O$5,$J190,$I190),daily_dates,0),MATCH($B$3,daily_items,0)))</f>
        <v>#N/A</v>
      </c>
      <c r="P190" s="1" t="e">
        <f aca="false">IF(ISBLANK(INDEX(big_daily_table,MATCH(DATE(P$5,$J190,$I190),daily_dates,0),MATCH($B$3,daily_items,0))),NA(),INDEX(big_daily_table,MATCH(DATE(P$5,$J190,$I190),daily_dates,0),MATCH($B$3,daily_items,0)))</f>
        <v>#N/A</v>
      </c>
      <c r="Q190" s="1" t="e">
        <f aca="false">IF(ISBLANK(INDEX(big_daily_table,MATCH(DATE(Q$5,$J190,$I190),daily_dates,0),MATCH($B$3,daily_items,0))),NA(),INDEX(big_daily_table,MATCH(DATE(Q$5,$J190,$I190),daily_dates,0),MATCH($B$3,daily_items,0)))</f>
        <v>#N/A</v>
      </c>
      <c r="R190" s="1" t="e">
        <f aca="false">IF(ISBLANK(INDEX(big_daily_table,MATCH(DATE(R$5,$J190,$I190),daily_dates,0),MATCH($B$3,daily_items,0))),NA(),INDEX(big_daily_table,MATCH(DATE(R$5,$J190,$I190),daily_dates,0),MATCH($B$3,daily_items,0)))</f>
        <v>#N/A</v>
      </c>
      <c r="S190" s="1" t="e">
        <f aca="false">IF(ISBLANK(INDEX(big_daily_table,MATCH(DATE(S$5,$J190,$I190),daily_dates,0),MATCH($B$3,daily_items,0))),NA(),INDEX(big_daily_table,MATCH(DATE(S$5,$J190,$I190),daily_dates,0),MATCH($B$3,daily_items,0)))</f>
        <v>#N/A</v>
      </c>
      <c r="T190" s="1" t="e">
        <f aca="false">IF(ISBLANK(INDEX(big_daily_table,MATCH(DATE(T$5,$J190,$I190),daily_dates,0),MATCH($B$3,daily_items,0))),NA(),INDEX(big_daily_table,MATCH(DATE(T$5,$J190,$I190),daily_dates,0),MATCH($B$3,daily_items,0)))</f>
        <v>#N/A</v>
      </c>
      <c r="U190" s="1" t="e">
        <f aca="false">IF(ISBLANK(INDEX(big_daily_table,MATCH(DATE(U$5,$J190,$I190),daily_dates,0),MATCH($B$3,daily_items,0))),NA(),INDEX(big_daily_table,MATCH(DATE(U$5,$J190,$I190),daily_dates,0),MATCH($B$3,daily_items,0)))</f>
        <v>#N/A</v>
      </c>
      <c r="V190" s="1" t="e">
        <f aca="false">IF(ISBLANK(INDEX(big_daily_table,MATCH(DATE(V$5,$J190,$I190),daily_dates,0),MATCH($B$3,daily_items,0))),NA(),INDEX(big_daily_table,MATCH(DATE(V$5,$J190,$I190),daily_dates,0),MATCH($B$3,daily_items,0)))</f>
        <v>#N/A</v>
      </c>
      <c r="W190" s="1" t="e">
        <f aca="false">IF(ISBLANK(INDEX(big_daily_table,MATCH(DATE(W$5,$J190,$I190),daily_dates,0),MATCH($B$3,daily_items,0))),NA(),INDEX(big_daily_table,MATCH(DATE(W$5,$J190,$I190),daily_dates,0),MATCH($B$3,daily_items,0)))</f>
        <v>#N/A</v>
      </c>
      <c r="X190" s="1" t="e">
        <f aca="false">IF(ISBLANK(INDEX(big_daily_table,MATCH(DATE(X$5,$J190,$I190),daily_dates,0),MATCH($B$3,daily_items,0))),NA(),INDEX(big_daily_table,MATCH(DATE(X$5,$J190,$I190),daily_dates,0),MATCH($B$3,daily_items,0)))</f>
        <v>#N/A</v>
      </c>
      <c r="Y190" s="1" t="e">
        <f aca="false">IF(ISBLANK(INDEX(big_daily_table,MATCH(DATE(Y$5,$J190,$I190),daily_dates,0),MATCH($B$3,daily_items,0))),NA(),INDEX(big_daily_table,MATCH(DATE(Y$5,$J190,$I190),daily_dates,0),MATCH($B$3,daily_items,0)))</f>
        <v>#N/A</v>
      </c>
      <c r="Z190" s="1" t="n">
        <f aca="true">_xlfn.AGGREGATE(5,6,OFFSET($R$5,H190,0,1,$J$2))</f>
        <v>0</v>
      </c>
      <c r="AA190" s="1" t="n">
        <f aca="true">_xlfn.AGGREGATE(4,6,OFFSET($R$5,H190,0,1,$J$2))</f>
        <v>0</v>
      </c>
      <c r="AB190" s="1" t="n">
        <f aca="false">AA190-Z190</f>
        <v>0</v>
      </c>
      <c r="AC190" s="1" t="e">
        <f aca="true">_xlfn.AGGREGATE(1,6,OFFSET($R$5,H190,0,1,$J$2))</f>
        <v>#DIV/0!</v>
      </c>
    </row>
    <row r="191" customFormat="false" ht="14.25" hidden="false" customHeight="false" outlineLevel="0" collapsed="false">
      <c r="H191" s="1" t="n">
        <f aca="false">H190+1</f>
        <v>186</v>
      </c>
      <c r="I191" s="1" t="n">
        <f aca="false">DAY(K191)</f>
        <v>4</v>
      </c>
      <c r="J191" s="1" t="n">
        <f aca="false">MONTH(K191)</f>
        <v>7</v>
      </c>
      <c r="K191" s="23" t="n">
        <f aca="false">K190+1</f>
        <v>36711</v>
      </c>
      <c r="L191" s="24" t="n">
        <f aca="true">IF(TODAY()&lt;DATE($N$5,J191,I191),1000000,-1000000)</f>
        <v>-1000000</v>
      </c>
      <c r="M191" s="1" t="e">
        <f aca="false">IF(K191&gt;0,INDEX(big_daily_table,MATCH(DATE(N$5,$J191,$I191),daily_dates,0),MATCH($B$3,daily_items,0)),NA())</f>
        <v>#N/A</v>
      </c>
      <c r="N191" s="1" t="e">
        <f aca="false">IF(L191&lt;0,INDEX(big_daily_table,MATCH(DATE(N$5,$J191,$I191),daily_dates,0),MATCH($B$3,daily_items,0)),NA())</f>
        <v>#N/A</v>
      </c>
      <c r="O191" s="1" t="e">
        <f aca="false">IF(ISBLANK(INDEX(big_daily_table,MATCH(DATE(O$5,$J191,$I191),daily_dates,0),MATCH($B$3,daily_items,0))),NA(),INDEX(big_daily_table,MATCH(DATE(O$5,$J191,$I191),daily_dates,0),MATCH($B$3,daily_items,0)))</f>
        <v>#N/A</v>
      </c>
      <c r="P191" s="1" t="e">
        <f aca="false">IF(ISBLANK(INDEX(big_daily_table,MATCH(DATE(P$5,$J191,$I191),daily_dates,0),MATCH($B$3,daily_items,0))),NA(),INDEX(big_daily_table,MATCH(DATE(P$5,$J191,$I191),daily_dates,0),MATCH($B$3,daily_items,0)))</f>
        <v>#N/A</v>
      </c>
      <c r="Q191" s="1" t="e">
        <f aca="false">IF(ISBLANK(INDEX(big_daily_table,MATCH(DATE(Q$5,$J191,$I191),daily_dates,0),MATCH($B$3,daily_items,0))),NA(),INDEX(big_daily_table,MATCH(DATE(Q$5,$J191,$I191),daily_dates,0),MATCH($B$3,daily_items,0)))</f>
        <v>#N/A</v>
      </c>
      <c r="R191" s="1" t="e">
        <f aca="false">IF(ISBLANK(INDEX(big_daily_table,MATCH(DATE(R$5,$J191,$I191),daily_dates,0),MATCH($B$3,daily_items,0))),NA(),INDEX(big_daily_table,MATCH(DATE(R$5,$J191,$I191),daily_dates,0),MATCH($B$3,daily_items,0)))</f>
        <v>#N/A</v>
      </c>
      <c r="S191" s="1" t="e">
        <f aca="false">IF(ISBLANK(INDEX(big_daily_table,MATCH(DATE(S$5,$J191,$I191),daily_dates,0),MATCH($B$3,daily_items,0))),NA(),INDEX(big_daily_table,MATCH(DATE(S$5,$J191,$I191),daily_dates,0),MATCH($B$3,daily_items,0)))</f>
        <v>#N/A</v>
      </c>
      <c r="T191" s="1" t="e">
        <f aca="false">IF(ISBLANK(INDEX(big_daily_table,MATCH(DATE(T$5,$J191,$I191),daily_dates,0),MATCH($B$3,daily_items,0))),NA(),INDEX(big_daily_table,MATCH(DATE(T$5,$J191,$I191),daily_dates,0),MATCH($B$3,daily_items,0)))</f>
        <v>#N/A</v>
      </c>
      <c r="U191" s="1" t="e">
        <f aca="false">IF(ISBLANK(INDEX(big_daily_table,MATCH(DATE(U$5,$J191,$I191),daily_dates,0),MATCH($B$3,daily_items,0))),NA(),INDEX(big_daily_table,MATCH(DATE(U$5,$J191,$I191),daily_dates,0),MATCH($B$3,daily_items,0)))</f>
        <v>#N/A</v>
      </c>
      <c r="V191" s="1" t="e">
        <f aca="false">IF(ISBLANK(INDEX(big_daily_table,MATCH(DATE(V$5,$J191,$I191),daily_dates,0),MATCH($B$3,daily_items,0))),NA(),INDEX(big_daily_table,MATCH(DATE(V$5,$J191,$I191),daily_dates,0),MATCH($B$3,daily_items,0)))</f>
        <v>#N/A</v>
      </c>
      <c r="W191" s="1" t="e">
        <f aca="false">IF(ISBLANK(INDEX(big_daily_table,MATCH(DATE(W$5,$J191,$I191),daily_dates,0),MATCH($B$3,daily_items,0))),NA(),INDEX(big_daily_table,MATCH(DATE(W$5,$J191,$I191),daily_dates,0),MATCH($B$3,daily_items,0)))</f>
        <v>#N/A</v>
      </c>
      <c r="X191" s="1" t="e">
        <f aca="false">IF(ISBLANK(INDEX(big_daily_table,MATCH(DATE(X$5,$J191,$I191),daily_dates,0),MATCH($B$3,daily_items,0))),NA(),INDEX(big_daily_table,MATCH(DATE(X$5,$J191,$I191),daily_dates,0),MATCH($B$3,daily_items,0)))</f>
        <v>#N/A</v>
      </c>
      <c r="Y191" s="1" t="e">
        <f aca="false">IF(ISBLANK(INDEX(big_daily_table,MATCH(DATE(Y$5,$J191,$I191),daily_dates,0),MATCH($B$3,daily_items,0))),NA(),INDEX(big_daily_table,MATCH(DATE(Y$5,$J191,$I191),daily_dates,0),MATCH($B$3,daily_items,0)))</f>
        <v>#N/A</v>
      </c>
      <c r="Z191" s="1" t="n">
        <f aca="true">_xlfn.AGGREGATE(5,6,OFFSET($R$5,H191,0,1,$J$2))</f>
        <v>0</v>
      </c>
      <c r="AA191" s="1" t="n">
        <f aca="true">_xlfn.AGGREGATE(4,6,OFFSET($R$5,H191,0,1,$J$2))</f>
        <v>0</v>
      </c>
      <c r="AB191" s="1" t="n">
        <f aca="false">AA191-Z191</f>
        <v>0</v>
      </c>
      <c r="AC191" s="1" t="e">
        <f aca="true">_xlfn.AGGREGATE(1,6,OFFSET($R$5,H191,0,1,$J$2))</f>
        <v>#DIV/0!</v>
      </c>
    </row>
    <row r="192" customFormat="false" ht="14.25" hidden="false" customHeight="false" outlineLevel="0" collapsed="false">
      <c r="H192" s="1" t="n">
        <f aca="false">H191+1</f>
        <v>187</v>
      </c>
      <c r="I192" s="1" t="n">
        <f aca="false">DAY(K192)</f>
        <v>5</v>
      </c>
      <c r="J192" s="1" t="n">
        <f aca="false">MONTH(K192)</f>
        <v>7</v>
      </c>
      <c r="K192" s="23" t="n">
        <f aca="false">K191+1</f>
        <v>36712</v>
      </c>
      <c r="L192" s="24" t="n">
        <f aca="true">IF(TODAY()&lt;DATE($N$5,J192,I192),1000000,-1000000)</f>
        <v>-1000000</v>
      </c>
      <c r="M192" s="1" t="e">
        <f aca="false">IF(K192&gt;0,INDEX(big_daily_table,MATCH(DATE(N$5,$J192,$I192),daily_dates,0),MATCH($B$3,daily_items,0)),NA())</f>
        <v>#N/A</v>
      </c>
      <c r="N192" s="1" t="e">
        <f aca="false">IF(L192&lt;0,INDEX(big_daily_table,MATCH(DATE(N$5,$J192,$I192),daily_dates,0),MATCH($B$3,daily_items,0)),NA())</f>
        <v>#N/A</v>
      </c>
      <c r="O192" s="1" t="e">
        <f aca="false">IF(ISBLANK(INDEX(big_daily_table,MATCH(DATE(O$5,$J192,$I192),daily_dates,0),MATCH($B$3,daily_items,0))),NA(),INDEX(big_daily_table,MATCH(DATE(O$5,$J192,$I192),daily_dates,0),MATCH($B$3,daily_items,0)))</f>
        <v>#N/A</v>
      </c>
      <c r="P192" s="1" t="e">
        <f aca="false">IF(ISBLANK(INDEX(big_daily_table,MATCH(DATE(P$5,$J192,$I192),daily_dates,0),MATCH($B$3,daily_items,0))),NA(),INDEX(big_daily_table,MATCH(DATE(P$5,$J192,$I192),daily_dates,0),MATCH($B$3,daily_items,0)))</f>
        <v>#N/A</v>
      </c>
      <c r="Q192" s="1" t="e">
        <f aca="false">IF(ISBLANK(INDEX(big_daily_table,MATCH(DATE(Q$5,$J192,$I192),daily_dates,0),MATCH($B$3,daily_items,0))),NA(),INDEX(big_daily_table,MATCH(DATE(Q$5,$J192,$I192),daily_dates,0),MATCH($B$3,daily_items,0)))</f>
        <v>#N/A</v>
      </c>
      <c r="R192" s="1" t="e">
        <f aca="false">IF(ISBLANK(INDEX(big_daily_table,MATCH(DATE(R$5,$J192,$I192),daily_dates,0),MATCH($B$3,daily_items,0))),NA(),INDEX(big_daily_table,MATCH(DATE(R$5,$J192,$I192),daily_dates,0),MATCH($B$3,daily_items,0)))</f>
        <v>#N/A</v>
      </c>
      <c r="S192" s="1" t="e">
        <f aca="false">IF(ISBLANK(INDEX(big_daily_table,MATCH(DATE(S$5,$J192,$I192),daily_dates,0),MATCH($B$3,daily_items,0))),NA(),INDEX(big_daily_table,MATCH(DATE(S$5,$J192,$I192),daily_dates,0),MATCH($B$3,daily_items,0)))</f>
        <v>#N/A</v>
      </c>
      <c r="T192" s="1" t="e">
        <f aca="false">IF(ISBLANK(INDEX(big_daily_table,MATCH(DATE(T$5,$J192,$I192),daily_dates,0),MATCH($B$3,daily_items,0))),NA(),INDEX(big_daily_table,MATCH(DATE(T$5,$J192,$I192),daily_dates,0),MATCH($B$3,daily_items,0)))</f>
        <v>#N/A</v>
      </c>
      <c r="U192" s="1" t="e">
        <f aca="false">IF(ISBLANK(INDEX(big_daily_table,MATCH(DATE(U$5,$J192,$I192),daily_dates,0),MATCH($B$3,daily_items,0))),NA(),INDEX(big_daily_table,MATCH(DATE(U$5,$J192,$I192),daily_dates,0),MATCH($B$3,daily_items,0)))</f>
        <v>#N/A</v>
      </c>
      <c r="V192" s="1" t="e">
        <f aca="false">IF(ISBLANK(INDEX(big_daily_table,MATCH(DATE(V$5,$J192,$I192),daily_dates,0),MATCH($B$3,daily_items,0))),NA(),INDEX(big_daily_table,MATCH(DATE(V$5,$J192,$I192),daily_dates,0),MATCH($B$3,daily_items,0)))</f>
        <v>#N/A</v>
      </c>
      <c r="W192" s="1" t="e">
        <f aca="false">IF(ISBLANK(INDEX(big_daily_table,MATCH(DATE(W$5,$J192,$I192),daily_dates,0),MATCH($B$3,daily_items,0))),NA(),INDEX(big_daily_table,MATCH(DATE(W$5,$J192,$I192),daily_dates,0),MATCH($B$3,daily_items,0)))</f>
        <v>#N/A</v>
      </c>
      <c r="X192" s="1" t="e">
        <f aca="false">IF(ISBLANK(INDEX(big_daily_table,MATCH(DATE(X$5,$J192,$I192),daily_dates,0),MATCH($B$3,daily_items,0))),NA(),INDEX(big_daily_table,MATCH(DATE(X$5,$J192,$I192),daily_dates,0),MATCH($B$3,daily_items,0)))</f>
        <v>#N/A</v>
      </c>
      <c r="Y192" s="1" t="e">
        <f aca="false">IF(ISBLANK(INDEX(big_daily_table,MATCH(DATE(Y$5,$J192,$I192),daily_dates,0),MATCH($B$3,daily_items,0))),NA(),INDEX(big_daily_table,MATCH(DATE(Y$5,$J192,$I192),daily_dates,0),MATCH($B$3,daily_items,0)))</f>
        <v>#N/A</v>
      </c>
      <c r="Z192" s="1" t="n">
        <f aca="true">_xlfn.AGGREGATE(5,6,OFFSET($R$5,H192,0,1,$J$2))</f>
        <v>0</v>
      </c>
      <c r="AA192" s="1" t="n">
        <f aca="true">_xlfn.AGGREGATE(4,6,OFFSET($R$5,H192,0,1,$J$2))</f>
        <v>0</v>
      </c>
      <c r="AB192" s="1" t="n">
        <f aca="false">AA192-Z192</f>
        <v>0</v>
      </c>
      <c r="AC192" s="1" t="e">
        <f aca="true">_xlfn.AGGREGATE(1,6,OFFSET($R$5,H192,0,1,$J$2))</f>
        <v>#DIV/0!</v>
      </c>
    </row>
    <row r="193" customFormat="false" ht="14.25" hidden="false" customHeight="false" outlineLevel="0" collapsed="false">
      <c r="H193" s="1" t="n">
        <f aca="false">H192+1</f>
        <v>188</v>
      </c>
      <c r="I193" s="1" t="n">
        <f aca="false">DAY(K193)</f>
        <v>6</v>
      </c>
      <c r="J193" s="1" t="n">
        <f aca="false">MONTH(K193)</f>
        <v>7</v>
      </c>
      <c r="K193" s="23" t="n">
        <f aca="false">K192+1</f>
        <v>36713</v>
      </c>
      <c r="L193" s="24" t="n">
        <f aca="true">IF(TODAY()&lt;DATE($N$5,J193,I193),1000000,-1000000)</f>
        <v>-1000000</v>
      </c>
      <c r="M193" s="1" t="e">
        <f aca="false">IF(K193&gt;0,INDEX(big_daily_table,MATCH(DATE(N$5,$J193,$I193),daily_dates,0),MATCH($B$3,daily_items,0)),NA())</f>
        <v>#N/A</v>
      </c>
      <c r="N193" s="1" t="e">
        <f aca="false">IF(L193&lt;0,INDEX(big_daily_table,MATCH(DATE(N$5,$J193,$I193),daily_dates,0),MATCH($B$3,daily_items,0)),NA())</f>
        <v>#N/A</v>
      </c>
      <c r="O193" s="1" t="e">
        <f aca="false">IF(ISBLANK(INDEX(big_daily_table,MATCH(DATE(O$5,$J193,$I193),daily_dates,0),MATCH($B$3,daily_items,0))),NA(),INDEX(big_daily_table,MATCH(DATE(O$5,$J193,$I193),daily_dates,0),MATCH($B$3,daily_items,0)))</f>
        <v>#N/A</v>
      </c>
      <c r="P193" s="1" t="e">
        <f aca="false">IF(ISBLANK(INDEX(big_daily_table,MATCH(DATE(P$5,$J193,$I193),daily_dates,0),MATCH($B$3,daily_items,0))),NA(),INDEX(big_daily_table,MATCH(DATE(P$5,$J193,$I193),daily_dates,0),MATCH($B$3,daily_items,0)))</f>
        <v>#N/A</v>
      </c>
      <c r="Q193" s="1" t="e">
        <f aca="false">IF(ISBLANK(INDEX(big_daily_table,MATCH(DATE(Q$5,$J193,$I193),daily_dates,0),MATCH($B$3,daily_items,0))),NA(),INDEX(big_daily_table,MATCH(DATE(Q$5,$J193,$I193),daily_dates,0),MATCH($B$3,daily_items,0)))</f>
        <v>#N/A</v>
      </c>
      <c r="R193" s="1" t="e">
        <f aca="false">IF(ISBLANK(INDEX(big_daily_table,MATCH(DATE(R$5,$J193,$I193),daily_dates,0),MATCH($B$3,daily_items,0))),NA(),INDEX(big_daily_table,MATCH(DATE(R$5,$J193,$I193),daily_dates,0),MATCH($B$3,daily_items,0)))</f>
        <v>#N/A</v>
      </c>
      <c r="S193" s="1" t="e">
        <f aca="false">IF(ISBLANK(INDEX(big_daily_table,MATCH(DATE(S$5,$J193,$I193),daily_dates,0),MATCH($B$3,daily_items,0))),NA(),INDEX(big_daily_table,MATCH(DATE(S$5,$J193,$I193),daily_dates,0),MATCH($B$3,daily_items,0)))</f>
        <v>#N/A</v>
      </c>
      <c r="T193" s="1" t="e">
        <f aca="false">IF(ISBLANK(INDEX(big_daily_table,MATCH(DATE(T$5,$J193,$I193),daily_dates,0),MATCH($B$3,daily_items,0))),NA(),INDEX(big_daily_table,MATCH(DATE(T$5,$J193,$I193),daily_dates,0),MATCH($B$3,daily_items,0)))</f>
        <v>#N/A</v>
      </c>
      <c r="U193" s="1" t="e">
        <f aca="false">IF(ISBLANK(INDEX(big_daily_table,MATCH(DATE(U$5,$J193,$I193),daily_dates,0),MATCH($B$3,daily_items,0))),NA(),INDEX(big_daily_table,MATCH(DATE(U$5,$J193,$I193),daily_dates,0),MATCH($B$3,daily_items,0)))</f>
        <v>#N/A</v>
      </c>
      <c r="V193" s="1" t="e">
        <f aca="false">IF(ISBLANK(INDEX(big_daily_table,MATCH(DATE(V$5,$J193,$I193),daily_dates,0),MATCH($B$3,daily_items,0))),NA(),INDEX(big_daily_table,MATCH(DATE(V$5,$J193,$I193),daily_dates,0),MATCH($B$3,daily_items,0)))</f>
        <v>#N/A</v>
      </c>
      <c r="W193" s="1" t="e">
        <f aca="false">IF(ISBLANK(INDEX(big_daily_table,MATCH(DATE(W$5,$J193,$I193),daily_dates,0),MATCH($B$3,daily_items,0))),NA(),INDEX(big_daily_table,MATCH(DATE(W$5,$J193,$I193),daily_dates,0),MATCH($B$3,daily_items,0)))</f>
        <v>#N/A</v>
      </c>
      <c r="X193" s="1" t="e">
        <f aca="false">IF(ISBLANK(INDEX(big_daily_table,MATCH(DATE(X$5,$J193,$I193),daily_dates,0),MATCH($B$3,daily_items,0))),NA(),INDEX(big_daily_table,MATCH(DATE(X$5,$J193,$I193),daily_dates,0),MATCH($B$3,daily_items,0)))</f>
        <v>#N/A</v>
      </c>
      <c r="Y193" s="1" t="e">
        <f aca="false">IF(ISBLANK(INDEX(big_daily_table,MATCH(DATE(Y$5,$J193,$I193),daily_dates,0),MATCH($B$3,daily_items,0))),NA(),INDEX(big_daily_table,MATCH(DATE(Y$5,$J193,$I193),daily_dates,0),MATCH($B$3,daily_items,0)))</f>
        <v>#N/A</v>
      </c>
      <c r="Z193" s="1" t="n">
        <f aca="true">_xlfn.AGGREGATE(5,6,OFFSET($R$5,H193,0,1,$J$2))</f>
        <v>0</v>
      </c>
      <c r="AA193" s="1" t="n">
        <f aca="true">_xlfn.AGGREGATE(4,6,OFFSET($R$5,H193,0,1,$J$2))</f>
        <v>0</v>
      </c>
      <c r="AB193" s="1" t="n">
        <f aca="false">AA193-Z193</f>
        <v>0</v>
      </c>
      <c r="AC193" s="1" t="e">
        <f aca="true">_xlfn.AGGREGATE(1,6,OFFSET($R$5,H193,0,1,$J$2))</f>
        <v>#DIV/0!</v>
      </c>
    </row>
    <row r="194" customFormat="false" ht="14.25" hidden="false" customHeight="false" outlineLevel="0" collapsed="false">
      <c r="H194" s="1" t="n">
        <f aca="false">H193+1</f>
        <v>189</v>
      </c>
      <c r="I194" s="1" t="n">
        <f aca="false">DAY(K194)</f>
        <v>7</v>
      </c>
      <c r="J194" s="1" t="n">
        <f aca="false">MONTH(K194)</f>
        <v>7</v>
      </c>
      <c r="K194" s="23" t="n">
        <f aca="false">K193+1</f>
        <v>36714</v>
      </c>
      <c r="L194" s="24" t="n">
        <f aca="true">IF(TODAY()&lt;DATE($N$5,J194,I194),1000000,-1000000)</f>
        <v>-1000000</v>
      </c>
      <c r="M194" s="1" t="e">
        <f aca="false">IF(K194&gt;0,INDEX(big_daily_table,MATCH(DATE(N$5,$J194,$I194),daily_dates,0),MATCH($B$3,daily_items,0)),NA())</f>
        <v>#N/A</v>
      </c>
      <c r="N194" s="1" t="e">
        <f aca="false">IF(L194&lt;0,INDEX(big_daily_table,MATCH(DATE(N$5,$J194,$I194),daily_dates,0),MATCH($B$3,daily_items,0)),NA())</f>
        <v>#N/A</v>
      </c>
      <c r="O194" s="1" t="e">
        <f aca="false">IF(ISBLANK(INDEX(big_daily_table,MATCH(DATE(O$5,$J194,$I194),daily_dates,0),MATCH($B$3,daily_items,0))),NA(),INDEX(big_daily_table,MATCH(DATE(O$5,$J194,$I194),daily_dates,0),MATCH($B$3,daily_items,0)))</f>
        <v>#N/A</v>
      </c>
      <c r="P194" s="1" t="e">
        <f aca="false">IF(ISBLANK(INDEX(big_daily_table,MATCH(DATE(P$5,$J194,$I194),daily_dates,0),MATCH($B$3,daily_items,0))),NA(),INDEX(big_daily_table,MATCH(DATE(P$5,$J194,$I194),daily_dates,0),MATCH($B$3,daily_items,0)))</f>
        <v>#N/A</v>
      </c>
      <c r="Q194" s="1" t="e">
        <f aca="false">IF(ISBLANK(INDEX(big_daily_table,MATCH(DATE(Q$5,$J194,$I194),daily_dates,0),MATCH($B$3,daily_items,0))),NA(),INDEX(big_daily_table,MATCH(DATE(Q$5,$J194,$I194),daily_dates,0),MATCH($B$3,daily_items,0)))</f>
        <v>#N/A</v>
      </c>
      <c r="R194" s="1" t="e">
        <f aca="false">IF(ISBLANK(INDEX(big_daily_table,MATCH(DATE(R$5,$J194,$I194),daily_dates,0),MATCH($B$3,daily_items,0))),NA(),INDEX(big_daily_table,MATCH(DATE(R$5,$J194,$I194),daily_dates,0),MATCH($B$3,daily_items,0)))</f>
        <v>#N/A</v>
      </c>
      <c r="S194" s="1" t="e">
        <f aca="false">IF(ISBLANK(INDEX(big_daily_table,MATCH(DATE(S$5,$J194,$I194),daily_dates,0),MATCH($B$3,daily_items,0))),NA(),INDEX(big_daily_table,MATCH(DATE(S$5,$J194,$I194),daily_dates,0),MATCH($B$3,daily_items,0)))</f>
        <v>#N/A</v>
      </c>
      <c r="T194" s="1" t="e">
        <f aca="false">IF(ISBLANK(INDEX(big_daily_table,MATCH(DATE(T$5,$J194,$I194),daily_dates,0),MATCH($B$3,daily_items,0))),NA(),INDEX(big_daily_table,MATCH(DATE(T$5,$J194,$I194),daily_dates,0),MATCH($B$3,daily_items,0)))</f>
        <v>#N/A</v>
      </c>
      <c r="U194" s="1" t="e">
        <f aca="false">IF(ISBLANK(INDEX(big_daily_table,MATCH(DATE(U$5,$J194,$I194),daily_dates,0),MATCH($B$3,daily_items,0))),NA(),INDEX(big_daily_table,MATCH(DATE(U$5,$J194,$I194),daily_dates,0),MATCH($B$3,daily_items,0)))</f>
        <v>#N/A</v>
      </c>
      <c r="V194" s="1" t="e">
        <f aca="false">IF(ISBLANK(INDEX(big_daily_table,MATCH(DATE(V$5,$J194,$I194),daily_dates,0),MATCH($B$3,daily_items,0))),NA(),INDEX(big_daily_table,MATCH(DATE(V$5,$J194,$I194),daily_dates,0),MATCH($B$3,daily_items,0)))</f>
        <v>#N/A</v>
      </c>
      <c r="W194" s="1" t="e">
        <f aca="false">IF(ISBLANK(INDEX(big_daily_table,MATCH(DATE(W$5,$J194,$I194),daily_dates,0),MATCH($B$3,daily_items,0))),NA(),INDEX(big_daily_table,MATCH(DATE(W$5,$J194,$I194),daily_dates,0),MATCH($B$3,daily_items,0)))</f>
        <v>#N/A</v>
      </c>
      <c r="X194" s="1" t="e">
        <f aca="false">IF(ISBLANK(INDEX(big_daily_table,MATCH(DATE(X$5,$J194,$I194),daily_dates,0),MATCH($B$3,daily_items,0))),NA(),INDEX(big_daily_table,MATCH(DATE(X$5,$J194,$I194),daily_dates,0),MATCH($B$3,daily_items,0)))</f>
        <v>#N/A</v>
      </c>
      <c r="Y194" s="1" t="e">
        <f aca="false">IF(ISBLANK(INDEX(big_daily_table,MATCH(DATE(Y$5,$J194,$I194),daily_dates,0),MATCH($B$3,daily_items,0))),NA(),INDEX(big_daily_table,MATCH(DATE(Y$5,$J194,$I194),daily_dates,0),MATCH($B$3,daily_items,0)))</f>
        <v>#N/A</v>
      </c>
      <c r="Z194" s="1" t="n">
        <f aca="true">_xlfn.AGGREGATE(5,6,OFFSET($R$5,H194,0,1,$J$2))</f>
        <v>0</v>
      </c>
      <c r="AA194" s="1" t="n">
        <f aca="true">_xlfn.AGGREGATE(4,6,OFFSET($R$5,H194,0,1,$J$2))</f>
        <v>0</v>
      </c>
      <c r="AB194" s="1" t="n">
        <f aca="false">AA194-Z194</f>
        <v>0</v>
      </c>
      <c r="AC194" s="1" t="e">
        <f aca="true">_xlfn.AGGREGATE(1,6,OFFSET($R$5,H194,0,1,$J$2))</f>
        <v>#DIV/0!</v>
      </c>
    </row>
    <row r="195" customFormat="false" ht="14.25" hidden="false" customHeight="false" outlineLevel="0" collapsed="false">
      <c r="H195" s="1" t="n">
        <f aca="false">H194+1</f>
        <v>190</v>
      </c>
      <c r="I195" s="1" t="n">
        <f aca="false">DAY(K195)</f>
        <v>8</v>
      </c>
      <c r="J195" s="1" t="n">
        <f aca="false">MONTH(K195)</f>
        <v>7</v>
      </c>
      <c r="K195" s="23" t="n">
        <f aca="false">K194+1</f>
        <v>36715</v>
      </c>
      <c r="L195" s="24" t="n">
        <f aca="true">IF(TODAY()&lt;DATE($N$5,J195,I195),1000000,-1000000)</f>
        <v>-1000000</v>
      </c>
      <c r="M195" s="1" t="e">
        <f aca="false">IF(K195&gt;0,INDEX(big_daily_table,MATCH(DATE(N$5,$J195,$I195),daily_dates,0),MATCH($B$3,daily_items,0)),NA())</f>
        <v>#N/A</v>
      </c>
      <c r="N195" s="1" t="e">
        <f aca="false">IF(L195&lt;0,INDEX(big_daily_table,MATCH(DATE(N$5,$J195,$I195),daily_dates,0),MATCH($B$3,daily_items,0)),NA())</f>
        <v>#N/A</v>
      </c>
      <c r="O195" s="1" t="e">
        <f aca="false">IF(ISBLANK(INDEX(big_daily_table,MATCH(DATE(O$5,$J195,$I195),daily_dates,0),MATCH($B$3,daily_items,0))),NA(),INDEX(big_daily_table,MATCH(DATE(O$5,$J195,$I195),daily_dates,0),MATCH($B$3,daily_items,0)))</f>
        <v>#N/A</v>
      </c>
      <c r="P195" s="1" t="e">
        <f aca="false">IF(ISBLANK(INDEX(big_daily_table,MATCH(DATE(P$5,$J195,$I195),daily_dates,0),MATCH($B$3,daily_items,0))),NA(),INDEX(big_daily_table,MATCH(DATE(P$5,$J195,$I195),daily_dates,0),MATCH($B$3,daily_items,0)))</f>
        <v>#N/A</v>
      </c>
      <c r="Q195" s="1" t="e">
        <f aca="false">IF(ISBLANK(INDEX(big_daily_table,MATCH(DATE(Q$5,$J195,$I195),daily_dates,0),MATCH($B$3,daily_items,0))),NA(),INDEX(big_daily_table,MATCH(DATE(Q$5,$J195,$I195),daily_dates,0),MATCH($B$3,daily_items,0)))</f>
        <v>#N/A</v>
      </c>
      <c r="R195" s="1" t="e">
        <f aca="false">IF(ISBLANK(INDEX(big_daily_table,MATCH(DATE(R$5,$J195,$I195),daily_dates,0),MATCH($B$3,daily_items,0))),NA(),INDEX(big_daily_table,MATCH(DATE(R$5,$J195,$I195),daily_dates,0),MATCH($B$3,daily_items,0)))</f>
        <v>#N/A</v>
      </c>
      <c r="S195" s="1" t="e">
        <f aca="false">IF(ISBLANK(INDEX(big_daily_table,MATCH(DATE(S$5,$J195,$I195),daily_dates,0),MATCH($B$3,daily_items,0))),NA(),INDEX(big_daily_table,MATCH(DATE(S$5,$J195,$I195),daily_dates,0),MATCH($B$3,daily_items,0)))</f>
        <v>#N/A</v>
      </c>
      <c r="T195" s="1" t="e">
        <f aca="false">IF(ISBLANK(INDEX(big_daily_table,MATCH(DATE(T$5,$J195,$I195),daily_dates,0),MATCH($B$3,daily_items,0))),NA(),INDEX(big_daily_table,MATCH(DATE(T$5,$J195,$I195),daily_dates,0),MATCH($B$3,daily_items,0)))</f>
        <v>#N/A</v>
      </c>
      <c r="U195" s="1" t="e">
        <f aca="false">IF(ISBLANK(INDEX(big_daily_table,MATCH(DATE(U$5,$J195,$I195),daily_dates,0),MATCH($B$3,daily_items,0))),NA(),INDEX(big_daily_table,MATCH(DATE(U$5,$J195,$I195),daily_dates,0),MATCH($B$3,daily_items,0)))</f>
        <v>#N/A</v>
      </c>
      <c r="V195" s="1" t="e">
        <f aca="false">IF(ISBLANK(INDEX(big_daily_table,MATCH(DATE(V$5,$J195,$I195),daily_dates,0),MATCH($B$3,daily_items,0))),NA(),INDEX(big_daily_table,MATCH(DATE(V$5,$J195,$I195),daily_dates,0),MATCH($B$3,daily_items,0)))</f>
        <v>#N/A</v>
      </c>
      <c r="W195" s="1" t="e">
        <f aca="false">IF(ISBLANK(INDEX(big_daily_table,MATCH(DATE(W$5,$J195,$I195),daily_dates,0),MATCH($B$3,daily_items,0))),NA(),INDEX(big_daily_table,MATCH(DATE(W$5,$J195,$I195),daily_dates,0),MATCH($B$3,daily_items,0)))</f>
        <v>#N/A</v>
      </c>
      <c r="X195" s="1" t="e">
        <f aca="false">IF(ISBLANK(INDEX(big_daily_table,MATCH(DATE(X$5,$J195,$I195),daily_dates,0),MATCH($B$3,daily_items,0))),NA(),INDEX(big_daily_table,MATCH(DATE(X$5,$J195,$I195),daily_dates,0),MATCH($B$3,daily_items,0)))</f>
        <v>#N/A</v>
      </c>
      <c r="Y195" s="1" t="e">
        <f aca="false">IF(ISBLANK(INDEX(big_daily_table,MATCH(DATE(Y$5,$J195,$I195),daily_dates,0),MATCH($B$3,daily_items,0))),NA(),INDEX(big_daily_table,MATCH(DATE(Y$5,$J195,$I195),daily_dates,0),MATCH($B$3,daily_items,0)))</f>
        <v>#N/A</v>
      </c>
      <c r="Z195" s="1" t="n">
        <f aca="true">_xlfn.AGGREGATE(5,6,OFFSET($R$5,H195,0,1,$J$2))</f>
        <v>0</v>
      </c>
      <c r="AA195" s="1" t="n">
        <f aca="true">_xlfn.AGGREGATE(4,6,OFFSET($R$5,H195,0,1,$J$2))</f>
        <v>0</v>
      </c>
      <c r="AB195" s="1" t="n">
        <f aca="false">AA195-Z195</f>
        <v>0</v>
      </c>
      <c r="AC195" s="1" t="e">
        <f aca="true">_xlfn.AGGREGATE(1,6,OFFSET($R$5,H195,0,1,$J$2))</f>
        <v>#DIV/0!</v>
      </c>
    </row>
    <row r="196" customFormat="false" ht="14.25" hidden="false" customHeight="false" outlineLevel="0" collapsed="false">
      <c r="H196" s="1" t="n">
        <f aca="false">H195+1</f>
        <v>191</v>
      </c>
      <c r="I196" s="1" t="n">
        <f aca="false">DAY(K196)</f>
        <v>9</v>
      </c>
      <c r="J196" s="1" t="n">
        <f aca="false">MONTH(K196)</f>
        <v>7</v>
      </c>
      <c r="K196" s="23" t="n">
        <f aca="false">K195+1</f>
        <v>36716</v>
      </c>
      <c r="L196" s="24" t="n">
        <f aca="true">IF(TODAY()&lt;DATE($N$5,J196,I196),1000000,-1000000)</f>
        <v>-1000000</v>
      </c>
      <c r="M196" s="1" t="e">
        <f aca="false">IF(K196&gt;0,INDEX(big_daily_table,MATCH(DATE(N$5,$J196,$I196),daily_dates,0),MATCH($B$3,daily_items,0)),NA())</f>
        <v>#N/A</v>
      </c>
      <c r="N196" s="1" t="e">
        <f aca="false">IF(L196&lt;0,INDEX(big_daily_table,MATCH(DATE(N$5,$J196,$I196),daily_dates,0),MATCH($B$3,daily_items,0)),NA())</f>
        <v>#N/A</v>
      </c>
      <c r="O196" s="1" t="e">
        <f aca="false">IF(ISBLANK(INDEX(big_daily_table,MATCH(DATE(O$5,$J196,$I196),daily_dates,0),MATCH($B$3,daily_items,0))),NA(),INDEX(big_daily_table,MATCH(DATE(O$5,$J196,$I196),daily_dates,0),MATCH($B$3,daily_items,0)))</f>
        <v>#N/A</v>
      </c>
      <c r="P196" s="1" t="e">
        <f aca="false">IF(ISBLANK(INDEX(big_daily_table,MATCH(DATE(P$5,$J196,$I196),daily_dates,0),MATCH($B$3,daily_items,0))),NA(),INDEX(big_daily_table,MATCH(DATE(P$5,$J196,$I196),daily_dates,0),MATCH($B$3,daily_items,0)))</f>
        <v>#N/A</v>
      </c>
      <c r="Q196" s="1" t="e">
        <f aca="false">IF(ISBLANK(INDEX(big_daily_table,MATCH(DATE(Q$5,$J196,$I196),daily_dates,0),MATCH($B$3,daily_items,0))),NA(),INDEX(big_daily_table,MATCH(DATE(Q$5,$J196,$I196),daily_dates,0),MATCH($B$3,daily_items,0)))</f>
        <v>#N/A</v>
      </c>
      <c r="R196" s="1" t="e">
        <f aca="false">IF(ISBLANK(INDEX(big_daily_table,MATCH(DATE(R$5,$J196,$I196),daily_dates,0),MATCH($B$3,daily_items,0))),NA(),INDEX(big_daily_table,MATCH(DATE(R$5,$J196,$I196),daily_dates,0),MATCH($B$3,daily_items,0)))</f>
        <v>#N/A</v>
      </c>
      <c r="S196" s="1" t="e">
        <f aca="false">IF(ISBLANK(INDEX(big_daily_table,MATCH(DATE(S$5,$J196,$I196),daily_dates,0),MATCH($B$3,daily_items,0))),NA(),INDEX(big_daily_table,MATCH(DATE(S$5,$J196,$I196),daily_dates,0),MATCH($B$3,daily_items,0)))</f>
        <v>#N/A</v>
      </c>
      <c r="T196" s="1" t="e">
        <f aca="false">IF(ISBLANK(INDEX(big_daily_table,MATCH(DATE(T$5,$J196,$I196),daily_dates,0),MATCH($B$3,daily_items,0))),NA(),INDEX(big_daily_table,MATCH(DATE(T$5,$J196,$I196),daily_dates,0),MATCH($B$3,daily_items,0)))</f>
        <v>#N/A</v>
      </c>
      <c r="U196" s="1" t="e">
        <f aca="false">IF(ISBLANK(INDEX(big_daily_table,MATCH(DATE(U$5,$J196,$I196),daily_dates,0),MATCH($B$3,daily_items,0))),NA(),INDEX(big_daily_table,MATCH(DATE(U$5,$J196,$I196),daily_dates,0),MATCH($B$3,daily_items,0)))</f>
        <v>#N/A</v>
      </c>
      <c r="V196" s="1" t="e">
        <f aca="false">IF(ISBLANK(INDEX(big_daily_table,MATCH(DATE(V$5,$J196,$I196),daily_dates,0),MATCH($B$3,daily_items,0))),NA(),INDEX(big_daily_table,MATCH(DATE(V$5,$J196,$I196),daily_dates,0),MATCH($B$3,daily_items,0)))</f>
        <v>#N/A</v>
      </c>
      <c r="W196" s="1" t="e">
        <f aca="false">IF(ISBLANK(INDEX(big_daily_table,MATCH(DATE(W$5,$J196,$I196),daily_dates,0),MATCH($B$3,daily_items,0))),NA(),INDEX(big_daily_table,MATCH(DATE(W$5,$J196,$I196),daily_dates,0),MATCH($B$3,daily_items,0)))</f>
        <v>#N/A</v>
      </c>
      <c r="X196" s="1" t="e">
        <f aca="false">IF(ISBLANK(INDEX(big_daily_table,MATCH(DATE(X$5,$J196,$I196),daily_dates,0),MATCH($B$3,daily_items,0))),NA(),INDEX(big_daily_table,MATCH(DATE(X$5,$J196,$I196),daily_dates,0),MATCH($B$3,daily_items,0)))</f>
        <v>#N/A</v>
      </c>
      <c r="Y196" s="1" t="e">
        <f aca="false">IF(ISBLANK(INDEX(big_daily_table,MATCH(DATE(Y$5,$J196,$I196),daily_dates,0),MATCH($B$3,daily_items,0))),NA(),INDEX(big_daily_table,MATCH(DATE(Y$5,$J196,$I196),daily_dates,0),MATCH($B$3,daily_items,0)))</f>
        <v>#N/A</v>
      </c>
      <c r="Z196" s="1" t="n">
        <f aca="true">_xlfn.AGGREGATE(5,6,OFFSET($R$5,H196,0,1,$J$2))</f>
        <v>0</v>
      </c>
      <c r="AA196" s="1" t="n">
        <f aca="true">_xlfn.AGGREGATE(4,6,OFFSET($R$5,H196,0,1,$J$2))</f>
        <v>0</v>
      </c>
      <c r="AB196" s="1" t="n">
        <f aca="false">AA196-Z196</f>
        <v>0</v>
      </c>
      <c r="AC196" s="1" t="e">
        <f aca="true">_xlfn.AGGREGATE(1,6,OFFSET($R$5,H196,0,1,$J$2))</f>
        <v>#DIV/0!</v>
      </c>
    </row>
    <row r="197" customFormat="false" ht="14.25" hidden="false" customHeight="false" outlineLevel="0" collapsed="false">
      <c r="H197" s="1" t="n">
        <f aca="false">H196+1</f>
        <v>192</v>
      </c>
      <c r="I197" s="1" t="n">
        <f aca="false">DAY(K197)</f>
        <v>10</v>
      </c>
      <c r="J197" s="1" t="n">
        <f aca="false">MONTH(K197)</f>
        <v>7</v>
      </c>
      <c r="K197" s="23" t="n">
        <f aca="false">K196+1</f>
        <v>36717</v>
      </c>
      <c r="L197" s="24" t="n">
        <f aca="true">IF(TODAY()&lt;DATE($N$5,J197,I197),1000000,-1000000)</f>
        <v>-1000000</v>
      </c>
      <c r="M197" s="1" t="e">
        <f aca="false">IF(K197&gt;0,INDEX(big_daily_table,MATCH(DATE(N$5,$J197,$I197),daily_dates,0),MATCH($B$3,daily_items,0)),NA())</f>
        <v>#N/A</v>
      </c>
      <c r="N197" s="1" t="e">
        <f aca="false">IF(L197&lt;0,INDEX(big_daily_table,MATCH(DATE(N$5,$J197,$I197),daily_dates,0),MATCH($B$3,daily_items,0)),NA())</f>
        <v>#N/A</v>
      </c>
      <c r="O197" s="1" t="e">
        <f aca="false">IF(ISBLANK(INDEX(big_daily_table,MATCH(DATE(O$5,$J197,$I197),daily_dates,0),MATCH($B$3,daily_items,0))),NA(),INDEX(big_daily_table,MATCH(DATE(O$5,$J197,$I197),daily_dates,0),MATCH($B$3,daily_items,0)))</f>
        <v>#N/A</v>
      </c>
      <c r="P197" s="1" t="e">
        <f aca="false">IF(ISBLANK(INDEX(big_daily_table,MATCH(DATE(P$5,$J197,$I197),daily_dates,0),MATCH($B$3,daily_items,0))),NA(),INDEX(big_daily_table,MATCH(DATE(P$5,$J197,$I197),daily_dates,0),MATCH($B$3,daily_items,0)))</f>
        <v>#N/A</v>
      </c>
      <c r="Q197" s="1" t="e">
        <f aca="false">IF(ISBLANK(INDEX(big_daily_table,MATCH(DATE(Q$5,$J197,$I197),daily_dates,0),MATCH($B$3,daily_items,0))),NA(),INDEX(big_daily_table,MATCH(DATE(Q$5,$J197,$I197),daily_dates,0),MATCH($B$3,daily_items,0)))</f>
        <v>#N/A</v>
      </c>
      <c r="R197" s="1" t="e">
        <f aca="false">IF(ISBLANK(INDEX(big_daily_table,MATCH(DATE(R$5,$J197,$I197),daily_dates,0),MATCH($B$3,daily_items,0))),NA(),INDEX(big_daily_table,MATCH(DATE(R$5,$J197,$I197),daily_dates,0),MATCH($B$3,daily_items,0)))</f>
        <v>#N/A</v>
      </c>
      <c r="S197" s="1" t="e">
        <f aca="false">IF(ISBLANK(INDEX(big_daily_table,MATCH(DATE(S$5,$J197,$I197),daily_dates,0),MATCH($B$3,daily_items,0))),NA(),INDEX(big_daily_table,MATCH(DATE(S$5,$J197,$I197),daily_dates,0),MATCH($B$3,daily_items,0)))</f>
        <v>#N/A</v>
      </c>
      <c r="T197" s="1" t="e">
        <f aca="false">IF(ISBLANK(INDEX(big_daily_table,MATCH(DATE(T$5,$J197,$I197),daily_dates,0),MATCH($B$3,daily_items,0))),NA(),INDEX(big_daily_table,MATCH(DATE(T$5,$J197,$I197),daily_dates,0),MATCH($B$3,daily_items,0)))</f>
        <v>#N/A</v>
      </c>
      <c r="U197" s="1" t="e">
        <f aca="false">IF(ISBLANK(INDEX(big_daily_table,MATCH(DATE(U$5,$J197,$I197),daily_dates,0),MATCH($B$3,daily_items,0))),NA(),INDEX(big_daily_table,MATCH(DATE(U$5,$J197,$I197),daily_dates,0),MATCH($B$3,daily_items,0)))</f>
        <v>#N/A</v>
      </c>
      <c r="V197" s="1" t="e">
        <f aca="false">IF(ISBLANK(INDEX(big_daily_table,MATCH(DATE(V$5,$J197,$I197),daily_dates,0),MATCH($B$3,daily_items,0))),NA(),INDEX(big_daily_table,MATCH(DATE(V$5,$J197,$I197),daily_dates,0),MATCH($B$3,daily_items,0)))</f>
        <v>#N/A</v>
      </c>
      <c r="W197" s="1" t="e">
        <f aca="false">IF(ISBLANK(INDEX(big_daily_table,MATCH(DATE(W$5,$J197,$I197),daily_dates,0),MATCH($B$3,daily_items,0))),NA(),INDEX(big_daily_table,MATCH(DATE(W$5,$J197,$I197),daily_dates,0),MATCH($B$3,daily_items,0)))</f>
        <v>#N/A</v>
      </c>
      <c r="X197" s="1" t="e">
        <f aca="false">IF(ISBLANK(INDEX(big_daily_table,MATCH(DATE(X$5,$J197,$I197),daily_dates,0),MATCH($B$3,daily_items,0))),NA(),INDEX(big_daily_table,MATCH(DATE(X$5,$J197,$I197),daily_dates,0),MATCH($B$3,daily_items,0)))</f>
        <v>#N/A</v>
      </c>
      <c r="Y197" s="1" t="e">
        <f aca="false">IF(ISBLANK(INDEX(big_daily_table,MATCH(DATE(Y$5,$J197,$I197),daily_dates,0),MATCH($B$3,daily_items,0))),NA(),INDEX(big_daily_table,MATCH(DATE(Y$5,$J197,$I197),daily_dates,0),MATCH($B$3,daily_items,0)))</f>
        <v>#N/A</v>
      </c>
      <c r="Z197" s="1" t="n">
        <f aca="true">_xlfn.AGGREGATE(5,6,OFFSET($R$5,H197,0,1,$J$2))</f>
        <v>0</v>
      </c>
      <c r="AA197" s="1" t="n">
        <f aca="true">_xlfn.AGGREGATE(4,6,OFFSET($R$5,H197,0,1,$J$2))</f>
        <v>0</v>
      </c>
      <c r="AB197" s="1" t="n">
        <f aca="false">AA197-Z197</f>
        <v>0</v>
      </c>
      <c r="AC197" s="1" t="e">
        <f aca="true">_xlfn.AGGREGATE(1,6,OFFSET($R$5,H197,0,1,$J$2))</f>
        <v>#DIV/0!</v>
      </c>
    </row>
    <row r="198" customFormat="false" ht="14.25" hidden="false" customHeight="false" outlineLevel="0" collapsed="false">
      <c r="H198" s="1" t="n">
        <f aca="false">H197+1</f>
        <v>193</v>
      </c>
      <c r="I198" s="1" t="n">
        <f aca="false">DAY(K198)</f>
        <v>11</v>
      </c>
      <c r="J198" s="1" t="n">
        <f aca="false">MONTH(K198)</f>
        <v>7</v>
      </c>
      <c r="K198" s="23" t="n">
        <f aca="false">K197+1</f>
        <v>36718</v>
      </c>
      <c r="L198" s="24" t="n">
        <f aca="true">IF(TODAY()&lt;DATE($N$5,J198,I198),1000000,-1000000)</f>
        <v>-1000000</v>
      </c>
      <c r="M198" s="1" t="e">
        <f aca="false">IF(K198&gt;0,INDEX(big_daily_table,MATCH(DATE(N$5,$J198,$I198),daily_dates,0),MATCH($B$3,daily_items,0)),NA())</f>
        <v>#N/A</v>
      </c>
      <c r="N198" s="1" t="e">
        <f aca="false">IF(L198&lt;0,INDEX(big_daily_table,MATCH(DATE(N$5,$J198,$I198),daily_dates,0),MATCH($B$3,daily_items,0)),NA())</f>
        <v>#N/A</v>
      </c>
      <c r="O198" s="1" t="e">
        <f aca="false">IF(ISBLANK(INDEX(big_daily_table,MATCH(DATE(O$5,$J198,$I198),daily_dates,0),MATCH($B$3,daily_items,0))),NA(),INDEX(big_daily_table,MATCH(DATE(O$5,$J198,$I198),daily_dates,0),MATCH($B$3,daily_items,0)))</f>
        <v>#N/A</v>
      </c>
      <c r="P198" s="1" t="e">
        <f aca="false">IF(ISBLANK(INDEX(big_daily_table,MATCH(DATE(P$5,$J198,$I198),daily_dates,0),MATCH($B$3,daily_items,0))),NA(),INDEX(big_daily_table,MATCH(DATE(P$5,$J198,$I198),daily_dates,0),MATCH($B$3,daily_items,0)))</f>
        <v>#N/A</v>
      </c>
      <c r="Q198" s="1" t="e">
        <f aca="false">IF(ISBLANK(INDEX(big_daily_table,MATCH(DATE(Q$5,$J198,$I198),daily_dates,0),MATCH($B$3,daily_items,0))),NA(),INDEX(big_daily_table,MATCH(DATE(Q$5,$J198,$I198),daily_dates,0),MATCH($B$3,daily_items,0)))</f>
        <v>#N/A</v>
      </c>
      <c r="R198" s="1" t="e">
        <f aca="false">IF(ISBLANK(INDEX(big_daily_table,MATCH(DATE(R$5,$J198,$I198),daily_dates,0),MATCH($B$3,daily_items,0))),NA(),INDEX(big_daily_table,MATCH(DATE(R$5,$J198,$I198),daily_dates,0),MATCH($B$3,daily_items,0)))</f>
        <v>#N/A</v>
      </c>
      <c r="S198" s="1" t="e">
        <f aca="false">IF(ISBLANK(INDEX(big_daily_table,MATCH(DATE(S$5,$J198,$I198),daily_dates,0),MATCH($B$3,daily_items,0))),NA(),INDEX(big_daily_table,MATCH(DATE(S$5,$J198,$I198),daily_dates,0),MATCH($B$3,daily_items,0)))</f>
        <v>#N/A</v>
      </c>
      <c r="T198" s="1" t="e">
        <f aca="false">IF(ISBLANK(INDEX(big_daily_table,MATCH(DATE(T$5,$J198,$I198),daily_dates,0),MATCH($B$3,daily_items,0))),NA(),INDEX(big_daily_table,MATCH(DATE(T$5,$J198,$I198),daily_dates,0),MATCH($B$3,daily_items,0)))</f>
        <v>#N/A</v>
      </c>
      <c r="U198" s="1" t="e">
        <f aca="false">IF(ISBLANK(INDEX(big_daily_table,MATCH(DATE(U$5,$J198,$I198),daily_dates,0),MATCH($B$3,daily_items,0))),NA(),INDEX(big_daily_table,MATCH(DATE(U$5,$J198,$I198),daily_dates,0),MATCH($B$3,daily_items,0)))</f>
        <v>#N/A</v>
      </c>
      <c r="V198" s="1" t="e">
        <f aca="false">IF(ISBLANK(INDEX(big_daily_table,MATCH(DATE(V$5,$J198,$I198),daily_dates,0),MATCH($B$3,daily_items,0))),NA(),INDEX(big_daily_table,MATCH(DATE(V$5,$J198,$I198),daily_dates,0),MATCH($B$3,daily_items,0)))</f>
        <v>#N/A</v>
      </c>
      <c r="W198" s="1" t="e">
        <f aca="false">IF(ISBLANK(INDEX(big_daily_table,MATCH(DATE(W$5,$J198,$I198),daily_dates,0),MATCH($B$3,daily_items,0))),NA(),INDEX(big_daily_table,MATCH(DATE(W$5,$J198,$I198),daily_dates,0),MATCH($B$3,daily_items,0)))</f>
        <v>#N/A</v>
      </c>
      <c r="X198" s="1" t="e">
        <f aca="false">IF(ISBLANK(INDEX(big_daily_table,MATCH(DATE(X$5,$J198,$I198),daily_dates,0),MATCH($B$3,daily_items,0))),NA(),INDEX(big_daily_table,MATCH(DATE(X$5,$J198,$I198),daily_dates,0),MATCH($B$3,daily_items,0)))</f>
        <v>#N/A</v>
      </c>
      <c r="Y198" s="1" t="e">
        <f aca="false">IF(ISBLANK(INDEX(big_daily_table,MATCH(DATE(Y$5,$J198,$I198),daily_dates,0),MATCH($B$3,daily_items,0))),NA(),INDEX(big_daily_table,MATCH(DATE(Y$5,$J198,$I198),daily_dates,0),MATCH($B$3,daily_items,0)))</f>
        <v>#N/A</v>
      </c>
      <c r="Z198" s="1" t="n">
        <f aca="true">_xlfn.AGGREGATE(5,6,OFFSET($R$5,H198,0,1,$J$2))</f>
        <v>0</v>
      </c>
      <c r="AA198" s="1" t="n">
        <f aca="true">_xlfn.AGGREGATE(4,6,OFFSET($R$5,H198,0,1,$J$2))</f>
        <v>0</v>
      </c>
      <c r="AB198" s="1" t="n">
        <f aca="false">AA198-Z198</f>
        <v>0</v>
      </c>
      <c r="AC198" s="1" t="e">
        <f aca="true">_xlfn.AGGREGATE(1,6,OFFSET($R$5,H198,0,1,$J$2))</f>
        <v>#DIV/0!</v>
      </c>
    </row>
    <row r="199" customFormat="false" ht="14.25" hidden="false" customHeight="false" outlineLevel="0" collapsed="false">
      <c r="H199" s="1" t="n">
        <f aca="false">H198+1</f>
        <v>194</v>
      </c>
      <c r="I199" s="1" t="n">
        <f aca="false">DAY(K199)</f>
        <v>12</v>
      </c>
      <c r="J199" s="1" t="n">
        <f aca="false">MONTH(K199)</f>
        <v>7</v>
      </c>
      <c r="K199" s="23" t="n">
        <f aca="false">K198+1</f>
        <v>36719</v>
      </c>
      <c r="L199" s="24" t="n">
        <f aca="true">IF(TODAY()&lt;DATE($N$5,J199,I199),1000000,-1000000)</f>
        <v>-1000000</v>
      </c>
      <c r="M199" s="1" t="e">
        <f aca="false">IF(K199&gt;0,INDEX(big_daily_table,MATCH(DATE(N$5,$J199,$I199),daily_dates,0),MATCH($B$3,daily_items,0)),NA())</f>
        <v>#N/A</v>
      </c>
      <c r="N199" s="1" t="e">
        <f aca="false">IF(L199&lt;0,INDEX(big_daily_table,MATCH(DATE(N$5,$J199,$I199),daily_dates,0),MATCH($B$3,daily_items,0)),NA())</f>
        <v>#N/A</v>
      </c>
      <c r="O199" s="1" t="e">
        <f aca="false">IF(ISBLANK(INDEX(big_daily_table,MATCH(DATE(O$5,$J199,$I199),daily_dates,0),MATCH($B$3,daily_items,0))),NA(),INDEX(big_daily_table,MATCH(DATE(O$5,$J199,$I199),daily_dates,0),MATCH($B$3,daily_items,0)))</f>
        <v>#N/A</v>
      </c>
      <c r="P199" s="1" t="e">
        <f aca="false">IF(ISBLANK(INDEX(big_daily_table,MATCH(DATE(P$5,$J199,$I199),daily_dates,0),MATCH($B$3,daily_items,0))),NA(),INDEX(big_daily_table,MATCH(DATE(P$5,$J199,$I199),daily_dates,0),MATCH($B$3,daily_items,0)))</f>
        <v>#N/A</v>
      </c>
      <c r="Q199" s="1" t="e">
        <f aca="false">IF(ISBLANK(INDEX(big_daily_table,MATCH(DATE(Q$5,$J199,$I199),daily_dates,0),MATCH($B$3,daily_items,0))),NA(),INDEX(big_daily_table,MATCH(DATE(Q$5,$J199,$I199),daily_dates,0),MATCH($B$3,daily_items,0)))</f>
        <v>#N/A</v>
      </c>
      <c r="R199" s="1" t="e">
        <f aca="false">IF(ISBLANK(INDEX(big_daily_table,MATCH(DATE(R$5,$J199,$I199),daily_dates,0),MATCH($B$3,daily_items,0))),NA(),INDEX(big_daily_table,MATCH(DATE(R$5,$J199,$I199),daily_dates,0),MATCH($B$3,daily_items,0)))</f>
        <v>#N/A</v>
      </c>
      <c r="S199" s="1" t="e">
        <f aca="false">IF(ISBLANK(INDEX(big_daily_table,MATCH(DATE(S$5,$J199,$I199),daily_dates,0),MATCH($B$3,daily_items,0))),NA(),INDEX(big_daily_table,MATCH(DATE(S$5,$J199,$I199),daily_dates,0),MATCH($B$3,daily_items,0)))</f>
        <v>#N/A</v>
      </c>
      <c r="T199" s="1" t="e">
        <f aca="false">IF(ISBLANK(INDEX(big_daily_table,MATCH(DATE(T$5,$J199,$I199),daily_dates,0),MATCH($B$3,daily_items,0))),NA(),INDEX(big_daily_table,MATCH(DATE(T$5,$J199,$I199),daily_dates,0),MATCH($B$3,daily_items,0)))</f>
        <v>#N/A</v>
      </c>
      <c r="U199" s="1" t="e">
        <f aca="false">IF(ISBLANK(INDEX(big_daily_table,MATCH(DATE(U$5,$J199,$I199),daily_dates,0),MATCH($B$3,daily_items,0))),NA(),INDEX(big_daily_table,MATCH(DATE(U$5,$J199,$I199),daily_dates,0),MATCH($B$3,daily_items,0)))</f>
        <v>#N/A</v>
      </c>
      <c r="V199" s="1" t="e">
        <f aca="false">IF(ISBLANK(INDEX(big_daily_table,MATCH(DATE(V$5,$J199,$I199),daily_dates,0),MATCH($B$3,daily_items,0))),NA(),INDEX(big_daily_table,MATCH(DATE(V$5,$J199,$I199),daily_dates,0),MATCH($B$3,daily_items,0)))</f>
        <v>#N/A</v>
      </c>
      <c r="W199" s="1" t="e">
        <f aca="false">IF(ISBLANK(INDEX(big_daily_table,MATCH(DATE(W$5,$J199,$I199),daily_dates,0),MATCH($B$3,daily_items,0))),NA(),INDEX(big_daily_table,MATCH(DATE(W$5,$J199,$I199),daily_dates,0),MATCH($B$3,daily_items,0)))</f>
        <v>#N/A</v>
      </c>
      <c r="X199" s="1" t="e">
        <f aca="false">IF(ISBLANK(INDEX(big_daily_table,MATCH(DATE(X$5,$J199,$I199),daily_dates,0),MATCH($B$3,daily_items,0))),NA(),INDEX(big_daily_table,MATCH(DATE(X$5,$J199,$I199),daily_dates,0),MATCH($B$3,daily_items,0)))</f>
        <v>#N/A</v>
      </c>
      <c r="Y199" s="1" t="e">
        <f aca="false">IF(ISBLANK(INDEX(big_daily_table,MATCH(DATE(Y$5,$J199,$I199),daily_dates,0),MATCH($B$3,daily_items,0))),NA(),INDEX(big_daily_table,MATCH(DATE(Y$5,$J199,$I199),daily_dates,0),MATCH($B$3,daily_items,0)))</f>
        <v>#N/A</v>
      </c>
      <c r="Z199" s="1" t="n">
        <f aca="true">_xlfn.AGGREGATE(5,6,OFFSET($R$5,H199,0,1,$J$2))</f>
        <v>0</v>
      </c>
      <c r="AA199" s="1" t="n">
        <f aca="true">_xlfn.AGGREGATE(4,6,OFFSET($R$5,H199,0,1,$J$2))</f>
        <v>0</v>
      </c>
      <c r="AB199" s="1" t="n">
        <f aca="false">AA199-Z199</f>
        <v>0</v>
      </c>
      <c r="AC199" s="1" t="e">
        <f aca="true">_xlfn.AGGREGATE(1,6,OFFSET($R$5,H199,0,1,$J$2))</f>
        <v>#DIV/0!</v>
      </c>
    </row>
    <row r="200" customFormat="false" ht="14.25" hidden="false" customHeight="false" outlineLevel="0" collapsed="false">
      <c r="H200" s="1" t="n">
        <f aca="false">H199+1</f>
        <v>195</v>
      </c>
      <c r="I200" s="1" t="n">
        <f aca="false">DAY(K200)</f>
        <v>13</v>
      </c>
      <c r="J200" s="1" t="n">
        <f aca="false">MONTH(K200)</f>
        <v>7</v>
      </c>
      <c r="K200" s="23" t="n">
        <f aca="false">K199+1</f>
        <v>36720</v>
      </c>
      <c r="L200" s="24" t="n">
        <f aca="true">IF(TODAY()&lt;DATE($N$5,J200,I200),1000000,-1000000)</f>
        <v>-1000000</v>
      </c>
      <c r="M200" s="1" t="e">
        <f aca="false">IF(K200&gt;0,INDEX(big_daily_table,MATCH(DATE(N$5,$J200,$I200),daily_dates,0),MATCH($B$3,daily_items,0)),NA())</f>
        <v>#N/A</v>
      </c>
      <c r="N200" s="1" t="e">
        <f aca="false">IF(L200&lt;0,INDEX(big_daily_table,MATCH(DATE(N$5,$J200,$I200),daily_dates,0),MATCH($B$3,daily_items,0)),NA())</f>
        <v>#N/A</v>
      </c>
      <c r="O200" s="1" t="e">
        <f aca="false">IF(ISBLANK(INDEX(big_daily_table,MATCH(DATE(O$5,$J200,$I200),daily_dates,0),MATCH($B$3,daily_items,0))),NA(),INDEX(big_daily_table,MATCH(DATE(O$5,$J200,$I200),daily_dates,0),MATCH($B$3,daily_items,0)))</f>
        <v>#N/A</v>
      </c>
      <c r="P200" s="1" t="e">
        <f aca="false">IF(ISBLANK(INDEX(big_daily_table,MATCH(DATE(P$5,$J200,$I200),daily_dates,0),MATCH($B$3,daily_items,0))),NA(),INDEX(big_daily_table,MATCH(DATE(P$5,$J200,$I200),daily_dates,0),MATCH($B$3,daily_items,0)))</f>
        <v>#N/A</v>
      </c>
      <c r="Q200" s="1" t="e">
        <f aca="false">IF(ISBLANK(INDEX(big_daily_table,MATCH(DATE(Q$5,$J200,$I200),daily_dates,0),MATCH($B$3,daily_items,0))),NA(),INDEX(big_daily_table,MATCH(DATE(Q$5,$J200,$I200),daily_dates,0),MATCH($B$3,daily_items,0)))</f>
        <v>#N/A</v>
      </c>
      <c r="R200" s="1" t="e">
        <f aca="false">IF(ISBLANK(INDEX(big_daily_table,MATCH(DATE(R$5,$J200,$I200),daily_dates,0),MATCH($B$3,daily_items,0))),NA(),INDEX(big_daily_table,MATCH(DATE(R$5,$J200,$I200),daily_dates,0),MATCH($B$3,daily_items,0)))</f>
        <v>#N/A</v>
      </c>
      <c r="S200" s="1" t="e">
        <f aca="false">IF(ISBLANK(INDEX(big_daily_table,MATCH(DATE(S$5,$J200,$I200),daily_dates,0),MATCH($B$3,daily_items,0))),NA(),INDEX(big_daily_table,MATCH(DATE(S$5,$J200,$I200),daily_dates,0),MATCH($B$3,daily_items,0)))</f>
        <v>#N/A</v>
      </c>
      <c r="T200" s="1" t="e">
        <f aca="false">IF(ISBLANK(INDEX(big_daily_table,MATCH(DATE(T$5,$J200,$I200),daily_dates,0),MATCH($B$3,daily_items,0))),NA(),INDEX(big_daily_table,MATCH(DATE(T$5,$J200,$I200),daily_dates,0),MATCH($B$3,daily_items,0)))</f>
        <v>#N/A</v>
      </c>
      <c r="U200" s="1" t="e">
        <f aca="false">IF(ISBLANK(INDEX(big_daily_table,MATCH(DATE(U$5,$J200,$I200),daily_dates,0),MATCH($B$3,daily_items,0))),NA(),INDEX(big_daily_table,MATCH(DATE(U$5,$J200,$I200),daily_dates,0),MATCH($B$3,daily_items,0)))</f>
        <v>#N/A</v>
      </c>
      <c r="V200" s="1" t="e">
        <f aca="false">IF(ISBLANK(INDEX(big_daily_table,MATCH(DATE(V$5,$J200,$I200),daily_dates,0),MATCH($B$3,daily_items,0))),NA(),INDEX(big_daily_table,MATCH(DATE(V$5,$J200,$I200),daily_dates,0),MATCH($B$3,daily_items,0)))</f>
        <v>#N/A</v>
      </c>
      <c r="W200" s="1" t="e">
        <f aca="false">IF(ISBLANK(INDEX(big_daily_table,MATCH(DATE(W$5,$J200,$I200),daily_dates,0),MATCH($B$3,daily_items,0))),NA(),INDEX(big_daily_table,MATCH(DATE(W$5,$J200,$I200),daily_dates,0),MATCH($B$3,daily_items,0)))</f>
        <v>#N/A</v>
      </c>
      <c r="X200" s="1" t="e">
        <f aca="false">IF(ISBLANK(INDEX(big_daily_table,MATCH(DATE(X$5,$J200,$I200),daily_dates,0),MATCH($B$3,daily_items,0))),NA(),INDEX(big_daily_table,MATCH(DATE(X$5,$J200,$I200),daily_dates,0),MATCH($B$3,daily_items,0)))</f>
        <v>#N/A</v>
      </c>
      <c r="Y200" s="1" t="e">
        <f aca="false">IF(ISBLANK(INDEX(big_daily_table,MATCH(DATE(Y$5,$J200,$I200),daily_dates,0),MATCH($B$3,daily_items,0))),NA(),INDEX(big_daily_table,MATCH(DATE(Y$5,$J200,$I200),daily_dates,0),MATCH($B$3,daily_items,0)))</f>
        <v>#N/A</v>
      </c>
      <c r="Z200" s="1" t="n">
        <f aca="true">_xlfn.AGGREGATE(5,6,OFFSET($R$5,H200,0,1,$J$2))</f>
        <v>0</v>
      </c>
      <c r="AA200" s="1" t="n">
        <f aca="true">_xlfn.AGGREGATE(4,6,OFFSET($R$5,H200,0,1,$J$2))</f>
        <v>0</v>
      </c>
      <c r="AB200" s="1" t="n">
        <f aca="false">AA200-Z200</f>
        <v>0</v>
      </c>
      <c r="AC200" s="1" t="e">
        <f aca="true">_xlfn.AGGREGATE(1,6,OFFSET($R$5,H200,0,1,$J$2))</f>
        <v>#DIV/0!</v>
      </c>
    </row>
    <row r="201" customFormat="false" ht="14.25" hidden="false" customHeight="false" outlineLevel="0" collapsed="false">
      <c r="H201" s="1" t="n">
        <f aca="false">H200+1</f>
        <v>196</v>
      </c>
      <c r="I201" s="1" t="n">
        <f aca="false">DAY(K201)</f>
        <v>14</v>
      </c>
      <c r="J201" s="1" t="n">
        <f aca="false">MONTH(K201)</f>
        <v>7</v>
      </c>
      <c r="K201" s="23" t="n">
        <f aca="false">K200+1</f>
        <v>36721</v>
      </c>
      <c r="L201" s="24" t="n">
        <f aca="true">IF(TODAY()&lt;DATE($N$5,J201,I201),1000000,-1000000)</f>
        <v>-1000000</v>
      </c>
      <c r="M201" s="1" t="e">
        <f aca="false">IF(K201&gt;0,INDEX(big_daily_table,MATCH(DATE(N$5,$J201,$I201),daily_dates,0),MATCH($B$3,daily_items,0)),NA())</f>
        <v>#N/A</v>
      </c>
      <c r="N201" s="1" t="e">
        <f aca="false">IF(L201&lt;0,INDEX(big_daily_table,MATCH(DATE(N$5,$J201,$I201),daily_dates,0),MATCH($B$3,daily_items,0)),NA())</f>
        <v>#N/A</v>
      </c>
      <c r="O201" s="1" t="e">
        <f aca="false">IF(ISBLANK(INDEX(big_daily_table,MATCH(DATE(O$5,$J201,$I201),daily_dates,0),MATCH($B$3,daily_items,0))),NA(),INDEX(big_daily_table,MATCH(DATE(O$5,$J201,$I201),daily_dates,0),MATCH($B$3,daily_items,0)))</f>
        <v>#N/A</v>
      </c>
      <c r="P201" s="1" t="e">
        <f aca="false">IF(ISBLANK(INDEX(big_daily_table,MATCH(DATE(P$5,$J201,$I201),daily_dates,0),MATCH($B$3,daily_items,0))),NA(),INDEX(big_daily_table,MATCH(DATE(P$5,$J201,$I201),daily_dates,0),MATCH($B$3,daily_items,0)))</f>
        <v>#N/A</v>
      </c>
      <c r="Q201" s="1" t="e">
        <f aca="false">IF(ISBLANK(INDEX(big_daily_table,MATCH(DATE(Q$5,$J201,$I201),daily_dates,0),MATCH($B$3,daily_items,0))),NA(),INDEX(big_daily_table,MATCH(DATE(Q$5,$J201,$I201),daily_dates,0),MATCH($B$3,daily_items,0)))</f>
        <v>#N/A</v>
      </c>
      <c r="R201" s="1" t="e">
        <f aca="false">IF(ISBLANK(INDEX(big_daily_table,MATCH(DATE(R$5,$J201,$I201),daily_dates,0),MATCH($B$3,daily_items,0))),NA(),INDEX(big_daily_table,MATCH(DATE(R$5,$J201,$I201),daily_dates,0),MATCH($B$3,daily_items,0)))</f>
        <v>#N/A</v>
      </c>
      <c r="S201" s="1" t="e">
        <f aca="false">IF(ISBLANK(INDEX(big_daily_table,MATCH(DATE(S$5,$J201,$I201),daily_dates,0),MATCH($B$3,daily_items,0))),NA(),INDEX(big_daily_table,MATCH(DATE(S$5,$J201,$I201),daily_dates,0),MATCH($B$3,daily_items,0)))</f>
        <v>#N/A</v>
      </c>
      <c r="T201" s="1" t="e">
        <f aca="false">IF(ISBLANK(INDEX(big_daily_table,MATCH(DATE(T$5,$J201,$I201),daily_dates,0),MATCH($B$3,daily_items,0))),NA(),INDEX(big_daily_table,MATCH(DATE(T$5,$J201,$I201),daily_dates,0),MATCH($B$3,daily_items,0)))</f>
        <v>#N/A</v>
      </c>
      <c r="U201" s="1" t="e">
        <f aca="false">IF(ISBLANK(INDEX(big_daily_table,MATCH(DATE(U$5,$J201,$I201),daily_dates,0),MATCH($B$3,daily_items,0))),NA(),INDEX(big_daily_table,MATCH(DATE(U$5,$J201,$I201),daily_dates,0),MATCH($B$3,daily_items,0)))</f>
        <v>#N/A</v>
      </c>
      <c r="V201" s="1" t="e">
        <f aca="false">IF(ISBLANK(INDEX(big_daily_table,MATCH(DATE(V$5,$J201,$I201),daily_dates,0),MATCH($B$3,daily_items,0))),NA(),INDEX(big_daily_table,MATCH(DATE(V$5,$J201,$I201),daily_dates,0),MATCH($B$3,daily_items,0)))</f>
        <v>#N/A</v>
      </c>
      <c r="W201" s="1" t="e">
        <f aca="false">IF(ISBLANK(INDEX(big_daily_table,MATCH(DATE(W$5,$J201,$I201),daily_dates,0),MATCH($B$3,daily_items,0))),NA(),INDEX(big_daily_table,MATCH(DATE(W$5,$J201,$I201),daily_dates,0),MATCH($B$3,daily_items,0)))</f>
        <v>#N/A</v>
      </c>
      <c r="X201" s="1" t="e">
        <f aca="false">IF(ISBLANK(INDEX(big_daily_table,MATCH(DATE(X$5,$J201,$I201),daily_dates,0),MATCH($B$3,daily_items,0))),NA(),INDEX(big_daily_table,MATCH(DATE(X$5,$J201,$I201),daily_dates,0),MATCH($B$3,daily_items,0)))</f>
        <v>#N/A</v>
      </c>
      <c r="Y201" s="1" t="e">
        <f aca="false">IF(ISBLANK(INDEX(big_daily_table,MATCH(DATE(Y$5,$J201,$I201),daily_dates,0),MATCH($B$3,daily_items,0))),NA(),INDEX(big_daily_table,MATCH(DATE(Y$5,$J201,$I201),daily_dates,0),MATCH($B$3,daily_items,0)))</f>
        <v>#N/A</v>
      </c>
      <c r="Z201" s="1" t="n">
        <f aca="true">_xlfn.AGGREGATE(5,6,OFFSET($R$5,H201,0,1,$J$2))</f>
        <v>0</v>
      </c>
      <c r="AA201" s="1" t="n">
        <f aca="true">_xlfn.AGGREGATE(4,6,OFFSET($R$5,H201,0,1,$J$2))</f>
        <v>0</v>
      </c>
      <c r="AB201" s="1" t="n">
        <f aca="false">AA201-Z201</f>
        <v>0</v>
      </c>
      <c r="AC201" s="1" t="e">
        <f aca="true">_xlfn.AGGREGATE(1,6,OFFSET($R$5,H201,0,1,$J$2))</f>
        <v>#DIV/0!</v>
      </c>
    </row>
    <row r="202" customFormat="false" ht="14.25" hidden="false" customHeight="false" outlineLevel="0" collapsed="false">
      <c r="H202" s="1" t="n">
        <f aca="false">H201+1</f>
        <v>197</v>
      </c>
      <c r="I202" s="1" t="n">
        <f aca="false">DAY(K202)</f>
        <v>15</v>
      </c>
      <c r="J202" s="1" t="n">
        <f aca="false">MONTH(K202)</f>
        <v>7</v>
      </c>
      <c r="K202" s="23" t="n">
        <f aca="false">K201+1</f>
        <v>36722</v>
      </c>
      <c r="L202" s="24" t="n">
        <f aca="true">IF(TODAY()&lt;DATE($N$5,J202,I202),1000000,-1000000)</f>
        <v>-1000000</v>
      </c>
      <c r="M202" s="1" t="e">
        <f aca="false">IF(K202&gt;0,INDEX(big_daily_table,MATCH(DATE(N$5,$J202,$I202),daily_dates,0),MATCH($B$3,daily_items,0)),NA())</f>
        <v>#N/A</v>
      </c>
      <c r="N202" s="1" t="e">
        <f aca="false">IF(L202&lt;0,INDEX(big_daily_table,MATCH(DATE(N$5,$J202,$I202),daily_dates,0),MATCH($B$3,daily_items,0)),NA())</f>
        <v>#N/A</v>
      </c>
      <c r="O202" s="1" t="e">
        <f aca="false">IF(ISBLANK(INDEX(big_daily_table,MATCH(DATE(O$5,$J202,$I202),daily_dates,0),MATCH($B$3,daily_items,0))),NA(),INDEX(big_daily_table,MATCH(DATE(O$5,$J202,$I202),daily_dates,0),MATCH($B$3,daily_items,0)))</f>
        <v>#N/A</v>
      </c>
      <c r="P202" s="1" t="e">
        <f aca="false">IF(ISBLANK(INDEX(big_daily_table,MATCH(DATE(P$5,$J202,$I202),daily_dates,0),MATCH($B$3,daily_items,0))),NA(),INDEX(big_daily_table,MATCH(DATE(P$5,$J202,$I202),daily_dates,0),MATCH($B$3,daily_items,0)))</f>
        <v>#N/A</v>
      </c>
      <c r="Q202" s="1" t="e">
        <f aca="false">IF(ISBLANK(INDEX(big_daily_table,MATCH(DATE(Q$5,$J202,$I202),daily_dates,0),MATCH($B$3,daily_items,0))),NA(),INDEX(big_daily_table,MATCH(DATE(Q$5,$J202,$I202),daily_dates,0),MATCH($B$3,daily_items,0)))</f>
        <v>#N/A</v>
      </c>
      <c r="R202" s="1" t="e">
        <f aca="false">IF(ISBLANK(INDEX(big_daily_table,MATCH(DATE(R$5,$J202,$I202),daily_dates,0),MATCH($B$3,daily_items,0))),NA(),INDEX(big_daily_table,MATCH(DATE(R$5,$J202,$I202),daily_dates,0),MATCH($B$3,daily_items,0)))</f>
        <v>#N/A</v>
      </c>
      <c r="S202" s="1" t="e">
        <f aca="false">IF(ISBLANK(INDEX(big_daily_table,MATCH(DATE(S$5,$J202,$I202),daily_dates,0),MATCH($B$3,daily_items,0))),NA(),INDEX(big_daily_table,MATCH(DATE(S$5,$J202,$I202),daily_dates,0),MATCH($B$3,daily_items,0)))</f>
        <v>#N/A</v>
      </c>
      <c r="T202" s="1" t="e">
        <f aca="false">IF(ISBLANK(INDEX(big_daily_table,MATCH(DATE(T$5,$J202,$I202),daily_dates,0),MATCH($B$3,daily_items,0))),NA(),INDEX(big_daily_table,MATCH(DATE(T$5,$J202,$I202),daily_dates,0),MATCH($B$3,daily_items,0)))</f>
        <v>#N/A</v>
      </c>
      <c r="U202" s="1" t="e">
        <f aca="false">IF(ISBLANK(INDEX(big_daily_table,MATCH(DATE(U$5,$J202,$I202),daily_dates,0),MATCH($B$3,daily_items,0))),NA(),INDEX(big_daily_table,MATCH(DATE(U$5,$J202,$I202),daily_dates,0),MATCH($B$3,daily_items,0)))</f>
        <v>#N/A</v>
      </c>
      <c r="V202" s="1" t="e">
        <f aca="false">IF(ISBLANK(INDEX(big_daily_table,MATCH(DATE(V$5,$J202,$I202),daily_dates,0),MATCH($B$3,daily_items,0))),NA(),INDEX(big_daily_table,MATCH(DATE(V$5,$J202,$I202),daily_dates,0),MATCH($B$3,daily_items,0)))</f>
        <v>#N/A</v>
      </c>
      <c r="W202" s="1" t="e">
        <f aca="false">IF(ISBLANK(INDEX(big_daily_table,MATCH(DATE(W$5,$J202,$I202),daily_dates,0),MATCH($B$3,daily_items,0))),NA(),INDEX(big_daily_table,MATCH(DATE(W$5,$J202,$I202),daily_dates,0),MATCH($B$3,daily_items,0)))</f>
        <v>#N/A</v>
      </c>
      <c r="X202" s="1" t="e">
        <f aca="false">IF(ISBLANK(INDEX(big_daily_table,MATCH(DATE(X$5,$J202,$I202),daily_dates,0),MATCH($B$3,daily_items,0))),NA(),INDEX(big_daily_table,MATCH(DATE(X$5,$J202,$I202),daily_dates,0),MATCH($B$3,daily_items,0)))</f>
        <v>#N/A</v>
      </c>
      <c r="Y202" s="1" t="e">
        <f aca="false">IF(ISBLANK(INDEX(big_daily_table,MATCH(DATE(Y$5,$J202,$I202),daily_dates,0),MATCH($B$3,daily_items,0))),NA(),INDEX(big_daily_table,MATCH(DATE(Y$5,$J202,$I202),daily_dates,0),MATCH($B$3,daily_items,0)))</f>
        <v>#N/A</v>
      </c>
      <c r="Z202" s="1" t="n">
        <f aca="true">_xlfn.AGGREGATE(5,6,OFFSET($R$5,H202,0,1,$J$2))</f>
        <v>0</v>
      </c>
      <c r="AA202" s="1" t="n">
        <f aca="true">_xlfn.AGGREGATE(4,6,OFFSET($R$5,H202,0,1,$J$2))</f>
        <v>0</v>
      </c>
      <c r="AB202" s="1" t="n">
        <f aca="false">AA202-Z202</f>
        <v>0</v>
      </c>
      <c r="AC202" s="1" t="e">
        <f aca="true">_xlfn.AGGREGATE(1,6,OFFSET($R$5,H202,0,1,$J$2))</f>
        <v>#DIV/0!</v>
      </c>
    </row>
    <row r="203" customFormat="false" ht="14.25" hidden="false" customHeight="false" outlineLevel="0" collapsed="false">
      <c r="H203" s="1" t="n">
        <f aca="false">H202+1</f>
        <v>198</v>
      </c>
      <c r="I203" s="1" t="n">
        <f aca="false">DAY(K203)</f>
        <v>16</v>
      </c>
      <c r="J203" s="1" t="n">
        <f aca="false">MONTH(K203)</f>
        <v>7</v>
      </c>
      <c r="K203" s="23" t="n">
        <f aca="false">K202+1</f>
        <v>36723</v>
      </c>
      <c r="L203" s="24" t="n">
        <f aca="true">IF(TODAY()&lt;DATE($N$5,J203,I203),1000000,-1000000)</f>
        <v>-1000000</v>
      </c>
      <c r="M203" s="1" t="e">
        <f aca="false">IF(K203&gt;0,INDEX(big_daily_table,MATCH(DATE(N$5,$J203,$I203),daily_dates,0),MATCH($B$3,daily_items,0)),NA())</f>
        <v>#N/A</v>
      </c>
      <c r="N203" s="1" t="e">
        <f aca="false">IF(L203&lt;0,INDEX(big_daily_table,MATCH(DATE(N$5,$J203,$I203),daily_dates,0),MATCH($B$3,daily_items,0)),NA())</f>
        <v>#N/A</v>
      </c>
      <c r="O203" s="1" t="e">
        <f aca="false">IF(ISBLANK(INDEX(big_daily_table,MATCH(DATE(O$5,$J203,$I203),daily_dates,0),MATCH($B$3,daily_items,0))),NA(),INDEX(big_daily_table,MATCH(DATE(O$5,$J203,$I203),daily_dates,0),MATCH($B$3,daily_items,0)))</f>
        <v>#N/A</v>
      </c>
      <c r="P203" s="1" t="e">
        <f aca="false">IF(ISBLANK(INDEX(big_daily_table,MATCH(DATE(P$5,$J203,$I203),daily_dates,0),MATCH($B$3,daily_items,0))),NA(),INDEX(big_daily_table,MATCH(DATE(P$5,$J203,$I203),daily_dates,0),MATCH($B$3,daily_items,0)))</f>
        <v>#N/A</v>
      </c>
      <c r="Q203" s="1" t="e">
        <f aca="false">IF(ISBLANK(INDEX(big_daily_table,MATCH(DATE(Q$5,$J203,$I203),daily_dates,0),MATCH($B$3,daily_items,0))),NA(),INDEX(big_daily_table,MATCH(DATE(Q$5,$J203,$I203),daily_dates,0),MATCH($B$3,daily_items,0)))</f>
        <v>#N/A</v>
      </c>
      <c r="R203" s="1" t="e">
        <f aca="false">IF(ISBLANK(INDEX(big_daily_table,MATCH(DATE(R$5,$J203,$I203),daily_dates,0),MATCH($B$3,daily_items,0))),NA(),INDEX(big_daily_table,MATCH(DATE(R$5,$J203,$I203),daily_dates,0),MATCH($B$3,daily_items,0)))</f>
        <v>#N/A</v>
      </c>
      <c r="S203" s="1" t="e">
        <f aca="false">IF(ISBLANK(INDEX(big_daily_table,MATCH(DATE(S$5,$J203,$I203),daily_dates,0),MATCH($B$3,daily_items,0))),NA(),INDEX(big_daily_table,MATCH(DATE(S$5,$J203,$I203),daily_dates,0),MATCH($B$3,daily_items,0)))</f>
        <v>#N/A</v>
      </c>
      <c r="T203" s="1" t="e">
        <f aca="false">IF(ISBLANK(INDEX(big_daily_table,MATCH(DATE(T$5,$J203,$I203),daily_dates,0),MATCH($B$3,daily_items,0))),NA(),INDEX(big_daily_table,MATCH(DATE(T$5,$J203,$I203),daily_dates,0),MATCH($B$3,daily_items,0)))</f>
        <v>#N/A</v>
      </c>
      <c r="U203" s="1" t="e">
        <f aca="false">IF(ISBLANK(INDEX(big_daily_table,MATCH(DATE(U$5,$J203,$I203),daily_dates,0),MATCH($B$3,daily_items,0))),NA(),INDEX(big_daily_table,MATCH(DATE(U$5,$J203,$I203),daily_dates,0),MATCH($B$3,daily_items,0)))</f>
        <v>#N/A</v>
      </c>
      <c r="V203" s="1" t="e">
        <f aca="false">IF(ISBLANK(INDEX(big_daily_table,MATCH(DATE(V$5,$J203,$I203),daily_dates,0),MATCH($B$3,daily_items,0))),NA(),INDEX(big_daily_table,MATCH(DATE(V$5,$J203,$I203),daily_dates,0),MATCH($B$3,daily_items,0)))</f>
        <v>#N/A</v>
      </c>
      <c r="W203" s="1" t="e">
        <f aca="false">IF(ISBLANK(INDEX(big_daily_table,MATCH(DATE(W$5,$J203,$I203),daily_dates,0),MATCH($B$3,daily_items,0))),NA(),INDEX(big_daily_table,MATCH(DATE(W$5,$J203,$I203),daily_dates,0),MATCH($B$3,daily_items,0)))</f>
        <v>#N/A</v>
      </c>
      <c r="X203" s="1" t="e">
        <f aca="false">IF(ISBLANK(INDEX(big_daily_table,MATCH(DATE(X$5,$J203,$I203),daily_dates,0),MATCH($B$3,daily_items,0))),NA(),INDEX(big_daily_table,MATCH(DATE(X$5,$J203,$I203),daily_dates,0),MATCH($B$3,daily_items,0)))</f>
        <v>#N/A</v>
      </c>
      <c r="Y203" s="1" t="e">
        <f aca="false">IF(ISBLANK(INDEX(big_daily_table,MATCH(DATE(Y$5,$J203,$I203),daily_dates,0),MATCH($B$3,daily_items,0))),NA(),INDEX(big_daily_table,MATCH(DATE(Y$5,$J203,$I203),daily_dates,0),MATCH($B$3,daily_items,0)))</f>
        <v>#N/A</v>
      </c>
      <c r="Z203" s="1" t="n">
        <f aca="true">_xlfn.AGGREGATE(5,6,OFFSET($R$5,H203,0,1,$J$2))</f>
        <v>0</v>
      </c>
      <c r="AA203" s="1" t="n">
        <f aca="true">_xlfn.AGGREGATE(4,6,OFFSET($R$5,H203,0,1,$J$2))</f>
        <v>0</v>
      </c>
      <c r="AB203" s="1" t="n">
        <f aca="false">AA203-Z203</f>
        <v>0</v>
      </c>
      <c r="AC203" s="1" t="e">
        <f aca="true">_xlfn.AGGREGATE(1,6,OFFSET($R$5,H203,0,1,$J$2))</f>
        <v>#DIV/0!</v>
      </c>
    </row>
    <row r="204" customFormat="false" ht="14.25" hidden="false" customHeight="false" outlineLevel="0" collapsed="false">
      <c r="H204" s="1" t="n">
        <f aca="false">H203+1</f>
        <v>199</v>
      </c>
      <c r="I204" s="1" t="n">
        <f aca="false">DAY(K204)</f>
        <v>17</v>
      </c>
      <c r="J204" s="1" t="n">
        <f aca="false">MONTH(K204)</f>
        <v>7</v>
      </c>
      <c r="K204" s="23" t="n">
        <f aca="false">K203+1</f>
        <v>36724</v>
      </c>
      <c r="L204" s="24" t="n">
        <f aca="true">IF(TODAY()&lt;DATE($N$5,J204,I204),1000000,-1000000)</f>
        <v>-1000000</v>
      </c>
      <c r="M204" s="1" t="e">
        <f aca="false">IF(K204&gt;0,INDEX(big_daily_table,MATCH(DATE(N$5,$J204,$I204),daily_dates,0),MATCH($B$3,daily_items,0)),NA())</f>
        <v>#N/A</v>
      </c>
      <c r="N204" s="1" t="e">
        <f aca="false">IF(L204&lt;0,INDEX(big_daily_table,MATCH(DATE(N$5,$J204,$I204),daily_dates,0),MATCH($B$3,daily_items,0)),NA())</f>
        <v>#N/A</v>
      </c>
      <c r="O204" s="1" t="e">
        <f aca="false">IF(ISBLANK(INDEX(big_daily_table,MATCH(DATE(O$5,$J204,$I204),daily_dates,0),MATCH($B$3,daily_items,0))),NA(),INDEX(big_daily_table,MATCH(DATE(O$5,$J204,$I204),daily_dates,0),MATCH($B$3,daily_items,0)))</f>
        <v>#N/A</v>
      </c>
      <c r="P204" s="1" t="e">
        <f aca="false">IF(ISBLANK(INDEX(big_daily_table,MATCH(DATE(P$5,$J204,$I204),daily_dates,0),MATCH($B$3,daily_items,0))),NA(),INDEX(big_daily_table,MATCH(DATE(P$5,$J204,$I204),daily_dates,0),MATCH($B$3,daily_items,0)))</f>
        <v>#N/A</v>
      </c>
      <c r="Q204" s="1" t="e">
        <f aca="false">IF(ISBLANK(INDEX(big_daily_table,MATCH(DATE(Q$5,$J204,$I204),daily_dates,0),MATCH($B$3,daily_items,0))),NA(),INDEX(big_daily_table,MATCH(DATE(Q$5,$J204,$I204),daily_dates,0),MATCH($B$3,daily_items,0)))</f>
        <v>#N/A</v>
      </c>
      <c r="R204" s="1" t="e">
        <f aca="false">IF(ISBLANK(INDEX(big_daily_table,MATCH(DATE(R$5,$J204,$I204),daily_dates,0),MATCH($B$3,daily_items,0))),NA(),INDEX(big_daily_table,MATCH(DATE(R$5,$J204,$I204),daily_dates,0),MATCH($B$3,daily_items,0)))</f>
        <v>#N/A</v>
      </c>
      <c r="S204" s="1" t="e">
        <f aca="false">IF(ISBLANK(INDEX(big_daily_table,MATCH(DATE(S$5,$J204,$I204),daily_dates,0),MATCH($B$3,daily_items,0))),NA(),INDEX(big_daily_table,MATCH(DATE(S$5,$J204,$I204),daily_dates,0),MATCH($B$3,daily_items,0)))</f>
        <v>#N/A</v>
      </c>
      <c r="T204" s="1" t="e">
        <f aca="false">IF(ISBLANK(INDEX(big_daily_table,MATCH(DATE(T$5,$J204,$I204),daily_dates,0),MATCH($B$3,daily_items,0))),NA(),INDEX(big_daily_table,MATCH(DATE(T$5,$J204,$I204),daily_dates,0),MATCH($B$3,daily_items,0)))</f>
        <v>#N/A</v>
      </c>
      <c r="U204" s="1" t="e">
        <f aca="false">IF(ISBLANK(INDEX(big_daily_table,MATCH(DATE(U$5,$J204,$I204),daily_dates,0),MATCH($B$3,daily_items,0))),NA(),INDEX(big_daily_table,MATCH(DATE(U$5,$J204,$I204),daily_dates,0),MATCH($B$3,daily_items,0)))</f>
        <v>#N/A</v>
      </c>
      <c r="V204" s="1" t="e">
        <f aca="false">IF(ISBLANK(INDEX(big_daily_table,MATCH(DATE(V$5,$J204,$I204),daily_dates,0),MATCH($B$3,daily_items,0))),NA(),INDEX(big_daily_table,MATCH(DATE(V$5,$J204,$I204),daily_dates,0),MATCH($B$3,daily_items,0)))</f>
        <v>#N/A</v>
      </c>
      <c r="W204" s="1" t="e">
        <f aca="false">IF(ISBLANK(INDEX(big_daily_table,MATCH(DATE(W$5,$J204,$I204),daily_dates,0),MATCH($B$3,daily_items,0))),NA(),INDEX(big_daily_table,MATCH(DATE(W$5,$J204,$I204),daily_dates,0),MATCH($B$3,daily_items,0)))</f>
        <v>#N/A</v>
      </c>
      <c r="X204" s="1" t="e">
        <f aca="false">IF(ISBLANK(INDEX(big_daily_table,MATCH(DATE(X$5,$J204,$I204),daily_dates,0),MATCH($B$3,daily_items,0))),NA(),INDEX(big_daily_table,MATCH(DATE(X$5,$J204,$I204),daily_dates,0),MATCH($B$3,daily_items,0)))</f>
        <v>#N/A</v>
      </c>
      <c r="Y204" s="1" t="e">
        <f aca="false">IF(ISBLANK(INDEX(big_daily_table,MATCH(DATE(Y$5,$J204,$I204),daily_dates,0),MATCH($B$3,daily_items,0))),NA(),INDEX(big_daily_table,MATCH(DATE(Y$5,$J204,$I204),daily_dates,0),MATCH($B$3,daily_items,0)))</f>
        <v>#N/A</v>
      </c>
      <c r="Z204" s="1" t="n">
        <f aca="true">_xlfn.AGGREGATE(5,6,OFFSET($R$5,H204,0,1,$J$2))</f>
        <v>0</v>
      </c>
      <c r="AA204" s="1" t="n">
        <f aca="true">_xlfn.AGGREGATE(4,6,OFFSET($R$5,H204,0,1,$J$2))</f>
        <v>0</v>
      </c>
      <c r="AB204" s="1" t="n">
        <f aca="false">AA204-Z204</f>
        <v>0</v>
      </c>
      <c r="AC204" s="1" t="e">
        <f aca="true">_xlfn.AGGREGATE(1,6,OFFSET($R$5,H204,0,1,$J$2))</f>
        <v>#DIV/0!</v>
      </c>
    </row>
    <row r="205" customFormat="false" ht="14.25" hidden="false" customHeight="false" outlineLevel="0" collapsed="false">
      <c r="H205" s="1" t="n">
        <f aca="false">H204+1</f>
        <v>200</v>
      </c>
      <c r="I205" s="1" t="n">
        <f aca="false">DAY(K205)</f>
        <v>18</v>
      </c>
      <c r="J205" s="1" t="n">
        <f aca="false">MONTH(K205)</f>
        <v>7</v>
      </c>
      <c r="K205" s="23" t="n">
        <f aca="false">K204+1</f>
        <v>36725</v>
      </c>
      <c r="L205" s="24" t="n">
        <f aca="true">IF(TODAY()&lt;DATE($N$5,J205,I205),1000000,-1000000)</f>
        <v>-1000000</v>
      </c>
      <c r="M205" s="1" t="e">
        <f aca="false">IF(K205&gt;0,INDEX(big_daily_table,MATCH(DATE(N$5,$J205,$I205),daily_dates,0),MATCH($B$3,daily_items,0)),NA())</f>
        <v>#N/A</v>
      </c>
      <c r="N205" s="1" t="e">
        <f aca="false">IF(L205&lt;0,INDEX(big_daily_table,MATCH(DATE(N$5,$J205,$I205),daily_dates,0),MATCH($B$3,daily_items,0)),NA())</f>
        <v>#N/A</v>
      </c>
      <c r="O205" s="1" t="e">
        <f aca="false">IF(ISBLANK(INDEX(big_daily_table,MATCH(DATE(O$5,$J205,$I205),daily_dates,0),MATCH($B$3,daily_items,0))),NA(),INDEX(big_daily_table,MATCH(DATE(O$5,$J205,$I205),daily_dates,0),MATCH($B$3,daily_items,0)))</f>
        <v>#N/A</v>
      </c>
      <c r="P205" s="1" t="e">
        <f aca="false">IF(ISBLANK(INDEX(big_daily_table,MATCH(DATE(P$5,$J205,$I205),daily_dates,0),MATCH($B$3,daily_items,0))),NA(),INDEX(big_daily_table,MATCH(DATE(P$5,$J205,$I205),daily_dates,0),MATCH($B$3,daily_items,0)))</f>
        <v>#N/A</v>
      </c>
      <c r="Q205" s="1" t="e">
        <f aca="false">IF(ISBLANK(INDEX(big_daily_table,MATCH(DATE(Q$5,$J205,$I205),daily_dates,0),MATCH($B$3,daily_items,0))),NA(),INDEX(big_daily_table,MATCH(DATE(Q$5,$J205,$I205),daily_dates,0),MATCH($B$3,daily_items,0)))</f>
        <v>#N/A</v>
      </c>
      <c r="R205" s="1" t="e">
        <f aca="false">IF(ISBLANK(INDEX(big_daily_table,MATCH(DATE(R$5,$J205,$I205),daily_dates,0),MATCH($B$3,daily_items,0))),NA(),INDEX(big_daily_table,MATCH(DATE(R$5,$J205,$I205),daily_dates,0),MATCH($B$3,daily_items,0)))</f>
        <v>#N/A</v>
      </c>
      <c r="S205" s="1" t="e">
        <f aca="false">IF(ISBLANK(INDEX(big_daily_table,MATCH(DATE(S$5,$J205,$I205),daily_dates,0),MATCH($B$3,daily_items,0))),NA(),INDEX(big_daily_table,MATCH(DATE(S$5,$J205,$I205),daily_dates,0),MATCH($B$3,daily_items,0)))</f>
        <v>#N/A</v>
      </c>
      <c r="T205" s="1" t="e">
        <f aca="false">IF(ISBLANK(INDEX(big_daily_table,MATCH(DATE(T$5,$J205,$I205),daily_dates,0),MATCH($B$3,daily_items,0))),NA(),INDEX(big_daily_table,MATCH(DATE(T$5,$J205,$I205),daily_dates,0),MATCH($B$3,daily_items,0)))</f>
        <v>#N/A</v>
      </c>
      <c r="U205" s="1" t="e">
        <f aca="false">IF(ISBLANK(INDEX(big_daily_table,MATCH(DATE(U$5,$J205,$I205),daily_dates,0),MATCH($B$3,daily_items,0))),NA(),INDEX(big_daily_table,MATCH(DATE(U$5,$J205,$I205),daily_dates,0),MATCH($B$3,daily_items,0)))</f>
        <v>#N/A</v>
      </c>
      <c r="V205" s="1" t="e">
        <f aca="false">IF(ISBLANK(INDEX(big_daily_table,MATCH(DATE(V$5,$J205,$I205),daily_dates,0),MATCH($B$3,daily_items,0))),NA(),INDEX(big_daily_table,MATCH(DATE(V$5,$J205,$I205),daily_dates,0),MATCH($B$3,daily_items,0)))</f>
        <v>#N/A</v>
      </c>
      <c r="W205" s="1" t="e">
        <f aca="false">IF(ISBLANK(INDEX(big_daily_table,MATCH(DATE(W$5,$J205,$I205),daily_dates,0),MATCH($B$3,daily_items,0))),NA(),INDEX(big_daily_table,MATCH(DATE(W$5,$J205,$I205),daily_dates,0),MATCH($B$3,daily_items,0)))</f>
        <v>#N/A</v>
      </c>
      <c r="X205" s="1" t="e">
        <f aca="false">IF(ISBLANK(INDEX(big_daily_table,MATCH(DATE(X$5,$J205,$I205),daily_dates,0),MATCH($B$3,daily_items,0))),NA(),INDEX(big_daily_table,MATCH(DATE(X$5,$J205,$I205),daily_dates,0),MATCH($B$3,daily_items,0)))</f>
        <v>#N/A</v>
      </c>
      <c r="Y205" s="1" t="e">
        <f aca="false">IF(ISBLANK(INDEX(big_daily_table,MATCH(DATE(Y$5,$J205,$I205),daily_dates,0),MATCH($B$3,daily_items,0))),NA(),INDEX(big_daily_table,MATCH(DATE(Y$5,$J205,$I205),daily_dates,0),MATCH($B$3,daily_items,0)))</f>
        <v>#N/A</v>
      </c>
      <c r="Z205" s="1" t="n">
        <f aca="true">_xlfn.AGGREGATE(5,6,OFFSET($R$5,H205,0,1,$J$2))</f>
        <v>0</v>
      </c>
      <c r="AA205" s="1" t="n">
        <f aca="true">_xlfn.AGGREGATE(4,6,OFFSET($R$5,H205,0,1,$J$2))</f>
        <v>0</v>
      </c>
      <c r="AB205" s="1" t="n">
        <f aca="false">AA205-Z205</f>
        <v>0</v>
      </c>
      <c r="AC205" s="1" t="e">
        <f aca="true">_xlfn.AGGREGATE(1,6,OFFSET($R$5,H205,0,1,$J$2))</f>
        <v>#DIV/0!</v>
      </c>
    </row>
    <row r="206" customFormat="false" ht="14.25" hidden="false" customHeight="false" outlineLevel="0" collapsed="false">
      <c r="H206" s="1" t="n">
        <f aca="false">H205+1</f>
        <v>201</v>
      </c>
      <c r="I206" s="1" t="n">
        <f aca="false">DAY(K206)</f>
        <v>19</v>
      </c>
      <c r="J206" s="1" t="n">
        <f aca="false">MONTH(K206)</f>
        <v>7</v>
      </c>
      <c r="K206" s="23" t="n">
        <f aca="false">K205+1</f>
        <v>36726</v>
      </c>
      <c r="L206" s="24" t="n">
        <f aca="true">IF(TODAY()&lt;DATE($N$5,J206,I206),1000000,-1000000)</f>
        <v>-1000000</v>
      </c>
      <c r="M206" s="1" t="e">
        <f aca="false">IF(K206&gt;0,INDEX(big_daily_table,MATCH(DATE(N$5,$J206,$I206),daily_dates,0),MATCH($B$3,daily_items,0)),NA())</f>
        <v>#N/A</v>
      </c>
      <c r="N206" s="1" t="e">
        <f aca="false">IF(L206&lt;0,INDEX(big_daily_table,MATCH(DATE(N$5,$J206,$I206),daily_dates,0),MATCH($B$3,daily_items,0)),NA())</f>
        <v>#N/A</v>
      </c>
      <c r="O206" s="1" t="e">
        <f aca="false">IF(ISBLANK(INDEX(big_daily_table,MATCH(DATE(O$5,$J206,$I206),daily_dates,0),MATCH($B$3,daily_items,0))),NA(),INDEX(big_daily_table,MATCH(DATE(O$5,$J206,$I206),daily_dates,0),MATCH($B$3,daily_items,0)))</f>
        <v>#N/A</v>
      </c>
      <c r="P206" s="1" t="e">
        <f aca="false">IF(ISBLANK(INDEX(big_daily_table,MATCH(DATE(P$5,$J206,$I206),daily_dates,0),MATCH($B$3,daily_items,0))),NA(),INDEX(big_daily_table,MATCH(DATE(P$5,$J206,$I206),daily_dates,0),MATCH($B$3,daily_items,0)))</f>
        <v>#N/A</v>
      </c>
      <c r="Q206" s="1" t="e">
        <f aca="false">IF(ISBLANK(INDEX(big_daily_table,MATCH(DATE(Q$5,$J206,$I206),daily_dates,0),MATCH($B$3,daily_items,0))),NA(),INDEX(big_daily_table,MATCH(DATE(Q$5,$J206,$I206),daily_dates,0),MATCH($B$3,daily_items,0)))</f>
        <v>#N/A</v>
      </c>
      <c r="R206" s="1" t="e">
        <f aca="false">IF(ISBLANK(INDEX(big_daily_table,MATCH(DATE(R$5,$J206,$I206),daily_dates,0),MATCH($B$3,daily_items,0))),NA(),INDEX(big_daily_table,MATCH(DATE(R$5,$J206,$I206),daily_dates,0),MATCH($B$3,daily_items,0)))</f>
        <v>#N/A</v>
      </c>
      <c r="S206" s="1" t="e">
        <f aca="false">IF(ISBLANK(INDEX(big_daily_table,MATCH(DATE(S$5,$J206,$I206),daily_dates,0),MATCH($B$3,daily_items,0))),NA(),INDEX(big_daily_table,MATCH(DATE(S$5,$J206,$I206),daily_dates,0),MATCH($B$3,daily_items,0)))</f>
        <v>#N/A</v>
      </c>
      <c r="T206" s="1" t="e">
        <f aca="false">IF(ISBLANK(INDEX(big_daily_table,MATCH(DATE(T$5,$J206,$I206),daily_dates,0),MATCH($B$3,daily_items,0))),NA(),INDEX(big_daily_table,MATCH(DATE(T$5,$J206,$I206),daily_dates,0),MATCH($B$3,daily_items,0)))</f>
        <v>#N/A</v>
      </c>
      <c r="U206" s="1" t="e">
        <f aca="false">IF(ISBLANK(INDEX(big_daily_table,MATCH(DATE(U$5,$J206,$I206),daily_dates,0),MATCH($B$3,daily_items,0))),NA(),INDEX(big_daily_table,MATCH(DATE(U$5,$J206,$I206),daily_dates,0),MATCH($B$3,daily_items,0)))</f>
        <v>#N/A</v>
      </c>
      <c r="V206" s="1" t="e">
        <f aca="false">IF(ISBLANK(INDEX(big_daily_table,MATCH(DATE(V$5,$J206,$I206),daily_dates,0),MATCH($B$3,daily_items,0))),NA(),INDEX(big_daily_table,MATCH(DATE(V$5,$J206,$I206),daily_dates,0),MATCH($B$3,daily_items,0)))</f>
        <v>#N/A</v>
      </c>
      <c r="W206" s="1" t="e">
        <f aca="false">IF(ISBLANK(INDEX(big_daily_table,MATCH(DATE(W$5,$J206,$I206),daily_dates,0),MATCH($B$3,daily_items,0))),NA(),INDEX(big_daily_table,MATCH(DATE(W$5,$J206,$I206),daily_dates,0),MATCH($B$3,daily_items,0)))</f>
        <v>#N/A</v>
      </c>
      <c r="X206" s="1" t="e">
        <f aca="false">IF(ISBLANK(INDEX(big_daily_table,MATCH(DATE(X$5,$J206,$I206),daily_dates,0),MATCH($B$3,daily_items,0))),NA(),INDEX(big_daily_table,MATCH(DATE(X$5,$J206,$I206),daily_dates,0),MATCH($B$3,daily_items,0)))</f>
        <v>#N/A</v>
      </c>
      <c r="Y206" s="1" t="e">
        <f aca="false">IF(ISBLANK(INDEX(big_daily_table,MATCH(DATE(Y$5,$J206,$I206),daily_dates,0),MATCH($B$3,daily_items,0))),NA(),INDEX(big_daily_table,MATCH(DATE(Y$5,$J206,$I206),daily_dates,0),MATCH($B$3,daily_items,0)))</f>
        <v>#N/A</v>
      </c>
      <c r="Z206" s="1" t="n">
        <f aca="true">_xlfn.AGGREGATE(5,6,OFFSET($R$5,H206,0,1,$J$2))</f>
        <v>0</v>
      </c>
      <c r="AA206" s="1" t="n">
        <f aca="true">_xlfn.AGGREGATE(4,6,OFFSET($R$5,H206,0,1,$J$2))</f>
        <v>0</v>
      </c>
      <c r="AB206" s="1" t="n">
        <f aca="false">AA206-Z206</f>
        <v>0</v>
      </c>
      <c r="AC206" s="1" t="e">
        <f aca="true">_xlfn.AGGREGATE(1,6,OFFSET($R$5,H206,0,1,$J$2))</f>
        <v>#DIV/0!</v>
      </c>
    </row>
    <row r="207" customFormat="false" ht="14.25" hidden="false" customHeight="false" outlineLevel="0" collapsed="false">
      <c r="H207" s="1" t="n">
        <f aca="false">H206+1</f>
        <v>202</v>
      </c>
      <c r="I207" s="1" t="n">
        <f aca="false">DAY(K207)</f>
        <v>20</v>
      </c>
      <c r="J207" s="1" t="n">
        <f aca="false">MONTH(K207)</f>
        <v>7</v>
      </c>
      <c r="K207" s="23" t="n">
        <f aca="false">K206+1</f>
        <v>36727</v>
      </c>
      <c r="L207" s="24" t="n">
        <f aca="true">IF(TODAY()&lt;DATE($N$5,J207,I207),1000000,-1000000)</f>
        <v>-1000000</v>
      </c>
      <c r="M207" s="1" t="e">
        <f aca="false">IF(K207&gt;0,INDEX(big_daily_table,MATCH(DATE(N$5,$J207,$I207),daily_dates,0),MATCH($B$3,daily_items,0)),NA())</f>
        <v>#N/A</v>
      </c>
      <c r="N207" s="1" t="e">
        <f aca="false">IF(L207&lt;0,INDEX(big_daily_table,MATCH(DATE(N$5,$J207,$I207),daily_dates,0),MATCH($B$3,daily_items,0)),NA())</f>
        <v>#N/A</v>
      </c>
      <c r="O207" s="1" t="e">
        <f aca="false">IF(ISBLANK(INDEX(big_daily_table,MATCH(DATE(O$5,$J207,$I207),daily_dates,0),MATCH($B$3,daily_items,0))),NA(),INDEX(big_daily_table,MATCH(DATE(O$5,$J207,$I207),daily_dates,0),MATCH($B$3,daily_items,0)))</f>
        <v>#N/A</v>
      </c>
      <c r="P207" s="1" t="e">
        <f aca="false">IF(ISBLANK(INDEX(big_daily_table,MATCH(DATE(P$5,$J207,$I207),daily_dates,0),MATCH($B$3,daily_items,0))),NA(),INDEX(big_daily_table,MATCH(DATE(P$5,$J207,$I207),daily_dates,0),MATCH($B$3,daily_items,0)))</f>
        <v>#N/A</v>
      </c>
      <c r="Q207" s="1" t="e">
        <f aca="false">IF(ISBLANK(INDEX(big_daily_table,MATCH(DATE(Q$5,$J207,$I207),daily_dates,0),MATCH($B$3,daily_items,0))),NA(),INDEX(big_daily_table,MATCH(DATE(Q$5,$J207,$I207),daily_dates,0),MATCH($B$3,daily_items,0)))</f>
        <v>#N/A</v>
      </c>
      <c r="R207" s="1" t="e">
        <f aca="false">IF(ISBLANK(INDEX(big_daily_table,MATCH(DATE(R$5,$J207,$I207),daily_dates,0),MATCH($B$3,daily_items,0))),NA(),INDEX(big_daily_table,MATCH(DATE(R$5,$J207,$I207),daily_dates,0),MATCH($B$3,daily_items,0)))</f>
        <v>#N/A</v>
      </c>
      <c r="S207" s="1" t="e">
        <f aca="false">IF(ISBLANK(INDEX(big_daily_table,MATCH(DATE(S$5,$J207,$I207),daily_dates,0),MATCH($B$3,daily_items,0))),NA(),INDEX(big_daily_table,MATCH(DATE(S$5,$J207,$I207),daily_dates,0),MATCH($B$3,daily_items,0)))</f>
        <v>#N/A</v>
      </c>
      <c r="T207" s="1" t="e">
        <f aca="false">IF(ISBLANK(INDEX(big_daily_table,MATCH(DATE(T$5,$J207,$I207),daily_dates,0),MATCH($B$3,daily_items,0))),NA(),INDEX(big_daily_table,MATCH(DATE(T$5,$J207,$I207),daily_dates,0),MATCH($B$3,daily_items,0)))</f>
        <v>#N/A</v>
      </c>
      <c r="U207" s="1" t="e">
        <f aca="false">IF(ISBLANK(INDEX(big_daily_table,MATCH(DATE(U$5,$J207,$I207),daily_dates,0),MATCH($B$3,daily_items,0))),NA(),INDEX(big_daily_table,MATCH(DATE(U$5,$J207,$I207),daily_dates,0),MATCH($B$3,daily_items,0)))</f>
        <v>#N/A</v>
      </c>
      <c r="V207" s="1" t="e">
        <f aca="false">IF(ISBLANK(INDEX(big_daily_table,MATCH(DATE(V$5,$J207,$I207),daily_dates,0),MATCH($B$3,daily_items,0))),NA(),INDEX(big_daily_table,MATCH(DATE(V$5,$J207,$I207),daily_dates,0),MATCH($B$3,daily_items,0)))</f>
        <v>#N/A</v>
      </c>
      <c r="W207" s="1" t="e">
        <f aca="false">IF(ISBLANK(INDEX(big_daily_table,MATCH(DATE(W$5,$J207,$I207),daily_dates,0),MATCH($B$3,daily_items,0))),NA(),INDEX(big_daily_table,MATCH(DATE(W$5,$J207,$I207),daily_dates,0),MATCH($B$3,daily_items,0)))</f>
        <v>#N/A</v>
      </c>
      <c r="X207" s="1" t="e">
        <f aca="false">IF(ISBLANK(INDEX(big_daily_table,MATCH(DATE(X$5,$J207,$I207),daily_dates,0),MATCH($B$3,daily_items,0))),NA(),INDEX(big_daily_table,MATCH(DATE(X$5,$J207,$I207),daily_dates,0),MATCH($B$3,daily_items,0)))</f>
        <v>#N/A</v>
      </c>
      <c r="Y207" s="1" t="e">
        <f aca="false">IF(ISBLANK(INDEX(big_daily_table,MATCH(DATE(Y$5,$J207,$I207),daily_dates,0),MATCH($B$3,daily_items,0))),NA(),INDEX(big_daily_table,MATCH(DATE(Y$5,$J207,$I207),daily_dates,0),MATCH($B$3,daily_items,0)))</f>
        <v>#N/A</v>
      </c>
      <c r="Z207" s="1" t="n">
        <f aca="true">_xlfn.AGGREGATE(5,6,OFFSET($R$5,H207,0,1,$J$2))</f>
        <v>0</v>
      </c>
      <c r="AA207" s="1" t="n">
        <f aca="true">_xlfn.AGGREGATE(4,6,OFFSET($R$5,H207,0,1,$J$2))</f>
        <v>0</v>
      </c>
      <c r="AB207" s="1" t="n">
        <f aca="false">AA207-Z207</f>
        <v>0</v>
      </c>
      <c r="AC207" s="1" t="e">
        <f aca="true">_xlfn.AGGREGATE(1,6,OFFSET($R$5,H207,0,1,$J$2))</f>
        <v>#DIV/0!</v>
      </c>
    </row>
    <row r="208" customFormat="false" ht="14.25" hidden="false" customHeight="false" outlineLevel="0" collapsed="false">
      <c r="H208" s="1" t="n">
        <f aca="false">H207+1</f>
        <v>203</v>
      </c>
      <c r="I208" s="1" t="n">
        <f aca="false">DAY(K208)</f>
        <v>21</v>
      </c>
      <c r="J208" s="1" t="n">
        <f aca="false">MONTH(K208)</f>
        <v>7</v>
      </c>
      <c r="K208" s="23" t="n">
        <f aca="false">K207+1</f>
        <v>36728</v>
      </c>
      <c r="L208" s="24" t="n">
        <f aca="true">IF(TODAY()&lt;DATE($N$5,J208,I208),1000000,-1000000)</f>
        <v>-1000000</v>
      </c>
      <c r="M208" s="1" t="e">
        <f aca="false">IF(K208&gt;0,INDEX(big_daily_table,MATCH(DATE(N$5,$J208,$I208),daily_dates,0),MATCH($B$3,daily_items,0)),NA())</f>
        <v>#N/A</v>
      </c>
      <c r="N208" s="1" t="e">
        <f aca="false">IF(L208&lt;0,INDEX(big_daily_table,MATCH(DATE(N$5,$J208,$I208),daily_dates,0),MATCH($B$3,daily_items,0)),NA())</f>
        <v>#N/A</v>
      </c>
      <c r="O208" s="1" t="e">
        <f aca="false">IF(ISBLANK(INDEX(big_daily_table,MATCH(DATE(O$5,$J208,$I208),daily_dates,0),MATCH($B$3,daily_items,0))),NA(),INDEX(big_daily_table,MATCH(DATE(O$5,$J208,$I208),daily_dates,0),MATCH($B$3,daily_items,0)))</f>
        <v>#N/A</v>
      </c>
      <c r="P208" s="1" t="e">
        <f aca="false">IF(ISBLANK(INDEX(big_daily_table,MATCH(DATE(P$5,$J208,$I208),daily_dates,0),MATCH($B$3,daily_items,0))),NA(),INDEX(big_daily_table,MATCH(DATE(P$5,$J208,$I208),daily_dates,0),MATCH($B$3,daily_items,0)))</f>
        <v>#N/A</v>
      </c>
      <c r="Q208" s="1" t="e">
        <f aca="false">IF(ISBLANK(INDEX(big_daily_table,MATCH(DATE(Q$5,$J208,$I208),daily_dates,0),MATCH($B$3,daily_items,0))),NA(),INDEX(big_daily_table,MATCH(DATE(Q$5,$J208,$I208),daily_dates,0),MATCH($B$3,daily_items,0)))</f>
        <v>#N/A</v>
      </c>
      <c r="R208" s="1" t="e">
        <f aca="false">IF(ISBLANK(INDEX(big_daily_table,MATCH(DATE(R$5,$J208,$I208),daily_dates,0),MATCH($B$3,daily_items,0))),NA(),INDEX(big_daily_table,MATCH(DATE(R$5,$J208,$I208),daily_dates,0),MATCH($B$3,daily_items,0)))</f>
        <v>#N/A</v>
      </c>
      <c r="S208" s="1" t="e">
        <f aca="false">IF(ISBLANK(INDEX(big_daily_table,MATCH(DATE(S$5,$J208,$I208),daily_dates,0),MATCH($B$3,daily_items,0))),NA(),INDEX(big_daily_table,MATCH(DATE(S$5,$J208,$I208),daily_dates,0),MATCH($B$3,daily_items,0)))</f>
        <v>#N/A</v>
      </c>
      <c r="T208" s="1" t="e">
        <f aca="false">IF(ISBLANK(INDEX(big_daily_table,MATCH(DATE(T$5,$J208,$I208),daily_dates,0),MATCH($B$3,daily_items,0))),NA(),INDEX(big_daily_table,MATCH(DATE(T$5,$J208,$I208),daily_dates,0),MATCH($B$3,daily_items,0)))</f>
        <v>#N/A</v>
      </c>
      <c r="U208" s="1" t="e">
        <f aca="false">IF(ISBLANK(INDEX(big_daily_table,MATCH(DATE(U$5,$J208,$I208),daily_dates,0),MATCH($B$3,daily_items,0))),NA(),INDEX(big_daily_table,MATCH(DATE(U$5,$J208,$I208),daily_dates,0),MATCH($B$3,daily_items,0)))</f>
        <v>#N/A</v>
      </c>
      <c r="V208" s="1" t="e">
        <f aca="false">IF(ISBLANK(INDEX(big_daily_table,MATCH(DATE(V$5,$J208,$I208),daily_dates,0),MATCH($B$3,daily_items,0))),NA(),INDEX(big_daily_table,MATCH(DATE(V$5,$J208,$I208),daily_dates,0),MATCH($B$3,daily_items,0)))</f>
        <v>#N/A</v>
      </c>
      <c r="W208" s="1" t="e">
        <f aca="false">IF(ISBLANK(INDEX(big_daily_table,MATCH(DATE(W$5,$J208,$I208),daily_dates,0),MATCH($B$3,daily_items,0))),NA(),INDEX(big_daily_table,MATCH(DATE(W$5,$J208,$I208),daily_dates,0),MATCH($B$3,daily_items,0)))</f>
        <v>#N/A</v>
      </c>
      <c r="X208" s="1" t="e">
        <f aca="false">IF(ISBLANK(INDEX(big_daily_table,MATCH(DATE(X$5,$J208,$I208),daily_dates,0),MATCH($B$3,daily_items,0))),NA(),INDEX(big_daily_table,MATCH(DATE(X$5,$J208,$I208),daily_dates,0),MATCH($B$3,daily_items,0)))</f>
        <v>#N/A</v>
      </c>
      <c r="Y208" s="1" t="e">
        <f aca="false">IF(ISBLANK(INDEX(big_daily_table,MATCH(DATE(Y$5,$J208,$I208),daily_dates,0),MATCH($B$3,daily_items,0))),NA(),INDEX(big_daily_table,MATCH(DATE(Y$5,$J208,$I208),daily_dates,0),MATCH($B$3,daily_items,0)))</f>
        <v>#N/A</v>
      </c>
      <c r="Z208" s="1" t="n">
        <f aca="true">_xlfn.AGGREGATE(5,6,OFFSET($R$5,H208,0,1,$J$2))</f>
        <v>0</v>
      </c>
      <c r="AA208" s="1" t="n">
        <f aca="true">_xlfn.AGGREGATE(4,6,OFFSET($R$5,H208,0,1,$J$2))</f>
        <v>0</v>
      </c>
      <c r="AB208" s="1" t="n">
        <f aca="false">AA208-Z208</f>
        <v>0</v>
      </c>
      <c r="AC208" s="1" t="e">
        <f aca="true">_xlfn.AGGREGATE(1,6,OFFSET($R$5,H208,0,1,$J$2))</f>
        <v>#DIV/0!</v>
      </c>
    </row>
    <row r="209" customFormat="false" ht="14.25" hidden="false" customHeight="false" outlineLevel="0" collapsed="false">
      <c r="H209" s="1" t="n">
        <f aca="false">H208+1</f>
        <v>204</v>
      </c>
      <c r="I209" s="1" t="n">
        <f aca="false">DAY(K209)</f>
        <v>22</v>
      </c>
      <c r="J209" s="1" t="n">
        <f aca="false">MONTH(K209)</f>
        <v>7</v>
      </c>
      <c r="K209" s="23" t="n">
        <f aca="false">K208+1</f>
        <v>36729</v>
      </c>
      <c r="L209" s="24" t="n">
        <f aca="true">IF(TODAY()&lt;DATE($N$5,J209,I209),1000000,-1000000)</f>
        <v>-1000000</v>
      </c>
      <c r="M209" s="1" t="e">
        <f aca="false">IF(K209&gt;0,INDEX(big_daily_table,MATCH(DATE(N$5,$J209,$I209),daily_dates,0),MATCH($B$3,daily_items,0)),NA())</f>
        <v>#N/A</v>
      </c>
      <c r="N209" s="1" t="e">
        <f aca="false">IF(L209&lt;0,INDEX(big_daily_table,MATCH(DATE(N$5,$J209,$I209),daily_dates,0),MATCH($B$3,daily_items,0)),NA())</f>
        <v>#N/A</v>
      </c>
      <c r="O209" s="1" t="e">
        <f aca="false">IF(ISBLANK(INDEX(big_daily_table,MATCH(DATE(O$5,$J209,$I209),daily_dates,0),MATCH($B$3,daily_items,0))),NA(),INDEX(big_daily_table,MATCH(DATE(O$5,$J209,$I209),daily_dates,0),MATCH($B$3,daily_items,0)))</f>
        <v>#N/A</v>
      </c>
      <c r="P209" s="1" t="e">
        <f aca="false">IF(ISBLANK(INDEX(big_daily_table,MATCH(DATE(P$5,$J209,$I209),daily_dates,0),MATCH($B$3,daily_items,0))),NA(),INDEX(big_daily_table,MATCH(DATE(P$5,$J209,$I209),daily_dates,0),MATCH($B$3,daily_items,0)))</f>
        <v>#N/A</v>
      </c>
      <c r="Q209" s="1" t="e">
        <f aca="false">IF(ISBLANK(INDEX(big_daily_table,MATCH(DATE(Q$5,$J209,$I209),daily_dates,0),MATCH($B$3,daily_items,0))),NA(),INDEX(big_daily_table,MATCH(DATE(Q$5,$J209,$I209),daily_dates,0),MATCH($B$3,daily_items,0)))</f>
        <v>#N/A</v>
      </c>
      <c r="R209" s="1" t="e">
        <f aca="false">IF(ISBLANK(INDEX(big_daily_table,MATCH(DATE(R$5,$J209,$I209),daily_dates,0),MATCH($B$3,daily_items,0))),NA(),INDEX(big_daily_table,MATCH(DATE(R$5,$J209,$I209),daily_dates,0),MATCH($B$3,daily_items,0)))</f>
        <v>#N/A</v>
      </c>
      <c r="S209" s="1" t="e">
        <f aca="false">IF(ISBLANK(INDEX(big_daily_table,MATCH(DATE(S$5,$J209,$I209),daily_dates,0),MATCH($B$3,daily_items,0))),NA(),INDEX(big_daily_table,MATCH(DATE(S$5,$J209,$I209),daily_dates,0),MATCH($B$3,daily_items,0)))</f>
        <v>#N/A</v>
      </c>
      <c r="T209" s="1" t="e">
        <f aca="false">IF(ISBLANK(INDEX(big_daily_table,MATCH(DATE(T$5,$J209,$I209),daily_dates,0),MATCH($B$3,daily_items,0))),NA(),INDEX(big_daily_table,MATCH(DATE(T$5,$J209,$I209),daily_dates,0),MATCH($B$3,daily_items,0)))</f>
        <v>#N/A</v>
      </c>
      <c r="U209" s="1" t="e">
        <f aca="false">IF(ISBLANK(INDEX(big_daily_table,MATCH(DATE(U$5,$J209,$I209),daily_dates,0),MATCH($B$3,daily_items,0))),NA(),INDEX(big_daily_table,MATCH(DATE(U$5,$J209,$I209),daily_dates,0),MATCH($B$3,daily_items,0)))</f>
        <v>#N/A</v>
      </c>
      <c r="V209" s="1" t="e">
        <f aca="false">IF(ISBLANK(INDEX(big_daily_table,MATCH(DATE(V$5,$J209,$I209),daily_dates,0),MATCH($B$3,daily_items,0))),NA(),INDEX(big_daily_table,MATCH(DATE(V$5,$J209,$I209),daily_dates,0),MATCH($B$3,daily_items,0)))</f>
        <v>#N/A</v>
      </c>
      <c r="W209" s="1" t="e">
        <f aca="false">IF(ISBLANK(INDEX(big_daily_table,MATCH(DATE(W$5,$J209,$I209),daily_dates,0),MATCH($B$3,daily_items,0))),NA(),INDEX(big_daily_table,MATCH(DATE(W$5,$J209,$I209),daily_dates,0),MATCH($B$3,daily_items,0)))</f>
        <v>#N/A</v>
      </c>
      <c r="X209" s="1" t="e">
        <f aca="false">IF(ISBLANK(INDEX(big_daily_table,MATCH(DATE(X$5,$J209,$I209),daily_dates,0),MATCH($B$3,daily_items,0))),NA(),INDEX(big_daily_table,MATCH(DATE(X$5,$J209,$I209),daily_dates,0),MATCH($B$3,daily_items,0)))</f>
        <v>#N/A</v>
      </c>
      <c r="Y209" s="1" t="e">
        <f aca="false">IF(ISBLANK(INDEX(big_daily_table,MATCH(DATE(Y$5,$J209,$I209),daily_dates,0),MATCH($B$3,daily_items,0))),NA(),INDEX(big_daily_table,MATCH(DATE(Y$5,$J209,$I209),daily_dates,0),MATCH($B$3,daily_items,0)))</f>
        <v>#N/A</v>
      </c>
      <c r="Z209" s="1" t="n">
        <f aca="true">_xlfn.AGGREGATE(5,6,OFFSET($R$5,H209,0,1,$J$2))</f>
        <v>0</v>
      </c>
      <c r="AA209" s="1" t="n">
        <f aca="true">_xlfn.AGGREGATE(4,6,OFFSET($R$5,H209,0,1,$J$2))</f>
        <v>0</v>
      </c>
      <c r="AB209" s="1" t="n">
        <f aca="false">AA209-Z209</f>
        <v>0</v>
      </c>
      <c r="AC209" s="1" t="e">
        <f aca="true">_xlfn.AGGREGATE(1,6,OFFSET($R$5,H209,0,1,$J$2))</f>
        <v>#DIV/0!</v>
      </c>
    </row>
    <row r="210" customFormat="false" ht="14.25" hidden="false" customHeight="false" outlineLevel="0" collapsed="false">
      <c r="H210" s="1" t="n">
        <f aca="false">H209+1</f>
        <v>205</v>
      </c>
      <c r="I210" s="1" t="n">
        <f aca="false">DAY(K210)</f>
        <v>23</v>
      </c>
      <c r="J210" s="1" t="n">
        <f aca="false">MONTH(K210)</f>
        <v>7</v>
      </c>
      <c r="K210" s="23" t="n">
        <f aca="false">K209+1</f>
        <v>36730</v>
      </c>
      <c r="L210" s="24" t="n">
        <f aca="true">IF(TODAY()&lt;DATE($N$5,J210,I210),1000000,-1000000)</f>
        <v>-1000000</v>
      </c>
      <c r="M210" s="1" t="e">
        <f aca="false">IF(K210&gt;0,INDEX(big_daily_table,MATCH(DATE(N$5,$J210,$I210),daily_dates,0),MATCH($B$3,daily_items,0)),NA())</f>
        <v>#N/A</v>
      </c>
      <c r="N210" s="1" t="e">
        <f aca="false">IF(L210&lt;0,INDEX(big_daily_table,MATCH(DATE(N$5,$J210,$I210),daily_dates,0),MATCH($B$3,daily_items,0)),NA())</f>
        <v>#N/A</v>
      </c>
      <c r="O210" s="1" t="e">
        <f aca="false">IF(ISBLANK(INDEX(big_daily_table,MATCH(DATE(O$5,$J210,$I210),daily_dates,0),MATCH($B$3,daily_items,0))),NA(),INDEX(big_daily_table,MATCH(DATE(O$5,$J210,$I210),daily_dates,0),MATCH($B$3,daily_items,0)))</f>
        <v>#N/A</v>
      </c>
      <c r="P210" s="1" t="e">
        <f aca="false">IF(ISBLANK(INDEX(big_daily_table,MATCH(DATE(P$5,$J210,$I210),daily_dates,0),MATCH($B$3,daily_items,0))),NA(),INDEX(big_daily_table,MATCH(DATE(P$5,$J210,$I210),daily_dates,0),MATCH($B$3,daily_items,0)))</f>
        <v>#N/A</v>
      </c>
      <c r="Q210" s="1" t="e">
        <f aca="false">IF(ISBLANK(INDEX(big_daily_table,MATCH(DATE(Q$5,$J210,$I210),daily_dates,0),MATCH($B$3,daily_items,0))),NA(),INDEX(big_daily_table,MATCH(DATE(Q$5,$J210,$I210),daily_dates,0),MATCH($B$3,daily_items,0)))</f>
        <v>#N/A</v>
      </c>
      <c r="R210" s="1" t="e">
        <f aca="false">IF(ISBLANK(INDEX(big_daily_table,MATCH(DATE(R$5,$J210,$I210),daily_dates,0),MATCH($B$3,daily_items,0))),NA(),INDEX(big_daily_table,MATCH(DATE(R$5,$J210,$I210),daily_dates,0),MATCH($B$3,daily_items,0)))</f>
        <v>#N/A</v>
      </c>
      <c r="S210" s="1" t="e">
        <f aca="false">IF(ISBLANK(INDEX(big_daily_table,MATCH(DATE(S$5,$J210,$I210),daily_dates,0),MATCH($B$3,daily_items,0))),NA(),INDEX(big_daily_table,MATCH(DATE(S$5,$J210,$I210),daily_dates,0),MATCH($B$3,daily_items,0)))</f>
        <v>#N/A</v>
      </c>
      <c r="T210" s="1" t="e">
        <f aca="false">IF(ISBLANK(INDEX(big_daily_table,MATCH(DATE(T$5,$J210,$I210),daily_dates,0),MATCH($B$3,daily_items,0))),NA(),INDEX(big_daily_table,MATCH(DATE(T$5,$J210,$I210),daily_dates,0),MATCH($B$3,daily_items,0)))</f>
        <v>#N/A</v>
      </c>
      <c r="U210" s="1" t="e">
        <f aca="false">IF(ISBLANK(INDEX(big_daily_table,MATCH(DATE(U$5,$J210,$I210),daily_dates,0),MATCH($B$3,daily_items,0))),NA(),INDEX(big_daily_table,MATCH(DATE(U$5,$J210,$I210),daily_dates,0),MATCH($B$3,daily_items,0)))</f>
        <v>#N/A</v>
      </c>
      <c r="V210" s="1" t="e">
        <f aca="false">IF(ISBLANK(INDEX(big_daily_table,MATCH(DATE(V$5,$J210,$I210),daily_dates,0),MATCH($B$3,daily_items,0))),NA(),INDEX(big_daily_table,MATCH(DATE(V$5,$J210,$I210),daily_dates,0),MATCH($B$3,daily_items,0)))</f>
        <v>#N/A</v>
      </c>
      <c r="W210" s="1" t="e">
        <f aca="false">IF(ISBLANK(INDEX(big_daily_table,MATCH(DATE(W$5,$J210,$I210),daily_dates,0),MATCH($B$3,daily_items,0))),NA(),INDEX(big_daily_table,MATCH(DATE(W$5,$J210,$I210),daily_dates,0),MATCH($B$3,daily_items,0)))</f>
        <v>#N/A</v>
      </c>
      <c r="X210" s="1" t="e">
        <f aca="false">IF(ISBLANK(INDEX(big_daily_table,MATCH(DATE(X$5,$J210,$I210),daily_dates,0),MATCH($B$3,daily_items,0))),NA(),INDEX(big_daily_table,MATCH(DATE(X$5,$J210,$I210),daily_dates,0),MATCH($B$3,daily_items,0)))</f>
        <v>#N/A</v>
      </c>
      <c r="Y210" s="1" t="e">
        <f aca="false">IF(ISBLANK(INDEX(big_daily_table,MATCH(DATE(Y$5,$J210,$I210),daily_dates,0),MATCH($B$3,daily_items,0))),NA(),INDEX(big_daily_table,MATCH(DATE(Y$5,$J210,$I210),daily_dates,0),MATCH($B$3,daily_items,0)))</f>
        <v>#N/A</v>
      </c>
      <c r="Z210" s="1" t="n">
        <f aca="true">_xlfn.AGGREGATE(5,6,OFFSET($R$5,H210,0,1,$J$2))</f>
        <v>0</v>
      </c>
      <c r="AA210" s="1" t="n">
        <f aca="true">_xlfn.AGGREGATE(4,6,OFFSET($R$5,H210,0,1,$J$2))</f>
        <v>0</v>
      </c>
      <c r="AB210" s="1" t="n">
        <f aca="false">AA210-Z210</f>
        <v>0</v>
      </c>
      <c r="AC210" s="1" t="e">
        <f aca="true">_xlfn.AGGREGATE(1,6,OFFSET($R$5,H210,0,1,$J$2))</f>
        <v>#DIV/0!</v>
      </c>
    </row>
    <row r="211" customFormat="false" ht="14.25" hidden="false" customHeight="false" outlineLevel="0" collapsed="false">
      <c r="H211" s="1" t="n">
        <f aca="false">H210+1</f>
        <v>206</v>
      </c>
      <c r="I211" s="1" t="n">
        <f aca="false">DAY(K211)</f>
        <v>24</v>
      </c>
      <c r="J211" s="1" t="n">
        <f aca="false">MONTH(K211)</f>
        <v>7</v>
      </c>
      <c r="K211" s="23" t="n">
        <f aca="false">K210+1</f>
        <v>36731</v>
      </c>
      <c r="L211" s="24" t="n">
        <f aca="true">IF(TODAY()&lt;DATE($N$5,J211,I211),1000000,-1000000)</f>
        <v>-1000000</v>
      </c>
      <c r="M211" s="1" t="e">
        <f aca="false">IF(K211&gt;0,INDEX(big_daily_table,MATCH(DATE(N$5,$J211,$I211),daily_dates,0),MATCH($B$3,daily_items,0)),NA())</f>
        <v>#N/A</v>
      </c>
      <c r="N211" s="1" t="e">
        <f aca="false">IF(L211&lt;0,INDEX(big_daily_table,MATCH(DATE(N$5,$J211,$I211),daily_dates,0),MATCH($B$3,daily_items,0)),NA())</f>
        <v>#N/A</v>
      </c>
      <c r="O211" s="1" t="e">
        <f aca="false">IF(ISBLANK(INDEX(big_daily_table,MATCH(DATE(O$5,$J211,$I211),daily_dates,0),MATCH($B$3,daily_items,0))),NA(),INDEX(big_daily_table,MATCH(DATE(O$5,$J211,$I211),daily_dates,0),MATCH($B$3,daily_items,0)))</f>
        <v>#N/A</v>
      </c>
      <c r="P211" s="1" t="e">
        <f aca="false">IF(ISBLANK(INDEX(big_daily_table,MATCH(DATE(P$5,$J211,$I211),daily_dates,0),MATCH($B$3,daily_items,0))),NA(),INDEX(big_daily_table,MATCH(DATE(P$5,$J211,$I211),daily_dates,0),MATCH($B$3,daily_items,0)))</f>
        <v>#N/A</v>
      </c>
      <c r="Q211" s="1" t="e">
        <f aca="false">IF(ISBLANK(INDEX(big_daily_table,MATCH(DATE(Q$5,$J211,$I211),daily_dates,0),MATCH($B$3,daily_items,0))),NA(),INDEX(big_daily_table,MATCH(DATE(Q$5,$J211,$I211),daily_dates,0),MATCH($B$3,daily_items,0)))</f>
        <v>#N/A</v>
      </c>
      <c r="R211" s="1" t="e">
        <f aca="false">IF(ISBLANK(INDEX(big_daily_table,MATCH(DATE(R$5,$J211,$I211),daily_dates,0),MATCH($B$3,daily_items,0))),NA(),INDEX(big_daily_table,MATCH(DATE(R$5,$J211,$I211),daily_dates,0),MATCH($B$3,daily_items,0)))</f>
        <v>#N/A</v>
      </c>
      <c r="S211" s="1" t="e">
        <f aca="false">IF(ISBLANK(INDEX(big_daily_table,MATCH(DATE(S$5,$J211,$I211),daily_dates,0),MATCH($B$3,daily_items,0))),NA(),INDEX(big_daily_table,MATCH(DATE(S$5,$J211,$I211),daily_dates,0),MATCH($B$3,daily_items,0)))</f>
        <v>#N/A</v>
      </c>
      <c r="T211" s="1" t="e">
        <f aca="false">IF(ISBLANK(INDEX(big_daily_table,MATCH(DATE(T$5,$J211,$I211),daily_dates,0),MATCH($B$3,daily_items,0))),NA(),INDEX(big_daily_table,MATCH(DATE(T$5,$J211,$I211),daily_dates,0),MATCH($B$3,daily_items,0)))</f>
        <v>#N/A</v>
      </c>
      <c r="U211" s="1" t="e">
        <f aca="false">IF(ISBLANK(INDEX(big_daily_table,MATCH(DATE(U$5,$J211,$I211),daily_dates,0),MATCH($B$3,daily_items,0))),NA(),INDEX(big_daily_table,MATCH(DATE(U$5,$J211,$I211),daily_dates,0),MATCH($B$3,daily_items,0)))</f>
        <v>#N/A</v>
      </c>
      <c r="V211" s="1" t="e">
        <f aca="false">IF(ISBLANK(INDEX(big_daily_table,MATCH(DATE(V$5,$J211,$I211),daily_dates,0),MATCH($B$3,daily_items,0))),NA(),INDEX(big_daily_table,MATCH(DATE(V$5,$J211,$I211),daily_dates,0),MATCH($B$3,daily_items,0)))</f>
        <v>#N/A</v>
      </c>
      <c r="W211" s="1" t="e">
        <f aca="false">IF(ISBLANK(INDEX(big_daily_table,MATCH(DATE(W$5,$J211,$I211),daily_dates,0),MATCH($B$3,daily_items,0))),NA(),INDEX(big_daily_table,MATCH(DATE(W$5,$J211,$I211),daily_dates,0),MATCH($B$3,daily_items,0)))</f>
        <v>#N/A</v>
      </c>
      <c r="X211" s="1" t="e">
        <f aca="false">IF(ISBLANK(INDEX(big_daily_table,MATCH(DATE(X$5,$J211,$I211),daily_dates,0),MATCH($B$3,daily_items,0))),NA(),INDEX(big_daily_table,MATCH(DATE(X$5,$J211,$I211),daily_dates,0),MATCH($B$3,daily_items,0)))</f>
        <v>#N/A</v>
      </c>
      <c r="Y211" s="1" t="e">
        <f aca="false">IF(ISBLANK(INDEX(big_daily_table,MATCH(DATE(Y$5,$J211,$I211),daily_dates,0),MATCH($B$3,daily_items,0))),NA(),INDEX(big_daily_table,MATCH(DATE(Y$5,$J211,$I211),daily_dates,0),MATCH($B$3,daily_items,0)))</f>
        <v>#N/A</v>
      </c>
      <c r="Z211" s="1" t="n">
        <f aca="true">_xlfn.AGGREGATE(5,6,OFFSET($R$5,H211,0,1,$J$2))</f>
        <v>0</v>
      </c>
      <c r="AA211" s="1" t="n">
        <f aca="true">_xlfn.AGGREGATE(4,6,OFFSET($R$5,H211,0,1,$J$2))</f>
        <v>0</v>
      </c>
      <c r="AB211" s="1" t="n">
        <f aca="false">AA211-Z211</f>
        <v>0</v>
      </c>
      <c r="AC211" s="1" t="e">
        <f aca="true">_xlfn.AGGREGATE(1,6,OFFSET($R$5,H211,0,1,$J$2))</f>
        <v>#DIV/0!</v>
      </c>
    </row>
    <row r="212" customFormat="false" ht="14.25" hidden="false" customHeight="false" outlineLevel="0" collapsed="false">
      <c r="H212" s="1" t="n">
        <f aca="false">H211+1</f>
        <v>207</v>
      </c>
      <c r="I212" s="1" t="n">
        <f aca="false">DAY(K212)</f>
        <v>25</v>
      </c>
      <c r="J212" s="1" t="n">
        <f aca="false">MONTH(K212)</f>
        <v>7</v>
      </c>
      <c r="K212" s="23" t="n">
        <f aca="false">K211+1</f>
        <v>36732</v>
      </c>
      <c r="L212" s="24" t="n">
        <f aca="true">IF(TODAY()&lt;DATE($N$5,J212,I212),1000000,-1000000)</f>
        <v>-1000000</v>
      </c>
      <c r="M212" s="1" t="e">
        <f aca="false">IF(K212&gt;0,INDEX(big_daily_table,MATCH(DATE(N$5,$J212,$I212),daily_dates,0),MATCH($B$3,daily_items,0)),NA())</f>
        <v>#N/A</v>
      </c>
      <c r="N212" s="1" t="e">
        <f aca="false">IF(L212&lt;0,INDEX(big_daily_table,MATCH(DATE(N$5,$J212,$I212),daily_dates,0),MATCH($B$3,daily_items,0)),NA())</f>
        <v>#N/A</v>
      </c>
      <c r="O212" s="1" t="e">
        <f aca="false">IF(ISBLANK(INDEX(big_daily_table,MATCH(DATE(O$5,$J212,$I212),daily_dates,0),MATCH($B$3,daily_items,0))),NA(),INDEX(big_daily_table,MATCH(DATE(O$5,$J212,$I212),daily_dates,0),MATCH($B$3,daily_items,0)))</f>
        <v>#N/A</v>
      </c>
      <c r="P212" s="1" t="e">
        <f aca="false">IF(ISBLANK(INDEX(big_daily_table,MATCH(DATE(P$5,$J212,$I212),daily_dates,0),MATCH($B$3,daily_items,0))),NA(),INDEX(big_daily_table,MATCH(DATE(P$5,$J212,$I212),daily_dates,0),MATCH($B$3,daily_items,0)))</f>
        <v>#N/A</v>
      </c>
      <c r="Q212" s="1" t="e">
        <f aca="false">IF(ISBLANK(INDEX(big_daily_table,MATCH(DATE(Q$5,$J212,$I212),daily_dates,0),MATCH($B$3,daily_items,0))),NA(),INDEX(big_daily_table,MATCH(DATE(Q$5,$J212,$I212),daily_dates,0),MATCH($B$3,daily_items,0)))</f>
        <v>#N/A</v>
      </c>
      <c r="R212" s="1" t="e">
        <f aca="false">IF(ISBLANK(INDEX(big_daily_table,MATCH(DATE(R$5,$J212,$I212),daily_dates,0),MATCH($B$3,daily_items,0))),NA(),INDEX(big_daily_table,MATCH(DATE(R$5,$J212,$I212),daily_dates,0),MATCH($B$3,daily_items,0)))</f>
        <v>#N/A</v>
      </c>
      <c r="S212" s="1" t="e">
        <f aca="false">IF(ISBLANK(INDEX(big_daily_table,MATCH(DATE(S$5,$J212,$I212),daily_dates,0),MATCH($B$3,daily_items,0))),NA(),INDEX(big_daily_table,MATCH(DATE(S$5,$J212,$I212),daily_dates,0),MATCH($B$3,daily_items,0)))</f>
        <v>#N/A</v>
      </c>
      <c r="T212" s="1" t="e">
        <f aca="false">IF(ISBLANK(INDEX(big_daily_table,MATCH(DATE(T$5,$J212,$I212),daily_dates,0),MATCH($B$3,daily_items,0))),NA(),INDEX(big_daily_table,MATCH(DATE(T$5,$J212,$I212),daily_dates,0),MATCH($B$3,daily_items,0)))</f>
        <v>#N/A</v>
      </c>
      <c r="U212" s="1" t="e">
        <f aca="false">IF(ISBLANK(INDEX(big_daily_table,MATCH(DATE(U$5,$J212,$I212),daily_dates,0),MATCH($B$3,daily_items,0))),NA(),INDEX(big_daily_table,MATCH(DATE(U$5,$J212,$I212),daily_dates,0),MATCH($B$3,daily_items,0)))</f>
        <v>#N/A</v>
      </c>
      <c r="V212" s="1" t="e">
        <f aca="false">IF(ISBLANK(INDEX(big_daily_table,MATCH(DATE(V$5,$J212,$I212),daily_dates,0),MATCH($B$3,daily_items,0))),NA(),INDEX(big_daily_table,MATCH(DATE(V$5,$J212,$I212),daily_dates,0),MATCH($B$3,daily_items,0)))</f>
        <v>#N/A</v>
      </c>
      <c r="W212" s="1" t="e">
        <f aca="false">IF(ISBLANK(INDEX(big_daily_table,MATCH(DATE(W$5,$J212,$I212),daily_dates,0),MATCH($B$3,daily_items,0))),NA(),INDEX(big_daily_table,MATCH(DATE(W$5,$J212,$I212),daily_dates,0),MATCH($B$3,daily_items,0)))</f>
        <v>#N/A</v>
      </c>
      <c r="X212" s="1" t="e">
        <f aca="false">IF(ISBLANK(INDEX(big_daily_table,MATCH(DATE(X$5,$J212,$I212),daily_dates,0),MATCH($B$3,daily_items,0))),NA(),INDEX(big_daily_table,MATCH(DATE(X$5,$J212,$I212),daily_dates,0),MATCH($B$3,daily_items,0)))</f>
        <v>#N/A</v>
      </c>
      <c r="Y212" s="1" t="e">
        <f aca="false">IF(ISBLANK(INDEX(big_daily_table,MATCH(DATE(Y$5,$J212,$I212),daily_dates,0),MATCH($B$3,daily_items,0))),NA(),INDEX(big_daily_table,MATCH(DATE(Y$5,$J212,$I212),daily_dates,0),MATCH($B$3,daily_items,0)))</f>
        <v>#N/A</v>
      </c>
      <c r="Z212" s="1" t="n">
        <f aca="true">_xlfn.AGGREGATE(5,6,OFFSET($R$5,H212,0,1,$J$2))</f>
        <v>0</v>
      </c>
      <c r="AA212" s="1" t="n">
        <f aca="true">_xlfn.AGGREGATE(4,6,OFFSET($R$5,H212,0,1,$J$2))</f>
        <v>0</v>
      </c>
      <c r="AB212" s="1" t="n">
        <f aca="false">AA212-Z212</f>
        <v>0</v>
      </c>
      <c r="AC212" s="1" t="e">
        <f aca="true">_xlfn.AGGREGATE(1,6,OFFSET($R$5,H212,0,1,$J$2))</f>
        <v>#DIV/0!</v>
      </c>
    </row>
    <row r="213" customFormat="false" ht="14.25" hidden="false" customHeight="false" outlineLevel="0" collapsed="false">
      <c r="H213" s="1" t="n">
        <f aca="false">H212+1</f>
        <v>208</v>
      </c>
      <c r="I213" s="1" t="n">
        <f aca="false">DAY(K213)</f>
        <v>26</v>
      </c>
      <c r="J213" s="1" t="n">
        <f aca="false">MONTH(K213)</f>
        <v>7</v>
      </c>
      <c r="K213" s="23" t="n">
        <f aca="false">K212+1</f>
        <v>36733</v>
      </c>
      <c r="L213" s="24" t="n">
        <f aca="true">IF(TODAY()&lt;DATE($N$5,J213,I213),1000000,-1000000)</f>
        <v>-1000000</v>
      </c>
      <c r="M213" s="1" t="e">
        <f aca="false">IF(K213&gt;0,INDEX(big_daily_table,MATCH(DATE(N$5,$J213,$I213),daily_dates,0),MATCH($B$3,daily_items,0)),NA())</f>
        <v>#N/A</v>
      </c>
      <c r="N213" s="1" t="e">
        <f aca="false">IF(L213&lt;0,INDEX(big_daily_table,MATCH(DATE(N$5,$J213,$I213),daily_dates,0),MATCH($B$3,daily_items,0)),NA())</f>
        <v>#N/A</v>
      </c>
      <c r="O213" s="1" t="e">
        <f aca="false">IF(ISBLANK(INDEX(big_daily_table,MATCH(DATE(O$5,$J213,$I213),daily_dates,0),MATCH($B$3,daily_items,0))),NA(),INDEX(big_daily_table,MATCH(DATE(O$5,$J213,$I213),daily_dates,0),MATCH($B$3,daily_items,0)))</f>
        <v>#N/A</v>
      </c>
      <c r="P213" s="1" t="e">
        <f aca="false">IF(ISBLANK(INDEX(big_daily_table,MATCH(DATE(P$5,$J213,$I213),daily_dates,0),MATCH($B$3,daily_items,0))),NA(),INDEX(big_daily_table,MATCH(DATE(P$5,$J213,$I213),daily_dates,0),MATCH($B$3,daily_items,0)))</f>
        <v>#N/A</v>
      </c>
      <c r="Q213" s="1" t="e">
        <f aca="false">IF(ISBLANK(INDEX(big_daily_table,MATCH(DATE(Q$5,$J213,$I213),daily_dates,0),MATCH($B$3,daily_items,0))),NA(),INDEX(big_daily_table,MATCH(DATE(Q$5,$J213,$I213),daily_dates,0),MATCH($B$3,daily_items,0)))</f>
        <v>#N/A</v>
      </c>
      <c r="R213" s="1" t="e">
        <f aca="false">IF(ISBLANK(INDEX(big_daily_table,MATCH(DATE(R$5,$J213,$I213),daily_dates,0),MATCH($B$3,daily_items,0))),NA(),INDEX(big_daily_table,MATCH(DATE(R$5,$J213,$I213),daily_dates,0),MATCH($B$3,daily_items,0)))</f>
        <v>#N/A</v>
      </c>
      <c r="S213" s="1" t="e">
        <f aca="false">IF(ISBLANK(INDEX(big_daily_table,MATCH(DATE(S$5,$J213,$I213),daily_dates,0),MATCH($B$3,daily_items,0))),NA(),INDEX(big_daily_table,MATCH(DATE(S$5,$J213,$I213),daily_dates,0),MATCH($B$3,daily_items,0)))</f>
        <v>#N/A</v>
      </c>
      <c r="T213" s="1" t="e">
        <f aca="false">IF(ISBLANK(INDEX(big_daily_table,MATCH(DATE(T$5,$J213,$I213),daily_dates,0),MATCH($B$3,daily_items,0))),NA(),INDEX(big_daily_table,MATCH(DATE(T$5,$J213,$I213),daily_dates,0),MATCH($B$3,daily_items,0)))</f>
        <v>#N/A</v>
      </c>
      <c r="U213" s="1" t="e">
        <f aca="false">IF(ISBLANK(INDEX(big_daily_table,MATCH(DATE(U$5,$J213,$I213),daily_dates,0),MATCH($B$3,daily_items,0))),NA(),INDEX(big_daily_table,MATCH(DATE(U$5,$J213,$I213),daily_dates,0),MATCH($B$3,daily_items,0)))</f>
        <v>#N/A</v>
      </c>
      <c r="V213" s="1" t="e">
        <f aca="false">IF(ISBLANK(INDEX(big_daily_table,MATCH(DATE(V$5,$J213,$I213),daily_dates,0),MATCH($B$3,daily_items,0))),NA(),INDEX(big_daily_table,MATCH(DATE(V$5,$J213,$I213),daily_dates,0),MATCH($B$3,daily_items,0)))</f>
        <v>#N/A</v>
      </c>
      <c r="W213" s="1" t="e">
        <f aca="false">IF(ISBLANK(INDEX(big_daily_table,MATCH(DATE(W$5,$J213,$I213),daily_dates,0),MATCH($B$3,daily_items,0))),NA(),INDEX(big_daily_table,MATCH(DATE(W$5,$J213,$I213),daily_dates,0),MATCH($B$3,daily_items,0)))</f>
        <v>#N/A</v>
      </c>
      <c r="X213" s="1" t="e">
        <f aca="false">IF(ISBLANK(INDEX(big_daily_table,MATCH(DATE(X$5,$J213,$I213),daily_dates,0),MATCH($B$3,daily_items,0))),NA(),INDEX(big_daily_table,MATCH(DATE(X$5,$J213,$I213),daily_dates,0),MATCH($B$3,daily_items,0)))</f>
        <v>#N/A</v>
      </c>
      <c r="Y213" s="1" t="e">
        <f aca="false">IF(ISBLANK(INDEX(big_daily_table,MATCH(DATE(Y$5,$J213,$I213),daily_dates,0),MATCH($B$3,daily_items,0))),NA(),INDEX(big_daily_table,MATCH(DATE(Y$5,$J213,$I213),daily_dates,0),MATCH($B$3,daily_items,0)))</f>
        <v>#N/A</v>
      </c>
      <c r="Z213" s="1" t="n">
        <f aca="true">_xlfn.AGGREGATE(5,6,OFFSET($R$5,H213,0,1,$J$2))</f>
        <v>0</v>
      </c>
      <c r="AA213" s="1" t="n">
        <f aca="true">_xlfn.AGGREGATE(4,6,OFFSET($R$5,H213,0,1,$J$2))</f>
        <v>0</v>
      </c>
      <c r="AB213" s="1" t="n">
        <f aca="false">AA213-Z213</f>
        <v>0</v>
      </c>
      <c r="AC213" s="1" t="e">
        <f aca="true">_xlfn.AGGREGATE(1,6,OFFSET($R$5,H213,0,1,$J$2))</f>
        <v>#DIV/0!</v>
      </c>
    </row>
    <row r="214" customFormat="false" ht="14.25" hidden="false" customHeight="false" outlineLevel="0" collapsed="false">
      <c r="H214" s="1" t="n">
        <f aca="false">H213+1</f>
        <v>209</v>
      </c>
      <c r="I214" s="1" t="n">
        <f aca="false">DAY(K214)</f>
        <v>27</v>
      </c>
      <c r="J214" s="1" t="n">
        <f aca="false">MONTH(K214)</f>
        <v>7</v>
      </c>
      <c r="K214" s="23" t="n">
        <f aca="false">K213+1</f>
        <v>36734</v>
      </c>
      <c r="L214" s="24" t="n">
        <f aca="true">IF(TODAY()&lt;DATE($N$5,J214,I214),1000000,-1000000)</f>
        <v>-1000000</v>
      </c>
      <c r="M214" s="1" t="e">
        <f aca="false">IF(K214&gt;0,INDEX(big_daily_table,MATCH(DATE(N$5,$J214,$I214),daily_dates,0),MATCH($B$3,daily_items,0)),NA())</f>
        <v>#N/A</v>
      </c>
      <c r="N214" s="1" t="e">
        <f aca="false">IF(L214&lt;0,INDEX(big_daily_table,MATCH(DATE(N$5,$J214,$I214),daily_dates,0),MATCH($B$3,daily_items,0)),NA())</f>
        <v>#N/A</v>
      </c>
      <c r="O214" s="1" t="e">
        <f aca="false">IF(ISBLANK(INDEX(big_daily_table,MATCH(DATE(O$5,$J214,$I214),daily_dates,0),MATCH($B$3,daily_items,0))),NA(),INDEX(big_daily_table,MATCH(DATE(O$5,$J214,$I214),daily_dates,0),MATCH($B$3,daily_items,0)))</f>
        <v>#N/A</v>
      </c>
      <c r="P214" s="1" t="e">
        <f aca="false">IF(ISBLANK(INDEX(big_daily_table,MATCH(DATE(P$5,$J214,$I214),daily_dates,0),MATCH($B$3,daily_items,0))),NA(),INDEX(big_daily_table,MATCH(DATE(P$5,$J214,$I214),daily_dates,0),MATCH($B$3,daily_items,0)))</f>
        <v>#N/A</v>
      </c>
      <c r="Q214" s="1" t="e">
        <f aca="false">IF(ISBLANK(INDEX(big_daily_table,MATCH(DATE(Q$5,$J214,$I214),daily_dates,0),MATCH($B$3,daily_items,0))),NA(),INDEX(big_daily_table,MATCH(DATE(Q$5,$J214,$I214),daily_dates,0),MATCH($B$3,daily_items,0)))</f>
        <v>#N/A</v>
      </c>
      <c r="R214" s="1" t="e">
        <f aca="false">IF(ISBLANK(INDEX(big_daily_table,MATCH(DATE(R$5,$J214,$I214),daily_dates,0),MATCH($B$3,daily_items,0))),NA(),INDEX(big_daily_table,MATCH(DATE(R$5,$J214,$I214),daily_dates,0),MATCH($B$3,daily_items,0)))</f>
        <v>#N/A</v>
      </c>
      <c r="S214" s="1" t="e">
        <f aca="false">IF(ISBLANK(INDEX(big_daily_table,MATCH(DATE(S$5,$J214,$I214),daily_dates,0),MATCH($B$3,daily_items,0))),NA(),INDEX(big_daily_table,MATCH(DATE(S$5,$J214,$I214),daily_dates,0),MATCH($B$3,daily_items,0)))</f>
        <v>#N/A</v>
      </c>
      <c r="T214" s="1" t="e">
        <f aca="false">IF(ISBLANK(INDEX(big_daily_table,MATCH(DATE(T$5,$J214,$I214),daily_dates,0),MATCH($B$3,daily_items,0))),NA(),INDEX(big_daily_table,MATCH(DATE(T$5,$J214,$I214),daily_dates,0),MATCH($B$3,daily_items,0)))</f>
        <v>#N/A</v>
      </c>
      <c r="U214" s="1" t="e">
        <f aca="false">IF(ISBLANK(INDEX(big_daily_table,MATCH(DATE(U$5,$J214,$I214),daily_dates,0),MATCH($B$3,daily_items,0))),NA(),INDEX(big_daily_table,MATCH(DATE(U$5,$J214,$I214),daily_dates,0),MATCH($B$3,daily_items,0)))</f>
        <v>#N/A</v>
      </c>
      <c r="V214" s="1" t="e">
        <f aca="false">IF(ISBLANK(INDEX(big_daily_table,MATCH(DATE(V$5,$J214,$I214),daily_dates,0),MATCH($B$3,daily_items,0))),NA(),INDEX(big_daily_table,MATCH(DATE(V$5,$J214,$I214),daily_dates,0),MATCH($B$3,daily_items,0)))</f>
        <v>#N/A</v>
      </c>
      <c r="W214" s="1" t="e">
        <f aca="false">IF(ISBLANK(INDEX(big_daily_table,MATCH(DATE(W$5,$J214,$I214),daily_dates,0),MATCH($B$3,daily_items,0))),NA(),INDEX(big_daily_table,MATCH(DATE(W$5,$J214,$I214),daily_dates,0),MATCH($B$3,daily_items,0)))</f>
        <v>#N/A</v>
      </c>
      <c r="X214" s="1" t="e">
        <f aca="false">IF(ISBLANK(INDEX(big_daily_table,MATCH(DATE(X$5,$J214,$I214),daily_dates,0),MATCH($B$3,daily_items,0))),NA(),INDEX(big_daily_table,MATCH(DATE(X$5,$J214,$I214),daily_dates,0),MATCH($B$3,daily_items,0)))</f>
        <v>#N/A</v>
      </c>
      <c r="Y214" s="1" t="e">
        <f aca="false">IF(ISBLANK(INDEX(big_daily_table,MATCH(DATE(Y$5,$J214,$I214),daily_dates,0),MATCH($B$3,daily_items,0))),NA(),INDEX(big_daily_table,MATCH(DATE(Y$5,$J214,$I214),daily_dates,0),MATCH($B$3,daily_items,0)))</f>
        <v>#N/A</v>
      </c>
      <c r="Z214" s="1" t="n">
        <f aca="true">_xlfn.AGGREGATE(5,6,OFFSET($R$5,H214,0,1,$J$2))</f>
        <v>0</v>
      </c>
      <c r="AA214" s="1" t="n">
        <f aca="true">_xlfn.AGGREGATE(4,6,OFFSET($R$5,H214,0,1,$J$2))</f>
        <v>0</v>
      </c>
      <c r="AB214" s="1" t="n">
        <f aca="false">AA214-Z214</f>
        <v>0</v>
      </c>
      <c r="AC214" s="1" t="e">
        <f aca="true">_xlfn.AGGREGATE(1,6,OFFSET($R$5,H214,0,1,$J$2))</f>
        <v>#DIV/0!</v>
      </c>
    </row>
    <row r="215" customFormat="false" ht="14.25" hidden="false" customHeight="false" outlineLevel="0" collapsed="false">
      <c r="H215" s="1" t="n">
        <f aca="false">H214+1</f>
        <v>210</v>
      </c>
      <c r="I215" s="1" t="n">
        <f aca="false">DAY(K215)</f>
        <v>28</v>
      </c>
      <c r="J215" s="1" t="n">
        <f aca="false">MONTH(K215)</f>
        <v>7</v>
      </c>
      <c r="K215" s="23" t="n">
        <f aca="false">K214+1</f>
        <v>36735</v>
      </c>
      <c r="L215" s="24" t="n">
        <f aca="true">IF(TODAY()&lt;DATE($N$5,J215,I215),1000000,-1000000)</f>
        <v>-1000000</v>
      </c>
      <c r="M215" s="1" t="e">
        <f aca="false">IF(K215&gt;0,INDEX(big_daily_table,MATCH(DATE(N$5,$J215,$I215),daily_dates,0),MATCH($B$3,daily_items,0)),NA())</f>
        <v>#N/A</v>
      </c>
      <c r="N215" s="1" t="e">
        <f aca="false">IF(L215&lt;0,INDEX(big_daily_table,MATCH(DATE(N$5,$J215,$I215),daily_dates,0),MATCH($B$3,daily_items,0)),NA())</f>
        <v>#N/A</v>
      </c>
      <c r="O215" s="1" t="e">
        <f aca="false">IF(ISBLANK(INDEX(big_daily_table,MATCH(DATE(O$5,$J215,$I215),daily_dates,0),MATCH($B$3,daily_items,0))),NA(),INDEX(big_daily_table,MATCH(DATE(O$5,$J215,$I215),daily_dates,0),MATCH($B$3,daily_items,0)))</f>
        <v>#N/A</v>
      </c>
      <c r="P215" s="1" t="e">
        <f aca="false">IF(ISBLANK(INDEX(big_daily_table,MATCH(DATE(P$5,$J215,$I215),daily_dates,0),MATCH($B$3,daily_items,0))),NA(),INDEX(big_daily_table,MATCH(DATE(P$5,$J215,$I215),daily_dates,0),MATCH($B$3,daily_items,0)))</f>
        <v>#N/A</v>
      </c>
      <c r="Q215" s="1" t="e">
        <f aca="false">IF(ISBLANK(INDEX(big_daily_table,MATCH(DATE(Q$5,$J215,$I215),daily_dates,0),MATCH($B$3,daily_items,0))),NA(),INDEX(big_daily_table,MATCH(DATE(Q$5,$J215,$I215),daily_dates,0),MATCH($B$3,daily_items,0)))</f>
        <v>#N/A</v>
      </c>
      <c r="R215" s="1" t="e">
        <f aca="false">IF(ISBLANK(INDEX(big_daily_table,MATCH(DATE(R$5,$J215,$I215),daily_dates,0),MATCH($B$3,daily_items,0))),NA(),INDEX(big_daily_table,MATCH(DATE(R$5,$J215,$I215),daily_dates,0),MATCH($B$3,daily_items,0)))</f>
        <v>#N/A</v>
      </c>
      <c r="S215" s="1" t="e">
        <f aca="false">IF(ISBLANK(INDEX(big_daily_table,MATCH(DATE(S$5,$J215,$I215),daily_dates,0),MATCH($B$3,daily_items,0))),NA(),INDEX(big_daily_table,MATCH(DATE(S$5,$J215,$I215),daily_dates,0),MATCH($B$3,daily_items,0)))</f>
        <v>#N/A</v>
      </c>
      <c r="T215" s="1" t="e">
        <f aca="false">IF(ISBLANK(INDEX(big_daily_table,MATCH(DATE(T$5,$J215,$I215),daily_dates,0),MATCH($B$3,daily_items,0))),NA(),INDEX(big_daily_table,MATCH(DATE(T$5,$J215,$I215),daily_dates,0),MATCH($B$3,daily_items,0)))</f>
        <v>#N/A</v>
      </c>
      <c r="U215" s="1" t="e">
        <f aca="false">IF(ISBLANK(INDEX(big_daily_table,MATCH(DATE(U$5,$J215,$I215),daily_dates,0),MATCH($B$3,daily_items,0))),NA(),INDEX(big_daily_table,MATCH(DATE(U$5,$J215,$I215),daily_dates,0),MATCH($B$3,daily_items,0)))</f>
        <v>#N/A</v>
      </c>
      <c r="V215" s="1" t="e">
        <f aca="false">IF(ISBLANK(INDEX(big_daily_table,MATCH(DATE(V$5,$J215,$I215),daily_dates,0),MATCH($B$3,daily_items,0))),NA(),INDEX(big_daily_table,MATCH(DATE(V$5,$J215,$I215),daily_dates,0),MATCH($B$3,daily_items,0)))</f>
        <v>#N/A</v>
      </c>
      <c r="W215" s="1" t="e">
        <f aca="false">IF(ISBLANK(INDEX(big_daily_table,MATCH(DATE(W$5,$J215,$I215),daily_dates,0),MATCH($B$3,daily_items,0))),NA(),INDEX(big_daily_table,MATCH(DATE(W$5,$J215,$I215),daily_dates,0),MATCH($B$3,daily_items,0)))</f>
        <v>#N/A</v>
      </c>
      <c r="X215" s="1" t="e">
        <f aca="false">IF(ISBLANK(INDEX(big_daily_table,MATCH(DATE(X$5,$J215,$I215),daily_dates,0),MATCH($B$3,daily_items,0))),NA(),INDEX(big_daily_table,MATCH(DATE(X$5,$J215,$I215),daily_dates,0),MATCH($B$3,daily_items,0)))</f>
        <v>#N/A</v>
      </c>
      <c r="Y215" s="1" t="e">
        <f aca="false">IF(ISBLANK(INDEX(big_daily_table,MATCH(DATE(Y$5,$J215,$I215),daily_dates,0),MATCH($B$3,daily_items,0))),NA(),INDEX(big_daily_table,MATCH(DATE(Y$5,$J215,$I215),daily_dates,0),MATCH($B$3,daily_items,0)))</f>
        <v>#N/A</v>
      </c>
      <c r="Z215" s="1" t="n">
        <f aca="true">_xlfn.AGGREGATE(5,6,OFFSET($R$5,H215,0,1,$J$2))</f>
        <v>0</v>
      </c>
      <c r="AA215" s="1" t="n">
        <f aca="true">_xlfn.AGGREGATE(4,6,OFFSET($R$5,H215,0,1,$J$2))</f>
        <v>0</v>
      </c>
      <c r="AB215" s="1" t="n">
        <f aca="false">AA215-Z215</f>
        <v>0</v>
      </c>
      <c r="AC215" s="1" t="e">
        <f aca="true">_xlfn.AGGREGATE(1,6,OFFSET($R$5,H215,0,1,$J$2))</f>
        <v>#DIV/0!</v>
      </c>
    </row>
    <row r="216" customFormat="false" ht="14.25" hidden="false" customHeight="false" outlineLevel="0" collapsed="false">
      <c r="H216" s="1" t="n">
        <f aca="false">H215+1</f>
        <v>211</v>
      </c>
      <c r="I216" s="1" t="n">
        <f aca="false">DAY(K216)</f>
        <v>29</v>
      </c>
      <c r="J216" s="1" t="n">
        <f aca="false">MONTH(K216)</f>
        <v>7</v>
      </c>
      <c r="K216" s="23" t="n">
        <f aca="false">K215+1</f>
        <v>36736</v>
      </c>
      <c r="L216" s="24" t="n">
        <f aca="true">IF(TODAY()&lt;DATE($N$5,J216,I216),1000000,-1000000)</f>
        <v>-1000000</v>
      </c>
      <c r="M216" s="1" t="e">
        <f aca="false">IF(K216&gt;0,INDEX(big_daily_table,MATCH(DATE(N$5,$J216,$I216),daily_dates,0),MATCH($B$3,daily_items,0)),NA())</f>
        <v>#N/A</v>
      </c>
      <c r="N216" s="1" t="e">
        <f aca="false">IF(L216&lt;0,INDEX(big_daily_table,MATCH(DATE(N$5,$J216,$I216),daily_dates,0),MATCH($B$3,daily_items,0)),NA())</f>
        <v>#N/A</v>
      </c>
      <c r="O216" s="1" t="e">
        <f aca="false">IF(ISBLANK(INDEX(big_daily_table,MATCH(DATE(O$5,$J216,$I216),daily_dates,0),MATCH($B$3,daily_items,0))),NA(),INDEX(big_daily_table,MATCH(DATE(O$5,$J216,$I216),daily_dates,0),MATCH($B$3,daily_items,0)))</f>
        <v>#N/A</v>
      </c>
      <c r="P216" s="1" t="e">
        <f aca="false">IF(ISBLANK(INDEX(big_daily_table,MATCH(DATE(P$5,$J216,$I216),daily_dates,0),MATCH($B$3,daily_items,0))),NA(),INDEX(big_daily_table,MATCH(DATE(P$5,$J216,$I216),daily_dates,0),MATCH($B$3,daily_items,0)))</f>
        <v>#N/A</v>
      </c>
      <c r="Q216" s="1" t="e">
        <f aca="false">IF(ISBLANK(INDEX(big_daily_table,MATCH(DATE(Q$5,$J216,$I216),daily_dates,0),MATCH($B$3,daily_items,0))),NA(),INDEX(big_daily_table,MATCH(DATE(Q$5,$J216,$I216),daily_dates,0),MATCH($B$3,daily_items,0)))</f>
        <v>#N/A</v>
      </c>
      <c r="R216" s="1" t="e">
        <f aca="false">IF(ISBLANK(INDEX(big_daily_table,MATCH(DATE(R$5,$J216,$I216),daily_dates,0),MATCH($B$3,daily_items,0))),NA(),INDEX(big_daily_table,MATCH(DATE(R$5,$J216,$I216),daily_dates,0),MATCH($B$3,daily_items,0)))</f>
        <v>#N/A</v>
      </c>
      <c r="S216" s="1" t="e">
        <f aca="false">IF(ISBLANK(INDEX(big_daily_table,MATCH(DATE(S$5,$J216,$I216),daily_dates,0),MATCH($B$3,daily_items,0))),NA(),INDEX(big_daily_table,MATCH(DATE(S$5,$J216,$I216),daily_dates,0),MATCH($B$3,daily_items,0)))</f>
        <v>#N/A</v>
      </c>
      <c r="T216" s="1" t="e">
        <f aca="false">IF(ISBLANK(INDEX(big_daily_table,MATCH(DATE(T$5,$J216,$I216),daily_dates,0),MATCH($B$3,daily_items,0))),NA(),INDEX(big_daily_table,MATCH(DATE(T$5,$J216,$I216),daily_dates,0),MATCH($B$3,daily_items,0)))</f>
        <v>#N/A</v>
      </c>
      <c r="U216" s="1" t="e">
        <f aca="false">IF(ISBLANK(INDEX(big_daily_table,MATCH(DATE(U$5,$J216,$I216),daily_dates,0),MATCH($B$3,daily_items,0))),NA(),INDEX(big_daily_table,MATCH(DATE(U$5,$J216,$I216),daily_dates,0),MATCH($B$3,daily_items,0)))</f>
        <v>#N/A</v>
      </c>
      <c r="V216" s="1" t="e">
        <f aca="false">IF(ISBLANK(INDEX(big_daily_table,MATCH(DATE(V$5,$J216,$I216),daily_dates,0),MATCH($B$3,daily_items,0))),NA(),INDEX(big_daily_table,MATCH(DATE(V$5,$J216,$I216),daily_dates,0),MATCH($B$3,daily_items,0)))</f>
        <v>#N/A</v>
      </c>
      <c r="W216" s="1" t="e">
        <f aca="false">IF(ISBLANK(INDEX(big_daily_table,MATCH(DATE(W$5,$J216,$I216),daily_dates,0),MATCH($B$3,daily_items,0))),NA(),INDEX(big_daily_table,MATCH(DATE(W$5,$J216,$I216),daily_dates,0),MATCH($B$3,daily_items,0)))</f>
        <v>#N/A</v>
      </c>
      <c r="X216" s="1" t="e">
        <f aca="false">IF(ISBLANK(INDEX(big_daily_table,MATCH(DATE(X$5,$J216,$I216),daily_dates,0),MATCH($B$3,daily_items,0))),NA(),INDEX(big_daily_table,MATCH(DATE(X$5,$J216,$I216),daily_dates,0),MATCH($B$3,daily_items,0)))</f>
        <v>#N/A</v>
      </c>
      <c r="Y216" s="1" t="e">
        <f aca="false">IF(ISBLANK(INDEX(big_daily_table,MATCH(DATE(Y$5,$J216,$I216),daily_dates,0),MATCH($B$3,daily_items,0))),NA(),INDEX(big_daily_table,MATCH(DATE(Y$5,$J216,$I216),daily_dates,0),MATCH($B$3,daily_items,0)))</f>
        <v>#N/A</v>
      </c>
      <c r="Z216" s="1" t="n">
        <f aca="true">_xlfn.AGGREGATE(5,6,OFFSET($R$5,H216,0,1,$J$2))</f>
        <v>0</v>
      </c>
      <c r="AA216" s="1" t="n">
        <f aca="true">_xlfn.AGGREGATE(4,6,OFFSET($R$5,H216,0,1,$J$2))</f>
        <v>0</v>
      </c>
      <c r="AB216" s="1" t="n">
        <f aca="false">AA216-Z216</f>
        <v>0</v>
      </c>
      <c r="AC216" s="1" t="e">
        <f aca="true">_xlfn.AGGREGATE(1,6,OFFSET($R$5,H216,0,1,$J$2))</f>
        <v>#DIV/0!</v>
      </c>
    </row>
    <row r="217" customFormat="false" ht="14.25" hidden="false" customHeight="false" outlineLevel="0" collapsed="false">
      <c r="H217" s="1" t="n">
        <f aca="false">H216+1</f>
        <v>212</v>
      </c>
      <c r="I217" s="1" t="n">
        <f aca="false">DAY(K217)</f>
        <v>30</v>
      </c>
      <c r="J217" s="1" t="n">
        <f aca="false">MONTH(K217)</f>
        <v>7</v>
      </c>
      <c r="K217" s="23" t="n">
        <f aca="false">K216+1</f>
        <v>36737</v>
      </c>
      <c r="L217" s="24" t="n">
        <f aca="true">IF(TODAY()&lt;DATE($N$5,J217,I217),1000000,-1000000)</f>
        <v>-1000000</v>
      </c>
      <c r="M217" s="1" t="e">
        <f aca="false">IF(K217&gt;0,INDEX(big_daily_table,MATCH(DATE(N$5,$J217,$I217),daily_dates,0),MATCH($B$3,daily_items,0)),NA())</f>
        <v>#N/A</v>
      </c>
      <c r="N217" s="1" t="e">
        <f aca="false">IF(L217&lt;0,INDEX(big_daily_table,MATCH(DATE(N$5,$J217,$I217),daily_dates,0),MATCH($B$3,daily_items,0)),NA())</f>
        <v>#N/A</v>
      </c>
      <c r="O217" s="1" t="e">
        <f aca="false">IF(ISBLANK(INDEX(big_daily_table,MATCH(DATE(O$5,$J217,$I217),daily_dates,0),MATCH($B$3,daily_items,0))),NA(),INDEX(big_daily_table,MATCH(DATE(O$5,$J217,$I217),daily_dates,0),MATCH($B$3,daily_items,0)))</f>
        <v>#N/A</v>
      </c>
      <c r="P217" s="1" t="e">
        <f aca="false">IF(ISBLANK(INDEX(big_daily_table,MATCH(DATE(P$5,$J217,$I217),daily_dates,0),MATCH($B$3,daily_items,0))),NA(),INDEX(big_daily_table,MATCH(DATE(P$5,$J217,$I217),daily_dates,0),MATCH($B$3,daily_items,0)))</f>
        <v>#N/A</v>
      </c>
      <c r="Q217" s="1" t="e">
        <f aca="false">IF(ISBLANK(INDEX(big_daily_table,MATCH(DATE(Q$5,$J217,$I217),daily_dates,0),MATCH($B$3,daily_items,0))),NA(),INDEX(big_daily_table,MATCH(DATE(Q$5,$J217,$I217),daily_dates,0),MATCH($B$3,daily_items,0)))</f>
        <v>#N/A</v>
      </c>
      <c r="R217" s="1" t="e">
        <f aca="false">IF(ISBLANK(INDEX(big_daily_table,MATCH(DATE(R$5,$J217,$I217),daily_dates,0),MATCH($B$3,daily_items,0))),NA(),INDEX(big_daily_table,MATCH(DATE(R$5,$J217,$I217),daily_dates,0),MATCH($B$3,daily_items,0)))</f>
        <v>#N/A</v>
      </c>
      <c r="S217" s="1" t="e">
        <f aca="false">IF(ISBLANK(INDEX(big_daily_table,MATCH(DATE(S$5,$J217,$I217),daily_dates,0),MATCH($B$3,daily_items,0))),NA(),INDEX(big_daily_table,MATCH(DATE(S$5,$J217,$I217),daily_dates,0),MATCH($B$3,daily_items,0)))</f>
        <v>#N/A</v>
      </c>
      <c r="T217" s="1" t="e">
        <f aca="false">IF(ISBLANK(INDEX(big_daily_table,MATCH(DATE(T$5,$J217,$I217),daily_dates,0),MATCH($B$3,daily_items,0))),NA(),INDEX(big_daily_table,MATCH(DATE(T$5,$J217,$I217),daily_dates,0),MATCH($B$3,daily_items,0)))</f>
        <v>#N/A</v>
      </c>
      <c r="U217" s="1" t="e">
        <f aca="false">IF(ISBLANK(INDEX(big_daily_table,MATCH(DATE(U$5,$J217,$I217),daily_dates,0),MATCH($B$3,daily_items,0))),NA(),INDEX(big_daily_table,MATCH(DATE(U$5,$J217,$I217),daily_dates,0),MATCH($B$3,daily_items,0)))</f>
        <v>#N/A</v>
      </c>
      <c r="V217" s="1" t="e">
        <f aca="false">IF(ISBLANK(INDEX(big_daily_table,MATCH(DATE(V$5,$J217,$I217),daily_dates,0),MATCH($B$3,daily_items,0))),NA(),INDEX(big_daily_table,MATCH(DATE(V$5,$J217,$I217),daily_dates,0),MATCH($B$3,daily_items,0)))</f>
        <v>#N/A</v>
      </c>
      <c r="W217" s="1" t="e">
        <f aca="false">IF(ISBLANK(INDEX(big_daily_table,MATCH(DATE(W$5,$J217,$I217),daily_dates,0),MATCH($B$3,daily_items,0))),NA(),INDEX(big_daily_table,MATCH(DATE(W$5,$J217,$I217),daily_dates,0),MATCH($B$3,daily_items,0)))</f>
        <v>#N/A</v>
      </c>
      <c r="X217" s="1" t="e">
        <f aca="false">IF(ISBLANK(INDEX(big_daily_table,MATCH(DATE(X$5,$J217,$I217),daily_dates,0),MATCH($B$3,daily_items,0))),NA(),INDEX(big_daily_table,MATCH(DATE(X$5,$J217,$I217),daily_dates,0),MATCH($B$3,daily_items,0)))</f>
        <v>#N/A</v>
      </c>
      <c r="Y217" s="1" t="e">
        <f aca="false">IF(ISBLANK(INDEX(big_daily_table,MATCH(DATE(Y$5,$J217,$I217),daily_dates,0),MATCH($B$3,daily_items,0))),NA(),INDEX(big_daily_table,MATCH(DATE(Y$5,$J217,$I217),daily_dates,0),MATCH($B$3,daily_items,0)))</f>
        <v>#N/A</v>
      </c>
      <c r="Z217" s="1" t="n">
        <f aca="true">_xlfn.AGGREGATE(5,6,OFFSET($R$5,H217,0,1,$J$2))</f>
        <v>0</v>
      </c>
      <c r="AA217" s="1" t="n">
        <f aca="true">_xlfn.AGGREGATE(4,6,OFFSET($R$5,H217,0,1,$J$2))</f>
        <v>0</v>
      </c>
      <c r="AB217" s="1" t="n">
        <f aca="false">AA217-Z217</f>
        <v>0</v>
      </c>
      <c r="AC217" s="1" t="e">
        <f aca="true">_xlfn.AGGREGATE(1,6,OFFSET($R$5,H217,0,1,$J$2))</f>
        <v>#DIV/0!</v>
      </c>
    </row>
    <row r="218" customFormat="false" ht="14.25" hidden="false" customHeight="false" outlineLevel="0" collapsed="false">
      <c r="H218" s="1" t="n">
        <f aca="false">H217+1</f>
        <v>213</v>
      </c>
      <c r="I218" s="1" t="n">
        <f aca="false">DAY(K218)</f>
        <v>31</v>
      </c>
      <c r="J218" s="1" t="n">
        <f aca="false">MONTH(K218)</f>
        <v>7</v>
      </c>
      <c r="K218" s="23" t="n">
        <f aca="false">K217+1</f>
        <v>36738</v>
      </c>
      <c r="L218" s="24" t="n">
        <f aca="true">IF(TODAY()&lt;DATE($N$5,J218,I218),1000000,-1000000)</f>
        <v>-1000000</v>
      </c>
      <c r="M218" s="1" t="e">
        <f aca="false">IF(K218&gt;0,INDEX(big_daily_table,MATCH(DATE(N$5,$J218,$I218),daily_dates,0),MATCH($B$3,daily_items,0)),NA())</f>
        <v>#N/A</v>
      </c>
      <c r="N218" s="1" t="e">
        <f aca="false">IF(L218&lt;0,INDEX(big_daily_table,MATCH(DATE(N$5,$J218,$I218),daily_dates,0),MATCH($B$3,daily_items,0)),NA())</f>
        <v>#N/A</v>
      </c>
      <c r="O218" s="1" t="e">
        <f aca="false">IF(ISBLANK(INDEX(big_daily_table,MATCH(DATE(O$5,$J218,$I218),daily_dates,0),MATCH($B$3,daily_items,0))),NA(),INDEX(big_daily_table,MATCH(DATE(O$5,$J218,$I218),daily_dates,0),MATCH($B$3,daily_items,0)))</f>
        <v>#N/A</v>
      </c>
      <c r="P218" s="1" t="e">
        <f aca="false">IF(ISBLANK(INDEX(big_daily_table,MATCH(DATE(P$5,$J218,$I218),daily_dates,0),MATCH($B$3,daily_items,0))),NA(),INDEX(big_daily_table,MATCH(DATE(P$5,$J218,$I218),daily_dates,0),MATCH($B$3,daily_items,0)))</f>
        <v>#N/A</v>
      </c>
      <c r="Q218" s="1" t="e">
        <f aca="false">IF(ISBLANK(INDEX(big_daily_table,MATCH(DATE(Q$5,$J218,$I218),daily_dates,0),MATCH($B$3,daily_items,0))),NA(),INDEX(big_daily_table,MATCH(DATE(Q$5,$J218,$I218),daily_dates,0),MATCH($B$3,daily_items,0)))</f>
        <v>#N/A</v>
      </c>
      <c r="R218" s="1" t="e">
        <f aca="false">IF(ISBLANK(INDEX(big_daily_table,MATCH(DATE(R$5,$J218,$I218),daily_dates,0),MATCH($B$3,daily_items,0))),NA(),INDEX(big_daily_table,MATCH(DATE(R$5,$J218,$I218),daily_dates,0),MATCH($B$3,daily_items,0)))</f>
        <v>#N/A</v>
      </c>
      <c r="S218" s="1" t="e">
        <f aca="false">IF(ISBLANK(INDEX(big_daily_table,MATCH(DATE(S$5,$J218,$I218),daily_dates,0),MATCH($B$3,daily_items,0))),NA(),INDEX(big_daily_table,MATCH(DATE(S$5,$J218,$I218),daily_dates,0),MATCH($B$3,daily_items,0)))</f>
        <v>#N/A</v>
      </c>
      <c r="T218" s="1" t="e">
        <f aca="false">IF(ISBLANK(INDEX(big_daily_table,MATCH(DATE(T$5,$J218,$I218),daily_dates,0),MATCH($B$3,daily_items,0))),NA(),INDEX(big_daily_table,MATCH(DATE(T$5,$J218,$I218),daily_dates,0),MATCH($B$3,daily_items,0)))</f>
        <v>#N/A</v>
      </c>
      <c r="U218" s="1" t="e">
        <f aca="false">IF(ISBLANK(INDEX(big_daily_table,MATCH(DATE(U$5,$J218,$I218),daily_dates,0),MATCH($B$3,daily_items,0))),NA(),INDEX(big_daily_table,MATCH(DATE(U$5,$J218,$I218),daily_dates,0),MATCH($B$3,daily_items,0)))</f>
        <v>#N/A</v>
      </c>
      <c r="V218" s="1" t="e">
        <f aca="false">IF(ISBLANK(INDEX(big_daily_table,MATCH(DATE(V$5,$J218,$I218),daily_dates,0),MATCH($B$3,daily_items,0))),NA(),INDEX(big_daily_table,MATCH(DATE(V$5,$J218,$I218),daily_dates,0),MATCH($B$3,daily_items,0)))</f>
        <v>#N/A</v>
      </c>
      <c r="W218" s="1" t="e">
        <f aca="false">IF(ISBLANK(INDEX(big_daily_table,MATCH(DATE(W$5,$J218,$I218),daily_dates,0),MATCH($B$3,daily_items,0))),NA(),INDEX(big_daily_table,MATCH(DATE(W$5,$J218,$I218),daily_dates,0),MATCH($B$3,daily_items,0)))</f>
        <v>#N/A</v>
      </c>
      <c r="X218" s="1" t="e">
        <f aca="false">IF(ISBLANK(INDEX(big_daily_table,MATCH(DATE(X$5,$J218,$I218),daily_dates,0),MATCH($B$3,daily_items,0))),NA(),INDEX(big_daily_table,MATCH(DATE(X$5,$J218,$I218),daily_dates,0),MATCH($B$3,daily_items,0)))</f>
        <v>#N/A</v>
      </c>
      <c r="Y218" s="1" t="e">
        <f aca="false">IF(ISBLANK(INDEX(big_daily_table,MATCH(DATE(Y$5,$J218,$I218),daily_dates,0),MATCH($B$3,daily_items,0))),NA(),INDEX(big_daily_table,MATCH(DATE(Y$5,$J218,$I218),daily_dates,0),MATCH($B$3,daily_items,0)))</f>
        <v>#N/A</v>
      </c>
      <c r="Z218" s="1" t="n">
        <f aca="true">_xlfn.AGGREGATE(5,6,OFFSET($R$5,H218,0,1,$J$2))</f>
        <v>0</v>
      </c>
      <c r="AA218" s="1" t="n">
        <f aca="true">_xlfn.AGGREGATE(4,6,OFFSET($R$5,H218,0,1,$J$2))</f>
        <v>0</v>
      </c>
      <c r="AB218" s="1" t="n">
        <f aca="false">AA218-Z218</f>
        <v>0</v>
      </c>
      <c r="AC218" s="1" t="e">
        <f aca="true">_xlfn.AGGREGATE(1,6,OFFSET($R$5,H218,0,1,$J$2))</f>
        <v>#DIV/0!</v>
      </c>
    </row>
    <row r="219" customFormat="false" ht="14.25" hidden="false" customHeight="false" outlineLevel="0" collapsed="false">
      <c r="H219" s="1" t="n">
        <f aca="false">H218+1</f>
        <v>214</v>
      </c>
      <c r="I219" s="1" t="n">
        <f aca="false">DAY(K219)</f>
        <v>1</v>
      </c>
      <c r="J219" s="1" t="n">
        <f aca="false">MONTH(K219)</f>
        <v>8</v>
      </c>
      <c r="K219" s="23" t="n">
        <f aca="false">K218+1</f>
        <v>36739</v>
      </c>
      <c r="L219" s="24" t="n">
        <f aca="true">IF(TODAY()&lt;DATE($N$5,J219,I219),1000000,-1000000)</f>
        <v>-1000000</v>
      </c>
      <c r="M219" s="1" t="e">
        <f aca="false">IF(K219&gt;0,INDEX(big_daily_table,MATCH(DATE(N$5,$J219,$I219),daily_dates,0),MATCH($B$3,daily_items,0)),NA())</f>
        <v>#N/A</v>
      </c>
      <c r="N219" s="1" t="e">
        <f aca="false">IF(L219&lt;0,INDEX(big_daily_table,MATCH(DATE(N$5,$J219,$I219),daily_dates,0),MATCH($B$3,daily_items,0)),NA())</f>
        <v>#N/A</v>
      </c>
      <c r="O219" s="1" t="e">
        <f aca="false">IF(ISBLANK(INDEX(big_daily_table,MATCH(DATE(O$5,$J219,$I219),daily_dates,0),MATCH($B$3,daily_items,0))),NA(),INDEX(big_daily_table,MATCH(DATE(O$5,$J219,$I219),daily_dates,0),MATCH($B$3,daily_items,0)))</f>
        <v>#N/A</v>
      </c>
      <c r="P219" s="1" t="e">
        <f aca="false">IF(ISBLANK(INDEX(big_daily_table,MATCH(DATE(P$5,$J219,$I219),daily_dates,0),MATCH($B$3,daily_items,0))),NA(),INDEX(big_daily_table,MATCH(DATE(P$5,$J219,$I219),daily_dates,0),MATCH($B$3,daily_items,0)))</f>
        <v>#N/A</v>
      </c>
      <c r="Q219" s="1" t="e">
        <f aca="false">IF(ISBLANK(INDEX(big_daily_table,MATCH(DATE(Q$5,$J219,$I219),daily_dates,0),MATCH($B$3,daily_items,0))),NA(),INDEX(big_daily_table,MATCH(DATE(Q$5,$J219,$I219),daily_dates,0),MATCH($B$3,daily_items,0)))</f>
        <v>#N/A</v>
      </c>
      <c r="R219" s="1" t="e">
        <f aca="false">IF(ISBLANK(INDEX(big_daily_table,MATCH(DATE(R$5,$J219,$I219),daily_dates,0),MATCH($B$3,daily_items,0))),NA(),INDEX(big_daily_table,MATCH(DATE(R$5,$J219,$I219),daily_dates,0),MATCH($B$3,daily_items,0)))</f>
        <v>#N/A</v>
      </c>
      <c r="S219" s="1" t="e">
        <f aca="false">IF(ISBLANK(INDEX(big_daily_table,MATCH(DATE(S$5,$J219,$I219),daily_dates,0),MATCH($B$3,daily_items,0))),NA(),INDEX(big_daily_table,MATCH(DATE(S$5,$J219,$I219),daily_dates,0),MATCH($B$3,daily_items,0)))</f>
        <v>#N/A</v>
      </c>
      <c r="T219" s="1" t="e">
        <f aca="false">IF(ISBLANK(INDEX(big_daily_table,MATCH(DATE(T$5,$J219,$I219),daily_dates,0),MATCH($B$3,daily_items,0))),NA(),INDEX(big_daily_table,MATCH(DATE(T$5,$J219,$I219),daily_dates,0),MATCH($B$3,daily_items,0)))</f>
        <v>#N/A</v>
      </c>
      <c r="U219" s="1" t="e">
        <f aca="false">IF(ISBLANK(INDEX(big_daily_table,MATCH(DATE(U$5,$J219,$I219),daily_dates,0),MATCH($B$3,daily_items,0))),NA(),INDEX(big_daily_table,MATCH(DATE(U$5,$J219,$I219),daily_dates,0),MATCH($B$3,daily_items,0)))</f>
        <v>#N/A</v>
      </c>
      <c r="V219" s="1" t="e">
        <f aca="false">IF(ISBLANK(INDEX(big_daily_table,MATCH(DATE(V$5,$J219,$I219),daily_dates,0),MATCH($B$3,daily_items,0))),NA(),INDEX(big_daily_table,MATCH(DATE(V$5,$J219,$I219),daily_dates,0),MATCH($B$3,daily_items,0)))</f>
        <v>#N/A</v>
      </c>
      <c r="W219" s="1" t="e">
        <f aca="false">IF(ISBLANK(INDEX(big_daily_table,MATCH(DATE(W$5,$J219,$I219),daily_dates,0),MATCH($B$3,daily_items,0))),NA(),INDEX(big_daily_table,MATCH(DATE(W$5,$J219,$I219),daily_dates,0),MATCH($B$3,daily_items,0)))</f>
        <v>#N/A</v>
      </c>
      <c r="X219" s="1" t="e">
        <f aca="false">IF(ISBLANK(INDEX(big_daily_table,MATCH(DATE(X$5,$J219,$I219),daily_dates,0),MATCH($B$3,daily_items,0))),NA(),INDEX(big_daily_table,MATCH(DATE(X$5,$J219,$I219),daily_dates,0),MATCH($B$3,daily_items,0)))</f>
        <v>#N/A</v>
      </c>
      <c r="Y219" s="1" t="e">
        <f aca="false">IF(ISBLANK(INDEX(big_daily_table,MATCH(DATE(Y$5,$J219,$I219),daily_dates,0),MATCH($B$3,daily_items,0))),NA(),INDEX(big_daily_table,MATCH(DATE(Y$5,$J219,$I219),daily_dates,0),MATCH($B$3,daily_items,0)))</f>
        <v>#N/A</v>
      </c>
      <c r="Z219" s="1" t="n">
        <f aca="true">_xlfn.AGGREGATE(5,6,OFFSET($R$5,H219,0,1,$J$2))</f>
        <v>0</v>
      </c>
      <c r="AA219" s="1" t="n">
        <f aca="true">_xlfn.AGGREGATE(4,6,OFFSET($R$5,H219,0,1,$J$2))</f>
        <v>0</v>
      </c>
      <c r="AB219" s="1" t="n">
        <f aca="false">AA219-Z219</f>
        <v>0</v>
      </c>
      <c r="AC219" s="1" t="e">
        <f aca="true">_xlfn.AGGREGATE(1,6,OFFSET($R$5,H219,0,1,$J$2))</f>
        <v>#DIV/0!</v>
      </c>
    </row>
    <row r="220" customFormat="false" ht="14.25" hidden="false" customHeight="false" outlineLevel="0" collapsed="false">
      <c r="H220" s="1" t="n">
        <f aca="false">H219+1</f>
        <v>215</v>
      </c>
      <c r="I220" s="1" t="n">
        <f aca="false">DAY(K220)</f>
        <v>2</v>
      </c>
      <c r="J220" s="1" t="n">
        <f aca="false">MONTH(K220)</f>
        <v>8</v>
      </c>
      <c r="K220" s="23" t="n">
        <f aca="false">K219+1</f>
        <v>36740</v>
      </c>
      <c r="L220" s="24" t="n">
        <f aca="true">IF(TODAY()&lt;DATE($N$5,J220,I220),1000000,-1000000)</f>
        <v>-1000000</v>
      </c>
      <c r="M220" s="1" t="e">
        <f aca="false">IF(K220&gt;0,INDEX(big_daily_table,MATCH(DATE(N$5,$J220,$I220),daily_dates,0),MATCH($B$3,daily_items,0)),NA())</f>
        <v>#N/A</v>
      </c>
      <c r="N220" s="1" t="e">
        <f aca="false">IF(L220&lt;0,INDEX(big_daily_table,MATCH(DATE(N$5,$J220,$I220),daily_dates,0),MATCH($B$3,daily_items,0)),NA())</f>
        <v>#N/A</v>
      </c>
      <c r="O220" s="1" t="e">
        <f aca="false">IF(ISBLANK(INDEX(big_daily_table,MATCH(DATE(O$5,$J220,$I220),daily_dates,0),MATCH($B$3,daily_items,0))),NA(),INDEX(big_daily_table,MATCH(DATE(O$5,$J220,$I220),daily_dates,0),MATCH($B$3,daily_items,0)))</f>
        <v>#N/A</v>
      </c>
      <c r="P220" s="1" t="e">
        <f aca="false">IF(ISBLANK(INDEX(big_daily_table,MATCH(DATE(P$5,$J220,$I220),daily_dates,0),MATCH($B$3,daily_items,0))),NA(),INDEX(big_daily_table,MATCH(DATE(P$5,$J220,$I220),daily_dates,0),MATCH($B$3,daily_items,0)))</f>
        <v>#N/A</v>
      </c>
      <c r="Q220" s="1" t="e">
        <f aca="false">IF(ISBLANK(INDEX(big_daily_table,MATCH(DATE(Q$5,$J220,$I220),daily_dates,0),MATCH($B$3,daily_items,0))),NA(),INDEX(big_daily_table,MATCH(DATE(Q$5,$J220,$I220),daily_dates,0),MATCH($B$3,daily_items,0)))</f>
        <v>#N/A</v>
      </c>
      <c r="R220" s="1" t="e">
        <f aca="false">IF(ISBLANK(INDEX(big_daily_table,MATCH(DATE(R$5,$J220,$I220),daily_dates,0),MATCH($B$3,daily_items,0))),NA(),INDEX(big_daily_table,MATCH(DATE(R$5,$J220,$I220),daily_dates,0),MATCH($B$3,daily_items,0)))</f>
        <v>#N/A</v>
      </c>
      <c r="S220" s="1" t="e">
        <f aca="false">IF(ISBLANK(INDEX(big_daily_table,MATCH(DATE(S$5,$J220,$I220),daily_dates,0),MATCH($B$3,daily_items,0))),NA(),INDEX(big_daily_table,MATCH(DATE(S$5,$J220,$I220),daily_dates,0),MATCH($B$3,daily_items,0)))</f>
        <v>#N/A</v>
      </c>
      <c r="T220" s="1" t="e">
        <f aca="false">IF(ISBLANK(INDEX(big_daily_table,MATCH(DATE(T$5,$J220,$I220),daily_dates,0),MATCH($B$3,daily_items,0))),NA(),INDEX(big_daily_table,MATCH(DATE(T$5,$J220,$I220),daily_dates,0),MATCH($B$3,daily_items,0)))</f>
        <v>#N/A</v>
      </c>
      <c r="U220" s="1" t="e">
        <f aca="false">IF(ISBLANK(INDEX(big_daily_table,MATCH(DATE(U$5,$J220,$I220),daily_dates,0),MATCH($B$3,daily_items,0))),NA(),INDEX(big_daily_table,MATCH(DATE(U$5,$J220,$I220),daily_dates,0),MATCH($B$3,daily_items,0)))</f>
        <v>#N/A</v>
      </c>
      <c r="V220" s="1" t="e">
        <f aca="false">IF(ISBLANK(INDEX(big_daily_table,MATCH(DATE(V$5,$J220,$I220),daily_dates,0),MATCH($B$3,daily_items,0))),NA(),INDEX(big_daily_table,MATCH(DATE(V$5,$J220,$I220),daily_dates,0),MATCH($B$3,daily_items,0)))</f>
        <v>#N/A</v>
      </c>
      <c r="W220" s="1" t="e">
        <f aca="false">IF(ISBLANK(INDEX(big_daily_table,MATCH(DATE(W$5,$J220,$I220),daily_dates,0),MATCH($B$3,daily_items,0))),NA(),INDEX(big_daily_table,MATCH(DATE(W$5,$J220,$I220),daily_dates,0),MATCH($B$3,daily_items,0)))</f>
        <v>#N/A</v>
      </c>
      <c r="X220" s="1" t="e">
        <f aca="false">IF(ISBLANK(INDEX(big_daily_table,MATCH(DATE(X$5,$J220,$I220),daily_dates,0),MATCH($B$3,daily_items,0))),NA(),INDEX(big_daily_table,MATCH(DATE(X$5,$J220,$I220),daily_dates,0),MATCH($B$3,daily_items,0)))</f>
        <v>#N/A</v>
      </c>
      <c r="Y220" s="1" t="e">
        <f aca="false">IF(ISBLANK(INDEX(big_daily_table,MATCH(DATE(Y$5,$J220,$I220),daily_dates,0),MATCH($B$3,daily_items,0))),NA(),INDEX(big_daily_table,MATCH(DATE(Y$5,$J220,$I220),daily_dates,0),MATCH($B$3,daily_items,0)))</f>
        <v>#N/A</v>
      </c>
      <c r="Z220" s="1" t="n">
        <f aca="true">_xlfn.AGGREGATE(5,6,OFFSET($R$5,H220,0,1,$J$2))</f>
        <v>0</v>
      </c>
      <c r="AA220" s="1" t="n">
        <f aca="true">_xlfn.AGGREGATE(4,6,OFFSET($R$5,H220,0,1,$J$2))</f>
        <v>0</v>
      </c>
      <c r="AB220" s="1" t="n">
        <f aca="false">AA220-Z220</f>
        <v>0</v>
      </c>
      <c r="AC220" s="1" t="e">
        <f aca="true">_xlfn.AGGREGATE(1,6,OFFSET($R$5,H220,0,1,$J$2))</f>
        <v>#DIV/0!</v>
      </c>
    </row>
    <row r="221" customFormat="false" ht="14.25" hidden="false" customHeight="false" outlineLevel="0" collapsed="false">
      <c r="H221" s="1" t="n">
        <f aca="false">H220+1</f>
        <v>216</v>
      </c>
      <c r="I221" s="1" t="n">
        <f aca="false">DAY(K221)</f>
        <v>3</v>
      </c>
      <c r="J221" s="1" t="n">
        <f aca="false">MONTH(K221)</f>
        <v>8</v>
      </c>
      <c r="K221" s="23" t="n">
        <f aca="false">K220+1</f>
        <v>36741</v>
      </c>
      <c r="L221" s="24" t="n">
        <f aca="true">IF(TODAY()&lt;DATE($N$5,J221,I221),1000000,-1000000)</f>
        <v>-1000000</v>
      </c>
      <c r="M221" s="1" t="e">
        <f aca="false">IF(K221&gt;0,INDEX(big_daily_table,MATCH(DATE(N$5,$J221,$I221),daily_dates,0),MATCH($B$3,daily_items,0)),NA())</f>
        <v>#N/A</v>
      </c>
      <c r="N221" s="1" t="e">
        <f aca="false">IF(L221&lt;0,INDEX(big_daily_table,MATCH(DATE(N$5,$J221,$I221),daily_dates,0),MATCH($B$3,daily_items,0)),NA())</f>
        <v>#N/A</v>
      </c>
      <c r="O221" s="1" t="e">
        <f aca="false">IF(ISBLANK(INDEX(big_daily_table,MATCH(DATE(O$5,$J221,$I221),daily_dates,0),MATCH($B$3,daily_items,0))),NA(),INDEX(big_daily_table,MATCH(DATE(O$5,$J221,$I221),daily_dates,0),MATCH($B$3,daily_items,0)))</f>
        <v>#N/A</v>
      </c>
      <c r="P221" s="1" t="e">
        <f aca="false">IF(ISBLANK(INDEX(big_daily_table,MATCH(DATE(P$5,$J221,$I221),daily_dates,0),MATCH($B$3,daily_items,0))),NA(),INDEX(big_daily_table,MATCH(DATE(P$5,$J221,$I221),daily_dates,0),MATCH($B$3,daily_items,0)))</f>
        <v>#N/A</v>
      </c>
      <c r="Q221" s="1" t="e">
        <f aca="false">IF(ISBLANK(INDEX(big_daily_table,MATCH(DATE(Q$5,$J221,$I221),daily_dates,0),MATCH($B$3,daily_items,0))),NA(),INDEX(big_daily_table,MATCH(DATE(Q$5,$J221,$I221),daily_dates,0),MATCH($B$3,daily_items,0)))</f>
        <v>#N/A</v>
      </c>
      <c r="R221" s="1" t="e">
        <f aca="false">IF(ISBLANK(INDEX(big_daily_table,MATCH(DATE(R$5,$J221,$I221),daily_dates,0),MATCH($B$3,daily_items,0))),NA(),INDEX(big_daily_table,MATCH(DATE(R$5,$J221,$I221),daily_dates,0),MATCH($B$3,daily_items,0)))</f>
        <v>#N/A</v>
      </c>
      <c r="S221" s="1" t="e">
        <f aca="false">IF(ISBLANK(INDEX(big_daily_table,MATCH(DATE(S$5,$J221,$I221),daily_dates,0),MATCH($B$3,daily_items,0))),NA(),INDEX(big_daily_table,MATCH(DATE(S$5,$J221,$I221),daily_dates,0),MATCH($B$3,daily_items,0)))</f>
        <v>#N/A</v>
      </c>
      <c r="T221" s="1" t="e">
        <f aca="false">IF(ISBLANK(INDEX(big_daily_table,MATCH(DATE(T$5,$J221,$I221),daily_dates,0),MATCH($B$3,daily_items,0))),NA(),INDEX(big_daily_table,MATCH(DATE(T$5,$J221,$I221),daily_dates,0),MATCH($B$3,daily_items,0)))</f>
        <v>#N/A</v>
      </c>
      <c r="U221" s="1" t="e">
        <f aca="false">IF(ISBLANK(INDEX(big_daily_table,MATCH(DATE(U$5,$J221,$I221),daily_dates,0),MATCH($B$3,daily_items,0))),NA(),INDEX(big_daily_table,MATCH(DATE(U$5,$J221,$I221),daily_dates,0),MATCH($B$3,daily_items,0)))</f>
        <v>#N/A</v>
      </c>
      <c r="V221" s="1" t="e">
        <f aca="false">IF(ISBLANK(INDEX(big_daily_table,MATCH(DATE(V$5,$J221,$I221),daily_dates,0),MATCH($B$3,daily_items,0))),NA(),INDEX(big_daily_table,MATCH(DATE(V$5,$J221,$I221),daily_dates,0),MATCH($B$3,daily_items,0)))</f>
        <v>#N/A</v>
      </c>
      <c r="W221" s="1" t="e">
        <f aca="false">IF(ISBLANK(INDEX(big_daily_table,MATCH(DATE(W$5,$J221,$I221),daily_dates,0),MATCH($B$3,daily_items,0))),NA(),INDEX(big_daily_table,MATCH(DATE(W$5,$J221,$I221),daily_dates,0),MATCH($B$3,daily_items,0)))</f>
        <v>#N/A</v>
      </c>
      <c r="X221" s="1" t="e">
        <f aca="false">IF(ISBLANK(INDEX(big_daily_table,MATCH(DATE(X$5,$J221,$I221),daily_dates,0),MATCH($B$3,daily_items,0))),NA(),INDEX(big_daily_table,MATCH(DATE(X$5,$J221,$I221),daily_dates,0),MATCH($B$3,daily_items,0)))</f>
        <v>#N/A</v>
      </c>
      <c r="Y221" s="1" t="e">
        <f aca="false">IF(ISBLANK(INDEX(big_daily_table,MATCH(DATE(Y$5,$J221,$I221),daily_dates,0),MATCH($B$3,daily_items,0))),NA(),INDEX(big_daily_table,MATCH(DATE(Y$5,$J221,$I221),daily_dates,0),MATCH($B$3,daily_items,0)))</f>
        <v>#N/A</v>
      </c>
      <c r="Z221" s="1" t="n">
        <f aca="true">_xlfn.AGGREGATE(5,6,OFFSET($R$5,H221,0,1,$J$2))</f>
        <v>0</v>
      </c>
      <c r="AA221" s="1" t="n">
        <f aca="true">_xlfn.AGGREGATE(4,6,OFFSET($R$5,H221,0,1,$J$2))</f>
        <v>0</v>
      </c>
      <c r="AB221" s="1" t="n">
        <f aca="false">AA221-Z221</f>
        <v>0</v>
      </c>
      <c r="AC221" s="1" t="e">
        <f aca="true">_xlfn.AGGREGATE(1,6,OFFSET($R$5,H221,0,1,$J$2))</f>
        <v>#DIV/0!</v>
      </c>
    </row>
    <row r="222" customFormat="false" ht="14.25" hidden="false" customHeight="false" outlineLevel="0" collapsed="false">
      <c r="H222" s="1" t="n">
        <f aca="false">H221+1</f>
        <v>217</v>
      </c>
      <c r="I222" s="1" t="n">
        <f aca="false">DAY(K222)</f>
        <v>4</v>
      </c>
      <c r="J222" s="1" t="n">
        <f aca="false">MONTH(K222)</f>
        <v>8</v>
      </c>
      <c r="K222" s="23" t="n">
        <f aca="false">K221+1</f>
        <v>36742</v>
      </c>
      <c r="L222" s="24" t="n">
        <f aca="true">IF(TODAY()&lt;DATE($N$5,J222,I222),1000000,-1000000)</f>
        <v>-1000000</v>
      </c>
      <c r="M222" s="1" t="e">
        <f aca="false">IF(K222&gt;0,INDEX(big_daily_table,MATCH(DATE(N$5,$J222,$I222),daily_dates,0),MATCH($B$3,daily_items,0)),NA())</f>
        <v>#N/A</v>
      </c>
      <c r="N222" s="1" t="e">
        <f aca="false">IF(L222&lt;0,INDEX(big_daily_table,MATCH(DATE(N$5,$J222,$I222),daily_dates,0),MATCH($B$3,daily_items,0)),NA())</f>
        <v>#N/A</v>
      </c>
      <c r="O222" s="1" t="e">
        <f aca="false">IF(ISBLANK(INDEX(big_daily_table,MATCH(DATE(O$5,$J222,$I222),daily_dates,0),MATCH($B$3,daily_items,0))),NA(),INDEX(big_daily_table,MATCH(DATE(O$5,$J222,$I222),daily_dates,0),MATCH($B$3,daily_items,0)))</f>
        <v>#N/A</v>
      </c>
      <c r="P222" s="1" t="e">
        <f aca="false">IF(ISBLANK(INDEX(big_daily_table,MATCH(DATE(P$5,$J222,$I222),daily_dates,0),MATCH($B$3,daily_items,0))),NA(),INDEX(big_daily_table,MATCH(DATE(P$5,$J222,$I222),daily_dates,0),MATCH($B$3,daily_items,0)))</f>
        <v>#N/A</v>
      </c>
      <c r="Q222" s="1" t="e">
        <f aca="false">IF(ISBLANK(INDEX(big_daily_table,MATCH(DATE(Q$5,$J222,$I222),daily_dates,0),MATCH($B$3,daily_items,0))),NA(),INDEX(big_daily_table,MATCH(DATE(Q$5,$J222,$I222),daily_dates,0),MATCH($B$3,daily_items,0)))</f>
        <v>#N/A</v>
      </c>
      <c r="R222" s="1" t="e">
        <f aca="false">IF(ISBLANK(INDEX(big_daily_table,MATCH(DATE(R$5,$J222,$I222),daily_dates,0),MATCH($B$3,daily_items,0))),NA(),INDEX(big_daily_table,MATCH(DATE(R$5,$J222,$I222),daily_dates,0),MATCH($B$3,daily_items,0)))</f>
        <v>#N/A</v>
      </c>
      <c r="S222" s="1" t="e">
        <f aca="false">IF(ISBLANK(INDEX(big_daily_table,MATCH(DATE(S$5,$J222,$I222),daily_dates,0),MATCH($B$3,daily_items,0))),NA(),INDEX(big_daily_table,MATCH(DATE(S$5,$J222,$I222),daily_dates,0),MATCH($B$3,daily_items,0)))</f>
        <v>#N/A</v>
      </c>
      <c r="T222" s="1" t="e">
        <f aca="false">IF(ISBLANK(INDEX(big_daily_table,MATCH(DATE(T$5,$J222,$I222),daily_dates,0),MATCH($B$3,daily_items,0))),NA(),INDEX(big_daily_table,MATCH(DATE(T$5,$J222,$I222),daily_dates,0),MATCH($B$3,daily_items,0)))</f>
        <v>#N/A</v>
      </c>
      <c r="U222" s="1" t="e">
        <f aca="false">IF(ISBLANK(INDEX(big_daily_table,MATCH(DATE(U$5,$J222,$I222),daily_dates,0),MATCH($B$3,daily_items,0))),NA(),INDEX(big_daily_table,MATCH(DATE(U$5,$J222,$I222),daily_dates,0),MATCH($B$3,daily_items,0)))</f>
        <v>#N/A</v>
      </c>
      <c r="V222" s="1" t="e">
        <f aca="false">IF(ISBLANK(INDEX(big_daily_table,MATCH(DATE(V$5,$J222,$I222),daily_dates,0),MATCH($B$3,daily_items,0))),NA(),INDEX(big_daily_table,MATCH(DATE(V$5,$J222,$I222),daily_dates,0),MATCH($B$3,daily_items,0)))</f>
        <v>#N/A</v>
      </c>
      <c r="W222" s="1" t="e">
        <f aca="false">IF(ISBLANK(INDEX(big_daily_table,MATCH(DATE(W$5,$J222,$I222),daily_dates,0),MATCH($B$3,daily_items,0))),NA(),INDEX(big_daily_table,MATCH(DATE(W$5,$J222,$I222),daily_dates,0),MATCH($B$3,daily_items,0)))</f>
        <v>#N/A</v>
      </c>
      <c r="X222" s="1" t="e">
        <f aca="false">IF(ISBLANK(INDEX(big_daily_table,MATCH(DATE(X$5,$J222,$I222),daily_dates,0),MATCH($B$3,daily_items,0))),NA(),INDEX(big_daily_table,MATCH(DATE(X$5,$J222,$I222),daily_dates,0),MATCH($B$3,daily_items,0)))</f>
        <v>#N/A</v>
      </c>
      <c r="Y222" s="1" t="e">
        <f aca="false">IF(ISBLANK(INDEX(big_daily_table,MATCH(DATE(Y$5,$J222,$I222),daily_dates,0),MATCH($B$3,daily_items,0))),NA(),INDEX(big_daily_table,MATCH(DATE(Y$5,$J222,$I222),daily_dates,0),MATCH($B$3,daily_items,0)))</f>
        <v>#N/A</v>
      </c>
      <c r="Z222" s="1" t="n">
        <f aca="true">_xlfn.AGGREGATE(5,6,OFFSET($R$5,H222,0,1,$J$2))</f>
        <v>0</v>
      </c>
      <c r="AA222" s="1" t="n">
        <f aca="true">_xlfn.AGGREGATE(4,6,OFFSET($R$5,H222,0,1,$J$2))</f>
        <v>0</v>
      </c>
      <c r="AB222" s="1" t="n">
        <f aca="false">AA222-Z222</f>
        <v>0</v>
      </c>
      <c r="AC222" s="1" t="e">
        <f aca="true">_xlfn.AGGREGATE(1,6,OFFSET($R$5,H222,0,1,$J$2))</f>
        <v>#DIV/0!</v>
      </c>
    </row>
    <row r="223" customFormat="false" ht="14.25" hidden="false" customHeight="false" outlineLevel="0" collapsed="false">
      <c r="H223" s="1" t="n">
        <f aca="false">H222+1</f>
        <v>218</v>
      </c>
      <c r="I223" s="1" t="n">
        <f aca="false">DAY(K223)</f>
        <v>5</v>
      </c>
      <c r="J223" s="1" t="n">
        <f aca="false">MONTH(K223)</f>
        <v>8</v>
      </c>
      <c r="K223" s="23" t="n">
        <f aca="false">K222+1</f>
        <v>36743</v>
      </c>
      <c r="L223" s="24" t="n">
        <f aca="true">IF(TODAY()&lt;DATE($N$5,J223,I223),1000000,-1000000)</f>
        <v>-1000000</v>
      </c>
      <c r="M223" s="1" t="e">
        <f aca="false">IF(K223&gt;0,INDEX(big_daily_table,MATCH(DATE(N$5,$J223,$I223),daily_dates,0),MATCH($B$3,daily_items,0)),NA())</f>
        <v>#N/A</v>
      </c>
      <c r="N223" s="1" t="e">
        <f aca="false">IF(L223&lt;0,INDEX(big_daily_table,MATCH(DATE(N$5,$J223,$I223),daily_dates,0),MATCH($B$3,daily_items,0)),NA())</f>
        <v>#N/A</v>
      </c>
      <c r="O223" s="1" t="e">
        <f aca="false">IF(ISBLANK(INDEX(big_daily_table,MATCH(DATE(O$5,$J223,$I223),daily_dates,0),MATCH($B$3,daily_items,0))),NA(),INDEX(big_daily_table,MATCH(DATE(O$5,$J223,$I223),daily_dates,0),MATCH($B$3,daily_items,0)))</f>
        <v>#N/A</v>
      </c>
      <c r="P223" s="1" t="e">
        <f aca="false">IF(ISBLANK(INDEX(big_daily_table,MATCH(DATE(P$5,$J223,$I223),daily_dates,0),MATCH($B$3,daily_items,0))),NA(),INDEX(big_daily_table,MATCH(DATE(P$5,$J223,$I223),daily_dates,0),MATCH($B$3,daily_items,0)))</f>
        <v>#N/A</v>
      </c>
      <c r="Q223" s="1" t="e">
        <f aca="false">IF(ISBLANK(INDEX(big_daily_table,MATCH(DATE(Q$5,$J223,$I223),daily_dates,0),MATCH($B$3,daily_items,0))),NA(),INDEX(big_daily_table,MATCH(DATE(Q$5,$J223,$I223),daily_dates,0),MATCH($B$3,daily_items,0)))</f>
        <v>#N/A</v>
      </c>
      <c r="R223" s="1" t="e">
        <f aca="false">IF(ISBLANK(INDEX(big_daily_table,MATCH(DATE(R$5,$J223,$I223),daily_dates,0),MATCH($B$3,daily_items,0))),NA(),INDEX(big_daily_table,MATCH(DATE(R$5,$J223,$I223),daily_dates,0),MATCH($B$3,daily_items,0)))</f>
        <v>#N/A</v>
      </c>
      <c r="S223" s="1" t="e">
        <f aca="false">IF(ISBLANK(INDEX(big_daily_table,MATCH(DATE(S$5,$J223,$I223),daily_dates,0),MATCH($B$3,daily_items,0))),NA(),INDEX(big_daily_table,MATCH(DATE(S$5,$J223,$I223),daily_dates,0),MATCH($B$3,daily_items,0)))</f>
        <v>#N/A</v>
      </c>
      <c r="T223" s="1" t="e">
        <f aca="false">IF(ISBLANK(INDEX(big_daily_table,MATCH(DATE(T$5,$J223,$I223),daily_dates,0),MATCH($B$3,daily_items,0))),NA(),INDEX(big_daily_table,MATCH(DATE(T$5,$J223,$I223),daily_dates,0),MATCH($B$3,daily_items,0)))</f>
        <v>#N/A</v>
      </c>
      <c r="U223" s="1" t="e">
        <f aca="false">IF(ISBLANK(INDEX(big_daily_table,MATCH(DATE(U$5,$J223,$I223),daily_dates,0),MATCH($B$3,daily_items,0))),NA(),INDEX(big_daily_table,MATCH(DATE(U$5,$J223,$I223),daily_dates,0),MATCH($B$3,daily_items,0)))</f>
        <v>#N/A</v>
      </c>
      <c r="V223" s="1" t="e">
        <f aca="false">IF(ISBLANK(INDEX(big_daily_table,MATCH(DATE(V$5,$J223,$I223),daily_dates,0),MATCH($B$3,daily_items,0))),NA(),INDEX(big_daily_table,MATCH(DATE(V$5,$J223,$I223),daily_dates,0),MATCH($B$3,daily_items,0)))</f>
        <v>#N/A</v>
      </c>
      <c r="W223" s="1" t="e">
        <f aca="false">IF(ISBLANK(INDEX(big_daily_table,MATCH(DATE(W$5,$J223,$I223),daily_dates,0),MATCH($B$3,daily_items,0))),NA(),INDEX(big_daily_table,MATCH(DATE(W$5,$J223,$I223),daily_dates,0),MATCH($B$3,daily_items,0)))</f>
        <v>#N/A</v>
      </c>
      <c r="X223" s="1" t="e">
        <f aca="false">IF(ISBLANK(INDEX(big_daily_table,MATCH(DATE(X$5,$J223,$I223),daily_dates,0),MATCH($B$3,daily_items,0))),NA(),INDEX(big_daily_table,MATCH(DATE(X$5,$J223,$I223),daily_dates,0),MATCH($B$3,daily_items,0)))</f>
        <v>#N/A</v>
      </c>
      <c r="Y223" s="1" t="e">
        <f aca="false">IF(ISBLANK(INDEX(big_daily_table,MATCH(DATE(Y$5,$J223,$I223),daily_dates,0),MATCH($B$3,daily_items,0))),NA(),INDEX(big_daily_table,MATCH(DATE(Y$5,$J223,$I223),daily_dates,0),MATCH($B$3,daily_items,0)))</f>
        <v>#N/A</v>
      </c>
      <c r="Z223" s="1" t="n">
        <f aca="true">_xlfn.AGGREGATE(5,6,OFFSET($R$5,H223,0,1,$J$2))</f>
        <v>0</v>
      </c>
      <c r="AA223" s="1" t="n">
        <f aca="true">_xlfn.AGGREGATE(4,6,OFFSET($R$5,H223,0,1,$J$2))</f>
        <v>0</v>
      </c>
      <c r="AB223" s="1" t="n">
        <f aca="false">AA223-Z223</f>
        <v>0</v>
      </c>
      <c r="AC223" s="1" t="e">
        <f aca="true">_xlfn.AGGREGATE(1,6,OFFSET($R$5,H223,0,1,$J$2))</f>
        <v>#DIV/0!</v>
      </c>
    </row>
    <row r="224" customFormat="false" ht="14.25" hidden="false" customHeight="false" outlineLevel="0" collapsed="false">
      <c r="H224" s="1" t="n">
        <f aca="false">H223+1</f>
        <v>219</v>
      </c>
      <c r="I224" s="1" t="n">
        <f aca="false">DAY(K224)</f>
        <v>6</v>
      </c>
      <c r="J224" s="1" t="n">
        <f aca="false">MONTH(K224)</f>
        <v>8</v>
      </c>
      <c r="K224" s="23" t="n">
        <f aca="false">K223+1</f>
        <v>36744</v>
      </c>
      <c r="L224" s="24" t="n">
        <f aca="true">IF(TODAY()&lt;DATE($N$5,J224,I224),1000000,-1000000)</f>
        <v>-1000000</v>
      </c>
      <c r="M224" s="1" t="e">
        <f aca="false">IF(K224&gt;0,INDEX(big_daily_table,MATCH(DATE(N$5,$J224,$I224),daily_dates,0),MATCH($B$3,daily_items,0)),NA())</f>
        <v>#N/A</v>
      </c>
      <c r="N224" s="1" t="e">
        <f aca="false">IF(L224&lt;0,INDEX(big_daily_table,MATCH(DATE(N$5,$J224,$I224),daily_dates,0),MATCH($B$3,daily_items,0)),NA())</f>
        <v>#N/A</v>
      </c>
      <c r="O224" s="1" t="e">
        <f aca="false">IF(ISBLANK(INDEX(big_daily_table,MATCH(DATE(O$5,$J224,$I224),daily_dates,0),MATCH($B$3,daily_items,0))),NA(),INDEX(big_daily_table,MATCH(DATE(O$5,$J224,$I224),daily_dates,0),MATCH($B$3,daily_items,0)))</f>
        <v>#N/A</v>
      </c>
      <c r="P224" s="1" t="e">
        <f aca="false">IF(ISBLANK(INDEX(big_daily_table,MATCH(DATE(P$5,$J224,$I224),daily_dates,0),MATCH($B$3,daily_items,0))),NA(),INDEX(big_daily_table,MATCH(DATE(P$5,$J224,$I224),daily_dates,0),MATCH($B$3,daily_items,0)))</f>
        <v>#N/A</v>
      </c>
      <c r="Q224" s="1" t="e">
        <f aca="false">IF(ISBLANK(INDEX(big_daily_table,MATCH(DATE(Q$5,$J224,$I224),daily_dates,0),MATCH($B$3,daily_items,0))),NA(),INDEX(big_daily_table,MATCH(DATE(Q$5,$J224,$I224),daily_dates,0),MATCH($B$3,daily_items,0)))</f>
        <v>#N/A</v>
      </c>
      <c r="R224" s="1" t="e">
        <f aca="false">IF(ISBLANK(INDEX(big_daily_table,MATCH(DATE(R$5,$J224,$I224),daily_dates,0),MATCH($B$3,daily_items,0))),NA(),INDEX(big_daily_table,MATCH(DATE(R$5,$J224,$I224),daily_dates,0),MATCH($B$3,daily_items,0)))</f>
        <v>#N/A</v>
      </c>
      <c r="S224" s="1" t="e">
        <f aca="false">IF(ISBLANK(INDEX(big_daily_table,MATCH(DATE(S$5,$J224,$I224),daily_dates,0),MATCH($B$3,daily_items,0))),NA(),INDEX(big_daily_table,MATCH(DATE(S$5,$J224,$I224),daily_dates,0),MATCH($B$3,daily_items,0)))</f>
        <v>#N/A</v>
      </c>
      <c r="T224" s="1" t="e">
        <f aca="false">IF(ISBLANK(INDEX(big_daily_table,MATCH(DATE(T$5,$J224,$I224),daily_dates,0),MATCH($B$3,daily_items,0))),NA(),INDEX(big_daily_table,MATCH(DATE(T$5,$J224,$I224),daily_dates,0),MATCH($B$3,daily_items,0)))</f>
        <v>#N/A</v>
      </c>
      <c r="U224" s="1" t="e">
        <f aca="false">IF(ISBLANK(INDEX(big_daily_table,MATCH(DATE(U$5,$J224,$I224),daily_dates,0),MATCH($B$3,daily_items,0))),NA(),INDEX(big_daily_table,MATCH(DATE(U$5,$J224,$I224),daily_dates,0),MATCH($B$3,daily_items,0)))</f>
        <v>#N/A</v>
      </c>
      <c r="V224" s="1" t="e">
        <f aca="false">IF(ISBLANK(INDEX(big_daily_table,MATCH(DATE(V$5,$J224,$I224),daily_dates,0),MATCH($B$3,daily_items,0))),NA(),INDEX(big_daily_table,MATCH(DATE(V$5,$J224,$I224),daily_dates,0),MATCH($B$3,daily_items,0)))</f>
        <v>#N/A</v>
      </c>
      <c r="W224" s="1" t="e">
        <f aca="false">IF(ISBLANK(INDEX(big_daily_table,MATCH(DATE(W$5,$J224,$I224),daily_dates,0),MATCH($B$3,daily_items,0))),NA(),INDEX(big_daily_table,MATCH(DATE(W$5,$J224,$I224),daily_dates,0),MATCH($B$3,daily_items,0)))</f>
        <v>#N/A</v>
      </c>
      <c r="X224" s="1" t="e">
        <f aca="false">IF(ISBLANK(INDEX(big_daily_table,MATCH(DATE(X$5,$J224,$I224),daily_dates,0),MATCH($B$3,daily_items,0))),NA(),INDEX(big_daily_table,MATCH(DATE(X$5,$J224,$I224),daily_dates,0),MATCH($B$3,daily_items,0)))</f>
        <v>#N/A</v>
      </c>
      <c r="Y224" s="1" t="e">
        <f aca="false">IF(ISBLANK(INDEX(big_daily_table,MATCH(DATE(Y$5,$J224,$I224),daily_dates,0),MATCH($B$3,daily_items,0))),NA(),INDEX(big_daily_table,MATCH(DATE(Y$5,$J224,$I224),daily_dates,0),MATCH($B$3,daily_items,0)))</f>
        <v>#N/A</v>
      </c>
      <c r="Z224" s="1" t="n">
        <f aca="true">_xlfn.AGGREGATE(5,6,OFFSET($R$5,H224,0,1,$J$2))</f>
        <v>0</v>
      </c>
      <c r="AA224" s="1" t="n">
        <f aca="true">_xlfn.AGGREGATE(4,6,OFFSET($R$5,H224,0,1,$J$2))</f>
        <v>0</v>
      </c>
      <c r="AB224" s="1" t="n">
        <f aca="false">AA224-Z224</f>
        <v>0</v>
      </c>
      <c r="AC224" s="1" t="e">
        <f aca="true">_xlfn.AGGREGATE(1,6,OFFSET($R$5,H224,0,1,$J$2))</f>
        <v>#DIV/0!</v>
      </c>
    </row>
    <row r="225" customFormat="false" ht="14.25" hidden="false" customHeight="false" outlineLevel="0" collapsed="false">
      <c r="H225" s="1" t="n">
        <f aca="false">H224+1</f>
        <v>220</v>
      </c>
      <c r="I225" s="1" t="n">
        <f aca="false">DAY(K225)</f>
        <v>7</v>
      </c>
      <c r="J225" s="1" t="n">
        <f aca="false">MONTH(K225)</f>
        <v>8</v>
      </c>
      <c r="K225" s="23" t="n">
        <f aca="false">K224+1</f>
        <v>36745</v>
      </c>
      <c r="L225" s="24" t="n">
        <f aca="true">IF(TODAY()&lt;DATE($N$5,J225,I225),1000000,-1000000)</f>
        <v>-1000000</v>
      </c>
      <c r="M225" s="1" t="e">
        <f aca="false">IF(K225&gt;0,INDEX(big_daily_table,MATCH(DATE(N$5,$J225,$I225),daily_dates,0),MATCH($B$3,daily_items,0)),NA())</f>
        <v>#N/A</v>
      </c>
      <c r="N225" s="1" t="e">
        <f aca="false">IF(L225&lt;0,INDEX(big_daily_table,MATCH(DATE(N$5,$J225,$I225),daily_dates,0),MATCH($B$3,daily_items,0)),NA())</f>
        <v>#N/A</v>
      </c>
      <c r="O225" s="1" t="e">
        <f aca="false">IF(ISBLANK(INDEX(big_daily_table,MATCH(DATE(O$5,$J225,$I225),daily_dates,0),MATCH($B$3,daily_items,0))),NA(),INDEX(big_daily_table,MATCH(DATE(O$5,$J225,$I225),daily_dates,0),MATCH($B$3,daily_items,0)))</f>
        <v>#N/A</v>
      </c>
      <c r="P225" s="1" t="e">
        <f aca="false">IF(ISBLANK(INDEX(big_daily_table,MATCH(DATE(P$5,$J225,$I225),daily_dates,0),MATCH($B$3,daily_items,0))),NA(),INDEX(big_daily_table,MATCH(DATE(P$5,$J225,$I225),daily_dates,0),MATCH($B$3,daily_items,0)))</f>
        <v>#N/A</v>
      </c>
      <c r="Q225" s="1" t="e">
        <f aca="false">IF(ISBLANK(INDEX(big_daily_table,MATCH(DATE(Q$5,$J225,$I225),daily_dates,0),MATCH($B$3,daily_items,0))),NA(),INDEX(big_daily_table,MATCH(DATE(Q$5,$J225,$I225),daily_dates,0),MATCH($B$3,daily_items,0)))</f>
        <v>#N/A</v>
      </c>
      <c r="R225" s="1" t="e">
        <f aca="false">IF(ISBLANK(INDEX(big_daily_table,MATCH(DATE(R$5,$J225,$I225),daily_dates,0),MATCH($B$3,daily_items,0))),NA(),INDEX(big_daily_table,MATCH(DATE(R$5,$J225,$I225),daily_dates,0),MATCH($B$3,daily_items,0)))</f>
        <v>#N/A</v>
      </c>
      <c r="S225" s="1" t="e">
        <f aca="false">IF(ISBLANK(INDEX(big_daily_table,MATCH(DATE(S$5,$J225,$I225),daily_dates,0),MATCH($B$3,daily_items,0))),NA(),INDEX(big_daily_table,MATCH(DATE(S$5,$J225,$I225),daily_dates,0),MATCH($B$3,daily_items,0)))</f>
        <v>#N/A</v>
      </c>
      <c r="T225" s="1" t="e">
        <f aca="false">IF(ISBLANK(INDEX(big_daily_table,MATCH(DATE(T$5,$J225,$I225),daily_dates,0),MATCH($B$3,daily_items,0))),NA(),INDEX(big_daily_table,MATCH(DATE(T$5,$J225,$I225),daily_dates,0),MATCH($B$3,daily_items,0)))</f>
        <v>#N/A</v>
      </c>
      <c r="U225" s="1" t="e">
        <f aca="false">IF(ISBLANK(INDEX(big_daily_table,MATCH(DATE(U$5,$J225,$I225),daily_dates,0),MATCH($B$3,daily_items,0))),NA(),INDEX(big_daily_table,MATCH(DATE(U$5,$J225,$I225),daily_dates,0),MATCH($B$3,daily_items,0)))</f>
        <v>#N/A</v>
      </c>
      <c r="V225" s="1" t="e">
        <f aca="false">IF(ISBLANK(INDEX(big_daily_table,MATCH(DATE(V$5,$J225,$I225),daily_dates,0),MATCH($B$3,daily_items,0))),NA(),INDEX(big_daily_table,MATCH(DATE(V$5,$J225,$I225),daily_dates,0),MATCH($B$3,daily_items,0)))</f>
        <v>#N/A</v>
      </c>
      <c r="W225" s="1" t="e">
        <f aca="false">IF(ISBLANK(INDEX(big_daily_table,MATCH(DATE(W$5,$J225,$I225),daily_dates,0),MATCH($B$3,daily_items,0))),NA(),INDEX(big_daily_table,MATCH(DATE(W$5,$J225,$I225),daily_dates,0),MATCH($B$3,daily_items,0)))</f>
        <v>#N/A</v>
      </c>
      <c r="X225" s="1" t="e">
        <f aca="false">IF(ISBLANK(INDEX(big_daily_table,MATCH(DATE(X$5,$J225,$I225),daily_dates,0),MATCH($B$3,daily_items,0))),NA(),INDEX(big_daily_table,MATCH(DATE(X$5,$J225,$I225),daily_dates,0),MATCH($B$3,daily_items,0)))</f>
        <v>#N/A</v>
      </c>
      <c r="Y225" s="1" t="e">
        <f aca="false">IF(ISBLANK(INDEX(big_daily_table,MATCH(DATE(Y$5,$J225,$I225),daily_dates,0),MATCH($B$3,daily_items,0))),NA(),INDEX(big_daily_table,MATCH(DATE(Y$5,$J225,$I225),daily_dates,0),MATCH($B$3,daily_items,0)))</f>
        <v>#N/A</v>
      </c>
      <c r="Z225" s="1" t="n">
        <f aca="true">_xlfn.AGGREGATE(5,6,OFFSET($R$5,H225,0,1,$J$2))</f>
        <v>0</v>
      </c>
      <c r="AA225" s="1" t="n">
        <f aca="true">_xlfn.AGGREGATE(4,6,OFFSET($R$5,H225,0,1,$J$2))</f>
        <v>0</v>
      </c>
      <c r="AB225" s="1" t="n">
        <f aca="false">AA225-Z225</f>
        <v>0</v>
      </c>
      <c r="AC225" s="1" t="e">
        <f aca="true">_xlfn.AGGREGATE(1,6,OFFSET($R$5,H225,0,1,$J$2))</f>
        <v>#DIV/0!</v>
      </c>
    </row>
    <row r="226" customFormat="false" ht="14.25" hidden="false" customHeight="false" outlineLevel="0" collapsed="false">
      <c r="H226" s="1" t="n">
        <f aca="false">H225+1</f>
        <v>221</v>
      </c>
      <c r="I226" s="1" t="n">
        <f aca="false">DAY(K226)</f>
        <v>8</v>
      </c>
      <c r="J226" s="1" t="n">
        <f aca="false">MONTH(K226)</f>
        <v>8</v>
      </c>
      <c r="K226" s="23" t="n">
        <f aca="false">K225+1</f>
        <v>36746</v>
      </c>
      <c r="L226" s="24" t="n">
        <f aca="true">IF(TODAY()&lt;DATE($N$5,J226,I226),1000000,-1000000)</f>
        <v>-1000000</v>
      </c>
      <c r="M226" s="1" t="e">
        <f aca="false">IF(K226&gt;0,INDEX(big_daily_table,MATCH(DATE(N$5,$J226,$I226),daily_dates,0),MATCH($B$3,daily_items,0)),NA())</f>
        <v>#N/A</v>
      </c>
      <c r="N226" s="1" t="e">
        <f aca="false">IF(L226&lt;0,INDEX(big_daily_table,MATCH(DATE(N$5,$J226,$I226),daily_dates,0),MATCH($B$3,daily_items,0)),NA())</f>
        <v>#N/A</v>
      </c>
      <c r="O226" s="1" t="e">
        <f aca="false">IF(ISBLANK(INDEX(big_daily_table,MATCH(DATE(O$5,$J226,$I226),daily_dates,0),MATCH($B$3,daily_items,0))),NA(),INDEX(big_daily_table,MATCH(DATE(O$5,$J226,$I226),daily_dates,0),MATCH($B$3,daily_items,0)))</f>
        <v>#N/A</v>
      </c>
      <c r="P226" s="1" t="e">
        <f aca="false">IF(ISBLANK(INDEX(big_daily_table,MATCH(DATE(P$5,$J226,$I226),daily_dates,0),MATCH($B$3,daily_items,0))),NA(),INDEX(big_daily_table,MATCH(DATE(P$5,$J226,$I226),daily_dates,0),MATCH($B$3,daily_items,0)))</f>
        <v>#N/A</v>
      </c>
      <c r="Q226" s="1" t="e">
        <f aca="false">IF(ISBLANK(INDEX(big_daily_table,MATCH(DATE(Q$5,$J226,$I226),daily_dates,0),MATCH($B$3,daily_items,0))),NA(),INDEX(big_daily_table,MATCH(DATE(Q$5,$J226,$I226),daily_dates,0),MATCH($B$3,daily_items,0)))</f>
        <v>#N/A</v>
      </c>
      <c r="R226" s="1" t="e">
        <f aca="false">IF(ISBLANK(INDEX(big_daily_table,MATCH(DATE(R$5,$J226,$I226),daily_dates,0),MATCH($B$3,daily_items,0))),NA(),INDEX(big_daily_table,MATCH(DATE(R$5,$J226,$I226),daily_dates,0),MATCH($B$3,daily_items,0)))</f>
        <v>#N/A</v>
      </c>
      <c r="S226" s="1" t="e">
        <f aca="false">IF(ISBLANK(INDEX(big_daily_table,MATCH(DATE(S$5,$J226,$I226),daily_dates,0),MATCH($B$3,daily_items,0))),NA(),INDEX(big_daily_table,MATCH(DATE(S$5,$J226,$I226),daily_dates,0),MATCH($B$3,daily_items,0)))</f>
        <v>#N/A</v>
      </c>
      <c r="T226" s="1" t="e">
        <f aca="false">IF(ISBLANK(INDEX(big_daily_table,MATCH(DATE(T$5,$J226,$I226),daily_dates,0),MATCH($B$3,daily_items,0))),NA(),INDEX(big_daily_table,MATCH(DATE(T$5,$J226,$I226),daily_dates,0),MATCH($B$3,daily_items,0)))</f>
        <v>#N/A</v>
      </c>
      <c r="U226" s="1" t="e">
        <f aca="false">IF(ISBLANK(INDEX(big_daily_table,MATCH(DATE(U$5,$J226,$I226),daily_dates,0),MATCH($B$3,daily_items,0))),NA(),INDEX(big_daily_table,MATCH(DATE(U$5,$J226,$I226),daily_dates,0),MATCH($B$3,daily_items,0)))</f>
        <v>#N/A</v>
      </c>
      <c r="V226" s="1" t="e">
        <f aca="false">IF(ISBLANK(INDEX(big_daily_table,MATCH(DATE(V$5,$J226,$I226),daily_dates,0),MATCH($B$3,daily_items,0))),NA(),INDEX(big_daily_table,MATCH(DATE(V$5,$J226,$I226),daily_dates,0),MATCH($B$3,daily_items,0)))</f>
        <v>#N/A</v>
      </c>
      <c r="W226" s="1" t="e">
        <f aca="false">IF(ISBLANK(INDEX(big_daily_table,MATCH(DATE(W$5,$J226,$I226),daily_dates,0),MATCH($B$3,daily_items,0))),NA(),INDEX(big_daily_table,MATCH(DATE(W$5,$J226,$I226),daily_dates,0),MATCH($B$3,daily_items,0)))</f>
        <v>#N/A</v>
      </c>
      <c r="X226" s="1" t="e">
        <f aca="false">IF(ISBLANK(INDEX(big_daily_table,MATCH(DATE(X$5,$J226,$I226),daily_dates,0),MATCH($B$3,daily_items,0))),NA(),INDEX(big_daily_table,MATCH(DATE(X$5,$J226,$I226),daily_dates,0),MATCH($B$3,daily_items,0)))</f>
        <v>#N/A</v>
      </c>
      <c r="Y226" s="1" t="e">
        <f aca="false">IF(ISBLANK(INDEX(big_daily_table,MATCH(DATE(Y$5,$J226,$I226),daily_dates,0),MATCH($B$3,daily_items,0))),NA(),INDEX(big_daily_table,MATCH(DATE(Y$5,$J226,$I226),daily_dates,0),MATCH($B$3,daily_items,0)))</f>
        <v>#N/A</v>
      </c>
      <c r="Z226" s="1" t="n">
        <f aca="true">_xlfn.AGGREGATE(5,6,OFFSET($R$5,H226,0,1,$J$2))</f>
        <v>0</v>
      </c>
      <c r="AA226" s="1" t="n">
        <f aca="true">_xlfn.AGGREGATE(4,6,OFFSET($R$5,H226,0,1,$J$2))</f>
        <v>0</v>
      </c>
      <c r="AB226" s="1" t="n">
        <f aca="false">AA226-Z226</f>
        <v>0</v>
      </c>
      <c r="AC226" s="1" t="e">
        <f aca="true">_xlfn.AGGREGATE(1,6,OFFSET($R$5,H226,0,1,$J$2))</f>
        <v>#DIV/0!</v>
      </c>
    </row>
    <row r="227" customFormat="false" ht="14.25" hidden="false" customHeight="false" outlineLevel="0" collapsed="false">
      <c r="H227" s="1" t="n">
        <f aca="false">H226+1</f>
        <v>222</v>
      </c>
      <c r="I227" s="1" t="n">
        <f aca="false">DAY(K227)</f>
        <v>9</v>
      </c>
      <c r="J227" s="1" t="n">
        <f aca="false">MONTH(K227)</f>
        <v>8</v>
      </c>
      <c r="K227" s="23" t="n">
        <f aca="false">K226+1</f>
        <v>36747</v>
      </c>
      <c r="L227" s="24" t="n">
        <f aca="true">IF(TODAY()&lt;DATE($N$5,J227,I227),1000000,-1000000)</f>
        <v>-1000000</v>
      </c>
      <c r="M227" s="1" t="e">
        <f aca="false">IF(K227&gt;0,INDEX(big_daily_table,MATCH(DATE(N$5,$J227,$I227),daily_dates,0),MATCH($B$3,daily_items,0)),NA())</f>
        <v>#N/A</v>
      </c>
      <c r="N227" s="1" t="e">
        <f aca="false">IF(L227&lt;0,INDEX(big_daily_table,MATCH(DATE(N$5,$J227,$I227),daily_dates,0),MATCH($B$3,daily_items,0)),NA())</f>
        <v>#N/A</v>
      </c>
      <c r="O227" s="1" t="e">
        <f aca="false">IF(ISBLANK(INDEX(big_daily_table,MATCH(DATE(O$5,$J227,$I227),daily_dates,0),MATCH($B$3,daily_items,0))),NA(),INDEX(big_daily_table,MATCH(DATE(O$5,$J227,$I227),daily_dates,0),MATCH($B$3,daily_items,0)))</f>
        <v>#N/A</v>
      </c>
      <c r="P227" s="1" t="e">
        <f aca="false">IF(ISBLANK(INDEX(big_daily_table,MATCH(DATE(P$5,$J227,$I227),daily_dates,0),MATCH($B$3,daily_items,0))),NA(),INDEX(big_daily_table,MATCH(DATE(P$5,$J227,$I227),daily_dates,0),MATCH($B$3,daily_items,0)))</f>
        <v>#N/A</v>
      </c>
      <c r="Q227" s="1" t="e">
        <f aca="false">IF(ISBLANK(INDEX(big_daily_table,MATCH(DATE(Q$5,$J227,$I227),daily_dates,0),MATCH($B$3,daily_items,0))),NA(),INDEX(big_daily_table,MATCH(DATE(Q$5,$J227,$I227),daily_dates,0),MATCH($B$3,daily_items,0)))</f>
        <v>#N/A</v>
      </c>
      <c r="R227" s="1" t="e">
        <f aca="false">IF(ISBLANK(INDEX(big_daily_table,MATCH(DATE(R$5,$J227,$I227),daily_dates,0),MATCH($B$3,daily_items,0))),NA(),INDEX(big_daily_table,MATCH(DATE(R$5,$J227,$I227),daily_dates,0),MATCH($B$3,daily_items,0)))</f>
        <v>#N/A</v>
      </c>
      <c r="S227" s="1" t="e">
        <f aca="false">IF(ISBLANK(INDEX(big_daily_table,MATCH(DATE(S$5,$J227,$I227),daily_dates,0),MATCH($B$3,daily_items,0))),NA(),INDEX(big_daily_table,MATCH(DATE(S$5,$J227,$I227),daily_dates,0),MATCH($B$3,daily_items,0)))</f>
        <v>#N/A</v>
      </c>
      <c r="T227" s="1" t="e">
        <f aca="false">IF(ISBLANK(INDEX(big_daily_table,MATCH(DATE(T$5,$J227,$I227),daily_dates,0),MATCH($B$3,daily_items,0))),NA(),INDEX(big_daily_table,MATCH(DATE(T$5,$J227,$I227),daily_dates,0),MATCH($B$3,daily_items,0)))</f>
        <v>#N/A</v>
      </c>
      <c r="U227" s="1" t="e">
        <f aca="false">IF(ISBLANK(INDEX(big_daily_table,MATCH(DATE(U$5,$J227,$I227),daily_dates,0),MATCH($B$3,daily_items,0))),NA(),INDEX(big_daily_table,MATCH(DATE(U$5,$J227,$I227),daily_dates,0),MATCH($B$3,daily_items,0)))</f>
        <v>#N/A</v>
      </c>
      <c r="V227" s="1" t="e">
        <f aca="false">IF(ISBLANK(INDEX(big_daily_table,MATCH(DATE(V$5,$J227,$I227),daily_dates,0),MATCH($B$3,daily_items,0))),NA(),INDEX(big_daily_table,MATCH(DATE(V$5,$J227,$I227),daily_dates,0),MATCH($B$3,daily_items,0)))</f>
        <v>#N/A</v>
      </c>
      <c r="W227" s="1" t="e">
        <f aca="false">IF(ISBLANK(INDEX(big_daily_table,MATCH(DATE(W$5,$J227,$I227),daily_dates,0),MATCH($B$3,daily_items,0))),NA(),INDEX(big_daily_table,MATCH(DATE(W$5,$J227,$I227),daily_dates,0),MATCH($B$3,daily_items,0)))</f>
        <v>#N/A</v>
      </c>
      <c r="X227" s="1" t="e">
        <f aca="false">IF(ISBLANK(INDEX(big_daily_table,MATCH(DATE(X$5,$J227,$I227),daily_dates,0),MATCH($B$3,daily_items,0))),NA(),INDEX(big_daily_table,MATCH(DATE(X$5,$J227,$I227),daily_dates,0),MATCH($B$3,daily_items,0)))</f>
        <v>#N/A</v>
      </c>
      <c r="Y227" s="1" t="e">
        <f aca="false">IF(ISBLANK(INDEX(big_daily_table,MATCH(DATE(Y$5,$J227,$I227),daily_dates,0),MATCH($B$3,daily_items,0))),NA(),INDEX(big_daily_table,MATCH(DATE(Y$5,$J227,$I227),daily_dates,0),MATCH($B$3,daily_items,0)))</f>
        <v>#N/A</v>
      </c>
      <c r="Z227" s="1" t="n">
        <f aca="true">_xlfn.AGGREGATE(5,6,OFFSET($R$5,H227,0,1,$J$2))</f>
        <v>0</v>
      </c>
      <c r="AA227" s="1" t="n">
        <f aca="true">_xlfn.AGGREGATE(4,6,OFFSET($R$5,H227,0,1,$J$2))</f>
        <v>0</v>
      </c>
      <c r="AB227" s="1" t="n">
        <f aca="false">AA227-Z227</f>
        <v>0</v>
      </c>
      <c r="AC227" s="1" t="e">
        <f aca="true">_xlfn.AGGREGATE(1,6,OFFSET($R$5,H227,0,1,$J$2))</f>
        <v>#DIV/0!</v>
      </c>
    </row>
    <row r="228" customFormat="false" ht="14.25" hidden="false" customHeight="false" outlineLevel="0" collapsed="false">
      <c r="H228" s="1" t="n">
        <f aca="false">H227+1</f>
        <v>223</v>
      </c>
      <c r="I228" s="1" t="n">
        <f aca="false">DAY(K228)</f>
        <v>10</v>
      </c>
      <c r="J228" s="1" t="n">
        <f aca="false">MONTH(K228)</f>
        <v>8</v>
      </c>
      <c r="K228" s="23" t="n">
        <f aca="false">K227+1</f>
        <v>36748</v>
      </c>
      <c r="L228" s="24" t="n">
        <f aca="true">IF(TODAY()&lt;DATE($N$5,J228,I228),1000000,-1000000)</f>
        <v>-1000000</v>
      </c>
      <c r="M228" s="1" t="e">
        <f aca="false">IF(K228&gt;0,INDEX(big_daily_table,MATCH(DATE(N$5,$J228,$I228),daily_dates,0),MATCH($B$3,daily_items,0)),NA())</f>
        <v>#N/A</v>
      </c>
      <c r="N228" s="1" t="e">
        <f aca="false">IF(L228&lt;0,INDEX(big_daily_table,MATCH(DATE(N$5,$J228,$I228),daily_dates,0),MATCH($B$3,daily_items,0)),NA())</f>
        <v>#N/A</v>
      </c>
      <c r="O228" s="1" t="e">
        <f aca="false">IF(ISBLANK(INDEX(big_daily_table,MATCH(DATE(O$5,$J228,$I228),daily_dates,0),MATCH($B$3,daily_items,0))),NA(),INDEX(big_daily_table,MATCH(DATE(O$5,$J228,$I228),daily_dates,0),MATCH($B$3,daily_items,0)))</f>
        <v>#N/A</v>
      </c>
      <c r="P228" s="1" t="e">
        <f aca="false">IF(ISBLANK(INDEX(big_daily_table,MATCH(DATE(P$5,$J228,$I228),daily_dates,0),MATCH($B$3,daily_items,0))),NA(),INDEX(big_daily_table,MATCH(DATE(P$5,$J228,$I228),daily_dates,0),MATCH($B$3,daily_items,0)))</f>
        <v>#N/A</v>
      </c>
      <c r="Q228" s="1" t="e">
        <f aca="false">IF(ISBLANK(INDEX(big_daily_table,MATCH(DATE(Q$5,$J228,$I228),daily_dates,0),MATCH($B$3,daily_items,0))),NA(),INDEX(big_daily_table,MATCH(DATE(Q$5,$J228,$I228),daily_dates,0),MATCH($B$3,daily_items,0)))</f>
        <v>#N/A</v>
      </c>
      <c r="R228" s="1" t="e">
        <f aca="false">IF(ISBLANK(INDEX(big_daily_table,MATCH(DATE(R$5,$J228,$I228),daily_dates,0),MATCH($B$3,daily_items,0))),NA(),INDEX(big_daily_table,MATCH(DATE(R$5,$J228,$I228),daily_dates,0),MATCH($B$3,daily_items,0)))</f>
        <v>#N/A</v>
      </c>
      <c r="S228" s="1" t="e">
        <f aca="false">IF(ISBLANK(INDEX(big_daily_table,MATCH(DATE(S$5,$J228,$I228),daily_dates,0),MATCH($B$3,daily_items,0))),NA(),INDEX(big_daily_table,MATCH(DATE(S$5,$J228,$I228),daily_dates,0),MATCH($B$3,daily_items,0)))</f>
        <v>#N/A</v>
      </c>
      <c r="T228" s="1" t="e">
        <f aca="false">IF(ISBLANK(INDEX(big_daily_table,MATCH(DATE(T$5,$J228,$I228),daily_dates,0),MATCH($B$3,daily_items,0))),NA(),INDEX(big_daily_table,MATCH(DATE(T$5,$J228,$I228),daily_dates,0),MATCH($B$3,daily_items,0)))</f>
        <v>#N/A</v>
      </c>
      <c r="U228" s="1" t="e">
        <f aca="false">IF(ISBLANK(INDEX(big_daily_table,MATCH(DATE(U$5,$J228,$I228),daily_dates,0),MATCH($B$3,daily_items,0))),NA(),INDEX(big_daily_table,MATCH(DATE(U$5,$J228,$I228),daily_dates,0),MATCH($B$3,daily_items,0)))</f>
        <v>#N/A</v>
      </c>
      <c r="V228" s="1" t="e">
        <f aca="false">IF(ISBLANK(INDEX(big_daily_table,MATCH(DATE(V$5,$J228,$I228),daily_dates,0),MATCH($B$3,daily_items,0))),NA(),INDEX(big_daily_table,MATCH(DATE(V$5,$J228,$I228),daily_dates,0),MATCH($B$3,daily_items,0)))</f>
        <v>#N/A</v>
      </c>
      <c r="W228" s="1" t="e">
        <f aca="false">IF(ISBLANK(INDEX(big_daily_table,MATCH(DATE(W$5,$J228,$I228),daily_dates,0),MATCH($B$3,daily_items,0))),NA(),INDEX(big_daily_table,MATCH(DATE(W$5,$J228,$I228),daily_dates,0),MATCH($B$3,daily_items,0)))</f>
        <v>#N/A</v>
      </c>
      <c r="X228" s="1" t="e">
        <f aca="false">IF(ISBLANK(INDEX(big_daily_table,MATCH(DATE(X$5,$J228,$I228),daily_dates,0),MATCH($B$3,daily_items,0))),NA(),INDEX(big_daily_table,MATCH(DATE(X$5,$J228,$I228),daily_dates,0),MATCH($B$3,daily_items,0)))</f>
        <v>#N/A</v>
      </c>
      <c r="Y228" s="1" t="e">
        <f aca="false">IF(ISBLANK(INDEX(big_daily_table,MATCH(DATE(Y$5,$J228,$I228),daily_dates,0),MATCH($B$3,daily_items,0))),NA(),INDEX(big_daily_table,MATCH(DATE(Y$5,$J228,$I228),daily_dates,0),MATCH($B$3,daily_items,0)))</f>
        <v>#N/A</v>
      </c>
      <c r="Z228" s="1" t="n">
        <f aca="true">_xlfn.AGGREGATE(5,6,OFFSET($R$5,H228,0,1,$J$2))</f>
        <v>0</v>
      </c>
      <c r="AA228" s="1" t="n">
        <f aca="true">_xlfn.AGGREGATE(4,6,OFFSET($R$5,H228,0,1,$J$2))</f>
        <v>0</v>
      </c>
      <c r="AB228" s="1" t="n">
        <f aca="false">AA228-Z228</f>
        <v>0</v>
      </c>
      <c r="AC228" s="1" t="e">
        <f aca="true">_xlfn.AGGREGATE(1,6,OFFSET($R$5,H228,0,1,$J$2))</f>
        <v>#DIV/0!</v>
      </c>
    </row>
    <row r="229" customFormat="false" ht="14.25" hidden="false" customHeight="false" outlineLevel="0" collapsed="false">
      <c r="H229" s="1" t="n">
        <f aca="false">H228+1</f>
        <v>224</v>
      </c>
      <c r="I229" s="1" t="n">
        <f aca="false">DAY(K229)</f>
        <v>11</v>
      </c>
      <c r="J229" s="1" t="n">
        <f aca="false">MONTH(K229)</f>
        <v>8</v>
      </c>
      <c r="K229" s="23" t="n">
        <f aca="false">K228+1</f>
        <v>36749</v>
      </c>
      <c r="L229" s="24" t="n">
        <f aca="true">IF(TODAY()&lt;DATE($N$5,J229,I229),1000000,-1000000)</f>
        <v>-1000000</v>
      </c>
      <c r="M229" s="1" t="e">
        <f aca="false">IF(K229&gt;0,INDEX(big_daily_table,MATCH(DATE(N$5,$J229,$I229),daily_dates,0),MATCH($B$3,daily_items,0)),NA())</f>
        <v>#N/A</v>
      </c>
      <c r="N229" s="1" t="e">
        <f aca="false">IF(L229&lt;0,INDEX(big_daily_table,MATCH(DATE(N$5,$J229,$I229),daily_dates,0),MATCH($B$3,daily_items,0)),NA())</f>
        <v>#N/A</v>
      </c>
      <c r="O229" s="1" t="e">
        <f aca="false">IF(ISBLANK(INDEX(big_daily_table,MATCH(DATE(O$5,$J229,$I229),daily_dates,0),MATCH($B$3,daily_items,0))),NA(),INDEX(big_daily_table,MATCH(DATE(O$5,$J229,$I229),daily_dates,0),MATCH($B$3,daily_items,0)))</f>
        <v>#N/A</v>
      </c>
      <c r="P229" s="1" t="e">
        <f aca="false">IF(ISBLANK(INDEX(big_daily_table,MATCH(DATE(P$5,$J229,$I229),daily_dates,0),MATCH($B$3,daily_items,0))),NA(),INDEX(big_daily_table,MATCH(DATE(P$5,$J229,$I229),daily_dates,0),MATCH($B$3,daily_items,0)))</f>
        <v>#N/A</v>
      </c>
      <c r="Q229" s="1" t="e">
        <f aca="false">IF(ISBLANK(INDEX(big_daily_table,MATCH(DATE(Q$5,$J229,$I229),daily_dates,0),MATCH($B$3,daily_items,0))),NA(),INDEX(big_daily_table,MATCH(DATE(Q$5,$J229,$I229),daily_dates,0),MATCH($B$3,daily_items,0)))</f>
        <v>#N/A</v>
      </c>
      <c r="R229" s="1" t="e">
        <f aca="false">IF(ISBLANK(INDEX(big_daily_table,MATCH(DATE(R$5,$J229,$I229),daily_dates,0),MATCH($B$3,daily_items,0))),NA(),INDEX(big_daily_table,MATCH(DATE(R$5,$J229,$I229),daily_dates,0),MATCH($B$3,daily_items,0)))</f>
        <v>#N/A</v>
      </c>
      <c r="S229" s="1" t="e">
        <f aca="false">IF(ISBLANK(INDEX(big_daily_table,MATCH(DATE(S$5,$J229,$I229),daily_dates,0),MATCH($B$3,daily_items,0))),NA(),INDEX(big_daily_table,MATCH(DATE(S$5,$J229,$I229),daily_dates,0),MATCH($B$3,daily_items,0)))</f>
        <v>#N/A</v>
      </c>
      <c r="T229" s="1" t="e">
        <f aca="false">IF(ISBLANK(INDEX(big_daily_table,MATCH(DATE(T$5,$J229,$I229),daily_dates,0),MATCH($B$3,daily_items,0))),NA(),INDEX(big_daily_table,MATCH(DATE(T$5,$J229,$I229),daily_dates,0),MATCH($B$3,daily_items,0)))</f>
        <v>#N/A</v>
      </c>
      <c r="U229" s="1" t="e">
        <f aca="false">IF(ISBLANK(INDEX(big_daily_table,MATCH(DATE(U$5,$J229,$I229),daily_dates,0),MATCH($B$3,daily_items,0))),NA(),INDEX(big_daily_table,MATCH(DATE(U$5,$J229,$I229),daily_dates,0),MATCH($B$3,daily_items,0)))</f>
        <v>#N/A</v>
      </c>
      <c r="V229" s="1" t="e">
        <f aca="false">IF(ISBLANK(INDEX(big_daily_table,MATCH(DATE(V$5,$J229,$I229),daily_dates,0),MATCH($B$3,daily_items,0))),NA(),INDEX(big_daily_table,MATCH(DATE(V$5,$J229,$I229),daily_dates,0),MATCH($B$3,daily_items,0)))</f>
        <v>#N/A</v>
      </c>
      <c r="W229" s="1" t="e">
        <f aca="false">IF(ISBLANK(INDEX(big_daily_table,MATCH(DATE(W$5,$J229,$I229),daily_dates,0),MATCH($B$3,daily_items,0))),NA(),INDEX(big_daily_table,MATCH(DATE(W$5,$J229,$I229),daily_dates,0),MATCH($B$3,daily_items,0)))</f>
        <v>#N/A</v>
      </c>
      <c r="X229" s="1" t="e">
        <f aca="false">IF(ISBLANK(INDEX(big_daily_table,MATCH(DATE(X$5,$J229,$I229),daily_dates,0),MATCH($B$3,daily_items,0))),NA(),INDEX(big_daily_table,MATCH(DATE(X$5,$J229,$I229),daily_dates,0),MATCH($B$3,daily_items,0)))</f>
        <v>#N/A</v>
      </c>
      <c r="Y229" s="1" t="e">
        <f aca="false">IF(ISBLANK(INDEX(big_daily_table,MATCH(DATE(Y$5,$J229,$I229),daily_dates,0),MATCH($B$3,daily_items,0))),NA(),INDEX(big_daily_table,MATCH(DATE(Y$5,$J229,$I229),daily_dates,0),MATCH($B$3,daily_items,0)))</f>
        <v>#N/A</v>
      </c>
      <c r="Z229" s="1" t="n">
        <f aca="true">_xlfn.AGGREGATE(5,6,OFFSET($R$5,H229,0,1,$J$2))</f>
        <v>0</v>
      </c>
      <c r="AA229" s="1" t="n">
        <f aca="true">_xlfn.AGGREGATE(4,6,OFFSET($R$5,H229,0,1,$J$2))</f>
        <v>0</v>
      </c>
      <c r="AB229" s="1" t="n">
        <f aca="false">AA229-Z229</f>
        <v>0</v>
      </c>
      <c r="AC229" s="1" t="e">
        <f aca="true">_xlfn.AGGREGATE(1,6,OFFSET($R$5,H229,0,1,$J$2))</f>
        <v>#DIV/0!</v>
      </c>
    </row>
    <row r="230" customFormat="false" ht="14.25" hidden="false" customHeight="false" outlineLevel="0" collapsed="false">
      <c r="H230" s="1" t="n">
        <f aca="false">H229+1</f>
        <v>225</v>
      </c>
      <c r="I230" s="1" t="n">
        <f aca="false">DAY(K230)</f>
        <v>12</v>
      </c>
      <c r="J230" s="1" t="n">
        <f aca="false">MONTH(K230)</f>
        <v>8</v>
      </c>
      <c r="K230" s="23" t="n">
        <f aca="false">K229+1</f>
        <v>36750</v>
      </c>
      <c r="L230" s="24" t="n">
        <f aca="true">IF(TODAY()&lt;DATE($N$5,J230,I230),1000000,-1000000)</f>
        <v>-1000000</v>
      </c>
      <c r="M230" s="1" t="e">
        <f aca="false">IF(K230&gt;0,INDEX(big_daily_table,MATCH(DATE(N$5,$J230,$I230),daily_dates,0),MATCH($B$3,daily_items,0)),NA())</f>
        <v>#N/A</v>
      </c>
      <c r="N230" s="1" t="e">
        <f aca="false">IF(L230&lt;0,INDEX(big_daily_table,MATCH(DATE(N$5,$J230,$I230),daily_dates,0),MATCH($B$3,daily_items,0)),NA())</f>
        <v>#N/A</v>
      </c>
      <c r="O230" s="1" t="e">
        <f aca="false">IF(ISBLANK(INDEX(big_daily_table,MATCH(DATE(O$5,$J230,$I230),daily_dates,0),MATCH($B$3,daily_items,0))),NA(),INDEX(big_daily_table,MATCH(DATE(O$5,$J230,$I230),daily_dates,0),MATCH($B$3,daily_items,0)))</f>
        <v>#N/A</v>
      </c>
      <c r="P230" s="1" t="e">
        <f aca="false">IF(ISBLANK(INDEX(big_daily_table,MATCH(DATE(P$5,$J230,$I230),daily_dates,0),MATCH($B$3,daily_items,0))),NA(),INDEX(big_daily_table,MATCH(DATE(P$5,$J230,$I230),daily_dates,0),MATCH($B$3,daily_items,0)))</f>
        <v>#N/A</v>
      </c>
      <c r="Q230" s="1" t="e">
        <f aca="false">IF(ISBLANK(INDEX(big_daily_table,MATCH(DATE(Q$5,$J230,$I230),daily_dates,0),MATCH($B$3,daily_items,0))),NA(),INDEX(big_daily_table,MATCH(DATE(Q$5,$J230,$I230),daily_dates,0),MATCH($B$3,daily_items,0)))</f>
        <v>#N/A</v>
      </c>
      <c r="R230" s="1" t="e">
        <f aca="false">IF(ISBLANK(INDEX(big_daily_table,MATCH(DATE(R$5,$J230,$I230),daily_dates,0),MATCH($B$3,daily_items,0))),NA(),INDEX(big_daily_table,MATCH(DATE(R$5,$J230,$I230),daily_dates,0),MATCH($B$3,daily_items,0)))</f>
        <v>#N/A</v>
      </c>
      <c r="S230" s="1" t="e">
        <f aca="false">IF(ISBLANK(INDEX(big_daily_table,MATCH(DATE(S$5,$J230,$I230),daily_dates,0),MATCH($B$3,daily_items,0))),NA(),INDEX(big_daily_table,MATCH(DATE(S$5,$J230,$I230),daily_dates,0),MATCH($B$3,daily_items,0)))</f>
        <v>#N/A</v>
      </c>
      <c r="T230" s="1" t="e">
        <f aca="false">IF(ISBLANK(INDEX(big_daily_table,MATCH(DATE(T$5,$J230,$I230),daily_dates,0),MATCH($B$3,daily_items,0))),NA(),INDEX(big_daily_table,MATCH(DATE(T$5,$J230,$I230),daily_dates,0),MATCH($B$3,daily_items,0)))</f>
        <v>#N/A</v>
      </c>
      <c r="U230" s="1" t="e">
        <f aca="false">IF(ISBLANK(INDEX(big_daily_table,MATCH(DATE(U$5,$J230,$I230),daily_dates,0),MATCH($B$3,daily_items,0))),NA(),INDEX(big_daily_table,MATCH(DATE(U$5,$J230,$I230),daily_dates,0),MATCH($B$3,daily_items,0)))</f>
        <v>#N/A</v>
      </c>
      <c r="V230" s="1" t="e">
        <f aca="false">IF(ISBLANK(INDEX(big_daily_table,MATCH(DATE(V$5,$J230,$I230),daily_dates,0),MATCH($B$3,daily_items,0))),NA(),INDEX(big_daily_table,MATCH(DATE(V$5,$J230,$I230),daily_dates,0),MATCH($B$3,daily_items,0)))</f>
        <v>#N/A</v>
      </c>
      <c r="W230" s="1" t="e">
        <f aca="false">IF(ISBLANK(INDEX(big_daily_table,MATCH(DATE(W$5,$J230,$I230),daily_dates,0),MATCH($B$3,daily_items,0))),NA(),INDEX(big_daily_table,MATCH(DATE(W$5,$J230,$I230),daily_dates,0),MATCH($B$3,daily_items,0)))</f>
        <v>#N/A</v>
      </c>
      <c r="X230" s="1" t="e">
        <f aca="false">IF(ISBLANK(INDEX(big_daily_table,MATCH(DATE(X$5,$J230,$I230),daily_dates,0),MATCH($B$3,daily_items,0))),NA(),INDEX(big_daily_table,MATCH(DATE(X$5,$J230,$I230),daily_dates,0),MATCH($B$3,daily_items,0)))</f>
        <v>#N/A</v>
      </c>
      <c r="Y230" s="1" t="e">
        <f aca="false">IF(ISBLANK(INDEX(big_daily_table,MATCH(DATE(Y$5,$J230,$I230),daily_dates,0),MATCH($B$3,daily_items,0))),NA(),INDEX(big_daily_table,MATCH(DATE(Y$5,$J230,$I230),daily_dates,0),MATCH($B$3,daily_items,0)))</f>
        <v>#N/A</v>
      </c>
      <c r="Z230" s="1" t="n">
        <f aca="true">_xlfn.AGGREGATE(5,6,OFFSET($R$5,H230,0,1,$J$2))</f>
        <v>0</v>
      </c>
      <c r="AA230" s="1" t="n">
        <f aca="true">_xlfn.AGGREGATE(4,6,OFFSET($R$5,H230,0,1,$J$2))</f>
        <v>0</v>
      </c>
      <c r="AB230" s="1" t="n">
        <f aca="false">AA230-Z230</f>
        <v>0</v>
      </c>
      <c r="AC230" s="1" t="e">
        <f aca="true">_xlfn.AGGREGATE(1,6,OFFSET($R$5,H230,0,1,$J$2))</f>
        <v>#DIV/0!</v>
      </c>
    </row>
    <row r="231" customFormat="false" ht="14.25" hidden="false" customHeight="false" outlineLevel="0" collapsed="false">
      <c r="H231" s="1" t="n">
        <f aca="false">H230+1</f>
        <v>226</v>
      </c>
      <c r="I231" s="1" t="n">
        <f aca="false">DAY(K231)</f>
        <v>13</v>
      </c>
      <c r="J231" s="1" t="n">
        <f aca="false">MONTH(K231)</f>
        <v>8</v>
      </c>
      <c r="K231" s="23" t="n">
        <f aca="false">K230+1</f>
        <v>36751</v>
      </c>
      <c r="L231" s="24" t="n">
        <f aca="true">IF(TODAY()&lt;DATE($N$5,J231,I231),1000000,-1000000)</f>
        <v>-1000000</v>
      </c>
      <c r="M231" s="1" t="e">
        <f aca="false">IF(K231&gt;0,INDEX(big_daily_table,MATCH(DATE(N$5,$J231,$I231),daily_dates,0),MATCH($B$3,daily_items,0)),NA())</f>
        <v>#N/A</v>
      </c>
      <c r="N231" s="1" t="e">
        <f aca="false">IF(L231&lt;0,INDEX(big_daily_table,MATCH(DATE(N$5,$J231,$I231),daily_dates,0),MATCH($B$3,daily_items,0)),NA())</f>
        <v>#N/A</v>
      </c>
      <c r="O231" s="1" t="e">
        <f aca="false">IF(ISBLANK(INDEX(big_daily_table,MATCH(DATE(O$5,$J231,$I231),daily_dates,0),MATCH($B$3,daily_items,0))),NA(),INDEX(big_daily_table,MATCH(DATE(O$5,$J231,$I231),daily_dates,0),MATCH($B$3,daily_items,0)))</f>
        <v>#N/A</v>
      </c>
      <c r="P231" s="1" t="e">
        <f aca="false">IF(ISBLANK(INDEX(big_daily_table,MATCH(DATE(P$5,$J231,$I231),daily_dates,0),MATCH($B$3,daily_items,0))),NA(),INDEX(big_daily_table,MATCH(DATE(P$5,$J231,$I231),daily_dates,0),MATCH($B$3,daily_items,0)))</f>
        <v>#N/A</v>
      </c>
      <c r="Q231" s="1" t="e">
        <f aca="false">IF(ISBLANK(INDEX(big_daily_table,MATCH(DATE(Q$5,$J231,$I231),daily_dates,0),MATCH($B$3,daily_items,0))),NA(),INDEX(big_daily_table,MATCH(DATE(Q$5,$J231,$I231),daily_dates,0),MATCH($B$3,daily_items,0)))</f>
        <v>#N/A</v>
      </c>
      <c r="R231" s="1" t="e">
        <f aca="false">IF(ISBLANK(INDEX(big_daily_table,MATCH(DATE(R$5,$J231,$I231),daily_dates,0),MATCH($B$3,daily_items,0))),NA(),INDEX(big_daily_table,MATCH(DATE(R$5,$J231,$I231),daily_dates,0),MATCH($B$3,daily_items,0)))</f>
        <v>#N/A</v>
      </c>
      <c r="S231" s="1" t="e">
        <f aca="false">IF(ISBLANK(INDEX(big_daily_table,MATCH(DATE(S$5,$J231,$I231),daily_dates,0),MATCH($B$3,daily_items,0))),NA(),INDEX(big_daily_table,MATCH(DATE(S$5,$J231,$I231),daily_dates,0),MATCH($B$3,daily_items,0)))</f>
        <v>#N/A</v>
      </c>
      <c r="T231" s="1" t="e">
        <f aca="false">IF(ISBLANK(INDEX(big_daily_table,MATCH(DATE(T$5,$J231,$I231),daily_dates,0),MATCH($B$3,daily_items,0))),NA(),INDEX(big_daily_table,MATCH(DATE(T$5,$J231,$I231),daily_dates,0),MATCH($B$3,daily_items,0)))</f>
        <v>#N/A</v>
      </c>
      <c r="U231" s="1" t="e">
        <f aca="false">IF(ISBLANK(INDEX(big_daily_table,MATCH(DATE(U$5,$J231,$I231),daily_dates,0),MATCH($B$3,daily_items,0))),NA(),INDEX(big_daily_table,MATCH(DATE(U$5,$J231,$I231),daily_dates,0),MATCH($B$3,daily_items,0)))</f>
        <v>#N/A</v>
      </c>
      <c r="V231" s="1" t="e">
        <f aca="false">IF(ISBLANK(INDEX(big_daily_table,MATCH(DATE(V$5,$J231,$I231),daily_dates,0),MATCH($B$3,daily_items,0))),NA(),INDEX(big_daily_table,MATCH(DATE(V$5,$J231,$I231),daily_dates,0),MATCH($B$3,daily_items,0)))</f>
        <v>#N/A</v>
      </c>
      <c r="W231" s="1" t="e">
        <f aca="false">IF(ISBLANK(INDEX(big_daily_table,MATCH(DATE(W$5,$J231,$I231),daily_dates,0),MATCH($B$3,daily_items,0))),NA(),INDEX(big_daily_table,MATCH(DATE(W$5,$J231,$I231),daily_dates,0),MATCH($B$3,daily_items,0)))</f>
        <v>#N/A</v>
      </c>
      <c r="X231" s="1" t="e">
        <f aca="false">IF(ISBLANK(INDEX(big_daily_table,MATCH(DATE(X$5,$J231,$I231),daily_dates,0),MATCH($B$3,daily_items,0))),NA(),INDEX(big_daily_table,MATCH(DATE(X$5,$J231,$I231),daily_dates,0),MATCH($B$3,daily_items,0)))</f>
        <v>#N/A</v>
      </c>
      <c r="Y231" s="1" t="e">
        <f aca="false">IF(ISBLANK(INDEX(big_daily_table,MATCH(DATE(Y$5,$J231,$I231),daily_dates,0),MATCH($B$3,daily_items,0))),NA(),INDEX(big_daily_table,MATCH(DATE(Y$5,$J231,$I231),daily_dates,0),MATCH($B$3,daily_items,0)))</f>
        <v>#N/A</v>
      </c>
      <c r="Z231" s="1" t="n">
        <f aca="true">_xlfn.AGGREGATE(5,6,OFFSET($R$5,H231,0,1,$J$2))</f>
        <v>0</v>
      </c>
      <c r="AA231" s="1" t="n">
        <f aca="true">_xlfn.AGGREGATE(4,6,OFFSET($R$5,H231,0,1,$J$2))</f>
        <v>0</v>
      </c>
      <c r="AB231" s="1" t="n">
        <f aca="false">AA231-Z231</f>
        <v>0</v>
      </c>
      <c r="AC231" s="1" t="e">
        <f aca="true">_xlfn.AGGREGATE(1,6,OFFSET($R$5,H231,0,1,$J$2))</f>
        <v>#DIV/0!</v>
      </c>
    </row>
    <row r="232" customFormat="false" ht="14.25" hidden="false" customHeight="false" outlineLevel="0" collapsed="false">
      <c r="H232" s="1" t="n">
        <f aca="false">H231+1</f>
        <v>227</v>
      </c>
      <c r="I232" s="1" t="n">
        <f aca="false">DAY(K232)</f>
        <v>14</v>
      </c>
      <c r="J232" s="1" t="n">
        <f aca="false">MONTH(K232)</f>
        <v>8</v>
      </c>
      <c r="K232" s="23" t="n">
        <f aca="false">K231+1</f>
        <v>36752</v>
      </c>
      <c r="L232" s="24" t="n">
        <f aca="true">IF(TODAY()&lt;DATE($N$5,J232,I232),1000000,-1000000)</f>
        <v>-1000000</v>
      </c>
      <c r="M232" s="1" t="e">
        <f aca="false">IF(K232&gt;0,INDEX(big_daily_table,MATCH(DATE(N$5,$J232,$I232),daily_dates,0),MATCH($B$3,daily_items,0)),NA())</f>
        <v>#N/A</v>
      </c>
      <c r="N232" s="1" t="e">
        <f aca="false">IF(L232&lt;0,INDEX(big_daily_table,MATCH(DATE(N$5,$J232,$I232),daily_dates,0),MATCH($B$3,daily_items,0)),NA())</f>
        <v>#N/A</v>
      </c>
      <c r="O232" s="1" t="e">
        <f aca="false">IF(ISBLANK(INDEX(big_daily_table,MATCH(DATE(O$5,$J232,$I232),daily_dates,0),MATCH($B$3,daily_items,0))),NA(),INDEX(big_daily_table,MATCH(DATE(O$5,$J232,$I232),daily_dates,0),MATCH($B$3,daily_items,0)))</f>
        <v>#N/A</v>
      </c>
      <c r="P232" s="1" t="e">
        <f aca="false">IF(ISBLANK(INDEX(big_daily_table,MATCH(DATE(P$5,$J232,$I232),daily_dates,0),MATCH($B$3,daily_items,0))),NA(),INDEX(big_daily_table,MATCH(DATE(P$5,$J232,$I232),daily_dates,0),MATCH($B$3,daily_items,0)))</f>
        <v>#N/A</v>
      </c>
      <c r="Q232" s="1" t="e">
        <f aca="false">IF(ISBLANK(INDEX(big_daily_table,MATCH(DATE(Q$5,$J232,$I232),daily_dates,0),MATCH($B$3,daily_items,0))),NA(),INDEX(big_daily_table,MATCH(DATE(Q$5,$J232,$I232),daily_dates,0),MATCH($B$3,daily_items,0)))</f>
        <v>#N/A</v>
      </c>
      <c r="R232" s="1" t="e">
        <f aca="false">IF(ISBLANK(INDEX(big_daily_table,MATCH(DATE(R$5,$J232,$I232),daily_dates,0),MATCH($B$3,daily_items,0))),NA(),INDEX(big_daily_table,MATCH(DATE(R$5,$J232,$I232),daily_dates,0),MATCH($B$3,daily_items,0)))</f>
        <v>#N/A</v>
      </c>
      <c r="S232" s="1" t="e">
        <f aca="false">IF(ISBLANK(INDEX(big_daily_table,MATCH(DATE(S$5,$J232,$I232),daily_dates,0),MATCH($B$3,daily_items,0))),NA(),INDEX(big_daily_table,MATCH(DATE(S$5,$J232,$I232),daily_dates,0),MATCH($B$3,daily_items,0)))</f>
        <v>#N/A</v>
      </c>
      <c r="T232" s="1" t="e">
        <f aca="false">IF(ISBLANK(INDEX(big_daily_table,MATCH(DATE(T$5,$J232,$I232),daily_dates,0),MATCH($B$3,daily_items,0))),NA(),INDEX(big_daily_table,MATCH(DATE(T$5,$J232,$I232),daily_dates,0),MATCH($B$3,daily_items,0)))</f>
        <v>#N/A</v>
      </c>
      <c r="U232" s="1" t="e">
        <f aca="false">IF(ISBLANK(INDEX(big_daily_table,MATCH(DATE(U$5,$J232,$I232),daily_dates,0),MATCH($B$3,daily_items,0))),NA(),INDEX(big_daily_table,MATCH(DATE(U$5,$J232,$I232),daily_dates,0),MATCH($B$3,daily_items,0)))</f>
        <v>#N/A</v>
      </c>
      <c r="V232" s="1" t="e">
        <f aca="false">IF(ISBLANK(INDEX(big_daily_table,MATCH(DATE(V$5,$J232,$I232),daily_dates,0),MATCH($B$3,daily_items,0))),NA(),INDEX(big_daily_table,MATCH(DATE(V$5,$J232,$I232),daily_dates,0),MATCH($B$3,daily_items,0)))</f>
        <v>#N/A</v>
      </c>
      <c r="W232" s="1" t="e">
        <f aca="false">IF(ISBLANK(INDEX(big_daily_table,MATCH(DATE(W$5,$J232,$I232),daily_dates,0),MATCH($B$3,daily_items,0))),NA(),INDEX(big_daily_table,MATCH(DATE(W$5,$J232,$I232),daily_dates,0),MATCH($B$3,daily_items,0)))</f>
        <v>#N/A</v>
      </c>
      <c r="X232" s="1" t="e">
        <f aca="false">IF(ISBLANK(INDEX(big_daily_table,MATCH(DATE(X$5,$J232,$I232),daily_dates,0),MATCH($B$3,daily_items,0))),NA(),INDEX(big_daily_table,MATCH(DATE(X$5,$J232,$I232),daily_dates,0),MATCH($B$3,daily_items,0)))</f>
        <v>#N/A</v>
      </c>
      <c r="Y232" s="1" t="e">
        <f aca="false">IF(ISBLANK(INDEX(big_daily_table,MATCH(DATE(Y$5,$J232,$I232),daily_dates,0),MATCH($B$3,daily_items,0))),NA(),INDEX(big_daily_table,MATCH(DATE(Y$5,$J232,$I232),daily_dates,0),MATCH($B$3,daily_items,0)))</f>
        <v>#N/A</v>
      </c>
      <c r="Z232" s="1" t="n">
        <f aca="true">_xlfn.AGGREGATE(5,6,OFFSET($R$5,H232,0,1,$J$2))</f>
        <v>0</v>
      </c>
      <c r="AA232" s="1" t="n">
        <f aca="true">_xlfn.AGGREGATE(4,6,OFFSET($R$5,H232,0,1,$J$2))</f>
        <v>0</v>
      </c>
      <c r="AB232" s="1" t="n">
        <f aca="false">AA232-Z232</f>
        <v>0</v>
      </c>
      <c r="AC232" s="1" t="e">
        <f aca="true">_xlfn.AGGREGATE(1,6,OFFSET($R$5,H232,0,1,$J$2))</f>
        <v>#DIV/0!</v>
      </c>
    </row>
    <row r="233" customFormat="false" ht="14.25" hidden="false" customHeight="false" outlineLevel="0" collapsed="false">
      <c r="H233" s="1" t="n">
        <f aca="false">H232+1</f>
        <v>228</v>
      </c>
      <c r="I233" s="1" t="n">
        <f aca="false">DAY(K233)</f>
        <v>15</v>
      </c>
      <c r="J233" s="1" t="n">
        <f aca="false">MONTH(K233)</f>
        <v>8</v>
      </c>
      <c r="K233" s="23" t="n">
        <f aca="false">K232+1</f>
        <v>36753</v>
      </c>
      <c r="L233" s="24" t="n">
        <f aca="true">IF(TODAY()&lt;DATE($N$5,J233,I233),1000000,-1000000)</f>
        <v>-1000000</v>
      </c>
      <c r="M233" s="1" t="e">
        <f aca="false">IF(K233&gt;0,INDEX(big_daily_table,MATCH(DATE(N$5,$J233,$I233),daily_dates,0),MATCH($B$3,daily_items,0)),NA())</f>
        <v>#N/A</v>
      </c>
      <c r="N233" s="1" t="e">
        <f aca="false">IF(L233&lt;0,INDEX(big_daily_table,MATCH(DATE(N$5,$J233,$I233),daily_dates,0),MATCH($B$3,daily_items,0)),NA())</f>
        <v>#N/A</v>
      </c>
      <c r="O233" s="1" t="e">
        <f aca="false">IF(ISBLANK(INDEX(big_daily_table,MATCH(DATE(O$5,$J233,$I233),daily_dates,0),MATCH($B$3,daily_items,0))),NA(),INDEX(big_daily_table,MATCH(DATE(O$5,$J233,$I233),daily_dates,0),MATCH($B$3,daily_items,0)))</f>
        <v>#N/A</v>
      </c>
      <c r="P233" s="1" t="e">
        <f aca="false">IF(ISBLANK(INDEX(big_daily_table,MATCH(DATE(P$5,$J233,$I233),daily_dates,0),MATCH($B$3,daily_items,0))),NA(),INDEX(big_daily_table,MATCH(DATE(P$5,$J233,$I233),daily_dates,0),MATCH($B$3,daily_items,0)))</f>
        <v>#N/A</v>
      </c>
      <c r="Q233" s="1" t="e">
        <f aca="false">IF(ISBLANK(INDEX(big_daily_table,MATCH(DATE(Q$5,$J233,$I233),daily_dates,0),MATCH($B$3,daily_items,0))),NA(),INDEX(big_daily_table,MATCH(DATE(Q$5,$J233,$I233),daily_dates,0),MATCH($B$3,daily_items,0)))</f>
        <v>#N/A</v>
      </c>
      <c r="R233" s="1" t="e">
        <f aca="false">IF(ISBLANK(INDEX(big_daily_table,MATCH(DATE(R$5,$J233,$I233),daily_dates,0),MATCH($B$3,daily_items,0))),NA(),INDEX(big_daily_table,MATCH(DATE(R$5,$J233,$I233),daily_dates,0),MATCH($B$3,daily_items,0)))</f>
        <v>#N/A</v>
      </c>
      <c r="S233" s="1" t="e">
        <f aca="false">IF(ISBLANK(INDEX(big_daily_table,MATCH(DATE(S$5,$J233,$I233),daily_dates,0),MATCH($B$3,daily_items,0))),NA(),INDEX(big_daily_table,MATCH(DATE(S$5,$J233,$I233),daily_dates,0),MATCH($B$3,daily_items,0)))</f>
        <v>#N/A</v>
      </c>
      <c r="T233" s="1" t="e">
        <f aca="false">IF(ISBLANK(INDEX(big_daily_table,MATCH(DATE(T$5,$J233,$I233),daily_dates,0),MATCH($B$3,daily_items,0))),NA(),INDEX(big_daily_table,MATCH(DATE(T$5,$J233,$I233),daily_dates,0),MATCH($B$3,daily_items,0)))</f>
        <v>#N/A</v>
      </c>
      <c r="U233" s="1" t="e">
        <f aca="false">IF(ISBLANK(INDEX(big_daily_table,MATCH(DATE(U$5,$J233,$I233),daily_dates,0),MATCH($B$3,daily_items,0))),NA(),INDEX(big_daily_table,MATCH(DATE(U$5,$J233,$I233),daily_dates,0),MATCH($B$3,daily_items,0)))</f>
        <v>#N/A</v>
      </c>
      <c r="V233" s="1" t="e">
        <f aca="false">IF(ISBLANK(INDEX(big_daily_table,MATCH(DATE(V$5,$J233,$I233),daily_dates,0),MATCH($B$3,daily_items,0))),NA(),INDEX(big_daily_table,MATCH(DATE(V$5,$J233,$I233),daily_dates,0),MATCH($B$3,daily_items,0)))</f>
        <v>#N/A</v>
      </c>
      <c r="W233" s="1" t="e">
        <f aca="false">IF(ISBLANK(INDEX(big_daily_table,MATCH(DATE(W$5,$J233,$I233),daily_dates,0),MATCH($B$3,daily_items,0))),NA(),INDEX(big_daily_table,MATCH(DATE(W$5,$J233,$I233),daily_dates,0),MATCH($B$3,daily_items,0)))</f>
        <v>#N/A</v>
      </c>
      <c r="X233" s="1" t="e">
        <f aca="false">IF(ISBLANK(INDEX(big_daily_table,MATCH(DATE(X$5,$J233,$I233),daily_dates,0),MATCH($B$3,daily_items,0))),NA(),INDEX(big_daily_table,MATCH(DATE(X$5,$J233,$I233),daily_dates,0),MATCH($B$3,daily_items,0)))</f>
        <v>#N/A</v>
      </c>
      <c r="Y233" s="1" t="e">
        <f aca="false">IF(ISBLANK(INDEX(big_daily_table,MATCH(DATE(Y$5,$J233,$I233),daily_dates,0),MATCH($B$3,daily_items,0))),NA(),INDEX(big_daily_table,MATCH(DATE(Y$5,$J233,$I233),daily_dates,0),MATCH($B$3,daily_items,0)))</f>
        <v>#N/A</v>
      </c>
      <c r="Z233" s="1" t="n">
        <f aca="true">_xlfn.AGGREGATE(5,6,OFFSET($R$5,H233,0,1,$J$2))</f>
        <v>0</v>
      </c>
      <c r="AA233" s="1" t="n">
        <f aca="true">_xlfn.AGGREGATE(4,6,OFFSET($R$5,H233,0,1,$J$2))</f>
        <v>0</v>
      </c>
      <c r="AB233" s="1" t="n">
        <f aca="false">AA233-Z233</f>
        <v>0</v>
      </c>
      <c r="AC233" s="1" t="e">
        <f aca="true">_xlfn.AGGREGATE(1,6,OFFSET($R$5,H233,0,1,$J$2))</f>
        <v>#DIV/0!</v>
      </c>
    </row>
    <row r="234" customFormat="false" ht="14.25" hidden="false" customHeight="false" outlineLevel="0" collapsed="false">
      <c r="H234" s="1" t="n">
        <f aca="false">H233+1</f>
        <v>229</v>
      </c>
      <c r="I234" s="1" t="n">
        <f aca="false">DAY(K234)</f>
        <v>16</v>
      </c>
      <c r="J234" s="1" t="n">
        <f aca="false">MONTH(K234)</f>
        <v>8</v>
      </c>
      <c r="K234" s="23" t="n">
        <f aca="false">K233+1</f>
        <v>36754</v>
      </c>
      <c r="L234" s="24" t="n">
        <f aca="true">IF(TODAY()&lt;DATE($N$5,J234,I234),1000000,-1000000)</f>
        <v>-1000000</v>
      </c>
      <c r="M234" s="1" t="e">
        <f aca="false">IF(K234&gt;0,INDEX(big_daily_table,MATCH(DATE(N$5,$J234,$I234),daily_dates,0),MATCH($B$3,daily_items,0)),NA())</f>
        <v>#N/A</v>
      </c>
      <c r="N234" s="1" t="e">
        <f aca="false">IF(L234&lt;0,INDEX(big_daily_table,MATCH(DATE(N$5,$J234,$I234),daily_dates,0),MATCH($B$3,daily_items,0)),NA())</f>
        <v>#N/A</v>
      </c>
      <c r="O234" s="1" t="e">
        <f aca="false">IF(ISBLANK(INDEX(big_daily_table,MATCH(DATE(O$5,$J234,$I234),daily_dates,0),MATCH($B$3,daily_items,0))),NA(),INDEX(big_daily_table,MATCH(DATE(O$5,$J234,$I234),daily_dates,0),MATCH($B$3,daily_items,0)))</f>
        <v>#N/A</v>
      </c>
      <c r="P234" s="1" t="e">
        <f aca="false">IF(ISBLANK(INDEX(big_daily_table,MATCH(DATE(P$5,$J234,$I234),daily_dates,0),MATCH($B$3,daily_items,0))),NA(),INDEX(big_daily_table,MATCH(DATE(P$5,$J234,$I234),daily_dates,0),MATCH($B$3,daily_items,0)))</f>
        <v>#N/A</v>
      </c>
      <c r="Q234" s="1" t="e">
        <f aca="false">IF(ISBLANK(INDEX(big_daily_table,MATCH(DATE(Q$5,$J234,$I234),daily_dates,0),MATCH($B$3,daily_items,0))),NA(),INDEX(big_daily_table,MATCH(DATE(Q$5,$J234,$I234),daily_dates,0),MATCH($B$3,daily_items,0)))</f>
        <v>#N/A</v>
      </c>
      <c r="R234" s="1" t="e">
        <f aca="false">IF(ISBLANK(INDEX(big_daily_table,MATCH(DATE(R$5,$J234,$I234),daily_dates,0),MATCH($B$3,daily_items,0))),NA(),INDEX(big_daily_table,MATCH(DATE(R$5,$J234,$I234),daily_dates,0),MATCH($B$3,daily_items,0)))</f>
        <v>#N/A</v>
      </c>
      <c r="S234" s="1" t="e">
        <f aca="false">IF(ISBLANK(INDEX(big_daily_table,MATCH(DATE(S$5,$J234,$I234),daily_dates,0),MATCH($B$3,daily_items,0))),NA(),INDEX(big_daily_table,MATCH(DATE(S$5,$J234,$I234),daily_dates,0),MATCH($B$3,daily_items,0)))</f>
        <v>#N/A</v>
      </c>
      <c r="T234" s="1" t="e">
        <f aca="false">IF(ISBLANK(INDEX(big_daily_table,MATCH(DATE(T$5,$J234,$I234),daily_dates,0),MATCH($B$3,daily_items,0))),NA(),INDEX(big_daily_table,MATCH(DATE(T$5,$J234,$I234),daily_dates,0),MATCH($B$3,daily_items,0)))</f>
        <v>#N/A</v>
      </c>
      <c r="U234" s="1" t="e">
        <f aca="false">IF(ISBLANK(INDEX(big_daily_table,MATCH(DATE(U$5,$J234,$I234),daily_dates,0),MATCH($B$3,daily_items,0))),NA(),INDEX(big_daily_table,MATCH(DATE(U$5,$J234,$I234),daily_dates,0),MATCH($B$3,daily_items,0)))</f>
        <v>#N/A</v>
      </c>
      <c r="V234" s="1" t="e">
        <f aca="false">IF(ISBLANK(INDEX(big_daily_table,MATCH(DATE(V$5,$J234,$I234),daily_dates,0),MATCH($B$3,daily_items,0))),NA(),INDEX(big_daily_table,MATCH(DATE(V$5,$J234,$I234),daily_dates,0),MATCH($B$3,daily_items,0)))</f>
        <v>#N/A</v>
      </c>
      <c r="W234" s="1" t="e">
        <f aca="false">IF(ISBLANK(INDEX(big_daily_table,MATCH(DATE(W$5,$J234,$I234),daily_dates,0),MATCH($B$3,daily_items,0))),NA(),INDEX(big_daily_table,MATCH(DATE(W$5,$J234,$I234),daily_dates,0),MATCH($B$3,daily_items,0)))</f>
        <v>#N/A</v>
      </c>
      <c r="X234" s="1" t="e">
        <f aca="false">IF(ISBLANK(INDEX(big_daily_table,MATCH(DATE(X$5,$J234,$I234),daily_dates,0),MATCH($B$3,daily_items,0))),NA(),INDEX(big_daily_table,MATCH(DATE(X$5,$J234,$I234),daily_dates,0),MATCH($B$3,daily_items,0)))</f>
        <v>#N/A</v>
      </c>
      <c r="Y234" s="1" t="e">
        <f aca="false">IF(ISBLANK(INDEX(big_daily_table,MATCH(DATE(Y$5,$J234,$I234),daily_dates,0),MATCH($B$3,daily_items,0))),NA(),INDEX(big_daily_table,MATCH(DATE(Y$5,$J234,$I234),daily_dates,0),MATCH($B$3,daily_items,0)))</f>
        <v>#N/A</v>
      </c>
      <c r="Z234" s="1" t="n">
        <f aca="true">_xlfn.AGGREGATE(5,6,OFFSET($R$5,H234,0,1,$J$2))</f>
        <v>0</v>
      </c>
      <c r="AA234" s="1" t="n">
        <f aca="true">_xlfn.AGGREGATE(4,6,OFFSET($R$5,H234,0,1,$J$2))</f>
        <v>0</v>
      </c>
      <c r="AB234" s="1" t="n">
        <f aca="false">AA234-Z234</f>
        <v>0</v>
      </c>
      <c r="AC234" s="1" t="e">
        <f aca="true">_xlfn.AGGREGATE(1,6,OFFSET($R$5,H234,0,1,$J$2))</f>
        <v>#DIV/0!</v>
      </c>
    </row>
    <row r="235" customFormat="false" ht="14.25" hidden="false" customHeight="false" outlineLevel="0" collapsed="false">
      <c r="H235" s="1" t="n">
        <f aca="false">H234+1</f>
        <v>230</v>
      </c>
      <c r="I235" s="1" t="n">
        <f aca="false">DAY(K235)</f>
        <v>17</v>
      </c>
      <c r="J235" s="1" t="n">
        <f aca="false">MONTH(K235)</f>
        <v>8</v>
      </c>
      <c r="K235" s="23" t="n">
        <f aca="false">K234+1</f>
        <v>36755</v>
      </c>
      <c r="L235" s="24" t="n">
        <f aca="true">IF(TODAY()&lt;DATE($N$5,J235,I235),1000000,-1000000)</f>
        <v>-1000000</v>
      </c>
      <c r="M235" s="1" t="e">
        <f aca="false">IF(K235&gt;0,INDEX(big_daily_table,MATCH(DATE(N$5,$J235,$I235),daily_dates,0),MATCH($B$3,daily_items,0)),NA())</f>
        <v>#N/A</v>
      </c>
      <c r="N235" s="1" t="e">
        <f aca="false">IF(L235&lt;0,INDEX(big_daily_table,MATCH(DATE(N$5,$J235,$I235),daily_dates,0),MATCH($B$3,daily_items,0)),NA())</f>
        <v>#N/A</v>
      </c>
      <c r="O235" s="1" t="e">
        <f aca="false">IF(ISBLANK(INDEX(big_daily_table,MATCH(DATE(O$5,$J235,$I235),daily_dates,0),MATCH($B$3,daily_items,0))),NA(),INDEX(big_daily_table,MATCH(DATE(O$5,$J235,$I235),daily_dates,0),MATCH($B$3,daily_items,0)))</f>
        <v>#N/A</v>
      </c>
      <c r="P235" s="1" t="e">
        <f aca="false">IF(ISBLANK(INDEX(big_daily_table,MATCH(DATE(P$5,$J235,$I235),daily_dates,0),MATCH($B$3,daily_items,0))),NA(),INDEX(big_daily_table,MATCH(DATE(P$5,$J235,$I235),daily_dates,0),MATCH($B$3,daily_items,0)))</f>
        <v>#N/A</v>
      </c>
      <c r="Q235" s="1" t="e">
        <f aca="false">IF(ISBLANK(INDEX(big_daily_table,MATCH(DATE(Q$5,$J235,$I235),daily_dates,0),MATCH($B$3,daily_items,0))),NA(),INDEX(big_daily_table,MATCH(DATE(Q$5,$J235,$I235),daily_dates,0),MATCH($B$3,daily_items,0)))</f>
        <v>#N/A</v>
      </c>
      <c r="R235" s="1" t="e">
        <f aca="false">IF(ISBLANK(INDEX(big_daily_table,MATCH(DATE(R$5,$J235,$I235),daily_dates,0),MATCH($B$3,daily_items,0))),NA(),INDEX(big_daily_table,MATCH(DATE(R$5,$J235,$I235),daily_dates,0),MATCH($B$3,daily_items,0)))</f>
        <v>#N/A</v>
      </c>
      <c r="S235" s="1" t="e">
        <f aca="false">IF(ISBLANK(INDEX(big_daily_table,MATCH(DATE(S$5,$J235,$I235),daily_dates,0),MATCH($B$3,daily_items,0))),NA(),INDEX(big_daily_table,MATCH(DATE(S$5,$J235,$I235),daily_dates,0),MATCH($B$3,daily_items,0)))</f>
        <v>#N/A</v>
      </c>
      <c r="T235" s="1" t="e">
        <f aca="false">IF(ISBLANK(INDEX(big_daily_table,MATCH(DATE(T$5,$J235,$I235),daily_dates,0),MATCH($B$3,daily_items,0))),NA(),INDEX(big_daily_table,MATCH(DATE(T$5,$J235,$I235),daily_dates,0),MATCH($B$3,daily_items,0)))</f>
        <v>#N/A</v>
      </c>
      <c r="U235" s="1" t="e">
        <f aca="false">IF(ISBLANK(INDEX(big_daily_table,MATCH(DATE(U$5,$J235,$I235),daily_dates,0),MATCH($B$3,daily_items,0))),NA(),INDEX(big_daily_table,MATCH(DATE(U$5,$J235,$I235),daily_dates,0),MATCH($B$3,daily_items,0)))</f>
        <v>#N/A</v>
      </c>
      <c r="V235" s="1" t="e">
        <f aca="false">IF(ISBLANK(INDEX(big_daily_table,MATCH(DATE(V$5,$J235,$I235),daily_dates,0),MATCH($B$3,daily_items,0))),NA(),INDEX(big_daily_table,MATCH(DATE(V$5,$J235,$I235),daily_dates,0),MATCH($B$3,daily_items,0)))</f>
        <v>#N/A</v>
      </c>
      <c r="W235" s="1" t="e">
        <f aca="false">IF(ISBLANK(INDEX(big_daily_table,MATCH(DATE(W$5,$J235,$I235),daily_dates,0),MATCH($B$3,daily_items,0))),NA(),INDEX(big_daily_table,MATCH(DATE(W$5,$J235,$I235),daily_dates,0),MATCH($B$3,daily_items,0)))</f>
        <v>#N/A</v>
      </c>
      <c r="X235" s="1" t="e">
        <f aca="false">IF(ISBLANK(INDEX(big_daily_table,MATCH(DATE(X$5,$J235,$I235),daily_dates,0),MATCH($B$3,daily_items,0))),NA(),INDEX(big_daily_table,MATCH(DATE(X$5,$J235,$I235),daily_dates,0),MATCH($B$3,daily_items,0)))</f>
        <v>#N/A</v>
      </c>
      <c r="Y235" s="1" t="e">
        <f aca="false">IF(ISBLANK(INDEX(big_daily_table,MATCH(DATE(Y$5,$J235,$I235),daily_dates,0),MATCH($B$3,daily_items,0))),NA(),INDEX(big_daily_table,MATCH(DATE(Y$5,$J235,$I235),daily_dates,0),MATCH($B$3,daily_items,0)))</f>
        <v>#N/A</v>
      </c>
      <c r="Z235" s="1" t="n">
        <f aca="true">_xlfn.AGGREGATE(5,6,OFFSET($R$5,H235,0,1,$J$2))</f>
        <v>0</v>
      </c>
      <c r="AA235" s="1" t="n">
        <f aca="true">_xlfn.AGGREGATE(4,6,OFFSET($R$5,H235,0,1,$J$2))</f>
        <v>0</v>
      </c>
      <c r="AB235" s="1" t="n">
        <f aca="false">AA235-Z235</f>
        <v>0</v>
      </c>
      <c r="AC235" s="1" t="e">
        <f aca="true">_xlfn.AGGREGATE(1,6,OFFSET($R$5,H235,0,1,$J$2))</f>
        <v>#DIV/0!</v>
      </c>
    </row>
    <row r="236" customFormat="false" ht="14.25" hidden="false" customHeight="false" outlineLevel="0" collapsed="false">
      <c r="H236" s="1" t="n">
        <f aca="false">H235+1</f>
        <v>231</v>
      </c>
      <c r="I236" s="1" t="n">
        <f aca="false">DAY(K236)</f>
        <v>18</v>
      </c>
      <c r="J236" s="1" t="n">
        <f aca="false">MONTH(K236)</f>
        <v>8</v>
      </c>
      <c r="K236" s="23" t="n">
        <f aca="false">K235+1</f>
        <v>36756</v>
      </c>
      <c r="L236" s="24" t="n">
        <f aca="true">IF(TODAY()&lt;DATE($N$5,J236,I236),1000000,-1000000)</f>
        <v>-1000000</v>
      </c>
      <c r="M236" s="1" t="e">
        <f aca="false">IF(K236&gt;0,INDEX(big_daily_table,MATCH(DATE(N$5,$J236,$I236),daily_dates,0),MATCH($B$3,daily_items,0)),NA())</f>
        <v>#N/A</v>
      </c>
      <c r="N236" s="1" t="e">
        <f aca="false">IF(L236&lt;0,INDEX(big_daily_table,MATCH(DATE(N$5,$J236,$I236),daily_dates,0),MATCH($B$3,daily_items,0)),NA())</f>
        <v>#N/A</v>
      </c>
      <c r="O236" s="1" t="e">
        <f aca="false">IF(ISBLANK(INDEX(big_daily_table,MATCH(DATE(O$5,$J236,$I236),daily_dates,0),MATCH($B$3,daily_items,0))),NA(),INDEX(big_daily_table,MATCH(DATE(O$5,$J236,$I236),daily_dates,0),MATCH($B$3,daily_items,0)))</f>
        <v>#N/A</v>
      </c>
      <c r="P236" s="1" t="e">
        <f aca="false">IF(ISBLANK(INDEX(big_daily_table,MATCH(DATE(P$5,$J236,$I236),daily_dates,0),MATCH($B$3,daily_items,0))),NA(),INDEX(big_daily_table,MATCH(DATE(P$5,$J236,$I236),daily_dates,0),MATCH($B$3,daily_items,0)))</f>
        <v>#N/A</v>
      </c>
      <c r="Q236" s="1" t="e">
        <f aca="false">IF(ISBLANK(INDEX(big_daily_table,MATCH(DATE(Q$5,$J236,$I236),daily_dates,0),MATCH($B$3,daily_items,0))),NA(),INDEX(big_daily_table,MATCH(DATE(Q$5,$J236,$I236),daily_dates,0),MATCH($B$3,daily_items,0)))</f>
        <v>#N/A</v>
      </c>
      <c r="R236" s="1" t="e">
        <f aca="false">IF(ISBLANK(INDEX(big_daily_table,MATCH(DATE(R$5,$J236,$I236),daily_dates,0),MATCH($B$3,daily_items,0))),NA(),INDEX(big_daily_table,MATCH(DATE(R$5,$J236,$I236),daily_dates,0),MATCH($B$3,daily_items,0)))</f>
        <v>#N/A</v>
      </c>
      <c r="S236" s="1" t="e">
        <f aca="false">IF(ISBLANK(INDEX(big_daily_table,MATCH(DATE(S$5,$J236,$I236),daily_dates,0),MATCH($B$3,daily_items,0))),NA(),INDEX(big_daily_table,MATCH(DATE(S$5,$J236,$I236),daily_dates,0),MATCH($B$3,daily_items,0)))</f>
        <v>#N/A</v>
      </c>
      <c r="T236" s="1" t="e">
        <f aca="false">IF(ISBLANK(INDEX(big_daily_table,MATCH(DATE(T$5,$J236,$I236),daily_dates,0),MATCH($B$3,daily_items,0))),NA(),INDEX(big_daily_table,MATCH(DATE(T$5,$J236,$I236),daily_dates,0),MATCH($B$3,daily_items,0)))</f>
        <v>#N/A</v>
      </c>
      <c r="U236" s="1" t="e">
        <f aca="false">IF(ISBLANK(INDEX(big_daily_table,MATCH(DATE(U$5,$J236,$I236),daily_dates,0),MATCH($B$3,daily_items,0))),NA(),INDEX(big_daily_table,MATCH(DATE(U$5,$J236,$I236),daily_dates,0),MATCH($B$3,daily_items,0)))</f>
        <v>#N/A</v>
      </c>
      <c r="V236" s="1" t="e">
        <f aca="false">IF(ISBLANK(INDEX(big_daily_table,MATCH(DATE(V$5,$J236,$I236),daily_dates,0),MATCH($B$3,daily_items,0))),NA(),INDEX(big_daily_table,MATCH(DATE(V$5,$J236,$I236),daily_dates,0),MATCH($B$3,daily_items,0)))</f>
        <v>#N/A</v>
      </c>
      <c r="W236" s="1" t="e">
        <f aca="false">IF(ISBLANK(INDEX(big_daily_table,MATCH(DATE(W$5,$J236,$I236),daily_dates,0),MATCH($B$3,daily_items,0))),NA(),INDEX(big_daily_table,MATCH(DATE(W$5,$J236,$I236),daily_dates,0),MATCH($B$3,daily_items,0)))</f>
        <v>#N/A</v>
      </c>
      <c r="X236" s="1" t="e">
        <f aca="false">IF(ISBLANK(INDEX(big_daily_table,MATCH(DATE(X$5,$J236,$I236),daily_dates,0),MATCH($B$3,daily_items,0))),NA(),INDEX(big_daily_table,MATCH(DATE(X$5,$J236,$I236),daily_dates,0),MATCH($B$3,daily_items,0)))</f>
        <v>#N/A</v>
      </c>
      <c r="Y236" s="1" t="e">
        <f aca="false">IF(ISBLANK(INDEX(big_daily_table,MATCH(DATE(Y$5,$J236,$I236),daily_dates,0),MATCH($B$3,daily_items,0))),NA(),INDEX(big_daily_table,MATCH(DATE(Y$5,$J236,$I236),daily_dates,0),MATCH($B$3,daily_items,0)))</f>
        <v>#N/A</v>
      </c>
      <c r="Z236" s="1" t="n">
        <f aca="true">_xlfn.AGGREGATE(5,6,OFFSET($R$5,H236,0,1,$J$2))</f>
        <v>0</v>
      </c>
      <c r="AA236" s="1" t="n">
        <f aca="true">_xlfn.AGGREGATE(4,6,OFFSET($R$5,H236,0,1,$J$2))</f>
        <v>0</v>
      </c>
      <c r="AB236" s="1" t="n">
        <f aca="false">AA236-Z236</f>
        <v>0</v>
      </c>
      <c r="AC236" s="1" t="e">
        <f aca="true">_xlfn.AGGREGATE(1,6,OFFSET($R$5,H236,0,1,$J$2))</f>
        <v>#DIV/0!</v>
      </c>
    </row>
    <row r="237" customFormat="false" ht="14.25" hidden="false" customHeight="false" outlineLevel="0" collapsed="false">
      <c r="H237" s="1" t="n">
        <f aca="false">H236+1</f>
        <v>232</v>
      </c>
      <c r="I237" s="1" t="n">
        <f aca="false">DAY(K237)</f>
        <v>19</v>
      </c>
      <c r="J237" s="1" t="n">
        <f aca="false">MONTH(K237)</f>
        <v>8</v>
      </c>
      <c r="K237" s="23" t="n">
        <f aca="false">K236+1</f>
        <v>36757</v>
      </c>
      <c r="L237" s="24" t="n">
        <f aca="true">IF(TODAY()&lt;DATE($N$5,J237,I237),1000000,-1000000)</f>
        <v>-1000000</v>
      </c>
      <c r="M237" s="1" t="e">
        <f aca="false">IF(K237&gt;0,INDEX(big_daily_table,MATCH(DATE(N$5,$J237,$I237),daily_dates,0),MATCH($B$3,daily_items,0)),NA())</f>
        <v>#N/A</v>
      </c>
      <c r="N237" s="1" t="e">
        <f aca="false">IF(L237&lt;0,INDEX(big_daily_table,MATCH(DATE(N$5,$J237,$I237),daily_dates,0),MATCH($B$3,daily_items,0)),NA())</f>
        <v>#N/A</v>
      </c>
      <c r="O237" s="1" t="e">
        <f aca="false">IF(ISBLANK(INDEX(big_daily_table,MATCH(DATE(O$5,$J237,$I237),daily_dates,0),MATCH($B$3,daily_items,0))),NA(),INDEX(big_daily_table,MATCH(DATE(O$5,$J237,$I237),daily_dates,0),MATCH($B$3,daily_items,0)))</f>
        <v>#N/A</v>
      </c>
      <c r="P237" s="1" t="e">
        <f aca="false">IF(ISBLANK(INDEX(big_daily_table,MATCH(DATE(P$5,$J237,$I237),daily_dates,0),MATCH($B$3,daily_items,0))),NA(),INDEX(big_daily_table,MATCH(DATE(P$5,$J237,$I237),daily_dates,0),MATCH($B$3,daily_items,0)))</f>
        <v>#N/A</v>
      </c>
      <c r="Q237" s="1" t="e">
        <f aca="false">IF(ISBLANK(INDEX(big_daily_table,MATCH(DATE(Q$5,$J237,$I237),daily_dates,0),MATCH($B$3,daily_items,0))),NA(),INDEX(big_daily_table,MATCH(DATE(Q$5,$J237,$I237),daily_dates,0),MATCH($B$3,daily_items,0)))</f>
        <v>#N/A</v>
      </c>
      <c r="R237" s="1" t="e">
        <f aca="false">IF(ISBLANK(INDEX(big_daily_table,MATCH(DATE(R$5,$J237,$I237),daily_dates,0),MATCH($B$3,daily_items,0))),NA(),INDEX(big_daily_table,MATCH(DATE(R$5,$J237,$I237),daily_dates,0),MATCH($B$3,daily_items,0)))</f>
        <v>#N/A</v>
      </c>
      <c r="S237" s="1" t="e">
        <f aca="false">IF(ISBLANK(INDEX(big_daily_table,MATCH(DATE(S$5,$J237,$I237),daily_dates,0),MATCH($B$3,daily_items,0))),NA(),INDEX(big_daily_table,MATCH(DATE(S$5,$J237,$I237),daily_dates,0),MATCH($B$3,daily_items,0)))</f>
        <v>#N/A</v>
      </c>
      <c r="T237" s="1" t="e">
        <f aca="false">IF(ISBLANK(INDEX(big_daily_table,MATCH(DATE(T$5,$J237,$I237),daily_dates,0),MATCH($B$3,daily_items,0))),NA(),INDEX(big_daily_table,MATCH(DATE(T$5,$J237,$I237),daily_dates,0),MATCH($B$3,daily_items,0)))</f>
        <v>#N/A</v>
      </c>
      <c r="U237" s="1" t="e">
        <f aca="false">IF(ISBLANK(INDEX(big_daily_table,MATCH(DATE(U$5,$J237,$I237),daily_dates,0),MATCH($B$3,daily_items,0))),NA(),INDEX(big_daily_table,MATCH(DATE(U$5,$J237,$I237),daily_dates,0),MATCH($B$3,daily_items,0)))</f>
        <v>#N/A</v>
      </c>
      <c r="V237" s="1" t="e">
        <f aca="false">IF(ISBLANK(INDEX(big_daily_table,MATCH(DATE(V$5,$J237,$I237),daily_dates,0),MATCH($B$3,daily_items,0))),NA(),INDEX(big_daily_table,MATCH(DATE(V$5,$J237,$I237),daily_dates,0),MATCH($B$3,daily_items,0)))</f>
        <v>#N/A</v>
      </c>
      <c r="W237" s="1" t="e">
        <f aca="false">IF(ISBLANK(INDEX(big_daily_table,MATCH(DATE(W$5,$J237,$I237),daily_dates,0),MATCH($B$3,daily_items,0))),NA(),INDEX(big_daily_table,MATCH(DATE(W$5,$J237,$I237),daily_dates,0),MATCH($B$3,daily_items,0)))</f>
        <v>#N/A</v>
      </c>
      <c r="X237" s="1" t="e">
        <f aca="false">IF(ISBLANK(INDEX(big_daily_table,MATCH(DATE(X$5,$J237,$I237),daily_dates,0),MATCH($B$3,daily_items,0))),NA(),INDEX(big_daily_table,MATCH(DATE(X$5,$J237,$I237),daily_dates,0),MATCH($B$3,daily_items,0)))</f>
        <v>#N/A</v>
      </c>
      <c r="Y237" s="1" t="e">
        <f aca="false">IF(ISBLANK(INDEX(big_daily_table,MATCH(DATE(Y$5,$J237,$I237),daily_dates,0),MATCH($B$3,daily_items,0))),NA(),INDEX(big_daily_table,MATCH(DATE(Y$5,$J237,$I237),daily_dates,0),MATCH($B$3,daily_items,0)))</f>
        <v>#N/A</v>
      </c>
      <c r="Z237" s="1" t="n">
        <f aca="true">_xlfn.AGGREGATE(5,6,OFFSET($R$5,H237,0,1,$J$2))</f>
        <v>0</v>
      </c>
      <c r="AA237" s="1" t="n">
        <f aca="true">_xlfn.AGGREGATE(4,6,OFFSET($R$5,H237,0,1,$J$2))</f>
        <v>0</v>
      </c>
      <c r="AB237" s="1" t="n">
        <f aca="false">AA237-Z237</f>
        <v>0</v>
      </c>
      <c r="AC237" s="1" t="e">
        <f aca="true">_xlfn.AGGREGATE(1,6,OFFSET($R$5,H237,0,1,$J$2))</f>
        <v>#DIV/0!</v>
      </c>
    </row>
    <row r="238" customFormat="false" ht="14.25" hidden="false" customHeight="false" outlineLevel="0" collapsed="false">
      <c r="H238" s="1" t="n">
        <f aca="false">H237+1</f>
        <v>233</v>
      </c>
      <c r="I238" s="1" t="n">
        <f aca="false">DAY(K238)</f>
        <v>20</v>
      </c>
      <c r="J238" s="1" t="n">
        <f aca="false">MONTH(K238)</f>
        <v>8</v>
      </c>
      <c r="K238" s="23" t="n">
        <f aca="false">K237+1</f>
        <v>36758</v>
      </c>
      <c r="L238" s="24" t="n">
        <f aca="true">IF(TODAY()&lt;DATE($N$5,J238,I238),1000000,-1000000)</f>
        <v>-1000000</v>
      </c>
      <c r="M238" s="1" t="e">
        <f aca="false">IF(K238&gt;0,INDEX(big_daily_table,MATCH(DATE(N$5,$J238,$I238),daily_dates,0),MATCH($B$3,daily_items,0)),NA())</f>
        <v>#N/A</v>
      </c>
      <c r="N238" s="1" t="e">
        <f aca="false">IF(L238&lt;0,INDEX(big_daily_table,MATCH(DATE(N$5,$J238,$I238),daily_dates,0),MATCH($B$3,daily_items,0)),NA())</f>
        <v>#N/A</v>
      </c>
      <c r="O238" s="1" t="e">
        <f aca="false">IF(ISBLANK(INDEX(big_daily_table,MATCH(DATE(O$5,$J238,$I238),daily_dates,0),MATCH($B$3,daily_items,0))),NA(),INDEX(big_daily_table,MATCH(DATE(O$5,$J238,$I238),daily_dates,0),MATCH($B$3,daily_items,0)))</f>
        <v>#N/A</v>
      </c>
      <c r="P238" s="1" t="e">
        <f aca="false">IF(ISBLANK(INDEX(big_daily_table,MATCH(DATE(P$5,$J238,$I238),daily_dates,0),MATCH($B$3,daily_items,0))),NA(),INDEX(big_daily_table,MATCH(DATE(P$5,$J238,$I238),daily_dates,0),MATCH($B$3,daily_items,0)))</f>
        <v>#N/A</v>
      </c>
      <c r="Q238" s="1" t="e">
        <f aca="false">IF(ISBLANK(INDEX(big_daily_table,MATCH(DATE(Q$5,$J238,$I238),daily_dates,0),MATCH($B$3,daily_items,0))),NA(),INDEX(big_daily_table,MATCH(DATE(Q$5,$J238,$I238),daily_dates,0),MATCH($B$3,daily_items,0)))</f>
        <v>#N/A</v>
      </c>
      <c r="R238" s="1" t="e">
        <f aca="false">IF(ISBLANK(INDEX(big_daily_table,MATCH(DATE(R$5,$J238,$I238),daily_dates,0),MATCH($B$3,daily_items,0))),NA(),INDEX(big_daily_table,MATCH(DATE(R$5,$J238,$I238),daily_dates,0),MATCH($B$3,daily_items,0)))</f>
        <v>#N/A</v>
      </c>
      <c r="S238" s="1" t="e">
        <f aca="false">IF(ISBLANK(INDEX(big_daily_table,MATCH(DATE(S$5,$J238,$I238),daily_dates,0),MATCH($B$3,daily_items,0))),NA(),INDEX(big_daily_table,MATCH(DATE(S$5,$J238,$I238),daily_dates,0),MATCH($B$3,daily_items,0)))</f>
        <v>#N/A</v>
      </c>
      <c r="T238" s="1" t="e">
        <f aca="false">IF(ISBLANK(INDEX(big_daily_table,MATCH(DATE(T$5,$J238,$I238),daily_dates,0),MATCH($B$3,daily_items,0))),NA(),INDEX(big_daily_table,MATCH(DATE(T$5,$J238,$I238),daily_dates,0),MATCH($B$3,daily_items,0)))</f>
        <v>#N/A</v>
      </c>
      <c r="U238" s="1" t="e">
        <f aca="false">IF(ISBLANK(INDEX(big_daily_table,MATCH(DATE(U$5,$J238,$I238),daily_dates,0),MATCH($B$3,daily_items,0))),NA(),INDEX(big_daily_table,MATCH(DATE(U$5,$J238,$I238),daily_dates,0),MATCH($B$3,daily_items,0)))</f>
        <v>#N/A</v>
      </c>
      <c r="V238" s="1" t="e">
        <f aca="false">IF(ISBLANK(INDEX(big_daily_table,MATCH(DATE(V$5,$J238,$I238),daily_dates,0),MATCH($B$3,daily_items,0))),NA(),INDEX(big_daily_table,MATCH(DATE(V$5,$J238,$I238),daily_dates,0),MATCH($B$3,daily_items,0)))</f>
        <v>#N/A</v>
      </c>
      <c r="W238" s="1" t="e">
        <f aca="false">IF(ISBLANK(INDEX(big_daily_table,MATCH(DATE(W$5,$J238,$I238),daily_dates,0),MATCH($B$3,daily_items,0))),NA(),INDEX(big_daily_table,MATCH(DATE(W$5,$J238,$I238),daily_dates,0),MATCH($B$3,daily_items,0)))</f>
        <v>#N/A</v>
      </c>
      <c r="X238" s="1" t="e">
        <f aca="false">IF(ISBLANK(INDEX(big_daily_table,MATCH(DATE(X$5,$J238,$I238),daily_dates,0),MATCH($B$3,daily_items,0))),NA(),INDEX(big_daily_table,MATCH(DATE(X$5,$J238,$I238),daily_dates,0),MATCH($B$3,daily_items,0)))</f>
        <v>#N/A</v>
      </c>
      <c r="Y238" s="1" t="e">
        <f aca="false">IF(ISBLANK(INDEX(big_daily_table,MATCH(DATE(Y$5,$J238,$I238),daily_dates,0),MATCH($B$3,daily_items,0))),NA(),INDEX(big_daily_table,MATCH(DATE(Y$5,$J238,$I238),daily_dates,0),MATCH($B$3,daily_items,0)))</f>
        <v>#N/A</v>
      </c>
      <c r="Z238" s="1" t="n">
        <f aca="true">_xlfn.AGGREGATE(5,6,OFFSET($R$5,H238,0,1,$J$2))</f>
        <v>0</v>
      </c>
      <c r="AA238" s="1" t="n">
        <f aca="true">_xlfn.AGGREGATE(4,6,OFFSET($R$5,H238,0,1,$J$2))</f>
        <v>0</v>
      </c>
      <c r="AB238" s="1" t="n">
        <f aca="false">AA238-Z238</f>
        <v>0</v>
      </c>
      <c r="AC238" s="1" t="e">
        <f aca="true">_xlfn.AGGREGATE(1,6,OFFSET($R$5,H238,0,1,$J$2))</f>
        <v>#DIV/0!</v>
      </c>
    </row>
    <row r="239" customFormat="false" ht="14.25" hidden="false" customHeight="false" outlineLevel="0" collapsed="false">
      <c r="H239" s="1" t="n">
        <f aca="false">H238+1</f>
        <v>234</v>
      </c>
      <c r="I239" s="1" t="n">
        <f aca="false">DAY(K239)</f>
        <v>21</v>
      </c>
      <c r="J239" s="1" t="n">
        <f aca="false">MONTH(K239)</f>
        <v>8</v>
      </c>
      <c r="K239" s="23" t="n">
        <f aca="false">K238+1</f>
        <v>36759</v>
      </c>
      <c r="L239" s="24" t="n">
        <f aca="true">IF(TODAY()&lt;DATE($N$5,J239,I239),1000000,-1000000)</f>
        <v>-1000000</v>
      </c>
      <c r="M239" s="1" t="e">
        <f aca="false">IF(K239&gt;0,INDEX(big_daily_table,MATCH(DATE(N$5,$J239,$I239),daily_dates,0),MATCH($B$3,daily_items,0)),NA())</f>
        <v>#N/A</v>
      </c>
      <c r="N239" s="1" t="e">
        <f aca="false">IF(L239&lt;0,INDEX(big_daily_table,MATCH(DATE(N$5,$J239,$I239),daily_dates,0),MATCH($B$3,daily_items,0)),NA())</f>
        <v>#N/A</v>
      </c>
      <c r="O239" s="1" t="e">
        <f aca="false">IF(ISBLANK(INDEX(big_daily_table,MATCH(DATE(O$5,$J239,$I239),daily_dates,0),MATCH($B$3,daily_items,0))),NA(),INDEX(big_daily_table,MATCH(DATE(O$5,$J239,$I239),daily_dates,0),MATCH($B$3,daily_items,0)))</f>
        <v>#N/A</v>
      </c>
      <c r="P239" s="1" t="e">
        <f aca="false">IF(ISBLANK(INDEX(big_daily_table,MATCH(DATE(P$5,$J239,$I239),daily_dates,0),MATCH($B$3,daily_items,0))),NA(),INDEX(big_daily_table,MATCH(DATE(P$5,$J239,$I239),daily_dates,0),MATCH($B$3,daily_items,0)))</f>
        <v>#N/A</v>
      </c>
      <c r="Q239" s="1" t="e">
        <f aca="false">IF(ISBLANK(INDEX(big_daily_table,MATCH(DATE(Q$5,$J239,$I239),daily_dates,0),MATCH($B$3,daily_items,0))),NA(),INDEX(big_daily_table,MATCH(DATE(Q$5,$J239,$I239),daily_dates,0),MATCH($B$3,daily_items,0)))</f>
        <v>#N/A</v>
      </c>
      <c r="R239" s="1" t="e">
        <f aca="false">IF(ISBLANK(INDEX(big_daily_table,MATCH(DATE(R$5,$J239,$I239),daily_dates,0),MATCH($B$3,daily_items,0))),NA(),INDEX(big_daily_table,MATCH(DATE(R$5,$J239,$I239),daily_dates,0),MATCH($B$3,daily_items,0)))</f>
        <v>#N/A</v>
      </c>
      <c r="S239" s="1" t="e">
        <f aca="false">IF(ISBLANK(INDEX(big_daily_table,MATCH(DATE(S$5,$J239,$I239),daily_dates,0),MATCH($B$3,daily_items,0))),NA(),INDEX(big_daily_table,MATCH(DATE(S$5,$J239,$I239),daily_dates,0),MATCH($B$3,daily_items,0)))</f>
        <v>#N/A</v>
      </c>
      <c r="T239" s="1" t="e">
        <f aca="false">IF(ISBLANK(INDEX(big_daily_table,MATCH(DATE(T$5,$J239,$I239),daily_dates,0),MATCH($B$3,daily_items,0))),NA(),INDEX(big_daily_table,MATCH(DATE(T$5,$J239,$I239),daily_dates,0),MATCH($B$3,daily_items,0)))</f>
        <v>#N/A</v>
      </c>
      <c r="U239" s="1" t="e">
        <f aca="false">IF(ISBLANK(INDEX(big_daily_table,MATCH(DATE(U$5,$J239,$I239),daily_dates,0),MATCH($B$3,daily_items,0))),NA(),INDEX(big_daily_table,MATCH(DATE(U$5,$J239,$I239),daily_dates,0),MATCH($B$3,daily_items,0)))</f>
        <v>#N/A</v>
      </c>
      <c r="V239" s="1" t="e">
        <f aca="false">IF(ISBLANK(INDEX(big_daily_table,MATCH(DATE(V$5,$J239,$I239),daily_dates,0),MATCH($B$3,daily_items,0))),NA(),INDEX(big_daily_table,MATCH(DATE(V$5,$J239,$I239),daily_dates,0),MATCH($B$3,daily_items,0)))</f>
        <v>#N/A</v>
      </c>
      <c r="W239" s="1" t="e">
        <f aca="false">IF(ISBLANK(INDEX(big_daily_table,MATCH(DATE(W$5,$J239,$I239),daily_dates,0),MATCH($B$3,daily_items,0))),NA(),INDEX(big_daily_table,MATCH(DATE(W$5,$J239,$I239),daily_dates,0),MATCH($B$3,daily_items,0)))</f>
        <v>#N/A</v>
      </c>
      <c r="X239" s="1" t="e">
        <f aca="false">IF(ISBLANK(INDEX(big_daily_table,MATCH(DATE(X$5,$J239,$I239),daily_dates,0),MATCH($B$3,daily_items,0))),NA(),INDEX(big_daily_table,MATCH(DATE(X$5,$J239,$I239),daily_dates,0),MATCH($B$3,daily_items,0)))</f>
        <v>#N/A</v>
      </c>
      <c r="Y239" s="1" t="e">
        <f aca="false">IF(ISBLANK(INDEX(big_daily_table,MATCH(DATE(Y$5,$J239,$I239),daily_dates,0),MATCH($B$3,daily_items,0))),NA(),INDEX(big_daily_table,MATCH(DATE(Y$5,$J239,$I239),daily_dates,0),MATCH($B$3,daily_items,0)))</f>
        <v>#N/A</v>
      </c>
      <c r="Z239" s="1" t="n">
        <f aca="true">_xlfn.AGGREGATE(5,6,OFFSET($R$5,H239,0,1,$J$2))</f>
        <v>0</v>
      </c>
      <c r="AA239" s="1" t="n">
        <f aca="true">_xlfn.AGGREGATE(4,6,OFFSET($R$5,H239,0,1,$J$2))</f>
        <v>0</v>
      </c>
      <c r="AB239" s="1" t="n">
        <f aca="false">AA239-Z239</f>
        <v>0</v>
      </c>
      <c r="AC239" s="1" t="e">
        <f aca="true">_xlfn.AGGREGATE(1,6,OFFSET($R$5,H239,0,1,$J$2))</f>
        <v>#DIV/0!</v>
      </c>
    </row>
    <row r="240" customFormat="false" ht="14.25" hidden="false" customHeight="false" outlineLevel="0" collapsed="false">
      <c r="H240" s="1" t="n">
        <f aca="false">H239+1</f>
        <v>235</v>
      </c>
      <c r="I240" s="1" t="n">
        <f aca="false">DAY(K240)</f>
        <v>22</v>
      </c>
      <c r="J240" s="1" t="n">
        <f aca="false">MONTH(K240)</f>
        <v>8</v>
      </c>
      <c r="K240" s="23" t="n">
        <f aca="false">K239+1</f>
        <v>36760</v>
      </c>
      <c r="L240" s="24" t="n">
        <f aca="true">IF(TODAY()&lt;DATE($N$5,J240,I240),1000000,-1000000)</f>
        <v>-1000000</v>
      </c>
      <c r="M240" s="1" t="e">
        <f aca="false">IF(K240&gt;0,INDEX(big_daily_table,MATCH(DATE(N$5,$J240,$I240),daily_dates,0),MATCH($B$3,daily_items,0)),NA())</f>
        <v>#N/A</v>
      </c>
      <c r="N240" s="1" t="e">
        <f aca="false">IF(L240&lt;0,INDEX(big_daily_table,MATCH(DATE(N$5,$J240,$I240),daily_dates,0),MATCH($B$3,daily_items,0)),NA())</f>
        <v>#N/A</v>
      </c>
      <c r="O240" s="1" t="e">
        <f aca="false">IF(ISBLANK(INDEX(big_daily_table,MATCH(DATE(O$5,$J240,$I240),daily_dates,0),MATCH($B$3,daily_items,0))),NA(),INDEX(big_daily_table,MATCH(DATE(O$5,$J240,$I240),daily_dates,0),MATCH($B$3,daily_items,0)))</f>
        <v>#N/A</v>
      </c>
      <c r="P240" s="1" t="e">
        <f aca="false">IF(ISBLANK(INDEX(big_daily_table,MATCH(DATE(P$5,$J240,$I240),daily_dates,0),MATCH($B$3,daily_items,0))),NA(),INDEX(big_daily_table,MATCH(DATE(P$5,$J240,$I240),daily_dates,0),MATCH($B$3,daily_items,0)))</f>
        <v>#N/A</v>
      </c>
      <c r="Q240" s="1" t="e">
        <f aca="false">IF(ISBLANK(INDEX(big_daily_table,MATCH(DATE(Q$5,$J240,$I240),daily_dates,0),MATCH($B$3,daily_items,0))),NA(),INDEX(big_daily_table,MATCH(DATE(Q$5,$J240,$I240),daily_dates,0),MATCH($B$3,daily_items,0)))</f>
        <v>#N/A</v>
      </c>
      <c r="R240" s="1" t="e">
        <f aca="false">IF(ISBLANK(INDEX(big_daily_table,MATCH(DATE(R$5,$J240,$I240),daily_dates,0),MATCH($B$3,daily_items,0))),NA(),INDEX(big_daily_table,MATCH(DATE(R$5,$J240,$I240),daily_dates,0),MATCH($B$3,daily_items,0)))</f>
        <v>#N/A</v>
      </c>
      <c r="S240" s="1" t="e">
        <f aca="false">IF(ISBLANK(INDEX(big_daily_table,MATCH(DATE(S$5,$J240,$I240),daily_dates,0),MATCH($B$3,daily_items,0))),NA(),INDEX(big_daily_table,MATCH(DATE(S$5,$J240,$I240),daily_dates,0),MATCH($B$3,daily_items,0)))</f>
        <v>#N/A</v>
      </c>
      <c r="T240" s="1" t="e">
        <f aca="false">IF(ISBLANK(INDEX(big_daily_table,MATCH(DATE(T$5,$J240,$I240),daily_dates,0),MATCH($B$3,daily_items,0))),NA(),INDEX(big_daily_table,MATCH(DATE(T$5,$J240,$I240),daily_dates,0),MATCH($B$3,daily_items,0)))</f>
        <v>#N/A</v>
      </c>
      <c r="U240" s="1" t="e">
        <f aca="false">IF(ISBLANK(INDEX(big_daily_table,MATCH(DATE(U$5,$J240,$I240),daily_dates,0),MATCH($B$3,daily_items,0))),NA(),INDEX(big_daily_table,MATCH(DATE(U$5,$J240,$I240),daily_dates,0),MATCH($B$3,daily_items,0)))</f>
        <v>#N/A</v>
      </c>
      <c r="V240" s="1" t="e">
        <f aca="false">IF(ISBLANK(INDEX(big_daily_table,MATCH(DATE(V$5,$J240,$I240),daily_dates,0),MATCH($B$3,daily_items,0))),NA(),INDEX(big_daily_table,MATCH(DATE(V$5,$J240,$I240),daily_dates,0),MATCH($B$3,daily_items,0)))</f>
        <v>#N/A</v>
      </c>
      <c r="W240" s="1" t="e">
        <f aca="false">IF(ISBLANK(INDEX(big_daily_table,MATCH(DATE(W$5,$J240,$I240),daily_dates,0),MATCH($B$3,daily_items,0))),NA(),INDEX(big_daily_table,MATCH(DATE(W$5,$J240,$I240),daily_dates,0),MATCH($B$3,daily_items,0)))</f>
        <v>#N/A</v>
      </c>
      <c r="X240" s="1" t="e">
        <f aca="false">IF(ISBLANK(INDEX(big_daily_table,MATCH(DATE(X$5,$J240,$I240),daily_dates,0),MATCH($B$3,daily_items,0))),NA(),INDEX(big_daily_table,MATCH(DATE(X$5,$J240,$I240),daily_dates,0),MATCH($B$3,daily_items,0)))</f>
        <v>#N/A</v>
      </c>
      <c r="Y240" s="1" t="e">
        <f aca="false">IF(ISBLANK(INDEX(big_daily_table,MATCH(DATE(Y$5,$J240,$I240),daily_dates,0),MATCH($B$3,daily_items,0))),NA(),INDEX(big_daily_table,MATCH(DATE(Y$5,$J240,$I240),daily_dates,0),MATCH($B$3,daily_items,0)))</f>
        <v>#N/A</v>
      </c>
      <c r="Z240" s="1" t="n">
        <f aca="true">_xlfn.AGGREGATE(5,6,OFFSET($R$5,H240,0,1,$J$2))</f>
        <v>0</v>
      </c>
      <c r="AA240" s="1" t="n">
        <f aca="true">_xlfn.AGGREGATE(4,6,OFFSET($R$5,H240,0,1,$J$2))</f>
        <v>0</v>
      </c>
      <c r="AB240" s="1" t="n">
        <f aca="false">AA240-Z240</f>
        <v>0</v>
      </c>
      <c r="AC240" s="1" t="e">
        <f aca="true">_xlfn.AGGREGATE(1,6,OFFSET($R$5,H240,0,1,$J$2))</f>
        <v>#DIV/0!</v>
      </c>
    </row>
    <row r="241" customFormat="false" ht="14.25" hidden="false" customHeight="false" outlineLevel="0" collapsed="false">
      <c r="H241" s="1" t="n">
        <f aca="false">H240+1</f>
        <v>236</v>
      </c>
      <c r="I241" s="1" t="n">
        <f aca="false">DAY(K241)</f>
        <v>23</v>
      </c>
      <c r="J241" s="1" t="n">
        <f aca="false">MONTH(K241)</f>
        <v>8</v>
      </c>
      <c r="K241" s="23" t="n">
        <f aca="false">K240+1</f>
        <v>36761</v>
      </c>
      <c r="L241" s="24" t="n">
        <f aca="true">IF(TODAY()&lt;DATE($N$5,J241,I241),1000000,-1000000)</f>
        <v>-1000000</v>
      </c>
      <c r="M241" s="1" t="e">
        <f aca="false">IF(K241&gt;0,INDEX(big_daily_table,MATCH(DATE(N$5,$J241,$I241),daily_dates,0),MATCH($B$3,daily_items,0)),NA())</f>
        <v>#N/A</v>
      </c>
      <c r="N241" s="1" t="e">
        <f aca="false">IF(L241&lt;0,INDEX(big_daily_table,MATCH(DATE(N$5,$J241,$I241),daily_dates,0),MATCH($B$3,daily_items,0)),NA())</f>
        <v>#N/A</v>
      </c>
      <c r="O241" s="1" t="e">
        <f aca="false">IF(ISBLANK(INDEX(big_daily_table,MATCH(DATE(O$5,$J241,$I241),daily_dates,0),MATCH($B$3,daily_items,0))),NA(),INDEX(big_daily_table,MATCH(DATE(O$5,$J241,$I241),daily_dates,0),MATCH($B$3,daily_items,0)))</f>
        <v>#N/A</v>
      </c>
      <c r="P241" s="1" t="e">
        <f aca="false">IF(ISBLANK(INDEX(big_daily_table,MATCH(DATE(P$5,$J241,$I241),daily_dates,0),MATCH($B$3,daily_items,0))),NA(),INDEX(big_daily_table,MATCH(DATE(P$5,$J241,$I241),daily_dates,0),MATCH($B$3,daily_items,0)))</f>
        <v>#N/A</v>
      </c>
      <c r="Q241" s="1" t="e">
        <f aca="false">IF(ISBLANK(INDEX(big_daily_table,MATCH(DATE(Q$5,$J241,$I241),daily_dates,0),MATCH($B$3,daily_items,0))),NA(),INDEX(big_daily_table,MATCH(DATE(Q$5,$J241,$I241),daily_dates,0),MATCH($B$3,daily_items,0)))</f>
        <v>#N/A</v>
      </c>
      <c r="R241" s="1" t="e">
        <f aca="false">IF(ISBLANK(INDEX(big_daily_table,MATCH(DATE(R$5,$J241,$I241),daily_dates,0),MATCH($B$3,daily_items,0))),NA(),INDEX(big_daily_table,MATCH(DATE(R$5,$J241,$I241),daily_dates,0),MATCH($B$3,daily_items,0)))</f>
        <v>#N/A</v>
      </c>
      <c r="S241" s="1" t="e">
        <f aca="false">IF(ISBLANK(INDEX(big_daily_table,MATCH(DATE(S$5,$J241,$I241),daily_dates,0),MATCH($B$3,daily_items,0))),NA(),INDEX(big_daily_table,MATCH(DATE(S$5,$J241,$I241),daily_dates,0),MATCH($B$3,daily_items,0)))</f>
        <v>#N/A</v>
      </c>
      <c r="T241" s="1" t="e">
        <f aca="false">IF(ISBLANK(INDEX(big_daily_table,MATCH(DATE(T$5,$J241,$I241),daily_dates,0),MATCH($B$3,daily_items,0))),NA(),INDEX(big_daily_table,MATCH(DATE(T$5,$J241,$I241),daily_dates,0),MATCH($B$3,daily_items,0)))</f>
        <v>#N/A</v>
      </c>
      <c r="U241" s="1" t="e">
        <f aca="false">IF(ISBLANK(INDEX(big_daily_table,MATCH(DATE(U$5,$J241,$I241),daily_dates,0),MATCH($B$3,daily_items,0))),NA(),INDEX(big_daily_table,MATCH(DATE(U$5,$J241,$I241),daily_dates,0),MATCH($B$3,daily_items,0)))</f>
        <v>#N/A</v>
      </c>
      <c r="V241" s="1" t="e">
        <f aca="false">IF(ISBLANK(INDEX(big_daily_table,MATCH(DATE(V$5,$J241,$I241),daily_dates,0),MATCH($B$3,daily_items,0))),NA(),INDEX(big_daily_table,MATCH(DATE(V$5,$J241,$I241),daily_dates,0),MATCH($B$3,daily_items,0)))</f>
        <v>#N/A</v>
      </c>
      <c r="W241" s="1" t="e">
        <f aca="false">IF(ISBLANK(INDEX(big_daily_table,MATCH(DATE(W$5,$J241,$I241),daily_dates,0),MATCH($B$3,daily_items,0))),NA(),INDEX(big_daily_table,MATCH(DATE(W$5,$J241,$I241),daily_dates,0),MATCH($B$3,daily_items,0)))</f>
        <v>#N/A</v>
      </c>
      <c r="X241" s="1" t="e">
        <f aca="false">IF(ISBLANK(INDEX(big_daily_table,MATCH(DATE(X$5,$J241,$I241),daily_dates,0),MATCH($B$3,daily_items,0))),NA(),INDEX(big_daily_table,MATCH(DATE(X$5,$J241,$I241),daily_dates,0),MATCH($B$3,daily_items,0)))</f>
        <v>#N/A</v>
      </c>
      <c r="Y241" s="1" t="e">
        <f aca="false">IF(ISBLANK(INDEX(big_daily_table,MATCH(DATE(Y$5,$J241,$I241),daily_dates,0),MATCH($B$3,daily_items,0))),NA(),INDEX(big_daily_table,MATCH(DATE(Y$5,$J241,$I241),daily_dates,0),MATCH($B$3,daily_items,0)))</f>
        <v>#N/A</v>
      </c>
      <c r="Z241" s="1" t="n">
        <f aca="true">_xlfn.AGGREGATE(5,6,OFFSET($R$5,H241,0,1,$J$2))</f>
        <v>0</v>
      </c>
      <c r="AA241" s="1" t="n">
        <f aca="true">_xlfn.AGGREGATE(4,6,OFFSET($R$5,H241,0,1,$J$2))</f>
        <v>0</v>
      </c>
      <c r="AB241" s="1" t="n">
        <f aca="false">AA241-Z241</f>
        <v>0</v>
      </c>
      <c r="AC241" s="1" t="e">
        <f aca="true">_xlfn.AGGREGATE(1,6,OFFSET($R$5,H241,0,1,$J$2))</f>
        <v>#DIV/0!</v>
      </c>
    </row>
    <row r="242" customFormat="false" ht="14.25" hidden="false" customHeight="false" outlineLevel="0" collapsed="false">
      <c r="H242" s="1" t="n">
        <f aca="false">H241+1</f>
        <v>237</v>
      </c>
      <c r="I242" s="1" t="n">
        <f aca="false">DAY(K242)</f>
        <v>24</v>
      </c>
      <c r="J242" s="1" t="n">
        <f aca="false">MONTH(K242)</f>
        <v>8</v>
      </c>
      <c r="K242" s="23" t="n">
        <f aca="false">K241+1</f>
        <v>36762</v>
      </c>
      <c r="L242" s="24" t="n">
        <f aca="true">IF(TODAY()&lt;DATE($N$5,J242,I242),1000000,-1000000)</f>
        <v>-1000000</v>
      </c>
      <c r="M242" s="1" t="e">
        <f aca="false">IF(K242&gt;0,INDEX(big_daily_table,MATCH(DATE(N$5,$J242,$I242),daily_dates,0),MATCH($B$3,daily_items,0)),NA())</f>
        <v>#N/A</v>
      </c>
      <c r="N242" s="1" t="e">
        <f aca="false">IF(L242&lt;0,INDEX(big_daily_table,MATCH(DATE(N$5,$J242,$I242),daily_dates,0),MATCH($B$3,daily_items,0)),NA())</f>
        <v>#N/A</v>
      </c>
      <c r="O242" s="1" t="e">
        <f aca="false">IF(ISBLANK(INDEX(big_daily_table,MATCH(DATE(O$5,$J242,$I242),daily_dates,0),MATCH($B$3,daily_items,0))),NA(),INDEX(big_daily_table,MATCH(DATE(O$5,$J242,$I242),daily_dates,0),MATCH($B$3,daily_items,0)))</f>
        <v>#N/A</v>
      </c>
      <c r="P242" s="1" t="e">
        <f aca="false">IF(ISBLANK(INDEX(big_daily_table,MATCH(DATE(P$5,$J242,$I242),daily_dates,0),MATCH($B$3,daily_items,0))),NA(),INDEX(big_daily_table,MATCH(DATE(P$5,$J242,$I242),daily_dates,0),MATCH($B$3,daily_items,0)))</f>
        <v>#N/A</v>
      </c>
      <c r="Q242" s="1" t="e">
        <f aca="false">IF(ISBLANK(INDEX(big_daily_table,MATCH(DATE(Q$5,$J242,$I242),daily_dates,0),MATCH($B$3,daily_items,0))),NA(),INDEX(big_daily_table,MATCH(DATE(Q$5,$J242,$I242),daily_dates,0),MATCH($B$3,daily_items,0)))</f>
        <v>#N/A</v>
      </c>
      <c r="R242" s="1" t="e">
        <f aca="false">IF(ISBLANK(INDEX(big_daily_table,MATCH(DATE(R$5,$J242,$I242),daily_dates,0),MATCH($B$3,daily_items,0))),NA(),INDEX(big_daily_table,MATCH(DATE(R$5,$J242,$I242),daily_dates,0),MATCH($B$3,daily_items,0)))</f>
        <v>#N/A</v>
      </c>
      <c r="S242" s="1" t="e">
        <f aca="false">IF(ISBLANK(INDEX(big_daily_table,MATCH(DATE(S$5,$J242,$I242),daily_dates,0),MATCH($B$3,daily_items,0))),NA(),INDEX(big_daily_table,MATCH(DATE(S$5,$J242,$I242),daily_dates,0),MATCH($B$3,daily_items,0)))</f>
        <v>#N/A</v>
      </c>
      <c r="T242" s="1" t="e">
        <f aca="false">IF(ISBLANK(INDEX(big_daily_table,MATCH(DATE(T$5,$J242,$I242),daily_dates,0),MATCH($B$3,daily_items,0))),NA(),INDEX(big_daily_table,MATCH(DATE(T$5,$J242,$I242),daily_dates,0),MATCH($B$3,daily_items,0)))</f>
        <v>#N/A</v>
      </c>
      <c r="U242" s="1" t="e">
        <f aca="false">IF(ISBLANK(INDEX(big_daily_table,MATCH(DATE(U$5,$J242,$I242),daily_dates,0),MATCH($B$3,daily_items,0))),NA(),INDEX(big_daily_table,MATCH(DATE(U$5,$J242,$I242),daily_dates,0),MATCH($B$3,daily_items,0)))</f>
        <v>#N/A</v>
      </c>
      <c r="V242" s="1" t="e">
        <f aca="false">IF(ISBLANK(INDEX(big_daily_table,MATCH(DATE(V$5,$J242,$I242),daily_dates,0),MATCH($B$3,daily_items,0))),NA(),INDEX(big_daily_table,MATCH(DATE(V$5,$J242,$I242),daily_dates,0),MATCH($B$3,daily_items,0)))</f>
        <v>#N/A</v>
      </c>
      <c r="W242" s="1" t="e">
        <f aca="false">IF(ISBLANK(INDEX(big_daily_table,MATCH(DATE(W$5,$J242,$I242),daily_dates,0),MATCH($B$3,daily_items,0))),NA(),INDEX(big_daily_table,MATCH(DATE(W$5,$J242,$I242),daily_dates,0),MATCH($B$3,daily_items,0)))</f>
        <v>#N/A</v>
      </c>
      <c r="X242" s="1" t="e">
        <f aca="false">IF(ISBLANK(INDEX(big_daily_table,MATCH(DATE(X$5,$J242,$I242),daily_dates,0),MATCH($B$3,daily_items,0))),NA(),INDEX(big_daily_table,MATCH(DATE(X$5,$J242,$I242),daily_dates,0),MATCH($B$3,daily_items,0)))</f>
        <v>#N/A</v>
      </c>
      <c r="Y242" s="1" t="e">
        <f aca="false">IF(ISBLANK(INDEX(big_daily_table,MATCH(DATE(Y$5,$J242,$I242),daily_dates,0),MATCH($B$3,daily_items,0))),NA(),INDEX(big_daily_table,MATCH(DATE(Y$5,$J242,$I242),daily_dates,0),MATCH($B$3,daily_items,0)))</f>
        <v>#N/A</v>
      </c>
      <c r="Z242" s="1" t="n">
        <f aca="true">_xlfn.AGGREGATE(5,6,OFFSET($R$5,H242,0,1,$J$2))</f>
        <v>0</v>
      </c>
      <c r="AA242" s="1" t="n">
        <f aca="true">_xlfn.AGGREGATE(4,6,OFFSET($R$5,H242,0,1,$J$2))</f>
        <v>0</v>
      </c>
      <c r="AB242" s="1" t="n">
        <f aca="false">AA242-Z242</f>
        <v>0</v>
      </c>
      <c r="AC242" s="1" t="e">
        <f aca="true">_xlfn.AGGREGATE(1,6,OFFSET($R$5,H242,0,1,$J$2))</f>
        <v>#DIV/0!</v>
      </c>
    </row>
    <row r="243" customFormat="false" ht="14.25" hidden="false" customHeight="false" outlineLevel="0" collapsed="false">
      <c r="H243" s="1" t="n">
        <f aca="false">H242+1</f>
        <v>238</v>
      </c>
      <c r="I243" s="1" t="n">
        <f aca="false">DAY(K243)</f>
        <v>25</v>
      </c>
      <c r="J243" s="1" t="n">
        <f aca="false">MONTH(K243)</f>
        <v>8</v>
      </c>
      <c r="K243" s="23" t="n">
        <f aca="false">K242+1</f>
        <v>36763</v>
      </c>
      <c r="L243" s="24" t="n">
        <f aca="true">IF(TODAY()&lt;DATE($N$5,J243,I243),1000000,-1000000)</f>
        <v>-1000000</v>
      </c>
      <c r="M243" s="1" t="e">
        <f aca="false">IF(K243&gt;0,INDEX(big_daily_table,MATCH(DATE(N$5,$J243,$I243),daily_dates,0),MATCH($B$3,daily_items,0)),NA())</f>
        <v>#N/A</v>
      </c>
      <c r="N243" s="1" t="e">
        <f aca="false">IF(L243&lt;0,INDEX(big_daily_table,MATCH(DATE(N$5,$J243,$I243),daily_dates,0),MATCH($B$3,daily_items,0)),NA())</f>
        <v>#N/A</v>
      </c>
      <c r="O243" s="1" t="e">
        <f aca="false">IF(ISBLANK(INDEX(big_daily_table,MATCH(DATE(O$5,$J243,$I243),daily_dates,0),MATCH($B$3,daily_items,0))),NA(),INDEX(big_daily_table,MATCH(DATE(O$5,$J243,$I243),daily_dates,0),MATCH($B$3,daily_items,0)))</f>
        <v>#N/A</v>
      </c>
      <c r="P243" s="1" t="e">
        <f aca="false">IF(ISBLANK(INDEX(big_daily_table,MATCH(DATE(P$5,$J243,$I243),daily_dates,0),MATCH($B$3,daily_items,0))),NA(),INDEX(big_daily_table,MATCH(DATE(P$5,$J243,$I243),daily_dates,0),MATCH($B$3,daily_items,0)))</f>
        <v>#N/A</v>
      </c>
      <c r="Q243" s="1" t="e">
        <f aca="false">IF(ISBLANK(INDEX(big_daily_table,MATCH(DATE(Q$5,$J243,$I243),daily_dates,0),MATCH($B$3,daily_items,0))),NA(),INDEX(big_daily_table,MATCH(DATE(Q$5,$J243,$I243),daily_dates,0),MATCH($B$3,daily_items,0)))</f>
        <v>#N/A</v>
      </c>
      <c r="R243" s="1" t="e">
        <f aca="false">IF(ISBLANK(INDEX(big_daily_table,MATCH(DATE(R$5,$J243,$I243),daily_dates,0),MATCH($B$3,daily_items,0))),NA(),INDEX(big_daily_table,MATCH(DATE(R$5,$J243,$I243),daily_dates,0),MATCH($B$3,daily_items,0)))</f>
        <v>#N/A</v>
      </c>
      <c r="S243" s="1" t="e">
        <f aca="false">IF(ISBLANK(INDEX(big_daily_table,MATCH(DATE(S$5,$J243,$I243),daily_dates,0),MATCH($B$3,daily_items,0))),NA(),INDEX(big_daily_table,MATCH(DATE(S$5,$J243,$I243),daily_dates,0),MATCH($B$3,daily_items,0)))</f>
        <v>#N/A</v>
      </c>
      <c r="T243" s="1" t="e">
        <f aca="false">IF(ISBLANK(INDEX(big_daily_table,MATCH(DATE(T$5,$J243,$I243),daily_dates,0),MATCH($B$3,daily_items,0))),NA(),INDEX(big_daily_table,MATCH(DATE(T$5,$J243,$I243),daily_dates,0),MATCH($B$3,daily_items,0)))</f>
        <v>#N/A</v>
      </c>
      <c r="U243" s="1" t="e">
        <f aca="false">IF(ISBLANK(INDEX(big_daily_table,MATCH(DATE(U$5,$J243,$I243),daily_dates,0),MATCH($B$3,daily_items,0))),NA(),INDEX(big_daily_table,MATCH(DATE(U$5,$J243,$I243),daily_dates,0),MATCH($B$3,daily_items,0)))</f>
        <v>#N/A</v>
      </c>
      <c r="V243" s="1" t="e">
        <f aca="false">IF(ISBLANK(INDEX(big_daily_table,MATCH(DATE(V$5,$J243,$I243),daily_dates,0),MATCH($B$3,daily_items,0))),NA(),INDEX(big_daily_table,MATCH(DATE(V$5,$J243,$I243),daily_dates,0),MATCH($B$3,daily_items,0)))</f>
        <v>#N/A</v>
      </c>
      <c r="W243" s="1" t="e">
        <f aca="false">IF(ISBLANK(INDEX(big_daily_table,MATCH(DATE(W$5,$J243,$I243),daily_dates,0),MATCH($B$3,daily_items,0))),NA(),INDEX(big_daily_table,MATCH(DATE(W$5,$J243,$I243),daily_dates,0),MATCH($B$3,daily_items,0)))</f>
        <v>#N/A</v>
      </c>
      <c r="X243" s="1" t="e">
        <f aca="false">IF(ISBLANK(INDEX(big_daily_table,MATCH(DATE(X$5,$J243,$I243),daily_dates,0),MATCH($B$3,daily_items,0))),NA(),INDEX(big_daily_table,MATCH(DATE(X$5,$J243,$I243),daily_dates,0),MATCH($B$3,daily_items,0)))</f>
        <v>#N/A</v>
      </c>
      <c r="Y243" s="1" t="e">
        <f aca="false">IF(ISBLANK(INDEX(big_daily_table,MATCH(DATE(Y$5,$J243,$I243),daily_dates,0),MATCH($B$3,daily_items,0))),NA(),INDEX(big_daily_table,MATCH(DATE(Y$5,$J243,$I243),daily_dates,0),MATCH($B$3,daily_items,0)))</f>
        <v>#N/A</v>
      </c>
      <c r="Z243" s="1" t="n">
        <f aca="true">_xlfn.AGGREGATE(5,6,OFFSET($R$5,H243,0,1,$J$2))</f>
        <v>0</v>
      </c>
      <c r="AA243" s="1" t="n">
        <f aca="true">_xlfn.AGGREGATE(4,6,OFFSET($R$5,H243,0,1,$J$2))</f>
        <v>0</v>
      </c>
      <c r="AB243" s="1" t="n">
        <f aca="false">AA243-Z243</f>
        <v>0</v>
      </c>
      <c r="AC243" s="1" t="e">
        <f aca="true">_xlfn.AGGREGATE(1,6,OFFSET($R$5,H243,0,1,$J$2))</f>
        <v>#DIV/0!</v>
      </c>
    </row>
    <row r="244" customFormat="false" ht="14.25" hidden="false" customHeight="false" outlineLevel="0" collapsed="false">
      <c r="H244" s="1" t="n">
        <f aca="false">H243+1</f>
        <v>239</v>
      </c>
      <c r="I244" s="1" t="n">
        <f aca="false">DAY(K244)</f>
        <v>26</v>
      </c>
      <c r="J244" s="1" t="n">
        <f aca="false">MONTH(K244)</f>
        <v>8</v>
      </c>
      <c r="K244" s="23" t="n">
        <f aca="false">K243+1</f>
        <v>36764</v>
      </c>
      <c r="L244" s="24" t="n">
        <f aca="true">IF(TODAY()&lt;DATE($N$5,J244,I244),1000000,-1000000)</f>
        <v>-1000000</v>
      </c>
      <c r="M244" s="1" t="e">
        <f aca="false">IF(K244&gt;0,INDEX(big_daily_table,MATCH(DATE(N$5,$J244,$I244),daily_dates,0),MATCH($B$3,daily_items,0)),NA())</f>
        <v>#N/A</v>
      </c>
      <c r="N244" s="1" t="e">
        <f aca="false">IF(L244&lt;0,INDEX(big_daily_table,MATCH(DATE(N$5,$J244,$I244),daily_dates,0),MATCH($B$3,daily_items,0)),NA())</f>
        <v>#N/A</v>
      </c>
      <c r="O244" s="1" t="e">
        <f aca="false">IF(ISBLANK(INDEX(big_daily_table,MATCH(DATE(O$5,$J244,$I244),daily_dates,0),MATCH($B$3,daily_items,0))),NA(),INDEX(big_daily_table,MATCH(DATE(O$5,$J244,$I244),daily_dates,0),MATCH($B$3,daily_items,0)))</f>
        <v>#N/A</v>
      </c>
      <c r="P244" s="1" t="e">
        <f aca="false">IF(ISBLANK(INDEX(big_daily_table,MATCH(DATE(P$5,$J244,$I244),daily_dates,0),MATCH($B$3,daily_items,0))),NA(),INDEX(big_daily_table,MATCH(DATE(P$5,$J244,$I244),daily_dates,0),MATCH($B$3,daily_items,0)))</f>
        <v>#N/A</v>
      </c>
      <c r="Q244" s="1" t="e">
        <f aca="false">IF(ISBLANK(INDEX(big_daily_table,MATCH(DATE(Q$5,$J244,$I244),daily_dates,0),MATCH($B$3,daily_items,0))),NA(),INDEX(big_daily_table,MATCH(DATE(Q$5,$J244,$I244),daily_dates,0),MATCH($B$3,daily_items,0)))</f>
        <v>#N/A</v>
      </c>
      <c r="R244" s="1" t="e">
        <f aca="false">IF(ISBLANK(INDEX(big_daily_table,MATCH(DATE(R$5,$J244,$I244),daily_dates,0),MATCH($B$3,daily_items,0))),NA(),INDEX(big_daily_table,MATCH(DATE(R$5,$J244,$I244),daily_dates,0),MATCH($B$3,daily_items,0)))</f>
        <v>#N/A</v>
      </c>
      <c r="S244" s="1" t="e">
        <f aca="false">IF(ISBLANK(INDEX(big_daily_table,MATCH(DATE(S$5,$J244,$I244),daily_dates,0),MATCH($B$3,daily_items,0))),NA(),INDEX(big_daily_table,MATCH(DATE(S$5,$J244,$I244),daily_dates,0),MATCH($B$3,daily_items,0)))</f>
        <v>#N/A</v>
      </c>
      <c r="T244" s="1" t="e">
        <f aca="false">IF(ISBLANK(INDEX(big_daily_table,MATCH(DATE(T$5,$J244,$I244),daily_dates,0),MATCH($B$3,daily_items,0))),NA(),INDEX(big_daily_table,MATCH(DATE(T$5,$J244,$I244),daily_dates,0),MATCH($B$3,daily_items,0)))</f>
        <v>#N/A</v>
      </c>
      <c r="U244" s="1" t="e">
        <f aca="false">IF(ISBLANK(INDEX(big_daily_table,MATCH(DATE(U$5,$J244,$I244),daily_dates,0),MATCH($B$3,daily_items,0))),NA(),INDEX(big_daily_table,MATCH(DATE(U$5,$J244,$I244),daily_dates,0),MATCH($B$3,daily_items,0)))</f>
        <v>#N/A</v>
      </c>
      <c r="V244" s="1" t="e">
        <f aca="false">IF(ISBLANK(INDEX(big_daily_table,MATCH(DATE(V$5,$J244,$I244),daily_dates,0),MATCH($B$3,daily_items,0))),NA(),INDEX(big_daily_table,MATCH(DATE(V$5,$J244,$I244),daily_dates,0),MATCH($B$3,daily_items,0)))</f>
        <v>#N/A</v>
      </c>
      <c r="W244" s="1" t="e">
        <f aca="false">IF(ISBLANK(INDEX(big_daily_table,MATCH(DATE(W$5,$J244,$I244),daily_dates,0),MATCH($B$3,daily_items,0))),NA(),INDEX(big_daily_table,MATCH(DATE(W$5,$J244,$I244),daily_dates,0),MATCH($B$3,daily_items,0)))</f>
        <v>#N/A</v>
      </c>
      <c r="X244" s="1" t="e">
        <f aca="false">IF(ISBLANK(INDEX(big_daily_table,MATCH(DATE(X$5,$J244,$I244),daily_dates,0),MATCH($B$3,daily_items,0))),NA(),INDEX(big_daily_table,MATCH(DATE(X$5,$J244,$I244),daily_dates,0),MATCH($B$3,daily_items,0)))</f>
        <v>#N/A</v>
      </c>
      <c r="Y244" s="1" t="e">
        <f aca="false">IF(ISBLANK(INDEX(big_daily_table,MATCH(DATE(Y$5,$J244,$I244),daily_dates,0),MATCH($B$3,daily_items,0))),NA(),INDEX(big_daily_table,MATCH(DATE(Y$5,$J244,$I244),daily_dates,0),MATCH($B$3,daily_items,0)))</f>
        <v>#N/A</v>
      </c>
      <c r="Z244" s="1" t="n">
        <f aca="true">_xlfn.AGGREGATE(5,6,OFFSET($R$5,H244,0,1,$J$2))</f>
        <v>0</v>
      </c>
      <c r="AA244" s="1" t="n">
        <f aca="true">_xlfn.AGGREGATE(4,6,OFFSET($R$5,H244,0,1,$J$2))</f>
        <v>0</v>
      </c>
      <c r="AB244" s="1" t="n">
        <f aca="false">AA244-Z244</f>
        <v>0</v>
      </c>
      <c r="AC244" s="1" t="e">
        <f aca="true">_xlfn.AGGREGATE(1,6,OFFSET($R$5,H244,0,1,$J$2))</f>
        <v>#DIV/0!</v>
      </c>
    </row>
    <row r="245" customFormat="false" ht="14.25" hidden="false" customHeight="false" outlineLevel="0" collapsed="false">
      <c r="H245" s="1" t="n">
        <f aca="false">H244+1</f>
        <v>240</v>
      </c>
      <c r="I245" s="1" t="n">
        <f aca="false">DAY(K245)</f>
        <v>27</v>
      </c>
      <c r="J245" s="1" t="n">
        <f aca="false">MONTH(K245)</f>
        <v>8</v>
      </c>
      <c r="K245" s="23" t="n">
        <f aca="false">K244+1</f>
        <v>36765</v>
      </c>
      <c r="L245" s="24" t="n">
        <f aca="true">IF(TODAY()&lt;DATE($N$5,J245,I245),1000000,-1000000)</f>
        <v>-1000000</v>
      </c>
      <c r="M245" s="1" t="e">
        <f aca="false">IF(K245&gt;0,INDEX(big_daily_table,MATCH(DATE(N$5,$J245,$I245),daily_dates,0),MATCH($B$3,daily_items,0)),NA())</f>
        <v>#N/A</v>
      </c>
      <c r="N245" s="1" t="e">
        <f aca="false">IF(L245&lt;0,INDEX(big_daily_table,MATCH(DATE(N$5,$J245,$I245),daily_dates,0),MATCH($B$3,daily_items,0)),NA())</f>
        <v>#N/A</v>
      </c>
      <c r="O245" s="1" t="e">
        <f aca="false">IF(ISBLANK(INDEX(big_daily_table,MATCH(DATE(O$5,$J245,$I245),daily_dates,0),MATCH($B$3,daily_items,0))),NA(),INDEX(big_daily_table,MATCH(DATE(O$5,$J245,$I245),daily_dates,0),MATCH($B$3,daily_items,0)))</f>
        <v>#N/A</v>
      </c>
      <c r="P245" s="1" t="e">
        <f aca="false">IF(ISBLANK(INDEX(big_daily_table,MATCH(DATE(P$5,$J245,$I245),daily_dates,0),MATCH($B$3,daily_items,0))),NA(),INDEX(big_daily_table,MATCH(DATE(P$5,$J245,$I245),daily_dates,0),MATCH($B$3,daily_items,0)))</f>
        <v>#N/A</v>
      </c>
      <c r="Q245" s="1" t="e">
        <f aca="false">IF(ISBLANK(INDEX(big_daily_table,MATCH(DATE(Q$5,$J245,$I245),daily_dates,0),MATCH($B$3,daily_items,0))),NA(),INDEX(big_daily_table,MATCH(DATE(Q$5,$J245,$I245),daily_dates,0),MATCH($B$3,daily_items,0)))</f>
        <v>#N/A</v>
      </c>
      <c r="R245" s="1" t="e">
        <f aca="false">IF(ISBLANK(INDEX(big_daily_table,MATCH(DATE(R$5,$J245,$I245),daily_dates,0),MATCH($B$3,daily_items,0))),NA(),INDEX(big_daily_table,MATCH(DATE(R$5,$J245,$I245),daily_dates,0),MATCH($B$3,daily_items,0)))</f>
        <v>#N/A</v>
      </c>
      <c r="S245" s="1" t="e">
        <f aca="false">IF(ISBLANK(INDEX(big_daily_table,MATCH(DATE(S$5,$J245,$I245),daily_dates,0),MATCH($B$3,daily_items,0))),NA(),INDEX(big_daily_table,MATCH(DATE(S$5,$J245,$I245),daily_dates,0),MATCH($B$3,daily_items,0)))</f>
        <v>#N/A</v>
      </c>
      <c r="T245" s="1" t="e">
        <f aca="false">IF(ISBLANK(INDEX(big_daily_table,MATCH(DATE(T$5,$J245,$I245),daily_dates,0),MATCH($B$3,daily_items,0))),NA(),INDEX(big_daily_table,MATCH(DATE(T$5,$J245,$I245),daily_dates,0),MATCH($B$3,daily_items,0)))</f>
        <v>#N/A</v>
      </c>
      <c r="U245" s="1" t="e">
        <f aca="false">IF(ISBLANK(INDEX(big_daily_table,MATCH(DATE(U$5,$J245,$I245),daily_dates,0),MATCH($B$3,daily_items,0))),NA(),INDEX(big_daily_table,MATCH(DATE(U$5,$J245,$I245),daily_dates,0),MATCH($B$3,daily_items,0)))</f>
        <v>#N/A</v>
      </c>
      <c r="V245" s="1" t="e">
        <f aca="false">IF(ISBLANK(INDEX(big_daily_table,MATCH(DATE(V$5,$J245,$I245),daily_dates,0),MATCH($B$3,daily_items,0))),NA(),INDEX(big_daily_table,MATCH(DATE(V$5,$J245,$I245),daily_dates,0),MATCH($B$3,daily_items,0)))</f>
        <v>#N/A</v>
      </c>
      <c r="W245" s="1" t="e">
        <f aca="false">IF(ISBLANK(INDEX(big_daily_table,MATCH(DATE(W$5,$J245,$I245),daily_dates,0),MATCH($B$3,daily_items,0))),NA(),INDEX(big_daily_table,MATCH(DATE(W$5,$J245,$I245),daily_dates,0),MATCH($B$3,daily_items,0)))</f>
        <v>#N/A</v>
      </c>
      <c r="X245" s="1" t="e">
        <f aca="false">IF(ISBLANK(INDEX(big_daily_table,MATCH(DATE(X$5,$J245,$I245),daily_dates,0),MATCH($B$3,daily_items,0))),NA(),INDEX(big_daily_table,MATCH(DATE(X$5,$J245,$I245),daily_dates,0),MATCH($B$3,daily_items,0)))</f>
        <v>#N/A</v>
      </c>
      <c r="Y245" s="1" t="e">
        <f aca="false">IF(ISBLANK(INDEX(big_daily_table,MATCH(DATE(Y$5,$J245,$I245),daily_dates,0),MATCH($B$3,daily_items,0))),NA(),INDEX(big_daily_table,MATCH(DATE(Y$5,$J245,$I245),daily_dates,0),MATCH($B$3,daily_items,0)))</f>
        <v>#N/A</v>
      </c>
      <c r="Z245" s="1" t="n">
        <f aca="true">_xlfn.AGGREGATE(5,6,OFFSET($R$5,H245,0,1,$J$2))</f>
        <v>0</v>
      </c>
      <c r="AA245" s="1" t="n">
        <f aca="true">_xlfn.AGGREGATE(4,6,OFFSET($R$5,H245,0,1,$J$2))</f>
        <v>0</v>
      </c>
      <c r="AB245" s="1" t="n">
        <f aca="false">AA245-Z245</f>
        <v>0</v>
      </c>
      <c r="AC245" s="1" t="e">
        <f aca="true">_xlfn.AGGREGATE(1,6,OFFSET($R$5,H245,0,1,$J$2))</f>
        <v>#DIV/0!</v>
      </c>
    </row>
    <row r="246" customFormat="false" ht="14.25" hidden="false" customHeight="false" outlineLevel="0" collapsed="false">
      <c r="H246" s="1" t="n">
        <f aca="false">H245+1</f>
        <v>241</v>
      </c>
      <c r="I246" s="1" t="n">
        <f aca="false">DAY(K246)</f>
        <v>28</v>
      </c>
      <c r="J246" s="1" t="n">
        <f aca="false">MONTH(K246)</f>
        <v>8</v>
      </c>
      <c r="K246" s="23" t="n">
        <f aca="false">K245+1</f>
        <v>36766</v>
      </c>
      <c r="L246" s="24" t="n">
        <f aca="true">IF(TODAY()&lt;DATE($N$5,J246,I246),1000000,-1000000)</f>
        <v>-1000000</v>
      </c>
      <c r="M246" s="1" t="e">
        <f aca="false">IF(K246&gt;0,INDEX(big_daily_table,MATCH(DATE(N$5,$J246,$I246),daily_dates,0),MATCH($B$3,daily_items,0)),NA())</f>
        <v>#N/A</v>
      </c>
      <c r="N246" s="1" t="e">
        <f aca="false">IF(L246&lt;0,INDEX(big_daily_table,MATCH(DATE(N$5,$J246,$I246),daily_dates,0),MATCH($B$3,daily_items,0)),NA())</f>
        <v>#N/A</v>
      </c>
      <c r="O246" s="1" t="e">
        <f aca="false">IF(ISBLANK(INDEX(big_daily_table,MATCH(DATE(O$5,$J246,$I246),daily_dates,0),MATCH($B$3,daily_items,0))),NA(),INDEX(big_daily_table,MATCH(DATE(O$5,$J246,$I246),daily_dates,0),MATCH($B$3,daily_items,0)))</f>
        <v>#N/A</v>
      </c>
      <c r="P246" s="1" t="e">
        <f aca="false">IF(ISBLANK(INDEX(big_daily_table,MATCH(DATE(P$5,$J246,$I246),daily_dates,0),MATCH($B$3,daily_items,0))),NA(),INDEX(big_daily_table,MATCH(DATE(P$5,$J246,$I246),daily_dates,0),MATCH($B$3,daily_items,0)))</f>
        <v>#N/A</v>
      </c>
      <c r="Q246" s="1" t="e">
        <f aca="false">IF(ISBLANK(INDEX(big_daily_table,MATCH(DATE(Q$5,$J246,$I246),daily_dates,0),MATCH($B$3,daily_items,0))),NA(),INDEX(big_daily_table,MATCH(DATE(Q$5,$J246,$I246),daily_dates,0),MATCH($B$3,daily_items,0)))</f>
        <v>#N/A</v>
      </c>
      <c r="R246" s="1" t="e">
        <f aca="false">IF(ISBLANK(INDEX(big_daily_table,MATCH(DATE(R$5,$J246,$I246),daily_dates,0),MATCH($B$3,daily_items,0))),NA(),INDEX(big_daily_table,MATCH(DATE(R$5,$J246,$I246),daily_dates,0),MATCH($B$3,daily_items,0)))</f>
        <v>#N/A</v>
      </c>
      <c r="S246" s="1" t="e">
        <f aca="false">IF(ISBLANK(INDEX(big_daily_table,MATCH(DATE(S$5,$J246,$I246),daily_dates,0),MATCH($B$3,daily_items,0))),NA(),INDEX(big_daily_table,MATCH(DATE(S$5,$J246,$I246),daily_dates,0),MATCH($B$3,daily_items,0)))</f>
        <v>#N/A</v>
      </c>
      <c r="T246" s="1" t="e">
        <f aca="false">IF(ISBLANK(INDEX(big_daily_table,MATCH(DATE(T$5,$J246,$I246),daily_dates,0),MATCH($B$3,daily_items,0))),NA(),INDEX(big_daily_table,MATCH(DATE(T$5,$J246,$I246),daily_dates,0),MATCH($B$3,daily_items,0)))</f>
        <v>#N/A</v>
      </c>
      <c r="U246" s="1" t="e">
        <f aca="false">IF(ISBLANK(INDEX(big_daily_table,MATCH(DATE(U$5,$J246,$I246),daily_dates,0),MATCH($B$3,daily_items,0))),NA(),INDEX(big_daily_table,MATCH(DATE(U$5,$J246,$I246),daily_dates,0),MATCH($B$3,daily_items,0)))</f>
        <v>#N/A</v>
      </c>
      <c r="V246" s="1" t="e">
        <f aca="false">IF(ISBLANK(INDEX(big_daily_table,MATCH(DATE(V$5,$J246,$I246),daily_dates,0),MATCH($B$3,daily_items,0))),NA(),INDEX(big_daily_table,MATCH(DATE(V$5,$J246,$I246),daily_dates,0),MATCH($B$3,daily_items,0)))</f>
        <v>#N/A</v>
      </c>
      <c r="W246" s="1" t="e">
        <f aca="false">IF(ISBLANK(INDEX(big_daily_table,MATCH(DATE(W$5,$J246,$I246),daily_dates,0),MATCH($B$3,daily_items,0))),NA(),INDEX(big_daily_table,MATCH(DATE(W$5,$J246,$I246),daily_dates,0),MATCH($B$3,daily_items,0)))</f>
        <v>#N/A</v>
      </c>
      <c r="X246" s="1" t="e">
        <f aca="false">IF(ISBLANK(INDEX(big_daily_table,MATCH(DATE(X$5,$J246,$I246),daily_dates,0),MATCH($B$3,daily_items,0))),NA(),INDEX(big_daily_table,MATCH(DATE(X$5,$J246,$I246),daily_dates,0),MATCH($B$3,daily_items,0)))</f>
        <v>#N/A</v>
      </c>
      <c r="Y246" s="1" t="e">
        <f aca="false">IF(ISBLANK(INDEX(big_daily_table,MATCH(DATE(Y$5,$J246,$I246),daily_dates,0),MATCH($B$3,daily_items,0))),NA(),INDEX(big_daily_table,MATCH(DATE(Y$5,$J246,$I246),daily_dates,0),MATCH($B$3,daily_items,0)))</f>
        <v>#N/A</v>
      </c>
      <c r="Z246" s="1" t="n">
        <f aca="true">_xlfn.AGGREGATE(5,6,OFFSET($R$5,H246,0,1,$J$2))</f>
        <v>0</v>
      </c>
      <c r="AA246" s="1" t="n">
        <f aca="true">_xlfn.AGGREGATE(4,6,OFFSET($R$5,H246,0,1,$J$2))</f>
        <v>0</v>
      </c>
      <c r="AB246" s="1" t="n">
        <f aca="false">AA246-Z246</f>
        <v>0</v>
      </c>
      <c r="AC246" s="1" t="e">
        <f aca="true">_xlfn.AGGREGATE(1,6,OFFSET($R$5,H246,0,1,$J$2))</f>
        <v>#DIV/0!</v>
      </c>
    </row>
    <row r="247" customFormat="false" ht="14.25" hidden="false" customHeight="false" outlineLevel="0" collapsed="false">
      <c r="H247" s="1" t="n">
        <f aca="false">H246+1</f>
        <v>242</v>
      </c>
      <c r="I247" s="1" t="n">
        <f aca="false">DAY(K247)</f>
        <v>29</v>
      </c>
      <c r="J247" s="1" t="n">
        <f aca="false">MONTH(K247)</f>
        <v>8</v>
      </c>
      <c r="K247" s="23" t="n">
        <f aca="false">K246+1</f>
        <v>36767</v>
      </c>
      <c r="L247" s="24" t="n">
        <f aca="true">IF(TODAY()&lt;DATE($N$5,J247,I247),1000000,-1000000)</f>
        <v>-1000000</v>
      </c>
      <c r="M247" s="1" t="e">
        <f aca="false">IF(K247&gt;0,INDEX(big_daily_table,MATCH(DATE(N$5,$J247,$I247),daily_dates,0),MATCH($B$3,daily_items,0)),NA())</f>
        <v>#N/A</v>
      </c>
      <c r="N247" s="1" t="e">
        <f aca="false">IF(L247&lt;0,INDEX(big_daily_table,MATCH(DATE(N$5,$J247,$I247),daily_dates,0),MATCH($B$3,daily_items,0)),NA())</f>
        <v>#N/A</v>
      </c>
      <c r="O247" s="1" t="e">
        <f aca="false">IF(ISBLANK(INDEX(big_daily_table,MATCH(DATE(O$5,$J247,$I247),daily_dates,0),MATCH($B$3,daily_items,0))),NA(),INDEX(big_daily_table,MATCH(DATE(O$5,$J247,$I247),daily_dates,0),MATCH($B$3,daily_items,0)))</f>
        <v>#N/A</v>
      </c>
      <c r="P247" s="1" t="e">
        <f aca="false">IF(ISBLANK(INDEX(big_daily_table,MATCH(DATE(P$5,$J247,$I247),daily_dates,0),MATCH($B$3,daily_items,0))),NA(),INDEX(big_daily_table,MATCH(DATE(P$5,$J247,$I247),daily_dates,0),MATCH($B$3,daily_items,0)))</f>
        <v>#N/A</v>
      </c>
      <c r="Q247" s="1" t="e">
        <f aca="false">IF(ISBLANK(INDEX(big_daily_table,MATCH(DATE(Q$5,$J247,$I247),daily_dates,0),MATCH($B$3,daily_items,0))),NA(),INDEX(big_daily_table,MATCH(DATE(Q$5,$J247,$I247),daily_dates,0),MATCH($B$3,daily_items,0)))</f>
        <v>#N/A</v>
      </c>
      <c r="R247" s="1" t="e">
        <f aca="false">IF(ISBLANK(INDEX(big_daily_table,MATCH(DATE(R$5,$J247,$I247),daily_dates,0),MATCH($B$3,daily_items,0))),NA(),INDEX(big_daily_table,MATCH(DATE(R$5,$J247,$I247),daily_dates,0),MATCH($B$3,daily_items,0)))</f>
        <v>#N/A</v>
      </c>
      <c r="S247" s="1" t="e">
        <f aca="false">IF(ISBLANK(INDEX(big_daily_table,MATCH(DATE(S$5,$J247,$I247),daily_dates,0),MATCH($B$3,daily_items,0))),NA(),INDEX(big_daily_table,MATCH(DATE(S$5,$J247,$I247),daily_dates,0),MATCH($B$3,daily_items,0)))</f>
        <v>#N/A</v>
      </c>
      <c r="T247" s="1" t="e">
        <f aca="false">IF(ISBLANK(INDEX(big_daily_table,MATCH(DATE(T$5,$J247,$I247),daily_dates,0),MATCH($B$3,daily_items,0))),NA(),INDEX(big_daily_table,MATCH(DATE(T$5,$J247,$I247),daily_dates,0),MATCH($B$3,daily_items,0)))</f>
        <v>#N/A</v>
      </c>
      <c r="U247" s="1" t="e">
        <f aca="false">IF(ISBLANK(INDEX(big_daily_table,MATCH(DATE(U$5,$J247,$I247),daily_dates,0),MATCH($B$3,daily_items,0))),NA(),INDEX(big_daily_table,MATCH(DATE(U$5,$J247,$I247),daily_dates,0),MATCH($B$3,daily_items,0)))</f>
        <v>#N/A</v>
      </c>
      <c r="V247" s="1" t="e">
        <f aca="false">IF(ISBLANK(INDEX(big_daily_table,MATCH(DATE(V$5,$J247,$I247),daily_dates,0),MATCH($B$3,daily_items,0))),NA(),INDEX(big_daily_table,MATCH(DATE(V$5,$J247,$I247),daily_dates,0),MATCH($B$3,daily_items,0)))</f>
        <v>#N/A</v>
      </c>
      <c r="W247" s="1" t="e">
        <f aca="false">IF(ISBLANK(INDEX(big_daily_table,MATCH(DATE(W$5,$J247,$I247),daily_dates,0),MATCH($B$3,daily_items,0))),NA(),INDEX(big_daily_table,MATCH(DATE(W$5,$J247,$I247),daily_dates,0),MATCH($B$3,daily_items,0)))</f>
        <v>#N/A</v>
      </c>
      <c r="X247" s="1" t="e">
        <f aca="false">IF(ISBLANK(INDEX(big_daily_table,MATCH(DATE(X$5,$J247,$I247),daily_dates,0),MATCH($B$3,daily_items,0))),NA(),INDEX(big_daily_table,MATCH(DATE(X$5,$J247,$I247),daily_dates,0),MATCH($B$3,daily_items,0)))</f>
        <v>#N/A</v>
      </c>
      <c r="Y247" s="1" t="e">
        <f aca="false">IF(ISBLANK(INDEX(big_daily_table,MATCH(DATE(Y$5,$J247,$I247),daily_dates,0),MATCH($B$3,daily_items,0))),NA(),INDEX(big_daily_table,MATCH(DATE(Y$5,$J247,$I247),daily_dates,0),MATCH($B$3,daily_items,0)))</f>
        <v>#N/A</v>
      </c>
      <c r="Z247" s="1" t="n">
        <f aca="true">_xlfn.AGGREGATE(5,6,OFFSET($R$5,H247,0,1,$J$2))</f>
        <v>0</v>
      </c>
      <c r="AA247" s="1" t="n">
        <f aca="true">_xlfn.AGGREGATE(4,6,OFFSET($R$5,H247,0,1,$J$2))</f>
        <v>0</v>
      </c>
      <c r="AB247" s="1" t="n">
        <f aca="false">AA247-Z247</f>
        <v>0</v>
      </c>
      <c r="AC247" s="1" t="e">
        <f aca="true">_xlfn.AGGREGATE(1,6,OFFSET($R$5,H247,0,1,$J$2))</f>
        <v>#DIV/0!</v>
      </c>
    </row>
    <row r="248" customFormat="false" ht="14.25" hidden="false" customHeight="false" outlineLevel="0" collapsed="false">
      <c r="H248" s="1" t="n">
        <f aca="false">H247+1</f>
        <v>243</v>
      </c>
      <c r="I248" s="1" t="n">
        <f aca="false">DAY(K248)</f>
        <v>30</v>
      </c>
      <c r="J248" s="1" t="n">
        <f aca="false">MONTH(K248)</f>
        <v>8</v>
      </c>
      <c r="K248" s="23" t="n">
        <f aca="false">K247+1</f>
        <v>36768</v>
      </c>
      <c r="L248" s="24" t="n">
        <f aca="true">IF(TODAY()&lt;DATE($N$5,J248,I248),1000000,-1000000)</f>
        <v>-1000000</v>
      </c>
      <c r="M248" s="1" t="e">
        <f aca="false">IF(K248&gt;0,INDEX(big_daily_table,MATCH(DATE(N$5,$J248,$I248),daily_dates,0),MATCH($B$3,daily_items,0)),NA())</f>
        <v>#N/A</v>
      </c>
      <c r="N248" s="1" t="e">
        <f aca="false">IF(L248&lt;0,INDEX(big_daily_table,MATCH(DATE(N$5,$J248,$I248),daily_dates,0),MATCH($B$3,daily_items,0)),NA())</f>
        <v>#N/A</v>
      </c>
      <c r="O248" s="1" t="e">
        <f aca="false">IF(ISBLANK(INDEX(big_daily_table,MATCH(DATE(O$5,$J248,$I248),daily_dates,0),MATCH($B$3,daily_items,0))),NA(),INDEX(big_daily_table,MATCH(DATE(O$5,$J248,$I248),daily_dates,0),MATCH($B$3,daily_items,0)))</f>
        <v>#N/A</v>
      </c>
      <c r="P248" s="1" t="e">
        <f aca="false">IF(ISBLANK(INDEX(big_daily_table,MATCH(DATE(P$5,$J248,$I248),daily_dates,0),MATCH($B$3,daily_items,0))),NA(),INDEX(big_daily_table,MATCH(DATE(P$5,$J248,$I248),daily_dates,0),MATCH($B$3,daily_items,0)))</f>
        <v>#N/A</v>
      </c>
      <c r="Q248" s="1" t="e">
        <f aca="false">IF(ISBLANK(INDEX(big_daily_table,MATCH(DATE(Q$5,$J248,$I248),daily_dates,0),MATCH($B$3,daily_items,0))),NA(),INDEX(big_daily_table,MATCH(DATE(Q$5,$J248,$I248),daily_dates,0),MATCH($B$3,daily_items,0)))</f>
        <v>#N/A</v>
      </c>
      <c r="R248" s="1" t="e">
        <f aca="false">IF(ISBLANK(INDEX(big_daily_table,MATCH(DATE(R$5,$J248,$I248),daily_dates,0),MATCH($B$3,daily_items,0))),NA(),INDEX(big_daily_table,MATCH(DATE(R$5,$J248,$I248),daily_dates,0),MATCH($B$3,daily_items,0)))</f>
        <v>#N/A</v>
      </c>
      <c r="S248" s="1" t="e">
        <f aca="false">IF(ISBLANK(INDEX(big_daily_table,MATCH(DATE(S$5,$J248,$I248),daily_dates,0),MATCH($B$3,daily_items,0))),NA(),INDEX(big_daily_table,MATCH(DATE(S$5,$J248,$I248),daily_dates,0),MATCH($B$3,daily_items,0)))</f>
        <v>#N/A</v>
      </c>
      <c r="T248" s="1" t="e">
        <f aca="false">IF(ISBLANK(INDEX(big_daily_table,MATCH(DATE(T$5,$J248,$I248),daily_dates,0),MATCH($B$3,daily_items,0))),NA(),INDEX(big_daily_table,MATCH(DATE(T$5,$J248,$I248),daily_dates,0),MATCH($B$3,daily_items,0)))</f>
        <v>#N/A</v>
      </c>
      <c r="U248" s="1" t="e">
        <f aca="false">IF(ISBLANK(INDEX(big_daily_table,MATCH(DATE(U$5,$J248,$I248),daily_dates,0),MATCH($B$3,daily_items,0))),NA(),INDEX(big_daily_table,MATCH(DATE(U$5,$J248,$I248),daily_dates,0),MATCH($B$3,daily_items,0)))</f>
        <v>#N/A</v>
      </c>
      <c r="V248" s="1" t="e">
        <f aca="false">IF(ISBLANK(INDEX(big_daily_table,MATCH(DATE(V$5,$J248,$I248),daily_dates,0),MATCH($B$3,daily_items,0))),NA(),INDEX(big_daily_table,MATCH(DATE(V$5,$J248,$I248),daily_dates,0),MATCH($B$3,daily_items,0)))</f>
        <v>#N/A</v>
      </c>
      <c r="W248" s="1" t="e">
        <f aca="false">IF(ISBLANK(INDEX(big_daily_table,MATCH(DATE(W$5,$J248,$I248),daily_dates,0),MATCH($B$3,daily_items,0))),NA(),INDEX(big_daily_table,MATCH(DATE(W$5,$J248,$I248),daily_dates,0),MATCH($B$3,daily_items,0)))</f>
        <v>#N/A</v>
      </c>
      <c r="X248" s="1" t="e">
        <f aca="false">IF(ISBLANK(INDEX(big_daily_table,MATCH(DATE(X$5,$J248,$I248),daily_dates,0),MATCH($B$3,daily_items,0))),NA(),INDEX(big_daily_table,MATCH(DATE(X$5,$J248,$I248),daily_dates,0),MATCH($B$3,daily_items,0)))</f>
        <v>#N/A</v>
      </c>
      <c r="Y248" s="1" t="e">
        <f aca="false">IF(ISBLANK(INDEX(big_daily_table,MATCH(DATE(Y$5,$J248,$I248),daily_dates,0),MATCH($B$3,daily_items,0))),NA(),INDEX(big_daily_table,MATCH(DATE(Y$5,$J248,$I248),daily_dates,0),MATCH($B$3,daily_items,0)))</f>
        <v>#N/A</v>
      </c>
      <c r="Z248" s="1" t="n">
        <f aca="true">_xlfn.AGGREGATE(5,6,OFFSET($R$5,H248,0,1,$J$2))</f>
        <v>0</v>
      </c>
      <c r="AA248" s="1" t="n">
        <f aca="true">_xlfn.AGGREGATE(4,6,OFFSET($R$5,H248,0,1,$J$2))</f>
        <v>0</v>
      </c>
      <c r="AB248" s="1" t="n">
        <f aca="false">AA248-Z248</f>
        <v>0</v>
      </c>
      <c r="AC248" s="1" t="e">
        <f aca="true">_xlfn.AGGREGATE(1,6,OFFSET($R$5,H248,0,1,$J$2))</f>
        <v>#DIV/0!</v>
      </c>
    </row>
    <row r="249" customFormat="false" ht="14.25" hidden="false" customHeight="false" outlineLevel="0" collapsed="false">
      <c r="H249" s="1" t="n">
        <f aca="false">H248+1</f>
        <v>244</v>
      </c>
      <c r="I249" s="1" t="n">
        <f aca="false">DAY(K249)</f>
        <v>31</v>
      </c>
      <c r="J249" s="1" t="n">
        <f aca="false">MONTH(K249)</f>
        <v>8</v>
      </c>
      <c r="K249" s="23" t="n">
        <f aca="false">K248+1</f>
        <v>36769</v>
      </c>
      <c r="L249" s="24" t="n">
        <f aca="true">IF(TODAY()&lt;DATE($N$5,J249,I249),1000000,-1000000)</f>
        <v>-1000000</v>
      </c>
      <c r="M249" s="1" t="e">
        <f aca="false">IF(K249&gt;0,INDEX(big_daily_table,MATCH(DATE(N$5,$J249,$I249),daily_dates,0),MATCH($B$3,daily_items,0)),NA())</f>
        <v>#N/A</v>
      </c>
      <c r="N249" s="1" t="e">
        <f aca="false">IF(L249&lt;0,INDEX(big_daily_table,MATCH(DATE(N$5,$J249,$I249),daily_dates,0),MATCH($B$3,daily_items,0)),NA())</f>
        <v>#N/A</v>
      </c>
      <c r="O249" s="1" t="e">
        <f aca="false">IF(ISBLANK(INDEX(big_daily_table,MATCH(DATE(O$5,$J249,$I249),daily_dates,0),MATCH($B$3,daily_items,0))),NA(),INDEX(big_daily_table,MATCH(DATE(O$5,$J249,$I249),daily_dates,0),MATCH($B$3,daily_items,0)))</f>
        <v>#N/A</v>
      </c>
      <c r="P249" s="1" t="e">
        <f aca="false">IF(ISBLANK(INDEX(big_daily_table,MATCH(DATE(P$5,$J249,$I249),daily_dates,0),MATCH($B$3,daily_items,0))),NA(),INDEX(big_daily_table,MATCH(DATE(P$5,$J249,$I249),daily_dates,0),MATCH($B$3,daily_items,0)))</f>
        <v>#N/A</v>
      </c>
      <c r="Q249" s="1" t="e">
        <f aca="false">IF(ISBLANK(INDEX(big_daily_table,MATCH(DATE(Q$5,$J249,$I249),daily_dates,0),MATCH($B$3,daily_items,0))),NA(),INDEX(big_daily_table,MATCH(DATE(Q$5,$J249,$I249),daily_dates,0),MATCH($B$3,daily_items,0)))</f>
        <v>#N/A</v>
      </c>
      <c r="R249" s="1" t="e">
        <f aca="false">IF(ISBLANK(INDEX(big_daily_table,MATCH(DATE(R$5,$J249,$I249),daily_dates,0),MATCH($B$3,daily_items,0))),NA(),INDEX(big_daily_table,MATCH(DATE(R$5,$J249,$I249),daily_dates,0),MATCH($B$3,daily_items,0)))</f>
        <v>#N/A</v>
      </c>
      <c r="S249" s="1" t="e">
        <f aca="false">IF(ISBLANK(INDEX(big_daily_table,MATCH(DATE(S$5,$J249,$I249),daily_dates,0),MATCH($B$3,daily_items,0))),NA(),INDEX(big_daily_table,MATCH(DATE(S$5,$J249,$I249),daily_dates,0),MATCH($B$3,daily_items,0)))</f>
        <v>#N/A</v>
      </c>
      <c r="T249" s="1" t="e">
        <f aca="false">IF(ISBLANK(INDEX(big_daily_table,MATCH(DATE(T$5,$J249,$I249),daily_dates,0),MATCH($B$3,daily_items,0))),NA(),INDEX(big_daily_table,MATCH(DATE(T$5,$J249,$I249),daily_dates,0),MATCH($B$3,daily_items,0)))</f>
        <v>#N/A</v>
      </c>
      <c r="U249" s="1" t="e">
        <f aca="false">IF(ISBLANK(INDEX(big_daily_table,MATCH(DATE(U$5,$J249,$I249),daily_dates,0),MATCH($B$3,daily_items,0))),NA(),INDEX(big_daily_table,MATCH(DATE(U$5,$J249,$I249),daily_dates,0),MATCH($B$3,daily_items,0)))</f>
        <v>#N/A</v>
      </c>
      <c r="V249" s="1" t="e">
        <f aca="false">IF(ISBLANK(INDEX(big_daily_table,MATCH(DATE(V$5,$J249,$I249),daily_dates,0),MATCH($B$3,daily_items,0))),NA(),INDEX(big_daily_table,MATCH(DATE(V$5,$J249,$I249),daily_dates,0),MATCH($B$3,daily_items,0)))</f>
        <v>#N/A</v>
      </c>
      <c r="W249" s="1" t="e">
        <f aca="false">IF(ISBLANK(INDEX(big_daily_table,MATCH(DATE(W$5,$J249,$I249),daily_dates,0),MATCH($B$3,daily_items,0))),NA(),INDEX(big_daily_table,MATCH(DATE(W$5,$J249,$I249),daily_dates,0),MATCH($B$3,daily_items,0)))</f>
        <v>#N/A</v>
      </c>
      <c r="X249" s="1" t="e">
        <f aca="false">IF(ISBLANK(INDEX(big_daily_table,MATCH(DATE(X$5,$J249,$I249),daily_dates,0),MATCH($B$3,daily_items,0))),NA(),INDEX(big_daily_table,MATCH(DATE(X$5,$J249,$I249),daily_dates,0),MATCH($B$3,daily_items,0)))</f>
        <v>#N/A</v>
      </c>
      <c r="Y249" s="1" t="e">
        <f aca="false">IF(ISBLANK(INDEX(big_daily_table,MATCH(DATE(Y$5,$J249,$I249),daily_dates,0),MATCH($B$3,daily_items,0))),NA(),INDEX(big_daily_table,MATCH(DATE(Y$5,$J249,$I249),daily_dates,0),MATCH($B$3,daily_items,0)))</f>
        <v>#N/A</v>
      </c>
      <c r="Z249" s="1" t="n">
        <f aca="true">_xlfn.AGGREGATE(5,6,OFFSET($R$5,H249,0,1,$J$2))</f>
        <v>0</v>
      </c>
      <c r="AA249" s="1" t="n">
        <f aca="true">_xlfn.AGGREGATE(4,6,OFFSET($R$5,H249,0,1,$J$2))</f>
        <v>0</v>
      </c>
      <c r="AB249" s="1" t="n">
        <f aca="false">AA249-Z249</f>
        <v>0</v>
      </c>
      <c r="AC249" s="1" t="e">
        <f aca="true">_xlfn.AGGREGATE(1,6,OFFSET($R$5,H249,0,1,$J$2))</f>
        <v>#DIV/0!</v>
      </c>
    </row>
    <row r="250" customFormat="false" ht="14.25" hidden="false" customHeight="false" outlineLevel="0" collapsed="false">
      <c r="H250" s="1" t="n">
        <f aca="false">H249+1</f>
        <v>245</v>
      </c>
      <c r="I250" s="1" t="n">
        <f aca="false">DAY(K250)</f>
        <v>1</v>
      </c>
      <c r="J250" s="1" t="n">
        <f aca="false">MONTH(K250)</f>
        <v>9</v>
      </c>
      <c r="K250" s="23" t="n">
        <f aca="false">K249+1</f>
        <v>36770</v>
      </c>
      <c r="L250" s="24" t="n">
        <f aca="true">IF(TODAY()&lt;DATE($N$5,J250,I250),1000000,-1000000)</f>
        <v>-1000000</v>
      </c>
      <c r="M250" s="1" t="e">
        <f aca="false">IF(K250&gt;0,INDEX(big_daily_table,MATCH(DATE(N$5,$J250,$I250),daily_dates,0),MATCH($B$3,daily_items,0)),NA())</f>
        <v>#N/A</v>
      </c>
      <c r="N250" s="1" t="e">
        <f aca="false">IF(L250&lt;0,INDEX(big_daily_table,MATCH(DATE(N$5,$J250,$I250),daily_dates,0),MATCH($B$3,daily_items,0)),NA())</f>
        <v>#N/A</v>
      </c>
      <c r="O250" s="1" t="e">
        <f aca="false">IF(ISBLANK(INDEX(big_daily_table,MATCH(DATE(O$5,$J250,$I250),daily_dates,0),MATCH($B$3,daily_items,0))),NA(),INDEX(big_daily_table,MATCH(DATE(O$5,$J250,$I250),daily_dates,0),MATCH($B$3,daily_items,0)))</f>
        <v>#N/A</v>
      </c>
      <c r="P250" s="1" t="e">
        <f aca="false">IF(ISBLANK(INDEX(big_daily_table,MATCH(DATE(P$5,$J250,$I250),daily_dates,0),MATCH($B$3,daily_items,0))),NA(),INDEX(big_daily_table,MATCH(DATE(P$5,$J250,$I250),daily_dates,0),MATCH($B$3,daily_items,0)))</f>
        <v>#N/A</v>
      </c>
      <c r="Q250" s="1" t="e">
        <f aca="false">IF(ISBLANK(INDEX(big_daily_table,MATCH(DATE(Q$5,$J250,$I250),daily_dates,0),MATCH($B$3,daily_items,0))),NA(),INDEX(big_daily_table,MATCH(DATE(Q$5,$J250,$I250),daily_dates,0),MATCH($B$3,daily_items,0)))</f>
        <v>#N/A</v>
      </c>
      <c r="R250" s="1" t="e">
        <f aca="false">IF(ISBLANK(INDEX(big_daily_table,MATCH(DATE(R$5,$J250,$I250),daily_dates,0),MATCH($B$3,daily_items,0))),NA(),INDEX(big_daily_table,MATCH(DATE(R$5,$J250,$I250),daily_dates,0),MATCH($B$3,daily_items,0)))</f>
        <v>#N/A</v>
      </c>
      <c r="S250" s="1" t="e">
        <f aca="false">IF(ISBLANK(INDEX(big_daily_table,MATCH(DATE(S$5,$J250,$I250),daily_dates,0),MATCH($B$3,daily_items,0))),NA(),INDEX(big_daily_table,MATCH(DATE(S$5,$J250,$I250),daily_dates,0),MATCH($B$3,daily_items,0)))</f>
        <v>#N/A</v>
      </c>
      <c r="T250" s="1" t="e">
        <f aca="false">IF(ISBLANK(INDEX(big_daily_table,MATCH(DATE(T$5,$J250,$I250),daily_dates,0),MATCH($B$3,daily_items,0))),NA(),INDEX(big_daily_table,MATCH(DATE(T$5,$J250,$I250),daily_dates,0),MATCH($B$3,daily_items,0)))</f>
        <v>#N/A</v>
      </c>
      <c r="U250" s="1" t="e">
        <f aca="false">IF(ISBLANK(INDEX(big_daily_table,MATCH(DATE(U$5,$J250,$I250),daily_dates,0),MATCH($B$3,daily_items,0))),NA(),INDEX(big_daily_table,MATCH(DATE(U$5,$J250,$I250),daily_dates,0),MATCH($B$3,daily_items,0)))</f>
        <v>#N/A</v>
      </c>
      <c r="V250" s="1" t="e">
        <f aca="false">IF(ISBLANK(INDEX(big_daily_table,MATCH(DATE(V$5,$J250,$I250),daily_dates,0),MATCH($B$3,daily_items,0))),NA(),INDEX(big_daily_table,MATCH(DATE(V$5,$J250,$I250),daily_dates,0),MATCH($B$3,daily_items,0)))</f>
        <v>#N/A</v>
      </c>
      <c r="W250" s="1" t="e">
        <f aca="false">IF(ISBLANK(INDEX(big_daily_table,MATCH(DATE(W$5,$J250,$I250),daily_dates,0),MATCH($B$3,daily_items,0))),NA(),INDEX(big_daily_table,MATCH(DATE(W$5,$J250,$I250),daily_dates,0),MATCH($B$3,daily_items,0)))</f>
        <v>#N/A</v>
      </c>
      <c r="X250" s="1" t="e">
        <f aca="false">IF(ISBLANK(INDEX(big_daily_table,MATCH(DATE(X$5,$J250,$I250),daily_dates,0),MATCH($B$3,daily_items,0))),NA(),INDEX(big_daily_table,MATCH(DATE(X$5,$J250,$I250),daily_dates,0),MATCH($B$3,daily_items,0)))</f>
        <v>#N/A</v>
      </c>
      <c r="Y250" s="1" t="e">
        <f aca="false">IF(ISBLANK(INDEX(big_daily_table,MATCH(DATE(Y$5,$J250,$I250),daily_dates,0),MATCH($B$3,daily_items,0))),NA(),INDEX(big_daily_table,MATCH(DATE(Y$5,$J250,$I250),daily_dates,0),MATCH($B$3,daily_items,0)))</f>
        <v>#N/A</v>
      </c>
      <c r="Z250" s="1" t="n">
        <f aca="true">_xlfn.AGGREGATE(5,6,OFFSET($R$5,H250,0,1,$J$2))</f>
        <v>0</v>
      </c>
      <c r="AA250" s="1" t="n">
        <f aca="true">_xlfn.AGGREGATE(4,6,OFFSET($R$5,H250,0,1,$J$2))</f>
        <v>0</v>
      </c>
      <c r="AB250" s="1" t="n">
        <f aca="false">AA250-Z250</f>
        <v>0</v>
      </c>
      <c r="AC250" s="1" t="e">
        <f aca="true">_xlfn.AGGREGATE(1,6,OFFSET($R$5,H250,0,1,$J$2))</f>
        <v>#DIV/0!</v>
      </c>
    </row>
    <row r="251" customFormat="false" ht="14.25" hidden="false" customHeight="false" outlineLevel="0" collapsed="false">
      <c r="H251" s="1" t="n">
        <f aca="false">H250+1</f>
        <v>246</v>
      </c>
      <c r="I251" s="1" t="n">
        <f aca="false">DAY(K251)</f>
        <v>2</v>
      </c>
      <c r="J251" s="1" t="n">
        <f aca="false">MONTH(K251)</f>
        <v>9</v>
      </c>
      <c r="K251" s="23" t="n">
        <f aca="false">K250+1</f>
        <v>36771</v>
      </c>
      <c r="L251" s="24" t="n">
        <f aca="true">IF(TODAY()&lt;DATE($N$5,J251,I251),1000000,-1000000)</f>
        <v>-1000000</v>
      </c>
      <c r="M251" s="1" t="e">
        <f aca="false">IF(K251&gt;0,INDEX(big_daily_table,MATCH(DATE(N$5,$J251,$I251),daily_dates,0),MATCH($B$3,daily_items,0)),NA())</f>
        <v>#N/A</v>
      </c>
      <c r="N251" s="1" t="e">
        <f aca="false">IF(L251&lt;0,INDEX(big_daily_table,MATCH(DATE(N$5,$J251,$I251),daily_dates,0),MATCH($B$3,daily_items,0)),NA())</f>
        <v>#N/A</v>
      </c>
      <c r="O251" s="1" t="e">
        <f aca="false">IF(ISBLANK(INDEX(big_daily_table,MATCH(DATE(O$5,$J251,$I251),daily_dates,0),MATCH($B$3,daily_items,0))),NA(),INDEX(big_daily_table,MATCH(DATE(O$5,$J251,$I251),daily_dates,0),MATCH($B$3,daily_items,0)))</f>
        <v>#N/A</v>
      </c>
      <c r="P251" s="1" t="e">
        <f aca="false">IF(ISBLANK(INDEX(big_daily_table,MATCH(DATE(P$5,$J251,$I251),daily_dates,0),MATCH($B$3,daily_items,0))),NA(),INDEX(big_daily_table,MATCH(DATE(P$5,$J251,$I251),daily_dates,0),MATCH($B$3,daily_items,0)))</f>
        <v>#N/A</v>
      </c>
      <c r="Q251" s="1" t="e">
        <f aca="false">IF(ISBLANK(INDEX(big_daily_table,MATCH(DATE(Q$5,$J251,$I251),daily_dates,0),MATCH($B$3,daily_items,0))),NA(),INDEX(big_daily_table,MATCH(DATE(Q$5,$J251,$I251),daily_dates,0),MATCH($B$3,daily_items,0)))</f>
        <v>#N/A</v>
      </c>
      <c r="R251" s="1" t="e">
        <f aca="false">IF(ISBLANK(INDEX(big_daily_table,MATCH(DATE(R$5,$J251,$I251),daily_dates,0),MATCH($B$3,daily_items,0))),NA(),INDEX(big_daily_table,MATCH(DATE(R$5,$J251,$I251),daily_dates,0),MATCH($B$3,daily_items,0)))</f>
        <v>#N/A</v>
      </c>
      <c r="S251" s="1" t="e">
        <f aca="false">IF(ISBLANK(INDEX(big_daily_table,MATCH(DATE(S$5,$J251,$I251),daily_dates,0),MATCH($B$3,daily_items,0))),NA(),INDEX(big_daily_table,MATCH(DATE(S$5,$J251,$I251),daily_dates,0),MATCH($B$3,daily_items,0)))</f>
        <v>#N/A</v>
      </c>
      <c r="T251" s="1" t="e">
        <f aca="false">IF(ISBLANK(INDEX(big_daily_table,MATCH(DATE(T$5,$J251,$I251),daily_dates,0),MATCH($B$3,daily_items,0))),NA(),INDEX(big_daily_table,MATCH(DATE(T$5,$J251,$I251),daily_dates,0),MATCH($B$3,daily_items,0)))</f>
        <v>#N/A</v>
      </c>
      <c r="U251" s="1" t="e">
        <f aca="false">IF(ISBLANK(INDEX(big_daily_table,MATCH(DATE(U$5,$J251,$I251),daily_dates,0),MATCH($B$3,daily_items,0))),NA(),INDEX(big_daily_table,MATCH(DATE(U$5,$J251,$I251),daily_dates,0),MATCH($B$3,daily_items,0)))</f>
        <v>#N/A</v>
      </c>
      <c r="V251" s="1" t="e">
        <f aca="false">IF(ISBLANK(INDEX(big_daily_table,MATCH(DATE(V$5,$J251,$I251),daily_dates,0),MATCH($B$3,daily_items,0))),NA(),INDEX(big_daily_table,MATCH(DATE(V$5,$J251,$I251),daily_dates,0),MATCH($B$3,daily_items,0)))</f>
        <v>#N/A</v>
      </c>
      <c r="W251" s="1" t="e">
        <f aca="false">IF(ISBLANK(INDEX(big_daily_table,MATCH(DATE(W$5,$J251,$I251),daily_dates,0),MATCH($B$3,daily_items,0))),NA(),INDEX(big_daily_table,MATCH(DATE(W$5,$J251,$I251),daily_dates,0),MATCH($B$3,daily_items,0)))</f>
        <v>#N/A</v>
      </c>
      <c r="X251" s="1" t="e">
        <f aca="false">IF(ISBLANK(INDEX(big_daily_table,MATCH(DATE(X$5,$J251,$I251),daily_dates,0),MATCH($B$3,daily_items,0))),NA(),INDEX(big_daily_table,MATCH(DATE(X$5,$J251,$I251),daily_dates,0),MATCH($B$3,daily_items,0)))</f>
        <v>#N/A</v>
      </c>
      <c r="Y251" s="1" t="e">
        <f aca="false">IF(ISBLANK(INDEX(big_daily_table,MATCH(DATE(Y$5,$J251,$I251),daily_dates,0),MATCH($B$3,daily_items,0))),NA(),INDEX(big_daily_table,MATCH(DATE(Y$5,$J251,$I251),daily_dates,0),MATCH($B$3,daily_items,0)))</f>
        <v>#N/A</v>
      </c>
      <c r="Z251" s="1" t="n">
        <f aca="true">_xlfn.AGGREGATE(5,6,OFFSET($R$5,H251,0,1,$J$2))</f>
        <v>0</v>
      </c>
      <c r="AA251" s="1" t="n">
        <f aca="true">_xlfn.AGGREGATE(4,6,OFFSET($R$5,H251,0,1,$J$2))</f>
        <v>0</v>
      </c>
      <c r="AB251" s="1" t="n">
        <f aca="false">AA251-Z251</f>
        <v>0</v>
      </c>
      <c r="AC251" s="1" t="e">
        <f aca="true">_xlfn.AGGREGATE(1,6,OFFSET($R$5,H251,0,1,$J$2))</f>
        <v>#DIV/0!</v>
      </c>
    </row>
    <row r="252" customFormat="false" ht="14.25" hidden="false" customHeight="false" outlineLevel="0" collapsed="false">
      <c r="H252" s="1" t="n">
        <f aca="false">H251+1</f>
        <v>247</v>
      </c>
      <c r="I252" s="1" t="n">
        <f aca="false">DAY(K252)</f>
        <v>3</v>
      </c>
      <c r="J252" s="1" t="n">
        <f aca="false">MONTH(K252)</f>
        <v>9</v>
      </c>
      <c r="K252" s="23" t="n">
        <f aca="false">K251+1</f>
        <v>36772</v>
      </c>
      <c r="L252" s="24" t="n">
        <f aca="true">IF(TODAY()&lt;DATE($N$5,J252,I252),1000000,-1000000)</f>
        <v>-1000000</v>
      </c>
      <c r="M252" s="1" t="e">
        <f aca="false">IF(K252&gt;0,INDEX(big_daily_table,MATCH(DATE(N$5,$J252,$I252),daily_dates,0),MATCH($B$3,daily_items,0)),NA())</f>
        <v>#N/A</v>
      </c>
      <c r="N252" s="1" t="e">
        <f aca="false">IF(L252&lt;0,INDEX(big_daily_table,MATCH(DATE(N$5,$J252,$I252),daily_dates,0),MATCH($B$3,daily_items,0)),NA())</f>
        <v>#N/A</v>
      </c>
      <c r="O252" s="1" t="e">
        <f aca="false">IF(ISBLANK(INDEX(big_daily_table,MATCH(DATE(O$5,$J252,$I252),daily_dates,0),MATCH($B$3,daily_items,0))),NA(),INDEX(big_daily_table,MATCH(DATE(O$5,$J252,$I252),daily_dates,0),MATCH($B$3,daily_items,0)))</f>
        <v>#N/A</v>
      </c>
      <c r="P252" s="1" t="e">
        <f aca="false">IF(ISBLANK(INDEX(big_daily_table,MATCH(DATE(P$5,$J252,$I252),daily_dates,0),MATCH($B$3,daily_items,0))),NA(),INDEX(big_daily_table,MATCH(DATE(P$5,$J252,$I252),daily_dates,0),MATCH($B$3,daily_items,0)))</f>
        <v>#N/A</v>
      </c>
      <c r="Q252" s="1" t="e">
        <f aca="false">IF(ISBLANK(INDEX(big_daily_table,MATCH(DATE(Q$5,$J252,$I252),daily_dates,0),MATCH($B$3,daily_items,0))),NA(),INDEX(big_daily_table,MATCH(DATE(Q$5,$J252,$I252),daily_dates,0),MATCH($B$3,daily_items,0)))</f>
        <v>#N/A</v>
      </c>
      <c r="R252" s="1" t="e">
        <f aca="false">IF(ISBLANK(INDEX(big_daily_table,MATCH(DATE(R$5,$J252,$I252),daily_dates,0),MATCH($B$3,daily_items,0))),NA(),INDEX(big_daily_table,MATCH(DATE(R$5,$J252,$I252),daily_dates,0),MATCH($B$3,daily_items,0)))</f>
        <v>#N/A</v>
      </c>
      <c r="S252" s="1" t="e">
        <f aca="false">IF(ISBLANK(INDEX(big_daily_table,MATCH(DATE(S$5,$J252,$I252),daily_dates,0),MATCH($B$3,daily_items,0))),NA(),INDEX(big_daily_table,MATCH(DATE(S$5,$J252,$I252),daily_dates,0),MATCH($B$3,daily_items,0)))</f>
        <v>#N/A</v>
      </c>
      <c r="T252" s="1" t="e">
        <f aca="false">IF(ISBLANK(INDEX(big_daily_table,MATCH(DATE(T$5,$J252,$I252),daily_dates,0),MATCH($B$3,daily_items,0))),NA(),INDEX(big_daily_table,MATCH(DATE(T$5,$J252,$I252),daily_dates,0),MATCH($B$3,daily_items,0)))</f>
        <v>#N/A</v>
      </c>
      <c r="U252" s="1" t="e">
        <f aca="false">IF(ISBLANK(INDEX(big_daily_table,MATCH(DATE(U$5,$J252,$I252),daily_dates,0),MATCH($B$3,daily_items,0))),NA(),INDEX(big_daily_table,MATCH(DATE(U$5,$J252,$I252),daily_dates,0),MATCH($B$3,daily_items,0)))</f>
        <v>#N/A</v>
      </c>
      <c r="V252" s="1" t="e">
        <f aca="false">IF(ISBLANK(INDEX(big_daily_table,MATCH(DATE(V$5,$J252,$I252),daily_dates,0),MATCH($B$3,daily_items,0))),NA(),INDEX(big_daily_table,MATCH(DATE(V$5,$J252,$I252),daily_dates,0),MATCH($B$3,daily_items,0)))</f>
        <v>#N/A</v>
      </c>
      <c r="W252" s="1" t="e">
        <f aca="false">IF(ISBLANK(INDEX(big_daily_table,MATCH(DATE(W$5,$J252,$I252),daily_dates,0),MATCH($B$3,daily_items,0))),NA(),INDEX(big_daily_table,MATCH(DATE(W$5,$J252,$I252),daily_dates,0),MATCH($B$3,daily_items,0)))</f>
        <v>#N/A</v>
      </c>
      <c r="X252" s="1" t="e">
        <f aca="false">IF(ISBLANK(INDEX(big_daily_table,MATCH(DATE(X$5,$J252,$I252),daily_dates,0),MATCH($B$3,daily_items,0))),NA(),INDEX(big_daily_table,MATCH(DATE(X$5,$J252,$I252),daily_dates,0),MATCH($B$3,daily_items,0)))</f>
        <v>#N/A</v>
      </c>
      <c r="Y252" s="1" t="e">
        <f aca="false">IF(ISBLANK(INDEX(big_daily_table,MATCH(DATE(Y$5,$J252,$I252),daily_dates,0),MATCH($B$3,daily_items,0))),NA(),INDEX(big_daily_table,MATCH(DATE(Y$5,$J252,$I252),daily_dates,0),MATCH($B$3,daily_items,0)))</f>
        <v>#N/A</v>
      </c>
      <c r="Z252" s="1" t="n">
        <f aca="true">_xlfn.AGGREGATE(5,6,OFFSET($R$5,H252,0,1,$J$2))</f>
        <v>0</v>
      </c>
      <c r="AA252" s="1" t="n">
        <f aca="true">_xlfn.AGGREGATE(4,6,OFFSET($R$5,H252,0,1,$J$2))</f>
        <v>0</v>
      </c>
      <c r="AB252" s="1" t="n">
        <f aca="false">AA252-Z252</f>
        <v>0</v>
      </c>
      <c r="AC252" s="1" t="e">
        <f aca="true">_xlfn.AGGREGATE(1,6,OFFSET($R$5,H252,0,1,$J$2))</f>
        <v>#DIV/0!</v>
      </c>
    </row>
    <row r="253" customFormat="false" ht="14.25" hidden="false" customHeight="false" outlineLevel="0" collapsed="false">
      <c r="H253" s="1" t="n">
        <f aca="false">H252+1</f>
        <v>248</v>
      </c>
      <c r="I253" s="1" t="n">
        <f aca="false">DAY(K253)</f>
        <v>4</v>
      </c>
      <c r="J253" s="1" t="n">
        <f aca="false">MONTH(K253)</f>
        <v>9</v>
      </c>
      <c r="K253" s="23" t="n">
        <f aca="false">K252+1</f>
        <v>36773</v>
      </c>
      <c r="L253" s="24" t="n">
        <f aca="true">IF(TODAY()&lt;DATE($N$5,J253,I253),1000000,-1000000)</f>
        <v>-1000000</v>
      </c>
      <c r="M253" s="1" t="e">
        <f aca="false">IF(K253&gt;0,INDEX(big_daily_table,MATCH(DATE(N$5,$J253,$I253),daily_dates,0),MATCH($B$3,daily_items,0)),NA())</f>
        <v>#N/A</v>
      </c>
      <c r="N253" s="1" t="e">
        <f aca="false">IF(L253&lt;0,INDEX(big_daily_table,MATCH(DATE(N$5,$J253,$I253),daily_dates,0),MATCH($B$3,daily_items,0)),NA())</f>
        <v>#N/A</v>
      </c>
      <c r="O253" s="1" t="e">
        <f aca="false">IF(ISBLANK(INDEX(big_daily_table,MATCH(DATE(O$5,$J253,$I253),daily_dates,0),MATCH($B$3,daily_items,0))),NA(),INDEX(big_daily_table,MATCH(DATE(O$5,$J253,$I253),daily_dates,0),MATCH($B$3,daily_items,0)))</f>
        <v>#N/A</v>
      </c>
      <c r="P253" s="1" t="e">
        <f aca="false">IF(ISBLANK(INDEX(big_daily_table,MATCH(DATE(P$5,$J253,$I253),daily_dates,0),MATCH($B$3,daily_items,0))),NA(),INDEX(big_daily_table,MATCH(DATE(P$5,$J253,$I253),daily_dates,0),MATCH($B$3,daily_items,0)))</f>
        <v>#N/A</v>
      </c>
      <c r="Q253" s="1" t="e">
        <f aca="false">IF(ISBLANK(INDEX(big_daily_table,MATCH(DATE(Q$5,$J253,$I253),daily_dates,0),MATCH($B$3,daily_items,0))),NA(),INDEX(big_daily_table,MATCH(DATE(Q$5,$J253,$I253),daily_dates,0),MATCH($B$3,daily_items,0)))</f>
        <v>#N/A</v>
      </c>
      <c r="R253" s="1" t="e">
        <f aca="false">IF(ISBLANK(INDEX(big_daily_table,MATCH(DATE(R$5,$J253,$I253),daily_dates,0),MATCH($B$3,daily_items,0))),NA(),INDEX(big_daily_table,MATCH(DATE(R$5,$J253,$I253),daily_dates,0),MATCH($B$3,daily_items,0)))</f>
        <v>#N/A</v>
      </c>
      <c r="S253" s="1" t="e">
        <f aca="false">IF(ISBLANK(INDEX(big_daily_table,MATCH(DATE(S$5,$J253,$I253),daily_dates,0),MATCH($B$3,daily_items,0))),NA(),INDEX(big_daily_table,MATCH(DATE(S$5,$J253,$I253),daily_dates,0),MATCH($B$3,daily_items,0)))</f>
        <v>#N/A</v>
      </c>
      <c r="T253" s="1" t="e">
        <f aca="false">IF(ISBLANK(INDEX(big_daily_table,MATCH(DATE(T$5,$J253,$I253),daily_dates,0),MATCH($B$3,daily_items,0))),NA(),INDEX(big_daily_table,MATCH(DATE(T$5,$J253,$I253),daily_dates,0),MATCH($B$3,daily_items,0)))</f>
        <v>#N/A</v>
      </c>
      <c r="U253" s="1" t="e">
        <f aca="false">IF(ISBLANK(INDEX(big_daily_table,MATCH(DATE(U$5,$J253,$I253),daily_dates,0),MATCH($B$3,daily_items,0))),NA(),INDEX(big_daily_table,MATCH(DATE(U$5,$J253,$I253),daily_dates,0),MATCH($B$3,daily_items,0)))</f>
        <v>#N/A</v>
      </c>
      <c r="V253" s="1" t="e">
        <f aca="false">IF(ISBLANK(INDEX(big_daily_table,MATCH(DATE(V$5,$J253,$I253),daily_dates,0),MATCH($B$3,daily_items,0))),NA(),INDEX(big_daily_table,MATCH(DATE(V$5,$J253,$I253),daily_dates,0),MATCH($B$3,daily_items,0)))</f>
        <v>#N/A</v>
      </c>
      <c r="W253" s="1" t="e">
        <f aca="false">IF(ISBLANK(INDEX(big_daily_table,MATCH(DATE(W$5,$J253,$I253),daily_dates,0),MATCH($B$3,daily_items,0))),NA(),INDEX(big_daily_table,MATCH(DATE(W$5,$J253,$I253),daily_dates,0),MATCH($B$3,daily_items,0)))</f>
        <v>#N/A</v>
      </c>
      <c r="X253" s="1" t="e">
        <f aca="false">IF(ISBLANK(INDEX(big_daily_table,MATCH(DATE(X$5,$J253,$I253),daily_dates,0),MATCH($B$3,daily_items,0))),NA(),INDEX(big_daily_table,MATCH(DATE(X$5,$J253,$I253),daily_dates,0),MATCH($B$3,daily_items,0)))</f>
        <v>#N/A</v>
      </c>
      <c r="Y253" s="1" t="e">
        <f aca="false">IF(ISBLANK(INDEX(big_daily_table,MATCH(DATE(Y$5,$J253,$I253),daily_dates,0),MATCH($B$3,daily_items,0))),NA(),INDEX(big_daily_table,MATCH(DATE(Y$5,$J253,$I253),daily_dates,0),MATCH($B$3,daily_items,0)))</f>
        <v>#N/A</v>
      </c>
      <c r="Z253" s="1" t="n">
        <f aca="true">_xlfn.AGGREGATE(5,6,OFFSET($R$5,H253,0,1,$J$2))</f>
        <v>0</v>
      </c>
      <c r="AA253" s="1" t="n">
        <f aca="true">_xlfn.AGGREGATE(4,6,OFFSET($R$5,H253,0,1,$J$2))</f>
        <v>0</v>
      </c>
      <c r="AB253" s="1" t="n">
        <f aca="false">AA253-Z253</f>
        <v>0</v>
      </c>
      <c r="AC253" s="1" t="e">
        <f aca="true">_xlfn.AGGREGATE(1,6,OFFSET($R$5,H253,0,1,$J$2))</f>
        <v>#DIV/0!</v>
      </c>
    </row>
    <row r="254" customFormat="false" ht="14.25" hidden="false" customHeight="false" outlineLevel="0" collapsed="false">
      <c r="H254" s="1" t="n">
        <f aca="false">H253+1</f>
        <v>249</v>
      </c>
      <c r="I254" s="1" t="n">
        <f aca="false">DAY(K254)</f>
        <v>5</v>
      </c>
      <c r="J254" s="1" t="n">
        <f aca="false">MONTH(K254)</f>
        <v>9</v>
      </c>
      <c r="K254" s="23" t="n">
        <f aca="false">K253+1</f>
        <v>36774</v>
      </c>
      <c r="L254" s="24" t="n">
        <f aca="true">IF(TODAY()&lt;DATE($N$5,J254,I254),1000000,-1000000)</f>
        <v>-1000000</v>
      </c>
      <c r="M254" s="1" t="e">
        <f aca="false">IF(K254&gt;0,INDEX(big_daily_table,MATCH(DATE(N$5,$J254,$I254),daily_dates,0),MATCH($B$3,daily_items,0)),NA())</f>
        <v>#N/A</v>
      </c>
      <c r="N254" s="1" t="e">
        <f aca="false">IF(L254&lt;0,INDEX(big_daily_table,MATCH(DATE(N$5,$J254,$I254),daily_dates,0),MATCH($B$3,daily_items,0)),NA())</f>
        <v>#N/A</v>
      </c>
      <c r="O254" s="1" t="e">
        <f aca="false">IF(ISBLANK(INDEX(big_daily_table,MATCH(DATE(O$5,$J254,$I254),daily_dates,0),MATCH($B$3,daily_items,0))),NA(),INDEX(big_daily_table,MATCH(DATE(O$5,$J254,$I254),daily_dates,0),MATCH($B$3,daily_items,0)))</f>
        <v>#N/A</v>
      </c>
      <c r="P254" s="1" t="e">
        <f aca="false">IF(ISBLANK(INDEX(big_daily_table,MATCH(DATE(P$5,$J254,$I254),daily_dates,0),MATCH($B$3,daily_items,0))),NA(),INDEX(big_daily_table,MATCH(DATE(P$5,$J254,$I254),daily_dates,0),MATCH($B$3,daily_items,0)))</f>
        <v>#N/A</v>
      </c>
      <c r="Q254" s="1" t="e">
        <f aca="false">IF(ISBLANK(INDEX(big_daily_table,MATCH(DATE(Q$5,$J254,$I254),daily_dates,0),MATCH($B$3,daily_items,0))),NA(),INDEX(big_daily_table,MATCH(DATE(Q$5,$J254,$I254),daily_dates,0),MATCH($B$3,daily_items,0)))</f>
        <v>#N/A</v>
      </c>
      <c r="R254" s="1" t="e">
        <f aca="false">IF(ISBLANK(INDEX(big_daily_table,MATCH(DATE(R$5,$J254,$I254),daily_dates,0),MATCH($B$3,daily_items,0))),NA(),INDEX(big_daily_table,MATCH(DATE(R$5,$J254,$I254),daily_dates,0),MATCH($B$3,daily_items,0)))</f>
        <v>#N/A</v>
      </c>
      <c r="S254" s="1" t="e">
        <f aca="false">IF(ISBLANK(INDEX(big_daily_table,MATCH(DATE(S$5,$J254,$I254),daily_dates,0),MATCH($B$3,daily_items,0))),NA(),INDEX(big_daily_table,MATCH(DATE(S$5,$J254,$I254),daily_dates,0),MATCH($B$3,daily_items,0)))</f>
        <v>#N/A</v>
      </c>
      <c r="T254" s="1" t="e">
        <f aca="false">IF(ISBLANK(INDEX(big_daily_table,MATCH(DATE(T$5,$J254,$I254),daily_dates,0),MATCH($B$3,daily_items,0))),NA(),INDEX(big_daily_table,MATCH(DATE(T$5,$J254,$I254),daily_dates,0),MATCH($B$3,daily_items,0)))</f>
        <v>#N/A</v>
      </c>
      <c r="U254" s="1" t="e">
        <f aca="false">IF(ISBLANK(INDEX(big_daily_table,MATCH(DATE(U$5,$J254,$I254),daily_dates,0),MATCH($B$3,daily_items,0))),NA(),INDEX(big_daily_table,MATCH(DATE(U$5,$J254,$I254),daily_dates,0),MATCH($B$3,daily_items,0)))</f>
        <v>#N/A</v>
      </c>
      <c r="V254" s="1" t="e">
        <f aca="false">IF(ISBLANK(INDEX(big_daily_table,MATCH(DATE(V$5,$J254,$I254),daily_dates,0),MATCH($B$3,daily_items,0))),NA(),INDEX(big_daily_table,MATCH(DATE(V$5,$J254,$I254),daily_dates,0),MATCH($B$3,daily_items,0)))</f>
        <v>#N/A</v>
      </c>
      <c r="W254" s="1" t="e">
        <f aca="false">IF(ISBLANK(INDEX(big_daily_table,MATCH(DATE(W$5,$J254,$I254),daily_dates,0),MATCH($B$3,daily_items,0))),NA(),INDEX(big_daily_table,MATCH(DATE(W$5,$J254,$I254),daily_dates,0),MATCH($B$3,daily_items,0)))</f>
        <v>#N/A</v>
      </c>
      <c r="X254" s="1" t="e">
        <f aca="false">IF(ISBLANK(INDEX(big_daily_table,MATCH(DATE(X$5,$J254,$I254),daily_dates,0),MATCH($B$3,daily_items,0))),NA(),INDEX(big_daily_table,MATCH(DATE(X$5,$J254,$I254),daily_dates,0),MATCH($B$3,daily_items,0)))</f>
        <v>#N/A</v>
      </c>
      <c r="Y254" s="1" t="e">
        <f aca="false">IF(ISBLANK(INDEX(big_daily_table,MATCH(DATE(Y$5,$J254,$I254),daily_dates,0),MATCH($B$3,daily_items,0))),NA(),INDEX(big_daily_table,MATCH(DATE(Y$5,$J254,$I254),daily_dates,0),MATCH($B$3,daily_items,0)))</f>
        <v>#N/A</v>
      </c>
      <c r="Z254" s="1" t="n">
        <f aca="true">_xlfn.AGGREGATE(5,6,OFFSET($R$5,H254,0,1,$J$2))</f>
        <v>0</v>
      </c>
      <c r="AA254" s="1" t="n">
        <f aca="true">_xlfn.AGGREGATE(4,6,OFFSET($R$5,H254,0,1,$J$2))</f>
        <v>0</v>
      </c>
      <c r="AB254" s="1" t="n">
        <f aca="false">AA254-Z254</f>
        <v>0</v>
      </c>
      <c r="AC254" s="1" t="e">
        <f aca="true">_xlfn.AGGREGATE(1,6,OFFSET($R$5,H254,0,1,$J$2))</f>
        <v>#DIV/0!</v>
      </c>
    </row>
    <row r="255" customFormat="false" ht="14.25" hidden="false" customHeight="false" outlineLevel="0" collapsed="false">
      <c r="H255" s="1" t="n">
        <f aca="false">H254+1</f>
        <v>250</v>
      </c>
      <c r="I255" s="1" t="n">
        <f aca="false">DAY(K255)</f>
        <v>6</v>
      </c>
      <c r="J255" s="1" t="n">
        <f aca="false">MONTH(K255)</f>
        <v>9</v>
      </c>
      <c r="K255" s="23" t="n">
        <f aca="false">K254+1</f>
        <v>36775</v>
      </c>
      <c r="L255" s="24" t="n">
        <f aca="true">IF(TODAY()&lt;DATE($N$5,J255,I255),1000000,-1000000)</f>
        <v>-1000000</v>
      </c>
      <c r="M255" s="1" t="e">
        <f aca="false">IF(K255&gt;0,INDEX(big_daily_table,MATCH(DATE(N$5,$J255,$I255),daily_dates,0),MATCH($B$3,daily_items,0)),NA())</f>
        <v>#N/A</v>
      </c>
      <c r="N255" s="1" t="e">
        <f aca="false">IF(L255&lt;0,INDEX(big_daily_table,MATCH(DATE(N$5,$J255,$I255),daily_dates,0),MATCH($B$3,daily_items,0)),NA())</f>
        <v>#N/A</v>
      </c>
      <c r="O255" s="1" t="e">
        <f aca="false">IF(ISBLANK(INDEX(big_daily_table,MATCH(DATE(O$5,$J255,$I255),daily_dates,0),MATCH($B$3,daily_items,0))),NA(),INDEX(big_daily_table,MATCH(DATE(O$5,$J255,$I255),daily_dates,0),MATCH($B$3,daily_items,0)))</f>
        <v>#N/A</v>
      </c>
      <c r="P255" s="1" t="e">
        <f aca="false">IF(ISBLANK(INDEX(big_daily_table,MATCH(DATE(P$5,$J255,$I255),daily_dates,0),MATCH($B$3,daily_items,0))),NA(),INDEX(big_daily_table,MATCH(DATE(P$5,$J255,$I255),daily_dates,0),MATCH($B$3,daily_items,0)))</f>
        <v>#N/A</v>
      </c>
      <c r="Q255" s="1" t="e">
        <f aca="false">IF(ISBLANK(INDEX(big_daily_table,MATCH(DATE(Q$5,$J255,$I255),daily_dates,0),MATCH($B$3,daily_items,0))),NA(),INDEX(big_daily_table,MATCH(DATE(Q$5,$J255,$I255),daily_dates,0),MATCH($B$3,daily_items,0)))</f>
        <v>#N/A</v>
      </c>
      <c r="R255" s="1" t="e">
        <f aca="false">IF(ISBLANK(INDEX(big_daily_table,MATCH(DATE(R$5,$J255,$I255),daily_dates,0),MATCH($B$3,daily_items,0))),NA(),INDEX(big_daily_table,MATCH(DATE(R$5,$J255,$I255),daily_dates,0),MATCH($B$3,daily_items,0)))</f>
        <v>#N/A</v>
      </c>
      <c r="S255" s="1" t="e">
        <f aca="false">IF(ISBLANK(INDEX(big_daily_table,MATCH(DATE(S$5,$J255,$I255),daily_dates,0),MATCH($B$3,daily_items,0))),NA(),INDEX(big_daily_table,MATCH(DATE(S$5,$J255,$I255),daily_dates,0),MATCH($B$3,daily_items,0)))</f>
        <v>#N/A</v>
      </c>
      <c r="T255" s="1" t="e">
        <f aca="false">IF(ISBLANK(INDEX(big_daily_table,MATCH(DATE(T$5,$J255,$I255),daily_dates,0),MATCH($B$3,daily_items,0))),NA(),INDEX(big_daily_table,MATCH(DATE(T$5,$J255,$I255),daily_dates,0),MATCH($B$3,daily_items,0)))</f>
        <v>#N/A</v>
      </c>
      <c r="U255" s="1" t="e">
        <f aca="false">IF(ISBLANK(INDEX(big_daily_table,MATCH(DATE(U$5,$J255,$I255),daily_dates,0),MATCH($B$3,daily_items,0))),NA(),INDEX(big_daily_table,MATCH(DATE(U$5,$J255,$I255),daily_dates,0),MATCH($B$3,daily_items,0)))</f>
        <v>#N/A</v>
      </c>
      <c r="V255" s="1" t="e">
        <f aca="false">IF(ISBLANK(INDEX(big_daily_table,MATCH(DATE(V$5,$J255,$I255),daily_dates,0),MATCH($B$3,daily_items,0))),NA(),INDEX(big_daily_table,MATCH(DATE(V$5,$J255,$I255),daily_dates,0),MATCH($B$3,daily_items,0)))</f>
        <v>#N/A</v>
      </c>
      <c r="W255" s="1" t="e">
        <f aca="false">IF(ISBLANK(INDEX(big_daily_table,MATCH(DATE(W$5,$J255,$I255),daily_dates,0),MATCH($B$3,daily_items,0))),NA(),INDEX(big_daily_table,MATCH(DATE(W$5,$J255,$I255),daily_dates,0),MATCH($B$3,daily_items,0)))</f>
        <v>#N/A</v>
      </c>
      <c r="X255" s="1" t="e">
        <f aca="false">IF(ISBLANK(INDEX(big_daily_table,MATCH(DATE(X$5,$J255,$I255),daily_dates,0),MATCH($B$3,daily_items,0))),NA(),INDEX(big_daily_table,MATCH(DATE(X$5,$J255,$I255),daily_dates,0),MATCH($B$3,daily_items,0)))</f>
        <v>#N/A</v>
      </c>
      <c r="Y255" s="1" t="e">
        <f aca="false">IF(ISBLANK(INDEX(big_daily_table,MATCH(DATE(Y$5,$J255,$I255),daily_dates,0),MATCH($B$3,daily_items,0))),NA(),INDEX(big_daily_table,MATCH(DATE(Y$5,$J255,$I255),daily_dates,0),MATCH($B$3,daily_items,0)))</f>
        <v>#N/A</v>
      </c>
      <c r="Z255" s="1" t="n">
        <f aca="true">_xlfn.AGGREGATE(5,6,OFFSET($R$5,H255,0,1,$J$2))</f>
        <v>0</v>
      </c>
      <c r="AA255" s="1" t="n">
        <f aca="true">_xlfn.AGGREGATE(4,6,OFFSET($R$5,H255,0,1,$J$2))</f>
        <v>0</v>
      </c>
      <c r="AB255" s="1" t="n">
        <f aca="false">AA255-Z255</f>
        <v>0</v>
      </c>
      <c r="AC255" s="1" t="e">
        <f aca="true">_xlfn.AGGREGATE(1,6,OFFSET($R$5,H255,0,1,$J$2))</f>
        <v>#DIV/0!</v>
      </c>
    </row>
    <row r="256" customFormat="false" ht="14.25" hidden="false" customHeight="false" outlineLevel="0" collapsed="false">
      <c r="H256" s="1" t="n">
        <f aca="false">H255+1</f>
        <v>251</v>
      </c>
      <c r="I256" s="1" t="n">
        <f aca="false">DAY(K256)</f>
        <v>7</v>
      </c>
      <c r="J256" s="1" t="n">
        <f aca="false">MONTH(K256)</f>
        <v>9</v>
      </c>
      <c r="K256" s="23" t="n">
        <f aca="false">K255+1</f>
        <v>36776</v>
      </c>
      <c r="L256" s="24" t="n">
        <f aca="true">IF(TODAY()&lt;DATE($N$5,J256,I256),1000000,-1000000)</f>
        <v>-1000000</v>
      </c>
      <c r="M256" s="1" t="e">
        <f aca="false">IF(K256&gt;0,INDEX(big_daily_table,MATCH(DATE(N$5,$J256,$I256),daily_dates,0),MATCH($B$3,daily_items,0)),NA())</f>
        <v>#N/A</v>
      </c>
      <c r="N256" s="1" t="e">
        <f aca="false">IF(L256&lt;0,INDEX(big_daily_table,MATCH(DATE(N$5,$J256,$I256),daily_dates,0),MATCH($B$3,daily_items,0)),NA())</f>
        <v>#N/A</v>
      </c>
      <c r="O256" s="1" t="e">
        <f aca="false">IF(ISBLANK(INDEX(big_daily_table,MATCH(DATE(O$5,$J256,$I256),daily_dates,0),MATCH($B$3,daily_items,0))),NA(),INDEX(big_daily_table,MATCH(DATE(O$5,$J256,$I256),daily_dates,0),MATCH($B$3,daily_items,0)))</f>
        <v>#N/A</v>
      </c>
      <c r="P256" s="1" t="e">
        <f aca="false">IF(ISBLANK(INDEX(big_daily_table,MATCH(DATE(P$5,$J256,$I256),daily_dates,0),MATCH($B$3,daily_items,0))),NA(),INDEX(big_daily_table,MATCH(DATE(P$5,$J256,$I256),daily_dates,0),MATCH($B$3,daily_items,0)))</f>
        <v>#N/A</v>
      </c>
      <c r="Q256" s="1" t="e">
        <f aca="false">IF(ISBLANK(INDEX(big_daily_table,MATCH(DATE(Q$5,$J256,$I256),daily_dates,0),MATCH($B$3,daily_items,0))),NA(),INDEX(big_daily_table,MATCH(DATE(Q$5,$J256,$I256),daily_dates,0),MATCH($B$3,daily_items,0)))</f>
        <v>#N/A</v>
      </c>
      <c r="R256" s="1" t="e">
        <f aca="false">IF(ISBLANK(INDEX(big_daily_table,MATCH(DATE(R$5,$J256,$I256),daily_dates,0),MATCH($B$3,daily_items,0))),NA(),INDEX(big_daily_table,MATCH(DATE(R$5,$J256,$I256),daily_dates,0),MATCH($B$3,daily_items,0)))</f>
        <v>#N/A</v>
      </c>
      <c r="S256" s="1" t="e">
        <f aca="false">IF(ISBLANK(INDEX(big_daily_table,MATCH(DATE(S$5,$J256,$I256),daily_dates,0),MATCH($B$3,daily_items,0))),NA(),INDEX(big_daily_table,MATCH(DATE(S$5,$J256,$I256),daily_dates,0),MATCH($B$3,daily_items,0)))</f>
        <v>#N/A</v>
      </c>
      <c r="T256" s="1" t="e">
        <f aca="false">IF(ISBLANK(INDEX(big_daily_table,MATCH(DATE(T$5,$J256,$I256),daily_dates,0),MATCH($B$3,daily_items,0))),NA(),INDEX(big_daily_table,MATCH(DATE(T$5,$J256,$I256),daily_dates,0),MATCH($B$3,daily_items,0)))</f>
        <v>#N/A</v>
      </c>
      <c r="U256" s="1" t="e">
        <f aca="false">IF(ISBLANK(INDEX(big_daily_table,MATCH(DATE(U$5,$J256,$I256),daily_dates,0),MATCH($B$3,daily_items,0))),NA(),INDEX(big_daily_table,MATCH(DATE(U$5,$J256,$I256),daily_dates,0),MATCH($B$3,daily_items,0)))</f>
        <v>#N/A</v>
      </c>
      <c r="V256" s="1" t="e">
        <f aca="false">IF(ISBLANK(INDEX(big_daily_table,MATCH(DATE(V$5,$J256,$I256),daily_dates,0),MATCH($B$3,daily_items,0))),NA(),INDEX(big_daily_table,MATCH(DATE(V$5,$J256,$I256),daily_dates,0),MATCH($B$3,daily_items,0)))</f>
        <v>#N/A</v>
      </c>
      <c r="W256" s="1" t="e">
        <f aca="false">IF(ISBLANK(INDEX(big_daily_table,MATCH(DATE(W$5,$J256,$I256),daily_dates,0),MATCH($B$3,daily_items,0))),NA(),INDEX(big_daily_table,MATCH(DATE(W$5,$J256,$I256),daily_dates,0),MATCH($B$3,daily_items,0)))</f>
        <v>#N/A</v>
      </c>
      <c r="X256" s="1" t="e">
        <f aca="false">IF(ISBLANK(INDEX(big_daily_table,MATCH(DATE(X$5,$J256,$I256),daily_dates,0),MATCH($B$3,daily_items,0))),NA(),INDEX(big_daily_table,MATCH(DATE(X$5,$J256,$I256),daily_dates,0),MATCH($B$3,daily_items,0)))</f>
        <v>#N/A</v>
      </c>
      <c r="Y256" s="1" t="e">
        <f aca="false">IF(ISBLANK(INDEX(big_daily_table,MATCH(DATE(Y$5,$J256,$I256),daily_dates,0),MATCH($B$3,daily_items,0))),NA(),INDEX(big_daily_table,MATCH(DATE(Y$5,$J256,$I256),daily_dates,0),MATCH($B$3,daily_items,0)))</f>
        <v>#N/A</v>
      </c>
      <c r="Z256" s="1" t="n">
        <f aca="true">_xlfn.AGGREGATE(5,6,OFFSET($R$5,H256,0,1,$J$2))</f>
        <v>0</v>
      </c>
      <c r="AA256" s="1" t="n">
        <f aca="true">_xlfn.AGGREGATE(4,6,OFFSET($R$5,H256,0,1,$J$2))</f>
        <v>0</v>
      </c>
      <c r="AB256" s="1" t="n">
        <f aca="false">AA256-Z256</f>
        <v>0</v>
      </c>
      <c r="AC256" s="1" t="e">
        <f aca="true">_xlfn.AGGREGATE(1,6,OFFSET($R$5,H256,0,1,$J$2))</f>
        <v>#DIV/0!</v>
      </c>
    </row>
    <row r="257" customFormat="false" ht="14.25" hidden="false" customHeight="false" outlineLevel="0" collapsed="false">
      <c r="H257" s="1" t="n">
        <f aca="false">H256+1</f>
        <v>252</v>
      </c>
      <c r="I257" s="1" t="n">
        <f aca="false">DAY(K257)</f>
        <v>8</v>
      </c>
      <c r="J257" s="1" t="n">
        <f aca="false">MONTH(K257)</f>
        <v>9</v>
      </c>
      <c r="K257" s="23" t="n">
        <f aca="false">K256+1</f>
        <v>36777</v>
      </c>
      <c r="L257" s="24" t="n">
        <f aca="true">IF(TODAY()&lt;DATE($N$5,J257,I257),1000000,-1000000)</f>
        <v>-1000000</v>
      </c>
      <c r="M257" s="1" t="e">
        <f aca="false">IF(K257&gt;0,INDEX(big_daily_table,MATCH(DATE(N$5,$J257,$I257),daily_dates,0),MATCH($B$3,daily_items,0)),NA())</f>
        <v>#N/A</v>
      </c>
      <c r="N257" s="1" t="e">
        <f aca="false">IF(L257&lt;0,INDEX(big_daily_table,MATCH(DATE(N$5,$J257,$I257),daily_dates,0),MATCH($B$3,daily_items,0)),NA())</f>
        <v>#N/A</v>
      </c>
      <c r="O257" s="1" t="e">
        <f aca="false">IF(ISBLANK(INDEX(big_daily_table,MATCH(DATE(O$5,$J257,$I257),daily_dates,0),MATCH($B$3,daily_items,0))),NA(),INDEX(big_daily_table,MATCH(DATE(O$5,$J257,$I257),daily_dates,0),MATCH($B$3,daily_items,0)))</f>
        <v>#N/A</v>
      </c>
      <c r="P257" s="1" t="e">
        <f aca="false">IF(ISBLANK(INDEX(big_daily_table,MATCH(DATE(P$5,$J257,$I257),daily_dates,0),MATCH($B$3,daily_items,0))),NA(),INDEX(big_daily_table,MATCH(DATE(P$5,$J257,$I257),daily_dates,0),MATCH($B$3,daily_items,0)))</f>
        <v>#N/A</v>
      </c>
      <c r="Q257" s="1" t="e">
        <f aca="false">IF(ISBLANK(INDEX(big_daily_table,MATCH(DATE(Q$5,$J257,$I257),daily_dates,0),MATCH($B$3,daily_items,0))),NA(),INDEX(big_daily_table,MATCH(DATE(Q$5,$J257,$I257),daily_dates,0),MATCH($B$3,daily_items,0)))</f>
        <v>#N/A</v>
      </c>
      <c r="R257" s="1" t="e">
        <f aca="false">IF(ISBLANK(INDEX(big_daily_table,MATCH(DATE(R$5,$J257,$I257),daily_dates,0),MATCH($B$3,daily_items,0))),NA(),INDEX(big_daily_table,MATCH(DATE(R$5,$J257,$I257),daily_dates,0),MATCH($B$3,daily_items,0)))</f>
        <v>#N/A</v>
      </c>
      <c r="S257" s="1" t="e">
        <f aca="false">IF(ISBLANK(INDEX(big_daily_table,MATCH(DATE(S$5,$J257,$I257),daily_dates,0),MATCH($B$3,daily_items,0))),NA(),INDEX(big_daily_table,MATCH(DATE(S$5,$J257,$I257),daily_dates,0),MATCH($B$3,daily_items,0)))</f>
        <v>#N/A</v>
      </c>
      <c r="T257" s="1" t="e">
        <f aca="false">IF(ISBLANK(INDEX(big_daily_table,MATCH(DATE(T$5,$J257,$I257),daily_dates,0),MATCH($B$3,daily_items,0))),NA(),INDEX(big_daily_table,MATCH(DATE(T$5,$J257,$I257),daily_dates,0),MATCH($B$3,daily_items,0)))</f>
        <v>#N/A</v>
      </c>
      <c r="U257" s="1" t="e">
        <f aca="false">IF(ISBLANK(INDEX(big_daily_table,MATCH(DATE(U$5,$J257,$I257),daily_dates,0),MATCH($B$3,daily_items,0))),NA(),INDEX(big_daily_table,MATCH(DATE(U$5,$J257,$I257),daily_dates,0),MATCH($B$3,daily_items,0)))</f>
        <v>#N/A</v>
      </c>
      <c r="V257" s="1" t="e">
        <f aca="false">IF(ISBLANK(INDEX(big_daily_table,MATCH(DATE(V$5,$J257,$I257),daily_dates,0),MATCH($B$3,daily_items,0))),NA(),INDEX(big_daily_table,MATCH(DATE(V$5,$J257,$I257),daily_dates,0),MATCH($B$3,daily_items,0)))</f>
        <v>#N/A</v>
      </c>
      <c r="W257" s="1" t="e">
        <f aca="false">IF(ISBLANK(INDEX(big_daily_table,MATCH(DATE(W$5,$J257,$I257),daily_dates,0),MATCH($B$3,daily_items,0))),NA(),INDEX(big_daily_table,MATCH(DATE(W$5,$J257,$I257),daily_dates,0),MATCH($B$3,daily_items,0)))</f>
        <v>#N/A</v>
      </c>
      <c r="X257" s="1" t="e">
        <f aca="false">IF(ISBLANK(INDEX(big_daily_table,MATCH(DATE(X$5,$J257,$I257),daily_dates,0),MATCH($B$3,daily_items,0))),NA(),INDEX(big_daily_table,MATCH(DATE(X$5,$J257,$I257),daily_dates,0),MATCH($B$3,daily_items,0)))</f>
        <v>#N/A</v>
      </c>
      <c r="Y257" s="1" t="e">
        <f aca="false">IF(ISBLANK(INDEX(big_daily_table,MATCH(DATE(Y$5,$J257,$I257),daily_dates,0),MATCH($B$3,daily_items,0))),NA(),INDEX(big_daily_table,MATCH(DATE(Y$5,$J257,$I257),daily_dates,0),MATCH($B$3,daily_items,0)))</f>
        <v>#N/A</v>
      </c>
      <c r="Z257" s="1" t="n">
        <f aca="true">_xlfn.AGGREGATE(5,6,OFFSET($R$5,H257,0,1,$J$2))</f>
        <v>0</v>
      </c>
      <c r="AA257" s="1" t="n">
        <f aca="true">_xlfn.AGGREGATE(4,6,OFFSET($R$5,H257,0,1,$J$2))</f>
        <v>0</v>
      </c>
      <c r="AB257" s="1" t="n">
        <f aca="false">AA257-Z257</f>
        <v>0</v>
      </c>
      <c r="AC257" s="1" t="e">
        <f aca="true">_xlfn.AGGREGATE(1,6,OFFSET($R$5,H257,0,1,$J$2))</f>
        <v>#DIV/0!</v>
      </c>
    </row>
    <row r="258" customFormat="false" ht="14.25" hidden="false" customHeight="false" outlineLevel="0" collapsed="false">
      <c r="H258" s="1" t="n">
        <f aca="false">H257+1</f>
        <v>253</v>
      </c>
      <c r="I258" s="1" t="n">
        <f aca="false">DAY(K258)</f>
        <v>9</v>
      </c>
      <c r="J258" s="1" t="n">
        <f aca="false">MONTH(K258)</f>
        <v>9</v>
      </c>
      <c r="K258" s="23" t="n">
        <f aca="false">K257+1</f>
        <v>36778</v>
      </c>
      <c r="L258" s="24" t="n">
        <f aca="true">IF(TODAY()&lt;DATE($N$5,J258,I258),1000000,-1000000)</f>
        <v>-1000000</v>
      </c>
      <c r="M258" s="1" t="e">
        <f aca="false">IF(K258&gt;0,INDEX(big_daily_table,MATCH(DATE(N$5,$J258,$I258),daily_dates,0),MATCH($B$3,daily_items,0)),NA())</f>
        <v>#N/A</v>
      </c>
      <c r="N258" s="1" t="e">
        <f aca="false">IF(L258&lt;0,INDEX(big_daily_table,MATCH(DATE(N$5,$J258,$I258),daily_dates,0),MATCH($B$3,daily_items,0)),NA())</f>
        <v>#N/A</v>
      </c>
      <c r="O258" s="1" t="e">
        <f aca="false">IF(ISBLANK(INDEX(big_daily_table,MATCH(DATE(O$5,$J258,$I258),daily_dates,0),MATCH($B$3,daily_items,0))),NA(),INDEX(big_daily_table,MATCH(DATE(O$5,$J258,$I258),daily_dates,0),MATCH($B$3,daily_items,0)))</f>
        <v>#N/A</v>
      </c>
      <c r="P258" s="1" t="e">
        <f aca="false">IF(ISBLANK(INDEX(big_daily_table,MATCH(DATE(P$5,$J258,$I258),daily_dates,0),MATCH($B$3,daily_items,0))),NA(),INDEX(big_daily_table,MATCH(DATE(P$5,$J258,$I258),daily_dates,0),MATCH($B$3,daily_items,0)))</f>
        <v>#N/A</v>
      </c>
      <c r="Q258" s="1" t="e">
        <f aca="false">IF(ISBLANK(INDEX(big_daily_table,MATCH(DATE(Q$5,$J258,$I258),daily_dates,0),MATCH($B$3,daily_items,0))),NA(),INDEX(big_daily_table,MATCH(DATE(Q$5,$J258,$I258),daily_dates,0),MATCH($B$3,daily_items,0)))</f>
        <v>#N/A</v>
      </c>
      <c r="R258" s="1" t="e">
        <f aca="false">IF(ISBLANK(INDEX(big_daily_table,MATCH(DATE(R$5,$J258,$I258),daily_dates,0),MATCH($B$3,daily_items,0))),NA(),INDEX(big_daily_table,MATCH(DATE(R$5,$J258,$I258),daily_dates,0),MATCH($B$3,daily_items,0)))</f>
        <v>#N/A</v>
      </c>
      <c r="S258" s="1" t="e">
        <f aca="false">IF(ISBLANK(INDEX(big_daily_table,MATCH(DATE(S$5,$J258,$I258),daily_dates,0),MATCH($B$3,daily_items,0))),NA(),INDEX(big_daily_table,MATCH(DATE(S$5,$J258,$I258),daily_dates,0),MATCH($B$3,daily_items,0)))</f>
        <v>#N/A</v>
      </c>
      <c r="T258" s="1" t="e">
        <f aca="false">IF(ISBLANK(INDEX(big_daily_table,MATCH(DATE(T$5,$J258,$I258),daily_dates,0),MATCH($B$3,daily_items,0))),NA(),INDEX(big_daily_table,MATCH(DATE(T$5,$J258,$I258),daily_dates,0),MATCH($B$3,daily_items,0)))</f>
        <v>#N/A</v>
      </c>
      <c r="U258" s="1" t="e">
        <f aca="false">IF(ISBLANK(INDEX(big_daily_table,MATCH(DATE(U$5,$J258,$I258),daily_dates,0),MATCH($B$3,daily_items,0))),NA(),INDEX(big_daily_table,MATCH(DATE(U$5,$J258,$I258),daily_dates,0),MATCH($B$3,daily_items,0)))</f>
        <v>#N/A</v>
      </c>
      <c r="V258" s="1" t="e">
        <f aca="false">IF(ISBLANK(INDEX(big_daily_table,MATCH(DATE(V$5,$J258,$I258),daily_dates,0),MATCH($B$3,daily_items,0))),NA(),INDEX(big_daily_table,MATCH(DATE(V$5,$J258,$I258),daily_dates,0),MATCH($B$3,daily_items,0)))</f>
        <v>#N/A</v>
      </c>
      <c r="W258" s="1" t="e">
        <f aca="false">IF(ISBLANK(INDEX(big_daily_table,MATCH(DATE(W$5,$J258,$I258),daily_dates,0),MATCH($B$3,daily_items,0))),NA(),INDEX(big_daily_table,MATCH(DATE(W$5,$J258,$I258),daily_dates,0),MATCH($B$3,daily_items,0)))</f>
        <v>#N/A</v>
      </c>
      <c r="X258" s="1" t="e">
        <f aca="false">IF(ISBLANK(INDEX(big_daily_table,MATCH(DATE(X$5,$J258,$I258),daily_dates,0),MATCH($B$3,daily_items,0))),NA(),INDEX(big_daily_table,MATCH(DATE(X$5,$J258,$I258),daily_dates,0),MATCH($B$3,daily_items,0)))</f>
        <v>#N/A</v>
      </c>
      <c r="Y258" s="1" t="e">
        <f aca="false">IF(ISBLANK(INDEX(big_daily_table,MATCH(DATE(Y$5,$J258,$I258),daily_dates,0),MATCH($B$3,daily_items,0))),NA(),INDEX(big_daily_table,MATCH(DATE(Y$5,$J258,$I258),daily_dates,0),MATCH($B$3,daily_items,0)))</f>
        <v>#N/A</v>
      </c>
      <c r="Z258" s="1" t="n">
        <f aca="true">_xlfn.AGGREGATE(5,6,OFFSET($R$5,H258,0,1,$J$2))</f>
        <v>0</v>
      </c>
      <c r="AA258" s="1" t="n">
        <f aca="true">_xlfn.AGGREGATE(4,6,OFFSET($R$5,H258,0,1,$J$2))</f>
        <v>0</v>
      </c>
      <c r="AB258" s="1" t="n">
        <f aca="false">AA258-Z258</f>
        <v>0</v>
      </c>
      <c r="AC258" s="1" t="e">
        <f aca="true">_xlfn.AGGREGATE(1,6,OFFSET($R$5,H258,0,1,$J$2))</f>
        <v>#DIV/0!</v>
      </c>
    </row>
    <row r="259" customFormat="false" ht="14.25" hidden="false" customHeight="false" outlineLevel="0" collapsed="false">
      <c r="H259" s="1" t="n">
        <f aca="false">H258+1</f>
        <v>254</v>
      </c>
      <c r="I259" s="1" t="n">
        <f aca="false">DAY(K259)</f>
        <v>10</v>
      </c>
      <c r="J259" s="1" t="n">
        <f aca="false">MONTH(K259)</f>
        <v>9</v>
      </c>
      <c r="K259" s="23" t="n">
        <f aca="false">K258+1</f>
        <v>36779</v>
      </c>
      <c r="L259" s="24" t="n">
        <f aca="true">IF(TODAY()&lt;DATE($N$5,J259,I259),1000000,-1000000)</f>
        <v>-1000000</v>
      </c>
      <c r="M259" s="1" t="e">
        <f aca="false">IF(K259&gt;0,INDEX(big_daily_table,MATCH(DATE(N$5,$J259,$I259),daily_dates,0),MATCH($B$3,daily_items,0)),NA())</f>
        <v>#N/A</v>
      </c>
      <c r="N259" s="1" t="e">
        <f aca="false">IF(L259&lt;0,INDEX(big_daily_table,MATCH(DATE(N$5,$J259,$I259),daily_dates,0),MATCH($B$3,daily_items,0)),NA())</f>
        <v>#N/A</v>
      </c>
      <c r="O259" s="1" t="e">
        <f aca="false">IF(ISBLANK(INDEX(big_daily_table,MATCH(DATE(O$5,$J259,$I259),daily_dates,0),MATCH($B$3,daily_items,0))),NA(),INDEX(big_daily_table,MATCH(DATE(O$5,$J259,$I259),daily_dates,0),MATCH($B$3,daily_items,0)))</f>
        <v>#N/A</v>
      </c>
      <c r="P259" s="1" t="e">
        <f aca="false">IF(ISBLANK(INDEX(big_daily_table,MATCH(DATE(P$5,$J259,$I259),daily_dates,0),MATCH($B$3,daily_items,0))),NA(),INDEX(big_daily_table,MATCH(DATE(P$5,$J259,$I259),daily_dates,0),MATCH($B$3,daily_items,0)))</f>
        <v>#N/A</v>
      </c>
      <c r="Q259" s="1" t="e">
        <f aca="false">IF(ISBLANK(INDEX(big_daily_table,MATCH(DATE(Q$5,$J259,$I259),daily_dates,0),MATCH($B$3,daily_items,0))),NA(),INDEX(big_daily_table,MATCH(DATE(Q$5,$J259,$I259),daily_dates,0),MATCH($B$3,daily_items,0)))</f>
        <v>#N/A</v>
      </c>
      <c r="R259" s="1" t="e">
        <f aca="false">IF(ISBLANK(INDEX(big_daily_table,MATCH(DATE(R$5,$J259,$I259),daily_dates,0),MATCH($B$3,daily_items,0))),NA(),INDEX(big_daily_table,MATCH(DATE(R$5,$J259,$I259),daily_dates,0),MATCH($B$3,daily_items,0)))</f>
        <v>#N/A</v>
      </c>
      <c r="S259" s="1" t="e">
        <f aca="false">IF(ISBLANK(INDEX(big_daily_table,MATCH(DATE(S$5,$J259,$I259),daily_dates,0),MATCH($B$3,daily_items,0))),NA(),INDEX(big_daily_table,MATCH(DATE(S$5,$J259,$I259),daily_dates,0),MATCH($B$3,daily_items,0)))</f>
        <v>#N/A</v>
      </c>
      <c r="T259" s="1" t="e">
        <f aca="false">IF(ISBLANK(INDEX(big_daily_table,MATCH(DATE(T$5,$J259,$I259),daily_dates,0),MATCH($B$3,daily_items,0))),NA(),INDEX(big_daily_table,MATCH(DATE(T$5,$J259,$I259),daily_dates,0),MATCH($B$3,daily_items,0)))</f>
        <v>#N/A</v>
      </c>
      <c r="U259" s="1" t="e">
        <f aca="false">IF(ISBLANK(INDEX(big_daily_table,MATCH(DATE(U$5,$J259,$I259),daily_dates,0),MATCH($B$3,daily_items,0))),NA(),INDEX(big_daily_table,MATCH(DATE(U$5,$J259,$I259),daily_dates,0),MATCH($B$3,daily_items,0)))</f>
        <v>#N/A</v>
      </c>
      <c r="V259" s="1" t="e">
        <f aca="false">IF(ISBLANK(INDEX(big_daily_table,MATCH(DATE(V$5,$J259,$I259),daily_dates,0),MATCH($B$3,daily_items,0))),NA(),INDEX(big_daily_table,MATCH(DATE(V$5,$J259,$I259),daily_dates,0),MATCH($B$3,daily_items,0)))</f>
        <v>#N/A</v>
      </c>
      <c r="W259" s="1" t="e">
        <f aca="false">IF(ISBLANK(INDEX(big_daily_table,MATCH(DATE(W$5,$J259,$I259),daily_dates,0),MATCH($B$3,daily_items,0))),NA(),INDEX(big_daily_table,MATCH(DATE(W$5,$J259,$I259),daily_dates,0),MATCH($B$3,daily_items,0)))</f>
        <v>#N/A</v>
      </c>
      <c r="X259" s="1" t="e">
        <f aca="false">IF(ISBLANK(INDEX(big_daily_table,MATCH(DATE(X$5,$J259,$I259),daily_dates,0),MATCH($B$3,daily_items,0))),NA(),INDEX(big_daily_table,MATCH(DATE(X$5,$J259,$I259),daily_dates,0),MATCH($B$3,daily_items,0)))</f>
        <v>#N/A</v>
      </c>
      <c r="Y259" s="1" t="e">
        <f aca="false">IF(ISBLANK(INDEX(big_daily_table,MATCH(DATE(Y$5,$J259,$I259),daily_dates,0),MATCH($B$3,daily_items,0))),NA(),INDEX(big_daily_table,MATCH(DATE(Y$5,$J259,$I259),daily_dates,0),MATCH($B$3,daily_items,0)))</f>
        <v>#N/A</v>
      </c>
      <c r="Z259" s="1" t="n">
        <f aca="true">_xlfn.AGGREGATE(5,6,OFFSET($R$5,H259,0,1,$J$2))</f>
        <v>0</v>
      </c>
      <c r="AA259" s="1" t="n">
        <f aca="true">_xlfn.AGGREGATE(4,6,OFFSET($R$5,H259,0,1,$J$2))</f>
        <v>0</v>
      </c>
      <c r="AB259" s="1" t="n">
        <f aca="false">AA259-Z259</f>
        <v>0</v>
      </c>
      <c r="AC259" s="1" t="e">
        <f aca="true">_xlfn.AGGREGATE(1,6,OFFSET($R$5,H259,0,1,$J$2))</f>
        <v>#DIV/0!</v>
      </c>
    </row>
    <row r="260" customFormat="false" ht="14.25" hidden="false" customHeight="false" outlineLevel="0" collapsed="false">
      <c r="H260" s="1" t="n">
        <f aca="false">H259+1</f>
        <v>255</v>
      </c>
      <c r="I260" s="1" t="n">
        <f aca="false">DAY(K260)</f>
        <v>11</v>
      </c>
      <c r="J260" s="1" t="n">
        <f aca="false">MONTH(K260)</f>
        <v>9</v>
      </c>
      <c r="K260" s="23" t="n">
        <f aca="false">K259+1</f>
        <v>36780</v>
      </c>
      <c r="L260" s="24" t="n">
        <f aca="true">IF(TODAY()&lt;DATE($N$5,J260,I260),1000000,-1000000)</f>
        <v>-1000000</v>
      </c>
      <c r="M260" s="1" t="e">
        <f aca="false">IF(K260&gt;0,INDEX(big_daily_table,MATCH(DATE(N$5,$J260,$I260),daily_dates,0),MATCH($B$3,daily_items,0)),NA())</f>
        <v>#N/A</v>
      </c>
      <c r="N260" s="1" t="e">
        <f aca="false">IF(L260&lt;0,INDEX(big_daily_table,MATCH(DATE(N$5,$J260,$I260),daily_dates,0),MATCH($B$3,daily_items,0)),NA())</f>
        <v>#N/A</v>
      </c>
      <c r="O260" s="1" t="e">
        <f aca="false">IF(ISBLANK(INDEX(big_daily_table,MATCH(DATE(O$5,$J260,$I260),daily_dates,0),MATCH($B$3,daily_items,0))),NA(),INDEX(big_daily_table,MATCH(DATE(O$5,$J260,$I260),daily_dates,0),MATCH($B$3,daily_items,0)))</f>
        <v>#N/A</v>
      </c>
      <c r="P260" s="1" t="e">
        <f aca="false">IF(ISBLANK(INDEX(big_daily_table,MATCH(DATE(P$5,$J260,$I260),daily_dates,0),MATCH($B$3,daily_items,0))),NA(),INDEX(big_daily_table,MATCH(DATE(P$5,$J260,$I260),daily_dates,0),MATCH($B$3,daily_items,0)))</f>
        <v>#N/A</v>
      </c>
      <c r="Q260" s="1" t="e">
        <f aca="false">IF(ISBLANK(INDEX(big_daily_table,MATCH(DATE(Q$5,$J260,$I260),daily_dates,0),MATCH($B$3,daily_items,0))),NA(),INDEX(big_daily_table,MATCH(DATE(Q$5,$J260,$I260),daily_dates,0),MATCH($B$3,daily_items,0)))</f>
        <v>#N/A</v>
      </c>
      <c r="R260" s="1" t="e">
        <f aca="false">IF(ISBLANK(INDEX(big_daily_table,MATCH(DATE(R$5,$J260,$I260),daily_dates,0),MATCH($B$3,daily_items,0))),NA(),INDEX(big_daily_table,MATCH(DATE(R$5,$J260,$I260),daily_dates,0),MATCH($B$3,daily_items,0)))</f>
        <v>#N/A</v>
      </c>
      <c r="S260" s="1" t="e">
        <f aca="false">IF(ISBLANK(INDEX(big_daily_table,MATCH(DATE(S$5,$J260,$I260),daily_dates,0),MATCH($B$3,daily_items,0))),NA(),INDEX(big_daily_table,MATCH(DATE(S$5,$J260,$I260),daily_dates,0),MATCH($B$3,daily_items,0)))</f>
        <v>#N/A</v>
      </c>
      <c r="T260" s="1" t="e">
        <f aca="false">IF(ISBLANK(INDEX(big_daily_table,MATCH(DATE(T$5,$J260,$I260),daily_dates,0),MATCH($B$3,daily_items,0))),NA(),INDEX(big_daily_table,MATCH(DATE(T$5,$J260,$I260),daily_dates,0),MATCH($B$3,daily_items,0)))</f>
        <v>#N/A</v>
      </c>
      <c r="U260" s="1" t="e">
        <f aca="false">IF(ISBLANK(INDEX(big_daily_table,MATCH(DATE(U$5,$J260,$I260),daily_dates,0),MATCH($B$3,daily_items,0))),NA(),INDEX(big_daily_table,MATCH(DATE(U$5,$J260,$I260),daily_dates,0),MATCH($B$3,daily_items,0)))</f>
        <v>#N/A</v>
      </c>
      <c r="V260" s="1" t="e">
        <f aca="false">IF(ISBLANK(INDEX(big_daily_table,MATCH(DATE(V$5,$J260,$I260),daily_dates,0),MATCH($B$3,daily_items,0))),NA(),INDEX(big_daily_table,MATCH(DATE(V$5,$J260,$I260),daily_dates,0),MATCH($B$3,daily_items,0)))</f>
        <v>#N/A</v>
      </c>
      <c r="W260" s="1" t="e">
        <f aca="false">IF(ISBLANK(INDEX(big_daily_table,MATCH(DATE(W$5,$J260,$I260),daily_dates,0),MATCH($B$3,daily_items,0))),NA(),INDEX(big_daily_table,MATCH(DATE(W$5,$J260,$I260),daily_dates,0),MATCH($B$3,daily_items,0)))</f>
        <v>#N/A</v>
      </c>
      <c r="X260" s="1" t="e">
        <f aca="false">IF(ISBLANK(INDEX(big_daily_table,MATCH(DATE(X$5,$J260,$I260),daily_dates,0),MATCH($B$3,daily_items,0))),NA(),INDEX(big_daily_table,MATCH(DATE(X$5,$J260,$I260),daily_dates,0),MATCH($B$3,daily_items,0)))</f>
        <v>#N/A</v>
      </c>
      <c r="Y260" s="1" t="e">
        <f aca="false">IF(ISBLANK(INDEX(big_daily_table,MATCH(DATE(Y$5,$J260,$I260),daily_dates,0),MATCH($B$3,daily_items,0))),NA(),INDEX(big_daily_table,MATCH(DATE(Y$5,$J260,$I260),daily_dates,0),MATCH($B$3,daily_items,0)))</f>
        <v>#N/A</v>
      </c>
      <c r="Z260" s="1" t="n">
        <f aca="true">_xlfn.AGGREGATE(5,6,OFFSET($R$5,H260,0,1,$J$2))</f>
        <v>0</v>
      </c>
      <c r="AA260" s="1" t="n">
        <f aca="true">_xlfn.AGGREGATE(4,6,OFFSET($R$5,H260,0,1,$J$2))</f>
        <v>0</v>
      </c>
      <c r="AB260" s="1" t="n">
        <f aca="false">AA260-Z260</f>
        <v>0</v>
      </c>
      <c r="AC260" s="1" t="e">
        <f aca="true">_xlfn.AGGREGATE(1,6,OFFSET($R$5,H260,0,1,$J$2))</f>
        <v>#DIV/0!</v>
      </c>
    </row>
    <row r="261" customFormat="false" ht="14.25" hidden="false" customHeight="false" outlineLevel="0" collapsed="false">
      <c r="H261" s="1" t="n">
        <f aca="false">H260+1</f>
        <v>256</v>
      </c>
      <c r="I261" s="1" t="n">
        <f aca="false">DAY(K261)</f>
        <v>12</v>
      </c>
      <c r="J261" s="1" t="n">
        <f aca="false">MONTH(K261)</f>
        <v>9</v>
      </c>
      <c r="K261" s="23" t="n">
        <f aca="false">K260+1</f>
        <v>36781</v>
      </c>
      <c r="L261" s="24" t="n">
        <f aca="true">IF(TODAY()&lt;DATE($N$5,J261,I261),1000000,-1000000)</f>
        <v>-1000000</v>
      </c>
      <c r="M261" s="1" t="e">
        <f aca="false">IF(K261&gt;0,INDEX(big_daily_table,MATCH(DATE(N$5,$J261,$I261),daily_dates,0),MATCH($B$3,daily_items,0)),NA())</f>
        <v>#N/A</v>
      </c>
      <c r="N261" s="1" t="e">
        <f aca="false">IF(L261&lt;0,INDEX(big_daily_table,MATCH(DATE(N$5,$J261,$I261),daily_dates,0),MATCH($B$3,daily_items,0)),NA())</f>
        <v>#N/A</v>
      </c>
      <c r="O261" s="1" t="e">
        <f aca="false">IF(ISBLANK(INDEX(big_daily_table,MATCH(DATE(O$5,$J261,$I261),daily_dates,0),MATCH($B$3,daily_items,0))),NA(),INDEX(big_daily_table,MATCH(DATE(O$5,$J261,$I261),daily_dates,0),MATCH($B$3,daily_items,0)))</f>
        <v>#N/A</v>
      </c>
      <c r="P261" s="1" t="e">
        <f aca="false">IF(ISBLANK(INDEX(big_daily_table,MATCH(DATE(P$5,$J261,$I261),daily_dates,0),MATCH($B$3,daily_items,0))),NA(),INDEX(big_daily_table,MATCH(DATE(P$5,$J261,$I261),daily_dates,0),MATCH($B$3,daily_items,0)))</f>
        <v>#N/A</v>
      </c>
      <c r="Q261" s="1" t="e">
        <f aca="false">IF(ISBLANK(INDEX(big_daily_table,MATCH(DATE(Q$5,$J261,$I261),daily_dates,0),MATCH($B$3,daily_items,0))),NA(),INDEX(big_daily_table,MATCH(DATE(Q$5,$J261,$I261),daily_dates,0),MATCH($B$3,daily_items,0)))</f>
        <v>#N/A</v>
      </c>
      <c r="R261" s="1" t="e">
        <f aca="false">IF(ISBLANK(INDEX(big_daily_table,MATCH(DATE(R$5,$J261,$I261),daily_dates,0),MATCH($B$3,daily_items,0))),NA(),INDEX(big_daily_table,MATCH(DATE(R$5,$J261,$I261),daily_dates,0),MATCH($B$3,daily_items,0)))</f>
        <v>#N/A</v>
      </c>
      <c r="S261" s="1" t="e">
        <f aca="false">IF(ISBLANK(INDEX(big_daily_table,MATCH(DATE(S$5,$J261,$I261),daily_dates,0),MATCH($B$3,daily_items,0))),NA(),INDEX(big_daily_table,MATCH(DATE(S$5,$J261,$I261),daily_dates,0),MATCH($B$3,daily_items,0)))</f>
        <v>#N/A</v>
      </c>
      <c r="T261" s="1" t="e">
        <f aca="false">IF(ISBLANK(INDEX(big_daily_table,MATCH(DATE(T$5,$J261,$I261),daily_dates,0),MATCH($B$3,daily_items,0))),NA(),INDEX(big_daily_table,MATCH(DATE(T$5,$J261,$I261),daily_dates,0),MATCH($B$3,daily_items,0)))</f>
        <v>#N/A</v>
      </c>
      <c r="U261" s="1" t="e">
        <f aca="false">IF(ISBLANK(INDEX(big_daily_table,MATCH(DATE(U$5,$J261,$I261),daily_dates,0),MATCH($B$3,daily_items,0))),NA(),INDEX(big_daily_table,MATCH(DATE(U$5,$J261,$I261),daily_dates,0),MATCH($B$3,daily_items,0)))</f>
        <v>#N/A</v>
      </c>
      <c r="V261" s="1" t="e">
        <f aca="false">IF(ISBLANK(INDEX(big_daily_table,MATCH(DATE(V$5,$J261,$I261),daily_dates,0),MATCH($B$3,daily_items,0))),NA(),INDEX(big_daily_table,MATCH(DATE(V$5,$J261,$I261),daily_dates,0),MATCH($B$3,daily_items,0)))</f>
        <v>#N/A</v>
      </c>
      <c r="W261" s="1" t="e">
        <f aca="false">IF(ISBLANK(INDEX(big_daily_table,MATCH(DATE(W$5,$J261,$I261),daily_dates,0),MATCH($B$3,daily_items,0))),NA(),INDEX(big_daily_table,MATCH(DATE(W$5,$J261,$I261),daily_dates,0),MATCH($B$3,daily_items,0)))</f>
        <v>#N/A</v>
      </c>
      <c r="X261" s="1" t="e">
        <f aca="false">IF(ISBLANK(INDEX(big_daily_table,MATCH(DATE(X$5,$J261,$I261),daily_dates,0),MATCH($B$3,daily_items,0))),NA(),INDEX(big_daily_table,MATCH(DATE(X$5,$J261,$I261),daily_dates,0),MATCH($B$3,daily_items,0)))</f>
        <v>#N/A</v>
      </c>
      <c r="Y261" s="1" t="e">
        <f aca="false">IF(ISBLANK(INDEX(big_daily_table,MATCH(DATE(Y$5,$J261,$I261),daily_dates,0),MATCH($B$3,daily_items,0))),NA(),INDEX(big_daily_table,MATCH(DATE(Y$5,$J261,$I261),daily_dates,0),MATCH($B$3,daily_items,0)))</f>
        <v>#N/A</v>
      </c>
      <c r="Z261" s="1" t="n">
        <f aca="true">_xlfn.AGGREGATE(5,6,OFFSET($R$5,H261,0,1,$J$2))</f>
        <v>0</v>
      </c>
      <c r="AA261" s="1" t="n">
        <f aca="true">_xlfn.AGGREGATE(4,6,OFFSET($R$5,H261,0,1,$J$2))</f>
        <v>0</v>
      </c>
      <c r="AB261" s="1" t="n">
        <f aca="false">AA261-Z261</f>
        <v>0</v>
      </c>
      <c r="AC261" s="1" t="e">
        <f aca="true">_xlfn.AGGREGATE(1,6,OFFSET($R$5,H261,0,1,$J$2))</f>
        <v>#DIV/0!</v>
      </c>
    </row>
    <row r="262" customFormat="false" ht="14.25" hidden="false" customHeight="false" outlineLevel="0" collapsed="false">
      <c r="H262" s="1" t="n">
        <f aca="false">H261+1</f>
        <v>257</v>
      </c>
      <c r="I262" s="1" t="n">
        <f aca="false">DAY(K262)</f>
        <v>13</v>
      </c>
      <c r="J262" s="1" t="n">
        <f aca="false">MONTH(K262)</f>
        <v>9</v>
      </c>
      <c r="K262" s="23" t="n">
        <f aca="false">K261+1</f>
        <v>36782</v>
      </c>
      <c r="L262" s="24" t="n">
        <f aca="true">IF(TODAY()&lt;DATE($N$5,J262,I262),1000000,-1000000)</f>
        <v>-1000000</v>
      </c>
      <c r="M262" s="1" t="e">
        <f aca="false">IF(K262&gt;0,INDEX(big_daily_table,MATCH(DATE(N$5,$J262,$I262),daily_dates,0),MATCH($B$3,daily_items,0)),NA())</f>
        <v>#N/A</v>
      </c>
      <c r="N262" s="1" t="e">
        <f aca="false">IF(L262&lt;0,INDEX(big_daily_table,MATCH(DATE(N$5,$J262,$I262),daily_dates,0),MATCH($B$3,daily_items,0)),NA())</f>
        <v>#N/A</v>
      </c>
      <c r="O262" s="1" t="e">
        <f aca="false">IF(ISBLANK(INDEX(big_daily_table,MATCH(DATE(O$5,$J262,$I262),daily_dates,0),MATCH($B$3,daily_items,0))),NA(),INDEX(big_daily_table,MATCH(DATE(O$5,$J262,$I262),daily_dates,0),MATCH($B$3,daily_items,0)))</f>
        <v>#N/A</v>
      </c>
      <c r="P262" s="1" t="e">
        <f aca="false">IF(ISBLANK(INDEX(big_daily_table,MATCH(DATE(P$5,$J262,$I262),daily_dates,0),MATCH($B$3,daily_items,0))),NA(),INDEX(big_daily_table,MATCH(DATE(P$5,$J262,$I262),daily_dates,0),MATCH($B$3,daily_items,0)))</f>
        <v>#N/A</v>
      </c>
      <c r="Q262" s="1" t="e">
        <f aca="false">IF(ISBLANK(INDEX(big_daily_table,MATCH(DATE(Q$5,$J262,$I262),daily_dates,0),MATCH($B$3,daily_items,0))),NA(),INDEX(big_daily_table,MATCH(DATE(Q$5,$J262,$I262),daily_dates,0),MATCH($B$3,daily_items,0)))</f>
        <v>#N/A</v>
      </c>
      <c r="R262" s="1" t="e">
        <f aca="false">IF(ISBLANK(INDEX(big_daily_table,MATCH(DATE(R$5,$J262,$I262),daily_dates,0),MATCH($B$3,daily_items,0))),NA(),INDEX(big_daily_table,MATCH(DATE(R$5,$J262,$I262),daily_dates,0),MATCH($B$3,daily_items,0)))</f>
        <v>#N/A</v>
      </c>
      <c r="S262" s="1" t="e">
        <f aca="false">IF(ISBLANK(INDEX(big_daily_table,MATCH(DATE(S$5,$J262,$I262),daily_dates,0),MATCH($B$3,daily_items,0))),NA(),INDEX(big_daily_table,MATCH(DATE(S$5,$J262,$I262),daily_dates,0),MATCH($B$3,daily_items,0)))</f>
        <v>#N/A</v>
      </c>
      <c r="T262" s="1" t="e">
        <f aca="false">IF(ISBLANK(INDEX(big_daily_table,MATCH(DATE(T$5,$J262,$I262),daily_dates,0),MATCH($B$3,daily_items,0))),NA(),INDEX(big_daily_table,MATCH(DATE(T$5,$J262,$I262),daily_dates,0),MATCH($B$3,daily_items,0)))</f>
        <v>#N/A</v>
      </c>
      <c r="U262" s="1" t="e">
        <f aca="false">IF(ISBLANK(INDEX(big_daily_table,MATCH(DATE(U$5,$J262,$I262),daily_dates,0),MATCH($B$3,daily_items,0))),NA(),INDEX(big_daily_table,MATCH(DATE(U$5,$J262,$I262),daily_dates,0),MATCH($B$3,daily_items,0)))</f>
        <v>#N/A</v>
      </c>
      <c r="V262" s="1" t="e">
        <f aca="false">IF(ISBLANK(INDEX(big_daily_table,MATCH(DATE(V$5,$J262,$I262),daily_dates,0),MATCH($B$3,daily_items,0))),NA(),INDEX(big_daily_table,MATCH(DATE(V$5,$J262,$I262),daily_dates,0),MATCH($B$3,daily_items,0)))</f>
        <v>#N/A</v>
      </c>
      <c r="W262" s="1" t="e">
        <f aca="false">IF(ISBLANK(INDEX(big_daily_table,MATCH(DATE(W$5,$J262,$I262),daily_dates,0),MATCH($B$3,daily_items,0))),NA(),INDEX(big_daily_table,MATCH(DATE(W$5,$J262,$I262),daily_dates,0),MATCH($B$3,daily_items,0)))</f>
        <v>#N/A</v>
      </c>
      <c r="X262" s="1" t="e">
        <f aca="false">IF(ISBLANK(INDEX(big_daily_table,MATCH(DATE(X$5,$J262,$I262),daily_dates,0),MATCH($B$3,daily_items,0))),NA(),INDEX(big_daily_table,MATCH(DATE(X$5,$J262,$I262),daily_dates,0),MATCH($B$3,daily_items,0)))</f>
        <v>#N/A</v>
      </c>
      <c r="Y262" s="1" t="e">
        <f aca="false">IF(ISBLANK(INDEX(big_daily_table,MATCH(DATE(Y$5,$J262,$I262),daily_dates,0),MATCH($B$3,daily_items,0))),NA(),INDEX(big_daily_table,MATCH(DATE(Y$5,$J262,$I262),daily_dates,0),MATCH($B$3,daily_items,0)))</f>
        <v>#N/A</v>
      </c>
      <c r="Z262" s="1" t="n">
        <f aca="true">_xlfn.AGGREGATE(5,6,OFFSET($R$5,H262,0,1,$J$2))</f>
        <v>0</v>
      </c>
      <c r="AA262" s="1" t="n">
        <f aca="true">_xlfn.AGGREGATE(4,6,OFFSET($R$5,H262,0,1,$J$2))</f>
        <v>0</v>
      </c>
      <c r="AB262" s="1" t="n">
        <f aca="false">AA262-Z262</f>
        <v>0</v>
      </c>
      <c r="AC262" s="1" t="e">
        <f aca="true">_xlfn.AGGREGATE(1,6,OFFSET($R$5,H262,0,1,$J$2))</f>
        <v>#DIV/0!</v>
      </c>
    </row>
    <row r="263" customFormat="false" ht="14.25" hidden="false" customHeight="false" outlineLevel="0" collapsed="false">
      <c r="H263" s="1" t="n">
        <f aca="false">H262+1</f>
        <v>258</v>
      </c>
      <c r="I263" s="1" t="n">
        <f aca="false">DAY(K263)</f>
        <v>14</v>
      </c>
      <c r="J263" s="1" t="n">
        <f aca="false">MONTH(K263)</f>
        <v>9</v>
      </c>
      <c r="K263" s="23" t="n">
        <f aca="false">K262+1</f>
        <v>36783</v>
      </c>
      <c r="L263" s="24" t="n">
        <f aca="true">IF(TODAY()&lt;DATE($N$5,J263,I263),1000000,-1000000)</f>
        <v>-1000000</v>
      </c>
      <c r="M263" s="1" t="e">
        <f aca="false">IF(K263&gt;0,INDEX(big_daily_table,MATCH(DATE(N$5,$J263,$I263),daily_dates,0),MATCH($B$3,daily_items,0)),NA())</f>
        <v>#N/A</v>
      </c>
      <c r="N263" s="1" t="e">
        <f aca="false">IF(L263&lt;0,INDEX(big_daily_table,MATCH(DATE(N$5,$J263,$I263),daily_dates,0),MATCH($B$3,daily_items,0)),NA())</f>
        <v>#N/A</v>
      </c>
      <c r="O263" s="1" t="e">
        <f aca="false">IF(ISBLANK(INDEX(big_daily_table,MATCH(DATE(O$5,$J263,$I263),daily_dates,0),MATCH($B$3,daily_items,0))),NA(),INDEX(big_daily_table,MATCH(DATE(O$5,$J263,$I263),daily_dates,0),MATCH($B$3,daily_items,0)))</f>
        <v>#N/A</v>
      </c>
      <c r="P263" s="1" t="e">
        <f aca="false">IF(ISBLANK(INDEX(big_daily_table,MATCH(DATE(P$5,$J263,$I263),daily_dates,0),MATCH($B$3,daily_items,0))),NA(),INDEX(big_daily_table,MATCH(DATE(P$5,$J263,$I263),daily_dates,0),MATCH($B$3,daily_items,0)))</f>
        <v>#N/A</v>
      </c>
      <c r="Q263" s="1" t="e">
        <f aca="false">IF(ISBLANK(INDEX(big_daily_table,MATCH(DATE(Q$5,$J263,$I263),daily_dates,0),MATCH($B$3,daily_items,0))),NA(),INDEX(big_daily_table,MATCH(DATE(Q$5,$J263,$I263),daily_dates,0),MATCH($B$3,daily_items,0)))</f>
        <v>#N/A</v>
      </c>
      <c r="R263" s="1" t="e">
        <f aca="false">IF(ISBLANK(INDEX(big_daily_table,MATCH(DATE(R$5,$J263,$I263),daily_dates,0),MATCH($B$3,daily_items,0))),NA(),INDEX(big_daily_table,MATCH(DATE(R$5,$J263,$I263),daily_dates,0),MATCH($B$3,daily_items,0)))</f>
        <v>#N/A</v>
      </c>
      <c r="S263" s="1" t="e">
        <f aca="false">IF(ISBLANK(INDEX(big_daily_table,MATCH(DATE(S$5,$J263,$I263),daily_dates,0),MATCH($B$3,daily_items,0))),NA(),INDEX(big_daily_table,MATCH(DATE(S$5,$J263,$I263),daily_dates,0),MATCH($B$3,daily_items,0)))</f>
        <v>#N/A</v>
      </c>
      <c r="T263" s="1" t="e">
        <f aca="false">IF(ISBLANK(INDEX(big_daily_table,MATCH(DATE(T$5,$J263,$I263),daily_dates,0),MATCH($B$3,daily_items,0))),NA(),INDEX(big_daily_table,MATCH(DATE(T$5,$J263,$I263),daily_dates,0),MATCH($B$3,daily_items,0)))</f>
        <v>#N/A</v>
      </c>
      <c r="U263" s="1" t="e">
        <f aca="false">IF(ISBLANK(INDEX(big_daily_table,MATCH(DATE(U$5,$J263,$I263),daily_dates,0),MATCH($B$3,daily_items,0))),NA(),INDEX(big_daily_table,MATCH(DATE(U$5,$J263,$I263),daily_dates,0),MATCH($B$3,daily_items,0)))</f>
        <v>#N/A</v>
      </c>
      <c r="V263" s="1" t="e">
        <f aca="false">IF(ISBLANK(INDEX(big_daily_table,MATCH(DATE(V$5,$J263,$I263),daily_dates,0),MATCH($B$3,daily_items,0))),NA(),INDEX(big_daily_table,MATCH(DATE(V$5,$J263,$I263),daily_dates,0),MATCH($B$3,daily_items,0)))</f>
        <v>#N/A</v>
      </c>
      <c r="W263" s="1" t="e">
        <f aca="false">IF(ISBLANK(INDEX(big_daily_table,MATCH(DATE(W$5,$J263,$I263),daily_dates,0),MATCH($B$3,daily_items,0))),NA(),INDEX(big_daily_table,MATCH(DATE(W$5,$J263,$I263),daily_dates,0),MATCH($B$3,daily_items,0)))</f>
        <v>#N/A</v>
      </c>
      <c r="X263" s="1" t="e">
        <f aca="false">IF(ISBLANK(INDEX(big_daily_table,MATCH(DATE(X$5,$J263,$I263),daily_dates,0),MATCH($B$3,daily_items,0))),NA(),INDEX(big_daily_table,MATCH(DATE(X$5,$J263,$I263),daily_dates,0),MATCH($B$3,daily_items,0)))</f>
        <v>#N/A</v>
      </c>
      <c r="Y263" s="1" t="e">
        <f aca="false">IF(ISBLANK(INDEX(big_daily_table,MATCH(DATE(Y$5,$J263,$I263),daily_dates,0),MATCH($B$3,daily_items,0))),NA(),INDEX(big_daily_table,MATCH(DATE(Y$5,$J263,$I263),daily_dates,0),MATCH($B$3,daily_items,0)))</f>
        <v>#N/A</v>
      </c>
      <c r="Z263" s="1" t="n">
        <f aca="true">_xlfn.AGGREGATE(5,6,OFFSET($R$5,H263,0,1,$J$2))</f>
        <v>0</v>
      </c>
      <c r="AA263" s="1" t="n">
        <f aca="true">_xlfn.AGGREGATE(4,6,OFFSET($R$5,H263,0,1,$J$2))</f>
        <v>0</v>
      </c>
      <c r="AB263" s="1" t="n">
        <f aca="false">AA263-Z263</f>
        <v>0</v>
      </c>
      <c r="AC263" s="1" t="e">
        <f aca="true">_xlfn.AGGREGATE(1,6,OFFSET($R$5,H263,0,1,$J$2))</f>
        <v>#DIV/0!</v>
      </c>
    </row>
    <row r="264" customFormat="false" ht="14.25" hidden="false" customHeight="false" outlineLevel="0" collapsed="false">
      <c r="H264" s="1" t="n">
        <f aca="false">H263+1</f>
        <v>259</v>
      </c>
      <c r="I264" s="1" t="n">
        <f aca="false">DAY(K264)</f>
        <v>15</v>
      </c>
      <c r="J264" s="1" t="n">
        <f aca="false">MONTH(K264)</f>
        <v>9</v>
      </c>
      <c r="K264" s="23" t="n">
        <f aca="false">K263+1</f>
        <v>36784</v>
      </c>
      <c r="L264" s="24" t="n">
        <f aca="true">IF(TODAY()&lt;DATE($N$5,J264,I264),1000000,-1000000)</f>
        <v>-1000000</v>
      </c>
      <c r="M264" s="1" t="e">
        <f aca="false">IF(K264&gt;0,INDEX(big_daily_table,MATCH(DATE(N$5,$J264,$I264),daily_dates,0),MATCH($B$3,daily_items,0)),NA())</f>
        <v>#N/A</v>
      </c>
      <c r="N264" s="1" t="e">
        <f aca="false">IF(L264&lt;0,INDEX(big_daily_table,MATCH(DATE(N$5,$J264,$I264),daily_dates,0),MATCH($B$3,daily_items,0)),NA())</f>
        <v>#N/A</v>
      </c>
      <c r="O264" s="1" t="e">
        <f aca="false">IF(ISBLANK(INDEX(big_daily_table,MATCH(DATE(O$5,$J264,$I264),daily_dates,0),MATCH($B$3,daily_items,0))),NA(),INDEX(big_daily_table,MATCH(DATE(O$5,$J264,$I264),daily_dates,0),MATCH($B$3,daily_items,0)))</f>
        <v>#N/A</v>
      </c>
      <c r="P264" s="1" t="e">
        <f aca="false">IF(ISBLANK(INDEX(big_daily_table,MATCH(DATE(P$5,$J264,$I264),daily_dates,0),MATCH($B$3,daily_items,0))),NA(),INDEX(big_daily_table,MATCH(DATE(P$5,$J264,$I264),daily_dates,0),MATCH($B$3,daily_items,0)))</f>
        <v>#N/A</v>
      </c>
      <c r="Q264" s="1" t="e">
        <f aca="false">IF(ISBLANK(INDEX(big_daily_table,MATCH(DATE(Q$5,$J264,$I264),daily_dates,0),MATCH($B$3,daily_items,0))),NA(),INDEX(big_daily_table,MATCH(DATE(Q$5,$J264,$I264),daily_dates,0),MATCH($B$3,daily_items,0)))</f>
        <v>#N/A</v>
      </c>
      <c r="R264" s="1" t="e">
        <f aca="false">IF(ISBLANK(INDEX(big_daily_table,MATCH(DATE(R$5,$J264,$I264),daily_dates,0),MATCH($B$3,daily_items,0))),NA(),INDEX(big_daily_table,MATCH(DATE(R$5,$J264,$I264),daily_dates,0),MATCH($B$3,daily_items,0)))</f>
        <v>#N/A</v>
      </c>
      <c r="S264" s="1" t="e">
        <f aca="false">IF(ISBLANK(INDEX(big_daily_table,MATCH(DATE(S$5,$J264,$I264),daily_dates,0),MATCH($B$3,daily_items,0))),NA(),INDEX(big_daily_table,MATCH(DATE(S$5,$J264,$I264),daily_dates,0),MATCH($B$3,daily_items,0)))</f>
        <v>#N/A</v>
      </c>
      <c r="T264" s="1" t="e">
        <f aca="false">IF(ISBLANK(INDEX(big_daily_table,MATCH(DATE(T$5,$J264,$I264),daily_dates,0),MATCH($B$3,daily_items,0))),NA(),INDEX(big_daily_table,MATCH(DATE(T$5,$J264,$I264),daily_dates,0),MATCH($B$3,daily_items,0)))</f>
        <v>#N/A</v>
      </c>
      <c r="U264" s="1" t="e">
        <f aca="false">IF(ISBLANK(INDEX(big_daily_table,MATCH(DATE(U$5,$J264,$I264),daily_dates,0),MATCH($B$3,daily_items,0))),NA(),INDEX(big_daily_table,MATCH(DATE(U$5,$J264,$I264),daily_dates,0),MATCH($B$3,daily_items,0)))</f>
        <v>#N/A</v>
      </c>
      <c r="V264" s="1" t="e">
        <f aca="false">IF(ISBLANK(INDEX(big_daily_table,MATCH(DATE(V$5,$J264,$I264),daily_dates,0),MATCH($B$3,daily_items,0))),NA(),INDEX(big_daily_table,MATCH(DATE(V$5,$J264,$I264),daily_dates,0),MATCH($B$3,daily_items,0)))</f>
        <v>#N/A</v>
      </c>
      <c r="W264" s="1" t="e">
        <f aca="false">IF(ISBLANK(INDEX(big_daily_table,MATCH(DATE(W$5,$J264,$I264),daily_dates,0),MATCH($B$3,daily_items,0))),NA(),INDEX(big_daily_table,MATCH(DATE(W$5,$J264,$I264),daily_dates,0),MATCH($B$3,daily_items,0)))</f>
        <v>#N/A</v>
      </c>
      <c r="X264" s="1" t="e">
        <f aca="false">IF(ISBLANK(INDEX(big_daily_table,MATCH(DATE(X$5,$J264,$I264),daily_dates,0),MATCH($B$3,daily_items,0))),NA(),INDEX(big_daily_table,MATCH(DATE(X$5,$J264,$I264),daily_dates,0),MATCH($B$3,daily_items,0)))</f>
        <v>#N/A</v>
      </c>
      <c r="Y264" s="1" t="e">
        <f aca="false">IF(ISBLANK(INDEX(big_daily_table,MATCH(DATE(Y$5,$J264,$I264),daily_dates,0),MATCH($B$3,daily_items,0))),NA(),INDEX(big_daily_table,MATCH(DATE(Y$5,$J264,$I264),daily_dates,0),MATCH($B$3,daily_items,0)))</f>
        <v>#N/A</v>
      </c>
      <c r="Z264" s="1" t="n">
        <f aca="true">_xlfn.AGGREGATE(5,6,OFFSET($R$5,H264,0,1,$J$2))</f>
        <v>0</v>
      </c>
      <c r="AA264" s="1" t="n">
        <f aca="true">_xlfn.AGGREGATE(4,6,OFFSET($R$5,H264,0,1,$J$2))</f>
        <v>0</v>
      </c>
      <c r="AB264" s="1" t="n">
        <f aca="false">AA264-Z264</f>
        <v>0</v>
      </c>
      <c r="AC264" s="1" t="e">
        <f aca="true">_xlfn.AGGREGATE(1,6,OFFSET($R$5,H264,0,1,$J$2))</f>
        <v>#DIV/0!</v>
      </c>
    </row>
    <row r="265" customFormat="false" ht="14.25" hidden="false" customHeight="false" outlineLevel="0" collapsed="false">
      <c r="H265" s="1" t="n">
        <f aca="false">H264+1</f>
        <v>260</v>
      </c>
      <c r="I265" s="1" t="n">
        <f aca="false">DAY(K265)</f>
        <v>16</v>
      </c>
      <c r="J265" s="1" t="n">
        <f aca="false">MONTH(K265)</f>
        <v>9</v>
      </c>
      <c r="K265" s="23" t="n">
        <f aca="false">K264+1</f>
        <v>36785</v>
      </c>
      <c r="L265" s="24" t="n">
        <f aca="true">IF(TODAY()&lt;DATE($N$5,J265,I265),1000000,-1000000)</f>
        <v>-1000000</v>
      </c>
      <c r="M265" s="1" t="e">
        <f aca="false">IF(K265&gt;0,INDEX(big_daily_table,MATCH(DATE(N$5,$J265,$I265),daily_dates,0),MATCH($B$3,daily_items,0)),NA())</f>
        <v>#N/A</v>
      </c>
      <c r="N265" s="1" t="e">
        <f aca="false">IF(L265&lt;0,INDEX(big_daily_table,MATCH(DATE(N$5,$J265,$I265),daily_dates,0),MATCH($B$3,daily_items,0)),NA())</f>
        <v>#N/A</v>
      </c>
      <c r="O265" s="1" t="e">
        <f aca="false">IF(ISBLANK(INDEX(big_daily_table,MATCH(DATE(O$5,$J265,$I265),daily_dates,0),MATCH($B$3,daily_items,0))),NA(),INDEX(big_daily_table,MATCH(DATE(O$5,$J265,$I265),daily_dates,0),MATCH($B$3,daily_items,0)))</f>
        <v>#N/A</v>
      </c>
      <c r="P265" s="1" t="e">
        <f aca="false">IF(ISBLANK(INDEX(big_daily_table,MATCH(DATE(P$5,$J265,$I265),daily_dates,0),MATCH($B$3,daily_items,0))),NA(),INDEX(big_daily_table,MATCH(DATE(P$5,$J265,$I265),daily_dates,0),MATCH($B$3,daily_items,0)))</f>
        <v>#N/A</v>
      </c>
      <c r="Q265" s="1" t="e">
        <f aca="false">IF(ISBLANK(INDEX(big_daily_table,MATCH(DATE(Q$5,$J265,$I265),daily_dates,0),MATCH($B$3,daily_items,0))),NA(),INDEX(big_daily_table,MATCH(DATE(Q$5,$J265,$I265),daily_dates,0),MATCH($B$3,daily_items,0)))</f>
        <v>#N/A</v>
      </c>
      <c r="R265" s="1" t="e">
        <f aca="false">IF(ISBLANK(INDEX(big_daily_table,MATCH(DATE(R$5,$J265,$I265),daily_dates,0),MATCH($B$3,daily_items,0))),NA(),INDEX(big_daily_table,MATCH(DATE(R$5,$J265,$I265),daily_dates,0),MATCH($B$3,daily_items,0)))</f>
        <v>#N/A</v>
      </c>
      <c r="S265" s="1" t="e">
        <f aca="false">IF(ISBLANK(INDEX(big_daily_table,MATCH(DATE(S$5,$J265,$I265),daily_dates,0),MATCH($B$3,daily_items,0))),NA(),INDEX(big_daily_table,MATCH(DATE(S$5,$J265,$I265),daily_dates,0),MATCH($B$3,daily_items,0)))</f>
        <v>#N/A</v>
      </c>
      <c r="T265" s="1" t="e">
        <f aca="false">IF(ISBLANK(INDEX(big_daily_table,MATCH(DATE(T$5,$J265,$I265),daily_dates,0),MATCH($B$3,daily_items,0))),NA(),INDEX(big_daily_table,MATCH(DATE(T$5,$J265,$I265),daily_dates,0),MATCH($B$3,daily_items,0)))</f>
        <v>#N/A</v>
      </c>
      <c r="U265" s="1" t="e">
        <f aca="false">IF(ISBLANK(INDEX(big_daily_table,MATCH(DATE(U$5,$J265,$I265),daily_dates,0),MATCH($B$3,daily_items,0))),NA(),INDEX(big_daily_table,MATCH(DATE(U$5,$J265,$I265),daily_dates,0),MATCH($B$3,daily_items,0)))</f>
        <v>#N/A</v>
      </c>
      <c r="V265" s="1" t="e">
        <f aca="false">IF(ISBLANK(INDEX(big_daily_table,MATCH(DATE(V$5,$J265,$I265),daily_dates,0),MATCH($B$3,daily_items,0))),NA(),INDEX(big_daily_table,MATCH(DATE(V$5,$J265,$I265),daily_dates,0),MATCH($B$3,daily_items,0)))</f>
        <v>#N/A</v>
      </c>
      <c r="W265" s="1" t="e">
        <f aca="false">IF(ISBLANK(INDEX(big_daily_table,MATCH(DATE(W$5,$J265,$I265),daily_dates,0),MATCH($B$3,daily_items,0))),NA(),INDEX(big_daily_table,MATCH(DATE(W$5,$J265,$I265),daily_dates,0),MATCH($B$3,daily_items,0)))</f>
        <v>#N/A</v>
      </c>
      <c r="X265" s="1" t="e">
        <f aca="false">IF(ISBLANK(INDEX(big_daily_table,MATCH(DATE(X$5,$J265,$I265),daily_dates,0),MATCH($B$3,daily_items,0))),NA(),INDEX(big_daily_table,MATCH(DATE(X$5,$J265,$I265),daily_dates,0),MATCH($B$3,daily_items,0)))</f>
        <v>#N/A</v>
      </c>
      <c r="Y265" s="1" t="e">
        <f aca="false">IF(ISBLANK(INDEX(big_daily_table,MATCH(DATE(Y$5,$J265,$I265),daily_dates,0),MATCH($B$3,daily_items,0))),NA(),INDEX(big_daily_table,MATCH(DATE(Y$5,$J265,$I265),daily_dates,0),MATCH($B$3,daily_items,0)))</f>
        <v>#N/A</v>
      </c>
      <c r="Z265" s="1" t="n">
        <f aca="true">_xlfn.AGGREGATE(5,6,OFFSET($R$5,H265,0,1,$J$2))</f>
        <v>0</v>
      </c>
      <c r="AA265" s="1" t="n">
        <f aca="true">_xlfn.AGGREGATE(4,6,OFFSET($R$5,H265,0,1,$J$2))</f>
        <v>0</v>
      </c>
      <c r="AB265" s="1" t="n">
        <f aca="false">AA265-Z265</f>
        <v>0</v>
      </c>
      <c r="AC265" s="1" t="e">
        <f aca="true">_xlfn.AGGREGATE(1,6,OFFSET($R$5,H265,0,1,$J$2))</f>
        <v>#DIV/0!</v>
      </c>
    </row>
    <row r="266" customFormat="false" ht="14.25" hidden="false" customHeight="false" outlineLevel="0" collapsed="false">
      <c r="H266" s="1" t="n">
        <f aca="false">H265+1</f>
        <v>261</v>
      </c>
      <c r="I266" s="1" t="n">
        <f aca="false">DAY(K266)</f>
        <v>17</v>
      </c>
      <c r="J266" s="1" t="n">
        <f aca="false">MONTH(K266)</f>
        <v>9</v>
      </c>
      <c r="K266" s="23" t="n">
        <f aca="false">K265+1</f>
        <v>36786</v>
      </c>
      <c r="L266" s="24" t="n">
        <f aca="true">IF(TODAY()&lt;DATE($N$5,J266,I266),1000000,-1000000)</f>
        <v>-1000000</v>
      </c>
      <c r="M266" s="1" t="e">
        <f aca="false">IF(K266&gt;0,INDEX(big_daily_table,MATCH(DATE(N$5,$J266,$I266),daily_dates,0),MATCH($B$3,daily_items,0)),NA())</f>
        <v>#N/A</v>
      </c>
      <c r="N266" s="1" t="e">
        <f aca="false">IF(L266&lt;0,INDEX(big_daily_table,MATCH(DATE(N$5,$J266,$I266),daily_dates,0),MATCH($B$3,daily_items,0)),NA())</f>
        <v>#N/A</v>
      </c>
      <c r="O266" s="1" t="e">
        <f aca="false">IF(ISBLANK(INDEX(big_daily_table,MATCH(DATE(O$5,$J266,$I266),daily_dates,0),MATCH($B$3,daily_items,0))),NA(),INDEX(big_daily_table,MATCH(DATE(O$5,$J266,$I266),daily_dates,0),MATCH($B$3,daily_items,0)))</f>
        <v>#N/A</v>
      </c>
      <c r="P266" s="1" t="e">
        <f aca="false">IF(ISBLANK(INDEX(big_daily_table,MATCH(DATE(P$5,$J266,$I266),daily_dates,0),MATCH($B$3,daily_items,0))),NA(),INDEX(big_daily_table,MATCH(DATE(P$5,$J266,$I266),daily_dates,0),MATCH($B$3,daily_items,0)))</f>
        <v>#N/A</v>
      </c>
      <c r="Q266" s="1" t="e">
        <f aca="false">IF(ISBLANK(INDEX(big_daily_table,MATCH(DATE(Q$5,$J266,$I266),daily_dates,0),MATCH($B$3,daily_items,0))),NA(),INDEX(big_daily_table,MATCH(DATE(Q$5,$J266,$I266),daily_dates,0),MATCH($B$3,daily_items,0)))</f>
        <v>#N/A</v>
      </c>
      <c r="R266" s="1" t="e">
        <f aca="false">IF(ISBLANK(INDEX(big_daily_table,MATCH(DATE(R$5,$J266,$I266),daily_dates,0),MATCH($B$3,daily_items,0))),NA(),INDEX(big_daily_table,MATCH(DATE(R$5,$J266,$I266),daily_dates,0),MATCH($B$3,daily_items,0)))</f>
        <v>#N/A</v>
      </c>
      <c r="S266" s="1" t="e">
        <f aca="false">IF(ISBLANK(INDEX(big_daily_table,MATCH(DATE(S$5,$J266,$I266),daily_dates,0),MATCH($B$3,daily_items,0))),NA(),INDEX(big_daily_table,MATCH(DATE(S$5,$J266,$I266),daily_dates,0),MATCH($B$3,daily_items,0)))</f>
        <v>#N/A</v>
      </c>
      <c r="T266" s="1" t="e">
        <f aca="false">IF(ISBLANK(INDEX(big_daily_table,MATCH(DATE(T$5,$J266,$I266),daily_dates,0),MATCH($B$3,daily_items,0))),NA(),INDEX(big_daily_table,MATCH(DATE(T$5,$J266,$I266),daily_dates,0),MATCH($B$3,daily_items,0)))</f>
        <v>#N/A</v>
      </c>
      <c r="U266" s="1" t="e">
        <f aca="false">IF(ISBLANK(INDEX(big_daily_table,MATCH(DATE(U$5,$J266,$I266),daily_dates,0),MATCH($B$3,daily_items,0))),NA(),INDEX(big_daily_table,MATCH(DATE(U$5,$J266,$I266),daily_dates,0),MATCH($B$3,daily_items,0)))</f>
        <v>#N/A</v>
      </c>
      <c r="V266" s="1" t="e">
        <f aca="false">IF(ISBLANK(INDEX(big_daily_table,MATCH(DATE(V$5,$J266,$I266),daily_dates,0),MATCH($B$3,daily_items,0))),NA(),INDEX(big_daily_table,MATCH(DATE(V$5,$J266,$I266),daily_dates,0),MATCH($B$3,daily_items,0)))</f>
        <v>#N/A</v>
      </c>
      <c r="W266" s="1" t="e">
        <f aca="false">IF(ISBLANK(INDEX(big_daily_table,MATCH(DATE(W$5,$J266,$I266),daily_dates,0),MATCH($B$3,daily_items,0))),NA(),INDEX(big_daily_table,MATCH(DATE(W$5,$J266,$I266),daily_dates,0),MATCH($B$3,daily_items,0)))</f>
        <v>#N/A</v>
      </c>
      <c r="X266" s="1" t="e">
        <f aca="false">IF(ISBLANK(INDEX(big_daily_table,MATCH(DATE(X$5,$J266,$I266),daily_dates,0),MATCH($B$3,daily_items,0))),NA(),INDEX(big_daily_table,MATCH(DATE(X$5,$J266,$I266),daily_dates,0),MATCH($B$3,daily_items,0)))</f>
        <v>#N/A</v>
      </c>
      <c r="Y266" s="1" t="e">
        <f aca="false">IF(ISBLANK(INDEX(big_daily_table,MATCH(DATE(Y$5,$J266,$I266),daily_dates,0),MATCH($B$3,daily_items,0))),NA(),INDEX(big_daily_table,MATCH(DATE(Y$5,$J266,$I266),daily_dates,0),MATCH($B$3,daily_items,0)))</f>
        <v>#N/A</v>
      </c>
      <c r="Z266" s="1" t="n">
        <f aca="true">_xlfn.AGGREGATE(5,6,OFFSET($R$5,H266,0,1,$J$2))</f>
        <v>0</v>
      </c>
      <c r="AA266" s="1" t="n">
        <f aca="true">_xlfn.AGGREGATE(4,6,OFFSET($R$5,H266,0,1,$J$2))</f>
        <v>0</v>
      </c>
      <c r="AB266" s="1" t="n">
        <f aca="false">AA266-Z266</f>
        <v>0</v>
      </c>
      <c r="AC266" s="1" t="e">
        <f aca="true">_xlfn.AGGREGATE(1,6,OFFSET($R$5,H266,0,1,$J$2))</f>
        <v>#DIV/0!</v>
      </c>
    </row>
    <row r="267" customFormat="false" ht="14.25" hidden="false" customHeight="false" outlineLevel="0" collapsed="false">
      <c r="H267" s="1" t="n">
        <f aca="false">H266+1</f>
        <v>262</v>
      </c>
      <c r="I267" s="1" t="n">
        <f aca="false">DAY(K267)</f>
        <v>18</v>
      </c>
      <c r="J267" s="1" t="n">
        <f aca="false">MONTH(K267)</f>
        <v>9</v>
      </c>
      <c r="K267" s="23" t="n">
        <f aca="false">K266+1</f>
        <v>36787</v>
      </c>
      <c r="L267" s="24" t="n">
        <f aca="true">IF(TODAY()&lt;DATE($N$5,J267,I267),1000000,-1000000)</f>
        <v>-1000000</v>
      </c>
      <c r="M267" s="1" t="e">
        <f aca="false">IF(K267&gt;0,INDEX(big_daily_table,MATCH(DATE(N$5,$J267,$I267),daily_dates,0),MATCH($B$3,daily_items,0)),NA())</f>
        <v>#N/A</v>
      </c>
      <c r="N267" s="1" t="e">
        <f aca="false">IF(L267&lt;0,INDEX(big_daily_table,MATCH(DATE(N$5,$J267,$I267),daily_dates,0),MATCH($B$3,daily_items,0)),NA())</f>
        <v>#N/A</v>
      </c>
      <c r="O267" s="1" t="e">
        <f aca="false">IF(ISBLANK(INDEX(big_daily_table,MATCH(DATE(O$5,$J267,$I267),daily_dates,0),MATCH($B$3,daily_items,0))),NA(),INDEX(big_daily_table,MATCH(DATE(O$5,$J267,$I267),daily_dates,0),MATCH($B$3,daily_items,0)))</f>
        <v>#N/A</v>
      </c>
      <c r="P267" s="1" t="e">
        <f aca="false">IF(ISBLANK(INDEX(big_daily_table,MATCH(DATE(P$5,$J267,$I267),daily_dates,0),MATCH($B$3,daily_items,0))),NA(),INDEX(big_daily_table,MATCH(DATE(P$5,$J267,$I267),daily_dates,0),MATCH($B$3,daily_items,0)))</f>
        <v>#N/A</v>
      </c>
      <c r="Q267" s="1" t="e">
        <f aca="false">IF(ISBLANK(INDEX(big_daily_table,MATCH(DATE(Q$5,$J267,$I267),daily_dates,0),MATCH($B$3,daily_items,0))),NA(),INDEX(big_daily_table,MATCH(DATE(Q$5,$J267,$I267),daily_dates,0),MATCH($B$3,daily_items,0)))</f>
        <v>#N/A</v>
      </c>
      <c r="R267" s="1" t="e">
        <f aca="false">IF(ISBLANK(INDEX(big_daily_table,MATCH(DATE(R$5,$J267,$I267),daily_dates,0),MATCH($B$3,daily_items,0))),NA(),INDEX(big_daily_table,MATCH(DATE(R$5,$J267,$I267),daily_dates,0),MATCH($B$3,daily_items,0)))</f>
        <v>#N/A</v>
      </c>
      <c r="S267" s="1" t="e">
        <f aca="false">IF(ISBLANK(INDEX(big_daily_table,MATCH(DATE(S$5,$J267,$I267),daily_dates,0),MATCH($B$3,daily_items,0))),NA(),INDEX(big_daily_table,MATCH(DATE(S$5,$J267,$I267),daily_dates,0),MATCH($B$3,daily_items,0)))</f>
        <v>#N/A</v>
      </c>
      <c r="T267" s="1" t="e">
        <f aca="false">IF(ISBLANK(INDEX(big_daily_table,MATCH(DATE(T$5,$J267,$I267),daily_dates,0),MATCH($B$3,daily_items,0))),NA(),INDEX(big_daily_table,MATCH(DATE(T$5,$J267,$I267),daily_dates,0),MATCH($B$3,daily_items,0)))</f>
        <v>#N/A</v>
      </c>
      <c r="U267" s="1" t="e">
        <f aca="false">IF(ISBLANK(INDEX(big_daily_table,MATCH(DATE(U$5,$J267,$I267),daily_dates,0),MATCH($B$3,daily_items,0))),NA(),INDEX(big_daily_table,MATCH(DATE(U$5,$J267,$I267),daily_dates,0),MATCH($B$3,daily_items,0)))</f>
        <v>#N/A</v>
      </c>
      <c r="V267" s="1" t="e">
        <f aca="false">IF(ISBLANK(INDEX(big_daily_table,MATCH(DATE(V$5,$J267,$I267),daily_dates,0),MATCH($B$3,daily_items,0))),NA(),INDEX(big_daily_table,MATCH(DATE(V$5,$J267,$I267),daily_dates,0),MATCH($B$3,daily_items,0)))</f>
        <v>#N/A</v>
      </c>
      <c r="W267" s="1" t="e">
        <f aca="false">IF(ISBLANK(INDEX(big_daily_table,MATCH(DATE(W$5,$J267,$I267),daily_dates,0),MATCH($B$3,daily_items,0))),NA(),INDEX(big_daily_table,MATCH(DATE(W$5,$J267,$I267),daily_dates,0),MATCH($B$3,daily_items,0)))</f>
        <v>#N/A</v>
      </c>
      <c r="X267" s="1" t="e">
        <f aca="false">IF(ISBLANK(INDEX(big_daily_table,MATCH(DATE(X$5,$J267,$I267),daily_dates,0),MATCH($B$3,daily_items,0))),NA(),INDEX(big_daily_table,MATCH(DATE(X$5,$J267,$I267),daily_dates,0),MATCH($B$3,daily_items,0)))</f>
        <v>#N/A</v>
      </c>
      <c r="Y267" s="1" t="e">
        <f aca="false">IF(ISBLANK(INDEX(big_daily_table,MATCH(DATE(Y$5,$J267,$I267),daily_dates,0),MATCH($B$3,daily_items,0))),NA(),INDEX(big_daily_table,MATCH(DATE(Y$5,$J267,$I267),daily_dates,0),MATCH($B$3,daily_items,0)))</f>
        <v>#N/A</v>
      </c>
      <c r="Z267" s="1" t="n">
        <f aca="true">_xlfn.AGGREGATE(5,6,OFFSET($R$5,H267,0,1,$J$2))</f>
        <v>0</v>
      </c>
      <c r="AA267" s="1" t="n">
        <f aca="true">_xlfn.AGGREGATE(4,6,OFFSET($R$5,H267,0,1,$J$2))</f>
        <v>0</v>
      </c>
      <c r="AB267" s="1" t="n">
        <f aca="false">AA267-Z267</f>
        <v>0</v>
      </c>
      <c r="AC267" s="1" t="e">
        <f aca="true">_xlfn.AGGREGATE(1,6,OFFSET($R$5,H267,0,1,$J$2))</f>
        <v>#DIV/0!</v>
      </c>
    </row>
    <row r="268" customFormat="false" ht="14.25" hidden="false" customHeight="false" outlineLevel="0" collapsed="false">
      <c r="H268" s="1" t="n">
        <f aca="false">H267+1</f>
        <v>263</v>
      </c>
      <c r="I268" s="1" t="n">
        <f aca="false">DAY(K268)</f>
        <v>19</v>
      </c>
      <c r="J268" s="1" t="n">
        <f aca="false">MONTH(K268)</f>
        <v>9</v>
      </c>
      <c r="K268" s="23" t="n">
        <f aca="false">K267+1</f>
        <v>36788</v>
      </c>
      <c r="L268" s="24" t="n">
        <f aca="true">IF(TODAY()&lt;DATE($N$5,J268,I268),1000000,-1000000)</f>
        <v>-1000000</v>
      </c>
      <c r="M268" s="1" t="e">
        <f aca="false">IF(K268&gt;0,INDEX(big_daily_table,MATCH(DATE(N$5,$J268,$I268),daily_dates,0),MATCH($B$3,daily_items,0)),NA())</f>
        <v>#N/A</v>
      </c>
      <c r="N268" s="1" t="e">
        <f aca="false">IF(L268&lt;0,INDEX(big_daily_table,MATCH(DATE(N$5,$J268,$I268),daily_dates,0),MATCH($B$3,daily_items,0)),NA())</f>
        <v>#N/A</v>
      </c>
      <c r="O268" s="1" t="e">
        <f aca="false">IF(ISBLANK(INDEX(big_daily_table,MATCH(DATE(O$5,$J268,$I268),daily_dates,0),MATCH($B$3,daily_items,0))),NA(),INDEX(big_daily_table,MATCH(DATE(O$5,$J268,$I268),daily_dates,0),MATCH($B$3,daily_items,0)))</f>
        <v>#N/A</v>
      </c>
      <c r="P268" s="1" t="e">
        <f aca="false">IF(ISBLANK(INDEX(big_daily_table,MATCH(DATE(P$5,$J268,$I268),daily_dates,0),MATCH($B$3,daily_items,0))),NA(),INDEX(big_daily_table,MATCH(DATE(P$5,$J268,$I268),daily_dates,0),MATCH($B$3,daily_items,0)))</f>
        <v>#N/A</v>
      </c>
      <c r="Q268" s="1" t="e">
        <f aca="false">IF(ISBLANK(INDEX(big_daily_table,MATCH(DATE(Q$5,$J268,$I268),daily_dates,0),MATCH($B$3,daily_items,0))),NA(),INDEX(big_daily_table,MATCH(DATE(Q$5,$J268,$I268),daily_dates,0),MATCH($B$3,daily_items,0)))</f>
        <v>#N/A</v>
      </c>
      <c r="R268" s="1" t="e">
        <f aca="false">IF(ISBLANK(INDEX(big_daily_table,MATCH(DATE(R$5,$J268,$I268),daily_dates,0),MATCH($B$3,daily_items,0))),NA(),INDEX(big_daily_table,MATCH(DATE(R$5,$J268,$I268),daily_dates,0),MATCH($B$3,daily_items,0)))</f>
        <v>#N/A</v>
      </c>
      <c r="S268" s="1" t="e">
        <f aca="false">IF(ISBLANK(INDEX(big_daily_table,MATCH(DATE(S$5,$J268,$I268),daily_dates,0),MATCH($B$3,daily_items,0))),NA(),INDEX(big_daily_table,MATCH(DATE(S$5,$J268,$I268),daily_dates,0),MATCH($B$3,daily_items,0)))</f>
        <v>#N/A</v>
      </c>
      <c r="T268" s="1" t="e">
        <f aca="false">IF(ISBLANK(INDEX(big_daily_table,MATCH(DATE(T$5,$J268,$I268),daily_dates,0),MATCH($B$3,daily_items,0))),NA(),INDEX(big_daily_table,MATCH(DATE(T$5,$J268,$I268),daily_dates,0),MATCH($B$3,daily_items,0)))</f>
        <v>#N/A</v>
      </c>
      <c r="U268" s="1" t="e">
        <f aca="false">IF(ISBLANK(INDEX(big_daily_table,MATCH(DATE(U$5,$J268,$I268),daily_dates,0),MATCH($B$3,daily_items,0))),NA(),INDEX(big_daily_table,MATCH(DATE(U$5,$J268,$I268),daily_dates,0),MATCH($B$3,daily_items,0)))</f>
        <v>#N/A</v>
      </c>
      <c r="V268" s="1" t="e">
        <f aca="false">IF(ISBLANK(INDEX(big_daily_table,MATCH(DATE(V$5,$J268,$I268),daily_dates,0),MATCH($B$3,daily_items,0))),NA(),INDEX(big_daily_table,MATCH(DATE(V$5,$J268,$I268),daily_dates,0),MATCH($B$3,daily_items,0)))</f>
        <v>#N/A</v>
      </c>
      <c r="W268" s="1" t="e">
        <f aca="false">IF(ISBLANK(INDEX(big_daily_table,MATCH(DATE(W$5,$J268,$I268),daily_dates,0),MATCH($B$3,daily_items,0))),NA(),INDEX(big_daily_table,MATCH(DATE(W$5,$J268,$I268),daily_dates,0),MATCH($B$3,daily_items,0)))</f>
        <v>#N/A</v>
      </c>
      <c r="X268" s="1" t="e">
        <f aca="false">IF(ISBLANK(INDEX(big_daily_table,MATCH(DATE(X$5,$J268,$I268),daily_dates,0),MATCH($B$3,daily_items,0))),NA(),INDEX(big_daily_table,MATCH(DATE(X$5,$J268,$I268),daily_dates,0),MATCH($B$3,daily_items,0)))</f>
        <v>#N/A</v>
      </c>
      <c r="Y268" s="1" t="e">
        <f aca="false">IF(ISBLANK(INDEX(big_daily_table,MATCH(DATE(Y$5,$J268,$I268),daily_dates,0),MATCH($B$3,daily_items,0))),NA(),INDEX(big_daily_table,MATCH(DATE(Y$5,$J268,$I268),daily_dates,0),MATCH($B$3,daily_items,0)))</f>
        <v>#N/A</v>
      </c>
      <c r="Z268" s="1" t="n">
        <f aca="true">_xlfn.AGGREGATE(5,6,OFFSET($R$5,H268,0,1,$J$2))</f>
        <v>0</v>
      </c>
      <c r="AA268" s="1" t="n">
        <f aca="true">_xlfn.AGGREGATE(4,6,OFFSET($R$5,H268,0,1,$J$2))</f>
        <v>0</v>
      </c>
      <c r="AB268" s="1" t="n">
        <f aca="false">AA268-Z268</f>
        <v>0</v>
      </c>
      <c r="AC268" s="1" t="e">
        <f aca="true">_xlfn.AGGREGATE(1,6,OFFSET($R$5,H268,0,1,$J$2))</f>
        <v>#DIV/0!</v>
      </c>
    </row>
    <row r="269" customFormat="false" ht="14.25" hidden="false" customHeight="false" outlineLevel="0" collapsed="false">
      <c r="H269" s="1" t="n">
        <f aca="false">H268+1</f>
        <v>264</v>
      </c>
      <c r="I269" s="1" t="n">
        <f aca="false">DAY(K269)</f>
        <v>20</v>
      </c>
      <c r="J269" s="1" t="n">
        <f aca="false">MONTH(K269)</f>
        <v>9</v>
      </c>
      <c r="K269" s="23" t="n">
        <f aca="false">K268+1</f>
        <v>36789</v>
      </c>
      <c r="L269" s="24" t="n">
        <f aca="true">IF(TODAY()&lt;DATE($N$5,J269,I269),1000000,-1000000)</f>
        <v>-1000000</v>
      </c>
      <c r="M269" s="1" t="e">
        <f aca="false">IF(K269&gt;0,INDEX(big_daily_table,MATCH(DATE(N$5,$J269,$I269),daily_dates,0),MATCH($B$3,daily_items,0)),NA())</f>
        <v>#N/A</v>
      </c>
      <c r="N269" s="1" t="e">
        <f aca="false">IF(L269&lt;0,INDEX(big_daily_table,MATCH(DATE(N$5,$J269,$I269),daily_dates,0),MATCH($B$3,daily_items,0)),NA())</f>
        <v>#N/A</v>
      </c>
      <c r="O269" s="1" t="e">
        <f aca="false">IF(ISBLANK(INDEX(big_daily_table,MATCH(DATE(O$5,$J269,$I269),daily_dates,0),MATCH($B$3,daily_items,0))),NA(),INDEX(big_daily_table,MATCH(DATE(O$5,$J269,$I269),daily_dates,0),MATCH($B$3,daily_items,0)))</f>
        <v>#N/A</v>
      </c>
      <c r="P269" s="1" t="e">
        <f aca="false">IF(ISBLANK(INDEX(big_daily_table,MATCH(DATE(P$5,$J269,$I269),daily_dates,0),MATCH($B$3,daily_items,0))),NA(),INDEX(big_daily_table,MATCH(DATE(P$5,$J269,$I269),daily_dates,0),MATCH($B$3,daily_items,0)))</f>
        <v>#N/A</v>
      </c>
      <c r="Q269" s="1" t="e">
        <f aca="false">IF(ISBLANK(INDEX(big_daily_table,MATCH(DATE(Q$5,$J269,$I269),daily_dates,0),MATCH($B$3,daily_items,0))),NA(),INDEX(big_daily_table,MATCH(DATE(Q$5,$J269,$I269),daily_dates,0),MATCH($B$3,daily_items,0)))</f>
        <v>#N/A</v>
      </c>
      <c r="R269" s="1" t="e">
        <f aca="false">IF(ISBLANK(INDEX(big_daily_table,MATCH(DATE(R$5,$J269,$I269),daily_dates,0),MATCH($B$3,daily_items,0))),NA(),INDEX(big_daily_table,MATCH(DATE(R$5,$J269,$I269),daily_dates,0),MATCH($B$3,daily_items,0)))</f>
        <v>#N/A</v>
      </c>
      <c r="S269" s="1" t="e">
        <f aca="false">IF(ISBLANK(INDEX(big_daily_table,MATCH(DATE(S$5,$J269,$I269),daily_dates,0),MATCH($B$3,daily_items,0))),NA(),INDEX(big_daily_table,MATCH(DATE(S$5,$J269,$I269),daily_dates,0),MATCH($B$3,daily_items,0)))</f>
        <v>#N/A</v>
      </c>
      <c r="T269" s="1" t="e">
        <f aca="false">IF(ISBLANK(INDEX(big_daily_table,MATCH(DATE(T$5,$J269,$I269),daily_dates,0),MATCH($B$3,daily_items,0))),NA(),INDEX(big_daily_table,MATCH(DATE(T$5,$J269,$I269),daily_dates,0),MATCH($B$3,daily_items,0)))</f>
        <v>#N/A</v>
      </c>
      <c r="U269" s="1" t="e">
        <f aca="false">IF(ISBLANK(INDEX(big_daily_table,MATCH(DATE(U$5,$J269,$I269),daily_dates,0),MATCH($B$3,daily_items,0))),NA(),INDEX(big_daily_table,MATCH(DATE(U$5,$J269,$I269),daily_dates,0),MATCH($B$3,daily_items,0)))</f>
        <v>#N/A</v>
      </c>
      <c r="V269" s="1" t="e">
        <f aca="false">IF(ISBLANK(INDEX(big_daily_table,MATCH(DATE(V$5,$J269,$I269),daily_dates,0),MATCH($B$3,daily_items,0))),NA(),INDEX(big_daily_table,MATCH(DATE(V$5,$J269,$I269),daily_dates,0),MATCH($B$3,daily_items,0)))</f>
        <v>#N/A</v>
      </c>
      <c r="W269" s="1" t="e">
        <f aca="false">IF(ISBLANK(INDEX(big_daily_table,MATCH(DATE(W$5,$J269,$I269),daily_dates,0),MATCH($B$3,daily_items,0))),NA(),INDEX(big_daily_table,MATCH(DATE(W$5,$J269,$I269),daily_dates,0),MATCH($B$3,daily_items,0)))</f>
        <v>#N/A</v>
      </c>
      <c r="X269" s="1" t="e">
        <f aca="false">IF(ISBLANK(INDEX(big_daily_table,MATCH(DATE(X$5,$J269,$I269),daily_dates,0),MATCH($B$3,daily_items,0))),NA(),INDEX(big_daily_table,MATCH(DATE(X$5,$J269,$I269),daily_dates,0),MATCH($B$3,daily_items,0)))</f>
        <v>#N/A</v>
      </c>
      <c r="Y269" s="1" t="e">
        <f aca="false">IF(ISBLANK(INDEX(big_daily_table,MATCH(DATE(Y$5,$J269,$I269),daily_dates,0),MATCH($B$3,daily_items,0))),NA(),INDEX(big_daily_table,MATCH(DATE(Y$5,$J269,$I269),daily_dates,0),MATCH($B$3,daily_items,0)))</f>
        <v>#N/A</v>
      </c>
      <c r="Z269" s="1" t="n">
        <f aca="true">_xlfn.AGGREGATE(5,6,OFFSET($R$5,H269,0,1,$J$2))</f>
        <v>0</v>
      </c>
      <c r="AA269" s="1" t="n">
        <f aca="true">_xlfn.AGGREGATE(4,6,OFFSET($R$5,H269,0,1,$J$2))</f>
        <v>0</v>
      </c>
      <c r="AB269" s="1" t="n">
        <f aca="false">AA269-Z269</f>
        <v>0</v>
      </c>
      <c r="AC269" s="1" t="e">
        <f aca="true">_xlfn.AGGREGATE(1,6,OFFSET($R$5,H269,0,1,$J$2))</f>
        <v>#DIV/0!</v>
      </c>
    </row>
    <row r="270" customFormat="false" ht="14.25" hidden="false" customHeight="false" outlineLevel="0" collapsed="false">
      <c r="H270" s="1" t="n">
        <f aca="false">H269+1</f>
        <v>265</v>
      </c>
      <c r="I270" s="1" t="n">
        <f aca="false">DAY(K270)</f>
        <v>21</v>
      </c>
      <c r="J270" s="1" t="n">
        <f aca="false">MONTH(K270)</f>
        <v>9</v>
      </c>
      <c r="K270" s="23" t="n">
        <f aca="false">K269+1</f>
        <v>36790</v>
      </c>
      <c r="L270" s="24" t="n">
        <f aca="true">IF(TODAY()&lt;DATE($N$5,J270,I270),1000000,-1000000)</f>
        <v>-1000000</v>
      </c>
      <c r="M270" s="1" t="e">
        <f aca="false">IF(K270&gt;0,INDEX(big_daily_table,MATCH(DATE(N$5,$J270,$I270),daily_dates,0),MATCH($B$3,daily_items,0)),NA())</f>
        <v>#N/A</v>
      </c>
      <c r="N270" s="1" t="e">
        <f aca="false">IF(L270&lt;0,INDEX(big_daily_table,MATCH(DATE(N$5,$J270,$I270),daily_dates,0),MATCH($B$3,daily_items,0)),NA())</f>
        <v>#N/A</v>
      </c>
      <c r="O270" s="1" t="e">
        <f aca="false">IF(ISBLANK(INDEX(big_daily_table,MATCH(DATE(O$5,$J270,$I270),daily_dates,0),MATCH($B$3,daily_items,0))),NA(),INDEX(big_daily_table,MATCH(DATE(O$5,$J270,$I270),daily_dates,0),MATCH($B$3,daily_items,0)))</f>
        <v>#N/A</v>
      </c>
      <c r="P270" s="1" t="e">
        <f aca="false">IF(ISBLANK(INDEX(big_daily_table,MATCH(DATE(P$5,$J270,$I270),daily_dates,0),MATCH($B$3,daily_items,0))),NA(),INDEX(big_daily_table,MATCH(DATE(P$5,$J270,$I270),daily_dates,0),MATCH($B$3,daily_items,0)))</f>
        <v>#N/A</v>
      </c>
      <c r="Q270" s="1" t="e">
        <f aca="false">IF(ISBLANK(INDEX(big_daily_table,MATCH(DATE(Q$5,$J270,$I270),daily_dates,0),MATCH($B$3,daily_items,0))),NA(),INDEX(big_daily_table,MATCH(DATE(Q$5,$J270,$I270),daily_dates,0),MATCH($B$3,daily_items,0)))</f>
        <v>#N/A</v>
      </c>
      <c r="R270" s="1" t="e">
        <f aca="false">IF(ISBLANK(INDEX(big_daily_table,MATCH(DATE(R$5,$J270,$I270),daily_dates,0),MATCH($B$3,daily_items,0))),NA(),INDEX(big_daily_table,MATCH(DATE(R$5,$J270,$I270),daily_dates,0),MATCH($B$3,daily_items,0)))</f>
        <v>#N/A</v>
      </c>
      <c r="S270" s="1" t="e">
        <f aca="false">IF(ISBLANK(INDEX(big_daily_table,MATCH(DATE(S$5,$J270,$I270),daily_dates,0),MATCH($B$3,daily_items,0))),NA(),INDEX(big_daily_table,MATCH(DATE(S$5,$J270,$I270),daily_dates,0),MATCH($B$3,daily_items,0)))</f>
        <v>#N/A</v>
      </c>
      <c r="T270" s="1" t="e">
        <f aca="false">IF(ISBLANK(INDEX(big_daily_table,MATCH(DATE(T$5,$J270,$I270),daily_dates,0),MATCH($B$3,daily_items,0))),NA(),INDEX(big_daily_table,MATCH(DATE(T$5,$J270,$I270),daily_dates,0),MATCH($B$3,daily_items,0)))</f>
        <v>#N/A</v>
      </c>
      <c r="U270" s="1" t="e">
        <f aca="false">IF(ISBLANK(INDEX(big_daily_table,MATCH(DATE(U$5,$J270,$I270),daily_dates,0),MATCH($B$3,daily_items,0))),NA(),INDEX(big_daily_table,MATCH(DATE(U$5,$J270,$I270),daily_dates,0),MATCH($B$3,daily_items,0)))</f>
        <v>#N/A</v>
      </c>
      <c r="V270" s="1" t="e">
        <f aca="false">IF(ISBLANK(INDEX(big_daily_table,MATCH(DATE(V$5,$J270,$I270),daily_dates,0),MATCH($B$3,daily_items,0))),NA(),INDEX(big_daily_table,MATCH(DATE(V$5,$J270,$I270),daily_dates,0),MATCH($B$3,daily_items,0)))</f>
        <v>#N/A</v>
      </c>
      <c r="W270" s="1" t="e">
        <f aca="false">IF(ISBLANK(INDEX(big_daily_table,MATCH(DATE(W$5,$J270,$I270),daily_dates,0),MATCH($B$3,daily_items,0))),NA(),INDEX(big_daily_table,MATCH(DATE(W$5,$J270,$I270),daily_dates,0),MATCH($B$3,daily_items,0)))</f>
        <v>#N/A</v>
      </c>
      <c r="X270" s="1" t="e">
        <f aca="false">IF(ISBLANK(INDEX(big_daily_table,MATCH(DATE(X$5,$J270,$I270),daily_dates,0),MATCH($B$3,daily_items,0))),NA(),INDEX(big_daily_table,MATCH(DATE(X$5,$J270,$I270),daily_dates,0),MATCH($B$3,daily_items,0)))</f>
        <v>#N/A</v>
      </c>
      <c r="Y270" s="1" t="e">
        <f aca="false">IF(ISBLANK(INDEX(big_daily_table,MATCH(DATE(Y$5,$J270,$I270),daily_dates,0),MATCH($B$3,daily_items,0))),NA(),INDEX(big_daily_table,MATCH(DATE(Y$5,$J270,$I270),daily_dates,0),MATCH($B$3,daily_items,0)))</f>
        <v>#N/A</v>
      </c>
      <c r="Z270" s="1" t="n">
        <f aca="true">_xlfn.AGGREGATE(5,6,OFFSET($R$5,H270,0,1,$J$2))</f>
        <v>0</v>
      </c>
      <c r="AA270" s="1" t="n">
        <f aca="true">_xlfn.AGGREGATE(4,6,OFFSET($R$5,H270,0,1,$J$2))</f>
        <v>0</v>
      </c>
      <c r="AB270" s="1" t="n">
        <f aca="false">AA270-Z270</f>
        <v>0</v>
      </c>
      <c r="AC270" s="1" t="e">
        <f aca="true">_xlfn.AGGREGATE(1,6,OFFSET($R$5,H270,0,1,$J$2))</f>
        <v>#DIV/0!</v>
      </c>
    </row>
    <row r="271" customFormat="false" ht="14.25" hidden="false" customHeight="false" outlineLevel="0" collapsed="false">
      <c r="H271" s="1" t="n">
        <f aca="false">H270+1</f>
        <v>266</v>
      </c>
      <c r="I271" s="1" t="n">
        <f aca="false">DAY(K271)</f>
        <v>22</v>
      </c>
      <c r="J271" s="1" t="n">
        <f aca="false">MONTH(K271)</f>
        <v>9</v>
      </c>
      <c r="K271" s="23" t="n">
        <f aca="false">K270+1</f>
        <v>36791</v>
      </c>
      <c r="L271" s="24" t="n">
        <f aca="true">IF(TODAY()&lt;DATE($N$5,J271,I271),1000000,-1000000)</f>
        <v>-1000000</v>
      </c>
      <c r="M271" s="1" t="e">
        <f aca="false">IF(K271&gt;0,INDEX(big_daily_table,MATCH(DATE(N$5,$J271,$I271),daily_dates,0),MATCH($B$3,daily_items,0)),NA())</f>
        <v>#N/A</v>
      </c>
      <c r="N271" s="1" t="e">
        <f aca="false">IF(L271&lt;0,INDEX(big_daily_table,MATCH(DATE(N$5,$J271,$I271),daily_dates,0),MATCH($B$3,daily_items,0)),NA())</f>
        <v>#N/A</v>
      </c>
      <c r="O271" s="1" t="e">
        <f aca="false">IF(ISBLANK(INDEX(big_daily_table,MATCH(DATE(O$5,$J271,$I271),daily_dates,0),MATCH($B$3,daily_items,0))),NA(),INDEX(big_daily_table,MATCH(DATE(O$5,$J271,$I271),daily_dates,0),MATCH($B$3,daily_items,0)))</f>
        <v>#N/A</v>
      </c>
      <c r="P271" s="1" t="e">
        <f aca="false">IF(ISBLANK(INDEX(big_daily_table,MATCH(DATE(P$5,$J271,$I271),daily_dates,0),MATCH($B$3,daily_items,0))),NA(),INDEX(big_daily_table,MATCH(DATE(P$5,$J271,$I271),daily_dates,0),MATCH($B$3,daily_items,0)))</f>
        <v>#N/A</v>
      </c>
      <c r="Q271" s="1" t="e">
        <f aca="false">IF(ISBLANK(INDEX(big_daily_table,MATCH(DATE(Q$5,$J271,$I271),daily_dates,0),MATCH($B$3,daily_items,0))),NA(),INDEX(big_daily_table,MATCH(DATE(Q$5,$J271,$I271),daily_dates,0),MATCH($B$3,daily_items,0)))</f>
        <v>#N/A</v>
      </c>
      <c r="R271" s="1" t="e">
        <f aca="false">IF(ISBLANK(INDEX(big_daily_table,MATCH(DATE(R$5,$J271,$I271),daily_dates,0),MATCH($B$3,daily_items,0))),NA(),INDEX(big_daily_table,MATCH(DATE(R$5,$J271,$I271),daily_dates,0),MATCH($B$3,daily_items,0)))</f>
        <v>#N/A</v>
      </c>
      <c r="S271" s="1" t="e">
        <f aca="false">IF(ISBLANK(INDEX(big_daily_table,MATCH(DATE(S$5,$J271,$I271),daily_dates,0),MATCH($B$3,daily_items,0))),NA(),INDEX(big_daily_table,MATCH(DATE(S$5,$J271,$I271),daily_dates,0),MATCH($B$3,daily_items,0)))</f>
        <v>#N/A</v>
      </c>
      <c r="T271" s="1" t="e">
        <f aca="false">IF(ISBLANK(INDEX(big_daily_table,MATCH(DATE(T$5,$J271,$I271),daily_dates,0),MATCH($B$3,daily_items,0))),NA(),INDEX(big_daily_table,MATCH(DATE(T$5,$J271,$I271),daily_dates,0),MATCH($B$3,daily_items,0)))</f>
        <v>#N/A</v>
      </c>
      <c r="U271" s="1" t="e">
        <f aca="false">IF(ISBLANK(INDEX(big_daily_table,MATCH(DATE(U$5,$J271,$I271),daily_dates,0),MATCH($B$3,daily_items,0))),NA(),INDEX(big_daily_table,MATCH(DATE(U$5,$J271,$I271),daily_dates,0),MATCH($B$3,daily_items,0)))</f>
        <v>#N/A</v>
      </c>
      <c r="V271" s="1" t="e">
        <f aca="false">IF(ISBLANK(INDEX(big_daily_table,MATCH(DATE(V$5,$J271,$I271),daily_dates,0),MATCH($B$3,daily_items,0))),NA(),INDEX(big_daily_table,MATCH(DATE(V$5,$J271,$I271),daily_dates,0),MATCH($B$3,daily_items,0)))</f>
        <v>#N/A</v>
      </c>
      <c r="W271" s="1" t="e">
        <f aca="false">IF(ISBLANK(INDEX(big_daily_table,MATCH(DATE(W$5,$J271,$I271),daily_dates,0),MATCH($B$3,daily_items,0))),NA(),INDEX(big_daily_table,MATCH(DATE(W$5,$J271,$I271),daily_dates,0),MATCH($B$3,daily_items,0)))</f>
        <v>#N/A</v>
      </c>
      <c r="X271" s="1" t="e">
        <f aca="false">IF(ISBLANK(INDEX(big_daily_table,MATCH(DATE(X$5,$J271,$I271),daily_dates,0),MATCH($B$3,daily_items,0))),NA(),INDEX(big_daily_table,MATCH(DATE(X$5,$J271,$I271),daily_dates,0),MATCH($B$3,daily_items,0)))</f>
        <v>#N/A</v>
      </c>
      <c r="Y271" s="1" t="e">
        <f aca="false">IF(ISBLANK(INDEX(big_daily_table,MATCH(DATE(Y$5,$J271,$I271),daily_dates,0),MATCH($B$3,daily_items,0))),NA(),INDEX(big_daily_table,MATCH(DATE(Y$5,$J271,$I271),daily_dates,0),MATCH($B$3,daily_items,0)))</f>
        <v>#N/A</v>
      </c>
      <c r="Z271" s="1" t="n">
        <f aca="true">_xlfn.AGGREGATE(5,6,OFFSET($R$5,H271,0,1,$J$2))</f>
        <v>0</v>
      </c>
      <c r="AA271" s="1" t="n">
        <f aca="true">_xlfn.AGGREGATE(4,6,OFFSET($R$5,H271,0,1,$J$2))</f>
        <v>0</v>
      </c>
      <c r="AB271" s="1" t="n">
        <f aca="false">AA271-Z271</f>
        <v>0</v>
      </c>
      <c r="AC271" s="1" t="e">
        <f aca="true">_xlfn.AGGREGATE(1,6,OFFSET($R$5,H271,0,1,$J$2))</f>
        <v>#DIV/0!</v>
      </c>
    </row>
    <row r="272" customFormat="false" ht="14.25" hidden="false" customHeight="false" outlineLevel="0" collapsed="false">
      <c r="H272" s="1" t="n">
        <f aca="false">H271+1</f>
        <v>267</v>
      </c>
      <c r="I272" s="1" t="n">
        <f aca="false">DAY(K272)</f>
        <v>23</v>
      </c>
      <c r="J272" s="1" t="n">
        <f aca="false">MONTH(K272)</f>
        <v>9</v>
      </c>
      <c r="K272" s="23" t="n">
        <f aca="false">K271+1</f>
        <v>36792</v>
      </c>
      <c r="L272" s="24" t="n">
        <f aca="true">IF(TODAY()&lt;DATE($N$5,J272,I272),1000000,-1000000)</f>
        <v>-1000000</v>
      </c>
      <c r="M272" s="1" t="e">
        <f aca="false">IF(K272&gt;0,INDEX(big_daily_table,MATCH(DATE(N$5,$J272,$I272),daily_dates,0),MATCH($B$3,daily_items,0)),NA())</f>
        <v>#N/A</v>
      </c>
      <c r="N272" s="1" t="e">
        <f aca="false">IF(L272&lt;0,INDEX(big_daily_table,MATCH(DATE(N$5,$J272,$I272),daily_dates,0),MATCH($B$3,daily_items,0)),NA())</f>
        <v>#N/A</v>
      </c>
      <c r="O272" s="1" t="e">
        <f aca="false">IF(ISBLANK(INDEX(big_daily_table,MATCH(DATE(O$5,$J272,$I272),daily_dates,0),MATCH($B$3,daily_items,0))),NA(),INDEX(big_daily_table,MATCH(DATE(O$5,$J272,$I272),daily_dates,0),MATCH($B$3,daily_items,0)))</f>
        <v>#N/A</v>
      </c>
      <c r="P272" s="1" t="e">
        <f aca="false">IF(ISBLANK(INDEX(big_daily_table,MATCH(DATE(P$5,$J272,$I272),daily_dates,0),MATCH($B$3,daily_items,0))),NA(),INDEX(big_daily_table,MATCH(DATE(P$5,$J272,$I272),daily_dates,0),MATCH($B$3,daily_items,0)))</f>
        <v>#N/A</v>
      </c>
      <c r="Q272" s="1" t="e">
        <f aca="false">IF(ISBLANK(INDEX(big_daily_table,MATCH(DATE(Q$5,$J272,$I272),daily_dates,0),MATCH($B$3,daily_items,0))),NA(),INDEX(big_daily_table,MATCH(DATE(Q$5,$J272,$I272),daily_dates,0),MATCH($B$3,daily_items,0)))</f>
        <v>#N/A</v>
      </c>
      <c r="R272" s="1" t="e">
        <f aca="false">IF(ISBLANK(INDEX(big_daily_table,MATCH(DATE(R$5,$J272,$I272),daily_dates,0),MATCH($B$3,daily_items,0))),NA(),INDEX(big_daily_table,MATCH(DATE(R$5,$J272,$I272),daily_dates,0),MATCH($B$3,daily_items,0)))</f>
        <v>#N/A</v>
      </c>
      <c r="S272" s="1" t="e">
        <f aca="false">IF(ISBLANK(INDEX(big_daily_table,MATCH(DATE(S$5,$J272,$I272),daily_dates,0),MATCH($B$3,daily_items,0))),NA(),INDEX(big_daily_table,MATCH(DATE(S$5,$J272,$I272),daily_dates,0),MATCH($B$3,daily_items,0)))</f>
        <v>#N/A</v>
      </c>
      <c r="T272" s="1" t="e">
        <f aca="false">IF(ISBLANK(INDEX(big_daily_table,MATCH(DATE(T$5,$J272,$I272),daily_dates,0),MATCH($B$3,daily_items,0))),NA(),INDEX(big_daily_table,MATCH(DATE(T$5,$J272,$I272),daily_dates,0),MATCH($B$3,daily_items,0)))</f>
        <v>#N/A</v>
      </c>
      <c r="U272" s="1" t="e">
        <f aca="false">IF(ISBLANK(INDEX(big_daily_table,MATCH(DATE(U$5,$J272,$I272),daily_dates,0),MATCH($B$3,daily_items,0))),NA(),INDEX(big_daily_table,MATCH(DATE(U$5,$J272,$I272),daily_dates,0),MATCH($B$3,daily_items,0)))</f>
        <v>#N/A</v>
      </c>
      <c r="V272" s="1" t="e">
        <f aca="false">IF(ISBLANK(INDEX(big_daily_table,MATCH(DATE(V$5,$J272,$I272),daily_dates,0),MATCH($B$3,daily_items,0))),NA(),INDEX(big_daily_table,MATCH(DATE(V$5,$J272,$I272),daily_dates,0),MATCH($B$3,daily_items,0)))</f>
        <v>#N/A</v>
      </c>
      <c r="W272" s="1" t="e">
        <f aca="false">IF(ISBLANK(INDEX(big_daily_table,MATCH(DATE(W$5,$J272,$I272),daily_dates,0),MATCH($B$3,daily_items,0))),NA(),INDEX(big_daily_table,MATCH(DATE(W$5,$J272,$I272),daily_dates,0),MATCH($B$3,daily_items,0)))</f>
        <v>#N/A</v>
      </c>
      <c r="X272" s="1" t="e">
        <f aca="false">IF(ISBLANK(INDEX(big_daily_table,MATCH(DATE(X$5,$J272,$I272),daily_dates,0),MATCH($B$3,daily_items,0))),NA(),INDEX(big_daily_table,MATCH(DATE(X$5,$J272,$I272),daily_dates,0),MATCH($B$3,daily_items,0)))</f>
        <v>#N/A</v>
      </c>
      <c r="Y272" s="1" t="e">
        <f aca="false">IF(ISBLANK(INDEX(big_daily_table,MATCH(DATE(Y$5,$J272,$I272),daily_dates,0),MATCH($B$3,daily_items,0))),NA(),INDEX(big_daily_table,MATCH(DATE(Y$5,$J272,$I272),daily_dates,0),MATCH($B$3,daily_items,0)))</f>
        <v>#N/A</v>
      </c>
      <c r="Z272" s="1" t="n">
        <f aca="true">_xlfn.AGGREGATE(5,6,OFFSET($R$5,H272,0,1,$J$2))</f>
        <v>0</v>
      </c>
      <c r="AA272" s="1" t="n">
        <f aca="true">_xlfn.AGGREGATE(4,6,OFFSET($R$5,H272,0,1,$J$2))</f>
        <v>0</v>
      </c>
      <c r="AB272" s="1" t="n">
        <f aca="false">AA272-Z272</f>
        <v>0</v>
      </c>
      <c r="AC272" s="1" t="e">
        <f aca="true">_xlfn.AGGREGATE(1,6,OFFSET($R$5,H272,0,1,$J$2))</f>
        <v>#DIV/0!</v>
      </c>
    </row>
    <row r="273" customFormat="false" ht="14.25" hidden="false" customHeight="false" outlineLevel="0" collapsed="false">
      <c r="H273" s="1" t="n">
        <f aca="false">H272+1</f>
        <v>268</v>
      </c>
      <c r="I273" s="1" t="n">
        <f aca="false">DAY(K273)</f>
        <v>24</v>
      </c>
      <c r="J273" s="1" t="n">
        <f aca="false">MONTH(K273)</f>
        <v>9</v>
      </c>
      <c r="K273" s="23" t="n">
        <f aca="false">K272+1</f>
        <v>36793</v>
      </c>
      <c r="L273" s="24" t="n">
        <f aca="true">IF(TODAY()&lt;DATE($N$5,J273,I273),1000000,-1000000)</f>
        <v>-1000000</v>
      </c>
      <c r="M273" s="1" t="e">
        <f aca="false">IF(K273&gt;0,INDEX(big_daily_table,MATCH(DATE(N$5,$J273,$I273),daily_dates,0),MATCH($B$3,daily_items,0)),NA())</f>
        <v>#N/A</v>
      </c>
      <c r="N273" s="1" t="e">
        <f aca="false">IF(L273&lt;0,INDEX(big_daily_table,MATCH(DATE(N$5,$J273,$I273),daily_dates,0),MATCH($B$3,daily_items,0)),NA())</f>
        <v>#N/A</v>
      </c>
      <c r="O273" s="1" t="e">
        <f aca="false">IF(ISBLANK(INDEX(big_daily_table,MATCH(DATE(O$5,$J273,$I273),daily_dates,0),MATCH($B$3,daily_items,0))),NA(),INDEX(big_daily_table,MATCH(DATE(O$5,$J273,$I273),daily_dates,0),MATCH($B$3,daily_items,0)))</f>
        <v>#N/A</v>
      </c>
      <c r="P273" s="1" t="e">
        <f aca="false">IF(ISBLANK(INDEX(big_daily_table,MATCH(DATE(P$5,$J273,$I273),daily_dates,0),MATCH($B$3,daily_items,0))),NA(),INDEX(big_daily_table,MATCH(DATE(P$5,$J273,$I273),daily_dates,0),MATCH($B$3,daily_items,0)))</f>
        <v>#N/A</v>
      </c>
      <c r="Q273" s="1" t="e">
        <f aca="false">IF(ISBLANK(INDEX(big_daily_table,MATCH(DATE(Q$5,$J273,$I273),daily_dates,0),MATCH($B$3,daily_items,0))),NA(),INDEX(big_daily_table,MATCH(DATE(Q$5,$J273,$I273),daily_dates,0),MATCH($B$3,daily_items,0)))</f>
        <v>#N/A</v>
      </c>
      <c r="R273" s="1" t="e">
        <f aca="false">IF(ISBLANK(INDEX(big_daily_table,MATCH(DATE(R$5,$J273,$I273),daily_dates,0),MATCH($B$3,daily_items,0))),NA(),INDEX(big_daily_table,MATCH(DATE(R$5,$J273,$I273),daily_dates,0),MATCH($B$3,daily_items,0)))</f>
        <v>#N/A</v>
      </c>
      <c r="S273" s="1" t="e">
        <f aca="false">IF(ISBLANK(INDEX(big_daily_table,MATCH(DATE(S$5,$J273,$I273),daily_dates,0),MATCH($B$3,daily_items,0))),NA(),INDEX(big_daily_table,MATCH(DATE(S$5,$J273,$I273),daily_dates,0),MATCH($B$3,daily_items,0)))</f>
        <v>#N/A</v>
      </c>
      <c r="T273" s="1" t="e">
        <f aca="false">IF(ISBLANK(INDEX(big_daily_table,MATCH(DATE(T$5,$J273,$I273),daily_dates,0),MATCH($B$3,daily_items,0))),NA(),INDEX(big_daily_table,MATCH(DATE(T$5,$J273,$I273),daily_dates,0),MATCH($B$3,daily_items,0)))</f>
        <v>#N/A</v>
      </c>
      <c r="U273" s="1" t="e">
        <f aca="false">IF(ISBLANK(INDEX(big_daily_table,MATCH(DATE(U$5,$J273,$I273),daily_dates,0),MATCH($B$3,daily_items,0))),NA(),INDEX(big_daily_table,MATCH(DATE(U$5,$J273,$I273),daily_dates,0),MATCH($B$3,daily_items,0)))</f>
        <v>#N/A</v>
      </c>
      <c r="V273" s="1" t="e">
        <f aca="false">IF(ISBLANK(INDEX(big_daily_table,MATCH(DATE(V$5,$J273,$I273),daily_dates,0),MATCH($B$3,daily_items,0))),NA(),INDEX(big_daily_table,MATCH(DATE(V$5,$J273,$I273),daily_dates,0),MATCH($B$3,daily_items,0)))</f>
        <v>#N/A</v>
      </c>
      <c r="W273" s="1" t="e">
        <f aca="false">IF(ISBLANK(INDEX(big_daily_table,MATCH(DATE(W$5,$J273,$I273),daily_dates,0),MATCH($B$3,daily_items,0))),NA(),INDEX(big_daily_table,MATCH(DATE(W$5,$J273,$I273),daily_dates,0),MATCH($B$3,daily_items,0)))</f>
        <v>#N/A</v>
      </c>
      <c r="X273" s="1" t="e">
        <f aca="false">IF(ISBLANK(INDEX(big_daily_table,MATCH(DATE(X$5,$J273,$I273),daily_dates,0),MATCH($B$3,daily_items,0))),NA(),INDEX(big_daily_table,MATCH(DATE(X$5,$J273,$I273),daily_dates,0),MATCH($B$3,daily_items,0)))</f>
        <v>#N/A</v>
      </c>
      <c r="Y273" s="1" t="e">
        <f aca="false">IF(ISBLANK(INDEX(big_daily_table,MATCH(DATE(Y$5,$J273,$I273),daily_dates,0),MATCH($B$3,daily_items,0))),NA(),INDEX(big_daily_table,MATCH(DATE(Y$5,$J273,$I273),daily_dates,0),MATCH($B$3,daily_items,0)))</f>
        <v>#N/A</v>
      </c>
      <c r="Z273" s="1" t="n">
        <f aca="true">_xlfn.AGGREGATE(5,6,OFFSET($R$5,H273,0,1,$J$2))</f>
        <v>0</v>
      </c>
      <c r="AA273" s="1" t="n">
        <f aca="true">_xlfn.AGGREGATE(4,6,OFFSET($R$5,H273,0,1,$J$2))</f>
        <v>0</v>
      </c>
      <c r="AB273" s="1" t="n">
        <f aca="false">AA273-Z273</f>
        <v>0</v>
      </c>
      <c r="AC273" s="1" t="e">
        <f aca="true">_xlfn.AGGREGATE(1,6,OFFSET($R$5,H273,0,1,$J$2))</f>
        <v>#DIV/0!</v>
      </c>
    </row>
    <row r="274" customFormat="false" ht="14.25" hidden="false" customHeight="false" outlineLevel="0" collapsed="false">
      <c r="H274" s="1" t="n">
        <f aca="false">H273+1</f>
        <v>269</v>
      </c>
      <c r="I274" s="1" t="n">
        <f aca="false">DAY(K274)</f>
        <v>25</v>
      </c>
      <c r="J274" s="1" t="n">
        <f aca="false">MONTH(K274)</f>
        <v>9</v>
      </c>
      <c r="K274" s="23" t="n">
        <f aca="false">K273+1</f>
        <v>36794</v>
      </c>
      <c r="L274" s="24" t="n">
        <f aca="true">IF(TODAY()&lt;DATE($N$5,J274,I274),1000000,-1000000)</f>
        <v>-1000000</v>
      </c>
      <c r="M274" s="1" t="e">
        <f aca="false">IF(K274&gt;0,INDEX(big_daily_table,MATCH(DATE(N$5,$J274,$I274),daily_dates,0),MATCH($B$3,daily_items,0)),NA())</f>
        <v>#N/A</v>
      </c>
      <c r="N274" s="1" t="e">
        <f aca="false">IF(L274&lt;0,INDEX(big_daily_table,MATCH(DATE(N$5,$J274,$I274),daily_dates,0),MATCH($B$3,daily_items,0)),NA())</f>
        <v>#N/A</v>
      </c>
      <c r="O274" s="1" t="e">
        <f aca="false">IF(ISBLANK(INDEX(big_daily_table,MATCH(DATE(O$5,$J274,$I274),daily_dates,0),MATCH($B$3,daily_items,0))),NA(),INDEX(big_daily_table,MATCH(DATE(O$5,$J274,$I274),daily_dates,0),MATCH($B$3,daily_items,0)))</f>
        <v>#N/A</v>
      </c>
      <c r="P274" s="1" t="e">
        <f aca="false">IF(ISBLANK(INDEX(big_daily_table,MATCH(DATE(P$5,$J274,$I274),daily_dates,0),MATCH($B$3,daily_items,0))),NA(),INDEX(big_daily_table,MATCH(DATE(P$5,$J274,$I274),daily_dates,0),MATCH($B$3,daily_items,0)))</f>
        <v>#N/A</v>
      </c>
      <c r="Q274" s="1" t="e">
        <f aca="false">IF(ISBLANK(INDEX(big_daily_table,MATCH(DATE(Q$5,$J274,$I274),daily_dates,0),MATCH($B$3,daily_items,0))),NA(),INDEX(big_daily_table,MATCH(DATE(Q$5,$J274,$I274),daily_dates,0),MATCH($B$3,daily_items,0)))</f>
        <v>#N/A</v>
      </c>
      <c r="R274" s="1" t="e">
        <f aca="false">IF(ISBLANK(INDEX(big_daily_table,MATCH(DATE(R$5,$J274,$I274),daily_dates,0),MATCH($B$3,daily_items,0))),NA(),INDEX(big_daily_table,MATCH(DATE(R$5,$J274,$I274),daily_dates,0),MATCH($B$3,daily_items,0)))</f>
        <v>#N/A</v>
      </c>
      <c r="S274" s="1" t="e">
        <f aca="false">IF(ISBLANK(INDEX(big_daily_table,MATCH(DATE(S$5,$J274,$I274),daily_dates,0),MATCH($B$3,daily_items,0))),NA(),INDEX(big_daily_table,MATCH(DATE(S$5,$J274,$I274),daily_dates,0),MATCH($B$3,daily_items,0)))</f>
        <v>#N/A</v>
      </c>
      <c r="T274" s="1" t="e">
        <f aca="false">IF(ISBLANK(INDEX(big_daily_table,MATCH(DATE(T$5,$J274,$I274),daily_dates,0),MATCH($B$3,daily_items,0))),NA(),INDEX(big_daily_table,MATCH(DATE(T$5,$J274,$I274),daily_dates,0),MATCH($B$3,daily_items,0)))</f>
        <v>#N/A</v>
      </c>
      <c r="U274" s="1" t="e">
        <f aca="false">IF(ISBLANK(INDEX(big_daily_table,MATCH(DATE(U$5,$J274,$I274),daily_dates,0),MATCH($B$3,daily_items,0))),NA(),INDEX(big_daily_table,MATCH(DATE(U$5,$J274,$I274),daily_dates,0),MATCH($B$3,daily_items,0)))</f>
        <v>#N/A</v>
      </c>
      <c r="V274" s="1" t="e">
        <f aca="false">IF(ISBLANK(INDEX(big_daily_table,MATCH(DATE(V$5,$J274,$I274),daily_dates,0),MATCH($B$3,daily_items,0))),NA(),INDEX(big_daily_table,MATCH(DATE(V$5,$J274,$I274),daily_dates,0),MATCH($B$3,daily_items,0)))</f>
        <v>#N/A</v>
      </c>
      <c r="W274" s="1" t="e">
        <f aca="false">IF(ISBLANK(INDEX(big_daily_table,MATCH(DATE(W$5,$J274,$I274),daily_dates,0),MATCH($B$3,daily_items,0))),NA(),INDEX(big_daily_table,MATCH(DATE(W$5,$J274,$I274),daily_dates,0),MATCH($B$3,daily_items,0)))</f>
        <v>#N/A</v>
      </c>
      <c r="X274" s="1" t="e">
        <f aca="false">IF(ISBLANK(INDEX(big_daily_table,MATCH(DATE(X$5,$J274,$I274),daily_dates,0),MATCH($B$3,daily_items,0))),NA(),INDEX(big_daily_table,MATCH(DATE(X$5,$J274,$I274),daily_dates,0),MATCH($B$3,daily_items,0)))</f>
        <v>#N/A</v>
      </c>
      <c r="Y274" s="1" t="e">
        <f aca="false">IF(ISBLANK(INDEX(big_daily_table,MATCH(DATE(Y$5,$J274,$I274),daily_dates,0),MATCH($B$3,daily_items,0))),NA(),INDEX(big_daily_table,MATCH(DATE(Y$5,$J274,$I274),daily_dates,0),MATCH($B$3,daily_items,0)))</f>
        <v>#N/A</v>
      </c>
      <c r="Z274" s="1" t="n">
        <f aca="true">_xlfn.AGGREGATE(5,6,OFFSET($R$5,H274,0,1,$J$2))</f>
        <v>0</v>
      </c>
      <c r="AA274" s="1" t="n">
        <f aca="true">_xlfn.AGGREGATE(4,6,OFFSET($R$5,H274,0,1,$J$2))</f>
        <v>0</v>
      </c>
      <c r="AB274" s="1" t="n">
        <f aca="false">AA274-Z274</f>
        <v>0</v>
      </c>
      <c r="AC274" s="1" t="e">
        <f aca="true">_xlfn.AGGREGATE(1,6,OFFSET($R$5,H274,0,1,$J$2))</f>
        <v>#DIV/0!</v>
      </c>
    </row>
    <row r="275" customFormat="false" ht="14.25" hidden="false" customHeight="false" outlineLevel="0" collapsed="false">
      <c r="H275" s="1" t="n">
        <f aca="false">H274+1</f>
        <v>270</v>
      </c>
      <c r="I275" s="1" t="n">
        <f aca="false">DAY(K275)</f>
        <v>26</v>
      </c>
      <c r="J275" s="1" t="n">
        <f aca="false">MONTH(K275)</f>
        <v>9</v>
      </c>
      <c r="K275" s="23" t="n">
        <f aca="false">K274+1</f>
        <v>36795</v>
      </c>
      <c r="L275" s="24" t="n">
        <f aca="true">IF(TODAY()&lt;DATE($N$5,J275,I275),1000000,-1000000)</f>
        <v>-1000000</v>
      </c>
      <c r="M275" s="1" t="e">
        <f aca="false">IF(K275&gt;0,INDEX(big_daily_table,MATCH(DATE(N$5,$J275,$I275),daily_dates,0),MATCH($B$3,daily_items,0)),NA())</f>
        <v>#N/A</v>
      </c>
      <c r="N275" s="1" t="e">
        <f aca="false">IF(L275&lt;0,INDEX(big_daily_table,MATCH(DATE(N$5,$J275,$I275),daily_dates,0),MATCH($B$3,daily_items,0)),NA())</f>
        <v>#N/A</v>
      </c>
      <c r="O275" s="1" t="e">
        <f aca="false">IF(ISBLANK(INDEX(big_daily_table,MATCH(DATE(O$5,$J275,$I275),daily_dates,0),MATCH($B$3,daily_items,0))),NA(),INDEX(big_daily_table,MATCH(DATE(O$5,$J275,$I275),daily_dates,0),MATCH($B$3,daily_items,0)))</f>
        <v>#N/A</v>
      </c>
      <c r="P275" s="1" t="e">
        <f aca="false">IF(ISBLANK(INDEX(big_daily_table,MATCH(DATE(P$5,$J275,$I275),daily_dates,0),MATCH($B$3,daily_items,0))),NA(),INDEX(big_daily_table,MATCH(DATE(P$5,$J275,$I275),daily_dates,0),MATCH($B$3,daily_items,0)))</f>
        <v>#N/A</v>
      </c>
      <c r="Q275" s="1" t="e">
        <f aca="false">IF(ISBLANK(INDEX(big_daily_table,MATCH(DATE(Q$5,$J275,$I275),daily_dates,0),MATCH($B$3,daily_items,0))),NA(),INDEX(big_daily_table,MATCH(DATE(Q$5,$J275,$I275),daily_dates,0),MATCH($B$3,daily_items,0)))</f>
        <v>#N/A</v>
      </c>
      <c r="R275" s="1" t="e">
        <f aca="false">IF(ISBLANK(INDEX(big_daily_table,MATCH(DATE(R$5,$J275,$I275),daily_dates,0),MATCH($B$3,daily_items,0))),NA(),INDEX(big_daily_table,MATCH(DATE(R$5,$J275,$I275),daily_dates,0),MATCH($B$3,daily_items,0)))</f>
        <v>#N/A</v>
      </c>
      <c r="S275" s="1" t="e">
        <f aca="false">IF(ISBLANK(INDEX(big_daily_table,MATCH(DATE(S$5,$J275,$I275),daily_dates,0),MATCH($B$3,daily_items,0))),NA(),INDEX(big_daily_table,MATCH(DATE(S$5,$J275,$I275),daily_dates,0),MATCH($B$3,daily_items,0)))</f>
        <v>#N/A</v>
      </c>
      <c r="T275" s="1" t="e">
        <f aca="false">IF(ISBLANK(INDEX(big_daily_table,MATCH(DATE(T$5,$J275,$I275),daily_dates,0),MATCH($B$3,daily_items,0))),NA(),INDEX(big_daily_table,MATCH(DATE(T$5,$J275,$I275),daily_dates,0),MATCH($B$3,daily_items,0)))</f>
        <v>#N/A</v>
      </c>
      <c r="U275" s="1" t="e">
        <f aca="false">IF(ISBLANK(INDEX(big_daily_table,MATCH(DATE(U$5,$J275,$I275),daily_dates,0),MATCH($B$3,daily_items,0))),NA(),INDEX(big_daily_table,MATCH(DATE(U$5,$J275,$I275),daily_dates,0),MATCH($B$3,daily_items,0)))</f>
        <v>#N/A</v>
      </c>
      <c r="V275" s="1" t="e">
        <f aca="false">IF(ISBLANK(INDEX(big_daily_table,MATCH(DATE(V$5,$J275,$I275),daily_dates,0),MATCH($B$3,daily_items,0))),NA(),INDEX(big_daily_table,MATCH(DATE(V$5,$J275,$I275),daily_dates,0),MATCH($B$3,daily_items,0)))</f>
        <v>#N/A</v>
      </c>
      <c r="W275" s="1" t="e">
        <f aca="false">IF(ISBLANK(INDEX(big_daily_table,MATCH(DATE(W$5,$J275,$I275),daily_dates,0),MATCH($B$3,daily_items,0))),NA(),INDEX(big_daily_table,MATCH(DATE(W$5,$J275,$I275),daily_dates,0),MATCH($B$3,daily_items,0)))</f>
        <v>#N/A</v>
      </c>
      <c r="X275" s="1" t="e">
        <f aca="false">IF(ISBLANK(INDEX(big_daily_table,MATCH(DATE(X$5,$J275,$I275),daily_dates,0),MATCH($B$3,daily_items,0))),NA(),INDEX(big_daily_table,MATCH(DATE(X$5,$J275,$I275),daily_dates,0),MATCH($B$3,daily_items,0)))</f>
        <v>#N/A</v>
      </c>
      <c r="Y275" s="1" t="e">
        <f aca="false">IF(ISBLANK(INDEX(big_daily_table,MATCH(DATE(Y$5,$J275,$I275),daily_dates,0),MATCH($B$3,daily_items,0))),NA(),INDEX(big_daily_table,MATCH(DATE(Y$5,$J275,$I275),daily_dates,0),MATCH($B$3,daily_items,0)))</f>
        <v>#N/A</v>
      </c>
      <c r="Z275" s="1" t="n">
        <f aca="true">_xlfn.AGGREGATE(5,6,OFFSET($R$5,H275,0,1,$J$2))</f>
        <v>0</v>
      </c>
      <c r="AA275" s="1" t="n">
        <f aca="true">_xlfn.AGGREGATE(4,6,OFFSET($R$5,H275,0,1,$J$2))</f>
        <v>0</v>
      </c>
      <c r="AB275" s="1" t="n">
        <f aca="false">AA275-Z275</f>
        <v>0</v>
      </c>
      <c r="AC275" s="1" t="e">
        <f aca="true">_xlfn.AGGREGATE(1,6,OFFSET($R$5,H275,0,1,$J$2))</f>
        <v>#DIV/0!</v>
      </c>
    </row>
    <row r="276" customFormat="false" ht="14.25" hidden="false" customHeight="false" outlineLevel="0" collapsed="false">
      <c r="H276" s="1" t="n">
        <f aca="false">H275+1</f>
        <v>271</v>
      </c>
      <c r="I276" s="1" t="n">
        <f aca="false">DAY(K276)</f>
        <v>27</v>
      </c>
      <c r="J276" s="1" t="n">
        <f aca="false">MONTH(K276)</f>
        <v>9</v>
      </c>
      <c r="K276" s="23" t="n">
        <f aca="false">K275+1</f>
        <v>36796</v>
      </c>
      <c r="L276" s="24" t="n">
        <f aca="true">IF(TODAY()&lt;DATE($N$5,J276,I276),1000000,-1000000)</f>
        <v>-1000000</v>
      </c>
      <c r="M276" s="1" t="e">
        <f aca="false">IF(K276&gt;0,INDEX(big_daily_table,MATCH(DATE(N$5,$J276,$I276),daily_dates,0),MATCH($B$3,daily_items,0)),NA())</f>
        <v>#N/A</v>
      </c>
      <c r="N276" s="1" t="e">
        <f aca="false">IF(L276&lt;0,INDEX(big_daily_table,MATCH(DATE(N$5,$J276,$I276),daily_dates,0),MATCH($B$3,daily_items,0)),NA())</f>
        <v>#N/A</v>
      </c>
      <c r="O276" s="1" t="e">
        <f aca="false">IF(ISBLANK(INDEX(big_daily_table,MATCH(DATE(O$5,$J276,$I276),daily_dates,0),MATCH($B$3,daily_items,0))),NA(),INDEX(big_daily_table,MATCH(DATE(O$5,$J276,$I276),daily_dates,0),MATCH($B$3,daily_items,0)))</f>
        <v>#N/A</v>
      </c>
      <c r="P276" s="1" t="e">
        <f aca="false">IF(ISBLANK(INDEX(big_daily_table,MATCH(DATE(P$5,$J276,$I276),daily_dates,0),MATCH($B$3,daily_items,0))),NA(),INDEX(big_daily_table,MATCH(DATE(P$5,$J276,$I276),daily_dates,0),MATCH($B$3,daily_items,0)))</f>
        <v>#N/A</v>
      </c>
      <c r="Q276" s="1" t="e">
        <f aca="false">IF(ISBLANK(INDEX(big_daily_table,MATCH(DATE(Q$5,$J276,$I276),daily_dates,0),MATCH($B$3,daily_items,0))),NA(),INDEX(big_daily_table,MATCH(DATE(Q$5,$J276,$I276),daily_dates,0),MATCH($B$3,daily_items,0)))</f>
        <v>#N/A</v>
      </c>
      <c r="R276" s="1" t="e">
        <f aca="false">IF(ISBLANK(INDEX(big_daily_table,MATCH(DATE(R$5,$J276,$I276),daily_dates,0),MATCH($B$3,daily_items,0))),NA(),INDEX(big_daily_table,MATCH(DATE(R$5,$J276,$I276),daily_dates,0),MATCH($B$3,daily_items,0)))</f>
        <v>#N/A</v>
      </c>
      <c r="S276" s="1" t="e">
        <f aca="false">IF(ISBLANK(INDEX(big_daily_table,MATCH(DATE(S$5,$J276,$I276),daily_dates,0),MATCH($B$3,daily_items,0))),NA(),INDEX(big_daily_table,MATCH(DATE(S$5,$J276,$I276),daily_dates,0),MATCH($B$3,daily_items,0)))</f>
        <v>#N/A</v>
      </c>
      <c r="T276" s="1" t="e">
        <f aca="false">IF(ISBLANK(INDEX(big_daily_table,MATCH(DATE(T$5,$J276,$I276),daily_dates,0),MATCH($B$3,daily_items,0))),NA(),INDEX(big_daily_table,MATCH(DATE(T$5,$J276,$I276),daily_dates,0),MATCH($B$3,daily_items,0)))</f>
        <v>#N/A</v>
      </c>
      <c r="U276" s="1" t="e">
        <f aca="false">IF(ISBLANK(INDEX(big_daily_table,MATCH(DATE(U$5,$J276,$I276),daily_dates,0),MATCH($B$3,daily_items,0))),NA(),INDEX(big_daily_table,MATCH(DATE(U$5,$J276,$I276),daily_dates,0),MATCH($B$3,daily_items,0)))</f>
        <v>#N/A</v>
      </c>
      <c r="V276" s="1" t="e">
        <f aca="false">IF(ISBLANK(INDEX(big_daily_table,MATCH(DATE(V$5,$J276,$I276),daily_dates,0),MATCH($B$3,daily_items,0))),NA(),INDEX(big_daily_table,MATCH(DATE(V$5,$J276,$I276),daily_dates,0),MATCH($B$3,daily_items,0)))</f>
        <v>#N/A</v>
      </c>
      <c r="W276" s="1" t="e">
        <f aca="false">IF(ISBLANK(INDEX(big_daily_table,MATCH(DATE(W$5,$J276,$I276),daily_dates,0),MATCH($B$3,daily_items,0))),NA(),INDEX(big_daily_table,MATCH(DATE(W$5,$J276,$I276),daily_dates,0),MATCH($B$3,daily_items,0)))</f>
        <v>#N/A</v>
      </c>
      <c r="X276" s="1" t="e">
        <f aca="false">IF(ISBLANK(INDEX(big_daily_table,MATCH(DATE(X$5,$J276,$I276),daily_dates,0),MATCH($B$3,daily_items,0))),NA(),INDEX(big_daily_table,MATCH(DATE(X$5,$J276,$I276),daily_dates,0),MATCH($B$3,daily_items,0)))</f>
        <v>#N/A</v>
      </c>
      <c r="Y276" s="1" t="e">
        <f aca="false">IF(ISBLANK(INDEX(big_daily_table,MATCH(DATE(Y$5,$J276,$I276),daily_dates,0),MATCH($B$3,daily_items,0))),NA(),INDEX(big_daily_table,MATCH(DATE(Y$5,$J276,$I276),daily_dates,0),MATCH($B$3,daily_items,0)))</f>
        <v>#N/A</v>
      </c>
      <c r="Z276" s="1" t="n">
        <f aca="true">_xlfn.AGGREGATE(5,6,OFFSET($R$5,H276,0,1,$J$2))</f>
        <v>0</v>
      </c>
      <c r="AA276" s="1" t="n">
        <f aca="true">_xlfn.AGGREGATE(4,6,OFFSET($R$5,H276,0,1,$J$2))</f>
        <v>0</v>
      </c>
      <c r="AB276" s="1" t="n">
        <f aca="false">AA276-Z276</f>
        <v>0</v>
      </c>
      <c r="AC276" s="1" t="e">
        <f aca="true">_xlfn.AGGREGATE(1,6,OFFSET($R$5,H276,0,1,$J$2))</f>
        <v>#DIV/0!</v>
      </c>
    </row>
    <row r="277" customFormat="false" ht="14.25" hidden="false" customHeight="false" outlineLevel="0" collapsed="false">
      <c r="H277" s="1" t="n">
        <f aca="false">H276+1</f>
        <v>272</v>
      </c>
      <c r="I277" s="1" t="n">
        <f aca="false">DAY(K277)</f>
        <v>28</v>
      </c>
      <c r="J277" s="1" t="n">
        <f aca="false">MONTH(K277)</f>
        <v>9</v>
      </c>
      <c r="K277" s="23" t="n">
        <f aca="false">K276+1</f>
        <v>36797</v>
      </c>
      <c r="L277" s="24" t="n">
        <f aca="true">IF(TODAY()&lt;DATE($N$5,J277,I277),1000000,-1000000)</f>
        <v>1000000</v>
      </c>
      <c r="M277" s="1" t="e">
        <f aca="false">IF(K277&gt;0,INDEX(big_daily_table,MATCH(DATE(N$5,$J277,$I277),daily_dates,0),MATCH($B$3,daily_items,0)),NA())</f>
        <v>#N/A</v>
      </c>
      <c r="N277" s="1" t="e">
        <f aca="false">IF(L277&lt;0,INDEX(big_daily_table,MATCH(DATE(N$5,$J277,$I277),daily_dates,0),MATCH($B$3,daily_items,0)),NA())</f>
        <v>#N/A</v>
      </c>
      <c r="O277" s="1" t="e">
        <f aca="false">IF(ISBLANK(INDEX(big_daily_table,MATCH(DATE(O$5,$J277,$I277),daily_dates,0),MATCH($B$3,daily_items,0))),NA(),INDEX(big_daily_table,MATCH(DATE(O$5,$J277,$I277),daily_dates,0),MATCH($B$3,daily_items,0)))</f>
        <v>#N/A</v>
      </c>
      <c r="P277" s="1" t="e">
        <f aca="false">IF(ISBLANK(INDEX(big_daily_table,MATCH(DATE(P$5,$J277,$I277),daily_dates,0),MATCH($B$3,daily_items,0))),NA(),INDEX(big_daily_table,MATCH(DATE(P$5,$J277,$I277),daily_dates,0),MATCH($B$3,daily_items,0)))</f>
        <v>#N/A</v>
      </c>
      <c r="Q277" s="1" t="e">
        <f aca="false">IF(ISBLANK(INDEX(big_daily_table,MATCH(DATE(Q$5,$J277,$I277),daily_dates,0),MATCH($B$3,daily_items,0))),NA(),INDEX(big_daily_table,MATCH(DATE(Q$5,$J277,$I277),daily_dates,0),MATCH($B$3,daily_items,0)))</f>
        <v>#N/A</v>
      </c>
      <c r="R277" s="1" t="e">
        <f aca="false">IF(ISBLANK(INDEX(big_daily_table,MATCH(DATE(R$5,$J277,$I277),daily_dates,0),MATCH($B$3,daily_items,0))),NA(),INDEX(big_daily_table,MATCH(DATE(R$5,$J277,$I277),daily_dates,0),MATCH($B$3,daily_items,0)))</f>
        <v>#N/A</v>
      </c>
      <c r="S277" s="1" t="e">
        <f aca="false">IF(ISBLANK(INDEX(big_daily_table,MATCH(DATE(S$5,$J277,$I277),daily_dates,0),MATCH($B$3,daily_items,0))),NA(),INDEX(big_daily_table,MATCH(DATE(S$5,$J277,$I277),daily_dates,0),MATCH($B$3,daily_items,0)))</f>
        <v>#N/A</v>
      </c>
      <c r="T277" s="1" t="e">
        <f aca="false">IF(ISBLANK(INDEX(big_daily_table,MATCH(DATE(T$5,$J277,$I277),daily_dates,0),MATCH($B$3,daily_items,0))),NA(),INDEX(big_daily_table,MATCH(DATE(T$5,$J277,$I277),daily_dates,0),MATCH($B$3,daily_items,0)))</f>
        <v>#N/A</v>
      </c>
      <c r="U277" s="1" t="e">
        <f aca="false">IF(ISBLANK(INDEX(big_daily_table,MATCH(DATE(U$5,$J277,$I277),daily_dates,0),MATCH($B$3,daily_items,0))),NA(),INDEX(big_daily_table,MATCH(DATE(U$5,$J277,$I277),daily_dates,0),MATCH($B$3,daily_items,0)))</f>
        <v>#N/A</v>
      </c>
      <c r="V277" s="1" t="e">
        <f aca="false">IF(ISBLANK(INDEX(big_daily_table,MATCH(DATE(V$5,$J277,$I277),daily_dates,0),MATCH($B$3,daily_items,0))),NA(),INDEX(big_daily_table,MATCH(DATE(V$5,$J277,$I277),daily_dates,0),MATCH($B$3,daily_items,0)))</f>
        <v>#N/A</v>
      </c>
      <c r="W277" s="1" t="e">
        <f aca="false">IF(ISBLANK(INDEX(big_daily_table,MATCH(DATE(W$5,$J277,$I277),daily_dates,0),MATCH($B$3,daily_items,0))),NA(),INDEX(big_daily_table,MATCH(DATE(W$5,$J277,$I277),daily_dates,0),MATCH($B$3,daily_items,0)))</f>
        <v>#N/A</v>
      </c>
      <c r="X277" s="1" t="e">
        <f aca="false">IF(ISBLANK(INDEX(big_daily_table,MATCH(DATE(X$5,$J277,$I277),daily_dates,0),MATCH($B$3,daily_items,0))),NA(),INDEX(big_daily_table,MATCH(DATE(X$5,$J277,$I277),daily_dates,0),MATCH($B$3,daily_items,0)))</f>
        <v>#N/A</v>
      </c>
      <c r="Y277" s="1" t="e">
        <f aca="false">IF(ISBLANK(INDEX(big_daily_table,MATCH(DATE(Y$5,$J277,$I277),daily_dates,0),MATCH($B$3,daily_items,0))),NA(),INDEX(big_daily_table,MATCH(DATE(Y$5,$J277,$I277),daily_dates,0),MATCH($B$3,daily_items,0)))</f>
        <v>#N/A</v>
      </c>
      <c r="Z277" s="1" t="n">
        <f aca="true">_xlfn.AGGREGATE(5,6,OFFSET($R$5,H277,0,1,$J$2))</f>
        <v>0</v>
      </c>
      <c r="AA277" s="1" t="n">
        <f aca="true">_xlfn.AGGREGATE(4,6,OFFSET($R$5,H277,0,1,$J$2))</f>
        <v>0</v>
      </c>
      <c r="AB277" s="1" t="n">
        <f aca="false">AA277-Z277</f>
        <v>0</v>
      </c>
      <c r="AC277" s="1" t="e">
        <f aca="true">_xlfn.AGGREGATE(1,6,OFFSET($R$5,H277,0,1,$J$2))</f>
        <v>#DIV/0!</v>
      </c>
    </row>
    <row r="278" customFormat="false" ht="14.25" hidden="false" customHeight="false" outlineLevel="0" collapsed="false">
      <c r="H278" s="1" t="n">
        <f aca="false">H277+1</f>
        <v>273</v>
      </c>
      <c r="I278" s="1" t="n">
        <f aca="false">DAY(K278)</f>
        <v>29</v>
      </c>
      <c r="J278" s="1" t="n">
        <f aca="false">MONTH(K278)</f>
        <v>9</v>
      </c>
      <c r="K278" s="23" t="n">
        <f aca="false">K277+1</f>
        <v>36798</v>
      </c>
      <c r="L278" s="24" t="n">
        <f aca="true">IF(TODAY()&lt;DATE($N$5,J278,I278),1000000,-1000000)</f>
        <v>1000000</v>
      </c>
      <c r="M278" s="1" t="e">
        <f aca="false">IF(K278&gt;0,INDEX(big_daily_table,MATCH(DATE(N$5,$J278,$I278),daily_dates,0),MATCH($B$3,daily_items,0)),NA())</f>
        <v>#N/A</v>
      </c>
      <c r="N278" s="1" t="e">
        <f aca="false">IF(L278&lt;0,INDEX(big_daily_table,MATCH(DATE(N$5,$J278,$I278),daily_dates,0),MATCH($B$3,daily_items,0)),NA())</f>
        <v>#N/A</v>
      </c>
      <c r="O278" s="1" t="e">
        <f aca="false">IF(ISBLANK(INDEX(big_daily_table,MATCH(DATE(O$5,$J278,$I278),daily_dates,0),MATCH($B$3,daily_items,0))),NA(),INDEX(big_daily_table,MATCH(DATE(O$5,$J278,$I278),daily_dates,0),MATCH($B$3,daily_items,0)))</f>
        <v>#N/A</v>
      </c>
      <c r="P278" s="1" t="e">
        <f aca="false">IF(ISBLANK(INDEX(big_daily_table,MATCH(DATE(P$5,$J278,$I278),daily_dates,0),MATCH($B$3,daily_items,0))),NA(),INDEX(big_daily_table,MATCH(DATE(P$5,$J278,$I278),daily_dates,0),MATCH($B$3,daily_items,0)))</f>
        <v>#N/A</v>
      </c>
      <c r="Q278" s="1" t="e">
        <f aca="false">IF(ISBLANK(INDEX(big_daily_table,MATCH(DATE(Q$5,$J278,$I278),daily_dates,0),MATCH($B$3,daily_items,0))),NA(),INDEX(big_daily_table,MATCH(DATE(Q$5,$J278,$I278),daily_dates,0),MATCH($B$3,daily_items,0)))</f>
        <v>#N/A</v>
      </c>
      <c r="R278" s="1" t="e">
        <f aca="false">IF(ISBLANK(INDEX(big_daily_table,MATCH(DATE(R$5,$J278,$I278),daily_dates,0),MATCH($B$3,daily_items,0))),NA(),INDEX(big_daily_table,MATCH(DATE(R$5,$J278,$I278),daily_dates,0),MATCH($B$3,daily_items,0)))</f>
        <v>#N/A</v>
      </c>
      <c r="S278" s="1" t="e">
        <f aca="false">IF(ISBLANK(INDEX(big_daily_table,MATCH(DATE(S$5,$J278,$I278),daily_dates,0),MATCH($B$3,daily_items,0))),NA(),INDEX(big_daily_table,MATCH(DATE(S$5,$J278,$I278),daily_dates,0),MATCH($B$3,daily_items,0)))</f>
        <v>#N/A</v>
      </c>
      <c r="T278" s="1" t="e">
        <f aca="false">IF(ISBLANK(INDEX(big_daily_table,MATCH(DATE(T$5,$J278,$I278),daily_dates,0),MATCH($B$3,daily_items,0))),NA(),INDEX(big_daily_table,MATCH(DATE(T$5,$J278,$I278),daily_dates,0),MATCH($B$3,daily_items,0)))</f>
        <v>#N/A</v>
      </c>
      <c r="U278" s="1" t="e">
        <f aca="false">IF(ISBLANK(INDEX(big_daily_table,MATCH(DATE(U$5,$J278,$I278),daily_dates,0),MATCH($B$3,daily_items,0))),NA(),INDEX(big_daily_table,MATCH(DATE(U$5,$J278,$I278),daily_dates,0),MATCH($B$3,daily_items,0)))</f>
        <v>#N/A</v>
      </c>
      <c r="V278" s="1" t="e">
        <f aca="false">IF(ISBLANK(INDEX(big_daily_table,MATCH(DATE(V$5,$J278,$I278),daily_dates,0),MATCH($B$3,daily_items,0))),NA(),INDEX(big_daily_table,MATCH(DATE(V$5,$J278,$I278),daily_dates,0),MATCH($B$3,daily_items,0)))</f>
        <v>#N/A</v>
      </c>
      <c r="W278" s="1" t="e">
        <f aca="false">IF(ISBLANK(INDEX(big_daily_table,MATCH(DATE(W$5,$J278,$I278),daily_dates,0),MATCH($B$3,daily_items,0))),NA(),INDEX(big_daily_table,MATCH(DATE(W$5,$J278,$I278),daily_dates,0),MATCH($B$3,daily_items,0)))</f>
        <v>#N/A</v>
      </c>
      <c r="X278" s="1" t="e">
        <f aca="false">IF(ISBLANK(INDEX(big_daily_table,MATCH(DATE(X$5,$J278,$I278),daily_dates,0),MATCH($B$3,daily_items,0))),NA(),INDEX(big_daily_table,MATCH(DATE(X$5,$J278,$I278),daily_dates,0),MATCH($B$3,daily_items,0)))</f>
        <v>#N/A</v>
      </c>
      <c r="Y278" s="1" t="e">
        <f aca="false">IF(ISBLANK(INDEX(big_daily_table,MATCH(DATE(Y$5,$J278,$I278),daily_dates,0),MATCH($B$3,daily_items,0))),NA(),INDEX(big_daily_table,MATCH(DATE(Y$5,$J278,$I278),daily_dates,0),MATCH($B$3,daily_items,0)))</f>
        <v>#N/A</v>
      </c>
      <c r="Z278" s="1" t="n">
        <f aca="true">_xlfn.AGGREGATE(5,6,OFFSET($R$5,H278,0,1,$J$2))</f>
        <v>0</v>
      </c>
      <c r="AA278" s="1" t="n">
        <f aca="true">_xlfn.AGGREGATE(4,6,OFFSET($R$5,H278,0,1,$J$2))</f>
        <v>0</v>
      </c>
      <c r="AB278" s="1" t="n">
        <f aca="false">AA278-Z278</f>
        <v>0</v>
      </c>
      <c r="AC278" s="1" t="e">
        <f aca="true">_xlfn.AGGREGATE(1,6,OFFSET($R$5,H278,0,1,$J$2))</f>
        <v>#DIV/0!</v>
      </c>
    </row>
    <row r="279" customFormat="false" ht="14.25" hidden="false" customHeight="false" outlineLevel="0" collapsed="false">
      <c r="H279" s="1" t="n">
        <f aca="false">H278+1</f>
        <v>274</v>
      </c>
      <c r="I279" s="1" t="n">
        <f aca="false">DAY(K279)</f>
        <v>30</v>
      </c>
      <c r="J279" s="1" t="n">
        <f aca="false">MONTH(K279)</f>
        <v>9</v>
      </c>
      <c r="K279" s="23" t="n">
        <f aca="false">K278+1</f>
        <v>36799</v>
      </c>
      <c r="L279" s="24" t="n">
        <f aca="true">IF(TODAY()&lt;DATE($N$5,J279,I279),1000000,-1000000)</f>
        <v>1000000</v>
      </c>
      <c r="M279" s="1" t="e">
        <f aca="false">IF(K279&gt;0,INDEX(big_daily_table,MATCH(DATE(N$5,$J279,$I279),daily_dates,0),MATCH($B$3,daily_items,0)),NA())</f>
        <v>#N/A</v>
      </c>
      <c r="N279" s="1" t="e">
        <f aca="false">IF(L279&lt;0,INDEX(big_daily_table,MATCH(DATE(N$5,$J279,$I279),daily_dates,0),MATCH($B$3,daily_items,0)),NA())</f>
        <v>#N/A</v>
      </c>
      <c r="O279" s="1" t="e">
        <f aca="false">IF(ISBLANK(INDEX(big_daily_table,MATCH(DATE(O$5,$J279,$I279),daily_dates,0),MATCH($B$3,daily_items,0))),NA(),INDEX(big_daily_table,MATCH(DATE(O$5,$J279,$I279),daily_dates,0),MATCH($B$3,daily_items,0)))</f>
        <v>#N/A</v>
      </c>
      <c r="P279" s="1" t="e">
        <f aca="false">IF(ISBLANK(INDEX(big_daily_table,MATCH(DATE(P$5,$J279,$I279),daily_dates,0),MATCH($B$3,daily_items,0))),NA(),INDEX(big_daily_table,MATCH(DATE(P$5,$J279,$I279),daily_dates,0),MATCH($B$3,daily_items,0)))</f>
        <v>#N/A</v>
      </c>
      <c r="Q279" s="1" t="e">
        <f aca="false">IF(ISBLANK(INDEX(big_daily_table,MATCH(DATE(Q$5,$J279,$I279),daily_dates,0),MATCH($B$3,daily_items,0))),NA(),INDEX(big_daily_table,MATCH(DATE(Q$5,$J279,$I279),daily_dates,0),MATCH($B$3,daily_items,0)))</f>
        <v>#N/A</v>
      </c>
      <c r="R279" s="1" t="e">
        <f aca="false">IF(ISBLANK(INDEX(big_daily_table,MATCH(DATE(R$5,$J279,$I279),daily_dates,0),MATCH($B$3,daily_items,0))),NA(),INDEX(big_daily_table,MATCH(DATE(R$5,$J279,$I279),daily_dates,0),MATCH($B$3,daily_items,0)))</f>
        <v>#N/A</v>
      </c>
      <c r="S279" s="1" t="e">
        <f aca="false">IF(ISBLANK(INDEX(big_daily_table,MATCH(DATE(S$5,$J279,$I279),daily_dates,0),MATCH($B$3,daily_items,0))),NA(),INDEX(big_daily_table,MATCH(DATE(S$5,$J279,$I279),daily_dates,0),MATCH($B$3,daily_items,0)))</f>
        <v>#N/A</v>
      </c>
      <c r="T279" s="1" t="e">
        <f aca="false">IF(ISBLANK(INDEX(big_daily_table,MATCH(DATE(T$5,$J279,$I279),daily_dates,0),MATCH($B$3,daily_items,0))),NA(),INDEX(big_daily_table,MATCH(DATE(T$5,$J279,$I279),daily_dates,0),MATCH($B$3,daily_items,0)))</f>
        <v>#N/A</v>
      </c>
      <c r="U279" s="1" t="e">
        <f aca="false">IF(ISBLANK(INDEX(big_daily_table,MATCH(DATE(U$5,$J279,$I279),daily_dates,0),MATCH($B$3,daily_items,0))),NA(),INDEX(big_daily_table,MATCH(DATE(U$5,$J279,$I279),daily_dates,0),MATCH($B$3,daily_items,0)))</f>
        <v>#N/A</v>
      </c>
      <c r="V279" s="1" t="e">
        <f aca="false">IF(ISBLANK(INDEX(big_daily_table,MATCH(DATE(V$5,$J279,$I279),daily_dates,0),MATCH($B$3,daily_items,0))),NA(),INDEX(big_daily_table,MATCH(DATE(V$5,$J279,$I279),daily_dates,0),MATCH($B$3,daily_items,0)))</f>
        <v>#N/A</v>
      </c>
      <c r="W279" s="1" t="e">
        <f aca="false">IF(ISBLANK(INDEX(big_daily_table,MATCH(DATE(W$5,$J279,$I279),daily_dates,0),MATCH($B$3,daily_items,0))),NA(),INDEX(big_daily_table,MATCH(DATE(W$5,$J279,$I279),daily_dates,0),MATCH($B$3,daily_items,0)))</f>
        <v>#N/A</v>
      </c>
      <c r="X279" s="1" t="e">
        <f aca="false">IF(ISBLANK(INDEX(big_daily_table,MATCH(DATE(X$5,$J279,$I279),daily_dates,0),MATCH($B$3,daily_items,0))),NA(),INDEX(big_daily_table,MATCH(DATE(X$5,$J279,$I279),daily_dates,0),MATCH($B$3,daily_items,0)))</f>
        <v>#N/A</v>
      </c>
      <c r="Y279" s="1" t="e">
        <f aca="false">IF(ISBLANK(INDEX(big_daily_table,MATCH(DATE(Y$5,$J279,$I279),daily_dates,0),MATCH($B$3,daily_items,0))),NA(),INDEX(big_daily_table,MATCH(DATE(Y$5,$J279,$I279),daily_dates,0),MATCH($B$3,daily_items,0)))</f>
        <v>#N/A</v>
      </c>
      <c r="Z279" s="1" t="n">
        <f aca="true">_xlfn.AGGREGATE(5,6,OFFSET($R$5,H279,0,1,$J$2))</f>
        <v>0</v>
      </c>
      <c r="AA279" s="1" t="n">
        <f aca="true">_xlfn.AGGREGATE(4,6,OFFSET($R$5,H279,0,1,$J$2))</f>
        <v>0</v>
      </c>
      <c r="AB279" s="1" t="n">
        <f aca="false">AA279-Z279</f>
        <v>0</v>
      </c>
      <c r="AC279" s="1" t="e">
        <f aca="true">_xlfn.AGGREGATE(1,6,OFFSET($R$5,H279,0,1,$J$2))</f>
        <v>#DIV/0!</v>
      </c>
    </row>
    <row r="280" customFormat="false" ht="14.25" hidden="false" customHeight="false" outlineLevel="0" collapsed="false">
      <c r="H280" s="1" t="n">
        <f aca="false">H279+1</f>
        <v>275</v>
      </c>
      <c r="I280" s="1" t="n">
        <f aca="false">DAY(K280)</f>
        <v>1</v>
      </c>
      <c r="J280" s="1" t="n">
        <f aca="false">MONTH(K280)</f>
        <v>10</v>
      </c>
      <c r="K280" s="23" t="n">
        <f aca="false">K279+1</f>
        <v>36800</v>
      </c>
      <c r="L280" s="24" t="n">
        <f aca="true">IF(TODAY()&lt;DATE($N$5,J280,I280),1000000,-1000000)</f>
        <v>1000000</v>
      </c>
      <c r="M280" s="1" t="e">
        <f aca="false">IF(K280&gt;0,INDEX(big_daily_table,MATCH(DATE(N$5,$J280,$I280),daily_dates,0),MATCH($B$3,daily_items,0)),NA())</f>
        <v>#N/A</v>
      </c>
      <c r="N280" s="1" t="e">
        <f aca="false">IF(L280&lt;0,INDEX(big_daily_table,MATCH(DATE(N$5,$J280,$I280),daily_dates,0),MATCH($B$3,daily_items,0)),NA())</f>
        <v>#N/A</v>
      </c>
      <c r="O280" s="1" t="e">
        <f aca="false">IF(ISBLANK(INDEX(big_daily_table,MATCH(DATE(O$5,$J280,$I280),daily_dates,0),MATCH($B$3,daily_items,0))),NA(),INDEX(big_daily_table,MATCH(DATE(O$5,$J280,$I280),daily_dates,0),MATCH($B$3,daily_items,0)))</f>
        <v>#N/A</v>
      </c>
      <c r="P280" s="1" t="e">
        <f aca="false">IF(ISBLANK(INDEX(big_daily_table,MATCH(DATE(P$5,$J280,$I280),daily_dates,0),MATCH($B$3,daily_items,0))),NA(),INDEX(big_daily_table,MATCH(DATE(P$5,$J280,$I280),daily_dates,0),MATCH($B$3,daily_items,0)))</f>
        <v>#N/A</v>
      </c>
      <c r="Q280" s="1" t="e">
        <f aca="false">IF(ISBLANK(INDEX(big_daily_table,MATCH(DATE(Q$5,$J280,$I280),daily_dates,0),MATCH($B$3,daily_items,0))),NA(),INDEX(big_daily_table,MATCH(DATE(Q$5,$J280,$I280),daily_dates,0),MATCH($B$3,daily_items,0)))</f>
        <v>#N/A</v>
      </c>
      <c r="R280" s="1" t="e">
        <f aca="false">IF(ISBLANK(INDEX(big_daily_table,MATCH(DATE(R$5,$J280,$I280),daily_dates,0),MATCH($B$3,daily_items,0))),NA(),INDEX(big_daily_table,MATCH(DATE(R$5,$J280,$I280),daily_dates,0),MATCH($B$3,daily_items,0)))</f>
        <v>#N/A</v>
      </c>
      <c r="S280" s="1" t="e">
        <f aca="false">IF(ISBLANK(INDEX(big_daily_table,MATCH(DATE(S$5,$J280,$I280),daily_dates,0),MATCH($B$3,daily_items,0))),NA(),INDEX(big_daily_table,MATCH(DATE(S$5,$J280,$I280),daily_dates,0),MATCH($B$3,daily_items,0)))</f>
        <v>#N/A</v>
      </c>
      <c r="T280" s="1" t="e">
        <f aca="false">IF(ISBLANK(INDEX(big_daily_table,MATCH(DATE(T$5,$J280,$I280),daily_dates,0),MATCH($B$3,daily_items,0))),NA(),INDEX(big_daily_table,MATCH(DATE(T$5,$J280,$I280),daily_dates,0),MATCH($B$3,daily_items,0)))</f>
        <v>#N/A</v>
      </c>
      <c r="U280" s="1" t="e">
        <f aca="false">IF(ISBLANK(INDEX(big_daily_table,MATCH(DATE(U$5,$J280,$I280),daily_dates,0),MATCH($B$3,daily_items,0))),NA(),INDEX(big_daily_table,MATCH(DATE(U$5,$J280,$I280),daily_dates,0),MATCH($B$3,daily_items,0)))</f>
        <v>#N/A</v>
      </c>
      <c r="V280" s="1" t="e">
        <f aca="false">IF(ISBLANK(INDEX(big_daily_table,MATCH(DATE(V$5,$J280,$I280),daily_dates,0),MATCH($B$3,daily_items,0))),NA(),INDEX(big_daily_table,MATCH(DATE(V$5,$J280,$I280),daily_dates,0),MATCH($B$3,daily_items,0)))</f>
        <v>#N/A</v>
      </c>
      <c r="W280" s="1" t="e">
        <f aca="false">IF(ISBLANK(INDEX(big_daily_table,MATCH(DATE(W$5,$J280,$I280),daily_dates,0),MATCH($B$3,daily_items,0))),NA(),INDEX(big_daily_table,MATCH(DATE(W$5,$J280,$I280),daily_dates,0),MATCH($B$3,daily_items,0)))</f>
        <v>#N/A</v>
      </c>
      <c r="X280" s="1" t="e">
        <f aca="false">IF(ISBLANK(INDEX(big_daily_table,MATCH(DATE(X$5,$J280,$I280),daily_dates,0),MATCH($B$3,daily_items,0))),NA(),INDEX(big_daily_table,MATCH(DATE(X$5,$J280,$I280),daily_dates,0),MATCH($B$3,daily_items,0)))</f>
        <v>#N/A</v>
      </c>
      <c r="Y280" s="1" t="e">
        <f aca="false">IF(ISBLANK(INDEX(big_daily_table,MATCH(DATE(Y$5,$J280,$I280),daily_dates,0),MATCH($B$3,daily_items,0))),NA(),INDEX(big_daily_table,MATCH(DATE(Y$5,$J280,$I280),daily_dates,0),MATCH($B$3,daily_items,0)))</f>
        <v>#N/A</v>
      </c>
      <c r="Z280" s="1" t="n">
        <f aca="true">_xlfn.AGGREGATE(5,6,OFFSET($R$5,H280,0,1,$J$2))</f>
        <v>0</v>
      </c>
      <c r="AA280" s="1" t="n">
        <f aca="true">_xlfn.AGGREGATE(4,6,OFFSET($R$5,H280,0,1,$J$2))</f>
        <v>0</v>
      </c>
      <c r="AB280" s="1" t="n">
        <f aca="false">AA280-Z280</f>
        <v>0</v>
      </c>
      <c r="AC280" s="1" t="e">
        <f aca="true">_xlfn.AGGREGATE(1,6,OFFSET($R$5,H280,0,1,$J$2))</f>
        <v>#DIV/0!</v>
      </c>
    </row>
    <row r="281" customFormat="false" ht="14.25" hidden="false" customHeight="false" outlineLevel="0" collapsed="false">
      <c r="H281" s="1" t="n">
        <f aca="false">H280+1</f>
        <v>276</v>
      </c>
      <c r="I281" s="1" t="n">
        <f aca="false">DAY(K281)</f>
        <v>2</v>
      </c>
      <c r="J281" s="1" t="n">
        <f aca="false">MONTH(K281)</f>
        <v>10</v>
      </c>
      <c r="K281" s="23" t="n">
        <f aca="false">K280+1</f>
        <v>36801</v>
      </c>
      <c r="L281" s="24" t="n">
        <f aca="true">IF(TODAY()&lt;DATE($N$5,J281,I281),1000000,-1000000)</f>
        <v>1000000</v>
      </c>
      <c r="M281" s="1" t="e">
        <f aca="false">IF(K281&gt;0,INDEX(big_daily_table,MATCH(DATE(N$5,$J281,$I281),daily_dates,0),MATCH($B$3,daily_items,0)),NA())</f>
        <v>#N/A</v>
      </c>
      <c r="N281" s="1" t="e">
        <f aca="false">IF(L281&lt;0,INDEX(big_daily_table,MATCH(DATE(N$5,$J281,$I281),daily_dates,0),MATCH($B$3,daily_items,0)),NA())</f>
        <v>#N/A</v>
      </c>
      <c r="O281" s="1" t="e">
        <f aca="false">IF(ISBLANK(INDEX(big_daily_table,MATCH(DATE(O$5,$J281,$I281),daily_dates,0),MATCH($B$3,daily_items,0))),NA(),INDEX(big_daily_table,MATCH(DATE(O$5,$J281,$I281),daily_dates,0),MATCH($B$3,daily_items,0)))</f>
        <v>#N/A</v>
      </c>
      <c r="P281" s="1" t="e">
        <f aca="false">IF(ISBLANK(INDEX(big_daily_table,MATCH(DATE(P$5,$J281,$I281),daily_dates,0),MATCH($B$3,daily_items,0))),NA(),INDEX(big_daily_table,MATCH(DATE(P$5,$J281,$I281),daily_dates,0),MATCH($B$3,daily_items,0)))</f>
        <v>#N/A</v>
      </c>
      <c r="Q281" s="1" t="e">
        <f aca="false">IF(ISBLANK(INDEX(big_daily_table,MATCH(DATE(Q$5,$J281,$I281),daily_dates,0),MATCH($B$3,daily_items,0))),NA(),INDEX(big_daily_table,MATCH(DATE(Q$5,$J281,$I281),daily_dates,0),MATCH($B$3,daily_items,0)))</f>
        <v>#N/A</v>
      </c>
      <c r="R281" s="1" t="e">
        <f aca="false">IF(ISBLANK(INDEX(big_daily_table,MATCH(DATE(R$5,$J281,$I281),daily_dates,0),MATCH($B$3,daily_items,0))),NA(),INDEX(big_daily_table,MATCH(DATE(R$5,$J281,$I281),daily_dates,0),MATCH($B$3,daily_items,0)))</f>
        <v>#N/A</v>
      </c>
      <c r="S281" s="1" t="e">
        <f aca="false">IF(ISBLANK(INDEX(big_daily_table,MATCH(DATE(S$5,$J281,$I281),daily_dates,0),MATCH($B$3,daily_items,0))),NA(),INDEX(big_daily_table,MATCH(DATE(S$5,$J281,$I281),daily_dates,0),MATCH($B$3,daily_items,0)))</f>
        <v>#N/A</v>
      </c>
      <c r="T281" s="1" t="e">
        <f aca="false">IF(ISBLANK(INDEX(big_daily_table,MATCH(DATE(T$5,$J281,$I281),daily_dates,0),MATCH($B$3,daily_items,0))),NA(),INDEX(big_daily_table,MATCH(DATE(T$5,$J281,$I281),daily_dates,0),MATCH($B$3,daily_items,0)))</f>
        <v>#N/A</v>
      </c>
      <c r="U281" s="1" t="e">
        <f aca="false">IF(ISBLANK(INDEX(big_daily_table,MATCH(DATE(U$5,$J281,$I281),daily_dates,0),MATCH($B$3,daily_items,0))),NA(),INDEX(big_daily_table,MATCH(DATE(U$5,$J281,$I281),daily_dates,0),MATCH($B$3,daily_items,0)))</f>
        <v>#N/A</v>
      </c>
      <c r="V281" s="1" t="e">
        <f aca="false">IF(ISBLANK(INDEX(big_daily_table,MATCH(DATE(V$5,$J281,$I281),daily_dates,0),MATCH($B$3,daily_items,0))),NA(),INDEX(big_daily_table,MATCH(DATE(V$5,$J281,$I281),daily_dates,0),MATCH($B$3,daily_items,0)))</f>
        <v>#N/A</v>
      </c>
      <c r="W281" s="1" t="e">
        <f aca="false">IF(ISBLANK(INDEX(big_daily_table,MATCH(DATE(W$5,$J281,$I281),daily_dates,0),MATCH($B$3,daily_items,0))),NA(),INDEX(big_daily_table,MATCH(DATE(W$5,$J281,$I281),daily_dates,0),MATCH($B$3,daily_items,0)))</f>
        <v>#N/A</v>
      </c>
      <c r="X281" s="1" t="e">
        <f aca="false">IF(ISBLANK(INDEX(big_daily_table,MATCH(DATE(X$5,$J281,$I281),daily_dates,0),MATCH($B$3,daily_items,0))),NA(),INDEX(big_daily_table,MATCH(DATE(X$5,$J281,$I281),daily_dates,0),MATCH($B$3,daily_items,0)))</f>
        <v>#N/A</v>
      </c>
      <c r="Y281" s="1" t="e">
        <f aca="false">IF(ISBLANK(INDEX(big_daily_table,MATCH(DATE(Y$5,$J281,$I281),daily_dates,0),MATCH($B$3,daily_items,0))),NA(),INDEX(big_daily_table,MATCH(DATE(Y$5,$J281,$I281),daily_dates,0),MATCH($B$3,daily_items,0)))</f>
        <v>#N/A</v>
      </c>
      <c r="Z281" s="1" t="n">
        <f aca="true">_xlfn.AGGREGATE(5,6,OFFSET($R$5,H281,0,1,$J$2))</f>
        <v>0</v>
      </c>
      <c r="AA281" s="1" t="n">
        <f aca="true">_xlfn.AGGREGATE(4,6,OFFSET($R$5,H281,0,1,$J$2))</f>
        <v>0</v>
      </c>
      <c r="AB281" s="1" t="n">
        <f aca="false">AA281-Z281</f>
        <v>0</v>
      </c>
      <c r="AC281" s="1" t="e">
        <f aca="true">_xlfn.AGGREGATE(1,6,OFFSET($R$5,H281,0,1,$J$2))</f>
        <v>#DIV/0!</v>
      </c>
    </row>
    <row r="282" customFormat="false" ht="14.25" hidden="false" customHeight="false" outlineLevel="0" collapsed="false">
      <c r="H282" s="1" t="n">
        <f aca="false">H281+1</f>
        <v>277</v>
      </c>
      <c r="I282" s="1" t="n">
        <f aca="false">DAY(K282)</f>
        <v>3</v>
      </c>
      <c r="J282" s="1" t="n">
        <f aca="false">MONTH(K282)</f>
        <v>10</v>
      </c>
      <c r="K282" s="23" t="n">
        <f aca="false">K281+1</f>
        <v>36802</v>
      </c>
      <c r="L282" s="24" t="n">
        <f aca="true">IF(TODAY()&lt;DATE($N$5,J282,I282),1000000,-1000000)</f>
        <v>1000000</v>
      </c>
      <c r="M282" s="1" t="e">
        <f aca="false">IF(K282&gt;0,INDEX(big_daily_table,MATCH(DATE(N$5,$J282,$I282),daily_dates,0),MATCH($B$3,daily_items,0)),NA())</f>
        <v>#N/A</v>
      </c>
      <c r="N282" s="1" t="e">
        <f aca="false">IF(L282&lt;0,INDEX(big_daily_table,MATCH(DATE(N$5,$J282,$I282),daily_dates,0),MATCH($B$3,daily_items,0)),NA())</f>
        <v>#N/A</v>
      </c>
      <c r="O282" s="1" t="e">
        <f aca="false">IF(ISBLANK(INDEX(big_daily_table,MATCH(DATE(O$5,$J282,$I282),daily_dates,0),MATCH($B$3,daily_items,0))),NA(),INDEX(big_daily_table,MATCH(DATE(O$5,$J282,$I282),daily_dates,0),MATCH($B$3,daily_items,0)))</f>
        <v>#N/A</v>
      </c>
      <c r="P282" s="1" t="e">
        <f aca="false">IF(ISBLANK(INDEX(big_daily_table,MATCH(DATE(P$5,$J282,$I282),daily_dates,0),MATCH($B$3,daily_items,0))),NA(),INDEX(big_daily_table,MATCH(DATE(P$5,$J282,$I282),daily_dates,0),MATCH($B$3,daily_items,0)))</f>
        <v>#N/A</v>
      </c>
      <c r="Q282" s="1" t="e">
        <f aca="false">IF(ISBLANK(INDEX(big_daily_table,MATCH(DATE(Q$5,$J282,$I282),daily_dates,0),MATCH($B$3,daily_items,0))),NA(),INDEX(big_daily_table,MATCH(DATE(Q$5,$J282,$I282),daily_dates,0),MATCH($B$3,daily_items,0)))</f>
        <v>#N/A</v>
      </c>
      <c r="R282" s="1" t="e">
        <f aca="false">IF(ISBLANK(INDEX(big_daily_table,MATCH(DATE(R$5,$J282,$I282),daily_dates,0),MATCH($B$3,daily_items,0))),NA(),INDEX(big_daily_table,MATCH(DATE(R$5,$J282,$I282),daily_dates,0),MATCH($B$3,daily_items,0)))</f>
        <v>#N/A</v>
      </c>
      <c r="S282" s="1" t="e">
        <f aca="false">IF(ISBLANK(INDEX(big_daily_table,MATCH(DATE(S$5,$J282,$I282),daily_dates,0),MATCH($B$3,daily_items,0))),NA(),INDEX(big_daily_table,MATCH(DATE(S$5,$J282,$I282),daily_dates,0),MATCH($B$3,daily_items,0)))</f>
        <v>#N/A</v>
      </c>
      <c r="T282" s="1" t="e">
        <f aca="false">IF(ISBLANK(INDEX(big_daily_table,MATCH(DATE(T$5,$J282,$I282),daily_dates,0),MATCH($B$3,daily_items,0))),NA(),INDEX(big_daily_table,MATCH(DATE(T$5,$J282,$I282),daily_dates,0),MATCH($B$3,daily_items,0)))</f>
        <v>#N/A</v>
      </c>
      <c r="U282" s="1" t="e">
        <f aca="false">IF(ISBLANK(INDEX(big_daily_table,MATCH(DATE(U$5,$J282,$I282),daily_dates,0),MATCH($B$3,daily_items,0))),NA(),INDEX(big_daily_table,MATCH(DATE(U$5,$J282,$I282),daily_dates,0),MATCH($B$3,daily_items,0)))</f>
        <v>#N/A</v>
      </c>
      <c r="V282" s="1" t="e">
        <f aca="false">IF(ISBLANK(INDEX(big_daily_table,MATCH(DATE(V$5,$J282,$I282),daily_dates,0),MATCH($B$3,daily_items,0))),NA(),INDEX(big_daily_table,MATCH(DATE(V$5,$J282,$I282),daily_dates,0),MATCH($B$3,daily_items,0)))</f>
        <v>#N/A</v>
      </c>
      <c r="W282" s="1" t="e">
        <f aca="false">IF(ISBLANK(INDEX(big_daily_table,MATCH(DATE(W$5,$J282,$I282),daily_dates,0),MATCH($B$3,daily_items,0))),NA(),INDEX(big_daily_table,MATCH(DATE(W$5,$J282,$I282),daily_dates,0),MATCH($B$3,daily_items,0)))</f>
        <v>#N/A</v>
      </c>
      <c r="X282" s="1" t="e">
        <f aca="false">IF(ISBLANK(INDEX(big_daily_table,MATCH(DATE(X$5,$J282,$I282),daily_dates,0),MATCH($B$3,daily_items,0))),NA(),INDEX(big_daily_table,MATCH(DATE(X$5,$J282,$I282),daily_dates,0),MATCH($B$3,daily_items,0)))</f>
        <v>#N/A</v>
      </c>
      <c r="Y282" s="1" t="e">
        <f aca="false">IF(ISBLANK(INDEX(big_daily_table,MATCH(DATE(Y$5,$J282,$I282),daily_dates,0),MATCH($B$3,daily_items,0))),NA(),INDEX(big_daily_table,MATCH(DATE(Y$5,$J282,$I282),daily_dates,0),MATCH($B$3,daily_items,0)))</f>
        <v>#N/A</v>
      </c>
      <c r="Z282" s="1" t="n">
        <f aca="true">_xlfn.AGGREGATE(5,6,OFFSET($R$5,H282,0,1,$J$2))</f>
        <v>0</v>
      </c>
      <c r="AA282" s="1" t="n">
        <f aca="true">_xlfn.AGGREGATE(4,6,OFFSET($R$5,H282,0,1,$J$2))</f>
        <v>0</v>
      </c>
      <c r="AB282" s="1" t="n">
        <f aca="false">AA282-Z282</f>
        <v>0</v>
      </c>
      <c r="AC282" s="1" t="e">
        <f aca="true">_xlfn.AGGREGATE(1,6,OFFSET($R$5,H282,0,1,$J$2))</f>
        <v>#DIV/0!</v>
      </c>
    </row>
    <row r="283" customFormat="false" ht="14.25" hidden="false" customHeight="false" outlineLevel="0" collapsed="false">
      <c r="H283" s="1" t="n">
        <f aca="false">H282+1</f>
        <v>278</v>
      </c>
      <c r="I283" s="1" t="n">
        <f aca="false">DAY(K283)</f>
        <v>4</v>
      </c>
      <c r="J283" s="1" t="n">
        <f aca="false">MONTH(K283)</f>
        <v>10</v>
      </c>
      <c r="K283" s="23" t="n">
        <f aca="false">K282+1</f>
        <v>36803</v>
      </c>
      <c r="L283" s="24" t="n">
        <f aca="true">IF(TODAY()&lt;DATE($N$5,J283,I283),1000000,-1000000)</f>
        <v>1000000</v>
      </c>
      <c r="M283" s="1" t="e">
        <f aca="false">IF(K283&gt;0,INDEX(big_daily_table,MATCH(DATE(N$5,$J283,$I283),daily_dates,0),MATCH($B$3,daily_items,0)),NA())</f>
        <v>#N/A</v>
      </c>
      <c r="N283" s="1" t="e">
        <f aca="false">IF(L283&lt;0,INDEX(big_daily_table,MATCH(DATE(N$5,$J283,$I283),daily_dates,0),MATCH($B$3,daily_items,0)),NA())</f>
        <v>#N/A</v>
      </c>
      <c r="O283" s="1" t="e">
        <f aca="false">IF(ISBLANK(INDEX(big_daily_table,MATCH(DATE(O$5,$J283,$I283),daily_dates,0),MATCH($B$3,daily_items,0))),NA(),INDEX(big_daily_table,MATCH(DATE(O$5,$J283,$I283),daily_dates,0),MATCH($B$3,daily_items,0)))</f>
        <v>#N/A</v>
      </c>
      <c r="P283" s="1" t="e">
        <f aca="false">IF(ISBLANK(INDEX(big_daily_table,MATCH(DATE(P$5,$J283,$I283),daily_dates,0),MATCH($B$3,daily_items,0))),NA(),INDEX(big_daily_table,MATCH(DATE(P$5,$J283,$I283),daily_dates,0),MATCH($B$3,daily_items,0)))</f>
        <v>#N/A</v>
      </c>
      <c r="Q283" s="1" t="e">
        <f aca="false">IF(ISBLANK(INDEX(big_daily_table,MATCH(DATE(Q$5,$J283,$I283),daily_dates,0),MATCH($B$3,daily_items,0))),NA(),INDEX(big_daily_table,MATCH(DATE(Q$5,$J283,$I283),daily_dates,0),MATCH($B$3,daily_items,0)))</f>
        <v>#N/A</v>
      </c>
      <c r="R283" s="1" t="e">
        <f aca="false">IF(ISBLANK(INDEX(big_daily_table,MATCH(DATE(R$5,$J283,$I283),daily_dates,0),MATCH($B$3,daily_items,0))),NA(),INDEX(big_daily_table,MATCH(DATE(R$5,$J283,$I283),daily_dates,0),MATCH($B$3,daily_items,0)))</f>
        <v>#N/A</v>
      </c>
      <c r="S283" s="1" t="e">
        <f aca="false">IF(ISBLANK(INDEX(big_daily_table,MATCH(DATE(S$5,$J283,$I283),daily_dates,0),MATCH($B$3,daily_items,0))),NA(),INDEX(big_daily_table,MATCH(DATE(S$5,$J283,$I283),daily_dates,0),MATCH($B$3,daily_items,0)))</f>
        <v>#N/A</v>
      </c>
      <c r="T283" s="1" t="e">
        <f aca="false">IF(ISBLANK(INDEX(big_daily_table,MATCH(DATE(T$5,$J283,$I283),daily_dates,0),MATCH($B$3,daily_items,0))),NA(),INDEX(big_daily_table,MATCH(DATE(T$5,$J283,$I283),daily_dates,0),MATCH($B$3,daily_items,0)))</f>
        <v>#N/A</v>
      </c>
      <c r="U283" s="1" t="e">
        <f aca="false">IF(ISBLANK(INDEX(big_daily_table,MATCH(DATE(U$5,$J283,$I283),daily_dates,0),MATCH($B$3,daily_items,0))),NA(),INDEX(big_daily_table,MATCH(DATE(U$5,$J283,$I283),daily_dates,0),MATCH($B$3,daily_items,0)))</f>
        <v>#N/A</v>
      </c>
      <c r="V283" s="1" t="e">
        <f aca="false">IF(ISBLANK(INDEX(big_daily_table,MATCH(DATE(V$5,$J283,$I283),daily_dates,0),MATCH($B$3,daily_items,0))),NA(),INDEX(big_daily_table,MATCH(DATE(V$5,$J283,$I283),daily_dates,0),MATCH($B$3,daily_items,0)))</f>
        <v>#N/A</v>
      </c>
      <c r="W283" s="1" t="e">
        <f aca="false">IF(ISBLANK(INDEX(big_daily_table,MATCH(DATE(W$5,$J283,$I283),daily_dates,0),MATCH($B$3,daily_items,0))),NA(),INDEX(big_daily_table,MATCH(DATE(W$5,$J283,$I283),daily_dates,0),MATCH($B$3,daily_items,0)))</f>
        <v>#N/A</v>
      </c>
      <c r="X283" s="1" t="e">
        <f aca="false">IF(ISBLANK(INDEX(big_daily_table,MATCH(DATE(X$5,$J283,$I283),daily_dates,0),MATCH($B$3,daily_items,0))),NA(),INDEX(big_daily_table,MATCH(DATE(X$5,$J283,$I283),daily_dates,0),MATCH($B$3,daily_items,0)))</f>
        <v>#N/A</v>
      </c>
      <c r="Y283" s="1" t="e">
        <f aca="false">IF(ISBLANK(INDEX(big_daily_table,MATCH(DATE(Y$5,$J283,$I283),daily_dates,0),MATCH($B$3,daily_items,0))),NA(),INDEX(big_daily_table,MATCH(DATE(Y$5,$J283,$I283),daily_dates,0),MATCH($B$3,daily_items,0)))</f>
        <v>#N/A</v>
      </c>
      <c r="Z283" s="1" t="n">
        <f aca="true">_xlfn.AGGREGATE(5,6,OFFSET($R$5,H283,0,1,$J$2))</f>
        <v>0</v>
      </c>
      <c r="AA283" s="1" t="n">
        <f aca="true">_xlfn.AGGREGATE(4,6,OFFSET($R$5,H283,0,1,$J$2))</f>
        <v>0</v>
      </c>
      <c r="AB283" s="1" t="n">
        <f aca="false">AA283-Z283</f>
        <v>0</v>
      </c>
      <c r="AC283" s="1" t="e">
        <f aca="true">_xlfn.AGGREGATE(1,6,OFFSET($R$5,H283,0,1,$J$2))</f>
        <v>#DIV/0!</v>
      </c>
    </row>
    <row r="284" customFormat="false" ht="14.25" hidden="false" customHeight="false" outlineLevel="0" collapsed="false">
      <c r="H284" s="1" t="n">
        <f aca="false">H283+1</f>
        <v>279</v>
      </c>
      <c r="I284" s="1" t="n">
        <f aca="false">DAY(K284)</f>
        <v>5</v>
      </c>
      <c r="J284" s="1" t="n">
        <f aca="false">MONTH(K284)</f>
        <v>10</v>
      </c>
      <c r="K284" s="23" t="n">
        <f aca="false">K283+1</f>
        <v>36804</v>
      </c>
      <c r="L284" s="24" t="n">
        <f aca="true">IF(TODAY()&lt;DATE($N$5,J284,I284),1000000,-1000000)</f>
        <v>1000000</v>
      </c>
      <c r="M284" s="1" t="e">
        <f aca="false">IF(K284&gt;0,INDEX(big_daily_table,MATCH(DATE(N$5,$J284,$I284),daily_dates,0),MATCH($B$3,daily_items,0)),NA())</f>
        <v>#N/A</v>
      </c>
      <c r="N284" s="1" t="e">
        <f aca="false">IF(L284&lt;0,INDEX(big_daily_table,MATCH(DATE(N$5,$J284,$I284),daily_dates,0),MATCH($B$3,daily_items,0)),NA())</f>
        <v>#N/A</v>
      </c>
      <c r="O284" s="1" t="e">
        <f aca="false">IF(ISBLANK(INDEX(big_daily_table,MATCH(DATE(O$5,$J284,$I284),daily_dates,0),MATCH($B$3,daily_items,0))),NA(),INDEX(big_daily_table,MATCH(DATE(O$5,$J284,$I284),daily_dates,0),MATCH($B$3,daily_items,0)))</f>
        <v>#N/A</v>
      </c>
      <c r="P284" s="1" t="e">
        <f aca="false">IF(ISBLANK(INDEX(big_daily_table,MATCH(DATE(P$5,$J284,$I284),daily_dates,0),MATCH($B$3,daily_items,0))),NA(),INDEX(big_daily_table,MATCH(DATE(P$5,$J284,$I284),daily_dates,0),MATCH($B$3,daily_items,0)))</f>
        <v>#N/A</v>
      </c>
      <c r="Q284" s="1" t="e">
        <f aca="false">IF(ISBLANK(INDEX(big_daily_table,MATCH(DATE(Q$5,$J284,$I284),daily_dates,0),MATCH($B$3,daily_items,0))),NA(),INDEX(big_daily_table,MATCH(DATE(Q$5,$J284,$I284),daily_dates,0),MATCH($B$3,daily_items,0)))</f>
        <v>#N/A</v>
      </c>
      <c r="R284" s="1" t="e">
        <f aca="false">IF(ISBLANK(INDEX(big_daily_table,MATCH(DATE(R$5,$J284,$I284),daily_dates,0),MATCH($B$3,daily_items,0))),NA(),INDEX(big_daily_table,MATCH(DATE(R$5,$J284,$I284),daily_dates,0),MATCH($B$3,daily_items,0)))</f>
        <v>#N/A</v>
      </c>
      <c r="S284" s="1" t="e">
        <f aca="false">IF(ISBLANK(INDEX(big_daily_table,MATCH(DATE(S$5,$J284,$I284),daily_dates,0),MATCH($B$3,daily_items,0))),NA(),INDEX(big_daily_table,MATCH(DATE(S$5,$J284,$I284),daily_dates,0),MATCH($B$3,daily_items,0)))</f>
        <v>#N/A</v>
      </c>
      <c r="T284" s="1" t="e">
        <f aca="false">IF(ISBLANK(INDEX(big_daily_table,MATCH(DATE(T$5,$J284,$I284),daily_dates,0),MATCH($B$3,daily_items,0))),NA(),INDEX(big_daily_table,MATCH(DATE(T$5,$J284,$I284),daily_dates,0),MATCH($B$3,daily_items,0)))</f>
        <v>#N/A</v>
      </c>
      <c r="U284" s="1" t="e">
        <f aca="false">IF(ISBLANK(INDEX(big_daily_table,MATCH(DATE(U$5,$J284,$I284),daily_dates,0),MATCH($B$3,daily_items,0))),NA(),INDEX(big_daily_table,MATCH(DATE(U$5,$J284,$I284),daily_dates,0),MATCH($B$3,daily_items,0)))</f>
        <v>#N/A</v>
      </c>
      <c r="V284" s="1" t="e">
        <f aca="false">IF(ISBLANK(INDEX(big_daily_table,MATCH(DATE(V$5,$J284,$I284),daily_dates,0),MATCH($B$3,daily_items,0))),NA(),INDEX(big_daily_table,MATCH(DATE(V$5,$J284,$I284),daily_dates,0),MATCH($B$3,daily_items,0)))</f>
        <v>#N/A</v>
      </c>
      <c r="W284" s="1" t="e">
        <f aca="false">IF(ISBLANK(INDEX(big_daily_table,MATCH(DATE(W$5,$J284,$I284),daily_dates,0),MATCH($B$3,daily_items,0))),NA(),INDEX(big_daily_table,MATCH(DATE(W$5,$J284,$I284),daily_dates,0),MATCH($B$3,daily_items,0)))</f>
        <v>#N/A</v>
      </c>
      <c r="X284" s="1" t="e">
        <f aca="false">IF(ISBLANK(INDEX(big_daily_table,MATCH(DATE(X$5,$J284,$I284),daily_dates,0),MATCH($B$3,daily_items,0))),NA(),INDEX(big_daily_table,MATCH(DATE(X$5,$J284,$I284),daily_dates,0),MATCH($B$3,daily_items,0)))</f>
        <v>#N/A</v>
      </c>
      <c r="Y284" s="1" t="e">
        <f aca="false">IF(ISBLANK(INDEX(big_daily_table,MATCH(DATE(Y$5,$J284,$I284),daily_dates,0),MATCH($B$3,daily_items,0))),NA(),INDEX(big_daily_table,MATCH(DATE(Y$5,$J284,$I284),daily_dates,0),MATCH($B$3,daily_items,0)))</f>
        <v>#N/A</v>
      </c>
      <c r="Z284" s="1" t="n">
        <f aca="true">_xlfn.AGGREGATE(5,6,OFFSET($R$5,H284,0,1,$J$2))</f>
        <v>0</v>
      </c>
      <c r="AA284" s="1" t="n">
        <f aca="true">_xlfn.AGGREGATE(4,6,OFFSET($R$5,H284,0,1,$J$2))</f>
        <v>0</v>
      </c>
      <c r="AB284" s="1" t="n">
        <f aca="false">AA284-Z284</f>
        <v>0</v>
      </c>
      <c r="AC284" s="1" t="e">
        <f aca="true">_xlfn.AGGREGATE(1,6,OFFSET($R$5,H284,0,1,$J$2))</f>
        <v>#DIV/0!</v>
      </c>
    </row>
    <row r="285" customFormat="false" ht="14.25" hidden="false" customHeight="false" outlineLevel="0" collapsed="false">
      <c r="H285" s="1" t="n">
        <f aca="false">H284+1</f>
        <v>280</v>
      </c>
      <c r="I285" s="1" t="n">
        <f aca="false">DAY(K285)</f>
        <v>6</v>
      </c>
      <c r="J285" s="1" t="n">
        <f aca="false">MONTH(K285)</f>
        <v>10</v>
      </c>
      <c r="K285" s="23" t="n">
        <f aca="false">K284+1</f>
        <v>36805</v>
      </c>
      <c r="L285" s="24" t="n">
        <f aca="true">IF(TODAY()&lt;DATE($N$5,J285,I285),1000000,-1000000)</f>
        <v>1000000</v>
      </c>
      <c r="M285" s="1" t="e">
        <f aca="false">IF(K285&gt;0,INDEX(big_daily_table,MATCH(DATE(N$5,$J285,$I285),daily_dates,0),MATCH($B$3,daily_items,0)),NA())</f>
        <v>#N/A</v>
      </c>
      <c r="N285" s="1" t="e">
        <f aca="false">IF(L285&lt;0,INDEX(big_daily_table,MATCH(DATE(N$5,$J285,$I285),daily_dates,0),MATCH($B$3,daily_items,0)),NA())</f>
        <v>#N/A</v>
      </c>
      <c r="O285" s="1" t="e">
        <f aca="false">IF(ISBLANK(INDEX(big_daily_table,MATCH(DATE(O$5,$J285,$I285),daily_dates,0),MATCH($B$3,daily_items,0))),NA(),INDEX(big_daily_table,MATCH(DATE(O$5,$J285,$I285),daily_dates,0),MATCH($B$3,daily_items,0)))</f>
        <v>#N/A</v>
      </c>
      <c r="P285" s="1" t="e">
        <f aca="false">IF(ISBLANK(INDEX(big_daily_table,MATCH(DATE(P$5,$J285,$I285),daily_dates,0),MATCH($B$3,daily_items,0))),NA(),INDEX(big_daily_table,MATCH(DATE(P$5,$J285,$I285),daily_dates,0),MATCH($B$3,daily_items,0)))</f>
        <v>#N/A</v>
      </c>
      <c r="Q285" s="1" t="e">
        <f aca="false">IF(ISBLANK(INDEX(big_daily_table,MATCH(DATE(Q$5,$J285,$I285),daily_dates,0),MATCH($B$3,daily_items,0))),NA(),INDEX(big_daily_table,MATCH(DATE(Q$5,$J285,$I285),daily_dates,0),MATCH($B$3,daily_items,0)))</f>
        <v>#N/A</v>
      </c>
      <c r="R285" s="1" t="e">
        <f aca="false">IF(ISBLANK(INDEX(big_daily_table,MATCH(DATE(R$5,$J285,$I285),daily_dates,0),MATCH($B$3,daily_items,0))),NA(),INDEX(big_daily_table,MATCH(DATE(R$5,$J285,$I285),daily_dates,0),MATCH($B$3,daily_items,0)))</f>
        <v>#N/A</v>
      </c>
      <c r="S285" s="1" t="e">
        <f aca="false">IF(ISBLANK(INDEX(big_daily_table,MATCH(DATE(S$5,$J285,$I285),daily_dates,0),MATCH($B$3,daily_items,0))),NA(),INDEX(big_daily_table,MATCH(DATE(S$5,$J285,$I285),daily_dates,0),MATCH($B$3,daily_items,0)))</f>
        <v>#N/A</v>
      </c>
      <c r="T285" s="1" t="e">
        <f aca="false">IF(ISBLANK(INDEX(big_daily_table,MATCH(DATE(T$5,$J285,$I285),daily_dates,0),MATCH($B$3,daily_items,0))),NA(),INDEX(big_daily_table,MATCH(DATE(T$5,$J285,$I285),daily_dates,0),MATCH($B$3,daily_items,0)))</f>
        <v>#N/A</v>
      </c>
      <c r="U285" s="1" t="e">
        <f aca="false">IF(ISBLANK(INDEX(big_daily_table,MATCH(DATE(U$5,$J285,$I285),daily_dates,0),MATCH($B$3,daily_items,0))),NA(),INDEX(big_daily_table,MATCH(DATE(U$5,$J285,$I285),daily_dates,0),MATCH($B$3,daily_items,0)))</f>
        <v>#N/A</v>
      </c>
      <c r="V285" s="1" t="e">
        <f aca="false">IF(ISBLANK(INDEX(big_daily_table,MATCH(DATE(V$5,$J285,$I285),daily_dates,0),MATCH($B$3,daily_items,0))),NA(),INDEX(big_daily_table,MATCH(DATE(V$5,$J285,$I285),daily_dates,0),MATCH($B$3,daily_items,0)))</f>
        <v>#N/A</v>
      </c>
      <c r="W285" s="1" t="e">
        <f aca="false">IF(ISBLANK(INDEX(big_daily_table,MATCH(DATE(W$5,$J285,$I285),daily_dates,0),MATCH($B$3,daily_items,0))),NA(),INDEX(big_daily_table,MATCH(DATE(W$5,$J285,$I285),daily_dates,0),MATCH($B$3,daily_items,0)))</f>
        <v>#N/A</v>
      </c>
      <c r="X285" s="1" t="e">
        <f aca="false">IF(ISBLANK(INDEX(big_daily_table,MATCH(DATE(X$5,$J285,$I285),daily_dates,0),MATCH($B$3,daily_items,0))),NA(),INDEX(big_daily_table,MATCH(DATE(X$5,$J285,$I285),daily_dates,0),MATCH($B$3,daily_items,0)))</f>
        <v>#N/A</v>
      </c>
      <c r="Y285" s="1" t="e">
        <f aca="false">IF(ISBLANK(INDEX(big_daily_table,MATCH(DATE(Y$5,$J285,$I285),daily_dates,0),MATCH($B$3,daily_items,0))),NA(),INDEX(big_daily_table,MATCH(DATE(Y$5,$J285,$I285),daily_dates,0),MATCH($B$3,daily_items,0)))</f>
        <v>#N/A</v>
      </c>
      <c r="Z285" s="1" t="n">
        <f aca="true">_xlfn.AGGREGATE(5,6,OFFSET($R$5,H285,0,1,$J$2))</f>
        <v>0</v>
      </c>
      <c r="AA285" s="1" t="n">
        <f aca="true">_xlfn.AGGREGATE(4,6,OFFSET($R$5,H285,0,1,$J$2))</f>
        <v>0</v>
      </c>
      <c r="AB285" s="1" t="n">
        <f aca="false">AA285-Z285</f>
        <v>0</v>
      </c>
      <c r="AC285" s="1" t="e">
        <f aca="true">_xlfn.AGGREGATE(1,6,OFFSET($R$5,H285,0,1,$J$2))</f>
        <v>#DIV/0!</v>
      </c>
    </row>
    <row r="286" customFormat="false" ht="14.25" hidden="false" customHeight="false" outlineLevel="0" collapsed="false">
      <c r="H286" s="1" t="n">
        <f aca="false">H285+1</f>
        <v>281</v>
      </c>
      <c r="I286" s="1" t="n">
        <f aca="false">DAY(K286)</f>
        <v>7</v>
      </c>
      <c r="J286" s="1" t="n">
        <f aca="false">MONTH(K286)</f>
        <v>10</v>
      </c>
      <c r="K286" s="23" t="n">
        <f aca="false">K285+1</f>
        <v>36806</v>
      </c>
      <c r="L286" s="24" t="n">
        <f aca="true">IF(TODAY()&lt;DATE($N$5,J286,I286),1000000,-1000000)</f>
        <v>1000000</v>
      </c>
      <c r="M286" s="1" t="e">
        <f aca="false">IF(K286&gt;0,INDEX(big_daily_table,MATCH(DATE(N$5,$J286,$I286),daily_dates,0),MATCH($B$3,daily_items,0)),NA())</f>
        <v>#N/A</v>
      </c>
      <c r="N286" s="1" t="e">
        <f aca="false">IF(L286&lt;0,INDEX(big_daily_table,MATCH(DATE(N$5,$J286,$I286),daily_dates,0),MATCH($B$3,daily_items,0)),NA())</f>
        <v>#N/A</v>
      </c>
      <c r="O286" s="1" t="e">
        <f aca="false">IF(ISBLANK(INDEX(big_daily_table,MATCH(DATE(O$5,$J286,$I286),daily_dates,0),MATCH($B$3,daily_items,0))),NA(),INDEX(big_daily_table,MATCH(DATE(O$5,$J286,$I286),daily_dates,0),MATCH($B$3,daily_items,0)))</f>
        <v>#N/A</v>
      </c>
      <c r="P286" s="1" t="e">
        <f aca="false">IF(ISBLANK(INDEX(big_daily_table,MATCH(DATE(P$5,$J286,$I286),daily_dates,0),MATCH($B$3,daily_items,0))),NA(),INDEX(big_daily_table,MATCH(DATE(P$5,$J286,$I286),daily_dates,0),MATCH($B$3,daily_items,0)))</f>
        <v>#N/A</v>
      </c>
      <c r="Q286" s="1" t="e">
        <f aca="false">IF(ISBLANK(INDEX(big_daily_table,MATCH(DATE(Q$5,$J286,$I286),daily_dates,0),MATCH($B$3,daily_items,0))),NA(),INDEX(big_daily_table,MATCH(DATE(Q$5,$J286,$I286),daily_dates,0),MATCH($B$3,daily_items,0)))</f>
        <v>#N/A</v>
      </c>
      <c r="R286" s="1" t="e">
        <f aca="false">IF(ISBLANK(INDEX(big_daily_table,MATCH(DATE(R$5,$J286,$I286),daily_dates,0),MATCH($B$3,daily_items,0))),NA(),INDEX(big_daily_table,MATCH(DATE(R$5,$J286,$I286),daily_dates,0),MATCH($B$3,daily_items,0)))</f>
        <v>#N/A</v>
      </c>
      <c r="S286" s="1" t="e">
        <f aca="false">IF(ISBLANK(INDEX(big_daily_table,MATCH(DATE(S$5,$J286,$I286),daily_dates,0),MATCH($B$3,daily_items,0))),NA(),INDEX(big_daily_table,MATCH(DATE(S$5,$J286,$I286),daily_dates,0),MATCH($B$3,daily_items,0)))</f>
        <v>#N/A</v>
      </c>
      <c r="T286" s="1" t="e">
        <f aca="false">IF(ISBLANK(INDEX(big_daily_table,MATCH(DATE(T$5,$J286,$I286),daily_dates,0),MATCH($B$3,daily_items,0))),NA(),INDEX(big_daily_table,MATCH(DATE(T$5,$J286,$I286),daily_dates,0),MATCH($B$3,daily_items,0)))</f>
        <v>#N/A</v>
      </c>
      <c r="U286" s="1" t="e">
        <f aca="false">IF(ISBLANK(INDEX(big_daily_table,MATCH(DATE(U$5,$J286,$I286),daily_dates,0),MATCH($B$3,daily_items,0))),NA(),INDEX(big_daily_table,MATCH(DATE(U$5,$J286,$I286),daily_dates,0),MATCH($B$3,daily_items,0)))</f>
        <v>#N/A</v>
      </c>
      <c r="V286" s="1" t="e">
        <f aca="false">IF(ISBLANK(INDEX(big_daily_table,MATCH(DATE(V$5,$J286,$I286),daily_dates,0),MATCH($B$3,daily_items,0))),NA(),INDEX(big_daily_table,MATCH(DATE(V$5,$J286,$I286),daily_dates,0),MATCH($B$3,daily_items,0)))</f>
        <v>#N/A</v>
      </c>
      <c r="W286" s="1" t="e">
        <f aca="false">IF(ISBLANK(INDEX(big_daily_table,MATCH(DATE(W$5,$J286,$I286),daily_dates,0),MATCH($B$3,daily_items,0))),NA(),INDEX(big_daily_table,MATCH(DATE(W$5,$J286,$I286),daily_dates,0),MATCH($B$3,daily_items,0)))</f>
        <v>#N/A</v>
      </c>
      <c r="X286" s="1" t="e">
        <f aca="false">IF(ISBLANK(INDEX(big_daily_table,MATCH(DATE(X$5,$J286,$I286),daily_dates,0),MATCH($B$3,daily_items,0))),NA(),INDEX(big_daily_table,MATCH(DATE(X$5,$J286,$I286),daily_dates,0),MATCH($B$3,daily_items,0)))</f>
        <v>#N/A</v>
      </c>
      <c r="Y286" s="1" t="e">
        <f aca="false">IF(ISBLANK(INDEX(big_daily_table,MATCH(DATE(Y$5,$J286,$I286),daily_dates,0),MATCH($B$3,daily_items,0))),NA(),INDEX(big_daily_table,MATCH(DATE(Y$5,$J286,$I286),daily_dates,0),MATCH($B$3,daily_items,0)))</f>
        <v>#N/A</v>
      </c>
      <c r="Z286" s="1" t="n">
        <f aca="true">_xlfn.AGGREGATE(5,6,OFFSET($R$5,H286,0,1,$J$2))</f>
        <v>0</v>
      </c>
      <c r="AA286" s="1" t="n">
        <f aca="true">_xlfn.AGGREGATE(4,6,OFFSET($R$5,H286,0,1,$J$2))</f>
        <v>0</v>
      </c>
      <c r="AB286" s="1" t="n">
        <f aca="false">AA286-Z286</f>
        <v>0</v>
      </c>
      <c r="AC286" s="1" t="e">
        <f aca="true">_xlfn.AGGREGATE(1,6,OFFSET($R$5,H286,0,1,$J$2))</f>
        <v>#DIV/0!</v>
      </c>
    </row>
    <row r="287" customFormat="false" ht="14.25" hidden="false" customHeight="false" outlineLevel="0" collapsed="false">
      <c r="H287" s="1" t="n">
        <f aca="false">H286+1</f>
        <v>282</v>
      </c>
      <c r="I287" s="1" t="n">
        <f aca="false">DAY(K287)</f>
        <v>8</v>
      </c>
      <c r="J287" s="1" t="n">
        <f aca="false">MONTH(K287)</f>
        <v>10</v>
      </c>
      <c r="K287" s="23" t="n">
        <f aca="false">K286+1</f>
        <v>36807</v>
      </c>
      <c r="L287" s="24" t="n">
        <f aca="true">IF(TODAY()&lt;DATE($N$5,J287,I287),1000000,-1000000)</f>
        <v>1000000</v>
      </c>
      <c r="M287" s="1" t="e">
        <f aca="false">IF(K287&gt;0,INDEX(big_daily_table,MATCH(DATE(N$5,$J287,$I287),daily_dates,0),MATCH($B$3,daily_items,0)),NA())</f>
        <v>#N/A</v>
      </c>
      <c r="N287" s="1" t="e">
        <f aca="false">IF(L287&lt;0,INDEX(big_daily_table,MATCH(DATE(N$5,$J287,$I287),daily_dates,0),MATCH($B$3,daily_items,0)),NA())</f>
        <v>#N/A</v>
      </c>
      <c r="O287" s="1" t="e">
        <f aca="false">IF(ISBLANK(INDEX(big_daily_table,MATCH(DATE(O$5,$J287,$I287),daily_dates,0),MATCH($B$3,daily_items,0))),NA(),INDEX(big_daily_table,MATCH(DATE(O$5,$J287,$I287),daily_dates,0),MATCH($B$3,daily_items,0)))</f>
        <v>#N/A</v>
      </c>
      <c r="P287" s="1" t="e">
        <f aca="false">IF(ISBLANK(INDEX(big_daily_table,MATCH(DATE(P$5,$J287,$I287),daily_dates,0),MATCH($B$3,daily_items,0))),NA(),INDEX(big_daily_table,MATCH(DATE(P$5,$J287,$I287),daily_dates,0),MATCH($B$3,daily_items,0)))</f>
        <v>#N/A</v>
      </c>
      <c r="Q287" s="1" t="e">
        <f aca="false">IF(ISBLANK(INDEX(big_daily_table,MATCH(DATE(Q$5,$J287,$I287),daily_dates,0),MATCH($B$3,daily_items,0))),NA(),INDEX(big_daily_table,MATCH(DATE(Q$5,$J287,$I287),daily_dates,0),MATCH($B$3,daily_items,0)))</f>
        <v>#N/A</v>
      </c>
      <c r="R287" s="1" t="e">
        <f aca="false">IF(ISBLANK(INDEX(big_daily_table,MATCH(DATE(R$5,$J287,$I287),daily_dates,0),MATCH($B$3,daily_items,0))),NA(),INDEX(big_daily_table,MATCH(DATE(R$5,$J287,$I287),daily_dates,0),MATCH($B$3,daily_items,0)))</f>
        <v>#N/A</v>
      </c>
      <c r="S287" s="1" t="e">
        <f aca="false">IF(ISBLANK(INDEX(big_daily_table,MATCH(DATE(S$5,$J287,$I287),daily_dates,0),MATCH($B$3,daily_items,0))),NA(),INDEX(big_daily_table,MATCH(DATE(S$5,$J287,$I287),daily_dates,0),MATCH($B$3,daily_items,0)))</f>
        <v>#N/A</v>
      </c>
      <c r="T287" s="1" t="e">
        <f aca="false">IF(ISBLANK(INDEX(big_daily_table,MATCH(DATE(T$5,$J287,$I287),daily_dates,0),MATCH($B$3,daily_items,0))),NA(),INDEX(big_daily_table,MATCH(DATE(T$5,$J287,$I287),daily_dates,0),MATCH($B$3,daily_items,0)))</f>
        <v>#N/A</v>
      </c>
      <c r="U287" s="1" t="e">
        <f aca="false">IF(ISBLANK(INDEX(big_daily_table,MATCH(DATE(U$5,$J287,$I287),daily_dates,0),MATCH($B$3,daily_items,0))),NA(),INDEX(big_daily_table,MATCH(DATE(U$5,$J287,$I287),daily_dates,0),MATCH($B$3,daily_items,0)))</f>
        <v>#N/A</v>
      </c>
      <c r="V287" s="1" t="e">
        <f aca="false">IF(ISBLANK(INDEX(big_daily_table,MATCH(DATE(V$5,$J287,$I287),daily_dates,0),MATCH($B$3,daily_items,0))),NA(),INDEX(big_daily_table,MATCH(DATE(V$5,$J287,$I287),daily_dates,0),MATCH($B$3,daily_items,0)))</f>
        <v>#N/A</v>
      </c>
      <c r="W287" s="1" t="e">
        <f aca="false">IF(ISBLANK(INDEX(big_daily_table,MATCH(DATE(W$5,$J287,$I287),daily_dates,0),MATCH($B$3,daily_items,0))),NA(),INDEX(big_daily_table,MATCH(DATE(W$5,$J287,$I287),daily_dates,0),MATCH($B$3,daily_items,0)))</f>
        <v>#N/A</v>
      </c>
      <c r="X287" s="1" t="e">
        <f aca="false">IF(ISBLANK(INDEX(big_daily_table,MATCH(DATE(X$5,$J287,$I287),daily_dates,0),MATCH($B$3,daily_items,0))),NA(),INDEX(big_daily_table,MATCH(DATE(X$5,$J287,$I287),daily_dates,0),MATCH($B$3,daily_items,0)))</f>
        <v>#N/A</v>
      </c>
      <c r="Y287" s="1" t="e">
        <f aca="false">IF(ISBLANK(INDEX(big_daily_table,MATCH(DATE(Y$5,$J287,$I287),daily_dates,0),MATCH($B$3,daily_items,0))),NA(),INDEX(big_daily_table,MATCH(DATE(Y$5,$J287,$I287),daily_dates,0),MATCH($B$3,daily_items,0)))</f>
        <v>#N/A</v>
      </c>
      <c r="Z287" s="1" t="n">
        <f aca="true">_xlfn.AGGREGATE(5,6,OFFSET($R$5,H287,0,1,$J$2))</f>
        <v>0</v>
      </c>
      <c r="AA287" s="1" t="n">
        <f aca="true">_xlfn.AGGREGATE(4,6,OFFSET($R$5,H287,0,1,$J$2))</f>
        <v>0</v>
      </c>
      <c r="AB287" s="1" t="n">
        <f aca="false">AA287-Z287</f>
        <v>0</v>
      </c>
      <c r="AC287" s="1" t="e">
        <f aca="true">_xlfn.AGGREGATE(1,6,OFFSET($R$5,H287,0,1,$J$2))</f>
        <v>#DIV/0!</v>
      </c>
    </row>
    <row r="288" customFormat="false" ht="14.25" hidden="false" customHeight="false" outlineLevel="0" collapsed="false">
      <c r="H288" s="1" t="n">
        <f aca="false">H287+1</f>
        <v>283</v>
      </c>
      <c r="I288" s="1" t="n">
        <f aca="false">DAY(K288)</f>
        <v>9</v>
      </c>
      <c r="J288" s="1" t="n">
        <f aca="false">MONTH(K288)</f>
        <v>10</v>
      </c>
      <c r="K288" s="23" t="n">
        <f aca="false">K287+1</f>
        <v>36808</v>
      </c>
      <c r="L288" s="24" t="n">
        <f aca="true">IF(TODAY()&lt;DATE($N$5,J288,I288),1000000,-1000000)</f>
        <v>1000000</v>
      </c>
      <c r="M288" s="1" t="e">
        <f aca="false">IF(K288&gt;0,INDEX(big_daily_table,MATCH(DATE(N$5,$J288,$I288),daily_dates,0),MATCH($B$3,daily_items,0)),NA())</f>
        <v>#N/A</v>
      </c>
      <c r="N288" s="1" t="e">
        <f aca="false">IF(L288&lt;0,INDEX(big_daily_table,MATCH(DATE(N$5,$J288,$I288),daily_dates,0),MATCH($B$3,daily_items,0)),NA())</f>
        <v>#N/A</v>
      </c>
      <c r="O288" s="1" t="e">
        <f aca="false">IF(ISBLANK(INDEX(big_daily_table,MATCH(DATE(O$5,$J288,$I288),daily_dates,0),MATCH($B$3,daily_items,0))),NA(),INDEX(big_daily_table,MATCH(DATE(O$5,$J288,$I288),daily_dates,0),MATCH($B$3,daily_items,0)))</f>
        <v>#N/A</v>
      </c>
      <c r="P288" s="1" t="e">
        <f aca="false">IF(ISBLANK(INDEX(big_daily_table,MATCH(DATE(P$5,$J288,$I288),daily_dates,0),MATCH($B$3,daily_items,0))),NA(),INDEX(big_daily_table,MATCH(DATE(P$5,$J288,$I288),daily_dates,0),MATCH($B$3,daily_items,0)))</f>
        <v>#N/A</v>
      </c>
      <c r="Q288" s="1" t="e">
        <f aca="false">IF(ISBLANK(INDEX(big_daily_table,MATCH(DATE(Q$5,$J288,$I288),daily_dates,0),MATCH($B$3,daily_items,0))),NA(),INDEX(big_daily_table,MATCH(DATE(Q$5,$J288,$I288),daily_dates,0),MATCH($B$3,daily_items,0)))</f>
        <v>#N/A</v>
      </c>
      <c r="R288" s="1" t="e">
        <f aca="false">IF(ISBLANK(INDEX(big_daily_table,MATCH(DATE(R$5,$J288,$I288),daily_dates,0),MATCH($B$3,daily_items,0))),NA(),INDEX(big_daily_table,MATCH(DATE(R$5,$J288,$I288),daily_dates,0),MATCH($B$3,daily_items,0)))</f>
        <v>#N/A</v>
      </c>
      <c r="S288" s="1" t="e">
        <f aca="false">IF(ISBLANK(INDEX(big_daily_table,MATCH(DATE(S$5,$J288,$I288),daily_dates,0),MATCH($B$3,daily_items,0))),NA(),INDEX(big_daily_table,MATCH(DATE(S$5,$J288,$I288),daily_dates,0),MATCH($B$3,daily_items,0)))</f>
        <v>#N/A</v>
      </c>
      <c r="T288" s="1" t="e">
        <f aca="false">IF(ISBLANK(INDEX(big_daily_table,MATCH(DATE(T$5,$J288,$I288),daily_dates,0),MATCH($B$3,daily_items,0))),NA(),INDEX(big_daily_table,MATCH(DATE(T$5,$J288,$I288),daily_dates,0),MATCH($B$3,daily_items,0)))</f>
        <v>#N/A</v>
      </c>
      <c r="U288" s="1" t="e">
        <f aca="false">IF(ISBLANK(INDEX(big_daily_table,MATCH(DATE(U$5,$J288,$I288),daily_dates,0),MATCH($B$3,daily_items,0))),NA(),INDEX(big_daily_table,MATCH(DATE(U$5,$J288,$I288),daily_dates,0),MATCH($B$3,daily_items,0)))</f>
        <v>#N/A</v>
      </c>
      <c r="V288" s="1" t="e">
        <f aca="false">IF(ISBLANK(INDEX(big_daily_table,MATCH(DATE(V$5,$J288,$I288),daily_dates,0),MATCH($B$3,daily_items,0))),NA(),INDEX(big_daily_table,MATCH(DATE(V$5,$J288,$I288),daily_dates,0),MATCH($B$3,daily_items,0)))</f>
        <v>#N/A</v>
      </c>
      <c r="W288" s="1" t="e">
        <f aca="false">IF(ISBLANK(INDEX(big_daily_table,MATCH(DATE(W$5,$J288,$I288),daily_dates,0),MATCH($B$3,daily_items,0))),NA(),INDEX(big_daily_table,MATCH(DATE(W$5,$J288,$I288),daily_dates,0),MATCH($B$3,daily_items,0)))</f>
        <v>#N/A</v>
      </c>
      <c r="X288" s="1" t="e">
        <f aca="false">IF(ISBLANK(INDEX(big_daily_table,MATCH(DATE(X$5,$J288,$I288),daily_dates,0),MATCH($B$3,daily_items,0))),NA(),INDEX(big_daily_table,MATCH(DATE(X$5,$J288,$I288),daily_dates,0),MATCH($B$3,daily_items,0)))</f>
        <v>#N/A</v>
      </c>
      <c r="Y288" s="1" t="e">
        <f aca="false">IF(ISBLANK(INDEX(big_daily_table,MATCH(DATE(Y$5,$J288,$I288),daily_dates,0),MATCH($B$3,daily_items,0))),NA(),INDEX(big_daily_table,MATCH(DATE(Y$5,$J288,$I288),daily_dates,0),MATCH($B$3,daily_items,0)))</f>
        <v>#N/A</v>
      </c>
      <c r="Z288" s="1" t="n">
        <f aca="true">_xlfn.AGGREGATE(5,6,OFFSET($R$5,H288,0,1,$J$2))</f>
        <v>0</v>
      </c>
      <c r="AA288" s="1" t="n">
        <f aca="true">_xlfn.AGGREGATE(4,6,OFFSET($R$5,H288,0,1,$J$2))</f>
        <v>0</v>
      </c>
      <c r="AB288" s="1" t="n">
        <f aca="false">AA288-Z288</f>
        <v>0</v>
      </c>
      <c r="AC288" s="1" t="e">
        <f aca="true">_xlfn.AGGREGATE(1,6,OFFSET($R$5,H288,0,1,$J$2))</f>
        <v>#DIV/0!</v>
      </c>
    </row>
    <row r="289" customFormat="false" ht="14.25" hidden="false" customHeight="false" outlineLevel="0" collapsed="false">
      <c r="H289" s="1" t="n">
        <f aca="false">H288+1</f>
        <v>284</v>
      </c>
      <c r="I289" s="1" t="n">
        <f aca="false">DAY(K289)</f>
        <v>10</v>
      </c>
      <c r="J289" s="1" t="n">
        <f aca="false">MONTH(K289)</f>
        <v>10</v>
      </c>
      <c r="K289" s="23" t="n">
        <f aca="false">K288+1</f>
        <v>36809</v>
      </c>
      <c r="L289" s="24" t="n">
        <f aca="true">IF(TODAY()&lt;DATE($N$5,J289,I289),1000000,-1000000)</f>
        <v>1000000</v>
      </c>
      <c r="M289" s="1" t="e">
        <f aca="false">IF(K289&gt;0,INDEX(big_daily_table,MATCH(DATE(N$5,$J289,$I289),daily_dates,0),MATCH($B$3,daily_items,0)),NA())</f>
        <v>#N/A</v>
      </c>
      <c r="N289" s="1" t="e">
        <f aca="false">IF(L289&lt;0,INDEX(big_daily_table,MATCH(DATE(N$5,$J289,$I289),daily_dates,0),MATCH($B$3,daily_items,0)),NA())</f>
        <v>#N/A</v>
      </c>
      <c r="O289" s="1" t="e">
        <f aca="false">IF(ISBLANK(INDEX(big_daily_table,MATCH(DATE(O$5,$J289,$I289),daily_dates,0),MATCH($B$3,daily_items,0))),NA(),INDEX(big_daily_table,MATCH(DATE(O$5,$J289,$I289),daily_dates,0),MATCH($B$3,daily_items,0)))</f>
        <v>#N/A</v>
      </c>
      <c r="P289" s="1" t="e">
        <f aca="false">IF(ISBLANK(INDEX(big_daily_table,MATCH(DATE(P$5,$J289,$I289),daily_dates,0),MATCH($B$3,daily_items,0))),NA(),INDEX(big_daily_table,MATCH(DATE(P$5,$J289,$I289),daily_dates,0),MATCH($B$3,daily_items,0)))</f>
        <v>#N/A</v>
      </c>
      <c r="Q289" s="1" t="e">
        <f aca="false">IF(ISBLANK(INDEX(big_daily_table,MATCH(DATE(Q$5,$J289,$I289),daily_dates,0),MATCH($B$3,daily_items,0))),NA(),INDEX(big_daily_table,MATCH(DATE(Q$5,$J289,$I289),daily_dates,0),MATCH($B$3,daily_items,0)))</f>
        <v>#N/A</v>
      </c>
      <c r="R289" s="1" t="e">
        <f aca="false">IF(ISBLANK(INDEX(big_daily_table,MATCH(DATE(R$5,$J289,$I289),daily_dates,0),MATCH($B$3,daily_items,0))),NA(),INDEX(big_daily_table,MATCH(DATE(R$5,$J289,$I289),daily_dates,0),MATCH($B$3,daily_items,0)))</f>
        <v>#N/A</v>
      </c>
      <c r="S289" s="1" t="e">
        <f aca="false">IF(ISBLANK(INDEX(big_daily_table,MATCH(DATE(S$5,$J289,$I289),daily_dates,0),MATCH($B$3,daily_items,0))),NA(),INDEX(big_daily_table,MATCH(DATE(S$5,$J289,$I289),daily_dates,0),MATCH($B$3,daily_items,0)))</f>
        <v>#N/A</v>
      </c>
      <c r="T289" s="1" t="e">
        <f aca="false">IF(ISBLANK(INDEX(big_daily_table,MATCH(DATE(T$5,$J289,$I289),daily_dates,0),MATCH($B$3,daily_items,0))),NA(),INDEX(big_daily_table,MATCH(DATE(T$5,$J289,$I289),daily_dates,0),MATCH($B$3,daily_items,0)))</f>
        <v>#N/A</v>
      </c>
      <c r="U289" s="1" t="e">
        <f aca="false">IF(ISBLANK(INDEX(big_daily_table,MATCH(DATE(U$5,$J289,$I289),daily_dates,0),MATCH($B$3,daily_items,0))),NA(),INDEX(big_daily_table,MATCH(DATE(U$5,$J289,$I289),daily_dates,0),MATCH($B$3,daily_items,0)))</f>
        <v>#N/A</v>
      </c>
      <c r="V289" s="1" t="e">
        <f aca="false">IF(ISBLANK(INDEX(big_daily_table,MATCH(DATE(V$5,$J289,$I289),daily_dates,0),MATCH($B$3,daily_items,0))),NA(),INDEX(big_daily_table,MATCH(DATE(V$5,$J289,$I289),daily_dates,0),MATCH($B$3,daily_items,0)))</f>
        <v>#N/A</v>
      </c>
      <c r="W289" s="1" t="e">
        <f aca="false">IF(ISBLANK(INDEX(big_daily_table,MATCH(DATE(W$5,$J289,$I289),daily_dates,0),MATCH($B$3,daily_items,0))),NA(),INDEX(big_daily_table,MATCH(DATE(W$5,$J289,$I289),daily_dates,0),MATCH($B$3,daily_items,0)))</f>
        <v>#N/A</v>
      </c>
      <c r="X289" s="1" t="e">
        <f aca="false">IF(ISBLANK(INDEX(big_daily_table,MATCH(DATE(X$5,$J289,$I289),daily_dates,0),MATCH($B$3,daily_items,0))),NA(),INDEX(big_daily_table,MATCH(DATE(X$5,$J289,$I289),daily_dates,0),MATCH($B$3,daily_items,0)))</f>
        <v>#N/A</v>
      </c>
      <c r="Y289" s="1" t="e">
        <f aca="false">IF(ISBLANK(INDEX(big_daily_table,MATCH(DATE(Y$5,$J289,$I289),daily_dates,0),MATCH($B$3,daily_items,0))),NA(),INDEX(big_daily_table,MATCH(DATE(Y$5,$J289,$I289),daily_dates,0),MATCH($B$3,daily_items,0)))</f>
        <v>#N/A</v>
      </c>
      <c r="Z289" s="1" t="n">
        <f aca="true">_xlfn.AGGREGATE(5,6,OFFSET($R$5,H289,0,1,$J$2))</f>
        <v>0</v>
      </c>
      <c r="AA289" s="1" t="n">
        <f aca="true">_xlfn.AGGREGATE(4,6,OFFSET($R$5,H289,0,1,$J$2))</f>
        <v>0</v>
      </c>
      <c r="AB289" s="1" t="n">
        <f aca="false">AA289-Z289</f>
        <v>0</v>
      </c>
      <c r="AC289" s="1" t="e">
        <f aca="true">_xlfn.AGGREGATE(1,6,OFFSET($R$5,H289,0,1,$J$2))</f>
        <v>#DIV/0!</v>
      </c>
    </row>
    <row r="290" customFormat="false" ht="14.25" hidden="false" customHeight="false" outlineLevel="0" collapsed="false">
      <c r="H290" s="1" t="n">
        <f aca="false">H289+1</f>
        <v>285</v>
      </c>
      <c r="I290" s="1" t="n">
        <f aca="false">DAY(K290)</f>
        <v>11</v>
      </c>
      <c r="J290" s="1" t="n">
        <f aca="false">MONTH(K290)</f>
        <v>10</v>
      </c>
      <c r="K290" s="23" t="n">
        <f aca="false">K289+1</f>
        <v>36810</v>
      </c>
      <c r="L290" s="24" t="n">
        <f aca="true">IF(TODAY()&lt;DATE($N$5,J290,I290),1000000,-1000000)</f>
        <v>1000000</v>
      </c>
      <c r="M290" s="1" t="e">
        <f aca="false">IF(K290&gt;0,INDEX(big_daily_table,MATCH(DATE(N$5,$J290,$I290),daily_dates,0),MATCH($B$3,daily_items,0)),NA())</f>
        <v>#N/A</v>
      </c>
      <c r="N290" s="1" t="e">
        <f aca="false">IF(L290&lt;0,INDEX(big_daily_table,MATCH(DATE(N$5,$J290,$I290),daily_dates,0),MATCH($B$3,daily_items,0)),NA())</f>
        <v>#N/A</v>
      </c>
      <c r="O290" s="1" t="e">
        <f aca="false">IF(ISBLANK(INDEX(big_daily_table,MATCH(DATE(O$5,$J290,$I290),daily_dates,0),MATCH($B$3,daily_items,0))),NA(),INDEX(big_daily_table,MATCH(DATE(O$5,$J290,$I290),daily_dates,0),MATCH($B$3,daily_items,0)))</f>
        <v>#N/A</v>
      </c>
      <c r="P290" s="1" t="e">
        <f aca="false">IF(ISBLANK(INDEX(big_daily_table,MATCH(DATE(P$5,$J290,$I290),daily_dates,0),MATCH($B$3,daily_items,0))),NA(),INDEX(big_daily_table,MATCH(DATE(P$5,$J290,$I290),daily_dates,0),MATCH($B$3,daily_items,0)))</f>
        <v>#N/A</v>
      </c>
      <c r="Q290" s="1" t="e">
        <f aca="false">IF(ISBLANK(INDEX(big_daily_table,MATCH(DATE(Q$5,$J290,$I290),daily_dates,0),MATCH($B$3,daily_items,0))),NA(),INDEX(big_daily_table,MATCH(DATE(Q$5,$J290,$I290),daily_dates,0),MATCH($B$3,daily_items,0)))</f>
        <v>#N/A</v>
      </c>
      <c r="R290" s="1" t="e">
        <f aca="false">IF(ISBLANK(INDEX(big_daily_table,MATCH(DATE(R$5,$J290,$I290),daily_dates,0),MATCH($B$3,daily_items,0))),NA(),INDEX(big_daily_table,MATCH(DATE(R$5,$J290,$I290),daily_dates,0),MATCH($B$3,daily_items,0)))</f>
        <v>#N/A</v>
      </c>
      <c r="S290" s="1" t="e">
        <f aca="false">IF(ISBLANK(INDEX(big_daily_table,MATCH(DATE(S$5,$J290,$I290),daily_dates,0),MATCH($B$3,daily_items,0))),NA(),INDEX(big_daily_table,MATCH(DATE(S$5,$J290,$I290),daily_dates,0),MATCH($B$3,daily_items,0)))</f>
        <v>#N/A</v>
      </c>
      <c r="T290" s="1" t="e">
        <f aca="false">IF(ISBLANK(INDEX(big_daily_table,MATCH(DATE(T$5,$J290,$I290),daily_dates,0),MATCH($B$3,daily_items,0))),NA(),INDEX(big_daily_table,MATCH(DATE(T$5,$J290,$I290),daily_dates,0),MATCH($B$3,daily_items,0)))</f>
        <v>#N/A</v>
      </c>
      <c r="U290" s="1" t="e">
        <f aca="false">IF(ISBLANK(INDEX(big_daily_table,MATCH(DATE(U$5,$J290,$I290),daily_dates,0),MATCH($B$3,daily_items,0))),NA(),INDEX(big_daily_table,MATCH(DATE(U$5,$J290,$I290),daily_dates,0),MATCH($B$3,daily_items,0)))</f>
        <v>#N/A</v>
      </c>
      <c r="V290" s="1" t="e">
        <f aca="false">IF(ISBLANK(INDEX(big_daily_table,MATCH(DATE(V$5,$J290,$I290),daily_dates,0),MATCH($B$3,daily_items,0))),NA(),INDEX(big_daily_table,MATCH(DATE(V$5,$J290,$I290),daily_dates,0),MATCH($B$3,daily_items,0)))</f>
        <v>#N/A</v>
      </c>
      <c r="W290" s="1" t="e">
        <f aca="false">IF(ISBLANK(INDEX(big_daily_table,MATCH(DATE(W$5,$J290,$I290),daily_dates,0),MATCH($B$3,daily_items,0))),NA(),INDEX(big_daily_table,MATCH(DATE(W$5,$J290,$I290),daily_dates,0),MATCH($B$3,daily_items,0)))</f>
        <v>#N/A</v>
      </c>
      <c r="X290" s="1" t="e">
        <f aca="false">IF(ISBLANK(INDEX(big_daily_table,MATCH(DATE(X$5,$J290,$I290),daily_dates,0),MATCH($B$3,daily_items,0))),NA(),INDEX(big_daily_table,MATCH(DATE(X$5,$J290,$I290),daily_dates,0),MATCH($B$3,daily_items,0)))</f>
        <v>#N/A</v>
      </c>
      <c r="Y290" s="1" t="e">
        <f aca="false">IF(ISBLANK(INDEX(big_daily_table,MATCH(DATE(Y$5,$J290,$I290),daily_dates,0),MATCH($B$3,daily_items,0))),NA(),INDEX(big_daily_table,MATCH(DATE(Y$5,$J290,$I290),daily_dates,0),MATCH($B$3,daily_items,0)))</f>
        <v>#N/A</v>
      </c>
      <c r="Z290" s="1" t="n">
        <f aca="true">_xlfn.AGGREGATE(5,6,OFFSET($R$5,H290,0,1,$J$2))</f>
        <v>0</v>
      </c>
      <c r="AA290" s="1" t="n">
        <f aca="true">_xlfn.AGGREGATE(4,6,OFFSET($R$5,H290,0,1,$J$2))</f>
        <v>0</v>
      </c>
      <c r="AB290" s="1" t="n">
        <f aca="false">AA290-Z290</f>
        <v>0</v>
      </c>
      <c r="AC290" s="1" t="e">
        <f aca="true">_xlfn.AGGREGATE(1,6,OFFSET($R$5,H290,0,1,$J$2))</f>
        <v>#DIV/0!</v>
      </c>
    </row>
    <row r="291" customFormat="false" ht="14.25" hidden="false" customHeight="false" outlineLevel="0" collapsed="false">
      <c r="H291" s="1" t="n">
        <f aca="false">H290+1</f>
        <v>286</v>
      </c>
      <c r="I291" s="1" t="n">
        <f aca="false">DAY(K291)</f>
        <v>12</v>
      </c>
      <c r="J291" s="1" t="n">
        <f aca="false">MONTH(K291)</f>
        <v>10</v>
      </c>
      <c r="K291" s="23" t="n">
        <f aca="false">K290+1</f>
        <v>36811</v>
      </c>
      <c r="L291" s="24" t="n">
        <f aca="true">IF(TODAY()&lt;DATE($N$5,J291,I291),1000000,-1000000)</f>
        <v>1000000</v>
      </c>
      <c r="M291" s="1" t="e">
        <f aca="false">IF(K291&gt;0,INDEX(big_daily_table,MATCH(DATE(N$5,$J291,$I291),daily_dates,0),MATCH($B$3,daily_items,0)),NA())</f>
        <v>#N/A</v>
      </c>
      <c r="N291" s="1" t="e">
        <f aca="false">IF(L291&lt;0,INDEX(big_daily_table,MATCH(DATE(N$5,$J291,$I291),daily_dates,0),MATCH($B$3,daily_items,0)),NA())</f>
        <v>#N/A</v>
      </c>
      <c r="O291" s="1" t="e">
        <f aca="false">IF(ISBLANK(INDEX(big_daily_table,MATCH(DATE(O$5,$J291,$I291),daily_dates,0),MATCH($B$3,daily_items,0))),NA(),INDEX(big_daily_table,MATCH(DATE(O$5,$J291,$I291),daily_dates,0),MATCH($B$3,daily_items,0)))</f>
        <v>#N/A</v>
      </c>
      <c r="P291" s="1" t="e">
        <f aca="false">IF(ISBLANK(INDEX(big_daily_table,MATCH(DATE(P$5,$J291,$I291),daily_dates,0),MATCH($B$3,daily_items,0))),NA(),INDEX(big_daily_table,MATCH(DATE(P$5,$J291,$I291),daily_dates,0),MATCH($B$3,daily_items,0)))</f>
        <v>#N/A</v>
      </c>
      <c r="Q291" s="1" t="e">
        <f aca="false">IF(ISBLANK(INDEX(big_daily_table,MATCH(DATE(Q$5,$J291,$I291),daily_dates,0),MATCH($B$3,daily_items,0))),NA(),INDEX(big_daily_table,MATCH(DATE(Q$5,$J291,$I291),daily_dates,0),MATCH($B$3,daily_items,0)))</f>
        <v>#N/A</v>
      </c>
      <c r="R291" s="1" t="e">
        <f aca="false">IF(ISBLANK(INDEX(big_daily_table,MATCH(DATE(R$5,$J291,$I291),daily_dates,0),MATCH($B$3,daily_items,0))),NA(),INDEX(big_daily_table,MATCH(DATE(R$5,$J291,$I291),daily_dates,0),MATCH($B$3,daily_items,0)))</f>
        <v>#N/A</v>
      </c>
      <c r="S291" s="1" t="e">
        <f aca="false">IF(ISBLANK(INDEX(big_daily_table,MATCH(DATE(S$5,$J291,$I291),daily_dates,0),MATCH($B$3,daily_items,0))),NA(),INDEX(big_daily_table,MATCH(DATE(S$5,$J291,$I291),daily_dates,0),MATCH($B$3,daily_items,0)))</f>
        <v>#N/A</v>
      </c>
      <c r="T291" s="1" t="e">
        <f aca="false">IF(ISBLANK(INDEX(big_daily_table,MATCH(DATE(T$5,$J291,$I291),daily_dates,0),MATCH($B$3,daily_items,0))),NA(),INDEX(big_daily_table,MATCH(DATE(T$5,$J291,$I291),daily_dates,0),MATCH($B$3,daily_items,0)))</f>
        <v>#N/A</v>
      </c>
      <c r="U291" s="1" t="e">
        <f aca="false">IF(ISBLANK(INDEX(big_daily_table,MATCH(DATE(U$5,$J291,$I291),daily_dates,0),MATCH($B$3,daily_items,0))),NA(),INDEX(big_daily_table,MATCH(DATE(U$5,$J291,$I291),daily_dates,0),MATCH($B$3,daily_items,0)))</f>
        <v>#N/A</v>
      </c>
      <c r="V291" s="1" t="e">
        <f aca="false">IF(ISBLANK(INDEX(big_daily_table,MATCH(DATE(V$5,$J291,$I291),daily_dates,0),MATCH($B$3,daily_items,0))),NA(),INDEX(big_daily_table,MATCH(DATE(V$5,$J291,$I291),daily_dates,0),MATCH($B$3,daily_items,0)))</f>
        <v>#N/A</v>
      </c>
      <c r="W291" s="1" t="e">
        <f aca="false">IF(ISBLANK(INDEX(big_daily_table,MATCH(DATE(W$5,$J291,$I291),daily_dates,0),MATCH($B$3,daily_items,0))),NA(),INDEX(big_daily_table,MATCH(DATE(W$5,$J291,$I291),daily_dates,0),MATCH($B$3,daily_items,0)))</f>
        <v>#N/A</v>
      </c>
      <c r="X291" s="1" t="e">
        <f aca="false">IF(ISBLANK(INDEX(big_daily_table,MATCH(DATE(X$5,$J291,$I291),daily_dates,0),MATCH($B$3,daily_items,0))),NA(),INDEX(big_daily_table,MATCH(DATE(X$5,$J291,$I291),daily_dates,0),MATCH($B$3,daily_items,0)))</f>
        <v>#N/A</v>
      </c>
      <c r="Y291" s="1" t="e">
        <f aca="false">IF(ISBLANK(INDEX(big_daily_table,MATCH(DATE(Y$5,$J291,$I291),daily_dates,0),MATCH($B$3,daily_items,0))),NA(),INDEX(big_daily_table,MATCH(DATE(Y$5,$J291,$I291),daily_dates,0),MATCH($B$3,daily_items,0)))</f>
        <v>#N/A</v>
      </c>
      <c r="Z291" s="1" t="n">
        <f aca="true">_xlfn.AGGREGATE(5,6,OFFSET($R$5,H291,0,1,$J$2))</f>
        <v>0</v>
      </c>
      <c r="AA291" s="1" t="n">
        <f aca="true">_xlfn.AGGREGATE(4,6,OFFSET($R$5,H291,0,1,$J$2))</f>
        <v>0</v>
      </c>
      <c r="AB291" s="1" t="n">
        <f aca="false">AA291-Z291</f>
        <v>0</v>
      </c>
      <c r="AC291" s="1" t="e">
        <f aca="true">_xlfn.AGGREGATE(1,6,OFFSET($R$5,H291,0,1,$J$2))</f>
        <v>#DIV/0!</v>
      </c>
    </row>
    <row r="292" customFormat="false" ht="14.25" hidden="false" customHeight="false" outlineLevel="0" collapsed="false">
      <c r="H292" s="1" t="n">
        <f aca="false">H291+1</f>
        <v>287</v>
      </c>
      <c r="I292" s="1" t="n">
        <f aca="false">DAY(K292)</f>
        <v>13</v>
      </c>
      <c r="J292" s="1" t="n">
        <f aca="false">MONTH(K292)</f>
        <v>10</v>
      </c>
      <c r="K292" s="23" t="n">
        <f aca="false">K291+1</f>
        <v>36812</v>
      </c>
      <c r="L292" s="24" t="n">
        <f aca="true">IF(TODAY()&lt;DATE($N$5,J292,I292),1000000,-1000000)</f>
        <v>1000000</v>
      </c>
      <c r="M292" s="1" t="e">
        <f aca="false">IF(K292&gt;0,INDEX(big_daily_table,MATCH(DATE(N$5,$J292,$I292),daily_dates,0),MATCH($B$3,daily_items,0)),NA())</f>
        <v>#N/A</v>
      </c>
      <c r="N292" s="1" t="e">
        <f aca="false">IF(L292&lt;0,INDEX(big_daily_table,MATCH(DATE(N$5,$J292,$I292),daily_dates,0),MATCH($B$3,daily_items,0)),NA())</f>
        <v>#N/A</v>
      </c>
      <c r="O292" s="1" t="e">
        <f aca="false">IF(ISBLANK(INDEX(big_daily_table,MATCH(DATE(O$5,$J292,$I292),daily_dates,0),MATCH($B$3,daily_items,0))),NA(),INDEX(big_daily_table,MATCH(DATE(O$5,$J292,$I292),daily_dates,0),MATCH($B$3,daily_items,0)))</f>
        <v>#N/A</v>
      </c>
      <c r="P292" s="1" t="e">
        <f aca="false">IF(ISBLANK(INDEX(big_daily_table,MATCH(DATE(P$5,$J292,$I292),daily_dates,0),MATCH($B$3,daily_items,0))),NA(),INDEX(big_daily_table,MATCH(DATE(P$5,$J292,$I292),daily_dates,0),MATCH($B$3,daily_items,0)))</f>
        <v>#N/A</v>
      </c>
      <c r="Q292" s="1" t="e">
        <f aca="false">IF(ISBLANK(INDEX(big_daily_table,MATCH(DATE(Q$5,$J292,$I292),daily_dates,0),MATCH($B$3,daily_items,0))),NA(),INDEX(big_daily_table,MATCH(DATE(Q$5,$J292,$I292),daily_dates,0),MATCH($B$3,daily_items,0)))</f>
        <v>#N/A</v>
      </c>
      <c r="R292" s="1" t="e">
        <f aca="false">IF(ISBLANK(INDEX(big_daily_table,MATCH(DATE(R$5,$J292,$I292),daily_dates,0),MATCH($B$3,daily_items,0))),NA(),INDEX(big_daily_table,MATCH(DATE(R$5,$J292,$I292),daily_dates,0),MATCH($B$3,daily_items,0)))</f>
        <v>#N/A</v>
      </c>
      <c r="S292" s="1" t="e">
        <f aca="false">IF(ISBLANK(INDEX(big_daily_table,MATCH(DATE(S$5,$J292,$I292),daily_dates,0),MATCH($B$3,daily_items,0))),NA(),INDEX(big_daily_table,MATCH(DATE(S$5,$J292,$I292),daily_dates,0),MATCH($B$3,daily_items,0)))</f>
        <v>#N/A</v>
      </c>
      <c r="T292" s="1" t="e">
        <f aca="false">IF(ISBLANK(INDEX(big_daily_table,MATCH(DATE(T$5,$J292,$I292),daily_dates,0),MATCH($B$3,daily_items,0))),NA(),INDEX(big_daily_table,MATCH(DATE(T$5,$J292,$I292),daily_dates,0),MATCH($B$3,daily_items,0)))</f>
        <v>#N/A</v>
      </c>
      <c r="U292" s="1" t="e">
        <f aca="false">IF(ISBLANK(INDEX(big_daily_table,MATCH(DATE(U$5,$J292,$I292),daily_dates,0),MATCH($B$3,daily_items,0))),NA(),INDEX(big_daily_table,MATCH(DATE(U$5,$J292,$I292),daily_dates,0),MATCH($B$3,daily_items,0)))</f>
        <v>#N/A</v>
      </c>
      <c r="V292" s="1" t="e">
        <f aca="false">IF(ISBLANK(INDEX(big_daily_table,MATCH(DATE(V$5,$J292,$I292),daily_dates,0),MATCH($B$3,daily_items,0))),NA(),INDEX(big_daily_table,MATCH(DATE(V$5,$J292,$I292),daily_dates,0),MATCH($B$3,daily_items,0)))</f>
        <v>#N/A</v>
      </c>
      <c r="W292" s="1" t="e">
        <f aca="false">IF(ISBLANK(INDEX(big_daily_table,MATCH(DATE(W$5,$J292,$I292),daily_dates,0),MATCH($B$3,daily_items,0))),NA(),INDEX(big_daily_table,MATCH(DATE(W$5,$J292,$I292),daily_dates,0),MATCH($B$3,daily_items,0)))</f>
        <v>#N/A</v>
      </c>
      <c r="X292" s="1" t="e">
        <f aca="false">IF(ISBLANK(INDEX(big_daily_table,MATCH(DATE(X$5,$J292,$I292),daily_dates,0),MATCH($B$3,daily_items,0))),NA(),INDEX(big_daily_table,MATCH(DATE(X$5,$J292,$I292),daily_dates,0),MATCH($B$3,daily_items,0)))</f>
        <v>#N/A</v>
      </c>
      <c r="Y292" s="1" t="e">
        <f aca="false">IF(ISBLANK(INDEX(big_daily_table,MATCH(DATE(Y$5,$J292,$I292),daily_dates,0),MATCH($B$3,daily_items,0))),NA(),INDEX(big_daily_table,MATCH(DATE(Y$5,$J292,$I292),daily_dates,0),MATCH($B$3,daily_items,0)))</f>
        <v>#N/A</v>
      </c>
      <c r="Z292" s="1" t="n">
        <f aca="true">_xlfn.AGGREGATE(5,6,OFFSET($R$5,H292,0,1,$J$2))</f>
        <v>0</v>
      </c>
      <c r="AA292" s="1" t="n">
        <f aca="true">_xlfn.AGGREGATE(4,6,OFFSET($R$5,H292,0,1,$J$2))</f>
        <v>0</v>
      </c>
      <c r="AB292" s="1" t="n">
        <f aca="false">AA292-Z292</f>
        <v>0</v>
      </c>
      <c r="AC292" s="1" t="e">
        <f aca="true">_xlfn.AGGREGATE(1,6,OFFSET($R$5,H292,0,1,$J$2))</f>
        <v>#DIV/0!</v>
      </c>
    </row>
    <row r="293" customFormat="false" ht="14.25" hidden="false" customHeight="false" outlineLevel="0" collapsed="false">
      <c r="H293" s="1" t="n">
        <f aca="false">H292+1</f>
        <v>288</v>
      </c>
      <c r="I293" s="1" t="n">
        <f aca="false">DAY(K293)</f>
        <v>14</v>
      </c>
      <c r="J293" s="1" t="n">
        <f aca="false">MONTH(K293)</f>
        <v>10</v>
      </c>
      <c r="K293" s="23" t="n">
        <f aca="false">K292+1</f>
        <v>36813</v>
      </c>
      <c r="L293" s="24" t="n">
        <f aca="true">IF(TODAY()&lt;DATE($N$5,J293,I293),1000000,-1000000)</f>
        <v>1000000</v>
      </c>
      <c r="M293" s="1" t="e">
        <f aca="false">IF(K293&gt;0,INDEX(big_daily_table,MATCH(DATE(N$5,$J293,$I293),daily_dates,0),MATCH($B$3,daily_items,0)),NA())</f>
        <v>#N/A</v>
      </c>
      <c r="N293" s="1" t="e">
        <f aca="false">IF(L293&lt;0,INDEX(big_daily_table,MATCH(DATE(N$5,$J293,$I293),daily_dates,0),MATCH($B$3,daily_items,0)),NA())</f>
        <v>#N/A</v>
      </c>
      <c r="O293" s="1" t="e">
        <f aca="false">IF(ISBLANK(INDEX(big_daily_table,MATCH(DATE(O$5,$J293,$I293),daily_dates,0),MATCH($B$3,daily_items,0))),NA(),INDEX(big_daily_table,MATCH(DATE(O$5,$J293,$I293),daily_dates,0),MATCH($B$3,daily_items,0)))</f>
        <v>#N/A</v>
      </c>
      <c r="P293" s="1" t="e">
        <f aca="false">IF(ISBLANK(INDEX(big_daily_table,MATCH(DATE(P$5,$J293,$I293),daily_dates,0),MATCH($B$3,daily_items,0))),NA(),INDEX(big_daily_table,MATCH(DATE(P$5,$J293,$I293),daily_dates,0),MATCH($B$3,daily_items,0)))</f>
        <v>#N/A</v>
      </c>
      <c r="Q293" s="1" t="e">
        <f aca="false">IF(ISBLANK(INDEX(big_daily_table,MATCH(DATE(Q$5,$J293,$I293),daily_dates,0),MATCH($B$3,daily_items,0))),NA(),INDEX(big_daily_table,MATCH(DATE(Q$5,$J293,$I293),daily_dates,0),MATCH($B$3,daily_items,0)))</f>
        <v>#N/A</v>
      </c>
      <c r="R293" s="1" t="e">
        <f aca="false">IF(ISBLANK(INDEX(big_daily_table,MATCH(DATE(R$5,$J293,$I293),daily_dates,0),MATCH($B$3,daily_items,0))),NA(),INDEX(big_daily_table,MATCH(DATE(R$5,$J293,$I293),daily_dates,0),MATCH($B$3,daily_items,0)))</f>
        <v>#N/A</v>
      </c>
      <c r="S293" s="1" t="e">
        <f aca="false">IF(ISBLANK(INDEX(big_daily_table,MATCH(DATE(S$5,$J293,$I293),daily_dates,0),MATCH($B$3,daily_items,0))),NA(),INDEX(big_daily_table,MATCH(DATE(S$5,$J293,$I293),daily_dates,0),MATCH($B$3,daily_items,0)))</f>
        <v>#N/A</v>
      </c>
      <c r="T293" s="1" t="e">
        <f aca="false">IF(ISBLANK(INDEX(big_daily_table,MATCH(DATE(T$5,$J293,$I293),daily_dates,0),MATCH($B$3,daily_items,0))),NA(),INDEX(big_daily_table,MATCH(DATE(T$5,$J293,$I293),daily_dates,0),MATCH($B$3,daily_items,0)))</f>
        <v>#N/A</v>
      </c>
      <c r="U293" s="1" t="e">
        <f aca="false">IF(ISBLANK(INDEX(big_daily_table,MATCH(DATE(U$5,$J293,$I293),daily_dates,0),MATCH($B$3,daily_items,0))),NA(),INDEX(big_daily_table,MATCH(DATE(U$5,$J293,$I293),daily_dates,0),MATCH($B$3,daily_items,0)))</f>
        <v>#N/A</v>
      </c>
      <c r="V293" s="1" t="e">
        <f aca="false">IF(ISBLANK(INDEX(big_daily_table,MATCH(DATE(V$5,$J293,$I293),daily_dates,0),MATCH($B$3,daily_items,0))),NA(),INDEX(big_daily_table,MATCH(DATE(V$5,$J293,$I293),daily_dates,0),MATCH($B$3,daily_items,0)))</f>
        <v>#N/A</v>
      </c>
      <c r="W293" s="1" t="e">
        <f aca="false">IF(ISBLANK(INDEX(big_daily_table,MATCH(DATE(W$5,$J293,$I293),daily_dates,0),MATCH($B$3,daily_items,0))),NA(),INDEX(big_daily_table,MATCH(DATE(W$5,$J293,$I293),daily_dates,0),MATCH($B$3,daily_items,0)))</f>
        <v>#N/A</v>
      </c>
      <c r="X293" s="1" t="e">
        <f aca="false">IF(ISBLANK(INDEX(big_daily_table,MATCH(DATE(X$5,$J293,$I293),daily_dates,0),MATCH($B$3,daily_items,0))),NA(),INDEX(big_daily_table,MATCH(DATE(X$5,$J293,$I293),daily_dates,0),MATCH($B$3,daily_items,0)))</f>
        <v>#N/A</v>
      </c>
      <c r="Y293" s="1" t="e">
        <f aca="false">IF(ISBLANK(INDEX(big_daily_table,MATCH(DATE(Y$5,$J293,$I293),daily_dates,0),MATCH($B$3,daily_items,0))),NA(),INDEX(big_daily_table,MATCH(DATE(Y$5,$J293,$I293),daily_dates,0),MATCH($B$3,daily_items,0)))</f>
        <v>#N/A</v>
      </c>
      <c r="Z293" s="1" t="n">
        <f aca="true">_xlfn.AGGREGATE(5,6,OFFSET($R$5,H293,0,1,$J$2))</f>
        <v>0</v>
      </c>
      <c r="AA293" s="1" t="n">
        <f aca="true">_xlfn.AGGREGATE(4,6,OFFSET($R$5,H293,0,1,$J$2))</f>
        <v>0</v>
      </c>
      <c r="AB293" s="1" t="n">
        <f aca="false">AA293-Z293</f>
        <v>0</v>
      </c>
      <c r="AC293" s="1" t="e">
        <f aca="true">_xlfn.AGGREGATE(1,6,OFFSET($R$5,H293,0,1,$J$2))</f>
        <v>#DIV/0!</v>
      </c>
    </row>
    <row r="294" customFormat="false" ht="14.25" hidden="false" customHeight="false" outlineLevel="0" collapsed="false">
      <c r="H294" s="1" t="n">
        <f aca="false">H293+1</f>
        <v>289</v>
      </c>
      <c r="I294" s="1" t="n">
        <f aca="false">DAY(K294)</f>
        <v>15</v>
      </c>
      <c r="J294" s="1" t="n">
        <f aca="false">MONTH(K294)</f>
        <v>10</v>
      </c>
      <c r="K294" s="23" t="n">
        <f aca="false">K293+1</f>
        <v>36814</v>
      </c>
      <c r="L294" s="24" t="n">
        <f aca="true">IF(TODAY()&lt;DATE($N$5,J294,I294),1000000,-1000000)</f>
        <v>1000000</v>
      </c>
      <c r="M294" s="1" t="e">
        <f aca="false">IF(K294&gt;0,INDEX(big_daily_table,MATCH(DATE(N$5,$J294,$I294),daily_dates,0),MATCH($B$3,daily_items,0)),NA())</f>
        <v>#N/A</v>
      </c>
      <c r="N294" s="1" t="e">
        <f aca="false">IF(L294&lt;0,INDEX(big_daily_table,MATCH(DATE(N$5,$J294,$I294),daily_dates,0),MATCH($B$3,daily_items,0)),NA())</f>
        <v>#N/A</v>
      </c>
      <c r="O294" s="1" t="e">
        <f aca="false">IF(ISBLANK(INDEX(big_daily_table,MATCH(DATE(O$5,$J294,$I294),daily_dates,0),MATCH($B$3,daily_items,0))),NA(),INDEX(big_daily_table,MATCH(DATE(O$5,$J294,$I294),daily_dates,0),MATCH($B$3,daily_items,0)))</f>
        <v>#N/A</v>
      </c>
      <c r="P294" s="1" t="e">
        <f aca="false">IF(ISBLANK(INDEX(big_daily_table,MATCH(DATE(P$5,$J294,$I294),daily_dates,0),MATCH($B$3,daily_items,0))),NA(),INDEX(big_daily_table,MATCH(DATE(P$5,$J294,$I294),daily_dates,0),MATCH($B$3,daily_items,0)))</f>
        <v>#N/A</v>
      </c>
      <c r="Q294" s="1" t="e">
        <f aca="false">IF(ISBLANK(INDEX(big_daily_table,MATCH(DATE(Q$5,$J294,$I294),daily_dates,0),MATCH($B$3,daily_items,0))),NA(),INDEX(big_daily_table,MATCH(DATE(Q$5,$J294,$I294),daily_dates,0),MATCH($B$3,daily_items,0)))</f>
        <v>#N/A</v>
      </c>
      <c r="R294" s="1" t="e">
        <f aca="false">IF(ISBLANK(INDEX(big_daily_table,MATCH(DATE(R$5,$J294,$I294),daily_dates,0),MATCH($B$3,daily_items,0))),NA(),INDEX(big_daily_table,MATCH(DATE(R$5,$J294,$I294),daily_dates,0),MATCH($B$3,daily_items,0)))</f>
        <v>#N/A</v>
      </c>
      <c r="S294" s="1" t="e">
        <f aca="false">IF(ISBLANK(INDEX(big_daily_table,MATCH(DATE(S$5,$J294,$I294),daily_dates,0),MATCH($B$3,daily_items,0))),NA(),INDEX(big_daily_table,MATCH(DATE(S$5,$J294,$I294),daily_dates,0),MATCH($B$3,daily_items,0)))</f>
        <v>#N/A</v>
      </c>
      <c r="T294" s="1" t="e">
        <f aca="false">IF(ISBLANK(INDEX(big_daily_table,MATCH(DATE(T$5,$J294,$I294),daily_dates,0),MATCH($B$3,daily_items,0))),NA(),INDEX(big_daily_table,MATCH(DATE(T$5,$J294,$I294),daily_dates,0),MATCH($B$3,daily_items,0)))</f>
        <v>#N/A</v>
      </c>
      <c r="U294" s="1" t="e">
        <f aca="false">IF(ISBLANK(INDEX(big_daily_table,MATCH(DATE(U$5,$J294,$I294),daily_dates,0),MATCH($B$3,daily_items,0))),NA(),INDEX(big_daily_table,MATCH(DATE(U$5,$J294,$I294),daily_dates,0),MATCH($B$3,daily_items,0)))</f>
        <v>#N/A</v>
      </c>
      <c r="V294" s="1" t="e">
        <f aca="false">IF(ISBLANK(INDEX(big_daily_table,MATCH(DATE(V$5,$J294,$I294),daily_dates,0),MATCH($B$3,daily_items,0))),NA(),INDEX(big_daily_table,MATCH(DATE(V$5,$J294,$I294),daily_dates,0),MATCH($B$3,daily_items,0)))</f>
        <v>#N/A</v>
      </c>
      <c r="W294" s="1" t="e">
        <f aca="false">IF(ISBLANK(INDEX(big_daily_table,MATCH(DATE(W$5,$J294,$I294),daily_dates,0),MATCH($B$3,daily_items,0))),NA(),INDEX(big_daily_table,MATCH(DATE(W$5,$J294,$I294),daily_dates,0),MATCH($B$3,daily_items,0)))</f>
        <v>#N/A</v>
      </c>
      <c r="X294" s="1" t="e">
        <f aca="false">IF(ISBLANK(INDEX(big_daily_table,MATCH(DATE(X$5,$J294,$I294),daily_dates,0),MATCH($B$3,daily_items,0))),NA(),INDEX(big_daily_table,MATCH(DATE(X$5,$J294,$I294),daily_dates,0),MATCH($B$3,daily_items,0)))</f>
        <v>#N/A</v>
      </c>
      <c r="Y294" s="1" t="e">
        <f aca="false">IF(ISBLANK(INDEX(big_daily_table,MATCH(DATE(Y$5,$J294,$I294),daily_dates,0),MATCH($B$3,daily_items,0))),NA(),INDEX(big_daily_table,MATCH(DATE(Y$5,$J294,$I294),daily_dates,0),MATCH($B$3,daily_items,0)))</f>
        <v>#N/A</v>
      </c>
      <c r="Z294" s="1" t="n">
        <f aca="true">_xlfn.AGGREGATE(5,6,OFFSET($R$5,H294,0,1,$J$2))</f>
        <v>0</v>
      </c>
      <c r="AA294" s="1" t="n">
        <f aca="true">_xlfn.AGGREGATE(4,6,OFFSET($R$5,H294,0,1,$J$2))</f>
        <v>0</v>
      </c>
      <c r="AB294" s="1" t="n">
        <f aca="false">AA294-Z294</f>
        <v>0</v>
      </c>
      <c r="AC294" s="1" t="e">
        <f aca="true">_xlfn.AGGREGATE(1,6,OFFSET($R$5,H294,0,1,$J$2))</f>
        <v>#DIV/0!</v>
      </c>
    </row>
    <row r="295" customFormat="false" ht="14.25" hidden="false" customHeight="false" outlineLevel="0" collapsed="false">
      <c r="H295" s="1" t="n">
        <f aca="false">H294+1</f>
        <v>290</v>
      </c>
      <c r="I295" s="1" t="n">
        <f aca="false">DAY(K295)</f>
        <v>16</v>
      </c>
      <c r="J295" s="1" t="n">
        <f aca="false">MONTH(K295)</f>
        <v>10</v>
      </c>
      <c r="K295" s="23" t="n">
        <f aca="false">K294+1</f>
        <v>36815</v>
      </c>
      <c r="L295" s="24" t="n">
        <f aca="true">IF(TODAY()&lt;DATE($N$5,J295,I295),1000000,-1000000)</f>
        <v>1000000</v>
      </c>
      <c r="M295" s="1" t="e">
        <f aca="false">IF(K295&gt;0,INDEX(big_daily_table,MATCH(DATE(N$5,$J295,$I295),daily_dates,0),MATCH($B$3,daily_items,0)),NA())</f>
        <v>#N/A</v>
      </c>
      <c r="N295" s="1" t="e">
        <f aca="false">IF(L295&lt;0,INDEX(big_daily_table,MATCH(DATE(N$5,$J295,$I295),daily_dates,0),MATCH($B$3,daily_items,0)),NA())</f>
        <v>#N/A</v>
      </c>
      <c r="O295" s="1" t="e">
        <f aca="false">IF(ISBLANK(INDEX(big_daily_table,MATCH(DATE(O$5,$J295,$I295),daily_dates,0),MATCH($B$3,daily_items,0))),NA(),INDEX(big_daily_table,MATCH(DATE(O$5,$J295,$I295),daily_dates,0),MATCH($B$3,daily_items,0)))</f>
        <v>#N/A</v>
      </c>
      <c r="P295" s="1" t="e">
        <f aca="false">IF(ISBLANK(INDEX(big_daily_table,MATCH(DATE(P$5,$J295,$I295),daily_dates,0),MATCH($B$3,daily_items,0))),NA(),INDEX(big_daily_table,MATCH(DATE(P$5,$J295,$I295),daily_dates,0),MATCH($B$3,daily_items,0)))</f>
        <v>#N/A</v>
      </c>
      <c r="Q295" s="1" t="e">
        <f aca="false">IF(ISBLANK(INDEX(big_daily_table,MATCH(DATE(Q$5,$J295,$I295),daily_dates,0),MATCH($B$3,daily_items,0))),NA(),INDEX(big_daily_table,MATCH(DATE(Q$5,$J295,$I295),daily_dates,0),MATCH($B$3,daily_items,0)))</f>
        <v>#N/A</v>
      </c>
      <c r="R295" s="1" t="e">
        <f aca="false">IF(ISBLANK(INDEX(big_daily_table,MATCH(DATE(R$5,$J295,$I295),daily_dates,0),MATCH($B$3,daily_items,0))),NA(),INDEX(big_daily_table,MATCH(DATE(R$5,$J295,$I295),daily_dates,0),MATCH($B$3,daily_items,0)))</f>
        <v>#N/A</v>
      </c>
      <c r="S295" s="1" t="e">
        <f aca="false">IF(ISBLANK(INDEX(big_daily_table,MATCH(DATE(S$5,$J295,$I295),daily_dates,0),MATCH($B$3,daily_items,0))),NA(),INDEX(big_daily_table,MATCH(DATE(S$5,$J295,$I295),daily_dates,0),MATCH($B$3,daily_items,0)))</f>
        <v>#N/A</v>
      </c>
      <c r="T295" s="1" t="e">
        <f aca="false">IF(ISBLANK(INDEX(big_daily_table,MATCH(DATE(T$5,$J295,$I295),daily_dates,0),MATCH($B$3,daily_items,0))),NA(),INDEX(big_daily_table,MATCH(DATE(T$5,$J295,$I295),daily_dates,0),MATCH($B$3,daily_items,0)))</f>
        <v>#N/A</v>
      </c>
      <c r="U295" s="1" t="e">
        <f aca="false">IF(ISBLANK(INDEX(big_daily_table,MATCH(DATE(U$5,$J295,$I295),daily_dates,0),MATCH($B$3,daily_items,0))),NA(),INDEX(big_daily_table,MATCH(DATE(U$5,$J295,$I295),daily_dates,0),MATCH($B$3,daily_items,0)))</f>
        <v>#N/A</v>
      </c>
      <c r="V295" s="1" t="e">
        <f aca="false">IF(ISBLANK(INDEX(big_daily_table,MATCH(DATE(V$5,$J295,$I295),daily_dates,0),MATCH($B$3,daily_items,0))),NA(),INDEX(big_daily_table,MATCH(DATE(V$5,$J295,$I295),daily_dates,0),MATCH($B$3,daily_items,0)))</f>
        <v>#N/A</v>
      </c>
      <c r="W295" s="1" t="e">
        <f aca="false">IF(ISBLANK(INDEX(big_daily_table,MATCH(DATE(W$5,$J295,$I295),daily_dates,0),MATCH($B$3,daily_items,0))),NA(),INDEX(big_daily_table,MATCH(DATE(W$5,$J295,$I295),daily_dates,0),MATCH($B$3,daily_items,0)))</f>
        <v>#N/A</v>
      </c>
      <c r="X295" s="1" t="e">
        <f aca="false">IF(ISBLANK(INDEX(big_daily_table,MATCH(DATE(X$5,$J295,$I295),daily_dates,0),MATCH($B$3,daily_items,0))),NA(),INDEX(big_daily_table,MATCH(DATE(X$5,$J295,$I295),daily_dates,0),MATCH($B$3,daily_items,0)))</f>
        <v>#N/A</v>
      </c>
      <c r="Y295" s="1" t="e">
        <f aca="false">IF(ISBLANK(INDEX(big_daily_table,MATCH(DATE(Y$5,$J295,$I295),daily_dates,0),MATCH($B$3,daily_items,0))),NA(),INDEX(big_daily_table,MATCH(DATE(Y$5,$J295,$I295),daily_dates,0),MATCH($B$3,daily_items,0)))</f>
        <v>#N/A</v>
      </c>
      <c r="Z295" s="1" t="n">
        <f aca="true">_xlfn.AGGREGATE(5,6,OFFSET($R$5,H295,0,1,$J$2))</f>
        <v>0</v>
      </c>
      <c r="AA295" s="1" t="n">
        <f aca="true">_xlfn.AGGREGATE(4,6,OFFSET($R$5,H295,0,1,$J$2))</f>
        <v>0</v>
      </c>
      <c r="AB295" s="1" t="n">
        <f aca="false">AA295-Z295</f>
        <v>0</v>
      </c>
      <c r="AC295" s="1" t="e">
        <f aca="true">_xlfn.AGGREGATE(1,6,OFFSET($R$5,H295,0,1,$J$2))</f>
        <v>#DIV/0!</v>
      </c>
    </row>
    <row r="296" customFormat="false" ht="14.25" hidden="false" customHeight="false" outlineLevel="0" collapsed="false">
      <c r="H296" s="1" t="n">
        <f aca="false">H295+1</f>
        <v>291</v>
      </c>
      <c r="I296" s="1" t="n">
        <f aca="false">DAY(K296)</f>
        <v>17</v>
      </c>
      <c r="J296" s="1" t="n">
        <f aca="false">MONTH(K296)</f>
        <v>10</v>
      </c>
      <c r="K296" s="23" t="n">
        <f aca="false">K295+1</f>
        <v>36816</v>
      </c>
      <c r="L296" s="24" t="n">
        <f aca="true">IF(TODAY()&lt;DATE($N$5,J296,I296),1000000,-1000000)</f>
        <v>1000000</v>
      </c>
      <c r="M296" s="1" t="e">
        <f aca="false">IF(K296&gt;0,INDEX(big_daily_table,MATCH(DATE(N$5,$J296,$I296),daily_dates,0),MATCH($B$3,daily_items,0)),NA())</f>
        <v>#N/A</v>
      </c>
      <c r="N296" s="1" t="e">
        <f aca="false">IF(L296&lt;0,INDEX(big_daily_table,MATCH(DATE(N$5,$J296,$I296),daily_dates,0),MATCH($B$3,daily_items,0)),NA())</f>
        <v>#N/A</v>
      </c>
      <c r="O296" s="1" t="e">
        <f aca="false">IF(ISBLANK(INDEX(big_daily_table,MATCH(DATE(O$5,$J296,$I296),daily_dates,0),MATCH($B$3,daily_items,0))),NA(),INDEX(big_daily_table,MATCH(DATE(O$5,$J296,$I296),daily_dates,0),MATCH($B$3,daily_items,0)))</f>
        <v>#N/A</v>
      </c>
      <c r="P296" s="1" t="e">
        <f aca="false">IF(ISBLANK(INDEX(big_daily_table,MATCH(DATE(P$5,$J296,$I296),daily_dates,0),MATCH($B$3,daily_items,0))),NA(),INDEX(big_daily_table,MATCH(DATE(P$5,$J296,$I296),daily_dates,0),MATCH($B$3,daily_items,0)))</f>
        <v>#N/A</v>
      </c>
      <c r="Q296" s="1" t="e">
        <f aca="false">IF(ISBLANK(INDEX(big_daily_table,MATCH(DATE(Q$5,$J296,$I296),daily_dates,0),MATCH($B$3,daily_items,0))),NA(),INDEX(big_daily_table,MATCH(DATE(Q$5,$J296,$I296),daily_dates,0),MATCH($B$3,daily_items,0)))</f>
        <v>#N/A</v>
      </c>
      <c r="R296" s="1" t="e">
        <f aca="false">IF(ISBLANK(INDEX(big_daily_table,MATCH(DATE(R$5,$J296,$I296),daily_dates,0),MATCH($B$3,daily_items,0))),NA(),INDEX(big_daily_table,MATCH(DATE(R$5,$J296,$I296),daily_dates,0),MATCH($B$3,daily_items,0)))</f>
        <v>#N/A</v>
      </c>
      <c r="S296" s="1" t="e">
        <f aca="false">IF(ISBLANK(INDEX(big_daily_table,MATCH(DATE(S$5,$J296,$I296),daily_dates,0),MATCH($B$3,daily_items,0))),NA(),INDEX(big_daily_table,MATCH(DATE(S$5,$J296,$I296),daily_dates,0),MATCH($B$3,daily_items,0)))</f>
        <v>#N/A</v>
      </c>
      <c r="T296" s="1" t="e">
        <f aca="false">IF(ISBLANK(INDEX(big_daily_table,MATCH(DATE(T$5,$J296,$I296),daily_dates,0),MATCH($B$3,daily_items,0))),NA(),INDEX(big_daily_table,MATCH(DATE(T$5,$J296,$I296),daily_dates,0),MATCH($B$3,daily_items,0)))</f>
        <v>#N/A</v>
      </c>
      <c r="U296" s="1" t="e">
        <f aca="false">IF(ISBLANK(INDEX(big_daily_table,MATCH(DATE(U$5,$J296,$I296),daily_dates,0),MATCH($B$3,daily_items,0))),NA(),INDEX(big_daily_table,MATCH(DATE(U$5,$J296,$I296),daily_dates,0),MATCH($B$3,daily_items,0)))</f>
        <v>#N/A</v>
      </c>
      <c r="V296" s="1" t="e">
        <f aca="false">IF(ISBLANK(INDEX(big_daily_table,MATCH(DATE(V$5,$J296,$I296),daily_dates,0),MATCH($B$3,daily_items,0))),NA(),INDEX(big_daily_table,MATCH(DATE(V$5,$J296,$I296),daily_dates,0),MATCH($B$3,daily_items,0)))</f>
        <v>#N/A</v>
      </c>
      <c r="W296" s="1" t="e">
        <f aca="false">IF(ISBLANK(INDEX(big_daily_table,MATCH(DATE(W$5,$J296,$I296),daily_dates,0),MATCH($B$3,daily_items,0))),NA(),INDEX(big_daily_table,MATCH(DATE(W$5,$J296,$I296),daily_dates,0),MATCH($B$3,daily_items,0)))</f>
        <v>#N/A</v>
      </c>
      <c r="X296" s="1" t="e">
        <f aca="false">IF(ISBLANK(INDEX(big_daily_table,MATCH(DATE(X$5,$J296,$I296),daily_dates,0),MATCH($B$3,daily_items,0))),NA(),INDEX(big_daily_table,MATCH(DATE(X$5,$J296,$I296),daily_dates,0),MATCH($B$3,daily_items,0)))</f>
        <v>#N/A</v>
      </c>
      <c r="Y296" s="1" t="e">
        <f aca="false">IF(ISBLANK(INDEX(big_daily_table,MATCH(DATE(Y$5,$J296,$I296),daily_dates,0),MATCH($B$3,daily_items,0))),NA(),INDEX(big_daily_table,MATCH(DATE(Y$5,$J296,$I296),daily_dates,0),MATCH($B$3,daily_items,0)))</f>
        <v>#N/A</v>
      </c>
      <c r="Z296" s="1" t="n">
        <f aca="true">_xlfn.AGGREGATE(5,6,OFFSET($R$5,H296,0,1,$J$2))</f>
        <v>0</v>
      </c>
      <c r="AA296" s="1" t="n">
        <f aca="true">_xlfn.AGGREGATE(4,6,OFFSET($R$5,H296,0,1,$J$2))</f>
        <v>0</v>
      </c>
      <c r="AB296" s="1" t="n">
        <f aca="false">AA296-Z296</f>
        <v>0</v>
      </c>
      <c r="AC296" s="1" t="e">
        <f aca="true">_xlfn.AGGREGATE(1,6,OFFSET($R$5,H296,0,1,$J$2))</f>
        <v>#DIV/0!</v>
      </c>
    </row>
    <row r="297" customFormat="false" ht="14.25" hidden="false" customHeight="false" outlineLevel="0" collapsed="false">
      <c r="H297" s="1" t="n">
        <f aca="false">H296+1</f>
        <v>292</v>
      </c>
      <c r="I297" s="1" t="n">
        <f aca="false">DAY(K297)</f>
        <v>18</v>
      </c>
      <c r="J297" s="1" t="n">
        <f aca="false">MONTH(K297)</f>
        <v>10</v>
      </c>
      <c r="K297" s="23" t="n">
        <f aca="false">K296+1</f>
        <v>36817</v>
      </c>
      <c r="L297" s="24" t="n">
        <f aca="true">IF(TODAY()&lt;DATE($N$5,J297,I297),1000000,-1000000)</f>
        <v>1000000</v>
      </c>
      <c r="M297" s="1" t="e">
        <f aca="false">IF(K297&gt;0,INDEX(big_daily_table,MATCH(DATE(N$5,$J297,$I297),daily_dates,0),MATCH($B$3,daily_items,0)),NA())</f>
        <v>#N/A</v>
      </c>
      <c r="N297" s="1" t="e">
        <f aca="false">IF(L297&lt;0,INDEX(big_daily_table,MATCH(DATE(N$5,$J297,$I297),daily_dates,0),MATCH($B$3,daily_items,0)),NA())</f>
        <v>#N/A</v>
      </c>
      <c r="O297" s="1" t="e">
        <f aca="false">IF(ISBLANK(INDEX(big_daily_table,MATCH(DATE(O$5,$J297,$I297),daily_dates,0),MATCH($B$3,daily_items,0))),NA(),INDEX(big_daily_table,MATCH(DATE(O$5,$J297,$I297),daily_dates,0),MATCH($B$3,daily_items,0)))</f>
        <v>#N/A</v>
      </c>
      <c r="P297" s="1" t="e">
        <f aca="false">IF(ISBLANK(INDEX(big_daily_table,MATCH(DATE(P$5,$J297,$I297),daily_dates,0),MATCH($B$3,daily_items,0))),NA(),INDEX(big_daily_table,MATCH(DATE(P$5,$J297,$I297),daily_dates,0),MATCH($B$3,daily_items,0)))</f>
        <v>#N/A</v>
      </c>
      <c r="Q297" s="1" t="e">
        <f aca="false">IF(ISBLANK(INDEX(big_daily_table,MATCH(DATE(Q$5,$J297,$I297),daily_dates,0),MATCH($B$3,daily_items,0))),NA(),INDEX(big_daily_table,MATCH(DATE(Q$5,$J297,$I297),daily_dates,0),MATCH($B$3,daily_items,0)))</f>
        <v>#N/A</v>
      </c>
      <c r="R297" s="1" t="e">
        <f aca="false">IF(ISBLANK(INDEX(big_daily_table,MATCH(DATE(R$5,$J297,$I297),daily_dates,0),MATCH($B$3,daily_items,0))),NA(),INDEX(big_daily_table,MATCH(DATE(R$5,$J297,$I297),daily_dates,0),MATCH($B$3,daily_items,0)))</f>
        <v>#N/A</v>
      </c>
      <c r="S297" s="1" t="e">
        <f aca="false">IF(ISBLANK(INDEX(big_daily_table,MATCH(DATE(S$5,$J297,$I297),daily_dates,0),MATCH($B$3,daily_items,0))),NA(),INDEX(big_daily_table,MATCH(DATE(S$5,$J297,$I297),daily_dates,0),MATCH($B$3,daily_items,0)))</f>
        <v>#N/A</v>
      </c>
      <c r="T297" s="1" t="e">
        <f aca="false">IF(ISBLANK(INDEX(big_daily_table,MATCH(DATE(T$5,$J297,$I297),daily_dates,0),MATCH($B$3,daily_items,0))),NA(),INDEX(big_daily_table,MATCH(DATE(T$5,$J297,$I297),daily_dates,0),MATCH($B$3,daily_items,0)))</f>
        <v>#N/A</v>
      </c>
      <c r="U297" s="1" t="e">
        <f aca="false">IF(ISBLANK(INDEX(big_daily_table,MATCH(DATE(U$5,$J297,$I297),daily_dates,0),MATCH($B$3,daily_items,0))),NA(),INDEX(big_daily_table,MATCH(DATE(U$5,$J297,$I297),daily_dates,0),MATCH($B$3,daily_items,0)))</f>
        <v>#N/A</v>
      </c>
      <c r="V297" s="1" t="e">
        <f aca="false">IF(ISBLANK(INDEX(big_daily_table,MATCH(DATE(V$5,$J297,$I297),daily_dates,0),MATCH($B$3,daily_items,0))),NA(),INDEX(big_daily_table,MATCH(DATE(V$5,$J297,$I297),daily_dates,0),MATCH($B$3,daily_items,0)))</f>
        <v>#N/A</v>
      </c>
      <c r="W297" s="1" t="e">
        <f aca="false">IF(ISBLANK(INDEX(big_daily_table,MATCH(DATE(W$5,$J297,$I297),daily_dates,0),MATCH($B$3,daily_items,0))),NA(),INDEX(big_daily_table,MATCH(DATE(W$5,$J297,$I297),daily_dates,0),MATCH($B$3,daily_items,0)))</f>
        <v>#N/A</v>
      </c>
      <c r="X297" s="1" t="e">
        <f aca="false">IF(ISBLANK(INDEX(big_daily_table,MATCH(DATE(X$5,$J297,$I297),daily_dates,0),MATCH($B$3,daily_items,0))),NA(),INDEX(big_daily_table,MATCH(DATE(X$5,$J297,$I297),daily_dates,0),MATCH($B$3,daily_items,0)))</f>
        <v>#N/A</v>
      </c>
      <c r="Y297" s="1" t="e">
        <f aca="false">IF(ISBLANK(INDEX(big_daily_table,MATCH(DATE(Y$5,$J297,$I297),daily_dates,0),MATCH($B$3,daily_items,0))),NA(),INDEX(big_daily_table,MATCH(DATE(Y$5,$J297,$I297),daily_dates,0),MATCH($B$3,daily_items,0)))</f>
        <v>#N/A</v>
      </c>
      <c r="Z297" s="1" t="n">
        <f aca="true">_xlfn.AGGREGATE(5,6,OFFSET($R$5,H297,0,1,$J$2))</f>
        <v>0</v>
      </c>
      <c r="AA297" s="1" t="n">
        <f aca="true">_xlfn.AGGREGATE(4,6,OFFSET($R$5,H297,0,1,$J$2))</f>
        <v>0</v>
      </c>
      <c r="AB297" s="1" t="n">
        <f aca="false">AA297-Z297</f>
        <v>0</v>
      </c>
      <c r="AC297" s="1" t="e">
        <f aca="true">_xlfn.AGGREGATE(1,6,OFFSET($R$5,H297,0,1,$J$2))</f>
        <v>#DIV/0!</v>
      </c>
    </row>
    <row r="298" customFormat="false" ht="14.25" hidden="false" customHeight="false" outlineLevel="0" collapsed="false">
      <c r="H298" s="1" t="n">
        <f aca="false">H297+1</f>
        <v>293</v>
      </c>
      <c r="I298" s="1" t="n">
        <f aca="false">DAY(K298)</f>
        <v>19</v>
      </c>
      <c r="J298" s="1" t="n">
        <f aca="false">MONTH(K298)</f>
        <v>10</v>
      </c>
      <c r="K298" s="23" t="n">
        <f aca="false">K297+1</f>
        <v>36818</v>
      </c>
      <c r="L298" s="24" t="n">
        <f aca="true">IF(TODAY()&lt;DATE($N$5,J298,I298),1000000,-1000000)</f>
        <v>1000000</v>
      </c>
      <c r="M298" s="1" t="e">
        <f aca="false">IF(K298&gt;0,INDEX(big_daily_table,MATCH(DATE(N$5,$J298,$I298),daily_dates,0),MATCH($B$3,daily_items,0)),NA())</f>
        <v>#N/A</v>
      </c>
      <c r="N298" s="1" t="e">
        <f aca="false">IF(L298&lt;0,INDEX(big_daily_table,MATCH(DATE(N$5,$J298,$I298),daily_dates,0),MATCH($B$3,daily_items,0)),NA())</f>
        <v>#N/A</v>
      </c>
      <c r="O298" s="1" t="e">
        <f aca="false">IF(ISBLANK(INDEX(big_daily_table,MATCH(DATE(O$5,$J298,$I298),daily_dates,0),MATCH($B$3,daily_items,0))),NA(),INDEX(big_daily_table,MATCH(DATE(O$5,$J298,$I298),daily_dates,0),MATCH($B$3,daily_items,0)))</f>
        <v>#N/A</v>
      </c>
      <c r="P298" s="1" t="e">
        <f aca="false">IF(ISBLANK(INDEX(big_daily_table,MATCH(DATE(P$5,$J298,$I298),daily_dates,0),MATCH($B$3,daily_items,0))),NA(),INDEX(big_daily_table,MATCH(DATE(P$5,$J298,$I298),daily_dates,0),MATCH($B$3,daily_items,0)))</f>
        <v>#N/A</v>
      </c>
      <c r="Q298" s="1" t="e">
        <f aca="false">IF(ISBLANK(INDEX(big_daily_table,MATCH(DATE(Q$5,$J298,$I298),daily_dates,0),MATCH($B$3,daily_items,0))),NA(),INDEX(big_daily_table,MATCH(DATE(Q$5,$J298,$I298),daily_dates,0),MATCH($B$3,daily_items,0)))</f>
        <v>#N/A</v>
      </c>
      <c r="R298" s="1" t="e">
        <f aca="false">IF(ISBLANK(INDEX(big_daily_table,MATCH(DATE(R$5,$J298,$I298),daily_dates,0),MATCH($B$3,daily_items,0))),NA(),INDEX(big_daily_table,MATCH(DATE(R$5,$J298,$I298),daily_dates,0),MATCH($B$3,daily_items,0)))</f>
        <v>#N/A</v>
      </c>
      <c r="S298" s="1" t="e">
        <f aca="false">IF(ISBLANK(INDEX(big_daily_table,MATCH(DATE(S$5,$J298,$I298),daily_dates,0),MATCH($B$3,daily_items,0))),NA(),INDEX(big_daily_table,MATCH(DATE(S$5,$J298,$I298),daily_dates,0),MATCH($B$3,daily_items,0)))</f>
        <v>#N/A</v>
      </c>
      <c r="T298" s="1" t="e">
        <f aca="false">IF(ISBLANK(INDEX(big_daily_table,MATCH(DATE(T$5,$J298,$I298),daily_dates,0),MATCH($B$3,daily_items,0))),NA(),INDEX(big_daily_table,MATCH(DATE(T$5,$J298,$I298),daily_dates,0),MATCH($B$3,daily_items,0)))</f>
        <v>#N/A</v>
      </c>
      <c r="U298" s="1" t="e">
        <f aca="false">IF(ISBLANK(INDEX(big_daily_table,MATCH(DATE(U$5,$J298,$I298),daily_dates,0),MATCH($B$3,daily_items,0))),NA(),INDEX(big_daily_table,MATCH(DATE(U$5,$J298,$I298),daily_dates,0),MATCH($B$3,daily_items,0)))</f>
        <v>#N/A</v>
      </c>
      <c r="V298" s="1" t="e">
        <f aca="false">IF(ISBLANK(INDEX(big_daily_table,MATCH(DATE(V$5,$J298,$I298),daily_dates,0),MATCH($B$3,daily_items,0))),NA(),INDEX(big_daily_table,MATCH(DATE(V$5,$J298,$I298),daily_dates,0),MATCH($B$3,daily_items,0)))</f>
        <v>#N/A</v>
      </c>
      <c r="W298" s="1" t="e">
        <f aca="false">IF(ISBLANK(INDEX(big_daily_table,MATCH(DATE(W$5,$J298,$I298),daily_dates,0),MATCH($B$3,daily_items,0))),NA(),INDEX(big_daily_table,MATCH(DATE(W$5,$J298,$I298),daily_dates,0),MATCH($B$3,daily_items,0)))</f>
        <v>#N/A</v>
      </c>
      <c r="X298" s="1" t="e">
        <f aca="false">IF(ISBLANK(INDEX(big_daily_table,MATCH(DATE(X$5,$J298,$I298),daily_dates,0),MATCH($B$3,daily_items,0))),NA(),INDEX(big_daily_table,MATCH(DATE(X$5,$J298,$I298),daily_dates,0),MATCH($B$3,daily_items,0)))</f>
        <v>#N/A</v>
      </c>
      <c r="Y298" s="1" t="e">
        <f aca="false">IF(ISBLANK(INDEX(big_daily_table,MATCH(DATE(Y$5,$J298,$I298),daily_dates,0),MATCH($B$3,daily_items,0))),NA(),INDEX(big_daily_table,MATCH(DATE(Y$5,$J298,$I298),daily_dates,0),MATCH($B$3,daily_items,0)))</f>
        <v>#N/A</v>
      </c>
      <c r="Z298" s="1" t="n">
        <f aca="true">_xlfn.AGGREGATE(5,6,OFFSET($R$5,H298,0,1,$J$2))</f>
        <v>0</v>
      </c>
      <c r="AA298" s="1" t="n">
        <f aca="true">_xlfn.AGGREGATE(4,6,OFFSET($R$5,H298,0,1,$J$2))</f>
        <v>0</v>
      </c>
      <c r="AB298" s="1" t="n">
        <f aca="false">AA298-Z298</f>
        <v>0</v>
      </c>
      <c r="AC298" s="1" t="e">
        <f aca="true">_xlfn.AGGREGATE(1,6,OFFSET($R$5,H298,0,1,$J$2))</f>
        <v>#DIV/0!</v>
      </c>
    </row>
    <row r="299" customFormat="false" ht="14.25" hidden="false" customHeight="false" outlineLevel="0" collapsed="false">
      <c r="H299" s="1" t="n">
        <f aca="false">H298+1</f>
        <v>294</v>
      </c>
      <c r="I299" s="1" t="n">
        <f aca="false">DAY(K299)</f>
        <v>20</v>
      </c>
      <c r="J299" s="1" t="n">
        <f aca="false">MONTH(K299)</f>
        <v>10</v>
      </c>
      <c r="K299" s="23" t="n">
        <f aca="false">K298+1</f>
        <v>36819</v>
      </c>
      <c r="L299" s="24" t="n">
        <f aca="true">IF(TODAY()&lt;DATE($N$5,J299,I299),1000000,-1000000)</f>
        <v>1000000</v>
      </c>
      <c r="M299" s="1" t="e">
        <f aca="false">IF(K299&gt;0,INDEX(big_daily_table,MATCH(DATE(N$5,$J299,$I299),daily_dates,0),MATCH($B$3,daily_items,0)),NA())</f>
        <v>#N/A</v>
      </c>
      <c r="N299" s="1" t="e">
        <f aca="false">IF(L299&lt;0,INDEX(big_daily_table,MATCH(DATE(N$5,$J299,$I299),daily_dates,0),MATCH($B$3,daily_items,0)),NA())</f>
        <v>#N/A</v>
      </c>
      <c r="O299" s="1" t="e">
        <f aca="false">IF(ISBLANK(INDEX(big_daily_table,MATCH(DATE(O$5,$J299,$I299),daily_dates,0),MATCH($B$3,daily_items,0))),NA(),INDEX(big_daily_table,MATCH(DATE(O$5,$J299,$I299),daily_dates,0),MATCH($B$3,daily_items,0)))</f>
        <v>#N/A</v>
      </c>
      <c r="P299" s="1" t="e">
        <f aca="false">IF(ISBLANK(INDEX(big_daily_table,MATCH(DATE(P$5,$J299,$I299),daily_dates,0),MATCH($B$3,daily_items,0))),NA(),INDEX(big_daily_table,MATCH(DATE(P$5,$J299,$I299),daily_dates,0),MATCH($B$3,daily_items,0)))</f>
        <v>#N/A</v>
      </c>
      <c r="Q299" s="1" t="e">
        <f aca="false">IF(ISBLANK(INDEX(big_daily_table,MATCH(DATE(Q$5,$J299,$I299),daily_dates,0),MATCH($B$3,daily_items,0))),NA(),INDEX(big_daily_table,MATCH(DATE(Q$5,$J299,$I299),daily_dates,0),MATCH($B$3,daily_items,0)))</f>
        <v>#N/A</v>
      </c>
      <c r="R299" s="1" t="e">
        <f aca="false">IF(ISBLANK(INDEX(big_daily_table,MATCH(DATE(R$5,$J299,$I299),daily_dates,0),MATCH($B$3,daily_items,0))),NA(),INDEX(big_daily_table,MATCH(DATE(R$5,$J299,$I299),daily_dates,0),MATCH($B$3,daily_items,0)))</f>
        <v>#N/A</v>
      </c>
      <c r="S299" s="1" t="e">
        <f aca="false">IF(ISBLANK(INDEX(big_daily_table,MATCH(DATE(S$5,$J299,$I299),daily_dates,0),MATCH($B$3,daily_items,0))),NA(),INDEX(big_daily_table,MATCH(DATE(S$5,$J299,$I299),daily_dates,0),MATCH($B$3,daily_items,0)))</f>
        <v>#N/A</v>
      </c>
      <c r="T299" s="1" t="e">
        <f aca="false">IF(ISBLANK(INDEX(big_daily_table,MATCH(DATE(T$5,$J299,$I299),daily_dates,0),MATCH($B$3,daily_items,0))),NA(),INDEX(big_daily_table,MATCH(DATE(T$5,$J299,$I299),daily_dates,0),MATCH($B$3,daily_items,0)))</f>
        <v>#N/A</v>
      </c>
      <c r="U299" s="1" t="e">
        <f aca="false">IF(ISBLANK(INDEX(big_daily_table,MATCH(DATE(U$5,$J299,$I299),daily_dates,0),MATCH($B$3,daily_items,0))),NA(),INDEX(big_daily_table,MATCH(DATE(U$5,$J299,$I299),daily_dates,0),MATCH($B$3,daily_items,0)))</f>
        <v>#N/A</v>
      </c>
      <c r="V299" s="1" t="e">
        <f aca="false">IF(ISBLANK(INDEX(big_daily_table,MATCH(DATE(V$5,$J299,$I299),daily_dates,0),MATCH($B$3,daily_items,0))),NA(),INDEX(big_daily_table,MATCH(DATE(V$5,$J299,$I299),daily_dates,0),MATCH($B$3,daily_items,0)))</f>
        <v>#N/A</v>
      </c>
      <c r="W299" s="1" t="e">
        <f aca="false">IF(ISBLANK(INDEX(big_daily_table,MATCH(DATE(W$5,$J299,$I299),daily_dates,0),MATCH($B$3,daily_items,0))),NA(),INDEX(big_daily_table,MATCH(DATE(W$5,$J299,$I299),daily_dates,0),MATCH($B$3,daily_items,0)))</f>
        <v>#N/A</v>
      </c>
      <c r="X299" s="1" t="e">
        <f aca="false">IF(ISBLANK(INDEX(big_daily_table,MATCH(DATE(X$5,$J299,$I299),daily_dates,0),MATCH($B$3,daily_items,0))),NA(),INDEX(big_daily_table,MATCH(DATE(X$5,$J299,$I299),daily_dates,0),MATCH($B$3,daily_items,0)))</f>
        <v>#N/A</v>
      </c>
      <c r="Y299" s="1" t="e">
        <f aca="false">IF(ISBLANK(INDEX(big_daily_table,MATCH(DATE(Y$5,$J299,$I299),daily_dates,0),MATCH($B$3,daily_items,0))),NA(),INDEX(big_daily_table,MATCH(DATE(Y$5,$J299,$I299),daily_dates,0),MATCH($B$3,daily_items,0)))</f>
        <v>#N/A</v>
      </c>
      <c r="Z299" s="1" t="n">
        <f aca="true">_xlfn.AGGREGATE(5,6,OFFSET($R$5,H299,0,1,$J$2))</f>
        <v>0</v>
      </c>
      <c r="AA299" s="1" t="n">
        <f aca="true">_xlfn.AGGREGATE(4,6,OFFSET($R$5,H299,0,1,$J$2))</f>
        <v>0</v>
      </c>
      <c r="AB299" s="1" t="n">
        <f aca="false">AA299-Z299</f>
        <v>0</v>
      </c>
      <c r="AC299" s="1" t="e">
        <f aca="true">_xlfn.AGGREGATE(1,6,OFFSET($R$5,H299,0,1,$J$2))</f>
        <v>#DIV/0!</v>
      </c>
    </row>
    <row r="300" customFormat="false" ht="14.25" hidden="false" customHeight="false" outlineLevel="0" collapsed="false">
      <c r="H300" s="1" t="n">
        <f aca="false">H299+1</f>
        <v>295</v>
      </c>
      <c r="I300" s="1" t="n">
        <f aca="false">DAY(K300)</f>
        <v>21</v>
      </c>
      <c r="J300" s="1" t="n">
        <f aca="false">MONTH(K300)</f>
        <v>10</v>
      </c>
      <c r="K300" s="23" t="n">
        <f aca="false">K299+1</f>
        <v>36820</v>
      </c>
      <c r="L300" s="24" t="n">
        <f aca="true">IF(TODAY()&lt;DATE($N$5,J300,I300),1000000,-1000000)</f>
        <v>1000000</v>
      </c>
      <c r="M300" s="1" t="e">
        <f aca="false">IF(K300&gt;0,INDEX(big_daily_table,MATCH(DATE(N$5,$J300,$I300),daily_dates,0),MATCH($B$3,daily_items,0)),NA())</f>
        <v>#N/A</v>
      </c>
      <c r="N300" s="1" t="e">
        <f aca="false">IF(L300&lt;0,INDEX(big_daily_table,MATCH(DATE(N$5,$J300,$I300),daily_dates,0),MATCH($B$3,daily_items,0)),NA())</f>
        <v>#N/A</v>
      </c>
      <c r="O300" s="1" t="e">
        <f aca="false">IF(ISBLANK(INDEX(big_daily_table,MATCH(DATE(O$5,$J300,$I300),daily_dates,0),MATCH($B$3,daily_items,0))),NA(),INDEX(big_daily_table,MATCH(DATE(O$5,$J300,$I300),daily_dates,0),MATCH($B$3,daily_items,0)))</f>
        <v>#N/A</v>
      </c>
      <c r="P300" s="1" t="e">
        <f aca="false">IF(ISBLANK(INDEX(big_daily_table,MATCH(DATE(P$5,$J300,$I300),daily_dates,0),MATCH($B$3,daily_items,0))),NA(),INDEX(big_daily_table,MATCH(DATE(P$5,$J300,$I300),daily_dates,0),MATCH($B$3,daily_items,0)))</f>
        <v>#N/A</v>
      </c>
      <c r="Q300" s="1" t="e">
        <f aca="false">IF(ISBLANK(INDEX(big_daily_table,MATCH(DATE(Q$5,$J300,$I300),daily_dates,0),MATCH($B$3,daily_items,0))),NA(),INDEX(big_daily_table,MATCH(DATE(Q$5,$J300,$I300),daily_dates,0),MATCH($B$3,daily_items,0)))</f>
        <v>#N/A</v>
      </c>
      <c r="R300" s="1" t="e">
        <f aca="false">IF(ISBLANK(INDEX(big_daily_table,MATCH(DATE(R$5,$J300,$I300),daily_dates,0),MATCH($B$3,daily_items,0))),NA(),INDEX(big_daily_table,MATCH(DATE(R$5,$J300,$I300),daily_dates,0),MATCH($B$3,daily_items,0)))</f>
        <v>#N/A</v>
      </c>
      <c r="S300" s="1" t="e">
        <f aca="false">IF(ISBLANK(INDEX(big_daily_table,MATCH(DATE(S$5,$J300,$I300),daily_dates,0),MATCH($B$3,daily_items,0))),NA(),INDEX(big_daily_table,MATCH(DATE(S$5,$J300,$I300),daily_dates,0),MATCH($B$3,daily_items,0)))</f>
        <v>#N/A</v>
      </c>
      <c r="T300" s="1" t="e">
        <f aca="false">IF(ISBLANK(INDEX(big_daily_table,MATCH(DATE(T$5,$J300,$I300),daily_dates,0),MATCH($B$3,daily_items,0))),NA(),INDEX(big_daily_table,MATCH(DATE(T$5,$J300,$I300),daily_dates,0),MATCH($B$3,daily_items,0)))</f>
        <v>#N/A</v>
      </c>
      <c r="U300" s="1" t="e">
        <f aca="false">IF(ISBLANK(INDEX(big_daily_table,MATCH(DATE(U$5,$J300,$I300),daily_dates,0),MATCH($B$3,daily_items,0))),NA(),INDEX(big_daily_table,MATCH(DATE(U$5,$J300,$I300),daily_dates,0),MATCH($B$3,daily_items,0)))</f>
        <v>#N/A</v>
      </c>
      <c r="V300" s="1" t="e">
        <f aca="false">IF(ISBLANK(INDEX(big_daily_table,MATCH(DATE(V$5,$J300,$I300),daily_dates,0),MATCH($B$3,daily_items,0))),NA(),INDEX(big_daily_table,MATCH(DATE(V$5,$J300,$I300),daily_dates,0),MATCH($B$3,daily_items,0)))</f>
        <v>#N/A</v>
      </c>
      <c r="W300" s="1" t="e">
        <f aca="false">IF(ISBLANK(INDEX(big_daily_table,MATCH(DATE(W$5,$J300,$I300),daily_dates,0),MATCH($B$3,daily_items,0))),NA(),INDEX(big_daily_table,MATCH(DATE(W$5,$J300,$I300),daily_dates,0),MATCH($B$3,daily_items,0)))</f>
        <v>#N/A</v>
      </c>
      <c r="X300" s="1" t="e">
        <f aca="false">IF(ISBLANK(INDEX(big_daily_table,MATCH(DATE(X$5,$J300,$I300),daily_dates,0),MATCH($B$3,daily_items,0))),NA(),INDEX(big_daily_table,MATCH(DATE(X$5,$J300,$I300),daily_dates,0),MATCH($B$3,daily_items,0)))</f>
        <v>#N/A</v>
      </c>
      <c r="Y300" s="1" t="e">
        <f aca="false">IF(ISBLANK(INDEX(big_daily_table,MATCH(DATE(Y$5,$J300,$I300),daily_dates,0),MATCH($B$3,daily_items,0))),NA(),INDEX(big_daily_table,MATCH(DATE(Y$5,$J300,$I300),daily_dates,0),MATCH($B$3,daily_items,0)))</f>
        <v>#N/A</v>
      </c>
      <c r="Z300" s="1" t="n">
        <f aca="true">_xlfn.AGGREGATE(5,6,OFFSET($R$5,H300,0,1,$J$2))</f>
        <v>0</v>
      </c>
      <c r="AA300" s="1" t="n">
        <f aca="true">_xlfn.AGGREGATE(4,6,OFFSET($R$5,H300,0,1,$J$2))</f>
        <v>0</v>
      </c>
      <c r="AB300" s="1" t="n">
        <f aca="false">AA300-Z300</f>
        <v>0</v>
      </c>
      <c r="AC300" s="1" t="e">
        <f aca="true">_xlfn.AGGREGATE(1,6,OFFSET($R$5,H300,0,1,$J$2))</f>
        <v>#DIV/0!</v>
      </c>
    </row>
    <row r="301" customFormat="false" ht="14.25" hidden="false" customHeight="false" outlineLevel="0" collapsed="false">
      <c r="H301" s="1" t="n">
        <f aca="false">H300+1</f>
        <v>296</v>
      </c>
      <c r="I301" s="1" t="n">
        <f aca="false">DAY(K301)</f>
        <v>22</v>
      </c>
      <c r="J301" s="1" t="n">
        <f aca="false">MONTH(K301)</f>
        <v>10</v>
      </c>
      <c r="K301" s="23" t="n">
        <f aca="false">K300+1</f>
        <v>36821</v>
      </c>
      <c r="L301" s="24" t="n">
        <f aca="true">IF(TODAY()&lt;DATE($N$5,J301,I301),1000000,-1000000)</f>
        <v>1000000</v>
      </c>
      <c r="M301" s="1" t="e">
        <f aca="false">IF(K301&gt;0,INDEX(big_daily_table,MATCH(DATE(N$5,$J301,$I301),daily_dates,0),MATCH($B$3,daily_items,0)),NA())</f>
        <v>#N/A</v>
      </c>
      <c r="N301" s="1" t="e">
        <f aca="false">IF(L301&lt;0,INDEX(big_daily_table,MATCH(DATE(N$5,$J301,$I301),daily_dates,0),MATCH($B$3,daily_items,0)),NA())</f>
        <v>#N/A</v>
      </c>
      <c r="O301" s="1" t="e">
        <f aca="false">IF(ISBLANK(INDEX(big_daily_table,MATCH(DATE(O$5,$J301,$I301),daily_dates,0),MATCH($B$3,daily_items,0))),NA(),INDEX(big_daily_table,MATCH(DATE(O$5,$J301,$I301),daily_dates,0),MATCH($B$3,daily_items,0)))</f>
        <v>#N/A</v>
      </c>
      <c r="P301" s="1" t="e">
        <f aca="false">IF(ISBLANK(INDEX(big_daily_table,MATCH(DATE(P$5,$J301,$I301),daily_dates,0),MATCH($B$3,daily_items,0))),NA(),INDEX(big_daily_table,MATCH(DATE(P$5,$J301,$I301),daily_dates,0),MATCH($B$3,daily_items,0)))</f>
        <v>#N/A</v>
      </c>
      <c r="Q301" s="1" t="e">
        <f aca="false">IF(ISBLANK(INDEX(big_daily_table,MATCH(DATE(Q$5,$J301,$I301),daily_dates,0),MATCH($B$3,daily_items,0))),NA(),INDEX(big_daily_table,MATCH(DATE(Q$5,$J301,$I301),daily_dates,0),MATCH($B$3,daily_items,0)))</f>
        <v>#N/A</v>
      </c>
      <c r="R301" s="1" t="e">
        <f aca="false">IF(ISBLANK(INDEX(big_daily_table,MATCH(DATE(R$5,$J301,$I301),daily_dates,0),MATCH($B$3,daily_items,0))),NA(),INDEX(big_daily_table,MATCH(DATE(R$5,$J301,$I301),daily_dates,0),MATCH($B$3,daily_items,0)))</f>
        <v>#N/A</v>
      </c>
      <c r="S301" s="1" t="e">
        <f aca="false">IF(ISBLANK(INDEX(big_daily_table,MATCH(DATE(S$5,$J301,$I301),daily_dates,0),MATCH($B$3,daily_items,0))),NA(),INDEX(big_daily_table,MATCH(DATE(S$5,$J301,$I301),daily_dates,0),MATCH($B$3,daily_items,0)))</f>
        <v>#N/A</v>
      </c>
      <c r="T301" s="1" t="e">
        <f aca="false">IF(ISBLANK(INDEX(big_daily_table,MATCH(DATE(T$5,$J301,$I301),daily_dates,0),MATCH($B$3,daily_items,0))),NA(),INDEX(big_daily_table,MATCH(DATE(T$5,$J301,$I301),daily_dates,0),MATCH($B$3,daily_items,0)))</f>
        <v>#N/A</v>
      </c>
      <c r="U301" s="1" t="e">
        <f aca="false">IF(ISBLANK(INDEX(big_daily_table,MATCH(DATE(U$5,$J301,$I301),daily_dates,0),MATCH($B$3,daily_items,0))),NA(),INDEX(big_daily_table,MATCH(DATE(U$5,$J301,$I301),daily_dates,0),MATCH($B$3,daily_items,0)))</f>
        <v>#N/A</v>
      </c>
      <c r="V301" s="1" t="e">
        <f aca="false">IF(ISBLANK(INDEX(big_daily_table,MATCH(DATE(V$5,$J301,$I301),daily_dates,0),MATCH($B$3,daily_items,0))),NA(),INDEX(big_daily_table,MATCH(DATE(V$5,$J301,$I301),daily_dates,0),MATCH($B$3,daily_items,0)))</f>
        <v>#N/A</v>
      </c>
      <c r="W301" s="1" t="e">
        <f aca="false">IF(ISBLANK(INDEX(big_daily_table,MATCH(DATE(W$5,$J301,$I301),daily_dates,0),MATCH($B$3,daily_items,0))),NA(),INDEX(big_daily_table,MATCH(DATE(W$5,$J301,$I301),daily_dates,0),MATCH($B$3,daily_items,0)))</f>
        <v>#N/A</v>
      </c>
      <c r="X301" s="1" t="e">
        <f aca="false">IF(ISBLANK(INDEX(big_daily_table,MATCH(DATE(X$5,$J301,$I301),daily_dates,0),MATCH($B$3,daily_items,0))),NA(),INDEX(big_daily_table,MATCH(DATE(X$5,$J301,$I301),daily_dates,0),MATCH($B$3,daily_items,0)))</f>
        <v>#N/A</v>
      </c>
      <c r="Y301" s="1" t="e">
        <f aca="false">IF(ISBLANK(INDEX(big_daily_table,MATCH(DATE(Y$5,$J301,$I301),daily_dates,0),MATCH($B$3,daily_items,0))),NA(),INDEX(big_daily_table,MATCH(DATE(Y$5,$J301,$I301),daily_dates,0),MATCH($B$3,daily_items,0)))</f>
        <v>#N/A</v>
      </c>
      <c r="Z301" s="1" t="n">
        <f aca="true">_xlfn.AGGREGATE(5,6,OFFSET($R$5,H301,0,1,$J$2))</f>
        <v>0</v>
      </c>
      <c r="AA301" s="1" t="n">
        <f aca="true">_xlfn.AGGREGATE(4,6,OFFSET($R$5,H301,0,1,$J$2))</f>
        <v>0</v>
      </c>
      <c r="AB301" s="1" t="n">
        <f aca="false">AA301-Z301</f>
        <v>0</v>
      </c>
      <c r="AC301" s="1" t="e">
        <f aca="true">_xlfn.AGGREGATE(1,6,OFFSET($R$5,H301,0,1,$J$2))</f>
        <v>#DIV/0!</v>
      </c>
    </row>
    <row r="302" customFormat="false" ht="14.25" hidden="false" customHeight="false" outlineLevel="0" collapsed="false">
      <c r="H302" s="1" t="n">
        <f aca="false">H301+1</f>
        <v>297</v>
      </c>
      <c r="I302" s="1" t="n">
        <f aca="false">DAY(K302)</f>
        <v>23</v>
      </c>
      <c r="J302" s="1" t="n">
        <f aca="false">MONTH(K302)</f>
        <v>10</v>
      </c>
      <c r="K302" s="23" t="n">
        <f aca="false">K301+1</f>
        <v>36822</v>
      </c>
      <c r="L302" s="24" t="n">
        <f aca="true">IF(TODAY()&lt;DATE($N$5,J302,I302),1000000,-1000000)</f>
        <v>1000000</v>
      </c>
      <c r="M302" s="1" t="e">
        <f aca="false">IF(K302&gt;0,INDEX(big_daily_table,MATCH(DATE(N$5,$J302,$I302),daily_dates,0),MATCH($B$3,daily_items,0)),NA())</f>
        <v>#N/A</v>
      </c>
      <c r="N302" s="1" t="e">
        <f aca="false">IF(L302&lt;0,INDEX(big_daily_table,MATCH(DATE(N$5,$J302,$I302),daily_dates,0),MATCH($B$3,daily_items,0)),NA())</f>
        <v>#N/A</v>
      </c>
      <c r="O302" s="1" t="e">
        <f aca="false">IF(ISBLANK(INDEX(big_daily_table,MATCH(DATE(O$5,$J302,$I302),daily_dates,0),MATCH($B$3,daily_items,0))),NA(),INDEX(big_daily_table,MATCH(DATE(O$5,$J302,$I302),daily_dates,0),MATCH($B$3,daily_items,0)))</f>
        <v>#N/A</v>
      </c>
      <c r="P302" s="1" t="e">
        <f aca="false">IF(ISBLANK(INDEX(big_daily_table,MATCH(DATE(P$5,$J302,$I302),daily_dates,0),MATCH($B$3,daily_items,0))),NA(),INDEX(big_daily_table,MATCH(DATE(P$5,$J302,$I302),daily_dates,0),MATCH($B$3,daily_items,0)))</f>
        <v>#N/A</v>
      </c>
      <c r="Q302" s="1" t="e">
        <f aca="false">IF(ISBLANK(INDEX(big_daily_table,MATCH(DATE(Q$5,$J302,$I302),daily_dates,0),MATCH($B$3,daily_items,0))),NA(),INDEX(big_daily_table,MATCH(DATE(Q$5,$J302,$I302),daily_dates,0),MATCH($B$3,daily_items,0)))</f>
        <v>#N/A</v>
      </c>
      <c r="R302" s="1" t="e">
        <f aca="false">IF(ISBLANK(INDEX(big_daily_table,MATCH(DATE(R$5,$J302,$I302),daily_dates,0),MATCH($B$3,daily_items,0))),NA(),INDEX(big_daily_table,MATCH(DATE(R$5,$J302,$I302),daily_dates,0),MATCH($B$3,daily_items,0)))</f>
        <v>#N/A</v>
      </c>
      <c r="S302" s="1" t="e">
        <f aca="false">IF(ISBLANK(INDEX(big_daily_table,MATCH(DATE(S$5,$J302,$I302),daily_dates,0),MATCH($B$3,daily_items,0))),NA(),INDEX(big_daily_table,MATCH(DATE(S$5,$J302,$I302),daily_dates,0),MATCH($B$3,daily_items,0)))</f>
        <v>#N/A</v>
      </c>
      <c r="T302" s="1" t="e">
        <f aca="false">IF(ISBLANK(INDEX(big_daily_table,MATCH(DATE(T$5,$J302,$I302),daily_dates,0),MATCH($B$3,daily_items,0))),NA(),INDEX(big_daily_table,MATCH(DATE(T$5,$J302,$I302),daily_dates,0),MATCH($B$3,daily_items,0)))</f>
        <v>#N/A</v>
      </c>
      <c r="U302" s="1" t="e">
        <f aca="false">IF(ISBLANK(INDEX(big_daily_table,MATCH(DATE(U$5,$J302,$I302),daily_dates,0),MATCH($B$3,daily_items,0))),NA(),INDEX(big_daily_table,MATCH(DATE(U$5,$J302,$I302),daily_dates,0),MATCH($B$3,daily_items,0)))</f>
        <v>#N/A</v>
      </c>
      <c r="V302" s="1" t="e">
        <f aca="false">IF(ISBLANK(INDEX(big_daily_table,MATCH(DATE(V$5,$J302,$I302),daily_dates,0),MATCH($B$3,daily_items,0))),NA(),INDEX(big_daily_table,MATCH(DATE(V$5,$J302,$I302),daily_dates,0),MATCH($B$3,daily_items,0)))</f>
        <v>#N/A</v>
      </c>
      <c r="W302" s="1" t="e">
        <f aca="false">IF(ISBLANK(INDEX(big_daily_table,MATCH(DATE(W$5,$J302,$I302),daily_dates,0),MATCH($B$3,daily_items,0))),NA(),INDEX(big_daily_table,MATCH(DATE(W$5,$J302,$I302),daily_dates,0),MATCH($B$3,daily_items,0)))</f>
        <v>#N/A</v>
      </c>
      <c r="X302" s="1" t="e">
        <f aca="false">IF(ISBLANK(INDEX(big_daily_table,MATCH(DATE(X$5,$J302,$I302),daily_dates,0),MATCH($B$3,daily_items,0))),NA(),INDEX(big_daily_table,MATCH(DATE(X$5,$J302,$I302),daily_dates,0),MATCH($B$3,daily_items,0)))</f>
        <v>#N/A</v>
      </c>
      <c r="Y302" s="1" t="e">
        <f aca="false">IF(ISBLANK(INDEX(big_daily_table,MATCH(DATE(Y$5,$J302,$I302),daily_dates,0),MATCH($B$3,daily_items,0))),NA(),INDEX(big_daily_table,MATCH(DATE(Y$5,$J302,$I302),daily_dates,0),MATCH($B$3,daily_items,0)))</f>
        <v>#N/A</v>
      </c>
      <c r="Z302" s="1" t="n">
        <f aca="true">_xlfn.AGGREGATE(5,6,OFFSET($R$5,H302,0,1,$J$2))</f>
        <v>0</v>
      </c>
      <c r="AA302" s="1" t="n">
        <f aca="true">_xlfn.AGGREGATE(4,6,OFFSET($R$5,H302,0,1,$J$2))</f>
        <v>0</v>
      </c>
      <c r="AB302" s="1" t="n">
        <f aca="false">AA302-Z302</f>
        <v>0</v>
      </c>
      <c r="AC302" s="1" t="e">
        <f aca="true">_xlfn.AGGREGATE(1,6,OFFSET($R$5,H302,0,1,$J$2))</f>
        <v>#DIV/0!</v>
      </c>
    </row>
    <row r="303" customFormat="false" ht="14.25" hidden="false" customHeight="false" outlineLevel="0" collapsed="false">
      <c r="H303" s="1" t="n">
        <f aca="false">H302+1</f>
        <v>298</v>
      </c>
      <c r="I303" s="1" t="n">
        <f aca="false">DAY(K303)</f>
        <v>24</v>
      </c>
      <c r="J303" s="1" t="n">
        <f aca="false">MONTH(K303)</f>
        <v>10</v>
      </c>
      <c r="K303" s="23" t="n">
        <f aca="false">K302+1</f>
        <v>36823</v>
      </c>
      <c r="L303" s="24" t="n">
        <f aca="true">IF(TODAY()&lt;DATE($N$5,J303,I303),1000000,-1000000)</f>
        <v>1000000</v>
      </c>
      <c r="M303" s="1" t="e">
        <f aca="false">IF(K303&gt;0,INDEX(big_daily_table,MATCH(DATE(N$5,$J303,$I303),daily_dates,0),MATCH($B$3,daily_items,0)),NA())</f>
        <v>#N/A</v>
      </c>
      <c r="N303" s="1" t="e">
        <f aca="false">IF(L303&lt;0,INDEX(big_daily_table,MATCH(DATE(N$5,$J303,$I303),daily_dates,0),MATCH($B$3,daily_items,0)),NA())</f>
        <v>#N/A</v>
      </c>
      <c r="O303" s="1" t="e">
        <f aca="false">IF(ISBLANK(INDEX(big_daily_table,MATCH(DATE(O$5,$J303,$I303),daily_dates,0),MATCH($B$3,daily_items,0))),NA(),INDEX(big_daily_table,MATCH(DATE(O$5,$J303,$I303),daily_dates,0),MATCH($B$3,daily_items,0)))</f>
        <v>#N/A</v>
      </c>
      <c r="P303" s="1" t="e">
        <f aca="false">IF(ISBLANK(INDEX(big_daily_table,MATCH(DATE(P$5,$J303,$I303),daily_dates,0),MATCH($B$3,daily_items,0))),NA(),INDEX(big_daily_table,MATCH(DATE(P$5,$J303,$I303),daily_dates,0),MATCH($B$3,daily_items,0)))</f>
        <v>#N/A</v>
      </c>
      <c r="Q303" s="1" t="e">
        <f aca="false">IF(ISBLANK(INDEX(big_daily_table,MATCH(DATE(Q$5,$J303,$I303),daily_dates,0),MATCH($B$3,daily_items,0))),NA(),INDEX(big_daily_table,MATCH(DATE(Q$5,$J303,$I303),daily_dates,0),MATCH($B$3,daily_items,0)))</f>
        <v>#N/A</v>
      </c>
      <c r="R303" s="1" t="e">
        <f aca="false">IF(ISBLANK(INDEX(big_daily_table,MATCH(DATE(R$5,$J303,$I303),daily_dates,0),MATCH($B$3,daily_items,0))),NA(),INDEX(big_daily_table,MATCH(DATE(R$5,$J303,$I303),daily_dates,0),MATCH($B$3,daily_items,0)))</f>
        <v>#N/A</v>
      </c>
      <c r="S303" s="1" t="e">
        <f aca="false">IF(ISBLANK(INDEX(big_daily_table,MATCH(DATE(S$5,$J303,$I303),daily_dates,0),MATCH($B$3,daily_items,0))),NA(),INDEX(big_daily_table,MATCH(DATE(S$5,$J303,$I303),daily_dates,0),MATCH($B$3,daily_items,0)))</f>
        <v>#N/A</v>
      </c>
      <c r="T303" s="1" t="e">
        <f aca="false">IF(ISBLANK(INDEX(big_daily_table,MATCH(DATE(T$5,$J303,$I303),daily_dates,0),MATCH($B$3,daily_items,0))),NA(),INDEX(big_daily_table,MATCH(DATE(T$5,$J303,$I303),daily_dates,0),MATCH($B$3,daily_items,0)))</f>
        <v>#N/A</v>
      </c>
      <c r="U303" s="1" t="e">
        <f aca="false">IF(ISBLANK(INDEX(big_daily_table,MATCH(DATE(U$5,$J303,$I303),daily_dates,0),MATCH($B$3,daily_items,0))),NA(),INDEX(big_daily_table,MATCH(DATE(U$5,$J303,$I303),daily_dates,0),MATCH($B$3,daily_items,0)))</f>
        <v>#N/A</v>
      </c>
      <c r="V303" s="1" t="e">
        <f aca="false">IF(ISBLANK(INDEX(big_daily_table,MATCH(DATE(V$5,$J303,$I303),daily_dates,0),MATCH($B$3,daily_items,0))),NA(),INDEX(big_daily_table,MATCH(DATE(V$5,$J303,$I303),daily_dates,0),MATCH($B$3,daily_items,0)))</f>
        <v>#N/A</v>
      </c>
      <c r="W303" s="1" t="e">
        <f aca="false">IF(ISBLANK(INDEX(big_daily_table,MATCH(DATE(W$5,$J303,$I303),daily_dates,0),MATCH($B$3,daily_items,0))),NA(),INDEX(big_daily_table,MATCH(DATE(W$5,$J303,$I303),daily_dates,0),MATCH($B$3,daily_items,0)))</f>
        <v>#N/A</v>
      </c>
      <c r="X303" s="1" t="e">
        <f aca="false">IF(ISBLANK(INDEX(big_daily_table,MATCH(DATE(X$5,$J303,$I303),daily_dates,0),MATCH($B$3,daily_items,0))),NA(),INDEX(big_daily_table,MATCH(DATE(X$5,$J303,$I303),daily_dates,0),MATCH($B$3,daily_items,0)))</f>
        <v>#N/A</v>
      </c>
      <c r="Y303" s="1" t="e">
        <f aca="false">IF(ISBLANK(INDEX(big_daily_table,MATCH(DATE(Y$5,$J303,$I303),daily_dates,0),MATCH($B$3,daily_items,0))),NA(),INDEX(big_daily_table,MATCH(DATE(Y$5,$J303,$I303),daily_dates,0),MATCH($B$3,daily_items,0)))</f>
        <v>#N/A</v>
      </c>
      <c r="Z303" s="1" t="n">
        <f aca="true">_xlfn.AGGREGATE(5,6,OFFSET($R$5,H303,0,1,$J$2))</f>
        <v>0</v>
      </c>
      <c r="AA303" s="1" t="n">
        <f aca="true">_xlfn.AGGREGATE(4,6,OFFSET($R$5,H303,0,1,$J$2))</f>
        <v>0</v>
      </c>
      <c r="AB303" s="1" t="n">
        <f aca="false">AA303-Z303</f>
        <v>0</v>
      </c>
      <c r="AC303" s="1" t="e">
        <f aca="true">_xlfn.AGGREGATE(1,6,OFFSET($R$5,H303,0,1,$J$2))</f>
        <v>#DIV/0!</v>
      </c>
    </row>
    <row r="304" customFormat="false" ht="14.25" hidden="false" customHeight="false" outlineLevel="0" collapsed="false">
      <c r="H304" s="1" t="n">
        <f aca="false">H303+1</f>
        <v>299</v>
      </c>
      <c r="I304" s="1" t="n">
        <f aca="false">DAY(K304)</f>
        <v>25</v>
      </c>
      <c r="J304" s="1" t="n">
        <f aca="false">MONTH(K304)</f>
        <v>10</v>
      </c>
      <c r="K304" s="23" t="n">
        <f aca="false">K303+1</f>
        <v>36824</v>
      </c>
      <c r="L304" s="24" t="n">
        <f aca="true">IF(TODAY()&lt;DATE($N$5,J304,I304),1000000,-1000000)</f>
        <v>1000000</v>
      </c>
      <c r="M304" s="1" t="e">
        <f aca="false">IF(K304&gt;0,INDEX(big_daily_table,MATCH(DATE(N$5,$J304,$I304),daily_dates,0),MATCH($B$3,daily_items,0)),NA())</f>
        <v>#N/A</v>
      </c>
      <c r="N304" s="1" t="e">
        <f aca="false">IF(L304&lt;0,INDEX(big_daily_table,MATCH(DATE(N$5,$J304,$I304),daily_dates,0),MATCH($B$3,daily_items,0)),NA())</f>
        <v>#N/A</v>
      </c>
      <c r="O304" s="1" t="e">
        <f aca="false">IF(ISBLANK(INDEX(big_daily_table,MATCH(DATE(O$5,$J304,$I304),daily_dates,0),MATCH($B$3,daily_items,0))),NA(),INDEX(big_daily_table,MATCH(DATE(O$5,$J304,$I304),daily_dates,0),MATCH($B$3,daily_items,0)))</f>
        <v>#N/A</v>
      </c>
      <c r="P304" s="1" t="e">
        <f aca="false">IF(ISBLANK(INDEX(big_daily_table,MATCH(DATE(P$5,$J304,$I304),daily_dates,0),MATCH($B$3,daily_items,0))),NA(),INDEX(big_daily_table,MATCH(DATE(P$5,$J304,$I304),daily_dates,0),MATCH($B$3,daily_items,0)))</f>
        <v>#N/A</v>
      </c>
      <c r="Q304" s="1" t="e">
        <f aca="false">IF(ISBLANK(INDEX(big_daily_table,MATCH(DATE(Q$5,$J304,$I304),daily_dates,0),MATCH($B$3,daily_items,0))),NA(),INDEX(big_daily_table,MATCH(DATE(Q$5,$J304,$I304),daily_dates,0),MATCH($B$3,daily_items,0)))</f>
        <v>#N/A</v>
      </c>
      <c r="R304" s="1" t="e">
        <f aca="false">IF(ISBLANK(INDEX(big_daily_table,MATCH(DATE(R$5,$J304,$I304),daily_dates,0),MATCH($B$3,daily_items,0))),NA(),INDEX(big_daily_table,MATCH(DATE(R$5,$J304,$I304),daily_dates,0),MATCH($B$3,daily_items,0)))</f>
        <v>#N/A</v>
      </c>
      <c r="S304" s="1" t="e">
        <f aca="false">IF(ISBLANK(INDEX(big_daily_table,MATCH(DATE(S$5,$J304,$I304),daily_dates,0),MATCH($B$3,daily_items,0))),NA(),INDEX(big_daily_table,MATCH(DATE(S$5,$J304,$I304),daily_dates,0),MATCH($B$3,daily_items,0)))</f>
        <v>#N/A</v>
      </c>
      <c r="T304" s="1" t="e">
        <f aca="false">IF(ISBLANK(INDEX(big_daily_table,MATCH(DATE(T$5,$J304,$I304),daily_dates,0),MATCH($B$3,daily_items,0))),NA(),INDEX(big_daily_table,MATCH(DATE(T$5,$J304,$I304),daily_dates,0),MATCH($B$3,daily_items,0)))</f>
        <v>#N/A</v>
      </c>
      <c r="U304" s="1" t="e">
        <f aca="false">IF(ISBLANK(INDEX(big_daily_table,MATCH(DATE(U$5,$J304,$I304),daily_dates,0),MATCH($B$3,daily_items,0))),NA(),INDEX(big_daily_table,MATCH(DATE(U$5,$J304,$I304),daily_dates,0),MATCH($B$3,daily_items,0)))</f>
        <v>#N/A</v>
      </c>
      <c r="V304" s="1" t="e">
        <f aca="false">IF(ISBLANK(INDEX(big_daily_table,MATCH(DATE(V$5,$J304,$I304),daily_dates,0),MATCH($B$3,daily_items,0))),NA(),INDEX(big_daily_table,MATCH(DATE(V$5,$J304,$I304),daily_dates,0),MATCH($B$3,daily_items,0)))</f>
        <v>#N/A</v>
      </c>
      <c r="W304" s="1" t="e">
        <f aca="false">IF(ISBLANK(INDEX(big_daily_table,MATCH(DATE(W$5,$J304,$I304),daily_dates,0),MATCH($B$3,daily_items,0))),NA(),INDEX(big_daily_table,MATCH(DATE(W$5,$J304,$I304),daily_dates,0),MATCH($B$3,daily_items,0)))</f>
        <v>#N/A</v>
      </c>
      <c r="X304" s="1" t="e">
        <f aca="false">IF(ISBLANK(INDEX(big_daily_table,MATCH(DATE(X$5,$J304,$I304),daily_dates,0),MATCH($B$3,daily_items,0))),NA(),INDEX(big_daily_table,MATCH(DATE(X$5,$J304,$I304),daily_dates,0),MATCH($B$3,daily_items,0)))</f>
        <v>#N/A</v>
      </c>
      <c r="Y304" s="1" t="e">
        <f aca="false">IF(ISBLANK(INDEX(big_daily_table,MATCH(DATE(Y$5,$J304,$I304),daily_dates,0),MATCH($B$3,daily_items,0))),NA(),INDEX(big_daily_table,MATCH(DATE(Y$5,$J304,$I304),daily_dates,0),MATCH($B$3,daily_items,0)))</f>
        <v>#N/A</v>
      </c>
      <c r="Z304" s="1" t="n">
        <f aca="true">_xlfn.AGGREGATE(5,6,OFFSET($R$5,H304,0,1,$J$2))</f>
        <v>0</v>
      </c>
      <c r="AA304" s="1" t="n">
        <f aca="true">_xlfn.AGGREGATE(4,6,OFFSET($R$5,H304,0,1,$J$2))</f>
        <v>0</v>
      </c>
      <c r="AB304" s="1" t="n">
        <f aca="false">AA304-Z304</f>
        <v>0</v>
      </c>
      <c r="AC304" s="1" t="e">
        <f aca="true">_xlfn.AGGREGATE(1,6,OFFSET($R$5,H304,0,1,$J$2))</f>
        <v>#DIV/0!</v>
      </c>
    </row>
    <row r="305" customFormat="false" ht="14.25" hidden="false" customHeight="false" outlineLevel="0" collapsed="false">
      <c r="H305" s="1" t="n">
        <f aca="false">H304+1</f>
        <v>300</v>
      </c>
      <c r="I305" s="1" t="n">
        <f aca="false">DAY(K305)</f>
        <v>26</v>
      </c>
      <c r="J305" s="1" t="n">
        <f aca="false">MONTH(K305)</f>
        <v>10</v>
      </c>
      <c r="K305" s="23" t="n">
        <f aca="false">K304+1</f>
        <v>36825</v>
      </c>
      <c r="L305" s="24" t="n">
        <f aca="true">IF(TODAY()&lt;DATE($N$5,J305,I305),1000000,-1000000)</f>
        <v>1000000</v>
      </c>
      <c r="M305" s="1" t="e">
        <f aca="false">IF(K305&gt;0,INDEX(big_daily_table,MATCH(DATE(N$5,$J305,$I305),daily_dates,0),MATCH($B$3,daily_items,0)),NA())</f>
        <v>#N/A</v>
      </c>
      <c r="N305" s="1" t="e">
        <f aca="false">IF(L305&lt;0,INDEX(big_daily_table,MATCH(DATE(N$5,$J305,$I305),daily_dates,0),MATCH($B$3,daily_items,0)),NA())</f>
        <v>#N/A</v>
      </c>
      <c r="O305" s="1" t="e">
        <f aca="false">IF(ISBLANK(INDEX(big_daily_table,MATCH(DATE(O$5,$J305,$I305),daily_dates,0),MATCH($B$3,daily_items,0))),NA(),INDEX(big_daily_table,MATCH(DATE(O$5,$J305,$I305),daily_dates,0),MATCH($B$3,daily_items,0)))</f>
        <v>#N/A</v>
      </c>
      <c r="P305" s="1" t="e">
        <f aca="false">IF(ISBLANK(INDEX(big_daily_table,MATCH(DATE(P$5,$J305,$I305),daily_dates,0),MATCH($B$3,daily_items,0))),NA(),INDEX(big_daily_table,MATCH(DATE(P$5,$J305,$I305),daily_dates,0),MATCH($B$3,daily_items,0)))</f>
        <v>#N/A</v>
      </c>
      <c r="Q305" s="1" t="e">
        <f aca="false">IF(ISBLANK(INDEX(big_daily_table,MATCH(DATE(Q$5,$J305,$I305),daily_dates,0),MATCH($B$3,daily_items,0))),NA(),INDEX(big_daily_table,MATCH(DATE(Q$5,$J305,$I305),daily_dates,0),MATCH($B$3,daily_items,0)))</f>
        <v>#N/A</v>
      </c>
      <c r="R305" s="1" t="e">
        <f aca="false">IF(ISBLANK(INDEX(big_daily_table,MATCH(DATE(R$5,$J305,$I305),daily_dates,0),MATCH($B$3,daily_items,0))),NA(),INDEX(big_daily_table,MATCH(DATE(R$5,$J305,$I305),daily_dates,0),MATCH($B$3,daily_items,0)))</f>
        <v>#N/A</v>
      </c>
      <c r="S305" s="1" t="e">
        <f aca="false">IF(ISBLANK(INDEX(big_daily_table,MATCH(DATE(S$5,$J305,$I305),daily_dates,0),MATCH($B$3,daily_items,0))),NA(),INDEX(big_daily_table,MATCH(DATE(S$5,$J305,$I305),daily_dates,0),MATCH($B$3,daily_items,0)))</f>
        <v>#N/A</v>
      </c>
      <c r="T305" s="1" t="e">
        <f aca="false">IF(ISBLANK(INDEX(big_daily_table,MATCH(DATE(T$5,$J305,$I305),daily_dates,0),MATCH($B$3,daily_items,0))),NA(),INDEX(big_daily_table,MATCH(DATE(T$5,$J305,$I305),daily_dates,0),MATCH($B$3,daily_items,0)))</f>
        <v>#N/A</v>
      </c>
      <c r="U305" s="1" t="e">
        <f aca="false">IF(ISBLANK(INDEX(big_daily_table,MATCH(DATE(U$5,$J305,$I305),daily_dates,0),MATCH($B$3,daily_items,0))),NA(),INDEX(big_daily_table,MATCH(DATE(U$5,$J305,$I305),daily_dates,0),MATCH($B$3,daily_items,0)))</f>
        <v>#N/A</v>
      </c>
      <c r="V305" s="1" t="e">
        <f aca="false">IF(ISBLANK(INDEX(big_daily_table,MATCH(DATE(V$5,$J305,$I305),daily_dates,0),MATCH($B$3,daily_items,0))),NA(),INDEX(big_daily_table,MATCH(DATE(V$5,$J305,$I305),daily_dates,0),MATCH($B$3,daily_items,0)))</f>
        <v>#N/A</v>
      </c>
      <c r="W305" s="1" t="e">
        <f aca="false">IF(ISBLANK(INDEX(big_daily_table,MATCH(DATE(W$5,$J305,$I305),daily_dates,0),MATCH($B$3,daily_items,0))),NA(),INDEX(big_daily_table,MATCH(DATE(W$5,$J305,$I305),daily_dates,0),MATCH($B$3,daily_items,0)))</f>
        <v>#N/A</v>
      </c>
      <c r="X305" s="1" t="e">
        <f aca="false">IF(ISBLANK(INDEX(big_daily_table,MATCH(DATE(X$5,$J305,$I305),daily_dates,0),MATCH($B$3,daily_items,0))),NA(),INDEX(big_daily_table,MATCH(DATE(X$5,$J305,$I305),daily_dates,0),MATCH($B$3,daily_items,0)))</f>
        <v>#N/A</v>
      </c>
      <c r="Y305" s="1" t="e">
        <f aca="false">IF(ISBLANK(INDEX(big_daily_table,MATCH(DATE(Y$5,$J305,$I305),daily_dates,0),MATCH($B$3,daily_items,0))),NA(),INDEX(big_daily_table,MATCH(DATE(Y$5,$J305,$I305),daily_dates,0),MATCH($B$3,daily_items,0)))</f>
        <v>#N/A</v>
      </c>
      <c r="Z305" s="1" t="n">
        <f aca="true">_xlfn.AGGREGATE(5,6,OFFSET($R$5,H305,0,1,$J$2))</f>
        <v>0</v>
      </c>
      <c r="AA305" s="1" t="n">
        <f aca="true">_xlfn.AGGREGATE(4,6,OFFSET($R$5,H305,0,1,$J$2))</f>
        <v>0</v>
      </c>
      <c r="AB305" s="1" t="n">
        <f aca="false">AA305-Z305</f>
        <v>0</v>
      </c>
      <c r="AC305" s="1" t="e">
        <f aca="true">_xlfn.AGGREGATE(1,6,OFFSET($R$5,H305,0,1,$J$2))</f>
        <v>#DIV/0!</v>
      </c>
    </row>
    <row r="306" customFormat="false" ht="14.25" hidden="false" customHeight="false" outlineLevel="0" collapsed="false">
      <c r="H306" s="1" t="n">
        <f aca="false">H305+1</f>
        <v>301</v>
      </c>
      <c r="I306" s="1" t="n">
        <f aca="false">DAY(K306)</f>
        <v>27</v>
      </c>
      <c r="J306" s="1" t="n">
        <f aca="false">MONTH(K306)</f>
        <v>10</v>
      </c>
      <c r="K306" s="23" t="n">
        <f aca="false">K305+1</f>
        <v>36826</v>
      </c>
      <c r="L306" s="24" t="n">
        <f aca="true">IF(TODAY()&lt;DATE($N$5,J306,I306),1000000,-1000000)</f>
        <v>1000000</v>
      </c>
      <c r="M306" s="1" t="e">
        <f aca="false">IF(K306&gt;0,INDEX(big_daily_table,MATCH(DATE(N$5,$J306,$I306),daily_dates,0),MATCH($B$3,daily_items,0)),NA())</f>
        <v>#N/A</v>
      </c>
      <c r="N306" s="1" t="e">
        <f aca="false">IF(L306&lt;0,INDEX(big_daily_table,MATCH(DATE(N$5,$J306,$I306),daily_dates,0),MATCH($B$3,daily_items,0)),NA())</f>
        <v>#N/A</v>
      </c>
      <c r="O306" s="1" t="e">
        <f aca="false">IF(ISBLANK(INDEX(big_daily_table,MATCH(DATE(O$5,$J306,$I306),daily_dates,0),MATCH($B$3,daily_items,0))),NA(),INDEX(big_daily_table,MATCH(DATE(O$5,$J306,$I306),daily_dates,0),MATCH($B$3,daily_items,0)))</f>
        <v>#N/A</v>
      </c>
      <c r="P306" s="1" t="e">
        <f aca="false">IF(ISBLANK(INDEX(big_daily_table,MATCH(DATE(P$5,$J306,$I306),daily_dates,0),MATCH($B$3,daily_items,0))),NA(),INDEX(big_daily_table,MATCH(DATE(P$5,$J306,$I306),daily_dates,0),MATCH($B$3,daily_items,0)))</f>
        <v>#N/A</v>
      </c>
      <c r="Q306" s="1" t="e">
        <f aca="false">IF(ISBLANK(INDEX(big_daily_table,MATCH(DATE(Q$5,$J306,$I306),daily_dates,0),MATCH($B$3,daily_items,0))),NA(),INDEX(big_daily_table,MATCH(DATE(Q$5,$J306,$I306),daily_dates,0),MATCH($B$3,daily_items,0)))</f>
        <v>#N/A</v>
      </c>
      <c r="R306" s="1" t="e">
        <f aca="false">IF(ISBLANK(INDEX(big_daily_table,MATCH(DATE(R$5,$J306,$I306),daily_dates,0),MATCH($B$3,daily_items,0))),NA(),INDEX(big_daily_table,MATCH(DATE(R$5,$J306,$I306),daily_dates,0),MATCH($B$3,daily_items,0)))</f>
        <v>#N/A</v>
      </c>
      <c r="S306" s="1" t="e">
        <f aca="false">IF(ISBLANK(INDEX(big_daily_table,MATCH(DATE(S$5,$J306,$I306),daily_dates,0),MATCH($B$3,daily_items,0))),NA(),INDEX(big_daily_table,MATCH(DATE(S$5,$J306,$I306),daily_dates,0),MATCH($B$3,daily_items,0)))</f>
        <v>#N/A</v>
      </c>
      <c r="T306" s="1" t="e">
        <f aca="false">IF(ISBLANK(INDEX(big_daily_table,MATCH(DATE(T$5,$J306,$I306),daily_dates,0),MATCH($B$3,daily_items,0))),NA(),INDEX(big_daily_table,MATCH(DATE(T$5,$J306,$I306),daily_dates,0),MATCH($B$3,daily_items,0)))</f>
        <v>#N/A</v>
      </c>
      <c r="U306" s="1" t="e">
        <f aca="false">IF(ISBLANK(INDEX(big_daily_table,MATCH(DATE(U$5,$J306,$I306),daily_dates,0),MATCH($B$3,daily_items,0))),NA(),INDEX(big_daily_table,MATCH(DATE(U$5,$J306,$I306),daily_dates,0),MATCH($B$3,daily_items,0)))</f>
        <v>#N/A</v>
      </c>
      <c r="V306" s="1" t="e">
        <f aca="false">IF(ISBLANK(INDEX(big_daily_table,MATCH(DATE(V$5,$J306,$I306),daily_dates,0),MATCH($B$3,daily_items,0))),NA(),INDEX(big_daily_table,MATCH(DATE(V$5,$J306,$I306),daily_dates,0),MATCH($B$3,daily_items,0)))</f>
        <v>#N/A</v>
      </c>
      <c r="W306" s="1" t="e">
        <f aca="false">IF(ISBLANK(INDEX(big_daily_table,MATCH(DATE(W$5,$J306,$I306),daily_dates,0),MATCH($B$3,daily_items,0))),NA(),INDEX(big_daily_table,MATCH(DATE(W$5,$J306,$I306),daily_dates,0),MATCH($B$3,daily_items,0)))</f>
        <v>#N/A</v>
      </c>
      <c r="X306" s="1" t="e">
        <f aca="false">IF(ISBLANK(INDEX(big_daily_table,MATCH(DATE(X$5,$J306,$I306),daily_dates,0),MATCH($B$3,daily_items,0))),NA(),INDEX(big_daily_table,MATCH(DATE(X$5,$J306,$I306),daily_dates,0),MATCH($B$3,daily_items,0)))</f>
        <v>#N/A</v>
      </c>
      <c r="Y306" s="1" t="e">
        <f aca="false">IF(ISBLANK(INDEX(big_daily_table,MATCH(DATE(Y$5,$J306,$I306),daily_dates,0),MATCH($B$3,daily_items,0))),NA(),INDEX(big_daily_table,MATCH(DATE(Y$5,$J306,$I306),daily_dates,0),MATCH($B$3,daily_items,0)))</f>
        <v>#N/A</v>
      </c>
      <c r="Z306" s="1" t="n">
        <f aca="true">_xlfn.AGGREGATE(5,6,OFFSET($R$5,H306,0,1,$J$2))</f>
        <v>0</v>
      </c>
      <c r="AA306" s="1" t="n">
        <f aca="true">_xlfn.AGGREGATE(4,6,OFFSET($R$5,H306,0,1,$J$2))</f>
        <v>0</v>
      </c>
      <c r="AB306" s="1" t="n">
        <f aca="false">AA306-Z306</f>
        <v>0</v>
      </c>
      <c r="AC306" s="1" t="e">
        <f aca="true">_xlfn.AGGREGATE(1,6,OFFSET($R$5,H306,0,1,$J$2))</f>
        <v>#DIV/0!</v>
      </c>
    </row>
    <row r="307" customFormat="false" ht="14.25" hidden="false" customHeight="false" outlineLevel="0" collapsed="false">
      <c r="H307" s="1" t="n">
        <f aca="false">H306+1</f>
        <v>302</v>
      </c>
      <c r="I307" s="1" t="n">
        <f aca="false">DAY(K307)</f>
        <v>28</v>
      </c>
      <c r="J307" s="1" t="n">
        <f aca="false">MONTH(K307)</f>
        <v>10</v>
      </c>
      <c r="K307" s="23" t="n">
        <f aca="false">K306+1</f>
        <v>36827</v>
      </c>
      <c r="L307" s="24" t="n">
        <f aca="true">IF(TODAY()&lt;DATE($N$5,J307,I307),1000000,-1000000)</f>
        <v>1000000</v>
      </c>
      <c r="M307" s="1" t="e">
        <f aca="false">IF(K307&gt;0,INDEX(big_daily_table,MATCH(DATE(N$5,$J307,$I307),daily_dates,0),MATCH($B$3,daily_items,0)),NA())</f>
        <v>#N/A</v>
      </c>
      <c r="N307" s="1" t="e">
        <f aca="false">IF(L307&lt;0,INDEX(big_daily_table,MATCH(DATE(N$5,$J307,$I307),daily_dates,0),MATCH($B$3,daily_items,0)),NA())</f>
        <v>#N/A</v>
      </c>
      <c r="O307" s="1" t="e">
        <f aca="false">IF(ISBLANK(INDEX(big_daily_table,MATCH(DATE(O$5,$J307,$I307),daily_dates,0),MATCH($B$3,daily_items,0))),NA(),INDEX(big_daily_table,MATCH(DATE(O$5,$J307,$I307),daily_dates,0),MATCH($B$3,daily_items,0)))</f>
        <v>#N/A</v>
      </c>
      <c r="P307" s="1" t="e">
        <f aca="false">IF(ISBLANK(INDEX(big_daily_table,MATCH(DATE(P$5,$J307,$I307),daily_dates,0),MATCH($B$3,daily_items,0))),NA(),INDEX(big_daily_table,MATCH(DATE(P$5,$J307,$I307),daily_dates,0),MATCH($B$3,daily_items,0)))</f>
        <v>#N/A</v>
      </c>
      <c r="Q307" s="1" t="e">
        <f aca="false">IF(ISBLANK(INDEX(big_daily_table,MATCH(DATE(Q$5,$J307,$I307),daily_dates,0),MATCH($B$3,daily_items,0))),NA(),INDEX(big_daily_table,MATCH(DATE(Q$5,$J307,$I307),daily_dates,0),MATCH($B$3,daily_items,0)))</f>
        <v>#N/A</v>
      </c>
      <c r="R307" s="1" t="e">
        <f aca="false">IF(ISBLANK(INDEX(big_daily_table,MATCH(DATE(R$5,$J307,$I307),daily_dates,0),MATCH($B$3,daily_items,0))),NA(),INDEX(big_daily_table,MATCH(DATE(R$5,$J307,$I307),daily_dates,0),MATCH($B$3,daily_items,0)))</f>
        <v>#N/A</v>
      </c>
      <c r="S307" s="1" t="e">
        <f aca="false">IF(ISBLANK(INDEX(big_daily_table,MATCH(DATE(S$5,$J307,$I307),daily_dates,0),MATCH($B$3,daily_items,0))),NA(),INDEX(big_daily_table,MATCH(DATE(S$5,$J307,$I307),daily_dates,0),MATCH($B$3,daily_items,0)))</f>
        <v>#N/A</v>
      </c>
      <c r="T307" s="1" t="e">
        <f aca="false">IF(ISBLANK(INDEX(big_daily_table,MATCH(DATE(T$5,$J307,$I307),daily_dates,0),MATCH($B$3,daily_items,0))),NA(),INDEX(big_daily_table,MATCH(DATE(T$5,$J307,$I307),daily_dates,0),MATCH($B$3,daily_items,0)))</f>
        <v>#N/A</v>
      </c>
      <c r="U307" s="1" t="e">
        <f aca="false">IF(ISBLANK(INDEX(big_daily_table,MATCH(DATE(U$5,$J307,$I307),daily_dates,0),MATCH($B$3,daily_items,0))),NA(),INDEX(big_daily_table,MATCH(DATE(U$5,$J307,$I307),daily_dates,0),MATCH($B$3,daily_items,0)))</f>
        <v>#N/A</v>
      </c>
      <c r="V307" s="1" t="e">
        <f aca="false">IF(ISBLANK(INDEX(big_daily_table,MATCH(DATE(V$5,$J307,$I307),daily_dates,0),MATCH($B$3,daily_items,0))),NA(),INDEX(big_daily_table,MATCH(DATE(V$5,$J307,$I307),daily_dates,0),MATCH($B$3,daily_items,0)))</f>
        <v>#N/A</v>
      </c>
      <c r="W307" s="1" t="e">
        <f aca="false">IF(ISBLANK(INDEX(big_daily_table,MATCH(DATE(W$5,$J307,$I307),daily_dates,0),MATCH($B$3,daily_items,0))),NA(),INDEX(big_daily_table,MATCH(DATE(W$5,$J307,$I307),daily_dates,0),MATCH($B$3,daily_items,0)))</f>
        <v>#N/A</v>
      </c>
      <c r="X307" s="1" t="e">
        <f aca="false">IF(ISBLANK(INDEX(big_daily_table,MATCH(DATE(X$5,$J307,$I307),daily_dates,0),MATCH($B$3,daily_items,0))),NA(),INDEX(big_daily_table,MATCH(DATE(X$5,$J307,$I307),daily_dates,0),MATCH($B$3,daily_items,0)))</f>
        <v>#N/A</v>
      </c>
      <c r="Y307" s="1" t="e">
        <f aca="false">IF(ISBLANK(INDEX(big_daily_table,MATCH(DATE(Y$5,$J307,$I307),daily_dates,0),MATCH($B$3,daily_items,0))),NA(),INDEX(big_daily_table,MATCH(DATE(Y$5,$J307,$I307),daily_dates,0),MATCH($B$3,daily_items,0)))</f>
        <v>#N/A</v>
      </c>
      <c r="Z307" s="1" t="n">
        <f aca="true">_xlfn.AGGREGATE(5,6,OFFSET($R$5,H307,0,1,$J$2))</f>
        <v>0</v>
      </c>
      <c r="AA307" s="1" t="n">
        <f aca="true">_xlfn.AGGREGATE(4,6,OFFSET($R$5,H307,0,1,$J$2))</f>
        <v>0</v>
      </c>
      <c r="AB307" s="1" t="n">
        <f aca="false">AA307-Z307</f>
        <v>0</v>
      </c>
      <c r="AC307" s="1" t="e">
        <f aca="true">_xlfn.AGGREGATE(1,6,OFFSET($R$5,H307,0,1,$J$2))</f>
        <v>#DIV/0!</v>
      </c>
    </row>
    <row r="308" customFormat="false" ht="14.25" hidden="false" customHeight="false" outlineLevel="0" collapsed="false">
      <c r="H308" s="1" t="n">
        <f aca="false">H307+1</f>
        <v>303</v>
      </c>
      <c r="I308" s="1" t="n">
        <f aca="false">DAY(K308)</f>
        <v>29</v>
      </c>
      <c r="J308" s="1" t="n">
        <f aca="false">MONTH(K308)</f>
        <v>10</v>
      </c>
      <c r="K308" s="23" t="n">
        <f aca="false">K307+1</f>
        <v>36828</v>
      </c>
      <c r="L308" s="24" t="n">
        <f aca="true">IF(TODAY()&lt;DATE($N$5,J308,I308),1000000,-1000000)</f>
        <v>1000000</v>
      </c>
      <c r="M308" s="1" t="e">
        <f aca="false">IF(K308&gt;0,INDEX(big_daily_table,MATCH(DATE(N$5,$J308,$I308),daily_dates,0),MATCH($B$3,daily_items,0)),NA())</f>
        <v>#N/A</v>
      </c>
      <c r="N308" s="1" t="e">
        <f aca="false">IF(L308&lt;0,INDEX(big_daily_table,MATCH(DATE(N$5,$J308,$I308),daily_dates,0),MATCH($B$3,daily_items,0)),NA())</f>
        <v>#N/A</v>
      </c>
      <c r="O308" s="1" t="e">
        <f aca="false">IF(ISBLANK(INDEX(big_daily_table,MATCH(DATE(O$5,$J308,$I308),daily_dates,0),MATCH($B$3,daily_items,0))),NA(),INDEX(big_daily_table,MATCH(DATE(O$5,$J308,$I308),daily_dates,0),MATCH($B$3,daily_items,0)))</f>
        <v>#N/A</v>
      </c>
      <c r="P308" s="1" t="e">
        <f aca="false">IF(ISBLANK(INDEX(big_daily_table,MATCH(DATE(P$5,$J308,$I308),daily_dates,0),MATCH($B$3,daily_items,0))),NA(),INDEX(big_daily_table,MATCH(DATE(P$5,$J308,$I308),daily_dates,0),MATCH($B$3,daily_items,0)))</f>
        <v>#N/A</v>
      </c>
      <c r="Q308" s="1" t="e">
        <f aca="false">IF(ISBLANK(INDEX(big_daily_table,MATCH(DATE(Q$5,$J308,$I308),daily_dates,0),MATCH($B$3,daily_items,0))),NA(),INDEX(big_daily_table,MATCH(DATE(Q$5,$J308,$I308),daily_dates,0),MATCH($B$3,daily_items,0)))</f>
        <v>#N/A</v>
      </c>
      <c r="R308" s="1" t="e">
        <f aca="false">IF(ISBLANK(INDEX(big_daily_table,MATCH(DATE(R$5,$J308,$I308),daily_dates,0),MATCH($B$3,daily_items,0))),NA(),INDEX(big_daily_table,MATCH(DATE(R$5,$J308,$I308),daily_dates,0),MATCH($B$3,daily_items,0)))</f>
        <v>#N/A</v>
      </c>
      <c r="S308" s="1" t="e">
        <f aca="false">IF(ISBLANK(INDEX(big_daily_table,MATCH(DATE(S$5,$J308,$I308),daily_dates,0),MATCH($B$3,daily_items,0))),NA(),INDEX(big_daily_table,MATCH(DATE(S$5,$J308,$I308),daily_dates,0),MATCH($B$3,daily_items,0)))</f>
        <v>#N/A</v>
      </c>
      <c r="T308" s="1" t="e">
        <f aca="false">IF(ISBLANK(INDEX(big_daily_table,MATCH(DATE(T$5,$J308,$I308),daily_dates,0),MATCH($B$3,daily_items,0))),NA(),INDEX(big_daily_table,MATCH(DATE(T$5,$J308,$I308),daily_dates,0),MATCH($B$3,daily_items,0)))</f>
        <v>#N/A</v>
      </c>
      <c r="U308" s="1" t="e">
        <f aca="false">IF(ISBLANK(INDEX(big_daily_table,MATCH(DATE(U$5,$J308,$I308),daily_dates,0),MATCH($B$3,daily_items,0))),NA(),INDEX(big_daily_table,MATCH(DATE(U$5,$J308,$I308),daily_dates,0),MATCH($B$3,daily_items,0)))</f>
        <v>#N/A</v>
      </c>
      <c r="V308" s="1" t="e">
        <f aca="false">IF(ISBLANK(INDEX(big_daily_table,MATCH(DATE(V$5,$J308,$I308),daily_dates,0),MATCH($B$3,daily_items,0))),NA(),INDEX(big_daily_table,MATCH(DATE(V$5,$J308,$I308),daily_dates,0),MATCH($B$3,daily_items,0)))</f>
        <v>#N/A</v>
      </c>
      <c r="W308" s="1" t="e">
        <f aca="false">IF(ISBLANK(INDEX(big_daily_table,MATCH(DATE(W$5,$J308,$I308),daily_dates,0),MATCH($B$3,daily_items,0))),NA(),INDEX(big_daily_table,MATCH(DATE(W$5,$J308,$I308),daily_dates,0),MATCH($B$3,daily_items,0)))</f>
        <v>#N/A</v>
      </c>
      <c r="X308" s="1" t="e">
        <f aca="false">IF(ISBLANK(INDEX(big_daily_table,MATCH(DATE(X$5,$J308,$I308),daily_dates,0),MATCH($B$3,daily_items,0))),NA(),INDEX(big_daily_table,MATCH(DATE(X$5,$J308,$I308),daily_dates,0),MATCH($B$3,daily_items,0)))</f>
        <v>#N/A</v>
      </c>
      <c r="Y308" s="1" t="e">
        <f aca="false">IF(ISBLANK(INDEX(big_daily_table,MATCH(DATE(Y$5,$J308,$I308),daily_dates,0),MATCH($B$3,daily_items,0))),NA(),INDEX(big_daily_table,MATCH(DATE(Y$5,$J308,$I308),daily_dates,0),MATCH($B$3,daily_items,0)))</f>
        <v>#N/A</v>
      </c>
      <c r="Z308" s="1" t="n">
        <f aca="true">_xlfn.AGGREGATE(5,6,OFFSET($R$5,H308,0,1,$J$2))</f>
        <v>0</v>
      </c>
      <c r="AA308" s="1" t="n">
        <f aca="true">_xlfn.AGGREGATE(4,6,OFFSET($R$5,H308,0,1,$J$2))</f>
        <v>0</v>
      </c>
      <c r="AB308" s="1" t="n">
        <f aca="false">AA308-Z308</f>
        <v>0</v>
      </c>
      <c r="AC308" s="1" t="e">
        <f aca="true">_xlfn.AGGREGATE(1,6,OFFSET($R$5,H308,0,1,$J$2))</f>
        <v>#DIV/0!</v>
      </c>
    </row>
    <row r="309" customFormat="false" ht="14.25" hidden="false" customHeight="false" outlineLevel="0" collapsed="false">
      <c r="H309" s="1" t="n">
        <f aca="false">H308+1</f>
        <v>304</v>
      </c>
      <c r="I309" s="1" t="n">
        <f aca="false">DAY(K309)</f>
        <v>30</v>
      </c>
      <c r="J309" s="1" t="n">
        <f aca="false">MONTH(K309)</f>
        <v>10</v>
      </c>
      <c r="K309" s="23" t="n">
        <f aca="false">K308+1</f>
        <v>36829</v>
      </c>
      <c r="L309" s="24" t="n">
        <f aca="true">IF(TODAY()&lt;DATE($N$5,J309,I309),1000000,-1000000)</f>
        <v>1000000</v>
      </c>
      <c r="M309" s="1" t="e">
        <f aca="false">IF(K309&gt;0,INDEX(big_daily_table,MATCH(DATE(N$5,$J309,$I309),daily_dates,0),MATCH($B$3,daily_items,0)),NA())</f>
        <v>#N/A</v>
      </c>
      <c r="N309" s="1" t="e">
        <f aca="false">IF(L309&lt;0,INDEX(big_daily_table,MATCH(DATE(N$5,$J309,$I309),daily_dates,0),MATCH($B$3,daily_items,0)),NA())</f>
        <v>#N/A</v>
      </c>
      <c r="O309" s="1" t="e">
        <f aca="false">IF(ISBLANK(INDEX(big_daily_table,MATCH(DATE(O$5,$J309,$I309),daily_dates,0),MATCH($B$3,daily_items,0))),NA(),INDEX(big_daily_table,MATCH(DATE(O$5,$J309,$I309),daily_dates,0),MATCH($B$3,daily_items,0)))</f>
        <v>#N/A</v>
      </c>
      <c r="P309" s="1" t="e">
        <f aca="false">IF(ISBLANK(INDEX(big_daily_table,MATCH(DATE(P$5,$J309,$I309),daily_dates,0),MATCH($B$3,daily_items,0))),NA(),INDEX(big_daily_table,MATCH(DATE(P$5,$J309,$I309),daily_dates,0),MATCH($B$3,daily_items,0)))</f>
        <v>#N/A</v>
      </c>
      <c r="Q309" s="1" t="e">
        <f aca="false">IF(ISBLANK(INDEX(big_daily_table,MATCH(DATE(Q$5,$J309,$I309),daily_dates,0),MATCH($B$3,daily_items,0))),NA(),INDEX(big_daily_table,MATCH(DATE(Q$5,$J309,$I309),daily_dates,0),MATCH($B$3,daily_items,0)))</f>
        <v>#N/A</v>
      </c>
      <c r="R309" s="1" t="e">
        <f aca="false">IF(ISBLANK(INDEX(big_daily_table,MATCH(DATE(R$5,$J309,$I309),daily_dates,0),MATCH($B$3,daily_items,0))),NA(),INDEX(big_daily_table,MATCH(DATE(R$5,$J309,$I309),daily_dates,0),MATCH($B$3,daily_items,0)))</f>
        <v>#N/A</v>
      </c>
      <c r="S309" s="1" t="e">
        <f aca="false">IF(ISBLANK(INDEX(big_daily_table,MATCH(DATE(S$5,$J309,$I309),daily_dates,0),MATCH($B$3,daily_items,0))),NA(),INDEX(big_daily_table,MATCH(DATE(S$5,$J309,$I309),daily_dates,0),MATCH($B$3,daily_items,0)))</f>
        <v>#N/A</v>
      </c>
      <c r="T309" s="1" t="e">
        <f aca="false">IF(ISBLANK(INDEX(big_daily_table,MATCH(DATE(T$5,$J309,$I309),daily_dates,0),MATCH($B$3,daily_items,0))),NA(),INDEX(big_daily_table,MATCH(DATE(T$5,$J309,$I309),daily_dates,0),MATCH($B$3,daily_items,0)))</f>
        <v>#N/A</v>
      </c>
      <c r="U309" s="1" t="e">
        <f aca="false">IF(ISBLANK(INDEX(big_daily_table,MATCH(DATE(U$5,$J309,$I309),daily_dates,0),MATCH($B$3,daily_items,0))),NA(),INDEX(big_daily_table,MATCH(DATE(U$5,$J309,$I309),daily_dates,0),MATCH($B$3,daily_items,0)))</f>
        <v>#N/A</v>
      </c>
      <c r="V309" s="1" t="e">
        <f aca="false">IF(ISBLANK(INDEX(big_daily_table,MATCH(DATE(V$5,$J309,$I309),daily_dates,0),MATCH($B$3,daily_items,0))),NA(),INDEX(big_daily_table,MATCH(DATE(V$5,$J309,$I309),daily_dates,0),MATCH($B$3,daily_items,0)))</f>
        <v>#N/A</v>
      </c>
      <c r="W309" s="1" t="e">
        <f aca="false">IF(ISBLANK(INDEX(big_daily_table,MATCH(DATE(W$5,$J309,$I309),daily_dates,0),MATCH($B$3,daily_items,0))),NA(),INDEX(big_daily_table,MATCH(DATE(W$5,$J309,$I309),daily_dates,0),MATCH($B$3,daily_items,0)))</f>
        <v>#N/A</v>
      </c>
      <c r="X309" s="1" t="e">
        <f aca="false">IF(ISBLANK(INDEX(big_daily_table,MATCH(DATE(X$5,$J309,$I309),daily_dates,0),MATCH($B$3,daily_items,0))),NA(),INDEX(big_daily_table,MATCH(DATE(X$5,$J309,$I309),daily_dates,0),MATCH($B$3,daily_items,0)))</f>
        <v>#N/A</v>
      </c>
      <c r="Y309" s="1" t="e">
        <f aca="false">IF(ISBLANK(INDEX(big_daily_table,MATCH(DATE(Y$5,$J309,$I309),daily_dates,0),MATCH($B$3,daily_items,0))),NA(),INDEX(big_daily_table,MATCH(DATE(Y$5,$J309,$I309),daily_dates,0),MATCH($B$3,daily_items,0)))</f>
        <v>#N/A</v>
      </c>
      <c r="Z309" s="1" t="n">
        <f aca="true">_xlfn.AGGREGATE(5,6,OFFSET($R$5,H309,0,1,$J$2))</f>
        <v>0</v>
      </c>
      <c r="AA309" s="1" t="n">
        <f aca="true">_xlfn.AGGREGATE(4,6,OFFSET($R$5,H309,0,1,$J$2))</f>
        <v>0</v>
      </c>
      <c r="AB309" s="1" t="n">
        <f aca="false">AA309-Z309</f>
        <v>0</v>
      </c>
      <c r="AC309" s="1" t="e">
        <f aca="true">_xlfn.AGGREGATE(1,6,OFFSET($R$5,H309,0,1,$J$2))</f>
        <v>#DIV/0!</v>
      </c>
    </row>
    <row r="310" customFormat="false" ht="14.25" hidden="false" customHeight="false" outlineLevel="0" collapsed="false">
      <c r="H310" s="1" t="n">
        <f aca="false">H309+1</f>
        <v>305</v>
      </c>
      <c r="I310" s="1" t="n">
        <f aca="false">DAY(K310)</f>
        <v>31</v>
      </c>
      <c r="J310" s="1" t="n">
        <f aca="false">MONTH(K310)</f>
        <v>10</v>
      </c>
      <c r="K310" s="23" t="n">
        <f aca="false">K309+1</f>
        <v>36830</v>
      </c>
      <c r="L310" s="24" t="n">
        <f aca="true">IF(TODAY()&lt;DATE($N$5,J310,I310),1000000,-1000000)</f>
        <v>1000000</v>
      </c>
      <c r="M310" s="1" t="e">
        <f aca="false">IF(K310&gt;0,INDEX(big_daily_table,MATCH(DATE(N$5,$J310,$I310),daily_dates,0),MATCH($B$3,daily_items,0)),NA())</f>
        <v>#N/A</v>
      </c>
      <c r="N310" s="1" t="e">
        <f aca="false">IF(L310&lt;0,INDEX(big_daily_table,MATCH(DATE(N$5,$J310,$I310),daily_dates,0),MATCH($B$3,daily_items,0)),NA())</f>
        <v>#N/A</v>
      </c>
      <c r="O310" s="1" t="e">
        <f aca="false">IF(ISBLANK(INDEX(big_daily_table,MATCH(DATE(O$5,$J310,$I310),daily_dates,0),MATCH($B$3,daily_items,0))),NA(),INDEX(big_daily_table,MATCH(DATE(O$5,$J310,$I310),daily_dates,0),MATCH($B$3,daily_items,0)))</f>
        <v>#N/A</v>
      </c>
      <c r="P310" s="1" t="e">
        <f aca="false">IF(ISBLANK(INDEX(big_daily_table,MATCH(DATE(P$5,$J310,$I310),daily_dates,0),MATCH($B$3,daily_items,0))),NA(),INDEX(big_daily_table,MATCH(DATE(P$5,$J310,$I310),daily_dates,0),MATCH($B$3,daily_items,0)))</f>
        <v>#N/A</v>
      </c>
      <c r="Q310" s="1" t="e">
        <f aca="false">IF(ISBLANK(INDEX(big_daily_table,MATCH(DATE(Q$5,$J310,$I310),daily_dates,0),MATCH($B$3,daily_items,0))),NA(),INDEX(big_daily_table,MATCH(DATE(Q$5,$J310,$I310),daily_dates,0),MATCH($B$3,daily_items,0)))</f>
        <v>#N/A</v>
      </c>
      <c r="R310" s="1" t="e">
        <f aca="false">IF(ISBLANK(INDEX(big_daily_table,MATCH(DATE(R$5,$J310,$I310),daily_dates,0),MATCH($B$3,daily_items,0))),NA(),INDEX(big_daily_table,MATCH(DATE(R$5,$J310,$I310),daily_dates,0),MATCH($B$3,daily_items,0)))</f>
        <v>#N/A</v>
      </c>
      <c r="S310" s="1" t="e">
        <f aca="false">IF(ISBLANK(INDEX(big_daily_table,MATCH(DATE(S$5,$J310,$I310),daily_dates,0),MATCH($B$3,daily_items,0))),NA(),INDEX(big_daily_table,MATCH(DATE(S$5,$J310,$I310),daily_dates,0),MATCH($B$3,daily_items,0)))</f>
        <v>#N/A</v>
      </c>
      <c r="T310" s="1" t="e">
        <f aca="false">IF(ISBLANK(INDEX(big_daily_table,MATCH(DATE(T$5,$J310,$I310),daily_dates,0),MATCH($B$3,daily_items,0))),NA(),INDEX(big_daily_table,MATCH(DATE(T$5,$J310,$I310),daily_dates,0),MATCH($B$3,daily_items,0)))</f>
        <v>#N/A</v>
      </c>
      <c r="U310" s="1" t="e">
        <f aca="false">IF(ISBLANK(INDEX(big_daily_table,MATCH(DATE(U$5,$J310,$I310),daily_dates,0),MATCH($B$3,daily_items,0))),NA(),INDEX(big_daily_table,MATCH(DATE(U$5,$J310,$I310),daily_dates,0),MATCH($B$3,daily_items,0)))</f>
        <v>#N/A</v>
      </c>
      <c r="V310" s="1" t="e">
        <f aca="false">IF(ISBLANK(INDEX(big_daily_table,MATCH(DATE(V$5,$J310,$I310),daily_dates,0),MATCH($B$3,daily_items,0))),NA(),INDEX(big_daily_table,MATCH(DATE(V$5,$J310,$I310),daily_dates,0),MATCH($B$3,daily_items,0)))</f>
        <v>#N/A</v>
      </c>
      <c r="W310" s="1" t="e">
        <f aca="false">IF(ISBLANK(INDEX(big_daily_table,MATCH(DATE(W$5,$J310,$I310),daily_dates,0),MATCH($B$3,daily_items,0))),NA(),INDEX(big_daily_table,MATCH(DATE(W$5,$J310,$I310),daily_dates,0),MATCH($B$3,daily_items,0)))</f>
        <v>#N/A</v>
      </c>
      <c r="X310" s="1" t="e">
        <f aca="false">IF(ISBLANK(INDEX(big_daily_table,MATCH(DATE(X$5,$J310,$I310),daily_dates,0),MATCH($B$3,daily_items,0))),NA(),INDEX(big_daily_table,MATCH(DATE(X$5,$J310,$I310),daily_dates,0),MATCH($B$3,daily_items,0)))</f>
        <v>#N/A</v>
      </c>
      <c r="Y310" s="1" t="e">
        <f aca="false">IF(ISBLANK(INDEX(big_daily_table,MATCH(DATE(Y$5,$J310,$I310),daily_dates,0),MATCH($B$3,daily_items,0))),NA(),INDEX(big_daily_table,MATCH(DATE(Y$5,$J310,$I310),daily_dates,0),MATCH($B$3,daily_items,0)))</f>
        <v>#N/A</v>
      </c>
      <c r="Z310" s="1" t="n">
        <f aca="true">_xlfn.AGGREGATE(5,6,OFFSET($R$5,H310,0,1,$J$2))</f>
        <v>0</v>
      </c>
      <c r="AA310" s="1" t="n">
        <f aca="true">_xlfn.AGGREGATE(4,6,OFFSET($R$5,H310,0,1,$J$2))</f>
        <v>0</v>
      </c>
      <c r="AB310" s="1" t="n">
        <f aca="false">AA310-Z310</f>
        <v>0</v>
      </c>
      <c r="AC310" s="1" t="e">
        <f aca="true">_xlfn.AGGREGATE(1,6,OFFSET($R$5,H310,0,1,$J$2))</f>
        <v>#DIV/0!</v>
      </c>
    </row>
    <row r="311" customFormat="false" ht="14.25" hidden="false" customHeight="false" outlineLevel="0" collapsed="false">
      <c r="H311" s="1" t="n">
        <f aca="false">H310+1</f>
        <v>306</v>
      </c>
      <c r="I311" s="1" t="n">
        <f aca="false">DAY(K311)</f>
        <v>1</v>
      </c>
      <c r="J311" s="1" t="n">
        <f aca="false">MONTH(K311)</f>
        <v>11</v>
      </c>
      <c r="K311" s="23" t="n">
        <f aca="false">K310+1</f>
        <v>36831</v>
      </c>
      <c r="L311" s="24" t="n">
        <f aca="true">IF(TODAY()&lt;DATE($N$5,J311,I311),1000000,-1000000)</f>
        <v>1000000</v>
      </c>
      <c r="M311" s="1" t="e">
        <f aca="false">IF(K311&gt;0,INDEX(big_daily_table,MATCH(DATE(N$5,$J311,$I311),daily_dates,0),MATCH($B$3,daily_items,0)),NA())</f>
        <v>#N/A</v>
      </c>
      <c r="N311" s="1" t="e">
        <f aca="false">IF(L311&lt;0,INDEX(big_daily_table,MATCH(DATE(N$5,$J311,$I311),daily_dates,0),MATCH($B$3,daily_items,0)),NA())</f>
        <v>#N/A</v>
      </c>
      <c r="O311" s="1" t="e">
        <f aca="false">IF(ISBLANK(INDEX(big_daily_table,MATCH(DATE(O$5,$J311,$I311),daily_dates,0),MATCH($B$3,daily_items,0))),NA(),INDEX(big_daily_table,MATCH(DATE(O$5,$J311,$I311),daily_dates,0),MATCH($B$3,daily_items,0)))</f>
        <v>#N/A</v>
      </c>
      <c r="P311" s="1" t="e">
        <f aca="false">IF(ISBLANK(INDEX(big_daily_table,MATCH(DATE(P$5,$J311,$I311),daily_dates,0),MATCH($B$3,daily_items,0))),NA(),INDEX(big_daily_table,MATCH(DATE(P$5,$J311,$I311),daily_dates,0),MATCH($B$3,daily_items,0)))</f>
        <v>#N/A</v>
      </c>
      <c r="Q311" s="1" t="e">
        <f aca="false">IF(ISBLANK(INDEX(big_daily_table,MATCH(DATE(Q$5,$J311,$I311),daily_dates,0),MATCH($B$3,daily_items,0))),NA(),INDEX(big_daily_table,MATCH(DATE(Q$5,$J311,$I311),daily_dates,0),MATCH($B$3,daily_items,0)))</f>
        <v>#N/A</v>
      </c>
      <c r="R311" s="1" t="e">
        <f aca="false">IF(ISBLANK(INDEX(big_daily_table,MATCH(DATE(R$5,$J311,$I311),daily_dates,0),MATCH($B$3,daily_items,0))),NA(),INDEX(big_daily_table,MATCH(DATE(R$5,$J311,$I311),daily_dates,0),MATCH($B$3,daily_items,0)))</f>
        <v>#N/A</v>
      </c>
      <c r="S311" s="1" t="e">
        <f aca="false">IF(ISBLANK(INDEX(big_daily_table,MATCH(DATE(S$5,$J311,$I311),daily_dates,0),MATCH($B$3,daily_items,0))),NA(),INDEX(big_daily_table,MATCH(DATE(S$5,$J311,$I311),daily_dates,0),MATCH($B$3,daily_items,0)))</f>
        <v>#N/A</v>
      </c>
      <c r="T311" s="1" t="e">
        <f aca="false">IF(ISBLANK(INDEX(big_daily_table,MATCH(DATE(T$5,$J311,$I311),daily_dates,0),MATCH($B$3,daily_items,0))),NA(),INDEX(big_daily_table,MATCH(DATE(T$5,$J311,$I311),daily_dates,0),MATCH($B$3,daily_items,0)))</f>
        <v>#N/A</v>
      </c>
      <c r="U311" s="1" t="e">
        <f aca="false">IF(ISBLANK(INDEX(big_daily_table,MATCH(DATE(U$5,$J311,$I311),daily_dates,0),MATCH($B$3,daily_items,0))),NA(),INDEX(big_daily_table,MATCH(DATE(U$5,$J311,$I311),daily_dates,0),MATCH($B$3,daily_items,0)))</f>
        <v>#N/A</v>
      </c>
      <c r="V311" s="1" t="e">
        <f aca="false">IF(ISBLANK(INDEX(big_daily_table,MATCH(DATE(V$5,$J311,$I311),daily_dates,0),MATCH($B$3,daily_items,0))),NA(),INDEX(big_daily_table,MATCH(DATE(V$5,$J311,$I311),daily_dates,0),MATCH($B$3,daily_items,0)))</f>
        <v>#N/A</v>
      </c>
      <c r="W311" s="1" t="e">
        <f aca="false">IF(ISBLANK(INDEX(big_daily_table,MATCH(DATE(W$5,$J311,$I311),daily_dates,0),MATCH($B$3,daily_items,0))),NA(),INDEX(big_daily_table,MATCH(DATE(W$5,$J311,$I311),daily_dates,0),MATCH($B$3,daily_items,0)))</f>
        <v>#N/A</v>
      </c>
      <c r="X311" s="1" t="e">
        <f aca="false">IF(ISBLANK(INDEX(big_daily_table,MATCH(DATE(X$5,$J311,$I311),daily_dates,0),MATCH($B$3,daily_items,0))),NA(),INDEX(big_daily_table,MATCH(DATE(X$5,$J311,$I311),daily_dates,0),MATCH($B$3,daily_items,0)))</f>
        <v>#N/A</v>
      </c>
      <c r="Y311" s="1" t="e">
        <f aca="false">IF(ISBLANK(INDEX(big_daily_table,MATCH(DATE(Y$5,$J311,$I311),daily_dates,0),MATCH($B$3,daily_items,0))),NA(),INDEX(big_daily_table,MATCH(DATE(Y$5,$J311,$I311),daily_dates,0),MATCH($B$3,daily_items,0)))</f>
        <v>#N/A</v>
      </c>
      <c r="Z311" s="1" t="n">
        <f aca="true">_xlfn.AGGREGATE(5,6,OFFSET($R$5,H311,0,1,$J$2))</f>
        <v>0</v>
      </c>
      <c r="AA311" s="1" t="n">
        <f aca="true">_xlfn.AGGREGATE(4,6,OFFSET($R$5,H311,0,1,$J$2))</f>
        <v>0</v>
      </c>
      <c r="AB311" s="1" t="n">
        <f aca="false">AA311-Z311</f>
        <v>0</v>
      </c>
      <c r="AC311" s="1" t="e">
        <f aca="true">_xlfn.AGGREGATE(1,6,OFFSET($R$5,H311,0,1,$J$2))</f>
        <v>#DIV/0!</v>
      </c>
    </row>
    <row r="312" customFormat="false" ht="14.25" hidden="false" customHeight="false" outlineLevel="0" collapsed="false">
      <c r="H312" s="1" t="n">
        <f aca="false">H311+1</f>
        <v>307</v>
      </c>
      <c r="I312" s="1" t="n">
        <f aca="false">DAY(K312)</f>
        <v>2</v>
      </c>
      <c r="J312" s="1" t="n">
        <f aca="false">MONTH(K312)</f>
        <v>11</v>
      </c>
      <c r="K312" s="23" t="n">
        <f aca="false">K311+1</f>
        <v>36832</v>
      </c>
      <c r="L312" s="24" t="n">
        <f aca="true">IF(TODAY()&lt;DATE($N$5,J312,I312),1000000,-1000000)</f>
        <v>1000000</v>
      </c>
      <c r="M312" s="1" t="e">
        <f aca="false">IF(K312&gt;0,INDEX(big_daily_table,MATCH(DATE(N$5,$J312,$I312),daily_dates,0),MATCH($B$3,daily_items,0)),NA())</f>
        <v>#N/A</v>
      </c>
      <c r="N312" s="1" t="e">
        <f aca="false">IF(L312&lt;0,INDEX(big_daily_table,MATCH(DATE(N$5,$J312,$I312),daily_dates,0),MATCH($B$3,daily_items,0)),NA())</f>
        <v>#N/A</v>
      </c>
      <c r="O312" s="1" t="e">
        <f aca="false">IF(ISBLANK(INDEX(big_daily_table,MATCH(DATE(O$5,$J312,$I312),daily_dates,0),MATCH($B$3,daily_items,0))),NA(),INDEX(big_daily_table,MATCH(DATE(O$5,$J312,$I312),daily_dates,0),MATCH($B$3,daily_items,0)))</f>
        <v>#N/A</v>
      </c>
      <c r="P312" s="1" t="e">
        <f aca="false">IF(ISBLANK(INDEX(big_daily_table,MATCH(DATE(P$5,$J312,$I312),daily_dates,0),MATCH($B$3,daily_items,0))),NA(),INDEX(big_daily_table,MATCH(DATE(P$5,$J312,$I312),daily_dates,0),MATCH($B$3,daily_items,0)))</f>
        <v>#N/A</v>
      </c>
      <c r="Q312" s="1" t="e">
        <f aca="false">IF(ISBLANK(INDEX(big_daily_table,MATCH(DATE(Q$5,$J312,$I312),daily_dates,0),MATCH($B$3,daily_items,0))),NA(),INDEX(big_daily_table,MATCH(DATE(Q$5,$J312,$I312),daily_dates,0),MATCH($B$3,daily_items,0)))</f>
        <v>#N/A</v>
      </c>
      <c r="R312" s="1" t="e">
        <f aca="false">IF(ISBLANK(INDEX(big_daily_table,MATCH(DATE(R$5,$J312,$I312),daily_dates,0),MATCH($B$3,daily_items,0))),NA(),INDEX(big_daily_table,MATCH(DATE(R$5,$J312,$I312),daily_dates,0),MATCH($B$3,daily_items,0)))</f>
        <v>#N/A</v>
      </c>
      <c r="S312" s="1" t="e">
        <f aca="false">IF(ISBLANK(INDEX(big_daily_table,MATCH(DATE(S$5,$J312,$I312),daily_dates,0),MATCH($B$3,daily_items,0))),NA(),INDEX(big_daily_table,MATCH(DATE(S$5,$J312,$I312),daily_dates,0),MATCH($B$3,daily_items,0)))</f>
        <v>#N/A</v>
      </c>
      <c r="T312" s="1" t="e">
        <f aca="false">IF(ISBLANK(INDEX(big_daily_table,MATCH(DATE(T$5,$J312,$I312),daily_dates,0),MATCH($B$3,daily_items,0))),NA(),INDEX(big_daily_table,MATCH(DATE(T$5,$J312,$I312),daily_dates,0),MATCH($B$3,daily_items,0)))</f>
        <v>#N/A</v>
      </c>
      <c r="U312" s="1" t="e">
        <f aca="false">IF(ISBLANK(INDEX(big_daily_table,MATCH(DATE(U$5,$J312,$I312),daily_dates,0),MATCH($B$3,daily_items,0))),NA(),INDEX(big_daily_table,MATCH(DATE(U$5,$J312,$I312),daily_dates,0),MATCH($B$3,daily_items,0)))</f>
        <v>#N/A</v>
      </c>
      <c r="V312" s="1" t="e">
        <f aca="false">IF(ISBLANK(INDEX(big_daily_table,MATCH(DATE(V$5,$J312,$I312),daily_dates,0),MATCH($B$3,daily_items,0))),NA(),INDEX(big_daily_table,MATCH(DATE(V$5,$J312,$I312),daily_dates,0),MATCH($B$3,daily_items,0)))</f>
        <v>#N/A</v>
      </c>
      <c r="W312" s="1" t="e">
        <f aca="false">IF(ISBLANK(INDEX(big_daily_table,MATCH(DATE(W$5,$J312,$I312),daily_dates,0),MATCH($B$3,daily_items,0))),NA(),INDEX(big_daily_table,MATCH(DATE(W$5,$J312,$I312),daily_dates,0),MATCH($B$3,daily_items,0)))</f>
        <v>#N/A</v>
      </c>
      <c r="X312" s="1" t="e">
        <f aca="false">IF(ISBLANK(INDEX(big_daily_table,MATCH(DATE(X$5,$J312,$I312),daily_dates,0),MATCH($B$3,daily_items,0))),NA(),INDEX(big_daily_table,MATCH(DATE(X$5,$J312,$I312),daily_dates,0),MATCH($B$3,daily_items,0)))</f>
        <v>#N/A</v>
      </c>
      <c r="Y312" s="1" t="e">
        <f aca="false">IF(ISBLANK(INDEX(big_daily_table,MATCH(DATE(Y$5,$J312,$I312),daily_dates,0),MATCH($B$3,daily_items,0))),NA(),INDEX(big_daily_table,MATCH(DATE(Y$5,$J312,$I312),daily_dates,0),MATCH($B$3,daily_items,0)))</f>
        <v>#N/A</v>
      </c>
      <c r="Z312" s="1" t="n">
        <f aca="true">_xlfn.AGGREGATE(5,6,OFFSET($R$5,H312,0,1,$J$2))</f>
        <v>0</v>
      </c>
      <c r="AA312" s="1" t="n">
        <f aca="true">_xlfn.AGGREGATE(4,6,OFFSET($R$5,H312,0,1,$J$2))</f>
        <v>0</v>
      </c>
      <c r="AB312" s="1" t="n">
        <f aca="false">AA312-Z312</f>
        <v>0</v>
      </c>
      <c r="AC312" s="1" t="e">
        <f aca="true">_xlfn.AGGREGATE(1,6,OFFSET($R$5,H312,0,1,$J$2))</f>
        <v>#DIV/0!</v>
      </c>
    </row>
    <row r="313" customFormat="false" ht="14.25" hidden="false" customHeight="false" outlineLevel="0" collapsed="false">
      <c r="H313" s="1" t="n">
        <f aca="false">H312+1</f>
        <v>308</v>
      </c>
      <c r="I313" s="1" t="n">
        <f aca="false">DAY(K313)</f>
        <v>3</v>
      </c>
      <c r="J313" s="1" t="n">
        <f aca="false">MONTH(K313)</f>
        <v>11</v>
      </c>
      <c r="K313" s="23" t="n">
        <f aca="false">K312+1</f>
        <v>36833</v>
      </c>
      <c r="L313" s="24" t="n">
        <f aca="true">IF(TODAY()&lt;DATE($N$5,J313,I313),1000000,-1000000)</f>
        <v>1000000</v>
      </c>
      <c r="M313" s="1" t="e">
        <f aca="false">IF(K313&gt;0,INDEX(big_daily_table,MATCH(DATE(N$5,$J313,$I313),daily_dates,0),MATCH($B$3,daily_items,0)),NA())</f>
        <v>#N/A</v>
      </c>
      <c r="N313" s="1" t="e">
        <f aca="false">IF(L313&lt;0,INDEX(big_daily_table,MATCH(DATE(N$5,$J313,$I313),daily_dates,0),MATCH($B$3,daily_items,0)),NA())</f>
        <v>#N/A</v>
      </c>
      <c r="O313" s="1" t="e">
        <f aca="false">IF(ISBLANK(INDEX(big_daily_table,MATCH(DATE(O$5,$J313,$I313),daily_dates,0),MATCH($B$3,daily_items,0))),NA(),INDEX(big_daily_table,MATCH(DATE(O$5,$J313,$I313),daily_dates,0),MATCH($B$3,daily_items,0)))</f>
        <v>#N/A</v>
      </c>
      <c r="P313" s="1" t="e">
        <f aca="false">IF(ISBLANK(INDEX(big_daily_table,MATCH(DATE(P$5,$J313,$I313),daily_dates,0),MATCH($B$3,daily_items,0))),NA(),INDEX(big_daily_table,MATCH(DATE(P$5,$J313,$I313),daily_dates,0),MATCH($B$3,daily_items,0)))</f>
        <v>#N/A</v>
      </c>
      <c r="Q313" s="1" t="e">
        <f aca="false">IF(ISBLANK(INDEX(big_daily_table,MATCH(DATE(Q$5,$J313,$I313),daily_dates,0),MATCH($B$3,daily_items,0))),NA(),INDEX(big_daily_table,MATCH(DATE(Q$5,$J313,$I313),daily_dates,0),MATCH($B$3,daily_items,0)))</f>
        <v>#N/A</v>
      </c>
      <c r="R313" s="1" t="e">
        <f aca="false">IF(ISBLANK(INDEX(big_daily_table,MATCH(DATE(R$5,$J313,$I313),daily_dates,0),MATCH($B$3,daily_items,0))),NA(),INDEX(big_daily_table,MATCH(DATE(R$5,$J313,$I313),daily_dates,0),MATCH($B$3,daily_items,0)))</f>
        <v>#N/A</v>
      </c>
      <c r="S313" s="1" t="e">
        <f aca="false">IF(ISBLANK(INDEX(big_daily_table,MATCH(DATE(S$5,$J313,$I313),daily_dates,0),MATCH($B$3,daily_items,0))),NA(),INDEX(big_daily_table,MATCH(DATE(S$5,$J313,$I313),daily_dates,0),MATCH($B$3,daily_items,0)))</f>
        <v>#N/A</v>
      </c>
      <c r="T313" s="1" t="e">
        <f aca="false">IF(ISBLANK(INDEX(big_daily_table,MATCH(DATE(T$5,$J313,$I313),daily_dates,0),MATCH($B$3,daily_items,0))),NA(),INDEX(big_daily_table,MATCH(DATE(T$5,$J313,$I313),daily_dates,0),MATCH($B$3,daily_items,0)))</f>
        <v>#N/A</v>
      </c>
      <c r="U313" s="1" t="e">
        <f aca="false">IF(ISBLANK(INDEX(big_daily_table,MATCH(DATE(U$5,$J313,$I313),daily_dates,0),MATCH($B$3,daily_items,0))),NA(),INDEX(big_daily_table,MATCH(DATE(U$5,$J313,$I313),daily_dates,0),MATCH($B$3,daily_items,0)))</f>
        <v>#N/A</v>
      </c>
      <c r="V313" s="1" t="e">
        <f aca="false">IF(ISBLANK(INDEX(big_daily_table,MATCH(DATE(V$5,$J313,$I313),daily_dates,0),MATCH($B$3,daily_items,0))),NA(),INDEX(big_daily_table,MATCH(DATE(V$5,$J313,$I313),daily_dates,0),MATCH($B$3,daily_items,0)))</f>
        <v>#N/A</v>
      </c>
      <c r="W313" s="1" t="e">
        <f aca="false">IF(ISBLANK(INDEX(big_daily_table,MATCH(DATE(W$5,$J313,$I313),daily_dates,0),MATCH($B$3,daily_items,0))),NA(),INDEX(big_daily_table,MATCH(DATE(W$5,$J313,$I313),daily_dates,0),MATCH($B$3,daily_items,0)))</f>
        <v>#N/A</v>
      </c>
      <c r="X313" s="1" t="e">
        <f aca="false">IF(ISBLANK(INDEX(big_daily_table,MATCH(DATE(X$5,$J313,$I313),daily_dates,0),MATCH($B$3,daily_items,0))),NA(),INDEX(big_daily_table,MATCH(DATE(X$5,$J313,$I313),daily_dates,0),MATCH($B$3,daily_items,0)))</f>
        <v>#N/A</v>
      </c>
      <c r="Y313" s="1" t="e">
        <f aca="false">IF(ISBLANK(INDEX(big_daily_table,MATCH(DATE(Y$5,$J313,$I313),daily_dates,0),MATCH($B$3,daily_items,0))),NA(),INDEX(big_daily_table,MATCH(DATE(Y$5,$J313,$I313),daily_dates,0),MATCH($B$3,daily_items,0)))</f>
        <v>#N/A</v>
      </c>
      <c r="Z313" s="1" t="n">
        <f aca="true">_xlfn.AGGREGATE(5,6,OFFSET($R$5,H313,0,1,$J$2))</f>
        <v>0</v>
      </c>
      <c r="AA313" s="1" t="n">
        <f aca="true">_xlfn.AGGREGATE(4,6,OFFSET($R$5,H313,0,1,$J$2))</f>
        <v>0</v>
      </c>
      <c r="AB313" s="1" t="n">
        <f aca="false">AA313-Z313</f>
        <v>0</v>
      </c>
      <c r="AC313" s="1" t="e">
        <f aca="true">_xlfn.AGGREGATE(1,6,OFFSET($R$5,H313,0,1,$J$2))</f>
        <v>#DIV/0!</v>
      </c>
    </row>
    <row r="314" customFormat="false" ht="14.25" hidden="false" customHeight="false" outlineLevel="0" collapsed="false">
      <c r="H314" s="1" t="n">
        <f aca="false">H313+1</f>
        <v>309</v>
      </c>
      <c r="I314" s="1" t="n">
        <f aca="false">DAY(K314)</f>
        <v>4</v>
      </c>
      <c r="J314" s="1" t="n">
        <f aca="false">MONTH(K314)</f>
        <v>11</v>
      </c>
      <c r="K314" s="23" t="n">
        <f aca="false">K313+1</f>
        <v>36834</v>
      </c>
      <c r="L314" s="24" t="n">
        <f aca="true">IF(TODAY()&lt;DATE($N$5,J314,I314),1000000,-1000000)</f>
        <v>1000000</v>
      </c>
      <c r="M314" s="1" t="e">
        <f aca="false">IF(K314&gt;0,INDEX(big_daily_table,MATCH(DATE(N$5,$J314,$I314),daily_dates,0),MATCH($B$3,daily_items,0)),NA())</f>
        <v>#N/A</v>
      </c>
      <c r="N314" s="1" t="e">
        <f aca="false">IF(L314&lt;0,INDEX(big_daily_table,MATCH(DATE(N$5,$J314,$I314),daily_dates,0),MATCH($B$3,daily_items,0)),NA())</f>
        <v>#N/A</v>
      </c>
      <c r="O314" s="1" t="e">
        <f aca="false">IF(ISBLANK(INDEX(big_daily_table,MATCH(DATE(O$5,$J314,$I314),daily_dates,0),MATCH($B$3,daily_items,0))),NA(),INDEX(big_daily_table,MATCH(DATE(O$5,$J314,$I314),daily_dates,0),MATCH($B$3,daily_items,0)))</f>
        <v>#N/A</v>
      </c>
      <c r="P314" s="1" t="e">
        <f aca="false">IF(ISBLANK(INDEX(big_daily_table,MATCH(DATE(P$5,$J314,$I314),daily_dates,0),MATCH($B$3,daily_items,0))),NA(),INDEX(big_daily_table,MATCH(DATE(P$5,$J314,$I314),daily_dates,0),MATCH($B$3,daily_items,0)))</f>
        <v>#N/A</v>
      </c>
      <c r="Q314" s="1" t="e">
        <f aca="false">IF(ISBLANK(INDEX(big_daily_table,MATCH(DATE(Q$5,$J314,$I314),daily_dates,0),MATCH($B$3,daily_items,0))),NA(),INDEX(big_daily_table,MATCH(DATE(Q$5,$J314,$I314),daily_dates,0),MATCH($B$3,daily_items,0)))</f>
        <v>#N/A</v>
      </c>
      <c r="R314" s="1" t="e">
        <f aca="false">IF(ISBLANK(INDEX(big_daily_table,MATCH(DATE(R$5,$J314,$I314),daily_dates,0),MATCH($B$3,daily_items,0))),NA(),INDEX(big_daily_table,MATCH(DATE(R$5,$J314,$I314),daily_dates,0),MATCH($B$3,daily_items,0)))</f>
        <v>#N/A</v>
      </c>
      <c r="S314" s="1" t="e">
        <f aca="false">IF(ISBLANK(INDEX(big_daily_table,MATCH(DATE(S$5,$J314,$I314),daily_dates,0),MATCH($B$3,daily_items,0))),NA(),INDEX(big_daily_table,MATCH(DATE(S$5,$J314,$I314),daily_dates,0),MATCH($B$3,daily_items,0)))</f>
        <v>#N/A</v>
      </c>
      <c r="T314" s="1" t="e">
        <f aca="false">IF(ISBLANK(INDEX(big_daily_table,MATCH(DATE(T$5,$J314,$I314),daily_dates,0),MATCH($B$3,daily_items,0))),NA(),INDEX(big_daily_table,MATCH(DATE(T$5,$J314,$I314),daily_dates,0),MATCH($B$3,daily_items,0)))</f>
        <v>#N/A</v>
      </c>
      <c r="U314" s="1" t="e">
        <f aca="false">IF(ISBLANK(INDEX(big_daily_table,MATCH(DATE(U$5,$J314,$I314),daily_dates,0),MATCH($B$3,daily_items,0))),NA(),INDEX(big_daily_table,MATCH(DATE(U$5,$J314,$I314),daily_dates,0),MATCH($B$3,daily_items,0)))</f>
        <v>#N/A</v>
      </c>
      <c r="V314" s="1" t="e">
        <f aca="false">IF(ISBLANK(INDEX(big_daily_table,MATCH(DATE(V$5,$J314,$I314),daily_dates,0),MATCH($B$3,daily_items,0))),NA(),INDEX(big_daily_table,MATCH(DATE(V$5,$J314,$I314),daily_dates,0),MATCH($B$3,daily_items,0)))</f>
        <v>#N/A</v>
      </c>
      <c r="W314" s="1" t="e">
        <f aca="false">IF(ISBLANK(INDEX(big_daily_table,MATCH(DATE(W$5,$J314,$I314),daily_dates,0),MATCH($B$3,daily_items,0))),NA(),INDEX(big_daily_table,MATCH(DATE(W$5,$J314,$I314),daily_dates,0),MATCH($B$3,daily_items,0)))</f>
        <v>#N/A</v>
      </c>
      <c r="X314" s="1" t="e">
        <f aca="false">IF(ISBLANK(INDEX(big_daily_table,MATCH(DATE(X$5,$J314,$I314),daily_dates,0),MATCH($B$3,daily_items,0))),NA(),INDEX(big_daily_table,MATCH(DATE(X$5,$J314,$I314),daily_dates,0),MATCH($B$3,daily_items,0)))</f>
        <v>#N/A</v>
      </c>
      <c r="Y314" s="1" t="e">
        <f aca="false">IF(ISBLANK(INDEX(big_daily_table,MATCH(DATE(Y$5,$J314,$I314),daily_dates,0),MATCH($B$3,daily_items,0))),NA(),INDEX(big_daily_table,MATCH(DATE(Y$5,$J314,$I314),daily_dates,0),MATCH($B$3,daily_items,0)))</f>
        <v>#N/A</v>
      </c>
      <c r="Z314" s="1" t="n">
        <f aca="true">_xlfn.AGGREGATE(5,6,OFFSET($R$5,H314,0,1,$J$2))</f>
        <v>0</v>
      </c>
      <c r="AA314" s="1" t="n">
        <f aca="true">_xlfn.AGGREGATE(4,6,OFFSET($R$5,H314,0,1,$J$2))</f>
        <v>0</v>
      </c>
      <c r="AB314" s="1" t="n">
        <f aca="false">AA314-Z314</f>
        <v>0</v>
      </c>
      <c r="AC314" s="1" t="e">
        <f aca="true">_xlfn.AGGREGATE(1,6,OFFSET($R$5,H314,0,1,$J$2))</f>
        <v>#DIV/0!</v>
      </c>
    </row>
    <row r="315" customFormat="false" ht="14.25" hidden="false" customHeight="false" outlineLevel="0" collapsed="false">
      <c r="H315" s="1" t="n">
        <f aca="false">H314+1</f>
        <v>310</v>
      </c>
      <c r="I315" s="1" t="n">
        <f aca="false">DAY(K315)</f>
        <v>5</v>
      </c>
      <c r="J315" s="1" t="n">
        <f aca="false">MONTH(K315)</f>
        <v>11</v>
      </c>
      <c r="K315" s="23" t="n">
        <f aca="false">K314+1</f>
        <v>36835</v>
      </c>
      <c r="L315" s="24" t="n">
        <f aca="true">IF(TODAY()&lt;DATE($N$5,J315,I315),1000000,-1000000)</f>
        <v>1000000</v>
      </c>
      <c r="M315" s="1" t="e">
        <f aca="false">IF(K315&gt;0,INDEX(big_daily_table,MATCH(DATE(N$5,$J315,$I315),daily_dates,0),MATCH($B$3,daily_items,0)),NA())</f>
        <v>#N/A</v>
      </c>
      <c r="N315" s="1" t="e">
        <f aca="false">IF(L315&lt;0,INDEX(big_daily_table,MATCH(DATE(N$5,$J315,$I315),daily_dates,0),MATCH($B$3,daily_items,0)),NA())</f>
        <v>#N/A</v>
      </c>
      <c r="O315" s="1" t="e">
        <f aca="false">IF(ISBLANK(INDEX(big_daily_table,MATCH(DATE(O$5,$J315,$I315),daily_dates,0),MATCH($B$3,daily_items,0))),NA(),INDEX(big_daily_table,MATCH(DATE(O$5,$J315,$I315),daily_dates,0),MATCH($B$3,daily_items,0)))</f>
        <v>#N/A</v>
      </c>
      <c r="P315" s="1" t="e">
        <f aca="false">IF(ISBLANK(INDEX(big_daily_table,MATCH(DATE(P$5,$J315,$I315),daily_dates,0),MATCH($B$3,daily_items,0))),NA(),INDEX(big_daily_table,MATCH(DATE(P$5,$J315,$I315),daily_dates,0),MATCH($B$3,daily_items,0)))</f>
        <v>#N/A</v>
      </c>
      <c r="Q315" s="1" t="e">
        <f aca="false">IF(ISBLANK(INDEX(big_daily_table,MATCH(DATE(Q$5,$J315,$I315),daily_dates,0),MATCH($B$3,daily_items,0))),NA(),INDEX(big_daily_table,MATCH(DATE(Q$5,$J315,$I315),daily_dates,0),MATCH($B$3,daily_items,0)))</f>
        <v>#N/A</v>
      </c>
      <c r="R315" s="1" t="e">
        <f aca="false">IF(ISBLANK(INDEX(big_daily_table,MATCH(DATE(R$5,$J315,$I315),daily_dates,0),MATCH($B$3,daily_items,0))),NA(),INDEX(big_daily_table,MATCH(DATE(R$5,$J315,$I315),daily_dates,0),MATCH($B$3,daily_items,0)))</f>
        <v>#N/A</v>
      </c>
      <c r="S315" s="1" t="e">
        <f aca="false">IF(ISBLANK(INDEX(big_daily_table,MATCH(DATE(S$5,$J315,$I315),daily_dates,0),MATCH($B$3,daily_items,0))),NA(),INDEX(big_daily_table,MATCH(DATE(S$5,$J315,$I315),daily_dates,0),MATCH($B$3,daily_items,0)))</f>
        <v>#N/A</v>
      </c>
      <c r="T315" s="1" t="e">
        <f aca="false">IF(ISBLANK(INDEX(big_daily_table,MATCH(DATE(T$5,$J315,$I315),daily_dates,0),MATCH($B$3,daily_items,0))),NA(),INDEX(big_daily_table,MATCH(DATE(T$5,$J315,$I315),daily_dates,0),MATCH($B$3,daily_items,0)))</f>
        <v>#N/A</v>
      </c>
      <c r="U315" s="1" t="e">
        <f aca="false">IF(ISBLANK(INDEX(big_daily_table,MATCH(DATE(U$5,$J315,$I315),daily_dates,0),MATCH($B$3,daily_items,0))),NA(),INDEX(big_daily_table,MATCH(DATE(U$5,$J315,$I315),daily_dates,0),MATCH($B$3,daily_items,0)))</f>
        <v>#N/A</v>
      </c>
      <c r="V315" s="1" t="e">
        <f aca="false">IF(ISBLANK(INDEX(big_daily_table,MATCH(DATE(V$5,$J315,$I315),daily_dates,0),MATCH($B$3,daily_items,0))),NA(),INDEX(big_daily_table,MATCH(DATE(V$5,$J315,$I315),daily_dates,0),MATCH($B$3,daily_items,0)))</f>
        <v>#N/A</v>
      </c>
      <c r="W315" s="1" t="e">
        <f aca="false">IF(ISBLANK(INDEX(big_daily_table,MATCH(DATE(W$5,$J315,$I315),daily_dates,0),MATCH($B$3,daily_items,0))),NA(),INDEX(big_daily_table,MATCH(DATE(W$5,$J315,$I315),daily_dates,0),MATCH($B$3,daily_items,0)))</f>
        <v>#N/A</v>
      </c>
      <c r="X315" s="1" t="e">
        <f aca="false">IF(ISBLANK(INDEX(big_daily_table,MATCH(DATE(X$5,$J315,$I315),daily_dates,0),MATCH($B$3,daily_items,0))),NA(),INDEX(big_daily_table,MATCH(DATE(X$5,$J315,$I315),daily_dates,0),MATCH($B$3,daily_items,0)))</f>
        <v>#N/A</v>
      </c>
      <c r="Y315" s="1" t="e">
        <f aca="false">IF(ISBLANK(INDEX(big_daily_table,MATCH(DATE(Y$5,$J315,$I315),daily_dates,0),MATCH($B$3,daily_items,0))),NA(),INDEX(big_daily_table,MATCH(DATE(Y$5,$J315,$I315),daily_dates,0),MATCH($B$3,daily_items,0)))</f>
        <v>#N/A</v>
      </c>
      <c r="Z315" s="1" t="n">
        <f aca="true">_xlfn.AGGREGATE(5,6,OFFSET($R$5,H315,0,1,$J$2))</f>
        <v>0</v>
      </c>
      <c r="AA315" s="1" t="n">
        <f aca="true">_xlfn.AGGREGATE(4,6,OFFSET($R$5,H315,0,1,$J$2))</f>
        <v>0</v>
      </c>
      <c r="AB315" s="1" t="n">
        <f aca="false">AA315-Z315</f>
        <v>0</v>
      </c>
      <c r="AC315" s="1" t="e">
        <f aca="true">_xlfn.AGGREGATE(1,6,OFFSET($R$5,H315,0,1,$J$2))</f>
        <v>#DIV/0!</v>
      </c>
    </row>
    <row r="316" customFormat="false" ht="14.25" hidden="false" customHeight="false" outlineLevel="0" collapsed="false">
      <c r="H316" s="1" t="n">
        <f aca="false">H315+1</f>
        <v>311</v>
      </c>
      <c r="I316" s="1" t="n">
        <f aca="false">DAY(K316)</f>
        <v>6</v>
      </c>
      <c r="J316" s="1" t="n">
        <f aca="false">MONTH(K316)</f>
        <v>11</v>
      </c>
      <c r="K316" s="23" t="n">
        <f aca="false">K315+1</f>
        <v>36836</v>
      </c>
      <c r="L316" s="24" t="n">
        <f aca="true">IF(TODAY()&lt;DATE($N$5,J316,I316),1000000,-1000000)</f>
        <v>1000000</v>
      </c>
      <c r="M316" s="1" t="e">
        <f aca="false">IF(K316&gt;0,INDEX(big_daily_table,MATCH(DATE(N$5,$J316,$I316),daily_dates,0),MATCH($B$3,daily_items,0)),NA())</f>
        <v>#N/A</v>
      </c>
      <c r="N316" s="1" t="e">
        <f aca="false">IF(L316&lt;0,INDEX(big_daily_table,MATCH(DATE(N$5,$J316,$I316),daily_dates,0),MATCH($B$3,daily_items,0)),NA())</f>
        <v>#N/A</v>
      </c>
      <c r="O316" s="1" t="e">
        <f aca="false">IF(ISBLANK(INDEX(big_daily_table,MATCH(DATE(O$5,$J316,$I316),daily_dates,0),MATCH($B$3,daily_items,0))),NA(),INDEX(big_daily_table,MATCH(DATE(O$5,$J316,$I316),daily_dates,0),MATCH($B$3,daily_items,0)))</f>
        <v>#N/A</v>
      </c>
      <c r="P316" s="1" t="e">
        <f aca="false">IF(ISBLANK(INDEX(big_daily_table,MATCH(DATE(P$5,$J316,$I316),daily_dates,0),MATCH($B$3,daily_items,0))),NA(),INDEX(big_daily_table,MATCH(DATE(P$5,$J316,$I316),daily_dates,0),MATCH($B$3,daily_items,0)))</f>
        <v>#N/A</v>
      </c>
      <c r="Q316" s="1" t="e">
        <f aca="false">IF(ISBLANK(INDEX(big_daily_table,MATCH(DATE(Q$5,$J316,$I316),daily_dates,0),MATCH($B$3,daily_items,0))),NA(),INDEX(big_daily_table,MATCH(DATE(Q$5,$J316,$I316),daily_dates,0),MATCH($B$3,daily_items,0)))</f>
        <v>#N/A</v>
      </c>
      <c r="R316" s="1" t="e">
        <f aca="false">IF(ISBLANK(INDEX(big_daily_table,MATCH(DATE(R$5,$J316,$I316),daily_dates,0),MATCH($B$3,daily_items,0))),NA(),INDEX(big_daily_table,MATCH(DATE(R$5,$J316,$I316),daily_dates,0),MATCH($B$3,daily_items,0)))</f>
        <v>#N/A</v>
      </c>
      <c r="S316" s="1" t="e">
        <f aca="false">IF(ISBLANK(INDEX(big_daily_table,MATCH(DATE(S$5,$J316,$I316),daily_dates,0),MATCH($B$3,daily_items,0))),NA(),INDEX(big_daily_table,MATCH(DATE(S$5,$J316,$I316),daily_dates,0),MATCH($B$3,daily_items,0)))</f>
        <v>#N/A</v>
      </c>
      <c r="T316" s="1" t="e">
        <f aca="false">IF(ISBLANK(INDEX(big_daily_table,MATCH(DATE(T$5,$J316,$I316),daily_dates,0),MATCH($B$3,daily_items,0))),NA(),INDEX(big_daily_table,MATCH(DATE(T$5,$J316,$I316),daily_dates,0),MATCH($B$3,daily_items,0)))</f>
        <v>#N/A</v>
      </c>
      <c r="U316" s="1" t="e">
        <f aca="false">IF(ISBLANK(INDEX(big_daily_table,MATCH(DATE(U$5,$J316,$I316),daily_dates,0),MATCH($B$3,daily_items,0))),NA(),INDEX(big_daily_table,MATCH(DATE(U$5,$J316,$I316),daily_dates,0),MATCH($B$3,daily_items,0)))</f>
        <v>#N/A</v>
      </c>
      <c r="V316" s="1" t="e">
        <f aca="false">IF(ISBLANK(INDEX(big_daily_table,MATCH(DATE(V$5,$J316,$I316),daily_dates,0),MATCH($B$3,daily_items,0))),NA(),INDEX(big_daily_table,MATCH(DATE(V$5,$J316,$I316),daily_dates,0),MATCH($B$3,daily_items,0)))</f>
        <v>#N/A</v>
      </c>
      <c r="W316" s="1" t="e">
        <f aca="false">IF(ISBLANK(INDEX(big_daily_table,MATCH(DATE(W$5,$J316,$I316),daily_dates,0),MATCH($B$3,daily_items,0))),NA(),INDEX(big_daily_table,MATCH(DATE(W$5,$J316,$I316),daily_dates,0),MATCH($B$3,daily_items,0)))</f>
        <v>#N/A</v>
      </c>
      <c r="X316" s="1" t="e">
        <f aca="false">IF(ISBLANK(INDEX(big_daily_table,MATCH(DATE(X$5,$J316,$I316),daily_dates,0),MATCH($B$3,daily_items,0))),NA(),INDEX(big_daily_table,MATCH(DATE(X$5,$J316,$I316),daily_dates,0),MATCH($B$3,daily_items,0)))</f>
        <v>#N/A</v>
      </c>
      <c r="Y316" s="1" t="e">
        <f aca="false">IF(ISBLANK(INDEX(big_daily_table,MATCH(DATE(Y$5,$J316,$I316),daily_dates,0),MATCH($B$3,daily_items,0))),NA(),INDEX(big_daily_table,MATCH(DATE(Y$5,$J316,$I316),daily_dates,0),MATCH($B$3,daily_items,0)))</f>
        <v>#N/A</v>
      </c>
      <c r="Z316" s="1" t="n">
        <f aca="true">_xlfn.AGGREGATE(5,6,OFFSET($R$5,H316,0,1,$J$2))</f>
        <v>0</v>
      </c>
      <c r="AA316" s="1" t="n">
        <f aca="true">_xlfn.AGGREGATE(4,6,OFFSET($R$5,H316,0,1,$J$2))</f>
        <v>0</v>
      </c>
      <c r="AB316" s="1" t="n">
        <f aca="false">AA316-Z316</f>
        <v>0</v>
      </c>
      <c r="AC316" s="1" t="e">
        <f aca="true">_xlfn.AGGREGATE(1,6,OFFSET($R$5,H316,0,1,$J$2))</f>
        <v>#DIV/0!</v>
      </c>
    </row>
    <row r="317" customFormat="false" ht="14.25" hidden="false" customHeight="false" outlineLevel="0" collapsed="false">
      <c r="H317" s="1" t="n">
        <f aca="false">H316+1</f>
        <v>312</v>
      </c>
      <c r="I317" s="1" t="n">
        <f aca="false">DAY(K317)</f>
        <v>7</v>
      </c>
      <c r="J317" s="1" t="n">
        <f aca="false">MONTH(K317)</f>
        <v>11</v>
      </c>
      <c r="K317" s="23" t="n">
        <f aca="false">K316+1</f>
        <v>36837</v>
      </c>
      <c r="L317" s="24" t="n">
        <f aca="true">IF(TODAY()&lt;DATE($N$5,J317,I317),1000000,-1000000)</f>
        <v>1000000</v>
      </c>
      <c r="M317" s="1" t="e">
        <f aca="false">IF(K317&gt;0,INDEX(big_daily_table,MATCH(DATE(N$5,$J317,$I317),daily_dates,0),MATCH($B$3,daily_items,0)),NA())</f>
        <v>#N/A</v>
      </c>
      <c r="N317" s="1" t="e">
        <f aca="false">IF(L317&lt;0,INDEX(big_daily_table,MATCH(DATE(N$5,$J317,$I317),daily_dates,0),MATCH($B$3,daily_items,0)),NA())</f>
        <v>#N/A</v>
      </c>
      <c r="O317" s="1" t="e">
        <f aca="false">IF(ISBLANK(INDEX(big_daily_table,MATCH(DATE(O$5,$J317,$I317),daily_dates,0),MATCH($B$3,daily_items,0))),NA(),INDEX(big_daily_table,MATCH(DATE(O$5,$J317,$I317),daily_dates,0),MATCH($B$3,daily_items,0)))</f>
        <v>#N/A</v>
      </c>
      <c r="P317" s="1" t="e">
        <f aca="false">IF(ISBLANK(INDEX(big_daily_table,MATCH(DATE(P$5,$J317,$I317),daily_dates,0),MATCH($B$3,daily_items,0))),NA(),INDEX(big_daily_table,MATCH(DATE(P$5,$J317,$I317),daily_dates,0),MATCH($B$3,daily_items,0)))</f>
        <v>#N/A</v>
      </c>
      <c r="Q317" s="1" t="e">
        <f aca="false">IF(ISBLANK(INDEX(big_daily_table,MATCH(DATE(Q$5,$J317,$I317),daily_dates,0),MATCH($B$3,daily_items,0))),NA(),INDEX(big_daily_table,MATCH(DATE(Q$5,$J317,$I317),daily_dates,0),MATCH($B$3,daily_items,0)))</f>
        <v>#N/A</v>
      </c>
      <c r="R317" s="1" t="e">
        <f aca="false">IF(ISBLANK(INDEX(big_daily_table,MATCH(DATE(R$5,$J317,$I317),daily_dates,0),MATCH($B$3,daily_items,0))),NA(),INDEX(big_daily_table,MATCH(DATE(R$5,$J317,$I317),daily_dates,0),MATCH($B$3,daily_items,0)))</f>
        <v>#N/A</v>
      </c>
      <c r="S317" s="1" t="e">
        <f aca="false">IF(ISBLANK(INDEX(big_daily_table,MATCH(DATE(S$5,$J317,$I317),daily_dates,0),MATCH($B$3,daily_items,0))),NA(),INDEX(big_daily_table,MATCH(DATE(S$5,$J317,$I317),daily_dates,0),MATCH($B$3,daily_items,0)))</f>
        <v>#N/A</v>
      </c>
      <c r="T317" s="1" t="e">
        <f aca="false">IF(ISBLANK(INDEX(big_daily_table,MATCH(DATE(T$5,$J317,$I317),daily_dates,0),MATCH($B$3,daily_items,0))),NA(),INDEX(big_daily_table,MATCH(DATE(T$5,$J317,$I317),daily_dates,0),MATCH($B$3,daily_items,0)))</f>
        <v>#N/A</v>
      </c>
      <c r="U317" s="1" t="e">
        <f aca="false">IF(ISBLANK(INDEX(big_daily_table,MATCH(DATE(U$5,$J317,$I317),daily_dates,0),MATCH($B$3,daily_items,0))),NA(),INDEX(big_daily_table,MATCH(DATE(U$5,$J317,$I317),daily_dates,0),MATCH($B$3,daily_items,0)))</f>
        <v>#N/A</v>
      </c>
      <c r="V317" s="1" t="e">
        <f aca="false">IF(ISBLANK(INDEX(big_daily_table,MATCH(DATE(V$5,$J317,$I317),daily_dates,0),MATCH($B$3,daily_items,0))),NA(),INDEX(big_daily_table,MATCH(DATE(V$5,$J317,$I317),daily_dates,0),MATCH($B$3,daily_items,0)))</f>
        <v>#N/A</v>
      </c>
      <c r="W317" s="1" t="e">
        <f aca="false">IF(ISBLANK(INDEX(big_daily_table,MATCH(DATE(W$5,$J317,$I317),daily_dates,0),MATCH($B$3,daily_items,0))),NA(),INDEX(big_daily_table,MATCH(DATE(W$5,$J317,$I317),daily_dates,0),MATCH($B$3,daily_items,0)))</f>
        <v>#N/A</v>
      </c>
      <c r="X317" s="1" t="e">
        <f aca="false">IF(ISBLANK(INDEX(big_daily_table,MATCH(DATE(X$5,$J317,$I317),daily_dates,0),MATCH($B$3,daily_items,0))),NA(),INDEX(big_daily_table,MATCH(DATE(X$5,$J317,$I317),daily_dates,0),MATCH($B$3,daily_items,0)))</f>
        <v>#N/A</v>
      </c>
      <c r="Y317" s="1" t="e">
        <f aca="false">IF(ISBLANK(INDEX(big_daily_table,MATCH(DATE(Y$5,$J317,$I317),daily_dates,0),MATCH($B$3,daily_items,0))),NA(),INDEX(big_daily_table,MATCH(DATE(Y$5,$J317,$I317),daily_dates,0),MATCH($B$3,daily_items,0)))</f>
        <v>#N/A</v>
      </c>
      <c r="Z317" s="1" t="n">
        <f aca="true">_xlfn.AGGREGATE(5,6,OFFSET($R$5,H317,0,1,$J$2))</f>
        <v>0</v>
      </c>
      <c r="AA317" s="1" t="n">
        <f aca="true">_xlfn.AGGREGATE(4,6,OFFSET($R$5,H317,0,1,$J$2))</f>
        <v>0</v>
      </c>
      <c r="AB317" s="1" t="n">
        <f aca="false">AA317-Z317</f>
        <v>0</v>
      </c>
      <c r="AC317" s="1" t="e">
        <f aca="true">_xlfn.AGGREGATE(1,6,OFFSET($R$5,H317,0,1,$J$2))</f>
        <v>#DIV/0!</v>
      </c>
    </row>
    <row r="318" customFormat="false" ht="14.25" hidden="false" customHeight="false" outlineLevel="0" collapsed="false">
      <c r="H318" s="1" t="n">
        <f aca="false">H317+1</f>
        <v>313</v>
      </c>
      <c r="I318" s="1" t="n">
        <f aca="false">DAY(K318)</f>
        <v>8</v>
      </c>
      <c r="J318" s="1" t="n">
        <f aca="false">MONTH(K318)</f>
        <v>11</v>
      </c>
      <c r="K318" s="23" t="n">
        <f aca="false">K317+1</f>
        <v>36838</v>
      </c>
      <c r="L318" s="24" t="n">
        <f aca="true">IF(TODAY()&lt;DATE($N$5,J318,I318),1000000,-1000000)</f>
        <v>1000000</v>
      </c>
      <c r="M318" s="1" t="e">
        <f aca="false">IF(K318&gt;0,INDEX(big_daily_table,MATCH(DATE(N$5,$J318,$I318),daily_dates,0),MATCH($B$3,daily_items,0)),NA())</f>
        <v>#N/A</v>
      </c>
      <c r="N318" s="1" t="e">
        <f aca="false">IF(L318&lt;0,INDEX(big_daily_table,MATCH(DATE(N$5,$J318,$I318),daily_dates,0),MATCH($B$3,daily_items,0)),NA())</f>
        <v>#N/A</v>
      </c>
      <c r="O318" s="1" t="e">
        <f aca="false">IF(ISBLANK(INDEX(big_daily_table,MATCH(DATE(O$5,$J318,$I318),daily_dates,0),MATCH($B$3,daily_items,0))),NA(),INDEX(big_daily_table,MATCH(DATE(O$5,$J318,$I318),daily_dates,0),MATCH($B$3,daily_items,0)))</f>
        <v>#N/A</v>
      </c>
      <c r="P318" s="1" t="e">
        <f aca="false">IF(ISBLANK(INDEX(big_daily_table,MATCH(DATE(P$5,$J318,$I318),daily_dates,0),MATCH($B$3,daily_items,0))),NA(),INDEX(big_daily_table,MATCH(DATE(P$5,$J318,$I318),daily_dates,0),MATCH($B$3,daily_items,0)))</f>
        <v>#N/A</v>
      </c>
      <c r="Q318" s="1" t="e">
        <f aca="false">IF(ISBLANK(INDEX(big_daily_table,MATCH(DATE(Q$5,$J318,$I318),daily_dates,0),MATCH($B$3,daily_items,0))),NA(),INDEX(big_daily_table,MATCH(DATE(Q$5,$J318,$I318),daily_dates,0),MATCH($B$3,daily_items,0)))</f>
        <v>#N/A</v>
      </c>
      <c r="R318" s="1" t="e">
        <f aca="false">IF(ISBLANK(INDEX(big_daily_table,MATCH(DATE(R$5,$J318,$I318),daily_dates,0),MATCH($B$3,daily_items,0))),NA(),INDEX(big_daily_table,MATCH(DATE(R$5,$J318,$I318),daily_dates,0),MATCH($B$3,daily_items,0)))</f>
        <v>#N/A</v>
      </c>
      <c r="S318" s="1" t="e">
        <f aca="false">IF(ISBLANK(INDEX(big_daily_table,MATCH(DATE(S$5,$J318,$I318),daily_dates,0),MATCH($B$3,daily_items,0))),NA(),INDEX(big_daily_table,MATCH(DATE(S$5,$J318,$I318),daily_dates,0),MATCH($B$3,daily_items,0)))</f>
        <v>#N/A</v>
      </c>
      <c r="T318" s="1" t="e">
        <f aca="false">IF(ISBLANK(INDEX(big_daily_table,MATCH(DATE(T$5,$J318,$I318),daily_dates,0),MATCH($B$3,daily_items,0))),NA(),INDEX(big_daily_table,MATCH(DATE(T$5,$J318,$I318),daily_dates,0),MATCH($B$3,daily_items,0)))</f>
        <v>#N/A</v>
      </c>
      <c r="U318" s="1" t="e">
        <f aca="false">IF(ISBLANK(INDEX(big_daily_table,MATCH(DATE(U$5,$J318,$I318),daily_dates,0),MATCH($B$3,daily_items,0))),NA(),INDEX(big_daily_table,MATCH(DATE(U$5,$J318,$I318),daily_dates,0),MATCH($B$3,daily_items,0)))</f>
        <v>#N/A</v>
      </c>
      <c r="V318" s="1" t="e">
        <f aca="false">IF(ISBLANK(INDEX(big_daily_table,MATCH(DATE(V$5,$J318,$I318),daily_dates,0),MATCH($B$3,daily_items,0))),NA(),INDEX(big_daily_table,MATCH(DATE(V$5,$J318,$I318),daily_dates,0),MATCH($B$3,daily_items,0)))</f>
        <v>#N/A</v>
      </c>
      <c r="W318" s="1" t="e">
        <f aca="false">IF(ISBLANK(INDEX(big_daily_table,MATCH(DATE(W$5,$J318,$I318),daily_dates,0),MATCH($B$3,daily_items,0))),NA(),INDEX(big_daily_table,MATCH(DATE(W$5,$J318,$I318),daily_dates,0),MATCH($B$3,daily_items,0)))</f>
        <v>#N/A</v>
      </c>
      <c r="X318" s="1" t="e">
        <f aca="false">IF(ISBLANK(INDEX(big_daily_table,MATCH(DATE(X$5,$J318,$I318),daily_dates,0),MATCH($B$3,daily_items,0))),NA(),INDEX(big_daily_table,MATCH(DATE(X$5,$J318,$I318),daily_dates,0),MATCH($B$3,daily_items,0)))</f>
        <v>#N/A</v>
      </c>
      <c r="Y318" s="1" t="e">
        <f aca="false">IF(ISBLANK(INDEX(big_daily_table,MATCH(DATE(Y$5,$J318,$I318),daily_dates,0),MATCH($B$3,daily_items,0))),NA(),INDEX(big_daily_table,MATCH(DATE(Y$5,$J318,$I318),daily_dates,0),MATCH($B$3,daily_items,0)))</f>
        <v>#N/A</v>
      </c>
      <c r="Z318" s="1" t="n">
        <f aca="true">_xlfn.AGGREGATE(5,6,OFFSET($R$5,H318,0,1,$J$2))</f>
        <v>0</v>
      </c>
      <c r="AA318" s="1" t="n">
        <f aca="true">_xlfn.AGGREGATE(4,6,OFFSET($R$5,H318,0,1,$J$2))</f>
        <v>0</v>
      </c>
      <c r="AB318" s="1" t="n">
        <f aca="false">AA318-Z318</f>
        <v>0</v>
      </c>
      <c r="AC318" s="1" t="e">
        <f aca="true">_xlfn.AGGREGATE(1,6,OFFSET($R$5,H318,0,1,$J$2))</f>
        <v>#DIV/0!</v>
      </c>
    </row>
    <row r="319" customFormat="false" ht="14.25" hidden="false" customHeight="false" outlineLevel="0" collapsed="false">
      <c r="H319" s="1" t="n">
        <f aca="false">H318+1</f>
        <v>314</v>
      </c>
      <c r="I319" s="1" t="n">
        <f aca="false">DAY(K319)</f>
        <v>9</v>
      </c>
      <c r="J319" s="1" t="n">
        <f aca="false">MONTH(K319)</f>
        <v>11</v>
      </c>
      <c r="K319" s="23" t="n">
        <f aca="false">K318+1</f>
        <v>36839</v>
      </c>
      <c r="L319" s="24" t="n">
        <f aca="true">IF(TODAY()&lt;DATE($N$5,J319,I319),1000000,-1000000)</f>
        <v>1000000</v>
      </c>
      <c r="M319" s="1" t="e">
        <f aca="false">IF(K319&gt;0,INDEX(big_daily_table,MATCH(DATE(N$5,$J319,$I319),daily_dates,0),MATCH($B$3,daily_items,0)),NA())</f>
        <v>#N/A</v>
      </c>
      <c r="N319" s="1" t="e">
        <f aca="false">IF(L319&lt;0,INDEX(big_daily_table,MATCH(DATE(N$5,$J319,$I319),daily_dates,0),MATCH($B$3,daily_items,0)),NA())</f>
        <v>#N/A</v>
      </c>
      <c r="O319" s="1" t="e">
        <f aca="false">IF(ISBLANK(INDEX(big_daily_table,MATCH(DATE(O$5,$J319,$I319),daily_dates,0),MATCH($B$3,daily_items,0))),NA(),INDEX(big_daily_table,MATCH(DATE(O$5,$J319,$I319),daily_dates,0),MATCH($B$3,daily_items,0)))</f>
        <v>#N/A</v>
      </c>
      <c r="P319" s="1" t="e">
        <f aca="false">IF(ISBLANK(INDEX(big_daily_table,MATCH(DATE(P$5,$J319,$I319),daily_dates,0),MATCH($B$3,daily_items,0))),NA(),INDEX(big_daily_table,MATCH(DATE(P$5,$J319,$I319),daily_dates,0),MATCH($B$3,daily_items,0)))</f>
        <v>#N/A</v>
      </c>
      <c r="Q319" s="1" t="e">
        <f aca="false">IF(ISBLANK(INDEX(big_daily_table,MATCH(DATE(Q$5,$J319,$I319),daily_dates,0),MATCH($B$3,daily_items,0))),NA(),INDEX(big_daily_table,MATCH(DATE(Q$5,$J319,$I319),daily_dates,0),MATCH($B$3,daily_items,0)))</f>
        <v>#N/A</v>
      </c>
      <c r="R319" s="1" t="e">
        <f aca="false">IF(ISBLANK(INDEX(big_daily_table,MATCH(DATE(R$5,$J319,$I319),daily_dates,0),MATCH($B$3,daily_items,0))),NA(),INDEX(big_daily_table,MATCH(DATE(R$5,$J319,$I319),daily_dates,0),MATCH($B$3,daily_items,0)))</f>
        <v>#N/A</v>
      </c>
      <c r="S319" s="1" t="e">
        <f aca="false">IF(ISBLANK(INDEX(big_daily_table,MATCH(DATE(S$5,$J319,$I319),daily_dates,0),MATCH($B$3,daily_items,0))),NA(),INDEX(big_daily_table,MATCH(DATE(S$5,$J319,$I319),daily_dates,0),MATCH($B$3,daily_items,0)))</f>
        <v>#N/A</v>
      </c>
      <c r="T319" s="1" t="e">
        <f aca="false">IF(ISBLANK(INDEX(big_daily_table,MATCH(DATE(T$5,$J319,$I319),daily_dates,0),MATCH($B$3,daily_items,0))),NA(),INDEX(big_daily_table,MATCH(DATE(T$5,$J319,$I319),daily_dates,0),MATCH($B$3,daily_items,0)))</f>
        <v>#N/A</v>
      </c>
      <c r="U319" s="1" t="e">
        <f aca="false">IF(ISBLANK(INDEX(big_daily_table,MATCH(DATE(U$5,$J319,$I319),daily_dates,0),MATCH($B$3,daily_items,0))),NA(),INDEX(big_daily_table,MATCH(DATE(U$5,$J319,$I319),daily_dates,0),MATCH($B$3,daily_items,0)))</f>
        <v>#N/A</v>
      </c>
      <c r="V319" s="1" t="e">
        <f aca="false">IF(ISBLANK(INDEX(big_daily_table,MATCH(DATE(V$5,$J319,$I319),daily_dates,0),MATCH($B$3,daily_items,0))),NA(),INDEX(big_daily_table,MATCH(DATE(V$5,$J319,$I319),daily_dates,0),MATCH($B$3,daily_items,0)))</f>
        <v>#N/A</v>
      </c>
      <c r="W319" s="1" t="e">
        <f aca="false">IF(ISBLANK(INDEX(big_daily_table,MATCH(DATE(W$5,$J319,$I319),daily_dates,0),MATCH($B$3,daily_items,0))),NA(),INDEX(big_daily_table,MATCH(DATE(W$5,$J319,$I319),daily_dates,0),MATCH($B$3,daily_items,0)))</f>
        <v>#N/A</v>
      </c>
      <c r="X319" s="1" t="e">
        <f aca="false">IF(ISBLANK(INDEX(big_daily_table,MATCH(DATE(X$5,$J319,$I319),daily_dates,0),MATCH($B$3,daily_items,0))),NA(),INDEX(big_daily_table,MATCH(DATE(X$5,$J319,$I319),daily_dates,0),MATCH($B$3,daily_items,0)))</f>
        <v>#N/A</v>
      </c>
      <c r="Y319" s="1" t="e">
        <f aca="false">IF(ISBLANK(INDEX(big_daily_table,MATCH(DATE(Y$5,$J319,$I319),daily_dates,0),MATCH($B$3,daily_items,0))),NA(),INDEX(big_daily_table,MATCH(DATE(Y$5,$J319,$I319),daily_dates,0),MATCH($B$3,daily_items,0)))</f>
        <v>#N/A</v>
      </c>
      <c r="Z319" s="1" t="n">
        <f aca="true">_xlfn.AGGREGATE(5,6,OFFSET($R$5,H319,0,1,$J$2))</f>
        <v>0</v>
      </c>
      <c r="AA319" s="1" t="n">
        <f aca="true">_xlfn.AGGREGATE(4,6,OFFSET($R$5,H319,0,1,$J$2))</f>
        <v>0</v>
      </c>
      <c r="AB319" s="1" t="n">
        <f aca="false">AA319-Z319</f>
        <v>0</v>
      </c>
      <c r="AC319" s="1" t="e">
        <f aca="true">_xlfn.AGGREGATE(1,6,OFFSET($R$5,H319,0,1,$J$2))</f>
        <v>#DIV/0!</v>
      </c>
    </row>
    <row r="320" customFormat="false" ht="14.25" hidden="false" customHeight="false" outlineLevel="0" collapsed="false">
      <c r="H320" s="1" t="n">
        <f aca="false">H319+1</f>
        <v>315</v>
      </c>
      <c r="I320" s="1" t="n">
        <f aca="false">DAY(K320)</f>
        <v>10</v>
      </c>
      <c r="J320" s="1" t="n">
        <f aca="false">MONTH(K320)</f>
        <v>11</v>
      </c>
      <c r="K320" s="23" t="n">
        <f aca="false">K319+1</f>
        <v>36840</v>
      </c>
      <c r="L320" s="24" t="n">
        <f aca="true">IF(TODAY()&lt;DATE($N$5,J320,I320),1000000,-1000000)</f>
        <v>1000000</v>
      </c>
      <c r="M320" s="1" t="e">
        <f aca="false">IF(K320&gt;0,INDEX(big_daily_table,MATCH(DATE(N$5,$J320,$I320),daily_dates,0),MATCH($B$3,daily_items,0)),NA())</f>
        <v>#N/A</v>
      </c>
      <c r="N320" s="1" t="e">
        <f aca="false">IF(L320&lt;0,INDEX(big_daily_table,MATCH(DATE(N$5,$J320,$I320),daily_dates,0),MATCH($B$3,daily_items,0)),NA())</f>
        <v>#N/A</v>
      </c>
      <c r="O320" s="1" t="e">
        <f aca="false">IF(ISBLANK(INDEX(big_daily_table,MATCH(DATE(O$5,$J320,$I320),daily_dates,0),MATCH($B$3,daily_items,0))),NA(),INDEX(big_daily_table,MATCH(DATE(O$5,$J320,$I320),daily_dates,0),MATCH($B$3,daily_items,0)))</f>
        <v>#N/A</v>
      </c>
      <c r="P320" s="1" t="e">
        <f aca="false">IF(ISBLANK(INDEX(big_daily_table,MATCH(DATE(P$5,$J320,$I320),daily_dates,0),MATCH($B$3,daily_items,0))),NA(),INDEX(big_daily_table,MATCH(DATE(P$5,$J320,$I320),daily_dates,0),MATCH($B$3,daily_items,0)))</f>
        <v>#N/A</v>
      </c>
      <c r="Q320" s="1" t="e">
        <f aca="false">IF(ISBLANK(INDEX(big_daily_table,MATCH(DATE(Q$5,$J320,$I320),daily_dates,0),MATCH($B$3,daily_items,0))),NA(),INDEX(big_daily_table,MATCH(DATE(Q$5,$J320,$I320),daily_dates,0),MATCH($B$3,daily_items,0)))</f>
        <v>#N/A</v>
      </c>
      <c r="R320" s="1" t="e">
        <f aca="false">IF(ISBLANK(INDEX(big_daily_table,MATCH(DATE(R$5,$J320,$I320),daily_dates,0),MATCH($B$3,daily_items,0))),NA(),INDEX(big_daily_table,MATCH(DATE(R$5,$J320,$I320),daily_dates,0),MATCH($B$3,daily_items,0)))</f>
        <v>#N/A</v>
      </c>
      <c r="S320" s="1" t="e">
        <f aca="false">IF(ISBLANK(INDEX(big_daily_table,MATCH(DATE(S$5,$J320,$I320),daily_dates,0),MATCH($B$3,daily_items,0))),NA(),INDEX(big_daily_table,MATCH(DATE(S$5,$J320,$I320),daily_dates,0),MATCH($B$3,daily_items,0)))</f>
        <v>#N/A</v>
      </c>
      <c r="T320" s="1" t="e">
        <f aca="false">IF(ISBLANK(INDEX(big_daily_table,MATCH(DATE(T$5,$J320,$I320),daily_dates,0),MATCH($B$3,daily_items,0))),NA(),INDEX(big_daily_table,MATCH(DATE(T$5,$J320,$I320),daily_dates,0),MATCH($B$3,daily_items,0)))</f>
        <v>#N/A</v>
      </c>
      <c r="U320" s="1" t="e">
        <f aca="false">IF(ISBLANK(INDEX(big_daily_table,MATCH(DATE(U$5,$J320,$I320),daily_dates,0),MATCH($B$3,daily_items,0))),NA(),INDEX(big_daily_table,MATCH(DATE(U$5,$J320,$I320),daily_dates,0),MATCH($B$3,daily_items,0)))</f>
        <v>#N/A</v>
      </c>
      <c r="V320" s="1" t="e">
        <f aca="false">IF(ISBLANK(INDEX(big_daily_table,MATCH(DATE(V$5,$J320,$I320),daily_dates,0),MATCH($B$3,daily_items,0))),NA(),INDEX(big_daily_table,MATCH(DATE(V$5,$J320,$I320),daily_dates,0),MATCH($B$3,daily_items,0)))</f>
        <v>#N/A</v>
      </c>
      <c r="W320" s="1" t="e">
        <f aca="false">IF(ISBLANK(INDEX(big_daily_table,MATCH(DATE(W$5,$J320,$I320),daily_dates,0),MATCH($B$3,daily_items,0))),NA(),INDEX(big_daily_table,MATCH(DATE(W$5,$J320,$I320),daily_dates,0),MATCH($B$3,daily_items,0)))</f>
        <v>#N/A</v>
      </c>
      <c r="X320" s="1" t="e">
        <f aca="false">IF(ISBLANK(INDEX(big_daily_table,MATCH(DATE(X$5,$J320,$I320),daily_dates,0),MATCH($B$3,daily_items,0))),NA(),INDEX(big_daily_table,MATCH(DATE(X$5,$J320,$I320),daily_dates,0),MATCH($B$3,daily_items,0)))</f>
        <v>#N/A</v>
      </c>
      <c r="Y320" s="1" t="e">
        <f aca="false">IF(ISBLANK(INDEX(big_daily_table,MATCH(DATE(Y$5,$J320,$I320),daily_dates,0),MATCH($B$3,daily_items,0))),NA(),INDEX(big_daily_table,MATCH(DATE(Y$5,$J320,$I320),daily_dates,0),MATCH($B$3,daily_items,0)))</f>
        <v>#N/A</v>
      </c>
      <c r="Z320" s="1" t="n">
        <f aca="true">_xlfn.AGGREGATE(5,6,OFFSET($R$5,H320,0,1,$J$2))</f>
        <v>0</v>
      </c>
      <c r="AA320" s="1" t="n">
        <f aca="true">_xlfn.AGGREGATE(4,6,OFFSET($R$5,H320,0,1,$J$2))</f>
        <v>0</v>
      </c>
      <c r="AB320" s="1" t="n">
        <f aca="false">AA320-Z320</f>
        <v>0</v>
      </c>
      <c r="AC320" s="1" t="e">
        <f aca="true">_xlfn.AGGREGATE(1,6,OFFSET($R$5,H320,0,1,$J$2))</f>
        <v>#DIV/0!</v>
      </c>
    </row>
    <row r="321" customFormat="false" ht="14.25" hidden="false" customHeight="false" outlineLevel="0" collapsed="false">
      <c r="H321" s="1" t="n">
        <f aca="false">H320+1</f>
        <v>316</v>
      </c>
      <c r="I321" s="1" t="n">
        <f aca="false">DAY(K321)</f>
        <v>11</v>
      </c>
      <c r="J321" s="1" t="n">
        <f aca="false">MONTH(K321)</f>
        <v>11</v>
      </c>
      <c r="K321" s="23" t="n">
        <f aca="false">K320+1</f>
        <v>36841</v>
      </c>
      <c r="L321" s="24" t="n">
        <f aca="true">IF(TODAY()&lt;DATE($N$5,J321,I321),1000000,-1000000)</f>
        <v>1000000</v>
      </c>
      <c r="M321" s="1" t="e">
        <f aca="false">IF(K321&gt;0,INDEX(big_daily_table,MATCH(DATE(N$5,$J321,$I321),daily_dates,0),MATCH($B$3,daily_items,0)),NA())</f>
        <v>#N/A</v>
      </c>
      <c r="N321" s="1" t="e">
        <f aca="false">IF(L321&lt;0,INDEX(big_daily_table,MATCH(DATE(N$5,$J321,$I321),daily_dates,0),MATCH($B$3,daily_items,0)),NA())</f>
        <v>#N/A</v>
      </c>
      <c r="O321" s="1" t="e">
        <f aca="false">IF(ISBLANK(INDEX(big_daily_table,MATCH(DATE(O$5,$J321,$I321),daily_dates,0),MATCH($B$3,daily_items,0))),NA(),INDEX(big_daily_table,MATCH(DATE(O$5,$J321,$I321),daily_dates,0),MATCH($B$3,daily_items,0)))</f>
        <v>#N/A</v>
      </c>
      <c r="P321" s="1" t="e">
        <f aca="false">IF(ISBLANK(INDEX(big_daily_table,MATCH(DATE(P$5,$J321,$I321),daily_dates,0),MATCH($B$3,daily_items,0))),NA(),INDEX(big_daily_table,MATCH(DATE(P$5,$J321,$I321),daily_dates,0),MATCH($B$3,daily_items,0)))</f>
        <v>#N/A</v>
      </c>
      <c r="Q321" s="1" t="e">
        <f aca="false">IF(ISBLANK(INDEX(big_daily_table,MATCH(DATE(Q$5,$J321,$I321),daily_dates,0),MATCH($B$3,daily_items,0))),NA(),INDEX(big_daily_table,MATCH(DATE(Q$5,$J321,$I321),daily_dates,0),MATCH($B$3,daily_items,0)))</f>
        <v>#N/A</v>
      </c>
      <c r="R321" s="1" t="e">
        <f aca="false">IF(ISBLANK(INDEX(big_daily_table,MATCH(DATE(R$5,$J321,$I321),daily_dates,0),MATCH($B$3,daily_items,0))),NA(),INDEX(big_daily_table,MATCH(DATE(R$5,$J321,$I321),daily_dates,0),MATCH($B$3,daily_items,0)))</f>
        <v>#N/A</v>
      </c>
      <c r="S321" s="1" t="e">
        <f aca="false">IF(ISBLANK(INDEX(big_daily_table,MATCH(DATE(S$5,$J321,$I321),daily_dates,0),MATCH($B$3,daily_items,0))),NA(),INDEX(big_daily_table,MATCH(DATE(S$5,$J321,$I321),daily_dates,0),MATCH($B$3,daily_items,0)))</f>
        <v>#N/A</v>
      </c>
      <c r="T321" s="1" t="e">
        <f aca="false">IF(ISBLANK(INDEX(big_daily_table,MATCH(DATE(T$5,$J321,$I321),daily_dates,0),MATCH($B$3,daily_items,0))),NA(),INDEX(big_daily_table,MATCH(DATE(T$5,$J321,$I321),daily_dates,0),MATCH($B$3,daily_items,0)))</f>
        <v>#N/A</v>
      </c>
      <c r="U321" s="1" t="e">
        <f aca="false">IF(ISBLANK(INDEX(big_daily_table,MATCH(DATE(U$5,$J321,$I321),daily_dates,0),MATCH($B$3,daily_items,0))),NA(),INDEX(big_daily_table,MATCH(DATE(U$5,$J321,$I321),daily_dates,0),MATCH($B$3,daily_items,0)))</f>
        <v>#N/A</v>
      </c>
      <c r="V321" s="1" t="e">
        <f aca="false">IF(ISBLANK(INDEX(big_daily_table,MATCH(DATE(V$5,$J321,$I321),daily_dates,0),MATCH($B$3,daily_items,0))),NA(),INDEX(big_daily_table,MATCH(DATE(V$5,$J321,$I321),daily_dates,0),MATCH($B$3,daily_items,0)))</f>
        <v>#N/A</v>
      </c>
      <c r="W321" s="1" t="e">
        <f aca="false">IF(ISBLANK(INDEX(big_daily_table,MATCH(DATE(W$5,$J321,$I321),daily_dates,0),MATCH($B$3,daily_items,0))),NA(),INDEX(big_daily_table,MATCH(DATE(W$5,$J321,$I321),daily_dates,0),MATCH($B$3,daily_items,0)))</f>
        <v>#N/A</v>
      </c>
      <c r="X321" s="1" t="e">
        <f aca="false">IF(ISBLANK(INDEX(big_daily_table,MATCH(DATE(X$5,$J321,$I321),daily_dates,0),MATCH($B$3,daily_items,0))),NA(),INDEX(big_daily_table,MATCH(DATE(X$5,$J321,$I321),daily_dates,0),MATCH($B$3,daily_items,0)))</f>
        <v>#N/A</v>
      </c>
      <c r="Y321" s="1" t="e">
        <f aca="false">IF(ISBLANK(INDEX(big_daily_table,MATCH(DATE(Y$5,$J321,$I321),daily_dates,0),MATCH($B$3,daily_items,0))),NA(),INDEX(big_daily_table,MATCH(DATE(Y$5,$J321,$I321),daily_dates,0),MATCH($B$3,daily_items,0)))</f>
        <v>#N/A</v>
      </c>
      <c r="Z321" s="1" t="n">
        <f aca="true">_xlfn.AGGREGATE(5,6,OFFSET($R$5,H321,0,1,$J$2))</f>
        <v>0</v>
      </c>
      <c r="AA321" s="1" t="n">
        <f aca="true">_xlfn.AGGREGATE(4,6,OFFSET($R$5,H321,0,1,$J$2))</f>
        <v>0</v>
      </c>
      <c r="AB321" s="1" t="n">
        <f aca="false">AA321-Z321</f>
        <v>0</v>
      </c>
      <c r="AC321" s="1" t="e">
        <f aca="true">_xlfn.AGGREGATE(1,6,OFFSET($R$5,H321,0,1,$J$2))</f>
        <v>#DIV/0!</v>
      </c>
    </row>
    <row r="322" customFormat="false" ht="14.25" hidden="false" customHeight="false" outlineLevel="0" collapsed="false">
      <c r="H322" s="1" t="n">
        <f aca="false">H321+1</f>
        <v>317</v>
      </c>
      <c r="I322" s="1" t="n">
        <f aca="false">DAY(K322)</f>
        <v>12</v>
      </c>
      <c r="J322" s="1" t="n">
        <f aca="false">MONTH(K322)</f>
        <v>11</v>
      </c>
      <c r="K322" s="23" t="n">
        <f aca="false">K321+1</f>
        <v>36842</v>
      </c>
      <c r="L322" s="24" t="n">
        <f aca="true">IF(TODAY()&lt;DATE($N$5,J322,I322),1000000,-1000000)</f>
        <v>1000000</v>
      </c>
      <c r="M322" s="1" t="e">
        <f aca="false">IF(K322&gt;0,INDEX(big_daily_table,MATCH(DATE(N$5,$J322,$I322),daily_dates,0),MATCH($B$3,daily_items,0)),NA())</f>
        <v>#N/A</v>
      </c>
      <c r="N322" s="1" t="e">
        <f aca="false">IF(L322&lt;0,INDEX(big_daily_table,MATCH(DATE(N$5,$J322,$I322),daily_dates,0),MATCH($B$3,daily_items,0)),NA())</f>
        <v>#N/A</v>
      </c>
      <c r="O322" s="1" t="e">
        <f aca="false">IF(ISBLANK(INDEX(big_daily_table,MATCH(DATE(O$5,$J322,$I322),daily_dates,0),MATCH($B$3,daily_items,0))),NA(),INDEX(big_daily_table,MATCH(DATE(O$5,$J322,$I322),daily_dates,0),MATCH($B$3,daily_items,0)))</f>
        <v>#N/A</v>
      </c>
      <c r="P322" s="1" t="e">
        <f aca="false">IF(ISBLANK(INDEX(big_daily_table,MATCH(DATE(P$5,$J322,$I322),daily_dates,0),MATCH($B$3,daily_items,0))),NA(),INDEX(big_daily_table,MATCH(DATE(P$5,$J322,$I322),daily_dates,0),MATCH($B$3,daily_items,0)))</f>
        <v>#N/A</v>
      </c>
      <c r="Q322" s="1" t="e">
        <f aca="false">IF(ISBLANK(INDEX(big_daily_table,MATCH(DATE(Q$5,$J322,$I322),daily_dates,0),MATCH($B$3,daily_items,0))),NA(),INDEX(big_daily_table,MATCH(DATE(Q$5,$J322,$I322),daily_dates,0),MATCH($B$3,daily_items,0)))</f>
        <v>#N/A</v>
      </c>
      <c r="R322" s="1" t="e">
        <f aca="false">IF(ISBLANK(INDEX(big_daily_table,MATCH(DATE(R$5,$J322,$I322),daily_dates,0),MATCH($B$3,daily_items,0))),NA(),INDEX(big_daily_table,MATCH(DATE(R$5,$J322,$I322),daily_dates,0),MATCH($B$3,daily_items,0)))</f>
        <v>#N/A</v>
      </c>
      <c r="S322" s="1" t="e">
        <f aca="false">IF(ISBLANK(INDEX(big_daily_table,MATCH(DATE(S$5,$J322,$I322),daily_dates,0),MATCH($B$3,daily_items,0))),NA(),INDEX(big_daily_table,MATCH(DATE(S$5,$J322,$I322),daily_dates,0),MATCH($B$3,daily_items,0)))</f>
        <v>#N/A</v>
      </c>
      <c r="T322" s="1" t="e">
        <f aca="false">IF(ISBLANK(INDEX(big_daily_table,MATCH(DATE(T$5,$J322,$I322),daily_dates,0),MATCH($B$3,daily_items,0))),NA(),INDEX(big_daily_table,MATCH(DATE(T$5,$J322,$I322),daily_dates,0),MATCH($B$3,daily_items,0)))</f>
        <v>#N/A</v>
      </c>
      <c r="U322" s="1" t="e">
        <f aca="false">IF(ISBLANK(INDEX(big_daily_table,MATCH(DATE(U$5,$J322,$I322),daily_dates,0),MATCH($B$3,daily_items,0))),NA(),INDEX(big_daily_table,MATCH(DATE(U$5,$J322,$I322),daily_dates,0),MATCH($B$3,daily_items,0)))</f>
        <v>#N/A</v>
      </c>
      <c r="V322" s="1" t="e">
        <f aca="false">IF(ISBLANK(INDEX(big_daily_table,MATCH(DATE(V$5,$J322,$I322),daily_dates,0),MATCH($B$3,daily_items,0))),NA(),INDEX(big_daily_table,MATCH(DATE(V$5,$J322,$I322),daily_dates,0),MATCH($B$3,daily_items,0)))</f>
        <v>#N/A</v>
      </c>
      <c r="W322" s="1" t="e">
        <f aca="false">IF(ISBLANK(INDEX(big_daily_table,MATCH(DATE(W$5,$J322,$I322),daily_dates,0),MATCH($B$3,daily_items,0))),NA(),INDEX(big_daily_table,MATCH(DATE(W$5,$J322,$I322),daily_dates,0),MATCH($B$3,daily_items,0)))</f>
        <v>#N/A</v>
      </c>
      <c r="X322" s="1" t="e">
        <f aca="false">IF(ISBLANK(INDEX(big_daily_table,MATCH(DATE(X$5,$J322,$I322),daily_dates,0),MATCH($B$3,daily_items,0))),NA(),INDEX(big_daily_table,MATCH(DATE(X$5,$J322,$I322),daily_dates,0),MATCH($B$3,daily_items,0)))</f>
        <v>#N/A</v>
      </c>
      <c r="Y322" s="1" t="e">
        <f aca="false">IF(ISBLANK(INDEX(big_daily_table,MATCH(DATE(Y$5,$J322,$I322),daily_dates,0),MATCH($B$3,daily_items,0))),NA(),INDEX(big_daily_table,MATCH(DATE(Y$5,$J322,$I322),daily_dates,0),MATCH($B$3,daily_items,0)))</f>
        <v>#N/A</v>
      </c>
      <c r="Z322" s="1" t="n">
        <f aca="true">_xlfn.AGGREGATE(5,6,OFFSET($R$5,H322,0,1,$J$2))</f>
        <v>0</v>
      </c>
      <c r="AA322" s="1" t="n">
        <f aca="true">_xlfn.AGGREGATE(4,6,OFFSET($R$5,H322,0,1,$J$2))</f>
        <v>0</v>
      </c>
      <c r="AB322" s="1" t="n">
        <f aca="false">AA322-Z322</f>
        <v>0</v>
      </c>
      <c r="AC322" s="1" t="e">
        <f aca="true">_xlfn.AGGREGATE(1,6,OFFSET($R$5,H322,0,1,$J$2))</f>
        <v>#DIV/0!</v>
      </c>
    </row>
    <row r="323" customFormat="false" ht="14.25" hidden="false" customHeight="false" outlineLevel="0" collapsed="false">
      <c r="H323" s="1" t="n">
        <f aca="false">H322+1</f>
        <v>318</v>
      </c>
      <c r="I323" s="1" t="n">
        <f aca="false">DAY(K323)</f>
        <v>13</v>
      </c>
      <c r="J323" s="1" t="n">
        <f aca="false">MONTH(K323)</f>
        <v>11</v>
      </c>
      <c r="K323" s="23" t="n">
        <f aca="false">K322+1</f>
        <v>36843</v>
      </c>
      <c r="L323" s="24" t="n">
        <f aca="true">IF(TODAY()&lt;DATE($N$5,J323,I323),1000000,-1000000)</f>
        <v>1000000</v>
      </c>
      <c r="M323" s="1" t="e">
        <f aca="false">IF(K323&gt;0,INDEX(big_daily_table,MATCH(DATE(N$5,$J323,$I323),daily_dates,0),MATCH($B$3,daily_items,0)),NA())</f>
        <v>#N/A</v>
      </c>
      <c r="N323" s="1" t="e">
        <f aca="false">IF(L323&lt;0,INDEX(big_daily_table,MATCH(DATE(N$5,$J323,$I323),daily_dates,0),MATCH($B$3,daily_items,0)),NA())</f>
        <v>#N/A</v>
      </c>
      <c r="O323" s="1" t="e">
        <f aca="false">IF(ISBLANK(INDEX(big_daily_table,MATCH(DATE(O$5,$J323,$I323),daily_dates,0),MATCH($B$3,daily_items,0))),NA(),INDEX(big_daily_table,MATCH(DATE(O$5,$J323,$I323),daily_dates,0),MATCH($B$3,daily_items,0)))</f>
        <v>#N/A</v>
      </c>
      <c r="P323" s="1" t="e">
        <f aca="false">IF(ISBLANK(INDEX(big_daily_table,MATCH(DATE(P$5,$J323,$I323),daily_dates,0),MATCH($B$3,daily_items,0))),NA(),INDEX(big_daily_table,MATCH(DATE(P$5,$J323,$I323),daily_dates,0),MATCH($B$3,daily_items,0)))</f>
        <v>#N/A</v>
      </c>
      <c r="Q323" s="1" t="e">
        <f aca="false">IF(ISBLANK(INDEX(big_daily_table,MATCH(DATE(Q$5,$J323,$I323),daily_dates,0),MATCH($B$3,daily_items,0))),NA(),INDEX(big_daily_table,MATCH(DATE(Q$5,$J323,$I323),daily_dates,0),MATCH($B$3,daily_items,0)))</f>
        <v>#N/A</v>
      </c>
      <c r="R323" s="1" t="e">
        <f aca="false">IF(ISBLANK(INDEX(big_daily_table,MATCH(DATE(R$5,$J323,$I323),daily_dates,0),MATCH($B$3,daily_items,0))),NA(),INDEX(big_daily_table,MATCH(DATE(R$5,$J323,$I323),daily_dates,0),MATCH($B$3,daily_items,0)))</f>
        <v>#N/A</v>
      </c>
      <c r="S323" s="1" t="e">
        <f aca="false">IF(ISBLANK(INDEX(big_daily_table,MATCH(DATE(S$5,$J323,$I323),daily_dates,0),MATCH($B$3,daily_items,0))),NA(),INDEX(big_daily_table,MATCH(DATE(S$5,$J323,$I323),daily_dates,0),MATCH($B$3,daily_items,0)))</f>
        <v>#N/A</v>
      </c>
      <c r="T323" s="1" t="e">
        <f aca="false">IF(ISBLANK(INDEX(big_daily_table,MATCH(DATE(T$5,$J323,$I323),daily_dates,0),MATCH($B$3,daily_items,0))),NA(),INDEX(big_daily_table,MATCH(DATE(T$5,$J323,$I323),daily_dates,0),MATCH($B$3,daily_items,0)))</f>
        <v>#N/A</v>
      </c>
      <c r="U323" s="1" t="e">
        <f aca="false">IF(ISBLANK(INDEX(big_daily_table,MATCH(DATE(U$5,$J323,$I323),daily_dates,0),MATCH($B$3,daily_items,0))),NA(),INDEX(big_daily_table,MATCH(DATE(U$5,$J323,$I323),daily_dates,0),MATCH($B$3,daily_items,0)))</f>
        <v>#N/A</v>
      </c>
      <c r="V323" s="1" t="e">
        <f aca="false">IF(ISBLANK(INDEX(big_daily_table,MATCH(DATE(V$5,$J323,$I323),daily_dates,0),MATCH($B$3,daily_items,0))),NA(),INDEX(big_daily_table,MATCH(DATE(V$5,$J323,$I323),daily_dates,0),MATCH($B$3,daily_items,0)))</f>
        <v>#N/A</v>
      </c>
      <c r="W323" s="1" t="e">
        <f aca="false">IF(ISBLANK(INDEX(big_daily_table,MATCH(DATE(W$5,$J323,$I323),daily_dates,0),MATCH($B$3,daily_items,0))),NA(),INDEX(big_daily_table,MATCH(DATE(W$5,$J323,$I323),daily_dates,0),MATCH($B$3,daily_items,0)))</f>
        <v>#N/A</v>
      </c>
      <c r="X323" s="1" t="e">
        <f aca="false">IF(ISBLANK(INDEX(big_daily_table,MATCH(DATE(X$5,$J323,$I323),daily_dates,0),MATCH($B$3,daily_items,0))),NA(),INDEX(big_daily_table,MATCH(DATE(X$5,$J323,$I323),daily_dates,0),MATCH($B$3,daily_items,0)))</f>
        <v>#N/A</v>
      </c>
      <c r="Y323" s="1" t="e">
        <f aca="false">IF(ISBLANK(INDEX(big_daily_table,MATCH(DATE(Y$5,$J323,$I323),daily_dates,0),MATCH($B$3,daily_items,0))),NA(),INDEX(big_daily_table,MATCH(DATE(Y$5,$J323,$I323),daily_dates,0),MATCH($B$3,daily_items,0)))</f>
        <v>#N/A</v>
      </c>
      <c r="Z323" s="1" t="n">
        <f aca="true">_xlfn.AGGREGATE(5,6,OFFSET($R$5,H323,0,1,$J$2))</f>
        <v>0</v>
      </c>
      <c r="AA323" s="1" t="n">
        <f aca="true">_xlfn.AGGREGATE(4,6,OFFSET($R$5,H323,0,1,$J$2))</f>
        <v>0</v>
      </c>
      <c r="AB323" s="1" t="n">
        <f aca="false">AA323-Z323</f>
        <v>0</v>
      </c>
      <c r="AC323" s="1" t="e">
        <f aca="true">_xlfn.AGGREGATE(1,6,OFFSET($R$5,H323,0,1,$J$2))</f>
        <v>#DIV/0!</v>
      </c>
    </row>
    <row r="324" customFormat="false" ht="14.25" hidden="false" customHeight="false" outlineLevel="0" collapsed="false">
      <c r="H324" s="1" t="n">
        <f aca="false">H323+1</f>
        <v>319</v>
      </c>
      <c r="I324" s="1" t="n">
        <f aca="false">DAY(K324)</f>
        <v>14</v>
      </c>
      <c r="J324" s="1" t="n">
        <f aca="false">MONTH(K324)</f>
        <v>11</v>
      </c>
      <c r="K324" s="23" t="n">
        <f aca="false">K323+1</f>
        <v>36844</v>
      </c>
      <c r="L324" s="24" t="n">
        <f aca="true">IF(TODAY()&lt;DATE($N$5,J324,I324),1000000,-1000000)</f>
        <v>1000000</v>
      </c>
      <c r="M324" s="1" t="e">
        <f aca="false">IF(K324&gt;0,INDEX(big_daily_table,MATCH(DATE(N$5,$J324,$I324),daily_dates,0),MATCH($B$3,daily_items,0)),NA())</f>
        <v>#N/A</v>
      </c>
      <c r="N324" s="1" t="e">
        <f aca="false">IF(L324&lt;0,INDEX(big_daily_table,MATCH(DATE(N$5,$J324,$I324),daily_dates,0),MATCH($B$3,daily_items,0)),NA())</f>
        <v>#N/A</v>
      </c>
      <c r="O324" s="1" t="e">
        <f aca="false">IF(ISBLANK(INDEX(big_daily_table,MATCH(DATE(O$5,$J324,$I324),daily_dates,0),MATCH($B$3,daily_items,0))),NA(),INDEX(big_daily_table,MATCH(DATE(O$5,$J324,$I324),daily_dates,0),MATCH($B$3,daily_items,0)))</f>
        <v>#N/A</v>
      </c>
      <c r="P324" s="1" t="e">
        <f aca="false">IF(ISBLANK(INDEX(big_daily_table,MATCH(DATE(P$5,$J324,$I324),daily_dates,0),MATCH($B$3,daily_items,0))),NA(),INDEX(big_daily_table,MATCH(DATE(P$5,$J324,$I324),daily_dates,0),MATCH($B$3,daily_items,0)))</f>
        <v>#N/A</v>
      </c>
      <c r="Q324" s="1" t="e">
        <f aca="false">IF(ISBLANK(INDEX(big_daily_table,MATCH(DATE(Q$5,$J324,$I324),daily_dates,0),MATCH($B$3,daily_items,0))),NA(),INDEX(big_daily_table,MATCH(DATE(Q$5,$J324,$I324),daily_dates,0),MATCH($B$3,daily_items,0)))</f>
        <v>#N/A</v>
      </c>
      <c r="R324" s="1" t="e">
        <f aca="false">IF(ISBLANK(INDEX(big_daily_table,MATCH(DATE(R$5,$J324,$I324),daily_dates,0),MATCH($B$3,daily_items,0))),NA(),INDEX(big_daily_table,MATCH(DATE(R$5,$J324,$I324),daily_dates,0),MATCH($B$3,daily_items,0)))</f>
        <v>#N/A</v>
      </c>
      <c r="S324" s="1" t="e">
        <f aca="false">IF(ISBLANK(INDEX(big_daily_table,MATCH(DATE(S$5,$J324,$I324),daily_dates,0),MATCH($B$3,daily_items,0))),NA(),INDEX(big_daily_table,MATCH(DATE(S$5,$J324,$I324),daily_dates,0),MATCH($B$3,daily_items,0)))</f>
        <v>#N/A</v>
      </c>
      <c r="T324" s="1" t="e">
        <f aca="false">IF(ISBLANK(INDEX(big_daily_table,MATCH(DATE(T$5,$J324,$I324),daily_dates,0),MATCH($B$3,daily_items,0))),NA(),INDEX(big_daily_table,MATCH(DATE(T$5,$J324,$I324),daily_dates,0),MATCH($B$3,daily_items,0)))</f>
        <v>#N/A</v>
      </c>
      <c r="U324" s="1" t="e">
        <f aca="false">IF(ISBLANK(INDEX(big_daily_table,MATCH(DATE(U$5,$J324,$I324),daily_dates,0),MATCH($B$3,daily_items,0))),NA(),INDEX(big_daily_table,MATCH(DATE(U$5,$J324,$I324),daily_dates,0),MATCH($B$3,daily_items,0)))</f>
        <v>#N/A</v>
      </c>
      <c r="V324" s="1" t="e">
        <f aca="false">IF(ISBLANK(INDEX(big_daily_table,MATCH(DATE(V$5,$J324,$I324),daily_dates,0),MATCH($B$3,daily_items,0))),NA(),INDEX(big_daily_table,MATCH(DATE(V$5,$J324,$I324),daily_dates,0),MATCH($B$3,daily_items,0)))</f>
        <v>#N/A</v>
      </c>
      <c r="W324" s="1" t="e">
        <f aca="false">IF(ISBLANK(INDEX(big_daily_table,MATCH(DATE(W$5,$J324,$I324),daily_dates,0),MATCH($B$3,daily_items,0))),NA(),INDEX(big_daily_table,MATCH(DATE(W$5,$J324,$I324),daily_dates,0),MATCH($B$3,daily_items,0)))</f>
        <v>#N/A</v>
      </c>
      <c r="X324" s="1" t="e">
        <f aca="false">IF(ISBLANK(INDEX(big_daily_table,MATCH(DATE(X$5,$J324,$I324),daily_dates,0),MATCH($B$3,daily_items,0))),NA(),INDEX(big_daily_table,MATCH(DATE(X$5,$J324,$I324),daily_dates,0),MATCH($B$3,daily_items,0)))</f>
        <v>#N/A</v>
      </c>
      <c r="Y324" s="1" t="e">
        <f aca="false">IF(ISBLANK(INDEX(big_daily_table,MATCH(DATE(Y$5,$J324,$I324),daily_dates,0),MATCH($B$3,daily_items,0))),NA(),INDEX(big_daily_table,MATCH(DATE(Y$5,$J324,$I324),daily_dates,0),MATCH($B$3,daily_items,0)))</f>
        <v>#N/A</v>
      </c>
      <c r="Z324" s="1" t="n">
        <f aca="true">_xlfn.AGGREGATE(5,6,OFFSET($R$5,H324,0,1,$J$2))</f>
        <v>0</v>
      </c>
      <c r="AA324" s="1" t="n">
        <f aca="true">_xlfn.AGGREGATE(4,6,OFFSET($R$5,H324,0,1,$J$2))</f>
        <v>0</v>
      </c>
      <c r="AB324" s="1" t="n">
        <f aca="false">AA324-Z324</f>
        <v>0</v>
      </c>
      <c r="AC324" s="1" t="e">
        <f aca="true">_xlfn.AGGREGATE(1,6,OFFSET($R$5,H324,0,1,$J$2))</f>
        <v>#DIV/0!</v>
      </c>
    </row>
    <row r="325" customFormat="false" ht="14.25" hidden="false" customHeight="false" outlineLevel="0" collapsed="false">
      <c r="H325" s="1" t="n">
        <f aca="false">H324+1</f>
        <v>320</v>
      </c>
      <c r="I325" s="1" t="n">
        <f aca="false">DAY(K325)</f>
        <v>15</v>
      </c>
      <c r="J325" s="1" t="n">
        <f aca="false">MONTH(K325)</f>
        <v>11</v>
      </c>
      <c r="K325" s="23" t="n">
        <f aca="false">K324+1</f>
        <v>36845</v>
      </c>
      <c r="L325" s="24" t="n">
        <f aca="true">IF(TODAY()&lt;DATE($N$5,J325,I325),1000000,-1000000)</f>
        <v>1000000</v>
      </c>
      <c r="M325" s="1" t="e">
        <f aca="false">IF(K325&gt;0,INDEX(big_daily_table,MATCH(DATE(N$5,$J325,$I325),daily_dates,0),MATCH($B$3,daily_items,0)),NA())</f>
        <v>#N/A</v>
      </c>
      <c r="N325" s="1" t="e">
        <f aca="false">IF(L325&lt;0,INDEX(big_daily_table,MATCH(DATE(N$5,$J325,$I325),daily_dates,0),MATCH($B$3,daily_items,0)),NA())</f>
        <v>#N/A</v>
      </c>
      <c r="O325" s="1" t="e">
        <f aca="false">IF(ISBLANK(INDEX(big_daily_table,MATCH(DATE(O$5,$J325,$I325),daily_dates,0),MATCH($B$3,daily_items,0))),NA(),INDEX(big_daily_table,MATCH(DATE(O$5,$J325,$I325),daily_dates,0),MATCH($B$3,daily_items,0)))</f>
        <v>#N/A</v>
      </c>
      <c r="P325" s="1" t="e">
        <f aca="false">IF(ISBLANK(INDEX(big_daily_table,MATCH(DATE(P$5,$J325,$I325),daily_dates,0),MATCH($B$3,daily_items,0))),NA(),INDEX(big_daily_table,MATCH(DATE(P$5,$J325,$I325),daily_dates,0),MATCH($B$3,daily_items,0)))</f>
        <v>#N/A</v>
      </c>
      <c r="Q325" s="1" t="e">
        <f aca="false">IF(ISBLANK(INDEX(big_daily_table,MATCH(DATE(Q$5,$J325,$I325),daily_dates,0),MATCH($B$3,daily_items,0))),NA(),INDEX(big_daily_table,MATCH(DATE(Q$5,$J325,$I325),daily_dates,0),MATCH($B$3,daily_items,0)))</f>
        <v>#N/A</v>
      </c>
      <c r="R325" s="1" t="e">
        <f aca="false">IF(ISBLANK(INDEX(big_daily_table,MATCH(DATE(R$5,$J325,$I325),daily_dates,0),MATCH($B$3,daily_items,0))),NA(),INDEX(big_daily_table,MATCH(DATE(R$5,$J325,$I325),daily_dates,0),MATCH($B$3,daily_items,0)))</f>
        <v>#N/A</v>
      </c>
      <c r="S325" s="1" t="e">
        <f aca="false">IF(ISBLANK(INDEX(big_daily_table,MATCH(DATE(S$5,$J325,$I325),daily_dates,0),MATCH($B$3,daily_items,0))),NA(),INDEX(big_daily_table,MATCH(DATE(S$5,$J325,$I325),daily_dates,0),MATCH($B$3,daily_items,0)))</f>
        <v>#N/A</v>
      </c>
      <c r="T325" s="1" t="e">
        <f aca="false">IF(ISBLANK(INDEX(big_daily_table,MATCH(DATE(T$5,$J325,$I325),daily_dates,0),MATCH($B$3,daily_items,0))),NA(),INDEX(big_daily_table,MATCH(DATE(T$5,$J325,$I325),daily_dates,0),MATCH($B$3,daily_items,0)))</f>
        <v>#N/A</v>
      </c>
      <c r="U325" s="1" t="e">
        <f aca="false">IF(ISBLANK(INDEX(big_daily_table,MATCH(DATE(U$5,$J325,$I325),daily_dates,0),MATCH($B$3,daily_items,0))),NA(),INDEX(big_daily_table,MATCH(DATE(U$5,$J325,$I325),daily_dates,0),MATCH($B$3,daily_items,0)))</f>
        <v>#N/A</v>
      </c>
      <c r="V325" s="1" t="e">
        <f aca="false">IF(ISBLANK(INDEX(big_daily_table,MATCH(DATE(V$5,$J325,$I325),daily_dates,0),MATCH($B$3,daily_items,0))),NA(),INDEX(big_daily_table,MATCH(DATE(V$5,$J325,$I325),daily_dates,0),MATCH($B$3,daily_items,0)))</f>
        <v>#N/A</v>
      </c>
      <c r="W325" s="1" t="e">
        <f aca="false">IF(ISBLANK(INDEX(big_daily_table,MATCH(DATE(W$5,$J325,$I325),daily_dates,0),MATCH($B$3,daily_items,0))),NA(),INDEX(big_daily_table,MATCH(DATE(W$5,$J325,$I325),daily_dates,0),MATCH($B$3,daily_items,0)))</f>
        <v>#N/A</v>
      </c>
      <c r="X325" s="1" t="e">
        <f aca="false">IF(ISBLANK(INDEX(big_daily_table,MATCH(DATE(X$5,$J325,$I325),daily_dates,0),MATCH($B$3,daily_items,0))),NA(),INDEX(big_daily_table,MATCH(DATE(X$5,$J325,$I325),daily_dates,0),MATCH($B$3,daily_items,0)))</f>
        <v>#N/A</v>
      </c>
      <c r="Y325" s="1" t="e">
        <f aca="false">IF(ISBLANK(INDEX(big_daily_table,MATCH(DATE(Y$5,$J325,$I325),daily_dates,0),MATCH($B$3,daily_items,0))),NA(),INDEX(big_daily_table,MATCH(DATE(Y$5,$J325,$I325),daily_dates,0),MATCH($B$3,daily_items,0)))</f>
        <v>#N/A</v>
      </c>
      <c r="Z325" s="1" t="n">
        <f aca="true">_xlfn.AGGREGATE(5,6,OFFSET($R$5,H325,0,1,$J$2))</f>
        <v>0</v>
      </c>
      <c r="AA325" s="1" t="n">
        <f aca="true">_xlfn.AGGREGATE(4,6,OFFSET($R$5,H325,0,1,$J$2))</f>
        <v>0</v>
      </c>
      <c r="AB325" s="1" t="n">
        <f aca="false">AA325-Z325</f>
        <v>0</v>
      </c>
      <c r="AC325" s="1" t="e">
        <f aca="true">_xlfn.AGGREGATE(1,6,OFFSET($R$5,H325,0,1,$J$2))</f>
        <v>#DIV/0!</v>
      </c>
    </row>
    <row r="326" customFormat="false" ht="14.25" hidden="false" customHeight="false" outlineLevel="0" collapsed="false">
      <c r="H326" s="1" t="n">
        <f aca="false">H325+1</f>
        <v>321</v>
      </c>
      <c r="I326" s="1" t="n">
        <f aca="false">DAY(K326)</f>
        <v>16</v>
      </c>
      <c r="J326" s="1" t="n">
        <f aca="false">MONTH(K326)</f>
        <v>11</v>
      </c>
      <c r="K326" s="23" t="n">
        <f aca="false">K325+1</f>
        <v>36846</v>
      </c>
      <c r="L326" s="24" t="n">
        <f aca="true">IF(TODAY()&lt;DATE($N$5,J326,I326),1000000,-1000000)</f>
        <v>1000000</v>
      </c>
      <c r="M326" s="1" t="e">
        <f aca="false">IF(K326&gt;0,INDEX(big_daily_table,MATCH(DATE(N$5,$J326,$I326),daily_dates,0),MATCH($B$3,daily_items,0)),NA())</f>
        <v>#N/A</v>
      </c>
      <c r="N326" s="1" t="e">
        <f aca="false">IF(L326&lt;0,INDEX(big_daily_table,MATCH(DATE(N$5,$J326,$I326),daily_dates,0),MATCH($B$3,daily_items,0)),NA())</f>
        <v>#N/A</v>
      </c>
      <c r="O326" s="1" t="e">
        <f aca="false">IF(ISBLANK(INDEX(big_daily_table,MATCH(DATE(O$5,$J326,$I326),daily_dates,0),MATCH($B$3,daily_items,0))),NA(),INDEX(big_daily_table,MATCH(DATE(O$5,$J326,$I326),daily_dates,0),MATCH($B$3,daily_items,0)))</f>
        <v>#N/A</v>
      </c>
      <c r="P326" s="1" t="e">
        <f aca="false">IF(ISBLANK(INDEX(big_daily_table,MATCH(DATE(P$5,$J326,$I326),daily_dates,0),MATCH($B$3,daily_items,0))),NA(),INDEX(big_daily_table,MATCH(DATE(P$5,$J326,$I326),daily_dates,0),MATCH($B$3,daily_items,0)))</f>
        <v>#N/A</v>
      </c>
      <c r="Q326" s="1" t="e">
        <f aca="false">IF(ISBLANK(INDEX(big_daily_table,MATCH(DATE(Q$5,$J326,$I326),daily_dates,0),MATCH($B$3,daily_items,0))),NA(),INDEX(big_daily_table,MATCH(DATE(Q$5,$J326,$I326),daily_dates,0),MATCH($B$3,daily_items,0)))</f>
        <v>#N/A</v>
      </c>
      <c r="R326" s="1" t="e">
        <f aca="false">IF(ISBLANK(INDEX(big_daily_table,MATCH(DATE(R$5,$J326,$I326),daily_dates,0),MATCH($B$3,daily_items,0))),NA(),INDEX(big_daily_table,MATCH(DATE(R$5,$J326,$I326),daily_dates,0),MATCH($B$3,daily_items,0)))</f>
        <v>#N/A</v>
      </c>
      <c r="S326" s="1" t="e">
        <f aca="false">IF(ISBLANK(INDEX(big_daily_table,MATCH(DATE(S$5,$J326,$I326),daily_dates,0),MATCH($B$3,daily_items,0))),NA(),INDEX(big_daily_table,MATCH(DATE(S$5,$J326,$I326),daily_dates,0),MATCH($B$3,daily_items,0)))</f>
        <v>#N/A</v>
      </c>
      <c r="T326" s="1" t="e">
        <f aca="false">IF(ISBLANK(INDEX(big_daily_table,MATCH(DATE(T$5,$J326,$I326),daily_dates,0),MATCH($B$3,daily_items,0))),NA(),INDEX(big_daily_table,MATCH(DATE(T$5,$J326,$I326),daily_dates,0),MATCH($B$3,daily_items,0)))</f>
        <v>#N/A</v>
      </c>
      <c r="U326" s="1" t="e">
        <f aca="false">IF(ISBLANK(INDEX(big_daily_table,MATCH(DATE(U$5,$J326,$I326),daily_dates,0),MATCH($B$3,daily_items,0))),NA(),INDEX(big_daily_table,MATCH(DATE(U$5,$J326,$I326),daily_dates,0),MATCH($B$3,daily_items,0)))</f>
        <v>#N/A</v>
      </c>
      <c r="V326" s="1" t="e">
        <f aca="false">IF(ISBLANK(INDEX(big_daily_table,MATCH(DATE(V$5,$J326,$I326),daily_dates,0),MATCH($B$3,daily_items,0))),NA(),INDEX(big_daily_table,MATCH(DATE(V$5,$J326,$I326),daily_dates,0),MATCH($B$3,daily_items,0)))</f>
        <v>#N/A</v>
      </c>
      <c r="W326" s="1" t="e">
        <f aca="false">IF(ISBLANK(INDEX(big_daily_table,MATCH(DATE(W$5,$J326,$I326),daily_dates,0),MATCH($B$3,daily_items,0))),NA(),INDEX(big_daily_table,MATCH(DATE(W$5,$J326,$I326),daily_dates,0),MATCH($B$3,daily_items,0)))</f>
        <v>#N/A</v>
      </c>
      <c r="X326" s="1" t="e">
        <f aca="false">IF(ISBLANK(INDEX(big_daily_table,MATCH(DATE(X$5,$J326,$I326),daily_dates,0),MATCH($B$3,daily_items,0))),NA(),INDEX(big_daily_table,MATCH(DATE(X$5,$J326,$I326),daily_dates,0),MATCH($B$3,daily_items,0)))</f>
        <v>#N/A</v>
      </c>
      <c r="Y326" s="1" t="e">
        <f aca="false">IF(ISBLANK(INDEX(big_daily_table,MATCH(DATE(Y$5,$J326,$I326),daily_dates,0),MATCH($B$3,daily_items,0))),NA(),INDEX(big_daily_table,MATCH(DATE(Y$5,$J326,$I326),daily_dates,0),MATCH($B$3,daily_items,0)))</f>
        <v>#N/A</v>
      </c>
      <c r="Z326" s="1" t="n">
        <f aca="true">_xlfn.AGGREGATE(5,6,OFFSET($R$5,H326,0,1,$J$2))</f>
        <v>0</v>
      </c>
      <c r="AA326" s="1" t="n">
        <f aca="true">_xlfn.AGGREGATE(4,6,OFFSET($R$5,H326,0,1,$J$2))</f>
        <v>0</v>
      </c>
      <c r="AB326" s="1" t="n">
        <f aca="false">AA326-Z326</f>
        <v>0</v>
      </c>
      <c r="AC326" s="1" t="e">
        <f aca="true">_xlfn.AGGREGATE(1,6,OFFSET($R$5,H326,0,1,$J$2))</f>
        <v>#DIV/0!</v>
      </c>
    </row>
    <row r="327" customFormat="false" ht="14.25" hidden="false" customHeight="false" outlineLevel="0" collapsed="false">
      <c r="H327" s="1" t="n">
        <f aca="false">H326+1</f>
        <v>322</v>
      </c>
      <c r="I327" s="1" t="n">
        <f aca="false">DAY(K327)</f>
        <v>17</v>
      </c>
      <c r="J327" s="1" t="n">
        <f aca="false">MONTH(K327)</f>
        <v>11</v>
      </c>
      <c r="K327" s="23" t="n">
        <f aca="false">K326+1</f>
        <v>36847</v>
      </c>
      <c r="L327" s="24" t="n">
        <f aca="true">IF(TODAY()&lt;DATE($N$5,J327,I327),1000000,-1000000)</f>
        <v>1000000</v>
      </c>
      <c r="M327" s="1" t="e">
        <f aca="false">IF(K327&gt;0,INDEX(big_daily_table,MATCH(DATE(N$5,$J327,$I327),daily_dates,0),MATCH($B$3,daily_items,0)),NA())</f>
        <v>#N/A</v>
      </c>
      <c r="N327" s="1" t="e">
        <f aca="false">IF(L327&lt;0,INDEX(big_daily_table,MATCH(DATE(N$5,$J327,$I327),daily_dates,0),MATCH($B$3,daily_items,0)),NA())</f>
        <v>#N/A</v>
      </c>
      <c r="O327" s="1" t="e">
        <f aca="false">IF(ISBLANK(INDEX(big_daily_table,MATCH(DATE(O$5,$J327,$I327),daily_dates,0),MATCH($B$3,daily_items,0))),NA(),INDEX(big_daily_table,MATCH(DATE(O$5,$J327,$I327),daily_dates,0),MATCH($B$3,daily_items,0)))</f>
        <v>#N/A</v>
      </c>
      <c r="P327" s="1" t="e">
        <f aca="false">IF(ISBLANK(INDEX(big_daily_table,MATCH(DATE(P$5,$J327,$I327),daily_dates,0),MATCH($B$3,daily_items,0))),NA(),INDEX(big_daily_table,MATCH(DATE(P$5,$J327,$I327),daily_dates,0),MATCH($B$3,daily_items,0)))</f>
        <v>#N/A</v>
      </c>
      <c r="Q327" s="1" t="e">
        <f aca="false">IF(ISBLANK(INDEX(big_daily_table,MATCH(DATE(Q$5,$J327,$I327),daily_dates,0),MATCH($B$3,daily_items,0))),NA(),INDEX(big_daily_table,MATCH(DATE(Q$5,$J327,$I327),daily_dates,0),MATCH($B$3,daily_items,0)))</f>
        <v>#N/A</v>
      </c>
      <c r="R327" s="1" t="e">
        <f aca="false">IF(ISBLANK(INDEX(big_daily_table,MATCH(DATE(R$5,$J327,$I327),daily_dates,0),MATCH($B$3,daily_items,0))),NA(),INDEX(big_daily_table,MATCH(DATE(R$5,$J327,$I327),daily_dates,0),MATCH($B$3,daily_items,0)))</f>
        <v>#N/A</v>
      </c>
      <c r="S327" s="1" t="e">
        <f aca="false">IF(ISBLANK(INDEX(big_daily_table,MATCH(DATE(S$5,$J327,$I327),daily_dates,0),MATCH($B$3,daily_items,0))),NA(),INDEX(big_daily_table,MATCH(DATE(S$5,$J327,$I327),daily_dates,0),MATCH($B$3,daily_items,0)))</f>
        <v>#N/A</v>
      </c>
      <c r="T327" s="1" t="e">
        <f aca="false">IF(ISBLANK(INDEX(big_daily_table,MATCH(DATE(T$5,$J327,$I327),daily_dates,0),MATCH($B$3,daily_items,0))),NA(),INDEX(big_daily_table,MATCH(DATE(T$5,$J327,$I327),daily_dates,0),MATCH($B$3,daily_items,0)))</f>
        <v>#N/A</v>
      </c>
      <c r="U327" s="1" t="e">
        <f aca="false">IF(ISBLANK(INDEX(big_daily_table,MATCH(DATE(U$5,$J327,$I327),daily_dates,0),MATCH($B$3,daily_items,0))),NA(),INDEX(big_daily_table,MATCH(DATE(U$5,$J327,$I327),daily_dates,0),MATCH($B$3,daily_items,0)))</f>
        <v>#N/A</v>
      </c>
      <c r="V327" s="1" t="e">
        <f aca="false">IF(ISBLANK(INDEX(big_daily_table,MATCH(DATE(V$5,$J327,$I327),daily_dates,0),MATCH($B$3,daily_items,0))),NA(),INDEX(big_daily_table,MATCH(DATE(V$5,$J327,$I327),daily_dates,0),MATCH($B$3,daily_items,0)))</f>
        <v>#N/A</v>
      </c>
      <c r="W327" s="1" t="e">
        <f aca="false">IF(ISBLANK(INDEX(big_daily_table,MATCH(DATE(W$5,$J327,$I327),daily_dates,0),MATCH($B$3,daily_items,0))),NA(),INDEX(big_daily_table,MATCH(DATE(W$5,$J327,$I327),daily_dates,0),MATCH($B$3,daily_items,0)))</f>
        <v>#N/A</v>
      </c>
      <c r="X327" s="1" t="e">
        <f aca="false">IF(ISBLANK(INDEX(big_daily_table,MATCH(DATE(X$5,$J327,$I327),daily_dates,0),MATCH($B$3,daily_items,0))),NA(),INDEX(big_daily_table,MATCH(DATE(X$5,$J327,$I327),daily_dates,0),MATCH($B$3,daily_items,0)))</f>
        <v>#N/A</v>
      </c>
      <c r="Y327" s="1" t="e">
        <f aca="false">IF(ISBLANK(INDEX(big_daily_table,MATCH(DATE(Y$5,$J327,$I327),daily_dates,0),MATCH($B$3,daily_items,0))),NA(),INDEX(big_daily_table,MATCH(DATE(Y$5,$J327,$I327),daily_dates,0),MATCH($B$3,daily_items,0)))</f>
        <v>#N/A</v>
      </c>
      <c r="Z327" s="1" t="n">
        <f aca="true">_xlfn.AGGREGATE(5,6,OFFSET($R$5,H327,0,1,$J$2))</f>
        <v>0</v>
      </c>
      <c r="AA327" s="1" t="n">
        <f aca="true">_xlfn.AGGREGATE(4,6,OFFSET($R$5,H327,0,1,$J$2))</f>
        <v>0</v>
      </c>
      <c r="AB327" s="1" t="n">
        <f aca="false">AA327-Z327</f>
        <v>0</v>
      </c>
      <c r="AC327" s="1" t="e">
        <f aca="true">_xlfn.AGGREGATE(1,6,OFFSET($R$5,H327,0,1,$J$2))</f>
        <v>#DIV/0!</v>
      </c>
    </row>
    <row r="328" customFormat="false" ht="14.25" hidden="false" customHeight="false" outlineLevel="0" collapsed="false">
      <c r="H328" s="1" t="n">
        <f aca="false">H327+1</f>
        <v>323</v>
      </c>
      <c r="I328" s="1" t="n">
        <f aca="false">DAY(K328)</f>
        <v>18</v>
      </c>
      <c r="J328" s="1" t="n">
        <f aca="false">MONTH(K328)</f>
        <v>11</v>
      </c>
      <c r="K328" s="23" t="n">
        <f aca="false">K327+1</f>
        <v>36848</v>
      </c>
      <c r="L328" s="24" t="n">
        <f aca="true">IF(TODAY()&lt;DATE($N$5,J328,I328),1000000,-1000000)</f>
        <v>1000000</v>
      </c>
      <c r="M328" s="1" t="e">
        <f aca="false">IF(K328&gt;0,INDEX(big_daily_table,MATCH(DATE(N$5,$J328,$I328),daily_dates,0),MATCH($B$3,daily_items,0)),NA())</f>
        <v>#N/A</v>
      </c>
      <c r="N328" s="1" t="e">
        <f aca="false">IF(L328&lt;0,INDEX(big_daily_table,MATCH(DATE(N$5,$J328,$I328),daily_dates,0),MATCH($B$3,daily_items,0)),NA())</f>
        <v>#N/A</v>
      </c>
      <c r="O328" s="1" t="e">
        <f aca="false">IF(ISBLANK(INDEX(big_daily_table,MATCH(DATE(O$5,$J328,$I328),daily_dates,0),MATCH($B$3,daily_items,0))),NA(),INDEX(big_daily_table,MATCH(DATE(O$5,$J328,$I328),daily_dates,0),MATCH($B$3,daily_items,0)))</f>
        <v>#N/A</v>
      </c>
      <c r="P328" s="1" t="e">
        <f aca="false">IF(ISBLANK(INDEX(big_daily_table,MATCH(DATE(P$5,$J328,$I328),daily_dates,0),MATCH($B$3,daily_items,0))),NA(),INDEX(big_daily_table,MATCH(DATE(P$5,$J328,$I328),daily_dates,0),MATCH($B$3,daily_items,0)))</f>
        <v>#N/A</v>
      </c>
      <c r="Q328" s="1" t="e">
        <f aca="false">IF(ISBLANK(INDEX(big_daily_table,MATCH(DATE(Q$5,$J328,$I328),daily_dates,0),MATCH($B$3,daily_items,0))),NA(),INDEX(big_daily_table,MATCH(DATE(Q$5,$J328,$I328),daily_dates,0),MATCH($B$3,daily_items,0)))</f>
        <v>#N/A</v>
      </c>
      <c r="R328" s="1" t="e">
        <f aca="false">IF(ISBLANK(INDEX(big_daily_table,MATCH(DATE(R$5,$J328,$I328),daily_dates,0),MATCH($B$3,daily_items,0))),NA(),INDEX(big_daily_table,MATCH(DATE(R$5,$J328,$I328),daily_dates,0),MATCH($B$3,daily_items,0)))</f>
        <v>#N/A</v>
      </c>
      <c r="S328" s="1" t="e">
        <f aca="false">IF(ISBLANK(INDEX(big_daily_table,MATCH(DATE(S$5,$J328,$I328),daily_dates,0),MATCH($B$3,daily_items,0))),NA(),INDEX(big_daily_table,MATCH(DATE(S$5,$J328,$I328),daily_dates,0),MATCH($B$3,daily_items,0)))</f>
        <v>#N/A</v>
      </c>
      <c r="T328" s="1" t="e">
        <f aca="false">IF(ISBLANK(INDEX(big_daily_table,MATCH(DATE(T$5,$J328,$I328),daily_dates,0),MATCH($B$3,daily_items,0))),NA(),INDEX(big_daily_table,MATCH(DATE(T$5,$J328,$I328),daily_dates,0),MATCH($B$3,daily_items,0)))</f>
        <v>#N/A</v>
      </c>
      <c r="U328" s="1" t="e">
        <f aca="false">IF(ISBLANK(INDEX(big_daily_table,MATCH(DATE(U$5,$J328,$I328),daily_dates,0),MATCH($B$3,daily_items,0))),NA(),INDEX(big_daily_table,MATCH(DATE(U$5,$J328,$I328),daily_dates,0),MATCH($B$3,daily_items,0)))</f>
        <v>#N/A</v>
      </c>
      <c r="V328" s="1" t="e">
        <f aca="false">IF(ISBLANK(INDEX(big_daily_table,MATCH(DATE(V$5,$J328,$I328),daily_dates,0),MATCH($B$3,daily_items,0))),NA(),INDEX(big_daily_table,MATCH(DATE(V$5,$J328,$I328),daily_dates,0),MATCH($B$3,daily_items,0)))</f>
        <v>#N/A</v>
      </c>
      <c r="W328" s="1" t="e">
        <f aca="false">IF(ISBLANK(INDEX(big_daily_table,MATCH(DATE(W$5,$J328,$I328),daily_dates,0),MATCH($B$3,daily_items,0))),NA(),INDEX(big_daily_table,MATCH(DATE(W$5,$J328,$I328),daily_dates,0),MATCH($B$3,daily_items,0)))</f>
        <v>#N/A</v>
      </c>
      <c r="X328" s="1" t="e">
        <f aca="false">IF(ISBLANK(INDEX(big_daily_table,MATCH(DATE(X$5,$J328,$I328),daily_dates,0),MATCH($B$3,daily_items,0))),NA(),INDEX(big_daily_table,MATCH(DATE(X$5,$J328,$I328),daily_dates,0),MATCH($B$3,daily_items,0)))</f>
        <v>#N/A</v>
      </c>
      <c r="Y328" s="1" t="e">
        <f aca="false">IF(ISBLANK(INDEX(big_daily_table,MATCH(DATE(Y$5,$J328,$I328),daily_dates,0),MATCH($B$3,daily_items,0))),NA(),INDEX(big_daily_table,MATCH(DATE(Y$5,$J328,$I328),daily_dates,0),MATCH($B$3,daily_items,0)))</f>
        <v>#N/A</v>
      </c>
      <c r="Z328" s="1" t="n">
        <f aca="true">_xlfn.AGGREGATE(5,6,OFFSET($R$5,H328,0,1,$J$2))</f>
        <v>0</v>
      </c>
      <c r="AA328" s="1" t="n">
        <f aca="true">_xlfn.AGGREGATE(4,6,OFFSET($R$5,H328,0,1,$J$2))</f>
        <v>0</v>
      </c>
      <c r="AB328" s="1" t="n">
        <f aca="false">AA328-Z328</f>
        <v>0</v>
      </c>
      <c r="AC328" s="1" t="e">
        <f aca="true">_xlfn.AGGREGATE(1,6,OFFSET($R$5,H328,0,1,$J$2))</f>
        <v>#DIV/0!</v>
      </c>
    </row>
    <row r="329" customFormat="false" ht="14.25" hidden="false" customHeight="false" outlineLevel="0" collapsed="false">
      <c r="H329" s="1" t="n">
        <f aca="false">H328+1</f>
        <v>324</v>
      </c>
      <c r="I329" s="1" t="n">
        <f aca="false">DAY(K329)</f>
        <v>19</v>
      </c>
      <c r="J329" s="1" t="n">
        <f aca="false">MONTH(K329)</f>
        <v>11</v>
      </c>
      <c r="K329" s="23" t="n">
        <f aca="false">K328+1</f>
        <v>36849</v>
      </c>
      <c r="L329" s="24" t="n">
        <f aca="true">IF(TODAY()&lt;DATE($N$5,J329,I329),1000000,-1000000)</f>
        <v>1000000</v>
      </c>
      <c r="M329" s="1" t="e">
        <f aca="false">IF(K329&gt;0,INDEX(big_daily_table,MATCH(DATE(N$5,$J329,$I329),daily_dates,0),MATCH($B$3,daily_items,0)),NA())</f>
        <v>#N/A</v>
      </c>
      <c r="N329" s="1" t="e">
        <f aca="false">IF(L329&lt;0,INDEX(big_daily_table,MATCH(DATE(N$5,$J329,$I329),daily_dates,0),MATCH($B$3,daily_items,0)),NA())</f>
        <v>#N/A</v>
      </c>
      <c r="O329" s="1" t="e">
        <f aca="false">IF(ISBLANK(INDEX(big_daily_table,MATCH(DATE(O$5,$J329,$I329),daily_dates,0),MATCH($B$3,daily_items,0))),NA(),INDEX(big_daily_table,MATCH(DATE(O$5,$J329,$I329),daily_dates,0),MATCH($B$3,daily_items,0)))</f>
        <v>#N/A</v>
      </c>
      <c r="P329" s="1" t="e">
        <f aca="false">IF(ISBLANK(INDEX(big_daily_table,MATCH(DATE(P$5,$J329,$I329),daily_dates,0),MATCH($B$3,daily_items,0))),NA(),INDEX(big_daily_table,MATCH(DATE(P$5,$J329,$I329),daily_dates,0),MATCH($B$3,daily_items,0)))</f>
        <v>#N/A</v>
      </c>
      <c r="Q329" s="1" t="e">
        <f aca="false">IF(ISBLANK(INDEX(big_daily_table,MATCH(DATE(Q$5,$J329,$I329),daily_dates,0),MATCH($B$3,daily_items,0))),NA(),INDEX(big_daily_table,MATCH(DATE(Q$5,$J329,$I329),daily_dates,0),MATCH($B$3,daily_items,0)))</f>
        <v>#N/A</v>
      </c>
      <c r="R329" s="1" t="e">
        <f aca="false">IF(ISBLANK(INDEX(big_daily_table,MATCH(DATE(R$5,$J329,$I329),daily_dates,0),MATCH($B$3,daily_items,0))),NA(),INDEX(big_daily_table,MATCH(DATE(R$5,$J329,$I329),daily_dates,0),MATCH($B$3,daily_items,0)))</f>
        <v>#N/A</v>
      </c>
      <c r="S329" s="1" t="e">
        <f aca="false">IF(ISBLANK(INDEX(big_daily_table,MATCH(DATE(S$5,$J329,$I329),daily_dates,0),MATCH($B$3,daily_items,0))),NA(),INDEX(big_daily_table,MATCH(DATE(S$5,$J329,$I329),daily_dates,0),MATCH($B$3,daily_items,0)))</f>
        <v>#N/A</v>
      </c>
      <c r="T329" s="1" t="e">
        <f aca="false">IF(ISBLANK(INDEX(big_daily_table,MATCH(DATE(T$5,$J329,$I329),daily_dates,0),MATCH($B$3,daily_items,0))),NA(),INDEX(big_daily_table,MATCH(DATE(T$5,$J329,$I329),daily_dates,0),MATCH($B$3,daily_items,0)))</f>
        <v>#N/A</v>
      </c>
      <c r="U329" s="1" t="e">
        <f aca="false">IF(ISBLANK(INDEX(big_daily_table,MATCH(DATE(U$5,$J329,$I329),daily_dates,0),MATCH($B$3,daily_items,0))),NA(),INDEX(big_daily_table,MATCH(DATE(U$5,$J329,$I329),daily_dates,0),MATCH($B$3,daily_items,0)))</f>
        <v>#N/A</v>
      </c>
      <c r="V329" s="1" t="e">
        <f aca="false">IF(ISBLANK(INDEX(big_daily_table,MATCH(DATE(V$5,$J329,$I329),daily_dates,0),MATCH($B$3,daily_items,0))),NA(),INDEX(big_daily_table,MATCH(DATE(V$5,$J329,$I329),daily_dates,0),MATCH($B$3,daily_items,0)))</f>
        <v>#N/A</v>
      </c>
      <c r="W329" s="1" t="e">
        <f aca="false">IF(ISBLANK(INDEX(big_daily_table,MATCH(DATE(W$5,$J329,$I329),daily_dates,0),MATCH($B$3,daily_items,0))),NA(),INDEX(big_daily_table,MATCH(DATE(W$5,$J329,$I329),daily_dates,0),MATCH($B$3,daily_items,0)))</f>
        <v>#N/A</v>
      </c>
      <c r="X329" s="1" t="e">
        <f aca="false">IF(ISBLANK(INDEX(big_daily_table,MATCH(DATE(X$5,$J329,$I329),daily_dates,0),MATCH($B$3,daily_items,0))),NA(),INDEX(big_daily_table,MATCH(DATE(X$5,$J329,$I329),daily_dates,0),MATCH($B$3,daily_items,0)))</f>
        <v>#N/A</v>
      </c>
      <c r="Y329" s="1" t="e">
        <f aca="false">IF(ISBLANK(INDEX(big_daily_table,MATCH(DATE(Y$5,$J329,$I329),daily_dates,0),MATCH($B$3,daily_items,0))),NA(),INDEX(big_daily_table,MATCH(DATE(Y$5,$J329,$I329),daily_dates,0),MATCH($B$3,daily_items,0)))</f>
        <v>#N/A</v>
      </c>
      <c r="Z329" s="1" t="n">
        <f aca="true">_xlfn.AGGREGATE(5,6,OFFSET($R$5,H329,0,1,$J$2))</f>
        <v>0</v>
      </c>
      <c r="AA329" s="1" t="n">
        <f aca="true">_xlfn.AGGREGATE(4,6,OFFSET($R$5,H329,0,1,$J$2))</f>
        <v>0</v>
      </c>
      <c r="AB329" s="1" t="n">
        <f aca="false">AA329-Z329</f>
        <v>0</v>
      </c>
      <c r="AC329" s="1" t="e">
        <f aca="true">_xlfn.AGGREGATE(1,6,OFFSET($R$5,H329,0,1,$J$2))</f>
        <v>#DIV/0!</v>
      </c>
    </row>
    <row r="330" customFormat="false" ht="14.25" hidden="false" customHeight="false" outlineLevel="0" collapsed="false">
      <c r="H330" s="1" t="n">
        <f aca="false">H329+1</f>
        <v>325</v>
      </c>
      <c r="I330" s="1" t="n">
        <f aca="false">DAY(K330)</f>
        <v>20</v>
      </c>
      <c r="J330" s="1" t="n">
        <f aca="false">MONTH(K330)</f>
        <v>11</v>
      </c>
      <c r="K330" s="23" t="n">
        <f aca="false">K329+1</f>
        <v>36850</v>
      </c>
      <c r="L330" s="24" t="n">
        <f aca="true">IF(TODAY()&lt;DATE($N$5,J330,I330),1000000,-1000000)</f>
        <v>1000000</v>
      </c>
      <c r="M330" s="1" t="e">
        <f aca="false">IF(K330&gt;0,INDEX(big_daily_table,MATCH(DATE(N$5,$J330,$I330),daily_dates,0),MATCH($B$3,daily_items,0)),NA())</f>
        <v>#N/A</v>
      </c>
      <c r="N330" s="1" t="e">
        <f aca="false">IF(L330&lt;0,INDEX(big_daily_table,MATCH(DATE(N$5,$J330,$I330),daily_dates,0),MATCH($B$3,daily_items,0)),NA())</f>
        <v>#N/A</v>
      </c>
      <c r="O330" s="1" t="e">
        <f aca="false">IF(ISBLANK(INDEX(big_daily_table,MATCH(DATE(O$5,$J330,$I330),daily_dates,0),MATCH($B$3,daily_items,0))),NA(),INDEX(big_daily_table,MATCH(DATE(O$5,$J330,$I330),daily_dates,0),MATCH($B$3,daily_items,0)))</f>
        <v>#N/A</v>
      </c>
      <c r="P330" s="1" t="e">
        <f aca="false">IF(ISBLANK(INDEX(big_daily_table,MATCH(DATE(P$5,$J330,$I330),daily_dates,0),MATCH($B$3,daily_items,0))),NA(),INDEX(big_daily_table,MATCH(DATE(P$5,$J330,$I330),daily_dates,0),MATCH($B$3,daily_items,0)))</f>
        <v>#N/A</v>
      </c>
      <c r="Q330" s="1" t="e">
        <f aca="false">IF(ISBLANK(INDEX(big_daily_table,MATCH(DATE(Q$5,$J330,$I330),daily_dates,0),MATCH($B$3,daily_items,0))),NA(),INDEX(big_daily_table,MATCH(DATE(Q$5,$J330,$I330),daily_dates,0),MATCH($B$3,daily_items,0)))</f>
        <v>#N/A</v>
      </c>
      <c r="R330" s="1" t="e">
        <f aca="false">IF(ISBLANK(INDEX(big_daily_table,MATCH(DATE(R$5,$J330,$I330),daily_dates,0),MATCH($B$3,daily_items,0))),NA(),INDEX(big_daily_table,MATCH(DATE(R$5,$J330,$I330),daily_dates,0),MATCH($B$3,daily_items,0)))</f>
        <v>#N/A</v>
      </c>
      <c r="S330" s="1" t="e">
        <f aca="false">IF(ISBLANK(INDEX(big_daily_table,MATCH(DATE(S$5,$J330,$I330),daily_dates,0),MATCH($B$3,daily_items,0))),NA(),INDEX(big_daily_table,MATCH(DATE(S$5,$J330,$I330),daily_dates,0),MATCH($B$3,daily_items,0)))</f>
        <v>#N/A</v>
      </c>
      <c r="T330" s="1" t="e">
        <f aca="false">IF(ISBLANK(INDEX(big_daily_table,MATCH(DATE(T$5,$J330,$I330),daily_dates,0),MATCH($B$3,daily_items,0))),NA(),INDEX(big_daily_table,MATCH(DATE(T$5,$J330,$I330),daily_dates,0),MATCH($B$3,daily_items,0)))</f>
        <v>#N/A</v>
      </c>
      <c r="U330" s="1" t="e">
        <f aca="false">IF(ISBLANK(INDEX(big_daily_table,MATCH(DATE(U$5,$J330,$I330),daily_dates,0),MATCH($B$3,daily_items,0))),NA(),INDEX(big_daily_table,MATCH(DATE(U$5,$J330,$I330),daily_dates,0),MATCH($B$3,daily_items,0)))</f>
        <v>#N/A</v>
      </c>
      <c r="V330" s="1" t="e">
        <f aca="false">IF(ISBLANK(INDEX(big_daily_table,MATCH(DATE(V$5,$J330,$I330),daily_dates,0),MATCH($B$3,daily_items,0))),NA(),INDEX(big_daily_table,MATCH(DATE(V$5,$J330,$I330),daily_dates,0),MATCH($B$3,daily_items,0)))</f>
        <v>#N/A</v>
      </c>
      <c r="W330" s="1" t="e">
        <f aca="false">IF(ISBLANK(INDEX(big_daily_table,MATCH(DATE(W$5,$J330,$I330),daily_dates,0),MATCH($B$3,daily_items,0))),NA(),INDEX(big_daily_table,MATCH(DATE(W$5,$J330,$I330),daily_dates,0),MATCH($B$3,daily_items,0)))</f>
        <v>#N/A</v>
      </c>
      <c r="X330" s="1" t="e">
        <f aca="false">IF(ISBLANK(INDEX(big_daily_table,MATCH(DATE(X$5,$J330,$I330),daily_dates,0),MATCH($B$3,daily_items,0))),NA(),INDEX(big_daily_table,MATCH(DATE(X$5,$J330,$I330),daily_dates,0),MATCH($B$3,daily_items,0)))</f>
        <v>#N/A</v>
      </c>
      <c r="Y330" s="1" t="e">
        <f aca="false">IF(ISBLANK(INDEX(big_daily_table,MATCH(DATE(Y$5,$J330,$I330),daily_dates,0),MATCH($B$3,daily_items,0))),NA(),INDEX(big_daily_table,MATCH(DATE(Y$5,$J330,$I330),daily_dates,0),MATCH($B$3,daily_items,0)))</f>
        <v>#N/A</v>
      </c>
      <c r="Z330" s="1" t="n">
        <f aca="true">_xlfn.AGGREGATE(5,6,OFFSET($R$5,H330,0,1,$J$2))</f>
        <v>0</v>
      </c>
      <c r="AA330" s="1" t="n">
        <f aca="true">_xlfn.AGGREGATE(4,6,OFFSET($R$5,H330,0,1,$J$2))</f>
        <v>0</v>
      </c>
      <c r="AB330" s="1" t="n">
        <f aca="false">AA330-Z330</f>
        <v>0</v>
      </c>
      <c r="AC330" s="1" t="e">
        <f aca="true">_xlfn.AGGREGATE(1,6,OFFSET($R$5,H330,0,1,$J$2))</f>
        <v>#DIV/0!</v>
      </c>
    </row>
    <row r="331" customFormat="false" ht="14.25" hidden="false" customHeight="false" outlineLevel="0" collapsed="false">
      <c r="H331" s="1" t="n">
        <f aca="false">H330+1</f>
        <v>326</v>
      </c>
      <c r="I331" s="1" t="n">
        <f aca="false">DAY(K331)</f>
        <v>21</v>
      </c>
      <c r="J331" s="1" t="n">
        <f aca="false">MONTH(K331)</f>
        <v>11</v>
      </c>
      <c r="K331" s="23" t="n">
        <f aca="false">K330+1</f>
        <v>36851</v>
      </c>
      <c r="L331" s="24" t="n">
        <f aca="true">IF(TODAY()&lt;DATE($N$5,J331,I331),1000000,-1000000)</f>
        <v>1000000</v>
      </c>
      <c r="M331" s="1" t="e">
        <f aca="false">IF(K331&gt;0,INDEX(big_daily_table,MATCH(DATE(N$5,$J331,$I331),daily_dates,0),MATCH($B$3,daily_items,0)),NA())</f>
        <v>#N/A</v>
      </c>
      <c r="N331" s="1" t="e">
        <f aca="false">IF(L331&lt;0,INDEX(big_daily_table,MATCH(DATE(N$5,$J331,$I331),daily_dates,0),MATCH($B$3,daily_items,0)),NA())</f>
        <v>#N/A</v>
      </c>
      <c r="O331" s="1" t="e">
        <f aca="false">IF(ISBLANK(INDEX(big_daily_table,MATCH(DATE(O$5,$J331,$I331),daily_dates,0),MATCH($B$3,daily_items,0))),NA(),INDEX(big_daily_table,MATCH(DATE(O$5,$J331,$I331),daily_dates,0),MATCH($B$3,daily_items,0)))</f>
        <v>#N/A</v>
      </c>
      <c r="P331" s="1" t="e">
        <f aca="false">IF(ISBLANK(INDEX(big_daily_table,MATCH(DATE(P$5,$J331,$I331),daily_dates,0),MATCH($B$3,daily_items,0))),NA(),INDEX(big_daily_table,MATCH(DATE(P$5,$J331,$I331),daily_dates,0),MATCH($B$3,daily_items,0)))</f>
        <v>#N/A</v>
      </c>
      <c r="Q331" s="1" t="e">
        <f aca="false">IF(ISBLANK(INDEX(big_daily_table,MATCH(DATE(Q$5,$J331,$I331),daily_dates,0),MATCH($B$3,daily_items,0))),NA(),INDEX(big_daily_table,MATCH(DATE(Q$5,$J331,$I331),daily_dates,0),MATCH($B$3,daily_items,0)))</f>
        <v>#N/A</v>
      </c>
      <c r="R331" s="1" t="e">
        <f aca="false">IF(ISBLANK(INDEX(big_daily_table,MATCH(DATE(R$5,$J331,$I331),daily_dates,0),MATCH($B$3,daily_items,0))),NA(),INDEX(big_daily_table,MATCH(DATE(R$5,$J331,$I331),daily_dates,0),MATCH($B$3,daily_items,0)))</f>
        <v>#N/A</v>
      </c>
      <c r="S331" s="1" t="e">
        <f aca="false">IF(ISBLANK(INDEX(big_daily_table,MATCH(DATE(S$5,$J331,$I331),daily_dates,0),MATCH($B$3,daily_items,0))),NA(),INDEX(big_daily_table,MATCH(DATE(S$5,$J331,$I331),daily_dates,0),MATCH($B$3,daily_items,0)))</f>
        <v>#N/A</v>
      </c>
      <c r="T331" s="1" t="e">
        <f aca="false">IF(ISBLANK(INDEX(big_daily_table,MATCH(DATE(T$5,$J331,$I331),daily_dates,0),MATCH($B$3,daily_items,0))),NA(),INDEX(big_daily_table,MATCH(DATE(T$5,$J331,$I331),daily_dates,0),MATCH($B$3,daily_items,0)))</f>
        <v>#N/A</v>
      </c>
      <c r="U331" s="1" t="e">
        <f aca="false">IF(ISBLANK(INDEX(big_daily_table,MATCH(DATE(U$5,$J331,$I331),daily_dates,0),MATCH($B$3,daily_items,0))),NA(),INDEX(big_daily_table,MATCH(DATE(U$5,$J331,$I331),daily_dates,0),MATCH($B$3,daily_items,0)))</f>
        <v>#N/A</v>
      </c>
      <c r="V331" s="1" t="e">
        <f aca="false">IF(ISBLANK(INDEX(big_daily_table,MATCH(DATE(V$5,$J331,$I331),daily_dates,0),MATCH($B$3,daily_items,0))),NA(),INDEX(big_daily_table,MATCH(DATE(V$5,$J331,$I331),daily_dates,0),MATCH($B$3,daily_items,0)))</f>
        <v>#N/A</v>
      </c>
      <c r="W331" s="1" t="e">
        <f aca="false">IF(ISBLANK(INDEX(big_daily_table,MATCH(DATE(W$5,$J331,$I331),daily_dates,0),MATCH($B$3,daily_items,0))),NA(),INDEX(big_daily_table,MATCH(DATE(W$5,$J331,$I331),daily_dates,0),MATCH($B$3,daily_items,0)))</f>
        <v>#N/A</v>
      </c>
      <c r="X331" s="1" t="e">
        <f aca="false">IF(ISBLANK(INDEX(big_daily_table,MATCH(DATE(X$5,$J331,$I331),daily_dates,0),MATCH($B$3,daily_items,0))),NA(),INDEX(big_daily_table,MATCH(DATE(X$5,$J331,$I331),daily_dates,0),MATCH($B$3,daily_items,0)))</f>
        <v>#N/A</v>
      </c>
      <c r="Y331" s="1" t="e">
        <f aca="false">IF(ISBLANK(INDEX(big_daily_table,MATCH(DATE(Y$5,$J331,$I331),daily_dates,0),MATCH($B$3,daily_items,0))),NA(),INDEX(big_daily_table,MATCH(DATE(Y$5,$J331,$I331),daily_dates,0),MATCH($B$3,daily_items,0)))</f>
        <v>#N/A</v>
      </c>
      <c r="Z331" s="1" t="n">
        <f aca="true">_xlfn.AGGREGATE(5,6,OFFSET($R$5,H331,0,1,$J$2))</f>
        <v>0</v>
      </c>
      <c r="AA331" s="1" t="n">
        <f aca="true">_xlfn.AGGREGATE(4,6,OFFSET($R$5,H331,0,1,$J$2))</f>
        <v>0</v>
      </c>
      <c r="AB331" s="1" t="n">
        <f aca="false">AA331-Z331</f>
        <v>0</v>
      </c>
      <c r="AC331" s="1" t="e">
        <f aca="true">_xlfn.AGGREGATE(1,6,OFFSET($R$5,H331,0,1,$J$2))</f>
        <v>#DIV/0!</v>
      </c>
    </row>
    <row r="332" customFormat="false" ht="14.25" hidden="false" customHeight="false" outlineLevel="0" collapsed="false">
      <c r="H332" s="1" t="n">
        <f aca="false">H331+1</f>
        <v>327</v>
      </c>
      <c r="I332" s="1" t="n">
        <f aca="false">DAY(K332)</f>
        <v>22</v>
      </c>
      <c r="J332" s="1" t="n">
        <f aca="false">MONTH(K332)</f>
        <v>11</v>
      </c>
      <c r="K332" s="23" t="n">
        <f aca="false">K331+1</f>
        <v>36852</v>
      </c>
      <c r="L332" s="24" t="n">
        <f aca="true">IF(TODAY()&lt;DATE($N$5,J332,I332),1000000,-1000000)</f>
        <v>1000000</v>
      </c>
      <c r="M332" s="1" t="e">
        <f aca="false">IF(K332&gt;0,INDEX(big_daily_table,MATCH(DATE(N$5,$J332,$I332),daily_dates,0),MATCH($B$3,daily_items,0)),NA())</f>
        <v>#N/A</v>
      </c>
      <c r="N332" s="1" t="e">
        <f aca="false">IF(L332&lt;0,INDEX(big_daily_table,MATCH(DATE(N$5,$J332,$I332),daily_dates,0),MATCH($B$3,daily_items,0)),NA())</f>
        <v>#N/A</v>
      </c>
      <c r="O332" s="1" t="e">
        <f aca="false">IF(ISBLANK(INDEX(big_daily_table,MATCH(DATE(O$5,$J332,$I332),daily_dates,0),MATCH($B$3,daily_items,0))),NA(),INDEX(big_daily_table,MATCH(DATE(O$5,$J332,$I332),daily_dates,0),MATCH($B$3,daily_items,0)))</f>
        <v>#N/A</v>
      </c>
      <c r="P332" s="1" t="e">
        <f aca="false">IF(ISBLANK(INDEX(big_daily_table,MATCH(DATE(P$5,$J332,$I332),daily_dates,0),MATCH($B$3,daily_items,0))),NA(),INDEX(big_daily_table,MATCH(DATE(P$5,$J332,$I332),daily_dates,0),MATCH($B$3,daily_items,0)))</f>
        <v>#N/A</v>
      </c>
      <c r="Q332" s="1" t="e">
        <f aca="false">IF(ISBLANK(INDEX(big_daily_table,MATCH(DATE(Q$5,$J332,$I332),daily_dates,0),MATCH($B$3,daily_items,0))),NA(),INDEX(big_daily_table,MATCH(DATE(Q$5,$J332,$I332),daily_dates,0),MATCH($B$3,daily_items,0)))</f>
        <v>#N/A</v>
      </c>
      <c r="R332" s="1" t="e">
        <f aca="false">IF(ISBLANK(INDEX(big_daily_table,MATCH(DATE(R$5,$J332,$I332),daily_dates,0),MATCH($B$3,daily_items,0))),NA(),INDEX(big_daily_table,MATCH(DATE(R$5,$J332,$I332),daily_dates,0),MATCH($B$3,daily_items,0)))</f>
        <v>#N/A</v>
      </c>
      <c r="S332" s="1" t="e">
        <f aca="false">IF(ISBLANK(INDEX(big_daily_table,MATCH(DATE(S$5,$J332,$I332),daily_dates,0),MATCH($B$3,daily_items,0))),NA(),INDEX(big_daily_table,MATCH(DATE(S$5,$J332,$I332),daily_dates,0),MATCH($B$3,daily_items,0)))</f>
        <v>#N/A</v>
      </c>
      <c r="T332" s="1" t="e">
        <f aca="false">IF(ISBLANK(INDEX(big_daily_table,MATCH(DATE(T$5,$J332,$I332),daily_dates,0),MATCH($B$3,daily_items,0))),NA(),INDEX(big_daily_table,MATCH(DATE(T$5,$J332,$I332),daily_dates,0),MATCH($B$3,daily_items,0)))</f>
        <v>#N/A</v>
      </c>
      <c r="U332" s="1" t="e">
        <f aca="false">IF(ISBLANK(INDEX(big_daily_table,MATCH(DATE(U$5,$J332,$I332),daily_dates,0),MATCH($B$3,daily_items,0))),NA(),INDEX(big_daily_table,MATCH(DATE(U$5,$J332,$I332),daily_dates,0),MATCH($B$3,daily_items,0)))</f>
        <v>#N/A</v>
      </c>
      <c r="V332" s="1" t="e">
        <f aca="false">IF(ISBLANK(INDEX(big_daily_table,MATCH(DATE(V$5,$J332,$I332),daily_dates,0),MATCH($B$3,daily_items,0))),NA(),INDEX(big_daily_table,MATCH(DATE(V$5,$J332,$I332),daily_dates,0),MATCH($B$3,daily_items,0)))</f>
        <v>#N/A</v>
      </c>
      <c r="W332" s="1" t="e">
        <f aca="false">IF(ISBLANK(INDEX(big_daily_table,MATCH(DATE(W$5,$J332,$I332),daily_dates,0),MATCH($B$3,daily_items,0))),NA(),INDEX(big_daily_table,MATCH(DATE(W$5,$J332,$I332),daily_dates,0),MATCH($B$3,daily_items,0)))</f>
        <v>#N/A</v>
      </c>
      <c r="X332" s="1" t="e">
        <f aca="false">IF(ISBLANK(INDEX(big_daily_table,MATCH(DATE(X$5,$J332,$I332),daily_dates,0),MATCH($B$3,daily_items,0))),NA(),INDEX(big_daily_table,MATCH(DATE(X$5,$J332,$I332),daily_dates,0),MATCH($B$3,daily_items,0)))</f>
        <v>#N/A</v>
      </c>
      <c r="Y332" s="1" t="e">
        <f aca="false">IF(ISBLANK(INDEX(big_daily_table,MATCH(DATE(Y$5,$J332,$I332),daily_dates,0),MATCH($B$3,daily_items,0))),NA(),INDEX(big_daily_table,MATCH(DATE(Y$5,$J332,$I332),daily_dates,0),MATCH($B$3,daily_items,0)))</f>
        <v>#N/A</v>
      </c>
      <c r="Z332" s="1" t="n">
        <f aca="true">_xlfn.AGGREGATE(5,6,OFFSET($R$5,H332,0,1,$J$2))</f>
        <v>0</v>
      </c>
      <c r="AA332" s="1" t="n">
        <f aca="true">_xlfn.AGGREGATE(4,6,OFFSET($R$5,H332,0,1,$J$2))</f>
        <v>0</v>
      </c>
      <c r="AB332" s="1" t="n">
        <f aca="false">AA332-Z332</f>
        <v>0</v>
      </c>
      <c r="AC332" s="1" t="e">
        <f aca="true">_xlfn.AGGREGATE(1,6,OFFSET($R$5,H332,0,1,$J$2))</f>
        <v>#DIV/0!</v>
      </c>
    </row>
    <row r="333" customFormat="false" ht="14.25" hidden="false" customHeight="false" outlineLevel="0" collapsed="false">
      <c r="H333" s="1" t="n">
        <f aca="false">H332+1</f>
        <v>328</v>
      </c>
      <c r="I333" s="1" t="n">
        <f aca="false">DAY(K333)</f>
        <v>23</v>
      </c>
      <c r="J333" s="1" t="n">
        <f aca="false">MONTH(K333)</f>
        <v>11</v>
      </c>
      <c r="K333" s="23" t="n">
        <f aca="false">K332+1</f>
        <v>36853</v>
      </c>
      <c r="L333" s="24" t="n">
        <f aca="true">IF(TODAY()&lt;DATE($N$5,J333,I333),1000000,-1000000)</f>
        <v>1000000</v>
      </c>
      <c r="M333" s="1" t="e">
        <f aca="false">IF(K333&gt;0,INDEX(big_daily_table,MATCH(DATE(N$5,$J333,$I333),daily_dates,0),MATCH($B$3,daily_items,0)),NA())</f>
        <v>#N/A</v>
      </c>
      <c r="N333" s="1" t="e">
        <f aca="false">IF(L333&lt;0,INDEX(big_daily_table,MATCH(DATE(N$5,$J333,$I333),daily_dates,0),MATCH($B$3,daily_items,0)),NA())</f>
        <v>#N/A</v>
      </c>
      <c r="O333" s="1" t="e">
        <f aca="false">IF(ISBLANK(INDEX(big_daily_table,MATCH(DATE(O$5,$J333,$I333),daily_dates,0),MATCH($B$3,daily_items,0))),NA(),INDEX(big_daily_table,MATCH(DATE(O$5,$J333,$I333),daily_dates,0),MATCH($B$3,daily_items,0)))</f>
        <v>#N/A</v>
      </c>
      <c r="P333" s="1" t="e">
        <f aca="false">IF(ISBLANK(INDEX(big_daily_table,MATCH(DATE(P$5,$J333,$I333),daily_dates,0),MATCH($B$3,daily_items,0))),NA(),INDEX(big_daily_table,MATCH(DATE(P$5,$J333,$I333),daily_dates,0),MATCH($B$3,daily_items,0)))</f>
        <v>#N/A</v>
      </c>
      <c r="Q333" s="1" t="e">
        <f aca="false">IF(ISBLANK(INDEX(big_daily_table,MATCH(DATE(Q$5,$J333,$I333),daily_dates,0),MATCH($B$3,daily_items,0))),NA(),INDEX(big_daily_table,MATCH(DATE(Q$5,$J333,$I333),daily_dates,0),MATCH($B$3,daily_items,0)))</f>
        <v>#N/A</v>
      </c>
      <c r="R333" s="1" t="e">
        <f aca="false">IF(ISBLANK(INDEX(big_daily_table,MATCH(DATE(R$5,$J333,$I333),daily_dates,0),MATCH($B$3,daily_items,0))),NA(),INDEX(big_daily_table,MATCH(DATE(R$5,$J333,$I333),daily_dates,0),MATCH($B$3,daily_items,0)))</f>
        <v>#N/A</v>
      </c>
      <c r="S333" s="1" t="e">
        <f aca="false">IF(ISBLANK(INDEX(big_daily_table,MATCH(DATE(S$5,$J333,$I333),daily_dates,0),MATCH($B$3,daily_items,0))),NA(),INDEX(big_daily_table,MATCH(DATE(S$5,$J333,$I333),daily_dates,0),MATCH($B$3,daily_items,0)))</f>
        <v>#N/A</v>
      </c>
      <c r="T333" s="1" t="e">
        <f aca="false">IF(ISBLANK(INDEX(big_daily_table,MATCH(DATE(T$5,$J333,$I333),daily_dates,0),MATCH($B$3,daily_items,0))),NA(),INDEX(big_daily_table,MATCH(DATE(T$5,$J333,$I333),daily_dates,0),MATCH($B$3,daily_items,0)))</f>
        <v>#N/A</v>
      </c>
      <c r="U333" s="1" t="e">
        <f aca="false">IF(ISBLANK(INDEX(big_daily_table,MATCH(DATE(U$5,$J333,$I333),daily_dates,0),MATCH($B$3,daily_items,0))),NA(),INDEX(big_daily_table,MATCH(DATE(U$5,$J333,$I333),daily_dates,0),MATCH($B$3,daily_items,0)))</f>
        <v>#N/A</v>
      </c>
      <c r="V333" s="1" t="e">
        <f aca="false">IF(ISBLANK(INDEX(big_daily_table,MATCH(DATE(V$5,$J333,$I333),daily_dates,0),MATCH($B$3,daily_items,0))),NA(),INDEX(big_daily_table,MATCH(DATE(V$5,$J333,$I333),daily_dates,0),MATCH($B$3,daily_items,0)))</f>
        <v>#N/A</v>
      </c>
      <c r="W333" s="1" t="e">
        <f aca="false">IF(ISBLANK(INDEX(big_daily_table,MATCH(DATE(W$5,$J333,$I333),daily_dates,0),MATCH($B$3,daily_items,0))),NA(),INDEX(big_daily_table,MATCH(DATE(W$5,$J333,$I333),daily_dates,0),MATCH($B$3,daily_items,0)))</f>
        <v>#N/A</v>
      </c>
      <c r="X333" s="1" t="e">
        <f aca="false">IF(ISBLANK(INDEX(big_daily_table,MATCH(DATE(X$5,$J333,$I333),daily_dates,0),MATCH($B$3,daily_items,0))),NA(),INDEX(big_daily_table,MATCH(DATE(X$5,$J333,$I333),daily_dates,0),MATCH($B$3,daily_items,0)))</f>
        <v>#N/A</v>
      </c>
      <c r="Y333" s="1" t="e">
        <f aca="false">IF(ISBLANK(INDEX(big_daily_table,MATCH(DATE(Y$5,$J333,$I333),daily_dates,0),MATCH($B$3,daily_items,0))),NA(),INDEX(big_daily_table,MATCH(DATE(Y$5,$J333,$I333),daily_dates,0),MATCH($B$3,daily_items,0)))</f>
        <v>#N/A</v>
      </c>
      <c r="Z333" s="1" t="n">
        <f aca="true">_xlfn.AGGREGATE(5,6,OFFSET($R$5,H333,0,1,$J$2))</f>
        <v>0</v>
      </c>
      <c r="AA333" s="1" t="n">
        <f aca="true">_xlfn.AGGREGATE(4,6,OFFSET($R$5,H333,0,1,$J$2))</f>
        <v>0</v>
      </c>
      <c r="AB333" s="1" t="n">
        <f aca="false">AA333-Z333</f>
        <v>0</v>
      </c>
      <c r="AC333" s="1" t="e">
        <f aca="true">_xlfn.AGGREGATE(1,6,OFFSET($R$5,H333,0,1,$J$2))</f>
        <v>#DIV/0!</v>
      </c>
    </row>
    <row r="334" customFormat="false" ht="14.25" hidden="false" customHeight="false" outlineLevel="0" collapsed="false">
      <c r="H334" s="1" t="n">
        <f aca="false">H333+1</f>
        <v>329</v>
      </c>
      <c r="I334" s="1" t="n">
        <f aca="false">DAY(K334)</f>
        <v>24</v>
      </c>
      <c r="J334" s="1" t="n">
        <f aca="false">MONTH(K334)</f>
        <v>11</v>
      </c>
      <c r="K334" s="23" t="n">
        <f aca="false">K333+1</f>
        <v>36854</v>
      </c>
      <c r="L334" s="24" t="n">
        <f aca="true">IF(TODAY()&lt;DATE($N$5,J334,I334),1000000,-1000000)</f>
        <v>1000000</v>
      </c>
      <c r="M334" s="1" t="e">
        <f aca="false">IF(K334&gt;0,INDEX(big_daily_table,MATCH(DATE(N$5,$J334,$I334),daily_dates,0),MATCH($B$3,daily_items,0)),NA())</f>
        <v>#N/A</v>
      </c>
      <c r="N334" s="1" t="e">
        <f aca="false">IF(L334&lt;0,INDEX(big_daily_table,MATCH(DATE(N$5,$J334,$I334),daily_dates,0),MATCH($B$3,daily_items,0)),NA())</f>
        <v>#N/A</v>
      </c>
      <c r="O334" s="1" t="e">
        <f aca="false">IF(ISBLANK(INDEX(big_daily_table,MATCH(DATE(O$5,$J334,$I334),daily_dates,0),MATCH($B$3,daily_items,0))),NA(),INDEX(big_daily_table,MATCH(DATE(O$5,$J334,$I334),daily_dates,0),MATCH($B$3,daily_items,0)))</f>
        <v>#N/A</v>
      </c>
      <c r="P334" s="1" t="e">
        <f aca="false">IF(ISBLANK(INDEX(big_daily_table,MATCH(DATE(P$5,$J334,$I334),daily_dates,0),MATCH($B$3,daily_items,0))),NA(),INDEX(big_daily_table,MATCH(DATE(P$5,$J334,$I334),daily_dates,0),MATCH($B$3,daily_items,0)))</f>
        <v>#N/A</v>
      </c>
      <c r="Q334" s="1" t="e">
        <f aca="false">IF(ISBLANK(INDEX(big_daily_table,MATCH(DATE(Q$5,$J334,$I334),daily_dates,0),MATCH($B$3,daily_items,0))),NA(),INDEX(big_daily_table,MATCH(DATE(Q$5,$J334,$I334),daily_dates,0),MATCH($B$3,daily_items,0)))</f>
        <v>#N/A</v>
      </c>
      <c r="R334" s="1" t="e">
        <f aca="false">IF(ISBLANK(INDEX(big_daily_table,MATCH(DATE(R$5,$J334,$I334),daily_dates,0),MATCH($B$3,daily_items,0))),NA(),INDEX(big_daily_table,MATCH(DATE(R$5,$J334,$I334),daily_dates,0),MATCH($B$3,daily_items,0)))</f>
        <v>#N/A</v>
      </c>
      <c r="S334" s="1" t="e">
        <f aca="false">IF(ISBLANK(INDEX(big_daily_table,MATCH(DATE(S$5,$J334,$I334),daily_dates,0),MATCH($B$3,daily_items,0))),NA(),INDEX(big_daily_table,MATCH(DATE(S$5,$J334,$I334),daily_dates,0),MATCH($B$3,daily_items,0)))</f>
        <v>#N/A</v>
      </c>
      <c r="T334" s="1" t="e">
        <f aca="false">IF(ISBLANK(INDEX(big_daily_table,MATCH(DATE(T$5,$J334,$I334),daily_dates,0),MATCH($B$3,daily_items,0))),NA(),INDEX(big_daily_table,MATCH(DATE(T$5,$J334,$I334),daily_dates,0),MATCH($B$3,daily_items,0)))</f>
        <v>#N/A</v>
      </c>
      <c r="U334" s="1" t="e">
        <f aca="false">IF(ISBLANK(INDEX(big_daily_table,MATCH(DATE(U$5,$J334,$I334),daily_dates,0),MATCH($B$3,daily_items,0))),NA(),INDEX(big_daily_table,MATCH(DATE(U$5,$J334,$I334),daily_dates,0),MATCH($B$3,daily_items,0)))</f>
        <v>#N/A</v>
      </c>
      <c r="V334" s="1" t="e">
        <f aca="false">IF(ISBLANK(INDEX(big_daily_table,MATCH(DATE(V$5,$J334,$I334),daily_dates,0),MATCH($B$3,daily_items,0))),NA(),INDEX(big_daily_table,MATCH(DATE(V$5,$J334,$I334),daily_dates,0),MATCH($B$3,daily_items,0)))</f>
        <v>#N/A</v>
      </c>
      <c r="W334" s="1" t="e">
        <f aca="false">IF(ISBLANK(INDEX(big_daily_table,MATCH(DATE(W$5,$J334,$I334),daily_dates,0),MATCH($B$3,daily_items,0))),NA(),INDEX(big_daily_table,MATCH(DATE(W$5,$J334,$I334),daily_dates,0),MATCH($B$3,daily_items,0)))</f>
        <v>#N/A</v>
      </c>
      <c r="X334" s="1" t="e">
        <f aca="false">IF(ISBLANK(INDEX(big_daily_table,MATCH(DATE(X$5,$J334,$I334),daily_dates,0),MATCH($B$3,daily_items,0))),NA(),INDEX(big_daily_table,MATCH(DATE(X$5,$J334,$I334),daily_dates,0),MATCH($B$3,daily_items,0)))</f>
        <v>#N/A</v>
      </c>
      <c r="Y334" s="1" t="e">
        <f aca="false">IF(ISBLANK(INDEX(big_daily_table,MATCH(DATE(Y$5,$J334,$I334),daily_dates,0),MATCH($B$3,daily_items,0))),NA(),INDEX(big_daily_table,MATCH(DATE(Y$5,$J334,$I334),daily_dates,0),MATCH($B$3,daily_items,0)))</f>
        <v>#N/A</v>
      </c>
      <c r="Z334" s="1" t="n">
        <f aca="true">_xlfn.AGGREGATE(5,6,OFFSET($R$5,H334,0,1,$J$2))</f>
        <v>0</v>
      </c>
      <c r="AA334" s="1" t="n">
        <f aca="true">_xlfn.AGGREGATE(4,6,OFFSET($R$5,H334,0,1,$J$2))</f>
        <v>0</v>
      </c>
      <c r="AB334" s="1" t="n">
        <f aca="false">AA334-Z334</f>
        <v>0</v>
      </c>
      <c r="AC334" s="1" t="e">
        <f aca="true">_xlfn.AGGREGATE(1,6,OFFSET($R$5,H334,0,1,$J$2))</f>
        <v>#DIV/0!</v>
      </c>
    </row>
    <row r="335" customFormat="false" ht="14.25" hidden="false" customHeight="false" outlineLevel="0" collapsed="false">
      <c r="H335" s="1" t="n">
        <f aca="false">H334+1</f>
        <v>330</v>
      </c>
      <c r="I335" s="1" t="n">
        <f aca="false">DAY(K335)</f>
        <v>25</v>
      </c>
      <c r="J335" s="1" t="n">
        <f aca="false">MONTH(K335)</f>
        <v>11</v>
      </c>
      <c r="K335" s="23" t="n">
        <f aca="false">K334+1</f>
        <v>36855</v>
      </c>
      <c r="L335" s="24" t="n">
        <f aca="true">IF(TODAY()&lt;DATE($N$5,J335,I335),1000000,-1000000)</f>
        <v>1000000</v>
      </c>
      <c r="M335" s="1" t="e">
        <f aca="false">IF(K335&gt;0,INDEX(big_daily_table,MATCH(DATE(N$5,$J335,$I335),daily_dates,0),MATCH($B$3,daily_items,0)),NA())</f>
        <v>#N/A</v>
      </c>
      <c r="N335" s="1" t="e">
        <f aca="false">IF(L335&lt;0,INDEX(big_daily_table,MATCH(DATE(N$5,$J335,$I335),daily_dates,0),MATCH($B$3,daily_items,0)),NA())</f>
        <v>#N/A</v>
      </c>
      <c r="O335" s="1" t="e">
        <f aca="false">IF(ISBLANK(INDEX(big_daily_table,MATCH(DATE(O$5,$J335,$I335),daily_dates,0),MATCH($B$3,daily_items,0))),NA(),INDEX(big_daily_table,MATCH(DATE(O$5,$J335,$I335),daily_dates,0),MATCH($B$3,daily_items,0)))</f>
        <v>#N/A</v>
      </c>
      <c r="P335" s="1" t="e">
        <f aca="false">IF(ISBLANK(INDEX(big_daily_table,MATCH(DATE(P$5,$J335,$I335),daily_dates,0),MATCH($B$3,daily_items,0))),NA(),INDEX(big_daily_table,MATCH(DATE(P$5,$J335,$I335),daily_dates,0),MATCH($B$3,daily_items,0)))</f>
        <v>#N/A</v>
      </c>
      <c r="Q335" s="1" t="e">
        <f aca="false">IF(ISBLANK(INDEX(big_daily_table,MATCH(DATE(Q$5,$J335,$I335),daily_dates,0),MATCH($B$3,daily_items,0))),NA(),INDEX(big_daily_table,MATCH(DATE(Q$5,$J335,$I335),daily_dates,0),MATCH($B$3,daily_items,0)))</f>
        <v>#N/A</v>
      </c>
      <c r="R335" s="1" t="e">
        <f aca="false">IF(ISBLANK(INDEX(big_daily_table,MATCH(DATE(R$5,$J335,$I335),daily_dates,0),MATCH($B$3,daily_items,0))),NA(),INDEX(big_daily_table,MATCH(DATE(R$5,$J335,$I335),daily_dates,0),MATCH($B$3,daily_items,0)))</f>
        <v>#N/A</v>
      </c>
      <c r="S335" s="1" t="e">
        <f aca="false">IF(ISBLANK(INDEX(big_daily_table,MATCH(DATE(S$5,$J335,$I335),daily_dates,0),MATCH($B$3,daily_items,0))),NA(),INDEX(big_daily_table,MATCH(DATE(S$5,$J335,$I335),daily_dates,0),MATCH($B$3,daily_items,0)))</f>
        <v>#N/A</v>
      </c>
      <c r="T335" s="1" t="e">
        <f aca="false">IF(ISBLANK(INDEX(big_daily_table,MATCH(DATE(T$5,$J335,$I335),daily_dates,0),MATCH($B$3,daily_items,0))),NA(),INDEX(big_daily_table,MATCH(DATE(T$5,$J335,$I335),daily_dates,0),MATCH($B$3,daily_items,0)))</f>
        <v>#N/A</v>
      </c>
      <c r="U335" s="1" t="e">
        <f aca="false">IF(ISBLANK(INDEX(big_daily_table,MATCH(DATE(U$5,$J335,$I335),daily_dates,0),MATCH($B$3,daily_items,0))),NA(),INDEX(big_daily_table,MATCH(DATE(U$5,$J335,$I335),daily_dates,0),MATCH($B$3,daily_items,0)))</f>
        <v>#N/A</v>
      </c>
      <c r="V335" s="1" t="e">
        <f aca="false">IF(ISBLANK(INDEX(big_daily_table,MATCH(DATE(V$5,$J335,$I335),daily_dates,0),MATCH($B$3,daily_items,0))),NA(),INDEX(big_daily_table,MATCH(DATE(V$5,$J335,$I335),daily_dates,0),MATCH($B$3,daily_items,0)))</f>
        <v>#N/A</v>
      </c>
      <c r="W335" s="1" t="e">
        <f aca="false">IF(ISBLANK(INDEX(big_daily_table,MATCH(DATE(W$5,$J335,$I335),daily_dates,0),MATCH($B$3,daily_items,0))),NA(),INDEX(big_daily_table,MATCH(DATE(W$5,$J335,$I335),daily_dates,0),MATCH($B$3,daily_items,0)))</f>
        <v>#N/A</v>
      </c>
      <c r="X335" s="1" t="e">
        <f aca="false">IF(ISBLANK(INDEX(big_daily_table,MATCH(DATE(X$5,$J335,$I335),daily_dates,0),MATCH($B$3,daily_items,0))),NA(),INDEX(big_daily_table,MATCH(DATE(X$5,$J335,$I335),daily_dates,0),MATCH($B$3,daily_items,0)))</f>
        <v>#N/A</v>
      </c>
      <c r="Y335" s="1" t="e">
        <f aca="false">IF(ISBLANK(INDEX(big_daily_table,MATCH(DATE(Y$5,$J335,$I335),daily_dates,0),MATCH($B$3,daily_items,0))),NA(),INDEX(big_daily_table,MATCH(DATE(Y$5,$J335,$I335),daily_dates,0),MATCH($B$3,daily_items,0)))</f>
        <v>#N/A</v>
      </c>
      <c r="Z335" s="1" t="n">
        <f aca="true">_xlfn.AGGREGATE(5,6,OFFSET($R$5,H335,0,1,$J$2))</f>
        <v>0</v>
      </c>
      <c r="AA335" s="1" t="n">
        <f aca="true">_xlfn.AGGREGATE(4,6,OFFSET($R$5,H335,0,1,$J$2))</f>
        <v>0</v>
      </c>
      <c r="AB335" s="1" t="n">
        <f aca="false">AA335-Z335</f>
        <v>0</v>
      </c>
      <c r="AC335" s="1" t="e">
        <f aca="true">_xlfn.AGGREGATE(1,6,OFFSET($R$5,H335,0,1,$J$2))</f>
        <v>#DIV/0!</v>
      </c>
    </row>
    <row r="336" customFormat="false" ht="14.25" hidden="false" customHeight="false" outlineLevel="0" collapsed="false">
      <c r="H336" s="1" t="n">
        <f aca="false">H335+1</f>
        <v>331</v>
      </c>
      <c r="I336" s="1" t="n">
        <f aca="false">DAY(K336)</f>
        <v>26</v>
      </c>
      <c r="J336" s="1" t="n">
        <f aca="false">MONTH(K336)</f>
        <v>11</v>
      </c>
      <c r="K336" s="23" t="n">
        <f aca="false">K335+1</f>
        <v>36856</v>
      </c>
      <c r="L336" s="24" t="n">
        <f aca="true">IF(TODAY()&lt;DATE($N$5,J336,I336),1000000,-1000000)</f>
        <v>1000000</v>
      </c>
      <c r="M336" s="1" t="e">
        <f aca="false">IF(K336&gt;0,INDEX(big_daily_table,MATCH(DATE(N$5,$J336,$I336),daily_dates,0),MATCH($B$3,daily_items,0)),NA())</f>
        <v>#N/A</v>
      </c>
      <c r="N336" s="1" t="e">
        <f aca="false">IF(L336&lt;0,INDEX(big_daily_table,MATCH(DATE(N$5,$J336,$I336),daily_dates,0),MATCH($B$3,daily_items,0)),NA())</f>
        <v>#N/A</v>
      </c>
      <c r="O336" s="1" t="e">
        <f aca="false">IF(ISBLANK(INDEX(big_daily_table,MATCH(DATE(O$5,$J336,$I336),daily_dates,0),MATCH($B$3,daily_items,0))),NA(),INDEX(big_daily_table,MATCH(DATE(O$5,$J336,$I336),daily_dates,0),MATCH($B$3,daily_items,0)))</f>
        <v>#N/A</v>
      </c>
      <c r="P336" s="1" t="e">
        <f aca="false">IF(ISBLANK(INDEX(big_daily_table,MATCH(DATE(P$5,$J336,$I336),daily_dates,0),MATCH($B$3,daily_items,0))),NA(),INDEX(big_daily_table,MATCH(DATE(P$5,$J336,$I336),daily_dates,0),MATCH($B$3,daily_items,0)))</f>
        <v>#N/A</v>
      </c>
      <c r="Q336" s="1" t="e">
        <f aca="false">IF(ISBLANK(INDEX(big_daily_table,MATCH(DATE(Q$5,$J336,$I336),daily_dates,0),MATCH($B$3,daily_items,0))),NA(),INDEX(big_daily_table,MATCH(DATE(Q$5,$J336,$I336),daily_dates,0),MATCH($B$3,daily_items,0)))</f>
        <v>#N/A</v>
      </c>
      <c r="R336" s="1" t="e">
        <f aca="false">IF(ISBLANK(INDEX(big_daily_table,MATCH(DATE(R$5,$J336,$I336),daily_dates,0),MATCH($B$3,daily_items,0))),NA(),INDEX(big_daily_table,MATCH(DATE(R$5,$J336,$I336),daily_dates,0),MATCH($B$3,daily_items,0)))</f>
        <v>#N/A</v>
      </c>
      <c r="S336" s="1" t="e">
        <f aca="false">IF(ISBLANK(INDEX(big_daily_table,MATCH(DATE(S$5,$J336,$I336),daily_dates,0),MATCH($B$3,daily_items,0))),NA(),INDEX(big_daily_table,MATCH(DATE(S$5,$J336,$I336),daily_dates,0),MATCH($B$3,daily_items,0)))</f>
        <v>#N/A</v>
      </c>
      <c r="T336" s="1" t="e">
        <f aca="false">IF(ISBLANK(INDEX(big_daily_table,MATCH(DATE(T$5,$J336,$I336),daily_dates,0),MATCH($B$3,daily_items,0))),NA(),INDEX(big_daily_table,MATCH(DATE(T$5,$J336,$I336),daily_dates,0),MATCH($B$3,daily_items,0)))</f>
        <v>#N/A</v>
      </c>
      <c r="U336" s="1" t="e">
        <f aca="false">IF(ISBLANK(INDEX(big_daily_table,MATCH(DATE(U$5,$J336,$I336),daily_dates,0),MATCH($B$3,daily_items,0))),NA(),INDEX(big_daily_table,MATCH(DATE(U$5,$J336,$I336),daily_dates,0),MATCH($B$3,daily_items,0)))</f>
        <v>#N/A</v>
      </c>
      <c r="V336" s="1" t="e">
        <f aca="false">IF(ISBLANK(INDEX(big_daily_table,MATCH(DATE(V$5,$J336,$I336),daily_dates,0),MATCH($B$3,daily_items,0))),NA(),INDEX(big_daily_table,MATCH(DATE(V$5,$J336,$I336),daily_dates,0),MATCH($B$3,daily_items,0)))</f>
        <v>#N/A</v>
      </c>
      <c r="W336" s="1" t="e">
        <f aca="false">IF(ISBLANK(INDEX(big_daily_table,MATCH(DATE(W$5,$J336,$I336),daily_dates,0),MATCH($B$3,daily_items,0))),NA(),INDEX(big_daily_table,MATCH(DATE(W$5,$J336,$I336),daily_dates,0),MATCH($B$3,daily_items,0)))</f>
        <v>#N/A</v>
      </c>
      <c r="X336" s="1" t="e">
        <f aca="false">IF(ISBLANK(INDEX(big_daily_table,MATCH(DATE(X$5,$J336,$I336),daily_dates,0),MATCH($B$3,daily_items,0))),NA(),INDEX(big_daily_table,MATCH(DATE(X$5,$J336,$I336),daily_dates,0),MATCH($B$3,daily_items,0)))</f>
        <v>#N/A</v>
      </c>
      <c r="Y336" s="1" t="e">
        <f aca="false">IF(ISBLANK(INDEX(big_daily_table,MATCH(DATE(Y$5,$J336,$I336),daily_dates,0),MATCH($B$3,daily_items,0))),NA(),INDEX(big_daily_table,MATCH(DATE(Y$5,$J336,$I336),daily_dates,0),MATCH($B$3,daily_items,0)))</f>
        <v>#N/A</v>
      </c>
      <c r="Z336" s="1" t="n">
        <f aca="true">_xlfn.AGGREGATE(5,6,OFFSET($R$5,H336,0,1,$J$2))</f>
        <v>0</v>
      </c>
      <c r="AA336" s="1" t="n">
        <f aca="true">_xlfn.AGGREGATE(4,6,OFFSET($R$5,H336,0,1,$J$2))</f>
        <v>0</v>
      </c>
      <c r="AB336" s="1" t="n">
        <f aca="false">AA336-Z336</f>
        <v>0</v>
      </c>
      <c r="AC336" s="1" t="e">
        <f aca="true">_xlfn.AGGREGATE(1,6,OFFSET($R$5,H336,0,1,$J$2))</f>
        <v>#DIV/0!</v>
      </c>
    </row>
    <row r="337" customFormat="false" ht="14.25" hidden="false" customHeight="false" outlineLevel="0" collapsed="false">
      <c r="H337" s="1" t="n">
        <f aca="false">H336+1</f>
        <v>332</v>
      </c>
      <c r="I337" s="1" t="n">
        <f aca="false">DAY(K337)</f>
        <v>27</v>
      </c>
      <c r="J337" s="1" t="n">
        <f aca="false">MONTH(K337)</f>
        <v>11</v>
      </c>
      <c r="K337" s="23" t="n">
        <f aca="false">K336+1</f>
        <v>36857</v>
      </c>
      <c r="L337" s="24" t="n">
        <f aca="true">IF(TODAY()&lt;DATE($N$5,J337,I337),1000000,-1000000)</f>
        <v>1000000</v>
      </c>
      <c r="M337" s="1" t="e">
        <f aca="false">IF(K337&gt;0,INDEX(big_daily_table,MATCH(DATE(N$5,$J337,$I337),daily_dates,0),MATCH($B$3,daily_items,0)),NA())</f>
        <v>#N/A</v>
      </c>
      <c r="N337" s="1" t="e">
        <f aca="false">IF(L337&lt;0,INDEX(big_daily_table,MATCH(DATE(N$5,$J337,$I337),daily_dates,0),MATCH($B$3,daily_items,0)),NA())</f>
        <v>#N/A</v>
      </c>
      <c r="O337" s="1" t="e">
        <f aca="false">IF(ISBLANK(INDEX(big_daily_table,MATCH(DATE(O$5,$J337,$I337),daily_dates,0),MATCH($B$3,daily_items,0))),NA(),INDEX(big_daily_table,MATCH(DATE(O$5,$J337,$I337),daily_dates,0),MATCH($B$3,daily_items,0)))</f>
        <v>#N/A</v>
      </c>
      <c r="P337" s="1" t="e">
        <f aca="false">IF(ISBLANK(INDEX(big_daily_table,MATCH(DATE(P$5,$J337,$I337),daily_dates,0),MATCH($B$3,daily_items,0))),NA(),INDEX(big_daily_table,MATCH(DATE(P$5,$J337,$I337),daily_dates,0),MATCH($B$3,daily_items,0)))</f>
        <v>#N/A</v>
      </c>
      <c r="Q337" s="1" t="e">
        <f aca="false">IF(ISBLANK(INDEX(big_daily_table,MATCH(DATE(Q$5,$J337,$I337),daily_dates,0),MATCH($B$3,daily_items,0))),NA(),INDEX(big_daily_table,MATCH(DATE(Q$5,$J337,$I337),daily_dates,0),MATCH($B$3,daily_items,0)))</f>
        <v>#N/A</v>
      </c>
      <c r="R337" s="1" t="e">
        <f aca="false">IF(ISBLANK(INDEX(big_daily_table,MATCH(DATE(R$5,$J337,$I337),daily_dates,0),MATCH($B$3,daily_items,0))),NA(),INDEX(big_daily_table,MATCH(DATE(R$5,$J337,$I337),daily_dates,0),MATCH($B$3,daily_items,0)))</f>
        <v>#N/A</v>
      </c>
      <c r="S337" s="1" t="e">
        <f aca="false">IF(ISBLANK(INDEX(big_daily_table,MATCH(DATE(S$5,$J337,$I337),daily_dates,0),MATCH($B$3,daily_items,0))),NA(),INDEX(big_daily_table,MATCH(DATE(S$5,$J337,$I337),daily_dates,0),MATCH($B$3,daily_items,0)))</f>
        <v>#N/A</v>
      </c>
      <c r="T337" s="1" t="e">
        <f aca="false">IF(ISBLANK(INDEX(big_daily_table,MATCH(DATE(T$5,$J337,$I337),daily_dates,0),MATCH($B$3,daily_items,0))),NA(),INDEX(big_daily_table,MATCH(DATE(T$5,$J337,$I337),daily_dates,0),MATCH($B$3,daily_items,0)))</f>
        <v>#N/A</v>
      </c>
      <c r="U337" s="1" t="e">
        <f aca="false">IF(ISBLANK(INDEX(big_daily_table,MATCH(DATE(U$5,$J337,$I337),daily_dates,0),MATCH($B$3,daily_items,0))),NA(),INDEX(big_daily_table,MATCH(DATE(U$5,$J337,$I337),daily_dates,0),MATCH($B$3,daily_items,0)))</f>
        <v>#N/A</v>
      </c>
      <c r="V337" s="1" t="e">
        <f aca="false">IF(ISBLANK(INDEX(big_daily_table,MATCH(DATE(V$5,$J337,$I337),daily_dates,0),MATCH($B$3,daily_items,0))),NA(),INDEX(big_daily_table,MATCH(DATE(V$5,$J337,$I337),daily_dates,0),MATCH($B$3,daily_items,0)))</f>
        <v>#N/A</v>
      </c>
      <c r="W337" s="1" t="e">
        <f aca="false">IF(ISBLANK(INDEX(big_daily_table,MATCH(DATE(W$5,$J337,$I337),daily_dates,0),MATCH($B$3,daily_items,0))),NA(),INDEX(big_daily_table,MATCH(DATE(W$5,$J337,$I337),daily_dates,0),MATCH($B$3,daily_items,0)))</f>
        <v>#N/A</v>
      </c>
      <c r="X337" s="1" t="e">
        <f aca="false">IF(ISBLANK(INDEX(big_daily_table,MATCH(DATE(X$5,$J337,$I337),daily_dates,0),MATCH($B$3,daily_items,0))),NA(),INDEX(big_daily_table,MATCH(DATE(X$5,$J337,$I337),daily_dates,0),MATCH($B$3,daily_items,0)))</f>
        <v>#N/A</v>
      </c>
      <c r="Y337" s="1" t="e">
        <f aca="false">IF(ISBLANK(INDEX(big_daily_table,MATCH(DATE(Y$5,$J337,$I337),daily_dates,0),MATCH($B$3,daily_items,0))),NA(),INDEX(big_daily_table,MATCH(DATE(Y$5,$J337,$I337),daily_dates,0),MATCH($B$3,daily_items,0)))</f>
        <v>#N/A</v>
      </c>
      <c r="Z337" s="1" t="n">
        <f aca="true">_xlfn.AGGREGATE(5,6,OFFSET($R$5,H337,0,1,$J$2))</f>
        <v>0</v>
      </c>
      <c r="AA337" s="1" t="n">
        <f aca="true">_xlfn.AGGREGATE(4,6,OFFSET($R$5,H337,0,1,$J$2))</f>
        <v>0</v>
      </c>
      <c r="AB337" s="1" t="n">
        <f aca="false">AA337-Z337</f>
        <v>0</v>
      </c>
      <c r="AC337" s="1" t="e">
        <f aca="true">_xlfn.AGGREGATE(1,6,OFFSET($R$5,H337,0,1,$J$2))</f>
        <v>#DIV/0!</v>
      </c>
    </row>
    <row r="338" customFormat="false" ht="14.25" hidden="false" customHeight="false" outlineLevel="0" collapsed="false">
      <c r="H338" s="1" t="n">
        <f aca="false">H337+1</f>
        <v>333</v>
      </c>
      <c r="I338" s="1" t="n">
        <f aca="false">DAY(K338)</f>
        <v>28</v>
      </c>
      <c r="J338" s="1" t="n">
        <f aca="false">MONTH(K338)</f>
        <v>11</v>
      </c>
      <c r="K338" s="23" t="n">
        <f aca="false">K337+1</f>
        <v>36858</v>
      </c>
      <c r="L338" s="24" t="n">
        <f aca="true">IF(TODAY()&lt;DATE($N$5,J338,I338),1000000,-1000000)</f>
        <v>1000000</v>
      </c>
      <c r="M338" s="1" t="e">
        <f aca="false">IF(K338&gt;0,INDEX(big_daily_table,MATCH(DATE(N$5,$J338,$I338),daily_dates,0),MATCH($B$3,daily_items,0)),NA())</f>
        <v>#N/A</v>
      </c>
      <c r="N338" s="1" t="e">
        <f aca="false">IF(L338&lt;0,INDEX(big_daily_table,MATCH(DATE(N$5,$J338,$I338),daily_dates,0),MATCH($B$3,daily_items,0)),NA())</f>
        <v>#N/A</v>
      </c>
      <c r="O338" s="1" t="e">
        <f aca="false">IF(ISBLANK(INDEX(big_daily_table,MATCH(DATE(O$5,$J338,$I338),daily_dates,0),MATCH($B$3,daily_items,0))),NA(),INDEX(big_daily_table,MATCH(DATE(O$5,$J338,$I338),daily_dates,0),MATCH($B$3,daily_items,0)))</f>
        <v>#N/A</v>
      </c>
      <c r="P338" s="1" t="e">
        <f aca="false">IF(ISBLANK(INDEX(big_daily_table,MATCH(DATE(P$5,$J338,$I338),daily_dates,0),MATCH($B$3,daily_items,0))),NA(),INDEX(big_daily_table,MATCH(DATE(P$5,$J338,$I338),daily_dates,0),MATCH($B$3,daily_items,0)))</f>
        <v>#N/A</v>
      </c>
      <c r="Q338" s="1" t="e">
        <f aca="false">IF(ISBLANK(INDEX(big_daily_table,MATCH(DATE(Q$5,$J338,$I338),daily_dates,0),MATCH($B$3,daily_items,0))),NA(),INDEX(big_daily_table,MATCH(DATE(Q$5,$J338,$I338),daily_dates,0),MATCH($B$3,daily_items,0)))</f>
        <v>#N/A</v>
      </c>
      <c r="R338" s="1" t="e">
        <f aca="false">IF(ISBLANK(INDEX(big_daily_table,MATCH(DATE(R$5,$J338,$I338),daily_dates,0),MATCH($B$3,daily_items,0))),NA(),INDEX(big_daily_table,MATCH(DATE(R$5,$J338,$I338),daily_dates,0),MATCH($B$3,daily_items,0)))</f>
        <v>#N/A</v>
      </c>
      <c r="S338" s="1" t="e">
        <f aca="false">IF(ISBLANK(INDEX(big_daily_table,MATCH(DATE(S$5,$J338,$I338),daily_dates,0),MATCH($B$3,daily_items,0))),NA(),INDEX(big_daily_table,MATCH(DATE(S$5,$J338,$I338),daily_dates,0),MATCH($B$3,daily_items,0)))</f>
        <v>#N/A</v>
      </c>
      <c r="T338" s="1" t="e">
        <f aca="false">IF(ISBLANK(INDEX(big_daily_table,MATCH(DATE(T$5,$J338,$I338),daily_dates,0),MATCH($B$3,daily_items,0))),NA(),INDEX(big_daily_table,MATCH(DATE(T$5,$J338,$I338),daily_dates,0),MATCH($B$3,daily_items,0)))</f>
        <v>#N/A</v>
      </c>
      <c r="U338" s="1" t="e">
        <f aca="false">IF(ISBLANK(INDEX(big_daily_table,MATCH(DATE(U$5,$J338,$I338),daily_dates,0),MATCH($B$3,daily_items,0))),NA(),INDEX(big_daily_table,MATCH(DATE(U$5,$J338,$I338),daily_dates,0),MATCH($B$3,daily_items,0)))</f>
        <v>#N/A</v>
      </c>
      <c r="V338" s="1" t="e">
        <f aca="false">IF(ISBLANK(INDEX(big_daily_table,MATCH(DATE(V$5,$J338,$I338),daily_dates,0),MATCH($B$3,daily_items,0))),NA(),INDEX(big_daily_table,MATCH(DATE(V$5,$J338,$I338),daily_dates,0),MATCH($B$3,daily_items,0)))</f>
        <v>#N/A</v>
      </c>
      <c r="W338" s="1" t="e">
        <f aca="false">IF(ISBLANK(INDEX(big_daily_table,MATCH(DATE(W$5,$J338,$I338),daily_dates,0),MATCH($B$3,daily_items,0))),NA(),INDEX(big_daily_table,MATCH(DATE(W$5,$J338,$I338),daily_dates,0),MATCH($B$3,daily_items,0)))</f>
        <v>#N/A</v>
      </c>
      <c r="X338" s="1" t="e">
        <f aca="false">IF(ISBLANK(INDEX(big_daily_table,MATCH(DATE(X$5,$J338,$I338),daily_dates,0),MATCH($B$3,daily_items,0))),NA(),INDEX(big_daily_table,MATCH(DATE(X$5,$J338,$I338),daily_dates,0),MATCH($B$3,daily_items,0)))</f>
        <v>#N/A</v>
      </c>
      <c r="Y338" s="1" t="e">
        <f aca="false">IF(ISBLANK(INDEX(big_daily_table,MATCH(DATE(Y$5,$J338,$I338),daily_dates,0),MATCH($B$3,daily_items,0))),NA(),INDEX(big_daily_table,MATCH(DATE(Y$5,$J338,$I338),daily_dates,0),MATCH($B$3,daily_items,0)))</f>
        <v>#N/A</v>
      </c>
      <c r="Z338" s="1" t="n">
        <f aca="true">_xlfn.AGGREGATE(5,6,OFFSET($R$5,H338,0,1,$J$2))</f>
        <v>0</v>
      </c>
      <c r="AA338" s="1" t="n">
        <f aca="true">_xlfn.AGGREGATE(4,6,OFFSET($R$5,H338,0,1,$J$2))</f>
        <v>0</v>
      </c>
      <c r="AB338" s="1" t="n">
        <f aca="false">AA338-Z338</f>
        <v>0</v>
      </c>
      <c r="AC338" s="1" t="e">
        <f aca="true">_xlfn.AGGREGATE(1,6,OFFSET($R$5,H338,0,1,$J$2))</f>
        <v>#DIV/0!</v>
      </c>
    </row>
    <row r="339" customFormat="false" ht="14.25" hidden="false" customHeight="false" outlineLevel="0" collapsed="false">
      <c r="H339" s="1" t="n">
        <f aca="false">H338+1</f>
        <v>334</v>
      </c>
      <c r="I339" s="1" t="n">
        <f aca="false">DAY(K339)</f>
        <v>29</v>
      </c>
      <c r="J339" s="1" t="n">
        <f aca="false">MONTH(K339)</f>
        <v>11</v>
      </c>
      <c r="K339" s="23" t="n">
        <f aca="false">K338+1</f>
        <v>36859</v>
      </c>
      <c r="L339" s="24" t="n">
        <f aca="true">IF(TODAY()&lt;DATE($N$5,J339,I339),1000000,-1000000)</f>
        <v>1000000</v>
      </c>
      <c r="M339" s="1" t="e">
        <f aca="false">IF(K339&gt;0,INDEX(big_daily_table,MATCH(DATE(N$5,$J339,$I339),daily_dates,0),MATCH($B$3,daily_items,0)),NA())</f>
        <v>#N/A</v>
      </c>
      <c r="N339" s="1" t="e">
        <f aca="false">IF(L339&lt;0,INDEX(big_daily_table,MATCH(DATE(N$5,$J339,$I339),daily_dates,0),MATCH($B$3,daily_items,0)),NA())</f>
        <v>#N/A</v>
      </c>
      <c r="O339" s="1" t="e">
        <f aca="false">IF(ISBLANK(INDEX(big_daily_table,MATCH(DATE(O$5,$J339,$I339),daily_dates,0),MATCH($B$3,daily_items,0))),NA(),INDEX(big_daily_table,MATCH(DATE(O$5,$J339,$I339),daily_dates,0),MATCH($B$3,daily_items,0)))</f>
        <v>#N/A</v>
      </c>
      <c r="P339" s="1" t="e">
        <f aca="false">IF(ISBLANK(INDEX(big_daily_table,MATCH(DATE(P$5,$J339,$I339),daily_dates,0),MATCH($B$3,daily_items,0))),NA(),INDEX(big_daily_table,MATCH(DATE(P$5,$J339,$I339),daily_dates,0),MATCH($B$3,daily_items,0)))</f>
        <v>#N/A</v>
      </c>
      <c r="Q339" s="1" t="e">
        <f aca="false">IF(ISBLANK(INDEX(big_daily_table,MATCH(DATE(Q$5,$J339,$I339),daily_dates,0),MATCH($B$3,daily_items,0))),NA(),INDEX(big_daily_table,MATCH(DATE(Q$5,$J339,$I339),daily_dates,0),MATCH($B$3,daily_items,0)))</f>
        <v>#N/A</v>
      </c>
      <c r="R339" s="1" t="e">
        <f aca="false">IF(ISBLANK(INDEX(big_daily_table,MATCH(DATE(R$5,$J339,$I339),daily_dates,0),MATCH($B$3,daily_items,0))),NA(),INDEX(big_daily_table,MATCH(DATE(R$5,$J339,$I339),daily_dates,0),MATCH($B$3,daily_items,0)))</f>
        <v>#N/A</v>
      </c>
      <c r="S339" s="1" t="e">
        <f aca="false">IF(ISBLANK(INDEX(big_daily_table,MATCH(DATE(S$5,$J339,$I339),daily_dates,0),MATCH($B$3,daily_items,0))),NA(),INDEX(big_daily_table,MATCH(DATE(S$5,$J339,$I339),daily_dates,0),MATCH($B$3,daily_items,0)))</f>
        <v>#N/A</v>
      </c>
      <c r="T339" s="1" t="e">
        <f aca="false">IF(ISBLANK(INDEX(big_daily_table,MATCH(DATE(T$5,$J339,$I339),daily_dates,0),MATCH($B$3,daily_items,0))),NA(),INDEX(big_daily_table,MATCH(DATE(T$5,$J339,$I339),daily_dates,0),MATCH($B$3,daily_items,0)))</f>
        <v>#N/A</v>
      </c>
      <c r="U339" s="1" t="e">
        <f aca="false">IF(ISBLANK(INDEX(big_daily_table,MATCH(DATE(U$5,$J339,$I339),daily_dates,0),MATCH($B$3,daily_items,0))),NA(),INDEX(big_daily_table,MATCH(DATE(U$5,$J339,$I339),daily_dates,0),MATCH($B$3,daily_items,0)))</f>
        <v>#N/A</v>
      </c>
      <c r="V339" s="1" t="e">
        <f aca="false">IF(ISBLANK(INDEX(big_daily_table,MATCH(DATE(V$5,$J339,$I339),daily_dates,0),MATCH($B$3,daily_items,0))),NA(),INDEX(big_daily_table,MATCH(DATE(V$5,$J339,$I339),daily_dates,0),MATCH($B$3,daily_items,0)))</f>
        <v>#N/A</v>
      </c>
      <c r="W339" s="1" t="e">
        <f aca="false">IF(ISBLANK(INDEX(big_daily_table,MATCH(DATE(W$5,$J339,$I339),daily_dates,0),MATCH($B$3,daily_items,0))),NA(),INDEX(big_daily_table,MATCH(DATE(W$5,$J339,$I339),daily_dates,0),MATCH($B$3,daily_items,0)))</f>
        <v>#N/A</v>
      </c>
      <c r="X339" s="1" t="e">
        <f aca="false">IF(ISBLANK(INDEX(big_daily_table,MATCH(DATE(X$5,$J339,$I339),daily_dates,0),MATCH($B$3,daily_items,0))),NA(),INDEX(big_daily_table,MATCH(DATE(X$5,$J339,$I339),daily_dates,0),MATCH($B$3,daily_items,0)))</f>
        <v>#N/A</v>
      </c>
      <c r="Y339" s="1" t="e">
        <f aca="false">IF(ISBLANK(INDEX(big_daily_table,MATCH(DATE(Y$5,$J339,$I339),daily_dates,0),MATCH($B$3,daily_items,0))),NA(),INDEX(big_daily_table,MATCH(DATE(Y$5,$J339,$I339),daily_dates,0),MATCH($B$3,daily_items,0)))</f>
        <v>#N/A</v>
      </c>
      <c r="Z339" s="1" t="n">
        <f aca="true">_xlfn.AGGREGATE(5,6,OFFSET($R$5,H339,0,1,$J$2))</f>
        <v>0</v>
      </c>
      <c r="AA339" s="1" t="n">
        <f aca="true">_xlfn.AGGREGATE(4,6,OFFSET($R$5,H339,0,1,$J$2))</f>
        <v>0</v>
      </c>
      <c r="AB339" s="1" t="n">
        <f aca="false">AA339-Z339</f>
        <v>0</v>
      </c>
      <c r="AC339" s="1" t="e">
        <f aca="true">_xlfn.AGGREGATE(1,6,OFFSET($R$5,H339,0,1,$J$2))</f>
        <v>#DIV/0!</v>
      </c>
    </row>
    <row r="340" customFormat="false" ht="14.25" hidden="false" customHeight="false" outlineLevel="0" collapsed="false">
      <c r="H340" s="1" t="n">
        <f aca="false">H339+1</f>
        <v>335</v>
      </c>
      <c r="I340" s="1" t="n">
        <f aca="false">DAY(K340)</f>
        <v>30</v>
      </c>
      <c r="J340" s="1" t="n">
        <f aca="false">MONTH(K340)</f>
        <v>11</v>
      </c>
      <c r="K340" s="23" t="n">
        <f aca="false">K339+1</f>
        <v>36860</v>
      </c>
      <c r="L340" s="24" t="n">
        <f aca="true">IF(TODAY()&lt;DATE($N$5,J340,I340),1000000,-1000000)</f>
        <v>1000000</v>
      </c>
      <c r="M340" s="1" t="e">
        <f aca="false">IF(K340&gt;0,INDEX(big_daily_table,MATCH(DATE(N$5,$J340,$I340),daily_dates,0),MATCH($B$3,daily_items,0)),NA())</f>
        <v>#N/A</v>
      </c>
      <c r="N340" s="1" t="e">
        <f aca="false">IF(L340&lt;0,INDEX(big_daily_table,MATCH(DATE(N$5,$J340,$I340),daily_dates,0),MATCH($B$3,daily_items,0)),NA())</f>
        <v>#N/A</v>
      </c>
      <c r="O340" s="1" t="e">
        <f aca="false">IF(ISBLANK(INDEX(big_daily_table,MATCH(DATE(O$5,$J340,$I340),daily_dates,0),MATCH($B$3,daily_items,0))),NA(),INDEX(big_daily_table,MATCH(DATE(O$5,$J340,$I340),daily_dates,0),MATCH($B$3,daily_items,0)))</f>
        <v>#N/A</v>
      </c>
      <c r="P340" s="1" t="e">
        <f aca="false">IF(ISBLANK(INDEX(big_daily_table,MATCH(DATE(P$5,$J340,$I340),daily_dates,0),MATCH($B$3,daily_items,0))),NA(),INDEX(big_daily_table,MATCH(DATE(P$5,$J340,$I340),daily_dates,0),MATCH($B$3,daily_items,0)))</f>
        <v>#N/A</v>
      </c>
      <c r="Q340" s="1" t="e">
        <f aca="false">IF(ISBLANK(INDEX(big_daily_table,MATCH(DATE(Q$5,$J340,$I340),daily_dates,0),MATCH($B$3,daily_items,0))),NA(),INDEX(big_daily_table,MATCH(DATE(Q$5,$J340,$I340),daily_dates,0),MATCH($B$3,daily_items,0)))</f>
        <v>#N/A</v>
      </c>
      <c r="R340" s="1" t="e">
        <f aca="false">IF(ISBLANK(INDEX(big_daily_table,MATCH(DATE(R$5,$J340,$I340),daily_dates,0),MATCH($B$3,daily_items,0))),NA(),INDEX(big_daily_table,MATCH(DATE(R$5,$J340,$I340),daily_dates,0),MATCH($B$3,daily_items,0)))</f>
        <v>#N/A</v>
      </c>
      <c r="S340" s="1" t="e">
        <f aca="false">IF(ISBLANK(INDEX(big_daily_table,MATCH(DATE(S$5,$J340,$I340),daily_dates,0),MATCH($B$3,daily_items,0))),NA(),INDEX(big_daily_table,MATCH(DATE(S$5,$J340,$I340),daily_dates,0),MATCH($B$3,daily_items,0)))</f>
        <v>#N/A</v>
      </c>
      <c r="T340" s="1" t="e">
        <f aca="false">IF(ISBLANK(INDEX(big_daily_table,MATCH(DATE(T$5,$J340,$I340),daily_dates,0),MATCH($B$3,daily_items,0))),NA(),INDEX(big_daily_table,MATCH(DATE(T$5,$J340,$I340),daily_dates,0),MATCH($B$3,daily_items,0)))</f>
        <v>#N/A</v>
      </c>
      <c r="U340" s="1" t="e">
        <f aca="false">IF(ISBLANK(INDEX(big_daily_table,MATCH(DATE(U$5,$J340,$I340),daily_dates,0),MATCH($B$3,daily_items,0))),NA(),INDEX(big_daily_table,MATCH(DATE(U$5,$J340,$I340),daily_dates,0),MATCH($B$3,daily_items,0)))</f>
        <v>#N/A</v>
      </c>
      <c r="V340" s="1" t="e">
        <f aca="false">IF(ISBLANK(INDEX(big_daily_table,MATCH(DATE(V$5,$J340,$I340),daily_dates,0),MATCH($B$3,daily_items,0))),NA(),INDEX(big_daily_table,MATCH(DATE(V$5,$J340,$I340),daily_dates,0),MATCH($B$3,daily_items,0)))</f>
        <v>#N/A</v>
      </c>
      <c r="W340" s="1" t="e">
        <f aca="false">IF(ISBLANK(INDEX(big_daily_table,MATCH(DATE(W$5,$J340,$I340),daily_dates,0),MATCH($B$3,daily_items,0))),NA(),INDEX(big_daily_table,MATCH(DATE(W$5,$J340,$I340),daily_dates,0),MATCH($B$3,daily_items,0)))</f>
        <v>#N/A</v>
      </c>
      <c r="X340" s="1" t="e">
        <f aca="false">IF(ISBLANK(INDEX(big_daily_table,MATCH(DATE(X$5,$J340,$I340),daily_dates,0),MATCH($B$3,daily_items,0))),NA(),INDEX(big_daily_table,MATCH(DATE(X$5,$J340,$I340),daily_dates,0),MATCH($B$3,daily_items,0)))</f>
        <v>#N/A</v>
      </c>
      <c r="Y340" s="1" t="e">
        <f aca="false">IF(ISBLANK(INDEX(big_daily_table,MATCH(DATE(Y$5,$J340,$I340),daily_dates,0),MATCH($B$3,daily_items,0))),NA(),INDEX(big_daily_table,MATCH(DATE(Y$5,$J340,$I340),daily_dates,0),MATCH($B$3,daily_items,0)))</f>
        <v>#N/A</v>
      </c>
      <c r="Z340" s="1" t="n">
        <f aca="true">_xlfn.AGGREGATE(5,6,OFFSET($R$5,H340,0,1,$J$2))</f>
        <v>0</v>
      </c>
      <c r="AA340" s="1" t="n">
        <f aca="true">_xlfn.AGGREGATE(4,6,OFFSET($R$5,H340,0,1,$J$2))</f>
        <v>0</v>
      </c>
      <c r="AB340" s="1" t="n">
        <f aca="false">AA340-Z340</f>
        <v>0</v>
      </c>
      <c r="AC340" s="1" t="e">
        <f aca="true">_xlfn.AGGREGATE(1,6,OFFSET($R$5,H340,0,1,$J$2))</f>
        <v>#DIV/0!</v>
      </c>
    </row>
    <row r="341" customFormat="false" ht="14.25" hidden="false" customHeight="false" outlineLevel="0" collapsed="false">
      <c r="H341" s="1" t="n">
        <f aca="false">H340+1</f>
        <v>336</v>
      </c>
      <c r="I341" s="1" t="n">
        <f aca="false">DAY(K341)</f>
        <v>1</v>
      </c>
      <c r="J341" s="1" t="n">
        <f aca="false">MONTH(K341)</f>
        <v>12</v>
      </c>
      <c r="K341" s="23" t="n">
        <f aca="false">K340+1</f>
        <v>36861</v>
      </c>
      <c r="L341" s="24" t="n">
        <f aca="true">IF(TODAY()&lt;DATE($N$5,J341,I341),1000000,-1000000)</f>
        <v>1000000</v>
      </c>
      <c r="M341" s="1" t="e">
        <f aca="false">IF(K341&gt;0,INDEX(big_daily_table,MATCH(DATE(N$5,$J341,$I341),daily_dates,0),MATCH($B$3,daily_items,0)),NA())</f>
        <v>#N/A</v>
      </c>
      <c r="N341" s="1" t="e">
        <f aca="false">IF(L341&lt;0,INDEX(big_daily_table,MATCH(DATE(N$5,$J341,$I341),daily_dates,0),MATCH($B$3,daily_items,0)),NA())</f>
        <v>#N/A</v>
      </c>
      <c r="O341" s="1" t="e">
        <f aca="false">IF(ISBLANK(INDEX(big_daily_table,MATCH(DATE(O$5,$J341,$I341),daily_dates,0),MATCH($B$3,daily_items,0))),NA(),INDEX(big_daily_table,MATCH(DATE(O$5,$J341,$I341),daily_dates,0),MATCH($B$3,daily_items,0)))</f>
        <v>#N/A</v>
      </c>
      <c r="P341" s="1" t="e">
        <f aca="false">IF(ISBLANK(INDEX(big_daily_table,MATCH(DATE(P$5,$J341,$I341),daily_dates,0),MATCH($B$3,daily_items,0))),NA(),INDEX(big_daily_table,MATCH(DATE(P$5,$J341,$I341),daily_dates,0),MATCH($B$3,daily_items,0)))</f>
        <v>#N/A</v>
      </c>
      <c r="Q341" s="1" t="e">
        <f aca="false">IF(ISBLANK(INDEX(big_daily_table,MATCH(DATE(Q$5,$J341,$I341),daily_dates,0),MATCH($B$3,daily_items,0))),NA(),INDEX(big_daily_table,MATCH(DATE(Q$5,$J341,$I341),daily_dates,0),MATCH($B$3,daily_items,0)))</f>
        <v>#N/A</v>
      </c>
      <c r="R341" s="1" t="e">
        <f aca="false">IF(ISBLANK(INDEX(big_daily_table,MATCH(DATE(R$5,$J341,$I341),daily_dates,0),MATCH($B$3,daily_items,0))),NA(),INDEX(big_daily_table,MATCH(DATE(R$5,$J341,$I341),daily_dates,0),MATCH($B$3,daily_items,0)))</f>
        <v>#N/A</v>
      </c>
      <c r="S341" s="1" t="e">
        <f aca="false">IF(ISBLANK(INDEX(big_daily_table,MATCH(DATE(S$5,$J341,$I341),daily_dates,0),MATCH($B$3,daily_items,0))),NA(),INDEX(big_daily_table,MATCH(DATE(S$5,$J341,$I341),daily_dates,0),MATCH($B$3,daily_items,0)))</f>
        <v>#N/A</v>
      </c>
      <c r="T341" s="1" t="e">
        <f aca="false">IF(ISBLANK(INDEX(big_daily_table,MATCH(DATE(T$5,$J341,$I341),daily_dates,0),MATCH($B$3,daily_items,0))),NA(),INDEX(big_daily_table,MATCH(DATE(T$5,$J341,$I341),daily_dates,0),MATCH($B$3,daily_items,0)))</f>
        <v>#N/A</v>
      </c>
      <c r="U341" s="1" t="e">
        <f aca="false">IF(ISBLANK(INDEX(big_daily_table,MATCH(DATE(U$5,$J341,$I341),daily_dates,0),MATCH($B$3,daily_items,0))),NA(),INDEX(big_daily_table,MATCH(DATE(U$5,$J341,$I341),daily_dates,0),MATCH($B$3,daily_items,0)))</f>
        <v>#N/A</v>
      </c>
      <c r="V341" s="1" t="e">
        <f aca="false">IF(ISBLANK(INDEX(big_daily_table,MATCH(DATE(V$5,$J341,$I341),daily_dates,0),MATCH($B$3,daily_items,0))),NA(),INDEX(big_daily_table,MATCH(DATE(V$5,$J341,$I341),daily_dates,0),MATCH($B$3,daily_items,0)))</f>
        <v>#N/A</v>
      </c>
      <c r="W341" s="1" t="e">
        <f aca="false">IF(ISBLANK(INDEX(big_daily_table,MATCH(DATE(W$5,$J341,$I341),daily_dates,0),MATCH($B$3,daily_items,0))),NA(),INDEX(big_daily_table,MATCH(DATE(W$5,$J341,$I341),daily_dates,0),MATCH($B$3,daily_items,0)))</f>
        <v>#N/A</v>
      </c>
      <c r="X341" s="1" t="e">
        <f aca="false">IF(ISBLANK(INDEX(big_daily_table,MATCH(DATE(X$5,$J341,$I341),daily_dates,0),MATCH($B$3,daily_items,0))),NA(),INDEX(big_daily_table,MATCH(DATE(X$5,$J341,$I341),daily_dates,0),MATCH($B$3,daily_items,0)))</f>
        <v>#N/A</v>
      </c>
      <c r="Y341" s="1" t="e">
        <f aca="false">IF(ISBLANK(INDEX(big_daily_table,MATCH(DATE(Y$5,$J341,$I341),daily_dates,0),MATCH($B$3,daily_items,0))),NA(),INDEX(big_daily_table,MATCH(DATE(Y$5,$J341,$I341),daily_dates,0),MATCH($B$3,daily_items,0)))</f>
        <v>#N/A</v>
      </c>
      <c r="Z341" s="1" t="n">
        <f aca="true">_xlfn.AGGREGATE(5,6,OFFSET($R$5,H341,0,1,$J$2))</f>
        <v>0</v>
      </c>
      <c r="AA341" s="1" t="n">
        <f aca="true">_xlfn.AGGREGATE(4,6,OFFSET($R$5,H341,0,1,$J$2))</f>
        <v>0</v>
      </c>
      <c r="AB341" s="1" t="n">
        <f aca="false">AA341-Z341</f>
        <v>0</v>
      </c>
      <c r="AC341" s="1" t="e">
        <f aca="true">_xlfn.AGGREGATE(1,6,OFFSET($R$5,H341,0,1,$J$2))</f>
        <v>#DIV/0!</v>
      </c>
    </row>
    <row r="342" customFormat="false" ht="14.25" hidden="false" customHeight="false" outlineLevel="0" collapsed="false">
      <c r="H342" s="1" t="n">
        <f aca="false">H341+1</f>
        <v>337</v>
      </c>
      <c r="I342" s="1" t="n">
        <f aca="false">DAY(K342)</f>
        <v>2</v>
      </c>
      <c r="J342" s="1" t="n">
        <f aca="false">MONTH(K342)</f>
        <v>12</v>
      </c>
      <c r="K342" s="23" t="n">
        <f aca="false">K341+1</f>
        <v>36862</v>
      </c>
      <c r="L342" s="24" t="n">
        <f aca="true">IF(TODAY()&lt;DATE($N$5,J342,I342),1000000,-1000000)</f>
        <v>1000000</v>
      </c>
      <c r="M342" s="1" t="e">
        <f aca="false">IF(K342&gt;0,INDEX(big_daily_table,MATCH(DATE(N$5,$J342,$I342),daily_dates,0),MATCH($B$3,daily_items,0)),NA())</f>
        <v>#N/A</v>
      </c>
      <c r="N342" s="1" t="e">
        <f aca="false">IF(L342&lt;0,INDEX(big_daily_table,MATCH(DATE(N$5,$J342,$I342),daily_dates,0),MATCH($B$3,daily_items,0)),NA())</f>
        <v>#N/A</v>
      </c>
      <c r="O342" s="1" t="e">
        <f aca="false">IF(ISBLANK(INDEX(big_daily_table,MATCH(DATE(O$5,$J342,$I342),daily_dates,0),MATCH($B$3,daily_items,0))),NA(),INDEX(big_daily_table,MATCH(DATE(O$5,$J342,$I342),daily_dates,0),MATCH($B$3,daily_items,0)))</f>
        <v>#N/A</v>
      </c>
      <c r="P342" s="1" t="e">
        <f aca="false">IF(ISBLANK(INDEX(big_daily_table,MATCH(DATE(P$5,$J342,$I342),daily_dates,0),MATCH($B$3,daily_items,0))),NA(),INDEX(big_daily_table,MATCH(DATE(P$5,$J342,$I342),daily_dates,0),MATCH($B$3,daily_items,0)))</f>
        <v>#N/A</v>
      </c>
      <c r="Q342" s="1" t="e">
        <f aca="false">IF(ISBLANK(INDEX(big_daily_table,MATCH(DATE(Q$5,$J342,$I342),daily_dates,0),MATCH($B$3,daily_items,0))),NA(),INDEX(big_daily_table,MATCH(DATE(Q$5,$J342,$I342),daily_dates,0),MATCH($B$3,daily_items,0)))</f>
        <v>#N/A</v>
      </c>
      <c r="R342" s="1" t="e">
        <f aca="false">IF(ISBLANK(INDEX(big_daily_table,MATCH(DATE(R$5,$J342,$I342),daily_dates,0),MATCH($B$3,daily_items,0))),NA(),INDEX(big_daily_table,MATCH(DATE(R$5,$J342,$I342),daily_dates,0),MATCH($B$3,daily_items,0)))</f>
        <v>#N/A</v>
      </c>
      <c r="S342" s="1" t="e">
        <f aca="false">IF(ISBLANK(INDEX(big_daily_table,MATCH(DATE(S$5,$J342,$I342),daily_dates,0),MATCH($B$3,daily_items,0))),NA(),INDEX(big_daily_table,MATCH(DATE(S$5,$J342,$I342),daily_dates,0),MATCH($B$3,daily_items,0)))</f>
        <v>#N/A</v>
      </c>
      <c r="T342" s="1" t="e">
        <f aca="false">IF(ISBLANK(INDEX(big_daily_table,MATCH(DATE(T$5,$J342,$I342),daily_dates,0),MATCH($B$3,daily_items,0))),NA(),INDEX(big_daily_table,MATCH(DATE(T$5,$J342,$I342),daily_dates,0),MATCH($B$3,daily_items,0)))</f>
        <v>#N/A</v>
      </c>
      <c r="U342" s="1" t="e">
        <f aca="false">IF(ISBLANK(INDEX(big_daily_table,MATCH(DATE(U$5,$J342,$I342),daily_dates,0),MATCH($B$3,daily_items,0))),NA(),INDEX(big_daily_table,MATCH(DATE(U$5,$J342,$I342),daily_dates,0),MATCH($B$3,daily_items,0)))</f>
        <v>#N/A</v>
      </c>
      <c r="V342" s="1" t="e">
        <f aca="false">IF(ISBLANK(INDEX(big_daily_table,MATCH(DATE(V$5,$J342,$I342),daily_dates,0),MATCH($B$3,daily_items,0))),NA(),INDEX(big_daily_table,MATCH(DATE(V$5,$J342,$I342),daily_dates,0),MATCH($B$3,daily_items,0)))</f>
        <v>#N/A</v>
      </c>
      <c r="W342" s="1" t="e">
        <f aca="false">IF(ISBLANK(INDEX(big_daily_table,MATCH(DATE(W$5,$J342,$I342),daily_dates,0),MATCH($B$3,daily_items,0))),NA(),INDEX(big_daily_table,MATCH(DATE(W$5,$J342,$I342),daily_dates,0),MATCH($B$3,daily_items,0)))</f>
        <v>#N/A</v>
      </c>
      <c r="X342" s="1" t="e">
        <f aca="false">IF(ISBLANK(INDEX(big_daily_table,MATCH(DATE(X$5,$J342,$I342),daily_dates,0),MATCH($B$3,daily_items,0))),NA(),INDEX(big_daily_table,MATCH(DATE(X$5,$J342,$I342),daily_dates,0),MATCH($B$3,daily_items,0)))</f>
        <v>#N/A</v>
      </c>
      <c r="Y342" s="1" t="e">
        <f aca="false">IF(ISBLANK(INDEX(big_daily_table,MATCH(DATE(Y$5,$J342,$I342),daily_dates,0),MATCH($B$3,daily_items,0))),NA(),INDEX(big_daily_table,MATCH(DATE(Y$5,$J342,$I342),daily_dates,0),MATCH($B$3,daily_items,0)))</f>
        <v>#N/A</v>
      </c>
      <c r="Z342" s="1" t="n">
        <f aca="true">_xlfn.AGGREGATE(5,6,OFFSET($R$5,H342,0,1,$J$2))</f>
        <v>0</v>
      </c>
      <c r="AA342" s="1" t="n">
        <f aca="true">_xlfn.AGGREGATE(4,6,OFFSET($R$5,H342,0,1,$J$2))</f>
        <v>0</v>
      </c>
      <c r="AB342" s="1" t="n">
        <f aca="false">AA342-Z342</f>
        <v>0</v>
      </c>
      <c r="AC342" s="1" t="e">
        <f aca="true">_xlfn.AGGREGATE(1,6,OFFSET($R$5,H342,0,1,$J$2))</f>
        <v>#DIV/0!</v>
      </c>
    </row>
    <row r="343" customFormat="false" ht="14.25" hidden="false" customHeight="false" outlineLevel="0" collapsed="false">
      <c r="H343" s="1" t="n">
        <f aca="false">H342+1</f>
        <v>338</v>
      </c>
      <c r="I343" s="1" t="n">
        <f aca="false">DAY(K343)</f>
        <v>3</v>
      </c>
      <c r="J343" s="1" t="n">
        <f aca="false">MONTH(K343)</f>
        <v>12</v>
      </c>
      <c r="K343" s="23" t="n">
        <f aca="false">K342+1</f>
        <v>36863</v>
      </c>
      <c r="L343" s="24" t="n">
        <f aca="true">IF(TODAY()&lt;DATE($N$5,J343,I343),1000000,-1000000)</f>
        <v>1000000</v>
      </c>
      <c r="M343" s="1" t="e">
        <f aca="false">IF(K343&gt;0,INDEX(big_daily_table,MATCH(DATE(N$5,$J343,$I343),daily_dates,0),MATCH($B$3,daily_items,0)),NA())</f>
        <v>#N/A</v>
      </c>
      <c r="N343" s="1" t="e">
        <f aca="false">IF(L343&lt;0,INDEX(big_daily_table,MATCH(DATE(N$5,$J343,$I343),daily_dates,0),MATCH($B$3,daily_items,0)),NA())</f>
        <v>#N/A</v>
      </c>
      <c r="O343" s="1" t="e">
        <f aca="false">IF(ISBLANK(INDEX(big_daily_table,MATCH(DATE(O$5,$J343,$I343),daily_dates,0),MATCH($B$3,daily_items,0))),NA(),INDEX(big_daily_table,MATCH(DATE(O$5,$J343,$I343),daily_dates,0),MATCH($B$3,daily_items,0)))</f>
        <v>#N/A</v>
      </c>
      <c r="P343" s="1" t="e">
        <f aca="false">IF(ISBLANK(INDEX(big_daily_table,MATCH(DATE(P$5,$J343,$I343),daily_dates,0),MATCH($B$3,daily_items,0))),NA(),INDEX(big_daily_table,MATCH(DATE(P$5,$J343,$I343),daily_dates,0),MATCH($B$3,daily_items,0)))</f>
        <v>#N/A</v>
      </c>
      <c r="Q343" s="1" t="e">
        <f aca="false">IF(ISBLANK(INDEX(big_daily_table,MATCH(DATE(Q$5,$J343,$I343),daily_dates,0),MATCH($B$3,daily_items,0))),NA(),INDEX(big_daily_table,MATCH(DATE(Q$5,$J343,$I343),daily_dates,0),MATCH($B$3,daily_items,0)))</f>
        <v>#N/A</v>
      </c>
      <c r="R343" s="1" t="e">
        <f aca="false">IF(ISBLANK(INDEX(big_daily_table,MATCH(DATE(R$5,$J343,$I343),daily_dates,0),MATCH($B$3,daily_items,0))),NA(),INDEX(big_daily_table,MATCH(DATE(R$5,$J343,$I343),daily_dates,0),MATCH($B$3,daily_items,0)))</f>
        <v>#N/A</v>
      </c>
      <c r="S343" s="1" t="e">
        <f aca="false">IF(ISBLANK(INDEX(big_daily_table,MATCH(DATE(S$5,$J343,$I343),daily_dates,0),MATCH($B$3,daily_items,0))),NA(),INDEX(big_daily_table,MATCH(DATE(S$5,$J343,$I343),daily_dates,0),MATCH($B$3,daily_items,0)))</f>
        <v>#N/A</v>
      </c>
      <c r="T343" s="1" t="e">
        <f aca="false">IF(ISBLANK(INDEX(big_daily_table,MATCH(DATE(T$5,$J343,$I343),daily_dates,0),MATCH($B$3,daily_items,0))),NA(),INDEX(big_daily_table,MATCH(DATE(T$5,$J343,$I343),daily_dates,0),MATCH($B$3,daily_items,0)))</f>
        <v>#N/A</v>
      </c>
      <c r="U343" s="1" t="e">
        <f aca="false">IF(ISBLANK(INDEX(big_daily_table,MATCH(DATE(U$5,$J343,$I343),daily_dates,0),MATCH($B$3,daily_items,0))),NA(),INDEX(big_daily_table,MATCH(DATE(U$5,$J343,$I343),daily_dates,0),MATCH($B$3,daily_items,0)))</f>
        <v>#N/A</v>
      </c>
      <c r="V343" s="1" t="e">
        <f aca="false">IF(ISBLANK(INDEX(big_daily_table,MATCH(DATE(V$5,$J343,$I343),daily_dates,0),MATCH($B$3,daily_items,0))),NA(),INDEX(big_daily_table,MATCH(DATE(V$5,$J343,$I343),daily_dates,0),MATCH($B$3,daily_items,0)))</f>
        <v>#N/A</v>
      </c>
      <c r="W343" s="1" t="e">
        <f aca="false">IF(ISBLANK(INDEX(big_daily_table,MATCH(DATE(W$5,$J343,$I343),daily_dates,0),MATCH($B$3,daily_items,0))),NA(),INDEX(big_daily_table,MATCH(DATE(W$5,$J343,$I343),daily_dates,0),MATCH($B$3,daily_items,0)))</f>
        <v>#N/A</v>
      </c>
      <c r="X343" s="1" t="e">
        <f aca="false">IF(ISBLANK(INDEX(big_daily_table,MATCH(DATE(X$5,$J343,$I343),daily_dates,0),MATCH($B$3,daily_items,0))),NA(),INDEX(big_daily_table,MATCH(DATE(X$5,$J343,$I343),daily_dates,0),MATCH($B$3,daily_items,0)))</f>
        <v>#N/A</v>
      </c>
      <c r="Y343" s="1" t="e">
        <f aca="false">IF(ISBLANK(INDEX(big_daily_table,MATCH(DATE(Y$5,$J343,$I343),daily_dates,0),MATCH($B$3,daily_items,0))),NA(),INDEX(big_daily_table,MATCH(DATE(Y$5,$J343,$I343),daily_dates,0),MATCH($B$3,daily_items,0)))</f>
        <v>#N/A</v>
      </c>
      <c r="Z343" s="1" t="n">
        <f aca="true">_xlfn.AGGREGATE(5,6,OFFSET($R$5,H343,0,1,$J$2))</f>
        <v>0</v>
      </c>
      <c r="AA343" s="1" t="n">
        <f aca="true">_xlfn.AGGREGATE(4,6,OFFSET($R$5,H343,0,1,$J$2))</f>
        <v>0</v>
      </c>
      <c r="AB343" s="1" t="n">
        <f aca="false">AA343-Z343</f>
        <v>0</v>
      </c>
      <c r="AC343" s="1" t="e">
        <f aca="true">_xlfn.AGGREGATE(1,6,OFFSET($R$5,H343,0,1,$J$2))</f>
        <v>#DIV/0!</v>
      </c>
    </row>
    <row r="344" customFormat="false" ht="14.25" hidden="false" customHeight="false" outlineLevel="0" collapsed="false">
      <c r="H344" s="1" t="n">
        <f aca="false">H343+1</f>
        <v>339</v>
      </c>
      <c r="I344" s="1" t="n">
        <f aca="false">DAY(K344)</f>
        <v>4</v>
      </c>
      <c r="J344" s="1" t="n">
        <f aca="false">MONTH(K344)</f>
        <v>12</v>
      </c>
      <c r="K344" s="23" t="n">
        <f aca="false">K343+1</f>
        <v>36864</v>
      </c>
      <c r="L344" s="24" t="n">
        <f aca="true">IF(TODAY()&lt;DATE($N$5,J344,I344),1000000,-1000000)</f>
        <v>1000000</v>
      </c>
      <c r="M344" s="1" t="e">
        <f aca="false">IF(K344&gt;0,INDEX(big_daily_table,MATCH(DATE(N$5,$J344,$I344),daily_dates,0),MATCH($B$3,daily_items,0)),NA())</f>
        <v>#N/A</v>
      </c>
      <c r="N344" s="1" t="e">
        <f aca="false">IF(L344&lt;0,INDEX(big_daily_table,MATCH(DATE(N$5,$J344,$I344),daily_dates,0),MATCH($B$3,daily_items,0)),NA())</f>
        <v>#N/A</v>
      </c>
      <c r="O344" s="1" t="e">
        <f aca="false">IF(ISBLANK(INDEX(big_daily_table,MATCH(DATE(O$5,$J344,$I344),daily_dates,0),MATCH($B$3,daily_items,0))),NA(),INDEX(big_daily_table,MATCH(DATE(O$5,$J344,$I344),daily_dates,0),MATCH($B$3,daily_items,0)))</f>
        <v>#N/A</v>
      </c>
      <c r="P344" s="1" t="e">
        <f aca="false">IF(ISBLANK(INDEX(big_daily_table,MATCH(DATE(P$5,$J344,$I344),daily_dates,0),MATCH($B$3,daily_items,0))),NA(),INDEX(big_daily_table,MATCH(DATE(P$5,$J344,$I344),daily_dates,0),MATCH($B$3,daily_items,0)))</f>
        <v>#N/A</v>
      </c>
      <c r="Q344" s="1" t="e">
        <f aca="false">IF(ISBLANK(INDEX(big_daily_table,MATCH(DATE(Q$5,$J344,$I344),daily_dates,0),MATCH($B$3,daily_items,0))),NA(),INDEX(big_daily_table,MATCH(DATE(Q$5,$J344,$I344),daily_dates,0),MATCH($B$3,daily_items,0)))</f>
        <v>#N/A</v>
      </c>
      <c r="R344" s="1" t="e">
        <f aca="false">IF(ISBLANK(INDEX(big_daily_table,MATCH(DATE(R$5,$J344,$I344),daily_dates,0),MATCH($B$3,daily_items,0))),NA(),INDEX(big_daily_table,MATCH(DATE(R$5,$J344,$I344),daily_dates,0),MATCH($B$3,daily_items,0)))</f>
        <v>#N/A</v>
      </c>
      <c r="S344" s="1" t="e">
        <f aca="false">IF(ISBLANK(INDEX(big_daily_table,MATCH(DATE(S$5,$J344,$I344),daily_dates,0),MATCH($B$3,daily_items,0))),NA(),INDEX(big_daily_table,MATCH(DATE(S$5,$J344,$I344),daily_dates,0),MATCH($B$3,daily_items,0)))</f>
        <v>#N/A</v>
      </c>
      <c r="T344" s="1" t="e">
        <f aca="false">IF(ISBLANK(INDEX(big_daily_table,MATCH(DATE(T$5,$J344,$I344),daily_dates,0),MATCH($B$3,daily_items,0))),NA(),INDEX(big_daily_table,MATCH(DATE(T$5,$J344,$I344),daily_dates,0),MATCH($B$3,daily_items,0)))</f>
        <v>#N/A</v>
      </c>
      <c r="U344" s="1" t="e">
        <f aca="false">IF(ISBLANK(INDEX(big_daily_table,MATCH(DATE(U$5,$J344,$I344),daily_dates,0),MATCH($B$3,daily_items,0))),NA(),INDEX(big_daily_table,MATCH(DATE(U$5,$J344,$I344),daily_dates,0),MATCH($B$3,daily_items,0)))</f>
        <v>#N/A</v>
      </c>
      <c r="V344" s="1" t="e">
        <f aca="false">IF(ISBLANK(INDEX(big_daily_table,MATCH(DATE(V$5,$J344,$I344),daily_dates,0),MATCH($B$3,daily_items,0))),NA(),INDEX(big_daily_table,MATCH(DATE(V$5,$J344,$I344),daily_dates,0),MATCH($B$3,daily_items,0)))</f>
        <v>#N/A</v>
      </c>
      <c r="W344" s="1" t="e">
        <f aca="false">IF(ISBLANK(INDEX(big_daily_table,MATCH(DATE(W$5,$J344,$I344),daily_dates,0),MATCH($B$3,daily_items,0))),NA(),INDEX(big_daily_table,MATCH(DATE(W$5,$J344,$I344),daily_dates,0),MATCH($B$3,daily_items,0)))</f>
        <v>#N/A</v>
      </c>
      <c r="X344" s="1" t="e">
        <f aca="false">IF(ISBLANK(INDEX(big_daily_table,MATCH(DATE(X$5,$J344,$I344),daily_dates,0),MATCH($B$3,daily_items,0))),NA(),INDEX(big_daily_table,MATCH(DATE(X$5,$J344,$I344),daily_dates,0),MATCH($B$3,daily_items,0)))</f>
        <v>#N/A</v>
      </c>
      <c r="Y344" s="1" t="e">
        <f aca="false">IF(ISBLANK(INDEX(big_daily_table,MATCH(DATE(Y$5,$J344,$I344),daily_dates,0),MATCH($B$3,daily_items,0))),NA(),INDEX(big_daily_table,MATCH(DATE(Y$5,$J344,$I344),daily_dates,0),MATCH($B$3,daily_items,0)))</f>
        <v>#N/A</v>
      </c>
      <c r="Z344" s="1" t="n">
        <f aca="true">_xlfn.AGGREGATE(5,6,OFFSET($R$5,H344,0,1,$J$2))</f>
        <v>0</v>
      </c>
      <c r="AA344" s="1" t="n">
        <f aca="true">_xlfn.AGGREGATE(4,6,OFFSET($R$5,H344,0,1,$J$2))</f>
        <v>0</v>
      </c>
      <c r="AB344" s="1" t="n">
        <f aca="false">AA344-Z344</f>
        <v>0</v>
      </c>
      <c r="AC344" s="1" t="e">
        <f aca="true">_xlfn.AGGREGATE(1,6,OFFSET($R$5,H344,0,1,$J$2))</f>
        <v>#DIV/0!</v>
      </c>
    </row>
    <row r="345" customFormat="false" ht="14.25" hidden="false" customHeight="false" outlineLevel="0" collapsed="false">
      <c r="H345" s="1" t="n">
        <f aca="false">H344+1</f>
        <v>340</v>
      </c>
      <c r="I345" s="1" t="n">
        <f aca="false">DAY(K345)</f>
        <v>5</v>
      </c>
      <c r="J345" s="1" t="n">
        <f aca="false">MONTH(K345)</f>
        <v>12</v>
      </c>
      <c r="K345" s="23" t="n">
        <f aca="false">K344+1</f>
        <v>36865</v>
      </c>
      <c r="L345" s="24" t="n">
        <f aca="true">IF(TODAY()&lt;DATE($N$5,J345,I345),1000000,-1000000)</f>
        <v>1000000</v>
      </c>
      <c r="M345" s="1" t="e">
        <f aca="false">IF(K345&gt;0,INDEX(big_daily_table,MATCH(DATE(N$5,$J345,$I345),daily_dates,0),MATCH($B$3,daily_items,0)),NA())</f>
        <v>#N/A</v>
      </c>
      <c r="N345" s="1" t="e">
        <f aca="false">IF(L345&lt;0,INDEX(big_daily_table,MATCH(DATE(N$5,$J345,$I345),daily_dates,0),MATCH($B$3,daily_items,0)),NA())</f>
        <v>#N/A</v>
      </c>
      <c r="O345" s="1" t="e">
        <f aca="false">IF(ISBLANK(INDEX(big_daily_table,MATCH(DATE(O$5,$J345,$I345),daily_dates,0),MATCH($B$3,daily_items,0))),NA(),INDEX(big_daily_table,MATCH(DATE(O$5,$J345,$I345),daily_dates,0),MATCH($B$3,daily_items,0)))</f>
        <v>#N/A</v>
      </c>
      <c r="P345" s="1" t="e">
        <f aca="false">IF(ISBLANK(INDEX(big_daily_table,MATCH(DATE(P$5,$J345,$I345),daily_dates,0),MATCH($B$3,daily_items,0))),NA(),INDEX(big_daily_table,MATCH(DATE(P$5,$J345,$I345),daily_dates,0),MATCH($B$3,daily_items,0)))</f>
        <v>#N/A</v>
      </c>
      <c r="Q345" s="1" t="e">
        <f aca="false">IF(ISBLANK(INDEX(big_daily_table,MATCH(DATE(Q$5,$J345,$I345),daily_dates,0),MATCH($B$3,daily_items,0))),NA(),INDEX(big_daily_table,MATCH(DATE(Q$5,$J345,$I345),daily_dates,0),MATCH($B$3,daily_items,0)))</f>
        <v>#N/A</v>
      </c>
      <c r="R345" s="1" t="e">
        <f aca="false">IF(ISBLANK(INDEX(big_daily_table,MATCH(DATE(R$5,$J345,$I345),daily_dates,0),MATCH($B$3,daily_items,0))),NA(),INDEX(big_daily_table,MATCH(DATE(R$5,$J345,$I345),daily_dates,0),MATCH($B$3,daily_items,0)))</f>
        <v>#N/A</v>
      </c>
      <c r="S345" s="1" t="e">
        <f aca="false">IF(ISBLANK(INDEX(big_daily_table,MATCH(DATE(S$5,$J345,$I345),daily_dates,0),MATCH($B$3,daily_items,0))),NA(),INDEX(big_daily_table,MATCH(DATE(S$5,$J345,$I345),daily_dates,0),MATCH($B$3,daily_items,0)))</f>
        <v>#N/A</v>
      </c>
      <c r="T345" s="1" t="e">
        <f aca="false">IF(ISBLANK(INDEX(big_daily_table,MATCH(DATE(T$5,$J345,$I345),daily_dates,0),MATCH($B$3,daily_items,0))),NA(),INDEX(big_daily_table,MATCH(DATE(T$5,$J345,$I345),daily_dates,0),MATCH($B$3,daily_items,0)))</f>
        <v>#N/A</v>
      </c>
      <c r="U345" s="1" t="e">
        <f aca="false">IF(ISBLANK(INDEX(big_daily_table,MATCH(DATE(U$5,$J345,$I345),daily_dates,0),MATCH($B$3,daily_items,0))),NA(),INDEX(big_daily_table,MATCH(DATE(U$5,$J345,$I345),daily_dates,0),MATCH($B$3,daily_items,0)))</f>
        <v>#N/A</v>
      </c>
      <c r="V345" s="1" t="e">
        <f aca="false">IF(ISBLANK(INDEX(big_daily_table,MATCH(DATE(V$5,$J345,$I345),daily_dates,0),MATCH($B$3,daily_items,0))),NA(),INDEX(big_daily_table,MATCH(DATE(V$5,$J345,$I345),daily_dates,0),MATCH($B$3,daily_items,0)))</f>
        <v>#N/A</v>
      </c>
      <c r="W345" s="1" t="e">
        <f aca="false">IF(ISBLANK(INDEX(big_daily_table,MATCH(DATE(W$5,$J345,$I345),daily_dates,0),MATCH($B$3,daily_items,0))),NA(),INDEX(big_daily_table,MATCH(DATE(W$5,$J345,$I345),daily_dates,0),MATCH($B$3,daily_items,0)))</f>
        <v>#N/A</v>
      </c>
      <c r="X345" s="1" t="e">
        <f aca="false">IF(ISBLANK(INDEX(big_daily_table,MATCH(DATE(X$5,$J345,$I345),daily_dates,0),MATCH($B$3,daily_items,0))),NA(),INDEX(big_daily_table,MATCH(DATE(X$5,$J345,$I345),daily_dates,0),MATCH($B$3,daily_items,0)))</f>
        <v>#N/A</v>
      </c>
      <c r="Y345" s="1" t="e">
        <f aca="false">IF(ISBLANK(INDEX(big_daily_table,MATCH(DATE(Y$5,$J345,$I345),daily_dates,0),MATCH($B$3,daily_items,0))),NA(),INDEX(big_daily_table,MATCH(DATE(Y$5,$J345,$I345),daily_dates,0),MATCH($B$3,daily_items,0)))</f>
        <v>#N/A</v>
      </c>
      <c r="Z345" s="1" t="n">
        <f aca="true">_xlfn.AGGREGATE(5,6,OFFSET($R$5,H345,0,1,$J$2))</f>
        <v>0</v>
      </c>
      <c r="AA345" s="1" t="n">
        <f aca="true">_xlfn.AGGREGATE(4,6,OFFSET($R$5,H345,0,1,$J$2))</f>
        <v>0</v>
      </c>
      <c r="AB345" s="1" t="n">
        <f aca="false">AA345-Z345</f>
        <v>0</v>
      </c>
      <c r="AC345" s="1" t="e">
        <f aca="true">_xlfn.AGGREGATE(1,6,OFFSET($R$5,H345,0,1,$J$2))</f>
        <v>#DIV/0!</v>
      </c>
    </row>
    <row r="346" customFormat="false" ht="14.25" hidden="false" customHeight="false" outlineLevel="0" collapsed="false">
      <c r="H346" s="1" t="n">
        <f aca="false">H345+1</f>
        <v>341</v>
      </c>
      <c r="I346" s="1" t="n">
        <f aca="false">DAY(K346)</f>
        <v>6</v>
      </c>
      <c r="J346" s="1" t="n">
        <f aca="false">MONTH(K346)</f>
        <v>12</v>
      </c>
      <c r="K346" s="23" t="n">
        <f aca="false">K345+1</f>
        <v>36866</v>
      </c>
      <c r="L346" s="24" t="n">
        <f aca="true">IF(TODAY()&lt;DATE($N$5,J346,I346),1000000,-1000000)</f>
        <v>1000000</v>
      </c>
      <c r="M346" s="1" t="e">
        <f aca="false">IF(K346&gt;0,INDEX(big_daily_table,MATCH(DATE(N$5,$J346,$I346),daily_dates,0),MATCH($B$3,daily_items,0)),NA())</f>
        <v>#N/A</v>
      </c>
      <c r="N346" s="1" t="e">
        <f aca="false">IF(L346&lt;0,INDEX(big_daily_table,MATCH(DATE(N$5,$J346,$I346),daily_dates,0),MATCH($B$3,daily_items,0)),NA())</f>
        <v>#N/A</v>
      </c>
      <c r="O346" s="1" t="e">
        <f aca="false">IF(ISBLANK(INDEX(big_daily_table,MATCH(DATE(O$5,$J346,$I346),daily_dates,0),MATCH($B$3,daily_items,0))),NA(),INDEX(big_daily_table,MATCH(DATE(O$5,$J346,$I346),daily_dates,0),MATCH($B$3,daily_items,0)))</f>
        <v>#N/A</v>
      </c>
      <c r="P346" s="1" t="e">
        <f aca="false">IF(ISBLANK(INDEX(big_daily_table,MATCH(DATE(P$5,$J346,$I346),daily_dates,0),MATCH($B$3,daily_items,0))),NA(),INDEX(big_daily_table,MATCH(DATE(P$5,$J346,$I346),daily_dates,0),MATCH($B$3,daily_items,0)))</f>
        <v>#N/A</v>
      </c>
      <c r="Q346" s="1" t="e">
        <f aca="false">IF(ISBLANK(INDEX(big_daily_table,MATCH(DATE(Q$5,$J346,$I346),daily_dates,0),MATCH($B$3,daily_items,0))),NA(),INDEX(big_daily_table,MATCH(DATE(Q$5,$J346,$I346),daily_dates,0),MATCH($B$3,daily_items,0)))</f>
        <v>#N/A</v>
      </c>
      <c r="R346" s="1" t="e">
        <f aca="false">IF(ISBLANK(INDEX(big_daily_table,MATCH(DATE(R$5,$J346,$I346),daily_dates,0),MATCH($B$3,daily_items,0))),NA(),INDEX(big_daily_table,MATCH(DATE(R$5,$J346,$I346),daily_dates,0),MATCH($B$3,daily_items,0)))</f>
        <v>#N/A</v>
      </c>
      <c r="S346" s="1" t="e">
        <f aca="false">IF(ISBLANK(INDEX(big_daily_table,MATCH(DATE(S$5,$J346,$I346),daily_dates,0),MATCH($B$3,daily_items,0))),NA(),INDEX(big_daily_table,MATCH(DATE(S$5,$J346,$I346),daily_dates,0),MATCH($B$3,daily_items,0)))</f>
        <v>#N/A</v>
      </c>
      <c r="T346" s="1" t="e">
        <f aca="false">IF(ISBLANK(INDEX(big_daily_table,MATCH(DATE(T$5,$J346,$I346),daily_dates,0),MATCH($B$3,daily_items,0))),NA(),INDEX(big_daily_table,MATCH(DATE(T$5,$J346,$I346),daily_dates,0),MATCH($B$3,daily_items,0)))</f>
        <v>#N/A</v>
      </c>
      <c r="U346" s="1" t="e">
        <f aca="false">IF(ISBLANK(INDEX(big_daily_table,MATCH(DATE(U$5,$J346,$I346),daily_dates,0),MATCH($B$3,daily_items,0))),NA(),INDEX(big_daily_table,MATCH(DATE(U$5,$J346,$I346),daily_dates,0),MATCH($B$3,daily_items,0)))</f>
        <v>#N/A</v>
      </c>
      <c r="V346" s="1" t="e">
        <f aca="false">IF(ISBLANK(INDEX(big_daily_table,MATCH(DATE(V$5,$J346,$I346),daily_dates,0),MATCH($B$3,daily_items,0))),NA(),INDEX(big_daily_table,MATCH(DATE(V$5,$J346,$I346),daily_dates,0),MATCH($B$3,daily_items,0)))</f>
        <v>#N/A</v>
      </c>
      <c r="W346" s="1" t="e">
        <f aca="false">IF(ISBLANK(INDEX(big_daily_table,MATCH(DATE(W$5,$J346,$I346),daily_dates,0),MATCH($B$3,daily_items,0))),NA(),INDEX(big_daily_table,MATCH(DATE(W$5,$J346,$I346),daily_dates,0),MATCH($B$3,daily_items,0)))</f>
        <v>#N/A</v>
      </c>
      <c r="X346" s="1" t="e">
        <f aca="false">IF(ISBLANK(INDEX(big_daily_table,MATCH(DATE(X$5,$J346,$I346),daily_dates,0),MATCH($B$3,daily_items,0))),NA(),INDEX(big_daily_table,MATCH(DATE(X$5,$J346,$I346),daily_dates,0),MATCH($B$3,daily_items,0)))</f>
        <v>#N/A</v>
      </c>
      <c r="Y346" s="1" t="e">
        <f aca="false">IF(ISBLANK(INDEX(big_daily_table,MATCH(DATE(Y$5,$J346,$I346),daily_dates,0),MATCH($B$3,daily_items,0))),NA(),INDEX(big_daily_table,MATCH(DATE(Y$5,$J346,$I346),daily_dates,0),MATCH($B$3,daily_items,0)))</f>
        <v>#N/A</v>
      </c>
      <c r="Z346" s="1" t="n">
        <f aca="true">_xlfn.AGGREGATE(5,6,OFFSET($R$5,H346,0,1,$J$2))</f>
        <v>0</v>
      </c>
      <c r="AA346" s="1" t="n">
        <f aca="true">_xlfn.AGGREGATE(4,6,OFFSET($R$5,H346,0,1,$J$2))</f>
        <v>0</v>
      </c>
      <c r="AB346" s="1" t="n">
        <f aca="false">AA346-Z346</f>
        <v>0</v>
      </c>
      <c r="AC346" s="1" t="e">
        <f aca="true">_xlfn.AGGREGATE(1,6,OFFSET($R$5,H346,0,1,$J$2))</f>
        <v>#DIV/0!</v>
      </c>
    </row>
    <row r="347" customFormat="false" ht="14.25" hidden="false" customHeight="false" outlineLevel="0" collapsed="false">
      <c r="H347" s="1" t="n">
        <f aca="false">H346+1</f>
        <v>342</v>
      </c>
      <c r="I347" s="1" t="n">
        <f aca="false">DAY(K347)</f>
        <v>7</v>
      </c>
      <c r="J347" s="1" t="n">
        <f aca="false">MONTH(K347)</f>
        <v>12</v>
      </c>
      <c r="K347" s="23" t="n">
        <f aca="false">K346+1</f>
        <v>36867</v>
      </c>
      <c r="L347" s="24" t="n">
        <f aca="true">IF(TODAY()&lt;DATE($N$5,J347,I347),1000000,-1000000)</f>
        <v>1000000</v>
      </c>
      <c r="M347" s="1" t="e">
        <f aca="false">IF(K347&gt;0,INDEX(big_daily_table,MATCH(DATE(N$5,$J347,$I347),daily_dates,0),MATCH($B$3,daily_items,0)),NA())</f>
        <v>#N/A</v>
      </c>
      <c r="N347" s="1" t="e">
        <f aca="false">IF(L347&lt;0,INDEX(big_daily_table,MATCH(DATE(N$5,$J347,$I347),daily_dates,0),MATCH($B$3,daily_items,0)),NA())</f>
        <v>#N/A</v>
      </c>
      <c r="O347" s="1" t="e">
        <f aca="false">IF(ISBLANK(INDEX(big_daily_table,MATCH(DATE(O$5,$J347,$I347),daily_dates,0),MATCH($B$3,daily_items,0))),NA(),INDEX(big_daily_table,MATCH(DATE(O$5,$J347,$I347),daily_dates,0),MATCH($B$3,daily_items,0)))</f>
        <v>#N/A</v>
      </c>
      <c r="P347" s="1" t="e">
        <f aca="false">IF(ISBLANK(INDEX(big_daily_table,MATCH(DATE(P$5,$J347,$I347),daily_dates,0),MATCH($B$3,daily_items,0))),NA(),INDEX(big_daily_table,MATCH(DATE(P$5,$J347,$I347),daily_dates,0),MATCH($B$3,daily_items,0)))</f>
        <v>#N/A</v>
      </c>
      <c r="Q347" s="1" t="e">
        <f aca="false">IF(ISBLANK(INDEX(big_daily_table,MATCH(DATE(Q$5,$J347,$I347),daily_dates,0),MATCH($B$3,daily_items,0))),NA(),INDEX(big_daily_table,MATCH(DATE(Q$5,$J347,$I347),daily_dates,0),MATCH($B$3,daily_items,0)))</f>
        <v>#N/A</v>
      </c>
      <c r="R347" s="1" t="e">
        <f aca="false">IF(ISBLANK(INDEX(big_daily_table,MATCH(DATE(R$5,$J347,$I347),daily_dates,0),MATCH($B$3,daily_items,0))),NA(),INDEX(big_daily_table,MATCH(DATE(R$5,$J347,$I347),daily_dates,0),MATCH($B$3,daily_items,0)))</f>
        <v>#N/A</v>
      </c>
      <c r="S347" s="1" t="e">
        <f aca="false">IF(ISBLANK(INDEX(big_daily_table,MATCH(DATE(S$5,$J347,$I347),daily_dates,0),MATCH($B$3,daily_items,0))),NA(),INDEX(big_daily_table,MATCH(DATE(S$5,$J347,$I347),daily_dates,0),MATCH($B$3,daily_items,0)))</f>
        <v>#N/A</v>
      </c>
      <c r="T347" s="1" t="e">
        <f aca="false">IF(ISBLANK(INDEX(big_daily_table,MATCH(DATE(T$5,$J347,$I347),daily_dates,0),MATCH($B$3,daily_items,0))),NA(),INDEX(big_daily_table,MATCH(DATE(T$5,$J347,$I347),daily_dates,0),MATCH($B$3,daily_items,0)))</f>
        <v>#N/A</v>
      </c>
      <c r="U347" s="1" t="e">
        <f aca="false">IF(ISBLANK(INDEX(big_daily_table,MATCH(DATE(U$5,$J347,$I347),daily_dates,0),MATCH($B$3,daily_items,0))),NA(),INDEX(big_daily_table,MATCH(DATE(U$5,$J347,$I347),daily_dates,0),MATCH($B$3,daily_items,0)))</f>
        <v>#N/A</v>
      </c>
      <c r="V347" s="1" t="e">
        <f aca="false">IF(ISBLANK(INDEX(big_daily_table,MATCH(DATE(V$5,$J347,$I347),daily_dates,0),MATCH($B$3,daily_items,0))),NA(),INDEX(big_daily_table,MATCH(DATE(V$5,$J347,$I347),daily_dates,0),MATCH($B$3,daily_items,0)))</f>
        <v>#N/A</v>
      </c>
      <c r="W347" s="1" t="e">
        <f aca="false">IF(ISBLANK(INDEX(big_daily_table,MATCH(DATE(W$5,$J347,$I347),daily_dates,0),MATCH($B$3,daily_items,0))),NA(),INDEX(big_daily_table,MATCH(DATE(W$5,$J347,$I347),daily_dates,0),MATCH($B$3,daily_items,0)))</f>
        <v>#N/A</v>
      </c>
      <c r="X347" s="1" t="e">
        <f aca="false">IF(ISBLANK(INDEX(big_daily_table,MATCH(DATE(X$5,$J347,$I347),daily_dates,0),MATCH($B$3,daily_items,0))),NA(),INDEX(big_daily_table,MATCH(DATE(X$5,$J347,$I347),daily_dates,0),MATCH($B$3,daily_items,0)))</f>
        <v>#N/A</v>
      </c>
      <c r="Y347" s="1" t="e">
        <f aca="false">IF(ISBLANK(INDEX(big_daily_table,MATCH(DATE(Y$5,$J347,$I347),daily_dates,0),MATCH($B$3,daily_items,0))),NA(),INDEX(big_daily_table,MATCH(DATE(Y$5,$J347,$I347),daily_dates,0),MATCH($B$3,daily_items,0)))</f>
        <v>#N/A</v>
      </c>
      <c r="Z347" s="1" t="n">
        <f aca="true">_xlfn.AGGREGATE(5,6,OFFSET($R$5,H347,0,1,$J$2))</f>
        <v>0</v>
      </c>
      <c r="AA347" s="1" t="n">
        <f aca="true">_xlfn.AGGREGATE(4,6,OFFSET($R$5,H347,0,1,$J$2))</f>
        <v>0</v>
      </c>
      <c r="AB347" s="1" t="n">
        <f aca="false">AA347-Z347</f>
        <v>0</v>
      </c>
      <c r="AC347" s="1" t="e">
        <f aca="true">_xlfn.AGGREGATE(1,6,OFFSET($R$5,H347,0,1,$J$2))</f>
        <v>#DIV/0!</v>
      </c>
    </row>
    <row r="348" customFormat="false" ht="14.25" hidden="false" customHeight="false" outlineLevel="0" collapsed="false">
      <c r="H348" s="1" t="n">
        <f aca="false">H347+1</f>
        <v>343</v>
      </c>
      <c r="I348" s="1" t="n">
        <f aca="false">DAY(K348)</f>
        <v>8</v>
      </c>
      <c r="J348" s="1" t="n">
        <f aca="false">MONTH(K348)</f>
        <v>12</v>
      </c>
      <c r="K348" s="23" t="n">
        <f aca="false">K347+1</f>
        <v>36868</v>
      </c>
      <c r="L348" s="24" t="n">
        <f aca="true">IF(TODAY()&lt;DATE($N$5,J348,I348),1000000,-1000000)</f>
        <v>1000000</v>
      </c>
      <c r="M348" s="1" t="e">
        <f aca="false">IF(K348&gt;0,INDEX(big_daily_table,MATCH(DATE(N$5,$J348,$I348),daily_dates,0),MATCH($B$3,daily_items,0)),NA())</f>
        <v>#N/A</v>
      </c>
      <c r="N348" s="1" t="e">
        <f aca="false">IF(L348&lt;0,INDEX(big_daily_table,MATCH(DATE(N$5,$J348,$I348),daily_dates,0),MATCH($B$3,daily_items,0)),NA())</f>
        <v>#N/A</v>
      </c>
      <c r="O348" s="1" t="e">
        <f aca="false">IF(ISBLANK(INDEX(big_daily_table,MATCH(DATE(O$5,$J348,$I348),daily_dates,0),MATCH($B$3,daily_items,0))),NA(),INDEX(big_daily_table,MATCH(DATE(O$5,$J348,$I348),daily_dates,0),MATCH($B$3,daily_items,0)))</f>
        <v>#N/A</v>
      </c>
      <c r="P348" s="1" t="e">
        <f aca="false">IF(ISBLANK(INDEX(big_daily_table,MATCH(DATE(P$5,$J348,$I348),daily_dates,0),MATCH($B$3,daily_items,0))),NA(),INDEX(big_daily_table,MATCH(DATE(P$5,$J348,$I348),daily_dates,0),MATCH($B$3,daily_items,0)))</f>
        <v>#N/A</v>
      </c>
      <c r="Q348" s="1" t="e">
        <f aca="false">IF(ISBLANK(INDEX(big_daily_table,MATCH(DATE(Q$5,$J348,$I348),daily_dates,0),MATCH($B$3,daily_items,0))),NA(),INDEX(big_daily_table,MATCH(DATE(Q$5,$J348,$I348),daily_dates,0),MATCH($B$3,daily_items,0)))</f>
        <v>#N/A</v>
      </c>
      <c r="R348" s="1" t="e">
        <f aca="false">IF(ISBLANK(INDEX(big_daily_table,MATCH(DATE(R$5,$J348,$I348),daily_dates,0),MATCH($B$3,daily_items,0))),NA(),INDEX(big_daily_table,MATCH(DATE(R$5,$J348,$I348),daily_dates,0),MATCH($B$3,daily_items,0)))</f>
        <v>#N/A</v>
      </c>
      <c r="S348" s="1" t="e">
        <f aca="false">IF(ISBLANK(INDEX(big_daily_table,MATCH(DATE(S$5,$J348,$I348),daily_dates,0),MATCH($B$3,daily_items,0))),NA(),INDEX(big_daily_table,MATCH(DATE(S$5,$J348,$I348),daily_dates,0),MATCH($B$3,daily_items,0)))</f>
        <v>#N/A</v>
      </c>
      <c r="T348" s="1" t="e">
        <f aca="false">IF(ISBLANK(INDEX(big_daily_table,MATCH(DATE(T$5,$J348,$I348),daily_dates,0),MATCH($B$3,daily_items,0))),NA(),INDEX(big_daily_table,MATCH(DATE(T$5,$J348,$I348),daily_dates,0),MATCH($B$3,daily_items,0)))</f>
        <v>#N/A</v>
      </c>
      <c r="U348" s="1" t="e">
        <f aca="false">IF(ISBLANK(INDEX(big_daily_table,MATCH(DATE(U$5,$J348,$I348),daily_dates,0),MATCH($B$3,daily_items,0))),NA(),INDEX(big_daily_table,MATCH(DATE(U$5,$J348,$I348),daily_dates,0),MATCH($B$3,daily_items,0)))</f>
        <v>#N/A</v>
      </c>
      <c r="V348" s="1" t="e">
        <f aca="false">IF(ISBLANK(INDEX(big_daily_table,MATCH(DATE(V$5,$J348,$I348),daily_dates,0),MATCH($B$3,daily_items,0))),NA(),INDEX(big_daily_table,MATCH(DATE(V$5,$J348,$I348),daily_dates,0),MATCH($B$3,daily_items,0)))</f>
        <v>#N/A</v>
      </c>
      <c r="W348" s="1" t="e">
        <f aca="false">IF(ISBLANK(INDEX(big_daily_table,MATCH(DATE(W$5,$J348,$I348),daily_dates,0),MATCH($B$3,daily_items,0))),NA(),INDEX(big_daily_table,MATCH(DATE(W$5,$J348,$I348),daily_dates,0),MATCH($B$3,daily_items,0)))</f>
        <v>#N/A</v>
      </c>
      <c r="X348" s="1" t="e">
        <f aca="false">IF(ISBLANK(INDEX(big_daily_table,MATCH(DATE(X$5,$J348,$I348),daily_dates,0),MATCH($B$3,daily_items,0))),NA(),INDEX(big_daily_table,MATCH(DATE(X$5,$J348,$I348),daily_dates,0),MATCH($B$3,daily_items,0)))</f>
        <v>#N/A</v>
      </c>
      <c r="Y348" s="1" t="e">
        <f aca="false">IF(ISBLANK(INDEX(big_daily_table,MATCH(DATE(Y$5,$J348,$I348),daily_dates,0),MATCH($B$3,daily_items,0))),NA(),INDEX(big_daily_table,MATCH(DATE(Y$5,$J348,$I348),daily_dates,0),MATCH($B$3,daily_items,0)))</f>
        <v>#N/A</v>
      </c>
      <c r="Z348" s="1" t="n">
        <f aca="true">_xlfn.AGGREGATE(5,6,OFFSET($R$5,H348,0,1,$J$2))</f>
        <v>0</v>
      </c>
      <c r="AA348" s="1" t="n">
        <f aca="true">_xlfn.AGGREGATE(4,6,OFFSET($R$5,H348,0,1,$J$2))</f>
        <v>0</v>
      </c>
      <c r="AB348" s="1" t="n">
        <f aca="false">AA348-Z348</f>
        <v>0</v>
      </c>
      <c r="AC348" s="1" t="e">
        <f aca="true">_xlfn.AGGREGATE(1,6,OFFSET($R$5,H348,0,1,$J$2))</f>
        <v>#DIV/0!</v>
      </c>
    </row>
    <row r="349" customFormat="false" ht="14.25" hidden="false" customHeight="false" outlineLevel="0" collapsed="false">
      <c r="H349" s="1" t="n">
        <f aca="false">H348+1</f>
        <v>344</v>
      </c>
      <c r="I349" s="1" t="n">
        <f aca="false">DAY(K349)</f>
        <v>9</v>
      </c>
      <c r="J349" s="1" t="n">
        <f aca="false">MONTH(K349)</f>
        <v>12</v>
      </c>
      <c r="K349" s="23" t="n">
        <f aca="false">K348+1</f>
        <v>36869</v>
      </c>
      <c r="L349" s="24" t="n">
        <f aca="true">IF(TODAY()&lt;DATE($N$5,J349,I349),1000000,-1000000)</f>
        <v>1000000</v>
      </c>
      <c r="M349" s="1" t="e">
        <f aca="false">IF(K349&gt;0,INDEX(big_daily_table,MATCH(DATE(N$5,$J349,$I349),daily_dates,0),MATCH($B$3,daily_items,0)),NA())</f>
        <v>#N/A</v>
      </c>
      <c r="N349" s="1" t="e">
        <f aca="false">IF(L349&lt;0,INDEX(big_daily_table,MATCH(DATE(N$5,$J349,$I349),daily_dates,0),MATCH($B$3,daily_items,0)),NA())</f>
        <v>#N/A</v>
      </c>
      <c r="O349" s="1" t="e">
        <f aca="false">IF(ISBLANK(INDEX(big_daily_table,MATCH(DATE(O$5,$J349,$I349),daily_dates,0),MATCH($B$3,daily_items,0))),NA(),INDEX(big_daily_table,MATCH(DATE(O$5,$J349,$I349),daily_dates,0),MATCH($B$3,daily_items,0)))</f>
        <v>#N/A</v>
      </c>
      <c r="P349" s="1" t="e">
        <f aca="false">IF(ISBLANK(INDEX(big_daily_table,MATCH(DATE(P$5,$J349,$I349),daily_dates,0),MATCH($B$3,daily_items,0))),NA(),INDEX(big_daily_table,MATCH(DATE(P$5,$J349,$I349),daily_dates,0),MATCH($B$3,daily_items,0)))</f>
        <v>#N/A</v>
      </c>
      <c r="Q349" s="1" t="e">
        <f aca="false">IF(ISBLANK(INDEX(big_daily_table,MATCH(DATE(Q$5,$J349,$I349),daily_dates,0),MATCH($B$3,daily_items,0))),NA(),INDEX(big_daily_table,MATCH(DATE(Q$5,$J349,$I349),daily_dates,0),MATCH($B$3,daily_items,0)))</f>
        <v>#N/A</v>
      </c>
      <c r="R349" s="1" t="e">
        <f aca="false">IF(ISBLANK(INDEX(big_daily_table,MATCH(DATE(R$5,$J349,$I349),daily_dates,0),MATCH($B$3,daily_items,0))),NA(),INDEX(big_daily_table,MATCH(DATE(R$5,$J349,$I349),daily_dates,0),MATCH($B$3,daily_items,0)))</f>
        <v>#N/A</v>
      </c>
      <c r="S349" s="1" t="e">
        <f aca="false">IF(ISBLANK(INDEX(big_daily_table,MATCH(DATE(S$5,$J349,$I349),daily_dates,0),MATCH($B$3,daily_items,0))),NA(),INDEX(big_daily_table,MATCH(DATE(S$5,$J349,$I349),daily_dates,0),MATCH($B$3,daily_items,0)))</f>
        <v>#N/A</v>
      </c>
      <c r="T349" s="1" t="e">
        <f aca="false">IF(ISBLANK(INDEX(big_daily_table,MATCH(DATE(T$5,$J349,$I349),daily_dates,0),MATCH($B$3,daily_items,0))),NA(),INDEX(big_daily_table,MATCH(DATE(T$5,$J349,$I349),daily_dates,0),MATCH($B$3,daily_items,0)))</f>
        <v>#N/A</v>
      </c>
      <c r="U349" s="1" t="e">
        <f aca="false">IF(ISBLANK(INDEX(big_daily_table,MATCH(DATE(U$5,$J349,$I349),daily_dates,0),MATCH($B$3,daily_items,0))),NA(),INDEX(big_daily_table,MATCH(DATE(U$5,$J349,$I349),daily_dates,0),MATCH($B$3,daily_items,0)))</f>
        <v>#N/A</v>
      </c>
      <c r="V349" s="1" t="e">
        <f aca="false">IF(ISBLANK(INDEX(big_daily_table,MATCH(DATE(V$5,$J349,$I349),daily_dates,0),MATCH($B$3,daily_items,0))),NA(),INDEX(big_daily_table,MATCH(DATE(V$5,$J349,$I349),daily_dates,0),MATCH($B$3,daily_items,0)))</f>
        <v>#N/A</v>
      </c>
      <c r="W349" s="1" t="e">
        <f aca="false">IF(ISBLANK(INDEX(big_daily_table,MATCH(DATE(W$5,$J349,$I349),daily_dates,0),MATCH($B$3,daily_items,0))),NA(),INDEX(big_daily_table,MATCH(DATE(W$5,$J349,$I349),daily_dates,0),MATCH($B$3,daily_items,0)))</f>
        <v>#N/A</v>
      </c>
      <c r="X349" s="1" t="e">
        <f aca="false">IF(ISBLANK(INDEX(big_daily_table,MATCH(DATE(X$5,$J349,$I349),daily_dates,0),MATCH($B$3,daily_items,0))),NA(),INDEX(big_daily_table,MATCH(DATE(X$5,$J349,$I349),daily_dates,0),MATCH($B$3,daily_items,0)))</f>
        <v>#N/A</v>
      </c>
      <c r="Y349" s="1" t="e">
        <f aca="false">IF(ISBLANK(INDEX(big_daily_table,MATCH(DATE(Y$5,$J349,$I349),daily_dates,0),MATCH($B$3,daily_items,0))),NA(),INDEX(big_daily_table,MATCH(DATE(Y$5,$J349,$I349),daily_dates,0),MATCH($B$3,daily_items,0)))</f>
        <v>#N/A</v>
      </c>
      <c r="Z349" s="1" t="n">
        <f aca="true">_xlfn.AGGREGATE(5,6,OFFSET($R$5,H349,0,1,$J$2))</f>
        <v>0</v>
      </c>
      <c r="AA349" s="1" t="n">
        <f aca="true">_xlfn.AGGREGATE(4,6,OFFSET($R$5,H349,0,1,$J$2))</f>
        <v>0</v>
      </c>
      <c r="AB349" s="1" t="n">
        <f aca="false">AA349-Z349</f>
        <v>0</v>
      </c>
      <c r="AC349" s="1" t="e">
        <f aca="true">_xlfn.AGGREGATE(1,6,OFFSET($R$5,H349,0,1,$J$2))</f>
        <v>#DIV/0!</v>
      </c>
    </row>
    <row r="350" customFormat="false" ht="14.25" hidden="false" customHeight="false" outlineLevel="0" collapsed="false">
      <c r="H350" s="1" t="n">
        <f aca="false">H349+1</f>
        <v>345</v>
      </c>
      <c r="I350" s="1" t="n">
        <f aca="false">DAY(K350)</f>
        <v>10</v>
      </c>
      <c r="J350" s="1" t="n">
        <f aca="false">MONTH(K350)</f>
        <v>12</v>
      </c>
      <c r="K350" s="23" t="n">
        <f aca="false">K349+1</f>
        <v>36870</v>
      </c>
      <c r="L350" s="24" t="n">
        <f aca="true">IF(TODAY()&lt;DATE($N$5,J350,I350),1000000,-1000000)</f>
        <v>1000000</v>
      </c>
      <c r="M350" s="1" t="e">
        <f aca="false">IF(K350&gt;0,INDEX(big_daily_table,MATCH(DATE(N$5,$J350,$I350),daily_dates,0),MATCH($B$3,daily_items,0)),NA())</f>
        <v>#N/A</v>
      </c>
      <c r="N350" s="1" t="e">
        <f aca="false">IF(L350&lt;0,INDEX(big_daily_table,MATCH(DATE(N$5,$J350,$I350),daily_dates,0),MATCH($B$3,daily_items,0)),NA())</f>
        <v>#N/A</v>
      </c>
      <c r="O350" s="1" t="e">
        <f aca="false">IF(ISBLANK(INDEX(big_daily_table,MATCH(DATE(O$5,$J350,$I350),daily_dates,0),MATCH($B$3,daily_items,0))),NA(),INDEX(big_daily_table,MATCH(DATE(O$5,$J350,$I350),daily_dates,0),MATCH($B$3,daily_items,0)))</f>
        <v>#N/A</v>
      </c>
      <c r="P350" s="1" t="e">
        <f aca="false">IF(ISBLANK(INDEX(big_daily_table,MATCH(DATE(P$5,$J350,$I350),daily_dates,0),MATCH($B$3,daily_items,0))),NA(),INDEX(big_daily_table,MATCH(DATE(P$5,$J350,$I350),daily_dates,0),MATCH($B$3,daily_items,0)))</f>
        <v>#N/A</v>
      </c>
      <c r="Q350" s="1" t="e">
        <f aca="false">IF(ISBLANK(INDEX(big_daily_table,MATCH(DATE(Q$5,$J350,$I350),daily_dates,0),MATCH($B$3,daily_items,0))),NA(),INDEX(big_daily_table,MATCH(DATE(Q$5,$J350,$I350),daily_dates,0),MATCH($B$3,daily_items,0)))</f>
        <v>#N/A</v>
      </c>
      <c r="R350" s="1" t="e">
        <f aca="false">IF(ISBLANK(INDEX(big_daily_table,MATCH(DATE(R$5,$J350,$I350),daily_dates,0),MATCH($B$3,daily_items,0))),NA(),INDEX(big_daily_table,MATCH(DATE(R$5,$J350,$I350),daily_dates,0),MATCH($B$3,daily_items,0)))</f>
        <v>#N/A</v>
      </c>
      <c r="S350" s="1" t="e">
        <f aca="false">IF(ISBLANK(INDEX(big_daily_table,MATCH(DATE(S$5,$J350,$I350),daily_dates,0),MATCH($B$3,daily_items,0))),NA(),INDEX(big_daily_table,MATCH(DATE(S$5,$J350,$I350),daily_dates,0),MATCH($B$3,daily_items,0)))</f>
        <v>#N/A</v>
      </c>
      <c r="T350" s="1" t="e">
        <f aca="false">IF(ISBLANK(INDEX(big_daily_table,MATCH(DATE(T$5,$J350,$I350),daily_dates,0),MATCH($B$3,daily_items,0))),NA(),INDEX(big_daily_table,MATCH(DATE(T$5,$J350,$I350),daily_dates,0),MATCH($B$3,daily_items,0)))</f>
        <v>#N/A</v>
      </c>
      <c r="U350" s="1" t="e">
        <f aca="false">IF(ISBLANK(INDEX(big_daily_table,MATCH(DATE(U$5,$J350,$I350),daily_dates,0),MATCH($B$3,daily_items,0))),NA(),INDEX(big_daily_table,MATCH(DATE(U$5,$J350,$I350),daily_dates,0),MATCH($B$3,daily_items,0)))</f>
        <v>#N/A</v>
      </c>
      <c r="V350" s="1" t="e">
        <f aca="false">IF(ISBLANK(INDEX(big_daily_table,MATCH(DATE(V$5,$J350,$I350),daily_dates,0),MATCH($B$3,daily_items,0))),NA(),INDEX(big_daily_table,MATCH(DATE(V$5,$J350,$I350),daily_dates,0),MATCH($B$3,daily_items,0)))</f>
        <v>#N/A</v>
      </c>
      <c r="W350" s="1" t="e">
        <f aca="false">IF(ISBLANK(INDEX(big_daily_table,MATCH(DATE(W$5,$J350,$I350),daily_dates,0),MATCH($B$3,daily_items,0))),NA(),INDEX(big_daily_table,MATCH(DATE(W$5,$J350,$I350),daily_dates,0),MATCH($B$3,daily_items,0)))</f>
        <v>#N/A</v>
      </c>
      <c r="X350" s="1" t="e">
        <f aca="false">IF(ISBLANK(INDEX(big_daily_table,MATCH(DATE(X$5,$J350,$I350),daily_dates,0),MATCH($B$3,daily_items,0))),NA(),INDEX(big_daily_table,MATCH(DATE(X$5,$J350,$I350),daily_dates,0),MATCH($B$3,daily_items,0)))</f>
        <v>#N/A</v>
      </c>
      <c r="Y350" s="1" t="e">
        <f aca="false">IF(ISBLANK(INDEX(big_daily_table,MATCH(DATE(Y$5,$J350,$I350),daily_dates,0),MATCH($B$3,daily_items,0))),NA(),INDEX(big_daily_table,MATCH(DATE(Y$5,$J350,$I350),daily_dates,0),MATCH($B$3,daily_items,0)))</f>
        <v>#N/A</v>
      </c>
      <c r="Z350" s="1" t="n">
        <f aca="true">_xlfn.AGGREGATE(5,6,OFFSET($R$5,H350,0,1,$J$2))</f>
        <v>0</v>
      </c>
      <c r="AA350" s="1" t="n">
        <f aca="true">_xlfn.AGGREGATE(4,6,OFFSET($R$5,H350,0,1,$J$2))</f>
        <v>0</v>
      </c>
      <c r="AB350" s="1" t="n">
        <f aca="false">AA350-Z350</f>
        <v>0</v>
      </c>
      <c r="AC350" s="1" t="e">
        <f aca="true">_xlfn.AGGREGATE(1,6,OFFSET($R$5,H350,0,1,$J$2))</f>
        <v>#DIV/0!</v>
      </c>
    </row>
    <row r="351" customFormat="false" ht="14.25" hidden="false" customHeight="false" outlineLevel="0" collapsed="false">
      <c r="H351" s="1" t="n">
        <f aca="false">H350+1</f>
        <v>346</v>
      </c>
      <c r="I351" s="1" t="n">
        <f aca="false">DAY(K351)</f>
        <v>11</v>
      </c>
      <c r="J351" s="1" t="n">
        <f aca="false">MONTH(K351)</f>
        <v>12</v>
      </c>
      <c r="K351" s="23" t="n">
        <f aca="false">K350+1</f>
        <v>36871</v>
      </c>
      <c r="L351" s="24" t="n">
        <f aca="true">IF(TODAY()&lt;DATE($N$5,J351,I351),1000000,-1000000)</f>
        <v>1000000</v>
      </c>
      <c r="M351" s="1" t="e">
        <f aca="false">IF(K351&gt;0,INDEX(big_daily_table,MATCH(DATE(N$5,$J351,$I351),daily_dates,0),MATCH($B$3,daily_items,0)),NA())</f>
        <v>#N/A</v>
      </c>
      <c r="N351" s="1" t="e">
        <f aca="false">IF(L351&lt;0,INDEX(big_daily_table,MATCH(DATE(N$5,$J351,$I351),daily_dates,0),MATCH($B$3,daily_items,0)),NA())</f>
        <v>#N/A</v>
      </c>
      <c r="O351" s="1" t="e">
        <f aca="false">IF(ISBLANK(INDEX(big_daily_table,MATCH(DATE(O$5,$J351,$I351),daily_dates,0),MATCH($B$3,daily_items,0))),NA(),INDEX(big_daily_table,MATCH(DATE(O$5,$J351,$I351),daily_dates,0),MATCH($B$3,daily_items,0)))</f>
        <v>#N/A</v>
      </c>
      <c r="P351" s="1" t="e">
        <f aca="false">IF(ISBLANK(INDEX(big_daily_table,MATCH(DATE(P$5,$J351,$I351),daily_dates,0),MATCH($B$3,daily_items,0))),NA(),INDEX(big_daily_table,MATCH(DATE(P$5,$J351,$I351),daily_dates,0),MATCH($B$3,daily_items,0)))</f>
        <v>#N/A</v>
      </c>
      <c r="Q351" s="1" t="e">
        <f aca="false">IF(ISBLANK(INDEX(big_daily_table,MATCH(DATE(Q$5,$J351,$I351),daily_dates,0),MATCH($B$3,daily_items,0))),NA(),INDEX(big_daily_table,MATCH(DATE(Q$5,$J351,$I351),daily_dates,0),MATCH($B$3,daily_items,0)))</f>
        <v>#N/A</v>
      </c>
      <c r="R351" s="1" t="e">
        <f aca="false">IF(ISBLANK(INDEX(big_daily_table,MATCH(DATE(R$5,$J351,$I351),daily_dates,0),MATCH($B$3,daily_items,0))),NA(),INDEX(big_daily_table,MATCH(DATE(R$5,$J351,$I351),daily_dates,0),MATCH($B$3,daily_items,0)))</f>
        <v>#N/A</v>
      </c>
      <c r="S351" s="1" t="e">
        <f aca="false">IF(ISBLANK(INDEX(big_daily_table,MATCH(DATE(S$5,$J351,$I351),daily_dates,0),MATCH($B$3,daily_items,0))),NA(),INDEX(big_daily_table,MATCH(DATE(S$5,$J351,$I351),daily_dates,0),MATCH($B$3,daily_items,0)))</f>
        <v>#N/A</v>
      </c>
      <c r="T351" s="1" t="e">
        <f aca="false">IF(ISBLANK(INDEX(big_daily_table,MATCH(DATE(T$5,$J351,$I351),daily_dates,0),MATCH($B$3,daily_items,0))),NA(),INDEX(big_daily_table,MATCH(DATE(T$5,$J351,$I351),daily_dates,0),MATCH($B$3,daily_items,0)))</f>
        <v>#N/A</v>
      </c>
      <c r="U351" s="1" t="e">
        <f aca="false">IF(ISBLANK(INDEX(big_daily_table,MATCH(DATE(U$5,$J351,$I351),daily_dates,0),MATCH($B$3,daily_items,0))),NA(),INDEX(big_daily_table,MATCH(DATE(U$5,$J351,$I351),daily_dates,0),MATCH($B$3,daily_items,0)))</f>
        <v>#N/A</v>
      </c>
      <c r="V351" s="1" t="e">
        <f aca="false">IF(ISBLANK(INDEX(big_daily_table,MATCH(DATE(V$5,$J351,$I351),daily_dates,0),MATCH($B$3,daily_items,0))),NA(),INDEX(big_daily_table,MATCH(DATE(V$5,$J351,$I351),daily_dates,0),MATCH($B$3,daily_items,0)))</f>
        <v>#N/A</v>
      </c>
      <c r="W351" s="1" t="e">
        <f aca="false">IF(ISBLANK(INDEX(big_daily_table,MATCH(DATE(W$5,$J351,$I351),daily_dates,0),MATCH($B$3,daily_items,0))),NA(),INDEX(big_daily_table,MATCH(DATE(W$5,$J351,$I351),daily_dates,0),MATCH($B$3,daily_items,0)))</f>
        <v>#N/A</v>
      </c>
      <c r="X351" s="1" t="e">
        <f aca="false">IF(ISBLANK(INDEX(big_daily_table,MATCH(DATE(X$5,$J351,$I351),daily_dates,0),MATCH($B$3,daily_items,0))),NA(),INDEX(big_daily_table,MATCH(DATE(X$5,$J351,$I351),daily_dates,0),MATCH($B$3,daily_items,0)))</f>
        <v>#N/A</v>
      </c>
      <c r="Y351" s="1" t="e">
        <f aca="false">IF(ISBLANK(INDEX(big_daily_table,MATCH(DATE(Y$5,$J351,$I351),daily_dates,0),MATCH($B$3,daily_items,0))),NA(),INDEX(big_daily_table,MATCH(DATE(Y$5,$J351,$I351),daily_dates,0),MATCH($B$3,daily_items,0)))</f>
        <v>#N/A</v>
      </c>
      <c r="Z351" s="1" t="n">
        <f aca="true">_xlfn.AGGREGATE(5,6,OFFSET($R$5,H351,0,1,$J$2))</f>
        <v>0</v>
      </c>
      <c r="AA351" s="1" t="n">
        <f aca="true">_xlfn.AGGREGATE(4,6,OFFSET($R$5,H351,0,1,$J$2))</f>
        <v>0</v>
      </c>
      <c r="AB351" s="1" t="n">
        <f aca="false">AA351-Z351</f>
        <v>0</v>
      </c>
      <c r="AC351" s="1" t="e">
        <f aca="true">_xlfn.AGGREGATE(1,6,OFFSET($R$5,H351,0,1,$J$2))</f>
        <v>#DIV/0!</v>
      </c>
    </row>
    <row r="352" customFormat="false" ht="14.25" hidden="false" customHeight="false" outlineLevel="0" collapsed="false">
      <c r="H352" s="1" t="n">
        <f aca="false">H351+1</f>
        <v>347</v>
      </c>
      <c r="I352" s="1" t="n">
        <f aca="false">DAY(K352)</f>
        <v>12</v>
      </c>
      <c r="J352" s="1" t="n">
        <f aca="false">MONTH(K352)</f>
        <v>12</v>
      </c>
      <c r="K352" s="23" t="n">
        <f aca="false">K351+1</f>
        <v>36872</v>
      </c>
      <c r="L352" s="24" t="n">
        <f aca="true">IF(TODAY()&lt;DATE($N$5,J352,I352),1000000,-1000000)</f>
        <v>1000000</v>
      </c>
      <c r="M352" s="1" t="e">
        <f aca="false">IF(K352&gt;0,INDEX(big_daily_table,MATCH(DATE(N$5,$J352,$I352),daily_dates,0),MATCH($B$3,daily_items,0)),NA())</f>
        <v>#N/A</v>
      </c>
      <c r="N352" s="1" t="e">
        <f aca="false">IF(L352&lt;0,INDEX(big_daily_table,MATCH(DATE(N$5,$J352,$I352),daily_dates,0),MATCH($B$3,daily_items,0)),NA())</f>
        <v>#N/A</v>
      </c>
      <c r="O352" s="1" t="e">
        <f aca="false">IF(ISBLANK(INDEX(big_daily_table,MATCH(DATE(O$5,$J352,$I352),daily_dates,0),MATCH($B$3,daily_items,0))),NA(),INDEX(big_daily_table,MATCH(DATE(O$5,$J352,$I352),daily_dates,0),MATCH($B$3,daily_items,0)))</f>
        <v>#N/A</v>
      </c>
      <c r="P352" s="1" t="e">
        <f aca="false">IF(ISBLANK(INDEX(big_daily_table,MATCH(DATE(P$5,$J352,$I352),daily_dates,0),MATCH($B$3,daily_items,0))),NA(),INDEX(big_daily_table,MATCH(DATE(P$5,$J352,$I352),daily_dates,0),MATCH($B$3,daily_items,0)))</f>
        <v>#N/A</v>
      </c>
      <c r="Q352" s="1" t="e">
        <f aca="false">IF(ISBLANK(INDEX(big_daily_table,MATCH(DATE(Q$5,$J352,$I352),daily_dates,0),MATCH($B$3,daily_items,0))),NA(),INDEX(big_daily_table,MATCH(DATE(Q$5,$J352,$I352),daily_dates,0),MATCH($B$3,daily_items,0)))</f>
        <v>#N/A</v>
      </c>
      <c r="R352" s="1" t="e">
        <f aca="false">IF(ISBLANK(INDEX(big_daily_table,MATCH(DATE(R$5,$J352,$I352),daily_dates,0),MATCH($B$3,daily_items,0))),NA(),INDEX(big_daily_table,MATCH(DATE(R$5,$J352,$I352),daily_dates,0),MATCH($B$3,daily_items,0)))</f>
        <v>#N/A</v>
      </c>
      <c r="S352" s="1" t="e">
        <f aca="false">IF(ISBLANK(INDEX(big_daily_table,MATCH(DATE(S$5,$J352,$I352),daily_dates,0),MATCH($B$3,daily_items,0))),NA(),INDEX(big_daily_table,MATCH(DATE(S$5,$J352,$I352),daily_dates,0),MATCH($B$3,daily_items,0)))</f>
        <v>#N/A</v>
      </c>
      <c r="T352" s="1" t="e">
        <f aca="false">IF(ISBLANK(INDEX(big_daily_table,MATCH(DATE(T$5,$J352,$I352),daily_dates,0),MATCH($B$3,daily_items,0))),NA(),INDEX(big_daily_table,MATCH(DATE(T$5,$J352,$I352),daily_dates,0),MATCH($B$3,daily_items,0)))</f>
        <v>#N/A</v>
      </c>
      <c r="U352" s="1" t="e">
        <f aca="false">IF(ISBLANK(INDEX(big_daily_table,MATCH(DATE(U$5,$J352,$I352),daily_dates,0),MATCH($B$3,daily_items,0))),NA(),INDEX(big_daily_table,MATCH(DATE(U$5,$J352,$I352),daily_dates,0),MATCH($B$3,daily_items,0)))</f>
        <v>#N/A</v>
      </c>
      <c r="V352" s="1" t="e">
        <f aca="false">IF(ISBLANK(INDEX(big_daily_table,MATCH(DATE(V$5,$J352,$I352),daily_dates,0),MATCH($B$3,daily_items,0))),NA(),INDEX(big_daily_table,MATCH(DATE(V$5,$J352,$I352),daily_dates,0),MATCH($B$3,daily_items,0)))</f>
        <v>#N/A</v>
      </c>
      <c r="W352" s="1" t="e">
        <f aca="false">IF(ISBLANK(INDEX(big_daily_table,MATCH(DATE(W$5,$J352,$I352),daily_dates,0),MATCH($B$3,daily_items,0))),NA(),INDEX(big_daily_table,MATCH(DATE(W$5,$J352,$I352),daily_dates,0),MATCH($B$3,daily_items,0)))</f>
        <v>#N/A</v>
      </c>
      <c r="X352" s="1" t="e">
        <f aca="false">IF(ISBLANK(INDEX(big_daily_table,MATCH(DATE(X$5,$J352,$I352),daily_dates,0),MATCH($B$3,daily_items,0))),NA(),INDEX(big_daily_table,MATCH(DATE(X$5,$J352,$I352),daily_dates,0),MATCH($B$3,daily_items,0)))</f>
        <v>#N/A</v>
      </c>
      <c r="Y352" s="1" t="e">
        <f aca="false">IF(ISBLANK(INDEX(big_daily_table,MATCH(DATE(Y$5,$J352,$I352),daily_dates,0),MATCH($B$3,daily_items,0))),NA(),INDEX(big_daily_table,MATCH(DATE(Y$5,$J352,$I352),daily_dates,0),MATCH($B$3,daily_items,0)))</f>
        <v>#N/A</v>
      </c>
      <c r="Z352" s="1" t="n">
        <f aca="true">_xlfn.AGGREGATE(5,6,OFFSET($R$5,H352,0,1,$J$2))</f>
        <v>0</v>
      </c>
      <c r="AA352" s="1" t="n">
        <f aca="true">_xlfn.AGGREGATE(4,6,OFFSET($R$5,H352,0,1,$J$2))</f>
        <v>0</v>
      </c>
      <c r="AB352" s="1" t="n">
        <f aca="false">AA352-Z352</f>
        <v>0</v>
      </c>
      <c r="AC352" s="1" t="e">
        <f aca="true">_xlfn.AGGREGATE(1,6,OFFSET($R$5,H352,0,1,$J$2))</f>
        <v>#DIV/0!</v>
      </c>
    </row>
    <row r="353" customFormat="false" ht="14.25" hidden="false" customHeight="false" outlineLevel="0" collapsed="false">
      <c r="H353" s="1" t="n">
        <f aca="false">H352+1</f>
        <v>348</v>
      </c>
      <c r="I353" s="1" t="n">
        <f aca="false">DAY(K353)</f>
        <v>13</v>
      </c>
      <c r="J353" s="1" t="n">
        <f aca="false">MONTH(K353)</f>
        <v>12</v>
      </c>
      <c r="K353" s="23" t="n">
        <f aca="false">K352+1</f>
        <v>36873</v>
      </c>
      <c r="L353" s="24" t="n">
        <f aca="true">IF(TODAY()&lt;DATE($N$5,J353,I353),1000000,-1000000)</f>
        <v>1000000</v>
      </c>
      <c r="M353" s="1" t="e">
        <f aca="false">IF(K353&gt;0,INDEX(big_daily_table,MATCH(DATE(N$5,$J353,$I353),daily_dates,0),MATCH($B$3,daily_items,0)),NA())</f>
        <v>#N/A</v>
      </c>
      <c r="N353" s="1" t="e">
        <f aca="false">IF(L353&lt;0,INDEX(big_daily_table,MATCH(DATE(N$5,$J353,$I353),daily_dates,0),MATCH($B$3,daily_items,0)),NA())</f>
        <v>#N/A</v>
      </c>
      <c r="O353" s="1" t="e">
        <f aca="false">IF(ISBLANK(INDEX(big_daily_table,MATCH(DATE(O$5,$J353,$I353),daily_dates,0),MATCH($B$3,daily_items,0))),NA(),INDEX(big_daily_table,MATCH(DATE(O$5,$J353,$I353),daily_dates,0),MATCH($B$3,daily_items,0)))</f>
        <v>#N/A</v>
      </c>
      <c r="P353" s="1" t="e">
        <f aca="false">IF(ISBLANK(INDEX(big_daily_table,MATCH(DATE(P$5,$J353,$I353),daily_dates,0),MATCH($B$3,daily_items,0))),NA(),INDEX(big_daily_table,MATCH(DATE(P$5,$J353,$I353),daily_dates,0),MATCH($B$3,daily_items,0)))</f>
        <v>#N/A</v>
      </c>
      <c r="Q353" s="1" t="e">
        <f aca="false">IF(ISBLANK(INDEX(big_daily_table,MATCH(DATE(Q$5,$J353,$I353),daily_dates,0),MATCH($B$3,daily_items,0))),NA(),INDEX(big_daily_table,MATCH(DATE(Q$5,$J353,$I353),daily_dates,0),MATCH($B$3,daily_items,0)))</f>
        <v>#N/A</v>
      </c>
      <c r="R353" s="1" t="e">
        <f aca="false">IF(ISBLANK(INDEX(big_daily_table,MATCH(DATE(R$5,$J353,$I353),daily_dates,0),MATCH($B$3,daily_items,0))),NA(),INDEX(big_daily_table,MATCH(DATE(R$5,$J353,$I353),daily_dates,0),MATCH($B$3,daily_items,0)))</f>
        <v>#N/A</v>
      </c>
      <c r="S353" s="1" t="e">
        <f aca="false">IF(ISBLANK(INDEX(big_daily_table,MATCH(DATE(S$5,$J353,$I353),daily_dates,0),MATCH($B$3,daily_items,0))),NA(),INDEX(big_daily_table,MATCH(DATE(S$5,$J353,$I353),daily_dates,0),MATCH($B$3,daily_items,0)))</f>
        <v>#N/A</v>
      </c>
      <c r="T353" s="1" t="e">
        <f aca="false">IF(ISBLANK(INDEX(big_daily_table,MATCH(DATE(T$5,$J353,$I353),daily_dates,0),MATCH($B$3,daily_items,0))),NA(),INDEX(big_daily_table,MATCH(DATE(T$5,$J353,$I353),daily_dates,0),MATCH($B$3,daily_items,0)))</f>
        <v>#N/A</v>
      </c>
      <c r="U353" s="1" t="e">
        <f aca="false">IF(ISBLANK(INDEX(big_daily_table,MATCH(DATE(U$5,$J353,$I353),daily_dates,0),MATCH($B$3,daily_items,0))),NA(),INDEX(big_daily_table,MATCH(DATE(U$5,$J353,$I353),daily_dates,0),MATCH($B$3,daily_items,0)))</f>
        <v>#N/A</v>
      </c>
      <c r="V353" s="1" t="e">
        <f aca="false">IF(ISBLANK(INDEX(big_daily_table,MATCH(DATE(V$5,$J353,$I353),daily_dates,0),MATCH($B$3,daily_items,0))),NA(),INDEX(big_daily_table,MATCH(DATE(V$5,$J353,$I353),daily_dates,0),MATCH($B$3,daily_items,0)))</f>
        <v>#N/A</v>
      </c>
      <c r="W353" s="1" t="e">
        <f aca="false">IF(ISBLANK(INDEX(big_daily_table,MATCH(DATE(W$5,$J353,$I353),daily_dates,0),MATCH($B$3,daily_items,0))),NA(),INDEX(big_daily_table,MATCH(DATE(W$5,$J353,$I353),daily_dates,0),MATCH($B$3,daily_items,0)))</f>
        <v>#N/A</v>
      </c>
      <c r="X353" s="1" t="e">
        <f aca="false">IF(ISBLANK(INDEX(big_daily_table,MATCH(DATE(X$5,$J353,$I353),daily_dates,0),MATCH($B$3,daily_items,0))),NA(),INDEX(big_daily_table,MATCH(DATE(X$5,$J353,$I353),daily_dates,0),MATCH($B$3,daily_items,0)))</f>
        <v>#N/A</v>
      </c>
      <c r="Y353" s="1" t="e">
        <f aca="false">IF(ISBLANK(INDEX(big_daily_table,MATCH(DATE(Y$5,$J353,$I353),daily_dates,0),MATCH($B$3,daily_items,0))),NA(),INDEX(big_daily_table,MATCH(DATE(Y$5,$J353,$I353),daily_dates,0),MATCH($B$3,daily_items,0)))</f>
        <v>#N/A</v>
      </c>
      <c r="Z353" s="1" t="n">
        <f aca="true">_xlfn.AGGREGATE(5,6,OFFSET($R$5,H353,0,1,$J$2))</f>
        <v>0</v>
      </c>
      <c r="AA353" s="1" t="n">
        <f aca="true">_xlfn.AGGREGATE(4,6,OFFSET($R$5,H353,0,1,$J$2))</f>
        <v>0</v>
      </c>
      <c r="AB353" s="1" t="n">
        <f aca="false">AA353-Z353</f>
        <v>0</v>
      </c>
      <c r="AC353" s="1" t="e">
        <f aca="true">_xlfn.AGGREGATE(1,6,OFFSET($R$5,H353,0,1,$J$2))</f>
        <v>#DIV/0!</v>
      </c>
    </row>
    <row r="354" customFormat="false" ht="14.25" hidden="false" customHeight="false" outlineLevel="0" collapsed="false">
      <c r="H354" s="1" t="n">
        <f aca="false">H353+1</f>
        <v>349</v>
      </c>
      <c r="I354" s="1" t="n">
        <f aca="false">DAY(K354)</f>
        <v>14</v>
      </c>
      <c r="J354" s="1" t="n">
        <f aca="false">MONTH(K354)</f>
        <v>12</v>
      </c>
      <c r="K354" s="23" t="n">
        <f aca="false">K353+1</f>
        <v>36874</v>
      </c>
      <c r="L354" s="24" t="n">
        <f aca="true">IF(TODAY()&lt;DATE($N$5,J354,I354),1000000,-1000000)</f>
        <v>1000000</v>
      </c>
      <c r="M354" s="1" t="e">
        <f aca="false">IF(K354&gt;0,INDEX(big_daily_table,MATCH(DATE(N$5,$J354,$I354),daily_dates,0),MATCH($B$3,daily_items,0)),NA())</f>
        <v>#N/A</v>
      </c>
      <c r="N354" s="1" t="e">
        <f aca="false">IF(L354&lt;0,INDEX(big_daily_table,MATCH(DATE(N$5,$J354,$I354),daily_dates,0),MATCH($B$3,daily_items,0)),NA())</f>
        <v>#N/A</v>
      </c>
      <c r="O354" s="1" t="e">
        <f aca="false">IF(ISBLANK(INDEX(big_daily_table,MATCH(DATE(O$5,$J354,$I354),daily_dates,0),MATCH($B$3,daily_items,0))),NA(),INDEX(big_daily_table,MATCH(DATE(O$5,$J354,$I354),daily_dates,0),MATCH($B$3,daily_items,0)))</f>
        <v>#N/A</v>
      </c>
      <c r="P354" s="1" t="e">
        <f aca="false">IF(ISBLANK(INDEX(big_daily_table,MATCH(DATE(P$5,$J354,$I354),daily_dates,0),MATCH($B$3,daily_items,0))),NA(),INDEX(big_daily_table,MATCH(DATE(P$5,$J354,$I354),daily_dates,0),MATCH($B$3,daily_items,0)))</f>
        <v>#N/A</v>
      </c>
      <c r="Q354" s="1" t="e">
        <f aca="false">IF(ISBLANK(INDEX(big_daily_table,MATCH(DATE(Q$5,$J354,$I354),daily_dates,0),MATCH($B$3,daily_items,0))),NA(),INDEX(big_daily_table,MATCH(DATE(Q$5,$J354,$I354),daily_dates,0),MATCH($B$3,daily_items,0)))</f>
        <v>#N/A</v>
      </c>
      <c r="R354" s="1" t="e">
        <f aca="false">IF(ISBLANK(INDEX(big_daily_table,MATCH(DATE(R$5,$J354,$I354),daily_dates,0),MATCH($B$3,daily_items,0))),NA(),INDEX(big_daily_table,MATCH(DATE(R$5,$J354,$I354),daily_dates,0),MATCH($B$3,daily_items,0)))</f>
        <v>#N/A</v>
      </c>
      <c r="S354" s="1" t="e">
        <f aca="false">IF(ISBLANK(INDEX(big_daily_table,MATCH(DATE(S$5,$J354,$I354),daily_dates,0),MATCH($B$3,daily_items,0))),NA(),INDEX(big_daily_table,MATCH(DATE(S$5,$J354,$I354),daily_dates,0),MATCH($B$3,daily_items,0)))</f>
        <v>#N/A</v>
      </c>
      <c r="T354" s="1" t="e">
        <f aca="false">IF(ISBLANK(INDEX(big_daily_table,MATCH(DATE(T$5,$J354,$I354),daily_dates,0),MATCH($B$3,daily_items,0))),NA(),INDEX(big_daily_table,MATCH(DATE(T$5,$J354,$I354),daily_dates,0),MATCH($B$3,daily_items,0)))</f>
        <v>#N/A</v>
      </c>
      <c r="U354" s="1" t="e">
        <f aca="false">IF(ISBLANK(INDEX(big_daily_table,MATCH(DATE(U$5,$J354,$I354),daily_dates,0),MATCH($B$3,daily_items,0))),NA(),INDEX(big_daily_table,MATCH(DATE(U$5,$J354,$I354),daily_dates,0),MATCH($B$3,daily_items,0)))</f>
        <v>#N/A</v>
      </c>
      <c r="V354" s="1" t="e">
        <f aca="false">IF(ISBLANK(INDEX(big_daily_table,MATCH(DATE(V$5,$J354,$I354),daily_dates,0),MATCH($B$3,daily_items,0))),NA(),INDEX(big_daily_table,MATCH(DATE(V$5,$J354,$I354),daily_dates,0),MATCH($B$3,daily_items,0)))</f>
        <v>#N/A</v>
      </c>
      <c r="W354" s="1" t="e">
        <f aca="false">IF(ISBLANK(INDEX(big_daily_table,MATCH(DATE(W$5,$J354,$I354),daily_dates,0),MATCH($B$3,daily_items,0))),NA(),INDEX(big_daily_table,MATCH(DATE(W$5,$J354,$I354),daily_dates,0),MATCH($B$3,daily_items,0)))</f>
        <v>#N/A</v>
      </c>
      <c r="X354" s="1" t="e">
        <f aca="false">IF(ISBLANK(INDEX(big_daily_table,MATCH(DATE(X$5,$J354,$I354),daily_dates,0),MATCH($B$3,daily_items,0))),NA(),INDEX(big_daily_table,MATCH(DATE(X$5,$J354,$I354),daily_dates,0),MATCH($B$3,daily_items,0)))</f>
        <v>#N/A</v>
      </c>
      <c r="Y354" s="1" t="e">
        <f aca="false">IF(ISBLANK(INDEX(big_daily_table,MATCH(DATE(Y$5,$J354,$I354),daily_dates,0),MATCH($B$3,daily_items,0))),NA(),INDEX(big_daily_table,MATCH(DATE(Y$5,$J354,$I354),daily_dates,0),MATCH($B$3,daily_items,0)))</f>
        <v>#N/A</v>
      </c>
      <c r="Z354" s="1" t="n">
        <f aca="true">_xlfn.AGGREGATE(5,6,OFFSET($R$5,H354,0,1,$J$2))</f>
        <v>0</v>
      </c>
      <c r="AA354" s="1" t="n">
        <f aca="true">_xlfn.AGGREGATE(4,6,OFFSET($R$5,H354,0,1,$J$2))</f>
        <v>0</v>
      </c>
      <c r="AB354" s="1" t="n">
        <f aca="false">AA354-Z354</f>
        <v>0</v>
      </c>
      <c r="AC354" s="1" t="e">
        <f aca="true">_xlfn.AGGREGATE(1,6,OFFSET($R$5,H354,0,1,$J$2))</f>
        <v>#DIV/0!</v>
      </c>
    </row>
    <row r="355" customFormat="false" ht="14.25" hidden="false" customHeight="false" outlineLevel="0" collapsed="false">
      <c r="H355" s="1" t="n">
        <f aca="false">H354+1</f>
        <v>350</v>
      </c>
      <c r="I355" s="1" t="n">
        <f aca="false">DAY(K355)</f>
        <v>15</v>
      </c>
      <c r="J355" s="1" t="n">
        <f aca="false">MONTH(K355)</f>
        <v>12</v>
      </c>
      <c r="K355" s="23" t="n">
        <f aca="false">K354+1</f>
        <v>36875</v>
      </c>
      <c r="L355" s="24" t="n">
        <f aca="true">IF(TODAY()&lt;DATE($N$5,J355,I355),1000000,-1000000)</f>
        <v>1000000</v>
      </c>
      <c r="M355" s="1" t="e">
        <f aca="false">IF(K355&gt;0,INDEX(big_daily_table,MATCH(DATE(N$5,$J355,$I355),daily_dates,0),MATCH($B$3,daily_items,0)),NA())</f>
        <v>#N/A</v>
      </c>
      <c r="N355" s="1" t="e">
        <f aca="false">IF(L355&lt;0,INDEX(big_daily_table,MATCH(DATE(N$5,$J355,$I355),daily_dates,0),MATCH($B$3,daily_items,0)),NA())</f>
        <v>#N/A</v>
      </c>
      <c r="O355" s="1" t="e">
        <f aca="false">IF(ISBLANK(INDEX(big_daily_table,MATCH(DATE(O$5,$J355,$I355),daily_dates,0),MATCH($B$3,daily_items,0))),NA(),INDEX(big_daily_table,MATCH(DATE(O$5,$J355,$I355),daily_dates,0),MATCH($B$3,daily_items,0)))</f>
        <v>#N/A</v>
      </c>
      <c r="P355" s="1" t="e">
        <f aca="false">IF(ISBLANK(INDEX(big_daily_table,MATCH(DATE(P$5,$J355,$I355),daily_dates,0),MATCH($B$3,daily_items,0))),NA(),INDEX(big_daily_table,MATCH(DATE(P$5,$J355,$I355),daily_dates,0),MATCH($B$3,daily_items,0)))</f>
        <v>#N/A</v>
      </c>
      <c r="Q355" s="1" t="e">
        <f aca="false">IF(ISBLANK(INDEX(big_daily_table,MATCH(DATE(Q$5,$J355,$I355),daily_dates,0),MATCH($B$3,daily_items,0))),NA(),INDEX(big_daily_table,MATCH(DATE(Q$5,$J355,$I355),daily_dates,0),MATCH($B$3,daily_items,0)))</f>
        <v>#N/A</v>
      </c>
      <c r="R355" s="1" t="e">
        <f aca="false">IF(ISBLANK(INDEX(big_daily_table,MATCH(DATE(R$5,$J355,$I355),daily_dates,0),MATCH($B$3,daily_items,0))),NA(),INDEX(big_daily_table,MATCH(DATE(R$5,$J355,$I355),daily_dates,0),MATCH($B$3,daily_items,0)))</f>
        <v>#N/A</v>
      </c>
      <c r="S355" s="1" t="e">
        <f aca="false">IF(ISBLANK(INDEX(big_daily_table,MATCH(DATE(S$5,$J355,$I355),daily_dates,0),MATCH($B$3,daily_items,0))),NA(),INDEX(big_daily_table,MATCH(DATE(S$5,$J355,$I355),daily_dates,0),MATCH($B$3,daily_items,0)))</f>
        <v>#N/A</v>
      </c>
      <c r="T355" s="1" t="e">
        <f aca="false">IF(ISBLANK(INDEX(big_daily_table,MATCH(DATE(T$5,$J355,$I355),daily_dates,0),MATCH($B$3,daily_items,0))),NA(),INDEX(big_daily_table,MATCH(DATE(T$5,$J355,$I355),daily_dates,0),MATCH($B$3,daily_items,0)))</f>
        <v>#N/A</v>
      </c>
      <c r="U355" s="1" t="e">
        <f aca="false">IF(ISBLANK(INDEX(big_daily_table,MATCH(DATE(U$5,$J355,$I355),daily_dates,0),MATCH($B$3,daily_items,0))),NA(),INDEX(big_daily_table,MATCH(DATE(U$5,$J355,$I355),daily_dates,0),MATCH($B$3,daily_items,0)))</f>
        <v>#N/A</v>
      </c>
      <c r="V355" s="1" t="e">
        <f aca="false">IF(ISBLANK(INDEX(big_daily_table,MATCH(DATE(V$5,$J355,$I355),daily_dates,0),MATCH($B$3,daily_items,0))),NA(),INDEX(big_daily_table,MATCH(DATE(V$5,$J355,$I355),daily_dates,0),MATCH($B$3,daily_items,0)))</f>
        <v>#N/A</v>
      </c>
      <c r="W355" s="1" t="e">
        <f aca="false">IF(ISBLANK(INDEX(big_daily_table,MATCH(DATE(W$5,$J355,$I355),daily_dates,0),MATCH($B$3,daily_items,0))),NA(),INDEX(big_daily_table,MATCH(DATE(W$5,$J355,$I355),daily_dates,0),MATCH($B$3,daily_items,0)))</f>
        <v>#N/A</v>
      </c>
      <c r="X355" s="1" t="e">
        <f aca="false">IF(ISBLANK(INDEX(big_daily_table,MATCH(DATE(X$5,$J355,$I355),daily_dates,0),MATCH($B$3,daily_items,0))),NA(),INDEX(big_daily_table,MATCH(DATE(X$5,$J355,$I355),daily_dates,0),MATCH($B$3,daily_items,0)))</f>
        <v>#N/A</v>
      </c>
      <c r="Y355" s="1" t="e">
        <f aca="false">IF(ISBLANK(INDEX(big_daily_table,MATCH(DATE(Y$5,$J355,$I355),daily_dates,0),MATCH($B$3,daily_items,0))),NA(),INDEX(big_daily_table,MATCH(DATE(Y$5,$J355,$I355),daily_dates,0),MATCH($B$3,daily_items,0)))</f>
        <v>#N/A</v>
      </c>
      <c r="Z355" s="1" t="n">
        <f aca="true">_xlfn.AGGREGATE(5,6,OFFSET($R$5,H355,0,1,$J$2))</f>
        <v>0</v>
      </c>
      <c r="AA355" s="1" t="n">
        <f aca="true">_xlfn.AGGREGATE(4,6,OFFSET($R$5,H355,0,1,$J$2))</f>
        <v>0</v>
      </c>
      <c r="AB355" s="1" t="n">
        <f aca="false">AA355-Z355</f>
        <v>0</v>
      </c>
      <c r="AC355" s="1" t="e">
        <f aca="true">_xlfn.AGGREGATE(1,6,OFFSET($R$5,H355,0,1,$J$2))</f>
        <v>#DIV/0!</v>
      </c>
    </row>
    <row r="356" customFormat="false" ht="14.25" hidden="false" customHeight="false" outlineLevel="0" collapsed="false">
      <c r="H356" s="1" t="n">
        <f aca="false">H355+1</f>
        <v>351</v>
      </c>
      <c r="I356" s="1" t="n">
        <f aca="false">DAY(K356)</f>
        <v>16</v>
      </c>
      <c r="J356" s="1" t="n">
        <f aca="false">MONTH(K356)</f>
        <v>12</v>
      </c>
      <c r="K356" s="23" t="n">
        <f aca="false">K355+1</f>
        <v>36876</v>
      </c>
      <c r="L356" s="24" t="n">
        <f aca="true">IF(TODAY()&lt;DATE($N$5,J356,I356),1000000,-1000000)</f>
        <v>1000000</v>
      </c>
      <c r="M356" s="1" t="e">
        <f aca="false">IF(K356&gt;0,INDEX(big_daily_table,MATCH(DATE(N$5,$J356,$I356),daily_dates,0),MATCH($B$3,daily_items,0)),NA())</f>
        <v>#N/A</v>
      </c>
      <c r="N356" s="1" t="e">
        <f aca="false">IF(L356&lt;0,INDEX(big_daily_table,MATCH(DATE(N$5,$J356,$I356),daily_dates,0),MATCH($B$3,daily_items,0)),NA())</f>
        <v>#N/A</v>
      </c>
      <c r="O356" s="1" t="e">
        <f aca="false">IF(ISBLANK(INDEX(big_daily_table,MATCH(DATE(O$5,$J356,$I356),daily_dates,0),MATCH($B$3,daily_items,0))),NA(),INDEX(big_daily_table,MATCH(DATE(O$5,$J356,$I356),daily_dates,0),MATCH($B$3,daily_items,0)))</f>
        <v>#N/A</v>
      </c>
      <c r="P356" s="1" t="e">
        <f aca="false">IF(ISBLANK(INDEX(big_daily_table,MATCH(DATE(P$5,$J356,$I356),daily_dates,0),MATCH($B$3,daily_items,0))),NA(),INDEX(big_daily_table,MATCH(DATE(P$5,$J356,$I356),daily_dates,0),MATCH($B$3,daily_items,0)))</f>
        <v>#N/A</v>
      </c>
      <c r="Q356" s="1" t="e">
        <f aca="false">IF(ISBLANK(INDEX(big_daily_table,MATCH(DATE(Q$5,$J356,$I356),daily_dates,0),MATCH($B$3,daily_items,0))),NA(),INDEX(big_daily_table,MATCH(DATE(Q$5,$J356,$I356),daily_dates,0),MATCH($B$3,daily_items,0)))</f>
        <v>#N/A</v>
      </c>
      <c r="R356" s="1" t="e">
        <f aca="false">IF(ISBLANK(INDEX(big_daily_table,MATCH(DATE(R$5,$J356,$I356),daily_dates,0),MATCH($B$3,daily_items,0))),NA(),INDEX(big_daily_table,MATCH(DATE(R$5,$J356,$I356),daily_dates,0),MATCH($B$3,daily_items,0)))</f>
        <v>#N/A</v>
      </c>
      <c r="S356" s="1" t="e">
        <f aca="false">IF(ISBLANK(INDEX(big_daily_table,MATCH(DATE(S$5,$J356,$I356),daily_dates,0),MATCH($B$3,daily_items,0))),NA(),INDEX(big_daily_table,MATCH(DATE(S$5,$J356,$I356),daily_dates,0),MATCH($B$3,daily_items,0)))</f>
        <v>#N/A</v>
      </c>
      <c r="T356" s="1" t="e">
        <f aca="false">IF(ISBLANK(INDEX(big_daily_table,MATCH(DATE(T$5,$J356,$I356),daily_dates,0),MATCH($B$3,daily_items,0))),NA(),INDEX(big_daily_table,MATCH(DATE(T$5,$J356,$I356),daily_dates,0),MATCH($B$3,daily_items,0)))</f>
        <v>#N/A</v>
      </c>
      <c r="U356" s="1" t="e">
        <f aca="false">IF(ISBLANK(INDEX(big_daily_table,MATCH(DATE(U$5,$J356,$I356),daily_dates,0),MATCH($B$3,daily_items,0))),NA(),INDEX(big_daily_table,MATCH(DATE(U$5,$J356,$I356),daily_dates,0),MATCH($B$3,daily_items,0)))</f>
        <v>#N/A</v>
      </c>
      <c r="V356" s="1" t="e">
        <f aca="false">IF(ISBLANK(INDEX(big_daily_table,MATCH(DATE(V$5,$J356,$I356),daily_dates,0),MATCH($B$3,daily_items,0))),NA(),INDEX(big_daily_table,MATCH(DATE(V$5,$J356,$I356),daily_dates,0),MATCH($B$3,daily_items,0)))</f>
        <v>#N/A</v>
      </c>
      <c r="W356" s="1" t="e">
        <f aca="false">IF(ISBLANK(INDEX(big_daily_table,MATCH(DATE(W$5,$J356,$I356),daily_dates,0),MATCH($B$3,daily_items,0))),NA(),INDEX(big_daily_table,MATCH(DATE(W$5,$J356,$I356),daily_dates,0),MATCH($B$3,daily_items,0)))</f>
        <v>#N/A</v>
      </c>
      <c r="X356" s="1" t="e">
        <f aca="false">IF(ISBLANK(INDEX(big_daily_table,MATCH(DATE(X$5,$J356,$I356),daily_dates,0),MATCH($B$3,daily_items,0))),NA(),INDEX(big_daily_table,MATCH(DATE(X$5,$J356,$I356),daily_dates,0),MATCH($B$3,daily_items,0)))</f>
        <v>#N/A</v>
      </c>
      <c r="Y356" s="1" t="e">
        <f aca="false">IF(ISBLANK(INDEX(big_daily_table,MATCH(DATE(Y$5,$J356,$I356),daily_dates,0),MATCH($B$3,daily_items,0))),NA(),INDEX(big_daily_table,MATCH(DATE(Y$5,$J356,$I356),daily_dates,0),MATCH($B$3,daily_items,0)))</f>
        <v>#N/A</v>
      </c>
      <c r="Z356" s="1" t="n">
        <f aca="true">_xlfn.AGGREGATE(5,6,OFFSET($R$5,H356,0,1,$J$2))</f>
        <v>0</v>
      </c>
      <c r="AA356" s="1" t="n">
        <f aca="true">_xlfn.AGGREGATE(4,6,OFFSET($R$5,H356,0,1,$J$2))</f>
        <v>0</v>
      </c>
      <c r="AB356" s="1" t="n">
        <f aca="false">AA356-Z356</f>
        <v>0</v>
      </c>
      <c r="AC356" s="1" t="e">
        <f aca="true">_xlfn.AGGREGATE(1,6,OFFSET($R$5,H356,0,1,$J$2))</f>
        <v>#DIV/0!</v>
      </c>
    </row>
    <row r="357" customFormat="false" ht="14.25" hidden="false" customHeight="false" outlineLevel="0" collapsed="false">
      <c r="H357" s="1" t="n">
        <f aca="false">H356+1</f>
        <v>352</v>
      </c>
      <c r="I357" s="1" t="n">
        <f aca="false">DAY(K357)</f>
        <v>17</v>
      </c>
      <c r="J357" s="1" t="n">
        <f aca="false">MONTH(K357)</f>
        <v>12</v>
      </c>
      <c r="K357" s="23" t="n">
        <f aca="false">K356+1</f>
        <v>36877</v>
      </c>
      <c r="L357" s="24" t="n">
        <f aca="true">IF(TODAY()&lt;DATE($N$5,J357,I357),1000000,-1000000)</f>
        <v>1000000</v>
      </c>
      <c r="M357" s="1" t="e">
        <f aca="false">IF(K357&gt;0,INDEX(big_daily_table,MATCH(DATE(N$5,$J357,$I357),daily_dates,0),MATCH($B$3,daily_items,0)),NA())</f>
        <v>#N/A</v>
      </c>
      <c r="N357" s="1" t="e">
        <f aca="false">IF(L357&lt;0,INDEX(big_daily_table,MATCH(DATE(N$5,$J357,$I357),daily_dates,0),MATCH($B$3,daily_items,0)),NA())</f>
        <v>#N/A</v>
      </c>
      <c r="O357" s="1" t="e">
        <f aca="false">IF(ISBLANK(INDEX(big_daily_table,MATCH(DATE(O$5,$J357,$I357),daily_dates,0),MATCH($B$3,daily_items,0))),NA(),INDEX(big_daily_table,MATCH(DATE(O$5,$J357,$I357),daily_dates,0),MATCH($B$3,daily_items,0)))</f>
        <v>#N/A</v>
      </c>
      <c r="P357" s="1" t="e">
        <f aca="false">IF(ISBLANK(INDEX(big_daily_table,MATCH(DATE(P$5,$J357,$I357),daily_dates,0),MATCH($B$3,daily_items,0))),NA(),INDEX(big_daily_table,MATCH(DATE(P$5,$J357,$I357),daily_dates,0),MATCH($B$3,daily_items,0)))</f>
        <v>#N/A</v>
      </c>
      <c r="Q357" s="1" t="e">
        <f aca="false">IF(ISBLANK(INDEX(big_daily_table,MATCH(DATE(Q$5,$J357,$I357),daily_dates,0),MATCH($B$3,daily_items,0))),NA(),INDEX(big_daily_table,MATCH(DATE(Q$5,$J357,$I357),daily_dates,0),MATCH($B$3,daily_items,0)))</f>
        <v>#N/A</v>
      </c>
      <c r="R357" s="1" t="e">
        <f aca="false">IF(ISBLANK(INDEX(big_daily_table,MATCH(DATE(R$5,$J357,$I357),daily_dates,0),MATCH($B$3,daily_items,0))),NA(),INDEX(big_daily_table,MATCH(DATE(R$5,$J357,$I357),daily_dates,0),MATCH($B$3,daily_items,0)))</f>
        <v>#N/A</v>
      </c>
      <c r="S357" s="1" t="e">
        <f aca="false">IF(ISBLANK(INDEX(big_daily_table,MATCH(DATE(S$5,$J357,$I357),daily_dates,0),MATCH($B$3,daily_items,0))),NA(),INDEX(big_daily_table,MATCH(DATE(S$5,$J357,$I357),daily_dates,0),MATCH($B$3,daily_items,0)))</f>
        <v>#N/A</v>
      </c>
      <c r="T357" s="1" t="e">
        <f aca="false">IF(ISBLANK(INDEX(big_daily_table,MATCH(DATE(T$5,$J357,$I357),daily_dates,0),MATCH($B$3,daily_items,0))),NA(),INDEX(big_daily_table,MATCH(DATE(T$5,$J357,$I357),daily_dates,0),MATCH($B$3,daily_items,0)))</f>
        <v>#N/A</v>
      </c>
      <c r="U357" s="1" t="e">
        <f aca="false">IF(ISBLANK(INDEX(big_daily_table,MATCH(DATE(U$5,$J357,$I357),daily_dates,0),MATCH($B$3,daily_items,0))),NA(),INDEX(big_daily_table,MATCH(DATE(U$5,$J357,$I357),daily_dates,0),MATCH($B$3,daily_items,0)))</f>
        <v>#N/A</v>
      </c>
      <c r="V357" s="1" t="e">
        <f aca="false">IF(ISBLANK(INDEX(big_daily_table,MATCH(DATE(V$5,$J357,$I357),daily_dates,0),MATCH($B$3,daily_items,0))),NA(),INDEX(big_daily_table,MATCH(DATE(V$5,$J357,$I357),daily_dates,0),MATCH($B$3,daily_items,0)))</f>
        <v>#N/A</v>
      </c>
      <c r="W357" s="1" t="e">
        <f aca="false">IF(ISBLANK(INDEX(big_daily_table,MATCH(DATE(W$5,$J357,$I357),daily_dates,0),MATCH($B$3,daily_items,0))),NA(),INDEX(big_daily_table,MATCH(DATE(W$5,$J357,$I357),daily_dates,0),MATCH($B$3,daily_items,0)))</f>
        <v>#N/A</v>
      </c>
      <c r="X357" s="1" t="e">
        <f aca="false">IF(ISBLANK(INDEX(big_daily_table,MATCH(DATE(X$5,$J357,$I357),daily_dates,0),MATCH($B$3,daily_items,0))),NA(),INDEX(big_daily_table,MATCH(DATE(X$5,$J357,$I357),daily_dates,0),MATCH($B$3,daily_items,0)))</f>
        <v>#N/A</v>
      </c>
      <c r="Y357" s="1" t="e">
        <f aca="false">IF(ISBLANK(INDEX(big_daily_table,MATCH(DATE(Y$5,$J357,$I357),daily_dates,0),MATCH($B$3,daily_items,0))),NA(),INDEX(big_daily_table,MATCH(DATE(Y$5,$J357,$I357),daily_dates,0),MATCH($B$3,daily_items,0)))</f>
        <v>#N/A</v>
      </c>
      <c r="Z357" s="1" t="n">
        <f aca="true">_xlfn.AGGREGATE(5,6,OFFSET($R$5,H357,0,1,$J$2))</f>
        <v>0</v>
      </c>
      <c r="AA357" s="1" t="n">
        <f aca="true">_xlfn.AGGREGATE(4,6,OFFSET($R$5,H357,0,1,$J$2))</f>
        <v>0</v>
      </c>
      <c r="AB357" s="1" t="n">
        <f aca="false">AA357-Z357</f>
        <v>0</v>
      </c>
      <c r="AC357" s="1" t="e">
        <f aca="true">_xlfn.AGGREGATE(1,6,OFFSET($R$5,H357,0,1,$J$2))</f>
        <v>#DIV/0!</v>
      </c>
    </row>
    <row r="358" customFormat="false" ht="14.25" hidden="false" customHeight="false" outlineLevel="0" collapsed="false">
      <c r="H358" s="1" t="n">
        <f aca="false">H357+1</f>
        <v>353</v>
      </c>
      <c r="I358" s="1" t="n">
        <f aca="false">DAY(K358)</f>
        <v>18</v>
      </c>
      <c r="J358" s="1" t="n">
        <f aca="false">MONTH(K358)</f>
        <v>12</v>
      </c>
      <c r="K358" s="23" t="n">
        <f aca="false">K357+1</f>
        <v>36878</v>
      </c>
      <c r="L358" s="24" t="n">
        <f aca="true">IF(TODAY()&lt;DATE($N$5,J358,I358),1000000,-1000000)</f>
        <v>1000000</v>
      </c>
      <c r="M358" s="1" t="e">
        <f aca="false">IF(K358&gt;0,INDEX(big_daily_table,MATCH(DATE(N$5,$J358,$I358),daily_dates,0),MATCH($B$3,daily_items,0)),NA())</f>
        <v>#N/A</v>
      </c>
      <c r="N358" s="1" t="e">
        <f aca="false">IF(L358&lt;0,INDEX(big_daily_table,MATCH(DATE(N$5,$J358,$I358),daily_dates,0),MATCH($B$3,daily_items,0)),NA())</f>
        <v>#N/A</v>
      </c>
      <c r="O358" s="1" t="e">
        <f aca="false">IF(ISBLANK(INDEX(big_daily_table,MATCH(DATE(O$5,$J358,$I358),daily_dates,0),MATCH($B$3,daily_items,0))),NA(),INDEX(big_daily_table,MATCH(DATE(O$5,$J358,$I358),daily_dates,0),MATCH($B$3,daily_items,0)))</f>
        <v>#N/A</v>
      </c>
      <c r="P358" s="1" t="e">
        <f aca="false">IF(ISBLANK(INDEX(big_daily_table,MATCH(DATE(P$5,$J358,$I358),daily_dates,0),MATCH($B$3,daily_items,0))),NA(),INDEX(big_daily_table,MATCH(DATE(P$5,$J358,$I358),daily_dates,0),MATCH($B$3,daily_items,0)))</f>
        <v>#N/A</v>
      </c>
      <c r="Q358" s="1" t="e">
        <f aca="false">IF(ISBLANK(INDEX(big_daily_table,MATCH(DATE(Q$5,$J358,$I358),daily_dates,0),MATCH($B$3,daily_items,0))),NA(),INDEX(big_daily_table,MATCH(DATE(Q$5,$J358,$I358),daily_dates,0),MATCH($B$3,daily_items,0)))</f>
        <v>#N/A</v>
      </c>
      <c r="R358" s="1" t="e">
        <f aca="false">IF(ISBLANK(INDEX(big_daily_table,MATCH(DATE(R$5,$J358,$I358),daily_dates,0),MATCH($B$3,daily_items,0))),NA(),INDEX(big_daily_table,MATCH(DATE(R$5,$J358,$I358),daily_dates,0),MATCH($B$3,daily_items,0)))</f>
        <v>#N/A</v>
      </c>
      <c r="S358" s="1" t="e">
        <f aca="false">IF(ISBLANK(INDEX(big_daily_table,MATCH(DATE(S$5,$J358,$I358),daily_dates,0),MATCH($B$3,daily_items,0))),NA(),INDEX(big_daily_table,MATCH(DATE(S$5,$J358,$I358),daily_dates,0),MATCH($B$3,daily_items,0)))</f>
        <v>#N/A</v>
      </c>
      <c r="T358" s="1" t="e">
        <f aca="false">IF(ISBLANK(INDEX(big_daily_table,MATCH(DATE(T$5,$J358,$I358),daily_dates,0),MATCH($B$3,daily_items,0))),NA(),INDEX(big_daily_table,MATCH(DATE(T$5,$J358,$I358),daily_dates,0),MATCH($B$3,daily_items,0)))</f>
        <v>#N/A</v>
      </c>
      <c r="U358" s="1" t="e">
        <f aca="false">IF(ISBLANK(INDEX(big_daily_table,MATCH(DATE(U$5,$J358,$I358),daily_dates,0),MATCH($B$3,daily_items,0))),NA(),INDEX(big_daily_table,MATCH(DATE(U$5,$J358,$I358),daily_dates,0),MATCH($B$3,daily_items,0)))</f>
        <v>#N/A</v>
      </c>
      <c r="V358" s="1" t="e">
        <f aca="false">IF(ISBLANK(INDEX(big_daily_table,MATCH(DATE(V$5,$J358,$I358),daily_dates,0),MATCH($B$3,daily_items,0))),NA(),INDEX(big_daily_table,MATCH(DATE(V$5,$J358,$I358),daily_dates,0),MATCH($B$3,daily_items,0)))</f>
        <v>#N/A</v>
      </c>
      <c r="W358" s="1" t="e">
        <f aca="false">IF(ISBLANK(INDEX(big_daily_table,MATCH(DATE(W$5,$J358,$I358),daily_dates,0),MATCH($B$3,daily_items,0))),NA(),INDEX(big_daily_table,MATCH(DATE(W$5,$J358,$I358),daily_dates,0),MATCH($B$3,daily_items,0)))</f>
        <v>#N/A</v>
      </c>
      <c r="X358" s="1" t="e">
        <f aca="false">IF(ISBLANK(INDEX(big_daily_table,MATCH(DATE(X$5,$J358,$I358),daily_dates,0),MATCH($B$3,daily_items,0))),NA(),INDEX(big_daily_table,MATCH(DATE(X$5,$J358,$I358),daily_dates,0),MATCH($B$3,daily_items,0)))</f>
        <v>#N/A</v>
      </c>
      <c r="Y358" s="1" t="e">
        <f aca="false">IF(ISBLANK(INDEX(big_daily_table,MATCH(DATE(Y$5,$J358,$I358),daily_dates,0),MATCH($B$3,daily_items,0))),NA(),INDEX(big_daily_table,MATCH(DATE(Y$5,$J358,$I358),daily_dates,0),MATCH($B$3,daily_items,0)))</f>
        <v>#N/A</v>
      </c>
      <c r="Z358" s="1" t="n">
        <f aca="true">_xlfn.AGGREGATE(5,6,OFFSET($R$5,H358,0,1,$J$2))</f>
        <v>0</v>
      </c>
      <c r="AA358" s="1" t="n">
        <f aca="true">_xlfn.AGGREGATE(4,6,OFFSET($R$5,H358,0,1,$J$2))</f>
        <v>0</v>
      </c>
      <c r="AB358" s="1" t="n">
        <f aca="false">AA358-Z358</f>
        <v>0</v>
      </c>
      <c r="AC358" s="1" t="e">
        <f aca="true">_xlfn.AGGREGATE(1,6,OFFSET($R$5,H358,0,1,$J$2))</f>
        <v>#DIV/0!</v>
      </c>
    </row>
    <row r="359" customFormat="false" ht="14.25" hidden="false" customHeight="false" outlineLevel="0" collapsed="false">
      <c r="H359" s="1" t="n">
        <f aca="false">H358+1</f>
        <v>354</v>
      </c>
      <c r="I359" s="1" t="n">
        <f aca="false">DAY(K359)</f>
        <v>19</v>
      </c>
      <c r="J359" s="1" t="n">
        <f aca="false">MONTH(K359)</f>
        <v>12</v>
      </c>
      <c r="K359" s="23" t="n">
        <f aca="false">K358+1</f>
        <v>36879</v>
      </c>
      <c r="L359" s="24" t="n">
        <f aca="true">IF(TODAY()&lt;DATE($N$5,J359,I359),1000000,-1000000)</f>
        <v>1000000</v>
      </c>
      <c r="M359" s="1" t="e">
        <f aca="false">IF(K359&gt;0,INDEX(big_daily_table,MATCH(DATE(N$5,$J359,$I359),daily_dates,0),MATCH($B$3,daily_items,0)),NA())</f>
        <v>#N/A</v>
      </c>
      <c r="N359" s="1" t="e">
        <f aca="false">IF(L359&lt;0,INDEX(big_daily_table,MATCH(DATE(N$5,$J359,$I359),daily_dates,0),MATCH($B$3,daily_items,0)),NA())</f>
        <v>#N/A</v>
      </c>
      <c r="O359" s="1" t="e">
        <f aca="false">IF(ISBLANK(INDEX(big_daily_table,MATCH(DATE(O$5,$J359,$I359),daily_dates,0),MATCH($B$3,daily_items,0))),NA(),INDEX(big_daily_table,MATCH(DATE(O$5,$J359,$I359),daily_dates,0),MATCH($B$3,daily_items,0)))</f>
        <v>#N/A</v>
      </c>
      <c r="P359" s="1" t="e">
        <f aca="false">IF(ISBLANK(INDEX(big_daily_table,MATCH(DATE(P$5,$J359,$I359),daily_dates,0),MATCH($B$3,daily_items,0))),NA(),INDEX(big_daily_table,MATCH(DATE(P$5,$J359,$I359),daily_dates,0),MATCH($B$3,daily_items,0)))</f>
        <v>#N/A</v>
      </c>
      <c r="Q359" s="1" t="e">
        <f aca="false">IF(ISBLANK(INDEX(big_daily_table,MATCH(DATE(Q$5,$J359,$I359),daily_dates,0),MATCH($B$3,daily_items,0))),NA(),INDEX(big_daily_table,MATCH(DATE(Q$5,$J359,$I359),daily_dates,0),MATCH($B$3,daily_items,0)))</f>
        <v>#N/A</v>
      </c>
      <c r="R359" s="1" t="e">
        <f aca="false">IF(ISBLANK(INDEX(big_daily_table,MATCH(DATE(R$5,$J359,$I359),daily_dates,0),MATCH($B$3,daily_items,0))),NA(),INDEX(big_daily_table,MATCH(DATE(R$5,$J359,$I359),daily_dates,0),MATCH($B$3,daily_items,0)))</f>
        <v>#N/A</v>
      </c>
      <c r="S359" s="1" t="e">
        <f aca="false">IF(ISBLANK(INDEX(big_daily_table,MATCH(DATE(S$5,$J359,$I359),daily_dates,0),MATCH($B$3,daily_items,0))),NA(),INDEX(big_daily_table,MATCH(DATE(S$5,$J359,$I359),daily_dates,0),MATCH($B$3,daily_items,0)))</f>
        <v>#N/A</v>
      </c>
      <c r="T359" s="1" t="e">
        <f aca="false">IF(ISBLANK(INDEX(big_daily_table,MATCH(DATE(T$5,$J359,$I359),daily_dates,0),MATCH($B$3,daily_items,0))),NA(),INDEX(big_daily_table,MATCH(DATE(T$5,$J359,$I359),daily_dates,0),MATCH($B$3,daily_items,0)))</f>
        <v>#N/A</v>
      </c>
      <c r="U359" s="1" t="e">
        <f aca="false">IF(ISBLANK(INDEX(big_daily_table,MATCH(DATE(U$5,$J359,$I359),daily_dates,0),MATCH($B$3,daily_items,0))),NA(),INDEX(big_daily_table,MATCH(DATE(U$5,$J359,$I359),daily_dates,0),MATCH($B$3,daily_items,0)))</f>
        <v>#N/A</v>
      </c>
      <c r="V359" s="1" t="e">
        <f aca="false">IF(ISBLANK(INDEX(big_daily_table,MATCH(DATE(V$5,$J359,$I359),daily_dates,0),MATCH($B$3,daily_items,0))),NA(),INDEX(big_daily_table,MATCH(DATE(V$5,$J359,$I359),daily_dates,0),MATCH($B$3,daily_items,0)))</f>
        <v>#N/A</v>
      </c>
      <c r="W359" s="1" t="e">
        <f aca="false">IF(ISBLANK(INDEX(big_daily_table,MATCH(DATE(W$5,$J359,$I359),daily_dates,0),MATCH($B$3,daily_items,0))),NA(),INDEX(big_daily_table,MATCH(DATE(W$5,$J359,$I359),daily_dates,0),MATCH($B$3,daily_items,0)))</f>
        <v>#N/A</v>
      </c>
      <c r="X359" s="1" t="e">
        <f aca="false">IF(ISBLANK(INDEX(big_daily_table,MATCH(DATE(X$5,$J359,$I359),daily_dates,0),MATCH($B$3,daily_items,0))),NA(),INDEX(big_daily_table,MATCH(DATE(X$5,$J359,$I359),daily_dates,0),MATCH($B$3,daily_items,0)))</f>
        <v>#N/A</v>
      </c>
      <c r="Y359" s="1" t="e">
        <f aca="false">IF(ISBLANK(INDEX(big_daily_table,MATCH(DATE(Y$5,$J359,$I359),daily_dates,0),MATCH($B$3,daily_items,0))),NA(),INDEX(big_daily_table,MATCH(DATE(Y$5,$J359,$I359),daily_dates,0),MATCH($B$3,daily_items,0)))</f>
        <v>#N/A</v>
      </c>
      <c r="Z359" s="1" t="n">
        <f aca="true">_xlfn.AGGREGATE(5,6,OFFSET($R$5,H359,0,1,$J$2))</f>
        <v>0</v>
      </c>
      <c r="AA359" s="1" t="n">
        <f aca="true">_xlfn.AGGREGATE(4,6,OFFSET($R$5,H359,0,1,$J$2))</f>
        <v>0</v>
      </c>
      <c r="AB359" s="1" t="n">
        <f aca="false">AA359-Z359</f>
        <v>0</v>
      </c>
      <c r="AC359" s="1" t="e">
        <f aca="true">_xlfn.AGGREGATE(1,6,OFFSET($R$5,H359,0,1,$J$2))</f>
        <v>#DIV/0!</v>
      </c>
    </row>
    <row r="360" customFormat="false" ht="14.25" hidden="false" customHeight="false" outlineLevel="0" collapsed="false">
      <c r="H360" s="1" t="n">
        <f aca="false">H359+1</f>
        <v>355</v>
      </c>
      <c r="I360" s="1" t="n">
        <f aca="false">DAY(K360)</f>
        <v>20</v>
      </c>
      <c r="J360" s="1" t="n">
        <f aca="false">MONTH(K360)</f>
        <v>12</v>
      </c>
      <c r="K360" s="23" t="n">
        <f aca="false">K359+1</f>
        <v>36880</v>
      </c>
      <c r="L360" s="24" t="n">
        <f aca="true">IF(TODAY()&lt;DATE($N$5,J360,I360),1000000,-1000000)</f>
        <v>1000000</v>
      </c>
      <c r="M360" s="1" t="e">
        <f aca="false">IF(K360&gt;0,INDEX(big_daily_table,MATCH(DATE(N$5,$J360,$I360),daily_dates,0),MATCH($B$3,daily_items,0)),NA())</f>
        <v>#N/A</v>
      </c>
      <c r="N360" s="1" t="e">
        <f aca="false">IF(L360&lt;0,INDEX(big_daily_table,MATCH(DATE(N$5,$J360,$I360),daily_dates,0),MATCH($B$3,daily_items,0)),NA())</f>
        <v>#N/A</v>
      </c>
      <c r="O360" s="1" t="e">
        <f aca="false">IF(ISBLANK(INDEX(big_daily_table,MATCH(DATE(O$5,$J360,$I360),daily_dates,0),MATCH($B$3,daily_items,0))),NA(),INDEX(big_daily_table,MATCH(DATE(O$5,$J360,$I360),daily_dates,0),MATCH($B$3,daily_items,0)))</f>
        <v>#N/A</v>
      </c>
      <c r="P360" s="1" t="e">
        <f aca="false">IF(ISBLANK(INDEX(big_daily_table,MATCH(DATE(P$5,$J360,$I360),daily_dates,0),MATCH($B$3,daily_items,0))),NA(),INDEX(big_daily_table,MATCH(DATE(P$5,$J360,$I360),daily_dates,0),MATCH($B$3,daily_items,0)))</f>
        <v>#N/A</v>
      </c>
      <c r="Q360" s="1" t="e">
        <f aca="false">IF(ISBLANK(INDEX(big_daily_table,MATCH(DATE(Q$5,$J360,$I360),daily_dates,0),MATCH($B$3,daily_items,0))),NA(),INDEX(big_daily_table,MATCH(DATE(Q$5,$J360,$I360),daily_dates,0),MATCH($B$3,daily_items,0)))</f>
        <v>#N/A</v>
      </c>
      <c r="R360" s="1" t="e">
        <f aca="false">IF(ISBLANK(INDEX(big_daily_table,MATCH(DATE(R$5,$J360,$I360),daily_dates,0),MATCH($B$3,daily_items,0))),NA(),INDEX(big_daily_table,MATCH(DATE(R$5,$J360,$I360),daily_dates,0),MATCH($B$3,daily_items,0)))</f>
        <v>#N/A</v>
      </c>
      <c r="S360" s="1" t="e">
        <f aca="false">IF(ISBLANK(INDEX(big_daily_table,MATCH(DATE(S$5,$J360,$I360),daily_dates,0),MATCH($B$3,daily_items,0))),NA(),INDEX(big_daily_table,MATCH(DATE(S$5,$J360,$I360),daily_dates,0),MATCH($B$3,daily_items,0)))</f>
        <v>#N/A</v>
      </c>
      <c r="T360" s="1" t="e">
        <f aca="false">IF(ISBLANK(INDEX(big_daily_table,MATCH(DATE(T$5,$J360,$I360),daily_dates,0),MATCH($B$3,daily_items,0))),NA(),INDEX(big_daily_table,MATCH(DATE(T$5,$J360,$I360),daily_dates,0),MATCH($B$3,daily_items,0)))</f>
        <v>#N/A</v>
      </c>
      <c r="U360" s="1" t="e">
        <f aca="false">IF(ISBLANK(INDEX(big_daily_table,MATCH(DATE(U$5,$J360,$I360),daily_dates,0),MATCH($B$3,daily_items,0))),NA(),INDEX(big_daily_table,MATCH(DATE(U$5,$J360,$I360),daily_dates,0),MATCH($B$3,daily_items,0)))</f>
        <v>#N/A</v>
      </c>
      <c r="V360" s="1" t="e">
        <f aca="false">IF(ISBLANK(INDEX(big_daily_table,MATCH(DATE(V$5,$J360,$I360),daily_dates,0),MATCH($B$3,daily_items,0))),NA(),INDEX(big_daily_table,MATCH(DATE(V$5,$J360,$I360),daily_dates,0),MATCH($B$3,daily_items,0)))</f>
        <v>#N/A</v>
      </c>
      <c r="W360" s="1" t="e">
        <f aca="false">IF(ISBLANK(INDEX(big_daily_table,MATCH(DATE(W$5,$J360,$I360),daily_dates,0),MATCH($B$3,daily_items,0))),NA(),INDEX(big_daily_table,MATCH(DATE(W$5,$J360,$I360),daily_dates,0),MATCH($B$3,daily_items,0)))</f>
        <v>#N/A</v>
      </c>
      <c r="X360" s="1" t="e">
        <f aca="false">IF(ISBLANK(INDEX(big_daily_table,MATCH(DATE(X$5,$J360,$I360),daily_dates,0),MATCH($B$3,daily_items,0))),NA(),INDEX(big_daily_table,MATCH(DATE(X$5,$J360,$I360),daily_dates,0),MATCH($B$3,daily_items,0)))</f>
        <v>#N/A</v>
      </c>
      <c r="Y360" s="1" t="e">
        <f aca="false">IF(ISBLANK(INDEX(big_daily_table,MATCH(DATE(Y$5,$J360,$I360),daily_dates,0),MATCH($B$3,daily_items,0))),NA(),INDEX(big_daily_table,MATCH(DATE(Y$5,$J360,$I360),daily_dates,0),MATCH($B$3,daily_items,0)))</f>
        <v>#N/A</v>
      </c>
      <c r="Z360" s="1" t="n">
        <f aca="true">_xlfn.AGGREGATE(5,6,OFFSET($R$5,H360,0,1,$J$2))</f>
        <v>0</v>
      </c>
      <c r="AA360" s="1" t="n">
        <f aca="true">_xlfn.AGGREGATE(4,6,OFFSET($R$5,H360,0,1,$J$2))</f>
        <v>0</v>
      </c>
      <c r="AB360" s="1" t="n">
        <f aca="false">AA360-Z360</f>
        <v>0</v>
      </c>
      <c r="AC360" s="1" t="e">
        <f aca="true">_xlfn.AGGREGATE(1,6,OFFSET($R$5,H360,0,1,$J$2))</f>
        <v>#DIV/0!</v>
      </c>
    </row>
    <row r="361" customFormat="false" ht="14.25" hidden="false" customHeight="false" outlineLevel="0" collapsed="false">
      <c r="H361" s="1" t="n">
        <f aca="false">H360+1</f>
        <v>356</v>
      </c>
      <c r="I361" s="1" t="n">
        <f aca="false">DAY(K361)</f>
        <v>21</v>
      </c>
      <c r="J361" s="1" t="n">
        <f aca="false">MONTH(K361)</f>
        <v>12</v>
      </c>
      <c r="K361" s="23" t="n">
        <f aca="false">K360+1</f>
        <v>36881</v>
      </c>
      <c r="L361" s="24" t="n">
        <f aca="true">IF(TODAY()&lt;DATE($N$5,J361,I361),1000000,-1000000)</f>
        <v>1000000</v>
      </c>
      <c r="M361" s="1" t="e">
        <f aca="false">IF(K361&gt;0,INDEX(big_daily_table,MATCH(DATE(N$5,$J361,$I361),daily_dates,0),MATCH($B$3,daily_items,0)),NA())</f>
        <v>#N/A</v>
      </c>
      <c r="N361" s="1" t="e">
        <f aca="false">IF(L361&lt;0,INDEX(big_daily_table,MATCH(DATE(N$5,$J361,$I361),daily_dates,0),MATCH($B$3,daily_items,0)),NA())</f>
        <v>#N/A</v>
      </c>
      <c r="O361" s="1" t="e">
        <f aca="false">IF(ISBLANK(INDEX(big_daily_table,MATCH(DATE(O$5,$J361,$I361),daily_dates,0),MATCH($B$3,daily_items,0))),NA(),INDEX(big_daily_table,MATCH(DATE(O$5,$J361,$I361),daily_dates,0),MATCH($B$3,daily_items,0)))</f>
        <v>#N/A</v>
      </c>
      <c r="P361" s="1" t="e">
        <f aca="false">IF(ISBLANK(INDEX(big_daily_table,MATCH(DATE(P$5,$J361,$I361),daily_dates,0),MATCH($B$3,daily_items,0))),NA(),INDEX(big_daily_table,MATCH(DATE(P$5,$J361,$I361),daily_dates,0),MATCH($B$3,daily_items,0)))</f>
        <v>#N/A</v>
      </c>
      <c r="Q361" s="1" t="e">
        <f aca="false">IF(ISBLANK(INDEX(big_daily_table,MATCH(DATE(Q$5,$J361,$I361),daily_dates,0),MATCH($B$3,daily_items,0))),NA(),INDEX(big_daily_table,MATCH(DATE(Q$5,$J361,$I361),daily_dates,0),MATCH($B$3,daily_items,0)))</f>
        <v>#N/A</v>
      </c>
      <c r="R361" s="1" t="e">
        <f aca="false">IF(ISBLANK(INDEX(big_daily_table,MATCH(DATE(R$5,$J361,$I361),daily_dates,0),MATCH($B$3,daily_items,0))),NA(),INDEX(big_daily_table,MATCH(DATE(R$5,$J361,$I361),daily_dates,0),MATCH($B$3,daily_items,0)))</f>
        <v>#N/A</v>
      </c>
      <c r="S361" s="1" t="e">
        <f aca="false">IF(ISBLANK(INDEX(big_daily_table,MATCH(DATE(S$5,$J361,$I361),daily_dates,0),MATCH($B$3,daily_items,0))),NA(),INDEX(big_daily_table,MATCH(DATE(S$5,$J361,$I361),daily_dates,0),MATCH($B$3,daily_items,0)))</f>
        <v>#N/A</v>
      </c>
      <c r="T361" s="1" t="e">
        <f aca="false">IF(ISBLANK(INDEX(big_daily_table,MATCH(DATE(T$5,$J361,$I361),daily_dates,0),MATCH($B$3,daily_items,0))),NA(),INDEX(big_daily_table,MATCH(DATE(T$5,$J361,$I361),daily_dates,0),MATCH($B$3,daily_items,0)))</f>
        <v>#N/A</v>
      </c>
      <c r="U361" s="1" t="e">
        <f aca="false">IF(ISBLANK(INDEX(big_daily_table,MATCH(DATE(U$5,$J361,$I361),daily_dates,0),MATCH($B$3,daily_items,0))),NA(),INDEX(big_daily_table,MATCH(DATE(U$5,$J361,$I361),daily_dates,0),MATCH($B$3,daily_items,0)))</f>
        <v>#N/A</v>
      </c>
      <c r="V361" s="1" t="e">
        <f aca="false">IF(ISBLANK(INDEX(big_daily_table,MATCH(DATE(V$5,$J361,$I361),daily_dates,0),MATCH($B$3,daily_items,0))),NA(),INDEX(big_daily_table,MATCH(DATE(V$5,$J361,$I361),daily_dates,0),MATCH($B$3,daily_items,0)))</f>
        <v>#N/A</v>
      </c>
      <c r="W361" s="1" t="e">
        <f aca="false">IF(ISBLANK(INDEX(big_daily_table,MATCH(DATE(W$5,$J361,$I361),daily_dates,0),MATCH($B$3,daily_items,0))),NA(),INDEX(big_daily_table,MATCH(DATE(W$5,$J361,$I361),daily_dates,0),MATCH($B$3,daily_items,0)))</f>
        <v>#N/A</v>
      </c>
      <c r="X361" s="1" t="e">
        <f aca="false">IF(ISBLANK(INDEX(big_daily_table,MATCH(DATE(X$5,$J361,$I361),daily_dates,0),MATCH($B$3,daily_items,0))),NA(),INDEX(big_daily_table,MATCH(DATE(X$5,$J361,$I361),daily_dates,0),MATCH($B$3,daily_items,0)))</f>
        <v>#N/A</v>
      </c>
      <c r="Y361" s="1" t="e">
        <f aca="false">IF(ISBLANK(INDEX(big_daily_table,MATCH(DATE(Y$5,$J361,$I361),daily_dates,0),MATCH($B$3,daily_items,0))),NA(),INDEX(big_daily_table,MATCH(DATE(Y$5,$J361,$I361),daily_dates,0),MATCH($B$3,daily_items,0)))</f>
        <v>#N/A</v>
      </c>
      <c r="Z361" s="1" t="n">
        <f aca="true">_xlfn.AGGREGATE(5,6,OFFSET($R$5,H361,0,1,$J$2))</f>
        <v>0</v>
      </c>
      <c r="AA361" s="1" t="n">
        <f aca="true">_xlfn.AGGREGATE(4,6,OFFSET($R$5,H361,0,1,$J$2))</f>
        <v>0</v>
      </c>
      <c r="AB361" s="1" t="n">
        <f aca="false">AA361-Z361</f>
        <v>0</v>
      </c>
      <c r="AC361" s="1" t="e">
        <f aca="true">_xlfn.AGGREGATE(1,6,OFFSET($R$5,H361,0,1,$J$2))</f>
        <v>#DIV/0!</v>
      </c>
    </row>
    <row r="362" customFormat="false" ht="14.25" hidden="false" customHeight="false" outlineLevel="0" collapsed="false">
      <c r="H362" s="1" t="n">
        <f aca="false">H361+1</f>
        <v>357</v>
      </c>
      <c r="I362" s="1" t="n">
        <f aca="false">DAY(K362)</f>
        <v>22</v>
      </c>
      <c r="J362" s="1" t="n">
        <f aca="false">MONTH(K362)</f>
        <v>12</v>
      </c>
      <c r="K362" s="23" t="n">
        <f aca="false">K361+1</f>
        <v>36882</v>
      </c>
      <c r="L362" s="24" t="n">
        <f aca="true">IF(TODAY()&lt;DATE($N$5,J362,I362),1000000,-1000000)</f>
        <v>1000000</v>
      </c>
      <c r="M362" s="1" t="e">
        <f aca="false">IF(K362&gt;0,INDEX(big_daily_table,MATCH(DATE(N$5,$J362,$I362),daily_dates,0),MATCH($B$3,daily_items,0)),NA())</f>
        <v>#N/A</v>
      </c>
      <c r="N362" s="1" t="e">
        <f aca="false">IF(L362&lt;0,INDEX(big_daily_table,MATCH(DATE(N$5,$J362,$I362),daily_dates,0),MATCH($B$3,daily_items,0)),NA())</f>
        <v>#N/A</v>
      </c>
      <c r="O362" s="1" t="e">
        <f aca="false">IF(ISBLANK(INDEX(big_daily_table,MATCH(DATE(O$5,$J362,$I362),daily_dates,0),MATCH($B$3,daily_items,0))),NA(),INDEX(big_daily_table,MATCH(DATE(O$5,$J362,$I362),daily_dates,0),MATCH($B$3,daily_items,0)))</f>
        <v>#N/A</v>
      </c>
      <c r="P362" s="1" t="e">
        <f aca="false">IF(ISBLANK(INDEX(big_daily_table,MATCH(DATE(P$5,$J362,$I362),daily_dates,0),MATCH($B$3,daily_items,0))),NA(),INDEX(big_daily_table,MATCH(DATE(P$5,$J362,$I362),daily_dates,0),MATCH($B$3,daily_items,0)))</f>
        <v>#N/A</v>
      </c>
      <c r="Q362" s="1" t="e">
        <f aca="false">IF(ISBLANK(INDEX(big_daily_table,MATCH(DATE(Q$5,$J362,$I362),daily_dates,0),MATCH($B$3,daily_items,0))),NA(),INDEX(big_daily_table,MATCH(DATE(Q$5,$J362,$I362),daily_dates,0),MATCH($B$3,daily_items,0)))</f>
        <v>#N/A</v>
      </c>
      <c r="R362" s="1" t="e">
        <f aca="false">IF(ISBLANK(INDEX(big_daily_table,MATCH(DATE(R$5,$J362,$I362),daily_dates,0),MATCH($B$3,daily_items,0))),NA(),INDEX(big_daily_table,MATCH(DATE(R$5,$J362,$I362),daily_dates,0),MATCH($B$3,daily_items,0)))</f>
        <v>#N/A</v>
      </c>
      <c r="S362" s="1" t="e">
        <f aca="false">IF(ISBLANK(INDEX(big_daily_table,MATCH(DATE(S$5,$J362,$I362),daily_dates,0),MATCH($B$3,daily_items,0))),NA(),INDEX(big_daily_table,MATCH(DATE(S$5,$J362,$I362),daily_dates,0),MATCH($B$3,daily_items,0)))</f>
        <v>#N/A</v>
      </c>
      <c r="T362" s="1" t="e">
        <f aca="false">IF(ISBLANK(INDEX(big_daily_table,MATCH(DATE(T$5,$J362,$I362),daily_dates,0),MATCH($B$3,daily_items,0))),NA(),INDEX(big_daily_table,MATCH(DATE(T$5,$J362,$I362),daily_dates,0),MATCH($B$3,daily_items,0)))</f>
        <v>#N/A</v>
      </c>
      <c r="U362" s="1" t="e">
        <f aca="false">IF(ISBLANK(INDEX(big_daily_table,MATCH(DATE(U$5,$J362,$I362),daily_dates,0),MATCH($B$3,daily_items,0))),NA(),INDEX(big_daily_table,MATCH(DATE(U$5,$J362,$I362),daily_dates,0),MATCH($B$3,daily_items,0)))</f>
        <v>#N/A</v>
      </c>
      <c r="V362" s="1" t="e">
        <f aca="false">IF(ISBLANK(INDEX(big_daily_table,MATCH(DATE(V$5,$J362,$I362),daily_dates,0),MATCH($B$3,daily_items,0))),NA(),INDEX(big_daily_table,MATCH(DATE(V$5,$J362,$I362),daily_dates,0),MATCH($B$3,daily_items,0)))</f>
        <v>#N/A</v>
      </c>
      <c r="W362" s="1" t="e">
        <f aca="false">IF(ISBLANK(INDEX(big_daily_table,MATCH(DATE(W$5,$J362,$I362),daily_dates,0),MATCH($B$3,daily_items,0))),NA(),INDEX(big_daily_table,MATCH(DATE(W$5,$J362,$I362),daily_dates,0),MATCH($B$3,daily_items,0)))</f>
        <v>#N/A</v>
      </c>
      <c r="X362" s="1" t="e">
        <f aca="false">IF(ISBLANK(INDEX(big_daily_table,MATCH(DATE(X$5,$J362,$I362),daily_dates,0),MATCH($B$3,daily_items,0))),NA(),INDEX(big_daily_table,MATCH(DATE(X$5,$J362,$I362),daily_dates,0),MATCH($B$3,daily_items,0)))</f>
        <v>#N/A</v>
      </c>
      <c r="Y362" s="1" t="e">
        <f aca="false">IF(ISBLANK(INDEX(big_daily_table,MATCH(DATE(Y$5,$J362,$I362),daily_dates,0),MATCH($B$3,daily_items,0))),NA(),INDEX(big_daily_table,MATCH(DATE(Y$5,$J362,$I362),daily_dates,0),MATCH($B$3,daily_items,0)))</f>
        <v>#N/A</v>
      </c>
      <c r="Z362" s="1" t="n">
        <f aca="true">_xlfn.AGGREGATE(5,6,OFFSET($R$5,H362,0,1,$J$2))</f>
        <v>0</v>
      </c>
      <c r="AA362" s="1" t="n">
        <f aca="true">_xlfn.AGGREGATE(4,6,OFFSET($R$5,H362,0,1,$J$2))</f>
        <v>0</v>
      </c>
      <c r="AB362" s="1" t="n">
        <f aca="false">AA362-Z362</f>
        <v>0</v>
      </c>
      <c r="AC362" s="1" t="e">
        <f aca="true">_xlfn.AGGREGATE(1,6,OFFSET($R$5,H362,0,1,$J$2))</f>
        <v>#DIV/0!</v>
      </c>
    </row>
    <row r="363" customFormat="false" ht="14.25" hidden="false" customHeight="false" outlineLevel="0" collapsed="false">
      <c r="H363" s="1" t="n">
        <f aca="false">H362+1</f>
        <v>358</v>
      </c>
      <c r="I363" s="1" t="n">
        <f aca="false">DAY(K363)</f>
        <v>23</v>
      </c>
      <c r="J363" s="1" t="n">
        <f aca="false">MONTH(K363)</f>
        <v>12</v>
      </c>
      <c r="K363" s="23" t="n">
        <f aca="false">K362+1</f>
        <v>36883</v>
      </c>
      <c r="L363" s="24" t="n">
        <f aca="true">IF(TODAY()&lt;DATE($N$5,J363,I363),1000000,-1000000)</f>
        <v>1000000</v>
      </c>
      <c r="M363" s="1" t="e">
        <f aca="false">IF(K363&gt;0,INDEX(big_daily_table,MATCH(DATE(N$5,$J363,$I363),daily_dates,0),MATCH($B$3,daily_items,0)),NA())</f>
        <v>#N/A</v>
      </c>
      <c r="N363" s="1" t="e">
        <f aca="false">IF(L363&lt;0,INDEX(big_daily_table,MATCH(DATE(N$5,$J363,$I363),daily_dates,0),MATCH($B$3,daily_items,0)),NA())</f>
        <v>#N/A</v>
      </c>
      <c r="O363" s="1" t="e">
        <f aca="false">IF(ISBLANK(INDEX(big_daily_table,MATCH(DATE(O$5,$J363,$I363),daily_dates,0),MATCH($B$3,daily_items,0))),NA(),INDEX(big_daily_table,MATCH(DATE(O$5,$J363,$I363),daily_dates,0),MATCH($B$3,daily_items,0)))</f>
        <v>#N/A</v>
      </c>
      <c r="P363" s="1" t="e">
        <f aca="false">IF(ISBLANK(INDEX(big_daily_table,MATCH(DATE(P$5,$J363,$I363),daily_dates,0),MATCH($B$3,daily_items,0))),NA(),INDEX(big_daily_table,MATCH(DATE(P$5,$J363,$I363),daily_dates,0),MATCH($B$3,daily_items,0)))</f>
        <v>#N/A</v>
      </c>
      <c r="Q363" s="1" t="e">
        <f aca="false">IF(ISBLANK(INDEX(big_daily_table,MATCH(DATE(Q$5,$J363,$I363),daily_dates,0),MATCH($B$3,daily_items,0))),NA(),INDEX(big_daily_table,MATCH(DATE(Q$5,$J363,$I363),daily_dates,0),MATCH($B$3,daily_items,0)))</f>
        <v>#N/A</v>
      </c>
      <c r="R363" s="1" t="e">
        <f aca="false">IF(ISBLANK(INDEX(big_daily_table,MATCH(DATE(R$5,$J363,$I363),daily_dates,0),MATCH($B$3,daily_items,0))),NA(),INDEX(big_daily_table,MATCH(DATE(R$5,$J363,$I363),daily_dates,0),MATCH($B$3,daily_items,0)))</f>
        <v>#N/A</v>
      </c>
      <c r="S363" s="1" t="e">
        <f aca="false">IF(ISBLANK(INDEX(big_daily_table,MATCH(DATE(S$5,$J363,$I363),daily_dates,0),MATCH($B$3,daily_items,0))),NA(),INDEX(big_daily_table,MATCH(DATE(S$5,$J363,$I363),daily_dates,0),MATCH($B$3,daily_items,0)))</f>
        <v>#N/A</v>
      </c>
      <c r="T363" s="1" t="e">
        <f aca="false">IF(ISBLANK(INDEX(big_daily_table,MATCH(DATE(T$5,$J363,$I363),daily_dates,0),MATCH($B$3,daily_items,0))),NA(),INDEX(big_daily_table,MATCH(DATE(T$5,$J363,$I363),daily_dates,0),MATCH($B$3,daily_items,0)))</f>
        <v>#N/A</v>
      </c>
      <c r="U363" s="1" t="e">
        <f aca="false">IF(ISBLANK(INDEX(big_daily_table,MATCH(DATE(U$5,$J363,$I363),daily_dates,0),MATCH($B$3,daily_items,0))),NA(),INDEX(big_daily_table,MATCH(DATE(U$5,$J363,$I363),daily_dates,0),MATCH($B$3,daily_items,0)))</f>
        <v>#N/A</v>
      </c>
      <c r="V363" s="1" t="e">
        <f aca="false">IF(ISBLANK(INDEX(big_daily_table,MATCH(DATE(V$5,$J363,$I363),daily_dates,0),MATCH($B$3,daily_items,0))),NA(),INDEX(big_daily_table,MATCH(DATE(V$5,$J363,$I363),daily_dates,0),MATCH($B$3,daily_items,0)))</f>
        <v>#N/A</v>
      </c>
      <c r="W363" s="1" t="e">
        <f aca="false">IF(ISBLANK(INDEX(big_daily_table,MATCH(DATE(W$5,$J363,$I363),daily_dates,0),MATCH($B$3,daily_items,0))),NA(),INDEX(big_daily_table,MATCH(DATE(W$5,$J363,$I363),daily_dates,0),MATCH($B$3,daily_items,0)))</f>
        <v>#N/A</v>
      </c>
      <c r="X363" s="1" t="e">
        <f aca="false">IF(ISBLANK(INDEX(big_daily_table,MATCH(DATE(X$5,$J363,$I363),daily_dates,0),MATCH($B$3,daily_items,0))),NA(),INDEX(big_daily_table,MATCH(DATE(X$5,$J363,$I363),daily_dates,0),MATCH($B$3,daily_items,0)))</f>
        <v>#N/A</v>
      </c>
      <c r="Y363" s="1" t="e">
        <f aca="false">IF(ISBLANK(INDEX(big_daily_table,MATCH(DATE(Y$5,$J363,$I363),daily_dates,0),MATCH($B$3,daily_items,0))),NA(),INDEX(big_daily_table,MATCH(DATE(Y$5,$J363,$I363),daily_dates,0),MATCH($B$3,daily_items,0)))</f>
        <v>#N/A</v>
      </c>
      <c r="Z363" s="1" t="n">
        <f aca="true">_xlfn.AGGREGATE(5,6,OFFSET($R$5,H363,0,1,$J$2))</f>
        <v>0</v>
      </c>
      <c r="AA363" s="1" t="n">
        <f aca="true">_xlfn.AGGREGATE(4,6,OFFSET($R$5,H363,0,1,$J$2))</f>
        <v>0</v>
      </c>
      <c r="AB363" s="1" t="n">
        <f aca="false">AA363-Z363</f>
        <v>0</v>
      </c>
      <c r="AC363" s="1" t="e">
        <f aca="true">_xlfn.AGGREGATE(1,6,OFFSET($R$5,H363,0,1,$J$2))</f>
        <v>#DIV/0!</v>
      </c>
    </row>
    <row r="364" customFormat="false" ht="14.25" hidden="false" customHeight="false" outlineLevel="0" collapsed="false">
      <c r="H364" s="1" t="n">
        <f aca="false">H363+1</f>
        <v>359</v>
      </c>
      <c r="I364" s="1" t="n">
        <f aca="false">DAY(K364)</f>
        <v>24</v>
      </c>
      <c r="J364" s="1" t="n">
        <f aca="false">MONTH(K364)</f>
        <v>12</v>
      </c>
      <c r="K364" s="23" t="n">
        <f aca="false">K363+1</f>
        <v>36884</v>
      </c>
      <c r="L364" s="24" t="n">
        <f aca="true">IF(TODAY()&lt;DATE($N$5,J364,I364),1000000,-1000000)</f>
        <v>1000000</v>
      </c>
      <c r="M364" s="1" t="e">
        <f aca="false">IF(K364&gt;0,INDEX(big_daily_table,MATCH(DATE(N$5,$J364,$I364),daily_dates,0),MATCH($B$3,daily_items,0)),NA())</f>
        <v>#N/A</v>
      </c>
      <c r="N364" s="1" t="e">
        <f aca="false">IF(L364&lt;0,INDEX(big_daily_table,MATCH(DATE(N$5,$J364,$I364),daily_dates,0),MATCH($B$3,daily_items,0)),NA())</f>
        <v>#N/A</v>
      </c>
      <c r="O364" s="1" t="e">
        <f aca="false">IF(ISBLANK(INDEX(big_daily_table,MATCH(DATE(O$5,$J364,$I364),daily_dates,0),MATCH($B$3,daily_items,0))),NA(),INDEX(big_daily_table,MATCH(DATE(O$5,$J364,$I364),daily_dates,0),MATCH($B$3,daily_items,0)))</f>
        <v>#N/A</v>
      </c>
      <c r="P364" s="1" t="e">
        <f aca="false">IF(ISBLANK(INDEX(big_daily_table,MATCH(DATE(P$5,$J364,$I364),daily_dates,0),MATCH($B$3,daily_items,0))),NA(),INDEX(big_daily_table,MATCH(DATE(P$5,$J364,$I364),daily_dates,0),MATCH($B$3,daily_items,0)))</f>
        <v>#N/A</v>
      </c>
      <c r="Q364" s="1" t="e">
        <f aca="false">IF(ISBLANK(INDEX(big_daily_table,MATCH(DATE(Q$5,$J364,$I364),daily_dates,0),MATCH($B$3,daily_items,0))),NA(),INDEX(big_daily_table,MATCH(DATE(Q$5,$J364,$I364),daily_dates,0),MATCH($B$3,daily_items,0)))</f>
        <v>#N/A</v>
      </c>
      <c r="R364" s="1" t="e">
        <f aca="false">IF(ISBLANK(INDEX(big_daily_table,MATCH(DATE(R$5,$J364,$I364),daily_dates,0),MATCH($B$3,daily_items,0))),NA(),INDEX(big_daily_table,MATCH(DATE(R$5,$J364,$I364),daily_dates,0),MATCH($B$3,daily_items,0)))</f>
        <v>#N/A</v>
      </c>
      <c r="S364" s="1" t="e">
        <f aca="false">IF(ISBLANK(INDEX(big_daily_table,MATCH(DATE(S$5,$J364,$I364),daily_dates,0),MATCH($B$3,daily_items,0))),NA(),INDEX(big_daily_table,MATCH(DATE(S$5,$J364,$I364),daily_dates,0),MATCH($B$3,daily_items,0)))</f>
        <v>#N/A</v>
      </c>
      <c r="T364" s="1" t="e">
        <f aca="false">IF(ISBLANK(INDEX(big_daily_table,MATCH(DATE(T$5,$J364,$I364),daily_dates,0),MATCH($B$3,daily_items,0))),NA(),INDEX(big_daily_table,MATCH(DATE(T$5,$J364,$I364),daily_dates,0),MATCH($B$3,daily_items,0)))</f>
        <v>#N/A</v>
      </c>
      <c r="U364" s="1" t="e">
        <f aca="false">IF(ISBLANK(INDEX(big_daily_table,MATCH(DATE(U$5,$J364,$I364),daily_dates,0),MATCH($B$3,daily_items,0))),NA(),INDEX(big_daily_table,MATCH(DATE(U$5,$J364,$I364),daily_dates,0),MATCH($B$3,daily_items,0)))</f>
        <v>#N/A</v>
      </c>
      <c r="V364" s="1" t="e">
        <f aca="false">IF(ISBLANK(INDEX(big_daily_table,MATCH(DATE(V$5,$J364,$I364),daily_dates,0),MATCH($B$3,daily_items,0))),NA(),INDEX(big_daily_table,MATCH(DATE(V$5,$J364,$I364),daily_dates,0),MATCH($B$3,daily_items,0)))</f>
        <v>#N/A</v>
      </c>
      <c r="W364" s="1" t="e">
        <f aca="false">IF(ISBLANK(INDEX(big_daily_table,MATCH(DATE(W$5,$J364,$I364),daily_dates,0),MATCH($B$3,daily_items,0))),NA(),INDEX(big_daily_table,MATCH(DATE(W$5,$J364,$I364),daily_dates,0),MATCH($B$3,daily_items,0)))</f>
        <v>#N/A</v>
      </c>
      <c r="X364" s="1" t="e">
        <f aca="false">IF(ISBLANK(INDEX(big_daily_table,MATCH(DATE(X$5,$J364,$I364),daily_dates,0),MATCH($B$3,daily_items,0))),NA(),INDEX(big_daily_table,MATCH(DATE(X$5,$J364,$I364),daily_dates,0),MATCH($B$3,daily_items,0)))</f>
        <v>#N/A</v>
      </c>
      <c r="Y364" s="1" t="e">
        <f aca="false">IF(ISBLANK(INDEX(big_daily_table,MATCH(DATE(Y$5,$J364,$I364),daily_dates,0),MATCH($B$3,daily_items,0))),NA(),INDEX(big_daily_table,MATCH(DATE(Y$5,$J364,$I364),daily_dates,0),MATCH($B$3,daily_items,0)))</f>
        <v>#N/A</v>
      </c>
      <c r="Z364" s="1" t="n">
        <f aca="true">_xlfn.AGGREGATE(5,6,OFFSET($R$5,H364,0,1,$J$2))</f>
        <v>0</v>
      </c>
      <c r="AA364" s="1" t="n">
        <f aca="true">_xlfn.AGGREGATE(4,6,OFFSET($R$5,H364,0,1,$J$2))</f>
        <v>0</v>
      </c>
      <c r="AB364" s="1" t="n">
        <f aca="false">AA364-Z364</f>
        <v>0</v>
      </c>
      <c r="AC364" s="1" t="e">
        <f aca="true">_xlfn.AGGREGATE(1,6,OFFSET($R$5,H364,0,1,$J$2))</f>
        <v>#DIV/0!</v>
      </c>
    </row>
    <row r="365" customFormat="false" ht="14.25" hidden="false" customHeight="false" outlineLevel="0" collapsed="false">
      <c r="H365" s="1" t="n">
        <f aca="false">H364+1</f>
        <v>360</v>
      </c>
      <c r="I365" s="1" t="n">
        <f aca="false">DAY(K365)</f>
        <v>25</v>
      </c>
      <c r="J365" s="1" t="n">
        <f aca="false">MONTH(K365)</f>
        <v>12</v>
      </c>
      <c r="K365" s="23" t="n">
        <f aca="false">K364+1</f>
        <v>36885</v>
      </c>
      <c r="L365" s="24" t="n">
        <f aca="true">IF(TODAY()&lt;DATE($N$5,J365,I365),1000000,-1000000)</f>
        <v>1000000</v>
      </c>
      <c r="M365" s="1" t="e">
        <f aca="false">IF(K365&gt;0,INDEX(big_daily_table,MATCH(DATE(N$5,$J365,$I365),daily_dates,0),MATCH($B$3,daily_items,0)),NA())</f>
        <v>#N/A</v>
      </c>
      <c r="N365" s="1" t="e">
        <f aca="false">IF(L365&lt;0,INDEX(big_daily_table,MATCH(DATE(N$5,$J365,$I365),daily_dates,0),MATCH($B$3,daily_items,0)),NA())</f>
        <v>#N/A</v>
      </c>
      <c r="O365" s="1" t="e">
        <f aca="false">IF(ISBLANK(INDEX(big_daily_table,MATCH(DATE(O$5,$J365,$I365),daily_dates,0),MATCH($B$3,daily_items,0))),NA(),INDEX(big_daily_table,MATCH(DATE(O$5,$J365,$I365),daily_dates,0),MATCH($B$3,daily_items,0)))</f>
        <v>#N/A</v>
      </c>
      <c r="P365" s="1" t="e">
        <f aca="false">IF(ISBLANK(INDEX(big_daily_table,MATCH(DATE(P$5,$J365,$I365),daily_dates,0),MATCH($B$3,daily_items,0))),NA(),INDEX(big_daily_table,MATCH(DATE(P$5,$J365,$I365),daily_dates,0),MATCH($B$3,daily_items,0)))</f>
        <v>#N/A</v>
      </c>
      <c r="Q365" s="1" t="e">
        <f aca="false">IF(ISBLANK(INDEX(big_daily_table,MATCH(DATE(Q$5,$J365,$I365),daily_dates,0),MATCH($B$3,daily_items,0))),NA(),INDEX(big_daily_table,MATCH(DATE(Q$5,$J365,$I365),daily_dates,0),MATCH($B$3,daily_items,0)))</f>
        <v>#N/A</v>
      </c>
      <c r="R365" s="1" t="e">
        <f aca="false">IF(ISBLANK(INDEX(big_daily_table,MATCH(DATE(R$5,$J365,$I365),daily_dates,0),MATCH($B$3,daily_items,0))),NA(),INDEX(big_daily_table,MATCH(DATE(R$5,$J365,$I365),daily_dates,0),MATCH($B$3,daily_items,0)))</f>
        <v>#N/A</v>
      </c>
      <c r="S365" s="1" t="e">
        <f aca="false">IF(ISBLANK(INDEX(big_daily_table,MATCH(DATE(S$5,$J365,$I365),daily_dates,0),MATCH($B$3,daily_items,0))),NA(),INDEX(big_daily_table,MATCH(DATE(S$5,$J365,$I365),daily_dates,0),MATCH($B$3,daily_items,0)))</f>
        <v>#N/A</v>
      </c>
      <c r="T365" s="1" t="e">
        <f aca="false">IF(ISBLANK(INDEX(big_daily_table,MATCH(DATE(T$5,$J365,$I365),daily_dates,0),MATCH($B$3,daily_items,0))),NA(),INDEX(big_daily_table,MATCH(DATE(T$5,$J365,$I365),daily_dates,0),MATCH($B$3,daily_items,0)))</f>
        <v>#N/A</v>
      </c>
      <c r="U365" s="1" t="e">
        <f aca="false">IF(ISBLANK(INDEX(big_daily_table,MATCH(DATE(U$5,$J365,$I365),daily_dates,0),MATCH($B$3,daily_items,0))),NA(),INDEX(big_daily_table,MATCH(DATE(U$5,$J365,$I365),daily_dates,0),MATCH($B$3,daily_items,0)))</f>
        <v>#N/A</v>
      </c>
      <c r="V365" s="1" t="e">
        <f aca="false">IF(ISBLANK(INDEX(big_daily_table,MATCH(DATE(V$5,$J365,$I365),daily_dates,0),MATCH($B$3,daily_items,0))),NA(),INDEX(big_daily_table,MATCH(DATE(V$5,$J365,$I365),daily_dates,0),MATCH($B$3,daily_items,0)))</f>
        <v>#N/A</v>
      </c>
      <c r="W365" s="1" t="e">
        <f aca="false">IF(ISBLANK(INDEX(big_daily_table,MATCH(DATE(W$5,$J365,$I365),daily_dates,0),MATCH($B$3,daily_items,0))),NA(),INDEX(big_daily_table,MATCH(DATE(W$5,$J365,$I365),daily_dates,0),MATCH($B$3,daily_items,0)))</f>
        <v>#N/A</v>
      </c>
      <c r="X365" s="1" t="e">
        <f aca="false">IF(ISBLANK(INDEX(big_daily_table,MATCH(DATE(X$5,$J365,$I365),daily_dates,0),MATCH($B$3,daily_items,0))),NA(),INDEX(big_daily_table,MATCH(DATE(X$5,$J365,$I365),daily_dates,0),MATCH($B$3,daily_items,0)))</f>
        <v>#N/A</v>
      </c>
      <c r="Y365" s="1" t="e">
        <f aca="false">IF(ISBLANK(INDEX(big_daily_table,MATCH(DATE(Y$5,$J365,$I365),daily_dates,0),MATCH($B$3,daily_items,0))),NA(),INDEX(big_daily_table,MATCH(DATE(Y$5,$J365,$I365),daily_dates,0),MATCH($B$3,daily_items,0)))</f>
        <v>#N/A</v>
      </c>
      <c r="Z365" s="1" t="n">
        <f aca="true">_xlfn.AGGREGATE(5,6,OFFSET($R$5,H365,0,1,$J$2))</f>
        <v>0</v>
      </c>
      <c r="AA365" s="1" t="n">
        <f aca="true">_xlfn.AGGREGATE(4,6,OFFSET($R$5,H365,0,1,$J$2))</f>
        <v>0</v>
      </c>
      <c r="AB365" s="1" t="n">
        <f aca="false">AA365-Z365</f>
        <v>0</v>
      </c>
      <c r="AC365" s="1" t="e">
        <f aca="true">_xlfn.AGGREGATE(1,6,OFFSET($R$5,H365,0,1,$J$2))</f>
        <v>#DIV/0!</v>
      </c>
    </row>
    <row r="366" customFormat="false" ht="14.25" hidden="false" customHeight="false" outlineLevel="0" collapsed="false">
      <c r="H366" s="1" t="n">
        <f aca="false">H365+1</f>
        <v>361</v>
      </c>
      <c r="I366" s="1" t="n">
        <f aca="false">DAY(K366)</f>
        <v>26</v>
      </c>
      <c r="J366" s="1" t="n">
        <f aca="false">MONTH(K366)</f>
        <v>12</v>
      </c>
      <c r="K366" s="23" t="n">
        <f aca="false">K365+1</f>
        <v>36886</v>
      </c>
      <c r="L366" s="24" t="n">
        <f aca="true">IF(TODAY()&lt;DATE($N$5,J366,I366),1000000,-1000000)</f>
        <v>1000000</v>
      </c>
      <c r="M366" s="1" t="e">
        <f aca="false">IF(K366&gt;0,INDEX(big_daily_table,MATCH(DATE(N$5,$J366,$I366),daily_dates,0),MATCH($B$3,daily_items,0)),NA())</f>
        <v>#N/A</v>
      </c>
      <c r="N366" s="1" t="e">
        <f aca="false">IF(L366&lt;0,INDEX(big_daily_table,MATCH(DATE(N$5,$J366,$I366),daily_dates,0),MATCH($B$3,daily_items,0)),NA())</f>
        <v>#N/A</v>
      </c>
      <c r="O366" s="1" t="e">
        <f aca="false">IF(ISBLANK(INDEX(big_daily_table,MATCH(DATE(O$5,$J366,$I366),daily_dates,0),MATCH($B$3,daily_items,0))),NA(),INDEX(big_daily_table,MATCH(DATE(O$5,$J366,$I366),daily_dates,0),MATCH($B$3,daily_items,0)))</f>
        <v>#N/A</v>
      </c>
      <c r="P366" s="1" t="e">
        <f aca="false">IF(ISBLANK(INDEX(big_daily_table,MATCH(DATE(P$5,$J366,$I366),daily_dates,0),MATCH($B$3,daily_items,0))),NA(),INDEX(big_daily_table,MATCH(DATE(P$5,$J366,$I366),daily_dates,0),MATCH($B$3,daily_items,0)))</f>
        <v>#N/A</v>
      </c>
      <c r="Q366" s="1" t="e">
        <f aca="false">IF(ISBLANK(INDEX(big_daily_table,MATCH(DATE(Q$5,$J366,$I366),daily_dates,0),MATCH($B$3,daily_items,0))),NA(),INDEX(big_daily_table,MATCH(DATE(Q$5,$J366,$I366),daily_dates,0),MATCH($B$3,daily_items,0)))</f>
        <v>#N/A</v>
      </c>
      <c r="R366" s="1" t="e">
        <f aca="false">IF(ISBLANK(INDEX(big_daily_table,MATCH(DATE(R$5,$J366,$I366),daily_dates,0),MATCH($B$3,daily_items,0))),NA(),INDEX(big_daily_table,MATCH(DATE(R$5,$J366,$I366),daily_dates,0),MATCH($B$3,daily_items,0)))</f>
        <v>#N/A</v>
      </c>
      <c r="S366" s="1" t="e">
        <f aca="false">IF(ISBLANK(INDEX(big_daily_table,MATCH(DATE(S$5,$J366,$I366),daily_dates,0),MATCH($B$3,daily_items,0))),NA(),INDEX(big_daily_table,MATCH(DATE(S$5,$J366,$I366),daily_dates,0),MATCH($B$3,daily_items,0)))</f>
        <v>#N/A</v>
      </c>
      <c r="T366" s="1" t="e">
        <f aca="false">IF(ISBLANK(INDEX(big_daily_table,MATCH(DATE(T$5,$J366,$I366),daily_dates,0),MATCH($B$3,daily_items,0))),NA(),INDEX(big_daily_table,MATCH(DATE(T$5,$J366,$I366),daily_dates,0),MATCH($B$3,daily_items,0)))</f>
        <v>#N/A</v>
      </c>
      <c r="U366" s="1" t="e">
        <f aca="false">IF(ISBLANK(INDEX(big_daily_table,MATCH(DATE(U$5,$J366,$I366),daily_dates,0),MATCH($B$3,daily_items,0))),NA(),INDEX(big_daily_table,MATCH(DATE(U$5,$J366,$I366),daily_dates,0),MATCH($B$3,daily_items,0)))</f>
        <v>#N/A</v>
      </c>
      <c r="V366" s="1" t="e">
        <f aca="false">IF(ISBLANK(INDEX(big_daily_table,MATCH(DATE(V$5,$J366,$I366),daily_dates,0),MATCH($B$3,daily_items,0))),NA(),INDEX(big_daily_table,MATCH(DATE(V$5,$J366,$I366),daily_dates,0),MATCH($B$3,daily_items,0)))</f>
        <v>#N/A</v>
      </c>
      <c r="W366" s="1" t="e">
        <f aca="false">IF(ISBLANK(INDEX(big_daily_table,MATCH(DATE(W$5,$J366,$I366),daily_dates,0),MATCH($B$3,daily_items,0))),NA(),INDEX(big_daily_table,MATCH(DATE(W$5,$J366,$I366),daily_dates,0),MATCH($B$3,daily_items,0)))</f>
        <v>#N/A</v>
      </c>
      <c r="X366" s="1" t="e">
        <f aca="false">IF(ISBLANK(INDEX(big_daily_table,MATCH(DATE(X$5,$J366,$I366),daily_dates,0),MATCH($B$3,daily_items,0))),NA(),INDEX(big_daily_table,MATCH(DATE(X$5,$J366,$I366),daily_dates,0),MATCH($B$3,daily_items,0)))</f>
        <v>#N/A</v>
      </c>
      <c r="Y366" s="1" t="e">
        <f aca="false">IF(ISBLANK(INDEX(big_daily_table,MATCH(DATE(Y$5,$J366,$I366),daily_dates,0),MATCH($B$3,daily_items,0))),NA(),INDEX(big_daily_table,MATCH(DATE(Y$5,$J366,$I366),daily_dates,0),MATCH($B$3,daily_items,0)))</f>
        <v>#N/A</v>
      </c>
      <c r="Z366" s="1" t="n">
        <f aca="true">_xlfn.AGGREGATE(5,6,OFFSET($R$5,H366,0,1,$J$2))</f>
        <v>0</v>
      </c>
      <c r="AA366" s="1" t="n">
        <f aca="true">_xlfn.AGGREGATE(4,6,OFFSET($R$5,H366,0,1,$J$2))</f>
        <v>0</v>
      </c>
      <c r="AB366" s="1" t="n">
        <f aca="false">AA366-Z366</f>
        <v>0</v>
      </c>
      <c r="AC366" s="1" t="e">
        <f aca="true">_xlfn.AGGREGATE(1,6,OFFSET($R$5,H366,0,1,$J$2))</f>
        <v>#DIV/0!</v>
      </c>
    </row>
    <row r="367" customFormat="false" ht="14.25" hidden="false" customHeight="false" outlineLevel="0" collapsed="false">
      <c r="H367" s="1" t="n">
        <f aca="false">H366+1</f>
        <v>362</v>
      </c>
      <c r="I367" s="1" t="n">
        <f aca="false">DAY(K367)</f>
        <v>27</v>
      </c>
      <c r="J367" s="1" t="n">
        <f aca="false">MONTH(K367)</f>
        <v>12</v>
      </c>
      <c r="K367" s="23" t="n">
        <f aca="false">K366+1</f>
        <v>36887</v>
      </c>
      <c r="L367" s="24" t="n">
        <f aca="true">IF(TODAY()&lt;DATE($N$5,J367,I367),1000000,-1000000)</f>
        <v>1000000</v>
      </c>
      <c r="M367" s="1" t="e">
        <f aca="false">IF(K367&gt;0,INDEX(big_daily_table,MATCH(DATE(N$5,$J367,$I367),daily_dates,0),MATCH($B$3,daily_items,0)),NA())</f>
        <v>#N/A</v>
      </c>
      <c r="N367" s="1" t="e">
        <f aca="false">IF(L367&lt;0,INDEX(big_daily_table,MATCH(DATE(N$5,$J367,$I367),daily_dates,0),MATCH($B$3,daily_items,0)),NA())</f>
        <v>#N/A</v>
      </c>
      <c r="O367" s="1" t="e">
        <f aca="false">IF(ISBLANK(INDEX(big_daily_table,MATCH(DATE(O$5,$J367,$I367),daily_dates,0),MATCH($B$3,daily_items,0))),NA(),INDEX(big_daily_table,MATCH(DATE(O$5,$J367,$I367),daily_dates,0),MATCH($B$3,daily_items,0)))</f>
        <v>#N/A</v>
      </c>
      <c r="P367" s="1" t="e">
        <f aca="false">IF(ISBLANK(INDEX(big_daily_table,MATCH(DATE(P$5,$J367,$I367),daily_dates,0),MATCH($B$3,daily_items,0))),NA(),INDEX(big_daily_table,MATCH(DATE(P$5,$J367,$I367),daily_dates,0),MATCH($B$3,daily_items,0)))</f>
        <v>#N/A</v>
      </c>
      <c r="Q367" s="1" t="e">
        <f aca="false">IF(ISBLANK(INDEX(big_daily_table,MATCH(DATE(Q$5,$J367,$I367),daily_dates,0),MATCH($B$3,daily_items,0))),NA(),INDEX(big_daily_table,MATCH(DATE(Q$5,$J367,$I367),daily_dates,0),MATCH($B$3,daily_items,0)))</f>
        <v>#N/A</v>
      </c>
      <c r="R367" s="1" t="e">
        <f aca="false">IF(ISBLANK(INDEX(big_daily_table,MATCH(DATE(R$5,$J367,$I367),daily_dates,0),MATCH($B$3,daily_items,0))),NA(),INDEX(big_daily_table,MATCH(DATE(R$5,$J367,$I367),daily_dates,0),MATCH($B$3,daily_items,0)))</f>
        <v>#N/A</v>
      </c>
      <c r="S367" s="1" t="e">
        <f aca="false">IF(ISBLANK(INDEX(big_daily_table,MATCH(DATE(S$5,$J367,$I367),daily_dates,0),MATCH($B$3,daily_items,0))),NA(),INDEX(big_daily_table,MATCH(DATE(S$5,$J367,$I367),daily_dates,0),MATCH($B$3,daily_items,0)))</f>
        <v>#N/A</v>
      </c>
      <c r="T367" s="1" t="e">
        <f aca="false">IF(ISBLANK(INDEX(big_daily_table,MATCH(DATE(T$5,$J367,$I367),daily_dates,0),MATCH($B$3,daily_items,0))),NA(),INDEX(big_daily_table,MATCH(DATE(T$5,$J367,$I367),daily_dates,0),MATCH($B$3,daily_items,0)))</f>
        <v>#N/A</v>
      </c>
      <c r="U367" s="1" t="e">
        <f aca="false">IF(ISBLANK(INDEX(big_daily_table,MATCH(DATE(U$5,$J367,$I367),daily_dates,0),MATCH($B$3,daily_items,0))),NA(),INDEX(big_daily_table,MATCH(DATE(U$5,$J367,$I367),daily_dates,0),MATCH($B$3,daily_items,0)))</f>
        <v>#N/A</v>
      </c>
      <c r="V367" s="1" t="e">
        <f aca="false">IF(ISBLANK(INDEX(big_daily_table,MATCH(DATE(V$5,$J367,$I367),daily_dates,0),MATCH($B$3,daily_items,0))),NA(),INDEX(big_daily_table,MATCH(DATE(V$5,$J367,$I367),daily_dates,0),MATCH($B$3,daily_items,0)))</f>
        <v>#N/A</v>
      </c>
      <c r="W367" s="1" t="e">
        <f aca="false">IF(ISBLANK(INDEX(big_daily_table,MATCH(DATE(W$5,$J367,$I367),daily_dates,0),MATCH($B$3,daily_items,0))),NA(),INDEX(big_daily_table,MATCH(DATE(W$5,$J367,$I367),daily_dates,0),MATCH($B$3,daily_items,0)))</f>
        <v>#N/A</v>
      </c>
      <c r="X367" s="1" t="e">
        <f aca="false">IF(ISBLANK(INDEX(big_daily_table,MATCH(DATE(X$5,$J367,$I367),daily_dates,0),MATCH($B$3,daily_items,0))),NA(),INDEX(big_daily_table,MATCH(DATE(X$5,$J367,$I367),daily_dates,0),MATCH($B$3,daily_items,0)))</f>
        <v>#N/A</v>
      </c>
      <c r="Y367" s="1" t="e">
        <f aca="false">IF(ISBLANK(INDEX(big_daily_table,MATCH(DATE(Y$5,$J367,$I367),daily_dates,0),MATCH($B$3,daily_items,0))),NA(),INDEX(big_daily_table,MATCH(DATE(Y$5,$J367,$I367),daily_dates,0),MATCH($B$3,daily_items,0)))</f>
        <v>#N/A</v>
      </c>
      <c r="Z367" s="1" t="n">
        <f aca="true">_xlfn.AGGREGATE(5,6,OFFSET($R$5,H367,0,1,$J$2))</f>
        <v>0</v>
      </c>
      <c r="AA367" s="1" t="n">
        <f aca="true">_xlfn.AGGREGATE(4,6,OFFSET($R$5,H367,0,1,$J$2))</f>
        <v>0</v>
      </c>
      <c r="AB367" s="1" t="n">
        <f aca="false">AA367-Z367</f>
        <v>0</v>
      </c>
      <c r="AC367" s="1" t="e">
        <f aca="true">_xlfn.AGGREGATE(1,6,OFFSET($R$5,H367,0,1,$J$2))</f>
        <v>#DIV/0!</v>
      </c>
    </row>
    <row r="368" customFormat="false" ht="14.25" hidden="false" customHeight="false" outlineLevel="0" collapsed="false">
      <c r="H368" s="1" t="n">
        <f aca="false">H367+1</f>
        <v>363</v>
      </c>
      <c r="I368" s="1" t="n">
        <f aca="false">DAY(K368)</f>
        <v>28</v>
      </c>
      <c r="J368" s="1" t="n">
        <f aca="false">MONTH(K368)</f>
        <v>12</v>
      </c>
      <c r="K368" s="23" t="n">
        <f aca="false">K367+1</f>
        <v>36888</v>
      </c>
      <c r="L368" s="24" t="n">
        <f aca="true">IF(TODAY()&lt;DATE($N$5,J368,I368),1000000,-1000000)</f>
        <v>1000000</v>
      </c>
      <c r="M368" s="1" t="e">
        <f aca="false">IF(K368&gt;0,INDEX(big_daily_table,MATCH(DATE(N$5,$J368,$I368),daily_dates,0),MATCH($B$3,daily_items,0)),NA())</f>
        <v>#N/A</v>
      </c>
      <c r="N368" s="1" t="e">
        <f aca="false">IF(L368&lt;0,INDEX(big_daily_table,MATCH(DATE(N$5,$J368,$I368),daily_dates,0),MATCH($B$3,daily_items,0)),NA())</f>
        <v>#N/A</v>
      </c>
      <c r="O368" s="1" t="e">
        <f aca="false">IF(ISBLANK(INDEX(big_daily_table,MATCH(DATE(O$5,$J368,$I368),daily_dates,0),MATCH($B$3,daily_items,0))),NA(),INDEX(big_daily_table,MATCH(DATE(O$5,$J368,$I368),daily_dates,0),MATCH($B$3,daily_items,0)))</f>
        <v>#N/A</v>
      </c>
      <c r="P368" s="1" t="e">
        <f aca="false">IF(ISBLANK(INDEX(big_daily_table,MATCH(DATE(P$5,$J368,$I368),daily_dates,0),MATCH($B$3,daily_items,0))),NA(),INDEX(big_daily_table,MATCH(DATE(P$5,$J368,$I368),daily_dates,0),MATCH($B$3,daily_items,0)))</f>
        <v>#N/A</v>
      </c>
      <c r="Q368" s="1" t="e">
        <f aca="false">IF(ISBLANK(INDEX(big_daily_table,MATCH(DATE(Q$5,$J368,$I368),daily_dates,0),MATCH($B$3,daily_items,0))),NA(),INDEX(big_daily_table,MATCH(DATE(Q$5,$J368,$I368),daily_dates,0),MATCH($B$3,daily_items,0)))</f>
        <v>#N/A</v>
      </c>
      <c r="R368" s="1" t="e">
        <f aca="false">IF(ISBLANK(INDEX(big_daily_table,MATCH(DATE(R$5,$J368,$I368),daily_dates,0),MATCH($B$3,daily_items,0))),NA(),INDEX(big_daily_table,MATCH(DATE(R$5,$J368,$I368),daily_dates,0),MATCH($B$3,daily_items,0)))</f>
        <v>#N/A</v>
      </c>
      <c r="S368" s="1" t="e">
        <f aca="false">IF(ISBLANK(INDEX(big_daily_table,MATCH(DATE(S$5,$J368,$I368),daily_dates,0),MATCH($B$3,daily_items,0))),NA(),INDEX(big_daily_table,MATCH(DATE(S$5,$J368,$I368),daily_dates,0),MATCH($B$3,daily_items,0)))</f>
        <v>#N/A</v>
      </c>
      <c r="T368" s="1" t="e">
        <f aca="false">IF(ISBLANK(INDEX(big_daily_table,MATCH(DATE(T$5,$J368,$I368),daily_dates,0),MATCH($B$3,daily_items,0))),NA(),INDEX(big_daily_table,MATCH(DATE(T$5,$J368,$I368),daily_dates,0),MATCH($B$3,daily_items,0)))</f>
        <v>#N/A</v>
      </c>
      <c r="U368" s="1" t="e">
        <f aca="false">IF(ISBLANK(INDEX(big_daily_table,MATCH(DATE(U$5,$J368,$I368),daily_dates,0),MATCH($B$3,daily_items,0))),NA(),INDEX(big_daily_table,MATCH(DATE(U$5,$J368,$I368),daily_dates,0),MATCH($B$3,daily_items,0)))</f>
        <v>#N/A</v>
      </c>
      <c r="V368" s="1" t="e">
        <f aca="false">IF(ISBLANK(INDEX(big_daily_table,MATCH(DATE(V$5,$J368,$I368),daily_dates,0),MATCH($B$3,daily_items,0))),NA(),INDEX(big_daily_table,MATCH(DATE(V$5,$J368,$I368),daily_dates,0),MATCH($B$3,daily_items,0)))</f>
        <v>#N/A</v>
      </c>
      <c r="W368" s="1" t="e">
        <f aca="false">IF(ISBLANK(INDEX(big_daily_table,MATCH(DATE(W$5,$J368,$I368),daily_dates,0),MATCH($B$3,daily_items,0))),NA(),INDEX(big_daily_table,MATCH(DATE(W$5,$J368,$I368),daily_dates,0),MATCH($B$3,daily_items,0)))</f>
        <v>#N/A</v>
      </c>
      <c r="X368" s="1" t="e">
        <f aca="false">IF(ISBLANK(INDEX(big_daily_table,MATCH(DATE(X$5,$J368,$I368),daily_dates,0),MATCH($B$3,daily_items,0))),NA(),INDEX(big_daily_table,MATCH(DATE(X$5,$J368,$I368),daily_dates,0),MATCH($B$3,daily_items,0)))</f>
        <v>#N/A</v>
      </c>
      <c r="Y368" s="1" t="e">
        <f aca="false">IF(ISBLANK(INDEX(big_daily_table,MATCH(DATE(Y$5,$J368,$I368),daily_dates,0),MATCH($B$3,daily_items,0))),NA(),INDEX(big_daily_table,MATCH(DATE(Y$5,$J368,$I368),daily_dates,0),MATCH($B$3,daily_items,0)))</f>
        <v>#N/A</v>
      </c>
      <c r="Z368" s="1" t="n">
        <f aca="true">_xlfn.AGGREGATE(5,6,OFFSET($R$5,H368,0,1,$J$2))</f>
        <v>0</v>
      </c>
      <c r="AA368" s="1" t="n">
        <f aca="true">_xlfn.AGGREGATE(4,6,OFFSET($R$5,H368,0,1,$J$2))</f>
        <v>0</v>
      </c>
      <c r="AB368" s="1" t="n">
        <f aca="false">AA368-Z368</f>
        <v>0</v>
      </c>
      <c r="AC368" s="1" t="e">
        <f aca="true">_xlfn.AGGREGATE(1,6,OFFSET($R$5,H368,0,1,$J$2))</f>
        <v>#DIV/0!</v>
      </c>
    </row>
    <row r="369" customFormat="false" ht="14.25" hidden="false" customHeight="false" outlineLevel="0" collapsed="false">
      <c r="H369" s="1" t="n">
        <f aca="false">H368+1</f>
        <v>364</v>
      </c>
      <c r="I369" s="1" t="n">
        <f aca="false">DAY(K369)</f>
        <v>29</v>
      </c>
      <c r="J369" s="1" t="n">
        <f aca="false">MONTH(K369)</f>
        <v>12</v>
      </c>
      <c r="K369" s="23" t="n">
        <f aca="false">K368+1</f>
        <v>36889</v>
      </c>
      <c r="L369" s="24" t="n">
        <f aca="true">IF(TODAY()&lt;DATE($N$5,J369,I369),1000000,-1000000)</f>
        <v>1000000</v>
      </c>
      <c r="M369" s="1" t="e">
        <f aca="false">IF(K369&gt;0,INDEX(big_daily_table,MATCH(DATE(N$5,$J369,$I369),daily_dates,0),MATCH($B$3,daily_items,0)),NA())</f>
        <v>#N/A</v>
      </c>
      <c r="N369" s="1" t="e">
        <f aca="false">IF(L369&lt;0,INDEX(big_daily_table,MATCH(DATE(N$5,$J369,$I369),daily_dates,0),MATCH($B$3,daily_items,0)),NA())</f>
        <v>#N/A</v>
      </c>
      <c r="O369" s="1" t="e">
        <f aca="false">IF(ISBLANK(INDEX(big_daily_table,MATCH(DATE(O$5,$J369,$I369),daily_dates,0),MATCH($B$3,daily_items,0))),NA(),INDEX(big_daily_table,MATCH(DATE(O$5,$J369,$I369),daily_dates,0),MATCH($B$3,daily_items,0)))</f>
        <v>#N/A</v>
      </c>
      <c r="P369" s="1" t="e">
        <f aca="false">IF(ISBLANK(INDEX(big_daily_table,MATCH(DATE(P$5,$J369,$I369),daily_dates,0),MATCH($B$3,daily_items,0))),NA(),INDEX(big_daily_table,MATCH(DATE(P$5,$J369,$I369),daily_dates,0),MATCH($B$3,daily_items,0)))</f>
        <v>#N/A</v>
      </c>
      <c r="Q369" s="1" t="e">
        <f aca="false">IF(ISBLANK(INDEX(big_daily_table,MATCH(DATE(Q$5,$J369,$I369),daily_dates,0),MATCH($B$3,daily_items,0))),NA(),INDEX(big_daily_table,MATCH(DATE(Q$5,$J369,$I369),daily_dates,0),MATCH($B$3,daily_items,0)))</f>
        <v>#N/A</v>
      </c>
      <c r="R369" s="1" t="e">
        <f aca="false">IF(ISBLANK(INDEX(big_daily_table,MATCH(DATE(R$5,$J369,$I369),daily_dates,0),MATCH($B$3,daily_items,0))),NA(),INDEX(big_daily_table,MATCH(DATE(R$5,$J369,$I369),daily_dates,0),MATCH($B$3,daily_items,0)))</f>
        <v>#N/A</v>
      </c>
      <c r="S369" s="1" t="e">
        <f aca="false">IF(ISBLANK(INDEX(big_daily_table,MATCH(DATE(S$5,$J369,$I369),daily_dates,0),MATCH($B$3,daily_items,0))),NA(),INDEX(big_daily_table,MATCH(DATE(S$5,$J369,$I369),daily_dates,0),MATCH($B$3,daily_items,0)))</f>
        <v>#N/A</v>
      </c>
      <c r="T369" s="1" t="e">
        <f aca="false">IF(ISBLANK(INDEX(big_daily_table,MATCH(DATE(T$5,$J369,$I369),daily_dates,0),MATCH($B$3,daily_items,0))),NA(),INDEX(big_daily_table,MATCH(DATE(T$5,$J369,$I369),daily_dates,0),MATCH($B$3,daily_items,0)))</f>
        <v>#N/A</v>
      </c>
      <c r="U369" s="1" t="e">
        <f aca="false">IF(ISBLANK(INDEX(big_daily_table,MATCH(DATE(U$5,$J369,$I369),daily_dates,0),MATCH($B$3,daily_items,0))),NA(),INDEX(big_daily_table,MATCH(DATE(U$5,$J369,$I369),daily_dates,0),MATCH($B$3,daily_items,0)))</f>
        <v>#N/A</v>
      </c>
      <c r="V369" s="1" t="e">
        <f aca="false">IF(ISBLANK(INDEX(big_daily_table,MATCH(DATE(V$5,$J369,$I369),daily_dates,0),MATCH($B$3,daily_items,0))),NA(),INDEX(big_daily_table,MATCH(DATE(V$5,$J369,$I369),daily_dates,0),MATCH($B$3,daily_items,0)))</f>
        <v>#N/A</v>
      </c>
      <c r="W369" s="1" t="e">
        <f aca="false">IF(ISBLANK(INDEX(big_daily_table,MATCH(DATE(W$5,$J369,$I369),daily_dates,0),MATCH($B$3,daily_items,0))),NA(),INDEX(big_daily_table,MATCH(DATE(W$5,$J369,$I369),daily_dates,0),MATCH($B$3,daily_items,0)))</f>
        <v>#N/A</v>
      </c>
      <c r="X369" s="1" t="e">
        <f aca="false">IF(ISBLANK(INDEX(big_daily_table,MATCH(DATE(X$5,$J369,$I369),daily_dates,0),MATCH($B$3,daily_items,0))),NA(),INDEX(big_daily_table,MATCH(DATE(X$5,$J369,$I369),daily_dates,0),MATCH($B$3,daily_items,0)))</f>
        <v>#N/A</v>
      </c>
      <c r="Y369" s="1" t="e">
        <f aca="false">IF(ISBLANK(INDEX(big_daily_table,MATCH(DATE(Y$5,$J369,$I369),daily_dates,0),MATCH($B$3,daily_items,0))),NA(),INDEX(big_daily_table,MATCH(DATE(Y$5,$J369,$I369),daily_dates,0),MATCH($B$3,daily_items,0)))</f>
        <v>#N/A</v>
      </c>
      <c r="Z369" s="1" t="n">
        <f aca="true">_xlfn.AGGREGATE(5,6,OFFSET($R$5,H369,0,1,$J$2))</f>
        <v>0</v>
      </c>
      <c r="AA369" s="1" t="n">
        <f aca="true">_xlfn.AGGREGATE(4,6,OFFSET($R$5,H369,0,1,$J$2))</f>
        <v>0</v>
      </c>
      <c r="AB369" s="1" t="n">
        <f aca="false">AA369-Z369</f>
        <v>0</v>
      </c>
      <c r="AC369" s="1" t="e">
        <f aca="true">_xlfn.AGGREGATE(1,6,OFFSET($R$5,H369,0,1,$J$2))</f>
        <v>#DIV/0!</v>
      </c>
    </row>
    <row r="370" customFormat="false" ht="14.25" hidden="false" customHeight="false" outlineLevel="0" collapsed="false">
      <c r="H370" s="1" t="n">
        <f aca="false">H369+1</f>
        <v>365</v>
      </c>
      <c r="I370" s="1" t="n">
        <f aca="false">DAY(K370)</f>
        <v>30</v>
      </c>
      <c r="J370" s="1" t="n">
        <f aca="false">MONTH(K370)</f>
        <v>12</v>
      </c>
      <c r="K370" s="23" t="n">
        <f aca="false">K369+1</f>
        <v>36890</v>
      </c>
      <c r="L370" s="24" t="n">
        <f aca="true">IF(TODAY()&lt;DATE($N$5,J370,I370),1000000,-1000000)</f>
        <v>1000000</v>
      </c>
      <c r="M370" s="1" t="e">
        <f aca="false">IF(K370&gt;0,INDEX(big_daily_table,MATCH(DATE(N$5,$J370,$I370),daily_dates,0),MATCH($B$3,daily_items,0)),NA())</f>
        <v>#N/A</v>
      </c>
      <c r="N370" s="1" t="e">
        <f aca="false">IF(L370&lt;0,INDEX(big_daily_table,MATCH(DATE(N$5,$J370,$I370),daily_dates,0),MATCH($B$3,daily_items,0)),NA())</f>
        <v>#N/A</v>
      </c>
      <c r="O370" s="1" t="e">
        <f aca="false">IF(ISBLANK(INDEX(big_daily_table,MATCH(DATE(O$5,$J370,$I370),daily_dates,0),MATCH($B$3,daily_items,0))),NA(),INDEX(big_daily_table,MATCH(DATE(O$5,$J370,$I370),daily_dates,0),MATCH($B$3,daily_items,0)))</f>
        <v>#N/A</v>
      </c>
      <c r="P370" s="1" t="e">
        <f aca="false">IF(ISBLANK(INDEX(big_daily_table,MATCH(DATE(P$5,$J370,$I370),daily_dates,0),MATCH($B$3,daily_items,0))),NA(),INDEX(big_daily_table,MATCH(DATE(P$5,$J370,$I370),daily_dates,0),MATCH($B$3,daily_items,0)))</f>
        <v>#N/A</v>
      </c>
      <c r="Q370" s="1" t="e">
        <f aca="false">IF(ISBLANK(INDEX(big_daily_table,MATCH(DATE(Q$5,$J370,$I370),daily_dates,0),MATCH($B$3,daily_items,0))),NA(),INDEX(big_daily_table,MATCH(DATE(Q$5,$J370,$I370),daily_dates,0),MATCH($B$3,daily_items,0)))</f>
        <v>#N/A</v>
      </c>
      <c r="R370" s="1" t="e">
        <f aca="false">IF(ISBLANK(INDEX(big_daily_table,MATCH(DATE(R$5,$J370,$I370),daily_dates,0),MATCH($B$3,daily_items,0))),NA(),INDEX(big_daily_table,MATCH(DATE(R$5,$J370,$I370),daily_dates,0),MATCH($B$3,daily_items,0)))</f>
        <v>#N/A</v>
      </c>
      <c r="S370" s="1" t="e">
        <f aca="false">IF(ISBLANK(INDEX(big_daily_table,MATCH(DATE(S$5,$J370,$I370),daily_dates,0),MATCH($B$3,daily_items,0))),NA(),INDEX(big_daily_table,MATCH(DATE(S$5,$J370,$I370),daily_dates,0),MATCH($B$3,daily_items,0)))</f>
        <v>#N/A</v>
      </c>
      <c r="T370" s="1" t="e">
        <f aca="false">IF(ISBLANK(INDEX(big_daily_table,MATCH(DATE(T$5,$J370,$I370),daily_dates,0),MATCH($B$3,daily_items,0))),NA(),INDEX(big_daily_table,MATCH(DATE(T$5,$J370,$I370),daily_dates,0),MATCH($B$3,daily_items,0)))</f>
        <v>#N/A</v>
      </c>
      <c r="U370" s="1" t="e">
        <f aca="false">IF(ISBLANK(INDEX(big_daily_table,MATCH(DATE(U$5,$J370,$I370),daily_dates,0),MATCH($B$3,daily_items,0))),NA(),INDEX(big_daily_table,MATCH(DATE(U$5,$J370,$I370),daily_dates,0),MATCH($B$3,daily_items,0)))</f>
        <v>#N/A</v>
      </c>
      <c r="V370" s="1" t="e">
        <f aca="false">IF(ISBLANK(INDEX(big_daily_table,MATCH(DATE(V$5,$J370,$I370),daily_dates,0),MATCH($B$3,daily_items,0))),NA(),INDEX(big_daily_table,MATCH(DATE(V$5,$J370,$I370),daily_dates,0),MATCH($B$3,daily_items,0)))</f>
        <v>#N/A</v>
      </c>
      <c r="W370" s="1" t="e">
        <f aca="false">IF(ISBLANK(INDEX(big_daily_table,MATCH(DATE(W$5,$J370,$I370),daily_dates,0),MATCH($B$3,daily_items,0))),NA(),INDEX(big_daily_table,MATCH(DATE(W$5,$J370,$I370),daily_dates,0),MATCH($B$3,daily_items,0)))</f>
        <v>#N/A</v>
      </c>
      <c r="X370" s="1" t="e">
        <f aca="false">IF(ISBLANK(INDEX(big_daily_table,MATCH(DATE(X$5,$J370,$I370),daily_dates,0),MATCH($B$3,daily_items,0))),NA(),INDEX(big_daily_table,MATCH(DATE(X$5,$J370,$I370),daily_dates,0),MATCH($B$3,daily_items,0)))</f>
        <v>#N/A</v>
      </c>
      <c r="Y370" s="1" t="e">
        <f aca="false">IF(ISBLANK(INDEX(big_daily_table,MATCH(DATE(Y$5,$J370,$I370),daily_dates,0),MATCH($B$3,daily_items,0))),NA(),INDEX(big_daily_table,MATCH(DATE(Y$5,$J370,$I370),daily_dates,0),MATCH($B$3,daily_items,0)))</f>
        <v>#N/A</v>
      </c>
      <c r="Z370" s="1" t="n">
        <f aca="true">_xlfn.AGGREGATE(5,6,OFFSET($R$5,H370,0,1,$J$2))</f>
        <v>0</v>
      </c>
      <c r="AA370" s="1" t="n">
        <f aca="true">_xlfn.AGGREGATE(4,6,OFFSET($R$5,H370,0,1,$J$2))</f>
        <v>0</v>
      </c>
      <c r="AB370" s="1" t="n">
        <f aca="false">AA370-Z370</f>
        <v>0</v>
      </c>
      <c r="AC370" s="1" t="e">
        <f aca="true">_xlfn.AGGREGATE(1,6,OFFSET($R$5,H370,0,1,$J$2))</f>
        <v>#DIV/0!</v>
      </c>
    </row>
    <row r="371" customFormat="false" ht="14.25" hidden="false" customHeight="false" outlineLevel="0" collapsed="false">
      <c r="H371" s="1" t="n">
        <f aca="false">H370+1</f>
        <v>366</v>
      </c>
      <c r="I371" s="1" t="n">
        <f aca="false">DAY(K371)</f>
        <v>31</v>
      </c>
      <c r="J371" s="1" t="n">
        <f aca="false">MONTH(K371)</f>
        <v>12</v>
      </c>
      <c r="K371" s="23" t="n">
        <f aca="false">K370+1</f>
        <v>36891</v>
      </c>
      <c r="L371" s="24" t="n">
        <f aca="true">IF(TODAY()&lt;DATE($N$5,J371,I371),1000000,-1000000)</f>
        <v>1000000</v>
      </c>
      <c r="M371" s="1" t="e">
        <f aca="false">IF(K371&gt;0,INDEX(big_daily_table,MATCH(DATE(N$5,$J371,$I371),daily_dates,0),MATCH($B$3,daily_items,0)),NA())</f>
        <v>#N/A</v>
      </c>
      <c r="N371" s="1" t="e">
        <f aca="false">IF(L371&lt;0,INDEX(big_daily_table,MATCH(DATE(N$5,$J371,$I371),daily_dates,0),MATCH($B$3,daily_items,0)),NA())</f>
        <v>#N/A</v>
      </c>
      <c r="O371" s="1" t="e">
        <f aca="false">IF(ISBLANK(INDEX(big_daily_table,MATCH(DATE(O$5,$J371,$I371),daily_dates,0),MATCH($B$3,daily_items,0))),NA(),INDEX(big_daily_table,MATCH(DATE(O$5,$J371,$I371),daily_dates,0),MATCH($B$3,daily_items,0)))</f>
        <v>#N/A</v>
      </c>
      <c r="P371" s="1" t="e">
        <f aca="false">IF(ISBLANK(INDEX(big_daily_table,MATCH(DATE(P$5,$J371,$I371),daily_dates,0),MATCH($B$3,daily_items,0))),NA(),INDEX(big_daily_table,MATCH(DATE(P$5,$J371,$I371),daily_dates,0),MATCH($B$3,daily_items,0)))</f>
        <v>#N/A</v>
      </c>
      <c r="Q371" s="1" t="e">
        <f aca="false">IF(ISBLANK(INDEX(big_daily_table,MATCH(DATE(Q$5,$J371,$I371),daily_dates,0),MATCH($B$3,daily_items,0))),NA(),INDEX(big_daily_table,MATCH(DATE(Q$5,$J371,$I371),daily_dates,0),MATCH($B$3,daily_items,0)))</f>
        <v>#N/A</v>
      </c>
      <c r="R371" s="1" t="e">
        <f aca="false">IF(ISBLANK(INDEX(big_daily_table,MATCH(DATE(R$5,$J371,$I371),daily_dates,0),MATCH($B$3,daily_items,0))),NA(),INDEX(big_daily_table,MATCH(DATE(R$5,$J371,$I371),daily_dates,0),MATCH($B$3,daily_items,0)))</f>
        <v>#N/A</v>
      </c>
      <c r="S371" s="1" t="e">
        <f aca="false">IF(ISBLANK(INDEX(big_daily_table,MATCH(DATE(S$5,$J371,$I371),daily_dates,0),MATCH($B$3,daily_items,0))),NA(),INDEX(big_daily_table,MATCH(DATE(S$5,$J371,$I371),daily_dates,0),MATCH($B$3,daily_items,0)))</f>
        <v>#N/A</v>
      </c>
      <c r="T371" s="1" t="e">
        <f aca="false">IF(ISBLANK(INDEX(big_daily_table,MATCH(DATE(T$5,$J371,$I371),daily_dates,0),MATCH($B$3,daily_items,0))),NA(),INDEX(big_daily_table,MATCH(DATE(T$5,$J371,$I371),daily_dates,0),MATCH($B$3,daily_items,0)))</f>
        <v>#N/A</v>
      </c>
      <c r="U371" s="1" t="e">
        <f aca="false">IF(ISBLANK(INDEX(big_daily_table,MATCH(DATE(U$5,$J371,$I371),daily_dates,0),MATCH($B$3,daily_items,0))),NA(),INDEX(big_daily_table,MATCH(DATE(U$5,$J371,$I371),daily_dates,0),MATCH($B$3,daily_items,0)))</f>
        <v>#N/A</v>
      </c>
      <c r="V371" s="1" t="e">
        <f aca="false">IF(ISBLANK(INDEX(big_daily_table,MATCH(DATE(V$5,$J371,$I371),daily_dates,0),MATCH($B$3,daily_items,0))),NA(),INDEX(big_daily_table,MATCH(DATE(V$5,$J371,$I371),daily_dates,0),MATCH($B$3,daily_items,0)))</f>
        <v>#N/A</v>
      </c>
      <c r="W371" s="1" t="e">
        <f aca="false">IF(ISBLANK(INDEX(big_daily_table,MATCH(DATE(W$5,$J371,$I371),daily_dates,0),MATCH($B$3,daily_items,0))),NA(),INDEX(big_daily_table,MATCH(DATE(W$5,$J371,$I371),daily_dates,0),MATCH($B$3,daily_items,0)))</f>
        <v>#N/A</v>
      </c>
      <c r="X371" s="1" t="e">
        <f aca="false">IF(ISBLANK(INDEX(big_daily_table,MATCH(DATE(X$5,$J371,$I371),daily_dates,0),MATCH($B$3,daily_items,0))),NA(),INDEX(big_daily_table,MATCH(DATE(X$5,$J371,$I371),daily_dates,0),MATCH($B$3,daily_items,0)))</f>
        <v>#N/A</v>
      </c>
      <c r="Y371" s="1" t="e">
        <f aca="false">IF(ISBLANK(INDEX(big_daily_table,MATCH(DATE(Y$5,$J371,$I371),daily_dates,0),MATCH($B$3,daily_items,0))),NA(),INDEX(big_daily_table,MATCH(DATE(Y$5,$J371,$I371),daily_dates,0),MATCH($B$3,daily_items,0)))</f>
        <v>#N/A</v>
      </c>
      <c r="Z371" s="1" t="n">
        <f aca="true">_xlfn.AGGREGATE(5,6,OFFSET($R$5,H371,0,1,$J$2))</f>
        <v>0</v>
      </c>
      <c r="AA371" s="1" t="n">
        <f aca="true">_xlfn.AGGREGATE(4,6,OFFSET($R$5,H371,0,1,$J$2))</f>
        <v>0</v>
      </c>
      <c r="AB371" s="1" t="n">
        <f aca="false">AA371-Z371</f>
        <v>0</v>
      </c>
      <c r="AC371" s="1" t="e">
        <f aca="true">_xlfn.AGGREGATE(1,6,OFFSET($R$5,H371,0,1,$J$2))</f>
        <v>#DIV/0!</v>
      </c>
    </row>
    <row r="372" customFormat="false" ht="14.25" hidden="false" customHeight="false" outlineLevel="0" collapsed="false">
      <c r="K372" s="7"/>
      <c r="L372" s="7"/>
      <c r="M372" s="7"/>
    </row>
  </sheetData>
  <dataValidations count="1">
    <dataValidation allowBlank="true" errorStyle="stop" operator="between" showDropDown="false" showErrorMessage="true" showInputMessage="true" sqref="B3" type="list">
      <formula1>daily_items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O372"/>
  <sheetViews>
    <sheetView showFormulas="false" showGridLines="fals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I16" activeCellId="0" sqref="I16"/>
    </sheetView>
  </sheetViews>
  <sheetFormatPr defaultColWidth="8.453125" defaultRowHeight="14.25" zeroHeight="false" outlineLevelRow="0" outlineLevelCol="0"/>
  <cols>
    <col collapsed="false" customWidth="true" hidden="false" outlineLevel="0" max="2" min="2" style="1" width="28.11"/>
    <col collapsed="false" customWidth="true" hidden="false" outlineLevel="0" max="14" min="12" style="1" width="10.66"/>
  </cols>
  <sheetData>
    <row r="1" customFormat="false" ht="15" hidden="false" customHeight="false" outlineLevel="0" collapsed="false"/>
    <row r="2" customFormat="false" ht="15" hidden="false" customHeight="false" outlineLevel="0" collapsed="false">
      <c r="J2" s="1" t="s">
        <v>2</v>
      </c>
      <c r="K2" s="18" t="n">
        <v>5</v>
      </c>
      <c r="L2" s="1" t="s">
        <v>3</v>
      </c>
    </row>
    <row r="3" customFormat="false" ht="14.25" hidden="false" customHeight="false" outlineLevel="0" collapsed="false">
      <c r="B3" s="19" t="s">
        <v>16</v>
      </c>
    </row>
    <row r="4" customFormat="false" ht="15" hidden="false" customHeight="false" outlineLevel="0" collapsed="false"/>
    <row r="5" customFormat="false" ht="14.25" hidden="false" customHeight="false" outlineLevel="0" collapsed="false">
      <c r="H5" s="20"/>
      <c r="I5" s="20" t="s">
        <v>17</v>
      </c>
      <c r="J5" s="20" t="s">
        <v>5</v>
      </c>
      <c r="K5" s="20" t="s">
        <v>6</v>
      </c>
      <c r="L5" s="20" t="s">
        <v>7</v>
      </c>
      <c r="M5" s="20" t="s">
        <v>8</v>
      </c>
      <c r="N5" s="20" t="str">
        <f aca="false">O5&amp;"F"</f>
        <v>2023F</v>
      </c>
      <c r="O5" s="21" t="n">
        <v>2023</v>
      </c>
      <c r="P5" s="20" t="n">
        <f aca="false">O5-1</f>
        <v>2022</v>
      </c>
      <c r="Q5" s="20" t="n">
        <f aca="false">P5-1</f>
        <v>2021</v>
      </c>
      <c r="R5" s="20" t="n">
        <f aca="false">Q5-1</f>
        <v>2020</v>
      </c>
      <c r="S5" s="20" t="n">
        <f aca="false">R5-1</f>
        <v>2019</v>
      </c>
      <c r="T5" s="20" t="n">
        <f aca="false">S5-1</f>
        <v>2018</v>
      </c>
      <c r="U5" s="20" t="n">
        <f aca="false">T5-1</f>
        <v>2017</v>
      </c>
      <c r="V5" s="20" t="n">
        <f aca="false">U5-1</f>
        <v>2016</v>
      </c>
      <c r="W5" s="20" t="n">
        <f aca="false">V5-1</f>
        <v>2015</v>
      </c>
      <c r="X5" s="20" t="n">
        <f aca="false">W5-1</f>
        <v>2014</v>
      </c>
      <c r="Y5" s="20" t="n">
        <f aca="false">X5-1</f>
        <v>2013</v>
      </c>
      <c r="Z5" s="20" t="n">
        <f aca="false">Y5-1</f>
        <v>2012</v>
      </c>
      <c r="AA5" s="20" t="s">
        <v>9</v>
      </c>
      <c r="AB5" s="20" t="s">
        <v>10</v>
      </c>
      <c r="AC5" s="20" t="str">
        <f aca="true">"min-max (2019 -"&amp;OFFSET($S$5,0,$K$2)&amp; ")"</f>
        <v>min-max (2019 -2014)</v>
      </c>
      <c r="AD5" s="20" t="s">
        <v>11</v>
      </c>
    </row>
    <row r="6" customFormat="false" ht="14.25" hidden="false" customHeight="false" outlineLevel="0" collapsed="false">
      <c r="B6" s="22" t="s">
        <v>12</v>
      </c>
      <c r="H6" s="1" t="n">
        <v>1</v>
      </c>
      <c r="I6" s="1" t="n">
        <f aca="false">WEEKDAY('daily graphs'!K6)</f>
        <v>7</v>
      </c>
      <c r="J6" s="1" t="n">
        <f aca="false">DAY(L6)</f>
        <v>25</v>
      </c>
      <c r="K6" s="1" t="n">
        <f aca="false">MONTH(L6)</f>
        <v>12</v>
      </c>
      <c r="L6" s="23" t="n">
        <f aca="false">'daily graphs'!K6 - I6</f>
        <v>36519</v>
      </c>
      <c r="M6" s="24" t="n">
        <f aca="true">IF(TODAY()&lt;DATE($O$5,K6,J6),1000000,-1000000)</f>
        <v>1000000</v>
      </c>
      <c r="N6" s="24" t="e">
        <f aca="false">IF(M6&gt;0,INDEX(big_daily_table,MATCH(DATE(O$5,$K6,$J6),daily_dates,0),MATCH($B$3,daily_items,0)),NA())</f>
        <v>#N/A</v>
      </c>
      <c r="O6" s="1" t="e">
        <f aca="false">IF(M6&lt;0,INDEX(big_daily_table,MATCH(DATE(O$5,$K6,$J6),daily_dates,0),MATCH($B$3,daily_items,0)),NA())</f>
        <v>#N/A</v>
      </c>
      <c r="P6" s="1" t="e">
        <f aca="false">IF(ISBLANK(INDEX(big_daily_table,MATCH(DATE(P$5,$K6,$J6),daily_dates,0),MATCH($B$3,daily_items,0))),NA(),INDEX(big_daily_table,MATCH(DATE(P$5,$K6,$J6),daily_dates,0),MATCH($B$3,daily_items,0)))</f>
        <v>#N/A</v>
      </c>
      <c r="Q6" s="1" t="e">
        <f aca="false">IF(ISBLANK(INDEX(big_daily_table,MATCH(DATE(Q$5,$K6,$J6),daily_dates,0),MATCH($B$3,daily_items,0))),NA(),INDEX(big_daily_table,MATCH(DATE(Q$5,$K6,$J6),daily_dates,0),MATCH($B$3,daily_items,0)))</f>
        <v>#N/A</v>
      </c>
      <c r="R6" s="1" t="e">
        <f aca="false">IF(ISBLANK(INDEX(big_daily_table,MATCH(DATE(R$5,$K6,$J6),daily_dates,0),MATCH($B$3,daily_items,0))),NA(),INDEX(big_daily_table,MATCH(DATE(R$5,$K6,$J6),daily_dates,0),MATCH($B$3,daily_items,0)))</f>
        <v>#N/A</v>
      </c>
      <c r="S6" s="1" t="e">
        <f aca="false">IF(ISBLANK(INDEX(big_daily_table,MATCH(DATE(S$5,$K6,$J6),daily_dates,0),MATCH($B$3,daily_items,0))),NA(),INDEX(big_daily_table,MATCH(DATE(S$5,$K6,$J6),daily_dates,0),MATCH($B$3,daily_items,0)))</f>
        <v>#N/A</v>
      </c>
      <c r="T6" s="1" t="e">
        <f aca="false">IF(ISBLANK(INDEX(big_daily_table,MATCH(DATE(T$5,$K6,$J6),daily_dates,0),MATCH($B$3,daily_items,0))),NA(),INDEX(big_daily_table,MATCH(DATE(T$5,$K6,$J6),daily_dates,0),MATCH($B$3,daily_items,0)))</f>
        <v>#N/A</v>
      </c>
      <c r="U6" s="1" t="e">
        <f aca="false">IF(ISBLANK(INDEX(big_daily_table,MATCH(DATE(U$5,$K6,$J6),daily_dates,0),MATCH($B$3,daily_items,0))),NA(),INDEX(big_daily_table,MATCH(DATE(U$5,$K6,$J6),daily_dates,0),MATCH($B$3,daily_items,0)))</f>
        <v>#N/A</v>
      </c>
      <c r="V6" s="1" t="e">
        <f aca="false">IF(ISBLANK(INDEX(big_daily_table,MATCH(DATE(V$5,$K6,$J6),daily_dates,0),MATCH($B$3,daily_items,0))),NA(),INDEX(big_daily_table,MATCH(DATE(V$5,$K6,$J6),daily_dates,0),MATCH($B$3,daily_items,0)))</f>
        <v>#N/A</v>
      </c>
      <c r="W6" s="1" t="e">
        <f aca="false">IF(ISBLANK(INDEX(big_daily_table,MATCH(DATE(W$5,$K6,$J6),daily_dates,0),MATCH($B$3,daily_items,0))),NA(),INDEX(big_daily_table,MATCH(DATE(W$5,$K6,$J6),daily_dates,0),MATCH($B$3,daily_items,0)))</f>
        <v>#N/A</v>
      </c>
      <c r="X6" s="1" t="e">
        <f aca="false">IF(ISBLANK(INDEX(big_daily_table,MATCH(DATE(X$5,$K6,$J6),daily_dates,0),MATCH($B$3,daily_items,0))),NA(),INDEX(big_daily_table,MATCH(DATE(X$5,$K6,$J6),daily_dates,0),MATCH($B$3,daily_items,0)))</f>
        <v>#N/A</v>
      </c>
      <c r="Y6" s="1" t="e">
        <f aca="false">IF(ISBLANK(INDEX(big_daily_table,MATCH(DATE(Y$5,$K6,$J6),daily_dates,0),MATCH($B$3,daily_items,0))),NA(),INDEX(big_daily_table,MATCH(DATE(Y$5,$K6,$J6),daily_dates,0),MATCH($B$3,daily_items,0)))</f>
        <v>#N/A</v>
      </c>
      <c r="Z6" s="1" t="e">
        <f aca="false">IF(ISBLANK(INDEX(big_daily_table,MATCH(DATE(Z$5,$K6,$J6),daily_dates,0),MATCH($B$3,daily_items,0))),NA(),INDEX(big_daily_table,MATCH(DATE(Z$5,$K6,$J6),daily_dates,0),MATCH($B$3,daily_items,0)))</f>
        <v>#N/A</v>
      </c>
      <c r="AA6" s="1" t="n">
        <f aca="true">_xlfn.AGGREGATE(5,6,OFFSET($S$5,H6,0,1,$K$2))</f>
        <v>0</v>
      </c>
      <c r="AB6" s="1" t="n">
        <f aca="true">_xlfn.AGGREGATE(4,6,OFFSET($S$5,H6,0,1,$K$2))</f>
        <v>0</v>
      </c>
      <c r="AC6" s="1" t="n">
        <f aca="false">AB6-AA6</f>
        <v>0</v>
      </c>
      <c r="AD6" s="1" t="e">
        <f aca="true">_xlfn.AGGREGATE(1,6,OFFSET($S$5,H6,0,1,$K$2))</f>
        <v>#DIV/0!</v>
      </c>
    </row>
    <row r="7" customFormat="false" ht="14.25" hidden="false" customHeight="false" outlineLevel="0" collapsed="false">
      <c r="H7" s="1" t="n">
        <f aca="false">H6+1</f>
        <v>2</v>
      </c>
      <c r="I7" s="1" t="n">
        <f aca="false">WEEKDAY('daily graphs'!K7)</f>
        <v>1</v>
      </c>
      <c r="J7" s="1" t="n">
        <f aca="false">DAY(L7)</f>
        <v>1</v>
      </c>
      <c r="K7" s="1" t="n">
        <f aca="false">MONTH(L7)</f>
        <v>1</v>
      </c>
      <c r="L7" s="23" t="n">
        <f aca="false">'daily graphs'!K7 - I7</f>
        <v>36526</v>
      </c>
      <c r="M7" s="24" t="n">
        <f aca="true">IF(TODAY()&lt;DATE($O$5,K7,J7),1000000,-1000000)</f>
        <v>-1000000</v>
      </c>
      <c r="N7" s="24" t="e">
        <f aca="false">IF(M7&gt;0,INDEX(big_daily_table,MATCH(DATE(O$5,$K7,$J7),daily_dates,0),MATCH($B$3,daily_items,0)),NA())</f>
        <v>#N/A</v>
      </c>
      <c r="O7" s="1" t="e">
        <f aca="false">IF(M7&lt;0,INDEX(big_daily_table,MATCH(DATE(O$5,$K7,$J7),daily_dates,0),MATCH($B$3,daily_items,0)),NA())</f>
        <v>#N/A</v>
      </c>
      <c r="P7" s="1" t="e">
        <f aca="false">IF(ISBLANK(INDEX(big_daily_table,MATCH(DATE(P$5,$K7,$J7),daily_dates,0),MATCH($B$3,daily_items,0))),NA(),INDEX(big_daily_table,MATCH(DATE(P$5,$K7,$J7),daily_dates,0),MATCH($B$3,daily_items,0)))</f>
        <v>#N/A</v>
      </c>
      <c r="Q7" s="1" t="e">
        <f aca="false">IF(ISBLANK(INDEX(big_daily_table,MATCH(DATE(Q$5,$K7,$J7),daily_dates,0),MATCH($B$3,daily_items,0))),NA(),INDEX(big_daily_table,MATCH(DATE(Q$5,$K7,$J7),daily_dates,0),MATCH($B$3,daily_items,0)))</f>
        <v>#N/A</v>
      </c>
      <c r="R7" s="1" t="e">
        <f aca="false">IF(ISBLANK(INDEX(big_daily_table,MATCH(DATE(R$5,$K7,$J7),daily_dates,0),MATCH($B$3,daily_items,0))),NA(),INDEX(big_daily_table,MATCH(DATE(R$5,$K7,$J7),daily_dates,0),MATCH($B$3,daily_items,0)))</f>
        <v>#N/A</v>
      </c>
      <c r="S7" s="1" t="e">
        <f aca="false">IF(ISBLANK(INDEX(big_daily_table,MATCH(DATE(S$5,$K7,$J7),daily_dates,0),MATCH($B$3,daily_items,0))),NA(),INDEX(big_daily_table,MATCH(DATE(S$5,$K7,$J7),daily_dates,0),MATCH($B$3,daily_items,0)))</f>
        <v>#N/A</v>
      </c>
      <c r="T7" s="1" t="e">
        <f aca="false">IF(ISBLANK(INDEX(big_daily_table,MATCH(DATE(T$5,$K7,$J7),daily_dates,0),MATCH($B$3,daily_items,0))),NA(),INDEX(big_daily_table,MATCH(DATE(T$5,$K7,$J7),daily_dates,0),MATCH($B$3,daily_items,0)))</f>
        <v>#N/A</v>
      </c>
      <c r="U7" s="1" t="e">
        <f aca="false">IF(ISBLANK(INDEX(big_daily_table,MATCH(DATE(U$5,$K7,$J7),daily_dates,0),MATCH($B$3,daily_items,0))),NA(),INDEX(big_daily_table,MATCH(DATE(U$5,$K7,$J7),daily_dates,0),MATCH($B$3,daily_items,0)))</f>
        <v>#N/A</v>
      </c>
      <c r="V7" s="1" t="e">
        <f aca="false">IF(ISBLANK(INDEX(big_daily_table,MATCH(DATE(V$5,$K7,$J7),daily_dates,0),MATCH($B$3,daily_items,0))),NA(),INDEX(big_daily_table,MATCH(DATE(V$5,$K7,$J7),daily_dates,0),MATCH($B$3,daily_items,0)))</f>
        <v>#N/A</v>
      </c>
      <c r="W7" s="1" t="e">
        <f aca="false">IF(ISBLANK(INDEX(big_daily_table,MATCH(DATE(W$5,$K7,$J7),daily_dates,0),MATCH($B$3,daily_items,0))),NA(),INDEX(big_daily_table,MATCH(DATE(W$5,$K7,$J7),daily_dates,0),MATCH($B$3,daily_items,0)))</f>
        <v>#N/A</v>
      </c>
      <c r="X7" s="1" t="e">
        <f aca="false">IF(ISBLANK(INDEX(big_daily_table,MATCH(DATE(X$5,$K7,$J7),daily_dates,0),MATCH($B$3,daily_items,0))),NA(),INDEX(big_daily_table,MATCH(DATE(X$5,$K7,$J7),daily_dates,0),MATCH($B$3,daily_items,0)))</f>
        <v>#N/A</v>
      </c>
      <c r="Y7" s="1" t="e">
        <f aca="false">IF(ISBLANK(INDEX(big_daily_table,MATCH(DATE(Y$5,$K7,$J7),daily_dates,0),MATCH($B$3,daily_items,0))),NA(),INDEX(big_daily_table,MATCH(DATE(Y$5,$K7,$J7),daily_dates,0),MATCH($B$3,daily_items,0)))</f>
        <v>#N/A</v>
      </c>
      <c r="Z7" s="1" t="e">
        <f aca="false">IF(ISBLANK(INDEX(big_daily_table,MATCH(DATE(Z$5,$K7,$J7),daily_dates,0),MATCH($B$3,daily_items,0))),NA(),INDEX(big_daily_table,MATCH(DATE(Z$5,$K7,$J7),daily_dates,0),MATCH($B$3,daily_items,0)))</f>
        <v>#N/A</v>
      </c>
      <c r="AA7" s="1" t="n">
        <f aca="true">_xlfn.AGGREGATE(5,6,OFFSET($S$5,H7,0,1,$K$2))</f>
        <v>0</v>
      </c>
      <c r="AB7" s="1" t="n">
        <f aca="true">_xlfn.AGGREGATE(4,6,OFFSET($S$5,H7,0,1,$K$2))</f>
        <v>0</v>
      </c>
      <c r="AC7" s="1" t="n">
        <f aca="false">AB7-AA7</f>
        <v>0</v>
      </c>
      <c r="AD7" s="1" t="e">
        <f aca="true">_xlfn.AGGREGATE(1,6,OFFSET($S$5,H7,0,1,$K$2))</f>
        <v>#DIV/0!</v>
      </c>
    </row>
    <row r="8" customFormat="false" ht="14.25" hidden="false" customHeight="false" outlineLevel="0" collapsed="false">
      <c r="H8" s="1" t="n">
        <f aca="false">H7+1</f>
        <v>3</v>
      </c>
      <c r="I8" s="1" t="n">
        <f aca="false">WEEKDAY('daily graphs'!K8)</f>
        <v>2</v>
      </c>
      <c r="J8" s="1" t="n">
        <f aca="false">DAY(L8)</f>
        <v>1</v>
      </c>
      <c r="K8" s="1" t="n">
        <f aca="false">MONTH(L8)</f>
        <v>1</v>
      </c>
      <c r="L8" s="23" t="n">
        <f aca="false">'daily graphs'!K8 - I8</f>
        <v>36526</v>
      </c>
      <c r="M8" s="24" t="n">
        <f aca="true">IF(TODAY()&lt;DATE($O$5,K8,J8),1000000,-1000000)</f>
        <v>-1000000</v>
      </c>
      <c r="N8" s="24" t="e">
        <f aca="false">IF(M8&gt;0,INDEX(big_daily_table,MATCH(DATE(O$5,$K8,$J8),daily_dates,0),MATCH($B$3,daily_items,0)),NA())</f>
        <v>#N/A</v>
      </c>
      <c r="O8" s="1" t="e">
        <f aca="false">IF(M8&lt;0,INDEX(big_daily_table,MATCH(DATE(O$5,$K8,$J8),daily_dates,0),MATCH($B$3,daily_items,0)),NA())</f>
        <v>#N/A</v>
      </c>
      <c r="P8" s="1" t="e">
        <f aca="false">IF(ISBLANK(INDEX(big_daily_table,MATCH(DATE(P$5,$K8,$J8),daily_dates,0),MATCH($B$3,daily_items,0))),NA(),INDEX(big_daily_table,MATCH(DATE(P$5,$K8,$J8),daily_dates,0),MATCH($B$3,daily_items,0)))</f>
        <v>#N/A</v>
      </c>
      <c r="Q8" s="1" t="e">
        <f aca="false">IF(ISBLANK(INDEX(big_daily_table,MATCH(DATE(Q$5,$K8,$J8),daily_dates,0),MATCH($B$3,daily_items,0))),NA(),INDEX(big_daily_table,MATCH(DATE(Q$5,$K8,$J8),daily_dates,0),MATCH($B$3,daily_items,0)))</f>
        <v>#N/A</v>
      </c>
      <c r="R8" s="1" t="e">
        <f aca="false">IF(ISBLANK(INDEX(big_daily_table,MATCH(DATE(R$5,$K8,$J8),daily_dates,0),MATCH($B$3,daily_items,0))),NA(),INDEX(big_daily_table,MATCH(DATE(R$5,$K8,$J8),daily_dates,0),MATCH($B$3,daily_items,0)))</f>
        <v>#N/A</v>
      </c>
      <c r="S8" s="1" t="e">
        <f aca="false">IF(ISBLANK(INDEX(big_daily_table,MATCH(DATE(S$5,$K8,$J8),daily_dates,0),MATCH($B$3,daily_items,0))),NA(),INDEX(big_daily_table,MATCH(DATE(S$5,$K8,$J8),daily_dates,0),MATCH($B$3,daily_items,0)))</f>
        <v>#N/A</v>
      </c>
      <c r="T8" s="1" t="e">
        <f aca="false">IF(ISBLANK(INDEX(big_daily_table,MATCH(DATE(T$5,$K8,$J8),daily_dates,0),MATCH($B$3,daily_items,0))),NA(),INDEX(big_daily_table,MATCH(DATE(T$5,$K8,$J8),daily_dates,0),MATCH($B$3,daily_items,0)))</f>
        <v>#N/A</v>
      </c>
      <c r="U8" s="1" t="e">
        <f aca="false">IF(ISBLANK(INDEX(big_daily_table,MATCH(DATE(U$5,$K8,$J8),daily_dates,0),MATCH($B$3,daily_items,0))),NA(),INDEX(big_daily_table,MATCH(DATE(U$5,$K8,$J8),daily_dates,0),MATCH($B$3,daily_items,0)))</f>
        <v>#N/A</v>
      </c>
      <c r="V8" s="1" t="e">
        <f aca="false">IF(ISBLANK(INDEX(big_daily_table,MATCH(DATE(V$5,$K8,$J8),daily_dates,0),MATCH($B$3,daily_items,0))),NA(),INDEX(big_daily_table,MATCH(DATE(V$5,$K8,$J8),daily_dates,0),MATCH($B$3,daily_items,0)))</f>
        <v>#N/A</v>
      </c>
      <c r="W8" s="1" t="e">
        <f aca="false">IF(ISBLANK(INDEX(big_daily_table,MATCH(DATE(W$5,$K8,$J8),daily_dates,0),MATCH($B$3,daily_items,0))),NA(),INDEX(big_daily_table,MATCH(DATE(W$5,$K8,$J8),daily_dates,0),MATCH($B$3,daily_items,0)))</f>
        <v>#N/A</v>
      </c>
      <c r="X8" s="1" t="e">
        <f aca="false">IF(ISBLANK(INDEX(big_daily_table,MATCH(DATE(X$5,$K8,$J8),daily_dates,0),MATCH($B$3,daily_items,0))),NA(),INDEX(big_daily_table,MATCH(DATE(X$5,$K8,$J8),daily_dates,0),MATCH($B$3,daily_items,0)))</f>
        <v>#N/A</v>
      </c>
      <c r="Y8" s="1" t="e">
        <f aca="false">IF(ISBLANK(INDEX(big_daily_table,MATCH(DATE(Y$5,$K8,$J8),daily_dates,0),MATCH($B$3,daily_items,0))),NA(),INDEX(big_daily_table,MATCH(DATE(Y$5,$K8,$J8),daily_dates,0),MATCH($B$3,daily_items,0)))</f>
        <v>#N/A</v>
      </c>
      <c r="Z8" s="1" t="e">
        <f aca="false">IF(ISBLANK(INDEX(big_daily_table,MATCH(DATE(Z$5,$K8,$J8),daily_dates,0),MATCH($B$3,daily_items,0))),NA(),INDEX(big_daily_table,MATCH(DATE(Z$5,$K8,$J8),daily_dates,0),MATCH($B$3,daily_items,0)))</f>
        <v>#N/A</v>
      </c>
      <c r="AA8" s="1" t="n">
        <f aca="true">_xlfn.AGGREGATE(5,6,OFFSET($S$5,H8,0,1,$K$2))</f>
        <v>0</v>
      </c>
      <c r="AB8" s="1" t="n">
        <f aca="true">_xlfn.AGGREGATE(4,6,OFFSET($S$5,H8,0,1,$K$2))</f>
        <v>0</v>
      </c>
      <c r="AC8" s="1" t="n">
        <f aca="false">AB8-AA8</f>
        <v>0</v>
      </c>
      <c r="AD8" s="1" t="e">
        <f aca="true">_xlfn.AGGREGATE(1,6,OFFSET($S$5,H8,0,1,$K$2))</f>
        <v>#DIV/0!</v>
      </c>
    </row>
    <row r="9" customFormat="false" ht="14.25" hidden="false" customHeight="false" outlineLevel="0" collapsed="false">
      <c r="H9" s="1" t="n">
        <f aca="false">H8+1</f>
        <v>4</v>
      </c>
      <c r="I9" s="1" t="n">
        <f aca="false">WEEKDAY('daily graphs'!K9)</f>
        <v>3</v>
      </c>
      <c r="J9" s="1" t="n">
        <f aca="false">DAY(L9)</f>
        <v>1</v>
      </c>
      <c r="K9" s="1" t="n">
        <f aca="false">MONTH(L9)</f>
        <v>1</v>
      </c>
      <c r="L9" s="23" t="n">
        <f aca="false">'daily graphs'!K9 - I9</f>
        <v>36526</v>
      </c>
      <c r="M9" s="24" t="n">
        <f aca="true">IF(TODAY()&lt;DATE($O$5,K9,J9),1000000,-1000000)</f>
        <v>-1000000</v>
      </c>
      <c r="N9" s="24" t="e">
        <f aca="false">IF(M9&gt;0,INDEX(big_daily_table,MATCH(DATE(O$5,$K9,$J9),daily_dates,0),MATCH($B$3,daily_items,0)),NA())</f>
        <v>#N/A</v>
      </c>
      <c r="O9" s="1" t="e">
        <f aca="false">IF(M9&lt;0,INDEX(big_daily_table,MATCH(DATE(O$5,$K9,$J9),daily_dates,0),MATCH($B$3,daily_items,0)),NA())</f>
        <v>#N/A</v>
      </c>
      <c r="P9" s="1" t="e">
        <f aca="false">IF(ISBLANK(INDEX(big_daily_table,MATCH(DATE(P$5,$K9,$J9),daily_dates,0),MATCH($B$3,daily_items,0))),NA(),INDEX(big_daily_table,MATCH(DATE(P$5,$K9,$J9),daily_dates,0),MATCH($B$3,daily_items,0)))</f>
        <v>#N/A</v>
      </c>
      <c r="Q9" s="1" t="e">
        <f aca="false">IF(ISBLANK(INDEX(big_daily_table,MATCH(DATE(Q$5,$K9,$J9),daily_dates,0),MATCH($B$3,daily_items,0))),NA(),INDEX(big_daily_table,MATCH(DATE(Q$5,$K9,$J9),daily_dates,0),MATCH($B$3,daily_items,0)))</f>
        <v>#N/A</v>
      </c>
      <c r="R9" s="1" t="e">
        <f aca="false">IF(ISBLANK(INDEX(big_daily_table,MATCH(DATE(R$5,$K9,$J9),daily_dates,0),MATCH($B$3,daily_items,0))),NA(),INDEX(big_daily_table,MATCH(DATE(R$5,$K9,$J9),daily_dates,0),MATCH($B$3,daily_items,0)))</f>
        <v>#N/A</v>
      </c>
      <c r="S9" s="1" t="e">
        <f aca="false">IF(ISBLANK(INDEX(big_daily_table,MATCH(DATE(S$5,$K9,$J9),daily_dates,0),MATCH($B$3,daily_items,0))),NA(),INDEX(big_daily_table,MATCH(DATE(S$5,$K9,$J9),daily_dates,0),MATCH($B$3,daily_items,0)))</f>
        <v>#N/A</v>
      </c>
      <c r="T9" s="1" t="e">
        <f aca="false">IF(ISBLANK(INDEX(big_daily_table,MATCH(DATE(T$5,$K9,$J9),daily_dates,0),MATCH($B$3,daily_items,0))),NA(),INDEX(big_daily_table,MATCH(DATE(T$5,$K9,$J9),daily_dates,0),MATCH($B$3,daily_items,0)))</f>
        <v>#N/A</v>
      </c>
      <c r="U9" s="1" t="e">
        <f aca="false">IF(ISBLANK(INDEX(big_daily_table,MATCH(DATE(U$5,$K9,$J9),daily_dates,0),MATCH($B$3,daily_items,0))),NA(),INDEX(big_daily_table,MATCH(DATE(U$5,$K9,$J9),daily_dates,0),MATCH($B$3,daily_items,0)))</f>
        <v>#N/A</v>
      </c>
      <c r="V9" s="1" t="e">
        <f aca="false">IF(ISBLANK(INDEX(big_daily_table,MATCH(DATE(V$5,$K9,$J9),daily_dates,0),MATCH($B$3,daily_items,0))),NA(),INDEX(big_daily_table,MATCH(DATE(V$5,$K9,$J9),daily_dates,0),MATCH($B$3,daily_items,0)))</f>
        <v>#N/A</v>
      </c>
      <c r="W9" s="1" t="e">
        <f aca="false">IF(ISBLANK(INDEX(big_daily_table,MATCH(DATE(W$5,$K9,$J9),daily_dates,0),MATCH($B$3,daily_items,0))),NA(),INDEX(big_daily_table,MATCH(DATE(W$5,$K9,$J9),daily_dates,0),MATCH($B$3,daily_items,0)))</f>
        <v>#N/A</v>
      </c>
      <c r="X9" s="1" t="e">
        <f aca="false">IF(ISBLANK(INDEX(big_daily_table,MATCH(DATE(X$5,$K9,$J9),daily_dates,0),MATCH($B$3,daily_items,0))),NA(),INDEX(big_daily_table,MATCH(DATE(X$5,$K9,$J9),daily_dates,0),MATCH($B$3,daily_items,0)))</f>
        <v>#N/A</v>
      </c>
      <c r="Y9" s="1" t="e">
        <f aca="false">IF(ISBLANK(INDEX(big_daily_table,MATCH(DATE(Y$5,$K9,$J9),daily_dates,0),MATCH($B$3,daily_items,0))),NA(),INDEX(big_daily_table,MATCH(DATE(Y$5,$K9,$J9),daily_dates,0),MATCH($B$3,daily_items,0)))</f>
        <v>#N/A</v>
      </c>
      <c r="Z9" s="1" t="e">
        <f aca="false">IF(ISBLANK(INDEX(big_daily_table,MATCH(DATE(Z$5,$K9,$J9),daily_dates,0),MATCH($B$3,daily_items,0))),NA(),INDEX(big_daily_table,MATCH(DATE(Z$5,$K9,$J9),daily_dates,0),MATCH($B$3,daily_items,0)))</f>
        <v>#N/A</v>
      </c>
      <c r="AA9" s="1" t="n">
        <f aca="true">_xlfn.AGGREGATE(5,6,OFFSET($S$5,H9,0,1,$K$2))</f>
        <v>0</v>
      </c>
      <c r="AB9" s="1" t="n">
        <f aca="true">_xlfn.AGGREGATE(4,6,OFFSET($S$5,H9,0,1,$K$2))</f>
        <v>0</v>
      </c>
      <c r="AC9" s="1" t="n">
        <f aca="false">AB9-AA9</f>
        <v>0</v>
      </c>
      <c r="AD9" s="1" t="e">
        <f aca="true">_xlfn.AGGREGATE(1,6,OFFSET($S$5,H9,0,1,$K$2))</f>
        <v>#DIV/0!</v>
      </c>
    </row>
    <row r="10" customFormat="false" ht="14.25" hidden="false" customHeight="false" outlineLevel="0" collapsed="false">
      <c r="H10" s="1" t="n">
        <f aca="false">H9+1</f>
        <v>5</v>
      </c>
      <c r="I10" s="1" t="n">
        <f aca="false">WEEKDAY('daily graphs'!K10)</f>
        <v>4</v>
      </c>
      <c r="J10" s="1" t="n">
        <f aca="false">DAY(L10)</f>
        <v>1</v>
      </c>
      <c r="K10" s="1" t="n">
        <f aca="false">MONTH(L10)</f>
        <v>1</v>
      </c>
      <c r="L10" s="23" t="n">
        <f aca="false">'daily graphs'!K10 - I10</f>
        <v>36526</v>
      </c>
      <c r="M10" s="24" t="n">
        <f aca="true">IF(TODAY()&lt;DATE($O$5,K10,J10),1000000,-1000000)</f>
        <v>-1000000</v>
      </c>
      <c r="N10" s="24" t="e">
        <f aca="false">IF(M10&gt;0,INDEX(big_daily_table,MATCH(DATE(O$5,$K10,$J10),daily_dates,0),MATCH($B$3,daily_items,0)),NA())</f>
        <v>#N/A</v>
      </c>
      <c r="O10" s="1" t="e">
        <f aca="false">IF(M10&lt;0,INDEX(big_daily_table,MATCH(DATE(O$5,$K10,$J10),daily_dates,0),MATCH($B$3,daily_items,0)),NA())</f>
        <v>#N/A</v>
      </c>
      <c r="P10" s="1" t="e">
        <f aca="false">IF(ISBLANK(INDEX(big_daily_table,MATCH(DATE(P$5,$K10,$J10),daily_dates,0),MATCH($B$3,daily_items,0))),NA(),INDEX(big_daily_table,MATCH(DATE(P$5,$K10,$J10),daily_dates,0),MATCH($B$3,daily_items,0)))</f>
        <v>#N/A</v>
      </c>
      <c r="Q10" s="1" t="e">
        <f aca="false">IF(ISBLANK(INDEX(big_daily_table,MATCH(DATE(Q$5,$K10,$J10),daily_dates,0),MATCH($B$3,daily_items,0))),NA(),INDEX(big_daily_table,MATCH(DATE(Q$5,$K10,$J10),daily_dates,0),MATCH($B$3,daily_items,0)))</f>
        <v>#N/A</v>
      </c>
      <c r="R10" s="1" t="e">
        <f aca="false">IF(ISBLANK(INDEX(big_daily_table,MATCH(DATE(R$5,$K10,$J10),daily_dates,0),MATCH($B$3,daily_items,0))),NA(),INDEX(big_daily_table,MATCH(DATE(R$5,$K10,$J10),daily_dates,0),MATCH($B$3,daily_items,0)))</f>
        <v>#N/A</v>
      </c>
      <c r="S10" s="1" t="e">
        <f aca="false">IF(ISBLANK(INDEX(big_daily_table,MATCH(DATE(S$5,$K10,$J10),daily_dates,0),MATCH($B$3,daily_items,0))),NA(),INDEX(big_daily_table,MATCH(DATE(S$5,$K10,$J10),daily_dates,0),MATCH($B$3,daily_items,0)))</f>
        <v>#N/A</v>
      </c>
      <c r="T10" s="1" t="e">
        <f aca="false">IF(ISBLANK(INDEX(big_daily_table,MATCH(DATE(T$5,$K10,$J10),daily_dates,0),MATCH($B$3,daily_items,0))),NA(),INDEX(big_daily_table,MATCH(DATE(T$5,$K10,$J10),daily_dates,0),MATCH($B$3,daily_items,0)))</f>
        <v>#N/A</v>
      </c>
      <c r="U10" s="1" t="e">
        <f aca="false">IF(ISBLANK(INDEX(big_daily_table,MATCH(DATE(U$5,$K10,$J10),daily_dates,0),MATCH($B$3,daily_items,0))),NA(),INDEX(big_daily_table,MATCH(DATE(U$5,$K10,$J10),daily_dates,0),MATCH($B$3,daily_items,0)))</f>
        <v>#N/A</v>
      </c>
      <c r="V10" s="1" t="e">
        <f aca="false">IF(ISBLANK(INDEX(big_daily_table,MATCH(DATE(V$5,$K10,$J10),daily_dates,0),MATCH($B$3,daily_items,0))),NA(),INDEX(big_daily_table,MATCH(DATE(V$5,$K10,$J10),daily_dates,0),MATCH($B$3,daily_items,0)))</f>
        <v>#N/A</v>
      </c>
      <c r="W10" s="1" t="e">
        <f aca="false">IF(ISBLANK(INDEX(big_daily_table,MATCH(DATE(W$5,$K10,$J10),daily_dates,0),MATCH($B$3,daily_items,0))),NA(),INDEX(big_daily_table,MATCH(DATE(W$5,$K10,$J10),daily_dates,0),MATCH($B$3,daily_items,0)))</f>
        <v>#N/A</v>
      </c>
      <c r="X10" s="1" t="e">
        <f aca="false">IF(ISBLANK(INDEX(big_daily_table,MATCH(DATE(X$5,$K10,$J10),daily_dates,0),MATCH($B$3,daily_items,0))),NA(),INDEX(big_daily_table,MATCH(DATE(X$5,$K10,$J10),daily_dates,0),MATCH($B$3,daily_items,0)))</f>
        <v>#N/A</v>
      </c>
      <c r="Y10" s="1" t="e">
        <f aca="false">IF(ISBLANK(INDEX(big_daily_table,MATCH(DATE(Y$5,$K10,$J10),daily_dates,0),MATCH($B$3,daily_items,0))),NA(),INDEX(big_daily_table,MATCH(DATE(Y$5,$K10,$J10),daily_dates,0),MATCH($B$3,daily_items,0)))</f>
        <v>#N/A</v>
      </c>
      <c r="Z10" s="1" t="e">
        <f aca="false">IF(ISBLANK(INDEX(big_daily_table,MATCH(DATE(Z$5,$K10,$J10),daily_dates,0),MATCH($B$3,daily_items,0))),NA(),INDEX(big_daily_table,MATCH(DATE(Z$5,$K10,$J10),daily_dates,0),MATCH($B$3,daily_items,0)))</f>
        <v>#N/A</v>
      </c>
      <c r="AA10" s="1" t="n">
        <f aca="true">_xlfn.AGGREGATE(5,6,OFFSET($S$5,H10,0,1,$K$2))</f>
        <v>0</v>
      </c>
      <c r="AB10" s="1" t="n">
        <f aca="true">_xlfn.AGGREGATE(4,6,OFFSET($S$5,H10,0,1,$K$2))</f>
        <v>0</v>
      </c>
      <c r="AC10" s="1" t="n">
        <f aca="false">AB10-AA10</f>
        <v>0</v>
      </c>
      <c r="AD10" s="1" t="e">
        <f aca="true">_xlfn.AGGREGATE(1,6,OFFSET($S$5,H10,0,1,$K$2))</f>
        <v>#DIV/0!</v>
      </c>
    </row>
    <row r="11" customFormat="false" ht="14.25" hidden="false" customHeight="false" outlineLevel="0" collapsed="false">
      <c r="H11" s="1" t="n">
        <f aca="false">H10+1</f>
        <v>6</v>
      </c>
      <c r="I11" s="1" t="n">
        <f aca="false">WEEKDAY('daily graphs'!K11)</f>
        <v>5</v>
      </c>
      <c r="J11" s="1" t="n">
        <f aca="false">DAY(L11)</f>
        <v>1</v>
      </c>
      <c r="K11" s="1" t="n">
        <f aca="false">MONTH(L11)</f>
        <v>1</v>
      </c>
      <c r="L11" s="23" t="n">
        <f aca="false">'daily graphs'!K11 - I11</f>
        <v>36526</v>
      </c>
      <c r="M11" s="24" t="n">
        <f aca="true">IF(TODAY()&lt;DATE($O$5,K11,J11),1000000,-1000000)</f>
        <v>-1000000</v>
      </c>
      <c r="N11" s="24" t="e">
        <f aca="false">IF(M11&gt;0,INDEX(big_daily_table,MATCH(DATE(O$5,$K11,$J11),daily_dates,0),MATCH($B$3,daily_items,0)),NA())</f>
        <v>#N/A</v>
      </c>
      <c r="O11" s="1" t="e">
        <f aca="false">IF(M11&lt;0,INDEX(big_daily_table,MATCH(DATE(O$5,$K11,$J11),daily_dates,0),MATCH($B$3,daily_items,0)),NA())</f>
        <v>#N/A</v>
      </c>
      <c r="P11" s="1" t="e">
        <f aca="false">IF(ISBLANK(INDEX(big_daily_table,MATCH(DATE(P$5,$K11,$J11),daily_dates,0),MATCH($B$3,daily_items,0))),NA(),INDEX(big_daily_table,MATCH(DATE(P$5,$K11,$J11),daily_dates,0),MATCH($B$3,daily_items,0)))</f>
        <v>#N/A</v>
      </c>
      <c r="Q11" s="1" t="e">
        <f aca="false">IF(ISBLANK(INDEX(big_daily_table,MATCH(DATE(Q$5,$K11,$J11),daily_dates,0),MATCH($B$3,daily_items,0))),NA(),INDEX(big_daily_table,MATCH(DATE(Q$5,$K11,$J11),daily_dates,0),MATCH($B$3,daily_items,0)))</f>
        <v>#N/A</v>
      </c>
      <c r="R11" s="1" t="e">
        <f aca="false">IF(ISBLANK(INDEX(big_daily_table,MATCH(DATE(R$5,$K11,$J11),daily_dates,0),MATCH($B$3,daily_items,0))),NA(),INDEX(big_daily_table,MATCH(DATE(R$5,$K11,$J11),daily_dates,0),MATCH($B$3,daily_items,0)))</f>
        <v>#N/A</v>
      </c>
      <c r="S11" s="1" t="e">
        <f aca="false">IF(ISBLANK(INDEX(big_daily_table,MATCH(DATE(S$5,$K11,$J11),daily_dates,0),MATCH($B$3,daily_items,0))),NA(),INDEX(big_daily_table,MATCH(DATE(S$5,$K11,$J11),daily_dates,0),MATCH($B$3,daily_items,0)))</f>
        <v>#N/A</v>
      </c>
      <c r="T11" s="1" t="e">
        <f aca="false">IF(ISBLANK(INDEX(big_daily_table,MATCH(DATE(T$5,$K11,$J11),daily_dates,0),MATCH($B$3,daily_items,0))),NA(),INDEX(big_daily_table,MATCH(DATE(T$5,$K11,$J11),daily_dates,0),MATCH($B$3,daily_items,0)))</f>
        <v>#N/A</v>
      </c>
      <c r="U11" s="1" t="e">
        <f aca="false">IF(ISBLANK(INDEX(big_daily_table,MATCH(DATE(U$5,$K11,$J11),daily_dates,0),MATCH($B$3,daily_items,0))),NA(),INDEX(big_daily_table,MATCH(DATE(U$5,$K11,$J11),daily_dates,0),MATCH($B$3,daily_items,0)))</f>
        <v>#N/A</v>
      </c>
      <c r="V11" s="1" t="e">
        <f aca="false">IF(ISBLANK(INDEX(big_daily_table,MATCH(DATE(V$5,$K11,$J11),daily_dates,0),MATCH($B$3,daily_items,0))),NA(),INDEX(big_daily_table,MATCH(DATE(V$5,$K11,$J11),daily_dates,0),MATCH($B$3,daily_items,0)))</f>
        <v>#N/A</v>
      </c>
      <c r="W11" s="1" t="e">
        <f aca="false">IF(ISBLANK(INDEX(big_daily_table,MATCH(DATE(W$5,$K11,$J11),daily_dates,0),MATCH($B$3,daily_items,0))),NA(),INDEX(big_daily_table,MATCH(DATE(W$5,$K11,$J11),daily_dates,0),MATCH($B$3,daily_items,0)))</f>
        <v>#N/A</v>
      </c>
      <c r="X11" s="1" t="e">
        <f aca="false">IF(ISBLANK(INDEX(big_daily_table,MATCH(DATE(X$5,$K11,$J11),daily_dates,0),MATCH($B$3,daily_items,0))),NA(),INDEX(big_daily_table,MATCH(DATE(X$5,$K11,$J11),daily_dates,0),MATCH($B$3,daily_items,0)))</f>
        <v>#N/A</v>
      </c>
      <c r="Y11" s="1" t="e">
        <f aca="false">IF(ISBLANK(INDEX(big_daily_table,MATCH(DATE(Y$5,$K11,$J11),daily_dates,0),MATCH($B$3,daily_items,0))),NA(),INDEX(big_daily_table,MATCH(DATE(Y$5,$K11,$J11),daily_dates,0),MATCH($B$3,daily_items,0)))</f>
        <v>#N/A</v>
      </c>
      <c r="Z11" s="1" t="e">
        <f aca="false">IF(ISBLANK(INDEX(big_daily_table,MATCH(DATE(Z$5,$K11,$J11),daily_dates,0),MATCH($B$3,daily_items,0))),NA(),INDEX(big_daily_table,MATCH(DATE(Z$5,$K11,$J11),daily_dates,0),MATCH($B$3,daily_items,0)))</f>
        <v>#N/A</v>
      </c>
      <c r="AA11" s="1" t="n">
        <f aca="true">_xlfn.AGGREGATE(5,6,OFFSET($S$5,H11,0,1,$K$2))</f>
        <v>0</v>
      </c>
      <c r="AB11" s="1" t="n">
        <f aca="true">_xlfn.AGGREGATE(4,6,OFFSET($S$5,H11,0,1,$K$2))</f>
        <v>0</v>
      </c>
      <c r="AC11" s="1" t="n">
        <f aca="false">AB11-AA11</f>
        <v>0</v>
      </c>
      <c r="AD11" s="1" t="e">
        <f aca="true">_xlfn.AGGREGATE(1,6,OFFSET($S$5,H11,0,1,$K$2))</f>
        <v>#DIV/0!</v>
      </c>
    </row>
    <row r="12" customFormat="false" ht="14.25" hidden="false" customHeight="false" outlineLevel="0" collapsed="false">
      <c r="H12" s="1" t="n">
        <f aca="false">H11+1</f>
        <v>7</v>
      </c>
      <c r="I12" s="1" t="n">
        <f aca="false">WEEKDAY('daily graphs'!K12)</f>
        <v>6</v>
      </c>
      <c r="J12" s="1" t="n">
        <f aca="false">DAY(L12)</f>
        <v>1</v>
      </c>
      <c r="K12" s="1" t="n">
        <f aca="false">MONTH(L12)</f>
        <v>1</v>
      </c>
      <c r="L12" s="23" t="n">
        <f aca="false">'daily graphs'!K12 - I12</f>
        <v>36526</v>
      </c>
      <c r="M12" s="24" t="n">
        <f aca="true">IF(TODAY()&lt;DATE($O$5,K12,J12),1000000,-1000000)</f>
        <v>-1000000</v>
      </c>
      <c r="N12" s="24" t="e">
        <f aca="false">IF(M12&gt;0,INDEX(big_daily_table,MATCH(DATE(O$5,$K12,$J12),daily_dates,0),MATCH($B$3,daily_items,0)),NA())</f>
        <v>#N/A</v>
      </c>
      <c r="O12" s="1" t="e">
        <f aca="false">IF(M12&lt;0,INDEX(big_daily_table,MATCH(DATE(O$5,$K12,$J12),daily_dates,0),MATCH($B$3,daily_items,0)),NA())</f>
        <v>#N/A</v>
      </c>
      <c r="P12" s="1" t="e">
        <f aca="false">IF(ISBLANK(INDEX(big_daily_table,MATCH(DATE(P$5,$K12,$J12),daily_dates,0),MATCH($B$3,daily_items,0))),NA(),INDEX(big_daily_table,MATCH(DATE(P$5,$K12,$J12),daily_dates,0),MATCH($B$3,daily_items,0)))</f>
        <v>#N/A</v>
      </c>
      <c r="Q12" s="1" t="e">
        <f aca="false">IF(ISBLANK(INDEX(big_daily_table,MATCH(DATE(Q$5,$K12,$J12),daily_dates,0),MATCH($B$3,daily_items,0))),NA(),INDEX(big_daily_table,MATCH(DATE(Q$5,$K12,$J12),daily_dates,0),MATCH($B$3,daily_items,0)))</f>
        <v>#N/A</v>
      </c>
      <c r="R12" s="1" t="e">
        <f aca="false">IF(ISBLANK(INDEX(big_daily_table,MATCH(DATE(R$5,$K12,$J12),daily_dates,0),MATCH($B$3,daily_items,0))),NA(),INDEX(big_daily_table,MATCH(DATE(R$5,$K12,$J12),daily_dates,0),MATCH($B$3,daily_items,0)))</f>
        <v>#N/A</v>
      </c>
      <c r="S12" s="1" t="e">
        <f aca="false">IF(ISBLANK(INDEX(big_daily_table,MATCH(DATE(S$5,$K12,$J12),daily_dates,0),MATCH($B$3,daily_items,0))),NA(),INDEX(big_daily_table,MATCH(DATE(S$5,$K12,$J12),daily_dates,0),MATCH($B$3,daily_items,0)))</f>
        <v>#N/A</v>
      </c>
      <c r="T12" s="1" t="e">
        <f aca="false">IF(ISBLANK(INDEX(big_daily_table,MATCH(DATE(T$5,$K12,$J12),daily_dates,0),MATCH($B$3,daily_items,0))),NA(),INDEX(big_daily_table,MATCH(DATE(T$5,$K12,$J12),daily_dates,0),MATCH($B$3,daily_items,0)))</f>
        <v>#N/A</v>
      </c>
      <c r="U12" s="1" t="e">
        <f aca="false">IF(ISBLANK(INDEX(big_daily_table,MATCH(DATE(U$5,$K12,$J12),daily_dates,0),MATCH($B$3,daily_items,0))),NA(),INDEX(big_daily_table,MATCH(DATE(U$5,$K12,$J12),daily_dates,0),MATCH($B$3,daily_items,0)))</f>
        <v>#N/A</v>
      </c>
      <c r="V12" s="1" t="e">
        <f aca="false">IF(ISBLANK(INDEX(big_daily_table,MATCH(DATE(V$5,$K12,$J12),daily_dates,0),MATCH($B$3,daily_items,0))),NA(),INDEX(big_daily_table,MATCH(DATE(V$5,$K12,$J12),daily_dates,0),MATCH($B$3,daily_items,0)))</f>
        <v>#N/A</v>
      </c>
      <c r="W12" s="1" t="e">
        <f aca="false">IF(ISBLANK(INDEX(big_daily_table,MATCH(DATE(W$5,$K12,$J12),daily_dates,0),MATCH($B$3,daily_items,0))),NA(),INDEX(big_daily_table,MATCH(DATE(W$5,$K12,$J12),daily_dates,0),MATCH($B$3,daily_items,0)))</f>
        <v>#N/A</v>
      </c>
      <c r="X12" s="1" t="e">
        <f aca="false">IF(ISBLANK(INDEX(big_daily_table,MATCH(DATE(X$5,$K12,$J12),daily_dates,0),MATCH($B$3,daily_items,0))),NA(),INDEX(big_daily_table,MATCH(DATE(X$5,$K12,$J12),daily_dates,0),MATCH($B$3,daily_items,0)))</f>
        <v>#N/A</v>
      </c>
      <c r="Y12" s="1" t="e">
        <f aca="false">IF(ISBLANK(INDEX(big_daily_table,MATCH(DATE(Y$5,$K12,$J12),daily_dates,0),MATCH($B$3,daily_items,0))),NA(),INDEX(big_daily_table,MATCH(DATE(Y$5,$K12,$J12),daily_dates,0),MATCH($B$3,daily_items,0)))</f>
        <v>#N/A</v>
      </c>
      <c r="Z12" s="1" t="e">
        <f aca="false">IF(ISBLANK(INDEX(big_daily_table,MATCH(DATE(Z$5,$K12,$J12),daily_dates,0),MATCH($B$3,daily_items,0))),NA(),INDEX(big_daily_table,MATCH(DATE(Z$5,$K12,$J12),daily_dates,0),MATCH($B$3,daily_items,0)))</f>
        <v>#N/A</v>
      </c>
      <c r="AA12" s="1" t="n">
        <f aca="true">_xlfn.AGGREGATE(5,6,OFFSET($S$5,H12,0,1,$K$2))</f>
        <v>0</v>
      </c>
      <c r="AB12" s="1" t="n">
        <f aca="true">_xlfn.AGGREGATE(4,6,OFFSET($S$5,H12,0,1,$K$2))</f>
        <v>0</v>
      </c>
      <c r="AC12" s="1" t="n">
        <f aca="false">AB12-AA12</f>
        <v>0</v>
      </c>
      <c r="AD12" s="1" t="e">
        <f aca="true">_xlfn.AGGREGATE(1,6,OFFSET($S$5,H12,0,1,$K$2))</f>
        <v>#DIV/0!</v>
      </c>
    </row>
    <row r="13" customFormat="false" ht="14.25" hidden="false" customHeight="false" outlineLevel="0" collapsed="false">
      <c r="H13" s="1" t="n">
        <f aca="false">H12+1</f>
        <v>8</v>
      </c>
      <c r="I13" s="1" t="n">
        <f aca="false">WEEKDAY('daily graphs'!K13)</f>
        <v>7</v>
      </c>
      <c r="J13" s="1" t="n">
        <f aca="false">DAY(L13)</f>
        <v>1</v>
      </c>
      <c r="K13" s="1" t="n">
        <f aca="false">MONTH(L13)</f>
        <v>1</v>
      </c>
      <c r="L13" s="23" t="n">
        <f aca="false">'daily graphs'!K13 - I13</f>
        <v>36526</v>
      </c>
      <c r="M13" s="24" t="n">
        <f aca="true">IF(TODAY()&lt;DATE($O$5,K13,J13),1000000,-1000000)</f>
        <v>-1000000</v>
      </c>
      <c r="N13" s="24" t="e">
        <f aca="false">IF(M13&gt;0,INDEX(big_daily_table,MATCH(DATE(O$5,$K13,$J13),daily_dates,0),MATCH($B$3,daily_items,0)),NA())</f>
        <v>#N/A</v>
      </c>
      <c r="O13" s="1" t="e">
        <f aca="false">IF(M13&lt;0,INDEX(big_daily_table,MATCH(DATE(O$5,$K13,$J13),daily_dates,0),MATCH($B$3,daily_items,0)),NA())</f>
        <v>#N/A</v>
      </c>
      <c r="P13" s="1" t="e">
        <f aca="false">IF(ISBLANK(INDEX(big_daily_table,MATCH(DATE(P$5,$K13,$J13),daily_dates,0),MATCH($B$3,daily_items,0))),NA(),INDEX(big_daily_table,MATCH(DATE(P$5,$K13,$J13),daily_dates,0),MATCH($B$3,daily_items,0)))</f>
        <v>#N/A</v>
      </c>
      <c r="Q13" s="1" t="e">
        <f aca="false">IF(ISBLANK(INDEX(big_daily_table,MATCH(DATE(Q$5,$K13,$J13),daily_dates,0),MATCH($B$3,daily_items,0))),NA(),INDEX(big_daily_table,MATCH(DATE(Q$5,$K13,$J13),daily_dates,0),MATCH($B$3,daily_items,0)))</f>
        <v>#N/A</v>
      </c>
      <c r="R13" s="1" t="e">
        <f aca="false">IF(ISBLANK(INDEX(big_daily_table,MATCH(DATE(R$5,$K13,$J13),daily_dates,0),MATCH($B$3,daily_items,0))),NA(),INDEX(big_daily_table,MATCH(DATE(R$5,$K13,$J13),daily_dates,0),MATCH($B$3,daily_items,0)))</f>
        <v>#N/A</v>
      </c>
      <c r="S13" s="1" t="e">
        <f aca="false">IF(ISBLANK(INDEX(big_daily_table,MATCH(DATE(S$5,$K13,$J13),daily_dates,0),MATCH($B$3,daily_items,0))),NA(),INDEX(big_daily_table,MATCH(DATE(S$5,$K13,$J13),daily_dates,0),MATCH($B$3,daily_items,0)))</f>
        <v>#N/A</v>
      </c>
      <c r="T13" s="1" t="e">
        <f aca="false">IF(ISBLANK(INDEX(big_daily_table,MATCH(DATE(T$5,$K13,$J13),daily_dates,0),MATCH($B$3,daily_items,0))),NA(),INDEX(big_daily_table,MATCH(DATE(T$5,$K13,$J13),daily_dates,0),MATCH($B$3,daily_items,0)))</f>
        <v>#N/A</v>
      </c>
      <c r="U13" s="1" t="e">
        <f aca="false">IF(ISBLANK(INDEX(big_daily_table,MATCH(DATE(U$5,$K13,$J13),daily_dates,0),MATCH($B$3,daily_items,0))),NA(),INDEX(big_daily_table,MATCH(DATE(U$5,$K13,$J13),daily_dates,0),MATCH($B$3,daily_items,0)))</f>
        <v>#N/A</v>
      </c>
      <c r="V13" s="1" t="e">
        <f aca="false">IF(ISBLANK(INDEX(big_daily_table,MATCH(DATE(V$5,$K13,$J13),daily_dates,0),MATCH($B$3,daily_items,0))),NA(),INDEX(big_daily_table,MATCH(DATE(V$5,$K13,$J13),daily_dates,0),MATCH($B$3,daily_items,0)))</f>
        <v>#N/A</v>
      </c>
      <c r="W13" s="1" t="e">
        <f aca="false">IF(ISBLANK(INDEX(big_daily_table,MATCH(DATE(W$5,$K13,$J13),daily_dates,0),MATCH($B$3,daily_items,0))),NA(),INDEX(big_daily_table,MATCH(DATE(W$5,$K13,$J13),daily_dates,0),MATCH($B$3,daily_items,0)))</f>
        <v>#N/A</v>
      </c>
      <c r="X13" s="1" t="e">
        <f aca="false">IF(ISBLANK(INDEX(big_daily_table,MATCH(DATE(X$5,$K13,$J13),daily_dates,0),MATCH($B$3,daily_items,0))),NA(),INDEX(big_daily_table,MATCH(DATE(X$5,$K13,$J13),daily_dates,0),MATCH($B$3,daily_items,0)))</f>
        <v>#N/A</v>
      </c>
      <c r="Y13" s="1" t="e">
        <f aca="false">IF(ISBLANK(INDEX(big_daily_table,MATCH(DATE(Y$5,$K13,$J13),daily_dates,0),MATCH($B$3,daily_items,0))),NA(),INDEX(big_daily_table,MATCH(DATE(Y$5,$K13,$J13),daily_dates,0),MATCH($B$3,daily_items,0)))</f>
        <v>#N/A</v>
      </c>
      <c r="Z13" s="1" t="e">
        <f aca="false">IF(ISBLANK(INDEX(big_daily_table,MATCH(DATE(Z$5,$K13,$J13),daily_dates,0),MATCH($B$3,daily_items,0))),NA(),INDEX(big_daily_table,MATCH(DATE(Z$5,$K13,$J13),daily_dates,0),MATCH($B$3,daily_items,0)))</f>
        <v>#N/A</v>
      </c>
      <c r="AA13" s="1" t="n">
        <f aca="true">_xlfn.AGGREGATE(5,6,OFFSET($S$5,H13,0,1,$K$2))</f>
        <v>0</v>
      </c>
      <c r="AB13" s="1" t="n">
        <f aca="true">_xlfn.AGGREGATE(4,6,OFFSET($S$5,H13,0,1,$K$2))</f>
        <v>0</v>
      </c>
      <c r="AC13" s="1" t="n">
        <f aca="false">AB13-AA13</f>
        <v>0</v>
      </c>
      <c r="AD13" s="1" t="e">
        <f aca="true">_xlfn.AGGREGATE(1,6,OFFSET($S$5,H13,0,1,$K$2))</f>
        <v>#DIV/0!</v>
      </c>
    </row>
    <row r="14" customFormat="false" ht="14.25" hidden="false" customHeight="false" outlineLevel="0" collapsed="false">
      <c r="H14" s="1" t="n">
        <f aca="false">H13+1</f>
        <v>9</v>
      </c>
      <c r="I14" s="1" t="n">
        <f aca="false">WEEKDAY('daily graphs'!K14)</f>
        <v>1</v>
      </c>
      <c r="J14" s="1" t="n">
        <f aca="false">DAY(L14)</f>
        <v>8</v>
      </c>
      <c r="K14" s="1" t="n">
        <f aca="false">MONTH(L14)</f>
        <v>1</v>
      </c>
      <c r="L14" s="23" t="n">
        <f aca="false">'daily graphs'!K14 - I14</f>
        <v>36533</v>
      </c>
      <c r="M14" s="24" t="n">
        <f aca="true">IF(TODAY()&lt;DATE($O$5,K14,J14),1000000,-1000000)</f>
        <v>-1000000</v>
      </c>
      <c r="N14" s="24" t="e">
        <f aca="false">IF(M14&gt;0,INDEX(big_daily_table,MATCH(DATE(O$5,$K14,$J14),daily_dates,0),MATCH($B$3,daily_items,0)),NA())</f>
        <v>#N/A</v>
      </c>
      <c r="O14" s="1" t="e">
        <f aca="false">IF(M14&lt;0,INDEX(big_daily_table,MATCH(DATE(O$5,$K14,$J14),daily_dates,0),MATCH($B$3,daily_items,0)),NA())</f>
        <v>#N/A</v>
      </c>
      <c r="P14" s="1" t="e">
        <f aca="false">IF(ISBLANK(INDEX(big_daily_table,MATCH(DATE(P$5,$K14,$J14),daily_dates,0),MATCH($B$3,daily_items,0))),NA(),INDEX(big_daily_table,MATCH(DATE(P$5,$K14,$J14),daily_dates,0),MATCH($B$3,daily_items,0)))</f>
        <v>#N/A</v>
      </c>
      <c r="Q14" s="1" t="e">
        <f aca="false">IF(ISBLANK(INDEX(big_daily_table,MATCH(DATE(Q$5,$K14,$J14),daily_dates,0),MATCH($B$3,daily_items,0))),NA(),INDEX(big_daily_table,MATCH(DATE(Q$5,$K14,$J14),daily_dates,0),MATCH($B$3,daily_items,0)))</f>
        <v>#N/A</v>
      </c>
      <c r="R14" s="1" t="e">
        <f aca="false">IF(ISBLANK(INDEX(big_daily_table,MATCH(DATE(R$5,$K14,$J14),daily_dates,0),MATCH($B$3,daily_items,0))),NA(),INDEX(big_daily_table,MATCH(DATE(R$5,$K14,$J14),daily_dates,0),MATCH($B$3,daily_items,0)))</f>
        <v>#N/A</v>
      </c>
      <c r="S14" s="1" t="e">
        <f aca="false">IF(ISBLANK(INDEX(big_daily_table,MATCH(DATE(S$5,$K14,$J14),daily_dates,0),MATCH($B$3,daily_items,0))),NA(),INDEX(big_daily_table,MATCH(DATE(S$5,$K14,$J14),daily_dates,0),MATCH($B$3,daily_items,0)))</f>
        <v>#N/A</v>
      </c>
      <c r="T14" s="1" t="e">
        <f aca="false">IF(ISBLANK(INDEX(big_daily_table,MATCH(DATE(T$5,$K14,$J14),daily_dates,0),MATCH($B$3,daily_items,0))),NA(),INDEX(big_daily_table,MATCH(DATE(T$5,$K14,$J14),daily_dates,0),MATCH($B$3,daily_items,0)))</f>
        <v>#N/A</v>
      </c>
      <c r="U14" s="1" t="e">
        <f aca="false">IF(ISBLANK(INDEX(big_daily_table,MATCH(DATE(U$5,$K14,$J14),daily_dates,0),MATCH($B$3,daily_items,0))),NA(),INDEX(big_daily_table,MATCH(DATE(U$5,$K14,$J14),daily_dates,0),MATCH($B$3,daily_items,0)))</f>
        <v>#N/A</v>
      </c>
      <c r="V14" s="1" t="e">
        <f aca="false">IF(ISBLANK(INDEX(big_daily_table,MATCH(DATE(V$5,$K14,$J14),daily_dates,0),MATCH($B$3,daily_items,0))),NA(),INDEX(big_daily_table,MATCH(DATE(V$5,$K14,$J14),daily_dates,0),MATCH($B$3,daily_items,0)))</f>
        <v>#N/A</v>
      </c>
      <c r="W14" s="1" t="e">
        <f aca="false">IF(ISBLANK(INDEX(big_daily_table,MATCH(DATE(W$5,$K14,$J14),daily_dates,0),MATCH($B$3,daily_items,0))),NA(),INDEX(big_daily_table,MATCH(DATE(W$5,$K14,$J14),daily_dates,0),MATCH($B$3,daily_items,0)))</f>
        <v>#N/A</v>
      </c>
      <c r="X14" s="1" t="e">
        <f aca="false">IF(ISBLANK(INDEX(big_daily_table,MATCH(DATE(X$5,$K14,$J14),daily_dates,0),MATCH($B$3,daily_items,0))),NA(),INDEX(big_daily_table,MATCH(DATE(X$5,$K14,$J14),daily_dates,0),MATCH($B$3,daily_items,0)))</f>
        <v>#N/A</v>
      </c>
      <c r="Y14" s="1" t="e">
        <f aca="false">IF(ISBLANK(INDEX(big_daily_table,MATCH(DATE(Y$5,$K14,$J14),daily_dates,0),MATCH($B$3,daily_items,0))),NA(),INDEX(big_daily_table,MATCH(DATE(Y$5,$K14,$J14),daily_dates,0),MATCH($B$3,daily_items,0)))</f>
        <v>#N/A</v>
      </c>
      <c r="Z14" s="1" t="e">
        <f aca="false">IF(ISBLANK(INDEX(big_daily_table,MATCH(DATE(Z$5,$K14,$J14),daily_dates,0),MATCH($B$3,daily_items,0))),NA(),INDEX(big_daily_table,MATCH(DATE(Z$5,$K14,$J14),daily_dates,0),MATCH($B$3,daily_items,0)))</f>
        <v>#N/A</v>
      </c>
      <c r="AA14" s="1" t="n">
        <f aca="true">_xlfn.AGGREGATE(5,6,OFFSET($S$5,H14,0,1,$K$2))</f>
        <v>0</v>
      </c>
      <c r="AB14" s="1" t="n">
        <f aca="true">_xlfn.AGGREGATE(4,6,OFFSET($S$5,H14,0,1,$K$2))</f>
        <v>0</v>
      </c>
      <c r="AC14" s="1" t="n">
        <f aca="false">AB14-AA14</f>
        <v>0</v>
      </c>
      <c r="AD14" s="1" t="e">
        <f aca="true">_xlfn.AGGREGATE(1,6,OFFSET($S$5,H14,0,1,$K$2))</f>
        <v>#DIV/0!</v>
      </c>
    </row>
    <row r="15" customFormat="false" ht="14.25" hidden="false" customHeight="false" outlineLevel="0" collapsed="false">
      <c r="H15" s="1" t="n">
        <f aca="false">H14+1</f>
        <v>10</v>
      </c>
      <c r="I15" s="1" t="n">
        <f aca="false">WEEKDAY('daily graphs'!K15)</f>
        <v>2</v>
      </c>
      <c r="J15" s="1" t="n">
        <f aca="false">DAY(L15)</f>
        <v>8</v>
      </c>
      <c r="K15" s="1" t="n">
        <f aca="false">MONTH(L15)</f>
        <v>1</v>
      </c>
      <c r="L15" s="23" t="n">
        <f aca="false">'daily graphs'!K15 - I15</f>
        <v>36533</v>
      </c>
      <c r="M15" s="24" t="n">
        <f aca="true">IF(TODAY()&lt;DATE($O$5,K15,J15),1000000,-1000000)</f>
        <v>-1000000</v>
      </c>
      <c r="N15" s="24" t="e">
        <f aca="false">IF(M15&gt;0,INDEX(big_daily_table,MATCH(DATE(O$5,$K15,$J15),daily_dates,0),MATCH($B$3,daily_items,0)),NA())</f>
        <v>#N/A</v>
      </c>
      <c r="O15" s="1" t="e">
        <f aca="false">IF(M15&lt;0,INDEX(big_daily_table,MATCH(DATE(O$5,$K15,$J15),daily_dates,0),MATCH($B$3,daily_items,0)),NA())</f>
        <v>#N/A</v>
      </c>
      <c r="P15" s="1" t="e">
        <f aca="false">IF(ISBLANK(INDEX(big_daily_table,MATCH(DATE(P$5,$K15,$J15),daily_dates,0),MATCH($B$3,daily_items,0))),NA(),INDEX(big_daily_table,MATCH(DATE(P$5,$K15,$J15),daily_dates,0),MATCH($B$3,daily_items,0)))</f>
        <v>#N/A</v>
      </c>
      <c r="Q15" s="1" t="e">
        <f aca="false">IF(ISBLANK(INDEX(big_daily_table,MATCH(DATE(Q$5,$K15,$J15),daily_dates,0),MATCH($B$3,daily_items,0))),NA(),INDEX(big_daily_table,MATCH(DATE(Q$5,$K15,$J15),daily_dates,0),MATCH($B$3,daily_items,0)))</f>
        <v>#N/A</v>
      </c>
      <c r="R15" s="1" t="e">
        <f aca="false">IF(ISBLANK(INDEX(big_daily_table,MATCH(DATE(R$5,$K15,$J15),daily_dates,0),MATCH($B$3,daily_items,0))),NA(),INDEX(big_daily_table,MATCH(DATE(R$5,$K15,$J15),daily_dates,0),MATCH($B$3,daily_items,0)))</f>
        <v>#N/A</v>
      </c>
      <c r="S15" s="1" t="e">
        <f aca="false">IF(ISBLANK(INDEX(big_daily_table,MATCH(DATE(S$5,$K15,$J15),daily_dates,0),MATCH($B$3,daily_items,0))),NA(),INDEX(big_daily_table,MATCH(DATE(S$5,$K15,$J15),daily_dates,0),MATCH($B$3,daily_items,0)))</f>
        <v>#N/A</v>
      </c>
      <c r="T15" s="1" t="e">
        <f aca="false">IF(ISBLANK(INDEX(big_daily_table,MATCH(DATE(T$5,$K15,$J15),daily_dates,0),MATCH($B$3,daily_items,0))),NA(),INDEX(big_daily_table,MATCH(DATE(T$5,$K15,$J15),daily_dates,0),MATCH($B$3,daily_items,0)))</f>
        <v>#N/A</v>
      </c>
      <c r="U15" s="1" t="e">
        <f aca="false">IF(ISBLANK(INDEX(big_daily_table,MATCH(DATE(U$5,$K15,$J15),daily_dates,0),MATCH($B$3,daily_items,0))),NA(),INDEX(big_daily_table,MATCH(DATE(U$5,$K15,$J15),daily_dates,0),MATCH($B$3,daily_items,0)))</f>
        <v>#N/A</v>
      </c>
      <c r="V15" s="1" t="e">
        <f aca="false">IF(ISBLANK(INDEX(big_daily_table,MATCH(DATE(V$5,$K15,$J15),daily_dates,0),MATCH($B$3,daily_items,0))),NA(),INDEX(big_daily_table,MATCH(DATE(V$5,$K15,$J15),daily_dates,0),MATCH($B$3,daily_items,0)))</f>
        <v>#N/A</v>
      </c>
      <c r="W15" s="1" t="e">
        <f aca="false">IF(ISBLANK(INDEX(big_daily_table,MATCH(DATE(W$5,$K15,$J15),daily_dates,0),MATCH($B$3,daily_items,0))),NA(),INDEX(big_daily_table,MATCH(DATE(W$5,$K15,$J15),daily_dates,0),MATCH($B$3,daily_items,0)))</f>
        <v>#N/A</v>
      </c>
      <c r="X15" s="1" t="e">
        <f aca="false">IF(ISBLANK(INDEX(big_daily_table,MATCH(DATE(X$5,$K15,$J15),daily_dates,0),MATCH($B$3,daily_items,0))),NA(),INDEX(big_daily_table,MATCH(DATE(X$5,$K15,$J15),daily_dates,0),MATCH($B$3,daily_items,0)))</f>
        <v>#N/A</v>
      </c>
      <c r="Y15" s="1" t="e">
        <f aca="false">IF(ISBLANK(INDEX(big_daily_table,MATCH(DATE(Y$5,$K15,$J15),daily_dates,0),MATCH($B$3,daily_items,0))),NA(),INDEX(big_daily_table,MATCH(DATE(Y$5,$K15,$J15),daily_dates,0),MATCH($B$3,daily_items,0)))</f>
        <v>#N/A</v>
      </c>
      <c r="Z15" s="1" t="e">
        <f aca="false">IF(ISBLANK(INDEX(big_daily_table,MATCH(DATE(Z$5,$K15,$J15),daily_dates,0),MATCH($B$3,daily_items,0))),NA(),INDEX(big_daily_table,MATCH(DATE(Z$5,$K15,$J15),daily_dates,0),MATCH($B$3,daily_items,0)))</f>
        <v>#N/A</v>
      </c>
      <c r="AA15" s="1" t="n">
        <f aca="true">_xlfn.AGGREGATE(5,6,OFFSET($S$5,H15,0,1,$K$2))</f>
        <v>0</v>
      </c>
      <c r="AB15" s="1" t="n">
        <f aca="true">_xlfn.AGGREGATE(4,6,OFFSET($S$5,H15,0,1,$K$2))</f>
        <v>0</v>
      </c>
      <c r="AC15" s="1" t="n">
        <f aca="false">AB15-AA15</f>
        <v>0</v>
      </c>
      <c r="AD15" s="1" t="e">
        <f aca="true">_xlfn.AGGREGATE(1,6,OFFSET($S$5,H15,0,1,$K$2))</f>
        <v>#DIV/0!</v>
      </c>
    </row>
    <row r="16" customFormat="false" ht="14.25" hidden="false" customHeight="false" outlineLevel="0" collapsed="false">
      <c r="H16" s="1" t="n">
        <f aca="false">H15+1</f>
        <v>11</v>
      </c>
      <c r="I16" s="1" t="n">
        <f aca="false">WEEKDAY('daily graphs'!K16)</f>
        <v>3</v>
      </c>
      <c r="J16" s="1" t="n">
        <f aca="false">DAY(L16)</f>
        <v>8</v>
      </c>
      <c r="K16" s="1" t="n">
        <f aca="false">MONTH(L16)</f>
        <v>1</v>
      </c>
      <c r="L16" s="23" t="n">
        <f aca="false">'daily graphs'!K16 - I16</f>
        <v>36533</v>
      </c>
      <c r="M16" s="24" t="n">
        <f aca="true">IF(TODAY()&lt;DATE($O$5,K16,J16),1000000,-1000000)</f>
        <v>-1000000</v>
      </c>
      <c r="N16" s="24" t="e">
        <f aca="false">IF(M16&gt;0,INDEX(big_daily_table,MATCH(DATE(O$5,$K16,$J16),daily_dates,0),MATCH($B$3,daily_items,0)),NA())</f>
        <v>#N/A</v>
      </c>
      <c r="O16" s="1" t="e">
        <f aca="false">IF(M16&lt;0,INDEX(big_daily_table,MATCH(DATE(O$5,$K16,$J16),daily_dates,0),MATCH($B$3,daily_items,0)),NA())</f>
        <v>#N/A</v>
      </c>
      <c r="P16" s="1" t="e">
        <f aca="false">IF(ISBLANK(INDEX(big_daily_table,MATCH(DATE(P$5,$K16,$J16),daily_dates,0),MATCH($B$3,daily_items,0))),NA(),INDEX(big_daily_table,MATCH(DATE(P$5,$K16,$J16),daily_dates,0),MATCH($B$3,daily_items,0)))</f>
        <v>#N/A</v>
      </c>
      <c r="Q16" s="1" t="e">
        <f aca="false">IF(ISBLANK(INDEX(big_daily_table,MATCH(DATE(Q$5,$K16,$J16),daily_dates,0),MATCH($B$3,daily_items,0))),NA(),INDEX(big_daily_table,MATCH(DATE(Q$5,$K16,$J16),daily_dates,0),MATCH($B$3,daily_items,0)))</f>
        <v>#N/A</v>
      </c>
      <c r="R16" s="1" t="e">
        <f aca="false">IF(ISBLANK(INDEX(big_daily_table,MATCH(DATE(R$5,$K16,$J16),daily_dates,0),MATCH($B$3,daily_items,0))),NA(),INDEX(big_daily_table,MATCH(DATE(R$5,$K16,$J16),daily_dates,0),MATCH($B$3,daily_items,0)))</f>
        <v>#N/A</v>
      </c>
      <c r="S16" s="1" t="e">
        <f aca="false">IF(ISBLANK(INDEX(big_daily_table,MATCH(DATE(S$5,$K16,$J16),daily_dates,0),MATCH($B$3,daily_items,0))),NA(),INDEX(big_daily_table,MATCH(DATE(S$5,$K16,$J16),daily_dates,0),MATCH($B$3,daily_items,0)))</f>
        <v>#N/A</v>
      </c>
      <c r="T16" s="1" t="e">
        <f aca="false">IF(ISBLANK(INDEX(big_daily_table,MATCH(DATE(T$5,$K16,$J16),daily_dates,0),MATCH($B$3,daily_items,0))),NA(),INDEX(big_daily_table,MATCH(DATE(T$5,$K16,$J16),daily_dates,0),MATCH($B$3,daily_items,0)))</f>
        <v>#N/A</v>
      </c>
      <c r="U16" s="1" t="e">
        <f aca="false">IF(ISBLANK(INDEX(big_daily_table,MATCH(DATE(U$5,$K16,$J16),daily_dates,0),MATCH($B$3,daily_items,0))),NA(),INDEX(big_daily_table,MATCH(DATE(U$5,$K16,$J16),daily_dates,0),MATCH($B$3,daily_items,0)))</f>
        <v>#N/A</v>
      </c>
      <c r="V16" s="1" t="e">
        <f aca="false">IF(ISBLANK(INDEX(big_daily_table,MATCH(DATE(V$5,$K16,$J16),daily_dates,0),MATCH($B$3,daily_items,0))),NA(),INDEX(big_daily_table,MATCH(DATE(V$5,$K16,$J16),daily_dates,0),MATCH($B$3,daily_items,0)))</f>
        <v>#N/A</v>
      </c>
      <c r="W16" s="1" t="e">
        <f aca="false">IF(ISBLANK(INDEX(big_daily_table,MATCH(DATE(W$5,$K16,$J16),daily_dates,0),MATCH($B$3,daily_items,0))),NA(),INDEX(big_daily_table,MATCH(DATE(W$5,$K16,$J16),daily_dates,0),MATCH($B$3,daily_items,0)))</f>
        <v>#N/A</v>
      </c>
      <c r="X16" s="1" t="e">
        <f aca="false">IF(ISBLANK(INDEX(big_daily_table,MATCH(DATE(X$5,$K16,$J16),daily_dates,0),MATCH($B$3,daily_items,0))),NA(),INDEX(big_daily_table,MATCH(DATE(X$5,$K16,$J16),daily_dates,0),MATCH($B$3,daily_items,0)))</f>
        <v>#N/A</v>
      </c>
      <c r="Y16" s="1" t="e">
        <f aca="false">IF(ISBLANK(INDEX(big_daily_table,MATCH(DATE(Y$5,$K16,$J16),daily_dates,0),MATCH($B$3,daily_items,0))),NA(),INDEX(big_daily_table,MATCH(DATE(Y$5,$K16,$J16),daily_dates,0),MATCH($B$3,daily_items,0)))</f>
        <v>#N/A</v>
      </c>
      <c r="Z16" s="1" t="e">
        <f aca="false">IF(ISBLANK(INDEX(big_daily_table,MATCH(DATE(Z$5,$K16,$J16),daily_dates,0),MATCH($B$3,daily_items,0))),NA(),INDEX(big_daily_table,MATCH(DATE(Z$5,$K16,$J16),daily_dates,0),MATCH($B$3,daily_items,0)))</f>
        <v>#N/A</v>
      </c>
      <c r="AA16" s="1" t="n">
        <f aca="true">_xlfn.AGGREGATE(5,6,OFFSET($S$5,H16,0,1,$K$2))</f>
        <v>0</v>
      </c>
      <c r="AB16" s="1" t="n">
        <f aca="true">_xlfn.AGGREGATE(4,6,OFFSET($S$5,H16,0,1,$K$2))</f>
        <v>0</v>
      </c>
      <c r="AC16" s="1" t="n">
        <f aca="false">AB16-AA16</f>
        <v>0</v>
      </c>
      <c r="AD16" s="1" t="e">
        <f aca="true">_xlfn.AGGREGATE(1,6,OFFSET($S$5,H16,0,1,$K$2))</f>
        <v>#DIV/0!</v>
      </c>
    </row>
    <row r="17" customFormat="false" ht="14.25" hidden="false" customHeight="false" outlineLevel="0" collapsed="false">
      <c r="H17" s="1" t="n">
        <f aca="false">H16+1</f>
        <v>12</v>
      </c>
      <c r="I17" s="1" t="n">
        <f aca="false">WEEKDAY('daily graphs'!K17)</f>
        <v>4</v>
      </c>
      <c r="J17" s="1" t="n">
        <f aca="false">DAY(L17)</f>
        <v>8</v>
      </c>
      <c r="K17" s="1" t="n">
        <f aca="false">MONTH(L17)</f>
        <v>1</v>
      </c>
      <c r="L17" s="23" t="n">
        <f aca="false">'daily graphs'!K17 - I17</f>
        <v>36533</v>
      </c>
      <c r="M17" s="24" t="n">
        <f aca="true">IF(TODAY()&lt;DATE($O$5,K17,J17),1000000,-1000000)</f>
        <v>-1000000</v>
      </c>
      <c r="N17" s="24" t="e">
        <f aca="false">IF(M17&gt;0,INDEX(big_daily_table,MATCH(DATE(O$5,$K17,$J17),daily_dates,0),MATCH($B$3,daily_items,0)),NA())</f>
        <v>#N/A</v>
      </c>
      <c r="O17" s="1" t="e">
        <f aca="false">IF(M17&lt;0,INDEX(big_daily_table,MATCH(DATE(O$5,$K17,$J17),daily_dates,0),MATCH($B$3,daily_items,0)),NA())</f>
        <v>#N/A</v>
      </c>
      <c r="P17" s="1" t="e">
        <f aca="false">IF(ISBLANK(INDEX(big_daily_table,MATCH(DATE(P$5,$K17,$J17),daily_dates,0),MATCH($B$3,daily_items,0))),NA(),INDEX(big_daily_table,MATCH(DATE(P$5,$K17,$J17),daily_dates,0),MATCH($B$3,daily_items,0)))</f>
        <v>#N/A</v>
      </c>
      <c r="Q17" s="1" t="e">
        <f aca="false">IF(ISBLANK(INDEX(big_daily_table,MATCH(DATE(Q$5,$K17,$J17),daily_dates,0),MATCH($B$3,daily_items,0))),NA(),INDEX(big_daily_table,MATCH(DATE(Q$5,$K17,$J17),daily_dates,0),MATCH($B$3,daily_items,0)))</f>
        <v>#N/A</v>
      </c>
      <c r="R17" s="1" t="e">
        <f aca="false">IF(ISBLANK(INDEX(big_daily_table,MATCH(DATE(R$5,$K17,$J17),daily_dates,0),MATCH($B$3,daily_items,0))),NA(),INDEX(big_daily_table,MATCH(DATE(R$5,$K17,$J17),daily_dates,0),MATCH($B$3,daily_items,0)))</f>
        <v>#N/A</v>
      </c>
      <c r="S17" s="1" t="e">
        <f aca="false">IF(ISBLANK(INDEX(big_daily_table,MATCH(DATE(S$5,$K17,$J17),daily_dates,0),MATCH($B$3,daily_items,0))),NA(),INDEX(big_daily_table,MATCH(DATE(S$5,$K17,$J17),daily_dates,0),MATCH($B$3,daily_items,0)))</f>
        <v>#N/A</v>
      </c>
      <c r="T17" s="1" t="e">
        <f aca="false">IF(ISBLANK(INDEX(big_daily_table,MATCH(DATE(T$5,$K17,$J17),daily_dates,0),MATCH($B$3,daily_items,0))),NA(),INDEX(big_daily_table,MATCH(DATE(T$5,$K17,$J17),daily_dates,0),MATCH($B$3,daily_items,0)))</f>
        <v>#N/A</v>
      </c>
      <c r="U17" s="1" t="e">
        <f aca="false">IF(ISBLANK(INDEX(big_daily_table,MATCH(DATE(U$5,$K17,$J17),daily_dates,0),MATCH($B$3,daily_items,0))),NA(),INDEX(big_daily_table,MATCH(DATE(U$5,$K17,$J17),daily_dates,0),MATCH($B$3,daily_items,0)))</f>
        <v>#N/A</v>
      </c>
      <c r="V17" s="1" t="e">
        <f aca="false">IF(ISBLANK(INDEX(big_daily_table,MATCH(DATE(V$5,$K17,$J17),daily_dates,0),MATCH($B$3,daily_items,0))),NA(),INDEX(big_daily_table,MATCH(DATE(V$5,$K17,$J17),daily_dates,0),MATCH($B$3,daily_items,0)))</f>
        <v>#N/A</v>
      </c>
      <c r="W17" s="1" t="e">
        <f aca="false">IF(ISBLANK(INDEX(big_daily_table,MATCH(DATE(W$5,$K17,$J17),daily_dates,0),MATCH($B$3,daily_items,0))),NA(),INDEX(big_daily_table,MATCH(DATE(W$5,$K17,$J17),daily_dates,0),MATCH($B$3,daily_items,0)))</f>
        <v>#N/A</v>
      </c>
      <c r="X17" s="1" t="e">
        <f aca="false">IF(ISBLANK(INDEX(big_daily_table,MATCH(DATE(X$5,$K17,$J17),daily_dates,0),MATCH($B$3,daily_items,0))),NA(),INDEX(big_daily_table,MATCH(DATE(X$5,$K17,$J17),daily_dates,0),MATCH($B$3,daily_items,0)))</f>
        <v>#N/A</v>
      </c>
      <c r="Y17" s="1" t="e">
        <f aca="false">IF(ISBLANK(INDEX(big_daily_table,MATCH(DATE(Y$5,$K17,$J17),daily_dates,0),MATCH($B$3,daily_items,0))),NA(),INDEX(big_daily_table,MATCH(DATE(Y$5,$K17,$J17),daily_dates,0),MATCH($B$3,daily_items,0)))</f>
        <v>#N/A</v>
      </c>
      <c r="Z17" s="1" t="e">
        <f aca="false">IF(ISBLANK(INDEX(big_daily_table,MATCH(DATE(Z$5,$K17,$J17),daily_dates,0),MATCH($B$3,daily_items,0))),NA(),INDEX(big_daily_table,MATCH(DATE(Z$5,$K17,$J17),daily_dates,0),MATCH($B$3,daily_items,0)))</f>
        <v>#N/A</v>
      </c>
      <c r="AA17" s="1" t="n">
        <f aca="true">_xlfn.AGGREGATE(5,6,OFFSET($S$5,H17,0,1,$K$2))</f>
        <v>0</v>
      </c>
      <c r="AB17" s="1" t="n">
        <f aca="true">_xlfn.AGGREGATE(4,6,OFFSET($S$5,H17,0,1,$K$2))</f>
        <v>0</v>
      </c>
      <c r="AC17" s="1" t="n">
        <f aca="false">AB17-AA17</f>
        <v>0</v>
      </c>
      <c r="AD17" s="1" t="e">
        <f aca="true">_xlfn.AGGREGATE(1,6,OFFSET($S$5,H17,0,1,$K$2))</f>
        <v>#DIV/0!</v>
      </c>
    </row>
    <row r="18" customFormat="false" ht="14.25" hidden="false" customHeight="false" outlineLevel="0" collapsed="false">
      <c r="H18" s="1" t="n">
        <f aca="false">H17+1</f>
        <v>13</v>
      </c>
      <c r="I18" s="1" t="n">
        <f aca="false">WEEKDAY('daily graphs'!K18)</f>
        <v>5</v>
      </c>
      <c r="J18" s="1" t="n">
        <f aca="false">DAY(L18)</f>
        <v>8</v>
      </c>
      <c r="K18" s="1" t="n">
        <f aca="false">MONTH(L18)</f>
        <v>1</v>
      </c>
      <c r="L18" s="23" t="n">
        <f aca="false">'daily graphs'!K18 - I18</f>
        <v>36533</v>
      </c>
      <c r="M18" s="24" t="n">
        <f aca="true">IF(TODAY()&lt;DATE($O$5,K18,J18),1000000,-1000000)</f>
        <v>-1000000</v>
      </c>
      <c r="N18" s="24" t="e">
        <f aca="false">IF(M18&gt;0,INDEX(big_daily_table,MATCH(DATE(O$5,$K18,$J18),daily_dates,0),MATCH($B$3,daily_items,0)),NA())</f>
        <v>#N/A</v>
      </c>
      <c r="O18" s="1" t="e">
        <f aca="false">IF(M18&lt;0,INDEX(big_daily_table,MATCH(DATE(O$5,$K18,$J18),daily_dates,0),MATCH($B$3,daily_items,0)),NA())</f>
        <v>#N/A</v>
      </c>
      <c r="P18" s="1" t="e">
        <f aca="false">IF(ISBLANK(INDEX(big_daily_table,MATCH(DATE(P$5,$K18,$J18),daily_dates,0),MATCH($B$3,daily_items,0))),NA(),INDEX(big_daily_table,MATCH(DATE(P$5,$K18,$J18),daily_dates,0),MATCH($B$3,daily_items,0)))</f>
        <v>#N/A</v>
      </c>
      <c r="Q18" s="1" t="e">
        <f aca="false">IF(ISBLANK(INDEX(big_daily_table,MATCH(DATE(Q$5,$K18,$J18),daily_dates,0),MATCH($B$3,daily_items,0))),NA(),INDEX(big_daily_table,MATCH(DATE(Q$5,$K18,$J18),daily_dates,0),MATCH($B$3,daily_items,0)))</f>
        <v>#N/A</v>
      </c>
      <c r="R18" s="1" t="e">
        <f aca="false">IF(ISBLANK(INDEX(big_daily_table,MATCH(DATE(R$5,$K18,$J18),daily_dates,0),MATCH($B$3,daily_items,0))),NA(),INDEX(big_daily_table,MATCH(DATE(R$5,$K18,$J18),daily_dates,0),MATCH($B$3,daily_items,0)))</f>
        <v>#N/A</v>
      </c>
      <c r="S18" s="1" t="e">
        <f aca="false">IF(ISBLANK(INDEX(big_daily_table,MATCH(DATE(S$5,$K18,$J18),daily_dates,0),MATCH($B$3,daily_items,0))),NA(),INDEX(big_daily_table,MATCH(DATE(S$5,$K18,$J18),daily_dates,0),MATCH($B$3,daily_items,0)))</f>
        <v>#N/A</v>
      </c>
      <c r="T18" s="1" t="e">
        <f aca="false">IF(ISBLANK(INDEX(big_daily_table,MATCH(DATE(T$5,$K18,$J18),daily_dates,0),MATCH($B$3,daily_items,0))),NA(),INDEX(big_daily_table,MATCH(DATE(T$5,$K18,$J18),daily_dates,0),MATCH($B$3,daily_items,0)))</f>
        <v>#N/A</v>
      </c>
      <c r="U18" s="1" t="e">
        <f aca="false">IF(ISBLANK(INDEX(big_daily_table,MATCH(DATE(U$5,$K18,$J18),daily_dates,0),MATCH($B$3,daily_items,0))),NA(),INDEX(big_daily_table,MATCH(DATE(U$5,$K18,$J18),daily_dates,0),MATCH($B$3,daily_items,0)))</f>
        <v>#N/A</v>
      </c>
      <c r="V18" s="1" t="e">
        <f aca="false">IF(ISBLANK(INDEX(big_daily_table,MATCH(DATE(V$5,$K18,$J18),daily_dates,0),MATCH($B$3,daily_items,0))),NA(),INDEX(big_daily_table,MATCH(DATE(V$5,$K18,$J18),daily_dates,0),MATCH($B$3,daily_items,0)))</f>
        <v>#N/A</v>
      </c>
      <c r="W18" s="1" t="e">
        <f aca="false">IF(ISBLANK(INDEX(big_daily_table,MATCH(DATE(W$5,$K18,$J18),daily_dates,0),MATCH($B$3,daily_items,0))),NA(),INDEX(big_daily_table,MATCH(DATE(W$5,$K18,$J18),daily_dates,0),MATCH($B$3,daily_items,0)))</f>
        <v>#N/A</v>
      </c>
      <c r="X18" s="1" t="e">
        <f aca="false">IF(ISBLANK(INDEX(big_daily_table,MATCH(DATE(X$5,$K18,$J18),daily_dates,0),MATCH($B$3,daily_items,0))),NA(),INDEX(big_daily_table,MATCH(DATE(X$5,$K18,$J18),daily_dates,0),MATCH($B$3,daily_items,0)))</f>
        <v>#N/A</v>
      </c>
      <c r="Y18" s="1" t="e">
        <f aca="false">IF(ISBLANK(INDEX(big_daily_table,MATCH(DATE(Y$5,$K18,$J18),daily_dates,0),MATCH($B$3,daily_items,0))),NA(),INDEX(big_daily_table,MATCH(DATE(Y$5,$K18,$J18),daily_dates,0),MATCH($B$3,daily_items,0)))</f>
        <v>#N/A</v>
      </c>
      <c r="Z18" s="1" t="e">
        <f aca="false">IF(ISBLANK(INDEX(big_daily_table,MATCH(DATE(Z$5,$K18,$J18),daily_dates,0),MATCH($B$3,daily_items,0))),NA(),INDEX(big_daily_table,MATCH(DATE(Z$5,$K18,$J18),daily_dates,0),MATCH($B$3,daily_items,0)))</f>
        <v>#N/A</v>
      </c>
      <c r="AA18" s="1" t="n">
        <f aca="true">_xlfn.AGGREGATE(5,6,OFFSET($S$5,H18,0,1,$K$2))</f>
        <v>0</v>
      </c>
      <c r="AB18" s="1" t="n">
        <f aca="true">_xlfn.AGGREGATE(4,6,OFFSET($S$5,H18,0,1,$K$2))</f>
        <v>0</v>
      </c>
      <c r="AC18" s="1" t="n">
        <f aca="false">AB18-AA18</f>
        <v>0</v>
      </c>
      <c r="AD18" s="1" t="e">
        <f aca="true">_xlfn.AGGREGATE(1,6,OFFSET($S$5,H18,0,1,$K$2))</f>
        <v>#DIV/0!</v>
      </c>
    </row>
    <row r="19" customFormat="false" ht="14.25" hidden="false" customHeight="false" outlineLevel="0" collapsed="false">
      <c r="H19" s="1" t="n">
        <f aca="false">H18+1</f>
        <v>14</v>
      </c>
      <c r="I19" s="1" t="n">
        <f aca="false">WEEKDAY('daily graphs'!K19)</f>
        <v>6</v>
      </c>
      <c r="J19" s="1" t="n">
        <f aca="false">DAY(L19)</f>
        <v>8</v>
      </c>
      <c r="K19" s="1" t="n">
        <f aca="false">MONTH(L19)</f>
        <v>1</v>
      </c>
      <c r="L19" s="23" t="n">
        <f aca="false">'daily graphs'!K19 - I19</f>
        <v>36533</v>
      </c>
      <c r="M19" s="24" t="n">
        <f aca="true">IF(TODAY()&lt;DATE($O$5,K19,J19),1000000,-1000000)</f>
        <v>-1000000</v>
      </c>
      <c r="N19" s="24" t="e">
        <f aca="false">IF(M19&gt;0,INDEX(big_daily_table,MATCH(DATE(O$5,$K19,$J19),daily_dates,0),MATCH($B$3,daily_items,0)),NA())</f>
        <v>#N/A</v>
      </c>
      <c r="O19" s="1" t="e">
        <f aca="false">IF(M19&lt;0,INDEX(big_daily_table,MATCH(DATE(O$5,$K19,$J19),daily_dates,0),MATCH($B$3,daily_items,0)),NA())</f>
        <v>#N/A</v>
      </c>
      <c r="P19" s="1" t="e">
        <f aca="false">IF(ISBLANK(INDEX(big_daily_table,MATCH(DATE(P$5,$K19,$J19),daily_dates,0),MATCH($B$3,daily_items,0))),NA(),INDEX(big_daily_table,MATCH(DATE(P$5,$K19,$J19),daily_dates,0),MATCH($B$3,daily_items,0)))</f>
        <v>#N/A</v>
      </c>
      <c r="Q19" s="1" t="e">
        <f aca="false">IF(ISBLANK(INDEX(big_daily_table,MATCH(DATE(Q$5,$K19,$J19),daily_dates,0),MATCH($B$3,daily_items,0))),NA(),INDEX(big_daily_table,MATCH(DATE(Q$5,$K19,$J19),daily_dates,0),MATCH($B$3,daily_items,0)))</f>
        <v>#N/A</v>
      </c>
      <c r="R19" s="1" t="e">
        <f aca="false">IF(ISBLANK(INDEX(big_daily_table,MATCH(DATE(R$5,$K19,$J19),daily_dates,0),MATCH($B$3,daily_items,0))),NA(),INDEX(big_daily_table,MATCH(DATE(R$5,$K19,$J19),daily_dates,0),MATCH($B$3,daily_items,0)))</f>
        <v>#N/A</v>
      </c>
      <c r="S19" s="1" t="e">
        <f aca="false">IF(ISBLANK(INDEX(big_daily_table,MATCH(DATE(S$5,$K19,$J19),daily_dates,0),MATCH($B$3,daily_items,0))),NA(),INDEX(big_daily_table,MATCH(DATE(S$5,$K19,$J19),daily_dates,0),MATCH($B$3,daily_items,0)))</f>
        <v>#N/A</v>
      </c>
      <c r="T19" s="1" t="e">
        <f aca="false">IF(ISBLANK(INDEX(big_daily_table,MATCH(DATE(T$5,$K19,$J19),daily_dates,0),MATCH($B$3,daily_items,0))),NA(),INDEX(big_daily_table,MATCH(DATE(T$5,$K19,$J19),daily_dates,0),MATCH($B$3,daily_items,0)))</f>
        <v>#N/A</v>
      </c>
      <c r="U19" s="1" t="e">
        <f aca="false">IF(ISBLANK(INDEX(big_daily_table,MATCH(DATE(U$5,$K19,$J19),daily_dates,0),MATCH($B$3,daily_items,0))),NA(),INDEX(big_daily_table,MATCH(DATE(U$5,$K19,$J19),daily_dates,0),MATCH($B$3,daily_items,0)))</f>
        <v>#N/A</v>
      </c>
      <c r="V19" s="1" t="e">
        <f aca="false">IF(ISBLANK(INDEX(big_daily_table,MATCH(DATE(V$5,$K19,$J19),daily_dates,0),MATCH($B$3,daily_items,0))),NA(),INDEX(big_daily_table,MATCH(DATE(V$5,$K19,$J19),daily_dates,0),MATCH($B$3,daily_items,0)))</f>
        <v>#N/A</v>
      </c>
      <c r="W19" s="1" t="e">
        <f aca="false">IF(ISBLANK(INDEX(big_daily_table,MATCH(DATE(W$5,$K19,$J19),daily_dates,0),MATCH($B$3,daily_items,0))),NA(),INDEX(big_daily_table,MATCH(DATE(W$5,$K19,$J19),daily_dates,0),MATCH($B$3,daily_items,0)))</f>
        <v>#N/A</v>
      </c>
      <c r="X19" s="1" t="e">
        <f aca="false">IF(ISBLANK(INDEX(big_daily_table,MATCH(DATE(X$5,$K19,$J19),daily_dates,0),MATCH($B$3,daily_items,0))),NA(),INDEX(big_daily_table,MATCH(DATE(X$5,$K19,$J19),daily_dates,0),MATCH($B$3,daily_items,0)))</f>
        <v>#N/A</v>
      </c>
      <c r="Y19" s="1" t="e">
        <f aca="false">IF(ISBLANK(INDEX(big_daily_table,MATCH(DATE(Y$5,$K19,$J19),daily_dates,0),MATCH($B$3,daily_items,0))),NA(),INDEX(big_daily_table,MATCH(DATE(Y$5,$K19,$J19),daily_dates,0),MATCH($B$3,daily_items,0)))</f>
        <v>#N/A</v>
      </c>
      <c r="Z19" s="1" t="e">
        <f aca="false">IF(ISBLANK(INDEX(big_daily_table,MATCH(DATE(Z$5,$K19,$J19),daily_dates,0),MATCH($B$3,daily_items,0))),NA(),INDEX(big_daily_table,MATCH(DATE(Z$5,$K19,$J19),daily_dates,0),MATCH($B$3,daily_items,0)))</f>
        <v>#N/A</v>
      </c>
      <c r="AA19" s="1" t="n">
        <f aca="true">_xlfn.AGGREGATE(5,6,OFFSET($S$5,H19,0,1,$K$2))</f>
        <v>0</v>
      </c>
      <c r="AB19" s="1" t="n">
        <f aca="true">_xlfn.AGGREGATE(4,6,OFFSET($S$5,H19,0,1,$K$2))</f>
        <v>0</v>
      </c>
      <c r="AC19" s="1" t="n">
        <f aca="false">AB19-AA19</f>
        <v>0</v>
      </c>
      <c r="AD19" s="1" t="e">
        <f aca="true">_xlfn.AGGREGATE(1,6,OFFSET($S$5,H19,0,1,$K$2))</f>
        <v>#DIV/0!</v>
      </c>
    </row>
    <row r="20" customFormat="false" ht="14.25" hidden="false" customHeight="false" outlineLevel="0" collapsed="false">
      <c r="H20" s="1" t="n">
        <f aca="false">H19+1</f>
        <v>15</v>
      </c>
      <c r="I20" s="1" t="n">
        <f aca="false">WEEKDAY('daily graphs'!K20)</f>
        <v>7</v>
      </c>
      <c r="J20" s="1" t="n">
        <f aca="false">DAY(L20)</f>
        <v>8</v>
      </c>
      <c r="K20" s="1" t="n">
        <f aca="false">MONTH(L20)</f>
        <v>1</v>
      </c>
      <c r="L20" s="23" t="n">
        <f aca="false">'daily graphs'!K20 - I20</f>
        <v>36533</v>
      </c>
      <c r="M20" s="24" t="n">
        <f aca="true">IF(TODAY()&lt;DATE($O$5,K20,J20),1000000,-1000000)</f>
        <v>-1000000</v>
      </c>
      <c r="N20" s="24" t="e">
        <f aca="false">IF(M20&gt;0,INDEX(big_daily_table,MATCH(DATE(O$5,$K20,$J20),daily_dates,0),MATCH($B$3,daily_items,0)),NA())</f>
        <v>#N/A</v>
      </c>
      <c r="O20" s="1" t="e">
        <f aca="false">IF(M20&lt;0,INDEX(big_daily_table,MATCH(DATE(O$5,$K20,$J20),daily_dates,0),MATCH($B$3,daily_items,0)),NA())</f>
        <v>#N/A</v>
      </c>
      <c r="P20" s="1" t="e">
        <f aca="false">IF(ISBLANK(INDEX(big_daily_table,MATCH(DATE(P$5,$K20,$J20),daily_dates,0),MATCH($B$3,daily_items,0))),NA(),INDEX(big_daily_table,MATCH(DATE(P$5,$K20,$J20),daily_dates,0),MATCH($B$3,daily_items,0)))</f>
        <v>#N/A</v>
      </c>
      <c r="Q20" s="1" t="e">
        <f aca="false">IF(ISBLANK(INDEX(big_daily_table,MATCH(DATE(Q$5,$K20,$J20),daily_dates,0),MATCH($B$3,daily_items,0))),NA(),INDEX(big_daily_table,MATCH(DATE(Q$5,$K20,$J20),daily_dates,0),MATCH($B$3,daily_items,0)))</f>
        <v>#N/A</v>
      </c>
      <c r="R20" s="1" t="e">
        <f aca="false">IF(ISBLANK(INDEX(big_daily_table,MATCH(DATE(R$5,$K20,$J20),daily_dates,0),MATCH($B$3,daily_items,0))),NA(),INDEX(big_daily_table,MATCH(DATE(R$5,$K20,$J20),daily_dates,0),MATCH($B$3,daily_items,0)))</f>
        <v>#N/A</v>
      </c>
      <c r="S20" s="1" t="e">
        <f aca="false">IF(ISBLANK(INDEX(big_daily_table,MATCH(DATE(S$5,$K20,$J20),daily_dates,0),MATCH($B$3,daily_items,0))),NA(),INDEX(big_daily_table,MATCH(DATE(S$5,$K20,$J20),daily_dates,0),MATCH($B$3,daily_items,0)))</f>
        <v>#N/A</v>
      </c>
      <c r="T20" s="1" t="e">
        <f aca="false">IF(ISBLANK(INDEX(big_daily_table,MATCH(DATE(T$5,$K20,$J20),daily_dates,0),MATCH($B$3,daily_items,0))),NA(),INDEX(big_daily_table,MATCH(DATE(T$5,$K20,$J20),daily_dates,0),MATCH($B$3,daily_items,0)))</f>
        <v>#N/A</v>
      </c>
      <c r="U20" s="1" t="e">
        <f aca="false">IF(ISBLANK(INDEX(big_daily_table,MATCH(DATE(U$5,$K20,$J20),daily_dates,0),MATCH($B$3,daily_items,0))),NA(),INDEX(big_daily_table,MATCH(DATE(U$5,$K20,$J20),daily_dates,0),MATCH($B$3,daily_items,0)))</f>
        <v>#N/A</v>
      </c>
      <c r="V20" s="1" t="e">
        <f aca="false">IF(ISBLANK(INDEX(big_daily_table,MATCH(DATE(V$5,$K20,$J20),daily_dates,0),MATCH($B$3,daily_items,0))),NA(),INDEX(big_daily_table,MATCH(DATE(V$5,$K20,$J20),daily_dates,0),MATCH($B$3,daily_items,0)))</f>
        <v>#N/A</v>
      </c>
      <c r="W20" s="1" t="e">
        <f aca="false">IF(ISBLANK(INDEX(big_daily_table,MATCH(DATE(W$5,$K20,$J20),daily_dates,0),MATCH($B$3,daily_items,0))),NA(),INDEX(big_daily_table,MATCH(DATE(W$5,$K20,$J20),daily_dates,0),MATCH($B$3,daily_items,0)))</f>
        <v>#N/A</v>
      </c>
      <c r="X20" s="1" t="e">
        <f aca="false">IF(ISBLANK(INDEX(big_daily_table,MATCH(DATE(X$5,$K20,$J20),daily_dates,0),MATCH($B$3,daily_items,0))),NA(),INDEX(big_daily_table,MATCH(DATE(X$5,$K20,$J20),daily_dates,0),MATCH($B$3,daily_items,0)))</f>
        <v>#N/A</v>
      </c>
      <c r="Y20" s="1" t="e">
        <f aca="false">IF(ISBLANK(INDEX(big_daily_table,MATCH(DATE(Y$5,$K20,$J20),daily_dates,0),MATCH($B$3,daily_items,0))),NA(),INDEX(big_daily_table,MATCH(DATE(Y$5,$K20,$J20),daily_dates,0),MATCH($B$3,daily_items,0)))</f>
        <v>#N/A</v>
      </c>
      <c r="Z20" s="1" t="e">
        <f aca="false">IF(ISBLANK(INDEX(big_daily_table,MATCH(DATE(Z$5,$K20,$J20),daily_dates,0),MATCH($B$3,daily_items,0))),NA(),INDEX(big_daily_table,MATCH(DATE(Z$5,$K20,$J20),daily_dates,0),MATCH($B$3,daily_items,0)))</f>
        <v>#N/A</v>
      </c>
      <c r="AA20" s="1" t="n">
        <f aca="true">_xlfn.AGGREGATE(5,6,OFFSET($S$5,H20,0,1,$K$2))</f>
        <v>0</v>
      </c>
      <c r="AB20" s="1" t="n">
        <f aca="true">_xlfn.AGGREGATE(4,6,OFFSET($S$5,H20,0,1,$K$2))</f>
        <v>0</v>
      </c>
      <c r="AC20" s="1" t="n">
        <f aca="false">AB20-AA20</f>
        <v>0</v>
      </c>
      <c r="AD20" s="1" t="e">
        <f aca="true">_xlfn.AGGREGATE(1,6,OFFSET($S$5,H20,0,1,$K$2))</f>
        <v>#DIV/0!</v>
      </c>
    </row>
    <row r="21" customFormat="false" ht="14.25" hidden="false" customHeight="false" outlineLevel="0" collapsed="false">
      <c r="H21" s="1" t="n">
        <f aca="false">H20+1</f>
        <v>16</v>
      </c>
      <c r="I21" s="1" t="n">
        <f aca="false">WEEKDAY('daily graphs'!K21)</f>
        <v>1</v>
      </c>
      <c r="J21" s="1" t="n">
        <f aca="false">DAY(L21)</f>
        <v>15</v>
      </c>
      <c r="K21" s="1" t="n">
        <f aca="false">MONTH(L21)</f>
        <v>1</v>
      </c>
      <c r="L21" s="23" t="n">
        <f aca="false">'daily graphs'!K21 - I21</f>
        <v>36540</v>
      </c>
      <c r="M21" s="24" t="n">
        <f aca="true">IF(TODAY()&lt;DATE($O$5,K21,J21),1000000,-1000000)</f>
        <v>-1000000</v>
      </c>
      <c r="N21" s="24" t="e">
        <f aca="false">IF(M21&gt;0,INDEX(big_daily_table,MATCH(DATE(O$5,$K21,$J21),daily_dates,0),MATCH($B$3,daily_items,0)),NA())</f>
        <v>#N/A</v>
      </c>
      <c r="O21" s="1" t="e">
        <f aca="false">IF(M21&lt;0,INDEX(big_daily_table,MATCH(DATE(O$5,$K21,$J21),daily_dates,0),MATCH($B$3,daily_items,0)),NA())</f>
        <v>#N/A</v>
      </c>
      <c r="P21" s="1" t="e">
        <f aca="false">IF(ISBLANK(INDEX(big_daily_table,MATCH(DATE(P$5,$K21,$J21),daily_dates,0),MATCH($B$3,daily_items,0))),NA(),INDEX(big_daily_table,MATCH(DATE(P$5,$K21,$J21),daily_dates,0),MATCH($B$3,daily_items,0)))</f>
        <v>#N/A</v>
      </c>
      <c r="Q21" s="1" t="e">
        <f aca="false">IF(ISBLANK(INDEX(big_daily_table,MATCH(DATE(Q$5,$K21,$J21),daily_dates,0),MATCH($B$3,daily_items,0))),NA(),INDEX(big_daily_table,MATCH(DATE(Q$5,$K21,$J21),daily_dates,0),MATCH($B$3,daily_items,0)))</f>
        <v>#N/A</v>
      </c>
      <c r="R21" s="1" t="e">
        <f aca="false">IF(ISBLANK(INDEX(big_daily_table,MATCH(DATE(R$5,$K21,$J21),daily_dates,0),MATCH($B$3,daily_items,0))),NA(),INDEX(big_daily_table,MATCH(DATE(R$5,$K21,$J21),daily_dates,0),MATCH($B$3,daily_items,0)))</f>
        <v>#N/A</v>
      </c>
      <c r="S21" s="1" t="e">
        <f aca="false">IF(ISBLANK(INDEX(big_daily_table,MATCH(DATE(S$5,$K21,$J21),daily_dates,0),MATCH($B$3,daily_items,0))),NA(),INDEX(big_daily_table,MATCH(DATE(S$5,$K21,$J21),daily_dates,0),MATCH($B$3,daily_items,0)))</f>
        <v>#N/A</v>
      </c>
      <c r="T21" s="1" t="e">
        <f aca="false">IF(ISBLANK(INDEX(big_daily_table,MATCH(DATE(T$5,$K21,$J21),daily_dates,0),MATCH($B$3,daily_items,0))),NA(),INDEX(big_daily_table,MATCH(DATE(T$5,$K21,$J21),daily_dates,0),MATCH($B$3,daily_items,0)))</f>
        <v>#N/A</v>
      </c>
      <c r="U21" s="1" t="e">
        <f aca="false">IF(ISBLANK(INDEX(big_daily_table,MATCH(DATE(U$5,$K21,$J21),daily_dates,0),MATCH($B$3,daily_items,0))),NA(),INDEX(big_daily_table,MATCH(DATE(U$5,$K21,$J21),daily_dates,0),MATCH($B$3,daily_items,0)))</f>
        <v>#N/A</v>
      </c>
      <c r="V21" s="1" t="e">
        <f aca="false">IF(ISBLANK(INDEX(big_daily_table,MATCH(DATE(V$5,$K21,$J21),daily_dates,0),MATCH($B$3,daily_items,0))),NA(),INDEX(big_daily_table,MATCH(DATE(V$5,$K21,$J21),daily_dates,0),MATCH($B$3,daily_items,0)))</f>
        <v>#N/A</v>
      </c>
      <c r="W21" s="1" t="e">
        <f aca="false">IF(ISBLANK(INDEX(big_daily_table,MATCH(DATE(W$5,$K21,$J21),daily_dates,0),MATCH($B$3,daily_items,0))),NA(),INDEX(big_daily_table,MATCH(DATE(W$5,$K21,$J21),daily_dates,0),MATCH($B$3,daily_items,0)))</f>
        <v>#N/A</v>
      </c>
      <c r="X21" s="1" t="e">
        <f aca="false">IF(ISBLANK(INDEX(big_daily_table,MATCH(DATE(X$5,$K21,$J21),daily_dates,0),MATCH($B$3,daily_items,0))),NA(),INDEX(big_daily_table,MATCH(DATE(X$5,$K21,$J21),daily_dates,0),MATCH($B$3,daily_items,0)))</f>
        <v>#N/A</v>
      </c>
      <c r="Y21" s="1" t="e">
        <f aca="false">IF(ISBLANK(INDEX(big_daily_table,MATCH(DATE(Y$5,$K21,$J21),daily_dates,0),MATCH($B$3,daily_items,0))),NA(),INDEX(big_daily_table,MATCH(DATE(Y$5,$K21,$J21),daily_dates,0),MATCH($B$3,daily_items,0)))</f>
        <v>#N/A</v>
      </c>
      <c r="Z21" s="1" t="e">
        <f aca="false">IF(ISBLANK(INDEX(big_daily_table,MATCH(DATE(Z$5,$K21,$J21),daily_dates,0),MATCH($B$3,daily_items,0))),NA(),INDEX(big_daily_table,MATCH(DATE(Z$5,$K21,$J21),daily_dates,0),MATCH($B$3,daily_items,0)))</f>
        <v>#N/A</v>
      </c>
      <c r="AA21" s="1" t="n">
        <f aca="true">_xlfn.AGGREGATE(5,6,OFFSET($S$5,H21,0,1,$K$2))</f>
        <v>0</v>
      </c>
      <c r="AB21" s="1" t="n">
        <f aca="true">_xlfn.AGGREGATE(4,6,OFFSET($S$5,H21,0,1,$K$2))</f>
        <v>0</v>
      </c>
      <c r="AC21" s="1" t="n">
        <f aca="false">AB21-AA21</f>
        <v>0</v>
      </c>
      <c r="AD21" s="1" t="e">
        <f aca="true">_xlfn.AGGREGATE(1,6,OFFSET($S$5,H21,0,1,$K$2))</f>
        <v>#DIV/0!</v>
      </c>
    </row>
    <row r="22" customFormat="false" ht="14.25" hidden="false" customHeight="false" outlineLevel="0" collapsed="false">
      <c r="H22" s="1" t="n">
        <f aca="false">H21+1</f>
        <v>17</v>
      </c>
      <c r="I22" s="1" t="n">
        <f aca="false">WEEKDAY('daily graphs'!K22)</f>
        <v>2</v>
      </c>
      <c r="J22" s="1" t="n">
        <f aca="false">DAY(L22)</f>
        <v>15</v>
      </c>
      <c r="K22" s="1" t="n">
        <f aca="false">MONTH(L22)</f>
        <v>1</v>
      </c>
      <c r="L22" s="23" t="n">
        <f aca="false">'daily graphs'!K22 - I22</f>
        <v>36540</v>
      </c>
      <c r="M22" s="24" t="n">
        <f aca="true">IF(TODAY()&lt;DATE($O$5,K22,J22),1000000,-1000000)</f>
        <v>-1000000</v>
      </c>
      <c r="N22" s="24" t="e">
        <f aca="false">IF(M22&gt;0,INDEX(big_daily_table,MATCH(DATE(O$5,$K22,$J22),daily_dates,0),MATCH($B$3,daily_items,0)),NA())</f>
        <v>#N/A</v>
      </c>
      <c r="O22" s="1" t="e">
        <f aca="false">IF(M22&lt;0,INDEX(big_daily_table,MATCH(DATE(O$5,$K22,$J22),daily_dates,0),MATCH($B$3,daily_items,0)),NA())</f>
        <v>#N/A</v>
      </c>
      <c r="P22" s="1" t="e">
        <f aca="false">IF(ISBLANK(INDEX(big_daily_table,MATCH(DATE(P$5,$K22,$J22),daily_dates,0),MATCH($B$3,daily_items,0))),NA(),INDEX(big_daily_table,MATCH(DATE(P$5,$K22,$J22),daily_dates,0),MATCH($B$3,daily_items,0)))</f>
        <v>#N/A</v>
      </c>
      <c r="Q22" s="1" t="e">
        <f aca="false">IF(ISBLANK(INDEX(big_daily_table,MATCH(DATE(Q$5,$K22,$J22),daily_dates,0),MATCH($B$3,daily_items,0))),NA(),INDEX(big_daily_table,MATCH(DATE(Q$5,$K22,$J22),daily_dates,0),MATCH($B$3,daily_items,0)))</f>
        <v>#N/A</v>
      </c>
      <c r="R22" s="1" t="e">
        <f aca="false">IF(ISBLANK(INDEX(big_daily_table,MATCH(DATE(R$5,$K22,$J22),daily_dates,0),MATCH($B$3,daily_items,0))),NA(),INDEX(big_daily_table,MATCH(DATE(R$5,$K22,$J22),daily_dates,0),MATCH($B$3,daily_items,0)))</f>
        <v>#N/A</v>
      </c>
      <c r="S22" s="1" t="e">
        <f aca="false">IF(ISBLANK(INDEX(big_daily_table,MATCH(DATE(S$5,$K22,$J22),daily_dates,0),MATCH($B$3,daily_items,0))),NA(),INDEX(big_daily_table,MATCH(DATE(S$5,$K22,$J22),daily_dates,0),MATCH($B$3,daily_items,0)))</f>
        <v>#N/A</v>
      </c>
      <c r="T22" s="1" t="e">
        <f aca="false">IF(ISBLANK(INDEX(big_daily_table,MATCH(DATE(T$5,$K22,$J22),daily_dates,0),MATCH($B$3,daily_items,0))),NA(),INDEX(big_daily_table,MATCH(DATE(T$5,$K22,$J22),daily_dates,0),MATCH($B$3,daily_items,0)))</f>
        <v>#N/A</v>
      </c>
      <c r="U22" s="1" t="e">
        <f aca="false">IF(ISBLANK(INDEX(big_daily_table,MATCH(DATE(U$5,$K22,$J22),daily_dates,0),MATCH($B$3,daily_items,0))),NA(),INDEX(big_daily_table,MATCH(DATE(U$5,$K22,$J22),daily_dates,0),MATCH($B$3,daily_items,0)))</f>
        <v>#N/A</v>
      </c>
      <c r="V22" s="1" t="e">
        <f aca="false">IF(ISBLANK(INDEX(big_daily_table,MATCH(DATE(V$5,$K22,$J22),daily_dates,0),MATCH($B$3,daily_items,0))),NA(),INDEX(big_daily_table,MATCH(DATE(V$5,$K22,$J22),daily_dates,0),MATCH($B$3,daily_items,0)))</f>
        <v>#N/A</v>
      </c>
      <c r="W22" s="1" t="e">
        <f aca="false">IF(ISBLANK(INDEX(big_daily_table,MATCH(DATE(W$5,$K22,$J22),daily_dates,0),MATCH($B$3,daily_items,0))),NA(),INDEX(big_daily_table,MATCH(DATE(W$5,$K22,$J22),daily_dates,0),MATCH($B$3,daily_items,0)))</f>
        <v>#N/A</v>
      </c>
      <c r="X22" s="1" t="e">
        <f aca="false">IF(ISBLANK(INDEX(big_daily_table,MATCH(DATE(X$5,$K22,$J22),daily_dates,0),MATCH($B$3,daily_items,0))),NA(),INDEX(big_daily_table,MATCH(DATE(X$5,$K22,$J22),daily_dates,0),MATCH($B$3,daily_items,0)))</f>
        <v>#N/A</v>
      </c>
      <c r="Y22" s="1" t="e">
        <f aca="false">IF(ISBLANK(INDEX(big_daily_table,MATCH(DATE(Y$5,$K22,$J22),daily_dates,0),MATCH($B$3,daily_items,0))),NA(),INDEX(big_daily_table,MATCH(DATE(Y$5,$K22,$J22),daily_dates,0),MATCH($B$3,daily_items,0)))</f>
        <v>#N/A</v>
      </c>
      <c r="Z22" s="1" t="e">
        <f aca="false">IF(ISBLANK(INDEX(big_daily_table,MATCH(DATE(Z$5,$K22,$J22),daily_dates,0),MATCH($B$3,daily_items,0))),NA(),INDEX(big_daily_table,MATCH(DATE(Z$5,$K22,$J22),daily_dates,0),MATCH($B$3,daily_items,0)))</f>
        <v>#N/A</v>
      </c>
      <c r="AA22" s="1" t="n">
        <f aca="true">_xlfn.AGGREGATE(5,6,OFFSET($S$5,H22,0,1,$K$2))</f>
        <v>0</v>
      </c>
      <c r="AB22" s="1" t="n">
        <f aca="true">_xlfn.AGGREGATE(4,6,OFFSET($S$5,H22,0,1,$K$2))</f>
        <v>0</v>
      </c>
      <c r="AC22" s="1" t="n">
        <f aca="false">AB22-AA22</f>
        <v>0</v>
      </c>
      <c r="AD22" s="1" t="e">
        <f aca="true">_xlfn.AGGREGATE(1,6,OFFSET($S$5,H22,0,1,$K$2))</f>
        <v>#DIV/0!</v>
      </c>
    </row>
    <row r="23" customFormat="false" ht="14.25" hidden="false" customHeight="false" outlineLevel="0" collapsed="false">
      <c r="H23" s="1" t="n">
        <f aca="false">H22+1</f>
        <v>18</v>
      </c>
      <c r="I23" s="1" t="n">
        <f aca="false">WEEKDAY('daily graphs'!K23)</f>
        <v>3</v>
      </c>
      <c r="J23" s="1" t="n">
        <f aca="false">DAY(L23)</f>
        <v>15</v>
      </c>
      <c r="K23" s="1" t="n">
        <f aca="false">MONTH(L23)</f>
        <v>1</v>
      </c>
      <c r="L23" s="23" t="n">
        <f aca="false">'daily graphs'!K23 - I23</f>
        <v>36540</v>
      </c>
      <c r="M23" s="24" t="n">
        <f aca="true">IF(TODAY()&lt;DATE($O$5,K23,J23),1000000,-1000000)</f>
        <v>-1000000</v>
      </c>
      <c r="N23" s="24" t="e">
        <f aca="false">IF(M23&gt;0,INDEX(big_daily_table,MATCH(DATE(O$5,$K23,$J23),daily_dates,0),MATCH($B$3,daily_items,0)),NA())</f>
        <v>#N/A</v>
      </c>
      <c r="O23" s="1" t="e">
        <f aca="false">IF(M23&lt;0,INDEX(big_daily_table,MATCH(DATE(O$5,$K23,$J23),daily_dates,0),MATCH($B$3,daily_items,0)),NA())</f>
        <v>#N/A</v>
      </c>
      <c r="P23" s="1" t="e">
        <f aca="false">IF(ISBLANK(INDEX(big_daily_table,MATCH(DATE(P$5,$K23,$J23),daily_dates,0),MATCH($B$3,daily_items,0))),NA(),INDEX(big_daily_table,MATCH(DATE(P$5,$K23,$J23),daily_dates,0),MATCH($B$3,daily_items,0)))</f>
        <v>#N/A</v>
      </c>
      <c r="Q23" s="1" t="e">
        <f aca="false">IF(ISBLANK(INDEX(big_daily_table,MATCH(DATE(Q$5,$K23,$J23),daily_dates,0),MATCH($B$3,daily_items,0))),NA(),INDEX(big_daily_table,MATCH(DATE(Q$5,$K23,$J23),daily_dates,0),MATCH($B$3,daily_items,0)))</f>
        <v>#N/A</v>
      </c>
      <c r="R23" s="1" t="e">
        <f aca="false">IF(ISBLANK(INDEX(big_daily_table,MATCH(DATE(R$5,$K23,$J23),daily_dates,0),MATCH($B$3,daily_items,0))),NA(),INDEX(big_daily_table,MATCH(DATE(R$5,$K23,$J23),daily_dates,0),MATCH($B$3,daily_items,0)))</f>
        <v>#N/A</v>
      </c>
      <c r="S23" s="1" t="e">
        <f aca="false">IF(ISBLANK(INDEX(big_daily_table,MATCH(DATE(S$5,$K23,$J23),daily_dates,0),MATCH($B$3,daily_items,0))),NA(),INDEX(big_daily_table,MATCH(DATE(S$5,$K23,$J23),daily_dates,0),MATCH($B$3,daily_items,0)))</f>
        <v>#N/A</v>
      </c>
      <c r="T23" s="1" t="e">
        <f aca="false">IF(ISBLANK(INDEX(big_daily_table,MATCH(DATE(T$5,$K23,$J23),daily_dates,0),MATCH($B$3,daily_items,0))),NA(),INDEX(big_daily_table,MATCH(DATE(T$5,$K23,$J23),daily_dates,0),MATCH($B$3,daily_items,0)))</f>
        <v>#N/A</v>
      </c>
      <c r="U23" s="1" t="e">
        <f aca="false">IF(ISBLANK(INDEX(big_daily_table,MATCH(DATE(U$5,$K23,$J23),daily_dates,0),MATCH($B$3,daily_items,0))),NA(),INDEX(big_daily_table,MATCH(DATE(U$5,$K23,$J23),daily_dates,0),MATCH($B$3,daily_items,0)))</f>
        <v>#N/A</v>
      </c>
      <c r="V23" s="1" t="e">
        <f aca="false">IF(ISBLANK(INDEX(big_daily_table,MATCH(DATE(V$5,$K23,$J23),daily_dates,0),MATCH($B$3,daily_items,0))),NA(),INDEX(big_daily_table,MATCH(DATE(V$5,$K23,$J23),daily_dates,0),MATCH($B$3,daily_items,0)))</f>
        <v>#N/A</v>
      </c>
      <c r="W23" s="1" t="e">
        <f aca="false">IF(ISBLANK(INDEX(big_daily_table,MATCH(DATE(W$5,$K23,$J23),daily_dates,0),MATCH($B$3,daily_items,0))),NA(),INDEX(big_daily_table,MATCH(DATE(W$5,$K23,$J23),daily_dates,0),MATCH($B$3,daily_items,0)))</f>
        <v>#N/A</v>
      </c>
      <c r="X23" s="1" t="e">
        <f aca="false">IF(ISBLANK(INDEX(big_daily_table,MATCH(DATE(X$5,$K23,$J23),daily_dates,0),MATCH($B$3,daily_items,0))),NA(),INDEX(big_daily_table,MATCH(DATE(X$5,$K23,$J23),daily_dates,0),MATCH($B$3,daily_items,0)))</f>
        <v>#N/A</v>
      </c>
      <c r="Y23" s="1" t="e">
        <f aca="false">IF(ISBLANK(INDEX(big_daily_table,MATCH(DATE(Y$5,$K23,$J23),daily_dates,0),MATCH($B$3,daily_items,0))),NA(),INDEX(big_daily_table,MATCH(DATE(Y$5,$K23,$J23),daily_dates,0),MATCH($B$3,daily_items,0)))</f>
        <v>#N/A</v>
      </c>
      <c r="Z23" s="1" t="e">
        <f aca="false">IF(ISBLANK(INDEX(big_daily_table,MATCH(DATE(Z$5,$K23,$J23),daily_dates,0),MATCH($B$3,daily_items,0))),NA(),INDEX(big_daily_table,MATCH(DATE(Z$5,$K23,$J23),daily_dates,0),MATCH($B$3,daily_items,0)))</f>
        <v>#N/A</v>
      </c>
      <c r="AA23" s="1" t="n">
        <f aca="true">_xlfn.AGGREGATE(5,6,OFFSET($S$5,H23,0,1,$K$2))</f>
        <v>0</v>
      </c>
      <c r="AB23" s="1" t="n">
        <f aca="true">_xlfn.AGGREGATE(4,6,OFFSET($S$5,H23,0,1,$K$2))</f>
        <v>0</v>
      </c>
      <c r="AC23" s="1" t="n">
        <f aca="false">AB23-AA23</f>
        <v>0</v>
      </c>
      <c r="AD23" s="1" t="e">
        <f aca="true">_xlfn.AGGREGATE(1,6,OFFSET($S$5,H23,0,1,$K$2))</f>
        <v>#DIV/0!</v>
      </c>
    </row>
    <row r="24" customFormat="false" ht="14.25" hidden="false" customHeight="false" outlineLevel="0" collapsed="false">
      <c r="H24" s="1" t="n">
        <f aca="false">H23+1</f>
        <v>19</v>
      </c>
      <c r="I24" s="1" t="n">
        <f aca="false">WEEKDAY('daily graphs'!K24)</f>
        <v>4</v>
      </c>
      <c r="J24" s="1" t="n">
        <f aca="false">DAY(L24)</f>
        <v>15</v>
      </c>
      <c r="K24" s="1" t="n">
        <f aca="false">MONTH(L24)</f>
        <v>1</v>
      </c>
      <c r="L24" s="23" t="n">
        <f aca="false">'daily graphs'!K24 - I24</f>
        <v>36540</v>
      </c>
      <c r="M24" s="24" t="n">
        <f aca="true">IF(TODAY()&lt;DATE($O$5,K24,J24),1000000,-1000000)</f>
        <v>-1000000</v>
      </c>
      <c r="N24" s="24" t="e">
        <f aca="false">IF(M24&gt;0,INDEX(big_daily_table,MATCH(DATE(O$5,$K24,$J24),daily_dates,0),MATCH($B$3,daily_items,0)),NA())</f>
        <v>#N/A</v>
      </c>
      <c r="O24" s="1" t="e">
        <f aca="false">IF(M24&lt;0,INDEX(big_daily_table,MATCH(DATE(O$5,$K24,$J24),daily_dates,0),MATCH($B$3,daily_items,0)),NA())</f>
        <v>#N/A</v>
      </c>
      <c r="P24" s="1" t="e">
        <f aca="false">IF(ISBLANK(INDEX(big_daily_table,MATCH(DATE(P$5,$K24,$J24),daily_dates,0),MATCH($B$3,daily_items,0))),NA(),INDEX(big_daily_table,MATCH(DATE(P$5,$K24,$J24),daily_dates,0),MATCH($B$3,daily_items,0)))</f>
        <v>#N/A</v>
      </c>
      <c r="Q24" s="1" t="e">
        <f aca="false">IF(ISBLANK(INDEX(big_daily_table,MATCH(DATE(Q$5,$K24,$J24),daily_dates,0),MATCH($B$3,daily_items,0))),NA(),INDEX(big_daily_table,MATCH(DATE(Q$5,$K24,$J24),daily_dates,0),MATCH($B$3,daily_items,0)))</f>
        <v>#N/A</v>
      </c>
      <c r="R24" s="1" t="e">
        <f aca="false">IF(ISBLANK(INDEX(big_daily_table,MATCH(DATE(R$5,$K24,$J24),daily_dates,0),MATCH($B$3,daily_items,0))),NA(),INDEX(big_daily_table,MATCH(DATE(R$5,$K24,$J24),daily_dates,0),MATCH($B$3,daily_items,0)))</f>
        <v>#N/A</v>
      </c>
      <c r="S24" s="1" t="e">
        <f aca="false">IF(ISBLANK(INDEX(big_daily_table,MATCH(DATE(S$5,$K24,$J24),daily_dates,0),MATCH($B$3,daily_items,0))),NA(),INDEX(big_daily_table,MATCH(DATE(S$5,$K24,$J24),daily_dates,0),MATCH($B$3,daily_items,0)))</f>
        <v>#N/A</v>
      </c>
      <c r="T24" s="1" t="e">
        <f aca="false">IF(ISBLANK(INDEX(big_daily_table,MATCH(DATE(T$5,$K24,$J24),daily_dates,0),MATCH($B$3,daily_items,0))),NA(),INDEX(big_daily_table,MATCH(DATE(T$5,$K24,$J24),daily_dates,0),MATCH($B$3,daily_items,0)))</f>
        <v>#N/A</v>
      </c>
      <c r="U24" s="1" t="e">
        <f aca="false">IF(ISBLANK(INDEX(big_daily_table,MATCH(DATE(U$5,$K24,$J24),daily_dates,0),MATCH($B$3,daily_items,0))),NA(),INDEX(big_daily_table,MATCH(DATE(U$5,$K24,$J24),daily_dates,0),MATCH($B$3,daily_items,0)))</f>
        <v>#N/A</v>
      </c>
      <c r="V24" s="1" t="e">
        <f aca="false">IF(ISBLANK(INDEX(big_daily_table,MATCH(DATE(V$5,$K24,$J24),daily_dates,0),MATCH($B$3,daily_items,0))),NA(),INDEX(big_daily_table,MATCH(DATE(V$5,$K24,$J24),daily_dates,0),MATCH($B$3,daily_items,0)))</f>
        <v>#N/A</v>
      </c>
      <c r="W24" s="1" t="e">
        <f aca="false">IF(ISBLANK(INDEX(big_daily_table,MATCH(DATE(W$5,$K24,$J24),daily_dates,0),MATCH($B$3,daily_items,0))),NA(),INDEX(big_daily_table,MATCH(DATE(W$5,$K24,$J24),daily_dates,0),MATCH($B$3,daily_items,0)))</f>
        <v>#N/A</v>
      </c>
      <c r="X24" s="1" t="e">
        <f aca="false">IF(ISBLANK(INDEX(big_daily_table,MATCH(DATE(X$5,$K24,$J24),daily_dates,0),MATCH($B$3,daily_items,0))),NA(),INDEX(big_daily_table,MATCH(DATE(X$5,$K24,$J24),daily_dates,0),MATCH($B$3,daily_items,0)))</f>
        <v>#N/A</v>
      </c>
      <c r="Y24" s="1" t="e">
        <f aca="false">IF(ISBLANK(INDEX(big_daily_table,MATCH(DATE(Y$5,$K24,$J24),daily_dates,0),MATCH($B$3,daily_items,0))),NA(),INDEX(big_daily_table,MATCH(DATE(Y$5,$K24,$J24),daily_dates,0),MATCH($B$3,daily_items,0)))</f>
        <v>#N/A</v>
      </c>
      <c r="Z24" s="1" t="e">
        <f aca="false">IF(ISBLANK(INDEX(big_daily_table,MATCH(DATE(Z$5,$K24,$J24),daily_dates,0),MATCH($B$3,daily_items,0))),NA(),INDEX(big_daily_table,MATCH(DATE(Z$5,$K24,$J24),daily_dates,0),MATCH($B$3,daily_items,0)))</f>
        <v>#N/A</v>
      </c>
      <c r="AA24" s="1" t="n">
        <f aca="true">_xlfn.AGGREGATE(5,6,OFFSET($S$5,H24,0,1,$K$2))</f>
        <v>0</v>
      </c>
      <c r="AB24" s="1" t="n">
        <f aca="true">_xlfn.AGGREGATE(4,6,OFFSET($S$5,H24,0,1,$K$2))</f>
        <v>0</v>
      </c>
      <c r="AC24" s="1" t="n">
        <f aca="false">AB24-AA24</f>
        <v>0</v>
      </c>
      <c r="AD24" s="1" t="e">
        <f aca="true">_xlfn.AGGREGATE(1,6,OFFSET($S$5,H24,0,1,$K$2))</f>
        <v>#DIV/0!</v>
      </c>
      <c r="AF24" s="25"/>
      <c r="AG24" s="26" t="n">
        <f aca="false">_xlfn.AGGREGATE(5,6,N6:AB371)+0.0001</f>
        <v>0.0001</v>
      </c>
      <c r="AH24" s="26" t="n">
        <f aca="false">_xlfn.AGGREGATE(4,6,N6:AB371)+0.0001</f>
        <v>0.0001</v>
      </c>
      <c r="AI24" s="26"/>
      <c r="AJ24" s="27"/>
      <c r="AK24" s="26"/>
      <c r="AL24" s="26"/>
      <c r="AM24" s="26"/>
      <c r="AN24" s="26"/>
      <c r="AO24" s="28"/>
    </row>
    <row r="25" customFormat="false" ht="14.25" hidden="false" customHeight="false" outlineLevel="0" collapsed="false">
      <c r="B25" s="22" t="s">
        <v>13</v>
      </c>
      <c r="H25" s="1" t="n">
        <f aca="false">H24+1</f>
        <v>20</v>
      </c>
      <c r="I25" s="1" t="n">
        <f aca="false">WEEKDAY('daily graphs'!K25)</f>
        <v>5</v>
      </c>
      <c r="J25" s="1" t="n">
        <f aca="false">DAY(L25)</f>
        <v>15</v>
      </c>
      <c r="K25" s="1" t="n">
        <f aca="false">MONTH(L25)</f>
        <v>1</v>
      </c>
      <c r="L25" s="23" t="n">
        <f aca="false">'daily graphs'!K25 - I25</f>
        <v>36540</v>
      </c>
      <c r="M25" s="24" t="n">
        <f aca="true">IF(TODAY()&lt;DATE($O$5,K25,J25),1000000,-1000000)</f>
        <v>-1000000</v>
      </c>
      <c r="N25" s="24" t="e">
        <f aca="false">IF(M25&gt;0,INDEX(big_daily_table,MATCH(DATE(O$5,$K25,$J25),daily_dates,0),MATCH($B$3,daily_items,0)),NA())</f>
        <v>#N/A</v>
      </c>
      <c r="O25" s="1" t="e">
        <f aca="false">IF(M25&lt;0,INDEX(big_daily_table,MATCH(DATE(O$5,$K25,$J25),daily_dates,0),MATCH($B$3,daily_items,0)),NA())</f>
        <v>#N/A</v>
      </c>
      <c r="P25" s="1" t="e">
        <f aca="false">IF(ISBLANK(INDEX(big_daily_table,MATCH(DATE(P$5,$K25,$J25),daily_dates,0),MATCH($B$3,daily_items,0))),NA(),INDEX(big_daily_table,MATCH(DATE(P$5,$K25,$J25),daily_dates,0),MATCH($B$3,daily_items,0)))</f>
        <v>#N/A</v>
      </c>
      <c r="Q25" s="1" t="e">
        <f aca="false">IF(ISBLANK(INDEX(big_daily_table,MATCH(DATE(Q$5,$K25,$J25),daily_dates,0),MATCH($B$3,daily_items,0))),NA(),INDEX(big_daily_table,MATCH(DATE(Q$5,$K25,$J25),daily_dates,0),MATCH($B$3,daily_items,0)))</f>
        <v>#N/A</v>
      </c>
      <c r="R25" s="1" t="e">
        <f aca="false">IF(ISBLANK(INDEX(big_daily_table,MATCH(DATE(R$5,$K25,$J25),daily_dates,0),MATCH($B$3,daily_items,0))),NA(),INDEX(big_daily_table,MATCH(DATE(R$5,$K25,$J25),daily_dates,0),MATCH($B$3,daily_items,0)))</f>
        <v>#N/A</v>
      </c>
      <c r="S25" s="1" t="e">
        <f aca="false">IF(ISBLANK(INDEX(big_daily_table,MATCH(DATE(S$5,$K25,$J25),daily_dates,0),MATCH($B$3,daily_items,0))),NA(),INDEX(big_daily_table,MATCH(DATE(S$5,$K25,$J25),daily_dates,0),MATCH($B$3,daily_items,0)))</f>
        <v>#N/A</v>
      </c>
      <c r="T25" s="1" t="e">
        <f aca="false">IF(ISBLANK(INDEX(big_daily_table,MATCH(DATE(T$5,$K25,$J25),daily_dates,0),MATCH($B$3,daily_items,0))),NA(),INDEX(big_daily_table,MATCH(DATE(T$5,$K25,$J25),daily_dates,0),MATCH($B$3,daily_items,0)))</f>
        <v>#N/A</v>
      </c>
      <c r="U25" s="1" t="e">
        <f aca="false">IF(ISBLANK(INDEX(big_daily_table,MATCH(DATE(U$5,$K25,$J25),daily_dates,0),MATCH($B$3,daily_items,0))),NA(),INDEX(big_daily_table,MATCH(DATE(U$5,$K25,$J25),daily_dates,0),MATCH($B$3,daily_items,0)))</f>
        <v>#N/A</v>
      </c>
      <c r="V25" s="1" t="e">
        <f aca="false">IF(ISBLANK(INDEX(big_daily_table,MATCH(DATE(V$5,$K25,$J25),daily_dates,0),MATCH($B$3,daily_items,0))),NA(),INDEX(big_daily_table,MATCH(DATE(V$5,$K25,$J25),daily_dates,0),MATCH($B$3,daily_items,0)))</f>
        <v>#N/A</v>
      </c>
      <c r="W25" s="1" t="e">
        <f aca="false">IF(ISBLANK(INDEX(big_daily_table,MATCH(DATE(W$5,$K25,$J25),daily_dates,0),MATCH($B$3,daily_items,0))),NA(),INDEX(big_daily_table,MATCH(DATE(W$5,$K25,$J25),daily_dates,0),MATCH($B$3,daily_items,0)))</f>
        <v>#N/A</v>
      </c>
      <c r="X25" s="1" t="e">
        <f aca="false">IF(ISBLANK(INDEX(big_daily_table,MATCH(DATE(X$5,$K25,$J25),daily_dates,0),MATCH($B$3,daily_items,0))),NA(),INDEX(big_daily_table,MATCH(DATE(X$5,$K25,$J25),daily_dates,0),MATCH($B$3,daily_items,0)))</f>
        <v>#N/A</v>
      </c>
      <c r="Y25" s="1" t="e">
        <f aca="false">IF(ISBLANK(INDEX(big_daily_table,MATCH(DATE(Y$5,$K25,$J25),daily_dates,0),MATCH($B$3,daily_items,0))),NA(),INDEX(big_daily_table,MATCH(DATE(Y$5,$K25,$J25),daily_dates,0),MATCH($B$3,daily_items,0)))</f>
        <v>#N/A</v>
      </c>
      <c r="Z25" s="1" t="e">
        <f aca="false">IF(ISBLANK(INDEX(big_daily_table,MATCH(DATE(Z$5,$K25,$J25),daily_dates,0),MATCH($B$3,daily_items,0))),NA(),INDEX(big_daily_table,MATCH(DATE(Z$5,$K25,$J25),daily_dates,0),MATCH($B$3,daily_items,0)))</f>
        <v>#N/A</v>
      </c>
      <c r="AA25" s="1" t="n">
        <f aca="true">_xlfn.AGGREGATE(5,6,OFFSET($S$5,H25,0,1,$K$2))</f>
        <v>0</v>
      </c>
      <c r="AB25" s="1" t="n">
        <f aca="true">_xlfn.AGGREGATE(4,6,OFFSET($S$5,H25,0,1,$K$2))</f>
        <v>0</v>
      </c>
      <c r="AC25" s="1" t="n">
        <f aca="false">AB25-AA25</f>
        <v>0</v>
      </c>
      <c r="AD25" s="1" t="e">
        <f aca="true">_xlfn.AGGREGATE(1,6,OFFSET($S$5,H25,0,1,$K$2))</f>
        <v>#DIV/0!</v>
      </c>
      <c r="AF25" s="29" t="s">
        <v>14</v>
      </c>
      <c r="AG25" s="1" t="n">
        <f aca="false">AG24</f>
        <v>0.0001</v>
      </c>
      <c r="AI25" s="1" t="n">
        <f aca="false">LOG10(ABS(AG25))</f>
        <v>-4</v>
      </c>
      <c r="AJ25" s="1" t="n">
        <f aca="false">10^FLOOR(AI25,1)</f>
        <v>0.0001</v>
      </c>
      <c r="AK25" s="1" t="n">
        <f aca="false">AJ25/2</f>
        <v>5E-005</v>
      </c>
      <c r="AL25" s="1" t="n">
        <f aca="false">ROUNDDOWN(AG25/AJ25,0)*AJ25</f>
        <v>0.0001</v>
      </c>
      <c r="AM25" s="1" t="n">
        <f aca="false">AG25-AL25</f>
        <v>0</v>
      </c>
      <c r="AN25" s="1" t="n">
        <f aca="false">IF(ABS(AM25)=AL25,ROUNDDOWN(AM25/AK25,0)+1,ROUNDUP(AM25/AK25,0)-1)*AK25</f>
        <v>-5E-005</v>
      </c>
      <c r="AO25" s="30" t="n">
        <f aca="false">AN25+AL25</f>
        <v>5E-005</v>
      </c>
    </row>
    <row r="26" customFormat="false" ht="14.25" hidden="false" customHeight="false" outlineLevel="0" collapsed="false">
      <c r="H26" s="1" t="n">
        <f aca="false">H25+1</f>
        <v>21</v>
      </c>
      <c r="I26" s="1" t="n">
        <f aca="false">WEEKDAY('daily graphs'!K26)</f>
        <v>6</v>
      </c>
      <c r="J26" s="1" t="n">
        <f aca="false">DAY(L26)</f>
        <v>15</v>
      </c>
      <c r="K26" s="1" t="n">
        <f aca="false">MONTH(L26)</f>
        <v>1</v>
      </c>
      <c r="L26" s="23" t="n">
        <f aca="false">'daily graphs'!K26 - I26</f>
        <v>36540</v>
      </c>
      <c r="M26" s="24" t="n">
        <f aca="true">IF(TODAY()&lt;DATE($O$5,K26,J26),1000000,-1000000)</f>
        <v>-1000000</v>
      </c>
      <c r="N26" s="24" t="e">
        <f aca="false">IF(M26&gt;0,INDEX(big_daily_table,MATCH(DATE(O$5,$K26,$J26),daily_dates,0),MATCH($B$3,daily_items,0)),NA())</f>
        <v>#N/A</v>
      </c>
      <c r="O26" s="1" t="e">
        <f aca="false">IF(M26&lt;0,INDEX(big_daily_table,MATCH(DATE(O$5,$K26,$J26),daily_dates,0),MATCH($B$3,daily_items,0)),NA())</f>
        <v>#N/A</v>
      </c>
      <c r="P26" s="1" t="e">
        <f aca="false">IF(ISBLANK(INDEX(big_daily_table,MATCH(DATE(P$5,$K26,$J26),daily_dates,0),MATCH($B$3,daily_items,0))),NA(),INDEX(big_daily_table,MATCH(DATE(P$5,$K26,$J26),daily_dates,0),MATCH($B$3,daily_items,0)))</f>
        <v>#N/A</v>
      </c>
      <c r="Q26" s="1" t="e">
        <f aca="false">IF(ISBLANK(INDEX(big_daily_table,MATCH(DATE(Q$5,$K26,$J26),daily_dates,0),MATCH($B$3,daily_items,0))),NA(),INDEX(big_daily_table,MATCH(DATE(Q$5,$K26,$J26),daily_dates,0),MATCH($B$3,daily_items,0)))</f>
        <v>#N/A</v>
      </c>
      <c r="R26" s="1" t="e">
        <f aca="false">IF(ISBLANK(INDEX(big_daily_table,MATCH(DATE(R$5,$K26,$J26),daily_dates,0),MATCH($B$3,daily_items,0))),NA(),INDEX(big_daily_table,MATCH(DATE(R$5,$K26,$J26),daily_dates,0),MATCH($B$3,daily_items,0)))</f>
        <v>#N/A</v>
      </c>
      <c r="S26" s="1" t="e">
        <f aca="false">IF(ISBLANK(INDEX(big_daily_table,MATCH(DATE(S$5,$K26,$J26),daily_dates,0),MATCH($B$3,daily_items,0))),NA(),INDEX(big_daily_table,MATCH(DATE(S$5,$K26,$J26),daily_dates,0),MATCH($B$3,daily_items,0)))</f>
        <v>#N/A</v>
      </c>
      <c r="T26" s="1" t="e">
        <f aca="false">IF(ISBLANK(INDEX(big_daily_table,MATCH(DATE(T$5,$K26,$J26),daily_dates,0),MATCH($B$3,daily_items,0))),NA(),INDEX(big_daily_table,MATCH(DATE(T$5,$K26,$J26),daily_dates,0),MATCH($B$3,daily_items,0)))</f>
        <v>#N/A</v>
      </c>
      <c r="U26" s="1" t="e">
        <f aca="false">IF(ISBLANK(INDEX(big_daily_table,MATCH(DATE(U$5,$K26,$J26),daily_dates,0),MATCH($B$3,daily_items,0))),NA(),INDEX(big_daily_table,MATCH(DATE(U$5,$K26,$J26),daily_dates,0),MATCH($B$3,daily_items,0)))</f>
        <v>#N/A</v>
      </c>
      <c r="V26" s="1" t="e">
        <f aca="false">IF(ISBLANK(INDEX(big_daily_table,MATCH(DATE(V$5,$K26,$J26),daily_dates,0),MATCH($B$3,daily_items,0))),NA(),INDEX(big_daily_table,MATCH(DATE(V$5,$K26,$J26),daily_dates,0),MATCH($B$3,daily_items,0)))</f>
        <v>#N/A</v>
      </c>
      <c r="W26" s="1" t="e">
        <f aca="false">IF(ISBLANK(INDEX(big_daily_table,MATCH(DATE(W$5,$K26,$J26),daily_dates,0),MATCH($B$3,daily_items,0))),NA(),INDEX(big_daily_table,MATCH(DATE(W$5,$K26,$J26),daily_dates,0),MATCH($B$3,daily_items,0)))</f>
        <v>#N/A</v>
      </c>
      <c r="X26" s="1" t="e">
        <f aca="false">IF(ISBLANK(INDEX(big_daily_table,MATCH(DATE(X$5,$K26,$J26),daily_dates,0),MATCH($B$3,daily_items,0))),NA(),INDEX(big_daily_table,MATCH(DATE(X$5,$K26,$J26),daily_dates,0),MATCH($B$3,daily_items,0)))</f>
        <v>#N/A</v>
      </c>
      <c r="Y26" s="1" t="e">
        <f aca="false">IF(ISBLANK(INDEX(big_daily_table,MATCH(DATE(Y$5,$K26,$J26),daily_dates,0),MATCH($B$3,daily_items,0))),NA(),INDEX(big_daily_table,MATCH(DATE(Y$5,$K26,$J26),daily_dates,0),MATCH($B$3,daily_items,0)))</f>
        <v>#N/A</v>
      </c>
      <c r="Z26" s="1" t="e">
        <f aca="false">IF(ISBLANK(INDEX(big_daily_table,MATCH(DATE(Z$5,$K26,$J26),daily_dates,0),MATCH($B$3,daily_items,0))),NA(),INDEX(big_daily_table,MATCH(DATE(Z$5,$K26,$J26),daily_dates,0),MATCH($B$3,daily_items,0)))</f>
        <v>#N/A</v>
      </c>
      <c r="AA26" s="1" t="n">
        <f aca="true">_xlfn.AGGREGATE(5,6,OFFSET($S$5,H26,0,1,$K$2))</f>
        <v>0</v>
      </c>
      <c r="AB26" s="1" t="n">
        <f aca="true">_xlfn.AGGREGATE(4,6,OFFSET($S$5,H26,0,1,$K$2))</f>
        <v>0</v>
      </c>
      <c r="AC26" s="1" t="n">
        <f aca="false">AB26-AA26</f>
        <v>0</v>
      </c>
      <c r="AD26" s="1" t="e">
        <f aca="true">_xlfn.AGGREGATE(1,6,OFFSET($S$5,H26,0,1,$K$2))</f>
        <v>#DIV/0!</v>
      </c>
      <c r="AF26" s="31" t="s">
        <v>15</v>
      </c>
      <c r="AG26" s="20" t="n">
        <f aca="false">AH24</f>
        <v>0.0001</v>
      </c>
      <c r="AH26" s="20"/>
      <c r="AI26" s="20" t="n">
        <f aca="false">LOG10(AG26)</f>
        <v>-4</v>
      </c>
      <c r="AJ26" s="20" t="n">
        <f aca="false">AJ25</f>
        <v>0.0001</v>
      </c>
      <c r="AK26" s="20" t="n">
        <f aca="false">AJ26/2</f>
        <v>5E-005</v>
      </c>
      <c r="AL26" s="20" t="n">
        <f aca="false">ROUNDDOWN(AG26/AJ26,0)*AJ26</f>
        <v>0.0001</v>
      </c>
      <c r="AM26" s="20" t="n">
        <f aca="false">AG26-AL26</f>
        <v>0</v>
      </c>
      <c r="AN26" s="20" t="n">
        <f aca="false">IF(ABS(AM26)=AL26,ROUNDDOWN(AM26/AK26,0)-1,ROUNDUP(AM26/AK26,0)+1)*AK26</f>
        <v>5E-005</v>
      </c>
      <c r="AO26" s="32" t="n">
        <f aca="false">AN26+AL26</f>
        <v>0.00015</v>
      </c>
    </row>
    <row r="27" customFormat="false" ht="14.25" hidden="false" customHeight="false" outlineLevel="0" collapsed="false">
      <c r="H27" s="1" t="n">
        <f aca="false">H26+1</f>
        <v>22</v>
      </c>
      <c r="I27" s="1" t="n">
        <f aca="false">WEEKDAY('daily graphs'!K27)</f>
        <v>7</v>
      </c>
      <c r="J27" s="1" t="n">
        <f aca="false">DAY(L27)</f>
        <v>15</v>
      </c>
      <c r="K27" s="1" t="n">
        <f aca="false">MONTH(L27)</f>
        <v>1</v>
      </c>
      <c r="L27" s="23" t="n">
        <f aca="false">'daily graphs'!K27 - I27</f>
        <v>36540</v>
      </c>
      <c r="M27" s="24" t="n">
        <f aca="true">IF(TODAY()&lt;DATE($O$5,K27,J27),1000000,-1000000)</f>
        <v>-1000000</v>
      </c>
      <c r="N27" s="24" t="e">
        <f aca="false">IF(M27&gt;0,INDEX(big_daily_table,MATCH(DATE(O$5,$K27,$J27),daily_dates,0),MATCH($B$3,daily_items,0)),NA())</f>
        <v>#N/A</v>
      </c>
      <c r="O27" s="1" t="e">
        <f aca="false">IF(M27&lt;0,INDEX(big_daily_table,MATCH(DATE(O$5,$K27,$J27),daily_dates,0),MATCH($B$3,daily_items,0)),NA())</f>
        <v>#N/A</v>
      </c>
      <c r="P27" s="1" t="e">
        <f aca="false">IF(ISBLANK(INDEX(big_daily_table,MATCH(DATE(P$5,$K27,$J27),daily_dates,0),MATCH($B$3,daily_items,0))),NA(),INDEX(big_daily_table,MATCH(DATE(P$5,$K27,$J27),daily_dates,0),MATCH($B$3,daily_items,0)))</f>
        <v>#N/A</v>
      </c>
      <c r="Q27" s="1" t="e">
        <f aca="false">IF(ISBLANK(INDEX(big_daily_table,MATCH(DATE(Q$5,$K27,$J27),daily_dates,0),MATCH($B$3,daily_items,0))),NA(),INDEX(big_daily_table,MATCH(DATE(Q$5,$K27,$J27),daily_dates,0),MATCH($B$3,daily_items,0)))</f>
        <v>#N/A</v>
      </c>
      <c r="R27" s="1" t="e">
        <f aca="false">IF(ISBLANK(INDEX(big_daily_table,MATCH(DATE(R$5,$K27,$J27),daily_dates,0),MATCH($B$3,daily_items,0))),NA(),INDEX(big_daily_table,MATCH(DATE(R$5,$K27,$J27),daily_dates,0),MATCH($B$3,daily_items,0)))</f>
        <v>#N/A</v>
      </c>
      <c r="S27" s="1" t="e">
        <f aca="false">IF(ISBLANK(INDEX(big_daily_table,MATCH(DATE(S$5,$K27,$J27),daily_dates,0),MATCH($B$3,daily_items,0))),NA(),INDEX(big_daily_table,MATCH(DATE(S$5,$K27,$J27),daily_dates,0),MATCH($B$3,daily_items,0)))</f>
        <v>#N/A</v>
      </c>
      <c r="T27" s="1" t="e">
        <f aca="false">IF(ISBLANK(INDEX(big_daily_table,MATCH(DATE(T$5,$K27,$J27),daily_dates,0),MATCH($B$3,daily_items,0))),NA(),INDEX(big_daily_table,MATCH(DATE(T$5,$K27,$J27),daily_dates,0),MATCH($B$3,daily_items,0)))</f>
        <v>#N/A</v>
      </c>
      <c r="U27" s="1" t="e">
        <f aca="false">IF(ISBLANK(INDEX(big_daily_table,MATCH(DATE(U$5,$K27,$J27),daily_dates,0),MATCH($B$3,daily_items,0))),NA(),INDEX(big_daily_table,MATCH(DATE(U$5,$K27,$J27),daily_dates,0),MATCH($B$3,daily_items,0)))</f>
        <v>#N/A</v>
      </c>
      <c r="V27" s="1" t="e">
        <f aca="false">IF(ISBLANK(INDEX(big_daily_table,MATCH(DATE(V$5,$K27,$J27),daily_dates,0),MATCH($B$3,daily_items,0))),NA(),INDEX(big_daily_table,MATCH(DATE(V$5,$K27,$J27),daily_dates,0),MATCH($B$3,daily_items,0)))</f>
        <v>#N/A</v>
      </c>
      <c r="W27" s="1" t="e">
        <f aca="false">IF(ISBLANK(INDEX(big_daily_table,MATCH(DATE(W$5,$K27,$J27),daily_dates,0),MATCH($B$3,daily_items,0))),NA(),INDEX(big_daily_table,MATCH(DATE(W$5,$K27,$J27),daily_dates,0),MATCH($B$3,daily_items,0)))</f>
        <v>#N/A</v>
      </c>
      <c r="X27" s="1" t="e">
        <f aca="false">IF(ISBLANK(INDEX(big_daily_table,MATCH(DATE(X$5,$K27,$J27),daily_dates,0),MATCH($B$3,daily_items,0))),NA(),INDEX(big_daily_table,MATCH(DATE(X$5,$K27,$J27),daily_dates,0),MATCH($B$3,daily_items,0)))</f>
        <v>#N/A</v>
      </c>
      <c r="Y27" s="1" t="e">
        <f aca="false">IF(ISBLANK(INDEX(big_daily_table,MATCH(DATE(Y$5,$K27,$J27),daily_dates,0),MATCH($B$3,daily_items,0))),NA(),INDEX(big_daily_table,MATCH(DATE(Y$5,$K27,$J27),daily_dates,0),MATCH($B$3,daily_items,0)))</f>
        <v>#N/A</v>
      </c>
      <c r="Z27" s="1" t="e">
        <f aca="false">IF(ISBLANK(INDEX(big_daily_table,MATCH(DATE(Z$5,$K27,$J27),daily_dates,0),MATCH($B$3,daily_items,0))),NA(),INDEX(big_daily_table,MATCH(DATE(Z$5,$K27,$J27),daily_dates,0),MATCH($B$3,daily_items,0)))</f>
        <v>#N/A</v>
      </c>
      <c r="AA27" s="1" t="n">
        <f aca="true">_xlfn.AGGREGATE(5,6,OFFSET($S$5,H27,0,1,$K$2))</f>
        <v>0</v>
      </c>
      <c r="AB27" s="1" t="n">
        <f aca="true">_xlfn.AGGREGATE(4,6,OFFSET($S$5,H27,0,1,$K$2))</f>
        <v>0</v>
      </c>
      <c r="AC27" s="1" t="n">
        <f aca="false">AB27-AA27</f>
        <v>0</v>
      </c>
      <c r="AD27" s="1" t="e">
        <f aca="true">_xlfn.AGGREGATE(1,6,OFFSET($S$5,H27,0,1,$K$2))</f>
        <v>#DIV/0!</v>
      </c>
    </row>
    <row r="28" customFormat="false" ht="14.25" hidden="false" customHeight="false" outlineLevel="0" collapsed="false">
      <c r="H28" s="1" t="n">
        <f aca="false">H27+1</f>
        <v>23</v>
      </c>
      <c r="I28" s="1" t="n">
        <f aca="false">WEEKDAY('daily graphs'!K28)</f>
        <v>1</v>
      </c>
      <c r="J28" s="1" t="n">
        <f aca="false">DAY(L28)</f>
        <v>22</v>
      </c>
      <c r="K28" s="1" t="n">
        <f aca="false">MONTH(L28)</f>
        <v>1</v>
      </c>
      <c r="L28" s="23" t="n">
        <f aca="false">'daily graphs'!K28 - I28</f>
        <v>36547</v>
      </c>
      <c r="M28" s="24" t="n">
        <f aca="true">IF(TODAY()&lt;DATE($O$5,K28,J28),1000000,-1000000)</f>
        <v>-1000000</v>
      </c>
      <c r="N28" s="24" t="e">
        <f aca="false">IF(M28&gt;0,INDEX(big_daily_table,MATCH(DATE(O$5,$K28,$J28),daily_dates,0),MATCH($B$3,daily_items,0)),NA())</f>
        <v>#N/A</v>
      </c>
      <c r="O28" s="1" t="e">
        <f aca="false">IF(M28&lt;0,INDEX(big_daily_table,MATCH(DATE(O$5,$K28,$J28),daily_dates,0),MATCH($B$3,daily_items,0)),NA())</f>
        <v>#N/A</v>
      </c>
      <c r="P28" s="1" t="e">
        <f aca="false">IF(ISBLANK(INDEX(big_daily_table,MATCH(DATE(P$5,$K28,$J28),daily_dates,0),MATCH($B$3,daily_items,0))),NA(),INDEX(big_daily_table,MATCH(DATE(P$5,$K28,$J28),daily_dates,0),MATCH($B$3,daily_items,0)))</f>
        <v>#N/A</v>
      </c>
      <c r="Q28" s="1" t="e">
        <f aca="false">IF(ISBLANK(INDEX(big_daily_table,MATCH(DATE(Q$5,$K28,$J28),daily_dates,0),MATCH($B$3,daily_items,0))),NA(),INDEX(big_daily_table,MATCH(DATE(Q$5,$K28,$J28),daily_dates,0),MATCH($B$3,daily_items,0)))</f>
        <v>#N/A</v>
      </c>
      <c r="R28" s="1" t="e">
        <f aca="false">IF(ISBLANK(INDEX(big_daily_table,MATCH(DATE(R$5,$K28,$J28),daily_dates,0),MATCH($B$3,daily_items,0))),NA(),INDEX(big_daily_table,MATCH(DATE(R$5,$K28,$J28),daily_dates,0),MATCH($B$3,daily_items,0)))</f>
        <v>#N/A</v>
      </c>
      <c r="S28" s="1" t="e">
        <f aca="false">IF(ISBLANK(INDEX(big_daily_table,MATCH(DATE(S$5,$K28,$J28),daily_dates,0),MATCH($B$3,daily_items,0))),NA(),INDEX(big_daily_table,MATCH(DATE(S$5,$K28,$J28),daily_dates,0),MATCH($B$3,daily_items,0)))</f>
        <v>#N/A</v>
      </c>
      <c r="T28" s="1" t="e">
        <f aca="false">IF(ISBLANK(INDEX(big_daily_table,MATCH(DATE(T$5,$K28,$J28),daily_dates,0),MATCH($B$3,daily_items,0))),NA(),INDEX(big_daily_table,MATCH(DATE(T$5,$K28,$J28),daily_dates,0),MATCH($B$3,daily_items,0)))</f>
        <v>#N/A</v>
      </c>
      <c r="U28" s="1" t="e">
        <f aca="false">IF(ISBLANK(INDEX(big_daily_table,MATCH(DATE(U$5,$K28,$J28),daily_dates,0),MATCH($B$3,daily_items,0))),NA(),INDEX(big_daily_table,MATCH(DATE(U$5,$K28,$J28),daily_dates,0),MATCH($B$3,daily_items,0)))</f>
        <v>#N/A</v>
      </c>
      <c r="V28" s="1" t="e">
        <f aca="false">IF(ISBLANK(INDEX(big_daily_table,MATCH(DATE(V$5,$K28,$J28),daily_dates,0),MATCH($B$3,daily_items,0))),NA(),INDEX(big_daily_table,MATCH(DATE(V$5,$K28,$J28),daily_dates,0),MATCH($B$3,daily_items,0)))</f>
        <v>#N/A</v>
      </c>
      <c r="W28" s="1" t="e">
        <f aca="false">IF(ISBLANK(INDEX(big_daily_table,MATCH(DATE(W$5,$K28,$J28),daily_dates,0),MATCH($B$3,daily_items,0))),NA(),INDEX(big_daily_table,MATCH(DATE(W$5,$K28,$J28),daily_dates,0),MATCH($B$3,daily_items,0)))</f>
        <v>#N/A</v>
      </c>
      <c r="X28" s="1" t="e">
        <f aca="false">IF(ISBLANK(INDEX(big_daily_table,MATCH(DATE(X$5,$K28,$J28),daily_dates,0),MATCH($B$3,daily_items,0))),NA(),INDEX(big_daily_table,MATCH(DATE(X$5,$K28,$J28),daily_dates,0),MATCH($B$3,daily_items,0)))</f>
        <v>#N/A</v>
      </c>
      <c r="Y28" s="1" t="e">
        <f aca="false">IF(ISBLANK(INDEX(big_daily_table,MATCH(DATE(Y$5,$K28,$J28),daily_dates,0),MATCH($B$3,daily_items,0))),NA(),INDEX(big_daily_table,MATCH(DATE(Y$5,$K28,$J28),daily_dates,0),MATCH($B$3,daily_items,0)))</f>
        <v>#N/A</v>
      </c>
      <c r="Z28" s="1" t="e">
        <f aca="false">IF(ISBLANK(INDEX(big_daily_table,MATCH(DATE(Z$5,$K28,$J28),daily_dates,0),MATCH($B$3,daily_items,0))),NA(),INDEX(big_daily_table,MATCH(DATE(Z$5,$K28,$J28),daily_dates,0),MATCH($B$3,daily_items,0)))</f>
        <v>#N/A</v>
      </c>
      <c r="AA28" s="1" t="n">
        <f aca="true">_xlfn.AGGREGATE(5,6,OFFSET($S$5,H28,0,1,$K$2))</f>
        <v>0</v>
      </c>
      <c r="AB28" s="1" t="n">
        <f aca="true">_xlfn.AGGREGATE(4,6,OFFSET($S$5,H28,0,1,$K$2))</f>
        <v>0</v>
      </c>
      <c r="AC28" s="1" t="n">
        <f aca="false">AB28-AA28</f>
        <v>0</v>
      </c>
      <c r="AD28" s="1" t="e">
        <f aca="true">_xlfn.AGGREGATE(1,6,OFFSET($S$5,H28,0,1,$K$2))</f>
        <v>#DIV/0!</v>
      </c>
    </row>
    <row r="29" customFormat="false" ht="14.25" hidden="false" customHeight="false" outlineLevel="0" collapsed="false">
      <c r="H29" s="1" t="n">
        <f aca="false">H28+1</f>
        <v>24</v>
      </c>
      <c r="I29" s="1" t="n">
        <f aca="false">WEEKDAY('daily graphs'!K29)</f>
        <v>2</v>
      </c>
      <c r="J29" s="1" t="n">
        <f aca="false">DAY(L29)</f>
        <v>22</v>
      </c>
      <c r="K29" s="1" t="n">
        <f aca="false">MONTH(L29)</f>
        <v>1</v>
      </c>
      <c r="L29" s="23" t="n">
        <f aca="false">'daily graphs'!K29 - I29</f>
        <v>36547</v>
      </c>
      <c r="M29" s="24" t="n">
        <f aca="true">IF(TODAY()&lt;DATE($O$5,K29,J29),1000000,-1000000)</f>
        <v>-1000000</v>
      </c>
      <c r="N29" s="24" t="e">
        <f aca="false">IF(M29&gt;0,INDEX(big_daily_table,MATCH(DATE(O$5,$K29,$J29),daily_dates,0),MATCH($B$3,daily_items,0)),NA())</f>
        <v>#N/A</v>
      </c>
      <c r="O29" s="1" t="e">
        <f aca="false">IF(M29&lt;0,INDEX(big_daily_table,MATCH(DATE(O$5,$K29,$J29),daily_dates,0),MATCH($B$3,daily_items,0)),NA())</f>
        <v>#N/A</v>
      </c>
      <c r="P29" s="1" t="e">
        <f aca="false">IF(ISBLANK(INDEX(big_daily_table,MATCH(DATE(P$5,$K29,$J29),daily_dates,0),MATCH($B$3,daily_items,0))),NA(),INDEX(big_daily_table,MATCH(DATE(P$5,$K29,$J29),daily_dates,0),MATCH($B$3,daily_items,0)))</f>
        <v>#N/A</v>
      </c>
      <c r="Q29" s="1" t="e">
        <f aca="false">IF(ISBLANK(INDEX(big_daily_table,MATCH(DATE(Q$5,$K29,$J29),daily_dates,0),MATCH($B$3,daily_items,0))),NA(),INDEX(big_daily_table,MATCH(DATE(Q$5,$K29,$J29),daily_dates,0),MATCH($B$3,daily_items,0)))</f>
        <v>#N/A</v>
      </c>
      <c r="R29" s="1" t="e">
        <f aca="false">IF(ISBLANK(INDEX(big_daily_table,MATCH(DATE(R$5,$K29,$J29),daily_dates,0),MATCH($B$3,daily_items,0))),NA(),INDEX(big_daily_table,MATCH(DATE(R$5,$K29,$J29),daily_dates,0),MATCH($B$3,daily_items,0)))</f>
        <v>#N/A</v>
      </c>
      <c r="S29" s="1" t="e">
        <f aca="false">IF(ISBLANK(INDEX(big_daily_table,MATCH(DATE(S$5,$K29,$J29),daily_dates,0),MATCH($B$3,daily_items,0))),NA(),INDEX(big_daily_table,MATCH(DATE(S$5,$K29,$J29),daily_dates,0),MATCH($B$3,daily_items,0)))</f>
        <v>#N/A</v>
      </c>
      <c r="T29" s="1" t="e">
        <f aca="false">IF(ISBLANK(INDEX(big_daily_table,MATCH(DATE(T$5,$K29,$J29),daily_dates,0),MATCH($B$3,daily_items,0))),NA(),INDEX(big_daily_table,MATCH(DATE(T$5,$K29,$J29),daily_dates,0),MATCH($B$3,daily_items,0)))</f>
        <v>#N/A</v>
      </c>
      <c r="U29" s="1" t="e">
        <f aca="false">IF(ISBLANK(INDEX(big_daily_table,MATCH(DATE(U$5,$K29,$J29),daily_dates,0),MATCH($B$3,daily_items,0))),NA(),INDEX(big_daily_table,MATCH(DATE(U$5,$K29,$J29),daily_dates,0),MATCH($B$3,daily_items,0)))</f>
        <v>#N/A</v>
      </c>
      <c r="V29" s="1" t="e">
        <f aca="false">IF(ISBLANK(INDEX(big_daily_table,MATCH(DATE(V$5,$K29,$J29),daily_dates,0),MATCH($B$3,daily_items,0))),NA(),INDEX(big_daily_table,MATCH(DATE(V$5,$K29,$J29),daily_dates,0),MATCH($B$3,daily_items,0)))</f>
        <v>#N/A</v>
      </c>
      <c r="W29" s="1" t="e">
        <f aca="false">IF(ISBLANK(INDEX(big_daily_table,MATCH(DATE(W$5,$K29,$J29),daily_dates,0),MATCH($B$3,daily_items,0))),NA(),INDEX(big_daily_table,MATCH(DATE(W$5,$K29,$J29),daily_dates,0),MATCH($B$3,daily_items,0)))</f>
        <v>#N/A</v>
      </c>
      <c r="X29" s="1" t="e">
        <f aca="false">IF(ISBLANK(INDEX(big_daily_table,MATCH(DATE(X$5,$K29,$J29),daily_dates,0),MATCH($B$3,daily_items,0))),NA(),INDEX(big_daily_table,MATCH(DATE(X$5,$K29,$J29),daily_dates,0),MATCH($B$3,daily_items,0)))</f>
        <v>#N/A</v>
      </c>
      <c r="Y29" s="1" t="e">
        <f aca="false">IF(ISBLANK(INDEX(big_daily_table,MATCH(DATE(Y$5,$K29,$J29),daily_dates,0),MATCH($B$3,daily_items,0))),NA(),INDEX(big_daily_table,MATCH(DATE(Y$5,$K29,$J29),daily_dates,0),MATCH($B$3,daily_items,0)))</f>
        <v>#N/A</v>
      </c>
      <c r="Z29" s="1" t="e">
        <f aca="false">IF(ISBLANK(INDEX(big_daily_table,MATCH(DATE(Z$5,$K29,$J29),daily_dates,0),MATCH($B$3,daily_items,0))),NA(),INDEX(big_daily_table,MATCH(DATE(Z$5,$K29,$J29),daily_dates,0),MATCH($B$3,daily_items,0)))</f>
        <v>#N/A</v>
      </c>
      <c r="AA29" s="1" t="n">
        <f aca="true">_xlfn.AGGREGATE(5,6,OFFSET($S$5,H29,0,1,$K$2))</f>
        <v>0</v>
      </c>
      <c r="AB29" s="1" t="n">
        <f aca="true">_xlfn.AGGREGATE(4,6,OFFSET($S$5,H29,0,1,$K$2))</f>
        <v>0</v>
      </c>
      <c r="AC29" s="1" t="n">
        <f aca="false">AB29-AA29</f>
        <v>0</v>
      </c>
      <c r="AD29" s="1" t="e">
        <f aca="true">_xlfn.AGGREGATE(1,6,OFFSET($S$5,H29,0,1,$K$2))</f>
        <v>#DIV/0!</v>
      </c>
    </row>
    <row r="30" customFormat="false" ht="14.25" hidden="false" customHeight="false" outlineLevel="0" collapsed="false">
      <c r="H30" s="1" t="n">
        <f aca="false">H29+1</f>
        <v>25</v>
      </c>
      <c r="I30" s="1" t="n">
        <f aca="false">WEEKDAY('daily graphs'!K30)</f>
        <v>3</v>
      </c>
      <c r="J30" s="1" t="n">
        <f aca="false">DAY(L30)</f>
        <v>22</v>
      </c>
      <c r="K30" s="1" t="n">
        <f aca="false">MONTH(L30)</f>
        <v>1</v>
      </c>
      <c r="L30" s="23" t="n">
        <f aca="false">'daily graphs'!K30 - I30</f>
        <v>36547</v>
      </c>
      <c r="M30" s="24" t="n">
        <f aca="true">IF(TODAY()&lt;DATE($O$5,K30,J30),1000000,-1000000)</f>
        <v>-1000000</v>
      </c>
      <c r="N30" s="24" t="e">
        <f aca="false">IF(M30&gt;0,INDEX(big_daily_table,MATCH(DATE(O$5,$K30,$J30),daily_dates,0),MATCH($B$3,daily_items,0)),NA())</f>
        <v>#N/A</v>
      </c>
      <c r="O30" s="1" t="e">
        <f aca="false">IF(M30&lt;0,INDEX(big_daily_table,MATCH(DATE(O$5,$K30,$J30),daily_dates,0),MATCH($B$3,daily_items,0)),NA())</f>
        <v>#N/A</v>
      </c>
      <c r="P30" s="1" t="e">
        <f aca="false">IF(ISBLANK(INDEX(big_daily_table,MATCH(DATE(P$5,$K30,$J30),daily_dates,0),MATCH($B$3,daily_items,0))),NA(),INDEX(big_daily_table,MATCH(DATE(P$5,$K30,$J30),daily_dates,0),MATCH($B$3,daily_items,0)))</f>
        <v>#N/A</v>
      </c>
      <c r="Q30" s="1" t="e">
        <f aca="false">IF(ISBLANK(INDEX(big_daily_table,MATCH(DATE(Q$5,$K30,$J30),daily_dates,0),MATCH($B$3,daily_items,0))),NA(),INDEX(big_daily_table,MATCH(DATE(Q$5,$K30,$J30),daily_dates,0),MATCH($B$3,daily_items,0)))</f>
        <v>#N/A</v>
      </c>
      <c r="R30" s="1" t="e">
        <f aca="false">IF(ISBLANK(INDEX(big_daily_table,MATCH(DATE(R$5,$K30,$J30),daily_dates,0),MATCH($B$3,daily_items,0))),NA(),INDEX(big_daily_table,MATCH(DATE(R$5,$K30,$J30),daily_dates,0),MATCH($B$3,daily_items,0)))</f>
        <v>#N/A</v>
      </c>
      <c r="S30" s="1" t="e">
        <f aca="false">IF(ISBLANK(INDEX(big_daily_table,MATCH(DATE(S$5,$K30,$J30),daily_dates,0),MATCH($B$3,daily_items,0))),NA(),INDEX(big_daily_table,MATCH(DATE(S$5,$K30,$J30),daily_dates,0),MATCH($B$3,daily_items,0)))</f>
        <v>#N/A</v>
      </c>
      <c r="T30" s="1" t="e">
        <f aca="false">IF(ISBLANK(INDEX(big_daily_table,MATCH(DATE(T$5,$K30,$J30),daily_dates,0),MATCH($B$3,daily_items,0))),NA(),INDEX(big_daily_table,MATCH(DATE(T$5,$K30,$J30),daily_dates,0),MATCH($B$3,daily_items,0)))</f>
        <v>#N/A</v>
      </c>
      <c r="U30" s="1" t="e">
        <f aca="false">IF(ISBLANK(INDEX(big_daily_table,MATCH(DATE(U$5,$K30,$J30),daily_dates,0),MATCH($B$3,daily_items,0))),NA(),INDEX(big_daily_table,MATCH(DATE(U$5,$K30,$J30),daily_dates,0),MATCH($B$3,daily_items,0)))</f>
        <v>#N/A</v>
      </c>
      <c r="V30" s="1" t="e">
        <f aca="false">IF(ISBLANK(INDEX(big_daily_table,MATCH(DATE(V$5,$K30,$J30),daily_dates,0),MATCH($B$3,daily_items,0))),NA(),INDEX(big_daily_table,MATCH(DATE(V$5,$K30,$J30),daily_dates,0),MATCH($B$3,daily_items,0)))</f>
        <v>#N/A</v>
      </c>
      <c r="W30" s="1" t="e">
        <f aca="false">IF(ISBLANK(INDEX(big_daily_table,MATCH(DATE(W$5,$K30,$J30),daily_dates,0),MATCH($B$3,daily_items,0))),NA(),INDEX(big_daily_table,MATCH(DATE(W$5,$K30,$J30),daily_dates,0),MATCH($B$3,daily_items,0)))</f>
        <v>#N/A</v>
      </c>
      <c r="X30" s="1" t="e">
        <f aca="false">IF(ISBLANK(INDEX(big_daily_table,MATCH(DATE(X$5,$K30,$J30),daily_dates,0),MATCH($B$3,daily_items,0))),NA(),INDEX(big_daily_table,MATCH(DATE(X$5,$K30,$J30),daily_dates,0),MATCH($B$3,daily_items,0)))</f>
        <v>#N/A</v>
      </c>
      <c r="Y30" s="1" t="e">
        <f aca="false">IF(ISBLANK(INDEX(big_daily_table,MATCH(DATE(Y$5,$K30,$J30),daily_dates,0),MATCH($B$3,daily_items,0))),NA(),INDEX(big_daily_table,MATCH(DATE(Y$5,$K30,$J30),daily_dates,0),MATCH($B$3,daily_items,0)))</f>
        <v>#N/A</v>
      </c>
      <c r="Z30" s="1" t="e">
        <f aca="false">IF(ISBLANK(INDEX(big_daily_table,MATCH(DATE(Z$5,$K30,$J30),daily_dates,0),MATCH($B$3,daily_items,0))),NA(),INDEX(big_daily_table,MATCH(DATE(Z$5,$K30,$J30),daily_dates,0),MATCH($B$3,daily_items,0)))</f>
        <v>#N/A</v>
      </c>
      <c r="AA30" s="1" t="n">
        <f aca="true">_xlfn.AGGREGATE(5,6,OFFSET($S$5,H30,0,1,$K$2))</f>
        <v>0</v>
      </c>
      <c r="AB30" s="1" t="n">
        <f aca="true">_xlfn.AGGREGATE(4,6,OFFSET($S$5,H30,0,1,$K$2))</f>
        <v>0</v>
      </c>
      <c r="AC30" s="1" t="n">
        <f aca="false">AB30-AA30</f>
        <v>0</v>
      </c>
      <c r="AD30" s="1" t="e">
        <f aca="true">_xlfn.AGGREGATE(1,6,OFFSET($S$5,H30,0,1,$K$2))</f>
        <v>#DIV/0!</v>
      </c>
    </row>
    <row r="31" customFormat="false" ht="14.25" hidden="false" customHeight="false" outlineLevel="0" collapsed="false">
      <c r="H31" s="1" t="n">
        <f aca="false">H30+1</f>
        <v>26</v>
      </c>
      <c r="I31" s="1" t="n">
        <f aca="false">WEEKDAY('daily graphs'!K31)</f>
        <v>4</v>
      </c>
      <c r="J31" s="1" t="n">
        <f aca="false">DAY(L31)</f>
        <v>22</v>
      </c>
      <c r="K31" s="1" t="n">
        <f aca="false">MONTH(L31)</f>
        <v>1</v>
      </c>
      <c r="L31" s="23" t="n">
        <f aca="false">'daily graphs'!K31 - I31</f>
        <v>36547</v>
      </c>
      <c r="M31" s="24" t="n">
        <f aca="true">IF(TODAY()&lt;DATE($O$5,K31,J31),1000000,-1000000)</f>
        <v>-1000000</v>
      </c>
      <c r="N31" s="24" t="e">
        <f aca="false">IF(M31&gt;0,INDEX(big_daily_table,MATCH(DATE(O$5,$K31,$J31),daily_dates,0),MATCH($B$3,daily_items,0)),NA())</f>
        <v>#N/A</v>
      </c>
      <c r="O31" s="1" t="e">
        <f aca="false">IF(M31&lt;0,INDEX(big_daily_table,MATCH(DATE(O$5,$K31,$J31),daily_dates,0),MATCH($B$3,daily_items,0)),NA())</f>
        <v>#N/A</v>
      </c>
      <c r="P31" s="1" t="e">
        <f aca="false">IF(ISBLANK(INDEX(big_daily_table,MATCH(DATE(P$5,$K31,$J31),daily_dates,0),MATCH($B$3,daily_items,0))),NA(),INDEX(big_daily_table,MATCH(DATE(P$5,$K31,$J31),daily_dates,0),MATCH($B$3,daily_items,0)))</f>
        <v>#N/A</v>
      </c>
      <c r="Q31" s="1" t="e">
        <f aca="false">IF(ISBLANK(INDEX(big_daily_table,MATCH(DATE(Q$5,$K31,$J31),daily_dates,0),MATCH($B$3,daily_items,0))),NA(),INDEX(big_daily_table,MATCH(DATE(Q$5,$K31,$J31),daily_dates,0),MATCH($B$3,daily_items,0)))</f>
        <v>#N/A</v>
      </c>
      <c r="R31" s="1" t="e">
        <f aca="false">IF(ISBLANK(INDEX(big_daily_table,MATCH(DATE(R$5,$K31,$J31),daily_dates,0),MATCH($B$3,daily_items,0))),NA(),INDEX(big_daily_table,MATCH(DATE(R$5,$K31,$J31),daily_dates,0),MATCH($B$3,daily_items,0)))</f>
        <v>#N/A</v>
      </c>
      <c r="S31" s="1" t="e">
        <f aca="false">IF(ISBLANK(INDEX(big_daily_table,MATCH(DATE(S$5,$K31,$J31),daily_dates,0),MATCH($B$3,daily_items,0))),NA(),INDEX(big_daily_table,MATCH(DATE(S$5,$K31,$J31),daily_dates,0),MATCH($B$3,daily_items,0)))</f>
        <v>#N/A</v>
      </c>
      <c r="T31" s="1" t="e">
        <f aca="false">IF(ISBLANK(INDEX(big_daily_table,MATCH(DATE(T$5,$K31,$J31),daily_dates,0),MATCH($B$3,daily_items,0))),NA(),INDEX(big_daily_table,MATCH(DATE(T$5,$K31,$J31),daily_dates,0),MATCH($B$3,daily_items,0)))</f>
        <v>#N/A</v>
      </c>
      <c r="U31" s="1" t="e">
        <f aca="false">IF(ISBLANK(INDEX(big_daily_table,MATCH(DATE(U$5,$K31,$J31),daily_dates,0),MATCH($B$3,daily_items,0))),NA(),INDEX(big_daily_table,MATCH(DATE(U$5,$K31,$J31),daily_dates,0),MATCH($B$3,daily_items,0)))</f>
        <v>#N/A</v>
      </c>
      <c r="V31" s="1" t="e">
        <f aca="false">IF(ISBLANK(INDEX(big_daily_table,MATCH(DATE(V$5,$K31,$J31),daily_dates,0),MATCH($B$3,daily_items,0))),NA(),INDEX(big_daily_table,MATCH(DATE(V$5,$K31,$J31),daily_dates,0),MATCH($B$3,daily_items,0)))</f>
        <v>#N/A</v>
      </c>
      <c r="W31" s="1" t="e">
        <f aca="false">IF(ISBLANK(INDEX(big_daily_table,MATCH(DATE(W$5,$K31,$J31),daily_dates,0),MATCH($B$3,daily_items,0))),NA(),INDEX(big_daily_table,MATCH(DATE(W$5,$K31,$J31),daily_dates,0),MATCH($B$3,daily_items,0)))</f>
        <v>#N/A</v>
      </c>
      <c r="X31" s="1" t="e">
        <f aca="false">IF(ISBLANK(INDEX(big_daily_table,MATCH(DATE(X$5,$K31,$J31),daily_dates,0),MATCH($B$3,daily_items,0))),NA(),INDEX(big_daily_table,MATCH(DATE(X$5,$K31,$J31),daily_dates,0),MATCH($B$3,daily_items,0)))</f>
        <v>#N/A</v>
      </c>
      <c r="Y31" s="1" t="e">
        <f aca="false">IF(ISBLANK(INDEX(big_daily_table,MATCH(DATE(Y$5,$K31,$J31),daily_dates,0),MATCH($B$3,daily_items,0))),NA(),INDEX(big_daily_table,MATCH(DATE(Y$5,$K31,$J31),daily_dates,0),MATCH($B$3,daily_items,0)))</f>
        <v>#N/A</v>
      </c>
      <c r="Z31" s="1" t="e">
        <f aca="false">IF(ISBLANK(INDEX(big_daily_table,MATCH(DATE(Z$5,$K31,$J31),daily_dates,0),MATCH($B$3,daily_items,0))),NA(),INDEX(big_daily_table,MATCH(DATE(Z$5,$K31,$J31),daily_dates,0),MATCH($B$3,daily_items,0)))</f>
        <v>#N/A</v>
      </c>
      <c r="AA31" s="1" t="n">
        <f aca="true">_xlfn.AGGREGATE(5,6,OFFSET($S$5,H31,0,1,$K$2))</f>
        <v>0</v>
      </c>
      <c r="AB31" s="1" t="n">
        <f aca="true">_xlfn.AGGREGATE(4,6,OFFSET($S$5,H31,0,1,$K$2))</f>
        <v>0</v>
      </c>
      <c r="AC31" s="1" t="n">
        <f aca="false">AB31-AA31</f>
        <v>0</v>
      </c>
      <c r="AD31" s="1" t="e">
        <f aca="true">_xlfn.AGGREGATE(1,6,OFFSET($S$5,H31,0,1,$K$2))</f>
        <v>#DIV/0!</v>
      </c>
    </row>
    <row r="32" customFormat="false" ht="14.25" hidden="false" customHeight="false" outlineLevel="0" collapsed="false">
      <c r="H32" s="1" t="n">
        <f aca="false">H31+1</f>
        <v>27</v>
      </c>
      <c r="I32" s="1" t="n">
        <f aca="false">WEEKDAY('daily graphs'!K32)</f>
        <v>5</v>
      </c>
      <c r="J32" s="1" t="n">
        <f aca="false">DAY(L32)</f>
        <v>22</v>
      </c>
      <c r="K32" s="1" t="n">
        <f aca="false">MONTH(L32)</f>
        <v>1</v>
      </c>
      <c r="L32" s="23" t="n">
        <f aca="false">'daily graphs'!K32 - I32</f>
        <v>36547</v>
      </c>
      <c r="M32" s="24" t="n">
        <f aca="true">IF(TODAY()&lt;DATE($O$5,K32,J32),1000000,-1000000)</f>
        <v>-1000000</v>
      </c>
      <c r="N32" s="24" t="e">
        <f aca="false">IF(M32&gt;0,INDEX(big_daily_table,MATCH(DATE(O$5,$K32,$J32),daily_dates,0),MATCH($B$3,daily_items,0)),NA())</f>
        <v>#N/A</v>
      </c>
      <c r="O32" s="1" t="e">
        <f aca="false">IF(M32&lt;0,INDEX(big_daily_table,MATCH(DATE(O$5,$K32,$J32),daily_dates,0),MATCH($B$3,daily_items,0)),NA())</f>
        <v>#N/A</v>
      </c>
      <c r="P32" s="1" t="e">
        <f aca="false">IF(ISBLANK(INDEX(big_daily_table,MATCH(DATE(P$5,$K32,$J32),daily_dates,0),MATCH($B$3,daily_items,0))),NA(),INDEX(big_daily_table,MATCH(DATE(P$5,$K32,$J32),daily_dates,0),MATCH($B$3,daily_items,0)))</f>
        <v>#N/A</v>
      </c>
      <c r="Q32" s="1" t="e">
        <f aca="false">IF(ISBLANK(INDEX(big_daily_table,MATCH(DATE(Q$5,$K32,$J32),daily_dates,0),MATCH($B$3,daily_items,0))),NA(),INDEX(big_daily_table,MATCH(DATE(Q$5,$K32,$J32),daily_dates,0),MATCH($B$3,daily_items,0)))</f>
        <v>#N/A</v>
      </c>
      <c r="R32" s="1" t="e">
        <f aca="false">IF(ISBLANK(INDEX(big_daily_table,MATCH(DATE(R$5,$K32,$J32),daily_dates,0),MATCH($B$3,daily_items,0))),NA(),INDEX(big_daily_table,MATCH(DATE(R$5,$K32,$J32),daily_dates,0),MATCH($B$3,daily_items,0)))</f>
        <v>#N/A</v>
      </c>
      <c r="S32" s="1" t="e">
        <f aca="false">IF(ISBLANK(INDEX(big_daily_table,MATCH(DATE(S$5,$K32,$J32),daily_dates,0),MATCH($B$3,daily_items,0))),NA(),INDEX(big_daily_table,MATCH(DATE(S$5,$K32,$J32),daily_dates,0),MATCH($B$3,daily_items,0)))</f>
        <v>#N/A</v>
      </c>
      <c r="T32" s="1" t="e">
        <f aca="false">IF(ISBLANK(INDEX(big_daily_table,MATCH(DATE(T$5,$K32,$J32),daily_dates,0),MATCH($B$3,daily_items,0))),NA(),INDEX(big_daily_table,MATCH(DATE(T$5,$K32,$J32),daily_dates,0),MATCH($B$3,daily_items,0)))</f>
        <v>#N/A</v>
      </c>
      <c r="U32" s="1" t="e">
        <f aca="false">IF(ISBLANK(INDEX(big_daily_table,MATCH(DATE(U$5,$K32,$J32),daily_dates,0),MATCH($B$3,daily_items,0))),NA(),INDEX(big_daily_table,MATCH(DATE(U$5,$K32,$J32),daily_dates,0),MATCH($B$3,daily_items,0)))</f>
        <v>#N/A</v>
      </c>
      <c r="V32" s="1" t="e">
        <f aca="false">IF(ISBLANK(INDEX(big_daily_table,MATCH(DATE(V$5,$K32,$J32),daily_dates,0),MATCH($B$3,daily_items,0))),NA(),INDEX(big_daily_table,MATCH(DATE(V$5,$K32,$J32),daily_dates,0),MATCH($B$3,daily_items,0)))</f>
        <v>#N/A</v>
      </c>
      <c r="W32" s="1" t="e">
        <f aca="false">IF(ISBLANK(INDEX(big_daily_table,MATCH(DATE(W$5,$K32,$J32),daily_dates,0),MATCH($B$3,daily_items,0))),NA(),INDEX(big_daily_table,MATCH(DATE(W$5,$K32,$J32),daily_dates,0),MATCH($B$3,daily_items,0)))</f>
        <v>#N/A</v>
      </c>
      <c r="X32" s="1" t="e">
        <f aca="false">IF(ISBLANK(INDEX(big_daily_table,MATCH(DATE(X$5,$K32,$J32),daily_dates,0),MATCH($B$3,daily_items,0))),NA(),INDEX(big_daily_table,MATCH(DATE(X$5,$K32,$J32),daily_dates,0),MATCH($B$3,daily_items,0)))</f>
        <v>#N/A</v>
      </c>
      <c r="Y32" s="1" t="e">
        <f aca="false">IF(ISBLANK(INDEX(big_daily_table,MATCH(DATE(Y$5,$K32,$J32),daily_dates,0),MATCH($B$3,daily_items,0))),NA(),INDEX(big_daily_table,MATCH(DATE(Y$5,$K32,$J32),daily_dates,0),MATCH($B$3,daily_items,0)))</f>
        <v>#N/A</v>
      </c>
      <c r="Z32" s="1" t="e">
        <f aca="false">IF(ISBLANK(INDEX(big_daily_table,MATCH(DATE(Z$5,$K32,$J32),daily_dates,0),MATCH($B$3,daily_items,0))),NA(),INDEX(big_daily_table,MATCH(DATE(Z$5,$K32,$J32),daily_dates,0),MATCH($B$3,daily_items,0)))</f>
        <v>#N/A</v>
      </c>
      <c r="AA32" s="1" t="n">
        <f aca="true">_xlfn.AGGREGATE(5,6,OFFSET($S$5,H32,0,1,$K$2))</f>
        <v>0</v>
      </c>
      <c r="AB32" s="1" t="n">
        <f aca="true">_xlfn.AGGREGATE(4,6,OFFSET($S$5,H32,0,1,$K$2))</f>
        <v>0</v>
      </c>
      <c r="AC32" s="1" t="n">
        <f aca="false">AB32-AA32</f>
        <v>0</v>
      </c>
      <c r="AD32" s="1" t="e">
        <f aca="true">_xlfn.AGGREGATE(1,6,OFFSET($S$5,H32,0,1,$K$2))</f>
        <v>#DIV/0!</v>
      </c>
    </row>
    <row r="33" customFormat="false" ht="14.25" hidden="false" customHeight="false" outlineLevel="0" collapsed="false">
      <c r="H33" s="1" t="n">
        <f aca="false">H32+1</f>
        <v>28</v>
      </c>
      <c r="I33" s="1" t="n">
        <f aca="false">WEEKDAY('daily graphs'!K33)</f>
        <v>6</v>
      </c>
      <c r="J33" s="1" t="n">
        <f aca="false">DAY(L33)</f>
        <v>22</v>
      </c>
      <c r="K33" s="1" t="n">
        <f aca="false">MONTH(L33)</f>
        <v>1</v>
      </c>
      <c r="L33" s="23" t="n">
        <f aca="false">'daily graphs'!K33 - I33</f>
        <v>36547</v>
      </c>
      <c r="M33" s="24" t="n">
        <f aca="true">IF(TODAY()&lt;DATE($O$5,K33,J33),1000000,-1000000)</f>
        <v>-1000000</v>
      </c>
      <c r="N33" s="24" t="e">
        <f aca="false">IF(M33&gt;0,INDEX(big_daily_table,MATCH(DATE(O$5,$K33,$J33),daily_dates,0),MATCH($B$3,daily_items,0)),NA())</f>
        <v>#N/A</v>
      </c>
      <c r="O33" s="1" t="e">
        <f aca="false">IF(M33&lt;0,INDEX(big_daily_table,MATCH(DATE(O$5,$K33,$J33),daily_dates,0),MATCH($B$3,daily_items,0)),NA())</f>
        <v>#N/A</v>
      </c>
      <c r="P33" s="1" t="e">
        <f aca="false">IF(ISBLANK(INDEX(big_daily_table,MATCH(DATE(P$5,$K33,$J33),daily_dates,0),MATCH($B$3,daily_items,0))),NA(),INDEX(big_daily_table,MATCH(DATE(P$5,$K33,$J33),daily_dates,0),MATCH($B$3,daily_items,0)))</f>
        <v>#N/A</v>
      </c>
      <c r="Q33" s="1" t="e">
        <f aca="false">IF(ISBLANK(INDEX(big_daily_table,MATCH(DATE(Q$5,$K33,$J33),daily_dates,0),MATCH($B$3,daily_items,0))),NA(),INDEX(big_daily_table,MATCH(DATE(Q$5,$K33,$J33),daily_dates,0),MATCH($B$3,daily_items,0)))</f>
        <v>#N/A</v>
      </c>
      <c r="R33" s="1" t="e">
        <f aca="false">IF(ISBLANK(INDEX(big_daily_table,MATCH(DATE(R$5,$K33,$J33),daily_dates,0),MATCH($B$3,daily_items,0))),NA(),INDEX(big_daily_table,MATCH(DATE(R$5,$K33,$J33),daily_dates,0),MATCH($B$3,daily_items,0)))</f>
        <v>#N/A</v>
      </c>
      <c r="S33" s="1" t="e">
        <f aca="false">IF(ISBLANK(INDEX(big_daily_table,MATCH(DATE(S$5,$K33,$J33),daily_dates,0),MATCH($B$3,daily_items,0))),NA(),INDEX(big_daily_table,MATCH(DATE(S$5,$K33,$J33),daily_dates,0),MATCH($B$3,daily_items,0)))</f>
        <v>#N/A</v>
      </c>
      <c r="T33" s="1" t="e">
        <f aca="false">IF(ISBLANK(INDEX(big_daily_table,MATCH(DATE(T$5,$K33,$J33),daily_dates,0),MATCH($B$3,daily_items,0))),NA(),INDEX(big_daily_table,MATCH(DATE(T$5,$K33,$J33),daily_dates,0),MATCH($B$3,daily_items,0)))</f>
        <v>#N/A</v>
      </c>
      <c r="U33" s="1" t="e">
        <f aca="false">IF(ISBLANK(INDEX(big_daily_table,MATCH(DATE(U$5,$K33,$J33),daily_dates,0),MATCH($B$3,daily_items,0))),NA(),INDEX(big_daily_table,MATCH(DATE(U$5,$K33,$J33),daily_dates,0),MATCH($B$3,daily_items,0)))</f>
        <v>#N/A</v>
      </c>
      <c r="V33" s="1" t="e">
        <f aca="false">IF(ISBLANK(INDEX(big_daily_table,MATCH(DATE(V$5,$K33,$J33),daily_dates,0),MATCH($B$3,daily_items,0))),NA(),INDEX(big_daily_table,MATCH(DATE(V$5,$K33,$J33),daily_dates,0),MATCH($B$3,daily_items,0)))</f>
        <v>#N/A</v>
      </c>
      <c r="W33" s="1" t="e">
        <f aca="false">IF(ISBLANK(INDEX(big_daily_table,MATCH(DATE(W$5,$K33,$J33),daily_dates,0),MATCH($B$3,daily_items,0))),NA(),INDEX(big_daily_table,MATCH(DATE(W$5,$K33,$J33),daily_dates,0),MATCH($B$3,daily_items,0)))</f>
        <v>#N/A</v>
      </c>
      <c r="X33" s="1" t="e">
        <f aca="false">IF(ISBLANK(INDEX(big_daily_table,MATCH(DATE(X$5,$K33,$J33),daily_dates,0),MATCH($B$3,daily_items,0))),NA(),INDEX(big_daily_table,MATCH(DATE(X$5,$K33,$J33),daily_dates,0),MATCH($B$3,daily_items,0)))</f>
        <v>#N/A</v>
      </c>
      <c r="Y33" s="1" t="e">
        <f aca="false">IF(ISBLANK(INDEX(big_daily_table,MATCH(DATE(Y$5,$K33,$J33),daily_dates,0),MATCH($B$3,daily_items,0))),NA(),INDEX(big_daily_table,MATCH(DATE(Y$5,$K33,$J33),daily_dates,0),MATCH($B$3,daily_items,0)))</f>
        <v>#N/A</v>
      </c>
      <c r="Z33" s="1" t="e">
        <f aca="false">IF(ISBLANK(INDEX(big_daily_table,MATCH(DATE(Z$5,$K33,$J33),daily_dates,0),MATCH($B$3,daily_items,0))),NA(),INDEX(big_daily_table,MATCH(DATE(Z$5,$K33,$J33),daily_dates,0),MATCH($B$3,daily_items,0)))</f>
        <v>#N/A</v>
      </c>
      <c r="AA33" s="1" t="n">
        <f aca="true">_xlfn.AGGREGATE(5,6,OFFSET($S$5,H33,0,1,$K$2))</f>
        <v>0</v>
      </c>
      <c r="AB33" s="1" t="n">
        <f aca="true">_xlfn.AGGREGATE(4,6,OFFSET($S$5,H33,0,1,$K$2))</f>
        <v>0</v>
      </c>
      <c r="AC33" s="1" t="n">
        <f aca="false">AB33-AA33</f>
        <v>0</v>
      </c>
      <c r="AD33" s="1" t="e">
        <f aca="true">_xlfn.AGGREGATE(1,6,OFFSET($S$5,H33,0,1,$K$2))</f>
        <v>#DIV/0!</v>
      </c>
    </row>
    <row r="34" customFormat="false" ht="14.25" hidden="false" customHeight="false" outlineLevel="0" collapsed="false">
      <c r="H34" s="1" t="n">
        <f aca="false">H33+1</f>
        <v>29</v>
      </c>
      <c r="I34" s="1" t="n">
        <f aca="false">WEEKDAY('daily graphs'!K34)</f>
        <v>7</v>
      </c>
      <c r="J34" s="1" t="n">
        <f aca="false">DAY(L34)</f>
        <v>22</v>
      </c>
      <c r="K34" s="1" t="n">
        <f aca="false">MONTH(L34)</f>
        <v>1</v>
      </c>
      <c r="L34" s="23" t="n">
        <f aca="false">'daily graphs'!K34 - I34</f>
        <v>36547</v>
      </c>
      <c r="M34" s="24" t="n">
        <f aca="true">IF(TODAY()&lt;DATE($O$5,K34,J34),1000000,-1000000)</f>
        <v>-1000000</v>
      </c>
      <c r="N34" s="24" t="e">
        <f aca="false">IF(M34&gt;0,INDEX(big_daily_table,MATCH(DATE(O$5,$K34,$J34),daily_dates,0),MATCH($B$3,daily_items,0)),NA())</f>
        <v>#N/A</v>
      </c>
      <c r="O34" s="1" t="e">
        <f aca="false">IF(M34&lt;0,INDEX(big_daily_table,MATCH(DATE(O$5,$K34,$J34),daily_dates,0),MATCH($B$3,daily_items,0)),NA())</f>
        <v>#N/A</v>
      </c>
      <c r="P34" s="1" t="e">
        <f aca="false">IF(ISBLANK(INDEX(big_daily_table,MATCH(DATE(P$5,$K34,$J34),daily_dates,0),MATCH($B$3,daily_items,0))),NA(),INDEX(big_daily_table,MATCH(DATE(P$5,$K34,$J34),daily_dates,0),MATCH($B$3,daily_items,0)))</f>
        <v>#N/A</v>
      </c>
      <c r="Q34" s="1" t="e">
        <f aca="false">IF(ISBLANK(INDEX(big_daily_table,MATCH(DATE(Q$5,$K34,$J34),daily_dates,0),MATCH($B$3,daily_items,0))),NA(),INDEX(big_daily_table,MATCH(DATE(Q$5,$K34,$J34),daily_dates,0),MATCH($B$3,daily_items,0)))</f>
        <v>#N/A</v>
      </c>
      <c r="R34" s="1" t="e">
        <f aca="false">IF(ISBLANK(INDEX(big_daily_table,MATCH(DATE(R$5,$K34,$J34),daily_dates,0),MATCH($B$3,daily_items,0))),NA(),INDEX(big_daily_table,MATCH(DATE(R$5,$K34,$J34),daily_dates,0),MATCH($B$3,daily_items,0)))</f>
        <v>#N/A</v>
      </c>
      <c r="S34" s="1" t="e">
        <f aca="false">IF(ISBLANK(INDEX(big_daily_table,MATCH(DATE(S$5,$K34,$J34),daily_dates,0),MATCH($B$3,daily_items,0))),NA(),INDEX(big_daily_table,MATCH(DATE(S$5,$K34,$J34),daily_dates,0),MATCH($B$3,daily_items,0)))</f>
        <v>#N/A</v>
      </c>
      <c r="T34" s="1" t="e">
        <f aca="false">IF(ISBLANK(INDEX(big_daily_table,MATCH(DATE(T$5,$K34,$J34),daily_dates,0),MATCH($B$3,daily_items,0))),NA(),INDEX(big_daily_table,MATCH(DATE(T$5,$K34,$J34),daily_dates,0),MATCH($B$3,daily_items,0)))</f>
        <v>#N/A</v>
      </c>
      <c r="U34" s="1" t="e">
        <f aca="false">IF(ISBLANK(INDEX(big_daily_table,MATCH(DATE(U$5,$K34,$J34),daily_dates,0),MATCH($B$3,daily_items,0))),NA(),INDEX(big_daily_table,MATCH(DATE(U$5,$K34,$J34),daily_dates,0),MATCH($B$3,daily_items,0)))</f>
        <v>#N/A</v>
      </c>
      <c r="V34" s="1" t="e">
        <f aca="false">IF(ISBLANK(INDEX(big_daily_table,MATCH(DATE(V$5,$K34,$J34),daily_dates,0),MATCH($B$3,daily_items,0))),NA(),INDEX(big_daily_table,MATCH(DATE(V$5,$K34,$J34),daily_dates,0),MATCH($B$3,daily_items,0)))</f>
        <v>#N/A</v>
      </c>
      <c r="W34" s="1" t="e">
        <f aca="false">IF(ISBLANK(INDEX(big_daily_table,MATCH(DATE(W$5,$K34,$J34),daily_dates,0),MATCH($B$3,daily_items,0))),NA(),INDEX(big_daily_table,MATCH(DATE(W$5,$K34,$J34),daily_dates,0),MATCH($B$3,daily_items,0)))</f>
        <v>#N/A</v>
      </c>
      <c r="X34" s="1" t="e">
        <f aca="false">IF(ISBLANK(INDEX(big_daily_table,MATCH(DATE(X$5,$K34,$J34),daily_dates,0),MATCH($B$3,daily_items,0))),NA(),INDEX(big_daily_table,MATCH(DATE(X$5,$K34,$J34),daily_dates,0),MATCH($B$3,daily_items,0)))</f>
        <v>#N/A</v>
      </c>
      <c r="Y34" s="1" t="e">
        <f aca="false">IF(ISBLANK(INDEX(big_daily_table,MATCH(DATE(Y$5,$K34,$J34),daily_dates,0),MATCH($B$3,daily_items,0))),NA(),INDEX(big_daily_table,MATCH(DATE(Y$5,$K34,$J34),daily_dates,0),MATCH($B$3,daily_items,0)))</f>
        <v>#N/A</v>
      </c>
      <c r="Z34" s="1" t="e">
        <f aca="false">IF(ISBLANK(INDEX(big_daily_table,MATCH(DATE(Z$5,$K34,$J34),daily_dates,0),MATCH($B$3,daily_items,0))),NA(),INDEX(big_daily_table,MATCH(DATE(Z$5,$K34,$J34),daily_dates,0),MATCH($B$3,daily_items,0)))</f>
        <v>#N/A</v>
      </c>
      <c r="AA34" s="1" t="n">
        <f aca="true">_xlfn.AGGREGATE(5,6,OFFSET($S$5,H34,0,1,$K$2))</f>
        <v>0</v>
      </c>
      <c r="AB34" s="1" t="n">
        <f aca="true">_xlfn.AGGREGATE(4,6,OFFSET($S$5,H34,0,1,$K$2))</f>
        <v>0</v>
      </c>
      <c r="AC34" s="1" t="n">
        <f aca="false">AB34-AA34</f>
        <v>0</v>
      </c>
      <c r="AD34" s="1" t="e">
        <f aca="true">_xlfn.AGGREGATE(1,6,OFFSET($S$5,H34,0,1,$K$2))</f>
        <v>#DIV/0!</v>
      </c>
    </row>
    <row r="35" customFormat="false" ht="14.25" hidden="false" customHeight="false" outlineLevel="0" collapsed="false">
      <c r="H35" s="1" t="n">
        <f aca="false">H34+1</f>
        <v>30</v>
      </c>
      <c r="I35" s="1" t="n">
        <f aca="false">WEEKDAY('daily graphs'!K35)</f>
        <v>1</v>
      </c>
      <c r="J35" s="1" t="n">
        <f aca="false">DAY(L35)</f>
        <v>29</v>
      </c>
      <c r="K35" s="1" t="n">
        <f aca="false">MONTH(L35)</f>
        <v>1</v>
      </c>
      <c r="L35" s="23" t="n">
        <f aca="false">'daily graphs'!K35 - I35</f>
        <v>36554</v>
      </c>
      <c r="M35" s="24" t="n">
        <f aca="true">IF(TODAY()&lt;DATE($O$5,K35,J35),1000000,-1000000)</f>
        <v>-1000000</v>
      </c>
      <c r="N35" s="24" t="e">
        <f aca="false">IF(M35&gt;0,INDEX(big_daily_table,MATCH(DATE(O$5,$K35,$J35),daily_dates,0),MATCH($B$3,daily_items,0)),NA())</f>
        <v>#N/A</v>
      </c>
      <c r="O35" s="1" t="e">
        <f aca="false">IF(M35&lt;0,INDEX(big_daily_table,MATCH(DATE(O$5,$K35,$J35),daily_dates,0),MATCH($B$3,daily_items,0)),NA())</f>
        <v>#N/A</v>
      </c>
      <c r="P35" s="1" t="e">
        <f aca="false">IF(ISBLANK(INDEX(big_daily_table,MATCH(DATE(P$5,$K35,$J35),daily_dates,0),MATCH($B$3,daily_items,0))),NA(),INDEX(big_daily_table,MATCH(DATE(P$5,$K35,$J35),daily_dates,0),MATCH($B$3,daily_items,0)))</f>
        <v>#N/A</v>
      </c>
      <c r="Q35" s="1" t="e">
        <f aca="false">IF(ISBLANK(INDEX(big_daily_table,MATCH(DATE(Q$5,$K35,$J35),daily_dates,0),MATCH($B$3,daily_items,0))),NA(),INDEX(big_daily_table,MATCH(DATE(Q$5,$K35,$J35),daily_dates,0),MATCH($B$3,daily_items,0)))</f>
        <v>#N/A</v>
      </c>
      <c r="R35" s="1" t="e">
        <f aca="false">IF(ISBLANK(INDEX(big_daily_table,MATCH(DATE(R$5,$K35,$J35),daily_dates,0),MATCH($B$3,daily_items,0))),NA(),INDEX(big_daily_table,MATCH(DATE(R$5,$K35,$J35),daily_dates,0),MATCH($B$3,daily_items,0)))</f>
        <v>#N/A</v>
      </c>
      <c r="S35" s="1" t="e">
        <f aca="false">IF(ISBLANK(INDEX(big_daily_table,MATCH(DATE(S$5,$K35,$J35),daily_dates,0),MATCH($B$3,daily_items,0))),NA(),INDEX(big_daily_table,MATCH(DATE(S$5,$K35,$J35),daily_dates,0),MATCH($B$3,daily_items,0)))</f>
        <v>#N/A</v>
      </c>
      <c r="T35" s="1" t="e">
        <f aca="false">IF(ISBLANK(INDEX(big_daily_table,MATCH(DATE(T$5,$K35,$J35),daily_dates,0),MATCH($B$3,daily_items,0))),NA(),INDEX(big_daily_table,MATCH(DATE(T$5,$K35,$J35),daily_dates,0),MATCH($B$3,daily_items,0)))</f>
        <v>#N/A</v>
      </c>
      <c r="U35" s="1" t="e">
        <f aca="false">IF(ISBLANK(INDEX(big_daily_table,MATCH(DATE(U$5,$K35,$J35),daily_dates,0),MATCH($B$3,daily_items,0))),NA(),INDEX(big_daily_table,MATCH(DATE(U$5,$K35,$J35),daily_dates,0),MATCH($B$3,daily_items,0)))</f>
        <v>#N/A</v>
      </c>
      <c r="V35" s="1" t="e">
        <f aca="false">IF(ISBLANK(INDEX(big_daily_table,MATCH(DATE(V$5,$K35,$J35),daily_dates,0),MATCH($B$3,daily_items,0))),NA(),INDEX(big_daily_table,MATCH(DATE(V$5,$K35,$J35),daily_dates,0),MATCH($B$3,daily_items,0)))</f>
        <v>#N/A</v>
      </c>
      <c r="W35" s="1" t="e">
        <f aca="false">IF(ISBLANK(INDEX(big_daily_table,MATCH(DATE(W$5,$K35,$J35),daily_dates,0),MATCH($B$3,daily_items,0))),NA(),INDEX(big_daily_table,MATCH(DATE(W$5,$K35,$J35),daily_dates,0),MATCH($B$3,daily_items,0)))</f>
        <v>#N/A</v>
      </c>
      <c r="X35" s="1" t="e">
        <f aca="false">IF(ISBLANK(INDEX(big_daily_table,MATCH(DATE(X$5,$K35,$J35),daily_dates,0),MATCH($B$3,daily_items,0))),NA(),INDEX(big_daily_table,MATCH(DATE(X$5,$K35,$J35),daily_dates,0),MATCH($B$3,daily_items,0)))</f>
        <v>#N/A</v>
      </c>
      <c r="Y35" s="1" t="e">
        <f aca="false">IF(ISBLANK(INDEX(big_daily_table,MATCH(DATE(Y$5,$K35,$J35),daily_dates,0),MATCH($B$3,daily_items,0))),NA(),INDEX(big_daily_table,MATCH(DATE(Y$5,$K35,$J35),daily_dates,0),MATCH($B$3,daily_items,0)))</f>
        <v>#N/A</v>
      </c>
      <c r="Z35" s="1" t="e">
        <f aca="false">IF(ISBLANK(INDEX(big_daily_table,MATCH(DATE(Z$5,$K35,$J35),daily_dates,0),MATCH($B$3,daily_items,0))),NA(),INDEX(big_daily_table,MATCH(DATE(Z$5,$K35,$J35),daily_dates,0),MATCH($B$3,daily_items,0)))</f>
        <v>#N/A</v>
      </c>
      <c r="AA35" s="1" t="n">
        <f aca="true">_xlfn.AGGREGATE(5,6,OFFSET($S$5,H35,0,1,$K$2))</f>
        <v>0</v>
      </c>
      <c r="AB35" s="1" t="n">
        <f aca="true">_xlfn.AGGREGATE(4,6,OFFSET($S$5,H35,0,1,$K$2))</f>
        <v>0</v>
      </c>
      <c r="AC35" s="1" t="n">
        <f aca="false">AB35-AA35</f>
        <v>0</v>
      </c>
      <c r="AD35" s="1" t="e">
        <f aca="true">_xlfn.AGGREGATE(1,6,OFFSET($S$5,H35,0,1,$K$2))</f>
        <v>#DIV/0!</v>
      </c>
    </row>
    <row r="36" customFormat="false" ht="14.25" hidden="false" customHeight="false" outlineLevel="0" collapsed="false">
      <c r="H36" s="1" t="n">
        <f aca="false">H35+1</f>
        <v>31</v>
      </c>
      <c r="I36" s="1" t="n">
        <f aca="false">WEEKDAY('daily graphs'!K36)</f>
        <v>2</v>
      </c>
      <c r="J36" s="1" t="n">
        <f aca="false">DAY(L36)</f>
        <v>29</v>
      </c>
      <c r="K36" s="1" t="n">
        <f aca="false">MONTH(L36)</f>
        <v>1</v>
      </c>
      <c r="L36" s="23" t="n">
        <f aca="false">'daily graphs'!K36 - I36</f>
        <v>36554</v>
      </c>
      <c r="M36" s="24" t="n">
        <f aca="true">IF(TODAY()&lt;DATE($O$5,K36,J36),1000000,-1000000)</f>
        <v>-1000000</v>
      </c>
      <c r="N36" s="24" t="e">
        <f aca="false">IF(M36&gt;0,INDEX(big_daily_table,MATCH(DATE(O$5,$K36,$J36),daily_dates,0),MATCH($B$3,daily_items,0)),NA())</f>
        <v>#N/A</v>
      </c>
      <c r="O36" s="1" t="e">
        <f aca="false">IF(M36&lt;0,INDEX(big_daily_table,MATCH(DATE(O$5,$K36,$J36),daily_dates,0),MATCH($B$3,daily_items,0)),NA())</f>
        <v>#N/A</v>
      </c>
      <c r="P36" s="1" t="e">
        <f aca="false">IF(ISBLANK(INDEX(big_daily_table,MATCH(DATE(P$5,$K36,$J36),daily_dates,0),MATCH($B$3,daily_items,0))),NA(),INDEX(big_daily_table,MATCH(DATE(P$5,$K36,$J36),daily_dates,0),MATCH($B$3,daily_items,0)))</f>
        <v>#N/A</v>
      </c>
      <c r="Q36" s="1" t="e">
        <f aca="false">IF(ISBLANK(INDEX(big_daily_table,MATCH(DATE(Q$5,$K36,$J36),daily_dates,0),MATCH($B$3,daily_items,0))),NA(),INDEX(big_daily_table,MATCH(DATE(Q$5,$K36,$J36),daily_dates,0),MATCH($B$3,daily_items,0)))</f>
        <v>#N/A</v>
      </c>
      <c r="R36" s="1" t="e">
        <f aca="false">IF(ISBLANK(INDEX(big_daily_table,MATCH(DATE(R$5,$K36,$J36),daily_dates,0),MATCH($B$3,daily_items,0))),NA(),INDEX(big_daily_table,MATCH(DATE(R$5,$K36,$J36),daily_dates,0),MATCH($B$3,daily_items,0)))</f>
        <v>#N/A</v>
      </c>
      <c r="S36" s="1" t="e">
        <f aca="false">IF(ISBLANK(INDEX(big_daily_table,MATCH(DATE(S$5,$K36,$J36),daily_dates,0),MATCH($B$3,daily_items,0))),NA(),INDEX(big_daily_table,MATCH(DATE(S$5,$K36,$J36),daily_dates,0),MATCH($B$3,daily_items,0)))</f>
        <v>#N/A</v>
      </c>
      <c r="T36" s="1" t="e">
        <f aca="false">IF(ISBLANK(INDEX(big_daily_table,MATCH(DATE(T$5,$K36,$J36),daily_dates,0),MATCH($B$3,daily_items,0))),NA(),INDEX(big_daily_table,MATCH(DATE(T$5,$K36,$J36),daily_dates,0),MATCH($B$3,daily_items,0)))</f>
        <v>#N/A</v>
      </c>
      <c r="U36" s="1" t="e">
        <f aca="false">IF(ISBLANK(INDEX(big_daily_table,MATCH(DATE(U$5,$K36,$J36),daily_dates,0),MATCH($B$3,daily_items,0))),NA(),INDEX(big_daily_table,MATCH(DATE(U$5,$K36,$J36),daily_dates,0),MATCH($B$3,daily_items,0)))</f>
        <v>#N/A</v>
      </c>
      <c r="V36" s="1" t="e">
        <f aca="false">IF(ISBLANK(INDEX(big_daily_table,MATCH(DATE(V$5,$K36,$J36),daily_dates,0),MATCH($B$3,daily_items,0))),NA(),INDEX(big_daily_table,MATCH(DATE(V$5,$K36,$J36),daily_dates,0),MATCH($B$3,daily_items,0)))</f>
        <v>#N/A</v>
      </c>
      <c r="W36" s="1" t="e">
        <f aca="false">IF(ISBLANK(INDEX(big_daily_table,MATCH(DATE(W$5,$K36,$J36),daily_dates,0),MATCH($B$3,daily_items,0))),NA(),INDEX(big_daily_table,MATCH(DATE(W$5,$K36,$J36),daily_dates,0),MATCH($B$3,daily_items,0)))</f>
        <v>#N/A</v>
      </c>
      <c r="X36" s="1" t="e">
        <f aca="false">IF(ISBLANK(INDEX(big_daily_table,MATCH(DATE(X$5,$K36,$J36),daily_dates,0),MATCH($B$3,daily_items,0))),NA(),INDEX(big_daily_table,MATCH(DATE(X$5,$K36,$J36),daily_dates,0),MATCH($B$3,daily_items,0)))</f>
        <v>#N/A</v>
      </c>
      <c r="Y36" s="1" t="e">
        <f aca="false">IF(ISBLANK(INDEX(big_daily_table,MATCH(DATE(Y$5,$K36,$J36),daily_dates,0),MATCH($B$3,daily_items,0))),NA(),INDEX(big_daily_table,MATCH(DATE(Y$5,$K36,$J36),daily_dates,0),MATCH($B$3,daily_items,0)))</f>
        <v>#N/A</v>
      </c>
      <c r="Z36" s="1" t="e">
        <f aca="false">IF(ISBLANK(INDEX(big_daily_table,MATCH(DATE(Z$5,$K36,$J36),daily_dates,0),MATCH($B$3,daily_items,0))),NA(),INDEX(big_daily_table,MATCH(DATE(Z$5,$K36,$J36),daily_dates,0),MATCH($B$3,daily_items,0)))</f>
        <v>#N/A</v>
      </c>
      <c r="AA36" s="1" t="n">
        <f aca="true">_xlfn.AGGREGATE(5,6,OFFSET($S$5,H36,0,1,$K$2))</f>
        <v>0</v>
      </c>
      <c r="AB36" s="1" t="n">
        <f aca="true">_xlfn.AGGREGATE(4,6,OFFSET($S$5,H36,0,1,$K$2))</f>
        <v>0</v>
      </c>
      <c r="AC36" s="1" t="n">
        <f aca="false">AB36-AA36</f>
        <v>0</v>
      </c>
      <c r="AD36" s="1" t="e">
        <f aca="true">_xlfn.AGGREGATE(1,6,OFFSET($S$5,H36,0,1,$K$2))</f>
        <v>#DIV/0!</v>
      </c>
    </row>
    <row r="37" customFormat="false" ht="14.25" hidden="false" customHeight="false" outlineLevel="0" collapsed="false">
      <c r="H37" s="1" t="n">
        <f aca="false">H36+1</f>
        <v>32</v>
      </c>
      <c r="I37" s="1" t="n">
        <f aca="false">WEEKDAY('daily graphs'!K37)</f>
        <v>3</v>
      </c>
      <c r="J37" s="1" t="n">
        <f aca="false">DAY(L37)</f>
        <v>29</v>
      </c>
      <c r="K37" s="1" t="n">
        <f aca="false">MONTH(L37)</f>
        <v>1</v>
      </c>
      <c r="L37" s="23" t="n">
        <f aca="false">'daily graphs'!K37 - I37</f>
        <v>36554</v>
      </c>
      <c r="M37" s="24" t="n">
        <f aca="true">IF(TODAY()&lt;DATE($O$5,K37,J37),1000000,-1000000)</f>
        <v>-1000000</v>
      </c>
      <c r="N37" s="24" t="e">
        <f aca="false">IF(M37&gt;0,INDEX(big_daily_table,MATCH(DATE(O$5,$K37,$J37),daily_dates,0),MATCH($B$3,daily_items,0)),NA())</f>
        <v>#N/A</v>
      </c>
      <c r="O37" s="1" t="e">
        <f aca="false">IF(M37&lt;0,INDEX(big_daily_table,MATCH(DATE(O$5,$K37,$J37),daily_dates,0),MATCH($B$3,daily_items,0)),NA())</f>
        <v>#N/A</v>
      </c>
      <c r="P37" s="1" t="e">
        <f aca="false">IF(ISBLANK(INDEX(big_daily_table,MATCH(DATE(P$5,$K37,$J37),daily_dates,0),MATCH($B$3,daily_items,0))),NA(),INDEX(big_daily_table,MATCH(DATE(P$5,$K37,$J37),daily_dates,0),MATCH($B$3,daily_items,0)))</f>
        <v>#N/A</v>
      </c>
      <c r="Q37" s="1" t="e">
        <f aca="false">IF(ISBLANK(INDEX(big_daily_table,MATCH(DATE(Q$5,$K37,$J37),daily_dates,0),MATCH($B$3,daily_items,0))),NA(),INDEX(big_daily_table,MATCH(DATE(Q$5,$K37,$J37),daily_dates,0),MATCH($B$3,daily_items,0)))</f>
        <v>#N/A</v>
      </c>
      <c r="R37" s="1" t="e">
        <f aca="false">IF(ISBLANK(INDEX(big_daily_table,MATCH(DATE(R$5,$K37,$J37),daily_dates,0),MATCH($B$3,daily_items,0))),NA(),INDEX(big_daily_table,MATCH(DATE(R$5,$K37,$J37),daily_dates,0),MATCH($B$3,daily_items,0)))</f>
        <v>#N/A</v>
      </c>
      <c r="S37" s="1" t="e">
        <f aca="false">IF(ISBLANK(INDEX(big_daily_table,MATCH(DATE(S$5,$K37,$J37),daily_dates,0),MATCH($B$3,daily_items,0))),NA(),INDEX(big_daily_table,MATCH(DATE(S$5,$K37,$J37),daily_dates,0),MATCH($B$3,daily_items,0)))</f>
        <v>#N/A</v>
      </c>
      <c r="T37" s="1" t="e">
        <f aca="false">IF(ISBLANK(INDEX(big_daily_table,MATCH(DATE(T$5,$K37,$J37),daily_dates,0),MATCH($B$3,daily_items,0))),NA(),INDEX(big_daily_table,MATCH(DATE(T$5,$K37,$J37),daily_dates,0),MATCH($B$3,daily_items,0)))</f>
        <v>#N/A</v>
      </c>
      <c r="U37" s="1" t="e">
        <f aca="false">IF(ISBLANK(INDEX(big_daily_table,MATCH(DATE(U$5,$K37,$J37),daily_dates,0),MATCH($B$3,daily_items,0))),NA(),INDEX(big_daily_table,MATCH(DATE(U$5,$K37,$J37),daily_dates,0),MATCH($B$3,daily_items,0)))</f>
        <v>#N/A</v>
      </c>
      <c r="V37" s="1" t="e">
        <f aca="false">IF(ISBLANK(INDEX(big_daily_table,MATCH(DATE(V$5,$K37,$J37),daily_dates,0),MATCH($B$3,daily_items,0))),NA(),INDEX(big_daily_table,MATCH(DATE(V$5,$K37,$J37),daily_dates,0),MATCH($B$3,daily_items,0)))</f>
        <v>#N/A</v>
      </c>
      <c r="W37" s="1" t="e">
        <f aca="false">IF(ISBLANK(INDEX(big_daily_table,MATCH(DATE(W$5,$K37,$J37),daily_dates,0),MATCH($B$3,daily_items,0))),NA(),INDEX(big_daily_table,MATCH(DATE(W$5,$K37,$J37),daily_dates,0),MATCH($B$3,daily_items,0)))</f>
        <v>#N/A</v>
      </c>
      <c r="X37" s="1" t="e">
        <f aca="false">IF(ISBLANK(INDEX(big_daily_table,MATCH(DATE(X$5,$K37,$J37),daily_dates,0),MATCH($B$3,daily_items,0))),NA(),INDEX(big_daily_table,MATCH(DATE(X$5,$K37,$J37),daily_dates,0),MATCH($B$3,daily_items,0)))</f>
        <v>#N/A</v>
      </c>
      <c r="Y37" s="1" t="e">
        <f aca="false">IF(ISBLANK(INDEX(big_daily_table,MATCH(DATE(Y$5,$K37,$J37),daily_dates,0),MATCH($B$3,daily_items,0))),NA(),INDEX(big_daily_table,MATCH(DATE(Y$5,$K37,$J37),daily_dates,0),MATCH($B$3,daily_items,0)))</f>
        <v>#N/A</v>
      </c>
      <c r="Z37" s="1" t="e">
        <f aca="false">IF(ISBLANK(INDEX(big_daily_table,MATCH(DATE(Z$5,$K37,$J37),daily_dates,0),MATCH($B$3,daily_items,0))),NA(),INDEX(big_daily_table,MATCH(DATE(Z$5,$K37,$J37),daily_dates,0),MATCH($B$3,daily_items,0)))</f>
        <v>#N/A</v>
      </c>
      <c r="AA37" s="1" t="n">
        <f aca="true">_xlfn.AGGREGATE(5,6,OFFSET($S$5,H37,0,1,$K$2))</f>
        <v>0</v>
      </c>
      <c r="AB37" s="1" t="n">
        <f aca="true">_xlfn.AGGREGATE(4,6,OFFSET($S$5,H37,0,1,$K$2))</f>
        <v>0</v>
      </c>
      <c r="AC37" s="1" t="n">
        <f aca="false">AB37-AA37</f>
        <v>0</v>
      </c>
      <c r="AD37" s="1" t="e">
        <f aca="true">_xlfn.AGGREGATE(1,6,OFFSET($S$5,H37,0,1,$K$2))</f>
        <v>#DIV/0!</v>
      </c>
    </row>
    <row r="38" customFormat="false" ht="14.25" hidden="false" customHeight="false" outlineLevel="0" collapsed="false">
      <c r="H38" s="1" t="n">
        <f aca="false">H37+1</f>
        <v>33</v>
      </c>
      <c r="I38" s="1" t="n">
        <f aca="false">WEEKDAY('daily graphs'!K38)</f>
        <v>4</v>
      </c>
      <c r="J38" s="1" t="n">
        <f aca="false">DAY(L38)</f>
        <v>29</v>
      </c>
      <c r="K38" s="1" t="n">
        <f aca="false">MONTH(L38)</f>
        <v>1</v>
      </c>
      <c r="L38" s="23" t="n">
        <f aca="false">'daily graphs'!K38 - I38</f>
        <v>36554</v>
      </c>
      <c r="M38" s="24" t="n">
        <f aca="true">IF(TODAY()&lt;DATE($O$5,K38,J38),1000000,-1000000)</f>
        <v>-1000000</v>
      </c>
      <c r="N38" s="24" t="e">
        <f aca="false">IF(M38&gt;0,INDEX(big_daily_table,MATCH(DATE(O$5,$K38,$J38),daily_dates,0),MATCH($B$3,daily_items,0)),NA())</f>
        <v>#N/A</v>
      </c>
      <c r="O38" s="1" t="e">
        <f aca="false">IF(M38&lt;0,INDEX(big_daily_table,MATCH(DATE(O$5,$K38,$J38),daily_dates,0),MATCH($B$3,daily_items,0)),NA())</f>
        <v>#N/A</v>
      </c>
      <c r="P38" s="1" t="e">
        <f aca="false">IF(ISBLANK(INDEX(big_daily_table,MATCH(DATE(P$5,$K38,$J38),daily_dates,0),MATCH($B$3,daily_items,0))),NA(),INDEX(big_daily_table,MATCH(DATE(P$5,$K38,$J38),daily_dates,0),MATCH($B$3,daily_items,0)))</f>
        <v>#N/A</v>
      </c>
      <c r="Q38" s="1" t="e">
        <f aca="false">IF(ISBLANK(INDEX(big_daily_table,MATCH(DATE(Q$5,$K38,$J38),daily_dates,0),MATCH($B$3,daily_items,0))),NA(),INDEX(big_daily_table,MATCH(DATE(Q$5,$K38,$J38),daily_dates,0),MATCH($B$3,daily_items,0)))</f>
        <v>#N/A</v>
      </c>
      <c r="R38" s="1" t="e">
        <f aca="false">IF(ISBLANK(INDEX(big_daily_table,MATCH(DATE(R$5,$K38,$J38),daily_dates,0),MATCH($B$3,daily_items,0))),NA(),INDEX(big_daily_table,MATCH(DATE(R$5,$K38,$J38),daily_dates,0),MATCH($B$3,daily_items,0)))</f>
        <v>#N/A</v>
      </c>
      <c r="S38" s="1" t="e">
        <f aca="false">IF(ISBLANK(INDEX(big_daily_table,MATCH(DATE(S$5,$K38,$J38),daily_dates,0),MATCH($B$3,daily_items,0))),NA(),INDEX(big_daily_table,MATCH(DATE(S$5,$K38,$J38),daily_dates,0),MATCH($B$3,daily_items,0)))</f>
        <v>#N/A</v>
      </c>
      <c r="T38" s="1" t="e">
        <f aca="false">IF(ISBLANK(INDEX(big_daily_table,MATCH(DATE(T$5,$K38,$J38),daily_dates,0),MATCH($B$3,daily_items,0))),NA(),INDEX(big_daily_table,MATCH(DATE(T$5,$K38,$J38),daily_dates,0),MATCH($B$3,daily_items,0)))</f>
        <v>#N/A</v>
      </c>
      <c r="U38" s="1" t="e">
        <f aca="false">IF(ISBLANK(INDEX(big_daily_table,MATCH(DATE(U$5,$K38,$J38),daily_dates,0),MATCH($B$3,daily_items,0))),NA(),INDEX(big_daily_table,MATCH(DATE(U$5,$K38,$J38),daily_dates,0),MATCH($B$3,daily_items,0)))</f>
        <v>#N/A</v>
      </c>
      <c r="V38" s="1" t="e">
        <f aca="false">IF(ISBLANK(INDEX(big_daily_table,MATCH(DATE(V$5,$K38,$J38),daily_dates,0),MATCH($B$3,daily_items,0))),NA(),INDEX(big_daily_table,MATCH(DATE(V$5,$K38,$J38),daily_dates,0),MATCH($B$3,daily_items,0)))</f>
        <v>#N/A</v>
      </c>
      <c r="W38" s="1" t="e">
        <f aca="false">IF(ISBLANK(INDEX(big_daily_table,MATCH(DATE(W$5,$K38,$J38),daily_dates,0),MATCH($B$3,daily_items,0))),NA(),INDEX(big_daily_table,MATCH(DATE(W$5,$K38,$J38),daily_dates,0),MATCH($B$3,daily_items,0)))</f>
        <v>#N/A</v>
      </c>
      <c r="X38" s="1" t="e">
        <f aca="false">IF(ISBLANK(INDEX(big_daily_table,MATCH(DATE(X$5,$K38,$J38),daily_dates,0),MATCH($B$3,daily_items,0))),NA(),INDEX(big_daily_table,MATCH(DATE(X$5,$K38,$J38),daily_dates,0),MATCH($B$3,daily_items,0)))</f>
        <v>#N/A</v>
      </c>
      <c r="Y38" s="1" t="e">
        <f aca="false">IF(ISBLANK(INDEX(big_daily_table,MATCH(DATE(Y$5,$K38,$J38),daily_dates,0),MATCH($B$3,daily_items,0))),NA(),INDEX(big_daily_table,MATCH(DATE(Y$5,$K38,$J38),daily_dates,0),MATCH($B$3,daily_items,0)))</f>
        <v>#N/A</v>
      </c>
      <c r="Z38" s="1" t="e">
        <f aca="false">IF(ISBLANK(INDEX(big_daily_table,MATCH(DATE(Z$5,$K38,$J38),daily_dates,0),MATCH($B$3,daily_items,0))),NA(),INDEX(big_daily_table,MATCH(DATE(Z$5,$K38,$J38),daily_dates,0),MATCH($B$3,daily_items,0)))</f>
        <v>#N/A</v>
      </c>
      <c r="AA38" s="1" t="n">
        <f aca="true">_xlfn.AGGREGATE(5,6,OFFSET($S$5,H38,0,1,$K$2))</f>
        <v>0</v>
      </c>
      <c r="AB38" s="1" t="n">
        <f aca="true">_xlfn.AGGREGATE(4,6,OFFSET($S$5,H38,0,1,$K$2))</f>
        <v>0</v>
      </c>
      <c r="AC38" s="1" t="n">
        <f aca="false">AB38-AA38</f>
        <v>0</v>
      </c>
      <c r="AD38" s="1" t="e">
        <f aca="true">_xlfn.AGGREGATE(1,6,OFFSET($S$5,H38,0,1,$K$2))</f>
        <v>#DIV/0!</v>
      </c>
    </row>
    <row r="39" customFormat="false" ht="14.25" hidden="false" customHeight="false" outlineLevel="0" collapsed="false">
      <c r="H39" s="1" t="n">
        <f aca="false">H38+1</f>
        <v>34</v>
      </c>
      <c r="I39" s="1" t="n">
        <f aca="false">WEEKDAY('daily graphs'!K39)</f>
        <v>5</v>
      </c>
      <c r="J39" s="1" t="n">
        <f aca="false">DAY(L39)</f>
        <v>29</v>
      </c>
      <c r="K39" s="1" t="n">
        <f aca="false">MONTH(L39)</f>
        <v>1</v>
      </c>
      <c r="L39" s="23" t="n">
        <f aca="false">'daily graphs'!K39 - I39</f>
        <v>36554</v>
      </c>
      <c r="M39" s="24" t="n">
        <f aca="true">IF(TODAY()&lt;DATE($O$5,K39,J39),1000000,-1000000)</f>
        <v>-1000000</v>
      </c>
      <c r="N39" s="24" t="e">
        <f aca="false">IF(M39&gt;0,INDEX(big_daily_table,MATCH(DATE(O$5,$K39,$J39),daily_dates,0),MATCH($B$3,daily_items,0)),NA())</f>
        <v>#N/A</v>
      </c>
      <c r="O39" s="1" t="e">
        <f aca="false">IF(M39&lt;0,INDEX(big_daily_table,MATCH(DATE(O$5,$K39,$J39),daily_dates,0),MATCH($B$3,daily_items,0)),NA())</f>
        <v>#N/A</v>
      </c>
      <c r="P39" s="1" t="e">
        <f aca="false">IF(ISBLANK(INDEX(big_daily_table,MATCH(DATE(P$5,$K39,$J39),daily_dates,0),MATCH($B$3,daily_items,0))),NA(),INDEX(big_daily_table,MATCH(DATE(P$5,$K39,$J39),daily_dates,0),MATCH($B$3,daily_items,0)))</f>
        <v>#N/A</v>
      </c>
      <c r="Q39" s="1" t="e">
        <f aca="false">IF(ISBLANK(INDEX(big_daily_table,MATCH(DATE(Q$5,$K39,$J39),daily_dates,0),MATCH($B$3,daily_items,0))),NA(),INDEX(big_daily_table,MATCH(DATE(Q$5,$K39,$J39),daily_dates,0),MATCH($B$3,daily_items,0)))</f>
        <v>#N/A</v>
      </c>
      <c r="R39" s="1" t="e">
        <f aca="false">IF(ISBLANK(INDEX(big_daily_table,MATCH(DATE(R$5,$K39,$J39),daily_dates,0),MATCH($B$3,daily_items,0))),NA(),INDEX(big_daily_table,MATCH(DATE(R$5,$K39,$J39),daily_dates,0),MATCH($B$3,daily_items,0)))</f>
        <v>#N/A</v>
      </c>
      <c r="S39" s="1" t="e">
        <f aca="false">IF(ISBLANK(INDEX(big_daily_table,MATCH(DATE(S$5,$K39,$J39),daily_dates,0),MATCH($B$3,daily_items,0))),NA(),INDEX(big_daily_table,MATCH(DATE(S$5,$K39,$J39),daily_dates,0),MATCH($B$3,daily_items,0)))</f>
        <v>#N/A</v>
      </c>
      <c r="T39" s="1" t="e">
        <f aca="false">IF(ISBLANK(INDEX(big_daily_table,MATCH(DATE(T$5,$K39,$J39),daily_dates,0),MATCH($B$3,daily_items,0))),NA(),INDEX(big_daily_table,MATCH(DATE(T$5,$K39,$J39),daily_dates,0),MATCH($B$3,daily_items,0)))</f>
        <v>#N/A</v>
      </c>
      <c r="U39" s="1" t="e">
        <f aca="false">IF(ISBLANK(INDEX(big_daily_table,MATCH(DATE(U$5,$K39,$J39),daily_dates,0),MATCH($B$3,daily_items,0))),NA(),INDEX(big_daily_table,MATCH(DATE(U$5,$K39,$J39),daily_dates,0),MATCH($B$3,daily_items,0)))</f>
        <v>#N/A</v>
      </c>
      <c r="V39" s="1" t="e">
        <f aca="false">IF(ISBLANK(INDEX(big_daily_table,MATCH(DATE(V$5,$K39,$J39),daily_dates,0),MATCH($B$3,daily_items,0))),NA(),INDEX(big_daily_table,MATCH(DATE(V$5,$K39,$J39),daily_dates,0),MATCH($B$3,daily_items,0)))</f>
        <v>#N/A</v>
      </c>
      <c r="W39" s="1" t="e">
        <f aca="false">IF(ISBLANK(INDEX(big_daily_table,MATCH(DATE(W$5,$K39,$J39),daily_dates,0),MATCH($B$3,daily_items,0))),NA(),INDEX(big_daily_table,MATCH(DATE(W$5,$K39,$J39),daily_dates,0),MATCH($B$3,daily_items,0)))</f>
        <v>#N/A</v>
      </c>
      <c r="X39" s="1" t="e">
        <f aca="false">IF(ISBLANK(INDEX(big_daily_table,MATCH(DATE(X$5,$K39,$J39),daily_dates,0),MATCH($B$3,daily_items,0))),NA(),INDEX(big_daily_table,MATCH(DATE(X$5,$K39,$J39),daily_dates,0),MATCH($B$3,daily_items,0)))</f>
        <v>#N/A</v>
      </c>
      <c r="Y39" s="1" t="e">
        <f aca="false">IF(ISBLANK(INDEX(big_daily_table,MATCH(DATE(Y$5,$K39,$J39),daily_dates,0),MATCH($B$3,daily_items,0))),NA(),INDEX(big_daily_table,MATCH(DATE(Y$5,$K39,$J39),daily_dates,0),MATCH($B$3,daily_items,0)))</f>
        <v>#N/A</v>
      </c>
      <c r="Z39" s="1" t="e">
        <f aca="false">IF(ISBLANK(INDEX(big_daily_table,MATCH(DATE(Z$5,$K39,$J39),daily_dates,0),MATCH($B$3,daily_items,0))),NA(),INDEX(big_daily_table,MATCH(DATE(Z$5,$K39,$J39),daily_dates,0),MATCH($B$3,daily_items,0)))</f>
        <v>#N/A</v>
      </c>
      <c r="AA39" s="1" t="n">
        <f aca="true">_xlfn.AGGREGATE(5,6,OFFSET($S$5,H39,0,1,$K$2))</f>
        <v>0</v>
      </c>
      <c r="AB39" s="1" t="n">
        <f aca="true">_xlfn.AGGREGATE(4,6,OFFSET($S$5,H39,0,1,$K$2))</f>
        <v>0</v>
      </c>
      <c r="AC39" s="1" t="n">
        <f aca="false">AB39-AA39</f>
        <v>0</v>
      </c>
      <c r="AD39" s="1" t="e">
        <f aca="true">_xlfn.AGGREGATE(1,6,OFFSET($S$5,H39,0,1,$K$2))</f>
        <v>#DIV/0!</v>
      </c>
    </row>
    <row r="40" customFormat="false" ht="14.25" hidden="false" customHeight="false" outlineLevel="0" collapsed="false">
      <c r="H40" s="1" t="n">
        <f aca="false">H39+1</f>
        <v>35</v>
      </c>
      <c r="I40" s="1" t="n">
        <f aca="false">WEEKDAY('daily graphs'!K40)</f>
        <v>6</v>
      </c>
      <c r="J40" s="1" t="n">
        <f aca="false">DAY(L40)</f>
        <v>29</v>
      </c>
      <c r="K40" s="1" t="n">
        <f aca="false">MONTH(L40)</f>
        <v>1</v>
      </c>
      <c r="L40" s="23" t="n">
        <f aca="false">'daily graphs'!K40 - I40</f>
        <v>36554</v>
      </c>
      <c r="M40" s="24" t="n">
        <f aca="true">IF(TODAY()&lt;DATE($O$5,K40,J40),1000000,-1000000)</f>
        <v>-1000000</v>
      </c>
      <c r="N40" s="24" t="e">
        <f aca="false">IF(M40&gt;0,INDEX(big_daily_table,MATCH(DATE(O$5,$K40,$J40),daily_dates,0),MATCH($B$3,daily_items,0)),NA())</f>
        <v>#N/A</v>
      </c>
      <c r="O40" s="1" t="e">
        <f aca="false">IF(M40&lt;0,INDEX(big_daily_table,MATCH(DATE(O$5,$K40,$J40),daily_dates,0),MATCH($B$3,daily_items,0)),NA())</f>
        <v>#N/A</v>
      </c>
      <c r="P40" s="1" t="e">
        <f aca="false">IF(ISBLANK(INDEX(big_daily_table,MATCH(DATE(P$5,$K40,$J40),daily_dates,0),MATCH($B$3,daily_items,0))),NA(),INDEX(big_daily_table,MATCH(DATE(P$5,$K40,$J40),daily_dates,0),MATCH($B$3,daily_items,0)))</f>
        <v>#N/A</v>
      </c>
      <c r="Q40" s="1" t="e">
        <f aca="false">IF(ISBLANK(INDEX(big_daily_table,MATCH(DATE(Q$5,$K40,$J40),daily_dates,0),MATCH($B$3,daily_items,0))),NA(),INDEX(big_daily_table,MATCH(DATE(Q$5,$K40,$J40),daily_dates,0),MATCH($B$3,daily_items,0)))</f>
        <v>#N/A</v>
      </c>
      <c r="R40" s="1" t="e">
        <f aca="false">IF(ISBLANK(INDEX(big_daily_table,MATCH(DATE(R$5,$K40,$J40),daily_dates,0),MATCH($B$3,daily_items,0))),NA(),INDEX(big_daily_table,MATCH(DATE(R$5,$K40,$J40),daily_dates,0),MATCH($B$3,daily_items,0)))</f>
        <v>#N/A</v>
      </c>
      <c r="S40" s="1" t="e">
        <f aca="false">IF(ISBLANK(INDEX(big_daily_table,MATCH(DATE(S$5,$K40,$J40),daily_dates,0),MATCH($B$3,daily_items,0))),NA(),INDEX(big_daily_table,MATCH(DATE(S$5,$K40,$J40),daily_dates,0),MATCH($B$3,daily_items,0)))</f>
        <v>#N/A</v>
      </c>
      <c r="T40" s="1" t="e">
        <f aca="false">IF(ISBLANK(INDEX(big_daily_table,MATCH(DATE(T$5,$K40,$J40),daily_dates,0),MATCH($B$3,daily_items,0))),NA(),INDEX(big_daily_table,MATCH(DATE(T$5,$K40,$J40),daily_dates,0),MATCH($B$3,daily_items,0)))</f>
        <v>#N/A</v>
      </c>
      <c r="U40" s="1" t="e">
        <f aca="false">IF(ISBLANK(INDEX(big_daily_table,MATCH(DATE(U$5,$K40,$J40),daily_dates,0),MATCH($B$3,daily_items,0))),NA(),INDEX(big_daily_table,MATCH(DATE(U$5,$K40,$J40),daily_dates,0),MATCH($B$3,daily_items,0)))</f>
        <v>#N/A</v>
      </c>
      <c r="V40" s="1" t="e">
        <f aca="false">IF(ISBLANK(INDEX(big_daily_table,MATCH(DATE(V$5,$K40,$J40),daily_dates,0),MATCH($B$3,daily_items,0))),NA(),INDEX(big_daily_table,MATCH(DATE(V$5,$K40,$J40),daily_dates,0),MATCH($B$3,daily_items,0)))</f>
        <v>#N/A</v>
      </c>
      <c r="W40" s="1" t="e">
        <f aca="false">IF(ISBLANK(INDEX(big_daily_table,MATCH(DATE(W$5,$K40,$J40),daily_dates,0),MATCH($B$3,daily_items,0))),NA(),INDEX(big_daily_table,MATCH(DATE(W$5,$K40,$J40),daily_dates,0),MATCH($B$3,daily_items,0)))</f>
        <v>#N/A</v>
      </c>
      <c r="X40" s="1" t="e">
        <f aca="false">IF(ISBLANK(INDEX(big_daily_table,MATCH(DATE(X$5,$K40,$J40),daily_dates,0),MATCH($B$3,daily_items,0))),NA(),INDEX(big_daily_table,MATCH(DATE(X$5,$K40,$J40),daily_dates,0),MATCH($B$3,daily_items,0)))</f>
        <v>#N/A</v>
      </c>
      <c r="Y40" s="1" t="e">
        <f aca="false">IF(ISBLANK(INDEX(big_daily_table,MATCH(DATE(Y$5,$K40,$J40),daily_dates,0),MATCH($B$3,daily_items,0))),NA(),INDEX(big_daily_table,MATCH(DATE(Y$5,$K40,$J40),daily_dates,0),MATCH($B$3,daily_items,0)))</f>
        <v>#N/A</v>
      </c>
      <c r="Z40" s="1" t="e">
        <f aca="false">IF(ISBLANK(INDEX(big_daily_table,MATCH(DATE(Z$5,$K40,$J40),daily_dates,0),MATCH($B$3,daily_items,0))),NA(),INDEX(big_daily_table,MATCH(DATE(Z$5,$K40,$J40),daily_dates,0),MATCH($B$3,daily_items,0)))</f>
        <v>#N/A</v>
      </c>
      <c r="AA40" s="1" t="n">
        <f aca="true">_xlfn.AGGREGATE(5,6,OFFSET($S$5,H40,0,1,$K$2))</f>
        <v>0</v>
      </c>
      <c r="AB40" s="1" t="n">
        <f aca="true">_xlfn.AGGREGATE(4,6,OFFSET($S$5,H40,0,1,$K$2))</f>
        <v>0</v>
      </c>
      <c r="AC40" s="1" t="n">
        <f aca="false">AB40-AA40</f>
        <v>0</v>
      </c>
      <c r="AD40" s="1" t="e">
        <f aca="true">_xlfn.AGGREGATE(1,6,OFFSET($S$5,H40,0,1,$K$2))</f>
        <v>#DIV/0!</v>
      </c>
    </row>
    <row r="41" customFormat="false" ht="14.25" hidden="false" customHeight="false" outlineLevel="0" collapsed="false">
      <c r="H41" s="1" t="n">
        <f aca="false">H40+1</f>
        <v>36</v>
      </c>
      <c r="I41" s="1" t="n">
        <f aca="false">WEEKDAY('daily graphs'!K41)</f>
        <v>7</v>
      </c>
      <c r="J41" s="1" t="n">
        <f aca="false">DAY(L41)</f>
        <v>29</v>
      </c>
      <c r="K41" s="1" t="n">
        <f aca="false">MONTH(L41)</f>
        <v>1</v>
      </c>
      <c r="L41" s="23" t="n">
        <f aca="false">'daily graphs'!K41 - I41</f>
        <v>36554</v>
      </c>
      <c r="M41" s="24" t="n">
        <f aca="true">IF(TODAY()&lt;DATE($O$5,K41,J41),1000000,-1000000)</f>
        <v>-1000000</v>
      </c>
      <c r="N41" s="24" t="e">
        <f aca="false">IF(M41&gt;0,INDEX(big_daily_table,MATCH(DATE(O$5,$K41,$J41),daily_dates,0),MATCH($B$3,daily_items,0)),NA())</f>
        <v>#N/A</v>
      </c>
      <c r="O41" s="1" t="e">
        <f aca="false">IF(M41&lt;0,INDEX(big_daily_table,MATCH(DATE(O$5,$K41,$J41),daily_dates,0),MATCH($B$3,daily_items,0)),NA())</f>
        <v>#N/A</v>
      </c>
      <c r="P41" s="1" t="e">
        <f aca="false">IF(ISBLANK(INDEX(big_daily_table,MATCH(DATE(P$5,$K41,$J41),daily_dates,0),MATCH($B$3,daily_items,0))),NA(),INDEX(big_daily_table,MATCH(DATE(P$5,$K41,$J41),daily_dates,0),MATCH($B$3,daily_items,0)))</f>
        <v>#N/A</v>
      </c>
      <c r="Q41" s="1" t="e">
        <f aca="false">IF(ISBLANK(INDEX(big_daily_table,MATCH(DATE(Q$5,$K41,$J41),daily_dates,0),MATCH($B$3,daily_items,0))),NA(),INDEX(big_daily_table,MATCH(DATE(Q$5,$K41,$J41),daily_dates,0),MATCH($B$3,daily_items,0)))</f>
        <v>#N/A</v>
      </c>
      <c r="R41" s="1" t="e">
        <f aca="false">IF(ISBLANK(INDEX(big_daily_table,MATCH(DATE(R$5,$K41,$J41),daily_dates,0),MATCH($B$3,daily_items,0))),NA(),INDEX(big_daily_table,MATCH(DATE(R$5,$K41,$J41),daily_dates,0),MATCH($B$3,daily_items,0)))</f>
        <v>#N/A</v>
      </c>
      <c r="S41" s="1" t="e">
        <f aca="false">IF(ISBLANK(INDEX(big_daily_table,MATCH(DATE(S$5,$K41,$J41),daily_dates,0),MATCH($B$3,daily_items,0))),NA(),INDEX(big_daily_table,MATCH(DATE(S$5,$K41,$J41),daily_dates,0),MATCH($B$3,daily_items,0)))</f>
        <v>#N/A</v>
      </c>
      <c r="T41" s="1" t="e">
        <f aca="false">IF(ISBLANK(INDEX(big_daily_table,MATCH(DATE(T$5,$K41,$J41),daily_dates,0),MATCH($B$3,daily_items,0))),NA(),INDEX(big_daily_table,MATCH(DATE(T$5,$K41,$J41),daily_dates,0),MATCH($B$3,daily_items,0)))</f>
        <v>#N/A</v>
      </c>
      <c r="U41" s="1" t="e">
        <f aca="false">IF(ISBLANK(INDEX(big_daily_table,MATCH(DATE(U$5,$K41,$J41),daily_dates,0),MATCH($B$3,daily_items,0))),NA(),INDEX(big_daily_table,MATCH(DATE(U$5,$K41,$J41),daily_dates,0),MATCH($B$3,daily_items,0)))</f>
        <v>#N/A</v>
      </c>
      <c r="V41" s="1" t="e">
        <f aca="false">IF(ISBLANK(INDEX(big_daily_table,MATCH(DATE(V$5,$K41,$J41),daily_dates,0),MATCH($B$3,daily_items,0))),NA(),INDEX(big_daily_table,MATCH(DATE(V$5,$K41,$J41),daily_dates,0),MATCH($B$3,daily_items,0)))</f>
        <v>#N/A</v>
      </c>
      <c r="W41" s="1" t="e">
        <f aca="false">IF(ISBLANK(INDEX(big_daily_table,MATCH(DATE(W$5,$K41,$J41),daily_dates,0),MATCH($B$3,daily_items,0))),NA(),INDEX(big_daily_table,MATCH(DATE(W$5,$K41,$J41),daily_dates,0),MATCH($B$3,daily_items,0)))</f>
        <v>#N/A</v>
      </c>
      <c r="X41" s="1" t="e">
        <f aca="false">IF(ISBLANK(INDEX(big_daily_table,MATCH(DATE(X$5,$K41,$J41),daily_dates,0),MATCH($B$3,daily_items,0))),NA(),INDEX(big_daily_table,MATCH(DATE(X$5,$K41,$J41),daily_dates,0),MATCH($B$3,daily_items,0)))</f>
        <v>#N/A</v>
      </c>
      <c r="Y41" s="1" t="e">
        <f aca="false">IF(ISBLANK(INDEX(big_daily_table,MATCH(DATE(Y$5,$K41,$J41),daily_dates,0),MATCH($B$3,daily_items,0))),NA(),INDEX(big_daily_table,MATCH(DATE(Y$5,$K41,$J41),daily_dates,0),MATCH($B$3,daily_items,0)))</f>
        <v>#N/A</v>
      </c>
      <c r="Z41" s="1" t="e">
        <f aca="false">IF(ISBLANK(INDEX(big_daily_table,MATCH(DATE(Z$5,$K41,$J41),daily_dates,0),MATCH($B$3,daily_items,0))),NA(),INDEX(big_daily_table,MATCH(DATE(Z$5,$K41,$J41),daily_dates,0),MATCH($B$3,daily_items,0)))</f>
        <v>#N/A</v>
      </c>
      <c r="AA41" s="1" t="n">
        <f aca="true">_xlfn.AGGREGATE(5,6,OFFSET($S$5,H41,0,1,$K$2))</f>
        <v>0</v>
      </c>
      <c r="AB41" s="1" t="n">
        <f aca="true">_xlfn.AGGREGATE(4,6,OFFSET($S$5,H41,0,1,$K$2))</f>
        <v>0</v>
      </c>
      <c r="AC41" s="1" t="n">
        <f aca="false">AB41-AA41</f>
        <v>0</v>
      </c>
      <c r="AD41" s="1" t="e">
        <f aca="true">_xlfn.AGGREGATE(1,6,OFFSET($S$5,H41,0,1,$K$2))</f>
        <v>#DIV/0!</v>
      </c>
    </row>
    <row r="42" customFormat="false" ht="14.25" hidden="false" customHeight="false" outlineLevel="0" collapsed="false">
      <c r="H42" s="1" t="n">
        <f aca="false">H41+1</f>
        <v>37</v>
      </c>
      <c r="I42" s="1" t="n">
        <f aca="false">WEEKDAY('daily graphs'!K42)</f>
        <v>1</v>
      </c>
      <c r="J42" s="1" t="n">
        <f aca="false">DAY(L42)</f>
        <v>5</v>
      </c>
      <c r="K42" s="1" t="n">
        <f aca="false">MONTH(L42)</f>
        <v>2</v>
      </c>
      <c r="L42" s="23" t="n">
        <f aca="false">'daily graphs'!K42 - I42</f>
        <v>36561</v>
      </c>
      <c r="M42" s="24" t="n">
        <f aca="true">IF(TODAY()&lt;DATE($O$5,K42,J42),1000000,-1000000)</f>
        <v>-1000000</v>
      </c>
      <c r="N42" s="24" t="e">
        <f aca="false">IF(M42&gt;0,INDEX(big_daily_table,MATCH(DATE(O$5,$K42,$J42),daily_dates,0),MATCH($B$3,daily_items,0)),NA())</f>
        <v>#N/A</v>
      </c>
      <c r="O42" s="1" t="e">
        <f aca="false">IF(M42&lt;0,INDEX(big_daily_table,MATCH(DATE(O$5,$K42,$J42),daily_dates,0),MATCH($B$3,daily_items,0)),NA())</f>
        <v>#N/A</v>
      </c>
      <c r="P42" s="1" t="e">
        <f aca="false">IF(ISBLANK(INDEX(big_daily_table,MATCH(DATE(P$5,$K42,$J42),daily_dates,0),MATCH($B$3,daily_items,0))),NA(),INDEX(big_daily_table,MATCH(DATE(P$5,$K42,$J42),daily_dates,0),MATCH($B$3,daily_items,0)))</f>
        <v>#N/A</v>
      </c>
      <c r="Q42" s="1" t="e">
        <f aca="false">IF(ISBLANK(INDEX(big_daily_table,MATCH(DATE(Q$5,$K42,$J42),daily_dates,0),MATCH($B$3,daily_items,0))),NA(),INDEX(big_daily_table,MATCH(DATE(Q$5,$K42,$J42),daily_dates,0),MATCH($B$3,daily_items,0)))</f>
        <v>#N/A</v>
      </c>
      <c r="R42" s="1" t="e">
        <f aca="false">IF(ISBLANK(INDEX(big_daily_table,MATCH(DATE(R$5,$K42,$J42),daily_dates,0),MATCH($B$3,daily_items,0))),NA(),INDEX(big_daily_table,MATCH(DATE(R$5,$K42,$J42),daily_dates,0),MATCH($B$3,daily_items,0)))</f>
        <v>#N/A</v>
      </c>
      <c r="S42" s="1" t="e">
        <f aca="false">IF(ISBLANK(INDEX(big_daily_table,MATCH(DATE(S$5,$K42,$J42),daily_dates,0),MATCH($B$3,daily_items,0))),NA(),INDEX(big_daily_table,MATCH(DATE(S$5,$K42,$J42),daily_dates,0),MATCH($B$3,daily_items,0)))</f>
        <v>#N/A</v>
      </c>
      <c r="T42" s="1" t="e">
        <f aca="false">IF(ISBLANK(INDEX(big_daily_table,MATCH(DATE(T$5,$K42,$J42),daily_dates,0),MATCH($B$3,daily_items,0))),NA(),INDEX(big_daily_table,MATCH(DATE(T$5,$K42,$J42),daily_dates,0),MATCH($B$3,daily_items,0)))</f>
        <v>#N/A</v>
      </c>
      <c r="U42" s="1" t="e">
        <f aca="false">IF(ISBLANK(INDEX(big_daily_table,MATCH(DATE(U$5,$K42,$J42),daily_dates,0),MATCH($B$3,daily_items,0))),NA(),INDEX(big_daily_table,MATCH(DATE(U$5,$K42,$J42),daily_dates,0),MATCH($B$3,daily_items,0)))</f>
        <v>#N/A</v>
      </c>
      <c r="V42" s="1" t="e">
        <f aca="false">IF(ISBLANK(INDEX(big_daily_table,MATCH(DATE(V$5,$K42,$J42),daily_dates,0),MATCH($B$3,daily_items,0))),NA(),INDEX(big_daily_table,MATCH(DATE(V$5,$K42,$J42),daily_dates,0),MATCH($B$3,daily_items,0)))</f>
        <v>#N/A</v>
      </c>
      <c r="W42" s="1" t="e">
        <f aca="false">IF(ISBLANK(INDEX(big_daily_table,MATCH(DATE(W$5,$K42,$J42),daily_dates,0),MATCH($B$3,daily_items,0))),NA(),INDEX(big_daily_table,MATCH(DATE(W$5,$K42,$J42),daily_dates,0),MATCH($B$3,daily_items,0)))</f>
        <v>#N/A</v>
      </c>
      <c r="X42" s="1" t="e">
        <f aca="false">IF(ISBLANK(INDEX(big_daily_table,MATCH(DATE(X$5,$K42,$J42),daily_dates,0),MATCH($B$3,daily_items,0))),NA(),INDEX(big_daily_table,MATCH(DATE(X$5,$K42,$J42),daily_dates,0),MATCH($B$3,daily_items,0)))</f>
        <v>#N/A</v>
      </c>
      <c r="Y42" s="1" t="e">
        <f aca="false">IF(ISBLANK(INDEX(big_daily_table,MATCH(DATE(Y$5,$K42,$J42),daily_dates,0),MATCH($B$3,daily_items,0))),NA(),INDEX(big_daily_table,MATCH(DATE(Y$5,$K42,$J42),daily_dates,0),MATCH($B$3,daily_items,0)))</f>
        <v>#N/A</v>
      </c>
      <c r="Z42" s="1" t="e">
        <f aca="false">IF(ISBLANK(INDEX(big_daily_table,MATCH(DATE(Z$5,$K42,$J42),daily_dates,0),MATCH($B$3,daily_items,0))),NA(),INDEX(big_daily_table,MATCH(DATE(Z$5,$K42,$J42),daily_dates,0),MATCH($B$3,daily_items,0)))</f>
        <v>#N/A</v>
      </c>
      <c r="AA42" s="1" t="n">
        <f aca="true">_xlfn.AGGREGATE(5,6,OFFSET($S$5,H42,0,1,$K$2))</f>
        <v>0</v>
      </c>
      <c r="AB42" s="1" t="n">
        <f aca="true">_xlfn.AGGREGATE(4,6,OFFSET($S$5,H42,0,1,$K$2))</f>
        <v>0</v>
      </c>
      <c r="AC42" s="1" t="n">
        <f aca="false">AB42-AA42</f>
        <v>0</v>
      </c>
      <c r="AD42" s="1" t="e">
        <f aca="true">_xlfn.AGGREGATE(1,6,OFFSET($S$5,H42,0,1,$K$2))</f>
        <v>#DIV/0!</v>
      </c>
    </row>
    <row r="43" customFormat="false" ht="14.25" hidden="false" customHeight="false" outlineLevel="0" collapsed="false">
      <c r="H43" s="1" t="n">
        <f aca="false">H42+1</f>
        <v>38</v>
      </c>
      <c r="I43" s="1" t="n">
        <f aca="false">WEEKDAY('daily graphs'!K43)</f>
        <v>2</v>
      </c>
      <c r="J43" s="1" t="n">
        <f aca="false">DAY(L43)</f>
        <v>5</v>
      </c>
      <c r="K43" s="1" t="n">
        <f aca="false">MONTH(L43)</f>
        <v>2</v>
      </c>
      <c r="L43" s="23" t="n">
        <f aca="false">'daily graphs'!K43 - I43</f>
        <v>36561</v>
      </c>
      <c r="M43" s="24" t="n">
        <f aca="true">IF(TODAY()&lt;DATE($O$5,K43,J43),1000000,-1000000)</f>
        <v>-1000000</v>
      </c>
      <c r="N43" s="24" t="e">
        <f aca="false">IF(M43&gt;0,INDEX(big_daily_table,MATCH(DATE(O$5,$K43,$J43),daily_dates,0),MATCH($B$3,daily_items,0)),NA())</f>
        <v>#N/A</v>
      </c>
      <c r="O43" s="1" t="e">
        <f aca="false">IF(M43&lt;0,INDEX(big_daily_table,MATCH(DATE(O$5,$K43,$J43),daily_dates,0),MATCH($B$3,daily_items,0)),NA())</f>
        <v>#N/A</v>
      </c>
      <c r="P43" s="1" t="e">
        <f aca="false">IF(ISBLANK(INDEX(big_daily_table,MATCH(DATE(P$5,$K43,$J43),daily_dates,0),MATCH($B$3,daily_items,0))),NA(),INDEX(big_daily_table,MATCH(DATE(P$5,$K43,$J43),daily_dates,0),MATCH($B$3,daily_items,0)))</f>
        <v>#N/A</v>
      </c>
      <c r="Q43" s="1" t="e">
        <f aca="false">IF(ISBLANK(INDEX(big_daily_table,MATCH(DATE(Q$5,$K43,$J43),daily_dates,0),MATCH($B$3,daily_items,0))),NA(),INDEX(big_daily_table,MATCH(DATE(Q$5,$K43,$J43),daily_dates,0),MATCH($B$3,daily_items,0)))</f>
        <v>#N/A</v>
      </c>
      <c r="R43" s="1" t="e">
        <f aca="false">IF(ISBLANK(INDEX(big_daily_table,MATCH(DATE(R$5,$K43,$J43),daily_dates,0),MATCH($B$3,daily_items,0))),NA(),INDEX(big_daily_table,MATCH(DATE(R$5,$K43,$J43),daily_dates,0),MATCH($B$3,daily_items,0)))</f>
        <v>#N/A</v>
      </c>
      <c r="S43" s="1" t="e">
        <f aca="false">IF(ISBLANK(INDEX(big_daily_table,MATCH(DATE(S$5,$K43,$J43),daily_dates,0),MATCH($B$3,daily_items,0))),NA(),INDEX(big_daily_table,MATCH(DATE(S$5,$K43,$J43),daily_dates,0),MATCH($B$3,daily_items,0)))</f>
        <v>#N/A</v>
      </c>
      <c r="T43" s="1" t="e">
        <f aca="false">IF(ISBLANK(INDEX(big_daily_table,MATCH(DATE(T$5,$K43,$J43),daily_dates,0),MATCH($B$3,daily_items,0))),NA(),INDEX(big_daily_table,MATCH(DATE(T$5,$K43,$J43),daily_dates,0),MATCH($B$3,daily_items,0)))</f>
        <v>#N/A</v>
      </c>
      <c r="U43" s="1" t="e">
        <f aca="false">IF(ISBLANK(INDEX(big_daily_table,MATCH(DATE(U$5,$K43,$J43),daily_dates,0),MATCH($B$3,daily_items,0))),NA(),INDEX(big_daily_table,MATCH(DATE(U$5,$K43,$J43),daily_dates,0),MATCH($B$3,daily_items,0)))</f>
        <v>#N/A</v>
      </c>
      <c r="V43" s="1" t="e">
        <f aca="false">IF(ISBLANK(INDEX(big_daily_table,MATCH(DATE(V$5,$K43,$J43),daily_dates,0),MATCH($B$3,daily_items,0))),NA(),INDEX(big_daily_table,MATCH(DATE(V$5,$K43,$J43),daily_dates,0),MATCH($B$3,daily_items,0)))</f>
        <v>#N/A</v>
      </c>
      <c r="W43" s="1" t="e">
        <f aca="false">IF(ISBLANK(INDEX(big_daily_table,MATCH(DATE(W$5,$K43,$J43),daily_dates,0),MATCH($B$3,daily_items,0))),NA(),INDEX(big_daily_table,MATCH(DATE(W$5,$K43,$J43),daily_dates,0),MATCH($B$3,daily_items,0)))</f>
        <v>#N/A</v>
      </c>
      <c r="X43" s="1" t="e">
        <f aca="false">IF(ISBLANK(INDEX(big_daily_table,MATCH(DATE(X$5,$K43,$J43),daily_dates,0),MATCH($B$3,daily_items,0))),NA(),INDEX(big_daily_table,MATCH(DATE(X$5,$K43,$J43),daily_dates,0),MATCH($B$3,daily_items,0)))</f>
        <v>#N/A</v>
      </c>
      <c r="Y43" s="1" t="e">
        <f aca="false">IF(ISBLANK(INDEX(big_daily_table,MATCH(DATE(Y$5,$K43,$J43),daily_dates,0),MATCH($B$3,daily_items,0))),NA(),INDEX(big_daily_table,MATCH(DATE(Y$5,$K43,$J43),daily_dates,0),MATCH($B$3,daily_items,0)))</f>
        <v>#N/A</v>
      </c>
      <c r="Z43" s="1" t="e">
        <f aca="false">IF(ISBLANK(INDEX(big_daily_table,MATCH(DATE(Z$5,$K43,$J43),daily_dates,0),MATCH($B$3,daily_items,0))),NA(),INDEX(big_daily_table,MATCH(DATE(Z$5,$K43,$J43),daily_dates,0),MATCH($B$3,daily_items,0)))</f>
        <v>#N/A</v>
      </c>
      <c r="AA43" s="1" t="n">
        <f aca="true">_xlfn.AGGREGATE(5,6,OFFSET($S$5,H43,0,1,$K$2))</f>
        <v>0</v>
      </c>
      <c r="AB43" s="1" t="n">
        <f aca="true">_xlfn.AGGREGATE(4,6,OFFSET($S$5,H43,0,1,$K$2))</f>
        <v>0</v>
      </c>
      <c r="AC43" s="1" t="n">
        <f aca="false">AB43-AA43</f>
        <v>0</v>
      </c>
      <c r="AD43" s="1" t="e">
        <f aca="true">_xlfn.AGGREGATE(1,6,OFFSET($S$5,H43,0,1,$K$2))</f>
        <v>#DIV/0!</v>
      </c>
    </row>
    <row r="44" customFormat="false" ht="14.25" hidden="false" customHeight="false" outlineLevel="0" collapsed="false">
      <c r="H44" s="1" t="n">
        <f aca="false">H43+1</f>
        <v>39</v>
      </c>
      <c r="I44" s="1" t="n">
        <f aca="false">WEEKDAY('daily graphs'!K44)</f>
        <v>3</v>
      </c>
      <c r="J44" s="1" t="n">
        <f aca="false">DAY(L44)</f>
        <v>5</v>
      </c>
      <c r="K44" s="1" t="n">
        <f aca="false">MONTH(L44)</f>
        <v>2</v>
      </c>
      <c r="L44" s="23" t="n">
        <f aca="false">'daily graphs'!K44 - I44</f>
        <v>36561</v>
      </c>
      <c r="M44" s="24" t="n">
        <f aca="true">IF(TODAY()&lt;DATE($O$5,K44,J44),1000000,-1000000)</f>
        <v>-1000000</v>
      </c>
      <c r="N44" s="24" t="e">
        <f aca="false">IF(M44&gt;0,INDEX(big_daily_table,MATCH(DATE(O$5,$K44,$J44),daily_dates,0),MATCH($B$3,daily_items,0)),NA())</f>
        <v>#N/A</v>
      </c>
      <c r="O44" s="1" t="e">
        <f aca="false">IF(M44&lt;0,INDEX(big_daily_table,MATCH(DATE(O$5,$K44,$J44),daily_dates,0),MATCH($B$3,daily_items,0)),NA())</f>
        <v>#N/A</v>
      </c>
      <c r="P44" s="1" t="e">
        <f aca="false">IF(ISBLANK(INDEX(big_daily_table,MATCH(DATE(P$5,$K44,$J44),daily_dates,0),MATCH($B$3,daily_items,0))),NA(),INDEX(big_daily_table,MATCH(DATE(P$5,$K44,$J44),daily_dates,0),MATCH($B$3,daily_items,0)))</f>
        <v>#N/A</v>
      </c>
      <c r="Q44" s="1" t="e">
        <f aca="false">IF(ISBLANK(INDEX(big_daily_table,MATCH(DATE(Q$5,$K44,$J44),daily_dates,0),MATCH($B$3,daily_items,0))),NA(),INDEX(big_daily_table,MATCH(DATE(Q$5,$K44,$J44),daily_dates,0),MATCH($B$3,daily_items,0)))</f>
        <v>#N/A</v>
      </c>
      <c r="R44" s="1" t="e">
        <f aca="false">IF(ISBLANK(INDEX(big_daily_table,MATCH(DATE(R$5,$K44,$J44),daily_dates,0),MATCH($B$3,daily_items,0))),NA(),INDEX(big_daily_table,MATCH(DATE(R$5,$K44,$J44),daily_dates,0),MATCH($B$3,daily_items,0)))</f>
        <v>#N/A</v>
      </c>
      <c r="S44" s="1" t="e">
        <f aca="false">IF(ISBLANK(INDEX(big_daily_table,MATCH(DATE(S$5,$K44,$J44),daily_dates,0),MATCH($B$3,daily_items,0))),NA(),INDEX(big_daily_table,MATCH(DATE(S$5,$K44,$J44),daily_dates,0),MATCH($B$3,daily_items,0)))</f>
        <v>#N/A</v>
      </c>
      <c r="T44" s="1" t="e">
        <f aca="false">IF(ISBLANK(INDEX(big_daily_table,MATCH(DATE(T$5,$K44,$J44),daily_dates,0),MATCH($B$3,daily_items,0))),NA(),INDEX(big_daily_table,MATCH(DATE(T$5,$K44,$J44),daily_dates,0),MATCH($B$3,daily_items,0)))</f>
        <v>#N/A</v>
      </c>
      <c r="U44" s="1" t="e">
        <f aca="false">IF(ISBLANK(INDEX(big_daily_table,MATCH(DATE(U$5,$K44,$J44),daily_dates,0),MATCH($B$3,daily_items,0))),NA(),INDEX(big_daily_table,MATCH(DATE(U$5,$K44,$J44),daily_dates,0),MATCH($B$3,daily_items,0)))</f>
        <v>#N/A</v>
      </c>
      <c r="V44" s="1" t="e">
        <f aca="false">IF(ISBLANK(INDEX(big_daily_table,MATCH(DATE(V$5,$K44,$J44),daily_dates,0),MATCH($B$3,daily_items,0))),NA(),INDEX(big_daily_table,MATCH(DATE(V$5,$K44,$J44),daily_dates,0),MATCH($B$3,daily_items,0)))</f>
        <v>#N/A</v>
      </c>
      <c r="W44" s="1" t="e">
        <f aca="false">IF(ISBLANK(INDEX(big_daily_table,MATCH(DATE(W$5,$K44,$J44),daily_dates,0),MATCH($B$3,daily_items,0))),NA(),INDEX(big_daily_table,MATCH(DATE(W$5,$K44,$J44),daily_dates,0),MATCH($B$3,daily_items,0)))</f>
        <v>#N/A</v>
      </c>
      <c r="X44" s="1" t="e">
        <f aca="false">IF(ISBLANK(INDEX(big_daily_table,MATCH(DATE(X$5,$K44,$J44),daily_dates,0),MATCH($B$3,daily_items,0))),NA(),INDEX(big_daily_table,MATCH(DATE(X$5,$K44,$J44),daily_dates,0),MATCH($B$3,daily_items,0)))</f>
        <v>#N/A</v>
      </c>
      <c r="Y44" s="1" t="e">
        <f aca="false">IF(ISBLANK(INDEX(big_daily_table,MATCH(DATE(Y$5,$K44,$J44),daily_dates,0),MATCH($B$3,daily_items,0))),NA(),INDEX(big_daily_table,MATCH(DATE(Y$5,$K44,$J44),daily_dates,0),MATCH($B$3,daily_items,0)))</f>
        <v>#N/A</v>
      </c>
      <c r="Z44" s="1" t="e">
        <f aca="false">IF(ISBLANK(INDEX(big_daily_table,MATCH(DATE(Z$5,$K44,$J44),daily_dates,0),MATCH($B$3,daily_items,0))),NA(),INDEX(big_daily_table,MATCH(DATE(Z$5,$K44,$J44),daily_dates,0),MATCH($B$3,daily_items,0)))</f>
        <v>#N/A</v>
      </c>
      <c r="AA44" s="1" t="n">
        <f aca="true">_xlfn.AGGREGATE(5,6,OFFSET($S$5,H44,0,1,$K$2))</f>
        <v>0</v>
      </c>
      <c r="AB44" s="1" t="n">
        <f aca="true">_xlfn.AGGREGATE(4,6,OFFSET($S$5,H44,0,1,$K$2))</f>
        <v>0</v>
      </c>
      <c r="AC44" s="1" t="n">
        <f aca="false">AB44-AA44</f>
        <v>0</v>
      </c>
      <c r="AD44" s="1" t="e">
        <f aca="true">_xlfn.AGGREGATE(1,6,OFFSET($S$5,H44,0,1,$K$2))</f>
        <v>#DIV/0!</v>
      </c>
    </row>
    <row r="45" customFormat="false" ht="14.25" hidden="false" customHeight="false" outlineLevel="0" collapsed="false">
      <c r="H45" s="1" t="n">
        <f aca="false">H44+1</f>
        <v>40</v>
      </c>
      <c r="I45" s="1" t="n">
        <f aca="false">WEEKDAY('daily graphs'!K45)</f>
        <v>4</v>
      </c>
      <c r="J45" s="1" t="n">
        <f aca="false">DAY(L45)</f>
        <v>5</v>
      </c>
      <c r="K45" s="1" t="n">
        <f aca="false">MONTH(L45)</f>
        <v>2</v>
      </c>
      <c r="L45" s="23" t="n">
        <f aca="false">'daily graphs'!K45 - I45</f>
        <v>36561</v>
      </c>
      <c r="M45" s="24" t="n">
        <f aca="true">IF(TODAY()&lt;DATE($O$5,K45,J45),1000000,-1000000)</f>
        <v>-1000000</v>
      </c>
      <c r="N45" s="24" t="e">
        <f aca="false">IF(M45&gt;0,INDEX(big_daily_table,MATCH(DATE(O$5,$K45,$J45),daily_dates,0),MATCH($B$3,daily_items,0)),NA())</f>
        <v>#N/A</v>
      </c>
      <c r="O45" s="1" t="e">
        <f aca="false">IF(M45&lt;0,INDEX(big_daily_table,MATCH(DATE(O$5,$K45,$J45),daily_dates,0),MATCH($B$3,daily_items,0)),NA())</f>
        <v>#N/A</v>
      </c>
      <c r="P45" s="1" t="e">
        <f aca="false">IF(ISBLANK(INDEX(big_daily_table,MATCH(DATE(P$5,$K45,$J45),daily_dates,0),MATCH($B$3,daily_items,0))),NA(),INDEX(big_daily_table,MATCH(DATE(P$5,$K45,$J45),daily_dates,0),MATCH($B$3,daily_items,0)))</f>
        <v>#N/A</v>
      </c>
      <c r="Q45" s="1" t="e">
        <f aca="false">IF(ISBLANK(INDEX(big_daily_table,MATCH(DATE(Q$5,$K45,$J45),daily_dates,0),MATCH($B$3,daily_items,0))),NA(),INDEX(big_daily_table,MATCH(DATE(Q$5,$K45,$J45),daily_dates,0),MATCH($B$3,daily_items,0)))</f>
        <v>#N/A</v>
      </c>
      <c r="R45" s="1" t="e">
        <f aca="false">IF(ISBLANK(INDEX(big_daily_table,MATCH(DATE(R$5,$K45,$J45),daily_dates,0),MATCH($B$3,daily_items,0))),NA(),INDEX(big_daily_table,MATCH(DATE(R$5,$K45,$J45),daily_dates,0),MATCH($B$3,daily_items,0)))</f>
        <v>#N/A</v>
      </c>
      <c r="S45" s="1" t="e">
        <f aca="false">IF(ISBLANK(INDEX(big_daily_table,MATCH(DATE(S$5,$K45,$J45),daily_dates,0),MATCH($B$3,daily_items,0))),NA(),INDEX(big_daily_table,MATCH(DATE(S$5,$K45,$J45),daily_dates,0),MATCH($B$3,daily_items,0)))</f>
        <v>#N/A</v>
      </c>
      <c r="T45" s="1" t="e">
        <f aca="false">IF(ISBLANK(INDEX(big_daily_table,MATCH(DATE(T$5,$K45,$J45),daily_dates,0),MATCH($B$3,daily_items,0))),NA(),INDEX(big_daily_table,MATCH(DATE(T$5,$K45,$J45),daily_dates,0),MATCH($B$3,daily_items,0)))</f>
        <v>#N/A</v>
      </c>
      <c r="U45" s="1" t="e">
        <f aca="false">IF(ISBLANK(INDEX(big_daily_table,MATCH(DATE(U$5,$K45,$J45),daily_dates,0),MATCH($B$3,daily_items,0))),NA(),INDEX(big_daily_table,MATCH(DATE(U$5,$K45,$J45),daily_dates,0),MATCH($B$3,daily_items,0)))</f>
        <v>#N/A</v>
      </c>
      <c r="V45" s="1" t="e">
        <f aca="false">IF(ISBLANK(INDEX(big_daily_table,MATCH(DATE(V$5,$K45,$J45),daily_dates,0),MATCH($B$3,daily_items,0))),NA(),INDEX(big_daily_table,MATCH(DATE(V$5,$K45,$J45),daily_dates,0),MATCH($B$3,daily_items,0)))</f>
        <v>#N/A</v>
      </c>
      <c r="W45" s="1" t="e">
        <f aca="false">IF(ISBLANK(INDEX(big_daily_table,MATCH(DATE(W$5,$K45,$J45),daily_dates,0),MATCH($B$3,daily_items,0))),NA(),INDEX(big_daily_table,MATCH(DATE(W$5,$K45,$J45),daily_dates,0),MATCH($B$3,daily_items,0)))</f>
        <v>#N/A</v>
      </c>
      <c r="X45" s="1" t="e">
        <f aca="false">IF(ISBLANK(INDEX(big_daily_table,MATCH(DATE(X$5,$K45,$J45),daily_dates,0),MATCH($B$3,daily_items,0))),NA(),INDEX(big_daily_table,MATCH(DATE(X$5,$K45,$J45),daily_dates,0),MATCH($B$3,daily_items,0)))</f>
        <v>#N/A</v>
      </c>
      <c r="Y45" s="1" t="e">
        <f aca="false">IF(ISBLANK(INDEX(big_daily_table,MATCH(DATE(Y$5,$K45,$J45),daily_dates,0),MATCH($B$3,daily_items,0))),NA(),INDEX(big_daily_table,MATCH(DATE(Y$5,$K45,$J45),daily_dates,0),MATCH($B$3,daily_items,0)))</f>
        <v>#N/A</v>
      </c>
      <c r="Z45" s="1" t="e">
        <f aca="false">IF(ISBLANK(INDEX(big_daily_table,MATCH(DATE(Z$5,$K45,$J45),daily_dates,0),MATCH($B$3,daily_items,0))),NA(),INDEX(big_daily_table,MATCH(DATE(Z$5,$K45,$J45),daily_dates,0),MATCH($B$3,daily_items,0)))</f>
        <v>#N/A</v>
      </c>
      <c r="AA45" s="1" t="n">
        <f aca="true">_xlfn.AGGREGATE(5,6,OFFSET($S$5,H45,0,1,$K$2))</f>
        <v>0</v>
      </c>
      <c r="AB45" s="1" t="n">
        <f aca="true">_xlfn.AGGREGATE(4,6,OFFSET($S$5,H45,0,1,$K$2))</f>
        <v>0</v>
      </c>
      <c r="AC45" s="1" t="n">
        <f aca="false">AB45-AA45</f>
        <v>0</v>
      </c>
      <c r="AD45" s="1" t="e">
        <f aca="true">_xlfn.AGGREGATE(1,6,OFFSET($S$5,H45,0,1,$K$2))</f>
        <v>#DIV/0!</v>
      </c>
    </row>
    <row r="46" customFormat="false" ht="14.25" hidden="false" customHeight="false" outlineLevel="0" collapsed="false">
      <c r="H46" s="1" t="n">
        <f aca="false">H45+1</f>
        <v>41</v>
      </c>
      <c r="I46" s="1" t="n">
        <f aca="false">WEEKDAY('daily graphs'!K46)</f>
        <v>5</v>
      </c>
      <c r="J46" s="1" t="n">
        <f aca="false">DAY(L46)</f>
        <v>5</v>
      </c>
      <c r="K46" s="1" t="n">
        <f aca="false">MONTH(L46)</f>
        <v>2</v>
      </c>
      <c r="L46" s="23" t="n">
        <f aca="false">'daily graphs'!K46 - I46</f>
        <v>36561</v>
      </c>
      <c r="M46" s="24" t="n">
        <f aca="true">IF(TODAY()&lt;DATE($O$5,K46,J46),1000000,-1000000)</f>
        <v>-1000000</v>
      </c>
      <c r="N46" s="24" t="e">
        <f aca="false">IF(M46&gt;0,INDEX(big_daily_table,MATCH(DATE(O$5,$K46,$J46),daily_dates,0),MATCH($B$3,daily_items,0)),NA())</f>
        <v>#N/A</v>
      </c>
      <c r="O46" s="1" t="e">
        <f aca="false">IF(M46&lt;0,INDEX(big_daily_table,MATCH(DATE(O$5,$K46,$J46),daily_dates,0),MATCH($B$3,daily_items,0)),NA())</f>
        <v>#N/A</v>
      </c>
      <c r="P46" s="1" t="e">
        <f aca="false">IF(ISBLANK(INDEX(big_daily_table,MATCH(DATE(P$5,$K46,$J46),daily_dates,0),MATCH($B$3,daily_items,0))),NA(),INDEX(big_daily_table,MATCH(DATE(P$5,$K46,$J46),daily_dates,0),MATCH($B$3,daily_items,0)))</f>
        <v>#N/A</v>
      </c>
      <c r="Q46" s="1" t="e">
        <f aca="false">IF(ISBLANK(INDEX(big_daily_table,MATCH(DATE(Q$5,$K46,$J46),daily_dates,0),MATCH($B$3,daily_items,0))),NA(),INDEX(big_daily_table,MATCH(DATE(Q$5,$K46,$J46),daily_dates,0),MATCH($B$3,daily_items,0)))</f>
        <v>#N/A</v>
      </c>
      <c r="R46" s="1" t="e">
        <f aca="false">IF(ISBLANK(INDEX(big_daily_table,MATCH(DATE(R$5,$K46,$J46),daily_dates,0),MATCH($B$3,daily_items,0))),NA(),INDEX(big_daily_table,MATCH(DATE(R$5,$K46,$J46),daily_dates,0),MATCH($B$3,daily_items,0)))</f>
        <v>#N/A</v>
      </c>
      <c r="S46" s="1" t="e">
        <f aca="false">IF(ISBLANK(INDEX(big_daily_table,MATCH(DATE(S$5,$K46,$J46),daily_dates,0),MATCH($B$3,daily_items,0))),NA(),INDEX(big_daily_table,MATCH(DATE(S$5,$K46,$J46),daily_dates,0),MATCH($B$3,daily_items,0)))</f>
        <v>#N/A</v>
      </c>
      <c r="T46" s="1" t="e">
        <f aca="false">IF(ISBLANK(INDEX(big_daily_table,MATCH(DATE(T$5,$K46,$J46),daily_dates,0),MATCH($B$3,daily_items,0))),NA(),INDEX(big_daily_table,MATCH(DATE(T$5,$K46,$J46),daily_dates,0),MATCH($B$3,daily_items,0)))</f>
        <v>#N/A</v>
      </c>
      <c r="U46" s="1" t="e">
        <f aca="false">IF(ISBLANK(INDEX(big_daily_table,MATCH(DATE(U$5,$K46,$J46),daily_dates,0),MATCH($B$3,daily_items,0))),NA(),INDEX(big_daily_table,MATCH(DATE(U$5,$K46,$J46),daily_dates,0),MATCH($B$3,daily_items,0)))</f>
        <v>#N/A</v>
      </c>
      <c r="V46" s="1" t="e">
        <f aca="false">IF(ISBLANK(INDEX(big_daily_table,MATCH(DATE(V$5,$K46,$J46),daily_dates,0),MATCH($B$3,daily_items,0))),NA(),INDEX(big_daily_table,MATCH(DATE(V$5,$K46,$J46),daily_dates,0),MATCH($B$3,daily_items,0)))</f>
        <v>#N/A</v>
      </c>
      <c r="W46" s="1" t="e">
        <f aca="false">IF(ISBLANK(INDEX(big_daily_table,MATCH(DATE(W$5,$K46,$J46),daily_dates,0),MATCH($B$3,daily_items,0))),NA(),INDEX(big_daily_table,MATCH(DATE(W$5,$K46,$J46),daily_dates,0),MATCH($B$3,daily_items,0)))</f>
        <v>#N/A</v>
      </c>
      <c r="X46" s="1" t="e">
        <f aca="false">IF(ISBLANK(INDEX(big_daily_table,MATCH(DATE(X$5,$K46,$J46),daily_dates,0),MATCH($B$3,daily_items,0))),NA(),INDEX(big_daily_table,MATCH(DATE(X$5,$K46,$J46),daily_dates,0),MATCH($B$3,daily_items,0)))</f>
        <v>#N/A</v>
      </c>
      <c r="Y46" s="1" t="e">
        <f aca="false">IF(ISBLANK(INDEX(big_daily_table,MATCH(DATE(Y$5,$K46,$J46),daily_dates,0),MATCH($B$3,daily_items,0))),NA(),INDEX(big_daily_table,MATCH(DATE(Y$5,$K46,$J46),daily_dates,0),MATCH($B$3,daily_items,0)))</f>
        <v>#N/A</v>
      </c>
      <c r="Z46" s="1" t="e">
        <f aca="false">IF(ISBLANK(INDEX(big_daily_table,MATCH(DATE(Z$5,$K46,$J46),daily_dates,0),MATCH($B$3,daily_items,0))),NA(),INDEX(big_daily_table,MATCH(DATE(Z$5,$K46,$J46),daily_dates,0),MATCH($B$3,daily_items,0)))</f>
        <v>#N/A</v>
      </c>
      <c r="AA46" s="1" t="n">
        <f aca="true">_xlfn.AGGREGATE(5,6,OFFSET($S$5,H46,0,1,$K$2))</f>
        <v>0</v>
      </c>
      <c r="AB46" s="1" t="n">
        <f aca="true">_xlfn.AGGREGATE(4,6,OFFSET($S$5,H46,0,1,$K$2))</f>
        <v>0</v>
      </c>
      <c r="AC46" s="1" t="n">
        <f aca="false">AB46-AA46</f>
        <v>0</v>
      </c>
      <c r="AD46" s="1" t="e">
        <f aca="true">_xlfn.AGGREGATE(1,6,OFFSET($S$5,H46,0,1,$K$2))</f>
        <v>#DIV/0!</v>
      </c>
    </row>
    <row r="47" customFormat="false" ht="14.25" hidden="false" customHeight="false" outlineLevel="0" collapsed="false">
      <c r="H47" s="1" t="n">
        <f aca="false">H46+1</f>
        <v>42</v>
      </c>
      <c r="I47" s="1" t="n">
        <f aca="false">WEEKDAY('daily graphs'!K47)</f>
        <v>6</v>
      </c>
      <c r="J47" s="1" t="n">
        <f aca="false">DAY(L47)</f>
        <v>5</v>
      </c>
      <c r="K47" s="1" t="n">
        <f aca="false">MONTH(L47)</f>
        <v>2</v>
      </c>
      <c r="L47" s="23" t="n">
        <f aca="false">'daily graphs'!K47 - I47</f>
        <v>36561</v>
      </c>
      <c r="M47" s="24" t="n">
        <f aca="true">IF(TODAY()&lt;DATE($O$5,K47,J47),1000000,-1000000)</f>
        <v>-1000000</v>
      </c>
      <c r="N47" s="24" t="e">
        <f aca="false">IF(M47&gt;0,INDEX(big_daily_table,MATCH(DATE(O$5,$K47,$J47),daily_dates,0),MATCH($B$3,daily_items,0)),NA())</f>
        <v>#N/A</v>
      </c>
      <c r="O47" s="1" t="e">
        <f aca="false">IF(M47&lt;0,INDEX(big_daily_table,MATCH(DATE(O$5,$K47,$J47),daily_dates,0),MATCH($B$3,daily_items,0)),NA())</f>
        <v>#N/A</v>
      </c>
      <c r="P47" s="1" t="e">
        <f aca="false">IF(ISBLANK(INDEX(big_daily_table,MATCH(DATE(P$5,$K47,$J47),daily_dates,0),MATCH($B$3,daily_items,0))),NA(),INDEX(big_daily_table,MATCH(DATE(P$5,$K47,$J47),daily_dates,0),MATCH($B$3,daily_items,0)))</f>
        <v>#N/A</v>
      </c>
      <c r="Q47" s="1" t="e">
        <f aca="false">IF(ISBLANK(INDEX(big_daily_table,MATCH(DATE(Q$5,$K47,$J47),daily_dates,0),MATCH($B$3,daily_items,0))),NA(),INDEX(big_daily_table,MATCH(DATE(Q$5,$K47,$J47),daily_dates,0),MATCH($B$3,daily_items,0)))</f>
        <v>#N/A</v>
      </c>
      <c r="R47" s="1" t="e">
        <f aca="false">IF(ISBLANK(INDEX(big_daily_table,MATCH(DATE(R$5,$K47,$J47),daily_dates,0),MATCH($B$3,daily_items,0))),NA(),INDEX(big_daily_table,MATCH(DATE(R$5,$K47,$J47),daily_dates,0),MATCH($B$3,daily_items,0)))</f>
        <v>#N/A</v>
      </c>
      <c r="S47" s="1" t="e">
        <f aca="false">IF(ISBLANK(INDEX(big_daily_table,MATCH(DATE(S$5,$K47,$J47),daily_dates,0),MATCH($B$3,daily_items,0))),NA(),INDEX(big_daily_table,MATCH(DATE(S$5,$K47,$J47),daily_dates,0),MATCH($B$3,daily_items,0)))</f>
        <v>#N/A</v>
      </c>
      <c r="T47" s="1" t="e">
        <f aca="false">IF(ISBLANK(INDEX(big_daily_table,MATCH(DATE(T$5,$K47,$J47),daily_dates,0),MATCH($B$3,daily_items,0))),NA(),INDEX(big_daily_table,MATCH(DATE(T$5,$K47,$J47),daily_dates,0),MATCH($B$3,daily_items,0)))</f>
        <v>#N/A</v>
      </c>
      <c r="U47" s="1" t="e">
        <f aca="false">IF(ISBLANK(INDEX(big_daily_table,MATCH(DATE(U$5,$K47,$J47),daily_dates,0),MATCH($B$3,daily_items,0))),NA(),INDEX(big_daily_table,MATCH(DATE(U$5,$K47,$J47),daily_dates,0),MATCH($B$3,daily_items,0)))</f>
        <v>#N/A</v>
      </c>
      <c r="V47" s="1" t="e">
        <f aca="false">IF(ISBLANK(INDEX(big_daily_table,MATCH(DATE(V$5,$K47,$J47),daily_dates,0),MATCH($B$3,daily_items,0))),NA(),INDEX(big_daily_table,MATCH(DATE(V$5,$K47,$J47),daily_dates,0),MATCH($B$3,daily_items,0)))</f>
        <v>#N/A</v>
      </c>
      <c r="W47" s="1" t="e">
        <f aca="false">IF(ISBLANK(INDEX(big_daily_table,MATCH(DATE(W$5,$K47,$J47),daily_dates,0),MATCH($B$3,daily_items,0))),NA(),INDEX(big_daily_table,MATCH(DATE(W$5,$K47,$J47),daily_dates,0),MATCH($B$3,daily_items,0)))</f>
        <v>#N/A</v>
      </c>
      <c r="X47" s="1" t="e">
        <f aca="false">IF(ISBLANK(INDEX(big_daily_table,MATCH(DATE(X$5,$K47,$J47),daily_dates,0),MATCH($B$3,daily_items,0))),NA(),INDEX(big_daily_table,MATCH(DATE(X$5,$K47,$J47),daily_dates,0),MATCH($B$3,daily_items,0)))</f>
        <v>#N/A</v>
      </c>
      <c r="Y47" s="1" t="e">
        <f aca="false">IF(ISBLANK(INDEX(big_daily_table,MATCH(DATE(Y$5,$K47,$J47),daily_dates,0),MATCH($B$3,daily_items,0))),NA(),INDEX(big_daily_table,MATCH(DATE(Y$5,$K47,$J47),daily_dates,0),MATCH($B$3,daily_items,0)))</f>
        <v>#N/A</v>
      </c>
      <c r="Z47" s="1" t="e">
        <f aca="false">IF(ISBLANK(INDEX(big_daily_table,MATCH(DATE(Z$5,$K47,$J47),daily_dates,0),MATCH($B$3,daily_items,0))),NA(),INDEX(big_daily_table,MATCH(DATE(Z$5,$K47,$J47),daily_dates,0),MATCH($B$3,daily_items,0)))</f>
        <v>#N/A</v>
      </c>
      <c r="AA47" s="1" t="n">
        <f aca="true">_xlfn.AGGREGATE(5,6,OFFSET($S$5,H47,0,1,$K$2))</f>
        <v>0</v>
      </c>
      <c r="AB47" s="1" t="n">
        <f aca="true">_xlfn.AGGREGATE(4,6,OFFSET($S$5,H47,0,1,$K$2))</f>
        <v>0</v>
      </c>
      <c r="AC47" s="1" t="n">
        <f aca="false">AB47-AA47</f>
        <v>0</v>
      </c>
      <c r="AD47" s="1" t="e">
        <f aca="true">_xlfn.AGGREGATE(1,6,OFFSET($S$5,H47,0,1,$K$2))</f>
        <v>#DIV/0!</v>
      </c>
    </row>
    <row r="48" customFormat="false" ht="14.25" hidden="false" customHeight="false" outlineLevel="0" collapsed="false">
      <c r="H48" s="1" t="n">
        <f aca="false">H47+1</f>
        <v>43</v>
      </c>
      <c r="I48" s="1" t="n">
        <f aca="false">WEEKDAY('daily graphs'!K48)</f>
        <v>7</v>
      </c>
      <c r="J48" s="1" t="n">
        <f aca="false">DAY(L48)</f>
        <v>5</v>
      </c>
      <c r="K48" s="1" t="n">
        <f aca="false">MONTH(L48)</f>
        <v>2</v>
      </c>
      <c r="L48" s="23" t="n">
        <f aca="false">'daily graphs'!K48 - I48</f>
        <v>36561</v>
      </c>
      <c r="M48" s="24" t="n">
        <f aca="true">IF(TODAY()&lt;DATE($O$5,K48,J48),1000000,-1000000)</f>
        <v>-1000000</v>
      </c>
      <c r="N48" s="24" t="e">
        <f aca="false">IF(M48&gt;0,INDEX(big_daily_table,MATCH(DATE(O$5,$K48,$J48),daily_dates,0),MATCH($B$3,daily_items,0)),NA())</f>
        <v>#N/A</v>
      </c>
      <c r="O48" s="1" t="e">
        <f aca="false">IF(M48&lt;0,INDEX(big_daily_table,MATCH(DATE(O$5,$K48,$J48),daily_dates,0),MATCH($B$3,daily_items,0)),NA())</f>
        <v>#N/A</v>
      </c>
      <c r="P48" s="1" t="e">
        <f aca="false">IF(ISBLANK(INDEX(big_daily_table,MATCH(DATE(P$5,$K48,$J48),daily_dates,0),MATCH($B$3,daily_items,0))),NA(),INDEX(big_daily_table,MATCH(DATE(P$5,$K48,$J48),daily_dates,0),MATCH($B$3,daily_items,0)))</f>
        <v>#N/A</v>
      </c>
      <c r="Q48" s="1" t="e">
        <f aca="false">IF(ISBLANK(INDEX(big_daily_table,MATCH(DATE(Q$5,$K48,$J48),daily_dates,0),MATCH($B$3,daily_items,0))),NA(),INDEX(big_daily_table,MATCH(DATE(Q$5,$K48,$J48),daily_dates,0),MATCH($B$3,daily_items,0)))</f>
        <v>#N/A</v>
      </c>
      <c r="R48" s="1" t="e">
        <f aca="false">IF(ISBLANK(INDEX(big_daily_table,MATCH(DATE(R$5,$K48,$J48),daily_dates,0),MATCH($B$3,daily_items,0))),NA(),INDEX(big_daily_table,MATCH(DATE(R$5,$K48,$J48),daily_dates,0),MATCH($B$3,daily_items,0)))</f>
        <v>#N/A</v>
      </c>
      <c r="S48" s="1" t="e">
        <f aca="false">IF(ISBLANK(INDEX(big_daily_table,MATCH(DATE(S$5,$K48,$J48),daily_dates,0),MATCH($B$3,daily_items,0))),NA(),INDEX(big_daily_table,MATCH(DATE(S$5,$K48,$J48),daily_dates,0),MATCH($B$3,daily_items,0)))</f>
        <v>#N/A</v>
      </c>
      <c r="T48" s="1" t="e">
        <f aca="false">IF(ISBLANK(INDEX(big_daily_table,MATCH(DATE(T$5,$K48,$J48),daily_dates,0),MATCH($B$3,daily_items,0))),NA(),INDEX(big_daily_table,MATCH(DATE(T$5,$K48,$J48),daily_dates,0),MATCH($B$3,daily_items,0)))</f>
        <v>#N/A</v>
      </c>
      <c r="U48" s="1" t="e">
        <f aca="false">IF(ISBLANK(INDEX(big_daily_table,MATCH(DATE(U$5,$K48,$J48),daily_dates,0),MATCH($B$3,daily_items,0))),NA(),INDEX(big_daily_table,MATCH(DATE(U$5,$K48,$J48),daily_dates,0),MATCH($B$3,daily_items,0)))</f>
        <v>#N/A</v>
      </c>
      <c r="V48" s="1" t="e">
        <f aca="false">IF(ISBLANK(INDEX(big_daily_table,MATCH(DATE(V$5,$K48,$J48),daily_dates,0),MATCH($B$3,daily_items,0))),NA(),INDEX(big_daily_table,MATCH(DATE(V$5,$K48,$J48),daily_dates,0),MATCH($B$3,daily_items,0)))</f>
        <v>#N/A</v>
      </c>
      <c r="W48" s="1" t="e">
        <f aca="false">IF(ISBLANK(INDEX(big_daily_table,MATCH(DATE(W$5,$K48,$J48),daily_dates,0),MATCH($B$3,daily_items,0))),NA(),INDEX(big_daily_table,MATCH(DATE(W$5,$K48,$J48),daily_dates,0),MATCH($B$3,daily_items,0)))</f>
        <v>#N/A</v>
      </c>
      <c r="X48" s="1" t="e">
        <f aca="false">IF(ISBLANK(INDEX(big_daily_table,MATCH(DATE(X$5,$K48,$J48),daily_dates,0),MATCH($B$3,daily_items,0))),NA(),INDEX(big_daily_table,MATCH(DATE(X$5,$K48,$J48),daily_dates,0),MATCH($B$3,daily_items,0)))</f>
        <v>#N/A</v>
      </c>
      <c r="Y48" s="1" t="e">
        <f aca="false">IF(ISBLANK(INDEX(big_daily_table,MATCH(DATE(Y$5,$K48,$J48),daily_dates,0),MATCH($B$3,daily_items,0))),NA(),INDEX(big_daily_table,MATCH(DATE(Y$5,$K48,$J48),daily_dates,0),MATCH($B$3,daily_items,0)))</f>
        <v>#N/A</v>
      </c>
      <c r="Z48" s="1" t="e">
        <f aca="false">IF(ISBLANK(INDEX(big_daily_table,MATCH(DATE(Z$5,$K48,$J48),daily_dates,0),MATCH($B$3,daily_items,0))),NA(),INDEX(big_daily_table,MATCH(DATE(Z$5,$K48,$J48),daily_dates,0),MATCH($B$3,daily_items,0)))</f>
        <v>#N/A</v>
      </c>
      <c r="AA48" s="1" t="n">
        <f aca="true">_xlfn.AGGREGATE(5,6,OFFSET($S$5,H48,0,1,$K$2))</f>
        <v>0</v>
      </c>
      <c r="AB48" s="1" t="n">
        <f aca="true">_xlfn.AGGREGATE(4,6,OFFSET($S$5,H48,0,1,$K$2))</f>
        <v>0</v>
      </c>
      <c r="AC48" s="1" t="n">
        <f aca="false">AB48-AA48</f>
        <v>0</v>
      </c>
      <c r="AD48" s="1" t="e">
        <f aca="true">_xlfn.AGGREGATE(1,6,OFFSET($S$5,H48,0,1,$K$2))</f>
        <v>#DIV/0!</v>
      </c>
    </row>
    <row r="49" customFormat="false" ht="14.25" hidden="false" customHeight="false" outlineLevel="0" collapsed="false">
      <c r="H49" s="1" t="n">
        <f aca="false">H48+1</f>
        <v>44</v>
      </c>
      <c r="I49" s="1" t="n">
        <f aca="false">WEEKDAY('daily graphs'!K49)</f>
        <v>1</v>
      </c>
      <c r="J49" s="1" t="n">
        <f aca="false">DAY(L49)</f>
        <v>12</v>
      </c>
      <c r="K49" s="1" t="n">
        <f aca="false">MONTH(L49)</f>
        <v>2</v>
      </c>
      <c r="L49" s="23" t="n">
        <f aca="false">'daily graphs'!K49 - I49</f>
        <v>36568</v>
      </c>
      <c r="M49" s="24" t="n">
        <f aca="true">IF(TODAY()&lt;DATE($O$5,K49,J49),1000000,-1000000)</f>
        <v>-1000000</v>
      </c>
      <c r="N49" s="24" t="e">
        <f aca="false">IF(M49&gt;0,INDEX(big_daily_table,MATCH(DATE(O$5,$K49,$J49),daily_dates,0),MATCH($B$3,daily_items,0)),NA())</f>
        <v>#N/A</v>
      </c>
      <c r="O49" s="1" t="e">
        <f aca="false">IF(M49&lt;0,INDEX(big_daily_table,MATCH(DATE(O$5,$K49,$J49),daily_dates,0),MATCH($B$3,daily_items,0)),NA())</f>
        <v>#N/A</v>
      </c>
      <c r="P49" s="1" t="e">
        <f aca="false">IF(ISBLANK(INDEX(big_daily_table,MATCH(DATE(P$5,$K49,$J49),daily_dates,0),MATCH($B$3,daily_items,0))),NA(),INDEX(big_daily_table,MATCH(DATE(P$5,$K49,$J49),daily_dates,0),MATCH($B$3,daily_items,0)))</f>
        <v>#N/A</v>
      </c>
      <c r="Q49" s="1" t="e">
        <f aca="false">IF(ISBLANK(INDEX(big_daily_table,MATCH(DATE(Q$5,$K49,$J49),daily_dates,0),MATCH($B$3,daily_items,0))),NA(),INDEX(big_daily_table,MATCH(DATE(Q$5,$K49,$J49),daily_dates,0),MATCH($B$3,daily_items,0)))</f>
        <v>#N/A</v>
      </c>
      <c r="R49" s="1" t="e">
        <f aca="false">IF(ISBLANK(INDEX(big_daily_table,MATCH(DATE(R$5,$K49,$J49),daily_dates,0),MATCH($B$3,daily_items,0))),NA(),INDEX(big_daily_table,MATCH(DATE(R$5,$K49,$J49),daily_dates,0),MATCH($B$3,daily_items,0)))</f>
        <v>#N/A</v>
      </c>
      <c r="S49" s="1" t="e">
        <f aca="false">IF(ISBLANK(INDEX(big_daily_table,MATCH(DATE(S$5,$K49,$J49),daily_dates,0),MATCH($B$3,daily_items,0))),NA(),INDEX(big_daily_table,MATCH(DATE(S$5,$K49,$J49),daily_dates,0),MATCH($B$3,daily_items,0)))</f>
        <v>#N/A</v>
      </c>
      <c r="T49" s="1" t="e">
        <f aca="false">IF(ISBLANK(INDEX(big_daily_table,MATCH(DATE(T$5,$K49,$J49),daily_dates,0),MATCH($B$3,daily_items,0))),NA(),INDEX(big_daily_table,MATCH(DATE(T$5,$K49,$J49),daily_dates,0),MATCH($B$3,daily_items,0)))</f>
        <v>#N/A</v>
      </c>
      <c r="U49" s="1" t="e">
        <f aca="false">IF(ISBLANK(INDEX(big_daily_table,MATCH(DATE(U$5,$K49,$J49),daily_dates,0),MATCH($B$3,daily_items,0))),NA(),INDEX(big_daily_table,MATCH(DATE(U$5,$K49,$J49),daily_dates,0),MATCH($B$3,daily_items,0)))</f>
        <v>#N/A</v>
      </c>
      <c r="V49" s="1" t="e">
        <f aca="false">IF(ISBLANK(INDEX(big_daily_table,MATCH(DATE(V$5,$K49,$J49),daily_dates,0),MATCH($B$3,daily_items,0))),NA(),INDEX(big_daily_table,MATCH(DATE(V$5,$K49,$J49),daily_dates,0),MATCH($B$3,daily_items,0)))</f>
        <v>#N/A</v>
      </c>
      <c r="W49" s="1" t="e">
        <f aca="false">IF(ISBLANK(INDEX(big_daily_table,MATCH(DATE(W$5,$K49,$J49),daily_dates,0),MATCH($B$3,daily_items,0))),NA(),INDEX(big_daily_table,MATCH(DATE(W$5,$K49,$J49),daily_dates,0),MATCH($B$3,daily_items,0)))</f>
        <v>#N/A</v>
      </c>
      <c r="X49" s="1" t="e">
        <f aca="false">IF(ISBLANK(INDEX(big_daily_table,MATCH(DATE(X$5,$K49,$J49),daily_dates,0),MATCH($B$3,daily_items,0))),NA(),INDEX(big_daily_table,MATCH(DATE(X$5,$K49,$J49),daily_dates,0),MATCH($B$3,daily_items,0)))</f>
        <v>#N/A</v>
      </c>
      <c r="Y49" s="1" t="e">
        <f aca="false">IF(ISBLANK(INDEX(big_daily_table,MATCH(DATE(Y$5,$K49,$J49),daily_dates,0),MATCH($B$3,daily_items,0))),NA(),INDEX(big_daily_table,MATCH(DATE(Y$5,$K49,$J49),daily_dates,0),MATCH($B$3,daily_items,0)))</f>
        <v>#N/A</v>
      </c>
      <c r="Z49" s="1" t="e">
        <f aca="false">IF(ISBLANK(INDEX(big_daily_table,MATCH(DATE(Z$5,$K49,$J49),daily_dates,0),MATCH($B$3,daily_items,0))),NA(),INDEX(big_daily_table,MATCH(DATE(Z$5,$K49,$J49),daily_dates,0),MATCH($B$3,daily_items,0)))</f>
        <v>#N/A</v>
      </c>
      <c r="AA49" s="1" t="n">
        <f aca="true">_xlfn.AGGREGATE(5,6,OFFSET($S$5,H49,0,1,$K$2))</f>
        <v>0</v>
      </c>
      <c r="AB49" s="1" t="n">
        <f aca="true">_xlfn.AGGREGATE(4,6,OFFSET($S$5,H49,0,1,$K$2))</f>
        <v>0</v>
      </c>
      <c r="AC49" s="1" t="n">
        <f aca="false">AB49-AA49</f>
        <v>0</v>
      </c>
      <c r="AD49" s="1" t="e">
        <f aca="true">_xlfn.AGGREGATE(1,6,OFFSET($S$5,H49,0,1,$K$2))</f>
        <v>#DIV/0!</v>
      </c>
    </row>
    <row r="50" customFormat="false" ht="14.25" hidden="false" customHeight="false" outlineLevel="0" collapsed="false">
      <c r="H50" s="1" t="n">
        <f aca="false">H49+1</f>
        <v>45</v>
      </c>
      <c r="I50" s="1" t="n">
        <f aca="false">WEEKDAY('daily graphs'!K50)</f>
        <v>2</v>
      </c>
      <c r="J50" s="1" t="n">
        <f aca="false">DAY(L50)</f>
        <v>12</v>
      </c>
      <c r="K50" s="1" t="n">
        <f aca="false">MONTH(L50)</f>
        <v>2</v>
      </c>
      <c r="L50" s="23" t="n">
        <f aca="false">'daily graphs'!K50 - I50</f>
        <v>36568</v>
      </c>
      <c r="M50" s="24" t="n">
        <f aca="true">IF(TODAY()&lt;DATE($O$5,K50,J50),1000000,-1000000)</f>
        <v>-1000000</v>
      </c>
      <c r="N50" s="24" t="e">
        <f aca="false">IF(M50&gt;0,INDEX(big_daily_table,MATCH(DATE(O$5,$K50,$J50),daily_dates,0),MATCH($B$3,daily_items,0)),NA())</f>
        <v>#N/A</v>
      </c>
      <c r="O50" s="1" t="e">
        <f aca="false">IF(M50&lt;0,INDEX(big_daily_table,MATCH(DATE(O$5,$K50,$J50),daily_dates,0),MATCH($B$3,daily_items,0)),NA())</f>
        <v>#N/A</v>
      </c>
      <c r="P50" s="1" t="e">
        <f aca="false">IF(ISBLANK(INDEX(big_daily_table,MATCH(DATE(P$5,$K50,$J50),daily_dates,0),MATCH($B$3,daily_items,0))),NA(),INDEX(big_daily_table,MATCH(DATE(P$5,$K50,$J50),daily_dates,0),MATCH($B$3,daily_items,0)))</f>
        <v>#N/A</v>
      </c>
      <c r="Q50" s="1" t="e">
        <f aca="false">IF(ISBLANK(INDEX(big_daily_table,MATCH(DATE(Q$5,$K50,$J50),daily_dates,0),MATCH($B$3,daily_items,0))),NA(),INDEX(big_daily_table,MATCH(DATE(Q$5,$K50,$J50),daily_dates,0),MATCH($B$3,daily_items,0)))</f>
        <v>#N/A</v>
      </c>
      <c r="R50" s="1" t="e">
        <f aca="false">IF(ISBLANK(INDEX(big_daily_table,MATCH(DATE(R$5,$K50,$J50),daily_dates,0),MATCH($B$3,daily_items,0))),NA(),INDEX(big_daily_table,MATCH(DATE(R$5,$K50,$J50),daily_dates,0),MATCH($B$3,daily_items,0)))</f>
        <v>#N/A</v>
      </c>
      <c r="S50" s="1" t="e">
        <f aca="false">IF(ISBLANK(INDEX(big_daily_table,MATCH(DATE(S$5,$K50,$J50),daily_dates,0),MATCH($B$3,daily_items,0))),NA(),INDEX(big_daily_table,MATCH(DATE(S$5,$K50,$J50),daily_dates,0),MATCH($B$3,daily_items,0)))</f>
        <v>#N/A</v>
      </c>
      <c r="T50" s="1" t="e">
        <f aca="false">IF(ISBLANK(INDEX(big_daily_table,MATCH(DATE(T$5,$K50,$J50),daily_dates,0),MATCH($B$3,daily_items,0))),NA(),INDEX(big_daily_table,MATCH(DATE(T$5,$K50,$J50),daily_dates,0),MATCH($B$3,daily_items,0)))</f>
        <v>#N/A</v>
      </c>
      <c r="U50" s="1" t="e">
        <f aca="false">IF(ISBLANK(INDEX(big_daily_table,MATCH(DATE(U$5,$K50,$J50),daily_dates,0),MATCH($B$3,daily_items,0))),NA(),INDEX(big_daily_table,MATCH(DATE(U$5,$K50,$J50),daily_dates,0),MATCH($B$3,daily_items,0)))</f>
        <v>#N/A</v>
      </c>
      <c r="V50" s="1" t="e">
        <f aca="false">IF(ISBLANK(INDEX(big_daily_table,MATCH(DATE(V$5,$K50,$J50),daily_dates,0),MATCH($B$3,daily_items,0))),NA(),INDEX(big_daily_table,MATCH(DATE(V$5,$K50,$J50),daily_dates,0),MATCH($B$3,daily_items,0)))</f>
        <v>#N/A</v>
      </c>
      <c r="W50" s="1" t="e">
        <f aca="false">IF(ISBLANK(INDEX(big_daily_table,MATCH(DATE(W$5,$K50,$J50),daily_dates,0),MATCH($B$3,daily_items,0))),NA(),INDEX(big_daily_table,MATCH(DATE(W$5,$K50,$J50),daily_dates,0),MATCH($B$3,daily_items,0)))</f>
        <v>#N/A</v>
      </c>
      <c r="X50" s="1" t="e">
        <f aca="false">IF(ISBLANK(INDEX(big_daily_table,MATCH(DATE(X$5,$K50,$J50),daily_dates,0),MATCH($B$3,daily_items,0))),NA(),INDEX(big_daily_table,MATCH(DATE(X$5,$K50,$J50),daily_dates,0),MATCH($B$3,daily_items,0)))</f>
        <v>#N/A</v>
      </c>
      <c r="Y50" s="1" t="e">
        <f aca="false">IF(ISBLANK(INDEX(big_daily_table,MATCH(DATE(Y$5,$K50,$J50),daily_dates,0),MATCH($B$3,daily_items,0))),NA(),INDEX(big_daily_table,MATCH(DATE(Y$5,$K50,$J50),daily_dates,0),MATCH($B$3,daily_items,0)))</f>
        <v>#N/A</v>
      </c>
      <c r="Z50" s="1" t="e">
        <f aca="false">IF(ISBLANK(INDEX(big_daily_table,MATCH(DATE(Z$5,$K50,$J50),daily_dates,0),MATCH($B$3,daily_items,0))),NA(),INDEX(big_daily_table,MATCH(DATE(Z$5,$K50,$J50),daily_dates,0),MATCH($B$3,daily_items,0)))</f>
        <v>#N/A</v>
      </c>
      <c r="AA50" s="1" t="n">
        <f aca="true">_xlfn.AGGREGATE(5,6,OFFSET($S$5,H50,0,1,$K$2))</f>
        <v>0</v>
      </c>
      <c r="AB50" s="1" t="n">
        <f aca="true">_xlfn.AGGREGATE(4,6,OFFSET($S$5,H50,0,1,$K$2))</f>
        <v>0</v>
      </c>
      <c r="AC50" s="1" t="n">
        <f aca="false">AB50-AA50</f>
        <v>0</v>
      </c>
      <c r="AD50" s="1" t="e">
        <f aca="true">_xlfn.AGGREGATE(1,6,OFFSET($S$5,H50,0,1,$K$2))</f>
        <v>#DIV/0!</v>
      </c>
    </row>
    <row r="51" customFormat="false" ht="14.25" hidden="false" customHeight="false" outlineLevel="0" collapsed="false">
      <c r="H51" s="1" t="n">
        <f aca="false">H50+1</f>
        <v>46</v>
      </c>
      <c r="I51" s="1" t="n">
        <f aca="false">WEEKDAY('daily graphs'!K51)</f>
        <v>3</v>
      </c>
      <c r="J51" s="1" t="n">
        <f aca="false">DAY(L51)</f>
        <v>12</v>
      </c>
      <c r="K51" s="1" t="n">
        <f aca="false">MONTH(L51)</f>
        <v>2</v>
      </c>
      <c r="L51" s="23" t="n">
        <f aca="false">'daily graphs'!K51 - I51</f>
        <v>36568</v>
      </c>
      <c r="M51" s="24" t="n">
        <f aca="true">IF(TODAY()&lt;DATE($O$5,K51,J51),1000000,-1000000)</f>
        <v>-1000000</v>
      </c>
      <c r="N51" s="24" t="e">
        <f aca="false">IF(M51&gt;0,INDEX(big_daily_table,MATCH(DATE(O$5,$K51,$J51),daily_dates,0),MATCH($B$3,daily_items,0)),NA())</f>
        <v>#N/A</v>
      </c>
      <c r="O51" s="1" t="e">
        <f aca="false">IF(M51&lt;0,INDEX(big_daily_table,MATCH(DATE(O$5,$K51,$J51),daily_dates,0),MATCH($B$3,daily_items,0)),NA())</f>
        <v>#N/A</v>
      </c>
      <c r="P51" s="1" t="e">
        <f aca="false">IF(ISBLANK(INDEX(big_daily_table,MATCH(DATE(P$5,$K51,$J51),daily_dates,0),MATCH($B$3,daily_items,0))),NA(),INDEX(big_daily_table,MATCH(DATE(P$5,$K51,$J51),daily_dates,0),MATCH($B$3,daily_items,0)))</f>
        <v>#N/A</v>
      </c>
      <c r="Q51" s="1" t="e">
        <f aca="false">IF(ISBLANK(INDEX(big_daily_table,MATCH(DATE(Q$5,$K51,$J51),daily_dates,0),MATCH($B$3,daily_items,0))),NA(),INDEX(big_daily_table,MATCH(DATE(Q$5,$K51,$J51),daily_dates,0),MATCH($B$3,daily_items,0)))</f>
        <v>#N/A</v>
      </c>
      <c r="R51" s="1" t="e">
        <f aca="false">IF(ISBLANK(INDEX(big_daily_table,MATCH(DATE(R$5,$K51,$J51),daily_dates,0),MATCH($B$3,daily_items,0))),NA(),INDEX(big_daily_table,MATCH(DATE(R$5,$K51,$J51),daily_dates,0),MATCH($B$3,daily_items,0)))</f>
        <v>#N/A</v>
      </c>
      <c r="S51" s="1" t="e">
        <f aca="false">IF(ISBLANK(INDEX(big_daily_table,MATCH(DATE(S$5,$K51,$J51),daily_dates,0),MATCH($B$3,daily_items,0))),NA(),INDEX(big_daily_table,MATCH(DATE(S$5,$K51,$J51),daily_dates,0),MATCH($B$3,daily_items,0)))</f>
        <v>#N/A</v>
      </c>
      <c r="T51" s="1" t="e">
        <f aca="false">IF(ISBLANK(INDEX(big_daily_table,MATCH(DATE(T$5,$K51,$J51),daily_dates,0),MATCH($B$3,daily_items,0))),NA(),INDEX(big_daily_table,MATCH(DATE(T$5,$K51,$J51),daily_dates,0),MATCH($B$3,daily_items,0)))</f>
        <v>#N/A</v>
      </c>
      <c r="U51" s="1" t="e">
        <f aca="false">IF(ISBLANK(INDEX(big_daily_table,MATCH(DATE(U$5,$K51,$J51),daily_dates,0),MATCH($B$3,daily_items,0))),NA(),INDEX(big_daily_table,MATCH(DATE(U$5,$K51,$J51),daily_dates,0),MATCH($B$3,daily_items,0)))</f>
        <v>#N/A</v>
      </c>
      <c r="V51" s="1" t="e">
        <f aca="false">IF(ISBLANK(INDEX(big_daily_table,MATCH(DATE(V$5,$K51,$J51),daily_dates,0),MATCH($B$3,daily_items,0))),NA(),INDEX(big_daily_table,MATCH(DATE(V$5,$K51,$J51),daily_dates,0),MATCH($B$3,daily_items,0)))</f>
        <v>#N/A</v>
      </c>
      <c r="W51" s="1" t="e">
        <f aca="false">IF(ISBLANK(INDEX(big_daily_table,MATCH(DATE(W$5,$K51,$J51),daily_dates,0),MATCH($B$3,daily_items,0))),NA(),INDEX(big_daily_table,MATCH(DATE(W$5,$K51,$J51),daily_dates,0),MATCH($B$3,daily_items,0)))</f>
        <v>#N/A</v>
      </c>
      <c r="X51" s="1" t="e">
        <f aca="false">IF(ISBLANK(INDEX(big_daily_table,MATCH(DATE(X$5,$K51,$J51),daily_dates,0),MATCH($B$3,daily_items,0))),NA(),INDEX(big_daily_table,MATCH(DATE(X$5,$K51,$J51),daily_dates,0),MATCH($B$3,daily_items,0)))</f>
        <v>#N/A</v>
      </c>
      <c r="Y51" s="1" t="e">
        <f aca="false">IF(ISBLANK(INDEX(big_daily_table,MATCH(DATE(Y$5,$K51,$J51),daily_dates,0),MATCH($B$3,daily_items,0))),NA(),INDEX(big_daily_table,MATCH(DATE(Y$5,$K51,$J51),daily_dates,0),MATCH($B$3,daily_items,0)))</f>
        <v>#N/A</v>
      </c>
      <c r="Z51" s="1" t="e">
        <f aca="false">IF(ISBLANK(INDEX(big_daily_table,MATCH(DATE(Z$5,$K51,$J51),daily_dates,0),MATCH($B$3,daily_items,0))),NA(),INDEX(big_daily_table,MATCH(DATE(Z$5,$K51,$J51),daily_dates,0),MATCH($B$3,daily_items,0)))</f>
        <v>#N/A</v>
      </c>
      <c r="AA51" s="1" t="n">
        <f aca="true">_xlfn.AGGREGATE(5,6,OFFSET($S$5,H51,0,1,$K$2))</f>
        <v>0</v>
      </c>
      <c r="AB51" s="1" t="n">
        <f aca="true">_xlfn.AGGREGATE(4,6,OFFSET($S$5,H51,0,1,$K$2))</f>
        <v>0</v>
      </c>
      <c r="AC51" s="1" t="n">
        <f aca="false">AB51-AA51</f>
        <v>0</v>
      </c>
      <c r="AD51" s="1" t="e">
        <f aca="true">_xlfn.AGGREGATE(1,6,OFFSET($S$5,H51,0,1,$K$2))</f>
        <v>#DIV/0!</v>
      </c>
    </row>
    <row r="52" customFormat="false" ht="14.25" hidden="false" customHeight="false" outlineLevel="0" collapsed="false">
      <c r="H52" s="1" t="n">
        <f aca="false">H51+1</f>
        <v>47</v>
      </c>
      <c r="I52" s="1" t="n">
        <f aca="false">WEEKDAY('daily graphs'!K52)</f>
        <v>4</v>
      </c>
      <c r="J52" s="1" t="n">
        <f aca="false">DAY(L52)</f>
        <v>12</v>
      </c>
      <c r="K52" s="1" t="n">
        <f aca="false">MONTH(L52)</f>
        <v>2</v>
      </c>
      <c r="L52" s="23" t="n">
        <f aca="false">'daily graphs'!K52 - I52</f>
        <v>36568</v>
      </c>
      <c r="M52" s="24" t="n">
        <f aca="true">IF(TODAY()&lt;DATE($O$5,K52,J52),1000000,-1000000)</f>
        <v>-1000000</v>
      </c>
      <c r="N52" s="24" t="e">
        <f aca="false">IF(M52&gt;0,INDEX(big_daily_table,MATCH(DATE(O$5,$K52,$J52),daily_dates,0),MATCH($B$3,daily_items,0)),NA())</f>
        <v>#N/A</v>
      </c>
      <c r="O52" s="1" t="e">
        <f aca="false">IF(M52&lt;0,INDEX(big_daily_table,MATCH(DATE(O$5,$K52,$J52),daily_dates,0),MATCH($B$3,daily_items,0)),NA())</f>
        <v>#N/A</v>
      </c>
      <c r="P52" s="1" t="e">
        <f aca="false">IF(ISBLANK(INDEX(big_daily_table,MATCH(DATE(P$5,$K52,$J52),daily_dates,0),MATCH($B$3,daily_items,0))),NA(),INDEX(big_daily_table,MATCH(DATE(P$5,$K52,$J52),daily_dates,0),MATCH($B$3,daily_items,0)))</f>
        <v>#N/A</v>
      </c>
      <c r="Q52" s="1" t="e">
        <f aca="false">IF(ISBLANK(INDEX(big_daily_table,MATCH(DATE(Q$5,$K52,$J52),daily_dates,0),MATCH($B$3,daily_items,0))),NA(),INDEX(big_daily_table,MATCH(DATE(Q$5,$K52,$J52),daily_dates,0),MATCH($B$3,daily_items,0)))</f>
        <v>#N/A</v>
      </c>
      <c r="R52" s="1" t="e">
        <f aca="false">IF(ISBLANK(INDEX(big_daily_table,MATCH(DATE(R$5,$K52,$J52),daily_dates,0),MATCH($B$3,daily_items,0))),NA(),INDEX(big_daily_table,MATCH(DATE(R$5,$K52,$J52),daily_dates,0),MATCH($B$3,daily_items,0)))</f>
        <v>#N/A</v>
      </c>
      <c r="S52" s="1" t="e">
        <f aca="false">IF(ISBLANK(INDEX(big_daily_table,MATCH(DATE(S$5,$K52,$J52),daily_dates,0),MATCH($B$3,daily_items,0))),NA(),INDEX(big_daily_table,MATCH(DATE(S$5,$K52,$J52),daily_dates,0),MATCH($B$3,daily_items,0)))</f>
        <v>#N/A</v>
      </c>
      <c r="T52" s="1" t="e">
        <f aca="false">IF(ISBLANK(INDEX(big_daily_table,MATCH(DATE(T$5,$K52,$J52),daily_dates,0),MATCH($B$3,daily_items,0))),NA(),INDEX(big_daily_table,MATCH(DATE(T$5,$K52,$J52),daily_dates,0),MATCH($B$3,daily_items,0)))</f>
        <v>#N/A</v>
      </c>
      <c r="U52" s="1" t="e">
        <f aca="false">IF(ISBLANK(INDEX(big_daily_table,MATCH(DATE(U$5,$K52,$J52),daily_dates,0),MATCH($B$3,daily_items,0))),NA(),INDEX(big_daily_table,MATCH(DATE(U$5,$K52,$J52),daily_dates,0),MATCH($B$3,daily_items,0)))</f>
        <v>#N/A</v>
      </c>
      <c r="V52" s="1" t="e">
        <f aca="false">IF(ISBLANK(INDEX(big_daily_table,MATCH(DATE(V$5,$K52,$J52),daily_dates,0),MATCH($B$3,daily_items,0))),NA(),INDEX(big_daily_table,MATCH(DATE(V$5,$K52,$J52),daily_dates,0),MATCH($B$3,daily_items,0)))</f>
        <v>#N/A</v>
      </c>
      <c r="W52" s="1" t="e">
        <f aca="false">IF(ISBLANK(INDEX(big_daily_table,MATCH(DATE(W$5,$K52,$J52),daily_dates,0),MATCH($B$3,daily_items,0))),NA(),INDEX(big_daily_table,MATCH(DATE(W$5,$K52,$J52),daily_dates,0),MATCH($B$3,daily_items,0)))</f>
        <v>#N/A</v>
      </c>
      <c r="X52" s="1" t="e">
        <f aca="false">IF(ISBLANK(INDEX(big_daily_table,MATCH(DATE(X$5,$K52,$J52),daily_dates,0),MATCH($B$3,daily_items,0))),NA(),INDEX(big_daily_table,MATCH(DATE(X$5,$K52,$J52),daily_dates,0),MATCH($B$3,daily_items,0)))</f>
        <v>#N/A</v>
      </c>
      <c r="Y52" s="1" t="e">
        <f aca="false">IF(ISBLANK(INDEX(big_daily_table,MATCH(DATE(Y$5,$K52,$J52),daily_dates,0),MATCH($B$3,daily_items,0))),NA(),INDEX(big_daily_table,MATCH(DATE(Y$5,$K52,$J52),daily_dates,0),MATCH($B$3,daily_items,0)))</f>
        <v>#N/A</v>
      </c>
      <c r="Z52" s="1" t="e">
        <f aca="false">IF(ISBLANK(INDEX(big_daily_table,MATCH(DATE(Z$5,$K52,$J52),daily_dates,0),MATCH($B$3,daily_items,0))),NA(),INDEX(big_daily_table,MATCH(DATE(Z$5,$K52,$J52),daily_dates,0),MATCH($B$3,daily_items,0)))</f>
        <v>#N/A</v>
      </c>
      <c r="AA52" s="1" t="n">
        <f aca="true">_xlfn.AGGREGATE(5,6,OFFSET($S$5,H52,0,1,$K$2))</f>
        <v>0</v>
      </c>
      <c r="AB52" s="1" t="n">
        <f aca="true">_xlfn.AGGREGATE(4,6,OFFSET($S$5,H52,0,1,$K$2))</f>
        <v>0</v>
      </c>
      <c r="AC52" s="1" t="n">
        <f aca="false">AB52-AA52</f>
        <v>0</v>
      </c>
      <c r="AD52" s="1" t="e">
        <f aca="true">_xlfn.AGGREGATE(1,6,OFFSET($S$5,H52,0,1,$K$2))</f>
        <v>#DIV/0!</v>
      </c>
    </row>
    <row r="53" customFormat="false" ht="14.25" hidden="false" customHeight="false" outlineLevel="0" collapsed="false">
      <c r="H53" s="1" t="n">
        <f aca="false">H52+1</f>
        <v>48</v>
      </c>
      <c r="I53" s="1" t="n">
        <f aca="false">WEEKDAY('daily graphs'!K53)</f>
        <v>5</v>
      </c>
      <c r="J53" s="1" t="n">
        <f aca="false">DAY(L53)</f>
        <v>12</v>
      </c>
      <c r="K53" s="1" t="n">
        <f aca="false">MONTH(L53)</f>
        <v>2</v>
      </c>
      <c r="L53" s="23" t="n">
        <f aca="false">'daily graphs'!K53 - I53</f>
        <v>36568</v>
      </c>
      <c r="M53" s="24" t="n">
        <f aca="true">IF(TODAY()&lt;DATE($O$5,K53,J53),1000000,-1000000)</f>
        <v>-1000000</v>
      </c>
      <c r="N53" s="24" t="e">
        <f aca="false">IF(M53&gt;0,INDEX(big_daily_table,MATCH(DATE(O$5,$K53,$J53),daily_dates,0),MATCH($B$3,daily_items,0)),NA())</f>
        <v>#N/A</v>
      </c>
      <c r="O53" s="1" t="e">
        <f aca="false">IF(M53&lt;0,INDEX(big_daily_table,MATCH(DATE(O$5,$K53,$J53),daily_dates,0),MATCH($B$3,daily_items,0)),NA())</f>
        <v>#N/A</v>
      </c>
      <c r="P53" s="1" t="e">
        <f aca="false">IF(ISBLANK(INDEX(big_daily_table,MATCH(DATE(P$5,$K53,$J53),daily_dates,0),MATCH($B$3,daily_items,0))),NA(),INDEX(big_daily_table,MATCH(DATE(P$5,$K53,$J53),daily_dates,0),MATCH($B$3,daily_items,0)))</f>
        <v>#N/A</v>
      </c>
      <c r="Q53" s="1" t="e">
        <f aca="false">IF(ISBLANK(INDEX(big_daily_table,MATCH(DATE(Q$5,$K53,$J53),daily_dates,0),MATCH($B$3,daily_items,0))),NA(),INDEX(big_daily_table,MATCH(DATE(Q$5,$K53,$J53),daily_dates,0),MATCH($B$3,daily_items,0)))</f>
        <v>#N/A</v>
      </c>
      <c r="R53" s="1" t="e">
        <f aca="false">IF(ISBLANK(INDEX(big_daily_table,MATCH(DATE(R$5,$K53,$J53),daily_dates,0),MATCH($B$3,daily_items,0))),NA(),INDEX(big_daily_table,MATCH(DATE(R$5,$K53,$J53),daily_dates,0),MATCH($B$3,daily_items,0)))</f>
        <v>#N/A</v>
      </c>
      <c r="S53" s="1" t="e">
        <f aca="false">IF(ISBLANK(INDEX(big_daily_table,MATCH(DATE(S$5,$K53,$J53),daily_dates,0),MATCH($B$3,daily_items,0))),NA(),INDEX(big_daily_table,MATCH(DATE(S$5,$K53,$J53),daily_dates,0),MATCH($B$3,daily_items,0)))</f>
        <v>#N/A</v>
      </c>
      <c r="T53" s="1" t="e">
        <f aca="false">IF(ISBLANK(INDEX(big_daily_table,MATCH(DATE(T$5,$K53,$J53),daily_dates,0),MATCH($B$3,daily_items,0))),NA(),INDEX(big_daily_table,MATCH(DATE(T$5,$K53,$J53),daily_dates,0),MATCH($B$3,daily_items,0)))</f>
        <v>#N/A</v>
      </c>
      <c r="U53" s="1" t="e">
        <f aca="false">IF(ISBLANK(INDEX(big_daily_table,MATCH(DATE(U$5,$K53,$J53),daily_dates,0),MATCH($B$3,daily_items,0))),NA(),INDEX(big_daily_table,MATCH(DATE(U$5,$K53,$J53),daily_dates,0),MATCH($B$3,daily_items,0)))</f>
        <v>#N/A</v>
      </c>
      <c r="V53" s="1" t="e">
        <f aca="false">IF(ISBLANK(INDEX(big_daily_table,MATCH(DATE(V$5,$K53,$J53),daily_dates,0),MATCH($B$3,daily_items,0))),NA(),INDEX(big_daily_table,MATCH(DATE(V$5,$K53,$J53),daily_dates,0),MATCH($B$3,daily_items,0)))</f>
        <v>#N/A</v>
      </c>
      <c r="W53" s="1" t="e">
        <f aca="false">IF(ISBLANK(INDEX(big_daily_table,MATCH(DATE(W$5,$K53,$J53),daily_dates,0),MATCH($B$3,daily_items,0))),NA(),INDEX(big_daily_table,MATCH(DATE(W$5,$K53,$J53),daily_dates,0),MATCH($B$3,daily_items,0)))</f>
        <v>#N/A</v>
      </c>
      <c r="X53" s="1" t="e">
        <f aca="false">IF(ISBLANK(INDEX(big_daily_table,MATCH(DATE(X$5,$K53,$J53),daily_dates,0),MATCH($B$3,daily_items,0))),NA(),INDEX(big_daily_table,MATCH(DATE(X$5,$K53,$J53),daily_dates,0),MATCH($B$3,daily_items,0)))</f>
        <v>#N/A</v>
      </c>
      <c r="Y53" s="1" t="e">
        <f aca="false">IF(ISBLANK(INDEX(big_daily_table,MATCH(DATE(Y$5,$K53,$J53),daily_dates,0),MATCH($B$3,daily_items,0))),NA(),INDEX(big_daily_table,MATCH(DATE(Y$5,$K53,$J53),daily_dates,0),MATCH($B$3,daily_items,0)))</f>
        <v>#N/A</v>
      </c>
      <c r="Z53" s="1" t="e">
        <f aca="false">IF(ISBLANK(INDEX(big_daily_table,MATCH(DATE(Z$5,$K53,$J53),daily_dates,0),MATCH($B$3,daily_items,0))),NA(),INDEX(big_daily_table,MATCH(DATE(Z$5,$K53,$J53),daily_dates,0),MATCH($B$3,daily_items,0)))</f>
        <v>#N/A</v>
      </c>
      <c r="AA53" s="1" t="n">
        <f aca="true">_xlfn.AGGREGATE(5,6,OFFSET($S$5,H53,0,1,$K$2))</f>
        <v>0</v>
      </c>
      <c r="AB53" s="1" t="n">
        <f aca="true">_xlfn.AGGREGATE(4,6,OFFSET($S$5,H53,0,1,$K$2))</f>
        <v>0</v>
      </c>
      <c r="AC53" s="1" t="n">
        <f aca="false">AB53-AA53</f>
        <v>0</v>
      </c>
      <c r="AD53" s="1" t="e">
        <f aca="true">_xlfn.AGGREGATE(1,6,OFFSET($S$5,H53,0,1,$K$2))</f>
        <v>#DIV/0!</v>
      </c>
    </row>
    <row r="54" customFormat="false" ht="14.25" hidden="false" customHeight="false" outlineLevel="0" collapsed="false">
      <c r="H54" s="1" t="n">
        <f aca="false">H53+1</f>
        <v>49</v>
      </c>
      <c r="I54" s="1" t="n">
        <f aca="false">WEEKDAY('daily graphs'!K54)</f>
        <v>6</v>
      </c>
      <c r="J54" s="1" t="n">
        <f aca="false">DAY(L54)</f>
        <v>12</v>
      </c>
      <c r="K54" s="1" t="n">
        <f aca="false">MONTH(L54)</f>
        <v>2</v>
      </c>
      <c r="L54" s="23" t="n">
        <f aca="false">'daily graphs'!K54 - I54</f>
        <v>36568</v>
      </c>
      <c r="M54" s="24" t="n">
        <f aca="true">IF(TODAY()&lt;DATE($O$5,K54,J54),1000000,-1000000)</f>
        <v>-1000000</v>
      </c>
      <c r="N54" s="24" t="e">
        <f aca="false">IF(M54&gt;0,INDEX(big_daily_table,MATCH(DATE(O$5,$K54,$J54),daily_dates,0),MATCH($B$3,daily_items,0)),NA())</f>
        <v>#N/A</v>
      </c>
      <c r="O54" s="1" t="e">
        <f aca="false">IF(M54&lt;0,INDEX(big_daily_table,MATCH(DATE(O$5,$K54,$J54),daily_dates,0),MATCH($B$3,daily_items,0)),NA())</f>
        <v>#N/A</v>
      </c>
      <c r="P54" s="1" t="e">
        <f aca="false">IF(ISBLANK(INDEX(big_daily_table,MATCH(DATE(P$5,$K54,$J54),daily_dates,0),MATCH($B$3,daily_items,0))),NA(),INDEX(big_daily_table,MATCH(DATE(P$5,$K54,$J54),daily_dates,0),MATCH($B$3,daily_items,0)))</f>
        <v>#N/A</v>
      </c>
      <c r="Q54" s="1" t="e">
        <f aca="false">IF(ISBLANK(INDEX(big_daily_table,MATCH(DATE(Q$5,$K54,$J54),daily_dates,0),MATCH($B$3,daily_items,0))),NA(),INDEX(big_daily_table,MATCH(DATE(Q$5,$K54,$J54),daily_dates,0),MATCH($B$3,daily_items,0)))</f>
        <v>#N/A</v>
      </c>
      <c r="R54" s="1" t="e">
        <f aca="false">IF(ISBLANK(INDEX(big_daily_table,MATCH(DATE(R$5,$K54,$J54),daily_dates,0),MATCH($B$3,daily_items,0))),NA(),INDEX(big_daily_table,MATCH(DATE(R$5,$K54,$J54),daily_dates,0),MATCH($B$3,daily_items,0)))</f>
        <v>#N/A</v>
      </c>
      <c r="S54" s="1" t="e">
        <f aca="false">IF(ISBLANK(INDEX(big_daily_table,MATCH(DATE(S$5,$K54,$J54),daily_dates,0),MATCH($B$3,daily_items,0))),NA(),INDEX(big_daily_table,MATCH(DATE(S$5,$K54,$J54),daily_dates,0),MATCH($B$3,daily_items,0)))</f>
        <v>#N/A</v>
      </c>
      <c r="T54" s="1" t="e">
        <f aca="false">IF(ISBLANK(INDEX(big_daily_table,MATCH(DATE(T$5,$K54,$J54),daily_dates,0),MATCH($B$3,daily_items,0))),NA(),INDEX(big_daily_table,MATCH(DATE(T$5,$K54,$J54),daily_dates,0),MATCH($B$3,daily_items,0)))</f>
        <v>#N/A</v>
      </c>
      <c r="U54" s="1" t="e">
        <f aca="false">IF(ISBLANK(INDEX(big_daily_table,MATCH(DATE(U$5,$K54,$J54),daily_dates,0),MATCH($B$3,daily_items,0))),NA(),INDEX(big_daily_table,MATCH(DATE(U$5,$K54,$J54),daily_dates,0),MATCH($B$3,daily_items,0)))</f>
        <v>#N/A</v>
      </c>
      <c r="V54" s="1" t="e">
        <f aca="false">IF(ISBLANK(INDEX(big_daily_table,MATCH(DATE(V$5,$K54,$J54),daily_dates,0),MATCH($B$3,daily_items,0))),NA(),INDEX(big_daily_table,MATCH(DATE(V$5,$K54,$J54),daily_dates,0),MATCH($B$3,daily_items,0)))</f>
        <v>#N/A</v>
      </c>
      <c r="W54" s="1" t="e">
        <f aca="false">IF(ISBLANK(INDEX(big_daily_table,MATCH(DATE(W$5,$K54,$J54),daily_dates,0),MATCH($B$3,daily_items,0))),NA(),INDEX(big_daily_table,MATCH(DATE(W$5,$K54,$J54),daily_dates,0),MATCH($B$3,daily_items,0)))</f>
        <v>#N/A</v>
      </c>
      <c r="X54" s="1" t="e">
        <f aca="false">IF(ISBLANK(INDEX(big_daily_table,MATCH(DATE(X$5,$K54,$J54),daily_dates,0),MATCH($B$3,daily_items,0))),NA(),INDEX(big_daily_table,MATCH(DATE(X$5,$K54,$J54),daily_dates,0),MATCH($B$3,daily_items,0)))</f>
        <v>#N/A</v>
      </c>
      <c r="Y54" s="1" t="e">
        <f aca="false">IF(ISBLANK(INDEX(big_daily_table,MATCH(DATE(Y$5,$K54,$J54),daily_dates,0),MATCH($B$3,daily_items,0))),NA(),INDEX(big_daily_table,MATCH(DATE(Y$5,$K54,$J54),daily_dates,0),MATCH($B$3,daily_items,0)))</f>
        <v>#N/A</v>
      </c>
      <c r="Z54" s="1" t="e">
        <f aca="false">IF(ISBLANK(INDEX(big_daily_table,MATCH(DATE(Z$5,$K54,$J54),daily_dates,0),MATCH($B$3,daily_items,0))),NA(),INDEX(big_daily_table,MATCH(DATE(Z$5,$K54,$J54),daily_dates,0),MATCH($B$3,daily_items,0)))</f>
        <v>#N/A</v>
      </c>
      <c r="AA54" s="1" t="n">
        <f aca="true">_xlfn.AGGREGATE(5,6,OFFSET($S$5,H54,0,1,$K$2))</f>
        <v>0</v>
      </c>
      <c r="AB54" s="1" t="n">
        <f aca="true">_xlfn.AGGREGATE(4,6,OFFSET($S$5,H54,0,1,$K$2))</f>
        <v>0</v>
      </c>
      <c r="AC54" s="1" t="n">
        <f aca="false">AB54-AA54</f>
        <v>0</v>
      </c>
      <c r="AD54" s="1" t="e">
        <f aca="true">_xlfn.AGGREGATE(1,6,OFFSET($S$5,H54,0,1,$K$2))</f>
        <v>#DIV/0!</v>
      </c>
    </row>
    <row r="55" customFormat="false" ht="14.25" hidden="false" customHeight="false" outlineLevel="0" collapsed="false">
      <c r="H55" s="1" t="n">
        <f aca="false">H54+1</f>
        <v>50</v>
      </c>
      <c r="I55" s="1" t="n">
        <f aca="false">WEEKDAY('daily graphs'!K55)</f>
        <v>7</v>
      </c>
      <c r="J55" s="1" t="n">
        <f aca="false">DAY(L55)</f>
        <v>12</v>
      </c>
      <c r="K55" s="1" t="n">
        <f aca="false">MONTH(L55)</f>
        <v>2</v>
      </c>
      <c r="L55" s="23" t="n">
        <f aca="false">'daily graphs'!K55 - I55</f>
        <v>36568</v>
      </c>
      <c r="M55" s="24" t="n">
        <f aca="true">IF(TODAY()&lt;DATE($O$5,K55,J55),1000000,-1000000)</f>
        <v>-1000000</v>
      </c>
      <c r="N55" s="24" t="e">
        <f aca="false">IF(M55&gt;0,INDEX(big_daily_table,MATCH(DATE(O$5,$K55,$J55),daily_dates,0),MATCH($B$3,daily_items,0)),NA())</f>
        <v>#N/A</v>
      </c>
      <c r="O55" s="1" t="e">
        <f aca="false">IF(M55&lt;0,INDEX(big_daily_table,MATCH(DATE(O$5,$K55,$J55),daily_dates,0),MATCH($B$3,daily_items,0)),NA())</f>
        <v>#N/A</v>
      </c>
      <c r="P55" s="1" t="e">
        <f aca="false">IF(ISBLANK(INDEX(big_daily_table,MATCH(DATE(P$5,$K55,$J55),daily_dates,0),MATCH($B$3,daily_items,0))),NA(),INDEX(big_daily_table,MATCH(DATE(P$5,$K55,$J55),daily_dates,0),MATCH($B$3,daily_items,0)))</f>
        <v>#N/A</v>
      </c>
      <c r="Q55" s="1" t="e">
        <f aca="false">IF(ISBLANK(INDEX(big_daily_table,MATCH(DATE(Q$5,$K55,$J55),daily_dates,0),MATCH($B$3,daily_items,0))),NA(),INDEX(big_daily_table,MATCH(DATE(Q$5,$K55,$J55),daily_dates,0),MATCH($B$3,daily_items,0)))</f>
        <v>#N/A</v>
      </c>
      <c r="R55" s="1" t="e">
        <f aca="false">IF(ISBLANK(INDEX(big_daily_table,MATCH(DATE(R$5,$K55,$J55),daily_dates,0),MATCH($B$3,daily_items,0))),NA(),INDEX(big_daily_table,MATCH(DATE(R$5,$K55,$J55),daily_dates,0),MATCH($B$3,daily_items,0)))</f>
        <v>#N/A</v>
      </c>
      <c r="S55" s="1" t="e">
        <f aca="false">IF(ISBLANK(INDEX(big_daily_table,MATCH(DATE(S$5,$K55,$J55),daily_dates,0),MATCH($B$3,daily_items,0))),NA(),INDEX(big_daily_table,MATCH(DATE(S$5,$K55,$J55),daily_dates,0),MATCH($B$3,daily_items,0)))</f>
        <v>#N/A</v>
      </c>
      <c r="T55" s="1" t="e">
        <f aca="false">IF(ISBLANK(INDEX(big_daily_table,MATCH(DATE(T$5,$K55,$J55),daily_dates,0),MATCH($B$3,daily_items,0))),NA(),INDEX(big_daily_table,MATCH(DATE(T$5,$K55,$J55),daily_dates,0),MATCH($B$3,daily_items,0)))</f>
        <v>#N/A</v>
      </c>
      <c r="U55" s="1" t="e">
        <f aca="false">IF(ISBLANK(INDEX(big_daily_table,MATCH(DATE(U$5,$K55,$J55),daily_dates,0),MATCH($B$3,daily_items,0))),NA(),INDEX(big_daily_table,MATCH(DATE(U$5,$K55,$J55),daily_dates,0),MATCH($B$3,daily_items,0)))</f>
        <v>#N/A</v>
      </c>
      <c r="V55" s="1" t="e">
        <f aca="false">IF(ISBLANK(INDEX(big_daily_table,MATCH(DATE(V$5,$K55,$J55),daily_dates,0),MATCH($B$3,daily_items,0))),NA(),INDEX(big_daily_table,MATCH(DATE(V$5,$K55,$J55),daily_dates,0),MATCH($B$3,daily_items,0)))</f>
        <v>#N/A</v>
      </c>
      <c r="W55" s="1" t="e">
        <f aca="false">IF(ISBLANK(INDEX(big_daily_table,MATCH(DATE(W$5,$K55,$J55),daily_dates,0),MATCH($B$3,daily_items,0))),NA(),INDEX(big_daily_table,MATCH(DATE(W$5,$K55,$J55),daily_dates,0),MATCH($B$3,daily_items,0)))</f>
        <v>#N/A</v>
      </c>
      <c r="X55" s="1" t="e">
        <f aca="false">IF(ISBLANK(INDEX(big_daily_table,MATCH(DATE(X$5,$K55,$J55),daily_dates,0),MATCH($B$3,daily_items,0))),NA(),INDEX(big_daily_table,MATCH(DATE(X$5,$K55,$J55),daily_dates,0),MATCH($B$3,daily_items,0)))</f>
        <v>#N/A</v>
      </c>
      <c r="Y55" s="1" t="e">
        <f aca="false">IF(ISBLANK(INDEX(big_daily_table,MATCH(DATE(Y$5,$K55,$J55),daily_dates,0),MATCH($B$3,daily_items,0))),NA(),INDEX(big_daily_table,MATCH(DATE(Y$5,$K55,$J55),daily_dates,0),MATCH($B$3,daily_items,0)))</f>
        <v>#N/A</v>
      </c>
      <c r="Z55" s="1" t="e">
        <f aca="false">IF(ISBLANK(INDEX(big_daily_table,MATCH(DATE(Z$5,$K55,$J55),daily_dates,0),MATCH($B$3,daily_items,0))),NA(),INDEX(big_daily_table,MATCH(DATE(Z$5,$K55,$J55),daily_dates,0),MATCH($B$3,daily_items,0)))</f>
        <v>#N/A</v>
      </c>
      <c r="AA55" s="1" t="n">
        <f aca="true">_xlfn.AGGREGATE(5,6,OFFSET($S$5,H55,0,1,$K$2))</f>
        <v>0</v>
      </c>
      <c r="AB55" s="1" t="n">
        <f aca="true">_xlfn.AGGREGATE(4,6,OFFSET($S$5,H55,0,1,$K$2))</f>
        <v>0</v>
      </c>
      <c r="AC55" s="1" t="n">
        <f aca="false">AB55-AA55</f>
        <v>0</v>
      </c>
      <c r="AD55" s="1" t="e">
        <f aca="true">_xlfn.AGGREGATE(1,6,OFFSET($S$5,H55,0,1,$K$2))</f>
        <v>#DIV/0!</v>
      </c>
    </row>
    <row r="56" customFormat="false" ht="14.25" hidden="false" customHeight="false" outlineLevel="0" collapsed="false">
      <c r="H56" s="1" t="n">
        <f aca="false">H55+1</f>
        <v>51</v>
      </c>
      <c r="I56" s="1" t="n">
        <f aca="false">WEEKDAY('daily graphs'!K56)</f>
        <v>1</v>
      </c>
      <c r="J56" s="1" t="n">
        <f aca="false">DAY(L56)</f>
        <v>19</v>
      </c>
      <c r="K56" s="1" t="n">
        <f aca="false">MONTH(L56)</f>
        <v>2</v>
      </c>
      <c r="L56" s="23" t="n">
        <f aca="false">'daily graphs'!K56 - I56</f>
        <v>36575</v>
      </c>
      <c r="M56" s="24" t="n">
        <f aca="true">IF(TODAY()&lt;DATE($O$5,K56,J56),1000000,-1000000)</f>
        <v>-1000000</v>
      </c>
      <c r="N56" s="24" t="e">
        <f aca="false">IF(M56&gt;0,INDEX(big_daily_table,MATCH(DATE(O$5,$K56,$J56),daily_dates,0),MATCH($B$3,daily_items,0)),NA())</f>
        <v>#N/A</v>
      </c>
      <c r="O56" s="1" t="e">
        <f aca="false">IF(M56&lt;0,INDEX(big_daily_table,MATCH(DATE(O$5,$K56,$J56),daily_dates,0),MATCH($B$3,daily_items,0)),NA())</f>
        <v>#N/A</v>
      </c>
      <c r="P56" s="1" t="e">
        <f aca="false">IF(ISBLANK(INDEX(big_daily_table,MATCH(DATE(P$5,$K56,$J56),daily_dates,0),MATCH($B$3,daily_items,0))),NA(),INDEX(big_daily_table,MATCH(DATE(P$5,$K56,$J56),daily_dates,0),MATCH($B$3,daily_items,0)))</f>
        <v>#N/A</v>
      </c>
      <c r="Q56" s="1" t="e">
        <f aca="false">IF(ISBLANK(INDEX(big_daily_table,MATCH(DATE(Q$5,$K56,$J56),daily_dates,0),MATCH($B$3,daily_items,0))),NA(),INDEX(big_daily_table,MATCH(DATE(Q$5,$K56,$J56),daily_dates,0),MATCH($B$3,daily_items,0)))</f>
        <v>#N/A</v>
      </c>
      <c r="R56" s="1" t="e">
        <f aca="false">IF(ISBLANK(INDEX(big_daily_table,MATCH(DATE(R$5,$K56,$J56),daily_dates,0),MATCH($B$3,daily_items,0))),NA(),INDEX(big_daily_table,MATCH(DATE(R$5,$K56,$J56),daily_dates,0),MATCH($B$3,daily_items,0)))</f>
        <v>#N/A</v>
      </c>
      <c r="S56" s="1" t="e">
        <f aca="false">IF(ISBLANK(INDEX(big_daily_table,MATCH(DATE(S$5,$K56,$J56),daily_dates,0),MATCH($B$3,daily_items,0))),NA(),INDEX(big_daily_table,MATCH(DATE(S$5,$K56,$J56),daily_dates,0),MATCH($B$3,daily_items,0)))</f>
        <v>#N/A</v>
      </c>
      <c r="T56" s="1" t="e">
        <f aca="false">IF(ISBLANK(INDEX(big_daily_table,MATCH(DATE(T$5,$K56,$J56),daily_dates,0),MATCH($B$3,daily_items,0))),NA(),INDEX(big_daily_table,MATCH(DATE(T$5,$K56,$J56),daily_dates,0),MATCH($B$3,daily_items,0)))</f>
        <v>#N/A</v>
      </c>
      <c r="U56" s="1" t="e">
        <f aca="false">IF(ISBLANK(INDEX(big_daily_table,MATCH(DATE(U$5,$K56,$J56),daily_dates,0),MATCH($B$3,daily_items,0))),NA(),INDEX(big_daily_table,MATCH(DATE(U$5,$K56,$J56),daily_dates,0),MATCH($B$3,daily_items,0)))</f>
        <v>#N/A</v>
      </c>
      <c r="V56" s="1" t="e">
        <f aca="false">IF(ISBLANK(INDEX(big_daily_table,MATCH(DATE(V$5,$K56,$J56),daily_dates,0),MATCH($B$3,daily_items,0))),NA(),INDEX(big_daily_table,MATCH(DATE(V$5,$K56,$J56),daily_dates,0),MATCH($B$3,daily_items,0)))</f>
        <v>#N/A</v>
      </c>
      <c r="W56" s="1" t="e">
        <f aca="false">IF(ISBLANK(INDEX(big_daily_table,MATCH(DATE(W$5,$K56,$J56),daily_dates,0),MATCH($B$3,daily_items,0))),NA(),INDEX(big_daily_table,MATCH(DATE(W$5,$K56,$J56),daily_dates,0),MATCH($B$3,daily_items,0)))</f>
        <v>#N/A</v>
      </c>
      <c r="X56" s="1" t="e">
        <f aca="false">IF(ISBLANK(INDEX(big_daily_table,MATCH(DATE(X$5,$K56,$J56),daily_dates,0),MATCH($B$3,daily_items,0))),NA(),INDEX(big_daily_table,MATCH(DATE(X$5,$K56,$J56),daily_dates,0),MATCH($B$3,daily_items,0)))</f>
        <v>#N/A</v>
      </c>
      <c r="Y56" s="1" t="e">
        <f aca="false">IF(ISBLANK(INDEX(big_daily_table,MATCH(DATE(Y$5,$K56,$J56),daily_dates,0),MATCH($B$3,daily_items,0))),NA(),INDEX(big_daily_table,MATCH(DATE(Y$5,$K56,$J56),daily_dates,0),MATCH($B$3,daily_items,0)))</f>
        <v>#N/A</v>
      </c>
      <c r="Z56" s="1" t="e">
        <f aca="false">IF(ISBLANK(INDEX(big_daily_table,MATCH(DATE(Z$5,$K56,$J56),daily_dates,0),MATCH($B$3,daily_items,0))),NA(),INDEX(big_daily_table,MATCH(DATE(Z$5,$K56,$J56),daily_dates,0),MATCH($B$3,daily_items,0)))</f>
        <v>#N/A</v>
      </c>
      <c r="AA56" s="1" t="n">
        <f aca="true">_xlfn.AGGREGATE(5,6,OFFSET($S$5,H56,0,1,$K$2))</f>
        <v>0</v>
      </c>
      <c r="AB56" s="1" t="n">
        <f aca="true">_xlfn.AGGREGATE(4,6,OFFSET($S$5,H56,0,1,$K$2))</f>
        <v>0</v>
      </c>
      <c r="AC56" s="1" t="n">
        <f aca="false">AB56-AA56</f>
        <v>0</v>
      </c>
      <c r="AD56" s="1" t="e">
        <f aca="true">_xlfn.AGGREGATE(1,6,OFFSET($S$5,H56,0,1,$K$2))</f>
        <v>#DIV/0!</v>
      </c>
    </row>
    <row r="57" customFormat="false" ht="14.25" hidden="false" customHeight="false" outlineLevel="0" collapsed="false">
      <c r="H57" s="1" t="n">
        <f aca="false">H56+1</f>
        <v>52</v>
      </c>
      <c r="I57" s="1" t="n">
        <f aca="false">WEEKDAY('daily graphs'!K57)</f>
        <v>2</v>
      </c>
      <c r="J57" s="1" t="n">
        <f aca="false">DAY(L57)</f>
        <v>19</v>
      </c>
      <c r="K57" s="1" t="n">
        <f aca="false">MONTH(L57)</f>
        <v>2</v>
      </c>
      <c r="L57" s="23" t="n">
        <f aca="false">'daily graphs'!K57 - I57</f>
        <v>36575</v>
      </c>
      <c r="M57" s="24" t="n">
        <f aca="true">IF(TODAY()&lt;DATE($O$5,K57,J57),1000000,-1000000)</f>
        <v>-1000000</v>
      </c>
      <c r="N57" s="24" t="e">
        <f aca="false">IF(M57&gt;0,INDEX(big_daily_table,MATCH(DATE(O$5,$K57,$J57),daily_dates,0),MATCH($B$3,daily_items,0)),NA())</f>
        <v>#N/A</v>
      </c>
      <c r="O57" s="1" t="e">
        <f aca="false">IF(M57&lt;0,INDEX(big_daily_table,MATCH(DATE(O$5,$K57,$J57),daily_dates,0),MATCH($B$3,daily_items,0)),NA())</f>
        <v>#N/A</v>
      </c>
      <c r="P57" s="1" t="e">
        <f aca="false">IF(ISBLANK(INDEX(big_daily_table,MATCH(DATE(P$5,$K57,$J57),daily_dates,0),MATCH($B$3,daily_items,0))),NA(),INDEX(big_daily_table,MATCH(DATE(P$5,$K57,$J57),daily_dates,0),MATCH($B$3,daily_items,0)))</f>
        <v>#N/A</v>
      </c>
      <c r="Q57" s="1" t="e">
        <f aca="false">IF(ISBLANK(INDEX(big_daily_table,MATCH(DATE(Q$5,$K57,$J57),daily_dates,0),MATCH($B$3,daily_items,0))),NA(),INDEX(big_daily_table,MATCH(DATE(Q$5,$K57,$J57),daily_dates,0),MATCH($B$3,daily_items,0)))</f>
        <v>#N/A</v>
      </c>
      <c r="R57" s="1" t="e">
        <f aca="false">IF(ISBLANK(INDEX(big_daily_table,MATCH(DATE(R$5,$K57,$J57),daily_dates,0),MATCH($B$3,daily_items,0))),NA(),INDEX(big_daily_table,MATCH(DATE(R$5,$K57,$J57),daily_dates,0),MATCH($B$3,daily_items,0)))</f>
        <v>#N/A</v>
      </c>
      <c r="S57" s="1" t="e">
        <f aca="false">IF(ISBLANK(INDEX(big_daily_table,MATCH(DATE(S$5,$K57,$J57),daily_dates,0),MATCH($B$3,daily_items,0))),NA(),INDEX(big_daily_table,MATCH(DATE(S$5,$K57,$J57),daily_dates,0),MATCH($B$3,daily_items,0)))</f>
        <v>#N/A</v>
      </c>
      <c r="T57" s="1" t="e">
        <f aca="false">IF(ISBLANK(INDEX(big_daily_table,MATCH(DATE(T$5,$K57,$J57),daily_dates,0),MATCH($B$3,daily_items,0))),NA(),INDEX(big_daily_table,MATCH(DATE(T$5,$K57,$J57),daily_dates,0),MATCH($B$3,daily_items,0)))</f>
        <v>#N/A</v>
      </c>
      <c r="U57" s="1" t="e">
        <f aca="false">IF(ISBLANK(INDEX(big_daily_table,MATCH(DATE(U$5,$K57,$J57),daily_dates,0),MATCH($B$3,daily_items,0))),NA(),INDEX(big_daily_table,MATCH(DATE(U$5,$K57,$J57),daily_dates,0),MATCH($B$3,daily_items,0)))</f>
        <v>#N/A</v>
      </c>
      <c r="V57" s="1" t="e">
        <f aca="false">IF(ISBLANK(INDEX(big_daily_table,MATCH(DATE(V$5,$K57,$J57),daily_dates,0),MATCH($B$3,daily_items,0))),NA(),INDEX(big_daily_table,MATCH(DATE(V$5,$K57,$J57),daily_dates,0),MATCH($B$3,daily_items,0)))</f>
        <v>#N/A</v>
      </c>
      <c r="W57" s="1" t="e">
        <f aca="false">IF(ISBLANK(INDEX(big_daily_table,MATCH(DATE(W$5,$K57,$J57),daily_dates,0),MATCH($B$3,daily_items,0))),NA(),INDEX(big_daily_table,MATCH(DATE(W$5,$K57,$J57),daily_dates,0),MATCH($B$3,daily_items,0)))</f>
        <v>#N/A</v>
      </c>
      <c r="X57" s="1" t="e">
        <f aca="false">IF(ISBLANK(INDEX(big_daily_table,MATCH(DATE(X$5,$K57,$J57),daily_dates,0),MATCH($B$3,daily_items,0))),NA(),INDEX(big_daily_table,MATCH(DATE(X$5,$K57,$J57),daily_dates,0),MATCH($B$3,daily_items,0)))</f>
        <v>#N/A</v>
      </c>
      <c r="Y57" s="1" t="e">
        <f aca="false">IF(ISBLANK(INDEX(big_daily_table,MATCH(DATE(Y$5,$K57,$J57),daily_dates,0),MATCH($B$3,daily_items,0))),NA(),INDEX(big_daily_table,MATCH(DATE(Y$5,$K57,$J57),daily_dates,0),MATCH($B$3,daily_items,0)))</f>
        <v>#N/A</v>
      </c>
      <c r="Z57" s="1" t="e">
        <f aca="false">IF(ISBLANK(INDEX(big_daily_table,MATCH(DATE(Z$5,$K57,$J57),daily_dates,0),MATCH($B$3,daily_items,0))),NA(),INDEX(big_daily_table,MATCH(DATE(Z$5,$K57,$J57),daily_dates,0),MATCH($B$3,daily_items,0)))</f>
        <v>#N/A</v>
      </c>
      <c r="AA57" s="1" t="n">
        <f aca="true">_xlfn.AGGREGATE(5,6,OFFSET($S$5,H57,0,1,$K$2))</f>
        <v>0</v>
      </c>
      <c r="AB57" s="1" t="n">
        <f aca="true">_xlfn.AGGREGATE(4,6,OFFSET($S$5,H57,0,1,$K$2))</f>
        <v>0</v>
      </c>
      <c r="AC57" s="1" t="n">
        <f aca="false">AB57-AA57</f>
        <v>0</v>
      </c>
      <c r="AD57" s="1" t="e">
        <f aca="true">_xlfn.AGGREGATE(1,6,OFFSET($S$5,H57,0,1,$K$2))</f>
        <v>#DIV/0!</v>
      </c>
    </row>
    <row r="58" customFormat="false" ht="14.25" hidden="false" customHeight="false" outlineLevel="0" collapsed="false">
      <c r="H58" s="1" t="n">
        <f aca="false">H57+1</f>
        <v>53</v>
      </c>
      <c r="I58" s="1" t="n">
        <f aca="false">WEEKDAY('daily graphs'!K58)</f>
        <v>3</v>
      </c>
      <c r="J58" s="1" t="n">
        <f aca="false">DAY(L58)</f>
        <v>19</v>
      </c>
      <c r="K58" s="1" t="n">
        <f aca="false">MONTH(L58)</f>
        <v>2</v>
      </c>
      <c r="L58" s="23" t="n">
        <f aca="false">'daily graphs'!K58 - I58</f>
        <v>36575</v>
      </c>
      <c r="M58" s="24" t="n">
        <f aca="true">IF(TODAY()&lt;DATE($O$5,K58,J58),1000000,-1000000)</f>
        <v>-1000000</v>
      </c>
      <c r="N58" s="24" t="e">
        <f aca="false">IF(M58&gt;0,INDEX(big_daily_table,MATCH(DATE(O$5,$K58,$J58),daily_dates,0),MATCH($B$3,daily_items,0)),NA())</f>
        <v>#N/A</v>
      </c>
      <c r="O58" s="1" t="e">
        <f aca="false">IF(M58&lt;0,INDEX(big_daily_table,MATCH(DATE(O$5,$K58,$J58),daily_dates,0),MATCH($B$3,daily_items,0)),NA())</f>
        <v>#N/A</v>
      </c>
      <c r="P58" s="1" t="e">
        <f aca="false">IF(ISBLANK(INDEX(big_daily_table,MATCH(DATE(P$5,$K58,$J58),daily_dates,0),MATCH($B$3,daily_items,0))),NA(),INDEX(big_daily_table,MATCH(DATE(P$5,$K58,$J58),daily_dates,0),MATCH($B$3,daily_items,0)))</f>
        <v>#N/A</v>
      </c>
      <c r="Q58" s="1" t="e">
        <f aca="false">IF(ISBLANK(INDEX(big_daily_table,MATCH(DATE(Q$5,$K58,$J58),daily_dates,0),MATCH($B$3,daily_items,0))),NA(),INDEX(big_daily_table,MATCH(DATE(Q$5,$K58,$J58),daily_dates,0),MATCH($B$3,daily_items,0)))</f>
        <v>#N/A</v>
      </c>
      <c r="R58" s="1" t="e">
        <f aca="false">IF(ISBLANK(INDEX(big_daily_table,MATCH(DATE(R$5,$K58,$J58),daily_dates,0),MATCH($B$3,daily_items,0))),NA(),INDEX(big_daily_table,MATCH(DATE(R$5,$K58,$J58),daily_dates,0),MATCH($B$3,daily_items,0)))</f>
        <v>#N/A</v>
      </c>
      <c r="S58" s="1" t="e">
        <f aca="false">IF(ISBLANK(INDEX(big_daily_table,MATCH(DATE(S$5,$K58,$J58),daily_dates,0),MATCH($B$3,daily_items,0))),NA(),INDEX(big_daily_table,MATCH(DATE(S$5,$K58,$J58),daily_dates,0),MATCH($B$3,daily_items,0)))</f>
        <v>#N/A</v>
      </c>
      <c r="T58" s="1" t="e">
        <f aca="false">IF(ISBLANK(INDEX(big_daily_table,MATCH(DATE(T$5,$K58,$J58),daily_dates,0),MATCH($B$3,daily_items,0))),NA(),INDEX(big_daily_table,MATCH(DATE(T$5,$K58,$J58),daily_dates,0),MATCH($B$3,daily_items,0)))</f>
        <v>#N/A</v>
      </c>
      <c r="U58" s="1" t="e">
        <f aca="false">IF(ISBLANK(INDEX(big_daily_table,MATCH(DATE(U$5,$K58,$J58),daily_dates,0),MATCH($B$3,daily_items,0))),NA(),INDEX(big_daily_table,MATCH(DATE(U$5,$K58,$J58),daily_dates,0),MATCH($B$3,daily_items,0)))</f>
        <v>#N/A</v>
      </c>
      <c r="V58" s="1" t="e">
        <f aca="false">IF(ISBLANK(INDEX(big_daily_table,MATCH(DATE(V$5,$K58,$J58),daily_dates,0),MATCH($B$3,daily_items,0))),NA(),INDEX(big_daily_table,MATCH(DATE(V$5,$K58,$J58),daily_dates,0),MATCH($B$3,daily_items,0)))</f>
        <v>#N/A</v>
      </c>
      <c r="W58" s="1" t="e">
        <f aca="false">IF(ISBLANK(INDEX(big_daily_table,MATCH(DATE(W$5,$K58,$J58),daily_dates,0),MATCH($B$3,daily_items,0))),NA(),INDEX(big_daily_table,MATCH(DATE(W$5,$K58,$J58),daily_dates,0),MATCH($B$3,daily_items,0)))</f>
        <v>#N/A</v>
      </c>
      <c r="X58" s="1" t="e">
        <f aca="false">IF(ISBLANK(INDEX(big_daily_table,MATCH(DATE(X$5,$K58,$J58),daily_dates,0),MATCH($B$3,daily_items,0))),NA(),INDEX(big_daily_table,MATCH(DATE(X$5,$K58,$J58),daily_dates,0),MATCH($B$3,daily_items,0)))</f>
        <v>#N/A</v>
      </c>
      <c r="Y58" s="1" t="e">
        <f aca="false">IF(ISBLANK(INDEX(big_daily_table,MATCH(DATE(Y$5,$K58,$J58),daily_dates,0),MATCH($B$3,daily_items,0))),NA(),INDEX(big_daily_table,MATCH(DATE(Y$5,$K58,$J58),daily_dates,0),MATCH($B$3,daily_items,0)))</f>
        <v>#N/A</v>
      </c>
      <c r="Z58" s="1" t="e">
        <f aca="false">IF(ISBLANK(INDEX(big_daily_table,MATCH(DATE(Z$5,$K58,$J58),daily_dates,0),MATCH($B$3,daily_items,0))),NA(),INDEX(big_daily_table,MATCH(DATE(Z$5,$K58,$J58),daily_dates,0),MATCH($B$3,daily_items,0)))</f>
        <v>#N/A</v>
      </c>
      <c r="AA58" s="1" t="n">
        <f aca="true">_xlfn.AGGREGATE(5,6,OFFSET($S$5,H58,0,1,$K$2))</f>
        <v>0</v>
      </c>
      <c r="AB58" s="1" t="n">
        <f aca="true">_xlfn.AGGREGATE(4,6,OFFSET($S$5,H58,0,1,$K$2))</f>
        <v>0</v>
      </c>
      <c r="AC58" s="1" t="n">
        <f aca="false">AB58-AA58</f>
        <v>0</v>
      </c>
      <c r="AD58" s="1" t="e">
        <f aca="true">_xlfn.AGGREGATE(1,6,OFFSET($S$5,H58,0,1,$K$2))</f>
        <v>#DIV/0!</v>
      </c>
    </row>
    <row r="59" customFormat="false" ht="14.25" hidden="false" customHeight="false" outlineLevel="0" collapsed="false">
      <c r="H59" s="1" t="n">
        <f aca="false">H58+1</f>
        <v>54</v>
      </c>
      <c r="I59" s="1" t="n">
        <f aca="false">WEEKDAY('daily graphs'!K59)</f>
        <v>4</v>
      </c>
      <c r="J59" s="1" t="n">
        <f aca="false">DAY(L59)</f>
        <v>19</v>
      </c>
      <c r="K59" s="1" t="n">
        <f aca="false">MONTH(L59)</f>
        <v>2</v>
      </c>
      <c r="L59" s="23" t="n">
        <f aca="false">'daily graphs'!K59 - I59</f>
        <v>36575</v>
      </c>
      <c r="M59" s="24" t="n">
        <f aca="true">IF(TODAY()&lt;DATE($O$5,K59,J59),1000000,-1000000)</f>
        <v>-1000000</v>
      </c>
      <c r="N59" s="24" t="e">
        <f aca="false">IF(M59&gt;0,INDEX(big_daily_table,MATCH(DATE(O$5,$K59,$J59),daily_dates,0),MATCH($B$3,daily_items,0)),NA())</f>
        <v>#N/A</v>
      </c>
      <c r="O59" s="1" t="e">
        <f aca="false">IF(M59&lt;0,INDEX(big_daily_table,MATCH(DATE(O$5,$K59,$J59),daily_dates,0),MATCH($B$3,daily_items,0)),NA())</f>
        <v>#N/A</v>
      </c>
      <c r="P59" s="1" t="e">
        <f aca="false">IF(ISBLANK(INDEX(big_daily_table,MATCH(DATE(P$5,$K59,$J59),daily_dates,0),MATCH($B$3,daily_items,0))),NA(),INDEX(big_daily_table,MATCH(DATE(P$5,$K59,$J59),daily_dates,0),MATCH($B$3,daily_items,0)))</f>
        <v>#N/A</v>
      </c>
      <c r="Q59" s="1" t="e">
        <f aca="false">IF(ISBLANK(INDEX(big_daily_table,MATCH(DATE(Q$5,$K59,$J59),daily_dates,0),MATCH($B$3,daily_items,0))),NA(),INDEX(big_daily_table,MATCH(DATE(Q$5,$K59,$J59),daily_dates,0),MATCH($B$3,daily_items,0)))</f>
        <v>#N/A</v>
      </c>
      <c r="R59" s="1" t="e">
        <f aca="false">IF(ISBLANK(INDEX(big_daily_table,MATCH(DATE(R$5,$K59,$J59),daily_dates,0),MATCH($B$3,daily_items,0))),NA(),INDEX(big_daily_table,MATCH(DATE(R$5,$K59,$J59),daily_dates,0),MATCH($B$3,daily_items,0)))</f>
        <v>#N/A</v>
      </c>
      <c r="S59" s="1" t="e">
        <f aca="false">IF(ISBLANK(INDEX(big_daily_table,MATCH(DATE(S$5,$K59,$J59),daily_dates,0),MATCH($B$3,daily_items,0))),NA(),INDEX(big_daily_table,MATCH(DATE(S$5,$K59,$J59),daily_dates,0),MATCH($B$3,daily_items,0)))</f>
        <v>#N/A</v>
      </c>
      <c r="T59" s="1" t="e">
        <f aca="false">IF(ISBLANK(INDEX(big_daily_table,MATCH(DATE(T$5,$K59,$J59),daily_dates,0),MATCH($B$3,daily_items,0))),NA(),INDEX(big_daily_table,MATCH(DATE(T$5,$K59,$J59),daily_dates,0),MATCH($B$3,daily_items,0)))</f>
        <v>#N/A</v>
      </c>
      <c r="U59" s="1" t="e">
        <f aca="false">IF(ISBLANK(INDEX(big_daily_table,MATCH(DATE(U$5,$K59,$J59),daily_dates,0),MATCH($B$3,daily_items,0))),NA(),INDEX(big_daily_table,MATCH(DATE(U$5,$K59,$J59),daily_dates,0),MATCH($B$3,daily_items,0)))</f>
        <v>#N/A</v>
      </c>
      <c r="V59" s="1" t="e">
        <f aca="false">IF(ISBLANK(INDEX(big_daily_table,MATCH(DATE(V$5,$K59,$J59),daily_dates,0),MATCH($B$3,daily_items,0))),NA(),INDEX(big_daily_table,MATCH(DATE(V$5,$K59,$J59),daily_dates,0),MATCH($B$3,daily_items,0)))</f>
        <v>#N/A</v>
      </c>
      <c r="W59" s="1" t="e">
        <f aca="false">IF(ISBLANK(INDEX(big_daily_table,MATCH(DATE(W$5,$K59,$J59),daily_dates,0),MATCH($B$3,daily_items,0))),NA(),INDEX(big_daily_table,MATCH(DATE(W$5,$K59,$J59),daily_dates,0),MATCH($B$3,daily_items,0)))</f>
        <v>#N/A</v>
      </c>
      <c r="X59" s="1" t="e">
        <f aca="false">IF(ISBLANK(INDEX(big_daily_table,MATCH(DATE(X$5,$K59,$J59),daily_dates,0),MATCH($B$3,daily_items,0))),NA(),INDEX(big_daily_table,MATCH(DATE(X$5,$K59,$J59),daily_dates,0),MATCH($B$3,daily_items,0)))</f>
        <v>#N/A</v>
      </c>
      <c r="Y59" s="1" t="e">
        <f aca="false">IF(ISBLANK(INDEX(big_daily_table,MATCH(DATE(Y$5,$K59,$J59),daily_dates,0),MATCH($B$3,daily_items,0))),NA(),INDEX(big_daily_table,MATCH(DATE(Y$5,$K59,$J59),daily_dates,0),MATCH($B$3,daily_items,0)))</f>
        <v>#N/A</v>
      </c>
      <c r="Z59" s="1" t="e">
        <f aca="false">IF(ISBLANK(INDEX(big_daily_table,MATCH(DATE(Z$5,$K59,$J59),daily_dates,0),MATCH($B$3,daily_items,0))),NA(),INDEX(big_daily_table,MATCH(DATE(Z$5,$K59,$J59),daily_dates,0),MATCH($B$3,daily_items,0)))</f>
        <v>#N/A</v>
      </c>
      <c r="AA59" s="1" t="n">
        <f aca="true">_xlfn.AGGREGATE(5,6,OFFSET($S$5,H59,0,1,$K$2))</f>
        <v>0</v>
      </c>
      <c r="AB59" s="1" t="n">
        <f aca="true">_xlfn.AGGREGATE(4,6,OFFSET($S$5,H59,0,1,$K$2))</f>
        <v>0</v>
      </c>
      <c r="AC59" s="1" t="n">
        <f aca="false">AB59-AA59</f>
        <v>0</v>
      </c>
      <c r="AD59" s="1" t="e">
        <f aca="true">_xlfn.AGGREGATE(1,6,OFFSET($S$5,H59,0,1,$K$2))</f>
        <v>#DIV/0!</v>
      </c>
    </row>
    <row r="60" customFormat="false" ht="14.25" hidden="false" customHeight="false" outlineLevel="0" collapsed="false">
      <c r="H60" s="1" t="n">
        <f aca="false">H59+1</f>
        <v>55</v>
      </c>
      <c r="I60" s="1" t="n">
        <f aca="false">WEEKDAY('daily graphs'!K60)</f>
        <v>5</v>
      </c>
      <c r="J60" s="1" t="n">
        <f aca="false">DAY(L60)</f>
        <v>19</v>
      </c>
      <c r="K60" s="1" t="n">
        <f aca="false">MONTH(L60)</f>
        <v>2</v>
      </c>
      <c r="L60" s="23" t="n">
        <f aca="false">'daily graphs'!K60 - I60</f>
        <v>36575</v>
      </c>
      <c r="M60" s="24" t="n">
        <f aca="true">IF(TODAY()&lt;DATE($O$5,K60,J60),1000000,-1000000)</f>
        <v>-1000000</v>
      </c>
      <c r="N60" s="24" t="e">
        <f aca="false">IF(M60&gt;0,INDEX(big_daily_table,MATCH(DATE(O$5,$K60,$J60),daily_dates,0),MATCH($B$3,daily_items,0)),NA())</f>
        <v>#N/A</v>
      </c>
      <c r="O60" s="1" t="e">
        <f aca="false">IF(M60&lt;0,INDEX(big_daily_table,MATCH(DATE(O$5,$K60,$J60),daily_dates,0),MATCH($B$3,daily_items,0)),NA())</f>
        <v>#N/A</v>
      </c>
      <c r="P60" s="1" t="e">
        <f aca="false">IF(ISBLANK(INDEX(big_daily_table,MATCH(DATE(P$5,$K60,$J60),daily_dates,0),MATCH($B$3,daily_items,0))),NA(),INDEX(big_daily_table,MATCH(DATE(P$5,$K60,$J60),daily_dates,0),MATCH($B$3,daily_items,0)))</f>
        <v>#N/A</v>
      </c>
      <c r="Q60" s="1" t="e">
        <f aca="false">IF(ISBLANK(INDEX(big_daily_table,MATCH(DATE(Q$5,$K60,$J60),daily_dates,0),MATCH($B$3,daily_items,0))),NA(),INDEX(big_daily_table,MATCH(DATE(Q$5,$K60,$J60),daily_dates,0),MATCH($B$3,daily_items,0)))</f>
        <v>#N/A</v>
      </c>
      <c r="R60" s="1" t="e">
        <f aca="false">IF(ISBLANK(INDEX(big_daily_table,MATCH(DATE(R$5,$K60,$J60),daily_dates,0),MATCH($B$3,daily_items,0))),NA(),INDEX(big_daily_table,MATCH(DATE(R$5,$K60,$J60),daily_dates,0),MATCH($B$3,daily_items,0)))</f>
        <v>#N/A</v>
      </c>
      <c r="S60" s="1" t="e">
        <f aca="false">IF(ISBLANK(INDEX(big_daily_table,MATCH(DATE(S$5,$K60,$J60),daily_dates,0),MATCH($B$3,daily_items,0))),NA(),INDEX(big_daily_table,MATCH(DATE(S$5,$K60,$J60),daily_dates,0),MATCH($B$3,daily_items,0)))</f>
        <v>#N/A</v>
      </c>
      <c r="T60" s="1" t="e">
        <f aca="false">IF(ISBLANK(INDEX(big_daily_table,MATCH(DATE(T$5,$K60,$J60),daily_dates,0),MATCH($B$3,daily_items,0))),NA(),INDEX(big_daily_table,MATCH(DATE(T$5,$K60,$J60),daily_dates,0),MATCH($B$3,daily_items,0)))</f>
        <v>#N/A</v>
      </c>
      <c r="U60" s="1" t="e">
        <f aca="false">IF(ISBLANK(INDEX(big_daily_table,MATCH(DATE(U$5,$K60,$J60),daily_dates,0),MATCH($B$3,daily_items,0))),NA(),INDEX(big_daily_table,MATCH(DATE(U$5,$K60,$J60),daily_dates,0),MATCH($B$3,daily_items,0)))</f>
        <v>#N/A</v>
      </c>
      <c r="V60" s="1" t="e">
        <f aca="false">IF(ISBLANK(INDEX(big_daily_table,MATCH(DATE(V$5,$K60,$J60),daily_dates,0),MATCH($B$3,daily_items,0))),NA(),INDEX(big_daily_table,MATCH(DATE(V$5,$K60,$J60),daily_dates,0),MATCH($B$3,daily_items,0)))</f>
        <v>#N/A</v>
      </c>
      <c r="W60" s="1" t="e">
        <f aca="false">IF(ISBLANK(INDEX(big_daily_table,MATCH(DATE(W$5,$K60,$J60),daily_dates,0),MATCH($B$3,daily_items,0))),NA(),INDEX(big_daily_table,MATCH(DATE(W$5,$K60,$J60),daily_dates,0),MATCH($B$3,daily_items,0)))</f>
        <v>#N/A</v>
      </c>
      <c r="X60" s="1" t="e">
        <f aca="false">IF(ISBLANK(INDEX(big_daily_table,MATCH(DATE(X$5,$K60,$J60),daily_dates,0),MATCH($B$3,daily_items,0))),NA(),INDEX(big_daily_table,MATCH(DATE(X$5,$K60,$J60),daily_dates,0),MATCH($B$3,daily_items,0)))</f>
        <v>#N/A</v>
      </c>
      <c r="Y60" s="1" t="e">
        <f aca="false">IF(ISBLANK(INDEX(big_daily_table,MATCH(DATE(Y$5,$K60,$J60),daily_dates,0),MATCH($B$3,daily_items,0))),NA(),INDEX(big_daily_table,MATCH(DATE(Y$5,$K60,$J60),daily_dates,0),MATCH($B$3,daily_items,0)))</f>
        <v>#N/A</v>
      </c>
      <c r="Z60" s="1" t="e">
        <f aca="false">IF(ISBLANK(INDEX(big_daily_table,MATCH(DATE(Z$5,$K60,$J60),daily_dates,0),MATCH($B$3,daily_items,0))),NA(),INDEX(big_daily_table,MATCH(DATE(Z$5,$K60,$J60),daily_dates,0),MATCH($B$3,daily_items,0)))</f>
        <v>#N/A</v>
      </c>
      <c r="AA60" s="1" t="n">
        <f aca="true">_xlfn.AGGREGATE(5,6,OFFSET($S$5,H60,0,1,$K$2))</f>
        <v>0</v>
      </c>
      <c r="AB60" s="1" t="n">
        <f aca="true">_xlfn.AGGREGATE(4,6,OFFSET($S$5,H60,0,1,$K$2))</f>
        <v>0</v>
      </c>
      <c r="AC60" s="1" t="n">
        <f aca="false">AB60-AA60</f>
        <v>0</v>
      </c>
      <c r="AD60" s="1" t="e">
        <f aca="true">_xlfn.AGGREGATE(1,6,OFFSET($S$5,H60,0,1,$K$2))</f>
        <v>#DIV/0!</v>
      </c>
    </row>
    <row r="61" customFormat="false" ht="14.25" hidden="false" customHeight="false" outlineLevel="0" collapsed="false">
      <c r="H61" s="1" t="n">
        <f aca="false">H60+1</f>
        <v>56</v>
      </c>
      <c r="I61" s="1" t="n">
        <f aca="false">WEEKDAY('daily graphs'!K61)</f>
        <v>6</v>
      </c>
      <c r="J61" s="1" t="n">
        <f aca="false">DAY(L61)</f>
        <v>19</v>
      </c>
      <c r="K61" s="1" t="n">
        <f aca="false">MONTH(L61)</f>
        <v>2</v>
      </c>
      <c r="L61" s="23" t="n">
        <f aca="false">'daily graphs'!K61 - I61</f>
        <v>36575</v>
      </c>
      <c r="M61" s="24" t="n">
        <f aca="true">IF(TODAY()&lt;DATE($O$5,K61,J61),1000000,-1000000)</f>
        <v>-1000000</v>
      </c>
      <c r="N61" s="24" t="e">
        <f aca="false">IF(M61&gt;0,INDEX(big_daily_table,MATCH(DATE(O$5,$K61,$J61),daily_dates,0),MATCH($B$3,daily_items,0)),NA())</f>
        <v>#N/A</v>
      </c>
      <c r="O61" s="1" t="e">
        <f aca="false">IF(M61&lt;0,INDEX(big_daily_table,MATCH(DATE(O$5,$K61,$J61),daily_dates,0),MATCH($B$3,daily_items,0)),NA())</f>
        <v>#N/A</v>
      </c>
      <c r="P61" s="1" t="e">
        <f aca="false">IF(ISBLANK(INDEX(big_daily_table,MATCH(DATE(P$5,$K61,$J61),daily_dates,0),MATCH($B$3,daily_items,0))),NA(),INDEX(big_daily_table,MATCH(DATE(P$5,$K61,$J61),daily_dates,0),MATCH($B$3,daily_items,0)))</f>
        <v>#N/A</v>
      </c>
      <c r="Q61" s="1" t="e">
        <f aca="false">IF(ISBLANK(INDEX(big_daily_table,MATCH(DATE(Q$5,$K61,$J61),daily_dates,0),MATCH($B$3,daily_items,0))),NA(),INDEX(big_daily_table,MATCH(DATE(Q$5,$K61,$J61),daily_dates,0),MATCH($B$3,daily_items,0)))</f>
        <v>#N/A</v>
      </c>
      <c r="R61" s="1" t="e">
        <f aca="false">IF(ISBLANK(INDEX(big_daily_table,MATCH(DATE(R$5,$K61,$J61),daily_dates,0),MATCH($B$3,daily_items,0))),NA(),INDEX(big_daily_table,MATCH(DATE(R$5,$K61,$J61),daily_dates,0),MATCH($B$3,daily_items,0)))</f>
        <v>#N/A</v>
      </c>
      <c r="S61" s="1" t="e">
        <f aca="false">IF(ISBLANK(INDEX(big_daily_table,MATCH(DATE(S$5,$K61,$J61),daily_dates,0),MATCH($B$3,daily_items,0))),NA(),INDEX(big_daily_table,MATCH(DATE(S$5,$K61,$J61),daily_dates,0),MATCH($B$3,daily_items,0)))</f>
        <v>#N/A</v>
      </c>
      <c r="T61" s="1" t="e">
        <f aca="false">IF(ISBLANK(INDEX(big_daily_table,MATCH(DATE(T$5,$K61,$J61),daily_dates,0),MATCH($B$3,daily_items,0))),NA(),INDEX(big_daily_table,MATCH(DATE(T$5,$K61,$J61),daily_dates,0),MATCH($B$3,daily_items,0)))</f>
        <v>#N/A</v>
      </c>
      <c r="U61" s="1" t="e">
        <f aca="false">IF(ISBLANK(INDEX(big_daily_table,MATCH(DATE(U$5,$K61,$J61),daily_dates,0),MATCH($B$3,daily_items,0))),NA(),INDEX(big_daily_table,MATCH(DATE(U$5,$K61,$J61),daily_dates,0),MATCH($B$3,daily_items,0)))</f>
        <v>#N/A</v>
      </c>
      <c r="V61" s="1" t="e">
        <f aca="false">IF(ISBLANK(INDEX(big_daily_table,MATCH(DATE(V$5,$K61,$J61),daily_dates,0),MATCH($B$3,daily_items,0))),NA(),INDEX(big_daily_table,MATCH(DATE(V$5,$K61,$J61),daily_dates,0),MATCH($B$3,daily_items,0)))</f>
        <v>#N/A</v>
      </c>
      <c r="W61" s="1" t="e">
        <f aca="false">IF(ISBLANK(INDEX(big_daily_table,MATCH(DATE(W$5,$K61,$J61),daily_dates,0),MATCH($B$3,daily_items,0))),NA(),INDEX(big_daily_table,MATCH(DATE(W$5,$K61,$J61),daily_dates,0),MATCH($B$3,daily_items,0)))</f>
        <v>#N/A</v>
      </c>
      <c r="X61" s="1" t="e">
        <f aca="false">IF(ISBLANK(INDEX(big_daily_table,MATCH(DATE(X$5,$K61,$J61),daily_dates,0),MATCH($B$3,daily_items,0))),NA(),INDEX(big_daily_table,MATCH(DATE(X$5,$K61,$J61),daily_dates,0),MATCH($B$3,daily_items,0)))</f>
        <v>#N/A</v>
      </c>
      <c r="Y61" s="1" t="e">
        <f aca="false">IF(ISBLANK(INDEX(big_daily_table,MATCH(DATE(Y$5,$K61,$J61),daily_dates,0),MATCH($B$3,daily_items,0))),NA(),INDEX(big_daily_table,MATCH(DATE(Y$5,$K61,$J61),daily_dates,0),MATCH($B$3,daily_items,0)))</f>
        <v>#N/A</v>
      </c>
      <c r="Z61" s="1" t="e">
        <f aca="false">IF(ISBLANK(INDEX(big_daily_table,MATCH(DATE(Z$5,$K61,$J61),daily_dates,0),MATCH($B$3,daily_items,0))),NA(),INDEX(big_daily_table,MATCH(DATE(Z$5,$K61,$J61),daily_dates,0),MATCH($B$3,daily_items,0)))</f>
        <v>#N/A</v>
      </c>
      <c r="AA61" s="1" t="n">
        <f aca="true">_xlfn.AGGREGATE(5,6,OFFSET($S$5,H61,0,1,$K$2))</f>
        <v>0</v>
      </c>
      <c r="AB61" s="1" t="n">
        <f aca="true">_xlfn.AGGREGATE(4,6,OFFSET($S$5,H61,0,1,$K$2))</f>
        <v>0</v>
      </c>
      <c r="AC61" s="1" t="n">
        <f aca="false">AB61-AA61</f>
        <v>0</v>
      </c>
      <c r="AD61" s="1" t="e">
        <f aca="true">_xlfn.AGGREGATE(1,6,OFFSET($S$5,H61,0,1,$K$2))</f>
        <v>#DIV/0!</v>
      </c>
    </row>
    <row r="62" customFormat="false" ht="14.25" hidden="false" customHeight="false" outlineLevel="0" collapsed="false">
      <c r="H62" s="1" t="n">
        <f aca="false">H61+1</f>
        <v>57</v>
      </c>
      <c r="I62" s="1" t="n">
        <f aca="false">WEEKDAY('daily graphs'!K62)</f>
        <v>7</v>
      </c>
      <c r="J62" s="1" t="n">
        <f aca="false">DAY(L62)</f>
        <v>19</v>
      </c>
      <c r="K62" s="1" t="n">
        <f aca="false">MONTH(L62)</f>
        <v>2</v>
      </c>
      <c r="L62" s="23" t="n">
        <f aca="false">'daily graphs'!K62 - I62</f>
        <v>36575</v>
      </c>
      <c r="M62" s="24" t="n">
        <f aca="true">IF(TODAY()&lt;DATE($O$5,K62,J62),1000000,-1000000)</f>
        <v>-1000000</v>
      </c>
      <c r="N62" s="24" t="e">
        <f aca="false">IF(M62&gt;0,INDEX(big_daily_table,MATCH(DATE(O$5,$K62,$J62),daily_dates,0),MATCH($B$3,daily_items,0)),NA())</f>
        <v>#N/A</v>
      </c>
      <c r="O62" s="1" t="e">
        <f aca="false">IF(M62&lt;0,INDEX(big_daily_table,MATCH(DATE(O$5,$K62,$J62),daily_dates,0),MATCH($B$3,daily_items,0)),NA())</f>
        <v>#N/A</v>
      </c>
      <c r="P62" s="1" t="e">
        <f aca="false">IF(ISBLANK(INDEX(big_daily_table,MATCH(DATE(P$5,$K62,$J62),daily_dates,0),MATCH($B$3,daily_items,0))),NA(),INDEX(big_daily_table,MATCH(DATE(P$5,$K62,$J62),daily_dates,0),MATCH($B$3,daily_items,0)))</f>
        <v>#N/A</v>
      </c>
      <c r="Q62" s="1" t="e">
        <f aca="false">IF(ISBLANK(INDEX(big_daily_table,MATCH(DATE(Q$5,$K62,$J62),daily_dates,0),MATCH($B$3,daily_items,0))),NA(),INDEX(big_daily_table,MATCH(DATE(Q$5,$K62,$J62),daily_dates,0),MATCH($B$3,daily_items,0)))</f>
        <v>#N/A</v>
      </c>
      <c r="R62" s="1" t="e">
        <f aca="false">IF(ISBLANK(INDEX(big_daily_table,MATCH(DATE(R$5,$K62,$J62),daily_dates,0),MATCH($B$3,daily_items,0))),NA(),INDEX(big_daily_table,MATCH(DATE(R$5,$K62,$J62),daily_dates,0),MATCH($B$3,daily_items,0)))</f>
        <v>#N/A</v>
      </c>
      <c r="S62" s="1" t="e">
        <f aca="false">IF(ISBLANK(INDEX(big_daily_table,MATCH(DATE(S$5,$K62,$J62),daily_dates,0),MATCH($B$3,daily_items,0))),NA(),INDEX(big_daily_table,MATCH(DATE(S$5,$K62,$J62),daily_dates,0),MATCH($B$3,daily_items,0)))</f>
        <v>#N/A</v>
      </c>
      <c r="T62" s="1" t="e">
        <f aca="false">IF(ISBLANK(INDEX(big_daily_table,MATCH(DATE(T$5,$K62,$J62),daily_dates,0),MATCH($B$3,daily_items,0))),NA(),INDEX(big_daily_table,MATCH(DATE(T$5,$K62,$J62),daily_dates,0),MATCH($B$3,daily_items,0)))</f>
        <v>#N/A</v>
      </c>
      <c r="U62" s="1" t="e">
        <f aca="false">IF(ISBLANK(INDEX(big_daily_table,MATCH(DATE(U$5,$K62,$J62),daily_dates,0),MATCH($B$3,daily_items,0))),NA(),INDEX(big_daily_table,MATCH(DATE(U$5,$K62,$J62),daily_dates,0),MATCH($B$3,daily_items,0)))</f>
        <v>#N/A</v>
      </c>
      <c r="V62" s="1" t="e">
        <f aca="false">IF(ISBLANK(INDEX(big_daily_table,MATCH(DATE(V$5,$K62,$J62),daily_dates,0),MATCH($B$3,daily_items,0))),NA(),INDEX(big_daily_table,MATCH(DATE(V$5,$K62,$J62),daily_dates,0),MATCH($B$3,daily_items,0)))</f>
        <v>#N/A</v>
      </c>
      <c r="W62" s="1" t="e">
        <f aca="false">IF(ISBLANK(INDEX(big_daily_table,MATCH(DATE(W$5,$K62,$J62),daily_dates,0),MATCH($B$3,daily_items,0))),NA(),INDEX(big_daily_table,MATCH(DATE(W$5,$K62,$J62),daily_dates,0),MATCH($B$3,daily_items,0)))</f>
        <v>#N/A</v>
      </c>
      <c r="X62" s="1" t="e">
        <f aca="false">IF(ISBLANK(INDEX(big_daily_table,MATCH(DATE(X$5,$K62,$J62),daily_dates,0),MATCH($B$3,daily_items,0))),NA(),INDEX(big_daily_table,MATCH(DATE(X$5,$K62,$J62),daily_dates,0),MATCH($B$3,daily_items,0)))</f>
        <v>#N/A</v>
      </c>
      <c r="Y62" s="1" t="e">
        <f aca="false">IF(ISBLANK(INDEX(big_daily_table,MATCH(DATE(Y$5,$K62,$J62),daily_dates,0),MATCH($B$3,daily_items,0))),NA(),INDEX(big_daily_table,MATCH(DATE(Y$5,$K62,$J62),daily_dates,0),MATCH($B$3,daily_items,0)))</f>
        <v>#N/A</v>
      </c>
      <c r="Z62" s="1" t="e">
        <f aca="false">IF(ISBLANK(INDEX(big_daily_table,MATCH(DATE(Z$5,$K62,$J62),daily_dates,0),MATCH($B$3,daily_items,0))),NA(),INDEX(big_daily_table,MATCH(DATE(Z$5,$K62,$J62),daily_dates,0),MATCH($B$3,daily_items,0)))</f>
        <v>#N/A</v>
      </c>
      <c r="AA62" s="1" t="n">
        <f aca="true">_xlfn.AGGREGATE(5,6,OFFSET($S$5,H62,0,1,$K$2))</f>
        <v>0</v>
      </c>
      <c r="AB62" s="1" t="n">
        <f aca="true">_xlfn.AGGREGATE(4,6,OFFSET($S$5,H62,0,1,$K$2))</f>
        <v>0</v>
      </c>
      <c r="AC62" s="1" t="n">
        <f aca="false">AB62-AA62</f>
        <v>0</v>
      </c>
      <c r="AD62" s="1" t="e">
        <f aca="true">_xlfn.AGGREGATE(1,6,OFFSET($S$5,H62,0,1,$K$2))</f>
        <v>#DIV/0!</v>
      </c>
    </row>
    <row r="63" customFormat="false" ht="14.25" hidden="false" customHeight="false" outlineLevel="0" collapsed="false">
      <c r="H63" s="1" t="n">
        <f aca="false">H62+1</f>
        <v>58</v>
      </c>
      <c r="I63" s="1" t="n">
        <f aca="false">WEEKDAY('daily graphs'!K63)</f>
        <v>1</v>
      </c>
      <c r="J63" s="1" t="n">
        <f aca="false">DAY(L63)</f>
        <v>26</v>
      </c>
      <c r="K63" s="1" t="n">
        <f aca="false">MONTH(L63)</f>
        <v>2</v>
      </c>
      <c r="L63" s="23" t="n">
        <f aca="false">'daily graphs'!K63 - I63</f>
        <v>36582</v>
      </c>
      <c r="M63" s="24" t="n">
        <f aca="true">IF(TODAY()&lt;DATE($O$5,K63,J63),1000000,-1000000)</f>
        <v>-1000000</v>
      </c>
      <c r="N63" s="24" t="e">
        <f aca="false">IF(M63&gt;0,INDEX(big_daily_table,MATCH(DATE(O$5,$K63,$J63),daily_dates,0),MATCH($B$3,daily_items,0)),NA())</f>
        <v>#N/A</v>
      </c>
      <c r="O63" s="1" t="e">
        <f aca="false">IF(M63&lt;0,INDEX(big_daily_table,MATCH(DATE(O$5,$K63,$J63),daily_dates,0),MATCH($B$3,daily_items,0)),NA())</f>
        <v>#N/A</v>
      </c>
      <c r="P63" s="1" t="e">
        <f aca="false">IF(ISBLANK(INDEX(big_daily_table,MATCH(DATE(P$5,$K63,$J63),daily_dates,0),MATCH($B$3,daily_items,0))),NA(),INDEX(big_daily_table,MATCH(DATE(P$5,$K63,$J63),daily_dates,0),MATCH($B$3,daily_items,0)))</f>
        <v>#N/A</v>
      </c>
      <c r="Q63" s="1" t="e">
        <f aca="false">IF(ISBLANK(INDEX(big_daily_table,MATCH(DATE(Q$5,$K63,$J63),daily_dates,0),MATCH($B$3,daily_items,0))),NA(),INDEX(big_daily_table,MATCH(DATE(Q$5,$K63,$J63),daily_dates,0),MATCH($B$3,daily_items,0)))</f>
        <v>#N/A</v>
      </c>
      <c r="R63" s="1" t="e">
        <f aca="false">IF(ISBLANK(INDEX(big_daily_table,MATCH(DATE(R$5,$K63,$J63),daily_dates,0),MATCH($B$3,daily_items,0))),NA(),INDEX(big_daily_table,MATCH(DATE(R$5,$K63,$J63),daily_dates,0),MATCH($B$3,daily_items,0)))</f>
        <v>#N/A</v>
      </c>
      <c r="S63" s="1" t="e">
        <f aca="false">IF(ISBLANK(INDEX(big_daily_table,MATCH(DATE(S$5,$K63,$J63),daily_dates,0),MATCH($B$3,daily_items,0))),NA(),INDEX(big_daily_table,MATCH(DATE(S$5,$K63,$J63),daily_dates,0),MATCH($B$3,daily_items,0)))</f>
        <v>#N/A</v>
      </c>
      <c r="T63" s="1" t="e">
        <f aca="false">IF(ISBLANK(INDEX(big_daily_table,MATCH(DATE(T$5,$K63,$J63),daily_dates,0),MATCH($B$3,daily_items,0))),NA(),INDEX(big_daily_table,MATCH(DATE(T$5,$K63,$J63),daily_dates,0),MATCH($B$3,daily_items,0)))</f>
        <v>#N/A</v>
      </c>
      <c r="U63" s="1" t="e">
        <f aca="false">IF(ISBLANK(INDEX(big_daily_table,MATCH(DATE(U$5,$K63,$J63),daily_dates,0),MATCH($B$3,daily_items,0))),NA(),INDEX(big_daily_table,MATCH(DATE(U$5,$K63,$J63),daily_dates,0),MATCH($B$3,daily_items,0)))</f>
        <v>#N/A</v>
      </c>
      <c r="V63" s="1" t="e">
        <f aca="false">IF(ISBLANK(INDEX(big_daily_table,MATCH(DATE(V$5,$K63,$J63),daily_dates,0),MATCH($B$3,daily_items,0))),NA(),INDEX(big_daily_table,MATCH(DATE(V$5,$K63,$J63),daily_dates,0),MATCH($B$3,daily_items,0)))</f>
        <v>#N/A</v>
      </c>
      <c r="W63" s="1" t="e">
        <f aca="false">IF(ISBLANK(INDEX(big_daily_table,MATCH(DATE(W$5,$K63,$J63),daily_dates,0),MATCH($B$3,daily_items,0))),NA(),INDEX(big_daily_table,MATCH(DATE(W$5,$K63,$J63),daily_dates,0),MATCH($B$3,daily_items,0)))</f>
        <v>#N/A</v>
      </c>
      <c r="X63" s="1" t="e">
        <f aca="false">IF(ISBLANK(INDEX(big_daily_table,MATCH(DATE(X$5,$K63,$J63),daily_dates,0),MATCH($B$3,daily_items,0))),NA(),INDEX(big_daily_table,MATCH(DATE(X$5,$K63,$J63),daily_dates,0),MATCH($B$3,daily_items,0)))</f>
        <v>#N/A</v>
      </c>
      <c r="Y63" s="1" t="e">
        <f aca="false">IF(ISBLANK(INDEX(big_daily_table,MATCH(DATE(Y$5,$K63,$J63),daily_dates,0),MATCH($B$3,daily_items,0))),NA(),INDEX(big_daily_table,MATCH(DATE(Y$5,$K63,$J63),daily_dates,0),MATCH($B$3,daily_items,0)))</f>
        <v>#N/A</v>
      </c>
      <c r="Z63" s="1" t="e">
        <f aca="false">IF(ISBLANK(INDEX(big_daily_table,MATCH(DATE(Z$5,$K63,$J63),daily_dates,0),MATCH($B$3,daily_items,0))),NA(),INDEX(big_daily_table,MATCH(DATE(Z$5,$K63,$J63),daily_dates,0),MATCH($B$3,daily_items,0)))</f>
        <v>#N/A</v>
      </c>
      <c r="AA63" s="1" t="n">
        <f aca="true">_xlfn.AGGREGATE(5,6,OFFSET($S$5,H63,0,1,$K$2))</f>
        <v>0</v>
      </c>
      <c r="AB63" s="1" t="n">
        <f aca="true">_xlfn.AGGREGATE(4,6,OFFSET($S$5,H63,0,1,$K$2))</f>
        <v>0</v>
      </c>
      <c r="AC63" s="1" t="n">
        <f aca="false">AB63-AA63</f>
        <v>0</v>
      </c>
      <c r="AD63" s="1" t="e">
        <f aca="true">_xlfn.AGGREGATE(1,6,OFFSET($S$5,H63,0,1,$K$2))</f>
        <v>#DIV/0!</v>
      </c>
    </row>
    <row r="64" customFormat="false" ht="14.25" hidden="false" customHeight="false" outlineLevel="0" collapsed="false">
      <c r="H64" s="1" t="n">
        <f aca="false">H63+1</f>
        <v>59</v>
      </c>
      <c r="I64" s="1" t="n">
        <f aca="false">WEEKDAY('daily graphs'!K64)</f>
        <v>2</v>
      </c>
      <c r="J64" s="1" t="n">
        <f aca="false">DAY(L64)</f>
        <v>26</v>
      </c>
      <c r="K64" s="1" t="n">
        <f aca="false">MONTH(L64)</f>
        <v>2</v>
      </c>
      <c r="L64" s="23" t="n">
        <f aca="false">'daily graphs'!K64 - I64</f>
        <v>36582</v>
      </c>
      <c r="M64" s="24" t="n">
        <f aca="true">IF(TODAY()&lt;DATE($O$5,K64,J64),1000000,-1000000)</f>
        <v>-1000000</v>
      </c>
      <c r="N64" s="24" t="e">
        <f aca="false">IF(M64&gt;0,INDEX(big_daily_table,MATCH(DATE(O$5,$K64,$J64),daily_dates,0),MATCH($B$3,daily_items,0)),NA())</f>
        <v>#N/A</v>
      </c>
      <c r="O64" s="1" t="e">
        <f aca="false">IF(M64&lt;0,INDEX(big_daily_table,MATCH(DATE(O$5,$K64,$J64),daily_dates,0),MATCH($B$3,daily_items,0)),NA())</f>
        <v>#N/A</v>
      </c>
      <c r="P64" s="1" t="e">
        <f aca="false">IF(ISBLANK(INDEX(big_daily_table,MATCH(DATE(P$5,$K64,$J64),daily_dates,0),MATCH($B$3,daily_items,0))),NA(),INDEX(big_daily_table,MATCH(DATE(P$5,$K64,$J64),daily_dates,0),MATCH($B$3,daily_items,0)))</f>
        <v>#N/A</v>
      </c>
      <c r="Q64" s="1" t="e">
        <f aca="false">IF(ISBLANK(INDEX(big_daily_table,MATCH(DATE(Q$5,$K64,$J64),daily_dates,0),MATCH($B$3,daily_items,0))),NA(),INDEX(big_daily_table,MATCH(DATE(Q$5,$K64,$J64),daily_dates,0),MATCH($B$3,daily_items,0)))</f>
        <v>#N/A</v>
      </c>
      <c r="R64" s="1" t="e">
        <f aca="false">IF(ISBLANK(INDEX(big_daily_table,MATCH(DATE(R$5,$K64,$J64),daily_dates,0),MATCH($B$3,daily_items,0))),NA(),INDEX(big_daily_table,MATCH(DATE(R$5,$K64,$J64),daily_dates,0),MATCH($B$3,daily_items,0)))</f>
        <v>#N/A</v>
      </c>
      <c r="S64" s="1" t="e">
        <f aca="false">IF(ISBLANK(INDEX(big_daily_table,MATCH(DATE(S$5,$K64,$J64),daily_dates,0),MATCH($B$3,daily_items,0))),NA(),INDEX(big_daily_table,MATCH(DATE(S$5,$K64,$J64),daily_dates,0),MATCH($B$3,daily_items,0)))</f>
        <v>#N/A</v>
      </c>
      <c r="T64" s="1" t="e">
        <f aca="false">IF(ISBLANK(INDEX(big_daily_table,MATCH(DATE(T$5,$K64,$J64),daily_dates,0),MATCH($B$3,daily_items,0))),NA(),INDEX(big_daily_table,MATCH(DATE(T$5,$K64,$J64),daily_dates,0),MATCH($B$3,daily_items,0)))</f>
        <v>#N/A</v>
      </c>
      <c r="U64" s="1" t="e">
        <f aca="false">IF(ISBLANK(INDEX(big_daily_table,MATCH(DATE(U$5,$K64,$J64),daily_dates,0),MATCH($B$3,daily_items,0))),NA(),INDEX(big_daily_table,MATCH(DATE(U$5,$K64,$J64),daily_dates,0),MATCH($B$3,daily_items,0)))</f>
        <v>#N/A</v>
      </c>
      <c r="V64" s="1" t="e">
        <f aca="false">IF(ISBLANK(INDEX(big_daily_table,MATCH(DATE(V$5,$K64,$J64),daily_dates,0),MATCH($B$3,daily_items,0))),NA(),INDEX(big_daily_table,MATCH(DATE(V$5,$K64,$J64),daily_dates,0),MATCH($B$3,daily_items,0)))</f>
        <v>#N/A</v>
      </c>
      <c r="W64" s="1" t="e">
        <f aca="false">IF(ISBLANK(INDEX(big_daily_table,MATCH(DATE(W$5,$K64,$J64),daily_dates,0),MATCH($B$3,daily_items,0))),NA(),INDEX(big_daily_table,MATCH(DATE(W$5,$K64,$J64),daily_dates,0),MATCH($B$3,daily_items,0)))</f>
        <v>#N/A</v>
      </c>
      <c r="X64" s="1" t="e">
        <f aca="false">IF(ISBLANK(INDEX(big_daily_table,MATCH(DATE(X$5,$K64,$J64),daily_dates,0),MATCH($B$3,daily_items,0))),NA(),INDEX(big_daily_table,MATCH(DATE(X$5,$K64,$J64),daily_dates,0),MATCH($B$3,daily_items,0)))</f>
        <v>#N/A</v>
      </c>
      <c r="Y64" s="1" t="e">
        <f aca="false">IF(ISBLANK(INDEX(big_daily_table,MATCH(DATE(Y$5,$K64,$J64),daily_dates,0),MATCH($B$3,daily_items,0))),NA(),INDEX(big_daily_table,MATCH(DATE(Y$5,$K64,$J64),daily_dates,0),MATCH($B$3,daily_items,0)))</f>
        <v>#N/A</v>
      </c>
      <c r="Z64" s="1" t="e">
        <f aca="false">IF(ISBLANK(INDEX(big_daily_table,MATCH(DATE(Z$5,$K64,$J64),daily_dates,0),MATCH($B$3,daily_items,0))),NA(),INDEX(big_daily_table,MATCH(DATE(Z$5,$K64,$J64),daily_dates,0),MATCH($B$3,daily_items,0)))</f>
        <v>#N/A</v>
      </c>
      <c r="AA64" s="1" t="n">
        <f aca="true">_xlfn.AGGREGATE(5,6,OFFSET($S$5,H64,0,1,$K$2))</f>
        <v>0</v>
      </c>
      <c r="AB64" s="1" t="n">
        <f aca="true">_xlfn.AGGREGATE(4,6,OFFSET($S$5,H64,0,1,$K$2))</f>
        <v>0</v>
      </c>
      <c r="AC64" s="1" t="n">
        <f aca="false">AB64-AA64</f>
        <v>0</v>
      </c>
      <c r="AD64" s="1" t="e">
        <f aca="true">_xlfn.AGGREGATE(1,6,OFFSET($S$5,H64,0,1,$K$2))</f>
        <v>#DIV/0!</v>
      </c>
    </row>
    <row r="65" customFormat="false" ht="14.25" hidden="false" customHeight="false" outlineLevel="0" collapsed="false">
      <c r="H65" s="1" t="n">
        <f aca="false">H64+1</f>
        <v>60</v>
      </c>
      <c r="I65" s="1" t="n">
        <f aca="false">WEEKDAY('daily graphs'!K65)</f>
        <v>3</v>
      </c>
      <c r="J65" s="1" t="n">
        <f aca="false">DAY(L65)</f>
        <v>26</v>
      </c>
      <c r="K65" s="1" t="n">
        <f aca="false">MONTH(L65)</f>
        <v>2</v>
      </c>
      <c r="L65" s="23" t="n">
        <f aca="false">'daily graphs'!K65 - I65</f>
        <v>36582</v>
      </c>
      <c r="M65" s="24" t="n">
        <f aca="true">IF(TODAY()&lt;DATE($O$5,K65,J65),1000000,-1000000)</f>
        <v>-1000000</v>
      </c>
      <c r="N65" s="24" t="e">
        <f aca="false">IF(M65&gt;0,INDEX(big_daily_table,MATCH(DATE(O$5,$K65,$J65),daily_dates,0),MATCH($B$3,daily_items,0)),NA())</f>
        <v>#N/A</v>
      </c>
      <c r="O65" s="1" t="e">
        <f aca="false">IF(M65&lt;0,INDEX(big_daily_table,MATCH(DATE(O$5,$K65,$J65),daily_dates,0),MATCH($B$3,daily_items,0)),NA())</f>
        <v>#N/A</v>
      </c>
      <c r="P65" s="1" t="e">
        <f aca="false">IF(ISBLANK(INDEX(big_daily_table,MATCH(DATE(P$5,$K65,$J65),daily_dates,0),MATCH($B$3,daily_items,0))),NA(),INDEX(big_daily_table,MATCH(DATE(P$5,$K65,$J65),daily_dates,0),MATCH($B$3,daily_items,0)))</f>
        <v>#N/A</v>
      </c>
      <c r="Q65" s="1" t="e">
        <f aca="false">IF(ISBLANK(INDEX(big_daily_table,MATCH(DATE(Q$5,$K65,$J65),daily_dates,0),MATCH($B$3,daily_items,0))),NA(),INDEX(big_daily_table,MATCH(DATE(Q$5,$K65,$J65),daily_dates,0),MATCH($B$3,daily_items,0)))</f>
        <v>#N/A</v>
      </c>
      <c r="R65" s="1" t="e">
        <f aca="false">IF(ISBLANK(INDEX(big_daily_table,MATCH(DATE(R$5,$K65,$J65),daily_dates,0),MATCH($B$3,daily_items,0))),NA(),INDEX(big_daily_table,MATCH(DATE(R$5,$K65,$J65),daily_dates,0),MATCH($B$3,daily_items,0)))</f>
        <v>#N/A</v>
      </c>
      <c r="S65" s="1" t="e">
        <f aca="false">IF(ISBLANK(INDEX(big_daily_table,MATCH(DATE(S$5,$K65,$J65),daily_dates,0),MATCH($B$3,daily_items,0))),NA(),INDEX(big_daily_table,MATCH(DATE(S$5,$K65,$J65),daily_dates,0),MATCH($B$3,daily_items,0)))</f>
        <v>#N/A</v>
      </c>
      <c r="T65" s="1" t="e">
        <f aca="false">IF(ISBLANK(INDEX(big_daily_table,MATCH(DATE(T$5,$K65,$J65),daily_dates,0),MATCH($B$3,daily_items,0))),NA(),INDEX(big_daily_table,MATCH(DATE(T$5,$K65,$J65),daily_dates,0),MATCH($B$3,daily_items,0)))</f>
        <v>#N/A</v>
      </c>
      <c r="U65" s="1" t="e">
        <f aca="false">IF(ISBLANK(INDEX(big_daily_table,MATCH(DATE(U$5,$K65,$J65),daily_dates,0),MATCH($B$3,daily_items,0))),NA(),INDEX(big_daily_table,MATCH(DATE(U$5,$K65,$J65),daily_dates,0),MATCH($B$3,daily_items,0)))</f>
        <v>#N/A</v>
      </c>
      <c r="V65" s="1" t="e">
        <f aca="false">IF(ISBLANK(INDEX(big_daily_table,MATCH(DATE(V$5,$K65,$J65),daily_dates,0),MATCH($B$3,daily_items,0))),NA(),INDEX(big_daily_table,MATCH(DATE(V$5,$K65,$J65),daily_dates,0),MATCH($B$3,daily_items,0)))</f>
        <v>#N/A</v>
      </c>
      <c r="W65" s="1" t="e">
        <f aca="false">IF(ISBLANK(INDEX(big_daily_table,MATCH(DATE(W$5,$K65,$J65),daily_dates,0),MATCH($B$3,daily_items,0))),NA(),INDEX(big_daily_table,MATCH(DATE(W$5,$K65,$J65),daily_dates,0),MATCH($B$3,daily_items,0)))</f>
        <v>#N/A</v>
      </c>
      <c r="X65" s="1" t="e">
        <f aca="false">IF(ISBLANK(INDEX(big_daily_table,MATCH(DATE(X$5,$K65,$J65),daily_dates,0),MATCH($B$3,daily_items,0))),NA(),INDEX(big_daily_table,MATCH(DATE(X$5,$K65,$J65),daily_dates,0),MATCH($B$3,daily_items,0)))</f>
        <v>#N/A</v>
      </c>
      <c r="Y65" s="1" t="e">
        <f aca="false">IF(ISBLANK(INDEX(big_daily_table,MATCH(DATE(Y$5,$K65,$J65),daily_dates,0),MATCH($B$3,daily_items,0))),NA(),INDEX(big_daily_table,MATCH(DATE(Y$5,$K65,$J65),daily_dates,0),MATCH($B$3,daily_items,0)))</f>
        <v>#N/A</v>
      </c>
      <c r="Z65" s="1" t="e">
        <f aca="false">IF(ISBLANK(INDEX(big_daily_table,MATCH(DATE(Z$5,$K65,$J65),daily_dates,0),MATCH($B$3,daily_items,0))),NA(),INDEX(big_daily_table,MATCH(DATE(Z$5,$K65,$J65),daily_dates,0),MATCH($B$3,daily_items,0)))</f>
        <v>#N/A</v>
      </c>
      <c r="AA65" s="1" t="n">
        <f aca="true">_xlfn.AGGREGATE(5,6,OFFSET($S$5,H65,0,1,$K$2))</f>
        <v>0</v>
      </c>
      <c r="AB65" s="1" t="n">
        <f aca="true">_xlfn.AGGREGATE(4,6,OFFSET($S$5,H65,0,1,$K$2))</f>
        <v>0</v>
      </c>
      <c r="AC65" s="1" t="n">
        <f aca="false">AB65-AA65</f>
        <v>0</v>
      </c>
      <c r="AD65" s="1" t="e">
        <f aca="true">_xlfn.AGGREGATE(1,6,OFFSET($S$5,H65,0,1,$K$2))</f>
        <v>#DIV/0!</v>
      </c>
    </row>
    <row r="66" customFormat="false" ht="14.25" hidden="false" customHeight="false" outlineLevel="0" collapsed="false">
      <c r="H66" s="1" t="n">
        <f aca="false">H65+1</f>
        <v>61</v>
      </c>
      <c r="I66" s="1" t="n">
        <f aca="false">WEEKDAY('daily graphs'!K66)</f>
        <v>4</v>
      </c>
      <c r="J66" s="1" t="n">
        <f aca="false">DAY(L66)</f>
        <v>26</v>
      </c>
      <c r="K66" s="1" t="n">
        <f aca="false">MONTH(L66)</f>
        <v>2</v>
      </c>
      <c r="L66" s="23" t="n">
        <f aca="false">'daily graphs'!K66 - I66</f>
        <v>36582</v>
      </c>
      <c r="M66" s="24" t="n">
        <f aca="true">IF(TODAY()&lt;DATE($O$5,K66,J66),1000000,-1000000)</f>
        <v>-1000000</v>
      </c>
      <c r="N66" s="24" t="e">
        <f aca="false">IF(M66&gt;0,INDEX(big_daily_table,MATCH(DATE(O$5,$K66,$J66),daily_dates,0),MATCH($B$3,daily_items,0)),NA())</f>
        <v>#N/A</v>
      </c>
      <c r="O66" s="1" t="e">
        <f aca="false">IF(M66&lt;0,INDEX(big_daily_table,MATCH(DATE(O$5,$K66,$J66),daily_dates,0),MATCH($B$3,daily_items,0)),NA())</f>
        <v>#N/A</v>
      </c>
      <c r="P66" s="1" t="e">
        <f aca="false">IF(ISBLANK(INDEX(big_daily_table,MATCH(DATE(P$5,$K66,$J66),daily_dates,0),MATCH($B$3,daily_items,0))),NA(),INDEX(big_daily_table,MATCH(DATE(P$5,$K66,$J66),daily_dates,0),MATCH($B$3,daily_items,0)))</f>
        <v>#N/A</v>
      </c>
      <c r="Q66" s="1" t="e">
        <f aca="false">IF(ISBLANK(INDEX(big_daily_table,MATCH(DATE(Q$5,$K66,$J66),daily_dates,0),MATCH($B$3,daily_items,0))),NA(),INDEX(big_daily_table,MATCH(DATE(Q$5,$K66,$J66),daily_dates,0),MATCH($B$3,daily_items,0)))</f>
        <v>#N/A</v>
      </c>
      <c r="R66" s="1" t="e">
        <f aca="false">IF(ISBLANK(INDEX(big_daily_table,MATCH(DATE(R$5,$K66,$J66),daily_dates,0),MATCH($B$3,daily_items,0))),NA(),INDEX(big_daily_table,MATCH(DATE(R$5,$K66,$J66),daily_dates,0),MATCH($B$3,daily_items,0)))</f>
        <v>#N/A</v>
      </c>
      <c r="S66" s="1" t="e">
        <f aca="false">IF(ISBLANK(INDEX(big_daily_table,MATCH(DATE(S$5,$K66,$J66),daily_dates,0),MATCH($B$3,daily_items,0))),NA(),INDEX(big_daily_table,MATCH(DATE(S$5,$K66,$J66),daily_dates,0),MATCH($B$3,daily_items,0)))</f>
        <v>#N/A</v>
      </c>
      <c r="T66" s="1" t="e">
        <f aca="false">IF(ISBLANK(INDEX(big_daily_table,MATCH(DATE(T$5,$K66,$J66),daily_dates,0),MATCH($B$3,daily_items,0))),NA(),INDEX(big_daily_table,MATCH(DATE(T$5,$K66,$J66),daily_dates,0),MATCH($B$3,daily_items,0)))</f>
        <v>#N/A</v>
      </c>
      <c r="U66" s="1" t="e">
        <f aca="false">IF(ISBLANK(INDEX(big_daily_table,MATCH(DATE(U$5,$K66,$J66),daily_dates,0),MATCH($B$3,daily_items,0))),NA(),INDEX(big_daily_table,MATCH(DATE(U$5,$K66,$J66),daily_dates,0),MATCH($B$3,daily_items,0)))</f>
        <v>#N/A</v>
      </c>
      <c r="V66" s="1" t="e">
        <f aca="false">IF(ISBLANK(INDEX(big_daily_table,MATCH(DATE(V$5,$K66,$J66),daily_dates,0),MATCH($B$3,daily_items,0))),NA(),INDEX(big_daily_table,MATCH(DATE(V$5,$K66,$J66),daily_dates,0),MATCH($B$3,daily_items,0)))</f>
        <v>#N/A</v>
      </c>
      <c r="W66" s="1" t="e">
        <f aca="false">IF(ISBLANK(INDEX(big_daily_table,MATCH(DATE(W$5,$K66,$J66),daily_dates,0),MATCH($B$3,daily_items,0))),NA(),INDEX(big_daily_table,MATCH(DATE(W$5,$K66,$J66),daily_dates,0),MATCH($B$3,daily_items,0)))</f>
        <v>#N/A</v>
      </c>
      <c r="X66" s="1" t="e">
        <f aca="false">IF(ISBLANK(INDEX(big_daily_table,MATCH(DATE(X$5,$K66,$J66),daily_dates,0),MATCH($B$3,daily_items,0))),NA(),INDEX(big_daily_table,MATCH(DATE(X$5,$K66,$J66),daily_dates,0),MATCH($B$3,daily_items,0)))</f>
        <v>#N/A</v>
      </c>
      <c r="Y66" s="1" t="e">
        <f aca="false">IF(ISBLANK(INDEX(big_daily_table,MATCH(DATE(Y$5,$K66,$J66),daily_dates,0),MATCH($B$3,daily_items,0))),NA(),INDEX(big_daily_table,MATCH(DATE(Y$5,$K66,$J66),daily_dates,0),MATCH($B$3,daily_items,0)))</f>
        <v>#N/A</v>
      </c>
      <c r="Z66" s="1" t="e">
        <f aca="false">IF(ISBLANK(INDEX(big_daily_table,MATCH(DATE(Z$5,$K66,$J66),daily_dates,0),MATCH($B$3,daily_items,0))),NA(),INDEX(big_daily_table,MATCH(DATE(Z$5,$K66,$J66),daily_dates,0),MATCH($B$3,daily_items,0)))</f>
        <v>#N/A</v>
      </c>
      <c r="AA66" s="1" t="n">
        <f aca="true">_xlfn.AGGREGATE(5,6,OFFSET($S$5,H66,0,1,$K$2))</f>
        <v>0</v>
      </c>
      <c r="AB66" s="1" t="n">
        <f aca="true">_xlfn.AGGREGATE(4,6,OFFSET($S$5,H66,0,1,$K$2))</f>
        <v>0</v>
      </c>
      <c r="AC66" s="1" t="n">
        <f aca="false">AB66-AA66</f>
        <v>0</v>
      </c>
      <c r="AD66" s="1" t="e">
        <f aca="true">_xlfn.AGGREGATE(1,6,OFFSET($S$5,H66,0,1,$K$2))</f>
        <v>#DIV/0!</v>
      </c>
    </row>
    <row r="67" customFormat="false" ht="14.25" hidden="false" customHeight="false" outlineLevel="0" collapsed="false">
      <c r="H67" s="1" t="n">
        <f aca="false">H66+1</f>
        <v>62</v>
      </c>
      <c r="I67" s="1" t="n">
        <f aca="false">WEEKDAY('daily graphs'!K67)</f>
        <v>5</v>
      </c>
      <c r="J67" s="1" t="n">
        <f aca="false">DAY(L67)</f>
        <v>26</v>
      </c>
      <c r="K67" s="1" t="n">
        <f aca="false">MONTH(L67)</f>
        <v>2</v>
      </c>
      <c r="L67" s="23" t="n">
        <f aca="false">'daily graphs'!K67 - I67</f>
        <v>36582</v>
      </c>
      <c r="M67" s="24" t="n">
        <f aca="true">IF(TODAY()&lt;DATE($O$5,K67,J67),1000000,-1000000)</f>
        <v>-1000000</v>
      </c>
      <c r="N67" s="24" t="e">
        <f aca="false">IF(M67&gt;0,INDEX(big_daily_table,MATCH(DATE(O$5,$K67,$J67),daily_dates,0),MATCH($B$3,daily_items,0)),NA())</f>
        <v>#N/A</v>
      </c>
      <c r="O67" s="1" t="e">
        <f aca="false">IF(M67&lt;0,INDEX(big_daily_table,MATCH(DATE(O$5,$K67,$J67),daily_dates,0),MATCH($B$3,daily_items,0)),NA())</f>
        <v>#N/A</v>
      </c>
      <c r="P67" s="1" t="e">
        <f aca="false">IF(ISBLANK(INDEX(big_daily_table,MATCH(DATE(P$5,$K67,$J67),daily_dates,0),MATCH($B$3,daily_items,0))),NA(),INDEX(big_daily_table,MATCH(DATE(P$5,$K67,$J67),daily_dates,0),MATCH($B$3,daily_items,0)))</f>
        <v>#N/A</v>
      </c>
      <c r="Q67" s="1" t="e">
        <f aca="false">IF(ISBLANK(INDEX(big_daily_table,MATCH(DATE(Q$5,$K67,$J67),daily_dates,0),MATCH($B$3,daily_items,0))),NA(),INDEX(big_daily_table,MATCH(DATE(Q$5,$K67,$J67),daily_dates,0),MATCH($B$3,daily_items,0)))</f>
        <v>#N/A</v>
      </c>
      <c r="R67" s="1" t="e">
        <f aca="false">IF(ISBLANK(INDEX(big_daily_table,MATCH(DATE(R$5,$K67,$J67),daily_dates,0),MATCH($B$3,daily_items,0))),NA(),INDEX(big_daily_table,MATCH(DATE(R$5,$K67,$J67),daily_dates,0),MATCH($B$3,daily_items,0)))</f>
        <v>#N/A</v>
      </c>
      <c r="S67" s="1" t="e">
        <f aca="false">IF(ISBLANK(INDEX(big_daily_table,MATCH(DATE(S$5,$K67,$J67),daily_dates,0),MATCH($B$3,daily_items,0))),NA(),INDEX(big_daily_table,MATCH(DATE(S$5,$K67,$J67),daily_dates,0),MATCH($B$3,daily_items,0)))</f>
        <v>#N/A</v>
      </c>
      <c r="T67" s="1" t="e">
        <f aca="false">IF(ISBLANK(INDEX(big_daily_table,MATCH(DATE(T$5,$K67,$J67),daily_dates,0),MATCH($B$3,daily_items,0))),NA(),INDEX(big_daily_table,MATCH(DATE(T$5,$K67,$J67),daily_dates,0),MATCH($B$3,daily_items,0)))</f>
        <v>#N/A</v>
      </c>
      <c r="U67" s="1" t="e">
        <f aca="false">IF(ISBLANK(INDEX(big_daily_table,MATCH(DATE(U$5,$K67,$J67),daily_dates,0),MATCH($B$3,daily_items,0))),NA(),INDEX(big_daily_table,MATCH(DATE(U$5,$K67,$J67),daily_dates,0),MATCH($B$3,daily_items,0)))</f>
        <v>#N/A</v>
      </c>
      <c r="V67" s="1" t="e">
        <f aca="false">IF(ISBLANK(INDEX(big_daily_table,MATCH(DATE(V$5,$K67,$J67),daily_dates,0),MATCH($B$3,daily_items,0))),NA(),INDEX(big_daily_table,MATCH(DATE(V$5,$K67,$J67),daily_dates,0),MATCH($B$3,daily_items,0)))</f>
        <v>#N/A</v>
      </c>
      <c r="W67" s="1" t="e">
        <f aca="false">IF(ISBLANK(INDEX(big_daily_table,MATCH(DATE(W$5,$K67,$J67),daily_dates,0),MATCH($B$3,daily_items,0))),NA(),INDEX(big_daily_table,MATCH(DATE(W$5,$K67,$J67),daily_dates,0),MATCH($B$3,daily_items,0)))</f>
        <v>#N/A</v>
      </c>
      <c r="X67" s="1" t="e">
        <f aca="false">IF(ISBLANK(INDEX(big_daily_table,MATCH(DATE(X$5,$K67,$J67),daily_dates,0),MATCH($B$3,daily_items,0))),NA(),INDEX(big_daily_table,MATCH(DATE(X$5,$K67,$J67),daily_dates,0),MATCH($B$3,daily_items,0)))</f>
        <v>#N/A</v>
      </c>
      <c r="Y67" s="1" t="e">
        <f aca="false">IF(ISBLANK(INDEX(big_daily_table,MATCH(DATE(Y$5,$K67,$J67),daily_dates,0),MATCH($B$3,daily_items,0))),NA(),INDEX(big_daily_table,MATCH(DATE(Y$5,$K67,$J67),daily_dates,0),MATCH($B$3,daily_items,0)))</f>
        <v>#N/A</v>
      </c>
      <c r="Z67" s="1" t="e">
        <f aca="false">IF(ISBLANK(INDEX(big_daily_table,MATCH(DATE(Z$5,$K67,$J67),daily_dates,0),MATCH($B$3,daily_items,0))),NA(),INDEX(big_daily_table,MATCH(DATE(Z$5,$K67,$J67),daily_dates,0),MATCH($B$3,daily_items,0)))</f>
        <v>#N/A</v>
      </c>
      <c r="AA67" s="1" t="n">
        <f aca="true">_xlfn.AGGREGATE(5,6,OFFSET($S$5,H67,0,1,$K$2))</f>
        <v>0</v>
      </c>
      <c r="AB67" s="1" t="n">
        <f aca="true">_xlfn.AGGREGATE(4,6,OFFSET($S$5,H67,0,1,$K$2))</f>
        <v>0</v>
      </c>
      <c r="AC67" s="1" t="n">
        <f aca="false">AB67-AA67</f>
        <v>0</v>
      </c>
      <c r="AD67" s="1" t="e">
        <f aca="true">_xlfn.AGGREGATE(1,6,OFFSET($S$5,H67,0,1,$K$2))</f>
        <v>#DIV/0!</v>
      </c>
    </row>
    <row r="68" customFormat="false" ht="14.25" hidden="false" customHeight="false" outlineLevel="0" collapsed="false">
      <c r="H68" s="1" t="n">
        <f aca="false">H67+1</f>
        <v>63</v>
      </c>
      <c r="I68" s="1" t="n">
        <f aca="false">WEEKDAY('daily graphs'!K68)</f>
        <v>6</v>
      </c>
      <c r="J68" s="1" t="n">
        <f aca="false">DAY(L68)</f>
        <v>26</v>
      </c>
      <c r="K68" s="1" t="n">
        <f aca="false">MONTH(L68)</f>
        <v>2</v>
      </c>
      <c r="L68" s="23" t="n">
        <f aca="false">'daily graphs'!K68 - I68</f>
        <v>36582</v>
      </c>
      <c r="M68" s="24" t="n">
        <f aca="true">IF(TODAY()&lt;DATE($O$5,K68,J68),1000000,-1000000)</f>
        <v>-1000000</v>
      </c>
      <c r="N68" s="24" t="e">
        <f aca="false">IF(M68&gt;0,INDEX(big_daily_table,MATCH(DATE(O$5,$K68,$J68),daily_dates,0),MATCH($B$3,daily_items,0)),NA())</f>
        <v>#N/A</v>
      </c>
      <c r="O68" s="1" t="e">
        <f aca="false">IF(M68&lt;0,INDEX(big_daily_table,MATCH(DATE(O$5,$K68,$J68),daily_dates,0),MATCH($B$3,daily_items,0)),NA())</f>
        <v>#N/A</v>
      </c>
      <c r="P68" s="1" t="e">
        <f aca="false">IF(ISBLANK(INDEX(big_daily_table,MATCH(DATE(P$5,$K68,$J68),daily_dates,0),MATCH($B$3,daily_items,0))),NA(),INDEX(big_daily_table,MATCH(DATE(P$5,$K68,$J68),daily_dates,0),MATCH($B$3,daily_items,0)))</f>
        <v>#N/A</v>
      </c>
      <c r="Q68" s="1" t="e">
        <f aca="false">IF(ISBLANK(INDEX(big_daily_table,MATCH(DATE(Q$5,$K68,$J68),daily_dates,0),MATCH($B$3,daily_items,0))),NA(),INDEX(big_daily_table,MATCH(DATE(Q$5,$K68,$J68),daily_dates,0),MATCH($B$3,daily_items,0)))</f>
        <v>#N/A</v>
      </c>
      <c r="R68" s="1" t="e">
        <f aca="false">IF(ISBLANK(INDEX(big_daily_table,MATCH(DATE(R$5,$K68,$J68),daily_dates,0),MATCH($B$3,daily_items,0))),NA(),INDEX(big_daily_table,MATCH(DATE(R$5,$K68,$J68),daily_dates,0),MATCH($B$3,daily_items,0)))</f>
        <v>#N/A</v>
      </c>
      <c r="S68" s="1" t="e">
        <f aca="false">IF(ISBLANK(INDEX(big_daily_table,MATCH(DATE(S$5,$K68,$J68),daily_dates,0),MATCH($B$3,daily_items,0))),NA(),INDEX(big_daily_table,MATCH(DATE(S$5,$K68,$J68),daily_dates,0),MATCH($B$3,daily_items,0)))</f>
        <v>#N/A</v>
      </c>
      <c r="T68" s="1" t="e">
        <f aca="false">IF(ISBLANK(INDEX(big_daily_table,MATCH(DATE(T$5,$K68,$J68),daily_dates,0),MATCH($B$3,daily_items,0))),NA(),INDEX(big_daily_table,MATCH(DATE(T$5,$K68,$J68),daily_dates,0),MATCH($B$3,daily_items,0)))</f>
        <v>#N/A</v>
      </c>
      <c r="U68" s="1" t="e">
        <f aca="false">IF(ISBLANK(INDEX(big_daily_table,MATCH(DATE(U$5,$K68,$J68),daily_dates,0),MATCH($B$3,daily_items,0))),NA(),INDEX(big_daily_table,MATCH(DATE(U$5,$K68,$J68),daily_dates,0),MATCH($B$3,daily_items,0)))</f>
        <v>#N/A</v>
      </c>
      <c r="V68" s="1" t="e">
        <f aca="false">IF(ISBLANK(INDEX(big_daily_table,MATCH(DATE(V$5,$K68,$J68),daily_dates,0),MATCH($B$3,daily_items,0))),NA(),INDEX(big_daily_table,MATCH(DATE(V$5,$K68,$J68),daily_dates,0),MATCH($B$3,daily_items,0)))</f>
        <v>#N/A</v>
      </c>
      <c r="W68" s="1" t="e">
        <f aca="false">IF(ISBLANK(INDEX(big_daily_table,MATCH(DATE(W$5,$K68,$J68),daily_dates,0),MATCH($B$3,daily_items,0))),NA(),INDEX(big_daily_table,MATCH(DATE(W$5,$K68,$J68),daily_dates,0),MATCH($B$3,daily_items,0)))</f>
        <v>#N/A</v>
      </c>
      <c r="X68" s="1" t="e">
        <f aca="false">IF(ISBLANK(INDEX(big_daily_table,MATCH(DATE(X$5,$K68,$J68),daily_dates,0),MATCH($B$3,daily_items,0))),NA(),INDEX(big_daily_table,MATCH(DATE(X$5,$K68,$J68),daily_dates,0),MATCH($B$3,daily_items,0)))</f>
        <v>#N/A</v>
      </c>
      <c r="Y68" s="1" t="e">
        <f aca="false">IF(ISBLANK(INDEX(big_daily_table,MATCH(DATE(Y$5,$K68,$J68),daily_dates,0),MATCH($B$3,daily_items,0))),NA(),INDEX(big_daily_table,MATCH(DATE(Y$5,$K68,$J68),daily_dates,0),MATCH($B$3,daily_items,0)))</f>
        <v>#N/A</v>
      </c>
      <c r="Z68" s="1" t="e">
        <f aca="false">IF(ISBLANK(INDEX(big_daily_table,MATCH(DATE(Z$5,$K68,$J68),daily_dates,0),MATCH($B$3,daily_items,0))),NA(),INDEX(big_daily_table,MATCH(DATE(Z$5,$K68,$J68),daily_dates,0),MATCH($B$3,daily_items,0)))</f>
        <v>#N/A</v>
      </c>
      <c r="AA68" s="1" t="n">
        <f aca="true">_xlfn.AGGREGATE(5,6,OFFSET($S$5,H68,0,1,$K$2))</f>
        <v>0</v>
      </c>
      <c r="AB68" s="1" t="n">
        <f aca="true">_xlfn.AGGREGATE(4,6,OFFSET($S$5,H68,0,1,$K$2))</f>
        <v>0</v>
      </c>
      <c r="AC68" s="1" t="n">
        <f aca="false">AB68-AA68</f>
        <v>0</v>
      </c>
      <c r="AD68" s="1" t="e">
        <f aca="true">_xlfn.AGGREGATE(1,6,OFFSET($S$5,H68,0,1,$K$2))</f>
        <v>#DIV/0!</v>
      </c>
    </row>
    <row r="69" customFormat="false" ht="14.25" hidden="false" customHeight="false" outlineLevel="0" collapsed="false">
      <c r="H69" s="1" t="n">
        <f aca="false">H68+1</f>
        <v>64</v>
      </c>
      <c r="I69" s="1" t="n">
        <f aca="false">WEEKDAY('daily graphs'!K69)</f>
        <v>7</v>
      </c>
      <c r="J69" s="1" t="n">
        <f aca="false">DAY(L69)</f>
        <v>26</v>
      </c>
      <c r="K69" s="1" t="n">
        <f aca="false">MONTH(L69)</f>
        <v>2</v>
      </c>
      <c r="L69" s="23" t="n">
        <f aca="false">'daily graphs'!K69 - I69</f>
        <v>36582</v>
      </c>
      <c r="M69" s="24" t="n">
        <f aca="true">IF(TODAY()&lt;DATE($O$5,K69,J69),1000000,-1000000)</f>
        <v>-1000000</v>
      </c>
      <c r="N69" s="24" t="e">
        <f aca="false">IF(M69&gt;0,INDEX(big_daily_table,MATCH(DATE(O$5,$K69,$J69),daily_dates,0),MATCH($B$3,daily_items,0)),NA())</f>
        <v>#N/A</v>
      </c>
      <c r="O69" s="1" t="e">
        <f aca="false">IF(M69&lt;0,INDEX(big_daily_table,MATCH(DATE(O$5,$K69,$J69),daily_dates,0),MATCH($B$3,daily_items,0)),NA())</f>
        <v>#N/A</v>
      </c>
      <c r="P69" s="1" t="e">
        <f aca="false">IF(ISBLANK(INDEX(big_daily_table,MATCH(DATE(P$5,$K69,$J69),daily_dates,0),MATCH($B$3,daily_items,0))),NA(),INDEX(big_daily_table,MATCH(DATE(P$5,$K69,$J69),daily_dates,0),MATCH($B$3,daily_items,0)))</f>
        <v>#N/A</v>
      </c>
      <c r="Q69" s="1" t="e">
        <f aca="false">IF(ISBLANK(INDEX(big_daily_table,MATCH(DATE(Q$5,$K69,$J69),daily_dates,0),MATCH($B$3,daily_items,0))),NA(),INDEX(big_daily_table,MATCH(DATE(Q$5,$K69,$J69),daily_dates,0),MATCH($B$3,daily_items,0)))</f>
        <v>#N/A</v>
      </c>
      <c r="R69" s="1" t="e">
        <f aca="false">IF(ISBLANK(INDEX(big_daily_table,MATCH(DATE(R$5,$K69,$J69),daily_dates,0),MATCH($B$3,daily_items,0))),NA(),INDEX(big_daily_table,MATCH(DATE(R$5,$K69,$J69),daily_dates,0),MATCH($B$3,daily_items,0)))</f>
        <v>#N/A</v>
      </c>
      <c r="S69" s="1" t="e">
        <f aca="false">IF(ISBLANK(INDEX(big_daily_table,MATCH(DATE(S$5,$K69,$J69),daily_dates,0),MATCH($B$3,daily_items,0))),NA(),INDEX(big_daily_table,MATCH(DATE(S$5,$K69,$J69),daily_dates,0),MATCH($B$3,daily_items,0)))</f>
        <v>#N/A</v>
      </c>
      <c r="T69" s="1" t="e">
        <f aca="false">IF(ISBLANK(INDEX(big_daily_table,MATCH(DATE(T$5,$K69,$J69),daily_dates,0),MATCH($B$3,daily_items,0))),NA(),INDEX(big_daily_table,MATCH(DATE(T$5,$K69,$J69),daily_dates,0),MATCH($B$3,daily_items,0)))</f>
        <v>#N/A</v>
      </c>
      <c r="U69" s="1" t="e">
        <f aca="false">IF(ISBLANK(INDEX(big_daily_table,MATCH(DATE(U$5,$K69,$J69),daily_dates,0),MATCH($B$3,daily_items,0))),NA(),INDEX(big_daily_table,MATCH(DATE(U$5,$K69,$J69),daily_dates,0),MATCH($B$3,daily_items,0)))</f>
        <v>#N/A</v>
      </c>
      <c r="V69" s="1" t="e">
        <f aca="false">IF(ISBLANK(INDEX(big_daily_table,MATCH(DATE(V$5,$K69,$J69),daily_dates,0),MATCH($B$3,daily_items,0))),NA(),INDEX(big_daily_table,MATCH(DATE(V$5,$K69,$J69),daily_dates,0),MATCH($B$3,daily_items,0)))</f>
        <v>#N/A</v>
      </c>
      <c r="W69" s="1" t="e">
        <f aca="false">IF(ISBLANK(INDEX(big_daily_table,MATCH(DATE(W$5,$K69,$J69),daily_dates,0),MATCH($B$3,daily_items,0))),NA(),INDEX(big_daily_table,MATCH(DATE(W$5,$K69,$J69),daily_dates,0),MATCH($B$3,daily_items,0)))</f>
        <v>#N/A</v>
      </c>
      <c r="X69" s="1" t="e">
        <f aca="false">IF(ISBLANK(INDEX(big_daily_table,MATCH(DATE(X$5,$K69,$J69),daily_dates,0),MATCH($B$3,daily_items,0))),NA(),INDEX(big_daily_table,MATCH(DATE(X$5,$K69,$J69),daily_dates,0),MATCH($B$3,daily_items,0)))</f>
        <v>#N/A</v>
      </c>
      <c r="Y69" s="1" t="e">
        <f aca="false">IF(ISBLANK(INDEX(big_daily_table,MATCH(DATE(Y$5,$K69,$J69),daily_dates,0),MATCH($B$3,daily_items,0))),NA(),INDEX(big_daily_table,MATCH(DATE(Y$5,$K69,$J69),daily_dates,0),MATCH($B$3,daily_items,0)))</f>
        <v>#N/A</v>
      </c>
      <c r="Z69" s="1" t="e">
        <f aca="false">IF(ISBLANK(INDEX(big_daily_table,MATCH(DATE(Z$5,$K69,$J69),daily_dates,0),MATCH($B$3,daily_items,0))),NA(),INDEX(big_daily_table,MATCH(DATE(Z$5,$K69,$J69),daily_dates,0),MATCH($B$3,daily_items,0)))</f>
        <v>#N/A</v>
      </c>
      <c r="AA69" s="1" t="n">
        <f aca="true">_xlfn.AGGREGATE(5,6,OFFSET($S$5,H69,0,1,$K$2))</f>
        <v>0</v>
      </c>
      <c r="AB69" s="1" t="n">
        <f aca="true">_xlfn.AGGREGATE(4,6,OFFSET($S$5,H69,0,1,$K$2))</f>
        <v>0</v>
      </c>
      <c r="AC69" s="1" t="n">
        <f aca="false">AB69-AA69</f>
        <v>0</v>
      </c>
      <c r="AD69" s="1" t="e">
        <f aca="true">_xlfn.AGGREGATE(1,6,OFFSET($S$5,H69,0,1,$K$2))</f>
        <v>#DIV/0!</v>
      </c>
    </row>
    <row r="70" customFormat="false" ht="14.25" hidden="false" customHeight="false" outlineLevel="0" collapsed="false">
      <c r="H70" s="1" t="n">
        <f aca="false">H69+1</f>
        <v>65</v>
      </c>
      <c r="I70" s="1" t="n">
        <f aca="false">WEEKDAY('daily graphs'!K70)</f>
        <v>1</v>
      </c>
      <c r="J70" s="1" t="n">
        <f aca="false">DAY(L70)</f>
        <v>4</v>
      </c>
      <c r="K70" s="1" t="n">
        <f aca="false">MONTH(L70)</f>
        <v>3</v>
      </c>
      <c r="L70" s="23" t="n">
        <f aca="false">'daily graphs'!K70 - I70</f>
        <v>36589</v>
      </c>
      <c r="M70" s="24" t="n">
        <f aca="true">IF(TODAY()&lt;DATE($O$5,K70,J70),1000000,-1000000)</f>
        <v>-1000000</v>
      </c>
      <c r="N70" s="24" t="e">
        <f aca="false">IF(M70&gt;0,INDEX(big_daily_table,MATCH(DATE(O$5,$K70,$J70),daily_dates,0),MATCH($B$3,daily_items,0)),NA())</f>
        <v>#N/A</v>
      </c>
      <c r="O70" s="1" t="e">
        <f aca="false">IF(M70&lt;0,INDEX(big_daily_table,MATCH(DATE(O$5,$K70,$J70),daily_dates,0),MATCH($B$3,daily_items,0)),NA())</f>
        <v>#N/A</v>
      </c>
      <c r="P70" s="1" t="e">
        <f aca="false">IF(ISBLANK(INDEX(big_daily_table,MATCH(DATE(P$5,$K70,$J70),daily_dates,0),MATCH($B$3,daily_items,0))),NA(),INDEX(big_daily_table,MATCH(DATE(P$5,$K70,$J70),daily_dates,0),MATCH($B$3,daily_items,0)))</f>
        <v>#N/A</v>
      </c>
      <c r="Q70" s="1" t="e">
        <f aca="false">IF(ISBLANK(INDEX(big_daily_table,MATCH(DATE(Q$5,$K70,$J70),daily_dates,0),MATCH($B$3,daily_items,0))),NA(),INDEX(big_daily_table,MATCH(DATE(Q$5,$K70,$J70),daily_dates,0),MATCH($B$3,daily_items,0)))</f>
        <v>#N/A</v>
      </c>
      <c r="R70" s="1" t="e">
        <f aca="false">IF(ISBLANK(INDEX(big_daily_table,MATCH(DATE(R$5,$K70,$J70),daily_dates,0),MATCH($B$3,daily_items,0))),NA(),INDEX(big_daily_table,MATCH(DATE(R$5,$K70,$J70),daily_dates,0),MATCH($B$3,daily_items,0)))</f>
        <v>#N/A</v>
      </c>
      <c r="S70" s="1" t="e">
        <f aca="false">IF(ISBLANK(INDEX(big_daily_table,MATCH(DATE(S$5,$K70,$J70),daily_dates,0),MATCH($B$3,daily_items,0))),NA(),INDEX(big_daily_table,MATCH(DATE(S$5,$K70,$J70),daily_dates,0),MATCH($B$3,daily_items,0)))</f>
        <v>#N/A</v>
      </c>
      <c r="T70" s="1" t="e">
        <f aca="false">IF(ISBLANK(INDEX(big_daily_table,MATCH(DATE(T$5,$K70,$J70),daily_dates,0),MATCH($B$3,daily_items,0))),NA(),INDEX(big_daily_table,MATCH(DATE(T$5,$K70,$J70),daily_dates,0),MATCH($B$3,daily_items,0)))</f>
        <v>#N/A</v>
      </c>
      <c r="U70" s="1" t="e">
        <f aca="false">IF(ISBLANK(INDEX(big_daily_table,MATCH(DATE(U$5,$K70,$J70),daily_dates,0),MATCH($B$3,daily_items,0))),NA(),INDEX(big_daily_table,MATCH(DATE(U$5,$K70,$J70),daily_dates,0),MATCH($B$3,daily_items,0)))</f>
        <v>#N/A</v>
      </c>
      <c r="V70" s="1" t="e">
        <f aca="false">IF(ISBLANK(INDEX(big_daily_table,MATCH(DATE(V$5,$K70,$J70),daily_dates,0),MATCH($B$3,daily_items,0))),NA(),INDEX(big_daily_table,MATCH(DATE(V$5,$K70,$J70),daily_dates,0),MATCH($B$3,daily_items,0)))</f>
        <v>#N/A</v>
      </c>
      <c r="W70" s="1" t="e">
        <f aca="false">IF(ISBLANK(INDEX(big_daily_table,MATCH(DATE(W$5,$K70,$J70),daily_dates,0),MATCH($B$3,daily_items,0))),NA(),INDEX(big_daily_table,MATCH(DATE(W$5,$K70,$J70),daily_dates,0),MATCH($B$3,daily_items,0)))</f>
        <v>#N/A</v>
      </c>
      <c r="X70" s="1" t="e">
        <f aca="false">IF(ISBLANK(INDEX(big_daily_table,MATCH(DATE(X$5,$K70,$J70),daily_dates,0),MATCH($B$3,daily_items,0))),NA(),INDEX(big_daily_table,MATCH(DATE(X$5,$K70,$J70),daily_dates,0),MATCH($B$3,daily_items,0)))</f>
        <v>#N/A</v>
      </c>
      <c r="Y70" s="1" t="e">
        <f aca="false">IF(ISBLANK(INDEX(big_daily_table,MATCH(DATE(Y$5,$K70,$J70),daily_dates,0),MATCH($B$3,daily_items,0))),NA(),INDEX(big_daily_table,MATCH(DATE(Y$5,$K70,$J70),daily_dates,0),MATCH($B$3,daily_items,0)))</f>
        <v>#N/A</v>
      </c>
      <c r="Z70" s="1" t="e">
        <f aca="false">IF(ISBLANK(INDEX(big_daily_table,MATCH(DATE(Z$5,$K70,$J70),daily_dates,0),MATCH($B$3,daily_items,0))),NA(),INDEX(big_daily_table,MATCH(DATE(Z$5,$K70,$J70),daily_dates,0),MATCH($B$3,daily_items,0)))</f>
        <v>#N/A</v>
      </c>
      <c r="AA70" s="1" t="n">
        <f aca="true">_xlfn.AGGREGATE(5,6,OFFSET($S$5,H70,0,1,$K$2))</f>
        <v>0</v>
      </c>
      <c r="AB70" s="1" t="n">
        <f aca="true">_xlfn.AGGREGATE(4,6,OFFSET($S$5,H70,0,1,$K$2))</f>
        <v>0</v>
      </c>
      <c r="AC70" s="1" t="n">
        <f aca="false">AB70-AA70</f>
        <v>0</v>
      </c>
      <c r="AD70" s="1" t="e">
        <f aca="true">_xlfn.AGGREGATE(1,6,OFFSET($S$5,H70,0,1,$K$2))</f>
        <v>#DIV/0!</v>
      </c>
    </row>
    <row r="71" customFormat="false" ht="14.25" hidden="false" customHeight="false" outlineLevel="0" collapsed="false">
      <c r="H71" s="1" t="n">
        <f aca="false">H70+1</f>
        <v>66</v>
      </c>
      <c r="I71" s="1" t="n">
        <f aca="false">WEEKDAY('daily graphs'!K71)</f>
        <v>2</v>
      </c>
      <c r="J71" s="1" t="n">
        <f aca="false">DAY(L71)</f>
        <v>4</v>
      </c>
      <c r="K71" s="1" t="n">
        <f aca="false">MONTH(L71)</f>
        <v>3</v>
      </c>
      <c r="L71" s="23" t="n">
        <f aca="false">'daily graphs'!K71 - I71</f>
        <v>36589</v>
      </c>
      <c r="M71" s="24" t="n">
        <f aca="true">IF(TODAY()&lt;DATE($O$5,K71,J71),1000000,-1000000)</f>
        <v>-1000000</v>
      </c>
      <c r="N71" s="24" t="e">
        <f aca="false">IF(M71&gt;0,INDEX(big_daily_table,MATCH(DATE(O$5,$K71,$J71),daily_dates,0),MATCH($B$3,daily_items,0)),NA())</f>
        <v>#N/A</v>
      </c>
      <c r="O71" s="1" t="e">
        <f aca="false">IF(M71&lt;0,INDEX(big_daily_table,MATCH(DATE(O$5,$K71,$J71),daily_dates,0),MATCH($B$3,daily_items,0)),NA())</f>
        <v>#N/A</v>
      </c>
      <c r="P71" s="1" t="e">
        <f aca="false">IF(ISBLANK(INDEX(big_daily_table,MATCH(DATE(P$5,$K71,$J71),daily_dates,0),MATCH($B$3,daily_items,0))),NA(),INDEX(big_daily_table,MATCH(DATE(P$5,$K71,$J71),daily_dates,0),MATCH($B$3,daily_items,0)))</f>
        <v>#N/A</v>
      </c>
      <c r="Q71" s="1" t="e">
        <f aca="false">IF(ISBLANK(INDEX(big_daily_table,MATCH(DATE(Q$5,$K71,$J71),daily_dates,0),MATCH($B$3,daily_items,0))),NA(),INDEX(big_daily_table,MATCH(DATE(Q$5,$K71,$J71),daily_dates,0),MATCH($B$3,daily_items,0)))</f>
        <v>#N/A</v>
      </c>
      <c r="R71" s="1" t="e">
        <f aca="false">IF(ISBLANK(INDEX(big_daily_table,MATCH(DATE(R$5,$K71,$J71),daily_dates,0),MATCH($B$3,daily_items,0))),NA(),INDEX(big_daily_table,MATCH(DATE(R$5,$K71,$J71),daily_dates,0),MATCH($B$3,daily_items,0)))</f>
        <v>#N/A</v>
      </c>
      <c r="S71" s="1" t="e">
        <f aca="false">IF(ISBLANK(INDEX(big_daily_table,MATCH(DATE(S$5,$K71,$J71),daily_dates,0),MATCH($B$3,daily_items,0))),NA(),INDEX(big_daily_table,MATCH(DATE(S$5,$K71,$J71),daily_dates,0),MATCH($B$3,daily_items,0)))</f>
        <v>#N/A</v>
      </c>
      <c r="T71" s="1" t="e">
        <f aca="false">IF(ISBLANK(INDEX(big_daily_table,MATCH(DATE(T$5,$K71,$J71),daily_dates,0),MATCH($B$3,daily_items,0))),NA(),INDEX(big_daily_table,MATCH(DATE(T$5,$K71,$J71),daily_dates,0),MATCH($B$3,daily_items,0)))</f>
        <v>#N/A</v>
      </c>
      <c r="U71" s="1" t="e">
        <f aca="false">IF(ISBLANK(INDEX(big_daily_table,MATCH(DATE(U$5,$K71,$J71),daily_dates,0),MATCH($B$3,daily_items,0))),NA(),INDEX(big_daily_table,MATCH(DATE(U$5,$K71,$J71),daily_dates,0),MATCH($B$3,daily_items,0)))</f>
        <v>#N/A</v>
      </c>
      <c r="V71" s="1" t="e">
        <f aca="false">IF(ISBLANK(INDEX(big_daily_table,MATCH(DATE(V$5,$K71,$J71),daily_dates,0),MATCH($B$3,daily_items,0))),NA(),INDEX(big_daily_table,MATCH(DATE(V$5,$K71,$J71),daily_dates,0),MATCH($B$3,daily_items,0)))</f>
        <v>#N/A</v>
      </c>
      <c r="W71" s="1" t="e">
        <f aca="false">IF(ISBLANK(INDEX(big_daily_table,MATCH(DATE(W$5,$K71,$J71),daily_dates,0),MATCH($B$3,daily_items,0))),NA(),INDEX(big_daily_table,MATCH(DATE(W$5,$K71,$J71),daily_dates,0),MATCH($B$3,daily_items,0)))</f>
        <v>#N/A</v>
      </c>
      <c r="X71" s="1" t="e">
        <f aca="false">IF(ISBLANK(INDEX(big_daily_table,MATCH(DATE(X$5,$K71,$J71),daily_dates,0),MATCH($B$3,daily_items,0))),NA(),INDEX(big_daily_table,MATCH(DATE(X$5,$K71,$J71),daily_dates,0),MATCH($B$3,daily_items,0)))</f>
        <v>#N/A</v>
      </c>
      <c r="Y71" s="1" t="e">
        <f aca="false">IF(ISBLANK(INDEX(big_daily_table,MATCH(DATE(Y$5,$K71,$J71),daily_dates,0),MATCH($B$3,daily_items,0))),NA(),INDEX(big_daily_table,MATCH(DATE(Y$5,$K71,$J71),daily_dates,0),MATCH($B$3,daily_items,0)))</f>
        <v>#N/A</v>
      </c>
      <c r="Z71" s="1" t="e">
        <f aca="false">IF(ISBLANK(INDEX(big_daily_table,MATCH(DATE(Z$5,$K71,$J71),daily_dates,0),MATCH($B$3,daily_items,0))),NA(),INDEX(big_daily_table,MATCH(DATE(Z$5,$K71,$J71),daily_dates,0),MATCH($B$3,daily_items,0)))</f>
        <v>#N/A</v>
      </c>
      <c r="AA71" s="1" t="n">
        <f aca="true">_xlfn.AGGREGATE(5,6,OFFSET($S$5,H71,0,1,$K$2))</f>
        <v>0</v>
      </c>
      <c r="AB71" s="1" t="n">
        <f aca="true">_xlfn.AGGREGATE(4,6,OFFSET($S$5,H71,0,1,$K$2))</f>
        <v>0</v>
      </c>
      <c r="AC71" s="1" t="n">
        <f aca="false">AB71-AA71</f>
        <v>0</v>
      </c>
      <c r="AD71" s="1" t="e">
        <f aca="true">_xlfn.AGGREGATE(1,6,OFFSET($S$5,H71,0,1,$K$2))</f>
        <v>#DIV/0!</v>
      </c>
    </row>
    <row r="72" customFormat="false" ht="14.25" hidden="false" customHeight="false" outlineLevel="0" collapsed="false">
      <c r="H72" s="1" t="n">
        <f aca="false">H71+1</f>
        <v>67</v>
      </c>
      <c r="I72" s="1" t="n">
        <f aca="false">WEEKDAY('daily graphs'!K72)</f>
        <v>3</v>
      </c>
      <c r="J72" s="1" t="n">
        <f aca="false">DAY(L72)</f>
        <v>4</v>
      </c>
      <c r="K72" s="1" t="n">
        <f aca="false">MONTH(L72)</f>
        <v>3</v>
      </c>
      <c r="L72" s="23" t="n">
        <f aca="false">'daily graphs'!K72 - I72</f>
        <v>36589</v>
      </c>
      <c r="M72" s="24" t="n">
        <f aca="true">IF(TODAY()&lt;DATE($O$5,K72,J72),1000000,-1000000)</f>
        <v>-1000000</v>
      </c>
      <c r="N72" s="24" t="e">
        <f aca="false">IF(M72&gt;0,INDEX(big_daily_table,MATCH(DATE(O$5,$K72,$J72),daily_dates,0),MATCH($B$3,daily_items,0)),NA())</f>
        <v>#N/A</v>
      </c>
      <c r="O72" s="1" t="e">
        <f aca="false">IF(M72&lt;0,INDEX(big_daily_table,MATCH(DATE(O$5,$K72,$J72),daily_dates,0),MATCH($B$3,daily_items,0)),NA())</f>
        <v>#N/A</v>
      </c>
      <c r="P72" s="1" t="e">
        <f aca="false">IF(ISBLANK(INDEX(big_daily_table,MATCH(DATE(P$5,$K72,$J72),daily_dates,0),MATCH($B$3,daily_items,0))),NA(),INDEX(big_daily_table,MATCH(DATE(P$5,$K72,$J72),daily_dates,0),MATCH($B$3,daily_items,0)))</f>
        <v>#N/A</v>
      </c>
      <c r="Q72" s="1" t="e">
        <f aca="false">IF(ISBLANK(INDEX(big_daily_table,MATCH(DATE(Q$5,$K72,$J72),daily_dates,0),MATCH($B$3,daily_items,0))),NA(),INDEX(big_daily_table,MATCH(DATE(Q$5,$K72,$J72),daily_dates,0),MATCH($B$3,daily_items,0)))</f>
        <v>#N/A</v>
      </c>
      <c r="R72" s="1" t="e">
        <f aca="false">IF(ISBLANK(INDEX(big_daily_table,MATCH(DATE(R$5,$K72,$J72),daily_dates,0),MATCH($B$3,daily_items,0))),NA(),INDEX(big_daily_table,MATCH(DATE(R$5,$K72,$J72),daily_dates,0),MATCH($B$3,daily_items,0)))</f>
        <v>#N/A</v>
      </c>
      <c r="S72" s="1" t="e">
        <f aca="false">IF(ISBLANK(INDEX(big_daily_table,MATCH(DATE(S$5,$K72,$J72),daily_dates,0),MATCH($B$3,daily_items,0))),NA(),INDEX(big_daily_table,MATCH(DATE(S$5,$K72,$J72),daily_dates,0),MATCH($B$3,daily_items,0)))</f>
        <v>#N/A</v>
      </c>
      <c r="T72" s="1" t="e">
        <f aca="false">IF(ISBLANK(INDEX(big_daily_table,MATCH(DATE(T$5,$K72,$J72),daily_dates,0),MATCH($B$3,daily_items,0))),NA(),INDEX(big_daily_table,MATCH(DATE(T$5,$K72,$J72),daily_dates,0),MATCH($B$3,daily_items,0)))</f>
        <v>#N/A</v>
      </c>
      <c r="U72" s="1" t="e">
        <f aca="false">IF(ISBLANK(INDEX(big_daily_table,MATCH(DATE(U$5,$K72,$J72),daily_dates,0),MATCH($B$3,daily_items,0))),NA(),INDEX(big_daily_table,MATCH(DATE(U$5,$K72,$J72),daily_dates,0),MATCH($B$3,daily_items,0)))</f>
        <v>#N/A</v>
      </c>
      <c r="V72" s="1" t="e">
        <f aca="false">IF(ISBLANK(INDEX(big_daily_table,MATCH(DATE(V$5,$K72,$J72),daily_dates,0),MATCH($B$3,daily_items,0))),NA(),INDEX(big_daily_table,MATCH(DATE(V$5,$K72,$J72),daily_dates,0),MATCH($B$3,daily_items,0)))</f>
        <v>#N/A</v>
      </c>
      <c r="W72" s="1" t="e">
        <f aca="false">IF(ISBLANK(INDEX(big_daily_table,MATCH(DATE(W$5,$K72,$J72),daily_dates,0),MATCH($B$3,daily_items,0))),NA(),INDEX(big_daily_table,MATCH(DATE(W$5,$K72,$J72),daily_dates,0),MATCH($B$3,daily_items,0)))</f>
        <v>#N/A</v>
      </c>
      <c r="X72" s="1" t="e">
        <f aca="false">IF(ISBLANK(INDEX(big_daily_table,MATCH(DATE(X$5,$K72,$J72),daily_dates,0),MATCH($B$3,daily_items,0))),NA(),INDEX(big_daily_table,MATCH(DATE(X$5,$K72,$J72),daily_dates,0),MATCH($B$3,daily_items,0)))</f>
        <v>#N/A</v>
      </c>
      <c r="Y72" s="1" t="e">
        <f aca="false">IF(ISBLANK(INDEX(big_daily_table,MATCH(DATE(Y$5,$K72,$J72),daily_dates,0),MATCH($B$3,daily_items,0))),NA(),INDEX(big_daily_table,MATCH(DATE(Y$5,$K72,$J72),daily_dates,0),MATCH($B$3,daily_items,0)))</f>
        <v>#N/A</v>
      </c>
      <c r="Z72" s="1" t="e">
        <f aca="false">IF(ISBLANK(INDEX(big_daily_table,MATCH(DATE(Z$5,$K72,$J72),daily_dates,0),MATCH($B$3,daily_items,0))),NA(),INDEX(big_daily_table,MATCH(DATE(Z$5,$K72,$J72),daily_dates,0),MATCH($B$3,daily_items,0)))</f>
        <v>#N/A</v>
      </c>
      <c r="AA72" s="1" t="n">
        <f aca="true">_xlfn.AGGREGATE(5,6,OFFSET($S$5,H72,0,1,$K$2))</f>
        <v>0</v>
      </c>
      <c r="AB72" s="1" t="n">
        <f aca="true">_xlfn.AGGREGATE(4,6,OFFSET($S$5,H72,0,1,$K$2))</f>
        <v>0</v>
      </c>
      <c r="AC72" s="1" t="n">
        <f aca="false">AB72-AA72</f>
        <v>0</v>
      </c>
      <c r="AD72" s="1" t="e">
        <f aca="true">_xlfn.AGGREGATE(1,6,OFFSET($S$5,H72,0,1,$K$2))</f>
        <v>#DIV/0!</v>
      </c>
    </row>
    <row r="73" customFormat="false" ht="14.25" hidden="false" customHeight="false" outlineLevel="0" collapsed="false">
      <c r="H73" s="1" t="n">
        <f aca="false">H72+1</f>
        <v>68</v>
      </c>
      <c r="I73" s="1" t="n">
        <f aca="false">WEEKDAY('daily graphs'!K73)</f>
        <v>4</v>
      </c>
      <c r="J73" s="1" t="n">
        <f aca="false">DAY(L73)</f>
        <v>4</v>
      </c>
      <c r="K73" s="1" t="n">
        <f aca="false">MONTH(L73)</f>
        <v>3</v>
      </c>
      <c r="L73" s="23" t="n">
        <f aca="false">'daily graphs'!K73 - I73</f>
        <v>36589</v>
      </c>
      <c r="M73" s="24" t="n">
        <f aca="true">IF(TODAY()&lt;DATE($O$5,K73,J73),1000000,-1000000)</f>
        <v>-1000000</v>
      </c>
      <c r="N73" s="24" t="e">
        <f aca="false">IF(M73&gt;0,INDEX(big_daily_table,MATCH(DATE(O$5,$K73,$J73),daily_dates,0),MATCH($B$3,daily_items,0)),NA())</f>
        <v>#N/A</v>
      </c>
      <c r="O73" s="1" t="e">
        <f aca="false">IF(M73&lt;0,INDEX(big_daily_table,MATCH(DATE(O$5,$K73,$J73),daily_dates,0),MATCH($B$3,daily_items,0)),NA())</f>
        <v>#N/A</v>
      </c>
      <c r="P73" s="1" t="e">
        <f aca="false">IF(ISBLANK(INDEX(big_daily_table,MATCH(DATE(P$5,$K73,$J73),daily_dates,0),MATCH($B$3,daily_items,0))),NA(),INDEX(big_daily_table,MATCH(DATE(P$5,$K73,$J73),daily_dates,0),MATCH($B$3,daily_items,0)))</f>
        <v>#N/A</v>
      </c>
      <c r="Q73" s="1" t="e">
        <f aca="false">IF(ISBLANK(INDEX(big_daily_table,MATCH(DATE(Q$5,$K73,$J73),daily_dates,0),MATCH($B$3,daily_items,0))),NA(),INDEX(big_daily_table,MATCH(DATE(Q$5,$K73,$J73),daily_dates,0),MATCH($B$3,daily_items,0)))</f>
        <v>#N/A</v>
      </c>
      <c r="R73" s="1" t="e">
        <f aca="false">IF(ISBLANK(INDEX(big_daily_table,MATCH(DATE(R$5,$K73,$J73),daily_dates,0),MATCH($B$3,daily_items,0))),NA(),INDEX(big_daily_table,MATCH(DATE(R$5,$K73,$J73),daily_dates,0),MATCH($B$3,daily_items,0)))</f>
        <v>#N/A</v>
      </c>
      <c r="S73" s="1" t="e">
        <f aca="false">IF(ISBLANK(INDEX(big_daily_table,MATCH(DATE(S$5,$K73,$J73),daily_dates,0),MATCH($B$3,daily_items,0))),NA(),INDEX(big_daily_table,MATCH(DATE(S$5,$K73,$J73),daily_dates,0),MATCH($B$3,daily_items,0)))</f>
        <v>#N/A</v>
      </c>
      <c r="T73" s="1" t="e">
        <f aca="false">IF(ISBLANK(INDEX(big_daily_table,MATCH(DATE(T$5,$K73,$J73),daily_dates,0),MATCH($B$3,daily_items,0))),NA(),INDEX(big_daily_table,MATCH(DATE(T$5,$K73,$J73),daily_dates,0),MATCH($B$3,daily_items,0)))</f>
        <v>#N/A</v>
      </c>
      <c r="U73" s="1" t="e">
        <f aca="false">IF(ISBLANK(INDEX(big_daily_table,MATCH(DATE(U$5,$K73,$J73),daily_dates,0),MATCH($B$3,daily_items,0))),NA(),INDEX(big_daily_table,MATCH(DATE(U$5,$K73,$J73),daily_dates,0),MATCH($B$3,daily_items,0)))</f>
        <v>#N/A</v>
      </c>
      <c r="V73" s="1" t="e">
        <f aca="false">IF(ISBLANK(INDEX(big_daily_table,MATCH(DATE(V$5,$K73,$J73),daily_dates,0),MATCH($B$3,daily_items,0))),NA(),INDEX(big_daily_table,MATCH(DATE(V$5,$K73,$J73),daily_dates,0),MATCH($B$3,daily_items,0)))</f>
        <v>#N/A</v>
      </c>
      <c r="W73" s="1" t="e">
        <f aca="false">IF(ISBLANK(INDEX(big_daily_table,MATCH(DATE(W$5,$K73,$J73),daily_dates,0),MATCH($B$3,daily_items,0))),NA(),INDEX(big_daily_table,MATCH(DATE(W$5,$K73,$J73),daily_dates,0),MATCH($B$3,daily_items,0)))</f>
        <v>#N/A</v>
      </c>
      <c r="X73" s="1" t="e">
        <f aca="false">IF(ISBLANK(INDEX(big_daily_table,MATCH(DATE(X$5,$K73,$J73),daily_dates,0),MATCH($B$3,daily_items,0))),NA(),INDEX(big_daily_table,MATCH(DATE(X$5,$K73,$J73),daily_dates,0),MATCH($B$3,daily_items,0)))</f>
        <v>#N/A</v>
      </c>
      <c r="Y73" s="1" t="e">
        <f aca="false">IF(ISBLANK(INDEX(big_daily_table,MATCH(DATE(Y$5,$K73,$J73),daily_dates,0),MATCH($B$3,daily_items,0))),NA(),INDEX(big_daily_table,MATCH(DATE(Y$5,$K73,$J73),daily_dates,0),MATCH($B$3,daily_items,0)))</f>
        <v>#N/A</v>
      </c>
      <c r="Z73" s="1" t="e">
        <f aca="false">IF(ISBLANK(INDEX(big_daily_table,MATCH(DATE(Z$5,$K73,$J73),daily_dates,0),MATCH($B$3,daily_items,0))),NA(),INDEX(big_daily_table,MATCH(DATE(Z$5,$K73,$J73),daily_dates,0),MATCH($B$3,daily_items,0)))</f>
        <v>#N/A</v>
      </c>
      <c r="AA73" s="1" t="n">
        <f aca="true">_xlfn.AGGREGATE(5,6,OFFSET($S$5,H73,0,1,$K$2))</f>
        <v>0</v>
      </c>
      <c r="AB73" s="1" t="n">
        <f aca="true">_xlfn.AGGREGATE(4,6,OFFSET($S$5,H73,0,1,$K$2))</f>
        <v>0</v>
      </c>
      <c r="AC73" s="1" t="n">
        <f aca="false">AB73-AA73</f>
        <v>0</v>
      </c>
      <c r="AD73" s="1" t="e">
        <f aca="true">_xlfn.AGGREGATE(1,6,OFFSET($S$5,H73,0,1,$K$2))</f>
        <v>#DIV/0!</v>
      </c>
    </row>
    <row r="74" customFormat="false" ht="14.25" hidden="false" customHeight="false" outlineLevel="0" collapsed="false">
      <c r="H74" s="1" t="n">
        <f aca="false">H73+1</f>
        <v>69</v>
      </c>
      <c r="I74" s="1" t="n">
        <f aca="false">WEEKDAY('daily graphs'!K74)</f>
        <v>5</v>
      </c>
      <c r="J74" s="1" t="n">
        <f aca="false">DAY(L74)</f>
        <v>4</v>
      </c>
      <c r="K74" s="1" t="n">
        <f aca="false">MONTH(L74)</f>
        <v>3</v>
      </c>
      <c r="L74" s="23" t="n">
        <f aca="false">'daily graphs'!K74 - I74</f>
        <v>36589</v>
      </c>
      <c r="M74" s="24" t="n">
        <f aca="true">IF(TODAY()&lt;DATE($O$5,K74,J74),1000000,-1000000)</f>
        <v>-1000000</v>
      </c>
      <c r="N74" s="24" t="e">
        <f aca="false">IF(M74&gt;0,INDEX(big_daily_table,MATCH(DATE(O$5,$K74,$J74),daily_dates,0),MATCH($B$3,daily_items,0)),NA())</f>
        <v>#N/A</v>
      </c>
      <c r="O74" s="1" t="e">
        <f aca="false">IF(M74&lt;0,INDEX(big_daily_table,MATCH(DATE(O$5,$K74,$J74),daily_dates,0),MATCH($B$3,daily_items,0)),NA())</f>
        <v>#N/A</v>
      </c>
      <c r="P74" s="1" t="e">
        <f aca="false">IF(ISBLANK(INDEX(big_daily_table,MATCH(DATE(P$5,$K74,$J74),daily_dates,0),MATCH($B$3,daily_items,0))),NA(),INDEX(big_daily_table,MATCH(DATE(P$5,$K74,$J74),daily_dates,0),MATCH($B$3,daily_items,0)))</f>
        <v>#N/A</v>
      </c>
      <c r="Q74" s="1" t="e">
        <f aca="false">IF(ISBLANK(INDEX(big_daily_table,MATCH(DATE(Q$5,$K74,$J74),daily_dates,0),MATCH($B$3,daily_items,0))),NA(),INDEX(big_daily_table,MATCH(DATE(Q$5,$K74,$J74),daily_dates,0),MATCH($B$3,daily_items,0)))</f>
        <v>#N/A</v>
      </c>
      <c r="R74" s="1" t="e">
        <f aca="false">IF(ISBLANK(INDEX(big_daily_table,MATCH(DATE(R$5,$K74,$J74),daily_dates,0),MATCH($B$3,daily_items,0))),NA(),INDEX(big_daily_table,MATCH(DATE(R$5,$K74,$J74),daily_dates,0),MATCH($B$3,daily_items,0)))</f>
        <v>#N/A</v>
      </c>
      <c r="S74" s="1" t="e">
        <f aca="false">IF(ISBLANK(INDEX(big_daily_table,MATCH(DATE(S$5,$K74,$J74),daily_dates,0),MATCH($B$3,daily_items,0))),NA(),INDEX(big_daily_table,MATCH(DATE(S$5,$K74,$J74),daily_dates,0),MATCH($B$3,daily_items,0)))</f>
        <v>#N/A</v>
      </c>
      <c r="T74" s="1" t="e">
        <f aca="false">IF(ISBLANK(INDEX(big_daily_table,MATCH(DATE(T$5,$K74,$J74),daily_dates,0),MATCH($B$3,daily_items,0))),NA(),INDEX(big_daily_table,MATCH(DATE(T$5,$K74,$J74),daily_dates,0),MATCH($B$3,daily_items,0)))</f>
        <v>#N/A</v>
      </c>
      <c r="U74" s="1" t="e">
        <f aca="false">IF(ISBLANK(INDEX(big_daily_table,MATCH(DATE(U$5,$K74,$J74),daily_dates,0),MATCH($B$3,daily_items,0))),NA(),INDEX(big_daily_table,MATCH(DATE(U$5,$K74,$J74),daily_dates,0),MATCH($B$3,daily_items,0)))</f>
        <v>#N/A</v>
      </c>
      <c r="V74" s="1" t="e">
        <f aca="false">IF(ISBLANK(INDEX(big_daily_table,MATCH(DATE(V$5,$K74,$J74),daily_dates,0),MATCH($B$3,daily_items,0))),NA(),INDEX(big_daily_table,MATCH(DATE(V$5,$K74,$J74),daily_dates,0),MATCH($B$3,daily_items,0)))</f>
        <v>#N/A</v>
      </c>
      <c r="W74" s="1" t="e">
        <f aca="false">IF(ISBLANK(INDEX(big_daily_table,MATCH(DATE(W$5,$K74,$J74),daily_dates,0),MATCH($B$3,daily_items,0))),NA(),INDEX(big_daily_table,MATCH(DATE(W$5,$K74,$J74),daily_dates,0),MATCH($B$3,daily_items,0)))</f>
        <v>#N/A</v>
      </c>
      <c r="X74" s="1" t="e">
        <f aca="false">IF(ISBLANK(INDEX(big_daily_table,MATCH(DATE(X$5,$K74,$J74),daily_dates,0),MATCH($B$3,daily_items,0))),NA(),INDEX(big_daily_table,MATCH(DATE(X$5,$K74,$J74),daily_dates,0),MATCH($B$3,daily_items,0)))</f>
        <v>#N/A</v>
      </c>
      <c r="Y74" s="1" t="e">
        <f aca="false">IF(ISBLANK(INDEX(big_daily_table,MATCH(DATE(Y$5,$K74,$J74),daily_dates,0),MATCH($B$3,daily_items,0))),NA(),INDEX(big_daily_table,MATCH(DATE(Y$5,$K74,$J74),daily_dates,0),MATCH($B$3,daily_items,0)))</f>
        <v>#N/A</v>
      </c>
      <c r="Z74" s="1" t="e">
        <f aca="false">IF(ISBLANK(INDEX(big_daily_table,MATCH(DATE(Z$5,$K74,$J74),daily_dates,0),MATCH($B$3,daily_items,0))),NA(),INDEX(big_daily_table,MATCH(DATE(Z$5,$K74,$J74),daily_dates,0),MATCH($B$3,daily_items,0)))</f>
        <v>#N/A</v>
      </c>
      <c r="AA74" s="1" t="n">
        <f aca="true">_xlfn.AGGREGATE(5,6,OFFSET($S$5,H74,0,1,$K$2))</f>
        <v>0</v>
      </c>
      <c r="AB74" s="1" t="n">
        <f aca="true">_xlfn.AGGREGATE(4,6,OFFSET($S$5,H74,0,1,$K$2))</f>
        <v>0</v>
      </c>
      <c r="AC74" s="1" t="n">
        <f aca="false">AB74-AA74</f>
        <v>0</v>
      </c>
      <c r="AD74" s="1" t="e">
        <f aca="true">_xlfn.AGGREGATE(1,6,OFFSET($S$5,H74,0,1,$K$2))</f>
        <v>#DIV/0!</v>
      </c>
    </row>
    <row r="75" customFormat="false" ht="14.25" hidden="false" customHeight="false" outlineLevel="0" collapsed="false">
      <c r="H75" s="1" t="n">
        <f aca="false">H74+1</f>
        <v>70</v>
      </c>
      <c r="I75" s="1" t="n">
        <f aca="false">WEEKDAY('daily graphs'!K75)</f>
        <v>6</v>
      </c>
      <c r="J75" s="1" t="n">
        <f aca="false">DAY(L75)</f>
        <v>4</v>
      </c>
      <c r="K75" s="1" t="n">
        <f aca="false">MONTH(L75)</f>
        <v>3</v>
      </c>
      <c r="L75" s="23" t="n">
        <f aca="false">'daily graphs'!K75 - I75</f>
        <v>36589</v>
      </c>
      <c r="M75" s="24" t="n">
        <f aca="true">IF(TODAY()&lt;DATE($O$5,K75,J75),1000000,-1000000)</f>
        <v>-1000000</v>
      </c>
      <c r="N75" s="24" t="e">
        <f aca="false">IF(M75&gt;0,INDEX(big_daily_table,MATCH(DATE(O$5,$K75,$J75),daily_dates,0),MATCH($B$3,daily_items,0)),NA())</f>
        <v>#N/A</v>
      </c>
      <c r="O75" s="1" t="e">
        <f aca="false">IF(M75&lt;0,INDEX(big_daily_table,MATCH(DATE(O$5,$K75,$J75),daily_dates,0),MATCH($B$3,daily_items,0)),NA())</f>
        <v>#N/A</v>
      </c>
      <c r="P75" s="1" t="e">
        <f aca="false">IF(ISBLANK(INDEX(big_daily_table,MATCH(DATE(P$5,$K75,$J75),daily_dates,0),MATCH($B$3,daily_items,0))),NA(),INDEX(big_daily_table,MATCH(DATE(P$5,$K75,$J75),daily_dates,0),MATCH($B$3,daily_items,0)))</f>
        <v>#N/A</v>
      </c>
      <c r="Q75" s="1" t="e">
        <f aca="false">IF(ISBLANK(INDEX(big_daily_table,MATCH(DATE(Q$5,$K75,$J75),daily_dates,0),MATCH($B$3,daily_items,0))),NA(),INDEX(big_daily_table,MATCH(DATE(Q$5,$K75,$J75),daily_dates,0),MATCH($B$3,daily_items,0)))</f>
        <v>#N/A</v>
      </c>
      <c r="R75" s="1" t="e">
        <f aca="false">IF(ISBLANK(INDEX(big_daily_table,MATCH(DATE(R$5,$K75,$J75),daily_dates,0),MATCH($B$3,daily_items,0))),NA(),INDEX(big_daily_table,MATCH(DATE(R$5,$K75,$J75),daily_dates,0),MATCH($B$3,daily_items,0)))</f>
        <v>#N/A</v>
      </c>
      <c r="S75" s="1" t="e">
        <f aca="false">IF(ISBLANK(INDEX(big_daily_table,MATCH(DATE(S$5,$K75,$J75),daily_dates,0),MATCH($B$3,daily_items,0))),NA(),INDEX(big_daily_table,MATCH(DATE(S$5,$K75,$J75),daily_dates,0),MATCH($B$3,daily_items,0)))</f>
        <v>#N/A</v>
      </c>
      <c r="T75" s="1" t="e">
        <f aca="false">IF(ISBLANK(INDEX(big_daily_table,MATCH(DATE(T$5,$K75,$J75),daily_dates,0),MATCH($B$3,daily_items,0))),NA(),INDEX(big_daily_table,MATCH(DATE(T$5,$K75,$J75),daily_dates,0),MATCH($B$3,daily_items,0)))</f>
        <v>#N/A</v>
      </c>
      <c r="U75" s="1" t="e">
        <f aca="false">IF(ISBLANK(INDEX(big_daily_table,MATCH(DATE(U$5,$K75,$J75),daily_dates,0),MATCH($B$3,daily_items,0))),NA(),INDEX(big_daily_table,MATCH(DATE(U$5,$K75,$J75),daily_dates,0),MATCH($B$3,daily_items,0)))</f>
        <v>#N/A</v>
      </c>
      <c r="V75" s="1" t="e">
        <f aca="false">IF(ISBLANK(INDEX(big_daily_table,MATCH(DATE(V$5,$K75,$J75),daily_dates,0),MATCH($B$3,daily_items,0))),NA(),INDEX(big_daily_table,MATCH(DATE(V$5,$K75,$J75),daily_dates,0),MATCH($B$3,daily_items,0)))</f>
        <v>#N/A</v>
      </c>
      <c r="W75" s="1" t="e">
        <f aca="false">IF(ISBLANK(INDEX(big_daily_table,MATCH(DATE(W$5,$K75,$J75),daily_dates,0),MATCH($B$3,daily_items,0))),NA(),INDEX(big_daily_table,MATCH(DATE(W$5,$K75,$J75),daily_dates,0),MATCH($B$3,daily_items,0)))</f>
        <v>#N/A</v>
      </c>
      <c r="X75" s="1" t="e">
        <f aca="false">IF(ISBLANK(INDEX(big_daily_table,MATCH(DATE(X$5,$K75,$J75),daily_dates,0),MATCH($B$3,daily_items,0))),NA(),INDEX(big_daily_table,MATCH(DATE(X$5,$K75,$J75),daily_dates,0),MATCH($B$3,daily_items,0)))</f>
        <v>#N/A</v>
      </c>
      <c r="Y75" s="1" t="e">
        <f aca="false">IF(ISBLANK(INDEX(big_daily_table,MATCH(DATE(Y$5,$K75,$J75),daily_dates,0),MATCH($B$3,daily_items,0))),NA(),INDEX(big_daily_table,MATCH(DATE(Y$5,$K75,$J75),daily_dates,0),MATCH($B$3,daily_items,0)))</f>
        <v>#N/A</v>
      </c>
      <c r="Z75" s="1" t="e">
        <f aca="false">IF(ISBLANK(INDEX(big_daily_table,MATCH(DATE(Z$5,$K75,$J75),daily_dates,0),MATCH($B$3,daily_items,0))),NA(),INDEX(big_daily_table,MATCH(DATE(Z$5,$K75,$J75),daily_dates,0),MATCH($B$3,daily_items,0)))</f>
        <v>#N/A</v>
      </c>
      <c r="AA75" s="1" t="n">
        <f aca="true">_xlfn.AGGREGATE(5,6,OFFSET($S$5,H75,0,1,$K$2))</f>
        <v>0</v>
      </c>
      <c r="AB75" s="1" t="n">
        <f aca="true">_xlfn.AGGREGATE(4,6,OFFSET($S$5,H75,0,1,$K$2))</f>
        <v>0</v>
      </c>
      <c r="AC75" s="1" t="n">
        <f aca="false">AB75-AA75</f>
        <v>0</v>
      </c>
      <c r="AD75" s="1" t="e">
        <f aca="true">_xlfn.AGGREGATE(1,6,OFFSET($S$5,H75,0,1,$K$2))</f>
        <v>#DIV/0!</v>
      </c>
    </row>
    <row r="76" customFormat="false" ht="14.25" hidden="false" customHeight="false" outlineLevel="0" collapsed="false">
      <c r="H76" s="1" t="n">
        <f aca="false">H75+1</f>
        <v>71</v>
      </c>
      <c r="I76" s="1" t="n">
        <f aca="false">WEEKDAY('daily graphs'!K76)</f>
        <v>7</v>
      </c>
      <c r="J76" s="1" t="n">
        <f aca="false">DAY(L76)</f>
        <v>4</v>
      </c>
      <c r="K76" s="1" t="n">
        <f aca="false">MONTH(L76)</f>
        <v>3</v>
      </c>
      <c r="L76" s="23" t="n">
        <f aca="false">'daily graphs'!K76 - I76</f>
        <v>36589</v>
      </c>
      <c r="M76" s="24" t="n">
        <f aca="true">IF(TODAY()&lt;DATE($O$5,K76,J76),1000000,-1000000)</f>
        <v>-1000000</v>
      </c>
      <c r="N76" s="24" t="e">
        <f aca="false">IF(M76&gt;0,INDEX(big_daily_table,MATCH(DATE(O$5,$K76,$J76),daily_dates,0),MATCH($B$3,daily_items,0)),NA())</f>
        <v>#N/A</v>
      </c>
      <c r="O76" s="1" t="e">
        <f aca="false">IF(M76&lt;0,INDEX(big_daily_table,MATCH(DATE(O$5,$K76,$J76),daily_dates,0),MATCH($B$3,daily_items,0)),NA())</f>
        <v>#N/A</v>
      </c>
      <c r="P76" s="1" t="e">
        <f aca="false">IF(ISBLANK(INDEX(big_daily_table,MATCH(DATE(P$5,$K76,$J76),daily_dates,0),MATCH($B$3,daily_items,0))),NA(),INDEX(big_daily_table,MATCH(DATE(P$5,$K76,$J76),daily_dates,0),MATCH($B$3,daily_items,0)))</f>
        <v>#N/A</v>
      </c>
      <c r="Q76" s="1" t="e">
        <f aca="false">IF(ISBLANK(INDEX(big_daily_table,MATCH(DATE(Q$5,$K76,$J76),daily_dates,0),MATCH($B$3,daily_items,0))),NA(),INDEX(big_daily_table,MATCH(DATE(Q$5,$K76,$J76),daily_dates,0),MATCH($B$3,daily_items,0)))</f>
        <v>#N/A</v>
      </c>
      <c r="R76" s="1" t="e">
        <f aca="false">IF(ISBLANK(INDEX(big_daily_table,MATCH(DATE(R$5,$K76,$J76),daily_dates,0),MATCH($B$3,daily_items,0))),NA(),INDEX(big_daily_table,MATCH(DATE(R$5,$K76,$J76),daily_dates,0),MATCH($B$3,daily_items,0)))</f>
        <v>#N/A</v>
      </c>
      <c r="S76" s="1" t="e">
        <f aca="false">IF(ISBLANK(INDEX(big_daily_table,MATCH(DATE(S$5,$K76,$J76),daily_dates,0),MATCH($B$3,daily_items,0))),NA(),INDEX(big_daily_table,MATCH(DATE(S$5,$K76,$J76),daily_dates,0),MATCH($B$3,daily_items,0)))</f>
        <v>#N/A</v>
      </c>
      <c r="T76" s="1" t="e">
        <f aca="false">IF(ISBLANK(INDEX(big_daily_table,MATCH(DATE(T$5,$K76,$J76),daily_dates,0),MATCH($B$3,daily_items,0))),NA(),INDEX(big_daily_table,MATCH(DATE(T$5,$K76,$J76),daily_dates,0),MATCH($B$3,daily_items,0)))</f>
        <v>#N/A</v>
      </c>
      <c r="U76" s="1" t="e">
        <f aca="false">IF(ISBLANK(INDEX(big_daily_table,MATCH(DATE(U$5,$K76,$J76),daily_dates,0),MATCH($B$3,daily_items,0))),NA(),INDEX(big_daily_table,MATCH(DATE(U$5,$K76,$J76),daily_dates,0),MATCH($B$3,daily_items,0)))</f>
        <v>#N/A</v>
      </c>
      <c r="V76" s="1" t="e">
        <f aca="false">IF(ISBLANK(INDEX(big_daily_table,MATCH(DATE(V$5,$K76,$J76),daily_dates,0),MATCH($B$3,daily_items,0))),NA(),INDEX(big_daily_table,MATCH(DATE(V$5,$K76,$J76),daily_dates,0),MATCH($B$3,daily_items,0)))</f>
        <v>#N/A</v>
      </c>
      <c r="W76" s="1" t="e">
        <f aca="false">IF(ISBLANK(INDEX(big_daily_table,MATCH(DATE(W$5,$K76,$J76),daily_dates,0),MATCH($B$3,daily_items,0))),NA(),INDEX(big_daily_table,MATCH(DATE(W$5,$K76,$J76),daily_dates,0),MATCH($B$3,daily_items,0)))</f>
        <v>#N/A</v>
      </c>
      <c r="X76" s="1" t="e">
        <f aca="false">IF(ISBLANK(INDEX(big_daily_table,MATCH(DATE(X$5,$K76,$J76),daily_dates,0),MATCH($B$3,daily_items,0))),NA(),INDEX(big_daily_table,MATCH(DATE(X$5,$K76,$J76),daily_dates,0),MATCH($B$3,daily_items,0)))</f>
        <v>#N/A</v>
      </c>
      <c r="Y76" s="1" t="e">
        <f aca="false">IF(ISBLANK(INDEX(big_daily_table,MATCH(DATE(Y$5,$K76,$J76),daily_dates,0),MATCH($B$3,daily_items,0))),NA(),INDEX(big_daily_table,MATCH(DATE(Y$5,$K76,$J76),daily_dates,0),MATCH($B$3,daily_items,0)))</f>
        <v>#N/A</v>
      </c>
      <c r="Z76" s="1" t="e">
        <f aca="false">IF(ISBLANK(INDEX(big_daily_table,MATCH(DATE(Z$5,$K76,$J76),daily_dates,0),MATCH($B$3,daily_items,0))),NA(),INDEX(big_daily_table,MATCH(DATE(Z$5,$K76,$J76),daily_dates,0),MATCH($B$3,daily_items,0)))</f>
        <v>#N/A</v>
      </c>
      <c r="AA76" s="1" t="n">
        <f aca="true">_xlfn.AGGREGATE(5,6,OFFSET($S$5,H76,0,1,$K$2))</f>
        <v>0</v>
      </c>
      <c r="AB76" s="1" t="n">
        <f aca="true">_xlfn.AGGREGATE(4,6,OFFSET($S$5,H76,0,1,$K$2))</f>
        <v>0</v>
      </c>
      <c r="AC76" s="1" t="n">
        <f aca="false">AB76-AA76</f>
        <v>0</v>
      </c>
      <c r="AD76" s="1" t="e">
        <f aca="true">_xlfn.AGGREGATE(1,6,OFFSET($S$5,H76,0,1,$K$2))</f>
        <v>#DIV/0!</v>
      </c>
    </row>
    <row r="77" customFormat="false" ht="14.25" hidden="false" customHeight="false" outlineLevel="0" collapsed="false">
      <c r="H77" s="1" t="n">
        <f aca="false">H76+1</f>
        <v>72</v>
      </c>
      <c r="I77" s="1" t="n">
        <f aca="false">WEEKDAY('daily graphs'!K77)</f>
        <v>1</v>
      </c>
      <c r="J77" s="1" t="n">
        <f aca="false">DAY(L77)</f>
        <v>11</v>
      </c>
      <c r="K77" s="1" t="n">
        <f aca="false">MONTH(L77)</f>
        <v>3</v>
      </c>
      <c r="L77" s="23" t="n">
        <f aca="false">'daily graphs'!K77 - I77</f>
        <v>36596</v>
      </c>
      <c r="M77" s="24" t="n">
        <f aca="true">IF(TODAY()&lt;DATE($O$5,K77,J77),1000000,-1000000)</f>
        <v>-1000000</v>
      </c>
      <c r="N77" s="24" t="e">
        <f aca="false">IF(M77&gt;0,INDEX(big_daily_table,MATCH(DATE(O$5,$K77,$J77),daily_dates,0),MATCH($B$3,daily_items,0)),NA())</f>
        <v>#N/A</v>
      </c>
      <c r="O77" s="1" t="e">
        <f aca="false">IF(M77&lt;0,INDEX(big_daily_table,MATCH(DATE(O$5,$K77,$J77),daily_dates,0),MATCH($B$3,daily_items,0)),NA())</f>
        <v>#N/A</v>
      </c>
      <c r="P77" s="1" t="e">
        <f aca="false">IF(ISBLANK(INDEX(big_daily_table,MATCH(DATE(P$5,$K77,$J77),daily_dates,0),MATCH($B$3,daily_items,0))),NA(),INDEX(big_daily_table,MATCH(DATE(P$5,$K77,$J77),daily_dates,0),MATCH($B$3,daily_items,0)))</f>
        <v>#N/A</v>
      </c>
      <c r="Q77" s="1" t="e">
        <f aca="false">IF(ISBLANK(INDEX(big_daily_table,MATCH(DATE(Q$5,$K77,$J77),daily_dates,0),MATCH($B$3,daily_items,0))),NA(),INDEX(big_daily_table,MATCH(DATE(Q$5,$K77,$J77),daily_dates,0),MATCH($B$3,daily_items,0)))</f>
        <v>#N/A</v>
      </c>
      <c r="R77" s="1" t="e">
        <f aca="false">IF(ISBLANK(INDEX(big_daily_table,MATCH(DATE(R$5,$K77,$J77),daily_dates,0),MATCH($B$3,daily_items,0))),NA(),INDEX(big_daily_table,MATCH(DATE(R$5,$K77,$J77),daily_dates,0),MATCH($B$3,daily_items,0)))</f>
        <v>#N/A</v>
      </c>
      <c r="S77" s="1" t="e">
        <f aca="false">IF(ISBLANK(INDEX(big_daily_table,MATCH(DATE(S$5,$K77,$J77),daily_dates,0),MATCH($B$3,daily_items,0))),NA(),INDEX(big_daily_table,MATCH(DATE(S$5,$K77,$J77),daily_dates,0),MATCH($B$3,daily_items,0)))</f>
        <v>#N/A</v>
      </c>
      <c r="T77" s="1" t="e">
        <f aca="false">IF(ISBLANK(INDEX(big_daily_table,MATCH(DATE(T$5,$K77,$J77),daily_dates,0),MATCH($B$3,daily_items,0))),NA(),INDEX(big_daily_table,MATCH(DATE(T$5,$K77,$J77),daily_dates,0),MATCH($B$3,daily_items,0)))</f>
        <v>#N/A</v>
      </c>
      <c r="U77" s="1" t="e">
        <f aca="false">IF(ISBLANK(INDEX(big_daily_table,MATCH(DATE(U$5,$K77,$J77),daily_dates,0),MATCH($B$3,daily_items,0))),NA(),INDEX(big_daily_table,MATCH(DATE(U$5,$K77,$J77),daily_dates,0),MATCH($B$3,daily_items,0)))</f>
        <v>#N/A</v>
      </c>
      <c r="V77" s="1" t="e">
        <f aca="false">IF(ISBLANK(INDEX(big_daily_table,MATCH(DATE(V$5,$K77,$J77),daily_dates,0),MATCH($B$3,daily_items,0))),NA(),INDEX(big_daily_table,MATCH(DATE(V$5,$K77,$J77),daily_dates,0),MATCH($B$3,daily_items,0)))</f>
        <v>#N/A</v>
      </c>
      <c r="W77" s="1" t="e">
        <f aca="false">IF(ISBLANK(INDEX(big_daily_table,MATCH(DATE(W$5,$K77,$J77),daily_dates,0),MATCH($B$3,daily_items,0))),NA(),INDEX(big_daily_table,MATCH(DATE(W$5,$K77,$J77),daily_dates,0),MATCH($B$3,daily_items,0)))</f>
        <v>#N/A</v>
      </c>
      <c r="X77" s="1" t="e">
        <f aca="false">IF(ISBLANK(INDEX(big_daily_table,MATCH(DATE(X$5,$K77,$J77),daily_dates,0),MATCH($B$3,daily_items,0))),NA(),INDEX(big_daily_table,MATCH(DATE(X$5,$K77,$J77),daily_dates,0),MATCH($B$3,daily_items,0)))</f>
        <v>#N/A</v>
      </c>
      <c r="Y77" s="1" t="e">
        <f aca="false">IF(ISBLANK(INDEX(big_daily_table,MATCH(DATE(Y$5,$K77,$J77),daily_dates,0),MATCH($B$3,daily_items,0))),NA(),INDEX(big_daily_table,MATCH(DATE(Y$5,$K77,$J77),daily_dates,0),MATCH($B$3,daily_items,0)))</f>
        <v>#N/A</v>
      </c>
      <c r="Z77" s="1" t="e">
        <f aca="false">IF(ISBLANK(INDEX(big_daily_table,MATCH(DATE(Z$5,$K77,$J77),daily_dates,0),MATCH($B$3,daily_items,0))),NA(),INDEX(big_daily_table,MATCH(DATE(Z$5,$K77,$J77),daily_dates,0),MATCH($B$3,daily_items,0)))</f>
        <v>#N/A</v>
      </c>
      <c r="AA77" s="1" t="n">
        <f aca="true">_xlfn.AGGREGATE(5,6,OFFSET($S$5,H77,0,1,$K$2))</f>
        <v>0</v>
      </c>
      <c r="AB77" s="1" t="n">
        <f aca="true">_xlfn.AGGREGATE(4,6,OFFSET($S$5,H77,0,1,$K$2))</f>
        <v>0</v>
      </c>
      <c r="AC77" s="1" t="n">
        <f aca="false">AB77-AA77</f>
        <v>0</v>
      </c>
      <c r="AD77" s="1" t="e">
        <f aca="true">_xlfn.AGGREGATE(1,6,OFFSET($S$5,H77,0,1,$K$2))</f>
        <v>#DIV/0!</v>
      </c>
    </row>
    <row r="78" customFormat="false" ht="14.25" hidden="false" customHeight="false" outlineLevel="0" collapsed="false">
      <c r="H78" s="1" t="n">
        <f aca="false">H77+1</f>
        <v>73</v>
      </c>
      <c r="I78" s="1" t="n">
        <f aca="false">WEEKDAY('daily graphs'!K78)</f>
        <v>2</v>
      </c>
      <c r="J78" s="1" t="n">
        <f aca="false">DAY(L78)</f>
        <v>11</v>
      </c>
      <c r="K78" s="1" t="n">
        <f aca="false">MONTH(L78)</f>
        <v>3</v>
      </c>
      <c r="L78" s="23" t="n">
        <f aca="false">'daily graphs'!K78 - I78</f>
        <v>36596</v>
      </c>
      <c r="M78" s="24" t="n">
        <f aca="true">IF(TODAY()&lt;DATE($O$5,K78,J78),1000000,-1000000)</f>
        <v>-1000000</v>
      </c>
      <c r="N78" s="24" t="e">
        <f aca="false">IF(M78&gt;0,INDEX(big_daily_table,MATCH(DATE(O$5,$K78,$J78),daily_dates,0),MATCH($B$3,daily_items,0)),NA())</f>
        <v>#N/A</v>
      </c>
      <c r="O78" s="1" t="e">
        <f aca="false">IF(M78&lt;0,INDEX(big_daily_table,MATCH(DATE(O$5,$K78,$J78),daily_dates,0),MATCH($B$3,daily_items,0)),NA())</f>
        <v>#N/A</v>
      </c>
      <c r="P78" s="1" t="e">
        <f aca="false">IF(ISBLANK(INDEX(big_daily_table,MATCH(DATE(P$5,$K78,$J78),daily_dates,0),MATCH($B$3,daily_items,0))),NA(),INDEX(big_daily_table,MATCH(DATE(P$5,$K78,$J78),daily_dates,0),MATCH($B$3,daily_items,0)))</f>
        <v>#N/A</v>
      </c>
      <c r="Q78" s="1" t="e">
        <f aca="false">IF(ISBLANK(INDEX(big_daily_table,MATCH(DATE(Q$5,$K78,$J78),daily_dates,0),MATCH($B$3,daily_items,0))),NA(),INDEX(big_daily_table,MATCH(DATE(Q$5,$K78,$J78),daily_dates,0),MATCH($B$3,daily_items,0)))</f>
        <v>#N/A</v>
      </c>
      <c r="R78" s="1" t="e">
        <f aca="false">IF(ISBLANK(INDEX(big_daily_table,MATCH(DATE(R$5,$K78,$J78),daily_dates,0),MATCH($B$3,daily_items,0))),NA(),INDEX(big_daily_table,MATCH(DATE(R$5,$K78,$J78),daily_dates,0),MATCH($B$3,daily_items,0)))</f>
        <v>#N/A</v>
      </c>
      <c r="S78" s="1" t="e">
        <f aca="false">IF(ISBLANK(INDEX(big_daily_table,MATCH(DATE(S$5,$K78,$J78),daily_dates,0),MATCH($B$3,daily_items,0))),NA(),INDEX(big_daily_table,MATCH(DATE(S$5,$K78,$J78),daily_dates,0),MATCH($B$3,daily_items,0)))</f>
        <v>#N/A</v>
      </c>
      <c r="T78" s="1" t="e">
        <f aca="false">IF(ISBLANK(INDEX(big_daily_table,MATCH(DATE(T$5,$K78,$J78),daily_dates,0),MATCH($B$3,daily_items,0))),NA(),INDEX(big_daily_table,MATCH(DATE(T$5,$K78,$J78),daily_dates,0),MATCH($B$3,daily_items,0)))</f>
        <v>#N/A</v>
      </c>
      <c r="U78" s="1" t="e">
        <f aca="false">IF(ISBLANK(INDEX(big_daily_table,MATCH(DATE(U$5,$K78,$J78),daily_dates,0),MATCH($B$3,daily_items,0))),NA(),INDEX(big_daily_table,MATCH(DATE(U$5,$K78,$J78),daily_dates,0),MATCH($B$3,daily_items,0)))</f>
        <v>#N/A</v>
      </c>
      <c r="V78" s="1" t="e">
        <f aca="false">IF(ISBLANK(INDEX(big_daily_table,MATCH(DATE(V$5,$K78,$J78),daily_dates,0),MATCH($B$3,daily_items,0))),NA(),INDEX(big_daily_table,MATCH(DATE(V$5,$K78,$J78),daily_dates,0),MATCH($B$3,daily_items,0)))</f>
        <v>#N/A</v>
      </c>
      <c r="W78" s="1" t="e">
        <f aca="false">IF(ISBLANK(INDEX(big_daily_table,MATCH(DATE(W$5,$K78,$J78),daily_dates,0),MATCH($B$3,daily_items,0))),NA(),INDEX(big_daily_table,MATCH(DATE(W$5,$K78,$J78),daily_dates,0),MATCH($B$3,daily_items,0)))</f>
        <v>#N/A</v>
      </c>
      <c r="X78" s="1" t="e">
        <f aca="false">IF(ISBLANK(INDEX(big_daily_table,MATCH(DATE(X$5,$K78,$J78),daily_dates,0),MATCH($B$3,daily_items,0))),NA(),INDEX(big_daily_table,MATCH(DATE(X$5,$K78,$J78),daily_dates,0),MATCH($B$3,daily_items,0)))</f>
        <v>#N/A</v>
      </c>
      <c r="Y78" s="1" t="e">
        <f aca="false">IF(ISBLANK(INDEX(big_daily_table,MATCH(DATE(Y$5,$K78,$J78),daily_dates,0),MATCH($B$3,daily_items,0))),NA(),INDEX(big_daily_table,MATCH(DATE(Y$5,$K78,$J78),daily_dates,0),MATCH($B$3,daily_items,0)))</f>
        <v>#N/A</v>
      </c>
      <c r="Z78" s="1" t="e">
        <f aca="false">IF(ISBLANK(INDEX(big_daily_table,MATCH(DATE(Z$5,$K78,$J78),daily_dates,0),MATCH($B$3,daily_items,0))),NA(),INDEX(big_daily_table,MATCH(DATE(Z$5,$K78,$J78),daily_dates,0),MATCH($B$3,daily_items,0)))</f>
        <v>#N/A</v>
      </c>
      <c r="AA78" s="1" t="n">
        <f aca="true">_xlfn.AGGREGATE(5,6,OFFSET($S$5,H78,0,1,$K$2))</f>
        <v>0</v>
      </c>
      <c r="AB78" s="1" t="n">
        <f aca="true">_xlfn.AGGREGATE(4,6,OFFSET($S$5,H78,0,1,$K$2))</f>
        <v>0</v>
      </c>
      <c r="AC78" s="1" t="n">
        <f aca="false">AB78-AA78</f>
        <v>0</v>
      </c>
      <c r="AD78" s="1" t="e">
        <f aca="true">_xlfn.AGGREGATE(1,6,OFFSET($S$5,H78,0,1,$K$2))</f>
        <v>#DIV/0!</v>
      </c>
    </row>
    <row r="79" customFormat="false" ht="14.25" hidden="false" customHeight="false" outlineLevel="0" collapsed="false">
      <c r="H79" s="1" t="n">
        <f aca="false">H78+1</f>
        <v>74</v>
      </c>
      <c r="I79" s="1" t="n">
        <f aca="false">WEEKDAY('daily graphs'!K79)</f>
        <v>3</v>
      </c>
      <c r="J79" s="1" t="n">
        <f aca="false">DAY(L79)</f>
        <v>11</v>
      </c>
      <c r="K79" s="1" t="n">
        <f aca="false">MONTH(L79)</f>
        <v>3</v>
      </c>
      <c r="L79" s="23" t="n">
        <f aca="false">'daily graphs'!K79 - I79</f>
        <v>36596</v>
      </c>
      <c r="M79" s="24" t="n">
        <f aca="true">IF(TODAY()&lt;DATE($O$5,K79,J79),1000000,-1000000)</f>
        <v>-1000000</v>
      </c>
      <c r="N79" s="24" t="e">
        <f aca="false">IF(M79&gt;0,INDEX(big_daily_table,MATCH(DATE(O$5,$K79,$J79),daily_dates,0),MATCH($B$3,daily_items,0)),NA())</f>
        <v>#N/A</v>
      </c>
      <c r="O79" s="1" t="e">
        <f aca="false">IF(M79&lt;0,INDEX(big_daily_table,MATCH(DATE(O$5,$K79,$J79),daily_dates,0),MATCH($B$3,daily_items,0)),NA())</f>
        <v>#N/A</v>
      </c>
      <c r="P79" s="1" t="e">
        <f aca="false">IF(ISBLANK(INDEX(big_daily_table,MATCH(DATE(P$5,$K79,$J79),daily_dates,0),MATCH($B$3,daily_items,0))),NA(),INDEX(big_daily_table,MATCH(DATE(P$5,$K79,$J79),daily_dates,0),MATCH($B$3,daily_items,0)))</f>
        <v>#N/A</v>
      </c>
      <c r="Q79" s="1" t="e">
        <f aca="false">IF(ISBLANK(INDEX(big_daily_table,MATCH(DATE(Q$5,$K79,$J79),daily_dates,0),MATCH($B$3,daily_items,0))),NA(),INDEX(big_daily_table,MATCH(DATE(Q$5,$K79,$J79),daily_dates,0),MATCH($B$3,daily_items,0)))</f>
        <v>#N/A</v>
      </c>
      <c r="R79" s="1" t="e">
        <f aca="false">IF(ISBLANK(INDEX(big_daily_table,MATCH(DATE(R$5,$K79,$J79),daily_dates,0),MATCH($B$3,daily_items,0))),NA(),INDEX(big_daily_table,MATCH(DATE(R$5,$K79,$J79),daily_dates,0),MATCH($B$3,daily_items,0)))</f>
        <v>#N/A</v>
      </c>
      <c r="S79" s="1" t="e">
        <f aca="false">IF(ISBLANK(INDEX(big_daily_table,MATCH(DATE(S$5,$K79,$J79),daily_dates,0),MATCH($B$3,daily_items,0))),NA(),INDEX(big_daily_table,MATCH(DATE(S$5,$K79,$J79),daily_dates,0),MATCH($B$3,daily_items,0)))</f>
        <v>#N/A</v>
      </c>
      <c r="T79" s="1" t="e">
        <f aca="false">IF(ISBLANK(INDEX(big_daily_table,MATCH(DATE(T$5,$K79,$J79),daily_dates,0),MATCH($B$3,daily_items,0))),NA(),INDEX(big_daily_table,MATCH(DATE(T$5,$K79,$J79),daily_dates,0),MATCH($B$3,daily_items,0)))</f>
        <v>#N/A</v>
      </c>
      <c r="U79" s="1" t="e">
        <f aca="false">IF(ISBLANK(INDEX(big_daily_table,MATCH(DATE(U$5,$K79,$J79),daily_dates,0),MATCH($B$3,daily_items,0))),NA(),INDEX(big_daily_table,MATCH(DATE(U$5,$K79,$J79),daily_dates,0),MATCH($B$3,daily_items,0)))</f>
        <v>#N/A</v>
      </c>
      <c r="V79" s="1" t="e">
        <f aca="false">IF(ISBLANK(INDEX(big_daily_table,MATCH(DATE(V$5,$K79,$J79),daily_dates,0),MATCH($B$3,daily_items,0))),NA(),INDEX(big_daily_table,MATCH(DATE(V$5,$K79,$J79),daily_dates,0),MATCH($B$3,daily_items,0)))</f>
        <v>#N/A</v>
      </c>
      <c r="W79" s="1" t="e">
        <f aca="false">IF(ISBLANK(INDEX(big_daily_table,MATCH(DATE(W$5,$K79,$J79),daily_dates,0),MATCH($B$3,daily_items,0))),NA(),INDEX(big_daily_table,MATCH(DATE(W$5,$K79,$J79),daily_dates,0),MATCH($B$3,daily_items,0)))</f>
        <v>#N/A</v>
      </c>
      <c r="X79" s="1" t="e">
        <f aca="false">IF(ISBLANK(INDEX(big_daily_table,MATCH(DATE(X$5,$K79,$J79),daily_dates,0),MATCH($B$3,daily_items,0))),NA(),INDEX(big_daily_table,MATCH(DATE(X$5,$K79,$J79),daily_dates,0),MATCH($B$3,daily_items,0)))</f>
        <v>#N/A</v>
      </c>
      <c r="Y79" s="1" t="e">
        <f aca="false">IF(ISBLANK(INDEX(big_daily_table,MATCH(DATE(Y$5,$K79,$J79),daily_dates,0),MATCH($B$3,daily_items,0))),NA(),INDEX(big_daily_table,MATCH(DATE(Y$5,$K79,$J79),daily_dates,0),MATCH($B$3,daily_items,0)))</f>
        <v>#N/A</v>
      </c>
      <c r="Z79" s="1" t="e">
        <f aca="false">IF(ISBLANK(INDEX(big_daily_table,MATCH(DATE(Z$5,$K79,$J79),daily_dates,0),MATCH($B$3,daily_items,0))),NA(),INDEX(big_daily_table,MATCH(DATE(Z$5,$K79,$J79),daily_dates,0),MATCH($B$3,daily_items,0)))</f>
        <v>#N/A</v>
      </c>
      <c r="AA79" s="1" t="n">
        <f aca="true">_xlfn.AGGREGATE(5,6,OFFSET($S$5,H79,0,1,$K$2))</f>
        <v>0</v>
      </c>
      <c r="AB79" s="1" t="n">
        <f aca="true">_xlfn.AGGREGATE(4,6,OFFSET($S$5,H79,0,1,$K$2))</f>
        <v>0</v>
      </c>
      <c r="AC79" s="1" t="n">
        <f aca="false">AB79-AA79</f>
        <v>0</v>
      </c>
      <c r="AD79" s="1" t="e">
        <f aca="true">_xlfn.AGGREGATE(1,6,OFFSET($S$5,H79,0,1,$K$2))</f>
        <v>#DIV/0!</v>
      </c>
    </row>
    <row r="80" customFormat="false" ht="14.25" hidden="false" customHeight="false" outlineLevel="0" collapsed="false">
      <c r="H80" s="1" t="n">
        <f aca="false">H79+1</f>
        <v>75</v>
      </c>
      <c r="I80" s="1" t="n">
        <f aca="false">WEEKDAY('daily graphs'!K80)</f>
        <v>4</v>
      </c>
      <c r="J80" s="1" t="n">
        <f aca="false">DAY(L80)</f>
        <v>11</v>
      </c>
      <c r="K80" s="1" t="n">
        <f aca="false">MONTH(L80)</f>
        <v>3</v>
      </c>
      <c r="L80" s="23" t="n">
        <f aca="false">'daily graphs'!K80 - I80</f>
        <v>36596</v>
      </c>
      <c r="M80" s="24" t="n">
        <f aca="true">IF(TODAY()&lt;DATE($O$5,K80,J80),1000000,-1000000)</f>
        <v>-1000000</v>
      </c>
      <c r="N80" s="24" t="e">
        <f aca="false">IF(M80&gt;0,INDEX(big_daily_table,MATCH(DATE(O$5,$K80,$J80),daily_dates,0),MATCH($B$3,daily_items,0)),NA())</f>
        <v>#N/A</v>
      </c>
      <c r="O80" s="1" t="e">
        <f aca="false">IF(M80&lt;0,INDEX(big_daily_table,MATCH(DATE(O$5,$K80,$J80),daily_dates,0),MATCH($B$3,daily_items,0)),NA())</f>
        <v>#N/A</v>
      </c>
      <c r="P80" s="1" t="e">
        <f aca="false">IF(ISBLANK(INDEX(big_daily_table,MATCH(DATE(P$5,$K80,$J80),daily_dates,0),MATCH($B$3,daily_items,0))),NA(),INDEX(big_daily_table,MATCH(DATE(P$5,$K80,$J80),daily_dates,0),MATCH($B$3,daily_items,0)))</f>
        <v>#N/A</v>
      </c>
      <c r="Q80" s="1" t="e">
        <f aca="false">IF(ISBLANK(INDEX(big_daily_table,MATCH(DATE(Q$5,$K80,$J80),daily_dates,0),MATCH($B$3,daily_items,0))),NA(),INDEX(big_daily_table,MATCH(DATE(Q$5,$K80,$J80),daily_dates,0),MATCH($B$3,daily_items,0)))</f>
        <v>#N/A</v>
      </c>
      <c r="R80" s="1" t="e">
        <f aca="false">IF(ISBLANK(INDEX(big_daily_table,MATCH(DATE(R$5,$K80,$J80),daily_dates,0),MATCH($B$3,daily_items,0))),NA(),INDEX(big_daily_table,MATCH(DATE(R$5,$K80,$J80),daily_dates,0),MATCH($B$3,daily_items,0)))</f>
        <v>#N/A</v>
      </c>
      <c r="S80" s="1" t="e">
        <f aca="false">IF(ISBLANK(INDEX(big_daily_table,MATCH(DATE(S$5,$K80,$J80),daily_dates,0),MATCH($B$3,daily_items,0))),NA(),INDEX(big_daily_table,MATCH(DATE(S$5,$K80,$J80),daily_dates,0),MATCH($B$3,daily_items,0)))</f>
        <v>#N/A</v>
      </c>
      <c r="T80" s="1" t="e">
        <f aca="false">IF(ISBLANK(INDEX(big_daily_table,MATCH(DATE(T$5,$K80,$J80),daily_dates,0),MATCH($B$3,daily_items,0))),NA(),INDEX(big_daily_table,MATCH(DATE(T$5,$K80,$J80),daily_dates,0),MATCH($B$3,daily_items,0)))</f>
        <v>#N/A</v>
      </c>
      <c r="U80" s="1" t="e">
        <f aca="false">IF(ISBLANK(INDEX(big_daily_table,MATCH(DATE(U$5,$K80,$J80),daily_dates,0),MATCH($B$3,daily_items,0))),NA(),INDEX(big_daily_table,MATCH(DATE(U$5,$K80,$J80),daily_dates,0),MATCH($B$3,daily_items,0)))</f>
        <v>#N/A</v>
      </c>
      <c r="V80" s="1" t="e">
        <f aca="false">IF(ISBLANK(INDEX(big_daily_table,MATCH(DATE(V$5,$K80,$J80),daily_dates,0),MATCH($B$3,daily_items,0))),NA(),INDEX(big_daily_table,MATCH(DATE(V$5,$K80,$J80),daily_dates,0),MATCH($B$3,daily_items,0)))</f>
        <v>#N/A</v>
      </c>
      <c r="W80" s="1" t="e">
        <f aca="false">IF(ISBLANK(INDEX(big_daily_table,MATCH(DATE(W$5,$K80,$J80),daily_dates,0),MATCH($B$3,daily_items,0))),NA(),INDEX(big_daily_table,MATCH(DATE(W$5,$K80,$J80),daily_dates,0),MATCH($B$3,daily_items,0)))</f>
        <v>#N/A</v>
      </c>
      <c r="X80" s="1" t="e">
        <f aca="false">IF(ISBLANK(INDEX(big_daily_table,MATCH(DATE(X$5,$K80,$J80),daily_dates,0),MATCH($B$3,daily_items,0))),NA(),INDEX(big_daily_table,MATCH(DATE(X$5,$K80,$J80),daily_dates,0),MATCH($B$3,daily_items,0)))</f>
        <v>#N/A</v>
      </c>
      <c r="Y80" s="1" t="e">
        <f aca="false">IF(ISBLANK(INDEX(big_daily_table,MATCH(DATE(Y$5,$K80,$J80),daily_dates,0),MATCH($B$3,daily_items,0))),NA(),INDEX(big_daily_table,MATCH(DATE(Y$5,$K80,$J80),daily_dates,0),MATCH($B$3,daily_items,0)))</f>
        <v>#N/A</v>
      </c>
      <c r="Z80" s="1" t="e">
        <f aca="false">IF(ISBLANK(INDEX(big_daily_table,MATCH(DATE(Z$5,$K80,$J80),daily_dates,0),MATCH($B$3,daily_items,0))),NA(),INDEX(big_daily_table,MATCH(DATE(Z$5,$K80,$J80),daily_dates,0),MATCH($B$3,daily_items,0)))</f>
        <v>#N/A</v>
      </c>
      <c r="AA80" s="1" t="n">
        <f aca="true">_xlfn.AGGREGATE(5,6,OFFSET($S$5,H80,0,1,$K$2))</f>
        <v>0</v>
      </c>
      <c r="AB80" s="1" t="n">
        <f aca="true">_xlfn.AGGREGATE(4,6,OFFSET($S$5,H80,0,1,$K$2))</f>
        <v>0</v>
      </c>
      <c r="AC80" s="1" t="n">
        <f aca="false">AB80-AA80</f>
        <v>0</v>
      </c>
      <c r="AD80" s="1" t="e">
        <f aca="true">_xlfn.AGGREGATE(1,6,OFFSET($S$5,H80,0,1,$K$2))</f>
        <v>#DIV/0!</v>
      </c>
    </row>
    <row r="81" customFormat="false" ht="14.25" hidden="false" customHeight="false" outlineLevel="0" collapsed="false">
      <c r="H81" s="1" t="n">
        <f aca="false">H80+1</f>
        <v>76</v>
      </c>
      <c r="I81" s="1" t="n">
        <f aca="false">WEEKDAY('daily graphs'!K81)</f>
        <v>5</v>
      </c>
      <c r="J81" s="1" t="n">
        <f aca="false">DAY(L81)</f>
        <v>11</v>
      </c>
      <c r="K81" s="1" t="n">
        <f aca="false">MONTH(L81)</f>
        <v>3</v>
      </c>
      <c r="L81" s="23" t="n">
        <f aca="false">'daily graphs'!K81 - I81</f>
        <v>36596</v>
      </c>
      <c r="M81" s="24" t="n">
        <f aca="true">IF(TODAY()&lt;DATE($O$5,K81,J81),1000000,-1000000)</f>
        <v>-1000000</v>
      </c>
      <c r="N81" s="24" t="e">
        <f aca="false">IF(M81&gt;0,INDEX(big_daily_table,MATCH(DATE(O$5,$K81,$J81),daily_dates,0),MATCH($B$3,daily_items,0)),NA())</f>
        <v>#N/A</v>
      </c>
      <c r="O81" s="1" t="e">
        <f aca="false">IF(M81&lt;0,INDEX(big_daily_table,MATCH(DATE(O$5,$K81,$J81),daily_dates,0),MATCH($B$3,daily_items,0)),NA())</f>
        <v>#N/A</v>
      </c>
      <c r="P81" s="1" t="e">
        <f aca="false">IF(ISBLANK(INDEX(big_daily_table,MATCH(DATE(P$5,$K81,$J81),daily_dates,0),MATCH($B$3,daily_items,0))),NA(),INDEX(big_daily_table,MATCH(DATE(P$5,$K81,$J81),daily_dates,0),MATCH($B$3,daily_items,0)))</f>
        <v>#N/A</v>
      </c>
      <c r="Q81" s="1" t="e">
        <f aca="false">IF(ISBLANK(INDEX(big_daily_table,MATCH(DATE(Q$5,$K81,$J81),daily_dates,0),MATCH($B$3,daily_items,0))),NA(),INDEX(big_daily_table,MATCH(DATE(Q$5,$K81,$J81),daily_dates,0),MATCH($B$3,daily_items,0)))</f>
        <v>#N/A</v>
      </c>
      <c r="R81" s="1" t="e">
        <f aca="false">IF(ISBLANK(INDEX(big_daily_table,MATCH(DATE(R$5,$K81,$J81),daily_dates,0),MATCH($B$3,daily_items,0))),NA(),INDEX(big_daily_table,MATCH(DATE(R$5,$K81,$J81),daily_dates,0),MATCH($B$3,daily_items,0)))</f>
        <v>#N/A</v>
      </c>
      <c r="S81" s="1" t="e">
        <f aca="false">IF(ISBLANK(INDEX(big_daily_table,MATCH(DATE(S$5,$K81,$J81),daily_dates,0),MATCH($B$3,daily_items,0))),NA(),INDEX(big_daily_table,MATCH(DATE(S$5,$K81,$J81),daily_dates,0),MATCH($B$3,daily_items,0)))</f>
        <v>#N/A</v>
      </c>
      <c r="T81" s="1" t="e">
        <f aca="false">IF(ISBLANK(INDEX(big_daily_table,MATCH(DATE(T$5,$K81,$J81),daily_dates,0),MATCH($B$3,daily_items,0))),NA(),INDEX(big_daily_table,MATCH(DATE(T$5,$K81,$J81),daily_dates,0),MATCH($B$3,daily_items,0)))</f>
        <v>#N/A</v>
      </c>
      <c r="U81" s="1" t="e">
        <f aca="false">IF(ISBLANK(INDEX(big_daily_table,MATCH(DATE(U$5,$K81,$J81),daily_dates,0),MATCH($B$3,daily_items,0))),NA(),INDEX(big_daily_table,MATCH(DATE(U$5,$K81,$J81),daily_dates,0),MATCH($B$3,daily_items,0)))</f>
        <v>#N/A</v>
      </c>
      <c r="V81" s="1" t="e">
        <f aca="false">IF(ISBLANK(INDEX(big_daily_table,MATCH(DATE(V$5,$K81,$J81),daily_dates,0),MATCH($B$3,daily_items,0))),NA(),INDEX(big_daily_table,MATCH(DATE(V$5,$K81,$J81),daily_dates,0),MATCH($B$3,daily_items,0)))</f>
        <v>#N/A</v>
      </c>
      <c r="W81" s="1" t="e">
        <f aca="false">IF(ISBLANK(INDEX(big_daily_table,MATCH(DATE(W$5,$K81,$J81),daily_dates,0),MATCH($B$3,daily_items,0))),NA(),INDEX(big_daily_table,MATCH(DATE(W$5,$K81,$J81),daily_dates,0),MATCH($B$3,daily_items,0)))</f>
        <v>#N/A</v>
      </c>
      <c r="X81" s="1" t="e">
        <f aca="false">IF(ISBLANK(INDEX(big_daily_table,MATCH(DATE(X$5,$K81,$J81),daily_dates,0),MATCH($B$3,daily_items,0))),NA(),INDEX(big_daily_table,MATCH(DATE(X$5,$K81,$J81),daily_dates,0),MATCH($B$3,daily_items,0)))</f>
        <v>#N/A</v>
      </c>
      <c r="Y81" s="1" t="e">
        <f aca="false">IF(ISBLANK(INDEX(big_daily_table,MATCH(DATE(Y$5,$K81,$J81),daily_dates,0),MATCH($B$3,daily_items,0))),NA(),INDEX(big_daily_table,MATCH(DATE(Y$5,$K81,$J81),daily_dates,0),MATCH($B$3,daily_items,0)))</f>
        <v>#N/A</v>
      </c>
      <c r="Z81" s="1" t="e">
        <f aca="false">IF(ISBLANK(INDEX(big_daily_table,MATCH(DATE(Z$5,$K81,$J81),daily_dates,0),MATCH($B$3,daily_items,0))),NA(),INDEX(big_daily_table,MATCH(DATE(Z$5,$K81,$J81),daily_dates,0),MATCH($B$3,daily_items,0)))</f>
        <v>#N/A</v>
      </c>
      <c r="AA81" s="1" t="n">
        <f aca="true">_xlfn.AGGREGATE(5,6,OFFSET($S$5,H81,0,1,$K$2))</f>
        <v>0</v>
      </c>
      <c r="AB81" s="1" t="n">
        <f aca="true">_xlfn.AGGREGATE(4,6,OFFSET($S$5,H81,0,1,$K$2))</f>
        <v>0</v>
      </c>
      <c r="AC81" s="1" t="n">
        <f aca="false">AB81-AA81</f>
        <v>0</v>
      </c>
      <c r="AD81" s="1" t="e">
        <f aca="true">_xlfn.AGGREGATE(1,6,OFFSET($S$5,H81,0,1,$K$2))</f>
        <v>#DIV/0!</v>
      </c>
    </row>
    <row r="82" customFormat="false" ht="14.25" hidden="false" customHeight="false" outlineLevel="0" collapsed="false">
      <c r="H82" s="1" t="n">
        <f aca="false">H81+1</f>
        <v>77</v>
      </c>
      <c r="I82" s="1" t="n">
        <f aca="false">WEEKDAY('daily graphs'!K82)</f>
        <v>6</v>
      </c>
      <c r="J82" s="1" t="n">
        <f aca="false">DAY(L82)</f>
        <v>11</v>
      </c>
      <c r="K82" s="1" t="n">
        <f aca="false">MONTH(L82)</f>
        <v>3</v>
      </c>
      <c r="L82" s="23" t="n">
        <f aca="false">'daily graphs'!K82 - I82</f>
        <v>36596</v>
      </c>
      <c r="M82" s="24" t="n">
        <f aca="true">IF(TODAY()&lt;DATE($O$5,K82,J82),1000000,-1000000)</f>
        <v>-1000000</v>
      </c>
      <c r="N82" s="24" t="e">
        <f aca="false">IF(M82&gt;0,INDEX(big_daily_table,MATCH(DATE(O$5,$K82,$J82),daily_dates,0),MATCH($B$3,daily_items,0)),NA())</f>
        <v>#N/A</v>
      </c>
      <c r="O82" s="1" t="e">
        <f aca="false">IF(M82&lt;0,INDEX(big_daily_table,MATCH(DATE(O$5,$K82,$J82),daily_dates,0),MATCH($B$3,daily_items,0)),NA())</f>
        <v>#N/A</v>
      </c>
      <c r="P82" s="1" t="e">
        <f aca="false">IF(ISBLANK(INDEX(big_daily_table,MATCH(DATE(P$5,$K82,$J82),daily_dates,0),MATCH($B$3,daily_items,0))),NA(),INDEX(big_daily_table,MATCH(DATE(P$5,$K82,$J82),daily_dates,0),MATCH($B$3,daily_items,0)))</f>
        <v>#N/A</v>
      </c>
      <c r="Q82" s="1" t="e">
        <f aca="false">IF(ISBLANK(INDEX(big_daily_table,MATCH(DATE(Q$5,$K82,$J82),daily_dates,0),MATCH($B$3,daily_items,0))),NA(),INDEX(big_daily_table,MATCH(DATE(Q$5,$K82,$J82),daily_dates,0),MATCH($B$3,daily_items,0)))</f>
        <v>#N/A</v>
      </c>
      <c r="R82" s="1" t="e">
        <f aca="false">IF(ISBLANK(INDEX(big_daily_table,MATCH(DATE(R$5,$K82,$J82),daily_dates,0),MATCH($B$3,daily_items,0))),NA(),INDEX(big_daily_table,MATCH(DATE(R$5,$K82,$J82),daily_dates,0),MATCH($B$3,daily_items,0)))</f>
        <v>#N/A</v>
      </c>
      <c r="S82" s="1" t="e">
        <f aca="false">IF(ISBLANK(INDEX(big_daily_table,MATCH(DATE(S$5,$K82,$J82),daily_dates,0),MATCH($B$3,daily_items,0))),NA(),INDEX(big_daily_table,MATCH(DATE(S$5,$K82,$J82),daily_dates,0),MATCH($B$3,daily_items,0)))</f>
        <v>#N/A</v>
      </c>
      <c r="T82" s="1" t="e">
        <f aca="false">IF(ISBLANK(INDEX(big_daily_table,MATCH(DATE(T$5,$K82,$J82),daily_dates,0),MATCH($B$3,daily_items,0))),NA(),INDEX(big_daily_table,MATCH(DATE(T$5,$K82,$J82),daily_dates,0),MATCH($B$3,daily_items,0)))</f>
        <v>#N/A</v>
      </c>
      <c r="U82" s="1" t="e">
        <f aca="false">IF(ISBLANK(INDEX(big_daily_table,MATCH(DATE(U$5,$K82,$J82),daily_dates,0),MATCH($B$3,daily_items,0))),NA(),INDEX(big_daily_table,MATCH(DATE(U$5,$K82,$J82),daily_dates,0),MATCH($B$3,daily_items,0)))</f>
        <v>#N/A</v>
      </c>
      <c r="V82" s="1" t="e">
        <f aca="false">IF(ISBLANK(INDEX(big_daily_table,MATCH(DATE(V$5,$K82,$J82),daily_dates,0),MATCH($B$3,daily_items,0))),NA(),INDEX(big_daily_table,MATCH(DATE(V$5,$K82,$J82),daily_dates,0),MATCH($B$3,daily_items,0)))</f>
        <v>#N/A</v>
      </c>
      <c r="W82" s="1" t="e">
        <f aca="false">IF(ISBLANK(INDEX(big_daily_table,MATCH(DATE(W$5,$K82,$J82),daily_dates,0),MATCH($B$3,daily_items,0))),NA(),INDEX(big_daily_table,MATCH(DATE(W$5,$K82,$J82),daily_dates,0),MATCH($B$3,daily_items,0)))</f>
        <v>#N/A</v>
      </c>
      <c r="X82" s="1" t="e">
        <f aca="false">IF(ISBLANK(INDEX(big_daily_table,MATCH(DATE(X$5,$K82,$J82),daily_dates,0),MATCH($B$3,daily_items,0))),NA(),INDEX(big_daily_table,MATCH(DATE(X$5,$K82,$J82),daily_dates,0),MATCH($B$3,daily_items,0)))</f>
        <v>#N/A</v>
      </c>
      <c r="Y82" s="1" t="e">
        <f aca="false">IF(ISBLANK(INDEX(big_daily_table,MATCH(DATE(Y$5,$K82,$J82),daily_dates,0),MATCH($B$3,daily_items,0))),NA(),INDEX(big_daily_table,MATCH(DATE(Y$5,$K82,$J82),daily_dates,0),MATCH($B$3,daily_items,0)))</f>
        <v>#N/A</v>
      </c>
      <c r="Z82" s="1" t="e">
        <f aca="false">IF(ISBLANK(INDEX(big_daily_table,MATCH(DATE(Z$5,$K82,$J82),daily_dates,0),MATCH($B$3,daily_items,0))),NA(),INDEX(big_daily_table,MATCH(DATE(Z$5,$K82,$J82),daily_dates,0),MATCH($B$3,daily_items,0)))</f>
        <v>#N/A</v>
      </c>
      <c r="AA82" s="1" t="n">
        <f aca="true">_xlfn.AGGREGATE(5,6,OFFSET($S$5,H82,0,1,$K$2))</f>
        <v>0</v>
      </c>
      <c r="AB82" s="1" t="n">
        <f aca="true">_xlfn.AGGREGATE(4,6,OFFSET($S$5,H82,0,1,$K$2))</f>
        <v>0</v>
      </c>
      <c r="AC82" s="1" t="n">
        <f aca="false">AB82-AA82</f>
        <v>0</v>
      </c>
      <c r="AD82" s="1" t="e">
        <f aca="true">_xlfn.AGGREGATE(1,6,OFFSET($S$5,H82,0,1,$K$2))</f>
        <v>#DIV/0!</v>
      </c>
    </row>
    <row r="83" customFormat="false" ht="14.25" hidden="false" customHeight="false" outlineLevel="0" collapsed="false">
      <c r="H83" s="1" t="n">
        <f aca="false">H82+1</f>
        <v>78</v>
      </c>
      <c r="I83" s="1" t="n">
        <f aca="false">WEEKDAY('daily graphs'!K83)</f>
        <v>7</v>
      </c>
      <c r="J83" s="1" t="n">
        <f aca="false">DAY(L83)</f>
        <v>11</v>
      </c>
      <c r="K83" s="1" t="n">
        <f aca="false">MONTH(L83)</f>
        <v>3</v>
      </c>
      <c r="L83" s="23" t="n">
        <f aca="false">'daily graphs'!K83 - I83</f>
        <v>36596</v>
      </c>
      <c r="M83" s="24" t="n">
        <f aca="true">IF(TODAY()&lt;DATE($O$5,K83,J83),1000000,-1000000)</f>
        <v>-1000000</v>
      </c>
      <c r="N83" s="24" t="e">
        <f aca="false">IF(M83&gt;0,INDEX(big_daily_table,MATCH(DATE(O$5,$K83,$J83),daily_dates,0),MATCH($B$3,daily_items,0)),NA())</f>
        <v>#N/A</v>
      </c>
      <c r="O83" s="1" t="e">
        <f aca="false">IF(M83&lt;0,INDEX(big_daily_table,MATCH(DATE(O$5,$K83,$J83),daily_dates,0),MATCH($B$3,daily_items,0)),NA())</f>
        <v>#N/A</v>
      </c>
      <c r="P83" s="1" t="e">
        <f aca="false">IF(ISBLANK(INDEX(big_daily_table,MATCH(DATE(P$5,$K83,$J83),daily_dates,0),MATCH($B$3,daily_items,0))),NA(),INDEX(big_daily_table,MATCH(DATE(P$5,$K83,$J83),daily_dates,0),MATCH($B$3,daily_items,0)))</f>
        <v>#N/A</v>
      </c>
      <c r="Q83" s="1" t="e">
        <f aca="false">IF(ISBLANK(INDEX(big_daily_table,MATCH(DATE(Q$5,$K83,$J83),daily_dates,0),MATCH($B$3,daily_items,0))),NA(),INDEX(big_daily_table,MATCH(DATE(Q$5,$K83,$J83),daily_dates,0),MATCH($B$3,daily_items,0)))</f>
        <v>#N/A</v>
      </c>
      <c r="R83" s="1" t="e">
        <f aca="false">IF(ISBLANK(INDEX(big_daily_table,MATCH(DATE(R$5,$K83,$J83),daily_dates,0),MATCH($B$3,daily_items,0))),NA(),INDEX(big_daily_table,MATCH(DATE(R$5,$K83,$J83),daily_dates,0),MATCH($B$3,daily_items,0)))</f>
        <v>#N/A</v>
      </c>
      <c r="S83" s="1" t="e">
        <f aca="false">IF(ISBLANK(INDEX(big_daily_table,MATCH(DATE(S$5,$K83,$J83),daily_dates,0),MATCH($B$3,daily_items,0))),NA(),INDEX(big_daily_table,MATCH(DATE(S$5,$K83,$J83),daily_dates,0),MATCH($B$3,daily_items,0)))</f>
        <v>#N/A</v>
      </c>
      <c r="T83" s="1" t="e">
        <f aca="false">IF(ISBLANK(INDEX(big_daily_table,MATCH(DATE(T$5,$K83,$J83),daily_dates,0),MATCH($B$3,daily_items,0))),NA(),INDEX(big_daily_table,MATCH(DATE(T$5,$K83,$J83),daily_dates,0),MATCH($B$3,daily_items,0)))</f>
        <v>#N/A</v>
      </c>
      <c r="U83" s="1" t="e">
        <f aca="false">IF(ISBLANK(INDEX(big_daily_table,MATCH(DATE(U$5,$K83,$J83),daily_dates,0),MATCH($B$3,daily_items,0))),NA(),INDEX(big_daily_table,MATCH(DATE(U$5,$K83,$J83),daily_dates,0),MATCH($B$3,daily_items,0)))</f>
        <v>#N/A</v>
      </c>
      <c r="V83" s="1" t="e">
        <f aca="false">IF(ISBLANK(INDEX(big_daily_table,MATCH(DATE(V$5,$K83,$J83),daily_dates,0),MATCH($B$3,daily_items,0))),NA(),INDEX(big_daily_table,MATCH(DATE(V$5,$K83,$J83),daily_dates,0),MATCH($B$3,daily_items,0)))</f>
        <v>#N/A</v>
      </c>
      <c r="W83" s="1" t="e">
        <f aca="false">IF(ISBLANK(INDEX(big_daily_table,MATCH(DATE(W$5,$K83,$J83),daily_dates,0),MATCH($B$3,daily_items,0))),NA(),INDEX(big_daily_table,MATCH(DATE(W$5,$K83,$J83),daily_dates,0),MATCH($B$3,daily_items,0)))</f>
        <v>#N/A</v>
      </c>
      <c r="X83" s="1" t="e">
        <f aca="false">IF(ISBLANK(INDEX(big_daily_table,MATCH(DATE(X$5,$K83,$J83),daily_dates,0),MATCH($B$3,daily_items,0))),NA(),INDEX(big_daily_table,MATCH(DATE(X$5,$K83,$J83),daily_dates,0),MATCH($B$3,daily_items,0)))</f>
        <v>#N/A</v>
      </c>
      <c r="Y83" s="1" t="e">
        <f aca="false">IF(ISBLANK(INDEX(big_daily_table,MATCH(DATE(Y$5,$K83,$J83),daily_dates,0),MATCH($B$3,daily_items,0))),NA(),INDEX(big_daily_table,MATCH(DATE(Y$5,$K83,$J83),daily_dates,0),MATCH($B$3,daily_items,0)))</f>
        <v>#N/A</v>
      </c>
      <c r="Z83" s="1" t="e">
        <f aca="false">IF(ISBLANK(INDEX(big_daily_table,MATCH(DATE(Z$5,$K83,$J83),daily_dates,0),MATCH($B$3,daily_items,0))),NA(),INDEX(big_daily_table,MATCH(DATE(Z$5,$K83,$J83),daily_dates,0),MATCH($B$3,daily_items,0)))</f>
        <v>#N/A</v>
      </c>
      <c r="AA83" s="1" t="n">
        <f aca="true">_xlfn.AGGREGATE(5,6,OFFSET($S$5,H83,0,1,$K$2))</f>
        <v>0</v>
      </c>
      <c r="AB83" s="1" t="n">
        <f aca="true">_xlfn.AGGREGATE(4,6,OFFSET($S$5,H83,0,1,$K$2))</f>
        <v>0</v>
      </c>
      <c r="AC83" s="1" t="n">
        <f aca="false">AB83-AA83</f>
        <v>0</v>
      </c>
      <c r="AD83" s="1" t="e">
        <f aca="true">_xlfn.AGGREGATE(1,6,OFFSET($S$5,H83,0,1,$K$2))</f>
        <v>#DIV/0!</v>
      </c>
    </row>
    <row r="84" customFormat="false" ht="14.25" hidden="false" customHeight="false" outlineLevel="0" collapsed="false">
      <c r="H84" s="1" t="n">
        <f aca="false">H83+1</f>
        <v>79</v>
      </c>
      <c r="I84" s="1" t="n">
        <f aca="false">WEEKDAY('daily graphs'!K84)</f>
        <v>1</v>
      </c>
      <c r="J84" s="1" t="n">
        <f aca="false">DAY(L84)</f>
        <v>18</v>
      </c>
      <c r="K84" s="1" t="n">
        <f aca="false">MONTH(L84)</f>
        <v>3</v>
      </c>
      <c r="L84" s="23" t="n">
        <f aca="false">'daily graphs'!K84 - I84</f>
        <v>36603</v>
      </c>
      <c r="M84" s="24" t="n">
        <f aca="true">IF(TODAY()&lt;DATE($O$5,K84,J84),1000000,-1000000)</f>
        <v>-1000000</v>
      </c>
      <c r="N84" s="24" t="e">
        <f aca="false">IF(M84&gt;0,INDEX(big_daily_table,MATCH(DATE(O$5,$K84,$J84),daily_dates,0),MATCH($B$3,daily_items,0)),NA())</f>
        <v>#N/A</v>
      </c>
      <c r="O84" s="1" t="e">
        <f aca="false">IF(M84&lt;0,INDEX(big_daily_table,MATCH(DATE(O$5,$K84,$J84),daily_dates,0),MATCH($B$3,daily_items,0)),NA())</f>
        <v>#N/A</v>
      </c>
      <c r="P84" s="1" t="e">
        <f aca="false">IF(ISBLANK(INDEX(big_daily_table,MATCH(DATE(P$5,$K84,$J84),daily_dates,0),MATCH($B$3,daily_items,0))),NA(),INDEX(big_daily_table,MATCH(DATE(P$5,$K84,$J84),daily_dates,0),MATCH($B$3,daily_items,0)))</f>
        <v>#N/A</v>
      </c>
      <c r="Q84" s="1" t="e">
        <f aca="false">IF(ISBLANK(INDEX(big_daily_table,MATCH(DATE(Q$5,$K84,$J84),daily_dates,0),MATCH($B$3,daily_items,0))),NA(),INDEX(big_daily_table,MATCH(DATE(Q$5,$K84,$J84),daily_dates,0),MATCH($B$3,daily_items,0)))</f>
        <v>#N/A</v>
      </c>
      <c r="R84" s="1" t="e">
        <f aca="false">IF(ISBLANK(INDEX(big_daily_table,MATCH(DATE(R$5,$K84,$J84),daily_dates,0),MATCH($B$3,daily_items,0))),NA(),INDEX(big_daily_table,MATCH(DATE(R$5,$K84,$J84),daily_dates,0),MATCH($B$3,daily_items,0)))</f>
        <v>#N/A</v>
      </c>
      <c r="S84" s="1" t="e">
        <f aca="false">IF(ISBLANK(INDEX(big_daily_table,MATCH(DATE(S$5,$K84,$J84),daily_dates,0),MATCH($B$3,daily_items,0))),NA(),INDEX(big_daily_table,MATCH(DATE(S$5,$K84,$J84),daily_dates,0),MATCH($B$3,daily_items,0)))</f>
        <v>#N/A</v>
      </c>
      <c r="T84" s="1" t="e">
        <f aca="false">IF(ISBLANK(INDEX(big_daily_table,MATCH(DATE(T$5,$K84,$J84),daily_dates,0),MATCH($B$3,daily_items,0))),NA(),INDEX(big_daily_table,MATCH(DATE(T$5,$K84,$J84),daily_dates,0),MATCH($B$3,daily_items,0)))</f>
        <v>#N/A</v>
      </c>
      <c r="U84" s="1" t="e">
        <f aca="false">IF(ISBLANK(INDEX(big_daily_table,MATCH(DATE(U$5,$K84,$J84),daily_dates,0),MATCH($B$3,daily_items,0))),NA(),INDEX(big_daily_table,MATCH(DATE(U$5,$K84,$J84),daily_dates,0),MATCH($B$3,daily_items,0)))</f>
        <v>#N/A</v>
      </c>
      <c r="V84" s="1" t="e">
        <f aca="false">IF(ISBLANK(INDEX(big_daily_table,MATCH(DATE(V$5,$K84,$J84),daily_dates,0),MATCH($B$3,daily_items,0))),NA(),INDEX(big_daily_table,MATCH(DATE(V$5,$K84,$J84),daily_dates,0),MATCH($B$3,daily_items,0)))</f>
        <v>#N/A</v>
      </c>
      <c r="W84" s="1" t="e">
        <f aca="false">IF(ISBLANK(INDEX(big_daily_table,MATCH(DATE(W$5,$K84,$J84),daily_dates,0),MATCH($B$3,daily_items,0))),NA(),INDEX(big_daily_table,MATCH(DATE(W$5,$K84,$J84),daily_dates,0),MATCH($B$3,daily_items,0)))</f>
        <v>#N/A</v>
      </c>
      <c r="X84" s="1" t="e">
        <f aca="false">IF(ISBLANK(INDEX(big_daily_table,MATCH(DATE(X$5,$K84,$J84),daily_dates,0),MATCH($B$3,daily_items,0))),NA(),INDEX(big_daily_table,MATCH(DATE(X$5,$K84,$J84),daily_dates,0),MATCH($B$3,daily_items,0)))</f>
        <v>#N/A</v>
      </c>
      <c r="Y84" s="1" t="e">
        <f aca="false">IF(ISBLANK(INDEX(big_daily_table,MATCH(DATE(Y$5,$K84,$J84),daily_dates,0),MATCH($B$3,daily_items,0))),NA(),INDEX(big_daily_table,MATCH(DATE(Y$5,$K84,$J84),daily_dates,0),MATCH($B$3,daily_items,0)))</f>
        <v>#N/A</v>
      </c>
      <c r="Z84" s="1" t="e">
        <f aca="false">IF(ISBLANK(INDEX(big_daily_table,MATCH(DATE(Z$5,$K84,$J84),daily_dates,0),MATCH($B$3,daily_items,0))),NA(),INDEX(big_daily_table,MATCH(DATE(Z$5,$K84,$J84),daily_dates,0),MATCH($B$3,daily_items,0)))</f>
        <v>#N/A</v>
      </c>
      <c r="AA84" s="1" t="n">
        <f aca="true">_xlfn.AGGREGATE(5,6,OFFSET($S$5,H84,0,1,$K$2))</f>
        <v>0</v>
      </c>
      <c r="AB84" s="1" t="n">
        <f aca="true">_xlfn.AGGREGATE(4,6,OFFSET($S$5,H84,0,1,$K$2))</f>
        <v>0</v>
      </c>
      <c r="AC84" s="1" t="n">
        <f aca="false">AB84-AA84</f>
        <v>0</v>
      </c>
      <c r="AD84" s="1" t="e">
        <f aca="true">_xlfn.AGGREGATE(1,6,OFFSET($S$5,H84,0,1,$K$2))</f>
        <v>#DIV/0!</v>
      </c>
    </row>
    <row r="85" customFormat="false" ht="14.25" hidden="false" customHeight="false" outlineLevel="0" collapsed="false">
      <c r="H85" s="1" t="n">
        <f aca="false">H84+1</f>
        <v>80</v>
      </c>
      <c r="I85" s="1" t="n">
        <f aca="false">WEEKDAY('daily graphs'!K85)</f>
        <v>2</v>
      </c>
      <c r="J85" s="1" t="n">
        <f aca="false">DAY(L85)</f>
        <v>18</v>
      </c>
      <c r="K85" s="1" t="n">
        <f aca="false">MONTH(L85)</f>
        <v>3</v>
      </c>
      <c r="L85" s="23" t="n">
        <f aca="false">'daily graphs'!K85 - I85</f>
        <v>36603</v>
      </c>
      <c r="M85" s="24" t="n">
        <f aca="true">IF(TODAY()&lt;DATE($O$5,K85,J85),1000000,-1000000)</f>
        <v>-1000000</v>
      </c>
      <c r="N85" s="24" t="e">
        <f aca="false">IF(M85&gt;0,INDEX(big_daily_table,MATCH(DATE(O$5,$K85,$J85),daily_dates,0),MATCH($B$3,daily_items,0)),NA())</f>
        <v>#N/A</v>
      </c>
      <c r="O85" s="1" t="e">
        <f aca="false">IF(M85&lt;0,INDEX(big_daily_table,MATCH(DATE(O$5,$K85,$J85),daily_dates,0),MATCH($B$3,daily_items,0)),NA())</f>
        <v>#N/A</v>
      </c>
      <c r="P85" s="1" t="e">
        <f aca="false">IF(ISBLANK(INDEX(big_daily_table,MATCH(DATE(P$5,$K85,$J85),daily_dates,0),MATCH($B$3,daily_items,0))),NA(),INDEX(big_daily_table,MATCH(DATE(P$5,$K85,$J85),daily_dates,0),MATCH($B$3,daily_items,0)))</f>
        <v>#N/A</v>
      </c>
      <c r="Q85" s="1" t="e">
        <f aca="false">IF(ISBLANK(INDEX(big_daily_table,MATCH(DATE(Q$5,$K85,$J85),daily_dates,0),MATCH($B$3,daily_items,0))),NA(),INDEX(big_daily_table,MATCH(DATE(Q$5,$K85,$J85),daily_dates,0),MATCH($B$3,daily_items,0)))</f>
        <v>#N/A</v>
      </c>
      <c r="R85" s="1" t="e">
        <f aca="false">IF(ISBLANK(INDEX(big_daily_table,MATCH(DATE(R$5,$K85,$J85),daily_dates,0),MATCH($B$3,daily_items,0))),NA(),INDEX(big_daily_table,MATCH(DATE(R$5,$K85,$J85),daily_dates,0),MATCH($B$3,daily_items,0)))</f>
        <v>#N/A</v>
      </c>
      <c r="S85" s="1" t="e">
        <f aca="false">IF(ISBLANK(INDEX(big_daily_table,MATCH(DATE(S$5,$K85,$J85),daily_dates,0),MATCH($B$3,daily_items,0))),NA(),INDEX(big_daily_table,MATCH(DATE(S$5,$K85,$J85),daily_dates,0),MATCH($B$3,daily_items,0)))</f>
        <v>#N/A</v>
      </c>
      <c r="T85" s="1" t="e">
        <f aca="false">IF(ISBLANK(INDEX(big_daily_table,MATCH(DATE(T$5,$K85,$J85),daily_dates,0),MATCH($B$3,daily_items,0))),NA(),INDEX(big_daily_table,MATCH(DATE(T$5,$K85,$J85),daily_dates,0),MATCH($B$3,daily_items,0)))</f>
        <v>#N/A</v>
      </c>
      <c r="U85" s="1" t="e">
        <f aca="false">IF(ISBLANK(INDEX(big_daily_table,MATCH(DATE(U$5,$K85,$J85),daily_dates,0),MATCH($B$3,daily_items,0))),NA(),INDEX(big_daily_table,MATCH(DATE(U$5,$K85,$J85),daily_dates,0),MATCH($B$3,daily_items,0)))</f>
        <v>#N/A</v>
      </c>
      <c r="V85" s="1" t="e">
        <f aca="false">IF(ISBLANK(INDEX(big_daily_table,MATCH(DATE(V$5,$K85,$J85),daily_dates,0),MATCH($B$3,daily_items,0))),NA(),INDEX(big_daily_table,MATCH(DATE(V$5,$K85,$J85),daily_dates,0),MATCH($B$3,daily_items,0)))</f>
        <v>#N/A</v>
      </c>
      <c r="W85" s="1" t="e">
        <f aca="false">IF(ISBLANK(INDEX(big_daily_table,MATCH(DATE(W$5,$K85,$J85),daily_dates,0),MATCH($B$3,daily_items,0))),NA(),INDEX(big_daily_table,MATCH(DATE(W$5,$K85,$J85),daily_dates,0),MATCH($B$3,daily_items,0)))</f>
        <v>#N/A</v>
      </c>
      <c r="X85" s="1" t="e">
        <f aca="false">IF(ISBLANK(INDEX(big_daily_table,MATCH(DATE(X$5,$K85,$J85),daily_dates,0),MATCH($B$3,daily_items,0))),NA(),INDEX(big_daily_table,MATCH(DATE(X$5,$K85,$J85),daily_dates,0),MATCH($B$3,daily_items,0)))</f>
        <v>#N/A</v>
      </c>
      <c r="Y85" s="1" t="e">
        <f aca="false">IF(ISBLANK(INDEX(big_daily_table,MATCH(DATE(Y$5,$K85,$J85),daily_dates,0),MATCH($B$3,daily_items,0))),NA(),INDEX(big_daily_table,MATCH(DATE(Y$5,$K85,$J85),daily_dates,0),MATCH($B$3,daily_items,0)))</f>
        <v>#N/A</v>
      </c>
      <c r="Z85" s="1" t="e">
        <f aca="false">IF(ISBLANK(INDEX(big_daily_table,MATCH(DATE(Z$5,$K85,$J85),daily_dates,0),MATCH($B$3,daily_items,0))),NA(),INDEX(big_daily_table,MATCH(DATE(Z$5,$K85,$J85),daily_dates,0),MATCH($B$3,daily_items,0)))</f>
        <v>#N/A</v>
      </c>
      <c r="AA85" s="1" t="n">
        <f aca="true">_xlfn.AGGREGATE(5,6,OFFSET($S$5,H85,0,1,$K$2))</f>
        <v>0</v>
      </c>
      <c r="AB85" s="1" t="n">
        <f aca="true">_xlfn.AGGREGATE(4,6,OFFSET($S$5,H85,0,1,$K$2))</f>
        <v>0</v>
      </c>
      <c r="AC85" s="1" t="n">
        <f aca="false">AB85-AA85</f>
        <v>0</v>
      </c>
      <c r="AD85" s="1" t="e">
        <f aca="true">_xlfn.AGGREGATE(1,6,OFFSET($S$5,H85,0,1,$K$2))</f>
        <v>#DIV/0!</v>
      </c>
    </row>
    <row r="86" customFormat="false" ht="14.25" hidden="false" customHeight="false" outlineLevel="0" collapsed="false">
      <c r="H86" s="1" t="n">
        <f aca="false">H85+1</f>
        <v>81</v>
      </c>
      <c r="I86" s="1" t="n">
        <f aca="false">WEEKDAY('daily graphs'!K86)</f>
        <v>3</v>
      </c>
      <c r="J86" s="1" t="n">
        <f aca="false">DAY(L86)</f>
        <v>18</v>
      </c>
      <c r="K86" s="1" t="n">
        <f aca="false">MONTH(L86)</f>
        <v>3</v>
      </c>
      <c r="L86" s="23" t="n">
        <f aca="false">'daily graphs'!K86 - I86</f>
        <v>36603</v>
      </c>
      <c r="M86" s="24" t="n">
        <f aca="true">IF(TODAY()&lt;DATE($O$5,K86,J86),1000000,-1000000)</f>
        <v>-1000000</v>
      </c>
      <c r="N86" s="24" t="e">
        <f aca="false">IF(M86&gt;0,INDEX(big_daily_table,MATCH(DATE(O$5,$K86,$J86),daily_dates,0),MATCH($B$3,daily_items,0)),NA())</f>
        <v>#N/A</v>
      </c>
      <c r="O86" s="1" t="e">
        <f aca="false">IF(M86&lt;0,INDEX(big_daily_table,MATCH(DATE(O$5,$K86,$J86),daily_dates,0),MATCH($B$3,daily_items,0)),NA())</f>
        <v>#N/A</v>
      </c>
      <c r="P86" s="1" t="e">
        <f aca="false">IF(ISBLANK(INDEX(big_daily_table,MATCH(DATE(P$5,$K86,$J86),daily_dates,0),MATCH($B$3,daily_items,0))),NA(),INDEX(big_daily_table,MATCH(DATE(P$5,$K86,$J86),daily_dates,0),MATCH($B$3,daily_items,0)))</f>
        <v>#N/A</v>
      </c>
      <c r="Q86" s="1" t="e">
        <f aca="false">IF(ISBLANK(INDEX(big_daily_table,MATCH(DATE(Q$5,$K86,$J86),daily_dates,0),MATCH($B$3,daily_items,0))),NA(),INDEX(big_daily_table,MATCH(DATE(Q$5,$K86,$J86),daily_dates,0),MATCH($B$3,daily_items,0)))</f>
        <v>#N/A</v>
      </c>
      <c r="R86" s="1" t="e">
        <f aca="false">IF(ISBLANK(INDEX(big_daily_table,MATCH(DATE(R$5,$K86,$J86),daily_dates,0),MATCH($B$3,daily_items,0))),NA(),INDEX(big_daily_table,MATCH(DATE(R$5,$K86,$J86),daily_dates,0),MATCH($B$3,daily_items,0)))</f>
        <v>#N/A</v>
      </c>
      <c r="S86" s="1" t="e">
        <f aca="false">IF(ISBLANK(INDEX(big_daily_table,MATCH(DATE(S$5,$K86,$J86),daily_dates,0),MATCH($B$3,daily_items,0))),NA(),INDEX(big_daily_table,MATCH(DATE(S$5,$K86,$J86),daily_dates,0),MATCH($B$3,daily_items,0)))</f>
        <v>#N/A</v>
      </c>
      <c r="T86" s="1" t="e">
        <f aca="false">IF(ISBLANK(INDEX(big_daily_table,MATCH(DATE(T$5,$K86,$J86),daily_dates,0),MATCH($B$3,daily_items,0))),NA(),INDEX(big_daily_table,MATCH(DATE(T$5,$K86,$J86),daily_dates,0),MATCH($B$3,daily_items,0)))</f>
        <v>#N/A</v>
      </c>
      <c r="U86" s="1" t="e">
        <f aca="false">IF(ISBLANK(INDEX(big_daily_table,MATCH(DATE(U$5,$K86,$J86),daily_dates,0),MATCH($B$3,daily_items,0))),NA(),INDEX(big_daily_table,MATCH(DATE(U$5,$K86,$J86),daily_dates,0),MATCH($B$3,daily_items,0)))</f>
        <v>#N/A</v>
      </c>
      <c r="V86" s="1" t="e">
        <f aca="false">IF(ISBLANK(INDEX(big_daily_table,MATCH(DATE(V$5,$K86,$J86),daily_dates,0),MATCH($B$3,daily_items,0))),NA(),INDEX(big_daily_table,MATCH(DATE(V$5,$K86,$J86),daily_dates,0),MATCH($B$3,daily_items,0)))</f>
        <v>#N/A</v>
      </c>
      <c r="W86" s="1" t="e">
        <f aca="false">IF(ISBLANK(INDEX(big_daily_table,MATCH(DATE(W$5,$K86,$J86),daily_dates,0),MATCH($B$3,daily_items,0))),NA(),INDEX(big_daily_table,MATCH(DATE(W$5,$K86,$J86),daily_dates,0),MATCH($B$3,daily_items,0)))</f>
        <v>#N/A</v>
      </c>
      <c r="X86" s="1" t="e">
        <f aca="false">IF(ISBLANK(INDEX(big_daily_table,MATCH(DATE(X$5,$K86,$J86),daily_dates,0),MATCH($B$3,daily_items,0))),NA(),INDEX(big_daily_table,MATCH(DATE(X$5,$K86,$J86),daily_dates,0),MATCH($B$3,daily_items,0)))</f>
        <v>#N/A</v>
      </c>
      <c r="Y86" s="1" t="e">
        <f aca="false">IF(ISBLANK(INDEX(big_daily_table,MATCH(DATE(Y$5,$K86,$J86),daily_dates,0),MATCH($B$3,daily_items,0))),NA(),INDEX(big_daily_table,MATCH(DATE(Y$5,$K86,$J86),daily_dates,0),MATCH($B$3,daily_items,0)))</f>
        <v>#N/A</v>
      </c>
      <c r="Z86" s="1" t="e">
        <f aca="false">IF(ISBLANK(INDEX(big_daily_table,MATCH(DATE(Z$5,$K86,$J86),daily_dates,0),MATCH($B$3,daily_items,0))),NA(),INDEX(big_daily_table,MATCH(DATE(Z$5,$K86,$J86),daily_dates,0),MATCH($B$3,daily_items,0)))</f>
        <v>#N/A</v>
      </c>
      <c r="AA86" s="1" t="n">
        <f aca="true">_xlfn.AGGREGATE(5,6,OFFSET($S$5,H86,0,1,$K$2))</f>
        <v>0</v>
      </c>
      <c r="AB86" s="1" t="n">
        <f aca="true">_xlfn.AGGREGATE(4,6,OFFSET($S$5,H86,0,1,$K$2))</f>
        <v>0</v>
      </c>
      <c r="AC86" s="1" t="n">
        <f aca="false">AB86-AA86</f>
        <v>0</v>
      </c>
      <c r="AD86" s="1" t="e">
        <f aca="true">_xlfn.AGGREGATE(1,6,OFFSET($S$5,H86,0,1,$K$2))</f>
        <v>#DIV/0!</v>
      </c>
    </row>
    <row r="87" customFormat="false" ht="14.25" hidden="false" customHeight="false" outlineLevel="0" collapsed="false">
      <c r="H87" s="1" t="n">
        <f aca="false">H86+1</f>
        <v>82</v>
      </c>
      <c r="I87" s="1" t="n">
        <f aca="false">WEEKDAY('daily graphs'!K87)</f>
        <v>4</v>
      </c>
      <c r="J87" s="1" t="n">
        <f aca="false">DAY(L87)</f>
        <v>18</v>
      </c>
      <c r="K87" s="1" t="n">
        <f aca="false">MONTH(L87)</f>
        <v>3</v>
      </c>
      <c r="L87" s="23" t="n">
        <f aca="false">'daily graphs'!K87 - I87</f>
        <v>36603</v>
      </c>
      <c r="M87" s="24" t="n">
        <f aca="true">IF(TODAY()&lt;DATE($O$5,K87,J87),1000000,-1000000)</f>
        <v>-1000000</v>
      </c>
      <c r="N87" s="24" t="e">
        <f aca="false">IF(M87&gt;0,INDEX(big_daily_table,MATCH(DATE(O$5,$K87,$J87),daily_dates,0),MATCH($B$3,daily_items,0)),NA())</f>
        <v>#N/A</v>
      </c>
      <c r="O87" s="1" t="e">
        <f aca="false">IF(M87&lt;0,INDEX(big_daily_table,MATCH(DATE(O$5,$K87,$J87),daily_dates,0),MATCH($B$3,daily_items,0)),NA())</f>
        <v>#N/A</v>
      </c>
      <c r="P87" s="1" t="e">
        <f aca="false">IF(ISBLANK(INDEX(big_daily_table,MATCH(DATE(P$5,$K87,$J87),daily_dates,0),MATCH($B$3,daily_items,0))),NA(),INDEX(big_daily_table,MATCH(DATE(P$5,$K87,$J87),daily_dates,0),MATCH($B$3,daily_items,0)))</f>
        <v>#N/A</v>
      </c>
      <c r="Q87" s="1" t="e">
        <f aca="false">IF(ISBLANK(INDEX(big_daily_table,MATCH(DATE(Q$5,$K87,$J87),daily_dates,0),MATCH($B$3,daily_items,0))),NA(),INDEX(big_daily_table,MATCH(DATE(Q$5,$K87,$J87),daily_dates,0),MATCH($B$3,daily_items,0)))</f>
        <v>#N/A</v>
      </c>
      <c r="R87" s="1" t="e">
        <f aca="false">IF(ISBLANK(INDEX(big_daily_table,MATCH(DATE(R$5,$K87,$J87),daily_dates,0),MATCH($B$3,daily_items,0))),NA(),INDEX(big_daily_table,MATCH(DATE(R$5,$K87,$J87),daily_dates,0),MATCH($B$3,daily_items,0)))</f>
        <v>#N/A</v>
      </c>
      <c r="S87" s="1" t="e">
        <f aca="false">IF(ISBLANK(INDEX(big_daily_table,MATCH(DATE(S$5,$K87,$J87),daily_dates,0),MATCH($B$3,daily_items,0))),NA(),INDEX(big_daily_table,MATCH(DATE(S$5,$K87,$J87),daily_dates,0),MATCH($B$3,daily_items,0)))</f>
        <v>#N/A</v>
      </c>
      <c r="T87" s="1" t="e">
        <f aca="false">IF(ISBLANK(INDEX(big_daily_table,MATCH(DATE(T$5,$K87,$J87),daily_dates,0),MATCH($B$3,daily_items,0))),NA(),INDEX(big_daily_table,MATCH(DATE(T$5,$K87,$J87),daily_dates,0),MATCH($B$3,daily_items,0)))</f>
        <v>#N/A</v>
      </c>
      <c r="U87" s="1" t="e">
        <f aca="false">IF(ISBLANK(INDEX(big_daily_table,MATCH(DATE(U$5,$K87,$J87),daily_dates,0),MATCH($B$3,daily_items,0))),NA(),INDEX(big_daily_table,MATCH(DATE(U$5,$K87,$J87),daily_dates,0),MATCH($B$3,daily_items,0)))</f>
        <v>#N/A</v>
      </c>
      <c r="V87" s="1" t="e">
        <f aca="false">IF(ISBLANK(INDEX(big_daily_table,MATCH(DATE(V$5,$K87,$J87),daily_dates,0),MATCH($B$3,daily_items,0))),NA(),INDEX(big_daily_table,MATCH(DATE(V$5,$K87,$J87),daily_dates,0),MATCH($B$3,daily_items,0)))</f>
        <v>#N/A</v>
      </c>
      <c r="W87" s="1" t="e">
        <f aca="false">IF(ISBLANK(INDEX(big_daily_table,MATCH(DATE(W$5,$K87,$J87),daily_dates,0),MATCH($B$3,daily_items,0))),NA(),INDEX(big_daily_table,MATCH(DATE(W$5,$K87,$J87),daily_dates,0),MATCH($B$3,daily_items,0)))</f>
        <v>#N/A</v>
      </c>
      <c r="X87" s="1" t="e">
        <f aca="false">IF(ISBLANK(INDEX(big_daily_table,MATCH(DATE(X$5,$K87,$J87),daily_dates,0),MATCH($B$3,daily_items,0))),NA(),INDEX(big_daily_table,MATCH(DATE(X$5,$K87,$J87),daily_dates,0),MATCH($B$3,daily_items,0)))</f>
        <v>#N/A</v>
      </c>
      <c r="Y87" s="1" t="e">
        <f aca="false">IF(ISBLANK(INDEX(big_daily_table,MATCH(DATE(Y$5,$K87,$J87),daily_dates,0),MATCH($B$3,daily_items,0))),NA(),INDEX(big_daily_table,MATCH(DATE(Y$5,$K87,$J87),daily_dates,0),MATCH($B$3,daily_items,0)))</f>
        <v>#N/A</v>
      </c>
      <c r="Z87" s="1" t="e">
        <f aca="false">IF(ISBLANK(INDEX(big_daily_table,MATCH(DATE(Z$5,$K87,$J87),daily_dates,0),MATCH($B$3,daily_items,0))),NA(),INDEX(big_daily_table,MATCH(DATE(Z$5,$K87,$J87),daily_dates,0),MATCH($B$3,daily_items,0)))</f>
        <v>#N/A</v>
      </c>
      <c r="AA87" s="1" t="n">
        <f aca="true">_xlfn.AGGREGATE(5,6,OFFSET($S$5,H87,0,1,$K$2))</f>
        <v>0</v>
      </c>
      <c r="AB87" s="1" t="n">
        <f aca="true">_xlfn.AGGREGATE(4,6,OFFSET($S$5,H87,0,1,$K$2))</f>
        <v>0</v>
      </c>
      <c r="AC87" s="1" t="n">
        <f aca="false">AB87-AA87</f>
        <v>0</v>
      </c>
      <c r="AD87" s="1" t="e">
        <f aca="true">_xlfn.AGGREGATE(1,6,OFFSET($S$5,H87,0,1,$K$2))</f>
        <v>#DIV/0!</v>
      </c>
    </row>
    <row r="88" customFormat="false" ht="14.25" hidden="false" customHeight="false" outlineLevel="0" collapsed="false">
      <c r="H88" s="1" t="n">
        <f aca="false">H87+1</f>
        <v>83</v>
      </c>
      <c r="I88" s="1" t="n">
        <f aca="false">WEEKDAY('daily graphs'!K88)</f>
        <v>5</v>
      </c>
      <c r="J88" s="1" t="n">
        <f aca="false">DAY(L88)</f>
        <v>18</v>
      </c>
      <c r="K88" s="1" t="n">
        <f aca="false">MONTH(L88)</f>
        <v>3</v>
      </c>
      <c r="L88" s="23" t="n">
        <f aca="false">'daily graphs'!K88 - I88</f>
        <v>36603</v>
      </c>
      <c r="M88" s="24" t="n">
        <f aca="true">IF(TODAY()&lt;DATE($O$5,K88,J88),1000000,-1000000)</f>
        <v>-1000000</v>
      </c>
      <c r="N88" s="24" t="e">
        <f aca="false">IF(M88&gt;0,INDEX(big_daily_table,MATCH(DATE(O$5,$K88,$J88),daily_dates,0),MATCH($B$3,daily_items,0)),NA())</f>
        <v>#N/A</v>
      </c>
      <c r="O88" s="1" t="e">
        <f aca="false">IF(M88&lt;0,INDEX(big_daily_table,MATCH(DATE(O$5,$K88,$J88),daily_dates,0),MATCH($B$3,daily_items,0)),NA())</f>
        <v>#N/A</v>
      </c>
      <c r="P88" s="1" t="e">
        <f aca="false">IF(ISBLANK(INDEX(big_daily_table,MATCH(DATE(P$5,$K88,$J88),daily_dates,0),MATCH($B$3,daily_items,0))),NA(),INDEX(big_daily_table,MATCH(DATE(P$5,$K88,$J88),daily_dates,0),MATCH($B$3,daily_items,0)))</f>
        <v>#N/A</v>
      </c>
      <c r="Q88" s="1" t="e">
        <f aca="false">IF(ISBLANK(INDEX(big_daily_table,MATCH(DATE(Q$5,$K88,$J88),daily_dates,0),MATCH($B$3,daily_items,0))),NA(),INDEX(big_daily_table,MATCH(DATE(Q$5,$K88,$J88),daily_dates,0),MATCH($B$3,daily_items,0)))</f>
        <v>#N/A</v>
      </c>
      <c r="R88" s="1" t="e">
        <f aca="false">IF(ISBLANK(INDEX(big_daily_table,MATCH(DATE(R$5,$K88,$J88),daily_dates,0),MATCH($B$3,daily_items,0))),NA(),INDEX(big_daily_table,MATCH(DATE(R$5,$K88,$J88),daily_dates,0),MATCH($B$3,daily_items,0)))</f>
        <v>#N/A</v>
      </c>
      <c r="S88" s="1" t="e">
        <f aca="false">IF(ISBLANK(INDEX(big_daily_table,MATCH(DATE(S$5,$K88,$J88),daily_dates,0),MATCH($B$3,daily_items,0))),NA(),INDEX(big_daily_table,MATCH(DATE(S$5,$K88,$J88),daily_dates,0),MATCH($B$3,daily_items,0)))</f>
        <v>#N/A</v>
      </c>
      <c r="T88" s="1" t="e">
        <f aca="false">IF(ISBLANK(INDEX(big_daily_table,MATCH(DATE(T$5,$K88,$J88),daily_dates,0),MATCH($B$3,daily_items,0))),NA(),INDEX(big_daily_table,MATCH(DATE(T$5,$K88,$J88),daily_dates,0),MATCH($B$3,daily_items,0)))</f>
        <v>#N/A</v>
      </c>
      <c r="U88" s="1" t="e">
        <f aca="false">IF(ISBLANK(INDEX(big_daily_table,MATCH(DATE(U$5,$K88,$J88),daily_dates,0),MATCH($B$3,daily_items,0))),NA(),INDEX(big_daily_table,MATCH(DATE(U$5,$K88,$J88),daily_dates,0),MATCH($B$3,daily_items,0)))</f>
        <v>#N/A</v>
      </c>
      <c r="V88" s="1" t="e">
        <f aca="false">IF(ISBLANK(INDEX(big_daily_table,MATCH(DATE(V$5,$K88,$J88),daily_dates,0),MATCH($B$3,daily_items,0))),NA(),INDEX(big_daily_table,MATCH(DATE(V$5,$K88,$J88),daily_dates,0),MATCH($B$3,daily_items,0)))</f>
        <v>#N/A</v>
      </c>
      <c r="W88" s="1" t="e">
        <f aca="false">IF(ISBLANK(INDEX(big_daily_table,MATCH(DATE(W$5,$K88,$J88),daily_dates,0),MATCH($B$3,daily_items,0))),NA(),INDEX(big_daily_table,MATCH(DATE(W$5,$K88,$J88),daily_dates,0),MATCH($B$3,daily_items,0)))</f>
        <v>#N/A</v>
      </c>
      <c r="X88" s="1" t="e">
        <f aca="false">IF(ISBLANK(INDEX(big_daily_table,MATCH(DATE(X$5,$K88,$J88),daily_dates,0),MATCH($B$3,daily_items,0))),NA(),INDEX(big_daily_table,MATCH(DATE(X$5,$K88,$J88),daily_dates,0),MATCH($B$3,daily_items,0)))</f>
        <v>#N/A</v>
      </c>
      <c r="Y88" s="1" t="e">
        <f aca="false">IF(ISBLANK(INDEX(big_daily_table,MATCH(DATE(Y$5,$K88,$J88),daily_dates,0),MATCH($B$3,daily_items,0))),NA(),INDEX(big_daily_table,MATCH(DATE(Y$5,$K88,$J88),daily_dates,0),MATCH($B$3,daily_items,0)))</f>
        <v>#N/A</v>
      </c>
      <c r="Z88" s="1" t="e">
        <f aca="false">IF(ISBLANK(INDEX(big_daily_table,MATCH(DATE(Z$5,$K88,$J88),daily_dates,0),MATCH($B$3,daily_items,0))),NA(),INDEX(big_daily_table,MATCH(DATE(Z$5,$K88,$J88),daily_dates,0),MATCH($B$3,daily_items,0)))</f>
        <v>#N/A</v>
      </c>
      <c r="AA88" s="1" t="n">
        <f aca="true">_xlfn.AGGREGATE(5,6,OFFSET($S$5,H88,0,1,$K$2))</f>
        <v>0</v>
      </c>
      <c r="AB88" s="1" t="n">
        <f aca="true">_xlfn.AGGREGATE(4,6,OFFSET($S$5,H88,0,1,$K$2))</f>
        <v>0</v>
      </c>
      <c r="AC88" s="1" t="n">
        <f aca="false">AB88-AA88</f>
        <v>0</v>
      </c>
      <c r="AD88" s="1" t="e">
        <f aca="true">_xlfn.AGGREGATE(1,6,OFFSET($S$5,H88,0,1,$K$2))</f>
        <v>#DIV/0!</v>
      </c>
    </row>
    <row r="89" customFormat="false" ht="14.25" hidden="false" customHeight="false" outlineLevel="0" collapsed="false">
      <c r="H89" s="1" t="n">
        <f aca="false">H88+1</f>
        <v>84</v>
      </c>
      <c r="I89" s="1" t="n">
        <f aca="false">WEEKDAY('daily graphs'!K89)</f>
        <v>6</v>
      </c>
      <c r="J89" s="1" t="n">
        <f aca="false">DAY(L89)</f>
        <v>18</v>
      </c>
      <c r="K89" s="1" t="n">
        <f aca="false">MONTH(L89)</f>
        <v>3</v>
      </c>
      <c r="L89" s="23" t="n">
        <f aca="false">'daily graphs'!K89 - I89</f>
        <v>36603</v>
      </c>
      <c r="M89" s="24" t="n">
        <f aca="true">IF(TODAY()&lt;DATE($O$5,K89,J89),1000000,-1000000)</f>
        <v>-1000000</v>
      </c>
      <c r="N89" s="24" t="e">
        <f aca="false">IF(M89&gt;0,INDEX(big_daily_table,MATCH(DATE(O$5,$K89,$J89),daily_dates,0),MATCH($B$3,daily_items,0)),NA())</f>
        <v>#N/A</v>
      </c>
      <c r="O89" s="1" t="e">
        <f aca="false">IF(M89&lt;0,INDEX(big_daily_table,MATCH(DATE(O$5,$K89,$J89),daily_dates,0),MATCH($B$3,daily_items,0)),NA())</f>
        <v>#N/A</v>
      </c>
      <c r="P89" s="1" t="e">
        <f aca="false">IF(ISBLANK(INDEX(big_daily_table,MATCH(DATE(P$5,$K89,$J89),daily_dates,0),MATCH($B$3,daily_items,0))),NA(),INDEX(big_daily_table,MATCH(DATE(P$5,$K89,$J89),daily_dates,0),MATCH($B$3,daily_items,0)))</f>
        <v>#N/A</v>
      </c>
      <c r="Q89" s="1" t="e">
        <f aca="false">IF(ISBLANK(INDEX(big_daily_table,MATCH(DATE(Q$5,$K89,$J89),daily_dates,0),MATCH($B$3,daily_items,0))),NA(),INDEX(big_daily_table,MATCH(DATE(Q$5,$K89,$J89),daily_dates,0),MATCH($B$3,daily_items,0)))</f>
        <v>#N/A</v>
      </c>
      <c r="R89" s="1" t="e">
        <f aca="false">IF(ISBLANK(INDEX(big_daily_table,MATCH(DATE(R$5,$K89,$J89),daily_dates,0),MATCH($B$3,daily_items,0))),NA(),INDEX(big_daily_table,MATCH(DATE(R$5,$K89,$J89),daily_dates,0),MATCH($B$3,daily_items,0)))</f>
        <v>#N/A</v>
      </c>
      <c r="S89" s="1" t="e">
        <f aca="false">IF(ISBLANK(INDEX(big_daily_table,MATCH(DATE(S$5,$K89,$J89),daily_dates,0),MATCH($B$3,daily_items,0))),NA(),INDEX(big_daily_table,MATCH(DATE(S$5,$K89,$J89),daily_dates,0),MATCH($B$3,daily_items,0)))</f>
        <v>#N/A</v>
      </c>
      <c r="T89" s="1" t="e">
        <f aca="false">IF(ISBLANK(INDEX(big_daily_table,MATCH(DATE(T$5,$K89,$J89),daily_dates,0),MATCH($B$3,daily_items,0))),NA(),INDEX(big_daily_table,MATCH(DATE(T$5,$K89,$J89),daily_dates,0),MATCH($B$3,daily_items,0)))</f>
        <v>#N/A</v>
      </c>
      <c r="U89" s="1" t="e">
        <f aca="false">IF(ISBLANK(INDEX(big_daily_table,MATCH(DATE(U$5,$K89,$J89),daily_dates,0),MATCH($B$3,daily_items,0))),NA(),INDEX(big_daily_table,MATCH(DATE(U$5,$K89,$J89),daily_dates,0),MATCH($B$3,daily_items,0)))</f>
        <v>#N/A</v>
      </c>
      <c r="V89" s="1" t="e">
        <f aca="false">IF(ISBLANK(INDEX(big_daily_table,MATCH(DATE(V$5,$K89,$J89),daily_dates,0),MATCH($B$3,daily_items,0))),NA(),INDEX(big_daily_table,MATCH(DATE(V$5,$K89,$J89),daily_dates,0),MATCH($B$3,daily_items,0)))</f>
        <v>#N/A</v>
      </c>
      <c r="W89" s="1" t="e">
        <f aca="false">IF(ISBLANK(INDEX(big_daily_table,MATCH(DATE(W$5,$K89,$J89),daily_dates,0),MATCH($B$3,daily_items,0))),NA(),INDEX(big_daily_table,MATCH(DATE(W$5,$K89,$J89),daily_dates,0),MATCH($B$3,daily_items,0)))</f>
        <v>#N/A</v>
      </c>
      <c r="X89" s="1" t="e">
        <f aca="false">IF(ISBLANK(INDEX(big_daily_table,MATCH(DATE(X$5,$K89,$J89),daily_dates,0),MATCH($B$3,daily_items,0))),NA(),INDEX(big_daily_table,MATCH(DATE(X$5,$K89,$J89),daily_dates,0),MATCH($B$3,daily_items,0)))</f>
        <v>#N/A</v>
      </c>
      <c r="Y89" s="1" t="e">
        <f aca="false">IF(ISBLANK(INDEX(big_daily_table,MATCH(DATE(Y$5,$K89,$J89),daily_dates,0),MATCH($B$3,daily_items,0))),NA(),INDEX(big_daily_table,MATCH(DATE(Y$5,$K89,$J89),daily_dates,0),MATCH($B$3,daily_items,0)))</f>
        <v>#N/A</v>
      </c>
      <c r="Z89" s="1" t="e">
        <f aca="false">IF(ISBLANK(INDEX(big_daily_table,MATCH(DATE(Z$5,$K89,$J89),daily_dates,0),MATCH($B$3,daily_items,0))),NA(),INDEX(big_daily_table,MATCH(DATE(Z$5,$K89,$J89),daily_dates,0),MATCH($B$3,daily_items,0)))</f>
        <v>#N/A</v>
      </c>
      <c r="AA89" s="1" t="n">
        <f aca="true">_xlfn.AGGREGATE(5,6,OFFSET($S$5,H89,0,1,$K$2))</f>
        <v>0</v>
      </c>
      <c r="AB89" s="1" t="n">
        <f aca="true">_xlfn.AGGREGATE(4,6,OFFSET($S$5,H89,0,1,$K$2))</f>
        <v>0</v>
      </c>
      <c r="AC89" s="1" t="n">
        <f aca="false">AB89-AA89</f>
        <v>0</v>
      </c>
      <c r="AD89" s="1" t="e">
        <f aca="true">_xlfn.AGGREGATE(1,6,OFFSET($S$5,H89,0,1,$K$2))</f>
        <v>#DIV/0!</v>
      </c>
    </row>
    <row r="90" customFormat="false" ht="14.25" hidden="false" customHeight="false" outlineLevel="0" collapsed="false">
      <c r="H90" s="1" t="n">
        <f aca="false">H89+1</f>
        <v>85</v>
      </c>
      <c r="I90" s="1" t="n">
        <f aca="false">WEEKDAY('daily graphs'!K90)</f>
        <v>7</v>
      </c>
      <c r="J90" s="1" t="n">
        <f aca="false">DAY(L90)</f>
        <v>18</v>
      </c>
      <c r="K90" s="1" t="n">
        <f aca="false">MONTH(L90)</f>
        <v>3</v>
      </c>
      <c r="L90" s="23" t="n">
        <f aca="false">'daily graphs'!K90 - I90</f>
        <v>36603</v>
      </c>
      <c r="M90" s="24" t="n">
        <f aca="true">IF(TODAY()&lt;DATE($O$5,K90,J90),1000000,-1000000)</f>
        <v>-1000000</v>
      </c>
      <c r="N90" s="24" t="e">
        <f aca="false">IF(M90&gt;0,INDEX(big_daily_table,MATCH(DATE(O$5,$K90,$J90),daily_dates,0),MATCH($B$3,daily_items,0)),NA())</f>
        <v>#N/A</v>
      </c>
      <c r="O90" s="1" t="e">
        <f aca="false">IF(M90&lt;0,INDEX(big_daily_table,MATCH(DATE(O$5,$K90,$J90),daily_dates,0),MATCH($B$3,daily_items,0)),NA())</f>
        <v>#N/A</v>
      </c>
      <c r="P90" s="1" t="e">
        <f aca="false">IF(ISBLANK(INDEX(big_daily_table,MATCH(DATE(P$5,$K90,$J90),daily_dates,0),MATCH($B$3,daily_items,0))),NA(),INDEX(big_daily_table,MATCH(DATE(P$5,$K90,$J90),daily_dates,0),MATCH($B$3,daily_items,0)))</f>
        <v>#N/A</v>
      </c>
      <c r="Q90" s="1" t="e">
        <f aca="false">IF(ISBLANK(INDEX(big_daily_table,MATCH(DATE(Q$5,$K90,$J90),daily_dates,0),MATCH($B$3,daily_items,0))),NA(),INDEX(big_daily_table,MATCH(DATE(Q$5,$K90,$J90),daily_dates,0),MATCH($B$3,daily_items,0)))</f>
        <v>#N/A</v>
      </c>
      <c r="R90" s="1" t="e">
        <f aca="false">IF(ISBLANK(INDEX(big_daily_table,MATCH(DATE(R$5,$K90,$J90),daily_dates,0),MATCH($B$3,daily_items,0))),NA(),INDEX(big_daily_table,MATCH(DATE(R$5,$K90,$J90),daily_dates,0),MATCH($B$3,daily_items,0)))</f>
        <v>#N/A</v>
      </c>
      <c r="S90" s="1" t="e">
        <f aca="false">IF(ISBLANK(INDEX(big_daily_table,MATCH(DATE(S$5,$K90,$J90),daily_dates,0),MATCH($B$3,daily_items,0))),NA(),INDEX(big_daily_table,MATCH(DATE(S$5,$K90,$J90),daily_dates,0),MATCH($B$3,daily_items,0)))</f>
        <v>#N/A</v>
      </c>
      <c r="T90" s="1" t="e">
        <f aca="false">IF(ISBLANK(INDEX(big_daily_table,MATCH(DATE(T$5,$K90,$J90),daily_dates,0),MATCH($B$3,daily_items,0))),NA(),INDEX(big_daily_table,MATCH(DATE(T$5,$K90,$J90),daily_dates,0),MATCH($B$3,daily_items,0)))</f>
        <v>#N/A</v>
      </c>
      <c r="U90" s="1" t="e">
        <f aca="false">IF(ISBLANK(INDEX(big_daily_table,MATCH(DATE(U$5,$K90,$J90),daily_dates,0),MATCH($B$3,daily_items,0))),NA(),INDEX(big_daily_table,MATCH(DATE(U$5,$K90,$J90),daily_dates,0),MATCH($B$3,daily_items,0)))</f>
        <v>#N/A</v>
      </c>
      <c r="V90" s="1" t="e">
        <f aca="false">IF(ISBLANK(INDEX(big_daily_table,MATCH(DATE(V$5,$K90,$J90),daily_dates,0),MATCH($B$3,daily_items,0))),NA(),INDEX(big_daily_table,MATCH(DATE(V$5,$K90,$J90),daily_dates,0),MATCH($B$3,daily_items,0)))</f>
        <v>#N/A</v>
      </c>
      <c r="W90" s="1" t="e">
        <f aca="false">IF(ISBLANK(INDEX(big_daily_table,MATCH(DATE(W$5,$K90,$J90),daily_dates,0),MATCH($B$3,daily_items,0))),NA(),INDEX(big_daily_table,MATCH(DATE(W$5,$K90,$J90),daily_dates,0),MATCH($B$3,daily_items,0)))</f>
        <v>#N/A</v>
      </c>
      <c r="X90" s="1" t="e">
        <f aca="false">IF(ISBLANK(INDEX(big_daily_table,MATCH(DATE(X$5,$K90,$J90),daily_dates,0),MATCH($B$3,daily_items,0))),NA(),INDEX(big_daily_table,MATCH(DATE(X$5,$K90,$J90),daily_dates,0),MATCH($B$3,daily_items,0)))</f>
        <v>#N/A</v>
      </c>
      <c r="Y90" s="1" t="e">
        <f aca="false">IF(ISBLANK(INDEX(big_daily_table,MATCH(DATE(Y$5,$K90,$J90),daily_dates,0),MATCH($B$3,daily_items,0))),NA(),INDEX(big_daily_table,MATCH(DATE(Y$5,$K90,$J90),daily_dates,0),MATCH($B$3,daily_items,0)))</f>
        <v>#N/A</v>
      </c>
      <c r="Z90" s="1" t="e">
        <f aca="false">IF(ISBLANK(INDEX(big_daily_table,MATCH(DATE(Z$5,$K90,$J90),daily_dates,0),MATCH($B$3,daily_items,0))),NA(),INDEX(big_daily_table,MATCH(DATE(Z$5,$K90,$J90),daily_dates,0),MATCH($B$3,daily_items,0)))</f>
        <v>#N/A</v>
      </c>
      <c r="AA90" s="1" t="n">
        <f aca="true">_xlfn.AGGREGATE(5,6,OFFSET($S$5,H90,0,1,$K$2))</f>
        <v>0</v>
      </c>
      <c r="AB90" s="1" t="n">
        <f aca="true">_xlfn.AGGREGATE(4,6,OFFSET($S$5,H90,0,1,$K$2))</f>
        <v>0</v>
      </c>
      <c r="AC90" s="1" t="n">
        <f aca="false">AB90-AA90</f>
        <v>0</v>
      </c>
      <c r="AD90" s="1" t="e">
        <f aca="true">_xlfn.AGGREGATE(1,6,OFFSET($S$5,H90,0,1,$K$2))</f>
        <v>#DIV/0!</v>
      </c>
    </row>
    <row r="91" customFormat="false" ht="14.25" hidden="false" customHeight="false" outlineLevel="0" collapsed="false">
      <c r="H91" s="1" t="n">
        <f aca="false">H90+1</f>
        <v>86</v>
      </c>
      <c r="I91" s="1" t="n">
        <f aca="false">WEEKDAY('daily graphs'!K91)</f>
        <v>1</v>
      </c>
      <c r="J91" s="1" t="n">
        <f aca="false">DAY(L91)</f>
        <v>25</v>
      </c>
      <c r="K91" s="1" t="n">
        <f aca="false">MONTH(L91)</f>
        <v>3</v>
      </c>
      <c r="L91" s="23" t="n">
        <f aca="false">'daily graphs'!K91 - I91</f>
        <v>36610</v>
      </c>
      <c r="M91" s="24" t="n">
        <f aca="true">IF(TODAY()&lt;DATE($O$5,K91,J91),1000000,-1000000)</f>
        <v>-1000000</v>
      </c>
      <c r="N91" s="24" t="e">
        <f aca="false">IF(M91&gt;0,INDEX(big_daily_table,MATCH(DATE(O$5,$K91,$J91),daily_dates,0),MATCH($B$3,daily_items,0)),NA())</f>
        <v>#N/A</v>
      </c>
      <c r="O91" s="1" t="e">
        <f aca="false">IF(M91&lt;0,INDEX(big_daily_table,MATCH(DATE(O$5,$K91,$J91),daily_dates,0),MATCH($B$3,daily_items,0)),NA())</f>
        <v>#N/A</v>
      </c>
      <c r="P91" s="1" t="e">
        <f aca="false">IF(ISBLANK(INDEX(big_daily_table,MATCH(DATE(P$5,$K91,$J91),daily_dates,0),MATCH($B$3,daily_items,0))),NA(),INDEX(big_daily_table,MATCH(DATE(P$5,$K91,$J91),daily_dates,0),MATCH($B$3,daily_items,0)))</f>
        <v>#N/A</v>
      </c>
      <c r="Q91" s="1" t="e">
        <f aca="false">IF(ISBLANK(INDEX(big_daily_table,MATCH(DATE(Q$5,$K91,$J91),daily_dates,0),MATCH($B$3,daily_items,0))),NA(),INDEX(big_daily_table,MATCH(DATE(Q$5,$K91,$J91),daily_dates,0),MATCH($B$3,daily_items,0)))</f>
        <v>#N/A</v>
      </c>
      <c r="R91" s="1" t="e">
        <f aca="false">IF(ISBLANK(INDEX(big_daily_table,MATCH(DATE(R$5,$K91,$J91),daily_dates,0),MATCH($B$3,daily_items,0))),NA(),INDEX(big_daily_table,MATCH(DATE(R$5,$K91,$J91),daily_dates,0),MATCH($B$3,daily_items,0)))</f>
        <v>#N/A</v>
      </c>
      <c r="S91" s="1" t="e">
        <f aca="false">IF(ISBLANK(INDEX(big_daily_table,MATCH(DATE(S$5,$K91,$J91),daily_dates,0),MATCH($B$3,daily_items,0))),NA(),INDEX(big_daily_table,MATCH(DATE(S$5,$K91,$J91),daily_dates,0),MATCH($B$3,daily_items,0)))</f>
        <v>#N/A</v>
      </c>
      <c r="T91" s="1" t="e">
        <f aca="false">IF(ISBLANK(INDEX(big_daily_table,MATCH(DATE(T$5,$K91,$J91),daily_dates,0),MATCH($B$3,daily_items,0))),NA(),INDEX(big_daily_table,MATCH(DATE(T$5,$K91,$J91),daily_dates,0),MATCH($B$3,daily_items,0)))</f>
        <v>#N/A</v>
      </c>
      <c r="U91" s="1" t="e">
        <f aca="false">IF(ISBLANK(INDEX(big_daily_table,MATCH(DATE(U$5,$K91,$J91),daily_dates,0),MATCH($B$3,daily_items,0))),NA(),INDEX(big_daily_table,MATCH(DATE(U$5,$K91,$J91),daily_dates,0),MATCH($B$3,daily_items,0)))</f>
        <v>#N/A</v>
      </c>
      <c r="V91" s="1" t="e">
        <f aca="false">IF(ISBLANK(INDEX(big_daily_table,MATCH(DATE(V$5,$K91,$J91),daily_dates,0),MATCH($B$3,daily_items,0))),NA(),INDEX(big_daily_table,MATCH(DATE(V$5,$K91,$J91),daily_dates,0),MATCH($B$3,daily_items,0)))</f>
        <v>#N/A</v>
      </c>
      <c r="W91" s="1" t="e">
        <f aca="false">IF(ISBLANK(INDEX(big_daily_table,MATCH(DATE(W$5,$K91,$J91),daily_dates,0),MATCH($B$3,daily_items,0))),NA(),INDEX(big_daily_table,MATCH(DATE(W$5,$K91,$J91),daily_dates,0),MATCH($B$3,daily_items,0)))</f>
        <v>#N/A</v>
      </c>
      <c r="X91" s="1" t="e">
        <f aca="false">IF(ISBLANK(INDEX(big_daily_table,MATCH(DATE(X$5,$K91,$J91),daily_dates,0),MATCH($B$3,daily_items,0))),NA(),INDEX(big_daily_table,MATCH(DATE(X$5,$K91,$J91),daily_dates,0),MATCH($B$3,daily_items,0)))</f>
        <v>#N/A</v>
      </c>
      <c r="Y91" s="1" t="e">
        <f aca="false">IF(ISBLANK(INDEX(big_daily_table,MATCH(DATE(Y$5,$K91,$J91),daily_dates,0),MATCH($B$3,daily_items,0))),NA(),INDEX(big_daily_table,MATCH(DATE(Y$5,$K91,$J91),daily_dates,0),MATCH($B$3,daily_items,0)))</f>
        <v>#N/A</v>
      </c>
      <c r="Z91" s="1" t="e">
        <f aca="false">IF(ISBLANK(INDEX(big_daily_table,MATCH(DATE(Z$5,$K91,$J91),daily_dates,0),MATCH($B$3,daily_items,0))),NA(),INDEX(big_daily_table,MATCH(DATE(Z$5,$K91,$J91),daily_dates,0),MATCH($B$3,daily_items,0)))</f>
        <v>#N/A</v>
      </c>
      <c r="AA91" s="1" t="n">
        <f aca="true">_xlfn.AGGREGATE(5,6,OFFSET($S$5,H91,0,1,$K$2))</f>
        <v>0</v>
      </c>
      <c r="AB91" s="1" t="n">
        <f aca="true">_xlfn.AGGREGATE(4,6,OFFSET($S$5,H91,0,1,$K$2))</f>
        <v>0</v>
      </c>
      <c r="AC91" s="1" t="n">
        <f aca="false">AB91-AA91</f>
        <v>0</v>
      </c>
      <c r="AD91" s="1" t="e">
        <f aca="true">_xlfn.AGGREGATE(1,6,OFFSET($S$5,H91,0,1,$K$2))</f>
        <v>#DIV/0!</v>
      </c>
    </row>
    <row r="92" customFormat="false" ht="14.25" hidden="false" customHeight="false" outlineLevel="0" collapsed="false">
      <c r="H92" s="1" t="n">
        <f aca="false">H91+1</f>
        <v>87</v>
      </c>
      <c r="I92" s="1" t="n">
        <f aca="false">WEEKDAY('daily graphs'!K92)</f>
        <v>2</v>
      </c>
      <c r="J92" s="1" t="n">
        <f aca="false">DAY(L92)</f>
        <v>25</v>
      </c>
      <c r="K92" s="1" t="n">
        <f aca="false">MONTH(L92)</f>
        <v>3</v>
      </c>
      <c r="L92" s="23" t="n">
        <f aca="false">'daily graphs'!K92 - I92</f>
        <v>36610</v>
      </c>
      <c r="M92" s="24" t="n">
        <f aca="true">IF(TODAY()&lt;DATE($O$5,K92,J92),1000000,-1000000)</f>
        <v>-1000000</v>
      </c>
      <c r="N92" s="24" t="e">
        <f aca="false">IF(M92&gt;0,INDEX(big_daily_table,MATCH(DATE(O$5,$K92,$J92),daily_dates,0),MATCH($B$3,daily_items,0)),NA())</f>
        <v>#N/A</v>
      </c>
      <c r="O92" s="1" t="e">
        <f aca="false">IF(M92&lt;0,INDEX(big_daily_table,MATCH(DATE(O$5,$K92,$J92),daily_dates,0),MATCH($B$3,daily_items,0)),NA())</f>
        <v>#N/A</v>
      </c>
      <c r="P92" s="1" t="e">
        <f aca="false">IF(ISBLANK(INDEX(big_daily_table,MATCH(DATE(P$5,$K92,$J92),daily_dates,0),MATCH($B$3,daily_items,0))),NA(),INDEX(big_daily_table,MATCH(DATE(P$5,$K92,$J92),daily_dates,0),MATCH($B$3,daily_items,0)))</f>
        <v>#N/A</v>
      </c>
      <c r="Q92" s="1" t="e">
        <f aca="false">IF(ISBLANK(INDEX(big_daily_table,MATCH(DATE(Q$5,$K92,$J92),daily_dates,0),MATCH($B$3,daily_items,0))),NA(),INDEX(big_daily_table,MATCH(DATE(Q$5,$K92,$J92),daily_dates,0),MATCH($B$3,daily_items,0)))</f>
        <v>#N/A</v>
      </c>
      <c r="R92" s="1" t="e">
        <f aca="false">IF(ISBLANK(INDEX(big_daily_table,MATCH(DATE(R$5,$K92,$J92),daily_dates,0),MATCH($B$3,daily_items,0))),NA(),INDEX(big_daily_table,MATCH(DATE(R$5,$K92,$J92),daily_dates,0),MATCH($B$3,daily_items,0)))</f>
        <v>#N/A</v>
      </c>
      <c r="S92" s="1" t="e">
        <f aca="false">IF(ISBLANK(INDEX(big_daily_table,MATCH(DATE(S$5,$K92,$J92),daily_dates,0),MATCH($B$3,daily_items,0))),NA(),INDEX(big_daily_table,MATCH(DATE(S$5,$K92,$J92),daily_dates,0),MATCH($B$3,daily_items,0)))</f>
        <v>#N/A</v>
      </c>
      <c r="T92" s="1" t="e">
        <f aca="false">IF(ISBLANK(INDEX(big_daily_table,MATCH(DATE(T$5,$K92,$J92),daily_dates,0),MATCH($B$3,daily_items,0))),NA(),INDEX(big_daily_table,MATCH(DATE(T$5,$K92,$J92),daily_dates,0),MATCH($B$3,daily_items,0)))</f>
        <v>#N/A</v>
      </c>
      <c r="U92" s="1" t="e">
        <f aca="false">IF(ISBLANK(INDEX(big_daily_table,MATCH(DATE(U$5,$K92,$J92),daily_dates,0),MATCH($B$3,daily_items,0))),NA(),INDEX(big_daily_table,MATCH(DATE(U$5,$K92,$J92),daily_dates,0),MATCH($B$3,daily_items,0)))</f>
        <v>#N/A</v>
      </c>
      <c r="V92" s="1" t="e">
        <f aca="false">IF(ISBLANK(INDEX(big_daily_table,MATCH(DATE(V$5,$K92,$J92),daily_dates,0),MATCH($B$3,daily_items,0))),NA(),INDEX(big_daily_table,MATCH(DATE(V$5,$K92,$J92),daily_dates,0),MATCH($B$3,daily_items,0)))</f>
        <v>#N/A</v>
      </c>
      <c r="W92" s="1" t="e">
        <f aca="false">IF(ISBLANK(INDEX(big_daily_table,MATCH(DATE(W$5,$K92,$J92),daily_dates,0),MATCH($B$3,daily_items,0))),NA(),INDEX(big_daily_table,MATCH(DATE(W$5,$K92,$J92),daily_dates,0),MATCH($B$3,daily_items,0)))</f>
        <v>#N/A</v>
      </c>
      <c r="X92" s="1" t="e">
        <f aca="false">IF(ISBLANK(INDEX(big_daily_table,MATCH(DATE(X$5,$K92,$J92),daily_dates,0),MATCH($B$3,daily_items,0))),NA(),INDEX(big_daily_table,MATCH(DATE(X$5,$K92,$J92),daily_dates,0),MATCH($B$3,daily_items,0)))</f>
        <v>#N/A</v>
      </c>
      <c r="Y92" s="1" t="e">
        <f aca="false">IF(ISBLANK(INDEX(big_daily_table,MATCH(DATE(Y$5,$K92,$J92),daily_dates,0),MATCH($B$3,daily_items,0))),NA(),INDEX(big_daily_table,MATCH(DATE(Y$5,$K92,$J92),daily_dates,0),MATCH($B$3,daily_items,0)))</f>
        <v>#N/A</v>
      </c>
      <c r="Z92" s="1" t="e">
        <f aca="false">IF(ISBLANK(INDEX(big_daily_table,MATCH(DATE(Z$5,$K92,$J92),daily_dates,0),MATCH($B$3,daily_items,0))),NA(),INDEX(big_daily_table,MATCH(DATE(Z$5,$K92,$J92),daily_dates,0),MATCH($B$3,daily_items,0)))</f>
        <v>#N/A</v>
      </c>
      <c r="AA92" s="1" t="n">
        <f aca="true">_xlfn.AGGREGATE(5,6,OFFSET($S$5,H92,0,1,$K$2))</f>
        <v>0</v>
      </c>
      <c r="AB92" s="1" t="n">
        <f aca="true">_xlfn.AGGREGATE(4,6,OFFSET($S$5,H92,0,1,$K$2))</f>
        <v>0</v>
      </c>
      <c r="AC92" s="1" t="n">
        <f aca="false">AB92-AA92</f>
        <v>0</v>
      </c>
      <c r="AD92" s="1" t="e">
        <f aca="true">_xlfn.AGGREGATE(1,6,OFFSET($S$5,H92,0,1,$K$2))</f>
        <v>#DIV/0!</v>
      </c>
    </row>
    <row r="93" customFormat="false" ht="14.25" hidden="false" customHeight="false" outlineLevel="0" collapsed="false">
      <c r="H93" s="1" t="n">
        <f aca="false">H92+1</f>
        <v>88</v>
      </c>
      <c r="I93" s="1" t="n">
        <f aca="false">WEEKDAY('daily graphs'!K93)</f>
        <v>3</v>
      </c>
      <c r="J93" s="1" t="n">
        <f aca="false">DAY(L93)</f>
        <v>25</v>
      </c>
      <c r="K93" s="1" t="n">
        <f aca="false">MONTH(L93)</f>
        <v>3</v>
      </c>
      <c r="L93" s="23" t="n">
        <f aca="false">'daily graphs'!K93 - I93</f>
        <v>36610</v>
      </c>
      <c r="M93" s="24" t="n">
        <f aca="true">IF(TODAY()&lt;DATE($O$5,K93,J93),1000000,-1000000)</f>
        <v>-1000000</v>
      </c>
      <c r="N93" s="24" t="e">
        <f aca="false">IF(M93&gt;0,INDEX(big_daily_table,MATCH(DATE(O$5,$K93,$J93),daily_dates,0),MATCH($B$3,daily_items,0)),NA())</f>
        <v>#N/A</v>
      </c>
      <c r="O93" s="1" t="e">
        <f aca="false">IF(M93&lt;0,INDEX(big_daily_table,MATCH(DATE(O$5,$K93,$J93),daily_dates,0),MATCH($B$3,daily_items,0)),NA())</f>
        <v>#N/A</v>
      </c>
      <c r="P93" s="1" t="e">
        <f aca="false">IF(ISBLANK(INDEX(big_daily_table,MATCH(DATE(P$5,$K93,$J93),daily_dates,0),MATCH($B$3,daily_items,0))),NA(),INDEX(big_daily_table,MATCH(DATE(P$5,$K93,$J93),daily_dates,0),MATCH($B$3,daily_items,0)))</f>
        <v>#N/A</v>
      </c>
      <c r="Q93" s="1" t="e">
        <f aca="false">IF(ISBLANK(INDEX(big_daily_table,MATCH(DATE(Q$5,$K93,$J93),daily_dates,0),MATCH($B$3,daily_items,0))),NA(),INDEX(big_daily_table,MATCH(DATE(Q$5,$K93,$J93),daily_dates,0),MATCH($B$3,daily_items,0)))</f>
        <v>#N/A</v>
      </c>
      <c r="R93" s="1" t="e">
        <f aca="false">IF(ISBLANK(INDEX(big_daily_table,MATCH(DATE(R$5,$K93,$J93),daily_dates,0),MATCH($B$3,daily_items,0))),NA(),INDEX(big_daily_table,MATCH(DATE(R$5,$K93,$J93),daily_dates,0),MATCH($B$3,daily_items,0)))</f>
        <v>#N/A</v>
      </c>
      <c r="S93" s="1" t="e">
        <f aca="false">IF(ISBLANK(INDEX(big_daily_table,MATCH(DATE(S$5,$K93,$J93),daily_dates,0),MATCH($B$3,daily_items,0))),NA(),INDEX(big_daily_table,MATCH(DATE(S$5,$K93,$J93),daily_dates,0),MATCH($B$3,daily_items,0)))</f>
        <v>#N/A</v>
      </c>
      <c r="T93" s="1" t="e">
        <f aca="false">IF(ISBLANK(INDEX(big_daily_table,MATCH(DATE(T$5,$K93,$J93),daily_dates,0),MATCH($B$3,daily_items,0))),NA(),INDEX(big_daily_table,MATCH(DATE(T$5,$K93,$J93),daily_dates,0),MATCH($B$3,daily_items,0)))</f>
        <v>#N/A</v>
      </c>
      <c r="U93" s="1" t="e">
        <f aca="false">IF(ISBLANK(INDEX(big_daily_table,MATCH(DATE(U$5,$K93,$J93),daily_dates,0),MATCH($B$3,daily_items,0))),NA(),INDEX(big_daily_table,MATCH(DATE(U$5,$K93,$J93),daily_dates,0),MATCH($B$3,daily_items,0)))</f>
        <v>#N/A</v>
      </c>
      <c r="V93" s="1" t="e">
        <f aca="false">IF(ISBLANK(INDEX(big_daily_table,MATCH(DATE(V$5,$K93,$J93),daily_dates,0),MATCH($B$3,daily_items,0))),NA(),INDEX(big_daily_table,MATCH(DATE(V$5,$K93,$J93),daily_dates,0),MATCH($B$3,daily_items,0)))</f>
        <v>#N/A</v>
      </c>
      <c r="W93" s="1" t="e">
        <f aca="false">IF(ISBLANK(INDEX(big_daily_table,MATCH(DATE(W$5,$K93,$J93),daily_dates,0),MATCH($B$3,daily_items,0))),NA(),INDEX(big_daily_table,MATCH(DATE(W$5,$K93,$J93),daily_dates,0),MATCH($B$3,daily_items,0)))</f>
        <v>#N/A</v>
      </c>
      <c r="X93" s="1" t="e">
        <f aca="false">IF(ISBLANK(INDEX(big_daily_table,MATCH(DATE(X$5,$K93,$J93),daily_dates,0),MATCH($B$3,daily_items,0))),NA(),INDEX(big_daily_table,MATCH(DATE(X$5,$K93,$J93),daily_dates,0),MATCH($B$3,daily_items,0)))</f>
        <v>#N/A</v>
      </c>
      <c r="Y93" s="1" t="e">
        <f aca="false">IF(ISBLANK(INDEX(big_daily_table,MATCH(DATE(Y$5,$K93,$J93),daily_dates,0),MATCH($B$3,daily_items,0))),NA(),INDEX(big_daily_table,MATCH(DATE(Y$5,$K93,$J93),daily_dates,0),MATCH($B$3,daily_items,0)))</f>
        <v>#N/A</v>
      </c>
      <c r="Z93" s="1" t="e">
        <f aca="false">IF(ISBLANK(INDEX(big_daily_table,MATCH(DATE(Z$5,$K93,$J93),daily_dates,0),MATCH($B$3,daily_items,0))),NA(),INDEX(big_daily_table,MATCH(DATE(Z$5,$K93,$J93),daily_dates,0),MATCH($B$3,daily_items,0)))</f>
        <v>#N/A</v>
      </c>
      <c r="AA93" s="1" t="n">
        <f aca="true">_xlfn.AGGREGATE(5,6,OFFSET($S$5,H93,0,1,$K$2))</f>
        <v>0</v>
      </c>
      <c r="AB93" s="1" t="n">
        <f aca="true">_xlfn.AGGREGATE(4,6,OFFSET($S$5,H93,0,1,$K$2))</f>
        <v>0</v>
      </c>
      <c r="AC93" s="1" t="n">
        <f aca="false">AB93-AA93</f>
        <v>0</v>
      </c>
      <c r="AD93" s="1" t="e">
        <f aca="true">_xlfn.AGGREGATE(1,6,OFFSET($S$5,H93,0,1,$K$2))</f>
        <v>#DIV/0!</v>
      </c>
    </row>
    <row r="94" customFormat="false" ht="14.25" hidden="false" customHeight="false" outlineLevel="0" collapsed="false">
      <c r="H94" s="1" t="n">
        <f aca="false">H93+1</f>
        <v>89</v>
      </c>
      <c r="I94" s="1" t="n">
        <f aca="false">WEEKDAY('daily graphs'!K94)</f>
        <v>4</v>
      </c>
      <c r="J94" s="1" t="n">
        <f aca="false">DAY(L94)</f>
        <v>25</v>
      </c>
      <c r="K94" s="1" t="n">
        <f aca="false">MONTH(L94)</f>
        <v>3</v>
      </c>
      <c r="L94" s="23" t="n">
        <f aca="false">'daily graphs'!K94 - I94</f>
        <v>36610</v>
      </c>
      <c r="M94" s="24" t="n">
        <f aca="true">IF(TODAY()&lt;DATE($O$5,K94,J94),1000000,-1000000)</f>
        <v>-1000000</v>
      </c>
      <c r="N94" s="24" t="e">
        <f aca="false">IF(M94&gt;0,INDEX(big_daily_table,MATCH(DATE(O$5,$K94,$J94),daily_dates,0),MATCH($B$3,daily_items,0)),NA())</f>
        <v>#N/A</v>
      </c>
      <c r="O94" s="1" t="e">
        <f aca="false">IF(M94&lt;0,INDEX(big_daily_table,MATCH(DATE(O$5,$K94,$J94),daily_dates,0),MATCH($B$3,daily_items,0)),NA())</f>
        <v>#N/A</v>
      </c>
      <c r="P94" s="1" t="e">
        <f aca="false">IF(ISBLANK(INDEX(big_daily_table,MATCH(DATE(P$5,$K94,$J94),daily_dates,0),MATCH($B$3,daily_items,0))),NA(),INDEX(big_daily_table,MATCH(DATE(P$5,$K94,$J94),daily_dates,0),MATCH($B$3,daily_items,0)))</f>
        <v>#N/A</v>
      </c>
      <c r="Q94" s="1" t="e">
        <f aca="false">IF(ISBLANK(INDEX(big_daily_table,MATCH(DATE(Q$5,$K94,$J94),daily_dates,0),MATCH($B$3,daily_items,0))),NA(),INDEX(big_daily_table,MATCH(DATE(Q$5,$K94,$J94),daily_dates,0),MATCH($B$3,daily_items,0)))</f>
        <v>#N/A</v>
      </c>
      <c r="R94" s="1" t="e">
        <f aca="false">IF(ISBLANK(INDEX(big_daily_table,MATCH(DATE(R$5,$K94,$J94),daily_dates,0),MATCH($B$3,daily_items,0))),NA(),INDEX(big_daily_table,MATCH(DATE(R$5,$K94,$J94),daily_dates,0),MATCH($B$3,daily_items,0)))</f>
        <v>#N/A</v>
      </c>
      <c r="S94" s="1" t="e">
        <f aca="false">IF(ISBLANK(INDEX(big_daily_table,MATCH(DATE(S$5,$K94,$J94),daily_dates,0),MATCH($B$3,daily_items,0))),NA(),INDEX(big_daily_table,MATCH(DATE(S$5,$K94,$J94),daily_dates,0),MATCH($B$3,daily_items,0)))</f>
        <v>#N/A</v>
      </c>
      <c r="T94" s="1" t="e">
        <f aca="false">IF(ISBLANK(INDEX(big_daily_table,MATCH(DATE(T$5,$K94,$J94),daily_dates,0),MATCH($B$3,daily_items,0))),NA(),INDEX(big_daily_table,MATCH(DATE(T$5,$K94,$J94),daily_dates,0),MATCH($B$3,daily_items,0)))</f>
        <v>#N/A</v>
      </c>
      <c r="U94" s="1" t="e">
        <f aca="false">IF(ISBLANK(INDEX(big_daily_table,MATCH(DATE(U$5,$K94,$J94),daily_dates,0),MATCH($B$3,daily_items,0))),NA(),INDEX(big_daily_table,MATCH(DATE(U$5,$K94,$J94),daily_dates,0),MATCH($B$3,daily_items,0)))</f>
        <v>#N/A</v>
      </c>
      <c r="V94" s="1" t="e">
        <f aca="false">IF(ISBLANK(INDEX(big_daily_table,MATCH(DATE(V$5,$K94,$J94),daily_dates,0),MATCH($B$3,daily_items,0))),NA(),INDEX(big_daily_table,MATCH(DATE(V$5,$K94,$J94),daily_dates,0),MATCH($B$3,daily_items,0)))</f>
        <v>#N/A</v>
      </c>
      <c r="W94" s="1" t="e">
        <f aca="false">IF(ISBLANK(INDEX(big_daily_table,MATCH(DATE(W$5,$K94,$J94),daily_dates,0),MATCH($B$3,daily_items,0))),NA(),INDEX(big_daily_table,MATCH(DATE(W$5,$K94,$J94),daily_dates,0),MATCH($B$3,daily_items,0)))</f>
        <v>#N/A</v>
      </c>
      <c r="X94" s="1" t="e">
        <f aca="false">IF(ISBLANK(INDEX(big_daily_table,MATCH(DATE(X$5,$K94,$J94),daily_dates,0),MATCH($B$3,daily_items,0))),NA(),INDEX(big_daily_table,MATCH(DATE(X$5,$K94,$J94),daily_dates,0),MATCH($B$3,daily_items,0)))</f>
        <v>#N/A</v>
      </c>
      <c r="Y94" s="1" t="e">
        <f aca="false">IF(ISBLANK(INDEX(big_daily_table,MATCH(DATE(Y$5,$K94,$J94),daily_dates,0),MATCH($B$3,daily_items,0))),NA(),INDEX(big_daily_table,MATCH(DATE(Y$5,$K94,$J94),daily_dates,0),MATCH($B$3,daily_items,0)))</f>
        <v>#N/A</v>
      </c>
      <c r="Z94" s="1" t="e">
        <f aca="false">IF(ISBLANK(INDEX(big_daily_table,MATCH(DATE(Z$5,$K94,$J94),daily_dates,0),MATCH($B$3,daily_items,0))),NA(),INDEX(big_daily_table,MATCH(DATE(Z$5,$K94,$J94),daily_dates,0),MATCH($B$3,daily_items,0)))</f>
        <v>#N/A</v>
      </c>
      <c r="AA94" s="1" t="n">
        <f aca="true">_xlfn.AGGREGATE(5,6,OFFSET($S$5,H94,0,1,$K$2))</f>
        <v>0</v>
      </c>
      <c r="AB94" s="1" t="n">
        <f aca="true">_xlfn.AGGREGATE(4,6,OFFSET($S$5,H94,0,1,$K$2))</f>
        <v>0</v>
      </c>
      <c r="AC94" s="1" t="n">
        <f aca="false">AB94-AA94</f>
        <v>0</v>
      </c>
      <c r="AD94" s="1" t="e">
        <f aca="true">_xlfn.AGGREGATE(1,6,OFFSET($S$5,H94,0,1,$K$2))</f>
        <v>#DIV/0!</v>
      </c>
    </row>
    <row r="95" customFormat="false" ht="14.25" hidden="false" customHeight="false" outlineLevel="0" collapsed="false">
      <c r="H95" s="1" t="n">
        <f aca="false">H94+1</f>
        <v>90</v>
      </c>
      <c r="I95" s="1" t="n">
        <f aca="false">WEEKDAY('daily graphs'!K95)</f>
        <v>5</v>
      </c>
      <c r="J95" s="1" t="n">
        <f aca="false">DAY(L95)</f>
        <v>25</v>
      </c>
      <c r="K95" s="1" t="n">
        <f aca="false">MONTH(L95)</f>
        <v>3</v>
      </c>
      <c r="L95" s="23" t="n">
        <f aca="false">'daily graphs'!K95 - I95</f>
        <v>36610</v>
      </c>
      <c r="M95" s="24" t="n">
        <f aca="true">IF(TODAY()&lt;DATE($O$5,K95,J95),1000000,-1000000)</f>
        <v>-1000000</v>
      </c>
      <c r="N95" s="24" t="e">
        <f aca="false">IF(M95&gt;0,INDEX(big_daily_table,MATCH(DATE(O$5,$K95,$J95),daily_dates,0),MATCH($B$3,daily_items,0)),NA())</f>
        <v>#N/A</v>
      </c>
      <c r="O95" s="1" t="e">
        <f aca="false">IF(M95&lt;0,INDEX(big_daily_table,MATCH(DATE(O$5,$K95,$J95),daily_dates,0),MATCH($B$3,daily_items,0)),NA())</f>
        <v>#N/A</v>
      </c>
      <c r="P95" s="1" t="e">
        <f aca="false">IF(ISBLANK(INDEX(big_daily_table,MATCH(DATE(P$5,$K95,$J95),daily_dates,0),MATCH($B$3,daily_items,0))),NA(),INDEX(big_daily_table,MATCH(DATE(P$5,$K95,$J95),daily_dates,0),MATCH($B$3,daily_items,0)))</f>
        <v>#N/A</v>
      </c>
      <c r="Q95" s="1" t="e">
        <f aca="false">IF(ISBLANK(INDEX(big_daily_table,MATCH(DATE(Q$5,$K95,$J95),daily_dates,0),MATCH($B$3,daily_items,0))),NA(),INDEX(big_daily_table,MATCH(DATE(Q$5,$K95,$J95),daily_dates,0),MATCH($B$3,daily_items,0)))</f>
        <v>#N/A</v>
      </c>
      <c r="R95" s="1" t="e">
        <f aca="false">IF(ISBLANK(INDEX(big_daily_table,MATCH(DATE(R$5,$K95,$J95),daily_dates,0),MATCH($B$3,daily_items,0))),NA(),INDEX(big_daily_table,MATCH(DATE(R$5,$K95,$J95),daily_dates,0),MATCH($B$3,daily_items,0)))</f>
        <v>#N/A</v>
      </c>
      <c r="S95" s="1" t="e">
        <f aca="false">IF(ISBLANK(INDEX(big_daily_table,MATCH(DATE(S$5,$K95,$J95),daily_dates,0),MATCH($B$3,daily_items,0))),NA(),INDEX(big_daily_table,MATCH(DATE(S$5,$K95,$J95),daily_dates,0),MATCH($B$3,daily_items,0)))</f>
        <v>#N/A</v>
      </c>
      <c r="T95" s="1" t="e">
        <f aca="false">IF(ISBLANK(INDEX(big_daily_table,MATCH(DATE(T$5,$K95,$J95),daily_dates,0),MATCH($B$3,daily_items,0))),NA(),INDEX(big_daily_table,MATCH(DATE(T$5,$K95,$J95),daily_dates,0),MATCH($B$3,daily_items,0)))</f>
        <v>#N/A</v>
      </c>
      <c r="U95" s="1" t="e">
        <f aca="false">IF(ISBLANK(INDEX(big_daily_table,MATCH(DATE(U$5,$K95,$J95),daily_dates,0),MATCH($B$3,daily_items,0))),NA(),INDEX(big_daily_table,MATCH(DATE(U$5,$K95,$J95),daily_dates,0),MATCH($B$3,daily_items,0)))</f>
        <v>#N/A</v>
      </c>
      <c r="V95" s="1" t="e">
        <f aca="false">IF(ISBLANK(INDEX(big_daily_table,MATCH(DATE(V$5,$K95,$J95),daily_dates,0),MATCH($B$3,daily_items,0))),NA(),INDEX(big_daily_table,MATCH(DATE(V$5,$K95,$J95),daily_dates,0),MATCH($B$3,daily_items,0)))</f>
        <v>#N/A</v>
      </c>
      <c r="W95" s="1" t="e">
        <f aca="false">IF(ISBLANK(INDEX(big_daily_table,MATCH(DATE(W$5,$K95,$J95),daily_dates,0),MATCH($B$3,daily_items,0))),NA(),INDEX(big_daily_table,MATCH(DATE(W$5,$K95,$J95),daily_dates,0),MATCH($B$3,daily_items,0)))</f>
        <v>#N/A</v>
      </c>
      <c r="X95" s="1" t="e">
        <f aca="false">IF(ISBLANK(INDEX(big_daily_table,MATCH(DATE(X$5,$K95,$J95),daily_dates,0),MATCH($B$3,daily_items,0))),NA(),INDEX(big_daily_table,MATCH(DATE(X$5,$K95,$J95),daily_dates,0),MATCH($B$3,daily_items,0)))</f>
        <v>#N/A</v>
      </c>
      <c r="Y95" s="1" t="e">
        <f aca="false">IF(ISBLANK(INDEX(big_daily_table,MATCH(DATE(Y$5,$K95,$J95),daily_dates,0),MATCH($B$3,daily_items,0))),NA(),INDEX(big_daily_table,MATCH(DATE(Y$5,$K95,$J95),daily_dates,0),MATCH($B$3,daily_items,0)))</f>
        <v>#N/A</v>
      </c>
      <c r="Z95" s="1" t="e">
        <f aca="false">IF(ISBLANK(INDEX(big_daily_table,MATCH(DATE(Z$5,$K95,$J95),daily_dates,0),MATCH($B$3,daily_items,0))),NA(),INDEX(big_daily_table,MATCH(DATE(Z$5,$K95,$J95),daily_dates,0),MATCH($B$3,daily_items,0)))</f>
        <v>#N/A</v>
      </c>
      <c r="AA95" s="1" t="n">
        <f aca="true">_xlfn.AGGREGATE(5,6,OFFSET($S$5,H95,0,1,$K$2))</f>
        <v>0</v>
      </c>
      <c r="AB95" s="1" t="n">
        <f aca="true">_xlfn.AGGREGATE(4,6,OFFSET($S$5,H95,0,1,$K$2))</f>
        <v>0</v>
      </c>
      <c r="AC95" s="1" t="n">
        <f aca="false">AB95-AA95</f>
        <v>0</v>
      </c>
      <c r="AD95" s="1" t="e">
        <f aca="true">_xlfn.AGGREGATE(1,6,OFFSET($S$5,H95,0,1,$K$2))</f>
        <v>#DIV/0!</v>
      </c>
    </row>
    <row r="96" customFormat="false" ht="14.25" hidden="false" customHeight="false" outlineLevel="0" collapsed="false">
      <c r="H96" s="1" t="n">
        <f aca="false">H95+1</f>
        <v>91</v>
      </c>
      <c r="I96" s="1" t="n">
        <f aca="false">WEEKDAY('daily graphs'!K96)</f>
        <v>6</v>
      </c>
      <c r="J96" s="1" t="n">
        <f aca="false">DAY(L96)</f>
        <v>25</v>
      </c>
      <c r="K96" s="1" t="n">
        <f aca="false">MONTH(L96)</f>
        <v>3</v>
      </c>
      <c r="L96" s="23" t="n">
        <f aca="false">'daily graphs'!K96 - I96</f>
        <v>36610</v>
      </c>
      <c r="M96" s="24" t="n">
        <f aca="true">IF(TODAY()&lt;DATE($O$5,K96,J96),1000000,-1000000)</f>
        <v>-1000000</v>
      </c>
      <c r="N96" s="24" t="e">
        <f aca="false">IF(M96&gt;0,INDEX(big_daily_table,MATCH(DATE(O$5,$K96,$J96),daily_dates,0),MATCH($B$3,daily_items,0)),NA())</f>
        <v>#N/A</v>
      </c>
      <c r="O96" s="1" t="e">
        <f aca="false">IF(M96&lt;0,INDEX(big_daily_table,MATCH(DATE(O$5,$K96,$J96),daily_dates,0),MATCH($B$3,daily_items,0)),NA())</f>
        <v>#N/A</v>
      </c>
      <c r="P96" s="1" t="e">
        <f aca="false">IF(ISBLANK(INDEX(big_daily_table,MATCH(DATE(P$5,$K96,$J96),daily_dates,0),MATCH($B$3,daily_items,0))),NA(),INDEX(big_daily_table,MATCH(DATE(P$5,$K96,$J96),daily_dates,0),MATCH($B$3,daily_items,0)))</f>
        <v>#N/A</v>
      </c>
      <c r="Q96" s="1" t="e">
        <f aca="false">IF(ISBLANK(INDEX(big_daily_table,MATCH(DATE(Q$5,$K96,$J96),daily_dates,0),MATCH($B$3,daily_items,0))),NA(),INDEX(big_daily_table,MATCH(DATE(Q$5,$K96,$J96),daily_dates,0),MATCH($B$3,daily_items,0)))</f>
        <v>#N/A</v>
      </c>
      <c r="R96" s="1" t="e">
        <f aca="false">IF(ISBLANK(INDEX(big_daily_table,MATCH(DATE(R$5,$K96,$J96),daily_dates,0),MATCH($B$3,daily_items,0))),NA(),INDEX(big_daily_table,MATCH(DATE(R$5,$K96,$J96),daily_dates,0),MATCH($B$3,daily_items,0)))</f>
        <v>#N/A</v>
      </c>
      <c r="S96" s="1" t="e">
        <f aca="false">IF(ISBLANK(INDEX(big_daily_table,MATCH(DATE(S$5,$K96,$J96),daily_dates,0),MATCH($B$3,daily_items,0))),NA(),INDEX(big_daily_table,MATCH(DATE(S$5,$K96,$J96),daily_dates,0),MATCH($B$3,daily_items,0)))</f>
        <v>#N/A</v>
      </c>
      <c r="T96" s="1" t="e">
        <f aca="false">IF(ISBLANK(INDEX(big_daily_table,MATCH(DATE(T$5,$K96,$J96),daily_dates,0),MATCH($B$3,daily_items,0))),NA(),INDEX(big_daily_table,MATCH(DATE(T$5,$K96,$J96),daily_dates,0),MATCH($B$3,daily_items,0)))</f>
        <v>#N/A</v>
      </c>
      <c r="U96" s="1" t="e">
        <f aca="false">IF(ISBLANK(INDEX(big_daily_table,MATCH(DATE(U$5,$K96,$J96),daily_dates,0),MATCH($B$3,daily_items,0))),NA(),INDEX(big_daily_table,MATCH(DATE(U$5,$K96,$J96),daily_dates,0),MATCH($B$3,daily_items,0)))</f>
        <v>#N/A</v>
      </c>
      <c r="V96" s="1" t="e">
        <f aca="false">IF(ISBLANK(INDEX(big_daily_table,MATCH(DATE(V$5,$K96,$J96),daily_dates,0),MATCH($B$3,daily_items,0))),NA(),INDEX(big_daily_table,MATCH(DATE(V$5,$K96,$J96),daily_dates,0),MATCH($B$3,daily_items,0)))</f>
        <v>#N/A</v>
      </c>
      <c r="W96" s="1" t="e">
        <f aca="false">IF(ISBLANK(INDEX(big_daily_table,MATCH(DATE(W$5,$K96,$J96),daily_dates,0),MATCH($B$3,daily_items,0))),NA(),INDEX(big_daily_table,MATCH(DATE(W$5,$K96,$J96),daily_dates,0),MATCH($B$3,daily_items,0)))</f>
        <v>#N/A</v>
      </c>
      <c r="X96" s="1" t="e">
        <f aca="false">IF(ISBLANK(INDEX(big_daily_table,MATCH(DATE(X$5,$K96,$J96),daily_dates,0),MATCH($B$3,daily_items,0))),NA(),INDEX(big_daily_table,MATCH(DATE(X$5,$K96,$J96),daily_dates,0),MATCH($B$3,daily_items,0)))</f>
        <v>#N/A</v>
      </c>
      <c r="Y96" s="1" t="e">
        <f aca="false">IF(ISBLANK(INDEX(big_daily_table,MATCH(DATE(Y$5,$K96,$J96),daily_dates,0),MATCH($B$3,daily_items,0))),NA(),INDEX(big_daily_table,MATCH(DATE(Y$5,$K96,$J96),daily_dates,0),MATCH($B$3,daily_items,0)))</f>
        <v>#N/A</v>
      </c>
      <c r="Z96" s="1" t="e">
        <f aca="false">IF(ISBLANK(INDEX(big_daily_table,MATCH(DATE(Z$5,$K96,$J96),daily_dates,0),MATCH($B$3,daily_items,0))),NA(),INDEX(big_daily_table,MATCH(DATE(Z$5,$K96,$J96),daily_dates,0),MATCH($B$3,daily_items,0)))</f>
        <v>#N/A</v>
      </c>
      <c r="AA96" s="1" t="n">
        <f aca="true">_xlfn.AGGREGATE(5,6,OFFSET($S$5,H96,0,1,$K$2))</f>
        <v>0</v>
      </c>
      <c r="AB96" s="1" t="n">
        <f aca="true">_xlfn.AGGREGATE(4,6,OFFSET($S$5,H96,0,1,$K$2))</f>
        <v>0</v>
      </c>
      <c r="AC96" s="1" t="n">
        <f aca="false">AB96-AA96</f>
        <v>0</v>
      </c>
      <c r="AD96" s="1" t="e">
        <f aca="true">_xlfn.AGGREGATE(1,6,OFFSET($S$5,H96,0,1,$K$2))</f>
        <v>#DIV/0!</v>
      </c>
    </row>
    <row r="97" customFormat="false" ht="14.25" hidden="false" customHeight="false" outlineLevel="0" collapsed="false">
      <c r="H97" s="1" t="n">
        <f aca="false">H96+1</f>
        <v>92</v>
      </c>
      <c r="I97" s="1" t="n">
        <f aca="false">WEEKDAY('daily graphs'!K97)</f>
        <v>7</v>
      </c>
      <c r="J97" s="1" t="n">
        <f aca="false">DAY(L97)</f>
        <v>25</v>
      </c>
      <c r="K97" s="1" t="n">
        <f aca="false">MONTH(L97)</f>
        <v>3</v>
      </c>
      <c r="L97" s="23" t="n">
        <f aca="false">'daily graphs'!K97 - I97</f>
        <v>36610</v>
      </c>
      <c r="M97" s="24" t="n">
        <f aca="true">IF(TODAY()&lt;DATE($O$5,K97,J97),1000000,-1000000)</f>
        <v>-1000000</v>
      </c>
      <c r="N97" s="24" t="e">
        <f aca="false">IF(M97&gt;0,INDEX(big_daily_table,MATCH(DATE(O$5,$K97,$J97),daily_dates,0),MATCH($B$3,daily_items,0)),NA())</f>
        <v>#N/A</v>
      </c>
      <c r="O97" s="1" t="e">
        <f aca="false">IF(M97&lt;0,INDEX(big_daily_table,MATCH(DATE(O$5,$K97,$J97),daily_dates,0),MATCH($B$3,daily_items,0)),NA())</f>
        <v>#N/A</v>
      </c>
      <c r="P97" s="1" t="e">
        <f aca="false">IF(ISBLANK(INDEX(big_daily_table,MATCH(DATE(P$5,$K97,$J97),daily_dates,0),MATCH($B$3,daily_items,0))),NA(),INDEX(big_daily_table,MATCH(DATE(P$5,$K97,$J97),daily_dates,0),MATCH($B$3,daily_items,0)))</f>
        <v>#N/A</v>
      </c>
      <c r="Q97" s="1" t="e">
        <f aca="false">IF(ISBLANK(INDEX(big_daily_table,MATCH(DATE(Q$5,$K97,$J97),daily_dates,0),MATCH($B$3,daily_items,0))),NA(),INDEX(big_daily_table,MATCH(DATE(Q$5,$K97,$J97),daily_dates,0),MATCH($B$3,daily_items,0)))</f>
        <v>#N/A</v>
      </c>
      <c r="R97" s="1" t="e">
        <f aca="false">IF(ISBLANK(INDEX(big_daily_table,MATCH(DATE(R$5,$K97,$J97),daily_dates,0),MATCH($B$3,daily_items,0))),NA(),INDEX(big_daily_table,MATCH(DATE(R$5,$K97,$J97),daily_dates,0),MATCH($B$3,daily_items,0)))</f>
        <v>#N/A</v>
      </c>
      <c r="S97" s="1" t="e">
        <f aca="false">IF(ISBLANK(INDEX(big_daily_table,MATCH(DATE(S$5,$K97,$J97),daily_dates,0),MATCH($B$3,daily_items,0))),NA(),INDEX(big_daily_table,MATCH(DATE(S$5,$K97,$J97),daily_dates,0),MATCH($B$3,daily_items,0)))</f>
        <v>#N/A</v>
      </c>
      <c r="T97" s="1" t="e">
        <f aca="false">IF(ISBLANK(INDEX(big_daily_table,MATCH(DATE(T$5,$K97,$J97),daily_dates,0),MATCH($B$3,daily_items,0))),NA(),INDEX(big_daily_table,MATCH(DATE(T$5,$K97,$J97),daily_dates,0),MATCH($B$3,daily_items,0)))</f>
        <v>#N/A</v>
      </c>
      <c r="U97" s="1" t="e">
        <f aca="false">IF(ISBLANK(INDEX(big_daily_table,MATCH(DATE(U$5,$K97,$J97),daily_dates,0),MATCH($B$3,daily_items,0))),NA(),INDEX(big_daily_table,MATCH(DATE(U$5,$K97,$J97),daily_dates,0),MATCH($B$3,daily_items,0)))</f>
        <v>#N/A</v>
      </c>
      <c r="V97" s="1" t="e">
        <f aca="false">IF(ISBLANK(INDEX(big_daily_table,MATCH(DATE(V$5,$K97,$J97),daily_dates,0),MATCH($B$3,daily_items,0))),NA(),INDEX(big_daily_table,MATCH(DATE(V$5,$K97,$J97),daily_dates,0),MATCH($B$3,daily_items,0)))</f>
        <v>#N/A</v>
      </c>
      <c r="W97" s="1" t="e">
        <f aca="false">IF(ISBLANK(INDEX(big_daily_table,MATCH(DATE(W$5,$K97,$J97),daily_dates,0),MATCH($B$3,daily_items,0))),NA(),INDEX(big_daily_table,MATCH(DATE(W$5,$K97,$J97),daily_dates,0),MATCH($B$3,daily_items,0)))</f>
        <v>#N/A</v>
      </c>
      <c r="X97" s="1" t="e">
        <f aca="false">IF(ISBLANK(INDEX(big_daily_table,MATCH(DATE(X$5,$K97,$J97),daily_dates,0),MATCH($B$3,daily_items,0))),NA(),INDEX(big_daily_table,MATCH(DATE(X$5,$K97,$J97),daily_dates,0),MATCH($B$3,daily_items,0)))</f>
        <v>#N/A</v>
      </c>
      <c r="Y97" s="1" t="e">
        <f aca="false">IF(ISBLANK(INDEX(big_daily_table,MATCH(DATE(Y$5,$K97,$J97),daily_dates,0),MATCH($B$3,daily_items,0))),NA(),INDEX(big_daily_table,MATCH(DATE(Y$5,$K97,$J97),daily_dates,0),MATCH($B$3,daily_items,0)))</f>
        <v>#N/A</v>
      </c>
      <c r="Z97" s="1" t="e">
        <f aca="false">IF(ISBLANK(INDEX(big_daily_table,MATCH(DATE(Z$5,$K97,$J97),daily_dates,0),MATCH($B$3,daily_items,0))),NA(),INDEX(big_daily_table,MATCH(DATE(Z$5,$K97,$J97),daily_dates,0),MATCH($B$3,daily_items,0)))</f>
        <v>#N/A</v>
      </c>
      <c r="AA97" s="1" t="n">
        <f aca="true">_xlfn.AGGREGATE(5,6,OFFSET($S$5,H97,0,1,$K$2))</f>
        <v>0</v>
      </c>
      <c r="AB97" s="1" t="n">
        <f aca="true">_xlfn.AGGREGATE(4,6,OFFSET($S$5,H97,0,1,$K$2))</f>
        <v>0</v>
      </c>
      <c r="AC97" s="1" t="n">
        <f aca="false">AB97-AA97</f>
        <v>0</v>
      </c>
      <c r="AD97" s="1" t="e">
        <f aca="true">_xlfn.AGGREGATE(1,6,OFFSET($S$5,H97,0,1,$K$2))</f>
        <v>#DIV/0!</v>
      </c>
    </row>
    <row r="98" customFormat="false" ht="14.25" hidden="false" customHeight="false" outlineLevel="0" collapsed="false">
      <c r="H98" s="1" t="n">
        <f aca="false">H97+1</f>
        <v>93</v>
      </c>
      <c r="I98" s="1" t="n">
        <f aca="false">WEEKDAY('daily graphs'!K98)</f>
        <v>1</v>
      </c>
      <c r="J98" s="1" t="n">
        <f aca="false">DAY(L98)</f>
        <v>1</v>
      </c>
      <c r="K98" s="1" t="n">
        <f aca="false">MONTH(L98)</f>
        <v>4</v>
      </c>
      <c r="L98" s="23" t="n">
        <f aca="false">'daily graphs'!K98 - I98</f>
        <v>36617</v>
      </c>
      <c r="M98" s="24" t="n">
        <f aca="true">IF(TODAY()&lt;DATE($O$5,K98,J98),1000000,-1000000)</f>
        <v>-1000000</v>
      </c>
      <c r="N98" s="24" t="e">
        <f aca="false">IF(M98&gt;0,INDEX(big_daily_table,MATCH(DATE(O$5,$K98,$J98),daily_dates,0),MATCH($B$3,daily_items,0)),NA())</f>
        <v>#N/A</v>
      </c>
      <c r="O98" s="1" t="e">
        <f aca="false">IF(M98&lt;0,INDEX(big_daily_table,MATCH(DATE(O$5,$K98,$J98),daily_dates,0),MATCH($B$3,daily_items,0)),NA())</f>
        <v>#N/A</v>
      </c>
      <c r="P98" s="1" t="e">
        <f aca="false">IF(ISBLANK(INDEX(big_daily_table,MATCH(DATE(P$5,$K98,$J98),daily_dates,0),MATCH($B$3,daily_items,0))),NA(),INDEX(big_daily_table,MATCH(DATE(P$5,$K98,$J98),daily_dates,0),MATCH($B$3,daily_items,0)))</f>
        <v>#N/A</v>
      </c>
      <c r="Q98" s="1" t="e">
        <f aca="false">IF(ISBLANK(INDEX(big_daily_table,MATCH(DATE(Q$5,$K98,$J98),daily_dates,0),MATCH($B$3,daily_items,0))),NA(),INDEX(big_daily_table,MATCH(DATE(Q$5,$K98,$J98),daily_dates,0),MATCH($B$3,daily_items,0)))</f>
        <v>#N/A</v>
      </c>
      <c r="R98" s="1" t="e">
        <f aca="false">IF(ISBLANK(INDEX(big_daily_table,MATCH(DATE(R$5,$K98,$J98),daily_dates,0),MATCH($B$3,daily_items,0))),NA(),INDEX(big_daily_table,MATCH(DATE(R$5,$K98,$J98),daily_dates,0),MATCH($B$3,daily_items,0)))</f>
        <v>#N/A</v>
      </c>
      <c r="S98" s="1" t="e">
        <f aca="false">IF(ISBLANK(INDEX(big_daily_table,MATCH(DATE(S$5,$K98,$J98),daily_dates,0),MATCH($B$3,daily_items,0))),NA(),INDEX(big_daily_table,MATCH(DATE(S$5,$K98,$J98),daily_dates,0),MATCH($B$3,daily_items,0)))</f>
        <v>#N/A</v>
      </c>
      <c r="T98" s="1" t="e">
        <f aca="false">IF(ISBLANK(INDEX(big_daily_table,MATCH(DATE(T$5,$K98,$J98),daily_dates,0),MATCH($B$3,daily_items,0))),NA(),INDEX(big_daily_table,MATCH(DATE(T$5,$K98,$J98),daily_dates,0),MATCH($B$3,daily_items,0)))</f>
        <v>#N/A</v>
      </c>
      <c r="U98" s="1" t="e">
        <f aca="false">IF(ISBLANK(INDEX(big_daily_table,MATCH(DATE(U$5,$K98,$J98),daily_dates,0),MATCH($B$3,daily_items,0))),NA(),INDEX(big_daily_table,MATCH(DATE(U$5,$K98,$J98),daily_dates,0),MATCH($B$3,daily_items,0)))</f>
        <v>#N/A</v>
      </c>
      <c r="V98" s="1" t="e">
        <f aca="false">IF(ISBLANK(INDEX(big_daily_table,MATCH(DATE(V$5,$K98,$J98),daily_dates,0),MATCH($B$3,daily_items,0))),NA(),INDEX(big_daily_table,MATCH(DATE(V$5,$K98,$J98),daily_dates,0),MATCH($B$3,daily_items,0)))</f>
        <v>#N/A</v>
      </c>
      <c r="W98" s="1" t="e">
        <f aca="false">IF(ISBLANK(INDEX(big_daily_table,MATCH(DATE(W$5,$K98,$J98),daily_dates,0),MATCH($B$3,daily_items,0))),NA(),INDEX(big_daily_table,MATCH(DATE(W$5,$K98,$J98),daily_dates,0),MATCH($B$3,daily_items,0)))</f>
        <v>#N/A</v>
      </c>
      <c r="X98" s="1" t="e">
        <f aca="false">IF(ISBLANK(INDEX(big_daily_table,MATCH(DATE(X$5,$K98,$J98),daily_dates,0),MATCH($B$3,daily_items,0))),NA(),INDEX(big_daily_table,MATCH(DATE(X$5,$K98,$J98),daily_dates,0),MATCH($B$3,daily_items,0)))</f>
        <v>#N/A</v>
      </c>
      <c r="Y98" s="1" t="e">
        <f aca="false">IF(ISBLANK(INDEX(big_daily_table,MATCH(DATE(Y$5,$K98,$J98),daily_dates,0),MATCH($B$3,daily_items,0))),NA(),INDEX(big_daily_table,MATCH(DATE(Y$5,$K98,$J98),daily_dates,0),MATCH($B$3,daily_items,0)))</f>
        <v>#N/A</v>
      </c>
      <c r="Z98" s="1" t="e">
        <f aca="false">IF(ISBLANK(INDEX(big_daily_table,MATCH(DATE(Z$5,$K98,$J98),daily_dates,0),MATCH($B$3,daily_items,0))),NA(),INDEX(big_daily_table,MATCH(DATE(Z$5,$K98,$J98),daily_dates,0),MATCH($B$3,daily_items,0)))</f>
        <v>#N/A</v>
      </c>
      <c r="AA98" s="1" t="n">
        <f aca="true">_xlfn.AGGREGATE(5,6,OFFSET($S$5,H98,0,1,$K$2))</f>
        <v>0</v>
      </c>
      <c r="AB98" s="1" t="n">
        <f aca="true">_xlfn.AGGREGATE(4,6,OFFSET($S$5,H98,0,1,$K$2))</f>
        <v>0</v>
      </c>
      <c r="AC98" s="1" t="n">
        <f aca="false">AB98-AA98</f>
        <v>0</v>
      </c>
      <c r="AD98" s="1" t="e">
        <f aca="true">_xlfn.AGGREGATE(1,6,OFFSET($S$5,H98,0,1,$K$2))</f>
        <v>#DIV/0!</v>
      </c>
    </row>
    <row r="99" customFormat="false" ht="14.25" hidden="false" customHeight="false" outlineLevel="0" collapsed="false">
      <c r="H99" s="1" t="n">
        <f aca="false">H98+1</f>
        <v>94</v>
      </c>
      <c r="I99" s="1" t="n">
        <f aca="false">WEEKDAY('daily graphs'!K99)</f>
        <v>2</v>
      </c>
      <c r="J99" s="1" t="n">
        <f aca="false">DAY(L99)</f>
        <v>1</v>
      </c>
      <c r="K99" s="1" t="n">
        <f aca="false">MONTH(L99)</f>
        <v>4</v>
      </c>
      <c r="L99" s="23" t="n">
        <f aca="false">'daily graphs'!K99 - I99</f>
        <v>36617</v>
      </c>
      <c r="M99" s="24" t="n">
        <f aca="true">IF(TODAY()&lt;DATE($O$5,K99,J99),1000000,-1000000)</f>
        <v>-1000000</v>
      </c>
      <c r="N99" s="24" t="e">
        <f aca="false">IF(M99&gt;0,INDEX(big_daily_table,MATCH(DATE(O$5,$K99,$J99),daily_dates,0),MATCH($B$3,daily_items,0)),NA())</f>
        <v>#N/A</v>
      </c>
      <c r="O99" s="1" t="e">
        <f aca="false">IF(M99&lt;0,INDEX(big_daily_table,MATCH(DATE(O$5,$K99,$J99),daily_dates,0),MATCH($B$3,daily_items,0)),NA())</f>
        <v>#N/A</v>
      </c>
      <c r="P99" s="1" t="e">
        <f aca="false">IF(ISBLANK(INDEX(big_daily_table,MATCH(DATE(P$5,$K99,$J99),daily_dates,0),MATCH($B$3,daily_items,0))),NA(),INDEX(big_daily_table,MATCH(DATE(P$5,$K99,$J99),daily_dates,0),MATCH($B$3,daily_items,0)))</f>
        <v>#N/A</v>
      </c>
      <c r="Q99" s="1" t="e">
        <f aca="false">IF(ISBLANK(INDEX(big_daily_table,MATCH(DATE(Q$5,$K99,$J99),daily_dates,0),MATCH($B$3,daily_items,0))),NA(),INDEX(big_daily_table,MATCH(DATE(Q$5,$K99,$J99),daily_dates,0),MATCH($B$3,daily_items,0)))</f>
        <v>#N/A</v>
      </c>
      <c r="R99" s="1" t="e">
        <f aca="false">IF(ISBLANK(INDEX(big_daily_table,MATCH(DATE(R$5,$K99,$J99),daily_dates,0),MATCH($B$3,daily_items,0))),NA(),INDEX(big_daily_table,MATCH(DATE(R$5,$K99,$J99),daily_dates,0),MATCH($B$3,daily_items,0)))</f>
        <v>#N/A</v>
      </c>
      <c r="S99" s="1" t="e">
        <f aca="false">IF(ISBLANK(INDEX(big_daily_table,MATCH(DATE(S$5,$K99,$J99),daily_dates,0),MATCH($B$3,daily_items,0))),NA(),INDEX(big_daily_table,MATCH(DATE(S$5,$K99,$J99),daily_dates,0),MATCH($B$3,daily_items,0)))</f>
        <v>#N/A</v>
      </c>
      <c r="T99" s="1" t="e">
        <f aca="false">IF(ISBLANK(INDEX(big_daily_table,MATCH(DATE(T$5,$K99,$J99),daily_dates,0),MATCH($B$3,daily_items,0))),NA(),INDEX(big_daily_table,MATCH(DATE(T$5,$K99,$J99),daily_dates,0),MATCH($B$3,daily_items,0)))</f>
        <v>#N/A</v>
      </c>
      <c r="U99" s="1" t="e">
        <f aca="false">IF(ISBLANK(INDEX(big_daily_table,MATCH(DATE(U$5,$K99,$J99),daily_dates,0),MATCH($B$3,daily_items,0))),NA(),INDEX(big_daily_table,MATCH(DATE(U$5,$K99,$J99),daily_dates,0),MATCH($B$3,daily_items,0)))</f>
        <v>#N/A</v>
      </c>
      <c r="V99" s="1" t="e">
        <f aca="false">IF(ISBLANK(INDEX(big_daily_table,MATCH(DATE(V$5,$K99,$J99),daily_dates,0),MATCH($B$3,daily_items,0))),NA(),INDEX(big_daily_table,MATCH(DATE(V$5,$K99,$J99),daily_dates,0),MATCH($B$3,daily_items,0)))</f>
        <v>#N/A</v>
      </c>
      <c r="W99" s="1" t="e">
        <f aca="false">IF(ISBLANK(INDEX(big_daily_table,MATCH(DATE(W$5,$K99,$J99),daily_dates,0),MATCH($B$3,daily_items,0))),NA(),INDEX(big_daily_table,MATCH(DATE(W$5,$K99,$J99),daily_dates,0),MATCH($B$3,daily_items,0)))</f>
        <v>#N/A</v>
      </c>
      <c r="X99" s="1" t="e">
        <f aca="false">IF(ISBLANK(INDEX(big_daily_table,MATCH(DATE(X$5,$K99,$J99),daily_dates,0),MATCH($B$3,daily_items,0))),NA(),INDEX(big_daily_table,MATCH(DATE(X$5,$K99,$J99),daily_dates,0),MATCH($B$3,daily_items,0)))</f>
        <v>#N/A</v>
      </c>
      <c r="Y99" s="1" t="e">
        <f aca="false">IF(ISBLANK(INDEX(big_daily_table,MATCH(DATE(Y$5,$K99,$J99),daily_dates,0),MATCH($B$3,daily_items,0))),NA(),INDEX(big_daily_table,MATCH(DATE(Y$5,$K99,$J99),daily_dates,0),MATCH($B$3,daily_items,0)))</f>
        <v>#N/A</v>
      </c>
      <c r="Z99" s="1" t="e">
        <f aca="false">IF(ISBLANK(INDEX(big_daily_table,MATCH(DATE(Z$5,$K99,$J99),daily_dates,0),MATCH($B$3,daily_items,0))),NA(),INDEX(big_daily_table,MATCH(DATE(Z$5,$K99,$J99),daily_dates,0),MATCH($B$3,daily_items,0)))</f>
        <v>#N/A</v>
      </c>
      <c r="AA99" s="1" t="n">
        <f aca="true">_xlfn.AGGREGATE(5,6,OFFSET($S$5,H99,0,1,$K$2))</f>
        <v>0</v>
      </c>
      <c r="AB99" s="1" t="n">
        <f aca="true">_xlfn.AGGREGATE(4,6,OFFSET($S$5,H99,0,1,$K$2))</f>
        <v>0</v>
      </c>
      <c r="AC99" s="1" t="n">
        <f aca="false">AB99-AA99</f>
        <v>0</v>
      </c>
      <c r="AD99" s="1" t="e">
        <f aca="true">_xlfn.AGGREGATE(1,6,OFFSET($S$5,H99,0,1,$K$2))</f>
        <v>#DIV/0!</v>
      </c>
    </row>
    <row r="100" customFormat="false" ht="14.25" hidden="false" customHeight="false" outlineLevel="0" collapsed="false">
      <c r="H100" s="1" t="n">
        <f aca="false">H99+1</f>
        <v>95</v>
      </c>
      <c r="I100" s="1" t="n">
        <f aca="false">WEEKDAY('daily graphs'!K100)</f>
        <v>3</v>
      </c>
      <c r="J100" s="1" t="n">
        <f aca="false">DAY(L100)</f>
        <v>1</v>
      </c>
      <c r="K100" s="1" t="n">
        <f aca="false">MONTH(L100)</f>
        <v>4</v>
      </c>
      <c r="L100" s="23" t="n">
        <f aca="false">'daily graphs'!K100 - I100</f>
        <v>36617</v>
      </c>
      <c r="M100" s="24" t="n">
        <f aca="true">IF(TODAY()&lt;DATE($O$5,K100,J100),1000000,-1000000)</f>
        <v>-1000000</v>
      </c>
      <c r="N100" s="24" t="e">
        <f aca="false">IF(M100&gt;0,INDEX(big_daily_table,MATCH(DATE(O$5,$K100,$J100),daily_dates,0),MATCH($B$3,daily_items,0)),NA())</f>
        <v>#N/A</v>
      </c>
      <c r="O100" s="1" t="e">
        <f aca="false">IF(M100&lt;0,INDEX(big_daily_table,MATCH(DATE(O$5,$K100,$J100),daily_dates,0),MATCH($B$3,daily_items,0)),NA())</f>
        <v>#N/A</v>
      </c>
      <c r="P100" s="1" t="e">
        <f aca="false">IF(ISBLANK(INDEX(big_daily_table,MATCH(DATE(P$5,$K100,$J100),daily_dates,0),MATCH($B$3,daily_items,0))),NA(),INDEX(big_daily_table,MATCH(DATE(P$5,$K100,$J100),daily_dates,0),MATCH($B$3,daily_items,0)))</f>
        <v>#N/A</v>
      </c>
      <c r="Q100" s="1" t="e">
        <f aca="false">IF(ISBLANK(INDEX(big_daily_table,MATCH(DATE(Q$5,$K100,$J100),daily_dates,0),MATCH($B$3,daily_items,0))),NA(),INDEX(big_daily_table,MATCH(DATE(Q$5,$K100,$J100),daily_dates,0),MATCH($B$3,daily_items,0)))</f>
        <v>#N/A</v>
      </c>
      <c r="R100" s="1" t="e">
        <f aca="false">IF(ISBLANK(INDEX(big_daily_table,MATCH(DATE(R$5,$K100,$J100),daily_dates,0),MATCH($B$3,daily_items,0))),NA(),INDEX(big_daily_table,MATCH(DATE(R$5,$K100,$J100),daily_dates,0),MATCH($B$3,daily_items,0)))</f>
        <v>#N/A</v>
      </c>
      <c r="S100" s="1" t="e">
        <f aca="false">IF(ISBLANK(INDEX(big_daily_table,MATCH(DATE(S$5,$K100,$J100),daily_dates,0),MATCH($B$3,daily_items,0))),NA(),INDEX(big_daily_table,MATCH(DATE(S$5,$K100,$J100),daily_dates,0),MATCH($B$3,daily_items,0)))</f>
        <v>#N/A</v>
      </c>
      <c r="T100" s="1" t="e">
        <f aca="false">IF(ISBLANK(INDEX(big_daily_table,MATCH(DATE(T$5,$K100,$J100),daily_dates,0),MATCH($B$3,daily_items,0))),NA(),INDEX(big_daily_table,MATCH(DATE(T$5,$K100,$J100),daily_dates,0),MATCH($B$3,daily_items,0)))</f>
        <v>#N/A</v>
      </c>
      <c r="U100" s="1" t="e">
        <f aca="false">IF(ISBLANK(INDEX(big_daily_table,MATCH(DATE(U$5,$K100,$J100),daily_dates,0),MATCH($B$3,daily_items,0))),NA(),INDEX(big_daily_table,MATCH(DATE(U$5,$K100,$J100),daily_dates,0),MATCH($B$3,daily_items,0)))</f>
        <v>#N/A</v>
      </c>
      <c r="V100" s="1" t="e">
        <f aca="false">IF(ISBLANK(INDEX(big_daily_table,MATCH(DATE(V$5,$K100,$J100),daily_dates,0),MATCH($B$3,daily_items,0))),NA(),INDEX(big_daily_table,MATCH(DATE(V$5,$K100,$J100),daily_dates,0),MATCH($B$3,daily_items,0)))</f>
        <v>#N/A</v>
      </c>
      <c r="W100" s="1" t="e">
        <f aca="false">IF(ISBLANK(INDEX(big_daily_table,MATCH(DATE(W$5,$K100,$J100),daily_dates,0),MATCH($B$3,daily_items,0))),NA(),INDEX(big_daily_table,MATCH(DATE(W$5,$K100,$J100),daily_dates,0),MATCH($B$3,daily_items,0)))</f>
        <v>#N/A</v>
      </c>
      <c r="X100" s="1" t="e">
        <f aca="false">IF(ISBLANK(INDEX(big_daily_table,MATCH(DATE(X$5,$K100,$J100),daily_dates,0),MATCH($B$3,daily_items,0))),NA(),INDEX(big_daily_table,MATCH(DATE(X$5,$K100,$J100),daily_dates,0),MATCH($B$3,daily_items,0)))</f>
        <v>#N/A</v>
      </c>
      <c r="Y100" s="1" t="e">
        <f aca="false">IF(ISBLANK(INDEX(big_daily_table,MATCH(DATE(Y$5,$K100,$J100),daily_dates,0),MATCH($B$3,daily_items,0))),NA(),INDEX(big_daily_table,MATCH(DATE(Y$5,$K100,$J100),daily_dates,0),MATCH($B$3,daily_items,0)))</f>
        <v>#N/A</v>
      </c>
      <c r="Z100" s="1" t="e">
        <f aca="false">IF(ISBLANK(INDEX(big_daily_table,MATCH(DATE(Z$5,$K100,$J100),daily_dates,0),MATCH($B$3,daily_items,0))),NA(),INDEX(big_daily_table,MATCH(DATE(Z$5,$K100,$J100),daily_dates,0),MATCH($B$3,daily_items,0)))</f>
        <v>#N/A</v>
      </c>
      <c r="AA100" s="1" t="n">
        <f aca="true">_xlfn.AGGREGATE(5,6,OFFSET($S$5,H100,0,1,$K$2))</f>
        <v>0</v>
      </c>
      <c r="AB100" s="1" t="n">
        <f aca="true">_xlfn.AGGREGATE(4,6,OFFSET($S$5,H100,0,1,$K$2))</f>
        <v>0</v>
      </c>
      <c r="AC100" s="1" t="n">
        <f aca="false">AB100-AA100</f>
        <v>0</v>
      </c>
      <c r="AD100" s="1" t="e">
        <f aca="true">_xlfn.AGGREGATE(1,6,OFFSET($S$5,H100,0,1,$K$2))</f>
        <v>#DIV/0!</v>
      </c>
    </row>
    <row r="101" customFormat="false" ht="14.25" hidden="false" customHeight="false" outlineLevel="0" collapsed="false">
      <c r="H101" s="1" t="n">
        <f aca="false">H100+1</f>
        <v>96</v>
      </c>
      <c r="I101" s="1" t="n">
        <f aca="false">WEEKDAY('daily graphs'!K101)</f>
        <v>4</v>
      </c>
      <c r="J101" s="1" t="n">
        <f aca="false">DAY(L101)</f>
        <v>1</v>
      </c>
      <c r="K101" s="1" t="n">
        <f aca="false">MONTH(L101)</f>
        <v>4</v>
      </c>
      <c r="L101" s="23" t="n">
        <f aca="false">'daily graphs'!K101 - I101</f>
        <v>36617</v>
      </c>
      <c r="M101" s="24" t="n">
        <f aca="true">IF(TODAY()&lt;DATE($O$5,K101,J101),1000000,-1000000)</f>
        <v>-1000000</v>
      </c>
      <c r="N101" s="24" t="e">
        <f aca="false">IF(M101&gt;0,INDEX(big_daily_table,MATCH(DATE(O$5,$K101,$J101),daily_dates,0),MATCH($B$3,daily_items,0)),NA())</f>
        <v>#N/A</v>
      </c>
      <c r="O101" s="1" t="e">
        <f aca="false">IF(M101&lt;0,INDEX(big_daily_table,MATCH(DATE(O$5,$K101,$J101),daily_dates,0),MATCH($B$3,daily_items,0)),NA())</f>
        <v>#N/A</v>
      </c>
      <c r="P101" s="1" t="e">
        <f aca="false">IF(ISBLANK(INDEX(big_daily_table,MATCH(DATE(P$5,$K101,$J101),daily_dates,0),MATCH($B$3,daily_items,0))),NA(),INDEX(big_daily_table,MATCH(DATE(P$5,$K101,$J101),daily_dates,0),MATCH($B$3,daily_items,0)))</f>
        <v>#N/A</v>
      </c>
      <c r="Q101" s="1" t="e">
        <f aca="false">IF(ISBLANK(INDEX(big_daily_table,MATCH(DATE(Q$5,$K101,$J101),daily_dates,0),MATCH($B$3,daily_items,0))),NA(),INDEX(big_daily_table,MATCH(DATE(Q$5,$K101,$J101),daily_dates,0),MATCH($B$3,daily_items,0)))</f>
        <v>#N/A</v>
      </c>
      <c r="R101" s="1" t="e">
        <f aca="false">IF(ISBLANK(INDEX(big_daily_table,MATCH(DATE(R$5,$K101,$J101),daily_dates,0),MATCH($B$3,daily_items,0))),NA(),INDEX(big_daily_table,MATCH(DATE(R$5,$K101,$J101),daily_dates,0),MATCH($B$3,daily_items,0)))</f>
        <v>#N/A</v>
      </c>
      <c r="S101" s="1" t="e">
        <f aca="false">IF(ISBLANK(INDEX(big_daily_table,MATCH(DATE(S$5,$K101,$J101),daily_dates,0),MATCH($B$3,daily_items,0))),NA(),INDEX(big_daily_table,MATCH(DATE(S$5,$K101,$J101),daily_dates,0),MATCH($B$3,daily_items,0)))</f>
        <v>#N/A</v>
      </c>
      <c r="T101" s="1" t="e">
        <f aca="false">IF(ISBLANK(INDEX(big_daily_table,MATCH(DATE(T$5,$K101,$J101),daily_dates,0),MATCH($B$3,daily_items,0))),NA(),INDEX(big_daily_table,MATCH(DATE(T$5,$K101,$J101),daily_dates,0),MATCH($B$3,daily_items,0)))</f>
        <v>#N/A</v>
      </c>
      <c r="U101" s="1" t="e">
        <f aca="false">IF(ISBLANK(INDEX(big_daily_table,MATCH(DATE(U$5,$K101,$J101),daily_dates,0),MATCH($B$3,daily_items,0))),NA(),INDEX(big_daily_table,MATCH(DATE(U$5,$K101,$J101),daily_dates,0),MATCH($B$3,daily_items,0)))</f>
        <v>#N/A</v>
      </c>
      <c r="V101" s="1" t="e">
        <f aca="false">IF(ISBLANK(INDEX(big_daily_table,MATCH(DATE(V$5,$K101,$J101),daily_dates,0),MATCH($B$3,daily_items,0))),NA(),INDEX(big_daily_table,MATCH(DATE(V$5,$K101,$J101),daily_dates,0),MATCH($B$3,daily_items,0)))</f>
        <v>#N/A</v>
      </c>
      <c r="W101" s="1" t="e">
        <f aca="false">IF(ISBLANK(INDEX(big_daily_table,MATCH(DATE(W$5,$K101,$J101),daily_dates,0),MATCH($B$3,daily_items,0))),NA(),INDEX(big_daily_table,MATCH(DATE(W$5,$K101,$J101),daily_dates,0),MATCH($B$3,daily_items,0)))</f>
        <v>#N/A</v>
      </c>
      <c r="X101" s="1" t="e">
        <f aca="false">IF(ISBLANK(INDEX(big_daily_table,MATCH(DATE(X$5,$K101,$J101),daily_dates,0),MATCH($B$3,daily_items,0))),NA(),INDEX(big_daily_table,MATCH(DATE(X$5,$K101,$J101),daily_dates,0),MATCH($B$3,daily_items,0)))</f>
        <v>#N/A</v>
      </c>
      <c r="Y101" s="1" t="e">
        <f aca="false">IF(ISBLANK(INDEX(big_daily_table,MATCH(DATE(Y$5,$K101,$J101),daily_dates,0),MATCH($B$3,daily_items,0))),NA(),INDEX(big_daily_table,MATCH(DATE(Y$5,$K101,$J101),daily_dates,0),MATCH($B$3,daily_items,0)))</f>
        <v>#N/A</v>
      </c>
      <c r="Z101" s="1" t="e">
        <f aca="false">IF(ISBLANK(INDEX(big_daily_table,MATCH(DATE(Z$5,$K101,$J101),daily_dates,0),MATCH($B$3,daily_items,0))),NA(),INDEX(big_daily_table,MATCH(DATE(Z$5,$K101,$J101),daily_dates,0),MATCH($B$3,daily_items,0)))</f>
        <v>#N/A</v>
      </c>
      <c r="AA101" s="1" t="n">
        <f aca="true">_xlfn.AGGREGATE(5,6,OFFSET($S$5,H101,0,1,$K$2))</f>
        <v>0</v>
      </c>
      <c r="AB101" s="1" t="n">
        <f aca="true">_xlfn.AGGREGATE(4,6,OFFSET($S$5,H101,0,1,$K$2))</f>
        <v>0</v>
      </c>
      <c r="AC101" s="1" t="n">
        <f aca="false">AB101-AA101</f>
        <v>0</v>
      </c>
      <c r="AD101" s="1" t="e">
        <f aca="true">_xlfn.AGGREGATE(1,6,OFFSET($S$5,H101,0,1,$K$2))</f>
        <v>#DIV/0!</v>
      </c>
    </row>
    <row r="102" customFormat="false" ht="14.25" hidden="false" customHeight="false" outlineLevel="0" collapsed="false">
      <c r="H102" s="1" t="n">
        <f aca="false">H101+1</f>
        <v>97</v>
      </c>
      <c r="I102" s="1" t="n">
        <f aca="false">WEEKDAY('daily graphs'!K102)</f>
        <v>5</v>
      </c>
      <c r="J102" s="1" t="n">
        <f aca="false">DAY(L102)</f>
        <v>1</v>
      </c>
      <c r="K102" s="1" t="n">
        <f aca="false">MONTH(L102)</f>
        <v>4</v>
      </c>
      <c r="L102" s="23" t="n">
        <f aca="false">'daily graphs'!K102 - I102</f>
        <v>36617</v>
      </c>
      <c r="M102" s="24" t="n">
        <f aca="true">IF(TODAY()&lt;DATE($O$5,K102,J102),1000000,-1000000)</f>
        <v>-1000000</v>
      </c>
      <c r="N102" s="24" t="e">
        <f aca="false">IF(M102&gt;0,INDEX(big_daily_table,MATCH(DATE(O$5,$K102,$J102),daily_dates,0),MATCH($B$3,daily_items,0)),NA())</f>
        <v>#N/A</v>
      </c>
      <c r="O102" s="1" t="e">
        <f aca="false">IF(M102&lt;0,INDEX(big_daily_table,MATCH(DATE(O$5,$K102,$J102),daily_dates,0),MATCH($B$3,daily_items,0)),NA())</f>
        <v>#N/A</v>
      </c>
      <c r="P102" s="1" t="e">
        <f aca="false">IF(ISBLANK(INDEX(big_daily_table,MATCH(DATE(P$5,$K102,$J102),daily_dates,0),MATCH($B$3,daily_items,0))),NA(),INDEX(big_daily_table,MATCH(DATE(P$5,$K102,$J102),daily_dates,0),MATCH($B$3,daily_items,0)))</f>
        <v>#N/A</v>
      </c>
      <c r="Q102" s="1" t="e">
        <f aca="false">IF(ISBLANK(INDEX(big_daily_table,MATCH(DATE(Q$5,$K102,$J102),daily_dates,0),MATCH($B$3,daily_items,0))),NA(),INDEX(big_daily_table,MATCH(DATE(Q$5,$K102,$J102),daily_dates,0),MATCH($B$3,daily_items,0)))</f>
        <v>#N/A</v>
      </c>
      <c r="R102" s="1" t="e">
        <f aca="false">IF(ISBLANK(INDEX(big_daily_table,MATCH(DATE(R$5,$K102,$J102),daily_dates,0),MATCH($B$3,daily_items,0))),NA(),INDEX(big_daily_table,MATCH(DATE(R$5,$K102,$J102),daily_dates,0),MATCH($B$3,daily_items,0)))</f>
        <v>#N/A</v>
      </c>
      <c r="S102" s="1" t="e">
        <f aca="false">IF(ISBLANK(INDEX(big_daily_table,MATCH(DATE(S$5,$K102,$J102),daily_dates,0),MATCH($B$3,daily_items,0))),NA(),INDEX(big_daily_table,MATCH(DATE(S$5,$K102,$J102),daily_dates,0),MATCH($B$3,daily_items,0)))</f>
        <v>#N/A</v>
      </c>
      <c r="T102" s="1" t="e">
        <f aca="false">IF(ISBLANK(INDEX(big_daily_table,MATCH(DATE(T$5,$K102,$J102),daily_dates,0),MATCH($B$3,daily_items,0))),NA(),INDEX(big_daily_table,MATCH(DATE(T$5,$K102,$J102),daily_dates,0),MATCH($B$3,daily_items,0)))</f>
        <v>#N/A</v>
      </c>
      <c r="U102" s="1" t="e">
        <f aca="false">IF(ISBLANK(INDEX(big_daily_table,MATCH(DATE(U$5,$K102,$J102),daily_dates,0),MATCH($B$3,daily_items,0))),NA(),INDEX(big_daily_table,MATCH(DATE(U$5,$K102,$J102),daily_dates,0),MATCH($B$3,daily_items,0)))</f>
        <v>#N/A</v>
      </c>
      <c r="V102" s="1" t="e">
        <f aca="false">IF(ISBLANK(INDEX(big_daily_table,MATCH(DATE(V$5,$K102,$J102),daily_dates,0),MATCH($B$3,daily_items,0))),NA(),INDEX(big_daily_table,MATCH(DATE(V$5,$K102,$J102),daily_dates,0),MATCH($B$3,daily_items,0)))</f>
        <v>#N/A</v>
      </c>
      <c r="W102" s="1" t="e">
        <f aca="false">IF(ISBLANK(INDEX(big_daily_table,MATCH(DATE(W$5,$K102,$J102),daily_dates,0),MATCH($B$3,daily_items,0))),NA(),INDEX(big_daily_table,MATCH(DATE(W$5,$K102,$J102),daily_dates,0),MATCH($B$3,daily_items,0)))</f>
        <v>#N/A</v>
      </c>
      <c r="X102" s="1" t="e">
        <f aca="false">IF(ISBLANK(INDEX(big_daily_table,MATCH(DATE(X$5,$K102,$J102),daily_dates,0),MATCH($B$3,daily_items,0))),NA(),INDEX(big_daily_table,MATCH(DATE(X$5,$K102,$J102),daily_dates,0),MATCH($B$3,daily_items,0)))</f>
        <v>#N/A</v>
      </c>
      <c r="Y102" s="1" t="e">
        <f aca="false">IF(ISBLANK(INDEX(big_daily_table,MATCH(DATE(Y$5,$K102,$J102),daily_dates,0),MATCH($B$3,daily_items,0))),NA(),INDEX(big_daily_table,MATCH(DATE(Y$5,$K102,$J102),daily_dates,0),MATCH($B$3,daily_items,0)))</f>
        <v>#N/A</v>
      </c>
      <c r="Z102" s="1" t="e">
        <f aca="false">IF(ISBLANK(INDEX(big_daily_table,MATCH(DATE(Z$5,$K102,$J102),daily_dates,0),MATCH($B$3,daily_items,0))),NA(),INDEX(big_daily_table,MATCH(DATE(Z$5,$K102,$J102),daily_dates,0),MATCH($B$3,daily_items,0)))</f>
        <v>#N/A</v>
      </c>
      <c r="AA102" s="1" t="n">
        <f aca="true">_xlfn.AGGREGATE(5,6,OFFSET($S$5,H102,0,1,$K$2))</f>
        <v>0</v>
      </c>
      <c r="AB102" s="1" t="n">
        <f aca="true">_xlfn.AGGREGATE(4,6,OFFSET($S$5,H102,0,1,$K$2))</f>
        <v>0</v>
      </c>
      <c r="AC102" s="1" t="n">
        <f aca="false">AB102-AA102</f>
        <v>0</v>
      </c>
      <c r="AD102" s="1" t="e">
        <f aca="true">_xlfn.AGGREGATE(1,6,OFFSET($S$5,H102,0,1,$K$2))</f>
        <v>#DIV/0!</v>
      </c>
    </row>
    <row r="103" customFormat="false" ht="14.25" hidden="false" customHeight="false" outlineLevel="0" collapsed="false">
      <c r="H103" s="1" t="n">
        <f aca="false">H102+1</f>
        <v>98</v>
      </c>
      <c r="I103" s="1" t="n">
        <f aca="false">WEEKDAY('daily graphs'!K103)</f>
        <v>6</v>
      </c>
      <c r="J103" s="1" t="n">
        <f aca="false">DAY(L103)</f>
        <v>1</v>
      </c>
      <c r="K103" s="1" t="n">
        <f aca="false">MONTH(L103)</f>
        <v>4</v>
      </c>
      <c r="L103" s="23" t="n">
        <f aca="false">'daily graphs'!K103 - I103</f>
        <v>36617</v>
      </c>
      <c r="M103" s="24" t="n">
        <f aca="true">IF(TODAY()&lt;DATE($O$5,K103,J103),1000000,-1000000)</f>
        <v>-1000000</v>
      </c>
      <c r="N103" s="24" t="e">
        <f aca="false">IF(M103&gt;0,INDEX(big_daily_table,MATCH(DATE(O$5,$K103,$J103),daily_dates,0),MATCH($B$3,daily_items,0)),NA())</f>
        <v>#N/A</v>
      </c>
      <c r="O103" s="1" t="e">
        <f aca="false">IF(M103&lt;0,INDEX(big_daily_table,MATCH(DATE(O$5,$K103,$J103),daily_dates,0),MATCH($B$3,daily_items,0)),NA())</f>
        <v>#N/A</v>
      </c>
      <c r="P103" s="1" t="e">
        <f aca="false">IF(ISBLANK(INDEX(big_daily_table,MATCH(DATE(P$5,$K103,$J103),daily_dates,0),MATCH($B$3,daily_items,0))),NA(),INDEX(big_daily_table,MATCH(DATE(P$5,$K103,$J103),daily_dates,0),MATCH($B$3,daily_items,0)))</f>
        <v>#N/A</v>
      </c>
      <c r="Q103" s="1" t="e">
        <f aca="false">IF(ISBLANK(INDEX(big_daily_table,MATCH(DATE(Q$5,$K103,$J103),daily_dates,0),MATCH($B$3,daily_items,0))),NA(),INDEX(big_daily_table,MATCH(DATE(Q$5,$K103,$J103),daily_dates,0),MATCH($B$3,daily_items,0)))</f>
        <v>#N/A</v>
      </c>
      <c r="R103" s="1" t="e">
        <f aca="false">IF(ISBLANK(INDEX(big_daily_table,MATCH(DATE(R$5,$K103,$J103),daily_dates,0),MATCH($B$3,daily_items,0))),NA(),INDEX(big_daily_table,MATCH(DATE(R$5,$K103,$J103),daily_dates,0),MATCH($B$3,daily_items,0)))</f>
        <v>#N/A</v>
      </c>
      <c r="S103" s="1" t="e">
        <f aca="false">IF(ISBLANK(INDEX(big_daily_table,MATCH(DATE(S$5,$K103,$J103),daily_dates,0),MATCH($B$3,daily_items,0))),NA(),INDEX(big_daily_table,MATCH(DATE(S$5,$K103,$J103),daily_dates,0),MATCH($B$3,daily_items,0)))</f>
        <v>#N/A</v>
      </c>
      <c r="T103" s="1" t="e">
        <f aca="false">IF(ISBLANK(INDEX(big_daily_table,MATCH(DATE(T$5,$K103,$J103),daily_dates,0),MATCH($B$3,daily_items,0))),NA(),INDEX(big_daily_table,MATCH(DATE(T$5,$K103,$J103),daily_dates,0),MATCH($B$3,daily_items,0)))</f>
        <v>#N/A</v>
      </c>
      <c r="U103" s="1" t="e">
        <f aca="false">IF(ISBLANK(INDEX(big_daily_table,MATCH(DATE(U$5,$K103,$J103),daily_dates,0),MATCH($B$3,daily_items,0))),NA(),INDEX(big_daily_table,MATCH(DATE(U$5,$K103,$J103),daily_dates,0),MATCH($B$3,daily_items,0)))</f>
        <v>#N/A</v>
      </c>
      <c r="V103" s="1" t="e">
        <f aca="false">IF(ISBLANK(INDEX(big_daily_table,MATCH(DATE(V$5,$K103,$J103),daily_dates,0),MATCH($B$3,daily_items,0))),NA(),INDEX(big_daily_table,MATCH(DATE(V$5,$K103,$J103),daily_dates,0),MATCH($B$3,daily_items,0)))</f>
        <v>#N/A</v>
      </c>
      <c r="W103" s="1" t="e">
        <f aca="false">IF(ISBLANK(INDEX(big_daily_table,MATCH(DATE(W$5,$K103,$J103),daily_dates,0),MATCH($B$3,daily_items,0))),NA(),INDEX(big_daily_table,MATCH(DATE(W$5,$K103,$J103),daily_dates,0),MATCH($B$3,daily_items,0)))</f>
        <v>#N/A</v>
      </c>
      <c r="X103" s="1" t="e">
        <f aca="false">IF(ISBLANK(INDEX(big_daily_table,MATCH(DATE(X$5,$K103,$J103),daily_dates,0),MATCH($B$3,daily_items,0))),NA(),INDEX(big_daily_table,MATCH(DATE(X$5,$K103,$J103),daily_dates,0),MATCH($B$3,daily_items,0)))</f>
        <v>#N/A</v>
      </c>
      <c r="Y103" s="1" t="e">
        <f aca="false">IF(ISBLANK(INDEX(big_daily_table,MATCH(DATE(Y$5,$K103,$J103),daily_dates,0),MATCH($B$3,daily_items,0))),NA(),INDEX(big_daily_table,MATCH(DATE(Y$5,$K103,$J103),daily_dates,0),MATCH($B$3,daily_items,0)))</f>
        <v>#N/A</v>
      </c>
      <c r="Z103" s="1" t="e">
        <f aca="false">IF(ISBLANK(INDEX(big_daily_table,MATCH(DATE(Z$5,$K103,$J103),daily_dates,0),MATCH($B$3,daily_items,0))),NA(),INDEX(big_daily_table,MATCH(DATE(Z$5,$K103,$J103),daily_dates,0),MATCH($B$3,daily_items,0)))</f>
        <v>#N/A</v>
      </c>
      <c r="AA103" s="1" t="n">
        <f aca="true">_xlfn.AGGREGATE(5,6,OFFSET($S$5,H103,0,1,$K$2))</f>
        <v>0</v>
      </c>
      <c r="AB103" s="1" t="n">
        <f aca="true">_xlfn.AGGREGATE(4,6,OFFSET($S$5,H103,0,1,$K$2))</f>
        <v>0</v>
      </c>
      <c r="AC103" s="1" t="n">
        <f aca="false">AB103-AA103</f>
        <v>0</v>
      </c>
      <c r="AD103" s="1" t="e">
        <f aca="true">_xlfn.AGGREGATE(1,6,OFFSET($S$5,H103,0,1,$K$2))</f>
        <v>#DIV/0!</v>
      </c>
    </row>
    <row r="104" customFormat="false" ht="14.25" hidden="false" customHeight="false" outlineLevel="0" collapsed="false">
      <c r="H104" s="1" t="n">
        <f aca="false">H103+1</f>
        <v>99</v>
      </c>
      <c r="I104" s="1" t="n">
        <f aca="false">WEEKDAY('daily graphs'!K104)</f>
        <v>7</v>
      </c>
      <c r="J104" s="1" t="n">
        <f aca="false">DAY(L104)</f>
        <v>1</v>
      </c>
      <c r="K104" s="1" t="n">
        <f aca="false">MONTH(L104)</f>
        <v>4</v>
      </c>
      <c r="L104" s="23" t="n">
        <f aca="false">'daily graphs'!K104 - I104</f>
        <v>36617</v>
      </c>
      <c r="M104" s="24" t="n">
        <f aca="true">IF(TODAY()&lt;DATE($O$5,K104,J104),1000000,-1000000)</f>
        <v>-1000000</v>
      </c>
      <c r="N104" s="24" t="e">
        <f aca="false">IF(M104&gt;0,INDEX(big_daily_table,MATCH(DATE(O$5,$K104,$J104),daily_dates,0),MATCH($B$3,daily_items,0)),NA())</f>
        <v>#N/A</v>
      </c>
      <c r="O104" s="1" t="e">
        <f aca="false">IF(M104&lt;0,INDEX(big_daily_table,MATCH(DATE(O$5,$K104,$J104),daily_dates,0),MATCH($B$3,daily_items,0)),NA())</f>
        <v>#N/A</v>
      </c>
      <c r="P104" s="1" t="e">
        <f aca="false">IF(ISBLANK(INDEX(big_daily_table,MATCH(DATE(P$5,$K104,$J104),daily_dates,0),MATCH($B$3,daily_items,0))),NA(),INDEX(big_daily_table,MATCH(DATE(P$5,$K104,$J104),daily_dates,0),MATCH($B$3,daily_items,0)))</f>
        <v>#N/A</v>
      </c>
      <c r="Q104" s="1" t="e">
        <f aca="false">IF(ISBLANK(INDEX(big_daily_table,MATCH(DATE(Q$5,$K104,$J104),daily_dates,0),MATCH($B$3,daily_items,0))),NA(),INDEX(big_daily_table,MATCH(DATE(Q$5,$K104,$J104),daily_dates,0),MATCH($B$3,daily_items,0)))</f>
        <v>#N/A</v>
      </c>
      <c r="R104" s="1" t="e">
        <f aca="false">IF(ISBLANK(INDEX(big_daily_table,MATCH(DATE(R$5,$K104,$J104),daily_dates,0),MATCH($B$3,daily_items,0))),NA(),INDEX(big_daily_table,MATCH(DATE(R$5,$K104,$J104),daily_dates,0),MATCH($B$3,daily_items,0)))</f>
        <v>#N/A</v>
      </c>
      <c r="S104" s="1" t="e">
        <f aca="false">IF(ISBLANK(INDEX(big_daily_table,MATCH(DATE(S$5,$K104,$J104),daily_dates,0),MATCH($B$3,daily_items,0))),NA(),INDEX(big_daily_table,MATCH(DATE(S$5,$K104,$J104),daily_dates,0),MATCH($B$3,daily_items,0)))</f>
        <v>#N/A</v>
      </c>
      <c r="T104" s="1" t="e">
        <f aca="false">IF(ISBLANK(INDEX(big_daily_table,MATCH(DATE(T$5,$K104,$J104),daily_dates,0),MATCH($B$3,daily_items,0))),NA(),INDEX(big_daily_table,MATCH(DATE(T$5,$K104,$J104),daily_dates,0),MATCH($B$3,daily_items,0)))</f>
        <v>#N/A</v>
      </c>
      <c r="U104" s="1" t="e">
        <f aca="false">IF(ISBLANK(INDEX(big_daily_table,MATCH(DATE(U$5,$K104,$J104),daily_dates,0),MATCH($B$3,daily_items,0))),NA(),INDEX(big_daily_table,MATCH(DATE(U$5,$K104,$J104),daily_dates,0),MATCH($B$3,daily_items,0)))</f>
        <v>#N/A</v>
      </c>
      <c r="V104" s="1" t="e">
        <f aca="false">IF(ISBLANK(INDEX(big_daily_table,MATCH(DATE(V$5,$K104,$J104),daily_dates,0),MATCH($B$3,daily_items,0))),NA(),INDEX(big_daily_table,MATCH(DATE(V$5,$K104,$J104),daily_dates,0),MATCH($B$3,daily_items,0)))</f>
        <v>#N/A</v>
      </c>
      <c r="W104" s="1" t="e">
        <f aca="false">IF(ISBLANK(INDEX(big_daily_table,MATCH(DATE(W$5,$K104,$J104),daily_dates,0),MATCH($B$3,daily_items,0))),NA(),INDEX(big_daily_table,MATCH(DATE(W$5,$K104,$J104),daily_dates,0),MATCH($B$3,daily_items,0)))</f>
        <v>#N/A</v>
      </c>
      <c r="X104" s="1" t="e">
        <f aca="false">IF(ISBLANK(INDEX(big_daily_table,MATCH(DATE(X$5,$K104,$J104),daily_dates,0),MATCH($B$3,daily_items,0))),NA(),INDEX(big_daily_table,MATCH(DATE(X$5,$K104,$J104),daily_dates,0),MATCH($B$3,daily_items,0)))</f>
        <v>#N/A</v>
      </c>
      <c r="Y104" s="1" t="e">
        <f aca="false">IF(ISBLANK(INDEX(big_daily_table,MATCH(DATE(Y$5,$K104,$J104),daily_dates,0),MATCH($B$3,daily_items,0))),NA(),INDEX(big_daily_table,MATCH(DATE(Y$5,$K104,$J104),daily_dates,0),MATCH($B$3,daily_items,0)))</f>
        <v>#N/A</v>
      </c>
      <c r="Z104" s="1" t="e">
        <f aca="false">IF(ISBLANK(INDEX(big_daily_table,MATCH(DATE(Z$5,$K104,$J104),daily_dates,0),MATCH($B$3,daily_items,0))),NA(),INDEX(big_daily_table,MATCH(DATE(Z$5,$K104,$J104),daily_dates,0),MATCH($B$3,daily_items,0)))</f>
        <v>#N/A</v>
      </c>
      <c r="AA104" s="1" t="n">
        <f aca="true">_xlfn.AGGREGATE(5,6,OFFSET($S$5,H104,0,1,$K$2))</f>
        <v>0</v>
      </c>
      <c r="AB104" s="1" t="n">
        <f aca="true">_xlfn.AGGREGATE(4,6,OFFSET($S$5,H104,0,1,$K$2))</f>
        <v>0</v>
      </c>
      <c r="AC104" s="1" t="n">
        <f aca="false">AB104-AA104</f>
        <v>0</v>
      </c>
      <c r="AD104" s="1" t="e">
        <f aca="true">_xlfn.AGGREGATE(1,6,OFFSET($S$5,H104,0,1,$K$2))</f>
        <v>#DIV/0!</v>
      </c>
    </row>
    <row r="105" customFormat="false" ht="14.25" hidden="false" customHeight="false" outlineLevel="0" collapsed="false">
      <c r="H105" s="1" t="n">
        <f aca="false">H104+1</f>
        <v>100</v>
      </c>
      <c r="I105" s="1" t="n">
        <f aca="false">WEEKDAY('daily graphs'!K105)</f>
        <v>1</v>
      </c>
      <c r="J105" s="1" t="n">
        <f aca="false">DAY(L105)</f>
        <v>8</v>
      </c>
      <c r="K105" s="1" t="n">
        <f aca="false">MONTH(L105)</f>
        <v>4</v>
      </c>
      <c r="L105" s="23" t="n">
        <f aca="false">'daily graphs'!K105 - I105</f>
        <v>36624</v>
      </c>
      <c r="M105" s="24" t="n">
        <f aca="true">IF(TODAY()&lt;DATE($O$5,K105,J105),1000000,-1000000)</f>
        <v>-1000000</v>
      </c>
      <c r="N105" s="24" t="e">
        <f aca="false">IF(M105&gt;0,INDEX(big_daily_table,MATCH(DATE(O$5,$K105,$J105),daily_dates,0),MATCH($B$3,daily_items,0)),NA())</f>
        <v>#N/A</v>
      </c>
      <c r="O105" s="1" t="e">
        <f aca="false">IF(M105&lt;0,INDEX(big_daily_table,MATCH(DATE(O$5,$K105,$J105),daily_dates,0),MATCH($B$3,daily_items,0)),NA())</f>
        <v>#N/A</v>
      </c>
      <c r="P105" s="1" t="e">
        <f aca="false">IF(ISBLANK(INDEX(big_daily_table,MATCH(DATE(P$5,$K105,$J105),daily_dates,0),MATCH($B$3,daily_items,0))),NA(),INDEX(big_daily_table,MATCH(DATE(P$5,$K105,$J105),daily_dates,0),MATCH($B$3,daily_items,0)))</f>
        <v>#N/A</v>
      </c>
      <c r="Q105" s="1" t="e">
        <f aca="false">IF(ISBLANK(INDEX(big_daily_table,MATCH(DATE(Q$5,$K105,$J105),daily_dates,0),MATCH($B$3,daily_items,0))),NA(),INDEX(big_daily_table,MATCH(DATE(Q$5,$K105,$J105),daily_dates,0),MATCH($B$3,daily_items,0)))</f>
        <v>#N/A</v>
      </c>
      <c r="R105" s="1" t="e">
        <f aca="false">IF(ISBLANK(INDEX(big_daily_table,MATCH(DATE(R$5,$K105,$J105),daily_dates,0),MATCH($B$3,daily_items,0))),NA(),INDEX(big_daily_table,MATCH(DATE(R$5,$K105,$J105),daily_dates,0),MATCH($B$3,daily_items,0)))</f>
        <v>#N/A</v>
      </c>
      <c r="S105" s="1" t="e">
        <f aca="false">IF(ISBLANK(INDEX(big_daily_table,MATCH(DATE(S$5,$K105,$J105),daily_dates,0),MATCH($B$3,daily_items,0))),NA(),INDEX(big_daily_table,MATCH(DATE(S$5,$K105,$J105),daily_dates,0),MATCH($B$3,daily_items,0)))</f>
        <v>#N/A</v>
      </c>
      <c r="T105" s="1" t="e">
        <f aca="false">IF(ISBLANK(INDEX(big_daily_table,MATCH(DATE(T$5,$K105,$J105),daily_dates,0),MATCH($B$3,daily_items,0))),NA(),INDEX(big_daily_table,MATCH(DATE(T$5,$K105,$J105),daily_dates,0),MATCH($B$3,daily_items,0)))</f>
        <v>#N/A</v>
      </c>
      <c r="U105" s="1" t="e">
        <f aca="false">IF(ISBLANK(INDEX(big_daily_table,MATCH(DATE(U$5,$K105,$J105),daily_dates,0),MATCH($B$3,daily_items,0))),NA(),INDEX(big_daily_table,MATCH(DATE(U$5,$K105,$J105),daily_dates,0),MATCH($B$3,daily_items,0)))</f>
        <v>#N/A</v>
      </c>
      <c r="V105" s="1" t="e">
        <f aca="false">IF(ISBLANK(INDEX(big_daily_table,MATCH(DATE(V$5,$K105,$J105),daily_dates,0),MATCH($B$3,daily_items,0))),NA(),INDEX(big_daily_table,MATCH(DATE(V$5,$K105,$J105),daily_dates,0),MATCH($B$3,daily_items,0)))</f>
        <v>#N/A</v>
      </c>
      <c r="W105" s="1" t="e">
        <f aca="false">IF(ISBLANK(INDEX(big_daily_table,MATCH(DATE(W$5,$K105,$J105),daily_dates,0),MATCH($B$3,daily_items,0))),NA(),INDEX(big_daily_table,MATCH(DATE(W$5,$K105,$J105),daily_dates,0),MATCH($B$3,daily_items,0)))</f>
        <v>#N/A</v>
      </c>
      <c r="X105" s="1" t="e">
        <f aca="false">IF(ISBLANK(INDEX(big_daily_table,MATCH(DATE(X$5,$K105,$J105),daily_dates,0),MATCH($B$3,daily_items,0))),NA(),INDEX(big_daily_table,MATCH(DATE(X$5,$K105,$J105),daily_dates,0),MATCH($B$3,daily_items,0)))</f>
        <v>#N/A</v>
      </c>
      <c r="Y105" s="1" t="e">
        <f aca="false">IF(ISBLANK(INDEX(big_daily_table,MATCH(DATE(Y$5,$K105,$J105),daily_dates,0),MATCH($B$3,daily_items,0))),NA(),INDEX(big_daily_table,MATCH(DATE(Y$5,$K105,$J105),daily_dates,0),MATCH($B$3,daily_items,0)))</f>
        <v>#N/A</v>
      </c>
      <c r="Z105" s="1" t="e">
        <f aca="false">IF(ISBLANK(INDEX(big_daily_table,MATCH(DATE(Z$5,$K105,$J105),daily_dates,0),MATCH($B$3,daily_items,0))),NA(),INDEX(big_daily_table,MATCH(DATE(Z$5,$K105,$J105),daily_dates,0),MATCH($B$3,daily_items,0)))</f>
        <v>#N/A</v>
      </c>
      <c r="AA105" s="1" t="n">
        <f aca="true">_xlfn.AGGREGATE(5,6,OFFSET($S$5,H105,0,1,$K$2))</f>
        <v>0</v>
      </c>
      <c r="AB105" s="1" t="n">
        <f aca="true">_xlfn.AGGREGATE(4,6,OFFSET($S$5,H105,0,1,$K$2))</f>
        <v>0</v>
      </c>
      <c r="AC105" s="1" t="n">
        <f aca="false">AB105-AA105</f>
        <v>0</v>
      </c>
      <c r="AD105" s="1" t="e">
        <f aca="true">_xlfn.AGGREGATE(1,6,OFFSET($S$5,H105,0,1,$K$2))</f>
        <v>#DIV/0!</v>
      </c>
    </row>
    <row r="106" customFormat="false" ht="14.25" hidden="false" customHeight="false" outlineLevel="0" collapsed="false">
      <c r="H106" s="1" t="n">
        <f aca="false">H105+1</f>
        <v>101</v>
      </c>
      <c r="I106" s="1" t="n">
        <f aca="false">WEEKDAY('daily graphs'!K106)</f>
        <v>2</v>
      </c>
      <c r="J106" s="1" t="n">
        <f aca="false">DAY(L106)</f>
        <v>8</v>
      </c>
      <c r="K106" s="1" t="n">
        <f aca="false">MONTH(L106)</f>
        <v>4</v>
      </c>
      <c r="L106" s="23" t="n">
        <f aca="false">'daily graphs'!K106 - I106</f>
        <v>36624</v>
      </c>
      <c r="M106" s="24" t="n">
        <f aca="true">IF(TODAY()&lt;DATE($O$5,K106,J106),1000000,-1000000)</f>
        <v>-1000000</v>
      </c>
      <c r="N106" s="24" t="e">
        <f aca="false">IF(M106&gt;0,INDEX(big_daily_table,MATCH(DATE(O$5,$K106,$J106),daily_dates,0),MATCH($B$3,daily_items,0)),NA())</f>
        <v>#N/A</v>
      </c>
      <c r="O106" s="1" t="e">
        <f aca="false">IF(M106&lt;0,INDEX(big_daily_table,MATCH(DATE(O$5,$K106,$J106),daily_dates,0),MATCH($B$3,daily_items,0)),NA())</f>
        <v>#N/A</v>
      </c>
      <c r="P106" s="1" t="e">
        <f aca="false">IF(ISBLANK(INDEX(big_daily_table,MATCH(DATE(P$5,$K106,$J106),daily_dates,0),MATCH($B$3,daily_items,0))),NA(),INDEX(big_daily_table,MATCH(DATE(P$5,$K106,$J106),daily_dates,0),MATCH($B$3,daily_items,0)))</f>
        <v>#N/A</v>
      </c>
      <c r="Q106" s="1" t="e">
        <f aca="false">IF(ISBLANK(INDEX(big_daily_table,MATCH(DATE(Q$5,$K106,$J106),daily_dates,0),MATCH($B$3,daily_items,0))),NA(),INDEX(big_daily_table,MATCH(DATE(Q$5,$K106,$J106),daily_dates,0),MATCH($B$3,daily_items,0)))</f>
        <v>#N/A</v>
      </c>
      <c r="R106" s="1" t="e">
        <f aca="false">IF(ISBLANK(INDEX(big_daily_table,MATCH(DATE(R$5,$K106,$J106),daily_dates,0),MATCH($B$3,daily_items,0))),NA(),INDEX(big_daily_table,MATCH(DATE(R$5,$K106,$J106),daily_dates,0),MATCH($B$3,daily_items,0)))</f>
        <v>#N/A</v>
      </c>
      <c r="S106" s="1" t="e">
        <f aca="false">IF(ISBLANK(INDEX(big_daily_table,MATCH(DATE(S$5,$K106,$J106),daily_dates,0),MATCH($B$3,daily_items,0))),NA(),INDEX(big_daily_table,MATCH(DATE(S$5,$K106,$J106),daily_dates,0),MATCH($B$3,daily_items,0)))</f>
        <v>#N/A</v>
      </c>
      <c r="T106" s="1" t="e">
        <f aca="false">IF(ISBLANK(INDEX(big_daily_table,MATCH(DATE(T$5,$K106,$J106),daily_dates,0),MATCH($B$3,daily_items,0))),NA(),INDEX(big_daily_table,MATCH(DATE(T$5,$K106,$J106),daily_dates,0),MATCH($B$3,daily_items,0)))</f>
        <v>#N/A</v>
      </c>
      <c r="U106" s="1" t="e">
        <f aca="false">IF(ISBLANK(INDEX(big_daily_table,MATCH(DATE(U$5,$K106,$J106),daily_dates,0),MATCH($B$3,daily_items,0))),NA(),INDEX(big_daily_table,MATCH(DATE(U$5,$K106,$J106),daily_dates,0),MATCH($B$3,daily_items,0)))</f>
        <v>#N/A</v>
      </c>
      <c r="V106" s="1" t="e">
        <f aca="false">IF(ISBLANK(INDEX(big_daily_table,MATCH(DATE(V$5,$K106,$J106),daily_dates,0),MATCH($B$3,daily_items,0))),NA(),INDEX(big_daily_table,MATCH(DATE(V$5,$K106,$J106),daily_dates,0),MATCH($B$3,daily_items,0)))</f>
        <v>#N/A</v>
      </c>
      <c r="W106" s="1" t="e">
        <f aca="false">IF(ISBLANK(INDEX(big_daily_table,MATCH(DATE(W$5,$K106,$J106),daily_dates,0),MATCH($B$3,daily_items,0))),NA(),INDEX(big_daily_table,MATCH(DATE(W$5,$K106,$J106),daily_dates,0),MATCH($B$3,daily_items,0)))</f>
        <v>#N/A</v>
      </c>
      <c r="X106" s="1" t="e">
        <f aca="false">IF(ISBLANK(INDEX(big_daily_table,MATCH(DATE(X$5,$K106,$J106),daily_dates,0),MATCH($B$3,daily_items,0))),NA(),INDEX(big_daily_table,MATCH(DATE(X$5,$K106,$J106),daily_dates,0),MATCH($B$3,daily_items,0)))</f>
        <v>#N/A</v>
      </c>
      <c r="Y106" s="1" t="e">
        <f aca="false">IF(ISBLANK(INDEX(big_daily_table,MATCH(DATE(Y$5,$K106,$J106),daily_dates,0),MATCH($B$3,daily_items,0))),NA(),INDEX(big_daily_table,MATCH(DATE(Y$5,$K106,$J106),daily_dates,0),MATCH($B$3,daily_items,0)))</f>
        <v>#N/A</v>
      </c>
      <c r="Z106" s="1" t="e">
        <f aca="false">IF(ISBLANK(INDEX(big_daily_table,MATCH(DATE(Z$5,$K106,$J106),daily_dates,0),MATCH($B$3,daily_items,0))),NA(),INDEX(big_daily_table,MATCH(DATE(Z$5,$K106,$J106),daily_dates,0),MATCH($B$3,daily_items,0)))</f>
        <v>#N/A</v>
      </c>
      <c r="AA106" s="1" t="n">
        <f aca="true">_xlfn.AGGREGATE(5,6,OFFSET($S$5,H106,0,1,$K$2))</f>
        <v>0</v>
      </c>
      <c r="AB106" s="1" t="n">
        <f aca="true">_xlfn.AGGREGATE(4,6,OFFSET($S$5,H106,0,1,$K$2))</f>
        <v>0</v>
      </c>
      <c r="AC106" s="1" t="n">
        <f aca="false">AB106-AA106</f>
        <v>0</v>
      </c>
      <c r="AD106" s="1" t="e">
        <f aca="true">_xlfn.AGGREGATE(1,6,OFFSET($S$5,H106,0,1,$K$2))</f>
        <v>#DIV/0!</v>
      </c>
    </row>
    <row r="107" customFormat="false" ht="14.25" hidden="false" customHeight="false" outlineLevel="0" collapsed="false">
      <c r="H107" s="1" t="n">
        <f aca="false">H106+1</f>
        <v>102</v>
      </c>
      <c r="I107" s="1" t="n">
        <f aca="false">WEEKDAY('daily graphs'!K107)</f>
        <v>3</v>
      </c>
      <c r="J107" s="1" t="n">
        <f aca="false">DAY(L107)</f>
        <v>8</v>
      </c>
      <c r="K107" s="1" t="n">
        <f aca="false">MONTH(L107)</f>
        <v>4</v>
      </c>
      <c r="L107" s="23" t="n">
        <f aca="false">'daily graphs'!K107 - I107</f>
        <v>36624</v>
      </c>
      <c r="M107" s="24" t="n">
        <f aca="true">IF(TODAY()&lt;DATE($O$5,K107,J107),1000000,-1000000)</f>
        <v>-1000000</v>
      </c>
      <c r="N107" s="24" t="e">
        <f aca="false">IF(M107&gt;0,INDEX(big_daily_table,MATCH(DATE(O$5,$K107,$J107),daily_dates,0),MATCH($B$3,daily_items,0)),NA())</f>
        <v>#N/A</v>
      </c>
      <c r="O107" s="1" t="e">
        <f aca="false">IF(M107&lt;0,INDEX(big_daily_table,MATCH(DATE(O$5,$K107,$J107),daily_dates,0),MATCH($B$3,daily_items,0)),NA())</f>
        <v>#N/A</v>
      </c>
      <c r="P107" s="1" t="e">
        <f aca="false">IF(ISBLANK(INDEX(big_daily_table,MATCH(DATE(P$5,$K107,$J107),daily_dates,0),MATCH($B$3,daily_items,0))),NA(),INDEX(big_daily_table,MATCH(DATE(P$5,$K107,$J107),daily_dates,0),MATCH($B$3,daily_items,0)))</f>
        <v>#N/A</v>
      </c>
      <c r="Q107" s="1" t="e">
        <f aca="false">IF(ISBLANK(INDEX(big_daily_table,MATCH(DATE(Q$5,$K107,$J107),daily_dates,0),MATCH($B$3,daily_items,0))),NA(),INDEX(big_daily_table,MATCH(DATE(Q$5,$K107,$J107),daily_dates,0),MATCH($B$3,daily_items,0)))</f>
        <v>#N/A</v>
      </c>
      <c r="R107" s="1" t="e">
        <f aca="false">IF(ISBLANK(INDEX(big_daily_table,MATCH(DATE(R$5,$K107,$J107),daily_dates,0),MATCH($B$3,daily_items,0))),NA(),INDEX(big_daily_table,MATCH(DATE(R$5,$K107,$J107),daily_dates,0),MATCH($B$3,daily_items,0)))</f>
        <v>#N/A</v>
      </c>
      <c r="S107" s="1" t="e">
        <f aca="false">IF(ISBLANK(INDEX(big_daily_table,MATCH(DATE(S$5,$K107,$J107),daily_dates,0),MATCH($B$3,daily_items,0))),NA(),INDEX(big_daily_table,MATCH(DATE(S$5,$K107,$J107),daily_dates,0),MATCH($B$3,daily_items,0)))</f>
        <v>#N/A</v>
      </c>
      <c r="T107" s="1" t="e">
        <f aca="false">IF(ISBLANK(INDEX(big_daily_table,MATCH(DATE(T$5,$K107,$J107),daily_dates,0),MATCH($B$3,daily_items,0))),NA(),INDEX(big_daily_table,MATCH(DATE(T$5,$K107,$J107),daily_dates,0),MATCH($B$3,daily_items,0)))</f>
        <v>#N/A</v>
      </c>
      <c r="U107" s="1" t="e">
        <f aca="false">IF(ISBLANK(INDEX(big_daily_table,MATCH(DATE(U$5,$K107,$J107),daily_dates,0),MATCH($B$3,daily_items,0))),NA(),INDEX(big_daily_table,MATCH(DATE(U$5,$K107,$J107),daily_dates,0),MATCH($B$3,daily_items,0)))</f>
        <v>#N/A</v>
      </c>
      <c r="V107" s="1" t="e">
        <f aca="false">IF(ISBLANK(INDEX(big_daily_table,MATCH(DATE(V$5,$K107,$J107),daily_dates,0),MATCH($B$3,daily_items,0))),NA(),INDEX(big_daily_table,MATCH(DATE(V$5,$K107,$J107),daily_dates,0),MATCH($B$3,daily_items,0)))</f>
        <v>#N/A</v>
      </c>
      <c r="W107" s="1" t="e">
        <f aca="false">IF(ISBLANK(INDEX(big_daily_table,MATCH(DATE(W$5,$K107,$J107),daily_dates,0),MATCH($B$3,daily_items,0))),NA(),INDEX(big_daily_table,MATCH(DATE(W$5,$K107,$J107),daily_dates,0),MATCH($B$3,daily_items,0)))</f>
        <v>#N/A</v>
      </c>
      <c r="X107" s="1" t="e">
        <f aca="false">IF(ISBLANK(INDEX(big_daily_table,MATCH(DATE(X$5,$K107,$J107),daily_dates,0),MATCH($B$3,daily_items,0))),NA(),INDEX(big_daily_table,MATCH(DATE(X$5,$K107,$J107),daily_dates,0),MATCH($B$3,daily_items,0)))</f>
        <v>#N/A</v>
      </c>
      <c r="Y107" s="1" t="e">
        <f aca="false">IF(ISBLANK(INDEX(big_daily_table,MATCH(DATE(Y$5,$K107,$J107),daily_dates,0),MATCH($B$3,daily_items,0))),NA(),INDEX(big_daily_table,MATCH(DATE(Y$5,$K107,$J107),daily_dates,0),MATCH($B$3,daily_items,0)))</f>
        <v>#N/A</v>
      </c>
      <c r="Z107" s="1" t="e">
        <f aca="false">IF(ISBLANK(INDEX(big_daily_table,MATCH(DATE(Z$5,$K107,$J107),daily_dates,0),MATCH($B$3,daily_items,0))),NA(),INDEX(big_daily_table,MATCH(DATE(Z$5,$K107,$J107),daily_dates,0),MATCH($B$3,daily_items,0)))</f>
        <v>#N/A</v>
      </c>
      <c r="AA107" s="1" t="n">
        <f aca="true">_xlfn.AGGREGATE(5,6,OFFSET($S$5,H107,0,1,$K$2))</f>
        <v>0</v>
      </c>
      <c r="AB107" s="1" t="n">
        <f aca="true">_xlfn.AGGREGATE(4,6,OFFSET($S$5,H107,0,1,$K$2))</f>
        <v>0</v>
      </c>
      <c r="AC107" s="1" t="n">
        <f aca="false">AB107-AA107</f>
        <v>0</v>
      </c>
      <c r="AD107" s="1" t="e">
        <f aca="true">_xlfn.AGGREGATE(1,6,OFFSET($S$5,H107,0,1,$K$2))</f>
        <v>#DIV/0!</v>
      </c>
    </row>
    <row r="108" customFormat="false" ht="14.25" hidden="false" customHeight="false" outlineLevel="0" collapsed="false">
      <c r="H108" s="1" t="n">
        <f aca="false">H107+1</f>
        <v>103</v>
      </c>
      <c r="I108" s="1" t="n">
        <f aca="false">WEEKDAY('daily graphs'!K108)</f>
        <v>4</v>
      </c>
      <c r="J108" s="1" t="n">
        <f aca="false">DAY(L108)</f>
        <v>8</v>
      </c>
      <c r="K108" s="1" t="n">
        <f aca="false">MONTH(L108)</f>
        <v>4</v>
      </c>
      <c r="L108" s="23" t="n">
        <f aca="false">'daily graphs'!K108 - I108</f>
        <v>36624</v>
      </c>
      <c r="M108" s="24" t="n">
        <f aca="true">IF(TODAY()&lt;DATE($O$5,K108,J108),1000000,-1000000)</f>
        <v>-1000000</v>
      </c>
      <c r="N108" s="24" t="e">
        <f aca="false">IF(M108&gt;0,INDEX(big_daily_table,MATCH(DATE(O$5,$K108,$J108),daily_dates,0),MATCH($B$3,daily_items,0)),NA())</f>
        <v>#N/A</v>
      </c>
      <c r="O108" s="1" t="e">
        <f aca="false">IF(M108&lt;0,INDEX(big_daily_table,MATCH(DATE(O$5,$K108,$J108),daily_dates,0),MATCH($B$3,daily_items,0)),NA())</f>
        <v>#N/A</v>
      </c>
      <c r="P108" s="1" t="e">
        <f aca="false">IF(ISBLANK(INDEX(big_daily_table,MATCH(DATE(P$5,$K108,$J108),daily_dates,0),MATCH($B$3,daily_items,0))),NA(),INDEX(big_daily_table,MATCH(DATE(P$5,$K108,$J108),daily_dates,0),MATCH($B$3,daily_items,0)))</f>
        <v>#N/A</v>
      </c>
      <c r="Q108" s="1" t="e">
        <f aca="false">IF(ISBLANK(INDEX(big_daily_table,MATCH(DATE(Q$5,$K108,$J108),daily_dates,0),MATCH($B$3,daily_items,0))),NA(),INDEX(big_daily_table,MATCH(DATE(Q$5,$K108,$J108),daily_dates,0),MATCH($B$3,daily_items,0)))</f>
        <v>#N/A</v>
      </c>
      <c r="R108" s="1" t="e">
        <f aca="false">IF(ISBLANK(INDEX(big_daily_table,MATCH(DATE(R$5,$K108,$J108),daily_dates,0),MATCH($B$3,daily_items,0))),NA(),INDEX(big_daily_table,MATCH(DATE(R$5,$K108,$J108),daily_dates,0),MATCH($B$3,daily_items,0)))</f>
        <v>#N/A</v>
      </c>
      <c r="S108" s="1" t="e">
        <f aca="false">IF(ISBLANK(INDEX(big_daily_table,MATCH(DATE(S$5,$K108,$J108),daily_dates,0),MATCH($B$3,daily_items,0))),NA(),INDEX(big_daily_table,MATCH(DATE(S$5,$K108,$J108),daily_dates,0),MATCH($B$3,daily_items,0)))</f>
        <v>#N/A</v>
      </c>
      <c r="T108" s="1" t="e">
        <f aca="false">IF(ISBLANK(INDEX(big_daily_table,MATCH(DATE(T$5,$K108,$J108),daily_dates,0),MATCH($B$3,daily_items,0))),NA(),INDEX(big_daily_table,MATCH(DATE(T$5,$K108,$J108),daily_dates,0),MATCH($B$3,daily_items,0)))</f>
        <v>#N/A</v>
      </c>
      <c r="U108" s="1" t="e">
        <f aca="false">IF(ISBLANK(INDEX(big_daily_table,MATCH(DATE(U$5,$K108,$J108),daily_dates,0),MATCH($B$3,daily_items,0))),NA(),INDEX(big_daily_table,MATCH(DATE(U$5,$K108,$J108),daily_dates,0),MATCH($B$3,daily_items,0)))</f>
        <v>#N/A</v>
      </c>
      <c r="V108" s="1" t="e">
        <f aca="false">IF(ISBLANK(INDEX(big_daily_table,MATCH(DATE(V$5,$K108,$J108),daily_dates,0),MATCH($B$3,daily_items,0))),NA(),INDEX(big_daily_table,MATCH(DATE(V$5,$K108,$J108),daily_dates,0),MATCH($B$3,daily_items,0)))</f>
        <v>#N/A</v>
      </c>
      <c r="W108" s="1" t="e">
        <f aca="false">IF(ISBLANK(INDEX(big_daily_table,MATCH(DATE(W$5,$K108,$J108),daily_dates,0),MATCH($B$3,daily_items,0))),NA(),INDEX(big_daily_table,MATCH(DATE(W$5,$K108,$J108),daily_dates,0),MATCH($B$3,daily_items,0)))</f>
        <v>#N/A</v>
      </c>
      <c r="X108" s="1" t="e">
        <f aca="false">IF(ISBLANK(INDEX(big_daily_table,MATCH(DATE(X$5,$K108,$J108),daily_dates,0),MATCH($B$3,daily_items,0))),NA(),INDEX(big_daily_table,MATCH(DATE(X$5,$K108,$J108),daily_dates,0),MATCH($B$3,daily_items,0)))</f>
        <v>#N/A</v>
      </c>
      <c r="Y108" s="1" t="e">
        <f aca="false">IF(ISBLANK(INDEX(big_daily_table,MATCH(DATE(Y$5,$K108,$J108),daily_dates,0),MATCH($B$3,daily_items,0))),NA(),INDEX(big_daily_table,MATCH(DATE(Y$5,$K108,$J108),daily_dates,0),MATCH($B$3,daily_items,0)))</f>
        <v>#N/A</v>
      </c>
      <c r="Z108" s="1" t="e">
        <f aca="false">IF(ISBLANK(INDEX(big_daily_table,MATCH(DATE(Z$5,$K108,$J108),daily_dates,0),MATCH($B$3,daily_items,0))),NA(),INDEX(big_daily_table,MATCH(DATE(Z$5,$K108,$J108),daily_dates,0),MATCH($B$3,daily_items,0)))</f>
        <v>#N/A</v>
      </c>
      <c r="AA108" s="1" t="n">
        <f aca="true">_xlfn.AGGREGATE(5,6,OFFSET($S$5,H108,0,1,$K$2))</f>
        <v>0</v>
      </c>
      <c r="AB108" s="1" t="n">
        <f aca="true">_xlfn.AGGREGATE(4,6,OFFSET($S$5,H108,0,1,$K$2))</f>
        <v>0</v>
      </c>
      <c r="AC108" s="1" t="n">
        <f aca="false">AB108-AA108</f>
        <v>0</v>
      </c>
      <c r="AD108" s="1" t="e">
        <f aca="true">_xlfn.AGGREGATE(1,6,OFFSET($S$5,H108,0,1,$K$2))</f>
        <v>#DIV/0!</v>
      </c>
    </row>
    <row r="109" customFormat="false" ht="14.25" hidden="false" customHeight="false" outlineLevel="0" collapsed="false">
      <c r="H109" s="1" t="n">
        <f aca="false">H108+1</f>
        <v>104</v>
      </c>
      <c r="I109" s="1" t="n">
        <f aca="false">WEEKDAY('daily graphs'!K109)</f>
        <v>5</v>
      </c>
      <c r="J109" s="1" t="n">
        <f aca="false">DAY(L109)</f>
        <v>8</v>
      </c>
      <c r="K109" s="1" t="n">
        <f aca="false">MONTH(L109)</f>
        <v>4</v>
      </c>
      <c r="L109" s="23" t="n">
        <f aca="false">'daily graphs'!K109 - I109</f>
        <v>36624</v>
      </c>
      <c r="M109" s="24" t="n">
        <f aca="true">IF(TODAY()&lt;DATE($O$5,K109,J109),1000000,-1000000)</f>
        <v>-1000000</v>
      </c>
      <c r="N109" s="24" t="e">
        <f aca="false">IF(M109&gt;0,INDEX(big_daily_table,MATCH(DATE(O$5,$K109,$J109),daily_dates,0),MATCH($B$3,daily_items,0)),NA())</f>
        <v>#N/A</v>
      </c>
      <c r="O109" s="1" t="e">
        <f aca="false">IF(M109&lt;0,INDEX(big_daily_table,MATCH(DATE(O$5,$K109,$J109),daily_dates,0),MATCH($B$3,daily_items,0)),NA())</f>
        <v>#N/A</v>
      </c>
      <c r="P109" s="1" t="e">
        <f aca="false">IF(ISBLANK(INDEX(big_daily_table,MATCH(DATE(P$5,$K109,$J109),daily_dates,0),MATCH($B$3,daily_items,0))),NA(),INDEX(big_daily_table,MATCH(DATE(P$5,$K109,$J109),daily_dates,0),MATCH($B$3,daily_items,0)))</f>
        <v>#N/A</v>
      </c>
      <c r="Q109" s="1" t="e">
        <f aca="false">IF(ISBLANK(INDEX(big_daily_table,MATCH(DATE(Q$5,$K109,$J109),daily_dates,0),MATCH($B$3,daily_items,0))),NA(),INDEX(big_daily_table,MATCH(DATE(Q$5,$K109,$J109),daily_dates,0),MATCH($B$3,daily_items,0)))</f>
        <v>#N/A</v>
      </c>
      <c r="R109" s="1" t="e">
        <f aca="false">IF(ISBLANK(INDEX(big_daily_table,MATCH(DATE(R$5,$K109,$J109),daily_dates,0),MATCH($B$3,daily_items,0))),NA(),INDEX(big_daily_table,MATCH(DATE(R$5,$K109,$J109),daily_dates,0),MATCH($B$3,daily_items,0)))</f>
        <v>#N/A</v>
      </c>
      <c r="S109" s="1" t="e">
        <f aca="false">IF(ISBLANK(INDEX(big_daily_table,MATCH(DATE(S$5,$K109,$J109),daily_dates,0),MATCH($B$3,daily_items,0))),NA(),INDEX(big_daily_table,MATCH(DATE(S$5,$K109,$J109),daily_dates,0),MATCH($B$3,daily_items,0)))</f>
        <v>#N/A</v>
      </c>
      <c r="T109" s="1" t="e">
        <f aca="false">IF(ISBLANK(INDEX(big_daily_table,MATCH(DATE(T$5,$K109,$J109),daily_dates,0),MATCH($B$3,daily_items,0))),NA(),INDEX(big_daily_table,MATCH(DATE(T$5,$K109,$J109),daily_dates,0),MATCH($B$3,daily_items,0)))</f>
        <v>#N/A</v>
      </c>
      <c r="U109" s="1" t="e">
        <f aca="false">IF(ISBLANK(INDEX(big_daily_table,MATCH(DATE(U$5,$K109,$J109),daily_dates,0),MATCH($B$3,daily_items,0))),NA(),INDEX(big_daily_table,MATCH(DATE(U$5,$K109,$J109),daily_dates,0),MATCH($B$3,daily_items,0)))</f>
        <v>#N/A</v>
      </c>
      <c r="V109" s="1" t="e">
        <f aca="false">IF(ISBLANK(INDEX(big_daily_table,MATCH(DATE(V$5,$K109,$J109),daily_dates,0),MATCH($B$3,daily_items,0))),NA(),INDEX(big_daily_table,MATCH(DATE(V$5,$K109,$J109),daily_dates,0),MATCH($B$3,daily_items,0)))</f>
        <v>#N/A</v>
      </c>
      <c r="W109" s="1" t="e">
        <f aca="false">IF(ISBLANK(INDEX(big_daily_table,MATCH(DATE(W$5,$K109,$J109),daily_dates,0),MATCH($B$3,daily_items,0))),NA(),INDEX(big_daily_table,MATCH(DATE(W$5,$K109,$J109),daily_dates,0),MATCH($B$3,daily_items,0)))</f>
        <v>#N/A</v>
      </c>
      <c r="X109" s="1" t="e">
        <f aca="false">IF(ISBLANK(INDEX(big_daily_table,MATCH(DATE(X$5,$K109,$J109),daily_dates,0),MATCH($B$3,daily_items,0))),NA(),INDEX(big_daily_table,MATCH(DATE(X$5,$K109,$J109),daily_dates,0),MATCH($B$3,daily_items,0)))</f>
        <v>#N/A</v>
      </c>
      <c r="Y109" s="1" t="e">
        <f aca="false">IF(ISBLANK(INDEX(big_daily_table,MATCH(DATE(Y$5,$K109,$J109),daily_dates,0),MATCH($B$3,daily_items,0))),NA(),INDEX(big_daily_table,MATCH(DATE(Y$5,$K109,$J109),daily_dates,0),MATCH($B$3,daily_items,0)))</f>
        <v>#N/A</v>
      </c>
      <c r="Z109" s="1" t="e">
        <f aca="false">IF(ISBLANK(INDEX(big_daily_table,MATCH(DATE(Z$5,$K109,$J109),daily_dates,0),MATCH($B$3,daily_items,0))),NA(),INDEX(big_daily_table,MATCH(DATE(Z$5,$K109,$J109),daily_dates,0),MATCH($B$3,daily_items,0)))</f>
        <v>#N/A</v>
      </c>
      <c r="AA109" s="1" t="n">
        <f aca="true">_xlfn.AGGREGATE(5,6,OFFSET($S$5,H109,0,1,$K$2))</f>
        <v>0</v>
      </c>
      <c r="AB109" s="1" t="n">
        <f aca="true">_xlfn.AGGREGATE(4,6,OFFSET($S$5,H109,0,1,$K$2))</f>
        <v>0</v>
      </c>
      <c r="AC109" s="1" t="n">
        <f aca="false">AB109-AA109</f>
        <v>0</v>
      </c>
      <c r="AD109" s="1" t="e">
        <f aca="true">_xlfn.AGGREGATE(1,6,OFFSET($S$5,H109,0,1,$K$2))</f>
        <v>#DIV/0!</v>
      </c>
    </row>
    <row r="110" customFormat="false" ht="14.25" hidden="false" customHeight="false" outlineLevel="0" collapsed="false">
      <c r="H110" s="1" t="n">
        <f aca="false">H109+1</f>
        <v>105</v>
      </c>
      <c r="I110" s="1" t="n">
        <f aca="false">WEEKDAY('daily graphs'!K110)</f>
        <v>6</v>
      </c>
      <c r="J110" s="1" t="n">
        <f aca="false">DAY(L110)</f>
        <v>8</v>
      </c>
      <c r="K110" s="1" t="n">
        <f aca="false">MONTH(L110)</f>
        <v>4</v>
      </c>
      <c r="L110" s="23" t="n">
        <f aca="false">'daily graphs'!K110 - I110</f>
        <v>36624</v>
      </c>
      <c r="M110" s="24" t="n">
        <f aca="true">IF(TODAY()&lt;DATE($O$5,K110,J110),1000000,-1000000)</f>
        <v>-1000000</v>
      </c>
      <c r="N110" s="24" t="e">
        <f aca="false">IF(M110&gt;0,INDEX(big_daily_table,MATCH(DATE(O$5,$K110,$J110),daily_dates,0),MATCH($B$3,daily_items,0)),NA())</f>
        <v>#N/A</v>
      </c>
      <c r="O110" s="1" t="e">
        <f aca="false">IF(M110&lt;0,INDEX(big_daily_table,MATCH(DATE(O$5,$K110,$J110),daily_dates,0),MATCH($B$3,daily_items,0)),NA())</f>
        <v>#N/A</v>
      </c>
      <c r="P110" s="1" t="e">
        <f aca="false">IF(ISBLANK(INDEX(big_daily_table,MATCH(DATE(P$5,$K110,$J110),daily_dates,0),MATCH($B$3,daily_items,0))),NA(),INDEX(big_daily_table,MATCH(DATE(P$5,$K110,$J110),daily_dates,0),MATCH($B$3,daily_items,0)))</f>
        <v>#N/A</v>
      </c>
      <c r="Q110" s="1" t="e">
        <f aca="false">IF(ISBLANK(INDEX(big_daily_table,MATCH(DATE(Q$5,$K110,$J110),daily_dates,0),MATCH($B$3,daily_items,0))),NA(),INDEX(big_daily_table,MATCH(DATE(Q$5,$K110,$J110),daily_dates,0),MATCH($B$3,daily_items,0)))</f>
        <v>#N/A</v>
      </c>
      <c r="R110" s="1" t="e">
        <f aca="false">IF(ISBLANK(INDEX(big_daily_table,MATCH(DATE(R$5,$K110,$J110),daily_dates,0),MATCH($B$3,daily_items,0))),NA(),INDEX(big_daily_table,MATCH(DATE(R$5,$K110,$J110),daily_dates,0),MATCH($B$3,daily_items,0)))</f>
        <v>#N/A</v>
      </c>
      <c r="S110" s="1" t="e">
        <f aca="false">IF(ISBLANK(INDEX(big_daily_table,MATCH(DATE(S$5,$K110,$J110),daily_dates,0),MATCH($B$3,daily_items,0))),NA(),INDEX(big_daily_table,MATCH(DATE(S$5,$K110,$J110),daily_dates,0),MATCH($B$3,daily_items,0)))</f>
        <v>#N/A</v>
      </c>
      <c r="T110" s="1" t="e">
        <f aca="false">IF(ISBLANK(INDEX(big_daily_table,MATCH(DATE(T$5,$K110,$J110),daily_dates,0),MATCH($B$3,daily_items,0))),NA(),INDEX(big_daily_table,MATCH(DATE(T$5,$K110,$J110),daily_dates,0),MATCH($B$3,daily_items,0)))</f>
        <v>#N/A</v>
      </c>
      <c r="U110" s="1" t="e">
        <f aca="false">IF(ISBLANK(INDEX(big_daily_table,MATCH(DATE(U$5,$K110,$J110),daily_dates,0),MATCH($B$3,daily_items,0))),NA(),INDEX(big_daily_table,MATCH(DATE(U$5,$K110,$J110),daily_dates,0),MATCH($B$3,daily_items,0)))</f>
        <v>#N/A</v>
      </c>
      <c r="V110" s="1" t="e">
        <f aca="false">IF(ISBLANK(INDEX(big_daily_table,MATCH(DATE(V$5,$K110,$J110),daily_dates,0),MATCH($B$3,daily_items,0))),NA(),INDEX(big_daily_table,MATCH(DATE(V$5,$K110,$J110),daily_dates,0),MATCH($B$3,daily_items,0)))</f>
        <v>#N/A</v>
      </c>
      <c r="W110" s="1" t="e">
        <f aca="false">IF(ISBLANK(INDEX(big_daily_table,MATCH(DATE(W$5,$K110,$J110),daily_dates,0),MATCH($B$3,daily_items,0))),NA(),INDEX(big_daily_table,MATCH(DATE(W$5,$K110,$J110),daily_dates,0),MATCH($B$3,daily_items,0)))</f>
        <v>#N/A</v>
      </c>
      <c r="X110" s="1" t="e">
        <f aca="false">IF(ISBLANK(INDEX(big_daily_table,MATCH(DATE(X$5,$K110,$J110),daily_dates,0),MATCH($B$3,daily_items,0))),NA(),INDEX(big_daily_table,MATCH(DATE(X$5,$K110,$J110),daily_dates,0),MATCH($B$3,daily_items,0)))</f>
        <v>#N/A</v>
      </c>
      <c r="Y110" s="1" t="e">
        <f aca="false">IF(ISBLANK(INDEX(big_daily_table,MATCH(DATE(Y$5,$K110,$J110),daily_dates,0),MATCH($B$3,daily_items,0))),NA(),INDEX(big_daily_table,MATCH(DATE(Y$5,$K110,$J110),daily_dates,0),MATCH($B$3,daily_items,0)))</f>
        <v>#N/A</v>
      </c>
      <c r="Z110" s="1" t="e">
        <f aca="false">IF(ISBLANK(INDEX(big_daily_table,MATCH(DATE(Z$5,$K110,$J110),daily_dates,0),MATCH($B$3,daily_items,0))),NA(),INDEX(big_daily_table,MATCH(DATE(Z$5,$K110,$J110),daily_dates,0),MATCH($B$3,daily_items,0)))</f>
        <v>#N/A</v>
      </c>
      <c r="AA110" s="1" t="n">
        <f aca="true">_xlfn.AGGREGATE(5,6,OFFSET($S$5,H110,0,1,$K$2))</f>
        <v>0</v>
      </c>
      <c r="AB110" s="1" t="n">
        <f aca="true">_xlfn.AGGREGATE(4,6,OFFSET($S$5,H110,0,1,$K$2))</f>
        <v>0</v>
      </c>
      <c r="AC110" s="1" t="n">
        <f aca="false">AB110-AA110</f>
        <v>0</v>
      </c>
      <c r="AD110" s="1" t="e">
        <f aca="true">_xlfn.AGGREGATE(1,6,OFFSET($S$5,H110,0,1,$K$2))</f>
        <v>#DIV/0!</v>
      </c>
    </row>
    <row r="111" customFormat="false" ht="14.25" hidden="false" customHeight="false" outlineLevel="0" collapsed="false">
      <c r="H111" s="1" t="n">
        <f aca="false">H110+1</f>
        <v>106</v>
      </c>
      <c r="I111" s="1" t="n">
        <f aca="false">WEEKDAY('daily graphs'!K111)</f>
        <v>7</v>
      </c>
      <c r="J111" s="1" t="n">
        <f aca="false">DAY(L111)</f>
        <v>8</v>
      </c>
      <c r="K111" s="1" t="n">
        <f aca="false">MONTH(L111)</f>
        <v>4</v>
      </c>
      <c r="L111" s="23" t="n">
        <f aca="false">'daily graphs'!K111 - I111</f>
        <v>36624</v>
      </c>
      <c r="M111" s="24" t="n">
        <f aca="true">IF(TODAY()&lt;DATE($O$5,K111,J111),1000000,-1000000)</f>
        <v>-1000000</v>
      </c>
      <c r="N111" s="24" t="e">
        <f aca="false">IF(M111&gt;0,INDEX(big_daily_table,MATCH(DATE(O$5,$K111,$J111),daily_dates,0),MATCH($B$3,daily_items,0)),NA())</f>
        <v>#N/A</v>
      </c>
      <c r="O111" s="1" t="e">
        <f aca="false">IF(M111&lt;0,INDEX(big_daily_table,MATCH(DATE(O$5,$K111,$J111),daily_dates,0),MATCH($B$3,daily_items,0)),NA())</f>
        <v>#N/A</v>
      </c>
      <c r="P111" s="1" t="e">
        <f aca="false">IF(ISBLANK(INDEX(big_daily_table,MATCH(DATE(P$5,$K111,$J111),daily_dates,0),MATCH($B$3,daily_items,0))),NA(),INDEX(big_daily_table,MATCH(DATE(P$5,$K111,$J111),daily_dates,0),MATCH($B$3,daily_items,0)))</f>
        <v>#N/A</v>
      </c>
      <c r="Q111" s="1" t="e">
        <f aca="false">IF(ISBLANK(INDEX(big_daily_table,MATCH(DATE(Q$5,$K111,$J111),daily_dates,0),MATCH($B$3,daily_items,0))),NA(),INDEX(big_daily_table,MATCH(DATE(Q$5,$K111,$J111),daily_dates,0),MATCH($B$3,daily_items,0)))</f>
        <v>#N/A</v>
      </c>
      <c r="R111" s="1" t="e">
        <f aca="false">IF(ISBLANK(INDEX(big_daily_table,MATCH(DATE(R$5,$K111,$J111),daily_dates,0),MATCH($B$3,daily_items,0))),NA(),INDEX(big_daily_table,MATCH(DATE(R$5,$K111,$J111),daily_dates,0),MATCH($B$3,daily_items,0)))</f>
        <v>#N/A</v>
      </c>
      <c r="S111" s="1" t="e">
        <f aca="false">IF(ISBLANK(INDEX(big_daily_table,MATCH(DATE(S$5,$K111,$J111),daily_dates,0),MATCH($B$3,daily_items,0))),NA(),INDEX(big_daily_table,MATCH(DATE(S$5,$K111,$J111),daily_dates,0),MATCH($B$3,daily_items,0)))</f>
        <v>#N/A</v>
      </c>
      <c r="T111" s="1" t="e">
        <f aca="false">IF(ISBLANK(INDEX(big_daily_table,MATCH(DATE(T$5,$K111,$J111),daily_dates,0),MATCH($B$3,daily_items,0))),NA(),INDEX(big_daily_table,MATCH(DATE(T$5,$K111,$J111),daily_dates,0),MATCH($B$3,daily_items,0)))</f>
        <v>#N/A</v>
      </c>
      <c r="U111" s="1" t="e">
        <f aca="false">IF(ISBLANK(INDEX(big_daily_table,MATCH(DATE(U$5,$K111,$J111),daily_dates,0),MATCH($B$3,daily_items,0))),NA(),INDEX(big_daily_table,MATCH(DATE(U$5,$K111,$J111),daily_dates,0),MATCH($B$3,daily_items,0)))</f>
        <v>#N/A</v>
      </c>
      <c r="V111" s="1" t="e">
        <f aca="false">IF(ISBLANK(INDEX(big_daily_table,MATCH(DATE(V$5,$K111,$J111),daily_dates,0),MATCH($B$3,daily_items,0))),NA(),INDEX(big_daily_table,MATCH(DATE(V$5,$K111,$J111),daily_dates,0),MATCH($B$3,daily_items,0)))</f>
        <v>#N/A</v>
      </c>
      <c r="W111" s="1" t="e">
        <f aca="false">IF(ISBLANK(INDEX(big_daily_table,MATCH(DATE(W$5,$K111,$J111),daily_dates,0),MATCH($B$3,daily_items,0))),NA(),INDEX(big_daily_table,MATCH(DATE(W$5,$K111,$J111),daily_dates,0),MATCH($B$3,daily_items,0)))</f>
        <v>#N/A</v>
      </c>
      <c r="X111" s="1" t="e">
        <f aca="false">IF(ISBLANK(INDEX(big_daily_table,MATCH(DATE(X$5,$K111,$J111),daily_dates,0),MATCH($B$3,daily_items,0))),NA(),INDEX(big_daily_table,MATCH(DATE(X$5,$K111,$J111),daily_dates,0),MATCH($B$3,daily_items,0)))</f>
        <v>#N/A</v>
      </c>
      <c r="Y111" s="1" t="e">
        <f aca="false">IF(ISBLANK(INDEX(big_daily_table,MATCH(DATE(Y$5,$K111,$J111),daily_dates,0),MATCH($B$3,daily_items,0))),NA(),INDEX(big_daily_table,MATCH(DATE(Y$5,$K111,$J111),daily_dates,0),MATCH($B$3,daily_items,0)))</f>
        <v>#N/A</v>
      </c>
      <c r="Z111" s="1" t="e">
        <f aca="false">IF(ISBLANK(INDEX(big_daily_table,MATCH(DATE(Z$5,$K111,$J111),daily_dates,0),MATCH($B$3,daily_items,0))),NA(),INDEX(big_daily_table,MATCH(DATE(Z$5,$K111,$J111),daily_dates,0),MATCH($B$3,daily_items,0)))</f>
        <v>#N/A</v>
      </c>
      <c r="AA111" s="1" t="n">
        <f aca="true">_xlfn.AGGREGATE(5,6,OFFSET($S$5,H111,0,1,$K$2))</f>
        <v>0</v>
      </c>
      <c r="AB111" s="1" t="n">
        <f aca="true">_xlfn.AGGREGATE(4,6,OFFSET($S$5,H111,0,1,$K$2))</f>
        <v>0</v>
      </c>
      <c r="AC111" s="1" t="n">
        <f aca="false">AB111-AA111</f>
        <v>0</v>
      </c>
      <c r="AD111" s="1" t="e">
        <f aca="true">_xlfn.AGGREGATE(1,6,OFFSET($S$5,H111,0,1,$K$2))</f>
        <v>#DIV/0!</v>
      </c>
    </row>
    <row r="112" customFormat="false" ht="14.25" hidden="false" customHeight="false" outlineLevel="0" collapsed="false">
      <c r="H112" s="1" t="n">
        <f aca="false">H111+1</f>
        <v>107</v>
      </c>
      <c r="I112" s="1" t="n">
        <f aca="false">WEEKDAY('daily graphs'!K112)</f>
        <v>1</v>
      </c>
      <c r="J112" s="1" t="n">
        <f aca="false">DAY(L112)</f>
        <v>15</v>
      </c>
      <c r="K112" s="1" t="n">
        <f aca="false">MONTH(L112)</f>
        <v>4</v>
      </c>
      <c r="L112" s="23" t="n">
        <f aca="false">'daily graphs'!K112 - I112</f>
        <v>36631</v>
      </c>
      <c r="M112" s="24" t="n">
        <f aca="true">IF(TODAY()&lt;DATE($O$5,K112,J112),1000000,-1000000)</f>
        <v>-1000000</v>
      </c>
      <c r="N112" s="24" t="e">
        <f aca="false">IF(M112&gt;0,INDEX(big_daily_table,MATCH(DATE(O$5,$K112,$J112),daily_dates,0),MATCH($B$3,daily_items,0)),NA())</f>
        <v>#N/A</v>
      </c>
      <c r="O112" s="1" t="e">
        <f aca="false">IF(M112&lt;0,INDEX(big_daily_table,MATCH(DATE(O$5,$K112,$J112),daily_dates,0),MATCH($B$3,daily_items,0)),NA())</f>
        <v>#N/A</v>
      </c>
      <c r="P112" s="1" t="e">
        <f aca="false">IF(ISBLANK(INDEX(big_daily_table,MATCH(DATE(P$5,$K112,$J112),daily_dates,0),MATCH($B$3,daily_items,0))),NA(),INDEX(big_daily_table,MATCH(DATE(P$5,$K112,$J112),daily_dates,0),MATCH($B$3,daily_items,0)))</f>
        <v>#N/A</v>
      </c>
      <c r="Q112" s="1" t="e">
        <f aca="false">IF(ISBLANK(INDEX(big_daily_table,MATCH(DATE(Q$5,$K112,$J112),daily_dates,0),MATCH($B$3,daily_items,0))),NA(),INDEX(big_daily_table,MATCH(DATE(Q$5,$K112,$J112),daily_dates,0),MATCH($B$3,daily_items,0)))</f>
        <v>#N/A</v>
      </c>
      <c r="R112" s="1" t="e">
        <f aca="false">IF(ISBLANK(INDEX(big_daily_table,MATCH(DATE(R$5,$K112,$J112),daily_dates,0),MATCH($B$3,daily_items,0))),NA(),INDEX(big_daily_table,MATCH(DATE(R$5,$K112,$J112),daily_dates,0),MATCH($B$3,daily_items,0)))</f>
        <v>#N/A</v>
      </c>
      <c r="S112" s="1" t="e">
        <f aca="false">IF(ISBLANK(INDEX(big_daily_table,MATCH(DATE(S$5,$K112,$J112),daily_dates,0),MATCH($B$3,daily_items,0))),NA(),INDEX(big_daily_table,MATCH(DATE(S$5,$K112,$J112),daily_dates,0),MATCH($B$3,daily_items,0)))</f>
        <v>#N/A</v>
      </c>
      <c r="T112" s="1" t="e">
        <f aca="false">IF(ISBLANK(INDEX(big_daily_table,MATCH(DATE(T$5,$K112,$J112),daily_dates,0),MATCH($B$3,daily_items,0))),NA(),INDEX(big_daily_table,MATCH(DATE(T$5,$K112,$J112),daily_dates,0),MATCH($B$3,daily_items,0)))</f>
        <v>#N/A</v>
      </c>
      <c r="U112" s="1" t="e">
        <f aca="false">IF(ISBLANK(INDEX(big_daily_table,MATCH(DATE(U$5,$K112,$J112),daily_dates,0),MATCH($B$3,daily_items,0))),NA(),INDEX(big_daily_table,MATCH(DATE(U$5,$K112,$J112),daily_dates,0),MATCH($B$3,daily_items,0)))</f>
        <v>#N/A</v>
      </c>
      <c r="V112" s="1" t="e">
        <f aca="false">IF(ISBLANK(INDEX(big_daily_table,MATCH(DATE(V$5,$K112,$J112),daily_dates,0),MATCH($B$3,daily_items,0))),NA(),INDEX(big_daily_table,MATCH(DATE(V$5,$K112,$J112),daily_dates,0),MATCH($B$3,daily_items,0)))</f>
        <v>#N/A</v>
      </c>
      <c r="W112" s="1" t="e">
        <f aca="false">IF(ISBLANK(INDEX(big_daily_table,MATCH(DATE(W$5,$K112,$J112),daily_dates,0),MATCH($B$3,daily_items,0))),NA(),INDEX(big_daily_table,MATCH(DATE(W$5,$K112,$J112),daily_dates,0),MATCH($B$3,daily_items,0)))</f>
        <v>#N/A</v>
      </c>
      <c r="X112" s="1" t="e">
        <f aca="false">IF(ISBLANK(INDEX(big_daily_table,MATCH(DATE(X$5,$K112,$J112),daily_dates,0),MATCH($B$3,daily_items,0))),NA(),INDEX(big_daily_table,MATCH(DATE(X$5,$K112,$J112),daily_dates,0),MATCH($B$3,daily_items,0)))</f>
        <v>#N/A</v>
      </c>
      <c r="Y112" s="1" t="e">
        <f aca="false">IF(ISBLANK(INDEX(big_daily_table,MATCH(DATE(Y$5,$K112,$J112),daily_dates,0),MATCH($B$3,daily_items,0))),NA(),INDEX(big_daily_table,MATCH(DATE(Y$5,$K112,$J112),daily_dates,0),MATCH($B$3,daily_items,0)))</f>
        <v>#N/A</v>
      </c>
      <c r="Z112" s="1" t="e">
        <f aca="false">IF(ISBLANK(INDEX(big_daily_table,MATCH(DATE(Z$5,$K112,$J112),daily_dates,0),MATCH($B$3,daily_items,0))),NA(),INDEX(big_daily_table,MATCH(DATE(Z$5,$K112,$J112),daily_dates,0),MATCH($B$3,daily_items,0)))</f>
        <v>#N/A</v>
      </c>
      <c r="AA112" s="1" t="n">
        <f aca="true">_xlfn.AGGREGATE(5,6,OFFSET($S$5,H112,0,1,$K$2))</f>
        <v>0</v>
      </c>
      <c r="AB112" s="1" t="n">
        <f aca="true">_xlfn.AGGREGATE(4,6,OFFSET($S$5,H112,0,1,$K$2))</f>
        <v>0</v>
      </c>
      <c r="AC112" s="1" t="n">
        <f aca="false">AB112-AA112</f>
        <v>0</v>
      </c>
      <c r="AD112" s="1" t="e">
        <f aca="true">_xlfn.AGGREGATE(1,6,OFFSET($S$5,H112,0,1,$K$2))</f>
        <v>#DIV/0!</v>
      </c>
    </row>
    <row r="113" customFormat="false" ht="14.25" hidden="false" customHeight="false" outlineLevel="0" collapsed="false">
      <c r="H113" s="1" t="n">
        <f aca="false">H112+1</f>
        <v>108</v>
      </c>
      <c r="I113" s="1" t="n">
        <f aca="false">WEEKDAY('daily graphs'!K113)</f>
        <v>2</v>
      </c>
      <c r="J113" s="1" t="n">
        <f aca="false">DAY(L113)</f>
        <v>15</v>
      </c>
      <c r="K113" s="1" t="n">
        <f aca="false">MONTH(L113)</f>
        <v>4</v>
      </c>
      <c r="L113" s="23" t="n">
        <f aca="false">'daily graphs'!K113 - I113</f>
        <v>36631</v>
      </c>
      <c r="M113" s="24" t="n">
        <f aca="true">IF(TODAY()&lt;DATE($O$5,K113,J113),1000000,-1000000)</f>
        <v>-1000000</v>
      </c>
      <c r="N113" s="24" t="e">
        <f aca="false">IF(M113&gt;0,INDEX(big_daily_table,MATCH(DATE(O$5,$K113,$J113),daily_dates,0),MATCH($B$3,daily_items,0)),NA())</f>
        <v>#N/A</v>
      </c>
      <c r="O113" s="1" t="e">
        <f aca="false">IF(M113&lt;0,INDEX(big_daily_table,MATCH(DATE(O$5,$K113,$J113),daily_dates,0),MATCH($B$3,daily_items,0)),NA())</f>
        <v>#N/A</v>
      </c>
      <c r="P113" s="1" t="e">
        <f aca="false">IF(ISBLANK(INDEX(big_daily_table,MATCH(DATE(P$5,$K113,$J113),daily_dates,0),MATCH($B$3,daily_items,0))),NA(),INDEX(big_daily_table,MATCH(DATE(P$5,$K113,$J113),daily_dates,0),MATCH($B$3,daily_items,0)))</f>
        <v>#N/A</v>
      </c>
      <c r="Q113" s="1" t="e">
        <f aca="false">IF(ISBLANK(INDEX(big_daily_table,MATCH(DATE(Q$5,$K113,$J113),daily_dates,0),MATCH($B$3,daily_items,0))),NA(),INDEX(big_daily_table,MATCH(DATE(Q$5,$K113,$J113),daily_dates,0),MATCH($B$3,daily_items,0)))</f>
        <v>#N/A</v>
      </c>
      <c r="R113" s="1" t="e">
        <f aca="false">IF(ISBLANK(INDEX(big_daily_table,MATCH(DATE(R$5,$K113,$J113),daily_dates,0),MATCH($B$3,daily_items,0))),NA(),INDEX(big_daily_table,MATCH(DATE(R$5,$K113,$J113),daily_dates,0),MATCH($B$3,daily_items,0)))</f>
        <v>#N/A</v>
      </c>
      <c r="S113" s="1" t="e">
        <f aca="false">IF(ISBLANK(INDEX(big_daily_table,MATCH(DATE(S$5,$K113,$J113),daily_dates,0),MATCH($B$3,daily_items,0))),NA(),INDEX(big_daily_table,MATCH(DATE(S$5,$K113,$J113),daily_dates,0),MATCH($B$3,daily_items,0)))</f>
        <v>#N/A</v>
      </c>
      <c r="T113" s="1" t="e">
        <f aca="false">IF(ISBLANK(INDEX(big_daily_table,MATCH(DATE(T$5,$K113,$J113),daily_dates,0),MATCH($B$3,daily_items,0))),NA(),INDEX(big_daily_table,MATCH(DATE(T$5,$K113,$J113),daily_dates,0),MATCH($B$3,daily_items,0)))</f>
        <v>#N/A</v>
      </c>
      <c r="U113" s="1" t="e">
        <f aca="false">IF(ISBLANK(INDEX(big_daily_table,MATCH(DATE(U$5,$K113,$J113),daily_dates,0),MATCH($B$3,daily_items,0))),NA(),INDEX(big_daily_table,MATCH(DATE(U$5,$K113,$J113),daily_dates,0),MATCH($B$3,daily_items,0)))</f>
        <v>#N/A</v>
      </c>
      <c r="V113" s="1" t="e">
        <f aca="false">IF(ISBLANK(INDEX(big_daily_table,MATCH(DATE(V$5,$K113,$J113),daily_dates,0),MATCH($B$3,daily_items,0))),NA(),INDEX(big_daily_table,MATCH(DATE(V$5,$K113,$J113),daily_dates,0),MATCH($B$3,daily_items,0)))</f>
        <v>#N/A</v>
      </c>
      <c r="W113" s="1" t="e">
        <f aca="false">IF(ISBLANK(INDEX(big_daily_table,MATCH(DATE(W$5,$K113,$J113),daily_dates,0),MATCH($B$3,daily_items,0))),NA(),INDEX(big_daily_table,MATCH(DATE(W$5,$K113,$J113),daily_dates,0),MATCH($B$3,daily_items,0)))</f>
        <v>#N/A</v>
      </c>
      <c r="X113" s="1" t="e">
        <f aca="false">IF(ISBLANK(INDEX(big_daily_table,MATCH(DATE(X$5,$K113,$J113),daily_dates,0),MATCH($B$3,daily_items,0))),NA(),INDEX(big_daily_table,MATCH(DATE(X$5,$K113,$J113),daily_dates,0),MATCH($B$3,daily_items,0)))</f>
        <v>#N/A</v>
      </c>
      <c r="Y113" s="1" t="e">
        <f aca="false">IF(ISBLANK(INDEX(big_daily_table,MATCH(DATE(Y$5,$K113,$J113),daily_dates,0),MATCH($B$3,daily_items,0))),NA(),INDEX(big_daily_table,MATCH(DATE(Y$5,$K113,$J113),daily_dates,0),MATCH($B$3,daily_items,0)))</f>
        <v>#N/A</v>
      </c>
      <c r="Z113" s="1" t="e">
        <f aca="false">IF(ISBLANK(INDEX(big_daily_table,MATCH(DATE(Z$5,$K113,$J113),daily_dates,0),MATCH($B$3,daily_items,0))),NA(),INDEX(big_daily_table,MATCH(DATE(Z$5,$K113,$J113),daily_dates,0),MATCH($B$3,daily_items,0)))</f>
        <v>#N/A</v>
      </c>
      <c r="AA113" s="1" t="n">
        <f aca="true">_xlfn.AGGREGATE(5,6,OFFSET($S$5,H113,0,1,$K$2))</f>
        <v>0</v>
      </c>
      <c r="AB113" s="1" t="n">
        <f aca="true">_xlfn.AGGREGATE(4,6,OFFSET($S$5,H113,0,1,$K$2))</f>
        <v>0</v>
      </c>
      <c r="AC113" s="1" t="n">
        <f aca="false">AB113-AA113</f>
        <v>0</v>
      </c>
      <c r="AD113" s="1" t="e">
        <f aca="true">_xlfn.AGGREGATE(1,6,OFFSET($S$5,H113,0,1,$K$2))</f>
        <v>#DIV/0!</v>
      </c>
    </row>
    <row r="114" customFormat="false" ht="14.25" hidden="false" customHeight="false" outlineLevel="0" collapsed="false">
      <c r="H114" s="1" t="n">
        <f aca="false">H113+1</f>
        <v>109</v>
      </c>
      <c r="I114" s="1" t="n">
        <f aca="false">WEEKDAY('daily graphs'!K114)</f>
        <v>3</v>
      </c>
      <c r="J114" s="1" t="n">
        <f aca="false">DAY(L114)</f>
        <v>15</v>
      </c>
      <c r="K114" s="1" t="n">
        <f aca="false">MONTH(L114)</f>
        <v>4</v>
      </c>
      <c r="L114" s="23" t="n">
        <f aca="false">'daily graphs'!K114 - I114</f>
        <v>36631</v>
      </c>
      <c r="M114" s="24" t="n">
        <f aca="true">IF(TODAY()&lt;DATE($O$5,K114,J114),1000000,-1000000)</f>
        <v>-1000000</v>
      </c>
      <c r="N114" s="24" t="e">
        <f aca="false">IF(M114&gt;0,INDEX(big_daily_table,MATCH(DATE(O$5,$K114,$J114),daily_dates,0),MATCH($B$3,daily_items,0)),NA())</f>
        <v>#N/A</v>
      </c>
      <c r="O114" s="1" t="e">
        <f aca="false">IF(M114&lt;0,INDEX(big_daily_table,MATCH(DATE(O$5,$K114,$J114),daily_dates,0),MATCH($B$3,daily_items,0)),NA())</f>
        <v>#N/A</v>
      </c>
      <c r="P114" s="1" t="e">
        <f aca="false">IF(ISBLANK(INDEX(big_daily_table,MATCH(DATE(P$5,$K114,$J114),daily_dates,0),MATCH($B$3,daily_items,0))),NA(),INDEX(big_daily_table,MATCH(DATE(P$5,$K114,$J114),daily_dates,0),MATCH($B$3,daily_items,0)))</f>
        <v>#N/A</v>
      </c>
      <c r="Q114" s="1" t="e">
        <f aca="false">IF(ISBLANK(INDEX(big_daily_table,MATCH(DATE(Q$5,$K114,$J114),daily_dates,0),MATCH($B$3,daily_items,0))),NA(),INDEX(big_daily_table,MATCH(DATE(Q$5,$K114,$J114),daily_dates,0),MATCH($B$3,daily_items,0)))</f>
        <v>#N/A</v>
      </c>
      <c r="R114" s="1" t="e">
        <f aca="false">IF(ISBLANK(INDEX(big_daily_table,MATCH(DATE(R$5,$K114,$J114),daily_dates,0),MATCH($B$3,daily_items,0))),NA(),INDEX(big_daily_table,MATCH(DATE(R$5,$K114,$J114),daily_dates,0),MATCH($B$3,daily_items,0)))</f>
        <v>#N/A</v>
      </c>
      <c r="S114" s="1" t="e">
        <f aca="false">IF(ISBLANK(INDEX(big_daily_table,MATCH(DATE(S$5,$K114,$J114),daily_dates,0),MATCH($B$3,daily_items,0))),NA(),INDEX(big_daily_table,MATCH(DATE(S$5,$K114,$J114),daily_dates,0),MATCH($B$3,daily_items,0)))</f>
        <v>#N/A</v>
      </c>
      <c r="T114" s="1" t="e">
        <f aca="false">IF(ISBLANK(INDEX(big_daily_table,MATCH(DATE(T$5,$K114,$J114),daily_dates,0),MATCH($B$3,daily_items,0))),NA(),INDEX(big_daily_table,MATCH(DATE(T$5,$K114,$J114),daily_dates,0),MATCH($B$3,daily_items,0)))</f>
        <v>#N/A</v>
      </c>
      <c r="U114" s="1" t="e">
        <f aca="false">IF(ISBLANK(INDEX(big_daily_table,MATCH(DATE(U$5,$K114,$J114),daily_dates,0),MATCH($B$3,daily_items,0))),NA(),INDEX(big_daily_table,MATCH(DATE(U$5,$K114,$J114),daily_dates,0),MATCH($B$3,daily_items,0)))</f>
        <v>#N/A</v>
      </c>
      <c r="V114" s="1" t="e">
        <f aca="false">IF(ISBLANK(INDEX(big_daily_table,MATCH(DATE(V$5,$K114,$J114),daily_dates,0),MATCH($B$3,daily_items,0))),NA(),INDEX(big_daily_table,MATCH(DATE(V$5,$K114,$J114),daily_dates,0),MATCH($B$3,daily_items,0)))</f>
        <v>#N/A</v>
      </c>
      <c r="W114" s="1" t="e">
        <f aca="false">IF(ISBLANK(INDEX(big_daily_table,MATCH(DATE(W$5,$K114,$J114),daily_dates,0),MATCH($B$3,daily_items,0))),NA(),INDEX(big_daily_table,MATCH(DATE(W$5,$K114,$J114),daily_dates,0),MATCH($B$3,daily_items,0)))</f>
        <v>#N/A</v>
      </c>
      <c r="X114" s="1" t="e">
        <f aca="false">IF(ISBLANK(INDEX(big_daily_table,MATCH(DATE(X$5,$K114,$J114),daily_dates,0),MATCH($B$3,daily_items,0))),NA(),INDEX(big_daily_table,MATCH(DATE(X$5,$K114,$J114),daily_dates,0),MATCH($B$3,daily_items,0)))</f>
        <v>#N/A</v>
      </c>
      <c r="Y114" s="1" t="e">
        <f aca="false">IF(ISBLANK(INDEX(big_daily_table,MATCH(DATE(Y$5,$K114,$J114),daily_dates,0),MATCH($B$3,daily_items,0))),NA(),INDEX(big_daily_table,MATCH(DATE(Y$5,$K114,$J114),daily_dates,0),MATCH($B$3,daily_items,0)))</f>
        <v>#N/A</v>
      </c>
      <c r="Z114" s="1" t="e">
        <f aca="false">IF(ISBLANK(INDEX(big_daily_table,MATCH(DATE(Z$5,$K114,$J114),daily_dates,0),MATCH($B$3,daily_items,0))),NA(),INDEX(big_daily_table,MATCH(DATE(Z$5,$K114,$J114),daily_dates,0),MATCH($B$3,daily_items,0)))</f>
        <v>#N/A</v>
      </c>
      <c r="AA114" s="1" t="n">
        <f aca="true">_xlfn.AGGREGATE(5,6,OFFSET($S$5,H114,0,1,$K$2))</f>
        <v>0</v>
      </c>
      <c r="AB114" s="1" t="n">
        <f aca="true">_xlfn.AGGREGATE(4,6,OFFSET($S$5,H114,0,1,$K$2))</f>
        <v>0</v>
      </c>
      <c r="AC114" s="1" t="n">
        <f aca="false">AB114-AA114</f>
        <v>0</v>
      </c>
      <c r="AD114" s="1" t="e">
        <f aca="true">_xlfn.AGGREGATE(1,6,OFFSET($S$5,H114,0,1,$K$2))</f>
        <v>#DIV/0!</v>
      </c>
    </row>
    <row r="115" customFormat="false" ht="14.25" hidden="false" customHeight="false" outlineLevel="0" collapsed="false">
      <c r="H115" s="1" t="n">
        <f aca="false">H114+1</f>
        <v>110</v>
      </c>
      <c r="I115" s="1" t="n">
        <f aca="false">WEEKDAY('daily graphs'!K115)</f>
        <v>4</v>
      </c>
      <c r="J115" s="1" t="n">
        <f aca="false">DAY(L115)</f>
        <v>15</v>
      </c>
      <c r="K115" s="1" t="n">
        <f aca="false">MONTH(L115)</f>
        <v>4</v>
      </c>
      <c r="L115" s="23" t="n">
        <f aca="false">'daily graphs'!K115 - I115</f>
        <v>36631</v>
      </c>
      <c r="M115" s="24" t="n">
        <f aca="true">IF(TODAY()&lt;DATE($O$5,K115,J115),1000000,-1000000)</f>
        <v>-1000000</v>
      </c>
      <c r="N115" s="24" t="e">
        <f aca="false">IF(M115&gt;0,INDEX(big_daily_table,MATCH(DATE(O$5,$K115,$J115),daily_dates,0),MATCH($B$3,daily_items,0)),NA())</f>
        <v>#N/A</v>
      </c>
      <c r="O115" s="1" t="e">
        <f aca="false">IF(M115&lt;0,INDEX(big_daily_table,MATCH(DATE(O$5,$K115,$J115),daily_dates,0),MATCH($B$3,daily_items,0)),NA())</f>
        <v>#N/A</v>
      </c>
      <c r="P115" s="1" t="e">
        <f aca="false">IF(ISBLANK(INDEX(big_daily_table,MATCH(DATE(P$5,$K115,$J115),daily_dates,0),MATCH($B$3,daily_items,0))),NA(),INDEX(big_daily_table,MATCH(DATE(P$5,$K115,$J115),daily_dates,0),MATCH($B$3,daily_items,0)))</f>
        <v>#N/A</v>
      </c>
      <c r="Q115" s="1" t="e">
        <f aca="false">IF(ISBLANK(INDEX(big_daily_table,MATCH(DATE(Q$5,$K115,$J115),daily_dates,0),MATCH($B$3,daily_items,0))),NA(),INDEX(big_daily_table,MATCH(DATE(Q$5,$K115,$J115),daily_dates,0),MATCH($B$3,daily_items,0)))</f>
        <v>#N/A</v>
      </c>
      <c r="R115" s="1" t="e">
        <f aca="false">IF(ISBLANK(INDEX(big_daily_table,MATCH(DATE(R$5,$K115,$J115),daily_dates,0),MATCH($B$3,daily_items,0))),NA(),INDEX(big_daily_table,MATCH(DATE(R$5,$K115,$J115),daily_dates,0),MATCH($B$3,daily_items,0)))</f>
        <v>#N/A</v>
      </c>
      <c r="S115" s="1" t="e">
        <f aca="false">IF(ISBLANK(INDEX(big_daily_table,MATCH(DATE(S$5,$K115,$J115),daily_dates,0),MATCH($B$3,daily_items,0))),NA(),INDEX(big_daily_table,MATCH(DATE(S$5,$K115,$J115),daily_dates,0),MATCH($B$3,daily_items,0)))</f>
        <v>#N/A</v>
      </c>
      <c r="T115" s="1" t="e">
        <f aca="false">IF(ISBLANK(INDEX(big_daily_table,MATCH(DATE(T$5,$K115,$J115),daily_dates,0),MATCH($B$3,daily_items,0))),NA(),INDEX(big_daily_table,MATCH(DATE(T$5,$K115,$J115),daily_dates,0),MATCH($B$3,daily_items,0)))</f>
        <v>#N/A</v>
      </c>
      <c r="U115" s="1" t="e">
        <f aca="false">IF(ISBLANK(INDEX(big_daily_table,MATCH(DATE(U$5,$K115,$J115),daily_dates,0),MATCH($B$3,daily_items,0))),NA(),INDEX(big_daily_table,MATCH(DATE(U$5,$K115,$J115),daily_dates,0),MATCH($B$3,daily_items,0)))</f>
        <v>#N/A</v>
      </c>
      <c r="V115" s="1" t="e">
        <f aca="false">IF(ISBLANK(INDEX(big_daily_table,MATCH(DATE(V$5,$K115,$J115),daily_dates,0),MATCH($B$3,daily_items,0))),NA(),INDEX(big_daily_table,MATCH(DATE(V$5,$K115,$J115),daily_dates,0),MATCH($B$3,daily_items,0)))</f>
        <v>#N/A</v>
      </c>
      <c r="W115" s="1" t="e">
        <f aca="false">IF(ISBLANK(INDEX(big_daily_table,MATCH(DATE(W$5,$K115,$J115),daily_dates,0),MATCH($B$3,daily_items,0))),NA(),INDEX(big_daily_table,MATCH(DATE(W$5,$K115,$J115),daily_dates,0),MATCH($B$3,daily_items,0)))</f>
        <v>#N/A</v>
      </c>
      <c r="X115" s="1" t="e">
        <f aca="false">IF(ISBLANK(INDEX(big_daily_table,MATCH(DATE(X$5,$K115,$J115),daily_dates,0),MATCH($B$3,daily_items,0))),NA(),INDEX(big_daily_table,MATCH(DATE(X$5,$K115,$J115),daily_dates,0),MATCH($B$3,daily_items,0)))</f>
        <v>#N/A</v>
      </c>
      <c r="Y115" s="1" t="e">
        <f aca="false">IF(ISBLANK(INDEX(big_daily_table,MATCH(DATE(Y$5,$K115,$J115),daily_dates,0),MATCH($B$3,daily_items,0))),NA(),INDEX(big_daily_table,MATCH(DATE(Y$5,$K115,$J115),daily_dates,0),MATCH($B$3,daily_items,0)))</f>
        <v>#N/A</v>
      </c>
      <c r="Z115" s="1" t="e">
        <f aca="false">IF(ISBLANK(INDEX(big_daily_table,MATCH(DATE(Z$5,$K115,$J115),daily_dates,0),MATCH($B$3,daily_items,0))),NA(),INDEX(big_daily_table,MATCH(DATE(Z$5,$K115,$J115),daily_dates,0),MATCH($B$3,daily_items,0)))</f>
        <v>#N/A</v>
      </c>
      <c r="AA115" s="1" t="n">
        <f aca="true">_xlfn.AGGREGATE(5,6,OFFSET($S$5,H115,0,1,$K$2))</f>
        <v>0</v>
      </c>
      <c r="AB115" s="1" t="n">
        <f aca="true">_xlfn.AGGREGATE(4,6,OFFSET($S$5,H115,0,1,$K$2))</f>
        <v>0</v>
      </c>
      <c r="AC115" s="1" t="n">
        <f aca="false">AB115-AA115</f>
        <v>0</v>
      </c>
      <c r="AD115" s="1" t="e">
        <f aca="true">_xlfn.AGGREGATE(1,6,OFFSET($S$5,H115,0,1,$K$2))</f>
        <v>#DIV/0!</v>
      </c>
    </row>
    <row r="116" customFormat="false" ht="14.25" hidden="false" customHeight="false" outlineLevel="0" collapsed="false">
      <c r="H116" s="1" t="n">
        <f aca="false">H115+1</f>
        <v>111</v>
      </c>
      <c r="I116" s="1" t="n">
        <f aca="false">WEEKDAY('daily graphs'!K116)</f>
        <v>5</v>
      </c>
      <c r="J116" s="1" t="n">
        <f aca="false">DAY(L116)</f>
        <v>15</v>
      </c>
      <c r="K116" s="1" t="n">
        <f aca="false">MONTH(L116)</f>
        <v>4</v>
      </c>
      <c r="L116" s="23" t="n">
        <f aca="false">'daily graphs'!K116 - I116</f>
        <v>36631</v>
      </c>
      <c r="M116" s="24" t="n">
        <f aca="true">IF(TODAY()&lt;DATE($O$5,K116,J116),1000000,-1000000)</f>
        <v>-1000000</v>
      </c>
      <c r="N116" s="24" t="e">
        <f aca="false">IF(M116&gt;0,INDEX(big_daily_table,MATCH(DATE(O$5,$K116,$J116),daily_dates,0),MATCH($B$3,daily_items,0)),NA())</f>
        <v>#N/A</v>
      </c>
      <c r="O116" s="1" t="e">
        <f aca="false">IF(M116&lt;0,INDEX(big_daily_table,MATCH(DATE(O$5,$K116,$J116),daily_dates,0),MATCH($B$3,daily_items,0)),NA())</f>
        <v>#N/A</v>
      </c>
      <c r="P116" s="1" t="e">
        <f aca="false">IF(ISBLANK(INDEX(big_daily_table,MATCH(DATE(P$5,$K116,$J116),daily_dates,0),MATCH($B$3,daily_items,0))),NA(),INDEX(big_daily_table,MATCH(DATE(P$5,$K116,$J116),daily_dates,0),MATCH($B$3,daily_items,0)))</f>
        <v>#N/A</v>
      </c>
      <c r="Q116" s="1" t="e">
        <f aca="false">IF(ISBLANK(INDEX(big_daily_table,MATCH(DATE(Q$5,$K116,$J116),daily_dates,0),MATCH($B$3,daily_items,0))),NA(),INDEX(big_daily_table,MATCH(DATE(Q$5,$K116,$J116),daily_dates,0),MATCH($B$3,daily_items,0)))</f>
        <v>#N/A</v>
      </c>
      <c r="R116" s="1" t="e">
        <f aca="false">IF(ISBLANK(INDEX(big_daily_table,MATCH(DATE(R$5,$K116,$J116),daily_dates,0),MATCH($B$3,daily_items,0))),NA(),INDEX(big_daily_table,MATCH(DATE(R$5,$K116,$J116),daily_dates,0),MATCH($B$3,daily_items,0)))</f>
        <v>#N/A</v>
      </c>
      <c r="S116" s="1" t="e">
        <f aca="false">IF(ISBLANK(INDEX(big_daily_table,MATCH(DATE(S$5,$K116,$J116),daily_dates,0),MATCH($B$3,daily_items,0))),NA(),INDEX(big_daily_table,MATCH(DATE(S$5,$K116,$J116),daily_dates,0),MATCH($B$3,daily_items,0)))</f>
        <v>#N/A</v>
      </c>
      <c r="T116" s="1" t="e">
        <f aca="false">IF(ISBLANK(INDEX(big_daily_table,MATCH(DATE(T$5,$K116,$J116),daily_dates,0),MATCH($B$3,daily_items,0))),NA(),INDEX(big_daily_table,MATCH(DATE(T$5,$K116,$J116),daily_dates,0),MATCH($B$3,daily_items,0)))</f>
        <v>#N/A</v>
      </c>
      <c r="U116" s="1" t="e">
        <f aca="false">IF(ISBLANK(INDEX(big_daily_table,MATCH(DATE(U$5,$K116,$J116),daily_dates,0),MATCH($B$3,daily_items,0))),NA(),INDEX(big_daily_table,MATCH(DATE(U$5,$K116,$J116),daily_dates,0),MATCH($B$3,daily_items,0)))</f>
        <v>#N/A</v>
      </c>
      <c r="V116" s="1" t="e">
        <f aca="false">IF(ISBLANK(INDEX(big_daily_table,MATCH(DATE(V$5,$K116,$J116),daily_dates,0),MATCH($B$3,daily_items,0))),NA(),INDEX(big_daily_table,MATCH(DATE(V$5,$K116,$J116),daily_dates,0),MATCH($B$3,daily_items,0)))</f>
        <v>#N/A</v>
      </c>
      <c r="W116" s="1" t="e">
        <f aca="false">IF(ISBLANK(INDEX(big_daily_table,MATCH(DATE(W$5,$K116,$J116),daily_dates,0),MATCH($B$3,daily_items,0))),NA(),INDEX(big_daily_table,MATCH(DATE(W$5,$K116,$J116),daily_dates,0),MATCH($B$3,daily_items,0)))</f>
        <v>#N/A</v>
      </c>
      <c r="X116" s="1" t="e">
        <f aca="false">IF(ISBLANK(INDEX(big_daily_table,MATCH(DATE(X$5,$K116,$J116),daily_dates,0),MATCH($B$3,daily_items,0))),NA(),INDEX(big_daily_table,MATCH(DATE(X$5,$K116,$J116),daily_dates,0),MATCH($B$3,daily_items,0)))</f>
        <v>#N/A</v>
      </c>
      <c r="Y116" s="1" t="e">
        <f aca="false">IF(ISBLANK(INDEX(big_daily_table,MATCH(DATE(Y$5,$K116,$J116),daily_dates,0),MATCH($B$3,daily_items,0))),NA(),INDEX(big_daily_table,MATCH(DATE(Y$5,$K116,$J116),daily_dates,0),MATCH($B$3,daily_items,0)))</f>
        <v>#N/A</v>
      </c>
      <c r="Z116" s="1" t="e">
        <f aca="false">IF(ISBLANK(INDEX(big_daily_table,MATCH(DATE(Z$5,$K116,$J116),daily_dates,0),MATCH($B$3,daily_items,0))),NA(),INDEX(big_daily_table,MATCH(DATE(Z$5,$K116,$J116),daily_dates,0),MATCH($B$3,daily_items,0)))</f>
        <v>#N/A</v>
      </c>
      <c r="AA116" s="1" t="n">
        <f aca="true">_xlfn.AGGREGATE(5,6,OFFSET($S$5,H116,0,1,$K$2))</f>
        <v>0</v>
      </c>
      <c r="AB116" s="1" t="n">
        <f aca="true">_xlfn.AGGREGATE(4,6,OFFSET($S$5,H116,0,1,$K$2))</f>
        <v>0</v>
      </c>
      <c r="AC116" s="1" t="n">
        <f aca="false">AB116-AA116</f>
        <v>0</v>
      </c>
      <c r="AD116" s="1" t="e">
        <f aca="true">_xlfn.AGGREGATE(1,6,OFFSET($S$5,H116,0,1,$K$2))</f>
        <v>#DIV/0!</v>
      </c>
    </row>
    <row r="117" customFormat="false" ht="14.25" hidden="false" customHeight="false" outlineLevel="0" collapsed="false">
      <c r="H117" s="1" t="n">
        <f aca="false">H116+1</f>
        <v>112</v>
      </c>
      <c r="I117" s="1" t="n">
        <f aca="false">WEEKDAY('daily graphs'!K117)</f>
        <v>6</v>
      </c>
      <c r="J117" s="1" t="n">
        <f aca="false">DAY(L117)</f>
        <v>15</v>
      </c>
      <c r="K117" s="1" t="n">
        <f aca="false">MONTH(L117)</f>
        <v>4</v>
      </c>
      <c r="L117" s="23" t="n">
        <f aca="false">'daily graphs'!K117 - I117</f>
        <v>36631</v>
      </c>
      <c r="M117" s="24" t="n">
        <f aca="true">IF(TODAY()&lt;DATE($O$5,K117,J117),1000000,-1000000)</f>
        <v>-1000000</v>
      </c>
      <c r="N117" s="24" t="e">
        <f aca="false">IF(M117&gt;0,INDEX(big_daily_table,MATCH(DATE(O$5,$K117,$J117),daily_dates,0),MATCH($B$3,daily_items,0)),NA())</f>
        <v>#N/A</v>
      </c>
      <c r="O117" s="1" t="e">
        <f aca="false">IF(M117&lt;0,INDEX(big_daily_table,MATCH(DATE(O$5,$K117,$J117),daily_dates,0),MATCH($B$3,daily_items,0)),NA())</f>
        <v>#N/A</v>
      </c>
      <c r="P117" s="1" t="e">
        <f aca="false">IF(ISBLANK(INDEX(big_daily_table,MATCH(DATE(P$5,$K117,$J117),daily_dates,0),MATCH($B$3,daily_items,0))),NA(),INDEX(big_daily_table,MATCH(DATE(P$5,$K117,$J117),daily_dates,0),MATCH($B$3,daily_items,0)))</f>
        <v>#N/A</v>
      </c>
      <c r="Q117" s="1" t="e">
        <f aca="false">IF(ISBLANK(INDEX(big_daily_table,MATCH(DATE(Q$5,$K117,$J117),daily_dates,0),MATCH($B$3,daily_items,0))),NA(),INDEX(big_daily_table,MATCH(DATE(Q$5,$K117,$J117),daily_dates,0),MATCH($B$3,daily_items,0)))</f>
        <v>#N/A</v>
      </c>
      <c r="R117" s="1" t="e">
        <f aca="false">IF(ISBLANK(INDEX(big_daily_table,MATCH(DATE(R$5,$K117,$J117),daily_dates,0),MATCH($B$3,daily_items,0))),NA(),INDEX(big_daily_table,MATCH(DATE(R$5,$K117,$J117),daily_dates,0),MATCH($B$3,daily_items,0)))</f>
        <v>#N/A</v>
      </c>
      <c r="S117" s="1" t="e">
        <f aca="false">IF(ISBLANK(INDEX(big_daily_table,MATCH(DATE(S$5,$K117,$J117),daily_dates,0),MATCH($B$3,daily_items,0))),NA(),INDEX(big_daily_table,MATCH(DATE(S$5,$K117,$J117),daily_dates,0),MATCH($B$3,daily_items,0)))</f>
        <v>#N/A</v>
      </c>
      <c r="T117" s="1" t="e">
        <f aca="false">IF(ISBLANK(INDEX(big_daily_table,MATCH(DATE(T$5,$K117,$J117),daily_dates,0),MATCH($B$3,daily_items,0))),NA(),INDEX(big_daily_table,MATCH(DATE(T$5,$K117,$J117),daily_dates,0),MATCH($B$3,daily_items,0)))</f>
        <v>#N/A</v>
      </c>
      <c r="U117" s="1" t="e">
        <f aca="false">IF(ISBLANK(INDEX(big_daily_table,MATCH(DATE(U$5,$K117,$J117),daily_dates,0),MATCH($B$3,daily_items,0))),NA(),INDEX(big_daily_table,MATCH(DATE(U$5,$K117,$J117),daily_dates,0),MATCH($B$3,daily_items,0)))</f>
        <v>#N/A</v>
      </c>
      <c r="V117" s="1" t="e">
        <f aca="false">IF(ISBLANK(INDEX(big_daily_table,MATCH(DATE(V$5,$K117,$J117),daily_dates,0),MATCH($B$3,daily_items,0))),NA(),INDEX(big_daily_table,MATCH(DATE(V$5,$K117,$J117),daily_dates,0),MATCH($B$3,daily_items,0)))</f>
        <v>#N/A</v>
      </c>
      <c r="W117" s="1" t="e">
        <f aca="false">IF(ISBLANK(INDEX(big_daily_table,MATCH(DATE(W$5,$K117,$J117),daily_dates,0),MATCH($B$3,daily_items,0))),NA(),INDEX(big_daily_table,MATCH(DATE(W$5,$K117,$J117),daily_dates,0),MATCH($B$3,daily_items,0)))</f>
        <v>#N/A</v>
      </c>
      <c r="X117" s="1" t="e">
        <f aca="false">IF(ISBLANK(INDEX(big_daily_table,MATCH(DATE(X$5,$K117,$J117),daily_dates,0),MATCH($B$3,daily_items,0))),NA(),INDEX(big_daily_table,MATCH(DATE(X$5,$K117,$J117),daily_dates,0),MATCH($B$3,daily_items,0)))</f>
        <v>#N/A</v>
      </c>
      <c r="Y117" s="1" t="e">
        <f aca="false">IF(ISBLANK(INDEX(big_daily_table,MATCH(DATE(Y$5,$K117,$J117),daily_dates,0),MATCH($B$3,daily_items,0))),NA(),INDEX(big_daily_table,MATCH(DATE(Y$5,$K117,$J117),daily_dates,0),MATCH($B$3,daily_items,0)))</f>
        <v>#N/A</v>
      </c>
      <c r="Z117" s="1" t="e">
        <f aca="false">IF(ISBLANK(INDEX(big_daily_table,MATCH(DATE(Z$5,$K117,$J117),daily_dates,0),MATCH($B$3,daily_items,0))),NA(),INDEX(big_daily_table,MATCH(DATE(Z$5,$K117,$J117),daily_dates,0),MATCH($B$3,daily_items,0)))</f>
        <v>#N/A</v>
      </c>
      <c r="AA117" s="1" t="n">
        <f aca="true">_xlfn.AGGREGATE(5,6,OFFSET($S$5,H117,0,1,$K$2))</f>
        <v>0</v>
      </c>
      <c r="AB117" s="1" t="n">
        <f aca="true">_xlfn.AGGREGATE(4,6,OFFSET($S$5,H117,0,1,$K$2))</f>
        <v>0</v>
      </c>
      <c r="AC117" s="1" t="n">
        <f aca="false">AB117-AA117</f>
        <v>0</v>
      </c>
      <c r="AD117" s="1" t="e">
        <f aca="true">_xlfn.AGGREGATE(1,6,OFFSET($S$5,H117,0,1,$K$2))</f>
        <v>#DIV/0!</v>
      </c>
    </row>
    <row r="118" customFormat="false" ht="14.25" hidden="false" customHeight="false" outlineLevel="0" collapsed="false">
      <c r="H118" s="1" t="n">
        <f aca="false">H117+1</f>
        <v>113</v>
      </c>
      <c r="I118" s="1" t="n">
        <f aca="false">WEEKDAY('daily graphs'!K118)</f>
        <v>7</v>
      </c>
      <c r="J118" s="1" t="n">
        <f aca="false">DAY(L118)</f>
        <v>15</v>
      </c>
      <c r="K118" s="1" t="n">
        <f aca="false">MONTH(L118)</f>
        <v>4</v>
      </c>
      <c r="L118" s="23" t="n">
        <f aca="false">'daily graphs'!K118 - I118</f>
        <v>36631</v>
      </c>
      <c r="M118" s="24" t="n">
        <f aca="true">IF(TODAY()&lt;DATE($O$5,K118,J118),1000000,-1000000)</f>
        <v>-1000000</v>
      </c>
      <c r="N118" s="24" t="e">
        <f aca="false">IF(M118&gt;0,INDEX(big_daily_table,MATCH(DATE(O$5,$K118,$J118),daily_dates,0),MATCH($B$3,daily_items,0)),NA())</f>
        <v>#N/A</v>
      </c>
      <c r="O118" s="1" t="e">
        <f aca="false">IF(M118&lt;0,INDEX(big_daily_table,MATCH(DATE(O$5,$K118,$J118),daily_dates,0),MATCH($B$3,daily_items,0)),NA())</f>
        <v>#N/A</v>
      </c>
      <c r="P118" s="1" t="e">
        <f aca="false">IF(ISBLANK(INDEX(big_daily_table,MATCH(DATE(P$5,$K118,$J118),daily_dates,0),MATCH($B$3,daily_items,0))),NA(),INDEX(big_daily_table,MATCH(DATE(P$5,$K118,$J118),daily_dates,0),MATCH($B$3,daily_items,0)))</f>
        <v>#N/A</v>
      </c>
      <c r="Q118" s="1" t="e">
        <f aca="false">IF(ISBLANK(INDEX(big_daily_table,MATCH(DATE(Q$5,$K118,$J118),daily_dates,0),MATCH($B$3,daily_items,0))),NA(),INDEX(big_daily_table,MATCH(DATE(Q$5,$K118,$J118),daily_dates,0),MATCH($B$3,daily_items,0)))</f>
        <v>#N/A</v>
      </c>
      <c r="R118" s="1" t="e">
        <f aca="false">IF(ISBLANK(INDEX(big_daily_table,MATCH(DATE(R$5,$K118,$J118),daily_dates,0),MATCH($B$3,daily_items,0))),NA(),INDEX(big_daily_table,MATCH(DATE(R$5,$K118,$J118),daily_dates,0),MATCH($B$3,daily_items,0)))</f>
        <v>#N/A</v>
      </c>
      <c r="S118" s="1" t="e">
        <f aca="false">IF(ISBLANK(INDEX(big_daily_table,MATCH(DATE(S$5,$K118,$J118),daily_dates,0),MATCH($B$3,daily_items,0))),NA(),INDEX(big_daily_table,MATCH(DATE(S$5,$K118,$J118),daily_dates,0),MATCH($B$3,daily_items,0)))</f>
        <v>#N/A</v>
      </c>
      <c r="T118" s="1" t="e">
        <f aca="false">IF(ISBLANK(INDEX(big_daily_table,MATCH(DATE(T$5,$K118,$J118),daily_dates,0),MATCH($B$3,daily_items,0))),NA(),INDEX(big_daily_table,MATCH(DATE(T$5,$K118,$J118),daily_dates,0),MATCH($B$3,daily_items,0)))</f>
        <v>#N/A</v>
      </c>
      <c r="U118" s="1" t="e">
        <f aca="false">IF(ISBLANK(INDEX(big_daily_table,MATCH(DATE(U$5,$K118,$J118),daily_dates,0),MATCH($B$3,daily_items,0))),NA(),INDEX(big_daily_table,MATCH(DATE(U$5,$K118,$J118),daily_dates,0),MATCH($B$3,daily_items,0)))</f>
        <v>#N/A</v>
      </c>
      <c r="V118" s="1" t="e">
        <f aca="false">IF(ISBLANK(INDEX(big_daily_table,MATCH(DATE(V$5,$K118,$J118),daily_dates,0),MATCH($B$3,daily_items,0))),NA(),INDEX(big_daily_table,MATCH(DATE(V$5,$K118,$J118),daily_dates,0),MATCH($B$3,daily_items,0)))</f>
        <v>#N/A</v>
      </c>
      <c r="W118" s="1" t="e">
        <f aca="false">IF(ISBLANK(INDEX(big_daily_table,MATCH(DATE(W$5,$K118,$J118),daily_dates,0),MATCH($B$3,daily_items,0))),NA(),INDEX(big_daily_table,MATCH(DATE(W$5,$K118,$J118),daily_dates,0),MATCH($B$3,daily_items,0)))</f>
        <v>#N/A</v>
      </c>
      <c r="X118" s="1" t="e">
        <f aca="false">IF(ISBLANK(INDEX(big_daily_table,MATCH(DATE(X$5,$K118,$J118),daily_dates,0),MATCH($B$3,daily_items,0))),NA(),INDEX(big_daily_table,MATCH(DATE(X$5,$K118,$J118),daily_dates,0),MATCH($B$3,daily_items,0)))</f>
        <v>#N/A</v>
      </c>
      <c r="Y118" s="1" t="e">
        <f aca="false">IF(ISBLANK(INDEX(big_daily_table,MATCH(DATE(Y$5,$K118,$J118),daily_dates,0),MATCH($B$3,daily_items,0))),NA(),INDEX(big_daily_table,MATCH(DATE(Y$5,$K118,$J118),daily_dates,0),MATCH($B$3,daily_items,0)))</f>
        <v>#N/A</v>
      </c>
      <c r="Z118" s="1" t="e">
        <f aca="false">IF(ISBLANK(INDEX(big_daily_table,MATCH(DATE(Z$5,$K118,$J118),daily_dates,0),MATCH($B$3,daily_items,0))),NA(),INDEX(big_daily_table,MATCH(DATE(Z$5,$K118,$J118),daily_dates,0),MATCH($B$3,daily_items,0)))</f>
        <v>#N/A</v>
      </c>
      <c r="AA118" s="1" t="n">
        <f aca="true">_xlfn.AGGREGATE(5,6,OFFSET($S$5,H118,0,1,$K$2))</f>
        <v>0</v>
      </c>
      <c r="AB118" s="1" t="n">
        <f aca="true">_xlfn.AGGREGATE(4,6,OFFSET($S$5,H118,0,1,$K$2))</f>
        <v>0</v>
      </c>
      <c r="AC118" s="1" t="n">
        <f aca="false">AB118-AA118</f>
        <v>0</v>
      </c>
      <c r="AD118" s="1" t="e">
        <f aca="true">_xlfn.AGGREGATE(1,6,OFFSET($S$5,H118,0,1,$K$2))</f>
        <v>#DIV/0!</v>
      </c>
    </row>
    <row r="119" customFormat="false" ht="14.25" hidden="false" customHeight="false" outlineLevel="0" collapsed="false">
      <c r="H119" s="1" t="n">
        <f aca="false">H118+1</f>
        <v>114</v>
      </c>
      <c r="I119" s="1" t="n">
        <f aca="false">WEEKDAY('daily graphs'!K119)</f>
        <v>1</v>
      </c>
      <c r="J119" s="1" t="n">
        <f aca="false">DAY(L119)</f>
        <v>22</v>
      </c>
      <c r="K119" s="1" t="n">
        <f aca="false">MONTH(L119)</f>
        <v>4</v>
      </c>
      <c r="L119" s="23" t="n">
        <f aca="false">'daily graphs'!K119 - I119</f>
        <v>36638</v>
      </c>
      <c r="M119" s="24" t="n">
        <f aca="true">IF(TODAY()&lt;DATE($O$5,K119,J119),1000000,-1000000)</f>
        <v>-1000000</v>
      </c>
      <c r="N119" s="24" t="e">
        <f aca="false">IF(M119&gt;0,INDEX(big_daily_table,MATCH(DATE(O$5,$K119,$J119),daily_dates,0),MATCH($B$3,daily_items,0)),NA())</f>
        <v>#N/A</v>
      </c>
      <c r="O119" s="1" t="e">
        <f aca="false">IF(M119&lt;0,INDEX(big_daily_table,MATCH(DATE(O$5,$K119,$J119),daily_dates,0),MATCH($B$3,daily_items,0)),NA())</f>
        <v>#N/A</v>
      </c>
      <c r="P119" s="1" t="e">
        <f aca="false">IF(ISBLANK(INDEX(big_daily_table,MATCH(DATE(P$5,$K119,$J119),daily_dates,0),MATCH($B$3,daily_items,0))),NA(),INDEX(big_daily_table,MATCH(DATE(P$5,$K119,$J119),daily_dates,0),MATCH($B$3,daily_items,0)))</f>
        <v>#N/A</v>
      </c>
      <c r="Q119" s="1" t="e">
        <f aca="false">IF(ISBLANK(INDEX(big_daily_table,MATCH(DATE(Q$5,$K119,$J119),daily_dates,0),MATCH($B$3,daily_items,0))),NA(),INDEX(big_daily_table,MATCH(DATE(Q$5,$K119,$J119),daily_dates,0),MATCH($B$3,daily_items,0)))</f>
        <v>#N/A</v>
      </c>
      <c r="R119" s="1" t="e">
        <f aca="false">IF(ISBLANK(INDEX(big_daily_table,MATCH(DATE(R$5,$K119,$J119),daily_dates,0),MATCH($B$3,daily_items,0))),NA(),INDEX(big_daily_table,MATCH(DATE(R$5,$K119,$J119),daily_dates,0),MATCH($B$3,daily_items,0)))</f>
        <v>#N/A</v>
      </c>
      <c r="S119" s="1" t="e">
        <f aca="false">IF(ISBLANK(INDEX(big_daily_table,MATCH(DATE(S$5,$K119,$J119),daily_dates,0),MATCH($B$3,daily_items,0))),NA(),INDEX(big_daily_table,MATCH(DATE(S$5,$K119,$J119),daily_dates,0),MATCH($B$3,daily_items,0)))</f>
        <v>#N/A</v>
      </c>
      <c r="T119" s="1" t="e">
        <f aca="false">IF(ISBLANK(INDEX(big_daily_table,MATCH(DATE(T$5,$K119,$J119),daily_dates,0),MATCH($B$3,daily_items,0))),NA(),INDEX(big_daily_table,MATCH(DATE(T$5,$K119,$J119),daily_dates,0),MATCH($B$3,daily_items,0)))</f>
        <v>#N/A</v>
      </c>
      <c r="U119" s="1" t="e">
        <f aca="false">IF(ISBLANK(INDEX(big_daily_table,MATCH(DATE(U$5,$K119,$J119),daily_dates,0),MATCH($B$3,daily_items,0))),NA(),INDEX(big_daily_table,MATCH(DATE(U$5,$K119,$J119),daily_dates,0),MATCH($B$3,daily_items,0)))</f>
        <v>#N/A</v>
      </c>
      <c r="V119" s="1" t="e">
        <f aca="false">IF(ISBLANK(INDEX(big_daily_table,MATCH(DATE(V$5,$K119,$J119),daily_dates,0),MATCH($B$3,daily_items,0))),NA(),INDEX(big_daily_table,MATCH(DATE(V$5,$K119,$J119),daily_dates,0),MATCH($B$3,daily_items,0)))</f>
        <v>#N/A</v>
      </c>
      <c r="W119" s="1" t="e">
        <f aca="false">IF(ISBLANK(INDEX(big_daily_table,MATCH(DATE(W$5,$K119,$J119),daily_dates,0),MATCH($B$3,daily_items,0))),NA(),INDEX(big_daily_table,MATCH(DATE(W$5,$K119,$J119),daily_dates,0),MATCH($B$3,daily_items,0)))</f>
        <v>#N/A</v>
      </c>
      <c r="X119" s="1" t="e">
        <f aca="false">IF(ISBLANK(INDEX(big_daily_table,MATCH(DATE(X$5,$K119,$J119),daily_dates,0),MATCH($B$3,daily_items,0))),NA(),INDEX(big_daily_table,MATCH(DATE(X$5,$K119,$J119),daily_dates,0),MATCH($B$3,daily_items,0)))</f>
        <v>#N/A</v>
      </c>
      <c r="Y119" s="1" t="e">
        <f aca="false">IF(ISBLANK(INDEX(big_daily_table,MATCH(DATE(Y$5,$K119,$J119),daily_dates,0),MATCH($B$3,daily_items,0))),NA(),INDEX(big_daily_table,MATCH(DATE(Y$5,$K119,$J119),daily_dates,0),MATCH($B$3,daily_items,0)))</f>
        <v>#N/A</v>
      </c>
      <c r="Z119" s="1" t="e">
        <f aca="false">IF(ISBLANK(INDEX(big_daily_table,MATCH(DATE(Z$5,$K119,$J119),daily_dates,0),MATCH($B$3,daily_items,0))),NA(),INDEX(big_daily_table,MATCH(DATE(Z$5,$K119,$J119),daily_dates,0),MATCH($B$3,daily_items,0)))</f>
        <v>#N/A</v>
      </c>
      <c r="AA119" s="1" t="n">
        <f aca="true">_xlfn.AGGREGATE(5,6,OFFSET($S$5,H119,0,1,$K$2))</f>
        <v>0</v>
      </c>
      <c r="AB119" s="1" t="n">
        <f aca="true">_xlfn.AGGREGATE(4,6,OFFSET($S$5,H119,0,1,$K$2))</f>
        <v>0</v>
      </c>
      <c r="AC119" s="1" t="n">
        <f aca="false">AB119-AA119</f>
        <v>0</v>
      </c>
      <c r="AD119" s="1" t="e">
        <f aca="true">_xlfn.AGGREGATE(1,6,OFFSET($S$5,H119,0,1,$K$2))</f>
        <v>#DIV/0!</v>
      </c>
    </row>
    <row r="120" customFormat="false" ht="14.25" hidden="false" customHeight="false" outlineLevel="0" collapsed="false">
      <c r="H120" s="1" t="n">
        <f aca="false">H119+1</f>
        <v>115</v>
      </c>
      <c r="I120" s="1" t="n">
        <f aca="false">WEEKDAY('daily graphs'!K120)</f>
        <v>2</v>
      </c>
      <c r="J120" s="1" t="n">
        <f aca="false">DAY(L120)</f>
        <v>22</v>
      </c>
      <c r="K120" s="1" t="n">
        <f aca="false">MONTH(L120)</f>
        <v>4</v>
      </c>
      <c r="L120" s="23" t="n">
        <f aca="false">'daily graphs'!K120 - I120</f>
        <v>36638</v>
      </c>
      <c r="M120" s="24" t="n">
        <f aca="true">IF(TODAY()&lt;DATE($O$5,K120,J120),1000000,-1000000)</f>
        <v>-1000000</v>
      </c>
      <c r="N120" s="24" t="e">
        <f aca="false">IF(M120&gt;0,INDEX(big_daily_table,MATCH(DATE(O$5,$K120,$J120),daily_dates,0),MATCH($B$3,daily_items,0)),NA())</f>
        <v>#N/A</v>
      </c>
      <c r="O120" s="1" t="e">
        <f aca="false">IF(M120&lt;0,INDEX(big_daily_table,MATCH(DATE(O$5,$K120,$J120),daily_dates,0),MATCH($B$3,daily_items,0)),NA())</f>
        <v>#N/A</v>
      </c>
      <c r="P120" s="1" t="e">
        <f aca="false">IF(ISBLANK(INDEX(big_daily_table,MATCH(DATE(P$5,$K120,$J120),daily_dates,0),MATCH($B$3,daily_items,0))),NA(),INDEX(big_daily_table,MATCH(DATE(P$5,$K120,$J120),daily_dates,0),MATCH($B$3,daily_items,0)))</f>
        <v>#N/A</v>
      </c>
      <c r="Q120" s="1" t="e">
        <f aca="false">IF(ISBLANK(INDEX(big_daily_table,MATCH(DATE(Q$5,$K120,$J120),daily_dates,0),MATCH($B$3,daily_items,0))),NA(),INDEX(big_daily_table,MATCH(DATE(Q$5,$K120,$J120),daily_dates,0),MATCH($B$3,daily_items,0)))</f>
        <v>#N/A</v>
      </c>
      <c r="R120" s="1" t="e">
        <f aca="false">IF(ISBLANK(INDEX(big_daily_table,MATCH(DATE(R$5,$K120,$J120),daily_dates,0),MATCH($B$3,daily_items,0))),NA(),INDEX(big_daily_table,MATCH(DATE(R$5,$K120,$J120),daily_dates,0),MATCH($B$3,daily_items,0)))</f>
        <v>#N/A</v>
      </c>
      <c r="S120" s="1" t="e">
        <f aca="false">IF(ISBLANK(INDEX(big_daily_table,MATCH(DATE(S$5,$K120,$J120),daily_dates,0),MATCH($B$3,daily_items,0))),NA(),INDEX(big_daily_table,MATCH(DATE(S$5,$K120,$J120),daily_dates,0),MATCH($B$3,daily_items,0)))</f>
        <v>#N/A</v>
      </c>
      <c r="T120" s="1" t="e">
        <f aca="false">IF(ISBLANK(INDEX(big_daily_table,MATCH(DATE(T$5,$K120,$J120),daily_dates,0),MATCH($B$3,daily_items,0))),NA(),INDEX(big_daily_table,MATCH(DATE(T$5,$K120,$J120),daily_dates,0),MATCH($B$3,daily_items,0)))</f>
        <v>#N/A</v>
      </c>
      <c r="U120" s="1" t="e">
        <f aca="false">IF(ISBLANK(INDEX(big_daily_table,MATCH(DATE(U$5,$K120,$J120),daily_dates,0),MATCH($B$3,daily_items,0))),NA(),INDEX(big_daily_table,MATCH(DATE(U$5,$K120,$J120),daily_dates,0),MATCH($B$3,daily_items,0)))</f>
        <v>#N/A</v>
      </c>
      <c r="V120" s="1" t="e">
        <f aca="false">IF(ISBLANK(INDEX(big_daily_table,MATCH(DATE(V$5,$K120,$J120),daily_dates,0),MATCH($B$3,daily_items,0))),NA(),INDEX(big_daily_table,MATCH(DATE(V$5,$K120,$J120),daily_dates,0),MATCH($B$3,daily_items,0)))</f>
        <v>#N/A</v>
      </c>
      <c r="W120" s="1" t="e">
        <f aca="false">IF(ISBLANK(INDEX(big_daily_table,MATCH(DATE(W$5,$K120,$J120),daily_dates,0),MATCH($B$3,daily_items,0))),NA(),INDEX(big_daily_table,MATCH(DATE(W$5,$K120,$J120),daily_dates,0),MATCH($B$3,daily_items,0)))</f>
        <v>#N/A</v>
      </c>
      <c r="X120" s="1" t="e">
        <f aca="false">IF(ISBLANK(INDEX(big_daily_table,MATCH(DATE(X$5,$K120,$J120),daily_dates,0),MATCH($B$3,daily_items,0))),NA(),INDEX(big_daily_table,MATCH(DATE(X$5,$K120,$J120),daily_dates,0),MATCH($B$3,daily_items,0)))</f>
        <v>#N/A</v>
      </c>
      <c r="Y120" s="1" t="e">
        <f aca="false">IF(ISBLANK(INDEX(big_daily_table,MATCH(DATE(Y$5,$K120,$J120),daily_dates,0),MATCH($B$3,daily_items,0))),NA(),INDEX(big_daily_table,MATCH(DATE(Y$5,$K120,$J120),daily_dates,0),MATCH($B$3,daily_items,0)))</f>
        <v>#N/A</v>
      </c>
      <c r="Z120" s="1" t="e">
        <f aca="false">IF(ISBLANK(INDEX(big_daily_table,MATCH(DATE(Z$5,$K120,$J120),daily_dates,0),MATCH($B$3,daily_items,0))),NA(),INDEX(big_daily_table,MATCH(DATE(Z$5,$K120,$J120),daily_dates,0),MATCH($B$3,daily_items,0)))</f>
        <v>#N/A</v>
      </c>
      <c r="AA120" s="1" t="n">
        <f aca="true">_xlfn.AGGREGATE(5,6,OFFSET($S$5,H120,0,1,$K$2))</f>
        <v>0</v>
      </c>
      <c r="AB120" s="1" t="n">
        <f aca="true">_xlfn.AGGREGATE(4,6,OFFSET($S$5,H120,0,1,$K$2))</f>
        <v>0</v>
      </c>
      <c r="AC120" s="1" t="n">
        <f aca="false">AB120-AA120</f>
        <v>0</v>
      </c>
      <c r="AD120" s="1" t="e">
        <f aca="true">_xlfn.AGGREGATE(1,6,OFFSET($S$5,H120,0,1,$K$2))</f>
        <v>#DIV/0!</v>
      </c>
    </row>
    <row r="121" customFormat="false" ht="14.25" hidden="false" customHeight="false" outlineLevel="0" collapsed="false">
      <c r="H121" s="1" t="n">
        <f aca="false">H120+1</f>
        <v>116</v>
      </c>
      <c r="I121" s="1" t="n">
        <f aca="false">WEEKDAY('daily graphs'!K121)</f>
        <v>3</v>
      </c>
      <c r="J121" s="1" t="n">
        <f aca="false">DAY(L121)</f>
        <v>22</v>
      </c>
      <c r="K121" s="1" t="n">
        <f aca="false">MONTH(L121)</f>
        <v>4</v>
      </c>
      <c r="L121" s="23" t="n">
        <f aca="false">'daily graphs'!K121 - I121</f>
        <v>36638</v>
      </c>
      <c r="M121" s="24" t="n">
        <f aca="true">IF(TODAY()&lt;DATE($O$5,K121,J121),1000000,-1000000)</f>
        <v>-1000000</v>
      </c>
      <c r="N121" s="24" t="e">
        <f aca="false">IF(M121&gt;0,INDEX(big_daily_table,MATCH(DATE(O$5,$K121,$J121),daily_dates,0),MATCH($B$3,daily_items,0)),NA())</f>
        <v>#N/A</v>
      </c>
      <c r="O121" s="1" t="e">
        <f aca="false">IF(M121&lt;0,INDEX(big_daily_table,MATCH(DATE(O$5,$K121,$J121),daily_dates,0),MATCH($B$3,daily_items,0)),NA())</f>
        <v>#N/A</v>
      </c>
      <c r="P121" s="1" t="e">
        <f aca="false">IF(ISBLANK(INDEX(big_daily_table,MATCH(DATE(P$5,$K121,$J121),daily_dates,0),MATCH($B$3,daily_items,0))),NA(),INDEX(big_daily_table,MATCH(DATE(P$5,$K121,$J121),daily_dates,0),MATCH($B$3,daily_items,0)))</f>
        <v>#N/A</v>
      </c>
      <c r="Q121" s="1" t="e">
        <f aca="false">IF(ISBLANK(INDEX(big_daily_table,MATCH(DATE(Q$5,$K121,$J121),daily_dates,0),MATCH($B$3,daily_items,0))),NA(),INDEX(big_daily_table,MATCH(DATE(Q$5,$K121,$J121),daily_dates,0),MATCH($B$3,daily_items,0)))</f>
        <v>#N/A</v>
      </c>
      <c r="R121" s="1" t="e">
        <f aca="false">IF(ISBLANK(INDEX(big_daily_table,MATCH(DATE(R$5,$K121,$J121),daily_dates,0),MATCH($B$3,daily_items,0))),NA(),INDEX(big_daily_table,MATCH(DATE(R$5,$K121,$J121),daily_dates,0),MATCH($B$3,daily_items,0)))</f>
        <v>#N/A</v>
      </c>
      <c r="S121" s="1" t="e">
        <f aca="false">IF(ISBLANK(INDEX(big_daily_table,MATCH(DATE(S$5,$K121,$J121),daily_dates,0),MATCH($B$3,daily_items,0))),NA(),INDEX(big_daily_table,MATCH(DATE(S$5,$K121,$J121),daily_dates,0),MATCH($B$3,daily_items,0)))</f>
        <v>#N/A</v>
      </c>
      <c r="T121" s="1" t="e">
        <f aca="false">IF(ISBLANK(INDEX(big_daily_table,MATCH(DATE(T$5,$K121,$J121),daily_dates,0),MATCH($B$3,daily_items,0))),NA(),INDEX(big_daily_table,MATCH(DATE(T$5,$K121,$J121),daily_dates,0),MATCH($B$3,daily_items,0)))</f>
        <v>#N/A</v>
      </c>
      <c r="U121" s="1" t="e">
        <f aca="false">IF(ISBLANK(INDEX(big_daily_table,MATCH(DATE(U$5,$K121,$J121),daily_dates,0),MATCH($B$3,daily_items,0))),NA(),INDEX(big_daily_table,MATCH(DATE(U$5,$K121,$J121),daily_dates,0),MATCH($B$3,daily_items,0)))</f>
        <v>#N/A</v>
      </c>
      <c r="V121" s="1" t="e">
        <f aca="false">IF(ISBLANK(INDEX(big_daily_table,MATCH(DATE(V$5,$K121,$J121),daily_dates,0),MATCH($B$3,daily_items,0))),NA(),INDEX(big_daily_table,MATCH(DATE(V$5,$K121,$J121),daily_dates,0),MATCH($B$3,daily_items,0)))</f>
        <v>#N/A</v>
      </c>
      <c r="W121" s="1" t="e">
        <f aca="false">IF(ISBLANK(INDEX(big_daily_table,MATCH(DATE(W$5,$K121,$J121),daily_dates,0),MATCH($B$3,daily_items,0))),NA(),INDEX(big_daily_table,MATCH(DATE(W$5,$K121,$J121),daily_dates,0),MATCH($B$3,daily_items,0)))</f>
        <v>#N/A</v>
      </c>
      <c r="X121" s="1" t="e">
        <f aca="false">IF(ISBLANK(INDEX(big_daily_table,MATCH(DATE(X$5,$K121,$J121),daily_dates,0),MATCH($B$3,daily_items,0))),NA(),INDEX(big_daily_table,MATCH(DATE(X$5,$K121,$J121),daily_dates,0),MATCH($B$3,daily_items,0)))</f>
        <v>#N/A</v>
      </c>
      <c r="Y121" s="1" t="e">
        <f aca="false">IF(ISBLANK(INDEX(big_daily_table,MATCH(DATE(Y$5,$K121,$J121),daily_dates,0),MATCH($B$3,daily_items,0))),NA(),INDEX(big_daily_table,MATCH(DATE(Y$5,$K121,$J121),daily_dates,0),MATCH($B$3,daily_items,0)))</f>
        <v>#N/A</v>
      </c>
      <c r="Z121" s="1" t="e">
        <f aca="false">IF(ISBLANK(INDEX(big_daily_table,MATCH(DATE(Z$5,$K121,$J121),daily_dates,0),MATCH($B$3,daily_items,0))),NA(),INDEX(big_daily_table,MATCH(DATE(Z$5,$K121,$J121),daily_dates,0),MATCH($B$3,daily_items,0)))</f>
        <v>#N/A</v>
      </c>
      <c r="AA121" s="1" t="n">
        <f aca="true">_xlfn.AGGREGATE(5,6,OFFSET($S$5,H121,0,1,$K$2))</f>
        <v>0</v>
      </c>
      <c r="AB121" s="1" t="n">
        <f aca="true">_xlfn.AGGREGATE(4,6,OFFSET($S$5,H121,0,1,$K$2))</f>
        <v>0</v>
      </c>
      <c r="AC121" s="1" t="n">
        <f aca="false">AB121-AA121</f>
        <v>0</v>
      </c>
      <c r="AD121" s="1" t="e">
        <f aca="true">_xlfn.AGGREGATE(1,6,OFFSET($S$5,H121,0,1,$K$2))</f>
        <v>#DIV/0!</v>
      </c>
    </row>
    <row r="122" customFormat="false" ht="14.25" hidden="false" customHeight="false" outlineLevel="0" collapsed="false">
      <c r="H122" s="1" t="n">
        <f aca="false">H121+1</f>
        <v>117</v>
      </c>
      <c r="I122" s="1" t="n">
        <f aca="false">WEEKDAY('daily graphs'!K122)</f>
        <v>4</v>
      </c>
      <c r="J122" s="1" t="n">
        <f aca="false">DAY(L122)</f>
        <v>22</v>
      </c>
      <c r="K122" s="1" t="n">
        <f aca="false">MONTH(L122)</f>
        <v>4</v>
      </c>
      <c r="L122" s="23" t="n">
        <f aca="false">'daily graphs'!K122 - I122</f>
        <v>36638</v>
      </c>
      <c r="M122" s="24" t="n">
        <f aca="true">IF(TODAY()&lt;DATE($O$5,K122,J122),1000000,-1000000)</f>
        <v>-1000000</v>
      </c>
      <c r="N122" s="24" t="e">
        <f aca="false">IF(M122&gt;0,INDEX(big_daily_table,MATCH(DATE(O$5,$K122,$J122),daily_dates,0),MATCH($B$3,daily_items,0)),NA())</f>
        <v>#N/A</v>
      </c>
      <c r="O122" s="1" t="e">
        <f aca="false">IF(M122&lt;0,INDEX(big_daily_table,MATCH(DATE(O$5,$K122,$J122),daily_dates,0),MATCH($B$3,daily_items,0)),NA())</f>
        <v>#N/A</v>
      </c>
      <c r="P122" s="1" t="e">
        <f aca="false">IF(ISBLANK(INDEX(big_daily_table,MATCH(DATE(P$5,$K122,$J122),daily_dates,0),MATCH($B$3,daily_items,0))),NA(),INDEX(big_daily_table,MATCH(DATE(P$5,$K122,$J122),daily_dates,0),MATCH($B$3,daily_items,0)))</f>
        <v>#N/A</v>
      </c>
      <c r="Q122" s="1" t="e">
        <f aca="false">IF(ISBLANK(INDEX(big_daily_table,MATCH(DATE(Q$5,$K122,$J122),daily_dates,0),MATCH($B$3,daily_items,0))),NA(),INDEX(big_daily_table,MATCH(DATE(Q$5,$K122,$J122),daily_dates,0),MATCH($B$3,daily_items,0)))</f>
        <v>#N/A</v>
      </c>
      <c r="R122" s="1" t="e">
        <f aca="false">IF(ISBLANK(INDEX(big_daily_table,MATCH(DATE(R$5,$K122,$J122),daily_dates,0),MATCH($B$3,daily_items,0))),NA(),INDEX(big_daily_table,MATCH(DATE(R$5,$K122,$J122),daily_dates,0),MATCH($B$3,daily_items,0)))</f>
        <v>#N/A</v>
      </c>
      <c r="S122" s="1" t="e">
        <f aca="false">IF(ISBLANK(INDEX(big_daily_table,MATCH(DATE(S$5,$K122,$J122),daily_dates,0),MATCH($B$3,daily_items,0))),NA(),INDEX(big_daily_table,MATCH(DATE(S$5,$K122,$J122),daily_dates,0),MATCH($B$3,daily_items,0)))</f>
        <v>#N/A</v>
      </c>
      <c r="T122" s="1" t="e">
        <f aca="false">IF(ISBLANK(INDEX(big_daily_table,MATCH(DATE(T$5,$K122,$J122),daily_dates,0),MATCH($B$3,daily_items,0))),NA(),INDEX(big_daily_table,MATCH(DATE(T$5,$K122,$J122),daily_dates,0),MATCH($B$3,daily_items,0)))</f>
        <v>#N/A</v>
      </c>
      <c r="U122" s="1" t="e">
        <f aca="false">IF(ISBLANK(INDEX(big_daily_table,MATCH(DATE(U$5,$K122,$J122),daily_dates,0),MATCH($B$3,daily_items,0))),NA(),INDEX(big_daily_table,MATCH(DATE(U$5,$K122,$J122),daily_dates,0),MATCH($B$3,daily_items,0)))</f>
        <v>#N/A</v>
      </c>
      <c r="V122" s="1" t="e">
        <f aca="false">IF(ISBLANK(INDEX(big_daily_table,MATCH(DATE(V$5,$K122,$J122),daily_dates,0),MATCH($B$3,daily_items,0))),NA(),INDEX(big_daily_table,MATCH(DATE(V$5,$K122,$J122),daily_dates,0),MATCH($B$3,daily_items,0)))</f>
        <v>#N/A</v>
      </c>
      <c r="W122" s="1" t="e">
        <f aca="false">IF(ISBLANK(INDEX(big_daily_table,MATCH(DATE(W$5,$K122,$J122),daily_dates,0),MATCH($B$3,daily_items,0))),NA(),INDEX(big_daily_table,MATCH(DATE(W$5,$K122,$J122),daily_dates,0),MATCH($B$3,daily_items,0)))</f>
        <v>#N/A</v>
      </c>
      <c r="X122" s="1" t="e">
        <f aca="false">IF(ISBLANK(INDEX(big_daily_table,MATCH(DATE(X$5,$K122,$J122),daily_dates,0),MATCH($B$3,daily_items,0))),NA(),INDEX(big_daily_table,MATCH(DATE(X$5,$K122,$J122),daily_dates,0),MATCH($B$3,daily_items,0)))</f>
        <v>#N/A</v>
      </c>
      <c r="Y122" s="1" t="e">
        <f aca="false">IF(ISBLANK(INDEX(big_daily_table,MATCH(DATE(Y$5,$K122,$J122),daily_dates,0),MATCH($B$3,daily_items,0))),NA(),INDEX(big_daily_table,MATCH(DATE(Y$5,$K122,$J122),daily_dates,0),MATCH($B$3,daily_items,0)))</f>
        <v>#N/A</v>
      </c>
      <c r="Z122" s="1" t="e">
        <f aca="false">IF(ISBLANK(INDEX(big_daily_table,MATCH(DATE(Z$5,$K122,$J122),daily_dates,0),MATCH($B$3,daily_items,0))),NA(),INDEX(big_daily_table,MATCH(DATE(Z$5,$K122,$J122),daily_dates,0),MATCH($B$3,daily_items,0)))</f>
        <v>#N/A</v>
      </c>
      <c r="AA122" s="1" t="n">
        <f aca="true">_xlfn.AGGREGATE(5,6,OFFSET($S$5,H122,0,1,$K$2))</f>
        <v>0</v>
      </c>
      <c r="AB122" s="1" t="n">
        <f aca="true">_xlfn.AGGREGATE(4,6,OFFSET($S$5,H122,0,1,$K$2))</f>
        <v>0</v>
      </c>
      <c r="AC122" s="1" t="n">
        <f aca="false">AB122-AA122</f>
        <v>0</v>
      </c>
      <c r="AD122" s="1" t="e">
        <f aca="true">_xlfn.AGGREGATE(1,6,OFFSET($S$5,H122,0,1,$K$2))</f>
        <v>#DIV/0!</v>
      </c>
    </row>
    <row r="123" customFormat="false" ht="14.25" hidden="false" customHeight="false" outlineLevel="0" collapsed="false">
      <c r="H123" s="1" t="n">
        <f aca="false">H122+1</f>
        <v>118</v>
      </c>
      <c r="I123" s="1" t="n">
        <f aca="false">WEEKDAY('daily graphs'!K123)</f>
        <v>5</v>
      </c>
      <c r="J123" s="1" t="n">
        <f aca="false">DAY(L123)</f>
        <v>22</v>
      </c>
      <c r="K123" s="1" t="n">
        <f aca="false">MONTH(L123)</f>
        <v>4</v>
      </c>
      <c r="L123" s="23" t="n">
        <f aca="false">'daily graphs'!K123 - I123</f>
        <v>36638</v>
      </c>
      <c r="M123" s="24" t="n">
        <f aca="true">IF(TODAY()&lt;DATE($O$5,K123,J123),1000000,-1000000)</f>
        <v>-1000000</v>
      </c>
      <c r="N123" s="24" t="e">
        <f aca="false">IF(M123&gt;0,INDEX(big_daily_table,MATCH(DATE(O$5,$K123,$J123),daily_dates,0),MATCH($B$3,daily_items,0)),NA())</f>
        <v>#N/A</v>
      </c>
      <c r="O123" s="1" t="e">
        <f aca="false">IF(M123&lt;0,INDEX(big_daily_table,MATCH(DATE(O$5,$K123,$J123),daily_dates,0),MATCH($B$3,daily_items,0)),NA())</f>
        <v>#N/A</v>
      </c>
      <c r="P123" s="1" t="e">
        <f aca="false">IF(ISBLANK(INDEX(big_daily_table,MATCH(DATE(P$5,$K123,$J123),daily_dates,0),MATCH($B$3,daily_items,0))),NA(),INDEX(big_daily_table,MATCH(DATE(P$5,$K123,$J123),daily_dates,0),MATCH($B$3,daily_items,0)))</f>
        <v>#N/A</v>
      </c>
      <c r="Q123" s="1" t="e">
        <f aca="false">IF(ISBLANK(INDEX(big_daily_table,MATCH(DATE(Q$5,$K123,$J123),daily_dates,0),MATCH($B$3,daily_items,0))),NA(),INDEX(big_daily_table,MATCH(DATE(Q$5,$K123,$J123),daily_dates,0),MATCH($B$3,daily_items,0)))</f>
        <v>#N/A</v>
      </c>
      <c r="R123" s="1" t="e">
        <f aca="false">IF(ISBLANK(INDEX(big_daily_table,MATCH(DATE(R$5,$K123,$J123),daily_dates,0),MATCH($B$3,daily_items,0))),NA(),INDEX(big_daily_table,MATCH(DATE(R$5,$K123,$J123),daily_dates,0),MATCH($B$3,daily_items,0)))</f>
        <v>#N/A</v>
      </c>
      <c r="S123" s="1" t="e">
        <f aca="false">IF(ISBLANK(INDEX(big_daily_table,MATCH(DATE(S$5,$K123,$J123),daily_dates,0),MATCH($B$3,daily_items,0))),NA(),INDEX(big_daily_table,MATCH(DATE(S$5,$K123,$J123),daily_dates,0),MATCH($B$3,daily_items,0)))</f>
        <v>#N/A</v>
      </c>
      <c r="T123" s="1" t="e">
        <f aca="false">IF(ISBLANK(INDEX(big_daily_table,MATCH(DATE(T$5,$K123,$J123),daily_dates,0),MATCH($B$3,daily_items,0))),NA(),INDEX(big_daily_table,MATCH(DATE(T$5,$K123,$J123),daily_dates,0),MATCH($B$3,daily_items,0)))</f>
        <v>#N/A</v>
      </c>
      <c r="U123" s="1" t="e">
        <f aca="false">IF(ISBLANK(INDEX(big_daily_table,MATCH(DATE(U$5,$K123,$J123),daily_dates,0),MATCH($B$3,daily_items,0))),NA(),INDEX(big_daily_table,MATCH(DATE(U$5,$K123,$J123),daily_dates,0),MATCH($B$3,daily_items,0)))</f>
        <v>#N/A</v>
      </c>
      <c r="V123" s="1" t="e">
        <f aca="false">IF(ISBLANK(INDEX(big_daily_table,MATCH(DATE(V$5,$K123,$J123),daily_dates,0),MATCH($B$3,daily_items,0))),NA(),INDEX(big_daily_table,MATCH(DATE(V$5,$K123,$J123),daily_dates,0),MATCH($B$3,daily_items,0)))</f>
        <v>#N/A</v>
      </c>
      <c r="W123" s="1" t="e">
        <f aca="false">IF(ISBLANK(INDEX(big_daily_table,MATCH(DATE(W$5,$K123,$J123),daily_dates,0),MATCH($B$3,daily_items,0))),NA(),INDEX(big_daily_table,MATCH(DATE(W$5,$K123,$J123),daily_dates,0),MATCH($B$3,daily_items,0)))</f>
        <v>#N/A</v>
      </c>
      <c r="X123" s="1" t="e">
        <f aca="false">IF(ISBLANK(INDEX(big_daily_table,MATCH(DATE(X$5,$K123,$J123),daily_dates,0),MATCH($B$3,daily_items,0))),NA(),INDEX(big_daily_table,MATCH(DATE(X$5,$K123,$J123),daily_dates,0),MATCH($B$3,daily_items,0)))</f>
        <v>#N/A</v>
      </c>
      <c r="Y123" s="1" t="e">
        <f aca="false">IF(ISBLANK(INDEX(big_daily_table,MATCH(DATE(Y$5,$K123,$J123),daily_dates,0),MATCH($B$3,daily_items,0))),NA(),INDEX(big_daily_table,MATCH(DATE(Y$5,$K123,$J123),daily_dates,0),MATCH($B$3,daily_items,0)))</f>
        <v>#N/A</v>
      </c>
      <c r="Z123" s="1" t="e">
        <f aca="false">IF(ISBLANK(INDEX(big_daily_table,MATCH(DATE(Z$5,$K123,$J123),daily_dates,0),MATCH($B$3,daily_items,0))),NA(),INDEX(big_daily_table,MATCH(DATE(Z$5,$K123,$J123),daily_dates,0),MATCH($B$3,daily_items,0)))</f>
        <v>#N/A</v>
      </c>
      <c r="AA123" s="1" t="n">
        <f aca="true">_xlfn.AGGREGATE(5,6,OFFSET($S$5,H123,0,1,$K$2))</f>
        <v>0</v>
      </c>
      <c r="AB123" s="1" t="n">
        <f aca="true">_xlfn.AGGREGATE(4,6,OFFSET($S$5,H123,0,1,$K$2))</f>
        <v>0</v>
      </c>
      <c r="AC123" s="1" t="n">
        <f aca="false">AB123-AA123</f>
        <v>0</v>
      </c>
      <c r="AD123" s="1" t="e">
        <f aca="true">_xlfn.AGGREGATE(1,6,OFFSET($S$5,H123,0,1,$K$2))</f>
        <v>#DIV/0!</v>
      </c>
    </row>
    <row r="124" customFormat="false" ht="14.25" hidden="false" customHeight="false" outlineLevel="0" collapsed="false">
      <c r="H124" s="1" t="n">
        <f aca="false">H123+1</f>
        <v>119</v>
      </c>
      <c r="I124" s="1" t="n">
        <f aca="false">WEEKDAY('daily graphs'!K124)</f>
        <v>6</v>
      </c>
      <c r="J124" s="1" t="n">
        <f aca="false">DAY(L124)</f>
        <v>22</v>
      </c>
      <c r="K124" s="1" t="n">
        <f aca="false">MONTH(L124)</f>
        <v>4</v>
      </c>
      <c r="L124" s="23" t="n">
        <f aca="false">'daily graphs'!K124 - I124</f>
        <v>36638</v>
      </c>
      <c r="M124" s="24" t="n">
        <f aca="true">IF(TODAY()&lt;DATE($O$5,K124,J124),1000000,-1000000)</f>
        <v>-1000000</v>
      </c>
      <c r="N124" s="24" t="e">
        <f aca="false">IF(M124&gt;0,INDEX(big_daily_table,MATCH(DATE(O$5,$K124,$J124),daily_dates,0),MATCH($B$3,daily_items,0)),NA())</f>
        <v>#N/A</v>
      </c>
      <c r="O124" s="1" t="e">
        <f aca="false">IF(M124&lt;0,INDEX(big_daily_table,MATCH(DATE(O$5,$K124,$J124),daily_dates,0),MATCH($B$3,daily_items,0)),NA())</f>
        <v>#N/A</v>
      </c>
      <c r="P124" s="1" t="e">
        <f aca="false">IF(ISBLANK(INDEX(big_daily_table,MATCH(DATE(P$5,$K124,$J124),daily_dates,0),MATCH($B$3,daily_items,0))),NA(),INDEX(big_daily_table,MATCH(DATE(P$5,$K124,$J124),daily_dates,0),MATCH($B$3,daily_items,0)))</f>
        <v>#N/A</v>
      </c>
      <c r="Q124" s="1" t="e">
        <f aca="false">IF(ISBLANK(INDEX(big_daily_table,MATCH(DATE(Q$5,$K124,$J124),daily_dates,0),MATCH($B$3,daily_items,0))),NA(),INDEX(big_daily_table,MATCH(DATE(Q$5,$K124,$J124),daily_dates,0),MATCH($B$3,daily_items,0)))</f>
        <v>#N/A</v>
      </c>
      <c r="R124" s="1" t="e">
        <f aca="false">IF(ISBLANK(INDEX(big_daily_table,MATCH(DATE(R$5,$K124,$J124),daily_dates,0),MATCH($B$3,daily_items,0))),NA(),INDEX(big_daily_table,MATCH(DATE(R$5,$K124,$J124),daily_dates,0),MATCH($B$3,daily_items,0)))</f>
        <v>#N/A</v>
      </c>
      <c r="S124" s="1" t="e">
        <f aca="false">IF(ISBLANK(INDEX(big_daily_table,MATCH(DATE(S$5,$K124,$J124),daily_dates,0),MATCH($B$3,daily_items,0))),NA(),INDEX(big_daily_table,MATCH(DATE(S$5,$K124,$J124),daily_dates,0),MATCH($B$3,daily_items,0)))</f>
        <v>#N/A</v>
      </c>
      <c r="T124" s="1" t="e">
        <f aca="false">IF(ISBLANK(INDEX(big_daily_table,MATCH(DATE(T$5,$K124,$J124),daily_dates,0),MATCH($B$3,daily_items,0))),NA(),INDEX(big_daily_table,MATCH(DATE(T$5,$K124,$J124),daily_dates,0),MATCH($B$3,daily_items,0)))</f>
        <v>#N/A</v>
      </c>
      <c r="U124" s="1" t="e">
        <f aca="false">IF(ISBLANK(INDEX(big_daily_table,MATCH(DATE(U$5,$K124,$J124),daily_dates,0),MATCH($B$3,daily_items,0))),NA(),INDEX(big_daily_table,MATCH(DATE(U$5,$K124,$J124),daily_dates,0),MATCH($B$3,daily_items,0)))</f>
        <v>#N/A</v>
      </c>
      <c r="V124" s="1" t="e">
        <f aca="false">IF(ISBLANK(INDEX(big_daily_table,MATCH(DATE(V$5,$K124,$J124),daily_dates,0),MATCH($B$3,daily_items,0))),NA(),INDEX(big_daily_table,MATCH(DATE(V$5,$K124,$J124),daily_dates,0),MATCH($B$3,daily_items,0)))</f>
        <v>#N/A</v>
      </c>
      <c r="W124" s="1" t="e">
        <f aca="false">IF(ISBLANK(INDEX(big_daily_table,MATCH(DATE(W$5,$K124,$J124),daily_dates,0),MATCH($B$3,daily_items,0))),NA(),INDEX(big_daily_table,MATCH(DATE(W$5,$K124,$J124),daily_dates,0),MATCH($B$3,daily_items,0)))</f>
        <v>#N/A</v>
      </c>
      <c r="X124" s="1" t="e">
        <f aca="false">IF(ISBLANK(INDEX(big_daily_table,MATCH(DATE(X$5,$K124,$J124),daily_dates,0),MATCH($B$3,daily_items,0))),NA(),INDEX(big_daily_table,MATCH(DATE(X$5,$K124,$J124),daily_dates,0),MATCH($B$3,daily_items,0)))</f>
        <v>#N/A</v>
      </c>
      <c r="Y124" s="1" t="e">
        <f aca="false">IF(ISBLANK(INDEX(big_daily_table,MATCH(DATE(Y$5,$K124,$J124),daily_dates,0),MATCH($B$3,daily_items,0))),NA(),INDEX(big_daily_table,MATCH(DATE(Y$5,$K124,$J124),daily_dates,0),MATCH($B$3,daily_items,0)))</f>
        <v>#N/A</v>
      </c>
      <c r="Z124" s="1" t="e">
        <f aca="false">IF(ISBLANK(INDEX(big_daily_table,MATCH(DATE(Z$5,$K124,$J124),daily_dates,0),MATCH($B$3,daily_items,0))),NA(),INDEX(big_daily_table,MATCH(DATE(Z$5,$K124,$J124),daily_dates,0),MATCH($B$3,daily_items,0)))</f>
        <v>#N/A</v>
      </c>
      <c r="AA124" s="1" t="n">
        <f aca="true">_xlfn.AGGREGATE(5,6,OFFSET($S$5,H124,0,1,$K$2))</f>
        <v>0</v>
      </c>
      <c r="AB124" s="1" t="n">
        <f aca="true">_xlfn.AGGREGATE(4,6,OFFSET($S$5,H124,0,1,$K$2))</f>
        <v>0</v>
      </c>
      <c r="AC124" s="1" t="n">
        <f aca="false">AB124-AA124</f>
        <v>0</v>
      </c>
      <c r="AD124" s="1" t="e">
        <f aca="true">_xlfn.AGGREGATE(1,6,OFFSET($S$5,H124,0,1,$K$2))</f>
        <v>#DIV/0!</v>
      </c>
    </row>
    <row r="125" customFormat="false" ht="14.25" hidden="false" customHeight="false" outlineLevel="0" collapsed="false">
      <c r="H125" s="1" t="n">
        <f aca="false">H124+1</f>
        <v>120</v>
      </c>
      <c r="I125" s="1" t="n">
        <f aca="false">WEEKDAY('daily graphs'!K125)</f>
        <v>7</v>
      </c>
      <c r="J125" s="1" t="n">
        <f aca="false">DAY(L125)</f>
        <v>22</v>
      </c>
      <c r="K125" s="1" t="n">
        <f aca="false">MONTH(L125)</f>
        <v>4</v>
      </c>
      <c r="L125" s="23" t="n">
        <f aca="false">'daily graphs'!K125 - I125</f>
        <v>36638</v>
      </c>
      <c r="M125" s="24" t="n">
        <f aca="true">IF(TODAY()&lt;DATE($O$5,K125,J125),1000000,-1000000)</f>
        <v>-1000000</v>
      </c>
      <c r="N125" s="24" t="e">
        <f aca="false">IF(M125&gt;0,INDEX(big_daily_table,MATCH(DATE(O$5,$K125,$J125),daily_dates,0),MATCH($B$3,daily_items,0)),NA())</f>
        <v>#N/A</v>
      </c>
      <c r="O125" s="1" t="e">
        <f aca="false">IF(M125&lt;0,INDEX(big_daily_table,MATCH(DATE(O$5,$K125,$J125),daily_dates,0),MATCH($B$3,daily_items,0)),NA())</f>
        <v>#N/A</v>
      </c>
      <c r="P125" s="1" t="e">
        <f aca="false">IF(ISBLANK(INDEX(big_daily_table,MATCH(DATE(P$5,$K125,$J125),daily_dates,0),MATCH($B$3,daily_items,0))),NA(),INDEX(big_daily_table,MATCH(DATE(P$5,$K125,$J125),daily_dates,0),MATCH($B$3,daily_items,0)))</f>
        <v>#N/A</v>
      </c>
      <c r="Q125" s="1" t="e">
        <f aca="false">IF(ISBLANK(INDEX(big_daily_table,MATCH(DATE(Q$5,$K125,$J125),daily_dates,0),MATCH($B$3,daily_items,0))),NA(),INDEX(big_daily_table,MATCH(DATE(Q$5,$K125,$J125),daily_dates,0),MATCH($B$3,daily_items,0)))</f>
        <v>#N/A</v>
      </c>
      <c r="R125" s="1" t="e">
        <f aca="false">IF(ISBLANK(INDEX(big_daily_table,MATCH(DATE(R$5,$K125,$J125),daily_dates,0),MATCH($B$3,daily_items,0))),NA(),INDEX(big_daily_table,MATCH(DATE(R$5,$K125,$J125),daily_dates,0),MATCH($B$3,daily_items,0)))</f>
        <v>#N/A</v>
      </c>
      <c r="S125" s="1" t="e">
        <f aca="false">IF(ISBLANK(INDEX(big_daily_table,MATCH(DATE(S$5,$K125,$J125),daily_dates,0),MATCH($B$3,daily_items,0))),NA(),INDEX(big_daily_table,MATCH(DATE(S$5,$K125,$J125),daily_dates,0),MATCH($B$3,daily_items,0)))</f>
        <v>#N/A</v>
      </c>
      <c r="T125" s="1" t="e">
        <f aca="false">IF(ISBLANK(INDEX(big_daily_table,MATCH(DATE(T$5,$K125,$J125),daily_dates,0),MATCH($B$3,daily_items,0))),NA(),INDEX(big_daily_table,MATCH(DATE(T$5,$K125,$J125),daily_dates,0),MATCH($B$3,daily_items,0)))</f>
        <v>#N/A</v>
      </c>
      <c r="U125" s="1" t="e">
        <f aca="false">IF(ISBLANK(INDEX(big_daily_table,MATCH(DATE(U$5,$K125,$J125),daily_dates,0),MATCH($B$3,daily_items,0))),NA(),INDEX(big_daily_table,MATCH(DATE(U$5,$K125,$J125),daily_dates,0),MATCH($B$3,daily_items,0)))</f>
        <v>#N/A</v>
      </c>
      <c r="V125" s="1" t="e">
        <f aca="false">IF(ISBLANK(INDEX(big_daily_table,MATCH(DATE(V$5,$K125,$J125),daily_dates,0),MATCH($B$3,daily_items,0))),NA(),INDEX(big_daily_table,MATCH(DATE(V$5,$K125,$J125),daily_dates,0),MATCH($B$3,daily_items,0)))</f>
        <v>#N/A</v>
      </c>
      <c r="W125" s="1" t="e">
        <f aca="false">IF(ISBLANK(INDEX(big_daily_table,MATCH(DATE(W$5,$K125,$J125),daily_dates,0),MATCH($B$3,daily_items,0))),NA(),INDEX(big_daily_table,MATCH(DATE(W$5,$K125,$J125),daily_dates,0),MATCH($B$3,daily_items,0)))</f>
        <v>#N/A</v>
      </c>
      <c r="X125" s="1" t="e">
        <f aca="false">IF(ISBLANK(INDEX(big_daily_table,MATCH(DATE(X$5,$K125,$J125),daily_dates,0),MATCH($B$3,daily_items,0))),NA(),INDEX(big_daily_table,MATCH(DATE(X$5,$K125,$J125),daily_dates,0),MATCH($B$3,daily_items,0)))</f>
        <v>#N/A</v>
      </c>
      <c r="Y125" s="1" t="e">
        <f aca="false">IF(ISBLANK(INDEX(big_daily_table,MATCH(DATE(Y$5,$K125,$J125),daily_dates,0),MATCH($B$3,daily_items,0))),NA(),INDEX(big_daily_table,MATCH(DATE(Y$5,$K125,$J125),daily_dates,0),MATCH($B$3,daily_items,0)))</f>
        <v>#N/A</v>
      </c>
      <c r="Z125" s="1" t="e">
        <f aca="false">IF(ISBLANK(INDEX(big_daily_table,MATCH(DATE(Z$5,$K125,$J125),daily_dates,0),MATCH($B$3,daily_items,0))),NA(),INDEX(big_daily_table,MATCH(DATE(Z$5,$K125,$J125),daily_dates,0),MATCH($B$3,daily_items,0)))</f>
        <v>#N/A</v>
      </c>
      <c r="AA125" s="1" t="n">
        <f aca="true">_xlfn.AGGREGATE(5,6,OFFSET($S$5,H125,0,1,$K$2))</f>
        <v>0</v>
      </c>
      <c r="AB125" s="1" t="n">
        <f aca="true">_xlfn.AGGREGATE(4,6,OFFSET($S$5,H125,0,1,$K$2))</f>
        <v>0</v>
      </c>
      <c r="AC125" s="1" t="n">
        <f aca="false">AB125-AA125</f>
        <v>0</v>
      </c>
      <c r="AD125" s="1" t="e">
        <f aca="true">_xlfn.AGGREGATE(1,6,OFFSET($S$5,H125,0,1,$K$2))</f>
        <v>#DIV/0!</v>
      </c>
    </row>
    <row r="126" customFormat="false" ht="14.25" hidden="false" customHeight="false" outlineLevel="0" collapsed="false">
      <c r="H126" s="1" t="n">
        <f aca="false">H125+1</f>
        <v>121</v>
      </c>
      <c r="I126" s="1" t="n">
        <f aca="false">WEEKDAY('daily graphs'!K126)</f>
        <v>1</v>
      </c>
      <c r="J126" s="1" t="n">
        <f aca="false">DAY(L126)</f>
        <v>29</v>
      </c>
      <c r="K126" s="1" t="n">
        <f aca="false">MONTH(L126)</f>
        <v>4</v>
      </c>
      <c r="L126" s="23" t="n">
        <f aca="false">'daily graphs'!K126 - I126</f>
        <v>36645</v>
      </c>
      <c r="M126" s="24" t="n">
        <f aca="true">IF(TODAY()&lt;DATE($O$5,K126,J126),1000000,-1000000)</f>
        <v>-1000000</v>
      </c>
      <c r="N126" s="24" t="e">
        <f aca="false">IF(M126&gt;0,INDEX(big_daily_table,MATCH(DATE(O$5,$K126,$J126),daily_dates,0),MATCH($B$3,daily_items,0)),NA())</f>
        <v>#N/A</v>
      </c>
      <c r="O126" s="1" t="e">
        <f aca="false">IF(M126&lt;0,INDEX(big_daily_table,MATCH(DATE(O$5,$K126,$J126),daily_dates,0),MATCH($B$3,daily_items,0)),NA())</f>
        <v>#N/A</v>
      </c>
      <c r="P126" s="1" t="e">
        <f aca="false">IF(ISBLANK(INDEX(big_daily_table,MATCH(DATE(P$5,$K126,$J126),daily_dates,0),MATCH($B$3,daily_items,0))),NA(),INDEX(big_daily_table,MATCH(DATE(P$5,$K126,$J126),daily_dates,0),MATCH($B$3,daily_items,0)))</f>
        <v>#N/A</v>
      </c>
      <c r="Q126" s="1" t="e">
        <f aca="false">IF(ISBLANK(INDEX(big_daily_table,MATCH(DATE(Q$5,$K126,$J126),daily_dates,0),MATCH($B$3,daily_items,0))),NA(),INDEX(big_daily_table,MATCH(DATE(Q$5,$K126,$J126),daily_dates,0),MATCH($B$3,daily_items,0)))</f>
        <v>#N/A</v>
      </c>
      <c r="R126" s="1" t="e">
        <f aca="false">IF(ISBLANK(INDEX(big_daily_table,MATCH(DATE(R$5,$K126,$J126),daily_dates,0),MATCH($B$3,daily_items,0))),NA(),INDEX(big_daily_table,MATCH(DATE(R$5,$K126,$J126),daily_dates,0),MATCH($B$3,daily_items,0)))</f>
        <v>#N/A</v>
      </c>
      <c r="S126" s="1" t="e">
        <f aca="false">IF(ISBLANK(INDEX(big_daily_table,MATCH(DATE(S$5,$K126,$J126),daily_dates,0),MATCH($B$3,daily_items,0))),NA(),INDEX(big_daily_table,MATCH(DATE(S$5,$K126,$J126),daily_dates,0),MATCH($B$3,daily_items,0)))</f>
        <v>#N/A</v>
      </c>
      <c r="T126" s="1" t="e">
        <f aca="false">IF(ISBLANK(INDEX(big_daily_table,MATCH(DATE(T$5,$K126,$J126),daily_dates,0),MATCH($B$3,daily_items,0))),NA(),INDEX(big_daily_table,MATCH(DATE(T$5,$K126,$J126),daily_dates,0),MATCH($B$3,daily_items,0)))</f>
        <v>#N/A</v>
      </c>
      <c r="U126" s="1" t="e">
        <f aca="false">IF(ISBLANK(INDEX(big_daily_table,MATCH(DATE(U$5,$K126,$J126),daily_dates,0),MATCH($B$3,daily_items,0))),NA(),INDEX(big_daily_table,MATCH(DATE(U$5,$K126,$J126),daily_dates,0),MATCH($B$3,daily_items,0)))</f>
        <v>#N/A</v>
      </c>
      <c r="V126" s="1" t="e">
        <f aca="false">IF(ISBLANK(INDEX(big_daily_table,MATCH(DATE(V$5,$K126,$J126),daily_dates,0),MATCH($B$3,daily_items,0))),NA(),INDEX(big_daily_table,MATCH(DATE(V$5,$K126,$J126),daily_dates,0),MATCH($B$3,daily_items,0)))</f>
        <v>#N/A</v>
      </c>
      <c r="W126" s="1" t="e">
        <f aca="false">IF(ISBLANK(INDEX(big_daily_table,MATCH(DATE(W$5,$K126,$J126),daily_dates,0),MATCH($B$3,daily_items,0))),NA(),INDEX(big_daily_table,MATCH(DATE(W$5,$K126,$J126),daily_dates,0),MATCH($B$3,daily_items,0)))</f>
        <v>#N/A</v>
      </c>
      <c r="X126" s="1" t="e">
        <f aca="false">IF(ISBLANK(INDEX(big_daily_table,MATCH(DATE(X$5,$K126,$J126),daily_dates,0),MATCH($B$3,daily_items,0))),NA(),INDEX(big_daily_table,MATCH(DATE(X$5,$K126,$J126),daily_dates,0),MATCH($B$3,daily_items,0)))</f>
        <v>#N/A</v>
      </c>
      <c r="Y126" s="1" t="e">
        <f aca="false">IF(ISBLANK(INDEX(big_daily_table,MATCH(DATE(Y$5,$K126,$J126),daily_dates,0),MATCH($B$3,daily_items,0))),NA(),INDEX(big_daily_table,MATCH(DATE(Y$5,$K126,$J126),daily_dates,0),MATCH($B$3,daily_items,0)))</f>
        <v>#N/A</v>
      </c>
      <c r="Z126" s="1" t="e">
        <f aca="false">IF(ISBLANK(INDEX(big_daily_table,MATCH(DATE(Z$5,$K126,$J126),daily_dates,0),MATCH($B$3,daily_items,0))),NA(),INDEX(big_daily_table,MATCH(DATE(Z$5,$K126,$J126),daily_dates,0),MATCH($B$3,daily_items,0)))</f>
        <v>#N/A</v>
      </c>
      <c r="AA126" s="1" t="n">
        <f aca="true">_xlfn.AGGREGATE(5,6,OFFSET($S$5,H126,0,1,$K$2))</f>
        <v>0</v>
      </c>
      <c r="AB126" s="1" t="n">
        <f aca="true">_xlfn.AGGREGATE(4,6,OFFSET($S$5,H126,0,1,$K$2))</f>
        <v>0</v>
      </c>
      <c r="AC126" s="1" t="n">
        <f aca="false">AB126-AA126</f>
        <v>0</v>
      </c>
      <c r="AD126" s="1" t="e">
        <f aca="true">_xlfn.AGGREGATE(1,6,OFFSET($S$5,H126,0,1,$K$2))</f>
        <v>#DIV/0!</v>
      </c>
    </row>
    <row r="127" customFormat="false" ht="14.25" hidden="false" customHeight="false" outlineLevel="0" collapsed="false">
      <c r="H127" s="1" t="n">
        <f aca="false">H126+1</f>
        <v>122</v>
      </c>
      <c r="I127" s="1" t="n">
        <f aca="false">WEEKDAY('daily graphs'!K127)</f>
        <v>2</v>
      </c>
      <c r="J127" s="1" t="n">
        <f aca="false">DAY(L127)</f>
        <v>29</v>
      </c>
      <c r="K127" s="1" t="n">
        <f aca="false">MONTH(L127)</f>
        <v>4</v>
      </c>
      <c r="L127" s="23" t="n">
        <f aca="false">'daily graphs'!K127 - I127</f>
        <v>36645</v>
      </c>
      <c r="M127" s="24" t="n">
        <f aca="true">IF(TODAY()&lt;DATE($O$5,K127,J127),1000000,-1000000)</f>
        <v>-1000000</v>
      </c>
      <c r="N127" s="24" t="e">
        <f aca="false">IF(M127&gt;0,INDEX(big_daily_table,MATCH(DATE(O$5,$K127,$J127),daily_dates,0),MATCH($B$3,daily_items,0)),NA())</f>
        <v>#N/A</v>
      </c>
      <c r="O127" s="1" t="e">
        <f aca="false">IF(M127&lt;0,INDEX(big_daily_table,MATCH(DATE(O$5,$K127,$J127),daily_dates,0),MATCH($B$3,daily_items,0)),NA())</f>
        <v>#N/A</v>
      </c>
      <c r="P127" s="1" t="e">
        <f aca="false">IF(ISBLANK(INDEX(big_daily_table,MATCH(DATE(P$5,$K127,$J127),daily_dates,0),MATCH($B$3,daily_items,0))),NA(),INDEX(big_daily_table,MATCH(DATE(P$5,$K127,$J127),daily_dates,0),MATCH($B$3,daily_items,0)))</f>
        <v>#N/A</v>
      </c>
      <c r="Q127" s="1" t="e">
        <f aca="false">IF(ISBLANK(INDEX(big_daily_table,MATCH(DATE(Q$5,$K127,$J127),daily_dates,0),MATCH($B$3,daily_items,0))),NA(),INDEX(big_daily_table,MATCH(DATE(Q$5,$K127,$J127),daily_dates,0),MATCH($B$3,daily_items,0)))</f>
        <v>#N/A</v>
      </c>
      <c r="R127" s="1" t="e">
        <f aca="false">IF(ISBLANK(INDEX(big_daily_table,MATCH(DATE(R$5,$K127,$J127),daily_dates,0),MATCH($B$3,daily_items,0))),NA(),INDEX(big_daily_table,MATCH(DATE(R$5,$K127,$J127),daily_dates,0),MATCH($B$3,daily_items,0)))</f>
        <v>#N/A</v>
      </c>
      <c r="S127" s="1" t="e">
        <f aca="false">IF(ISBLANK(INDEX(big_daily_table,MATCH(DATE(S$5,$K127,$J127),daily_dates,0),MATCH($B$3,daily_items,0))),NA(),INDEX(big_daily_table,MATCH(DATE(S$5,$K127,$J127),daily_dates,0),MATCH($B$3,daily_items,0)))</f>
        <v>#N/A</v>
      </c>
      <c r="T127" s="1" t="e">
        <f aca="false">IF(ISBLANK(INDEX(big_daily_table,MATCH(DATE(T$5,$K127,$J127),daily_dates,0),MATCH($B$3,daily_items,0))),NA(),INDEX(big_daily_table,MATCH(DATE(T$5,$K127,$J127),daily_dates,0),MATCH($B$3,daily_items,0)))</f>
        <v>#N/A</v>
      </c>
      <c r="U127" s="1" t="e">
        <f aca="false">IF(ISBLANK(INDEX(big_daily_table,MATCH(DATE(U$5,$K127,$J127),daily_dates,0),MATCH($B$3,daily_items,0))),NA(),INDEX(big_daily_table,MATCH(DATE(U$5,$K127,$J127),daily_dates,0),MATCH($B$3,daily_items,0)))</f>
        <v>#N/A</v>
      </c>
      <c r="V127" s="1" t="e">
        <f aca="false">IF(ISBLANK(INDEX(big_daily_table,MATCH(DATE(V$5,$K127,$J127),daily_dates,0),MATCH($B$3,daily_items,0))),NA(),INDEX(big_daily_table,MATCH(DATE(V$5,$K127,$J127),daily_dates,0),MATCH($B$3,daily_items,0)))</f>
        <v>#N/A</v>
      </c>
      <c r="W127" s="1" t="e">
        <f aca="false">IF(ISBLANK(INDEX(big_daily_table,MATCH(DATE(W$5,$K127,$J127),daily_dates,0),MATCH($B$3,daily_items,0))),NA(),INDEX(big_daily_table,MATCH(DATE(W$5,$K127,$J127),daily_dates,0),MATCH($B$3,daily_items,0)))</f>
        <v>#N/A</v>
      </c>
      <c r="X127" s="1" t="e">
        <f aca="false">IF(ISBLANK(INDEX(big_daily_table,MATCH(DATE(X$5,$K127,$J127),daily_dates,0),MATCH($B$3,daily_items,0))),NA(),INDEX(big_daily_table,MATCH(DATE(X$5,$K127,$J127),daily_dates,0),MATCH($B$3,daily_items,0)))</f>
        <v>#N/A</v>
      </c>
      <c r="Y127" s="1" t="e">
        <f aca="false">IF(ISBLANK(INDEX(big_daily_table,MATCH(DATE(Y$5,$K127,$J127),daily_dates,0),MATCH($B$3,daily_items,0))),NA(),INDEX(big_daily_table,MATCH(DATE(Y$5,$K127,$J127),daily_dates,0),MATCH($B$3,daily_items,0)))</f>
        <v>#N/A</v>
      </c>
      <c r="Z127" s="1" t="e">
        <f aca="false">IF(ISBLANK(INDEX(big_daily_table,MATCH(DATE(Z$5,$K127,$J127),daily_dates,0),MATCH($B$3,daily_items,0))),NA(),INDEX(big_daily_table,MATCH(DATE(Z$5,$K127,$J127),daily_dates,0),MATCH($B$3,daily_items,0)))</f>
        <v>#N/A</v>
      </c>
      <c r="AA127" s="1" t="n">
        <f aca="true">_xlfn.AGGREGATE(5,6,OFFSET($S$5,H127,0,1,$K$2))</f>
        <v>0</v>
      </c>
      <c r="AB127" s="1" t="n">
        <f aca="true">_xlfn.AGGREGATE(4,6,OFFSET($S$5,H127,0,1,$K$2))</f>
        <v>0</v>
      </c>
      <c r="AC127" s="1" t="n">
        <f aca="false">AB127-AA127</f>
        <v>0</v>
      </c>
      <c r="AD127" s="1" t="e">
        <f aca="true">_xlfn.AGGREGATE(1,6,OFFSET($S$5,H127,0,1,$K$2))</f>
        <v>#DIV/0!</v>
      </c>
    </row>
    <row r="128" customFormat="false" ht="14.25" hidden="false" customHeight="false" outlineLevel="0" collapsed="false">
      <c r="H128" s="1" t="n">
        <f aca="false">H127+1</f>
        <v>123</v>
      </c>
      <c r="I128" s="1" t="n">
        <f aca="false">WEEKDAY('daily graphs'!K128)</f>
        <v>3</v>
      </c>
      <c r="J128" s="1" t="n">
        <f aca="false">DAY(L128)</f>
        <v>29</v>
      </c>
      <c r="K128" s="1" t="n">
        <f aca="false">MONTH(L128)</f>
        <v>4</v>
      </c>
      <c r="L128" s="23" t="n">
        <f aca="false">'daily graphs'!K128 - I128</f>
        <v>36645</v>
      </c>
      <c r="M128" s="24" t="n">
        <f aca="true">IF(TODAY()&lt;DATE($O$5,K128,J128),1000000,-1000000)</f>
        <v>-1000000</v>
      </c>
      <c r="N128" s="24" t="e">
        <f aca="false">IF(M128&gt;0,INDEX(big_daily_table,MATCH(DATE(O$5,$K128,$J128),daily_dates,0),MATCH($B$3,daily_items,0)),NA())</f>
        <v>#N/A</v>
      </c>
      <c r="O128" s="1" t="e">
        <f aca="false">IF(M128&lt;0,INDEX(big_daily_table,MATCH(DATE(O$5,$K128,$J128),daily_dates,0),MATCH($B$3,daily_items,0)),NA())</f>
        <v>#N/A</v>
      </c>
      <c r="P128" s="1" t="e">
        <f aca="false">IF(ISBLANK(INDEX(big_daily_table,MATCH(DATE(P$5,$K128,$J128),daily_dates,0),MATCH($B$3,daily_items,0))),NA(),INDEX(big_daily_table,MATCH(DATE(P$5,$K128,$J128),daily_dates,0),MATCH($B$3,daily_items,0)))</f>
        <v>#N/A</v>
      </c>
      <c r="Q128" s="1" t="e">
        <f aca="false">IF(ISBLANK(INDEX(big_daily_table,MATCH(DATE(Q$5,$K128,$J128),daily_dates,0),MATCH($B$3,daily_items,0))),NA(),INDEX(big_daily_table,MATCH(DATE(Q$5,$K128,$J128),daily_dates,0),MATCH($B$3,daily_items,0)))</f>
        <v>#N/A</v>
      </c>
      <c r="R128" s="1" t="e">
        <f aca="false">IF(ISBLANK(INDEX(big_daily_table,MATCH(DATE(R$5,$K128,$J128),daily_dates,0),MATCH($B$3,daily_items,0))),NA(),INDEX(big_daily_table,MATCH(DATE(R$5,$K128,$J128),daily_dates,0),MATCH($B$3,daily_items,0)))</f>
        <v>#N/A</v>
      </c>
      <c r="S128" s="1" t="e">
        <f aca="false">IF(ISBLANK(INDEX(big_daily_table,MATCH(DATE(S$5,$K128,$J128),daily_dates,0),MATCH($B$3,daily_items,0))),NA(),INDEX(big_daily_table,MATCH(DATE(S$5,$K128,$J128),daily_dates,0),MATCH($B$3,daily_items,0)))</f>
        <v>#N/A</v>
      </c>
      <c r="T128" s="1" t="e">
        <f aca="false">IF(ISBLANK(INDEX(big_daily_table,MATCH(DATE(T$5,$K128,$J128),daily_dates,0),MATCH($B$3,daily_items,0))),NA(),INDEX(big_daily_table,MATCH(DATE(T$5,$K128,$J128),daily_dates,0),MATCH($B$3,daily_items,0)))</f>
        <v>#N/A</v>
      </c>
      <c r="U128" s="1" t="e">
        <f aca="false">IF(ISBLANK(INDEX(big_daily_table,MATCH(DATE(U$5,$K128,$J128),daily_dates,0),MATCH($B$3,daily_items,0))),NA(),INDEX(big_daily_table,MATCH(DATE(U$5,$K128,$J128),daily_dates,0),MATCH($B$3,daily_items,0)))</f>
        <v>#N/A</v>
      </c>
      <c r="V128" s="1" t="e">
        <f aca="false">IF(ISBLANK(INDEX(big_daily_table,MATCH(DATE(V$5,$K128,$J128),daily_dates,0),MATCH($B$3,daily_items,0))),NA(),INDEX(big_daily_table,MATCH(DATE(V$5,$K128,$J128),daily_dates,0),MATCH($B$3,daily_items,0)))</f>
        <v>#N/A</v>
      </c>
      <c r="W128" s="1" t="e">
        <f aca="false">IF(ISBLANK(INDEX(big_daily_table,MATCH(DATE(W$5,$K128,$J128),daily_dates,0),MATCH($B$3,daily_items,0))),NA(),INDEX(big_daily_table,MATCH(DATE(W$5,$K128,$J128),daily_dates,0),MATCH($B$3,daily_items,0)))</f>
        <v>#N/A</v>
      </c>
      <c r="X128" s="1" t="e">
        <f aca="false">IF(ISBLANK(INDEX(big_daily_table,MATCH(DATE(X$5,$K128,$J128),daily_dates,0),MATCH($B$3,daily_items,0))),NA(),INDEX(big_daily_table,MATCH(DATE(X$5,$K128,$J128),daily_dates,0),MATCH($B$3,daily_items,0)))</f>
        <v>#N/A</v>
      </c>
      <c r="Y128" s="1" t="e">
        <f aca="false">IF(ISBLANK(INDEX(big_daily_table,MATCH(DATE(Y$5,$K128,$J128),daily_dates,0),MATCH($B$3,daily_items,0))),NA(),INDEX(big_daily_table,MATCH(DATE(Y$5,$K128,$J128),daily_dates,0),MATCH($B$3,daily_items,0)))</f>
        <v>#N/A</v>
      </c>
      <c r="Z128" s="1" t="e">
        <f aca="false">IF(ISBLANK(INDEX(big_daily_table,MATCH(DATE(Z$5,$K128,$J128),daily_dates,0),MATCH($B$3,daily_items,0))),NA(),INDEX(big_daily_table,MATCH(DATE(Z$5,$K128,$J128),daily_dates,0),MATCH($B$3,daily_items,0)))</f>
        <v>#N/A</v>
      </c>
      <c r="AA128" s="1" t="n">
        <f aca="true">_xlfn.AGGREGATE(5,6,OFFSET($S$5,H128,0,1,$K$2))</f>
        <v>0</v>
      </c>
      <c r="AB128" s="1" t="n">
        <f aca="true">_xlfn.AGGREGATE(4,6,OFFSET($S$5,H128,0,1,$K$2))</f>
        <v>0</v>
      </c>
      <c r="AC128" s="1" t="n">
        <f aca="false">AB128-AA128</f>
        <v>0</v>
      </c>
      <c r="AD128" s="1" t="e">
        <f aca="true">_xlfn.AGGREGATE(1,6,OFFSET($S$5,H128,0,1,$K$2))</f>
        <v>#DIV/0!</v>
      </c>
    </row>
    <row r="129" customFormat="false" ht="14.25" hidden="false" customHeight="false" outlineLevel="0" collapsed="false">
      <c r="H129" s="1" t="n">
        <f aca="false">H128+1</f>
        <v>124</v>
      </c>
      <c r="I129" s="1" t="n">
        <f aca="false">WEEKDAY('daily graphs'!K129)</f>
        <v>4</v>
      </c>
      <c r="J129" s="1" t="n">
        <f aca="false">DAY(L129)</f>
        <v>29</v>
      </c>
      <c r="K129" s="1" t="n">
        <f aca="false">MONTH(L129)</f>
        <v>4</v>
      </c>
      <c r="L129" s="23" t="n">
        <f aca="false">'daily graphs'!K129 - I129</f>
        <v>36645</v>
      </c>
      <c r="M129" s="24" t="n">
        <f aca="true">IF(TODAY()&lt;DATE($O$5,K129,J129),1000000,-1000000)</f>
        <v>-1000000</v>
      </c>
      <c r="N129" s="24" t="e">
        <f aca="false">IF(M129&gt;0,INDEX(big_daily_table,MATCH(DATE(O$5,$K129,$J129),daily_dates,0),MATCH($B$3,daily_items,0)),NA())</f>
        <v>#N/A</v>
      </c>
      <c r="O129" s="1" t="e">
        <f aca="false">IF(M129&lt;0,INDEX(big_daily_table,MATCH(DATE(O$5,$K129,$J129),daily_dates,0),MATCH($B$3,daily_items,0)),NA())</f>
        <v>#N/A</v>
      </c>
      <c r="P129" s="1" t="e">
        <f aca="false">IF(ISBLANK(INDEX(big_daily_table,MATCH(DATE(P$5,$K129,$J129),daily_dates,0),MATCH($B$3,daily_items,0))),NA(),INDEX(big_daily_table,MATCH(DATE(P$5,$K129,$J129),daily_dates,0),MATCH($B$3,daily_items,0)))</f>
        <v>#N/A</v>
      </c>
      <c r="Q129" s="1" t="e">
        <f aca="false">IF(ISBLANK(INDEX(big_daily_table,MATCH(DATE(Q$5,$K129,$J129),daily_dates,0),MATCH($B$3,daily_items,0))),NA(),INDEX(big_daily_table,MATCH(DATE(Q$5,$K129,$J129),daily_dates,0),MATCH($B$3,daily_items,0)))</f>
        <v>#N/A</v>
      </c>
      <c r="R129" s="1" t="e">
        <f aca="false">IF(ISBLANK(INDEX(big_daily_table,MATCH(DATE(R$5,$K129,$J129),daily_dates,0),MATCH($B$3,daily_items,0))),NA(),INDEX(big_daily_table,MATCH(DATE(R$5,$K129,$J129),daily_dates,0),MATCH($B$3,daily_items,0)))</f>
        <v>#N/A</v>
      </c>
      <c r="S129" s="1" t="e">
        <f aca="false">IF(ISBLANK(INDEX(big_daily_table,MATCH(DATE(S$5,$K129,$J129),daily_dates,0),MATCH($B$3,daily_items,0))),NA(),INDEX(big_daily_table,MATCH(DATE(S$5,$K129,$J129),daily_dates,0),MATCH($B$3,daily_items,0)))</f>
        <v>#N/A</v>
      </c>
      <c r="T129" s="1" t="e">
        <f aca="false">IF(ISBLANK(INDEX(big_daily_table,MATCH(DATE(T$5,$K129,$J129),daily_dates,0),MATCH($B$3,daily_items,0))),NA(),INDEX(big_daily_table,MATCH(DATE(T$5,$K129,$J129),daily_dates,0),MATCH($B$3,daily_items,0)))</f>
        <v>#N/A</v>
      </c>
      <c r="U129" s="1" t="e">
        <f aca="false">IF(ISBLANK(INDEX(big_daily_table,MATCH(DATE(U$5,$K129,$J129),daily_dates,0),MATCH($B$3,daily_items,0))),NA(),INDEX(big_daily_table,MATCH(DATE(U$5,$K129,$J129),daily_dates,0),MATCH($B$3,daily_items,0)))</f>
        <v>#N/A</v>
      </c>
      <c r="V129" s="1" t="e">
        <f aca="false">IF(ISBLANK(INDEX(big_daily_table,MATCH(DATE(V$5,$K129,$J129),daily_dates,0),MATCH($B$3,daily_items,0))),NA(),INDEX(big_daily_table,MATCH(DATE(V$5,$K129,$J129),daily_dates,0),MATCH($B$3,daily_items,0)))</f>
        <v>#N/A</v>
      </c>
      <c r="W129" s="1" t="e">
        <f aca="false">IF(ISBLANK(INDEX(big_daily_table,MATCH(DATE(W$5,$K129,$J129),daily_dates,0),MATCH($B$3,daily_items,0))),NA(),INDEX(big_daily_table,MATCH(DATE(W$5,$K129,$J129),daily_dates,0),MATCH($B$3,daily_items,0)))</f>
        <v>#N/A</v>
      </c>
      <c r="X129" s="1" t="e">
        <f aca="false">IF(ISBLANK(INDEX(big_daily_table,MATCH(DATE(X$5,$K129,$J129),daily_dates,0),MATCH($B$3,daily_items,0))),NA(),INDEX(big_daily_table,MATCH(DATE(X$5,$K129,$J129),daily_dates,0),MATCH($B$3,daily_items,0)))</f>
        <v>#N/A</v>
      </c>
      <c r="Y129" s="1" t="e">
        <f aca="false">IF(ISBLANK(INDEX(big_daily_table,MATCH(DATE(Y$5,$K129,$J129),daily_dates,0),MATCH($B$3,daily_items,0))),NA(),INDEX(big_daily_table,MATCH(DATE(Y$5,$K129,$J129),daily_dates,0),MATCH($B$3,daily_items,0)))</f>
        <v>#N/A</v>
      </c>
      <c r="Z129" s="1" t="e">
        <f aca="false">IF(ISBLANK(INDEX(big_daily_table,MATCH(DATE(Z$5,$K129,$J129),daily_dates,0),MATCH($B$3,daily_items,0))),NA(),INDEX(big_daily_table,MATCH(DATE(Z$5,$K129,$J129),daily_dates,0),MATCH($B$3,daily_items,0)))</f>
        <v>#N/A</v>
      </c>
      <c r="AA129" s="1" t="n">
        <f aca="true">_xlfn.AGGREGATE(5,6,OFFSET($S$5,H129,0,1,$K$2))</f>
        <v>0</v>
      </c>
      <c r="AB129" s="1" t="n">
        <f aca="true">_xlfn.AGGREGATE(4,6,OFFSET($S$5,H129,0,1,$K$2))</f>
        <v>0</v>
      </c>
      <c r="AC129" s="1" t="n">
        <f aca="false">AB129-AA129</f>
        <v>0</v>
      </c>
      <c r="AD129" s="1" t="e">
        <f aca="true">_xlfn.AGGREGATE(1,6,OFFSET($S$5,H129,0,1,$K$2))</f>
        <v>#DIV/0!</v>
      </c>
    </row>
    <row r="130" customFormat="false" ht="14.25" hidden="false" customHeight="false" outlineLevel="0" collapsed="false">
      <c r="H130" s="1" t="n">
        <f aca="false">H129+1</f>
        <v>125</v>
      </c>
      <c r="I130" s="1" t="n">
        <f aca="false">WEEKDAY('daily graphs'!K130)</f>
        <v>5</v>
      </c>
      <c r="J130" s="1" t="n">
        <f aca="false">DAY(L130)</f>
        <v>29</v>
      </c>
      <c r="K130" s="1" t="n">
        <f aca="false">MONTH(L130)</f>
        <v>4</v>
      </c>
      <c r="L130" s="23" t="n">
        <f aca="false">'daily graphs'!K130 - I130</f>
        <v>36645</v>
      </c>
      <c r="M130" s="24" t="n">
        <f aca="true">IF(TODAY()&lt;DATE($O$5,K130,J130),1000000,-1000000)</f>
        <v>-1000000</v>
      </c>
      <c r="N130" s="24" t="e">
        <f aca="false">IF(M130&gt;0,INDEX(big_daily_table,MATCH(DATE(O$5,$K130,$J130),daily_dates,0),MATCH($B$3,daily_items,0)),NA())</f>
        <v>#N/A</v>
      </c>
      <c r="O130" s="1" t="e">
        <f aca="false">IF(M130&lt;0,INDEX(big_daily_table,MATCH(DATE(O$5,$K130,$J130),daily_dates,0),MATCH($B$3,daily_items,0)),NA())</f>
        <v>#N/A</v>
      </c>
      <c r="P130" s="1" t="e">
        <f aca="false">IF(ISBLANK(INDEX(big_daily_table,MATCH(DATE(P$5,$K130,$J130),daily_dates,0),MATCH($B$3,daily_items,0))),NA(),INDEX(big_daily_table,MATCH(DATE(P$5,$K130,$J130),daily_dates,0),MATCH($B$3,daily_items,0)))</f>
        <v>#N/A</v>
      </c>
      <c r="Q130" s="1" t="e">
        <f aca="false">IF(ISBLANK(INDEX(big_daily_table,MATCH(DATE(Q$5,$K130,$J130),daily_dates,0),MATCH($B$3,daily_items,0))),NA(),INDEX(big_daily_table,MATCH(DATE(Q$5,$K130,$J130),daily_dates,0),MATCH($B$3,daily_items,0)))</f>
        <v>#N/A</v>
      </c>
      <c r="R130" s="1" t="e">
        <f aca="false">IF(ISBLANK(INDEX(big_daily_table,MATCH(DATE(R$5,$K130,$J130),daily_dates,0),MATCH($B$3,daily_items,0))),NA(),INDEX(big_daily_table,MATCH(DATE(R$5,$K130,$J130),daily_dates,0),MATCH($B$3,daily_items,0)))</f>
        <v>#N/A</v>
      </c>
      <c r="S130" s="1" t="e">
        <f aca="false">IF(ISBLANK(INDEX(big_daily_table,MATCH(DATE(S$5,$K130,$J130),daily_dates,0),MATCH($B$3,daily_items,0))),NA(),INDEX(big_daily_table,MATCH(DATE(S$5,$K130,$J130),daily_dates,0),MATCH($B$3,daily_items,0)))</f>
        <v>#N/A</v>
      </c>
      <c r="T130" s="1" t="e">
        <f aca="false">IF(ISBLANK(INDEX(big_daily_table,MATCH(DATE(T$5,$K130,$J130),daily_dates,0),MATCH($B$3,daily_items,0))),NA(),INDEX(big_daily_table,MATCH(DATE(T$5,$K130,$J130),daily_dates,0),MATCH($B$3,daily_items,0)))</f>
        <v>#N/A</v>
      </c>
      <c r="U130" s="1" t="e">
        <f aca="false">IF(ISBLANK(INDEX(big_daily_table,MATCH(DATE(U$5,$K130,$J130),daily_dates,0),MATCH($B$3,daily_items,0))),NA(),INDEX(big_daily_table,MATCH(DATE(U$5,$K130,$J130),daily_dates,0),MATCH($B$3,daily_items,0)))</f>
        <v>#N/A</v>
      </c>
      <c r="V130" s="1" t="e">
        <f aca="false">IF(ISBLANK(INDEX(big_daily_table,MATCH(DATE(V$5,$K130,$J130),daily_dates,0),MATCH($B$3,daily_items,0))),NA(),INDEX(big_daily_table,MATCH(DATE(V$5,$K130,$J130),daily_dates,0),MATCH($B$3,daily_items,0)))</f>
        <v>#N/A</v>
      </c>
      <c r="W130" s="1" t="e">
        <f aca="false">IF(ISBLANK(INDEX(big_daily_table,MATCH(DATE(W$5,$K130,$J130),daily_dates,0),MATCH($B$3,daily_items,0))),NA(),INDEX(big_daily_table,MATCH(DATE(W$5,$K130,$J130),daily_dates,0),MATCH($B$3,daily_items,0)))</f>
        <v>#N/A</v>
      </c>
      <c r="X130" s="1" t="e">
        <f aca="false">IF(ISBLANK(INDEX(big_daily_table,MATCH(DATE(X$5,$K130,$J130),daily_dates,0),MATCH($B$3,daily_items,0))),NA(),INDEX(big_daily_table,MATCH(DATE(X$5,$K130,$J130),daily_dates,0),MATCH($B$3,daily_items,0)))</f>
        <v>#N/A</v>
      </c>
      <c r="Y130" s="1" t="e">
        <f aca="false">IF(ISBLANK(INDEX(big_daily_table,MATCH(DATE(Y$5,$K130,$J130),daily_dates,0),MATCH($B$3,daily_items,0))),NA(),INDEX(big_daily_table,MATCH(DATE(Y$5,$K130,$J130),daily_dates,0),MATCH($B$3,daily_items,0)))</f>
        <v>#N/A</v>
      </c>
      <c r="Z130" s="1" t="e">
        <f aca="false">IF(ISBLANK(INDEX(big_daily_table,MATCH(DATE(Z$5,$K130,$J130),daily_dates,0),MATCH($B$3,daily_items,0))),NA(),INDEX(big_daily_table,MATCH(DATE(Z$5,$K130,$J130),daily_dates,0),MATCH($B$3,daily_items,0)))</f>
        <v>#N/A</v>
      </c>
      <c r="AA130" s="1" t="n">
        <f aca="true">_xlfn.AGGREGATE(5,6,OFFSET($S$5,H130,0,1,$K$2))</f>
        <v>0</v>
      </c>
      <c r="AB130" s="1" t="n">
        <f aca="true">_xlfn.AGGREGATE(4,6,OFFSET($S$5,H130,0,1,$K$2))</f>
        <v>0</v>
      </c>
      <c r="AC130" s="1" t="n">
        <f aca="false">AB130-AA130</f>
        <v>0</v>
      </c>
      <c r="AD130" s="1" t="e">
        <f aca="true">_xlfn.AGGREGATE(1,6,OFFSET($S$5,H130,0,1,$K$2))</f>
        <v>#DIV/0!</v>
      </c>
    </row>
    <row r="131" customFormat="false" ht="14.25" hidden="false" customHeight="false" outlineLevel="0" collapsed="false">
      <c r="H131" s="1" t="n">
        <f aca="false">H130+1</f>
        <v>126</v>
      </c>
      <c r="I131" s="1" t="n">
        <f aca="false">WEEKDAY('daily graphs'!K131)</f>
        <v>6</v>
      </c>
      <c r="J131" s="1" t="n">
        <f aca="false">DAY(L131)</f>
        <v>29</v>
      </c>
      <c r="K131" s="1" t="n">
        <f aca="false">MONTH(L131)</f>
        <v>4</v>
      </c>
      <c r="L131" s="23" t="n">
        <f aca="false">'daily graphs'!K131 - I131</f>
        <v>36645</v>
      </c>
      <c r="M131" s="24" t="n">
        <f aca="true">IF(TODAY()&lt;DATE($O$5,K131,J131),1000000,-1000000)</f>
        <v>-1000000</v>
      </c>
      <c r="N131" s="24" t="e">
        <f aca="false">IF(M131&gt;0,INDEX(big_daily_table,MATCH(DATE(O$5,$K131,$J131),daily_dates,0),MATCH($B$3,daily_items,0)),NA())</f>
        <v>#N/A</v>
      </c>
      <c r="O131" s="1" t="e">
        <f aca="false">IF(M131&lt;0,INDEX(big_daily_table,MATCH(DATE(O$5,$K131,$J131),daily_dates,0),MATCH($B$3,daily_items,0)),NA())</f>
        <v>#N/A</v>
      </c>
      <c r="P131" s="1" t="e">
        <f aca="false">IF(ISBLANK(INDEX(big_daily_table,MATCH(DATE(P$5,$K131,$J131),daily_dates,0),MATCH($B$3,daily_items,0))),NA(),INDEX(big_daily_table,MATCH(DATE(P$5,$K131,$J131),daily_dates,0),MATCH($B$3,daily_items,0)))</f>
        <v>#N/A</v>
      </c>
      <c r="Q131" s="1" t="e">
        <f aca="false">IF(ISBLANK(INDEX(big_daily_table,MATCH(DATE(Q$5,$K131,$J131),daily_dates,0),MATCH($B$3,daily_items,0))),NA(),INDEX(big_daily_table,MATCH(DATE(Q$5,$K131,$J131),daily_dates,0),MATCH($B$3,daily_items,0)))</f>
        <v>#N/A</v>
      </c>
      <c r="R131" s="1" t="e">
        <f aca="false">IF(ISBLANK(INDEX(big_daily_table,MATCH(DATE(R$5,$K131,$J131),daily_dates,0),MATCH($B$3,daily_items,0))),NA(),INDEX(big_daily_table,MATCH(DATE(R$5,$K131,$J131),daily_dates,0),MATCH($B$3,daily_items,0)))</f>
        <v>#N/A</v>
      </c>
      <c r="S131" s="1" t="e">
        <f aca="false">IF(ISBLANK(INDEX(big_daily_table,MATCH(DATE(S$5,$K131,$J131),daily_dates,0),MATCH($B$3,daily_items,0))),NA(),INDEX(big_daily_table,MATCH(DATE(S$5,$K131,$J131),daily_dates,0),MATCH($B$3,daily_items,0)))</f>
        <v>#N/A</v>
      </c>
      <c r="T131" s="1" t="e">
        <f aca="false">IF(ISBLANK(INDEX(big_daily_table,MATCH(DATE(T$5,$K131,$J131),daily_dates,0),MATCH($B$3,daily_items,0))),NA(),INDEX(big_daily_table,MATCH(DATE(T$5,$K131,$J131),daily_dates,0),MATCH($B$3,daily_items,0)))</f>
        <v>#N/A</v>
      </c>
      <c r="U131" s="1" t="e">
        <f aca="false">IF(ISBLANK(INDEX(big_daily_table,MATCH(DATE(U$5,$K131,$J131),daily_dates,0),MATCH($B$3,daily_items,0))),NA(),INDEX(big_daily_table,MATCH(DATE(U$5,$K131,$J131),daily_dates,0),MATCH($B$3,daily_items,0)))</f>
        <v>#N/A</v>
      </c>
      <c r="V131" s="1" t="e">
        <f aca="false">IF(ISBLANK(INDEX(big_daily_table,MATCH(DATE(V$5,$K131,$J131),daily_dates,0),MATCH($B$3,daily_items,0))),NA(),INDEX(big_daily_table,MATCH(DATE(V$5,$K131,$J131),daily_dates,0),MATCH($B$3,daily_items,0)))</f>
        <v>#N/A</v>
      </c>
      <c r="W131" s="1" t="e">
        <f aca="false">IF(ISBLANK(INDEX(big_daily_table,MATCH(DATE(W$5,$K131,$J131),daily_dates,0),MATCH($B$3,daily_items,0))),NA(),INDEX(big_daily_table,MATCH(DATE(W$5,$K131,$J131),daily_dates,0),MATCH($B$3,daily_items,0)))</f>
        <v>#N/A</v>
      </c>
      <c r="X131" s="1" t="e">
        <f aca="false">IF(ISBLANK(INDEX(big_daily_table,MATCH(DATE(X$5,$K131,$J131),daily_dates,0),MATCH($B$3,daily_items,0))),NA(),INDEX(big_daily_table,MATCH(DATE(X$5,$K131,$J131),daily_dates,0),MATCH($B$3,daily_items,0)))</f>
        <v>#N/A</v>
      </c>
      <c r="Y131" s="1" t="e">
        <f aca="false">IF(ISBLANK(INDEX(big_daily_table,MATCH(DATE(Y$5,$K131,$J131),daily_dates,0),MATCH($B$3,daily_items,0))),NA(),INDEX(big_daily_table,MATCH(DATE(Y$5,$K131,$J131),daily_dates,0),MATCH($B$3,daily_items,0)))</f>
        <v>#N/A</v>
      </c>
      <c r="Z131" s="1" t="e">
        <f aca="false">IF(ISBLANK(INDEX(big_daily_table,MATCH(DATE(Z$5,$K131,$J131),daily_dates,0),MATCH($B$3,daily_items,0))),NA(),INDEX(big_daily_table,MATCH(DATE(Z$5,$K131,$J131),daily_dates,0),MATCH($B$3,daily_items,0)))</f>
        <v>#N/A</v>
      </c>
      <c r="AA131" s="1" t="n">
        <f aca="true">_xlfn.AGGREGATE(5,6,OFFSET($S$5,H131,0,1,$K$2))</f>
        <v>0</v>
      </c>
      <c r="AB131" s="1" t="n">
        <f aca="true">_xlfn.AGGREGATE(4,6,OFFSET($S$5,H131,0,1,$K$2))</f>
        <v>0</v>
      </c>
      <c r="AC131" s="1" t="n">
        <f aca="false">AB131-AA131</f>
        <v>0</v>
      </c>
      <c r="AD131" s="1" t="e">
        <f aca="true">_xlfn.AGGREGATE(1,6,OFFSET($S$5,H131,0,1,$K$2))</f>
        <v>#DIV/0!</v>
      </c>
    </row>
    <row r="132" customFormat="false" ht="14.25" hidden="false" customHeight="false" outlineLevel="0" collapsed="false">
      <c r="H132" s="1" t="n">
        <f aca="false">H131+1</f>
        <v>127</v>
      </c>
      <c r="I132" s="1" t="n">
        <f aca="false">WEEKDAY('daily graphs'!K132)</f>
        <v>7</v>
      </c>
      <c r="J132" s="1" t="n">
        <f aca="false">DAY(L132)</f>
        <v>29</v>
      </c>
      <c r="K132" s="1" t="n">
        <f aca="false">MONTH(L132)</f>
        <v>4</v>
      </c>
      <c r="L132" s="23" t="n">
        <f aca="false">'daily graphs'!K132 - I132</f>
        <v>36645</v>
      </c>
      <c r="M132" s="24" t="n">
        <f aca="true">IF(TODAY()&lt;DATE($O$5,K132,J132),1000000,-1000000)</f>
        <v>-1000000</v>
      </c>
      <c r="N132" s="24" t="e">
        <f aca="false">IF(M132&gt;0,INDEX(big_daily_table,MATCH(DATE(O$5,$K132,$J132),daily_dates,0),MATCH($B$3,daily_items,0)),NA())</f>
        <v>#N/A</v>
      </c>
      <c r="O132" s="1" t="e">
        <f aca="false">IF(M132&lt;0,INDEX(big_daily_table,MATCH(DATE(O$5,$K132,$J132),daily_dates,0),MATCH($B$3,daily_items,0)),NA())</f>
        <v>#N/A</v>
      </c>
      <c r="P132" s="1" t="e">
        <f aca="false">IF(ISBLANK(INDEX(big_daily_table,MATCH(DATE(P$5,$K132,$J132),daily_dates,0),MATCH($B$3,daily_items,0))),NA(),INDEX(big_daily_table,MATCH(DATE(P$5,$K132,$J132),daily_dates,0),MATCH($B$3,daily_items,0)))</f>
        <v>#N/A</v>
      </c>
      <c r="Q132" s="1" t="e">
        <f aca="false">IF(ISBLANK(INDEX(big_daily_table,MATCH(DATE(Q$5,$K132,$J132),daily_dates,0),MATCH($B$3,daily_items,0))),NA(),INDEX(big_daily_table,MATCH(DATE(Q$5,$K132,$J132),daily_dates,0),MATCH($B$3,daily_items,0)))</f>
        <v>#N/A</v>
      </c>
      <c r="R132" s="1" t="e">
        <f aca="false">IF(ISBLANK(INDEX(big_daily_table,MATCH(DATE(R$5,$K132,$J132),daily_dates,0),MATCH($B$3,daily_items,0))),NA(),INDEX(big_daily_table,MATCH(DATE(R$5,$K132,$J132),daily_dates,0),MATCH($B$3,daily_items,0)))</f>
        <v>#N/A</v>
      </c>
      <c r="S132" s="1" t="e">
        <f aca="false">IF(ISBLANK(INDEX(big_daily_table,MATCH(DATE(S$5,$K132,$J132),daily_dates,0),MATCH($B$3,daily_items,0))),NA(),INDEX(big_daily_table,MATCH(DATE(S$5,$K132,$J132),daily_dates,0),MATCH($B$3,daily_items,0)))</f>
        <v>#N/A</v>
      </c>
      <c r="T132" s="1" t="e">
        <f aca="false">IF(ISBLANK(INDEX(big_daily_table,MATCH(DATE(T$5,$K132,$J132),daily_dates,0),MATCH($B$3,daily_items,0))),NA(),INDEX(big_daily_table,MATCH(DATE(T$5,$K132,$J132),daily_dates,0),MATCH($B$3,daily_items,0)))</f>
        <v>#N/A</v>
      </c>
      <c r="U132" s="1" t="e">
        <f aca="false">IF(ISBLANK(INDEX(big_daily_table,MATCH(DATE(U$5,$K132,$J132),daily_dates,0),MATCH($B$3,daily_items,0))),NA(),INDEX(big_daily_table,MATCH(DATE(U$5,$K132,$J132),daily_dates,0),MATCH($B$3,daily_items,0)))</f>
        <v>#N/A</v>
      </c>
      <c r="V132" s="1" t="e">
        <f aca="false">IF(ISBLANK(INDEX(big_daily_table,MATCH(DATE(V$5,$K132,$J132),daily_dates,0),MATCH($B$3,daily_items,0))),NA(),INDEX(big_daily_table,MATCH(DATE(V$5,$K132,$J132),daily_dates,0),MATCH($B$3,daily_items,0)))</f>
        <v>#N/A</v>
      </c>
      <c r="W132" s="1" t="e">
        <f aca="false">IF(ISBLANK(INDEX(big_daily_table,MATCH(DATE(W$5,$K132,$J132),daily_dates,0),MATCH($B$3,daily_items,0))),NA(),INDEX(big_daily_table,MATCH(DATE(W$5,$K132,$J132),daily_dates,0),MATCH($B$3,daily_items,0)))</f>
        <v>#N/A</v>
      </c>
      <c r="X132" s="1" t="e">
        <f aca="false">IF(ISBLANK(INDEX(big_daily_table,MATCH(DATE(X$5,$K132,$J132),daily_dates,0),MATCH($B$3,daily_items,0))),NA(),INDEX(big_daily_table,MATCH(DATE(X$5,$K132,$J132),daily_dates,0),MATCH($B$3,daily_items,0)))</f>
        <v>#N/A</v>
      </c>
      <c r="Y132" s="1" t="e">
        <f aca="false">IF(ISBLANK(INDEX(big_daily_table,MATCH(DATE(Y$5,$K132,$J132),daily_dates,0),MATCH($B$3,daily_items,0))),NA(),INDEX(big_daily_table,MATCH(DATE(Y$5,$K132,$J132),daily_dates,0),MATCH($B$3,daily_items,0)))</f>
        <v>#N/A</v>
      </c>
      <c r="Z132" s="1" t="e">
        <f aca="false">IF(ISBLANK(INDEX(big_daily_table,MATCH(DATE(Z$5,$K132,$J132),daily_dates,0),MATCH($B$3,daily_items,0))),NA(),INDEX(big_daily_table,MATCH(DATE(Z$5,$K132,$J132),daily_dates,0),MATCH($B$3,daily_items,0)))</f>
        <v>#N/A</v>
      </c>
      <c r="AA132" s="1" t="n">
        <f aca="true">_xlfn.AGGREGATE(5,6,OFFSET($S$5,H132,0,1,$K$2))</f>
        <v>0</v>
      </c>
      <c r="AB132" s="1" t="n">
        <f aca="true">_xlfn.AGGREGATE(4,6,OFFSET($S$5,H132,0,1,$K$2))</f>
        <v>0</v>
      </c>
      <c r="AC132" s="1" t="n">
        <f aca="false">AB132-AA132</f>
        <v>0</v>
      </c>
      <c r="AD132" s="1" t="e">
        <f aca="true">_xlfn.AGGREGATE(1,6,OFFSET($S$5,H132,0,1,$K$2))</f>
        <v>#DIV/0!</v>
      </c>
    </row>
    <row r="133" customFormat="false" ht="14.25" hidden="false" customHeight="false" outlineLevel="0" collapsed="false">
      <c r="H133" s="1" t="n">
        <f aca="false">H132+1</f>
        <v>128</v>
      </c>
      <c r="I133" s="1" t="n">
        <f aca="false">WEEKDAY('daily graphs'!K133)</f>
        <v>1</v>
      </c>
      <c r="J133" s="1" t="n">
        <f aca="false">DAY(L133)</f>
        <v>6</v>
      </c>
      <c r="K133" s="1" t="n">
        <f aca="false">MONTH(L133)</f>
        <v>5</v>
      </c>
      <c r="L133" s="23" t="n">
        <f aca="false">'daily graphs'!K133 - I133</f>
        <v>36652</v>
      </c>
      <c r="M133" s="24" t="n">
        <f aca="true">IF(TODAY()&lt;DATE($O$5,K133,J133),1000000,-1000000)</f>
        <v>-1000000</v>
      </c>
      <c r="N133" s="24" t="e">
        <f aca="false">IF(M133&gt;0,INDEX(big_daily_table,MATCH(DATE(O$5,$K133,$J133),daily_dates,0),MATCH($B$3,daily_items,0)),NA())</f>
        <v>#N/A</v>
      </c>
      <c r="O133" s="1" t="e">
        <f aca="false">IF(M133&lt;0,INDEX(big_daily_table,MATCH(DATE(O$5,$K133,$J133),daily_dates,0),MATCH($B$3,daily_items,0)),NA())</f>
        <v>#N/A</v>
      </c>
      <c r="P133" s="1" t="e">
        <f aca="false">IF(ISBLANK(INDEX(big_daily_table,MATCH(DATE(P$5,$K133,$J133),daily_dates,0),MATCH($B$3,daily_items,0))),NA(),INDEX(big_daily_table,MATCH(DATE(P$5,$K133,$J133),daily_dates,0),MATCH($B$3,daily_items,0)))</f>
        <v>#N/A</v>
      </c>
      <c r="Q133" s="1" t="e">
        <f aca="false">IF(ISBLANK(INDEX(big_daily_table,MATCH(DATE(Q$5,$K133,$J133),daily_dates,0),MATCH($B$3,daily_items,0))),NA(),INDEX(big_daily_table,MATCH(DATE(Q$5,$K133,$J133),daily_dates,0),MATCH($B$3,daily_items,0)))</f>
        <v>#N/A</v>
      </c>
      <c r="R133" s="1" t="e">
        <f aca="false">IF(ISBLANK(INDEX(big_daily_table,MATCH(DATE(R$5,$K133,$J133),daily_dates,0),MATCH($B$3,daily_items,0))),NA(),INDEX(big_daily_table,MATCH(DATE(R$5,$K133,$J133),daily_dates,0),MATCH($B$3,daily_items,0)))</f>
        <v>#N/A</v>
      </c>
      <c r="S133" s="1" t="e">
        <f aca="false">IF(ISBLANK(INDEX(big_daily_table,MATCH(DATE(S$5,$K133,$J133),daily_dates,0),MATCH($B$3,daily_items,0))),NA(),INDEX(big_daily_table,MATCH(DATE(S$5,$K133,$J133),daily_dates,0),MATCH($B$3,daily_items,0)))</f>
        <v>#N/A</v>
      </c>
      <c r="T133" s="1" t="e">
        <f aca="false">IF(ISBLANK(INDEX(big_daily_table,MATCH(DATE(T$5,$K133,$J133),daily_dates,0),MATCH($B$3,daily_items,0))),NA(),INDEX(big_daily_table,MATCH(DATE(T$5,$K133,$J133),daily_dates,0),MATCH($B$3,daily_items,0)))</f>
        <v>#N/A</v>
      </c>
      <c r="U133" s="1" t="e">
        <f aca="false">IF(ISBLANK(INDEX(big_daily_table,MATCH(DATE(U$5,$K133,$J133),daily_dates,0),MATCH($B$3,daily_items,0))),NA(),INDEX(big_daily_table,MATCH(DATE(U$5,$K133,$J133),daily_dates,0),MATCH($B$3,daily_items,0)))</f>
        <v>#N/A</v>
      </c>
      <c r="V133" s="1" t="e">
        <f aca="false">IF(ISBLANK(INDEX(big_daily_table,MATCH(DATE(V$5,$K133,$J133),daily_dates,0),MATCH($B$3,daily_items,0))),NA(),INDEX(big_daily_table,MATCH(DATE(V$5,$K133,$J133),daily_dates,0),MATCH($B$3,daily_items,0)))</f>
        <v>#N/A</v>
      </c>
      <c r="W133" s="1" t="e">
        <f aca="false">IF(ISBLANK(INDEX(big_daily_table,MATCH(DATE(W$5,$K133,$J133),daily_dates,0),MATCH($B$3,daily_items,0))),NA(),INDEX(big_daily_table,MATCH(DATE(W$5,$K133,$J133),daily_dates,0),MATCH($B$3,daily_items,0)))</f>
        <v>#N/A</v>
      </c>
      <c r="X133" s="1" t="e">
        <f aca="false">IF(ISBLANK(INDEX(big_daily_table,MATCH(DATE(X$5,$K133,$J133),daily_dates,0),MATCH($B$3,daily_items,0))),NA(),INDEX(big_daily_table,MATCH(DATE(X$5,$K133,$J133),daily_dates,0),MATCH($B$3,daily_items,0)))</f>
        <v>#N/A</v>
      </c>
      <c r="Y133" s="1" t="e">
        <f aca="false">IF(ISBLANK(INDEX(big_daily_table,MATCH(DATE(Y$5,$K133,$J133),daily_dates,0),MATCH($B$3,daily_items,0))),NA(),INDEX(big_daily_table,MATCH(DATE(Y$5,$K133,$J133),daily_dates,0),MATCH($B$3,daily_items,0)))</f>
        <v>#N/A</v>
      </c>
      <c r="Z133" s="1" t="e">
        <f aca="false">IF(ISBLANK(INDEX(big_daily_table,MATCH(DATE(Z$5,$K133,$J133),daily_dates,0),MATCH($B$3,daily_items,0))),NA(),INDEX(big_daily_table,MATCH(DATE(Z$5,$K133,$J133),daily_dates,0),MATCH($B$3,daily_items,0)))</f>
        <v>#N/A</v>
      </c>
      <c r="AA133" s="1" t="n">
        <f aca="true">_xlfn.AGGREGATE(5,6,OFFSET($S$5,H133,0,1,$K$2))</f>
        <v>0</v>
      </c>
      <c r="AB133" s="1" t="n">
        <f aca="true">_xlfn.AGGREGATE(4,6,OFFSET($S$5,H133,0,1,$K$2))</f>
        <v>0</v>
      </c>
      <c r="AC133" s="1" t="n">
        <f aca="false">AB133-AA133</f>
        <v>0</v>
      </c>
      <c r="AD133" s="1" t="e">
        <f aca="true">_xlfn.AGGREGATE(1,6,OFFSET($S$5,H133,0,1,$K$2))</f>
        <v>#DIV/0!</v>
      </c>
    </row>
    <row r="134" customFormat="false" ht="14.25" hidden="false" customHeight="false" outlineLevel="0" collapsed="false">
      <c r="H134" s="1" t="n">
        <f aca="false">H133+1</f>
        <v>129</v>
      </c>
      <c r="I134" s="1" t="n">
        <f aca="false">WEEKDAY('daily graphs'!K134)</f>
        <v>2</v>
      </c>
      <c r="J134" s="1" t="n">
        <f aca="false">DAY(L134)</f>
        <v>6</v>
      </c>
      <c r="K134" s="1" t="n">
        <f aca="false">MONTH(L134)</f>
        <v>5</v>
      </c>
      <c r="L134" s="23" t="n">
        <f aca="false">'daily graphs'!K134 - I134</f>
        <v>36652</v>
      </c>
      <c r="M134" s="24" t="n">
        <f aca="true">IF(TODAY()&lt;DATE($O$5,K134,J134),1000000,-1000000)</f>
        <v>-1000000</v>
      </c>
      <c r="N134" s="24" t="e">
        <f aca="false">IF(M134&gt;0,INDEX(big_daily_table,MATCH(DATE(O$5,$K134,$J134),daily_dates,0),MATCH($B$3,daily_items,0)),NA())</f>
        <v>#N/A</v>
      </c>
      <c r="O134" s="1" t="e">
        <f aca="false">IF(M134&lt;0,INDEX(big_daily_table,MATCH(DATE(O$5,$K134,$J134),daily_dates,0),MATCH($B$3,daily_items,0)),NA())</f>
        <v>#N/A</v>
      </c>
      <c r="P134" s="1" t="e">
        <f aca="false">IF(ISBLANK(INDEX(big_daily_table,MATCH(DATE(P$5,$K134,$J134),daily_dates,0),MATCH($B$3,daily_items,0))),NA(),INDEX(big_daily_table,MATCH(DATE(P$5,$K134,$J134),daily_dates,0),MATCH($B$3,daily_items,0)))</f>
        <v>#N/A</v>
      </c>
      <c r="Q134" s="1" t="e">
        <f aca="false">IF(ISBLANK(INDEX(big_daily_table,MATCH(DATE(Q$5,$K134,$J134),daily_dates,0),MATCH($B$3,daily_items,0))),NA(),INDEX(big_daily_table,MATCH(DATE(Q$5,$K134,$J134),daily_dates,0),MATCH($B$3,daily_items,0)))</f>
        <v>#N/A</v>
      </c>
      <c r="R134" s="1" t="e">
        <f aca="false">IF(ISBLANK(INDEX(big_daily_table,MATCH(DATE(R$5,$K134,$J134),daily_dates,0),MATCH($B$3,daily_items,0))),NA(),INDEX(big_daily_table,MATCH(DATE(R$5,$K134,$J134),daily_dates,0),MATCH($B$3,daily_items,0)))</f>
        <v>#N/A</v>
      </c>
      <c r="S134" s="1" t="e">
        <f aca="false">IF(ISBLANK(INDEX(big_daily_table,MATCH(DATE(S$5,$K134,$J134),daily_dates,0),MATCH($B$3,daily_items,0))),NA(),INDEX(big_daily_table,MATCH(DATE(S$5,$K134,$J134),daily_dates,0),MATCH($B$3,daily_items,0)))</f>
        <v>#N/A</v>
      </c>
      <c r="T134" s="1" t="e">
        <f aca="false">IF(ISBLANK(INDEX(big_daily_table,MATCH(DATE(T$5,$K134,$J134),daily_dates,0),MATCH($B$3,daily_items,0))),NA(),INDEX(big_daily_table,MATCH(DATE(T$5,$K134,$J134),daily_dates,0),MATCH($B$3,daily_items,0)))</f>
        <v>#N/A</v>
      </c>
      <c r="U134" s="1" t="e">
        <f aca="false">IF(ISBLANK(INDEX(big_daily_table,MATCH(DATE(U$5,$K134,$J134),daily_dates,0),MATCH($B$3,daily_items,0))),NA(),INDEX(big_daily_table,MATCH(DATE(U$5,$K134,$J134),daily_dates,0),MATCH($B$3,daily_items,0)))</f>
        <v>#N/A</v>
      </c>
      <c r="V134" s="1" t="e">
        <f aca="false">IF(ISBLANK(INDEX(big_daily_table,MATCH(DATE(V$5,$K134,$J134),daily_dates,0),MATCH($B$3,daily_items,0))),NA(),INDEX(big_daily_table,MATCH(DATE(V$5,$K134,$J134),daily_dates,0),MATCH($B$3,daily_items,0)))</f>
        <v>#N/A</v>
      </c>
      <c r="W134" s="1" t="e">
        <f aca="false">IF(ISBLANK(INDEX(big_daily_table,MATCH(DATE(W$5,$K134,$J134),daily_dates,0),MATCH($B$3,daily_items,0))),NA(),INDEX(big_daily_table,MATCH(DATE(W$5,$K134,$J134),daily_dates,0),MATCH($B$3,daily_items,0)))</f>
        <v>#N/A</v>
      </c>
      <c r="X134" s="1" t="e">
        <f aca="false">IF(ISBLANK(INDEX(big_daily_table,MATCH(DATE(X$5,$K134,$J134),daily_dates,0),MATCH($B$3,daily_items,0))),NA(),INDEX(big_daily_table,MATCH(DATE(X$5,$K134,$J134),daily_dates,0),MATCH($B$3,daily_items,0)))</f>
        <v>#N/A</v>
      </c>
      <c r="Y134" s="1" t="e">
        <f aca="false">IF(ISBLANK(INDEX(big_daily_table,MATCH(DATE(Y$5,$K134,$J134),daily_dates,0),MATCH($B$3,daily_items,0))),NA(),INDEX(big_daily_table,MATCH(DATE(Y$5,$K134,$J134),daily_dates,0),MATCH($B$3,daily_items,0)))</f>
        <v>#N/A</v>
      </c>
      <c r="Z134" s="1" t="e">
        <f aca="false">IF(ISBLANK(INDEX(big_daily_table,MATCH(DATE(Z$5,$K134,$J134),daily_dates,0),MATCH($B$3,daily_items,0))),NA(),INDEX(big_daily_table,MATCH(DATE(Z$5,$K134,$J134),daily_dates,0),MATCH($B$3,daily_items,0)))</f>
        <v>#N/A</v>
      </c>
      <c r="AA134" s="1" t="n">
        <f aca="true">_xlfn.AGGREGATE(5,6,OFFSET($S$5,H134,0,1,$K$2))</f>
        <v>0</v>
      </c>
      <c r="AB134" s="1" t="n">
        <f aca="true">_xlfn.AGGREGATE(4,6,OFFSET($S$5,H134,0,1,$K$2))</f>
        <v>0</v>
      </c>
      <c r="AC134" s="1" t="n">
        <f aca="false">AB134-AA134</f>
        <v>0</v>
      </c>
      <c r="AD134" s="1" t="e">
        <f aca="true">_xlfn.AGGREGATE(1,6,OFFSET($S$5,H134,0,1,$K$2))</f>
        <v>#DIV/0!</v>
      </c>
    </row>
    <row r="135" customFormat="false" ht="14.25" hidden="false" customHeight="false" outlineLevel="0" collapsed="false">
      <c r="H135" s="1" t="n">
        <f aca="false">H134+1</f>
        <v>130</v>
      </c>
      <c r="I135" s="1" t="n">
        <f aca="false">WEEKDAY('daily graphs'!K135)</f>
        <v>3</v>
      </c>
      <c r="J135" s="1" t="n">
        <f aca="false">DAY(L135)</f>
        <v>6</v>
      </c>
      <c r="K135" s="1" t="n">
        <f aca="false">MONTH(L135)</f>
        <v>5</v>
      </c>
      <c r="L135" s="23" t="n">
        <f aca="false">'daily graphs'!K135 - I135</f>
        <v>36652</v>
      </c>
      <c r="M135" s="24" t="n">
        <f aca="true">IF(TODAY()&lt;DATE($O$5,K135,J135),1000000,-1000000)</f>
        <v>-1000000</v>
      </c>
      <c r="N135" s="24" t="e">
        <f aca="false">IF(M135&gt;0,INDEX(big_daily_table,MATCH(DATE(O$5,$K135,$J135),daily_dates,0),MATCH($B$3,daily_items,0)),NA())</f>
        <v>#N/A</v>
      </c>
      <c r="O135" s="1" t="e">
        <f aca="false">IF(M135&lt;0,INDEX(big_daily_table,MATCH(DATE(O$5,$K135,$J135),daily_dates,0),MATCH($B$3,daily_items,0)),NA())</f>
        <v>#N/A</v>
      </c>
      <c r="P135" s="1" t="e">
        <f aca="false">IF(ISBLANK(INDEX(big_daily_table,MATCH(DATE(P$5,$K135,$J135),daily_dates,0),MATCH($B$3,daily_items,0))),NA(),INDEX(big_daily_table,MATCH(DATE(P$5,$K135,$J135),daily_dates,0),MATCH($B$3,daily_items,0)))</f>
        <v>#N/A</v>
      </c>
      <c r="Q135" s="1" t="e">
        <f aca="false">IF(ISBLANK(INDEX(big_daily_table,MATCH(DATE(Q$5,$K135,$J135),daily_dates,0),MATCH($B$3,daily_items,0))),NA(),INDEX(big_daily_table,MATCH(DATE(Q$5,$K135,$J135),daily_dates,0),MATCH($B$3,daily_items,0)))</f>
        <v>#N/A</v>
      </c>
      <c r="R135" s="1" t="e">
        <f aca="false">IF(ISBLANK(INDEX(big_daily_table,MATCH(DATE(R$5,$K135,$J135),daily_dates,0),MATCH($B$3,daily_items,0))),NA(),INDEX(big_daily_table,MATCH(DATE(R$5,$K135,$J135),daily_dates,0),MATCH($B$3,daily_items,0)))</f>
        <v>#N/A</v>
      </c>
      <c r="S135" s="1" t="e">
        <f aca="false">IF(ISBLANK(INDEX(big_daily_table,MATCH(DATE(S$5,$K135,$J135),daily_dates,0),MATCH($B$3,daily_items,0))),NA(),INDEX(big_daily_table,MATCH(DATE(S$5,$K135,$J135),daily_dates,0),MATCH($B$3,daily_items,0)))</f>
        <v>#N/A</v>
      </c>
      <c r="T135" s="1" t="e">
        <f aca="false">IF(ISBLANK(INDEX(big_daily_table,MATCH(DATE(T$5,$K135,$J135),daily_dates,0),MATCH($B$3,daily_items,0))),NA(),INDEX(big_daily_table,MATCH(DATE(T$5,$K135,$J135),daily_dates,0),MATCH($B$3,daily_items,0)))</f>
        <v>#N/A</v>
      </c>
      <c r="U135" s="1" t="e">
        <f aca="false">IF(ISBLANK(INDEX(big_daily_table,MATCH(DATE(U$5,$K135,$J135),daily_dates,0),MATCH($B$3,daily_items,0))),NA(),INDEX(big_daily_table,MATCH(DATE(U$5,$K135,$J135),daily_dates,0),MATCH($B$3,daily_items,0)))</f>
        <v>#N/A</v>
      </c>
      <c r="V135" s="1" t="e">
        <f aca="false">IF(ISBLANK(INDEX(big_daily_table,MATCH(DATE(V$5,$K135,$J135),daily_dates,0),MATCH($B$3,daily_items,0))),NA(),INDEX(big_daily_table,MATCH(DATE(V$5,$K135,$J135),daily_dates,0),MATCH($B$3,daily_items,0)))</f>
        <v>#N/A</v>
      </c>
      <c r="W135" s="1" t="e">
        <f aca="false">IF(ISBLANK(INDEX(big_daily_table,MATCH(DATE(W$5,$K135,$J135),daily_dates,0),MATCH($B$3,daily_items,0))),NA(),INDEX(big_daily_table,MATCH(DATE(W$5,$K135,$J135),daily_dates,0),MATCH($B$3,daily_items,0)))</f>
        <v>#N/A</v>
      </c>
      <c r="X135" s="1" t="e">
        <f aca="false">IF(ISBLANK(INDEX(big_daily_table,MATCH(DATE(X$5,$K135,$J135),daily_dates,0),MATCH($B$3,daily_items,0))),NA(),INDEX(big_daily_table,MATCH(DATE(X$5,$K135,$J135),daily_dates,0),MATCH($B$3,daily_items,0)))</f>
        <v>#N/A</v>
      </c>
      <c r="Y135" s="1" t="e">
        <f aca="false">IF(ISBLANK(INDEX(big_daily_table,MATCH(DATE(Y$5,$K135,$J135),daily_dates,0),MATCH($B$3,daily_items,0))),NA(),INDEX(big_daily_table,MATCH(DATE(Y$5,$K135,$J135),daily_dates,0),MATCH($B$3,daily_items,0)))</f>
        <v>#N/A</v>
      </c>
      <c r="Z135" s="1" t="e">
        <f aca="false">IF(ISBLANK(INDEX(big_daily_table,MATCH(DATE(Z$5,$K135,$J135),daily_dates,0),MATCH($B$3,daily_items,0))),NA(),INDEX(big_daily_table,MATCH(DATE(Z$5,$K135,$J135),daily_dates,0),MATCH($B$3,daily_items,0)))</f>
        <v>#N/A</v>
      </c>
      <c r="AA135" s="1" t="n">
        <f aca="true">_xlfn.AGGREGATE(5,6,OFFSET($S$5,H135,0,1,$K$2))</f>
        <v>0</v>
      </c>
      <c r="AB135" s="1" t="n">
        <f aca="true">_xlfn.AGGREGATE(4,6,OFFSET($S$5,H135,0,1,$K$2))</f>
        <v>0</v>
      </c>
      <c r="AC135" s="1" t="n">
        <f aca="false">AB135-AA135</f>
        <v>0</v>
      </c>
      <c r="AD135" s="1" t="e">
        <f aca="true">_xlfn.AGGREGATE(1,6,OFFSET($S$5,H135,0,1,$K$2))</f>
        <v>#DIV/0!</v>
      </c>
    </row>
    <row r="136" customFormat="false" ht="14.25" hidden="false" customHeight="false" outlineLevel="0" collapsed="false">
      <c r="H136" s="1" t="n">
        <f aca="false">H135+1</f>
        <v>131</v>
      </c>
      <c r="I136" s="1" t="n">
        <f aca="false">WEEKDAY('daily graphs'!K136)</f>
        <v>4</v>
      </c>
      <c r="J136" s="1" t="n">
        <f aca="false">DAY(L136)</f>
        <v>6</v>
      </c>
      <c r="K136" s="1" t="n">
        <f aca="false">MONTH(L136)</f>
        <v>5</v>
      </c>
      <c r="L136" s="23" t="n">
        <f aca="false">'daily graphs'!K136 - I136</f>
        <v>36652</v>
      </c>
      <c r="M136" s="24" t="n">
        <f aca="true">IF(TODAY()&lt;DATE($O$5,K136,J136),1000000,-1000000)</f>
        <v>-1000000</v>
      </c>
      <c r="N136" s="24" t="e">
        <f aca="false">IF(M136&gt;0,INDEX(big_daily_table,MATCH(DATE(O$5,$K136,$J136),daily_dates,0),MATCH($B$3,daily_items,0)),NA())</f>
        <v>#N/A</v>
      </c>
      <c r="O136" s="1" t="e">
        <f aca="false">IF(M136&lt;0,INDEX(big_daily_table,MATCH(DATE(O$5,$K136,$J136),daily_dates,0),MATCH($B$3,daily_items,0)),NA())</f>
        <v>#N/A</v>
      </c>
      <c r="P136" s="1" t="e">
        <f aca="false">IF(ISBLANK(INDEX(big_daily_table,MATCH(DATE(P$5,$K136,$J136),daily_dates,0),MATCH($B$3,daily_items,0))),NA(),INDEX(big_daily_table,MATCH(DATE(P$5,$K136,$J136),daily_dates,0),MATCH($B$3,daily_items,0)))</f>
        <v>#N/A</v>
      </c>
      <c r="Q136" s="1" t="e">
        <f aca="false">IF(ISBLANK(INDEX(big_daily_table,MATCH(DATE(Q$5,$K136,$J136),daily_dates,0),MATCH($B$3,daily_items,0))),NA(),INDEX(big_daily_table,MATCH(DATE(Q$5,$K136,$J136),daily_dates,0),MATCH($B$3,daily_items,0)))</f>
        <v>#N/A</v>
      </c>
      <c r="R136" s="1" t="e">
        <f aca="false">IF(ISBLANK(INDEX(big_daily_table,MATCH(DATE(R$5,$K136,$J136),daily_dates,0),MATCH($B$3,daily_items,0))),NA(),INDEX(big_daily_table,MATCH(DATE(R$5,$K136,$J136),daily_dates,0),MATCH($B$3,daily_items,0)))</f>
        <v>#N/A</v>
      </c>
      <c r="S136" s="1" t="e">
        <f aca="false">IF(ISBLANK(INDEX(big_daily_table,MATCH(DATE(S$5,$K136,$J136),daily_dates,0),MATCH($B$3,daily_items,0))),NA(),INDEX(big_daily_table,MATCH(DATE(S$5,$K136,$J136),daily_dates,0),MATCH($B$3,daily_items,0)))</f>
        <v>#N/A</v>
      </c>
      <c r="T136" s="1" t="e">
        <f aca="false">IF(ISBLANK(INDEX(big_daily_table,MATCH(DATE(T$5,$K136,$J136),daily_dates,0),MATCH($B$3,daily_items,0))),NA(),INDEX(big_daily_table,MATCH(DATE(T$5,$K136,$J136),daily_dates,0),MATCH($B$3,daily_items,0)))</f>
        <v>#N/A</v>
      </c>
      <c r="U136" s="1" t="e">
        <f aca="false">IF(ISBLANK(INDEX(big_daily_table,MATCH(DATE(U$5,$K136,$J136),daily_dates,0),MATCH($B$3,daily_items,0))),NA(),INDEX(big_daily_table,MATCH(DATE(U$5,$K136,$J136),daily_dates,0),MATCH($B$3,daily_items,0)))</f>
        <v>#N/A</v>
      </c>
      <c r="V136" s="1" t="e">
        <f aca="false">IF(ISBLANK(INDEX(big_daily_table,MATCH(DATE(V$5,$K136,$J136),daily_dates,0),MATCH($B$3,daily_items,0))),NA(),INDEX(big_daily_table,MATCH(DATE(V$5,$K136,$J136),daily_dates,0),MATCH($B$3,daily_items,0)))</f>
        <v>#N/A</v>
      </c>
      <c r="W136" s="1" t="e">
        <f aca="false">IF(ISBLANK(INDEX(big_daily_table,MATCH(DATE(W$5,$K136,$J136),daily_dates,0),MATCH($B$3,daily_items,0))),NA(),INDEX(big_daily_table,MATCH(DATE(W$5,$K136,$J136),daily_dates,0),MATCH($B$3,daily_items,0)))</f>
        <v>#N/A</v>
      </c>
      <c r="X136" s="1" t="e">
        <f aca="false">IF(ISBLANK(INDEX(big_daily_table,MATCH(DATE(X$5,$K136,$J136),daily_dates,0),MATCH($B$3,daily_items,0))),NA(),INDEX(big_daily_table,MATCH(DATE(X$5,$K136,$J136),daily_dates,0),MATCH($B$3,daily_items,0)))</f>
        <v>#N/A</v>
      </c>
      <c r="Y136" s="1" t="e">
        <f aca="false">IF(ISBLANK(INDEX(big_daily_table,MATCH(DATE(Y$5,$K136,$J136),daily_dates,0),MATCH($B$3,daily_items,0))),NA(),INDEX(big_daily_table,MATCH(DATE(Y$5,$K136,$J136),daily_dates,0),MATCH($B$3,daily_items,0)))</f>
        <v>#N/A</v>
      </c>
      <c r="Z136" s="1" t="e">
        <f aca="false">IF(ISBLANK(INDEX(big_daily_table,MATCH(DATE(Z$5,$K136,$J136),daily_dates,0),MATCH($B$3,daily_items,0))),NA(),INDEX(big_daily_table,MATCH(DATE(Z$5,$K136,$J136),daily_dates,0),MATCH($B$3,daily_items,0)))</f>
        <v>#N/A</v>
      </c>
      <c r="AA136" s="1" t="n">
        <f aca="true">_xlfn.AGGREGATE(5,6,OFFSET($S$5,H136,0,1,$K$2))</f>
        <v>0</v>
      </c>
      <c r="AB136" s="1" t="n">
        <f aca="true">_xlfn.AGGREGATE(4,6,OFFSET($S$5,H136,0,1,$K$2))</f>
        <v>0</v>
      </c>
      <c r="AC136" s="1" t="n">
        <f aca="false">AB136-AA136</f>
        <v>0</v>
      </c>
      <c r="AD136" s="1" t="e">
        <f aca="true">_xlfn.AGGREGATE(1,6,OFFSET($S$5,H136,0,1,$K$2))</f>
        <v>#DIV/0!</v>
      </c>
    </row>
    <row r="137" customFormat="false" ht="14.25" hidden="false" customHeight="false" outlineLevel="0" collapsed="false">
      <c r="H137" s="1" t="n">
        <f aca="false">H136+1</f>
        <v>132</v>
      </c>
      <c r="I137" s="1" t="n">
        <f aca="false">WEEKDAY('daily graphs'!K137)</f>
        <v>5</v>
      </c>
      <c r="J137" s="1" t="n">
        <f aca="false">DAY(L137)</f>
        <v>6</v>
      </c>
      <c r="K137" s="1" t="n">
        <f aca="false">MONTH(L137)</f>
        <v>5</v>
      </c>
      <c r="L137" s="23" t="n">
        <f aca="false">'daily graphs'!K137 - I137</f>
        <v>36652</v>
      </c>
      <c r="M137" s="24" t="n">
        <f aca="true">IF(TODAY()&lt;DATE($O$5,K137,J137),1000000,-1000000)</f>
        <v>-1000000</v>
      </c>
      <c r="N137" s="24" t="e">
        <f aca="false">IF(M137&gt;0,INDEX(big_daily_table,MATCH(DATE(O$5,$K137,$J137),daily_dates,0),MATCH($B$3,daily_items,0)),NA())</f>
        <v>#N/A</v>
      </c>
      <c r="O137" s="1" t="e">
        <f aca="false">IF(M137&lt;0,INDEX(big_daily_table,MATCH(DATE(O$5,$K137,$J137),daily_dates,0),MATCH($B$3,daily_items,0)),NA())</f>
        <v>#N/A</v>
      </c>
      <c r="P137" s="1" t="e">
        <f aca="false">IF(ISBLANK(INDEX(big_daily_table,MATCH(DATE(P$5,$K137,$J137),daily_dates,0),MATCH($B$3,daily_items,0))),NA(),INDEX(big_daily_table,MATCH(DATE(P$5,$K137,$J137),daily_dates,0),MATCH($B$3,daily_items,0)))</f>
        <v>#N/A</v>
      </c>
      <c r="Q137" s="1" t="e">
        <f aca="false">IF(ISBLANK(INDEX(big_daily_table,MATCH(DATE(Q$5,$K137,$J137),daily_dates,0),MATCH($B$3,daily_items,0))),NA(),INDEX(big_daily_table,MATCH(DATE(Q$5,$K137,$J137),daily_dates,0),MATCH($B$3,daily_items,0)))</f>
        <v>#N/A</v>
      </c>
      <c r="R137" s="1" t="e">
        <f aca="false">IF(ISBLANK(INDEX(big_daily_table,MATCH(DATE(R$5,$K137,$J137),daily_dates,0),MATCH($B$3,daily_items,0))),NA(),INDEX(big_daily_table,MATCH(DATE(R$5,$K137,$J137),daily_dates,0),MATCH($B$3,daily_items,0)))</f>
        <v>#N/A</v>
      </c>
      <c r="S137" s="1" t="e">
        <f aca="false">IF(ISBLANK(INDEX(big_daily_table,MATCH(DATE(S$5,$K137,$J137),daily_dates,0),MATCH($B$3,daily_items,0))),NA(),INDEX(big_daily_table,MATCH(DATE(S$5,$K137,$J137),daily_dates,0),MATCH($B$3,daily_items,0)))</f>
        <v>#N/A</v>
      </c>
      <c r="T137" s="1" t="e">
        <f aca="false">IF(ISBLANK(INDEX(big_daily_table,MATCH(DATE(T$5,$K137,$J137),daily_dates,0),MATCH($B$3,daily_items,0))),NA(),INDEX(big_daily_table,MATCH(DATE(T$5,$K137,$J137),daily_dates,0),MATCH($B$3,daily_items,0)))</f>
        <v>#N/A</v>
      </c>
      <c r="U137" s="1" t="e">
        <f aca="false">IF(ISBLANK(INDEX(big_daily_table,MATCH(DATE(U$5,$K137,$J137),daily_dates,0),MATCH($B$3,daily_items,0))),NA(),INDEX(big_daily_table,MATCH(DATE(U$5,$K137,$J137),daily_dates,0),MATCH($B$3,daily_items,0)))</f>
        <v>#N/A</v>
      </c>
      <c r="V137" s="1" t="e">
        <f aca="false">IF(ISBLANK(INDEX(big_daily_table,MATCH(DATE(V$5,$K137,$J137),daily_dates,0),MATCH($B$3,daily_items,0))),NA(),INDEX(big_daily_table,MATCH(DATE(V$5,$K137,$J137),daily_dates,0),MATCH($B$3,daily_items,0)))</f>
        <v>#N/A</v>
      </c>
      <c r="W137" s="1" t="e">
        <f aca="false">IF(ISBLANK(INDEX(big_daily_table,MATCH(DATE(W$5,$K137,$J137),daily_dates,0),MATCH($B$3,daily_items,0))),NA(),INDEX(big_daily_table,MATCH(DATE(W$5,$K137,$J137),daily_dates,0),MATCH($B$3,daily_items,0)))</f>
        <v>#N/A</v>
      </c>
      <c r="X137" s="1" t="e">
        <f aca="false">IF(ISBLANK(INDEX(big_daily_table,MATCH(DATE(X$5,$K137,$J137),daily_dates,0),MATCH($B$3,daily_items,0))),NA(),INDEX(big_daily_table,MATCH(DATE(X$5,$K137,$J137),daily_dates,0),MATCH($B$3,daily_items,0)))</f>
        <v>#N/A</v>
      </c>
      <c r="Y137" s="1" t="e">
        <f aca="false">IF(ISBLANK(INDEX(big_daily_table,MATCH(DATE(Y$5,$K137,$J137),daily_dates,0),MATCH($B$3,daily_items,0))),NA(),INDEX(big_daily_table,MATCH(DATE(Y$5,$K137,$J137),daily_dates,0),MATCH($B$3,daily_items,0)))</f>
        <v>#N/A</v>
      </c>
      <c r="Z137" s="1" t="e">
        <f aca="false">IF(ISBLANK(INDEX(big_daily_table,MATCH(DATE(Z$5,$K137,$J137),daily_dates,0),MATCH($B$3,daily_items,0))),NA(),INDEX(big_daily_table,MATCH(DATE(Z$5,$K137,$J137),daily_dates,0),MATCH($B$3,daily_items,0)))</f>
        <v>#N/A</v>
      </c>
      <c r="AA137" s="1" t="n">
        <f aca="true">_xlfn.AGGREGATE(5,6,OFFSET($S$5,H137,0,1,$K$2))</f>
        <v>0</v>
      </c>
      <c r="AB137" s="1" t="n">
        <f aca="true">_xlfn.AGGREGATE(4,6,OFFSET($S$5,H137,0,1,$K$2))</f>
        <v>0</v>
      </c>
      <c r="AC137" s="1" t="n">
        <f aca="false">AB137-AA137</f>
        <v>0</v>
      </c>
      <c r="AD137" s="1" t="e">
        <f aca="true">_xlfn.AGGREGATE(1,6,OFFSET($S$5,H137,0,1,$K$2))</f>
        <v>#DIV/0!</v>
      </c>
    </row>
    <row r="138" customFormat="false" ht="14.25" hidden="false" customHeight="false" outlineLevel="0" collapsed="false">
      <c r="H138" s="1" t="n">
        <f aca="false">H137+1</f>
        <v>133</v>
      </c>
      <c r="I138" s="1" t="n">
        <f aca="false">WEEKDAY('daily graphs'!K138)</f>
        <v>6</v>
      </c>
      <c r="J138" s="1" t="n">
        <f aca="false">DAY(L138)</f>
        <v>6</v>
      </c>
      <c r="K138" s="1" t="n">
        <f aca="false">MONTH(L138)</f>
        <v>5</v>
      </c>
      <c r="L138" s="23" t="n">
        <f aca="false">'daily graphs'!K138 - I138</f>
        <v>36652</v>
      </c>
      <c r="M138" s="24" t="n">
        <f aca="true">IF(TODAY()&lt;DATE($O$5,K138,J138),1000000,-1000000)</f>
        <v>-1000000</v>
      </c>
      <c r="N138" s="24" t="e">
        <f aca="false">IF(M138&gt;0,INDEX(big_daily_table,MATCH(DATE(O$5,$K138,$J138),daily_dates,0),MATCH($B$3,daily_items,0)),NA())</f>
        <v>#N/A</v>
      </c>
      <c r="O138" s="1" t="e">
        <f aca="false">IF(M138&lt;0,INDEX(big_daily_table,MATCH(DATE(O$5,$K138,$J138),daily_dates,0),MATCH($B$3,daily_items,0)),NA())</f>
        <v>#N/A</v>
      </c>
      <c r="P138" s="1" t="e">
        <f aca="false">IF(ISBLANK(INDEX(big_daily_table,MATCH(DATE(P$5,$K138,$J138),daily_dates,0),MATCH($B$3,daily_items,0))),NA(),INDEX(big_daily_table,MATCH(DATE(P$5,$K138,$J138),daily_dates,0),MATCH($B$3,daily_items,0)))</f>
        <v>#N/A</v>
      </c>
      <c r="Q138" s="1" t="e">
        <f aca="false">IF(ISBLANK(INDEX(big_daily_table,MATCH(DATE(Q$5,$K138,$J138),daily_dates,0),MATCH($B$3,daily_items,0))),NA(),INDEX(big_daily_table,MATCH(DATE(Q$5,$K138,$J138),daily_dates,0),MATCH($B$3,daily_items,0)))</f>
        <v>#N/A</v>
      </c>
      <c r="R138" s="1" t="e">
        <f aca="false">IF(ISBLANK(INDEX(big_daily_table,MATCH(DATE(R$5,$K138,$J138),daily_dates,0),MATCH($B$3,daily_items,0))),NA(),INDEX(big_daily_table,MATCH(DATE(R$5,$K138,$J138),daily_dates,0),MATCH($B$3,daily_items,0)))</f>
        <v>#N/A</v>
      </c>
      <c r="S138" s="1" t="e">
        <f aca="false">IF(ISBLANK(INDEX(big_daily_table,MATCH(DATE(S$5,$K138,$J138),daily_dates,0),MATCH($B$3,daily_items,0))),NA(),INDEX(big_daily_table,MATCH(DATE(S$5,$K138,$J138),daily_dates,0),MATCH($B$3,daily_items,0)))</f>
        <v>#N/A</v>
      </c>
      <c r="T138" s="1" t="e">
        <f aca="false">IF(ISBLANK(INDEX(big_daily_table,MATCH(DATE(T$5,$K138,$J138),daily_dates,0),MATCH($B$3,daily_items,0))),NA(),INDEX(big_daily_table,MATCH(DATE(T$5,$K138,$J138),daily_dates,0),MATCH($B$3,daily_items,0)))</f>
        <v>#N/A</v>
      </c>
      <c r="U138" s="1" t="e">
        <f aca="false">IF(ISBLANK(INDEX(big_daily_table,MATCH(DATE(U$5,$K138,$J138),daily_dates,0),MATCH($B$3,daily_items,0))),NA(),INDEX(big_daily_table,MATCH(DATE(U$5,$K138,$J138),daily_dates,0),MATCH($B$3,daily_items,0)))</f>
        <v>#N/A</v>
      </c>
      <c r="V138" s="1" t="e">
        <f aca="false">IF(ISBLANK(INDEX(big_daily_table,MATCH(DATE(V$5,$K138,$J138),daily_dates,0),MATCH($B$3,daily_items,0))),NA(),INDEX(big_daily_table,MATCH(DATE(V$5,$K138,$J138),daily_dates,0),MATCH($B$3,daily_items,0)))</f>
        <v>#N/A</v>
      </c>
      <c r="W138" s="1" t="e">
        <f aca="false">IF(ISBLANK(INDEX(big_daily_table,MATCH(DATE(W$5,$K138,$J138),daily_dates,0),MATCH($B$3,daily_items,0))),NA(),INDEX(big_daily_table,MATCH(DATE(W$5,$K138,$J138),daily_dates,0),MATCH($B$3,daily_items,0)))</f>
        <v>#N/A</v>
      </c>
      <c r="X138" s="1" t="e">
        <f aca="false">IF(ISBLANK(INDEX(big_daily_table,MATCH(DATE(X$5,$K138,$J138),daily_dates,0),MATCH($B$3,daily_items,0))),NA(),INDEX(big_daily_table,MATCH(DATE(X$5,$K138,$J138),daily_dates,0),MATCH($B$3,daily_items,0)))</f>
        <v>#N/A</v>
      </c>
      <c r="Y138" s="1" t="e">
        <f aca="false">IF(ISBLANK(INDEX(big_daily_table,MATCH(DATE(Y$5,$K138,$J138),daily_dates,0),MATCH($B$3,daily_items,0))),NA(),INDEX(big_daily_table,MATCH(DATE(Y$5,$K138,$J138),daily_dates,0),MATCH($B$3,daily_items,0)))</f>
        <v>#N/A</v>
      </c>
      <c r="Z138" s="1" t="e">
        <f aca="false">IF(ISBLANK(INDEX(big_daily_table,MATCH(DATE(Z$5,$K138,$J138),daily_dates,0),MATCH($B$3,daily_items,0))),NA(),INDEX(big_daily_table,MATCH(DATE(Z$5,$K138,$J138),daily_dates,0),MATCH($B$3,daily_items,0)))</f>
        <v>#N/A</v>
      </c>
      <c r="AA138" s="1" t="n">
        <f aca="true">_xlfn.AGGREGATE(5,6,OFFSET($S$5,H138,0,1,$K$2))</f>
        <v>0</v>
      </c>
      <c r="AB138" s="1" t="n">
        <f aca="true">_xlfn.AGGREGATE(4,6,OFFSET($S$5,H138,0,1,$K$2))</f>
        <v>0</v>
      </c>
      <c r="AC138" s="1" t="n">
        <f aca="false">AB138-AA138</f>
        <v>0</v>
      </c>
      <c r="AD138" s="1" t="e">
        <f aca="true">_xlfn.AGGREGATE(1,6,OFFSET($S$5,H138,0,1,$K$2))</f>
        <v>#DIV/0!</v>
      </c>
    </row>
    <row r="139" customFormat="false" ht="14.25" hidden="false" customHeight="false" outlineLevel="0" collapsed="false">
      <c r="H139" s="1" t="n">
        <f aca="false">H138+1</f>
        <v>134</v>
      </c>
      <c r="I139" s="1" t="n">
        <f aca="false">WEEKDAY('daily graphs'!K139)</f>
        <v>7</v>
      </c>
      <c r="J139" s="1" t="n">
        <f aca="false">DAY(L139)</f>
        <v>6</v>
      </c>
      <c r="K139" s="1" t="n">
        <f aca="false">MONTH(L139)</f>
        <v>5</v>
      </c>
      <c r="L139" s="23" t="n">
        <f aca="false">'daily graphs'!K139 - I139</f>
        <v>36652</v>
      </c>
      <c r="M139" s="24" t="n">
        <f aca="true">IF(TODAY()&lt;DATE($O$5,K139,J139),1000000,-1000000)</f>
        <v>-1000000</v>
      </c>
      <c r="N139" s="24" t="e">
        <f aca="false">IF(M139&gt;0,INDEX(big_daily_table,MATCH(DATE(O$5,$K139,$J139),daily_dates,0),MATCH($B$3,daily_items,0)),NA())</f>
        <v>#N/A</v>
      </c>
      <c r="O139" s="1" t="e">
        <f aca="false">IF(M139&lt;0,INDEX(big_daily_table,MATCH(DATE(O$5,$K139,$J139),daily_dates,0),MATCH($B$3,daily_items,0)),NA())</f>
        <v>#N/A</v>
      </c>
      <c r="P139" s="1" t="e">
        <f aca="false">IF(ISBLANK(INDEX(big_daily_table,MATCH(DATE(P$5,$K139,$J139),daily_dates,0),MATCH($B$3,daily_items,0))),NA(),INDEX(big_daily_table,MATCH(DATE(P$5,$K139,$J139),daily_dates,0),MATCH($B$3,daily_items,0)))</f>
        <v>#N/A</v>
      </c>
      <c r="Q139" s="1" t="e">
        <f aca="false">IF(ISBLANK(INDEX(big_daily_table,MATCH(DATE(Q$5,$K139,$J139),daily_dates,0),MATCH($B$3,daily_items,0))),NA(),INDEX(big_daily_table,MATCH(DATE(Q$5,$K139,$J139),daily_dates,0),MATCH($B$3,daily_items,0)))</f>
        <v>#N/A</v>
      </c>
      <c r="R139" s="1" t="e">
        <f aca="false">IF(ISBLANK(INDEX(big_daily_table,MATCH(DATE(R$5,$K139,$J139),daily_dates,0),MATCH($B$3,daily_items,0))),NA(),INDEX(big_daily_table,MATCH(DATE(R$5,$K139,$J139),daily_dates,0),MATCH($B$3,daily_items,0)))</f>
        <v>#N/A</v>
      </c>
      <c r="S139" s="1" t="e">
        <f aca="false">IF(ISBLANK(INDEX(big_daily_table,MATCH(DATE(S$5,$K139,$J139),daily_dates,0),MATCH($B$3,daily_items,0))),NA(),INDEX(big_daily_table,MATCH(DATE(S$5,$K139,$J139),daily_dates,0),MATCH($B$3,daily_items,0)))</f>
        <v>#N/A</v>
      </c>
      <c r="T139" s="1" t="e">
        <f aca="false">IF(ISBLANK(INDEX(big_daily_table,MATCH(DATE(T$5,$K139,$J139),daily_dates,0),MATCH($B$3,daily_items,0))),NA(),INDEX(big_daily_table,MATCH(DATE(T$5,$K139,$J139),daily_dates,0),MATCH($B$3,daily_items,0)))</f>
        <v>#N/A</v>
      </c>
      <c r="U139" s="1" t="e">
        <f aca="false">IF(ISBLANK(INDEX(big_daily_table,MATCH(DATE(U$5,$K139,$J139),daily_dates,0),MATCH($B$3,daily_items,0))),NA(),INDEX(big_daily_table,MATCH(DATE(U$5,$K139,$J139),daily_dates,0),MATCH($B$3,daily_items,0)))</f>
        <v>#N/A</v>
      </c>
      <c r="V139" s="1" t="e">
        <f aca="false">IF(ISBLANK(INDEX(big_daily_table,MATCH(DATE(V$5,$K139,$J139),daily_dates,0),MATCH($B$3,daily_items,0))),NA(),INDEX(big_daily_table,MATCH(DATE(V$5,$K139,$J139),daily_dates,0),MATCH($B$3,daily_items,0)))</f>
        <v>#N/A</v>
      </c>
      <c r="W139" s="1" t="e">
        <f aca="false">IF(ISBLANK(INDEX(big_daily_table,MATCH(DATE(W$5,$K139,$J139),daily_dates,0),MATCH($B$3,daily_items,0))),NA(),INDEX(big_daily_table,MATCH(DATE(W$5,$K139,$J139),daily_dates,0),MATCH($B$3,daily_items,0)))</f>
        <v>#N/A</v>
      </c>
      <c r="X139" s="1" t="e">
        <f aca="false">IF(ISBLANK(INDEX(big_daily_table,MATCH(DATE(X$5,$K139,$J139),daily_dates,0),MATCH($B$3,daily_items,0))),NA(),INDEX(big_daily_table,MATCH(DATE(X$5,$K139,$J139),daily_dates,0),MATCH($B$3,daily_items,0)))</f>
        <v>#N/A</v>
      </c>
      <c r="Y139" s="1" t="e">
        <f aca="false">IF(ISBLANK(INDEX(big_daily_table,MATCH(DATE(Y$5,$K139,$J139),daily_dates,0),MATCH($B$3,daily_items,0))),NA(),INDEX(big_daily_table,MATCH(DATE(Y$5,$K139,$J139),daily_dates,0),MATCH($B$3,daily_items,0)))</f>
        <v>#N/A</v>
      </c>
      <c r="Z139" s="1" t="e">
        <f aca="false">IF(ISBLANK(INDEX(big_daily_table,MATCH(DATE(Z$5,$K139,$J139),daily_dates,0),MATCH($B$3,daily_items,0))),NA(),INDEX(big_daily_table,MATCH(DATE(Z$5,$K139,$J139),daily_dates,0),MATCH($B$3,daily_items,0)))</f>
        <v>#N/A</v>
      </c>
      <c r="AA139" s="1" t="n">
        <f aca="true">_xlfn.AGGREGATE(5,6,OFFSET($S$5,H139,0,1,$K$2))</f>
        <v>0</v>
      </c>
      <c r="AB139" s="1" t="n">
        <f aca="true">_xlfn.AGGREGATE(4,6,OFFSET($S$5,H139,0,1,$K$2))</f>
        <v>0</v>
      </c>
      <c r="AC139" s="1" t="n">
        <f aca="false">AB139-AA139</f>
        <v>0</v>
      </c>
      <c r="AD139" s="1" t="e">
        <f aca="true">_xlfn.AGGREGATE(1,6,OFFSET($S$5,H139,0,1,$K$2))</f>
        <v>#DIV/0!</v>
      </c>
    </row>
    <row r="140" customFormat="false" ht="14.25" hidden="false" customHeight="false" outlineLevel="0" collapsed="false">
      <c r="H140" s="1" t="n">
        <f aca="false">H139+1</f>
        <v>135</v>
      </c>
      <c r="I140" s="1" t="n">
        <f aca="false">WEEKDAY('daily graphs'!K140)</f>
        <v>1</v>
      </c>
      <c r="J140" s="1" t="n">
        <f aca="false">DAY(L140)</f>
        <v>13</v>
      </c>
      <c r="K140" s="1" t="n">
        <f aca="false">MONTH(L140)</f>
        <v>5</v>
      </c>
      <c r="L140" s="23" t="n">
        <f aca="false">'daily graphs'!K140 - I140</f>
        <v>36659</v>
      </c>
      <c r="M140" s="24" t="n">
        <f aca="true">IF(TODAY()&lt;DATE($O$5,K140,J140),1000000,-1000000)</f>
        <v>-1000000</v>
      </c>
      <c r="N140" s="24" t="e">
        <f aca="false">IF(M140&gt;0,INDEX(big_daily_table,MATCH(DATE(O$5,$K140,$J140),daily_dates,0),MATCH($B$3,daily_items,0)),NA())</f>
        <v>#N/A</v>
      </c>
      <c r="O140" s="1" t="e">
        <f aca="false">IF(M140&lt;0,INDEX(big_daily_table,MATCH(DATE(O$5,$K140,$J140),daily_dates,0),MATCH($B$3,daily_items,0)),NA())</f>
        <v>#N/A</v>
      </c>
      <c r="P140" s="1" t="e">
        <f aca="false">IF(ISBLANK(INDEX(big_daily_table,MATCH(DATE(P$5,$K140,$J140),daily_dates,0),MATCH($B$3,daily_items,0))),NA(),INDEX(big_daily_table,MATCH(DATE(P$5,$K140,$J140),daily_dates,0),MATCH($B$3,daily_items,0)))</f>
        <v>#N/A</v>
      </c>
      <c r="Q140" s="1" t="e">
        <f aca="false">IF(ISBLANK(INDEX(big_daily_table,MATCH(DATE(Q$5,$K140,$J140),daily_dates,0),MATCH($B$3,daily_items,0))),NA(),INDEX(big_daily_table,MATCH(DATE(Q$5,$K140,$J140),daily_dates,0),MATCH($B$3,daily_items,0)))</f>
        <v>#N/A</v>
      </c>
      <c r="R140" s="1" t="e">
        <f aca="false">IF(ISBLANK(INDEX(big_daily_table,MATCH(DATE(R$5,$K140,$J140),daily_dates,0),MATCH($B$3,daily_items,0))),NA(),INDEX(big_daily_table,MATCH(DATE(R$5,$K140,$J140),daily_dates,0),MATCH($B$3,daily_items,0)))</f>
        <v>#N/A</v>
      </c>
      <c r="S140" s="1" t="e">
        <f aca="false">IF(ISBLANK(INDEX(big_daily_table,MATCH(DATE(S$5,$K140,$J140),daily_dates,0),MATCH($B$3,daily_items,0))),NA(),INDEX(big_daily_table,MATCH(DATE(S$5,$K140,$J140),daily_dates,0),MATCH($B$3,daily_items,0)))</f>
        <v>#N/A</v>
      </c>
      <c r="T140" s="1" t="e">
        <f aca="false">IF(ISBLANK(INDEX(big_daily_table,MATCH(DATE(T$5,$K140,$J140),daily_dates,0),MATCH($B$3,daily_items,0))),NA(),INDEX(big_daily_table,MATCH(DATE(T$5,$K140,$J140),daily_dates,0),MATCH($B$3,daily_items,0)))</f>
        <v>#N/A</v>
      </c>
      <c r="U140" s="1" t="e">
        <f aca="false">IF(ISBLANK(INDEX(big_daily_table,MATCH(DATE(U$5,$K140,$J140),daily_dates,0),MATCH($B$3,daily_items,0))),NA(),INDEX(big_daily_table,MATCH(DATE(U$5,$K140,$J140),daily_dates,0),MATCH($B$3,daily_items,0)))</f>
        <v>#N/A</v>
      </c>
      <c r="V140" s="1" t="e">
        <f aca="false">IF(ISBLANK(INDEX(big_daily_table,MATCH(DATE(V$5,$K140,$J140),daily_dates,0),MATCH($B$3,daily_items,0))),NA(),INDEX(big_daily_table,MATCH(DATE(V$5,$K140,$J140),daily_dates,0),MATCH($B$3,daily_items,0)))</f>
        <v>#N/A</v>
      </c>
      <c r="W140" s="1" t="e">
        <f aca="false">IF(ISBLANK(INDEX(big_daily_table,MATCH(DATE(W$5,$K140,$J140),daily_dates,0),MATCH($B$3,daily_items,0))),NA(),INDEX(big_daily_table,MATCH(DATE(W$5,$K140,$J140),daily_dates,0),MATCH($B$3,daily_items,0)))</f>
        <v>#N/A</v>
      </c>
      <c r="X140" s="1" t="e">
        <f aca="false">IF(ISBLANK(INDEX(big_daily_table,MATCH(DATE(X$5,$K140,$J140),daily_dates,0),MATCH($B$3,daily_items,0))),NA(),INDEX(big_daily_table,MATCH(DATE(X$5,$K140,$J140),daily_dates,0),MATCH($B$3,daily_items,0)))</f>
        <v>#N/A</v>
      </c>
      <c r="Y140" s="1" t="e">
        <f aca="false">IF(ISBLANK(INDEX(big_daily_table,MATCH(DATE(Y$5,$K140,$J140),daily_dates,0),MATCH($B$3,daily_items,0))),NA(),INDEX(big_daily_table,MATCH(DATE(Y$5,$K140,$J140),daily_dates,0),MATCH($B$3,daily_items,0)))</f>
        <v>#N/A</v>
      </c>
      <c r="Z140" s="1" t="e">
        <f aca="false">IF(ISBLANK(INDEX(big_daily_table,MATCH(DATE(Z$5,$K140,$J140),daily_dates,0),MATCH($B$3,daily_items,0))),NA(),INDEX(big_daily_table,MATCH(DATE(Z$5,$K140,$J140),daily_dates,0),MATCH($B$3,daily_items,0)))</f>
        <v>#N/A</v>
      </c>
      <c r="AA140" s="1" t="n">
        <f aca="true">_xlfn.AGGREGATE(5,6,OFFSET($S$5,H140,0,1,$K$2))</f>
        <v>0</v>
      </c>
      <c r="AB140" s="1" t="n">
        <f aca="true">_xlfn.AGGREGATE(4,6,OFFSET($S$5,H140,0,1,$K$2))</f>
        <v>0</v>
      </c>
      <c r="AC140" s="1" t="n">
        <f aca="false">AB140-AA140</f>
        <v>0</v>
      </c>
      <c r="AD140" s="1" t="e">
        <f aca="true">_xlfn.AGGREGATE(1,6,OFFSET($S$5,H140,0,1,$K$2))</f>
        <v>#DIV/0!</v>
      </c>
    </row>
    <row r="141" customFormat="false" ht="14.25" hidden="false" customHeight="false" outlineLevel="0" collapsed="false">
      <c r="H141" s="1" t="n">
        <f aca="false">H140+1</f>
        <v>136</v>
      </c>
      <c r="I141" s="1" t="n">
        <f aca="false">WEEKDAY('daily graphs'!K141)</f>
        <v>2</v>
      </c>
      <c r="J141" s="1" t="n">
        <f aca="false">DAY(L141)</f>
        <v>13</v>
      </c>
      <c r="K141" s="1" t="n">
        <f aca="false">MONTH(L141)</f>
        <v>5</v>
      </c>
      <c r="L141" s="23" t="n">
        <f aca="false">'daily graphs'!K141 - I141</f>
        <v>36659</v>
      </c>
      <c r="M141" s="24" t="n">
        <f aca="true">IF(TODAY()&lt;DATE($O$5,K141,J141),1000000,-1000000)</f>
        <v>-1000000</v>
      </c>
      <c r="N141" s="24" t="e">
        <f aca="false">IF(M141&gt;0,INDEX(big_daily_table,MATCH(DATE(O$5,$K141,$J141),daily_dates,0),MATCH($B$3,daily_items,0)),NA())</f>
        <v>#N/A</v>
      </c>
      <c r="O141" s="1" t="e">
        <f aca="false">IF(M141&lt;0,INDEX(big_daily_table,MATCH(DATE(O$5,$K141,$J141),daily_dates,0),MATCH($B$3,daily_items,0)),NA())</f>
        <v>#N/A</v>
      </c>
      <c r="P141" s="1" t="e">
        <f aca="false">IF(ISBLANK(INDEX(big_daily_table,MATCH(DATE(P$5,$K141,$J141),daily_dates,0),MATCH($B$3,daily_items,0))),NA(),INDEX(big_daily_table,MATCH(DATE(P$5,$K141,$J141),daily_dates,0),MATCH($B$3,daily_items,0)))</f>
        <v>#N/A</v>
      </c>
      <c r="Q141" s="1" t="e">
        <f aca="false">IF(ISBLANK(INDEX(big_daily_table,MATCH(DATE(Q$5,$K141,$J141),daily_dates,0),MATCH($B$3,daily_items,0))),NA(),INDEX(big_daily_table,MATCH(DATE(Q$5,$K141,$J141),daily_dates,0),MATCH($B$3,daily_items,0)))</f>
        <v>#N/A</v>
      </c>
      <c r="R141" s="1" t="e">
        <f aca="false">IF(ISBLANK(INDEX(big_daily_table,MATCH(DATE(R$5,$K141,$J141),daily_dates,0),MATCH($B$3,daily_items,0))),NA(),INDEX(big_daily_table,MATCH(DATE(R$5,$K141,$J141),daily_dates,0),MATCH($B$3,daily_items,0)))</f>
        <v>#N/A</v>
      </c>
      <c r="S141" s="1" t="e">
        <f aca="false">IF(ISBLANK(INDEX(big_daily_table,MATCH(DATE(S$5,$K141,$J141),daily_dates,0),MATCH($B$3,daily_items,0))),NA(),INDEX(big_daily_table,MATCH(DATE(S$5,$K141,$J141),daily_dates,0),MATCH($B$3,daily_items,0)))</f>
        <v>#N/A</v>
      </c>
      <c r="T141" s="1" t="e">
        <f aca="false">IF(ISBLANK(INDEX(big_daily_table,MATCH(DATE(T$5,$K141,$J141),daily_dates,0),MATCH($B$3,daily_items,0))),NA(),INDEX(big_daily_table,MATCH(DATE(T$5,$K141,$J141),daily_dates,0),MATCH($B$3,daily_items,0)))</f>
        <v>#N/A</v>
      </c>
      <c r="U141" s="1" t="e">
        <f aca="false">IF(ISBLANK(INDEX(big_daily_table,MATCH(DATE(U$5,$K141,$J141),daily_dates,0),MATCH($B$3,daily_items,0))),NA(),INDEX(big_daily_table,MATCH(DATE(U$5,$K141,$J141),daily_dates,0),MATCH($B$3,daily_items,0)))</f>
        <v>#N/A</v>
      </c>
      <c r="V141" s="1" t="e">
        <f aca="false">IF(ISBLANK(INDEX(big_daily_table,MATCH(DATE(V$5,$K141,$J141),daily_dates,0),MATCH($B$3,daily_items,0))),NA(),INDEX(big_daily_table,MATCH(DATE(V$5,$K141,$J141),daily_dates,0),MATCH($B$3,daily_items,0)))</f>
        <v>#N/A</v>
      </c>
      <c r="W141" s="1" t="e">
        <f aca="false">IF(ISBLANK(INDEX(big_daily_table,MATCH(DATE(W$5,$K141,$J141),daily_dates,0),MATCH($B$3,daily_items,0))),NA(),INDEX(big_daily_table,MATCH(DATE(W$5,$K141,$J141),daily_dates,0),MATCH($B$3,daily_items,0)))</f>
        <v>#N/A</v>
      </c>
      <c r="X141" s="1" t="e">
        <f aca="false">IF(ISBLANK(INDEX(big_daily_table,MATCH(DATE(X$5,$K141,$J141),daily_dates,0),MATCH($B$3,daily_items,0))),NA(),INDEX(big_daily_table,MATCH(DATE(X$5,$K141,$J141),daily_dates,0),MATCH($B$3,daily_items,0)))</f>
        <v>#N/A</v>
      </c>
      <c r="Y141" s="1" t="e">
        <f aca="false">IF(ISBLANK(INDEX(big_daily_table,MATCH(DATE(Y$5,$K141,$J141),daily_dates,0),MATCH($B$3,daily_items,0))),NA(),INDEX(big_daily_table,MATCH(DATE(Y$5,$K141,$J141),daily_dates,0),MATCH($B$3,daily_items,0)))</f>
        <v>#N/A</v>
      </c>
      <c r="Z141" s="1" t="e">
        <f aca="false">IF(ISBLANK(INDEX(big_daily_table,MATCH(DATE(Z$5,$K141,$J141),daily_dates,0),MATCH($B$3,daily_items,0))),NA(),INDEX(big_daily_table,MATCH(DATE(Z$5,$K141,$J141),daily_dates,0),MATCH($B$3,daily_items,0)))</f>
        <v>#N/A</v>
      </c>
      <c r="AA141" s="1" t="n">
        <f aca="true">_xlfn.AGGREGATE(5,6,OFFSET($S$5,H141,0,1,$K$2))</f>
        <v>0</v>
      </c>
      <c r="AB141" s="1" t="n">
        <f aca="true">_xlfn.AGGREGATE(4,6,OFFSET($S$5,H141,0,1,$K$2))</f>
        <v>0</v>
      </c>
      <c r="AC141" s="1" t="n">
        <f aca="false">AB141-AA141</f>
        <v>0</v>
      </c>
      <c r="AD141" s="1" t="e">
        <f aca="true">_xlfn.AGGREGATE(1,6,OFFSET($S$5,H141,0,1,$K$2))</f>
        <v>#DIV/0!</v>
      </c>
    </row>
    <row r="142" customFormat="false" ht="14.25" hidden="false" customHeight="false" outlineLevel="0" collapsed="false">
      <c r="H142" s="1" t="n">
        <f aca="false">H141+1</f>
        <v>137</v>
      </c>
      <c r="I142" s="1" t="n">
        <f aca="false">WEEKDAY('daily graphs'!K142)</f>
        <v>3</v>
      </c>
      <c r="J142" s="1" t="n">
        <f aca="false">DAY(L142)</f>
        <v>13</v>
      </c>
      <c r="K142" s="1" t="n">
        <f aca="false">MONTH(L142)</f>
        <v>5</v>
      </c>
      <c r="L142" s="23" t="n">
        <f aca="false">'daily graphs'!K142 - I142</f>
        <v>36659</v>
      </c>
      <c r="M142" s="24" t="n">
        <f aca="true">IF(TODAY()&lt;DATE($O$5,K142,J142),1000000,-1000000)</f>
        <v>-1000000</v>
      </c>
      <c r="N142" s="24" t="e">
        <f aca="false">IF(M142&gt;0,INDEX(big_daily_table,MATCH(DATE(O$5,$K142,$J142),daily_dates,0),MATCH($B$3,daily_items,0)),NA())</f>
        <v>#N/A</v>
      </c>
      <c r="O142" s="1" t="e">
        <f aca="false">IF(M142&lt;0,INDEX(big_daily_table,MATCH(DATE(O$5,$K142,$J142),daily_dates,0),MATCH($B$3,daily_items,0)),NA())</f>
        <v>#N/A</v>
      </c>
      <c r="P142" s="1" t="e">
        <f aca="false">IF(ISBLANK(INDEX(big_daily_table,MATCH(DATE(P$5,$K142,$J142),daily_dates,0),MATCH($B$3,daily_items,0))),NA(),INDEX(big_daily_table,MATCH(DATE(P$5,$K142,$J142),daily_dates,0),MATCH($B$3,daily_items,0)))</f>
        <v>#N/A</v>
      </c>
      <c r="Q142" s="1" t="e">
        <f aca="false">IF(ISBLANK(INDEX(big_daily_table,MATCH(DATE(Q$5,$K142,$J142),daily_dates,0),MATCH($B$3,daily_items,0))),NA(),INDEX(big_daily_table,MATCH(DATE(Q$5,$K142,$J142),daily_dates,0),MATCH($B$3,daily_items,0)))</f>
        <v>#N/A</v>
      </c>
      <c r="R142" s="1" t="e">
        <f aca="false">IF(ISBLANK(INDEX(big_daily_table,MATCH(DATE(R$5,$K142,$J142),daily_dates,0),MATCH($B$3,daily_items,0))),NA(),INDEX(big_daily_table,MATCH(DATE(R$5,$K142,$J142),daily_dates,0),MATCH($B$3,daily_items,0)))</f>
        <v>#N/A</v>
      </c>
      <c r="S142" s="1" t="e">
        <f aca="false">IF(ISBLANK(INDEX(big_daily_table,MATCH(DATE(S$5,$K142,$J142),daily_dates,0),MATCH($B$3,daily_items,0))),NA(),INDEX(big_daily_table,MATCH(DATE(S$5,$K142,$J142),daily_dates,0),MATCH($B$3,daily_items,0)))</f>
        <v>#N/A</v>
      </c>
      <c r="T142" s="1" t="e">
        <f aca="false">IF(ISBLANK(INDEX(big_daily_table,MATCH(DATE(T$5,$K142,$J142),daily_dates,0),MATCH($B$3,daily_items,0))),NA(),INDEX(big_daily_table,MATCH(DATE(T$5,$K142,$J142),daily_dates,0),MATCH($B$3,daily_items,0)))</f>
        <v>#N/A</v>
      </c>
      <c r="U142" s="1" t="e">
        <f aca="false">IF(ISBLANK(INDEX(big_daily_table,MATCH(DATE(U$5,$K142,$J142),daily_dates,0),MATCH($B$3,daily_items,0))),NA(),INDEX(big_daily_table,MATCH(DATE(U$5,$K142,$J142),daily_dates,0),MATCH($B$3,daily_items,0)))</f>
        <v>#N/A</v>
      </c>
      <c r="V142" s="1" t="e">
        <f aca="false">IF(ISBLANK(INDEX(big_daily_table,MATCH(DATE(V$5,$K142,$J142),daily_dates,0),MATCH($B$3,daily_items,0))),NA(),INDEX(big_daily_table,MATCH(DATE(V$5,$K142,$J142),daily_dates,0),MATCH($B$3,daily_items,0)))</f>
        <v>#N/A</v>
      </c>
      <c r="W142" s="1" t="e">
        <f aca="false">IF(ISBLANK(INDEX(big_daily_table,MATCH(DATE(W$5,$K142,$J142),daily_dates,0),MATCH($B$3,daily_items,0))),NA(),INDEX(big_daily_table,MATCH(DATE(W$5,$K142,$J142),daily_dates,0),MATCH($B$3,daily_items,0)))</f>
        <v>#N/A</v>
      </c>
      <c r="X142" s="1" t="e">
        <f aca="false">IF(ISBLANK(INDEX(big_daily_table,MATCH(DATE(X$5,$K142,$J142),daily_dates,0),MATCH($B$3,daily_items,0))),NA(),INDEX(big_daily_table,MATCH(DATE(X$5,$K142,$J142),daily_dates,0),MATCH($B$3,daily_items,0)))</f>
        <v>#N/A</v>
      </c>
      <c r="Y142" s="1" t="e">
        <f aca="false">IF(ISBLANK(INDEX(big_daily_table,MATCH(DATE(Y$5,$K142,$J142),daily_dates,0),MATCH($B$3,daily_items,0))),NA(),INDEX(big_daily_table,MATCH(DATE(Y$5,$K142,$J142),daily_dates,0),MATCH($B$3,daily_items,0)))</f>
        <v>#N/A</v>
      </c>
      <c r="Z142" s="1" t="e">
        <f aca="false">IF(ISBLANK(INDEX(big_daily_table,MATCH(DATE(Z$5,$K142,$J142),daily_dates,0),MATCH($B$3,daily_items,0))),NA(),INDEX(big_daily_table,MATCH(DATE(Z$5,$K142,$J142),daily_dates,0),MATCH($B$3,daily_items,0)))</f>
        <v>#N/A</v>
      </c>
      <c r="AA142" s="1" t="n">
        <f aca="true">_xlfn.AGGREGATE(5,6,OFFSET($S$5,H142,0,1,$K$2))</f>
        <v>0</v>
      </c>
      <c r="AB142" s="1" t="n">
        <f aca="true">_xlfn.AGGREGATE(4,6,OFFSET($S$5,H142,0,1,$K$2))</f>
        <v>0</v>
      </c>
      <c r="AC142" s="1" t="n">
        <f aca="false">AB142-AA142</f>
        <v>0</v>
      </c>
      <c r="AD142" s="1" t="e">
        <f aca="true">_xlfn.AGGREGATE(1,6,OFFSET($S$5,H142,0,1,$K$2))</f>
        <v>#DIV/0!</v>
      </c>
    </row>
    <row r="143" customFormat="false" ht="14.25" hidden="false" customHeight="false" outlineLevel="0" collapsed="false">
      <c r="H143" s="1" t="n">
        <f aca="false">H142+1</f>
        <v>138</v>
      </c>
      <c r="I143" s="1" t="n">
        <f aca="false">WEEKDAY('daily graphs'!K143)</f>
        <v>4</v>
      </c>
      <c r="J143" s="1" t="n">
        <f aca="false">DAY(L143)</f>
        <v>13</v>
      </c>
      <c r="K143" s="1" t="n">
        <f aca="false">MONTH(L143)</f>
        <v>5</v>
      </c>
      <c r="L143" s="23" t="n">
        <f aca="false">'daily graphs'!K143 - I143</f>
        <v>36659</v>
      </c>
      <c r="M143" s="24" t="n">
        <f aca="true">IF(TODAY()&lt;DATE($O$5,K143,J143),1000000,-1000000)</f>
        <v>-1000000</v>
      </c>
      <c r="N143" s="24" t="e">
        <f aca="false">IF(M143&gt;0,INDEX(big_daily_table,MATCH(DATE(O$5,$K143,$J143),daily_dates,0),MATCH($B$3,daily_items,0)),NA())</f>
        <v>#N/A</v>
      </c>
      <c r="O143" s="1" t="e">
        <f aca="false">IF(M143&lt;0,INDEX(big_daily_table,MATCH(DATE(O$5,$K143,$J143),daily_dates,0),MATCH($B$3,daily_items,0)),NA())</f>
        <v>#N/A</v>
      </c>
      <c r="P143" s="1" t="e">
        <f aca="false">IF(ISBLANK(INDEX(big_daily_table,MATCH(DATE(P$5,$K143,$J143),daily_dates,0),MATCH($B$3,daily_items,0))),NA(),INDEX(big_daily_table,MATCH(DATE(P$5,$K143,$J143),daily_dates,0),MATCH($B$3,daily_items,0)))</f>
        <v>#N/A</v>
      </c>
      <c r="Q143" s="1" t="e">
        <f aca="false">IF(ISBLANK(INDEX(big_daily_table,MATCH(DATE(Q$5,$K143,$J143),daily_dates,0),MATCH($B$3,daily_items,0))),NA(),INDEX(big_daily_table,MATCH(DATE(Q$5,$K143,$J143),daily_dates,0),MATCH($B$3,daily_items,0)))</f>
        <v>#N/A</v>
      </c>
      <c r="R143" s="1" t="e">
        <f aca="false">IF(ISBLANK(INDEX(big_daily_table,MATCH(DATE(R$5,$K143,$J143),daily_dates,0),MATCH($B$3,daily_items,0))),NA(),INDEX(big_daily_table,MATCH(DATE(R$5,$K143,$J143),daily_dates,0),MATCH($B$3,daily_items,0)))</f>
        <v>#N/A</v>
      </c>
      <c r="S143" s="1" t="e">
        <f aca="false">IF(ISBLANK(INDEX(big_daily_table,MATCH(DATE(S$5,$K143,$J143),daily_dates,0),MATCH($B$3,daily_items,0))),NA(),INDEX(big_daily_table,MATCH(DATE(S$5,$K143,$J143),daily_dates,0),MATCH($B$3,daily_items,0)))</f>
        <v>#N/A</v>
      </c>
      <c r="T143" s="1" t="e">
        <f aca="false">IF(ISBLANK(INDEX(big_daily_table,MATCH(DATE(T$5,$K143,$J143),daily_dates,0),MATCH($B$3,daily_items,0))),NA(),INDEX(big_daily_table,MATCH(DATE(T$5,$K143,$J143),daily_dates,0),MATCH($B$3,daily_items,0)))</f>
        <v>#N/A</v>
      </c>
      <c r="U143" s="1" t="e">
        <f aca="false">IF(ISBLANK(INDEX(big_daily_table,MATCH(DATE(U$5,$K143,$J143),daily_dates,0),MATCH($B$3,daily_items,0))),NA(),INDEX(big_daily_table,MATCH(DATE(U$5,$K143,$J143),daily_dates,0),MATCH($B$3,daily_items,0)))</f>
        <v>#N/A</v>
      </c>
      <c r="V143" s="1" t="e">
        <f aca="false">IF(ISBLANK(INDEX(big_daily_table,MATCH(DATE(V$5,$K143,$J143),daily_dates,0),MATCH($B$3,daily_items,0))),NA(),INDEX(big_daily_table,MATCH(DATE(V$5,$K143,$J143),daily_dates,0),MATCH($B$3,daily_items,0)))</f>
        <v>#N/A</v>
      </c>
      <c r="W143" s="1" t="e">
        <f aca="false">IF(ISBLANK(INDEX(big_daily_table,MATCH(DATE(W$5,$K143,$J143),daily_dates,0),MATCH($B$3,daily_items,0))),NA(),INDEX(big_daily_table,MATCH(DATE(W$5,$K143,$J143),daily_dates,0),MATCH($B$3,daily_items,0)))</f>
        <v>#N/A</v>
      </c>
      <c r="X143" s="1" t="e">
        <f aca="false">IF(ISBLANK(INDEX(big_daily_table,MATCH(DATE(X$5,$K143,$J143),daily_dates,0),MATCH($B$3,daily_items,0))),NA(),INDEX(big_daily_table,MATCH(DATE(X$5,$K143,$J143),daily_dates,0),MATCH($B$3,daily_items,0)))</f>
        <v>#N/A</v>
      </c>
      <c r="Y143" s="1" t="e">
        <f aca="false">IF(ISBLANK(INDEX(big_daily_table,MATCH(DATE(Y$5,$K143,$J143),daily_dates,0),MATCH($B$3,daily_items,0))),NA(),INDEX(big_daily_table,MATCH(DATE(Y$5,$K143,$J143),daily_dates,0),MATCH($B$3,daily_items,0)))</f>
        <v>#N/A</v>
      </c>
      <c r="Z143" s="1" t="e">
        <f aca="false">IF(ISBLANK(INDEX(big_daily_table,MATCH(DATE(Z$5,$K143,$J143),daily_dates,0),MATCH($B$3,daily_items,0))),NA(),INDEX(big_daily_table,MATCH(DATE(Z$5,$K143,$J143),daily_dates,0),MATCH($B$3,daily_items,0)))</f>
        <v>#N/A</v>
      </c>
      <c r="AA143" s="1" t="n">
        <f aca="true">_xlfn.AGGREGATE(5,6,OFFSET($S$5,H143,0,1,$K$2))</f>
        <v>0</v>
      </c>
      <c r="AB143" s="1" t="n">
        <f aca="true">_xlfn.AGGREGATE(4,6,OFFSET($S$5,H143,0,1,$K$2))</f>
        <v>0</v>
      </c>
      <c r="AC143" s="1" t="n">
        <f aca="false">AB143-AA143</f>
        <v>0</v>
      </c>
      <c r="AD143" s="1" t="e">
        <f aca="true">_xlfn.AGGREGATE(1,6,OFFSET($S$5,H143,0,1,$K$2))</f>
        <v>#DIV/0!</v>
      </c>
    </row>
    <row r="144" customFormat="false" ht="14.25" hidden="false" customHeight="false" outlineLevel="0" collapsed="false">
      <c r="H144" s="1" t="n">
        <f aca="false">H143+1</f>
        <v>139</v>
      </c>
      <c r="I144" s="1" t="n">
        <f aca="false">WEEKDAY('daily graphs'!K144)</f>
        <v>5</v>
      </c>
      <c r="J144" s="1" t="n">
        <f aca="false">DAY(L144)</f>
        <v>13</v>
      </c>
      <c r="K144" s="1" t="n">
        <f aca="false">MONTH(L144)</f>
        <v>5</v>
      </c>
      <c r="L144" s="23" t="n">
        <f aca="false">'daily graphs'!K144 - I144</f>
        <v>36659</v>
      </c>
      <c r="M144" s="24" t="n">
        <f aca="true">IF(TODAY()&lt;DATE($O$5,K144,J144),1000000,-1000000)</f>
        <v>-1000000</v>
      </c>
      <c r="N144" s="24" t="e">
        <f aca="false">IF(M144&gt;0,INDEX(big_daily_table,MATCH(DATE(O$5,$K144,$J144),daily_dates,0),MATCH($B$3,daily_items,0)),NA())</f>
        <v>#N/A</v>
      </c>
      <c r="O144" s="1" t="e">
        <f aca="false">IF(M144&lt;0,INDEX(big_daily_table,MATCH(DATE(O$5,$K144,$J144),daily_dates,0),MATCH($B$3,daily_items,0)),NA())</f>
        <v>#N/A</v>
      </c>
      <c r="P144" s="1" t="e">
        <f aca="false">IF(ISBLANK(INDEX(big_daily_table,MATCH(DATE(P$5,$K144,$J144),daily_dates,0),MATCH($B$3,daily_items,0))),NA(),INDEX(big_daily_table,MATCH(DATE(P$5,$K144,$J144),daily_dates,0),MATCH($B$3,daily_items,0)))</f>
        <v>#N/A</v>
      </c>
      <c r="Q144" s="1" t="e">
        <f aca="false">IF(ISBLANK(INDEX(big_daily_table,MATCH(DATE(Q$5,$K144,$J144),daily_dates,0),MATCH($B$3,daily_items,0))),NA(),INDEX(big_daily_table,MATCH(DATE(Q$5,$K144,$J144),daily_dates,0),MATCH($B$3,daily_items,0)))</f>
        <v>#N/A</v>
      </c>
      <c r="R144" s="1" t="e">
        <f aca="false">IF(ISBLANK(INDEX(big_daily_table,MATCH(DATE(R$5,$K144,$J144),daily_dates,0),MATCH($B$3,daily_items,0))),NA(),INDEX(big_daily_table,MATCH(DATE(R$5,$K144,$J144),daily_dates,0),MATCH($B$3,daily_items,0)))</f>
        <v>#N/A</v>
      </c>
      <c r="S144" s="1" t="e">
        <f aca="false">IF(ISBLANK(INDEX(big_daily_table,MATCH(DATE(S$5,$K144,$J144),daily_dates,0),MATCH($B$3,daily_items,0))),NA(),INDEX(big_daily_table,MATCH(DATE(S$5,$K144,$J144),daily_dates,0),MATCH($B$3,daily_items,0)))</f>
        <v>#N/A</v>
      </c>
      <c r="T144" s="1" t="e">
        <f aca="false">IF(ISBLANK(INDEX(big_daily_table,MATCH(DATE(T$5,$K144,$J144),daily_dates,0),MATCH($B$3,daily_items,0))),NA(),INDEX(big_daily_table,MATCH(DATE(T$5,$K144,$J144),daily_dates,0),MATCH($B$3,daily_items,0)))</f>
        <v>#N/A</v>
      </c>
      <c r="U144" s="1" t="e">
        <f aca="false">IF(ISBLANK(INDEX(big_daily_table,MATCH(DATE(U$5,$K144,$J144),daily_dates,0),MATCH($B$3,daily_items,0))),NA(),INDEX(big_daily_table,MATCH(DATE(U$5,$K144,$J144),daily_dates,0),MATCH($B$3,daily_items,0)))</f>
        <v>#N/A</v>
      </c>
      <c r="V144" s="1" t="e">
        <f aca="false">IF(ISBLANK(INDEX(big_daily_table,MATCH(DATE(V$5,$K144,$J144),daily_dates,0),MATCH($B$3,daily_items,0))),NA(),INDEX(big_daily_table,MATCH(DATE(V$5,$K144,$J144),daily_dates,0),MATCH($B$3,daily_items,0)))</f>
        <v>#N/A</v>
      </c>
      <c r="W144" s="1" t="e">
        <f aca="false">IF(ISBLANK(INDEX(big_daily_table,MATCH(DATE(W$5,$K144,$J144),daily_dates,0),MATCH($B$3,daily_items,0))),NA(),INDEX(big_daily_table,MATCH(DATE(W$5,$K144,$J144),daily_dates,0),MATCH($B$3,daily_items,0)))</f>
        <v>#N/A</v>
      </c>
      <c r="X144" s="1" t="e">
        <f aca="false">IF(ISBLANK(INDEX(big_daily_table,MATCH(DATE(X$5,$K144,$J144),daily_dates,0),MATCH($B$3,daily_items,0))),NA(),INDEX(big_daily_table,MATCH(DATE(X$5,$K144,$J144),daily_dates,0),MATCH($B$3,daily_items,0)))</f>
        <v>#N/A</v>
      </c>
      <c r="Y144" s="1" t="e">
        <f aca="false">IF(ISBLANK(INDEX(big_daily_table,MATCH(DATE(Y$5,$K144,$J144),daily_dates,0),MATCH($B$3,daily_items,0))),NA(),INDEX(big_daily_table,MATCH(DATE(Y$5,$K144,$J144),daily_dates,0),MATCH($B$3,daily_items,0)))</f>
        <v>#N/A</v>
      </c>
      <c r="Z144" s="1" t="e">
        <f aca="false">IF(ISBLANK(INDEX(big_daily_table,MATCH(DATE(Z$5,$K144,$J144),daily_dates,0),MATCH($B$3,daily_items,0))),NA(),INDEX(big_daily_table,MATCH(DATE(Z$5,$K144,$J144),daily_dates,0),MATCH($B$3,daily_items,0)))</f>
        <v>#N/A</v>
      </c>
      <c r="AA144" s="1" t="n">
        <f aca="true">_xlfn.AGGREGATE(5,6,OFFSET($S$5,H144,0,1,$K$2))</f>
        <v>0</v>
      </c>
      <c r="AB144" s="1" t="n">
        <f aca="true">_xlfn.AGGREGATE(4,6,OFFSET($S$5,H144,0,1,$K$2))</f>
        <v>0</v>
      </c>
      <c r="AC144" s="1" t="n">
        <f aca="false">AB144-AA144</f>
        <v>0</v>
      </c>
      <c r="AD144" s="1" t="e">
        <f aca="true">_xlfn.AGGREGATE(1,6,OFFSET($S$5,H144,0,1,$K$2))</f>
        <v>#DIV/0!</v>
      </c>
    </row>
    <row r="145" customFormat="false" ht="14.25" hidden="false" customHeight="false" outlineLevel="0" collapsed="false">
      <c r="H145" s="1" t="n">
        <f aca="false">H144+1</f>
        <v>140</v>
      </c>
      <c r="I145" s="1" t="n">
        <f aca="false">WEEKDAY('daily graphs'!K145)</f>
        <v>6</v>
      </c>
      <c r="J145" s="1" t="n">
        <f aca="false">DAY(L145)</f>
        <v>13</v>
      </c>
      <c r="K145" s="1" t="n">
        <f aca="false">MONTH(L145)</f>
        <v>5</v>
      </c>
      <c r="L145" s="23" t="n">
        <f aca="false">'daily graphs'!K145 - I145</f>
        <v>36659</v>
      </c>
      <c r="M145" s="24" t="n">
        <f aca="true">IF(TODAY()&lt;DATE($O$5,K145,J145),1000000,-1000000)</f>
        <v>-1000000</v>
      </c>
      <c r="N145" s="24" t="e">
        <f aca="false">IF(M145&gt;0,INDEX(big_daily_table,MATCH(DATE(O$5,$K145,$J145),daily_dates,0),MATCH($B$3,daily_items,0)),NA())</f>
        <v>#N/A</v>
      </c>
      <c r="O145" s="1" t="e">
        <f aca="false">IF(M145&lt;0,INDEX(big_daily_table,MATCH(DATE(O$5,$K145,$J145),daily_dates,0),MATCH($B$3,daily_items,0)),NA())</f>
        <v>#N/A</v>
      </c>
      <c r="P145" s="1" t="e">
        <f aca="false">IF(ISBLANK(INDEX(big_daily_table,MATCH(DATE(P$5,$K145,$J145),daily_dates,0),MATCH($B$3,daily_items,0))),NA(),INDEX(big_daily_table,MATCH(DATE(P$5,$K145,$J145),daily_dates,0),MATCH($B$3,daily_items,0)))</f>
        <v>#N/A</v>
      </c>
      <c r="Q145" s="1" t="e">
        <f aca="false">IF(ISBLANK(INDEX(big_daily_table,MATCH(DATE(Q$5,$K145,$J145),daily_dates,0),MATCH($B$3,daily_items,0))),NA(),INDEX(big_daily_table,MATCH(DATE(Q$5,$K145,$J145),daily_dates,0),MATCH($B$3,daily_items,0)))</f>
        <v>#N/A</v>
      </c>
      <c r="R145" s="1" t="e">
        <f aca="false">IF(ISBLANK(INDEX(big_daily_table,MATCH(DATE(R$5,$K145,$J145),daily_dates,0),MATCH($B$3,daily_items,0))),NA(),INDEX(big_daily_table,MATCH(DATE(R$5,$K145,$J145),daily_dates,0),MATCH($B$3,daily_items,0)))</f>
        <v>#N/A</v>
      </c>
      <c r="S145" s="1" t="e">
        <f aca="false">IF(ISBLANK(INDEX(big_daily_table,MATCH(DATE(S$5,$K145,$J145),daily_dates,0),MATCH($B$3,daily_items,0))),NA(),INDEX(big_daily_table,MATCH(DATE(S$5,$K145,$J145),daily_dates,0),MATCH($B$3,daily_items,0)))</f>
        <v>#N/A</v>
      </c>
      <c r="T145" s="1" t="e">
        <f aca="false">IF(ISBLANK(INDEX(big_daily_table,MATCH(DATE(T$5,$K145,$J145),daily_dates,0),MATCH($B$3,daily_items,0))),NA(),INDEX(big_daily_table,MATCH(DATE(T$5,$K145,$J145),daily_dates,0),MATCH($B$3,daily_items,0)))</f>
        <v>#N/A</v>
      </c>
      <c r="U145" s="1" t="e">
        <f aca="false">IF(ISBLANK(INDEX(big_daily_table,MATCH(DATE(U$5,$K145,$J145),daily_dates,0),MATCH($B$3,daily_items,0))),NA(),INDEX(big_daily_table,MATCH(DATE(U$5,$K145,$J145),daily_dates,0),MATCH($B$3,daily_items,0)))</f>
        <v>#N/A</v>
      </c>
      <c r="V145" s="1" t="e">
        <f aca="false">IF(ISBLANK(INDEX(big_daily_table,MATCH(DATE(V$5,$K145,$J145),daily_dates,0),MATCH($B$3,daily_items,0))),NA(),INDEX(big_daily_table,MATCH(DATE(V$5,$K145,$J145),daily_dates,0),MATCH($B$3,daily_items,0)))</f>
        <v>#N/A</v>
      </c>
      <c r="W145" s="1" t="e">
        <f aca="false">IF(ISBLANK(INDEX(big_daily_table,MATCH(DATE(W$5,$K145,$J145),daily_dates,0),MATCH($B$3,daily_items,0))),NA(),INDEX(big_daily_table,MATCH(DATE(W$5,$K145,$J145),daily_dates,0),MATCH($B$3,daily_items,0)))</f>
        <v>#N/A</v>
      </c>
      <c r="X145" s="1" t="e">
        <f aca="false">IF(ISBLANK(INDEX(big_daily_table,MATCH(DATE(X$5,$K145,$J145),daily_dates,0),MATCH($B$3,daily_items,0))),NA(),INDEX(big_daily_table,MATCH(DATE(X$5,$K145,$J145),daily_dates,0),MATCH($B$3,daily_items,0)))</f>
        <v>#N/A</v>
      </c>
      <c r="Y145" s="1" t="e">
        <f aca="false">IF(ISBLANK(INDEX(big_daily_table,MATCH(DATE(Y$5,$K145,$J145),daily_dates,0),MATCH($B$3,daily_items,0))),NA(),INDEX(big_daily_table,MATCH(DATE(Y$5,$K145,$J145),daily_dates,0),MATCH($B$3,daily_items,0)))</f>
        <v>#N/A</v>
      </c>
      <c r="Z145" s="1" t="e">
        <f aca="false">IF(ISBLANK(INDEX(big_daily_table,MATCH(DATE(Z$5,$K145,$J145),daily_dates,0),MATCH($B$3,daily_items,0))),NA(),INDEX(big_daily_table,MATCH(DATE(Z$5,$K145,$J145),daily_dates,0),MATCH($B$3,daily_items,0)))</f>
        <v>#N/A</v>
      </c>
      <c r="AA145" s="1" t="n">
        <f aca="true">_xlfn.AGGREGATE(5,6,OFFSET($S$5,H145,0,1,$K$2))</f>
        <v>0</v>
      </c>
      <c r="AB145" s="1" t="n">
        <f aca="true">_xlfn.AGGREGATE(4,6,OFFSET($S$5,H145,0,1,$K$2))</f>
        <v>0</v>
      </c>
      <c r="AC145" s="1" t="n">
        <f aca="false">AB145-AA145</f>
        <v>0</v>
      </c>
      <c r="AD145" s="1" t="e">
        <f aca="true">_xlfn.AGGREGATE(1,6,OFFSET($S$5,H145,0,1,$K$2))</f>
        <v>#DIV/0!</v>
      </c>
    </row>
    <row r="146" customFormat="false" ht="14.25" hidden="false" customHeight="false" outlineLevel="0" collapsed="false">
      <c r="H146" s="1" t="n">
        <f aca="false">H145+1</f>
        <v>141</v>
      </c>
      <c r="I146" s="1" t="n">
        <f aca="false">WEEKDAY('daily graphs'!K146)</f>
        <v>7</v>
      </c>
      <c r="J146" s="1" t="n">
        <f aca="false">DAY(L146)</f>
        <v>13</v>
      </c>
      <c r="K146" s="1" t="n">
        <f aca="false">MONTH(L146)</f>
        <v>5</v>
      </c>
      <c r="L146" s="23" t="n">
        <f aca="false">'daily graphs'!K146 - I146</f>
        <v>36659</v>
      </c>
      <c r="M146" s="24" t="n">
        <f aca="true">IF(TODAY()&lt;DATE($O$5,K146,J146),1000000,-1000000)</f>
        <v>-1000000</v>
      </c>
      <c r="N146" s="24" t="e">
        <f aca="false">IF(M146&gt;0,INDEX(big_daily_table,MATCH(DATE(O$5,$K146,$J146),daily_dates,0),MATCH($B$3,daily_items,0)),NA())</f>
        <v>#N/A</v>
      </c>
      <c r="O146" s="1" t="e">
        <f aca="false">IF(M146&lt;0,INDEX(big_daily_table,MATCH(DATE(O$5,$K146,$J146),daily_dates,0),MATCH($B$3,daily_items,0)),NA())</f>
        <v>#N/A</v>
      </c>
      <c r="P146" s="1" t="e">
        <f aca="false">IF(ISBLANK(INDEX(big_daily_table,MATCH(DATE(P$5,$K146,$J146),daily_dates,0),MATCH($B$3,daily_items,0))),NA(),INDEX(big_daily_table,MATCH(DATE(P$5,$K146,$J146),daily_dates,0),MATCH($B$3,daily_items,0)))</f>
        <v>#N/A</v>
      </c>
      <c r="Q146" s="1" t="e">
        <f aca="false">IF(ISBLANK(INDEX(big_daily_table,MATCH(DATE(Q$5,$K146,$J146),daily_dates,0),MATCH($B$3,daily_items,0))),NA(),INDEX(big_daily_table,MATCH(DATE(Q$5,$K146,$J146),daily_dates,0),MATCH($B$3,daily_items,0)))</f>
        <v>#N/A</v>
      </c>
      <c r="R146" s="1" t="e">
        <f aca="false">IF(ISBLANK(INDEX(big_daily_table,MATCH(DATE(R$5,$K146,$J146),daily_dates,0),MATCH($B$3,daily_items,0))),NA(),INDEX(big_daily_table,MATCH(DATE(R$5,$K146,$J146),daily_dates,0),MATCH($B$3,daily_items,0)))</f>
        <v>#N/A</v>
      </c>
      <c r="S146" s="1" t="e">
        <f aca="false">IF(ISBLANK(INDEX(big_daily_table,MATCH(DATE(S$5,$K146,$J146),daily_dates,0),MATCH($B$3,daily_items,0))),NA(),INDEX(big_daily_table,MATCH(DATE(S$5,$K146,$J146),daily_dates,0),MATCH($B$3,daily_items,0)))</f>
        <v>#N/A</v>
      </c>
      <c r="T146" s="1" t="e">
        <f aca="false">IF(ISBLANK(INDEX(big_daily_table,MATCH(DATE(T$5,$K146,$J146),daily_dates,0),MATCH($B$3,daily_items,0))),NA(),INDEX(big_daily_table,MATCH(DATE(T$5,$K146,$J146),daily_dates,0),MATCH($B$3,daily_items,0)))</f>
        <v>#N/A</v>
      </c>
      <c r="U146" s="1" t="e">
        <f aca="false">IF(ISBLANK(INDEX(big_daily_table,MATCH(DATE(U$5,$K146,$J146),daily_dates,0),MATCH($B$3,daily_items,0))),NA(),INDEX(big_daily_table,MATCH(DATE(U$5,$K146,$J146),daily_dates,0),MATCH($B$3,daily_items,0)))</f>
        <v>#N/A</v>
      </c>
      <c r="V146" s="1" t="e">
        <f aca="false">IF(ISBLANK(INDEX(big_daily_table,MATCH(DATE(V$5,$K146,$J146),daily_dates,0),MATCH($B$3,daily_items,0))),NA(),INDEX(big_daily_table,MATCH(DATE(V$5,$K146,$J146),daily_dates,0),MATCH($B$3,daily_items,0)))</f>
        <v>#N/A</v>
      </c>
      <c r="W146" s="1" t="e">
        <f aca="false">IF(ISBLANK(INDEX(big_daily_table,MATCH(DATE(W$5,$K146,$J146),daily_dates,0),MATCH($B$3,daily_items,0))),NA(),INDEX(big_daily_table,MATCH(DATE(W$5,$K146,$J146),daily_dates,0),MATCH($B$3,daily_items,0)))</f>
        <v>#N/A</v>
      </c>
      <c r="X146" s="1" t="e">
        <f aca="false">IF(ISBLANK(INDEX(big_daily_table,MATCH(DATE(X$5,$K146,$J146),daily_dates,0),MATCH($B$3,daily_items,0))),NA(),INDEX(big_daily_table,MATCH(DATE(X$5,$K146,$J146),daily_dates,0),MATCH($B$3,daily_items,0)))</f>
        <v>#N/A</v>
      </c>
      <c r="Y146" s="1" t="e">
        <f aca="false">IF(ISBLANK(INDEX(big_daily_table,MATCH(DATE(Y$5,$K146,$J146),daily_dates,0),MATCH($B$3,daily_items,0))),NA(),INDEX(big_daily_table,MATCH(DATE(Y$5,$K146,$J146),daily_dates,0),MATCH($B$3,daily_items,0)))</f>
        <v>#N/A</v>
      </c>
      <c r="Z146" s="1" t="e">
        <f aca="false">IF(ISBLANK(INDEX(big_daily_table,MATCH(DATE(Z$5,$K146,$J146),daily_dates,0),MATCH($B$3,daily_items,0))),NA(),INDEX(big_daily_table,MATCH(DATE(Z$5,$K146,$J146),daily_dates,0),MATCH($B$3,daily_items,0)))</f>
        <v>#N/A</v>
      </c>
      <c r="AA146" s="1" t="n">
        <f aca="true">_xlfn.AGGREGATE(5,6,OFFSET($S$5,H146,0,1,$K$2))</f>
        <v>0</v>
      </c>
      <c r="AB146" s="1" t="n">
        <f aca="true">_xlfn.AGGREGATE(4,6,OFFSET($S$5,H146,0,1,$K$2))</f>
        <v>0</v>
      </c>
      <c r="AC146" s="1" t="n">
        <f aca="false">AB146-AA146</f>
        <v>0</v>
      </c>
      <c r="AD146" s="1" t="e">
        <f aca="true">_xlfn.AGGREGATE(1,6,OFFSET($S$5,H146,0,1,$K$2))</f>
        <v>#DIV/0!</v>
      </c>
    </row>
    <row r="147" customFormat="false" ht="14.25" hidden="false" customHeight="false" outlineLevel="0" collapsed="false">
      <c r="H147" s="1" t="n">
        <f aca="false">H146+1</f>
        <v>142</v>
      </c>
      <c r="I147" s="1" t="n">
        <f aca="false">WEEKDAY('daily graphs'!K147)</f>
        <v>1</v>
      </c>
      <c r="J147" s="1" t="n">
        <f aca="false">DAY(L147)</f>
        <v>20</v>
      </c>
      <c r="K147" s="1" t="n">
        <f aca="false">MONTH(L147)</f>
        <v>5</v>
      </c>
      <c r="L147" s="23" t="n">
        <f aca="false">'daily graphs'!K147 - I147</f>
        <v>36666</v>
      </c>
      <c r="M147" s="24" t="n">
        <f aca="true">IF(TODAY()&lt;DATE($O$5,K147,J147),1000000,-1000000)</f>
        <v>-1000000</v>
      </c>
      <c r="N147" s="24" t="e">
        <f aca="false">IF(M147&gt;0,INDEX(big_daily_table,MATCH(DATE(O$5,$K147,$J147),daily_dates,0),MATCH($B$3,daily_items,0)),NA())</f>
        <v>#N/A</v>
      </c>
      <c r="O147" s="1" t="e">
        <f aca="false">IF(M147&lt;0,INDEX(big_daily_table,MATCH(DATE(O$5,$K147,$J147),daily_dates,0),MATCH($B$3,daily_items,0)),NA())</f>
        <v>#N/A</v>
      </c>
      <c r="P147" s="1" t="e">
        <f aca="false">IF(ISBLANK(INDEX(big_daily_table,MATCH(DATE(P$5,$K147,$J147),daily_dates,0),MATCH($B$3,daily_items,0))),NA(),INDEX(big_daily_table,MATCH(DATE(P$5,$K147,$J147),daily_dates,0),MATCH($B$3,daily_items,0)))</f>
        <v>#N/A</v>
      </c>
      <c r="Q147" s="1" t="e">
        <f aca="false">IF(ISBLANK(INDEX(big_daily_table,MATCH(DATE(Q$5,$K147,$J147),daily_dates,0),MATCH($B$3,daily_items,0))),NA(),INDEX(big_daily_table,MATCH(DATE(Q$5,$K147,$J147),daily_dates,0),MATCH($B$3,daily_items,0)))</f>
        <v>#N/A</v>
      </c>
      <c r="R147" s="1" t="e">
        <f aca="false">IF(ISBLANK(INDEX(big_daily_table,MATCH(DATE(R$5,$K147,$J147),daily_dates,0),MATCH($B$3,daily_items,0))),NA(),INDEX(big_daily_table,MATCH(DATE(R$5,$K147,$J147),daily_dates,0),MATCH($B$3,daily_items,0)))</f>
        <v>#N/A</v>
      </c>
      <c r="S147" s="1" t="e">
        <f aca="false">IF(ISBLANK(INDEX(big_daily_table,MATCH(DATE(S$5,$K147,$J147),daily_dates,0),MATCH($B$3,daily_items,0))),NA(),INDEX(big_daily_table,MATCH(DATE(S$5,$K147,$J147),daily_dates,0),MATCH($B$3,daily_items,0)))</f>
        <v>#N/A</v>
      </c>
      <c r="T147" s="1" t="e">
        <f aca="false">IF(ISBLANK(INDEX(big_daily_table,MATCH(DATE(T$5,$K147,$J147),daily_dates,0),MATCH($B$3,daily_items,0))),NA(),INDEX(big_daily_table,MATCH(DATE(T$5,$K147,$J147),daily_dates,0),MATCH($B$3,daily_items,0)))</f>
        <v>#N/A</v>
      </c>
      <c r="U147" s="1" t="e">
        <f aca="false">IF(ISBLANK(INDEX(big_daily_table,MATCH(DATE(U$5,$K147,$J147),daily_dates,0),MATCH($B$3,daily_items,0))),NA(),INDEX(big_daily_table,MATCH(DATE(U$5,$K147,$J147),daily_dates,0),MATCH($B$3,daily_items,0)))</f>
        <v>#N/A</v>
      </c>
      <c r="V147" s="1" t="e">
        <f aca="false">IF(ISBLANK(INDEX(big_daily_table,MATCH(DATE(V$5,$K147,$J147),daily_dates,0),MATCH($B$3,daily_items,0))),NA(),INDEX(big_daily_table,MATCH(DATE(V$5,$K147,$J147),daily_dates,0),MATCH($B$3,daily_items,0)))</f>
        <v>#N/A</v>
      </c>
      <c r="W147" s="1" t="e">
        <f aca="false">IF(ISBLANK(INDEX(big_daily_table,MATCH(DATE(W$5,$K147,$J147),daily_dates,0),MATCH($B$3,daily_items,0))),NA(),INDEX(big_daily_table,MATCH(DATE(W$5,$K147,$J147),daily_dates,0),MATCH($B$3,daily_items,0)))</f>
        <v>#N/A</v>
      </c>
      <c r="X147" s="1" t="e">
        <f aca="false">IF(ISBLANK(INDEX(big_daily_table,MATCH(DATE(X$5,$K147,$J147),daily_dates,0),MATCH($B$3,daily_items,0))),NA(),INDEX(big_daily_table,MATCH(DATE(X$5,$K147,$J147),daily_dates,0),MATCH($B$3,daily_items,0)))</f>
        <v>#N/A</v>
      </c>
      <c r="Y147" s="1" t="e">
        <f aca="false">IF(ISBLANK(INDEX(big_daily_table,MATCH(DATE(Y$5,$K147,$J147),daily_dates,0),MATCH($B$3,daily_items,0))),NA(),INDEX(big_daily_table,MATCH(DATE(Y$5,$K147,$J147),daily_dates,0),MATCH($B$3,daily_items,0)))</f>
        <v>#N/A</v>
      </c>
      <c r="Z147" s="1" t="e">
        <f aca="false">IF(ISBLANK(INDEX(big_daily_table,MATCH(DATE(Z$5,$K147,$J147),daily_dates,0),MATCH($B$3,daily_items,0))),NA(),INDEX(big_daily_table,MATCH(DATE(Z$5,$K147,$J147),daily_dates,0),MATCH($B$3,daily_items,0)))</f>
        <v>#N/A</v>
      </c>
      <c r="AA147" s="1" t="n">
        <f aca="true">_xlfn.AGGREGATE(5,6,OFFSET($S$5,H147,0,1,$K$2))</f>
        <v>0</v>
      </c>
      <c r="AB147" s="1" t="n">
        <f aca="true">_xlfn.AGGREGATE(4,6,OFFSET($S$5,H147,0,1,$K$2))</f>
        <v>0</v>
      </c>
      <c r="AC147" s="1" t="n">
        <f aca="false">AB147-AA147</f>
        <v>0</v>
      </c>
      <c r="AD147" s="1" t="e">
        <f aca="true">_xlfn.AGGREGATE(1,6,OFFSET($S$5,H147,0,1,$K$2))</f>
        <v>#DIV/0!</v>
      </c>
    </row>
    <row r="148" customFormat="false" ht="14.25" hidden="false" customHeight="false" outlineLevel="0" collapsed="false">
      <c r="H148" s="1" t="n">
        <f aca="false">H147+1</f>
        <v>143</v>
      </c>
      <c r="I148" s="1" t="n">
        <f aca="false">WEEKDAY('daily graphs'!K148)</f>
        <v>2</v>
      </c>
      <c r="J148" s="1" t="n">
        <f aca="false">DAY(L148)</f>
        <v>20</v>
      </c>
      <c r="K148" s="1" t="n">
        <f aca="false">MONTH(L148)</f>
        <v>5</v>
      </c>
      <c r="L148" s="23" t="n">
        <f aca="false">'daily graphs'!K148 - I148</f>
        <v>36666</v>
      </c>
      <c r="M148" s="24" t="n">
        <f aca="true">IF(TODAY()&lt;DATE($O$5,K148,J148),1000000,-1000000)</f>
        <v>-1000000</v>
      </c>
      <c r="N148" s="24" t="e">
        <f aca="false">IF(M148&gt;0,INDEX(big_daily_table,MATCH(DATE(O$5,$K148,$J148),daily_dates,0),MATCH($B$3,daily_items,0)),NA())</f>
        <v>#N/A</v>
      </c>
      <c r="O148" s="1" t="e">
        <f aca="false">IF(M148&lt;0,INDEX(big_daily_table,MATCH(DATE(O$5,$K148,$J148),daily_dates,0),MATCH($B$3,daily_items,0)),NA())</f>
        <v>#N/A</v>
      </c>
      <c r="P148" s="1" t="e">
        <f aca="false">IF(ISBLANK(INDEX(big_daily_table,MATCH(DATE(P$5,$K148,$J148),daily_dates,0),MATCH($B$3,daily_items,0))),NA(),INDEX(big_daily_table,MATCH(DATE(P$5,$K148,$J148),daily_dates,0),MATCH($B$3,daily_items,0)))</f>
        <v>#N/A</v>
      </c>
      <c r="Q148" s="1" t="e">
        <f aca="false">IF(ISBLANK(INDEX(big_daily_table,MATCH(DATE(Q$5,$K148,$J148),daily_dates,0),MATCH($B$3,daily_items,0))),NA(),INDEX(big_daily_table,MATCH(DATE(Q$5,$K148,$J148),daily_dates,0),MATCH($B$3,daily_items,0)))</f>
        <v>#N/A</v>
      </c>
      <c r="R148" s="1" t="e">
        <f aca="false">IF(ISBLANK(INDEX(big_daily_table,MATCH(DATE(R$5,$K148,$J148),daily_dates,0),MATCH($B$3,daily_items,0))),NA(),INDEX(big_daily_table,MATCH(DATE(R$5,$K148,$J148),daily_dates,0),MATCH($B$3,daily_items,0)))</f>
        <v>#N/A</v>
      </c>
      <c r="S148" s="1" t="e">
        <f aca="false">IF(ISBLANK(INDEX(big_daily_table,MATCH(DATE(S$5,$K148,$J148),daily_dates,0),MATCH($B$3,daily_items,0))),NA(),INDEX(big_daily_table,MATCH(DATE(S$5,$K148,$J148),daily_dates,0),MATCH($B$3,daily_items,0)))</f>
        <v>#N/A</v>
      </c>
      <c r="T148" s="1" t="e">
        <f aca="false">IF(ISBLANK(INDEX(big_daily_table,MATCH(DATE(T$5,$K148,$J148),daily_dates,0),MATCH($B$3,daily_items,0))),NA(),INDEX(big_daily_table,MATCH(DATE(T$5,$K148,$J148),daily_dates,0),MATCH($B$3,daily_items,0)))</f>
        <v>#N/A</v>
      </c>
      <c r="U148" s="1" t="e">
        <f aca="false">IF(ISBLANK(INDEX(big_daily_table,MATCH(DATE(U$5,$K148,$J148),daily_dates,0),MATCH($B$3,daily_items,0))),NA(),INDEX(big_daily_table,MATCH(DATE(U$5,$K148,$J148),daily_dates,0),MATCH($B$3,daily_items,0)))</f>
        <v>#N/A</v>
      </c>
      <c r="V148" s="1" t="e">
        <f aca="false">IF(ISBLANK(INDEX(big_daily_table,MATCH(DATE(V$5,$K148,$J148),daily_dates,0),MATCH($B$3,daily_items,0))),NA(),INDEX(big_daily_table,MATCH(DATE(V$5,$K148,$J148),daily_dates,0),MATCH($B$3,daily_items,0)))</f>
        <v>#N/A</v>
      </c>
      <c r="W148" s="1" t="e">
        <f aca="false">IF(ISBLANK(INDEX(big_daily_table,MATCH(DATE(W$5,$K148,$J148),daily_dates,0),MATCH($B$3,daily_items,0))),NA(),INDEX(big_daily_table,MATCH(DATE(W$5,$K148,$J148),daily_dates,0),MATCH($B$3,daily_items,0)))</f>
        <v>#N/A</v>
      </c>
      <c r="X148" s="1" t="e">
        <f aca="false">IF(ISBLANK(INDEX(big_daily_table,MATCH(DATE(X$5,$K148,$J148),daily_dates,0),MATCH($B$3,daily_items,0))),NA(),INDEX(big_daily_table,MATCH(DATE(X$5,$K148,$J148),daily_dates,0),MATCH($B$3,daily_items,0)))</f>
        <v>#N/A</v>
      </c>
      <c r="Y148" s="1" t="e">
        <f aca="false">IF(ISBLANK(INDEX(big_daily_table,MATCH(DATE(Y$5,$K148,$J148),daily_dates,0),MATCH($B$3,daily_items,0))),NA(),INDEX(big_daily_table,MATCH(DATE(Y$5,$K148,$J148),daily_dates,0),MATCH($B$3,daily_items,0)))</f>
        <v>#N/A</v>
      </c>
      <c r="Z148" s="1" t="e">
        <f aca="false">IF(ISBLANK(INDEX(big_daily_table,MATCH(DATE(Z$5,$K148,$J148),daily_dates,0),MATCH($B$3,daily_items,0))),NA(),INDEX(big_daily_table,MATCH(DATE(Z$5,$K148,$J148),daily_dates,0),MATCH($B$3,daily_items,0)))</f>
        <v>#N/A</v>
      </c>
      <c r="AA148" s="1" t="n">
        <f aca="true">_xlfn.AGGREGATE(5,6,OFFSET($S$5,H148,0,1,$K$2))</f>
        <v>0</v>
      </c>
      <c r="AB148" s="1" t="n">
        <f aca="true">_xlfn.AGGREGATE(4,6,OFFSET($S$5,H148,0,1,$K$2))</f>
        <v>0</v>
      </c>
      <c r="AC148" s="1" t="n">
        <f aca="false">AB148-AA148</f>
        <v>0</v>
      </c>
      <c r="AD148" s="1" t="e">
        <f aca="true">_xlfn.AGGREGATE(1,6,OFFSET($S$5,H148,0,1,$K$2))</f>
        <v>#DIV/0!</v>
      </c>
    </row>
    <row r="149" customFormat="false" ht="14.25" hidden="false" customHeight="false" outlineLevel="0" collapsed="false">
      <c r="H149" s="1" t="n">
        <f aca="false">H148+1</f>
        <v>144</v>
      </c>
      <c r="I149" s="1" t="n">
        <f aca="false">WEEKDAY('daily graphs'!K149)</f>
        <v>3</v>
      </c>
      <c r="J149" s="1" t="n">
        <f aca="false">DAY(L149)</f>
        <v>20</v>
      </c>
      <c r="K149" s="1" t="n">
        <f aca="false">MONTH(L149)</f>
        <v>5</v>
      </c>
      <c r="L149" s="23" t="n">
        <f aca="false">'daily graphs'!K149 - I149</f>
        <v>36666</v>
      </c>
      <c r="M149" s="24" t="n">
        <f aca="true">IF(TODAY()&lt;DATE($O$5,K149,J149),1000000,-1000000)</f>
        <v>-1000000</v>
      </c>
      <c r="N149" s="24" t="e">
        <f aca="false">IF(M149&gt;0,INDEX(big_daily_table,MATCH(DATE(O$5,$K149,$J149),daily_dates,0),MATCH($B$3,daily_items,0)),NA())</f>
        <v>#N/A</v>
      </c>
      <c r="O149" s="1" t="e">
        <f aca="false">IF(M149&lt;0,INDEX(big_daily_table,MATCH(DATE(O$5,$K149,$J149),daily_dates,0),MATCH($B$3,daily_items,0)),NA())</f>
        <v>#N/A</v>
      </c>
      <c r="P149" s="1" t="e">
        <f aca="false">IF(ISBLANK(INDEX(big_daily_table,MATCH(DATE(P$5,$K149,$J149),daily_dates,0),MATCH($B$3,daily_items,0))),NA(),INDEX(big_daily_table,MATCH(DATE(P$5,$K149,$J149),daily_dates,0),MATCH($B$3,daily_items,0)))</f>
        <v>#N/A</v>
      </c>
      <c r="Q149" s="1" t="e">
        <f aca="false">IF(ISBLANK(INDEX(big_daily_table,MATCH(DATE(Q$5,$K149,$J149),daily_dates,0),MATCH($B$3,daily_items,0))),NA(),INDEX(big_daily_table,MATCH(DATE(Q$5,$K149,$J149),daily_dates,0),MATCH($B$3,daily_items,0)))</f>
        <v>#N/A</v>
      </c>
      <c r="R149" s="1" t="e">
        <f aca="false">IF(ISBLANK(INDEX(big_daily_table,MATCH(DATE(R$5,$K149,$J149),daily_dates,0),MATCH($B$3,daily_items,0))),NA(),INDEX(big_daily_table,MATCH(DATE(R$5,$K149,$J149),daily_dates,0),MATCH($B$3,daily_items,0)))</f>
        <v>#N/A</v>
      </c>
      <c r="S149" s="1" t="e">
        <f aca="false">IF(ISBLANK(INDEX(big_daily_table,MATCH(DATE(S$5,$K149,$J149),daily_dates,0),MATCH($B$3,daily_items,0))),NA(),INDEX(big_daily_table,MATCH(DATE(S$5,$K149,$J149),daily_dates,0),MATCH($B$3,daily_items,0)))</f>
        <v>#N/A</v>
      </c>
      <c r="T149" s="1" t="e">
        <f aca="false">IF(ISBLANK(INDEX(big_daily_table,MATCH(DATE(T$5,$K149,$J149),daily_dates,0),MATCH($B$3,daily_items,0))),NA(),INDEX(big_daily_table,MATCH(DATE(T$5,$K149,$J149),daily_dates,0),MATCH($B$3,daily_items,0)))</f>
        <v>#N/A</v>
      </c>
      <c r="U149" s="1" t="e">
        <f aca="false">IF(ISBLANK(INDEX(big_daily_table,MATCH(DATE(U$5,$K149,$J149),daily_dates,0),MATCH($B$3,daily_items,0))),NA(),INDEX(big_daily_table,MATCH(DATE(U$5,$K149,$J149),daily_dates,0),MATCH($B$3,daily_items,0)))</f>
        <v>#N/A</v>
      </c>
      <c r="V149" s="1" t="e">
        <f aca="false">IF(ISBLANK(INDEX(big_daily_table,MATCH(DATE(V$5,$K149,$J149),daily_dates,0),MATCH($B$3,daily_items,0))),NA(),INDEX(big_daily_table,MATCH(DATE(V$5,$K149,$J149),daily_dates,0),MATCH($B$3,daily_items,0)))</f>
        <v>#N/A</v>
      </c>
      <c r="W149" s="1" t="e">
        <f aca="false">IF(ISBLANK(INDEX(big_daily_table,MATCH(DATE(W$5,$K149,$J149),daily_dates,0),MATCH($B$3,daily_items,0))),NA(),INDEX(big_daily_table,MATCH(DATE(W$5,$K149,$J149),daily_dates,0),MATCH($B$3,daily_items,0)))</f>
        <v>#N/A</v>
      </c>
      <c r="X149" s="1" t="e">
        <f aca="false">IF(ISBLANK(INDEX(big_daily_table,MATCH(DATE(X$5,$K149,$J149),daily_dates,0),MATCH($B$3,daily_items,0))),NA(),INDEX(big_daily_table,MATCH(DATE(X$5,$K149,$J149),daily_dates,0),MATCH($B$3,daily_items,0)))</f>
        <v>#N/A</v>
      </c>
      <c r="Y149" s="1" t="e">
        <f aca="false">IF(ISBLANK(INDEX(big_daily_table,MATCH(DATE(Y$5,$K149,$J149),daily_dates,0),MATCH($B$3,daily_items,0))),NA(),INDEX(big_daily_table,MATCH(DATE(Y$5,$K149,$J149),daily_dates,0),MATCH($B$3,daily_items,0)))</f>
        <v>#N/A</v>
      </c>
      <c r="Z149" s="1" t="e">
        <f aca="false">IF(ISBLANK(INDEX(big_daily_table,MATCH(DATE(Z$5,$K149,$J149),daily_dates,0),MATCH($B$3,daily_items,0))),NA(),INDEX(big_daily_table,MATCH(DATE(Z$5,$K149,$J149),daily_dates,0),MATCH($B$3,daily_items,0)))</f>
        <v>#N/A</v>
      </c>
      <c r="AA149" s="1" t="n">
        <f aca="true">_xlfn.AGGREGATE(5,6,OFFSET($S$5,H149,0,1,$K$2))</f>
        <v>0</v>
      </c>
      <c r="AB149" s="1" t="n">
        <f aca="true">_xlfn.AGGREGATE(4,6,OFFSET($S$5,H149,0,1,$K$2))</f>
        <v>0</v>
      </c>
      <c r="AC149" s="1" t="n">
        <f aca="false">AB149-AA149</f>
        <v>0</v>
      </c>
      <c r="AD149" s="1" t="e">
        <f aca="true">_xlfn.AGGREGATE(1,6,OFFSET($S$5,H149,0,1,$K$2))</f>
        <v>#DIV/0!</v>
      </c>
    </row>
    <row r="150" customFormat="false" ht="14.25" hidden="false" customHeight="false" outlineLevel="0" collapsed="false">
      <c r="H150" s="1" t="n">
        <f aca="false">H149+1</f>
        <v>145</v>
      </c>
      <c r="I150" s="1" t="n">
        <f aca="false">WEEKDAY('daily graphs'!K150)</f>
        <v>4</v>
      </c>
      <c r="J150" s="1" t="n">
        <f aca="false">DAY(L150)</f>
        <v>20</v>
      </c>
      <c r="K150" s="1" t="n">
        <f aca="false">MONTH(L150)</f>
        <v>5</v>
      </c>
      <c r="L150" s="23" t="n">
        <f aca="false">'daily graphs'!K150 - I150</f>
        <v>36666</v>
      </c>
      <c r="M150" s="24" t="n">
        <f aca="true">IF(TODAY()&lt;DATE($O$5,K150,J150),1000000,-1000000)</f>
        <v>-1000000</v>
      </c>
      <c r="N150" s="24" t="e">
        <f aca="false">IF(M150&gt;0,INDEX(big_daily_table,MATCH(DATE(O$5,$K150,$J150),daily_dates,0),MATCH($B$3,daily_items,0)),NA())</f>
        <v>#N/A</v>
      </c>
      <c r="O150" s="1" t="e">
        <f aca="false">IF(M150&lt;0,INDEX(big_daily_table,MATCH(DATE(O$5,$K150,$J150),daily_dates,0),MATCH($B$3,daily_items,0)),NA())</f>
        <v>#N/A</v>
      </c>
      <c r="P150" s="1" t="e">
        <f aca="false">IF(ISBLANK(INDEX(big_daily_table,MATCH(DATE(P$5,$K150,$J150),daily_dates,0),MATCH($B$3,daily_items,0))),NA(),INDEX(big_daily_table,MATCH(DATE(P$5,$K150,$J150),daily_dates,0),MATCH($B$3,daily_items,0)))</f>
        <v>#N/A</v>
      </c>
      <c r="Q150" s="1" t="e">
        <f aca="false">IF(ISBLANK(INDEX(big_daily_table,MATCH(DATE(Q$5,$K150,$J150),daily_dates,0),MATCH($B$3,daily_items,0))),NA(),INDEX(big_daily_table,MATCH(DATE(Q$5,$K150,$J150),daily_dates,0),MATCH($B$3,daily_items,0)))</f>
        <v>#N/A</v>
      </c>
      <c r="R150" s="1" t="e">
        <f aca="false">IF(ISBLANK(INDEX(big_daily_table,MATCH(DATE(R$5,$K150,$J150),daily_dates,0),MATCH($B$3,daily_items,0))),NA(),INDEX(big_daily_table,MATCH(DATE(R$5,$K150,$J150),daily_dates,0),MATCH($B$3,daily_items,0)))</f>
        <v>#N/A</v>
      </c>
      <c r="S150" s="1" t="e">
        <f aca="false">IF(ISBLANK(INDEX(big_daily_table,MATCH(DATE(S$5,$K150,$J150),daily_dates,0),MATCH($B$3,daily_items,0))),NA(),INDEX(big_daily_table,MATCH(DATE(S$5,$K150,$J150),daily_dates,0),MATCH($B$3,daily_items,0)))</f>
        <v>#N/A</v>
      </c>
      <c r="T150" s="1" t="e">
        <f aca="false">IF(ISBLANK(INDEX(big_daily_table,MATCH(DATE(T$5,$K150,$J150),daily_dates,0),MATCH($B$3,daily_items,0))),NA(),INDEX(big_daily_table,MATCH(DATE(T$5,$K150,$J150),daily_dates,0),MATCH($B$3,daily_items,0)))</f>
        <v>#N/A</v>
      </c>
      <c r="U150" s="1" t="e">
        <f aca="false">IF(ISBLANK(INDEX(big_daily_table,MATCH(DATE(U$5,$K150,$J150),daily_dates,0),MATCH($B$3,daily_items,0))),NA(),INDEX(big_daily_table,MATCH(DATE(U$5,$K150,$J150),daily_dates,0),MATCH($B$3,daily_items,0)))</f>
        <v>#N/A</v>
      </c>
      <c r="V150" s="1" t="e">
        <f aca="false">IF(ISBLANK(INDEX(big_daily_table,MATCH(DATE(V$5,$K150,$J150),daily_dates,0),MATCH($B$3,daily_items,0))),NA(),INDEX(big_daily_table,MATCH(DATE(V$5,$K150,$J150),daily_dates,0),MATCH($B$3,daily_items,0)))</f>
        <v>#N/A</v>
      </c>
      <c r="W150" s="1" t="e">
        <f aca="false">IF(ISBLANK(INDEX(big_daily_table,MATCH(DATE(W$5,$K150,$J150),daily_dates,0),MATCH($B$3,daily_items,0))),NA(),INDEX(big_daily_table,MATCH(DATE(W$5,$K150,$J150),daily_dates,0),MATCH($B$3,daily_items,0)))</f>
        <v>#N/A</v>
      </c>
      <c r="X150" s="1" t="e">
        <f aca="false">IF(ISBLANK(INDEX(big_daily_table,MATCH(DATE(X$5,$K150,$J150),daily_dates,0),MATCH($B$3,daily_items,0))),NA(),INDEX(big_daily_table,MATCH(DATE(X$5,$K150,$J150),daily_dates,0),MATCH($B$3,daily_items,0)))</f>
        <v>#N/A</v>
      </c>
      <c r="Y150" s="1" t="e">
        <f aca="false">IF(ISBLANK(INDEX(big_daily_table,MATCH(DATE(Y$5,$K150,$J150),daily_dates,0),MATCH($B$3,daily_items,0))),NA(),INDEX(big_daily_table,MATCH(DATE(Y$5,$K150,$J150),daily_dates,0),MATCH($B$3,daily_items,0)))</f>
        <v>#N/A</v>
      </c>
      <c r="Z150" s="1" t="e">
        <f aca="false">IF(ISBLANK(INDEX(big_daily_table,MATCH(DATE(Z$5,$K150,$J150),daily_dates,0),MATCH($B$3,daily_items,0))),NA(),INDEX(big_daily_table,MATCH(DATE(Z$5,$K150,$J150),daily_dates,0),MATCH($B$3,daily_items,0)))</f>
        <v>#N/A</v>
      </c>
      <c r="AA150" s="1" t="n">
        <f aca="true">_xlfn.AGGREGATE(5,6,OFFSET($S$5,H150,0,1,$K$2))</f>
        <v>0</v>
      </c>
      <c r="AB150" s="1" t="n">
        <f aca="true">_xlfn.AGGREGATE(4,6,OFFSET($S$5,H150,0,1,$K$2))</f>
        <v>0</v>
      </c>
      <c r="AC150" s="1" t="n">
        <f aca="false">AB150-AA150</f>
        <v>0</v>
      </c>
      <c r="AD150" s="1" t="e">
        <f aca="true">_xlfn.AGGREGATE(1,6,OFFSET($S$5,H150,0,1,$K$2))</f>
        <v>#DIV/0!</v>
      </c>
    </row>
    <row r="151" customFormat="false" ht="14.25" hidden="false" customHeight="false" outlineLevel="0" collapsed="false">
      <c r="H151" s="1" t="n">
        <f aca="false">H150+1</f>
        <v>146</v>
      </c>
      <c r="I151" s="1" t="n">
        <f aca="false">WEEKDAY('daily graphs'!K151)</f>
        <v>5</v>
      </c>
      <c r="J151" s="1" t="n">
        <f aca="false">DAY(L151)</f>
        <v>20</v>
      </c>
      <c r="K151" s="1" t="n">
        <f aca="false">MONTH(L151)</f>
        <v>5</v>
      </c>
      <c r="L151" s="23" t="n">
        <f aca="false">'daily graphs'!K151 - I151</f>
        <v>36666</v>
      </c>
      <c r="M151" s="24" t="n">
        <f aca="true">IF(TODAY()&lt;DATE($O$5,K151,J151),1000000,-1000000)</f>
        <v>-1000000</v>
      </c>
      <c r="N151" s="24" t="e">
        <f aca="false">IF(M151&gt;0,INDEX(big_daily_table,MATCH(DATE(O$5,$K151,$J151),daily_dates,0),MATCH($B$3,daily_items,0)),NA())</f>
        <v>#N/A</v>
      </c>
      <c r="O151" s="1" t="e">
        <f aca="false">IF(M151&lt;0,INDEX(big_daily_table,MATCH(DATE(O$5,$K151,$J151),daily_dates,0),MATCH($B$3,daily_items,0)),NA())</f>
        <v>#N/A</v>
      </c>
      <c r="P151" s="1" t="e">
        <f aca="false">IF(ISBLANK(INDEX(big_daily_table,MATCH(DATE(P$5,$K151,$J151),daily_dates,0),MATCH($B$3,daily_items,0))),NA(),INDEX(big_daily_table,MATCH(DATE(P$5,$K151,$J151),daily_dates,0),MATCH($B$3,daily_items,0)))</f>
        <v>#N/A</v>
      </c>
      <c r="Q151" s="1" t="e">
        <f aca="false">IF(ISBLANK(INDEX(big_daily_table,MATCH(DATE(Q$5,$K151,$J151),daily_dates,0),MATCH($B$3,daily_items,0))),NA(),INDEX(big_daily_table,MATCH(DATE(Q$5,$K151,$J151),daily_dates,0),MATCH($B$3,daily_items,0)))</f>
        <v>#N/A</v>
      </c>
      <c r="R151" s="1" t="e">
        <f aca="false">IF(ISBLANK(INDEX(big_daily_table,MATCH(DATE(R$5,$K151,$J151),daily_dates,0),MATCH($B$3,daily_items,0))),NA(),INDEX(big_daily_table,MATCH(DATE(R$5,$K151,$J151),daily_dates,0),MATCH($B$3,daily_items,0)))</f>
        <v>#N/A</v>
      </c>
      <c r="S151" s="1" t="e">
        <f aca="false">IF(ISBLANK(INDEX(big_daily_table,MATCH(DATE(S$5,$K151,$J151),daily_dates,0),MATCH($B$3,daily_items,0))),NA(),INDEX(big_daily_table,MATCH(DATE(S$5,$K151,$J151),daily_dates,0),MATCH($B$3,daily_items,0)))</f>
        <v>#N/A</v>
      </c>
      <c r="T151" s="1" t="e">
        <f aca="false">IF(ISBLANK(INDEX(big_daily_table,MATCH(DATE(T$5,$K151,$J151),daily_dates,0),MATCH($B$3,daily_items,0))),NA(),INDEX(big_daily_table,MATCH(DATE(T$5,$K151,$J151),daily_dates,0),MATCH($B$3,daily_items,0)))</f>
        <v>#N/A</v>
      </c>
      <c r="U151" s="1" t="e">
        <f aca="false">IF(ISBLANK(INDEX(big_daily_table,MATCH(DATE(U$5,$K151,$J151),daily_dates,0),MATCH($B$3,daily_items,0))),NA(),INDEX(big_daily_table,MATCH(DATE(U$5,$K151,$J151),daily_dates,0),MATCH($B$3,daily_items,0)))</f>
        <v>#N/A</v>
      </c>
      <c r="V151" s="1" t="e">
        <f aca="false">IF(ISBLANK(INDEX(big_daily_table,MATCH(DATE(V$5,$K151,$J151),daily_dates,0),MATCH($B$3,daily_items,0))),NA(),INDEX(big_daily_table,MATCH(DATE(V$5,$K151,$J151),daily_dates,0),MATCH($B$3,daily_items,0)))</f>
        <v>#N/A</v>
      </c>
      <c r="W151" s="1" t="e">
        <f aca="false">IF(ISBLANK(INDEX(big_daily_table,MATCH(DATE(W$5,$K151,$J151),daily_dates,0),MATCH($B$3,daily_items,0))),NA(),INDEX(big_daily_table,MATCH(DATE(W$5,$K151,$J151),daily_dates,0),MATCH($B$3,daily_items,0)))</f>
        <v>#N/A</v>
      </c>
      <c r="X151" s="1" t="e">
        <f aca="false">IF(ISBLANK(INDEX(big_daily_table,MATCH(DATE(X$5,$K151,$J151),daily_dates,0),MATCH($B$3,daily_items,0))),NA(),INDEX(big_daily_table,MATCH(DATE(X$5,$K151,$J151),daily_dates,0),MATCH($B$3,daily_items,0)))</f>
        <v>#N/A</v>
      </c>
      <c r="Y151" s="1" t="e">
        <f aca="false">IF(ISBLANK(INDEX(big_daily_table,MATCH(DATE(Y$5,$K151,$J151),daily_dates,0),MATCH($B$3,daily_items,0))),NA(),INDEX(big_daily_table,MATCH(DATE(Y$5,$K151,$J151),daily_dates,0),MATCH($B$3,daily_items,0)))</f>
        <v>#N/A</v>
      </c>
      <c r="Z151" s="1" t="e">
        <f aca="false">IF(ISBLANK(INDEX(big_daily_table,MATCH(DATE(Z$5,$K151,$J151),daily_dates,0),MATCH($B$3,daily_items,0))),NA(),INDEX(big_daily_table,MATCH(DATE(Z$5,$K151,$J151),daily_dates,0),MATCH($B$3,daily_items,0)))</f>
        <v>#N/A</v>
      </c>
      <c r="AA151" s="1" t="n">
        <f aca="true">_xlfn.AGGREGATE(5,6,OFFSET($S$5,H151,0,1,$K$2))</f>
        <v>0</v>
      </c>
      <c r="AB151" s="1" t="n">
        <f aca="true">_xlfn.AGGREGATE(4,6,OFFSET($S$5,H151,0,1,$K$2))</f>
        <v>0</v>
      </c>
      <c r="AC151" s="1" t="n">
        <f aca="false">AB151-AA151</f>
        <v>0</v>
      </c>
      <c r="AD151" s="1" t="e">
        <f aca="true">_xlfn.AGGREGATE(1,6,OFFSET($S$5,H151,0,1,$K$2))</f>
        <v>#DIV/0!</v>
      </c>
    </row>
    <row r="152" customFormat="false" ht="14.25" hidden="false" customHeight="false" outlineLevel="0" collapsed="false">
      <c r="H152" s="1" t="n">
        <f aca="false">H151+1</f>
        <v>147</v>
      </c>
      <c r="I152" s="1" t="n">
        <f aca="false">WEEKDAY('daily graphs'!K152)</f>
        <v>6</v>
      </c>
      <c r="J152" s="1" t="n">
        <f aca="false">DAY(L152)</f>
        <v>20</v>
      </c>
      <c r="K152" s="1" t="n">
        <f aca="false">MONTH(L152)</f>
        <v>5</v>
      </c>
      <c r="L152" s="23" t="n">
        <f aca="false">'daily graphs'!K152 - I152</f>
        <v>36666</v>
      </c>
      <c r="M152" s="24" t="n">
        <f aca="true">IF(TODAY()&lt;DATE($O$5,K152,J152),1000000,-1000000)</f>
        <v>-1000000</v>
      </c>
      <c r="N152" s="24" t="e">
        <f aca="false">IF(M152&gt;0,INDEX(big_daily_table,MATCH(DATE(O$5,$K152,$J152),daily_dates,0),MATCH($B$3,daily_items,0)),NA())</f>
        <v>#N/A</v>
      </c>
      <c r="O152" s="1" t="e">
        <f aca="false">IF(M152&lt;0,INDEX(big_daily_table,MATCH(DATE(O$5,$K152,$J152),daily_dates,0),MATCH($B$3,daily_items,0)),NA())</f>
        <v>#N/A</v>
      </c>
      <c r="P152" s="1" t="e">
        <f aca="false">IF(ISBLANK(INDEX(big_daily_table,MATCH(DATE(P$5,$K152,$J152),daily_dates,0),MATCH($B$3,daily_items,0))),NA(),INDEX(big_daily_table,MATCH(DATE(P$5,$K152,$J152),daily_dates,0),MATCH($B$3,daily_items,0)))</f>
        <v>#N/A</v>
      </c>
      <c r="Q152" s="1" t="e">
        <f aca="false">IF(ISBLANK(INDEX(big_daily_table,MATCH(DATE(Q$5,$K152,$J152),daily_dates,0),MATCH($B$3,daily_items,0))),NA(),INDEX(big_daily_table,MATCH(DATE(Q$5,$K152,$J152),daily_dates,0),MATCH($B$3,daily_items,0)))</f>
        <v>#N/A</v>
      </c>
      <c r="R152" s="1" t="e">
        <f aca="false">IF(ISBLANK(INDEX(big_daily_table,MATCH(DATE(R$5,$K152,$J152),daily_dates,0),MATCH($B$3,daily_items,0))),NA(),INDEX(big_daily_table,MATCH(DATE(R$5,$K152,$J152),daily_dates,0),MATCH($B$3,daily_items,0)))</f>
        <v>#N/A</v>
      </c>
      <c r="S152" s="1" t="e">
        <f aca="false">IF(ISBLANK(INDEX(big_daily_table,MATCH(DATE(S$5,$K152,$J152),daily_dates,0),MATCH($B$3,daily_items,0))),NA(),INDEX(big_daily_table,MATCH(DATE(S$5,$K152,$J152),daily_dates,0),MATCH($B$3,daily_items,0)))</f>
        <v>#N/A</v>
      </c>
      <c r="T152" s="1" t="e">
        <f aca="false">IF(ISBLANK(INDEX(big_daily_table,MATCH(DATE(T$5,$K152,$J152),daily_dates,0),MATCH($B$3,daily_items,0))),NA(),INDEX(big_daily_table,MATCH(DATE(T$5,$K152,$J152),daily_dates,0),MATCH($B$3,daily_items,0)))</f>
        <v>#N/A</v>
      </c>
      <c r="U152" s="1" t="e">
        <f aca="false">IF(ISBLANK(INDEX(big_daily_table,MATCH(DATE(U$5,$K152,$J152),daily_dates,0),MATCH($B$3,daily_items,0))),NA(),INDEX(big_daily_table,MATCH(DATE(U$5,$K152,$J152),daily_dates,0),MATCH($B$3,daily_items,0)))</f>
        <v>#N/A</v>
      </c>
      <c r="V152" s="1" t="e">
        <f aca="false">IF(ISBLANK(INDEX(big_daily_table,MATCH(DATE(V$5,$K152,$J152),daily_dates,0),MATCH($B$3,daily_items,0))),NA(),INDEX(big_daily_table,MATCH(DATE(V$5,$K152,$J152),daily_dates,0),MATCH($B$3,daily_items,0)))</f>
        <v>#N/A</v>
      </c>
      <c r="W152" s="1" t="e">
        <f aca="false">IF(ISBLANK(INDEX(big_daily_table,MATCH(DATE(W$5,$K152,$J152),daily_dates,0),MATCH($B$3,daily_items,0))),NA(),INDEX(big_daily_table,MATCH(DATE(W$5,$K152,$J152),daily_dates,0),MATCH($B$3,daily_items,0)))</f>
        <v>#N/A</v>
      </c>
      <c r="X152" s="1" t="e">
        <f aca="false">IF(ISBLANK(INDEX(big_daily_table,MATCH(DATE(X$5,$K152,$J152),daily_dates,0),MATCH($B$3,daily_items,0))),NA(),INDEX(big_daily_table,MATCH(DATE(X$5,$K152,$J152),daily_dates,0),MATCH($B$3,daily_items,0)))</f>
        <v>#N/A</v>
      </c>
      <c r="Y152" s="1" t="e">
        <f aca="false">IF(ISBLANK(INDEX(big_daily_table,MATCH(DATE(Y$5,$K152,$J152),daily_dates,0),MATCH($B$3,daily_items,0))),NA(),INDEX(big_daily_table,MATCH(DATE(Y$5,$K152,$J152),daily_dates,0),MATCH($B$3,daily_items,0)))</f>
        <v>#N/A</v>
      </c>
      <c r="Z152" s="1" t="e">
        <f aca="false">IF(ISBLANK(INDEX(big_daily_table,MATCH(DATE(Z$5,$K152,$J152),daily_dates,0),MATCH($B$3,daily_items,0))),NA(),INDEX(big_daily_table,MATCH(DATE(Z$5,$K152,$J152),daily_dates,0),MATCH($B$3,daily_items,0)))</f>
        <v>#N/A</v>
      </c>
      <c r="AA152" s="1" t="n">
        <f aca="true">_xlfn.AGGREGATE(5,6,OFFSET($S$5,H152,0,1,$K$2))</f>
        <v>0</v>
      </c>
      <c r="AB152" s="1" t="n">
        <f aca="true">_xlfn.AGGREGATE(4,6,OFFSET($S$5,H152,0,1,$K$2))</f>
        <v>0</v>
      </c>
      <c r="AC152" s="1" t="n">
        <f aca="false">AB152-AA152</f>
        <v>0</v>
      </c>
      <c r="AD152" s="1" t="e">
        <f aca="true">_xlfn.AGGREGATE(1,6,OFFSET($S$5,H152,0,1,$K$2))</f>
        <v>#DIV/0!</v>
      </c>
    </row>
    <row r="153" customFormat="false" ht="14.25" hidden="false" customHeight="false" outlineLevel="0" collapsed="false">
      <c r="H153" s="1" t="n">
        <f aca="false">H152+1</f>
        <v>148</v>
      </c>
      <c r="I153" s="1" t="n">
        <f aca="false">WEEKDAY('daily graphs'!K153)</f>
        <v>7</v>
      </c>
      <c r="J153" s="1" t="n">
        <f aca="false">DAY(L153)</f>
        <v>20</v>
      </c>
      <c r="K153" s="1" t="n">
        <f aca="false">MONTH(L153)</f>
        <v>5</v>
      </c>
      <c r="L153" s="23" t="n">
        <f aca="false">'daily graphs'!K153 - I153</f>
        <v>36666</v>
      </c>
      <c r="M153" s="24" t="n">
        <f aca="true">IF(TODAY()&lt;DATE($O$5,K153,J153),1000000,-1000000)</f>
        <v>-1000000</v>
      </c>
      <c r="N153" s="24" t="e">
        <f aca="false">IF(M153&gt;0,INDEX(big_daily_table,MATCH(DATE(O$5,$K153,$J153),daily_dates,0),MATCH($B$3,daily_items,0)),NA())</f>
        <v>#N/A</v>
      </c>
      <c r="O153" s="1" t="e">
        <f aca="false">IF(M153&lt;0,INDEX(big_daily_table,MATCH(DATE(O$5,$K153,$J153),daily_dates,0),MATCH($B$3,daily_items,0)),NA())</f>
        <v>#N/A</v>
      </c>
      <c r="P153" s="1" t="e">
        <f aca="false">IF(ISBLANK(INDEX(big_daily_table,MATCH(DATE(P$5,$K153,$J153),daily_dates,0),MATCH($B$3,daily_items,0))),NA(),INDEX(big_daily_table,MATCH(DATE(P$5,$K153,$J153),daily_dates,0),MATCH($B$3,daily_items,0)))</f>
        <v>#N/A</v>
      </c>
      <c r="Q153" s="1" t="e">
        <f aca="false">IF(ISBLANK(INDEX(big_daily_table,MATCH(DATE(Q$5,$K153,$J153),daily_dates,0),MATCH($B$3,daily_items,0))),NA(),INDEX(big_daily_table,MATCH(DATE(Q$5,$K153,$J153),daily_dates,0),MATCH($B$3,daily_items,0)))</f>
        <v>#N/A</v>
      </c>
      <c r="R153" s="1" t="e">
        <f aca="false">IF(ISBLANK(INDEX(big_daily_table,MATCH(DATE(R$5,$K153,$J153),daily_dates,0),MATCH($B$3,daily_items,0))),NA(),INDEX(big_daily_table,MATCH(DATE(R$5,$K153,$J153),daily_dates,0),MATCH($B$3,daily_items,0)))</f>
        <v>#N/A</v>
      </c>
      <c r="S153" s="1" t="e">
        <f aca="false">IF(ISBLANK(INDEX(big_daily_table,MATCH(DATE(S$5,$K153,$J153),daily_dates,0),MATCH($B$3,daily_items,0))),NA(),INDEX(big_daily_table,MATCH(DATE(S$5,$K153,$J153),daily_dates,0),MATCH($B$3,daily_items,0)))</f>
        <v>#N/A</v>
      </c>
      <c r="T153" s="1" t="e">
        <f aca="false">IF(ISBLANK(INDEX(big_daily_table,MATCH(DATE(T$5,$K153,$J153),daily_dates,0),MATCH($B$3,daily_items,0))),NA(),INDEX(big_daily_table,MATCH(DATE(T$5,$K153,$J153),daily_dates,0),MATCH($B$3,daily_items,0)))</f>
        <v>#N/A</v>
      </c>
      <c r="U153" s="1" t="e">
        <f aca="false">IF(ISBLANK(INDEX(big_daily_table,MATCH(DATE(U$5,$K153,$J153),daily_dates,0),MATCH($B$3,daily_items,0))),NA(),INDEX(big_daily_table,MATCH(DATE(U$5,$K153,$J153),daily_dates,0),MATCH($B$3,daily_items,0)))</f>
        <v>#N/A</v>
      </c>
      <c r="V153" s="1" t="e">
        <f aca="false">IF(ISBLANK(INDEX(big_daily_table,MATCH(DATE(V$5,$K153,$J153),daily_dates,0),MATCH($B$3,daily_items,0))),NA(),INDEX(big_daily_table,MATCH(DATE(V$5,$K153,$J153),daily_dates,0),MATCH($B$3,daily_items,0)))</f>
        <v>#N/A</v>
      </c>
      <c r="W153" s="1" t="e">
        <f aca="false">IF(ISBLANK(INDEX(big_daily_table,MATCH(DATE(W$5,$K153,$J153),daily_dates,0),MATCH($B$3,daily_items,0))),NA(),INDEX(big_daily_table,MATCH(DATE(W$5,$K153,$J153),daily_dates,0),MATCH($B$3,daily_items,0)))</f>
        <v>#N/A</v>
      </c>
      <c r="X153" s="1" t="e">
        <f aca="false">IF(ISBLANK(INDEX(big_daily_table,MATCH(DATE(X$5,$K153,$J153),daily_dates,0),MATCH($B$3,daily_items,0))),NA(),INDEX(big_daily_table,MATCH(DATE(X$5,$K153,$J153),daily_dates,0),MATCH($B$3,daily_items,0)))</f>
        <v>#N/A</v>
      </c>
      <c r="Y153" s="1" t="e">
        <f aca="false">IF(ISBLANK(INDEX(big_daily_table,MATCH(DATE(Y$5,$K153,$J153),daily_dates,0),MATCH($B$3,daily_items,0))),NA(),INDEX(big_daily_table,MATCH(DATE(Y$5,$K153,$J153),daily_dates,0),MATCH($B$3,daily_items,0)))</f>
        <v>#N/A</v>
      </c>
      <c r="Z153" s="1" t="e">
        <f aca="false">IF(ISBLANK(INDEX(big_daily_table,MATCH(DATE(Z$5,$K153,$J153),daily_dates,0),MATCH($B$3,daily_items,0))),NA(),INDEX(big_daily_table,MATCH(DATE(Z$5,$K153,$J153),daily_dates,0),MATCH($B$3,daily_items,0)))</f>
        <v>#N/A</v>
      </c>
      <c r="AA153" s="1" t="n">
        <f aca="true">_xlfn.AGGREGATE(5,6,OFFSET($S$5,H153,0,1,$K$2))</f>
        <v>0</v>
      </c>
      <c r="AB153" s="1" t="n">
        <f aca="true">_xlfn.AGGREGATE(4,6,OFFSET($S$5,H153,0,1,$K$2))</f>
        <v>0</v>
      </c>
      <c r="AC153" s="1" t="n">
        <f aca="false">AB153-AA153</f>
        <v>0</v>
      </c>
      <c r="AD153" s="1" t="e">
        <f aca="true">_xlfn.AGGREGATE(1,6,OFFSET($S$5,H153,0,1,$K$2))</f>
        <v>#DIV/0!</v>
      </c>
    </row>
    <row r="154" customFormat="false" ht="14.25" hidden="false" customHeight="false" outlineLevel="0" collapsed="false">
      <c r="H154" s="1" t="n">
        <f aca="false">H153+1</f>
        <v>149</v>
      </c>
      <c r="I154" s="1" t="n">
        <f aca="false">WEEKDAY('daily graphs'!K154)</f>
        <v>1</v>
      </c>
      <c r="J154" s="1" t="n">
        <f aca="false">DAY(L154)</f>
        <v>27</v>
      </c>
      <c r="K154" s="1" t="n">
        <f aca="false">MONTH(L154)</f>
        <v>5</v>
      </c>
      <c r="L154" s="23" t="n">
        <f aca="false">'daily graphs'!K154 - I154</f>
        <v>36673</v>
      </c>
      <c r="M154" s="24" t="n">
        <f aca="true">IF(TODAY()&lt;DATE($O$5,K154,J154),1000000,-1000000)</f>
        <v>-1000000</v>
      </c>
      <c r="N154" s="24" t="e">
        <f aca="false">IF(M154&gt;0,INDEX(big_daily_table,MATCH(DATE(O$5,$K154,$J154),daily_dates,0),MATCH($B$3,daily_items,0)),NA())</f>
        <v>#N/A</v>
      </c>
      <c r="O154" s="1" t="e">
        <f aca="false">IF(M154&lt;0,INDEX(big_daily_table,MATCH(DATE(O$5,$K154,$J154),daily_dates,0),MATCH($B$3,daily_items,0)),NA())</f>
        <v>#N/A</v>
      </c>
      <c r="P154" s="1" t="e">
        <f aca="false">IF(ISBLANK(INDEX(big_daily_table,MATCH(DATE(P$5,$K154,$J154),daily_dates,0),MATCH($B$3,daily_items,0))),NA(),INDEX(big_daily_table,MATCH(DATE(P$5,$K154,$J154),daily_dates,0),MATCH($B$3,daily_items,0)))</f>
        <v>#N/A</v>
      </c>
      <c r="Q154" s="1" t="e">
        <f aca="false">IF(ISBLANK(INDEX(big_daily_table,MATCH(DATE(Q$5,$K154,$J154),daily_dates,0),MATCH($B$3,daily_items,0))),NA(),INDEX(big_daily_table,MATCH(DATE(Q$5,$K154,$J154),daily_dates,0),MATCH($B$3,daily_items,0)))</f>
        <v>#N/A</v>
      </c>
      <c r="R154" s="1" t="e">
        <f aca="false">IF(ISBLANK(INDEX(big_daily_table,MATCH(DATE(R$5,$K154,$J154),daily_dates,0),MATCH($B$3,daily_items,0))),NA(),INDEX(big_daily_table,MATCH(DATE(R$5,$K154,$J154),daily_dates,0),MATCH($B$3,daily_items,0)))</f>
        <v>#N/A</v>
      </c>
      <c r="S154" s="1" t="e">
        <f aca="false">IF(ISBLANK(INDEX(big_daily_table,MATCH(DATE(S$5,$K154,$J154),daily_dates,0),MATCH($B$3,daily_items,0))),NA(),INDEX(big_daily_table,MATCH(DATE(S$5,$K154,$J154),daily_dates,0),MATCH($B$3,daily_items,0)))</f>
        <v>#N/A</v>
      </c>
      <c r="T154" s="1" t="e">
        <f aca="false">IF(ISBLANK(INDEX(big_daily_table,MATCH(DATE(T$5,$K154,$J154),daily_dates,0),MATCH($B$3,daily_items,0))),NA(),INDEX(big_daily_table,MATCH(DATE(T$5,$K154,$J154),daily_dates,0),MATCH($B$3,daily_items,0)))</f>
        <v>#N/A</v>
      </c>
      <c r="U154" s="1" t="e">
        <f aca="false">IF(ISBLANK(INDEX(big_daily_table,MATCH(DATE(U$5,$K154,$J154),daily_dates,0),MATCH($B$3,daily_items,0))),NA(),INDEX(big_daily_table,MATCH(DATE(U$5,$K154,$J154),daily_dates,0),MATCH($B$3,daily_items,0)))</f>
        <v>#N/A</v>
      </c>
      <c r="V154" s="1" t="e">
        <f aca="false">IF(ISBLANK(INDEX(big_daily_table,MATCH(DATE(V$5,$K154,$J154),daily_dates,0),MATCH($B$3,daily_items,0))),NA(),INDEX(big_daily_table,MATCH(DATE(V$5,$K154,$J154),daily_dates,0),MATCH($B$3,daily_items,0)))</f>
        <v>#N/A</v>
      </c>
      <c r="W154" s="1" t="e">
        <f aca="false">IF(ISBLANK(INDEX(big_daily_table,MATCH(DATE(W$5,$K154,$J154),daily_dates,0),MATCH($B$3,daily_items,0))),NA(),INDEX(big_daily_table,MATCH(DATE(W$5,$K154,$J154),daily_dates,0),MATCH($B$3,daily_items,0)))</f>
        <v>#N/A</v>
      </c>
      <c r="X154" s="1" t="e">
        <f aca="false">IF(ISBLANK(INDEX(big_daily_table,MATCH(DATE(X$5,$K154,$J154),daily_dates,0),MATCH($B$3,daily_items,0))),NA(),INDEX(big_daily_table,MATCH(DATE(X$5,$K154,$J154),daily_dates,0),MATCH($B$3,daily_items,0)))</f>
        <v>#N/A</v>
      </c>
      <c r="Y154" s="1" t="e">
        <f aca="false">IF(ISBLANK(INDEX(big_daily_table,MATCH(DATE(Y$5,$K154,$J154),daily_dates,0),MATCH($B$3,daily_items,0))),NA(),INDEX(big_daily_table,MATCH(DATE(Y$5,$K154,$J154),daily_dates,0),MATCH($B$3,daily_items,0)))</f>
        <v>#N/A</v>
      </c>
      <c r="Z154" s="1" t="e">
        <f aca="false">IF(ISBLANK(INDEX(big_daily_table,MATCH(DATE(Z$5,$K154,$J154),daily_dates,0),MATCH($B$3,daily_items,0))),NA(),INDEX(big_daily_table,MATCH(DATE(Z$5,$K154,$J154),daily_dates,0),MATCH($B$3,daily_items,0)))</f>
        <v>#N/A</v>
      </c>
      <c r="AA154" s="1" t="n">
        <f aca="true">_xlfn.AGGREGATE(5,6,OFFSET($S$5,H154,0,1,$K$2))</f>
        <v>0</v>
      </c>
      <c r="AB154" s="1" t="n">
        <f aca="true">_xlfn.AGGREGATE(4,6,OFFSET($S$5,H154,0,1,$K$2))</f>
        <v>0</v>
      </c>
      <c r="AC154" s="1" t="n">
        <f aca="false">AB154-AA154</f>
        <v>0</v>
      </c>
      <c r="AD154" s="1" t="e">
        <f aca="true">_xlfn.AGGREGATE(1,6,OFFSET($S$5,H154,0,1,$K$2))</f>
        <v>#DIV/0!</v>
      </c>
    </row>
    <row r="155" customFormat="false" ht="14.25" hidden="false" customHeight="false" outlineLevel="0" collapsed="false">
      <c r="H155" s="1" t="n">
        <f aca="false">H154+1</f>
        <v>150</v>
      </c>
      <c r="I155" s="1" t="n">
        <f aca="false">WEEKDAY('daily graphs'!K155)</f>
        <v>2</v>
      </c>
      <c r="J155" s="1" t="n">
        <f aca="false">DAY(L155)</f>
        <v>27</v>
      </c>
      <c r="K155" s="1" t="n">
        <f aca="false">MONTH(L155)</f>
        <v>5</v>
      </c>
      <c r="L155" s="23" t="n">
        <f aca="false">'daily graphs'!K155 - I155</f>
        <v>36673</v>
      </c>
      <c r="M155" s="24" t="n">
        <f aca="true">IF(TODAY()&lt;DATE($O$5,K155,J155),1000000,-1000000)</f>
        <v>-1000000</v>
      </c>
      <c r="N155" s="24" t="e">
        <f aca="false">IF(M155&gt;0,INDEX(big_daily_table,MATCH(DATE(O$5,$K155,$J155),daily_dates,0),MATCH($B$3,daily_items,0)),NA())</f>
        <v>#N/A</v>
      </c>
      <c r="O155" s="1" t="e">
        <f aca="false">IF(M155&lt;0,INDEX(big_daily_table,MATCH(DATE(O$5,$K155,$J155),daily_dates,0),MATCH($B$3,daily_items,0)),NA())</f>
        <v>#N/A</v>
      </c>
      <c r="P155" s="1" t="e">
        <f aca="false">IF(ISBLANK(INDEX(big_daily_table,MATCH(DATE(P$5,$K155,$J155),daily_dates,0),MATCH($B$3,daily_items,0))),NA(),INDEX(big_daily_table,MATCH(DATE(P$5,$K155,$J155),daily_dates,0),MATCH($B$3,daily_items,0)))</f>
        <v>#N/A</v>
      </c>
      <c r="Q155" s="1" t="e">
        <f aca="false">IF(ISBLANK(INDEX(big_daily_table,MATCH(DATE(Q$5,$K155,$J155),daily_dates,0),MATCH($B$3,daily_items,0))),NA(),INDEX(big_daily_table,MATCH(DATE(Q$5,$K155,$J155),daily_dates,0),MATCH($B$3,daily_items,0)))</f>
        <v>#N/A</v>
      </c>
      <c r="R155" s="1" t="e">
        <f aca="false">IF(ISBLANK(INDEX(big_daily_table,MATCH(DATE(R$5,$K155,$J155),daily_dates,0),MATCH($B$3,daily_items,0))),NA(),INDEX(big_daily_table,MATCH(DATE(R$5,$K155,$J155),daily_dates,0),MATCH($B$3,daily_items,0)))</f>
        <v>#N/A</v>
      </c>
      <c r="S155" s="1" t="e">
        <f aca="false">IF(ISBLANK(INDEX(big_daily_table,MATCH(DATE(S$5,$K155,$J155),daily_dates,0),MATCH($B$3,daily_items,0))),NA(),INDEX(big_daily_table,MATCH(DATE(S$5,$K155,$J155),daily_dates,0),MATCH($B$3,daily_items,0)))</f>
        <v>#N/A</v>
      </c>
      <c r="T155" s="1" t="e">
        <f aca="false">IF(ISBLANK(INDEX(big_daily_table,MATCH(DATE(T$5,$K155,$J155),daily_dates,0),MATCH($B$3,daily_items,0))),NA(),INDEX(big_daily_table,MATCH(DATE(T$5,$K155,$J155),daily_dates,0),MATCH($B$3,daily_items,0)))</f>
        <v>#N/A</v>
      </c>
      <c r="U155" s="1" t="e">
        <f aca="false">IF(ISBLANK(INDEX(big_daily_table,MATCH(DATE(U$5,$K155,$J155),daily_dates,0),MATCH($B$3,daily_items,0))),NA(),INDEX(big_daily_table,MATCH(DATE(U$5,$K155,$J155),daily_dates,0),MATCH($B$3,daily_items,0)))</f>
        <v>#N/A</v>
      </c>
      <c r="V155" s="1" t="e">
        <f aca="false">IF(ISBLANK(INDEX(big_daily_table,MATCH(DATE(V$5,$K155,$J155),daily_dates,0),MATCH($B$3,daily_items,0))),NA(),INDEX(big_daily_table,MATCH(DATE(V$5,$K155,$J155),daily_dates,0),MATCH($B$3,daily_items,0)))</f>
        <v>#N/A</v>
      </c>
      <c r="W155" s="1" t="e">
        <f aca="false">IF(ISBLANK(INDEX(big_daily_table,MATCH(DATE(W$5,$K155,$J155),daily_dates,0),MATCH($B$3,daily_items,0))),NA(),INDEX(big_daily_table,MATCH(DATE(W$5,$K155,$J155),daily_dates,0),MATCH($B$3,daily_items,0)))</f>
        <v>#N/A</v>
      </c>
      <c r="X155" s="1" t="e">
        <f aca="false">IF(ISBLANK(INDEX(big_daily_table,MATCH(DATE(X$5,$K155,$J155),daily_dates,0),MATCH($B$3,daily_items,0))),NA(),INDEX(big_daily_table,MATCH(DATE(X$5,$K155,$J155),daily_dates,0),MATCH($B$3,daily_items,0)))</f>
        <v>#N/A</v>
      </c>
      <c r="Y155" s="1" t="e">
        <f aca="false">IF(ISBLANK(INDEX(big_daily_table,MATCH(DATE(Y$5,$K155,$J155),daily_dates,0),MATCH($B$3,daily_items,0))),NA(),INDEX(big_daily_table,MATCH(DATE(Y$5,$K155,$J155),daily_dates,0),MATCH($B$3,daily_items,0)))</f>
        <v>#N/A</v>
      </c>
      <c r="Z155" s="1" t="e">
        <f aca="false">IF(ISBLANK(INDEX(big_daily_table,MATCH(DATE(Z$5,$K155,$J155),daily_dates,0),MATCH($B$3,daily_items,0))),NA(),INDEX(big_daily_table,MATCH(DATE(Z$5,$K155,$J155),daily_dates,0),MATCH($B$3,daily_items,0)))</f>
        <v>#N/A</v>
      </c>
      <c r="AA155" s="1" t="n">
        <f aca="true">_xlfn.AGGREGATE(5,6,OFFSET($S$5,H155,0,1,$K$2))</f>
        <v>0</v>
      </c>
      <c r="AB155" s="1" t="n">
        <f aca="true">_xlfn.AGGREGATE(4,6,OFFSET($S$5,H155,0,1,$K$2))</f>
        <v>0</v>
      </c>
      <c r="AC155" s="1" t="n">
        <f aca="false">AB155-AA155</f>
        <v>0</v>
      </c>
      <c r="AD155" s="1" t="e">
        <f aca="true">_xlfn.AGGREGATE(1,6,OFFSET($S$5,H155,0,1,$K$2))</f>
        <v>#DIV/0!</v>
      </c>
    </row>
    <row r="156" customFormat="false" ht="14.25" hidden="false" customHeight="false" outlineLevel="0" collapsed="false">
      <c r="H156" s="1" t="n">
        <f aca="false">H155+1</f>
        <v>151</v>
      </c>
      <c r="I156" s="1" t="n">
        <f aca="false">WEEKDAY('daily graphs'!K156)</f>
        <v>3</v>
      </c>
      <c r="J156" s="1" t="n">
        <f aca="false">DAY(L156)</f>
        <v>27</v>
      </c>
      <c r="K156" s="1" t="n">
        <f aca="false">MONTH(L156)</f>
        <v>5</v>
      </c>
      <c r="L156" s="23" t="n">
        <f aca="false">'daily graphs'!K156 - I156</f>
        <v>36673</v>
      </c>
      <c r="M156" s="24" t="n">
        <f aca="true">IF(TODAY()&lt;DATE($O$5,K156,J156),1000000,-1000000)</f>
        <v>-1000000</v>
      </c>
      <c r="N156" s="24" t="e">
        <f aca="false">IF(M156&gt;0,INDEX(big_daily_table,MATCH(DATE(O$5,$K156,$J156),daily_dates,0),MATCH($B$3,daily_items,0)),NA())</f>
        <v>#N/A</v>
      </c>
      <c r="O156" s="1" t="e">
        <f aca="false">IF(M156&lt;0,INDEX(big_daily_table,MATCH(DATE(O$5,$K156,$J156),daily_dates,0),MATCH($B$3,daily_items,0)),NA())</f>
        <v>#N/A</v>
      </c>
      <c r="P156" s="1" t="e">
        <f aca="false">IF(ISBLANK(INDEX(big_daily_table,MATCH(DATE(P$5,$K156,$J156),daily_dates,0),MATCH($B$3,daily_items,0))),NA(),INDEX(big_daily_table,MATCH(DATE(P$5,$K156,$J156),daily_dates,0),MATCH($B$3,daily_items,0)))</f>
        <v>#N/A</v>
      </c>
      <c r="Q156" s="1" t="e">
        <f aca="false">IF(ISBLANK(INDEX(big_daily_table,MATCH(DATE(Q$5,$K156,$J156),daily_dates,0),MATCH($B$3,daily_items,0))),NA(),INDEX(big_daily_table,MATCH(DATE(Q$5,$K156,$J156),daily_dates,0),MATCH($B$3,daily_items,0)))</f>
        <v>#N/A</v>
      </c>
      <c r="R156" s="1" t="e">
        <f aca="false">IF(ISBLANK(INDEX(big_daily_table,MATCH(DATE(R$5,$K156,$J156),daily_dates,0),MATCH($B$3,daily_items,0))),NA(),INDEX(big_daily_table,MATCH(DATE(R$5,$K156,$J156),daily_dates,0),MATCH($B$3,daily_items,0)))</f>
        <v>#N/A</v>
      </c>
      <c r="S156" s="1" t="e">
        <f aca="false">IF(ISBLANK(INDEX(big_daily_table,MATCH(DATE(S$5,$K156,$J156),daily_dates,0),MATCH($B$3,daily_items,0))),NA(),INDEX(big_daily_table,MATCH(DATE(S$5,$K156,$J156),daily_dates,0),MATCH($B$3,daily_items,0)))</f>
        <v>#N/A</v>
      </c>
      <c r="T156" s="1" t="e">
        <f aca="false">IF(ISBLANK(INDEX(big_daily_table,MATCH(DATE(T$5,$K156,$J156),daily_dates,0),MATCH($B$3,daily_items,0))),NA(),INDEX(big_daily_table,MATCH(DATE(T$5,$K156,$J156),daily_dates,0),MATCH($B$3,daily_items,0)))</f>
        <v>#N/A</v>
      </c>
      <c r="U156" s="1" t="e">
        <f aca="false">IF(ISBLANK(INDEX(big_daily_table,MATCH(DATE(U$5,$K156,$J156),daily_dates,0),MATCH($B$3,daily_items,0))),NA(),INDEX(big_daily_table,MATCH(DATE(U$5,$K156,$J156),daily_dates,0),MATCH($B$3,daily_items,0)))</f>
        <v>#N/A</v>
      </c>
      <c r="V156" s="1" t="e">
        <f aca="false">IF(ISBLANK(INDEX(big_daily_table,MATCH(DATE(V$5,$K156,$J156),daily_dates,0),MATCH($B$3,daily_items,0))),NA(),INDEX(big_daily_table,MATCH(DATE(V$5,$K156,$J156),daily_dates,0),MATCH($B$3,daily_items,0)))</f>
        <v>#N/A</v>
      </c>
      <c r="W156" s="1" t="e">
        <f aca="false">IF(ISBLANK(INDEX(big_daily_table,MATCH(DATE(W$5,$K156,$J156),daily_dates,0),MATCH($B$3,daily_items,0))),NA(),INDEX(big_daily_table,MATCH(DATE(W$5,$K156,$J156),daily_dates,0),MATCH($B$3,daily_items,0)))</f>
        <v>#N/A</v>
      </c>
      <c r="X156" s="1" t="e">
        <f aca="false">IF(ISBLANK(INDEX(big_daily_table,MATCH(DATE(X$5,$K156,$J156),daily_dates,0),MATCH($B$3,daily_items,0))),NA(),INDEX(big_daily_table,MATCH(DATE(X$5,$K156,$J156),daily_dates,0),MATCH($B$3,daily_items,0)))</f>
        <v>#N/A</v>
      </c>
      <c r="Y156" s="1" t="e">
        <f aca="false">IF(ISBLANK(INDEX(big_daily_table,MATCH(DATE(Y$5,$K156,$J156),daily_dates,0),MATCH($B$3,daily_items,0))),NA(),INDEX(big_daily_table,MATCH(DATE(Y$5,$K156,$J156),daily_dates,0),MATCH($B$3,daily_items,0)))</f>
        <v>#N/A</v>
      </c>
      <c r="Z156" s="1" t="e">
        <f aca="false">IF(ISBLANK(INDEX(big_daily_table,MATCH(DATE(Z$5,$K156,$J156),daily_dates,0),MATCH($B$3,daily_items,0))),NA(),INDEX(big_daily_table,MATCH(DATE(Z$5,$K156,$J156),daily_dates,0),MATCH($B$3,daily_items,0)))</f>
        <v>#N/A</v>
      </c>
      <c r="AA156" s="1" t="n">
        <f aca="true">_xlfn.AGGREGATE(5,6,OFFSET($S$5,H156,0,1,$K$2))</f>
        <v>0</v>
      </c>
      <c r="AB156" s="1" t="n">
        <f aca="true">_xlfn.AGGREGATE(4,6,OFFSET($S$5,H156,0,1,$K$2))</f>
        <v>0</v>
      </c>
      <c r="AC156" s="1" t="n">
        <f aca="false">AB156-AA156</f>
        <v>0</v>
      </c>
      <c r="AD156" s="1" t="e">
        <f aca="true">_xlfn.AGGREGATE(1,6,OFFSET($S$5,H156,0,1,$K$2))</f>
        <v>#DIV/0!</v>
      </c>
    </row>
    <row r="157" customFormat="false" ht="14.25" hidden="false" customHeight="false" outlineLevel="0" collapsed="false">
      <c r="H157" s="1" t="n">
        <f aca="false">H156+1</f>
        <v>152</v>
      </c>
      <c r="I157" s="1" t="n">
        <f aca="false">WEEKDAY('daily graphs'!K157)</f>
        <v>4</v>
      </c>
      <c r="J157" s="1" t="n">
        <f aca="false">DAY(L157)</f>
        <v>27</v>
      </c>
      <c r="K157" s="1" t="n">
        <f aca="false">MONTH(L157)</f>
        <v>5</v>
      </c>
      <c r="L157" s="23" t="n">
        <f aca="false">'daily graphs'!K157 - I157</f>
        <v>36673</v>
      </c>
      <c r="M157" s="24" t="n">
        <f aca="true">IF(TODAY()&lt;DATE($O$5,K157,J157),1000000,-1000000)</f>
        <v>-1000000</v>
      </c>
      <c r="N157" s="24" t="e">
        <f aca="false">IF(M157&gt;0,INDEX(big_daily_table,MATCH(DATE(O$5,$K157,$J157),daily_dates,0),MATCH($B$3,daily_items,0)),NA())</f>
        <v>#N/A</v>
      </c>
      <c r="O157" s="1" t="e">
        <f aca="false">IF(M157&lt;0,INDEX(big_daily_table,MATCH(DATE(O$5,$K157,$J157),daily_dates,0),MATCH($B$3,daily_items,0)),NA())</f>
        <v>#N/A</v>
      </c>
      <c r="P157" s="1" t="e">
        <f aca="false">IF(ISBLANK(INDEX(big_daily_table,MATCH(DATE(P$5,$K157,$J157),daily_dates,0),MATCH($B$3,daily_items,0))),NA(),INDEX(big_daily_table,MATCH(DATE(P$5,$K157,$J157),daily_dates,0),MATCH($B$3,daily_items,0)))</f>
        <v>#N/A</v>
      </c>
      <c r="Q157" s="1" t="e">
        <f aca="false">IF(ISBLANK(INDEX(big_daily_table,MATCH(DATE(Q$5,$K157,$J157),daily_dates,0),MATCH($B$3,daily_items,0))),NA(),INDEX(big_daily_table,MATCH(DATE(Q$5,$K157,$J157),daily_dates,0),MATCH($B$3,daily_items,0)))</f>
        <v>#N/A</v>
      </c>
      <c r="R157" s="1" t="e">
        <f aca="false">IF(ISBLANK(INDEX(big_daily_table,MATCH(DATE(R$5,$K157,$J157),daily_dates,0),MATCH($B$3,daily_items,0))),NA(),INDEX(big_daily_table,MATCH(DATE(R$5,$K157,$J157),daily_dates,0),MATCH($B$3,daily_items,0)))</f>
        <v>#N/A</v>
      </c>
      <c r="S157" s="1" t="e">
        <f aca="false">IF(ISBLANK(INDEX(big_daily_table,MATCH(DATE(S$5,$K157,$J157),daily_dates,0),MATCH($B$3,daily_items,0))),NA(),INDEX(big_daily_table,MATCH(DATE(S$5,$K157,$J157),daily_dates,0),MATCH($B$3,daily_items,0)))</f>
        <v>#N/A</v>
      </c>
      <c r="T157" s="1" t="e">
        <f aca="false">IF(ISBLANK(INDEX(big_daily_table,MATCH(DATE(T$5,$K157,$J157),daily_dates,0),MATCH($B$3,daily_items,0))),NA(),INDEX(big_daily_table,MATCH(DATE(T$5,$K157,$J157),daily_dates,0),MATCH($B$3,daily_items,0)))</f>
        <v>#N/A</v>
      </c>
      <c r="U157" s="1" t="e">
        <f aca="false">IF(ISBLANK(INDEX(big_daily_table,MATCH(DATE(U$5,$K157,$J157),daily_dates,0),MATCH($B$3,daily_items,0))),NA(),INDEX(big_daily_table,MATCH(DATE(U$5,$K157,$J157),daily_dates,0),MATCH($B$3,daily_items,0)))</f>
        <v>#N/A</v>
      </c>
      <c r="V157" s="1" t="e">
        <f aca="false">IF(ISBLANK(INDEX(big_daily_table,MATCH(DATE(V$5,$K157,$J157),daily_dates,0),MATCH($B$3,daily_items,0))),NA(),INDEX(big_daily_table,MATCH(DATE(V$5,$K157,$J157),daily_dates,0),MATCH($B$3,daily_items,0)))</f>
        <v>#N/A</v>
      </c>
      <c r="W157" s="1" t="e">
        <f aca="false">IF(ISBLANK(INDEX(big_daily_table,MATCH(DATE(W$5,$K157,$J157),daily_dates,0),MATCH($B$3,daily_items,0))),NA(),INDEX(big_daily_table,MATCH(DATE(W$5,$K157,$J157),daily_dates,0),MATCH($B$3,daily_items,0)))</f>
        <v>#N/A</v>
      </c>
      <c r="X157" s="1" t="e">
        <f aca="false">IF(ISBLANK(INDEX(big_daily_table,MATCH(DATE(X$5,$K157,$J157),daily_dates,0),MATCH($B$3,daily_items,0))),NA(),INDEX(big_daily_table,MATCH(DATE(X$5,$K157,$J157),daily_dates,0),MATCH($B$3,daily_items,0)))</f>
        <v>#N/A</v>
      </c>
      <c r="Y157" s="1" t="e">
        <f aca="false">IF(ISBLANK(INDEX(big_daily_table,MATCH(DATE(Y$5,$K157,$J157),daily_dates,0),MATCH($B$3,daily_items,0))),NA(),INDEX(big_daily_table,MATCH(DATE(Y$5,$K157,$J157),daily_dates,0),MATCH($B$3,daily_items,0)))</f>
        <v>#N/A</v>
      </c>
      <c r="Z157" s="1" t="e">
        <f aca="false">IF(ISBLANK(INDEX(big_daily_table,MATCH(DATE(Z$5,$K157,$J157),daily_dates,0),MATCH($B$3,daily_items,0))),NA(),INDEX(big_daily_table,MATCH(DATE(Z$5,$K157,$J157),daily_dates,0),MATCH($B$3,daily_items,0)))</f>
        <v>#N/A</v>
      </c>
      <c r="AA157" s="1" t="n">
        <f aca="true">_xlfn.AGGREGATE(5,6,OFFSET($S$5,H157,0,1,$K$2))</f>
        <v>0</v>
      </c>
      <c r="AB157" s="1" t="n">
        <f aca="true">_xlfn.AGGREGATE(4,6,OFFSET($S$5,H157,0,1,$K$2))</f>
        <v>0</v>
      </c>
      <c r="AC157" s="1" t="n">
        <f aca="false">AB157-AA157</f>
        <v>0</v>
      </c>
      <c r="AD157" s="1" t="e">
        <f aca="true">_xlfn.AGGREGATE(1,6,OFFSET($S$5,H157,0,1,$K$2))</f>
        <v>#DIV/0!</v>
      </c>
    </row>
    <row r="158" customFormat="false" ht="14.25" hidden="false" customHeight="false" outlineLevel="0" collapsed="false">
      <c r="H158" s="1" t="n">
        <f aca="false">H157+1</f>
        <v>153</v>
      </c>
      <c r="I158" s="1" t="n">
        <f aca="false">WEEKDAY('daily graphs'!K158)</f>
        <v>5</v>
      </c>
      <c r="J158" s="1" t="n">
        <f aca="false">DAY(L158)</f>
        <v>27</v>
      </c>
      <c r="K158" s="1" t="n">
        <f aca="false">MONTH(L158)</f>
        <v>5</v>
      </c>
      <c r="L158" s="23" t="n">
        <f aca="false">'daily graphs'!K158 - I158</f>
        <v>36673</v>
      </c>
      <c r="M158" s="24" t="n">
        <f aca="true">IF(TODAY()&lt;DATE($O$5,K158,J158),1000000,-1000000)</f>
        <v>-1000000</v>
      </c>
      <c r="N158" s="24" t="e">
        <f aca="false">IF(M158&gt;0,INDEX(big_daily_table,MATCH(DATE(O$5,$K158,$J158),daily_dates,0),MATCH($B$3,daily_items,0)),NA())</f>
        <v>#N/A</v>
      </c>
      <c r="O158" s="1" t="e">
        <f aca="false">IF(M158&lt;0,INDEX(big_daily_table,MATCH(DATE(O$5,$K158,$J158),daily_dates,0),MATCH($B$3,daily_items,0)),NA())</f>
        <v>#N/A</v>
      </c>
      <c r="P158" s="1" t="e">
        <f aca="false">IF(ISBLANK(INDEX(big_daily_table,MATCH(DATE(P$5,$K158,$J158),daily_dates,0),MATCH($B$3,daily_items,0))),NA(),INDEX(big_daily_table,MATCH(DATE(P$5,$K158,$J158),daily_dates,0),MATCH($B$3,daily_items,0)))</f>
        <v>#N/A</v>
      </c>
      <c r="Q158" s="1" t="e">
        <f aca="false">IF(ISBLANK(INDEX(big_daily_table,MATCH(DATE(Q$5,$K158,$J158),daily_dates,0),MATCH($B$3,daily_items,0))),NA(),INDEX(big_daily_table,MATCH(DATE(Q$5,$K158,$J158),daily_dates,0),MATCH($B$3,daily_items,0)))</f>
        <v>#N/A</v>
      </c>
      <c r="R158" s="1" t="e">
        <f aca="false">IF(ISBLANK(INDEX(big_daily_table,MATCH(DATE(R$5,$K158,$J158),daily_dates,0),MATCH($B$3,daily_items,0))),NA(),INDEX(big_daily_table,MATCH(DATE(R$5,$K158,$J158),daily_dates,0),MATCH($B$3,daily_items,0)))</f>
        <v>#N/A</v>
      </c>
      <c r="S158" s="1" t="e">
        <f aca="false">IF(ISBLANK(INDEX(big_daily_table,MATCH(DATE(S$5,$K158,$J158),daily_dates,0),MATCH($B$3,daily_items,0))),NA(),INDEX(big_daily_table,MATCH(DATE(S$5,$K158,$J158),daily_dates,0),MATCH($B$3,daily_items,0)))</f>
        <v>#N/A</v>
      </c>
      <c r="T158" s="1" t="e">
        <f aca="false">IF(ISBLANK(INDEX(big_daily_table,MATCH(DATE(T$5,$K158,$J158),daily_dates,0),MATCH($B$3,daily_items,0))),NA(),INDEX(big_daily_table,MATCH(DATE(T$5,$K158,$J158),daily_dates,0),MATCH($B$3,daily_items,0)))</f>
        <v>#N/A</v>
      </c>
      <c r="U158" s="1" t="e">
        <f aca="false">IF(ISBLANK(INDEX(big_daily_table,MATCH(DATE(U$5,$K158,$J158),daily_dates,0),MATCH($B$3,daily_items,0))),NA(),INDEX(big_daily_table,MATCH(DATE(U$5,$K158,$J158),daily_dates,0),MATCH($B$3,daily_items,0)))</f>
        <v>#N/A</v>
      </c>
      <c r="V158" s="1" t="e">
        <f aca="false">IF(ISBLANK(INDEX(big_daily_table,MATCH(DATE(V$5,$K158,$J158),daily_dates,0),MATCH($B$3,daily_items,0))),NA(),INDEX(big_daily_table,MATCH(DATE(V$5,$K158,$J158),daily_dates,0),MATCH($B$3,daily_items,0)))</f>
        <v>#N/A</v>
      </c>
      <c r="W158" s="1" t="e">
        <f aca="false">IF(ISBLANK(INDEX(big_daily_table,MATCH(DATE(W$5,$K158,$J158),daily_dates,0),MATCH($B$3,daily_items,0))),NA(),INDEX(big_daily_table,MATCH(DATE(W$5,$K158,$J158),daily_dates,0),MATCH($B$3,daily_items,0)))</f>
        <v>#N/A</v>
      </c>
      <c r="X158" s="1" t="e">
        <f aca="false">IF(ISBLANK(INDEX(big_daily_table,MATCH(DATE(X$5,$K158,$J158),daily_dates,0),MATCH($B$3,daily_items,0))),NA(),INDEX(big_daily_table,MATCH(DATE(X$5,$K158,$J158),daily_dates,0),MATCH($B$3,daily_items,0)))</f>
        <v>#N/A</v>
      </c>
      <c r="Y158" s="1" t="e">
        <f aca="false">IF(ISBLANK(INDEX(big_daily_table,MATCH(DATE(Y$5,$K158,$J158),daily_dates,0),MATCH($B$3,daily_items,0))),NA(),INDEX(big_daily_table,MATCH(DATE(Y$5,$K158,$J158),daily_dates,0),MATCH($B$3,daily_items,0)))</f>
        <v>#N/A</v>
      </c>
      <c r="Z158" s="1" t="e">
        <f aca="false">IF(ISBLANK(INDEX(big_daily_table,MATCH(DATE(Z$5,$K158,$J158),daily_dates,0),MATCH($B$3,daily_items,0))),NA(),INDEX(big_daily_table,MATCH(DATE(Z$5,$K158,$J158),daily_dates,0),MATCH($B$3,daily_items,0)))</f>
        <v>#N/A</v>
      </c>
      <c r="AA158" s="1" t="n">
        <f aca="true">_xlfn.AGGREGATE(5,6,OFFSET($S$5,H158,0,1,$K$2))</f>
        <v>0</v>
      </c>
      <c r="AB158" s="1" t="n">
        <f aca="true">_xlfn.AGGREGATE(4,6,OFFSET($S$5,H158,0,1,$K$2))</f>
        <v>0</v>
      </c>
      <c r="AC158" s="1" t="n">
        <f aca="false">AB158-AA158</f>
        <v>0</v>
      </c>
      <c r="AD158" s="1" t="e">
        <f aca="true">_xlfn.AGGREGATE(1,6,OFFSET($S$5,H158,0,1,$K$2))</f>
        <v>#DIV/0!</v>
      </c>
    </row>
    <row r="159" customFormat="false" ht="14.25" hidden="false" customHeight="false" outlineLevel="0" collapsed="false">
      <c r="H159" s="1" t="n">
        <f aca="false">H158+1</f>
        <v>154</v>
      </c>
      <c r="I159" s="1" t="n">
        <f aca="false">WEEKDAY('daily graphs'!K159)</f>
        <v>6</v>
      </c>
      <c r="J159" s="1" t="n">
        <f aca="false">DAY(L159)</f>
        <v>27</v>
      </c>
      <c r="K159" s="1" t="n">
        <f aca="false">MONTH(L159)</f>
        <v>5</v>
      </c>
      <c r="L159" s="23" t="n">
        <f aca="false">'daily graphs'!K159 - I159</f>
        <v>36673</v>
      </c>
      <c r="M159" s="24" t="n">
        <f aca="true">IF(TODAY()&lt;DATE($O$5,K159,J159),1000000,-1000000)</f>
        <v>-1000000</v>
      </c>
      <c r="N159" s="24" t="e">
        <f aca="false">IF(M159&gt;0,INDEX(big_daily_table,MATCH(DATE(O$5,$K159,$J159),daily_dates,0),MATCH($B$3,daily_items,0)),NA())</f>
        <v>#N/A</v>
      </c>
      <c r="O159" s="1" t="e">
        <f aca="false">IF(M159&lt;0,INDEX(big_daily_table,MATCH(DATE(O$5,$K159,$J159),daily_dates,0),MATCH($B$3,daily_items,0)),NA())</f>
        <v>#N/A</v>
      </c>
      <c r="P159" s="1" t="e">
        <f aca="false">IF(ISBLANK(INDEX(big_daily_table,MATCH(DATE(P$5,$K159,$J159),daily_dates,0),MATCH($B$3,daily_items,0))),NA(),INDEX(big_daily_table,MATCH(DATE(P$5,$K159,$J159),daily_dates,0),MATCH($B$3,daily_items,0)))</f>
        <v>#N/A</v>
      </c>
      <c r="Q159" s="1" t="e">
        <f aca="false">IF(ISBLANK(INDEX(big_daily_table,MATCH(DATE(Q$5,$K159,$J159),daily_dates,0),MATCH($B$3,daily_items,0))),NA(),INDEX(big_daily_table,MATCH(DATE(Q$5,$K159,$J159),daily_dates,0),MATCH($B$3,daily_items,0)))</f>
        <v>#N/A</v>
      </c>
      <c r="R159" s="1" t="e">
        <f aca="false">IF(ISBLANK(INDEX(big_daily_table,MATCH(DATE(R$5,$K159,$J159),daily_dates,0),MATCH($B$3,daily_items,0))),NA(),INDEX(big_daily_table,MATCH(DATE(R$5,$K159,$J159),daily_dates,0),MATCH($B$3,daily_items,0)))</f>
        <v>#N/A</v>
      </c>
      <c r="S159" s="1" t="e">
        <f aca="false">IF(ISBLANK(INDEX(big_daily_table,MATCH(DATE(S$5,$K159,$J159),daily_dates,0),MATCH($B$3,daily_items,0))),NA(),INDEX(big_daily_table,MATCH(DATE(S$5,$K159,$J159),daily_dates,0),MATCH($B$3,daily_items,0)))</f>
        <v>#N/A</v>
      </c>
      <c r="T159" s="1" t="e">
        <f aca="false">IF(ISBLANK(INDEX(big_daily_table,MATCH(DATE(T$5,$K159,$J159),daily_dates,0),MATCH($B$3,daily_items,0))),NA(),INDEX(big_daily_table,MATCH(DATE(T$5,$K159,$J159),daily_dates,0),MATCH($B$3,daily_items,0)))</f>
        <v>#N/A</v>
      </c>
      <c r="U159" s="1" t="e">
        <f aca="false">IF(ISBLANK(INDEX(big_daily_table,MATCH(DATE(U$5,$K159,$J159),daily_dates,0),MATCH($B$3,daily_items,0))),NA(),INDEX(big_daily_table,MATCH(DATE(U$5,$K159,$J159),daily_dates,0),MATCH($B$3,daily_items,0)))</f>
        <v>#N/A</v>
      </c>
      <c r="V159" s="1" t="e">
        <f aca="false">IF(ISBLANK(INDEX(big_daily_table,MATCH(DATE(V$5,$K159,$J159),daily_dates,0),MATCH($B$3,daily_items,0))),NA(),INDEX(big_daily_table,MATCH(DATE(V$5,$K159,$J159),daily_dates,0),MATCH($B$3,daily_items,0)))</f>
        <v>#N/A</v>
      </c>
      <c r="W159" s="1" t="e">
        <f aca="false">IF(ISBLANK(INDEX(big_daily_table,MATCH(DATE(W$5,$K159,$J159),daily_dates,0),MATCH($B$3,daily_items,0))),NA(),INDEX(big_daily_table,MATCH(DATE(W$5,$K159,$J159),daily_dates,0),MATCH($B$3,daily_items,0)))</f>
        <v>#N/A</v>
      </c>
      <c r="X159" s="1" t="e">
        <f aca="false">IF(ISBLANK(INDEX(big_daily_table,MATCH(DATE(X$5,$K159,$J159),daily_dates,0),MATCH($B$3,daily_items,0))),NA(),INDEX(big_daily_table,MATCH(DATE(X$5,$K159,$J159),daily_dates,0),MATCH($B$3,daily_items,0)))</f>
        <v>#N/A</v>
      </c>
      <c r="Y159" s="1" t="e">
        <f aca="false">IF(ISBLANK(INDEX(big_daily_table,MATCH(DATE(Y$5,$K159,$J159),daily_dates,0),MATCH($B$3,daily_items,0))),NA(),INDEX(big_daily_table,MATCH(DATE(Y$5,$K159,$J159),daily_dates,0),MATCH($B$3,daily_items,0)))</f>
        <v>#N/A</v>
      </c>
      <c r="Z159" s="1" t="e">
        <f aca="false">IF(ISBLANK(INDEX(big_daily_table,MATCH(DATE(Z$5,$K159,$J159),daily_dates,0),MATCH($B$3,daily_items,0))),NA(),INDEX(big_daily_table,MATCH(DATE(Z$5,$K159,$J159),daily_dates,0),MATCH($B$3,daily_items,0)))</f>
        <v>#N/A</v>
      </c>
      <c r="AA159" s="1" t="n">
        <f aca="true">_xlfn.AGGREGATE(5,6,OFFSET($S$5,H159,0,1,$K$2))</f>
        <v>0</v>
      </c>
      <c r="AB159" s="1" t="n">
        <f aca="true">_xlfn.AGGREGATE(4,6,OFFSET($S$5,H159,0,1,$K$2))</f>
        <v>0</v>
      </c>
      <c r="AC159" s="1" t="n">
        <f aca="false">AB159-AA159</f>
        <v>0</v>
      </c>
      <c r="AD159" s="1" t="e">
        <f aca="true">_xlfn.AGGREGATE(1,6,OFFSET($S$5,H159,0,1,$K$2))</f>
        <v>#DIV/0!</v>
      </c>
    </row>
    <row r="160" customFormat="false" ht="14.25" hidden="false" customHeight="false" outlineLevel="0" collapsed="false">
      <c r="H160" s="1" t="n">
        <f aca="false">H159+1</f>
        <v>155</v>
      </c>
      <c r="I160" s="1" t="n">
        <f aca="false">WEEKDAY('daily graphs'!K160)</f>
        <v>7</v>
      </c>
      <c r="J160" s="1" t="n">
        <f aca="false">DAY(L160)</f>
        <v>27</v>
      </c>
      <c r="K160" s="1" t="n">
        <f aca="false">MONTH(L160)</f>
        <v>5</v>
      </c>
      <c r="L160" s="23" t="n">
        <f aca="false">'daily graphs'!K160 - I160</f>
        <v>36673</v>
      </c>
      <c r="M160" s="24" t="n">
        <f aca="true">IF(TODAY()&lt;DATE($O$5,K160,J160),1000000,-1000000)</f>
        <v>-1000000</v>
      </c>
      <c r="N160" s="24" t="e">
        <f aca="false">IF(M160&gt;0,INDEX(big_daily_table,MATCH(DATE(O$5,$K160,$J160),daily_dates,0),MATCH($B$3,daily_items,0)),NA())</f>
        <v>#N/A</v>
      </c>
      <c r="O160" s="1" t="e">
        <f aca="false">IF(M160&lt;0,INDEX(big_daily_table,MATCH(DATE(O$5,$K160,$J160),daily_dates,0),MATCH($B$3,daily_items,0)),NA())</f>
        <v>#N/A</v>
      </c>
      <c r="P160" s="1" t="e">
        <f aca="false">IF(ISBLANK(INDEX(big_daily_table,MATCH(DATE(P$5,$K160,$J160),daily_dates,0),MATCH($B$3,daily_items,0))),NA(),INDEX(big_daily_table,MATCH(DATE(P$5,$K160,$J160),daily_dates,0),MATCH($B$3,daily_items,0)))</f>
        <v>#N/A</v>
      </c>
      <c r="Q160" s="1" t="e">
        <f aca="false">IF(ISBLANK(INDEX(big_daily_table,MATCH(DATE(Q$5,$K160,$J160),daily_dates,0),MATCH($B$3,daily_items,0))),NA(),INDEX(big_daily_table,MATCH(DATE(Q$5,$K160,$J160),daily_dates,0),MATCH($B$3,daily_items,0)))</f>
        <v>#N/A</v>
      </c>
      <c r="R160" s="1" t="e">
        <f aca="false">IF(ISBLANK(INDEX(big_daily_table,MATCH(DATE(R$5,$K160,$J160),daily_dates,0),MATCH($B$3,daily_items,0))),NA(),INDEX(big_daily_table,MATCH(DATE(R$5,$K160,$J160),daily_dates,0),MATCH($B$3,daily_items,0)))</f>
        <v>#N/A</v>
      </c>
      <c r="S160" s="1" t="e">
        <f aca="false">IF(ISBLANK(INDEX(big_daily_table,MATCH(DATE(S$5,$K160,$J160),daily_dates,0),MATCH($B$3,daily_items,0))),NA(),INDEX(big_daily_table,MATCH(DATE(S$5,$K160,$J160),daily_dates,0),MATCH($B$3,daily_items,0)))</f>
        <v>#N/A</v>
      </c>
      <c r="T160" s="1" t="e">
        <f aca="false">IF(ISBLANK(INDEX(big_daily_table,MATCH(DATE(T$5,$K160,$J160),daily_dates,0),MATCH($B$3,daily_items,0))),NA(),INDEX(big_daily_table,MATCH(DATE(T$5,$K160,$J160),daily_dates,0),MATCH($B$3,daily_items,0)))</f>
        <v>#N/A</v>
      </c>
      <c r="U160" s="1" t="e">
        <f aca="false">IF(ISBLANK(INDEX(big_daily_table,MATCH(DATE(U$5,$K160,$J160),daily_dates,0),MATCH($B$3,daily_items,0))),NA(),INDEX(big_daily_table,MATCH(DATE(U$5,$K160,$J160),daily_dates,0),MATCH($B$3,daily_items,0)))</f>
        <v>#N/A</v>
      </c>
      <c r="V160" s="1" t="e">
        <f aca="false">IF(ISBLANK(INDEX(big_daily_table,MATCH(DATE(V$5,$K160,$J160),daily_dates,0),MATCH($B$3,daily_items,0))),NA(),INDEX(big_daily_table,MATCH(DATE(V$5,$K160,$J160),daily_dates,0),MATCH($B$3,daily_items,0)))</f>
        <v>#N/A</v>
      </c>
      <c r="W160" s="1" t="e">
        <f aca="false">IF(ISBLANK(INDEX(big_daily_table,MATCH(DATE(W$5,$K160,$J160),daily_dates,0),MATCH($B$3,daily_items,0))),NA(),INDEX(big_daily_table,MATCH(DATE(W$5,$K160,$J160),daily_dates,0),MATCH($B$3,daily_items,0)))</f>
        <v>#N/A</v>
      </c>
      <c r="X160" s="1" t="e">
        <f aca="false">IF(ISBLANK(INDEX(big_daily_table,MATCH(DATE(X$5,$K160,$J160),daily_dates,0),MATCH($B$3,daily_items,0))),NA(),INDEX(big_daily_table,MATCH(DATE(X$5,$K160,$J160),daily_dates,0),MATCH($B$3,daily_items,0)))</f>
        <v>#N/A</v>
      </c>
      <c r="Y160" s="1" t="e">
        <f aca="false">IF(ISBLANK(INDEX(big_daily_table,MATCH(DATE(Y$5,$K160,$J160),daily_dates,0),MATCH($B$3,daily_items,0))),NA(),INDEX(big_daily_table,MATCH(DATE(Y$5,$K160,$J160),daily_dates,0),MATCH($B$3,daily_items,0)))</f>
        <v>#N/A</v>
      </c>
      <c r="Z160" s="1" t="e">
        <f aca="false">IF(ISBLANK(INDEX(big_daily_table,MATCH(DATE(Z$5,$K160,$J160),daily_dates,0),MATCH($B$3,daily_items,0))),NA(),INDEX(big_daily_table,MATCH(DATE(Z$5,$K160,$J160),daily_dates,0),MATCH($B$3,daily_items,0)))</f>
        <v>#N/A</v>
      </c>
      <c r="AA160" s="1" t="n">
        <f aca="true">_xlfn.AGGREGATE(5,6,OFFSET($S$5,H160,0,1,$K$2))</f>
        <v>0</v>
      </c>
      <c r="AB160" s="1" t="n">
        <f aca="true">_xlfn.AGGREGATE(4,6,OFFSET($S$5,H160,0,1,$K$2))</f>
        <v>0</v>
      </c>
      <c r="AC160" s="1" t="n">
        <f aca="false">AB160-AA160</f>
        <v>0</v>
      </c>
      <c r="AD160" s="1" t="e">
        <f aca="true">_xlfn.AGGREGATE(1,6,OFFSET($S$5,H160,0,1,$K$2))</f>
        <v>#DIV/0!</v>
      </c>
    </row>
    <row r="161" customFormat="false" ht="14.25" hidden="false" customHeight="false" outlineLevel="0" collapsed="false">
      <c r="H161" s="1" t="n">
        <f aca="false">H160+1</f>
        <v>156</v>
      </c>
      <c r="I161" s="1" t="n">
        <f aca="false">WEEKDAY('daily graphs'!K161)</f>
        <v>1</v>
      </c>
      <c r="J161" s="1" t="n">
        <f aca="false">DAY(L161)</f>
        <v>3</v>
      </c>
      <c r="K161" s="1" t="n">
        <f aca="false">MONTH(L161)</f>
        <v>6</v>
      </c>
      <c r="L161" s="23" t="n">
        <f aca="false">'daily graphs'!K161 - I161</f>
        <v>36680</v>
      </c>
      <c r="M161" s="24" t="n">
        <f aca="true">IF(TODAY()&lt;DATE($O$5,K161,J161),1000000,-1000000)</f>
        <v>-1000000</v>
      </c>
      <c r="N161" s="24" t="e">
        <f aca="false">IF(M161&gt;0,INDEX(big_daily_table,MATCH(DATE(O$5,$K161,$J161),daily_dates,0),MATCH($B$3,daily_items,0)),NA())</f>
        <v>#N/A</v>
      </c>
      <c r="O161" s="1" t="e">
        <f aca="false">IF(M161&lt;0,INDEX(big_daily_table,MATCH(DATE(O$5,$K161,$J161),daily_dates,0),MATCH($B$3,daily_items,0)),NA())</f>
        <v>#N/A</v>
      </c>
      <c r="P161" s="1" t="e">
        <f aca="false">IF(ISBLANK(INDEX(big_daily_table,MATCH(DATE(P$5,$K161,$J161),daily_dates,0),MATCH($B$3,daily_items,0))),NA(),INDEX(big_daily_table,MATCH(DATE(P$5,$K161,$J161),daily_dates,0),MATCH($B$3,daily_items,0)))</f>
        <v>#N/A</v>
      </c>
      <c r="Q161" s="1" t="e">
        <f aca="false">IF(ISBLANK(INDEX(big_daily_table,MATCH(DATE(Q$5,$K161,$J161),daily_dates,0),MATCH($B$3,daily_items,0))),NA(),INDEX(big_daily_table,MATCH(DATE(Q$5,$K161,$J161),daily_dates,0),MATCH($B$3,daily_items,0)))</f>
        <v>#N/A</v>
      </c>
      <c r="R161" s="1" t="e">
        <f aca="false">IF(ISBLANK(INDEX(big_daily_table,MATCH(DATE(R$5,$K161,$J161),daily_dates,0),MATCH($B$3,daily_items,0))),NA(),INDEX(big_daily_table,MATCH(DATE(R$5,$K161,$J161),daily_dates,0),MATCH($B$3,daily_items,0)))</f>
        <v>#N/A</v>
      </c>
      <c r="S161" s="1" t="e">
        <f aca="false">IF(ISBLANK(INDEX(big_daily_table,MATCH(DATE(S$5,$K161,$J161),daily_dates,0),MATCH($B$3,daily_items,0))),NA(),INDEX(big_daily_table,MATCH(DATE(S$5,$K161,$J161),daily_dates,0),MATCH($B$3,daily_items,0)))</f>
        <v>#N/A</v>
      </c>
      <c r="T161" s="1" t="e">
        <f aca="false">IF(ISBLANK(INDEX(big_daily_table,MATCH(DATE(T$5,$K161,$J161),daily_dates,0),MATCH($B$3,daily_items,0))),NA(),INDEX(big_daily_table,MATCH(DATE(T$5,$K161,$J161),daily_dates,0),MATCH($B$3,daily_items,0)))</f>
        <v>#N/A</v>
      </c>
      <c r="U161" s="1" t="e">
        <f aca="false">IF(ISBLANK(INDEX(big_daily_table,MATCH(DATE(U$5,$K161,$J161),daily_dates,0),MATCH($B$3,daily_items,0))),NA(),INDEX(big_daily_table,MATCH(DATE(U$5,$K161,$J161),daily_dates,0),MATCH($B$3,daily_items,0)))</f>
        <v>#N/A</v>
      </c>
      <c r="V161" s="1" t="e">
        <f aca="false">IF(ISBLANK(INDEX(big_daily_table,MATCH(DATE(V$5,$K161,$J161),daily_dates,0),MATCH($B$3,daily_items,0))),NA(),INDEX(big_daily_table,MATCH(DATE(V$5,$K161,$J161),daily_dates,0),MATCH($B$3,daily_items,0)))</f>
        <v>#N/A</v>
      </c>
      <c r="W161" s="1" t="e">
        <f aca="false">IF(ISBLANK(INDEX(big_daily_table,MATCH(DATE(W$5,$K161,$J161),daily_dates,0),MATCH($B$3,daily_items,0))),NA(),INDEX(big_daily_table,MATCH(DATE(W$5,$K161,$J161),daily_dates,0),MATCH($B$3,daily_items,0)))</f>
        <v>#N/A</v>
      </c>
      <c r="X161" s="1" t="e">
        <f aca="false">IF(ISBLANK(INDEX(big_daily_table,MATCH(DATE(X$5,$K161,$J161),daily_dates,0),MATCH($B$3,daily_items,0))),NA(),INDEX(big_daily_table,MATCH(DATE(X$5,$K161,$J161),daily_dates,0),MATCH($B$3,daily_items,0)))</f>
        <v>#N/A</v>
      </c>
      <c r="Y161" s="1" t="e">
        <f aca="false">IF(ISBLANK(INDEX(big_daily_table,MATCH(DATE(Y$5,$K161,$J161),daily_dates,0),MATCH($B$3,daily_items,0))),NA(),INDEX(big_daily_table,MATCH(DATE(Y$5,$K161,$J161),daily_dates,0),MATCH($B$3,daily_items,0)))</f>
        <v>#N/A</v>
      </c>
      <c r="Z161" s="1" t="e">
        <f aca="false">IF(ISBLANK(INDEX(big_daily_table,MATCH(DATE(Z$5,$K161,$J161),daily_dates,0),MATCH($B$3,daily_items,0))),NA(),INDEX(big_daily_table,MATCH(DATE(Z$5,$K161,$J161),daily_dates,0),MATCH($B$3,daily_items,0)))</f>
        <v>#N/A</v>
      </c>
      <c r="AA161" s="1" t="n">
        <f aca="true">_xlfn.AGGREGATE(5,6,OFFSET($S$5,H161,0,1,$K$2))</f>
        <v>0</v>
      </c>
      <c r="AB161" s="1" t="n">
        <f aca="true">_xlfn.AGGREGATE(4,6,OFFSET($S$5,H161,0,1,$K$2))</f>
        <v>0</v>
      </c>
      <c r="AC161" s="1" t="n">
        <f aca="false">AB161-AA161</f>
        <v>0</v>
      </c>
      <c r="AD161" s="1" t="e">
        <f aca="true">_xlfn.AGGREGATE(1,6,OFFSET($S$5,H161,0,1,$K$2))</f>
        <v>#DIV/0!</v>
      </c>
    </row>
    <row r="162" customFormat="false" ht="14.25" hidden="false" customHeight="false" outlineLevel="0" collapsed="false">
      <c r="H162" s="1" t="n">
        <f aca="false">H161+1</f>
        <v>157</v>
      </c>
      <c r="I162" s="1" t="n">
        <f aca="false">WEEKDAY('daily graphs'!K162)</f>
        <v>2</v>
      </c>
      <c r="J162" s="1" t="n">
        <f aca="false">DAY(L162)</f>
        <v>3</v>
      </c>
      <c r="K162" s="1" t="n">
        <f aca="false">MONTH(L162)</f>
        <v>6</v>
      </c>
      <c r="L162" s="23" t="n">
        <f aca="false">'daily graphs'!K162 - I162</f>
        <v>36680</v>
      </c>
      <c r="M162" s="24" t="n">
        <f aca="true">IF(TODAY()&lt;DATE($O$5,K162,J162),1000000,-1000000)</f>
        <v>-1000000</v>
      </c>
      <c r="N162" s="24" t="e">
        <f aca="false">IF(M162&gt;0,INDEX(big_daily_table,MATCH(DATE(O$5,$K162,$J162),daily_dates,0),MATCH($B$3,daily_items,0)),NA())</f>
        <v>#N/A</v>
      </c>
      <c r="O162" s="1" t="e">
        <f aca="false">IF(M162&lt;0,INDEX(big_daily_table,MATCH(DATE(O$5,$K162,$J162),daily_dates,0),MATCH($B$3,daily_items,0)),NA())</f>
        <v>#N/A</v>
      </c>
      <c r="P162" s="1" t="e">
        <f aca="false">IF(ISBLANK(INDEX(big_daily_table,MATCH(DATE(P$5,$K162,$J162),daily_dates,0),MATCH($B$3,daily_items,0))),NA(),INDEX(big_daily_table,MATCH(DATE(P$5,$K162,$J162),daily_dates,0),MATCH($B$3,daily_items,0)))</f>
        <v>#N/A</v>
      </c>
      <c r="Q162" s="1" t="e">
        <f aca="false">IF(ISBLANK(INDEX(big_daily_table,MATCH(DATE(Q$5,$K162,$J162),daily_dates,0),MATCH($B$3,daily_items,0))),NA(),INDEX(big_daily_table,MATCH(DATE(Q$5,$K162,$J162),daily_dates,0),MATCH($B$3,daily_items,0)))</f>
        <v>#N/A</v>
      </c>
      <c r="R162" s="1" t="e">
        <f aca="false">IF(ISBLANK(INDEX(big_daily_table,MATCH(DATE(R$5,$K162,$J162),daily_dates,0),MATCH($B$3,daily_items,0))),NA(),INDEX(big_daily_table,MATCH(DATE(R$5,$K162,$J162),daily_dates,0),MATCH($B$3,daily_items,0)))</f>
        <v>#N/A</v>
      </c>
      <c r="S162" s="1" t="e">
        <f aca="false">IF(ISBLANK(INDEX(big_daily_table,MATCH(DATE(S$5,$K162,$J162),daily_dates,0),MATCH($B$3,daily_items,0))),NA(),INDEX(big_daily_table,MATCH(DATE(S$5,$K162,$J162),daily_dates,0),MATCH($B$3,daily_items,0)))</f>
        <v>#N/A</v>
      </c>
      <c r="T162" s="1" t="e">
        <f aca="false">IF(ISBLANK(INDEX(big_daily_table,MATCH(DATE(T$5,$K162,$J162),daily_dates,0),MATCH($B$3,daily_items,0))),NA(),INDEX(big_daily_table,MATCH(DATE(T$5,$K162,$J162),daily_dates,0),MATCH($B$3,daily_items,0)))</f>
        <v>#N/A</v>
      </c>
      <c r="U162" s="1" t="e">
        <f aca="false">IF(ISBLANK(INDEX(big_daily_table,MATCH(DATE(U$5,$K162,$J162),daily_dates,0),MATCH($B$3,daily_items,0))),NA(),INDEX(big_daily_table,MATCH(DATE(U$5,$K162,$J162),daily_dates,0),MATCH($B$3,daily_items,0)))</f>
        <v>#N/A</v>
      </c>
      <c r="V162" s="1" t="e">
        <f aca="false">IF(ISBLANK(INDEX(big_daily_table,MATCH(DATE(V$5,$K162,$J162),daily_dates,0),MATCH($B$3,daily_items,0))),NA(),INDEX(big_daily_table,MATCH(DATE(V$5,$K162,$J162),daily_dates,0),MATCH($B$3,daily_items,0)))</f>
        <v>#N/A</v>
      </c>
      <c r="W162" s="1" t="e">
        <f aca="false">IF(ISBLANK(INDEX(big_daily_table,MATCH(DATE(W$5,$K162,$J162),daily_dates,0),MATCH($B$3,daily_items,0))),NA(),INDEX(big_daily_table,MATCH(DATE(W$5,$K162,$J162),daily_dates,0),MATCH($B$3,daily_items,0)))</f>
        <v>#N/A</v>
      </c>
      <c r="X162" s="1" t="e">
        <f aca="false">IF(ISBLANK(INDEX(big_daily_table,MATCH(DATE(X$5,$K162,$J162),daily_dates,0),MATCH($B$3,daily_items,0))),NA(),INDEX(big_daily_table,MATCH(DATE(X$5,$K162,$J162),daily_dates,0),MATCH($B$3,daily_items,0)))</f>
        <v>#N/A</v>
      </c>
      <c r="Y162" s="1" t="e">
        <f aca="false">IF(ISBLANK(INDEX(big_daily_table,MATCH(DATE(Y$5,$K162,$J162),daily_dates,0),MATCH($B$3,daily_items,0))),NA(),INDEX(big_daily_table,MATCH(DATE(Y$5,$K162,$J162),daily_dates,0),MATCH($B$3,daily_items,0)))</f>
        <v>#N/A</v>
      </c>
      <c r="Z162" s="1" t="e">
        <f aca="false">IF(ISBLANK(INDEX(big_daily_table,MATCH(DATE(Z$5,$K162,$J162),daily_dates,0),MATCH($B$3,daily_items,0))),NA(),INDEX(big_daily_table,MATCH(DATE(Z$5,$K162,$J162),daily_dates,0),MATCH($B$3,daily_items,0)))</f>
        <v>#N/A</v>
      </c>
      <c r="AA162" s="1" t="n">
        <f aca="true">_xlfn.AGGREGATE(5,6,OFFSET($S$5,H162,0,1,$K$2))</f>
        <v>0</v>
      </c>
      <c r="AB162" s="1" t="n">
        <f aca="true">_xlfn.AGGREGATE(4,6,OFFSET($S$5,H162,0,1,$K$2))</f>
        <v>0</v>
      </c>
      <c r="AC162" s="1" t="n">
        <f aca="false">AB162-AA162</f>
        <v>0</v>
      </c>
      <c r="AD162" s="1" t="e">
        <f aca="true">_xlfn.AGGREGATE(1,6,OFFSET($S$5,H162,0,1,$K$2))</f>
        <v>#DIV/0!</v>
      </c>
    </row>
    <row r="163" customFormat="false" ht="14.25" hidden="false" customHeight="false" outlineLevel="0" collapsed="false">
      <c r="H163" s="1" t="n">
        <f aca="false">H162+1</f>
        <v>158</v>
      </c>
      <c r="I163" s="1" t="n">
        <f aca="false">WEEKDAY('daily graphs'!K163)</f>
        <v>3</v>
      </c>
      <c r="J163" s="1" t="n">
        <f aca="false">DAY(L163)</f>
        <v>3</v>
      </c>
      <c r="K163" s="1" t="n">
        <f aca="false">MONTH(L163)</f>
        <v>6</v>
      </c>
      <c r="L163" s="23" t="n">
        <f aca="false">'daily graphs'!K163 - I163</f>
        <v>36680</v>
      </c>
      <c r="M163" s="24" t="n">
        <f aca="true">IF(TODAY()&lt;DATE($O$5,K163,J163),1000000,-1000000)</f>
        <v>-1000000</v>
      </c>
      <c r="N163" s="24" t="e">
        <f aca="false">IF(M163&gt;0,INDEX(big_daily_table,MATCH(DATE(O$5,$K163,$J163),daily_dates,0),MATCH($B$3,daily_items,0)),NA())</f>
        <v>#N/A</v>
      </c>
      <c r="O163" s="1" t="e">
        <f aca="false">IF(M163&lt;0,INDEX(big_daily_table,MATCH(DATE(O$5,$K163,$J163),daily_dates,0),MATCH($B$3,daily_items,0)),NA())</f>
        <v>#N/A</v>
      </c>
      <c r="P163" s="1" t="e">
        <f aca="false">IF(ISBLANK(INDEX(big_daily_table,MATCH(DATE(P$5,$K163,$J163),daily_dates,0),MATCH($B$3,daily_items,0))),NA(),INDEX(big_daily_table,MATCH(DATE(P$5,$K163,$J163),daily_dates,0),MATCH($B$3,daily_items,0)))</f>
        <v>#N/A</v>
      </c>
      <c r="Q163" s="1" t="e">
        <f aca="false">IF(ISBLANK(INDEX(big_daily_table,MATCH(DATE(Q$5,$K163,$J163),daily_dates,0),MATCH($B$3,daily_items,0))),NA(),INDEX(big_daily_table,MATCH(DATE(Q$5,$K163,$J163),daily_dates,0),MATCH($B$3,daily_items,0)))</f>
        <v>#N/A</v>
      </c>
      <c r="R163" s="1" t="e">
        <f aca="false">IF(ISBLANK(INDEX(big_daily_table,MATCH(DATE(R$5,$K163,$J163),daily_dates,0),MATCH($B$3,daily_items,0))),NA(),INDEX(big_daily_table,MATCH(DATE(R$5,$K163,$J163),daily_dates,0),MATCH($B$3,daily_items,0)))</f>
        <v>#N/A</v>
      </c>
      <c r="S163" s="1" t="e">
        <f aca="false">IF(ISBLANK(INDEX(big_daily_table,MATCH(DATE(S$5,$K163,$J163),daily_dates,0),MATCH($B$3,daily_items,0))),NA(),INDEX(big_daily_table,MATCH(DATE(S$5,$K163,$J163),daily_dates,0),MATCH($B$3,daily_items,0)))</f>
        <v>#N/A</v>
      </c>
      <c r="T163" s="1" t="e">
        <f aca="false">IF(ISBLANK(INDEX(big_daily_table,MATCH(DATE(T$5,$K163,$J163),daily_dates,0),MATCH($B$3,daily_items,0))),NA(),INDEX(big_daily_table,MATCH(DATE(T$5,$K163,$J163),daily_dates,0),MATCH($B$3,daily_items,0)))</f>
        <v>#N/A</v>
      </c>
      <c r="U163" s="1" t="e">
        <f aca="false">IF(ISBLANK(INDEX(big_daily_table,MATCH(DATE(U$5,$K163,$J163),daily_dates,0),MATCH($B$3,daily_items,0))),NA(),INDEX(big_daily_table,MATCH(DATE(U$5,$K163,$J163),daily_dates,0),MATCH($B$3,daily_items,0)))</f>
        <v>#N/A</v>
      </c>
      <c r="V163" s="1" t="e">
        <f aca="false">IF(ISBLANK(INDEX(big_daily_table,MATCH(DATE(V$5,$K163,$J163),daily_dates,0),MATCH($B$3,daily_items,0))),NA(),INDEX(big_daily_table,MATCH(DATE(V$5,$K163,$J163),daily_dates,0),MATCH($B$3,daily_items,0)))</f>
        <v>#N/A</v>
      </c>
      <c r="W163" s="1" t="e">
        <f aca="false">IF(ISBLANK(INDEX(big_daily_table,MATCH(DATE(W$5,$K163,$J163),daily_dates,0),MATCH($B$3,daily_items,0))),NA(),INDEX(big_daily_table,MATCH(DATE(W$5,$K163,$J163),daily_dates,0),MATCH($B$3,daily_items,0)))</f>
        <v>#N/A</v>
      </c>
      <c r="X163" s="1" t="e">
        <f aca="false">IF(ISBLANK(INDEX(big_daily_table,MATCH(DATE(X$5,$K163,$J163),daily_dates,0),MATCH($B$3,daily_items,0))),NA(),INDEX(big_daily_table,MATCH(DATE(X$5,$K163,$J163),daily_dates,0),MATCH($B$3,daily_items,0)))</f>
        <v>#N/A</v>
      </c>
      <c r="Y163" s="1" t="e">
        <f aca="false">IF(ISBLANK(INDEX(big_daily_table,MATCH(DATE(Y$5,$K163,$J163),daily_dates,0),MATCH($B$3,daily_items,0))),NA(),INDEX(big_daily_table,MATCH(DATE(Y$5,$K163,$J163),daily_dates,0),MATCH($B$3,daily_items,0)))</f>
        <v>#N/A</v>
      </c>
      <c r="Z163" s="1" t="e">
        <f aca="false">IF(ISBLANK(INDEX(big_daily_table,MATCH(DATE(Z$5,$K163,$J163),daily_dates,0),MATCH($B$3,daily_items,0))),NA(),INDEX(big_daily_table,MATCH(DATE(Z$5,$K163,$J163),daily_dates,0),MATCH($B$3,daily_items,0)))</f>
        <v>#N/A</v>
      </c>
      <c r="AA163" s="1" t="n">
        <f aca="true">_xlfn.AGGREGATE(5,6,OFFSET($S$5,H163,0,1,$K$2))</f>
        <v>0</v>
      </c>
      <c r="AB163" s="1" t="n">
        <f aca="true">_xlfn.AGGREGATE(4,6,OFFSET($S$5,H163,0,1,$K$2))</f>
        <v>0</v>
      </c>
      <c r="AC163" s="1" t="n">
        <f aca="false">AB163-AA163</f>
        <v>0</v>
      </c>
      <c r="AD163" s="1" t="e">
        <f aca="true">_xlfn.AGGREGATE(1,6,OFFSET($S$5,H163,0,1,$K$2))</f>
        <v>#DIV/0!</v>
      </c>
    </row>
    <row r="164" customFormat="false" ht="14.25" hidden="false" customHeight="false" outlineLevel="0" collapsed="false">
      <c r="H164" s="1" t="n">
        <f aca="false">H163+1</f>
        <v>159</v>
      </c>
      <c r="I164" s="1" t="n">
        <f aca="false">WEEKDAY('daily graphs'!K164)</f>
        <v>4</v>
      </c>
      <c r="J164" s="1" t="n">
        <f aca="false">DAY(L164)</f>
        <v>3</v>
      </c>
      <c r="K164" s="1" t="n">
        <f aca="false">MONTH(L164)</f>
        <v>6</v>
      </c>
      <c r="L164" s="23" t="n">
        <f aca="false">'daily graphs'!K164 - I164</f>
        <v>36680</v>
      </c>
      <c r="M164" s="24" t="n">
        <f aca="true">IF(TODAY()&lt;DATE($O$5,K164,J164),1000000,-1000000)</f>
        <v>-1000000</v>
      </c>
      <c r="N164" s="24" t="e">
        <f aca="false">IF(M164&gt;0,INDEX(big_daily_table,MATCH(DATE(O$5,$K164,$J164),daily_dates,0),MATCH($B$3,daily_items,0)),NA())</f>
        <v>#N/A</v>
      </c>
      <c r="O164" s="1" t="e">
        <f aca="false">IF(M164&lt;0,INDEX(big_daily_table,MATCH(DATE(O$5,$K164,$J164),daily_dates,0),MATCH($B$3,daily_items,0)),NA())</f>
        <v>#N/A</v>
      </c>
      <c r="P164" s="1" t="e">
        <f aca="false">IF(ISBLANK(INDEX(big_daily_table,MATCH(DATE(P$5,$K164,$J164),daily_dates,0),MATCH($B$3,daily_items,0))),NA(),INDEX(big_daily_table,MATCH(DATE(P$5,$K164,$J164),daily_dates,0),MATCH($B$3,daily_items,0)))</f>
        <v>#N/A</v>
      </c>
      <c r="Q164" s="1" t="e">
        <f aca="false">IF(ISBLANK(INDEX(big_daily_table,MATCH(DATE(Q$5,$K164,$J164),daily_dates,0),MATCH($B$3,daily_items,0))),NA(),INDEX(big_daily_table,MATCH(DATE(Q$5,$K164,$J164),daily_dates,0),MATCH($B$3,daily_items,0)))</f>
        <v>#N/A</v>
      </c>
      <c r="R164" s="1" t="e">
        <f aca="false">IF(ISBLANK(INDEX(big_daily_table,MATCH(DATE(R$5,$K164,$J164),daily_dates,0),MATCH($B$3,daily_items,0))),NA(),INDEX(big_daily_table,MATCH(DATE(R$5,$K164,$J164),daily_dates,0),MATCH($B$3,daily_items,0)))</f>
        <v>#N/A</v>
      </c>
      <c r="S164" s="1" t="e">
        <f aca="false">IF(ISBLANK(INDEX(big_daily_table,MATCH(DATE(S$5,$K164,$J164),daily_dates,0),MATCH($B$3,daily_items,0))),NA(),INDEX(big_daily_table,MATCH(DATE(S$5,$K164,$J164),daily_dates,0),MATCH($B$3,daily_items,0)))</f>
        <v>#N/A</v>
      </c>
      <c r="T164" s="1" t="e">
        <f aca="false">IF(ISBLANK(INDEX(big_daily_table,MATCH(DATE(T$5,$K164,$J164),daily_dates,0),MATCH($B$3,daily_items,0))),NA(),INDEX(big_daily_table,MATCH(DATE(T$5,$K164,$J164),daily_dates,0),MATCH($B$3,daily_items,0)))</f>
        <v>#N/A</v>
      </c>
      <c r="U164" s="1" t="e">
        <f aca="false">IF(ISBLANK(INDEX(big_daily_table,MATCH(DATE(U$5,$K164,$J164),daily_dates,0),MATCH($B$3,daily_items,0))),NA(),INDEX(big_daily_table,MATCH(DATE(U$5,$K164,$J164),daily_dates,0),MATCH($B$3,daily_items,0)))</f>
        <v>#N/A</v>
      </c>
      <c r="V164" s="1" t="e">
        <f aca="false">IF(ISBLANK(INDEX(big_daily_table,MATCH(DATE(V$5,$K164,$J164),daily_dates,0),MATCH($B$3,daily_items,0))),NA(),INDEX(big_daily_table,MATCH(DATE(V$5,$K164,$J164),daily_dates,0),MATCH($B$3,daily_items,0)))</f>
        <v>#N/A</v>
      </c>
      <c r="W164" s="1" t="e">
        <f aca="false">IF(ISBLANK(INDEX(big_daily_table,MATCH(DATE(W$5,$K164,$J164),daily_dates,0),MATCH($B$3,daily_items,0))),NA(),INDEX(big_daily_table,MATCH(DATE(W$5,$K164,$J164),daily_dates,0),MATCH($B$3,daily_items,0)))</f>
        <v>#N/A</v>
      </c>
      <c r="X164" s="1" t="e">
        <f aca="false">IF(ISBLANK(INDEX(big_daily_table,MATCH(DATE(X$5,$K164,$J164),daily_dates,0),MATCH($B$3,daily_items,0))),NA(),INDEX(big_daily_table,MATCH(DATE(X$5,$K164,$J164),daily_dates,0),MATCH($B$3,daily_items,0)))</f>
        <v>#N/A</v>
      </c>
      <c r="Y164" s="1" t="e">
        <f aca="false">IF(ISBLANK(INDEX(big_daily_table,MATCH(DATE(Y$5,$K164,$J164),daily_dates,0),MATCH($B$3,daily_items,0))),NA(),INDEX(big_daily_table,MATCH(DATE(Y$5,$K164,$J164),daily_dates,0),MATCH($B$3,daily_items,0)))</f>
        <v>#N/A</v>
      </c>
      <c r="Z164" s="1" t="e">
        <f aca="false">IF(ISBLANK(INDEX(big_daily_table,MATCH(DATE(Z$5,$K164,$J164),daily_dates,0),MATCH($B$3,daily_items,0))),NA(),INDEX(big_daily_table,MATCH(DATE(Z$5,$K164,$J164),daily_dates,0),MATCH($B$3,daily_items,0)))</f>
        <v>#N/A</v>
      </c>
      <c r="AA164" s="1" t="n">
        <f aca="true">_xlfn.AGGREGATE(5,6,OFFSET($S$5,H164,0,1,$K$2))</f>
        <v>0</v>
      </c>
      <c r="AB164" s="1" t="n">
        <f aca="true">_xlfn.AGGREGATE(4,6,OFFSET($S$5,H164,0,1,$K$2))</f>
        <v>0</v>
      </c>
      <c r="AC164" s="1" t="n">
        <f aca="false">AB164-AA164</f>
        <v>0</v>
      </c>
      <c r="AD164" s="1" t="e">
        <f aca="true">_xlfn.AGGREGATE(1,6,OFFSET($S$5,H164,0,1,$K$2))</f>
        <v>#DIV/0!</v>
      </c>
    </row>
    <row r="165" customFormat="false" ht="14.25" hidden="false" customHeight="false" outlineLevel="0" collapsed="false">
      <c r="H165" s="1" t="n">
        <f aca="false">H164+1</f>
        <v>160</v>
      </c>
      <c r="I165" s="1" t="n">
        <f aca="false">WEEKDAY('daily graphs'!K165)</f>
        <v>5</v>
      </c>
      <c r="J165" s="1" t="n">
        <f aca="false">DAY(L165)</f>
        <v>3</v>
      </c>
      <c r="K165" s="1" t="n">
        <f aca="false">MONTH(L165)</f>
        <v>6</v>
      </c>
      <c r="L165" s="23" t="n">
        <f aca="false">'daily graphs'!K165 - I165</f>
        <v>36680</v>
      </c>
      <c r="M165" s="24" t="n">
        <f aca="true">IF(TODAY()&lt;DATE($O$5,K165,J165),1000000,-1000000)</f>
        <v>-1000000</v>
      </c>
      <c r="N165" s="24" t="e">
        <f aca="false">IF(M165&gt;0,INDEX(big_daily_table,MATCH(DATE(O$5,$K165,$J165),daily_dates,0),MATCH($B$3,daily_items,0)),NA())</f>
        <v>#N/A</v>
      </c>
      <c r="O165" s="1" t="e">
        <f aca="false">IF(M165&lt;0,INDEX(big_daily_table,MATCH(DATE(O$5,$K165,$J165),daily_dates,0),MATCH($B$3,daily_items,0)),NA())</f>
        <v>#N/A</v>
      </c>
      <c r="P165" s="1" t="e">
        <f aca="false">IF(ISBLANK(INDEX(big_daily_table,MATCH(DATE(P$5,$K165,$J165),daily_dates,0),MATCH($B$3,daily_items,0))),NA(),INDEX(big_daily_table,MATCH(DATE(P$5,$K165,$J165),daily_dates,0),MATCH($B$3,daily_items,0)))</f>
        <v>#N/A</v>
      </c>
      <c r="Q165" s="1" t="e">
        <f aca="false">IF(ISBLANK(INDEX(big_daily_table,MATCH(DATE(Q$5,$K165,$J165),daily_dates,0),MATCH($B$3,daily_items,0))),NA(),INDEX(big_daily_table,MATCH(DATE(Q$5,$K165,$J165),daily_dates,0),MATCH($B$3,daily_items,0)))</f>
        <v>#N/A</v>
      </c>
      <c r="R165" s="1" t="e">
        <f aca="false">IF(ISBLANK(INDEX(big_daily_table,MATCH(DATE(R$5,$K165,$J165),daily_dates,0),MATCH($B$3,daily_items,0))),NA(),INDEX(big_daily_table,MATCH(DATE(R$5,$K165,$J165),daily_dates,0),MATCH($B$3,daily_items,0)))</f>
        <v>#N/A</v>
      </c>
      <c r="S165" s="1" t="e">
        <f aca="false">IF(ISBLANK(INDEX(big_daily_table,MATCH(DATE(S$5,$K165,$J165),daily_dates,0),MATCH($B$3,daily_items,0))),NA(),INDEX(big_daily_table,MATCH(DATE(S$5,$K165,$J165),daily_dates,0),MATCH($B$3,daily_items,0)))</f>
        <v>#N/A</v>
      </c>
      <c r="T165" s="1" t="e">
        <f aca="false">IF(ISBLANK(INDEX(big_daily_table,MATCH(DATE(T$5,$K165,$J165),daily_dates,0),MATCH($B$3,daily_items,0))),NA(),INDEX(big_daily_table,MATCH(DATE(T$5,$K165,$J165),daily_dates,0),MATCH($B$3,daily_items,0)))</f>
        <v>#N/A</v>
      </c>
      <c r="U165" s="1" t="e">
        <f aca="false">IF(ISBLANK(INDEX(big_daily_table,MATCH(DATE(U$5,$K165,$J165),daily_dates,0),MATCH($B$3,daily_items,0))),NA(),INDEX(big_daily_table,MATCH(DATE(U$5,$K165,$J165),daily_dates,0),MATCH($B$3,daily_items,0)))</f>
        <v>#N/A</v>
      </c>
      <c r="V165" s="1" t="e">
        <f aca="false">IF(ISBLANK(INDEX(big_daily_table,MATCH(DATE(V$5,$K165,$J165),daily_dates,0),MATCH($B$3,daily_items,0))),NA(),INDEX(big_daily_table,MATCH(DATE(V$5,$K165,$J165),daily_dates,0),MATCH($B$3,daily_items,0)))</f>
        <v>#N/A</v>
      </c>
      <c r="W165" s="1" t="e">
        <f aca="false">IF(ISBLANK(INDEX(big_daily_table,MATCH(DATE(W$5,$K165,$J165),daily_dates,0),MATCH($B$3,daily_items,0))),NA(),INDEX(big_daily_table,MATCH(DATE(W$5,$K165,$J165),daily_dates,0),MATCH($B$3,daily_items,0)))</f>
        <v>#N/A</v>
      </c>
      <c r="X165" s="1" t="e">
        <f aca="false">IF(ISBLANK(INDEX(big_daily_table,MATCH(DATE(X$5,$K165,$J165),daily_dates,0),MATCH($B$3,daily_items,0))),NA(),INDEX(big_daily_table,MATCH(DATE(X$5,$K165,$J165),daily_dates,0),MATCH($B$3,daily_items,0)))</f>
        <v>#N/A</v>
      </c>
      <c r="Y165" s="1" t="e">
        <f aca="false">IF(ISBLANK(INDEX(big_daily_table,MATCH(DATE(Y$5,$K165,$J165),daily_dates,0),MATCH($B$3,daily_items,0))),NA(),INDEX(big_daily_table,MATCH(DATE(Y$5,$K165,$J165),daily_dates,0),MATCH($B$3,daily_items,0)))</f>
        <v>#N/A</v>
      </c>
      <c r="Z165" s="1" t="e">
        <f aca="false">IF(ISBLANK(INDEX(big_daily_table,MATCH(DATE(Z$5,$K165,$J165),daily_dates,0),MATCH($B$3,daily_items,0))),NA(),INDEX(big_daily_table,MATCH(DATE(Z$5,$K165,$J165),daily_dates,0),MATCH($B$3,daily_items,0)))</f>
        <v>#N/A</v>
      </c>
      <c r="AA165" s="1" t="n">
        <f aca="true">_xlfn.AGGREGATE(5,6,OFFSET($S$5,H165,0,1,$K$2))</f>
        <v>0</v>
      </c>
      <c r="AB165" s="1" t="n">
        <f aca="true">_xlfn.AGGREGATE(4,6,OFFSET($S$5,H165,0,1,$K$2))</f>
        <v>0</v>
      </c>
      <c r="AC165" s="1" t="n">
        <f aca="false">AB165-AA165</f>
        <v>0</v>
      </c>
      <c r="AD165" s="1" t="e">
        <f aca="true">_xlfn.AGGREGATE(1,6,OFFSET($S$5,H165,0,1,$K$2))</f>
        <v>#DIV/0!</v>
      </c>
    </row>
    <row r="166" customFormat="false" ht="14.25" hidden="false" customHeight="false" outlineLevel="0" collapsed="false">
      <c r="H166" s="1" t="n">
        <f aca="false">H165+1</f>
        <v>161</v>
      </c>
      <c r="I166" s="1" t="n">
        <f aca="false">WEEKDAY('daily graphs'!K166)</f>
        <v>6</v>
      </c>
      <c r="J166" s="1" t="n">
        <f aca="false">DAY(L166)</f>
        <v>3</v>
      </c>
      <c r="K166" s="1" t="n">
        <f aca="false">MONTH(L166)</f>
        <v>6</v>
      </c>
      <c r="L166" s="23" t="n">
        <f aca="false">'daily graphs'!K166 - I166</f>
        <v>36680</v>
      </c>
      <c r="M166" s="24" t="n">
        <f aca="true">IF(TODAY()&lt;DATE($O$5,K166,J166),1000000,-1000000)</f>
        <v>-1000000</v>
      </c>
      <c r="N166" s="24" t="e">
        <f aca="false">IF(M166&gt;0,INDEX(big_daily_table,MATCH(DATE(O$5,$K166,$J166),daily_dates,0),MATCH($B$3,daily_items,0)),NA())</f>
        <v>#N/A</v>
      </c>
      <c r="O166" s="1" t="e">
        <f aca="false">IF(M166&lt;0,INDEX(big_daily_table,MATCH(DATE(O$5,$K166,$J166),daily_dates,0),MATCH($B$3,daily_items,0)),NA())</f>
        <v>#N/A</v>
      </c>
      <c r="P166" s="1" t="e">
        <f aca="false">IF(ISBLANK(INDEX(big_daily_table,MATCH(DATE(P$5,$K166,$J166),daily_dates,0),MATCH($B$3,daily_items,0))),NA(),INDEX(big_daily_table,MATCH(DATE(P$5,$K166,$J166),daily_dates,0),MATCH($B$3,daily_items,0)))</f>
        <v>#N/A</v>
      </c>
      <c r="Q166" s="1" t="e">
        <f aca="false">IF(ISBLANK(INDEX(big_daily_table,MATCH(DATE(Q$5,$K166,$J166),daily_dates,0),MATCH($B$3,daily_items,0))),NA(),INDEX(big_daily_table,MATCH(DATE(Q$5,$K166,$J166),daily_dates,0),MATCH($B$3,daily_items,0)))</f>
        <v>#N/A</v>
      </c>
      <c r="R166" s="1" t="e">
        <f aca="false">IF(ISBLANK(INDEX(big_daily_table,MATCH(DATE(R$5,$K166,$J166),daily_dates,0),MATCH($B$3,daily_items,0))),NA(),INDEX(big_daily_table,MATCH(DATE(R$5,$K166,$J166),daily_dates,0),MATCH($B$3,daily_items,0)))</f>
        <v>#N/A</v>
      </c>
      <c r="S166" s="1" t="e">
        <f aca="false">IF(ISBLANK(INDEX(big_daily_table,MATCH(DATE(S$5,$K166,$J166),daily_dates,0),MATCH($B$3,daily_items,0))),NA(),INDEX(big_daily_table,MATCH(DATE(S$5,$K166,$J166),daily_dates,0),MATCH($B$3,daily_items,0)))</f>
        <v>#N/A</v>
      </c>
      <c r="T166" s="1" t="e">
        <f aca="false">IF(ISBLANK(INDEX(big_daily_table,MATCH(DATE(T$5,$K166,$J166),daily_dates,0),MATCH($B$3,daily_items,0))),NA(),INDEX(big_daily_table,MATCH(DATE(T$5,$K166,$J166),daily_dates,0),MATCH($B$3,daily_items,0)))</f>
        <v>#N/A</v>
      </c>
      <c r="U166" s="1" t="e">
        <f aca="false">IF(ISBLANK(INDEX(big_daily_table,MATCH(DATE(U$5,$K166,$J166),daily_dates,0),MATCH($B$3,daily_items,0))),NA(),INDEX(big_daily_table,MATCH(DATE(U$5,$K166,$J166),daily_dates,0),MATCH($B$3,daily_items,0)))</f>
        <v>#N/A</v>
      </c>
      <c r="V166" s="1" t="e">
        <f aca="false">IF(ISBLANK(INDEX(big_daily_table,MATCH(DATE(V$5,$K166,$J166),daily_dates,0),MATCH($B$3,daily_items,0))),NA(),INDEX(big_daily_table,MATCH(DATE(V$5,$K166,$J166),daily_dates,0),MATCH($B$3,daily_items,0)))</f>
        <v>#N/A</v>
      </c>
      <c r="W166" s="1" t="e">
        <f aca="false">IF(ISBLANK(INDEX(big_daily_table,MATCH(DATE(W$5,$K166,$J166),daily_dates,0),MATCH($B$3,daily_items,0))),NA(),INDEX(big_daily_table,MATCH(DATE(W$5,$K166,$J166),daily_dates,0),MATCH($B$3,daily_items,0)))</f>
        <v>#N/A</v>
      </c>
      <c r="X166" s="1" t="e">
        <f aca="false">IF(ISBLANK(INDEX(big_daily_table,MATCH(DATE(X$5,$K166,$J166),daily_dates,0),MATCH($B$3,daily_items,0))),NA(),INDEX(big_daily_table,MATCH(DATE(X$5,$K166,$J166),daily_dates,0),MATCH($B$3,daily_items,0)))</f>
        <v>#N/A</v>
      </c>
      <c r="Y166" s="1" t="e">
        <f aca="false">IF(ISBLANK(INDEX(big_daily_table,MATCH(DATE(Y$5,$K166,$J166),daily_dates,0),MATCH($B$3,daily_items,0))),NA(),INDEX(big_daily_table,MATCH(DATE(Y$5,$K166,$J166),daily_dates,0),MATCH($B$3,daily_items,0)))</f>
        <v>#N/A</v>
      </c>
      <c r="Z166" s="1" t="e">
        <f aca="false">IF(ISBLANK(INDEX(big_daily_table,MATCH(DATE(Z$5,$K166,$J166),daily_dates,0),MATCH($B$3,daily_items,0))),NA(),INDEX(big_daily_table,MATCH(DATE(Z$5,$K166,$J166),daily_dates,0),MATCH($B$3,daily_items,0)))</f>
        <v>#N/A</v>
      </c>
      <c r="AA166" s="1" t="n">
        <f aca="true">_xlfn.AGGREGATE(5,6,OFFSET($S$5,H166,0,1,$K$2))</f>
        <v>0</v>
      </c>
      <c r="AB166" s="1" t="n">
        <f aca="true">_xlfn.AGGREGATE(4,6,OFFSET($S$5,H166,0,1,$K$2))</f>
        <v>0</v>
      </c>
      <c r="AC166" s="1" t="n">
        <f aca="false">AB166-AA166</f>
        <v>0</v>
      </c>
      <c r="AD166" s="1" t="e">
        <f aca="true">_xlfn.AGGREGATE(1,6,OFFSET($S$5,H166,0,1,$K$2))</f>
        <v>#DIV/0!</v>
      </c>
    </row>
    <row r="167" customFormat="false" ht="14.25" hidden="false" customHeight="false" outlineLevel="0" collapsed="false">
      <c r="H167" s="1" t="n">
        <f aca="false">H166+1</f>
        <v>162</v>
      </c>
      <c r="I167" s="1" t="n">
        <f aca="false">WEEKDAY('daily graphs'!K167)</f>
        <v>7</v>
      </c>
      <c r="J167" s="1" t="n">
        <f aca="false">DAY(L167)</f>
        <v>3</v>
      </c>
      <c r="K167" s="1" t="n">
        <f aca="false">MONTH(L167)</f>
        <v>6</v>
      </c>
      <c r="L167" s="23" t="n">
        <f aca="false">'daily graphs'!K167 - I167</f>
        <v>36680</v>
      </c>
      <c r="M167" s="24" t="n">
        <f aca="true">IF(TODAY()&lt;DATE($O$5,K167,J167),1000000,-1000000)</f>
        <v>-1000000</v>
      </c>
      <c r="N167" s="24" t="e">
        <f aca="false">IF(M167&gt;0,INDEX(big_daily_table,MATCH(DATE(O$5,$K167,$J167),daily_dates,0),MATCH($B$3,daily_items,0)),NA())</f>
        <v>#N/A</v>
      </c>
      <c r="O167" s="1" t="e">
        <f aca="false">IF(M167&lt;0,INDEX(big_daily_table,MATCH(DATE(O$5,$K167,$J167),daily_dates,0),MATCH($B$3,daily_items,0)),NA())</f>
        <v>#N/A</v>
      </c>
      <c r="P167" s="1" t="e">
        <f aca="false">IF(ISBLANK(INDEX(big_daily_table,MATCH(DATE(P$5,$K167,$J167),daily_dates,0),MATCH($B$3,daily_items,0))),NA(),INDEX(big_daily_table,MATCH(DATE(P$5,$K167,$J167),daily_dates,0),MATCH($B$3,daily_items,0)))</f>
        <v>#N/A</v>
      </c>
      <c r="Q167" s="1" t="e">
        <f aca="false">IF(ISBLANK(INDEX(big_daily_table,MATCH(DATE(Q$5,$K167,$J167),daily_dates,0),MATCH($B$3,daily_items,0))),NA(),INDEX(big_daily_table,MATCH(DATE(Q$5,$K167,$J167),daily_dates,0),MATCH($B$3,daily_items,0)))</f>
        <v>#N/A</v>
      </c>
      <c r="R167" s="1" t="e">
        <f aca="false">IF(ISBLANK(INDEX(big_daily_table,MATCH(DATE(R$5,$K167,$J167),daily_dates,0),MATCH($B$3,daily_items,0))),NA(),INDEX(big_daily_table,MATCH(DATE(R$5,$K167,$J167),daily_dates,0),MATCH($B$3,daily_items,0)))</f>
        <v>#N/A</v>
      </c>
      <c r="S167" s="1" t="e">
        <f aca="false">IF(ISBLANK(INDEX(big_daily_table,MATCH(DATE(S$5,$K167,$J167),daily_dates,0),MATCH($B$3,daily_items,0))),NA(),INDEX(big_daily_table,MATCH(DATE(S$5,$K167,$J167),daily_dates,0),MATCH($B$3,daily_items,0)))</f>
        <v>#N/A</v>
      </c>
      <c r="T167" s="1" t="e">
        <f aca="false">IF(ISBLANK(INDEX(big_daily_table,MATCH(DATE(T$5,$K167,$J167),daily_dates,0),MATCH($B$3,daily_items,0))),NA(),INDEX(big_daily_table,MATCH(DATE(T$5,$K167,$J167),daily_dates,0),MATCH($B$3,daily_items,0)))</f>
        <v>#N/A</v>
      </c>
      <c r="U167" s="1" t="e">
        <f aca="false">IF(ISBLANK(INDEX(big_daily_table,MATCH(DATE(U$5,$K167,$J167),daily_dates,0),MATCH($B$3,daily_items,0))),NA(),INDEX(big_daily_table,MATCH(DATE(U$5,$K167,$J167),daily_dates,0),MATCH($B$3,daily_items,0)))</f>
        <v>#N/A</v>
      </c>
      <c r="V167" s="1" t="e">
        <f aca="false">IF(ISBLANK(INDEX(big_daily_table,MATCH(DATE(V$5,$K167,$J167),daily_dates,0),MATCH($B$3,daily_items,0))),NA(),INDEX(big_daily_table,MATCH(DATE(V$5,$K167,$J167),daily_dates,0),MATCH($B$3,daily_items,0)))</f>
        <v>#N/A</v>
      </c>
      <c r="W167" s="1" t="e">
        <f aca="false">IF(ISBLANK(INDEX(big_daily_table,MATCH(DATE(W$5,$K167,$J167),daily_dates,0),MATCH($B$3,daily_items,0))),NA(),INDEX(big_daily_table,MATCH(DATE(W$5,$K167,$J167),daily_dates,0),MATCH($B$3,daily_items,0)))</f>
        <v>#N/A</v>
      </c>
      <c r="X167" s="1" t="e">
        <f aca="false">IF(ISBLANK(INDEX(big_daily_table,MATCH(DATE(X$5,$K167,$J167),daily_dates,0),MATCH($B$3,daily_items,0))),NA(),INDEX(big_daily_table,MATCH(DATE(X$5,$K167,$J167),daily_dates,0),MATCH($B$3,daily_items,0)))</f>
        <v>#N/A</v>
      </c>
      <c r="Y167" s="1" t="e">
        <f aca="false">IF(ISBLANK(INDEX(big_daily_table,MATCH(DATE(Y$5,$K167,$J167),daily_dates,0),MATCH($B$3,daily_items,0))),NA(),INDEX(big_daily_table,MATCH(DATE(Y$5,$K167,$J167),daily_dates,0),MATCH($B$3,daily_items,0)))</f>
        <v>#N/A</v>
      </c>
      <c r="Z167" s="1" t="e">
        <f aca="false">IF(ISBLANK(INDEX(big_daily_table,MATCH(DATE(Z$5,$K167,$J167),daily_dates,0),MATCH($B$3,daily_items,0))),NA(),INDEX(big_daily_table,MATCH(DATE(Z$5,$K167,$J167),daily_dates,0),MATCH($B$3,daily_items,0)))</f>
        <v>#N/A</v>
      </c>
      <c r="AA167" s="1" t="n">
        <f aca="true">_xlfn.AGGREGATE(5,6,OFFSET($S$5,H167,0,1,$K$2))</f>
        <v>0</v>
      </c>
      <c r="AB167" s="1" t="n">
        <f aca="true">_xlfn.AGGREGATE(4,6,OFFSET($S$5,H167,0,1,$K$2))</f>
        <v>0</v>
      </c>
      <c r="AC167" s="1" t="n">
        <f aca="false">AB167-AA167</f>
        <v>0</v>
      </c>
      <c r="AD167" s="1" t="e">
        <f aca="true">_xlfn.AGGREGATE(1,6,OFFSET($S$5,H167,0,1,$K$2))</f>
        <v>#DIV/0!</v>
      </c>
    </row>
    <row r="168" customFormat="false" ht="14.25" hidden="false" customHeight="false" outlineLevel="0" collapsed="false">
      <c r="H168" s="1" t="n">
        <f aca="false">H167+1</f>
        <v>163</v>
      </c>
      <c r="I168" s="1" t="n">
        <f aca="false">WEEKDAY('daily graphs'!K168)</f>
        <v>1</v>
      </c>
      <c r="J168" s="1" t="n">
        <f aca="false">DAY(L168)</f>
        <v>10</v>
      </c>
      <c r="K168" s="1" t="n">
        <f aca="false">MONTH(L168)</f>
        <v>6</v>
      </c>
      <c r="L168" s="23" t="n">
        <f aca="false">'daily graphs'!K168 - I168</f>
        <v>36687</v>
      </c>
      <c r="M168" s="24" t="n">
        <f aca="true">IF(TODAY()&lt;DATE($O$5,K168,J168),1000000,-1000000)</f>
        <v>-1000000</v>
      </c>
      <c r="N168" s="24" t="e">
        <f aca="false">IF(M168&gt;0,INDEX(big_daily_table,MATCH(DATE(O$5,$K168,$J168),daily_dates,0),MATCH($B$3,daily_items,0)),NA())</f>
        <v>#N/A</v>
      </c>
      <c r="O168" s="1" t="e">
        <f aca="false">IF(M168&lt;0,INDEX(big_daily_table,MATCH(DATE(O$5,$K168,$J168),daily_dates,0),MATCH($B$3,daily_items,0)),NA())</f>
        <v>#N/A</v>
      </c>
      <c r="P168" s="1" t="e">
        <f aca="false">IF(ISBLANK(INDEX(big_daily_table,MATCH(DATE(P$5,$K168,$J168),daily_dates,0),MATCH($B$3,daily_items,0))),NA(),INDEX(big_daily_table,MATCH(DATE(P$5,$K168,$J168),daily_dates,0),MATCH($B$3,daily_items,0)))</f>
        <v>#N/A</v>
      </c>
      <c r="Q168" s="1" t="e">
        <f aca="false">IF(ISBLANK(INDEX(big_daily_table,MATCH(DATE(Q$5,$K168,$J168),daily_dates,0),MATCH($B$3,daily_items,0))),NA(),INDEX(big_daily_table,MATCH(DATE(Q$5,$K168,$J168),daily_dates,0),MATCH($B$3,daily_items,0)))</f>
        <v>#N/A</v>
      </c>
      <c r="R168" s="1" t="e">
        <f aca="false">IF(ISBLANK(INDEX(big_daily_table,MATCH(DATE(R$5,$K168,$J168),daily_dates,0),MATCH($B$3,daily_items,0))),NA(),INDEX(big_daily_table,MATCH(DATE(R$5,$K168,$J168),daily_dates,0),MATCH($B$3,daily_items,0)))</f>
        <v>#N/A</v>
      </c>
      <c r="S168" s="1" t="e">
        <f aca="false">IF(ISBLANK(INDEX(big_daily_table,MATCH(DATE(S$5,$K168,$J168),daily_dates,0),MATCH($B$3,daily_items,0))),NA(),INDEX(big_daily_table,MATCH(DATE(S$5,$K168,$J168),daily_dates,0),MATCH($B$3,daily_items,0)))</f>
        <v>#N/A</v>
      </c>
      <c r="T168" s="1" t="e">
        <f aca="false">IF(ISBLANK(INDEX(big_daily_table,MATCH(DATE(T$5,$K168,$J168),daily_dates,0),MATCH($B$3,daily_items,0))),NA(),INDEX(big_daily_table,MATCH(DATE(T$5,$K168,$J168),daily_dates,0),MATCH($B$3,daily_items,0)))</f>
        <v>#N/A</v>
      </c>
      <c r="U168" s="1" t="e">
        <f aca="false">IF(ISBLANK(INDEX(big_daily_table,MATCH(DATE(U$5,$K168,$J168),daily_dates,0),MATCH($B$3,daily_items,0))),NA(),INDEX(big_daily_table,MATCH(DATE(U$5,$K168,$J168),daily_dates,0),MATCH($B$3,daily_items,0)))</f>
        <v>#N/A</v>
      </c>
      <c r="V168" s="1" t="e">
        <f aca="false">IF(ISBLANK(INDEX(big_daily_table,MATCH(DATE(V$5,$K168,$J168),daily_dates,0),MATCH($B$3,daily_items,0))),NA(),INDEX(big_daily_table,MATCH(DATE(V$5,$K168,$J168),daily_dates,0),MATCH($B$3,daily_items,0)))</f>
        <v>#N/A</v>
      </c>
      <c r="W168" s="1" t="e">
        <f aca="false">IF(ISBLANK(INDEX(big_daily_table,MATCH(DATE(W$5,$K168,$J168),daily_dates,0),MATCH($B$3,daily_items,0))),NA(),INDEX(big_daily_table,MATCH(DATE(W$5,$K168,$J168),daily_dates,0),MATCH($B$3,daily_items,0)))</f>
        <v>#N/A</v>
      </c>
      <c r="X168" s="1" t="e">
        <f aca="false">IF(ISBLANK(INDEX(big_daily_table,MATCH(DATE(X$5,$K168,$J168),daily_dates,0),MATCH($B$3,daily_items,0))),NA(),INDEX(big_daily_table,MATCH(DATE(X$5,$K168,$J168),daily_dates,0),MATCH($B$3,daily_items,0)))</f>
        <v>#N/A</v>
      </c>
      <c r="Y168" s="1" t="e">
        <f aca="false">IF(ISBLANK(INDEX(big_daily_table,MATCH(DATE(Y$5,$K168,$J168),daily_dates,0),MATCH($B$3,daily_items,0))),NA(),INDEX(big_daily_table,MATCH(DATE(Y$5,$K168,$J168),daily_dates,0),MATCH($B$3,daily_items,0)))</f>
        <v>#N/A</v>
      </c>
      <c r="Z168" s="1" t="e">
        <f aca="false">IF(ISBLANK(INDEX(big_daily_table,MATCH(DATE(Z$5,$K168,$J168),daily_dates,0),MATCH($B$3,daily_items,0))),NA(),INDEX(big_daily_table,MATCH(DATE(Z$5,$K168,$J168),daily_dates,0),MATCH($B$3,daily_items,0)))</f>
        <v>#N/A</v>
      </c>
      <c r="AA168" s="1" t="n">
        <f aca="true">_xlfn.AGGREGATE(5,6,OFFSET($S$5,H168,0,1,$K$2))</f>
        <v>0</v>
      </c>
      <c r="AB168" s="1" t="n">
        <f aca="true">_xlfn.AGGREGATE(4,6,OFFSET($S$5,H168,0,1,$K$2))</f>
        <v>0</v>
      </c>
      <c r="AC168" s="1" t="n">
        <f aca="false">AB168-AA168</f>
        <v>0</v>
      </c>
      <c r="AD168" s="1" t="e">
        <f aca="true">_xlfn.AGGREGATE(1,6,OFFSET($S$5,H168,0,1,$K$2))</f>
        <v>#DIV/0!</v>
      </c>
    </row>
    <row r="169" customFormat="false" ht="14.25" hidden="false" customHeight="false" outlineLevel="0" collapsed="false">
      <c r="H169" s="1" t="n">
        <f aca="false">H168+1</f>
        <v>164</v>
      </c>
      <c r="I169" s="1" t="n">
        <f aca="false">WEEKDAY('daily graphs'!K169)</f>
        <v>2</v>
      </c>
      <c r="J169" s="1" t="n">
        <f aca="false">DAY(L169)</f>
        <v>10</v>
      </c>
      <c r="K169" s="1" t="n">
        <f aca="false">MONTH(L169)</f>
        <v>6</v>
      </c>
      <c r="L169" s="23" t="n">
        <f aca="false">'daily graphs'!K169 - I169</f>
        <v>36687</v>
      </c>
      <c r="M169" s="24" t="n">
        <f aca="true">IF(TODAY()&lt;DATE($O$5,K169,J169),1000000,-1000000)</f>
        <v>-1000000</v>
      </c>
      <c r="N169" s="24" t="e">
        <f aca="false">IF(M169&gt;0,INDEX(big_daily_table,MATCH(DATE(O$5,$K169,$J169),daily_dates,0),MATCH($B$3,daily_items,0)),NA())</f>
        <v>#N/A</v>
      </c>
      <c r="O169" s="1" t="e">
        <f aca="false">IF(M169&lt;0,INDEX(big_daily_table,MATCH(DATE(O$5,$K169,$J169),daily_dates,0),MATCH($B$3,daily_items,0)),NA())</f>
        <v>#N/A</v>
      </c>
      <c r="P169" s="1" t="e">
        <f aca="false">IF(ISBLANK(INDEX(big_daily_table,MATCH(DATE(P$5,$K169,$J169),daily_dates,0),MATCH($B$3,daily_items,0))),NA(),INDEX(big_daily_table,MATCH(DATE(P$5,$K169,$J169),daily_dates,0),MATCH($B$3,daily_items,0)))</f>
        <v>#N/A</v>
      </c>
      <c r="Q169" s="1" t="e">
        <f aca="false">IF(ISBLANK(INDEX(big_daily_table,MATCH(DATE(Q$5,$K169,$J169),daily_dates,0),MATCH($B$3,daily_items,0))),NA(),INDEX(big_daily_table,MATCH(DATE(Q$5,$K169,$J169),daily_dates,0),MATCH($B$3,daily_items,0)))</f>
        <v>#N/A</v>
      </c>
      <c r="R169" s="1" t="e">
        <f aca="false">IF(ISBLANK(INDEX(big_daily_table,MATCH(DATE(R$5,$K169,$J169),daily_dates,0),MATCH($B$3,daily_items,0))),NA(),INDEX(big_daily_table,MATCH(DATE(R$5,$K169,$J169),daily_dates,0),MATCH($B$3,daily_items,0)))</f>
        <v>#N/A</v>
      </c>
      <c r="S169" s="1" t="e">
        <f aca="false">IF(ISBLANK(INDEX(big_daily_table,MATCH(DATE(S$5,$K169,$J169),daily_dates,0),MATCH($B$3,daily_items,0))),NA(),INDEX(big_daily_table,MATCH(DATE(S$5,$K169,$J169),daily_dates,0),MATCH($B$3,daily_items,0)))</f>
        <v>#N/A</v>
      </c>
      <c r="T169" s="1" t="e">
        <f aca="false">IF(ISBLANK(INDEX(big_daily_table,MATCH(DATE(T$5,$K169,$J169),daily_dates,0),MATCH($B$3,daily_items,0))),NA(),INDEX(big_daily_table,MATCH(DATE(T$5,$K169,$J169),daily_dates,0),MATCH($B$3,daily_items,0)))</f>
        <v>#N/A</v>
      </c>
      <c r="U169" s="1" t="e">
        <f aca="false">IF(ISBLANK(INDEX(big_daily_table,MATCH(DATE(U$5,$K169,$J169),daily_dates,0),MATCH($B$3,daily_items,0))),NA(),INDEX(big_daily_table,MATCH(DATE(U$5,$K169,$J169),daily_dates,0),MATCH($B$3,daily_items,0)))</f>
        <v>#N/A</v>
      </c>
      <c r="V169" s="1" t="e">
        <f aca="false">IF(ISBLANK(INDEX(big_daily_table,MATCH(DATE(V$5,$K169,$J169),daily_dates,0),MATCH($B$3,daily_items,0))),NA(),INDEX(big_daily_table,MATCH(DATE(V$5,$K169,$J169),daily_dates,0),MATCH($B$3,daily_items,0)))</f>
        <v>#N/A</v>
      </c>
      <c r="W169" s="1" t="e">
        <f aca="false">IF(ISBLANK(INDEX(big_daily_table,MATCH(DATE(W$5,$K169,$J169),daily_dates,0),MATCH($B$3,daily_items,0))),NA(),INDEX(big_daily_table,MATCH(DATE(W$5,$K169,$J169),daily_dates,0),MATCH($B$3,daily_items,0)))</f>
        <v>#N/A</v>
      </c>
      <c r="X169" s="1" t="e">
        <f aca="false">IF(ISBLANK(INDEX(big_daily_table,MATCH(DATE(X$5,$K169,$J169),daily_dates,0),MATCH($B$3,daily_items,0))),NA(),INDEX(big_daily_table,MATCH(DATE(X$5,$K169,$J169),daily_dates,0),MATCH($B$3,daily_items,0)))</f>
        <v>#N/A</v>
      </c>
      <c r="Y169" s="1" t="e">
        <f aca="false">IF(ISBLANK(INDEX(big_daily_table,MATCH(DATE(Y$5,$K169,$J169),daily_dates,0),MATCH($B$3,daily_items,0))),NA(),INDEX(big_daily_table,MATCH(DATE(Y$5,$K169,$J169),daily_dates,0),MATCH($B$3,daily_items,0)))</f>
        <v>#N/A</v>
      </c>
      <c r="Z169" s="1" t="e">
        <f aca="false">IF(ISBLANK(INDEX(big_daily_table,MATCH(DATE(Z$5,$K169,$J169),daily_dates,0),MATCH($B$3,daily_items,0))),NA(),INDEX(big_daily_table,MATCH(DATE(Z$5,$K169,$J169),daily_dates,0),MATCH($B$3,daily_items,0)))</f>
        <v>#N/A</v>
      </c>
      <c r="AA169" s="1" t="n">
        <f aca="true">_xlfn.AGGREGATE(5,6,OFFSET($S$5,H169,0,1,$K$2))</f>
        <v>0</v>
      </c>
      <c r="AB169" s="1" t="n">
        <f aca="true">_xlfn.AGGREGATE(4,6,OFFSET($S$5,H169,0,1,$K$2))</f>
        <v>0</v>
      </c>
      <c r="AC169" s="1" t="n">
        <f aca="false">AB169-AA169</f>
        <v>0</v>
      </c>
      <c r="AD169" s="1" t="e">
        <f aca="true">_xlfn.AGGREGATE(1,6,OFFSET($S$5,H169,0,1,$K$2))</f>
        <v>#DIV/0!</v>
      </c>
    </row>
    <row r="170" customFormat="false" ht="14.25" hidden="false" customHeight="false" outlineLevel="0" collapsed="false">
      <c r="H170" s="1" t="n">
        <f aca="false">H169+1</f>
        <v>165</v>
      </c>
      <c r="I170" s="1" t="n">
        <f aca="false">WEEKDAY('daily graphs'!K170)</f>
        <v>3</v>
      </c>
      <c r="J170" s="1" t="n">
        <f aca="false">DAY(L170)</f>
        <v>10</v>
      </c>
      <c r="K170" s="1" t="n">
        <f aca="false">MONTH(L170)</f>
        <v>6</v>
      </c>
      <c r="L170" s="23" t="n">
        <f aca="false">'daily graphs'!K170 - I170</f>
        <v>36687</v>
      </c>
      <c r="M170" s="24" t="n">
        <f aca="true">IF(TODAY()&lt;DATE($O$5,K170,J170),1000000,-1000000)</f>
        <v>-1000000</v>
      </c>
      <c r="N170" s="24" t="e">
        <f aca="false">IF(M170&gt;0,INDEX(big_daily_table,MATCH(DATE(O$5,$K170,$J170),daily_dates,0),MATCH($B$3,daily_items,0)),NA())</f>
        <v>#N/A</v>
      </c>
      <c r="O170" s="1" t="e">
        <f aca="false">IF(M170&lt;0,INDEX(big_daily_table,MATCH(DATE(O$5,$K170,$J170),daily_dates,0),MATCH($B$3,daily_items,0)),NA())</f>
        <v>#N/A</v>
      </c>
      <c r="P170" s="1" t="e">
        <f aca="false">IF(ISBLANK(INDEX(big_daily_table,MATCH(DATE(P$5,$K170,$J170),daily_dates,0),MATCH($B$3,daily_items,0))),NA(),INDEX(big_daily_table,MATCH(DATE(P$5,$K170,$J170),daily_dates,0),MATCH($B$3,daily_items,0)))</f>
        <v>#N/A</v>
      </c>
      <c r="Q170" s="1" t="e">
        <f aca="false">IF(ISBLANK(INDEX(big_daily_table,MATCH(DATE(Q$5,$K170,$J170),daily_dates,0),MATCH($B$3,daily_items,0))),NA(),INDEX(big_daily_table,MATCH(DATE(Q$5,$K170,$J170),daily_dates,0),MATCH($B$3,daily_items,0)))</f>
        <v>#N/A</v>
      </c>
      <c r="R170" s="1" t="e">
        <f aca="false">IF(ISBLANK(INDEX(big_daily_table,MATCH(DATE(R$5,$K170,$J170),daily_dates,0),MATCH($B$3,daily_items,0))),NA(),INDEX(big_daily_table,MATCH(DATE(R$5,$K170,$J170),daily_dates,0),MATCH($B$3,daily_items,0)))</f>
        <v>#N/A</v>
      </c>
      <c r="S170" s="1" t="e">
        <f aca="false">IF(ISBLANK(INDEX(big_daily_table,MATCH(DATE(S$5,$K170,$J170),daily_dates,0),MATCH($B$3,daily_items,0))),NA(),INDEX(big_daily_table,MATCH(DATE(S$5,$K170,$J170),daily_dates,0),MATCH($B$3,daily_items,0)))</f>
        <v>#N/A</v>
      </c>
      <c r="T170" s="1" t="e">
        <f aca="false">IF(ISBLANK(INDEX(big_daily_table,MATCH(DATE(T$5,$K170,$J170),daily_dates,0),MATCH($B$3,daily_items,0))),NA(),INDEX(big_daily_table,MATCH(DATE(T$5,$K170,$J170),daily_dates,0),MATCH($B$3,daily_items,0)))</f>
        <v>#N/A</v>
      </c>
      <c r="U170" s="1" t="e">
        <f aca="false">IF(ISBLANK(INDEX(big_daily_table,MATCH(DATE(U$5,$K170,$J170),daily_dates,0),MATCH($B$3,daily_items,0))),NA(),INDEX(big_daily_table,MATCH(DATE(U$5,$K170,$J170),daily_dates,0),MATCH($B$3,daily_items,0)))</f>
        <v>#N/A</v>
      </c>
      <c r="V170" s="1" t="e">
        <f aca="false">IF(ISBLANK(INDEX(big_daily_table,MATCH(DATE(V$5,$K170,$J170),daily_dates,0),MATCH($B$3,daily_items,0))),NA(),INDEX(big_daily_table,MATCH(DATE(V$5,$K170,$J170),daily_dates,0),MATCH($B$3,daily_items,0)))</f>
        <v>#N/A</v>
      </c>
      <c r="W170" s="1" t="e">
        <f aca="false">IF(ISBLANK(INDEX(big_daily_table,MATCH(DATE(W$5,$K170,$J170),daily_dates,0),MATCH($B$3,daily_items,0))),NA(),INDEX(big_daily_table,MATCH(DATE(W$5,$K170,$J170),daily_dates,0),MATCH($B$3,daily_items,0)))</f>
        <v>#N/A</v>
      </c>
      <c r="X170" s="1" t="e">
        <f aca="false">IF(ISBLANK(INDEX(big_daily_table,MATCH(DATE(X$5,$K170,$J170),daily_dates,0),MATCH($B$3,daily_items,0))),NA(),INDEX(big_daily_table,MATCH(DATE(X$5,$K170,$J170),daily_dates,0),MATCH($B$3,daily_items,0)))</f>
        <v>#N/A</v>
      </c>
      <c r="Y170" s="1" t="e">
        <f aca="false">IF(ISBLANK(INDEX(big_daily_table,MATCH(DATE(Y$5,$K170,$J170),daily_dates,0),MATCH($B$3,daily_items,0))),NA(),INDEX(big_daily_table,MATCH(DATE(Y$5,$K170,$J170),daily_dates,0),MATCH($B$3,daily_items,0)))</f>
        <v>#N/A</v>
      </c>
      <c r="Z170" s="1" t="e">
        <f aca="false">IF(ISBLANK(INDEX(big_daily_table,MATCH(DATE(Z$5,$K170,$J170),daily_dates,0),MATCH($B$3,daily_items,0))),NA(),INDEX(big_daily_table,MATCH(DATE(Z$5,$K170,$J170),daily_dates,0),MATCH($B$3,daily_items,0)))</f>
        <v>#N/A</v>
      </c>
      <c r="AA170" s="1" t="n">
        <f aca="true">_xlfn.AGGREGATE(5,6,OFFSET($S$5,H170,0,1,$K$2))</f>
        <v>0</v>
      </c>
      <c r="AB170" s="1" t="n">
        <f aca="true">_xlfn.AGGREGATE(4,6,OFFSET($S$5,H170,0,1,$K$2))</f>
        <v>0</v>
      </c>
      <c r="AC170" s="1" t="n">
        <f aca="false">AB170-AA170</f>
        <v>0</v>
      </c>
      <c r="AD170" s="1" t="e">
        <f aca="true">_xlfn.AGGREGATE(1,6,OFFSET($S$5,H170,0,1,$K$2))</f>
        <v>#DIV/0!</v>
      </c>
    </row>
    <row r="171" customFormat="false" ht="14.25" hidden="false" customHeight="false" outlineLevel="0" collapsed="false">
      <c r="H171" s="1" t="n">
        <f aca="false">H170+1</f>
        <v>166</v>
      </c>
      <c r="I171" s="1" t="n">
        <f aca="false">WEEKDAY('daily graphs'!K171)</f>
        <v>4</v>
      </c>
      <c r="J171" s="1" t="n">
        <f aca="false">DAY(L171)</f>
        <v>10</v>
      </c>
      <c r="K171" s="1" t="n">
        <f aca="false">MONTH(L171)</f>
        <v>6</v>
      </c>
      <c r="L171" s="23" t="n">
        <f aca="false">'daily graphs'!K171 - I171</f>
        <v>36687</v>
      </c>
      <c r="M171" s="24" t="n">
        <f aca="true">IF(TODAY()&lt;DATE($O$5,K171,J171),1000000,-1000000)</f>
        <v>-1000000</v>
      </c>
      <c r="N171" s="24" t="e">
        <f aca="false">IF(M171&gt;0,INDEX(big_daily_table,MATCH(DATE(O$5,$K171,$J171),daily_dates,0),MATCH($B$3,daily_items,0)),NA())</f>
        <v>#N/A</v>
      </c>
      <c r="O171" s="1" t="e">
        <f aca="false">IF(M171&lt;0,INDEX(big_daily_table,MATCH(DATE(O$5,$K171,$J171),daily_dates,0),MATCH($B$3,daily_items,0)),NA())</f>
        <v>#N/A</v>
      </c>
      <c r="P171" s="1" t="e">
        <f aca="false">IF(ISBLANK(INDEX(big_daily_table,MATCH(DATE(P$5,$K171,$J171),daily_dates,0),MATCH($B$3,daily_items,0))),NA(),INDEX(big_daily_table,MATCH(DATE(P$5,$K171,$J171),daily_dates,0),MATCH($B$3,daily_items,0)))</f>
        <v>#N/A</v>
      </c>
      <c r="Q171" s="1" t="e">
        <f aca="false">IF(ISBLANK(INDEX(big_daily_table,MATCH(DATE(Q$5,$K171,$J171),daily_dates,0),MATCH($B$3,daily_items,0))),NA(),INDEX(big_daily_table,MATCH(DATE(Q$5,$K171,$J171),daily_dates,0),MATCH($B$3,daily_items,0)))</f>
        <v>#N/A</v>
      </c>
      <c r="R171" s="1" t="e">
        <f aca="false">IF(ISBLANK(INDEX(big_daily_table,MATCH(DATE(R$5,$K171,$J171),daily_dates,0),MATCH($B$3,daily_items,0))),NA(),INDEX(big_daily_table,MATCH(DATE(R$5,$K171,$J171),daily_dates,0),MATCH($B$3,daily_items,0)))</f>
        <v>#N/A</v>
      </c>
      <c r="S171" s="1" t="e">
        <f aca="false">IF(ISBLANK(INDEX(big_daily_table,MATCH(DATE(S$5,$K171,$J171),daily_dates,0),MATCH($B$3,daily_items,0))),NA(),INDEX(big_daily_table,MATCH(DATE(S$5,$K171,$J171),daily_dates,0),MATCH($B$3,daily_items,0)))</f>
        <v>#N/A</v>
      </c>
      <c r="T171" s="1" t="e">
        <f aca="false">IF(ISBLANK(INDEX(big_daily_table,MATCH(DATE(T$5,$K171,$J171),daily_dates,0),MATCH($B$3,daily_items,0))),NA(),INDEX(big_daily_table,MATCH(DATE(T$5,$K171,$J171),daily_dates,0),MATCH($B$3,daily_items,0)))</f>
        <v>#N/A</v>
      </c>
      <c r="U171" s="1" t="e">
        <f aca="false">IF(ISBLANK(INDEX(big_daily_table,MATCH(DATE(U$5,$K171,$J171),daily_dates,0),MATCH($B$3,daily_items,0))),NA(),INDEX(big_daily_table,MATCH(DATE(U$5,$K171,$J171),daily_dates,0),MATCH($B$3,daily_items,0)))</f>
        <v>#N/A</v>
      </c>
      <c r="V171" s="1" t="e">
        <f aca="false">IF(ISBLANK(INDEX(big_daily_table,MATCH(DATE(V$5,$K171,$J171),daily_dates,0),MATCH($B$3,daily_items,0))),NA(),INDEX(big_daily_table,MATCH(DATE(V$5,$K171,$J171),daily_dates,0),MATCH($B$3,daily_items,0)))</f>
        <v>#N/A</v>
      </c>
      <c r="W171" s="1" t="e">
        <f aca="false">IF(ISBLANK(INDEX(big_daily_table,MATCH(DATE(W$5,$K171,$J171),daily_dates,0),MATCH($B$3,daily_items,0))),NA(),INDEX(big_daily_table,MATCH(DATE(W$5,$K171,$J171),daily_dates,0),MATCH($B$3,daily_items,0)))</f>
        <v>#N/A</v>
      </c>
      <c r="X171" s="1" t="e">
        <f aca="false">IF(ISBLANK(INDEX(big_daily_table,MATCH(DATE(X$5,$K171,$J171),daily_dates,0),MATCH($B$3,daily_items,0))),NA(),INDEX(big_daily_table,MATCH(DATE(X$5,$K171,$J171),daily_dates,0),MATCH($B$3,daily_items,0)))</f>
        <v>#N/A</v>
      </c>
      <c r="Y171" s="1" t="e">
        <f aca="false">IF(ISBLANK(INDEX(big_daily_table,MATCH(DATE(Y$5,$K171,$J171),daily_dates,0),MATCH($B$3,daily_items,0))),NA(),INDEX(big_daily_table,MATCH(DATE(Y$5,$K171,$J171),daily_dates,0),MATCH($B$3,daily_items,0)))</f>
        <v>#N/A</v>
      </c>
      <c r="Z171" s="1" t="e">
        <f aca="false">IF(ISBLANK(INDEX(big_daily_table,MATCH(DATE(Z$5,$K171,$J171),daily_dates,0),MATCH($B$3,daily_items,0))),NA(),INDEX(big_daily_table,MATCH(DATE(Z$5,$K171,$J171),daily_dates,0),MATCH($B$3,daily_items,0)))</f>
        <v>#N/A</v>
      </c>
      <c r="AA171" s="1" t="n">
        <f aca="true">_xlfn.AGGREGATE(5,6,OFFSET($S$5,H171,0,1,$K$2))</f>
        <v>0</v>
      </c>
      <c r="AB171" s="1" t="n">
        <f aca="true">_xlfn.AGGREGATE(4,6,OFFSET($S$5,H171,0,1,$K$2))</f>
        <v>0</v>
      </c>
      <c r="AC171" s="1" t="n">
        <f aca="false">AB171-AA171</f>
        <v>0</v>
      </c>
      <c r="AD171" s="1" t="e">
        <f aca="true">_xlfn.AGGREGATE(1,6,OFFSET($S$5,H171,0,1,$K$2))</f>
        <v>#DIV/0!</v>
      </c>
    </row>
    <row r="172" customFormat="false" ht="14.25" hidden="false" customHeight="false" outlineLevel="0" collapsed="false">
      <c r="H172" s="1" t="n">
        <f aca="false">H171+1</f>
        <v>167</v>
      </c>
      <c r="I172" s="1" t="n">
        <f aca="false">WEEKDAY('daily graphs'!K172)</f>
        <v>5</v>
      </c>
      <c r="J172" s="1" t="n">
        <f aca="false">DAY(L172)</f>
        <v>10</v>
      </c>
      <c r="K172" s="1" t="n">
        <f aca="false">MONTH(L172)</f>
        <v>6</v>
      </c>
      <c r="L172" s="23" t="n">
        <f aca="false">'daily graphs'!K172 - I172</f>
        <v>36687</v>
      </c>
      <c r="M172" s="24" t="n">
        <f aca="true">IF(TODAY()&lt;DATE($O$5,K172,J172),1000000,-1000000)</f>
        <v>-1000000</v>
      </c>
      <c r="N172" s="24" t="e">
        <f aca="false">IF(M172&gt;0,INDEX(big_daily_table,MATCH(DATE(O$5,$K172,$J172),daily_dates,0),MATCH($B$3,daily_items,0)),NA())</f>
        <v>#N/A</v>
      </c>
      <c r="O172" s="1" t="e">
        <f aca="false">IF(M172&lt;0,INDEX(big_daily_table,MATCH(DATE(O$5,$K172,$J172),daily_dates,0),MATCH($B$3,daily_items,0)),NA())</f>
        <v>#N/A</v>
      </c>
      <c r="P172" s="1" t="e">
        <f aca="false">IF(ISBLANK(INDEX(big_daily_table,MATCH(DATE(P$5,$K172,$J172),daily_dates,0),MATCH($B$3,daily_items,0))),NA(),INDEX(big_daily_table,MATCH(DATE(P$5,$K172,$J172),daily_dates,0),MATCH($B$3,daily_items,0)))</f>
        <v>#N/A</v>
      </c>
      <c r="Q172" s="1" t="e">
        <f aca="false">IF(ISBLANK(INDEX(big_daily_table,MATCH(DATE(Q$5,$K172,$J172),daily_dates,0),MATCH($B$3,daily_items,0))),NA(),INDEX(big_daily_table,MATCH(DATE(Q$5,$K172,$J172),daily_dates,0),MATCH($B$3,daily_items,0)))</f>
        <v>#N/A</v>
      </c>
      <c r="R172" s="1" t="e">
        <f aca="false">IF(ISBLANK(INDEX(big_daily_table,MATCH(DATE(R$5,$K172,$J172),daily_dates,0),MATCH($B$3,daily_items,0))),NA(),INDEX(big_daily_table,MATCH(DATE(R$5,$K172,$J172),daily_dates,0),MATCH($B$3,daily_items,0)))</f>
        <v>#N/A</v>
      </c>
      <c r="S172" s="1" t="e">
        <f aca="false">IF(ISBLANK(INDEX(big_daily_table,MATCH(DATE(S$5,$K172,$J172),daily_dates,0),MATCH($B$3,daily_items,0))),NA(),INDEX(big_daily_table,MATCH(DATE(S$5,$K172,$J172),daily_dates,0),MATCH($B$3,daily_items,0)))</f>
        <v>#N/A</v>
      </c>
      <c r="T172" s="1" t="e">
        <f aca="false">IF(ISBLANK(INDEX(big_daily_table,MATCH(DATE(T$5,$K172,$J172),daily_dates,0),MATCH($B$3,daily_items,0))),NA(),INDEX(big_daily_table,MATCH(DATE(T$5,$K172,$J172),daily_dates,0),MATCH($B$3,daily_items,0)))</f>
        <v>#N/A</v>
      </c>
      <c r="U172" s="1" t="e">
        <f aca="false">IF(ISBLANK(INDEX(big_daily_table,MATCH(DATE(U$5,$K172,$J172),daily_dates,0),MATCH($B$3,daily_items,0))),NA(),INDEX(big_daily_table,MATCH(DATE(U$5,$K172,$J172),daily_dates,0),MATCH($B$3,daily_items,0)))</f>
        <v>#N/A</v>
      </c>
      <c r="V172" s="1" t="e">
        <f aca="false">IF(ISBLANK(INDEX(big_daily_table,MATCH(DATE(V$5,$K172,$J172),daily_dates,0),MATCH($B$3,daily_items,0))),NA(),INDEX(big_daily_table,MATCH(DATE(V$5,$K172,$J172),daily_dates,0),MATCH($B$3,daily_items,0)))</f>
        <v>#N/A</v>
      </c>
      <c r="W172" s="1" t="e">
        <f aca="false">IF(ISBLANK(INDEX(big_daily_table,MATCH(DATE(W$5,$K172,$J172),daily_dates,0),MATCH($B$3,daily_items,0))),NA(),INDEX(big_daily_table,MATCH(DATE(W$5,$K172,$J172),daily_dates,0),MATCH($B$3,daily_items,0)))</f>
        <v>#N/A</v>
      </c>
      <c r="X172" s="1" t="e">
        <f aca="false">IF(ISBLANK(INDEX(big_daily_table,MATCH(DATE(X$5,$K172,$J172),daily_dates,0),MATCH($B$3,daily_items,0))),NA(),INDEX(big_daily_table,MATCH(DATE(X$5,$K172,$J172),daily_dates,0),MATCH($B$3,daily_items,0)))</f>
        <v>#N/A</v>
      </c>
      <c r="Y172" s="1" t="e">
        <f aca="false">IF(ISBLANK(INDEX(big_daily_table,MATCH(DATE(Y$5,$K172,$J172),daily_dates,0),MATCH($B$3,daily_items,0))),NA(),INDEX(big_daily_table,MATCH(DATE(Y$5,$K172,$J172),daily_dates,0),MATCH($B$3,daily_items,0)))</f>
        <v>#N/A</v>
      </c>
      <c r="Z172" s="1" t="e">
        <f aca="false">IF(ISBLANK(INDEX(big_daily_table,MATCH(DATE(Z$5,$K172,$J172),daily_dates,0),MATCH($B$3,daily_items,0))),NA(),INDEX(big_daily_table,MATCH(DATE(Z$5,$K172,$J172),daily_dates,0),MATCH($B$3,daily_items,0)))</f>
        <v>#N/A</v>
      </c>
      <c r="AA172" s="1" t="n">
        <f aca="true">_xlfn.AGGREGATE(5,6,OFFSET($S$5,H172,0,1,$K$2))</f>
        <v>0</v>
      </c>
      <c r="AB172" s="1" t="n">
        <f aca="true">_xlfn.AGGREGATE(4,6,OFFSET($S$5,H172,0,1,$K$2))</f>
        <v>0</v>
      </c>
      <c r="AC172" s="1" t="n">
        <f aca="false">AB172-AA172</f>
        <v>0</v>
      </c>
      <c r="AD172" s="1" t="e">
        <f aca="true">_xlfn.AGGREGATE(1,6,OFFSET($S$5,H172,0,1,$K$2))</f>
        <v>#DIV/0!</v>
      </c>
    </row>
    <row r="173" customFormat="false" ht="14.25" hidden="false" customHeight="false" outlineLevel="0" collapsed="false">
      <c r="H173" s="1" t="n">
        <f aca="false">H172+1</f>
        <v>168</v>
      </c>
      <c r="I173" s="1" t="n">
        <f aca="false">WEEKDAY('daily graphs'!K173)</f>
        <v>6</v>
      </c>
      <c r="J173" s="1" t="n">
        <f aca="false">DAY(L173)</f>
        <v>10</v>
      </c>
      <c r="K173" s="1" t="n">
        <f aca="false">MONTH(L173)</f>
        <v>6</v>
      </c>
      <c r="L173" s="23" t="n">
        <f aca="false">'daily graphs'!K173 - I173</f>
        <v>36687</v>
      </c>
      <c r="M173" s="24" t="n">
        <f aca="true">IF(TODAY()&lt;DATE($O$5,K173,J173),1000000,-1000000)</f>
        <v>-1000000</v>
      </c>
      <c r="N173" s="24" t="e">
        <f aca="false">IF(M173&gt;0,INDEX(big_daily_table,MATCH(DATE(O$5,$K173,$J173),daily_dates,0),MATCH($B$3,daily_items,0)),NA())</f>
        <v>#N/A</v>
      </c>
      <c r="O173" s="1" t="e">
        <f aca="false">IF(M173&lt;0,INDEX(big_daily_table,MATCH(DATE(O$5,$K173,$J173),daily_dates,0),MATCH($B$3,daily_items,0)),NA())</f>
        <v>#N/A</v>
      </c>
      <c r="P173" s="1" t="e">
        <f aca="false">IF(ISBLANK(INDEX(big_daily_table,MATCH(DATE(P$5,$K173,$J173),daily_dates,0),MATCH($B$3,daily_items,0))),NA(),INDEX(big_daily_table,MATCH(DATE(P$5,$K173,$J173),daily_dates,0),MATCH($B$3,daily_items,0)))</f>
        <v>#N/A</v>
      </c>
      <c r="Q173" s="1" t="e">
        <f aca="false">IF(ISBLANK(INDEX(big_daily_table,MATCH(DATE(Q$5,$K173,$J173),daily_dates,0),MATCH($B$3,daily_items,0))),NA(),INDEX(big_daily_table,MATCH(DATE(Q$5,$K173,$J173),daily_dates,0),MATCH($B$3,daily_items,0)))</f>
        <v>#N/A</v>
      </c>
      <c r="R173" s="1" t="e">
        <f aca="false">IF(ISBLANK(INDEX(big_daily_table,MATCH(DATE(R$5,$K173,$J173),daily_dates,0),MATCH($B$3,daily_items,0))),NA(),INDEX(big_daily_table,MATCH(DATE(R$5,$K173,$J173),daily_dates,0),MATCH($B$3,daily_items,0)))</f>
        <v>#N/A</v>
      </c>
      <c r="S173" s="1" t="e">
        <f aca="false">IF(ISBLANK(INDEX(big_daily_table,MATCH(DATE(S$5,$K173,$J173),daily_dates,0),MATCH($B$3,daily_items,0))),NA(),INDEX(big_daily_table,MATCH(DATE(S$5,$K173,$J173),daily_dates,0),MATCH($B$3,daily_items,0)))</f>
        <v>#N/A</v>
      </c>
      <c r="T173" s="1" t="e">
        <f aca="false">IF(ISBLANK(INDEX(big_daily_table,MATCH(DATE(T$5,$K173,$J173),daily_dates,0),MATCH($B$3,daily_items,0))),NA(),INDEX(big_daily_table,MATCH(DATE(T$5,$K173,$J173),daily_dates,0),MATCH($B$3,daily_items,0)))</f>
        <v>#N/A</v>
      </c>
      <c r="U173" s="1" t="e">
        <f aca="false">IF(ISBLANK(INDEX(big_daily_table,MATCH(DATE(U$5,$K173,$J173),daily_dates,0),MATCH($B$3,daily_items,0))),NA(),INDEX(big_daily_table,MATCH(DATE(U$5,$K173,$J173),daily_dates,0),MATCH($B$3,daily_items,0)))</f>
        <v>#N/A</v>
      </c>
      <c r="V173" s="1" t="e">
        <f aca="false">IF(ISBLANK(INDEX(big_daily_table,MATCH(DATE(V$5,$K173,$J173),daily_dates,0),MATCH($B$3,daily_items,0))),NA(),INDEX(big_daily_table,MATCH(DATE(V$5,$K173,$J173),daily_dates,0),MATCH($B$3,daily_items,0)))</f>
        <v>#N/A</v>
      </c>
      <c r="W173" s="1" t="e">
        <f aca="false">IF(ISBLANK(INDEX(big_daily_table,MATCH(DATE(W$5,$K173,$J173),daily_dates,0),MATCH($B$3,daily_items,0))),NA(),INDEX(big_daily_table,MATCH(DATE(W$5,$K173,$J173),daily_dates,0),MATCH($B$3,daily_items,0)))</f>
        <v>#N/A</v>
      </c>
      <c r="X173" s="1" t="e">
        <f aca="false">IF(ISBLANK(INDEX(big_daily_table,MATCH(DATE(X$5,$K173,$J173),daily_dates,0),MATCH($B$3,daily_items,0))),NA(),INDEX(big_daily_table,MATCH(DATE(X$5,$K173,$J173),daily_dates,0),MATCH($B$3,daily_items,0)))</f>
        <v>#N/A</v>
      </c>
      <c r="Y173" s="1" t="e">
        <f aca="false">IF(ISBLANK(INDEX(big_daily_table,MATCH(DATE(Y$5,$K173,$J173),daily_dates,0),MATCH($B$3,daily_items,0))),NA(),INDEX(big_daily_table,MATCH(DATE(Y$5,$K173,$J173),daily_dates,0),MATCH($B$3,daily_items,0)))</f>
        <v>#N/A</v>
      </c>
      <c r="Z173" s="1" t="e">
        <f aca="false">IF(ISBLANK(INDEX(big_daily_table,MATCH(DATE(Z$5,$K173,$J173),daily_dates,0),MATCH($B$3,daily_items,0))),NA(),INDEX(big_daily_table,MATCH(DATE(Z$5,$K173,$J173),daily_dates,0),MATCH($B$3,daily_items,0)))</f>
        <v>#N/A</v>
      </c>
      <c r="AA173" s="1" t="n">
        <f aca="true">_xlfn.AGGREGATE(5,6,OFFSET($S$5,H173,0,1,$K$2))</f>
        <v>0</v>
      </c>
      <c r="AB173" s="1" t="n">
        <f aca="true">_xlfn.AGGREGATE(4,6,OFFSET($S$5,H173,0,1,$K$2))</f>
        <v>0</v>
      </c>
      <c r="AC173" s="1" t="n">
        <f aca="false">AB173-AA173</f>
        <v>0</v>
      </c>
      <c r="AD173" s="1" t="e">
        <f aca="true">_xlfn.AGGREGATE(1,6,OFFSET($S$5,H173,0,1,$K$2))</f>
        <v>#DIV/0!</v>
      </c>
    </row>
    <row r="174" customFormat="false" ht="14.25" hidden="false" customHeight="false" outlineLevel="0" collapsed="false">
      <c r="H174" s="1" t="n">
        <f aca="false">H173+1</f>
        <v>169</v>
      </c>
      <c r="I174" s="1" t="n">
        <f aca="false">WEEKDAY('daily graphs'!K174)</f>
        <v>7</v>
      </c>
      <c r="J174" s="1" t="n">
        <f aca="false">DAY(L174)</f>
        <v>10</v>
      </c>
      <c r="K174" s="1" t="n">
        <f aca="false">MONTH(L174)</f>
        <v>6</v>
      </c>
      <c r="L174" s="23" t="n">
        <f aca="false">'daily graphs'!K174 - I174</f>
        <v>36687</v>
      </c>
      <c r="M174" s="24" t="n">
        <f aca="true">IF(TODAY()&lt;DATE($O$5,K174,J174),1000000,-1000000)</f>
        <v>-1000000</v>
      </c>
      <c r="N174" s="24" t="e">
        <f aca="false">IF(M174&gt;0,INDEX(big_daily_table,MATCH(DATE(O$5,$K174,$J174),daily_dates,0),MATCH($B$3,daily_items,0)),NA())</f>
        <v>#N/A</v>
      </c>
      <c r="O174" s="1" t="e">
        <f aca="false">IF(M174&lt;0,INDEX(big_daily_table,MATCH(DATE(O$5,$K174,$J174),daily_dates,0),MATCH($B$3,daily_items,0)),NA())</f>
        <v>#N/A</v>
      </c>
      <c r="P174" s="1" t="e">
        <f aca="false">IF(ISBLANK(INDEX(big_daily_table,MATCH(DATE(P$5,$K174,$J174),daily_dates,0),MATCH($B$3,daily_items,0))),NA(),INDEX(big_daily_table,MATCH(DATE(P$5,$K174,$J174),daily_dates,0),MATCH($B$3,daily_items,0)))</f>
        <v>#N/A</v>
      </c>
      <c r="Q174" s="1" t="e">
        <f aca="false">IF(ISBLANK(INDEX(big_daily_table,MATCH(DATE(Q$5,$K174,$J174),daily_dates,0),MATCH($B$3,daily_items,0))),NA(),INDEX(big_daily_table,MATCH(DATE(Q$5,$K174,$J174),daily_dates,0),MATCH($B$3,daily_items,0)))</f>
        <v>#N/A</v>
      </c>
      <c r="R174" s="1" t="e">
        <f aca="false">IF(ISBLANK(INDEX(big_daily_table,MATCH(DATE(R$5,$K174,$J174),daily_dates,0),MATCH($B$3,daily_items,0))),NA(),INDEX(big_daily_table,MATCH(DATE(R$5,$K174,$J174),daily_dates,0),MATCH($B$3,daily_items,0)))</f>
        <v>#N/A</v>
      </c>
      <c r="S174" s="1" t="e">
        <f aca="false">IF(ISBLANK(INDEX(big_daily_table,MATCH(DATE(S$5,$K174,$J174),daily_dates,0),MATCH($B$3,daily_items,0))),NA(),INDEX(big_daily_table,MATCH(DATE(S$5,$K174,$J174),daily_dates,0),MATCH($B$3,daily_items,0)))</f>
        <v>#N/A</v>
      </c>
      <c r="T174" s="1" t="e">
        <f aca="false">IF(ISBLANK(INDEX(big_daily_table,MATCH(DATE(T$5,$K174,$J174),daily_dates,0),MATCH($B$3,daily_items,0))),NA(),INDEX(big_daily_table,MATCH(DATE(T$5,$K174,$J174),daily_dates,0),MATCH($B$3,daily_items,0)))</f>
        <v>#N/A</v>
      </c>
      <c r="U174" s="1" t="e">
        <f aca="false">IF(ISBLANK(INDEX(big_daily_table,MATCH(DATE(U$5,$K174,$J174),daily_dates,0),MATCH($B$3,daily_items,0))),NA(),INDEX(big_daily_table,MATCH(DATE(U$5,$K174,$J174),daily_dates,0),MATCH($B$3,daily_items,0)))</f>
        <v>#N/A</v>
      </c>
      <c r="V174" s="1" t="e">
        <f aca="false">IF(ISBLANK(INDEX(big_daily_table,MATCH(DATE(V$5,$K174,$J174),daily_dates,0),MATCH($B$3,daily_items,0))),NA(),INDEX(big_daily_table,MATCH(DATE(V$5,$K174,$J174),daily_dates,0),MATCH($B$3,daily_items,0)))</f>
        <v>#N/A</v>
      </c>
      <c r="W174" s="1" t="e">
        <f aca="false">IF(ISBLANK(INDEX(big_daily_table,MATCH(DATE(W$5,$K174,$J174),daily_dates,0),MATCH($B$3,daily_items,0))),NA(),INDEX(big_daily_table,MATCH(DATE(W$5,$K174,$J174),daily_dates,0),MATCH($B$3,daily_items,0)))</f>
        <v>#N/A</v>
      </c>
      <c r="X174" s="1" t="e">
        <f aca="false">IF(ISBLANK(INDEX(big_daily_table,MATCH(DATE(X$5,$K174,$J174),daily_dates,0),MATCH($B$3,daily_items,0))),NA(),INDEX(big_daily_table,MATCH(DATE(X$5,$K174,$J174),daily_dates,0),MATCH($B$3,daily_items,0)))</f>
        <v>#N/A</v>
      </c>
      <c r="Y174" s="1" t="e">
        <f aca="false">IF(ISBLANK(INDEX(big_daily_table,MATCH(DATE(Y$5,$K174,$J174),daily_dates,0),MATCH($B$3,daily_items,0))),NA(),INDEX(big_daily_table,MATCH(DATE(Y$5,$K174,$J174),daily_dates,0),MATCH($B$3,daily_items,0)))</f>
        <v>#N/A</v>
      </c>
      <c r="Z174" s="1" t="e">
        <f aca="false">IF(ISBLANK(INDEX(big_daily_table,MATCH(DATE(Z$5,$K174,$J174),daily_dates,0),MATCH($B$3,daily_items,0))),NA(),INDEX(big_daily_table,MATCH(DATE(Z$5,$K174,$J174),daily_dates,0),MATCH($B$3,daily_items,0)))</f>
        <v>#N/A</v>
      </c>
      <c r="AA174" s="1" t="n">
        <f aca="true">_xlfn.AGGREGATE(5,6,OFFSET($S$5,H174,0,1,$K$2))</f>
        <v>0</v>
      </c>
      <c r="AB174" s="1" t="n">
        <f aca="true">_xlfn.AGGREGATE(4,6,OFFSET($S$5,H174,0,1,$K$2))</f>
        <v>0</v>
      </c>
      <c r="AC174" s="1" t="n">
        <f aca="false">AB174-AA174</f>
        <v>0</v>
      </c>
      <c r="AD174" s="1" t="e">
        <f aca="true">_xlfn.AGGREGATE(1,6,OFFSET($S$5,H174,0,1,$K$2))</f>
        <v>#DIV/0!</v>
      </c>
    </row>
    <row r="175" customFormat="false" ht="14.25" hidden="false" customHeight="false" outlineLevel="0" collapsed="false">
      <c r="H175" s="1" t="n">
        <f aca="false">H174+1</f>
        <v>170</v>
      </c>
      <c r="I175" s="1" t="n">
        <f aca="false">WEEKDAY('daily graphs'!K175)</f>
        <v>1</v>
      </c>
      <c r="J175" s="1" t="n">
        <f aca="false">DAY(L175)</f>
        <v>17</v>
      </c>
      <c r="K175" s="1" t="n">
        <f aca="false">MONTH(L175)</f>
        <v>6</v>
      </c>
      <c r="L175" s="23" t="n">
        <f aca="false">'daily graphs'!K175 - I175</f>
        <v>36694</v>
      </c>
      <c r="M175" s="24" t="n">
        <f aca="true">IF(TODAY()&lt;DATE($O$5,K175,J175),1000000,-1000000)</f>
        <v>-1000000</v>
      </c>
      <c r="N175" s="24" t="e">
        <f aca="false">IF(M175&gt;0,INDEX(big_daily_table,MATCH(DATE(O$5,$K175,$J175),daily_dates,0),MATCH($B$3,daily_items,0)),NA())</f>
        <v>#N/A</v>
      </c>
      <c r="O175" s="1" t="e">
        <f aca="false">IF(M175&lt;0,INDEX(big_daily_table,MATCH(DATE(O$5,$K175,$J175),daily_dates,0),MATCH($B$3,daily_items,0)),NA())</f>
        <v>#N/A</v>
      </c>
      <c r="P175" s="1" t="e">
        <f aca="false">IF(ISBLANK(INDEX(big_daily_table,MATCH(DATE(P$5,$K175,$J175),daily_dates,0),MATCH($B$3,daily_items,0))),NA(),INDEX(big_daily_table,MATCH(DATE(P$5,$K175,$J175),daily_dates,0),MATCH($B$3,daily_items,0)))</f>
        <v>#N/A</v>
      </c>
      <c r="Q175" s="1" t="e">
        <f aca="false">IF(ISBLANK(INDEX(big_daily_table,MATCH(DATE(Q$5,$K175,$J175),daily_dates,0),MATCH($B$3,daily_items,0))),NA(),INDEX(big_daily_table,MATCH(DATE(Q$5,$K175,$J175),daily_dates,0),MATCH($B$3,daily_items,0)))</f>
        <v>#N/A</v>
      </c>
      <c r="R175" s="1" t="e">
        <f aca="false">IF(ISBLANK(INDEX(big_daily_table,MATCH(DATE(R$5,$K175,$J175),daily_dates,0),MATCH($B$3,daily_items,0))),NA(),INDEX(big_daily_table,MATCH(DATE(R$5,$K175,$J175),daily_dates,0),MATCH($B$3,daily_items,0)))</f>
        <v>#N/A</v>
      </c>
      <c r="S175" s="1" t="e">
        <f aca="false">IF(ISBLANK(INDEX(big_daily_table,MATCH(DATE(S$5,$K175,$J175),daily_dates,0),MATCH($B$3,daily_items,0))),NA(),INDEX(big_daily_table,MATCH(DATE(S$5,$K175,$J175),daily_dates,0),MATCH($B$3,daily_items,0)))</f>
        <v>#N/A</v>
      </c>
      <c r="T175" s="1" t="e">
        <f aca="false">IF(ISBLANK(INDEX(big_daily_table,MATCH(DATE(T$5,$K175,$J175),daily_dates,0),MATCH($B$3,daily_items,0))),NA(),INDEX(big_daily_table,MATCH(DATE(T$5,$K175,$J175),daily_dates,0),MATCH($B$3,daily_items,0)))</f>
        <v>#N/A</v>
      </c>
      <c r="U175" s="1" t="e">
        <f aca="false">IF(ISBLANK(INDEX(big_daily_table,MATCH(DATE(U$5,$K175,$J175),daily_dates,0),MATCH($B$3,daily_items,0))),NA(),INDEX(big_daily_table,MATCH(DATE(U$5,$K175,$J175),daily_dates,0),MATCH($B$3,daily_items,0)))</f>
        <v>#N/A</v>
      </c>
      <c r="V175" s="1" t="e">
        <f aca="false">IF(ISBLANK(INDEX(big_daily_table,MATCH(DATE(V$5,$K175,$J175),daily_dates,0),MATCH($B$3,daily_items,0))),NA(),INDEX(big_daily_table,MATCH(DATE(V$5,$K175,$J175),daily_dates,0),MATCH($B$3,daily_items,0)))</f>
        <v>#N/A</v>
      </c>
      <c r="W175" s="1" t="e">
        <f aca="false">IF(ISBLANK(INDEX(big_daily_table,MATCH(DATE(W$5,$K175,$J175),daily_dates,0),MATCH($B$3,daily_items,0))),NA(),INDEX(big_daily_table,MATCH(DATE(W$5,$K175,$J175),daily_dates,0),MATCH($B$3,daily_items,0)))</f>
        <v>#N/A</v>
      </c>
      <c r="X175" s="1" t="e">
        <f aca="false">IF(ISBLANK(INDEX(big_daily_table,MATCH(DATE(X$5,$K175,$J175),daily_dates,0),MATCH($B$3,daily_items,0))),NA(),INDEX(big_daily_table,MATCH(DATE(X$5,$K175,$J175),daily_dates,0),MATCH($B$3,daily_items,0)))</f>
        <v>#N/A</v>
      </c>
      <c r="Y175" s="1" t="e">
        <f aca="false">IF(ISBLANK(INDEX(big_daily_table,MATCH(DATE(Y$5,$K175,$J175),daily_dates,0),MATCH($B$3,daily_items,0))),NA(),INDEX(big_daily_table,MATCH(DATE(Y$5,$K175,$J175),daily_dates,0),MATCH($B$3,daily_items,0)))</f>
        <v>#N/A</v>
      </c>
      <c r="Z175" s="1" t="e">
        <f aca="false">IF(ISBLANK(INDEX(big_daily_table,MATCH(DATE(Z$5,$K175,$J175),daily_dates,0),MATCH($B$3,daily_items,0))),NA(),INDEX(big_daily_table,MATCH(DATE(Z$5,$K175,$J175),daily_dates,0),MATCH($B$3,daily_items,0)))</f>
        <v>#N/A</v>
      </c>
      <c r="AA175" s="1" t="n">
        <f aca="true">_xlfn.AGGREGATE(5,6,OFFSET($S$5,H175,0,1,$K$2))</f>
        <v>0</v>
      </c>
      <c r="AB175" s="1" t="n">
        <f aca="true">_xlfn.AGGREGATE(4,6,OFFSET($S$5,H175,0,1,$K$2))</f>
        <v>0</v>
      </c>
      <c r="AC175" s="1" t="n">
        <f aca="false">AB175-AA175</f>
        <v>0</v>
      </c>
      <c r="AD175" s="1" t="e">
        <f aca="true">_xlfn.AGGREGATE(1,6,OFFSET($S$5,H175,0,1,$K$2))</f>
        <v>#DIV/0!</v>
      </c>
    </row>
    <row r="176" customFormat="false" ht="14.25" hidden="false" customHeight="false" outlineLevel="0" collapsed="false">
      <c r="H176" s="1" t="n">
        <f aca="false">H175+1</f>
        <v>171</v>
      </c>
      <c r="I176" s="1" t="n">
        <f aca="false">WEEKDAY('daily graphs'!K176)</f>
        <v>2</v>
      </c>
      <c r="J176" s="1" t="n">
        <f aca="false">DAY(L176)</f>
        <v>17</v>
      </c>
      <c r="K176" s="1" t="n">
        <f aca="false">MONTH(L176)</f>
        <v>6</v>
      </c>
      <c r="L176" s="23" t="n">
        <f aca="false">'daily graphs'!K176 - I176</f>
        <v>36694</v>
      </c>
      <c r="M176" s="24" t="n">
        <f aca="true">IF(TODAY()&lt;DATE($O$5,K176,J176),1000000,-1000000)</f>
        <v>-1000000</v>
      </c>
      <c r="N176" s="24" t="e">
        <f aca="false">IF(M176&gt;0,INDEX(big_daily_table,MATCH(DATE(O$5,$K176,$J176),daily_dates,0),MATCH($B$3,daily_items,0)),NA())</f>
        <v>#N/A</v>
      </c>
      <c r="O176" s="1" t="e">
        <f aca="false">IF(M176&lt;0,INDEX(big_daily_table,MATCH(DATE(O$5,$K176,$J176),daily_dates,0),MATCH($B$3,daily_items,0)),NA())</f>
        <v>#N/A</v>
      </c>
      <c r="P176" s="1" t="e">
        <f aca="false">IF(ISBLANK(INDEX(big_daily_table,MATCH(DATE(P$5,$K176,$J176),daily_dates,0),MATCH($B$3,daily_items,0))),NA(),INDEX(big_daily_table,MATCH(DATE(P$5,$K176,$J176),daily_dates,0),MATCH($B$3,daily_items,0)))</f>
        <v>#N/A</v>
      </c>
      <c r="Q176" s="1" t="e">
        <f aca="false">IF(ISBLANK(INDEX(big_daily_table,MATCH(DATE(Q$5,$K176,$J176),daily_dates,0),MATCH($B$3,daily_items,0))),NA(),INDEX(big_daily_table,MATCH(DATE(Q$5,$K176,$J176),daily_dates,0),MATCH($B$3,daily_items,0)))</f>
        <v>#N/A</v>
      </c>
      <c r="R176" s="1" t="e">
        <f aca="false">IF(ISBLANK(INDEX(big_daily_table,MATCH(DATE(R$5,$K176,$J176),daily_dates,0),MATCH($B$3,daily_items,0))),NA(),INDEX(big_daily_table,MATCH(DATE(R$5,$K176,$J176),daily_dates,0),MATCH($B$3,daily_items,0)))</f>
        <v>#N/A</v>
      </c>
      <c r="S176" s="1" t="e">
        <f aca="false">IF(ISBLANK(INDEX(big_daily_table,MATCH(DATE(S$5,$K176,$J176),daily_dates,0),MATCH($B$3,daily_items,0))),NA(),INDEX(big_daily_table,MATCH(DATE(S$5,$K176,$J176),daily_dates,0),MATCH($B$3,daily_items,0)))</f>
        <v>#N/A</v>
      </c>
      <c r="T176" s="1" t="e">
        <f aca="false">IF(ISBLANK(INDEX(big_daily_table,MATCH(DATE(T$5,$K176,$J176),daily_dates,0),MATCH($B$3,daily_items,0))),NA(),INDEX(big_daily_table,MATCH(DATE(T$5,$K176,$J176),daily_dates,0),MATCH($B$3,daily_items,0)))</f>
        <v>#N/A</v>
      </c>
      <c r="U176" s="1" t="e">
        <f aca="false">IF(ISBLANK(INDEX(big_daily_table,MATCH(DATE(U$5,$K176,$J176),daily_dates,0),MATCH($B$3,daily_items,0))),NA(),INDEX(big_daily_table,MATCH(DATE(U$5,$K176,$J176),daily_dates,0),MATCH($B$3,daily_items,0)))</f>
        <v>#N/A</v>
      </c>
      <c r="V176" s="1" t="e">
        <f aca="false">IF(ISBLANK(INDEX(big_daily_table,MATCH(DATE(V$5,$K176,$J176),daily_dates,0),MATCH($B$3,daily_items,0))),NA(),INDEX(big_daily_table,MATCH(DATE(V$5,$K176,$J176),daily_dates,0),MATCH($B$3,daily_items,0)))</f>
        <v>#N/A</v>
      </c>
      <c r="W176" s="1" t="e">
        <f aca="false">IF(ISBLANK(INDEX(big_daily_table,MATCH(DATE(W$5,$K176,$J176),daily_dates,0),MATCH($B$3,daily_items,0))),NA(),INDEX(big_daily_table,MATCH(DATE(W$5,$K176,$J176),daily_dates,0),MATCH($B$3,daily_items,0)))</f>
        <v>#N/A</v>
      </c>
      <c r="X176" s="1" t="e">
        <f aca="false">IF(ISBLANK(INDEX(big_daily_table,MATCH(DATE(X$5,$K176,$J176),daily_dates,0),MATCH($B$3,daily_items,0))),NA(),INDEX(big_daily_table,MATCH(DATE(X$5,$K176,$J176),daily_dates,0),MATCH($B$3,daily_items,0)))</f>
        <v>#N/A</v>
      </c>
      <c r="Y176" s="1" t="e">
        <f aca="false">IF(ISBLANK(INDEX(big_daily_table,MATCH(DATE(Y$5,$K176,$J176),daily_dates,0),MATCH($B$3,daily_items,0))),NA(),INDEX(big_daily_table,MATCH(DATE(Y$5,$K176,$J176),daily_dates,0),MATCH($B$3,daily_items,0)))</f>
        <v>#N/A</v>
      </c>
      <c r="Z176" s="1" t="e">
        <f aca="false">IF(ISBLANK(INDEX(big_daily_table,MATCH(DATE(Z$5,$K176,$J176),daily_dates,0),MATCH($B$3,daily_items,0))),NA(),INDEX(big_daily_table,MATCH(DATE(Z$5,$K176,$J176),daily_dates,0),MATCH($B$3,daily_items,0)))</f>
        <v>#N/A</v>
      </c>
      <c r="AA176" s="1" t="n">
        <f aca="true">_xlfn.AGGREGATE(5,6,OFFSET($S$5,H176,0,1,$K$2))</f>
        <v>0</v>
      </c>
      <c r="AB176" s="1" t="n">
        <f aca="true">_xlfn.AGGREGATE(4,6,OFFSET($S$5,H176,0,1,$K$2))</f>
        <v>0</v>
      </c>
      <c r="AC176" s="1" t="n">
        <f aca="false">AB176-AA176</f>
        <v>0</v>
      </c>
      <c r="AD176" s="1" t="e">
        <f aca="true">_xlfn.AGGREGATE(1,6,OFFSET($S$5,H176,0,1,$K$2))</f>
        <v>#DIV/0!</v>
      </c>
    </row>
    <row r="177" customFormat="false" ht="14.25" hidden="false" customHeight="false" outlineLevel="0" collapsed="false">
      <c r="H177" s="1" t="n">
        <f aca="false">H176+1</f>
        <v>172</v>
      </c>
      <c r="I177" s="1" t="n">
        <f aca="false">WEEKDAY('daily graphs'!K177)</f>
        <v>3</v>
      </c>
      <c r="J177" s="1" t="n">
        <f aca="false">DAY(L177)</f>
        <v>17</v>
      </c>
      <c r="K177" s="1" t="n">
        <f aca="false">MONTH(L177)</f>
        <v>6</v>
      </c>
      <c r="L177" s="23" t="n">
        <f aca="false">'daily graphs'!K177 - I177</f>
        <v>36694</v>
      </c>
      <c r="M177" s="24" t="n">
        <f aca="true">IF(TODAY()&lt;DATE($O$5,K177,J177),1000000,-1000000)</f>
        <v>-1000000</v>
      </c>
      <c r="N177" s="24" t="e">
        <f aca="false">IF(M177&gt;0,INDEX(big_daily_table,MATCH(DATE(O$5,$K177,$J177),daily_dates,0),MATCH($B$3,daily_items,0)),NA())</f>
        <v>#N/A</v>
      </c>
      <c r="O177" s="1" t="e">
        <f aca="false">IF(M177&lt;0,INDEX(big_daily_table,MATCH(DATE(O$5,$K177,$J177),daily_dates,0),MATCH($B$3,daily_items,0)),NA())</f>
        <v>#N/A</v>
      </c>
      <c r="P177" s="1" t="e">
        <f aca="false">IF(ISBLANK(INDEX(big_daily_table,MATCH(DATE(P$5,$K177,$J177),daily_dates,0),MATCH($B$3,daily_items,0))),NA(),INDEX(big_daily_table,MATCH(DATE(P$5,$K177,$J177),daily_dates,0),MATCH($B$3,daily_items,0)))</f>
        <v>#N/A</v>
      </c>
      <c r="Q177" s="1" t="e">
        <f aca="false">IF(ISBLANK(INDEX(big_daily_table,MATCH(DATE(Q$5,$K177,$J177),daily_dates,0),MATCH($B$3,daily_items,0))),NA(),INDEX(big_daily_table,MATCH(DATE(Q$5,$K177,$J177),daily_dates,0),MATCH($B$3,daily_items,0)))</f>
        <v>#N/A</v>
      </c>
      <c r="R177" s="1" t="e">
        <f aca="false">IF(ISBLANK(INDEX(big_daily_table,MATCH(DATE(R$5,$K177,$J177),daily_dates,0),MATCH($B$3,daily_items,0))),NA(),INDEX(big_daily_table,MATCH(DATE(R$5,$K177,$J177),daily_dates,0),MATCH($B$3,daily_items,0)))</f>
        <v>#N/A</v>
      </c>
      <c r="S177" s="1" t="e">
        <f aca="false">IF(ISBLANK(INDEX(big_daily_table,MATCH(DATE(S$5,$K177,$J177),daily_dates,0),MATCH($B$3,daily_items,0))),NA(),INDEX(big_daily_table,MATCH(DATE(S$5,$K177,$J177),daily_dates,0),MATCH($B$3,daily_items,0)))</f>
        <v>#N/A</v>
      </c>
      <c r="T177" s="1" t="e">
        <f aca="false">IF(ISBLANK(INDEX(big_daily_table,MATCH(DATE(T$5,$K177,$J177),daily_dates,0),MATCH($B$3,daily_items,0))),NA(),INDEX(big_daily_table,MATCH(DATE(T$5,$K177,$J177),daily_dates,0),MATCH($B$3,daily_items,0)))</f>
        <v>#N/A</v>
      </c>
      <c r="U177" s="1" t="e">
        <f aca="false">IF(ISBLANK(INDEX(big_daily_table,MATCH(DATE(U$5,$K177,$J177),daily_dates,0),MATCH($B$3,daily_items,0))),NA(),INDEX(big_daily_table,MATCH(DATE(U$5,$K177,$J177),daily_dates,0),MATCH($B$3,daily_items,0)))</f>
        <v>#N/A</v>
      </c>
      <c r="V177" s="1" t="e">
        <f aca="false">IF(ISBLANK(INDEX(big_daily_table,MATCH(DATE(V$5,$K177,$J177),daily_dates,0),MATCH($B$3,daily_items,0))),NA(),INDEX(big_daily_table,MATCH(DATE(V$5,$K177,$J177),daily_dates,0),MATCH($B$3,daily_items,0)))</f>
        <v>#N/A</v>
      </c>
      <c r="W177" s="1" t="e">
        <f aca="false">IF(ISBLANK(INDEX(big_daily_table,MATCH(DATE(W$5,$K177,$J177),daily_dates,0),MATCH($B$3,daily_items,0))),NA(),INDEX(big_daily_table,MATCH(DATE(W$5,$K177,$J177),daily_dates,0),MATCH($B$3,daily_items,0)))</f>
        <v>#N/A</v>
      </c>
      <c r="X177" s="1" t="e">
        <f aca="false">IF(ISBLANK(INDEX(big_daily_table,MATCH(DATE(X$5,$K177,$J177),daily_dates,0),MATCH($B$3,daily_items,0))),NA(),INDEX(big_daily_table,MATCH(DATE(X$5,$K177,$J177),daily_dates,0),MATCH($B$3,daily_items,0)))</f>
        <v>#N/A</v>
      </c>
      <c r="Y177" s="1" t="e">
        <f aca="false">IF(ISBLANK(INDEX(big_daily_table,MATCH(DATE(Y$5,$K177,$J177),daily_dates,0),MATCH($B$3,daily_items,0))),NA(),INDEX(big_daily_table,MATCH(DATE(Y$5,$K177,$J177),daily_dates,0),MATCH($B$3,daily_items,0)))</f>
        <v>#N/A</v>
      </c>
      <c r="Z177" s="1" t="e">
        <f aca="false">IF(ISBLANK(INDEX(big_daily_table,MATCH(DATE(Z$5,$K177,$J177),daily_dates,0),MATCH($B$3,daily_items,0))),NA(),INDEX(big_daily_table,MATCH(DATE(Z$5,$K177,$J177),daily_dates,0),MATCH($B$3,daily_items,0)))</f>
        <v>#N/A</v>
      </c>
      <c r="AA177" s="1" t="n">
        <f aca="true">_xlfn.AGGREGATE(5,6,OFFSET($S$5,H177,0,1,$K$2))</f>
        <v>0</v>
      </c>
      <c r="AB177" s="1" t="n">
        <f aca="true">_xlfn.AGGREGATE(4,6,OFFSET($S$5,H177,0,1,$K$2))</f>
        <v>0</v>
      </c>
      <c r="AC177" s="1" t="n">
        <f aca="false">AB177-AA177</f>
        <v>0</v>
      </c>
      <c r="AD177" s="1" t="e">
        <f aca="true">_xlfn.AGGREGATE(1,6,OFFSET($S$5,H177,0,1,$K$2))</f>
        <v>#DIV/0!</v>
      </c>
    </row>
    <row r="178" customFormat="false" ht="14.25" hidden="false" customHeight="false" outlineLevel="0" collapsed="false">
      <c r="H178" s="1" t="n">
        <f aca="false">H177+1</f>
        <v>173</v>
      </c>
      <c r="I178" s="1" t="n">
        <f aca="false">WEEKDAY('daily graphs'!K178)</f>
        <v>4</v>
      </c>
      <c r="J178" s="1" t="n">
        <f aca="false">DAY(L178)</f>
        <v>17</v>
      </c>
      <c r="K178" s="1" t="n">
        <f aca="false">MONTH(L178)</f>
        <v>6</v>
      </c>
      <c r="L178" s="23" t="n">
        <f aca="false">'daily graphs'!K178 - I178</f>
        <v>36694</v>
      </c>
      <c r="M178" s="24" t="n">
        <f aca="true">IF(TODAY()&lt;DATE($O$5,K178,J178),1000000,-1000000)</f>
        <v>-1000000</v>
      </c>
      <c r="N178" s="24" t="e">
        <f aca="false">IF(M178&gt;0,INDEX(big_daily_table,MATCH(DATE(O$5,$K178,$J178),daily_dates,0),MATCH($B$3,daily_items,0)),NA())</f>
        <v>#N/A</v>
      </c>
      <c r="O178" s="1" t="e">
        <f aca="false">IF(M178&lt;0,INDEX(big_daily_table,MATCH(DATE(O$5,$K178,$J178),daily_dates,0),MATCH($B$3,daily_items,0)),NA())</f>
        <v>#N/A</v>
      </c>
      <c r="P178" s="1" t="e">
        <f aca="false">IF(ISBLANK(INDEX(big_daily_table,MATCH(DATE(P$5,$K178,$J178),daily_dates,0),MATCH($B$3,daily_items,0))),NA(),INDEX(big_daily_table,MATCH(DATE(P$5,$K178,$J178),daily_dates,0),MATCH($B$3,daily_items,0)))</f>
        <v>#N/A</v>
      </c>
      <c r="Q178" s="1" t="e">
        <f aca="false">IF(ISBLANK(INDEX(big_daily_table,MATCH(DATE(Q$5,$K178,$J178),daily_dates,0),MATCH($B$3,daily_items,0))),NA(),INDEX(big_daily_table,MATCH(DATE(Q$5,$K178,$J178),daily_dates,0),MATCH($B$3,daily_items,0)))</f>
        <v>#N/A</v>
      </c>
      <c r="R178" s="1" t="e">
        <f aca="false">IF(ISBLANK(INDEX(big_daily_table,MATCH(DATE(R$5,$K178,$J178),daily_dates,0),MATCH($B$3,daily_items,0))),NA(),INDEX(big_daily_table,MATCH(DATE(R$5,$K178,$J178),daily_dates,0),MATCH($B$3,daily_items,0)))</f>
        <v>#N/A</v>
      </c>
      <c r="S178" s="1" t="e">
        <f aca="false">IF(ISBLANK(INDEX(big_daily_table,MATCH(DATE(S$5,$K178,$J178),daily_dates,0),MATCH($B$3,daily_items,0))),NA(),INDEX(big_daily_table,MATCH(DATE(S$5,$K178,$J178),daily_dates,0),MATCH($B$3,daily_items,0)))</f>
        <v>#N/A</v>
      </c>
      <c r="T178" s="1" t="e">
        <f aca="false">IF(ISBLANK(INDEX(big_daily_table,MATCH(DATE(T$5,$K178,$J178),daily_dates,0),MATCH($B$3,daily_items,0))),NA(),INDEX(big_daily_table,MATCH(DATE(T$5,$K178,$J178),daily_dates,0),MATCH($B$3,daily_items,0)))</f>
        <v>#N/A</v>
      </c>
      <c r="U178" s="1" t="e">
        <f aca="false">IF(ISBLANK(INDEX(big_daily_table,MATCH(DATE(U$5,$K178,$J178),daily_dates,0),MATCH($B$3,daily_items,0))),NA(),INDEX(big_daily_table,MATCH(DATE(U$5,$K178,$J178),daily_dates,0),MATCH($B$3,daily_items,0)))</f>
        <v>#N/A</v>
      </c>
      <c r="V178" s="1" t="e">
        <f aca="false">IF(ISBLANK(INDEX(big_daily_table,MATCH(DATE(V$5,$K178,$J178),daily_dates,0),MATCH($B$3,daily_items,0))),NA(),INDEX(big_daily_table,MATCH(DATE(V$5,$K178,$J178),daily_dates,0),MATCH($B$3,daily_items,0)))</f>
        <v>#N/A</v>
      </c>
      <c r="W178" s="1" t="e">
        <f aca="false">IF(ISBLANK(INDEX(big_daily_table,MATCH(DATE(W$5,$K178,$J178),daily_dates,0),MATCH($B$3,daily_items,0))),NA(),INDEX(big_daily_table,MATCH(DATE(W$5,$K178,$J178),daily_dates,0),MATCH($B$3,daily_items,0)))</f>
        <v>#N/A</v>
      </c>
      <c r="X178" s="1" t="e">
        <f aca="false">IF(ISBLANK(INDEX(big_daily_table,MATCH(DATE(X$5,$K178,$J178),daily_dates,0),MATCH($B$3,daily_items,0))),NA(),INDEX(big_daily_table,MATCH(DATE(X$5,$K178,$J178),daily_dates,0),MATCH($B$3,daily_items,0)))</f>
        <v>#N/A</v>
      </c>
      <c r="Y178" s="1" t="e">
        <f aca="false">IF(ISBLANK(INDEX(big_daily_table,MATCH(DATE(Y$5,$K178,$J178),daily_dates,0),MATCH($B$3,daily_items,0))),NA(),INDEX(big_daily_table,MATCH(DATE(Y$5,$K178,$J178),daily_dates,0),MATCH($B$3,daily_items,0)))</f>
        <v>#N/A</v>
      </c>
      <c r="Z178" s="1" t="e">
        <f aca="false">IF(ISBLANK(INDEX(big_daily_table,MATCH(DATE(Z$5,$K178,$J178),daily_dates,0),MATCH($B$3,daily_items,0))),NA(),INDEX(big_daily_table,MATCH(DATE(Z$5,$K178,$J178),daily_dates,0),MATCH($B$3,daily_items,0)))</f>
        <v>#N/A</v>
      </c>
      <c r="AA178" s="1" t="n">
        <f aca="true">_xlfn.AGGREGATE(5,6,OFFSET($S$5,H178,0,1,$K$2))</f>
        <v>0</v>
      </c>
      <c r="AB178" s="1" t="n">
        <f aca="true">_xlfn.AGGREGATE(4,6,OFFSET($S$5,H178,0,1,$K$2))</f>
        <v>0</v>
      </c>
      <c r="AC178" s="1" t="n">
        <f aca="false">AB178-AA178</f>
        <v>0</v>
      </c>
      <c r="AD178" s="1" t="e">
        <f aca="true">_xlfn.AGGREGATE(1,6,OFFSET($S$5,H178,0,1,$K$2))</f>
        <v>#DIV/0!</v>
      </c>
    </row>
    <row r="179" customFormat="false" ht="14.25" hidden="false" customHeight="false" outlineLevel="0" collapsed="false">
      <c r="H179" s="1" t="n">
        <f aca="false">H178+1</f>
        <v>174</v>
      </c>
      <c r="I179" s="1" t="n">
        <f aca="false">WEEKDAY('daily graphs'!K179)</f>
        <v>5</v>
      </c>
      <c r="J179" s="1" t="n">
        <f aca="false">DAY(L179)</f>
        <v>17</v>
      </c>
      <c r="K179" s="1" t="n">
        <f aca="false">MONTH(L179)</f>
        <v>6</v>
      </c>
      <c r="L179" s="23" t="n">
        <f aca="false">'daily graphs'!K179 - I179</f>
        <v>36694</v>
      </c>
      <c r="M179" s="24" t="n">
        <f aca="true">IF(TODAY()&lt;DATE($O$5,K179,J179),1000000,-1000000)</f>
        <v>-1000000</v>
      </c>
      <c r="N179" s="24" t="e">
        <f aca="false">IF(M179&gt;0,INDEX(big_daily_table,MATCH(DATE(O$5,$K179,$J179),daily_dates,0),MATCH($B$3,daily_items,0)),NA())</f>
        <v>#N/A</v>
      </c>
      <c r="O179" s="1" t="e">
        <f aca="false">IF(M179&lt;0,INDEX(big_daily_table,MATCH(DATE(O$5,$K179,$J179),daily_dates,0),MATCH($B$3,daily_items,0)),NA())</f>
        <v>#N/A</v>
      </c>
      <c r="P179" s="1" t="e">
        <f aca="false">IF(ISBLANK(INDEX(big_daily_table,MATCH(DATE(P$5,$K179,$J179),daily_dates,0),MATCH($B$3,daily_items,0))),NA(),INDEX(big_daily_table,MATCH(DATE(P$5,$K179,$J179),daily_dates,0),MATCH($B$3,daily_items,0)))</f>
        <v>#N/A</v>
      </c>
      <c r="Q179" s="1" t="e">
        <f aca="false">IF(ISBLANK(INDEX(big_daily_table,MATCH(DATE(Q$5,$K179,$J179),daily_dates,0),MATCH($B$3,daily_items,0))),NA(),INDEX(big_daily_table,MATCH(DATE(Q$5,$K179,$J179),daily_dates,0),MATCH($B$3,daily_items,0)))</f>
        <v>#N/A</v>
      </c>
      <c r="R179" s="1" t="e">
        <f aca="false">IF(ISBLANK(INDEX(big_daily_table,MATCH(DATE(R$5,$K179,$J179),daily_dates,0),MATCH($B$3,daily_items,0))),NA(),INDEX(big_daily_table,MATCH(DATE(R$5,$K179,$J179),daily_dates,0),MATCH($B$3,daily_items,0)))</f>
        <v>#N/A</v>
      </c>
      <c r="S179" s="1" t="e">
        <f aca="false">IF(ISBLANK(INDEX(big_daily_table,MATCH(DATE(S$5,$K179,$J179),daily_dates,0),MATCH($B$3,daily_items,0))),NA(),INDEX(big_daily_table,MATCH(DATE(S$5,$K179,$J179),daily_dates,0),MATCH($B$3,daily_items,0)))</f>
        <v>#N/A</v>
      </c>
      <c r="T179" s="1" t="e">
        <f aca="false">IF(ISBLANK(INDEX(big_daily_table,MATCH(DATE(T$5,$K179,$J179),daily_dates,0),MATCH($B$3,daily_items,0))),NA(),INDEX(big_daily_table,MATCH(DATE(T$5,$K179,$J179),daily_dates,0),MATCH($B$3,daily_items,0)))</f>
        <v>#N/A</v>
      </c>
      <c r="U179" s="1" t="e">
        <f aca="false">IF(ISBLANK(INDEX(big_daily_table,MATCH(DATE(U$5,$K179,$J179),daily_dates,0),MATCH($B$3,daily_items,0))),NA(),INDEX(big_daily_table,MATCH(DATE(U$5,$K179,$J179),daily_dates,0),MATCH($B$3,daily_items,0)))</f>
        <v>#N/A</v>
      </c>
      <c r="V179" s="1" t="e">
        <f aca="false">IF(ISBLANK(INDEX(big_daily_table,MATCH(DATE(V$5,$K179,$J179),daily_dates,0),MATCH($B$3,daily_items,0))),NA(),INDEX(big_daily_table,MATCH(DATE(V$5,$K179,$J179),daily_dates,0),MATCH($B$3,daily_items,0)))</f>
        <v>#N/A</v>
      </c>
      <c r="W179" s="1" t="e">
        <f aca="false">IF(ISBLANK(INDEX(big_daily_table,MATCH(DATE(W$5,$K179,$J179),daily_dates,0),MATCH($B$3,daily_items,0))),NA(),INDEX(big_daily_table,MATCH(DATE(W$5,$K179,$J179),daily_dates,0),MATCH($B$3,daily_items,0)))</f>
        <v>#N/A</v>
      </c>
      <c r="X179" s="1" t="e">
        <f aca="false">IF(ISBLANK(INDEX(big_daily_table,MATCH(DATE(X$5,$K179,$J179),daily_dates,0),MATCH($B$3,daily_items,0))),NA(),INDEX(big_daily_table,MATCH(DATE(X$5,$K179,$J179),daily_dates,0),MATCH($B$3,daily_items,0)))</f>
        <v>#N/A</v>
      </c>
      <c r="Y179" s="1" t="e">
        <f aca="false">IF(ISBLANK(INDEX(big_daily_table,MATCH(DATE(Y$5,$K179,$J179),daily_dates,0),MATCH($B$3,daily_items,0))),NA(),INDEX(big_daily_table,MATCH(DATE(Y$5,$K179,$J179),daily_dates,0),MATCH($B$3,daily_items,0)))</f>
        <v>#N/A</v>
      </c>
      <c r="Z179" s="1" t="e">
        <f aca="false">IF(ISBLANK(INDEX(big_daily_table,MATCH(DATE(Z$5,$K179,$J179),daily_dates,0),MATCH($B$3,daily_items,0))),NA(),INDEX(big_daily_table,MATCH(DATE(Z$5,$K179,$J179),daily_dates,0),MATCH($B$3,daily_items,0)))</f>
        <v>#N/A</v>
      </c>
      <c r="AA179" s="1" t="n">
        <f aca="true">_xlfn.AGGREGATE(5,6,OFFSET($S$5,H179,0,1,$K$2))</f>
        <v>0</v>
      </c>
      <c r="AB179" s="1" t="n">
        <f aca="true">_xlfn.AGGREGATE(4,6,OFFSET($S$5,H179,0,1,$K$2))</f>
        <v>0</v>
      </c>
      <c r="AC179" s="1" t="n">
        <f aca="false">AB179-AA179</f>
        <v>0</v>
      </c>
      <c r="AD179" s="1" t="e">
        <f aca="true">_xlfn.AGGREGATE(1,6,OFFSET($S$5,H179,0,1,$K$2))</f>
        <v>#DIV/0!</v>
      </c>
    </row>
    <row r="180" customFormat="false" ht="14.25" hidden="false" customHeight="false" outlineLevel="0" collapsed="false">
      <c r="H180" s="1" t="n">
        <f aca="false">H179+1</f>
        <v>175</v>
      </c>
      <c r="I180" s="1" t="n">
        <f aca="false">WEEKDAY('daily graphs'!K180)</f>
        <v>6</v>
      </c>
      <c r="J180" s="1" t="n">
        <f aca="false">DAY(L180)</f>
        <v>17</v>
      </c>
      <c r="K180" s="1" t="n">
        <f aca="false">MONTH(L180)</f>
        <v>6</v>
      </c>
      <c r="L180" s="23" t="n">
        <f aca="false">'daily graphs'!K180 - I180</f>
        <v>36694</v>
      </c>
      <c r="M180" s="24" t="n">
        <f aca="true">IF(TODAY()&lt;DATE($O$5,K180,J180),1000000,-1000000)</f>
        <v>-1000000</v>
      </c>
      <c r="N180" s="24" t="e">
        <f aca="false">IF(M180&gt;0,INDEX(big_daily_table,MATCH(DATE(O$5,$K180,$J180),daily_dates,0),MATCH($B$3,daily_items,0)),NA())</f>
        <v>#N/A</v>
      </c>
      <c r="O180" s="1" t="e">
        <f aca="false">IF(M180&lt;0,INDEX(big_daily_table,MATCH(DATE(O$5,$K180,$J180),daily_dates,0),MATCH($B$3,daily_items,0)),NA())</f>
        <v>#N/A</v>
      </c>
      <c r="P180" s="1" t="e">
        <f aca="false">IF(ISBLANK(INDEX(big_daily_table,MATCH(DATE(P$5,$K180,$J180),daily_dates,0),MATCH($B$3,daily_items,0))),NA(),INDEX(big_daily_table,MATCH(DATE(P$5,$K180,$J180),daily_dates,0),MATCH($B$3,daily_items,0)))</f>
        <v>#N/A</v>
      </c>
      <c r="Q180" s="1" t="e">
        <f aca="false">IF(ISBLANK(INDEX(big_daily_table,MATCH(DATE(Q$5,$K180,$J180),daily_dates,0),MATCH($B$3,daily_items,0))),NA(),INDEX(big_daily_table,MATCH(DATE(Q$5,$K180,$J180),daily_dates,0),MATCH($B$3,daily_items,0)))</f>
        <v>#N/A</v>
      </c>
      <c r="R180" s="1" t="e">
        <f aca="false">IF(ISBLANK(INDEX(big_daily_table,MATCH(DATE(R$5,$K180,$J180),daily_dates,0),MATCH($B$3,daily_items,0))),NA(),INDEX(big_daily_table,MATCH(DATE(R$5,$K180,$J180),daily_dates,0),MATCH($B$3,daily_items,0)))</f>
        <v>#N/A</v>
      </c>
      <c r="S180" s="1" t="e">
        <f aca="false">IF(ISBLANK(INDEX(big_daily_table,MATCH(DATE(S$5,$K180,$J180),daily_dates,0),MATCH($B$3,daily_items,0))),NA(),INDEX(big_daily_table,MATCH(DATE(S$5,$K180,$J180),daily_dates,0),MATCH($B$3,daily_items,0)))</f>
        <v>#N/A</v>
      </c>
      <c r="T180" s="1" t="e">
        <f aca="false">IF(ISBLANK(INDEX(big_daily_table,MATCH(DATE(T$5,$K180,$J180),daily_dates,0),MATCH($B$3,daily_items,0))),NA(),INDEX(big_daily_table,MATCH(DATE(T$5,$K180,$J180),daily_dates,0),MATCH($B$3,daily_items,0)))</f>
        <v>#N/A</v>
      </c>
      <c r="U180" s="1" t="e">
        <f aca="false">IF(ISBLANK(INDEX(big_daily_table,MATCH(DATE(U$5,$K180,$J180),daily_dates,0),MATCH($B$3,daily_items,0))),NA(),INDEX(big_daily_table,MATCH(DATE(U$5,$K180,$J180),daily_dates,0),MATCH($B$3,daily_items,0)))</f>
        <v>#N/A</v>
      </c>
      <c r="V180" s="1" t="e">
        <f aca="false">IF(ISBLANK(INDEX(big_daily_table,MATCH(DATE(V$5,$K180,$J180),daily_dates,0),MATCH($B$3,daily_items,0))),NA(),INDEX(big_daily_table,MATCH(DATE(V$5,$K180,$J180),daily_dates,0),MATCH($B$3,daily_items,0)))</f>
        <v>#N/A</v>
      </c>
      <c r="W180" s="1" t="e">
        <f aca="false">IF(ISBLANK(INDEX(big_daily_table,MATCH(DATE(W$5,$K180,$J180),daily_dates,0),MATCH($B$3,daily_items,0))),NA(),INDEX(big_daily_table,MATCH(DATE(W$5,$K180,$J180),daily_dates,0),MATCH($B$3,daily_items,0)))</f>
        <v>#N/A</v>
      </c>
      <c r="X180" s="1" t="e">
        <f aca="false">IF(ISBLANK(INDEX(big_daily_table,MATCH(DATE(X$5,$K180,$J180),daily_dates,0),MATCH($B$3,daily_items,0))),NA(),INDEX(big_daily_table,MATCH(DATE(X$5,$K180,$J180),daily_dates,0),MATCH($B$3,daily_items,0)))</f>
        <v>#N/A</v>
      </c>
      <c r="Y180" s="1" t="e">
        <f aca="false">IF(ISBLANK(INDEX(big_daily_table,MATCH(DATE(Y$5,$K180,$J180),daily_dates,0),MATCH($B$3,daily_items,0))),NA(),INDEX(big_daily_table,MATCH(DATE(Y$5,$K180,$J180),daily_dates,0),MATCH($B$3,daily_items,0)))</f>
        <v>#N/A</v>
      </c>
      <c r="Z180" s="1" t="e">
        <f aca="false">IF(ISBLANK(INDEX(big_daily_table,MATCH(DATE(Z$5,$K180,$J180),daily_dates,0),MATCH($B$3,daily_items,0))),NA(),INDEX(big_daily_table,MATCH(DATE(Z$5,$K180,$J180),daily_dates,0),MATCH($B$3,daily_items,0)))</f>
        <v>#N/A</v>
      </c>
      <c r="AA180" s="1" t="n">
        <f aca="true">_xlfn.AGGREGATE(5,6,OFFSET($S$5,H180,0,1,$K$2))</f>
        <v>0</v>
      </c>
      <c r="AB180" s="1" t="n">
        <f aca="true">_xlfn.AGGREGATE(4,6,OFFSET($S$5,H180,0,1,$K$2))</f>
        <v>0</v>
      </c>
      <c r="AC180" s="1" t="n">
        <f aca="false">AB180-AA180</f>
        <v>0</v>
      </c>
      <c r="AD180" s="1" t="e">
        <f aca="true">_xlfn.AGGREGATE(1,6,OFFSET($S$5,H180,0,1,$K$2))</f>
        <v>#DIV/0!</v>
      </c>
    </row>
    <row r="181" customFormat="false" ht="14.25" hidden="false" customHeight="false" outlineLevel="0" collapsed="false">
      <c r="H181" s="1" t="n">
        <f aca="false">H180+1</f>
        <v>176</v>
      </c>
      <c r="I181" s="1" t="n">
        <f aca="false">WEEKDAY('daily graphs'!K181)</f>
        <v>7</v>
      </c>
      <c r="J181" s="1" t="n">
        <f aca="false">DAY(L181)</f>
        <v>17</v>
      </c>
      <c r="K181" s="1" t="n">
        <f aca="false">MONTH(L181)</f>
        <v>6</v>
      </c>
      <c r="L181" s="23" t="n">
        <f aca="false">'daily graphs'!K181 - I181</f>
        <v>36694</v>
      </c>
      <c r="M181" s="24" t="n">
        <f aca="true">IF(TODAY()&lt;DATE($O$5,K181,J181),1000000,-1000000)</f>
        <v>-1000000</v>
      </c>
      <c r="N181" s="24" t="e">
        <f aca="false">IF(M181&gt;0,INDEX(big_daily_table,MATCH(DATE(O$5,$K181,$J181),daily_dates,0),MATCH($B$3,daily_items,0)),NA())</f>
        <v>#N/A</v>
      </c>
      <c r="O181" s="1" t="e">
        <f aca="false">IF(M181&lt;0,INDEX(big_daily_table,MATCH(DATE(O$5,$K181,$J181),daily_dates,0),MATCH($B$3,daily_items,0)),NA())</f>
        <v>#N/A</v>
      </c>
      <c r="P181" s="1" t="e">
        <f aca="false">IF(ISBLANK(INDEX(big_daily_table,MATCH(DATE(P$5,$K181,$J181),daily_dates,0),MATCH($B$3,daily_items,0))),NA(),INDEX(big_daily_table,MATCH(DATE(P$5,$K181,$J181),daily_dates,0),MATCH($B$3,daily_items,0)))</f>
        <v>#N/A</v>
      </c>
      <c r="Q181" s="1" t="e">
        <f aca="false">IF(ISBLANK(INDEX(big_daily_table,MATCH(DATE(Q$5,$K181,$J181),daily_dates,0),MATCH($B$3,daily_items,0))),NA(),INDEX(big_daily_table,MATCH(DATE(Q$5,$K181,$J181),daily_dates,0),MATCH($B$3,daily_items,0)))</f>
        <v>#N/A</v>
      </c>
      <c r="R181" s="1" t="e">
        <f aca="false">IF(ISBLANK(INDEX(big_daily_table,MATCH(DATE(R$5,$K181,$J181),daily_dates,0),MATCH($B$3,daily_items,0))),NA(),INDEX(big_daily_table,MATCH(DATE(R$5,$K181,$J181),daily_dates,0),MATCH($B$3,daily_items,0)))</f>
        <v>#N/A</v>
      </c>
      <c r="S181" s="1" t="e">
        <f aca="false">IF(ISBLANK(INDEX(big_daily_table,MATCH(DATE(S$5,$K181,$J181),daily_dates,0),MATCH($B$3,daily_items,0))),NA(),INDEX(big_daily_table,MATCH(DATE(S$5,$K181,$J181),daily_dates,0),MATCH($B$3,daily_items,0)))</f>
        <v>#N/A</v>
      </c>
      <c r="T181" s="1" t="e">
        <f aca="false">IF(ISBLANK(INDEX(big_daily_table,MATCH(DATE(T$5,$K181,$J181),daily_dates,0),MATCH($B$3,daily_items,0))),NA(),INDEX(big_daily_table,MATCH(DATE(T$5,$K181,$J181),daily_dates,0),MATCH($B$3,daily_items,0)))</f>
        <v>#N/A</v>
      </c>
      <c r="U181" s="1" t="e">
        <f aca="false">IF(ISBLANK(INDEX(big_daily_table,MATCH(DATE(U$5,$K181,$J181),daily_dates,0),MATCH($B$3,daily_items,0))),NA(),INDEX(big_daily_table,MATCH(DATE(U$5,$K181,$J181),daily_dates,0),MATCH($B$3,daily_items,0)))</f>
        <v>#N/A</v>
      </c>
      <c r="V181" s="1" t="e">
        <f aca="false">IF(ISBLANK(INDEX(big_daily_table,MATCH(DATE(V$5,$K181,$J181),daily_dates,0),MATCH($B$3,daily_items,0))),NA(),INDEX(big_daily_table,MATCH(DATE(V$5,$K181,$J181),daily_dates,0),MATCH($B$3,daily_items,0)))</f>
        <v>#N/A</v>
      </c>
      <c r="W181" s="1" t="e">
        <f aca="false">IF(ISBLANK(INDEX(big_daily_table,MATCH(DATE(W$5,$K181,$J181),daily_dates,0),MATCH($B$3,daily_items,0))),NA(),INDEX(big_daily_table,MATCH(DATE(W$5,$K181,$J181),daily_dates,0),MATCH($B$3,daily_items,0)))</f>
        <v>#N/A</v>
      </c>
      <c r="X181" s="1" t="e">
        <f aca="false">IF(ISBLANK(INDEX(big_daily_table,MATCH(DATE(X$5,$K181,$J181),daily_dates,0),MATCH($B$3,daily_items,0))),NA(),INDEX(big_daily_table,MATCH(DATE(X$5,$K181,$J181),daily_dates,0),MATCH($B$3,daily_items,0)))</f>
        <v>#N/A</v>
      </c>
      <c r="Y181" s="1" t="e">
        <f aca="false">IF(ISBLANK(INDEX(big_daily_table,MATCH(DATE(Y$5,$K181,$J181),daily_dates,0),MATCH($B$3,daily_items,0))),NA(),INDEX(big_daily_table,MATCH(DATE(Y$5,$K181,$J181),daily_dates,0),MATCH($B$3,daily_items,0)))</f>
        <v>#N/A</v>
      </c>
      <c r="Z181" s="1" t="e">
        <f aca="false">IF(ISBLANK(INDEX(big_daily_table,MATCH(DATE(Z$5,$K181,$J181),daily_dates,0),MATCH($B$3,daily_items,0))),NA(),INDEX(big_daily_table,MATCH(DATE(Z$5,$K181,$J181),daily_dates,0),MATCH($B$3,daily_items,0)))</f>
        <v>#N/A</v>
      </c>
      <c r="AA181" s="1" t="n">
        <f aca="true">_xlfn.AGGREGATE(5,6,OFFSET($S$5,H181,0,1,$K$2))</f>
        <v>0</v>
      </c>
      <c r="AB181" s="1" t="n">
        <f aca="true">_xlfn.AGGREGATE(4,6,OFFSET($S$5,H181,0,1,$K$2))</f>
        <v>0</v>
      </c>
      <c r="AC181" s="1" t="n">
        <f aca="false">AB181-AA181</f>
        <v>0</v>
      </c>
      <c r="AD181" s="1" t="e">
        <f aca="true">_xlfn.AGGREGATE(1,6,OFFSET($S$5,H181,0,1,$K$2))</f>
        <v>#DIV/0!</v>
      </c>
    </row>
    <row r="182" customFormat="false" ht="14.25" hidden="false" customHeight="false" outlineLevel="0" collapsed="false">
      <c r="H182" s="1" t="n">
        <f aca="false">H181+1</f>
        <v>177</v>
      </c>
      <c r="I182" s="1" t="n">
        <f aca="false">WEEKDAY('daily graphs'!K182)</f>
        <v>1</v>
      </c>
      <c r="J182" s="1" t="n">
        <f aca="false">DAY(L182)</f>
        <v>24</v>
      </c>
      <c r="K182" s="1" t="n">
        <f aca="false">MONTH(L182)</f>
        <v>6</v>
      </c>
      <c r="L182" s="23" t="n">
        <f aca="false">'daily graphs'!K182 - I182</f>
        <v>36701</v>
      </c>
      <c r="M182" s="24" t="n">
        <f aca="true">IF(TODAY()&lt;DATE($O$5,K182,J182),1000000,-1000000)</f>
        <v>-1000000</v>
      </c>
      <c r="N182" s="24" t="e">
        <f aca="false">IF(M182&gt;0,INDEX(big_daily_table,MATCH(DATE(O$5,$K182,$J182),daily_dates,0),MATCH($B$3,daily_items,0)),NA())</f>
        <v>#N/A</v>
      </c>
      <c r="O182" s="1" t="e">
        <f aca="false">IF(M182&lt;0,INDEX(big_daily_table,MATCH(DATE(O$5,$K182,$J182),daily_dates,0),MATCH($B$3,daily_items,0)),NA())</f>
        <v>#N/A</v>
      </c>
      <c r="P182" s="1" t="e">
        <f aca="false">IF(ISBLANK(INDEX(big_daily_table,MATCH(DATE(P$5,$K182,$J182),daily_dates,0),MATCH($B$3,daily_items,0))),NA(),INDEX(big_daily_table,MATCH(DATE(P$5,$K182,$J182),daily_dates,0),MATCH($B$3,daily_items,0)))</f>
        <v>#N/A</v>
      </c>
      <c r="Q182" s="1" t="e">
        <f aca="false">IF(ISBLANK(INDEX(big_daily_table,MATCH(DATE(Q$5,$K182,$J182),daily_dates,0),MATCH($B$3,daily_items,0))),NA(),INDEX(big_daily_table,MATCH(DATE(Q$5,$K182,$J182),daily_dates,0),MATCH($B$3,daily_items,0)))</f>
        <v>#N/A</v>
      </c>
      <c r="R182" s="1" t="e">
        <f aca="false">IF(ISBLANK(INDEX(big_daily_table,MATCH(DATE(R$5,$K182,$J182),daily_dates,0),MATCH($B$3,daily_items,0))),NA(),INDEX(big_daily_table,MATCH(DATE(R$5,$K182,$J182),daily_dates,0),MATCH($B$3,daily_items,0)))</f>
        <v>#N/A</v>
      </c>
      <c r="S182" s="1" t="e">
        <f aca="false">IF(ISBLANK(INDEX(big_daily_table,MATCH(DATE(S$5,$K182,$J182),daily_dates,0),MATCH($B$3,daily_items,0))),NA(),INDEX(big_daily_table,MATCH(DATE(S$5,$K182,$J182),daily_dates,0),MATCH($B$3,daily_items,0)))</f>
        <v>#N/A</v>
      </c>
      <c r="T182" s="1" t="e">
        <f aca="false">IF(ISBLANK(INDEX(big_daily_table,MATCH(DATE(T$5,$K182,$J182),daily_dates,0),MATCH($B$3,daily_items,0))),NA(),INDEX(big_daily_table,MATCH(DATE(T$5,$K182,$J182),daily_dates,0),MATCH($B$3,daily_items,0)))</f>
        <v>#N/A</v>
      </c>
      <c r="U182" s="1" t="e">
        <f aca="false">IF(ISBLANK(INDEX(big_daily_table,MATCH(DATE(U$5,$K182,$J182),daily_dates,0),MATCH($B$3,daily_items,0))),NA(),INDEX(big_daily_table,MATCH(DATE(U$5,$K182,$J182),daily_dates,0),MATCH($B$3,daily_items,0)))</f>
        <v>#N/A</v>
      </c>
      <c r="V182" s="1" t="e">
        <f aca="false">IF(ISBLANK(INDEX(big_daily_table,MATCH(DATE(V$5,$K182,$J182),daily_dates,0),MATCH($B$3,daily_items,0))),NA(),INDEX(big_daily_table,MATCH(DATE(V$5,$K182,$J182),daily_dates,0),MATCH($B$3,daily_items,0)))</f>
        <v>#N/A</v>
      </c>
      <c r="W182" s="1" t="e">
        <f aca="false">IF(ISBLANK(INDEX(big_daily_table,MATCH(DATE(W$5,$K182,$J182),daily_dates,0),MATCH($B$3,daily_items,0))),NA(),INDEX(big_daily_table,MATCH(DATE(W$5,$K182,$J182),daily_dates,0),MATCH($B$3,daily_items,0)))</f>
        <v>#N/A</v>
      </c>
      <c r="X182" s="1" t="e">
        <f aca="false">IF(ISBLANK(INDEX(big_daily_table,MATCH(DATE(X$5,$K182,$J182),daily_dates,0),MATCH($B$3,daily_items,0))),NA(),INDEX(big_daily_table,MATCH(DATE(X$5,$K182,$J182),daily_dates,0),MATCH($B$3,daily_items,0)))</f>
        <v>#N/A</v>
      </c>
      <c r="Y182" s="1" t="e">
        <f aca="false">IF(ISBLANK(INDEX(big_daily_table,MATCH(DATE(Y$5,$K182,$J182),daily_dates,0),MATCH($B$3,daily_items,0))),NA(),INDEX(big_daily_table,MATCH(DATE(Y$5,$K182,$J182),daily_dates,0),MATCH($B$3,daily_items,0)))</f>
        <v>#N/A</v>
      </c>
      <c r="Z182" s="1" t="e">
        <f aca="false">IF(ISBLANK(INDEX(big_daily_table,MATCH(DATE(Z$5,$K182,$J182),daily_dates,0),MATCH($B$3,daily_items,0))),NA(),INDEX(big_daily_table,MATCH(DATE(Z$5,$K182,$J182),daily_dates,0),MATCH($B$3,daily_items,0)))</f>
        <v>#N/A</v>
      </c>
      <c r="AA182" s="1" t="n">
        <f aca="true">_xlfn.AGGREGATE(5,6,OFFSET($S$5,H182,0,1,$K$2))</f>
        <v>0</v>
      </c>
      <c r="AB182" s="1" t="n">
        <f aca="true">_xlfn.AGGREGATE(4,6,OFFSET($S$5,H182,0,1,$K$2))</f>
        <v>0</v>
      </c>
      <c r="AC182" s="1" t="n">
        <f aca="false">AB182-AA182</f>
        <v>0</v>
      </c>
      <c r="AD182" s="1" t="e">
        <f aca="true">_xlfn.AGGREGATE(1,6,OFFSET($S$5,H182,0,1,$K$2))</f>
        <v>#DIV/0!</v>
      </c>
    </row>
    <row r="183" customFormat="false" ht="14.25" hidden="false" customHeight="false" outlineLevel="0" collapsed="false">
      <c r="H183" s="1" t="n">
        <f aca="false">H182+1</f>
        <v>178</v>
      </c>
      <c r="I183" s="1" t="n">
        <f aca="false">WEEKDAY('daily graphs'!K183)</f>
        <v>2</v>
      </c>
      <c r="J183" s="1" t="n">
        <f aca="false">DAY(L183)</f>
        <v>24</v>
      </c>
      <c r="K183" s="1" t="n">
        <f aca="false">MONTH(L183)</f>
        <v>6</v>
      </c>
      <c r="L183" s="23" t="n">
        <f aca="false">'daily graphs'!K183 - I183</f>
        <v>36701</v>
      </c>
      <c r="M183" s="24" t="n">
        <f aca="true">IF(TODAY()&lt;DATE($O$5,K183,J183),1000000,-1000000)</f>
        <v>-1000000</v>
      </c>
      <c r="N183" s="24" t="e">
        <f aca="false">IF(M183&gt;0,INDEX(big_daily_table,MATCH(DATE(O$5,$K183,$J183),daily_dates,0),MATCH($B$3,daily_items,0)),NA())</f>
        <v>#N/A</v>
      </c>
      <c r="O183" s="1" t="e">
        <f aca="false">IF(M183&lt;0,INDEX(big_daily_table,MATCH(DATE(O$5,$K183,$J183),daily_dates,0),MATCH($B$3,daily_items,0)),NA())</f>
        <v>#N/A</v>
      </c>
      <c r="P183" s="1" t="e">
        <f aca="false">IF(ISBLANK(INDEX(big_daily_table,MATCH(DATE(P$5,$K183,$J183),daily_dates,0),MATCH($B$3,daily_items,0))),NA(),INDEX(big_daily_table,MATCH(DATE(P$5,$K183,$J183),daily_dates,0),MATCH($B$3,daily_items,0)))</f>
        <v>#N/A</v>
      </c>
      <c r="Q183" s="1" t="e">
        <f aca="false">IF(ISBLANK(INDEX(big_daily_table,MATCH(DATE(Q$5,$K183,$J183),daily_dates,0),MATCH($B$3,daily_items,0))),NA(),INDEX(big_daily_table,MATCH(DATE(Q$5,$K183,$J183),daily_dates,0),MATCH($B$3,daily_items,0)))</f>
        <v>#N/A</v>
      </c>
      <c r="R183" s="1" t="e">
        <f aca="false">IF(ISBLANK(INDEX(big_daily_table,MATCH(DATE(R$5,$K183,$J183),daily_dates,0),MATCH($B$3,daily_items,0))),NA(),INDEX(big_daily_table,MATCH(DATE(R$5,$K183,$J183),daily_dates,0),MATCH($B$3,daily_items,0)))</f>
        <v>#N/A</v>
      </c>
      <c r="S183" s="1" t="e">
        <f aca="false">IF(ISBLANK(INDEX(big_daily_table,MATCH(DATE(S$5,$K183,$J183),daily_dates,0),MATCH($B$3,daily_items,0))),NA(),INDEX(big_daily_table,MATCH(DATE(S$5,$K183,$J183),daily_dates,0),MATCH($B$3,daily_items,0)))</f>
        <v>#N/A</v>
      </c>
      <c r="T183" s="1" t="e">
        <f aca="false">IF(ISBLANK(INDEX(big_daily_table,MATCH(DATE(T$5,$K183,$J183),daily_dates,0),MATCH($B$3,daily_items,0))),NA(),INDEX(big_daily_table,MATCH(DATE(T$5,$K183,$J183),daily_dates,0),MATCH($B$3,daily_items,0)))</f>
        <v>#N/A</v>
      </c>
      <c r="U183" s="1" t="e">
        <f aca="false">IF(ISBLANK(INDEX(big_daily_table,MATCH(DATE(U$5,$K183,$J183),daily_dates,0),MATCH($B$3,daily_items,0))),NA(),INDEX(big_daily_table,MATCH(DATE(U$5,$K183,$J183),daily_dates,0),MATCH($B$3,daily_items,0)))</f>
        <v>#N/A</v>
      </c>
      <c r="V183" s="1" t="e">
        <f aca="false">IF(ISBLANK(INDEX(big_daily_table,MATCH(DATE(V$5,$K183,$J183),daily_dates,0),MATCH($B$3,daily_items,0))),NA(),INDEX(big_daily_table,MATCH(DATE(V$5,$K183,$J183),daily_dates,0),MATCH($B$3,daily_items,0)))</f>
        <v>#N/A</v>
      </c>
      <c r="W183" s="1" t="e">
        <f aca="false">IF(ISBLANK(INDEX(big_daily_table,MATCH(DATE(W$5,$K183,$J183),daily_dates,0),MATCH($B$3,daily_items,0))),NA(),INDEX(big_daily_table,MATCH(DATE(W$5,$K183,$J183),daily_dates,0),MATCH($B$3,daily_items,0)))</f>
        <v>#N/A</v>
      </c>
      <c r="X183" s="1" t="e">
        <f aca="false">IF(ISBLANK(INDEX(big_daily_table,MATCH(DATE(X$5,$K183,$J183),daily_dates,0),MATCH($B$3,daily_items,0))),NA(),INDEX(big_daily_table,MATCH(DATE(X$5,$K183,$J183),daily_dates,0),MATCH($B$3,daily_items,0)))</f>
        <v>#N/A</v>
      </c>
      <c r="Y183" s="1" t="e">
        <f aca="false">IF(ISBLANK(INDEX(big_daily_table,MATCH(DATE(Y$5,$K183,$J183),daily_dates,0),MATCH($B$3,daily_items,0))),NA(),INDEX(big_daily_table,MATCH(DATE(Y$5,$K183,$J183),daily_dates,0),MATCH($B$3,daily_items,0)))</f>
        <v>#N/A</v>
      </c>
      <c r="Z183" s="1" t="e">
        <f aca="false">IF(ISBLANK(INDEX(big_daily_table,MATCH(DATE(Z$5,$K183,$J183),daily_dates,0),MATCH($B$3,daily_items,0))),NA(),INDEX(big_daily_table,MATCH(DATE(Z$5,$K183,$J183),daily_dates,0),MATCH($B$3,daily_items,0)))</f>
        <v>#N/A</v>
      </c>
      <c r="AA183" s="1" t="n">
        <f aca="true">_xlfn.AGGREGATE(5,6,OFFSET($S$5,H183,0,1,$K$2))</f>
        <v>0</v>
      </c>
      <c r="AB183" s="1" t="n">
        <f aca="true">_xlfn.AGGREGATE(4,6,OFFSET($S$5,H183,0,1,$K$2))</f>
        <v>0</v>
      </c>
      <c r="AC183" s="1" t="n">
        <f aca="false">AB183-AA183</f>
        <v>0</v>
      </c>
      <c r="AD183" s="1" t="e">
        <f aca="true">_xlfn.AGGREGATE(1,6,OFFSET($S$5,H183,0,1,$K$2))</f>
        <v>#DIV/0!</v>
      </c>
    </row>
    <row r="184" customFormat="false" ht="14.25" hidden="false" customHeight="false" outlineLevel="0" collapsed="false">
      <c r="H184" s="1" t="n">
        <f aca="false">H183+1</f>
        <v>179</v>
      </c>
      <c r="I184" s="1" t="n">
        <f aca="false">WEEKDAY('daily graphs'!K184)</f>
        <v>3</v>
      </c>
      <c r="J184" s="1" t="n">
        <f aca="false">DAY(L184)</f>
        <v>24</v>
      </c>
      <c r="K184" s="1" t="n">
        <f aca="false">MONTH(L184)</f>
        <v>6</v>
      </c>
      <c r="L184" s="23" t="n">
        <f aca="false">'daily graphs'!K184 - I184</f>
        <v>36701</v>
      </c>
      <c r="M184" s="24" t="n">
        <f aca="true">IF(TODAY()&lt;DATE($O$5,K184,J184),1000000,-1000000)</f>
        <v>-1000000</v>
      </c>
      <c r="N184" s="24" t="e">
        <f aca="false">IF(M184&gt;0,INDEX(big_daily_table,MATCH(DATE(O$5,$K184,$J184),daily_dates,0),MATCH($B$3,daily_items,0)),NA())</f>
        <v>#N/A</v>
      </c>
      <c r="O184" s="1" t="e">
        <f aca="false">IF(M184&lt;0,INDEX(big_daily_table,MATCH(DATE(O$5,$K184,$J184),daily_dates,0),MATCH($B$3,daily_items,0)),NA())</f>
        <v>#N/A</v>
      </c>
      <c r="P184" s="1" t="e">
        <f aca="false">IF(ISBLANK(INDEX(big_daily_table,MATCH(DATE(P$5,$K184,$J184),daily_dates,0),MATCH($B$3,daily_items,0))),NA(),INDEX(big_daily_table,MATCH(DATE(P$5,$K184,$J184),daily_dates,0),MATCH($B$3,daily_items,0)))</f>
        <v>#N/A</v>
      </c>
      <c r="Q184" s="1" t="e">
        <f aca="false">IF(ISBLANK(INDEX(big_daily_table,MATCH(DATE(Q$5,$K184,$J184),daily_dates,0),MATCH($B$3,daily_items,0))),NA(),INDEX(big_daily_table,MATCH(DATE(Q$5,$K184,$J184),daily_dates,0),MATCH($B$3,daily_items,0)))</f>
        <v>#N/A</v>
      </c>
      <c r="R184" s="1" t="e">
        <f aca="false">IF(ISBLANK(INDEX(big_daily_table,MATCH(DATE(R$5,$K184,$J184),daily_dates,0),MATCH($B$3,daily_items,0))),NA(),INDEX(big_daily_table,MATCH(DATE(R$5,$K184,$J184),daily_dates,0),MATCH($B$3,daily_items,0)))</f>
        <v>#N/A</v>
      </c>
      <c r="S184" s="1" t="e">
        <f aca="false">IF(ISBLANK(INDEX(big_daily_table,MATCH(DATE(S$5,$K184,$J184),daily_dates,0),MATCH($B$3,daily_items,0))),NA(),INDEX(big_daily_table,MATCH(DATE(S$5,$K184,$J184),daily_dates,0),MATCH($B$3,daily_items,0)))</f>
        <v>#N/A</v>
      </c>
      <c r="T184" s="1" t="e">
        <f aca="false">IF(ISBLANK(INDEX(big_daily_table,MATCH(DATE(T$5,$K184,$J184),daily_dates,0),MATCH($B$3,daily_items,0))),NA(),INDEX(big_daily_table,MATCH(DATE(T$5,$K184,$J184),daily_dates,0),MATCH($B$3,daily_items,0)))</f>
        <v>#N/A</v>
      </c>
      <c r="U184" s="1" t="e">
        <f aca="false">IF(ISBLANK(INDEX(big_daily_table,MATCH(DATE(U$5,$K184,$J184),daily_dates,0),MATCH($B$3,daily_items,0))),NA(),INDEX(big_daily_table,MATCH(DATE(U$5,$K184,$J184),daily_dates,0),MATCH($B$3,daily_items,0)))</f>
        <v>#N/A</v>
      </c>
      <c r="V184" s="1" t="e">
        <f aca="false">IF(ISBLANK(INDEX(big_daily_table,MATCH(DATE(V$5,$K184,$J184),daily_dates,0),MATCH($B$3,daily_items,0))),NA(),INDEX(big_daily_table,MATCH(DATE(V$5,$K184,$J184),daily_dates,0),MATCH($B$3,daily_items,0)))</f>
        <v>#N/A</v>
      </c>
      <c r="W184" s="1" t="e">
        <f aca="false">IF(ISBLANK(INDEX(big_daily_table,MATCH(DATE(W$5,$K184,$J184),daily_dates,0),MATCH($B$3,daily_items,0))),NA(),INDEX(big_daily_table,MATCH(DATE(W$5,$K184,$J184),daily_dates,0),MATCH($B$3,daily_items,0)))</f>
        <v>#N/A</v>
      </c>
      <c r="X184" s="1" t="e">
        <f aca="false">IF(ISBLANK(INDEX(big_daily_table,MATCH(DATE(X$5,$K184,$J184),daily_dates,0),MATCH($B$3,daily_items,0))),NA(),INDEX(big_daily_table,MATCH(DATE(X$5,$K184,$J184),daily_dates,0),MATCH($B$3,daily_items,0)))</f>
        <v>#N/A</v>
      </c>
      <c r="Y184" s="1" t="e">
        <f aca="false">IF(ISBLANK(INDEX(big_daily_table,MATCH(DATE(Y$5,$K184,$J184),daily_dates,0),MATCH($B$3,daily_items,0))),NA(),INDEX(big_daily_table,MATCH(DATE(Y$5,$K184,$J184),daily_dates,0),MATCH($B$3,daily_items,0)))</f>
        <v>#N/A</v>
      </c>
      <c r="Z184" s="1" t="e">
        <f aca="false">IF(ISBLANK(INDEX(big_daily_table,MATCH(DATE(Z$5,$K184,$J184),daily_dates,0),MATCH($B$3,daily_items,0))),NA(),INDEX(big_daily_table,MATCH(DATE(Z$5,$K184,$J184),daily_dates,0),MATCH($B$3,daily_items,0)))</f>
        <v>#N/A</v>
      </c>
      <c r="AA184" s="1" t="n">
        <f aca="true">_xlfn.AGGREGATE(5,6,OFFSET($S$5,H184,0,1,$K$2))</f>
        <v>0</v>
      </c>
      <c r="AB184" s="1" t="n">
        <f aca="true">_xlfn.AGGREGATE(4,6,OFFSET($S$5,H184,0,1,$K$2))</f>
        <v>0</v>
      </c>
      <c r="AC184" s="1" t="n">
        <f aca="false">AB184-AA184</f>
        <v>0</v>
      </c>
      <c r="AD184" s="1" t="e">
        <f aca="true">_xlfn.AGGREGATE(1,6,OFFSET($S$5,H184,0,1,$K$2))</f>
        <v>#DIV/0!</v>
      </c>
    </row>
    <row r="185" customFormat="false" ht="14.25" hidden="false" customHeight="false" outlineLevel="0" collapsed="false">
      <c r="H185" s="1" t="n">
        <f aca="false">H184+1</f>
        <v>180</v>
      </c>
      <c r="I185" s="1" t="n">
        <f aca="false">WEEKDAY('daily graphs'!K185)</f>
        <v>4</v>
      </c>
      <c r="J185" s="1" t="n">
        <f aca="false">DAY(L185)</f>
        <v>24</v>
      </c>
      <c r="K185" s="1" t="n">
        <f aca="false">MONTH(L185)</f>
        <v>6</v>
      </c>
      <c r="L185" s="23" t="n">
        <f aca="false">'daily graphs'!K185 - I185</f>
        <v>36701</v>
      </c>
      <c r="M185" s="24" t="n">
        <f aca="true">IF(TODAY()&lt;DATE($O$5,K185,J185),1000000,-1000000)</f>
        <v>-1000000</v>
      </c>
      <c r="N185" s="24" t="e">
        <f aca="false">IF(M185&gt;0,INDEX(big_daily_table,MATCH(DATE(O$5,$K185,$J185),daily_dates,0),MATCH($B$3,daily_items,0)),NA())</f>
        <v>#N/A</v>
      </c>
      <c r="O185" s="1" t="e">
        <f aca="false">IF(M185&lt;0,INDEX(big_daily_table,MATCH(DATE(O$5,$K185,$J185),daily_dates,0),MATCH($B$3,daily_items,0)),NA())</f>
        <v>#N/A</v>
      </c>
      <c r="P185" s="1" t="e">
        <f aca="false">IF(ISBLANK(INDEX(big_daily_table,MATCH(DATE(P$5,$K185,$J185),daily_dates,0),MATCH($B$3,daily_items,0))),NA(),INDEX(big_daily_table,MATCH(DATE(P$5,$K185,$J185),daily_dates,0),MATCH($B$3,daily_items,0)))</f>
        <v>#N/A</v>
      </c>
      <c r="Q185" s="1" t="e">
        <f aca="false">IF(ISBLANK(INDEX(big_daily_table,MATCH(DATE(Q$5,$K185,$J185),daily_dates,0),MATCH($B$3,daily_items,0))),NA(),INDEX(big_daily_table,MATCH(DATE(Q$5,$K185,$J185),daily_dates,0),MATCH($B$3,daily_items,0)))</f>
        <v>#N/A</v>
      </c>
      <c r="R185" s="1" t="e">
        <f aca="false">IF(ISBLANK(INDEX(big_daily_table,MATCH(DATE(R$5,$K185,$J185),daily_dates,0),MATCH($B$3,daily_items,0))),NA(),INDEX(big_daily_table,MATCH(DATE(R$5,$K185,$J185),daily_dates,0),MATCH($B$3,daily_items,0)))</f>
        <v>#N/A</v>
      </c>
      <c r="S185" s="1" t="e">
        <f aca="false">IF(ISBLANK(INDEX(big_daily_table,MATCH(DATE(S$5,$K185,$J185),daily_dates,0),MATCH($B$3,daily_items,0))),NA(),INDEX(big_daily_table,MATCH(DATE(S$5,$K185,$J185),daily_dates,0),MATCH($B$3,daily_items,0)))</f>
        <v>#N/A</v>
      </c>
      <c r="T185" s="1" t="e">
        <f aca="false">IF(ISBLANK(INDEX(big_daily_table,MATCH(DATE(T$5,$K185,$J185),daily_dates,0),MATCH($B$3,daily_items,0))),NA(),INDEX(big_daily_table,MATCH(DATE(T$5,$K185,$J185),daily_dates,0),MATCH($B$3,daily_items,0)))</f>
        <v>#N/A</v>
      </c>
      <c r="U185" s="1" t="e">
        <f aca="false">IF(ISBLANK(INDEX(big_daily_table,MATCH(DATE(U$5,$K185,$J185),daily_dates,0),MATCH($B$3,daily_items,0))),NA(),INDEX(big_daily_table,MATCH(DATE(U$5,$K185,$J185),daily_dates,0),MATCH($B$3,daily_items,0)))</f>
        <v>#N/A</v>
      </c>
      <c r="V185" s="1" t="e">
        <f aca="false">IF(ISBLANK(INDEX(big_daily_table,MATCH(DATE(V$5,$K185,$J185),daily_dates,0),MATCH($B$3,daily_items,0))),NA(),INDEX(big_daily_table,MATCH(DATE(V$5,$K185,$J185),daily_dates,0),MATCH($B$3,daily_items,0)))</f>
        <v>#N/A</v>
      </c>
      <c r="W185" s="1" t="e">
        <f aca="false">IF(ISBLANK(INDEX(big_daily_table,MATCH(DATE(W$5,$K185,$J185),daily_dates,0),MATCH($B$3,daily_items,0))),NA(),INDEX(big_daily_table,MATCH(DATE(W$5,$K185,$J185),daily_dates,0),MATCH($B$3,daily_items,0)))</f>
        <v>#N/A</v>
      </c>
      <c r="X185" s="1" t="e">
        <f aca="false">IF(ISBLANK(INDEX(big_daily_table,MATCH(DATE(X$5,$K185,$J185),daily_dates,0),MATCH($B$3,daily_items,0))),NA(),INDEX(big_daily_table,MATCH(DATE(X$5,$K185,$J185),daily_dates,0),MATCH($B$3,daily_items,0)))</f>
        <v>#N/A</v>
      </c>
      <c r="Y185" s="1" t="e">
        <f aca="false">IF(ISBLANK(INDEX(big_daily_table,MATCH(DATE(Y$5,$K185,$J185),daily_dates,0),MATCH($B$3,daily_items,0))),NA(),INDEX(big_daily_table,MATCH(DATE(Y$5,$K185,$J185),daily_dates,0),MATCH($B$3,daily_items,0)))</f>
        <v>#N/A</v>
      </c>
      <c r="Z185" s="1" t="e">
        <f aca="false">IF(ISBLANK(INDEX(big_daily_table,MATCH(DATE(Z$5,$K185,$J185),daily_dates,0),MATCH($B$3,daily_items,0))),NA(),INDEX(big_daily_table,MATCH(DATE(Z$5,$K185,$J185),daily_dates,0),MATCH($B$3,daily_items,0)))</f>
        <v>#N/A</v>
      </c>
      <c r="AA185" s="1" t="n">
        <f aca="true">_xlfn.AGGREGATE(5,6,OFFSET($S$5,H185,0,1,$K$2))</f>
        <v>0</v>
      </c>
      <c r="AB185" s="1" t="n">
        <f aca="true">_xlfn.AGGREGATE(4,6,OFFSET($S$5,H185,0,1,$K$2))</f>
        <v>0</v>
      </c>
      <c r="AC185" s="1" t="n">
        <f aca="false">AB185-AA185</f>
        <v>0</v>
      </c>
      <c r="AD185" s="1" t="e">
        <f aca="true">_xlfn.AGGREGATE(1,6,OFFSET($S$5,H185,0,1,$K$2))</f>
        <v>#DIV/0!</v>
      </c>
    </row>
    <row r="186" customFormat="false" ht="14.25" hidden="false" customHeight="false" outlineLevel="0" collapsed="false">
      <c r="H186" s="1" t="n">
        <f aca="false">H185+1</f>
        <v>181</v>
      </c>
      <c r="I186" s="1" t="n">
        <f aca="false">WEEKDAY('daily graphs'!K186)</f>
        <v>5</v>
      </c>
      <c r="J186" s="1" t="n">
        <f aca="false">DAY(L186)</f>
        <v>24</v>
      </c>
      <c r="K186" s="1" t="n">
        <f aca="false">MONTH(L186)</f>
        <v>6</v>
      </c>
      <c r="L186" s="23" t="n">
        <f aca="false">'daily graphs'!K186 - I186</f>
        <v>36701</v>
      </c>
      <c r="M186" s="24" t="n">
        <f aca="true">IF(TODAY()&lt;DATE($O$5,K186,J186),1000000,-1000000)</f>
        <v>-1000000</v>
      </c>
      <c r="N186" s="24" t="e">
        <f aca="false">IF(M186&gt;0,INDEX(big_daily_table,MATCH(DATE(O$5,$K186,$J186),daily_dates,0),MATCH($B$3,daily_items,0)),NA())</f>
        <v>#N/A</v>
      </c>
      <c r="O186" s="1" t="e">
        <f aca="false">IF(M186&lt;0,INDEX(big_daily_table,MATCH(DATE(O$5,$K186,$J186),daily_dates,0),MATCH($B$3,daily_items,0)),NA())</f>
        <v>#N/A</v>
      </c>
      <c r="P186" s="1" t="e">
        <f aca="false">IF(ISBLANK(INDEX(big_daily_table,MATCH(DATE(P$5,$K186,$J186),daily_dates,0),MATCH($B$3,daily_items,0))),NA(),INDEX(big_daily_table,MATCH(DATE(P$5,$K186,$J186),daily_dates,0),MATCH($B$3,daily_items,0)))</f>
        <v>#N/A</v>
      </c>
      <c r="Q186" s="1" t="e">
        <f aca="false">IF(ISBLANK(INDEX(big_daily_table,MATCH(DATE(Q$5,$K186,$J186),daily_dates,0),MATCH($B$3,daily_items,0))),NA(),INDEX(big_daily_table,MATCH(DATE(Q$5,$K186,$J186),daily_dates,0),MATCH($B$3,daily_items,0)))</f>
        <v>#N/A</v>
      </c>
      <c r="R186" s="1" t="e">
        <f aca="false">IF(ISBLANK(INDEX(big_daily_table,MATCH(DATE(R$5,$K186,$J186),daily_dates,0),MATCH($B$3,daily_items,0))),NA(),INDEX(big_daily_table,MATCH(DATE(R$5,$K186,$J186),daily_dates,0),MATCH($B$3,daily_items,0)))</f>
        <v>#N/A</v>
      </c>
      <c r="S186" s="1" t="e">
        <f aca="false">IF(ISBLANK(INDEX(big_daily_table,MATCH(DATE(S$5,$K186,$J186),daily_dates,0),MATCH($B$3,daily_items,0))),NA(),INDEX(big_daily_table,MATCH(DATE(S$5,$K186,$J186),daily_dates,0),MATCH($B$3,daily_items,0)))</f>
        <v>#N/A</v>
      </c>
      <c r="T186" s="1" t="e">
        <f aca="false">IF(ISBLANK(INDEX(big_daily_table,MATCH(DATE(T$5,$K186,$J186),daily_dates,0),MATCH($B$3,daily_items,0))),NA(),INDEX(big_daily_table,MATCH(DATE(T$5,$K186,$J186),daily_dates,0),MATCH($B$3,daily_items,0)))</f>
        <v>#N/A</v>
      </c>
      <c r="U186" s="1" t="e">
        <f aca="false">IF(ISBLANK(INDEX(big_daily_table,MATCH(DATE(U$5,$K186,$J186),daily_dates,0),MATCH($B$3,daily_items,0))),NA(),INDEX(big_daily_table,MATCH(DATE(U$5,$K186,$J186),daily_dates,0),MATCH($B$3,daily_items,0)))</f>
        <v>#N/A</v>
      </c>
      <c r="V186" s="1" t="e">
        <f aca="false">IF(ISBLANK(INDEX(big_daily_table,MATCH(DATE(V$5,$K186,$J186),daily_dates,0),MATCH($B$3,daily_items,0))),NA(),INDEX(big_daily_table,MATCH(DATE(V$5,$K186,$J186),daily_dates,0),MATCH($B$3,daily_items,0)))</f>
        <v>#N/A</v>
      </c>
      <c r="W186" s="1" t="e">
        <f aca="false">IF(ISBLANK(INDEX(big_daily_table,MATCH(DATE(W$5,$K186,$J186),daily_dates,0),MATCH($B$3,daily_items,0))),NA(),INDEX(big_daily_table,MATCH(DATE(W$5,$K186,$J186),daily_dates,0),MATCH($B$3,daily_items,0)))</f>
        <v>#N/A</v>
      </c>
      <c r="X186" s="1" t="e">
        <f aca="false">IF(ISBLANK(INDEX(big_daily_table,MATCH(DATE(X$5,$K186,$J186),daily_dates,0),MATCH($B$3,daily_items,0))),NA(),INDEX(big_daily_table,MATCH(DATE(X$5,$K186,$J186),daily_dates,0),MATCH($B$3,daily_items,0)))</f>
        <v>#N/A</v>
      </c>
      <c r="Y186" s="1" t="e">
        <f aca="false">IF(ISBLANK(INDEX(big_daily_table,MATCH(DATE(Y$5,$K186,$J186),daily_dates,0),MATCH($B$3,daily_items,0))),NA(),INDEX(big_daily_table,MATCH(DATE(Y$5,$K186,$J186),daily_dates,0),MATCH($B$3,daily_items,0)))</f>
        <v>#N/A</v>
      </c>
      <c r="Z186" s="1" t="e">
        <f aca="false">IF(ISBLANK(INDEX(big_daily_table,MATCH(DATE(Z$5,$K186,$J186),daily_dates,0),MATCH($B$3,daily_items,0))),NA(),INDEX(big_daily_table,MATCH(DATE(Z$5,$K186,$J186),daily_dates,0),MATCH($B$3,daily_items,0)))</f>
        <v>#N/A</v>
      </c>
      <c r="AA186" s="1" t="n">
        <f aca="true">_xlfn.AGGREGATE(5,6,OFFSET($S$5,H186,0,1,$K$2))</f>
        <v>0</v>
      </c>
      <c r="AB186" s="1" t="n">
        <f aca="true">_xlfn.AGGREGATE(4,6,OFFSET($S$5,H186,0,1,$K$2))</f>
        <v>0</v>
      </c>
      <c r="AC186" s="1" t="n">
        <f aca="false">AB186-AA186</f>
        <v>0</v>
      </c>
      <c r="AD186" s="1" t="e">
        <f aca="true">_xlfn.AGGREGATE(1,6,OFFSET($S$5,H186,0,1,$K$2))</f>
        <v>#DIV/0!</v>
      </c>
    </row>
    <row r="187" customFormat="false" ht="14.25" hidden="false" customHeight="false" outlineLevel="0" collapsed="false">
      <c r="H187" s="1" t="n">
        <f aca="false">H186+1</f>
        <v>182</v>
      </c>
      <c r="I187" s="1" t="n">
        <f aca="false">WEEKDAY('daily graphs'!K187)</f>
        <v>6</v>
      </c>
      <c r="J187" s="1" t="n">
        <f aca="false">DAY(L187)</f>
        <v>24</v>
      </c>
      <c r="K187" s="1" t="n">
        <f aca="false">MONTH(L187)</f>
        <v>6</v>
      </c>
      <c r="L187" s="23" t="n">
        <f aca="false">'daily graphs'!K187 - I187</f>
        <v>36701</v>
      </c>
      <c r="M187" s="24" t="n">
        <f aca="true">IF(TODAY()&lt;DATE($O$5,K187,J187),1000000,-1000000)</f>
        <v>-1000000</v>
      </c>
      <c r="N187" s="24" t="e">
        <f aca="false">IF(M187&gt;0,INDEX(big_daily_table,MATCH(DATE(O$5,$K187,$J187),daily_dates,0),MATCH($B$3,daily_items,0)),NA())</f>
        <v>#N/A</v>
      </c>
      <c r="O187" s="1" t="e">
        <f aca="false">IF(M187&lt;0,INDEX(big_daily_table,MATCH(DATE(O$5,$K187,$J187),daily_dates,0),MATCH($B$3,daily_items,0)),NA())</f>
        <v>#N/A</v>
      </c>
      <c r="P187" s="1" t="e">
        <f aca="false">IF(ISBLANK(INDEX(big_daily_table,MATCH(DATE(P$5,$K187,$J187),daily_dates,0),MATCH($B$3,daily_items,0))),NA(),INDEX(big_daily_table,MATCH(DATE(P$5,$K187,$J187),daily_dates,0),MATCH($B$3,daily_items,0)))</f>
        <v>#N/A</v>
      </c>
      <c r="Q187" s="1" t="e">
        <f aca="false">IF(ISBLANK(INDEX(big_daily_table,MATCH(DATE(Q$5,$K187,$J187),daily_dates,0),MATCH($B$3,daily_items,0))),NA(),INDEX(big_daily_table,MATCH(DATE(Q$5,$K187,$J187),daily_dates,0),MATCH($B$3,daily_items,0)))</f>
        <v>#N/A</v>
      </c>
      <c r="R187" s="1" t="e">
        <f aca="false">IF(ISBLANK(INDEX(big_daily_table,MATCH(DATE(R$5,$K187,$J187),daily_dates,0),MATCH($B$3,daily_items,0))),NA(),INDEX(big_daily_table,MATCH(DATE(R$5,$K187,$J187),daily_dates,0),MATCH($B$3,daily_items,0)))</f>
        <v>#N/A</v>
      </c>
      <c r="S187" s="1" t="e">
        <f aca="false">IF(ISBLANK(INDEX(big_daily_table,MATCH(DATE(S$5,$K187,$J187),daily_dates,0),MATCH($B$3,daily_items,0))),NA(),INDEX(big_daily_table,MATCH(DATE(S$5,$K187,$J187),daily_dates,0),MATCH($B$3,daily_items,0)))</f>
        <v>#N/A</v>
      </c>
      <c r="T187" s="1" t="e">
        <f aca="false">IF(ISBLANK(INDEX(big_daily_table,MATCH(DATE(T$5,$K187,$J187),daily_dates,0),MATCH($B$3,daily_items,0))),NA(),INDEX(big_daily_table,MATCH(DATE(T$5,$K187,$J187),daily_dates,0),MATCH($B$3,daily_items,0)))</f>
        <v>#N/A</v>
      </c>
      <c r="U187" s="1" t="e">
        <f aca="false">IF(ISBLANK(INDEX(big_daily_table,MATCH(DATE(U$5,$K187,$J187),daily_dates,0),MATCH($B$3,daily_items,0))),NA(),INDEX(big_daily_table,MATCH(DATE(U$5,$K187,$J187),daily_dates,0),MATCH($B$3,daily_items,0)))</f>
        <v>#N/A</v>
      </c>
      <c r="V187" s="1" t="e">
        <f aca="false">IF(ISBLANK(INDEX(big_daily_table,MATCH(DATE(V$5,$K187,$J187),daily_dates,0),MATCH($B$3,daily_items,0))),NA(),INDEX(big_daily_table,MATCH(DATE(V$5,$K187,$J187),daily_dates,0),MATCH($B$3,daily_items,0)))</f>
        <v>#N/A</v>
      </c>
      <c r="W187" s="1" t="e">
        <f aca="false">IF(ISBLANK(INDEX(big_daily_table,MATCH(DATE(W$5,$K187,$J187),daily_dates,0),MATCH($B$3,daily_items,0))),NA(),INDEX(big_daily_table,MATCH(DATE(W$5,$K187,$J187),daily_dates,0),MATCH($B$3,daily_items,0)))</f>
        <v>#N/A</v>
      </c>
      <c r="X187" s="1" t="e">
        <f aca="false">IF(ISBLANK(INDEX(big_daily_table,MATCH(DATE(X$5,$K187,$J187),daily_dates,0),MATCH($B$3,daily_items,0))),NA(),INDEX(big_daily_table,MATCH(DATE(X$5,$K187,$J187),daily_dates,0),MATCH($B$3,daily_items,0)))</f>
        <v>#N/A</v>
      </c>
      <c r="Y187" s="1" t="e">
        <f aca="false">IF(ISBLANK(INDEX(big_daily_table,MATCH(DATE(Y$5,$K187,$J187),daily_dates,0),MATCH($B$3,daily_items,0))),NA(),INDEX(big_daily_table,MATCH(DATE(Y$5,$K187,$J187),daily_dates,0),MATCH($B$3,daily_items,0)))</f>
        <v>#N/A</v>
      </c>
      <c r="Z187" s="1" t="e">
        <f aca="false">IF(ISBLANK(INDEX(big_daily_table,MATCH(DATE(Z$5,$K187,$J187),daily_dates,0),MATCH($B$3,daily_items,0))),NA(),INDEX(big_daily_table,MATCH(DATE(Z$5,$K187,$J187),daily_dates,0),MATCH($B$3,daily_items,0)))</f>
        <v>#N/A</v>
      </c>
      <c r="AA187" s="1" t="n">
        <f aca="true">_xlfn.AGGREGATE(5,6,OFFSET($S$5,H187,0,1,$K$2))</f>
        <v>0</v>
      </c>
      <c r="AB187" s="1" t="n">
        <f aca="true">_xlfn.AGGREGATE(4,6,OFFSET($S$5,H187,0,1,$K$2))</f>
        <v>0</v>
      </c>
      <c r="AC187" s="1" t="n">
        <f aca="false">AB187-AA187</f>
        <v>0</v>
      </c>
      <c r="AD187" s="1" t="e">
        <f aca="true">_xlfn.AGGREGATE(1,6,OFFSET($S$5,H187,0,1,$K$2))</f>
        <v>#DIV/0!</v>
      </c>
    </row>
    <row r="188" customFormat="false" ht="14.25" hidden="false" customHeight="false" outlineLevel="0" collapsed="false">
      <c r="H188" s="1" t="n">
        <f aca="false">H187+1</f>
        <v>183</v>
      </c>
      <c r="I188" s="1" t="n">
        <f aca="false">WEEKDAY('daily graphs'!K188)</f>
        <v>7</v>
      </c>
      <c r="J188" s="1" t="n">
        <f aca="false">DAY(L188)</f>
        <v>24</v>
      </c>
      <c r="K188" s="1" t="n">
        <f aca="false">MONTH(L188)</f>
        <v>6</v>
      </c>
      <c r="L188" s="23" t="n">
        <f aca="false">'daily graphs'!K188 - I188</f>
        <v>36701</v>
      </c>
      <c r="M188" s="24" t="n">
        <f aca="true">IF(TODAY()&lt;DATE($O$5,K188,J188),1000000,-1000000)</f>
        <v>-1000000</v>
      </c>
      <c r="N188" s="24" t="e">
        <f aca="false">IF(M188&gt;0,INDEX(big_daily_table,MATCH(DATE(O$5,$K188,$J188),daily_dates,0),MATCH($B$3,daily_items,0)),NA())</f>
        <v>#N/A</v>
      </c>
      <c r="O188" s="1" t="e">
        <f aca="false">IF(M188&lt;0,INDEX(big_daily_table,MATCH(DATE(O$5,$K188,$J188),daily_dates,0),MATCH($B$3,daily_items,0)),NA())</f>
        <v>#N/A</v>
      </c>
      <c r="P188" s="1" t="e">
        <f aca="false">IF(ISBLANK(INDEX(big_daily_table,MATCH(DATE(P$5,$K188,$J188),daily_dates,0),MATCH($B$3,daily_items,0))),NA(),INDEX(big_daily_table,MATCH(DATE(P$5,$K188,$J188),daily_dates,0),MATCH($B$3,daily_items,0)))</f>
        <v>#N/A</v>
      </c>
      <c r="Q188" s="1" t="e">
        <f aca="false">IF(ISBLANK(INDEX(big_daily_table,MATCH(DATE(Q$5,$K188,$J188),daily_dates,0),MATCH($B$3,daily_items,0))),NA(),INDEX(big_daily_table,MATCH(DATE(Q$5,$K188,$J188),daily_dates,0),MATCH($B$3,daily_items,0)))</f>
        <v>#N/A</v>
      </c>
      <c r="R188" s="1" t="e">
        <f aca="false">IF(ISBLANK(INDEX(big_daily_table,MATCH(DATE(R$5,$K188,$J188),daily_dates,0),MATCH($B$3,daily_items,0))),NA(),INDEX(big_daily_table,MATCH(DATE(R$5,$K188,$J188),daily_dates,0),MATCH($B$3,daily_items,0)))</f>
        <v>#N/A</v>
      </c>
      <c r="S188" s="1" t="e">
        <f aca="false">IF(ISBLANK(INDEX(big_daily_table,MATCH(DATE(S$5,$K188,$J188),daily_dates,0),MATCH($B$3,daily_items,0))),NA(),INDEX(big_daily_table,MATCH(DATE(S$5,$K188,$J188),daily_dates,0),MATCH($B$3,daily_items,0)))</f>
        <v>#N/A</v>
      </c>
      <c r="T188" s="1" t="e">
        <f aca="false">IF(ISBLANK(INDEX(big_daily_table,MATCH(DATE(T$5,$K188,$J188),daily_dates,0),MATCH($B$3,daily_items,0))),NA(),INDEX(big_daily_table,MATCH(DATE(T$5,$K188,$J188),daily_dates,0),MATCH($B$3,daily_items,0)))</f>
        <v>#N/A</v>
      </c>
      <c r="U188" s="1" t="e">
        <f aca="false">IF(ISBLANK(INDEX(big_daily_table,MATCH(DATE(U$5,$K188,$J188),daily_dates,0),MATCH($B$3,daily_items,0))),NA(),INDEX(big_daily_table,MATCH(DATE(U$5,$K188,$J188),daily_dates,0),MATCH($B$3,daily_items,0)))</f>
        <v>#N/A</v>
      </c>
      <c r="V188" s="1" t="e">
        <f aca="false">IF(ISBLANK(INDEX(big_daily_table,MATCH(DATE(V$5,$K188,$J188),daily_dates,0),MATCH($B$3,daily_items,0))),NA(),INDEX(big_daily_table,MATCH(DATE(V$5,$K188,$J188),daily_dates,0),MATCH($B$3,daily_items,0)))</f>
        <v>#N/A</v>
      </c>
      <c r="W188" s="1" t="e">
        <f aca="false">IF(ISBLANK(INDEX(big_daily_table,MATCH(DATE(W$5,$K188,$J188),daily_dates,0),MATCH($B$3,daily_items,0))),NA(),INDEX(big_daily_table,MATCH(DATE(W$5,$K188,$J188),daily_dates,0),MATCH($B$3,daily_items,0)))</f>
        <v>#N/A</v>
      </c>
      <c r="X188" s="1" t="e">
        <f aca="false">IF(ISBLANK(INDEX(big_daily_table,MATCH(DATE(X$5,$K188,$J188),daily_dates,0),MATCH($B$3,daily_items,0))),NA(),INDEX(big_daily_table,MATCH(DATE(X$5,$K188,$J188),daily_dates,0),MATCH($B$3,daily_items,0)))</f>
        <v>#N/A</v>
      </c>
      <c r="Y188" s="1" t="e">
        <f aca="false">IF(ISBLANK(INDEX(big_daily_table,MATCH(DATE(Y$5,$K188,$J188),daily_dates,0),MATCH($B$3,daily_items,0))),NA(),INDEX(big_daily_table,MATCH(DATE(Y$5,$K188,$J188),daily_dates,0),MATCH($B$3,daily_items,0)))</f>
        <v>#N/A</v>
      </c>
      <c r="Z188" s="1" t="e">
        <f aca="false">IF(ISBLANK(INDEX(big_daily_table,MATCH(DATE(Z$5,$K188,$J188),daily_dates,0),MATCH($B$3,daily_items,0))),NA(),INDEX(big_daily_table,MATCH(DATE(Z$5,$K188,$J188),daily_dates,0),MATCH($B$3,daily_items,0)))</f>
        <v>#N/A</v>
      </c>
      <c r="AA188" s="1" t="n">
        <f aca="true">_xlfn.AGGREGATE(5,6,OFFSET($S$5,H188,0,1,$K$2))</f>
        <v>0</v>
      </c>
      <c r="AB188" s="1" t="n">
        <f aca="true">_xlfn.AGGREGATE(4,6,OFFSET($S$5,H188,0,1,$K$2))</f>
        <v>0</v>
      </c>
      <c r="AC188" s="1" t="n">
        <f aca="false">AB188-AA188</f>
        <v>0</v>
      </c>
      <c r="AD188" s="1" t="e">
        <f aca="true">_xlfn.AGGREGATE(1,6,OFFSET($S$5,H188,0,1,$K$2))</f>
        <v>#DIV/0!</v>
      </c>
    </row>
    <row r="189" customFormat="false" ht="14.25" hidden="false" customHeight="false" outlineLevel="0" collapsed="false">
      <c r="H189" s="1" t="n">
        <f aca="false">H188+1</f>
        <v>184</v>
      </c>
      <c r="I189" s="1" t="n">
        <f aca="false">WEEKDAY('daily graphs'!K189)</f>
        <v>1</v>
      </c>
      <c r="J189" s="1" t="n">
        <f aca="false">DAY(L189)</f>
        <v>1</v>
      </c>
      <c r="K189" s="1" t="n">
        <f aca="false">MONTH(L189)</f>
        <v>7</v>
      </c>
      <c r="L189" s="23" t="n">
        <f aca="false">'daily graphs'!K189 - I189</f>
        <v>36708</v>
      </c>
      <c r="M189" s="24" t="n">
        <f aca="true">IF(TODAY()&lt;DATE($O$5,K189,J189),1000000,-1000000)</f>
        <v>-1000000</v>
      </c>
      <c r="N189" s="24" t="e">
        <f aca="false">IF(M189&gt;0,INDEX(big_daily_table,MATCH(DATE(O$5,$K189,$J189),daily_dates,0),MATCH($B$3,daily_items,0)),NA())</f>
        <v>#N/A</v>
      </c>
      <c r="O189" s="1" t="e">
        <f aca="false">IF(M189&lt;0,INDEX(big_daily_table,MATCH(DATE(O$5,$K189,$J189),daily_dates,0),MATCH($B$3,daily_items,0)),NA())</f>
        <v>#N/A</v>
      </c>
      <c r="P189" s="1" t="e">
        <f aca="false">IF(ISBLANK(INDEX(big_daily_table,MATCH(DATE(P$5,$K189,$J189),daily_dates,0),MATCH($B$3,daily_items,0))),NA(),INDEX(big_daily_table,MATCH(DATE(P$5,$K189,$J189),daily_dates,0),MATCH($B$3,daily_items,0)))</f>
        <v>#N/A</v>
      </c>
      <c r="Q189" s="1" t="e">
        <f aca="false">IF(ISBLANK(INDEX(big_daily_table,MATCH(DATE(Q$5,$K189,$J189),daily_dates,0),MATCH($B$3,daily_items,0))),NA(),INDEX(big_daily_table,MATCH(DATE(Q$5,$K189,$J189),daily_dates,0),MATCH($B$3,daily_items,0)))</f>
        <v>#N/A</v>
      </c>
      <c r="R189" s="1" t="e">
        <f aca="false">IF(ISBLANK(INDEX(big_daily_table,MATCH(DATE(R$5,$K189,$J189),daily_dates,0),MATCH($B$3,daily_items,0))),NA(),INDEX(big_daily_table,MATCH(DATE(R$5,$K189,$J189),daily_dates,0),MATCH($B$3,daily_items,0)))</f>
        <v>#N/A</v>
      </c>
      <c r="S189" s="1" t="e">
        <f aca="false">IF(ISBLANK(INDEX(big_daily_table,MATCH(DATE(S$5,$K189,$J189),daily_dates,0),MATCH($B$3,daily_items,0))),NA(),INDEX(big_daily_table,MATCH(DATE(S$5,$K189,$J189),daily_dates,0),MATCH($B$3,daily_items,0)))</f>
        <v>#N/A</v>
      </c>
      <c r="T189" s="1" t="e">
        <f aca="false">IF(ISBLANK(INDEX(big_daily_table,MATCH(DATE(T$5,$K189,$J189),daily_dates,0),MATCH($B$3,daily_items,0))),NA(),INDEX(big_daily_table,MATCH(DATE(T$5,$K189,$J189),daily_dates,0),MATCH($B$3,daily_items,0)))</f>
        <v>#N/A</v>
      </c>
      <c r="U189" s="1" t="e">
        <f aca="false">IF(ISBLANK(INDEX(big_daily_table,MATCH(DATE(U$5,$K189,$J189),daily_dates,0),MATCH($B$3,daily_items,0))),NA(),INDEX(big_daily_table,MATCH(DATE(U$5,$K189,$J189),daily_dates,0),MATCH($B$3,daily_items,0)))</f>
        <v>#N/A</v>
      </c>
      <c r="V189" s="1" t="e">
        <f aca="false">IF(ISBLANK(INDEX(big_daily_table,MATCH(DATE(V$5,$K189,$J189),daily_dates,0),MATCH($B$3,daily_items,0))),NA(),INDEX(big_daily_table,MATCH(DATE(V$5,$K189,$J189),daily_dates,0),MATCH($B$3,daily_items,0)))</f>
        <v>#N/A</v>
      </c>
      <c r="W189" s="1" t="e">
        <f aca="false">IF(ISBLANK(INDEX(big_daily_table,MATCH(DATE(W$5,$K189,$J189),daily_dates,0),MATCH($B$3,daily_items,0))),NA(),INDEX(big_daily_table,MATCH(DATE(W$5,$K189,$J189),daily_dates,0),MATCH($B$3,daily_items,0)))</f>
        <v>#N/A</v>
      </c>
      <c r="X189" s="1" t="e">
        <f aca="false">IF(ISBLANK(INDEX(big_daily_table,MATCH(DATE(X$5,$K189,$J189),daily_dates,0),MATCH($B$3,daily_items,0))),NA(),INDEX(big_daily_table,MATCH(DATE(X$5,$K189,$J189),daily_dates,0),MATCH($B$3,daily_items,0)))</f>
        <v>#N/A</v>
      </c>
      <c r="Y189" s="1" t="e">
        <f aca="false">IF(ISBLANK(INDEX(big_daily_table,MATCH(DATE(Y$5,$K189,$J189),daily_dates,0),MATCH($B$3,daily_items,0))),NA(),INDEX(big_daily_table,MATCH(DATE(Y$5,$K189,$J189),daily_dates,0),MATCH($B$3,daily_items,0)))</f>
        <v>#N/A</v>
      </c>
      <c r="Z189" s="1" t="e">
        <f aca="false">IF(ISBLANK(INDEX(big_daily_table,MATCH(DATE(Z$5,$K189,$J189),daily_dates,0),MATCH($B$3,daily_items,0))),NA(),INDEX(big_daily_table,MATCH(DATE(Z$5,$K189,$J189),daily_dates,0),MATCH($B$3,daily_items,0)))</f>
        <v>#N/A</v>
      </c>
      <c r="AA189" s="1" t="n">
        <f aca="true">_xlfn.AGGREGATE(5,6,OFFSET($S$5,H189,0,1,$K$2))</f>
        <v>0</v>
      </c>
      <c r="AB189" s="1" t="n">
        <f aca="true">_xlfn.AGGREGATE(4,6,OFFSET($S$5,H189,0,1,$K$2))</f>
        <v>0</v>
      </c>
      <c r="AC189" s="1" t="n">
        <f aca="false">AB189-AA189</f>
        <v>0</v>
      </c>
      <c r="AD189" s="1" t="e">
        <f aca="true">_xlfn.AGGREGATE(1,6,OFFSET($S$5,H189,0,1,$K$2))</f>
        <v>#DIV/0!</v>
      </c>
    </row>
    <row r="190" customFormat="false" ht="14.25" hidden="false" customHeight="false" outlineLevel="0" collapsed="false">
      <c r="H190" s="1" t="n">
        <f aca="false">H189+1</f>
        <v>185</v>
      </c>
      <c r="I190" s="1" t="n">
        <f aca="false">WEEKDAY('daily graphs'!K190)</f>
        <v>2</v>
      </c>
      <c r="J190" s="1" t="n">
        <f aca="false">DAY(L190)</f>
        <v>1</v>
      </c>
      <c r="K190" s="1" t="n">
        <f aca="false">MONTH(L190)</f>
        <v>7</v>
      </c>
      <c r="L190" s="23" t="n">
        <f aca="false">'daily graphs'!K190 - I190</f>
        <v>36708</v>
      </c>
      <c r="M190" s="24" t="n">
        <f aca="true">IF(TODAY()&lt;DATE($O$5,K190,J190),1000000,-1000000)</f>
        <v>-1000000</v>
      </c>
      <c r="N190" s="24" t="e">
        <f aca="false">IF(M190&gt;0,INDEX(big_daily_table,MATCH(DATE(O$5,$K190,$J190),daily_dates,0),MATCH($B$3,daily_items,0)),NA())</f>
        <v>#N/A</v>
      </c>
      <c r="O190" s="1" t="e">
        <f aca="false">IF(M190&lt;0,INDEX(big_daily_table,MATCH(DATE(O$5,$K190,$J190),daily_dates,0),MATCH($B$3,daily_items,0)),NA())</f>
        <v>#N/A</v>
      </c>
      <c r="P190" s="1" t="e">
        <f aca="false">IF(ISBLANK(INDEX(big_daily_table,MATCH(DATE(P$5,$K190,$J190),daily_dates,0),MATCH($B$3,daily_items,0))),NA(),INDEX(big_daily_table,MATCH(DATE(P$5,$K190,$J190),daily_dates,0),MATCH($B$3,daily_items,0)))</f>
        <v>#N/A</v>
      </c>
      <c r="Q190" s="1" t="e">
        <f aca="false">IF(ISBLANK(INDEX(big_daily_table,MATCH(DATE(Q$5,$K190,$J190),daily_dates,0),MATCH($B$3,daily_items,0))),NA(),INDEX(big_daily_table,MATCH(DATE(Q$5,$K190,$J190),daily_dates,0),MATCH($B$3,daily_items,0)))</f>
        <v>#N/A</v>
      </c>
      <c r="R190" s="1" t="e">
        <f aca="false">IF(ISBLANK(INDEX(big_daily_table,MATCH(DATE(R$5,$K190,$J190),daily_dates,0),MATCH($B$3,daily_items,0))),NA(),INDEX(big_daily_table,MATCH(DATE(R$5,$K190,$J190),daily_dates,0),MATCH($B$3,daily_items,0)))</f>
        <v>#N/A</v>
      </c>
      <c r="S190" s="1" t="e">
        <f aca="false">IF(ISBLANK(INDEX(big_daily_table,MATCH(DATE(S$5,$K190,$J190),daily_dates,0),MATCH($B$3,daily_items,0))),NA(),INDEX(big_daily_table,MATCH(DATE(S$5,$K190,$J190),daily_dates,0),MATCH($B$3,daily_items,0)))</f>
        <v>#N/A</v>
      </c>
      <c r="T190" s="1" t="e">
        <f aca="false">IF(ISBLANK(INDEX(big_daily_table,MATCH(DATE(T$5,$K190,$J190),daily_dates,0),MATCH($B$3,daily_items,0))),NA(),INDEX(big_daily_table,MATCH(DATE(T$5,$K190,$J190),daily_dates,0),MATCH($B$3,daily_items,0)))</f>
        <v>#N/A</v>
      </c>
      <c r="U190" s="1" t="e">
        <f aca="false">IF(ISBLANK(INDEX(big_daily_table,MATCH(DATE(U$5,$K190,$J190),daily_dates,0),MATCH($B$3,daily_items,0))),NA(),INDEX(big_daily_table,MATCH(DATE(U$5,$K190,$J190),daily_dates,0),MATCH($B$3,daily_items,0)))</f>
        <v>#N/A</v>
      </c>
      <c r="V190" s="1" t="e">
        <f aca="false">IF(ISBLANK(INDEX(big_daily_table,MATCH(DATE(V$5,$K190,$J190),daily_dates,0),MATCH($B$3,daily_items,0))),NA(),INDEX(big_daily_table,MATCH(DATE(V$5,$K190,$J190),daily_dates,0),MATCH($B$3,daily_items,0)))</f>
        <v>#N/A</v>
      </c>
      <c r="W190" s="1" t="e">
        <f aca="false">IF(ISBLANK(INDEX(big_daily_table,MATCH(DATE(W$5,$K190,$J190),daily_dates,0),MATCH($B$3,daily_items,0))),NA(),INDEX(big_daily_table,MATCH(DATE(W$5,$K190,$J190),daily_dates,0),MATCH($B$3,daily_items,0)))</f>
        <v>#N/A</v>
      </c>
      <c r="X190" s="1" t="e">
        <f aca="false">IF(ISBLANK(INDEX(big_daily_table,MATCH(DATE(X$5,$K190,$J190),daily_dates,0),MATCH($B$3,daily_items,0))),NA(),INDEX(big_daily_table,MATCH(DATE(X$5,$K190,$J190),daily_dates,0),MATCH($B$3,daily_items,0)))</f>
        <v>#N/A</v>
      </c>
      <c r="Y190" s="1" t="e">
        <f aca="false">IF(ISBLANK(INDEX(big_daily_table,MATCH(DATE(Y$5,$K190,$J190),daily_dates,0),MATCH($B$3,daily_items,0))),NA(),INDEX(big_daily_table,MATCH(DATE(Y$5,$K190,$J190),daily_dates,0),MATCH($B$3,daily_items,0)))</f>
        <v>#N/A</v>
      </c>
      <c r="Z190" s="1" t="e">
        <f aca="false">IF(ISBLANK(INDEX(big_daily_table,MATCH(DATE(Z$5,$K190,$J190),daily_dates,0),MATCH($B$3,daily_items,0))),NA(),INDEX(big_daily_table,MATCH(DATE(Z$5,$K190,$J190),daily_dates,0),MATCH($B$3,daily_items,0)))</f>
        <v>#N/A</v>
      </c>
      <c r="AA190" s="1" t="n">
        <f aca="true">_xlfn.AGGREGATE(5,6,OFFSET($S$5,H190,0,1,$K$2))</f>
        <v>0</v>
      </c>
      <c r="AB190" s="1" t="n">
        <f aca="true">_xlfn.AGGREGATE(4,6,OFFSET($S$5,H190,0,1,$K$2))</f>
        <v>0</v>
      </c>
      <c r="AC190" s="1" t="n">
        <f aca="false">AB190-AA190</f>
        <v>0</v>
      </c>
      <c r="AD190" s="1" t="e">
        <f aca="true">_xlfn.AGGREGATE(1,6,OFFSET($S$5,H190,0,1,$K$2))</f>
        <v>#DIV/0!</v>
      </c>
    </row>
    <row r="191" customFormat="false" ht="14.25" hidden="false" customHeight="false" outlineLevel="0" collapsed="false">
      <c r="H191" s="1" t="n">
        <f aca="false">H190+1</f>
        <v>186</v>
      </c>
      <c r="I191" s="1" t="n">
        <f aca="false">WEEKDAY('daily graphs'!K191)</f>
        <v>3</v>
      </c>
      <c r="J191" s="1" t="n">
        <f aca="false">DAY(L191)</f>
        <v>1</v>
      </c>
      <c r="K191" s="1" t="n">
        <f aca="false">MONTH(L191)</f>
        <v>7</v>
      </c>
      <c r="L191" s="23" t="n">
        <f aca="false">'daily graphs'!K191 - I191</f>
        <v>36708</v>
      </c>
      <c r="M191" s="24" t="n">
        <f aca="true">IF(TODAY()&lt;DATE($O$5,K191,J191),1000000,-1000000)</f>
        <v>-1000000</v>
      </c>
      <c r="N191" s="24" t="e">
        <f aca="false">IF(M191&gt;0,INDEX(big_daily_table,MATCH(DATE(O$5,$K191,$J191),daily_dates,0),MATCH($B$3,daily_items,0)),NA())</f>
        <v>#N/A</v>
      </c>
      <c r="O191" s="1" t="e">
        <f aca="false">IF(M191&lt;0,INDEX(big_daily_table,MATCH(DATE(O$5,$K191,$J191),daily_dates,0),MATCH($B$3,daily_items,0)),NA())</f>
        <v>#N/A</v>
      </c>
      <c r="P191" s="1" t="e">
        <f aca="false">IF(ISBLANK(INDEX(big_daily_table,MATCH(DATE(P$5,$K191,$J191),daily_dates,0),MATCH($B$3,daily_items,0))),NA(),INDEX(big_daily_table,MATCH(DATE(P$5,$K191,$J191),daily_dates,0),MATCH($B$3,daily_items,0)))</f>
        <v>#N/A</v>
      </c>
      <c r="Q191" s="1" t="e">
        <f aca="false">IF(ISBLANK(INDEX(big_daily_table,MATCH(DATE(Q$5,$K191,$J191),daily_dates,0),MATCH($B$3,daily_items,0))),NA(),INDEX(big_daily_table,MATCH(DATE(Q$5,$K191,$J191),daily_dates,0),MATCH($B$3,daily_items,0)))</f>
        <v>#N/A</v>
      </c>
      <c r="R191" s="1" t="e">
        <f aca="false">IF(ISBLANK(INDEX(big_daily_table,MATCH(DATE(R$5,$K191,$J191),daily_dates,0),MATCH($B$3,daily_items,0))),NA(),INDEX(big_daily_table,MATCH(DATE(R$5,$K191,$J191),daily_dates,0),MATCH($B$3,daily_items,0)))</f>
        <v>#N/A</v>
      </c>
      <c r="S191" s="1" t="e">
        <f aca="false">IF(ISBLANK(INDEX(big_daily_table,MATCH(DATE(S$5,$K191,$J191),daily_dates,0),MATCH($B$3,daily_items,0))),NA(),INDEX(big_daily_table,MATCH(DATE(S$5,$K191,$J191),daily_dates,0),MATCH($B$3,daily_items,0)))</f>
        <v>#N/A</v>
      </c>
      <c r="T191" s="1" t="e">
        <f aca="false">IF(ISBLANK(INDEX(big_daily_table,MATCH(DATE(T$5,$K191,$J191),daily_dates,0),MATCH($B$3,daily_items,0))),NA(),INDEX(big_daily_table,MATCH(DATE(T$5,$K191,$J191),daily_dates,0),MATCH($B$3,daily_items,0)))</f>
        <v>#N/A</v>
      </c>
      <c r="U191" s="1" t="e">
        <f aca="false">IF(ISBLANK(INDEX(big_daily_table,MATCH(DATE(U$5,$K191,$J191),daily_dates,0),MATCH($B$3,daily_items,0))),NA(),INDEX(big_daily_table,MATCH(DATE(U$5,$K191,$J191),daily_dates,0),MATCH($B$3,daily_items,0)))</f>
        <v>#N/A</v>
      </c>
      <c r="V191" s="1" t="e">
        <f aca="false">IF(ISBLANK(INDEX(big_daily_table,MATCH(DATE(V$5,$K191,$J191),daily_dates,0),MATCH($B$3,daily_items,0))),NA(),INDEX(big_daily_table,MATCH(DATE(V$5,$K191,$J191),daily_dates,0),MATCH($B$3,daily_items,0)))</f>
        <v>#N/A</v>
      </c>
      <c r="W191" s="1" t="e">
        <f aca="false">IF(ISBLANK(INDEX(big_daily_table,MATCH(DATE(W$5,$K191,$J191),daily_dates,0),MATCH($B$3,daily_items,0))),NA(),INDEX(big_daily_table,MATCH(DATE(W$5,$K191,$J191),daily_dates,0),MATCH($B$3,daily_items,0)))</f>
        <v>#N/A</v>
      </c>
      <c r="X191" s="1" t="e">
        <f aca="false">IF(ISBLANK(INDEX(big_daily_table,MATCH(DATE(X$5,$K191,$J191),daily_dates,0),MATCH($B$3,daily_items,0))),NA(),INDEX(big_daily_table,MATCH(DATE(X$5,$K191,$J191),daily_dates,0),MATCH($B$3,daily_items,0)))</f>
        <v>#N/A</v>
      </c>
      <c r="Y191" s="1" t="e">
        <f aca="false">IF(ISBLANK(INDEX(big_daily_table,MATCH(DATE(Y$5,$K191,$J191),daily_dates,0),MATCH($B$3,daily_items,0))),NA(),INDEX(big_daily_table,MATCH(DATE(Y$5,$K191,$J191),daily_dates,0),MATCH($B$3,daily_items,0)))</f>
        <v>#N/A</v>
      </c>
      <c r="Z191" s="1" t="e">
        <f aca="false">IF(ISBLANK(INDEX(big_daily_table,MATCH(DATE(Z$5,$K191,$J191),daily_dates,0),MATCH($B$3,daily_items,0))),NA(),INDEX(big_daily_table,MATCH(DATE(Z$5,$K191,$J191),daily_dates,0),MATCH($B$3,daily_items,0)))</f>
        <v>#N/A</v>
      </c>
      <c r="AA191" s="1" t="n">
        <f aca="true">_xlfn.AGGREGATE(5,6,OFFSET($S$5,H191,0,1,$K$2))</f>
        <v>0</v>
      </c>
      <c r="AB191" s="1" t="n">
        <f aca="true">_xlfn.AGGREGATE(4,6,OFFSET($S$5,H191,0,1,$K$2))</f>
        <v>0</v>
      </c>
      <c r="AC191" s="1" t="n">
        <f aca="false">AB191-AA191</f>
        <v>0</v>
      </c>
      <c r="AD191" s="1" t="e">
        <f aca="true">_xlfn.AGGREGATE(1,6,OFFSET($S$5,H191,0,1,$K$2))</f>
        <v>#DIV/0!</v>
      </c>
    </row>
    <row r="192" customFormat="false" ht="14.25" hidden="false" customHeight="false" outlineLevel="0" collapsed="false">
      <c r="H192" s="1" t="n">
        <f aca="false">H191+1</f>
        <v>187</v>
      </c>
      <c r="I192" s="1" t="n">
        <f aca="false">WEEKDAY('daily graphs'!K192)</f>
        <v>4</v>
      </c>
      <c r="J192" s="1" t="n">
        <f aca="false">DAY(L192)</f>
        <v>1</v>
      </c>
      <c r="K192" s="1" t="n">
        <f aca="false">MONTH(L192)</f>
        <v>7</v>
      </c>
      <c r="L192" s="23" t="n">
        <f aca="false">'daily graphs'!K192 - I192</f>
        <v>36708</v>
      </c>
      <c r="M192" s="24" t="n">
        <f aca="true">IF(TODAY()&lt;DATE($O$5,K192,J192),1000000,-1000000)</f>
        <v>-1000000</v>
      </c>
      <c r="N192" s="24" t="e">
        <f aca="false">IF(M192&gt;0,INDEX(big_daily_table,MATCH(DATE(O$5,$K192,$J192),daily_dates,0),MATCH($B$3,daily_items,0)),NA())</f>
        <v>#N/A</v>
      </c>
      <c r="O192" s="1" t="e">
        <f aca="false">IF(M192&lt;0,INDEX(big_daily_table,MATCH(DATE(O$5,$K192,$J192),daily_dates,0),MATCH($B$3,daily_items,0)),NA())</f>
        <v>#N/A</v>
      </c>
      <c r="P192" s="1" t="e">
        <f aca="false">IF(ISBLANK(INDEX(big_daily_table,MATCH(DATE(P$5,$K192,$J192),daily_dates,0),MATCH($B$3,daily_items,0))),NA(),INDEX(big_daily_table,MATCH(DATE(P$5,$K192,$J192),daily_dates,0),MATCH($B$3,daily_items,0)))</f>
        <v>#N/A</v>
      </c>
      <c r="Q192" s="1" t="e">
        <f aca="false">IF(ISBLANK(INDEX(big_daily_table,MATCH(DATE(Q$5,$K192,$J192),daily_dates,0),MATCH($B$3,daily_items,0))),NA(),INDEX(big_daily_table,MATCH(DATE(Q$5,$K192,$J192),daily_dates,0),MATCH($B$3,daily_items,0)))</f>
        <v>#N/A</v>
      </c>
      <c r="R192" s="1" t="e">
        <f aca="false">IF(ISBLANK(INDEX(big_daily_table,MATCH(DATE(R$5,$K192,$J192),daily_dates,0),MATCH($B$3,daily_items,0))),NA(),INDEX(big_daily_table,MATCH(DATE(R$5,$K192,$J192),daily_dates,0),MATCH($B$3,daily_items,0)))</f>
        <v>#N/A</v>
      </c>
      <c r="S192" s="1" t="e">
        <f aca="false">IF(ISBLANK(INDEX(big_daily_table,MATCH(DATE(S$5,$K192,$J192),daily_dates,0),MATCH($B$3,daily_items,0))),NA(),INDEX(big_daily_table,MATCH(DATE(S$5,$K192,$J192),daily_dates,0),MATCH($B$3,daily_items,0)))</f>
        <v>#N/A</v>
      </c>
      <c r="T192" s="1" t="e">
        <f aca="false">IF(ISBLANK(INDEX(big_daily_table,MATCH(DATE(T$5,$K192,$J192),daily_dates,0),MATCH($B$3,daily_items,0))),NA(),INDEX(big_daily_table,MATCH(DATE(T$5,$K192,$J192),daily_dates,0),MATCH($B$3,daily_items,0)))</f>
        <v>#N/A</v>
      </c>
      <c r="U192" s="1" t="e">
        <f aca="false">IF(ISBLANK(INDEX(big_daily_table,MATCH(DATE(U$5,$K192,$J192),daily_dates,0),MATCH($B$3,daily_items,0))),NA(),INDEX(big_daily_table,MATCH(DATE(U$5,$K192,$J192),daily_dates,0),MATCH($B$3,daily_items,0)))</f>
        <v>#N/A</v>
      </c>
      <c r="V192" s="1" t="e">
        <f aca="false">IF(ISBLANK(INDEX(big_daily_table,MATCH(DATE(V$5,$K192,$J192),daily_dates,0),MATCH($B$3,daily_items,0))),NA(),INDEX(big_daily_table,MATCH(DATE(V$5,$K192,$J192),daily_dates,0),MATCH($B$3,daily_items,0)))</f>
        <v>#N/A</v>
      </c>
      <c r="W192" s="1" t="e">
        <f aca="false">IF(ISBLANK(INDEX(big_daily_table,MATCH(DATE(W$5,$K192,$J192),daily_dates,0),MATCH($B$3,daily_items,0))),NA(),INDEX(big_daily_table,MATCH(DATE(W$5,$K192,$J192),daily_dates,0),MATCH($B$3,daily_items,0)))</f>
        <v>#N/A</v>
      </c>
      <c r="X192" s="1" t="e">
        <f aca="false">IF(ISBLANK(INDEX(big_daily_table,MATCH(DATE(X$5,$K192,$J192),daily_dates,0),MATCH($B$3,daily_items,0))),NA(),INDEX(big_daily_table,MATCH(DATE(X$5,$K192,$J192),daily_dates,0),MATCH($B$3,daily_items,0)))</f>
        <v>#N/A</v>
      </c>
      <c r="Y192" s="1" t="e">
        <f aca="false">IF(ISBLANK(INDEX(big_daily_table,MATCH(DATE(Y$5,$K192,$J192),daily_dates,0),MATCH($B$3,daily_items,0))),NA(),INDEX(big_daily_table,MATCH(DATE(Y$5,$K192,$J192),daily_dates,0),MATCH($B$3,daily_items,0)))</f>
        <v>#N/A</v>
      </c>
      <c r="Z192" s="1" t="e">
        <f aca="false">IF(ISBLANK(INDEX(big_daily_table,MATCH(DATE(Z$5,$K192,$J192),daily_dates,0),MATCH($B$3,daily_items,0))),NA(),INDEX(big_daily_table,MATCH(DATE(Z$5,$K192,$J192),daily_dates,0),MATCH($B$3,daily_items,0)))</f>
        <v>#N/A</v>
      </c>
      <c r="AA192" s="1" t="n">
        <f aca="true">_xlfn.AGGREGATE(5,6,OFFSET($S$5,H192,0,1,$K$2))</f>
        <v>0</v>
      </c>
      <c r="AB192" s="1" t="n">
        <f aca="true">_xlfn.AGGREGATE(4,6,OFFSET($S$5,H192,0,1,$K$2))</f>
        <v>0</v>
      </c>
      <c r="AC192" s="1" t="n">
        <f aca="false">AB192-AA192</f>
        <v>0</v>
      </c>
      <c r="AD192" s="1" t="e">
        <f aca="true">_xlfn.AGGREGATE(1,6,OFFSET($S$5,H192,0,1,$K$2))</f>
        <v>#DIV/0!</v>
      </c>
    </row>
    <row r="193" customFormat="false" ht="14.25" hidden="false" customHeight="false" outlineLevel="0" collapsed="false">
      <c r="H193" s="1" t="n">
        <f aca="false">H192+1</f>
        <v>188</v>
      </c>
      <c r="I193" s="1" t="n">
        <f aca="false">WEEKDAY('daily graphs'!K193)</f>
        <v>5</v>
      </c>
      <c r="J193" s="1" t="n">
        <f aca="false">DAY(L193)</f>
        <v>1</v>
      </c>
      <c r="K193" s="1" t="n">
        <f aca="false">MONTH(L193)</f>
        <v>7</v>
      </c>
      <c r="L193" s="23" t="n">
        <f aca="false">'daily graphs'!K193 - I193</f>
        <v>36708</v>
      </c>
      <c r="M193" s="24" t="n">
        <f aca="true">IF(TODAY()&lt;DATE($O$5,K193,J193),1000000,-1000000)</f>
        <v>-1000000</v>
      </c>
      <c r="N193" s="24" t="e">
        <f aca="false">IF(M193&gt;0,INDEX(big_daily_table,MATCH(DATE(O$5,$K193,$J193),daily_dates,0),MATCH($B$3,daily_items,0)),NA())</f>
        <v>#N/A</v>
      </c>
      <c r="O193" s="1" t="e">
        <f aca="false">IF(M193&lt;0,INDEX(big_daily_table,MATCH(DATE(O$5,$K193,$J193),daily_dates,0),MATCH($B$3,daily_items,0)),NA())</f>
        <v>#N/A</v>
      </c>
      <c r="P193" s="1" t="e">
        <f aca="false">IF(ISBLANK(INDEX(big_daily_table,MATCH(DATE(P$5,$K193,$J193),daily_dates,0),MATCH($B$3,daily_items,0))),NA(),INDEX(big_daily_table,MATCH(DATE(P$5,$K193,$J193),daily_dates,0),MATCH($B$3,daily_items,0)))</f>
        <v>#N/A</v>
      </c>
      <c r="Q193" s="1" t="e">
        <f aca="false">IF(ISBLANK(INDEX(big_daily_table,MATCH(DATE(Q$5,$K193,$J193),daily_dates,0),MATCH($B$3,daily_items,0))),NA(),INDEX(big_daily_table,MATCH(DATE(Q$5,$K193,$J193),daily_dates,0),MATCH($B$3,daily_items,0)))</f>
        <v>#N/A</v>
      </c>
      <c r="R193" s="1" t="e">
        <f aca="false">IF(ISBLANK(INDEX(big_daily_table,MATCH(DATE(R$5,$K193,$J193),daily_dates,0),MATCH($B$3,daily_items,0))),NA(),INDEX(big_daily_table,MATCH(DATE(R$5,$K193,$J193),daily_dates,0),MATCH($B$3,daily_items,0)))</f>
        <v>#N/A</v>
      </c>
      <c r="S193" s="1" t="e">
        <f aca="false">IF(ISBLANK(INDEX(big_daily_table,MATCH(DATE(S$5,$K193,$J193),daily_dates,0),MATCH($B$3,daily_items,0))),NA(),INDEX(big_daily_table,MATCH(DATE(S$5,$K193,$J193),daily_dates,0),MATCH($B$3,daily_items,0)))</f>
        <v>#N/A</v>
      </c>
      <c r="T193" s="1" t="e">
        <f aca="false">IF(ISBLANK(INDEX(big_daily_table,MATCH(DATE(T$5,$K193,$J193),daily_dates,0),MATCH($B$3,daily_items,0))),NA(),INDEX(big_daily_table,MATCH(DATE(T$5,$K193,$J193),daily_dates,0),MATCH($B$3,daily_items,0)))</f>
        <v>#N/A</v>
      </c>
      <c r="U193" s="1" t="e">
        <f aca="false">IF(ISBLANK(INDEX(big_daily_table,MATCH(DATE(U$5,$K193,$J193),daily_dates,0),MATCH($B$3,daily_items,0))),NA(),INDEX(big_daily_table,MATCH(DATE(U$5,$K193,$J193),daily_dates,0),MATCH($B$3,daily_items,0)))</f>
        <v>#N/A</v>
      </c>
      <c r="V193" s="1" t="e">
        <f aca="false">IF(ISBLANK(INDEX(big_daily_table,MATCH(DATE(V$5,$K193,$J193),daily_dates,0),MATCH($B$3,daily_items,0))),NA(),INDEX(big_daily_table,MATCH(DATE(V$5,$K193,$J193),daily_dates,0),MATCH($B$3,daily_items,0)))</f>
        <v>#N/A</v>
      </c>
      <c r="W193" s="1" t="e">
        <f aca="false">IF(ISBLANK(INDEX(big_daily_table,MATCH(DATE(W$5,$K193,$J193),daily_dates,0),MATCH($B$3,daily_items,0))),NA(),INDEX(big_daily_table,MATCH(DATE(W$5,$K193,$J193),daily_dates,0),MATCH($B$3,daily_items,0)))</f>
        <v>#N/A</v>
      </c>
      <c r="X193" s="1" t="e">
        <f aca="false">IF(ISBLANK(INDEX(big_daily_table,MATCH(DATE(X$5,$K193,$J193),daily_dates,0),MATCH($B$3,daily_items,0))),NA(),INDEX(big_daily_table,MATCH(DATE(X$5,$K193,$J193),daily_dates,0),MATCH($B$3,daily_items,0)))</f>
        <v>#N/A</v>
      </c>
      <c r="Y193" s="1" t="e">
        <f aca="false">IF(ISBLANK(INDEX(big_daily_table,MATCH(DATE(Y$5,$K193,$J193),daily_dates,0),MATCH($B$3,daily_items,0))),NA(),INDEX(big_daily_table,MATCH(DATE(Y$5,$K193,$J193),daily_dates,0),MATCH($B$3,daily_items,0)))</f>
        <v>#N/A</v>
      </c>
      <c r="Z193" s="1" t="e">
        <f aca="false">IF(ISBLANK(INDEX(big_daily_table,MATCH(DATE(Z$5,$K193,$J193),daily_dates,0),MATCH($B$3,daily_items,0))),NA(),INDEX(big_daily_table,MATCH(DATE(Z$5,$K193,$J193),daily_dates,0),MATCH($B$3,daily_items,0)))</f>
        <v>#N/A</v>
      </c>
      <c r="AA193" s="1" t="n">
        <f aca="true">_xlfn.AGGREGATE(5,6,OFFSET($S$5,H193,0,1,$K$2))</f>
        <v>0</v>
      </c>
      <c r="AB193" s="1" t="n">
        <f aca="true">_xlfn.AGGREGATE(4,6,OFFSET($S$5,H193,0,1,$K$2))</f>
        <v>0</v>
      </c>
      <c r="AC193" s="1" t="n">
        <f aca="false">AB193-AA193</f>
        <v>0</v>
      </c>
      <c r="AD193" s="1" t="e">
        <f aca="true">_xlfn.AGGREGATE(1,6,OFFSET($S$5,H193,0,1,$K$2))</f>
        <v>#DIV/0!</v>
      </c>
    </row>
    <row r="194" customFormat="false" ht="14.25" hidden="false" customHeight="false" outlineLevel="0" collapsed="false">
      <c r="H194" s="1" t="n">
        <f aca="false">H193+1</f>
        <v>189</v>
      </c>
      <c r="I194" s="1" t="n">
        <f aca="false">WEEKDAY('daily graphs'!K194)</f>
        <v>6</v>
      </c>
      <c r="J194" s="1" t="n">
        <f aca="false">DAY(L194)</f>
        <v>1</v>
      </c>
      <c r="K194" s="1" t="n">
        <f aca="false">MONTH(L194)</f>
        <v>7</v>
      </c>
      <c r="L194" s="23" t="n">
        <f aca="false">'daily graphs'!K194 - I194</f>
        <v>36708</v>
      </c>
      <c r="M194" s="24" t="n">
        <f aca="true">IF(TODAY()&lt;DATE($O$5,K194,J194),1000000,-1000000)</f>
        <v>-1000000</v>
      </c>
      <c r="N194" s="24" t="e">
        <f aca="false">IF(M194&gt;0,INDEX(big_daily_table,MATCH(DATE(O$5,$K194,$J194),daily_dates,0),MATCH($B$3,daily_items,0)),NA())</f>
        <v>#N/A</v>
      </c>
      <c r="O194" s="1" t="e">
        <f aca="false">IF(M194&lt;0,INDEX(big_daily_table,MATCH(DATE(O$5,$K194,$J194),daily_dates,0),MATCH($B$3,daily_items,0)),NA())</f>
        <v>#N/A</v>
      </c>
      <c r="P194" s="1" t="e">
        <f aca="false">IF(ISBLANK(INDEX(big_daily_table,MATCH(DATE(P$5,$K194,$J194),daily_dates,0),MATCH($B$3,daily_items,0))),NA(),INDEX(big_daily_table,MATCH(DATE(P$5,$K194,$J194),daily_dates,0),MATCH($B$3,daily_items,0)))</f>
        <v>#N/A</v>
      </c>
      <c r="Q194" s="1" t="e">
        <f aca="false">IF(ISBLANK(INDEX(big_daily_table,MATCH(DATE(Q$5,$K194,$J194),daily_dates,0),MATCH($B$3,daily_items,0))),NA(),INDEX(big_daily_table,MATCH(DATE(Q$5,$K194,$J194),daily_dates,0),MATCH($B$3,daily_items,0)))</f>
        <v>#N/A</v>
      </c>
      <c r="R194" s="1" t="e">
        <f aca="false">IF(ISBLANK(INDEX(big_daily_table,MATCH(DATE(R$5,$K194,$J194),daily_dates,0),MATCH($B$3,daily_items,0))),NA(),INDEX(big_daily_table,MATCH(DATE(R$5,$K194,$J194),daily_dates,0),MATCH($B$3,daily_items,0)))</f>
        <v>#N/A</v>
      </c>
      <c r="S194" s="1" t="e">
        <f aca="false">IF(ISBLANK(INDEX(big_daily_table,MATCH(DATE(S$5,$K194,$J194),daily_dates,0),MATCH($B$3,daily_items,0))),NA(),INDEX(big_daily_table,MATCH(DATE(S$5,$K194,$J194),daily_dates,0),MATCH($B$3,daily_items,0)))</f>
        <v>#N/A</v>
      </c>
      <c r="T194" s="1" t="e">
        <f aca="false">IF(ISBLANK(INDEX(big_daily_table,MATCH(DATE(T$5,$K194,$J194),daily_dates,0),MATCH($B$3,daily_items,0))),NA(),INDEX(big_daily_table,MATCH(DATE(T$5,$K194,$J194),daily_dates,0),MATCH($B$3,daily_items,0)))</f>
        <v>#N/A</v>
      </c>
      <c r="U194" s="1" t="e">
        <f aca="false">IF(ISBLANK(INDEX(big_daily_table,MATCH(DATE(U$5,$K194,$J194),daily_dates,0),MATCH($B$3,daily_items,0))),NA(),INDEX(big_daily_table,MATCH(DATE(U$5,$K194,$J194),daily_dates,0),MATCH($B$3,daily_items,0)))</f>
        <v>#N/A</v>
      </c>
      <c r="V194" s="1" t="e">
        <f aca="false">IF(ISBLANK(INDEX(big_daily_table,MATCH(DATE(V$5,$K194,$J194),daily_dates,0),MATCH($B$3,daily_items,0))),NA(),INDEX(big_daily_table,MATCH(DATE(V$5,$K194,$J194),daily_dates,0),MATCH($B$3,daily_items,0)))</f>
        <v>#N/A</v>
      </c>
      <c r="W194" s="1" t="e">
        <f aca="false">IF(ISBLANK(INDEX(big_daily_table,MATCH(DATE(W$5,$K194,$J194),daily_dates,0),MATCH($B$3,daily_items,0))),NA(),INDEX(big_daily_table,MATCH(DATE(W$5,$K194,$J194),daily_dates,0),MATCH($B$3,daily_items,0)))</f>
        <v>#N/A</v>
      </c>
      <c r="X194" s="1" t="e">
        <f aca="false">IF(ISBLANK(INDEX(big_daily_table,MATCH(DATE(X$5,$K194,$J194),daily_dates,0),MATCH($B$3,daily_items,0))),NA(),INDEX(big_daily_table,MATCH(DATE(X$5,$K194,$J194),daily_dates,0),MATCH($B$3,daily_items,0)))</f>
        <v>#N/A</v>
      </c>
      <c r="Y194" s="1" t="e">
        <f aca="false">IF(ISBLANK(INDEX(big_daily_table,MATCH(DATE(Y$5,$K194,$J194),daily_dates,0),MATCH($B$3,daily_items,0))),NA(),INDEX(big_daily_table,MATCH(DATE(Y$5,$K194,$J194),daily_dates,0),MATCH($B$3,daily_items,0)))</f>
        <v>#N/A</v>
      </c>
      <c r="Z194" s="1" t="e">
        <f aca="false">IF(ISBLANK(INDEX(big_daily_table,MATCH(DATE(Z$5,$K194,$J194),daily_dates,0),MATCH($B$3,daily_items,0))),NA(),INDEX(big_daily_table,MATCH(DATE(Z$5,$K194,$J194),daily_dates,0),MATCH($B$3,daily_items,0)))</f>
        <v>#N/A</v>
      </c>
      <c r="AA194" s="1" t="n">
        <f aca="true">_xlfn.AGGREGATE(5,6,OFFSET($S$5,H194,0,1,$K$2))</f>
        <v>0</v>
      </c>
      <c r="AB194" s="1" t="n">
        <f aca="true">_xlfn.AGGREGATE(4,6,OFFSET($S$5,H194,0,1,$K$2))</f>
        <v>0</v>
      </c>
      <c r="AC194" s="1" t="n">
        <f aca="false">AB194-AA194</f>
        <v>0</v>
      </c>
      <c r="AD194" s="1" t="e">
        <f aca="true">_xlfn.AGGREGATE(1,6,OFFSET($S$5,H194,0,1,$K$2))</f>
        <v>#DIV/0!</v>
      </c>
    </row>
    <row r="195" customFormat="false" ht="14.25" hidden="false" customHeight="false" outlineLevel="0" collapsed="false">
      <c r="H195" s="1" t="n">
        <f aca="false">H194+1</f>
        <v>190</v>
      </c>
      <c r="I195" s="1" t="n">
        <f aca="false">WEEKDAY('daily graphs'!K195)</f>
        <v>7</v>
      </c>
      <c r="J195" s="1" t="n">
        <f aca="false">DAY(L195)</f>
        <v>1</v>
      </c>
      <c r="K195" s="1" t="n">
        <f aca="false">MONTH(L195)</f>
        <v>7</v>
      </c>
      <c r="L195" s="23" t="n">
        <f aca="false">'daily graphs'!K195 - I195</f>
        <v>36708</v>
      </c>
      <c r="M195" s="24" t="n">
        <f aca="true">IF(TODAY()&lt;DATE($O$5,K195,J195),1000000,-1000000)</f>
        <v>-1000000</v>
      </c>
      <c r="N195" s="24" t="e">
        <f aca="false">IF(M195&gt;0,INDEX(big_daily_table,MATCH(DATE(O$5,$K195,$J195),daily_dates,0),MATCH($B$3,daily_items,0)),NA())</f>
        <v>#N/A</v>
      </c>
      <c r="O195" s="1" t="e">
        <f aca="false">IF(M195&lt;0,INDEX(big_daily_table,MATCH(DATE(O$5,$K195,$J195),daily_dates,0),MATCH($B$3,daily_items,0)),NA())</f>
        <v>#N/A</v>
      </c>
      <c r="P195" s="1" t="e">
        <f aca="false">IF(ISBLANK(INDEX(big_daily_table,MATCH(DATE(P$5,$K195,$J195),daily_dates,0),MATCH($B$3,daily_items,0))),NA(),INDEX(big_daily_table,MATCH(DATE(P$5,$K195,$J195),daily_dates,0),MATCH($B$3,daily_items,0)))</f>
        <v>#N/A</v>
      </c>
      <c r="Q195" s="1" t="e">
        <f aca="false">IF(ISBLANK(INDEX(big_daily_table,MATCH(DATE(Q$5,$K195,$J195),daily_dates,0),MATCH($B$3,daily_items,0))),NA(),INDEX(big_daily_table,MATCH(DATE(Q$5,$K195,$J195),daily_dates,0),MATCH($B$3,daily_items,0)))</f>
        <v>#N/A</v>
      </c>
      <c r="R195" s="1" t="e">
        <f aca="false">IF(ISBLANK(INDEX(big_daily_table,MATCH(DATE(R$5,$K195,$J195),daily_dates,0),MATCH($B$3,daily_items,0))),NA(),INDEX(big_daily_table,MATCH(DATE(R$5,$K195,$J195),daily_dates,0),MATCH($B$3,daily_items,0)))</f>
        <v>#N/A</v>
      </c>
      <c r="S195" s="1" t="e">
        <f aca="false">IF(ISBLANK(INDEX(big_daily_table,MATCH(DATE(S$5,$K195,$J195),daily_dates,0),MATCH($B$3,daily_items,0))),NA(),INDEX(big_daily_table,MATCH(DATE(S$5,$K195,$J195),daily_dates,0),MATCH($B$3,daily_items,0)))</f>
        <v>#N/A</v>
      </c>
      <c r="T195" s="1" t="e">
        <f aca="false">IF(ISBLANK(INDEX(big_daily_table,MATCH(DATE(T$5,$K195,$J195),daily_dates,0),MATCH($B$3,daily_items,0))),NA(),INDEX(big_daily_table,MATCH(DATE(T$5,$K195,$J195),daily_dates,0),MATCH($B$3,daily_items,0)))</f>
        <v>#N/A</v>
      </c>
      <c r="U195" s="1" t="e">
        <f aca="false">IF(ISBLANK(INDEX(big_daily_table,MATCH(DATE(U$5,$K195,$J195),daily_dates,0),MATCH($B$3,daily_items,0))),NA(),INDEX(big_daily_table,MATCH(DATE(U$5,$K195,$J195),daily_dates,0),MATCH($B$3,daily_items,0)))</f>
        <v>#N/A</v>
      </c>
      <c r="V195" s="1" t="e">
        <f aca="false">IF(ISBLANK(INDEX(big_daily_table,MATCH(DATE(V$5,$K195,$J195),daily_dates,0),MATCH($B$3,daily_items,0))),NA(),INDEX(big_daily_table,MATCH(DATE(V$5,$K195,$J195),daily_dates,0),MATCH($B$3,daily_items,0)))</f>
        <v>#N/A</v>
      </c>
      <c r="W195" s="1" t="e">
        <f aca="false">IF(ISBLANK(INDEX(big_daily_table,MATCH(DATE(W$5,$K195,$J195),daily_dates,0),MATCH($B$3,daily_items,0))),NA(),INDEX(big_daily_table,MATCH(DATE(W$5,$K195,$J195),daily_dates,0),MATCH($B$3,daily_items,0)))</f>
        <v>#N/A</v>
      </c>
      <c r="X195" s="1" t="e">
        <f aca="false">IF(ISBLANK(INDEX(big_daily_table,MATCH(DATE(X$5,$K195,$J195),daily_dates,0),MATCH($B$3,daily_items,0))),NA(),INDEX(big_daily_table,MATCH(DATE(X$5,$K195,$J195),daily_dates,0),MATCH($B$3,daily_items,0)))</f>
        <v>#N/A</v>
      </c>
      <c r="Y195" s="1" t="e">
        <f aca="false">IF(ISBLANK(INDEX(big_daily_table,MATCH(DATE(Y$5,$K195,$J195),daily_dates,0),MATCH($B$3,daily_items,0))),NA(),INDEX(big_daily_table,MATCH(DATE(Y$5,$K195,$J195),daily_dates,0),MATCH($B$3,daily_items,0)))</f>
        <v>#N/A</v>
      </c>
      <c r="Z195" s="1" t="e">
        <f aca="false">IF(ISBLANK(INDEX(big_daily_table,MATCH(DATE(Z$5,$K195,$J195),daily_dates,0),MATCH($B$3,daily_items,0))),NA(),INDEX(big_daily_table,MATCH(DATE(Z$5,$K195,$J195),daily_dates,0),MATCH($B$3,daily_items,0)))</f>
        <v>#N/A</v>
      </c>
      <c r="AA195" s="1" t="n">
        <f aca="true">_xlfn.AGGREGATE(5,6,OFFSET($S$5,H195,0,1,$K$2))</f>
        <v>0</v>
      </c>
      <c r="AB195" s="1" t="n">
        <f aca="true">_xlfn.AGGREGATE(4,6,OFFSET($S$5,H195,0,1,$K$2))</f>
        <v>0</v>
      </c>
      <c r="AC195" s="1" t="n">
        <f aca="false">AB195-AA195</f>
        <v>0</v>
      </c>
      <c r="AD195" s="1" t="e">
        <f aca="true">_xlfn.AGGREGATE(1,6,OFFSET($S$5,H195,0,1,$K$2))</f>
        <v>#DIV/0!</v>
      </c>
    </row>
    <row r="196" customFormat="false" ht="14.25" hidden="false" customHeight="false" outlineLevel="0" collapsed="false">
      <c r="H196" s="1" t="n">
        <f aca="false">H195+1</f>
        <v>191</v>
      </c>
      <c r="I196" s="1" t="n">
        <f aca="false">WEEKDAY('daily graphs'!K196)</f>
        <v>1</v>
      </c>
      <c r="J196" s="1" t="n">
        <f aca="false">DAY(L196)</f>
        <v>8</v>
      </c>
      <c r="K196" s="1" t="n">
        <f aca="false">MONTH(L196)</f>
        <v>7</v>
      </c>
      <c r="L196" s="23" t="n">
        <f aca="false">'daily graphs'!K196 - I196</f>
        <v>36715</v>
      </c>
      <c r="M196" s="24" t="n">
        <f aca="true">IF(TODAY()&lt;DATE($O$5,K196,J196),1000000,-1000000)</f>
        <v>-1000000</v>
      </c>
      <c r="N196" s="24" t="e">
        <f aca="false">IF(M196&gt;0,INDEX(big_daily_table,MATCH(DATE(O$5,$K196,$J196),daily_dates,0),MATCH($B$3,daily_items,0)),NA())</f>
        <v>#N/A</v>
      </c>
      <c r="O196" s="1" t="e">
        <f aca="false">IF(M196&lt;0,INDEX(big_daily_table,MATCH(DATE(O$5,$K196,$J196),daily_dates,0),MATCH($B$3,daily_items,0)),NA())</f>
        <v>#N/A</v>
      </c>
      <c r="P196" s="1" t="e">
        <f aca="false">IF(ISBLANK(INDEX(big_daily_table,MATCH(DATE(P$5,$K196,$J196),daily_dates,0),MATCH($B$3,daily_items,0))),NA(),INDEX(big_daily_table,MATCH(DATE(P$5,$K196,$J196),daily_dates,0),MATCH($B$3,daily_items,0)))</f>
        <v>#N/A</v>
      </c>
      <c r="Q196" s="1" t="e">
        <f aca="false">IF(ISBLANK(INDEX(big_daily_table,MATCH(DATE(Q$5,$K196,$J196),daily_dates,0),MATCH($B$3,daily_items,0))),NA(),INDEX(big_daily_table,MATCH(DATE(Q$5,$K196,$J196),daily_dates,0),MATCH($B$3,daily_items,0)))</f>
        <v>#N/A</v>
      </c>
      <c r="R196" s="1" t="e">
        <f aca="false">IF(ISBLANK(INDEX(big_daily_table,MATCH(DATE(R$5,$K196,$J196),daily_dates,0),MATCH($B$3,daily_items,0))),NA(),INDEX(big_daily_table,MATCH(DATE(R$5,$K196,$J196),daily_dates,0),MATCH($B$3,daily_items,0)))</f>
        <v>#N/A</v>
      </c>
      <c r="S196" s="1" t="e">
        <f aca="false">IF(ISBLANK(INDEX(big_daily_table,MATCH(DATE(S$5,$K196,$J196),daily_dates,0),MATCH($B$3,daily_items,0))),NA(),INDEX(big_daily_table,MATCH(DATE(S$5,$K196,$J196),daily_dates,0),MATCH($B$3,daily_items,0)))</f>
        <v>#N/A</v>
      </c>
      <c r="T196" s="1" t="e">
        <f aca="false">IF(ISBLANK(INDEX(big_daily_table,MATCH(DATE(T$5,$K196,$J196),daily_dates,0),MATCH($B$3,daily_items,0))),NA(),INDEX(big_daily_table,MATCH(DATE(T$5,$K196,$J196),daily_dates,0),MATCH($B$3,daily_items,0)))</f>
        <v>#N/A</v>
      </c>
      <c r="U196" s="1" t="e">
        <f aca="false">IF(ISBLANK(INDEX(big_daily_table,MATCH(DATE(U$5,$K196,$J196),daily_dates,0),MATCH($B$3,daily_items,0))),NA(),INDEX(big_daily_table,MATCH(DATE(U$5,$K196,$J196),daily_dates,0),MATCH($B$3,daily_items,0)))</f>
        <v>#N/A</v>
      </c>
      <c r="V196" s="1" t="e">
        <f aca="false">IF(ISBLANK(INDEX(big_daily_table,MATCH(DATE(V$5,$K196,$J196),daily_dates,0),MATCH($B$3,daily_items,0))),NA(),INDEX(big_daily_table,MATCH(DATE(V$5,$K196,$J196),daily_dates,0),MATCH($B$3,daily_items,0)))</f>
        <v>#N/A</v>
      </c>
      <c r="W196" s="1" t="e">
        <f aca="false">IF(ISBLANK(INDEX(big_daily_table,MATCH(DATE(W$5,$K196,$J196),daily_dates,0),MATCH($B$3,daily_items,0))),NA(),INDEX(big_daily_table,MATCH(DATE(W$5,$K196,$J196),daily_dates,0),MATCH($B$3,daily_items,0)))</f>
        <v>#N/A</v>
      </c>
      <c r="X196" s="1" t="e">
        <f aca="false">IF(ISBLANK(INDEX(big_daily_table,MATCH(DATE(X$5,$K196,$J196),daily_dates,0),MATCH($B$3,daily_items,0))),NA(),INDEX(big_daily_table,MATCH(DATE(X$5,$K196,$J196),daily_dates,0),MATCH($B$3,daily_items,0)))</f>
        <v>#N/A</v>
      </c>
      <c r="Y196" s="1" t="e">
        <f aca="false">IF(ISBLANK(INDEX(big_daily_table,MATCH(DATE(Y$5,$K196,$J196),daily_dates,0),MATCH($B$3,daily_items,0))),NA(),INDEX(big_daily_table,MATCH(DATE(Y$5,$K196,$J196),daily_dates,0),MATCH($B$3,daily_items,0)))</f>
        <v>#N/A</v>
      </c>
      <c r="Z196" s="1" t="e">
        <f aca="false">IF(ISBLANK(INDEX(big_daily_table,MATCH(DATE(Z$5,$K196,$J196),daily_dates,0),MATCH($B$3,daily_items,0))),NA(),INDEX(big_daily_table,MATCH(DATE(Z$5,$K196,$J196),daily_dates,0),MATCH($B$3,daily_items,0)))</f>
        <v>#N/A</v>
      </c>
      <c r="AA196" s="1" t="n">
        <f aca="true">_xlfn.AGGREGATE(5,6,OFFSET($S$5,H196,0,1,$K$2))</f>
        <v>0</v>
      </c>
      <c r="AB196" s="1" t="n">
        <f aca="true">_xlfn.AGGREGATE(4,6,OFFSET($S$5,H196,0,1,$K$2))</f>
        <v>0</v>
      </c>
      <c r="AC196" s="1" t="n">
        <f aca="false">AB196-AA196</f>
        <v>0</v>
      </c>
      <c r="AD196" s="1" t="e">
        <f aca="true">_xlfn.AGGREGATE(1,6,OFFSET($S$5,H196,0,1,$K$2))</f>
        <v>#DIV/0!</v>
      </c>
    </row>
    <row r="197" customFormat="false" ht="14.25" hidden="false" customHeight="false" outlineLevel="0" collapsed="false">
      <c r="H197" s="1" t="n">
        <f aca="false">H196+1</f>
        <v>192</v>
      </c>
      <c r="I197" s="1" t="n">
        <f aca="false">WEEKDAY('daily graphs'!K197)</f>
        <v>2</v>
      </c>
      <c r="J197" s="1" t="n">
        <f aca="false">DAY(L197)</f>
        <v>8</v>
      </c>
      <c r="K197" s="1" t="n">
        <f aca="false">MONTH(L197)</f>
        <v>7</v>
      </c>
      <c r="L197" s="23" t="n">
        <f aca="false">'daily graphs'!K197 - I197</f>
        <v>36715</v>
      </c>
      <c r="M197" s="24" t="n">
        <f aca="true">IF(TODAY()&lt;DATE($O$5,K197,J197),1000000,-1000000)</f>
        <v>-1000000</v>
      </c>
      <c r="N197" s="24" t="e">
        <f aca="false">IF(M197&gt;0,INDEX(big_daily_table,MATCH(DATE(O$5,$K197,$J197),daily_dates,0),MATCH($B$3,daily_items,0)),NA())</f>
        <v>#N/A</v>
      </c>
      <c r="O197" s="1" t="e">
        <f aca="false">IF(M197&lt;0,INDEX(big_daily_table,MATCH(DATE(O$5,$K197,$J197),daily_dates,0),MATCH($B$3,daily_items,0)),NA())</f>
        <v>#N/A</v>
      </c>
      <c r="P197" s="1" t="e">
        <f aca="false">IF(ISBLANK(INDEX(big_daily_table,MATCH(DATE(P$5,$K197,$J197),daily_dates,0),MATCH($B$3,daily_items,0))),NA(),INDEX(big_daily_table,MATCH(DATE(P$5,$K197,$J197),daily_dates,0),MATCH($B$3,daily_items,0)))</f>
        <v>#N/A</v>
      </c>
      <c r="Q197" s="1" t="e">
        <f aca="false">IF(ISBLANK(INDEX(big_daily_table,MATCH(DATE(Q$5,$K197,$J197),daily_dates,0),MATCH($B$3,daily_items,0))),NA(),INDEX(big_daily_table,MATCH(DATE(Q$5,$K197,$J197),daily_dates,0),MATCH($B$3,daily_items,0)))</f>
        <v>#N/A</v>
      </c>
      <c r="R197" s="1" t="e">
        <f aca="false">IF(ISBLANK(INDEX(big_daily_table,MATCH(DATE(R$5,$K197,$J197),daily_dates,0),MATCH($B$3,daily_items,0))),NA(),INDEX(big_daily_table,MATCH(DATE(R$5,$K197,$J197),daily_dates,0),MATCH($B$3,daily_items,0)))</f>
        <v>#N/A</v>
      </c>
      <c r="S197" s="1" t="e">
        <f aca="false">IF(ISBLANK(INDEX(big_daily_table,MATCH(DATE(S$5,$K197,$J197),daily_dates,0),MATCH($B$3,daily_items,0))),NA(),INDEX(big_daily_table,MATCH(DATE(S$5,$K197,$J197),daily_dates,0),MATCH($B$3,daily_items,0)))</f>
        <v>#N/A</v>
      </c>
      <c r="T197" s="1" t="e">
        <f aca="false">IF(ISBLANK(INDEX(big_daily_table,MATCH(DATE(T$5,$K197,$J197),daily_dates,0),MATCH($B$3,daily_items,0))),NA(),INDEX(big_daily_table,MATCH(DATE(T$5,$K197,$J197),daily_dates,0),MATCH($B$3,daily_items,0)))</f>
        <v>#N/A</v>
      </c>
      <c r="U197" s="1" t="e">
        <f aca="false">IF(ISBLANK(INDEX(big_daily_table,MATCH(DATE(U$5,$K197,$J197),daily_dates,0),MATCH($B$3,daily_items,0))),NA(),INDEX(big_daily_table,MATCH(DATE(U$5,$K197,$J197),daily_dates,0),MATCH($B$3,daily_items,0)))</f>
        <v>#N/A</v>
      </c>
      <c r="V197" s="1" t="e">
        <f aca="false">IF(ISBLANK(INDEX(big_daily_table,MATCH(DATE(V$5,$K197,$J197),daily_dates,0),MATCH($B$3,daily_items,0))),NA(),INDEX(big_daily_table,MATCH(DATE(V$5,$K197,$J197),daily_dates,0),MATCH($B$3,daily_items,0)))</f>
        <v>#N/A</v>
      </c>
      <c r="W197" s="1" t="e">
        <f aca="false">IF(ISBLANK(INDEX(big_daily_table,MATCH(DATE(W$5,$K197,$J197),daily_dates,0),MATCH($B$3,daily_items,0))),NA(),INDEX(big_daily_table,MATCH(DATE(W$5,$K197,$J197),daily_dates,0),MATCH($B$3,daily_items,0)))</f>
        <v>#N/A</v>
      </c>
      <c r="X197" s="1" t="e">
        <f aca="false">IF(ISBLANK(INDEX(big_daily_table,MATCH(DATE(X$5,$K197,$J197),daily_dates,0),MATCH($B$3,daily_items,0))),NA(),INDEX(big_daily_table,MATCH(DATE(X$5,$K197,$J197),daily_dates,0),MATCH($B$3,daily_items,0)))</f>
        <v>#N/A</v>
      </c>
      <c r="Y197" s="1" t="e">
        <f aca="false">IF(ISBLANK(INDEX(big_daily_table,MATCH(DATE(Y$5,$K197,$J197),daily_dates,0),MATCH($B$3,daily_items,0))),NA(),INDEX(big_daily_table,MATCH(DATE(Y$5,$K197,$J197),daily_dates,0),MATCH($B$3,daily_items,0)))</f>
        <v>#N/A</v>
      </c>
      <c r="Z197" s="1" t="e">
        <f aca="false">IF(ISBLANK(INDEX(big_daily_table,MATCH(DATE(Z$5,$K197,$J197),daily_dates,0),MATCH($B$3,daily_items,0))),NA(),INDEX(big_daily_table,MATCH(DATE(Z$5,$K197,$J197),daily_dates,0),MATCH($B$3,daily_items,0)))</f>
        <v>#N/A</v>
      </c>
      <c r="AA197" s="1" t="n">
        <f aca="true">_xlfn.AGGREGATE(5,6,OFFSET($S$5,H197,0,1,$K$2))</f>
        <v>0</v>
      </c>
      <c r="AB197" s="1" t="n">
        <f aca="true">_xlfn.AGGREGATE(4,6,OFFSET($S$5,H197,0,1,$K$2))</f>
        <v>0</v>
      </c>
      <c r="AC197" s="1" t="n">
        <f aca="false">AB197-AA197</f>
        <v>0</v>
      </c>
      <c r="AD197" s="1" t="e">
        <f aca="true">_xlfn.AGGREGATE(1,6,OFFSET($S$5,H197,0,1,$K$2))</f>
        <v>#DIV/0!</v>
      </c>
    </row>
    <row r="198" customFormat="false" ht="14.25" hidden="false" customHeight="false" outlineLevel="0" collapsed="false">
      <c r="H198" s="1" t="n">
        <f aca="false">H197+1</f>
        <v>193</v>
      </c>
      <c r="I198" s="1" t="n">
        <f aca="false">WEEKDAY('daily graphs'!K198)</f>
        <v>3</v>
      </c>
      <c r="J198" s="1" t="n">
        <f aca="false">DAY(L198)</f>
        <v>8</v>
      </c>
      <c r="K198" s="1" t="n">
        <f aca="false">MONTH(L198)</f>
        <v>7</v>
      </c>
      <c r="L198" s="23" t="n">
        <f aca="false">'daily graphs'!K198 - I198</f>
        <v>36715</v>
      </c>
      <c r="M198" s="24" t="n">
        <f aca="true">IF(TODAY()&lt;DATE($O$5,K198,J198),1000000,-1000000)</f>
        <v>-1000000</v>
      </c>
      <c r="N198" s="24" t="e">
        <f aca="false">IF(M198&gt;0,INDEX(big_daily_table,MATCH(DATE(O$5,$K198,$J198),daily_dates,0),MATCH($B$3,daily_items,0)),NA())</f>
        <v>#N/A</v>
      </c>
      <c r="O198" s="1" t="e">
        <f aca="false">IF(M198&lt;0,INDEX(big_daily_table,MATCH(DATE(O$5,$K198,$J198),daily_dates,0),MATCH($B$3,daily_items,0)),NA())</f>
        <v>#N/A</v>
      </c>
      <c r="P198" s="1" t="e">
        <f aca="false">IF(ISBLANK(INDEX(big_daily_table,MATCH(DATE(P$5,$K198,$J198),daily_dates,0),MATCH($B$3,daily_items,0))),NA(),INDEX(big_daily_table,MATCH(DATE(P$5,$K198,$J198),daily_dates,0),MATCH($B$3,daily_items,0)))</f>
        <v>#N/A</v>
      </c>
      <c r="Q198" s="1" t="e">
        <f aca="false">IF(ISBLANK(INDEX(big_daily_table,MATCH(DATE(Q$5,$K198,$J198),daily_dates,0),MATCH($B$3,daily_items,0))),NA(),INDEX(big_daily_table,MATCH(DATE(Q$5,$K198,$J198),daily_dates,0),MATCH($B$3,daily_items,0)))</f>
        <v>#N/A</v>
      </c>
      <c r="R198" s="1" t="e">
        <f aca="false">IF(ISBLANK(INDEX(big_daily_table,MATCH(DATE(R$5,$K198,$J198),daily_dates,0),MATCH($B$3,daily_items,0))),NA(),INDEX(big_daily_table,MATCH(DATE(R$5,$K198,$J198),daily_dates,0),MATCH($B$3,daily_items,0)))</f>
        <v>#N/A</v>
      </c>
      <c r="S198" s="1" t="e">
        <f aca="false">IF(ISBLANK(INDEX(big_daily_table,MATCH(DATE(S$5,$K198,$J198),daily_dates,0),MATCH($B$3,daily_items,0))),NA(),INDEX(big_daily_table,MATCH(DATE(S$5,$K198,$J198),daily_dates,0),MATCH($B$3,daily_items,0)))</f>
        <v>#N/A</v>
      </c>
      <c r="T198" s="1" t="e">
        <f aca="false">IF(ISBLANK(INDEX(big_daily_table,MATCH(DATE(T$5,$K198,$J198),daily_dates,0),MATCH($B$3,daily_items,0))),NA(),INDEX(big_daily_table,MATCH(DATE(T$5,$K198,$J198),daily_dates,0),MATCH($B$3,daily_items,0)))</f>
        <v>#N/A</v>
      </c>
      <c r="U198" s="1" t="e">
        <f aca="false">IF(ISBLANK(INDEX(big_daily_table,MATCH(DATE(U$5,$K198,$J198),daily_dates,0),MATCH($B$3,daily_items,0))),NA(),INDEX(big_daily_table,MATCH(DATE(U$5,$K198,$J198),daily_dates,0),MATCH($B$3,daily_items,0)))</f>
        <v>#N/A</v>
      </c>
      <c r="V198" s="1" t="e">
        <f aca="false">IF(ISBLANK(INDEX(big_daily_table,MATCH(DATE(V$5,$K198,$J198),daily_dates,0),MATCH($B$3,daily_items,0))),NA(),INDEX(big_daily_table,MATCH(DATE(V$5,$K198,$J198),daily_dates,0),MATCH($B$3,daily_items,0)))</f>
        <v>#N/A</v>
      </c>
      <c r="W198" s="1" t="e">
        <f aca="false">IF(ISBLANK(INDEX(big_daily_table,MATCH(DATE(W$5,$K198,$J198),daily_dates,0),MATCH($B$3,daily_items,0))),NA(),INDEX(big_daily_table,MATCH(DATE(W$5,$K198,$J198),daily_dates,0),MATCH($B$3,daily_items,0)))</f>
        <v>#N/A</v>
      </c>
      <c r="X198" s="1" t="e">
        <f aca="false">IF(ISBLANK(INDEX(big_daily_table,MATCH(DATE(X$5,$K198,$J198),daily_dates,0),MATCH($B$3,daily_items,0))),NA(),INDEX(big_daily_table,MATCH(DATE(X$5,$K198,$J198),daily_dates,0),MATCH($B$3,daily_items,0)))</f>
        <v>#N/A</v>
      </c>
      <c r="Y198" s="1" t="e">
        <f aca="false">IF(ISBLANK(INDEX(big_daily_table,MATCH(DATE(Y$5,$K198,$J198),daily_dates,0),MATCH($B$3,daily_items,0))),NA(),INDEX(big_daily_table,MATCH(DATE(Y$5,$K198,$J198),daily_dates,0),MATCH($B$3,daily_items,0)))</f>
        <v>#N/A</v>
      </c>
      <c r="Z198" s="1" t="e">
        <f aca="false">IF(ISBLANK(INDEX(big_daily_table,MATCH(DATE(Z$5,$K198,$J198),daily_dates,0),MATCH($B$3,daily_items,0))),NA(),INDEX(big_daily_table,MATCH(DATE(Z$5,$K198,$J198),daily_dates,0),MATCH($B$3,daily_items,0)))</f>
        <v>#N/A</v>
      </c>
      <c r="AA198" s="1" t="n">
        <f aca="true">_xlfn.AGGREGATE(5,6,OFFSET($S$5,H198,0,1,$K$2))</f>
        <v>0</v>
      </c>
      <c r="AB198" s="1" t="n">
        <f aca="true">_xlfn.AGGREGATE(4,6,OFFSET($S$5,H198,0,1,$K$2))</f>
        <v>0</v>
      </c>
      <c r="AC198" s="1" t="n">
        <f aca="false">AB198-AA198</f>
        <v>0</v>
      </c>
      <c r="AD198" s="1" t="e">
        <f aca="true">_xlfn.AGGREGATE(1,6,OFFSET($S$5,H198,0,1,$K$2))</f>
        <v>#DIV/0!</v>
      </c>
    </row>
    <row r="199" customFormat="false" ht="14.25" hidden="false" customHeight="false" outlineLevel="0" collapsed="false">
      <c r="H199" s="1" t="n">
        <f aca="false">H198+1</f>
        <v>194</v>
      </c>
      <c r="I199" s="1" t="n">
        <f aca="false">WEEKDAY('daily graphs'!K199)</f>
        <v>4</v>
      </c>
      <c r="J199" s="1" t="n">
        <f aca="false">DAY(L199)</f>
        <v>8</v>
      </c>
      <c r="K199" s="1" t="n">
        <f aca="false">MONTH(L199)</f>
        <v>7</v>
      </c>
      <c r="L199" s="23" t="n">
        <f aca="false">'daily graphs'!K199 - I199</f>
        <v>36715</v>
      </c>
      <c r="M199" s="24" t="n">
        <f aca="true">IF(TODAY()&lt;DATE($O$5,K199,J199),1000000,-1000000)</f>
        <v>-1000000</v>
      </c>
      <c r="N199" s="24" t="e">
        <f aca="false">IF(M199&gt;0,INDEX(big_daily_table,MATCH(DATE(O$5,$K199,$J199),daily_dates,0),MATCH($B$3,daily_items,0)),NA())</f>
        <v>#N/A</v>
      </c>
      <c r="O199" s="1" t="e">
        <f aca="false">IF(M199&lt;0,INDEX(big_daily_table,MATCH(DATE(O$5,$K199,$J199),daily_dates,0),MATCH($B$3,daily_items,0)),NA())</f>
        <v>#N/A</v>
      </c>
      <c r="P199" s="1" t="e">
        <f aca="false">IF(ISBLANK(INDEX(big_daily_table,MATCH(DATE(P$5,$K199,$J199),daily_dates,0),MATCH($B$3,daily_items,0))),NA(),INDEX(big_daily_table,MATCH(DATE(P$5,$K199,$J199),daily_dates,0),MATCH($B$3,daily_items,0)))</f>
        <v>#N/A</v>
      </c>
      <c r="Q199" s="1" t="e">
        <f aca="false">IF(ISBLANK(INDEX(big_daily_table,MATCH(DATE(Q$5,$K199,$J199),daily_dates,0),MATCH($B$3,daily_items,0))),NA(),INDEX(big_daily_table,MATCH(DATE(Q$5,$K199,$J199),daily_dates,0),MATCH($B$3,daily_items,0)))</f>
        <v>#N/A</v>
      </c>
      <c r="R199" s="1" t="e">
        <f aca="false">IF(ISBLANK(INDEX(big_daily_table,MATCH(DATE(R$5,$K199,$J199),daily_dates,0),MATCH($B$3,daily_items,0))),NA(),INDEX(big_daily_table,MATCH(DATE(R$5,$K199,$J199),daily_dates,0),MATCH($B$3,daily_items,0)))</f>
        <v>#N/A</v>
      </c>
      <c r="S199" s="1" t="e">
        <f aca="false">IF(ISBLANK(INDEX(big_daily_table,MATCH(DATE(S$5,$K199,$J199),daily_dates,0),MATCH($B$3,daily_items,0))),NA(),INDEX(big_daily_table,MATCH(DATE(S$5,$K199,$J199),daily_dates,0),MATCH($B$3,daily_items,0)))</f>
        <v>#N/A</v>
      </c>
      <c r="T199" s="1" t="e">
        <f aca="false">IF(ISBLANK(INDEX(big_daily_table,MATCH(DATE(T$5,$K199,$J199),daily_dates,0),MATCH($B$3,daily_items,0))),NA(),INDEX(big_daily_table,MATCH(DATE(T$5,$K199,$J199),daily_dates,0),MATCH($B$3,daily_items,0)))</f>
        <v>#N/A</v>
      </c>
      <c r="U199" s="1" t="e">
        <f aca="false">IF(ISBLANK(INDEX(big_daily_table,MATCH(DATE(U$5,$K199,$J199),daily_dates,0),MATCH($B$3,daily_items,0))),NA(),INDEX(big_daily_table,MATCH(DATE(U$5,$K199,$J199),daily_dates,0),MATCH($B$3,daily_items,0)))</f>
        <v>#N/A</v>
      </c>
      <c r="V199" s="1" t="e">
        <f aca="false">IF(ISBLANK(INDEX(big_daily_table,MATCH(DATE(V$5,$K199,$J199),daily_dates,0),MATCH($B$3,daily_items,0))),NA(),INDEX(big_daily_table,MATCH(DATE(V$5,$K199,$J199),daily_dates,0),MATCH($B$3,daily_items,0)))</f>
        <v>#N/A</v>
      </c>
      <c r="W199" s="1" t="e">
        <f aca="false">IF(ISBLANK(INDEX(big_daily_table,MATCH(DATE(W$5,$K199,$J199),daily_dates,0),MATCH($B$3,daily_items,0))),NA(),INDEX(big_daily_table,MATCH(DATE(W$5,$K199,$J199),daily_dates,0),MATCH($B$3,daily_items,0)))</f>
        <v>#N/A</v>
      </c>
      <c r="X199" s="1" t="e">
        <f aca="false">IF(ISBLANK(INDEX(big_daily_table,MATCH(DATE(X$5,$K199,$J199),daily_dates,0),MATCH($B$3,daily_items,0))),NA(),INDEX(big_daily_table,MATCH(DATE(X$5,$K199,$J199),daily_dates,0),MATCH($B$3,daily_items,0)))</f>
        <v>#N/A</v>
      </c>
      <c r="Y199" s="1" t="e">
        <f aca="false">IF(ISBLANK(INDEX(big_daily_table,MATCH(DATE(Y$5,$K199,$J199),daily_dates,0),MATCH($B$3,daily_items,0))),NA(),INDEX(big_daily_table,MATCH(DATE(Y$5,$K199,$J199),daily_dates,0),MATCH($B$3,daily_items,0)))</f>
        <v>#N/A</v>
      </c>
      <c r="Z199" s="1" t="e">
        <f aca="false">IF(ISBLANK(INDEX(big_daily_table,MATCH(DATE(Z$5,$K199,$J199),daily_dates,0),MATCH($B$3,daily_items,0))),NA(),INDEX(big_daily_table,MATCH(DATE(Z$5,$K199,$J199),daily_dates,0),MATCH($B$3,daily_items,0)))</f>
        <v>#N/A</v>
      </c>
      <c r="AA199" s="1" t="n">
        <f aca="true">_xlfn.AGGREGATE(5,6,OFFSET($S$5,H199,0,1,$K$2))</f>
        <v>0</v>
      </c>
      <c r="AB199" s="1" t="n">
        <f aca="true">_xlfn.AGGREGATE(4,6,OFFSET($S$5,H199,0,1,$K$2))</f>
        <v>0</v>
      </c>
      <c r="AC199" s="1" t="n">
        <f aca="false">AB199-AA199</f>
        <v>0</v>
      </c>
      <c r="AD199" s="1" t="e">
        <f aca="true">_xlfn.AGGREGATE(1,6,OFFSET($S$5,H199,0,1,$K$2))</f>
        <v>#DIV/0!</v>
      </c>
    </row>
    <row r="200" customFormat="false" ht="14.25" hidden="false" customHeight="false" outlineLevel="0" collapsed="false">
      <c r="H200" s="1" t="n">
        <f aca="false">H199+1</f>
        <v>195</v>
      </c>
      <c r="I200" s="1" t="n">
        <f aca="false">WEEKDAY('daily graphs'!K200)</f>
        <v>5</v>
      </c>
      <c r="J200" s="1" t="n">
        <f aca="false">DAY(L200)</f>
        <v>8</v>
      </c>
      <c r="K200" s="1" t="n">
        <f aca="false">MONTH(L200)</f>
        <v>7</v>
      </c>
      <c r="L200" s="23" t="n">
        <f aca="false">'daily graphs'!K200 - I200</f>
        <v>36715</v>
      </c>
      <c r="M200" s="24" t="n">
        <f aca="true">IF(TODAY()&lt;DATE($O$5,K200,J200),1000000,-1000000)</f>
        <v>-1000000</v>
      </c>
      <c r="N200" s="24" t="e">
        <f aca="false">IF(M200&gt;0,INDEX(big_daily_table,MATCH(DATE(O$5,$K200,$J200),daily_dates,0),MATCH($B$3,daily_items,0)),NA())</f>
        <v>#N/A</v>
      </c>
      <c r="O200" s="1" t="e">
        <f aca="false">IF(M200&lt;0,INDEX(big_daily_table,MATCH(DATE(O$5,$K200,$J200),daily_dates,0),MATCH($B$3,daily_items,0)),NA())</f>
        <v>#N/A</v>
      </c>
      <c r="P200" s="1" t="e">
        <f aca="false">IF(ISBLANK(INDEX(big_daily_table,MATCH(DATE(P$5,$K200,$J200),daily_dates,0),MATCH($B$3,daily_items,0))),NA(),INDEX(big_daily_table,MATCH(DATE(P$5,$K200,$J200),daily_dates,0),MATCH($B$3,daily_items,0)))</f>
        <v>#N/A</v>
      </c>
      <c r="Q200" s="1" t="e">
        <f aca="false">IF(ISBLANK(INDEX(big_daily_table,MATCH(DATE(Q$5,$K200,$J200),daily_dates,0),MATCH($B$3,daily_items,0))),NA(),INDEX(big_daily_table,MATCH(DATE(Q$5,$K200,$J200),daily_dates,0),MATCH($B$3,daily_items,0)))</f>
        <v>#N/A</v>
      </c>
      <c r="R200" s="1" t="e">
        <f aca="false">IF(ISBLANK(INDEX(big_daily_table,MATCH(DATE(R$5,$K200,$J200),daily_dates,0),MATCH($B$3,daily_items,0))),NA(),INDEX(big_daily_table,MATCH(DATE(R$5,$K200,$J200),daily_dates,0),MATCH($B$3,daily_items,0)))</f>
        <v>#N/A</v>
      </c>
      <c r="S200" s="1" t="e">
        <f aca="false">IF(ISBLANK(INDEX(big_daily_table,MATCH(DATE(S$5,$K200,$J200),daily_dates,0),MATCH($B$3,daily_items,0))),NA(),INDEX(big_daily_table,MATCH(DATE(S$5,$K200,$J200),daily_dates,0),MATCH($B$3,daily_items,0)))</f>
        <v>#N/A</v>
      </c>
      <c r="T200" s="1" t="e">
        <f aca="false">IF(ISBLANK(INDEX(big_daily_table,MATCH(DATE(T$5,$K200,$J200),daily_dates,0),MATCH($B$3,daily_items,0))),NA(),INDEX(big_daily_table,MATCH(DATE(T$5,$K200,$J200),daily_dates,0),MATCH($B$3,daily_items,0)))</f>
        <v>#N/A</v>
      </c>
      <c r="U200" s="1" t="e">
        <f aca="false">IF(ISBLANK(INDEX(big_daily_table,MATCH(DATE(U$5,$K200,$J200),daily_dates,0),MATCH($B$3,daily_items,0))),NA(),INDEX(big_daily_table,MATCH(DATE(U$5,$K200,$J200),daily_dates,0),MATCH($B$3,daily_items,0)))</f>
        <v>#N/A</v>
      </c>
      <c r="V200" s="1" t="e">
        <f aca="false">IF(ISBLANK(INDEX(big_daily_table,MATCH(DATE(V$5,$K200,$J200),daily_dates,0),MATCH($B$3,daily_items,0))),NA(),INDEX(big_daily_table,MATCH(DATE(V$5,$K200,$J200),daily_dates,0),MATCH($B$3,daily_items,0)))</f>
        <v>#N/A</v>
      </c>
      <c r="W200" s="1" t="e">
        <f aca="false">IF(ISBLANK(INDEX(big_daily_table,MATCH(DATE(W$5,$K200,$J200),daily_dates,0),MATCH($B$3,daily_items,0))),NA(),INDEX(big_daily_table,MATCH(DATE(W$5,$K200,$J200),daily_dates,0),MATCH($B$3,daily_items,0)))</f>
        <v>#N/A</v>
      </c>
      <c r="X200" s="1" t="e">
        <f aca="false">IF(ISBLANK(INDEX(big_daily_table,MATCH(DATE(X$5,$K200,$J200),daily_dates,0),MATCH($B$3,daily_items,0))),NA(),INDEX(big_daily_table,MATCH(DATE(X$5,$K200,$J200),daily_dates,0),MATCH($B$3,daily_items,0)))</f>
        <v>#N/A</v>
      </c>
      <c r="Y200" s="1" t="e">
        <f aca="false">IF(ISBLANK(INDEX(big_daily_table,MATCH(DATE(Y$5,$K200,$J200),daily_dates,0),MATCH($B$3,daily_items,0))),NA(),INDEX(big_daily_table,MATCH(DATE(Y$5,$K200,$J200),daily_dates,0),MATCH($B$3,daily_items,0)))</f>
        <v>#N/A</v>
      </c>
      <c r="Z200" s="1" t="e">
        <f aca="false">IF(ISBLANK(INDEX(big_daily_table,MATCH(DATE(Z$5,$K200,$J200),daily_dates,0),MATCH($B$3,daily_items,0))),NA(),INDEX(big_daily_table,MATCH(DATE(Z$5,$K200,$J200),daily_dates,0),MATCH($B$3,daily_items,0)))</f>
        <v>#N/A</v>
      </c>
      <c r="AA200" s="1" t="n">
        <f aca="true">_xlfn.AGGREGATE(5,6,OFFSET($S$5,H200,0,1,$K$2))</f>
        <v>0</v>
      </c>
      <c r="AB200" s="1" t="n">
        <f aca="true">_xlfn.AGGREGATE(4,6,OFFSET($S$5,H200,0,1,$K$2))</f>
        <v>0</v>
      </c>
      <c r="AC200" s="1" t="n">
        <f aca="false">AB200-AA200</f>
        <v>0</v>
      </c>
      <c r="AD200" s="1" t="e">
        <f aca="true">_xlfn.AGGREGATE(1,6,OFFSET($S$5,H200,0,1,$K$2))</f>
        <v>#DIV/0!</v>
      </c>
    </row>
    <row r="201" customFormat="false" ht="14.25" hidden="false" customHeight="false" outlineLevel="0" collapsed="false">
      <c r="H201" s="1" t="n">
        <f aca="false">H200+1</f>
        <v>196</v>
      </c>
      <c r="I201" s="1" t="n">
        <f aca="false">WEEKDAY('daily graphs'!K201)</f>
        <v>6</v>
      </c>
      <c r="J201" s="1" t="n">
        <f aca="false">DAY(L201)</f>
        <v>8</v>
      </c>
      <c r="K201" s="1" t="n">
        <f aca="false">MONTH(L201)</f>
        <v>7</v>
      </c>
      <c r="L201" s="23" t="n">
        <f aca="false">'daily graphs'!K201 - I201</f>
        <v>36715</v>
      </c>
      <c r="M201" s="24" t="n">
        <f aca="true">IF(TODAY()&lt;DATE($O$5,K201,J201),1000000,-1000000)</f>
        <v>-1000000</v>
      </c>
      <c r="N201" s="24" t="e">
        <f aca="false">IF(M201&gt;0,INDEX(big_daily_table,MATCH(DATE(O$5,$K201,$J201),daily_dates,0),MATCH($B$3,daily_items,0)),NA())</f>
        <v>#N/A</v>
      </c>
      <c r="O201" s="1" t="e">
        <f aca="false">IF(M201&lt;0,INDEX(big_daily_table,MATCH(DATE(O$5,$K201,$J201),daily_dates,0),MATCH($B$3,daily_items,0)),NA())</f>
        <v>#N/A</v>
      </c>
      <c r="P201" s="1" t="e">
        <f aca="false">IF(ISBLANK(INDEX(big_daily_table,MATCH(DATE(P$5,$K201,$J201),daily_dates,0),MATCH($B$3,daily_items,0))),NA(),INDEX(big_daily_table,MATCH(DATE(P$5,$K201,$J201),daily_dates,0),MATCH($B$3,daily_items,0)))</f>
        <v>#N/A</v>
      </c>
      <c r="Q201" s="1" t="e">
        <f aca="false">IF(ISBLANK(INDEX(big_daily_table,MATCH(DATE(Q$5,$K201,$J201),daily_dates,0),MATCH($B$3,daily_items,0))),NA(),INDEX(big_daily_table,MATCH(DATE(Q$5,$K201,$J201),daily_dates,0),MATCH($B$3,daily_items,0)))</f>
        <v>#N/A</v>
      </c>
      <c r="R201" s="1" t="e">
        <f aca="false">IF(ISBLANK(INDEX(big_daily_table,MATCH(DATE(R$5,$K201,$J201),daily_dates,0),MATCH($B$3,daily_items,0))),NA(),INDEX(big_daily_table,MATCH(DATE(R$5,$K201,$J201),daily_dates,0),MATCH($B$3,daily_items,0)))</f>
        <v>#N/A</v>
      </c>
      <c r="S201" s="1" t="e">
        <f aca="false">IF(ISBLANK(INDEX(big_daily_table,MATCH(DATE(S$5,$K201,$J201),daily_dates,0),MATCH($B$3,daily_items,0))),NA(),INDEX(big_daily_table,MATCH(DATE(S$5,$K201,$J201),daily_dates,0),MATCH($B$3,daily_items,0)))</f>
        <v>#N/A</v>
      </c>
      <c r="T201" s="1" t="e">
        <f aca="false">IF(ISBLANK(INDEX(big_daily_table,MATCH(DATE(T$5,$K201,$J201),daily_dates,0),MATCH($B$3,daily_items,0))),NA(),INDEX(big_daily_table,MATCH(DATE(T$5,$K201,$J201),daily_dates,0),MATCH($B$3,daily_items,0)))</f>
        <v>#N/A</v>
      </c>
      <c r="U201" s="1" t="e">
        <f aca="false">IF(ISBLANK(INDEX(big_daily_table,MATCH(DATE(U$5,$K201,$J201),daily_dates,0),MATCH($B$3,daily_items,0))),NA(),INDEX(big_daily_table,MATCH(DATE(U$5,$K201,$J201),daily_dates,0),MATCH($B$3,daily_items,0)))</f>
        <v>#N/A</v>
      </c>
      <c r="V201" s="1" t="e">
        <f aca="false">IF(ISBLANK(INDEX(big_daily_table,MATCH(DATE(V$5,$K201,$J201),daily_dates,0),MATCH($B$3,daily_items,0))),NA(),INDEX(big_daily_table,MATCH(DATE(V$5,$K201,$J201),daily_dates,0),MATCH($B$3,daily_items,0)))</f>
        <v>#N/A</v>
      </c>
      <c r="W201" s="1" t="e">
        <f aca="false">IF(ISBLANK(INDEX(big_daily_table,MATCH(DATE(W$5,$K201,$J201),daily_dates,0),MATCH($B$3,daily_items,0))),NA(),INDEX(big_daily_table,MATCH(DATE(W$5,$K201,$J201),daily_dates,0),MATCH($B$3,daily_items,0)))</f>
        <v>#N/A</v>
      </c>
      <c r="X201" s="1" t="e">
        <f aca="false">IF(ISBLANK(INDEX(big_daily_table,MATCH(DATE(X$5,$K201,$J201),daily_dates,0),MATCH($B$3,daily_items,0))),NA(),INDEX(big_daily_table,MATCH(DATE(X$5,$K201,$J201),daily_dates,0),MATCH($B$3,daily_items,0)))</f>
        <v>#N/A</v>
      </c>
      <c r="Y201" s="1" t="e">
        <f aca="false">IF(ISBLANK(INDEX(big_daily_table,MATCH(DATE(Y$5,$K201,$J201),daily_dates,0),MATCH($B$3,daily_items,0))),NA(),INDEX(big_daily_table,MATCH(DATE(Y$5,$K201,$J201),daily_dates,0),MATCH($B$3,daily_items,0)))</f>
        <v>#N/A</v>
      </c>
      <c r="Z201" s="1" t="e">
        <f aca="false">IF(ISBLANK(INDEX(big_daily_table,MATCH(DATE(Z$5,$K201,$J201),daily_dates,0),MATCH($B$3,daily_items,0))),NA(),INDEX(big_daily_table,MATCH(DATE(Z$5,$K201,$J201),daily_dates,0),MATCH($B$3,daily_items,0)))</f>
        <v>#N/A</v>
      </c>
      <c r="AA201" s="1" t="n">
        <f aca="true">_xlfn.AGGREGATE(5,6,OFFSET($S$5,H201,0,1,$K$2))</f>
        <v>0</v>
      </c>
      <c r="AB201" s="1" t="n">
        <f aca="true">_xlfn.AGGREGATE(4,6,OFFSET($S$5,H201,0,1,$K$2))</f>
        <v>0</v>
      </c>
      <c r="AC201" s="1" t="n">
        <f aca="false">AB201-AA201</f>
        <v>0</v>
      </c>
      <c r="AD201" s="1" t="e">
        <f aca="true">_xlfn.AGGREGATE(1,6,OFFSET($S$5,H201,0,1,$K$2))</f>
        <v>#DIV/0!</v>
      </c>
    </row>
    <row r="202" customFormat="false" ht="14.25" hidden="false" customHeight="false" outlineLevel="0" collapsed="false">
      <c r="H202" s="1" t="n">
        <f aca="false">H201+1</f>
        <v>197</v>
      </c>
      <c r="I202" s="1" t="n">
        <f aca="false">WEEKDAY('daily graphs'!K202)</f>
        <v>7</v>
      </c>
      <c r="J202" s="1" t="n">
        <f aca="false">DAY(L202)</f>
        <v>8</v>
      </c>
      <c r="K202" s="1" t="n">
        <f aca="false">MONTH(L202)</f>
        <v>7</v>
      </c>
      <c r="L202" s="23" t="n">
        <f aca="false">'daily graphs'!K202 - I202</f>
        <v>36715</v>
      </c>
      <c r="M202" s="24" t="n">
        <f aca="true">IF(TODAY()&lt;DATE($O$5,K202,J202),1000000,-1000000)</f>
        <v>-1000000</v>
      </c>
      <c r="N202" s="24" t="e">
        <f aca="false">IF(M202&gt;0,INDEX(big_daily_table,MATCH(DATE(O$5,$K202,$J202),daily_dates,0),MATCH($B$3,daily_items,0)),NA())</f>
        <v>#N/A</v>
      </c>
      <c r="O202" s="1" t="e">
        <f aca="false">IF(M202&lt;0,INDEX(big_daily_table,MATCH(DATE(O$5,$K202,$J202),daily_dates,0),MATCH($B$3,daily_items,0)),NA())</f>
        <v>#N/A</v>
      </c>
      <c r="P202" s="1" t="e">
        <f aca="false">IF(ISBLANK(INDEX(big_daily_table,MATCH(DATE(P$5,$K202,$J202),daily_dates,0),MATCH($B$3,daily_items,0))),NA(),INDEX(big_daily_table,MATCH(DATE(P$5,$K202,$J202),daily_dates,0),MATCH($B$3,daily_items,0)))</f>
        <v>#N/A</v>
      </c>
      <c r="Q202" s="1" t="e">
        <f aca="false">IF(ISBLANK(INDEX(big_daily_table,MATCH(DATE(Q$5,$K202,$J202),daily_dates,0),MATCH($B$3,daily_items,0))),NA(),INDEX(big_daily_table,MATCH(DATE(Q$5,$K202,$J202),daily_dates,0),MATCH($B$3,daily_items,0)))</f>
        <v>#N/A</v>
      </c>
      <c r="R202" s="1" t="e">
        <f aca="false">IF(ISBLANK(INDEX(big_daily_table,MATCH(DATE(R$5,$K202,$J202),daily_dates,0),MATCH($B$3,daily_items,0))),NA(),INDEX(big_daily_table,MATCH(DATE(R$5,$K202,$J202),daily_dates,0),MATCH($B$3,daily_items,0)))</f>
        <v>#N/A</v>
      </c>
      <c r="S202" s="1" t="e">
        <f aca="false">IF(ISBLANK(INDEX(big_daily_table,MATCH(DATE(S$5,$K202,$J202),daily_dates,0),MATCH($B$3,daily_items,0))),NA(),INDEX(big_daily_table,MATCH(DATE(S$5,$K202,$J202),daily_dates,0),MATCH($B$3,daily_items,0)))</f>
        <v>#N/A</v>
      </c>
      <c r="T202" s="1" t="e">
        <f aca="false">IF(ISBLANK(INDEX(big_daily_table,MATCH(DATE(T$5,$K202,$J202),daily_dates,0),MATCH($B$3,daily_items,0))),NA(),INDEX(big_daily_table,MATCH(DATE(T$5,$K202,$J202),daily_dates,0),MATCH($B$3,daily_items,0)))</f>
        <v>#N/A</v>
      </c>
      <c r="U202" s="1" t="e">
        <f aca="false">IF(ISBLANK(INDEX(big_daily_table,MATCH(DATE(U$5,$K202,$J202),daily_dates,0),MATCH($B$3,daily_items,0))),NA(),INDEX(big_daily_table,MATCH(DATE(U$5,$K202,$J202),daily_dates,0),MATCH($B$3,daily_items,0)))</f>
        <v>#N/A</v>
      </c>
      <c r="V202" s="1" t="e">
        <f aca="false">IF(ISBLANK(INDEX(big_daily_table,MATCH(DATE(V$5,$K202,$J202),daily_dates,0),MATCH($B$3,daily_items,0))),NA(),INDEX(big_daily_table,MATCH(DATE(V$5,$K202,$J202),daily_dates,0),MATCH($B$3,daily_items,0)))</f>
        <v>#N/A</v>
      </c>
      <c r="W202" s="1" t="e">
        <f aca="false">IF(ISBLANK(INDEX(big_daily_table,MATCH(DATE(W$5,$K202,$J202),daily_dates,0),MATCH($B$3,daily_items,0))),NA(),INDEX(big_daily_table,MATCH(DATE(W$5,$K202,$J202),daily_dates,0),MATCH($B$3,daily_items,0)))</f>
        <v>#N/A</v>
      </c>
      <c r="X202" s="1" t="e">
        <f aca="false">IF(ISBLANK(INDEX(big_daily_table,MATCH(DATE(X$5,$K202,$J202),daily_dates,0),MATCH($B$3,daily_items,0))),NA(),INDEX(big_daily_table,MATCH(DATE(X$5,$K202,$J202),daily_dates,0),MATCH($B$3,daily_items,0)))</f>
        <v>#N/A</v>
      </c>
      <c r="Y202" s="1" t="e">
        <f aca="false">IF(ISBLANK(INDEX(big_daily_table,MATCH(DATE(Y$5,$K202,$J202),daily_dates,0),MATCH($B$3,daily_items,0))),NA(),INDEX(big_daily_table,MATCH(DATE(Y$5,$K202,$J202),daily_dates,0),MATCH($B$3,daily_items,0)))</f>
        <v>#N/A</v>
      </c>
      <c r="Z202" s="1" t="e">
        <f aca="false">IF(ISBLANK(INDEX(big_daily_table,MATCH(DATE(Z$5,$K202,$J202),daily_dates,0),MATCH($B$3,daily_items,0))),NA(),INDEX(big_daily_table,MATCH(DATE(Z$5,$K202,$J202),daily_dates,0),MATCH($B$3,daily_items,0)))</f>
        <v>#N/A</v>
      </c>
      <c r="AA202" s="1" t="n">
        <f aca="true">_xlfn.AGGREGATE(5,6,OFFSET($S$5,H202,0,1,$K$2))</f>
        <v>0</v>
      </c>
      <c r="AB202" s="1" t="n">
        <f aca="true">_xlfn.AGGREGATE(4,6,OFFSET($S$5,H202,0,1,$K$2))</f>
        <v>0</v>
      </c>
      <c r="AC202" s="1" t="n">
        <f aca="false">AB202-AA202</f>
        <v>0</v>
      </c>
      <c r="AD202" s="1" t="e">
        <f aca="true">_xlfn.AGGREGATE(1,6,OFFSET($S$5,H202,0,1,$K$2))</f>
        <v>#DIV/0!</v>
      </c>
    </row>
    <row r="203" customFormat="false" ht="14.25" hidden="false" customHeight="false" outlineLevel="0" collapsed="false">
      <c r="H203" s="1" t="n">
        <f aca="false">H202+1</f>
        <v>198</v>
      </c>
      <c r="I203" s="1" t="n">
        <f aca="false">WEEKDAY('daily graphs'!K203)</f>
        <v>1</v>
      </c>
      <c r="J203" s="1" t="n">
        <f aca="false">DAY(L203)</f>
        <v>15</v>
      </c>
      <c r="K203" s="1" t="n">
        <f aca="false">MONTH(L203)</f>
        <v>7</v>
      </c>
      <c r="L203" s="23" t="n">
        <f aca="false">'daily graphs'!K203 - I203</f>
        <v>36722</v>
      </c>
      <c r="M203" s="24" t="n">
        <f aca="true">IF(TODAY()&lt;DATE($O$5,K203,J203),1000000,-1000000)</f>
        <v>-1000000</v>
      </c>
      <c r="N203" s="24" t="e">
        <f aca="false">IF(M203&gt;0,INDEX(big_daily_table,MATCH(DATE(O$5,$K203,$J203),daily_dates,0),MATCH($B$3,daily_items,0)),NA())</f>
        <v>#N/A</v>
      </c>
      <c r="O203" s="1" t="e">
        <f aca="false">IF(M203&lt;0,INDEX(big_daily_table,MATCH(DATE(O$5,$K203,$J203),daily_dates,0),MATCH($B$3,daily_items,0)),NA())</f>
        <v>#N/A</v>
      </c>
      <c r="P203" s="1" t="e">
        <f aca="false">IF(ISBLANK(INDEX(big_daily_table,MATCH(DATE(P$5,$K203,$J203),daily_dates,0),MATCH($B$3,daily_items,0))),NA(),INDEX(big_daily_table,MATCH(DATE(P$5,$K203,$J203),daily_dates,0),MATCH($B$3,daily_items,0)))</f>
        <v>#N/A</v>
      </c>
      <c r="Q203" s="1" t="e">
        <f aca="false">IF(ISBLANK(INDEX(big_daily_table,MATCH(DATE(Q$5,$K203,$J203),daily_dates,0),MATCH($B$3,daily_items,0))),NA(),INDEX(big_daily_table,MATCH(DATE(Q$5,$K203,$J203),daily_dates,0),MATCH($B$3,daily_items,0)))</f>
        <v>#N/A</v>
      </c>
      <c r="R203" s="1" t="e">
        <f aca="false">IF(ISBLANK(INDEX(big_daily_table,MATCH(DATE(R$5,$K203,$J203),daily_dates,0),MATCH($B$3,daily_items,0))),NA(),INDEX(big_daily_table,MATCH(DATE(R$5,$K203,$J203),daily_dates,0),MATCH($B$3,daily_items,0)))</f>
        <v>#N/A</v>
      </c>
      <c r="S203" s="1" t="e">
        <f aca="false">IF(ISBLANK(INDEX(big_daily_table,MATCH(DATE(S$5,$K203,$J203),daily_dates,0),MATCH($B$3,daily_items,0))),NA(),INDEX(big_daily_table,MATCH(DATE(S$5,$K203,$J203),daily_dates,0),MATCH($B$3,daily_items,0)))</f>
        <v>#N/A</v>
      </c>
      <c r="T203" s="1" t="e">
        <f aca="false">IF(ISBLANK(INDEX(big_daily_table,MATCH(DATE(T$5,$K203,$J203),daily_dates,0),MATCH($B$3,daily_items,0))),NA(),INDEX(big_daily_table,MATCH(DATE(T$5,$K203,$J203),daily_dates,0),MATCH($B$3,daily_items,0)))</f>
        <v>#N/A</v>
      </c>
      <c r="U203" s="1" t="e">
        <f aca="false">IF(ISBLANK(INDEX(big_daily_table,MATCH(DATE(U$5,$K203,$J203),daily_dates,0),MATCH($B$3,daily_items,0))),NA(),INDEX(big_daily_table,MATCH(DATE(U$5,$K203,$J203),daily_dates,0),MATCH($B$3,daily_items,0)))</f>
        <v>#N/A</v>
      </c>
      <c r="V203" s="1" t="e">
        <f aca="false">IF(ISBLANK(INDEX(big_daily_table,MATCH(DATE(V$5,$K203,$J203),daily_dates,0),MATCH($B$3,daily_items,0))),NA(),INDEX(big_daily_table,MATCH(DATE(V$5,$K203,$J203),daily_dates,0),MATCH($B$3,daily_items,0)))</f>
        <v>#N/A</v>
      </c>
      <c r="W203" s="1" t="e">
        <f aca="false">IF(ISBLANK(INDEX(big_daily_table,MATCH(DATE(W$5,$K203,$J203),daily_dates,0),MATCH($B$3,daily_items,0))),NA(),INDEX(big_daily_table,MATCH(DATE(W$5,$K203,$J203),daily_dates,0),MATCH($B$3,daily_items,0)))</f>
        <v>#N/A</v>
      </c>
      <c r="X203" s="1" t="e">
        <f aca="false">IF(ISBLANK(INDEX(big_daily_table,MATCH(DATE(X$5,$K203,$J203),daily_dates,0),MATCH($B$3,daily_items,0))),NA(),INDEX(big_daily_table,MATCH(DATE(X$5,$K203,$J203),daily_dates,0),MATCH($B$3,daily_items,0)))</f>
        <v>#N/A</v>
      </c>
      <c r="Y203" s="1" t="e">
        <f aca="false">IF(ISBLANK(INDEX(big_daily_table,MATCH(DATE(Y$5,$K203,$J203),daily_dates,0),MATCH($B$3,daily_items,0))),NA(),INDEX(big_daily_table,MATCH(DATE(Y$5,$K203,$J203),daily_dates,0),MATCH($B$3,daily_items,0)))</f>
        <v>#N/A</v>
      </c>
      <c r="Z203" s="1" t="e">
        <f aca="false">IF(ISBLANK(INDEX(big_daily_table,MATCH(DATE(Z$5,$K203,$J203),daily_dates,0),MATCH($B$3,daily_items,0))),NA(),INDEX(big_daily_table,MATCH(DATE(Z$5,$K203,$J203),daily_dates,0),MATCH($B$3,daily_items,0)))</f>
        <v>#N/A</v>
      </c>
      <c r="AA203" s="1" t="n">
        <f aca="true">_xlfn.AGGREGATE(5,6,OFFSET($S$5,H203,0,1,$K$2))</f>
        <v>0</v>
      </c>
      <c r="AB203" s="1" t="n">
        <f aca="true">_xlfn.AGGREGATE(4,6,OFFSET($S$5,H203,0,1,$K$2))</f>
        <v>0</v>
      </c>
      <c r="AC203" s="1" t="n">
        <f aca="false">AB203-AA203</f>
        <v>0</v>
      </c>
      <c r="AD203" s="1" t="e">
        <f aca="true">_xlfn.AGGREGATE(1,6,OFFSET($S$5,H203,0,1,$K$2))</f>
        <v>#DIV/0!</v>
      </c>
    </row>
    <row r="204" customFormat="false" ht="14.25" hidden="false" customHeight="false" outlineLevel="0" collapsed="false">
      <c r="H204" s="1" t="n">
        <f aca="false">H203+1</f>
        <v>199</v>
      </c>
      <c r="I204" s="1" t="n">
        <f aca="false">WEEKDAY('daily graphs'!K204)</f>
        <v>2</v>
      </c>
      <c r="J204" s="1" t="n">
        <f aca="false">DAY(L204)</f>
        <v>15</v>
      </c>
      <c r="K204" s="1" t="n">
        <f aca="false">MONTH(L204)</f>
        <v>7</v>
      </c>
      <c r="L204" s="23" t="n">
        <f aca="false">'daily graphs'!K204 - I204</f>
        <v>36722</v>
      </c>
      <c r="M204" s="24" t="n">
        <f aca="true">IF(TODAY()&lt;DATE($O$5,K204,J204),1000000,-1000000)</f>
        <v>-1000000</v>
      </c>
      <c r="N204" s="24" t="e">
        <f aca="false">IF(M204&gt;0,INDEX(big_daily_table,MATCH(DATE(O$5,$K204,$J204),daily_dates,0),MATCH($B$3,daily_items,0)),NA())</f>
        <v>#N/A</v>
      </c>
      <c r="O204" s="1" t="e">
        <f aca="false">IF(M204&lt;0,INDEX(big_daily_table,MATCH(DATE(O$5,$K204,$J204),daily_dates,0),MATCH($B$3,daily_items,0)),NA())</f>
        <v>#N/A</v>
      </c>
      <c r="P204" s="1" t="e">
        <f aca="false">IF(ISBLANK(INDEX(big_daily_table,MATCH(DATE(P$5,$K204,$J204),daily_dates,0),MATCH($B$3,daily_items,0))),NA(),INDEX(big_daily_table,MATCH(DATE(P$5,$K204,$J204),daily_dates,0),MATCH($B$3,daily_items,0)))</f>
        <v>#N/A</v>
      </c>
      <c r="Q204" s="1" t="e">
        <f aca="false">IF(ISBLANK(INDEX(big_daily_table,MATCH(DATE(Q$5,$K204,$J204),daily_dates,0),MATCH($B$3,daily_items,0))),NA(),INDEX(big_daily_table,MATCH(DATE(Q$5,$K204,$J204),daily_dates,0),MATCH($B$3,daily_items,0)))</f>
        <v>#N/A</v>
      </c>
      <c r="R204" s="1" t="e">
        <f aca="false">IF(ISBLANK(INDEX(big_daily_table,MATCH(DATE(R$5,$K204,$J204),daily_dates,0),MATCH($B$3,daily_items,0))),NA(),INDEX(big_daily_table,MATCH(DATE(R$5,$K204,$J204),daily_dates,0),MATCH($B$3,daily_items,0)))</f>
        <v>#N/A</v>
      </c>
      <c r="S204" s="1" t="e">
        <f aca="false">IF(ISBLANK(INDEX(big_daily_table,MATCH(DATE(S$5,$K204,$J204),daily_dates,0),MATCH($B$3,daily_items,0))),NA(),INDEX(big_daily_table,MATCH(DATE(S$5,$K204,$J204),daily_dates,0),MATCH($B$3,daily_items,0)))</f>
        <v>#N/A</v>
      </c>
      <c r="T204" s="1" t="e">
        <f aca="false">IF(ISBLANK(INDEX(big_daily_table,MATCH(DATE(T$5,$K204,$J204),daily_dates,0),MATCH($B$3,daily_items,0))),NA(),INDEX(big_daily_table,MATCH(DATE(T$5,$K204,$J204),daily_dates,0),MATCH($B$3,daily_items,0)))</f>
        <v>#N/A</v>
      </c>
      <c r="U204" s="1" t="e">
        <f aca="false">IF(ISBLANK(INDEX(big_daily_table,MATCH(DATE(U$5,$K204,$J204),daily_dates,0),MATCH($B$3,daily_items,0))),NA(),INDEX(big_daily_table,MATCH(DATE(U$5,$K204,$J204),daily_dates,0),MATCH($B$3,daily_items,0)))</f>
        <v>#N/A</v>
      </c>
      <c r="V204" s="1" t="e">
        <f aca="false">IF(ISBLANK(INDEX(big_daily_table,MATCH(DATE(V$5,$K204,$J204),daily_dates,0),MATCH($B$3,daily_items,0))),NA(),INDEX(big_daily_table,MATCH(DATE(V$5,$K204,$J204),daily_dates,0),MATCH($B$3,daily_items,0)))</f>
        <v>#N/A</v>
      </c>
      <c r="W204" s="1" t="e">
        <f aca="false">IF(ISBLANK(INDEX(big_daily_table,MATCH(DATE(W$5,$K204,$J204),daily_dates,0),MATCH($B$3,daily_items,0))),NA(),INDEX(big_daily_table,MATCH(DATE(W$5,$K204,$J204),daily_dates,0),MATCH($B$3,daily_items,0)))</f>
        <v>#N/A</v>
      </c>
      <c r="X204" s="1" t="e">
        <f aca="false">IF(ISBLANK(INDEX(big_daily_table,MATCH(DATE(X$5,$K204,$J204),daily_dates,0),MATCH($B$3,daily_items,0))),NA(),INDEX(big_daily_table,MATCH(DATE(X$5,$K204,$J204),daily_dates,0),MATCH($B$3,daily_items,0)))</f>
        <v>#N/A</v>
      </c>
      <c r="Y204" s="1" t="e">
        <f aca="false">IF(ISBLANK(INDEX(big_daily_table,MATCH(DATE(Y$5,$K204,$J204),daily_dates,0),MATCH($B$3,daily_items,0))),NA(),INDEX(big_daily_table,MATCH(DATE(Y$5,$K204,$J204),daily_dates,0),MATCH($B$3,daily_items,0)))</f>
        <v>#N/A</v>
      </c>
      <c r="Z204" s="1" t="e">
        <f aca="false">IF(ISBLANK(INDEX(big_daily_table,MATCH(DATE(Z$5,$K204,$J204),daily_dates,0),MATCH($B$3,daily_items,0))),NA(),INDEX(big_daily_table,MATCH(DATE(Z$5,$K204,$J204),daily_dates,0),MATCH($B$3,daily_items,0)))</f>
        <v>#N/A</v>
      </c>
      <c r="AA204" s="1" t="n">
        <f aca="true">_xlfn.AGGREGATE(5,6,OFFSET($S$5,H204,0,1,$K$2))</f>
        <v>0</v>
      </c>
      <c r="AB204" s="1" t="n">
        <f aca="true">_xlfn.AGGREGATE(4,6,OFFSET($S$5,H204,0,1,$K$2))</f>
        <v>0</v>
      </c>
      <c r="AC204" s="1" t="n">
        <f aca="false">AB204-AA204</f>
        <v>0</v>
      </c>
      <c r="AD204" s="1" t="e">
        <f aca="true">_xlfn.AGGREGATE(1,6,OFFSET($S$5,H204,0,1,$K$2))</f>
        <v>#DIV/0!</v>
      </c>
    </row>
    <row r="205" customFormat="false" ht="14.25" hidden="false" customHeight="false" outlineLevel="0" collapsed="false">
      <c r="H205" s="1" t="n">
        <f aca="false">H204+1</f>
        <v>200</v>
      </c>
      <c r="I205" s="1" t="n">
        <f aca="false">WEEKDAY('daily graphs'!K205)</f>
        <v>3</v>
      </c>
      <c r="J205" s="1" t="n">
        <f aca="false">DAY(L205)</f>
        <v>15</v>
      </c>
      <c r="K205" s="1" t="n">
        <f aca="false">MONTH(L205)</f>
        <v>7</v>
      </c>
      <c r="L205" s="23" t="n">
        <f aca="false">'daily graphs'!K205 - I205</f>
        <v>36722</v>
      </c>
      <c r="M205" s="24" t="n">
        <f aca="true">IF(TODAY()&lt;DATE($O$5,K205,J205),1000000,-1000000)</f>
        <v>-1000000</v>
      </c>
      <c r="N205" s="24" t="e">
        <f aca="false">IF(M205&gt;0,INDEX(big_daily_table,MATCH(DATE(O$5,$K205,$J205),daily_dates,0),MATCH($B$3,daily_items,0)),NA())</f>
        <v>#N/A</v>
      </c>
      <c r="O205" s="1" t="e">
        <f aca="false">IF(M205&lt;0,INDEX(big_daily_table,MATCH(DATE(O$5,$K205,$J205),daily_dates,0),MATCH($B$3,daily_items,0)),NA())</f>
        <v>#N/A</v>
      </c>
      <c r="P205" s="1" t="e">
        <f aca="false">IF(ISBLANK(INDEX(big_daily_table,MATCH(DATE(P$5,$K205,$J205),daily_dates,0),MATCH($B$3,daily_items,0))),NA(),INDEX(big_daily_table,MATCH(DATE(P$5,$K205,$J205),daily_dates,0),MATCH($B$3,daily_items,0)))</f>
        <v>#N/A</v>
      </c>
      <c r="Q205" s="1" t="e">
        <f aca="false">IF(ISBLANK(INDEX(big_daily_table,MATCH(DATE(Q$5,$K205,$J205),daily_dates,0),MATCH($B$3,daily_items,0))),NA(),INDEX(big_daily_table,MATCH(DATE(Q$5,$K205,$J205),daily_dates,0),MATCH($B$3,daily_items,0)))</f>
        <v>#N/A</v>
      </c>
      <c r="R205" s="1" t="e">
        <f aca="false">IF(ISBLANK(INDEX(big_daily_table,MATCH(DATE(R$5,$K205,$J205),daily_dates,0),MATCH($B$3,daily_items,0))),NA(),INDEX(big_daily_table,MATCH(DATE(R$5,$K205,$J205),daily_dates,0),MATCH($B$3,daily_items,0)))</f>
        <v>#N/A</v>
      </c>
      <c r="S205" s="1" t="e">
        <f aca="false">IF(ISBLANK(INDEX(big_daily_table,MATCH(DATE(S$5,$K205,$J205),daily_dates,0),MATCH($B$3,daily_items,0))),NA(),INDEX(big_daily_table,MATCH(DATE(S$5,$K205,$J205),daily_dates,0),MATCH($B$3,daily_items,0)))</f>
        <v>#N/A</v>
      </c>
      <c r="T205" s="1" t="e">
        <f aca="false">IF(ISBLANK(INDEX(big_daily_table,MATCH(DATE(T$5,$K205,$J205),daily_dates,0),MATCH($B$3,daily_items,0))),NA(),INDEX(big_daily_table,MATCH(DATE(T$5,$K205,$J205),daily_dates,0),MATCH($B$3,daily_items,0)))</f>
        <v>#N/A</v>
      </c>
      <c r="U205" s="1" t="e">
        <f aca="false">IF(ISBLANK(INDEX(big_daily_table,MATCH(DATE(U$5,$K205,$J205),daily_dates,0),MATCH($B$3,daily_items,0))),NA(),INDEX(big_daily_table,MATCH(DATE(U$5,$K205,$J205),daily_dates,0),MATCH($B$3,daily_items,0)))</f>
        <v>#N/A</v>
      </c>
      <c r="V205" s="1" t="e">
        <f aca="false">IF(ISBLANK(INDEX(big_daily_table,MATCH(DATE(V$5,$K205,$J205),daily_dates,0),MATCH($B$3,daily_items,0))),NA(),INDEX(big_daily_table,MATCH(DATE(V$5,$K205,$J205),daily_dates,0),MATCH($B$3,daily_items,0)))</f>
        <v>#N/A</v>
      </c>
      <c r="W205" s="1" t="e">
        <f aca="false">IF(ISBLANK(INDEX(big_daily_table,MATCH(DATE(W$5,$K205,$J205),daily_dates,0),MATCH($B$3,daily_items,0))),NA(),INDEX(big_daily_table,MATCH(DATE(W$5,$K205,$J205),daily_dates,0),MATCH($B$3,daily_items,0)))</f>
        <v>#N/A</v>
      </c>
      <c r="X205" s="1" t="e">
        <f aca="false">IF(ISBLANK(INDEX(big_daily_table,MATCH(DATE(X$5,$K205,$J205),daily_dates,0),MATCH($B$3,daily_items,0))),NA(),INDEX(big_daily_table,MATCH(DATE(X$5,$K205,$J205),daily_dates,0),MATCH($B$3,daily_items,0)))</f>
        <v>#N/A</v>
      </c>
      <c r="Y205" s="1" t="e">
        <f aca="false">IF(ISBLANK(INDEX(big_daily_table,MATCH(DATE(Y$5,$K205,$J205),daily_dates,0),MATCH($B$3,daily_items,0))),NA(),INDEX(big_daily_table,MATCH(DATE(Y$5,$K205,$J205),daily_dates,0),MATCH($B$3,daily_items,0)))</f>
        <v>#N/A</v>
      </c>
      <c r="Z205" s="1" t="e">
        <f aca="false">IF(ISBLANK(INDEX(big_daily_table,MATCH(DATE(Z$5,$K205,$J205),daily_dates,0),MATCH($B$3,daily_items,0))),NA(),INDEX(big_daily_table,MATCH(DATE(Z$5,$K205,$J205),daily_dates,0),MATCH($B$3,daily_items,0)))</f>
        <v>#N/A</v>
      </c>
      <c r="AA205" s="1" t="n">
        <f aca="true">_xlfn.AGGREGATE(5,6,OFFSET($S$5,H205,0,1,$K$2))</f>
        <v>0</v>
      </c>
      <c r="AB205" s="1" t="n">
        <f aca="true">_xlfn.AGGREGATE(4,6,OFFSET($S$5,H205,0,1,$K$2))</f>
        <v>0</v>
      </c>
      <c r="AC205" s="1" t="n">
        <f aca="false">AB205-AA205</f>
        <v>0</v>
      </c>
      <c r="AD205" s="1" t="e">
        <f aca="true">_xlfn.AGGREGATE(1,6,OFFSET($S$5,H205,0,1,$K$2))</f>
        <v>#DIV/0!</v>
      </c>
    </row>
    <row r="206" customFormat="false" ht="14.25" hidden="false" customHeight="false" outlineLevel="0" collapsed="false">
      <c r="H206" s="1" t="n">
        <f aca="false">H205+1</f>
        <v>201</v>
      </c>
      <c r="I206" s="1" t="n">
        <f aca="false">WEEKDAY('daily graphs'!K206)</f>
        <v>4</v>
      </c>
      <c r="J206" s="1" t="n">
        <f aca="false">DAY(L206)</f>
        <v>15</v>
      </c>
      <c r="K206" s="1" t="n">
        <f aca="false">MONTH(L206)</f>
        <v>7</v>
      </c>
      <c r="L206" s="23" t="n">
        <f aca="false">'daily graphs'!K206 - I206</f>
        <v>36722</v>
      </c>
      <c r="M206" s="24" t="n">
        <f aca="true">IF(TODAY()&lt;DATE($O$5,K206,J206),1000000,-1000000)</f>
        <v>-1000000</v>
      </c>
      <c r="N206" s="24" t="e">
        <f aca="false">IF(M206&gt;0,INDEX(big_daily_table,MATCH(DATE(O$5,$K206,$J206),daily_dates,0),MATCH($B$3,daily_items,0)),NA())</f>
        <v>#N/A</v>
      </c>
      <c r="O206" s="1" t="e">
        <f aca="false">IF(M206&lt;0,INDEX(big_daily_table,MATCH(DATE(O$5,$K206,$J206),daily_dates,0),MATCH($B$3,daily_items,0)),NA())</f>
        <v>#N/A</v>
      </c>
      <c r="P206" s="1" t="e">
        <f aca="false">IF(ISBLANK(INDEX(big_daily_table,MATCH(DATE(P$5,$K206,$J206),daily_dates,0),MATCH($B$3,daily_items,0))),NA(),INDEX(big_daily_table,MATCH(DATE(P$5,$K206,$J206),daily_dates,0),MATCH($B$3,daily_items,0)))</f>
        <v>#N/A</v>
      </c>
      <c r="Q206" s="1" t="e">
        <f aca="false">IF(ISBLANK(INDEX(big_daily_table,MATCH(DATE(Q$5,$K206,$J206),daily_dates,0),MATCH($B$3,daily_items,0))),NA(),INDEX(big_daily_table,MATCH(DATE(Q$5,$K206,$J206),daily_dates,0),MATCH($B$3,daily_items,0)))</f>
        <v>#N/A</v>
      </c>
      <c r="R206" s="1" t="e">
        <f aca="false">IF(ISBLANK(INDEX(big_daily_table,MATCH(DATE(R$5,$K206,$J206),daily_dates,0),MATCH($B$3,daily_items,0))),NA(),INDEX(big_daily_table,MATCH(DATE(R$5,$K206,$J206),daily_dates,0),MATCH($B$3,daily_items,0)))</f>
        <v>#N/A</v>
      </c>
      <c r="S206" s="1" t="e">
        <f aca="false">IF(ISBLANK(INDEX(big_daily_table,MATCH(DATE(S$5,$K206,$J206),daily_dates,0),MATCH($B$3,daily_items,0))),NA(),INDEX(big_daily_table,MATCH(DATE(S$5,$K206,$J206),daily_dates,0),MATCH($B$3,daily_items,0)))</f>
        <v>#N/A</v>
      </c>
      <c r="T206" s="1" t="e">
        <f aca="false">IF(ISBLANK(INDEX(big_daily_table,MATCH(DATE(T$5,$K206,$J206),daily_dates,0),MATCH($B$3,daily_items,0))),NA(),INDEX(big_daily_table,MATCH(DATE(T$5,$K206,$J206),daily_dates,0),MATCH($B$3,daily_items,0)))</f>
        <v>#N/A</v>
      </c>
      <c r="U206" s="1" t="e">
        <f aca="false">IF(ISBLANK(INDEX(big_daily_table,MATCH(DATE(U$5,$K206,$J206),daily_dates,0),MATCH($B$3,daily_items,0))),NA(),INDEX(big_daily_table,MATCH(DATE(U$5,$K206,$J206),daily_dates,0),MATCH($B$3,daily_items,0)))</f>
        <v>#N/A</v>
      </c>
      <c r="V206" s="1" t="e">
        <f aca="false">IF(ISBLANK(INDEX(big_daily_table,MATCH(DATE(V$5,$K206,$J206),daily_dates,0),MATCH($B$3,daily_items,0))),NA(),INDEX(big_daily_table,MATCH(DATE(V$5,$K206,$J206),daily_dates,0),MATCH($B$3,daily_items,0)))</f>
        <v>#N/A</v>
      </c>
      <c r="W206" s="1" t="e">
        <f aca="false">IF(ISBLANK(INDEX(big_daily_table,MATCH(DATE(W$5,$K206,$J206),daily_dates,0),MATCH($B$3,daily_items,0))),NA(),INDEX(big_daily_table,MATCH(DATE(W$5,$K206,$J206),daily_dates,0),MATCH($B$3,daily_items,0)))</f>
        <v>#N/A</v>
      </c>
      <c r="X206" s="1" t="e">
        <f aca="false">IF(ISBLANK(INDEX(big_daily_table,MATCH(DATE(X$5,$K206,$J206),daily_dates,0),MATCH($B$3,daily_items,0))),NA(),INDEX(big_daily_table,MATCH(DATE(X$5,$K206,$J206),daily_dates,0),MATCH($B$3,daily_items,0)))</f>
        <v>#N/A</v>
      </c>
      <c r="Y206" s="1" t="e">
        <f aca="false">IF(ISBLANK(INDEX(big_daily_table,MATCH(DATE(Y$5,$K206,$J206),daily_dates,0),MATCH($B$3,daily_items,0))),NA(),INDEX(big_daily_table,MATCH(DATE(Y$5,$K206,$J206),daily_dates,0),MATCH($B$3,daily_items,0)))</f>
        <v>#N/A</v>
      </c>
      <c r="Z206" s="1" t="e">
        <f aca="false">IF(ISBLANK(INDEX(big_daily_table,MATCH(DATE(Z$5,$K206,$J206),daily_dates,0),MATCH($B$3,daily_items,0))),NA(),INDEX(big_daily_table,MATCH(DATE(Z$5,$K206,$J206),daily_dates,0),MATCH($B$3,daily_items,0)))</f>
        <v>#N/A</v>
      </c>
      <c r="AA206" s="1" t="n">
        <f aca="true">_xlfn.AGGREGATE(5,6,OFFSET($S$5,H206,0,1,$K$2))</f>
        <v>0</v>
      </c>
      <c r="AB206" s="1" t="n">
        <f aca="true">_xlfn.AGGREGATE(4,6,OFFSET($S$5,H206,0,1,$K$2))</f>
        <v>0</v>
      </c>
      <c r="AC206" s="1" t="n">
        <f aca="false">AB206-AA206</f>
        <v>0</v>
      </c>
      <c r="AD206" s="1" t="e">
        <f aca="true">_xlfn.AGGREGATE(1,6,OFFSET($S$5,H206,0,1,$K$2))</f>
        <v>#DIV/0!</v>
      </c>
    </row>
    <row r="207" customFormat="false" ht="14.25" hidden="false" customHeight="false" outlineLevel="0" collapsed="false">
      <c r="H207" s="1" t="n">
        <f aca="false">H206+1</f>
        <v>202</v>
      </c>
      <c r="I207" s="1" t="n">
        <f aca="false">WEEKDAY('daily graphs'!K207)</f>
        <v>5</v>
      </c>
      <c r="J207" s="1" t="n">
        <f aca="false">DAY(L207)</f>
        <v>15</v>
      </c>
      <c r="K207" s="1" t="n">
        <f aca="false">MONTH(L207)</f>
        <v>7</v>
      </c>
      <c r="L207" s="23" t="n">
        <f aca="false">'daily graphs'!K207 - I207</f>
        <v>36722</v>
      </c>
      <c r="M207" s="24" t="n">
        <f aca="true">IF(TODAY()&lt;DATE($O$5,K207,J207),1000000,-1000000)</f>
        <v>-1000000</v>
      </c>
      <c r="N207" s="24" t="e">
        <f aca="false">IF(M207&gt;0,INDEX(big_daily_table,MATCH(DATE(O$5,$K207,$J207),daily_dates,0),MATCH($B$3,daily_items,0)),NA())</f>
        <v>#N/A</v>
      </c>
      <c r="O207" s="1" t="e">
        <f aca="false">IF(M207&lt;0,INDEX(big_daily_table,MATCH(DATE(O$5,$K207,$J207),daily_dates,0),MATCH($B$3,daily_items,0)),NA())</f>
        <v>#N/A</v>
      </c>
      <c r="P207" s="1" t="e">
        <f aca="false">IF(ISBLANK(INDEX(big_daily_table,MATCH(DATE(P$5,$K207,$J207),daily_dates,0),MATCH($B$3,daily_items,0))),NA(),INDEX(big_daily_table,MATCH(DATE(P$5,$K207,$J207),daily_dates,0),MATCH($B$3,daily_items,0)))</f>
        <v>#N/A</v>
      </c>
      <c r="Q207" s="1" t="e">
        <f aca="false">IF(ISBLANK(INDEX(big_daily_table,MATCH(DATE(Q$5,$K207,$J207),daily_dates,0),MATCH($B$3,daily_items,0))),NA(),INDEX(big_daily_table,MATCH(DATE(Q$5,$K207,$J207),daily_dates,0),MATCH($B$3,daily_items,0)))</f>
        <v>#N/A</v>
      </c>
      <c r="R207" s="1" t="e">
        <f aca="false">IF(ISBLANK(INDEX(big_daily_table,MATCH(DATE(R$5,$K207,$J207),daily_dates,0),MATCH($B$3,daily_items,0))),NA(),INDEX(big_daily_table,MATCH(DATE(R$5,$K207,$J207),daily_dates,0),MATCH($B$3,daily_items,0)))</f>
        <v>#N/A</v>
      </c>
      <c r="S207" s="1" t="e">
        <f aca="false">IF(ISBLANK(INDEX(big_daily_table,MATCH(DATE(S$5,$K207,$J207),daily_dates,0),MATCH($B$3,daily_items,0))),NA(),INDEX(big_daily_table,MATCH(DATE(S$5,$K207,$J207),daily_dates,0),MATCH($B$3,daily_items,0)))</f>
        <v>#N/A</v>
      </c>
      <c r="T207" s="1" t="e">
        <f aca="false">IF(ISBLANK(INDEX(big_daily_table,MATCH(DATE(T$5,$K207,$J207),daily_dates,0),MATCH($B$3,daily_items,0))),NA(),INDEX(big_daily_table,MATCH(DATE(T$5,$K207,$J207),daily_dates,0),MATCH($B$3,daily_items,0)))</f>
        <v>#N/A</v>
      </c>
      <c r="U207" s="1" t="e">
        <f aca="false">IF(ISBLANK(INDEX(big_daily_table,MATCH(DATE(U$5,$K207,$J207),daily_dates,0),MATCH($B$3,daily_items,0))),NA(),INDEX(big_daily_table,MATCH(DATE(U$5,$K207,$J207),daily_dates,0),MATCH($B$3,daily_items,0)))</f>
        <v>#N/A</v>
      </c>
      <c r="V207" s="1" t="e">
        <f aca="false">IF(ISBLANK(INDEX(big_daily_table,MATCH(DATE(V$5,$K207,$J207),daily_dates,0),MATCH($B$3,daily_items,0))),NA(),INDEX(big_daily_table,MATCH(DATE(V$5,$K207,$J207),daily_dates,0),MATCH($B$3,daily_items,0)))</f>
        <v>#N/A</v>
      </c>
      <c r="W207" s="1" t="e">
        <f aca="false">IF(ISBLANK(INDEX(big_daily_table,MATCH(DATE(W$5,$K207,$J207),daily_dates,0),MATCH($B$3,daily_items,0))),NA(),INDEX(big_daily_table,MATCH(DATE(W$5,$K207,$J207),daily_dates,0),MATCH($B$3,daily_items,0)))</f>
        <v>#N/A</v>
      </c>
      <c r="X207" s="1" t="e">
        <f aca="false">IF(ISBLANK(INDEX(big_daily_table,MATCH(DATE(X$5,$K207,$J207),daily_dates,0),MATCH($B$3,daily_items,0))),NA(),INDEX(big_daily_table,MATCH(DATE(X$5,$K207,$J207),daily_dates,0),MATCH($B$3,daily_items,0)))</f>
        <v>#N/A</v>
      </c>
      <c r="Y207" s="1" t="e">
        <f aca="false">IF(ISBLANK(INDEX(big_daily_table,MATCH(DATE(Y$5,$K207,$J207),daily_dates,0),MATCH($B$3,daily_items,0))),NA(),INDEX(big_daily_table,MATCH(DATE(Y$5,$K207,$J207),daily_dates,0),MATCH($B$3,daily_items,0)))</f>
        <v>#N/A</v>
      </c>
      <c r="Z207" s="1" t="e">
        <f aca="false">IF(ISBLANK(INDEX(big_daily_table,MATCH(DATE(Z$5,$K207,$J207),daily_dates,0),MATCH($B$3,daily_items,0))),NA(),INDEX(big_daily_table,MATCH(DATE(Z$5,$K207,$J207),daily_dates,0),MATCH($B$3,daily_items,0)))</f>
        <v>#N/A</v>
      </c>
      <c r="AA207" s="1" t="n">
        <f aca="true">_xlfn.AGGREGATE(5,6,OFFSET($S$5,H207,0,1,$K$2))</f>
        <v>0</v>
      </c>
      <c r="AB207" s="1" t="n">
        <f aca="true">_xlfn.AGGREGATE(4,6,OFFSET($S$5,H207,0,1,$K$2))</f>
        <v>0</v>
      </c>
      <c r="AC207" s="1" t="n">
        <f aca="false">AB207-AA207</f>
        <v>0</v>
      </c>
      <c r="AD207" s="1" t="e">
        <f aca="true">_xlfn.AGGREGATE(1,6,OFFSET($S$5,H207,0,1,$K$2))</f>
        <v>#DIV/0!</v>
      </c>
    </row>
    <row r="208" customFormat="false" ht="14.25" hidden="false" customHeight="false" outlineLevel="0" collapsed="false">
      <c r="H208" s="1" t="n">
        <f aca="false">H207+1</f>
        <v>203</v>
      </c>
      <c r="I208" s="1" t="n">
        <f aca="false">WEEKDAY('daily graphs'!K208)</f>
        <v>6</v>
      </c>
      <c r="J208" s="1" t="n">
        <f aca="false">DAY(L208)</f>
        <v>15</v>
      </c>
      <c r="K208" s="1" t="n">
        <f aca="false">MONTH(L208)</f>
        <v>7</v>
      </c>
      <c r="L208" s="23" t="n">
        <f aca="false">'daily graphs'!K208 - I208</f>
        <v>36722</v>
      </c>
      <c r="M208" s="24" t="n">
        <f aca="true">IF(TODAY()&lt;DATE($O$5,K208,J208),1000000,-1000000)</f>
        <v>-1000000</v>
      </c>
      <c r="N208" s="24" t="e">
        <f aca="false">IF(M208&gt;0,INDEX(big_daily_table,MATCH(DATE(O$5,$K208,$J208),daily_dates,0),MATCH($B$3,daily_items,0)),NA())</f>
        <v>#N/A</v>
      </c>
      <c r="O208" s="1" t="e">
        <f aca="false">IF(M208&lt;0,INDEX(big_daily_table,MATCH(DATE(O$5,$K208,$J208),daily_dates,0),MATCH($B$3,daily_items,0)),NA())</f>
        <v>#N/A</v>
      </c>
      <c r="P208" s="1" t="e">
        <f aca="false">IF(ISBLANK(INDEX(big_daily_table,MATCH(DATE(P$5,$K208,$J208),daily_dates,0),MATCH($B$3,daily_items,0))),NA(),INDEX(big_daily_table,MATCH(DATE(P$5,$K208,$J208),daily_dates,0),MATCH($B$3,daily_items,0)))</f>
        <v>#N/A</v>
      </c>
      <c r="Q208" s="1" t="e">
        <f aca="false">IF(ISBLANK(INDEX(big_daily_table,MATCH(DATE(Q$5,$K208,$J208),daily_dates,0),MATCH($B$3,daily_items,0))),NA(),INDEX(big_daily_table,MATCH(DATE(Q$5,$K208,$J208),daily_dates,0),MATCH($B$3,daily_items,0)))</f>
        <v>#N/A</v>
      </c>
      <c r="R208" s="1" t="e">
        <f aca="false">IF(ISBLANK(INDEX(big_daily_table,MATCH(DATE(R$5,$K208,$J208),daily_dates,0),MATCH($B$3,daily_items,0))),NA(),INDEX(big_daily_table,MATCH(DATE(R$5,$K208,$J208),daily_dates,0),MATCH($B$3,daily_items,0)))</f>
        <v>#N/A</v>
      </c>
      <c r="S208" s="1" t="e">
        <f aca="false">IF(ISBLANK(INDEX(big_daily_table,MATCH(DATE(S$5,$K208,$J208),daily_dates,0),MATCH($B$3,daily_items,0))),NA(),INDEX(big_daily_table,MATCH(DATE(S$5,$K208,$J208),daily_dates,0),MATCH($B$3,daily_items,0)))</f>
        <v>#N/A</v>
      </c>
      <c r="T208" s="1" t="e">
        <f aca="false">IF(ISBLANK(INDEX(big_daily_table,MATCH(DATE(T$5,$K208,$J208),daily_dates,0),MATCH($B$3,daily_items,0))),NA(),INDEX(big_daily_table,MATCH(DATE(T$5,$K208,$J208),daily_dates,0),MATCH($B$3,daily_items,0)))</f>
        <v>#N/A</v>
      </c>
      <c r="U208" s="1" t="e">
        <f aca="false">IF(ISBLANK(INDEX(big_daily_table,MATCH(DATE(U$5,$K208,$J208),daily_dates,0),MATCH($B$3,daily_items,0))),NA(),INDEX(big_daily_table,MATCH(DATE(U$5,$K208,$J208),daily_dates,0),MATCH($B$3,daily_items,0)))</f>
        <v>#N/A</v>
      </c>
      <c r="V208" s="1" t="e">
        <f aca="false">IF(ISBLANK(INDEX(big_daily_table,MATCH(DATE(V$5,$K208,$J208),daily_dates,0),MATCH($B$3,daily_items,0))),NA(),INDEX(big_daily_table,MATCH(DATE(V$5,$K208,$J208),daily_dates,0),MATCH($B$3,daily_items,0)))</f>
        <v>#N/A</v>
      </c>
      <c r="W208" s="1" t="e">
        <f aca="false">IF(ISBLANK(INDEX(big_daily_table,MATCH(DATE(W$5,$K208,$J208),daily_dates,0),MATCH($B$3,daily_items,0))),NA(),INDEX(big_daily_table,MATCH(DATE(W$5,$K208,$J208),daily_dates,0),MATCH($B$3,daily_items,0)))</f>
        <v>#N/A</v>
      </c>
      <c r="X208" s="1" t="e">
        <f aca="false">IF(ISBLANK(INDEX(big_daily_table,MATCH(DATE(X$5,$K208,$J208),daily_dates,0),MATCH($B$3,daily_items,0))),NA(),INDEX(big_daily_table,MATCH(DATE(X$5,$K208,$J208),daily_dates,0),MATCH($B$3,daily_items,0)))</f>
        <v>#N/A</v>
      </c>
      <c r="Y208" s="1" t="e">
        <f aca="false">IF(ISBLANK(INDEX(big_daily_table,MATCH(DATE(Y$5,$K208,$J208),daily_dates,0),MATCH($B$3,daily_items,0))),NA(),INDEX(big_daily_table,MATCH(DATE(Y$5,$K208,$J208),daily_dates,0),MATCH($B$3,daily_items,0)))</f>
        <v>#N/A</v>
      </c>
      <c r="Z208" s="1" t="e">
        <f aca="false">IF(ISBLANK(INDEX(big_daily_table,MATCH(DATE(Z$5,$K208,$J208),daily_dates,0),MATCH($B$3,daily_items,0))),NA(),INDEX(big_daily_table,MATCH(DATE(Z$5,$K208,$J208),daily_dates,0),MATCH($B$3,daily_items,0)))</f>
        <v>#N/A</v>
      </c>
      <c r="AA208" s="1" t="n">
        <f aca="true">_xlfn.AGGREGATE(5,6,OFFSET($S$5,H208,0,1,$K$2))</f>
        <v>0</v>
      </c>
      <c r="AB208" s="1" t="n">
        <f aca="true">_xlfn.AGGREGATE(4,6,OFFSET($S$5,H208,0,1,$K$2))</f>
        <v>0</v>
      </c>
      <c r="AC208" s="1" t="n">
        <f aca="false">AB208-AA208</f>
        <v>0</v>
      </c>
      <c r="AD208" s="1" t="e">
        <f aca="true">_xlfn.AGGREGATE(1,6,OFFSET($S$5,H208,0,1,$K$2))</f>
        <v>#DIV/0!</v>
      </c>
    </row>
    <row r="209" customFormat="false" ht="14.25" hidden="false" customHeight="false" outlineLevel="0" collapsed="false">
      <c r="H209" s="1" t="n">
        <f aca="false">H208+1</f>
        <v>204</v>
      </c>
      <c r="I209" s="1" t="n">
        <f aca="false">WEEKDAY('daily graphs'!K209)</f>
        <v>7</v>
      </c>
      <c r="J209" s="1" t="n">
        <f aca="false">DAY(L209)</f>
        <v>15</v>
      </c>
      <c r="K209" s="1" t="n">
        <f aca="false">MONTH(L209)</f>
        <v>7</v>
      </c>
      <c r="L209" s="23" t="n">
        <f aca="false">'daily graphs'!K209 - I209</f>
        <v>36722</v>
      </c>
      <c r="M209" s="24" t="n">
        <f aca="true">IF(TODAY()&lt;DATE($O$5,K209,J209),1000000,-1000000)</f>
        <v>-1000000</v>
      </c>
      <c r="N209" s="24" t="e">
        <f aca="false">IF(M209&gt;0,INDEX(big_daily_table,MATCH(DATE(O$5,$K209,$J209),daily_dates,0),MATCH($B$3,daily_items,0)),NA())</f>
        <v>#N/A</v>
      </c>
      <c r="O209" s="1" t="e">
        <f aca="false">IF(M209&lt;0,INDEX(big_daily_table,MATCH(DATE(O$5,$K209,$J209),daily_dates,0),MATCH($B$3,daily_items,0)),NA())</f>
        <v>#N/A</v>
      </c>
      <c r="P209" s="1" t="e">
        <f aca="false">IF(ISBLANK(INDEX(big_daily_table,MATCH(DATE(P$5,$K209,$J209),daily_dates,0),MATCH($B$3,daily_items,0))),NA(),INDEX(big_daily_table,MATCH(DATE(P$5,$K209,$J209),daily_dates,0),MATCH($B$3,daily_items,0)))</f>
        <v>#N/A</v>
      </c>
      <c r="Q209" s="1" t="e">
        <f aca="false">IF(ISBLANK(INDEX(big_daily_table,MATCH(DATE(Q$5,$K209,$J209),daily_dates,0),MATCH($B$3,daily_items,0))),NA(),INDEX(big_daily_table,MATCH(DATE(Q$5,$K209,$J209),daily_dates,0),MATCH($B$3,daily_items,0)))</f>
        <v>#N/A</v>
      </c>
      <c r="R209" s="1" t="e">
        <f aca="false">IF(ISBLANK(INDEX(big_daily_table,MATCH(DATE(R$5,$K209,$J209),daily_dates,0),MATCH($B$3,daily_items,0))),NA(),INDEX(big_daily_table,MATCH(DATE(R$5,$K209,$J209),daily_dates,0),MATCH($B$3,daily_items,0)))</f>
        <v>#N/A</v>
      </c>
      <c r="S209" s="1" t="e">
        <f aca="false">IF(ISBLANK(INDEX(big_daily_table,MATCH(DATE(S$5,$K209,$J209),daily_dates,0),MATCH($B$3,daily_items,0))),NA(),INDEX(big_daily_table,MATCH(DATE(S$5,$K209,$J209),daily_dates,0),MATCH($B$3,daily_items,0)))</f>
        <v>#N/A</v>
      </c>
      <c r="T209" s="1" t="e">
        <f aca="false">IF(ISBLANK(INDEX(big_daily_table,MATCH(DATE(T$5,$K209,$J209),daily_dates,0),MATCH($B$3,daily_items,0))),NA(),INDEX(big_daily_table,MATCH(DATE(T$5,$K209,$J209),daily_dates,0),MATCH($B$3,daily_items,0)))</f>
        <v>#N/A</v>
      </c>
      <c r="U209" s="1" t="e">
        <f aca="false">IF(ISBLANK(INDEX(big_daily_table,MATCH(DATE(U$5,$K209,$J209),daily_dates,0),MATCH($B$3,daily_items,0))),NA(),INDEX(big_daily_table,MATCH(DATE(U$5,$K209,$J209),daily_dates,0),MATCH($B$3,daily_items,0)))</f>
        <v>#N/A</v>
      </c>
      <c r="V209" s="1" t="e">
        <f aca="false">IF(ISBLANK(INDEX(big_daily_table,MATCH(DATE(V$5,$K209,$J209),daily_dates,0),MATCH($B$3,daily_items,0))),NA(),INDEX(big_daily_table,MATCH(DATE(V$5,$K209,$J209),daily_dates,0),MATCH($B$3,daily_items,0)))</f>
        <v>#N/A</v>
      </c>
      <c r="W209" s="1" t="e">
        <f aca="false">IF(ISBLANK(INDEX(big_daily_table,MATCH(DATE(W$5,$K209,$J209),daily_dates,0),MATCH($B$3,daily_items,0))),NA(),INDEX(big_daily_table,MATCH(DATE(W$5,$K209,$J209),daily_dates,0),MATCH($B$3,daily_items,0)))</f>
        <v>#N/A</v>
      </c>
      <c r="X209" s="1" t="e">
        <f aca="false">IF(ISBLANK(INDEX(big_daily_table,MATCH(DATE(X$5,$K209,$J209),daily_dates,0),MATCH($B$3,daily_items,0))),NA(),INDEX(big_daily_table,MATCH(DATE(X$5,$K209,$J209),daily_dates,0),MATCH($B$3,daily_items,0)))</f>
        <v>#N/A</v>
      </c>
      <c r="Y209" s="1" t="e">
        <f aca="false">IF(ISBLANK(INDEX(big_daily_table,MATCH(DATE(Y$5,$K209,$J209),daily_dates,0),MATCH($B$3,daily_items,0))),NA(),INDEX(big_daily_table,MATCH(DATE(Y$5,$K209,$J209),daily_dates,0),MATCH($B$3,daily_items,0)))</f>
        <v>#N/A</v>
      </c>
      <c r="Z209" s="1" t="e">
        <f aca="false">IF(ISBLANK(INDEX(big_daily_table,MATCH(DATE(Z$5,$K209,$J209),daily_dates,0),MATCH($B$3,daily_items,0))),NA(),INDEX(big_daily_table,MATCH(DATE(Z$5,$K209,$J209),daily_dates,0),MATCH($B$3,daily_items,0)))</f>
        <v>#N/A</v>
      </c>
      <c r="AA209" s="1" t="n">
        <f aca="true">_xlfn.AGGREGATE(5,6,OFFSET($S$5,H209,0,1,$K$2))</f>
        <v>0</v>
      </c>
      <c r="AB209" s="1" t="n">
        <f aca="true">_xlfn.AGGREGATE(4,6,OFFSET($S$5,H209,0,1,$K$2))</f>
        <v>0</v>
      </c>
      <c r="AC209" s="1" t="n">
        <f aca="false">AB209-AA209</f>
        <v>0</v>
      </c>
      <c r="AD209" s="1" t="e">
        <f aca="true">_xlfn.AGGREGATE(1,6,OFFSET($S$5,H209,0,1,$K$2))</f>
        <v>#DIV/0!</v>
      </c>
    </row>
    <row r="210" customFormat="false" ht="14.25" hidden="false" customHeight="false" outlineLevel="0" collapsed="false">
      <c r="H210" s="1" t="n">
        <f aca="false">H209+1</f>
        <v>205</v>
      </c>
      <c r="I210" s="1" t="n">
        <f aca="false">WEEKDAY('daily graphs'!K210)</f>
        <v>1</v>
      </c>
      <c r="J210" s="1" t="n">
        <f aca="false">DAY(L210)</f>
        <v>22</v>
      </c>
      <c r="K210" s="1" t="n">
        <f aca="false">MONTH(L210)</f>
        <v>7</v>
      </c>
      <c r="L210" s="23" t="n">
        <f aca="false">'daily graphs'!K210 - I210</f>
        <v>36729</v>
      </c>
      <c r="M210" s="24" t="n">
        <f aca="true">IF(TODAY()&lt;DATE($O$5,K210,J210),1000000,-1000000)</f>
        <v>-1000000</v>
      </c>
      <c r="N210" s="24" t="e">
        <f aca="false">IF(M210&gt;0,INDEX(big_daily_table,MATCH(DATE(O$5,$K210,$J210),daily_dates,0),MATCH($B$3,daily_items,0)),NA())</f>
        <v>#N/A</v>
      </c>
      <c r="O210" s="1" t="e">
        <f aca="false">IF(M210&lt;0,INDEX(big_daily_table,MATCH(DATE(O$5,$K210,$J210),daily_dates,0),MATCH($B$3,daily_items,0)),NA())</f>
        <v>#N/A</v>
      </c>
      <c r="P210" s="1" t="e">
        <f aca="false">IF(ISBLANK(INDEX(big_daily_table,MATCH(DATE(P$5,$K210,$J210),daily_dates,0),MATCH($B$3,daily_items,0))),NA(),INDEX(big_daily_table,MATCH(DATE(P$5,$K210,$J210),daily_dates,0),MATCH($B$3,daily_items,0)))</f>
        <v>#N/A</v>
      </c>
      <c r="Q210" s="1" t="e">
        <f aca="false">IF(ISBLANK(INDEX(big_daily_table,MATCH(DATE(Q$5,$K210,$J210),daily_dates,0),MATCH($B$3,daily_items,0))),NA(),INDEX(big_daily_table,MATCH(DATE(Q$5,$K210,$J210),daily_dates,0),MATCH($B$3,daily_items,0)))</f>
        <v>#N/A</v>
      </c>
      <c r="R210" s="1" t="e">
        <f aca="false">IF(ISBLANK(INDEX(big_daily_table,MATCH(DATE(R$5,$K210,$J210),daily_dates,0),MATCH($B$3,daily_items,0))),NA(),INDEX(big_daily_table,MATCH(DATE(R$5,$K210,$J210),daily_dates,0),MATCH($B$3,daily_items,0)))</f>
        <v>#N/A</v>
      </c>
      <c r="S210" s="1" t="e">
        <f aca="false">IF(ISBLANK(INDEX(big_daily_table,MATCH(DATE(S$5,$K210,$J210),daily_dates,0),MATCH($B$3,daily_items,0))),NA(),INDEX(big_daily_table,MATCH(DATE(S$5,$K210,$J210),daily_dates,0),MATCH($B$3,daily_items,0)))</f>
        <v>#N/A</v>
      </c>
      <c r="T210" s="1" t="e">
        <f aca="false">IF(ISBLANK(INDEX(big_daily_table,MATCH(DATE(T$5,$K210,$J210),daily_dates,0),MATCH($B$3,daily_items,0))),NA(),INDEX(big_daily_table,MATCH(DATE(T$5,$K210,$J210),daily_dates,0),MATCH($B$3,daily_items,0)))</f>
        <v>#N/A</v>
      </c>
      <c r="U210" s="1" t="e">
        <f aca="false">IF(ISBLANK(INDEX(big_daily_table,MATCH(DATE(U$5,$K210,$J210),daily_dates,0),MATCH($B$3,daily_items,0))),NA(),INDEX(big_daily_table,MATCH(DATE(U$5,$K210,$J210),daily_dates,0),MATCH($B$3,daily_items,0)))</f>
        <v>#N/A</v>
      </c>
      <c r="V210" s="1" t="e">
        <f aca="false">IF(ISBLANK(INDEX(big_daily_table,MATCH(DATE(V$5,$K210,$J210),daily_dates,0),MATCH($B$3,daily_items,0))),NA(),INDEX(big_daily_table,MATCH(DATE(V$5,$K210,$J210),daily_dates,0),MATCH($B$3,daily_items,0)))</f>
        <v>#N/A</v>
      </c>
      <c r="W210" s="1" t="e">
        <f aca="false">IF(ISBLANK(INDEX(big_daily_table,MATCH(DATE(W$5,$K210,$J210),daily_dates,0),MATCH($B$3,daily_items,0))),NA(),INDEX(big_daily_table,MATCH(DATE(W$5,$K210,$J210),daily_dates,0),MATCH($B$3,daily_items,0)))</f>
        <v>#N/A</v>
      </c>
      <c r="X210" s="1" t="e">
        <f aca="false">IF(ISBLANK(INDEX(big_daily_table,MATCH(DATE(X$5,$K210,$J210),daily_dates,0),MATCH($B$3,daily_items,0))),NA(),INDEX(big_daily_table,MATCH(DATE(X$5,$K210,$J210),daily_dates,0),MATCH($B$3,daily_items,0)))</f>
        <v>#N/A</v>
      </c>
      <c r="Y210" s="1" t="e">
        <f aca="false">IF(ISBLANK(INDEX(big_daily_table,MATCH(DATE(Y$5,$K210,$J210),daily_dates,0),MATCH($B$3,daily_items,0))),NA(),INDEX(big_daily_table,MATCH(DATE(Y$5,$K210,$J210),daily_dates,0),MATCH($B$3,daily_items,0)))</f>
        <v>#N/A</v>
      </c>
      <c r="Z210" s="1" t="e">
        <f aca="false">IF(ISBLANK(INDEX(big_daily_table,MATCH(DATE(Z$5,$K210,$J210),daily_dates,0),MATCH($B$3,daily_items,0))),NA(),INDEX(big_daily_table,MATCH(DATE(Z$5,$K210,$J210),daily_dates,0),MATCH($B$3,daily_items,0)))</f>
        <v>#N/A</v>
      </c>
      <c r="AA210" s="1" t="n">
        <f aca="true">_xlfn.AGGREGATE(5,6,OFFSET($S$5,H210,0,1,$K$2))</f>
        <v>0</v>
      </c>
      <c r="AB210" s="1" t="n">
        <f aca="true">_xlfn.AGGREGATE(4,6,OFFSET($S$5,H210,0,1,$K$2))</f>
        <v>0</v>
      </c>
      <c r="AC210" s="1" t="n">
        <f aca="false">AB210-AA210</f>
        <v>0</v>
      </c>
      <c r="AD210" s="1" t="e">
        <f aca="true">_xlfn.AGGREGATE(1,6,OFFSET($S$5,H210,0,1,$K$2))</f>
        <v>#DIV/0!</v>
      </c>
    </row>
    <row r="211" customFormat="false" ht="14.25" hidden="false" customHeight="false" outlineLevel="0" collapsed="false">
      <c r="H211" s="1" t="n">
        <f aca="false">H210+1</f>
        <v>206</v>
      </c>
      <c r="I211" s="1" t="n">
        <f aca="false">WEEKDAY('daily graphs'!K211)</f>
        <v>2</v>
      </c>
      <c r="J211" s="1" t="n">
        <f aca="false">DAY(L211)</f>
        <v>22</v>
      </c>
      <c r="K211" s="1" t="n">
        <f aca="false">MONTH(L211)</f>
        <v>7</v>
      </c>
      <c r="L211" s="23" t="n">
        <f aca="false">'daily graphs'!K211 - I211</f>
        <v>36729</v>
      </c>
      <c r="M211" s="24" t="n">
        <f aca="true">IF(TODAY()&lt;DATE($O$5,K211,J211),1000000,-1000000)</f>
        <v>-1000000</v>
      </c>
      <c r="N211" s="24" t="e">
        <f aca="false">IF(M211&gt;0,INDEX(big_daily_table,MATCH(DATE(O$5,$K211,$J211),daily_dates,0),MATCH($B$3,daily_items,0)),NA())</f>
        <v>#N/A</v>
      </c>
      <c r="O211" s="1" t="e">
        <f aca="false">IF(M211&lt;0,INDEX(big_daily_table,MATCH(DATE(O$5,$K211,$J211),daily_dates,0),MATCH($B$3,daily_items,0)),NA())</f>
        <v>#N/A</v>
      </c>
      <c r="P211" s="1" t="e">
        <f aca="false">IF(ISBLANK(INDEX(big_daily_table,MATCH(DATE(P$5,$K211,$J211),daily_dates,0),MATCH($B$3,daily_items,0))),NA(),INDEX(big_daily_table,MATCH(DATE(P$5,$K211,$J211),daily_dates,0),MATCH($B$3,daily_items,0)))</f>
        <v>#N/A</v>
      </c>
      <c r="Q211" s="1" t="e">
        <f aca="false">IF(ISBLANK(INDEX(big_daily_table,MATCH(DATE(Q$5,$K211,$J211),daily_dates,0),MATCH($B$3,daily_items,0))),NA(),INDEX(big_daily_table,MATCH(DATE(Q$5,$K211,$J211),daily_dates,0),MATCH($B$3,daily_items,0)))</f>
        <v>#N/A</v>
      </c>
      <c r="R211" s="1" t="e">
        <f aca="false">IF(ISBLANK(INDEX(big_daily_table,MATCH(DATE(R$5,$K211,$J211),daily_dates,0),MATCH($B$3,daily_items,0))),NA(),INDEX(big_daily_table,MATCH(DATE(R$5,$K211,$J211),daily_dates,0),MATCH($B$3,daily_items,0)))</f>
        <v>#N/A</v>
      </c>
      <c r="S211" s="1" t="e">
        <f aca="false">IF(ISBLANK(INDEX(big_daily_table,MATCH(DATE(S$5,$K211,$J211),daily_dates,0),MATCH($B$3,daily_items,0))),NA(),INDEX(big_daily_table,MATCH(DATE(S$5,$K211,$J211),daily_dates,0),MATCH($B$3,daily_items,0)))</f>
        <v>#N/A</v>
      </c>
      <c r="T211" s="1" t="e">
        <f aca="false">IF(ISBLANK(INDEX(big_daily_table,MATCH(DATE(T$5,$K211,$J211),daily_dates,0),MATCH($B$3,daily_items,0))),NA(),INDEX(big_daily_table,MATCH(DATE(T$5,$K211,$J211),daily_dates,0),MATCH($B$3,daily_items,0)))</f>
        <v>#N/A</v>
      </c>
      <c r="U211" s="1" t="e">
        <f aca="false">IF(ISBLANK(INDEX(big_daily_table,MATCH(DATE(U$5,$K211,$J211),daily_dates,0),MATCH($B$3,daily_items,0))),NA(),INDEX(big_daily_table,MATCH(DATE(U$5,$K211,$J211),daily_dates,0),MATCH($B$3,daily_items,0)))</f>
        <v>#N/A</v>
      </c>
      <c r="V211" s="1" t="e">
        <f aca="false">IF(ISBLANK(INDEX(big_daily_table,MATCH(DATE(V$5,$K211,$J211),daily_dates,0),MATCH($B$3,daily_items,0))),NA(),INDEX(big_daily_table,MATCH(DATE(V$5,$K211,$J211),daily_dates,0),MATCH($B$3,daily_items,0)))</f>
        <v>#N/A</v>
      </c>
      <c r="W211" s="1" t="e">
        <f aca="false">IF(ISBLANK(INDEX(big_daily_table,MATCH(DATE(W$5,$K211,$J211),daily_dates,0),MATCH($B$3,daily_items,0))),NA(),INDEX(big_daily_table,MATCH(DATE(W$5,$K211,$J211),daily_dates,0),MATCH($B$3,daily_items,0)))</f>
        <v>#N/A</v>
      </c>
      <c r="X211" s="1" t="e">
        <f aca="false">IF(ISBLANK(INDEX(big_daily_table,MATCH(DATE(X$5,$K211,$J211),daily_dates,0),MATCH($B$3,daily_items,0))),NA(),INDEX(big_daily_table,MATCH(DATE(X$5,$K211,$J211),daily_dates,0),MATCH($B$3,daily_items,0)))</f>
        <v>#N/A</v>
      </c>
      <c r="Y211" s="1" t="e">
        <f aca="false">IF(ISBLANK(INDEX(big_daily_table,MATCH(DATE(Y$5,$K211,$J211),daily_dates,0),MATCH($B$3,daily_items,0))),NA(),INDEX(big_daily_table,MATCH(DATE(Y$5,$K211,$J211),daily_dates,0),MATCH($B$3,daily_items,0)))</f>
        <v>#N/A</v>
      </c>
      <c r="Z211" s="1" t="e">
        <f aca="false">IF(ISBLANK(INDEX(big_daily_table,MATCH(DATE(Z$5,$K211,$J211),daily_dates,0),MATCH($B$3,daily_items,0))),NA(),INDEX(big_daily_table,MATCH(DATE(Z$5,$K211,$J211),daily_dates,0),MATCH($B$3,daily_items,0)))</f>
        <v>#N/A</v>
      </c>
      <c r="AA211" s="1" t="n">
        <f aca="true">_xlfn.AGGREGATE(5,6,OFFSET($S$5,H211,0,1,$K$2))</f>
        <v>0</v>
      </c>
      <c r="AB211" s="1" t="n">
        <f aca="true">_xlfn.AGGREGATE(4,6,OFFSET($S$5,H211,0,1,$K$2))</f>
        <v>0</v>
      </c>
      <c r="AC211" s="1" t="n">
        <f aca="false">AB211-AA211</f>
        <v>0</v>
      </c>
      <c r="AD211" s="1" t="e">
        <f aca="true">_xlfn.AGGREGATE(1,6,OFFSET($S$5,H211,0,1,$K$2))</f>
        <v>#DIV/0!</v>
      </c>
    </row>
    <row r="212" customFormat="false" ht="14.25" hidden="false" customHeight="false" outlineLevel="0" collapsed="false">
      <c r="H212" s="1" t="n">
        <f aca="false">H211+1</f>
        <v>207</v>
      </c>
      <c r="I212" s="1" t="n">
        <f aca="false">WEEKDAY('daily graphs'!K212)</f>
        <v>3</v>
      </c>
      <c r="J212" s="1" t="n">
        <f aca="false">DAY(L212)</f>
        <v>22</v>
      </c>
      <c r="K212" s="1" t="n">
        <f aca="false">MONTH(L212)</f>
        <v>7</v>
      </c>
      <c r="L212" s="23" t="n">
        <f aca="false">'daily graphs'!K212 - I212</f>
        <v>36729</v>
      </c>
      <c r="M212" s="24" t="n">
        <f aca="true">IF(TODAY()&lt;DATE($O$5,K212,J212),1000000,-1000000)</f>
        <v>-1000000</v>
      </c>
      <c r="N212" s="24" t="e">
        <f aca="false">IF(M212&gt;0,INDEX(big_daily_table,MATCH(DATE(O$5,$K212,$J212),daily_dates,0),MATCH($B$3,daily_items,0)),NA())</f>
        <v>#N/A</v>
      </c>
      <c r="O212" s="1" t="e">
        <f aca="false">IF(M212&lt;0,INDEX(big_daily_table,MATCH(DATE(O$5,$K212,$J212),daily_dates,0),MATCH($B$3,daily_items,0)),NA())</f>
        <v>#N/A</v>
      </c>
      <c r="P212" s="1" t="e">
        <f aca="false">IF(ISBLANK(INDEX(big_daily_table,MATCH(DATE(P$5,$K212,$J212),daily_dates,0),MATCH($B$3,daily_items,0))),NA(),INDEX(big_daily_table,MATCH(DATE(P$5,$K212,$J212),daily_dates,0),MATCH($B$3,daily_items,0)))</f>
        <v>#N/A</v>
      </c>
      <c r="Q212" s="1" t="e">
        <f aca="false">IF(ISBLANK(INDEX(big_daily_table,MATCH(DATE(Q$5,$K212,$J212),daily_dates,0),MATCH($B$3,daily_items,0))),NA(),INDEX(big_daily_table,MATCH(DATE(Q$5,$K212,$J212),daily_dates,0),MATCH($B$3,daily_items,0)))</f>
        <v>#N/A</v>
      </c>
      <c r="R212" s="1" t="e">
        <f aca="false">IF(ISBLANK(INDEX(big_daily_table,MATCH(DATE(R$5,$K212,$J212),daily_dates,0),MATCH($B$3,daily_items,0))),NA(),INDEX(big_daily_table,MATCH(DATE(R$5,$K212,$J212),daily_dates,0),MATCH($B$3,daily_items,0)))</f>
        <v>#N/A</v>
      </c>
      <c r="S212" s="1" t="e">
        <f aca="false">IF(ISBLANK(INDEX(big_daily_table,MATCH(DATE(S$5,$K212,$J212),daily_dates,0),MATCH($B$3,daily_items,0))),NA(),INDEX(big_daily_table,MATCH(DATE(S$5,$K212,$J212),daily_dates,0),MATCH($B$3,daily_items,0)))</f>
        <v>#N/A</v>
      </c>
      <c r="T212" s="1" t="e">
        <f aca="false">IF(ISBLANK(INDEX(big_daily_table,MATCH(DATE(T$5,$K212,$J212),daily_dates,0),MATCH($B$3,daily_items,0))),NA(),INDEX(big_daily_table,MATCH(DATE(T$5,$K212,$J212),daily_dates,0),MATCH($B$3,daily_items,0)))</f>
        <v>#N/A</v>
      </c>
      <c r="U212" s="1" t="e">
        <f aca="false">IF(ISBLANK(INDEX(big_daily_table,MATCH(DATE(U$5,$K212,$J212),daily_dates,0),MATCH($B$3,daily_items,0))),NA(),INDEX(big_daily_table,MATCH(DATE(U$5,$K212,$J212),daily_dates,0),MATCH($B$3,daily_items,0)))</f>
        <v>#N/A</v>
      </c>
      <c r="V212" s="1" t="e">
        <f aca="false">IF(ISBLANK(INDEX(big_daily_table,MATCH(DATE(V$5,$K212,$J212),daily_dates,0),MATCH($B$3,daily_items,0))),NA(),INDEX(big_daily_table,MATCH(DATE(V$5,$K212,$J212),daily_dates,0),MATCH($B$3,daily_items,0)))</f>
        <v>#N/A</v>
      </c>
      <c r="W212" s="1" t="e">
        <f aca="false">IF(ISBLANK(INDEX(big_daily_table,MATCH(DATE(W$5,$K212,$J212),daily_dates,0),MATCH($B$3,daily_items,0))),NA(),INDEX(big_daily_table,MATCH(DATE(W$5,$K212,$J212),daily_dates,0),MATCH($B$3,daily_items,0)))</f>
        <v>#N/A</v>
      </c>
      <c r="X212" s="1" t="e">
        <f aca="false">IF(ISBLANK(INDEX(big_daily_table,MATCH(DATE(X$5,$K212,$J212),daily_dates,0),MATCH($B$3,daily_items,0))),NA(),INDEX(big_daily_table,MATCH(DATE(X$5,$K212,$J212),daily_dates,0),MATCH($B$3,daily_items,0)))</f>
        <v>#N/A</v>
      </c>
      <c r="Y212" s="1" t="e">
        <f aca="false">IF(ISBLANK(INDEX(big_daily_table,MATCH(DATE(Y$5,$K212,$J212),daily_dates,0),MATCH($B$3,daily_items,0))),NA(),INDEX(big_daily_table,MATCH(DATE(Y$5,$K212,$J212),daily_dates,0),MATCH($B$3,daily_items,0)))</f>
        <v>#N/A</v>
      </c>
      <c r="Z212" s="1" t="e">
        <f aca="false">IF(ISBLANK(INDEX(big_daily_table,MATCH(DATE(Z$5,$K212,$J212),daily_dates,0),MATCH($B$3,daily_items,0))),NA(),INDEX(big_daily_table,MATCH(DATE(Z$5,$K212,$J212),daily_dates,0),MATCH($B$3,daily_items,0)))</f>
        <v>#N/A</v>
      </c>
      <c r="AA212" s="1" t="n">
        <f aca="true">_xlfn.AGGREGATE(5,6,OFFSET($S$5,H212,0,1,$K$2))</f>
        <v>0</v>
      </c>
      <c r="AB212" s="1" t="n">
        <f aca="true">_xlfn.AGGREGATE(4,6,OFFSET($S$5,H212,0,1,$K$2))</f>
        <v>0</v>
      </c>
      <c r="AC212" s="1" t="n">
        <f aca="false">AB212-AA212</f>
        <v>0</v>
      </c>
      <c r="AD212" s="1" t="e">
        <f aca="true">_xlfn.AGGREGATE(1,6,OFFSET($S$5,H212,0,1,$K$2))</f>
        <v>#DIV/0!</v>
      </c>
    </row>
    <row r="213" customFormat="false" ht="14.25" hidden="false" customHeight="false" outlineLevel="0" collapsed="false">
      <c r="H213" s="1" t="n">
        <f aca="false">H212+1</f>
        <v>208</v>
      </c>
      <c r="I213" s="1" t="n">
        <f aca="false">WEEKDAY('daily graphs'!K213)</f>
        <v>4</v>
      </c>
      <c r="J213" s="1" t="n">
        <f aca="false">DAY(L213)</f>
        <v>22</v>
      </c>
      <c r="K213" s="1" t="n">
        <f aca="false">MONTH(L213)</f>
        <v>7</v>
      </c>
      <c r="L213" s="23" t="n">
        <f aca="false">'daily graphs'!K213 - I213</f>
        <v>36729</v>
      </c>
      <c r="M213" s="24" t="n">
        <f aca="true">IF(TODAY()&lt;DATE($O$5,K213,J213),1000000,-1000000)</f>
        <v>-1000000</v>
      </c>
      <c r="N213" s="24" t="e">
        <f aca="false">IF(M213&gt;0,INDEX(big_daily_table,MATCH(DATE(O$5,$K213,$J213),daily_dates,0),MATCH($B$3,daily_items,0)),NA())</f>
        <v>#N/A</v>
      </c>
      <c r="O213" s="1" t="e">
        <f aca="false">IF(M213&lt;0,INDEX(big_daily_table,MATCH(DATE(O$5,$K213,$J213),daily_dates,0),MATCH($B$3,daily_items,0)),NA())</f>
        <v>#N/A</v>
      </c>
      <c r="P213" s="1" t="e">
        <f aca="false">IF(ISBLANK(INDEX(big_daily_table,MATCH(DATE(P$5,$K213,$J213),daily_dates,0),MATCH($B$3,daily_items,0))),NA(),INDEX(big_daily_table,MATCH(DATE(P$5,$K213,$J213),daily_dates,0),MATCH($B$3,daily_items,0)))</f>
        <v>#N/A</v>
      </c>
      <c r="Q213" s="1" t="e">
        <f aca="false">IF(ISBLANK(INDEX(big_daily_table,MATCH(DATE(Q$5,$K213,$J213),daily_dates,0),MATCH($B$3,daily_items,0))),NA(),INDEX(big_daily_table,MATCH(DATE(Q$5,$K213,$J213),daily_dates,0),MATCH($B$3,daily_items,0)))</f>
        <v>#N/A</v>
      </c>
      <c r="R213" s="1" t="e">
        <f aca="false">IF(ISBLANK(INDEX(big_daily_table,MATCH(DATE(R$5,$K213,$J213),daily_dates,0),MATCH($B$3,daily_items,0))),NA(),INDEX(big_daily_table,MATCH(DATE(R$5,$K213,$J213),daily_dates,0),MATCH($B$3,daily_items,0)))</f>
        <v>#N/A</v>
      </c>
      <c r="S213" s="1" t="e">
        <f aca="false">IF(ISBLANK(INDEX(big_daily_table,MATCH(DATE(S$5,$K213,$J213),daily_dates,0),MATCH($B$3,daily_items,0))),NA(),INDEX(big_daily_table,MATCH(DATE(S$5,$K213,$J213),daily_dates,0),MATCH($B$3,daily_items,0)))</f>
        <v>#N/A</v>
      </c>
      <c r="T213" s="1" t="e">
        <f aca="false">IF(ISBLANK(INDEX(big_daily_table,MATCH(DATE(T$5,$K213,$J213),daily_dates,0),MATCH($B$3,daily_items,0))),NA(),INDEX(big_daily_table,MATCH(DATE(T$5,$K213,$J213),daily_dates,0),MATCH($B$3,daily_items,0)))</f>
        <v>#N/A</v>
      </c>
      <c r="U213" s="1" t="e">
        <f aca="false">IF(ISBLANK(INDEX(big_daily_table,MATCH(DATE(U$5,$K213,$J213),daily_dates,0),MATCH($B$3,daily_items,0))),NA(),INDEX(big_daily_table,MATCH(DATE(U$5,$K213,$J213),daily_dates,0),MATCH($B$3,daily_items,0)))</f>
        <v>#N/A</v>
      </c>
      <c r="V213" s="1" t="e">
        <f aca="false">IF(ISBLANK(INDEX(big_daily_table,MATCH(DATE(V$5,$K213,$J213),daily_dates,0),MATCH($B$3,daily_items,0))),NA(),INDEX(big_daily_table,MATCH(DATE(V$5,$K213,$J213),daily_dates,0),MATCH($B$3,daily_items,0)))</f>
        <v>#N/A</v>
      </c>
      <c r="W213" s="1" t="e">
        <f aca="false">IF(ISBLANK(INDEX(big_daily_table,MATCH(DATE(W$5,$K213,$J213),daily_dates,0),MATCH($B$3,daily_items,0))),NA(),INDEX(big_daily_table,MATCH(DATE(W$5,$K213,$J213),daily_dates,0),MATCH($B$3,daily_items,0)))</f>
        <v>#N/A</v>
      </c>
      <c r="X213" s="1" t="e">
        <f aca="false">IF(ISBLANK(INDEX(big_daily_table,MATCH(DATE(X$5,$K213,$J213),daily_dates,0),MATCH($B$3,daily_items,0))),NA(),INDEX(big_daily_table,MATCH(DATE(X$5,$K213,$J213),daily_dates,0),MATCH($B$3,daily_items,0)))</f>
        <v>#N/A</v>
      </c>
      <c r="Y213" s="1" t="e">
        <f aca="false">IF(ISBLANK(INDEX(big_daily_table,MATCH(DATE(Y$5,$K213,$J213),daily_dates,0),MATCH($B$3,daily_items,0))),NA(),INDEX(big_daily_table,MATCH(DATE(Y$5,$K213,$J213),daily_dates,0),MATCH($B$3,daily_items,0)))</f>
        <v>#N/A</v>
      </c>
      <c r="Z213" s="1" t="e">
        <f aca="false">IF(ISBLANK(INDEX(big_daily_table,MATCH(DATE(Z$5,$K213,$J213),daily_dates,0),MATCH($B$3,daily_items,0))),NA(),INDEX(big_daily_table,MATCH(DATE(Z$5,$K213,$J213),daily_dates,0),MATCH($B$3,daily_items,0)))</f>
        <v>#N/A</v>
      </c>
      <c r="AA213" s="1" t="n">
        <f aca="true">_xlfn.AGGREGATE(5,6,OFFSET($S$5,H213,0,1,$K$2))</f>
        <v>0</v>
      </c>
      <c r="AB213" s="1" t="n">
        <f aca="true">_xlfn.AGGREGATE(4,6,OFFSET($S$5,H213,0,1,$K$2))</f>
        <v>0</v>
      </c>
      <c r="AC213" s="1" t="n">
        <f aca="false">AB213-AA213</f>
        <v>0</v>
      </c>
      <c r="AD213" s="1" t="e">
        <f aca="true">_xlfn.AGGREGATE(1,6,OFFSET($S$5,H213,0,1,$K$2))</f>
        <v>#DIV/0!</v>
      </c>
    </row>
    <row r="214" customFormat="false" ht="14.25" hidden="false" customHeight="false" outlineLevel="0" collapsed="false">
      <c r="H214" s="1" t="n">
        <f aca="false">H213+1</f>
        <v>209</v>
      </c>
      <c r="I214" s="1" t="n">
        <f aca="false">WEEKDAY('daily graphs'!K214)</f>
        <v>5</v>
      </c>
      <c r="J214" s="1" t="n">
        <f aca="false">DAY(L214)</f>
        <v>22</v>
      </c>
      <c r="K214" s="1" t="n">
        <f aca="false">MONTH(L214)</f>
        <v>7</v>
      </c>
      <c r="L214" s="23" t="n">
        <f aca="false">'daily graphs'!K214 - I214</f>
        <v>36729</v>
      </c>
      <c r="M214" s="24" t="n">
        <f aca="true">IF(TODAY()&lt;DATE($O$5,K214,J214),1000000,-1000000)</f>
        <v>-1000000</v>
      </c>
      <c r="N214" s="24" t="e">
        <f aca="false">IF(M214&gt;0,INDEX(big_daily_table,MATCH(DATE(O$5,$K214,$J214),daily_dates,0),MATCH($B$3,daily_items,0)),NA())</f>
        <v>#N/A</v>
      </c>
      <c r="O214" s="1" t="e">
        <f aca="false">IF(M214&lt;0,INDEX(big_daily_table,MATCH(DATE(O$5,$K214,$J214),daily_dates,0),MATCH($B$3,daily_items,0)),NA())</f>
        <v>#N/A</v>
      </c>
      <c r="P214" s="1" t="e">
        <f aca="false">IF(ISBLANK(INDEX(big_daily_table,MATCH(DATE(P$5,$K214,$J214),daily_dates,0),MATCH($B$3,daily_items,0))),NA(),INDEX(big_daily_table,MATCH(DATE(P$5,$K214,$J214),daily_dates,0),MATCH($B$3,daily_items,0)))</f>
        <v>#N/A</v>
      </c>
      <c r="Q214" s="1" t="e">
        <f aca="false">IF(ISBLANK(INDEX(big_daily_table,MATCH(DATE(Q$5,$K214,$J214),daily_dates,0),MATCH($B$3,daily_items,0))),NA(),INDEX(big_daily_table,MATCH(DATE(Q$5,$K214,$J214),daily_dates,0),MATCH($B$3,daily_items,0)))</f>
        <v>#N/A</v>
      </c>
      <c r="R214" s="1" t="e">
        <f aca="false">IF(ISBLANK(INDEX(big_daily_table,MATCH(DATE(R$5,$K214,$J214),daily_dates,0),MATCH($B$3,daily_items,0))),NA(),INDEX(big_daily_table,MATCH(DATE(R$5,$K214,$J214),daily_dates,0),MATCH($B$3,daily_items,0)))</f>
        <v>#N/A</v>
      </c>
      <c r="S214" s="1" t="e">
        <f aca="false">IF(ISBLANK(INDEX(big_daily_table,MATCH(DATE(S$5,$K214,$J214),daily_dates,0),MATCH($B$3,daily_items,0))),NA(),INDEX(big_daily_table,MATCH(DATE(S$5,$K214,$J214),daily_dates,0),MATCH($B$3,daily_items,0)))</f>
        <v>#N/A</v>
      </c>
      <c r="T214" s="1" t="e">
        <f aca="false">IF(ISBLANK(INDEX(big_daily_table,MATCH(DATE(T$5,$K214,$J214),daily_dates,0),MATCH($B$3,daily_items,0))),NA(),INDEX(big_daily_table,MATCH(DATE(T$5,$K214,$J214),daily_dates,0),MATCH($B$3,daily_items,0)))</f>
        <v>#N/A</v>
      </c>
      <c r="U214" s="1" t="e">
        <f aca="false">IF(ISBLANK(INDEX(big_daily_table,MATCH(DATE(U$5,$K214,$J214),daily_dates,0),MATCH($B$3,daily_items,0))),NA(),INDEX(big_daily_table,MATCH(DATE(U$5,$K214,$J214),daily_dates,0),MATCH($B$3,daily_items,0)))</f>
        <v>#N/A</v>
      </c>
      <c r="V214" s="1" t="e">
        <f aca="false">IF(ISBLANK(INDEX(big_daily_table,MATCH(DATE(V$5,$K214,$J214),daily_dates,0),MATCH($B$3,daily_items,0))),NA(),INDEX(big_daily_table,MATCH(DATE(V$5,$K214,$J214),daily_dates,0),MATCH($B$3,daily_items,0)))</f>
        <v>#N/A</v>
      </c>
      <c r="W214" s="1" t="e">
        <f aca="false">IF(ISBLANK(INDEX(big_daily_table,MATCH(DATE(W$5,$K214,$J214),daily_dates,0),MATCH($B$3,daily_items,0))),NA(),INDEX(big_daily_table,MATCH(DATE(W$5,$K214,$J214),daily_dates,0),MATCH($B$3,daily_items,0)))</f>
        <v>#N/A</v>
      </c>
      <c r="X214" s="1" t="e">
        <f aca="false">IF(ISBLANK(INDEX(big_daily_table,MATCH(DATE(X$5,$K214,$J214),daily_dates,0),MATCH($B$3,daily_items,0))),NA(),INDEX(big_daily_table,MATCH(DATE(X$5,$K214,$J214),daily_dates,0),MATCH($B$3,daily_items,0)))</f>
        <v>#N/A</v>
      </c>
      <c r="Y214" s="1" t="e">
        <f aca="false">IF(ISBLANK(INDEX(big_daily_table,MATCH(DATE(Y$5,$K214,$J214),daily_dates,0),MATCH($B$3,daily_items,0))),NA(),INDEX(big_daily_table,MATCH(DATE(Y$5,$K214,$J214),daily_dates,0),MATCH($B$3,daily_items,0)))</f>
        <v>#N/A</v>
      </c>
      <c r="Z214" s="1" t="e">
        <f aca="false">IF(ISBLANK(INDEX(big_daily_table,MATCH(DATE(Z$5,$K214,$J214),daily_dates,0),MATCH($B$3,daily_items,0))),NA(),INDEX(big_daily_table,MATCH(DATE(Z$5,$K214,$J214),daily_dates,0),MATCH($B$3,daily_items,0)))</f>
        <v>#N/A</v>
      </c>
      <c r="AA214" s="1" t="n">
        <f aca="true">_xlfn.AGGREGATE(5,6,OFFSET($S$5,H214,0,1,$K$2))</f>
        <v>0</v>
      </c>
      <c r="AB214" s="1" t="n">
        <f aca="true">_xlfn.AGGREGATE(4,6,OFFSET($S$5,H214,0,1,$K$2))</f>
        <v>0</v>
      </c>
      <c r="AC214" s="1" t="n">
        <f aca="false">AB214-AA214</f>
        <v>0</v>
      </c>
      <c r="AD214" s="1" t="e">
        <f aca="true">_xlfn.AGGREGATE(1,6,OFFSET($S$5,H214,0,1,$K$2))</f>
        <v>#DIV/0!</v>
      </c>
    </row>
    <row r="215" customFormat="false" ht="14.25" hidden="false" customHeight="false" outlineLevel="0" collapsed="false">
      <c r="H215" s="1" t="n">
        <f aca="false">H214+1</f>
        <v>210</v>
      </c>
      <c r="I215" s="1" t="n">
        <f aca="false">WEEKDAY('daily graphs'!K215)</f>
        <v>6</v>
      </c>
      <c r="J215" s="1" t="n">
        <f aca="false">DAY(L215)</f>
        <v>22</v>
      </c>
      <c r="K215" s="1" t="n">
        <f aca="false">MONTH(L215)</f>
        <v>7</v>
      </c>
      <c r="L215" s="23" t="n">
        <f aca="false">'daily graphs'!K215 - I215</f>
        <v>36729</v>
      </c>
      <c r="M215" s="24" t="n">
        <f aca="true">IF(TODAY()&lt;DATE($O$5,K215,J215),1000000,-1000000)</f>
        <v>-1000000</v>
      </c>
      <c r="N215" s="24" t="e">
        <f aca="false">IF(M215&gt;0,INDEX(big_daily_table,MATCH(DATE(O$5,$K215,$J215),daily_dates,0),MATCH($B$3,daily_items,0)),NA())</f>
        <v>#N/A</v>
      </c>
      <c r="O215" s="1" t="e">
        <f aca="false">IF(M215&lt;0,INDEX(big_daily_table,MATCH(DATE(O$5,$K215,$J215),daily_dates,0),MATCH($B$3,daily_items,0)),NA())</f>
        <v>#N/A</v>
      </c>
      <c r="P215" s="1" t="e">
        <f aca="false">IF(ISBLANK(INDEX(big_daily_table,MATCH(DATE(P$5,$K215,$J215),daily_dates,0),MATCH($B$3,daily_items,0))),NA(),INDEX(big_daily_table,MATCH(DATE(P$5,$K215,$J215),daily_dates,0),MATCH($B$3,daily_items,0)))</f>
        <v>#N/A</v>
      </c>
      <c r="Q215" s="1" t="e">
        <f aca="false">IF(ISBLANK(INDEX(big_daily_table,MATCH(DATE(Q$5,$K215,$J215),daily_dates,0),MATCH($B$3,daily_items,0))),NA(),INDEX(big_daily_table,MATCH(DATE(Q$5,$K215,$J215),daily_dates,0),MATCH($B$3,daily_items,0)))</f>
        <v>#N/A</v>
      </c>
      <c r="R215" s="1" t="e">
        <f aca="false">IF(ISBLANK(INDEX(big_daily_table,MATCH(DATE(R$5,$K215,$J215),daily_dates,0),MATCH($B$3,daily_items,0))),NA(),INDEX(big_daily_table,MATCH(DATE(R$5,$K215,$J215),daily_dates,0),MATCH($B$3,daily_items,0)))</f>
        <v>#N/A</v>
      </c>
      <c r="S215" s="1" t="e">
        <f aca="false">IF(ISBLANK(INDEX(big_daily_table,MATCH(DATE(S$5,$K215,$J215),daily_dates,0),MATCH($B$3,daily_items,0))),NA(),INDEX(big_daily_table,MATCH(DATE(S$5,$K215,$J215),daily_dates,0),MATCH($B$3,daily_items,0)))</f>
        <v>#N/A</v>
      </c>
      <c r="T215" s="1" t="e">
        <f aca="false">IF(ISBLANK(INDEX(big_daily_table,MATCH(DATE(T$5,$K215,$J215),daily_dates,0),MATCH($B$3,daily_items,0))),NA(),INDEX(big_daily_table,MATCH(DATE(T$5,$K215,$J215),daily_dates,0),MATCH($B$3,daily_items,0)))</f>
        <v>#N/A</v>
      </c>
      <c r="U215" s="1" t="e">
        <f aca="false">IF(ISBLANK(INDEX(big_daily_table,MATCH(DATE(U$5,$K215,$J215),daily_dates,0),MATCH($B$3,daily_items,0))),NA(),INDEX(big_daily_table,MATCH(DATE(U$5,$K215,$J215),daily_dates,0),MATCH($B$3,daily_items,0)))</f>
        <v>#N/A</v>
      </c>
      <c r="V215" s="1" t="e">
        <f aca="false">IF(ISBLANK(INDEX(big_daily_table,MATCH(DATE(V$5,$K215,$J215),daily_dates,0),MATCH($B$3,daily_items,0))),NA(),INDEX(big_daily_table,MATCH(DATE(V$5,$K215,$J215),daily_dates,0),MATCH($B$3,daily_items,0)))</f>
        <v>#N/A</v>
      </c>
      <c r="W215" s="1" t="e">
        <f aca="false">IF(ISBLANK(INDEX(big_daily_table,MATCH(DATE(W$5,$K215,$J215),daily_dates,0),MATCH($B$3,daily_items,0))),NA(),INDEX(big_daily_table,MATCH(DATE(W$5,$K215,$J215),daily_dates,0),MATCH($B$3,daily_items,0)))</f>
        <v>#N/A</v>
      </c>
      <c r="X215" s="1" t="e">
        <f aca="false">IF(ISBLANK(INDEX(big_daily_table,MATCH(DATE(X$5,$K215,$J215),daily_dates,0),MATCH($B$3,daily_items,0))),NA(),INDEX(big_daily_table,MATCH(DATE(X$5,$K215,$J215),daily_dates,0),MATCH($B$3,daily_items,0)))</f>
        <v>#N/A</v>
      </c>
      <c r="Y215" s="1" t="e">
        <f aca="false">IF(ISBLANK(INDEX(big_daily_table,MATCH(DATE(Y$5,$K215,$J215),daily_dates,0),MATCH($B$3,daily_items,0))),NA(),INDEX(big_daily_table,MATCH(DATE(Y$5,$K215,$J215),daily_dates,0),MATCH($B$3,daily_items,0)))</f>
        <v>#N/A</v>
      </c>
      <c r="Z215" s="1" t="e">
        <f aca="false">IF(ISBLANK(INDEX(big_daily_table,MATCH(DATE(Z$5,$K215,$J215),daily_dates,0),MATCH($B$3,daily_items,0))),NA(),INDEX(big_daily_table,MATCH(DATE(Z$5,$K215,$J215),daily_dates,0),MATCH($B$3,daily_items,0)))</f>
        <v>#N/A</v>
      </c>
      <c r="AA215" s="1" t="n">
        <f aca="true">_xlfn.AGGREGATE(5,6,OFFSET($S$5,H215,0,1,$K$2))</f>
        <v>0</v>
      </c>
      <c r="AB215" s="1" t="n">
        <f aca="true">_xlfn.AGGREGATE(4,6,OFFSET($S$5,H215,0,1,$K$2))</f>
        <v>0</v>
      </c>
      <c r="AC215" s="1" t="n">
        <f aca="false">AB215-AA215</f>
        <v>0</v>
      </c>
      <c r="AD215" s="1" t="e">
        <f aca="true">_xlfn.AGGREGATE(1,6,OFFSET($S$5,H215,0,1,$K$2))</f>
        <v>#DIV/0!</v>
      </c>
    </row>
    <row r="216" customFormat="false" ht="14.25" hidden="false" customHeight="false" outlineLevel="0" collapsed="false">
      <c r="H216" s="1" t="n">
        <f aca="false">H215+1</f>
        <v>211</v>
      </c>
      <c r="I216" s="1" t="n">
        <f aca="false">WEEKDAY('daily graphs'!K216)</f>
        <v>7</v>
      </c>
      <c r="J216" s="1" t="n">
        <f aca="false">DAY(L216)</f>
        <v>22</v>
      </c>
      <c r="K216" s="1" t="n">
        <f aca="false">MONTH(L216)</f>
        <v>7</v>
      </c>
      <c r="L216" s="23" t="n">
        <f aca="false">'daily graphs'!K216 - I216</f>
        <v>36729</v>
      </c>
      <c r="M216" s="24" t="n">
        <f aca="true">IF(TODAY()&lt;DATE($O$5,K216,J216),1000000,-1000000)</f>
        <v>-1000000</v>
      </c>
      <c r="N216" s="24" t="e">
        <f aca="false">IF(M216&gt;0,INDEX(big_daily_table,MATCH(DATE(O$5,$K216,$J216),daily_dates,0),MATCH($B$3,daily_items,0)),NA())</f>
        <v>#N/A</v>
      </c>
      <c r="O216" s="1" t="e">
        <f aca="false">IF(M216&lt;0,INDEX(big_daily_table,MATCH(DATE(O$5,$K216,$J216),daily_dates,0),MATCH($B$3,daily_items,0)),NA())</f>
        <v>#N/A</v>
      </c>
      <c r="P216" s="1" t="e">
        <f aca="false">IF(ISBLANK(INDEX(big_daily_table,MATCH(DATE(P$5,$K216,$J216),daily_dates,0),MATCH($B$3,daily_items,0))),NA(),INDEX(big_daily_table,MATCH(DATE(P$5,$K216,$J216),daily_dates,0),MATCH($B$3,daily_items,0)))</f>
        <v>#N/A</v>
      </c>
      <c r="Q216" s="1" t="e">
        <f aca="false">IF(ISBLANK(INDEX(big_daily_table,MATCH(DATE(Q$5,$K216,$J216),daily_dates,0),MATCH($B$3,daily_items,0))),NA(),INDEX(big_daily_table,MATCH(DATE(Q$5,$K216,$J216),daily_dates,0),MATCH($B$3,daily_items,0)))</f>
        <v>#N/A</v>
      </c>
      <c r="R216" s="1" t="e">
        <f aca="false">IF(ISBLANK(INDEX(big_daily_table,MATCH(DATE(R$5,$K216,$J216),daily_dates,0),MATCH($B$3,daily_items,0))),NA(),INDEX(big_daily_table,MATCH(DATE(R$5,$K216,$J216),daily_dates,0),MATCH($B$3,daily_items,0)))</f>
        <v>#N/A</v>
      </c>
      <c r="S216" s="1" t="e">
        <f aca="false">IF(ISBLANK(INDEX(big_daily_table,MATCH(DATE(S$5,$K216,$J216),daily_dates,0),MATCH($B$3,daily_items,0))),NA(),INDEX(big_daily_table,MATCH(DATE(S$5,$K216,$J216),daily_dates,0),MATCH($B$3,daily_items,0)))</f>
        <v>#N/A</v>
      </c>
      <c r="T216" s="1" t="e">
        <f aca="false">IF(ISBLANK(INDEX(big_daily_table,MATCH(DATE(T$5,$K216,$J216),daily_dates,0),MATCH($B$3,daily_items,0))),NA(),INDEX(big_daily_table,MATCH(DATE(T$5,$K216,$J216),daily_dates,0),MATCH($B$3,daily_items,0)))</f>
        <v>#N/A</v>
      </c>
      <c r="U216" s="1" t="e">
        <f aca="false">IF(ISBLANK(INDEX(big_daily_table,MATCH(DATE(U$5,$K216,$J216),daily_dates,0),MATCH($B$3,daily_items,0))),NA(),INDEX(big_daily_table,MATCH(DATE(U$5,$K216,$J216),daily_dates,0),MATCH($B$3,daily_items,0)))</f>
        <v>#N/A</v>
      </c>
      <c r="V216" s="1" t="e">
        <f aca="false">IF(ISBLANK(INDEX(big_daily_table,MATCH(DATE(V$5,$K216,$J216),daily_dates,0),MATCH($B$3,daily_items,0))),NA(),INDEX(big_daily_table,MATCH(DATE(V$5,$K216,$J216),daily_dates,0),MATCH($B$3,daily_items,0)))</f>
        <v>#N/A</v>
      </c>
      <c r="W216" s="1" t="e">
        <f aca="false">IF(ISBLANK(INDEX(big_daily_table,MATCH(DATE(W$5,$K216,$J216),daily_dates,0),MATCH($B$3,daily_items,0))),NA(),INDEX(big_daily_table,MATCH(DATE(W$5,$K216,$J216),daily_dates,0),MATCH($B$3,daily_items,0)))</f>
        <v>#N/A</v>
      </c>
      <c r="X216" s="1" t="e">
        <f aca="false">IF(ISBLANK(INDEX(big_daily_table,MATCH(DATE(X$5,$K216,$J216),daily_dates,0),MATCH($B$3,daily_items,0))),NA(),INDEX(big_daily_table,MATCH(DATE(X$5,$K216,$J216),daily_dates,0),MATCH($B$3,daily_items,0)))</f>
        <v>#N/A</v>
      </c>
      <c r="Y216" s="1" t="e">
        <f aca="false">IF(ISBLANK(INDEX(big_daily_table,MATCH(DATE(Y$5,$K216,$J216),daily_dates,0),MATCH($B$3,daily_items,0))),NA(),INDEX(big_daily_table,MATCH(DATE(Y$5,$K216,$J216),daily_dates,0),MATCH($B$3,daily_items,0)))</f>
        <v>#N/A</v>
      </c>
      <c r="Z216" s="1" t="e">
        <f aca="false">IF(ISBLANK(INDEX(big_daily_table,MATCH(DATE(Z$5,$K216,$J216),daily_dates,0),MATCH($B$3,daily_items,0))),NA(),INDEX(big_daily_table,MATCH(DATE(Z$5,$K216,$J216),daily_dates,0),MATCH($B$3,daily_items,0)))</f>
        <v>#N/A</v>
      </c>
      <c r="AA216" s="1" t="n">
        <f aca="true">_xlfn.AGGREGATE(5,6,OFFSET($S$5,H216,0,1,$K$2))</f>
        <v>0</v>
      </c>
      <c r="AB216" s="1" t="n">
        <f aca="true">_xlfn.AGGREGATE(4,6,OFFSET($S$5,H216,0,1,$K$2))</f>
        <v>0</v>
      </c>
      <c r="AC216" s="1" t="n">
        <f aca="false">AB216-AA216</f>
        <v>0</v>
      </c>
      <c r="AD216" s="1" t="e">
        <f aca="true">_xlfn.AGGREGATE(1,6,OFFSET($S$5,H216,0,1,$K$2))</f>
        <v>#DIV/0!</v>
      </c>
    </row>
    <row r="217" customFormat="false" ht="14.25" hidden="false" customHeight="false" outlineLevel="0" collapsed="false">
      <c r="H217" s="1" t="n">
        <f aca="false">H216+1</f>
        <v>212</v>
      </c>
      <c r="I217" s="1" t="n">
        <f aca="false">WEEKDAY('daily graphs'!K217)</f>
        <v>1</v>
      </c>
      <c r="J217" s="1" t="n">
        <f aca="false">DAY(L217)</f>
        <v>29</v>
      </c>
      <c r="K217" s="1" t="n">
        <f aca="false">MONTH(L217)</f>
        <v>7</v>
      </c>
      <c r="L217" s="23" t="n">
        <f aca="false">'daily graphs'!K217 - I217</f>
        <v>36736</v>
      </c>
      <c r="M217" s="24" t="n">
        <f aca="true">IF(TODAY()&lt;DATE($O$5,K217,J217),1000000,-1000000)</f>
        <v>-1000000</v>
      </c>
      <c r="N217" s="24" t="e">
        <f aca="false">IF(M217&gt;0,INDEX(big_daily_table,MATCH(DATE(O$5,$K217,$J217),daily_dates,0),MATCH($B$3,daily_items,0)),NA())</f>
        <v>#N/A</v>
      </c>
      <c r="O217" s="1" t="e">
        <f aca="false">IF(M217&lt;0,INDEX(big_daily_table,MATCH(DATE(O$5,$K217,$J217),daily_dates,0),MATCH($B$3,daily_items,0)),NA())</f>
        <v>#N/A</v>
      </c>
      <c r="P217" s="1" t="e">
        <f aca="false">IF(ISBLANK(INDEX(big_daily_table,MATCH(DATE(P$5,$K217,$J217),daily_dates,0),MATCH($B$3,daily_items,0))),NA(),INDEX(big_daily_table,MATCH(DATE(P$5,$K217,$J217),daily_dates,0),MATCH($B$3,daily_items,0)))</f>
        <v>#N/A</v>
      </c>
      <c r="Q217" s="1" t="e">
        <f aca="false">IF(ISBLANK(INDEX(big_daily_table,MATCH(DATE(Q$5,$K217,$J217),daily_dates,0),MATCH($B$3,daily_items,0))),NA(),INDEX(big_daily_table,MATCH(DATE(Q$5,$K217,$J217),daily_dates,0),MATCH($B$3,daily_items,0)))</f>
        <v>#N/A</v>
      </c>
      <c r="R217" s="1" t="e">
        <f aca="false">IF(ISBLANK(INDEX(big_daily_table,MATCH(DATE(R$5,$K217,$J217),daily_dates,0),MATCH($B$3,daily_items,0))),NA(),INDEX(big_daily_table,MATCH(DATE(R$5,$K217,$J217),daily_dates,0),MATCH($B$3,daily_items,0)))</f>
        <v>#N/A</v>
      </c>
      <c r="S217" s="1" t="e">
        <f aca="false">IF(ISBLANK(INDEX(big_daily_table,MATCH(DATE(S$5,$K217,$J217),daily_dates,0),MATCH($B$3,daily_items,0))),NA(),INDEX(big_daily_table,MATCH(DATE(S$5,$K217,$J217),daily_dates,0),MATCH($B$3,daily_items,0)))</f>
        <v>#N/A</v>
      </c>
      <c r="T217" s="1" t="e">
        <f aca="false">IF(ISBLANK(INDEX(big_daily_table,MATCH(DATE(T$5,$K217,$J217),daily_dates,0),MATCH($B$3,daily_items,0))),NA(),INDEX(big_daily_table,MATCH(DATE(T$5,$K217,$J217),daily_dates,0),MATCH($B$3,daily_items,0)))</f>
        <v>#N/A</v>
      </c>
      <c r="U217" s="1" t="e">
        <f aca="false">IF(ISBLANK(INDEX(big_daily_table,MATCH(DATE(U$5,$K217,$J217),daily_dates,0),MATCH($B$3,daily_items,0))),NA(),INDEX(big_daily_table,MATCH(DATE(U$5,$K217,$J217),daily_dates,0),MATCH($B$3,daily_items,0)))</f>
        <v>#N/A</v>
      </c>
      <c r="V217" s="1" t="e">
        <f aca="false">IF(ISBLANK(INDEX(big_daily_table,MATCH(DATE(V$5,$K217,$J217),daily_dates,0),MATCH($B$3,daily_items,0))),NA(),INDEX(big_daily_table,MATCH(DATE(V$5,$K217,$J217),daily_dates,0),MATCH($B$3,daily_items,0)))</f>
        <v>#N/A</v>
      </c>
      <c r="W217" s="1" t="e">
        <f aca="false">IF(ISBLANK(INDEX(big_daily_table,MATCH(DATE(W$5,$K217,$J217),daily_dates,0),MATCH($B$3,daily_items,0))),NA(),INDEX(big_daily_table,MATCH(DATE(W$5,$K217,$J217),daily_dates,0),MATCH($B$3,daily_items,0)))</f>
        <v>#N/A</v>
      </c>
      <c r="X217" s="1" t="e">
        <f aca="false">IF(ISBLANK(INDEX(big_daily_table,MATCH(DATE(X$5,$K217,$J217),daily_dates,0),MATCH($B$3,daily_items,0))),NA(),INDEX(big_daily_table,MATCH(DATE(X$5,$K217,$J217),daily_dates,0),MATCH($B$3,daily_items,0)))</f>
        <v>#N/A</v>
      </c>
      <c r="Y217" s="1" t="e">
        <f aca="false">IF(ISBLANK(INDEX(big_daily_table,MATCH(DATE(Y$5,$K217,$J217),daily_dates,0),MATCH($B$3,daily_items,0))),NA(),INDEX(big_daily_table,MATCH(DATE(Y$5,$K217,$J217),daily_dates,0),MATCH($B$3,daily_items,0)))</f>
        <v>#N/A</v>
      </c>
      <c r="Z217" s="1" t="e">
        <f aca="false">IF(ISBLANK(INDEX(big_daily_table,MATCH(DATE(Z$5,$K217,$J217),daily_dates,0),MATCH($B$3,daily_items,0))),NA(),INDEX(big_daily_table,MATCH(DATE(Z$5,$K217,$J217),daily_dates,0),MATCH($B$3,daily_items,0)))</f>
        <v>#N/A</v>
      </c>
      <c r="AA217" s="1" t="n">
        <f aca="true">_xlfn.AGGREGATE(5,6,OFFSET($S$5,H217,0,1,$K$2))</f>
        <v>0</v>
      </c>
      <c r="AB217" s="1" t="n">
        <f aca="true">_xlfn.AGGREGATE(4,6,OFFSET($S$5,H217,0,1,$K$2))</f>
        <v>0</v>
      </c>
      <c r="AC217" s="1" t="n">
        <f aca="false">AB217-AA217</f>
        <v>0</v>
      </c>
      <c r="AD217" s="1" t="e">
        <f aca="true">_xlfn.AGGREGATE(1,6,OFFSET($S$5,H217,0,1,$K$2))</f>
        <v>#DIV/0!</v>
      </c>
    </row>
    <row r="218" customFormat="false" ht="14.25" hidden="false" customHeight="false" outlineLevel="0" collapsed="false">
      <c r="H218" s="1" t="n">
        <f aca="false">H217+1</f>
        <v>213</v>
      </c>
      <c r="I218" s="1" t="n">
        <f aca="false">WEEKDAY('daily graphs'!K218)</f>
        <v>2</v>
      </c>
      <c r="J218" s="1" t="n">
        <f aca="false">DAY(L218)</f>
        <v>29</v>
      </c>
      <c r="K218" s="1" t="n">
        <f aca="false">MONTH(L218)</f>
        <v>7</v>
      </c>
      <c r="L218" s="23" t="n">
        <f aca="false">'daily graphs'!K218 - I218</f>
        <v>36736</v>
      </c>
      <c r="M218" s="24" t="n">
        <f aca="true">IF(TODAY()&lt;DATE($O$5,K218,J218),1000000,-1000000)</f>
        <v>-1000000</v>
      </c>
      <c r="N218" s="24" t="e">
        <f aca="false">IF(M218&gt;0,INDEX(big_daily_table,MATCH(DATE(O$5,$K218,$J218),daily_dates,0),MATCH($B$3,daily_items,0)),NA())</f>
        <v>#N/A</v>
      </c>
      <c r="O218" s="1" t="e">
        <f aca="false">IF(M218&lt;0,INDEX(big_daily_table,MATCH(DATE(O$5,$K218,$J218),daily_dates,0),MATCH($B$3,daily_items,0)),NA())</f>
        <v>#N/A</v>
      </c>
      <c r="P218" s="1" t="e">
        <f aca="false">IF(ISBLANK(INDEX(big_daily_table,MATCH(DATE(P$5,$K218,$J218),daily_dates,0),MATCH($B$3,daily_items,0))),NA(),INDEX(big_daily_table,MATCH(DATE(P$5,$K218,$J218),daily_dates,0),MATCH($B$3,daily_items,0)))</f>
        <v>#N/A</v>
      </c>
      <c r="Q218" s="1" t="e">
        <f aca="false">IF(ISBLANK(INDEX(big_daily_table,MATCH(DATE(Q$5,$K218,$J218),daily_dates,0),MATCH($B$3,daily_items,0))),NA(),INDEX(big_daily_table,MATCH(DATE(Q$5,$K218,$J218),daily_dates,0),MATCH($B$3,daily_items,0)))</f>
        <v>#N/A</v>
      </c>
      <c r="R218" s="1" t="e">
        <f aca="false">IF(ISBLANK(INDEX(big_daily_table,MATCH(DATE(R$5,$K218,$J218),daily_dates,0),MATCH($B$3,daily_items,0))),NA(),INDEX(big_daily_table,MATCH(DATE(R$5,$K218,$J218),daily_dates,0),MATCH($B$3,daily_items,0)))</f>
        <v>#N/A</v>
      </c>
      <c r="S218" s="1" t="e">
        <f aca="false">IF(ISBLANK(INDEX(big_daily_table,MATCH(DATE(S$5,$K218,$J218),daily_dates,0),MATCH($B$3,daily_items,0))),NA(),INDEX(big_daily_table,MATCH(DATE(S$5,$K218,$J218),daily_dates,0),MATCH($B$3,daily_items,0)))</f>
        <v>#N/A</v>
      </c>
      <c r="T218" s="1" t="e">
        <f aca="false">IF(ISBLANK(INDEX(big_daily_table,MATCH(DATE(T$5,$K218,$J218),daily_dates,0),MATCH($B$3,daily_items,0))),NA(),INDEX(big_daily_table,MATCH(DATE(T$5,$K218,$J218),daily_dates,0),MATCH($B$3,daily_items,0)))</f>
        <v>#N/A</v>
      </c>
      <c r="U218" s="1" t="e">
        <f aca="false">IF(ISBLANK(INDEX(big_daily_table,MATCH(DATE(U$5,$K218,$J218),daily_dates,0),MATCH($B$3,daily_items,0))),NA(),INDEX(big_daily_table,MATCH(DATE(U$5,$K218,$J218),daily_dates,0),MATCH($B$3,daily_items,0)))</f>
        <v>#N/A</v>
      </c>
      <c r="V218" s="1" t="e">
        <f aca="false">IF(ISBLANK(INDEX(big_daily_table,MATCH(DATE(V$5,$K218,$J218),daily_dates,0),MATCH($B$3,daily_items,0))),NA(),INDEX(big_daily_table,MATCH(DATE(V$5,$K218,$J218),daily_dates,0),MATCH($B$3,daily_items,0)))</f>
        <v>#N/A</v>
      </c>
      <c r="W218" s="1" t="e">
        <f aca="false">IF(ISBLANK(INDEX(big_daily_table,MATCH(DATE(W$5,$K218,$J218),daily_dates,0),MATCH($B$3,daily_items,0))),NA(),INDEX(big_daily_table,MATCH(DATE(W$5,$K218,$J218),daily_dates,0),MATCH($B$3,daily_items,0)))</f>
        <v>#N/A</v>
      </c>
      <c r="X218" s="1" t="e">
        <f aca="false">IF(ISBLANK(INDEX(big_daily_table,MATCH(DATE(X$5,$K218,$J218),daily_dates,0),MATCH($B$3,daily_items,0))),NA(),INDEX(big_daily_table,MATCH(DATE(X$5,$K218,$J218),daily_dates,0),MATCH($B$3,daily_items,0)))</f>
        <v>#N/A</v>
      </c>
      <c r="Y218" s="1" t="e">
        <f aca="false">IF(ISBLANK(INDEX(big_daily_table,MATCH(DATE(Y$5,$K218,$J218),daily_dates,0),MATCH($B$3,daily_items,0))),NA(),INDEX(big_daily_table,MATCH(DATE(Y$5,$K218,$J218),daily_dates,0),MATCH($B$3,daily_items,0)))</f>
        <v>#N/A</v>
      </c>
      <c r="Z218" s="1" t="e">
        <f aca="false">IF(ISBLANK(INDEX(big_daily_table,MATCH(DATE(Z$5,$K218,$J218),daily_dates,0),MATCH($B$3,daily_items,0))),NA(),INDEX(big_daily_table,MATCH(DATE(Z$5,$K218,$J218),daily_dates,0),MATCH($B$3,daily_items,0)))</f>
        <v>#N/A</v>
      </c>
      <c r="AA218" s="1" t="n">
        <f aca="true">_xlfn.AGGREGATE(5,6,OFFSET($S$5,H218,0,1,$K$2))</f>
        <v>0</v>
      </c>
      <c r="AB218" s="1" t="n">
        <f aca="true">_xlfn.AGGREGATE(4,6,OFFSET($S$5,H218,0,1,$K$2))</f>
        <v>0</v>
      </c>
      <c r="AC218" s="1" t="n">
        <f aca="false">AB218-AA218</f>
        <v>0</v>
      </c>
      <c r="AD218" s="1" t="e">
        <f aca="true">_xlfn.AGGREGATE(1,6,OFFSET($S$5,H218,0,1,$K$2))</f>
        <v>#DIV/0!</v>
      </c>
    </row>
    <row r="219" customFormat="false" ht="14.25" hidden="false" customHeight="false" outlineLevel="0" collapsed="false">
      <c r="H219" s="1" t="n">
        <f aca="false">H218+1</f>
        <v>214</v>
      </c>
      <c r="I219" s="1" t="n">
        <f aca="false">WEEKDAY('daily graphs'!K219)</f>
        <v>3</v>
      </c>
      <c r="J219" s="1" t="n">
        <f aca="false">DAY(L219)</f>
        <v>29</v>
      </c>
      <c r="K219" s="1" t="n">
        <f aca="false">MONTH(L219)</f>
        <v>7</v>
      </c>
      <c r="L219" s="23" t="n">
        <f aca="false">'daily graphs'!K219 - I219</f>
        <v>36736</v>
      </c>
      <c r="M219" s="24" t="n">
        <f aca="true">IF(TODAY()&lt;DATE($O$5,K219,J219),1000000,-1000000)</f>
        <v>-1000000</v>
      </c>
      <c r="N219" s="24" t="e">
        <f aca="false">IF(M219&gt;0,INDEX(big_daily_table,MATCH(DATE(O$5,$K219,$J219),daily_dates,0),MATCH($B$3,daily_items,0)),NA())</f>
        <v>#N/A</v>
      </c>
      <c r="O219" s="1" t="e">
        <f aca="false">IF(M219&lt;0,INDEX(big_daily_table,MATCH(DATE(O$5,$K219,$J219),daily_dates,0),MATCH($B$3,daily_items,0)),NA())</f>
        <v>#N/A</v>
      </c>
      <c r="P219" s="1" t="e">
        <f aca="false">IF(ISBLANK(INDEX(big_daily_table,MATCH(DATE(P$5,$K219,$J219),daily_dates,0),MATCH($B$3,daily_items,0))),NA(),INDEX(big_daily_table,MATCH(DATE(P$5,$K219,$J219),daily_dates,0),MATCH($B$3,daily_items,0)))</f>
        <v>#N/A</v>
      </c>
      <c r="Q219" s="1" t="e">
        <f aca="false">IF(ISBLANK(INDEX(big_daily_table,MATCH(DATE(Q$5,$K219,$J219),daily_dates,0),MATCH($B$3,daily_items,0))),NA(),INDEX(big_daily_table,MATCH(DATE(Q$5,$K219,$J219),daily_dates,0),MATCH($B$3,daily_items,0)))</f>
        <v>#N/A</v>
      </c>
      <c r="R219" s="1" t="e">
        <f aca="false">IF(ISBLANK(INDEX(big_daily_table,MATCH(DATE(R$5,$K219,$J219),daily_dates,0),MATCH($B$3,daily_items,0))),NA(),INDEX(big_daily_table,MATCH(DATE(R$5,$K219,$J219),daily_dates,0),MATCH($B$3,daily_items,0)))</f>
        <v>#N/A</v>
      </c>
      <c r="S219" s="1" t="e">
        <f aca="false">IF(ISBLANK(INDEX(big_daily_table,MATCH(DATE(S$5,$K219,$J219),daily_dates,0),MATCH($B$3,daily_items,0))),NA(),INDEX(big_daily_table,MATCH(DATE(S$5,$K219,$J219),daily_dates,0),MATCH($B$3,daily_items,0)))</f>
        <v>#N/A</v>
      </c>
      <c r="T219" s="1" t="e">
        <f aca="false">IF(ISBLANK(INDEX(big_daily_table,MATCH(DATE(T$5,$K219,$J219),daily_dates,0),MATCH($B$3,daily_items,0))),NA(),INDEX(big_daily_table,MATCH(DATE(T$5,$K219,$J219),daily_dates,0),MATCH($B$3,daily_items,0)))</f>
        <v>#N/A</v>
      </c>
      <c r="U219" s="1" t="e">
        <f aca="false">IF(ISBLANK(INDEX(big_daily_table,MATCH(DATE(U$5,$K219,$J219),daily_dates,0),MATCH($B$3,daily_items,0))),NA(),INDEX(big_daily_table,MATCH(DATE(U$5,$K219,$J219),daily_dates,0),MATCH($B$3,daily_items,0)))</f>
        <v>#N/A</v>
      </c>
      <c r="V219" s="1" t="e">
        <f aca="false">IF(ISBLANK(INDEX(big_daily_table,MATCH(DATE(V$5,$K219,$J219),daily_dates,0),MATCH($B$3,daily_items,0))),NA(),INDEX(big_daily_table,MATCH(DATE(V$5,$K219,$J219),daily_dates,0),MATCH($B$3,daily_items,0)))</f>
        <v>#N/A</v>
      </c>
      <c r="W219" s="1" t="e">
        <f aca="false">IF(ISBLANK(INDEX(big_daily_table,MATCH(DATE(W$5,$K219,$J219),daily_dates,0),MATCH($B$3,daily_items,0))),NA(),INDEX(big_daily_table,MATCH(DATE(W$5,$K219,$J219),daily_dates,0),MATCH($B$3,daily_items,0)))</f>
        <v>#N/A</v>
      </c>
      <c r="X219" s="1" t="e">
        <f aca="false">IF(ISBLANK(INDEX(big_daily_table,MATCH(DATE(X$5,$K219,$J219),daily_dates,0),MATCH($B$3,daily_items,0))),NA(),INDEX(big_daily_table,MATCH(DATE(X$5,$K219,$J219),daily_dates,0),MATCH($B$3,daily_items,0)))</f>
        <v>#N/A</v>
      </c>
      <c r="Y219" s="1" t="e">
        <f aca="false">IF(ISBLANK(INDEX(big_daily_table,MATCH(DATE(Y$5,$K219,$J219),daily_dates,0),MATCH($B$3,daily_items,0))),NA(),INDEX(big_daily_table,MATCH(DATE(Y$5,$K219,$J219),daily_dates,0),MATCH($B$3,daily_items,0)))</f>
        <v>#N/A</v>
      </c>
      <c r="Z219" s="1" t="e">
        <f aca="false">IF(ISBLANK(INDEX(big_daily_table,MATCH(DATE(Z$5,$K219,$J219),daily_dates,0),MATCH($B$3,daily_items,0))),NA(),INDEX(big_daily_table,MATCH(DATE(Z$5,$K219,$J219),daily_dates,0),MATCH($B$3,daily_items,0)))</f>
        <v>#N/A</v>
      </c>
      <c r="AA219" s="1" t="n">
        <f aca="true">_xlfn.AGGREGATE(5,6,OFFSET($S$5,H219,0,1,$K$2))</f>
        <v>0</v>
      </c>
      <c r="AB219" s="1" t="n">
        <f aca="true">_xlfn.AGGREGATE(4,6,OFFSET($S$5,H219,0,1,$K$2))</f>
        <v>0</v>
      </c>
      <c r="AC219" s="1" t="n">
        <f aca="false">AB219-AA219</f>
        <v>0</v>
      </c>
      <c r="AD219" s="1" t="e">
        <f aca="true">_xlfn.AGGREGATE(1,6,OFFSET($S$5,H219,0,1,$K$2))</f>
        <v>#DIV/0!</v>
      </c>
    </row>
    <row r="220" customFormat="false" ht="14.25" hidden="false" customHeight="false" outlineLevel="0" collapsed="false">
      <c r="H220" s="1" t="n">
        <f aca="false">H219+1</f>
        <v>215</v>
      </c>
      <c r="I220" s="1" t="n">
        <f aca="false">WEEKDAY('daily graphs'!K220)</f>
        <v>4</v>
      </c>
      <c r="J220" s="1" t="n">
        <f aca="false">DAY(L220)</f>
        <v>29</v>
      </c>
      <c r="K220" s="1" t="n">
        <f aca="false">MONTH(L220)</f>
        <v>7</v>
      </c>
      <c r="L220" s="23" t="n">
        <f aca="false">'daily graphs'!K220 - I220</f>
        <v>36736</v>
      </c>
      <c r="M220" s="24" t="n">
        <f aca="true">IF(TODAY()&lt;DATE($O$5,K220,J220),1000000,-1000000)</f>
        <v>-1000000</v>
      </c>
      <c r="N220" s="24" t="e">
        <f aca="false">IF(M220&gt;0,INDEX(big_daily_table,MATCH(DATE(O$5,$K220,$J220),daily_dates,0),MATCH($B$3,daily_items,0)),NA())</f>
        <v>#N/A</v>
      </c>
      <c r="O220" s="1" t="e">
        <f aca="false">IF(M220&lt;0,INDEX(big_daily_table,MATCH(DATE(O$5,$K220,$J220),daily_dates,0),MATCH($B$3,daily_items,0)),NA())</f>
        <v>#N/A</v>
      </c>
      <c r="P220" s="1" t="e">
        <f aca="false">IF(ISBLANK(INDEX(big_daily_table,MATCH(DATE(P$5,$K220,$J220),daily_dates,0),MATCH($B$3,daily_items,0))),NA(),INDEX(big_daily_table,MATCH(DATE(P$5,$K220,$J220),daily_dates,0),MATCH($B$3,daily_items,0)))</f>
        <v>#N/A</v>
      </c>
      <c r="Q220" s="1" t="e">
        <f aca="false">IF(ISBLANK(INDEX(big_daily_table,MATCH(DATE(Q$5,$K220,$J220),daily_dates,0),MATCH($B$3,daily_items,0))),NA(),INDEX(big_daily_table,MATCH(DATE(Q$5,$K220,$J220),daily_dates,0),MATCH($B$3,daily_items,0)))</f>
        <v>#N/A</v>
      </c>
      <c r="R220" s="1" t="e">
        <f aca="false">IF(ISBLANK(INDEX(big_daily_table,MATCH(DATE(R$5,$K220,$J220),daily_dates,0),MATCH($B$3,daily_items,0))),NA(),INDEX(big_daily_table,MATCH(DATE(R$5,$K220,$J220),daily_dates,0),MATCH($B$3,daily_items,0)))</f>
        <v>#N/A</v>
      </c>
      <c r="S220" s="1" t="e">
        <f aca="false">IF(ISBLANK(INDEX(big_daily_table,MATCH(DATE(S$5,$K220,$J220),daily_dates,0),MATCH($B$3,daily_items,0))),NA(),INDEX(big_daily_table,MATCH(DATE(S$5,$K220,$J220),daily_dates,0),MATCH($B$3,daily_items,0)))</f>
        <v>#N/A</v>
      </c>
      <c r="T220" s="1" t="e">
        <f aca="false">IF(ISBLANK(INDEX(big_daily_table,MATCH(DATE(T$5,$K220,$J220),daily_dates,0),MATCH($B$3,daily_items,0))),NA(),INDEX(big_daily_table,MATCH(DATE(T$5,$K220,$J220),daily_dates,0),MATCH($B$3,daily_items,0)))</f>
        <v>#N/A</v>
      </c>
      <c r="U220" s="1" t="e">
        <f aca="false">IF(ISBLANK(INDEX(big_daily_table,MATCH(DATE(U$5,$K220,$J220),daily_dates,0),MATCH($B$3,daily_items,0))),NA(),INDEX(big_daily_table,MATCH(DATE(U$5,$K220,$J220),daily_dates,0),MATCH($B$3,daily_items,0)))</f>
        <v>#N/A</v>
      </c>
      <c r="V220" s="1" t="e">
        <f aca="false">IF(ISBLANK(INDEX(big_daily_table,MATCH(DATE(V$5,$K220,$J220),daily_dates,0),MATCH($B$3,daily_items,0))),NA(),INDEX(big_daily_table,MATCH(DATE(V$5,$K220,$J220),daily_dates,0),MATCH($B$3,daily_items,0)))</f>
        <v>#N/A</v>
      </c>
      <c r="W220" s="1" t="e">
        <f aca="false">IF(ISBLANK(INDEX(big_daily_table,MATCH(DATE(W$5,$K220,$J220),daily_dates,0),MATCH($B$3,daily_items,0))),NA(),INDEX(big_daily_table,MATCH(DATE(W$5,$K220,$J220),daily_dates,0),MATCH($B$3,daily_items,0)))</f>
        <v>#N/A</v>
      </c>
      <c r="X220" s="1" t="e">
        <f aca="false">IF(ISBLANK(INDEX(big_daily_table,MATCH(DATE(X$5,$K220,$J220),daily_dates,0),MATCH($B$3,daily_items,0))),NA(),INDEX(big_daily_table,MATCH(DATE(X$5,$K220,$J220),daily_dates,0),MATCH($B$3,daily_items,0)))</f>
        <v>#N/A</v>
      </c>
      <c r="Y220" s="1" t="e">
        <f aca="false">IF(ISBLANK(INDEX(big_daily_table,MATCH(DATE(Y$5,$K220,$J220),daily_dates,0),MATCH($B$3,daily_items,0))),NA(),INDEX(big_daily_table,MATCH(DATE(Y$5,$K220,$J220),daily_dates,0),MATCH($B$3,daily_items,0)))</f>
        <v>#N/A</v>
      </c>
      <c r="Z220" s="1" t="e">
        <f aca="false">IF(ISBLANK(INDEX(big_daily_table,MATCH(DATE(Z$5,$K220,$J220),daily_dates,0),MATCH($B$3,daily_items,0))),NA(),INDEX(big_daily_table,MATCH(DATE(Z$5,$K220,$J220),daily_dates,0),MATCH($B$3,daily_items,0)))</f>
        <v>#N/A</v>
      </c>
      <c r="AA220" s="1" t="n">
        <f aca="true">_xlfn.AGGREGATE(5,6,OFFSET($S$5,H220,0,1,$K$2))</f>
        <v>0</v>
      </c>
      <c r="AB220" s="1" t="n">
        <f aca="true">_xlfn.AGGREGATE(4,6,OFFSET($S$5,H220,0,1,$K$2))</f>
        <v>0</v>
      </c>
      <c r="AC220" s="1" t="n">
        <f aca="false">AB220-AA220</f>
        <v>0</v>
      </c>
      <c r="AD220" s="1" t="e">
        <f aca="true">_xlfn.AGGREGATE(1,6,OFFSET($S$5,H220,0,1,$K$2))</f>
        <v>#DIV/0!</v>
      </c>
    </row>
    <row r="221" customFormat="false" ht="14.25" hidden="false" customHeight="false" outlineLevel="0" collapsed="false">
      <c r="H221" s="1" t="n">
        <f aca="false">H220+1</f>
        <v>216</v>
      </c>
      <c r="I221" s="1" t="n">
        <f aca="false">WEEKDAY('daily graphs'!K221)</f>
        <v>5</v>
      </c>
      <c r="J221" s="1" t="n">
        <f aca="false">DAY(L221)</f>
        <v>29</v>
      </c>
      <c r="K221" s="1" t="n">
        <f aca="false">MONTH(L221)</f>
        <v>7</v>
      </c>
      <c r="L221" s="23" t="n">
        <f aca="false">'daily graphs'!K221 - I221</f>
        <v>36736</v>
      </c>
      <c r="M221" s="24" t="n">
        <f aca="true">IF(TODAY()&lt;DATE($O$5,K221,J221),1000000,-1000000)</f>
        <v>-1000000</v>
      </c>
      <c r="N221" s="24" t="e">
        <f aca="false">IF(M221&gt;0,INDEX(big_daily_table,MATCH(DATE(O$5,$K221,$J221),daily_dates,0),MATCH($B$3,daily_items,0)),NA())</f>
        <v>#N/A</v>
      </c>
      <c r="O221" s="1" t="e">
        <f aca="false">IF(M221&lt;0,INDEX(big_daily_table,MATCH(DATE(O$5,$K221,$J221),daily_dates,0),MATCH($B$3,daily_items,0)),NA())</f>
        <v>#N/A</v>
      </c>
      <c r="P221" s="1" t="e">
        <f aca="false">IF(ISBLANK(INDEX(big_daily_table,MATCH(DATE(P$5,$K221,$J221),daily_dates,0),MATCH($B$3,daily_items,0))),NA(),INDEX(big_daily_table,MATCH(DATE(P$5,$K221,$J221),daily_dates,0),MATCH($B$3,daily_items,0)))</f>
        <v>#N/A</v>
      </c>
      <c r="Q221" s="1" t="e">
        <f aca="false">IF(ISBLANK(INDEX(big_daily_table,MATCH(DATE(Q$5,$K221,$J221),daily_dates,0),MATCH($B$3,daily_items,0))),NA(),INDEX(big_daily_table,MATCH(DATE(Q$5,$K221,$J221),daily_dates,0),MATCH($B$3,daily_items,0)))</f>
        <v>#N/A</v>
      </c>
      <c r="R221" s="1" t="e">
        <f aca="false">IF(ISBLANK(INDEX(big_daily_table,MATCH(DATE(R$5,$K221,$J221),daily_dates,0),MATCH($B$3,daily_items,0))),NA(),INDEX(big_daily_table,MATCH(DATE(R$5,$K221,$J221),daily_dates,0),MATCH($B$3,daily_items,0)))</f>
        <v>#N/A</v>
      </c>
      <c r="S221" s="1" t="e">
        <f aca="false">IF(ISBLANK(INDEX(big_daily_table,MATCH(DATE(S$5,$K221,$J221),daily_dates,0),MATCH($B$3,daily_items,0))),NA(),INDEX(big_daily_table,MATCH(DATE(S$5,$K221,$J221),daily_dates,0),MATCH($B$3,daily_items,0)))</f>
        <v>#N/A</v>
      </c>
      <c r="T221" s="1" t="e">
        <f aca="false">IF(ISBLANK(INDEX(big_daily_table,MATCH(DATE(T$5,$K221,$J221),daily_dates,0),MATCH($B$3,daily_items,0))),NA(),INDEX(big_daily_table,MATCH(DATE(T$5,$K221,$J221),daily_dates,0),MATCH($B$3,daily_items,0)))</f>
        <v>#N/A</v>
      </c>
      <c r="U221" s="1" t="e">
        <f aca="false">IF(ISBLANK(INDEX(big_daily_table,MATCH(DATE(U$5,$K221,$J221),daily_dates,0),MATCH($B$3,daily_items,0))),NA(),INDEX(big_daily_table,MATCH(DATE(U$5,$K221,$J221),daily_dates,0),MATCH($B$3,daily_items,0)))</f>
        <v>#N/A</v>
      </c>
      <c r="V221" s="1" t="e">
        <f aca="false">IF(ISBLANK(INDEX(big_daily_table,MATCH(DATE(V$5,$K221,$J221),daily_dates,0),MATCH($B$3,daily_items,0))),NA(),INDEX(big_daily_table,MATCH(DATE(V$5,$K221,$J221),daily_dates,0),MATCH($B$3,daily_items,0)))</f>
        <v>#N/A</v>
      </c>
      <c r="W221" s="1" t="e">
        <f aca="false">IF(ISBLANK(INDEX(big_daily_table,MATCH(DATE(W$5,$K221,$J221),daily_dates,0),MATCH($B$3,daily_items,0))),NA(),INDEX(big_daily_table,MATCH(DATE(W$5,$K221,$J221),daily_dates,0),MATCH($B$3,daily_items,0)))</f>
        <v>#N/A</v>
      </c>
      <c r="X221" s="1" t="e">
        <f aca="false">IF(ISBLANK(INDEX(big_daily_table,MATCH(DATE(X$5,$K221,$J221),daily_dates,0),MATCH($B$3,daily_items,0))),NA(),INDEX(big_daily_table,MATCH(DATE(X$5,$K221,$J221),daily_dates,0),MATCH($B$3,daily_items,0)))</f>
        <v>#N/A</v>
      </c>
      <c r="Y221" s="1" t="e">
        <f aca="false">IF(ISBLANK(INDEX(big_daily_table,MATCH(DATE(Y$5,$K221,$J221),daily_dates,0),MATCH($B$3,daily_items,0))),NA(),INDEX(big_daily_table,MATCH(DATE(Y$5,$K221,$J221),daily_dates,0),MATCH($B$3,daily_items,0)))</f>
        <v>#N/A</v>
      </c>
      <c r="Z221" s="1" t="e">
        <f aca="false">IF(ISBLANK(INDEX(big_daily_table,MATCH(DATE(Z$5,$K221,$J221),daily_dates,0),MATCH($B$3,daily_items,0))),NA(),INDEX(big_daily_table,MATCH(DATE(Z$5,$K221,$J221),daily_dates,0),MATCH($B$3,daily_items,0)))</f>
        <v>#N/A</v>
      </c>
      <c r="AA221" s="1" t="n">
        <f aca="true">_xlfn.AGGREGATE(5,6,OFFSET($S$5,H221,0,1,$K$2))</f>
        <v>0</v>
      </c>
      <c r="AB221" s="1" t="n">
        <f aca="true">_xlfn.AGGREGATE(4,6,OFFSET($S$5,H221,0,1,$K$2))</f>
        <v>0</v>
      </c>
      <c r="AC221" s="1" t="n">
        <f aca="false">AB221-AA221</f>
        <v>0</v>
      </c>
      <c r="AD221" s="1" t="e">
        <f aca="true">_xlfn.AGGREGATE(1,6,OFFSET($S$5,H221,0,1,$K$2))</f>
        <v>#DIV/0!</v>
      </c>
    </row>
    <row r="222" customFormat="false" ht="14.25" hidden="false" customHeight="false" outlineLevel="0" collapsed="false">
      <c r="H222" s="1" t="n">
        <f aca="false">H221+1</f>
        <v>217</v>
      </c>
      <c r="I222" s="1" t="n">
        <f aca="false">WEEKDAY('daily graphs'!K222)</f>
        <v>6</v>
      </c>
      <c r="J222" s="1" t="n">
        <f aca="false">DAY(L222)</f>
        <v>29</v>
      </c>
      <c r="K222" s="1" t="n">
        <f aca="false">MONTH(L222)</f>
        <v>7</v>
      </c>
      <c r="L222" s="23" t="n">
        <f aca="false">'daily graphs'!K222 - I222</f>
        <v>36736</v>
      </c>
      <c r="M222" s="24" t="n">
        <f aca="true">IF(TODAY()&lt;DATE($O$5,K222,J222),1000000,-1000000)</f>
        <v>-1000000</v>
      </c>
      <c r="N222" s="24" t="e">
        <f aca="false">IF(M222&gt;0,INDEX(big_daily_table,MATCH(DATE(O$5,$K222,$J222),daily_dates,0),MATCH($B$3,daily_items,0)),NA())</f>
        <v>#N/A</v>
      </c>
      <c r="O222" s="1" t="e">
        <f aca="false">IF(M222&lt;0,INDEX(big_daily_table,MATCH(DATE(O$5,$K222,$J222),daily_dates,0),MATCH($B$3,daily_items,0)),NA())</f>
        <v>#N/A</v>
      </c>
      <c r="P222" s="1" t="e">
        <f aca="false">IF(ISBLANK(INDEX(big_daily_table,MATCH(DATE(P$5,$K222,$J222),daily_dates,0),MATCH($B$3,daily_items,0))),NA(),INDEX(big_daily_table,MATCH(DATE(P$5,$K222,$J222),daily_dates,0),MATCH($B$3,daily_items,0)))</f>
        <v>#N/A</v>
      </c>
      <c r="Q222" s="1" t="e">
        <f aca="false">IF(ISBLANK(INDEX(big_daily_table,MATCH(DATE(Q$5,$K222,$J222),daily_dates,0),MATCH($B$3,daily_items,0))),NA(),INDEX(big_daily_table,MATCH(DATE(Q$5,$K222,$J222),daily_dates,0),MATCH($B$3,daily_items,0)))</f>
        <v>#N/A</v>
      </c>
      <c r="R222" s="1" t="e">
        <f aca="false">IF(ISBLANK(INDEX(big_daily_table,MATCH(DATE(R$5,$K222,$J222),daily_dates,0),MATCH($B$3,daily_items,0))),NA(),INDEX(big_daily_table,MATCH(DATE(R$5,$K222,$J222),daily_dates,0),MATCH($B$3,daily_items,0)))</f>
        <v>#N/A</v>
      </c>
      <c r="S222" s="1" t="e">
        <f aca="false">IF(ISBLANK(INDEX(big_daily_table,MATCH(DATE(S$5,$K222,$J222),daily_dates,0),MATCH($B$3,daily_items,0))),NA(),INDEX(big_daily_table,MATCH(DATE(S$5,$K222,$J222),daily_dates,0),MATCH($B$3,daily_items,0)))</f>
        <v>#N/A</v>
      </c>
      <c r="T222" s="1" t="e">
        <f aca="false">IF(ISBLANK(INDEX(big_daily_table,MATCH(DATE(T$5,$K222,$J222),daily_dates,0),MATCH($B$3,daily_items,0))),NA(),INDEX(big_daily_table,MATCH(DATE(T$5,$K222,$J222),daily_dates,0),MATCH($B$3,daily_items,0)))</f>
        <v>#N/A</v>
      </c>
      <c r="U222" s="1" t="e">
        <f aca="false">IF(ISBLANK(INDEX(big_daily_table,MATCH(DATE(U$5,$K222,$J222),daily_dates,0),MATCH($B$3,daily_items,0))),NA(),INDEX(big_daily_table,MATCH(DATE(U$5,$K222,$J222),daily_dates,0),MATCH($B$3,daily_items,0)))</f>
        <v>#N/A</v>
      </c>
      <c r="V222" s="1" t="e">
        <f aca="false">IF(ISBLANK(INDEX(big_daily_table,MATCH(DATE(V$5,$K222,$J222),daily_dates,0),MATCH($B$3,daily_items,0))),NA(),INDEX(big_daily_table,MATCH(DATE(V$5,$K222,$J222),daily_dates,0),MATCH($B$3,daily_items,0)))</f>
        <v>#N/A</v>
      </c>
      <c r="W222" s="1" t="e">
        <f aca="false">IF(ISBLANK(INDEX(big_daily_table,MATCH(DATE(W$5,$K222,$J222),daily_dates,0),MATCH($B$3,daily_items,0))),NA(),INDEX(big_daily_table,MATCH(DATE(W$5,$K222,$J222),daily_dates,0),MATCH($B$3,daily_items,0)))</f>
        <v>#N/A</v>
      </c>
      <c r="X222" s="1" t="e">
        <f aca="false">IF(ISBLANK(INDEX(big_daily_table,MATCH(DATE(X$5,$K222,$J222),daily_dates,0),MATCH($B$3,daily_items,0))),NA(),INDEX(big_daily_table,MATCH(DATE(X$5,$K222,$J222),daily_dates,0),MATCH($B$3,daily_items,0)))</f>
        <v>#N/A</v>
      </c>
      <c r="Y222" s="1" t="e">
        <f aca="false">IF(ISBLANK(INDEX(big_daily_table,MATCH(DATE(Y$5,$K222,$J222),daily_dates,0),MATCH($B$3,daily_items,0))),NA(),INDEX(big_daily_table,MATCH(DATE(Y$5,$K222,$J222),daily_dates,0),MATCH($B$3,daily_items,0)))</f>
        <v>#N/A</v>
      </c>
      <c r="Z222" s="1" t="e">
        <f aca="false">IF(ISBLANK(INDEX(big_daily_table,MATCH(DATE(Z$5,$K222,$J222),daily_dates,0),MATCH($B$3,daily_items,0))),NA(),INDEX(big_daily_table,MATCH(DATE(Z$5,$K222,$J222),daily_dates,0),MATCH($B$3,daily_items,0)))</f>
        <v>#N/A</v>
      </c>
      <c r="AA222" s="1" t="n">
        <f aca="true">_xlfn.AGGREGATE(5,6,OFFSET($S$5,H222,0,1,$K$2))</f>
        <v>0</v>
      </c>
      <c r="AB222" s="1" t="n">
        <f aca="true">_xlfn.AGGREGATE(4,6,OFFSET($S$5,H222,0,1,$K$2))</f>
        <v>0</v>
      </c>
      <c r="AC222" s="1" t="n">
        <f aca="false">AB222-AA222</f>
        <v>0</v>
      </c>
      <c r="AD222" s="1" t="e">
        <f aca="true">_xlfn.AGGREGATE(1,6,OFFSET($S$5,H222,0,1,$K$2))</f>
        <v>#DIV/0!</v>
      </c>
    </row>
    <row r="223" customFormat="false" ht="14.25" hidden="false" customHeight="false" outlineLevel="0" collapsed="false">
      <c r="H223" s="1" t="n">
        <f aca="false">H222+1</f>
        <v>218</v>
      </c>
      <c r="I223" s="1" t="n">
        <f aca="false">WEEKDAY('daily graphs'!K223)</f>
        <v>7</v>
      </c>
      <c r="J223" s="1" t="n">
        <f aca="false">DAY(L223)</f>
        <v>29</v>
      </c>
      <c r="K223" s="1" t="n">
        <f aca="false">MONTH(L223)</f>
        <v>7</v>
      </c>
      <c r="L223" s="23" t="n">
        <f aca="false">'daily graphs'!K223 - I223</f>
        <v>36736</v>
      </c>
      <c r="M223" s="24" t="n">
        <f aca="true">IF(TODAY()&lt;DATE($O$5,K223,J223),1000000,-1000000)</f>
        <v>-1000000</v>
      </c>
      <c r="N223" s="24" t="e">
        <f aca="false">IF(M223&gt;0,INDEX(big_daily_table,MATCH(DATE(O$5,$K223,$J223),daily_dates,0),MATCH($B$3,daily_items,0)),NA())</f>
        <v>#N/A</v>
      </c>
      <c r="O223" s="1" t="e">
        <f aca="false">IF(M223&lt;0,INDEX(big_daily_table,MATCH(DATE(O$5,$K223,$J223),daily_dates,0),MATCH($B$3,daily_items,0)),NA())</f>
        <v>#N/A</v>
      </c>
      <c r="P223" s="1" t="e">
        <f aca="false">IF(ISBLANK(INDEX(big_daily_table,MATCH(DATE(P$5,$K223,$J223),daily_dates,0),MATCH($B$3,daily_items,0))),NA(),INDEX(big_daily_table,MATCH(DATE(P$5,$K223,$J223),daily_dates,0),MATCH($B$3,daily_items,0)))</f>
        <v>#N/A</v>
      </c>
      <c r="Q223" s="1" t="e">
        <f aca="false">IF(ISBLANK(INDEX(big_daily_table,MATCH(DATE(Q$5,$K223,$J223),daily_dates,0),MATCH($B$3,daily_items,0))),NA(),INDEX(big_daily_table,MATCH(DATE(Q$5,$K223,$J223),daily_dates,0),MATCH($B$3,daily_items,0)))</f>
        <v>#N/A</v>
      </c>
      <c r="R223" s="1" t="e">
        <f aca="false">IF(ISBLANK(INDEX(big_daily_table,MATCH(DATE(R$5,$K223,$J223),daily_dates,0),MATCH($B$3,daily_items,0))),NA(),INDEX(big_daily_table,MATCH(DATE(R$5,$K223,$J223),daily_dates,0),MATCH($B$3,daily_items,0)))</f>
        <v>#N/A</v>
      </c>
      <c r="S223" s="1" t="e">
        <f aca="false">IF(ISBLANK(INDEX(big_daily_table,MATCH(DATE(S$5,$K223,$J223),daily_dates,0),MATCH($B$3,daily_items,0))),NA(),INDEX(big_daily_table,MATCH(DATE(S$5,$K223,$J223),daily_dates,0),MATCH($B$3,daily_items,0)))</f>
        <v>#N/A</v>
      </c>
      <c r="T223" s="1" t="e">
        <f aca="false">IF(ISBLANK(INDEX(big_daily_table,MATCH(DATE(T$5,$K223,$J223),daily_dates,0),MATCH($B$3,daily_items,0))),NA(),INDEX(big_daily_table,MATCH(DATE(T$5,$K223,$J223),daily_dates,0),MATCH($B$3,daily_items,0)))</f>
        <v>#N/A</v>
      </c>
      <c r="U223" s="1" t="e">
        <f aca="false">IF(ISBLANK(INDEX(big_daily_table,MATCH(DATE(U$5,$K223,$J223),daily_dates,0),MATCH($B$3,daily_items,0))),NA(),INDEX(big_daily_table,MATCH(DATE(U$5,$K223,$J223),daily_dates,0),MATCH($B$3,daily_items,0)))</f>
        <v>#N/A</v>
      </c>
      <c r="V223" s="1" t="e">
        <f aca="false">IF(ISBLANK(INDEX(big_daily_table,MATCH(DATE(V$5,$K223,$J223),daily_dates,0),MATCH($B$3,daily_items,0))),NA(),INDEX(big_daily_table,MATCH(DATE(V$5,$K223,$J223),daily_dates,0),MATCH($B$3,daily_items,0)))</f>
        <v>#N/A</v>
      </c>
      <c r="W223" s="1" t="e">
        <f aca="false">IF(ISBLANK(INDEX(big_daily_table,MATCH(DATE(W$5,$K223,$J223),daily_dates,0),MATCH($B$3,daily_items,0))),NA(),INDEX(big_daily_table,MATCH(DATE(W$5,$K223,$J223),daily_dates,0),MATCH($B$3,daily_items,0)))</f>
        <v>#N/A</v>
      </c>
      <c r="X223" s="1" t="e">
        <f aca="false">IF(ISBLANK(INDEX(big_daily_table,MATCH(DATE(X$5,$K223,$J223),daily_dates,0),MATCH($B$3,daily_items,0))),NA(),INDEX(big_daily_table,MATCH(DATE(X$5,$K223,$J223),daily_dates,0),MATCH($B$3,daily_items,0)))</f>
        <v>#N/A</v>
      </c>
      <c r="Y223" s="1" t="e">
        <f aca="false">IF(ISBLANK(INDEX(big_daily_table,MATCH(DATE(Y$5,$K223,$J223),daily_dates,0),MATCH($B$3,daily_items,0))),NA(),INDEX(big_daily_table,MATCH(DATE(Y$5,$K223,$J223),daily_dates,0),MATCH($B$3,daily_items,0)))</f>
        <v>#N/A</v>
      </c>
      <c r="Z223" s="1" t="e">
        <f aca="false">IF(ISBLANK(INDEX(big_daily_table,MATCH(DATE(Z$5,$K223,$J223),daily_dates,0),MATCH($B$3,daily_items,0))),NA(),INDEX(big_daily_table,MATCH(DATE(Z$5,$K223,$J223),daily_dates,0),MATCH($B$3,daily_items,0)))</f>
        <v>#N/A</v>
      </c>
      <c r="AA223" s="1" t="n">
        <f aca="true">_xlfn.AGGREGATE(5,6,OFFSET($S$5,H223,0,1,$K$2))</f>
        <v>0</v>
      </c>
      <c r="AB223" s="1" t="n">
        <f aca="true">_xlfn.AGGREGATE(4,6,OFFSET($S$5,H223,0,1,$K$2))</f>
        <v>0</v>
      </c>
      <c r="AC223" s="1" t="n">
        <f aca="false">AB223-AA223</f>
        <v>0</v>
      </c>
      <c r="AD223" s="1" t="e">
        <f aca="true">_xlfn.AGGREGATE(1,6,OFFSET($S$5,H223,0,1,$K$2))</f>
        <v>#DIV/0!</v>
      </c>
    </row>
    <row r="224" customFormat="false" ht="14.25" hidden="false" customHeight="false" outlineLevel="0" collapsed="false">
      <c r="H224" s="1" t="n">
        <f aca="false">H223+1</f>
        <v>219</v>
      </c>
      <c r="I224" s="1" t="n">
        <f aca="false">WEEKDAY('daily graphs'!K224)</f>
        <v>1</v>
      </c>
      <c r="J224" s="1" t="n">
        <f aca="false">DAY(L224)</f>
        <v>5</v>
      </c>
      <c r="K224" s="1" t="n">
        <f aca="false">MONTH(L224)</f>
        <v>8</v>
      </c>
      <c r="L224" s="23" t="n">
        <f aca="false">'daily graphs'!K224 - I224</f>
        <v>36743</v>
      </c>
      <c r="M224" s="24" t="n">
        <f aca="true">IF(TODAY()&lt;DATE($O$5,K224,J224),1000000,-1000000)</f>
        <v>-1000000</v>
      </c>
      <c r="N224" s="24" t="e">
        <f aca="false">IF(M224&gt;0,INDEX(big_daily_table,MATCH(DATE(O$5,$K224,$J224),daily_dates,0),MATCH($B$3,daily_items,0)),NA())</f>
        <v>#N/A</v>
      </c>
      <c r="O224" s="1" t="e">
        <f aca="false">IF(M224&lt;0,INDEX(big_daily_table,MATCH(DATE(O$5,$K224,$J224),daily_dates,0),MATCH($B$3,daily_items,0)),NA())</f>
        <v>#N/A</v>
      </c>
      <c r="P224" s="1" t="e">
        <f aca="false">IF(ISBLANK(INDEX(big_daily_table,MATCH(DATE(P$5,$K224,$J224),daily_dates,0),MATCH($B$3,daily_items,0))),NA(),INDEX(big_daily_table,MATCH(DATE(P$5,$K224,$J224),daily_dates,0),MATCH($B$3,daily_items,0)))</f>
        <v>#N/A</v>
      </c>
      <c r="Q224" s="1" t="e">
        <f aca="false">IF(ISBLANK(INDEX(big_daily_table,MATCH(DATE(Q$5,$K224,$J224),daily_dates,0),MATCH($B$3,daily_items,0))),NA(),INDEX(big_daily_table,MATCH(DATE(Q$5,$K224,$J224),daily_dates,0),MATCH($B$3,daily_items,0)))</f>
        <v>#N/A</v>
      </c>
      <c r="R224" s="1" t="e">
        <f aca="false">IF(ISBLANK(INDEX(big_daily_table,MATCH(DATE(R$5,$K224,$J224),daily_dates,0),MATCH($B$3,daily_items,0))),NA(),INDEX(big_daily_table,MATCH(DATE(R$5,$K224,$J224),daily_dates,0),MATCH($B$3,daily_items,0)))</f>
        <v>#N/A</v>
      </c>
      <c r="S224" s="1" t="e">
        <f aca="false">IF(ISBLANK(INDEX(big_daily_table,MATCH(DATE(S$5,$K224,$J224),daily_dates,0),MATCH($B$3,daily_items,0))),NA(),INDEX(big_daily_table,MATCH(DATE(S$5,$K224,$J224),daily_dates,0),MATCH($B$3,daily_items,0)))</f>
        <v>#N/A</v>
      </c>
      <c r="T224" s="1" t="e">
        <f aca="false">IF(ISBLANK(INDEX(big_daily_table,MATCH(DATE(T$5,$K224,$J224),daily_dates,0),MATCH($B$3,daily_items,0))),NA(),INDEX(big_daily_table,MATCH(DATE(T$5,$K224,$J224),daily_dates,0),MATCH($B$3,daily_items,0)))</f>
        <v>#N/A</v>
      </c>
      <c r="U224" s="1" t="e">
        <f aca="false">IF(ISBLANK(INDEX(big_daily_table,MATCH(DATE(U$5,$K224,$J224),daily_dates,0),MATCH($B$3,daily_items,0))),NA(),INDEX(big_daily_table,MATCH(DATE(U$5,$K224,$J224),daily_dates,0),MATCH($B$3,daily_items,0)))</f>
        <v>#N/A</v>
      </c>
      <c r="V224" s="1" t="e">
        <f aca="false">IF(ISBLANK(INDEX(big_daily_table,MATCH(DATE(V$5,$K224,$J224),daily_dates,0),MATCH($B$3,daily_items,0))),NA(),INDEX(big_daily_table,MATCH(DATE(V$5,$K224,$J224),daily_dates,0),MATCH($B$3,daily_items,0)))</f>
        <v>#N/A</v>
      </c>
      <c r="W224" s="1" t="e">
        <f aca="false">IF(ISBLANK(INDEX(big_daily_table,MATCH(DATE(W$5,$K224,$J224),daily_dates,0),MATCH($B$3,daily_items,0))),NA(),INDEX(big_daily_table,MATCH(DATE(W$5,$K224,$J224),daily_dates,0),MATCH($B$3,daily_items,0)))</f>
        <v>#N/A</v>
      </c>
      <c r="X224" s="1" t="e">
        <f aca="false">IF(ISBLANK(INDEX(big_daily_table,MATCH(DATE(X$5,$K224,$J224),daily_dates,0),MATCH($B$3,daily_items,0))),NA(),INDEX(big_daily_table,MATCH(DATE(X$5,$K224,$J224),daily_dates,0),MATCH($B$3,daily_items,0)))</f>
        <v>#N/A</v>
      </c>
      <c r="Y224" s="1" t="e">
        <f aca="false">IF(ISBLANK(INDEX(big_daily_table,MATCH(DATE(Y$5,$K224,$J224),daily_dates,0),MATCH($B$3,daily_items,0))),NA(),INDEX(big_daily_table,MATCH(DATE(Y$5,$K224,$J224),daily_dates,0),MATCH($B$3,daily_items,0)))</f>
        <v>#N/A</v>
      </c>
      <c r="Z224" s="1" t="e">
        <f aca="false">IF(ISBLANK(INDEX(big_daily_table,MATCH(DATE(Z$5,$K224,$J224),daily_dates,0),MATCH($B$3,daily_items,0))),NA(),INDEX(big_daily_table,MATCH(DATE(Z$5,$K224,$J224),daily_dates,0),MATCH($B$3,daily_items,0)))</f>
        <v>#N/A</v>
      </c>
      <c r="AA224" s="1" t="n">
        <f aca="true">_xlfn.AGGREGATE(5,6,OFFSET($S$5,H224,0,1,$K$2))</f>
        <v>0</v>
      </c>
      <c r="AB224" s="1" t="n">
        <f aca="true">_xlfn.AGGREGATE(4,6,OFFSET($S$5,H224,0,1,$K$2))</f>
        <v>0</v>
      </c>
      <c r="AC224" s="1" t="n">
        <f aca="false">AB224-AA224</f>
        <v>0</v>
      </c>
      <c r="AD224" s="1" t="e">
        <f aca="true">_xlfn.AGGREGATE(1,6,OFFSET($S$5,H224,0,1,$K$2))</f>
        <v>#DIV/0!</v>
      </c>
    </row>
    <row r="225" customFormat="false" ht="14.25" hidden="false" customHeight="false" outlineLevel="0" collapsed="false">
      <c r="H225" s="1" t="n">
        <f aca="false">H224+1</f>
        <v>220</v>
      </c>
      <c r="I225" s="1" t="n">
        <f aca="false">WEEKDAY('daily graphs'!K225)</f>
        <v>2</v>
      </c>
      <c r="J225" s="1" t="n">
        <f aca="false">DAY(L225)</f>
        <v>5</v>
      </c>
      <c r="K225" s="1" t="n">
        <f aca="false">MONTH(L225)</f>
        <v>8</v>
      </c>
      <c r="L225" s="23" t="n">
        <f aca="false">'daily graphs'!K225 - I225</f>
        <v>36743</v>
      </c>
      <c r="M225" s="24" t="n">
        <f aca="true">IF(TODAY()&lt;DATE($O$5,K225,J225),1000000,-1000000)</f>
        <v>-1000000</v>
      </c>
      <c r="N225" s="24" t="e">
        <f aca="false">IF(M225&gt;0,INDEX(big_daily_table,MATCH(DATE(O$5,$K225,$J225),daily_dates,0),MATCH($B$3,daily_items,0)),NA())</f>
        <v>#N/A</v>
      </c>
      <c r="O225" s="1" t="e">
        <f aca="false">IF(M225&lt;0,INDEX(big_daily_table,MATCH(DATE(O$5,$K225,$J225),daily_dates,0),MATCH($B$3,daily_items,0)),NA())</f>
        <v>#N/A</v>
      </c>
      <c r="P225" s="1" t="e">
        <f aca="false">IF(ISBLANK(INDEX(big_daily_table,MATCH(DATE(P$5,$K225,$J225),daily_dates,0),MATCH($B$3,daily_items,0))),NA(),INDEX(big_daily_table,MATCH(DATE(P$5,$K225,$J225),daily_dates,0),MATCH($B$3,daily_items,0)))</f>
        <v>#N/A</v>
      </c>
      <c r="Q225" s="1" t="e">
        <f aca="false">IF(ISBLANK(INDEX(big_daily_table,MATCH(DATE(Q$5,$K225,$J225),daily_dates,0),MATCH($B$3,daily_items,0))),NA(),INDEX(big_daily_table,MATCH(DATE(Q$5,$K225,$J225),daily_dates,0),MATCH($B$3,daily_items,0)))</f>
        <v>#N/A</v>
      </c>
      <c r="R225" s="1" t="e">
        <f aca="false">IF(ISBLANK(INDEX(big_daily_table,MATCH(DATE(R$5,$K225,$J225),daily_dates,0),MATCH($B$3,daily_items,0))),NA(),INDEX(big_daily_table,MATCH(DATE(R$5,$K225,$J225),daily_dates,0),MATCH($B$3,daily_items,0)))</f>
        <v>#N/A</v>
      </c>
      <c r="S225" s="1" t="e">
        <f aca="false">IF(ISBLANK(INDEX(big_daily_table,MATCH(DATE(S$5,$K225,$J225),daily_dates,0),MATCH($B$3,daily_items,0))),NA(),INDEX(big_daily_table,MATCH(DATE(S$5,$K225,$J225),daily_dates,0),MATCH($B$3,daily_items,0)))</f>
        <v>#N/A</v>
      </c>
      <c r="T225" s="1" t="e">
        <f aca="false">IF(ISBLANK(INDEX(big_daily_table,MATCH(DATE(T$5,$K225,$J225),daily_dates,0),MATCH($B$3,daily_items,0))),NA(),INDEX(big_daily_table,MATCH(DATE(T$5,$K225,$J225),daily_dates,0),MATCH($B$3,daily_items,0)))</f>
        <v>#N/A</v>
      </c>
      <c r="U225" s="1" t="e">
        <f aca="false">IF(ISBLANK(INDEX(big_daily_table,MATCH(DATE(U$5,$K225,$J225),daily_dates,0),MATCH($B$3,daily_items,0))),NA(),INDEX(big_daily_table,MATCH(DATE(U$5,$K225,$J225),daily_dates,0),MATCH($B$3,daily_items,0)))</f>
        <v>#N/A</v>
      </c>
      <c r="V225" s="1" t="e">
        <f aca="false">IF(ISBLANK(INDEX(big_daily_table,MATCH(DATE(V$5,$K225,$J225),daily_dates,0),MATCH($B$3,daily_items,0))),NA(),INDEX(big_daily_table,MATCH(DATE(V$5,$K225,$J225),daily_dates,0),MATCH($B$3,daily_items,0)))</f>
        <v>#N/A</v>
      </c>
      <c r="W225" s="1" t="e">
        <f aca="false">IF(ISBLANK(INDEX(big_daily_table,MATCH(DATE(W$5,$K225,$J225),daily_dates,0),MATCH($B$3,daily_items,0))),NA(),INDEX(big_daily_table,MATCH(DATE(W$5,$K225,$J225),daily_dates,0),MATCH($B$3,daily_items,0)))</f>
        <v>#N/A</v>
      </c>
      <c r="X225" s="1" t="e">
        <f aca="false">IF(ISBLANK(INDEX(big_daily_table,MATCH(DATE(X$5,$K225,$J225),daily_dates,0),MATCH($B$3,daily_items,0))),NA(),INDEX(big_daily_table,MATCH(DATE(X$5,$K225,$J225),daily_dates,0),MATCH($B$3,daily_items,0)))</f>
        <v>#N/A</v>
      </c>
      <c r="Y225" s="1" t="e">
        <f aca="false">IF(ISBLANK(INDEX(big_daily_table,MATCH(DATE(Y$5,$K225,$J225),daily_dates,0),MATCH($B$3,daily_items,0))),NA(),INDEX(big_daily_table,MATCH(DATE(Y$5,$K225,$J225),daily_dates,0),MATCH($B$3,daily_items,0)))</f>
        <v>#N/A</v>
      </c>
      <c r="Z225" s="1" t="e">
        <f aca="false">IF(ISBLANK(INDEX(big_daily_table,MATCH(DATE(Z$5,$K225,$J225),daily_dates,0),MATCH($B$3,daily_items,0))),NA(),INDEX(big_daily_table,MATCH(DATE(Z$5,$K225,$J225),daily_dates,0),MATCH($B$3,daily_items,0)))</f>
        <v>#N/A</v>
      </c>
      <c r="AA225" s="1" t="n">
        <f aca="true">_xlfn.AGGREGATE(5,6,OFFSET($S$5,H225,0,1,$K$2))</f>
        <v>0</v>
      </c>
      <c r="AB225" s="1" t="n">
        <f aca="true">_xlfn.AGGREGATE(4,6,OFFSET($S$5,H225,0,1,$K$2))</f>
        <v>0</v>
      </c>
      <c r="AC225" s="1" t="n">
        <f aca="false">AB225-AA225</f>
        <v>0</v>
      </c>
      <c r="AD225" s="1" t="e">
        <f aca="true">_xlfn.AGGREGATE(1,6,OFFSET($S$5,H225,0,1,$K$2))</f>
        <v>#DIV/0!</v>
      </c>
    </row>
    <row r="226" customFormat="false" ht="14.25" hidden="false" customHeight="false" outlineLevel="0" collapsed="false">
      <c r="H226" s="1" t="n">
        <f aca="false">H225+1</f>
        <v>221</v>
      </c>
      <c r="I226" s="1" t="n">
        <f aca="false">WEEKDAY('daily graphs'!K226)</f>
        <v>3</v>
      </c>
      <c r="J226" s="1" t="n">
        <f aca="false">DAY(L226)</f>
        <v>5</v>
      </c>
      <c r="K226" s="1" t="n">
        <f aca="false">MONTH(L226)</f>
        <v>8</v>
      </c>
      <c r="L226" s="23" t="n">
        <f aca="false">'daily graphs'!K226 - I226</f>
        <v>36743</v>
      </c>
      <c r="M226" s="24" t="n">
        <f aca="true">IF(TODAY()&lt;DATE($O$5,K226,J226),1000000,-1000000)</f>
        <v>-1000000</v>
      </c>
      <c r="N226" s="24" t="e">
        <f aca="false">IF(M226&gt;0,INDEX(big_daily_table,MATCH(DATE(O$5,$K226,$J226),daily_dates,0),MATCH($B$3,daily_items,0)),NA())</f>
        <v>#N/A</v>
      </c>
      <c r="O226" s="1" t="e">
        <f aca="false">IF(M226&lt;0,INDEX(big_daily_table,MATCH(DATE(O$5,$K226,$J226),daily_dates,0),MATCH($B$3,daily_items,0)),NA())</f>
        <v>#N/A</v>
      </c>
      <c r="P226" s="1" t="e">
        <f aca="false">IF(ISBLANK(INDEX(big_daily_table,MATCH(DATE(P$5,$K226,$J226),daily_dates,0),MATCH($B$3,daily_items,0))),NA(),INDEX(big_daily_table,MATCH(DATE(P$5,$K226,$J226),daily_dates,0),MATCH($B$3,daily_items,0)))</f>
        <v>#N/A</v>
      </c>
      <c r="Q226" s="1" t="e">
        <f aca="false">IF(ISBLANK(INDEX(big_daily_table,MATCH(DATE(Q$5,$K226,$J226),daily_dates,0),MATCH($B$3,daily_items,0))),NA(),INDEX(big_daily_table,MATCH(DATE(Q$5,$K226,$J226),daily_dates,0),MATCH($B$3,daily_items,0)))</f>
        <v>#N/A</v>
      </c>
      <c r="R226" s="1" t="e">
        <f aca="false">IF(ISBLANK(INDEX(big_daily_table,MATCH(DATE(R$5,$K226,$J226),daily_dates,0),MATCH($B$3,daily_items,0))),NA(),INDEX(big_daily_table,MATCH(DATE(R$5,$K226,$J226),daily_dates,0),MATCH($B$3,daily_items,0)))</f>
        <v>#N/A</v>
      </c>
      <c r="S226" s="1" t="e">
        <f aca="false">IF(ISBLANK(INDEX(big_daily_table,MATCH(DATE(S$5,$K226,$J226),daily_dates,0),MATCH($B$3,daily_items,0))),NA(),INDEX(big_daily_table,MATCH(DATE(S$5,$K226,$J226),daily_dates,0),MATCH($B$3,daily_items,0)))</f>
        <v>#N/A</v>
      </c>
      <c r="T226" s="1" t="e">
        <f aca="false">IF(ISBLANK(INDEX(big_daily_table,MATCH(DATE(T$5,$K226,$J226),daily_dates,0),MATCH($B$3,daily_items,0))),NA(),INDEX(big_daily_table,MATCH(DATE(T$5,$K226,$J226),daily_dates,0),MATCH($B$3,daily_items,0)))</f>
        <v>#N/A</v>
      </c>
      <c r="U226" s="1" t="e">
        <f aca="false">IF(ISBLANK(INDEX(big_daily_table,MATCH(DATE(U$5,$K226,$J226),daily_dates,0),MATCH($B$3,daily_items,0))),NA(),INDEX(big_daily_table,MATCH(DATE(U$5,$K226,$J226),daily_dates,0),MATCH($B$3,daily_items,0)))</f>
        <v>#N/A</v>
      </c>
      <c r="V226" s="1" t="e">
        <f aca="false">IF(ISBLANK(INDEX(big_daily_table,MATCH(DATE(V$5,$K226,$J226),daily_dates,0),MATCH($B$3,daily_items,0))),NA(),INDEX(big_daily_table,MATCH(DATE(V$5,$K226,$J226),daily_dates,0),MATCH($B$3,daily_items,0)))</f>
        <v>#N/A</v>
      </c>
      <c r="W226" s="1" t="e">
        <f aca="false">IF(ISBLANK(INDEX(big_daily_table,MATCH(DATE(W$5,$K226,$J226),daily_dates,0),MATCH($B$3,daily_items,0))),NA(),INDEX(big_daily_table,MATCH(DATE(W$5,$K226,$J226),daily_dates,0),MATCH($B$3,daily_items,0)))</f>
        <v>#N/A</v>
      </c>
      <c r="X226" s="1" t="e">
        <f aca="false">IF(ISBLANK(INDEX(big_daily_table,MATCH(DATE(X$5,$K226,$J226),daily_dates,0),MATCH($B$3,daily_items,0))),NA(),INDEX(big_daily_table,MATCH(DATE(X$5,$K226,$J226),daily_dates,0),MATCH($B$3,daily_items,0)))</f>
        <v>#N/A</v>
      </c>
      <c r="Y226" s="1" t="e">
        <f aca="false">IF(ISBLANK(INDEX(big_daily_table,MATCH(DATE(Y$5,$K226,$J226),daily_dates,0),MATCH($B$3,daily_items,0))),NA(),INDEX(big_daily_table,MATCH(DATE(Y$5,$K226,$J226),daily_dates,0),MATCH($B$3,daily_items,0)))</f>
        <v>#N/A</v>
      </c>
      <c r="Z226" s="1" t="e">
        <f aca="false">IF(ISBLANK(INDEX(big_daily_table,MATCH(DATE(Z$5,$K226,$J226),daily_dates,0),MATCH($B$3,daily_items,0))),NA(),INDEX(big_daily_table,MATCH(DATE(Z$5,$K226,$J226),daily_dates,0),MATCH($B$3,daily_items,0)))</f>
        <v>#N/A</v>
      </c>
      <c r="AA226" s="1" t="n">
        <f aca="true">_xlfn.AGGREGATE(5,6,OFFSET($S$5,H226,0,1,$K$2))</f>
        <v>0</v>
      </c>
      <c r="AB226" s="1" t="n">
        <f aca="true">_xlfn.AGGREGATE(4,6,OFFSET($S$5,H226,0,1,$K$2))</f>
        <v>0</v>
      </c>
      <c r="AC226" s="1" t="n">
        <f aca="false">AB226-AA226</f>
        <v>0</v>
      </c>
      <c r="AD226" s="1" t="e">
        <f aca="true">_xlfn.AGGREGATE(1,6,OFFSET($S$5,H226,0,1,$K$2))</f>
        <v>#DIV/0!</v>
      </c>
    </row>
    <row r="227" customFormat="false" ht="14.25" hidden="false" customHeight="false" outlineLevel="0" collapsed="false">
      <c r="H227" s="1" t="n">
        <f aca="false">H226+1</f>
        <v>222</v>
      </c>
      <c r="I227" s="1" t="n">
        <f aca="false">WEEKDAY('daily graphs'!K227)</f>
        <v>4</v>
      </c>
      <c r="J227" s="1" t="n">
        <f aca="false">DAY(L227)</f>
        <v>5</v>
      </c>
      <c r="K227" s="1" t="n">
        <f aca="false">MONTH(L227)</f>
        <v>8</v>
      </c>
      <c r="L227" s="23" t="n">
        <f aca="false">'daily graphs'!K227 - I227</f>
        <v>36743</v>
      </c>
      <c r="M227" s="24" t="n">
        <f aca="true">IF(TODAY()&lt;DATE($O$5,K227,J227),1000000,-1000000)</f>
        <v>-1000000</v>
      </c>
      <c r="N227" s="24" t="e">
        <f aca="false">IF(M227&gt;0,INDEX(big_daily_table,MATCH(DATE(O$5,$K227,$J227),daily_dates,0),MATCH($B$3,daily_items,0)),NA())</f>
        <v>#N/A</v>
      </c>
      <c r="O227" s="1" t="e">
        <f aca="false">IF(M227&lt;0,INDEX(big_daily_table,MATCH(DATE(O$5,$K227,$J227),daily_dates,0),MATCH($B$3,daily_items,0)),NA())</f>
        <v>#N/A</v>
      </c>
      <c r="P227" s="1" t="e">
        <f aca="false">IF(ISBLANK(INDEX(big_daily_table,MATCH(DATE(P$5,$K227,$J227),daily_dates,0),MATCH($B$3,daily_items,0))),NA(),INDEX(big_daily_table,MATCH(DATE(P$5,$K227,$J227),daily_dates,0),MATCH($B$3,daily_items,0)))</f>
        <v>#N/A</v>
      </c>
      <c r="Q227" s="1" t="e">
        <f aca="false">IF(ISBLANK(INDEX(big_daily_table,MATCH(DATE(Q$5,$K227,$J227),daily_dates,0),MATCH($B$3,daily_items,0))),NA(),INDEX(big_daily_table,MATCH(DATE(Q$5,$K227,$J227),daily_dates,0),MATCH($B$3,daily_items,0)))</f>
        <v>#N/A</v>
      </c>
      <c r="R227" s="1" t="e">
        <f aca="false">IF(ISBLANK(INDEX(big_daily_table,MATCH(DATE(R$5,$K227,$J227),daily_dates,0),MATCH($B$3,daily_items,0))),NA(),INDEX(big_daily_table,MATCH(DATE(R$5,$K227,$J227),daily_dates,0),MATCH($B$3,daily_items,0)))</f>
        <v>#N/A</v>
      </c>
      <c r="S227" s="1" t="e">
        <f aca="false">IF(ISBLANK(INDEX(big_daily_table,MATCH(DATE(S$5,$K227,$J227),daily_dates,0),MATCH($B$3,daily_items,0))),NA(),INDEX(big_daily_table,MATCH(DATE(S$5,$K227,$J227),daily_dates,0),MATCH($B$3,daily_items,0)))</f>
        <v>#N/A</v>
      </c>
      <c r="T227" s="1" t="e">
        <f aca="false">IF(ISBLANK(INDEX(big_daily_table,MATCH(DATE(T$5,$K227,$J227),daily_dates,0),MATCH($B$3,daily_items,0))),NA(),INDEX(big_daily_table,MATCH(DATE(T$5,$K227,$J227),daily_dates,0),MATCH($B$3,daily_items,0)))</f>
        <v>#N/A</v>
      </c>
      <c r="U227" s="1" t="e">
        <f aca="false">IF(ISBLANK(INDEX(big_daily_table,MATCH(DATE(U$5,$K227,$J227),daily_dates,0),MATCH($B$3,daily_items,0))),NA(),INDEX(big_daily_table,MATCH(DATE(U$5,$K227,$J227),daily_dates,0),MATCH($B$3,daily_items,0)))</f>
        <v>#N/A</v>
      </c>
      <c r="V227" s="1" t="e">
        <f aca="false">IF(ISBLANK(INDEX(big_daily_table,MATCH(DATE(V$5,$K227,$J227),daily_dates,0),MATCH($B$3,daily_items,0))),NA(),INDEX(big_daily_table,MATCH(DATE(V$5,$K227,$J227),daily_dates,0),MATCH($B$3,daily_items,0)))</f>
        <v>#N/A</v>
      </c>
      <c r="W227" s="1" t="e">
        <f aca="false">IF(ISBLANK(INDEX(big_daily_table,MATCH(DATE(W$5,$K227,$J227),daily_dates,0),MATCH($B$3,daily_items,0))),NA(),INDEX(big_daily_table,MATCH(DATE(W$5,$K227,$J227),daily_dates,0),MATCH($B$3,daily_items,0)))</f>
        <v>#N/A</v>
      </c>
      <c r="X227" s="1" t="e">
        <f aca="false">IF(ISBLANK(INDEX(big_daily_table,MATCH(DATE(X$5,$K227,$J227),daily_dates,0),MATCH($B$3,daily_items,0))),NA(),INDEX(big_daily_table,MATCH(DATE(X$5,$K227,$J227),daily_dates,0),MATCH($B$3,daily_items,0)))</f>
        <v>#N/A</v>
      </c>
      <c r="Y227" s="1" t="e">
        <f aca="false">IF(ISBLANK(INDEX(big_daily_table,MATCH(DATE(Y$5,$K227,$J227),daily_dates,0),MATCH($B$3,daily_items,0))),NA(),INDEX(big_daily_table,MATCH(DATE(Y$5,$K227,$J227),daily_dates,0),MATCH($B$3,daily_items,0)))</f>
        <v>#N/A</v>
      </c>
      <c r="Z227" s="1" t="e">
        <f aca="false">IF(ISBLANK(INDEX(big_daily_table,MATCH(DATE(Z$5,$K227,$J227),daily_dates,0),MATCH($B$3,daily_items,0))),NA(),INDEX(big_daily_table,MATCH(DATE(Z$5,$K227,$J227),daily_dates,0),MATCH($B$3,daily_items,0)))</f>
        <v>#N/A</v>
      </c>
      <c r="AA227" s="1" t="n">
        <f aca="true">_xlfn.AGGREGATE(5,6,OFFSET($S$5,H227,0,1,$K$2))</f>
        <v>0</v>
      </c>
      <c r="AB227" s="1" t="n">
        <f aca="true">_xlfn.AGGREGATE(4,6,OFFSET($S$5,H227,0,1,$K$2))</f>
        <v>0</v>
      </c>
      <c r="AC227" s="1" t="n">
        <f aca="false">AB227-AA227</f>
        <v>0</v>
      </c>
      <c r="AD227" s="1" t="e">
        <f aca="true">_xlfn.AGGREGATE(1,6,OFFSET($S$5,H227,0,1,$K$2))</f>
        <v>#DIV/0!</v>
      </c>
    </row>
    <row r="228" customFormat="false" ht="14.25" hidden="false" customHeight="false" outlineLevel="0" collapsed="false">
      <c r="H228" s="1" t="n">
        <f aca="false">H227+1</f>
        <v>223</v>
      </c>
      <c r="I228" s="1" t="n">
        <f aca="false">WEEKDAY('daily graphs'!K228)</f>
        <v>5</v>
      </c>
      <c r="J228" s="1" t="n">
        <f aca="false">DAY(L228)</f>
        <v>5</v>
      </c>
      <c r="K228" s="1" t="n">
        <f aca="false">MONTH(L228)</f>
        <v>8</v>
      </c>
      <c r="L228" s="23" t="n">
        <f aca="false">'daily graphs'!K228 - I228</f>
        <v>36743</v>
      </c>
      <c r="M228" s="24" t="n">
        <f aca="true">IF(TODAY()&lt;DATE($O$5,K228,J228),1000000,-1000000)</f>
        <v>-1000000</v>
      </c>
      <c r="N228" s="24" t="e">
        <f aca="false">IF(M228&gt;0,INDEX(big_daily_table,MATCH(DATE(O$5,$K228,$J228),daily_dates,0),MATCH($B$3,daily_items,0)),NA())</f>
        <v>#N/A</v>
      </c>
      <c r="O228" s="1" t="e">
        <f aca="false">IF(M228&lt;0,INDEX(big_daily_table,MATCH(DATE(O$5,$K228,$J228),daily_dates,0),MATCH($B$3,daily_items,0)),NA())</f>
        <v>#N/A</v>
      </c>
      <c r="P228" s="1" t="e">
        <f aca="false">IF(ISBLANK(INDEX(big_daily_table,MATCH(DATE(P$5,$K228,$J228),daily_dates,0),MATCH($B$3,daily_items,0))),NA(),INDEX(big_daily_table,MATCH(DATE(P$5,$K228,$J228),daily_dates,0),MATCH($B$3,daily_items,0)))</f>
        <v>#N/A</v>
      </c>
      <c r="Q228" s="1" t="e">
        <f aca="false">IF(ISBLANK(INDEX(big_daily_table,MATCH(DATE(Q$5,$K228,$J228),daily_dates,0),MATCH($B$3,daily_items,0))),NA(),INDEX(big_daily_table,MATCH(DATE(Q$5,$K228,$J228),daily_dates,0),MATCH($B$3,daily_items,0)))</f>
        <v>#N/A</v>
      </c>
      <c r="R228" s="1" t="e">
        <f aca="false">IF(ISBLANK(INDEX(big_daily_table,MATCH(DATE(R$5,$K228,$J228),daily_dates,0),MATCH($B$3,daily_items,0))),NA(),INDEX(big_daily_table,MATCH(DATE(R$5,$K228,$J228),daily_dates,0),MATCH($B$3,daily_items,0)))</f>
        <v>#N/A</v>
      </c>
      <c r="S228" s="1" t="e">
        <f aca="false">IF(ISBLANK(INDEX(big_daily_table,MATCH(DATE(S$5,$K228,$J228),daily_dates,0),MATCH($B$3,daily_items,0))),NA(),INDEX(big_daily_table,MATCH(DATE(S$5,$K228,$J228),daily_dates,0),MATCH($B$3,daily_items,0)))</f>
        <v>#N/A</v>
      </c>
      <c r="T228" s="1" t="e">
        <f aca="false">IF(ISBLANK(INDEX(big_daily_table,MATCH(DATE(T$5,$K228,$J228),daily_dates,0),MATCH($B$3,daily_items,0))),NA(),INDEX(big_daily_table,MATCH(DATE(T$5,$K228,$J228),daily_dates,0),MATCH($B$3,daily_items,0)))</f>
        <v>#N/A</v>
      </c>
      <c r="U228" s="1" t="e">
        <f aca="false">IF(ISBLANK(INDEX(big_daily_table,MATCH(DATE(U$5,$K228,$J228),daily_dates,0),MATCH($B$3,daily_items,0))),NA(),INDEX(big_daily_table,MATCH(DATE(U$5,$K228,$J228),daily_dates,0),MATCH($B$3,daily_items,0)))</f>
        <v>#N/A</v>
      </c>
      <c r="V228" s="1" t="e">
        <f aca="false">IF(ISBLANK(INDEX(big_daily_table,MATCH(DATE(V$5,$K228,$J228),daily_dates,0),MATCH($B$3,daily_items,0))),NA(),INDEX(big_daily_table,MATCH(DATE(V$5,$K228,$J228),daily_dates,0),MATCH($B$3,daily_items,0)))</f>
        <v>#N/A</v>
      </c>
      <c r="W228" s="1" t="e">
        <f aca="false">IF(ISBLANK(INDEX(big_daily_table,MATCH(DATE(W$5,$K228,$J228),daily_dates,0),MATCH($B$3,daily_items,0))),NA(),INDEX(big_daily_table,MATCH(DATE(W$5,$K228,$J228),daily_dates,0),MATCH($B$3,daily_items,0)))</f>
        <v>#N/A</v>
      </c>
      <c r="X228" s="1" t="e">
        <f aca="false">IF(ISBLANK(INDEX(big_daily_table,MATCH(DATE(X$5,$K228,$J228),daily_dates,0),MATCH($B$3,daily_items,0))),NA(),INDEX(big_daily_table,MATCH(DATE(X$5,$K228,$J228),daily_dates,0),MATCH($B$3,daily_items,0)))</f>
        <v>#N/A</v>
      </c>
      <c r="Y228" s="1" t="e">
        <f aca="false">IF(ISBLANK(INDEX(big_daily_table,MATCH(DATE(Y$5,$K228,$J228),daily_dates,0),MATCH($B$3,daily_items,0))),NA(),INDEX(big_daily_table,MATCH(DATE(Y$5,$K228,$J228),daily_dates,0),MATCH($B$3,daily_items,0)))</f>
        <v>#N/A</v>
      </c>
      <c r="Z228" s="1" t="e">
        <f aca="false">IF(ISBLANK(INDEX(big_daily_table,MATCH(DATE(Z$5,$K228,$J228),daily_dates,0),MATCH($B$3,daily_items,0))),NA(),INDEX(big_daily_table,MATCH(DATE(Z$5,$K228,$J228),daily_dates,0),MATCH($B$3,daily_items,0)))</f>
        <v>#N/A</v>
      </c>
      <c r="AA228" s="1" t="n">
        <f aca="true">_xlfn.AGGREGATE(5,6,OFFSET($S$5,H228,0,1,$K$2))</f>
        <v>0</v>
      </c>
      <c r="AB228" s="1" t="n">
        <f aca="true">_xlfn.AGGREGATE(4,6,OFFSET($S$5,H228,0,1,$K$2))</f>
        <v>0</v>
      </c>
      <c r="AC228" s="1" t="n">
        <f aca="false">AB228-AA228</f>
        <v>0</v>
      </c>
      <c r="AD228" s="1" t="e">
        <f aca="true">_xlfn.AGGREGATE(1,6,OFFSET($S$5,H228,0,1,$K$2))</f>
        <v>#DIV/0!</v>
      </c>
    </row>
    <row r="229" customFormat="false" ht="14.25" hidden="false" customHeight="false" outlineLevel="0" collapsed="false">
      <c r="H229" s="1" t="n">
        <f aca="false">H228+1</f>
        <v>224</v>
      </c>
      <c r="I229" s="1" t="n">
        <f aca="false">WEEKDAY('daily graphs'!K229)</f>
        <v>6</v>
      </c>
      <c r="J229" s="1" t="n">
        <f aca="false">DAY(L229)</f>
        <v>5</v>
      </c>
      <c r="K229" s="1" t="n">
        <f aca="false">MONTH(L229)</f>
        <v>8</v>
      </c>
      <c r="L229" s="23" t="n">
        <f aca="false">'daily graphs'!K229 - I229</f>
        <v>36743</v>
      </c>
      <c r="M229" s="24" t="n">
        <f aca="true">IF(TODAY()&lt;DATE($O$5,K229,J229),1000000,-1000000)</f>
        <v>-1000000</v>
      </c>
      <c r="N229" s="24" t="e">
        <f aca="false">IF(M229&gt;0,INDEX(big_daily_table,MATCH(DATE(O$5,$K229,$J229),daily_dates,0),MATCH($B$3,daily_items,0)),NA())</f>
        <v>#N/A</v>
      </c>
      <c r="O229" s="1" t="e">
        <f aca="false">IF(M229&lt;0,INDEX(big_daily_table,MATCH(DATE(O$5,$K229,$J229),daily_dates,0),MATCH($B$3,daily_items,0)),NA())</f>
        <v>#N/A</v>
      </c>
      <c r="P229" s="1" t="e">
        <f aca="false">IF(ISBLANK(INDEX(big_daily_table,MATCH(DATE(P$5,$K229,$J229),daily_dates,0),MATCH($B$3,daily_items,0))),NA(),INDEX(big_daily_table,MATCH(DATE(P$5,$K229,$J229),daily_dates,0),MATCH($B$3,daily_items,0)))</f>
        <v>#N/A</v>
      </c>
      <c r="Q229" s="1" t="e">
        <f aca="false">IF(ISBLANK(INDEX(big_daily_table,MATCH(DATE(Q$5,$K229,$J229),daily_dates,0),MATCH($B$3,daily_items,0))),NA(),INDEX(big_daily_table,MATCH(DATE(Q$5,$K229,$J229),daily_dates,0),MATCH($B$3,daily_items,0)))</f>
        <v>#N/A</v>
      </c>
      <c r="R229" s="1" t="e">
        <f aca="false">IF(ISBLANK(INDEX(big_daily_table,MATCH(DATE(R$5,$K229,$J229),daily_dates,0),MATCH($B$3,daily_items,0))),NA(),INDEX(big_daily_table,MATCH(DATE(R$5,$K229,$J229),daily_dates,0),MATCH($B$3,daily_items,0)))</f>
        <v>#N/A</v>
      </c>
      <c r="S229" s="1" t="e">
        <f aca="false">IF(ISBLANK(INDEX(big_daily_table,MATCH(DATE(S$5,$K229,$J229),daily_dates,0),MATCH($B$3,daily_items,0))),NA(),INDEX(big_daily_table,MATCH(DATE(S$5,$K229,$J229),daily_dates,0),MATCH($B$3,daily_items,0)))</f>
        <v>#N/A</v>
      </c>
      <c r="T229" s="1" t="e">
        <f aca="false">IF(ISBLANK(INDEX(big_daily_table,MATCH(DATE(T$5,$K229,$J229),daily_dates,0),MATCH($B$3,daily_items,0))),NA(),INDEX(big_daily_table,MATCH(DATE(T$5,$K229,$J229),daily_dates,0),MATCH($B$3,daily_items,0)))</f>
        <v>#N/A</v>
      </c>
      <c r="U229" s="1" t="e">
        <f aca="false">IF(ISBLANK(INDEX(big_daily_table,MATCH(DATE(U$5,$K229,$J229),daily_dates,0),MATCH($B$3,daily_items,0))),NA(),INDEX(big_daily_table,MATCH(DATE(U$5,$K229,$J229),daily_dates,0),MATCH($B$3,daily_items,0)))</f>
        <v>#N/A</v>
      </c>
      <c r="V229" s="1" t="e">
        <f aca="false">IF(ISBLANK(INDEX(big_daily_table,MATCH(DATE(V$5,$K229,$J229),daily_dates,0),MATCH($B$3,daily_items,0))),NA(),INDEX(big_daily_table,MATCH(DATE(V$5,$K229,$J229),daily_dates,0),MATCH($B$3,daily_items,0)))</f>
        <v>#N/A</v>
      </c>
      <c r="W229" s="1" t="e">
        <f aca="false">IF(ISBLANK(INDEX(big_daily_table,MATCH(DATE(W$5,$K229,$J229),daily_dates,0),MATCH($B$3,daily_items,0))),NA(),INDEX(big_daily_table,MATCH(DATE(W$5,$K229,$J229),daily_dates,0),MATCH($B$3,daily_items,0)))</f>
        <v>#N/A</v>
      </c>
      <c r="X229" s="1" t="e">
        <f aca="false">IF(ISBLANK(INDEX(big_daily_table,MATCH(DATE(X$5,$K229,$J229),daily_dates,0),MATCH($B$3,daily_items,0))),NA(),INDEX(big_daily_table,MATCH(DATE(X$5,$K229,$J229),daily_dates,0),MATCH($B$3,daily_items,0)))</f>
        <v>#N/A</v>
      </c>
      <c r="Y229" s="1" t="e">
        <f aca="false">IF(ISBLANK(INDEX(big_daily_table,MATCH(DATE(Y$5,$K229,$J229),daily_dates,0),MATCH($B$3,daily_items,0))),NA(),INDEX(big_daily_table,MATCH(DATE(Y$5,$K229,$J229),daily_dates,0),MATCH($B$3,daily_items,0)))</f>
        <v>#N/A</v>
      </c>
      <c r="Z229" s="1" t="e">
        <f aca="false">IF(ISBLANK(INDEX(big_daily_table,MATCH(DATE(Z$5,$K229,$J229),daily_dates,0),MATCH($B$3,daily_items,0))),NA(),INDEX(big_daily_table,MATCH(DATE(Z$5,$K229,$J229),daily_dates,0),MATCH($B$3,daily_items,0)))</f>
        <v>#N/A</v>
      </c>
      <c r="AA229" s="1" t="n">
        <f aca="true">_xlfn.AGGREGATE(5,6,OFFSET($S$5,H229,0,1,$K$2))</f>
        <v>0</v>
      </c>
      <c r="AB229" s="1" t="n">
        <f aca="true">_xlfn.AGGREGATE(4,6,OFFSET($S$5,H229,0,1,$K$2))</f>
        <v>0</v>
      </c>
      <c r="AC229" s="1" t="n">
        <f aca="false">AB229-AA229</f>
        <v>0</v>
      </c>
      <c r="AD229" s="1" t="e">
        <f aca="true">_xlfn.AGGREGATE(1,6,OFFSET($S$5,H229,0,1,$K$2))</f>
        <v>#DIV/0!</v>
      </c>
    </row>
    <row r="230" customFormat="false" ht="14.25" hidden="false" customHeight="false" outlineLevel="0" collapsed="false">
      <c r="H230" s="1" t="n">
        <f aca="false">H229+1</f>
        <v>225</v>
      </c>
      <c r="I230" s="1" t="n">
        <f aca="false">WEEKDAY('daily graphs'!K230)</f>
        <v>7</v>
      </c>
      <c r="J230" s="1" t="n">
        <f aca="false">DAY(L230)</f>
        <v>5</v>
      </c>
      <c r="K230" s="1" t="n">
        <f aca="false">MONTH(L230)</f>
        <v>8</v>
      </c>
      <c r="L230" s="23" t="n">
        <f aca="false">'daily graphs'!K230 - I230</f>
        <v>36743</v>
      </c>
      <c r="M230" s="24" t="n">
        <f aca="true">IF(TODAY()&lt;DATE($O$5,K230,J230),1000000,-1000000)</f>
        <v>-1000000</v>
      </c>
      <c r="N230" s="24" t="e">
        <f aca="false">IF(M230&gt;0,INDEX(big_daily_table,MATCH(DATE(O$5,$K230,$J230),daily_dates,0),MATCH($B$3,daily_items,0)),NA())</f>
        <v>#N/A</v>
      </c>
      <c r="O230" s="1" t="e">
        <f aca="false">IF(M230&lt;0,INDEX(big_daily_table,MATCH(DATE(O$5,$K230,$J230),daily_dates,0),MATCH($B$3,daily_items,0)),NA())</f>
        <v>#N/A</v>
      </c>
      <c r="P230" s="1" t="e">
        <f aca="false">IF(ISBLANK(INDEX(big_daily_table,MATCH(DATE(P$5,$K230,$J230),daily_dates,0),MATCH($B$3,daily_items,0))),NA(),INDEX(big_daily_table,MATCH(DATE(P$5,$K230,$J230),daily_dates,0),MATCH($B$3,daily_items,0)))</f>
        <v>#N/A</v>
      </c>
      <c r="Q230" s="1" t="e">
        <f aca="false">IF(ISBLANK(INDEX(big_daily_table,MATCH(DATE(Q$5,$K230,$J230),daily_dates,0),MATCH($B$3,daily_items,0))),NA(),INDEX(big_daily_table,MATCH(DATE(Q$5,$K230,$J230),daily_dates,0),MATCH($B$3,daily_items,0)))</f>
        <v>#N/A</v>
      </c>
      <c r="R230" s="1" t="e">
        <f aca="false">IF(ISBLANK(INDEX(big_daily_table,MATCH(DATE(R$5,$K230,$J230),daily_dates,0),MATCH($B$3,daily_items,0))),NA(),INDEX(big_daily_table,MATCH(DATE(R$5,$K230,$J230),daily_dates,0),MATCH($B$3,daily_items,0)))</f>
        <v>#N/A</v>
      </c>
      <c r="S230" s="1" t="e">
        <f aca="false">IF(ISBLANK(INDEX(big_daily_table,MATCH(DATE(S$5,$K230,$J230),daily_dates,0),MATCH($B$3,daily_items,0))),NA(),INDEX(big_daily_table,MATCH(DATE(S$5,$K230,$J230),daily_dates,0),MATCH($B$3,daily_items,0)))</f>
        <v>#N/A</v>
      </c>
      <c r="T230" s="1" t="e">
        <f aca="false">IF(ISBLANK(INDEX(big_daily_table,MATCH(DATE(T$5,$K230,$J230),daily_dates,0),MATCH($B$3,daily_items,0))),NA(),INDEX(big_daily_table,MATCH(DATE(T$5,$K230,$J230),daily_dates,0),MATCH($B$3,daily_items,0)))</f>
        <v>#N/A</v>
      </c>
      <c r="U230" s="1" t="e">
        <f aca="false">IF(ISBLANK(INDEX(big_daily_table,MATCH(DATE(U$5,$K230,$J230),daily_dates,0),MATCH($B$3,daily_items,0))),NA(),INDEX(big_daily_table,MATCH(DATE(U$5,$K230,$J230),daily_dates,0),MATCH($B$3,daily_items,0)))</f>
        <v>#N/A</v>
      </c>
      <c r="V230" s="1" t="e">
        <f aca="false">IF(ISBLANK(INDEX(big_daily_table,MATCH(DATE(V$5,$K230,$J230),daily_dates,0),MATCH($B$3,daily_items,0))),NA(),INDEX(big_daily_table,MATCH(DATE(V$5,$K230,$J230),daily_dates,0),MATCH($B$3,daily_items,0)))</f>
        <v>#N/A</v>
      </c>
      <c r="W230" s="1" t="e">
        <f aca="false">IF(ISBLANK(INDEX(big_daily_table,MATCH(DATE(W$5,$K230,$J230),daily_dates,0),MATCH($B$3,daily_items,0))),NA(),INDEX(big_daily_table,MATCH(DATE(W$5,$K230,$J230),daily_dates,0),MATCH($B$3,daily_items,0)))</f>
        <v>#N/A</v>
      </c>
      <c r="X230" s="1" t="e">
        <f aca="false">IF(ISBLANK(INDEX(big_daily_table,MATCH(DATE(X$5,$K230,$J230),daily_dates,0),MATCH($B$3,daily_items,0))),NA(),INDEX(big_daily_table,MATCH(DATE(X$5,$K230,$J230),daily_dates,0),MATCH($B$3,daily_items,0)))</f>
        <v>#N/A</v>
      </c>
      <c r="Y230" s="1" t="e">
        <f aca="false">IF(ISBLANK(INDEX(big_daily_table,MATCH(DATE(Y$5,$K230,$J230),daily_dates,0),MATCH($B$3,daily_items,0))),NA(),INDEX(big_daily_table,MATCH(DATE(Y$5,$K230,$J230),daily_dates,0),MATCH($B$3,daily_items,0)))</f>
        <v>#N/A</v>
      </c>
      <c r="Z230" s="1" t="e">
        <f aca="false">IF(ISBLANK(INDEX(big_daily_table,MATCH(DATE(Z$5,$K230,$J230),daily_dates,0),MATCH($B$3,daily_items,0))),NA(),INDEX(big_daily_table,MATCH(DATE(Z$5,$K230,$J230),daily_dates,0),MATCH($B$3,daily_items,0)))</f>
        <v>#N/A</v>
      </c>
      <c r="AA230" s="1" t="n">
        <f aca="true">_xlfn.AGGREGATE(5,6,OFFSET($S$5,H230,0,1,$K$2))</f>
        <v>0</v>
      </c>
      <c r="AB230" s="1" t="n">
        <f aca="true">_xlfn.AGGREGATE(4,6,OFFSET($S$5,H230,0,1,$K$2))</f>
        <v>0</v>
      </c>
      <c r="AC230" s="1" t="n">
        <f aca="false">AB230-AA230</f>
        <v>0</v>
      </c>
      <c r="AD230" s="1" t="e">
        <f aca="true">_xlfn.AGGREGATE(1,6,OFFSET($S$5,H230,0,1,$K$2))</f>
        <v>#DIV/0!</v>
      </c>
    </row>
    <row r="231" customFormat="false" ht="14.25" hidden="false" customHeight="false" outlineLevel="0" collapsed="false">
      <c r="H231" s="1" t="n">
        <f aca="false">H230+1</f>
        <v>226</v>
      </c>
      <c r="I231" s="1" t="n">
        <f aca="false">WEEKDAY('daily graphs'!K231)</f>
        <v>1</v>
      </c>
      <c r="J231" s="1" t="n">
        <f aca="false">DAY(L231)</f>
        <v>12</v>
      </c>
      <c r="K231" s="1" t="n">
        <f aca="false">MONTH(L231)</f>
        <v>8</v>
      </c>
      <c r="L231" s="23" t="n">
        <f aca="false">'daily graphs'!K231 - I231</f>
        <v>36750</v>
      </c>
      <c r="M231" s="24" t="n">
        <f aca="true">IF(TODAY()&lt;DATE($O$5,K231,J231),1000000,-1000000)</f>
        <v>-1000000</v>
      </c>
      <c r="N231" s="24" t="e">
        <f aca="false">IF(M231&gt;0,INDEX(big_daily_table,MATCH(DATE(O$5,$K231,$J231),daily_dates,0),MATCH($B$3,daily_items,0)),NA())</f>
        <v>#N/A</v>
      </c>
      <c r="O231" s="1" t="e">
        <f aca="false">IF(M231&lt;0,INDEX(big_daily_table,MATCH(DATE(O$5,$K231,$J231),daily_dates,0),MATCH($B$3,daily_items,0)),NA())</f>
        <v>#N/A</v>
      </c>
      <c r="P231" s="1" t="e">
        <f aca="false">IF(ISBLANK(INDEX(big_daily_table,MATCH(DATE(P$5,$K231,$J231),daily_dates,0),MATCH($B$3,daily_items,0))),NA(),INDEX(big_daily_table,MATCH(DATE(P$5,$K231,$J231),daily_dates,0),MATCH($B$3,daily_items,0)))</f>
        <v>#N/A</v>
      </c>
      <c r="Q231" s="1" t="e">
        <f aca="false">IF(ISBLANK(INDEX(big_daily_table,MATCH(DATE(Q$5,$K231,$J231),daily_dates,0),MATCH($B$3,daily_items,0))),NA(),INDEX(big_daily_table,MATCH(DATE(Q$5,$K231,$J231),daily_dates,0),MATCH($B$3,daily_items,0)))</f>
        <v>#N/A</v>
      </c>
      <c r="R231" s="1" t="e">
        <f aca="false">IF(ISBLANK(INDEX(big_daily_table,MATCH(DATE(R$5,$K231,$J231),daily_dates,0),MATCH($B$3,daily_items,0))),NA(),INDEX(big_daily_table,MATCH(DATE(R$5,$K231,$J231),daily_dates,0),MATCH($B$3,daily_items,0)))</f>
        <v>#N/A</v>
      </c>
      <c r="S231" s="1" t="e">
        <f aca="false">IF(ISBLANK(INDEX(big_daily_table,MATCH(DATE(S$5,$K231,$J231),daily_dates,0),MATCH($B$3,daily_items,0))),NA(),INDEX(big_daily_table,MATCH(DATE(S$5,$K231,$J231),daily_dates,0),MATCH($B$3,daily_items,0)))</f>
        <v>#N/A</v>
      </c>
      <c r="T231" s="1" t="e">
        <f aca="false">IF(ISBLANK(INDEX(big_daily_table,MATCH(DATE(T$5,$K231,$J231),daily_dates,0),MATCH($B$3,daily_items,0))),NA(),INDEX(big_daily_table,MATCH(DATE(T$5,$K231,$J231),daily_dates,0),MATCH($B$3,daily_items,0)))</f>
        <v>#N/A</v>
      </c>
      <c r="U231" s="1" t="e">
        <f aca="false">IF(ISBLANK(INDEX(big_daily_table,MATCH(DATE(U$5,$K231,$J231),daily_dates,0),MATCH($B$3,daily_items,0))),NA(),INDEX(big_daily_table,MATCH(DATE(U$5,$K231,$J231),daily_dates,0),MATCH($B$3,daily_items,0)))</f>
        <v>#N/A</v>
      </c>
      <c r="V231" s="1" t="e">
        <f aca="false">IF(ISBLANK(INDEX(big_daily_table,MATCH(DATE(V$5,$K231,$J231),daily_dates,0),MATCH($B$3,daily_items,0))),NA(),INDEX(big_daily_table,MATCH(DATE(V$5,$K231,$J231),daily_dates,0),MATCH($B$3,daily_items,0)))</f>
        <v>#N/A</v>
      </c>
      <c r="W231" s="1" t="e">
        <f aca="false">IF(ISBLANK(INDEX(big_daily_table,MATCH(DATE(W$5,$K231,$J231),daily_dates,0),MATCH($B$3,daily_items,0))),NA(),INDEX(big_daily_table,MATCH(DATE(W$5,$K231,$J231),daily_dates,0),MATCH($B$3,daily_items,0)))</f>
        <v>#N/A</v>
      </c>
      <c r="X231" s="1" t="e">
        <f aca="false">IF(ISBLANK(INDEX(big_daily_table,MATCH(DATE(X$5,$K231,$J231),daily_dates,0),MATCH($B$3,daily_items,0))),NA(),INDEX(big_daily_table,MATCH(DATE(X$5,$K231,$J231),daily_dates,0),MATCH($B$3,daily_items,0)))</f>
        <v>#N/A</v>
      </c>
      <c r="Y231" s="1" t="e">
        <f aca="false">IF(ISBLANK(INDEX(big_daily_table,MATCH(DATE(Y$5,$K231,$J231),daily_dates,0),MATCH($B$3,daily_items,0))),NA(),INDEX(big_daily_table,MATCH(DATE(Y$5,$K231,$J231),daily_dates,0),MATCH($B$3,daily_items,0)))</f>
        <v>#N/A</v>
      </c>
      <c r="Z231" s="1" t="e">
        <f aca="false">IF(ISBLANK(INDEX(big_daily_table,MATCH(DATE(Z$5,$K231,$J231),daily_dates,0),MATCH($B$3,daily_items,0))),NA(),INDEX(big_daily_table,MATCH(DATE(Z$5,$K231,$J231),daily_dates,0),MATCH($B$3,daily_items,0)))</f>
        <v>#N/A</v>
      </c>
      <c r="AA231" s="1" t="n">
        <f aca="true">_xlfn.AGGREGATE(5,6,OFFSET($S$5,H231,0,1,$K$2))</f>
        <v>0</v>
      </c>
      <c r="AB231" s="1" t="n">
        <f aca="true">_xlfn.AGGREGATE(4,6,OFFSET($S$5,H231,0,1,$K$2))</f>
        <v>0</v>
      </c>
      <c r="AC231" s="1" t="n">
        <f aca="false">AB231-AA231</f>
        <v>0</v>
      </c>
      <c r="AD231" s="1" t="e">
        <f aca="true">_xlfn.AGGREGATE(1,6,OFFSET($S$5,H231,0,1,$K$2))</f>
        <v>#DIV/0!</v>
      </c>
    </row>
    <row r="232" customFormat="false" ht="14.25" hidden="false" customHeight="false" outlineLevel="0" collapsed="false">
      <c r="H232" s="1" t="n">
        <f aca="false">H231+1</f>
        <v>227</v>
      </c>
      <c r="I232" s="1" t="n">
        <f aca="false">WEEKDAY('daily graphs'!K232)</f>
        <v>2</v>
      </c>
      <c r="J232" s="1" t="n">
        <f aca="false">DAY(L232)</f>
        <v>12</v>
      </c>
      <c r="K232" s="1" t="n">
        <f aca="false">MONTH(L232)</f>
        <v>8</v>
      </c>
      <c r="L232" s="23" t="n">
        <f aca="false">'daily graphs'!K232 - I232</f>
        <v>36750</v>
      </c>
      <c r="M232" s="24" t="n">
        <f aca="true">IF(TODAY()&lt;DATE($O$5,K232,J232),1000000,-1000000)</f>
        <v>-1000000</v>
      </c>
      <c r="N232" s="24" t="e">
        <f aca="false">IF(M232&gt;0,INDEX(big_daily_table,MATCH(DATE(O$5,$K232,$J232),daily_dates,0),MATCH($B$3,daily_items,0)),NA())</f>
        <v>#N/A</v>
      </c>
      <c r="O232" s="1" t="e">
        <f aca="false">IF(M232&lt;0,INDEX(big_daily_table,MATCH(DATE(O$5,$K232,$J232),daily_dates,0),MATCH($B$3,daily_items,0)),NA())</f>
        <v>#N/A</v>
      </c>
      <c r="P232" s="1" t="e">
        <f aca="false">IF(ISBLANK(INDEX(big_daily_table,MATCH(DATE(P$5,$K232,$J232),daily_dates,0),MATCH($B$3,daily_items,0))),NA(),INDEX(big_daily_table,MATCH(DATE(P$5,$K232,$J232),daily_dates,0),MATCH($B$3,daily_items,0)))</f>
        <v>#N/A</v>
      </c>
      <c r="Q232" s="1" t="e">
        <f aca="false">IF(ISBLANK(INDEX(big_daily_table,MATCH(DATE(Q$5,$K232,$J232),daily_dates,0),MATCH($B$3,daily_items,0))),NA(),INDEX(big_daily_table,MATCH(DATE(Q$5,$K232,$J232),daily_dates,0),MATCH($B$3,daily_items,0)))</f>
        <v>#N/A</v>
      </c>
      <c r="R232" s="1" t="e">
        <f aca="false">IF(ISBLANK(INDEX(big_daily_table,MATCH(DATE(R$5,$K232,$J232),daily_dates,0),MATCH($B$3,daily_items,0))),NA(),INDEX(big_daily_table,MATCH(DATE(R$5,$K232,$J232),daily_dates,0),MATCH($B$3,daily_items,0)))</f>
        <v>#N/A</v>
      </c>
      <c r="S232" s="1" t="e">
        <f aca="false">IF(ISBLANK(INDEX(big_daily_table,MATCH(DATE(S$5,$K232,$J232),daily_dates,0),MATCH($B$3,daily_items,0))),NA(),INDEX(big_daily_table,MATCH(DATE(S$5,$K232,$J232),daily_dates,0),MATCH($B$3,daily_items,0)))</f>
        <v>#N/A</v>
      </c>
      <c r="T232" s="1" t="e">
        <f aca="false">IF(ISBLANK(INDEX(big_daily_table,MATCH(DATE(T$5,$K232,$J232),daily_dates,0),MATCH($B$3,daily_items,0))),NA(),INDEX(big_daily_table,MATCH(DATE(T$5,$K232,$J232),daily_dates,0),MATCH($B$3,daily_items,0)))</f>
        <v>#N/A</v>
      </c>
      <c r="U232" s="1" t="e">
        <f aca="false">IF(ISBLANK(INDEX(big_daily_table,MATCH(DATE(U$5,$K232,$J232),daily_dates,0),MATCH($B$3,daily_items,0))),NA(),INDEX(big_daily_table,MATCH(DATE(U$5,$K232,$J232),daily_dates,0),MATCH($B$3,daily_items,0)))</f>
        <v>#N/A</v>
      </c>
      <c r="V232" s="1" t="e">
        <f aca="false">IF(ISBLANK(INDEX(big_daily_table,MATCH(DATE(V$5,$K232,$J232),daily_dates,0),MATCH($B$3,daily_items,0))),NA(),INDEX(big_daily_table,MATCH(DATE(V$5,$K232,$J232),daily_dates,0),MATCH($B$3,daily_items,0)))</f>
        <v>#N/A</v>
      </c>
      <c r="W232" s="1" t="e">
        <f aca="false">IF(ISBLANK(INDEX(big_daily_table,MATCH(DATE(W$5,$K232,$J232),daily_dates,0),MATCH($B$3,daily_items,0))),NA(),INDEX(big_daily_table,MATCH(DATE(W$5,$K232,$J232),daily_dates,0),MATCH($B$3,daily_items,0)))</f>
        <v>#N/A</v>
      </c>
      <c r="X232" s="1" t="e">
        <f aca="false">IF(ISBLANK(INDEX(big_daily_table,MATCH(DATE(X$5,$K232,$J232),daily_dates,0),MATCH($B$3,daily_items,0))),NA(),INDEX(big_daily_table,MATCH(DATE(X$5,$K232,$J232),daily_dates,0),MATCH($B$3,daily_items,0)))</f>
        <v>#N/A</v>
      </c>
      <c r="Y232" s="1" t="e">
        <f aca="false">IF(ISBLANK(INDEX(big_daily_table,MATCH(DATE(Y$5,$K232,$J232),daily_dates,0),MATCH($B$3,daily_items,0))),NA(),INDEX(big_daily_table,MATCH(DATE(Y$5,$K232,$J232),daily_dates,0),MATCH($B$3,daily_items,0)))</f>
        <v>#N/A</v>
      </c>
      <c r="Z232" s="1" t="e">
        <f aca="false">IF(ISBLANK(INDEX(big_daily_table,MATCH(DATE(Z$5,$K232,$J232),daily_dates,0),MATCH($B$3,daily_items,0))),NA(),INDEX(big_daily_table,MATCH(DATE(Z$5,$K232,$J232),daily_dates,0),MATCH($B$3,daily_items,0)))</f>
        <v>#N/A</v>
      </c>
      <c r="AA232" s="1" t="n">
        <f aca="true">_xlfn.AGGREGATE(5,6,OFFSET($S$5,H232,0,1,$K$2))</f>
        <v>0</v>
      </c>
      <c r="AB232" s="1" t="n">
        <f aca="true">_xlfn.AGGREGATE(4,6,OFFSET($S$5,H232,0,1,$K$2))</f>
        <v>0</v>
      </c>
      <c r="AC232" s="1" t="n">
        <f aca="false">AB232-AA232</f>
        <v>0</v>
      </c>
      <c r="AD232" s="1" t="e">
        <f aca="true">_xlfn.AGGREGATE(1,6,OFFSET($S$5,H232,0,1,$K$2))</f>
        <v>#DIV/0!</v>
      </c>
    </row>
    <row r="233" customFormat="false" ht="14.25" hidden="false" customHeight="false" outlineLevel="0" collapsed="false">
      <c r="H233" s="1" t="n">
        <f aca="false">H232+1</f>
        <v>228</v>
      </c>
      <c r="I233" s="1" t="n">
        <f aca="false">WEEKDAY('daily graphs'!K233)</f>
        <v>3</v>
      </c>
      <c r="J233" s="1" t="n">
        <f aca="false">DAY(L233)</f>
        <v>12</v>
      </c>
      <c r="K233" s="1" t="n">
        <f aca="false">MONTH(L233)</f>
        <v>8</v>
      </c>
      <c r="L233" s="23" t="n">
        <f aca="false">'daily graphs'!K233 - I233</f>
        <v>36750</v>
      </c>
      <c r="M233" s="24" t="n">
        <f aca="true">IF(TODAY()&lt;DATE($O$5,K233,J233),1000000,-1000000)</f>
        <v>-1000000</v>
      </c>
      <c r="N233" s="24" t="e">
        <f aca="false">IF(M233&gt;0,INDEX(big_daily_table,MATCH(DATE(O$5,$K233,$J233),daily_dates,0),MATCH($B$3,daily_items,0)),NA())</f>
        <v>#N/A</v>
      </c>
      <c r="O233" s="1" t="e">
        <f aca="false">IF(M233&lt;0,INDEX(big_daily_table,MATCH(DATE(O$5,$K233,$J233),daily_dates,0),MATCH($B$3,daily_items,0)),NA())</f>
        <v>#N/A</v>
      </c>
      <c r="P233" s="1" t="e">
        <f aca="false">IF(ISBLANK(INDEX(big_daily_table,MATCH(DATE(P$5,$K233,$J233),daily_dates,0),MATCH($B$3,daily_items,0))),NA(),INDEX(big_daily_table,MATCH(DATE(P$5,$K233,$J233),daily_dates,0),MATCH($B$3,daily_items,0)))</f>
        <v>#N/A</v>
      </c>
      <c r="Q233" s="1" t="e">
        <f aca="false">IF(ISBLANK(INDEX(big_daily_table,MATCH(DATE(Q$5,$K233,$J233),daily_dates,0),MATCH($B$3,daily_items,0))),NA(),INDEX(big_daily_table,MATCH(DATE(Q$5,$K233,$J233),daily_dates,0),MATCH($B$3,daily_items,0)))</f>
        <v>#N/A</v>
      </c>
      <c r="R233" s="1" t="e">
        <f aca="false">IF(ISBLANK(INDEX(big_daily_table,MATCH(DATE(R$5,$K233,$J233),daily_dates,0),MATCH($B$3,daily_items,0))),NA(),INDEX(big_daily_table,MATCH(DATE(R$5,$K233,$J233),daily_dates,0),MATCH($B$3,daily_items,0)))</f>
        <v>#N/A</v>
      </c>
      <c r="S233" s="1" t="e">
        <f aca="false">IF(ISBLANK(INDEX(big_daily_table,MATCH(DATE(S$5,$K233,$J233),daily_dates,0),MATCH($B$3,daily_items,0))),NA(),INDEX(big_daily_table,MATCH(DATE(S$5,$K233,$J233),daily_dates,0),MATCH($B$3,daily_items,0)))</f>
        <v>#N/A</v>
      </c>
      <c r="T233" s="1" t="e">
        <f aca="false">IF(ISBLANK(INDEX(big_daily_table,MATCH(DATE(T$5,$K233,$J233),daily_dates,0),MATCH($B$3,daily_items,0))),NA(),INDEX(big_daily_table,MATCH(DATE(T$5,$K233,$J233),daily_dates,0),MATCH($B$3,daily_items,0)))</f>
        <v>#N/A</v>
      </c>
      <c r="U233" s="1" t="e">
        <f aca="false">IF(ISBLANK(INDEX(big_daily_table,MATCH(DATE(U$5,$K233,$J233),daily_dates,0),MATCH($B$3,daily_items,0))),NA(),INDEX(big_daily_table,MATCH(DATE(U$5,$K233,$J233),daily_dates,0),MATCH($B$3,daily_items,0)))</f>
        <v>#N/A</v>
      </c>
      <c r="V233" s="1" t="e">
        <f aca="false">IF(ISBLANK(INDEX(big_daily_table,MATCH(DATE(V$5,$K233,$J233),daily_dates,0),MATCH($B$3,daily_items,0))),NA(),INDEX(big_daily_table,MATCH(DATE(V$5,$K233,$J233),daily_dates,0),MATCH($B$3,daily_items,0)))</f>
        <v>#N/A</v>
      </c>
      <c r="W233" s="1" t="e">
        <f aca="false">IF(ISBLANK(INDEX(big_daily_table,MATCH(DATE(W$5,$K233,$J233),daily_dates,0),MATCH($B$3,daily_items,0))),NA(),INDEX(big_daily_table,MATCH(DATE(W$5,$K233,$J233),daily_dates,0),MATCH($B$3,daily_items,0)))</f>
        <v>#N/A</v>
      </c>
      <c r="X233" s="1" t="e">
        <f aca="false">IF(ISBLANK(INDEX(big_daily_table,MATCH(DATE(X$5,$K233,$J233),daily_dates,0),MATCH($B$3,daily_items,0))),NA(),INDEX(big_daily_table,MATCH(DATE(X$5,$K233,$J233),daily_dates,0),MATCH($B$3,daily_items,0)))</f>
        <v>#N/A</v>
      </c>
      <c r="Y233" s="1" t="e">
        <f aca="false">IF(ISBLANK(INDEX(big_daily_table,MATCH(DATE(Y$5,$K233,$J233),daily_dates,0),MATCH($B$3,daily_items,0))),NA(),INDEX(big_daily_table,MATCH(DATE(Y$5,$K233,$J233),daily_dates,0),MATCH($B$3,daily_items,0)))</f>
        <v>#N/A</v>
      </c>
      <c r="Z233" s="1" t="e">
        <f aca="false">IF(ISBLANK(INDEX(big_daily_table,MATCH(DATE(Z$5,$K233,$J233),daily_dates,0),MATCH($B$3,daily_items,0))),NA(),INDEX(big_daily_table,MATCH(DATE(Z$5,$K233,$J233),daily_dates,0),MATCH($B$3,daily_items,0)))</f>
        <v>#N/A</v>
      </c>
      <c r="AA233" s="1" t="n">
        <f aca="true">_xlfn.AGGREGATE(5,6,OFFSET($S$5,H233,0,1,$K$2))</f>
        <v>0</v>
      </c>
      <c r="AB233" s="1" t="n">
        <f aca="true">_xlfn.AGGREGATE(4,6,OFFSET($S$5,H233,0,1,$K$2))</f>
        <v>0</v>
      </c>
      <c r="AC233" s="1" t="n">
        <f aca="false">AB233-AA233</f>
        <v>0</v>
      </c>
      <c r="AD233" s="1" t="e">
        <f aca="true">_xlfn.AGGREGATE(1,6,OFFSET($S$5,H233,0,1,$K$2))</f>
        <v>#DIV/0!</v>
      </c>
    </row>
    <row r="234" customFormat="false" ht="14.25" hidden="false" customHeight="false" outlineLevel="0" collapsed="false">
      <c r="H234" s="1" t="n">
        <f aca="false">H233+1</f>
        <v>229</v>
      </c>
      <c r="I234" s="1" t="n">
        <f aca="false">WEEKDAY('daily graphs'!K234)</f>
        <v>4</v>
      </c>
      <c r="J234" s="1" t="n">
        <f aca="false">DAY(L234)</f>
        <v>12</v>
      </c>
      <c r="K234" s="1" t="n">
        <f aca="false">MONTH(L234)</f>
        <v>8</v>
      </c>
      <c r="L234" s="23" t="n">
        <f aca="false">'daily graphs'!K234 - I234</f>
        <v>36750</v>
      </c>
      <c r="M234" s="24" t="n">
        <f aca="true">IF(TODAY()&lt;DATE($O$5,K234,J234),1000000,-1000000)</f>
        <v>-1000000</v>
      </c>
      <c r="N234" s="24" t="e">
        <f aca="false">IF(M234&gt;0,INDEX(big_daily_table,MATCH(DATE(O$5,$K234,$J234),daily_dates,0),MATCH($B$3,daily_items,0)),NA())</f>
        <v>#N/A</v>
      </c>
      <c r="O234" s="1" t="e">
        <f aca="false">IF(M234&lt;0,INDEX(big_daily_table,MATCH(DATE(O$5,$K234,$J234),daily_dates,0),MATCH($B$3,daily_items,0)),NA())</f>
        <v>#N/A</v>
      </c>
      <c r="P234" s="1" t="e">
        <f aca="false">IF(ISBLANK(INDEX(big_daily_table,MATCH(DATE(P$5,$K234,$J234),daily_dates,0),MATCH($B$3,daily_items,0))),NA(),INDEX(big_daily_table,MATCH(DATE(P$5,$K234,$J234),daily_dates,0),MATCH($B$3,daily_items,0)))</f>
        <v>#N/A</v>
      </c>
      <c r="Q234" s="1" t="e">
        <f aca="false">IF(ISBLANK(INDEX(big_daily_table,MATCH(DATE(Q$5,$K234,$J234),daily_dates,0),MATCH($B$3,daily_items,0))),NA(),INDEX(big_daily_table,MATCH(DATE(Q$5,$K234,$J234),daily_dates,0),MATCH($B$3,daily_items,0)))</f>
        <v>#N/A</v>
      </c>
      <c r="R234" s="1" t="e">
        <f aca="false">IF(ISBLANK(INDEX(big_daily_table,MATCH(DATE(R$5,$K234,$J234),daily_dates,0),MATCH($B$3,daily_items,0))),NA(),INDEX(big_daily_table,MATCH(DATE(R$5,$K234,$J234),daily_dates,0),MATCH($B$3,daily_items,0)))</f>
        <v>#N/A</v>
      </c>
      <c r="S234" s="1" t="e">
        <f aca="false">IF(ISBLANK(INDEX(big_daily_table,MATCH(DATE(S$5,$K234,$J234),daily_dates,0),MATCH($B$3,daily_items,0))),NA(),INDEX(big_daily_table,MATCH(DATE(S$5,$K234,$J234),daily_dates,0),MATCH($B$3,daily_items,0)))</f>
        <v>#N/A</v>
      </c>
      <c r="T234" s="1" t="e">
        <f aca="false">IF(ISBLANK(INDEX(big_daily_table,MATCH(DATE(T$5,$K234,$J234),daily_dates,0),MATCH($B$3,daily_items,0))),NA(),INDEX(big_daily_table,MATCH(DATE(T$5,$K234,$J234),daily_dates,0),MATCH($B$3,daily_items,0)))</f>
        <v>#N/A</v>
      </c>
      <c r="U234" s="1" t="e">
        <f aca="false">IF(ISBLANK(INDEX(big_daily_table,MATCH(DATE(U$5,$K234,$J234),daily_dates,0),MATCH($B$3,daily_items,0))),NA(),INDEX(big_daily_table,MATCH(DATE(U$5,$K234,$J234),daily_dates,0),MATCH($B$3,daily_items,0)))</f>
        <v>#N/A</v>
      </c>
      <c r="V234" s="1" t="e">
        <f aca="false">IF(ISBLANK(INDEX(big_daily_table,MATCH(DATE(V$5,$K234,$J234),daily_dates,0),MATCH($B$3,daily_items,0))),NA(),INDEX(big_daily_table,MATCH(DATE(V$5,$K234,$J234),daily_dates,0),MATCH($B$3,daily_items,0)))</f>
        <v>#N/A</v>
      </c>
      <c r="W234" s="1" t="e">
        <f aca="false">IF(ISBLANK(INDEX(big_daily_table,MATCH(DATE(W$5,$K234,$J234),daily_dates,0),MATCH($B$3,daily_items,0))),NA(),INDEX(big_daily_table,MATCH(DATE(W$5,$K234,$J234),daily_dates,0),MATCH($B$3,daily_items,0)))</f>
        <v>#N/A</v>
      </c>
      <c r="X234" s="1" t="e">
        <f aca="false">IF(ISBLANK(INDEX(big_daily_table,MATCH(DATE(X$5,$K234,$J234),daily_dates,0),MATCH($B$3,daily_items,0))),NA(),INDEX(big_daily_table,MATCH(DATE(X$5,$K234,$J234),daily_dates,0),MATCH($B$3,daily_items,0)))</f>
        <v>#N/A</v>
      </c>
      <c r="Y234" s="1" t="e">
        <f aca="false">IF(ISBLANK(INDEX(big_daily_table,MATCH(DATE(Y$5,$K234,$J234),daily_dates,0),MATCH($B$3,daily_items,0))),NA(),INDEX(big_daily_table,MATCH(DATE(Y$5,$K234,$J234),daily_dates,0),MATCH($B$3,daily_items,0)))</f>
        <v>#N/A</v>
      </c>
      <c r="Z234" s="1" t="e">
        <f aca="false">IF(ISBLANK(INDEX(big_daily_table,MATCH(DATE(Z$5,$K234,$J234),daily_dates,0),MATCH($B$3,daily_items,0))),NA(),INDEX(big_daily_table,MATCH(DATE(Z$5,$K234,$J234),daily_dates,0),MATCH($B$3,daily_items,0)))</f>
        <v>#N/A</v>
      </c>
      <c r="AA234" s="1" t="n">
        <f aca="true">_xlfn.AGGREGATE(5,6,OFFSET($S$5,H234,0,1,$K$2))</f>
        <v>0</v>
      </c>
      <c r="AB234" s="1" t="n">
        <f aca="true">_xlfn.AGGREGATE(4,6,OFFSET($S$5,H234,0,1,$K$2))</f>
        <v>0</v>
      </c>
      <c r="AC234" s="1" t="n">
        <f aca="false">AB234-AA234</f>
        <v>0</v>
      </c>
      <c r="AD234" s="1" t="e">
        <f aca="true">_xlfn.AGGREGATE(1,6,OFFSET($S$5,H234,0,1,$K$2))</f>
        <v>#DIV/0!</v>
      </c>
    </row>
    <row r="235" customFormat="false" ht="14.25" hidden="false" customHeight="false" outlineLevel="0" collapsed="false">
      <c r="H235" s="1" t="n">
        <f aca="false">H234+1</f>
        <v>230</v>
      </c>
      <c r="I235" s="1" t="n">
        <f aca="false">WEEKDAY('daily graphs'!K235)</f>
        <v>5</v>
      </c>
      <c r="J235" s="1" t="n">
        <f aca="false">DAY(L235)</f>
        <v>12</v>
      </c>
      <c r="K235" s="1" t="n">
        <f aca="false">MONTH(L235)</f>
        <v>8</v>
      </c>
      <c r="L235" s="23" t="n">
        <f aca="false">'daily graphs'!K235 - I235</f>
        <v>36750</v>
      </c>
      <c r="M235" s="24" t="n">
        <f aca="true">IF(TODAY()&lt;DATE($O$5,K235,J235),1000000,-1000000)</f>
        <v>-1000000</v>
      </c>
      <c r="N235" s="24" t="e">
        <f aca="false">IF(M235&gt;0,INDEX(big_daily_table,MATCH(DATE(O$5,$K235,$J235),daily_dates,0),MATCH($B$3,daily_items,0)),NA())</f>
        <v>#N/A</v>
      </c>
      <c r="O235" s="1" t="e">
        <f aca="false">IF(M235&lt;0,INDEX(big_daily_table,MATCH(DATE(O$5,$K235,$J235),daily_dates,0),MATCH($B$3,daily_items,0)),NA())</f>
        <v>#N/A</v>
      </c>
      <c r="P235" s="1" t="e">
        <f aca="false">IF(ISBLANK(INDEX(big_daily_table,MATCH(DATE(P$5,$K235,$J235),daily_dates,0),MATCH($B$3,daily_items,0))),NA(),INDEX(big_daily_table,MATCH(DATE(P$5,$K235,$J235),daily_dates,0),MATCH($B$3,daily_items,0)))</f>
        <v>#N/A</v>
      </c>
      <c r="Q235" s="1" t="e">
        <f aca="false">IF(ISBLANK(INDEX(big_daily_table,MATCH(DATE(Q$5,$K235,$J235),daily_dates,0),MATCH($B$3,daily_items,0))),NA(),INDEX(big_daily_table,MATCH(DATE(Q$5,$K235,$J235),daily_dates,0),MATCH($B$3,daily_items,0)))</f>
        <v>#N/A</v>
      </c>
      <c r="R235" s="1" t="e">
        <f aca="false">IF(ISBLANK(INDEX(big_daily_table,MATCH(DATE(R$5,$K235,$J235),daily_dates,0),MATCH($B$3,daily_items,0))),NA(),INDEX(big_daily_table,MATCH(DATE(R$5,$K235,$J235),daily_dates,0),MATCH($B$3,daily_items,0)))</f>
        <v>#N/A</v>
      </c>
      <c r="S235" s="1" t="e">
        <f aca="false">IF(ISBLANK(INDEX(big_daily_table,MATCH(DATE(S$5,$K235,$J235),daily_dates,0),MATCH($B$3,daily_items,0))),NA(),INDEX(big_daily_table,MATCH(DATE(S$5,$K235,$J235),daily_dates,0),MATCH($B$3,daily_items,0)))</f>
        <v>#N/A</v>
      </c>
      <c r="T235" s="1" t="e">
        <f aca="false">IF(ISBLANK(INDEX(big_daily_table,MATCH(DATE(T$5,$K235,$J235),daily_dates,0),MATCH($B$3,daily_items,0))),NA(),INDEX(big_daily_table,MATCH(DATE(T$5,$K235,$J235),daily_dates,0),MATCH($B$3,daily_items,0)))</f>
        <v>#N/A</v>
      </c>
      <c r="U235" s="1" t="e">
        <f aca="false">IF(ISBLANK(INDEX(big_daily_table,MATCH(DATE(U$5,$K235,$J235),daily_dates,0),MATCH($B$3,daily_items,0))),NA(),INDEX(big_daily_table,MATCH(DATE(U$5,$K235,$J235),daily_dates,0),MATCH($B$3,daily_items,0)))</f>
        <v>#N/A</v>
      </c>
      <c r="V235" s="1" t="e">
        <f aca="false">IF(ISBLANK(INDEX(big_daily_table,MATCH(DATE(V$5,$K235,$J235),daily_dates,0),MATCH($B$3,daily_items,0))),NA(),INDEX(big_daily_table,MATCH(DATE(V$5,$K235,$J235),daily_dates,0),MATCH($B$3,daily_items,0)))</f>
        <v>#N/A</v>
      </c>
      <c r="W235" s="1" t="e">
        <f aca="false">IF(ISBLANK(INDEX(big_daily_table,MATCH(DATE(W$5,$K235,$J235),daily_dates,0),MATCH($B$3,daily_items,0))),NA(),INDEX(big_daily_table,MATCH(DATE(W$5,$K235,$J235),daily_dates,0),MATCH($B$3,daily_items,0)))</f>
        <v>#N/A</v>
      </c>
      <c r="X235" s="1" t="e">
        <f aca="false">IF(ISBLANK(INDEX(big_daily_table,MATCH(DATE(X$5,$K235,$J235),daily_dates,0),MATCH($B$3,daily_items,0))),NA(),INDEX(big_daily_table,MATCH(DATE(X$5,$K235,$J235),daily_dates,0),MATCH($B$3,daily_items,0)))</f>
        <v>#N/A</v>
      </c>
      <c r="Y235" s="1" t="e">
        <f aca="false">IF(ISBLANK(INDEX(big_daily_table,MATCH(DATE(Y$5,$K235,$J235),daily_dates,0),MATCH($B$3,daily_items,0))),NA(),INDEX(big_daily_table,MATCH(DATE(Y$5,$K235,$J235),daily_dates,0),MATCH($B$3,daily_items,0)))</f>
        <v>#N/A</v>
      </c>
      <c r="Z235" s="1" t="e">
        <f aca="false">IF(ISBLANK(INDEX(big_daily_table,MATCH(DATE(Z$5,$K235,$J235),daily_dates,0),MATCH($B$3,daily_items,0))),NA(),INDEX(big_daily_table,MATCH(DATE(Z$5,$K235,$J235),daily_dates,0),MATCH($B$3,daily_items,0)))</f>
        <v>#N/A</v>
      </c>
      <c r="AA235" s="1" t="n">
        <f aca="true">_xlfn.AGGREGATE(5,6,OFFSET($S$5,H235,0,1,$K$2))</f>
        <v>0</v>
      </c>
      <c r="AB235" s="1" t="n">
        <f aca="true">_xlfn.AGGREGATE(4,6,OFFSET($S$5,H235,0,1,$K$2))</f>
        <v>0</v>
      </c>
      <c r="AC235" s="1" t="n">
        <f aca="false">AB235-AA235</f>
        <v>0</v>
      </c>
      <c r="AD235" s="1" t="e">
        <f aca="true">_xlfn.AGGREGATE(1,6,OFFSET($S$5,H235,0,1,$K$2))</f>
        <v>#DIV/0!</v>
      </c>
    </row>
    <row r="236" customFormat="false" ht="14.25" hidden="false" customHeight="false" outlineLevel="0" collapsed="false">
      <c r="H236" s="1" t="n">
        <f aca="false">H235+1</f>
        <v>231</v>
      </c>
      <c r="I236" s="1" t="n">
        <f aca="false">WEEKDAY('daily graphs'!K236)</f>
        <v>6</v>
      </c>
      <c r="J236" s="1" t="n">
        <f aca="false">DAY(L236)</f>
        <v>12</v>
      </c>
      <c r="K236" s="1" t="n">
        <f aca="false">MONTH(L236)</f>
        <v>8</v>
      </c>
      <c r="L236" s="23" t="n">
        <f aca="false">'daily graphs'!K236 - I236</f>
        <v>36750</v>
      </c>
      <c r="M236" s="24" t="n">
        <f aca="true">IF(TODAY()&lt;DATE($O$5,K236,J236),1000000,-1000000)</f>
        <v>-1000000</v>
      </c>
      <c r="N236" s="24" t="e">
        <f aca="false">IF(M236&gt;0,INDEX(big_daily_table,MATCH(DATE(O$5,$K236,$J236),daily_dates,0),MATCH($B$3,daily_items,0)),NA())</f>
        <v>#N/A</v>
      </c>
      <c r="O236" s="1" t="e">
        <f aca="false">IF(M236&lt;0,INDEX(big_daily_table,MATCH(DATE(O$5,$K236,$J236),daily_dates,0),MATCH($B$3,daily_items,0)),NA())</f>
        <v>#N/A</v>
      </c>
      <c r="P236" s="1" t="e">
        <f aca="false">IF(ISBLANK(INDEX(big_daily_table,MATCH(DATE(P$5,$K236,$J236),daily_dates,0),MATCH($B$3,daily_items,0))),NA(),INDEX(big_daily_table,MATCH(DATE(P$5,$K236,$J236),daily_dates,0),MATCH($B$3,daily_items,0)))</f>
        <v>#N/A</v>
      </c>
      <c r="Q236" s="1" t="e">
        <f aca="false">IF(ISBLANK(INDEX(big_daily_table,MATCH(DATE(Q$5,$K236,$J236),daily_dates,0),MATCH($B$3,daily_items,0))),NA(),INDEX(big_daily_table,MATCH(DATE(Q$5,$K236,$J236),daily_dates,0),MATCH($B$3,daily_items,0)))</f>
        <v>#N/A</v>
      </c>
      <c r="R236" s="1" t="e">
        <f aca="false">IF(ISBLANK(INDEX(big_daily_table,MATCH(DATE(R$5,$K236,$J236),daily_dates,0),MATCH($B$3,daily_items,0))),NA(),INDEX(big_daily_table,MATCH(DATE(R$5,$K236,$J236),daily_dates,0),MATCH($B$3,daily_items,0)))</f>
        <v>#N/A</v>
      </c>
      <c r="S236" s="1" t="e">
        <f aca="false">IF(ISBLANK(INDEX(big_daily_table,MATCH(DATE(S$5,$K236,$J236),daily_dates,0),MATCH($B$3,daily_items,0))),NA(),INDEX(big_daily_table,MATCH(DATE(S$5,$K236,$J236),daily_dates,0),MATCH($B$3,daily_items,0)))</f>
        <v>#N/A</v>
      </c>
      <c r="T236" s="1" t="e">
        <f aca="false">IF(ISBLANK(INDEX(big_daily_table,MATCH(DATE(T$5,$K236,$J236),daily_dates,0),MATCH($B$3,daily_items,0))),NA(),INDEX(big_daily_table,MATCH(DATE(T$5,$K236,$J236),daily_dates,0),MATCH($B$3,daily_items,0)))</f>
        <v>#N/A</v>
      </c>
      <c r="U236" s="1" t="e">
        <f aca="false">IF(ISBLANK(INDEX(big_daily_table,MATCH(DATE(U$5,$K236,$J236),daily_dates,0),MATCH($B$3,daily_items,0))),NA(),INDEX(big_daily_table,MATCH(DATE(U$5,$K236,$J236),daily_dates,0),MATCH($B$3,daily_items,0)))</f>
        <v>#N/A</v>
      </c>
      <c r="V236" s="1" t="e">
        <f aca="false">IF(ISBLANK(INDEX(big_daily_table,MATCH(DATE(V$5,$K236,$J236),daily_dates,0),MATCH($B$3,daily_items,0))),NA(),INDEX(big_daily_table,MATCH(DATE(V$5,$K236,$J236),daily_dates,0),MATCH($B$3,daily_items,0)))</f>
        <v>#N/A</v>
      </c>
      <c r="W236" s="1" t="e">
        <f aca="false">IF(ISBLANK(INDEX(big_daily_table,MATCH(DATE(W$5,$K236,$J236),daily_dates,0),MATCH($B$3,daily_items,0))),NA(),INDEX(big_daily_table,MATCH(DATE(W$5,$K236,$J236),daily_dates,0),MATCH($B$3,daily_items,0)))</f>
        <v>#N/A</v>
      </c>
      <c r="X236" s="1" t="e">
        <f aca="false">IF(ISBLANK(INDEX(big_daily_table,MATCH(DATE(X$5,$K236,$J236),daily_dates,0),MATCH($B$3,daily_items,0))),NA(),INDEX(big_daily_table,MATCH(DATE(X$5,$K236,$J236),daily_dates,0),MATCH($B$3,daily_items,0)))</f>
        <v>#N/A</v>
      </c>
      <c r="Y236" s="1" t="e">
        <f aca="false">IF(ISBLANK(INDEX(big_daily_table,MATCH(DATE(Y$5,$K236,$J236),daily_dates,0),MATCH($B$3,daily_items,0))),NA(),INDEX(big_daily_table,MATCH(DATE(Y$5,$K236,$J236),daily_dates,0),MATCH($B$3,daily_items,0)))</f>
        <v>#N/A</v>
      </c>
      <c r="Z236" s="1" t="e">
        <f aca="false">IF(ISBLANK(INDEX(big_daily_table,MATCH(DATE(Z$5,$K236,$J236),daily_dates,0),MATCH($B$3,daily_items,0))),NA(),INDEX(big_daily_table,MATCH(DATE(Z$5,$K236,$J236),daily_dates,0),MATCH($B$3,daily_items,0)))</f>
        <v>#N/A</v>
      </c>
      <c r="AA236" s="1" t="n">
        <f aca="true">_xlfn.AGGREGATE(5,6,OFFSET($S$5,H236,0,1,$K$2))</f>
        <v>0</v>
      </c>
      <c r="AB236" s="1" t="n">
        <f aca="true">_xlfn.AGGREGATE(4,6,OFFSET($S$5,H236,0,1,$K$2))</f>
        <v>0</v>
      </c>
      <c r="AC236" s="1" t="n">
        <f aca="false">AB236-AA236</f>
        <v>0</v>
      </c>
      <c r="AD236" s="1" t="e">
        <f aca="true">_xlfn.AGGREGATE(1,6,OFFSET($S$5,H236,0,1,$K$2))</f>
        <v>#DIV/0!</v>
      </c>
    </row>
    <row r="237" customFormat="false" ht="14.25" hidden="false" customHeight="false" outlineLevel="0" collapsed="false">
      <c r="H237" s="1" t="n">
        <f aca="false">H236+1</f>
        <v>232</v>
      </c>
      <c r="I237" s="1" t="n">
        <f aca="false">WEEKDAY('daily graphs'!K237)</f>
        <v>7</v>
      </c>
      <c r="J237" s="1" t="n">
        <f aca="false">DAY(L237)</f>
        <v>12</v>
      </c>
      <c r="K237" s="1" t="n">
        <f aca="false">MONTH(L237)</f>
        <v>8</v>
      </c>
      <c r="L237" s="23" t="n">
        <f aca="false">'daily graphs'!K237 - I237</f>
        <v>36750</v>
      </c>
      <c r="M237" s="24" t="n">
        <f aca="true">IF(TODAY()&lt;DATE($O$5,K237,J237),1000000,-1000000)</f>
        <v>-1000000</v>
      </c>
      <c r="N237" s="24" t="e">
        <f aca="false">IF(M237&gt;0,INDEX(big_daily_table,MATCH(DATE(O$5,$K237,$J237),daily_dates,0),MATCH($B$3,daily_items,0)),NA())</f>
        <v>#N/A</v>
      </c>
      <c r="O237" s="1" t="e">
        <f aca="false">IF(M237&lt;0,INDEX(big_daily_table,MATCH(DATE(O$5,$K237,$J237),daily_dates,0),MATCH($B$3,daily_items,0)),NA())</f>
        <v>#N/A</v>
      </c>
      <c r="P237" s="1" t="e">
        <f aca="false">IF(ISBLANK(INDEX(big_daily_table,MATCH(DATE(P$5,$K237,$J237),daily_dates,0),MATCH($B$3,daily_items,0))),NA(),INDEX(big_daily_table,MATCH(DATE(P$5,$K237,$J237),daily_dates,0),MATCH($B$3,daily_items,0)))</f>
        <v>#N/A</v>
      </c>
      <c r="Q237" s="1" t="e">
        <f aca="false">IF(ISBLANK(INDEX(big_daily_table,MATCH(DATE(Q$5,$K237,$J237),daily_dates,0),MATCH($B$3,daily_items,0))),NA(),INDEX(big_daily_table,MATCH(DATE(Q$5,$K237,$J237),daily_dates,0),MATCH($B$3,daily_items,0)))</f>
        <v>#N/A</v>
      </c>
      <c r="R237" s="1" t="e">
        <f aca="false">IF(ISBLANK(INDEX(big_daily_table,MATCH(DATE(R$5,$K237,$J237),daily_dates,0),MATCH($B$3,daily_items,0))),NA(),INDEX(big_daily_table,MATCH(DATE(R$5,$K237,$J237),daily_dates,0),MATCH($B$3,daily_items,0)))</f>
        <v>#N/A</v>
      </c>
      <c r="S237" s="1" t="e">
        <f aca="false">IF(ISBLANK(INDEX(big_daily_table,MATCH(DATE(S$5,$K237,$J237),daily_dates,0),MATCH($B$3,daily_items,0))),NA(),INDEX(big_daily_table,MATCH(DATE(S$5,$K237,$J237),daily_dates,0),MATCH($B$3,daily_items,0)))</f>
        <v>#N/A</v>
      </c>
      <c r="T237" s="1" t="e">
        <f aca="false">IF(ISBLANK(INDEX(big_daily_table,MATCH(DATE(T$5,$K237,$J237),daily_dates,0),MATCH($B$3,daily_items,0))),NA(),INDEX(big_daily_table,MATCH(DATE(T$5,$K237,$J237),daily_dates,0),MATCH($B$3,daily_items,0)))</f>
        <v>#N/A</v>
      </c>
      <c r="U237" s="1" t="e">
        <f aca="false">IF(ISBLANK(INDEX(big_daily_table,MATCH(DATE(U$5,$K237,$J237),daily_dates,0),MATCH($B$3,daily_items,0))),NA(),INDEX(big_daily_table,MATCH(DATE(U$5,$K237,$J237),daily_dates,0),MATCH($B$3,daily_items,0)))</f>
        <v>#N/A</v>
      </c>
      <c r="V237" s="1" t="e">
        <f aca="false">IF(ISBLANK(INDEX(big_daily_table,MATCH(DATE(V$5,$K237,$J237),daily_dates,0),MATCH($B$3,daily_items,0))),NA(),INDEX(big_daily_table,MATCH(DATE(V$5,$K237,$J237),daily_dates,0),MATCH($B$3,daily_items,0)))</f>
        <v>#N/A</v>
      </c>
      <c r="W237" s="1" t="e">
        <f aca="false">IF(ISBLANK(INDEX(big_daily_table,MATCH(DATE(W$5,$K237,$J237),daily_dates,0),MATCH($B$3,daily_items,0))),NA(),INDEX(big_daily_table,MATCH(DATE(W$5,$K237,$J237),daily_dates,0),MATCH($B$3,daily_items,0)))</f>
        <v>#N/A</v>
      </c>
      <c r="X237" s="1" t="e">
        <f aca="false">IF(ISBLANK(INDEX(big_daily_table,MATCH(DATE(X$5,$K237,$J237),daily_dates,0),MATCH($B$3,daily_items,0))),NA(),INDEX(big_daily_table,MATCH(DATE(X$5,$K237,$J237),daily_dates,0),MATCH($B$3,daily_items,0)))</f>
        <v>#N/A</v>
      </c>
      <c r="Y237" s="1" t="e">
        <f aca="false">IF(ISBLANK(INDEX(big_daily_table,MATCH(DATE(Y$5,$K237,$J237),daily_dates,0),MATCH($B$3,daily_items,0))),NA(),INDEX(big_daily_table,MATCH(DATE(Y$5,$K237,$J237),daily_dates,0),MATCH($B$3,daily_items,0)))</f>
        <v>#N/A</v>
      </c>
      <c r="Z237" s="1" t="e">
        <f aca="false">IF(ISBLANK(INDEX(big_daily_table,MATCH(DATE(Z$5,$K237,$J237),daily_dates,0),MATCH($B$3,daily_items,0))),NA(),INDEX(big_daily_table,MATCH(DATE(Z$5,$K237,$J237),daily_dates,0),MATCH($B$3,daily_items,0)))</f>
        <v>#N/A</v>
      </c>
      <c r="AA237" s="1" t="n">
        <f aca="true">_xlfn.AGGREGATE(5,6,OFFSET($S$5,H237,0,1,$K$2))</f>
        <v>0</v>
      </c>
      <c r="AB237" s="1" t="n">
        <f aca="true">_xlfn.AGGREGATE(4,6,OFFSET($S$5,H237,0,1,$K$2))</f>
        <v>0</v>
      </c>
      <c r="AC237" s="1" t="n">
        <f aca="false">AB237-AA237</f>
        <v>0</v>
      </c>
      <c r="AD237" s="1" t="e">
        <f aca="true">_xlfn.AGGREGATE(1,6,OFFSET($S$5,H237,0,1,$K$2))</f>
        <v>#DIV/0!</v>
      </c>
    </row>
    <row r="238" customFormat="false" ht="14.25" hidden="false" customHeight="false" outlineLevel="0" collapsed="false">
      <c r="H238" s="1" t="n">
        <f aca="false">H237+1</f>
        <v>233</v>
      </c>
      <c r="I238" s="1" t="n">
        <f aca="false">WEEKDAY('daily graphs'!K238)</f>
        <v>1</v>
      </c>
      <c r="J238" s="1" t="n">
        <f aca="false">DAY(L238)</f>
        <v>19</v>
      </c>
      <c r="K238" s="1" t="n">
        <f aca="false">MONTH(L238)</f>
        <v>8</v>
      </c>
      <c r="L238" s="23" t="n">
        <f aca="false">'daily graphs'!K238 - I238</f>
        <v>36757</v>
      </c>
      <c r="M238" s="24" t="n">
        <f aca="true">IF(TODAY()&lt;DATE($O$5,K238,J238),1000000,-1000000)</f>
        <v>-1000000</v>
      </c>
      <c r="N238" s="24" t="e">
        <f aca="false">IF(M238&gt;0,INDEX(big_daily_table,MATCH(DATE(O$5,$K238,$J238),daily_dates,0),MATCH($B$3,daily_items,0)),NA())</f>
        <v>#N/A</v>
      </c>
      <c r="O238" s="1" t="e">
        <f aca="false">IF(M238&lt;0,INDEX(big_daily_table,MATCH(DATE(O$5,$K238,$J238),daily_dates,0),MATCH($B$3,daily_items,0)),NA())</f>
        <v>#N/A</v>
      </c>
      <c r="P238" s="1" t="e">
        <f aca="false">IF(ISBLANK(INDEX(big_daily_table,MATCH(DATE(P$5,$K238,$J238),daily_dates,0),MATCH($B$3,daily_items,0))),NA(),INDEX(big_daily_table,MATCH(DATE(P$5,$K238,$J238),daily_dates,0),MATCH($B$3,daily_items,0)))</f>
        <v>#N/A</v>
      </c>
      <c r="Q238" s="1" t="e">
        <f aca="false">IF(ISBLANK(INDEX(big_daily_table,MATCH(DATE(Q$5,$K238,$J238),daily_dates,0),MATCH($B$3,daily_items,0))),NA(),INDEX(big_daily_table,MATCH(DATE(Q$5,$K238,$J238),daily_dates,0),MATCH($B$3,daily_items,0)))</f>
        <v>#N/A</v>
      </c>
      <c r="R238" s="1" t="e">
        <f aca="false">IF(ISBLANK(INDEX(big_daily_table,MATCH(DATE(R$5,$K238,$J238),daily_dates,0),MATCH($B$3,daily_items,0))),NA(),INDEX(big_daily_table,MATCH(DATE(R$5,$K238,$J238),daily_dates,0),MATCH($B$3,daily_items,0)))</f>
        <v>#N/A</v>
      </c>
      <c r="S238" s="1" t="e">
        <f aca="false">IF(ISBLANK(INDEX(big_daily_table,MATCH(DATE(S$5,$K238,$J238),daily_dates,0),MATCH($B$3,daily_items,0))),NA(),INDEX(big_daily_table,MATCH(DATE(S$5,$K238,$J238),daily_dates,0),MATCH($B$3,daily_items,0)))</f>
        <v>#N/A</v>
      </c>
      <c r="T238" s="1" t="e">
        <f aca="false">IF(ISBLANK(INDEX(big_daily_table,MATCH(DATE(T$5,$K238,$J238),daily_dates,0),MATCH($B$3,daily_items,0))),NA(),INDEX(big_daily_table,MATCH(DATE(T$5,$K238,$J238),daily_dates,0),MATCH($B$3,daily_items,0)))</f>
        <v>#N/A</v>
      </c>
      <c r="U238" s="1" t="e">
        <f aca="false">IF(ISBLANK(INDEX(big_daily_table,MATCH(DATE(U$5,$K238,$J238),daily_dates,0),MATCH($B$3,daily_items,0))),NA(),INDEX(big_daily_table,MATCH(DATE(U$5,$K238,$J238),daily_dates,0),MATCH($B$3,daily_items,0)))</f>
        <v>#N/A</v>
      </c>
      <c r="V238" s="1" t="e">
        <f aca="false">IF(ISBLANK(INDEX(big_daily_table,MATCH(DATE(V$5,$K238,$J238),daily_dates,0),MATCH($B$3,daily_items,0))),NA(),INDEX(big_daily_table,MATCH(DATE(V$5,$K238,$J238),daily_dates,0),MATCH($B$3,daily_items,0)))</f>
        <v>#N/A</v>
      </c>
      <c r="W238" s="1" t="e">
        <f aca="false">IF(ISBLANK(INDEX(big_daily_table,MATCH(DATE(W$5,$K238,$J238),daily_dates,0),MATCH($B$3,daily_items,0))),NA(),INDEX(big_daily_table,MATCH(DATE(W$5,$K238,$J238),daily_dates,0),MATCH($B$3,daily_items,0)))</f>
        <v>#N/A</v>
      </c>
      <c r="X238" s="1" t="e">
        <f aca="false">IF(ISBLANK(INDEX(big_daily_table,MATCH(DATE(X$5,$K238,$J238),daily_dates,0),MATCH($B$3,daily_items,0))),NA(),INDEX(big_daily_table,MATCH(DATE(X$5,$K238,$J238),daily_dates,0),MATCH($B$3,daily_items,0)))</f>
        <v>#N/A</v>
      </c>
      <c r="Y238" s="1" t="e">
        <f aca="false">IF(ISBLANK(INDEX(big_daily_table,MATCH(DATE(Y$5,$K238,$J238),daily_dates,0),MATCH($B$3,daily_items,0))),NA(),INDEX(big_daily_table,MATCH(DATE(Y$5,$K238,$J238),daily_dates,0),MATCH($B$3,daily_items,0)))</f>
        <v>#N/A</v>
      </c>
      <c r="Z238" s="1" t="e">
        <f aca="false">IF(ISBLANK(INDEX(big_daily_table,MATCH(DATE(Z$5,$K238,$J238),daily_dates,0),MATCH($B$3,daily_items,0))),NA(),INDEX(big_daily_table,MATCH(DATE(Z$5,$K238,$J238),daily_dates,0),MATCH($B$3,daily_items,0)))</f>
        <v>#N/A</v>
      </c>
      <c r="AA238" s="1" t="n">
        <f aca="true">_xlfn.AGGREGATE(5,6,OFFSET($S$5,H238,0,1,$K$2))</f>
        <v>0</v>
      </c>
      <c r="AB238" s="1" t="n">
        <f aca="true">_xlfn.AGGREGATE(4,6,OFFSET($S$5,H238,0,1,$K$2))</f>
        <v>0</v>
      </c>
      <c r="AC238" s="1" t="n">
        <f aca="false">AB238-AA238</f>
        <v>0</v>
      </c>
      <c r="AD238" s="1" t="e">
        <f aca="true">_xlfn.AGGREGATE(1,6,OFFSET($S$5,H238,0,1,$K$2))</f>
        <v>#DIV/0!</v>
      </c>
    </row>
    <row r="239" customFormat="false" ht="14.25" hidden="false" customHeight="false" outlineLevel="0" collapsed="false">
      <c r="H239" s="1" t="n">
        <f aca="false">H238+1</f>
        <v>234</v>
      </c>
      <c r="I239" s="1" t="n">
        <f aca="false">WEEKDAY('daily graphs'!K239)</f>
        <v>2</v>
      </c>
      <c r="J239" s="1" t="n">
        <f aca="false">DAY(L239)</f>
        <v>19</v>
      </c>
      <c r="K239" s="1" t="n">
        <f aca="false">MONTH(L239)</f>
        <v>8</v>
      </c>
      <c r="L239" s="23" t="n">
        <f aca="false">'daily graphs'!K239 - I239</f>
        <v>36757</v>
      </c>
      <c r="M239" s="24" t="n">
        <f aca="true">IF(TODAY()&lt;DATE($O$5,K239,J239),1000000,-1000000)</f>
        <v>-1000000</v>
      </c>
      <c r="N239" s="24" t="e">
        <f aca="false">IF(M239&gt;0,INDEX(big_daily_table,MATCH(DATE(O$5,$K239,$J239),daily_dates,0),MATCH($B$3,daily_items,0)),NA())</f>
        <v>#N/A</v>
      </c>
      <c r="O239" s="1" t="e">
        <f aca="false">IF(M239&lt;0,INDEX(big_daily_table,MATCH(DATE(O$5,$K239,$J239),daily_dates,0),MATCH($B$3,daily_items,0)),NA())</f>
        <v>#N/A</v>
      </c>
      <c r="P239" s="1" t="e">
        <f aca="false">IF(ISBLANK(INDEX(big_daily_table,MATCH(DATE(P$5,$K239,$J239),daily_dates,0),MATCH($B$3,daily_items,0))),NA(),INDEX(big_daily_table,MATCH(DATE(P$5,$K239,$J239),daily_dates,0),MATCH($B$3,daily_items,0)))</f>
        <v>#N/A</v>
      </c>
      <c r="Q239" s="1" t="e">
        <f aca="false">IF(ISBLANK(INDEX(big_daily_table,MATCH(DATE(Q$5,$K239,$J239),daily_dates,0),MATCH($B$3,daily_items,0))),NA(),INDEX(big_daily_table,MATCH(DATE(Q$5,$K239,$J239),daily_dates,0),MATCH($B$3,daily_items,0)))</f>
        <v>#N/A</v>
      </c>
      <c r="R239" s="1" t="e">
        <f aca="false">IF(ISBLANK(INDEX(big_daily_table,MATCH(DATE(R$5,$K239,$J239),daily_dates,0),MATCH($B$3,daily_items,0))),NA(),INDEX(big_daily_table,MATCH(DATE(R$5,$K239,$J239),daily_dates,0),MATCH($B$3,daily_items,0)))</f>
        <v>#N/A</v>
      </c>
      <c r="S239" s="1" t="e">
        <f aca="false">IF(ISBLANK(INDEX(big_daily_table,MATCH(DATE(S$5,$K239,$J239),daily_dates,0),MATCH($B$3,daily_items,0))),NA(),INDEX(big_daily_table,MATCH(DATE(S$5,$K239,$J239),daily_dates,0),MATCH($B$3,daily_items,0)))</f>
        <v>#N/A</v>
      </c>
      <c r="T239" s="1" t="e">
        <f aca="false">IF(ISBLANK(INDEX(big_daily_table,MATCH(DATE(T$5,$K239,$J239),daily_dates,0),MATCH($B$3,daily_items,0))),NA(),INDEX(big_daily_table,MATCH(DATE(T$5,$K239,$J239),daily_dates,0),MATCH($B$3,daily_items,0)))</f>
        <v>#N/A</v>
      </c>
      <c r="U239" s="1" t="e">
        <f aca="false">IF(ISBLANK(INDEX(big_daily_table,MATCH(DATE(U$5,$K239,$J239),daily_dates,0),MATCH($B$3,daily_items,0))),NA(),INDEX(big_daily_table,MATCH(DATE(U$5,$K239,$J239),daily_dates,0),MATCH($B$3,daily_items,0)))</f>
        <v>#N/A</v>
      </c>
      <c r="V239" s="1" t="e">
        <f aca="false">IF(ISBLANK(INDEX(big_daily_table,MATCH(DATE(V$5,$K239,$J239),daily_dates,0),MATCH($B$3,daily_items,0))),NA(),INDEX(big_daily_table,MATCH(DATE(V$5,$K239,$J239),daily_dates,0),MATCH($B$3,daily_items,0)))</f>
        <v>#N/A</v>
      </c>
      <c r="W239" s="1" t="e">
        <f aca="false">IF(ISBLANK(INDEX(big_daily_table,MATCH(DATE(W$5,$K239,$J239),daily_dates,0),MATCH($B$3,daily_items,0))),NA(),INDEX(big_daily_table,MATCH(DATE(W$5,$K239,$J239),daily_dates,0),MATCH($B$3,daily_items,0)))</f>
        <v>#N/A</v>
      </c>
      <c r="X239" s="1" t="e">
        <f aca="false">IF(ISBLANK(INDEX(big_daily_table,MATCH(DATE(X$5,$K239,$J239),daily_dates,0),MATCH($B$3,daily_items,0))),NA(),INDEX(big_daily_table,MATCH(DATE(X$5,$K239,$J239),daily_dates,0),MATCH($B$3,daily_items,0)))</f>
        <v>#N/A</v>
      </c>
      <c r="Y239" s="1" t="e">
        <f aca="false">IF(ISBLANK(INDEX(big_daily_table,MATCH(DATE(Y$5,$K239,$J239),daily_dates,0),MATCH($B$3,daily_items,0))),NA(),INDEX(big_daily_table,MATCH(DATE(Y$5,$K239,$J239),daily_dates,0),MATCH($B$3,daily_items,0)))</f>
        <v>#N/A</v>
      </c>
      <c r="Z239" s="1" t="e">
        <f aca="false">IF(ISBLANK(INDEX(big_daily_table,MATCH(DATE(Z$5,$K239,$J239),daily_dates,0),MATCH($B$3,daily_items,0))),NA(),INDEX(big_daily_table,MATCH(DATE(Z$5,$K239,$J239),daily_dates,0),MATCH($B$3,daily_items,0)))</f>
        <v>#N/A</v>
      </c>
      <c r="AA239" s="1" t="n">
        <f aca="true">_xlfn.AGGREGATE(5,6,OFFSET($S$5,H239,0,1,$K$2))</f>
        <v>0</v>
      </c>
      <c r="AB239" s="1" t="n">
        <f aca="true">_xlfn.AGGREGATE(4,6,OFFSET($S$5,H239,0,1,$K$2))</f>
        <v>0</v>
      </c>
      <c r="AC239" s="1" t="n">
        <f aca="false">AB239-AA239</f>
        <v>0</v>
      </c>
      <c r="AD239" s="1" t="e">
        <f aca="true">_xlfn.AGGREGATE(1,6,OFFSET($S$5,H239,0,1,$K$2))</f>
        <v>#DIV/0!</v>
      </c>
    </row>
    <row r="240" customFormat="false" ht="14.25" hidden="false" customHeight="false" outlineLevel="0" collapsed="false">
      <c r="H240" s="1" t="n">
        <f aca="false">H239+1</f>
        <v>235</v>
      </c>
      <c r="I240" s="1" t="n">
        <f aca="false">WEEKDAY('daily graphs'!K240)</f>
        <v>3</v>
      </c>
      <c r="J240" s="1" t="n">
        <f aca="false">DAY(L240)</f>
        <v>19</v>
      </c>
      <c r="K240" s="1" t="n">
        <f aca="false">MONTH(L240)</f>
        <v>8</v>
      </c>
      <c r="L240" s="23" t="n">
        <f aca="false">'daily graphs'!K240 - I240</f>
        <v>36757</v>
      </c>
      <c r="M240" s="24" t="n">
        <f aca="true">IF(TODAY()&lt;DATE($O$5,K240,J240),1000000,-1000000)</f>
        <v>-1000000</v>
      </c>
      <c r="N240" s="24" t="e">
        <f aca="false">IF(M240&gt;0,INDEX(big_daily_table,MATCH(DATE(O$5,$K240,$J240),daily_dates,0),MATCH($B$3,daily_items,0)),NA())</f>
        <v>#N/A</v>
      </c>
      <c r="O240" s="1" t="e">
        <f aca="false">IF(M240&lt;0,INDEX(big_daily_table,MATCH(DATE(O$5,$K240,$J240),daily_dates,0),MATCH($B$3,daily_items,0)),NA())</f>
        <v>#N/A</v>
      </c>
      <c r="P240" s="1" t="e">
        <f aca="false">IF(ISBLANK(INDEX(big_daily_table,MATCH(DATE(P$5,$K240,$J240),daily_dates,0),MATCH($B$3,daily_items,0))),NA(),INDEX(big_daily_table,MATCH(DATE(P$5,$K240,$J240),daily_dates,0),MATCH($B$3,daily_items,0)))</f>
        <v>#N/A</v>
      </c>
      <c r="Q240" s="1" t="e">
        <f aca="false">IF(ISBLANK(INDEX(big_daily_table,MATCH(DATE(Q$5,$K240,$J240),daily_dates,0),MATCH($B$3,daily_items,0))),NA(),INDEX(big_daily_table,MATCH(DATE(Q$5,$K240,$J240),daily_dates,0),MATCH($B$3,daily_items,0)))</f>
        <v>#N/A</v>
      </c>
      <c r="R240" s="1" t="e">
        <f aca="false">IF(ISBLANK(INDEX(big_daily_table,MATCH(DATE(R$5,$K240,$J240),daily_dates,0),MATCH($B$3,daily_items,0))),NA(),INDEX(big_daily_table,MATCH(DATE(R$5,$K240,$J240),daily_dates,0),MATCH($B$3,daily_items,0)))</f>
        <v>#N/A</v>
      </c>
      <c r="S240" s="1" t="e">
        <f aca="false">IF(ISBLANK(INDEX(big_daily_table,MATCH(DATE(S$5,$K240,$J240),daily_dates,0),MATCH($B$3,daily_items,0))),NA(),INDEX(big_daily_table,MATCH(DATE(S$5,$K240,$J240),daily_dates,0),MATCH($B$3,daily_items,0)))</f>
        <v>#N/A</v>
      </c>
      <c r="T240" s="1" t="e">
        <f aca="false">IF(ISBLANK(INDEX(big_daily_table,MATCH(DATE(T$5,$K240,$J240),daily_dates,0),MATCH($B$3,daily_items,0))),NA(),INDEX(big_daily_table,MATCH(DATE(T$5,$K240,$J240),daily_dates,0),MATCH($B$3,daily_items,0)))</f>
        <v>#N/A</v>
      </c>
      <c r="U240" s="1" t="e">
        <f aca="false">IF(ISBLANK(INDEX(big_daily_table,MATCH(DATE(U$5,$K240,$J240),daily_dates,0),MATCH($B$3,daily_items,0))),NA(),INDEX(big_daily_table,MATCH(DATE(U$5,$K240,$J240),daily_dates,0),MATCH($B$3,daily_items,0)))</f>
        <v>#N/A</v>
      </c>
      <c r="V240" s="1" t="e">
        <f aca="false">IF(ISBLANK(INDEX(big_daily_table,MATCH(DATE(V$5,$K240,$J240),daily_dates,0),MATCH($B$3,daily_items,0))),NA(),INDEX(big_daily_table,MATCH(DATE(V$5,$K240,$J240),daily_dates,0),MATCH($B$3,daily_items,0)))</f>
        <v>#N/A</v>
      </c>
      <c r="W240" s="1" t="e">
        <f aca="false">IF(ISBLANK(INDEX(big_daily_table,MATCH(DATE(W$5,$K240,$J240),daily_dates,0),MATCH($B$3,daily_items,0))),NA(),INDEX(big_daily_table,MATCH(DATE(W$5,$K240,$J240),daily_dates,0),MATCH($B$3,daily_items,0)))</f>
        <v>#N/A</v>
      </c>
      <c r="X240" s="1" t="e">
        <f aca="false">IF(ISBLANK(INDEX(big_daily_table,MATCH(DATE(X$5,$K240,$J240),daily_dates,0),MATCH($B$3,daily_items,0))),NA(),INDEX(big_daily_table,MATCH(DATE(X$5,$K240,$J240),daily_dates,0),MATCH($B$3,daily_items,0)))</f>
        <v>#N/A</v>
      </c>
      <c r="Y240" s="1" t="e">
        <f aca="false">IF(ISBLANK(INDEX(big_daily_table,MATCH(DATE(Y$5,$K240,$J240),daily_dates,0),MATCH($B$3,daily_items,0))),NA(),INDEX(big_daily_table,MATCH(DATE(Y$5,$K240,$J240),daily_dates,0),MATCH($B$3,daily_items,0)))</f>
        <v>#N/A</v>
      </c>
      <c r="Z240" s="1" t="e">
        <f aca="false">IF(ISBLANK(INDEX(big_daily_table,MATCH(DATE(Z$5,$K240,$J240),daily_dates,0),MATCH($B$3,daily_items,0))),NA(),INDEX(big_daily_table,MATCH(DATE(Z$5,$K240,$J240),daily_dates,0),MATCH($B$3,daily_items,0)))</f>
        <v>#N/A</v>
      </c>
      <c r="AA240" s="1" t="n">
        <f aca="true">_xlfn.AGGREGATE(5,6,OFFSET($S$5,H240,0,1,$K$2))</f>
        <v>0</v>
      </c>
      <c r="AB240" s="1" t="n">
        <f aca="true">_xlfn.AGGREGATE(4,6,OFFSET($S$5,H240,0,1,$K$2))</f>
        <v>0</v>
      </c>
      <c r="AC240" s="1" t="n">
        <f aca="false">AB240-AA240</f>
        <v>0</v>
      </c>
      <c r="AD240" s="1" t="e">
        <f aca="true">_xlfn.AGGREGATE(1,6,OFFSET($S$5,H240,0,1,$K$2))</f>
        <v>#DIV/0!</v>
      </c>
    </row>
    <row r="241" customFormat="false" ht="14.25" hidden="false" customHeight="false" outlineLevel="0" collapsed="false">
      <c r="H241" s="1" t="n">
        <f aca="false">H240+1</f>
        <v>236</v>
      </c>
      <c r="I241" s="1" t="n">
        <f aca="false">WEEKDAY('daily graphs'!K241)</f>
        <v>4</v>
      </c>
      <c r="J241" s="1" t="n">
        <f aca="false">DAY(L241)</f>
        <v>19</v>
      </c>
      <c r="K241" s="1" t="n">
        <f aca="false">MONTH(L241)</f>
        <v>8</v>
      </c>
      <c r="L241" s="23" t="n">
        <f aca="false">'daily graphs'!K241 - I241</f>
        <v>36757</v>
      </c>
      <c r="M241" s="24" t="n">
        <f aca="true">IF(TODAY()&lt;DATE($O$5,K241,J241),1000000,-1000000)</f>
        <v>-1000000</v>
      </c>
      <c r="N241" s="24" t="e">
        <f aca="false">IF(M241&gt;0,INDEX(big_daily_table,MATCH(DATE(O$5,$K241,$J241),daily_dates,0),MATCH($B$3,daily_items,0)),NA())</f>
        <v>#N/A</v>
      </c>
      <c r="O241" s="1" t="e">
        <f aca="false">IF(M241&lt;0,INDEX(big_daily_table,MATCH(DATE(O$5,$K241,$J241),daily_dates,0),MATCH($B$3,daily_items,0)),NA())</f>
        <v>#N/A</v>
      </c>
      <c r="P241" s="1" t="e">
        <f aca="false">IF(ISBLANK(INDEX(big_daily_table,MATCH(DATE(P$5,$K241,$J241),daily_dates,0),MATCH($B$3,daily_items,0))),NA(),INDEX(big_daily_table,MATCH(DATE(P$5,$K241,$J241),daily_dates,0),MATCH($B$3,daily_items,0)))</f>
        <v>#N/A</v>
      </c>
      <c r="Q241" s="1" t="e">
        <f aca="false">IF(ISBLANK(INDEX(big_daily_table,MATCH(DATE(Q$5,$K241,$J241),daily_dates,0),MATCH($B$3,daily_items,0))),NA(),INDEX(big_daily_table,MATCH(DATE(Q$5,$K241,$J241),daily_dates,0),MATCH($B$3,daily_items,0)))</f>
        <v>#N/A</v>
      </c>
      <c r="R241" s="1" t="e">
        <f aca="false">IF(ISBLANK(INDEX(big_daily_table,MATCH(DATE(R$5,$K241,$J241),daily_dates,0),MATCH($B$3,daily_items,0))),NA(),INDEX(big_daily_table,MATCH(DATE(R$5,$K241,$J241),daily_dates,0),MATCH($B$3,daily_items,0)))</f>
        <v>#N/A</v>
      </c>
      <c r="S241" s="1" t="e">
        <f aca="false">IF(ISBLANK(INDEX(big_daily_table,MATCH(DATE(S$5,$K241,$J241),daily_dates,0),MATCH($B$3,daily_items,0))),NA(),INDEX(big_daily_table,MATCH(DATE(S$5,$K241,$J241),daily_dates,0),MATCH($B$3,daily_items,0)))</f>
        <v>#N/A</v>
      </c>
      <c r="T241" s="1" t="e">
        <f aca="false">IF(ISBLANK(INDEX(big_daily_table,MATCH(DATE(T$5,$K241,$J241),daily_dates,0),MATCH($B$3,daily_items,0))),NA(),INDEX(big_daily_table,MATCH(DATE(T$5,$K241,$J241),daily_dates,0),MATCH($B$3,daily_items,0)))</f>
        <v>#N/A</v>
      </c>
      <c r="U241" s="1" t="e">
        <f aca="false">IF(ISBLANK(INDEX(big_daily_table,MATCH(DATE(U$5,$K241,$J241),daily_dates,0),MATCH($B$3,daily_items,0))),NA(),INDEX(big_daily_table,MATCH(DATE(U$5,$K241,$J241),daily_dates,0),MATCH($B$3,daily_items,0)))</f>
        <v>#N/A</v>
      </c>
      <c r="V241" s="1" t="e">
        <f aca="false">IF(ISBLANK(INDEX(big_daily_table,MATCH(DATE(V$5,$K241,$J241),daily_dates,0),MATCH($B$3,daily_items,0))),NA(),INDEX(big_daily_table,MATCH(DATE(V$5,$K241,$J241),daily_dates,0),MATCH($B$3,daily_items,0)))</f>
        <v>#N/A</v>
      </c>
      <c r="W241" s="1" t="e">
        <f aca="false">IF(ISBLANK(INDEX(big_daily_table,MATCH(DATE(W$5,$K241,$J241),daily_dates,0),MATCH($B$3,daily_items,0))),NA(),INDEX(big_daily_table,MATCH(DATE(W$5,$K241,$J241),daily_dates,0),MATCH($B$3,daily_items,0)))</f>
        <v>#N/A</v>
      </c>
      <c r="X241" s="1" t="e">
        <f aca="false">IF(ISBLANK(INDEX(big_daily_table,MATCH(DATE(X$5,$K241,$J241),daily_dates,0),MATCH($B$3,daily_items,0))),NA(),INDEX(big_daily_table,MATCH(DATE(X$5,$K241,$J241),daily_dates,0),MATCH($B$3,daily_items,0)))</f>
        <v>#N/A</v>
      </c>
      <c r="Y241" s="1" t="e">
        <f aca="false">IF(ISBLANK(INDEX(big_daily_table,MATCH(DATE(Y$5,$K241,$J241),daily_dates,0),MATCH($B$3,daily_items,0))),NA(),INDEX(big_daily_table,MATCH(DATE(Y$5,$K241,$J241),daily_dates,0),MATCH($B$3,daily_items,0)))</f>
        <v>#N/A</v>
      </c>
      <c r="Z241" s="1" t="e">
        <f aca="false">IF(ISBLANK(INDEX(big_daily_table,MATCH(DATE(Z$5,$K241,$J241),daily_dates,0),MATCH($B$3,daily_items,0))),NA(),INDEX(big_daily_table,MATCH(DATE(Z$5,$K241,$J241),daily_dates,0),MATCH($B$3,daily_items,0)))</f>
        <v>#N/A</v>
      </c>
      <c r="AA241" s="1" t="n">
        <f aca="true">_xlfn.AGGREGATE(5,6,OFFSET($S$5,H241,0,1,$K$2))</f>
        <v>0</v>
      </c>
      <c r="AB241" s="1" t="n">
        <f aca="true">_xlfn.AGGREGATE(4,6,OFFSET($S$5,H241,0,1,$K$2))</f>
        <v>0</v>
      </c>
      <c r="AC241" s="1" t="n">
        <f aca="false">AB241-AA241</f>
        <v>0</v>
      </c>
      <c r="AD241" s="1" t="e">
        <f aca="true">_xlfn.AGGREGATE(1,6,OFFSET($S$5,H241,0,1,$K$2))</f>
        <v>#DIV/0!</v>
      </c>
    </row>
    <row r="242" customFormat="false" ht="14.25" hidden="false" customHeight="false" outlineLevel="0" collapsed="false">
      <c r="H242" s="1" t="n">
        <f aca="false">H241+1</f>
        <v>237</v>
      </c>
      <c r="I242" s="1" t="n">
        <f aca="false">WEEKDAY('daily graphs'!K242)</f>
        <v>5</v>
      </c>
      <c r="J242" s="1" t="n">
        <f aca="false">DAY(L242)</f>
        <v>19</v>
      </c>
      <c r="K242" s="1" t="n">
        <f aca="false">MONTH(L242)</f>
        <v>8</v>
      </c>
      <c r="L242" s="23" t="n">
        <f aca="false">'daily graphs'!K242 - I242</f>
        <v>36757</v>
      </c>
      <c r="M242" s="24" t="n">
        <f aca="true">IF(TODAY()&lt;DATE($O$5,K242,J242),1000000,-1000000)</f>
        <v>-1000000</v>
      </c>
      <c r="N242" s="24" t="e">
        <f aca="false">IF(M242&gt;0,INDEX(big_daily_table,MATCH(DATE(O$5,$K242,$J242),daily_dates,0),MATCH($B$3,daily_items,0)),NA())</f>
        <v>#N/A</v>
      </c>
      <c r="O242" s="1" t="e">
        <f aca="false">IF(M242&lt;0,INDEX(big_daily_table,MATCH(DATE(O$5,$K242,$J242),daily_dates,0),MATCH($B$3,daily_items,0)),NA())</f>
        <v>#N/A</v>
      </c>
      <c r="P242" s="1" t="e">
        <f aca="false">IF(ISBLANK(INDEX(big_daily_table,MATCH(DATE(P$5,$K242,$J242),daily_dates,0),MATCH($B$3,daily_items,0))),NA(),INDEX(big_daily_table,MATCH(DATE(P$5,$K242,$J242),daily_dates,0),MATCH($B$3,daily_items,0)))</f>
        <v>#N/A</v>
      </c>
      <c r="Q242" s="1" t="e">
        <f aca="false">IF(ISBLANK(INDEX(big_daily_table,MATCH(DATE(Q$5,$K242,$J242),daily_dates,0),MATCH($B$3,daily_items,0))),NA(),INDEX(big_daily_table,MATCH(DATE(Q$5,$K242,$J242),daily_dates,0),MATCH($B$3,daily_items,0)))</f>
        <v>#N/A</v>
      </c>
      <c r="R242" s="1" t="e">
        <f aca="false">IF(ISBLANK(INDEX(big_daily_table,MATCH(DATE(R$5,$K242,$J242),daily_dates,0),MATCH($B$3,daily_items,0))),NA(),INDEX(big_daily_table,MATCH(DATE(R$5,$K242,$J242),daily_dates,0),MATCH($B$3,daily_items,0)))</f>
        <v>#N/A</v>
      </c>
      <c r="S242" s="1" t="e">
        <f aca="false">IF(ISBLANK(INDEX(big_daily_table,MATCH(DATE(S$5,$K242,$J242),daily_dates,0),MATCH($B$3,daily_items,0))),NA(),INDEX(big_daily_table,MATCH(DATE(S$5,$K242,$J242),daily_dates,0),MATCH($B$3,daily_items,0)))</f>
        <v>#N/A</v>
      </c>
      <c r="T242" s="1" t="e">
        <f aca="false">IF(ISBLANK(INDEX(big_daily_table,MATCH(DATE(T$5,$K242,$J242),daily_dates,0),MATCH($B$3,daily_items,0))),NA(),INDEX(big_daily_table,MATCH(DATE(T$5,$K242,$J242),daily_dates,0),MATCH($B$3,daily_items,0)))</f>
        <v>#N/A</v>
      </c>
      <c r="U242" s="1" t="e">
        <f aca="false">IF(ISBLANK(INDEX(big_daily_table,MATCH(DATE(U$5,$K242,$J242),daily_dates,0),MATCH($B$3,daily_items,0))),NA(),INDEX(big_daily_table,MATCH(DATE(U$5,$K242,$J242),daily_dates,0),MATCH($B$3,daily_items,0)))</f>
        <v>#N/A</v>
      </c>
      <c r="V242" s="1" t="e">
        <f aca="false">IF(ISBLANK(INDEX(big_daily_table,MATCH(DATE(V$5,$K242,$J242),daily_dates,0),MATCH($B$3,daily_items,0))),NA(),INDEX(big_daily_table,MATCH(DATE(V$5,$K242,$J242),daily_dates,0),MATCH($B$3,daily_items,0)))</f>
        <v>#N/A</v>
      </c>
      <c r="W242" s="1" t="e">
        <f aca="false">IF(ISBLANK(INDEX(big_daily_table,MATCH(DATE(W$5,$K242,$J242),daily_dates,0),MATCH($B$3,daily_items,0))),NA(),INDEX(big_daily_table,MATCH(DATE(W$5,$K242,$J242),daily_dates,0),MATCH($B$3,daily_items,0)))</f>
        <v>#N/A</v>
      </c>
      <c r="X242" s="1" t="e">
        <f aca="false">IF(ISBLANK(INDEX(big_daily_table,MATCH(DATE(X$5,$K242,$J242),daily_dates,0),MATCH($B$3,daily_items,0))),NA(),INDEX(big_daily_table,MATCH(DATE(X$5,$K242,$J242),daily_dates,0),MATCH($B$3,daily_items,0)))</f>
        <v>#N/A</v>
      </c>
      <c r="Y242" s="1" t="e">
        <f aca="false">IF(ISBLANK(INDEX(big_daily_table,MATCH(DATE(Y$5,$K242,$J242),daily_dates,0),MATCH($B$3,daily_items,0))),NA(),INDEX(big_daily_table,MATCH(DATE(Y$5,$K242,$J242),daily_dates,0),MATCH($B$3,daily_items,0)))</f>
        <v>#N/A</v>
      </c>
      <c r="Z242" s="1" t="e">
        <f aca="false">IF(ISBLANK(INDEX(big_daily_table,MATCH(DATE(Z$5,$K242,$J242),daily_dates,0),MATCH($B$3,daily_items,0))),NA(),INDEX(big_daily_table,MATCH(DATE(Z$5,$K242,$J242),daily_dates,0),MATCH($B$3,daily_items,0)))</f>
        <v>#N/A</v>
      </c>
      <c r="AA242" s="1" t="n">
        <f aca="true">_xlfn.AGGREGATE(5,6,OFFSET($S$5,H242,0,1,$K$2))</f>
        <v>0</v>
      </c>
      <c r="AB242" s="1" t="n">
        <f aca="true">_xlfn.AGGREGATE(4,6,OFFSET($S$5,H242,0,1,$K$2))</f>
        <v>0</v>
      </c>
      <c r="AC242" s="1" t="n">
        <f aca="false">AB242-AA242</f>
        <v>0</v>
      </c>
      <c r="AD242" s="1" t="e">
        <f aca="true">_xlfn.AGGREGATE(1,6,OFFSET($S$5,H242,0,1,$K$2))</f>
        <v>#DIV/0!</v>
      </c>
    </row>
    <row r="243" customFormat="false" ht="14.25" hidden="false" customHeight="false" outlineLevel="0" collapsed="false">
      <c r="H243" s="1" t="n">
        <f aca="false">H242+1</f>
        <v>238</v>
      </c>
      <c r="I243" s="1" t="n">
        <f aca="false">WEEKDAY('daily graphs'!K243)</f>
        <v>6</v>
      </c>
      <c r="J243" s="1" t="n">
        <f aca="false">DAY(L243)</f>
        <v>19</v>
      </c>
      <c r="K243" s="1" t="n">
        <f aca="false">MONTH(L243)</f>
        <v>8</v>
      </c>
      <c r="L243" s="23" t="n">
        <f aca="false">'daily graphs'!K243 - I243</f>
        <v>36757</v>
      </c>
      <c r="M243" s="24" t="n">
        <f aca="true">IF(TODAY()&lt;DATE($O$5,K243,J243),1000000,-1000000)</f>
        <v>-1000000</v>
      </c>
      <c r="N243" s="24" t="e">
        <f aca="false">IF(M243&gt;0,INDEX(big_daily_table,MATCH(DATE(O$5,$K243,$J243),daily_dates,0),MATCH($B$3,daily_items,0)),NA())</f>
        <v>#N/A</v>
      </c>
      <c r="O243" s="1" t="e">
        <f aca="false">IF(M243&lt;0,INDEX(big_daily_table,MATCH(DATE(O$5,$K243,$J243),daily_dates,0),MATCH($B$3,daily_items,0)),NA())</f>
        <v>#N/A</v>
      </c>
      <c r="P243" s="1" t="e">
        <f aca="false">IF(ISBLANK(INDEX(big_daily_table,MATCH(DATE(P$5,$K243,$J243),daily_dates,0),MATCH($B$3,daily_items,0))),NA(),INDEX(big_daily_table,MATCH(DATE(P$5,$K243,$J243),daily_dates,0),MATCH($B$3,daily_items,0)))</f>
        <v>#N/A</v>
      </c>
      <c r="Q243" s="1" t="e">
        <f aca="false">IF(ISBLANK(INDEX(big_daily_table,MATCH(DATE(Q$5,$K243,$J243),daily_dates,0),MATCH($B$3,daily_items,0))),NA(),INDEX(big_daily_table,MATCH(DATE(Q$5,$K243,$J243),daily_dates,0),MATCH($B$3,daily_items,0)))</f>
        <v>#N/A</v>
      </c>
      <c r="R243" s="1" t="e">
        <f aca="false">IF(ISBLANK(INDEX(big_daily_table,MATCH(DATE(R$5,$K243,$J243),daily_dates,0),MATCH($B$3,daily_items,0))),NA(),INDEX(big_daily_table,MATCH(DATE(R$5,$K243,$J243),daily_dates,0),MATCH($B$3,daily_items,0)))</f>
        <v>#N/A</v>
      </c>
      <c r="S243" s="1" t="e">
        <f aca="false">IF(ISBLANK(INDEX(big_daily_table,MATCH(DATE(S$5,$K243,$J243),daily_dates,0),MATCH($B$3,daily_items,0))),NA(),INDEX(big_daily_table,MATCH(DATE(S$5,$K243,$J243),daily_dates,0),MATCH($B$3,daily_items,0)))</f>
        <v>#N/A</v>
      </c>
      <c r="T243" s="1" t="e">
        <f aca="false">IF(ISBLANK(INDEX(big_daily_table,MATCH(DATE(T$5,$K243,$J243),daily_dates,0),MATCH($B$3,daily_items,0))),NA(),INDEX(big_daily_table,MATCH(DATE(T$5,$K243,$J243),daily_dates,0),MATCH($B$3,daily_items,0)))</f>
        <v>#N/A</v>
      </c>
      <c r="U243" s="1" t="e">
        <f aca="false">IF(ISBLANK(INDEX(big_daily_table,MATCH(DATE(U$5,$K243,$J243),daily_dates,0),MATCH($B$3,daily_items,0))),NA(),INDEX(big_daily_table,MATCH(DATE(U$5,$K243,$J243),daily_dates,0),MATCH($B$3,daily_items,0)))</f>
        <v>#N/A</v>
      </c>
      <c r="V243" s="1" t="e">
        <f aca="false">IF(ISBLANK(INDEX(big_daily_table,MATCH(DATE(V$5,$K243,$J243),daily_dates,0),MATCH($B$3,daily_items,0))),NA(),INDEX(big_daily_table,MATCH(DATE(V$5,$K243,$J243),daily_dates,0),MATCH($B$3,daily_items,0)))</f>
        <v>#N/A</v>
      </c>
      <c r="W243" s="1" t="e">
        <f aca="false">IF(ISBLANK(INDEX(big_daily_table,MATCH(DATE(W$5,$K243,$J243),daily_dates,0),MATCH($B$3,daily_items,0))),NA(),INDEX(big_daily_table,MATCH(DATE(W$5,$K243,$J243),daily_dates,0),MATCH($B$3,daily_items,0)))</f>
        <v>#N/A</v>
      </c>
      <c r="X243" s="1" t="e">
        <f aca="false">IF(ISBLANK(INDEX(big_daily_table,MATCH(DATE(X$5,$K243,$J243),daily_dates,0),MATCH($B$3,daily_items,0))),NA(),INDEX(big_daily_table,MATCH(DATE(X$5,$K243,$J243),daily_dates,0),MATCH($B$3,daily_items,0)))</f>
        <v>#N/A</v>
      </c>
      <c r="Y243" s="1" t="e">
        <f aca="false">IF(ISBLANK(INDEX(big_daily_table,MATCH(DATE(Y$5,$K243,$J243),daily_dates,0),MATCH($B$3,daily_items,0))),NA(),INDEX(big_daily_table,MATCH(DATE(Y$5,$K243,$J243),daily_dates,0),MATCH($B$3,daily_items,0)))</f>
        <v>#N/A</v>
      </c>
      <c r="Z243" s="1" t="e">
        <f aca="false">IF(ISBLANK(INDEX(big_daily_table,MATCH(DATE(Z$5,$K243,$J243),daily_dates,0),MATCH($B$3,daily_items,0))),NA(),INDEX(big_daily_table,MATCH(DATE(Z$5,$K243,$J243),daily_dates,0),MATCH($B$3,daily_items,0)))</f>
        <v>#N/A</v>
      </c>
      <c r="AA243" s="1" t="n">
        <f aca="true">_xlfn.AGGREGATE(5,6,OFFSET($S$5,H243,0,1,$K$2))</f>
        <v>0</v>
      </c>
      <c r="AB243" s="1" t="n">
        <f aca="true">_xlfn.AGGREGATE(4,6,OFFSET($S$5,H243,0,1,$K$2))</f>
        <v>0</v>
      </c>
      <c r="AC243" s="1" t="n">
        <f aca="false">AB243-AA243</f>
        <v>0</v>
      </c>
      <c r="AD243" s="1" t="e">
        <f aca="true">_xlfn.AGGREGATE(1,6,OFFSET($S$5,H243,0,1,$K$2))</f>
        <v>#DIV/0!</v>
      </c>
    </row>
    <row r="244" customFormat="false" ht="14.25" hidden="false" customHeight="false" outlineLevel="0" collapsed="false">
      <c r="H244" s="1" t="n">
        <f aca="false">H243+1</f>
        <v>239</v>
      </c>
      <c r="I244" s="1" t="n">
        <f aca="false">WEEKDAY('daily graphs'!K244)</f>
        <v>7</v>
      </c>
      <c r="J244" s="1" t="n">
        <f aca="false">DAY(L244)</f>
        <v>19</v>
      </c>
      <c r="K244" s="1" t="n">
        <f aca="false">MONTH(L244)</f>
        <v>8</v>
      </c>
      <c r="L244" s="23" t="n">
        <f aca="false">'daily graphs'!K244 - I244</f>
        <v>36757</v>
      </c>
      <c r="M244" s="24" t="n">
        <f aca="true">IF(TODAY()&lt;DATE($O$5,K244,J244),1000000,-1000000)</f>
        <v>-1000000</v>
      </c>
      <c r="N244" s="24" t="e">
        <f aca="false">IF(M244&gt;0,INDEX(big_daily_table,MATCH(DATE(O$5,$K244,$J244),daily_dates,0),MATCH($B$3,daily_items,0)),NA())</f>
        <v>#N/A</v>
      </c>
      <c r="O244" s="1" t="e">
        <f aca="false">IF(M244&lt;0,INDEX(big_daily_table,MATCH(DATE(O$5,$K244,$J244),daily_dates,0),MATCH($B$3,daily_items,0)),NA())</f>
        <v>#N/A</v>
      </c>
      <c r="P244" s="1" t="e">
        <f aca="false">IF(ISBLANK(INDEX(big_daily_table,MATCH(DATE(P$5,$K244,$J244),daily_dates,0),MATCH($B$3,daily_items,0))),NA(),INDEX(big_daily_table,MATCH(DATE(P$5,$K244,$J244),daily_dates,0),MATCH($B$3,daily_items,0)))</f>
        <v>#N/A</v>
      </c>
      <c r="Q244" s="1" t="e">
        <f aca="false">IF(ISBLANK(INDEX(big_daily_table,MATCH(DATE(Q$5,$K244,$J244),daily_dates,0),MATCH($B$3,daily_items,0))),NA(),INDEX(big_daily_table,MATCH(DATE(Q$5,$K244,$J244),daily_dates,0),MATCH($B$3,daily_items,0)))</f>
        <v>#N/A</v>
      </c>
      <c r="R244" s="1" t="e">
        <f aca="false">IF(ISBLANK(INDEX(big_daily_table,MATCH(DATE(R$5,$K244,$J244),daily_dates,0),MATCH($B$3,daily_items,0))),NA(),INDEX(big_daily_table,MATCH(DATE(R$5,$K244,$J244),daily_dates,0),MATCH($B$3,daily_items,0)))</f>
        <v>#N/A</v>
      </c>
      <c r="S244" s="1" t="e">
        <f aca="false">IF(ISBLANK(INDEX(big_daily_table,MATCH(DATE(S$5,$K244,$J244),daily_dates,0),MATCH($B$3,daily_items,0))),NA(),INDEX(big_daily_table,MATCH(DATE(S$5,$K244,$J244),daily_dates,0),MATCH($B$3,daily_items,0)))</f>
        <v>#N/A</v>
      </c>
      <c r="T244" s="1" t="e">
        <f aca="false">IF(ISBLANK(INDEX(big_daily_table,MATCH(DATE(T$5,$K244,$J244),daily_dates,0),MATCH($B$3,daily_items,0))),NA(),INDEX(big_daily_table,MATCH(DATE(T$5,$K244,$J244),daily_dates,0),MATCH($B$3,daily_items,0)))</f>
        <v>#N/A</v>
      </c>
      <c r="U244" s="1" t="e">
        <f aca="false">IF(ISBLANK(INDEX(big_daily_table,MATCH(DATE(U$5,$K244,$J244),daily_dates,0),MATCH($B$3,daily_items,0))),NA(),INDEX(big_daily_table,MATCH(DATE(U$5,$K244,$J244),daily_dates,0),MATCH($B$3,daily_items,0)))</f>
        <v>#N/A</v>
      </c>
      <c r="V244" s="1" t="e">
        <f aca="false">IF(ISBLANK(INDEX(big_daily_table,MATCH(DATE(V$5,$K244,$J244),daily_dates,0),MATCH($B$3,daily_items,0))),NA(),INDEX(big_daily_table,MATCH(DATE(V$5,$K244,$J244),daily_dates,0),MATCH($B$3,daily_items,0)))</f>
        <v>#N/A</v>
      </c>
      <c r="W244" s="1" t="e">
        <f aca="false">IF(ISBLANK(INDEX(big_daily_table,MATCH(DATE(W$5,$K244,$J244),daily_dates,0),MATCH($B$3,daily_items,0))),NA(),INDEX(big_daily_table,MATCH(DATE(W$5,$K244,$J244),daily_dates,0),MATCH($B$3,daily_items,0)))</f>
        <v>#N/A</v>
      </c>
      <c r="X244" s="1" t="e">
        <f aca="false">IF(ISBLANK(INDEX(big_daily_table,MATCH(DATE(X$5,$K244,$J244),daily_dates,0),MATCH($B$3,daily_items,0))),NA(),INDEX(big_daily_table,MATCH(DATE(X$5,$K244,$J244),daily_dates,0),MATCH($B$3,daily_items,0)))</f>
        <v>#N/A</v>
      </c>
      <c r="Y244" s="1" t="e">
        <f aca="false">IF(ISBLANK(INDEX(big_daily_table,MATCH(DATE(Y$5,$K244,$J244),daily_dates,0),MATCH($B$3,daily_items,0))),NA(),INDEX(big_daily_table,MATCH(DATE(Y$5,$K244,$J244),daily_dates,0),MATCH($B$3,daily_items,0)))</f>
        <v>#N/A</v>
      </c>
      <c r="Z244" s="1" t="e">
        <f aca="false">IF(ISBLANK(INDEX(big_daily_table,MATCH(DATE(Z$5,$K244,$J244),daily_dates,0),MATCH($B$3,daily_items,0))),NA(),INDEX(big_daily_table,MATCH(DATE(Z$5,$K244,$J244),daily_dates,0),MATCH($B$3,daily_items,0)))</f>
        <v>#N/A</v>
      </c>
      <c r="AA244" s="1" t="n">
        <f aca="true">_xlfn.AGGREGATE(5,6,OFFSET($S$5,H244,0,1,$K$2))</f>
        <v>0</v>
      </c>
      <c r="AB244" s="1" t="n">
        <f aca="true">_xlfn.AGGREGATE(4,6,OFFSET($S$5,H244,0,1,$K$2))</f>
        <v>0</v>
      </c>
      <c r="AC244" s="1" t="n">
        <f aca="false">AB244-AA244</f>
        <v>0</v>
      </c>
      <c r="AD244" s="1" t="e">
        <f aca="true">_xlfn.AGGREGATE(1,6,OFFSET($S$5,H244,0,1,$K$2))</f>
        <v>#DIV/0!</v>
      </c>
    </row>
    <row r="245" customFormat="false" ht="14.25" hidden="false" customHeight="false" outlineLevel="0" collapsed="false">
      <c r="H245" s="1" t="n">
        <f aca="false">H244+1</f>
        <v>240</v>
      </c>
      <c r="I245" s="1" t="n">
        <f aca="false">WEEKDAY('daily graphs'!K245)</f>
        <v>1</v>
      </c>
      <c r="J245" s="1" t="n">
        <f aca="false">DAY(L245)</f>
        <v>26</v>
      </c>
      <c r="K245" s="1" t="n">
        <f aca="false">MONTH(L245)</f>
        <v>8</v>
      </c>
      <c r="L245" s="23" t="n">
        <f aca="false">'daily graphs'!K245 - I245</f>
        <v>36764</v>
      </c>
      <c r="M245" s="24" t="n">
        <f aca="true">IF(TODAY()&lt;DATE($O$5,K245,J245),1000000,-1000000)</f>
        <v>-1000000</v>
      </c>
      <c r="N245" s="24" t="e">
        <f aca="false">IF(M245&gt;0,INDEX(big_daily_table,MATCH(DATE(O$5,$K245,$J245),daily_dates,0),MATCH($B$3,daily_items,0)),NA())</f>
        <v>#N/A</v>
      </c>
      <c r="O245" s="1" t="e">
        <f aca="false">IF(M245&lt;0,INDEX(big_daily_table,MATCH(DATE(O$5,$K245,$J245),daily_dates,0),MATCH($B$3,daily_items,0)),NA())</f>
        <v>#N/A</v>
      </c>
      <c r="P245" s="1" t="e">
        <f aca="false">IF(ISBLANK(INDEX(big_daily_table,MATCH(DATE(P$5,$K245,$J245),daily_dates,0),MATCH($B$3,daily_items,0))),NA(),INDEX(big_daily_table,MATCH(DATE(P$5,$K245,$J245),daily_dates,0),MATCH($B$3,daily_items,0)))</f>
        <v>#N/A</v>
      </c>
      <c r="Q245" s="1" t="e">
        <f aca="false">IF(ISBLANK(INDEX(big_daily_table,MATCH(DATE(Q$5,$K245,$J245),daily_dates,0),MATCH($B$3,daily_items,0))),NA(),INDEX(big_daily_table,MATCH(DATE(Q$5,$K245,$J245),daily_dates,0),MATCH($B$3,daily_items,0)))</f>
        <v>#N/A</v>
      </c>
      <c r="R245" s="1" t="e">
        <f aca="false">IF(ISBLANK(INDEX(big_daily_table,MATCH(DATE(R$5,$K245,$J245),daily_dates,0),MATCH($B$3,daily_items,0))),NA(),INDEX(big_daily_table,MATCH(DATE(R$5,$K245,$J245),daily_dates,0),MATCH($B$3,daily_items,0)))</f>
        <v>#N/A</v>
      </c>
      <c r="S245" s="1" t="e">
        <f aca="false">IF(ISBLANK(INDEX(big_daily_table,MATCH(DATE(S$5,$K245,$J245),daily_dates,0),MATCH($B$3,daily_items,0))),NA(),INDEX(big_daily_table,MATCH(DATE(S$5,$K245,$J245),daily_dates,0),MATCH($B$3,daily_items,0)))</f>
        <v>#N/A</v>
      </c>
      <c r="T245" s="1" t="e">
        <f aca="false">IF(ISBLANK(INDEX(big_daily_table,MATCH(DATE(T$5,$K245,$J245),daily_dates,0),MATCH($B$3,daily_items,0))),NA(),INDEX(big_daily_table,MATCH(DATE(T$5,$K245,$J245),daily_dates,0),MATCH($B$3,daily_items,0)))</f>
        <v>#N/A</v>
      </c>
      <c r="U245" s="1" t="e">
        <f aca="false">IF(ISBLANK(INDEX(big_daily_table,MATCH(DATE(U$5,$K245,$J245),daily_dates,0),MATCH($B$3,daily_items,0))),NA(),INDEX(big_daily_table,MATCH(DATE(U$5,$K245,$J245),daily_dates,0),MATCH($B$3,daily_items,0)))</f>
        <v>#N/A</v>
      </c>
      <c r="V245" s="1" t="e">
        <f aca="false">IF(ISBLANK(INDEX(big_daily_table,MATCH(DATE(V$5,$K245,$J245),daily_dates,0),MATCH($B$3,daily_items,0))),NA(),INDEX(big_daily_table,MATCH(DATE(V$5,$K245,$J245),daily_dates,0),MATCH($B$3,daily_items,0)))</f>
        <v>#N/A</v>
      </c>
      <c r="W245" s="1" t="e">
        <f aca="false">IF(ISBLANK(INDEX(big_daily_table,MATCH(DATE(W$5,$K245,$J245),daily_dates,0),MATCH($B$3,daily_items,0))),NA(),INDEX(big_daily_table,MATCH(DATE(W$5,$K245,$J245),daily_dates,0),MATCH($B$3,daily_items,0)))</f>
        <v>#N/A</v>
      </c>
      <c r="X245" s="1" t="e">
        <f aca="false">IF(ISBLANK(INDEX(big_daily_table,MATCH(DATE(X$5,$K245,$J245),daily_dates,0),MATCH($B$3,daily_items,0))),NA(),INDEX(big_daily_table,MATCH(DATE(X$5,$K245,$J245),daily_dates,0),MATCH($B$3,daily_items,0)))</f>
        <v>#N/A</v>
      </c>
      <c r="Y245" s="1" t="e">
        <f aca="false">IF(ISBLANK(INDEX(big_daily_table,MATCH(DATE(Y$5,$K245,$J245),daily_dates,0),MATCH($B$3,daily_items,0))),NA(),INDEX(big_daily_table,MATCH(DATE(Y$5,$K245,$J245),daily_dates,0),MATCH($B$3,daily_items,0)))</f>
        <v>#N/A</v>
      </c>
      <c r="Z245" s="1" t="e">
        <f aca="false">IF(ISBLANK(INDEX(big_daily_table,MATCH(DATE(Z$5,$K245,$J245),daily_dates,0),MATCH($B$3,daily_items,0))),NA(),INDEX(big_daily_table,MATCH(DATE(Z$5,$K245,$J245),daily_dates,0),MATCH($B$3,daily_items,0)))</f>
        <v>#N/A</v>
      </c>
      <c r="AA245" s="1" t="n">
        <f aca="true">_xlfn.AGGREGATE(5,6,OFFSET($S$5,H245,0,1,$K$2))</f>
        <v>0</v>
      </c>
      <c r="AB245" s="1" t="n">
        <f aca="true">_xlfn.AGGREGATE(4,6,OFFSET($S$5,H245,0,1,$K$2))</f>
        <v>0</v>
      </c>
      <c r="AC245" s="1" t="n">
        <f aca="false">AB245-AA245</f>
        <v>0</v>
      </c>
      <c r="AD245" s="1" t="e">
        <f aca="true">_xlfn.AGGREGATE(1,6,OFFSET($S$5,H245,0,1,$K$2))</f>
        <v>#DIV/0!</v>
      </c>
    </row>
    <row r="246" customFormat="false" ht="14.25" hidden="false" customHeight="false" outlineLevel="0" collapsed="false">
      <c r="H246" s="1" t="n">
        <f aca="false">H245+1</f>
        <v>241</v>
      </c>
      <c r="I246" s="1" t="n">
        <f aca="false">WEEKDAY('daily graphs'!K246)</f>
        <v>2</v>
      </c>
      <c r="J246" s="1" t="n">
        <f aca="false">DAY(L246)</f>
        <v>26</v>
      </c>
      <c r="K246" s="1" t="n">
        <f aca="false">MONTH(L246)</f>
        <v>8</v>
      </c>
      <c r="L246" s="23" t="n">
        <f aca="false">'daily graphs'!K246 - I246</f>
        <v>36764</v>
      </c>
      <c r="M246" s="24" t="n">
        <f aca="true">IF(TODAY()&lt;DATE($O$5,K246,J246),1000000,-1000000)</f>
        <v>-1000000</v>
      </c>
      <c r="N246" s="24" t="e">
        <f aca="false">IF(M246&gt;0,INDEX(big_daily_table,MATCH(DATE(O$5,$K246,$J246),daily_dates,0),MATCH($B$3,daily_items,0)),NA())</f>
        <v>#N/A</v>
      </c>
      <c r="O246" s="1" t="e">
        <f aca="false">IF(M246&lt;0,INDEX(big_daily_table,MATCH(DATE(O$5,$K246,$J246),daily_dates,0),MATCH($B$3,daily_items,0)),NA())</f>
        <v>#N/A</v>
      </c>
      <c r="P246" s="1" t="e">
        <f aca="false">IF(ISBLANK(INDEX(big_daily_table,MATCH(DATE(P$5,$K246,$J246),daily_dates,0),MATCH($B$3,daily_items,0))),NA(),INDEX(big_daily_table,MATCH(DATE(P$5,$K246,$J246),daily_dates,0),MATCH($B$3,daily_items,0)))</f>
        <v>#N/A</v>
      </c>
      <c r="Q246" s="1" t="e">
        <f aca="false">IF(ISBLANK(INDEX(big_daily_table,MATCH(DATE(Q$5,$K246,$J246),daily_dates,0),MATCH($B$3,daily_items,0))),NA(),INDEX(big_daily_table,MATCH(DATE(Q$5,$K246,$J246),daily_dates,0),MATCH($B$3,daily_items,0)))</f>
        <v>#N/A</v>
      </c>
      <c r="R246" s="1" t="e">
        <f aca="false">IF(ISBLANK(INDEX(big_daily_table,MATCH(DATE(R$5,$K246,$J246),daily_dates,0),MATCH($B$3,daily_items,0))),NA(),INDEX(big_daily_table,MATCH(DATE(R$5,$K246,$J246),daily_dates,0),MATCH($B$3,daily_items,0)))</f>
        <v>#N/A</v>
      </c>
      <c r="S246" s="1" t="e">
        <f aca="false">IF(ISBLANK(INDEX(big_daily_table,MATCH(DATE(S$5,$K246,$J246),daily_dates,0),MATCH($B$3,daily_items,0))),NA(),INDEX(big_daily_table,MATCH(DATE(S$5,$K246,$J246),daily_dates,0),MATCH($B$3,daily_items,0)))</f>
        <v>#N/A</v>
      </c>
      <c r="T246" s="1" t="e">
        <f aca="false">IF(ISBLANK(INDEX(big_daily_table,MATCH(DATE(T$5,$K246,$J246),daily_dates,0),MATCH($B$3,daily_items,0))),NA(),INDEX(big_daily_table,MATCH(DATE(T$5,$K246,$J246),daily_dates,0),MATCH($B$3,daily_items,0)))</f>
        <v>#N/A</v>
      </c>
      <c r="U246" s="1" t="e">
        <f aca="false">IF(ISBLANK(INDEX(big_daily_table,MATCH(DATE(U$5,$K246,$J246),daily_dates,0),MATCH($B$3,daily_items,0))),NA(),INDEX(big_daily_table,MATCH(DATE(U$5,$K246,$J246),daily_dates,0),MATCH($B$3,daily_items,0)))</f>
        <v>#N/A</v>
      </c>
      <c r="V246" s="1" t="e">
        <f aca="false">IF(ISBLANK(INDEX(big_daily_table,MATCH(DATE(V$5,$K246,$J246),daily_dates,0),MATCH($B$3,daily_items,0))),NA(),INDEX(big_daily_table,MATCH(DATE(V$5,$K246,$J246),daily_dates,0),MATCH($B$3,daily_items,0)))</f>
        <v>#N/A</v>
      </c>
      <c r="W246" s="1" t="e">
        <f aca="false">IF(ISBLANK(INDEX(big_daily_table,MATCH(DATE(W$5,$K246,$J246),daily_dates,0),MATCH($B$3,daily_items,0))),NA(),INDEX(big_daily_table,MATCH(DATE(W$5,$K246,$J246),daily_dates,0),MATCH($B$3,daily_items,0)))</f>
        <v>#N/A</v>
      </c>
      <c r="X246" s="1" t="e">
        <f aca="false">IF(ISBLANK(INDEX(big_daily_table,MATCH(DATE(X$5,$K246,$J246),daily_dates,0),MATCH($B$3,daily_items,0))),NA(),INDEX(big_daily_table,MATCH(DATE(X$5,$K246,$J246),daily_dates,0),MATCH($B$3,daily_items,0)))</f>
        <v>#N/A</v>
      </c>
      <c r="Y246" s="1" t="e">
        <f aca="false">IF(ISBLANK(INDEX(big_daily_table,MATCH(DATE(Y$5,$K246,$J246),daily_dates,0),MATCH($B$3,daily_items,0))),NA(),INDEX(big_daily_table,MATCH(DATE(Y$5,$K246,$J246),daily_dates,0),MATCH($B$3,daily_items,0)))</f>
        <v>#N/A</v>
      </c>
      <c r="Z246" s="1" t="e">
        <f aca="false">IF(ISBLANK(INDEX(big_daily_table,MATCH(DATE(Z$5,$K246,$J246),daily_dates,0),MATCH($B$3,daily_items,0))),NA(),INDEX(big_daily_table,MATCH(DATE(Z$5,$K246,$J246),daily_dates,0),MATCH($B$3,daily_items,0)))</f>
        <v>#N/A</v>
      </c>
      <c r="AA246" s="1" t="n">
        <f aca="true">_xlfn.AGGREGATE(5,6,OFFSET($S$5,H246,0,1,$K$2))</f>
        <v>0</v>
      </c>
      <c r="AB246" s="1" t="n">
        <f aca="true">_xlfn.AGGREGATE(4,6,OFFSET($S$5,H246,0,1,$K$2))</f>
        <v>0</v>
      </c>
      <c r="AC246" s="1" t="n">
        <f aca="false">AB246-AA246</f>
        <v>0</v>
      </c>
      <c r="AD246" s="1" t="e">
        <f aca="true">_xlfn.AGGREGATE(1,6,OFFSET($S$5,H246,0,1,$K$2))</f>
        <v>#DIV/0!</v>
      </c>
    </row>
    <row r="247" customFormat="false" ht="14.25" hidden="false" customHeight="false" outlineLevel="0" collapsed="false">
      <c r="H247" s="1" t="n">
        <f aca="false">H246+1</f>
        <v>242</v>
      </c>
      <c r="I247" s="1" t="n">
        <f aca="false">WEEKDAY('daily graphs'!K247)</f>
        <v>3</v>
      </c>
      <c r="J247" s="1" t="n">
        <f aca="false">DAY(L247)</f>
        <v>26</v>
      </c>
      <c r="K247" s="1" t="n">
        <f aca="false">MONTH(L247)</f>
        <v>8</v>
      </c>
      <c r="L247" s="23" t="n">
        <f aca="false">'daily graphs'!K247 - I247</f>
        <v>36764</v>
      </c>
      <c r="M247" s="24" t="n">
        <f aca="true">IF(TODAY()&lt;DATE($O$5,K247,J247),1000000,-1000000)</f>
        <v>-1000000</v>
      </c>
      <c r="N247" s="24" t="e">
        <f aca="false">IF(M247&gt;0,INDEX(big_daily_table,MATCH(DATE(O$5,$K247,$J247),daily_dates,0),MATCH($B$3,daily_items,0)),NA())</f>
        <v>#N/A</v>
      </c>
      <c r="O247" s="1" t="e">
        <f aca="false">IF(M247&lt;0,INDEX(big_daily_table,MATCH(DATE(O$5,$K247,$J247),daily_dates,0),MATCH($B$3,daily_items,0)),NA())</f>
        <v>#N/A</v>
      </c>
      <c r="P247" s="1" t="e">
        <f aca="false">IF(ISBLANK(INDEX(big_daily_table,MATCH(DATE(P$5,$K247,$J247),daily_dates,0),MATCH($B$3,daily_items,0))),NA(),INDEX(big_daily_table,MATCH(DATE(P$5,$K247,$J247),daily_dates,0),MATCH($B$3,daily_items,0)))</f>
        <v>#N/A</v>
      </c>
      <c r="Q247" s="1" t="e">
        <f aca="false">IF(ISBLANK(INDEX(big_daily_table,MATCH(DATE(Q$5,$K247,$J247),daily_dates,0),MATCH($B$3,daily_items,0))),NA(),INDEX(big_daily_table,MATCH(DATE(Q$5,$K247,$J247),daily_dates,0),MATCH($B$3,daily_items,0)))</f>
        <v>#N/A</v>
      </c>
      <c r="R247" s="1" t="e">
        <f aca="false">IF(ISBLANK(INDEX(big_daily_table,MATCH(DATE(R$5,$K247,$J247),daily_dates,0),MATCH($B$3,daily_items,0))),NA(),INDEX(big_daily_table,MATCH(DATE(R$5,$K247,$J247),daily_dates,0),MATCH($B$3,daily_items,0)))</f>
        <v>#N/A</v>
      </c>
      <c r="S247" s="1" t="e">
        <f aca="false">IF(ISBLANK(INDEX(big_daily_table,MATCH(DATE(S$5,$K247,$J247),daily_dates,0),MATCH($B$3,daily_items,0))),NA(),INDEX(big_daily_table,MATCH(DATE(S$5,$K247,$J247),daily_dates,0),MATCH($B$3,daily_items,0)))</f>
        <v>#N/A</v>
      </c>
      <c r="T247" s="1" t="e">
        <f aca="false">IF(ISBLANK(INDEX(big_daily_table,MATCH(DATE(T$5,$K247,$J247),daily_dates,0),MATCH($B$3,daily_items,0))),NA(),INDEX(big_daily_table,MATCH(DATE(T$5,$K247,$J247),daily_dates,0),MATCH($B$3,daily_items,0)))</f>
        <v>#N/A</v>
      </c>
      <c r="U247" s="1" t="e">
        <f aca="false">IF(ISBLANK(INDEX(big_daily_table,MATCH(DATE(U$5,$K247,$J247),daily_dates,0),MATCH($B$3,daily_items,0))),NA(),INDEX(big_daily_table,MATCH(DATE(U$5,$K247,$J247),daily_dates,0),MATCH($B$3,daily_items,0)))</f>
        <v>#N/A</v>
      </c>
      <c r="V247" s="1" t="e">
        <f aca="false">IF(ISBLANK(INDEX(big_daily_table,MATCH(DATE(V$5,$K247,$J247),daily_dates,0),MATCH($B$3,daily_items,0))),NA(),INDEX(big_daily_table,MATCH(DATE(V$5,$K247,$J247),daily_dates,0),MATCH($B$3,daily_items,0)))</f>
        <v>#N/A</v>
      </c>
      <c r="W247" s="1" t="e">
        <f aca="false">IF(ISBLANK(INDEX(big_daily_table,MATCH(DATE(W$5,$K247,$J247),daily_dates,0),MATCH($B$3,daily_items,0))),NA(),INDEX(big_daily_table,MATCH(DATE(W$5,$K247,$J247),daily_dates,0),MATCH($B$3,daily_items,0)))</f>
        <v>#N/A</v>
      </c>
      <c r="X247" s="1" t="e">
        <f aca="false">IF(ISBLANK(INDEX(big_daily_table,MATCH(DATE(X$5,$K247,$J247),daily_dates,0),MATCH($B$3,daily_items,0))),NA(),INDEX(big_daily_table,MATCH(DATE(X$5,$K247,$J247),daily_dates,0),MATCH($B$3,daily_items,0)))</f>
        <v>#N/A</v>
      </c>
      <c r="Y247" s="1" t="e">
        <f aca="false">IF(ISBLANK(INDEX(big_daily_table,MATCH(DATE(Y$5,$K247,$J247),daily_dates,0),MATCH($B$3,daily_items,0))),NA(),INDEX(big_daily_table,MATCH(DATE(Y$5,$K247,$J247),daily_dates,0),MATCH($B$3,daily_items,0)))</f>
        <v>#N/A</v>
      </c>
      <c r="Z247" s="1" t="e">
        <f aca="false">IF(ISBLANK(INDEX(big_daily_table,MATCH(DATE(Z$5,$K247,$J247),daily_dates,0),MATCH($B$3,daily_items,0))),NA(),INDEX(big_daily_table,MATCH(DATE(Z$5,$K247,$J247),daily_dates,0),MATCH($B$3,daily_items,0)))</f>
        <v>#N/A</v>
      </c>
      <c r="AA247" s="1" t="n">
        <f aca="true">_xlfn.AGGREGATE(5,6,OFFSET($S$5,H247,0,1,$K$2))</f>
        <v>0</v>
      </c>
      <c r="AB247" s="1" t="n">
        <f aca="true">_xlfn.AGGREGATE(4,6,OFFSET($S$5,H247,0,1,$K$2))</f>
        <v>0</v>
      </c>
      <c r="AC247" s="1" t="n">
        <f aca="false">AB247-AA247</f>
        <v>0</v>
      </c>
      <c r="AD247" s="1" t="e">
        <f aca="true">_xlfn.AGGREGATE(1,6,OFFSET($S$5,H247,0,1,$K$2))</f>
        <v>#DIV/0!</v>
      </c>
    </row>
    <row r="248" customFormat="false" ht="14.25" hidden="false" customHeight="false" outlineLevel="0" collapsed="false">
      <c r="H248" s="1" t="n">
        <f aca="false">H247+1</f>
        <v>243</v>
      </c>
      <c r="I248" s="1" t="n">
        <f aca="false">WEEKDAY('daily graphs'!K248)</f>
        <v>4</v>
      </c>
      <c r="J248" s="1" t="n">
        <f aca="false">DAY(L248)</f>
        <v>26</v>
      </c>
      <c r="K248" s="1" t="n">
        <f aca="false">MONTH(L248)</f>
        <v>8</v>
      </c>
      <c r="L248" s="23" t="n">
        <f aca="false">'daily graphs'!K248 - I248</f>
        <v>36764</v>
      </c>
      <c r="M248" s="24" t="n">
        <f aca="true">IF(TODAY()&lt;DATE($O$5,K248,J248),1000000,-1000000)</f>
        <v>-1000000</v>
      </c>
      <c r="N248" s="24" t="e">
        <f aca="false">IF(M248&gt;0,INDEX(big_daily_table,MATCH(DATE(O$5,$K248,$J248),daily_dates,0),MATCH($B$3,daily_items,0)),NA())</f>
        <v>#N/A</v>
      </c>
      <c r="O248" s="1" t="e">
        <f aca="false">IF(M248&lt;0,INDEX(big_daily_table,MATCH(DATE(O$5,$K248,$J248),daily_dates,0),MATCH($B$3,daily_items,0)),NA())</f>
        <v>#N/A</v>
      </c>
      <c r="P248" s="1" t="e">
        <f aca="false">IF(ISBLANK(INDEX(big_daily_table,MATCH(DATE(P$5,$K248,$J248),daily_dates,0),MATCH($B$3,daily_items,0))),NA(),INDEX(big_daily_table,MATCH(DATE(P$5,$K248,$J248),daily_dates,0),MATCH($B$3,daily_items,0)))</f>
        <v>#N/A</v>
      </c>
      <c r="Q248" s="1" t="e">
        <f aca="false">IF(ISBLANK(INDEX(big_daily_table,MATCH(DATE(Q$5,$K248,$J248),daily_dates,0),MATCH($B$3,daily_items,0))),NA(),INDEX(big_daily_table,MATCH(DATE(Q$5,$K248,$J248),daily_dates,0),MATCH($B$3,daily_items,0)))</f>
        <v>#N/A</v>
      </c>
      <c r="R248" s="1" t="e">
        <f aca="false">IF(ISBLANK(INDEX(big_daily_table,MATCH(DATE(R$5,$K248,$J248),daily_dates,0),MATCH($B$3,daily_items,0))),NA(),INDEX(big_daily_table,MATCH(DATE(R$5,$K248,$J248),daily_dates,0),MATCH($B$3,daily_items,0)))</f>
        <v>#N/A</v>
      </c>
      <c r="S248" s="1" t="e">
        <f aca="false">IF(ISBLANK(INDEX(big_daily_table,MATCH(DATE(S$5,$K248,$J248),daily_dates,0),MATCH($B$3,daily_items,0))),NA(),INDEX(big_daily_table,MATCH(DATE(S$5,$K248,$J248),daily_dates,0),MATCH($B$3,daily_items,0)))</f>
        <v>#N/A</v>
      </c>
      <c r="T248" s="1" t="e">
        <f aca="false">IF(ISBLANK(INDEX(big_daily_table,MATCH(DATE(T$5,$K248,$J248),daily_dates,0),MATCH($B$3,daily_items,0))),NA(),INDEX(big_daily_table,MATCH(DATE(T$5,$K248,$J248),daily_dates,0),MATCH($B$3,daily_items,0)))</f>
        <v>#N/A</v>
      </c>
      <c r="U248" s="1" t="e">
        <f aca="false">IF(ISBLANK(INDEX(big_daily_table,MATCH(DATE(U$5,$K248,$J248),daily_dates,0),MATCH($B$3,daily_items,0))),NA(),INDEX(big_daily_table,MATCH(DATE(U$5,$K248,$J248),daily_dates,0),MATCH($B$3,daily_items,0)))</f>
        <v>#N/A</v>
      </c>
      <c r="V248" s="1" t="e">
        <f aca="false">IF(ISBLANK(INDEX(big_daily_table,MATCH(DATE(V$5,$K248,$J248),daily_dates,0),MATCH($B$3,daily_items,0))),NA(),INDEX(big_daily_table,MATCH(DATE(V$5,$K248,$J248),daily_dates,0),MATCH($B$3,daily_items,0)))</f>
        <v>#N/A</v>
      </c>
      <c r="W248" s="1" t="e">
        <f aca="false">IF(ISBLANK(INDEX(big_daily_table,MATCH(DATE(W$5,$K248,$J248),daily_dates,0),MATCH($B$3,daily_items,0))),NA(),INDEX(big_daily_table,MATCH(DATE(W$5,$K248,$J248),daily_dates,0),MATCH($B$3,daily_items,0)))</f>
        <v>#N/A</v>
      </c>
      <c r="X248" s="1" t="e">
        <f aca="false">IF(ISBLANK(INDEX(big_daily_table,MATCH(DATE(X$5,$K248,$J248),daily_dates,0),MATCH($B$3,daily_items,0))),NA(),INDEX(big_daily_table,MATCH(DATE(X$5,$K248,$J248),daily_dates,0),MATCH($B$3,daily_items,0)))</f>
        <v>#N/A</v>
      </c>
      <c r="Y248" s="1" t="e">
        <f aca="false">IF(ISBLANK(INDEX(big_daily_table,MATCH(DATE(Y$5,$K248,$J248),daily_dates,0),MATCH($B$3,daily_items,0))),NA(),INDEX(big_daily_table,MATCH(DATE(Y$5,$K248,$J248),daily_dates,0),MATCH($B$3,daily_items,0)))</f>
        <v>#N/A</v>
      </c>
      <c r="Z248" s="1" t="e">
        <f aca="false">IF(ISBLANK(INDEX(big_daily_table,MATCH(DATE(Z$5,$K248,$J248),daily_dates,0),MATCH($B$3,daily_items,0))),NA(),INDEX(big_daily_table,MATCH(DATE(Z$5,$K248,$J248),daily_dates,0),MATCH($B$3,daily_items,0)))</f>
        <v>#N/A</v>
      </c>
      <c r="AA248" s="1" t="n">
        <f aca="true">_xlfn.AGGREGATE(5,6,OFFSET($S$5,H248,0,1,$K$2))</f>
        <v>0</v>
      </c>
      <c r="AB248" s="1" t="n">
        <f aca="true">_xlfn.AGGREGATE(4,6,OFFSET($S$5,H248,0,1,$K$2))</f>
        <v>0</v>
      </c>
      <c r="AC248" s="1" t="n">
        <f aca="false">AB248-AA248</f>
        <v>0</v>
      </c>
      <c r="AD248" s="1" t="e">
        <f aca="true">_xlfn.AGGREGATE(1,6,OFFSET($S$5,H248,0,1,$K$2))</f>
        <v>#DIV/0!</v>
      </c>
    </row>
    <row r="249" customFormat="false" ht="14.25" hidden="false" customHeight="false" outlineLevel="0" collapsed="false">
      <c r="H249" s="1" t="n">
        <f aca="false">H248+1</f>
        <v>244</v>
      </c>
      <c r="I249" s="1" t="n">
        <f aca="false">WEEKDAY('daily graphs'!K249)</f>
        <v>5</v>
      </c>
      <c r="J249" s="1" t="n">
        <f aca="false">DAY(L249)</f>
        <v>26</v>
      </c>
      <c r="K249" s="1" t="n">
        <f aca="false">MONTH(L249)</f>
        <v>8</v>
      </c>
      <c r="L249" s="23" t="n">
        <f aca="false">'daily graphs'!K249 - I249</f>
        <v>36764</v>
      </c>
      <c r="M249" s="24" t="n">
        <f aca="true">IF(TODAY()&lt;DATE($O$5,K249,J249),1000000,-1000000)</f>
        <v>-1000000</v>
      </c>
      <c r="N249" s="24" t="e">
        <f aca="false">IF(M249&gt;0,INDEX(big_daily_table,MATCH(DATE(O$5,$K249,$J249),daily_dates,0),MATCH($B$3,daily_items,0)),NA())</f>
        <v>#N/A</v>
      </c>
      <c r="O249" s="1" t="e">
        <f aca="false">IF(M249&lt;0,INDEX(big_daily_table,MATCH(DATE(O$5,$K249,$J249),daily_dates,0),MATCH($B$3,daily_items,0)),NA())</f>
        <v>#N/A</v>
      </c>
      <c r="P249" s="1" t="e">
        <f aca="false">IF(ISBLANK(INDEX(big_daily_table,MATCH(DATE(P$5,$K249,$J249),daily_dates,0),MATCH($B$3,daily_items,0))),NA(),INDEX(big_daily_table,MATCH(DATE(P$5,$K249,$J249),daily_dates,0),MATCH($B$3,daily_items,0)))</f>
        <v>#N/A</v>
      </c>
      <c r="Q249" s="1" t="e">
        <f aca="false">IF(ISBLANK(INDEX(big_daily_table,MATCH(DATE(Q$5,$K249,$J249),daily_dates,0),MATCH($B$3,daily_items,0))),NA(),INDEX(big_daily_table,MATCH(DATE(Q$5,$K249,$J249),daily_dates,0),MATCH($B$3,daily_items,0)))</f>
        <v>#N/A</v>
      </c>
      <c r="R249" s="1" t="e">
        <f aca="false">IF(ISBLANK(INDEX(big_daily_table,MATCH(DATE(R$5,$K249,$J249),daily_dates,0),MATCH($B$3,daily_items,0))),NA(),INDEX(big_daily_table,MATCH(DATE(R$5,$K249,$J249),daily_dates,0),MATCH($B$3,daily_items,0)))</f>
        <v>#N/A</v>
      </c>
      <c r="S249" s="1" t="e">
        <f aca="false">IF(ISBLANK(INDEX(big_daily_table,MATCH(DATE(S$5,$K249,$J249),daily_dates,0),MATCH($B$3,daily_items,0))),NA(),INDEX(big_daily_table,MATCH(DATE(S$5,$K249,$J249),daily_dates,0),MATCH($B$3,daily_items,0)))</f>
        <v>#N/A</v>
      </c>
      <c r="T249" s="1" t="e">
        <f aca="false">IF(ISBLANK(INDEX(big_daily_table,MATCH(DATE(T$5,$K249,$J249),daily_dates,0),MATCH($B$3,daily_items,0))),NA(),INDEX(big_daily_table,MATCH(DATE(T$5,$K249,$J249),daily_dates,0),MATCH($B$3,daily_items,0)))</f>
        <v>#N/A</v>
      </c>
      <c r="U249" s="1" t="e">
        <f aca="false">IF(ISBLANK(INDEX(big_daily_table,MATCH(DATE(U$5,$K249,$J249),daily_dates,0),MATCH($B$3,daily_items,0))),NA(),INDEX(big_daily_table,MATCH(DATE(U$5,$K249,$J249),daily_dates,0),MATCH($B$3,daily_items,0)))</f>
        <v>#N/A</v>
      </c>
      <c r="V249" s="1" t="e">
        <f aca="false">IF(ISBLANK(INDEX(big_daily_table,MATCH(DATE(V$5,$K249,$J249),daily_dates,0),MATCH($B$3,daily_items,0))),NA(),INDEX(big_daily_table,MATCH(DATE(V$5,$K249,$J249),daily_dates,0),MATCH($B$3,daily_items,0)))</f>
        <v>#N/A</v>
      </c>
      <c r="W249" s="1" t="e">
        <f aca="false">IF(ISBLANK(INDEX(big_daily_table,MATCH(DATE(W$5,$K249,$J249),daily_dates,0),MATCH($B$3,daily_items,0))),NA(),INDEX(big_daily_table,MATCH(DATE(W$5,$K249,$J249),daily_dates,0),MATCH($B$3,daily_items,0)))</f>
        <v>#N/A</v>
      </c>
      <c r="X249" s="1" t="e">
        <f aca="false">IF(ISBLANK(INDEX(big_daily_table,MATCH(DATE(X$5,$K249,$J249),daily_dates,0),MATCH($B$3,daily_items,0))),NA(),INDEX(big_daily_table,MATCH(DATE(X$5,$K249,$J249),daily_dates,0),MATCH($B$3,daily_items,0)))</f>
        <v>#N/A</v>
      </c>
      <c r="Y249" s="1" t="e">
        <f aca="false">IF(ISBLANK(INDEX(big_daily_table,MATCH(DATE(Y$5,$K249,$J249),daily_dates,0),MATCH($B$3,daily_items,0))),NA(),INDEX(big_daily_table,MATCH(DATE(Y$5,$K249,$J249),daily_dates,0),MATCH($B$3,daily_items,0)))</f>
        <v>#N/A</v>
      </c>
      <c r="Z249" s="1" t="e">
        <f aca="false">IF(ISBLANK(INDEX(big_daily_table,MATCH(DATE(Z$5,$K249,$J249),daily_dates,0),MATCH($B$3,daily_items,0))),NA(),INDEX(big_daily_table,MATCH(DATE(Z$5,$K249,$J249),daily_dates,0),MATCH($B$3,daily_items,0)))</f>
        <v>#N/A</v>
      </c>
      <c r="AA249" s="1" t="n">
        <f aca="true">_xlfn.AGGREGATE(5,6,OFFSET($S$5,H249,0,1,$K$2))</f>
        <v>0</v>
      </c>
      <c r="AB249" s="1" t="n">
        <f aca="true">_xlfn.AGGREGATE(4,6,OFFSET($S$5,H249,0,1,$K$2))</f>
        <v>0</v>
      </c>
      <c r="AC249" s="1" t="n">
        <f aca="false">AB249-AA249</f>
        <v>0</v>
      </c>
      <c r="AD249" s="1" t="e">
        <f aca="true">_xlfn.AGGREGATE(1,6,OFFSET($S$5,H249,0,1,$K$2))</f>
        <v>#DIV/0!</v>
      </c>
    </row>
    <row r="250" customFormat="false" ht="14.25" hidden="false" customHeight="false" outlineLevel="0" collapsed="false">
      <c r="H250" s="1" t="n">
        <f aca="false">H249+1</f>
        <v>245</v>
      </c>
      <c r="I250" s="1" t="n">
        <f aca="false">WEEKDAY('daily graphs'!K250)</f>
        <v>6</v>
      </c>
      <c r="J250" s="1" t="n">
        <f aca="false">DAY(L250)</f>
        <v>26</v>
      </c>
      <c r="K250" s="1" t="n">
        <f aca="false">MONTH(L250)</f>
        <v>8</v>
      </c>
      <c r="L250" s="23" t="n">
        <f aca="false">'daily graphs'!K250 - I250</f>
        <v>36764</v>
      </c>
      <c r="M250" s="24" t="n">
        <f aca="true">IF(TODAY()&lt;DATE($O$5,K250,J250),1000000,-1000000)</f>
        <v>-1000000</v>
      </c>
      <c r="N250" s="24" t="e">
        <f aca="false">IF(M250&gt;0,INDEX(big_daily_table,MATCH(DATE(O$5,$K250,$J250),daily_dates,0),MATCH($B$3,daily_items,0)),NA())</f>
        <v>#N/A</v>
      </c>
      <c r="O250" s="1" t="e">
        <f aca="false">IF(M250&lt;0,INDEX(big_daily_table,MATCH(DATE(O$5,$K250,$J250),daily_dates,0),MATCH($B$3,daily_items,0)),NA())</f>
        <v>#N/A</v>
      </c>
      <c r="P250" s="1" t="e">
        <f aca="false">IF(ISBLANK(INDEX(big_daily_table,MATCH(DATE(P$5,$K250,$J250),daily_dates,0),MATCH($B$3,daily_items,0))),NA(),INDEX(big_daily_table,MATCH(DATE(P$5,$K250,$J250),daily_dates,0),MATCH($B$3,daily_items,0)))</f>
        <v>#N/A</v>
      </c>
      <c r="Q250" s="1" t="e">
        <f aca="false">IF(ISBLANK(INDEX(big_daily_table,MATCH(DATE(Q$5,$K250,$J250),daily_dates,0),MATCH($B$3,daily_items,0))),NA(),INDEX(big_daily_table,MATCH(DATE(Q$5,$K250,$J250),daily_dates,0),MATCH($B$3,daily_items,0)))</f>
        <v>#N/A</v>
      </c>
      <c r="R250" s="1" t="e">
        <f aca="false">IF(ISBLANK(INDEX(big_daily_table,MATCH(DATE(R$5,$K250,$J250),daily_dates,0),MATCH($B$3,daily_items,0))),NA(),INDEX(big_daily_table,MATCH(DATE(R$5,$K250,$J250),daily_dates,0),MATCH($B$3,daily_items,0)))</f>
        <v>#N/A</v>
      </c>
      <c r="S250" s="1" t="e">
        <f aca="false">IF(ISBLANK(INDEX(big_daily_table,MATCH(DATE(S$5,$K250,$J250),daily_dates,0),MATCH($B$3,daily_items,0))),NA(),INDEX(big_daily_table,MATCH(DATE(S$5,$K250,$J250),daily_dates,0),MATCH($B$3,daily_items,0)))</f>
        <v>#N/A</v>
      </c>
      <c r="T250" s="1" t="e">
        <f aca="false">IF(ISBLANK(INDEX(big_daily_table,MATCH(DATE(T$5,$K250,$J250),daily_dates,0),MATCH($B$3,daily_items,0))),NA(),INDEX(big_daily_table,MATCH(DATE(T$5,$K250,$J250),daily_dates,0),MATCH($B$3,daily_items,0)))</f>
        <v>#N/A</v>
      </c>
      <c r="U250" s="1" t="e">
        <f aca="false">IF(ISBLANK(INDEX(big_daily_table,MATCH(DATE(U$5,$K250,$J250),daily_dates,0),MATCH($B$3,daily_items,0))),NA(),INDEX(big_daily_table,MATCH(DATE(U$5,$K250,$J250),daily_dates,0),MATCH($B$3,daily_items,0)))</f>
        <v>#N/A</v>
      </c>
      <c r="V250" s="1" t="e">
        <f aca="false">IF(ISBLANK(INDEX(big_daily_table,MATCH(DATE(V$5,$K250,$J250),daily_dates,0),MATCH($B$3,daily_items,0))),NA(),INDEX(big_daily_table,MATCH(DATE(V$5,$K250,$J250),daily_dates,0),MATCH($B$3,daily_items,0)))</f>
        <v>#N/A</v>
      </c>
      <c r="W250" s="1" t="e">
        <f aca="false">IF(ISBLANK(INDEX(big_daily_table,MATCH(DATE(W$5,$K250,$J250),daily_dates,0),MATCH($B$3,daily_items,0))),NA(),INDEX(big_daily_table,MATCH(DATE(W$5,$K250,$J250),daily_dates,0),MATCH($B$3,daily_items,0)))</f>
        <v>#N/A</v>
      </c>
      <c r="X250" s="1" t="e">
        <f aca="false">IF(ISBLANK(INDEX(big_daily_table,MATCH(DATE(X$5,$K250,$J250),daily_dates,0),MATCH($B$3,daily_items,0))),NA(),INDEX(big_daily_table,MATCH(DATE(X$5,$K250,$J250),daily_dates,0),MATCH($B$3,daily_items,0)))</f>
        <v>#N/A</v>
      </c>
      <c r="Y250" s="1" t="e">
        <f aca="false">IF(ISBLANK(INDEX(big_daily_table,MATCH(DATE(Y$5,$K250,$J250),daily_dates,0),MATCH($B$3,daily_items,0))),NA(),INDEX(big_daily_table,MATCH(DATE(Y$5,$K250,$J250),daily_dates,0),MATCH($B$3,daily_items,0)))</f>
        <v>#N/A</v>
      </c>
      <c r="Z250" s="1" t="e">
        <f aca="false">IF(ISBLANK(INDEX(big_daily_table,MATCH(DATE(Z$5,$K250,$J250),daily_dates,0),MATCH($B$3,daily_items,0))),NA(),INDEX(big_daily_table,MATCH(DATE(Z$5,$K250,$J250),daily_dates,0),MATCH($B$3,daily_items,0)))</f>
        <v>#N/A</v>
      </c>
      <c r="AA250" s="1" t="n">
        <f aca="true">_xlfn.AGGREGATE(5,6,OFFSET($S$5,H250,0,1,$K$2))</f>
        <v>0</v>
      </c>
      <c r="AB250" s="1" t="n">
        <f aca="true">_xlfn.AGGREGATE(4,6,OFFSET($S$5,H250,0,1,$K$2))</f>
        <v>0</v>
      </c>
      <c r="AC250" s="1" t="n">
        <f aca="false">AB250-AA250</f>
        <v>0</v>
      </c>
      <c r="AD250" s="1" t="e">
        <f aca="true">_xlfn.AGGREGATE(1,6,OFFSET($S$5,H250,0,1,$K$2))</f>
        <v>#DIV/0!</v>
      </c>
    </row>
    <row r="251" customFormat="false" ht="14.25" hidden="false" customHeight="false" outlineLevel="0" collapsed="false">
      <c r="H251" s="1" t="n">
        <f aca="false">H250+1</f>
        <v>246</v>
      </c>
      <c r="I251" s="1" t="n">
        <f aca="false">WEEKDAY('daily graphs'!K251)</f>
        <v>7</v>
      </c>
      <c r="J251" s="1" t="n">
        <f aca="false">DAY(L251)</f>
        <v>26</v>
      </c>
      <c r="K251" s="1" t="n">
        <f aca="false">MONTH(L251)</f>
        <v>8</v>
      </c>
      <c r="L251" s="23" t="n">
        <f aca="false">'daily graphs'!K251 - I251</f>
        <v>36764</v>
      </c>
      <c r="M251" s="24" t="n">
        <f aca="true">IF(TODAY()&lt;DATE($O$5,K251,J251),1000000,-1000000)</f>
        <v>-1000000</v>
      </c>
      <c r="N251" s="24" t="e">
        <f aca="false">IF(M251&gt;0,INDEX(big_daily_table,MATCH(DATE(O$5,$K251,$J251),daily_dates,0),MATCH($B$3,daily_items,0)),NA())</f>
        <v>#N/A</v>
      </c>
      <c r="O251" s="1" t="e">
        <f aca="false">IF(M251&lt;0,INDEX(big_daily_table,MATCH(DATE(O$5,$K251,$J251),daily_dates,0),MATCH($B$3,daily_items,0)),NA())</f>
        <v>#N/A</v>
      </c>
      <c r="P251" s="1" t="e">
        <f aca="false">IF(ISBLANK(INDEX(big_daily_table,MATCH(DATE(P$5,$K251,$J251),daily_dates,0),MATCH($B$3,daily_items,0))),NA(),INDEX(big_daily_table,MATCH(DATE(P$5,$K251,$J251),daily_dates,0),MATCH($B$3,daily_items,0)))</f>
        <v>#N/A</v>
      </c>
      <c r="Q251" s="1" t="e">
        <f aca="false">IF(ISBLANK(INDEX(big_daily_table,MATCH(DATE(Q$5,$K251,$J251),daily_dates,0),MATCH($B$3,daily_items,0))),NA(),INDEX(big_daily_table,MATCH(DATE(Q$5,$K251,$J251),daily_dates,0),MATCH($B$3,daily_items,0)))</f>
        <v>#N/A</v>
      </c>
      <c r="R251" s="1" t="e">
        <f aca="false">IF(ISBLANK(INDEX(big_daily_table,MATCH(DATE(R$5,$K251,$J251),daily_dates,0),MATCH($B$3,daily_items,0))),NA(),INDEX(big_daily_table,MATCH(DATE(R$5,$K251,$J251),daily_dates,0),MATCH($B$3,daily_items,0)))</f>
        <v>#N/A</v>
      </c>
      <c r="S251" s="1" t="e">
        <f aca="false">IF(ISBLANK(INDEX(big_daily_table,MATCH(DATE(S$5,$K251,$J251),daily_dates,0),MATCH($B$3,daily_items,0))),NA(),INDEX(big_daily_table,MATCH(DATE(S$5,$K251,$J251),daily_dates,0),MATCH($B$3,daily_items,0)))</f>
        <v>#N/A</v>
      </c>
      <c r="T251" s="1" t="e">
        <f aca="false">IF(ISBLANK(INDEX(big_daily_table,MATCH(DATE(T$5,$K251,$J251),daily_dates,0),MATCH($B$3,daily_items,0))),NA(),INDEX(big_daily_table,MATCH(DATE(T$5,$K251,$J251),daily_dates,0),MATCH($B$3,daily_items,0)))</f>
        <v>#N/A</v>
      </c>
      <c r="U251" s="1" t="e">
        <f aca="false">IF(ISBLANK(INDEX(big_daily_table,MATCH(DATE(U$5,$K251,$J251),daily_dates,0),MATCH($B$3,daily_items,0))),NA(),INDEX(big_daily_table,MATCH(DATE(U$5,$K251,$J251),daily_dates,0),MATCH($B$3,daily_items,0)))</f>
        <v>#N/A</v>
      </c>
      <c r="V251" s="1" t="e">
        <f aca="false">IF(ISBLANK(INDEX(big_daily_table,MATCH(DATE(V$5,$K251,$J251),daily_dates,0),MATCH($B$3,daily_items,0))),NA(),INDEX(big_daily_table,MATCH(DATE(V$5,$K251,$J251),daily_dates,0),MATCH($B$3,daily_items,0)))</f>
        <v>#N/A</v>
      </c>
      <c r="W251" s="1" t="e">
        <f aca="false">IF(ISBLANK(INDEX(big_daily_table,MATCH(DATE(W$5,$K251,$J251),daily_dates,0),MATCH($B$3,daily_items,0))),NA(),INDEX(big_daily_table,MATCH(DATE(W$5,$K251,$J251),daily_dates,0),MATCH($B$3,daily_items,0)))</f>
        <v>#N/A</v>
      </c>
      <c r="X251" s="1" t="e">
        <f aca="false">IF(ISBLANK(INDEX(big_daily_table,MATCH(DATE(X$5,$K251,$J251),daily_dates,0),MATCH($B$3,daily_items,0))),NA(),INDEX(big_daily_table,MATCH(DATE(X$5,$K251,$J251),daily_dates,0),MATCH($B$3,daily_items,0)))</f>
        <v>#N/A</v>
      </c>
      <c r="Y251" s="1" t="e">
        <f aca="false">IF(ISBLANK(INDEX(big_daily_table,MATCH(DATE(Y$5,$K251,$J251),daily_dates,0),MATCH($B$3,daily_items,0))),NA(),INDEX(big_daily_table,MATCH(DATE(Y$5,$K251,$J251),daily_dates,0),MATCH($B$3,daily_items,0)))</f>
        <v>#N/A</v>
      </c>
      <c r="Z251" s="1" t="e">
        <f aca="false">IF(ISBLANK(INDEX(big_daily_table,MATCH(DATE(Z$5,$K251,$J251),daily_dates,0),MATCH($B$3,daily_items,0))),NA(),INDEX(big_daily_table,MATCH(DATE(Z$5,$K251,$J251),daily_dates,0),MATCH($B$3,daily_items,0)))</f>
        <v>#N/A</v>
      </c>
      <c r="AA251" s="1" t="n">
        <f aca="true">_xlfn.AGGREGATE(5,6,OFFSET($S$5,H251,0,1,$K$2))</f>
        <v>0</v>
      </c>
      <c r="AB251" s="1" t="n">
        <f aca="true">_xlfn.AGGREGATE(4,6,OFFSET($S$5,H251,0,1,$K$2))</f>
        <v>0</v>
      </c>
      <c r="AC251" s="1" t="n">
        <f aca="false">AB251-AA251</f>
        <v>0</v>
      </c>
      <c r="AD251" s="1" t="e">
        <f aca="true">_xlfn.AGGREGATE(1,6,OFFSET($S$5,H251,0,1,$K$2))</f>
        <v>#DIV/0!</v>
      </c>
    </row>
    <row r="252" customFormat="false" ht="14.25" hidden="false" customHeight="false" outlineLevel="0" collapsed="false">
      <c r="H252" s="1" t="n">
        <f aca="false">H251+1</f>
        <v>247</v>
      </c>
      <c r="I252" s="1" t="n">
        <f aca="false">WEEKDAY('daily graphs'!K252)</f>
        <v>1</v>
      </c>
      <c r="J252" s="1" t="n">
        <f aca="false">DAY(L252)</f>
        <v>2</v>
      </c>
      <c r="K252" s="1" t="n">
        <f aca="false">MONTH(L252)</f>
        <v>9</v>
      </c>
      <c r="L252" s="23" t="n">
        <f aca="false">'daily graphs'!K252 - I252</f>
        <v>36771</v>
      </c>
      <c r="M252" s="24" t="n">
        <f aca="true">IF(TODAY()&lt;DATE($O$5,K252,J252),1000000,-1000000)</f>
        <v>-1000000</v>
      </c>
      <c r="N252" s="24" t="e">
        <f aca="false">IF(M252&gt;0,INDEX(big_daily_table,MATCH(DATE(O$5,$K252,$J252),daily_dates,0),MATCH($B$3,daily_items,0)),NA())</f>
        <v>#N/A</v>
      </c>
      <c r="O252" s="1" t="e">
        <f aca="false">IF(M252&lt;0,INDEX(big_daily_table,MATCH(DATE(O$5,$K252,$J252),daily_dates,0),MATCH($B$3,daily_items,0)),NA())</f>
        <v>#N/A</v>
      </c>
      <c r="P252" s="1" t="e">
        <f aca="false">IF(ISBLANK(INDEX(big_daily_table,MATCH(DATE(P$5,$K252,$J252),daily_dates,0),MATCH($B$3,daily_items,0))),NA(),INDEX(big_daily_table,MATCH(DATE(P$5,$K252,$J252),daily_dates,0),MATCH($B$3,daily_items,0)))</f>
        <v>#N/A</v>
      </c>
      <c r="Q252" s="1" t="e">
        <f aca="false">IF(ISBLANK(INDEX(big_daily_table,MATCH(DATE(Q$5,$K252,$J252),daily_dates,0),MATCH($B$3,daily_items,0))),NA(),INDEX(big_daily_table,MATCH(DATE(Q$5,$K252,$J252),daily_dates,0),MATCH($B$3,daily_items,0)))</f>
        <v>#N/A</v>
      </c>
      <c r="R252" s="1" t="e">
        <f aca="false">IF(ISBLANK(INDEX(big_daily_table,MATCH(DATE(R$5,$K252,$J252),daily_dates,0),MATCH($B$3,daily_items,0))),NA(),INDEX(big_daily_table,MATCH(DATE(R$5,$K252,$J252),daily_dates,0),MATCH($B$3,daily_items,0)))</f>
        <v>#N/A</v>
      </c>
      <c r="S252" s="1" t="e">
        <f aca="false">IF(ISBLANK(INDEX(big_daily_table,MATCH(DATE(S$5,$K252,$J252),daily_dates,0),MATCH($B$3,daily_items,0))),NA(),INDEX(big_daily_table,MATCH(DATE(S$5,$K252,$J252),daily_dates,0),MATCH($B$3,daily_items,0)))</f>
        <v>#N/A</v>
      </c>
      <c r="T252" s="1" t="e">
        <f aca="false">IF(ISBLANK(INDEX(big_daily_table,MATCH(DATE(T$5,$K252,$J252),daily_dates,0),MATCH($B$3,daily_items,0))),NA(),INDEX(big_daily_table,MATCH(DATE(T$5,$K252,$J252),daily_dates,0),MATCH($B$3,daily_items,0)))</f>
        <v>#N/A</v>
      </c>
      <c r="U252" s="1" t="e">
        <f aca="false">IF(ISBLANK(INDEX(big_daily_table,MATCH(DATE(U$5,$K252,$J252),daily_dates,0),MATCH($B$3,daily_items,0))),NA(),INDEX(big_daily_table,MATCH(DATE(U$5,$K252,$J252),daily_dates,0),MATCH($B$3,daily_items,0)))</f>
        <v>#N/A</v>
      </c>
      <c r="V252" s="1" t="e">
        <f aca="false">IF(ISBLANK(INDEX(big_daily_table,MATCH(DATE(V$5,$K252,$J252),daily_dates,0),MATCH($B$3,daily_items,0))),NA(),INDEX(big_daily_table,MATCH(DATE(V$5,$K252,$J252),daily_dates,0),MATCH($B$3,daily_items,0)))</f>
        <v>#N/A</v>
      </c>
      <c r="W252" s="1" t="e">
        <f aca="false">IF(ISBLANK(INDEX(big_daily_table,MATCH(DATE(W$5,$K252,$J252),daily_dates,0),MATCH($B$3,daily_items,0))),NA(),INDEX(big_daily_table,MATCH(DATE(W$5,$K252,$J252),daily_dates,0),MATCH($B$3,daily_items,0)))</f>
        <v>#N/A</v>
      </c>
      <c r="X252" s="1" t="e">
        <f aca="false">IF(ISBLANK(INDEX(big_daily_table,MATCH(DATE(X$5,$K252,$J252),daily_dates,0),MATCH($B$3,daily_items,0))),NA(),INDEX(big_daily_table,MATCH(DATE(X$5,$K252,$J252),daily_dates,0),MATCH($B$3,daily_items,0)))</f>
        <v>#N/A</v>
      </c>
      <c r="Y252" s="1" t="e">
        <f aca="false">IF(ISBLANK(INDEX(big_daily_table,MATCH(DATE(Y$5,$K252,$J252),daily_dates,0),MATCH($B$3,daily_items,0))),NA(),INDEX(big_daily_table,MATCH(DATE(Y$5,$K252,$J252),daily_dates,0),MATCH($B$3,daily_items,0)))</f>
        <v>#N/A</v>
      </c>
      <c r="Z252" s="1" t="e">
        <f aca="false">IF(ISBLANK(INDEX(big_daily_table,MATCH(DATE(Z$5,$K252,$J252),daily_dates,0),MATCH($B$3,daily_items,0))),NA(),INDEX(big_daily_table,MATCH(DATE(Z$5,$K252,$J252),daily_dates,0),MATCH($B$3,daily_items,0)))</f>
        <v>#N/A</v>
      </c>
      <c r="AA252" s="1" t="n">
        <f aca="true">_xlfn.AGGREGATE(5,6,OFFSET($S$5,H252,0,1,$K$2))</f>
        <v>0</v>
      </c>
      <c r="AB252" s="1" t="n">
        <f aca="true">_xlfn.AGGREGATE(4,6,OFFSET($S$5,H252,0,1,$K$2))</f>
        <v>0</v>
      </c>
      <c r="AC252" s="1" t="n">
        <f aca="false">AB252-AA252</f>
        <v>0</v>
      </c>
      <c r="AD252" s="1" t="e">
        <f aca="true">_xlfn.AGGREGATE(1,6,OFFSET($S$5,H252,0,1,$K$2))</f>
        <v>#DIV/0!</v>
      </c>
    </row>
    <row r="253" customFormat="false" ht="14.25" hidden="false" customHeight="false" outlineLevel="0" collapsed="false">
      <c r="H253" s="1" t="n">
        <f aca="false">H252+1</f>
        <v>248</v>
      </c>
      <c r="I253" s="1" t="n">
        <f aca="false">WEEKDAY('daily graphs'!K253)</f>
        <v>2</v>
      </c>
      <c r="J253" s="1" t="n">
        <f aca="false">DAY(L253)</f>
        <v>2</v>
      </c>
      <c r="K253" s="1" t="n">
        <f aca="false">MONTH(L253)</f>
        <v>9</v>
      </c>
      <c r="L253" s="23" t="n">
        <f aca="false">'daily graphs'!K253 - I253</f>
        <v>36771</v>
      </c>
      <c r="M253" s="24" t="n">
        <f aca="true">IF(TODAY()&lt;DATE($O$5,K253,J253),1000000,-1000000)</f>
        <v>-1000000</v>
      </c>
      <c r="N253" s="24" t="e">
        <f aca="false">IF(M253&gt;0,INDEX(big_daily_table,MATCH(DATE(O$5,$K253,$J253),daily_dates,0),MATCH($B$3,daily_items,0)),NA())</f>
        <v>#N/A</v>
      </c>
      <c r="O253" s="1" t="e">
        <f aca="false">IF(M253&lt;0,INDEX(big_daily_table,MATCH(DATE(O$5,$K253,$J253),daily_dates,0),MATCH($B$3,daily_items,0)),NA())</f>
        <v>#N/A</v>
      </c>
      <c r="P253" s="1" t="e">
        <f aca="false">IF(ISBLANK(INDEX(big_daily_table,MATCH(DATE(P$5,$K253,$J253),daily_dates,0),MATCH($B$3,daily_items,0))),NA(),INDEX(big_daily_table,MATCH(DATE(P$5,$K253,$J253),daily_dates,0),MATCH($B$3,daily_items,0)))</f>
        <v>#N/A</v>
      </c>
      <c r="Q253" s="1" t="e">
        <f aca="false">IF(ISBLANK(INDEX(big_daily_table,MATCH(DATE(Q$5,$K253,$J253),daily_dates,0),MATCH($B$3,daily_items,0))),NA(),INDEX(big_daily_table,MATCH(DATE(Q$5,$K253,$J253),daily_dates,0),MATCH($B$3,daily_items,0)))</f>
        <v>#N/A</v>
      </c>
      <c r="R253" s="1" t="e">
        <f aca="false">IF(ISBLANK(INDEX(big_daily_table,MATCH(DATE(R$5,$K253,$J253),daily_dates,0),MATCH($B$3,daily_items,0))),NA(),INDEX(big_daily_table,MATCH(DATE(R$5,$K253,$J253),daily_dates,0),MATCH($B$3,daily_items,0)))</f>
        <v>#N/A</v>
      </c>
      <c r="S253" s="1" t="e">
        <f aca="false">IF(ISBLANK(INDEX(big_daily_table,MATCH(DATE(S$5,$K253,$J253),daily_dates,0),MATCH($B$3,daily_items,0))),NA(),INDEX(big_daily_table,MATCH(DATE(S$5,$K253,$J253),daily_dates,0),MATCH($B$3,daily_items,0)))</f>
        <v>#N/A</v>
      </c>
      <c r="T253" s="1" t="e">
        <f aca="false">IF(ISBLANK(INDEX(big_daily_table,MATCH(DATE(T$5,$K253,$J253),daily_dates,0),MATCH($B$3,daily_items,0))),NA(),INDEX(big_daily_table,MATCH(DATE(T$5,$K253,$J253),daily_dates,0),MATCH($B$3,daily_items,0)))</f>
        <v>#N/A</v>
      </c>
      <c r="U253" s="1" t="e">
        <f aca="false">IF(ISBLANK(INDEX(big_daily_table,MATCH(DATE(U$5,$K253,$J253),daily_dates,0),MATCH($B$3,daily_items,0))),NA(),INDEX(big_daily_table,MATCH(DATE(U$5,$K253,$J253),daily_dates,0),MATCH($B$3,daily_items,0)))</f>
        <v>#N/A</v>
      </c>
      <c r="V253" s="1" t="e">
        <f aca="false">IF(ISBLANK(INDEX(big_daily_table,MATCH(DATE(V$5,$K253,$J253),daily_dates,0),MATCH($B$3,daily_items,0))),NA(),INDEX(big_daily_table,MATCH(DATE(V$5,$K253,$J253),daily_dates,0),MATCH($B$3,daily_items,0)))</f>
        <v>#N/A</v>
      </c>
      <c r="W253" s="1" t="e">
        <f aca="false">IF(ISBLANK(INDEX(big_daily_table,MATCH(DATE(W$5,$K253,$J253),daily_dates,0),MATCH($B$3,daily_items,0))),NA(),INDEX(big_daily_table,MATCH(DATE(W$5,$K253,$J253),daily_dates,0),MATCH($B$3,daily_items,0)))</f>
        <v>#N/A</v>
      </c>
      <c r="X253" s="1" t="e">
        <f aca="false">IF(ISBLANK(INDEX(big_daily_table,MATCH(DATE(X$5,$K253,$J253),daily_dates,0),MATCH($B$3,daily_items,0))),NA(),INDEX(big_daily_table,MATCH(DATE(X$5,$K253,$J253),daily_dates,0),MATCH($B$3,daily_items,0)))</f>
        <v>#N/A</v>
      </c>
      <c r="Y253" s="1" t="e">
        <f aca="false">IF(ISBLANK(INDEX(big_daily_table,MATCH(DATE(Y$5,$K253,$J253),daily_dates,0),MATCH($B$3,daily_items,0))),NA(),INDEX(big_daily_table,MATCH(DATE(Y$5,$K253,$J253),daily_dates,0),MATCH($B$3,daily_items,0)))</f>
        <v>#N/A</v>
      </c>
      <c r="Z253" s="1" t="e">
        <f aca="false">IF(ISBLANK(INDEX(big_daily_table,MATCH(DATE(Z$5,$K253,$J253),daily_dates,0),MATCH($B$3,daily_items,0))),NA(),INDEX(big_daily_table,MATCH(DATE(Z$5,$K253,$J253),daily_dates,0),MATCH($B$3,daily_items,0)))</f>
        <v>#N/A</v>
      </c>
      <c r="AA253" s="1" t="n">
        <f aca="true">_xlfn.AGGREGATE(5,6,OFFSET($S$5,H253,0,1,$K$2))</f>
        <v>0</v>
      </c>
      <c r="AB253" s="1" t="n">
        <f aca="true">_xlfn.AGGREGATE(4,6,OFFSET($S$5,H253,0,1,$K$2))</f>
        <v>0</v>
      </c>
      <c r="AC253" s="1" t="n">
        <f aca="false">AB253-AA253</f>
        <v>0</v>
      </c>
      <c r="AD253" s="1" t="e">
        <f aca="true">_xlfn.AGGREGATE(1,6,OFFSET($S$5,H253,0,1,$K$2))</f>
        <v>#DIV/0!</v>
      </c>
    </row>
    <row r="254" customFormat="false" ht="14.25" hidden="false" customHeight="false" outlineLevel="0" collapsed="false">
      <c r="H254" s="1" t="n">
        <f aca="false">H253+1</f>
        <v>249</v>
      </c>
      <c r="I254" s="1" t="n">
        <f aca="false">WEEKDAY('daily graphs'!K254)</f>
        <v>3</v>
      </c>
      <c r="J254" s="1" t="n">
        <f aca="false">DAY(L254)</f>
        <v>2</v>
      </c>
      <c r="K254" s="1" t="n">
        <f aca="false">MONTH(L254)</f>
        <v>9</v>
      </c>
      <c r="L254" s="23" t="n">
        <f aca="false">'daily graphs'!K254 - I254</f>
        <v>36771</v>
      </c>
      <c r="M254" s="24" t="n">
        <f aca="true">IF(TODAY()&lt;DATE($O$5,K254,J254),1000000,-1000000)</f>
        <v>-1000000</v>
      </c>
      <c r="N254" s="24" t="e">
        <f aca="false">IF(M254&gt;0,INDEX(big_daily_table,MATCH(DATE(O$5,$K254,$J254),daily_dates,0),MATCH($B$3,daily_items,0)),NA())</f>
        <v>#N/A</v>
      </c>
      <c r="O254" s="1" t="e">
        <f aca="false">IF(M254&lt;0,INDEX(big_daily_table,MATCH(DATE(O$5,$K254,$J254),daily_dates,0),MATCH($B$3,daily_items,0)),NA())</f>
        <v>#N/A</v>
      </c>
      <c r="P254" s="1" t="e">
        <f aca="false">IF(ISBLANK(INDEX(big_daily_table,MATCH(DATE(P$5,$K254,$J254),daily_dates,0),MATCH($B$3,daily_items,0))),NA(),INDEX(big_daily_table,MATCH(DATE(P$5,$K254,$J254),daily_dates,0),MATCH($B$3,daily_items,0)))</f>
        <v>#N/A</v>
      </c>
      <c r="Q254" s="1" t="e">
        <f aca="false">IF(ISBLANK(INDEX(big_daily_table,MATCH(DATE(Q$5,$K254,$J254),daily_dates,0),MATCH($B$3,daily_items,0))),NA(),INDEX(big_daily_table,MATCH(DATE(Q$5,$K254,$J254),daily_dates,0),MATCH($B$3,daily_items,0)))</f>
        <v>#N/A</v>
      </c>
      <c r="R254" s="1" t="e">
        <f aca="false">IF(ISBLANK(INDEX(big_daily_table,MATCH(DATE(R$5,$K254,$J254),daily_dates,0),MATCH($B$3,daily_items,0))),NA(),INDEX(big_daily_table,MATCH(DATE(R$5,$K254,$J254),daily_dates,0),MATCH($B$3,daily_items,0)))</f>
        <v>#N/A</v>
      </c>
      <c r="S254" s="1" t="e">
        <f aca="false">IF(ISBLANK(INDEX(big_daily_table,MATCH(DATE(S$5,$K254,$J254),daily_dates,0),MATCH($B$3,daily_items,0))),NA(),INDEX(big_daily_table,MATCH(DATE(S$5,$K254,$J254),daily_dates,0),MATCH($B$3,daily_items,0)))</f>
        <v>#N/A</v>
      </c>
      <c r="T254" s="1" t="e">
        <f aca="false">IF(ISBLANK(INDEX(big_daily_table,MATCH(DATE(T$5,$K254,$J254),daily_dates,0),MATCH($B$3,daily_items,0))),NA(),INDEX(big_daily_table,MATCH(DATE(T$5,$K254,$J254),daily_dates,0),MATCH($B$3,daily_items,0)))</f>
        <v>#N/A</v>
      </c>
      <c r="U254" s="1" t="e">
        <f aca="false">IF(ISBLANK(INDEX(big_daily_table,MATCH(DATE(U$5,$K254,$J254),daily_dates,0),MATCH($B$3,daily_items,0))),NA(),INDEX(big_daily_table,MATCH(DATE(U$5,$K254,$J254),daily_dates,0),MATCH($B$3,daily_items,0)))</f>
        <v>#N/A</v>
      </c>
      <c r="V254" s="1" t="e">
        <f aca="false">IF(ISBLANK(INDEX(big_daily_table,MATCH(DATE(V$5,$K254,$J254),daily_dates,0),MATCH($B$3,daily_items,0))),NA(),INDEX(big_daily_table,MATCH(DATE(V$5,$K254,$J254),daily_dates,0),MATCH($B$3,daily_items,0)))</f>
        <v>#N/A</v>
      </c>
      <c r="W254" s="1" t="e">
        <f aca="false">IF(ISBLANK(INDEX(big_daily_table,MATCH(DATE(W$5,$K254,$J254),daily_dates,0),MATCH($B$3,daily_items,0))),NA(),INDEX(big_daily_table,MATCH(DATE(W$5,$K254,$J254),daily_dates,0),MATCH($B$3,daily_items,0)))</f>
        <v>#N/A</v>
      </c>
      <c r="X254" s="1" t="e">
        <f aca="false">IF(ISBLANK(INDEX(big_daily_table,MATCH(DATE(X$5,$K254,$J254),daily_dates,0),MATCH($B$3,daily_items,0))),NA(),INDEX(big_daily_table,MATCH(DATE(X$5,$K254,$J254),daily_dates,0),MATCH($B$3,daily_items,0)))</f>
        <v>#N/A</v>
      </c>
      <c r="Y254" s="1" t="e">
        <f aca="false">IF(ISBLANK(INDEX(big_daily_table,MATCH(DATE(Y$5,$K254,$J254),daily_dates,0),MATCH($B$3,daily_items,0))),NA(),INDEX(big_daily_table,MATCH(DATE(Y$5,$K254,$J254),daily_dates,0),MATCH($B$3,daily_items,0)))</f>
        <v>#N/A</v>
      </c>
      <c r="Z254" s="1" t="e">
        <f aca="false">IF(ISBLANK(INDEX(big_daily_table,MATCH(DATE(Z$5,$K254,$J254),daily_dates,0),MATCH($B$3,daily_items,0))),NA(),INDEX(big_daily_table,MATCH(DATE(Z$5,$K254,$J254),daily_dates,0),MATCH($B$3,daily_items,0)))</f>
        <v>#N/A</v>
      </c>
      <c r="AA254" s="1" t="n">
        <f aca="true">_xlfn.AGGREGATE(5,6,OFFSET($S$5,H254,0,1,$K$2))</f>
        <v>0</v>
      </c>
      <c r="AB254" s="1" t="n">
        <f aca="true">_xlfn.AGGREGATE(4,6,OFFSET($S$5,H254,0,1,$K$2))</f>
        <v>0</v>
      </c>
      <c r="AC254" s="1" t="n">
        <f aca="false">AB254-AA254</f>
        <v>0</v>
      </c>
      <c r="AD254" s="1" t="e">
        <f aca="true">_xlfn.AGGREGATE(1,6,OFFSET($S$5,H254,0,1,$K$2))</f>
        <v>#DIV/0!</v>
      </c>
    </row>
    <row r="255" customFormat="false" ht="14.25" hidden="false" customHeight="false" outlineLevel="0" collapsed="false">
      <c r="H255" s="1" t="n">
        <f aca="false">H254+1</f>
        <v>250</v>
      </c>
      <c r="I255" s="1" t="n">
        <f aca="false">WEEKDAY('daily graphs'!K255)</f>
        <v>4</v>
      </c>
      <c r="J255" s="1" t="n">
        <f aca="false">DAY(L255)</f>
        <v>2</v>
      </c>
      <c r="K255" s="1" t="n">
        <f aca="false">MONTH(L255)</f>
        <v>9</v>
      </c>
      <c r="L255" s="23" t="n">
        <f aca="false">'daily graphs'!K255 - I255</f>
        <v>36771</v>
      </c>
      <c r="M255" s="24" t="n">
        <f aca="true">IF(TODAY()&lt;DATE($O$5,K255,J255),1000000,-1000000)</f>
        <v>-1000000</v>
      </c>
      <c r="N255" s="24" t="e">
        <f aca="false">IF(M255&gt;0,INDEX(big_daily_table,MATCH(DATE(O$5,$K255,$J255),daily_dates,0),MATCH($B$3,daily_items,0)),NA())</f>
        <v>#N/A</v>
      </c>
      <c r="O255" s="1" t="e">
        <f aca="false">IF(M255&lt;0,INDEX(big_daily_table,MATCH(DATE(O$5,$K255,$J255),daily_dates,0),MATCH($B$3,daily_items,0)),NA())</f>
        <v>#N/A</v>
      </c>
      <c r="P255" s="1" t="e">
        <f aca="false">IF(ISBLANK(INDEX(big_daily_table,MATCH(DATE(P$5,$K255,$J255),daily_dates,0),MATCH($B$3,daily_items,0))),NA(),INDEX(big_daily_table,MATCH(DATE(P$5,$K255,$J255),daily_dates,0),MATCH($B$3,daily_items,0)))</f>
        <v>#N/A</v>
      </c>
      <c r="Q255" s="1" t="e">
        <f aca="false">IF(ISBLANK(INDEX(big_daily_table,MATCH(DATE(Q$5,$K255,$J255),daily_dates,0),MATCH($B$3,daily_items,0))),NA(),INDEX(big_daily_table,MATCH(DATE(Q$5,$K255,$J255),daily_dates,0),MATCH($B$3,daily_items,0)))</f>
        <v>#N/A</v>
      </c>
      <c r="R255" s="1" t="e">
        <f aca="false">IF(ISBLANK(INDEX(big_daily_table,MATCH(DATE(R$5,$K255,$J255),daily_dates,0),MATCH($B$3,daily_items,0))),NA(),INDEX(big_daily_table,MATCH(DATE(R$5,$K255,$J255),daily_dates,0),MATCH($B$3,daily_items,0)))</f>
        <v>#N/A</v>
      </c>
      <c r="S255" s="1" t="e">
        <f aca="false">IF(ISBLANK(INDEX(big_daily_table,MATCH(DATE(S$5,$K255,$J255),daily_dates,0),MATCH($B$3,daily_items,0))),NA(),INDEX(big_daily_table,MATCH(DATE(S$5,$K255,$J255),daily_dates,0),MATCH($B$3,daily_items,0)))</f>
        <v>#N/A</v>
      </c>
      <c r="T255" s="1" t="e">
        <f aca="false">IF(ISBLANK(INDEX(big_daily_table,MATCH(DATE(T$5,$K255,$J255),daily_dates,0),MATCH($B$3,daily_items,0))),NA(),INDEX(big_daily_table,MATCH(DATE(T$5,$K255,$J255),daily_dates,0),MATCH($B$3,daily_items,0)))</f>
        <v>#N/A</v>
      </c>
      <c r="U255" s="1" t="e">
        <f aca="false">IF(ISBLANK(INDEX(big_daily_table,MATCH(DATE(U$5,$K255,$J255),daily_dates,0),MATCH($B$3,daily_items,0))),NA(),INDEX(big_daily_table,MATCH(DATE(U$5,$K255,$J255),daily_dates,0),MATCH($B$3,daily_items,0)))</f>
        <v>#N/A</v>
      </c>
      <c r="V255" s="1" t="e">
        <f aca="false">IF(ISBLANK(INDEX(big_daily_table,MATCH(DATE(V$5,$K255,$J255),daily_dates,0),MATCH($B$3,daily_items,0))),NA(),INDEX(big_daily_table,MATCH(DATE(V$5,$K255,$J255),daily_dates,0),MATCH($B$3,daily_items,0)))</f>
        <v>#N/A</v>
      </c>
      <c r="W255" s="1" t="e">
        <f aca="false">IF(ISBLANK(INDEX(big_daily_table,MATCH(DATE(W$5,$K255,$J255),daily_dates,0),MATCH($B$3,daily_items,0))),NA(),INDEX(big_daily_table,MATCH(DATE(W$5,$K255,$J255),daily_dates,0),MATCH($B$3,daily_items,0)))</f>
        <v>#N/A</v>
      </c>
      <c r="X255" s="1" t="e">
        <f aca="false">IF(ISBLANK(INDEX(big_daily_table,MATCH(DATE(X$5,$K255,$J255),daily_dates,0),MATCH($B$3,daily_items,0))),NA(),INDEX(big_daily_table,MATCH(DATE(X$5,$K255,$J255),daily_dates,0),MATCH($B$3,daily_items,0)))</f>
        <v>#N/A</v>
      </c>
      <c r="Y255" s="1" t="e">
        <f aca="false">IF(ISBLANK(INDEX(big_daily_table,MATCH(DATE(Y$5,$K255,$J255),daily_dates,0),MATCH($B$3,daily_items,0))),NA(),INDEX(big_daily_table,MATCH(DATE(Y$5,$K255,$J255),daily_dates,0),MATCH($B$3,daily_items,0)))</f>
        <v>#N/A</v>
      </c>
      <c r="Z255" s="1" t="e">
        <f aca="false">IF(ISBLANK(INDEX(big_daily_table,MATCH(DATE(Z$5,$K255,$J255),daily_dates,0),MATCH($B$3,daily_items,0))),NA(),INDEX(big_daily_table,MATCH(DATE(Z$5,$K255,$J255),daily_dates,0),MATCH($B$3,daily_items,0)))</f>
        <v>#N/A</v>
      </c>
      <c r="AA255" s="1" t="n">
        <f aca="true">_xlfn.AGGREGATE(5,6,OFFSET($S$5,H255,0,1,$K$2))</f>
        <v>0</v>
      </c>
      <c r="AB255" s="1" t="n">
        <f aca="true">_xlfn.AGGREGATE(4,6,OFFSET($S$5,H255,0,1,$K$2))</f>
        <v>0</v>
      </c>
      <c r="AC255" s="1" t="n">
        <f aca="false">AB255-AA255</f>
        <v>0</v>
      </c>
      <c r="AD255" s="1" t="e">
        <f aca="true">_xlfn.AGGREGATE(1,6,OFFSET($S$5,H255,0,1,$K$2))</f>
        <v>#DIV/0!</v>
      </c>
    </row>
    <row r="256" customFormat="false" ht="14.25" hidden="false" customHeight="false" outlineLevel="0" collapsed="false">
      <c r="H256" s="1" t="n">
        <f aca="false">H255+1</f>
        <v>251</v>
      </c>
      <c r="I256" s="1" t="n">
        <f aca="false">WEEKDAY('daily graphs'!K256)</f>
        <v>5</v>
      </c>
      <c r="J256" s="1" t="n">
        <f aca="false">DAY(L256)</f>
        <v>2</v>
      </c>
      <c r="K256" s="1" t="n">
        <f aca="false">MONTH(L256)</f>
        <v>9</v>
      </c>
      <c r="L256" s="23" t="n">
        <f aca="false">'daily graphs'!K256 - I256</f>
        <v>36771</v>
      </c>
      <c r="M256" s="24" t="n">
        <f aca="true">IF(TODAY()&lt;DATE($O$5,K256,J256),1000000,-1000000)</f>
        <v>-1000000</v>
      </c>
      <c r="N256" s="24" t="e">
        <f aca="false">IF(M256&gt;0,INDEX(big_daily_table,MATCH(DATE(O$5,$K256,$J256),daily_dates,0),MATCH($B$3,daily_items,0)),NA())</f>
        <v>#N/A</v>
      </c>
      <c r="O256" s="1" t="e">
        <f aca="false">IF(M256&lt;0,INDEX(big_daily_table,MATCH(DATE(O$5,$K256,$J256),daily_dates,0),MATCH($B$3,daily_items,0)),NA())</f>
        <v>#N/A</v>
      </c>
      <c r="P256" s="1" t="e">
        <f aca="false">IF(ISBLANK(INDEX(big_daily_table,MATCH(DATE(P$5,$K256,$J256),daily_dates,0),MATCH($B$3,daily_items,0))),NA(),INDEX(big_daily_table,MATCH(DATE(P$5,$K256,$J256),daily_dates,0),MATCH($B$3,daily_items,0)))</f>
        <v>#N/A</v>
      </c>
      <c r="Q256" s="1" t="e">
        <f aca="false">IF(ISBLANK(INDEX(big_daily_table,MATCH(DATE(Q$5,$K256,$J256),daily_dates,0),MATCH($B$3,daily_items,0))),NA(),INDEX(big_daily_table,MATCH(DATE(Q$5,$K256,$J256),daily_dates,0),MATCH($B$3,daily_items,0)))</f>
        <v>#N/A</v>
      </c>
      <c r="R256" s="1" t="e">
        <f aca="false">IF(ISBLANK(INDEX(big_daily_table,MATCH(DATE(R$5,$K256,$J256),daily_dates,0),MATCH($B$3,daily_items,0))),NA(),INDEX(big_daily_table,MATCH(DATE(R$5,$K256,$J256),daily_dates,0),MATCH($B$3,daily_items,0)))</f>
        <v>#N/A</v>
      </c>
      <c r="S256" s="1" t="e">
        <f aca="false">IF(ISBLANK(INDEX(big_daily_table,MATCH(DATE(S$5,$K256,$J256),daily_dates,0),MATCH($B$3,daily_items,0))),NA(),INDEX(big_daily_table,MATCH(DATE(S$5,$K256,$J256),daily_dates,0),MATCH($B$3,daily_items,0)))</f>
        <v>#N/A</v>
      </c>
      <c r="T256" s="1" t="e">
        <f aca="false">IF(ISBLANK(INDEX(big_daily_table,MATCH(DATE(T$5,$K256,$J256),daily_dates,0),MATCH($B$3,daily_items,0))),NA(),INDEX(big_daily_table,MATCH(DATE(T$5,$K256,$J256),daily_dates,0),MATCH($B$3,daily_items,0)))</f>
        <v>#N/A</v>
      </c>
      <c r="U256" s="1" t="e">
        <f aca="false">IF(ISBLANK(INDEX(big_daily_table,MATCH(DATE(U$5,$K256,$J256),daily_dates,0),MATCH($B$3,daily_items,0))),NA(),INDEX(big_daily_table,MATCH(DATE(U$5,$K256,$J256),daily_dates,0),MATCH($B$3,daily_items,0)))</f>
        <v>#N/A</v>
      </c>
      <c r="V256" s="1" t="e">
        <f aca="false">IF(ISBLANK(INDEX(big_daily_table,MATCH(DATE(V$5,$K256,$J256),daily_dates,0),MATCH($B$3,daily_items,0))),NA(),INDEX(big_daily_table,MATCH(DATE(V$5,$K256,$J256),daily_dates,0),MATCH($B$3,daily_items,0)))</f>
        <v>#N/A</v>
      </c>
      <c r="W256" s="1" t="e">
        <f aca="false">IF(ISBLANK(INDEX(big_daily_table,MATCH(DATE(W$5,$K256,$J256),daily_dates,0),MATCH($B$3,daily_items,0))),NA(),INDEX(big_daily_table,MATCH(DATE(W$5,$K256,$J256),daily_dates,0),MATCH($B$3,daily_items,0)))</f>
        <v>#N/A</v>
      </c>
      <c r="X256" s="1" t="e">
        <f aca="false">IF(ISBLANK(INDEX(big_daily_table,MATCH(DATE(X$5,$K256,$J256),daily_dates,0),MATCH($B$3,daily_items,0))),NA(),INDEX(big_daily_table,MATCH(DATE(X$5,$K256,$J256),daily_dates,0),MATCH($B$3,daily_items,0)))</f>
        <v>#N/A</v>
      </c>
      <c r="Y256" s="1" t="e">
        <f aca="false">IF(ISBLANK(INDEX(big_daily_table,MATCH(DATE(Y$5,$K256,$J256),daily_dates,0),MATCH($B$3,daily_items,0))),NA(),INDEX(big_daily_table,MATCH(DATE(Y$5,$K256,$J256),daily_dates,0),MATCH($B$3,daily_items,0)))</f>
        <v>#N/A</v>
      </c>
      <c r="Z256" s="1" t="e">
        <f aca="false">IF(ISBLANK(INDEX(big_daily_table,MATCH(DATE(Z$5,$K256,$J256),daily_dates,0),MATCH($B$3,daily_items,0))),NA(),INDEX(big_daily_table,MATCH(DATE(Z$5,$K256,$J256),daily_dates,0),MATCH($B$3,daily_items,0)))</f>
        <v>#N/A</v>
      </c>
      <c r="AA256" s="1" t="n">
        <f aca="true">_xlfn.AGGREGATE(5,6,OFFSET($S$5,H256,0,1,$K$2))</f>
        <v>0</v>
      </c>
      <c r="AB256" s="1" t="n">
        <f aca="true">_xlfn.AGGREGATE(4,6,OFFSET($S$5,H256,0,1,$K$2))</f>
        <v>0</v>
      </c>
      <c r="AC256" s="1" t="n">
        <f aca="false">AB256-AA256</f>
        <v>0</v>
      </c>
      <c r="AD256" s="1" t="e">
        <f aca="true">_xlfn.AGGREGATE(1,6,OFFSET($S$5,H256,0,1,$K$2))</f>
        <v>#DIV/0!</v>
      </c>
    </row>
    <row r="257" customFormat="false" ht="14.25" hidden="false" customHeight="false" outlineLevel="0" collapsed="false">
      <c r="H257" s="1" t="n">
        <f aca="false">H256+1</f>
        <v>252</v>
      </c>
      <c r="I257" s="1" t="n">
        <f aca="false">WEEKDAY('daily graphs'!K257)</f>
        <v>6</v>
      </c>
      <c r="J257" s="1" t="n">
        <f aca="false">DAY(L257)</f>
        <v>2</v>
      </c>
      <c r="K257" s="1" t="n">
        <f aca="false">MONTH(L257)</f>
        <v>9</v>
      </c>
      <c r="L257" s="23" t="n">
        <f aca="false">'daily graphs'!K257 - I257</f>
        <v>36771</v>
      </c>
      <c r="M257" s="24" t="n">
        <f aca="true">IF(TODAY()&lt;DATE($O$5,K257,J257),1000000,-1000000)</f>
        <v>-1000000</v>
      </c>
      <c r="N257" s="24" t="e">
        <f aca="false">IF(M257&gt;0,INDEX(big_daily_table,MATCH(DATE(O$5,$K257,$J257),daily_dates,0),MATCH($B$3,daily_items,0)),NA())</f>
        <v>#N/A</v>
      </c>
      <c r="O257" s="1" t="e">
        <f aca="false">IF(M257&lt;0,INDEX(big_daily_table,MATCH(DATE(O$5,$K257,$J257),daily_dates,0),MATCH($B$3,daily_items,0)),NA())</f>
        <v>#N/A</v>
      </c>
      <c r="P257" s="1" t="e">
        <f aca="false">IF(ISBLANK(INDEX(big_daily_table,MATCH(DATE(P$5,$K257,$J257),daily_dates,0),MATCH($B$3,daily_items,0))),NA(),INDEX(big_daily_table,MATCH(DATE(P$5,$K257,$J257),daily_dates,0),MATCH($B$3,daily_items,0)))</f>
        <v>#N/A</v>
      </c>
      <c r="Q257" s="1" t="e">
        <f aca="false">IF(ISBLANK(INDEX(big_daily_table,MATCH(DATE(Q$5,$K257,$J257),daily_dates,0),MATCH($B$3,daily_items,0))),NA(),INDEX(big_daily_table,MATCH(DATE(Q$5,$K257,$J257),daily_dates,0),MATCH($B$3,daily_items,0)))</f>
        <v>#N/A</v>
      </c>
      <c r="R257" s="1" t="e">
        <f aca="false">IF(ISBLANK(INDEX(big_daily_table,MATCH(DATE(R$5,$K257,$J257),daily_dates,0),MATCH($B$3,daily_items,0))),NA(),INDEX(big_daily_table,MATCH(DATE(R$5,$K257,$J257),daily_dates,0),MATCH($B$3,daily_items,0)))</f>
        <v>#N/A</v>
      </c>
      <c r="S257" s="1" t="e">
        <f aca="false">IF(ISBLANK(INDEX(big_daily_table,MATCH(DATE(S$5,$K257,$J257),daily_dates,0),MATCH($B$3,daily_items,0))),NA(),INDEX(big_daily_table,MATCH(DATE(S$5,$K257,$J257),daily_dates,0),MATCH($B$3,daily_items,0)))</f>
        <v>#N/A</v>
      </c>
      <c r="T257" s="1" t="e">
        <f aca="false">IF(ISBLANK(INDEX(big_daily_table,MATCH(DATE(T$5,$K257,$J257),daily_dates,0),MATCH($B$3,daily_items,0))),NA(),INDEX(big_daily_table,MATCH(DATE(T$5,$K257,$J257),daily_dates,0),MATCH($B$3,daily_items,0)))</f>
        <v>#N/A</v>
      </c>
      <c r="U257" s="1" t="e">
        <f aca="false">IF(ISBLANK(INDEX(big_daily_table,MATCH(DATE(U$5,$K257,$J257),daily_dates,0),MATCH($B$3,daily_items,0))),NA(),INDEX(big_daily_table,MATCH(DATE(U$5,$K257,$J257),daily_dates,0),MATCH($B$3,daily_items,0)))</f>
        <v>#N/A</v>
      </c>
      <c r="V257" s="1" t="e">
        <f aca="false">IF(ISBLANK(INDEX(big_daily_table,MATCH(DATE(V$5,$K257,$J257),daily_dates,0),MATCH($B$3,daily_items,0))),NA(),INDEX(big_daily_table,MATCH(DATE(V$5,$K257,$J257),daily_dates,0),MATCH($B$3,daily_items,0)))</f>
        <v>#N/A</v>
      </c>
      <c r="W257" s="1" t="e">
        <f aca="false">IF(ISBLANK(INDEX(big_daily_table,MATCH(DATE(W$5,$K257,$J257),daily_dates,0),MATCH($B$3,daily_items,0))),NA(),INDEX(big_daily_table,MATCH(DATE(W$5,$K257,$J257),daily_dates,0),MATCH($B$3,daily_items,0)))</f>
        <v>#N/A</v>
      </c>
      <c r="X257" s="1" t="e">
        <f aca="false">IF(ISBLANK(INDEX(big_daily_table,MATCH(DATE(X$5,$K257,$J257),daily_dates,0),MATCH($B$3,daily_items,0))),NA(),INDEX(big_daily_table,MATCH(DATE(X$5,$K257,$J257),daily_dates,0),MATCH($B$3,daily_items,0)))</f>
        <v>#N/A</v>
      </c>
      <c r="Y257" s="1" t="e">
        <f aca="false">IF(ISBLANK(INDEX(big_daily_table,MATCH(DATE(Y$5,$K257,$J257),daily_dates,0),MATCH($B$3,daily_items,0))),NA(),INDEX(big_daily_table,MATCH(DATE(Y$5,$K257,$J257),daily_dates,0),MATCH($B$3,daily_items,0)))</f>
        <v>#N/A</v>
      </c>
      <c r="Z257" s="1" t="e">
        <f aca="false">IF(ISBLANK(INDEX(big_daily_table,MATCH(DATE(Z$5,$K257,$J257),daily_dates,0),MATCH($B$3,daily_items,0))),NA(),INDEX(big_daily_table,MATCH(DATE(Z$5,$K257,$J257),daily_dates,0),MATCH($B$3,daily_items,0)))</f>
        <v>#N/A</v>
      </c>
      <c r="AA257" s="1" t="n">
        <f aca="true">_xlfn.AGGREGATE(5,6,OFFSET($S$5,H257,0,1,$K$2))</f>
        <v>0</v>
      </c>
      <c r="AB257" s="1" t="n">
        <f aca="true">_xlfn.AGGREGATE(4,6,OFFSET($S$5,H257,0,1,$K$2))</f>
        <v>0</v>
      </c>
      <c r="AC257" s="1" t="n">
        <f aca="false">AB257-AA257</f>
        <v>0</v>
      </c>
      <c r="AD257" s="1" t="e">
        <f aca="true">_xlfn.AGGREGATE(1,6,OFFSET($S$5,H257,0,1,$K$2))</f>
        <v>#DIV/0!</v>
      </c>
    </row>
    <row r="258" customFormat="false" ht="14.25" hidden="false" customHeight="false" outlineLevel="0" collapsed="false">
      <c r="H258" s="1" t="n">
        <f aca="false">H257+1</f>
        <v>253</v>
      </c>
      <c r="I258" s="1" t="n">
        <f aca="false">WEEKDAY('daily graphs'!K258)</f>
        <v>7</v>
      </c>
      <c r="J258" s="1" t="n">
        <f aca="false">DAY(L258)</f>
        <v>2</v>
      </c>
      <c r="K258" s="1" t="n">
        <f aca="false">MONTH(L258)</f>
        <v>9</v>
      </c>
      <c r="L258" s="23" t="n">
        <f aca="false">'daily graphs'!K258 - I258</f>
        <v>36771</v>
      </c>
      <c r="M258" s="24" t="n">
        <f aca="true">IF(TODAY()&lt;DATE($O$5,K258,J258),1000000,-1000000)</f>
        <v>-1000000</v>
      </c>
      <c r="N258" s="24" t="e">
        <f aca="false">IF(M258&gt;0,INDEX(big_daily_table,MATCH(DATE(O$5,$K258,$J258),daily_dates,0),MATCH($B$3,daily_items,0)),NA())</f>
        <v>#N/A</v>
      </c>
      <c r="O258" s="1" t="e">
        <f aca="false">IF(M258&lt;0,INDEX(big_daily_table,MATCH(DATE(O$5,$K258,$J258),daily_dates,0),MATCH($B$3,daily_items,0)),NA())</f>
        <v>#N/A</v>
      </c>
      <c r="P258" s="1" t="e">
        <f aca="false">IF(ISBLANK(INDEX(big_daily_table,MATCH(DATE(P$5,$K258,$J258),daily_dates,0),MATCH($B$3,daily_items,0))),NA(),INDEX(big_daily_table,MATCH(DATE(P$5,$K258,$J258),daily_dates,0),MATCH($B$3,daily_items,0)))</f>
        <v>#N/A</v>
      </c>
      <c r="Q258" s="1" t="e">
        <f aca="false">IF(ISBLANK(INDEX(big_daily_table,MATCH(DATE(Q$5,$K258,$J258),daily_dates,0),MATCH($B$3,daily_items,0))),NA(),INDEX(big_daily_table,MATCH(DATE(Q$5,$K258,$J258),daily_dates,0),MATCH($B$3,daily_items,0)))</f>
        <v>#N/A</v>
      </c>
      <c r="R258" s="1" t="e">
        <f aca="false">IF(ISBLANK(INDEX(big_daily_table,MATCH(DATE(R$5,$K258,$J258),daily_dates,0),MATCH($B$3,daily_items,0))),NA(),INDEX(big_daily_table,MATCH(DATE(R$5,$K258,$J258),daily_dates,0),MATCH($B$3,daily_items,0)))</f>
        <v>#N/A</v>
      </c>
      <c r="S258" s="1" t="e">
        <f aca="false">IF(ISBLANK(INDEX(big_daily_table,MATCH(DATE(S$5,$K258,$J258),daily_dates,0),MATCH($B$3,daily_items,0))),NA(),INDEX(big_daily_table,MATCH(DATE(S$5,$K258,$J258),daily_dates,0),MATCH($B$3,daily_items,0)))</f>
        <v>#N/A</v>
      </c>
      <c r="T258" s="1" t="e">
        <f aca="false">IF(ISBLANK(INDEX(big_daily_table,MATCH(DATE(T$5,$K258,$J258),daily_dates,0),MATCH($B$3,daily_items,0))),NA(),INDEX(big_daily_table,MATCH(DATE(T$5,$K258,$J258),daily_dates,0),MATCH($B$3,daily_items,0)))</f>
        <v>#N/A</v>
      </c>
      <c r="U258" s="1" t="e">
        <f aca="false">IF(ISBLANK(INDEX(big_daily_table,MATCH(DATE(U$5,$K258,$J258),daily_dates,0),MATCH($B$3,daily_items,0))),NA(),INDEX(big_daily_table,MATCH(DATE(U$5,$K258,$J258),daily_dates,0),MATCH($B$3,daily_items,0)))</f>
        <v>#N/A</v>
      </c>
      <c r="V258" s="1" t="e">
        <f aca="false">IF(ISBLANK(INDEX(big_daily_table,MATCH(DATE(V$5,$K258,$J258),daily_dates,0),MATCH($B$3,daily_items,0))),NA(),INDEX(big_daily_table,MATCH(DATE(V$5,$K258,$J258),daily_dates,0),MATCH($B$3,daily_items,0)))</f>
        <v>#N/A</v>
      </c>
      <c r="W258" s="1" t="e">
        <f aca="false">IF(ISBLANK(INDEX(big_daily_table,MATCH(DATE(W$5,$K258,$J258),daily_dates,0),MATCH($B$3,daily_items,0))),NA(),INDEX(big_daily_table,MATCH(DATE(W$5,$K258,$J258),daily_dates,0),MATCH($B$3,daily_items,0)))</f>
        <v>#N/A</v>
      </c>
      <c r="X258" s="1" t="e">
        <f aca="false">IF(ISBLANK(INDEX(big_daily_table,MATCH(DATE(X$5,$K258,$J258),daily_dates,0),MATCH($B$3,daily_items,0))),NA(),INDEX(big_daily_table,MATCH(DATE(X$5,$K258,$J258),daily_dates,0),MATCH($B$3,daily_items,0)))</f>
        <v>#N/A</v>
      </c>
      <c r="Y258" s="1" t="e">
        <f aca="false">IF(ISBLANK(INDEX(big_daily_table,MATCH(DATE(Y$5,$K258,$J258),daily_dates,0),MATCH($B$3,daily_items,0))),NA(),INDEX(big_daily_table,MATCH(DATE(Y$5,$K258,$J258),daily_dates,0),MATCH($B$3,daily_items,0)))</f>
        <v>#N/A</v>
      </c>
      <c r="Z258" s="1" t="e">
        <f aca="false">IF(ISBLANK(INDEX(big_daily_table,MATCH(DATE(Z$5,$K258,$J258),daily_dates,0),MATCH($B$3,daily_items,0))),NA(),INDEX(big_daily_table,MATCH(DATE(Z$5,$K258,$J258),daily_dates,0),MATCH($B$3,daily_items,0)))</f>
        <v>#N/A</v>
      </c>
      <c r="AA258" s="1" t="n">
        <f aca="true">_xlfn.AGGREGATE(5,6,OFFSET($S$5,H258,0,1,$K$2))</f>
        <v>0</v>
      </c>
      <c r="AB258" s="1" t="n">
        <f aca="true">_xlfn.AGGREGATE(4,6,OFFSET($S$5,H258,0,1,$K$2))</f>
        <v>0</v>
      </c>
      <c r="AC258" s="1" t="n">
        <f aca="false">AB258-AA258</f>
        <v>0</v>
      </c>
      <c r="AD258" s="1" t="e">
        <f aca="true">_xlfn.AGGREGATE(1,6,OFFSET($S$5,H258,0,1,$K$2))</f>
        <v>#DIV/0!</v>
      </c>
    </row>
    <row r="259" customFormat="false" ht="14.25" hidden="false" customHeight="false" outlineLevel="0" collapsed="false">
      <c r="H259" s="1" t="n">
        <f aca="false">H258+1</f>
        <v>254</v>
      </c>
      <c r="I259" s="1" t="n">
        <f aca="false">WEEKDAY('daily graphs'!K259)</f>
        <v>1</v>
      </c>
      <c r="J259" s="1" t="n">
        <f aca="false">DAY(L259)</f>
        <v>9</v>
      </c>
      <c r="K259" s="1" t="n">
        <f aca="false">MONTH(L259)</f>
        <v>9</v>
      </c>
      <c r="L259" s="23" t="n">
        <f aca="false">'daily graphs'!K259 - I259</f>
        <v>36778</v>
      </c>
      <c r="M259" s="24" t="n">
        <f aca="true">IF(TODAY()&lt;DATE($O$5,K259,J259),1000000,-1000000)</f>
        <v>-1000000</v>
      </c>
      <c r="N259" s="24" t="e">
        <f aca="false">IF(M259&gt;0,INDEX(big_daily_table,MATCH(DATE(O$5,$K259,$J259),daily_dates,0),MATCH($B$3,daily_items,0)),NA())</f>
        <v>#N/A</v>
      </c>
      <c r="O259" s="1" t="e">
        <f aca="false">IF(M259&lt;0,INDEX(big_daily_table,MATCH(DATE(O$5,$K259,$J259),daily_dates,0),MATCH($B$3,daily_items,0)),NA())</f>
        <v>#N/A</v>
      </c>
      <c r="P259" s="1" t="e">
        <f aca="false">IF(ISBLANK(INDEX(big_daily_table,MATCH(DATE(P$5,$K259,$J259),daily_dates,0),MATCH($B$3,daily_items,0))),NA(),INDEX(big_daily_table,MATCH(DATE(P$5,$K259,$J259),daily_dates,0),MATCH($B$3,daily_items,0)))</f>
        <v>#N/A</v>
      </c>
      <c r="Q259" s="1" t="e">
        <f aca="false">IF(ISBLANK(INDEX(big_daily_table,MATCH(DATE(Q$5,$K259,$J259),daily_dates,0),MATCH($B$3,daily_items,0))),NA(),INDEX(big_daily_table,MATCH(DATE(Q$5,$K259,$J259),daily_dates,0),MATCH($B$3,daily_items,0)))</f>
        <v>#N/A</v>
      </c>
      <c r="R259" s="1" t="e">
        <f aca="false">IF(ISBLANK(INDEX(big_daily_table,MATCH(DATE(R$5,$K259,$J259),daily_dates,0),MATCH($B$3,daily_items,0))),NA(),INDEX(big_daily_table,MATCH(DATE(R$5,$K259,$J259),daily_dates,0),MATCH($B$3,daily_items,0)))</f>
        <v>#N/A</v>
      </c>
      <c r="S259" s="1" t="e">
        <f aca="false">IF(ISBLANK(INDEX(big_daily_table,MATCH(DATE(S$5,$K259,$J259),daily_dates,0),MATCH($B$3,daily_items,0))),NA(),INDEX(big_daily_table,MATCH(DATE(S$5,$K259,$J259),daily_dates,0),MATCH($B$3,daily_items,0)))</f>
        <v>#N/A</v>
      </c>
      <c r="T259" s="1" t="e">
        <f aca="false">IF(ISBLANK(INDEX(big_daily_table,MATCH(DATE(T$5,$K259,$J259),daily_dates,0),MATCH($B$3,daily_items,0))),NA(),INDEX(big_daily_table,MATCH(DATE(T$5,$K259,$J259),daily_dates,0),MATCH($B$3,daily_items,0)))</f>
        <v>#N/A</v>
      </c>
      <c r="U259" s="1" t="e">
        <f aca="false">IF(ISBLANK(INDEX(big_daily_table,MATCH(DATE(U$5,$K259,$J259),daily_dates,0),MATCH($B$3,daily_items,0))),NA(),INDEX(big_daily_table,MATCH(DATE(U$5,$K259,$J259),daily_dates,0),MATCH($B$3,daily_items,0)))</f>
        <v>#N/A</v>
      </c>
      <c r="V259" s="1" t="e">
        <f aca="false">IF(ISBLANK(INDEX(big_daily_table,MATCH(DATE(V$5,$K259,$J259),daily_dates,0),MATCH($B$3,daily_items,0))),NA(),INDEX(big_daily_table,MATCH(DATE(V$5,$K259,$J259),daily_dates,0),MATCH($B$3,daily_items,0)))</f>
        <v>#N/A</v>
      </c>
      <c r="W259" s="1" t="e">
        <f aca="false">IF(ISBLANK(INDEX(big_daily_table,MATCH(DATE(W$5,$K259,$J259),daily_dates,0),MATCH($B$3,daily_items,0))),NA(),INDEX(big_daily_table,MATCH(DATE(W$5,$K259,$J259),daily_dates,0),MATCH($B$3,daily_items,0)))</f>
        <v>#N/A</v>
      </c>
      <c r="X259" s="1" t="e">
        <f aca="false">IF(ISBLANK(INDEX(big_daily_table,MATCH(DATE(X$5,$K259,$J259),daily_dates,0),MATCH($B$3,daily_items,0))),NA(),INDEX(big_daily_table,MATCH(DATE(X$5,$K259,$J259),daily_dates,0),MATCH($B$3,daily_items,0)))</f>
        <v>#N/A</v>
      </c>
      <c r="Y259" s="1" t="e">
        <f aca="false">IF(ISBLANK(INDEX(big_daily_table,MATCH(DATE(Y$5,$K259,$J259),daily_dates,0),MATCH($B$3,daily_items,0))),NA(),INDEX(big_daily_table,MATCH(DATE(Y$5,$K259,$J259),daily_dates,0),MATCH($B$3,daily_items,0)))</f>
        <v>#N/A</v>
      </c>
      <c r="Z259" s="1" t="e">
        <f aca="false">IF(ISBLANK(INDEX(big_daily_table,MATCH(DATE(Z$5,$K259,$J259),daily_dates,0),MATCH($B$3,daily_items,0))),NA(),INDEX(big_daily_table,MATCH(DATE(Z$5,$K259,$J259),daily_dates,0),MATCH($B$3,daily_items,0)))</f>
        <v>#N/A</v>
      </c>
      <c r="AA259" s="1" t="n">
        <f aca="true">_xlfn.AGGREGATE(5,6,OFFSET($S$5,H259,0,1,$K$2))</f>
        <v>0</v>
      </c>
      <c r="AB259" s="1" t="n">
        <f aca="true">_xlfn.AGGREGATE(4,6,OFFSET($S$5,H259,0,1,$K$2))</f>
        <v>0</v>
      </c>
      <c r="AC259" s="1" t="n">
        <f aca="false">AB259-AA259</f>
        <v>0</v>
      </c>
      <c r="AD259" s="1" t="e">
        <f aca="true">_xlfn.AGGREGATE(1,6,OFFSET($S$5,H259,0,1,$K$2))</f>
        <v>#DIV/0!</v>
      </c>
    </row>
    <row r="260" customFormat="false" ht="14.25" hidden="false" customHeight="false" outlineLevel="0" collapsed="false">
      <c r="H260" s="1" t="n">
        <f aca="false">H259+1</f>
        <v>255</v>
      </c>
      <c r="I260" s="1" t="n">
        <f aca="false">WEEKDAY('daily graphs'!K260)</f>
        <v>2</v>
      </c>
      <c r="J260" s="1" t="n">
        <f aca="false">DAY(L260)</f>
        <v>9</v>
      </c>
      <c r="K260" s="1" t="n">
        <f aca="false">MONTH(L260)</f>
        <v>9</v>
      </c>
      <c r="L260" s="23" t="n">
        <f aca="false">'daily graphs'!K260 - I260</f>
        <v>36778</v>
      </c>
      <c r="M260" s="24" t="n">
        <f aca="true">IF(TODAY()&lt;DATE($O$5,K260,J260),1000000,-1000000)</f>
        <v>-1000000</v>
      </c>
      <c r="N260" s="24" t="e">
        <f aca="false">IF(M260&gt;0,INDEX(big_daily_table,MATCH(DATE(O$5,$K260,$J260),daily_dates,0),MATCH($B$3,daily_items,0)),NA())</f>
        <v>#N/A</v>
      </c>
      <c r="O260" s="1" t="e">
        <f aca="false">IF(M260&lt;0,INDEX(big_daily_table,MATCH(DATE(O$5,$K260,$J260),daily_dates,0),MATCH($B$3,daily_items,0)),NA())</f>
        <v>#N/A</v>
      </c>
      <c r="P260" s="1" t="e">
        <f aca="false">IF(ISBLANK(INDEX(big_daily_table,MATCH(DATE(P$5,$K260,$J260),daily_dates,0),MATCH($B$3,daily_items,0))),NA(),INDEX(big_daily_table,MATCH(DATE(P$5,$K260,$J260),daily_dates,0),MATCH($B$3,daily_items,0)))</f>
        <v>#N/A</v>
      </c>
      <c r="Q260" s="1" t="e">
        <f aca="false">IF(ISBLANK(INDEX(big_daily_table,MATCH(DATE(Q$5,$K260,$J260),daily_dates,0),MATCH($B$3,daily_items,0))),NA(),INDEX(big_daily_table,MATCH(DATE(Q$5,$K260,$J260),daily_dates,0),MATCH($B$3,daily_items,0)))</f>
        <v>#N/A</v>
      </c>
      <c r="R260" s="1" t="e">
        <f aca="false">IF(ISBLANK(INDEX(big_daily_table,MATCH(DATE(R$5,$K260,$J260),daily_dates,0),MATCH($B$3,daily_items,0))),NA(),INDEX(big_daily_table,MATCH(DATE(R$5,$K260,$J260),daily_dates,0),MATCH($B$3,daily_items,0)))</f>
        <v>#N/A</v>
      </c>
      <c r="S260" s="1" t="e">
        <f aca="false">IF(ISBLANK(INDEX(big_daily_table,MATCH(DATE(S$5,$K260,$J260),daily_dates,0),MATCH($B$3,daily_items,0))),NA(),INDEX(big_daily_table,MATCH(DATE(S$5,$K260,$J260),daily_dates,0),MATCH($B$3,daily_items,0)))</f>
        <v>#N/A</v>
      </c>
      <c r="T260" s="1" t="e">
        <f aca="false">IF(ISBLANK(INDEX(big_daily_table,MATCH(DATE(T$5,$K260,$J260),daily_dates,0),MATCH($B$3,daily_items,0))),NA(),INDEX(big_daily_table,MATCH(DATE(T$5,$K260,$J260),daily_dates,0),MATCH($B$3,daily_items,0)))</f>
        <v>#N/A</v>
      </c>
      <c r="U260" s="1" t="e">
        <f aca="false">IF(ISBLANK(INDEX(big_daily_table,MATCH(DATE(U$5,$K260,$J260),daily_dates,0),MATCH($B$3,daily_items,0))),NA(),INDEX(big_daily_table,MATCH(DATE(U$5,$K260,$J260),daily_dates,0),MATCH($B$3,daily_items,0)))</f>
        <v>#N/A</v>
      </c>
      <c r="V260" s="1" t="e">
        <f aca="false">IF(ISBLANK(INDEX(big_daily_table,MATCH(DATE(V$5,$K260,$J260),daily_dates,0),MATCH($B$3,daily_items,0))),NA(),INDEX(big_daily_table,MATCH(DATE(V$5,$K260,$J260),daily_dates,0),MATCH($B$3,daily_items,0)))</f>
        <v>#N/A</v>
      </c>
      <c r="W260" s="1" t="e">
        <f aca="false">IF(ISBLANK(INDEX(big_daily_table,MATCH(DATE(W$5,$K260,$J260),daily_dates,0),MATCH($B$3,daily_items,0))),NA(),INDEX(big_daily_table,MATCH(DATE(W$5,$K260,$J260),daily_dates,0),MATCH($B$3,daily_items,0)))</f>
        <v>#N/A</v>
      </c>
      <c r="X260" s="1" t="e">
        <f aca="false">IF(ISBLANK(INDEX(big_daily_table,MATCH(DATE(X$5,$K260,$J260),daily_dates,0),MATCH($B$3,daily_items,0))),NA(),INDEX(big_daily_table,MATCH(DATE(X$5,$K260,$J260),daily_dates,0),MATCH($B$3,daily_items,0)))</f>
        <v>#N/A</v>
      </c>
      <c r="Y260" s="1" t="e">
        <f aca="false">IF(ISBLANK(INDEX(big_daily_table,MATCH(DATE(Y$5,$K260,$J260),daily_dates,0),MATCH($B$3,daily_items,0))),NA(),INDEX(big_daily_table,MATCH(DATE(Y$5,$K260,$J260),daily_dates,0),MATCH($B$3,daily_items,0)))</f>
        <v>#N/A</v>
      </c>
      <c r="Z260" s="1" t="e">
        <f aca="false">IF(ISBLANK(INDEX(big_daily_table,MATCH(DATE(Z$5,$K260,$J260),daily_dates,0),MATCH($B$3,daily_items,0))),NA(),INDEX(big_daily_table,MATCH(DATE(Z$5,$K260,$J260),daily_dates,0),MATCH($B$3,daily_items,0)))</f>
        <v>#N/A</v>
      </c>
      <c r="AA260" s="1" t="n">
        <f aca="true">_xlfn.AGGREGATE(5,6,OFFSET($S$5,H260,0,1,$K$2))</f>
        <v>0</v>
      </c>
      <c r="AB260" s="1" t="n">
        <f aca="true">_xlfn.AGGREGATE(4,6,OFFSET($S$5,H260,0,1,$K$2))</f>
        <v>0</v>
      </c>
      <c r="AC260" s="1" t="n">
        <f aca="false">AB260-AA260</f>
        <v>0</v>
      </c>
      <c r="AD260" s="1" t="e">
        <f aca="true">_xlfn.AGGREGATE(1,6,OFFSET($S$5,H260,0,1,$K$2))</f>
        <v>#DIV/0!</v>
      </c>
    </row>
    <row r="261" customFormat="false" ht="14.25" hidden="false" customHeight="false" outlineLevel="0" collapsed="false">
      <c r="H261" s="1" t="n">
        <f aca="false">H260+1</f>
        <v>256</v>
      </c>
      <c r="I261" s="1" t="n">
        <f aca="false">WEEKDAY('daily graphs'!K261)</f>
        <v>3</v>
      </c>
      <c r="J261" s="1" t="n">
        <f aca="false">DAY(L261)</f>
        <v>9</v>
      </c>
      <c r="K261" s="1" t="n">
        <f aca="false">MONTH(L261)</f>
        <v>9</v>
      </c>
      <c r="L261" s="23" t="n">
        <f aca="false">'daily graphs'!K261 - I261</f>
        <v>36778</v>
      </c>
      <c r="M261" s="24" t="n">
        <f aca="true">IF(TODAY()&lt;DATE($O$5,K261,J261),1000000,-1000000)</f>
        <v>-1000000</v>
      </c>
      <c r="N261" s="24" t="e">
        <f aca="false">IF(M261&gt;0,INDEX(big_daily_table,MATCH(DATE(O$5,$K261,$J261),daily_dates,0),MATCH($B$3,daily_items,0)),NA())</f>
        <v>#N/A</v>
      </c>
      <c r="O261" s="1" t="e">
        <f aca="false">IF(M261&lt;0,INDEX(big_daily_table,MATCH(DATE(O$5,$K261,$J261),daily_dates,0),MATCH($B$3,daily_items,0)),NA())</f>
        <v>#N/A</v>
      </c>
      <c r="P261" s="1" t="e">
        <f aca="false">IF(ISBLANK(INDEX(big_daily_table,MATCH(DATE(P$5,$K261,$J261),daily_dates,0),MATCH($B$3,daily_items,0))),NA(),INDEX(big_daily_table,MATCH(DATE(P$5,$K261,$J261),daily_dates,0),MATCH($B$3,daily_items,0)))</f>
        <v>#N/A</v>
      </c>
      <c r="Q261" s="1" t="e">
        <f aca="false">IF(ISBLANK(INDEX(big_daily_table,MATCH(DATE(Q$5,$K261,$J261),daily_dates,0),MATCH($B$3,daily_items,0))),NA(),INDEX(big_daily_table,MATCH(DATE(Q$5,$K261,$J261),daily_dates,0),MATCH($B$3,daily_items,0)))</f>
        <v>#N/A</v>
      </c>
      <c r="R261" s="1" t="e">
        <f aca="false">IF(ISBLANK(INDEX(big_daily_table,MATCH(DATE(R$5,$K261,$J261),daily_dates,0),MATCH($B$3,daily_items,0))),NA(),INDEX(big_daily_table,MATCH(DATE(R$5,$K261,$J261),daily_dates,0),MATCH($B$3,daily_items,0)))</f>
        <v>#N/A</v>
      </c>
      <c r="S261" s="1" t="e">
        <f aca="false">IF(ISBLANK(INDEX(big_daily_table,MATCH(DATE(S$5,$K261,$J261),daily_dates,0),MATCH($B$3,daily_items,0))),NA(),INDEX(big_daily_table,MATCH(DATE(S$5,$K261,$J261),daily_dates,0),MATCH($B$3,daily_items,0)))</f>
        <v>#N/A</v>
      </c>
      <c r="T261" s="1" t="e">
        <f aca="false">IF(ISBLANK(INDEX(big_daily_table,MATCH(DATE(T$5,$K261,$J261),daily_dates,0),MATCH($B$3,daily_items,0))),NA(),INDEX(big_daily_table,MATCH(DATE(T$5,$K261,$J261),daily_dates,0),MATCH($B$3,daily_items,0)))</f>
        <v>#N/A</v>
      </c>
      <c r="U261" s="1" t="e">
        <f aca="false">IF(ISBLANK(INDEX(big_daily_table,MATCH(DATE(U$5,$K261,$J261),daily_dates,0),MATCH($B$3,daily_items,0))),NA(),INDEX(big_daily_table,MATCH(DATE(U$5,$K261,$J261),daily_dates,0),MATCH($B$3,daily_items,0)))</f>
        <v>#N/A</v>
      </c>
      <c r="V261" s="1" t="e">
        <f aca="false">IF(ISBLANK(INDEX(big_daily_table,MATCH(DATE(V$5,$K261,$J261),daily_dates,0),MATCH($B$3,daily_items,0))),NA(),INDEX(big_daily_table,MATCH(DATE(V$5,$K261,$J261),daily_dates,0),MATCH($B$3,daily_items,0)))</f>
        <v>#N/A</v>
      </c>
      <c r="W261" s="1" t="e">
        <f aca="false">IF(ISBLANK(INDEX(big_daily_table,MATCH(DATE(W$5,$K261,$J261),daily_dates,0),MATCH($B$3,daily_items,0))),NA(),INDEX(big_daily_table,MATCH(DATE(W$5,$K261,$J261),daily_dates,0),MATCH($B$3,daily_items,0)))</f>
        <v>#N/A</v>
      </c>
      <c r="X261" s="1" t="e">
        <f aca="false">IF(ISBLANK(INDEX(big_daily_table,MATCH(DATE(X$5,$K261,$J261),daily_dates,0),MATCH($B$3,daily_items,0))),NA(),INDEX(big_daily_table,MATCH(DATE(X$5,$K261,$J261),daily_dates,0),MATCH($B$3,daily_items,0)))</f>
        <v>#N/A</v>
      </c>
      <c r="Y261" s="1" t="e">
        <f aca="false">IF(ISBLANK(INDEX(big_daily_table,MATCH(DATE(Y$5,$K261,$J261),daily_dates,0),MATCH($B$3,daily_items,0))),NA(),INDEX(big_daily_table,MATCH(DATE(Y$5,$K261,$J261),daily_dates,0),MATCH($B$3,daily_items,0)))</f>
        <v>#N/A</v>
      </c>
      <c r="Z261" s="1" t="e">
        <f aca="false">IF(ISBLANK(INDEX(big_daily_table,MATCH(DATE(Z$5,$K261,$J261),daily_dates,0),MATCH($B$3,daily_items,0))),NA(),INDEX(big_daily_table,MATCH(DATE(Z$5,$K261,$J261),daily_dates,0),MATCH($B$3,daily_items,0)))</f>
        <v>#N/A</v>
      </c>
      <c r="AA261" s="1" t="n">
        <f aca="true">_xlfn.AGGREGATE(5,6,OFFSET($S$5,H261,0,1,$K$2))</f>
        <v>0</v>
      </c>
      <c r="AB261" s="1" t="n">
        <f aca="true">_xlfn.AGGREGATE(4,6,OFFSET($S$5,H261,0,1,$K$2))</f>
        <v>0</v>
      </c>
      <c r="AC261" s="1" t="n">
        <f aca="false">AB261-AA261</f>
        <v>0</v>
      </c>
      <c r="AD261" s="1" t="e">
        <f aca="true">_xlfn.AGGREGATE(1,6,OFFSET($S$5,H261,0,1,$K$2))</f>
        <v>#DIV/0!</v>
      </c>
    </row>
    <row r="262" customFormat="false" ht="14.25" hidden="false" customHeight="false" outlineLevel="0" collapsed="false">
      <c r="H262" s="1" t="n">
        <f aca="false">H261+1</f>
        <v>257</v>
      </c>
      <c r="I262" s="1" t="n">
        <f aca="false">WEEKDAY('daily graphs'!K262)</f>
        <v>4</v>
      </c>
      <c r="J262" s="1" t="n">
        <f aca="false">DAY(L262)</f>
        <v>9</v>
      </c>
      <c r="K262" s="1" t="n">
        <f aca="false">MONTH(L262)</f>
        <v>9</v>
      </c>
      <c r="L262" s="23" t="n">
        <f aca="false">'daily graphs'!K262 - I262</f>
        <v>36778</v>
      </c>
      <c r="M262" s="24" t="n">
        <f aca="true">IF(TODAY()&lt;DATE($O$5,K262,J262),1000000,-1000000)</f>
        <v>-1000000</v>
      </c>
      <c r="N262" s="24" t="e">
        <f aca="false">IF(M262&gt;0,INDEX(big_daily_table,MATCH(DATE(O$5,$K262,$J262),daily_dates,0),MATCH($B$3,daily_items,0)),NA())</f>
        <v>#N/A</v>
      </c>
      <c r="O262" s="1" t="e">
        <f aca="false">IF(M262&lt;0,INDEX(big_daily_table,MATCH(DATE(O$5,$K262,$J262),daily_dates,0),MATCH($B$3,daily_items,0)),NA())</f>
        <v>#N/A</v>
      </c>
      <c r="P262" s="1" t="e">
        <f aca="false">IF(ISBLANK(INDEX(big_daily_table,MATCH(DATE(P$5,$K262,$J262),daily_dates,0),MATCH($B$3,daily_items,0))),NA(),INDEX(big_daily_table,MATCH(DATE(P$5,$K262,$J262),daily_dates,0),MATCH($B$3,daily_items,0)))</f>
        <v>#N/A</v>
      </c>
      <c r="Q262" s="1" t="e">
        <f aca="false">IF(ISBLANK(INDEX(big_daily_table,MATCH(DATE(Q$5,$K262,$J262),daily_dates,0),MATCH($B$3,daily_items,0))),NA(),INDEX(big_daily_table,MATCH(DATE(Q$5,$K262,$J262),daily_dates,0),MATCH($B$3,daily_items,0)))</f>
        <v>#N/A</v>
      </c>
      <c r="R262" s="1" t="e">
        <f aca="false">IF(ISBLANK(INDEX(big_daily_table,MATCH(DATE(R$5,$K262,$J262),daily_dates,0),MATCH($B$3,daily_items,0))),NA(),INDEX(big_daily_table,MATCH(DATE(R$5,$K262,$J262),daily_dates,0),MATCH($B$3,daily_items,0)))</f>
        <v>#N/A</v>
      </c>
      <c r="S262" s="1" t="e">
        <f aca="false">IF(ISBLANK(INDEX(big_daily_table,MATCH(DATE(S$5,$K262,$J262),daily_dates,0),MATCH($B$3,daily_items,0))),NA(),INDEX(big_daily_table,MATCH(DATE(S$5,$K262,$J262),daily_dates,0),MATCH($B$3,daily_items,0)))</f>
        <v>#N/A</v>
      </c>
      <c r="T262" s="1" t="e">
        <f aca="false">IF(ISBLANK(INDEX(big_daily_table,MATCH(DATE(T$5,$K262,$J262),daily_dates,0),MATCH($B$3,daily_items,0))),NA(),INDEX(big_daily_table,MATCH(DATE(T$5,$K262,$J262),daily_dates,0),MATCH($B$3,daily_items,0)))</f>
        <v>#N/A</v>
      </c>
      <c r="U262" s="1" t="e">
        <f aca="false">IF(ISBLANK(INDEX(big_daily_table,MATCH(DATE(U$5,$K262,$J262),daily_dates,0),MATCH($B$3,daily_items,0))),NA(),INDEX(big_daily_table,MATCH(DATE(U$5,$K262,$J262),daily_dates,0),MATCH($B$3,daily_items,0)))</f>
        <v>#N/A</v>
      </c>
      <c r="V262" s="1" t="e">
        <f aca="false">IF(ISBLANK(INDEX(big_daily_table,MATCH(DATE(V$5,$K262,$J262),daily_dates,0),MATCH($B$3,daily_items,0))),NA(),INDEX(big_daily_table,MATCH(DATE(V$5,$K262,$J262),daily_dates,0),MATCH($B$3,daily_items,0)))</f>
        <v>#N/A</v>
      </c>
      <c r="W262" s="1" t="e">
        <f aca="false">IF(ISBLANK(INDEX(big_daily_table,MATCH(DATE(W$5,$K262,$J262),daily_dates,0),MATCH($B$3,daily_items,0))),NA(),INDEX(big_daily_table,MATCH(DATE(W$5,$K262,$J262),daily_dates,0),MATCH($B$3,daily_items,0)))</f>
        <v>#N/A</v>
      </c>
      <c r="X262" s="1" t="e">
        <f aca="false">IF(ISBLANK(INDEX(big_daily_table,MATCH(DATE(X$5,$K262,$J262),daily_dates,0),MATCH($B$3,daily_items,0))),NA(),INDEX(big_daily_table,MATCH(DATE(X$5,$K262,$J262),daily_dates,0),MATCH($B$3,daily_items,0)))</f>
        <v>#N/A</v>
      </c>
      <c r="Y262" s="1" t="e">
        <f aca="false">IF(ISBLANK(INDEX(big_daily_table,MATCH(DATE(Y$5,$K262,$J262),daily_dates,0),MATCH($B$3,daily_items,0))),NA(),INDEX(big_daily_table,MATCH(DATE(Y$5,$K262,$J262),daily_dates,0),MATCH($B$3,daily_items,0)))</f>
        <v>#N/A</v>
      </c>
      <c r="Z262" s="1" t="e">
        <f aca="false">IF(ISBLANK(INDEX(big_daily_table,MATCH(DATE(Z$5,$K262,$J262),daily_dates,0),MATCH($B$3,daily_items,0))),NA(),INDEX(big_daily_table,MATCH(DATE(Z$5,$K262,$J262),daily_dates,0),MATCH($B$3,daily_items,0)))</f>
        <v>#N/A</v>
      </c>
      <c r="AA262" s="1" t="n">
        <f aca="true">_xlfn.AGGREGATE(5,6,OFFSET($S$5,H262,0,1,$K$2))</f>
        <v>0</v>
      </c>
      <c r="AB262" s="1" t="n">
        <f aca="true">_xlfn.AGGREGATE(4,6,OFFSET($S$5,H262,0,1,$K$2))</f>
        <v>0</v>
      </c>
      <c r="AC262" s="1" t="n">
        <f aca="false">AB262-AA262</f>
        <v>0</v>
      </c>
      <c r="AD262" s="1" t="e">
        <f aca="true">_xlfn.AGGREGATE(1,6,OFFSET($S$5,H262,0,1,$K$2))</f>
        <v>#DIV/0!</v>
      </c>
    </row>
    <row r="263" customFormat="false" ht="14.25" hidden="false" customHeight="false" outlineLevel="0" collapsed="false">
      <c r="H263" s="1" t="n">
        <f aca="false">H262+1</f>
        <v>258</v>
      </c>
      <c r="I263" s="1" t="n">
        <f aca="false">WEEKDAY('daily graphs'!K263)</f>
        <v>5</v>
      </c>
      <c r="J263" s="1" t="n">
        <f aca="false">DAY(L263)</f>
        <v>9</v>
      </c>
      <c r="K263" s="1" t="n">
        <f aca="false">MONTH(L263)</f>
        <v>9</v>
      </c>
      <c r="L263" s="23" t="n">
        <f aca="false">'daily graphs'!K263 - I263</f>
        <v>36778</v>
      </c>
      <c r="M263" s="24" t="n">
        <f aca="true">IF(TODAY()&lt;DATE($O$5,K263,J263),1000000,-1000000)</f>
        <v>-1000000</v>
      </c>
      <c r="N263" s="24" t="e">
        <f aca="false">IF(M263&gt;0,INDEX(big_daily_table,MATCH(DATE(O$5,$K263,$J263),daily_dates,0),MATCH($B$3,daily_items,0)),NA())</f>
        <v>#N/A</v>
      </c>
      <c r="O263" s="1" t="e">
        <f aca="false">IF(M263&lt;0,INDEX(big_daily_table,MATCH(DATE(O$5,$K263,$J263),daily_dates,0),MATCH($B$3,daily_items,0)),NA())</f>
        <v>#N/A</v>
      </c>
      <c r="P263" s="1" t="e">
        <f aca="false">IF(ISBLANK(INDEX(big_daily_table,MATCH(DATE(P$5,$K263,$J263),daily_dates,0),MATCH($B$3,daily_items,0))),NA(),INDEX(big_daily_table,MATCH(DATE(P$5,$K263,$J263),daily_dates,0),MATCH($B$3,daily_items,0)))</f>
        <v>#N/A</v>
      </c>
      <c r="Q263" s="1" t="e">
        <f aca="false">IF(ISBLANK(INDEX(big_daily_table,MATCH(DATE(Q$5,$K263,$J263),daily_dates,0),MATCH($B$3,daily_items,0))),NA(),INDEX(big_daily_table,MATCH(DATE(Q$5,$K263,$J263),daily_dates,0),MATCH($B$3,daily_items,0)))</f>
        <v>#N/A</v>
      </c>
      <c r="R263" s="1" t="e">
        <f aca="false">IF(ISBLANK(INDEX(big_daily_table,MATCH(DATE(R$5,$K263,$J263),daily_dates,0),MATCH($B$3,daily_items,0))),NA(),INDEX(big_daily_table,MATCH(DATE(R$5,$K263,$J263),daily_dates,0),MATCH($B$3,daily_items,0)))</f>
        <v>#N/A</v>
      </c>
      <c r="S263" s="1" t="e">
        <f aca="false">IF(ISBLANK(INDEX(big_daily_table,MATCH(DATE(S$5,$K263,$J263),daily_dates,0),MATCH($B$3,daily_items,0))),NA(),INDEX(big_daily_table,MATCH(DATE(S$5,$K263,$J263),daily_dates,0),MATCH($B$3,daily_items,0)))</f>
        <v>#N/A</v>
      </c>
      <c r="T263" s="1" t="e">
        <f aca="false">IF(ISBLANK(INDEX(big_daily_table,MATCH(DATE(T$5,$K263,$J263),daily_dates,0),MATCH($B$3,daily_items,0))),NA(),INDEX(big_daily_table,MATCH(DATE(T$5,$K263,$J263),daily_dates,0),MATCH($B$3,daily_items,0)))</f>
        <v>#N/A</v>
      </c>
      <c r="U263" s="1" t="e">
        <f aca="false">IF(ISBLANK(INDEX(big_daily_table,MATCH(DATE(U$5,$K263,$J263),daily_dates,0),MATCH($B$3,daily_items,0))),NA(),INDEX(big_daily_table,MATCH(DATE(U$5,$K263,$J263),daily_dates,0),MATCH($B$3,daily_items,0)))</f>
        <v>#N/A</v>
      </c>
      <c r="V263" s="1" t="e">
        <f aca="false">IF(ISBLANK(INDEX(big_daily_table,MATCH(DATE(V$5,$K263,$J263),daily_dates,0),MATCH($B$3,daily_items,0))),NA(),INDEX(big_daily_table,MATCH(DATE(V$5,$K263,$J263),daily_dates,0),MATCH($B$3,daily_items,0)))</f>
        <v>#N/A</v>
      </c>
      <c r="W263" s="1" t="e">
        <f aca="false">IF(ISBLANK(INDEX(big_daily_table,MATCH(DATE(W$5,$K263,$J263),daily_dates,0),MATCH($B$3,daily_items,0))),NA(),INDEX(big_daily_table,MATCH(DATE(W$5,$K263,$J263),daily_dates,0),MATCH($B$3,daily_items,0)))</f>
        <v>#N/A</v>
      </c>
      <c r="X263" s="1" t="e">
        <f aca="false">IF(ISBLANK(INDEX(big_daily_table,MATCH(DATE(X$5,$K263,$J263),daily_dates,0),MATCH($B$3,daily_items,0))),NA(),INDEX(big_daily_table,MATCH(DATE(X$5,$K263,$J263),daily_dates,0),MATCH($B$3,daily_items,0)))</f>
        <v>#N/A</v>
      </c>
      <c r="Y263" s="1" t="e">
        <f aca="false">IF(ISBLANK(INDEX(big_daily_table,MATCH(DATE(Y$5,$K263,$J263),daily_dates,0),MATCH($B$3,daily_items,0))),NA(),INDEX(big_daily_table,MATCH(DATE(Y$5,$K263,$J263),daily_dates,0),MATCH($B$3,daily_items,0)))</f>
        <v>#N/A</v>
      </c>
      <c r="Z263" s="1" t="e">
        <f aca="false">IF(ISBLANK(INDEX(big_daily_table,MATCH(DATE(Z$5,$K263,$J263),daily_dates,0),MATCH($B$3,daily_items,0))),NA(),INDEX(big_daily_table,MATCH(DATE(Z$5,$K263,$J263),daily_dates,0),MATCH($B$3,daily_items,0)))</f>
        <v>#N/A</v>
      </c>
      <c r="AA263" s="1" t="n">
        <f aca="true">_xlfn.AGGREGATE(5,6,OFFSET($S$5,H263,0,1,$K$2))</f>
        <v>0</v>
      </c>
      <c r="AB263" s="1" t="n">
        <f aca="true">_xlfn.AGGREGATE(4,6,OFFSET($S$5,H263,0,1,$K$2))</f>
        <v>0</v>
      </c>
      <c r="AC263" s="1" t="n">
        <f aca="false">AB263-AA263</f>
        <v>0</v>
      </c>
      <c r="AD263" s="1" t="e">
        <f aca="true">_xlfn.AGGREGATE(1,6,OFFSET($S$5,H263,0,1,$K$2))</f>
        <v>#DIV/0!</v>
      </c>
    </row>
    <row r="264" customFormat="false" ht="14.25" hidden="false" customHeight="false" outlineLevel="0" collapsed="false">
      <c r="H264" s="1" t="n">
        <f aca="false">H263+1</f>
        <v>259</v>
      </c>
      <c r="I264" s="1" t="n">
        <f aca="false">WEEKDAY('daily graphs'!K264)</f>
        <v>6</v>
      </c>
      <c r="J264" s="1" t="n">
        <f aca="false">DAY(L264)</f>
        <v>9</v>
      </c>
      <c r="K264" s="1" t="n">
        <f aca="false">MONTH(L264)</f>
        <v>9</v>
      </c>
      <c r="L264" s="23" t="n">
        <f aca="false">'daily graphs'!K264 - I264</f>
        <v>36778</v>
      </c>
      <c r="M264" s="24" t="n">
        <f aca="true">IF(TODAY()&lt;DATE($O$5,K264,J264),1000000,-1000000)</f>
        <v>-1000000</v>
      </c>
      <c r="N264" s="24" t="e">
        <f aca="false">IF(M264&gt;0,INDEX(big_daily_table,MATCH(DATE(O$5,$K264,$J264),daily_dates,0),MATCH($B$3,daily_items,0)),NA())</f>
        <v>#N/A</v>
      </c>
      <c r="O264" s="1" t="e">
        <f aca="false">IF(M264&lt;0,INDEX(big_daily_table,MATCH(DATE(O$5,$K264,$J264),daily_dates,0),MATCH($B$3,daily_items,0)),NA())</f>
        <v>#N/A</v>
      </c>
      <c r="P264" s="1" t="e">
        <f aca="false">IF(ISBLANK(INDEX(big_daily_table,MATCH(DATE(P$5,$K264,$J264),daily_dates,0),MATCH($B$3,daily_items,0))),NA(),INDEX(big_daily_table,MATCH(DATE(P$5,$K264,$J264),daily_dates,0),MATCH($B$3,daily_items,0)))</f>
        <v>#N/A</v>
      </c>
      <c r="Q264" s="1" t="e">
        <f aca="false">IF(ISBLANK(INDEX(big_daily_table,MATCH(DATE(Q$5,$K264,$J264),daily_dates,0),MATCH($B$3,daily_items,0))),NA(),INDEX(big_daily_table,MATCH(DATE(Q$5,$K264,$J264),daily_dates,0),MATCH($B$3,daily_items,0)))</f>
        <v>#N/A</v>
      </c>
      <c r="R264" s="1" t="e">
        <f aca="false">IF(ISBLANK(INDEX(big_daily_table,MATCH(DATE(R$5,$K264,$J264),daily_dates,0),MATCH($B$3,daily_items,0))),NA(),INDEX(big_daily_table,MATCH(DATE(R$5,$K264,$J264),daily_dates,0),MATCH($B$3,daily_items,0)))</f>
        <v>#N/A</v>
      </c>
      <c r="S264" s="1" t="e">
        <f aca="false">IF(ISBLANK(INDEX(big_daily_table,MATCH(DATE(S$5,$K264,$J264),daily_dates,0),MATCH($B$3,daily_items,0))),NA(),INDEX(big_daily_table,MATCH(DATE(S$5,$K264,$J264),daily_dates,0),MATCH($B$3,daily_items,0)))</f>
        <v>#N/A</v>
      </c>
      <c r="T264" s="1" t="e">
        <f aca="false">IF(ISBLANK(INDEX(big_daily_table,MATCH(DATE(T$5,$K264,$J264),daily_dates,0),MATCH($B$3,daily_items,0))),NA(),INDEX(big_daily_table,MATCH(DATE(T$5,$K264,$J264),daily_dates,0),MATCH($B$3,daily_items,0)))</f>
        <v>#N/A</v>
      </c>
      <c r="U264" s="1" t="e">
        <f aca="false">IF(ISBLANK(INDEX(big_daily_table,MATCH(DATE(U$5,$K264,$J264),daily_dates,0),MATCH($B$3,daily_items,0))),NA(),INDEX(big_daily_table,MATCH(DATE(U$5,$K264,$J264),daily_dates,0),MATCH($B$3,daily_items,0)))</f>
        <v>#N/A</v>
      </c>
      <c r="V264" s="1" t="e">
        <f aca="false">IF(ISBLANK(INDEX(big_daily_table,MATCH(DATE(V$5,$K264,$J264),daily_dates,0),MATCH($B$3,daily_items,0))),NA(),INDEX(big_daily_table,MATCH(DATE(V$5,$K264,$J264),daily_dates,0),MATCH($B$3,daily_items,0)))</f>
        <v>#N/A</v>
      </c>
      <c r="W264" s="1" t="e">
        <f aca="false">IF(ISBLANK(INDEX(big_daily_table,MATCH(DATE(W$5,$K264,$J264),daily_dates,0),MATCH($B$3,daily_items,0))),NA(),INDEX(big_daily_table,MATCH(DATE(W$5,$K264,$J264),daily_dates,0),MATCH($B$3,daily_items,0)))</f>
        <v>#N/A</v>
      </c>
      <c r="X264" s="1" t="e">
        <f aca="false">IF(ISBLANK(INDEX(big_daily_table,MATCH(DATE(X$5,$K264,$J264),daily_dates,0),MATCH($B$3,daily_items,0))),NA(),INDEX(big_daily_table,MATCH(DATE(X$5,$K264,$J264),daily_dates,0),MATCH($B$3,daily_items,0)))</f>
        <v>#N/A</v>
      </c>
      <c r="Y264" s="1" t="e">
        <f aca="false">IF(ISBLANK(INDEX(big_daily_table,MATCH(DATE(Y$5,$K264,$J264),daily_dates,0),MATCH($B$3,daily_items,0))),NA(),INDEX(big_daily_table,MATCH(DATE(Y$5,$K264,$J264),daily_dates,0),MATCH($B$3,daily_items,0)))</f>
        <v>#N/A</v>
      </c>
      <c r="Z264" s="1" t="e">
        <f aca="false">IF(ISBLANK(INDEX(big_daily_table,MATCH(DATE(Z$5,$K264,$J264),daily_dates,0),MATCH($B$3,daily_items,0))),NA(),INDEX(big_daily_table,MATCH(DATE(Z$5,$K264,$J264),daily_dates,0),MATCH($B$3,daily_items,0)))</f>
        <v>#N/A</v>
      </c>
      <c r="AA264" s="1" t="n">
        <f aca="true">_xlfn.AGGREGATE(5,6,OFFSET($S$5,H264,0,1,$K$2))</f>
        <v>0</v>
      </c>
      <c r="AB264" s="1" t="n">
        <f aca="true">_xlfn.AGGREGATE(4,6,OFFSET($S$5,H264,0,1,$K$2))</f>
        <v>0</v>
      </c>
      <c r="AC264" s="1" t="n">
        <f aca="false">AB264-AA264</f>
        <v>0</v>
      </c>
      <c r="AD264" s="1" t="e">
        <f aca="true">_xlfn.AGGREGATE(1,6,OFFSET($S$5,H264,0,1,$K$2))</f>
        <v>#DIV/0!</v>
      </c>
    </row>
    <row r="265" customFormat="false" ht="14.25" hidden="false" customHeight="false" outlineLevel="0" collapsed="false">
      <c r="H265" s="1" t="n">
        <f aca="false">H264+1</f>
        <v>260</v>
      </c>
      <c r="I265" s="1" t="n">
        <f aca="false">WEEKDAY('daily graphs'!K265)</f>
        <v>7</v>
      </c>
      <c r="J265" s="1" t="n">
        <f aca="false">DAY(L265)</f>
        <v>9</v>
      </c>
      <c r="K265" s="1" t="n">
        <f aca="false">MONTH(L265)</f>
        <v>9</v>
      </c>
      <c r="L265" s="23" t="n">
        <f aca="false">'daily graphs'!K265 - I265</f>
        <v>36778</v>
      </c>
      <c r="M265" s="24" t="n">
        <f aca="true">IF(TODAY()&lt;DATE($O$5,K265,J265),1000000,-1000000)</f>
        <v>-1000000</v>
      </c>
      <c r="N265" s="24" t="e">
        <f aca="false">IF(M265&gt;0,INDEX(big_daily_table,MATCH(DATE(O$5,$K265,$J265),daily_dates,0),MATCH($B$3,daily_items,0)),NA())</f>
        <v>#N/A</v>
      </c>
      <c r="O265" s="1" t="e">
        <f aca="false">IF(M265&lt;0,INDEX(big_daily_table,MATCH(DATE(O$5,$K265,$J265),daily_dates,0),MATCH($B$3,daily_items,0)),NA())</f>
        <v>#N/A</v>
      </c>
      <c r="P265" s="1" t="e">
        <f aca="false">IF(ISBLANK(INDEX(big_daily_table,MATCH(DATE(P$5,$K265,$J265),daily_dates,0),MATCH($B$3,daily_items,0))),NA(),INDEX(big_daily_table,MATCH(DATE(P$5,$K265,$J265),daily_dates,0),MATCH($B$3,daily_items,0)))</f>
        <v>#N/A</v>
      </c>
      <c r="Q265" s="1" t="e">
        <f aca="false">IF(ISBLANK(INDEX(big_daily_table,MATCH(DATE(Q$5,$K265,$J265),daily_dates,0),MATCH($B$3,daily_items,0))),NA(),INDEX(big_daily_table,MATCH(DATE(Q$5,$K265,$J265),daily_dates,0),MATCH($B$3,daily_items,0)))</f>
        <v>#N/A</v>
      </c>
      <c r="R265" s="1" t="e">
        <f aca="false">IF(ISBLANK(INDEX(big_daily_table,MATCH(DATE(R$5,$K265,$J265),daily_dates,0),MATCH($B$3,daily_items,0))),NA(),INDEX(big_daily_table,MATCH(DATE(R$5,$K265,$J265),daily_dates,0),MATCH($B$3,daily_items,0)))</f>
        <v>#N/A</v>
      </c>
      <c r="S265" s="1" t="e">
        <f aca="false">IF(ISBLANK(INDEX(big_daily_table,MATCH(DATE(S$5,$K265,$J265),daily_dates,0),MATCH($B$3,daily_items,0))),NA(),INDEX(big_daily_table,MATCH(DATE(S$5,$K265,$J265),daily_dates,0),MATCH($B$3,daily_items,0)))</f>
        <v>#N/A</v>
      </c>
      <c r="T265" s="1" t="e">
        <f aca="false">IF(ISBLANK(INDEX(big_daily_table,MATCH(DATE(T$5,$K265,$J265),daily_dates,0),MATCH($B$3,daily_items,0))),NA(),INDEX(big_daily_table,MATCH(DATE(T$5,$K265,$J265),daily_dates,0),MATCH($B$3,daily_items,0)))</f>
        <v>#N/A</v>
      </c>
      <c r="U265" s="1" t="e">
        <f aca="false">IF(ISBLANK(INDEX(big_daily_table,MATCH(DATE(U$5,$K265,$J265),daily_dates,0),MATCH($B$3,daily_items,0))),NA(),INDEX(big_daily_table,MATCH(DATE(U$5,$K265,$J265),daily_dates,0),MATCH($B$3,daily_items,0)))</f>
        <v>#N/A</v>
      </c>
      <c r="V265" s="1" t="e">
        <f aca="false">IF(ISBLANK(INDEX(big_daily_table,MATCH(DATE(V$5,$K265,$J265),daily_dates,0),MATCH($B$3,daily_items,0))),NA(),INDEX(big_daily_table,MATCH(DATE(V$5,$K265,$J265),daily_dates,0),MATCH($B$3,daily_items,0)))</f>
        <v>#N/A</v>
      </c>
      <c r="W265" s="1" t="e">
        <f aca="false">IF(ISBLANK(INDEX(big_daily_table,MATCH(DATE(W$5,$K265,$J265),daily_dates,0),MATCH($B$3,daily_items,0))),NA(),INDEX(big_daily_table,MATCH(DATE(W$5,$K265,$J265),daily_dates,0),MATCH($B$3,daily_items,0)))</f>
        <v>#N/A</v>
      </c>
      <c r="X265" s="1" t="e">
        <f aca="false">IF(ISBLANK(INDEX(big_daily_table,MATCH(DATE(X$5,$K265,$J265),daily_dates,0),MATCH($B$3,daily_items,0))),NA(),INDEX(big_daily_table,MATCH(DATE(X$5,$K265,$J265),daily_dates,0),MATCH($B$3,daily_items,0)))</f>
        <v>#N/A</v>
      </c>
      <c r="Y265" s="1" t="e">
        <f aca="false">IF(ISBLANK(INDEX(big_daily_table,MATCH(DATE(Y$5,$K265,$J265),daily_dates,0),MATCH($B$3,daily_items,0))),NA(),INDEX(big_daily_table,MATCH(DATE(Y$5,$K265,$J265),daily_dates,0),MATCH($B$3,daily_items,0)))</f>
        <v>#N/A</v>
      </c>
      <c r="Z265" s="1" t="e">
        <f aca="false">IF(ISBLANK(INDEX(big_daily_table,MATCH(DATE(Z$5,$K265,$J265),daily_dates,0),MATCH($B$3,daily_items,0))),NA(),INDEX(big_daily_table,MATCH(DATE(Z$5,$K265,$J265),daily_dates,0),MATCH($B$3,daily_items,0)))</f>
        <v>#N/A</v>
      </c>
      <c r="AA265" s="1" t="n">
        <f aca="true">_xlfn.AGGREGATE(5,6,OFFSET($S$5,H265,0,1,$K$2))</f>
        <v>0</v>
      </c>
      <c r="AB265" s="1" t="n">
        <f aca="true">_xlfn.AGGREGATE(4,6,OFFSET($S$5,H265,0,1,$K$2))</f>
        <v>0</v>
      </c>
      <c r="AC265" s="1" t="n">
        <f aca="false">AB265-AA265</f>
        <v>0</v>
      </c>
      <c r="AD265" s="1" t="e">
        <f aca="true">_xlfn.AGGREGATE(1,6,OFFSET($S$5,H265,0,1,$K$2))</f>
        <v>#DIV/0!</v>
      </c>
    </row>
    <row r="266" customFormat="false" ht="14.25" hidden="false" customHeight="false" outlineLevel="0" collapsed="false">
      <c r="H266" s="1" t="n">
        <f aca="false">H265+1</f>
        <v>261</v>
      </c>
      <c r="I266" s="1" t="n">
        <f aca="false">WEEKDAY('daily graphs'!K266)</f>
        <v>1</v>
      </c>
      <c r="J266" s="1" t="n">
        <f aca="false">DAY(L266)</f>
        <v>16</v>
      </c>
      <c r="K266" s="1" t="n">
        <f aca="false">MONTH(L266)</f>
        <v>9</v>
      </c>
      <c r="L266" s="23" t="n">
        <f aca="false">'daily graphs'!K266 - I266</f>
        <v>36785</v>
      </c>
      <c r="M266" s="24" t="n">
        <f aca="true">IF(TODAY()&lt;DATE($O$5,K266,J266),1000000,-1000000)</f>
        <v>-1000000</v>
      </c>
      <c r="N266" s="24" t="e">
        <f aca="false">IF(M266&gt;0,INDEX(big_daily_table,MATCH(DATE(O$5,$K266,$J266),daily_dates,0),MATCH($B$3,daily_items,0)),NA())</f>
        <v>#N/A</v>
      </c>
      <c r="O266" s="1" t="e">
        <f aca="false">IF(M266&lt;0,INDEX(big_daily_table,MATCH(DATE(O$5,$K266,$J266),daily_dates,0),MATCH($B$3,daily_items,0)),NA())</f>
        <v>#N/A</v>
      </c>
      <c r="P266" s="1" t="e">
        <f aca="false">IF(ISBLANK(INDEX(big_daily_table,MATCH(DATE(P$5,$K266,$J266),daily_dates,0),MATCH($B$3,daily_items,0))),NA(),INDEX(big_daily_table,MATCH(DATE(P$5,$K266,$J266),daily_dates,0),MATCH($B$3,daily_items,0)))</f>
        <v>#N/A</v>
      </c>
      <c r="Q266" s="1" t="e">
        <f aca="false">IF(ISBLANK(INDEX(big_daily_table,MATCH(DATE(Q$5,$K266,$J266),daily_dates,0),MATCH($B$3,daily_items,0))),NA(),INDEX(big_daily_table,MATCH(DATE(Q$5,$K266,$J266),daily_dates,0),MATCH($B$3,daily_items,0)))</f>
        <v>#N/A</v>
      </c>
      <c r="R266" s="1" t="e">
        <f aca="false">IF(ISBLANK(INDEX(big_daily_table,MATCH(DATE(R$5,$K266,$J266),daily_dates,0),MATCH($B$3,daily_items,0))),NA(),INDEX(big_daily_table,MATCH(DATE(R$5,$K266,$J266),daily_dates,0),MATCH($B$3,daily_items,0)))</f>
        <v>#N/A</v>
      </c>
      <c r="S266" s="1" t="e">
        <f aca="false">IF(ISBLANK(INDEX(big_daily_table,MATCH(DATE(S$5,$K266,$J266),daily_dates,0),MATCH($B$3,daily_items,0))),NA(),INDEX(big_daily_table,MATCH(DATE(S$5,$K266,$J266),daily_dates,0),MATCH($B$3,daily_items,0)))</f>
        <v>#N/A</v>
      </c>
      <c r="T266" s="1" t="e">
        <f aca="false">IF(ISBLANK(INDEX(big_daily_table,MATCH(DATE(T$5,$K266,$J266),daily_dates,0),MATCH($B$3,daily_items,0))),NA(),INDEX(big_daily_table,MATCH(DATE(T$5,$K266,$J266),daily_dates,0),MATCH($B$3,daily_items,0)))</f>
        <v>#N/A</v>
      </c>
      <c r="U266" s="1" t="e">
        <f aca="false">IF(ISBLANK(INDEX(big_daily_table,MATCH(DATE(U$5,$K266,$J266),daily_dates,0),MATCH($B$3,daily_items,0))),NA(),INDEX(big_daily_table,MATCH(DATE(U$5,$K266,$J266),daily_dates,0),MATCH($B$3,daily_items,0)))</f>
        <v>#N/A</v>
      </c>
      <c r="V266" s="1" t="e">
        <f aca="false">IF(ISBLANK(INDEX(big_daily_table,MATCH(DATE(V$5,$K266,$J266),daily_dates,0),MATCH($B$3,daily_items,0))),NA(),INDEX(big_daily_table,MATCH(DATE(V$5,$K266,$J266),daily_dates,0),MATCH($B$3,daily_items,0)))</f>
        <v>#N/A</v>
      </c>
      <c r="W266" s="1" t="e">
        <f aca="false">IF(ISBLANK(INDEX(big_daily_table,MATCH(DATE(W$5,$K266,$J266),daily_dates,0),MATCH($B$3,daily_items,0))),NA(),INDEX(big_daily_table,MATCH(DATE(W$5,$K266,$J266),daily_dates,0),MATCH($B$3,daily_items,0)))</f>
        <v>#N/A</v>
      </c>
      <c r="X266" s="1" t="e">
        <f aca="false">IF(ISBLANK(INDEX(big_daily_table,MATCH(DATE(X$5,$K266,$J266),daily_dates,0),MATCH($B$3,daily_items,0))),NA(),INDEX(big_daily_table,MATCH(DATE(X$5,$K266,$J266),daily_dates,0),MATCH($B$3,daily_items,0)))</f>
        <v>#N/A</v>
      </c>
      <c r="Y266" s="1" t="e">
        <f aca="false">IF(ISBLANK(INDEX(big_daily_table,MATCH(DATE(Y$5,$K266,$J266),daily_dates,0),MATCH($B$3,daily_items,0))),NA(),INDEX(big_daily_table,MATCH(DATE(Y$5,$K266,$J266),daily_dates,0),MATCH($B$3,daily_items,0)))</f>
        <v>#N/A</v>
      </c>
      <c r="Z266" s="1" t="e">
        <f aca="false">IF(ISBLANK(INDEX(big_daily_table,MATCH(DATE(Z$5,$K266,$J266),daily_dates,0),MATCH($B$3,daily_items,0))),NA(),INDEX(big_daily_table,MATCH(DATE(Z$5,$K266,$J266),daily_dates,0),MATCH($B$3,daily_items,0)))</f>
        <v>#N/A</v>
      </c>
      <c r="AA266" s="1" t="n">
        <f aca="true">_xlfn.AGGREGATE(5,6,OFFSET($S$5,H266,0,1,$K$2))</f>
        <v>0</v>
      </c>
      <c r="AB266" s="1" t="n">
        <f aca="true">_xlfn.AGGREGATE(4,6,OFFSET($S$5,H266,0,1,$K$2))</f>
        <v>0</v>
      </c>
      <c r="AC266" s="1" t="n">
        <f aca="false">AB266-AA266</f>
        <v>0</v>
      </c>
      <c r="AD266" s="1" t="e">
        <f aca="true">_xlfn.AGGREGATE(1,6,OFFSET($S$5,H266,0,1,$K$2))</f>
        <v>#DIV/0!</v>
      </c>
    </row>
    <row r="267" customFormat="false" ht="14.25" hidden="false" customHeight="false" outlineLevel="0" collapsed="false">
      <c r="H267" s="1" t="n">
        <f aca="false">H266+1</f>
        <v>262</v>
      </c>
      <c r="I267" s="1" t="n">
        <f aca="false">WEEKDAY('daily graphs'!K267)</f>
        <v>2</v>
      </c>
      <c r="J267" s="1" t="n">
        <f aca="false">DAY(L267)</f>
        <v>16</v>
      </c>
      <c r="K267" s="1" t="n">
        <f aca="false">MONTH(L267)</f>
        <v>9</v>
      </c>
      <c r="L267" s="23" t="n">
        <f aca="false">'daily graphs'!K267 - I267</f>
        <v>36785</v>
      </c>
      <c r="M267" s="24" t="n">
        <f aca="true">IF(TODAY()&lt;DATE($O$5,K267,J267),1000000,-1000000)</f>
        <v>-1000000</v>
      </c>
      <c r="N267" s="24" t="e">
        <f aca="false">IF(M267&gt;0,INDEX(big_daily_table,MATCH(DATE(O$5,$K267,$J267),daily_dates,0),MATCH($B$3,daily_items,0)),NA())</f>
        <v>#N/A</v>
      </c>
      <c r="O267" s="1" t="e">
        <f aca="false">IF(M267&lt;0,INDEX(big_daily_table,MATCH(DATE(O$5,$K267,$J267),daily_dates,0),MATCH($B$3,daily_items,0)),NA())</f>
        <v>#N/A</v>
      </c>
      <c r="P267" s="1" t="e">
        <f aca="false">IF(ISBLANK(INDEX(big_daily_table,MATCH(DATE(P$5,$K267,$J267),daily_dates,0),MATCH($B$3,daily_items,0))),NA(),INDEX(big_daily_table,MATCH(DATE(P$5,$K267,$J267),daily_dates,0),MATCH($B$3,daily_items,0)))</f>
        <v>#N/A</v>
      </c>
      <c r="Q267" s="1" t="e">
        <f aca="false">IF(ISBLANK(INDEX(big_daily_table,MATCH(DATE(Q$5,$K267,$J267),daily_dates,0),MATCH($B$3,daily_items,0))),NA(),INDEX(big_daily_table,MATCH(DATE(Q$5,$K267,$J267),daily_dates,0),MATCH($B$3,daily_items,0)))</f>
        <v>#N/A</v>
      </c>
      <c r="R267" s="1" t="e">
        <f aca="false">IF(ISBLANK(INDEX(big_daily_table,MATCH(DATE(R$5,$K267,$J267),daily_dates,0),MATCH($B$3,daily_items,0))),NA(),INDEX(big_daily_table,MATCH(DATE(R$5,$K267,$J267),daily_dates,0),MATCH($B$3,daily_items,0)))</f>
        <v>#N/A</v>
      </c>
      <c r="S267" s="1" t="e">
        <f aca="false">IF(ISBLANK(INDEX(big_daily_table,MATCH(DATE(S$5,$K267,$J267),daily_dates,0),MATCH($B$3,daily_items,0))),NA(),INDEX(big_daily_table,MATCH(DATE(S$5,$K267,$J267),daily_dates,0),MATCH($B$3,daily_items,0)))</f>
        <v>#N/A</v>
      </c>
      <c r="T267" s="1" t="e">
        <f aca="false">IF(ISBLANK(INDEX(big_daily_table,MATCH(DATE(T$5,$K267,$J267),daily_dates,0),MATCH($B$3,daily_items,0))),NA(),INDEX(big_daily_table,MATCH(DATE(T$5,$K267,$J267),daily_dates,0),MATCH($B$3,daily_items,0)))</f>
        <v>#N/A</v>
      </c>
      <c r="U267" s="1" t="e">
        <f aca="false">IF(ISBLANK(INDEX(big_daily_table,MATCH(DATE(U$5,$K267,$J267),daily_dates,0),MATCH($B$3,daily_items,0))),NA(),INDEX(big_daily_table,MATCH(DATE(U$5,$K267,$J267),daily_dates,0),MATCH($B$3,daily_items,0)))</f>
        <v>#N/A</v>
      </c>
      <c r="V267" s="1" t="e">
        <f aca="false">IF(ISBLANK(INDEX(big_daily_table,MATCH(DATE(V$5,$K267,$J267),daily_dates,0),MATCH($B$3,daily_items,0))),NA(),INDEX(big_daily_table,MATCH(DATE(V$5,$K267,$J267),daily_dates,0),MATCH($B$3,daily_items,0)))</f>
        <v>#N/A</v>
      </c>
      <c r="W267" s="1" t="e">
        <f aca="false">IF(ISBLANK(INDEX(big_daily_table,MATCH(DATE(W$5,$K267,$J267),daily_dates,0),MATCH($B$3,daily_items,0))),NA(),INDEX(big_daily_table,MATCH(DATE(W$5,$K267,$J267),daily_dates,0),MATCH($B$3,daily_items,0)))</f>
        <v>#N/A</v>
      </c>
      <c r="X267" s="1" t="e">
        <f aca="false">IF(ISBLANK(INDEX(big_daily_table,MATCH(DATE(X$5,$K267,$J267),daily_dates,0),MATCH($B$3,daily_items,0))),NA(),INDEX(big_daily_table,MATCH(DATE(X$5,$K267,$J267),daily_dates,0),MATCH($B$3,daily_items,0)))</f>
        <v>#N/A</v>
      </c>
      <c r="Y267" s="1" t="e">
        <f aca="false">IF(ISBLANK(INDEX(big_daily_table,MATCH(DATE(Y$5,$K267,$J267),daily_dates,0),MATCH($B$3,daily_items,0))),NA(),INDEX(big_daily_table,MATCH(DATE(Y$5,$K267,$J267),daily_dates,0),MATCH($B$3,daily_items,0)))</f>
        <v>#N/A</v>
      </c>
      <c r="Z267" s="1" t="e">
        <f aca="false">IF(ISBLANK(INDEX(big_daily_table,MATCH(DATE(Z$5,$K267,$J267),daily_dates,0),MATCH($B$3,daily_items,0))),NA(),INDEX(big_daily_table,MATCH(DATE(Z$5,$K267,$J267),daily_dates,0),MATCH($B$3,daily_items,0)))</f>
        <v>#N/A</v>
      </c>
      <c r="AA267" s="1" t="n">
        <f aca="true">_xlfn.AGGREGATE(5,6,OFFSET($S$5,H267,0,1,$K$2))</f>
        <v>0</v>
      </c>
      <c r="AB267" s="1" t="n">
        <f aca="true">_xlfn.AGGREGATE(4,6,OFFSET($S$5,H267,0,1,$K$2))</f>
        <v>0</v>
      </c>
      <c r="AC267" s="1" t="n">
        <f aca="false">AB267-AA267</f>
        <v>0</v>
      </c>
      <c r="AD267" s="1" t="e">
        <f aca="true">_xlfn.AGGREGATE(1,6,OFFSET($S$5,H267,0,1,$K$2))</f>
        <v>#DIV/0!</v>
      </c>
    </row>
    <row r="268" customFormat="false" ht="14.25" hidden="false" customHeight="false" outlineLevel="0" collapsed="false">
      <c r="H268" s="1" t="n">
        <f aca="false">H267+1</f>
        <v>263</v>
      </c>
      <c r="I268" s="1" t="n">
        <f aca="false">WEEKDAY('daily graphs'!K268)</f>
        <v>3</v>
      </c>
      <c r="J268" s="1" t="n">
        <f aca="false">DAY(L268)</f>
        <v>16</v>
      </c>
      <c r="K268" s="1" t="n">
        <f aca="false">MONTH(L268)</f>
        <v>9</v>
      </c>
      <c r="L268" s="23" t="n">
        <f aca="false">'daily graphs'!K268 - I268</f>
        <v>36785</v>
      </c>
      <c r="M268" s="24" t="n">
        <f aca="true">IF(TODAY()&lt;DATE($O$5,K268,J268),1000000,-1000000)</f>
        <v>-1000000</v>
      </c>
      <c r="N268" s="24" t="e">
        <f aca="false">IF(M268&gt;0,INDEX(big_daily_table,MATCH(DATE(O$5,$K268,$J268),daily_dates,0),MATCH($B$3,daily_items,0)),NA())</f>
        <v>#N/A</v>
      </c>
      <c r="O268" s="1" t="e">
        <f aca="false">IF(M268&lt;0,INDEX(big_daily_table,MATCH(DATE(O$5,$K268,$J268),daily_dates,0),MATCH($B$3,daily_items,0)),NA())</f>
        <v>#N/A</v>
      </c>
      <c r="P268" s="1" t="e">
        <f aca="false">IF(ISBLANK(INDEX(big_daily_table,MATCH(DATE(P$5,$K268,$J268),daily_dates,0),MATCH($B$3,daily_items,0))),NA(),INDEX(big_daily_table,MATCH(DATE(P$5,$K268,$J268),daily_dates,0),MATCH($B$3,daily_items,0)))</f>
        <v>#N/A</v>
      </c>
      <c r="Q268" s="1" t="e">
        <f aca="false">IF(ISBLANK(INDEX(big_daily_table,MATCH(DATE(Q$5,$K268,$J268),daily_dates,0),MATCH($B$3,daily_items,0))),NA(),INDEX(big_daily_table,MATCH(DATE(Q$5,$K268,$J268),daily_dates,0),MATCH($B$3,daily_items,0)))</f>
        <v>#N/A</v>
      </c>
      <c r="R268" s="1" t="e">
        <f aca="false">IF(ISBLANK(INDEX(big_daily_table,MATCH(DATE(R$5,$K268,$J268),daily_dates,0),MATCH($B$3,daily_items,0))),NA(),INDEX(big_daily_table,MATCH(DATE(R$5,$K268,$J268),daily_dates,0),MATCH($B$3,daily_items,0)))</f>
        <v>#N/A</v>
      </c>
      <c r="S268" s="1" t="e">
        <f aca="false">IF(ISBLANK(INDEX(big_daily_table,MATCH(DATE(S$5,$K268,$J268),daily_dates,0),MATCH($B$3,daily_items,0))),NA(),INDEX(big_daily_table,MATCH(DATE(S$5,$K268,$J268),daily_dates,0),MATCH($B$3,daily_items,0)))</f>
        <v>#N/A</v>
      </c>
      <c r="T268" s="1" t="e">
        <f aca="false">IF(ISBLANK(INDEX(big_daily_table,MATCH(DATE(T$5,$K268,$J268),daily_dates,0),MATCH($B$3,daily_items,0))),NA(),INDEX(big_daily_table,MATCH(DATE(T$5,$K268,$J268),daily_dates,0),MATCH($B$3,daily_items,0)))</f>
        <v>#N/A</v>
      </c>
      <c r="U268" s="1" t="e">
        <f aca="false">IF(ISBLANK(INDEX(big_daily_table,MATCH(DATE(U$5,$K268,$J268),daily_dates,0),MATCH($B$3,daily_items,0))),NA(),INDEX(big_daily_table,MATCH(DATE(U$5,$K268,$J268),daily_dates,0),MATCH($B$3,daily_items,0)))</f>
        <v>#N/A</v>
      </c>
      <c r="V268" s="1" t="e">
        <f aca="false">IF(ISBLANK(INDEX(big_daily_table,MATCH(DATE(V$5,$K268,$J268),daily_dates,0),MATCH($B$3,daily_items,0))),NA(),INDEX(big_daily_table,MATCH(DATE(V$5,$K268,$J268),daily_dates,0),MATCH($B$3,daily_items,0)))</f>
        <v>#N/A</v>
      </c>
      <c r="W268" s="1" t="e">
        <f aca="false">IF(ISBLANK(INDEX(big_daily_table,MATCH(DATE(W$5,$K268,$J268),daily_dates,0),MATCH($B$3,daily_items,0))),NA(),INDEX(big_daily_table,MATCH(DATE(W$5,$K268,$J268),daily_dates,0),MATCH($B$3,daily_items,0)))</f>
        <v>#N/A</v>
      </c>
      <c r="X268" s="1" t="e">
        <f aca="false">IF(ISBLANK(INDEX(big_daily_table,MATCH(DATE(X$5,$K268,$J268),daily_dates,0),MATCH($B$3,daily_items,0))),NA(),INDEX(big_daily_table,MATCH(DATE(X$5,$K268,$J268),daily_dates,0),MATCH($B$3,daily_items,0)))</f>
        <v>#N/A</v>
      </c>
      <c r="Y268" s="1" t="e">
        <f aca="false">IF(ISBLANK(INDEX(big_daily_table,MATCH(DATE(Y$5,$K268,$J268),daily_dates,0),MATCH($B$3,daily_items,0))),NA(),INDEX(big_daily_table,MATCH(DATE(Y$5,$K268,$J268),daily_dates,0),MATCH($B$3,daily_items,0)))</f>
        <v>#N/A</v>
      </c>
      <c r="Z268" s="1" t="e">
        <f aca="false">IF(ISBLANK(INDEX(big_daily_table,MATCH(DATE(Z$5,$K268,$J268),daily_dates,0),MATCH($B$3,daily_items,0))),NA(),INDEX(big_daily_table,MATCH(DATE(Z$5,$K268,$J268),daily_dates,0),MATCH($B$3,daily_items,0)))</f>
        <v>#N/A</v>
      </c>
      <c r="AA268" s="1" t="n">
        <f aca="true">_xlfn.AGGREGATE(5,6,OFFSET($S$5,H268,0,1,$K$2))</f>
        <v>0</v>
      </c>
      <c r="AB268" s="1" t="n">
        <f aca="true">_xlfn.AGGREGATE(4,6,OFFSET($S$5,H268,0,1,$K$2))</f>
        <v>0</v>
      </c>
      <c r="AC268" s="1" t="n">
        <f aca="false">AB268-AA268</f>
        <v>0</v>
      </c>
      <c r="AD268" s="1" t="e">
        <f aca="true">_xlfn.AGGREGATE(1,6,OFFSET($S$5,H268,0,1,$K$2))</f>
        <v>#DIV/0!</v>
      </c>
    </row>
    <row r="269" customFormat="false" ht="14.25" hidden="false" customHeight="false" outlineLevel="0" collapsed="false">
      <c r="H269" s="1" t="n">
        <f aca="false">H268+1</f>
        <v>264</v>
      </c>
      <c r="I269" s="1" t="n">
        <f aca="false">WEEKDAY('daily graphs'!K269)</f>
        <v>4</v>
      </c>
      <c r="J269" s="1" t="n">
        <f aca="false">DAY(L269)</f>
        <v>16</v>
      </c>
      <c r="K269" s="1" t="n">
        <f aca="false">MONTH(L269)</f>
        <v>9</v>
      </c>
      <c r="L269" s="23" t="n">
        <f aca="false">'daily graphs'!K269 - I269</f>
        <v>36785</v>
      </c>
      <c r="M269" s="24" t="n">
        <f aca="true">IF(TODAY()&lt;DATE($O$5,K269,J269),1000000,-1000000)</f>
        <v>-1000000</v>
      </c>
      <c r="N269" s="24" t="e">
        <f aca="false">IF(M269&gt;0,INDEX(big_daily_table,MATCH(DATE(O$5,$K269,$J269),daily_dates,0),MATCH($B$3,daily_items,0)),NA())</f>
        <v>#N/A</v>
      </c>
      <c r="O269" s="1" t="e">
        <f aca="false">IF(M269&lt;0,INDEX(big_daily_table,MATCH(DATE(O$5,$K269,$J269),daily_dates,0),MATCH($B$3,daily_items,0)),NA())</f>
        <v>#N/A</v>
      </c>
      <c r="P269" s="1" t="e">
        <f aca="false">IF(ISBLANK(INDEX(big_daily_table,MATCH(DATE(P$5,$K269,$J269),daily_dates,0),MATCH($B$3,daily_items,0))),NA(),INDEX(big_daily_table,MATCH(DATE(P$5,$K269,$J269),daily_dates,0),MATCH($B$3,daily_items,0)))</f>
        <v>#N/A</v>
      </c>
      <c r="Q269" s="1" t="e">
        <f aca="false">IF(ISBLANK(INDEX(big_daily_table,MATCH(DATE(Q$5,$K269,$J269),daily_dates,0),MATCH($B$3,daily_items,0))),NA(),INDEX(big_daily_table,MATCH(DATE(Q$5,$K269,$J269),daily_dates,0),MATCH($B$3,daily_items,0)))</f>
        <v>#N/A</v>
      </c>
      <c r="R269" s="1" t="e">
        <f aca="false">IF(ISBLANK(INDEX(big_daily_table,MATCH(DATE(R$5,$K269,$J269),daily_dates,0),MATCH($B$3,daily_items,0))),NA(),INDEX(big_daily_table,MATCH(DATE(R$5,$K269,$J269),daily_dates,0),MATCH($B$3,daily_items,0)))</f>
        <v>#N/A</v>
      </c>
      <c r="S269" s="1" t="e">
        <f aca="false">IF(ISBLANK(INDEX(big_daily_table,MATCH(DATE(S$5,$K269,$J269),daily_dates,0),MATCH($B$3,daily_items,0))),NA(),INDEX(big_daily_table,MATCH(DATE(S$5,$K269,$J269),daily_dates,0),MATCH($B$3,daily_items,0)))</f>
        <v>#N/A</v>
      </c>
      <c r="T269" s="1" t="e">
        <f aca="false">IF(ISBLANK(INDEX(big_daily_table,MATCH(DATE(T$5,$K269,$J269),daily_dates,0),MATCH($B$3,daily_items,0))),NA(),INDEX(big_daily_table,MATCH(DATE(T$5,$K269,$J269),daily_dates,0),MATCH($B$3,daily_items,0)))</f>
        <v>#N/A</v>
      </c>
      <c r="U269" s="1" t="e">
        <f aca="false">IF(ISBLANK(INDEX(big_daily_table,MATCH(DATE(U$5,$K269,$J269),daily_dates,0),MATCH($B$3,daily_items,0))),NA(),INDEX(big_daily_table,MATCH(DATE(U$5,$K269,$J269),daily_dates,0),MATCH($B$3,daily_items,0)))</f>
        <v>#N/A</v>
      </c>
      <c r="V269" s="1" t="e">
        <f aca="false">IF(ISBLANK(INDEX(big_daily_table,MATCH(DATE(V$5,$K269,$J269),daily_dates,0),MATCH($B$3,daily_items,0))),NA(),INDEX(big_daily_table,MATCH(DATE(V$5,$K269,$J269),daily_dates,0),MATCH($B$3,daily_items,0)))</f>
        <v>#N/A</v>
      </c>
      <c r="W269" s="1" t="e">
        <f aca="false">IF(ISBLANK(INDEX(big_daily_table,MATCH(DATE(W$5,$K269,$J269),daily_dates,0),MATCH($B$3,daily_items,0))),NA(),INDEX(big_daily_table,MATCH(DATE(W$5,$K269,$J269),daily_dates,0),MATCH($B$3,daily_items,0)))</f>
        <v>#N/A</v>
      </c>
      <c r="X269" s="1" t="e">
        <f aca="false">IF(ISBLANK(INDEX(big_daily_table,MATCH(DATE(X$5,$K269,$J269),daily_dates,0),MATCH($B$3,daily_items,0))),NA(),INDEX(big_daily_table,MATCH(DATE(X$5,$K269,$J269),daily_dates,0),MATCH($B$3,daily_items,0)))</f>
        <v>#N/A</v>
      </c>
      <c r="Y269" s="1" t="e">
        <f aca="false">IF(ISBLANK(INDEX(big_daily_table,MATCH(DATE(Y$5,$K269,$J269),daily_dates,0),MATCH($B$3,daily_items,0))),NA(),INDEX(big_daily_table,MATCH(DATE(Y$5,$K269,$J269),daily_dates,0),MATCH($B$3,daily_items,0)))</f>
        <v>#N/A</v>
      </c>
      <c r="Z269" s="1" t="e">
        <f aca="false">IF(ISBLANK(INDEX(big_daily_table,MATCH(DATE(Z$5,$K269,$J269),daily_dates,0),MATCH($B$3,daily_items,0))),NA(),INDEX(big_daily_table,MATCH(DATE(Z$5,$K269,$J269),daily_dates,0),MATCH($B$3,daily_items,0)))</f>
        <v>#N/A</v>
      </c>
      <c r="AA269" s="1" t="n">
        <f aca="true">_xlfn.AGGREGATE(5,6,OFFSET($S$5,H269,0,1,$K$2))</f>
        <v>0</v>
      </c>
      <c r="AB269" s="1" t="n">
        <f aca="true">_xlfn.AGGREGATE(4,6,OFFSET($S$5,H269,0,1,$K$2))</f>
        <v>0</v>
      </c>
      <c r="AC269" s="1" t="n">
        <f aca="false">AB269-AA269</f>
        <v>0</v>
      </c>
      <c r="AD269" s="1" t="e">
        <f aca="true">_xlfn.AGGREGATE(1,6,OFFSET($S$5,H269,0,1,$K$2))</f>
        <v>#DIV/0!</v>
      </c>
    </row>
    <row r="270" customFormat="false" ht="14.25" hidden="false" customHeight="false" outlineLevel="0" collapsed="false">
      <c r="H270" s="1" t="n">
        <f aca="false">H269+1</f>
        <v>265</v>
      </c>
      <c r="I270" s="1" t="n">
        <f aca="false">WEEKDAY('daily graphs'!K270)</f>
        <v>5</v>
      </c>
      <c r="J270" s="1" t="n">
        <f aca="false">DAY(L270)</f>
        <v>16</v>
      </c>
      <c r="K270" s="1" t="n">
        <f aca="false">MONTH(L270)</f>
        <v>9</v>
      </c>
      <c r="L270" s="23" t="n">
        <f aca="false">'daily graphs'!K270 - I270</f>
        <v>36785</v>
      </c>
      <c r="M270" s="24" t="n">
        <f aca="true">IF(TODAY()&lt;DATE($O$5,K270,J270),1000000,-1000000)</f>
        <v>-1000000</v>
      </c>
      <c r="N270" s="24" t="e">
        <f aca="false">IF(M270&gt;0,INDEX(big_daily_table,MATCH(DATE(O$5,$K270,$J270),daily_dates,0),MATCH($B$3,daily_items,0)),NA())</f>
        <v>#N/A</v>
      </c>
      <c r="O270" s="1" t="e">
        <f aca="false">IF(M270&lt;0,INDEX(big_daily_table,MATCH(DATE(O$5,$K270,$J270),daily_dates,0),MATCH($B$3,daily_items,0)),NA())</f>
        <v>#N/A</v>
      </c>
      <c r="P270" s="1" t="e">
        <f aca="false">IF(ISBLANK(INDEX(big_daily_table,MATCH(DATE(P$5,$K270,$J270),daily_dates,0),MATCH($B$3,daily_items,0))),NA(),INDEX(big_daily_table,MATCH(DATE(P$5,$K270,$J270),daily_dates,0),MATCH($B$3,daily_items,0)))</f>
        <v>#N/A</v>
      </c>
      <c r="Q270" s="1" t="e">
        <f aca="false">IF(ISBLANK(INDEX(big_daily_table,MATCH(DATE(Q$5,$K270,$J270),daily_dates,0),MATCH($B$3,daily_items,0))),NA(),INDEX(big_daily_table,MATCH(DATE(Q$5,$K270,$J270),daily_dates,0),MATCH($B$3,daily_items,0)))</f>
        <v>#N/A</v>
      </c>
      <c r="R270" s="1" t="e">
        <f aca="false">IF(ISBLANK(INDEX(big_daily_table,MATCH(DATE(R$5,$K270,$J270),daily_dates,0),MATCH($B$3,daily_items,0))),NA(),INDEX(big_daily_table,MATCH(DATE(R$5,$K270,$J270),daily_dates,0),MATCH($B$3,daily_items,0)))</f>
        <v>#N/A</v>
      </c>
      <c r="S270" s="1" t="e">
        <f aca="false">IF(ISBLANK(INDEX(big_daily_table,MATCH(DATE(S$5,$K270,$J270),daily_dates,0),MATCH($B$3,daily_items,0))),NA(),INDEX(big_daily_table,MATCH(DATE(S$5,$K270,$J270),daily_dates,0),MATCH($B$3,daily_items,0)))</f>
        <v>#N/A</v>
      </c>
      <c r="T270" s="1" t="e">
        <f aca="false">IF(ISBLANK(INDEX(big_daily_table,MATCH(DATE(T$5,$K270,$J270),daily_dates,0),MATCH($B$3,daily_items,0))),NA(),INDEX(big_daily_table,MATCH(DATE(T$5,$K270,$J270),daily_dates,0),MATCH($B$3,daily_items,0)))</f>
        <v>#N/A</v>
      </c>
      <c r="U270" s="1" t="e">
        <f aca="false">IF(ISBLANK(INDEX(big_daily_table,MATCH(DATE(U$5,$K270,$J270),daily_dates,0),MATCH($B$3,daily_items,0))),NA(),INDEX(big_daily_table,MATCH(DATE(U$5,$K270,$J270),daily_dates,0),MATCH($B$3,daily_items,0)))</f>
        <v>#N/A</v>
      </c>
      <c r="V270" s="1" t="e">
        <f aca="false">IF(ISBLANK(INDEX(big_daily_table,MATCH(DATE(V$5,$K270,$J270),daily_dates,0),MATCH($B$3,daily_items,0))),NA(),INDEX(big_daily_table,MATCH(DATE(V$5,$K270,$J270),daily_dates,0),MATCH($B$3,daily_items,0)))</f>
        <v>#N/A</v>
      </c>
      <c r="W270" s="1" t="e">
        <f aca="false">IF(ISBLANK(INDEX(big_daily_table,MATCH(DATE(W$5,$K270,$J270),daily_dates,0),MATCH($B$3,daily_items,0))),NA(),INDEX(big_daily_table,MATCH(DATE(W$5,$K270,$J270),daily_dates,0),MATCH($B$3,daily_items,0)))</f>
        <v>#N/A</v>
      </c>
      <c r="X270" s="1" t="e">
        <f aca="false">IF(ISBLANK(INDEX(big_daily_table,MATCH(DATE(X$5,$K270,$J270),daily_dates,0),MATCH($B$3,daily_items,0))),NA(),INDEX(big_daily_table,MATCH(DATE(X$5,$K270,$J270),daily_dates,0),MATCH($B$3,daily_items,0)))</f>
        <v>#N/A</v>
      </c>
      <c r="Y270" s="1" t="e">
        <f aca="false">IF(ISBLANK(INDEX(big_daily_table,MATCH(DATE(Y$5,$K270,$J270),daily_dates,0),MATCH($B$3,daily_items,0))),NA(),INDEX(big_daily_table,MATCH(DATE(Y$5,$K270,$J270),daily_dates,0),MATCH($B$3,daily_items,0)))</f>
        <v>#N/A</v>
      </c>
      <c r="Z270" s="1" t="e">
        <f aca="false">IF(ISBLANK(INDEX(big_daily_table,MATCH(DATE(Z$5,$K270,$J270),daily_dates,0),MATCH($B$3,daily_items,0))),NA(),INDEX(big_daily_table,MATCH(DATE(Z$5,$K270,$J270),daily_dates,0),MATCH($B$3,daily_items,0)))</f>
        <v>#N/A</v>
      </c>
      <c r="AA270" s="1" t="n">
        <f aca="true">_xlfn.AGGREGATE(5,6,OFFSET($S$5,H270,0,1,$K$2))</f>
        <v>0</v>
      </c>
      <c r="AB270" s="1" t="n">
        <f aca="true">_xlfn.AGGREGATE(4,6,OFFSET($S$5,H270,0,1,$K$2))</f>
        <v>0</v>
      </c>
      <c r="AC270" s="1" t="n">
        <f aca="false">AB270-AA270</f>
        <v>0</v>
      </c>
      <c r="AD270" s="1" t="e">
        <f aca="true">_xlfn.AGGREGATE(1,6,OFFSET($S$5,H270,0,1,$K$2))</f>
        <v>#DIV/0!</v>
      </c>
    </row>
    <row r="271" customFormat="false" ht="14.25" hidden="false" customHeight="false" outlineLevel="0" collapsed="false">
      <c r="H271" s="1" t="n">
        <f aca="false">H270+1</f>
        <v>266</v>
      </c>
      <c r="I271" s="1" t="n">
        <f aca="false">WEEKDAY('daily graphs'!K271)</f>
        <v>6</v>
      </c>
      <c r="J271" s="1" t="n">
        <f aca="false">DAY(L271)</f>
        <v>16</v>
      </c>
      <c r="K271" s="1" t="n">
        <f aca="false">MONTH(L271)</f>
        <v>9</v>
      </c>
      <c r="L271" s="23" t="n">
        <f aca="false">'daily graphs'!K271 - I271</f>
        <v>36785</v>
      </c>
      <c r="M271" s="24" t="n">
        <f aca="true">IF(TODAY()&lt;DATE($O$5,K271,J271),1000000,-1000000)</f>
        <v>-1000000</v>
      </c>
      <c r="N271" s="24" t="e">
        <f aca="false">IF(M271&gt;0,INDEX(big_daily_table,MATCH(DATE(O$5,$K271,$J271),daily_dates,0),MATCH($B$3,daily_items,0)),NA())</f>
        <v>#N/A</v>
      </c>
      <c r="O271" s="1" t="e">
        <f aca="false">IF(M271&lt;0,INDEX(big_daily_table,MATCH(DATE(O$5,$K271,$J271),daily_dates,0),MATCH($B$3,daily_items,0)),NA())</f>
        <v>#N/A</v>
      </c>
      <c r="P271" s="1" t="e">
        <f aca="false">IF(ISBLANK(INDEX(big_daily_table,MATCH(DATE(P$5,$K271,$J271),daily_dates,0),MATCH($B$3,daily_items,0))),NA(),INDEX(big_daily_table,MATCH(DATE(P$5,$K271,$J271),daily_dates,0),MATCH($B$3,daily_items,0)))</f>
        <v>#N/A</v>
      </c>
      <c r="Q271" s="1" t="e">
        <f aca="false">IF(ISBLANK(INDEX(big_daily_table,MATCH(DATE(Q$5,$K271,$J271),daily_dates,0),MATCH($B$3,daily_items,0))),NA(),INDEX(big_daily_table,MATCH(DATE(Q$5,$K271,$J271),daily_dates,0),MATCH($B$3,daily_items,0)))</f>
        <v>#N/A</v>
      </c>
      <c r="R271" s="1" t="e">
        <f aca="false">IF(ISBLANK(INDEX(big_daily_table,MATCH(DATE(R$5,$K271,$J271),daily_dates,0),MATCH($B$3,daily_items,0))),NA(),INDEX(big_daily_table,MATCH(DATE(R$5,$K271,$J271),daily_dates,0),MATCH($B$3,daily_items,0)))</f>
        <v>#N/A</v>
      </c>
      <c r="S271" s="1" t="e">
        <f aca="false">IF(ISBLANK(INDEX(big_daily_table,MATCH(DATE(S$5,$K271,$J271),daily_dates,0),MATCH($B$3,daily_items,0))),NA(),INDEX(big_daily_table,MATCH(DATE(S$5,$K271,$J271),daily_dates,0),MATCH($B$3,daily_items,0)))</f>
        <v>#N/A</v>
      </c>
      <c r="T271" s="1" t="e">
        <f aca="false">IF(ISBLANK(INDEX(big_daily_table,MATCH(DATE(T$5,$K271,$J271),daily_dates,0),MATCH($B$3,daily_items,0))),NA(),INDEX(big_daily_table,MATCH(DATE(T$5,$K271,$J271),daily_dates,0),MATCH($B$3,daily_items,0)))</f>
        <v>#N/A</v>
      </c>
      <c r="U271" s="1" t="e">
        <f aca="false">IF(ISBLANK(INDEX(big_daily_table,MATCH(DATE(U$5,$K271,$J271),daily_dates,0),MATCH($B$3,daily_items,0))),NA(),INDEX(big_daily_table,MATCH(DATE(U$5,$K271,$J271),daily_dates,0),MATCH($B$3,daily_items,0)))</f>
        <v>#N/A</v>
      </c>
      <c r="V271" s="1" t="e">
        <f aca="false">IF(ISBLANK(INDEX(big_daily_table,MATCH(DATE(V$5,$K271,$J271),daily_dates,0),MATCH($B$3,daily_items,0))),NA(),INDEX(big_daily_table,MATCH(DATE(V$5,$K271,$J271),daily_dates,0),MATCH($B$3,daily_items,0)))</f>
        <v>#N/A</v>
      </c>
      <c r="W271" s="1" t="e">
        <f aca="false">IF(ISBLANK(INDEX(big_daily_table,MATCH(DATE(W$5,$K271,$J271),daily_dates,0),MATCH($B$3,daily_items,0))),NA(),INDEX(big_daily_table,MATCH(DATE(W$5,$K271,$J271),daily_dates,0),MATCH($B$3,daily_items,0)))</f>
        <v>#N/A</v>
      </c>
      <c r="X271" s="1" t="e">
        <f aca="false">IF(ISBLANK(INDEX(big_daily_table,MATCH(DATE(X$5,$K271,$J271),daily_dates,0),MATCH($B$3,daily_items,0))),NA(),INDEX(big_daily_table,MATCH(DATE(X$5,$K271,$J271),daily_dates,0),MATCH($B$3,daily_items,0)))</f>
        <v>#N/A</v>
      </c>
      <c r="Y271" s="1" t="e">
        <f aca="false">IF(ISBLANK(INDEX(big_daily_table,MATCH(DATE(Y$5,$K271,$J271),daily_dates,0),MATCH($B$3,daily_items,0))),NA(),INDEX(big_daily_table,MATCH(DATE(Y$5,$K271,$J271),daily_dates,0),MATCH($B$3,daily_items,0)))</f>
        <v>#N/A</v>
      </c>
      <c r="Z271" s="1" t="e">
        <f aca="false">IF(ISBLANK(INDEX(big_daily_table,MATCH(DATE(Z$5,$K271,$J271),daily_dates,0),MATCH($B$3,daily_items,0))),NA(),INDEX(big_daily_table,MATCH(DATE(Z$5,$K271,$J271),daily_dates,0),MATCH($B$3,daily_items,0)))</f>
        <v>#N/A</v>
      </c>
      <c r="AA271" s="1" t="n">
        <f aca="true">_xlfn.AGGREGATE(5,6,OFFSET($S$5,H271,0,1,$K$2))</f>
        <v>0</v>
      </c>
      <c r="AB271" s="1" t="n">
        <f aca="true">_xlfn.AGGREGATE(4,6,OFFSET($S$5,H271,0,1,$K$2))</f>
        <v>0</v>
      </c>
      <c r="AC271" s="1" t="n">
        <f aca="false">AB271-AA271</f>
        <v>0</v>
      </c>
      <c r="AD271" s="1" t="e">
        <f aca="true">_xlfn.AGGREGATE(1,6,OFFSET($S$5,H271,0,1,$K$2))</f>
        <v>#DIV/0!</v>
      </c>
    </row>
    <row r="272" customFormat="false" ht="14.25" hidden="false" customHeight="false" outlineLevel="0" collapsed="false">
      <c r="H272" s="1" t="n">
        <f aca="false">H271+1</f>
        <v>267</v>
      </c>
      <c r="I272" s="1" t="n">
        <f aca="false">WEEKDAY('daily graphs'!K272)</f>
        <v>7</v>
      </c>
      <c r="J272" s="1" t="n">
        <f aca="false">DAY(L272)</f>
        <v>16</v>
      </c>
      <c r="K272" s="1" t="n">
        <f aca="false">MONTH(L272)</f>
        <v>9</v>
      </c>
      <c r="L272" s="23" t="n">
        <f aca="false">'daily graphs'!K272 - I272</f>
        <v>36785</v>
      </c>
      <c r="M272" s="24" t="n">
        <f aca="true">IF(TODAY()&lt;DATE($O$5,K272,J272),1000000,-1000000)</f>
        <v>-1000000</v>
      </c>
      <c r="N272" s="24" t="e">
        <f aca="false">IF(M272&gt;0,INDEX(big_daily_table,MATCH(DATE(O$5,$K272,$J272),daily_dates,0),MATCH($B$3,daily_items,0)),NA())</f>
        <v>#N/A</v>
      </c>
      <c r="O272" s="1" t="e">
        <f aca="false">IF(M272&lt;0,INDEX(big_daily_table,MATCH(DATE(O$5,$K272,$J272),daily_dates,0),MATCH($B$3,daily_items,0)),NA())</f>
        <v>#N/A</v>
      </c>
      <c r="P272" s="1" t="e">
        <f aca="false">IF(ISBLANK(INDEX(big_daily_table,MATCH(DATE(P$5,$K272,$J272),daily_dates,0),MATCH($B$3,daily_items,0))),NA(),INDEX(big_daily_table,MATCH(DATE(P$5,$K272,$J272),daily_dates,0),MATCH($B$3,daily_items,0)))</f>
        <v>#N/A</v>
      </c>
      <c r="Q272" s="1" t="e">
        <f aca="false">IF(ISBLANK(INDEX(big_daily_table,MATCH(DATE(Q$5,$K272,$J272),daily_dates,0),MATCH($B$3,daily_items,0))),NA(),INDEX(big_daily_table,MATCH(DATE(Q$5,$K272,$J272),daily_dates,0),MATCH($B$3,daily_items,0)))</f>
        <v>#N/A</v>
      </c>
      <c r="R272" s="1" t="e">
        <f aca="false">IF(ISBLANK(INDEX(big_daily_table,MATCH(DATE(R$5,$K272,$J272),daily_dates,0),MATCH($B$3,daily_items,0))),NA(),INDEX(big_daily_table,MATCH(DATE(R$5,$K272,$J272),daily_dates,0),MATCH($B$3,daily_items,0)))</f>
        <v>#N/A</v>
      </c>
      <c r="S272" s="1" t="e">
        <f aca="false">IF(ISBLANK(INDEX(big_daily_table,MATCH(DATE(S$5,$K272,$J272),daily_dates,0),MATCH($B$3,daily_items,0))),NA(),INDEX(big_daily_table,MATCH(DATE(S$5,$K272,$J272),daily_dates,0),MATCH($B$3,daily_items,0)))</f>
        <v>#N/A</v>
      </c>
      <c r="T272" s="1" t="e">
        <f aca="false">IF(ISBLANK(INDEX(big_daily_table,MATCH(DATE(T$5,$K272,$J272),daily_dates,0),MATCH($B$3,daily_items,0))),NA(),INDEX(big_daily_table,MATCH(DATE(T$5,$K272,$J272),daily_dates,0),MATCH($B$3,daily_items,0)))</f>
        <v>#N/A</v>
      </c>
      <c r="U272" s="1" t="e">
        <f aca="false">IF(ISBLANK(INDEX(big_daily_table,MATCH(DATE(U$5,$K272,$J272),daily_dates,0),MATCH($B$3,daily_items,0))),NA(),INDEX(big_daily_table,MATCH(DATE(U$5,$K272,$J272),daily_dates,0),MATCH($B$3,daily_items,0)))</f>
        <v>#N/A</v>
      </c>
      <c r="V272" s="1" t="e">
        <f aca="false">IF(ISBLANK(INDEX(big_daily_table,MATCH(DATE(V$5,$K272,$J272),daily_dates,0),MATCH($B$3,daily_items,0))),NA(),INDEX(big_daily_table,MATCH(DATE(V$5,$K272,$J272),daily_dates,0),MATCH($B$3,daily_items,0)))</f>
        <v>#N/A</v>
      </c>
      <c r="W272" s="1" t="e">
        <f aca="false">IF(ISBLANK(INDEX(big_daily_table,MATCH(DATE(W$5,$K272,$J272),daily_dates,0),MATCH($B$3,daily_items,0))),NA(),INDEX(big_daily_table,MATCH(DATE(W$5,$K272,$J272),daily_dates,0),MATCH($B$3,daily_items,0)))</f>
        <v>#N/A</v>
      </c>
      <c r="X272" s="1" t="e">
        <f aca="false">IF(ISBLANK(INDEX(big_daily_table,MATCH(DATE(X$5,$K272,$J272),daily_dates,0),MATCH($B$3,daily_items,0))),NA(),INDEX(big_daily_table,MATCH(DATE(X$5,$K272,$J272),daily_dates,0),MATCH($B$3,daily_items,0)))</f>
        <v>#N/A</v>
      </c>
      <c r="Y272" s="1" t="e">
        <f aca="false">IF(ISBLANK(INDEX(big_daily_table,MATCH(DATE(Y$5,$K272,$J272),daily_dates,0),MATCH($B$3,daily_items,0))),NA(),INDEX(big_daily_table,MATCH(DATE(Y$5,$K272,$J272),daily_dates,0),MATCH($B$3,daily_items,0)))</f>
        <v>#N/A</v>
      </c>
      <c r="Z272" s="1" t="e">
        <f aca="false">IF(ISBLANK(INDEX(big_daily_table,MATCH(DATE(Z$5,$K272,$J272),daily_dates,0),MATCH($B$3,daily_items,0))),NA(),INDEX(big_daily_table,MATCH(DATE(Z$5,$K272,$J272),daily_dates,0),MATCH($B$3,daily_items,0)))</f>
        <v>#N/A</v>
      </c>
      <c r="AA272" s="1" t="n">
        <f aca="true">_xlfn.AGGREGATE(5,6,OFFSET($S$5,H272,0,1,$K$2))</f>
        <v>0</v>
      </c>
      <c r="AB272" s="1" t="n">
        <f aca="true">_xlfn.AGGREGATE(4,6,OFFSET($S$5,H272,0,1,$K$2))</f>
        <v>0</v>
      </c>
      <c r="AC272" s="1" t="n">
        <f aca="false">AB272-AA272</f>
        <v>0</v>
      </c>
      <c r="AD272" s="1" t="e">
        <f aca="true">_xlfn.AGGREGATE(1,6,OFFSET($S$5,H272,0,1,$K$2))</f>
        <v>#DIV/0!</v>
      </c>
    </row>
    <row r="273" customFormat="false" ht="14.25" hidden="false" customHeight="false" outlineLevel="0" collapsed="false">
      <c r="H273" s="1" t="n">
        <f aca="false">H272+1</f>
        <v>268</v>
      </c>
      <c r="I273" s="1" t="n">
        <f aca="false">WEEKDAY('daily graphs'!K273)</f>
        <v>1</v>
      </c>
      <c r="J273" s="1" t="n">
        <f aca="false">DAY(L273)</f>
        <v>23</v>
      </c>
      <c r="K273" s="1" t="n">
        <f aca="false">MONTH(L273)</f>
        <v>9</v>
      </c>
      <c r="L273" s="23" t="n">
        <f aca="false">'daily graphs'!K273 - I273</f>
        <v>36792</v>
      </c>
      <c r="M273" s="24" t="n">
        <f aca="true">IF(TODAY()&lt;DATE($O$5,K273,J273),1000000,-1000000)</f>
        <v>-1000000</v>
      </c>
      <c r="N273" s="24" t="e">
        <f aca="false">IF(M273&gt;0,INDEX(big_daily_table,MATCH(DATE(O$5,$K273,$J273),daily_dates,0),MATCH($B$3,daily_items,0)),NA())</f>
        <v>#N/A</v>
      </c>
      <c r="O273" s="1" t="e">
        <f aca="false">IF(M273&lt;0,INDEX(big_daily_table,MATCH(DATE(O$5,$K273,$J273),daily_dates,0),MATCH($B$3,daily_items,0)),NA())</f>
        <v>#N/A</v>
      </c>
      <c r="P273" s="1" t="e">
        <f aca="false">IF(ISBLANK(INDEX(big_daily_table,MATCH(DATE(P$5,$K273,$J273),daily_dates,0),MATCH($B$3,daily_items,0))),NA(),INDEX(big_daily_table,MATCH(DATE(P$5,$K273,$J273),daily_dates,0),MATCH($B$3,daily_items,0)))</f>
        <v>#N/A</v>
      </c>
      <c r="Q273" s="1" t="e">
        <f aca="false">IF(ISBLANK(INDEX(big_daily_table,MATCH(DATE(Q$5,$K273,$J273),daily_dates,0),MATCH($B$3,daily_items,0))),NA(),INDEX(big_daily_table,MATCH(DATE(Q$5,$K273,$J273),daily_dates,0),MATCH($B$3,daily_items,0)))</f>
        <v>#N/A</v>
      </c>
      <c r="R273" s="1" t="e">
        <f aca="false">IF(ISBLANK(INDEX(big_daily_table,MATCH(DATE(R$5,$K273,$J273),daily_dates,0),MATCH($B$3,daily_items,0))),NA(),INDEX(big_daily_table,MATCH(DATE(R$5,$K273,$J273),daily_dates,0),MATCH($B$3,daily_items,0)))</f>
        <v>#N/A</v>
      </c>
      <c r="S273" s="1" t="e">
        <f aca="false">IF(ISBLANK(INDEX(big_daily_table,MATCH(DATE(S$5,$K273,$J273),daily_dates,0),MATCH($B$3,daily_items,0))),NA(),INDEX(big_daily_table,MATCH(DATE(S$5,$K273,$J273),daily_dates,0),MATCH($B$3,daily_items,0)))</f>
        <v>#N/A</v>
      </c>
      <c r="T273" s="1" t="e">
        <f aca="false">IF(ISBLANK(INDEX(big_daily_table,MATCH(DATE(T$5,$K273,$J273),daily_dates,0),MATCH($B$3,daily_items,0))),NA(),INDEX(big_daily_table,MATCH(DATE(T$5,$K273,$J273),daily_dates,0),MATCH($B$3,daily_items,0)))</f>
        <v>#N/A</v>
      </c>
      <c r="U273" s="1" t="e">
        <f aca="false">IF(ISBLANK(INDEX(big_daily_table,MATCH(DATE(U$5,$K273,$J273),daily_dates,0),MATCH($B$3,daily_items,0))),NA(),INDEX(big_daily_table,MATCH(DATE(U$5,$K273,$J273),daily_dates,0),MATCH($B$3,daily_items,0)))</f>
        <v>#N/A</v>
      </c>
      <c r="V273" s="1" t="e">
        <f aca="false">IF(ISBLANK(INDEX(big_daily_table,MATCH(DATE(V$5,$K273,$J273),daily_dates,0),MATCH($B$3,daily_items,0))),NA(),INDEX(big_daily_table,MATCH(DATE(V$5,$K273,$J273),daily_dates,0),MATCH($B$3,daily_items,0)))</f>
        <v>#N/A</v>
      </c>
      <c r="W273" s="1" t="e">
        <f aca="false">IF(ISBLANK(INDEX(big_daily_table,MATCH(DATE(W$5,$K273,$J273),daily_dates,0),MATCH($B$3,daily_items,0))),NA(),INDEX(big_daily_table,MATCH(DATE(W$5,$K273,$J273),daily_dates,0),MATCH($B$3,daily_items,0)))</f>
        <v>#N/A</v>
      </c>
      <c r="X273" s="1" t="e">
        <f aca="false">IF(ISBLANK(INDEX(big_daily_table,MATCH(DATE(X$5,$K273,$J273),daily_dates,0),MATCH($B$3,daily_items,0))),NA(),INDEX(big_daily_table,MATCH(DATE(X$5,$K273,$J273),daily_dates,0),MATCH($B$3,daily_items,0)))</f>
        <v>#N/A</v>
      </c>
      <c r="Y273" s="1" t="e">
        <f aca="false">IF(ISBLANK(INDEX(big_daily_table,MATCH(DATE(Y$5,$K273,$J273),daily_dates,0),MATCH($B$3,daily_items,0))),NA(),INDEX(big_daily_table,MATCH(DATE(Y$5,$K273,$J273),daily_dates,0),MATCH($B$3,daily_items,0)))</f>
        <v>#N/A</v>
      </c>
      <c r="Z273" s="1" t="e">
        <f aca="false">IF(ISBLANK(INDEX(big_daily_table,MATCH(DATE(Z$5,$K273,$J273),daily_dates,0),MATCH($B$3,daily_items,0))),NA(),INDEX(big_daily_table,MATCH(DATE(Z$5,$K273,$J273),daily_dates,0),MATCH($B$3,daily_items,0)))</f>
        <v>#N/A</v>
      </c>
      <c r="AA273" s="1" t="n">
        <f aca="true">_xlfn.AGGREGATE(5,6,OFFSET($S$5,H273,0,1,$K$2))</f>
        <v>0</v>
      </c>
      <c r="AB273" s="1" t="n">
        <f aca="true">_xlfn.AGGREGATE(4,6,OFFSET($S$5,H273,0,1,$K$2))</f>
        <v>0</v>
      </c>
      <c r="AC273" s="1" t="n">
        <f aca="false">AB273-AA273</f>
        <v>0</v>
      </c>
      <c r="AD273" s="1" t="e">
        <f aca="true">_xlfn.AGGREGATE(1,6,OFFSET($S$5,H273,0,1,$K$2))</f>
        <v>#DIV/0!</v>
      </c>
    </row>
    <row r="274" customFormat="false" ht="14.25" hidden="false" customHeight="false" outlineLevel="0" collapsed="false">
      <c r="H274" s="1" t="n">
        <f aca="false">H273+1</f>
        <v>269</v>
      </c>
      <c r="I274" s="1" t="n">
        <f aca="false">WEEKDAY('daily graphs'!K274)</f>
        <v>2</v>
      </c>
      <c r="J274" s="1" t="n">
        <f aca="false">DAY(L274)</f>
        <v>23</v>
      </c>
      <c r="K274" s="1" t="n">
        <f aca="false">MONTH(L274)</f>
        <v>9</v>
      </c>
      <c r="L274" s="23" t="n">
        <f aca="false">'daily graphs'!K274 - I274</f>
        <v>36792</v>
      </c>
      <c r="M274" s="24" t="n">
        <f aca="true">IF(TODAY()&lt;DATE($O$5,K274,J274),1000000,-1000000)</f>
        <v>-1000000</v>
      </c>
      <c r="N274" s="24" t="e">
        <f aca="false">IF(M274&gt;0,INDEX(big_daily_table,MATCH(DATE(O$5,$K274,$J274),daily_dates,0),MATCH($B$3,daily_items,0)),NA())</f>
        <v>#N/A</v>
      </c>
      <c r="O274" s="1" t="e">
        <f aca="false">IF(M274&lt;0,INDEX(big_daily_table,MATCH(DATE(O$5,$K274,$J274),daily_dates,0),MATCH($B$3,daily_items,0)),NA())</f>
        <v>#N/A</v>
      </c>
      <c r="P274" s="1" t="e">
        <f aca="false">IF(ISBLANK(INDEX(big_daily_table,MATCH(DATE(P$5,$K274,$J274),daily_dates,0),MATCH($B$3,daily_items,0))),NA(),INDEX(big_daily_table,MATCH(DATE(P$5,$K274,$J274),daily_dates,0),MATCH($B$3,daily_items,0)))</f>
        <v>#N/A</v>
      </c>
      <c r="Q274" s="1" t="e">
        <f aca="false">IF(ISBLANK(INDEX(big_daily_table,MATCH(DATE(Q$5,$K274,$J274),daily_dates,0),MATCH($B$3,daily_items,0))),NA(),INDEX(big_daily_table,MATCH(DATE(Q$5,$K274,$J274),daily_dates,0),MATCH($B$3,daily_items,0)))</f>
        <v>#N/A</v>
      </c>
      <c r="R274" s="1" t="e">
        <f aca="false">IF(ISBLANK(INDEX(big_daily_table,MATCH(DATE(R$5,$K274,$J274),daily_dates,0),MATCH($B$3,daily_items,0))),NA(),INDEX(big_daily_table,MATCH(DATE(R$5,$K274,$J274),daily_dates,0),MATCH($B$3,daily_items,0)))</f>
        <v>#N/A</v>
      </c>
      <c r="S274" s="1" t="e">
        <f aca="false">IF(ISBLANK(INDEX(big_daily_table,MATCH(DATE(S$5,$K274,$J274),daily_dates,0),MATCH($B$3,daily_items,0))),NA(),INDEX(big_daily_table,MATCH(DATE(S$5,$K274,$J274),daily_dates,0),MATCH($B$3,daily_items,0)))</f>
        <v>#N/A</v>
      </c>
      <c r="T274" s="1" t="e">
        <f aca="false">IF(ISBLANK(INDEX(big_daily_table,MATCH(DATE(T$5,$K274,$J274),daily_dates,0),MATCH($B$3,daily_items,0))),NA(),INDEX(big_daily_table,MATCH(DATE(T$5,$K274,$J274),daily_dates,0),MATCH($B$3,daily_items,0)))</f>
        <v>#N/A</v>
      </c>
      <c r="U274" s="1" t="e">
        <f aca="false">IF(ISBLANK(INDEX(big_daily_table,MATCH(DATE(U$5,$K274,$J274),daily_dates,0),MATCH($B$3,daily_items,0))),NA(),INDEX(big_daily_table,MATCH(DATE(U$5,$K274,$J274),daily_dates,0),MATCH($B$3,daily_items,0)))</f>
        <v>#N/A</v>
      </c>
      <c r="V274" s="1" t="e">
        <f aca="false">IF(ISBLANK(INDEX(big_daily_table,MATCH(DATE(V$5,$K274,$J274),daily_dates,0),MATCH($B$3,daily_items,0))),NA(),INDEX(big_daily_table,MATCH(DATE(V$5,$K274,$J274),daily_dates,0),MATCH($B$3,daily_items,0)))</f>
        <v>#N/A</v>
      </c>
      <c r="W274" s="1" t="e">
        <f aca="false">IF(ISBLANK(INDEX(big_daily_table,MATCH(DATE(W$5,$K274,$J274),daily_dates,0),MATCH($B$3,daily_items,0))),NA(),INDEX(big_daily_table,MATCH(DATE(W$5,$K274,$J274),daily_dates,0),MATCH($B$3,daily_items,0)))</f>
        <v>#N/A</v>
      </c>
      <c r="X274" s="1" t="e">
        <f aca="false">IF(ISBLANK(INDEX(big_daily_table,MATCH(DATE(X$5,$K274,$J274),daily_dates,0),MATCH($B$3,daily_items,0))),NA(),INDEX(big_daily_table,MATCH(DATE(X$5,$K274,$J274),daily_dates,0),MATCH($B$3,daily_items,0)))</f>
        <v>#N/A</v>
      </c>
      <c r="Y274" s="1" t="e">
        <f aca="false">IF(ISBLANK(INDEX(big_daily_table,MATCH(DATE(Y$5,$K274,$J274),daily_dates,0),MATCH($B$3,daily_items,0))),NA(),INDEX(big_daily_table,MATCH(DATE(Y$5,$K274,$J274),daily_dates,0),MATCH($B$3,daily_items,0)))</f>
        <v>#N/A</v>
      </c>
      <c r="Z274" s="1" t="e">
        <f aca="false">IF(ISBLANK(INDEX(big_daily_table,MATCH(DATE(Z$5,$K274,$J274),daily_dates,0),MATCH($B$3,daily_items,0))),NA(),INDEX(big_daily_table,MATCH(DATE(Z$5,$K274,$J274),daily_dates,0),MATCH($B$3,daily_items,0)))</f>
        <v>#N/A</v>
      </c>
      <c r="AA274" s="1" t="n">
        <f aca="true">_xlfn.AGGREGATE(5,6,OFFSET($S$5,H274,0,1,$K$2))</f>
        <v>0</v>
      </c>
      <c r="AB274" s="1" t="n">
        <f aca="true">_xlfn.AGGREGATE(4,6,OFFSET($S$5,H274,0,1,$K$2))</f>
        <v>0</v>
      </c>
      <c r="AC274" s="1" t="n">
        <f aca="false">AB274-AA274</f>
        <v>0</v>
      </c>
      <c r="AD274" s="1" t="e">
        <f aca="true">_xlfn.AGGREGATE(1,6,OFFSET($S$5,H274,0,1,$K$2))</f>
        <v>#DIV/0!</v>
      </c>
    </row>
    <row r="275" customFormat="false" ht="14.25" hidden="false" customHeight="false" outlineLevel="0" collapsed="false">
      <c r="H275" s="1" t="n">
        <f aca="false">H274+1</f>
        <v>270</v>
      </c>
      <c r="I275" s="1" t="n">
        <f aca="false">WEEKDAY('daily graphs'!K275)</f>
        <v>3</v>
      </c>
      <c r="J275" s="1" t="n">
        <f aca="false">DAY(L275)</f>
        <v>23</v>
      </c>
      <c r="K275" s="1" t="n">
        <f aca="false">MONTH(L275)</f>
        <v>9</v>
      </c>
      <c r="L275" s="23" t="n">
        <f aca="false">'daily graphs'!K275 - I275</f>
        <v>36792</v>
      </c>
      <c r="M275" s="24" t="n">
        <f aca="true">IF(TODAY()&lt;DATE($O$5,K275,J275),1000000,-1000000)</f>
        <v>-1000000</v>
      </c>
      <c r="N275" s="24" t="e">
        <f aca="false">IF(M275&gt;0,INDEX(big_daily_table,MATCH(DATE(O$5,$K275,$J275),daily_dates,0),MATCH($B$3,daily_items,0)),NA())</f>
        <v>#N/A</v>
      </c>
      <c r="O275" s="1" t="e">
        <f aca="false">IF(M275&lt;0,INDEX(big_daily_table,MATCH(DATE(O$5,$K275,$J275),daily_dates,0),MATCH($B$3,daily_items,0)),NA())</f>
        <v>#N/A</v>
      </c>
      <c r="P275" s="1" t="e">
        <f aca="false">IF(ISBLANK(INDEX(big_daily_table,MATCH(DATE(P$5,$K275,$J275),daily_dates,0),MATCH($B$3,daily_items,0))),NA(),INDEX(big_daily_table,MATCH(DATE(P$5,$K275,$J275),daily_dates,0),MATCH($B$3,daily_items,0)))</f>
        <v>#N/A</v>
      </c>
      <c r="Q275" s="1" t="e">
        <f aca="false">IF(ISBLANK(INDEX(big_daily_table,MATCH(DATE(Q$5,$K275,$J275),daily_dates,0),MATCH($B$3,daily_items,0))),NA(),INDEX(big_daily_table,MATCH(DATE(Q$5,$K275,$J275),daily_dates,0),MATCH($B$3,daily_items,0)))</f>
        <v>#N/A</v>
      </c>
      <c r="R275" s="1" t="e">
        <f aca="false">IF(ISBLANK(INDEX(big_daily_table,MATCH(DATE(R$5,$K275,$J275),daily_dates,0),MATCH($B$3,daily_items,0))),NA(),INDEX(big_daily_table,MATCH(DATE(R$5,$K275,$J275),daily_dates,0),MATCH($B$3,daily_items,0)))</f>
        <v>#N/A</v>
      </c>
      <c r="S275" s="1" t="e">
        <f aca="false">IF(ISBLANK(INDEX(big_daily_table,MATCH(DATE(S$5,$K275,$J275),daily_dates,0),MATCH($B$3,daily_items,0))),NA(),INDEX(big_daily_table,MATCH(DATE(S$5,$K275,$J275),daily_dates,0),MATCH($B$3,daily_items,0)))</f>
        <v>#N/A</v>
      </c>
      <c r="T275" s="1" t="e">
        <f aca="false">IF(ISBLANK(INDEX(big_daily_table,MATCH(DATE(T$5,$K275,$J275),daily_dates,0),MATCH($B$3,daily_items,0))),NA(),INDEX(big_daily_table,MATCH(DATE(T$5,$K275,$J275),daily_dates,0),MATCH($B$3,daily_items,0)))</f>
        <v>#N/A</v>
      </c>
      <c r="U275" s="1" t="e">
        <f aca="false">IF(ISBLANK(INDEX(big_daily_table,MATCH(DATE(U$5,$K275,$J275),daily_dates,0),MATCH($B$3,daily_items,0))),NA(),INDEX(big_daily_table,MATCH(DATE(U$5,$K275,$J275),daily_dates,0),MATCH($B$3,daily_items,0)))</f>
        <v>#N/A</v>
      </c>
      <c r="V275" s="1" t="e">
        <f aca="false">IF(ISBLANK(INDEX(big_daily_table,MATCH(DATE(V$5,$K275,$J275),daily_dates,0),MATCH($B$3,daily_items,0))),NA(),INDEX(big_daily_table,MATCH(DATE(V$5,$K275,$J275),daily_dates,0),MATCH($B$3,daily_items,0)))</f>
        <v>#N/A</v>
      </c>
      <c r="W275" s="1" t="e">
        <f aca="false">IF(ISBLANK(INDEX(big_daily_table,MATCH(DATE(W$5,$K275,$J275),daily_dates,0),MATCH($B$3,daily_items,0))),NA(),INDEX(big_daily_table,MATCH(DATE(W$5,$K275,$J275),daily_dates,0),MATCH($B$3,daily_items,0)))</f>
        <v>#N/A</v>
      </c>
      <c r="X275" s="1" t="e">
        <f aca="false">IF(ISBLANK(INDEX(big_daily_table,MATCH(DATE(X$5,$K275,$J275),daily_dates,0),MATCH($B$3,daily_items,0))),NA(),INDEX(big_daily_table,MATCH(DATE(X$5,$K275,$J275),daily_dates,0),MATCH($B$3,daily_items,0)))</f>
        <v>#N/A</v>
      </c>
      <c r="Y275" s="1" t="e">
        <f aca="false">IF(ISBLANK(INDEX(big_daily_table,MATCH(DATE(Y$5,$K275,$J275),daily_dates,0),MATCH($B$3,daily_items,0))),NA(),INDEX(big_daily_table,MATCH(DATE(Y$5,$K275,$J275),daily_dates,0),MATCH($B$3,daily_items,0)))</f>
        <v>#N/A</v>
      </c>
      <c r="Z275" s="1" t="e">
        <f aca="false">IF(ISBLANK(INDEX(big_daily_table,MATCH(DATE(Z$5,$K275,$J275),daily_dates,0),MATCH($B$3,daily_items,0))),NA(),INDEX(big_daily_table,MATCH(DATE(Z$5,$K275,$J275),daily_dates,0),MATCH($B$3,daily_items,0)))</f>
        <v>#N/A</v>
      </c>
      <c r="AA275" s="1" t="n">
        <f aca="true">_xlfn.AGGREGATE(5,6,OFFSET($S$5,H275,0,1,$K$2))</f>
        <v>0</v>
      </c>
      <c r="AB275" s="1" t="n">
        <f aca="true">_xlfn.AGGREGATE(4,6,OFFSET($S$5,H275,0,1,$K$2))</f>
        <v>0</v>
      </c>
      <c r="AC275" s="1" t="n">
        <f aca="false">AB275-AA275</f>
        <v>0</v>
      </c>
      <c r="AD275" s="1" t="e">
        <f aca="true">_xlfn.AGGREGATE(1,6,OFFSET($S$5,H275,0,1,$K$2))</f>
        <v>#DIV/0!</v>
      </c>
    </row>
    <row r="276" customFormat="false" ht="14.25" hidden="false" customHeight="false" outlineLevel="0" collapsed="false">
      <c r="H276" s="1" t="n">
        <f aca="false">H275+1</f>
        <v>271</v>
      </c>
      <c r="I276" s="1" t="n">
        <f aca="false">WEEKDAY('daily graphs'!K276)</f>
        <v>4</v>
      </c>
      <c r="J276" s="1" t="n">
        <f aca="false">DAY(L276)</f>
        <v>23</v>
      </c>
      <c r="K276" s="1" t="n">
        <f aca="false">MONTH(L276)</f>
        <v>9</v>
      </c>
      <c r="L276" s="23" t="n">
        <f aca="false">'daily graphs'!K276 - I276</f>
        <v>36792</v>
      </c>
      <c r="M276" s="24" t="n">
        <f aca="true">IF(TODAY()&lt;DATE($O$5,K276,J276),1000000,-1000000)</f>
        <v>-1000000</v>
      </c>
      <c r="N276" s="24" t="e">
        <f aca="false">IF(M276&gt;0,INDEX(big_daily_table,MATCH(DATE(O$5,$K276,$J276),daily_dates,0),MATCH($B$3,daily_items,0)),NA())</f>
        <v>#N/A</v>
      </c>
      <c r="O276" s="1" t="e">
        <f aca="false">IF(M276&lt;0,INDEX(big_daily_table,MATCH(DATE(O$5,$K276,$J276),daily_dates,0),MATCH($B$3,daily_items,0)),NA())</f>
        <v>#N/A</v>
      </c>
      <c r="P276" s="1" t="e">
        <f aca="false">IF(ISBLANK(INDEX(big_daily_table,MATCH(DATE(P$5,$K276,$J276),daily_dates,0),MATCH($B$3,daily_items,0))),NA(),INDEX(big_daily_table,MATCH(DATE(P$5,$K276,$J276),daily_dates,0),MATCH($B$3,daily_items,0)))</f>
        <v>#N/A</v>
      </c>
      <c r="Q276" s="1" t="e">
        <f aca="false">IF(ISBLANK(INDEX(big_daily_table,MATCH(DATE(Q$5,$K276,$J276),daily_dates,0),MATCH($B$3,daily_items,0))),NA(),INDEX(big_daily_table,MATCH(DATE(Q$5,$K276,$J276),daily_dates,0),MATCH($B$3,daily_items,0)))</f>
        <v>#N/A</v>
      </c>
      <c r="R276" s="1" t="e">
        <f aca="false">IF(ISBLANK(INDEX(big_daily_table,MATCH(DATE(R$5,$K276,$J276),daily_dates,0),MATCH($B$3,daily_items,0))),NA(),INDEX(big_daily_table,MATCH(DATE(R$5,$K276,$J276),daily_dates,0),MATCH($B$3,daily_items,0)))</f>
        <v>#N/A</v>
      </c>
      <c r="S276" s="1" t="e">
        <f aca="false">IF(ISBLANK(INDEX(big_daily_table,MATCH(DATE(S$5,$K276,$J276),daily_dates,0),MATCH($B$3,daily_items,0))),NA(),INDEX(big_daily_table,MATCH(DATE(S$5,$K276,$J276),daily_dates,0),MATCH($B$3,daily_items,0)))</f>
        <v>#N/A</v>
      </c>
      <c r="T276" s="1" t="e">
        <f aca="false">IF(ISBLANK(INDEX(big_daily_table,MATCH(DATE(T$5,$K276,$J276),daily_dates,0),MATCH($B$3,daily_items,0))),NA(),INDEX(big_daily_table,MATCH(DATE(T$5,$K276,$J276),daily_dates,0),MATCH($B$3,daily_items,0)))</f>
        <v>#N/A</v>
      </c>
      <c r="U276" s="1" t="e">
        <f aca="false">IF(ISBLANK(INDEX(big_daily_table,MATCH(DATE(U$5,$K276,$J276),daily_dates,0),MATCH($B$3,daily_items,0))),NA(),INDEX(big_daily_table,MATCH(DATE(U$5,$K276,$J276),daily_dates,0),MATCH($B$3,daily_items,0)))</f>
        <v>#N/A</v>
      </c>
      <c r="V276" s="1" t="e">
        <f aca="false">IF(ISBLANK(INDEX(big_daily_table,MATCH(DATE(V$5,$K276,$J276),daily_dates,0),MATCH($B$3,daily_items,0))),NA(),INDEX(big_daily_table,MATCH(DATE(V$5,$K276,$J276),daily_dates,0),MATCH($B$3,daily_items,0)))</f>
        <v>#N/A</v>
      </c>
      <c r="W276" s="1" t="e">
        <f aca="false">IF(ISBLANK(INDEX(big_daily_table,MATCH(DATE(W$5,$K276,$J276),daily_dates,0),MATCH($B$3,daily_items,0))),NA(),INDEX(big_daily_table,MATCH(DATE(W$5,$K276,$J276),daily_dates,0),MATCH($B$3,daily_items,0)))</f>
        <v>#N/A</v>
      </c>
      <c r="X276" s="1" t="e">
        <f aca="false">IF(ISBLANK(INDEX(big_daily_table,MATCH(DATE(X$5,$K276,$J276),daily_dates,0),MATCH($B$3,daily_items,0))),NA(),INDEX(big_daily_table,MATCH(DATE(X$5,$K276,$J276),daily_dates,0),MATCH($B$3,daily_items,0)))</f>
        <v>#N/A</v>
      </c>
      <c r="Y276" s="1" t="e">
        <f aca="false">IF(ISBLANK(INDEX(big_daily_table,MATCH(DATE(Y$5,$K276,$J276),daily_dates,0),MATCH($B$3,daily_items,0))),NA(),INDEX(big_daily_table,MATCH(DATE(Y$5,$K276,$J276),daily_dates,0),MATCH($B$3,daily_items,0)))</f>
        <v>#N/A</v>
      </c>
      <c r="Z276" s="1" t="e">
        <f aca="false">IF(ISBLANK(INDEX(big_daily_table,MATCH(DATE(Z$5,$K276,$J276),daily_dates,0),MATCH($B$3,daily_items,0))),NA(),INDEX(big_daily_table,MATCH(DATE(Z$5,$K276,$J276),daily_dates,0),MATCH($B$3,daily_items,0)))</f>
        <v>#N/A</v>
      </c>
      <c r="AA276" s="1" t="n">
        <f aca="true">_xlfn.AGGREGATE(5,6,OFFSET($S$5,H276,0,1,$K$2))</f>
        <v>0</v>
      </c>
      <c r="AB276" s="1" t="n">
        <f aca="true">_xlfn.AGGREGATE(4,6,OFFSET($S$5,H276,0,1,$K$2))</f>
        <v>0</v>
      </c>
      <c r="AC276" s="1" t="n">
        <f aca="false">AB276-AA276</f>
        <v>0</v>
      </c>
      <c r="AD276" s="1" t="e">
        <f aca="true">_xlfn.AGGREGATE(1,6,OFFSET($S$5,H276,0,1,$K$2))</f>
        <v>#DIV/0!</v>
      </c>
    </row>
    <row r="277" customFormat="false" ht="14.25" hidden="false" customHeight="false" outlineLevel="0" collapsed="false">
      <c r="H277" s="1" t="n">
        <f aca="false">H276+1</f>
        <v>272</v>
      </c>
      <c r="I277" s="1" t="n">
        <f aca="false">WEEKDAY('daily graphs'!K277)</f>
        <v>5</v>
      </c>
      <c r="J277" s="1" t="n">
        <f aca="false">DAY(L277)</f>
        <v>23</v>
      </c>
      <c r="K277" s="1" t="n">
        <f aca="false">MONTH(L277)</f>
        <v>9</v>
      </c>
      <c r="L277" s="23" t="n">
        <f aca="false">'daily graphs'!K277 - I277</f>
        <v>36792</v>
      </c>
      <c r="M277" s="24" t="n">
        <f aca="true">IF(TODAY()&lt;DATE($O$5,K277,J277),1000000,-1000000)</f>
        <v>-1000000</v>
      </c>
      <c r="N277" s="24" t="e">
        <f aca="false">IF(M277&gt;0,INDEX(big_daily_table,MATCH(DATE(O$5,$K277,$J277),daily_dates,0),MATCH($B$3,daily_items,0)),NA())</f>
        <v>#N/A</v>
      </c>
      <c r="O277" s="1" t="e">
        <f aca="false">IF(M277&lt;0,INDEX(big_daily_table,MATCH(DATE(O$5,$K277,$J277),daily_dates,0),MATCH($B$3,daily_items,0)),NA())</f>
        <v>#N/A</v>
      </c>
      <c r="P277" s="1" t="e">
        <f aca="false">IF(ISBLANK(INDEX(big_daily_table,MATCH(DATE(P$5,$K277,$J277),daily_dates,0),MATCH($B$3,daily_items,0))),NA(),INDEX(big_daily_table,MATCH(DATE(P$5,$K277,$J277),daily_dates,0),MATCH($B$3,daily_items,0)))</f>
        <v>#N/A</v>
      </c>
      <c r="Q277" s="1" t="e">
        <f aca="false">IF(ISBLANK(INDEX(big_daily_table,MATCH(DATE(Q$5,$K277,$J277),daily_dates,0),MATCH($B$3,daily_items,0))),NA(),INDEX(big_daily_table,MATCH(DATE(Q$5,$K277,$J277),daily_dates,0),MATCH($B$3,daily_items,0)))</f>
        <v>#N/A</v>
      </c>
      <c r="R277" s="1" t="e">
        <f aca="false">IF(ISBLANK(INDEX(big_daily_table,MATCH(DATE(R$5,$K277,$J277),daily_dates,0),MATCH($B$3,daily_items,0))),NA(),INDEX(big_daily_table,MATCH(DATE(R$5,$K277,$J277),daily_dates,0),MATCH($B$3,daily_items,0)))</f>
        <v>#N/A</v>
      </c>
      <c r="S277" s="1" t="e">
        <f aca="false">IF(ISBLANK(INDEX(big_daily_table,MATCH(DATE(S$5,$K277,$J277),daily_dates,0),MATCH($B$3,daily_items,0))),NA(),INDEX(big_daily_table,MATCH(DATE(S$5,$K277,$J277),daily_dates,0),MATCH($B$3,daily_items,0)))</f>
        <v>#N/A</v>
      </c>
      <c r="T277" s="1" t="e">
        <f aca="false">IF(ISBLANK(INDEX(big_daily_table,MATCH(DATE(T$5,$K277,$J277),daily_dates,0),MATCH($B$3,daily_items,0))),NA(),INDEX(big_daily_table,MATCH(DATE(T$5,$K277,$J277),daily_dates,0),MATCH($B$3,daily_items,0)))</f>
        <v>#N/A</v>
      </c>
      <c r="U277" s="1" t="e">
        <f aca="false">IF(ISBLANK(INDEX(big_daily_table,MATCH(DATE(U$5,$K277,$J277),daily_dates,0),MATCH($B$3,daily_items,0))),NA(),INDEX(big_daily_table,MATCH(DATE(U$5,$K277,$J277),daily_dates,0),MATCH($B$3,daily_items,0)))</f>
        <v>#N/A</v>
      </c>
      <c r="V277" s="1" t="e">
        <f aca="false">IF(ISBLANK(INDEX(big_daily_table,MATCH(DATE(V$5,$K277,$J277),daily_dates,0),MATCH($B$3,daily_items,0))),NA(),INDEX(big_daily_table,MATCH(DATE(V$5,$K277,$J277),daily_dates,0),MATCH($B$3,daily_items,0)))</f>
        <v>#N/A</v>
      </c>
      <c r="W277" s="1" t="e">
        <f aca="false">IF(ISBLANK(INDEX(big_daily_table,MATCH(DATE(W$5,$K277,$J277),daily_dates,0),MATCH($B$3,daily_items,0))),NA(),INDEX(big_daily_table,MATCH(DATE(W$5,$K277,$J277),daily_dates,0),MATCH($B$3,daily_items,0)))</f>
        <v>#N/A</v>
      </c>
      <c r="X277" s="1" t="e">
        <f aca="false">IF(ISBLANK(INDEX(big_daily_table,MATCH(DATE(X$5,$K277,$J277),daily_dates,0),MATCH($B$3,daily_items,0))),NA(),INDEX(big_daily_table,MATCH(DATE(X$5,$K277,$J277),daily_dates,0),MATCH($B$3,daily_items,0)))</f>
        <v>#N/A</v>
      </c>
      <c r="Y277" s="1" t="e">
        <f aca="false">IF(ISBLANK(INDEX(big_daily_table,MATCH(DATE(Y$5,$K277,$J277),daily_dates,0),MATCH($B$3,daily_items,0))),NA(),INDEX(big_daily_table,MATCH(DATE(Y$5,$K277,$J277),daily_dates,0),MATCH($B$3,daily_items,0)))</f>
        <v>#N/A</v>
      </c>
      <c r="Z277" s="1" t="e">
        <f aca="false">IF(ISBLANK(INDEX(big_daily_table,MATCH(DATE(Z$5,$K277,$J277),daily_dates,0),MATCH($B$3,daily_items,0))),NA(),INDEX(big_daily_table,MATCH(DATE(Z$5,$K277,$J277),daily_dates,0),MATCH($B$3,daily_items,0)))</f>
        <v>#N/A</v>
      </c>
      <c r="AA277" s="1" t="n">
        <f aca="true">_xlfn.AGGREGATE(5,6,OFFSET($S$5,H277,0,1,$K$2))</f>
        <v>0</v>
      </c>
      <c r="AB277" s="1" t="n">
        <f aca="true">_xlfn.AGGREGATE(4,6,OFFSET($S$5,H277,0,1,$K$2))</f>
        <v>0</v>
      </c>
      <c r="AC277" s="1" t="n">
        <f aca="false">AB277-AA277</f>
        <v>0</v>
      </c>
      <c r="AD277" s="1" t="e">
        <f aca="true">_xlfn.AGGREGATE(1,6,OFFSET($S$5,H277,0,1,$K$2))</f>
        <v>#DIV/0!</v>
      </c>
    </row>
    <row r="278" customFormat="false" ht="14.25" hidden="false" customHeight="false" outlineLevel="0" collapsed="false">
      <c r="H278" s="1" t="n">
        <f aca="false">H277+1</f>
        <v>273</v>
      </c>
      <c r="I278" s="1" t="n">
        <f aca="false">WEEKDAY('daily graphs'!K278)</f>
        <v>6</v>
      </c>
      <c r="J278" s="1" t="n">
        <f aca="false">DAY(L278)</f>
        <v>23</v>
      </c>
      <c r="K278" s="1" t="n">
        <f aca="false">MONTH(L278)</f>
        <v>9</v>
      </c>
      <c r="L278" s="23" t="n">
        <f aca="false">'daily graphs'!K278 - I278</f>
        <v>36792</v>
      </c>
      <c r="M278" s="24" t="n">
        <f aca="true">IF(TODAY()&lt;DATE($O$5,K278,J278),1000000,-1000000)</f>
        <v>-1000000</v>
      </c>
      <c r="N278" s="24" t="e">
        <f aca="false">IF(M278&gt;0,INDEX(big_daily_table,MATCH(DATE(O$5,$K278,$J278),daily_dates,0),MATCH($B$3,daily_items,0)),NA())</f>
        <v>#N/A</v>
      </c>
      <c r="O278" s="1" t="e">
        <f aca="false">IF(M278&lt;0,INDEX(big_daily_table,MATCH(DATE(O$5,$K278,$J278),daily_dates,0),MATCH($B$3,daily_items,0)),NA())</f>
        <v>#N/A</v>
      </c>
      <c r="P278" s="1" t="e">
        <f aca="false">IF(ISBLANK(INDEX(big_daily_table,MATCH(DATE(P$5,$K278,$J278),daily_dates,0),MATCH($B$3,daily_items,0))),NA(),INDEX(big_daily_table,MATCH(DATE(P$5,$K278,$J278),daily_dates,0),MATCH($B$3,daily_items,0)))</f>
        <v>#N/A</v>
      </c>
      <c r="Q278" s="1" t="e">
        <f aca="false">IF(ISBLANK(INDEX(big_daily_table,MATCH(DATE(Q$5,$K278,$J278),daily_dates,0),MATCH($B$3,daily_items,0))),NA(),INDEX(big_daily_table,MATCH(DATE(Q$5,$K278,$J278),daily_dates,0),MATCH($B$3,daily_items,0)))</f>
        <v>#N/A</v>
      </c>
      <c r="R278" s="1" t="e">
        <f aca="false">IF(ISBLANK(INDEX(big_daily_table,MATCH(DATE(R$5,$K278,$J278),daily_dates,0),MATCH($B$3,daily_items,0))),NA(),INDEX(big_daily_table,MATCH(DATE(R$5,$K278,$J278),daily_dates,0),MATCH($B$3,daily_items,0)))</f>
        <v>#N/A</v>
      </c>
      <c r="S278" s="1" t="e">
        <f aca="false">IF(ISBLANK(INDEX(big_daily_table,MATCH(DATE(S$5,$K278,$J278),daily_dates,0),MATCH($B$3,daily_items,0))),NA(),INDEX(big_daily_table,MATCH(DATE(S$5,$K278,$J278),daily_dates,0),MATCH($B$3,daily_items,0)))</f>
        <v>#N/A</v>
      </c>
      <c r="T278" s="1" t="e">
        <f aca="false">IF(ISBLANK(INDEX(big_daily_table,MATCH(DATE(T$5,$K278,$J278),daily_dates,0),MATCH($B$3,daily_items,0))),NA(),INDEX(big_daily_table,MATCH(DATE(T$5,$K278,$J278),daily_dates,0),MATCH($B$3,daily_items,0)))</f>
        <v>#N/A</v>
      </c>
      <c r="U278" s="1" t="e">
        <f aca="false">IF(ISBLANK(INDEX(big_daily_table,MATCH(DATE(U$5,$K278,$J278),daily_dates,0),MATCH($B$3,daily_items,0))),NA(),INDEX(big_daily_table,MATCH(DATE(U$5,$K278,$J278),daily_dates,0),MATCH($B$3,daily_items,0)))</f>
        <v>#N/A</v>
      </c>
      <c r="V278" s="1" t="e">
        <f aca="false">IF(ISBLANK(INDEX(big_daily_table,MATCH(DATE(V$5,$K278,$J278),daily_dates,0),MATCH($B$3,daily_items,0))),NA(),INDEX(big_daily_table,MATCH(DATE(V$5,$K278,$J278),daily_dates,0),MATCH($B$3,daily_items,0)))</f>
        <v>#N/A</v>
      </c>
      <c r="W278" s="1" t="e">
        <f aca="false">IF(ISBLANK(INDEX(big_daily_table,MATCH(DATE(W$5,$K278,$J278),daily_dates,0),MATCH($B$3,daily_items,0))),NA(),INDEX(big_daily_table,MATCH(DATE(W$5,$K278,$J278),daily_dates,0),MATCH($B$3,daily_items,0)))</f>
        <v>#N/A</v>
      </c>
      <c r="X278" s="1" t="e">
        <f aca="false">IF(ISBLANK(INDEX(big_daily_table,MATCH(DATE(X$5,$K278,$J278),daily_dates,0),MATCH($B$3,daily_items,0))),NA(),INDEX(big_daily_table,MATCH(DATE(X$5,$K278,$J278),daily_dates,0),MATCH($B$3,daily_items,0)))</f>
        <v>#N/A</v>
      </c>
      <c r="Y278" s="1" t="e">
        <f aca="false">IF(ISBLANK(INDEX(big_daily_table,MATCH(DATE(Y$5,$K278,$J278),daily_dates,0),MATCH($B$3,daily_items,0))),NA(),INDEX(big_daily_table,MATCH(DATE(Y$5,$K278,$J278),daily_dates,0),MATCH($B$3,daily_items,0)))</f>
        <v>#N/A</v>
      </c>
      <c r="Z278" s="1" t="e">
        <f aca="false">IF(ISBLANK(INDEX(big_daily_table,MATCH(DATE(Z$5,$K278,$J278),daily_dates,0),MATCH($B$3,daily_items,0))),NA(),INDEX(big_daily_table,MATCH(DATE(Z$5,$K278,$J278),daily_dates,0),MATCH($B$3,daily_items,0)))</f>
        <v>#N/A</v>
      </c>
      <c r="AA278" s="1" t="n">
        <f aca="true">_xlfn.AGGREGATE(5,6,OFFSET($S$5,H278,0,1,$K$2))</f>
        <v>0</v>
      </c>
      <c r="AB278" s="1" t="n">
        <f aca="true">_xlfn.AGGREGATE(4,6,OFFSET($S$5,H278,0,1,$K$2))</f>
        <v>0</v>
      </c>
      <c r="AC278" s="1" t="n">
        <f aca="false">AB278-AA278</f>
        <v>0</v>
      </c>
      <c r="AD278" s="1" t="e">
        <f aca="true">_xlfn.AGGREGATE(1,6,OFFSET($S$5,H278,0,1,$K$2))</f>
        <v>#DIV/0!</v>
      </c>
    </row>
    <row r="279" customFormat="false" ht="14.25" hidden="false" customHeight="false" outlineLevel="0" collapsed="false">
      <c r="H279" s="1" t="n">
        <f aca="false">H278+1</f>
        <v>274</v>
      </c>
      <c r="I279" s="1" t="n">
        <f aca="false">WEEKDAY('daily graphs'!K279)</f>
        <v>7</v>
      </c>
      <c r="J279" s="1" t="n">
        <f aca="false">DAY(L279)</f>
        <v>23</v>
      </c>
      <c r="K279" s="1" t="n">
        <f aca="false">MONTH(L279)</f>
        <v>9</v>
      </c>
      <c r="L279" s="23" t="n">
        <f aca="false">'daily graphs'!K279 - I279</f>
        <v>36792</v>
      </c>
      <c r="M279" s="24" t="n">
        <f aca="true">IF(TODAY()&lt;DATE($O$5,K279,J279),1000000,-1000000)</f>
        <v>-1000000</v>
      </c>
      <c r="N279" s="24" t="e">
        <f aca="false">IF(M279&gt;0,INDEX(big_daily_table,MATCH(DATE(O$5,$K279,$J279),daily_dates,0),MATCH($B$3,daily_items,0)),NA())</f>
        <v>#N/A</v>
      </c>
      <c r="O279" s="1" t="e">
        <f aca="false">IF(M279&lt;0,INDEX(big_daily_table,MATCH(DATE(O$5,$K279,$J279),daily_dates,0),MATCH($B$3,daily_items,0)),NA())</f>
        <v>#N/A</v>
      </c>
      <c r="P279" s="1" t="e">
        <f aca="false">IF(ISBLANK(INDEX(big_daily_table,MATCH(DATE(P$5,$K279,$J279),daily_dates,0),MATCH($B$3,daily_items,0))),NA(),INDEX(big_daily_table,MATCH(DATE(P$5,$K279,$J279),daily_dates,0),MATCH($B$3,daily_items,0)))</f>
        <v>#N/A</v>
      </c>
      <c r="Q279" s="1" t="e">
        <f aca="false">IF(ISBLANK(INDEX(big_daily_table,MATCH(DATE(Q$5,$K279,$J279),daily_dates,0),MATCH($B$3,daily_items,0))),NA(),INDEX(big_daily_table,MATCH(DATE(Q$5,$K279,$J279),daily_dates,0),MATCH($B$3,daily_items,0)))</f>
        <v>#N/A</v>
      </c>
      <c r="R279" s="1" t="e">
        <f aca="false">IF(ISBLANK(INDEX(big_daily_table,MATCH(DATE(R$5,$K279,$J279),daily_dates,0),MATCH($B$3,daily_items,0))),NA(),INDEX(big_daily_table,MATCH(DATE(R$5,$K279,$J279),daily_dates,0),MATCH($B$3,daily_items,0)))</f>
        <v>#N/A</v>
      </c>
      <c r="S279" s="1" t="e">
        <f aca="false">IF(ISBLANK(INDEX(big_daily_table,MATCH(DATE(S$5,$K279,$J279),daily_dates,0),MATCH($B$3,daily_items,0))),NA(),INDEX(big_daily_table,MATCH(DATE(S$5,$K279,$J279),daily_dates,0),MATCH($B$3,daily_items,0)))</f>
        <v>#N/A</v>
      </c>
      <c r="T279" s="1" t="e">
        <f aca="false">IF(ISBLANK(INDEX(big_daily_table,MATCH(DATE(T$5,$K279,$J279),daily_dates,0),MATCH($B$3,daily_items,0))),NA(),INDEX(big_daily_table,MATCH(DATE(T$5,$K279,$J279),daily_dates,0),MATCH($B$3,daily_items,0)))</f>
        <v>#N/A</v>
      </c>
      <c r="U279" s="1" t="e">
        <f aca="false">IF(ISBLANK(INDEX(big_daily_table,MATCH(DATE(U$5,$K279,$J279),daily_dates,0),MATCH($B$3,daily_items,0))),NA(),INDEX(big_daily_table,MATCH(DATE(U$5,$K279,$J279),daily_dates,0),MATCH($B$3,daily_items,0)))</f>
        <v>#N/A</v>
      </c>
      <c r="V279" s="1" t="e">
        <f aca="false">IF(ISBLANK(INDEX(big_daily_table,MATCH(DATE(V$5,$K279,$J279),daily_dates,0),MATCH($B$3,daily_items,0))),NA(),INDEX(big_daily_table,MATCH(DATE(V$5,$K279,$J279),daily_dates,0),MATCH($B$3,daily_items,0)))</f>
        <v>#N/A</v>
      </c>
      <c r="W279" s="1" t="e">
        <f aca="false">IF(ISBLANK(INDEX(big_daily_table,MATCH(DATE(W$5,$K279,$J279),daily_dates,0),MATCH($B$3,daily_items,0))),NA(),INDEX(big_daily_table,MATCH(DATE(W$5,$K279,$J279),daily_dates,0),MATCH($B$3,daily_items,0)))</f>
        <v>#N/A</v>
      </c>
      <c r="X279" s="1" t="e">
        <f aca="false">IF(ISBLANK(INDEX(big_daily_table,MATCH(DATE(X$5,$K279,$J279),daily_dates,0),MATCH($B$3,daily_items,0))),NA(),INDEX(big_daily_table,MATCH(DATE(X$5,$K279,$J279),daily_dates,0),MATCH($B$3,daily_items,0)))</f>
        <v>#N/A</v>
      </c>
      <c r="Y279" s="1" t="e">
        <f aca="false">IF(ISBLANK(INDEX(big_daily_table,MATCH(DATE(Y$5,$K279,$J279),daily_dates,0),MATCH($B$3,daily_items,0))),NA(),INDEX(big_daily_table,MATCH(DATE(Y$5,$K279,$J279),daily_dates,0),MATCH($B$3,daily_items,0)))</f>
        <v>#N/A</v>
      </c>
      <c r="Z279" s="1" t="e">
        <f aca="false">IF(ISBLANK(INDEX(big_daily_table,MATCH(DATE(Z$5,$K279,$J279),daily_dates,0),MATCH($B$3,daily_items,0))),NA(),INDEX(big_daily_table,MATCH(DATE(Z$5,$K279,$J279),daily_dates,0),MATCH($B$3,daily_items,0)))</f>
        <v>#N/A</v>
      </c>
      <c r="AA279" s="1" t="n">
        <f aca="true">_xlfn.AGGREGATE(5,6,OFFSET($S$5,H279,0,1,$K$2))</f>
        <v>0</v>
      </c>
      <c r="AB279" s="1" t="n">
        <f aca="true">_xlfn.AGGREGATE(4,6,OFFSET($S$5,H279,0,1,$K$2))</f>
        <v>0</v>
      </c>
      <c r="AC279" s="1" t="n">
        <f aca="false">AB279-AA279</f>
        <v>0</v>
      </c>
      <c r="AD279" s="1" t="e">
        <f aca="true">_xlfn.AGGREGATE(1,6,OFFSET($S$5,H279,0,1,$K$2))</f>
        <v>#DIV/0!</v>
      </c>
    </row>
    <row r="280" customFormat="false" ht="14.25" hidden="false" customHeight="false" outlineLevel="0" collapsed="false">
      <c r="H280" s="1" t="n">
        <f aca="false">H279+1</f>
        <v>275</v>
      </c>
      <c r="I280" s="1" t="n">
        <f aca="false">WEEKDAY('daily graphs'!K280)</f>
        <v>1</v>
      </c>
      <c r="J280" s="1" t="n">
        <f aca="false">DAY(L280)</f>
        <v>30</v>
      </c>
      <c r="K280" s="1" t="n">
        <f aca="false">MONTH(L280)</f>
        <v>9</v>
      </c>
      <c r="L280" s="23" t="n">
        <f aca="false">'daily graphs'!K280 - I280</f>
        <v>36799</v>
      </c>
      <c r="M280" s="24" t="n">
        <f aca="true">IF(TODAY()&lt;DATE($O$5,K280,J280),1000000,-1000000)</f>
        <v>1000000</v>
      </c>
      <c r="N280" s="24" t="e">
        <f aca="false">IF(M280&gt;0,INDEX(big_daily_table,MATCH(DATE(O$5,$K280,$J280),daily_dates,0),MATCH($B$3,daily_items,0)),NA())</f>
        <v>#N/A</v>
      </c>
      <c r="O280" s="1" t="e">
        <f aca="false">IF(M280&lt;0,INDEX(big_daily_table,MATCH(DATE(O$5,$K280,$J280),daily_dates,0),MATCH($B$3,daily_items,0)),NA())</f>
        <v>#N/A</v>
      </c>
      <c r="P280" s="1" t="e">
        <f aca="false">IF(ISBLANK(INDEX(big_daily_table,MATCH(DATE(P$5,$K280,$J280),daily_dates,0),MATCH($B$3,daily_items,0))),NA(),INDEX(big_daily_table,MATCH(DATE(P$5,$K280,$J280),daily_dates,0),MATCH($B$3,daily_items,0)))</f>
        <v>#N/A</v>
      </c>
      <c r="Q280" s="1" t="e">
        <f aca="false">IF(ISBLANK(INDEX(big_daily_table,MATCH(DATE(Q$5,$K280,$J280),daily_dates,0),MATCH($B$3,daily_items,0))),NA(),INDEX(big_daily_table,MATCH(DATE(Q$5,$K280,$J280),daily_dates,0),MATCH($B$3,daily_items,0)))</f>
        <v>#N/A</v>
      </c>
      <c r="R280" s="1" t="e">
        <f aca="false">IF(ISBLANK(INDEX(big_daily_table,MATCH(DATE(R$5,$K280,$J280),daily_dates,0),MATCH($B$3,daily_items,0))),NA(),INDEX(big_daily_table,MATCH(DATE(R$5,$K280,$J280),daily_dates,0),MATCH($B$3,daily_items,0)))</f>
        <v>#N/A</v>
      </c>
      <c r="S280" s="1" t="e">
        <f aca="false">IF(ISBLANK(INDEX(big_daily_table,MATCH(DATE(S$5,$K280,$J280),daily_dates,0),MATCH($B$3,daily_items,0))),NA(),INDEX(big_daily_table,MATCH(DATE(S$5,$K280,$J280),daily_dates,0),MATCH($B$3,daily_items,0)))</f>
        <v>#N/A</v>
      </c>
      <c r="T280" s="1" t="e">
        <f aca="false">IF(ISBLANK(INDEX(big_daily_table,MATCH(DATE(T$5,$K280,$J280),daily_dates,0),MATCH($B$3,daily_items,0))),NA(),INDEX(big_daily_table,MATCH(DATE(T$5,$K280,$J280),daily_dates,0),MATCH($B$3,daily_items,0)))</f>
        <v>#N/A</v>
      </c>
      <c r="U280" s="1" t="e">
        <f aca="false">IF(ISBLANK(INDEX(big_daily_table,MATCH(DATE(U$5,$K280,$J280),daily_dates,0),MATCH($B$3,daily_items,0))),NA(),INDEX(big_daily_table,MATCH(DATE(U$5,$K280,$J280),daily_dates,0),MATCH($B$3,daily_items,0)))</f>
        <v>#N/A</v>
      </c>
      <c r="V280" s="1" t="e">
        <f aca="false">IF(ISBLANK(INDEX(big_daily_table,MATCH(DATE(V$5,$K280,$J280),daily_dates,0),MATCH($B$3,daily_items,0))),NA(),INDEX(big_daily_table,MATCH(DATE(V$5,$K280,$J280),daily_dates,0),MATCH($B$3,daily_items,0)))</f>
        <v>#N/A</v>
      </c>
      <c r="W280" s="1" t="e">
        <f aca="false">IF(ISBLANK(INDEX(big_daily_table,MATCH(DATE(W$5,$K280,$J280),daily_dates,0),MATCH($B$3,daily_items,0))),NA(),INDEX(big_daily_table,MATCH(DATE(W$5,$K280,$J280),daily_dates,0),MATCH($B$3,daily_items,0)))</f>
        <v>#N/A</v>
      </c>
      <c r="X280" s="1" t="e">
        <f aca="false">IF(ISBLANK(INDEX(big_daily_table,MATCH(DATE(X$5,$K280,$J280),daily_dates,0),MATCH($B$3,daily_items,0))),NA(),INDEX(big_daily_table,MATCH(DATE(X$5,$K280,$J280),daily_dates,0),MATCH($B$3,daily_items,0)))</f>
        <v>#N/A</v>
      </c>
      <c r="Y280" s="1" t="e">
        <f aca="false">IF(ISBLANK(INDEX(big_daily_table,MATCH(DATE(Y$5,$K280,$J280),daily_dates,0),MATCH($B$3,daily_items,0))),NA(),INDEX(big_daily_table,MATCH(DATE(Y$5,$K280,$J280),daily_dates,0),MATCH($B$3,daily_items,0)))</f>
        <v>#N/A</v>
      </c>
      <c r="Z280" s="1" t="e">
        <f aca="false">IF(ISBLANK(INDEX(big_daily_table,MATCH(DATE(Z$5,$K280,$J280),daily_dates,0),MATCH($B$3,daily_items,0))),NA(),INDEX(big_daily_table,MATCH(DATE(Z$5,$K280,$J280),daily_dates,0),MATCH($B$3,daily_items,0)))</f>
        <v>#N/A</v>
      </c>
      <c r="AA280" s="1" t="n">
        <f aca="true">_xlfn.AGGREGATE(5,6,OFFSET($S$5,H280,0,1,$K$2))</f>
        <v>0</v>
      </c>
      <c r="AB280" s="1" t="n">
        <f aca="true">_xlfn.AGGREGATE(4,6,OFFSET($S$5,H280,0,1,$K$2))</f>
        <v>0</v>
      </c>
      <c r="AC280" s="1" t="n">
        <f aca="false">AB280-AA280</f>
        <v>0</v>
      </c>
      <c r="AD280" s="1" t="e">
        <f aca="true">_xlfn.AGGREGATE(1,6,OFFSET($S$5,H280,0,1,$K$2))</f>
        <v>#DIV/0!</v>
      </c>
    </row>
    <row r="281" customFormat="false" ht="14.25" hidden="false" customHeight="false" outlineLevel="0" collapsed="false">
      <c r="H281" s="1" t="n">
        <f aca="false">H280+1</f>
        <v>276</v>
      </c>
      <c r="I281" s="1" t="n">
        <f aca="false">WEEKDAY('daily graphs'!K281)</f>
        <v>2</v>
      </c>
      <c r="J281" s="1" t="n">
        <f aca="false">DAY(L281)</f>
        <v>30</v>
      </c>
      <c r="K281" s="1" t="n">
        <f aca="false">MONTH(L281)</f>
        <v>9</v>
      </c>
      <c r="L281" s="23" t="n">
        <f aca="false">'daily graphs'!K281 - I281</f>
        <v>36799</v>
      </c>
      <c r="M281" s="24" t="n">
        <f aca="true">IF(TODAY()&lt;DATE($O$5,K281,J281),1000000,-1000000)</f>
        <v>1000000</v>
      </c>
      <c r="N281" s="24" t="e">
        <f aca="false">IF(M281&gt;0,INDEX(big_daily_table,MATCH(DATE(O$5,$K281,$J281),daily_dates,0),MATCH($B$3,daily_items,0)),NA())</f>
        <v>#N/A</v>
      </c>
      <c r="O281" s="1" t="e">
        <f aca="false">IF(M281&lt;0,INDEX(big_daily_table,MATCH(DATE(O$5,$K281,$J281),daily_dates,0),MATCH($B$3,daily_items,0)),NA())</f>
        <v>#N/A</v>
      </c>
      <c r="P281" s="1" t="e">
        <f aca="false">IF(ISBLANK(INDEX(big_daily_table,MATCH(DATE(P$5,$K281,$J281),daily_dates,0),MATCH($B$3,daily_items,0))),NA(),INDEX(big_daily_table,MATCH(DATE(P$5,$K281,$J281),daily_dates,0),MATCH($B$3,daily_items,0)))</f>
        <v>#N/A</v>
      </c>
      <c r="Q281" s="1" t="e">
        <f aca="false">IF(ISBLANK(INDEX(big_daily_table,MATCH(DATE(Q$5,$K281,$J281),daily_dates,0),MATCH($B$3,daily_items,0))),NA(),INDEX(big_daily_table,MATCH(DATE(Q$5,$K281,$J281),daily_dates,0),MATCH($B$3,daily_items,0)))</f>
        <v>#N/A</v>
      </c>
      <c r="R281" s="1" t="e">
        <f aca="false">IF(ISBLANK(INDEX(big_daily_table,MATCH(DATE(R$5,$K281,$J281),daily_dates,0),MATCH($B$3,daily_items,0))),NA(),INDEX(big_daily_table,MATCH(DATE(R$5,$K281,$J281),daily_dates,0),MATCH($B$3,daily_items,0)))</f>
        <v>#N/A</v>
      </c>
      <c r="S281" s="1" t="e">
        <f aca="false">IF(ISBLANK(INDEX(big_daily_table,MATCH(DATE(S$5,$K281,$J281),daily_dates,0),MATCH($B$3,daily_items,0))),NA(),INDEX(big_daily_table,MATCH(DATE(S$5,$K281,$J281),daily_dates,0),MATCH($B$3,daily_items,0)))</f>
        <v>#N/A</v>
      </c>
      <c r="T281" s="1" t="e">
        <f aca="false">IF(ISBLANK(INDEX(big_daily_table,MATCH(DATE(T$5,$K281,$J281),daily_dates,0),MATCH($B$3,daily_items,0))),NA(),INDEX(big_daily_table,MATCH(DATE(T$5,$K281,$J281),daily_dates,0),MATCH($B$3,daily_items,0)))</f>
        <v>#N/A</v>
      </c>
      <c r="U281" s="1" t="e">
        <f aca="false">IF(ISBLANK(INDEX(big_daily_table,MATCH(DATE(U$5,$K281,$J281),daily_dates,0),MATCH($B$3,daily_items,0))),NA(),INDEX(big_daily_table,MATCH(DATE(U$5,$K281,$J281),daily_dates,0),MATCH($B$3,daily_items,0)))</f>
        <v>#N/A</v>
      </c>
      <c r="V281" s="1" t="e">
        <f aca="false">IF(ISBLANK(INDEX(big_daily_table,MATCH(DATE(V$5,$K281,$J281),daily_dates,0),MATCH($B$3,daily_items,0))),NA(),INDEX(big_daily_table,MATCH(DATE(V$5,$K281,$J281),daily_dates,0),MATCH($B$3,daily_items,0)))</f>
        <v>#N/A</v>
      </c>
      <c r="W281" s="1" t="e">
        <f aca="false">IF(ISBLANK(INDEX(big_daily_table,MATCH(DATE(W$5,$K281,$J281),daily_dates,0),MATCH($B$3,daily_items,0))),NA(),INDEX(big_daily_table,MATCH(DATE(W$5,$K281,$J281),daily_dates,0),MATCH($B$3,daily_items,0)))</f>
        <v>#N/A</v>
      </c>
      <c r="X281" s="1" t="e">
        <f aca="false">IF(ISBLANK(INDEX(big_daily_table,MATCH(DATE(X$5,$K281,$J281),daily_dates,0),MATCH($B$3,daily_items,0))),NA(),INDEX(big_daily_table,MATCH(DATE(X$5,$K281,$J281),daily_dates,0),MATCH($B$3,daily_items,0)))</f>
        <v>#N/A</v>
      </c>
      <c r="Y281" s="1" t="e">
        <f aca="false">IF(ISBLANK(INDEX(big_daily_table,MATCH(DATE(Y$5,$K281,$J281),daily_dates,0),MATCH($B$3,daily_items,0))),NA(),INDEX(big_daily_table,MATCH(DATE(Y$5,$K281,$J281),daily_dates,0),MATCH($B$3,daily_items,0)))</f>
        <v>#N/A</v>
      </c>
      <c r="Z281" s="1" t="e">
        <f aca="false">IF(ISBLANK(INDEX(big_daily_table,MATCH(DATE(Z$5,$K281,$J281),daily_dates,0),MATCH($B$3,daily_items,0))),NA(),INDEX(big_daily_table,MATCH(DATE(Z$5,$K281,$J281),daily_dates,0),MATCH($B$3,daily_items,0)))</f>
        <v>#N/A</v>
      </c>
      <c r="AA281" s="1" t="n">
        <f aca="true">_xlfn.AGGREGATE(5,6,OFFSET($S$5,H281,0,1,$K$2))</f>
        <v>0</v>
      </c>
      <c r="AB281" s="1" t="n">
        <f aca="true">_xlfn.AGGREGATE(4,6,OFFSET($S$5,H281,0,1,$K$2))</f>
        <v>0</v>
      </c>
      <c r="AC281" s="1" t="n">
        <f aca="false">AB281-AA281</f>
        <v>0</v>
      </c>
      <c r="AD281" s="1" t="e">
        <f aca="true">_xlfn.AGGREGATE(1,6,OFFSET($S$5,H281,0,1,$K$2))</f>
        <v>#DIV/0!</v>
      </c>
    </row>
    <row r="282" customFormat="false" ht="14.25" hidden="false" customHeight="false" outlineLevel="0" collapsed="false">
      <c r="H282" s="1" t="n">
        <f aca="false">H281+1</f>
        <v>277</v>
      </c>
      <c r="I282" s="1" t="n">
        <f aca="false">WEEKDAY('daily graphs'!K282)</f>
        <v>3</v>
      </c>
      <c r="J282" s="1" t="n">
        <f aca="false">DAY(L282)</f>
        <v>30</v>
      </c>
      <c r="K282" s="1" t="n">
        <f aca="false">MONTH(L282)</f>
        <v>9</v>
      </c>
      <c r="L282" s="23" t="n">
        <f aca="false">'daily graphs'!K282 - I282</f>
        <v>36799</v>
      </c>
      <c r="M282" s="24" t="n">
        <f aca="true">IF(TODAY()&lt;DATE($O$5,K282,J282),1000000,-1000000)</f>
        <v>1000000</v>
      </c>
      <c r="N282" s="24" t="e">
        <f aca="false">IF(M282&gt;0,INDEX(big_daily_table,MATCH(DATE(O$5,$K282,$J282),daily_dates,0),MATCH($B$3,daily_items,0)),NA())</f>
        <v>#N/A</v>
      </c>
      <c r="O282" s="1" t="e">
        <f aca="false">IF(M282&lt;0,INDEX(big_daily_table,MATCH(DATE(O$5,$K282,$J282),daily_dates,0),MATCH($B$3,daily_items,0)),NA())</f>
        <v>#N/A</v>
      </c>
      <c r="P282" s="1" t="e">
        <f aca="false">IF(ISBLANK(INDEX(big_daily_table,MATCH(DATE(P$5,$K282,$J282),daily_dates,0),MATCH($B$3,daily_items,0))),NA(),INDEX(big_daily_table,MATCH(DATE(P$5,$K282,$J282),daily_dates,0),MATCH($B$3,daily_items,0)))</f>
        <v>#N/A</v>
      </c>
      <c r="Q282" s="1" t="e">
        <f aca="false">IF(ISBLANK(INDEX(big_daily_table,MATCH(DATE(Q$5,$K282,$J282),daily_dates,0),MATCH($B$3,daily_items,0))),NA(),INDEX(big_daily_table,MATCH(DATE(Q$5,$K282,$J282),daily_dates,0),MATCH($B$3,daily_items,0)))</f>
        <v>#N/A</v>
      </c>
      <c r="R282" s="1" t="e">
        <f aca="false">IF(ISBLANK(INDEX(big_daily_table,MATCH(DATE(R$5,$K282,$J282),daily_dates,0),MATCH($B$3,daily_items,0))),NA(),INDEX(big_daily_table,MATCH(DATE(R$5,$K282,$J282),daily_dates,0),MATCH($B$3,daily_items,0)))</f>
        <v>#N/A</v>
      </c>
      <c r="S282" s="1" t="e">
        <f aca="false">IF(ISBLANK(INDEX(big_daily_table,MATCH(DATE(S$5,$K282,$J282),daily_dates,0),MATCH($B$3,daily_items,0))),NA(),INDEX(big_daily_table,MATCH(DATE(S$5,$K282,$J282),daily_dates,0),MATCH($B$3,daily_items,0)))</f>
        <v>#N/A</v>
      </c>
      <c r="T282" s="1" t="e">
        <f aca="false">IF(ISBLANK(INDEX(big_daily_table,MATCH(DATE(T$5,$K282,$J282),daily_dates,0),MATCH($B$3,daily_items,0))),NA(),INDEX(big_daily_table,MATCH(DATE(T$5,$K282,$J282),daily_dates,0),MATCH($B$3,daily_items,0)))</f>
        <v>#N/A</v>
      </c>
      <c r="U282" s="1" t="e">
        <f aca="false">IF(ISBLANK(INDEX(big_daily_table,MATCH(DATE(U$5,$K282,$J282),daily_dates,0),MATCH($B$3,daily_items,0))),NA(),INDEX(big_daily_table,MATCH(DATE(U$5,$K282,$J282),daily_dates,0),MATCH($B$3,daily_items,0)))</f>
        <v>#N/A</v>
      </c>
      <c r="V282" s="1" t="e">
        <f aca="false">IF(ISBLANK(INDEX(big_daily_table,MATCH(DATE(V$5,$K282,$J282),daily_dates,0),MATCH($B$3,daily_items,0))),NA(),INDEX(big_daily_table,MATCH(DATE(V$5,$K282,$J282),daily_dates,0),MATCH($B$3,daily_items,0)))</f>
        <v>#N/A</v>
      </c>
      <c r="W282" s="1" t="e">
        <f aca="false">IF(ISBLANK(INDEX(big_daily_table,MATCH(DATE(W$5,$K282,$J282),daily_dates,0),MATCH($B$3,daily_items,0))),NA(),INDEX(big_daily_table,MATCH(DATE(W$5,$K282,$J282),daily_dates,0),MATCH($B$3,daily_items,0)))</f>
        <v>#N/A</v>
      </c>
      <c r="X282" s="1" t="e">
        <f aca="false">IF(ISBLANK(INDEX(big_daily_table,MATCH(DATE(X$5,$K282,$J282),daily_dates,0),MATCH($B$3,daily_items,0))),NA(),INDEX(big_daily_table,MATCH(DATE(X$5,$K282,$J282),daily_dates,0),MATCH($B$3,daily_items,0)))</f>
        <v>#N/A</v>
      </c>
      <c r="Y282" s="1" t="e">
        <f aca="false">IF(ISBLANK(INDEX(big_daily_table,MATCH(DATE(Y$5,$K282,$J282),daily_dates,0),MATCH($B$3,daily_items,0))),NA(),INDEX(big_daily_table,MATCH(DATE(Y$5,$K282,$J282),daily_dates,0),MATCH($B$3,daily_items,0)))</f>
        <v>#N/A</v>
      </c>
      <c r="Z282" s="1" t="e">
        <f aca="false">IF(ISBLANK(INDEX(big_daily_table,MATCH(DATE(Z$5,$K282,$J282),daily_dates,0),MATCH($B$3,daily_items,0))),NA(),INDEX(big_daily_table,MATCH(DATE(Z$5,$K282,$J282),daily_dates,0),MATCH($B$3,daily_items,0)))</f>
        <v>#N/A</v>
      </c>
      <c r="AA282" s="1" t="n">
        <f aca="true">_xlfn.AGGREGATE(5,6,OFFSET($S$5,H282,0,1,$K$2))</f>
        <v>0</v>
      </c>
      <c r="AB282" s="1" t="n">
        <f aca="true">_xlfn.AGGREGATE(4,6,OFFSET($S$5,H282,0,1,$K$2))</f>
        <v>0</v>
      </c>
      <c r="AC282" s="1" t="n">
        <f aca="false">AB282-AA282</f>
        <v>0</v>
      </c>
      <c r="AD282" s="1" t="e">
        <f aca="true">_xlfn.AGGREGATE(1,6,OFFSET($S$5,H282,0,1,$K$2))</f>
        <v>#DIV/0!</v>
      </c>
    </row>
    <row r="283" customFormat="false" ht="14.25" hidden="false" customHeight="false" outlineLevel="0" collapsed="false">
      <c r="H283" s="1" t="n">
        <f aca="false">H282+1</f>
        <v>278</v>
      </c>
      <c r="I283" s="1" t="n">
        <f aca="false">WEEKDAY('daily graphs'!K283)</f>
        <v>4</v>
      </c>
      <c r="J283" s="1" t="n">
        <f aca="false">DAY(L283)</f>
        <v>30</v>
      </c>
      <c r="K283" s="1" t="n">
        <f aca="false">MONTH(L283)</f>
        <v>9</v>
      </c>
      <c r="L283" s="23" t="n">
        <f aca="false">'daily graphs'!K283 - I283</f>
        <v>36799</v>
      </c>
      <c r="M283" s="24" t="n">
        <f aca="true">IF(TODAY()&lt;DATE($O$5,K283,J283),1000000,-1000000)</f>
        <v>1000000</v>
      </c>
      <c r="N283" s="24" t="e">
        <f aca="false">IF(M283&gt;0,INDEX(big_daily_table,MATCH(DATE(O$5,$K283,$J283),daily_dates,0),MATCH($B$3,daily_items,0)),NA())</f>
        <v>#N/A</v>
      </c>
      <c r="O283" s="1" t="e">
        <f aca="false">IF(M283&lt;0,INDEX(big_daily_table,MATCH(DATE(O$5,$K283,$J283),daily_dates,0),MATCH($B$3,daily_items,0)),NA())</f>
        <v>#N/A</v>
      </c>
      <c r="P283" s="1" t="e">
        <f aca="false">IF(ISBLANK(INDEX(big_daily_table,MATCH(DATE(P$5,$K283,$J283),daily_dates,0),MATCH($B$3,daily_items,0))),NA(),INDEX(big_daily_table,MATCH(DATE(P$5,$K283,$J283),daily_dates,0),MATCH($B$3,daily_items,0)))</f>
        <v>#N/A</v>
      </c>
      <c r="Q283" s="1" t="e">
        <f aca="false">IF(ISBLANK(INDEX(big_daily_table,MATCH(DATE(Q$5,$K283,$J283),daily_dates,0),MATCH($B$3,daily_items,0))),NA(),INDEX(big_daily_table,MATCH(DATE(Q$5,$K283,$J283),daily_dates,0),MATCH($B$3,daily_items,0)))</f>
        <v>#N/A</v>
      </c>
      <c r="R283" s="1" t="e">
        <f aca="false">IF(ISBLANK(INDEX(big_daily_table,MATCH(DATE(R$5,$K283,$J283),daily_dates,0),MATCH($B$3,daily_items,0))),NA(),INDEX(big_daily_table,MATCH(DATE(R$5,$K283,$J283),daily_dates,0),MATCH($B$3,daily_items,0)))</f>
        <v>#N/A</v>
      </c>
      <c r="S283" s="1" t="e">
        <f aca="false">IF(ISBLANK(INDEX(big_daily_table,MATCH(DATE(S$5,$K283,$J283),daily_dates,0),MATCH($B$3,daily_items,0))),NA(),INDEX(big_daily_table,MATCH(DATE(S$5,$K283,$J283),daily_dates,0),MATCH($B$3,daily_items,0)))</f>
        <v>#N/A</v>
      </c>
      <c r="T283" s="1" t="e">
        <f aca="false">IF(ISBLANK(INDEX(big_daily_table,MATCH(DATE(T$5,$K283,$J283),daily_dates,0),MATCH($B$3,daily_items,0))),NA(),INDEX(big_daily_table,MATCH(DATE(T$5,$K283,$J283),daily_dates,0),MATCH($B$3,daily_items,0)))</f>
        <v>#N/A</v>
      </c>
      <c r="U283" s="1" t="e">
        <f aca="false">IF(ISBLANK(INDEX(big_daily_table,MATCH(DATE(U$5,$K283,$J283),daily_dates,0),MATCH($B$3,daily_items,0))),NA(),INDEX(big_daily_table,MATCH(DATE(U$5,$K283,$J283),daily_dates,0),MATCH($B$3,daily_items,0)))</f>
        <v>#N/A</v>
      </c>
      <c r="V283" s="1" t="e">
        <f aca="false">IF(ISBLANK(INDEX(big_daily_table,MATCH(DATE(V$5,$K283,$J283),daily_dates,0),MATCH($B$3,daily_items,0))),NA(),INDEX(big_daily_table,MATCH(DATE(V$5,$K283,$J283),daily_dates,0),MATCH($B$3,daily_items,0)))</f>
        <v>#N/A</v>
      </c>
      <c r="W283" s="1" t="e">
        <f aca="false">IF(ISBLANK(INDEX(big_daily_table,MATCH(DATE(W$5,$K283,$J283),daily_dates,0),MATCH($B$3,daily_items,0))),NA(),INDEX(big_daily_table,MATCH(DATE(W$5,$K283,$J283),daily_dates,0),MATCH($B$3,daily_items,0)))</f>
        <v>#N/A</v>
      </c>
      <c r="X283" s="1" t="e">
        <f aca="false">IF(ISBLANK(INDEX(big_daily_table,MATCH(DATE(X$5,$K283,$J283),daily_dates,0),MATCH($B$3,daily_items,0))),NA(),INDEX(big_daily_table,MATCH(DATE(X$5,$K283,$J283),daily_dates,0),MATCH($B$3,daily_items,0)))</f>
        <v>#N/A</v>
      </c>
      <c r="Y283" s="1" t="e">
        <f aca="false">IF(ISBLANK(INDEX(big_daily_table,MATCH(DATE(Y$5,$K283,$J283),daily_dates,0),MATCH($B$3,daily_items,0))),NA(),INDEX(big_daily_table,MATCH(DATE(Y$5,$K283,$J283),daily_dates,0),MATCH($B$3,daily_items,0)))</f>
        <v>#N/A</v>
      </c>
      <c r="Z283" s="1" t="e">
        <f aca="false">IF(ISBLANK(INDEX(big_daily_table,MATCH(DATE(Z$5,$K283,$J283),daily_dates,0),MATCH($B$3,daily_items,0))),NA(),INDEX(big_daily_table,MATCH(DATE(Z$5,$K283,$J283),daily_dates,0),MATCH($B$3,daily_items,0)))</f>
        <v>#N/A</v>
      </c>
      <c r="AA283" s="1" t="n">
        <f aca="true">_xlfn.AGGREGATE(5,6,OFFSET($S$5,H283,0,1,$K$2))</f>
        <v>0</v>
      </c>
      <c r="AB283" s="1" t="n">
        <f aca="true">_xlfn.AGGREGATE(4,6,OFFSET($S$5,H283,0,1,$K$2))</f>
        <v>0</v>
      </c>
      <c r="AC283" s="1" t="n">
        <f aca="false">AB283-AA283</f>
        <v>0</v>
      </c>
      <c r="AD283" s="1" t="e">
        <f aca="true">_xlfn.AGGREGATE(1,6,OFFSET($S$5,H283,0,1,$K$2))</f>
        <v>#DIV/0!</v>
      </c>
    </row>
    <row r="284" customFormat="false" ht="14.25" hidden="false" customHeight="false" outlineLevel="0" collapsed="false">
      <c r="H284" s="1" t="n">
        <f aca="false">H283+1</f>
        <v>279</v>
      </c>
      <c r="I284" s="1" t="n">
        <f aca="false">WEEKDAY('daily graphs'!K284)</f>
        <v>5</v>
      </c>
      <c r="J284" s="1" t="n">
        <f aca="false">DAY(L284)</f>
        <v>30</v>
      </c>
      <c r="K284" s="1" t="n">
        <f aca="false">MONTH(L284)</f>
        <v>9</v>
      </c>
      <c r="L284" s="23" t="n">
        <f aca="false">'daily graphs'!K284 - I284</f>
        <v>36799</v>
      </c>
      <c r="M284" s="24" t="n">
        <f aca="true">IF(TODAY()&lt;DATE($O$5,K284,J284),1000000,-1000000)</f>
        <v>1000000</v>
      </c>
      <c r="N284" s="24" t="e">
        <f aca="false">IF(M284&gt;0,INDEX(big_daily_table,MATCH(DATE(O$5,$K284,$J284),daily_dates,0),MATCH($B$3,daily_items,0)),NA())</f>
        <v>#N/A</v>
      </c>
      <c r="O284" s="1" t="e">
        <f aca="false">IF(M284&lt;0,INDEX(big_daily_table,MATCH(DATE(O$5,$K284,$J284),daily_dates,0),MATCH($B$3,daily_items,0)),NA())</f>
        <v>#N/A</v>
      </c>
      <c r="P284" s="1" t="e">
        <f aca="false">IF(ISBLANK(INDEX(big_daily_table,MATCH(DATE(P$5,$K284,$J284),daily_dates,0),MATCH($B$3,daily_items,0))),NA(),INDEX(big_daily_table,MATCH(DATE(P$5,$K284,$J284),daily_dates,0),MATCH($B$3,daily_items,0)))</f>
        <v>#N/A</v>
      </c>
      <c r="Q284" s="1" t="e">
        <f aca="false">IF(ISBLANK(INDEX(big_daily_table,MATCH(DATE(Q$5,$K284,$J284),daily_dates,0),MATCH($B$3,daily_items,0))),NA(),INDEX(big_daily_table,MATCH(DATE(Q$5,$K284,$J284),daily_dates,0),MATCH($B$3,daily_items,0)))</f>
        <v>#N/A</v>
      </c>
      <c r="R284" s="1" t="e">
        <f aca="false">IF(ISBLANK(INDEX(big_daily_table,MATCH(DATE(R$5,$K284,$J284),daily_dates,0),MATCH($B$3,daily_items,0))),NA(),INDEX(big_daily_table,MATCH(DATE(R$5,$K284,$J284),daily_dates,0),MATCH($B$3,daily_items,0)))</f>
        <v>#N/A</v>
      </c>
      <c r="S284" s="1" t="e">
        <f aca="false">IF(ISBLANK(INDEX(big_daily_table,MATCH(DATE(S$5,$K284,$J284),daily_dates,0),MATCH($B$3,daily_items,0))),NA(),INDEX(big_daily_table,MATCH(DATE(S$5,$K284,$J284),daily_dates,0),MATCH($B$3,daily_items,0)))</f>
        <v>#N/A</v>
      </c>
      <c r="T284" s="1" t="e">
        <f aca="false">IF(ISBLANK(INDEX(big_daily_table,MATCH(DATE(T$5,$K284,$J284),daily_dates,0),MATCH($B$3,daily_items,0))),NA(),INDEX(big_daily_table,MATCH(DATE(T$5,$K284,$J284),daily_dates,0),MATCH($B$3,daily_items,0)))</f>
        <v>#N/A</v>
      </c>
      <c r="U284" s="1" t="e">
        <f aca="false">IF(ISBLANK(INDEX(big_daily_table,MATCH(DATE(U$5,$K284,$J284),daily_dates,0),MATCH($B$3,daily_items,0))),NA(),INDEX(big_daily_table,MATCH(DATE(U$5,$K284,$J284),daily_dates,0),MATCH($B$3,daily_items,0)))</f>
        <v>#N/A</v>
      </c>
      <c r="V284" s="1" t="e">
        <f aca="false">IF(ISBLANK(INDEX(big_daily_table,MATCH(DATE(V$5,$K284,$J284),daily_dates,0),MATCH($B$3,daily_items,0))),NA(),INDEX(big_daily_table,MATCH(DATE(V$5,$K284,$J284),daily_dates,0),MATCH($B$3,daily_items,0)))</f>
        <v>#N/A</v>
      </c>
      <c r="W284" s="1" t="e">
        <f aca="false">IF(ISBLANK(INDEX(big_daily_table,MATCH(DATE(W$5,$K284,$J284),daily_dates,0),MATCH($B$3,daily_items,0))),NA(),INDEX(big_daily_table,MATCH(DATE(W$5,$K284,$J284),daily_dates,0),MATCH($B$3,daily_items,0)))</f>
        <v>#N/A</v>
      </c>
      <c r="X284" s="1" t="e">
        <f aca="false">IF(ISBLANK(INDEX(big_daily_table,MATCH(DATE(X$5,$K284,$J284),daily_dates,0),MATCH($B$3,daily_items,0))),NA(),INDEX(big_daily_table,MATCH(DATE(X$5,$K284,$J284),daily_dates,0),MATCH($B$3,daily_items,0)))</f>
        <v>#N/A</v>
      </c>
      <c r="Y284" s="1" t="e">
        <f aca="false">IF(ISBLANK(INDEX(big_daily_table,MATCH(DATE(Y$5,$K284,$J284),daily_dates,0),MATCH($B$3,daily_items,0))),NA(),INDEX(big_daily_table,MATCH(DATE(Y$5,$K284,$J284),daily_dates,0),MATCH($B$3,daily_items,0)))</f>
        <v>#N/A</v>
      </c>
      <c r="Z284" s="1" t="e">
        <f aca="false">IF(ISBLANK(INDEX(big_daily_table,MATCH(DATE(Z$5,$K284,$J284),daily_dates,0),MATCH($B$3,daily_items,0))),NA(),INDEX(big_daily_table,MATCH(DATE(Z$5,$K284,$J284),daily_dates,0),MATCH($B$3,daily_items,0)))</f>
        <v>#N/A</v>
      </c>
      <c r="AA284" s="1" t="n">
        <f aca="true">_xlfn.AGGREGATE(5,6,OFFSET($S$5,H284,0,1,$K$2))</f>
        <v>0</v>
      </c>
      <c r="AB284" s="1" t="n">
        <f aca="true">_xlfn.AGGREGATE(4,6,OFFSET($S$5,H284,0,1,$K$2))</f>
        <v>0</v>
      </c>
      <c r="AC284" s="1" t="n">
        <f aca="false">AB284-AA284</f>
        <v>0</v>
      </c>
      <c r="AD284" s="1" t="e">
        <f aca="true">_xlfn.AGGREGATE(1,6,OFFSET($S$5,H284,0,1,$K$2))</f>
        <v>#DIV/0!</v>
      </c>
    </row>
    <row r="285" customFormat="false" ht="14.25" hidden="false" customHeight="false" outlineLevel="0" collapsed="false">
      <c r="H285" s="1" t="n">
        <f aca="false">H284+1</f>
        <v>280</v>
      </c>
      <c r="I285" s="1" t="n">
        <f aca="false">WEEKDAY('daily graphs'!K285)</f>
        <v>6</v>
      </c>
      <c r="J285" s="1" t="n">
        <f aca="false">DAY(L285)</f>
        <v>30</v>
      </c>
      <c r="K285" s="1" t="n">
        <f aca="false">MONTH(L285)</f>
        <v>9</v>
      </c>
      <c r="L285" s="23" t="n">
        <f aca="false">'daily graphs'!K285 - I285</f>
        <v>36799</v>
      </c>
      <c r="M285" s="24" t="n">
        <f aca="true">IF(TODAY()&lt;DATE($O$5,K285,J285),1000000,-1000000)</f>
        <v>1000000</v>
      </c>
      <c r="N285" s="24" t="e">
        <f aca="false">IF(M285&gt;0,INDEX(big_daily_table,MATCH(DATE(O$5,$K285,$J285),daily_dates,0),MATCH($B$3,daily_items,0)),NA())</f>
        <v>#N/A</v>
      </c>
      <c r="O285" s="1" t="e">
        <f aca="false">IF(M285&lt;0,INDEX(big_daily_table,MATCH(DATE(O$5,$K285,$J285),daily_dates,0),MATCH($B$3,daily_items,0)),NA())</f>
        <v>#N/A</v>
      </c>
      <c r="P285" s="1" t="e">
        <f aca="false">IF(ISBLANK(INDEX(big_daily_table,MATCH(DATE(P$5,$K285,$J285),daily_dates,0),MATCH($B$3,daily_items,0))),NA(),INDEX(big_daily_table,MATCH(DATE(P$5,$K285,$J285),daily_dates,0),MATCH($B$3,daily_items,0)))</f>
        <v>#N/A</v>
      </c>
      <c r="Q285" s="1" t="e">
        <f aca="false">IF(ISBLANK(INDEX(big_daily_table,MATCH(DATE(Q$5,$K285,$J285),daily_dates,0),MATCH($B$3,daily_items,0))),NA(),INDEX(big_daily_table,MATCH(DATE(Q$5,$K285,$J285),daily_dates,0),MATCH($B$3,daily_items,0)))</f>
        <v>#N/A</v>
      </c>
      <c r="R285" s="1" t="e">
        <f aca="false">IF(ISBLANK(INDEX(big_daily_table,MATCH(DATE(R$5,$K285,$J285),daily_dates,0),MATCH($B$3,daily_items,0))),NA(),INDEX(big_daily_table,MATCH(DATE(R$5,$K285,$J285),daily_dates,0),MATCH($B$3,daily_items,0)))</f>
        <v>#N/A</v>
      </c>
      <c r="S285" s="1" t="e">
        <f aca="false">IF(ISBLANK(INDEX(big_daily_table,MATCH(DATE(S$5,$K285,$J285),daily_dates,0),MATCH($B$3,daily_items,0))),NA(),INDEX(big_daily_table,MATCH(DATE(S$5,$K285,$J285),daily_dates,0),MATCH($B$3,daily_items,0)))</f>
        <v>#N/A</v>
      </c>
      <c r="T285" s="1" t="e">
        <f aca="false">IF(ISBLANK(INDEX(big_daily_table,MATCH(DATE(T$5,$K285,$J285),daily_dates,0),MATCH($B$3,daily_items,0))),NA(),INDEX(big_daily_table,MATCH(DATE(T$5,$K285,$J285),daily_dates,0),MATCH($B$3,daily_items,0)))</f>
        <v>#N/A</v>
      </c>
      <c r="U285" s="1" t="e">
        <f aca="false">IF(ISBLANK(INDEX(big_daily_table,MATCH(DATE(U$5,$K285,$J285),daily_dates,0),MATCH($B$3,daily_items,0))),NA(),INDEX(big_daily_table,MATCH(DATE(U$5,$K285,$J285),daily_dates,0),MATCH($B$3,daily_items,0)))</f>
        <v>#N/A</v>
      </c>
      <c r="V285" s="1" t="e">
        <f aca="false">IF(ISBLANK(INDEX(big_daily_table,MATCH(DATE(V$5,$K285,$J285),daily_dates,0),MATCH($B$3,daily_items,0))),NA(),INDEX(big_daily_table,MATCH(DATE(V$5,$K285,$J285),daily_dates,0),MATCH($B$3,daily_items,0)))</f>
        <v>#N/A</v>
      </c>
      <c r="W285" s="1" t="e">
        <f aca="false">IF(ISBLANK(INDEX(big_daily_table,MATCH(DATE(W$5,$K285,$J285),daily_dates,0),MATCH($B$3,daily_items,0))),NA(),INDEX(big_daily_table,MATCH(DATE(W$5,$K285,$J285),daily_dates,0),MATCH($B$3,daily_items,0)))</f>
        <v>#N/A</v>
      </c>
      <c r="X285" s="1" t="e">
        <f aca="false">IF(ISBLANK(INDEX(big_daily_table,MATCH(DATE(X$5,$K285,$J285),daily_dates,0),MATCH($B$3,daily_items,0))),NA(),INDEX(big_daily_table,MATCH(DATE(X$5,$K285,$J285),daily_dates,0),MATCH($B$3,daily_items,0)))</f>
        <v>#N/A</v>
      </c>
      <c r="Y285" s="1" t="e">
        <f aca="false">IF(ISBLANK(INDEX(big_daily_table,MATCH(DATE(Y$5,$K285,$J285),daily_dates,0),MATCH($B$3,daily_items,0))),NA(),INDEX(big_daily_table,MATCH(DATE(Y$5,$K285,$J285),daily_dates,0),MATCH($B$3,daily_items,0)))</f>
        <v>#N/A</v>
      </c>
      <c r="Z285" s="1" t="e">
        <f aca="false">IF(ISBLANK(INDEX(big_daily_table,MATCH(DATE(Z$5,$K285,$J285),daily_dates,0),MATCH($B$3,daily_items,0))),NA(),INDEX(big_daily_table,MATCH(DATE(Z$5,$K285,$J285),daily_dates,0),MATCH($B$3,daily_items,0)))</f>
        <v>#N/A</v>
      </c>
      <c r="AA285" s="1" t="n">
        <f aca="true">_xlfn.AGGREGATE(5,6,OFFSET($S$5,H285,0,1,$K$2))</f>
        <v>0</v>
      </c>
      <c r="AB285" s="1" t="n">
        <f aca="true">_xlfn.AGGREGATE(4,6,OFFSET($S$5,H285,0,1,$K$2))</f>
        <v>0</v>
      </c>
      <c r="AC285" s="1" t="n">
        <f aca="false">AB285-AA285</f>
        <v>0</v>
      </c>
      <c r="AD285" s="1" t="e">
        <f aca="true">_xlfn.AGGREGATE(1,6,OFFSET($S$5,H285,0,1,$K$2))</f>
        <v>#DIV/0!</v>
      </c>
    </row>
    <row r="286" customFormat="false" ht="14.25" hidden="false" customHeight="false" outlineLevel="0" collapsed="false">
      <c r="H286" s="1" t="n">
        <f aca="false">H285+1</f>
        <v>281</v>
      </c>
      <c r="I286" s="1" t="n">
        <f aca="false">WEEKDAY('daily graphs'!K286)</f>
        <v>7</v>
      </c>
      <c r="J286" s="1" t="n">
        <f aca="false">DAY(L286)</f>
        <v>30</v>
      </c>
      <c r="K286" s="1" t="n">
        <f aca="false">MONTH(L286)</f>
        <v>9</v>
      </c>
      <c r="L286" s="23" t="n">
        <f aca="false">'daily graphs'!K286 - I286</f>
        <v>36799</v>
      </c>
      <c r="M286" s="24" t="n">
        <f aca="true">IF(TODAY()&lt;DATE($O$5,K286,J286),1000000,-1000000)</f>
        <v>1000000</v>
      </c>
      <c r="N286" s="24" t="e">
        <f aca="false">IF(M286&gt;0,INDEX(big_daily_table,MATCH(DATE(O$5,$K286,$J286),daily_dates,0),MATCH($B$3,daily_items,0)),NA())</f>
        <v>#N/A</v>
      </c>
      <c r="O286" s="1" t="e">
        <f aca="false">IF(M286&lt;0,INDEX(big_daily_table,MATCH(DATE(O$5,$K286,$J286),daily_dates,0),MATCH($B$3,daily_items,0)),NA())</f>
        <v>#N/A</v>
      </c>
      <c r="P286" s="1" t="e">
        <f aca="false">IF(ISBLANK(INDEX(big_daily_table,MATCH(DATE(P$5,$K286,$J286),daily_dates,0),MATCH($B$3,daily_items,0))),NA(),INDEX(big_daily_table,MATCH(DATE(P$5,$K286,$J286),daily_dates,0),MATCH($B$3,daily_items,0)))</f>
        <v>#N/A</v>
      </c>
      <c r="Q286" s="1" t="e">
        <f aca="false">IF(ISBLANK(INDEX(big_daily_table,MATCH(DATE(Q$5,$K286,$J286),daily_dates,0),MATCH($B$3,daily_items,0))),NA(),INDEX(big_daily_table,MATCH(DATE(Q$5,$K286,$J286),daily_dates,0),MATCH($B$3,daily_items,0)))</f>
        <v>#N/A</v>
      </c>
      <c r="R286" s="1" t="e">
        <f aca="false">IF(ISBLANK(INDEX(big_daily_table,MATCH(DATE(R$5,$K286,$J286),daily_dates,0),MATCH($B$3,daily_items,0))),NA(),INDEX(big_daily_table,MATCH(DATE(R$5,$K286,$J286),daily_dates,0),MATCH($B$3,daily_items,0)))</f>
        <v>#N/A</v>
      </c>
      <c r="S286" s="1" t="e">
        <f aca="false">IF(ISBLANK(INDEX(big_daily_table,MATCH(DATE(S$5,$K286,$J286),daily_dates,0),MATCH($B$3,daily_items,0))),NA(),INDEX(big_daily_table,MATCH(DATE(S$5,$K286,$J286),daily_dates,0),MATCH($B$3,daily_items,0)))</f>
        <v>#N/A</v>
      </c>
      <c r="T286" s="1" t="e">
        <f aca="false">IF(ISBLANK(INDEX(big_daily_table,MATCH(DATE(T$5,$K286,$J286),daily_dates,0),MATCH($B$3,daily_items,0))),NA(),INDEX(big_daily_table,MATCH(DATE(T$5,$K286,$J286),daily_dates,0),MATCH($B$3,daily_items,0)))</f>
        <v>#N/A</v>
      </c>
      <c r="U286" s="1" t="e">
        <f aca="false">IF(ISBLANK(INDEX(big_daily_table,MATCH(DATE(U$5,$K286,$J286),daily_dates,0),MATCH($B$3,daily_items,0))),NA(),INDEX(big_daily_table,MATCH(DATE(U$5,$K286,$J286),daily_dates,0),MATCH($B$3,daily_items,0)))</f>
        <v>#N/A</v>
      </c>
      <c r="V286" s="1" t="e">
        <f aca="false">IF(ISBLANK(INDEX(big_daily_table,MATCH(DATE(V$5,$K286,$J286),daily_dates,0),MATCH($B$3,daily_items,0))),NA(),INDEX(big_daily_table,MATCH(DATE(V$5,$K286,$J286),daily_dates,0),MATCH($B$3,daily_items,0)))</f>
        <v>#N/A</v>
      </c>
      <c r="W286" s="1" t="e">
        <f aca="false">IF(ISBLANK(INDEX(big_daily_table,MATCH(DATE(W$5,$K286,$J286),daily_dates,0),MATCH($B$3,daily_items,0))),NA(),INDEX(big_daily_table,MATCH(DATE(W$5,$K286,$J286),daily_dates,0),MATCH($B$3,daily_items,0)))</f>
        <v>#N/A</v>
      </c>
      <c r="X286" s="1" t="e">
        <f aca="false">IF(ISBLANK(INDEX(big_daily_table,MATCH(DATE(X$5,$K286,$J286),daily_dates,0),MATCH($B$3,daily_items,0))),NA(),INDEX(big_daily_table,MATCH(DATE(X$5,$K286,$J286),daily_dates,0),MATCH($B$3,daily_items,0)))</f>
        <v>#N/A</v>
      </c>
      <c r="Y286" s="1" t="e">
        <f aca="false">IF(ISBLANK(INDEX(big_daily_table,MATCH(DATE(Y$5,$K286,$J286),daily_dates,0),MATCH($B$3,daily_items,0))),NA(),INDEX(big_daily_table,MATCH(DATE(Y$5,$K286,$J286),daily_dates,0),MATCH($B$3,daily_items,0)))</f>
        <v>#N/A</v>
      </c>
      <c r="Z286" s="1" t="e">
        <f aca="false">IF(ISBLANK(INDEX(big_daily_table,MATCH(DATE(Z$5,$K286,$J286),daily_dates,0),MATCH($B$3,daily_items,0))),NA(),INDEX(big_daily_table,MATCH(DATE(Z$5,$K286,$J286),daily_dates,0),MATCH($B$3,daily_items,0)))</f>
        <v>#N/A</v>
      </c>
      <c r="AA286" s="1" t="n">
        <f aca="true">_xlfn.AGGREGATE(5,6,OFFSET($S$5,H286,0,1,$K$2))</f>
        <v>0</v>
      </c>
      <c r="AB286" s="1" t="n">
        <f aca="true">_xlfn.AGGREGATE(4,6,OFFSET($S$5,H286,0,1,$K$2))</f>
        <v>0</v>
      </c>
      <c r="AC286" s="1" t="n">
        <f aca="false">AB286-AA286</f>
        <v>0</v>
      </c>
      <c r="AD286" s="1" t="e">
        <f aca="true">_xlfn.AGGREGATE(1,6,OFFSET($S$5,H286,0,1,$K$2))</f>
        <v>#DIV/0!</v>
      </c>
    </row>
    <row r="287" customFormat="false" ht="14.25" hidden="false" customHeight="false" outlineLevel="0" collapsed="false">
      <c r="H287" s="1" t="n">
        <f aca="false">H286+1</f>
        <v>282</v>
      </c>
      <c r="I287" s="1" t="n">
        <f aca="false">WEEKDAY('daily graphs'!K287)</f>
        <v>1</v>
      </c>
      <c r="J287" s="1" t="n">
        <f aca="false">DAY(L287)</f>
        <v>7</v>
      </c>
      <c r="K287" s="1" t="n">
        <f aca="false">MONTH(L287)</f>
        <v>10</v>
      </c>
      <c r="L287" s="23" t="n">
        <f aca="false">'daily graphs'!K287 - I287</f>
        <v>36806</v>
      </c>
      <c r="M287" s="24" t="n">
        <f aca="true">IF(TODAY()&lt;DATE($O$5,K287,J287),1000000,-1000000)</f>
        <v>1000000</v>
      </c>
      <c r="N287" s="24" t="e">
        <f aca="false">IF(M287&gt;0,INDEX(big_daily_table,MATCH(DATE(O$5,$K287,$J287),daily_dates,0),MATCH($B$3,daily_items,0)),NA())</f>
        <v>#N/A</v>
      </c>
      <c r="O287" s="1" t="e">
        <f aca="false">IF(M287&lt;0,INDEX(big_daily_table,MATCH(DATE(O$5,$K287,$J287),daily_dates,0),MATCH($B$3,daily_items,0)),NA())</f>
        <v>#N/A</v>
      </c>
      <c r="P287" s="1" t="e">
        <f aca="false">IF(ISBLANK(INDEX(big_daily_table,MATCH(DATE(P$5,$K287,$J287),daily_dates,0),MATCH($B$3,daily_items,0))),NA(),INDEX(big_daily_table,MATCH(DATE(P$5,$K287,$J287),daily_dates,0),MATCH($B$3,daily_items,0)))</f>
        <v>#N/A</v>
      </c>
      <c r="Q287" s="1" t="e">
        <f aca="false">IF(ISBLANK(INDEX(big_daily_table,MATCH(DATE(Q$5,$K287,$J287),daily_dates,0),MATCH($B$3,daily_items,0))),NA(),INDEX(big_daily_table,MATCH(DATE(Q$5,$K287,$J287),daily_dates,0),MATCH($B$3,daily_items,0)))</f>
        <v>#N/A</v>
      </c>
      <c r="R287" s="1" t="e">
        <f aca="false">IF(ISBLANK(INDEX(big_daily_table,MATCH(DATE(R$5,$K287,$J287),daily_dates,0),MATCH($B$3,daily_items,0))),NA(),INDEX(big_daily_table,MATCH(DATE(R$5,$K287,$J287),daily_dates,0),MATCH($B$3,daily_items,0)))</f>
        <v>#N/A</v>
      </c>
      <c r="S287" s="1" t="e">
        <f aca="false">IF(ISBLANK(INDEX(big_daily_table,MATCH(DATE(S$5,$K287,$J287),daily_dates,0),MATCH($B$3,daily_items,0))),NA(),INDEX(big_daily_table,MATCH(DATE(S$5,$K287,$J287),daily_dates,0),MATCH($B$3,daily_items,0)))</f>
        <v>#N/A</v>
      </c>
      <c r="T287" s="1" t="e">
        <f aca="false">IF(ISBLANK(INDEX(big_daily_table,MATCH(DATE(T$5,$K287,$J287),daily_dates,0),MATCH($B$3,daily_items,0))),NA(),INDEX(big_daily_table,MATCH(DATE(T$5,$K287,$J287),daily_dates,0),MATCH($B$3,daily_items,0)))</f>
        <v>#N/A</v>
      </c>
      <c r="U287" s="1" t="e">
        <f aca="false">IF(ISBLANK(INDEX(big_daily_table,MATCH(DATE(U$5,$K287,$J287),daily_dates,0),MATCH($B$3,daily_items,0))),NA(),INDEX(big_daily_table,MATCH(DATE(U$5,$K287,$J287),daily_dates,0),MATCH($B$3,daily_items,0)))</f>
        <v>#N/A</v>
      </c>
      <c r="V287" s="1" t="e">
        <f aca="false">IF(ISBLANK(INDEX(big_daily_table,MATCH(DATE(V$5,$K287,$J287),daily_dates,0),MATCH($B$3,daily_items,0))),NA(),INDEX(big_daily_table,MATCH(DATE(V$5,$K287,$J287),daily_dates,0),MATCH($B$3,daily_items,0)))</f>
        <v>#N/A</v>
      </c>
      <c r="W287" s="1" t="e">
        <f aca="false">IF(ISBLANK(INDEX(big_daily_table,MATCH(DATE(W$5,$K287,$J287),daily_dates,0),MATCH($B$3,daily_items,0))),NA(),INDEX(big_daily_table,MATCH(DATE(W$5,$K287,$J287),daily_dates,0),MATCH($B$3,daily_items,0)))</f>
        <v>#N/A</v>
      </c>
      <c r="X287" s="1" t="e">
        <f aca="false">IF(ISBLANK(INDEX(big_daily_table,MATCH(DATE(X$5,$K287,$J287),daily_dates,0),MATCH($B$3,daily_items,0))),NA(),INDEX(big_daily_table,MATCH(DATE(X$5,$K287,$J287),daily_dates,0),MATCH($B$3,daily_items,0)))</f>
        <v>#N/A</v>
      </c>
      <c r="Y287" s="1" t="e">
        <f aca="false">IF(ISBLANK(INDEX(big_daily_table,MATCH(DATE(Y$5,$K287,$J287),daily_dates,0),MATCH($B$3,daily_items,0))),NA(),INDEX(big_daily_table,MATCH(DATE(Y$5,$K287,$J287),daily_dates,0),MATCH($B$3,daily_items,0)))</f>
        <v>#N/A</v>
      </c>
      <c r="Z287" s="1" t="e">
        <f aca="false">IF(ISBLANK(INDEX(big_daily_table,MATCH(DATE(Z$5,$K287,$J287),daily_dates,0),MATCH($B$3,daily_items,0))),NA(),INDEX(big_daily_table,MATCH(DATE(Z$5,$K287,$J287),daily_dates,0),MATCH($B$3,daily_items,0)))</f>
        <v>#N/A</v>
      </c>
      <c r="AA287" s="1" t="n">
        <f aca="true">_xlfn.AGGREGATE(5,6,OFFSET($S$5,H287,0,1,$K$2))</f>
        <v>0</v>
      </c>
      <c r="AB287" s="1" t="n">
        <f aca="true">_xlfn.AGGREGATE(4,6,OFFSET($S$5,H287,0,1,$K$2))</f>
        <v>0</v>
      </c>
      <c r="AC287" s="1" t="n">
        <f aca="false">AB287-AA287</f>
        <v>0</v>
      </c>
      <c r="AD287" s="1" t="e">
        <f aca="true">_xlfn.AGGREGATE(1,6,OFFSET($S$5,H287,0,1,$K$2))</f>
        <v>#DIV/0!</v>
      </c>
    </row>
    <row r="288" customFormat="false" ht="14.25" hidden="false" customHeight="false" outlineLevel="0" collapsed="false">
      <c r="H288" s="1" t="n">
        <f aca="false">H287+1</f>
        <v>283</v>
      </c>
      <c r="I288" s="1" t="n">
        <f aca="false">WEEKDAY('daily graphs'!K288)</f>
        <v>2</v>
      </c>
      <c r="J288" s="1" t="n">
        <f aca="false">DAY(L288)</f>
        <v>7</v>
      </c>
      <c r="K288" s="1" t="n">
        <f aca="false">MONTH(L288)</f>
        <v>10</v>
      </c>
      <c r="L288" s="23" t="n">
        <f aca="false">'daily graphs'!K288 - I288</f>
        <v>36806</v>
      </c>
      <c r="M288" s="24" t="n">
        <f aca="true">IF(TODAY()&lt;DATE($O$5,K288,J288),1000000,-1000000)</f>
        <v>1000000</v>
      </c>
      <c r="N288" s="24" t="e">
        <f aca="false">IF(M288&gt;0,INDEX(big_daily_table,MATCH(DATE(O$5,$K288,$J288),daily_dates,0),MATCH($B$3,daily_items,0)),NA())</f>
        <v>#N/A</v>
      </c>
      <c r="O288" s="1" t="e">
        <f aca="false">IF(M288&lt;0,INDEX(big_daily_table,MATCH(DATE(O$5,$K288,$J288),daily_dates,0),MATCH($B$3,daily_items,0)),NA())</f>
        <v>#N/A</v>
      </c>
      <c r="P288" s="1" t="e">
        <f aca="false">IF(ISBLANK(INDEX(big_daily_table,MATCH(DATE(P$5,$K288,$J288),daily_dates,0),MATCH($B$3,daily_items,0))),NA(),INDEX(big_daily_table,MATCH(DATE(P$5,$K288,$J288),daily_dates,0),MATCH($B$3,daily_items,0)))</f>
        <v>#N/A</v>
      </c>
      <c r="Q288" s="1" t="e">
        <f aca="false">IF(ISBLANK(INDEX(big_daily_table,MATCH(DATE(Q$5,$K288,$J288),daily_dates,0),MATCH($B$3,daily_items,0))),NA(),INDEX(big_daily_table,MATCH(DATE(Q$5,$K288,$J288),daily_dates,0),MATCH($B$3,daily_items,0)))</f>
        <v>#N/A</v>
      </c>
      <c r="R288" s="1" t="e">
        <f aca="false">IF(ISBLANK(INDEX(big_daily_table,MATCH(DATE(R$5,$K288,$J288),daily_dates,0),MATCH($B$3,daily_items,0))),NA(),INDEX(big_daily_table,MATCH(DATE(R$5,$K288,$J288),daily_dates,0),MATCH($B$3,daily_items,0)))</f>
        <v>#N/A</v>
      </c>
      <c r="S288" s="1" t="e">
        <f aca="false">IF(ISBLANK(INDEX(big_daily_table,MATCH(DATE(S$5,$K288,$J288),daily_dates,0),MATCH($B$3,daily_items,0))),NA(),INDEX(big_daily_table,MATCH(DATE(S$5,$K288,$J288),daily_dates,0),MATCH($B$3,daily_items,0)))</f>
        <v>#N/A</v>
      </c>
      <c r="T288" s="1" t="e">
        <f aca="false">IF(ISBLANK(INDEX(big_daily_table,MATCH(DATE(T$5,$K288,$J288),daily_dates,0),MATCH($B$3,daily_items,0))),NA(),INDEX(big_daily_table,MATCH(DATE(T$5,$K288,$J288),daily_dates,0),MATCH($B$3,daily_items,0)))</f>
        <v>#N/A</v>
      </c>
      <c r="U288" s="1" t="e">
        <f aca="false">IF(ISBLANK(INDEX(big_daily_table,MATCH(DATE(U$5,$K288,$J288),daily_dates,0),MATCH($B$3,daily_items,0))),NA(),INDEX(big_daily_table,MATCH(DATE(U$5,$K288,$J288),daily_dates,0),MATCH($B$3,daily_items,0)))</f>
        <v>#N/A</v>
      </c>
      <c r="V288" s="1" t="e">
        <f aca="false">IF(ISBLANK(INDEX(big_daily_table,MATCH(DATE(V$5,$K288,$J288),daily_dates,0),MATCH($B$3,daily_items,0))),NA(),INDEX(big_daily_table,MATCH(DATE(V$5,$K288,$J288),daily_dates,0),MATCH($B$3,daily_items,0)))</f>
        <v>#N/A</v>
      </c>
      <c r="W288" s="1" t="e">
        <f aca="false">IF(ISBLANK(INDEX(big_daily_table,MATCH(DATE(W$5,$K288,$J288),daily_dates,0),MATCH($B$3,daily_items,0))),NA(),INDEX(big_daily_table,MATCH(DATE(W$5,$K288,$J288),daily_dates,0),MATCH($B$3,daily_items,0)))</f>
        <v>#N/A</v>
      </c>
      <c r="X288" s="1" t="e">
        <f aca="false">IF(ISBLANK(INDEX(big_daily_table,MATCH(DATE(X$5,$K288,$J288),daily_dates,0),MATCH($B$3,daily_items,0))),NA(),INDEX(big_daily_table,MATCH(DATE(X$5,$K288,$J288),daily_dates,0),MATCH($B$3,daily_items,0)))</f>
        <v>#N/A</v>
      </c>
      <c r="Y288" s="1" t="e">
        <f aca="false">IF(ISBLANK(INDEX(big_daily_table,MATCH(DATE(Y$5,$K288,$J288),daily_dates,0),MATCH($B$3,daily_items,0))),NA(),INDEX(big_daily_table,MATCH(DATE(Y$5,$K288,$J288),daily_dates,0),MATCH($B$3,daily_items,0)))</f>
        <v>#N/A</v>
      </c>
      <c r="Z288" s="1" t="e">
        <f aca="false">IF(ISBLANK(INDEX(big_daily_table,MATCH(DATE(Z$5,$K288,$J288),daily_dates,0),MATCH($B$3,daily_items,0))),NA(),INDEX(big_daily_table,MATCH(DATE(Z$5,$K288,$J288),daily_dates,0),MATCH($B$3,daily_items,0)))</f>
        <v>#N/A</v>
      </c>
      <c r="AA288" s="1" t="n">
        <f aca="true">_xlfn.AGGREGATE(5,6,OFFSET($S$5,H288,0,1,$K$2))</f>
        <v>0</v>
      </c>
      <c r="AB288" s="1" t="n">
        <f aca="true">_xlfn.AGGREGATE(4,6,OFFSET($S$5,H288,0,1,$K$2))</f>
        <v>0</v>
      </c>
      <c r="AC288" s="1" t="n">
        <f aca="false">AB288-AA288</f>
        <v>0</v>
      </c>
      <c r="AD288" s="1" t="e">
        <f aca="true">_xlfn.AGGREGATE(1,6,OFFSET($S$5,H288,0,1,$K$2))</f>
        <v>#DIV/0!</v>
      </c>
    </row>
    <row r="289" customFormat="false" ht="14.25" hidden="false" customHeight="false" outlineLevel="0" collapsed="false">
      <c r="H289" s="1" t="n">
        <f aca="false">H288+1</f>
        <v>284</v>
      </c>
      <c r="I289" s="1" t="n">
        <f aca="false">WEEKDAY('daily graphs'!K289)</f>
        <v>3</v>
      </c>
      <c r="J289" s="1" t="n">
        <f aca="false">DAY(L289)</f>
        <v>7</v>
      </c>
      <c r="K289" s="1" t="n">
        <f aca="false">MONTH(L289)</f>
        <v>10</v>
      </c>
      <c r="L289" s="23" t="n">
        <f aca="false">'daily graphs'!K289 - I289</f>
        <v>36806</v>
      </c>
      <c r="M289" s="24" t="n">
        <f aca="true">IF(TODAY()&lt;DATE($O$5,K289,J289),1000000,-1000000)</f>
        <v>1000000</v>
      </c>
      <c r="N289" s="24" t="e">
        <f aca="false">IF(M289&gt;0,INDEX(big_daily_table,MATCH(DATE(O$5,$K289,$J289),daily_dates,0),MATCH($B$3,daily_items,0)),NA())</f>
        <v>#N/A</v>
      </c>
      <c r="O289" s="1" t="e">
        <f aca="false">IF(M289&lt;0,INDEX(big_daily_table,MATCH(DATE(O$5,$K289,$J289),daily_dates,0),MATCH($B$3,daily_items,0)),NA())</f>
        <v>#N/A</v>
      </c>
      <c r="P289" s="1" t="e">
        <f aca="false">IF(ISBLANK(INDEX(big_daily_table,MATCH(DATE(P$5,$K289,$J289),daily_dates,0),MATCH($B$3,daily_items,0))),NA(),INDEX(big_daily_table,MATCH(DATE(P$5,$K289,$J289),daily_dates,0),MATCH($B$3,daily_items,0)))</f>
        <v>#N/A</v>
      </c>
      <c r="Q289" s="1" t="e">
        <f aca="false">IF(ISBLANK(INDEX(big_daily_table,MATCH(DATE(Q$5,$K289,$J289),daily_dates,0),MATCH($B$3,daily_items,0))),NA(),INDEX(big_daily_table,MATCH(DATE(Q$5,$K289,$J289),daily_dates,0),MATCH($B$3,daily_items,0)))</f>
        <v>#N/A</v>
      </c>
      <c r="R289" s="1" t="e">
        <f aca="false">IF(ISBLANK(INDEX(big_daily_table,MATCH(DATE(R$5,$K289,$J289),daily_dates,0),MATCH($B$3,daily_items,0))),NA(),INDEX(big_daily_table,MATCH(DATE(R$5,$K289,$J289),daily_dates,0),MATCH($B$3,daily_items,0)))</f>
        <v>#N/A</v>
      </c>
      <c r="S289" s="1" t="e">
        <f aca="false">IF(ISBLANK(INDEX(big_daily_table,MATCH(DATE(S$5,$K289,$J289),daily_dates,0),MATCH($B$3,daily_items,0))),NA(),INDEX(big_daily_table,MATCH(DATE(S$5,$K289,$J289),daily_dates,0),MATCH($B$3,daily_items,0)))</f>
        <v>#N/A</v>
      </c>
      <c r="T289" s="1" t="e">
        <f aca="false">IF(ISBLANK(INDEX(big_daily_table,MATCH(DATE(T$5,$K289,$J289),daily_dates,0),MATCH($B$3,daily_items,0))),NA(),INDEX(big_daily_table,MATCH(DATE(T$5,$K289,$J289),daily_dates,0),MATCH($B$3,daily_items,0)))</f>
        <v>#N/A</v>
      </c>
      <c r="U289" s="1" t="e">
        <f aca="false">IF(ISBLANK(INDEX(big_daily_table,MATCH(DATE(U$5,$K289,$J289),daily_dates,0),MATCH($B$3,daily_items,0))),NA(),INDEX(big_daily_table,MATCH(DATE(U$5,$K289,$J289),daily_dates,0),MATCH($B$3,daily_items,0)))</f>
        <v>#N/A</v>
      </c>
      <c r="V289" s="1" t="e">
        <f aca="false">IF(ISBLANK(INDEX(big_daily_table,MATCH(DATE(V$5,$K289,$J289),daily_dates,0),MATCH($B$3,daily_items,0))),NA(),INDEX(big_daily_table,MATCH(DATE(V$5,$K289,$J289),daily_dates,0),MATCH($B$3,daily_items,0)))</f>
        <v>#N/A</v>
      </c>
      <c r="W289" s="1" t="e">
        <f aca="false">IF(ISBLANK(INDEX(big_daily_table,MATCH(DATE(W$5,$K289,$J289),daily_dates,0),MATCH($B$3,daily_items,0))),NA(),INDEX(big_daily_table,MATCH(DATE(W$5,$K289,$J289),daily_dates,0),MATCH($B$3,daily_items,0)))</f>
        <v>#N/A</v>
      </c>
      <c r="X289" s="1" t="e">
        <f aca="false">IF(ISBLANK(INDEX(big_daily_table,MATCH(DATE(X$5,$K289,$J289),daily_dates,0),MATCH($B$3,daily_items,0))),NA(),INDEX(big_daily_table,MATCH(DATE(X$5,$K289,$J289),daily_dates,0),MATCH($B$3,daily_items,0)))</f>
        <v>#N/A</v>
      </c>
      <c r="Y289" s="1" t="e">
        <f aca="false">IF(ISBLANK(INDEX(big_daily_table,MATCH(DATE(Y$5,$K289,$J289),daily_dates,0),MATCH($B$3,daily_items,0))),NA(),INDEX(big_daily_table,MATCH(DATE(Y$5,$K289,$J289),daily_dates,0),MATCH($B$3,daily_items,0)))</f>
        <v>#N/A</v>
      </c>
      <c r="Z289" s="1" t="e">
        <f aca="false">IF(ISBLANK(INDEX(big_daily_table,MATCH(DATE(Z$5,$K289,$J289),daily_dates,0),MATCH($B$3,daily_items,0))),NA(),INDEX(big_daily_table,MATCH(DATE(Z$5,$K289,$J289),daily_dates,0),MATCH($B$3,daily_items,0)))</f>
        <v>#N/A</v>
      </c>
      <c r="AA289" s="1" t="n">
        <f aca="true">_xlfn.AGGREGATE(5,6,OFFSET($S$5,H289,0,1,$K$2))</f>
        <v>0</v>
      </c>
      <c r="AB289" s="1" t="n">
        <f aca="true">_xlfn.AGGREGATE(4,6,OFFSET($S$5,H289,0,1,$K$2))</f>
        <v>0</v>
      </c>
      <c r="AC289" s="1" t="n">
        <f aca="false">AB289-AA289</f>
        <v>0</v>
      </c>
      <c r="AD289" s="1" t="e">
        <f aca="true">_xlfn.AGGREGATE(1,6,OFFSET($S$5,H289,0,1,$K$2))</f>
        <v>#DIV/0!</v>
      </c>
    </row>
    <row r="290" customFormat="false" ht="14.25" hidden="false" customHeight="false" outlineLevel="0" collapsed="false">
      <c r="H290" s="1" t="n">
        <f aca="false">H289+1</f>
        <v>285</v>
      </c>
      <c r="I290" s="1" t="n">
        <f aca="false">WEEKDAY('daily graphs'!K290)</f>
        <v>4</v>
      </c>
      <c r="J290" s="1" t="n">
        <f aca="false">DAY(L290)</f>
        <v>7</v>
      </c>
      <c r="K290" s="1" t="n">
        <f aca="false">MONTH(L290)</f>
        <v>10</v>
      </c>
      <c r="L290" s="23" t="n">
        <f aca="false">'daily graphs'!K290 - I290</f>
        <v>36806</v>
      </c>
      <c r="M290" s="24" t="n">
        <f aca="true">IF(TODAY()&lt;DATE($O$5,K290,J290),1000000,-1000000)</f>
        <v>1000000</v>
      </c>
      <c r="N290" s="24" t="e">
        <f aca="false">IF(M290&gt;0,INDEX(big_daily_table,MATCH(DATE(O$5,$K290,$J290),daily_dates,0),MATCH($B$3,daily_items,0)),NA())</f>
        <v>#N/A</v>
      </c>
      <c r="O290" s="1" t="e">
        <f aca="false">IF(M290&lt;0,INDEX(big_daily_table,MATCH(DATE(O$5,$K290,$J290),daily_dates,0),MATCH($B$3,daily_items,0)),NA())</f>
        <v>#N/A</v>
      </c>
      <c r="P290" s="1" t="e">
        <f aca="false">IF(ISBLANK(INDEX(big_daily_table,MATCH(DATE(P$5,$K290,$J290),daily_dates,0),MATCH($B$3,daily_items,0))),NA(),INDEX(big_daily_table,MATCH(DATE(P$5,$K290,$J290),daily_dates,0),MATCH($B$3,daily_items,0)))</f>
        <v>#N/A</v>
      </c>
      <c r="Q290" s="1" t="e">
        <f aca="false">IF(ISBLANK(INDEX(big_daily_table,MATCH(DATE(Q$5,$K290,$J290),daily_dates,0),MATCH($B$3,daily_items,0))),NA(),INDEX(big_daily_table,MATCH(DATE(Q$5,$K290,$J290),daily_dates,0),MATCH($B$3,daily_items,0)))</f>
        <v>#N/A</v>
      </c>
      <c r="R290" s="1" t="e">
        <f aca="false">IF(ISBLANK(INDEX(big_daily_table,MATCH(DATE(R$5,$K290,$J290),daily_dates,0),MATCH($B$3,daily_items,0))),NA(),INDEX(big_daily_table,MATCH(DATE(R$5,$K290,$J290),daily_dates,0),MATCH($B$3,daily_items,0)))</f>
        <v>#N/A</v>
      </c>
      <c r="S290" s="1" t="e">
        <f aca="false">IF(ISBLANK(INDEX(big_daily_table,MATCH(DATE(S$5,$K290,$J290),daily_dates,0),MATCH($B$3,daily_items,0))),NA(),INDEX(big_daily_table,MATCH(DATE(S$5,$K290,$J290),daily_dates,0),MATCH($B$3,daily_items,0)))</f>
        <v>#N/A</v>
      </c>
      <c r="T290" s="1" t="e">
        <f aca="false">IF(ISBLANK(INDEX(big_daily_table,MATCH(DATE(T$5,$K290,$J290),daily_dates,0),MATCH($B$3,daily_items,0))),NA(),INDEX(big_daily_table,MATCH(DATE(T$5,$K290,$J290),daily_dates,0),MATCH($B$3,daily_items,0)))</f>
        <v>#N/A</v>
      </c>
      <c r="U290" s="1" t="e">
        <f aca="false">IF(ISBLANK(INDEX(big_daily_table,MATCH(DATE(U$5,$K290,$J290),daily_dates,0),MATCH($B$3,daily_items,0))),NA(),INDEX(big_daily_table,MATCH(DATE(U$5,$K290,$J290),daily_dates,0),MATCH($B$3,daily_items,0)))</f>
        <v>#N/A</v>
      </c>
      <c r="V290" s="1" t="e">
        <f aca="false">IF(ISBLANK(INDEX(big_daily_table,MATCH(DATE(V$5,$K290,$J290),daily_dates,0),MATCH($B$3,daily_items,0))),NA(),INDEX(big_daily_table,MATCH(DATE(V$5,$K290,$J290),daily_dates,0),MATCH($B$3,daily_items,0)))</f>
        <v>#N/A</v>
      </c>
      <c r="W290" s="1" t="e">
        <f aca="false">IF(ISBLANK(INDEX(big_daily_table,MATCH(DATE(W$5,$K290,$J290),daily_dates,0),MATCH($B$3,daily_items,0))),NA(),INDEX(big_daily_table,MATCH(DATE(W$5,$K290,$J290),daily_dates,0),MATCH($B$3,daily_items,0)))</f>
        <v>#N/A</v>
      </c>
      <c r="X290" s="1" t="e">
        <f aca="false">IF(ISBLANK(INDEX(big_daily_table,MATCH(DATE(X$5,$K290,$J290),daily_dates,0),MATCH($B$3,daily_items,0))),NA(),INDEX(big_daily_table,MATCH(DATE(X$5,$K290,$J290),daily_dates,0),MATCH($B$3,daily_items,0)))</f>
        <v>#N/A</v>
      </c>
      <c r="Y290" s="1" t="e">
        <f aca="false">IF(ISBLANK(INDEX(big_daily_table,MATCH(DATE(Y$5,$K290,$J290),daily_dates,0),MATCH($B$3,daily_items,0))),NA(),INDEX(big_daily_table,MATCH(DATE(Y$5,$K290,$J290),daily_dates,0),MATCH($B$3,daily_items,0)))</f>
        <v>#N/A</v>
      </c>
      <c r="Z290" s="1" t="e">
        <f aca="false">IF(ISBLANK(INDEX(big_daily_table,MATCH(DATE(Z$5,$K290,$J290),daily_dates,0),MATCH($B$3,daily_items,0))),NA(),INDEX(big_daily_table,MATCH(DATE(Z$5,$K290,$J290),daily_dates,0),MATCH($B$3,daily_items,0)))</f>
        <v>#N/A</v>
      </c>
      <c r="AA290" s="1" t="n">
        <f aca="true">_xlfn.AGGREGATE(5,6,OFFSET($S$5,H290,0,1,$K$2))</f>
        <v>0</v>
      </c>
      <c r="AB290" s="1" t="n">
        <f aca="true">_xlfn.AGGREGATE(4,6,OFFSET($S$5,H290,0,1,$K$2))</f>
        <v>0</v>
      </c>
      <c r="AC290" s="1" t="n">
        <f aca="false">AB290-AA290</f>
        <v>0</v>
      </c>
      <c r="AD290" s="1" t="e">
        <f aca="true">_xlfn.AGGREGATE(1,6,OFFSET($S$5,H290,0,1,$K$2))</f>
        <v>#DIV/0!</v>
      </c>
    </row>
    <row r="291" customFormat="false" ht="14.25" hidden="false" customHeight="false" outlineLevel="0" collapsed="false">
      <c r="H291" s="1" t="n">
        <f aca="false">H290+1</f>
        <v>286</v>
      </c>
      <c r="I291" s="1" t="n">
        <f aca="false">WEEKDAY('daily graphs'!K291)</f>
        <v>5</v>
      </c>
      <c r="J291" s="1" t="n">
        <f aca="false">DAY(L291)</f>
        <v>7</v>
      </c>
      <c r="K291" s="1" t="n">
        <f aca="false">MONTH(L291)</f>
        <v>10</v>
      </c>
      <c r="L291" s="23" t="n">
        <f aca="false">'daily graphs'!K291 - I291</f>
        <v>36806</v>
      </c>
      <c r="M291" s="24" t="n">
        <f aca="true">IF(TODAY()&lt;DATE($O$5,K291,J291),1000000,-1000000)</f>
        <v>1000000</v>
      </c>
      <c r="N291" s="24" t="e">
        <f aca="false">IF(M291&gt;0,INDEX(big_daily_table,MATCH(DATE(O$5,$K291,$J291),daily_dates,0),MATCH($B$3,daily_items,0)),NA())</f>
        <v>#N/A</v>
      </c>
      <c r="O291" s="1" t="e">
        <f aca="false">IF(M291&lt;0,INDEX(big_daily_table,MATCH(DATE(O$5,$K291,$J291),daily_dates,0),MATCH($B$3,daily_items,0)),NA())</f>
        <v>#N/A</v>
      </c>
      <c r="P291" s="1" t="e">
        <f aca="false">IF(ISBLANK(INDEX(big_daily_table,MATCH(DATE(P$5,$K291,$J291),daily_dates,0),MATCH($B$3,daily_items,0))),NA(),INDEX(big_daily_table,MATCH(DATE(P$5,$K291,$J291),daily_dates,0),MATCH($B$3,daily_items,0)))</f>
        <v>#N/A</v>
      </c>
      <c r="Q291" s="1" t="e">
        <f aca="false">IF(ISBLANK(INDEX(big_daily_table,MATCH(DATE(Q$5,$K291,$J291),daily_dates,0),MATCH($B$3,daily_items,0))),NA(),INDEX(big_daily_table,MATCH(DATE(Q$5,$K291,$J291),daily_dates,0),MATCH($B$3,daily_items,0)))</f>
        <v>#N/A</v>
      </c>
      <c r="R291" s="1" t="e">
        <f aca="false">IF(ISBLANK(INDEX(big_daily_table,MATCH(DATE(R$5,$K291,$J291),daily_dates,0),MATCH($B$3,daily_items,0))),NA(),INDEX(big_daily_table,MATCH(DATE(R$5,$K291,$J291),daily_dates,0),MATCH($B$3,daily_items,0)))</f>
        <v>#N/A</v>
      </c>
      <c r="S291" s="1" t="e">
        <f aca="false">IF(ISBLANK(INDEX(big_daily_table,MATCH(DATE(S$5,$K291,$J291),daily_dates,0),MATCH($B$3,daily_items,0))),NA(),INDEX(big_daily_table,MATCH(DATE(S$5,$K291,$J291),daily_dates,0),MATCH($B$3,daily_items,0)))</f>
        <v>#N/A</v>
      </c>
      <c r="T291" s="1" t="e">
        <f aca="false">IF(ISBLANK(INDEX(big_daily_table,MATCH(DATE(T$5,$K291,$J291),daily_dates,0),MATCH($B$3,daily_items,0))),NA(),INDEX(big_daily_table,MATCH(DATE(T$5,$K291,$J291),daily_dates,0),MATCH($B$3,daily_items,0)))</f>
        <v>#N/A</v>
      </c>
      <c r="U291" s="1" t="e">
        <f aca="false">IF(ISBLANK(INDEX(big_daily_table,MATCH(DATE(U$5,$K291,$J291),daily_dates,0),MATCH($B$3,daily_items,0))),NA(),INDEX(big_daily_table,MATCH(DATE(U$5,$K291,$J291),daily_dates,0),MATCH($B$3,daily_items,0)))</f>
        <v>#N/A</v>
      </c>
      <c r="V291" s="1" t="e">
        <f aca="false">IF(ISBLANK(INDEX(big_daily_table,MATCH(DATE(V$5,$K291,$J291),daily_dates,0),MATCH($B$3,daily_items,0))),NA(),INDEX(big_daily_table,MATCH(DATE(V$5,$K291,$J291),daily_dates,0),MATCH($B$3,daily_items,0)))</f>
        <v>#N/A</v>
      </c>
      <c r="W291" s="1" t="e">
        <f aca="false">IF(ISBLANK(INDEX(big_daily_table,MATCH(DATE(W$5,$K291,$J291),daily_dates,0),MATCH($B$3,daily_items,0))),NA(),INDEX(big_daily_table,MATCH(DATE(W$5,$K291,$J291),daily_dates,0),MATCH($B$3,daily_items,0)))</f>
        <v>#N/A</v>
      </c>
      <c r="X291" s="1" t="e">
        <f aca="false">IF(ISBLANK(INDEX(big_daily_table,MATCH(DATE(X$5,$K291,$J291),daily_dates,0),MATCH($B$3,daily_items,0))),NA(),INDEX(big_daily_table,MATCH(DATE(X$5,$K291,$J291),daily_dates,0),MATCH($B$3,daily_items,0)))</f>
        <v>#N/A</v>
      </c>
      <c r="Y291" s="1" t="e">
        <f aca="false">IF(ISBLANK(INDEX(big_daily_table,MATCH(DATE(Y$5,$K291,$J291),daily_dates,0),MATCH($B$3,daily_items,0))),NA(),INDEX(big_daily_table,MATCH(DATE(Y$5,$K291,$J291),daily_dates,0),MATCH($B$3,daily_items,0)))</f>
        <v>#N/A</v>
      </c>
      <c r="Z291" s="1" t="e">
        <f aca="false">IF(ISBLANK(INDEX(big_daily_table,MATCH(DATE(Z$5,$K291,$J291),daily_dates,0),MATCH($B$3,daily_items,0))),NA(),INDEX(big_daily_table,MATCH(DATE(Z$5,$K291,$J291),daily_dates,0),MATCH($B$3,daily_items,0)))</f>
        <v>#N/A</v>
      </c>
      <c r="AA291" s="1" t="n">
        <f aca="true">_xlfn.AGGREGATE(5,6,OFFSET($S$5,H291,0,1,$K$2))</f>
        <v>0</v>
      </c>
      <c r="AB291" s="1" t="n">
        <f aca="true">_xlfn.AGGREGATE(4,6,OFFSET($S$5,H291,0,1,$K$2))</f>
        <v>0</v>
      </c>
      <c r="AC291" s="1" t="n">
        <f aca="false">AB291-AA291</f>
        <v>0</v>
      </c>
      <c r="AD291" s="1" t="e">
        <f aca="true">_xlfn.AGGREGATE(1,6,OFFSET($S$5,H291,0,1,$K$2))</f>
        <v>#DIV/0!</v>
      </c>
    </row>
    <row r="292" customFormat="false" ht="14.25" hidden="false" customHeight="false" outlineLevel="0" collapsed="false">
      <c r="H292" s="1" t="n">
        <f aca="false">H291+1</f>
        <v>287</v>
      </c>
      <c r="I292" s="1" t="n">
        <f aca="false">WEEKDAY('daily graphs'!K292)</f>
        <v>6</v>
      </c>
      <c r="J292" s="1" t="n">
        <f aca="false">DAY(L292)</f>
        <v>7</v>
      </c>
      <c r="K292" s="1" t="n">
        <f aca="false">MONTH(L292)</f>
        <v>10</v>
      </c>
      <c r="L292" s="23" t="n">
        <f aca="false">'daily graphs'!K292 - I292</f>
        <v>36806</v>
      </c>
      <c r="M292" s="24" t="n">
        <f aca="true">IF(TODAY()&lt;DATE($O$5,K292,J292),1000000,-1000000)</f>
        <v>1000000</v>
      </c>
      <c r="N292" s="24" t="e">
        <f aca="false">IF(M292&gt;0,INDEX(big_daily_table,MATCH(DATE(O$5,$K292,$J292),daily_dates,0),MATCH($B$3,daily_items,0)),NA())</f>
        <v>#N/A</v>
      </c>
      <c r="O292" s="1" t="e">
        <f aca="false">IF(M292&lt;0,INDEX(big_daily_table,MATCH(DATE(O$5,$K292,$J292),daily_dates,0),MATCH($B$3,daily_items,0)),NA())</f>
        <v>#N/A</v>
      </c>
      <c r="P292" s="1" t="e">
        <f aca="false">IF(ISBLANK(INDEX(big_daily_table,MATCH(DATE(P$5,$K292,$J292),daily_dates,0),MATCH($B$3,daily_items,0))),NA(),INDEX(big_daily_table,MATCH(DATE(P$5,$K292,$J292),daily_dates,0),MATCH($B$3,daily_items,0)))</f>
        <v>#N/A</v>
      </c>
      <c r="Q292" s="1" t="e">
        <f aca="false">IF(ISBLANK(INDEX(big_daily_table,MATCH(DATE(Q$5,$K292,$J292),daily_dates,0),MATCH($B$3,daily_items,0))),NA(),INDEX(big_daily_table,MATCH(DATE(Q$5,$K292,$J292),daily_dates,0),MATCH($B$3,daily_items,0)))</f>
        <v>#N/A</v>
      </c>
      <c r="R292" s="1" t="e">
        <f aca="false">IF(ISBLANK(INDEX(big_daily_table,MATCH(DATE(R$5,$K292,$J292),daily_dates,0),MATCH($B$3,daily_items,0))),NA(),INDEX(big_daily_table,MATCH(DATE(R$5,$K292,$J292),daily_dates,0),MATCH($B$3,daily_items,0)))</f>
        <v>#N/A</v>
      </c>
      <c r="S292" s="1" t="e">
        <f aca="false">IF(ISBLANK(INDEX(big_daily_table,MATCH(DATE(S$5,$K292,$J292),daily_dates,0),MATCH($B$3,daily_items,0))),NA(),INDEX(big_daily_table,MATCH(DATE(S$5,$K292,$J292),daily_dates,0),MATCH($B$3,daily_items,0)))</f>
        <v>#N/A</v>
      </c>
      <c r="T292" s="1" t="e">
        <f aca="false">IF(ISBLANK(INDEX(big_daily_table,MATCH(DATE(T$5,$K292,$J292),daily_dates,0),MATCH($B$3,daily_items,0))),NA(),INDEX(big_daily_table,MATCH(DATE(T$5,$K292,$J292),daily_dates,0),MATCH($B$3,daily_items,0)))</f>
        <v>#N/A</v>
      </c>
      <c r="U292" s="1" t="e">
        <f aca="false">IF(ISBLANK(INDEX(big_daily_table,MATCH(DATE(U$5,$K292,$J292),daily_dates,0),MATCH($B$3,daily_items,0))),NA(),INDEX(big_daily_table,MATCH(DATE(U$5,$K292,$J292),daily_dates,0),MATCH($B$3,daily_items,0)))</f>
        <v>#N/A</v>
      </c>
      <c r="V292" s="1" t="e">
        <f aca="false">IF(ISBLANK(INDEX(big_daily_table,MATCH(DATE(V$5,$K292,$J292),daily_dates,0),MATCH($B$3,daily_items,0))),NA(),INDEX(big_daily_table,MATCH(DATE(V$5,$K292,$J292),daily_dates,0),MATCH($B$3,daily_items,0)))</f>
        <v>#N/A</v>
      </c>
      <c r="W292" s="1" t="e">
        <f aca="false">IF(ISBLANK(INDEX(big_daily_table,MATCH(DATE(W$5,$K292,$J292),daily_dates,0),MATCH($B$3,daily_items,0))),NA(),INDEX(big_daily_table,MATCH(DATE(W$5,$K292,$J292),daily_dates,0),MATCH($B$3,daily_items,0)))</f>
        <v>#N/A</v>
      </c>
      <c r="X292" s="1" t="e">
        <f aca="false">IF(ISBLANK(INDEX(big_daily_table,MATCH(DATE(X$5,$K292,$J292),daily_dates,0),MATCH($B$3,daily_items,0))),NA(),INDEX(big_daily_table,MATCH(DATE(X$5,$K292,$J292),daily_dates,0),MATCH($B$3,daily_items,0)))</f>
        <v>#N/A</v>
      </c>
      <c r="Y292" s="1" t="e">
        <f aca="false">IF(ISBLANK(INDEX(big_daily_table,MATCH(DATE(Y$5,$K292,$J292),daily_dates,0),MATCH($B$3,daily_items,0))),NA(),INDEX(big_daily_table,MATCH(DATE(Y$5,$K292,$J292),daily_dates,0),MATCH($B$3,daily_items,0)))</f>
        <v>#N/A</v>
      </c>
      <c r="Z292" s="1" t="e">
        <f aca="false">IF(ISBLANK(INDEX(big_daily_table,MATCH(DATE(Z$5,$K292,$J292),daily_dates,0),MATCH($B$3,daily_items,0))),NA(),INDEX(big_daily_table,MATCH(DATE(Z$5,$K292,$J292),daily_dates,0),MATCH($B$3,daily_items,0)))</f>
        <v>#N/A</v>
      </c>
      <c r="AA292" s="1" t="n">
        <f aca="true">_xlfn.AGGREGATE(5,6,OFFSET($S$5,H292,0,1,$K$2))</f>
        <v>0</v>
      </c>
      <c r="AB292" s="1" t="n">
        <f aca="true">_xlfn.AGGREGATE(4,6,OFFSET($S$5,H292,0,1,$K$2))</f>
        <v>0</v>
      </c>
      <c r="AC292" s="1" t="n">
        <f aca="false">AB292-AA292</f>
        <v>0</v>
      </c>
      <c r="AD292" s="1" t="e">
        <f aca="true">_xlfn.AGGREGATE(1,6,OFFSET($S$5,H292,0,1,$K$2))</f>
        <v>#DIV/0!</v>
      </c>
    </row>
    <row r="293" customFormat="false" ht="14.25" hidden="false" customHeight="false" outlineLevel="0" collapsed="false">
      <c r="H293" s="1" t="n">
        <f aca="false">H292+1</f>
        <v>288</v>
      </c>
      <c r="I293" s="1" t="n">
        <f aca="false">WEEKDAY('daily graphs'!K293)</f>
        <v>7</v>
      </c>
      <c r="J293" s="1" t="n">
        <f aca="false">DAY(L293)</f>
        <v>7</v>
      </c>
      <c r="K293" s="1" t="n">
        <f aca="false">MONTH(L293)</f>
        <v>10</v>
      </c>
      <c r="L293" s="23" t="n">
        <f aca="false">'daily graphs'!K293 - I293</f>
        <v>36806</v>
      </c>
      <c r="M293" s="24" t="n">
        <f aca="true">IF(TODAY()&lt;DATE($O$5,K293,J293),1000000,-1000000)</f>
        <v>1000000</v>
      </c>
      <c r="N293" s="24" t="e">
        <f aca="false">IF(M293&gt;0,INDEX(big_daily_table,MATCH(DATE(O$5,$K293,$J293),daily_dates,0),MATCH($B$3,daily_items,0)),NA())</f>
        <v>#N/A</v>
      </c>
      <c r="O293" s="1" t="e">
        <f aca="false">IF(M293&lt;0,INDEX(big_daily_table,MATCH(DATE(O$5,$K293,$J293),daily_dates,0),MATCH($B$3,daily_items,0)),NA())</f>
        <v>#N/A</v>
      </c>
      <c r="P293" s="1" t="e">
        <f aca="false">IF(ISBLANK(INDEX(big_daily_table,MATCH(DATE(P$5,$K293,$J293),daily_dates,0),MATCH($B$3,daily_items,0))),NA(),INDEX(big_daily_table,MATCH(DATE(P$5,$K293,$J293),daily_dates,0),MATCH($B$3,daily_items,0)))</f>
        <v>#N/A</v>
      </c>
      <c r="Q293" s="1" t="e">
        <f aca="false">IF(ISBLANK(INDEX(big_daily_table,MATCH(DATE(Q$5,$K293,$J293),daily_dates,0),MATCH($B$3,daily_items,0))),NA(),INDEX(big_daily_table,MATCH(DATE(Q$5,$K293,$J293),daily_dates,0),MATCH($B$3,daily_items,0)))</f>
        <v>#N/A</v>
      </c>
      <c r="R293" s="1" t="e">
        <f aca="false">IF(ISBLANK(INDEX(big_daily_table,MATCH(DATE(R$5,$K293,$J293),daily_dates,0),MATCH($B$3,daily_items,0))),NA(),INDEX(big_daily_table,MATCH(DATE(R$5,$K293,$J293),daily_dates,0),MATCH($B$3,daily_items,0)))</f>
        <v>#N/A</v>
      </c>
      <c r="S293" s="1" t="e">
        <f aca="false">IF(ISBLANK(INDEX(big_daily_table,MATCH(DATE(S$5,$K293,$J293),daily_dates,0),MATCH($B$3,daily_items,0))),NA(),INDEX(big_daily_table,MATCH(DATE(S$5,$K293,$J293),daily_dates,0),MATCH($B$3,daily_items,0)))</f>
        <v>#N/A</v>
      </c>
      <c r="T293" s="1" t="e">
        <f aca="false">IF(ISBLANK(INDEX(big_daily_table,MATCH(DATE(T$5,$K293,$J293),daily_dates,0),MATCH($B$3,daily_items,0))),NA(),INDEX(big_daily_table,MATCH(DATE(T$5,$K293,$J293),daily_dates,0),MATCH($B$3,daily_items,0)))</f>
        <v>#N/A</v>
      </c>
      <c r="U293" s="1" t="e">
        <f aca="false">IF(ISBLANK(INDEX(big_daily_table,MATCH(DATE(U$5,$K293,$J293),daily_dates,0),MATCH($B$3,daily_items,0))),NA(),INDEX(big_daily_table,MATCH(DATE(U$5,$K293,$J293),daily_dates,0),MATCH($B$3,daily_items,0)))</f>
        <v>#N/A</v>
      </c>
      <c r="V293" s="1" t="e">
        <f aca="false">IF(ISBLANK(INDEX(big_daily_table,MATCH(DATE(V$5,$K293,$J293),daily_dates,0),MATCH($B$3,daily_items,0))),NA(),INDEX(big_daily_table,MATCH(DATE(V$5,$K293,$J293),daily_dates,0),MATCH($B$3,daily_items,0)))</f>
        <v>#N/A</v>
      </c>
      <c r="W293" s="1" t="e">
        <f aca="false">IF(ISBLANK(INDEX(big_daily_table,MATCH(DATE(W$5,$K293,$J293),daily_dates,0),MATCH($B$3,daily_items,0))),NA(),INDEX(big_daily_table,MATCH(DATE(W$5,$K293,$J293),daily_dates,0),MATCH($B$3,daily_items,0)))</f>
        <v>#N/A</v>
      </c>
      <c r="X293" s="1" t="e">
        <f aca="false">IF(ISBLANK(INDEX(big_daily_table,MATCH(DATE(X$5,$K293,$J293),daily_dates,0),MATCH($B$3,daily_items,0))),NA(),INDEX(big_daily_table,MATCH(DATE(X$5,$K293,$J293),daily_dates,0),MATCH($B$3,daily_items,0)))</f>
        <v>#N/A</v>
      </c>
      <c r="Y293" s="1" t="e">
        <f aca="false">IF(ISBLANK(INDEX(big_daily_table,MATCH(DATE(Y$5,$K293,$J293),daily_dates,0),MATCH($B$3,daily_items,0))),NA(),INDEX(big_daily_table,MATCH(DATE(Y$5,$K293,$J293),daily_dates,0),MATCH($B$3,daily_items,0)))</f>
        <v>#N/A</v>
      </c>
      <c r="Z293" s="1" t="e">
        <f aca="false">IF(ISBLANK(INDEX(big_daily_table,MATCH(DATE(Z$5,$K293,$J293),daily_dates,0),MATCH($B$3,daily_items,0))),NA(),INDEX(big_daily_table,MATCH(DATE(Z$5,$K293,$J293),daily_dates,0),MATCH($B$3,daily_items,0)))</f>
        <v>#N/A</v>
      </c>
      <c r="AA293" s="1" t="n">
        <f aca="true">_xlfn.AGGREGATE(5,6,OFFSET($S$5,H293,0,1,$K$2))</f>
        <v>0</v>
      </c>
      <c r="AB293" s="1" t="n">
        <f aca="true">_xlfn.AGGREGATE(4,6,OFFSET($S$5,H293,0,1,$K$2))</f>
        <v>0</v>
      </c>
      <c r="AC293" s="1" t="n">
        <f aca="false">AB293-AA293</f>
        <v>0</v>
      </c>
      <c r="AD293" s="1" t="e">
        <f aca="true">_xlfn.AGGREGATE(1,6,OFFSET($S$5,H293,0,1,$K$2))</f>
        <v>#DIV/0!</v>
      </c>
    </row>
    <row r="294" customFormat="false" ht="14.25" hidden="false" customHeight="false" outlineLevel="0" collapsed="false">
      <c r="H294" s="1" t="n">
        <f aca="false">H293+1</f>
        <v>289</v>
      </c>
      <c r="I294" s="1" t="n">
        <f aca="false">WEEKDAY('daily graphs'!K294)</f>
        <v>1</v>
      </c>
      <c r="J294" s="1" t="n">
        <f aca="false">DAY(L294)</f>
        <v>14</v>
      </c>
      <c r="K294" s="1" t="n">
        <f aca="false">MONTH(L294)</f>
        <v>10</v>
      </c>
      <c r="L294" s="23" t="n">
        <f aca="false">'daily graphs'!K294 - I294</f>
        <v>36813</v>
      </c>
      <c r="M294" s="24" t="n">
        <f aca="true">IF(TODAY()&lt;DATE($O$5,K294,J294),1000000,-1000000)</f>
        <v>1000000</v>
      </c>
      <c r="N294" s="24" t="e">
        <f aca="false">IF(M294&gt;0,INDEX(big_daily_table,MATCH(DATE(O$5,$K294,$J294),daily_dates,0),MATCH($B$3,daily_items,0)),NA())</f>
        <v>#N/A</v>
      </c>
      <c r="O294" s="1" t="e">
        <f aca="false">IF(M294&lt;0,INDEX(big_daily_table,MATCH(DATE(O$5,$K294,$J294),daily_dates,0),MATCH($B$3,daily_items,0)),NA())</f>
        <v>#N/A</v>
      </c>
      <c r="P294" s="1" t="e">
        <f aca="false">IF(ISBLANK(INDEX(big_daily_table,MATCH(DATE(P$5,$K294,$J294),daily_dates,0),MATCH($B$3,daily_items,0))),NA(),INDEX(big_daily_table,MATCH(DATE(P$5,$K294,$J294),daily_dates,0),MATCH($B$3,daily_items,0)))</f>
        <v>#N/A</v>
      </c>
      <c r="Q294" s="1" t="e">
        <f aca="false">IF(ISBLANK(INDEX(big_daily_table,MATCH(DATE(Q$5,$K294,$J294),daily_dates,0),MATCH($B$3,daily_items,0))),NA(),INDEX(big_daily_table,MATCH(DATE(Q$5,$K294,$J294),daily_dates,0),MATCH($B$3,daily_items,0)))</f>
        <v>#N/A</v>
      </c>
      <c r="R294" s="1" t="e">
        <f aca="false">IF(ISBLANK(INDEX(big_daily_table,MATCH(DATE(R$5,$K294,$J294),daily_dates,0),MATCH($B$3,daily_items,0))),NA(),INDEX(big_daily_table,MATCH(DATE(R$5,$K294,$J294),daily_dates,0),MATCH($B$3,daily_items,0)))</f>
        <v>#N/A</v>
      </c>
      <c r="S294" s="1" t="e">
        <f aca="false">IF(ISBLANK(INDEX(big_daily_table,MATCH(DATE(S$5,$K294,$J294),daily_dates,0),MATCH($B$3,daily_items,0))),NA(),INDEX(big_daily_table,MATCH(DATE(S$5,$K294,$J294),daily_dates,0),MATCH($B$3,daily_items,0)))</f>
        <v>#N/A</v>
      </c>
      <c r="T294" s="1" t="e">
        <f aca="false">IF(ISBLANK(INDEX(big_daily_table,MATCH(DATE(T$5,$K294,$J294),daily_dates,0),MATCH($B$3,daily_items,0))),NA(),INDEX(big_daily_table,MATCH(DATE(T$5,$K294,$J294),daily_dates,0),MATCH($B$3,daily_items,0)))</f>
        <v>#N/A</v>
      </c>
      <c r="U294" s="1" t="e">
        <f aca="false">IF(ISBLANK(INDEX(big_daily_table,MATCH(DATE(U$5,$K294,$J294),daily_dates,0),MATCH($B$3,daily_items,0))),NA(),INDEX(big_daily_table,MATCH(DATE(U$5,$K294,$J294),daily_dates,0),MATCH($B$3,daily_items,0)))</f>
        <v>#N/A</v>
      </c>
      <c r="V294" s="1" t="e">
        <f aca="false">IF(ISBLANK(INDEX(big_daily_table,MATCH(DATE(V$5,$K294,$J294),daily_dates,0),MATCH($B$3,daily_items,0))),NA(),INDEX(big_daily_table,MATCH(DATE(V$5,$K294,$J294),daily_dates,0),MATCH($B$3,daily_items,0)))</f>
        <v>#N/A</v>
      </c>
      <c r="W294" s="1" t="e">
        <f aca="false">IF(ISBLANK(INDEX(big_daily_table,MATCH(DATE(W$5,$K294,$J294),daily_dates,0),MATCH($B$3,daily_items,0))),NA(),INDEX(big_daily_table,MATCH(DATE(W$5,$K294,$J294),daily_dates,0),MATCH($B$3,daily_items,0)))</f>
        <v>#N/A</v>
      </c>
      <c r="X294" s="1" t="e">
        <f aca="false">IF(ISBLANK(INDEX(big_daily_table,MATCH(DATE(X$5,$K294,$J294),daily_dates,0),MATCH($B$3,daily_items,0))),NA(),INDEX(big_daily_table,MATCH(DATE(X$5,$K294,$J294),daily_dates,0),MATCH($B$3,daily_items,0)))</f>
        <v>#N/A</v>
      </c>
      <c r="Y294" s="1" t="e">
        <f aca="false">IF(ISBLANK(INDEX(big_daily_table,MATCH(DATE(Y$5,$K294,$J294),daily_dates,0),MATCH($B$3,daily_items,0))),NA(),INDEX(big_daily_table,MATCH(DATE(Y$5,$K294,$J294),daily_dates,0),MATCH($B$3,daily_items,0)))</f>
        <v>#N/A</v>
      </c>
      <c r="Z294" s="1" t="e">
        <f aca="false">IF(ISBLANK(INDEX(big_daily_table,MATCH(DATE(Z$5,$K294,$J294),daily_dates,0),MATCH($B$3,daily_items,0))),NA(),INDEX(big_daily_table,MATCH(DATE(Z$5,$K294,$J294),daily_dates,0),MATCH($B$3,daily_items,0)))</f>
        <v>#N/A</v>
      </c>
      <c r="AA294" s="1" t="n">
        <f aca="true">_xlfn.AGGREGATE(5,6,OFFSET($S$5,H294,0,1,$K$2))</f>
        <v>0</v>
      </c>
      <c r="AB294" s="1" t="n">
        <f aca="true">_xlfn.AGGREGATE(4,6,OFFSET($S$5,H294,0,1,$K$2))</f>
        <v>0</v>
      </c>
      <c r="AC294" s="1" t="n">
        <f aca="false">AB294-AA294</f>
        <v>0</v>
      </c>
      <c r="AD294" s="1" t="e">
        <f aca="true">_xlfn.AGGREGATE(1,6,OFFSET($S$5,H294,0,1,$K$2))</f>
        <v>#DIV/0!</v>
      </c>
    </row>
    <row r="295" customFormat="false" ht="14.25" hidden="false" customHeight="false" outlineLevel="0" collapsed="false">
      <c r="H295" s="1" t="n">
        <f aca="false">H294+1</f>
        <v>290</v>
      </c>
      <c r="I295" s="1" t="n">
        <f aca="false">WEEKDAY('daily graphs'!K295)</f>
        <v>2</v>
      </c>
      <c r="J295" s="1" t="n">
        <f aca="false">DAY(L295)</f>
        <v>14</v>
      </c>
      <c r="K295" s="1" t="n">
        <f aca="false">MONTH(L295)</f>
        <v>10</v>
      </c>
      <c r="L295" s="23" t="n">
        <f aca="false">'daily graphs'!K295 - I295</f>
        <v>36813</v>
      </c>
      <c r="M295" s="24" t="n">
        <f aca="true">IF(TODAY()&lt;DATE($O$5,K295,J295),1000000,-1000000)</f>
        <v>1000000</v>
      </c>
      <c r="N295" s="24" t="e">
        <f aca="false">IF(M295&gt;0,INDEX(big_daily_table,MATCH(DATE(O$5,$K295,$J295),daily_dates,0),MATCH($B$3,daily_items,0)),NA())</f>
        <v>#N/A</v>
      </c>
      <c r="O295" s="1" t="e">
        <f aca="false">IF(M295&lt;0,INDEX(big_daily_table,MATCH(DATE(O$5,$K295,$J295),daily_dates,0),MATCH($B$3,daily_items,0)),NA())</f>
        <v>#N/A</v>
      </c>
      <c r="P295" s="1" t="e">
        <f aca="false">IF(ISBLANK(INDEX(big_daily_table,MATCH(DATE(P$5,$K295,$J295),daily_dates,0),MATCH($B$3,daily_items,0))),NA(),INDEX(big_daily_table,MATCH(DATE(P$5,$K295,$J295),daily_dates,0),MATCH($B$3,daily_items,0)))</f>
        <v>#N/A</v>
      </c>
      <c r="Q295" s="1" t="e">
        <f aca="false">IF(ISBLANK(INDEX(big_daily_table,MATCH(DATE(Q$5,$K295,$J295),daily_dates,0),MATCH($B$3,daily_items,0))),NA(),INDEX(big_daily_table,MATCH(DATE(Q$5,$K295,$J295),daily_dates,0),MATCH($B$3,daily_items,0)))</f>
        <v>#N/A</v>
      </c>
      <c r="R295" s="1" t="e">
        <f aca="false">IF(ISBLANK(INDEX(big_daily_table,MATCH(DATE(R$5,$K295,$J295),daily_dates,0),MATCH($B$3,daily_items,0))),NA(),INDEX(big_daily_table,MATCH(DATE(R$5,$K295,$J295),daily_dates,0),MATCH($B$3,daily_items,0)))</f>
        <v>#N/A</v>
      </c>
      <c r="S295" s="1" t="e">
        <f aca="false">IF(ISBLANK(INDEX(big_daily_table,MATCH(DATE(S$5,$K295,$J295),daily_dates,0),MATCH($B$3,daily_items,0))),NA(),INDEX(big_daily_table,MATCH(DATE(S$5,$K295,$J295),daily_dates,0),MATCH($B$3,daily_items,0)))</f>
        <v>#N/A</v>
      </c>
      <c r="T295" s="1" t="e">
        <f aca="false">IF(ISBLANK(INDEX(big_daily_table,MATCH(DATE(T$5,$K295,$J295),daily_dates,0),MATCH($B$3,daily_items,0))),NA(),INDEX(big_daily_table,MATCH(DATE(T$5,$K295,$J295),daily_dates,0),MATCH($B$3,daily_items,0)))</f>
        <v>#N/A</v>
      </c>
      <c r="U295" s="1" t="e">
        <f aca="false">IF(ISBLANK(INDEX(big_daily_table,MATCH(DATE(U$5,$K295,$J295),daily_dates,0),MATCH($B$3,daily_items,0))),NA(),INDEX(big_daily_table,MATCH(DATE(U$5,$K295,$J295),daily_dates,0),MATCH($B$3,daily_items,0)))</f>
        <v>#N/A</v>
      </c>
      <c r="V295" s="1" t="e">
        <f aca="false">IF(ISBLANK(INDEX(big_daily_table,MATCH(DATE(V$5,$K295,$J295),daily_dates,0),MATCH($B$3,daily_items,0))),NA(),INDEX(big_daily_table,MATCH(DATE(V$5,$K295,$J295),daily_dates,0),MATCH($B$3,daily_items,0)))</f>
        <v>#N/A</v>
      </c>
      <c r="W295" s="1" t="e">
        <f aca="false">IF(ISBLANK(INDEX(big_daily_table,MATCH(DATE(W$5,$K295,$J295),daily_dates,0),MATCH($B$3,daily_items,0))),NA(),INDEX(big_daily_table,MATCH(DATE(W$5,$K295,$J295),daily_dates,0),MATCH($B$3,daily_items,0)))</f>
        <v>#N/A</v>
      </c>
      <c r="X295" s="1" t="e">
        <f aca="false">IF(ISBLANK(INDEX(big_daily_table,MATCH(DATE(X$5,$K295,$J295),daily_dates,0),MATCH($B$3,daily_items,0))),NA(),INDEX(big_daily_table,MATCH(DATE(X$5,$K295,$J295),daily_dates,0),MATCH($B$3,daily_items,0)))</f>
        <v>#N/A</v>
      </c>
      <c r="Y295" s="1" t="e">
        <f aca="false">IF(ISBLANK(INDEX(big_daily_table,MATCH(DATE(Y$5,$K295,$J295),daily_dates,0),MATCH($B$3,daily_items,0))),NA(),INDEX(big_daily_table,MATCH(DATE(Y$5,$K295,$J295),daily_dates,0),MATCH($B$3,daily_items,0)))</f>
        <v>#N/A</v>
      </c>
      <c r="Z295" s="1" t="e">
        <f aca="false">IF(ISBLANK(INDEX(big_daily_table,MATCH(DATE(Z$5,$K295,$J295),daily_dates,0),MATCH($B$3,daily_items,0))),NA(),INDEX(big_daily_table,MATCH(DATE(Z$5,$K295,$J295),daily_dates,0),MATCH($B$3,daily_items,0)))</f>
        <v>#N/A</v>
      </c>
      <c r="AA295" s="1" t="n">
        <f aca="true">_xlfn.AGGREGATE(5,6,OFFSET($S$5,H295,0,1,$K$2))</f>
        <v>0</v>
      </c>
      <c r="AB295" s="1" t="n">
        <f aca="true">_xlfn.AGGREGATE(4,6,OFFSET($S$5,H295,0,1,$K$2))</f>
        <v>0</v>
      </c>
      <c r="AC295" s="1" t="n">
        <f aca="false">AB295-AA295</f>
        <v>0</v>
      </c>
      <c r="AD295" s="1" t="e">
        <f aca="true">_xlfn.AGGREGATE(1,6,OFFSET($S$5,H295,0,1,$K$2))</f>
        <v>#DIV/0!</v>
      </c>
    </row>
    <row r="296" customFormat="false" ht="14.25" hidden="false" customHeight="false" outlineLevel="0" collapsed="false">
      <c r="H296" s="1" t="n">
        <f aca="false">H295+1</f>
        <v>291</v>
      </c>
      <c r="I296" s="1" t="n">
        <f aca="false">WEEKDAY('daily graphs'!K296)</f>
        <v>3</v>
      </c>
      <c r="J296" s="1" t="n">
        <f aca="false">DAY(L296)</f>
        <v>14</v>
      </c>
      <c r="K296" s="1" t="n">
        <f aca="false">MONTH(L296)</f>
        <v>10</v>
      </c>
      <c r="L296" s="23" t="n">
        <f aca="false">'daily graphs'!K296 - I296</f>
        <v>36813</v>
      </c>
      <c r="M296" s="24" t="n">
        <f aca="true">IF(TODAY()&lt;DATE($O$5,K296,J296),1000000,-1000000)</f>
        <v>1000000</v>
      </c>
      <c r="N296" s="24" t="e">
        <f aca="false">IF(M296&gt;0,INDEX(big_daily_table,MATCH(DATE(O$5,$K296,$J296),daily_dates,0),MATCH($B$3,daily_items,0)),NA())</f>
        <v>#N/A</v>
      </c>
      <c r="O296" s="1" t="e">
        <f aca="false">IF(M296&lt;0,INDEX(big_daily_table,MATCH(DATE(O$5,$K296,$J296),daily_dates,0),MATCH($B$3,daily_items,0)),NA())</f>
        <v>#N/A</v>
      </c>
      <c r="P296" s="1" t="e">
        <f aca="false">IF(ISBLANK(INDEX(big_daily_table,MATCH(DATE(P$5,$K296,$J296),daily_dates,0),MATCH($B$3,daily_items,0))),NA(),INDEX(big_daily_table,MATCH(DATE(P$5,$K296,$J296),daily_dates,0),MATCH($B$3,daily_items,0)))</f>
        <v>#N/A</v>
      </c>
      <c r="Q296" s="1" t="e">
        <f aca="false">IF(ISBLANK(INDEX(big_daily_table,MATCH(DATE(Q$5,$K296,$J296),daily_dates,0),MATCH($B$3,daily_items,0))),NA(),INDEX(big_daily_table,MATCH(DATE(Q$5,$K296,$J296),daily_dates,0),MATCH($B$3,daily_items,0)))</f>
        <v>#N/A</v>
      </c>
      <c r="R296" s="1" t="e">
        <f aca="false">IF(ISBLANK(INDEX(big_daily_table,MATCH(DATE(R$5,$K296,$J296),daily_dates,0),MATCH($B$3,daily_items,0))),NA(),INDEX(big_daily_table,MATCH(DATE(R$5,$K296,$J296),daily_dates,0),MATCH($B$3,daily_items,0)))</f>
        <v>#N/A</v>
      </c>
      <c r="S296" s="1" t="e">
        <f aca="false">IF(ISBLANK(INDEX(big_daily_table,MATCH(DATE(S$5,$K296,$J296),daily_dates,0),MATCH($B$3,daily_items,0))),NA(),INDEX(big_daily_table,MATCH(DATE(S$5,$K296,$J296),daily_dates,0),MATCH($B$3,daily_items,0)))</f>
        <v>#N/A</v>
      </c>
      <c r="T296" s="1" t="e">
        <f aca="false">IF(ISBLANK(INDEX(big_daily_table,MATCH(DATE(T$5,$K296,$J296),daily_dates,0),MATCH($B$3,daily_items,0))),NA(),INDEX(big_daily_table,MATCH(DATE(T$5,$K296,$J296),daily_dates,0),MATCH($B$3,daily_items,0)))</f>
        <v>#N/A</v>
      </c>
      <c r="U296" s="1" t="e">
        <f aca="false">IF(ISBLANK(INDEX(big_daily_table,MATCH(DATE(U$5,$K296,$J296),daily_dates,0),MATCH($B$3,daily_items,0))),NA(),INDEX(big_daily_table,MATCH(DATE(U$5,$K296,$J296),daily_dates,0),MATCH($B$3,daily_items,0)))</f>
        <v>#N/A</v>
      </c>
      <c r="V296" s="1" t="e">
        <f aca="false">IF(ISBLANK(INDEX(big_daily_table,MATCH(DATE(V$5,$K296,$J296),daily_dates,0),MATCH($B$3,daily_items,0))),NA(),INDEX(big_daily_table,MATCH(DATE(V$5,$K296,$J296),daily_dates,0),MATCH($B$3,daily_items,0)))</f>
        <v>#N/A</v>
      </c>
      <c r="W296" s="1" t="e">
        <f aca="false">IF(ISBLANK(INDEX(big_daily_table,MATCH(DATE(W$5,$K296,$J296),daily_dates,0),MATCH($B$3,daily_items,0))),NA(),INDEX(big_daily_table,MATCH(DATE(W$5,$K296,$J296),daily_dates,0),MATCH($B$3,daily_items,0)))</f>
        <v>#N/A</v>
      </c>
      <c r="X296" s="1" t="e">
        <f aca="false">IF(ISBLANK(INDEX(big_daily_table,MATCH(DATE(X$5,$K296,$J296),daily_dates,0),MATCH($B$3,daily_items,0))),NA(),INDEX(big_daily_table,MATCH(DATE(X$5,$K296,$J296),daily_dates,0),MATCH($B$3,daily_items,0)))</f>
        <v>#N/A</v>
      </c>
      <c r="Y296" s="1" t="e">
        <f aca="false">IF(ISBLANK(INDEX(big_daily_table,MATCH(DATE(Y$5,$K296,$J296),daily_dates,0),MATCH($B$3,daily_items,0))),NA(),INDEX(big_daily_table,MATCH(DATE(Y$5,$K296,$J296),daily_dates,0),MATCH($B$3,daily_items,0)))</f>
        <v>#N/A</v>
      </c>
      <c r="Z296" s="1" t="e">
        <f aca="false">IF(ISBLANK(INDEX(big_daily_table,MATCH(DATE(Z$5,$K296,$J296),daily_dates,0),MATCH($B$3,daily_items,0))),NA(),INDEX(big_daily_table,MATCH(DATE(Z$5,$K296,$J296),daily_dates,0),MATCH($B$3,daily_items,0)))</f>
        <v>#N/A</v>
      </c>
      <c r="AA296" s="1" t="n">
        <f aca="true">_xlfn.AGGREGATE(5,6,OFFSET($S$5,H296,0,1,$K$2))</f>
        <v>0</v>
      </c>
      <c r="AB296" s="1" t="n">
        <f aca="true">_xlfn.AGGREGATE(4,6,OFFSET($S$5,H296,0,1,$K$2))</f>
        <v>0</v>
      </c>
      <c r="AC296" s="1" t="n">
        <f aca="false">AB296-AA296</f>
        <v>0</v>
      </c>
      <c r="AD296" s="1" t="e">
        <f aca="true">_xlfn.AGGREGATE(1,6,OFFSET($S$5,H296,0,1,$K$2))</f>
        <v>#DIV/0!</v>
      </c>
    </row>
    <row r="297" customFormat="false" ht="14.25" hidden="false" customHeight="false" outlineLevel="0" collapsed="false">
      <c r="H297" s="1" t="n">
        <f aca="false">H296+1</f>
        <v>292</v>
      </c>
      <c r="I297" s="1" t="n">
        <f aca="false">WEEKDAY('daily graphs'!K297)</f>
        <v>4</v>
      </c>
      <c r="J297" s="1" t="n">
        <f aca="false">DAY(L297)</f>
        <v>14</v>
      </c>
      <c r="K297" s="1" t="n">
        <f aca="false">MONTH(L297)</f>
        <v>10</v>
      </c>
      <c r="L297" s="23" t="n">
        <f aca="false">'daily graphs'!K297 - I297</f>
        <v>36813</v>
      </c>
      <c r="M297" s="24" t="n">
        <f aca="true">IF(TODAY()&lt;DATE($O$5,K297,J297),1000000,-1000000)</f>
        <v>1000000</v>
      </c>
      <c r="N297" s="24" t="e">
        <f aca="false">IF(M297&gt;0,INDEX(big_daily_table,MATCH(DATE(O$5,$K297,$J297),daily_dates,0),MATCH($B$3,daily_items,0)),NA())</f>
        <v>#N/A</v>
      </c>
      <c r="O297" s="1" t="e">
        <f aca="false">IF(M297&lt;0,INDEX(big_daily_table,MATCH(DATE(O$5,$K297,$J297),daily_dates,0),MATCH($B$3,daily_items,0)),NA())</f>
        <v>#N/A</v>
      </c>
      <c r="P297" s="1" t="e">
        <f aca="false">IF(ISBLANK(INDEX(big_daily_table,MATCH(DATE(P$5,$K297,$J297),daily_dates,0),MATCH($B$3,daily_items,0))),NA(),INDEX(big_daily_table,MATCH(DATE(P$5,$K297,$J297),daily_dates,0),MATCH($B$3,daily_items,0)))</f>
        <v>#N/A</v>
      </c>
      <c r="Q297" s="1" t="e">
        <f aca="false">IF(ISBLANK(INDEX(big_daily_table,MATCH(DATE(Q$5,$K297,$J297),daily_dates,0),MATCH($B$3,daily_items,0))),NA(),INDEX(big_daily_table,MATCH(DATE(Q$5,$K297,$J297),daily_dates,0),MATCH($B$3,daily_items,0)))</f>
        <v>#N/A</v>
      </c>
      <c r="R297" s="1" t="e">
        <f aca="false">IF(ISBLANK(INDEX(big_daily_table,MATCH(DATE(R$5,$K297,$J297),daily_dates,0),MATCH($B$3,daily_items,0))),NA(),INDEX(big_daily_table,MATCH(DATE(R$5,$K297,$J297),daily_dates,0),MATCH($B$3,daily_items,0)))</f>
        <v>#N/A</v>
      </c>
      <c r="S297" s="1" t="e">
        <f aca="false">IF(ISBLANK(INDEX(big_daily_table,MATCH(DATE(S$5,$K297,$J297),daily_dates,0),MATCH($B$3,daily_items,0))),NA(),INDEX(big_daily_table,MATCH(DATE(S$5,$K297,$J297),daily_dates,0),MATCH($B$3,daily_items,0)))</f>
        <v>#N/A</v>
      </c>
      <c r="T297" s="1" t="e">
        <f aca="false">IF(ISBLANK(INDEX(big_daily_table,MATCH(DATE(T$5,$K297,$J297),daily_dates,0),MATCH($B$3,daily_items,0))),NA(),INDEX(big_daily_table,MATCH(DATE(T$5,$K297,$J297),daily_dates,0),MATCH($B$3,daily_items,0)))</f>
        <v>#N/A</v>
      </c>
      <c r="U297" s="1" t="e">
        <f aca="false">IF(ISBLANK(INDEX(big_daily_table,MATCH(DATE(U$5,$K297,$J297),daily_dates,0),MATCH($B$3,daily_items,0))),NA(),INDEX(big_daily_table,MATCH(DATE(U$5,$K297,$J297),daily_dates,0),MATCH($B$3,daily_items,0)))</f>
        <v>#N/A</v>
      </c>
      <c r="V297" s="1" t="e">
        <f aca="false">IF(ISBLANK(INDEX(big_daily_table,MATCH(DATE(V$5,$K297,$J297),daily_dates,0),MATCH($B$3,daily_items,0))),NA(),INDEX(big_daily_table,MATCH(DATE(V$5,$K297,$J297),daily_dates,0),MATCH($B$3,daily_items,0)))</f>
        <v>#N/A</v>
      </c>
      <c r="W297" s="1" t="e">
        <f aca="false">IF(ISBLANK(INDEX(big_daily_table,MATCH(DATE(W$5,$K297,$J297),daily_dates,0),MATCH($B$3,daily_items,0))),NA(),INDEX(big_daily_table,MATCH(DATE(W$5,$K297,$J297),daily_dates,0),MATCH($B$3,daily_items,0)))</f>
        <v>#N/A</v>
      </c>
      <c r="X297" s="1" t="e">
        <f aca="false">IF(ISBLANK(INDEX(big_daily_table,MATCH(DATE(X$5,$K297,$J297),daily_dates,0),MATCH($B$3,daily_items,0))),NA(),INDEX(big_daily_table,MATCH(DATE(X$5,$K297,$J297),daily_dates,0),MATCH($B$3,daily_items,0)))</f>
        <v>#N/A</v>
      </c>
      <c r="Y297" s="1" t="e">
        <f aca="false">IF(ISBLANK(INDEX(big_daily_table,MATCH(DATE(Y$5,$K297,$J297),daily_dates,0),MATCH($B$3,daily_items,0))),NA(),INDEX(big_daily_table,MATCH(DATE(Y$5,$K297,$J297),daily_dates,0),MATCH($B$3,daily_items,0)))</f>
        <v>#N/A</v>
      </c>
      <c r="Z297" s="1" t="e">
        <f aca="false">IF(ISBLANK(INDEX(big_daily_table,MATCH(DATE(Z$5,$K297,$J297),daily_dates,0),MATCH($B$3,daily_items,0))),NA(),INDEX(big_daily_table,MATCH(DATE(Z$5,$K297,$J297),daily_dates,0),MATCH($B$3,daily_items,0)))</f>
        <v>#N/A</v>
      </c>
      <c r="AA297" s="1" t="n">
        <f aca="true">_xlfn.AGGREGATE(5,6,OFFSET($S$5,H297,0,1,$K$2))</f>
        <v>0</v>
      </c>
      <c r="AB297" s="1" t="n">
        <f aca="true">_xlfn.AGGREGATE(4,6,OFFSET($S$5,H297,0,1,$K$2))</f>
        <v>0</v>
      </c>
      <c r="AC297" s="1" t="n">
        <f aca="false">AB297-AA297</f>
        <v>0</v>
      </c>
      <c r="AD297" s="1" t="e">
        <f aca="true">_xlfn.AGGREGATE(1,6,OFFSET($S$5,H297,0,1,$K$2))</f>
        <v>#DIV/0!</v>
      </c>
    </row>
    <row r="298" customFormat="false" ht="14.25" hidden="false" customHeight="false" outlineLevel="0" collapsed="false">
      <c r="H298" s="1" t="n">
        <f aca="false">H297+1</f>
        <v>293</v>
      </c>
      <c r="I298" s="1" t="n">
        <f aca="false">WEEKDAY('daily graphs'!K298)</f>
        <v>5</v>
      </c>
      <c r="J298" s="1" t="n">
        <f aca="false">DAY(L298)</f>
        <v>14</v>
      </c>
      <c r="K298" s="1" t="n">
        <f aca="false">MONTH(L298)</f>
        <v>10</v>
      </c>
      <c r="L298" s="23" t="n">
        <f aca="false">'daily graphs'!K298 - I298</f>
        <v>36813</v>
      </c>
      <c r="M298" s="24" t="n">
        <f aca="true">IF(TODAY()&lt;DATE($O$5,K298,J298),1000000,-1000000)</f>
        <v>1000000</v>
      </c>
      <c r="N298" s="24" t="e">
        <f aca="false">IF(M298&gt;0,INDEX(big_daily_table,MATCH(DATE(O$5,$K298,$J298),daily_dates,0),MATCH($B$3,daily_items,0)),NA())</f>
        <v>#N/A</v>
      </c>
      <c r="O298" s="1" t="e">
        <f aca="false">IF(M298&lt;0,INDEX(big_daily_table,MATCH(DATE(O$5,$K298,$J298),daily_dates,0),MATCH($B$3,daily_items,0)),NA())</f>
        <v>#N/A</v>
      </c>
      <c r="P298" s="1" t="e">
        <f aca="false">IF(ISBLANK(INDEX(big_daily_table,MATCH(DATE(P$5,$K298,$J298),daily_dates,0),MATCH($B$3,daily_items,0))),NA(),INDEX(big_daily_table,MATCH(DATE(P$5,$K298,$J298),daily_dates,0),MATCH($B$3,daily_items,0)))</f>
        <v>#N/A</v>
      </c>
      <c r="Q298" s="1" t="e">
        <f aca="false">IF(ISBLANK(INDEX(big_daily_table,MATCH(DATE(Q$5,$K298,$J298),daily_dates,0),MATCH($B$3,daily_items,0))),NA(),INDEX(big_daily_table,MATCH(DATE(Q$5,$K298,$J298),daily_dates,0),MATCH($B$3,daily_items,0)))</f>
        <v>#N/A</v>
      </c>
      <c r="R298" s="1" t="e">
        <f aca="false">IF(ISBLANK(INDEX(big_daily_table,MATCH(DATE(R$5,$K298,$J298),daily_dates,0),MATCH($B$3,daily_items,0))),NA(),INDEX(big_daily_table,MATCH(DATE(R$5,$K298,$J298),daily_dates,0),MATCH($B$3,daily_items,0)))</f>
        <v>#N/A</v>
      </c>
      <c r="S298" s="1" t="e">
        <f aca="false">IF(ISBLANK(INDEX(big_daily_table,MATCH(DATE(S$5,$K298,$J298),daily_dates,0),MATCH($B$3,daily_items,0))),NA(),INDEX(big_daily_table,MATCH(DATE(S$5,$K298,$J298),daily_dates,0),MATCH($B$3,daily_items,0)))</f>
        <v>#N/A</v>
      </c>
      <c r="T298" s="1" t="e">
        <f aca="false">IF(ISBLANK(INDEX(big_daily_table,MATCH(DATE(T$5,$K298,$J298),daily_dates,0),MATCH($B$3,daily_items,0))),NA(),INDEX(big_daily_table,MATCH(DATE(T$5,$K298,$J298),daily_dates,0),MATCH($B$3,daily_items,0)))</f>
        <v>#N/A</v>
      </c>
      <c r="U298" s="1" t="e">
        <f aca="false">IF(ISBLANK(INDEX(big_daily_table,MATCH(DATE(U$5,$K298,$J298),daily_dates,0),MATCH($B$3,daily_items,0))),NA(),INDEX(big_daily_table,MATCH(DATE(U$5,$K298,$J298),daily_dates,0),MATCH($B$3,daily_items,0)))</f>
        <v>#N/A</v>
      </c>
      <c r="V298" s="1" t="e">
        <f aca="false">IF(ISBLANK(INDEX(big_daily_table,MATCH(DATE(V$5,$K298,$J298),daily_dates,0),MATCH($B$3,daily_items,0))),NA(),INDEX(big_daily_table,MATCH(DATE(V$5,$K298,$J298),daily_dates,0),MATCH($B$3,daily_items,0)))</f>
        <v>#N/A</v>
      </c>
      <c r="W298" s="1" t="e">
        <f aca="false">IF(ISBLANK(INDEX(big_daily_table,MATCH(DATE(W$5,$K298,$J298),daily_dates,0),MATCH($B$3,daily_items,0))),NA(),INDEX(big_daily_table,MATCH(DATE(W$5,$K298,$J298),daily_dates,0),MATCH($B$3,daily_items,0)))</f>
        <v>#N/A</v>
      </c>
      <c r="X298" s="1" t="e">
        <f aca="false">IF(ISBLANK(INDEX(big_daily_table,MATCH(DATE(X$5,$K298,$J298),daily_dates,0),MATCH($B$3,daily_items,0))),NA(),INDEX(big_daily_table,MATCH(DATE(X$5,$K298,$J298),daily_dates,0),MATCH($B$3,daily_items,0)))</f>
        <v>#N/A</v>
      </c>
      <c r="Y298" s="1" t="e">
        <f aca="false">IF(ISBLANK(INDEX(big_daily_table,MATCH(DATE(Y$5,$K298,$J298),daily_dates,0),MATCH($B$3,daily_items,0))),NA(),INDEX(big_daily_table,MATCH(DATE(Y$5,$K298,$J298),daily_dates,0),MATCH($B$3,daily_items,0)))</f>
        <v>#N/A</v>
      </c>
      <c r="Z298" s="1" t="e">
        <f aca="false">IF(ISBLANK(INDEX(big_daily_table,MATCH(DATE(Z$5,$K298,$J298),daily_dates,0),MATCH($B$3,daily_items,0))),NA(),INDEX(big_daily_table,MATCH(DATE(Z$5,$K298,$J298),daily_dates,0),MATCH($B$3,daily_items,0)))</f>
        <v>#N/A</v>
      </c>
      <c r="AA298" s="1" t="n">
        <f aca="true">_xlfn.AGGREGATE(5,6,OFFSET($S$5,H298,0,1,$K$2))</f>
        <v>0</v>
      </c>
      <c r="AB298" s="1" t="n">
        <f aca="true">_xlfn.AGGREGATE(4,6,OFFSET($S$5,H298,0,1,$K$2))</f>
        <v>0</v>
      </c>
      <c r="AC298" s="1" t="n">
        <f aca="false">AB298-AA298</f>
        <v>0</v>
      </c>
      <c r="AD298" s="1" t="e">
        <f aca="true">_xlfn.AGGREGATE(1,6,OFFSET($S$5,H298,0,1,$K$2))</f>
        <v>#DIV/0!</v>
      </c>
    </row>
    <row r="299" customFormat="false" ht="14.25" hidden="false" customHeight="false" outlineLevel="0" collapsed="false">
      <c r="H299" s="1" t="n">
        <f aca="false">H298+1</f>
        <v>294</v>
      </c>
      <c r="I299" s="1" t="n">
        <f aca="false">WEEKDAY('daily graphs'!K299)</f>
        <v>6</v>
      </c>
      <c r="J299" s="1" t="n">
        <f aca="false">DAY(L299)</f>
        <v>14</v>
      </c>
      <c r="K299" s="1" t="n">
        <f aca="false">MONTH(L299)</f>
        <v>10</v>
      </c>
      <c r="L299" s="23" t="n">
        <f aca="false">'daily graphs'!K299 - I299</f>
        <v>36813</v>
      </c>
      <c r="M299" s="24" t="n">
        <f aca="true">IF(TODAY()&lt;DATE($O$5,K299,J299),1000000,-1000000)</f>
        <v>1000000</v>
      </c>
      <c r="N299" s="24" t="e">
        <f aca="false">IF(M299&gt;0,INDEX(big_daily_table,MATCH(DATE(O$5,$K299,$J299),daily_dates,0),MATCH($B$3,daily_items,0)),NA())</f>
        <v>#N/A</v>
      </c>
      <c r="O299" s="1" t="e">
        <f aca="false">IF(M299&lt;0,INDEX(big_daily_table,MATCH(DATE(O$5,$K299,$J299),daily_dates,0),MATCH($B$3,daily_items,0)),NA())</f>
        <v>#N/A</v>
      </c>
      <c r="P299" s="1" t="e">
        <f aca="false">IF(ISBLANK(INDEX(big_daily_table,MATCH(DATE(P$5,$K299,$J299),daily_dates,0),MATCH($B$3,daily_items,0))),NA(),INDEX(big_daily_table,MATCH(DATE(P$5,$K299,$J299),daily_dates,0),MATCH($B$3,daily_items,0)))</f>
        <v>#N/A</v>
      </c>
      <c r="Q299" s="1" t="e">
        <f aca="false">IF(ISBLANK(INDEX(big_daily_table,MATCH(DATE(Q$5,$K299,$J299),daily_dates,0),MATCH($B$3,daily_items,0))),NA(),INDEX(big_daily_table,MATCH(DATE(Q$5,$K299,$J299),daily_dates,0),MATCH($B$3,daily_items,0)))</f>
        <v>#N/A</v>
      </c>
      <c r="R299" s="1" t="e">
        <f aca="false">IF(ISBLANK(INDEX(big_daily_table,MATCH(DATE(R$5,$K299,$J299),daily_dates,0),MATCH($B$3,daily_items,0))),NA(),INDEX(big_daily_table,MATCH(DATE(R$5,$K299,$J299),daily_dates,0),MATCH($B$3,daily_items,0)))</f>
        <v>#N/A</v>
      </c>
      <c r="S299" s="1" t="e">
        <f aca="false">IF(ISBLANK(INDEX(big_daily_table,MATCH(DATE(S$5,$K299,$J299),daily_dates,0),MATCH($B$3,daily_items,0))),NA(),INDEX(big_daily_table,MATCH(DATE(S$5,$K299,$J299),daily_dates,0),MATCH($B$3,daily_items,0)))</f>
        <v>#N/A</v>
      </c>
      <c r="T299" s="1" t="e">
        <f aca="false">IF(ISBLANK(INDEX(big_daily_table,MATCH(DATE(T$5,$K299,$J299),daily_dates,0),MATCH($B$3,daily_items,0))),NA(),INDEX(big_daily_table,MATCH(DATE(T$5,$K299,$J299),daily_dates,0),MATCH($B$3,daily_items,0)))</f>
        <v>#N/A</v>
      </c>
      <c r="U299" s="1" t="e">
        <f aca="false">IF(ISBLANK(INDEX(big_daily_table,MATCH(DATE(U$5,$K299,$J299),daily_dates,0),MATCH($B$3,daily_items,0))),NA(),INDEX(big_daily_table,MATCH(DATE(U$5,$K299,$J299),daily_dates,0),MATCH($B$3,daily_items,0)))</f>
        <v>#N/A</v>
      </c>
      <c r="V299" s="1" t="e">
        <f aca="false">IF(ISBLANK(INDEX(big_daily_table,MATCH(DATE(V$5,$K299,$J299),daily_dates,0),MATCH($B$3,daily_items,0))),NA(),INDEX(big_daily_table,MATCH(DATE(V$5,$K299,$J299),daily_dates,0),MATCH($B$3,daily_items,0)))</f>
        <v>#N/A</v>
      </c>
      <c r="W299" s="1" t="e">
        <f aca="false">IF(ISBLANK(INDEX(big_daily_table,MATCH(DATE(W$5,$K299,$J299),daily_dates,0),MATCH($B$3,daily_items,0))),NA(),INDEX(big_daily_table,MATCH(DATE(W$5,$K299,$J299),daily_dates,0),MATCH($B$3,daily_items,0)))</f>
        <v>#N/A</v>
      </c>
      <c r="X299" s="1" t="e">
        <f aca="false">IF(ISBLANK(INDEX(big_daily_table,MATCH(DATE(X$5,$K299,$J299),daily_dates,0),MATCH($B$3,daily_items,0))),NA(),INDEX(big_daily_table,MATCH(DATE(X$5,$K299,$J299),daily_dates,0),MATCH($B$3,daily_items,0)))</f>
        <v>#N/A</v>
      </c>
      <c r="Y299" s="1" t="e">
        <f aca="false">IF(ISBLANK(INDEX(big_daily_table,MATCH(DATE(Y$5,$K299,$J299),daily_dates,0),MATCH($B$3,daily_items,0))),NA(),INDEX(big_daily_table,MATCH(DATE(Y$5,$K299,$J299),daily_dates,0),MATCH($B$3,daily_items,0)))</f>
        <v>#N/A</v>
      </c>
      <c r="Z299" s="1" t="e">
        <f aca="false">IF(ISBLANK(INDEX(big_daily_table,MATCH(DATE(Z$5,$K299,$J299),daily_dates,0),MATCH($B$3,daily_items,0))),NA(),INDEX(big_daily_table,MATCH(DATE(Z$5,$K299,$J299),daily_dates,0),MATCH($B$3,daily_items,0)))</f>
        <v>#N/A</v>
      </c>
      <c r="AA299" s="1" t="n">
        <f aca="true">_xlfn.AGGREGATE(5,6,OFFSET($S$5,H299,0,1,$K$2))</f>
        <v>0</v>
      </c>
      <c r="AB299" s="1" t="n">
        <f aca="true">_xlfn.AGGREGATE(4,6,OFFSET($S$5,H299,0,1,$K$2))</f>
        <v>0</v>
      </c>
      <c r="AC299" s="1" t="n">
        <f aca="false">AB299-AA299</f>
        <v>0</v>
      </c>
      <c r="AD299" s="1" t="e">
        <f aca="true">_xlfn.AGGREGATE(1,6,OFFSET($S$5,H299,0,1,$K$2))</f>
        <v>#DIV/0!</v>
      </c>
    </row>
    <row r="300" customFormat="false" ht="14.25" hidden="false" customHeight="false" outlineLevel="0" collapsed="false">
      <c r="H300" s="1" t="n">
        <f aca="false">H299+1</f>
        <v>295</v>
      </c>
      <c r="I300" s="1" t="n">
        <f aca="false">WEEKDAY('daily graphs'!K300)</f>
        <v>7</v>
      </c>
      <c r="J300" s="1" t="n">
        <f aca="false">DAY(L300)</f>
        <v>14</v>
      </c>
      <c r="K300" s="1" t="n">
        <f aca="false">MONTH(L300)</f>
        <v>10</v>
      </c>
      <c r="L300" s="23" t="n">
        <f aca="false">'daily graphs'!K300 - I300</f>
        <v>36813</v>
      </c>
      <c r="M300" s="24" t="n">
        <f aca="true">IF(TODAY()&lt;DATE($O$5,K300,J300),1000000,-1000000)</f>
        <v>1000000</v>
      </c>
      <c r="N300" s="24" t="e">
        <f aca="false">IF(M300&gt;0,INDEX(big_daily_table,MATCH(DATE(O$5,$K300,$J300),daily_dates,0),MATCH($B$3,daily_items,0)),NA())</f>
        <v>#N/A</v>
      </c>
      <c r="O300" s="1" t="e">
        <f aca="false">IF(M300&lt;0,INDEX(big_daily_table,MATCH(DATE(O$5,$K300,$J300),daily_dates,0),MATCH($B$3,daily_items,0)),NA())</f>
        <v>#N/A</v>
      </c>
      <c r="P300" s="1" t="e">
        <f aca="false">IF(ISBLANK(INDEX(big_daily_table,MATCH(DATE(P$5,$K300,$J300),daily_dates,0),MATCH($B$3,daily_items,0))),NA(),INDEX(big_daily_table,MATCH(DATE(P$5,$K300,$J300),daily_dates,0),MATCH($B$3,daily_items,0)))</f>
        <v>#N/A</v>
      </c>
      <c r="Q300" s="1" t="e">
        <f aca="false">IF(ISBLANK(INDEX(big_daily_table,MATCH(DATE(Q$5,$K300,$J300),daily_dates,0),MATCH($B$3,daily_items,0))),NA(),INDEX(big_daily_table,MATCH(DATE(Q$5,$K300,$J300),daily_dates,0),MATCH($B$3,daily_items,0)))</f>
        <v>#N/A</v>
      </c>
      <c r="R300" s="1" t="e">
        <f aca="false">IF(ISBLANK(INDEX(big_daily_table,MATCH(DATE(R$5,$K300,$J300),daily_dates,0),MATCH($B$3,daily_items,0))),NA(),INDEX(big_daily_table,MATCH(DATE(R$5,$K300,$J300),daily_dates,0),MATCH($B$3,daily_items,0)))</f>
        <v>#N/A</v>
      </c>
      <c r="S300" s="1" t="e">
        <f aca="false">IF(ISBLANK(INDEX(big_daily_table,MATCH(DATE(S$5,$K300,$J300),daily_dates,0),MATCH($B$3,daily_items,0))),NA(),INDEX(big_daily_table,MATCH(DATE(S$5,$K300,$J300),daily_dates,0),MATCH($B$3,daily_items,0)))</f>
        <v>#N/A</v>
      </c>
      <c r="T300" s="1" t="e">
        <f aca="false">IF(ISBLANK(INDEX(big_daily_table,MATCH(DATE(T$5,$K300,$J300),daily_dates,0),MATCH($B$3,daily_items,0))),NA(),INDEX(big_daily_table,MATCH(DATE(T$5,$K300,$J300),daily_dates,0),MATCH($B$3,daily_items,0)))</f>
        <v>#N/A</v>
      </c>
      <c r="U300" s="1" t="e">
        <f aca="false">IF(ISBLANK(INDEX(big_daily_table,MATCH(DATE(U$5,$K300,$J300),daily_dates,0),MATCH($B$3,daily_items,0))),NA(),INDEX(big_daily_table,MATCH(DATE(U$5,$K300,$J300),daily_dates,0),MATCH($B$3,daily_items,0)))</f>
        <v>#N/A</v>
      </c>
      <c r="V300" s="1" t="e">
        <f aca="false">IF(ISBLANK(INDEX(big_daily_table,MATCH(DATE(V$5,$K300,$J300),daily_dates,0),MATCH($B$3,daily_items,0))),NA(),INDEX(big_daily_table,MATCH(DATE(V$5,$K300,$J300),daily_dates,0),MATCH($B$3,daily_items,0)))</f>
        <v>#N/A</v>
      </c>
      <c r="W300" s="1" t="e">
        <f aca="false">IF(ISBLANK(INDEX(big_daily_table,MATCH(DATE(W$5,$K300,$J300),daily_dates,0),MATCH($B$3,daily_items,0))),NA(),INDEX(big_daily_table,MATCH(DATE(W$5,$K300,$J300),daily_dates,0),MATCH($B$3,daily_items,0)))</f>
        <v>#N/A</v>
      </c>
      <c r="X300" s="1" t="e">
        <f aca="false">IF(ISBLANK(INDEX(big_daily_table,MATCH(DATE(X$5,$K300,$J300),daily_dates,0),MATCH($B$3,daily_items,0))),NA(),INDEX(big_daily_table,MATCH(DATE(X$5,$K300,$J300),daily_dates,0),MATCH($B$3,daily_items,0)))</f>
        <v>#N/A</v>
      </c>
      <c r="Y300" s="1" t="e">
        <f aca="false">IF(ISBLANK(INDEX(big_daily_table,MATCH(DATE(Y$5,$K300,$J300),daily_dates,0),MATCH($B$3,daily_items,0))),NA(),INDEX(big_daily_table,MATCH(DATE(Y$5,$K300,$J300),daily_dates,0),MATCH($B$3,daily_items,0)))</f>
        <v>#N/A</v>
      </c>
      <c r="Z300" s="1" t="e">
        <f aca="false">IF(ISBLANK(INDEX(big_daily_table,MATCH(DATE(Z$5,$K300,$J300),daily_dates,0),MATCH($B$3,daily_items,0))),NA(),INDEX(big_daily_table,MATCH(DATE(Z$5,$K300,$J300),daily_dates,0),MATCH($B$3,daily_items,0)))</f>
        <v>#N/A</v>
      </c>
      <c r="AA300" s="1" t="n">
        <f aca="true">_xlfn.AGGREGATE(5,6,OFFSET($S$5,H300,0,1,$K$2))</f>
        <v>0</v>
      </c>
      <c r="AB300" s="1" t="n">
        <f aca="true">_xlfn.AGGREGATE(4,6,OFFSET($S$5,H300,0,1,$K$2))</f>
        <v>0</v>
      </c>
      <c r="AC300" s="1" t="n">
        <f aca="false">AB300-AA300</f>
        <v>0</v>
      </c>
      <c r="AD300" s="1" t="e">
        <f aca="true">_xlfn.AGGREGATE(1,6,OFFSET($S$5,H300,0,1,$K$2))</f>
        <v>#DIV/0!</v>
      </c>
    </row>
    <row r="301" customFormat="false" ht="14.25" hidden="false" customHeight="false" outlineLevel="0" collapsed="false">
      <c r="H301" s="1" t="n">
        <f aca="false">H300+1</f>
        <v>296</v>
      </c>
      <c r="I301" s="1" t="n">
        <f aca="false">WEEKDAY('daily graphs'!K301)</f>
        <v>1</v>
      </c>
      <c r="J301" s="1" t="n">
        <f aca="false">DAY(L301)</f>
        <v>21</v>
      </c>
      <c r="K301" s="1" t="n">
        <f aca="false">MONTH(L301)</f>
        <v>10</v>
      </c>
      <c r="L301" s="23" t="n">
        <f aca="false">'daily graphs'!K301 - I301</f>
        <v>36820</v>
      </c>
      <c r="M301" s="24" t="n">
        <f aca="true">IF(TODAY()&lt;DATE($O$5,K301,J301),1000000,-1000000)</f>
        <v>1000000</v>
      </c>
      <c r="N301" s="24" t="e">
        <f aca="false">IF(M301&gt;0,INDEX(big_daily_table,MATCH(DATE(O$5,$K301,$J301),daily_dates,0),MATCH($B$3,daily_items,0)),NA())</f>
        <v>#N/A</v>
      </c>
      <c r="O301" s="1" t="e">
        <f aca="false">IF(M301&lt;0,INDEX(big_daily_table,MATCH(DATE(O$5,$K301,$J301),daily_dates,0),MATCH($B$3,daily_items,0)),NA())</f>
        <v>#N/A</v>
      </c>
      <c r="P301" s="1" t="e">
        <f aca="false">IF(ISBLANK(INDEX(big_daily_table,MATCH(DATE(P$5,$K301,$J301),daily_dates,0),MATCH($B$3,daily_items,0))),NA(),INDEX(big_daily_table,MATCH(DATE(P$5,$K301,$J301),daily_dates,0),MATCH($B$3,daily_items,0)))</f>
        <v>#N/A</v>
      </c>
      <c r="Q301" s="1" t="e">
        <f aca="false">IF(ISBLANK(INDEX(big_daily_table,MATCH(DATE(Q$5,$K301,$J301),daily_dates,0),MATCH($B$3,daily_items,0))),NA(),INDEX(big_daily_table,MATCH(DATE(Q$5,$K301,$J301),daily_dates,0),MATCH($B$3,daily_items,0)))</f>
        <v>#N/A</v>
      </c>
      <c r="R301" s="1" t="e">
        <f aca="false">IF(ISBLANK(INDEX(big_daily_table,MATCH(DATE(R$5,$K301,$J301),daily_dates,0),MATCH($B$3,daily_items,0))),NA(),INDEX(big_daily_table,MATCH(DATE(R$5,$K301,$J301),daily_dates,0),MATCH($B$3,daily_items,0)))</f>
        <v>#N/A</v>
      </c>
      <c r="S301" s="1" t="e">
        <f aca="false">IF(ISBLANK(INDEX(big_daily_table,MATCH(DATE(S$5,$K301,$J301),daily_dates,0),MATCH($B$3,daily_items,0))),NA(),INDEX(big_daily_table,MATCH(DATE(S$5,$K301,$J301),daily_dates,0),MATCH($B$3,daily_items,0)))</f>
        <v>#N/A</v>
      </c>
      <c r="T301" s="1" t="e">
        <f aca="false">IF(ISBLANK(INDEX(big_daily_table,MATCH(DATE(T$5,$K301,$J301),daily_dates,0),MATCH($B$3,daily_items,0))),NA(),INDEX(big_daily_table,MATCH(DATE(T$5,$K301,$J301),daily_dates,0),MATCH($B$3,daily_items,0)))</f>
        <v>#N/A</v>
      </c>
      <c r="U301" s="1" t="e">
        <f aca="false">IF(ISBLANK(INDEX(big_daily_table,MATCH(DATE(U$5,$K301,$J301),daily_dates,0),MATCH($B$3,daily_items,0))),NA(),INDEX(big_daily_table,MATCH(DATE(U$5,$K301,$J301),daily_dates,0),MATCH($B$3,daily_items,0)))</f>
        <v>#N/A</v>
      </c>
      <c r="V301" s="1" t="e">
        <f aca="false">IF(ISBLANK(INDEX(big_daily_table,MATCH(DATE(V$5,$K301,$J301),daily_dates,0),MATCH($B$3,daily_items,0))),NA(),INDEX(big_daily_table,MATCH(DATE(V$5,$K301,$J301),daily_dates,0),MATCH($B$3,daily_items,0)))</f>
        <v>#N/A</v>
      </c>
      <c r="W301" s="1" t="e">
        <f aca="false">IF(ISBLANK(INDEX(big_daily_table,MATCH(DATE(W$5,$K301,$J301),daily_dates,0),MATCH($B$3,daily_items,0))),NA(),INDEX(big_daily_table,MATCH(DATE(W$5,$K301,$J301),daily_dates,0),MATCH($B$3,daily_items,0)))</f>
        <v>#N/A</v>
      </c>
      <c r="X301" s="1" t="e">
        <f aca="false">IF(ISBLANK(INDEX(big_daily_table,MATCH(DATE(X$5,$K301,$J301),daily_dates,0),MATCH($B$3,daily_items,0))),NA(),INDEX(big_daily_table,MATCH(DATE(X$5,$K301,$J301),daily_dates,0),MATCH($B$3,daily_items,0)))</f>
        <v>#N/A</v>
      </c>
      <c r="Y301" s="1" t="e">
        <f aca="false">IF(ISBLANK(INDEX(big_daily_table,MATCH(DATE(Y$5,$K301,$J301),daily_dates,0),MATCH($B$3,daily_items,0))),NA(),INDEX(big_daily_table,MATCH(DATE(Y$5,$K301,$J301),daily_dates,0),MATCH($B$3,daily_items,0)))</f>
        <v>#N/A</v>
      </c>
      <c r="Z301" s="1" t="e">
        <f aca="false">IF(ISBLANK(INDEX(big_daily_table,MATCH(DATE(Z$5,$K301,$J301),daily_dates,0),MATCH($B$3,daily_items,0))),NA(),INDEX(big_daily_table,MATCH(DATE(Z$5,$K301,$J301),daily_dates,0),MATCH($B$3,daily_items,0)))</f>
        <v>#N/A</v>
      </c>
      <c r="AA301" s="1" t="n">
        <f aca="true">_xlfn.AGGREGATE(5,6,OFFSET($S$5,H301,0,1,$K$2))</f>
        <v>0</v>
      </c>
      <c r="AB301" s="1" t="n">
        <f aca="true">_xlfn.AGGREGATE(4,6,OFFSET($S$5,H301,0,1,$K$2))</f>
        <v>0</v>
      </c>
      <c r="AC301" s="1" t="n">
        <f aca="false">AB301-AA301</f>
        <v>0</v>
      </c>
      <c r="AD301" s="1" t="e">
        <f aca="true">_xlfn.AGGREGATE(1,6,OFFSET($S$5,H301,0,1,$K$2))</f>
        <v>#DIV/0!</v>
      </c>
    </row>
    <row r="302" customFormat="false" ht="14.25" hidden="false" customHeight="false" outlineLevel="0" collapsed="false">
      <c r="H302" s="1" t="n">
        <f aca="false">H301+1</f>
        <v>297</v>
      </c>
      <c r="I302" s="1" t="n">
        <f aca="false">WEEKDAY('daily graphs'!K302)</f>
        <v>2</v>
      </c>
      <c r="J302" s="1" t="n">
        <f aca="false">DAY(L302)</f>
        <v>21</v>
      </c>
      <c r="K302" s="1" t="n">
        <f aca="false">MONTH(L302)</f>
        <v>10</v>
      </c>
      <c r="L302" s="23" t="n">
        <f aca="false">'daily graphs'!K302 - I302</f>
        <v>36820</v>
      </c>
      <c r="M302" s="24" t="n">
        <f aca="true">IF(TODAY()&lt;DATE($O$5,K302,J302),1000000,-1000000)</f>
        <v>1000000</v>
      </c>
      <c r="N302" s="24" t="e">
        <f aca="false">IF(M302&gt;0,INDEX(big_daily_table,MATCH(DATE(O$5,$K302,$J302),daily_dates,0),MATCH($B$3,daily_items,0)),NA())</f>
        <v>#N/A</v>
      </c>
      <c r="O302" s="1" t="e">
        <f aca="false">IF(M302&lt;0,INDEX(big_daily_table,MATCH(DATE(O$5,$K302,$J302),daily_dates,0),MATCH($B$3,daily_items,0)),NA())</f>
        <v>#N/A</v>
      </c>
      <c r="P302" s="1" t="e">
        <f aca="false">IF(ISBLANK(INDEX(big_daily_table,MATCH(DATE(P$5,$K302,$J302),daily_dates,0),MATCH($B$3,daily_items,0))),NA(),INDEX(big_daily_table,MATCH(DATE(P$5,$K302,$J302),daily_dates,0),MATCH($B$3,daily_items,0)))</f>
        <v>#N/A</v>
      </c>
      <c r="Q302" s="1" t="e">
        <f aca="false">IF(ISBLANK(INDEX(big_daily_table,MATCH(DATE(Q$5,$K302,$J302),daily_dates,0),MATCH($B$3,daily_items,0))),NA(),INDEX(big_daily_table,MATCH(DATE(Q$5,$K302,$J302),daily_dates,0),MATCH($B$3,daily_items,0)))</f>
        <v>#N/A</v>
      </c>
      <c r="R302" s="1" t="e">
        <f aca="false">IF(ISBLANK(INDEX(big_daily_table,MATCH(DATE(R$5,$K302,$J302),daily_dates,0),MATCH($B$3,daily_items,0))),NA(),INDEX(big_daily_table,MATCH(DATE(R$5,$K302,$J302),daily_dates,0),MATCH($B$3,daily_items,0)))</f>
        <v>#N/A</v>
      </c>
      <c r="S302" s="1" t="e">
        <f aca="false">IF(ISBLANK(INDEX(big_daily_table,MATCH(DATE(S$5,$K302,$J302),daily_dates,0),MATCH($B$3,daily_items,0))),NA(),INDEX(big_daily_table,MATCH(DATE(S$5,$K302,$J302),daily_dates,0),MATCH($B$3,daily_items,0)))</f>
        <v>#N/A</v>
      </c>
      <c r="T302" s="1" t="e">
        <f aca="false">IF(ISBLANK(INDEX(big_daily_table,MATCH(DATE(T$5,$K302,$J302),daily_dates,0),MATCH($B$3,daily_items,0))),NA(),INDEX(big_daily_table,MATCH(DATE(T$5,$K302,$J302),daily_dates,0),MATCH($B$3,daily_items,0)))</f>
        <v>#N/A</v>
      </c>
      <c r="U302" s="1" t="e">
        <f aca="false">IF(ISBLANK(INDEX(big_daily_table,MATCH(DATE(U$5,$K302,$J302),daily_dates,0),MATCH($B$3,daily_items,0))),NA(),INDEX(big_daily_table,MATCH(DATE(U$5,$K302,$J302),daily_dates,0),MATCH($B$3,daily_items,0)))</f>
        <v>#N/A</v>
      </c>
      <c r="V302" s="1" t="e">
        <f aca="false">IF(ISBLANK(INDEX(big_daily_table,MATCH(DATE(V$5,$K302,$J302),daily_dates,0),MATCH($B$3,daily_items,0))),NA(),INDEX(big_daily_table,MATCH(DATE(V$5,$K302,$J302),daily_dates,0),MATCH($B$3,daily_items,0)))</f>
        <v>#N/A</v>
      </c>
      <c r="W302" s="1" t="e">
        <f aca="false">IF(ISBLANK(INDEX(big_daily_table,MATCH(DATE(W$5,$K302,$J302),daily_dates,0),MATCH($B$3,daily_items,0))),NA(),INDEX(big_daily_table,MATCH(DATE(W$5,$K302,$J302),daily_dates,0),MATCH($B$3,daily_items,0)))</f>
        <v>#N/A</v>
      </c>
      <c r="X302" s="1" t="e">
        <f aca="false">IF(ISBLANK(INDEX(big_daily_table,MATCH(DATE(X$5,$K302,$J302),daily_dates,0),MATCH($B$3,daily_items,0))),NA(),INDEX(big_daily_table,MATCH(DATE(X$5,$K302,$J302),daily_dates,0),MATCH($B$3,daily_items,0)))</f>
        <v>#N/A</v>
      </c>
      <c r="Y302" s="1" t="e">
        <f aca="false">IF(ISBLANK(INDEX(big_daily_table,MATCH(DATE(Y$5,$K302,$J302),daily_dates,0),MATCH($B$3,daily_items,0))),NA(),INDEX(big_daily_table,MATCH(DATE(Y$5,$K302,$J302),daily_dates,0),MATCH($B$3,daily_items,0)))</f>
        <v>#N/A</v>
      </c>
      <c r="Z302" s="1" t="e">
        <f aca="false">IF(ISBLANK(INDEX(big_daily_table,MATCH(DATE(Z$5,$K302,$J302),daily_dates,0),MATCH($B$3,daily_items,0))),NA(),INDEX(big_daily_table,MATCH(DATE(Z$5,$K302,$J302),daily_dates,0),MATCH($B$3,daily_items,0)))</f>
        <v>#N/A</v>
      </c>
      <c r="AA302" s="1" t="n">
        <f aca="true">_xlfn.AGGREGATE(5,6,OFFSET($S$5,H302,0,1,$K$2))</f>
        <v>0</v>
      </c>
      <c r="AB302" s="1" t="n">
        <f aca="true">_xlfn.AGGREGATE(4,6,OFFSET($S$5,H302,0,1,$K$2))</f>
        <v>0</v>
      </c>
      <c r="AC302" s="1" t="n">
        <f aca="false">AB302-AA302</f>
        <v>0</v>
      </c>
      <c r="AD302" s="1" t="e">
        <f aca="true">_xlfn.AGGREGATE(1,6,OFFSET($S$5,H302,0,1,$K$2))</f>
        <v>#DIV/0!</v>
      </c>
    </row>
    <row r="303" customFormat="false" ht="14.25" hidden="false" customHeight="false" outlineLevel="0" collapsed="false">
      <c r="H303" s="1" t="n">
        <f aca="false">H302+1</f>
        <v>298</v>
      </c>
      <c r="I303" s="1" t="n">
        <f aca="false">WEEKDAY('daily graphs'!K303)</f>
        <v>3</v>
      </c>
      <c r="J303" s="1" t="n">
        <f aca="false">DAY(L303)</f>
        <v>21</v>
      </c>
      <c r="K303" s="1" t="n">
        <f aca="false">MONTH(L303)</f>
        <v>10</v>
      </c>
      <c r="L303" s="23" t="n">
        <f aca="false">'daily graphs'!K303 - I303</f>
        <v>36820</v>
      </c>
      <c r="M303" s="24" t="n">
        <f aca="true">IF(TODAY()&lt;DATE($O$5,K303,J303),1000000,-1000000)</f>
        <v>1000000</v>
      </c>
      <c r="N303" s="24" t="e">
        <f aca="false">IF(M303&gt;0,INDEX(big_daily_table,MATCH(DATE(O$5,$K303,$J303),daily_dates,0),MATCH($B$3,daily_items,0)),NA())</f>
        <v>#N/A</v>
      </c>
      <c r="O303" s="1" t="e">
        <f aca="false">IF(M303&lt;0,INDEX(big_daily_table,MATCH(DATE(O$5,$K303,$J303),daily_dates,0),MATCH($B$3,daily_items,0)),NA())</f>
        <v>#N/A</v>
      </c>
      <c r="P303" s="1" t="e">
        <f aca="false">IF(ISBLANK(INDEX(big_daily_table,MATCH(DATE(P$5,$K303,$J303),daily_dates,0),MATCH($B$3,daily_items,0))),NA(),INDEX(big_daily_table,MATCH(DATE(P$5,$K303,$J303),daily_dates,0),MATCH($B$3,daily_items,0)))</f>
        <v>#N/A</v>
      </c>
      <c r="Q303" s="1" t="e">
        <f aca="false">IF(ISBLANK(INDEX(big_daily_table,MATCH(DATE(Q$5,$K303,$J303),daily_dates,0),MATCH($B$3,daily_items,0))),NA(),INDEX(big_daily_table,MATCH(DATE(Q$5,$K303,$J303),daily_dates,0),MATCH($B$3,daily_items,0)))</f>
        <v>#N/A</v>
      </c>
      <c r="R303" s="1" t="e">
        <f aca="false">IF(ISBLANK(INDEX(big_daily_table,MATCH(DATE(R$5,$K303,$J303),daily_dates,0),MATCH($B$3,daily_items,0))),NA(),INDEX(big_daily_table,MATCH(DATE(R$5,$K303,$J303),daily_dates,0),MATCH($B$3,daily_items,0)))</f>
        <v>#N/A</v>
      </c>
      <c r="S303" s="1" t="e">
        <f aca="false">IF(ISBLANK(INDEX(big_daily_table,MATCH(DATE(S$5,$K303,$J303),daily_dates,0),MATCH($B$3,daily_items,0))),NA(),INDEX(big_daily_table,MATCH(DATE(S$5,$K303,$J303),daily_dates,0),MATCH($B$3,daily_items,0)))</f>
        <v>#N/A</v>
      </c>
      <c r="T303" s="1" t="e">
        <f aca="false">IF(ISBLANK(INDEX(big_daily_table,MATCH(DATE(T$5,$K303,$J303),daily_dates,0),MATCH($B$3,daily_items,0))),NA(),INDEX(big_daily_table,MATCH(DATE(T$5,$K303,$J303),daily_dates,0),MATCH($B$3,daily_items,0)))</f>
        <v>#N/A</v>
      </c>
      <c r="U303" s="1" t="e">
        <f aca="false">IF(ISBLANK(INDEX(big_daily_table,MATCH(DATE(U$5,$K303,$J303),daily_dates,0),MATCH($B$3,daily_items,0))),NA(),INDEX(big_daily_table,MATCH(DATE(U$5,$K303,$J303),daily_dates,0),MATCH($B$3,daily_items,0)))</f>
        <v>#N/A</v>
      </c>
      <c r="V303" s="1" t="e">
        <f aca="false">IF(ISBLANK(INDEX(big_daily_table,MATCH(DATE(V$5,$K303,$J303),daily_dates,0),MATCH($B$3,daily_items,0))),NA(),INDEX(big_daily_table,MATCH(DATE(V$5,$K303,$J303),daily_dates,0),MATCH($B$3,daily_items,0)))</f>
        <v>#N/A</v>
      </c>
      <c r="W303" s="1" t="e">
        <f aca="false">IF(ISBLANK(INDEX(big_daily_table,MATCH(DATE(W$5,$K303,$J303),daily_dates,0),MATCH($B$3,daily_items,0))),NA(),INDEX(big_daily_table,MATCH(DATE(W$5,$K303,$J303),daily_dates,0),MATCH($B$3,daily_items,0)))</f>
        <v>#N/A</v>
      </c>
      <c r="X303" s="1" t="e">
        <f aca="false">IF(ISBLANK(INDEX(big_daily_table,MATCH(DATE(X$5,$K303,$J303),daily_dates,0),MATCH($B$3,daily_items,0))),NA(),INDEX(big_daily_table,MATCH(DATE(X$5,$K303,$J303),daily_dates,0),MATCH($B$3,daily_items,0)))</f>
        <v>#N/A</v>
      </c>
      <c r="Y303" s="1" t="e">
        <f aca="false">IF(ISBLANK(INDEX(big_daily_table,MATCH(DATE(Y$5,$K303,$J303),daily_dates,0),MATCH($B$3,daily_items,0))),NA(),INDEX(big_daily_table,MATCH(DATE(Y$5,$K303,$J303),daily_dates,0),MATCH($B$3,daily_items,0)))</f>
        <v>#N/A</v>
      </c>
      <c r="Z303" s="1" t="e">
        <f aca="false">IF(ISBLANK(INDEX(big_daily_table,MATCH(DATE(Z$5,$K303,$J303),daily_dates,0),MATCH($B$3,daily_items,0))),NA(),INDEX(big_daily_table,MATCH(DATE(Z$5,$K303,$J303),daily_dates,0),MATCH($B$3,daily_items,0)))</f>
        <v>#N/A</v>
      </c>
      <c r="AA303" s="1" t="n">
        <f aca="true">_xlfn.AGGREGATE(5,6,OFFSET($S$5,H303,0,1,$K$2))</f>
        <v>0</v>
      </c>
      <c r="AB303" s="1" t="n">
        <f aca="true">_xlfn.AGGREGATE(4,6,OFFSET($S$5,H303,0,1,$K$2))</f>
        <v>0</v>
      </c>
      <c r="AC303" s="1" t="n">
        <f aca="false">AB303-AA303</f>
        <v>0</v>
      </c>
      <c r="AD303" s="1" t="e">
        <f aca="true">_xlfn.AGGREGATE(1,6,OFFSET($S$5,H303,0,1,$K$2))</f>
        <v>#DIV/0!</v>
      </c>
    </row>
    <row r="304" customFormat="false" ht="14.25" hidden="false" customHeight="false" outlineLevel="0" collapsed="false">
      <c r="H304" s="1" t="n">
        <f aca="false">H303+1</f>
        <v>299</v>
      </c>
      <c r="I304" s="1" t="n">
        <f aca="false">WEEKDAY('daily graphs'!K304)</f>
        <v>4</v>
      </c>
      <c r="J304" s="1" t="n">
        <f aca="false">DAY(L304)</f>
        <v>21</v>
      </c>
      <c r="K304" s="1" t="n">
        <f aca="false">MONTH(L304)</f>
        <v>10</v>
      </c>
      <c r="L304" s="23" t="n">
        <f aca="false">'daily graphs'!K304 - I304</f>
        <v>36820</v>
      </c>
      <c r="M304" s="24" t="n">
        <f aca="true">IF(TODAY()&lt;DATE($O$5,K304,J304),1000000,-1000000)</f>
        <v>1000000</v>
      </c>
      <c r="N304" s="24" t="e">
        <f aca="false">IF(M304&gt;0,INDEX(big_daily_table,MATCH(DATE(O$5,$K304,$J304),daily_dates,0),MATCH($B$3,daily_items,0)),NA())</f>
        <v>#N/A</v>
      </c>
      <c r="O304" s="1" t="e">
        <f aca="false">IF(M304&lt;0,INDEX(big_daily_table,MATCH(DATE(O$5,$K304,$J304),daily_dates,0),MATCH($B$3,daily_items,0)),NA())</f>
        <v>#N/A</v>
      </c>
      <c r="P304" s="1" t="e">
        <f aca="false">IF(ISBLANK(INDEX(big_daily_table,MATCH(DATE(P$5,$K304,$J304),daily_dates,0),MATCH($B$3,daily_items,0))),NA(),INDEX(big_daily_table,MATCH(DATE(P$5,$K304,$J304),daily_dates,0),MATCH($B$3,daily_items,0)))</f>
        <v>#N/A</v>
      </c>
      <c r="Q304" s="1" t="e">
        <f aca="false">IF(ISBLANK(INDEX(big_daily_table,MATCH(DATE(Q$5,$K304,$J304),daily_dates,0),MATCH($B$3,daily_items,0))),NA(),INDEX(big_daily_table,MATCH(DATE(Q$5,$K304,$J304),daily_dates,0),MATCH($B$3,daily_items,0)))</f>
        <v>#N/A</v>
      </c>
      <c r="R304" s="1" t="e">
        <f aca="false">IF(ISBLANK(INDEX(big_daily_table,MATCH(DATE(R$5,$K304,$J304),daily_dates,0),MATCH($B$3,daily_items,0))),NA(),INDEX(big_daily_table,MATCH(DATE(R$5,$K304,$J304),daily_dates,0),MATCH($B$3,daily_items,0)))</f>
        <v>#N/A</v>
      </c>
      <c r="S304" s="1" t="e">
        <f aca="false">IF(ISBLANK(INDEX(big_daily_table,MATCH(DATE(S$5,$K304,$J304),daily_dates,0),MATCH($B$3,daily_items,0))),NA(),INDEX(big_daily_table,MATCH(DATE(S$5,$K304,$J304),daily_dates,0),MATCH($B$3,daily_items,0)))</f>
        <v>#N/A</v>
      </c>
      <c r="T304" s="1" t="e">
        <f aca="false">IF(ISBLANK(INDEX(big_daily_table,MATCH(DATE(T$5,$K304,$J304),daily_dates,0),MATCH($B$3,daily_items,0))),NA(),INDEX(big_daily_table,MATCH(DATE(T$5,$K304,$J304),daily_dates,0),MATCH($B$3,daily_items,0)))</f>
        <v>#N/A</v>
      </c>
      <c r="U304" s="1" t="e">
        <f aca="false">IF(ISBLANK(INDEX(big_daily_table,MATCH(DATE(U$5,$K304,$J304),daily_dates,0),MATCH($B$3,daily_items,0))),NA(),INDEX(big_daily_table,MATCH(DATE(U$5,$K304,$J304),daily_dates,0),MATCH($B$3,daily_items,0)))</f>
        <v>#N/A</v>
      </c>
      <c r="V304" s="1" t="e">
        <f aca="false">IF(ISBLANK(INDEX(big_daily_table,MATCH(DATE(V$5,$K304,$J304),daily_dates,0),MATCH($B$3,daily_items,0))),NA(),INDEX(big_daily_table,MATCH(DATE(V$5,$K304,$J304),daily_dates,0),MATCH($B$3,daily_items,0)))</f>
        <v>#N/A</v>
      </c>
      <c r="W304" s="1" t="e">
        <f aca="false">IF(ISBLANK(INDEX(big_daily_table,MATCH(DATE(W$5,$K304,$J304),daily_dates,0),MATCH($B$3,daily_items,0))),NA(),INDEX(big_daily_table,MATCH(DATE(W$5,$K304,$J304),daily_dates,0),MATCH($B$3,daily_items,0)))</f>
        <v>#N/A</v>
      </c>
      <c r="X304" s="1" t="e">
        <f aca="false">IF(ISBLANK(INDEX(big_daily_table,MATCH(DATE(X$5,$K304,$J304),daily_dates,0),MATCH($B$3,daily_items,0))),NA(),INDEX(big_daily_table,MATCH(DATE(X$5,$K304,$J304),daily_dates,0),MATCH($B$3,daily_items,0)))</f>
        <v>#N/A</v>
      </c>
      <c r="Y304" s="1" t="e">
        <f aca="false">IF(ISBLANK(INDEX(big_daily_table,MATCH(DATE(Y$5,$K304,$J304),daily_dates,0),MATCH($B$3,daily_items,0))),NA(),INDEX(big_daily_table,MATCH(DATE(Y$5,$K304,$J304),daily_dates,0),MATCH($B$3,daily_items,0)))</f>
        <v>#N/A</v>
      </c>
      <c r="Z304" s="1" t="e">
        <f aca="false">IF(ISBLANK(INDEX(big_daily_table,MATCH(DATE(Z$5,$K304,$J304),daily_dates,0),MATCH($B$3,daily_items,0))),NA(),INDEX(big_daily_table,MATCH(DATE(Z$5,$K304,$J304),daily_dates,0),MATCH($B$3,daily_items,0)))</f>
        <v>#N/A</v>
      </c>
      <c r="AA304" s="1" t="n">
        <f aca="true">_xlfn.AGGREGATE(5,6,OFFSET($S$5,H304,0,1,$K$2))</f>
        <v>0</v>
      </c>
      <c r="AB304" s="1" t="n">
        <f aca="true">_xlfn.AGGREGATE(4,6,OFFSET($S$5,H304,0,1,$K$2))</f>
        <v>0</v>
      </c>
      <c r="AC304" s="1" t="n">
        <f aca="false">AB304-AA304</f>
        <v>0</v>
      </c>
      <c r="AD304" s="1" t="e">
        <f aca="true">_xlfn.AGGREGATE(1,6,OFFSET($S$5,H304,0,1,$K$2))</f>
        <v>#DIV/0!</v>
      </c>
    </row>
    <row r="305" customFormat="false" ht="14.25" hidden="false" customHeight="false" outlineLevel="0" collapsed="false">
      <c r="H305" s="1" t="n">
        <f aca="false">H304+1</f>
        <v>300</v>
      </c>
      <c r="I305" s="1" t="n">
        <f aca="false">WEEKDAY('daily graphs'!K305)</f>
        <v>5</v>
      </c>
      <c r="J305" s="1" t="n">
        <f aca="false">DAY(L305)</f>
        <v>21</v>
      </c>
      <c r="K305" s="1" t="n">
        <f aca="false">MONTH(L305)</f>
        <v>10</v>
      </c>
      <c r="L305" s="23" t="n">
        <f aca="false">'daily graphs'!K305 - I305</f>
        <v>36820</v>
      </c>
      <c r="M305" s="24" t="n">
        <f aca="true">IF(TODAY()&lt;DATE($O$5,K305,J305),1000000,-1000000)</f>
        <v>1000000</v>
      </c>
      <c r="N305" s="24" t="e">
        <f aca="false">IF(M305&gt;0,INDEX(big_daily_table,MATCH(DATE(O$5,$K305,$J305),daily_dates,0),MATCH($B$3,daily_items,0)),NA())</f>
        <v>#N/A</v>
      </c>
      <c r="O305" s="1" t="e">
        <f aca="false">IF(M305&lt;0,INDEX(big_daily_table,MATCH(DATE(O$5,$K305,$J305),daily_dates,0),MATCH($B$3,daily_items,0)),NA())</f>
        <v>#N/A</v>
      </c>
      <c r="P305" s="1" t="e">
        <f aca="false">IF(ISBLANK(INDEX(big_daily_table,MATCH(DATE(P$5,$K305,$J305),daily_dates,0),MATCH($B$3,daily_items,0))),NA(),INDEX(big_daily_table,MATCH(DATE(P$5,$K305,$J305),daily_dates,0),MATCH($B$3,daily_items,0)))</f>
        <v>#N/A</v>
      </c>
      <c r="Q305" s="1" t="e">
        <f aca="false">IF(ISBLANK(INDEX(big_daily_table,MATCH(DATE(Q$5,$K305,$J305),daily_dates,0),MATCH($B$3,daily_items,0))),NA(),INDEX(big_daily_table,MATCH(DATE(Q$5,$K305,$J305),daily_dates,0),MATCH($B$3,daily_items,0)))</f>
        <v>#N/A</v>
      </c>
      <c r="R305" s="1" t="e">
        <f aca="false">IF(ISBLANK(INDEX(big_daily_table,MATCH(DATE(R$5,$K305,$J305),daily_dates,0),MATCH($B$3,daily_items,0))),NA(),INDEX(big_daily_table,MATCH(DATE(R$5,$K305,$J305),daily_dates,0),MATCH($B$3,daily_items,0)))</f>
        <v>#N/A</v>
      </c>
      <c r="S305" s="1" t="e">
        <f aca="false">IF(ISBLANK(INDEX(big_daily_table,MATCH(DATE(S$5,$K305,$J305),daily_dates,0),MATCH($B$3,daily_items,0))),NA(),INDEX(big_daily_table,MATCH(DATE(S$5,$K305,$J305),daily_dates,0),MATCH($B$3,daily_items,0)))</f>
        <v>#N/A</v>
      </c>
      <c r="T305" s="1" t="e">
        <f aca="false">IF(ISBLANK(INDEX(big_daily_table,MATCH(DATE(T$5,$K305,$J305),daily_dates,0),MATCH($B$3,daily_items,0))),NA(),INDEX(big_daily_table,MATCH(DATE(T$5,$K305,$J305),daily_dates,0),MATCH($B$3,daily_items,0)))</f>
        <v>#N/A</v>
      </c>
      <c r="U305" s="1" t="e">
        <f aca="false">IF(ISBLANK(INDEX(big_daily_table,MATCH(DATE(U$5,$K305,$J305),daily_dates,0),MATCH($B$3,daily_items,0))),NA(),INDEX(big_daily_table,MATCH(DATE(U$5,$K305,$J305),daily_dates,0),MATCH($B$3,daily_items,0)))</f>
        <v>#N/A</v>
      </c>
      <c r="V305" s="1" t="e">
        <f aca="false">IF(ISBLANK(INDEX(big_daily_table,MATCH(DATE(V$5,$K305,$J305),daily_dates,0),MATCH($B$3,daily_items,0))),NA(),INDEX(big_daily_table,MATCH(DATE(V$5,$K305,$J305),daily_dates,0),MATCH($B$3,daily_items,0)))</f>
        <v>#N/A</v>
      </c>
      <c r="W305" s="1" t="e">
        <f aca="false">IF(ISBLANK(INDEX(big_daily_table,MATCH(DATE(W$5,$K305,$J305),daily_dates,0),MATCH($B$3,daily_items,0))),NA(),INDEX(big_daily_table,MATCH(DATE(W$5,$K305,$J305),daily_dates,0),MATCH($B$3,daily_items,0)))</f>
        <v>#N/A</v>
      </c>
      <c r="X305" s="1" t="e">
        <f aca="false">IF(ISBLANK(INDEX(big_daily_table,MATCH(DATE(X$5,$K305,$J305),daily_dates,0),MATCH($B$3,daily_items,0))),NA(),INDEX(big_daily_table,MATCH(DATE(X$5,$K305,$J305),daily_dates,0),MATCH($B$3,daily_items,0)))</f>
        <v>#N/A</v>
      </c>
      <c r="Y305" s="1" t="e">
        <f aca="false">IF(ISBLANK(INDEX(big_daily_table,MATCH(DATE(Y$5,$K305,$J305),daily_dates,0),MATCH($B$3,daily_items,0))),NA(),INDEX(big_daily_table,MATCH(DATE(Y$5,$K305,$J305),daily_dates,0),MATCH($B$3,daily_items,0)))</f>
        <v>#N/A</v>
      </c>
      <c r="Z305" s="1" t="e">
        <f aca="false">IF(ISBLANK(INDEX(big_daily_table,MATCH(DATE(Z$5,$K305,$J305),daily_dates,0),MATCH($B$3,daily_items,0))),NA(),INDEX(big_daily_table,MATCH(DATE(Z$5,$K305,$J305),daily_dates,0),MATCH($B$3,daily_items,0)))</f>
        <v>#N/A</v>
      </c>
      <c r="AA305" s="1" t="n">
        <f aca="true">_xlfn.AGGREGATE(5,6,OFFSET($S$5,H305,0,1,$K$2))</f>
        <v>0</v>
      </c>
      <c r="AB305" s="1" t="n">
        <f aca="true">_xlfn.AGGREGATE(4,6,OFFSET($S$5,H305,0,1,$K$2))</f>
        <v>0</v>
      </c>
      <c r="AC305" s="1" t="n">
        <f aca="false">AB305-AA305</f>
        <v>0</v>
      </c>
      <c r="AD305" s="1" t="e">
        <f aca="true">_xlfn.AGGREGATE(1,6,OFFSET($S$5,H305,0,1,$K$2))</f>
        <v>#DIV/0!</v>
      </c>
    </row>
    <row r="306" customFormat="false" ht="14.25" hidden="false" customHeight="false" outlineLevel="0" collapsed="false">
      <c r="H306" s="1" t="n">
        <f aca="false">H305+1</f>
        <v>301</v>
      </c>
      <c r="I306" s="1" t="n">
        <f aca="false">WEEKDAY('daily graphs'!K306)</f>
        <v>6</v>
      </c>
      <c r="J306" s="1" t="n">
        <f aca="false">DAY(L306)</f>
        <v>21</v>
      </c>
      <c r="K306" s="1" t="n">
        <f aca="false">MONTH(L306)</f>
        <v>10</v>
      </c>
      <c r="L306" s="23" t="n">
        <f aca="false">'daily graphs'!K306 - I306</f>
        <v>36820</v>
      </c>
      <c r="M306" s="24" t="n">
        <f aca="true">IF(TODAY()&lt;DATE($O$5,K306,J306),1000000,-1000000)</f>
        <v>1000000</v>
      </c>
      <c r="N306" s="24" t="e">
        <f aca="false">IF(M306&gt;0,INDEX(big_daily_table,MATCH(DATE(O$5,$K306,$J306),daily_dates,0),MATCH($B$3,daily_items,0)),NA())</f>
        <v>#N/A</v>
      </c>
      <c r="O306" s="1" t="e">
        <f aca="false">IF(M306&lt;0,INDEX(big_daily_table,MATCH(DATE(O$5,$K306,$J306),daily_dates,0),MATCH($B$3,daily_items,0)),NA())</f>
        <v>#N/A</v>
      </c>
      <c r="P306" s="1" t="e">
        <f aca="false">IF(ISBLANK(INDEX(big_daily_table,MATCH(DATE(P$5,$K306,$J306),daily_dates,0),MATCH($B$3,daily_items,0))),NA(),INDEX(big_daily_table,MATCH(DATE(P$5,$K306,$J306),daily_dates,0),MATCH($B$3,daily_items,0)))</f>
        <v>#N/A</v>
      </c>
      <c r="Q306" s="1" t="e">
        <f aca="false">IF(ISBLANK(INDEX(big_daily_table,MATCH(DATE(Q$5,$K306,$J306),daily_dates,0),MATCH($B$3,daily_items,0))),NA(),INDEX(big_daily_table,MATCH(DATE(Q$5,$K306,$J306),daily_dates,0),MATCH($B$3,daily_items,0)))</f>
        <v>#N/A</v>
      </c>
      <c r="R306" s="1" t="e">
        <f aca="false">IF(ISBLANK(INDEX(big_daily_table,MATCH(DATE(R$5,$K306,$J306),daily_dates,0),MATCH($B$3,daily_items,0))),NA(),INDEX(big_daily_table,MATCH(DATE(R$5,$K306,$J306),daily_dates,0),MATCH($B$3,daily_items,0)))</f>
        <v>#N/A</v>
      </c>
      <c r="S306" s="1" t="e">
        <f aca="false">IF(ISBLANK(INDEX(big_daily_table,MATCH(DATE(S$5,$K306,$J306),daily_dates,0),MATCH($B$3,daily_items,0))),NA(),INDEX(big_daily_table,MATCH(DATE(S$5,$K306,$J306),daily_dates,0),MATCH($B$3,daily_items,0)))</f>
        <v>#N/A</v>
      </c>
      <c r="T306" s="1" t="e">
        <f aca="false">IF(ISBLANK(INDEX(big_daily_table,MATCH(DATE(T$5,$K306,$J306),daily_dates,0),MATCH($B$3,daily_items,0))),NA(),INDEX(big_daily_table,MATCH(DATE(T$5,$K306,$J306),daily_dates,0),MATCH($B$3,daily_items,0)))</f>
        <v>#N/A</v>
      </c>
      <c r="U306" s="1" t="e">
        <f aca="false">IF(ISBLANK(INDEX(big_daily_table,MATCH(DATE(U$5,$K306,$J306),daily_dates,0),MATCH($B$3,daily_items,0))),NA(),INDEX(big_daily_table,MATCH(DATE(U$5,$K306,$J306),daily_dates,0),MATCH($B$3,daily_items,0)))</f>
        <v>#N/A</v>
      </c>
      <c r="V306" s="1" t="e">
        <f aca="false">IF(ISBLANK(INDEX(big_daily_table,MATCH(DATE(V$5,$K306,$J306),daily_dates,0),MATCH($B$3,daily_items,0))),NA(),INDEX(big_daily_table,MATCH(DATE(V$5,$K306,$J306),daily_dates,0),MATCH($B$3,daily_items,0)))</f>
        <v>#N/A</v>
      </c>
      <c r="W306" s="1" t="e">
        <f aca="false">IF(ISBLANK(INDEX(big_daily_table,MATCH(DATE(W$5,$K306,$J306),daily_dates,0),MATCH($B$3,daily_items,0))),NA(),INDEX(big_daily_table,MATCH(DATE(W$5,$K306,$J306),daily_dates,0),MATCH($B$3,daily_items,0)))</f>
        <v>#N/A</v>
      </c>
      <c r="X306" s="1" t="e">
        <f aca="false">IF(ISBLANK(INDEX(big_daily_table,MATCH(DATE(X$5,$K306,$J306),daily_dates,0),MATCH($B$3,daily_items,0))),NA(),INDEX(big_daily_table,MATCH(DATE(X$5,$K306,$J306),daily_dates,0),MATCH($B$3,daily_items,0)))</f>
        <v>#N/A</v>
      </c>
      <c r="Y306" s="1" t="e">
        <f aca="false">IF(ISBLANK(INDEX(big_daily_table,MATCH(DATE(Y$5,$K306,$J306),daily_dates,0),MATCH($B$3,daily_items,0))),NA(),INDEX(big_daily_table,MATCH(DATE(Y$5,$K306,$J306),daily_dates,0),MATCH($B$3,daily_items,0)))</f>
        <v>#N/A</v>
      </c>
      <c r="Z306" s="1" t="e">
        <f aca="false">IF(ISBLANK(INDEX(big_daily_table,MATCH(DATE(Z$5,$K306,$J306),daily_dates,0),MATCH($B$3,daily_items,0))),NA(),INDEX(big_daily_table,MATCH(DATE(Z$5,$K306,$J306),daily_dates,0),MATCH($B$3,daily_items,0)))</f>
        <v>#N/A</v>
      </c>
      <c r="AA306" s="1" t="n">
        <f aca="true">_xlfn.AGGREGATE(5,6,OFFSET($S$5,H306,0,1,$K$2))</f>
        <v>0</v>
      </c>
      <c r="AB306" s="1" t="n">
        <f aca="true">_xlfn.AGGREGATE(4,6,OFFSET($S$5,H306,0,1,$K$2))</f>
        <v>0</v>
      </c>
      <c r="AC306" s="1" t="n">
        <f aca="false">AB306-AA306</f>
        <v>0</v>
      </c>
      <c r="AD306" s="1" t="e">
        <f aca="true">_xlfn.AGGREGATE(1,6,OFFSET($S$5,H306,0,1,$K$2))</f>
        <v>#DIV/0!</v>
      </c>
    </row>
    <row r="307" customFormat="false" ht="14.25" hidden="false" customHeight="false" outlineLevel="0" collapsed="false">
      <c r="H307" s="1" t="n">
        <f aca="false">H306+1</f>
        <v>302</v>
      </c>
      <c r="I307" s="1" t="n">
        <f aca="false">WEEKDAY('daily graphs'!K307)</f>
        <v>7</v>
      </c>
      <c r="J307" s="1" t="n">
        <f aca="false">DAY(L307)</f>
        <v>21</v>
      </c>
      <c r="K307" s="1" t="n">
        <f aca="false">MONTH(L307)</f>
        <v>10</v>
      </c>
      <c r="L307" s="23" t="n">
        <f aca="false">'daily graphs'!K307 - I307</f>
        <v>36820</v>
      </c>
      <c r="M307" s="24" t="n">
        <f aca="true">IF(TODAY()&lt;DATE($O$5,K307,J307),1000000,-1000000)</f>
        <v>1000000</v>
      </c>
      <c r="N307" s="24" t="e">
        <f aca="false">IF(M307&gt;0,INDEX(big_daily_table,MATCH(DATE(O$5,$K307,$J307),daily_dates,0),MATCH($B$3,daily_items,0)),NA())</f>
        <v>#N/A</v>
      </c>
      <c r="O307" s="1" t="e">
        <f aca="false">IF(M307&lt;0,INDEX(big_daily_table,MATCH(DATE(O$5,$K307,$J307),daily_dates,0),MATCH($B$3,daily_items,0)),NA())</f>
        <v>#N/A</v>
      </c>
      <c r="P307" s="1" t="e">
        <f aca="false">IF(ISBLANK(INDEX(big_daily_table,MATCH(DATE(P$5,$K307,$J307),daily_dates,0),MATCH($B$3,daily_items,0))),NA(),INDEX(big_daily_table,MATCH(DATE(P$5,$K307,$J307),daily_dates,0),MATCH($B$3,daily_items,0)))</f>
        <v>#N/A</v>
      </c>
      <c r="Q307" s="1" t="e">
        <f aca="false">IF(ISBLANK(INDEX(big_daily_table,MATCH(DATE(Q$5,$K307,$J307),daily_dates,0),MATCH($B$3,daily_items,0))),NA(),INDEX(big_daily_table,MATCH(DATE(Q$5,$K307,$J307),daily_dates,0),MATCH($B$3,daily_items,0)))</f>
        <v>#N/A</v>
      </c>
      <c r="R307" s="1" t="e">
        <f aca="false">IF(ISBLANK(INDEX(big_daily_table,MATCH(DATE(R$5,$K307,$J307),daily_dates,0),MATCH($B$3,daily_items,0))),NA(),INDEX(big_daily_table,MATCH(DATE(R$5,$K307,$J307),daily_dates,0),MATCH($B$3,daily_items,0)))</f>
        <v>#N/A</v>
      </c>
      <c r="S307" s="1" t="e">
        <f aca="false">IF(ISBLANK(INDEX(big_daily_table,MATCH(DATE(S$5,$K307,$J307),daily_dates,0),MATCH($B$3,daily_items,0))),NA(),INDEX(big_daily_table,MATCH(DATE(S$5,$K307,$J307),daily_dates,0),MATCH($B$3,daily_items,0)))</f>
        <v>#N/A</v>
      </c>
      <c r="T307" s="1" t="e">
        <f aca="false">IF(ISBLANK(INDEX(big_daily_table,MATCH(DATE(T$5,$K307,$J307),daily_dates,0),MATCH($B$3,daily_items,0))),NA(),INDEX(big_daily_table,MATCH(DATE(T$5,$K307,$J307),daily_dates,0),MATCH($B$3,daily_items,0)))</f>
        <v>#N/A</v>
      </c>
      <c r="U307" s="1" t="e">
        <f aca="false">IF(ISBLANK(INDEX(big_daily_table,MATCH(DATE(U$5,$K307,$J307),daily_dates,0),MATCH($B$3,daily_items,0))),NA(),INDEX(big_daily_table,MATCH(DATE(U$5,$K307,$J307),daily_dates,0),MATCH($B$3,daily_items,0)))</f>
        <v>#N/A</v>
      </c>
      <c r="V307" s="1" t="e">
        <f aca="false">IF(ISBLANK(INDEX(big_daily_table,MATCH(DATE(V$5,$K307,$J307),daily_dates,0),MATCH($B$3,daily_items,0))),NA(),INDEX(big_daily_table,MATCH(DATE(V$5,$K307,$J307),daily_dates,0),MATCH($B$3,daily_items,0)))</f>
        <v>#N/A</v>
      </c>
      <c r="W307" s="1" t="e">
        <f aca="false">IF(ISBLANK(INDEX(big_daily_table,MATCH(DATE(W$5,$K307,$J307),daily_dates,0),MATCH($B$3,daily_items,0))),NA(),INDEX(big_daily_table,MATCH(DATE(W$5,$K307,$J307),daily_dates,0),MATCH($B$3,daily_items,0)))</f>
        <v>#N/A</v>
      </c>
      <c r="X307" s="1" t="e">
        <f aca="false">IF(ISBLANK(INDEX(big_daily_table,MATCH(DATE(X$5,$K307,$J307),daily_dates,0),MATCH($B$3,daily_items,0))),NA(),INDEX(big_daily_table,MATCH(DATE(X$5,$K307,$J307),daily_dates,0),MATCH($B$3,daily_items,0)))</f>
        <v>#N/A</v>
      </c>
      <c r="Y307" s="1" t="e">
        <f aca="false">IF(ISBLANK(INDEX(big_daily_table,MATCH(DATE(Y$5,$K307,$J307),daily_dates,0),MATCH($B$3,daily_items,0))),NA(),INDEX(big_daily_table,MATCH(DATE(Y$5,$K307,$J307),daily_dates,0),MATCH($B$3,daily_items,0)))</f>
        <v>#N/A</v>
      </c>
      <c r="Z307" s="1" t="e">
        <f aca="false">IF(ISBLANK(INDEX(big_daily_table,MATCH(DATE(Z$5,$K307,$J307),daily_dates,0),MATCH($B$3,daily_items,0))),NA(),INDEX(big_daily_table,MATCH(DATE(Z$5,$K307,$J307),daily_dates,0),MATCH($B$3,daily_items,0)))</f>
        <v>#N/A</v>
      </c>
      <c r="AA307" s="1" t="n">
        <f aca="true">_xlfn.AGGREGATE(5,6,OFFSET($S$5,H307,0,1,$K$2))</f>
        <v>0</v>
      </c>
      <c r="AB307" s="1" t="n">
        <f aca="true">_xlfn.AGGREGATE(4,6,OFFSET($S$5,H307,0,1,$K$2))</f>
        <v>0</v>
      </c>
      <c r="AC307" s="1" t="n">
        <f aca="false">AB307-AA307</f>
        <v>0</v>
      </c>
      <c r="AD307" s="1" t="e">
        <f aca="true">_xlfn.AGGREGATE(1,6,OFFSET($S$5,H307,0,1,$K$2))</f>
        <v>#DIV/0!</v>
      </c>
    </row>
    <row r="308" customFormat="false" ht="14.25" hidden="false" customHeight="false" outlineLevel="0" collapsed="false">
      <c r="H308" s="1" t="n">
        <f aca="false">H307+1</f>
        <v>303</v>
      </c>
      <c r="I308" s="1" t="n">
        <f aca="false">WEEKDAY('daily graphs'!K308)</f>
        <v>1</v>
      </c>
      <c r="J308" s="1" t="n">
        <f aca="false">DAY(L308)</f>
        <v>28</v>
      </c>
      <c r="K308" s="1" t="n">
        <f aca="false">MONTH(L308)</f>
        <v>10</v>
      </c>
      <c r="L308" s="23" t="n">
        <f aca="false">'daily graphs'!K308 - I308</f>
        <v>36827</v>
      </c>
      <c r="M308" s="24" t="n">
        <f aca="true">IF(TODAY()&lt;DATE($O$5,K308,J308),1000000,-1000000)</f>
        <v>1000000</v>
      </c>
      <c r="N308" s="24" t="e">
        <f aca="false">IF(M308&gt;0,INDEX(big_daily_table,MATCH(DATE(O$5,$K308,$J308),daily_dates,0),MATCH($B$3,daily_items,0)),NA())</f>
        <v>#N/A</v>
      </c>
      <c r="O308" s="1" t="e">
        <f aca="false">IF(M308&lt;0,INDEX(big_daily_table,MATCH(DATE(O$5,$K308,$J308),daily_dates,0),MATCH($B$3,daily_items,0)),NA())</f>
        <v>#N/A</v>
      </c>
      <c r="P308" s="1" t="e">
        <f aca="false">IF(ISBLANK(INDEX(big_daily_table,MATCH(DATE(P$5,$K308,$J308),daily_dates,0),MATCH($B$3,daily_items,0))),NA(),INDEX(big_daily_table,MATCH(DATE(P$5,$K308,$J308),daily_dates,0),MATCH($B$3,daily_items,0)))</f>
        <v>#N/A</v>
      </c>
      <c r="Q308" s="1" t="e">
        <f aca="false">IF(ISBLANK(INDEX(big_daily_table,MATCH(DATE(Q$5,$K308,$J308),daily_dates,0),MATCH($B$3,daily_items,0))),NA(),INDEX(big_daily_table,MATCH(DATE(Q$5,$K308,$J308),daily_dates,0),MATCH($B$3,daily_items,0)))</f>
        <v>#N/A</v>
      </c>
      <c r="R308" s="1" t="e">
        <f aca="false">IF(ISBLANK(INDEX(big_daily_table,MATCH(DATE(R$5,$K308,$J308),daily_dates,0),MATCH($B$3,daily_items,0))),NA(),INDEX(big_daily_table,MATCH(DATE(R$5,$K308,$J308),daily_dates,0),MATCH($B$3,daily_items,0)))</f>
        <v>#N/A</v>
      </c>
      <c r="S308" s="1" t="e">
        <f aca="false">IF(ISBLANK(INDEX(big_daily_table,MATCH(DATE(S$5,$K308,$J308),daily_dates,0),MATCH($B$3,daily_items,0))),NA(),INDEX(big_daily_table,MATCH(DATE(S$5,$K308,$J308),daily_dates,0),MATCH($B$3,daily_items,0)))</f>
        <v>#N/A</v>
      </c>
      <c r="T308" s="1" t="e">
        <f aca="false">IF(ISBLANK(INDEX(big_daily_table,MATCH(DATE(T$5,$K308,$J308),daily_dates,0),MATCH($B$3,daily_items,0))),NA(),INDEX(big_daily_table,MATCH(DATE(T$5,$K308,$J308),daily_dates,0),MATCH($B$3,daily_items,0)))</f>
        <v>#N/A</v>
      </c>
      <c r="U308" s="1" t="e">
        <f aca="false">IF(ISBLANK(INDEX(big_daily_table,MATCH(DATE(U$5,$K308,$J308),daily_dates,0),MATCH($B$3,daily_items,0))),NA(),INDEX(big_daily_table,MATCH(DATE(U$5,$K308,$J308),daily_dates,0),MATCH($B$3,daily_items,0)))</f>
        <v>#N/A</v>
      </c>
      <c r="V308" s="1" t="e">
        <f aca="false">IF(ISBLANK(INDEX(big_daily_table,MATCH(DATE(V$5,$K308,$J308),daily_dates,0),MATCH($B$3,daily_items,0))),NA(),INDEX(big_daily_table,MATCH(DATE(V$5,$K308,$J308),daily_dates,0),MATCH($B$3,daily_items,0)))</f>
        <v>#N/A</v>
      </c>
      <c r="W308" s="1" t="e">
        <f aca="false">IF(ISBLANK(INDEX(big_daily_table,MATCH(DATE(W$5,$K308,$J308),daily_dates,0),MATCH($B$3,daily_items,0))),NA(),INDEX(big_daily_table,MATCH(DATE(W$5,$K308,$J308),daily_dates,0),MATCH($B$3,daily_items,0)))</f>
        <v>#N/A</v>
      </c>
      <c r="X308" s="1" t="e">
        <f aca="false">IF(ISBLANK(INDEX(big_daily_table,MATCH(DATE(X$5,$K308,$J308),daily_dates,0),MATCH($B$3,daily_items,0))),NA(),INDEX(big_daily_table,MATCH(DATE(X$5,$K308,$J308),daily_dates,0),MATCH($B$3,daily_items,0)))</f>
        <v>#N/A</v>
      </c>
      <c r="Y308" s="1" t="e">
        <f aca="false">IF(ISBLANK(INDEX(big_daily_table,MATCH(DATE(Y$5,$K308,$J308),daily_dates,0),MATCH($B$3,daily_items,0))),NA(),INDEX(big_daily_table,MATCH(DATE(Y$5,$K308,$J308),daily_dates,0),MATCH($B$3,daily_items,0)))</f>
        <v>#N/A</v>
      </c>
      <c r="Z308" s="1" t="e">
        <f aca="false">IF(ISBLANK(INDEX(big_daily_table,MATCH(DATE(Z$5,$K308,$J308),daily_dates,0),MATCH($B$3,daily_items,0))),NA(),INDEX(big_daily_table,MATCH(DATE(Z$5,$K308,$J308),daily_dates,0),MATCH($B$3,daily_items,0)))</f>
        <v>#N/A</v>
      </c>
      <c r="AA308" s="1" t="n">
        <f aca="true">_xlfn.AGGREGATE(5,6,OFFSET($S$5,H308,0,1,$K$2))</f>
        <v>0</v>
      </c>
      <c r="AB308" s="1" t="n">
        <f aca="true">_xlfn.AGGREGATE(4,6,OFFSET($S$5,H308,0,1,$K$2))</f>
        <v>0</v>
      </c>
      <c r="AC308" s="1" t="n">
        <f aca="false">AB308-AA308</f>
        <v>0</v>
      </c>
      <c r="AD308" s="1" t="e">
        <f aca="true">_xlfn.AGGREGATE(1,6,OFFSET($S$5,H308,0,1,$K$2))</f>
        <v>#DIV/0!</v>
      </c>
    </row>
    <row r="309" customFormat="false" ht="14.25" hidden="false" customHeight="false" outlineLevel="0" collapsed="false">
      <c r="H309" s="1" t="n">
        <f aca="false">H308+1</f>
        <v>304</v>
      </c>
      <c r="I309" s="1" t="n">
        <f aca="false">WEEKDAY('daily graphs'!K309)</f>
        <v>2</v>
      </c>
      <c r="J309" s="1" t="n">
        <f aca="false">DAY(L309)</f>
        <v>28</v>
      </c>
      <c r="K309" s="1" t="n">
        <f aca="false">MONTH(L309)</f>
        <v>10</v>
      </c>
      <c r="L309" s="23" t="n">
        <f aca="false">'daily graphs'!K309 - I309</f>
        <v>36827</v>
      </c>
      <c r="M309" s="24" t="n">
        <f aca="true">IF(TODAY()&lt;DATE($O$5,K309,J309),1000000,-1000000)</f>
        <v>1000000</v>
      </c>
      <c r="N309" s="24" t="e">
        <f aca="false">IF(M309&gt;0,INDEX(big_daily_table,MATCH(DATE(O$5,$K309,$J309),daily_dates,0),MATCH($B$3,daily_items,0)),NA())</f>
        <v>#N/A</v>
      </c>
      <c r="O309" s="1" t="e">
        <f aca="false">IF(M309&lt;0,INDEX(big_daily_table,MATCH(DATE(O$5,$K309,$J309),daily_dates,0),MATCH($B$3,daily_items,0)),NA())</f>
        <v>#N/A</v>
      </c>
      <c r="P309" s="1" t="e">
        <f aca="false">IF(ISBLANK(INDEX(big_daily_table,MATCH(DATE(P$5,$K309,$J309),daily_dates,0),MATCH($B$3,daily_items,0))),NA(),INDEX(big_daily_table,MATCH(DATE(P$5,$K309,$J309),daily_dates,0),MATCH($B$3,daily_items,0)))</f>
        <v>#N/A</v>
      </c>
      <c r="Q309" s="1" t="e">
        <f aca="false">IF(ISBLANK(INDEX(big_daily_table,MATCH(DATE(Q$5,$K309,$J309),daily_dates,0),MATCH($B$3,daily_items,0))),NA(),INDEX(big_daily_table,MATCH(DATE(Q$5,$K309,$J309),daily_dates,0),MATCH($B$3,daily_items,0)))</f>
        <v>#N/A</v>
      </c>
      <c r="R309" s="1" t="e">
        <f aca="false">IF(ISBLANK(INDEX(big_daily_table,MATCH(DATE(R$5,$K309,$J309),daily_dates,0),MATCH($B$3,daily_items,0))),NA(),INDEX(big_daily_table,MATCH(DATE(R$5,$K309,$J309),daily_dates,0),MATCH($B$3,daily_items,0)))</f>
        <v>#N/A</v>
      </c>
      <c r="S309" s="1" t="e">
        <f aca="false">IF(ISBLANK(INDEX(big_daily_table,MATCH(DATE(S$5,$K309,$J309),daily_dates,0),MATCH($B$3,daily_items,0))),NA(),INDEX(big_daily_table,MATCH(DATE(S$5,$K309,$J309),daily_dates,0),MATCH($B$3,daily_items,0)))</f>
        <v>#N/A</v>
      </c>
      <c r="T309" s="1" t="e">
        <f aca="false">IF(ISBLANK(INDEX(big_daily_table,MATCH(DATE(T$5,$K309,$J309),daily_dates,0),MATCH($B$3,daily_items,0))),NA(),INDEX(big_daily_table,MATCH(DATE(T$5,$K309,$J309),daily_dates,0),MATCH($B$3,daily_items,0)))</f>
        <v>#N/A</v>
      </c>
      <c r="U309" s="1" t="e">
        <f aca="false">IF(ISBLANK(INDEX(big_daily_table,MATCH(DATE(U$5,$K309,$J309),daily_dates,0),MATCH($B$3,daily_items,0))),NA(),INDEX(big_daily_table,MATCH(DATE(U$5,$K309,$J309),daily_dates,0),MATCH($B$3,daily_items,0)))</f>
        <v>#N/A</v>
      </c>
      <c r="V309" s="1" t="e">
        <f aca="false">IF(ISBLANK(INDEX(big_daily_table,MATCH(DATE(V$5,$K309,$J309),daily_dates,0),MATCH($B$3,daily_items,0))),NA(),INDEX(big_daily_table,MATCH(DATE(V$5,$K309,$J309),daily_dates,0),MATCH($B$3,daily_items,0)))</f>
        <v>#N/A</v>
      </c>
      <c r="W309" s="1" t="e">
        <f aca="false">IF(ISBLANK(INDEX(big_daily_table,MATCH(DATE(W$5,$K309,$J309),daily_dates,0),MATCH($B$3,daily_items,0))),NA(),INDEX(big_daily_table,MATCH(DATE(W$5,$K309,$J309),daily_dates,0),MATCH($B$3,daily_items,0)))</f>
        <v>#N/A</v>
      </c>
      <c r="X309" s="1" t="e">
        <f aca="false">IF(ISBLANK(INDEX(big_daily_table,MATCH(DATE(X$5,$K309,$J309),daily_dates,0),MATCH($B$3,daily_items,0))),NA(),INDEX(big_daily_table,MATCH(DATE(X$5,$K309,$J309),daily_dates,0),MATCH($B$3,daily_items,0)))</f>
        <v>#N/A</v>
      </c>
      <c r="Y309" s="1" t="e">
        <f aca="false">IF(ISBLANK(INDEX(big_daily_table,MATCH(DATE(Y$5,$K309,$J309),daily_dates,0),MATCH($B$3,daily_items,0))),NA(),INDEX(big_daily_table,MATCH(DATE(Y$5,$K309,$J309),daily_dates,0),MATCH($B$3,daily_items,0)))</f>
        <v>#N/A</v>
      </c>
      <c r="Z309" s="1" t="e">
        <f aca="false">IF(ISBLANK(INDEX(big_daily_table,MATCH(DATE(Z$5,$K309,$J309),daily_dates,0),MATCH($B$3,daily_items,0))),NA(),INDEX(big_daily_table,MATCH(DATE(Z$5,$K309,$J309),daily_dates,0),MATCH($B$3,daily_items,0)))</f>
        <v>#N/A</v>
      </c>
      <c r="AA309" s="1" t="n">
        <f aca="true">_xlfn.AGGREGATE(5,6,OFFSET($S$5,H309,0,1,$K$2))</f>
        <v>0</v>
      </c>
      <c r="AB309" s="1" t="n">
        <f aca="true">_xlfn.AGGREGATE(4,6,OFFSET($S$5,H309,0,1,$K$2))</f>
        <v>0</v>
      </c>
      <c r="AC309" s="1" t="n">
        <f aca="false">AB309-AA309</f>
        <v>0</v>
      </c>
      <c r="AD309" s="1" t="e">
        <f aca="true">_xlfn.AGGREGATE(1,6,OFFSET($S$5,H309,0,1,$K$2))</f>
        <v>#DIV/0!</v>
      </c>
    </row>
    <row r="310" customFormat="false" ht="14.25" hidden="false" customHeight="false" outlineLevel="0" collapsed="false">
      <c r="H310" s="1" t="n">
        <f aca="false">H309+1</f>
        <v>305</v>
      </c>
      <c r="I310" s="1" t="n">
        <f aca="false">WEEKDAY('daily graphs'!K310)</f>
        <v>3</v>
      </c>
      <c r="J310" s="1" t="n">
        <f aca="false">DAY(L310)</f>
        <v>28</v>
      </c>
      <c r="K310" s="1" t="n">
        <f aca="false">MONTH(L310)</f>
        <v>10</v>
      </c>
      <c r="L310" s="23" t="n">
        <f aca="false">'daily graphs'!K310 - I310</f>
        <v>36827</v>
      </c>
      <c r="M310" s="24" t="n">
        <f aca="true">IF(TODAY()&lt;DATE($O$5,K310,J310),1000000,-1000000)</f>
        <v>1000000</v>
      </c>
      <c r="N310" s="24" t="e">
        <f aca="false">IF(M310&gt;0,INDEX(big_daily_table,MATCH(DATE(O$5,$K310,$J310),daily_dates,0),MATCH($B$3,daily_items,0)),NA())</f>
        <v>#N/A</v>
      </c>
      <c r="O310" s="1" t="e">
        <f aca="false">IF(M310&lt;0,INDEX(big_daily_table,MATCH(DATE(O$5,$K310,$J310),daily_dates,0),MATCH($B$3,daily_items,0)),NA())</f>
        <v>#N/A</v>
      </c>
      <c r="P310" s="1" t="e">
        <f aca="false">IF(ISBLANK(INDEX(big_daily_table,MATCH(DATE(P$5,$K310,$J310),daily_dates,0),MATCH($B$3,daily_items,0))),NA(),INDEX(big_daily_table,MATCH(DATE(P$5,$K310,$J310),daily_dates,0),MATCH($B$3,daily_items,0)))</f>
        <v>#N/A</v>
      </c>
      <c r="Q310" s="1" t="e">
        <f aca="false">IF(ISBLANK(INDEX(big_daily_table,MATCH(DATE(Q$5,$K310,$J310),daily_dates,0),MATCH($B$3,daily_items,0))),NA(),INDEX(big_daily_table,MATCH(DATE(Q$5,$K310,$J310),daily_dates,0),MATCH($B$3,daily_items,0)))</f>
        <v>#N/A</v>
      </c>
      <c r="R310" s="1" t="e">
        <f aca="false">IF(ISBLANK(INDEX(big_daily_table,MATCH(DATE(R$5,$K310,$J310),daily_dates,0),MATCH($B$3,daily_items,0))),NA(),INDEX(big_daily_table,MATCH(DATE(R$5,$K310,$J310),daily_dates,0),MATCH($B$3,daily_items,0)))</f>
        <v>#N/A</v>
      </c>
      <c r="S310" s="1" t="e">
        <f aca="false">IF(ISBLANK(INDEX(big_daily_table,MATCH(DATE(S$5,$K310,$J310),daily_dates,0),MATCH($B$3,daily_items,0))),NA(),INDEX(big_daily_table,MATCH(DATE(S$5,$K310,$J310),daily_dates,0),MATCH($B$3,daily_items,0)))</f>
        <v>#N/A</v>
      </c>
      <c r="T310" s="1" t="e">
        <f aca="false">IF(ISBLANK(INDEX(big_daily_table,MATCH(DATE(T$5,$K310,$J310),daily_dates,0),MATCH($B$3,daily_items,0))),NA(),INDEX(big_daily_table,MATCH(DATE(T$5,$K310,$J310),daily_dates,0),MATCH($B$3,daily_items,0)))</f>
        <v>#N/A</v>
      </c>
      <c r="U310" s="1" t="e">
        <f aca="false">IF(ISBLANK(INDEX(big_daily_table,MATCH(DATE(U$5,$K310,$J310),daily_dates,0),MATCH($B$3,daily_items,0))),NA(),INDEX(big_daily_table,MATCH(DATE(U$5,$K310,$J310),daily_dates,0),MATCH($B$3,daily_items,0)))</f>
        <v>#N/A</v>
      </c>
      <c r="V310" s="1" t="e">
        <f aca="false">IF(ISBLANK(INDEX(big_daily_table,MATCH(DATE(V$5,$K310,$J310),daily_dates,0),MATCH($B$3,daily_items,0))),NA(),INDEX(big_daily_table,MATCH(DATE(V$5,$K310,$J310),daily_dates,0),MATCH($B$3,daily_items,0)))</f>
        <v>#N/A</v>
      </c>
      <c r="W310" s="1" t="e">
        <f aca="false">IF(ISBLANK(INDEX(big_daily_table,MATCH(DATE(W$5,$K310,$J310),daily_dates,0),MATCH($B$3,daily_items,0))),NA(),INDEX(big_daily_table,MATCH(DATE(W$5,$K310,$J310),daily_dates,0),MATCH($B$3,daily_items,0)))</f>
        <v>#N/A</v>
      </c>
      <c r="X310" s="1" t="e">
        <f aca="false">IF(ISBLANK(INDEX(big_daily_table,MATCH(DATE(X$5,$K310,$J310),daily_dates,0),MATCH($B$3,daily_items,0))),NA(),INDEX(big_daily_table,MATCH(DATE(X$5,$K310,$J310),daily_dates,0),MATCH($B$3,daily_items,0)))</f>
        <v>#N/A</v>
      </c>
      <c r="Y310" s="1" t="e">
        <f aca="false">IF(ISBLANK(INDEX(big_daily_table,MATCH(DATE(Y$5,$K310,$J310),daily_dates,0),MATCH($B$3,daily_items,0))),NA(),INDEX(big_daily_table,MATCH(DATE(Y$5,$K310,$J310),daily_dates,0),MATCH($B$3,daily_items,0)))</f>
        <v>#N/A</v>
      </c>
      <c r="Z310" s="1" t="e">
        <f aca="false">IF(ISBLANK(INDEX(big_daily_table,MATCH(DATE(Z$5,$K310,$J310),daily_dates,0),MATCH($B$3,daily_items,0))),NA(),INDEX(big_daily_table,MATCH(DATE(Z$5,$K310,$J310),daily_dates,0),MATCH($B$3,daily_items,0)))</f>
        <v>#N/A</v>
      </c>
      <c r="AA310" s="1" t="n">
        <f aca="true">_xlfn.AGGREGATE(5,6,OFFSET($S$5,H310,0,1,$K$2))</f>
        <v>0</v>
      </c>
      <c r="AB310" s="1" t="n">
        <f aca="true">_xlfn.AGGREGATE(4,6,OFFSET($S$5,H310,0,1,$K$2))</f>
        <v>0</v>
      </c>
      <c r="AC310" s="1" t="n">
        <f aca="false">AB310-AA310</f>
        <v>0</v>
      </c>
      <c r="AD310" s="1" t="e">
        <f aca="true">_xlfn.AGGREGATE(1,6,OFFSET($S$5,H310,0,1,$K$2))</f>
        <v>#DIV/0!</v>
      </c>
    </row>
    <row r="311" customFormat="false" ht="14.25" hidden="false" customHeight="false" outlineLevel="0" collapsed="false">
      <c r="H311" s="1" t="n">
        <f aca="false">H310+1</f>
        <v>306</v>
      </c>
      <c r="I311" s="1" t="n">
        <f aca="false">WEEKDAY('daily graphs'!K311)</f>
        <v>4</v>
      </c>
      <c r="J311" s="1" t="n">
        <f aca="false">DAY(L311)</f>
        <v>28</v>
      </c>
      <c r="K311" s="1" t="n">
        <f aca="false">MONTH(L311)</f>
        <v>10</v>
      </c>
      <c r="L311" s="23" t="n">
        <f aca="false">'daily graphs'!K311 - I311</f>
        <v>36827</v>
      </c>
      <c r="M311" s="24" t="n">
        <f aca="true">IF(TODAY()&lt;DATE($O$5,K311,J311),1000000,-1000000)</f>
        <v>1000000</v>
      </c>
      <c r="N311" s="24" t="e">
        <f aca="false">IF(M311&gt;0,INDEX(big_daily_table,MATCH(DATE(O$5,$K311,$J311),daily_dates,0),MATCH($B$3,daily_items,0)),NA())</f>
        <v>#N/A</v>
      </c>
      <c r="O311" s="1" t="e">
        <f aca="false">IF(M311&lt;0,INDEX(big_daily_table,MATCH(DATE(O$5,$K311,$J311),daily_dates,0),MATCH($B$3,daily_items,0)),NA())</f>
        <v>#N/A</v>
      </c>
      <c r="P311" s="1" t="e">
        <f aca="false">IF(ISBLANK(INDEX(big_daily_table,MATCH(DATE(P$5,$K311,$J311),daily_dates,0),MATCH($B$3,daily_items,0))),NA(),INDEX(big_daily_table,MATCH(DATE(P$5,$K311,$J311),daily_dates,0),MATCH($B$3,daily_items,0)))</f>
        <v>#N/A</v>
      </c>
      <c r="Q311" s="1" t="e">
        <f aca="false">IF(ISBLANK(INDEX(big_daily_table,MATCH(DATE(Q$5,$K311,$J311),daily_dates,0),MATCH($B$3,daily_items,0))),NA(),INDEX(big_daily_table,MATCH(DATE(Q$5,$K311,$J311),daily_dates,0),MATCH($B$3,daily_items,0)))</f>
        <v>#N/A</v>
      </c>
      <c r="R311" s="1" t="e">
        <f aca="false">IF(ISBLANK(INDEX(big_daily_table,MATCH(DATE(R$5,$K311,$J311),daily_dates,0),MATCH($B$3,daily_items,0))),NA(),INDEX(big_daily_table,MATCH(DATE(R$5,$K311,$J311),daily_dates,0),MATCH($B$3,daily_items,0)))</f>
        <v>#N/A</v>
      </c>
      <c r="S311" s="1" t="e">
        <f aca="false">IF(ISBLANK(INDEX(big_daily_table,MATCH(DATE(S$5,$K311,$J311),daily_dates,0),MATCH($B$3,daily_items,0))),NA(),INDEX(big_daily_table,MATCH(DATE(S$5,$K311,$J311),daily_dates,0),MATCH($B$3,daily_items,0)))</f>
        <v>#N/A</v>
      </c>
      <c r="T311" s="1" t="e">
        <f aca="false">IF(ISBLANK(INDEX(big_daily_table,MATCH(DATE(T$5,$K311,$J311),daily_dates,0),MATCH($B$3,daily_items,0))),NA(),INDEX(big_daily_table,MATCH(DATE(T$5,$K311,$J311),daily_dates,0),MATCH($B$3,daily_items,0)))</f>
        <v>#N/A</v>
      </c>
      <c r="U311" s="1" t="e">
        <f aca="false">IF(ISBLANK(INDEX(big_daily_table,MATCH(DATE(U$5,$K311,$J311),daily_dates,0),MATCH($B$3,daily_items,0))),NA(),INDEX(big_daily_table,MATCH(DATE(U$5,$K311,$J311),daily_dates,0),MATCH($B$3,daily_items,0)))</f>
        <v>#N/A</v>
      </c>
      <c r="V311" s="1" t="e">
        <f aca="false">IF(ISBLANK(INDEX(big_daily_table,MATCH(DATE(V$5,$K311,$J311),daily_dates,0),MATCH($B$3,daily_items,0))),NA(),INDEX(big_daily_table,MATCH(DATE(V$5,$K311,$J311),daily_dates,0),MATCH($B$3,daily_items,0)))</f>
        <v>#N/A</v>
      </c>
      <c r="W311" s="1" t="e">
        <f aca="false">IF(ISBLANK(INDEX(big_daily_table,MATCH(DATE(W$5,$K311,$J311),daily_dates,0),MATCH($B$3,daily_items,0))),NA(),INDEX(big_daily_table,MATCH(DATE(W$5,$K311,$J311),daily_dates,0),MATCH($B$3,daily_items,0)))</f>
        <v>#N/A</v>
      </c>
      <c r="X311" s="1" t="e">
        <f aca="false">IF(ISBLANK(INDEX(big_daily_table,MATCH(DATE(X$5,$K311,$J311),daily_dates,0),MATCH($B$3,daily_items,0))),NA(),INDEX(big_daily_table,MATCH(DATE(X$5,$K311,$J311),daily_dates,0),MATCH($B$3,daily_items,0)))</f>
        <v>#N/A</v>
      </c>
      <c r="Y311" s="1" t="e">
        <f aca="false">IF(ISBLANK(INDEX(big_daily_table,MATCH(DATE(Y$5,$K311,$J311),daily_dates,0),MATCH($B$3,daily_items,0))),NA(),INDEX(big_daily_table,MATCH(DATE(Y$5,$K311,$J311),daily_dates,0),MATCH($B$3,daily_items,0)))</f>
        <v>#N/A</v>
      </c>
      <c r="Z311" s="1" t="e">
        <f aca="false">IF(ISBLANK(INDEX(big_daily_table,MATCH(DATE(Z$5,$K311,$J311),daily_dates,0),MATCH($B$3,daily_items,0))),NA(),INDEX(big_daily_table,MATCH(DATE(Z$5,$K311,$J311),daily_dates,0),MATCH($B$3,daily_items,0)))</f>
        <v>#N/A</v>
      </c>
      <c r="AA311" s="1" t="n">
        <f aca="true">_xlfn.AGGREGATE(5,6,OFFSET($S$5,H311,0,1,$K$2))</f>
        <v>0</v>
      </c>
      <c r="AB311" s="1" t="n">
        <f aca="true">_xlfn.AGGREGATE(4,6,OFFSET($S$5,H311,0,1,$K$2))</f>
        <v>0</v>
      </c>
      <c r="AC311" s="1" t="n">
        <f aca="false">AB311-AA311</f>
        <v>0</v>
      </c>
      <c r="AD311" s="1" t="e">
        <f aca="true">_xlfn.AGGREGATE(1,6,OFFSET($S$5,H311,0,1,$K$2))</f>
        <v>#DIV/0!</v>
      </c>
    </row>
    <row r="312" customFormat="false" ht="14.25" hidden="false" customHeight="false" outlineLevel="0" collapsed="false">
      <c r="H312" s="1" t="n">
        <f aca="false">H311+1</f>
        <v>307</v>
      </c>
      <c r="I312" s="1" t="n">
        <f aca="false">WEEKDAY('daily graphs'!K312)</f>
        <v>5</v>
      </c>
      <c r="J312" s="1" t="n">
        <f aca="false">DAY(L312)</f>
        <v>28</v>
      </c>
      <c r="K312" s="1" t="n">
        <f aca="false">MONTH(L312)</f>
        <v>10</v>
      </c>
      <c r="L312" s="23" t="n">
        <f aca="false">'daily graphs'!K312 - I312</f>
        <v>36827</v>
      </c>
      <c r="M312" s="24" t="n">
        <f aca="true">IF(TODAY()&lt;DATE($O$5,K312,J312),1000000,-1000000)</f>
        <v>1000000</v>
      </c>
      <c r="N312" s="24" t="e">
        <f aca="false">IF(M312&gt;0,INDEX(big_daily_table,MATCH(DATE(O$5,$K312,$J312),daily_dates,0),MATCH($B$3,daily_items,0)),NA())</f>
        <v>#N/A</v>
      </c>
      <c r="O312" s="1" t="e">
        <f aca="false">IF(M312&lt;0,INDEX(big_daily_table,MATCH(DATE(O$5,$K312,$J312),daily_dates,0),MATCH($B$3,daily_items,0)),NA())</f>
        <v>#N/A</v>
      </c>
      <c r="P312" s="1" t="e">
        <f aca="false">IF(ISBLANK(INDEX(big_daily_table,MATCH(DATE(P$5,$K312,$J312),daily_dates,0),MATCH($B$3,daily_items,0))),NA(),INDEX(big_daily_table,MATCH(DATE(P$5,$K312,$J312),daily_dates,0),MATCH($B$3,daily_items,0)))</f>
        <v>#N/A</v>
      </c>
      <c r="Q312" s="1" t="e">
        <f aca="false">IF(ISBLANK(INDEX(big_daily_table,MATCH(DATE(Q$5,$K312,$J312),daily_dates,0),MATCH($B$3,daily_items,0))),NA(),INDEX(big_daily_table,MATCH(DATE(Q$5,$K312,$J312),daily_dates,0),MATCH($B$3,daily_items,0)))</f>
        <v>#N/A</v>
      </c>
      <c r="R312" s="1" t="e">
        <f aca="false">IF(ISBLANK(INDEX(big_daily_table,MATCH(DATE(R$5,$K312,$J312),daily_dates,0),MATCH($B$3,daily_items,0))),NA(),INDEX(big_daily_table,MATCH(DATE(R$5,$K312,$J312),daily_dates,0),MATCH($B$3,daily_items,0)))</f>
        <v>#N/A</v>
      </c>
      <c r="S312" s="1" t="e">
        <f aca="false">IF(ISBLANK(INDEX(big_daily_table,MATCH(DATE(S$5,$K312,$J312),daily_dates,0),MATCH($B$3,daily_items,0))),NA(),INDEX(big_daily_table,MATCH(DATE(S$5,$K312,$J312),daily_dates,0),MATCH($B$3,daily_items,0)))</f>
        <v>#N/A</v>
      </c>
      <c r="T312" s="1" t="e">
        <f aca="false">IF(ISBLANK(INDEX(big_daily_table,MATCH(DATE(T$5,$K312,$J312),daily_dates,0),MATCH($B$3,daily_items,0))),NA(),INDEX(big_daily_table,MATCH(DATE(T$5,$K312,$J312),daily_dates,0),MATCH($B$3,daily_items,0)))</f>
        <v>#N/A</v>
      </c>
      <c r="U312" s="1" t="e">
        <f aca="false">IF(ISBLANK(INDEX(big_daily_table,MATCH(DATE(U$5,$K312,$J312),daily_dates,0),MATCH($B$3,daily_items,0))),NA(),INDEX(big_daily_table,MATCH(DATE(U$5,$K312,$J312),daily_dates,0),MATCH($B$3,daily_items,0)))</f>
        <v>#N/A</v>
      </c>
      <c r="V312" s="1" t="e">
        <f aca="false">IF(ISBLANK(INDEX(big_daily_table,MATCH(DATE(V$5,$K312,$J312),daily_dates,0),MATCH($B$3,daily_items,0))),NA(),INDEX(big_daily_table,MATCH(DATE(V$5,$K312,$J312),daily_dates,0),MATCH($B$3,daily_items,0)))</f>
        <v>#N/A</v>
      </c>
      <c r="W312" s="1" t="e">
        <f aca="false">IF(ISBLANK(INDEX(big_daily_table,MATCH(DATE(W$5,$K312,$J312),daily_dates,0),MATCH($B$3,daily_items,0))),NA(),INDEX(big_daily_table,MATCH(DATE(W$5,$K312,$J312),daily_dates,0),MATCH($B$3,daily_items,0)))</f>
        <v>#N/A</v>
      </c>
      <c r="X312" s="1" t="e">
        <f aca="false">IF(ISBLANK(INDEX(big_daily_table,MATCH(DATE(X$5,$K312,$J312),daily_dates,0),MATCH($B$3,daily_items,0))),NA(),INDEX(big_daily_table,MATCH(DATE(X$5,$K312,$J312),daily_dates,0),MATCH($B$3,daily_items,0)))</f>
        <v>#N/A</v>
      </c>
      <c r="Y312" s="1" t="e">
        <f aca="false">IF(ISBLANK(INDEX(big_daily_table,MATCH(DATE(Y$5,$K312,$J312),daily_dates,0),MATCH($B$3,daily_items,0))),NA(),INDEX(big_daily_table,MATCH(DATE(Y$5,$K312,$J312),daily_dates,0),MATCH($B$3,daily_items,0)))</f>
        <v>#N/A</v>
      </c>
      <c r="Z312" s="1" t="e">
        <f aca="false">IF(ISBLANK(INDEX(big_daily_table,MATCH(DATE(Z$5,$K312,$J312),daily_dates,0),MATCH($B$3,daily_items,0))),NA(),INDEX(big_daily_table,MATCH(DATE(Z$5,$K312,$J312),daily_dates,0),MATCH($B$3,daily_items,0)))</f>
        <v>#N/A</v>
      </c>
      <c r="AA312" s="1" t="n">
        <f aca="true">_xlfn.AGGREGATE(5,6,OFFSET($S$5,H312,0,1,$K$2))</f>
        <v>0</v>
      </c>
      <c r="AB312" s="1" t="n">
        <f aca="true">_xlfn.AGGREGATE(4,6,OFFSET($S$5,H312,0,1,$K$2))</f>
        <v>0</v>
      </c>
      <c r="AC312" s="1" t="n">
        <f aca="false">AB312-AA312</f>
        <v>0</v>
      </c>
      <c r="AD312" s="1" t="e">
        <f aca="true">_xlfn.AGGREGATE(1,6,OFFSET($S$5,H312,0,1,$K$2))</f>
        <v>#DIV/0!</v>
      </c>
    </row>
    <row r="313" customFormat="false" ht="14.25" hidden="false" customHeight="false" outlineLevel="0" collapsed="false">
      <c r="H313" s="1" t="n">
        <f aca="false">H312+1</f>
        <v>308</v>
      </c>
      <c r="I313" s="1" t="n">
        <f aca="false">WEEKDAY('daily graphs'!K313)</f>
        <v>6</v>
      </c>
      <c r="J313" s="1" t="n">
        <f aca="false">DAY(L313)</f>
        <v>28</v>
      </c>
      <c r="K313" s="1" t="n">
        <f aca="false">MONTH(L313)</f>
        <v>10</v>
      </c>
      <c r="L313" s="23" t="n">
        <f aca="false">'daily graphs'!K313 - I313</f>
        <v>36827</v>
      </c>
      <c r="M313" s="24" t="n">
        <f aca="true">IF(TODAY()&lt;DATE($O$5,K313,J313),1000000,-1000000)</f>
        <v>1000000</v>
      </c>
      <c r="N313" s="24" t="e">
        <f aca="false">IF(M313&gt;0,INDEX(big_daily_table,MATCH(DATE(O$5,$K313,$J313),daily_dates,0),MATCH($B$3,daily_items,0)),NA())</f>
        <v>#N/A</v>
      </c>
      <c r="O313" s="1" t="e">
        <f aca="false">IF(M313&lt;0,INDEX(big_daily_table,MATCH(DATE(O$5,$K313,$J313),daily_dates,0),MATCH($B$3,daily_items,0)),NA())</f>
        <v>#N/A</v>
      </c>
      <c r="P313" s="1" t="e">
        <f aca="false">IF(ISBLANK(INDEX(big_daily_table,MATCH(DATE(P$5,$K313,$J313),daily_dates,0),MATCH($B$3,daily_items,0))),NA(),INDEX(big_daily_table,MATCH(DATE(P$5,$K313,$J313),daily_dates,0),MATCH($B$3,daily_items,0)))</f>
        <v>#N/A</v>
      </c>
      <c r="Q313" s="1" t="e">
        <f aca="false">IF(ISBLANK(INDEX(big_daily_table,MATCH(DATE(Q$5,$K313,$J313),daily_dates,0),MATCH($B$3,daily_items,0))),NA(),INDEX(big_daily_table,MATCH(DATE(Q$5,$K313,$J313),daily_dates,0),MATCH($B$3,daily_items,0)))</f>
        <v>#N/A</v>
      </c>
      <c r="R313" s="1" t="e">
        <f aca="false">IF(ISBLANK(INDEX(big_daily_table,MATCH(DATE(R$5,$K313,$J313),daily_dates,0),MATCH($B$3,daily_items,0))),NA(),INDEX(big_daily_table,MATCH(DATE(R$5,$K313,$J313),daily_dates,0),MATCH($B$3,daily_items,0)))</f>
        <v>#N/A</v>
      </c>
      <c r="S313" s="1" t="e">
        <f aca="false">IF(ISBLANK(INDEX(big_daily_table,MATCH(DATE(S$5,$K313,$J313),daily_dates,0),MATCH($B$3,daily_items,0))),NA(),INDEX(big_daily_table,MATCH(DATE(S$5,$K313,$J313),daily_dates,0),MATCH($B$3,daily_items,0)))</f>
        <v>#N/A</v>
      </c>
      <c r="T313" s="1" t="e">
        <f aca="false">IF(ISBLANK(INDEX(big_daily_table,MATCH(DATE(T$5,$K313,$J313),daily_dates,0),MATCH($B$3,daily_items,0))),NA(),INDEX(big_daily_table,MATCH(DATE(T$5,$K313,$J313),daily_dates,0),MATCH($B$3,daily_items,0)))</f>
        <v>#N/A</v>
      </c>
      <c r="U313" s="1" t="e">
        <f aca="false">IF(ISBLANK(INDEX(big_daily_table,MATCH(DATE(U$5,$K313,$J313),daily_dates,0),MATCH($B$3,daily_items,0))),NA(),INDEX(big_daily_table,MATCH(DATE(U$5,$K313,$J313),daily_dates,0),MATCH($B$3,daily_items,0)))</f>
        <v>#N/A</v>
      </c>
      <c r="V313" s="1" t="e">
        <f aca="false">IF(ISBLANK(INDEX(big_daily_table,MATCH(DATE(V$5,$K313,$J313),daily_dates,0),MATCH($B$3,daily_items,0))),NA(),INDEX(big_daily_table,MATCH(DATE(V$5,$K313,$J313),daily_dates,0),MATCH($B$3,daily_items,0)))</f>
        <v>#N/A</v>
      </c>
      <c r="W313" s="1" t="e">
        <f aca="false">IF(ISBLANK(INDEX(big_daily_table,MATCH(DATE(W$5,$K313,$J313),daily_dates,0),MATCH($B$3,daily_items,0))),NA(),INDEX(big_daily_table,MATCH(DATE(W$5,$K313,$J313),daily_dates,0),MATCH($B$3,daily_items,0)))</f>
        <v>#N/A</v>
      </c>
      <c r="X313" s="1" t="e">
        <f aca="false">IF(ISBLANK(INDEX(big_daily_table,MATCH(DATE(X$5,$K313,$J313),daily_dates,0),MATCH($B$3,daily_items,0))),NA(),INDEX(big_daily_table,MATCH(DATE(X$5,$K313,$J313),daily_dates,0),MATCH($B$3,daily_items,0)))</f>
        <v>#N/A</v>
      </c>
      <c r="Y313" s="1" t="e">
        <f aca="false">IF(ISBLANK(INDEX(big_daily_table,MATCH(DATE(Y$5,$K313,$J313),daily_dates,0),MATCH($B$3,daily_items,0))),NA(),INDEX(big_daily_table,MATCH(DATE(Y$5,$K313,$J313),daily_dates,0),MATCH($B$3,daily_items,0)))</f>
        <v>#N/A</v>
      </c>
      <c r="Z313" s="1" t="e">
        <f aca="false">IF(ISBLANK(INDEX(big_daily_table,MATCH(DATE(Z$5,$K313,$J313),daily_dates,0),MATCH($B$3,daily_items,0))),NA(),INDEX(big_daily_table,MATCH(DATE(Z$5,$K313,$J313),daily_dates,0),MATCH($B$3,daily_items,0)))</f>
        <v>#N/A</v>
      </c>
      <c r="AA313" s="1" t="n">
        <f aca="true">_xlfn.AGGREGATE(5,6,OFFSET($S$5,H313,0,1,$K$2))</f>
        <v>0</v>
      </c>
      <c r="AB313" s="1" t="n">
        <f aca="true">_xlfn.AGGREGATE(4,6,OFFSET($S$5,H313,0,1,$K$2))</f>
        <v>0</v>
      </c>
      <c r="AC313" s="1" t="n">
        <f aca="false">AB313-AA313</f>
        <v>0</v>
      </c>
      <c r="AD313" s="1" t="e">
        <f aca="true">_xlfn.AGGREGATE(1,6,OFFSET($S$5,H313,0,1,$K$2))</f>
        <v>#DIV/0!</v>
      </c>
    </row>
    <row r="314" customFormat="false" ht="14.25" hidden="false" customHeight="false" outlineLevel="0" collapsed="false">
      <c r="H314" s="1" t="n">
        <f aca="false">H313+1</f>
        <v>309</v>
      </c>
      <c r="I314" s="1" t="n">
        <f aca="false">WEEKDAY('daily graphs'!K314)</f>
        <v>7</v>
      </c>
      <c r="J314" s="1" t="n">
        <f aca="false">DAY(L314)</f>
        <v>28</v>
      </c>
      <c r="K314" s="1" t="n">
        <f aca="false">MONTH(L314)</f>
        <v>10</v>
      </c>
      <c r="L314" s="23" t="n">
        <f aca="false">'daily graphs'!K314 - I314</f>
        <v>36827</v>
      </c>
      <c r="M314" s="24" t="n">
        <f aca="true">IF(TODAY()&lt;DATE($O$5,K314,J314),1000000,-1000000)</f>
        <v>1000000</v>
      </c>
      <c r="N314" s="24" t="e">
        <f aca="false">IF(M314&gt;0,INDEX(big_daily_table,MATCH(DATE(O$5,$K314,$J314),daily_dates,0),MATCH($B$3,daily_items,0)),NA())</f>
        <v>#N/A</v>
      </c>
      <c r="O314" s="1" t="e">
        <f aca="false">IF(M314&lt;0,INDEX(big_daily_table,MATCH(DATE(O$5,$K314,$J314),daily_dates,0),MATCH($B$3,daily_items,0)),NA())</f>
        <v>#N/A</v>
      </c>
      <c r="P314" s="1" t="e">
        <f aca="false">IF(ISBLANK(INDEX(big_daily_table,MATCH(DATE(P$5,$K314,$J314),daily_dates,0),MATCH($B$3,daily_items,0))),NA(),INDEX(big_daily_table,MATCH(DATE(P$5,$K314,$J314),daily_dates,0),MATCH($B$3,daily_items,0)))</f>
        <v>#N/A</v>
      </c>
      <c r="Q314" s="1" t="e">
        <f aca="false">IF(ISBLANK(INDEX(big_daily_table,MATCH(DATE(Q$5,$K314,$J314),daily_dates,0),MATCH($B$3,daily_items,0))),NA(),INDEX(big_daily_table,MATCH(DATE(Q$5,$K314,$J314),daily_dates,0),MATCH($B$3,daily_items,0)))</f>
        <v>#N/A</v>
      </c>
      <c r="R314" s="1" t="e">
        <f aca="false">IF(ISBLANK(INDEX(big_daily_table,MATCH(DATE(R$5,$K314,$J314),daily_dates,0),MATCH($B$3,daily_items,0))),NA(),INDEX(big_daily_table,MATCH(DATE(R$5,$K314,$J314),daily_dates,0),MATCH($B$3,daily_items,0)))</f>
        <v>#N/A</v>
      </c>
      <c r="S314" s="1" t="e">
        <f aca="false">IF(ISBLANK(INDEX(big_daily_table,MATCH(DATE(S$5,$K314,$J314),daily_dates,0),MATCH($B$3,daily_items,0))),NA(),INDEX(big_daily_table,MATCH(DATE(S$5,$K314,$J314),daily_dates,0),MATCH($B$3,daily_items,0)))</f>
        <v>#N/A</v>
      </c>
      <c r="T314" s="1" t="e">
        <f aca="false">IF(ISBLANK(INDEX(big_daily_table,MATCH(DATE(T$5,$K314,$J314),daily_dates,0),MATCH($B$3,daily_items,0))),NA(),INDEX(big_daily_table,MATCH(DATE(T$5,$K314,$J314),daily_dates,0),MATCH($B$3,daily_items,0)))</f>
        <v>#N/A</v>
      </c>
      <c r="U314" s="1" t="e">
        <f aca="false">IF(ISBLANK(INDEX(big_daily_table,MATCH(DATE(U$5,$K314,$J314),daily_dates,0),MATCH($B$3,daily_items,0))),NA(),INDEX(big_daily_table,MATCH(DATE(U$5,$K314,$J314),daily_dates,0),MATCH($B$3,daily_items,0)))</f>
        <v>#N/A</v>
      </c>
      <c r="V314" s="1" t="e">
        <f aca="false">IF(ISBLANK(INDEX(big_daily_table,MATCH(DATE(V$5,$K314,$J314),daily_dates,0),MATCH($B$3,daily_items,0))),NA(),INDEX(big_daily_table,MATCH(DATE(V$5,$K314,$J314),daily_dates,0),MATCH($B$3,daily_items,0)))</f>
        <v>#N/A</v>
      </c>
      <c r="W314" s="1" t="e">
        <f aca="false">IF(ISBLANK(INDEX(big_daily_table,MATCH(DATE(W$5,$K314,$J314),daily_dates,0),MATCH($B$3,daily_items,0))),NA(),INDEX(big_daily_table,MATCH(DATE(W$5,$K314,$J314),daily_dates,0),MATCH($B$3,daily_items,0)))</f>
        <v>#N/A</v>
      </c>
      <c r="X314" s="1" t="e">
        <f aca="false">IF(ISBLANK(INDEX(big_daily_table,MATCH(DATE(X$5,$K314,$J314),daily_dates,0),MATCH($B$3,daily_items,0))),NA(),INDEX(big_daily_table,MATCH(DATE(X$5,$K314,$J314),daily_dates,0),MATCH($B$3,daily_items,0)))</f>
        <v>#N/A</v>
      </c>
      <c r="Y314" s="1" t="e">
        <f aca="false">IF(ISBLANK(INDEX(big_daily_table,MATCH(DATE(Y$5,$K314,$J314),daily_dates,0),MATCH($B$3,daily_items,0))),NA(),INDEX(big_daily_table,MATCH(DATE(Y$5,$K314,$J314),daily_dates,0),MATCH($B$3,daily_items,0)))</f>
        <v>#N/A</v>
      </c>
      <c r="Z314" s="1" t="e">
        <f aca="false">IF(ISBLANK(INDEX(big_daily_table,MATCH(DATE(Z$5,$K314,$J314),daily_dates,0),MATCH($B$3,daily_items,0))),NA(),INDEX(big_daily_table,MATCH(DATE(Z$5,$K314,$J314),daily_dates,0),MATCH($B$3,daily_items,0)))</f>
        <v>#N/A</v>
      </c>
      <c r="AA314" s="1" t="n">
        <f aca="true">_xlfn.AGGREGATE(5,6,OFFSET($S$5,H314,0,1,$K$2))</f>
        <v>0</v>
      </c>
      <c r="AB314" s="1" t="n">
        <f aca="true">_xlfn.AGGREGATE(4,6,OFFSET($S$5,H314,0,1,$K$2))</f>
        <v>0</v>
      </c>
      <c r="AC314" s="1" t="n">
        <f aca="false">AB314-AA314</f>
        <v>0</v>
      </c>
      <c r="AD314" s="1" t="e">
        <f aca="true">_xlfn.AGGREGATE(1,6,OFFSET($S$5,H314,0,1,$K$2))</f>
        <v>#DIV/0!</v>
      </c>
    </row>
    <row r="315" customFormat="false" ht="14.25" hidden="false" customHeight="false" outlineLevel="0" collapsed="false">
      <c r="H315" s="1" t="n">
        <f aca="false">H314+1</f>
        <v>310</v>
      </c>
      <c r="I315" s="1" t="n">
        <f aca="false">WEEKDAY('daily graphs'!K315)</f>
        <v>1</v>
      </c>
      <c r="J315" s="1" t="n">
        <f aca="false">DAY(L315)</f>
        <v>4</v>
      </c>
      <c r="K315" s="1" t="n">
        <f aca="false">MONTH(L315)</f>
        <v>11</v>
      </c>
      <c r="L315" s="23" t="n">
        <f aca="false">'daily graphs'!K315 - I315</f>
        <v>36834</v>
      </c>
      <c r="M315" s="24" t="n">
        <f aca="true">IF(TODAY()&lt;DATE($O$5,K315,J315),1000000,-1000000)</f>
        <v>1000000</v>
      </c>
      <c r="N315" s="24" t="e">
        <f aca="false">IF(M315&gt;0,INDEX(big_daily_table,MATCH(DATE(O$5,$K315,$J315),daily_dates,0),MATCH($B$3,daily_items,0)),NA())</f>
        <v>#N/A</v>
      </c>
      <c r="O315" s="1" t="e">
        <f aca="false">IF(M315&lt;0,INDEX(big_daily_table,MATCH(DATE(O$5,$K315,$J315),daily_dates,0),MATCH($B$3,daily_items,0)),NA())</f>
        <v>#N/A</v>
      </c>
      <c r="P315" s="1" t="e">
        <f aca="false">IF(ISBLANK(INDEX(big_daily_table,MATCH(DATE(P$5,$K315,$J315),daily_dates,0),MATCH($B$3,daily_items,0))),NA(),INDEX(big_daily_table,MATCH(DATE(P$5,$K315,$J315),daily_dates,0),MATCH($B$3,daily_items,0)))</f>
        <v>#N/A</v>
      </c>
      <c r="Q315" s="1" t="e">
        <f aca="false">IF(ISBLANK(INDEX(big_daily_table,MATCH(DATE(Q$5,$K315,$J315),daily_dates,0),MATCH($B$3,daily_items,0))),NA(),INDEX(big_daily_table,MATCH(DATE(Q$5,$K315,$J315),daily_dates,0),MATCH($B$3,daily_items,0)))</f>
        <v>#N/A</v>
      </c>
      <c r="R315" s="1" t="e">
        <f aca="false">IF(ISBLANK(INDEX(big_daily_table,MATCH(DATE(R$5,$K315,$J315),daily_dates,0),MATCH($B$3,daily_items,0))),NA(),INDEX(big_daily_table,MATCH(DATE(R$5,$K315,$J315),daily_dates,0),MATCH($B$3,daily_items,0)))</f>
        <v>#N/A</v>
      </c>
      <c r="S315" s="1" t="e">
        <f aca="false">IF(ISBLANK(INDEX(big_daily_table,MATCH(DATE(S$5,$K315,$J315),daily_dates,0),MATCH($B$3,daily_items,0))),NA(),INDEX(big_daily_table,MATCH(DATE(S$5,$K315,$J315),daily_dates,0),MATCH($B$3,daily_items,0)))</f>
        <v>#N/A</v>
      </c>
      <c r="T315" s="1" t="e">
        <f aca="false">IF(ISBLANK(INDEX(big_daily_table,MATCH(DATE(T$5,$K315,$J315),daily_dates,0),MATCH($B$3,daily_items,0))),NA(),INDEX(big_daily_table,MATCH(DATE(T$5,$K315,$J315),daily_dates,0),MATCH($B$3,daily_items,0)))</f>
        <v>#N/A</v>
      </c>
      <c r="U315" s="1" t="e">
        <f aca="false">IF(ISBLANK(INDEX(big_daily_table,MATCH(DATE(U$5,$K315,$J315),daily_dates,0),MATCH($B$3,daily_items,0))),NA(),INDEX(big_daily_table,MATCH(DATE(U$5,$K315,$J315),daily_dates,0),MATCH($B$3,daily_items,0)))</f>
        <v>#N/A</v>
      </c>
      <c r="V315" s="1" t="e">
        <f aca="false">IF(ISBLANK(INDEX(big_daily_table,MATCH(DATE(V$5,$K315,$J315),daily_dates,0),MATCH($B$3,daily_items,0))),NA(),INDEX(big_daily_table,MATCH(DATE(V$5,$K315,$J315),daily_dates,0),MATCH($B$3,daily_items,0)))</f>
        <v>#N/A</v>
      </c>
      <c r="W315" s="1" t="e">
        <f aca="false">IF(ISBLANK(INDEX(big_daily_table,MATCH(DATE(W$5,$K315,$J315),daily_dates,0),MATCH($B$3,daily_items,0))),NA(),INDEX(big_daily_table,MATCH(DATE(W$5,$K315,$J315),daily_dates,0),MATCH($B$3,daily_items,0)))</f>
        <v>#N/A</v>
      </c>
      <c r="X315" s="1" t="e">
        <f aca="false">IF(ISBLANK(INDEX(big_daily_table,MATCH(DATE(X$5,$K315,$J315),daily_dates,0),MATCH($B$3,daily_items,0))),NA(),INDEX(big_daily_table,MATCH(DATE(X$5,$K315,$J315),daily_dates,0),MATCH($B$3,daily_items,0)))</f>
        <v>#N/A</v>
      </c>
      <c r="Y315" s="1" t="e">
        <f aca="false">IF(ISBLANK(INDEX(big_daily_table,MATCH(DATE(Y$5,$K315,$J315),daily_dates,0),MATCH($B$3,daily_items,0))),NA(),INDEX(big_daily_table,MATCH(DATE(Y$5,$K315,$J315),daily_dates,0),MATCH($B$3,daily_items,0)))</f>
        <v>#N/A</v>
      </c>
      <c r="Z315" s="1" t="e">
        <f aca="false">IF(ISBLANK(INDEX(big_daily_table,MATCH(DATE(Z$5,$K315,$J315),daily_dates,0),MATCH($B$3,daily_items,0))),NA(),INDEX(big_daily_table,MATCH(DATE(Z$5,$K315,$J315),daily_dates,0),MATCH($B$3,daily_items,0)))</f>
        <v>#N/A</v>
      </c>
      <c r="AA315" s="1" t="n">
        <f aca="true">_xlfn.AGGREGATE(5,6,OFFSET($S$5,H315,0,1,$K$2))</f>
        <v>0</v>
      </c>
      <c r="AB315" s="1" t="n">
        <f aca="true">_xlfn.AGGREGATE(4,6,OFFSET($S$5,H315,0,1,$K$2))</f>
        <v>0</v>
      </c>
      <c r="AC315" s="1" t="n">
        <f aca="false">AB315-AA315</f>
        <v>0</v>
      </c>
      <c r="AD315" s="1" t="e">
        <f aca="true">_xlfn.AGGREGATE(1,6,OFFSET($S$5,H315,0,1,$K$2))</f>
        <v>#DIV/0!</v>
      </c>
    </row>
    <row r="316" customFormat="false" ht="14.25" hidden="false" customHeight="false" outlineLevel="0" collapsed="false">
      <c r="H316" s="1" t="n">
        <f aca="false">H315+1</f>
        <v>311</v>
      </c>
      <c r="I316" s="1" t="n">
        <f aca="false">WEEKDAY('daily graphs'!K316)</f>
        <v>2</v>
      </c>
      <c r="J316" s="1" t="n">
        <f aca="false">DAY(L316)</f>
        <v>4</v>
      </c>
      <c r="K316" s="1" t="n">
        <f aca="false">MONTH(L316)</f>
        <v>11</v>
      </c>
      <c r="L316" s="23" t="n">
        <f aca="false">'daily graphs'!K316 - I316</f>
        <v>36834</v>
      </c>
      <c r="M316" s="24" t="n">
        <f aca="true">IF(TODAY()&lt;DATE($O$5,K316,J316),1000000,-1000000)</f>
        <v>1000000</v>
      </c>
      <c r="N316" s="24" t="e">
        <f aca="false">IF(M316&gt;0,INDEX(big_daily_table,MATCH(DATE(O$5,$K316,$J316),daily_dates,0),MATCH($B$3,daily_items,0)),NA())</f>
        <v>#N/A</v>
      </c>
      <c r="O316" s="1" t="e">
        <f aca="false">IF(M316&lt;0,INDEX(big_daily_table,MATCH(DATE(O$5,$K316,$J316),daily_dates,0),MATCH($B$3,daily_items,0)),NA())</f>
        <v>#N/A</v>
      </c>
      <c r="P316" s="1" t="e">
        <f aca="false">IF(ISBLANK(INDEX(big_daily_table,MATCH(DATE(P$5,$K316,$J316),daily_dates,0),MATCH($B$3,daily_items,0))),NA(),INDEX(big_daily_table,MATCH(DATE(P$5,$K316,$J316),daily_dates,0),MATCH($B$3,daily_items,0)))</f>
        <v>#N/A</v>
      </c>
      <c r="Q316" s="1" t="e">
        <f aca="false">IF(ISBLANK(INDEX(big_daily_table,MATCH(DATE(Q$5,$K316,$J316),daily_dates,0),MATCH($B$3,daily_items,0))),NA(),INDEX(big_daily_table,MATCH(DATE(Q$5,$K316,$J316),daily_dates,0),MATCH($B$3,daily_items,0)))</f>
        <v>#N/A</v>
      </c>
      <c r="R316" s="1" t="e">
        <f aca="false">IF(ISBLANK(INDEX(big_daily_table,MATCH(DATE(R$5,$K316,$J316),daily_dates,0),MATCH($B$3,daily_items,0))),NA(),INDEX(big_daily_table,MATCH(DATE(R$5,$K316,$J316),daily_dates,0),MATCH($B$3,daily_items,0)))</f>
        <v>#N/A</v>
      </c>
      <c r="S316" s="1" t="e">
        <f aca="false">IF(ISBLANK(INDEX(big_daily_table,MATCH(DATE(S$5,$K316,$J316),daily_dates,0),MATCH($B$3,daily_items,0))),NA(),INDEX(big_daily_table,MATCH(DATE(S$5,$K316,$J316),daily_dates,0),MATCH($B$3,daily_items,0)))</f>
        <v>#N/A</v>
      </c>
      <c r="T316" s="1" t="e">
        <f aca="false">IF(ISBLANK(INDEX(big_daily_table,MATCH(DATE(T$5,$K316,$J316),daily_dates,0),MATCH($B$3,daily_items,0))),NA(),INDEX(big_daily_table,MATCH(DATE(T$5,$K316,$J316),daily_dates,0),MATCH($B$3,daily_items,0)))</f>
        <v>#N/A</v>
      </c>
      <c r="U316" s="1" t="e">
        <f aca="false">IF(ISBLANK(INDEX(big_daily_table,MATCH(DATE(U$5,$K316,$J316),daily_dates,0),MATCH($B$3,daily_items,0))),NA(),INDEX(big_daily_table,MATCH(DATE(U$5,$K316,$J316),daily_dates,0),MATCH($B$3,daily_items,0)))</f>
        <v>#N/A</v>
      </c>
      <c r="V316" s="1" t="e">
        <f aca="false">IF(ISBLANK(INDEX(big_daily_table,MATCH(DATE(V$5,$K316,$J316),daily_dates,0),MATCH($B$3,daily_items,0))),NA(),INDEX(big_daily_table,MATCH(DATE(V$5,$K316,$J316),daily_dates,0),MATCH($B$3,daily_items,0)))</f>
        <v>#N/A</v>
      </c>
      <c r="W316" s="1" t="e">
        <f aca="false">IF(ISBLANK(INDEX(big_daily_table,MATCH(DATE(W$5,$K316,$J316),daily_dates,0),MATCH($B$3,daily_items,0))),NA(),INDEX(big_daily_table,MATCH(DATE(W$5,$K316,$J316),daily_dates,0),MATCH($B$3,daily_items,0)))</f>
        <v>#N/A</v>
      </c>
      <c r="X316" s="1" t="e">
        <f aca="false">IF(ISBLANK(INDEX(big_daily_table,MATCH(DATE(X$5,$K316,$J316),daily_dates,0),MATCH($B$3,daily_items,0))),NA(),INDEX(big_daily_table,MATCH(DATE(X$5,$K316,$J316),daily_dates,0),MATCH($B$3,daily_items,0)))</f>
        <v>#N/A</v>
      </c>
      <c r="Y316" s="1" t="e">
        <f aca="false">IF(ISBLANK(INDEX(big_daily_table,MATCH(DATE(Y$5,$K316,$J316),daily_dates,0),MATCH($B$3,daily_items,0))),NA(),INDEX(big_daily_table,MATCH(DATE(Y$5,$K316,$J316),daily_dates,0),MATCH($B$3,daily_items,0)))</f>
        <v>#N/A</v>
      </c>
      <c r="Z316" s="1" t="e">
        <f aca="false">IF(ISBLANK(INDEX(big_daily_table,MATCH(DATE(Z$5,$K316,$J316),daily_dates,0),MATCH($B$3,daily_items,0))),NA(),INDEX(big_daily_table,MATCH(DATE(Z$5,$K316,$J316),daily_dates,0),MATCH($B$3,daily_items,0)))</f>
        <v>#N/A</v>
      </c>
      <c r="AA316" s="1" t="n">
        <f aca="true">_xlfn.AGGREGATE(5,6,OFFSET($S$5,H316,0,1,$K$2))</f>
        <v>0</v>
      </c>
      <c r="AB316" s="1" t="n">
        <f aca="true">_xlfn.AGGREGATE(4,6,OFFSET($S$5,H316,0,1,$K$2))</f>
        <v>0</v>
      </c>
      <c r="AC316" s="1" t="n">
        <f aca="false">AB316-AA316</f>
        <v>0</v>
      </c>
      <c r="AD316" s="1" t="e">
        <f aca="true">_xlfn.AGGREGATE(1,6,OFFSET($S$5,H316,0,1,$K$2))</f>
        <v>#DIV/0!</v>
      </c>
    </row>
    <row r="317" customFormat="false" ht="14.25" hidden="false" customHeight="false" outlineLevel="0" collapsed="false">
      <c r="H317" s="1" t="n">
        <f aca="false">H316+1</f>
        <v>312</v>
      </c>
      <c r="I317" s="1" t="n">
        <f aca="false">WEEKDAY('daily graphs'!K317)</f>
        <v>3</v>
      </c>
      <c r="J317" s="1" t="n">
        <f aca="false">DAY(L317)</f>
        <v>4</v>
      </c>
      <c r="K317" s="1" t="n">
        <f aca="false">MONTH(L317)</f>
        <v>11</v>
      </c>
      <c r="L317" s="23" t="n">
        <f aca="false">'daily graphs'!K317 - I317</f>
        <v>36834</v>
      </c>
      <c r="M317" s="24" t="n">
        <f aca="true">IF(TODAY()&lt;DATE($O$5,K317,J317),1000000,-1000000)</f>
        <v>1000000</v>
      </c>
      <c r="N317" s="24" t="e">
        <f aca="false">IF(M317&gt;0,INDEX(big_daily_table,MATCH(DATE(O$5,$K317,$J317),daily_dates,0),MATCH($B$3,daily_items,0)),NA())</f>
        <v>#N/A</v>
      </c>
      <c r="O317" s="1" t="e">
        <f aca="false">IF(M317&lt;0,INDEX(big_daily_table,MATCH(DATE(O$5,$K317,$J317),daily_dates,0),MATCH($B$3,daily_items,0)),NA())</f>
        <v>#N/A</v>
      </c>
      <c r="P317" s="1" t="e">
        <f aca="false">IF(ISBLANK(INDEX(big_daily_table,MATCH(DATE(P$5,$K317,$J317),daily_dates,0),MATCH($B$3,daily_items,0))),NA(),INDEX(big_daily_table,MATCH(DATE(P$5,$K317,$J317),daily_dates,0),MATCH($B$3,daily_items,0)))</f>
        <v>#N/A</v>
      </c>
      <c r="Q317" s="1" t="e">
        <f aca="false">IF(ISBLANK(INDEX(big_daily_table,MATCH(DATE(Q$5,$K317,$J317),daily_dates,0),MATCH($B$3,daily_items,0))),NA(),INDEX(big_daily_table,MATCH(DATE(Q$5,$K317,$J317),daily_dates,0),MATCH($B$3,daily_items,0)))</f>
        <v>#N/A</v>
      </c>
      <c r="R317" s="1" t="e">
        <f aca="false">IF(ISBLANK(INDEX(big_daily_table,MATCH(DATE(R$5,$K317,$J317),daily_dates,0),MATCH($B$3,daily_items,0))),NA(),INDEX(big_daily_table,MATCH(DATE(R$5,$K317,$J317),daily_dates,0),MATCH($B$3,daily_items,0)))</f>
        <v>#N/A</v>
      </c>
      <c r="S317" s="1" t="e">
        <f aca="false">IF(ISBLANK(INDEX(big_daily_table,MATCH(DATE(S$5,$K317,$J317),daily_dates,0),MATCH($B$3,daily_items,0))),NA(),INDEX(big_daily_table,MATCH(DATE(S$5,$K317,$J317),daily_dates,0),MATCH($B$3,daily_items,0)))</f>
        <v>#N/A</v>
      </c>
      <c r="T317" s="1" t="e">
        <f aca="false">IF(ISBLANK(INDEX(big_daily_table,MATCH(DATE(T$5,$K317,$J317),daily_dates,0),MATCH($B$3,daily_items,0))),NA(),INDEX(big_daily_table,MATCH(DATE(T$5,$K317,$J317),daily_dates,0),MATCH($B$3,daily_items,0)))</f>
        <v>#N/A</v>
      </c>
      <c r="U317" s="1" t="e">
        <f aca="false">IF(ISBLANK(INDEX(big_daily_table,MATCH(DATE(U$5,$K317,$J317),daily_dates,0),MATCH($B$3,daily_items,0))),NA(),INDEX(big_daily_table,MATCH(DATE(U$5,$K317,$J317),daily_dates,0),MATCH($B$3,daily_items,0)))</f>
        <v>#N/A</v>
      </c>
      <c r="V317" s="1" t="e">
        <f aca="false">IF(ISBLANK(INDEX(big_daily_table,MATCH(DATE(V$5,$K317,$J317),daily_dates,0),MATCH($B$3,daily_items,0))),NA(),INDEX(big_daily_table,MATCH(DATE(V$5,$K317,$J317),daily_dates,0),MATCH($B$3,daily_items,0)))</f>
        <v>#N/A</v>
      </c>
      <c r="W317" s="1" t="e">
        <f aca="false">IF(ISBLANK(INDEX(big_daily_table,MATCH(DATE(W$5,$K317,$J317),daily_dates,0),MATCH($B$3,daily_items,0))),NA(),INDEX(big_daily_table,MATCH(DATE(W$5,$K317,$J317),daily_dates,0),MATCH($B$3,daily_items,0)))</f>
        <v>#N/A</v>
      </c>
      <c r="X317" s="1" t="e">
        <f aca="false">IF(ISBLANK(INDEX(big_daily_table,MATCH(DATE(X$5,$K317,$J317),daily_dates,0),MATCH($B$3,daily_items,0))),NA(),INDEX(big_daily_table,MATCH(DATE(X$5,$K317,$J317),daily_dates,0),MATCH($B$3,daily_items,0)))</f>
        <v>#N/A</v>
      </c>
      <c r="Y317" s="1" t="e">
        <f aca="false">IF(ISBLANK(INDEX(big_daily_table,MATCH(DATE(Y$5,$K317,$J317),daily_dates,0),MATCH($B$3,daily_items,0))),NA(),INDEX(big_daily_table,MATCH(DATE(Y$5,$K317,$J317),daily_dates,0),MATCH($B$3,daily_items,0)))</f>
        <v>#N/A</v>
      </c>
      <c r="Z317" s="1" t="e">
        <f aca="false">IF(ISBLANK(INDEX(big_daily_table,MATCH(DATE(Z$5,$K317,$J317),daily_dates,0),MATCH($B$3,daily_items,0))),NA(),INDEX(big_daily_table,MATCH(DATE(Z$5,$K317,$J317),daily_dates,0),MATCH($B$3,daily_items,0)))</f>
        <v>#N/A</v>
      </c>
      <c r="AA317" s="1" t="n">
        <f aca="true">_xlfn.AGGREGATE(5,6,OFFSET($S$5,H317,0,1,$K$2))</f>
        <v>0</v>
      </c>
      <c r="AB317" s="1" t="n">
        <f aca="true">_xlfn.AGGREGATE(4,6,OFFSET($S$5,H317,0,1,$K$2))</f>
        <v>0</v>
      </c>
      <c r="AC317" s="1" t="n">
        <f aca="false">AB317-AA317</f>
        <v>0</v>
      </c>
      <c r="AD317" s="1" t="e">
        <f aca="true">_xlfn.AGGREGATE(1,6,OFFSET($S$5,H317,0,1,$K$2))</f>
        <v>#DIV/0!</v>
      </c>
    </row>
    <row r="318" customFormat="false" ht="14.25" hidden="false" customHeight="false" outlineLevel="0" collapsed="false">
      <c r="H318" s="1" t="n">
        <f aca="false">H317+1</f>
        <v>313</v>
      </c>
      <c r="I318" s="1" t="n">
        <f aca="false">WEEKDAY('daily graphs'!K318)</f>
        <v>4</v>
      </c>
      <c r="J318" s="1" t="n">
        <f aca="false">DAY(L318)</f>
        <v>4</v>
      </c>
      <c r="K318" s="1" t="n">
        <f aca="false">MONTH(L318)</f>
        <v>11</v>
      </c>
      <c r="L318" s="23" t="n">
        <f aca="false">'daily graphs'!K318 - I318</f>
        <v>36834</v>
      </c>
      <c r="M318" s="24" t="n">
        <f aca="true">IF(TODAY()&lt;DATE($O$5,K318,J318),1000000,-1000000)</f>
        <v>1000000</v>
      </c>
      <c r="N318" s="24" t="e">
        <f aca="false">IF(M318&gt;0,INDEX(big_daily_table,MATCH(DATE(O$5,$K318,$J318),daily_dates,0),MATCH($B$3,daily_items,0)),NA())</f>
        <v>#N/A</v>
      </c>
      <c r="O318" s="1" t="e">
        <f aca="false">IF(M318&lt;0,INDEX(big_daily_table,MATCH(DATE(O$5,$K318,$J318),daily_dates,0),MATCH($B$3,daily_items,0)),NA())</f>
        <v>#N/A</v>
      </c>
      <c r="P318" s="1" t="e">
        <f aca="false">IF(ISBLANK(INDEX(big_daily_table,MATCH(DATE(P$5,$K318,$J318),daily_dates,0),MATCH($B$3,daily_items,0))),NA(),INDEX(big_daily_table,MATCH(DATE(P$5,$K318,$J318),daily_dates,0),MATCH($B$3,daily_items,0)))</f>
        <v>#N/A</v>
      </c>
      <c r="Q318" s="1" t="e">
        <f aca="false">IF(ISBLANK(INDEX(big_daily_table,MATCH(DATE(Q$5,$K318,$J318),daily_dates,0),MATCH($B$3,daily_items,0))),NA(),INDEX(big_daily_table,MATCH(DATE(Q$5,$K318,$J318),daily_dates,0),MATCH($B$3,daily_items,0)))</f>
        <v>#N/A</v>
      </c>
      <c r="R318" s="1" t="e">
        <f aca="false">IF(ISBLANK(INDEX(big_daily_table,MATCH(DATE(R$5,$K318,$J318),daily_dates,0),MATCH($B$3,daily_items,0))),NA(),INDEX(big_daily_table,MATCH(DATE(R$5,$K318,$J318),daily_dates,0),MATCH($B$3,daily_items,0)))</f>
        <v>#N/A</v>
      </c>
      <c r="S318" s="1" t="e">
        <f aca="false">IF(ISBLANK(INDEX(big_daily_table,MATCH(DATE(S$5,$K318,$J318),daily_dates,0),MATCH($B$3,daily_items,0))),NA(),INDEX(big_daily_table,MATCH(DATE(S$5,$K318,$J318),daily_dates,0),MATCH($B$3,daily_items,0)))</f>
        <v>#N/A</v>
      </c>
      <c r="T318" s="1" t="e">
        <f aca="false">IF(ISBLANK(INDEX(big_daily_table,MATCH(DATE(T$5,$K318,$J318),daily_dates,0),MATCH($B$3,daily_items,0))),NA(),INDEX(big_daily_table,MATCH(DATE(T$5,$K318,$J318),daily_dates,0),MATCH($B$3,daily_items,0)))</f>
        <v>#N/A</v>
      </c>
      <c r="U318" s="1" t="e">
        <f aca="false">IF(ISBLANK(INDEX(big_daily_table,MATCH(DATE(U$5,$K318,$J318),daily_dates,0),MATCH($B$3,daily_items,0))),NA(),INDEX(big_daily_table,MATCH(DATE(U$5,$K318,$J318),daily_dates,0),MATCH($B$3,daily_items,0)))</f>
        <v>#N/A</v>
      </c>
      <c r="V318" s="1" t="e">
        <f aca="false">IF(ISBLANK(INDEX(big_daily_table,MATCH(DATE(V$5,$K318,$J318),daily_dates,0),MATCH($B$3,daily_items,0))),NA(),INDEX(big_daily_table,MATCH(DATE(V$5,$K318,$J318),daily_dates,0),MATCH($B$3,daily_items,0)))</f>
        <v>#N/A</v>
      </c>
      <c r="W318" s="1" t="e">
        <f aca="false">IF(ISBLANK(INDEX(big_daily_table,MATCH(DATE(W$5,$K318,$J318),daily_dates,0),MATCH($B$3,daily_items,0))),NA(),INDEX(big_daily_table,MATCH(DATE(W$5,$K318,$J318),daily_dates,0),MATCH($B$3,daily_items,0)))</f>
        <v>#N/A</v>
      </c>
      <c r="X318" s="1" t="e">
        <f aca="false">IF(ISBLANK(INDEX(big_daily_table,MATCH(DATE(X$5,$K318,$J318),daily_dates,0),MATCH($B$3,daily_items,0))),NA(),INDEX(big_daily_table,MATCH(DATE(X$5,$K318,$J318),daily_dates,0),MATCH($B$3,daily_items,0)))</f>
        <v>#N/A</v>
      </c>
      <c r="Y318" s="1" t="e">
        <f aca="false">IF(ISBLANK(INDEX(big_daily_table,MATCH(DATE(Y$5,$K318,$J318),daily_dates,0),MATCH($B$3,daily_items,0))),NA(),INDEX(big_daily_table,MATCH(DATE(Y$5,$K318,$J318),daily_dates,0),MATCH($B$3,daily_items,0)))</f>
        <v>#N/A</v>
      </c>
      <c r="Z318" s="1" t="e">
        <f aca="false">IF(ISBLANK(INDEX(big_daily_table,MATCH(DATE(Z$5,$K318,$J318),daily_dates,0),MATCH($B$3,daily_items,0))),NA(),INDEX(big_daily_table,MATCH(DATE(Z$5,$K318,$J318),daily_dates,0),MATCH($B$3,daily_items,0)))</f>
        <v>#N/A</v>
      </c>
      <c r="AA318" s="1" t="n">
        <f aca="true">_xlfn.AGGREGATE(5,6,OFFSET($S$5,H318,0,1,$K$2))</f>
        <v>0</v>
      </c>
      <c r="AB318" s="1" t="n">
        <f aca="true">_xlfn.AGGREGATE(4,6,OFFSET($S$5,H318,0,1,$K$2))</f>
        <v>0</v>
      </c>
      <c r="AC318" s="1" t="n">
        <f aca="false">AB318-AA318</f>
        <v>0</v>
      </c>
      <c r="AD318" s="1" t="e">
        <f aca="true">_xlfn.AGGREGATE(1,6,OFFSET($S$5,H318,0,1,$K$2))</f>
        <v>#DIV/0!</v>
      </c>
    </row>
    <row r="319" customFormat="false" ht="14.25" hidden="false" customHeight="false" outlineLevel="0" collapsed="false">
      <c r="H319" s="1" t="n">
        <f aca="false">H318+1</f>
        <v>314</v>
      </c>
      <c r="I319" s="1" t="n">
        <f aca="false">WEEKDAY('daily graphs'!K319)</f>
        <v>5</v>
      </c>
      <c r="J319" s="1" t="n">
        <f aca="false">DAY(L319)</f>
        <v>4</v>
      </c>
      <c r="K319" s="1" t="n">
        <f aca="false">MONTH(L319)</f>
        <v>11</v>
      </c>
      <c r="L319" s="23" t="n">
        <f aca="false">'daily graphs'!K319 - I319</f>
        <v>36834</v>
      </c>
      <c r="M319" s="24" t="n">
        <f aca="true">IF(TODAY()&lt;DATE($O$5,K319,J319),1000000,-1000000)</f>
        <v>1000000</v>
      </c>
      <c r="N319" s="24" t="e">
        <f aca="false">IF(M319&gt;0,INDEX(big_daily_table,MATCH(DATE(O$5,$K319,$J319),daily_dates,0),MATCH($B$3,daily_items,0)),NA())</f>
        <v>#N/A</v>
      </c>
      <c r="O319" s="1" t="e">
        <f aca="false">IF(M319&lt;0,INDEX(big_daily_table,MATCH(DATE(O$5,$K319,$J319),daily_dates,0),MATCH($B$3,daily_items,0)),NA())</f>
        <v>#N/A</v>
      </c>
      <c r="P319" s="1" t="e">
        <f aca="false">IF(ISBLANK(INDEX(big_daily_table,MATCH(DATE(P$5,$K319,$J319),daily_dates,0),MATCH($B$3,daily_items,0))),NA(),INDEX(big_daily_table,MATCH(DATE(P$5,$K319,$J319),daily_dates,0),MATCH($B$3,daily_items,0)))</f>
        <v>#N/A</v>
      </c>
      <c r="Q319" s="1" t="e">
        <f aca="false">IF(ISBLANK(INDEX(big_daily_table,MATCH(DATE(Q$5,$K319,$J319),daily_dates,0),MATCH($B$3,daily_items,0))),NA(),INDEX(big_daily_table,MATCH(DATE(Q$5,$K319,$J319),daily_dates,0),MATCH($B$3,daily_items,0)))</f>
        <v>#N/A</v>
      </c>
      <c r="R319" s="1" t="e">
        <f aca="false">IF(ISBLANK(INDEX(big_daily_table,MATCH(DATE(R$5,$K319,$J319),daily_dates,0),MATCH($B$3,daily_items,0))),NA(),INDEX(big_daily_table,MATCH(DATE(R$5,$K319,$J319),daily_dates,0),MATCH($B$3,daily_items,0)))</f>
        <v>#N/A</v>
      </c>
      <c r="S319" s="1" t="e">
        <f aca="false">IF(ISBLANK(INDEX(big_daily_table,MATCH(DATE(S$5,$K319,$J319),daily_dates,0),MATCH($B$3,daily_items,0))),NA(),INDEX(big_daily_table,MATCH(DATE(S$5,$K319,$J319),daily_dates,0),MATCH($B$3,daily_items,0)))</f>
        <v>#N/A</v>
      </c>
      <c r="T319" s="1" t="e">
        <f aca="false">IF(ISBLANK(INDEX(big_daily_table,MATCH(DATE(T$5,$K319,$J319),daily_dates,0),MATCH($B$3,daily_items,0))),NA(),INDEX(big_daily_table,MATCH(DATE(T$5,$K319,$J319),daily_dates,0),MATCH($B$3,daily_items,0)))</f>
        <v>#N/A</v>
      </c>
      <c r="U319" s="1" t="e">
        <f aca="false">IF(ISBLANK(INDEX(big_daily_table,MATCH(DATE(U$5,$K319,$J319),daily_dates,0),MATCH($B$3,daily_items,0))),NA(),INDEX(big_daily_table,MATCH(DATE(U$5,$K319,$J319),daily_dates,0),MATCH($B$3,daily_items,0)))</f>
        <v>#N/A</v>
      </c>
      <c r="V319" s="1" t="e">
        <f aca="false">IF(ISBLANK(INDEX(big_daily_table,MATCH(DATE(V$5,$K319,$J319),daily_dates,0),MATCH($B$3,daily_items,0))),NA(),INDEX(big_daily_table,MATCH(DATE(V$5,$K319,$J319),daily_dates,0),MATCH($B$3,daily_items,0)))</f>
        <v>#N/A</v>
      </c>
      <c r="W319" s="1" t="e">
        <f aca="false">IF(ISBLANK(INDEX(big_daily_table,MATCH(DATE(W$5,$K319,$J319),daily_dates,0),MATCH($B$3,daily_items,0))),NA(),INDEX(big_daily_table,MATCH(DATE(W$5,$K319,$J319),daily_dates,0),MATCH($B$3,daily_items,0)))</f>
        <v>#N/A</v>
      </c>
      <c r="X319" s="1" t="e">
        <f aca="false">IF(ISBLANK(INDEX(big_daily_table,MATCH(DATE(X$5,$K319,$J319),daily_dates,0),MATCH($B$3,daily_items,0))),NA(),INDEX(big_daily_table,MATCH(DATE(X$5,$K319,$J319),daily_dates,0),MATCH($B$3,daily_items,0)))</f>
        <v>#N/A</v>
      </c>
      <c r="Y319" s="1" t="e">
        <f aca="false">IF(ISBLANK(INDEX(big_daily_table,MATCH(DATE(Y$5,$K319,$J319),daily_dates,0),MATCH($B$3,daily_items,0))),NA(),INDEX(big_daily_table,MATCH(DATE(Y$5,$K319,$J319),daily_dates,0),MATCH($B$3,daily_items,0)))</f>
        <v>#N/A</v>
      </c>
      <c r="Z319" s="1" t="e">
        <f aca="false">IF(ISBLANK(INDEX(big_daily_table,MATCH(DATE(Z$5,$K319,$J319),daily_dates,0),MATCH($B$3,daily_items,0))),NA(),INDEX(big_daily_table,MATCH(DATE(Z$5,$K319,$J319),daily_dates,0),MATCH($B$3,daily_items,0)))</f>
        <v>#N/A</v>
      </c>
      <c r="AA319" s="1" t="n">
        <f aca="true">_xlfn.AGGREGATE(5,6,OFFSET($S$5,H319,0,1,$K$2))</f>
        <v>0</v>
      </c>
      <c r="AB319" s="1" t="n">
        <f aca="true">_xlfn.AGGREGATE(4,6,OFFSET($S$5,H319,0,1,$K$2))</f>
        <v>0</v>
      </c>
      <c r="AC319" s="1" t="n">
        <f aca="false">AB319-AA319</f>
        <v>0</v>
      </c>
      <c r="AD319" s="1" t="e">
        <f aca="true">_xlfn.AGGREGATE(1,6,OFFSET($S$5,H319,0,1,$K$2))</f>
        <v>#DIV/0!</v>
      </c>
    </row>
    <row r="320" customFormat="false" ht="14.25" hidden="false" customHeight="false" outlineLevel="0" collapsed="false">
      <c r="H320" s="1" t="n">
        <f aca="false">H319+1</f>
        <v>315</v>
      </c>
      <c r="I320" s="1" t="n">
        <f aca="false">WEEKDAY('daily graphs'!K320)</f>
        <v>6</v>
      </c>
      <c r="J320" s="1" t="n">
        <f aca="false">DAY(L320)</f>
        <v>4</v>
      </c>
      <c r="K320" s="1" t="n">
        <f aca="false">MONTH(L320)</f>
        <v>11</v>
      </c>
      <c r="L320" s="23" t="n">
        <f aca="false">'daily graphs'!K320 - I320</f>
        <v>36834</v>
      </c>
      <c r="M320" s="24" t="n">
        <f aca="true">IF(TODAY()&lt;DATE($O$5,K320,J320),1000000,-1000000)</f>
        <v>1000000</v>
      </c>
      <c r="N320" s="24" t="e">
        <f aca="false">IF(M320&gt;0,INDEX(big_daily_table,MATCH(DATE(O$5,$K320,$J320),daily_dates,0),MATCH($B$3,daily_items,0)),NA())</f>
        <v>#N/A</v>
      </c>
      <c r="O320" s="1" t="e">
        <f aca="false">IF(M320&lt;0,INDEX(big_daily_table,MATCH(DATE(O$5,$K320,$J320),daily_dates,0),MATCH($B$3,daily_items,0)),NA())</f>
        <v>#N/A</v>
      </c>
      <c r="P320" s="1" t="e">
        <f aca="false">IF(ISBLANK(INDEX(big_daily_table,MATCH(DATE(P$5,$K320,$J320),daily_dates,0),MATCH($B$3,daily_items,0))),NA(),INDEX(big_daily_table,MATCH(DATE(P$5,$K320,$J320),daily_dates,0),MATCH($B$3,daily_items,0)))</f>
        <v>#N/A</v>
      </c>
      <c r="Q320" s="1" t="e">
        <f aca="false">IF(ISBLANK(INDEX(big_daily_table,MATCH(DATE(Q$5,$K320,$J320),daily_dates,0),MATCH($B$3,daily_items,0))),NA(),INDEX(big_daily_table,MATCH(DATE(Q$5,$K320,$J320),daily_dates,0),MATCH($B$3,daily_items,0)))</f>
        <v>#N/A</v>
      </c>
      <c r="R320" s="1" t="e">
        <f aca="false">IF(ISBLANK(INDEX(big_daily_table,MATCH(DATE(R$5,$K320,$J320),daily_dates,0),MATCH($B$3,daily_items,0))),NA(),INDEX(big_daily_table,MATCH(DATE(R$5,$K320,$J320),daily_dates,0),MATCH($B$3,daily_items,0)))</f>
        <v>#N/A</v>
      </c>
      <c r="S320" s="1" t="e">
        <f aca="false">IF(ISBLANK(INDEX(big_daily_table,MATCH(DATE(S$5,$K320,$J320),daily_dates,0),MATCH($B$3,daily_items,0))),NA(),INDEX(big_daily_table,MATCH(DATE(S$5,$K320,$J320),daily_dates,0),MATCH($B$3,daily_items,0)))</f>
        <v>#N/A</v>
      </c>
      <c r="T320" s="1" t="e">
        <f aca="false">IF(ISBLANK(INDEX(big_daily_table,MATCH(DATE(T$5,$K320,$J320),daily_dates,0),MATCH($B$3,daily_items,0))),NA(),INDEX(big_daily_table,MATCH(DATE(T$5,$K320,$J320),daily_dates,0),MATCH($B$3,daily_items,0)))</f>
        <v>#N/A</v>
      </c>
      <c r="U320" s="1" t="e">
        <f aca="false">IF(ISBLANK(INDEX(big_daily_table,MATCH(DATE(U$5,$K320,$J320),daily_dates,0),MATCH($B$3,daily_items,0))),NA(),INDEX(big_daily_table,MATCH(DATE(U$5,$K320,$J320),daily_dates,0),MATCH($B$3,daily_items,0)))</f>
        <v>#N/A</v>
      </c>
      <c r="V320" s="1" t="e">
        <f aca="false">IF(ISBLANK(INDEX(big_daily_table,MATCH(DATE(V$5,$K320,$J320),daily_dates,0),MATCH($B$3,daily_items,0))),NA(),INDEX(big_daily_table,MATCH(DATE(V$5,$K320,$J320),daily_dates,0),MATCH($B$3,daily_items,0)))</f>
        <v>#N/A</v>
      </c>
      <c r="W320" s="1" t="e">
        <f aca="false">IF(ISBLANK(INDEX(big_daily_table,MATCH(DATE(W$5,$K320,$J320),daily_dates,0),MATCH($B$3,daily_items,0))),NA(),INDEX(big_daily_table,MATCH(DATE(W$5,$K320,$J320),daily_dates,0),MATCH($B$3,daily_items,0)))</f>
        <v>#N/A</v>
      </c>
      <c r="X320" s="1" t="e">
        <f aca="false">IF(ISBLANK(INDEX(big_daily_table,MATCH(DATE(X$5,$K320,$J320),daily_dates,0),MATCH($B$3,daily_items,0))),NA(),INDEX(big_daily_table,MATCH(DATE(X$5,$K320,$J320),daily_dates,0),MATCH($B$3,daily_items,0)))</f>
        <v>#N/A</v>
      </c>
      <c r="Y320" s="1" t="e">
        <f aca="false">IF(ISBLANK(INDEX(big_daily_table,MATCH(DATE(Y$5,$K320,$J320),daily_dates,0),MATCH($B$3,daily_items,0))),NA(),INDEX(big_daily_table,MATCH(DATE(Y$5,$K320,$J320),daily_dates,0),MATCH($B$3,daily_items,0)))</f>
        <v>#N/A</v>
      </c>
      <c r="Z320" s="1" t="e">
        <f aca="false">IF(ISBLANK(INDEX(big_daily_table,MATCH(DATE(Z$5,$K320,$J320),daily_dates,0),MATCH($B$3,daily_items,0))),NA(),INDEX(big_daily_table,MATCH(DATE(Z$5,$K320,$J320),daily_dates,0),MATCH($B$3,daily_items,0)))</f>
        <v>#N/A</v>
      </c>
      <c r="AA320" s="1" t="n">
        <f aca="true">_xlfn.AGGREGATE(5,6,OFFSET($S$5,H320,0,1,$K$2))</f>
        <v>0</v>
      </c>
      <c r="AB320" s="1" t="n">
        <f aca="true">_xlfn.AGGREGATE(4,6,OFFSET($S$5,H320,0,1,$K$2))</f>
        <v>0</v>
      </c>
      <c r="AC320" s="1" t="n">
        <f aca="false">AB320-AA320</f>
        <v>0</v>
      </c>
      <c r="AD320" s="1" t="e">
        <f aca="true">_xlfn.AGGREGATE(1,6,OFFSET($S$5,H320,0,1,$K$2))</f>
        <v>#DIV/0!</v>
      </c>
    </row>
    <row r="321" customFormat="false" ht="14.25" hidden="false" customHeight="false" outlineLevel="0" collapsed="false">
      <c r="H321" s="1" t="n">
        <f aca="false">H320+1</f>
        <v>316</v>
      </c>
      <c r="I321" s="1" t="n">
        <f aca="false">WEEKDAY('daily graphs'!K321)</f>
        <v>7</v>
      </c>
      <c r="J321" s="1" t="n">
        <f aca="false">DAY(L321)</f>
        <v>4</v>
      </c>
      <c r="K321" s="1" t="n">
        <f aca="false">MONTH(L321)</f>
        <v>11</v>
      </c>
      <c r="L321" s="23" t="n">
        <f aca="false">'daily graphs'!K321 - I321</f>
        <v>36834</v>
      </c>
      <c r="M321" s="24" t="n">
        <f aca="true">IF(TODAY()&lt;DATE($O$5,K321,J321),1000000,-1000000)</f>
        <v>1000000</v>
      </c>
      <c r="N321" s="24" t="e">
        <f aca="false">IF(M321&gt;0,INDEX(big_daily_table,MATCH(DATE(O$5,$K321,$J321),daily_dates,0),MATCH($B$3,daily_items,0)),NA())</f>
        <v>#N/A</v>
      </c>
      <c r="O321" s="1" t="e">
        <f aca="false">IF(M321&lt;0,INDEX(big_daily_table,MATCH(DATE(O$5,$K321,$J321),daily_dates,0),MATCH($B$3,daily_items,0)),NA())</f>
        <v>#N/A</v>
      </c>
      <c r="P321" s="1" t="e">
        <f aca="false">IF(ISBLANK(INDEX(big_daily_table,MATCH(DATE(P$5,$K321,$J321),daily_dates,0),MATCH($B$3,daily_items,0))),NA(),INDEX(big_daily_table,MATCH(DATE(P$5,$K321,$J321),daily_dates,0),MATCH($B$3,daily_items,0)))</f>
        <v>#N/A</v>
      </c>
      <c r="Q321" s="1" t="e">
        <f aca="false">IF(ISBLANK(INDEX(big_daily_table,MATCH(DATE(Q$5,$K321,$J321),daily_dates,0),MATCH($B$3,daily_items,0))),NA(),INDEX(big_daily_table,MATCH(DATE(Q$5,$K321,$J321),daily_dates,0),MATCH($B$3,daily_items,0)))</f>
        <v>#N/A</v>
      </c>
      <c r="R321" s="1" t="e">
        <f aca="false">IF(ISBLANK(INDEX(big_daily_table,MATCH(DATE(R$5,$K321,$J321),daily_dates,0),MATCH($B$3,daily_items,0))),NA(),INDEX(big_daily_table,MATCH(DATE(R$5,$K321,$J321),daily_dates,0),MATCH($B$3,daily_items,0)))</f>
        <v>#N/A</v>
      </c>
      <c r="S321" s="1" t="e">
        <f aca="false">IF(ISBLANK(INDEX(big_daily_table,MATCH(DATE(S$5,$K321,$J321),daily_dates,0),MATCH($B$3,daily_items,0))),NA(),INDEX(big_daily_table,MATCH(DATE(S$5,$K321,$J321),daily_dates,0),MATCH($B$3,daily_items,0)))</f>
        <v>#N/A</v>
      </c>
      <c r="T321" s="1" t="e">
        <f aca="false">IF(ISBLANK(INDEX(big_daily_table,MATCH(DATE(T$5,$K321,$J321),daily_dates,0),MATCH($B$3,daily_items,0))),NA(),INDEX(big_daily_table,MATCH(DATE(T$5,$K321,$J321),daily_dates,0),MATCH($B$3,daily_items,0)))</f>
        <v>#N/A</v>
      </c>
      <c r="U321" s="1" t="e">
        <f aca="false">IF(ISBLANK(INDEX(big_daily_table,MATCH(DATE(U$5,$K321,$J321),daily_dates,0),MATCH($B$3,daily_items,0))),NA(),INDEX(big_daily_table,MATCH(DATE(U$5,$K321,$J321),daily_dates,0),MATCH($B$3,daily_items,0)))</f>
        <v>#N/A</v>
      </c>
      <c r="V321" s="1" t="e">
        <f aca="false">IF(ISBLANK(INDEX(big_daily_table,MATCH(DATE(V$5,$K321,$J321),daily_dates,0),MATCH($B$3,daily_items,0))),NA(),INDEX(big_daily_table,MATCH(DATE(V$5,$K321,$J321),daily_dates,0),MATCH($B$3,daily_items,0)))</f>
        <v>#N/A</v>
      </c>
      <c r="W321" s="1" t="e">
        <f aca="false">IF(ISBLANK(INDEX(big_daily_table,MATCH(DATE(W$5,$K321,$J321),daily_dates,0),MATCH($B$3,daily_items,0))),NA(),INDEX(big_daily_table,MATCH(DATE(W$5,$K321,$J321),daily_dates,0),MATCH($B$3,daily_items,0)))</f>
        <v>#N/A</v>
      </c>
      <c r="X321" s="1" t="e">
        <f aca="false">IF(ISBLANK(INDEX(big_daily_table,MATCH(DATE(X$5,$K321,$J321),daily_dates,0),MATCH($B$3,daily_items,0))),NA(),INDEX(big_daily_table,MATCH(DATE(X$5,$K321,$J321),daily_dates,0),MATCH($B$3,daily_items,0)))</f>
        <v>#N/A</v>
      </c>
      <c r="Y321" s="1" t="e">
        <f aca="false">IF(ISBLANK(INDEX(big_daily_table,MATCH(DATE(Y$5,$K321,$J321),daily_dates,0),MATCH($B$3,daily_items,0))),NA(),INDEX(big_daily_table,MATCH(DATE(Y$5,$K321,$J321),daily_dates,0),MATCH($B$3,daily_items,0)))</f>
        <v>#N/A</v>
      </c>
      <c r="Z321" s="1" t="e">
        <f aca="false">IF(ISBLANK(INDEX(big_daily_table,MATCH(DATE(Z$5,$K321,$J321),daily_dates,0),MATCH($B$3,daily_items,0))),NA(),INDEX(big_daily_table,MATCH(DATE(Z$5,$K321,$J321),daily_dates,0),MATCH($B$3,daily_items,0)))</f>
        <v>#N/A</v>
      </c>
      <c r="AA321" s="1" t="n">
        <f aca="true">_xlfn.AGGREGATE(5,6,OFFSET($S$5,H321,0,1,$K$2))</f>
        <v>0</v>
      </c>
      <c r="AB321" s="1" t="n">
        <f aca="true">_xlfn.AGGREGATE(4,6,OFFSET($S$5,H321,0,1,$K$2))</f>
        <v>0</v>
      </c>
      <c r="AC321" s="1" t="n">
        <f aca="false">AB321-AA321</f>
        <v>0</v>
      </c>
      <c r="AD321" s="1" t="e">
        <f aca="true">_xlfn.AGGREGATE(1,6,OFFSET($S$5,H321,0,1,$K$2))</f>
        <v>#DIV/0!</v>
      </c>
    </row>
    <row r="322" customFormat="false" ht="14.25" hidden="false" customHeight="false" outlineLevel="0" collapsed="false">
      <c r="H322" s="1" t="n">
        <f aca="false">H321+1</f>
        <v>317</v>
      </c>
      <c r="I322" s="1" t="n">
        <f aca="false">WEEKDAY('daily graphs'!K322)</f>
        <v>1</v>
      </c>
      <c r="J322" s="1" t="n">
        <f aca="false">DAY(L322)</f>
        <v>11</v>
      </c>
      <c r="K322" s="1" t="n">
        <f aca="false">MONTH(L322)</f>
        <v>11</v>
      </c>
      <c r="L322" s="23" t="n">
        <f aca="false">'daily graphs'!K322 - I322</f>
        <v>36841</v>
      </c>
      <c r="M322" s="24" t="n">
        <f aca="true">IF(TODAY()&lt;DATE($O$5,K322,J322),1000000,-1000000)</f>
        <v>1000000</v>
      </c>
      <c r="N322" s="24" t="e">
        <f aca="false">IF(M322&gt;0,INDEX(big_daily_table,MATCH(DATE(O$5,$K322,$J322),daily_dates,0),MATCH($B$3,daily_items,0)),NA())</f>
        <v>#N/A</v>
      </c>
      <c r="O322" s="1" t="e">
        <f aca="false">IF(M322&lt;0,INDEX(big_daily_table,MATCH(DATE(O$5,$K322,$J322),daily_dates,0),MATCH($B$3,daily_items,0)),NA())</f>
        <v>#N/A</v>
      </c>
      <c r="P322" s="1" t="e">
        <f aca="false">IF(ISBLANK(INDEX(big_daily_table,MATCH(DATE(P$5,$K322,$J322),daily_dates,0),MATCH($B$3,daily_items,0))),NA(),INDEX(big_daily_table,MATCH(DATE(P$5,$K322,$J322),daily_dates,0),MATCH($B$3,daily_items,0)))</f>
        <v>#N/A</v>
      </c>
      <c r="Q322" s="1" t="e">
        <f aca="false">IF(ISBLANK(INDEX(big_daily_table,MATCH(DATE(Q$5,$K322,$J322),daily_dates,0),MATCH($B$3,daily_items,0))),NA(),INDEX(big_daily_table,MATCH(DATE(Q$5,$K322,$J322),daily_dates,0),MATCH($B$3,daily_items,0)))</f>
        <v>#N/A</v>
      </c>
      <c r="R322" s="1" t="e">
        <f aca="false">IF(ISBLANK(INDEX(big_daily_table,MATCH(DATE(R$5,$K322,$J322),daily_dates,0),MATCH($B$3,daily_items,0))),NA(),INDEX(big_daily_table,MATCH(DATE(R$5,$K322,$J322),daily_dates,0),MATCH($B$3,daily_items,0)))</f>
        <v>#N/A</v>
      </c>
      <c r="S322" s="1" t="e">
        <f aca="false">IF(ISBLANK(INDEX(big_daily_table,MATCH(DATE(S$5,$K322,$J322),daily_dates,0),MATCH($B$3,daily_items,0))),NA(),INDEX(big_daily_table,MATCH(DATE(S$5,$K322,$J322),daily_dates,0),MATCH($B$3,daily_items,0)))</f>
        <v>#N/A</v>
      </c>
      <c r="T322" s="1" t="e">
        <f aca="false">IF(ISBLANK(INDEX(big_daily_table,MATCH(DATE(T$5,$K322,$J322),daily_dates,0),MATCH($B$3,daily_items,0))),NA(),INDEX(big_daily_table,MATCH(DATE(T$5,$K322,$J322),daily_dates,0),MATCH($B$3,daily_items,0)))</f>
        <v>#N/A</v>
      </c>
      <c r="U322" s="1" t="e">
        <f aca="false">IF(ISBLANK(INDEX(big_daily_table,MATCH(DATE(U$5,$K322,$J322),daily_dates,0),MATCH($B$3,daily_items,0))),NA(),INDEX(big_daily_table,MATCH(DATE(U$5,$K322,$J322),daily_dates,0),MATCH($B$3,daily_items,0)))</f>
        <v>#N/A</v>
      </c>
      <c r="V322" s="1" t="e">
        <f aca="false">IF(ISBLANK(INDEX(big_daily_table,MATCH(DATE(V$5,$K322,$J322),daily_dates,0),MATCH($B$3,daily_items,0))),NA(),INDEX(big_daily_table,MATCH(DATE(V$5,$K322,$J322),daily_dates,0),MATCH($B$3,daily_items,0)))</f>
        <v>#N/A</v>
      </c>
      <c r="W322" s="1" t="e">
        <f aca="false">IF(ISBLANK(INDEX(big_daily_table,MATCH(DATE(W$5,$K322,$J322),daily_dates,0),MATCH($B$3,daily_items,0))),NA(),INDEX(big_daily_table,MATCH(DATE(W$5,$K322,$J322),daily_dates,0),MATCH($B$3,daily_items,0)))</f>
        <v>#N/A</v>
      </c>
      <c r="X322" s="1" t="e">
        <f aca="false">IF(ISBLANK(INDEX(big_daily_table,MATCH(DATE(X$5,$K322,$J322),daily_dates,0),MATCH($B$3,daily_items,0))),NA(),INDEX(big_daily_table,MATCH(DATE(X$5,$K322,$J322),daily_dates,0),MATCH($B$3,daily_items,0)))</f>
        <v>#N/A</v>
      </c>
      <c r="Y322" s="1" t="e">
        <f aca="false">IF(ISBLANK(INDEX(big_daily_table,MATCH(DATE(Y$5,$K322,$J322),daily_dates,0),MATCH($B$3,daily_items,0))),NA(),INDEX(big_daily_table,MATCH(DATE(Y$5,$K322,$J322),daily_dates,0),MATCH($B$3,daily_items,0)))</f>
        <v>#N/A</v>
      </c>
      <c r="Z322" s="1" t="e">
        <f aca="false">IF(ISBLANK(INDEX(big_daily_table,MATCH(DATE(Z$5,$K322,$J322),daily_dates,0),MATCH($B$3,daily_items,0))),NA(),INDEX(big_daily_table,MATCH(DATE(Z$5,$K322,$J322),daily_dates,0),MATCH($B$3,daily_items,0)))</f>
        <v>#N/A</v>
      </c>
      <c r="AA322" s="1" t="n">
        <f aca="true">_xlfn.AGGREGATE(5,6,OFFSET($S$5,H322,0,1,$K$2))</f>
        <v>0</v>
      </c>
      <c r="AB322" s="1" t="n">
        <f aca="true">_xlfn.AGGREGATE(4,6,OFFSET($S$5,H322,0,1,$K$2))</f>
        <v>0</v>
      </c>
      <c r="AC322" s="1" t="n">
        <f aca="false">AB322-AA322</f>
        <v>0</v>
      </c>
      <c r="AD322" s="1" t="e">
        <f aca="true">_xlfn.AGGREGATE(1,6,OFFSET($S$5,H322,0,1,$K$2))</f>
        <v>#DIV/0!</v>
      </c>
    </row>
    <row r="323" customFormat="false" ht="14.25" hidden="false" customHeight="false" outlineLevel="0" collapsed="false">
      <c r="H323" s="1" t="n">
        <f aca="false">H322+1</f>
        <v>318</v>
      </c>
      <c r="I323" s="1" t="n">
        <f aca="false">WEEKDAY('daily graphs'!K323)</f>
        <v>2</v>
      </c>
      <c r="J323" s="1" t="n">
        <f aca="false">DAY(L323)</f>
        <v>11</v>
      </c>
      <c r="K323" s="1" t="n">
        <f aca="false">MONTH(L323)</f>
        <v>11</v>
      </c>
      <c r="L323" s="23" t="n">
        <f aca="false">'daily graphs'!K323 - I323</f>
        <v>36841</v>
      </c>
      <c r="M323" s="24" t="n">
        <f aca="true">IF(TODAY()&lt;DATE($O$5,K323,J323),1000000,-1000000)</f>
        <v>1000000</v>
      </c>
      <c r="N323" s="24" t="e">
        <f aca="false">IF(M323&gt;0,INDEX(big_daily_table,MATCH(DATE(O$5,$K323,$J323),daily_dates,0),MATCH($B$3,daily_items,0)),NA())</f>
        <v>#N/A</v>
      </c>
      <c r="O323" s="1" t="e">
        <f aca="false">IF(M323&lt;0,INDEX(big_daily_table,MATCH(DATE(O$5,$K323,$J323),daily_dates,0),MATCH($B$3,daily_items,0)),NA())</f>
        <v>#N/A</v>
      </c>
      <c r="P323" s="1" t="e">
        <f aca="false">IF(ISBLANK(INDEX(big_daily_table,MATCH(DATE(P$5,$K323,$J323),daily_dates,0),MATCH($B$3,daily_items,0))),NA(),INDEX(big_daily_table,MATCH(DATE(P$5,$K323,$J323),daily_dates,0),MATCH($B$3,daily_items,0)))</f>
        <v>#N/A</v>
      </c>
      <c r="Q323" s="1" t="e">
        <f aca="false">IF(ISBLANK(INDEX(big_daily_table,MATCH(DATE(Q$5,$K323,$J323),daily_dates,0),MATCH($B$3,daily_items,0))),NA(),INDEX(big_daily_table,MATCH(DATE(Q$5,$K323,$J323),daily_dates,0),MATCH($B$3,daily_items,0)))</f>
        <v>#N/A</v>
      </c>
      <c r="R323" s="1" t="e">
        <f aca="false">IF(ISBLANK(INDEX(big_daily_table,MATCH(DATE(R$5,$K323,$J323),daily_dates,0),MATCH($B$3,daily_items,0))),NA(),INDEX(big_daily_table,MATCH(DATE(R$5,$K323,$J323),daily_dates,0),MATCH($B$3,daily_items,0)))</f>
        <v>#N/A</v>
      </c>
      <c r="S323" s="1" t="e">
        <f aca="false">IF(ISBLANK(INDEX(big_daily_table,MATCH(DATE(S$5,$K323,$J323),daily_dates,0),MATCH($B$3,daily_items,0))),NA(),INDEX(big_daily_table,MATCH(DATE(S$5,$K323,$J323),daily_dates,0),MATCH($B$3,daily_items,0)))</f>
        <v>#N/A</v>
      </c>
      <c r="T323" s="1" t="e">
        <f aca="false">IF(ISBLANK(INDEX(big_daily_table,MATCH(DATE(T$5,$K323,$J323),daily_dates,0),MATCH($B$3,daily_items,0))),NA(),INDEX(big_daily_table,MATCH(DATE(T$5,$K323,$J323),daily_dates,0),MATCH($B$3,daily_items,0)))</f>
        <v>#N/A</v>
      </c>
      <c r="U323" s="1" t="e">
        <f aca="false">IF(ISBLANK(INDEX(big_daily_table,MATCH(DATE(U$5,$K323,$J323),daily_dates,0),MATCH($B$3,daily_items,0))),NA(),INDEX(big_daily_table,MATCH(DATE(U$5,$K323,$J323),daily_dates,0),MATCH($B$3,daily_items,0)))</f>
        <v>#N/A</v>
      </c>
      <c r="V323" s="1" t="e">
        <f aca="false">IF(ISBLANK(INDEX(big_daily_table,MATCH(DATE(V$5,$K323,$J323),daily_dates,0),MATCH($B$3,daily_items,0))),NA(),INDEX(big_daily_table,MATCH(DATE(V$5,$K323,$J323),daily_dates,0),MATCH($B$3,daily_items,0)))</f>
        <v>#N/A</v>
      </c>
      <c r="W323" s="1" t="e">
        <f aca="false">IF(ISBLANK(INDEX(big_daily_table,MATCH(DATE(W$5,$K323,$J323),daily_dates,0),MATCH($B$3,daily_items,0))),NA(),INDEX(big_daily_table,MATCH(DATE(W$5,$K323,$J323),daily_dates,0),MATCH($B$3,daily_items,0)))</f>
        <v>#N/A</v>
      </c>
      <c r="X323" s="1" t="e">
        <f aca="false">IF(ISBLANK(INDEX(big_daily_table,MATCH(DATE(X$5,$K323,$J323),daily_dates,0),MATCH($B$3,daily_items,0))),NA(),INDEX(big_daily_table,MATCH(DATE(X$5,$K323,$J323),daily_dates,0),MATCH($B$3,daily_items,0)))</f>
        <v>#N/A</v>
      </c>
      <c r="Y323" s="1" t="e">
        <f aca="false">IF(ISBLANK(INDEX(big_daily_table,MATCH(DATE(Y$5,$K323,$J323),daily_dates,0),MATCH($B$3,daily_items,0))),NA(),INDEX(big_daily_table,MATCH(DATE(Y$5,$K323,$J323),daily_dates,0),MATCH($B$3,daily_items,0)))</f>
        <v>#N/A</v>
      </c>
      <c r="Z323" s="1" t="e">
        <f aca="false">IF(ISBLANK(INDEX(big_daily_table,MATCH(DATE(Z$5,$K323,$J323),daily_dates,0),MATCH($B$3,daily_items,0))),NA(),INDEX(big_daily_table,MATCH(DATE(Z$5,$K323,$J323),daily_dates,0),MATCH($B$3,daily_items,0)))</f>
        <v>#N/A</v>
      </c>
      <c r="AA323" s="1" t="n">
        <f aca="true">_xlfn.AGGREGATE(5,6,OFFSET($S$5,H323,0,1,$K$2))</f>
        <v>0</v>
      </c>
      <c r="AB323" s="1" t="n">
        <f aca="true">_xlfn.AGGREGATE(4,6,OFFSET($S$5,H323,0,1,$K$2))</f>
        <v>0</v>
      </c>
      <c r="AC323" s="1" t="n">
        <f aca="false">AB323-AA323</f>
        <v>0</v>
      </c>
      <c r="AD323" s="1" t="e">
        <f aca="true">_xlfn.AGGREGATE(1,6,OFFSET($S$5,H323,0,1,$K$2))</f>
        <v>#DIV/0!</v>
      </c>
    </row>
    <row r="324" customFormat="false" ht="14.25" hidden="false" customHeight="false" outlineLevel="0" collapsed="false">
      <c r="H324" s="1" t="n">
        <f aca="false">H323+1</f>
        <v>319</v>
      </c>
      <c r="I324" s="1" t="n">
        <f aca="false">WEEKDAY('daily graphs'!K324)</f>
        <v>3</v>
      </c>
      <c r="J324" s="1" t="n">
        <f aca="false">DAY(L324)</f>
        <v>11</v>
      </c>
      <c r="K324" s="1" t="n">
        <f aca="false">MONTH(L324)</f>
        <v>11</v>
      </c>
      <c r="L324" s="23" t="n">
        <f aca="false">'daily graphs'!K324 - I324</f>
        <v>36841</v>
      </c>
      <c r="M324" s="24" t="n">
        <f aca="true">IF(TODAY()&lt;DATE($O$5,K324,J324),1000000,-1000000)</f>
        <v>1000000</v>
      </c>
      <c r="N324" s="24" t="e">
        <f aca="false">IF(M324&gt;0,INDEX(big_daily_table,MATCH(DATE(O$5,$K324,$J324),daily_dates,0),MATCH($B$3,daily_items,0)),NA())</f>
        <v>#N/A</v>
      </c>
      <c r="O324" s="1" t="e">
        <f aca="false">IF(M324&lt;0,INDEX(big_daily_table,MATCH(DATE(O$5,$K324,$J324),daily_dates,0),MATCH($B$3,daily_items,0)),NA())</f>
        <v>#N/A</v>
      </c>
      <c r="P324" s="1" t="e">
        <f aca="false">IF(ISBLANK(INDEX(big_daily_table,MATCH(DATE(P$5,$K324,$J324),daily_dates,0),MATCH($B$3,daily_items,0))),NA(),INDEX(big_daily_table,MATCH(DATE(P$5,$K324,$J324),daily_dates,0),MATCH($B$3,daily_items,0)))</f>
        <v>#N/A</v>
      </c>
      <c r="Q324" s="1" t="e">
        <f aca="false">IF(ISBLANK(INDEX(big_daily_table,MATCH(DATE(Q$5,$K324,$J324),daily_dates,0),MATCH($B$3,daily_items,0))),NA(),INDEX(big_daily_table,MATCH(DATE(Q$5,$K324,$J324),daily_dates,0),MATCH($B$3,daily_items,0)))</f>
        <v>#N/A</v>
      </c>
      <c r="R324" s="1" t="e">
        <f aca="false">IF(ISBLANK(INDEX(big_daily_table,MATCH(DATE(R$5,$K324,$J324),daily_dates,0),MATCH($B$3,daily_items,0))),NA(),INDEX(big_daily_table,MATCH(DATE(R$5,$K324,$J324),daily_dates,0),MATCH($B$3,daily_items,0)))</f>
        <v>#N/A</v>
      </c>
      <c r="S324" s="1" t="e">
        <f aca="false">IF(ISBLANK(INDEX(big_daily_table,MATCH(DATE(S$5,$K324,$J324),daily_dates,0),MATCH($B$3,daily_items,0))),NA(),INDEX(big_daily_table,MATCH(DATE(S$5,$K324,$J324),daily_dates,0),MATCH($B$3,daily_items,0)))</f>
        <v>#N/A</v>
      </c>
      <c r="T324" s="1" t="e">
        <f aca="false">IF(ISBLANK(INDEX(big_daily_table,MATCH(DATE(T$5,$K324,$J324),daily_dates,0),MATCH($B$3,daily_items,0))),NA(),INDEX(big_daily_table,MATCH(DATE(T$5,$K324,$J324),daily_dates,0),MATCH($B$3,daily_items,0)))</f>
        <v>#N/A</v>
      </c>
      <c r="U324" s="1" t="e">
        <f aca="false">IF(ISBLANK(INDEX(big_daily_table,MATCH(DATE(U$5,$K324,$J324),daily_dates,0),MATCH($B$3,daily_items,0))),NA(),INDEX(big_daily_table,MATCH(DATE(U$5,$K324,$J324),daily_dates,0),MATCH($B$3,daily_items,0)))</f>
        <v>#N/A</v>
      </c>
      <c r="V324" s="1" t="e">
        <f aca="false">IF(ISBLANK(INDEX(big_daily_table,MATCH(DATE(V$5,$K324,$J324),daily_dates,0),MATCH($B$3,daily_items,0))),NA(),INDEX(big_daily_table,MATCH(DATE(V$5,$K324,$J324),daily_dates,0),MATCH($B$3,daily_items,0)))</f>
        <v>#N/A</v>
      </c>
      <c r="W324" s="1" t="e">
        <f aca="false">IF(ISBLANK(INDEX(big_daily_table,MATCH(DATE(W$5,$K324,$J324),daily_dates,0),MATCH($B$3,daily_items,0))),NA(),INDEX(big_daily_table,MATCH(DATE(W$5,$K324,$J324),daily_dates,0),MATCH($B$3,daily_items,0)))</f>
        <v>#N/A</v>
      </c>
      <c r="X324" s="1" t="e">
        <f aca="false">IF(ISBLANK(INDEX(big_daily_table,MATCH(DATE(X$5,$K324,$J324),daily_dates,0),MATCH($B$3,daily_items,0))),NA(),INDEX(big_daily_table,MATCH(DATE(X$5,$K324,$J324),daily_dates,0),MATCH($B$3,daily_items,0)))</f>
        <v>#N/A</v>
      </c>
      <c r="Y324" s="1" t="e">
        <f aca="false">IF(ISBLANK(INDEX(big_daily_table,MATCH(DATE(Y$5,$K324,$J324),daily_dates,0),MATCH($B$3,daily_items,0))),NA(),INDEX(big_daily_table,MATCH(DATE(Y$5,$K324,$J324),daily_dates,0),MATCH($B$3,daily_items,0)))</f>
        <v>#N/A</v>
      </c>
      <c r="Z324" s="1" t="e">
        <f aca="false">IF(ISBLANK(INDEX(big_daily_table,MATCH(DATE(Z$5,$K324,$J324),daily_dates,0),MATCH($B$3,daily_items,0))),NA(),INDEX(big_daily_table,MATCH(DATE(Z$5,$K324,$J324),daily_dates,0),MATCH($B$3,daily_items,0)))</f>
        <v>#N/A</v>
      </c>
      <c r="AA324" s="1" t="n">
        <f aca="true">_xlfn.AGGREGATE(5,6,OFFSET($S$5,H324,0,1,$K$2))</f>
        <v>0</v>
      </c>
      <c r="AB324" s="1" t="n">
        <f aca="true">_xlfn.AGGREGATE(4,6,OFFSET($S$5,H324,0,1,$K$2))</f>
        <v>0</v>
      </c>
      <c r="AC324" s="1" t="n">
        <f aca="false">AB324-AA324</f>
        <v>0</v>
      </c>
      <c r="AD324" s="1" t="e">
        <f aca="true">_xlfn.AGGREGATE(1,6,OFFSET($S$5,H324,0,1,$K$2))</f>
        <v>#DIV/0!</v>
      </c>
    </row>
    <row r="325" customFormat="false" ht="14.25" hidden="false" customHeight="false" outlineLevel="0" collapsed="false">
      <c r="H325" s="1" t="n">
        <f aca="false">H324+1</f>
        <v>320</v>
      </c>
      <c r="I325" s="1" t="n">
        <f aca="false">WEEKDAY('daily graphs'!K325)</f>
        <v>4</v>
      </c>
      <c r="J325" s="1" t="n">
        <f aca="false">DAY(L325)</f>
        <v>11</v>
      </c>
      <c r="K325" s="1" t="n">
        <f aca="false">MONTH(L325)</f>
        <v>11</v>
      </c>
      <c r="L325" s="23" t="n">
        <f aca="false">'daily graphs'!K325 - I325</f>
        <v>36841</v>
      </c>
      <c r="M325" s="24" t="n">
        <f aca="true">IF(TODAY()&lt;DATE($O$5,K325,J325),1000000,-1000000)</f>
        <v>1000000</v>
      </c>
      <c r="N325" s="24" t="e">
        <f aca="false">IF(M325&gt;0,INDEX(big_daily_table,MATCH(DATE(O$5,$K325,$J325),daily_dates,0),MATCH($B$3,daily_items,0)),NA())</f>
        <v>#N/A</v>
      </c>
      <c r="O325" s="1" t="e">
        <f aca="false">IF(M325&lt;0,INDEX(big_daily_table,MATCH(DATE(O$5,$K325,$J325),daily_dates,0),MATCH($B$3,daily_items,0)),NA())</f>
        <v>#N/A</v>
      </c>
      <c r="P325" s="1" t="e">
        <f aca="false">IF(ISBLANK(INDEX(big_daily_table,MATCH(DATE(P$5,$K325,$J325),daily_dates,0),MATCH($B$3,daily_items,0))),NA(),INDEX(big_daily_table,MATCH(DATE(P$5,$K325,$J325),daily_dates,0),MATCH($B$3,daily_items,0)))</f>
        <v>#N/A</v>
      </c>
      <c r="Q325" s="1" t="e">
        <f aca="false">IF(ISBLANK(INDEX(big_daily_table,MATCH(DATE(Q$5,$K325,$J325),daily_dates,0),MATCH($B$3,daily_items,0))),NA(),INDEX(big_daily_table,MATCH(DATE(Q$5,$K325,$J325),daily_dates,0),MATCH($B$3,daily_items,0)))</f>
        <v>#N/A</v>
      </c>
      <c r="R325" s="1" t="e">
        <f aca="false">IF(ISBLANK(INDEX(big_daily_table,MATCH(DATE(R$5,$K325,$J325),daily_dates,0),MATCH($B$3,daily_items,0))),NA(),INDEX(big_daily_table,MATCH(DATE(R$5,$K325,$J325),daily_dates,0),MATCH($B$3,daily_items,0)))</f>
        <v>#N/A</v>
      </c>
      <c r="S325" s="1" t="e">
        <f aca="false">IF(ISBLANK(INDEX(big_daily_table,MATCH(DATE(S$5,$K325,$J325),daily_dates,0),MATCH($B$3,daily_items,0))),NA(),INDEX(big_daily_table,MATCH(DATE(S$5,$K325,$J325),daily_dates,0),MATCH($B$3,daily_items,0)))</f>
        <v>#N/A</v>
      </c>
      <c r="T325" s="1" t="e">
        <f aca="false">IF(ISBLANK(INDEX(big_daily_table,MATCH(DATE(T$5,$K325,$J325),daily_dates,0),MATCH($B$3,daily_items,0))),NA(),INDEX(big_daily_table,MATCH(DATE(T$5,$K325,$J325),daily_dates,0),MATCH($B$3,daily_items,0)))</f>
        <v>#N/A</v>
      </c>
      <c r="U325" s="1" t="e">
        <f aca="false">IF(ISBLANK(INDEX(big_daily_table,MATCH(DATE(U$5,$K325,$J325),daily_dates,0),MATCH($B$3,daily_items,0))),NA(),INDEX(big_daily_table,MATCH(DATE(U$5,$K325,$J325),daily_dates,0),MATCH($B$3,daily_items,0)))</f>
        <v>#N/A</v>
      </c>
      <c r="V325" s="1" t="e">
        <f aca="false">IF(ISBLANK(INDEX(big_daily_table,MATCH(DATE(V$5,$K325,$J325),daily_dates,0),MATCH($B$3,daily_items,0))),NA(),INDEX(big_daily_table,MATCH(DATE(V$5,$K325,$J325),daily_dates,0),MATCH($B$3,daily_items,0)))</f>
        <v>#N/A</v>
      </c>
      <c r="W325" s="1" t="e">
        <f aca="false">IF(ISBLANK(INDEX(big_daily_table,MATCH(DATE(W$5,$K325,$J325),daily_dates,0),MATCH($B$3,daily_items,0))),NA(),INDEX(big_daily_table,MATCH(DATE(W$5,$K325,$J325),daily_dates,0),MATCH($B$3,daily_items,0)))</f>
        <v>#N/A</v>
      </c>
      <c r="X325" s="1" t="e">
        <f aca="false">IF(ISBLANK(INDEX(big_daily_table,MATCH(DATE(X$5,$K325,$J325),daily_dates,0),MATCH($B$3,daily_items,0))),NA(),INDEX(big_daily_table,MATCH(DATE(X$5,$K325,$J325),daily_dates,0),MATCH($B$3,daily_items,0)))</f>
        <v>#N/A</v>
      </c>
      <c r="Y325" s="1" t="e">
        <f aca="false">IF(ISBLANK(INDEX(big_daily_table,MATCH(DATE(Y$5,$K325,$J325),daily_dates,0),MATCH($B$3,daily_items,0))),NA(),INDEX(big_daily_table,MATCH(DATE(Y$5,$K325,$J325),daily_dates,0),MATCH($B$3,daily_items,0)))</f>
        <v>#N/A</v>
      </c>
      <c r="Z325" s="1" t="e">
        <f aca="false">IF(ISBLANK(INDEX(big_daily_table,MATCH(DATE(Z$5,$K325,$J325),daily_dates,0),MATCH($B$3,daily_items,0))),NA(),INDEX(big_daily_table,MATCH(DATE(Z$5,$K325,$J325),daily_dates,0),MATCH($B$3,daily_items,0)))</f>
        <v>#N/A</v>
      </c>
      <c r="AA325" s="1" t="n">
        <f aca="true">_xlfn.AGGREGATE(5,6,OFFSET($S$5,H325,0,1,$K$2))</f>
        <v>0</v>
      </c>
      <c r="AB325" s="1" t="n">
        <f aca="true">_xlfn.AGGREGATE(4,6,OFFSET($S$5,H325,0,1,$K$2))</f>
        <v>0</v>
      </c>
      <c r="AC325" s="1" t="n">
        <f aca="false">AB325-AA325</f>
        <v>0</v>
      </c>
      <c r="AD325" s="1" t="e">
        <f aca="true">_xlfn.AGGREGATE(1,6,OFFSET($S$5,H325,0,1,$K$2))</f>
        <v>#DIV/0!</v>
      </c>
    </row>
    <row r="326" customFormat="false" ht="14.25" hidden="false" customHeight="false" outlineLevel="0" collapsed="false">
      <c r="H326" s="1" t="n">
        <f aca="false">H325+1</f>
        <v>321</v>
      </c>
      <c r="I326" s="1" t="n">
        <f aca="false">WEEKDAY('daily graphs'!K326)</f>
        <v>5</v>
      </c>
      <c r="J326" s="1" t="n">
        <f aca="false">DAY(L326)</f>
        <v>11</v>
      </c>
      <c r="K326" s="1" t="n">
        <f aca="false">MONTH(L326)</f>
        <v>11</v>
      </c>
      <c r="L326" s="23" t="n">
        <f aca="false">'daily graphs'!K326 - I326</f>
        <v>36841</v>
      </c>
      <c r="M326" s="24" t="n">
        <f aca="true">IF(TODAY()&lt;DATE($O$5,K326,J326),1000000,-1000000)</f>
        <v>1000000</v>
      </c>
      <c r="N326" s="24" t="e">
        <f aca="false">IF(M326&gt;0,INDEX(big_daily_table,MATCH(DATE(O$5,$K326,$J326),daily_dates,0),MATCH($B$3,daily_items,0)),NA())</f>
        <v>#N/A</v>
      </c>
      <c r="O326" s="1" t="e">
        <f aca="false">IF(M326&lt;0,INDEX(big_daily_table,MATCH(DATE(O$5,$K326,$J326),daily_dates,0),MATCH($B$3,daily_items,0)),NA())</f>
        <v>#N/A</v>
      </c>
      <c r="P326" s="1" t="e">
        <f aca="false">IF(ISBLANK(INDEX(big_daily_table,MATCH(DATE(P$5,$K326,$J326),daily_dates,0),MATCH($B$3,daily_items,0))),NA(),INDEX(big_daily_table,MATCH(DATE(P$5,$K326,$J326),daily_dates,0),MATCH($B$3,daily_items,0)))</f>
        <v>#N/A</v>
      </c>
      <c r="Q326" s="1" t="e">
        <f aca="false">IF(ISBLANK(INDEX(big_daily_table,MATCH(DATE(Q$5,$K326,$J326),daily_dates,0),MATCH($B$3,daily_items,0))),NA(),INDEX(big_daily_table,MATCH(DATE(Q$5,$K326,$J326),daily_dates,0),MATCH($B$3,daily_items,0)))</f>
        <v>#N/A</v>
      </c>
      <c r="R326" s="1" t="e">
        <f aca="false">IF(ISBLANK(INDEX(big_daily_table,MATCH(DATE(R$5,$K326,$J326),daily_dates,0),MATCH($B$3,daily_items,0))),NA(),INDEX(big_daily_table,MATCH(DATE(R$5,$K326,$J326),daily_dates,0),MATCH($B$3,daily_items,0)))</f>
        <v>#N/A</v>
      </c>
      <c r="S326" s="1" t="e">
        <f aca="false">IF(ISBLANK(INDEX(big_daily_table,MATCH(DATE(S$5,$K326,$J326),daily_dates,0),MATCH($B$3,daily_items,0))),NA(),INDEX(big_daily_table,MATCH(DATE(S$5,$K326,$J326),daily_dates,0),MATCH($B$3,daily_items,0)))</f>
        <v>#N/A</v>
      </c>
      <c r="T326" s="1" t="e">
        <f aca="false">IF(ISBLANK(INDEX(big_daily_table,MATCH(DATE(T$5,$K326,$J326),daily_dates,0),MATCH($B$3,daily_items,0))),NA(),INDEX(big_daily_table,MATCH(DATE(T$5,$K326,$J326),daily_dates,0),MATCH($B$3,daily_items,0)))</f>
        <v>#N/A</v>
      </c>
      <c r="U326" s="1" t="e">
        <f aca="false">IF(ISBLANK(INDEX(big_daily_table,MATCH(DATE(U$5,$K326,$J326),daily_dates,0),MATCH($B$3,daily_items,0))),NA(),INDEX(big_daily_table,MATCH(DATE(U$5,$K326,$J326),daily_dates,0),MATCH($B$3,daily_items,0)))</f>
        <v>#N/A</v>
      </c>
      <c r="V326" s="1" t="e">
        <f aca="false">IF(ISBLANK(INDEX(big_daily_table,MATCH(DATE(V$5,$K326,$J326),daily_dates,0),MATCH($B$3,daily_items,0))),NA(),INDEX(big_daily_table,MATCH(DATE(V$5,$K326,$J326),daily_dates,0),MATCH($B$3,daily_items,0)))</f>
        <v>#N/A</v>
      </c>
      <c r="W326" s="1" t="e">
        <f aca="false">IF(ISBLANK(INDEX(big_daily_table,MATCH(DATE(W$5,$K326,$J326),daily_dates,0),MATCH($B$3,daily_items,0))),NA(),INDEX(big_daily_table,MATCH(DATE(W$5,$K326,$J326),daily_dates,0),MATCH($B$3,daily_items,0)))</f>
        <v>#N/A</v>
      </c>
      <c r="X326" s="1" t="e">
        <f aca="false">IF(ISBLANK(INDEX(big_daily_table,MATCH(DATE(X$5,$K326,$J326),daily_dates,0),MATCH($B$3,daily_items,0))),NA(),INDEX(big_daily_table,MATCH(DATE(X$5,$K326,$J326),daily_dates,0),MATCH($B$3,daily_items,0)))</f>
        <v>#N/A</v>
      </c>
      <c r="Y326" s="1" t="e">
        <f aca="false">IF(ISBLANK(INDEX(big_daily_table,MATCH(DATE(Y$5,$K326,$J326),daily_dates,0),MATCH($B$3,daily_items,0))),NA(),INDEX(big_daily_table,MATCH(DATE(Y$5,$K326,$J326),daily_dates,0),MATCH($B$3,daily_items,0)))</f>
        <v>#N/A</v>
      </c>
      <c r="Z326" s="1" t="e">
        <f aca="false">IF(ISBLANK(INDEX(big_daily_table,MATCH(DATE(Z$5,$K326,$J326),daily_dates,0),MATCH($B$3,daily_items,0))),NA(),INDEX(big_daily_table,MATCH(DATE(Z$5,$K326,$J326),daily_dates,0),MATCH($B$3,daily_items,0)))</f>
        <v>#N/A</v>
      </c>
      <c r="AA326" s="1" t="n">
        <f aca="true">_xlfn.AGGREGATE(5,6,OFFSET($S$5,H326,0,1,$K$2))</f>
        <v>0</v>
      </c>
      <c r="AB326" s="1" t="n">
        <f aca="true">_xlfn.AGGREGATE(4,6,OFFSET($S$5,H326,0,1,$K$2))</f>
        <v>0</v>
      </c>
      <c r="AC326" s="1" t="n">
        <f aca="false">AB326-AA326</f>
        <v>0</v>
      </c>
      <c r="AD326" s="1" t="e">
        <f aca="true">_xlfn.AGGREGATE(1,6,OFFSET($S$5,H326,0,1,$K$2))</f>
        <v>#DIV/0!</v>
      </c>
    </row>
    <row r="327" customFormat="false" ht="14.25" hidden="false" customHeight="false" outlineLevel="0" collapsed="false">
      <c r="H327" s="1" t="n">
        <f aca="false">H326+1</f>
        <v>322</v>
      </c>
      <c r="I327" s="1" t="n">
        <f aca="false">WEEKDAY('daily graphs'!K327)</f>
        <v>6</v>
      </c>
      <c r="J327" s="1" t="n">
        <f aca="false">DAY(L327)</f>
        <v>11</v>
      </c>
      <c r="K327" s="1" t="n">
        <f aca="false">MONTH(L327)</f>
        <v>11</v>
      </c>
      <c r="L327" s="23" t="n">
        <f aca="false">'daily graphs'!K327 - I327</f>
        <v>36841</v>
      </c>
      <c r="M327" s="24" t="n">
        <f aca="true">IF(TODAY()&lt;DATE($O$5,K327,J327),1000000,-1000000)</f>
        <v>1000000</v>
      </c>
      <c r="N327" s="24" t="e">
        <f aca="false">IF(M327&gt;0,INDEX(big_daily_table,MATCH(DATE(O$5,$K327,$J327),daily_dates,0),MATCH($B$3,daily_items,0)),NA())</f>
        <v>#N/A</v>
      </c>
      <c r="O327" s="1" t="e">
        <f aca="false">IF(M327&lt;0,INDEX(big_daily_table,MATCH(DATE(O$5,$K327,$J327),daily_dates,0),MATCH($B$3,daily_items,0)),NA())</f>
        <v>#N/A</v>
      </c>
      <c r="P327" s="1" t="e">
        <f aca="false">IF(ISBLANK(INDEX(big_daily_table,MATCH(DATE(P$5,$K327,$J327),daily_dates,0),MATCH($B$3,daily_items,0))),NA(),INDEX(big_daily_table,MATCH(DATE(P$5,$K327,$J327),daily_dates,0),MATCH($B$3,daily_items,0)))</f>
        <v>#N/A</v>
      </c>
      <c r="Q327" s="1" t="e">
        <f aca="false">IF(ISBLANK(INDEX(big_daily_table,MATCH(DATE(Q$5,$K327,$J327),daily_dates,0),MATCH($B$3,daily_items,0))),NA(),INDEX(big_daily_table,MATCH(DATE(Q$5,$K327,$J327),daily_dates,0),MATCH($B$3,daily_items,0)))</f>
        <v>#N/A</v>
      </c>
      <c r="R327" s="1" t="e">
        <f aca="false">IF(ISBLANK(INDEX(big_daily_table,MATCH(DATE(R$5,$K327,$J327),daily_dates,0),MATCH($B$3,daily_items,0))),NA(),INDEX(big_daily_table,MATCH(DATE(R$5,$K327,$J327),daily_dates,0),MATCH($B$3,daily_items,0)))</f>
        <v>#N/A</v>
      </c>
      <c r="S327" s="1" t="e">
        <f aca="false">IF(ISBLANK(INDEX(big_daily_table,MATCH(DATE(S$5,$K327,$J327),daily_dates,0),MATCH($B$3,daily_items,0))),NA(),INDEX(big_daily_table,MATCH(DATE(S$5,$K327,$J327),daily_dates,0),MATCH($B$3,daily_items,0)))</f>
        <v>#N/A</v>
      </c>
      <c r="T327" s="1" t="e">
        <f aca="false">IF(ISBLANK(INDEX(big_daily_table,MATCH(DATE(T$5,$K327,$J327),daily_dates,0),MATCH($B$3,daily_items,0))),NA(),INDEX(big_daily_table,MATCH(DATE(T$5,$K327,$J327),daily_dates,0),MATCH($B$3,daily_items,0)))</f>
        <v>#N/A</v>
      </c>
      <c r="U327" s="1" t="e">
        <f aca="false">IF(ISBLANK(INDEX(big_daily_table,MATCH(DATE(U$5,$K327,$J327),daily_dates,0),MATCH($B$3,daily_items,0))),NA(),INDEX(big_daily_table,MATCH(DATE(U$5,$K327,$J327),daily_dates,0),MATCH($B$3,daily_items,0)))</f>
        <v>#N/A</v>
      </c>
      <c r="V327" s="1" t="e">
        <f aca="false">IF(ISBLANK(INDEX(big_daily_table,MATCH(DATE(V$5,$K327,$J327),daily_dates,0),MATCH($B$3,daily_items,0))),NA(),INDEX(big_daily_table,MATCH(DATE(V$5,$K327,$J327),daily_dates,0),MATCH($B$3,daily_items,0)))</f>
        <v>#N/A</v>
      </c>
      <c r="W327" s="1" t="e">
        <f aca="false">IF(ISBLANK(INDEX(big_daily_table,MATCH(DATE(W$5,$K327,$J327),daily_dates,0),MATCH($B$3,daily_items,0))),NA(),INDEX(big_daily_table,MATCH(DATE(W$5,$K327,$J327),daily_dates,0),MATCH($B$3,daily_items,0)))</f>
        <v>#N/A</v>
      </c>
      <c r="X327" s="1" t="e">
        <f aca="false">IF(ISBLANK(INDEX(big_daily_table,MATCH(DATE(X$5,$K327,$J327),daily_dates,0),MATCH($B$3,daily_items,0))),NA(),INDEX(big_daily_table,MATCH(DATE(X$5,$K327,$J327),daily_dates,0),MATCH($B$3,daily_items,0)))</f>
        <v>#N/A</v>
      </c>
      <c r="Y327" s="1" t="e">
        <f aca="false">IF(ISBLANK(INDEX(big_daily_table,MATCH(DATE(Y$5,$K327,$J327),daily_dates,0),MATCH($B$3,daily_items,0))),NA(),INDEX(big_daily_table,MATCH(DATE(Y$5,$K327,$J327),daily_dates,0),MATCH($B$3,daily_items,0)))</f>
        <v>#N/A</v>
      </c>
      <c r="Z327" s="1" t="e">
        <f aca="false">IF(ISBLANK(INDEX(big_daily_table,MATCH(DATE(Z$5,$K327,$J327),daily_dates,0),MATCH($B$3,daily_items,0))),NA(),INDEX(big_daily_table,MATCH(DATE(Z$5,$K327,$J327),daily_dates,0),MATCH($B$3,daily_items,0)))</f>
        <v>#N/A</v>
      </c>
      <c r="AA327" s="1" t="n">
        <f aca="true">_xlfn.AGGREGATE(5,6,OFFSET($S$5,H327,0,1,$K$2))</f>
        <v>0</v>
      </c>
      <c r="AB327" s="1" t="n">
        <f aca="true">_xlfn.AGGREGATE(4,6,OFFSET($S$5,H327,0,1,$K$2))</f>
        <v>0</v>
      </c>
      <c r="AC327" s="1" t="n">
        <f aca="false">AB327-AA327</f>
        <v>0</v>
      </c>
      <c r="AD327" s="1" t="e">
        <f aca="true">_xlfn.AGGREGATE(1,6,OFFSET($S$5,H327,0,1,$K$2))</f>
        <v>#DIV/0!</v>
      </c>
    </row>
    <row r="328" customFormat="false" ht="14.25" hidden="false" customHeight="false" outlineLevel="0" collapsed="false">
      <c r="H328" s="1" t="n">
        <f aca="false">H327+1</f>
        <v>323</v>
      </c>
      <c r="I328" s="1" t="n">
        <f aca="false">WEEKDAY('daily graphs'!K328)</f>
        <v>7</v>
      </c>
      <c r="J328" s="1" t="n">
        <f aca="false">DAY(L328)</f>
        <v>11</v>
      </c>
      <c r="K328" s="1" t="n">
        <f aca="false">MONTH(L328)</f>
        <v>11</v>
      </c>
      <c r="L328" s="23" t="n">
        <f aca="false">'daily graphs'!K328 - I328</f>
        <v>36841</v>
      </c>
      <c r="M328" s="24" t="n">
        <f aca="true">IF(TODAY()&lt;DATE($O$5,K328,J328),1000000,-1000000)</f>
        <v>1000000</v>
      </c>
      <c r="N328" s="24" t="e">
        <f aca="false">IF(M328&gt;0,INDEX(big_daily_table,MATCH(DATE(O$5,$K328,$J328),daily_dates,0),MATCH($B$3,daily_items,0)),NA())</f>
        <v>#N/A</v>
      </c>
      <c r="O328" s="1" t="e">
        <f aca="false">IF(M328&lt;0,INDEX(big_daily_table,MATCH(DATE(O$5,$K328,$J328),daily_dates,0),MATCH($B$3,daily_items,0)),NA())</f>
        <v>#N/A</v>
      </c>
      <c r="P328" s="1" t="e">
        <f aca="false">IF(ISBLANK(INDEX(big_daily_table,MATCH(DATE(P$5,$K328,$J328),daily_dates,0),MATCH($B$3,daily_items,0))),NA(),INDEX(big_daily_table,MATCH(DATE(P$5,$K328,$J328),daily_dates,0),MATCH($B$3,daily_items,0)))</f>
        <v>#N/A</v>
      </c>
      <c r="Q328" s="1" t="e">
        <f aca="false">IF(ISBLANK(INDEX(big_daily_table,MATCH(DATE(Q$5,$K328,$J328),daily_dates,0),MATCH($B$3,daily_items,0))),NA(),INDEX(big_daily_table,MATCH(DATE(Q$5,$K328,$J328),daily_dates,0),MATCH($B$3,daily_items,0)))</f>
        <v>#N/A</v>
      </c>
      <c r="R328" s="1" t="e">
        <f aca="false">IF(ISBLANK(INDEX(big_daily_table,MATCH(DATE(R$5,$K328,$J328),daily_dates,0),MATCH($B$3,daily_items,0))),NA(),INDEX(big_daily_table,MATCH(DATE(R$5,$K328,$J328),daily_dates,0),MATCH($B$3,daily_items,0)))</f>
        <v>#N/A</v>
      </c>
      <c r="S328" s="1" t="e">
        <f aca="false">IF(ISBLANK(INDEX(big_daily_table,MATCH(DATE(S$5,$K328,$J328),daily_dates,0),MATCH($B$3,daily_items,0))),NA(),INDEX(big_daily_table,MATCH(DATE(S$5,$K328,$J328),daily_dates,0),MATCH($B$3,daily_items,0)))</f>
        <v>#N/A</v>
      </c>
      <c r="T328" s="1" t="e">
        <f aca="false">IF(ISBLANK(INDEX(big_daily_table,MATCH(DATE(T$5,$K328,$J328),daily_dates,0),MATCH($B$3,daily_items,0))),NA(),INDEX(big_daily_table,MATCH(DATE(T$5,$K328,$J328),daily_dates,0),MATCH($B$3,daily_items,0)))</f>
        <v>#N/A</v>
      </c>
      <c r="U328" s="1" t="e">
        <f aca="false">IF(ISBLANK(INDEX(big_daily_table,MATCH(DATE(U$5,$K328,$J328),daily_dates,0),MATCH($B$3,daily_items,0))),NA(),INDEX(big_daily_table,MATCH(DATE(U$5,$K328,$J328),daily_dates,0),MATCH($B$3,daily_items,0)))</f>
        <v>#N/A</v>
      </c>
      <c r="V328" s="1" t="e">
        <f aca="false">IF(ISBLANK(INDEX(big_daily_table,MATCH(DATE(V$5,$K328,$J328),daily_dates,0),MATCH($B$3,daily_items,0))),NA(),INDEX(big_daily_table,MATCH(DATE(V$5,$K328,$J328),daily_dates,0),MATCH($B$3,daily_items,0)))</f>
        <v>#N/A</v>
      </c>
      <c r="W328" s="1" t="e">
        <f aca="false">IF(ISBLANK(INDEX(big_daily_table,MATCH(DATE(W$5,$K328,$J328),daily_dates,0),MATCH($B$3,daily_items,0))),NA(),INDEX(big_daily_table,MATCH(DATE(W$5,$K328,$J328),daily_dates,0),MATCH($B$3,daily_items,0)))</f>
        <v>#N/A</v>
      </c>
      <c r="X328" s="1" t="e">
        <f aca="false">IF(ISBLANK(INDEX(big_daily_table,MATCH(DATE(X$5,$K328,$J328),daily_dates,0),MATCH($B$3,daily_items,0))),NA(),INDEX(big_daily_table,MATCH(DATE(X$5,$K328,$J328),daily_dates,0),MATCH($B$3,daily_items,0)))</f>
        <v>#N/A</v>
      </c>
      <c r="Y328" s="1" t="e">
        <f aca="false">IF(ISBLANK(INDEX(big_daily_table,MATCH(DATE(Y$5,$K328,$J328),daily_dates,0),MATCH($B$3,daily_items,0))),NA(),INDEX(big_daily_table,MATCH(DATE(Y$5,$K328,$J328),daily_dates,0),MATCH($B$3,daily_items,0)))</f>
        <v>#N/A</v>
      </c>
      <c r="Z328" s="1" t="e">
        <f aca="false">IF(ISBLANK(INDEX(big_daily_table,MATCH(DATE(Z$5,$K328,$J328),daily_dates,0),MATCH($B$3,daily_items,0))),NA(),INDEX(big_daily_table,MATCH(DATE(Z$5,$K328,$J328),daily_dates,0),MATCH($B$3,daily_items,0)))</f>
        <v>#N/A</v>
      </c>
      <c r="AA328" s="1" t="n">
        <f aca="true">_xlfn.AGGREGATE(5,6,OFFSET($S$5,H328,0,1,$K$2))</f>
        <v>0</v>
      </c>
      <c r="AB328" s="1" t="n">
        <f aca="true">_xlfn.AGGREGATE(4,6,OFFSET($S$5,H328,0,1,$K$2))</f>
        <v>0</v>
      </c>
      <c r="AC328" s="1" t="n">
        <f aca="false">AB328-AA328</f>
        <v>0</v>
      </c>
      <c r="AD328" s="1" t="e">
        <f aca="true">_xlfn.AGGREGATE(1,6,OFFSET($S$5,H328,0,1,$K$2))</f>
        <v>#DIV/0!</v>
      </c>
    </row>
    <row r="329" customFormat="false" ht="14.25" hidden="false" customHeight="false" outlineLevel="0" collapsed="false">
      <c r="H329" s="1" t="n">
        <f aca="false">H328+1</f>
        <v>324</v>
      </c>
      <c r="I329" s="1" t="n">
        <f aca="false">WEEKDAY('daily graphs'!K329)</f>
        <v>1</v>
      </c>
      <c r="J329" s="1" t="n">
        <f aca="false">DAY(L329)</f>
        <v>18</v>
      </c>
      <c r="K329" s="1" t="n">
        <f aca="false">MONTH(L329)</f>
        <v>11</v>
      </c>
      <c r="L329" s="23" t="n">
        <f aca="false">'daily graphs'!K329 - I329</f>
        <v>36848</v>
      </c>
      <c r="M329" s="24" t="n">
        <f aca="true">IF(TODAY()&lt;DATE($O$5,K329,J329),1000000,-1000000)</f>
        <v>1000000</v>
      </c>
      <c r="N329" s="24" t="e">
        <f aca="false">IF(M329&gt;0,INDEX(big_daily_table,MATCH(DATE(O$5,$K329,$J329),daily_dates,0),MATCH($B$3,daily_items,0)),NA())</f>
        <v>#N/A</v>
      </c>
      <c r="O329" s="1" t="e">
        <f aca="false">IF(M329&lt;0,INDEX(big_daily_table,MATCH(DATE(O$5,$K329,$J329),daily_dates,0),MATCH($B$3,daily_items,0)),NA())</f>
        <v>#N/A</v>
      </c>
      <c r="P329" s="1" t="e">
        <f aca="false">IF(ISBLANK(INDEX(big_daily_table,MATCH(DATE(P$5,$K329,$J329),daily_dates,0),MATCH($B$3,daily_items,0))),NA(),INDEX(big_daily_table,MATCH(DATE(P$5,$K329,$J329),daily_dates,0),MATCH($B$3,daily_items,0)))</f>
        <v>#N/A</v>
      </c>
      <c r="Q329" s="1" t="e">
        <f aca="false">IF(ISBLANK(INDEX(big_daily_table,MATCH(DATE(Q$5,$K329,$J329),daily_dates,0),MATCH($B$3,daily_items,0))),NA(),INDEX(big_daily_table,MATCH(DATE(Q$5,$K329,$J329),daily_dates,0),MATCH($B$3,daily_items,0)))</f>
        <v>#N/A</v>
      </c>
      <c r="R329" s="1" t="e">
        <f aca="false">IF(ISBLANK(INDEX(big_daily_table,MATCH(DATE(R$5,$K329,$J329),daily_dates,0),MATCH($B$3,daily_items,0))),NA(),INDEX(big_daily_table,MATCH(DATE(R$5,$K329,$J329),daily_dates,0),MATCH($B$3,daily_items,0)))</f>
        <v>#N/A</v>
      </c>
      <c r="S329" s="1" t="e">
        <f aca="false">IF(ISBLANK(INDEX(big_daily_table,MATCH(DATE(S$5,$K329,$J329),daily_dates,0),MATCH($B$3,daily_items,0))),NA(),INDEX(big_daily_table,MATCH(DATE(S$5,$K329,$J329),daily_dates,0),MATCH($B$3,daily_items,0)))</f>
        <v>#N/A</v>
      </c>
      <c r="T329" s="1" t="e">
        <f aca="false">IF(ISBLANK(INDEX(big_daily_table,MATCH(DATE(T$5,$K329,$J329),daily_dates,0),MATCH($B$3,daily_items,0))),NA(),INDEX(big_daily_table,MATCH(DATE(T$5,$K329,$J329),daily_dates,0),MATCH($B$3,daily_items,0)))</f>
        <v>#N/A</v>
      </c>
      <c r="U329" s="1" t="e">
        <f aca="false">IF(ISBLANK(INDEX(big_daily_table,MATCH(DATE(U$5,$K329,$J329),daily_dates,0),MATCH($B$3,daily_items,0))),NA(),INDEX(big_daily_table,MATCH(DATE(U$5,$K329,$J329),daily_dates,0),MATCH($B$3,daily_items,0)))</f>
        <v>#N/A</v>
      </c>
      <c r="V329" s="1" t="e">
        <f aca="false">IF(ISBLANK(INDEX(big_daily_table,MATCH(DATE(V$5,$K329,$J329),daily_dates,0),MATCH($B$3,daily_items,0))),NA(),INDEX(big_daily_table,MATCH(DATE(V$5,$K329,$J329),daily_dates,0),MATCH($B$3,daily_items,0)))</f>
        <v>#N/A</v>
      </c>
      <c r="W329" s="1" t="e">
        <f aca="false">IF(ISBLANK(INDEX(big_daily_table,MATCH(DATE(W$5,$K329,$J329),daily_dates,0),MATCH($B$3,daily_items,0))),NA(),INDEX(big_daily_table,MATCH(DATE(W$5,$K329,$J329),daily_dates,0),MATCH($B$3,daily_items,0)))</f>
        <v>#N/A</v>
      </c>
      <c r="X329" s="1" t="e">
        <f aca="false">IF(ISBLANK(INDEX(big_daily_table,MATCH(DATE(X$5,$K329,$J329),daily_dates,0),MATCH($B$3,daily_items,0))),NA(),INDEX(big_daily_table,MATCH(DATE(X$5,$K329,$J329),daily_dates,0),MATCH($B$3,daily_items,0)))</f>
        <v>#N/A</v>
      </c>
      <c r="Y329" s="1" t="e">
        <f aca="false">IF(ISBLANK(INDEX(big_daily_table,MATCH(DATE(Y$5,$K329,$J329),daily_dates,0),MATCH($B$3,daily_items,0))),NA(),INDEX(big_daily_table,MATCH(DATE(Y$5,$K329,$J329),daily_dates,0),MATCH($B$3,daily_items,0)))</f>
        <v>#N/A</v>
      </c>
      <c r="Z329" s="1" t="e">
        <f aca="false">IF(ISBLANK(INDEX(big_daily_table,MATCH(DATE(Z$5,$K329,$J329),daily_dates,0),MATCH($B$3,daily_items,0))),NA(),INDEX(big_daily_table,MATCH(DATE(Z$5,$K329,$J329),daily_dates,0),MATCH($B$3,daily_items,0)))</f>
        <v>#N/A</v>
      </c>
      <c r="AA329" s="1" t="n">
        <f aca="true">_xlfn.AGGREGATE(5,6,OFFSET($S$5,H329,0,1,$K$2))</f>
        <v>0</v>
      </c>
      <c r="AB329" s="1" t="n">
        <f aca="true">_xlfn.AGGREGATE(4,6,OFFSET($S$5,H329,0,1,$K$2))</f>
        <v>0</v>
      </c>
      <c r="AC329" s="1" t="n">
        <f aca="false">AB329-AA329</f>
        <v>0</v>
      </c>
      <c r="AD329" s="1" t="e">
        <f aca="true">_xlfn.AGGREGATE(1,6,OFFSET($S$5,H329,0,1,$K$2))</f>
        <v>#DIV/0!</v>
      </c>
    </row>
    <row r="330" customFormat="false" ht="14.25" hidden="false" customHeight="false" outlineLevel="0" collapsed="false">
      <c r="H330" s="1" t="n">
        <f aca="false">H329+1</f>
        <v>325</v>
      </c>
      <c r="I330" s="1" t="n">
        <f aca="false">WEEKDAY('daily graphs'!K330)</f>
        <v>2</v>
      </c>
      <c r="J330" s="1" t="n">
        <f aca="false">DAY(L330)</f>
        <v>18</v>
      </c>
      <c r="K330" s="1" t="n">
        <f aca="false">MONTH(L330)</f>
        <v>11</v>
      </c>
      <c r="L330" s="23" t="n">
        <f aca="false">'daily graphs'!K330 - I330</f>
        <v>36848</v>
      </c>
      <c r="M330" s="24" t="n">
        <f aca="true">IF(TODAY()&lt;DATE($O$5,K330,J330),1000000,-1000000)</f>
        <v>1000000</v>
      </c>
      <c r="N330" s="24" t="e">
        <f aca="false">IF(M330&gt;0,INDEX(big_daily_table,MATCH(DATE(O$5,$K330,$J330),daily_dates,0),MATCH($B$3,daily_items,0)),NA())</f>
        <v>#N/A</v>
      </c>
      <c r="O330" s="1" t="e">
        <f aca="false">IF(M330&lt;0,INDEX(big_daily_table,MATCH(DATE(O$5,$K330,$J330),daily_dates,0),MATCH($B$3,daily_items,0)),NA())</f>
        <v>#N/A</v>
      </c>
      <c r="P330" s="1" t="e">
        <f aca="false">IF(ISBLANK(INDEX(big_daily_table,MATCH(DATE(P$5,$K330,$J330),daily_dates,0),MATCH($B$3,daily_items,0))),NA(),INDEX(big_daily_table,MATCH(DATE(P$5,$K330,$J330),daily_dates,0),MATCH($B$3,daily_items,0)))</f>
        <v>#N/A</v>
      </c>
      <c r="Q330" s="1" t="e">
        <f aca="false">IF(ISBLANK(INDEX(big_daily_table,MATCH(DATE(Q$5,$K330,$J330),daily_dates,0),MATCH($B$3,daily_items,0))),NA(),INDEX(big_daily_table,MATCH(DATE(Q$5,$K330,$J330),daily_dates,0),MATCH($B$3,daily_items,0)))</f>
        <v>#N/A</v>
      </c>
      <c r="R330" s="1" t="e">
        <f aca="false">IF(ISBLANK(INDEX(big_daily_table,MATCH(DATE(R$5,$K330,$J330),daily_dates,0),MATCH($B$3,daily_items,0))),NA(),INDEX(big_daily_table,MATCH(DATE(R$5,$K330,$J330),daily_dates,0),MATCH($B$3,daily_items,0)))</f>
        <v>#N/A</v>
      </c>
      <c r="S330" s="1" t="e">
        <f aca="false">IF(ISBLANK(INDEX(big_daily_table,MATCH(DATE(S$5,$K330,$J330),daily_dates,0),MATCH($B$3,daily_items,0))),NA(),INDEX(big_daily_table,MATCH(DATE(S$5,$K330,$J330),daily_dates,0),MATCH($B$3,daily_items,0)))</f>
        <v>#N/A</v>
      </c>
      <c r="T330" s="1" t="e">
        <f aca="false">IF(ISBLANK(INDEX(big_daily_table,MATCH(DATE(T$5,$K330,$J330),daily_dates,0),MATCH($B$3,daily_items,0))),NA(),INDEX(big_daily_table,MATCH(DATE(T$5,$K330,$J330),daily_dates,0),MATCH($B$3,daily_items,0)))</f>
        <v>#N/A</v>
      </c>
      <c r="U330" s="1" t="e">
        <f aca="false">IF(ISBLANK(INDEX(big_daily_table,MATCH(DATE(U$5,$K330,$J330),daily_dates,0),MATCH($B$3,daily_items,0))),NA(),INDEX(big_daily_table,MATCH(DATE(U$5,$K330,$J330),daily_dates,0),MATCH($B$3,daily_items,0)))</f>
        <v>#N/A</v>
      </c>
      <c r="V330" s="1" t="e">
        <f aca="false">IF(ISBLANK(INDEX(big_daily_table,MATCH(DATE(V$5,$K330,$J330),daily_dates,0),MATCH($B$3,daily_items,0))),NA(),INDEX(big_daily_table,MATCH(DATE(V$5,$K330,$J330),daily_dates,0),MATCH($B$3,daily_items,0)))</f>
        <v>#N/A</v>
      </c>
      <c r="W330" s="1" t="e">
        <f aca="false">IF(ISBLANK(INDEX(big_daily_table,MATCH(DATE(W$5,$K330,$J330),daily_dates,0),MATCH($B$3,daily_items,0))),NA(),INDEX(big_daily_table,MATCH(DATE(W$5,$K330,$J330),daily_dates,0),MATCH($B$3,daily_items,0)))</f>
        <v>#N/A</v>
      </c>
      <c r="X330" s="1" t="e">
        <f aca="false">IF(ISBLANK(INDEX(big_daily_table,MATCH(DATE(X$5,$K330,$J330),daily_dates,0),MATCH($B$3,daily_items,0))),NA(),INDEX(big_daily_table,MATCH(DATE(X$5,$K330,$J330),daily_dates,0),MATCH($B$3,daily_items,0)))</f>
        <v>#N/A</v>
      </c>
      <c r="Y330" s="1" t="e">
        <f aca="false">IF(ISBLANK(INDEX(big_daily_table,MATCH(DATE(Y$5,$K330,$J330),daily_dates,0),MATCH($B$3,daily_items,0))),NA(),INDEX(big_daily_table,MATCH(DATE(Y$5,$K330,$J330),daily_dates,0),MATCH($B$3,daily_items,0)))</f>
        <v>#N/A</v>
      </c>
      <c r="Z330" s="1" t="e">
        <f aca="false">IF(ISBLANK(INDEX(big_daily_table,MATCH(DATE(Z$5,$K330,$J330),daily_dates,0),MATCH($B$3,daily_items,0))),NA(),INDEX(big_daily_table,MATCH(DATE(Z$5,$K330,$J330),daily_dates,0),MATCH($B$3,daily_items,0)))</f>
        <v>#N/A</v>
      </c>
      <c r="AA330" s="1" t="n">
        <f aca="true">_xlfn.AGGREGATE(5,6,OFFSET($S$5,H330,0,1,$K$2))</f>
        <v>0</v>
      </c>
      <c r="AB330" s="1" t="n">
        <f aca="true">_xlfn.AGGREGATE(4,6,OFFSET($S$5,H330,0,1,$K$2))</f>
        <v>0</v>
      </c>
      <c r="AC330" s="1" t="n">
        <f aca="false">AB330-AA330</f>
        <v>0</v>
      </c>
      <c r="AD330" s="1" t="e">
        <f aca="true">_xlfn.AGGREGATE(1,6,OFFSET($S$5,H330,0,1,$K$2))</f>
        <v>#DIV/0!</v>
      </c>
    </row>
    <row r="331" customFormat="false" ht="14.25" hidden="false" customHeight="false" outlineLevel="0" collapsed="false">
      <c r="H331" s="1" t="n">
        <f aca="false">H330+1</f>
        <v>326</v>
      </c>
      <c r="I331" s="1" t="n">
        <f aca="false">WEEKDAY('daily graphs'!K331)</f>
        <v>3</v>
      </c>
      <c r="J331" s="1" t="n">
        <f aca="false">DAY(L331)</f>
        <v>18</v>
      </c>
      <c r="K331" s="1" t="n">
        <f aca="false">MONTH(L331)</f>
        <v>11</v>
      </c>
      <c r="L331" s="23" t="n">
        <f aca="false">'daily graphs'!K331 - I331</f>
        <v>36848</v>
      </c>
      <c r="M331" s="24" t="n">
        <f aca="true">IF(TODAY()&lt;DATE($O$5,K331,J331),1000000,-1000000)</f>
        <v>1000000</v>
      </c>
      <c r="N331" s="24" t="e">
        <f aca="false">IF(M331&gt;0,INDEX(big_daily_table,MATCH(DATE(O$5,$K331,$J331),daily_dates,0),MATCH($B$3,daily_items,0)),NA())</f>
        <v>#N/A</v>
      </c>
      <c r="O331" s="1" t="e">
        <f aca="false">IF(M331&lt;0,INDEX(big_daily_table,MATCH(DATE(O$5,$K331,$J331),daily_dates,0),MATCH($B$3,daily_items,0)),NA())</f>
        <v>#N/A</v>
      </c>
      <c r="P331" s="1" t="e">
        <f aca="false">IF(ISBLANK(INDEX(big_daily_table,MATCH(DATE(P$5,$K331,$J331),daily_dates,0),MATCH($B$3,daily_items,0))),NA(),INDEX(big_daily_table,MATCH(DATE(P$5,$K331,$J331),daily_dates,0),MATCH($B$3,daily_items,0)))</f>
        <v>#N/A</v>
      </c>
      <c r="Q331" s="1" t="e">
        <f aca="false">IF(ISBLANK(INDEX(big_daily_table,MATCH(DATE(Q$5,$K331,$J331),daily_dates,0),MATCH($B$3,daily_items,0))),NA(),INDEX(big_daily_table,MATCH(DATE(Q$5,$K331,$J331),daily_dates,0),MATCH($B$3,daily_items,0)))</f>
        <v>#N/A</v>
      </c>
      <c r="R331" s="1" t="e">
        <f aca="false">IF(ISBLANK(INDEX(big_daily_table,MATCH(DATE(R$5,$K331,$J331),daily_dates,0),MATCH($B$3,daily_items,0))),NA(),INDEX(big_daily_table,MATCH(DATE(R$5,$K331,$J331),daily_dates,0),MATCH($B$3,daily_items,0)))</f>
        <v>#N/A</v>
      </c>
      <c r="S331" s="1" t="e">
        <f aca="false">IF(ISBLANK(INDEX(big_daily_table,MATCH(DATE(S$5,$K331,$J331),daily_dates,0),MATCH($B$3,daily_items,0))),NA(),INDEX(big_daily_table,MATCH(DATE(S$5,$K331,$J331),daily_dates,0),MATCH($B$3,daily_items,0)))</f>
        <v>#N/A</v>
      </c>
      <c r="T331" s="1" t="e">
        <f aca="false">IF(ISBLANK(INDEX(big_daily_table,MATCH(DATE(T$5,$K331,$J331),daily_dates,0),MATCH($B$3,daily_items,0))),NA(),INDEX(big_daily_table,MATCH(DATE(T$5,$K331,$J331),daily_dates,0),MATCH($B$3,daily_items,0)))</f>
        <v>#N/A</v>
      </c>
      <c r="U331" s="1" t="e">
        <f aca="false">IF(ISBLANK(INDEX(big_daily_table,MATCH(DATE(U$5,$K331,$J331),daily_dates,0),MATCH($B$3,daily_items,0))),NA(),INDEX(big_daily_table,MATCH(DATE(U$5,$K331,$J331),daily_dates,0),MATCH($B$3,daily_items,0)))</f>
        <v>#N/A</v>
      </c>
      <c r="V331" s="1" t="e">
        <f aca="false">IF(ISBLANK(INDEX(big_daily_table,MATCH(DATE(V$5,$K331,$J331),daily_dates,0),MATCH($B$3,daily_items,0))),NA(),INDEX(big_daily_table,MATCH(DATE(V$5,$K331,$J331),daily_dates,0),MATCH($B$3,daily_items,0)))</f>
        <v>#N/A</v>
      </c>
      <c r="W331" s="1" t="e">
        <f aca="false">IF(ISBLANK(INDEX(big_daily_table,MATCH(DATE(W$5,$K331,$J331),daily_dates,0),MATCH($B$3,daily_items,0))),NA(),INDEX(big_daily_table,MATCH(DATE(W$5,$K331,$J331),daily_dates,0),MATCH($B$3,daily_items,0)))</f>
        <v>#N/A</v>
      </c>
      <c r="X331" s="1" t="e">
        <f aca="false">IF(ISBLANK(INDEX(big_daily_table,MATCH(DATE(X$5,$K331,$J331),daily_dates,0),MATCH($B$3,daily_items,0))),NA(),INDEX(big_daily_table,MATCH(DATE(X$5,$K331,$J331),daily_dates,0),MATCH($B$3,daily_items,0)))</f>
        <v>#N/A</v>
      </c>
      <c r="Y331" s="1" t="e">
        <f aca="false">IF(ISBLANK(INDEX(big_daily_table,MATCH(DATE(Y$5,$K331,$J331),daily_dates,0),MATCH($B$3,daily_items,0))),NA(),INDEX(big_daily_table,MATCH(DATE(Y$5,$K331,$J331),daily_dates,0),MATCH($B$3,daily_items,0)))</f>
        <v>#N/A</v>
      </c>
      <c r="Z331" s="1" t="e">
        <f aca="false">IF(ISBLANK(INDEX(big_daily_table,MATCH(DATE(Z$5,$K331,$J331),daily_dates,0),MATCH($B$3,daily_items,0))),NA(),INDEX(big_daily_table,MATCH(DATE(Z$5,$K331,$J331),daily_dates,0),MATCH($B$3,daily_items,0)))</f>
        <v>#N/A</v>
      </c>
      <c r="AA331" s="1" t="n">
        <f aca="true">_xlfn.AGGREGATE(5,6,OFFSET($S$5,H331,0,1,$K$2))</f>
        <v>0</v>
      </c>
      <c r="AB331" s="1" t="n">
        <f aca="true">_xlfn.AGGREGATE(4,6,OFFSET($S$5,H331,0,1,$K$2))</f>
        <v>0</v>
      </c>
      <c r="AC331" s="1" t="n">
        <f aca="false">AB331-AA331</f>
        <v>0</v>
      </c>
      <c r="AD331" s="1" t="e">
        <f aca="true">_xlfn.AGGREGATE(1,6,OFFSET($S$5,H331,0,1,$K$2))</f>
        <v>#DIV/0!</v>
      </c>
    </row>
    <row r="332" customFormat="false" ht="14.25" hidden="false" customHeight="false" outlineLevel="0" collapsed="false">
      <c r="H332" s="1" t="n">
        <f aca="false">H331+1</f>
        <v>327</v>
      </c>
      <c r="I332" s="1" t="n">
        <f aca="false">WEEKDAY('daily graphs'!K332)</f>
        <v>4</v>
      </c>
      <c r="J332" s="1" t="n">
        <f aca="false">DAY(L332)</f>
        <v>18</v>
      </c>
      <c r="K332" s="1" t="n">
        <f aca="false">MONTH(L332)</f>
        <v>11</v>
      </c>
      <c r="L332" s="23" t="n">
        <f aca="false">'daily graphs'!K332 - I332</f>
        <v>36848</v>
      </c>
      <c r="M332" s="24" t="n">
        <f aca="true">IF(TODAY()&lt;DATE($O$5,K332,J332),1000000,-1000000)</f>
        <v>1000000</v>
      </c>
      <c r="N332" s="24" t="e">
        <f aca="false">IF(M332&gt;0,INDEX(big_daily_table,MATCH(DATE(O$5,$K332,$J332),daily_dates,0),MATCH($B$3,daily_items,0)),NA())</f>
        <v>#N/A</v>
      </c>
      <c r="O332" s="1" t="e">
        <f aca="false">IF(M332&lt;0,INDEX(big_daily_table,MATCH(DATE(O$5,$K332,$J332),daily_dates,0),MATCH($B$3,daily_items,0)),NA())</f>
        <v>#N/A</v>
      </c>
      <c r="P332" s="1" t="e">
        <f aca="false">IF(ISBLANK(INDEX(big_daily_table,MATCH(DATE(P$5,$K332,$J332),daily_dates,0),MATCH($B$3,daily_items,0))),NA(),INDEX(big_daily_table,MATCH(DATE(P$5,$K332,$J332),daily_dates,0),MATCH($B$3,daily_items,0)))</f>
        <v>#N/A</v>
      </c>
      <c r="Q332" s="1" t="e">
        <f aca="false">IF(ISBLANK(INDEX(big_daily_table,MATCH(DATE(Q$5,$K332,$J332),daily_dates,0),MATCH($B$3,daily_items,0))),NA(),INDEX(big_daily_table,MATCH(DATE(Q$5,$K332,$J332),daily_dates,0),MATCH($B$3,daily_items,0)))</f>
        <v>#N/A</v>
      </c>
      <c r="R332" s="1" t="e">
        <f aca="false">IF(ISBLANK(INDEX(big_daily_table,MATCH(DATE(R$5,$K332,$J332),daily_dates,0),MATCH($B$3,daily_items,0))),NA(),INDEX(big_daily_table,MATCH(DATE(R$5,$K332,$J332),daily_dates,0),MATCH($B$3,daily_items,0)))</f>
        <v>#N/A</v>
      </c>
      <c r="S332" s="1" t="e">
        <f aca="false">IF(ISBLANK(INDEX(big_daily_table,MATCH(DATE(S$5,$K332,$J332),daily_dates,0),MATCH($B$3,daily_items,0))),NA(),INDEX(big_daily_table,MATCH(DATE(S$5,$K332,$J332),daily_dates,0),MATCH($B$3,daily_items,0)))</f>
        <v>#N/A</v>
      </c>
      <c r="T332" s="1" t="e">
        <f aca="false">IF(ISBLANK(INDEX(big_daily_table,MATCH(DATE(T$5,$K332,$J332),daily_dates,0),MATCH($B$3,daily_items,0))),NA(),INDEX(big_daily_table,MATCH(DATE(T$5,$K332,$J332),daily_dates,0),MATCH($B$3,daily_items,0)))</f>
        <v>#N/A</v>
      </c>
      <c r="U332" s="1" t="e">
        <f aca="false">IF(ISBLANK(INDEX(big_daily_table,MATCH(DATE(U$5,$K332,$J332),daily_dates,0),MATCH($B$3,daily_items,0))),NA(),INDEX(big_daily_table,MATCH(DATE(U$5,$K332,$J332),daily_dates,0),MATCH($B$3,daily_items,0)))</f>
        <v>#N/A</v>
      </c>
      <c r="V332" s="1" t="e">
        <f aca="false">IF(ISBLANK(INDEX(big_daily_table,MATCH(DATE(V$5,$K332,$J332),daily_dates,0),MATCH($B$3,daily_items,0))),NA(),INDEX(big_daily_table,MATCH(DATE(V$5,$K332,$J332),daily_dates,0),MATCH($B$3,daily_items,0)))</f>
        <v>#N/A</v>
      </c>
      <c r="W332" s="1" t="e">
        <f aca="false">IF(ISBLANK(INDEX(big_daily_table,MATCH(DATE(W$5,$K332,$J332),daily_dates,0),MATCH($B$3,daily_items,0))),NA(),INDEX(big_daily_table,MATCH(DATE(W$5,$K332,$J332),daily_dates,0),MATCH($B$3,daily_items,0)))</f>
        <v>#N/A</v>
      </c>
      <c r="X332" s="1" t="e">
        <f aca="false">IF(ISBLANK(INDEX(big_daily_table,MATCH(DATE(X$5,$K332,$J332),daily_dates,0),MATCH($B$3,daily_items,0))),NA(),INDEX(big_daily_table,MATCH(DATE(X$5,$K332,$J332),daily_dates,0),MATCH($B$3,daily_items,0)))</f>
        <v>#N/A</v>
      </c>
      <c r="Y332" s="1" t="e">
        <f aca="false">IF(ISBLANK(INDEX(big_daily_table,MATCH(DATE(Y$5,$K332,$J332),daily_dates,0),MATCH($B$3,daily_items,0))),NA(),INDEX(big_daily_table,MATCH(DATE(Y$5,$K332,$J332),daily_dates,0),MATCH($B$3,daily_items,0)))</f>
        <v>#N/A</v>
      </c>
      <c r="Z332" s="1" t="e">
        <f aca="false">IF(ISBLANK(INDEX(big_daily_table,MATCH(DATE(Z$5,$K332,$J332),daily_dates,0),MATCH($B$3,daily_items,0))),NA(),INDEX(big_daily_table,MATCH(DATE(Z$5,$K332,$J332),daily_dates,0),MATCH($B$3,daily_items,0)))</f>
        <v>#N/A</v>
      </c>
      <c r="AA332" s="1" t="n">
        <f aca="true">_xlfn.AGGREGATE(5,6,OFFSET($S$5,H332,0,1,$K$2))</f>
        <v>0</v>
      </c>
      <c r="AB332" s="1" t="n">
        <f aca="true">_xlfn.AGGREGATE(4,6,OFFSET($S$5,H332,0,1,$K$2))</f>
        <v>0</v>
      </c>
      <c r="AC332" s="1" t="n">
        <f aca="false">AB332-AA332</f>
        <v>0</v>
      </c>
      <c r="AD332" s="1" t="e">
        <f aca="true">_xlfn.AGGREGATE(1,6,OFFSET($S$5,H332,0,1,$K$2))</f>
        <v>#DIV/0!</v>
      </c>
    </row>
    <row r="333" customFormat="false" ht="14.25" hidden="false" customHeight="false" outlineLevel="0" collapsed="false">
      <c r="H333" s="1" t="n">
        <f aca="false">H332+1</f>
        <v>328</v>
      </c>
      <c r="I333" s="1" t="n">
        <f aca="false">WEEKDAY('daily graphs'!K333)</f>
        <v>5</v>
      </c>
      <c r="J333" s="1" t="n">
        <f aca="false">DAY(L333)</f>
        <v>18</v>
      </c>
      <c r="K333" s="1" t="n">
        <f aca="false">MONTH(L333)</f>
        <v>11</v>
      </c>
      <c r="L333" s="23" t="n">
        <f aca="false">'daily graphs'!K333 - I333</f>
        <v>36848</v>
      </c>
      <c r="M333" s="24" t="n">
        <f aca="true">IF(TODAY()&lt;DATE($O$5,K333,J333),1000000,-1000000)</f>
        <v>1000000</v>
      </c>
      <c r="N333" s="24" t="e">
        <f aca="false">IF(M333&gt;0,INDEX(big_daily_table,MATCH(DATE(O$5,$K333,$J333),daily_dates,0),MATCH($B$3,daily_items,0)),NA())</f>
        <v>#N/A</v>
      </c>
      <c r="O333" s="1" t="e">
        <f aca="false">IF(M333&lt;0,INDEX(big_daily_table,MATCH(DATE(O$5,$K333,$J333),daily_dates,0),MATCH($B$3,daily_items,0)),NA())</f>
        <v>#N/A</v>
      </c>
      <c r="P333" s="1" t="e">
        <f aca="false">IF(ISBLANK(INDEX(big_daily_table,MATCH(DATE(P$5,$K333,$J333),daily_dates,0),MATCH($B$3,daily_items,0))),NA(),INDEX(big_daily_table,MATCH(DATE(P$5,$K333,$J333),daily_dates,0),MATCH($B$3,daily_items,0)))</f>
        <v>#N/A</v>
      </c>
      <c r="Q333" s="1" t="e">
        <f aca="false">IF(ISBLANK(INDEX(big_daily_table,MATCH(DATE(Q$5,$K333,$J333),daily_dates,0),MATCH($B$3,daily_items,0))),NA(),INDEX(big_daily_table,MATCH(DATE(Q$5,$K333,$J333),daily_dates,0),MATCH($B$3,daily_items,0)))</f>
        <v>#N/A</v>
      </c>
      <c r="R333" s="1" t="e">
        <f aca="false">IF(ISBLANK(INDEX(big_daily_table,MATCH(DATE(R$5,$K333,$J333),daily_dates,0),MATCH($B$3,daily_items,0))),NA(),INDEX(big_daily_table,MATCH(DATE(R$5,$K333,$J333),daily_dates,0),MATCH($B$3,daily_items,0)))</f>
        <v>#N/A</v>
      </c>
      <c r="S333" s="1" t="e">
        <f aca="false">IF(ISBLANK(INDEX(big_daily_table,MATCH(DATE(S$5,$K333,$J333),daily_dates,0),MATCH($B$3,daily_items,0))),NA(),INDEX(big_daily_table,MATCH(DATE(S$5,$K333,$J333),daily_dates,0),MATCH($B$3,daily_items,0)))</f>
        <v>#N/A</v>
      </c>
      <c r="T333" s="1" t="e">
        <f aca="false">IF(ISBLANK(INDEX(big_daily_table,MATCH(DATE(T$5,$K333,$J333),daily_dates,0),MATCH($B$3,daily_items,0))),NA(),INDEX(big_daily_table,MATCH(DATE(T$5,$K333,$J333),daily_dates,0),MATCH($B$3,daily_items,0)))</f>
        <v>#N/A</v>
      </c>
      <c r="U333" s="1" t="e">
        <f aca="false">IF(ISBLANK(INDEX(big_daily_table,MATCH(DATE(U$5,$K333,$J333),daily_dates,0),MATCH($B$3,daily_items,0))),NA(),INDEX(big_daily_table,MATCH(DATE(U$5,$K333,$J333),daily_dates,0),MATCH($B$3,daily_items,0)))</f>
        <v>#N/A</v>
      </c>
      <c r="V333" s="1" t="e">
        <f aca="false">IF(ISBLANK(INDEX(big_daily_table,MATCH(DATE(V$5,$K333,$J333),daily_dates,0),MATCH($B$3,daily_items,0))),NA(),INDEX(big_daily_table,MATCH(DATE(V$5,$K333,$J333),daily_dates,0),MATCH($B$3,daily_items,0)))</f>
        <v>#N/A</v>
      </c>
      <c r="W333" s="1" t="e">
        <f aca="false">IF(ISBLANK(INDEX(big_daily_table,MATCH(DATE(W$5,$K333,$J333),daily_dates,0),MATCH($B$3,daily_items,0))),NA(),INDEX(big_daily_table,MATCH(DATE(W$5,$K333,$J333),daily_dates,0),MATCH($B$3,daily_items,0)))</f>
        <v>#N/A</v>
      </c>
      <c r="X333" s="1" t="e">
        <f aca="false">IF(ISBLANK(INDEX(big_daily_table,MATCH(DATE(X$5,$K333,$J333),daily_dates,0),MATCH($B$3,daily_items,0))),NA(),INDEX(big_daily_table,MATCH(DATE(X$5,$K333,$J333),daily_dates,0),MATCH($B$3,daily_items,0)))</f>
        <v>#N/A</v>
      </c>
      <c r="Y333" s="1" t="e">
        <f aca="false">IF(ISBLANK(INDEX(big_daily_table,MATCH(DATE(Y$5,$K333,$J333),daily_dates,0),MATCH($B$3,daily_items,0))),NA(),INDEX(big_daily_table,MATCH(DATE(Y$5,$K333,$J333),daily_dates,0),MATCH($B$3,daily_items,0)))</f>
        <v>#N/A</v>
      </c>
      <c r="Z333" s="1" t="e">
        <f aca="false">IF(ISBLANK(INDEX(big_daily_table,MATCH(DATE(Z$5,$K333,$J333),daily_dates,0),MATCH($B$3,daily_items,0))),NA(),INDEX(big_daily_table,MATCH(DATE(Z$5,$K333,$J333),daily_dates,0),MATCH($B$3,daily_items,0)))</f>
        <v>#N/A</v>
      </c>
      <c r="AA333" s="1" t="n">
        <f aca="true">_xlfn.AGGREGATE(5,6,OFFSET($S$5,H333,0,1,$K$2))</f>
        <v>0</v>
      </c>
      <c r="AB333" s="1" t="n">
        <f aca="true">_xlfn.AGGREGATE(4,6,OFFSET($S$5,H333,0,1,$K$2))</f>
        <v>0</v>
      </c>
      <c r="AC333" s="1" t="n">
        <f aca="false">AB333-AA333</f>
        <v>0</v>
      </c>
      <c r="AD333" s="1" t="e">
        <f aca="true">_xlfn.AGGREGATE(1,6,OFFSET($S$5,H333,0,1,$K$2))</f>
        <v>#DIV/0!</v>
      </c>
    </row>
    <row r="334" customFormat="false" ht="14.25" hidden="false" customHeight="false" outlineLevel="0" collapsed="false">
      <c r="H334" s="1" t="n">
        <f aca="false">H333+1</f>
        <v>329</v>
      </c>
      <c r="I334" s="1" t="n">
        <f aca="false">WEEKDAY('daily graphs'!K334)</f>
        <v>6</v>
      </c>
      <c r="J334" s="1" t="n">
        <f aca="false">DAY(L334)</f>
        <v>18</v>
      </c>
      <c r="K334" s="1" t="n">
        <f aca="false">MONTH(L334)</f>
        <v>11</v>
      </c>
      <c r="L334" s="23" t="n">
        <f aca="false">'daily graphs'!K334 - I334</f>
        <v>36848</v>
      </c>
      <c r="M334" s="24" t="n">
        <f aca="true">IF(TODAY()&lt;DATE($O$5,K334,J334),1000000,-1000000)</f>
        <v>1000000</v>
      </c>
      <c r="N334" s="24" t="e">
        <f aca="false">IF(M334&gt;0,INDEX(big_daily_table,MATCH(DATE(O$5,$K334,$J334),daily_dates,0),MATCH($B$3,daily_items,0)),NA())</f>
        <v>#N/A</v>
      </c>
      <c r="O334" s="1" t="e">
        <f aca="false">IF(M334&lt;0,INDEX(big_daily_table,MATCH(DATE(O$5,$K334,$J334),daily_dates,0),MATCH($B$3,daily_items,0)),NA())</f>
        <v>#N/A</v>
      </c>
      <c r="P334" s="1" t="e">
        <f aca="false">IF(ISBLANK(INDEX(big_daily_table,MATCH(DATE(P$5,$K334,$J334),daily_dates,0),MATCH($B$3,daily_items,0))),NA(),INDEX(big_daily_table,MATCH(DATE(P$5,$K334,$J334),daily_dates,0),MATCH($B$3,daily_items,0)))</f>
        <v>#N/A</v>
      </c>
      <c r="Q334" s="1" t="e">
        <f aca="false">IF(ISBLANK(INDEX(big_daily_table,MATCH(DATE(Q$5,$K334,$J334),daily_dates,0),MATCH($B$3,daily_items,0))),NA(),INDEX(big_daily_table,MATCH(DATE(Q$5,$K334,$J334),daily_dates,0),MATCH($B$3,daily_items,0)))</f>
        <v>#N/A</v>
      </c>
      <c r="R334" s="1" t="e">
        <f aca="false">IF(ISBLANK(INDEX(big_daily_table,MATCH(DATE(R$5,$K334,$J334),daily_dates,0),MATCH($B$3,daily_items,0))),NA(),INDEX(big_daily_table,MATCH(DATE(R$5,$K334,$J334),daily_dates,0),MATCH($B$3,daily_items,0)))</f>
        <v>#N/A</v>
      </c>
      <c r="S334" s="1" t="e">
        <f aca="false">IF(ISBLANK(INDEX(big_daily_table,MATCH(DATE(S$5,$K334,$J334),daily_dates,0),MATCH($B$3,daily_items,0))),NA(),INDEX(big_daily_table,MATCH(DATE(S$5,$K334,$J334),daily_dates,0),MATCH($B$3,daily_items,0)))</f>
        <v>#N/A</v>
      </c>
      <c r="T334" s="1" t="e">
        <f aca="false">IF(ISBLANK(INDEX(big_daily_table,MATCH(DATE(T$5,$K334,$J334),daily_dates,0),MATCH($B$3,daily_items,0))),NA(),INDEX(big_daily_table,MATCH(DATE(T$5,$K334,$J334),daily_dates,0),MATCH($B$3,daily_items,0)))</f>
        <v>#N/A</v>
      </c>
      <c r="U334" s="1" t="e">
        <f aca="false">IF(ISBLANK(INDEX(big_daily_table,MATCH(DATE(U$5,$K334,$J334),daily_dates,0),MATCH($B$3,daily_items,0))),NA(),INDEX(big_daily_table,MATCH(DATE(U$5,$K334,$J334),daily_dates,0),MATCH($B$3,daily_items,0)))</f>
        <v>#N/A</v>
      </c>
      <c r="V334" s="1" t="e">
        <f aca="false">IF(ISBLANK(INDEX(big_daily_table,MATCH(DATE(V$5,$K334,$J334),daily_dates,0),MATCH($B$3,daily_items,0))),NA(),INDEX(big_daily_table,MATCH(DATE(V$5,$K334,$J334),daily_dates,0),MATCH($B$3,daily_items,0)))</f>
        <v>#N/A</v>
      </c>
      <c r="W334" s="1" t="e">
        <f aca="false">IF(ISBLANK(INDEX(big_daily_table,MATCH(DATE(W$5,$K334,$J334),daily_dates,0),MATCH($B$3,daily_items,0))),NA(),INDEX(big_daily_table,MATCH(DATE(W$5,$K334,$J334),daily_dates,0),MATCH($B$3,daily_items,0)))</f>
        <v>#N/A</v>
      </c>
      <c r="X334" s="1" t="e">
        <f aca="false">IF(ISBLANK(INDEX(big_daily_table,MATCH(DATE(X$5,$K334,$J334),daily_dates,0),MATCH($B$3,daily_items,0))),NA(),INDEX(big_daily_table,MATCH(DATE(X$5,$K334,$J334),daily_dates,0),MATCH($B$3,daily_items,0)))</f>
        <v>#N/A</v>
      </c>
      <c r="Y334" s="1" t="e">
        <f aca="false">IF(ISBLANK(INDEX(big_daily_table,MATCH(DATE(Y$5,$K334,$J334),daily_dates,0),MATCH($B$3,daily_items,0))),NA(),INDEX(big_daily_table,MATCH(DATE(Y$5,$K334,$J334),daily_dates,0),MATCH($B$3,daily_items,0)))</f>
        <v>#N/A</v>
      </c>
      <c r="Z334" s="1" t="e">
        <f aca="false">IF(ISBLANK(INDEX(big_daily_table,MATCH(DATE(Z$5,$K334,$J334),daily_dates,0),MATCH($B$3,daily_items,0))),NA(),INDEX(big_daily_table,MATCH(DATE(Z$5,$K334,$J334),daily_dates,0),MATCH($B$3,daily_items,0)))</f>
        <v>#N/A</v>
      </c>
      <c r="AA334" s="1" t="n">
        <f aca="true">_xlfn.AGGREGATE(5,6,OFFSET($S$5,H334,0,1,$K$2))</f>
        <v>0</v>
      </c>
      <c r="AB334" s="1" t="n">
        <f aca="true">_xlfn.AGGREGATE(4,6,OFFSET($S$5,H334,0,1,$K$2))</f>
        <v>0</v>
      </c>
      <c r="AC334" s="1" t="n">
        <f aca="false">AB334-AA334</f>
        <v>0</v>
      </c>
      <c r="AD334" s="1" t="e">
        <f aca="true">_xlfn.AGGREGATE(1,6,OFFSET($S$5,H334,0,1,$K$2))</f>
        <v>#DIV/0!</v>
      </c>
    </row>
    <row r="335" customFormat="false" ht="14.25" hidden="false" customHeight="false" outlineLevel="0" collapsed="false">
      <c r="H335" s="1" t="n">
        <f aca="false">H334+1</f>
        <v>330</v>
      </c>
      <c r="I335" s="1" t="n">
        <f aca="false">WEEKDAY('daily graphs'!K335)</f>
        <v>7</v>
      </c>
      <c r="J335" s="1" t="n">
        <f aca="false">DAY(L335)</f>
        <v>18</v>
      </c>
      <c r="K335" s="1" t="n">
        <f aca="false">MONTH(L335)</f>
        <v>11</v>
      </c>
      <c r="L335" s="23" t="n">
        <f aca="false">'daily graphs'!K335 - I335</f>
        <v>36848</v>
      </c>
      <c r="M335" s="24" t="n">
        <f aca="true">IF(TODAY()&lt;DATE($O$5,K335,J335),1000000,-1000000)</f>
        <v>1000000</v>
      </c>
      <c r="N335" s="24" t="e">
        <f aca="false">IF(M335&gt;0,INDEX(big_daily_table,MATCH(DATE(O$5,$K335,$J335),daily_dates,0),MATCH($B$3,daily_items,0)),NA())</f>
        <v>#N/A</v>
      </c>
      <c r="O335" s="1" t="e">
        <f aca="false">IF(M335&lt;0,INDEX(big_daily_table,MATCH(DATE(O$5,$K335,$J335),daily_dates,0),MATCH($B$3,daily_items,0)),NA())</f>
        <v>#N/A</v>
      </c>
      <c r="P335" s="1" t="e">
        <f aca="false">IF(ISBLANK(INDEX(big_daily_table,MATCH(DATE(P$5,$K335,$J335),daily_dates,0),MATCH($B$3,daily_items,0))),NA(),INDEX(big_daily_table,MATCH(DATE(P$5,$K335,$J335),daily_dates,0),MATCH($B$3,daily_items,0)))</f>
        <v>#N/A</v>
      </c>
      <c r="Q335" s="1" t="e">
        <f aca="false">IF(ISBLANK(INDEX(big_daily_table,MATCH(DATE(Q$5,$K335,$J335),daily_dates,0),MATCH($B$3,daily_items,0))),NA(),INDEX(big_daily_table,MATCH(DATE(Q$5,$K335,$J335),daily_dates,0),MATCH($B$3,daily_items,0)))</f>
        <v>#N/A</v>
      </c>
      <c r="R335" s="1" t="e">
        <f aca="false">IF(ISBLANK(INDEX(big_daily_table,MATCH(DATE(R$5,$K335,$J335),daily_dates,0),MATCH($B$3,daily_items,0))),NA(),INDEX(big_daily_table,MATCH(DATE(R$5,$K335,$J335),daily_dates,0),MATCH($B$3,daily_items,0)))</f>
        <v>#N/A</v>
      </c>
      <c r="S335" s="1" t="e">
        <f aca="false">IF(ISBLANK(INDEX(big_daily_table,MATCH(DATE(S$5,$K335,$J335),daily_dates,0),MATCH($B$3,daily_items,0))),NA(),INDEX(big_daily_table,MATCH(DATE(S$5,$K335,$J335),daily_dates,0),MATCH($B$3,daily_items,0)))</f>
        <v>#N/A</v>
      </c>
      <c r="T335" s="1" t="e">
        <f aca="false">IF(ISBLANK(INDEX(big_daily_table,MATCH(DATE(T$5,$K335,$J335),daily_dates,0),MATCH($B$3,daily_items,0))),NA(),INDEX(big_daily_table,MATCH(DATE(T$5,$K335,$J335),daily_dates,0),MATCH($B$3,daily_items,0)))</f>
        <v>#N/A</v>
      </c>
      <c r="U335" s="1" t="e">
        <f aca="false">IF(ISBLANK(INDEX(big_daily_table,MATCH(DATE(U$5,$K335,$J335),daily_dates,0),MATCH($B$3,daily_items,0))),NA(),INDEX(big_daily_table,MATCH(DATE(U$5,$K335,$J335),daily_dates,0),MATCH($B$3,daily_items,0)))</f>
        <v>#N/A</v>
      </c>
      <c r="V335" s="1" t="e">
        <f aca="false">IF(ISBLANK(INDEX(big_daily_table,MATCH(DATE(V$5,$K335,$J335),daily_dates,0),MATCH($B$3,daily_items,0))),NA(),INDEX(big_daily_table,MATCH(DATE(V$5,$K335,$J335),daily_dates,0),MATCH($B$3,daily_items,0)))</f>
        <v>#N/A</v>
      </c>
      <c r="W335" s="1" t="e">
        <f aca="false">IF(ISBLANK(INDEX(big_daily_table,MATCH(DATE(W$5,$K335,$J335),daily_dates,0),MATCH($B$3,daily_items,0))),NA(),INDEX(big_daily_table,MATCH(DATE(W$5,$K335,$J335),daily_dates,0),MATCH($B$3,daily_items,0)))</f>
        <v>#N/A</v>
      </c>
      <c r="X335" s="1" t="e">
        <f aca="false">IF(ISBLANK(INDEX(big_daily_table,MATCH(DATE(X$5,$K335,$J335),daily_dates,0),MATCH($B$3,daily_items,0))),NA(),INDEX(big_daily_table,MATCH(DATE(X$5,$K335,$J335),daily_dates,0),MATCH($B$3,daily_items,0)))</f>
        <v>#N/A</v>
      </c>
      <c r="Y335" s="1" t="e">
        <f aca="false">IF(ISBLANK(INDEX(big_daily_table,MATCH(DATE(Y$5,$K335,$J335),daily_dates,0),MATCH($B$3,daily_items,0))),NA(),INDEX(big_daily_table,MATCH(DATE(Y$5,$K335,$J335),daily_dates,0),MATCH($B$3,daily_items,0)))</f>
        <v>#N/A</v>
      </c>
      <c r="Z335" s="1" t="e">
        <f aca="false">IF(ISBLANK(INDEX(big_daily_table,MATCH(DATE(Z$5,$K335,$J335),daily_dates,0),MATCH($B$3,daily_items,0))),NA(),INDEX(big_daily_table,MATCH(DATE(Z$5,$K335,$J335),daily_dates,0),MATCH($B$3,daily_items,0)))</f>
        <v>#N/A</v>
      </c>
      <c r="AA335" s="1" t="n">
        <f aca="true">_xlfn.AGGREGATE(5,6,OFFSET($S$5,H335,0,1,$K$2))</f>
        <v>0</v>
      </c>
      <c r="AB335" s="1" t="n">
        <f aca="true">_xlfn.AGGREGATE(4,6,OFFSET($S$5,H335,0,1,$K$2))</f>
        <v>0</v>
      </c>
      <c r="AC335" s="1" t="n">
        <f aca="false">AB335-AA335</f>
        <v>0</v>
      </c>
      <c r="AD335" s="1" t="e">
        <f aca="true">_xlfn.AGGREGATE(1,6,OFFSET($S$5,H335,0,1,$K$2))</f>
        <v>#DIV/0!</v>
      </c>
    </row>
    <row r="336" customFormat="false" ht="14.25" hidden="false" customHeight="false" outlineLevel="0" collapsed="false">
      <c r="H336" s="1" t="n">
        <f aca="false">H335+1</f>
        <v>331</v>
      </c>
      <c r="I336" s="1" t="n">
        <f aca="false">WEEKDAY('daily graphs'!K336)</f>
        <v>1</v>
      </c>
      <c r="J336" s="1" t="n">
        <f aca="false">DAY(L336)</f>
        <v>25</v>
      </c>
      <c r="K336" s="1" t="n">
        <f aca="false">MONTH(L336)</f>
        <v>11</v>
      </c>
      <c r="L336" s="23" t="n">
        <f aca="false">'daily graphs'!K336 - I336</f>
        <v>36855</v>
      </c>
      <c r="M336" s="24" t="n">
        <f aca="true">IF(TODAY()&lt;DATE($O$5,K336,J336),1000000,-1000000)</f>
        <v>1000000</v>
      </c>
      <c r="N336" s="24" t="e">
        <f aca="false">IF(M336&gt;0,INDEX(big_daily_table,MATCH(DATE(O$5,$K336,$J336),daily_dates,0),MATCH($B$3,daily_items,0)),NA())</f>
        <v>#N/A</v>
      </c>
      <c r="O336" s="1" t="e">
        <f aca="false">IF(M336&lt;0,INDEX(big_daily_table,MATCH(DATE(O$5,$K336,$J336),daily_dates,0),MATCH($B$3,daily_items,0)),NA())</f>
        <v>#N/A</v>
      </c>
      <c r="P336" s="1" t="e">
        <f aca="false">IF(ISBLANK(INDEX(big_daily_table,MATCH(DATE(P$5,$K336,$J336),daily_dates,0),MATCH($B$3,daily_items,0))),NA(),INDEX(big_daily_table,MATCH(DATE(P$5,$K336,$J336),daily_dates,0),MATCH($B$3,daily_items,0)))</f>
        <v>#N/A</v>
      </c>
      <c r="Q336" s="1" t="e">
        <f aca="false">IF(ISBLANK(INDEX(big_daily_table,MATCH(DATE(Q$5,$K336,$J336),daily_dates,0),MATCH($B$3,daily_items,0))),NA(),INDEX(big_daily_table,MATCH(DATE(Q$5,$K336,$J336),daily_dates,0),MATCH($B$3,daily_items,0)))</f>
        <v>#N/A</v>
      </c>
      <c r="R336" s="1" t="e">
        <f aca="false">IF(ISBLANK(INDEX(big_daily_table,MATCH(DATE(R$5,$K336,$J336),daily_dates,0),MATCH($B$3,daily_items,0))),NA(),INDEX(big_daily_table,MATCH(DATE(R$5,$K336,$J336),daily_dates,0),MATCH($B$3,daily_items,0)))</f>
        <v>#N/A</v>
      </c>
      <c r="S336" s="1" t="e">
        <f aca="false">IF(ISBLANK(INDEX(big_daily_table,MATCH(DATE(S$5,$K336,$J336),daily_dates,0),MATCH($B$3,daily_items,0))),NA(),INDEX(big_daily_table,MATCH(DATE(S$5,$K336,$J336),daily_dates,0),MATCH($B$3,daily_items,0)))</f>
        <v>#N/A</v>
      </c>
      <c r="T336" s="1" t="e">
        <f aca="false">IF(ISBLANK(INDEX(big_daily_table,MATCH(DATE(T$5,$K336,$J336),daily_dates,0),MATCH($B$3,daily_items,0))),NA(),INDEX(big_daily_table,MATCH(DATE(T$5,$K336,$J336),daily_dates,0),MATCH($B$3,daily_items,0)))</f>
        <v>#N/A</v>
      </c>
      <c r="U336" s="1" t="e">
        <f aca="false">IF(ISBLANK(INDEX(big_daily_table,MATCH(DATE(U$5,$K336,$J336),daily_dates,0),MATCH($B$3,daily_items,0))),NA(),INDEX(big_daily_table,MATCH(DATE(U$5,$K336,$J336),daily_dates,0),MATCH($B$3,daily_items,0)))</f>
        <v>#N/A</v>
      </c>
      <c r="V336" s="1" t="e">
        <f aca="false">IF(ISBLANK(INDEX(big_daily_table,MATCH(DATE(V$5,$K336,$J336),daily_dates,0),MATCH($B$3,daily_items,0))),NA(),INDEX(big_daily_table,MATCH(DATE(V$5,$K336,$J336),daily_dates,0),MATCH($B$3,daily_items,0)))</f>
        <v>#N/A</v>
      </c>
      <c r="W336" s="1" t="e">
        <f aca="false">IF(ISBLANK(INDEX(big_daily_table,MATCH(DATE(W$5,$K336,$J336),daily_dates,0),MATCH($B$3,daily_items,0))),NA(),INDEX(big_daily_table,MATCH(DATE(W$5,$K336,$J336),daily_dates,0),MATCH($B$3,daily_items,0)))</f>
        <v>#N/A</v>
      </c>
      <c r="X336" s="1" t="e">
        <f aca="false">IF(ISBLANK(INDEX(big_daily_table,MATCH(DATE(X$5,$K336,$J336),daily_dates,0),MATCH($B$3,daily_items,0))),NA(),INDEX(big_daily_table,MATCH(DATE(X$5,$K336,$J336),daily_dates,0),MATCH($B$3,daily_items,0)))</f>
        <v>#N/A</v>
      </c>
      <c r="Y336" s="1" t="e">
        <f aca="false">IF(ISBLANK(INDEX(big_daily_table,MATCH(DATE(Y$5,$K336,$J336),daily_dates,0),MATCH($B$3,daily_items,0))),NA(),INDEX(big_daily_table,MATCH(DATE(Y$5,$K336,$J336),daily_dates,0),MATCH($B$3,daily_items,0)))</f>
        <v>#N/A</v>
      </c>
      <c r="Z336" s="1" t="e">
        <f aca="false">IF(ISBLANK(INDEX(big_daily_table,MATCH(DATE(Z$5,$K336,$J336),daily_dates,0),MATCH($B$3,daily_items,0))),NA(),INDEX(big_daily_table,MATCH(DATE(Z$5,$K336,$J336),daily_dates,0),MATCH($B$3,daily_items,0)))</f>
        <v>#N/A</v>
      </c>
      <c r="AA336" s="1" t="n">
        <f aca="true">_xlfn.AGGREGATE(5,6,OFFSET($S$5,H336,0,1,$K$2))</f>
        <v>0</v>
      </c>
      <c r="AB336" s="1" t="n">
        <f aca="true">_xlfn.AGGREGATE(4,6,OFFSET($S$5,H336,0,1,$K$2))</f>
        <v>0</v>
      </c>
      <c r="AC336" s="1" t="n">
        <f aca="false">AB336-AA336</f>
        <v>0</v>
      </c>
      <c r="AD336" s="1" t="e">
        <f aca="true">_xlfn.AGGREGATE(1,6,OFFSET($S$5,H336,0,1,$K$2))</f>
        <v>#DIV/0!</v>
      </c>
    </row>
    <row r="337" customFormat="false" ht="14.25" hidden="false" customHeight="false" outlineLevel="0" collapsed="false">
      <c r="H337" s="1" t="n">
        <f aca="false">H336+1</f>
        <v>332</v>
      </c>
      <c r="I337" s="1" t="n">
        <f aca="false">WEEKDAY('daily graphs'!K337)</f>
        <v>2</v>
      </c>
      <c r="J337" s="1" t="n">
        <f aca="false">DAY(L337)</f>
        <v>25</v>
      </c>
      <c r="K337" s="1" t="n">
        <f aca="false">MONTH(L337)</f>
        <v>11</v>
      </c>
      <c r="L337" s="23" t="n">
        <f aca="false">'daily graphs'!K337 - I337</f>
        <v>36855</v>
      </c>
      <c r="M337" s="24" t="n">
        <f aca="true">IF(TODAY()&lt;DATE($O$5,K337,J337),1000000,-1000000)</f>
        <v>1000000</v>
      </c>
      <c r="N337" s="24" t="e">
        <f aca="false">IF(M337&gt;0,INDEX(big_daily_table,MATCH(DATE(O$5,$K337,$J337),daily_dates,0),MATCH($B$3,daily_items,0)),NA())</f>
        <v>#N/A</v>
      </c>
      <c r="O337" s="1" t="e">
        <f aca="false">IF(M337&lt;0,INDEX(big_daily_table,MATCH(DATE(O$5,$K337,$J337),daily_dates,0),MATCH($B$3,daily_items,0)),NA())</f>
        <v>#N/A</v>
      </c>
      <c r="P337" s="1" t="e">
        <f aca="false">IF(ISBLANK(INDEX(big_daily_table,MATCH(DATE(P$5,$K337,$J337),daily_dates,0),MATCH($B$3,daily_items,0))),NA(),INDEX(big_daily_table,MATCH(DATE(P$5,$K337,$J337),daily_dates,0),MATCH($B$3,daily_items,0)))</f>
        <v>#N/A</v>
      </c>
      <c r="Q337" s="1" t="e">
        <f aca="false">IF(ISBLANK(INDEX(big_daily_table,MATCH(DATE(Q$5,$K337,$J337),daily_dates,0),MATCH($B$3,daily_items,0))),NA(),INDEX(big_daily_table,MATCH(DATE(Q$5,$K337,$J337),daily_dates,0),MATCH($B$3,daily_items,0)))</f>
        <v>#N/A</v>
      </c>
      <c r="R337" s="1" t="e">
        <f aca="false">IF(ISBLANK(INDEX(big_daily_table,MATCH(DATE(R$5,$K337,$J337),daily_dates,0),MATCH($B$3,daily_items,0))),NA(),INDEX(big_daily_table,MATCH(DATE(R$5,$K337,$J337),daily_dates,0),MATCH($B$3,daily_items,0)))</f>
        <v>#N/A</v>
      </c>
      <c r="S337" s="1" t="e">
        <f aca="false">IF(ISBLANK(INDEX(big_daily_table,MATCH(DATE(S$5,$K337,$J337),daily_dates,0),MATCH($B$3,daily_items,0))),NA(),INDEX(big_daily_table,MATCH(DATE(S$5,$K337,$J337),daily_dates,0),MATCH($B$3,daily_items,0)))</f>
        <v>#N/A</v>
      </c>
      <c r="T337" s="1" t="e">
        <f aca="false">IF(ISBLANK(INDEX(big_daily_table,MATCH(DATE(T$5,$K337,$J337),daily_dates,0),MATCH($B$3,daily_items,0))),NA(),INDEX(big_daily_table,MATCH(DATE(T$5,$K337,$J337),daily_dates,0),MATCH($B$3,daily_items,0)))</f>
        <v>#N/A</v>
      </c>
      <c r="U337" s="1" t="e">
        <f aca="false">IF(ISBLANK(INDEX(big_daily_table,MATCH(DATE(U$5,$K337,$J337),daily_dates,0),MATCH($B$3,daily_items,0))),NA(),INDEX(big_daily_table,MATCH(DATE(U$5,$K337,$J337),daily_dates,0),MATCH($B$3,daily_items,0)))</f>
        <v>#N/A</v>
      </c>
      <c r="V337" s="1" t="e">
        <f aca="false">IF(ISBLANK(INDEX(big_daily_table,MATCH(DATE(V$5,$K337,$J337),daily_dates,0),MATCH($B$3,daily_items,0))),NA(),INDEX(big_daily_table,MATCH(DATE(V$5,$K337,$J337),daily_dates,0),MATCH($B$3,daily_items,0)))</f>
        <v>#N/A</v>
      </c>
      <c r="W337" s="1" t="e">
        <f aca="false">IF(ISBLANK(INDEX(big_daily_table,MATCH(DATE(W$5,$K337,$J337),daily_dates,0),MATCH($B$3,daily_items,0))),NA(),INDEX(big_daily_table,MATCH(DATE(W$5,$K337,$J337),daily_dates,0),MATCH($B$3,daily_items,0)))</f>
        <v>#N/A</v>
      </c>
      <c r="X337" s="1" t="e">
        <f aca="false">IF(ISBLANK(INDEX(big_daily_table,MATCH(DATE(X$5,$K337,$J337),daily_dates,0),MATCH($B$3,daily_items,0))),NA(),INDEX(big_daily_table,MATCH(DATE(X$5,$K337,$J337),daily_dates,0),MATCH($B$3,daily_items,0)))</f>
        <v>#N/A</v>
      </c>
      <c r="Y337" s="1" t="e">
        <f aca="false">IF(ISBLANK(INDEX(big_daily_table,MATCH(DATE(Y$5,$K337,$J337),daily_dates,0),MATCH($B$3,daily_items,0))),NA(),INDEX(big_daily_table,MATCH(DATE(Y$5,$K337,$J337),daily_dates,0),MATCH($B$3,daily_items,0)))</f>
        <v>#N/A</v>
      </c>
      <c r="Z337" s="1" t="e">
        <f aca="false">IF(ISBLANK(INDEX(big_daily_table,MATCH(DATE(Z$5,$K337,$J337),daily_dates,0),MATCH($B$3,daily_items,0))),NA(),INDEX(big_daily_table,MATCH(DATE(Z$5,$K337,$J337),daily_dates,0),MATCH($B$3,daily_items,0)))</f>
        <v>#N/A</v>
      </c>
      <c r="AA337" s="1" t="n">
        <f aca="true">_xlfn.AGGREGATE(5,6,OFFSET($S$5,H337,0,1,$K$2))</f>
        <v>0</v>
      </c>
      <c r="AB337" s="1" t="n">
        <f aca="true">_xlfn.AGGREGATE(4,6,OFFSET($S$5,H337,0,1,$K$2))</f>
        <v>0</v>
      </c>
      <c r="AC337" s="1" t="n">
        <f aca="false">AB337-AA337</f>
        <v>0</v>
      </c>
      <c r="AD337" s="1" t="e">
        <f aca="true">_xlfn.AGGREGATE(1,6,OFFSET($S$5,H337,0,1,$K$2))</f>
        <v>#DIV/0!</v>
      </c>
    </row>
    <row r="338" customFormat="false" ht="14.25" hidden="false" customHeight="false" outlineLevel="0" collapsed="false">
      <c r="H338" s="1" t="n">
        <f aca="false">H337+1</f>
        <v>333</v>
      </c>
      <c r="I338" s="1" t="n">
        <f aca="false">WEEKDAY('daily graphs'!K338)</f>
        <v>3</v>
      </c>
      <c r="J338" s="1" t="n">
        <f aca="false">DAY(L338)</f>
        <v>25</v>
      </c>
      <c r="K338" s="1" t="n">
        <f aca="false">MONTH(L338)</f>
        <v>11</v>
      </c>
      <c r="L338" s="23" t="n">
        <f aca="false">'daily graphs'!K338 - I338</f>
        <v>36855</v>
      </c>
      <c r="M338" s="24" t="n">
        <f aca="true">IF(TODAY()&lt;DATE($O$5,K338,J338),1000000,-1000000)</f>
        <v>1000000</v>
      </c>
      <c r="N338" s="24" t="e">
        <f aca="false">IF(M338&gt;0,INDEX(big_daily_table,MATCH(DATE(O$5,$K338,$J338),daily_dates,0),MATCH($B$3,daily_items,0)),NA())</f>
        <v>#N/A</v>
      </c>
      <c r="O338" s="1" t="e">
        <f aca="false">IF(M338&lt;0,INDEX(big_daily_table,MATCH(DATE(O$5,$K338,$J338),daily_dates,0),MATCH($B$3,daily_items,0)),NA())</f>
        <v>#N/A</v>
      </c>
      <c r="P338" s="1" t="e">
        <f aca="false">IF(ISBLANK(INDEX(big_daily_table,MATCH(DATE(P$5,$K338,$J338),daily_dates,0),MATCH($B$3,daily_items,0))),NA(),INDEX(big_daily_table,MATCH(DATE(P$5,$K338,$J338),daily_dates,0),MATCH($B$3,daily_items,0)))</f>
        <v>#N/A</v>
      </c>
      <c r="Q338" s="1" t="e">
        <f aca="false">IF(ISBLANK(INDEX(big_daily_table,MATCH(DATE(Q$5,$K338,$J338),daily_dates,0),MATCH($B$3,daily_items,0))),NA(),INDEX(big_daily_table,MATCH(DATE(Q$5,$K338,$J338),daily_dates,0),MATCH($B$3,daily_items,0)))</f>
        <v>#N/A</v>
      </c>
      <c r="R338" s="1" t="e">
        <f aca="false">IF(ISBLANK(INDEX(big_daily_table,MATCH(DATE(R$5,$K338,$J338),daily_dates,0),MATCH($B$3,daily_items,0))),NA(),INDEX(big_daily_table,MATCH(DATE(R$5,$K338,$J338),daily_dates,0),MATCH($B$3,daily_items,0)))</f>
        <v>#N/A</v>
      </c>
      <c r="S338" s="1" t="e">
        <f aca="false">IF(ISBLANK(INDEX(big_daily_table,MATCH(DATE(S$5,$K338,$J338),daily_dates,0),MATCH($B$3,daily_items,0))),NA(),INDEX(big_daily_table,MATCH(DATE(S$5,$K338,$J338),daily_dates,0),MATCH($B$3,daily_items,0)))</f>
        <v>#N/A</v>
      </c>
      <c r="T338" s="1" t="e">
        <f aca="false">IF(ISBLANK(INDEX(big_daily_table,MATCH(DATE(T$5,$K338,$J338),daily_dates,0),MATCH($B$3,daily_items,0))),NA(),INDEX(big_daily_table,MATCH(DATE(T$5,$K338,$J338),daily_dates,0),MATCH($B$3,daily_items,0)))</f>
        <v>#N/A</v>
      </c>
      <c r="U338" s="1" t="e">
        <f aca="false">IF(ISBLANK(INDEX(big_daily_table,MATCH(DATE(U$5,$K338,$J338),daily_dates,0),MATCH($B$3,daily_items,0))),NA(),INDEX(big_daily_table,MATCH(DATE(U$5,$K338,$J338),daily_dates,0),MATCH($B$3,daily_items,0)))</f>
        <v>#N/A</v>
      </c>
      <c r="V338" s="1" t="e">
        <f aca="false">IF(ISBLANK(INDEX(big_daily_table,MATCH(DATE(V$5,$K338,$J338),daily_dates,0),MATCH($B$3,daily_items,0))),NA(),INDEX(big_daily_table,MATCH(DATE(V$5,$K338,$J338),daily_dates,0),MATCH($B$3,daily_items,0)))</f>
        <v>#N/A</v>
      </c>
      <c r="W338" s="1" t="e">
        <f aca="false">IF(ISBLANK(INDEX(big_daily_table,MATCH(DATE(W$5,$K338,$J338),daily_dates,0),MATCH($B$3,daily_items,0))),NA(),INDEX(big_daily_table,MATCH(DATE(W$5,$K338,$J338),daily_dates,0),MATCH($B$3,daily_items,0)))</f>
        <v>#N/A</v>
      </c>
      <c r="X338" s="1" t="e">
        <f aca="false">IF(ISBLANK(INDEX(big_daily_table,MATCH(DATE(X$5,$K338,$J338),daily_dates,0),MATCH($B$3,daily_items,0))),NA(),INDEX(big_daily_table,MATCH(DATE(X$5,$K338,$J338),daily_dates,0),MATCH($B$3,daily_items,0)))</f>
        <v>#N/A</v>
      </c>
      <c r="Y338" s="1" t="e">
        <f aca="false">IF(ISBLANK(INDEX(big_daily_table,MATCH(DATE(Y$5,$K338,$J338),daily_dates,0),MATCH($B$3,daily_items,0))),NA(),INDEX(big_daily_table,MATCH(DATE(Y$5,$K338,$J338),daily_dates,0),MATCH($B$3,daily_items,0)))</f>
        <v>#N/A</v>
      </c>
      <c r="Z338" s="1" t="e">
        <f aca="false">IF(ISBLANK(INDEX(big_daily_table,MATCH(DATE(Z$5,$K338,$J338),daily_dates,0),MATCH($B$3,daily_items,0))),NA(),INDEX(big_daily_table,MATCH(DATE(Z$5,$K338,$J338),daily_dates,0),MATCH($B$3,daily_items,0)))</f>
        <v>#N/A</v>
      </c>
      <c r="AA338" s="1" t="n">
        <f aca="true">_xlfn.AGGREGATE(5,6,OFFSET($S$5,H338,0,1,$K$2))</f>
        <v>0</v>
      </c>
      <c r="AB338" s="1" t="n">
        <f aca="true">_xlfn.AGGREGATE(4,6,OFFSET($S$5,H338,0,1,$K$2))</f>
        <v>0</v>
      </c>
      <c r="AC338" s="1" t="n">
        <f aca="false">AB338-AA338</f>
        <v>0</v>
      </c>
      <c r="AD338" s="1" t="e">
        <f aca="true">_xlfn.AGGREGATE(1,6,OFFSET($S$5,H338,0,1,$K$2))</f>
        <v>#DIV/0!</v>
      </c>
    </row>
    <row r="339" customFormat="false" ht="14.25" hidden="false" customHeight="false" outlineLevel="0" collapsed="false">
      <c r="H339" s="1" t="n">
        <f aca="false">H338+1</f>
        <v>334</v>
      </c>
      <c r="I339" s="1" t="n">
        <f aca="false">WEEKDAY('daily graphs'!K339)</f>
        <v>4</v>
      </c>
      <c r="J339" s="1" t="n">
        <f aca="false">DAY(L339)</f>
        <v>25</v>
      </c>
      <c r="K339" s="1" t="n">
        <f aca="false">MONTH(L339)</f>
        <v>11</v>
      </c>
      <c r="L339" s="23" t="n">
        <f aca="false">'daily graphs'!K339 - I339</f>
        <v>36855</v>
      </c>
      <c r="M339" s="24" t="n">
        <f aca="true">IF(TODAY()&lt;DATE($O$5,K339,J339),1000000,-1000000)</f>
        <v>1000000</v>
      </c>
      <c r="N339" s="24" t="e">
        <f aca="false">IF(M339&gt;0,INDEX(big_daily_table,MATCH(DATE(O$5,$K339,$J339),daily_dates,0),MATCH($B$3,daily_items,0)),NA())</f>
        <v>#N/A</v>
      </c>
      <c r="O339" s="1" t="e">
        <f aca="false">IF(M339&lt;0,INDEX(big_daily_table,MATCH(DATE(O$5,$K339,$J339),daily_dates,0),MATCH($B$3,daily_items,0)),NA())</f>
        <v>#N/A</v>
      </c>
      <c r="P339" s="1" t="e">
        <f aca="false">IF(ISBLANK(INDEX(big_daily_table,MATCH(DATE(P$5,$K339,$J339),daily_dates,0),MATCH($B$3,daily_items,0))),NA(),INDEX(big_daily_table,MATCH(DATE(P$5,$K339,$J339),daily_dates,0),MATCH($B$3,daily_items,0)))</f>
        <v>#N/A</v>
      </c>
      <c r="Q339" s="1" t="e">
        <f aca="false">IF(ISBLANK(INDEX(big_daily_table,MATCH(DATE(Q$5,$K339,$J339),daily_dates,0),MATCH($B$3,daily_items,0))),NA(),INDEX(big_daily_table,MATCH(DATE(Q$5,$K339,$J339),daily_dates,0),MATCH($B$3,daily_items,0)))</f>
        <v>#N/A</v>
      </c>
      <c r="R339" s="1" t="e">
        <f aca="false">IF(ISBLANK(INDEX(big_daily_table,MATCH(DATE(R$5,$K339,$J339),daily_dates,0),MATCH($B$3,daily_items,0))),NA(),INDEX(big_daily_table,MATCH(DATE(R$5,$K339,$J339),daily_dates,0),MATCH($B$3,daily_items,0)))</f>
        <v>#N/A</v>
      </c>
      <c r="S339" s="1" t="e">
        <f aca="false">IF(ISBLANK(INDEX(big_daily_table,MATCH(DATE(S$5,$K339,$J339),daily_dates,0),MATCH($B$3,daily_items,0))),NA(),INDEX(big_daily_table,MATCH(DATE(S$5,$K339,$J339),daily_dates,0),MATCH($B$3,daily_items,0)))</f>
        <v>#N/A</v>
      </c>
      <c r="T339" s="1" t="e">
        <f aca="false">IF(ISBLANK(INDEX(big_daily_table,MATCH(DATE(T$5,$K339,$J339),daily_dates,0),MATCH($B$3,daily_items,0))),NA(),INDEX(big_daily_table,MATCH(DATE(T$5,$K339,$J339),daily_dates,0),MATCH($B$3,daily_items,0)))</f>
        <v>#N/A</v>
      </c>
      <c r="U339" s="1" t="e">
        <f aca="false">IF(ISBLANK(INDEX(big_daily_table,MATCH(DATE(U$5,$K339,$J339),daily_dates,0),MATCH($B$3,daily_items,0))),NA(),INDEX(big_daily_table,MATCH(DATE(U$5,$K339,$J339),daily_dates,0),MATCH($B$3,daily_items,0)))</f>
        <v>#N/A</v>
      </c>
      <c r="V339" s="1" t="e">
        <f aca="false">IF(ISBLANK(INDEX(big_daily_table,MATCH(DATE(V$5,$K339,$J339),daily_dates,0),MATCH($B$3,daily_items,0))),NA(),INDEX(big_daily_table,MATCH(DATE(V$5,$K339,$J339),daily_dates,0),MATCH($B$3,daily_items,0)))</f>
        <v>#N/A</v>
      </c>
      <c r="W339" s="1" t="e">
        <f aca="false">IF(ISBLANK(INDEX(big_daily_table,MATCH(DATE(W$5,$K339,$J339),daily_dates,0),MATCH($B$3,daily_items,0))),NA(),INDEX(big_daily_table,MATCH(DATE(W$5,$K339,$J339),daily_dates,0),MATCH($B$3,daily_items,0)))</f>
        <v>#N/A</v>
      </c>
      <c r="X339" s="1" t="e">
        <f aca="false">IF(ISBLANK(INDEX(big_daily_table,MATCH(DATE(X$5,$K339,$J339),daily_dates,0),MATCH($B$3,daily_items,0))),NA(),INDEX(big_daily_table,MATCH(DATE(X$5,$K339,$J339),daily_dates,0),MATCH($B$3,daily_items,0)))</f>
        <v>#N/A</v>
      </c>
      <c r="Y339" s="1" t="e">
        <f aca="false">IF(ISBLANK(INDEX(big_daily_table,MATCH(DATE(Y$5,$K339,$J339),daily_dates,0),MATCH($B$3,daily_items,0))),NA(),INDEX(big_daily_table,MATCH(DATE(Y$5,$K339,$J339),daily_dates,0),MATCH($B$3,daily_items,0)))</f>
        <v>#N/A</v>
      </c>
      <c r="Z339" s="1" t="e">
        <f aca="false">IF(ISBLANK(INDEX(big_daily_table,MATCH(DATE(Z$5,$K339,$J339),daily_dates,0),MATCH($B$3,daily_items,0))),NA(),INDEX(big_daily_table,MATCH(DATE(Z$5,$K339,$J339),daily_dates,0),MATCH($B$3,daily_items,0)))</f>
        <v>#N/A</v>
      </c>
      <c r="AA339" s="1" t="n">
        <f aca="true">_xlfn.AGGREGATE(5,6,OFFSET($S$5,H339,0,1,$K$2))</f>
        <v>0</v>
      </c>
      <c r="AB339" s="1" t="n">
        <f aca="true">_xlfn.AGGREGATE(4,6,OFFSET($S$5,H339,0,1,$K$2))</f>
        <v>0</v>
      </c>
      <c r="AC339" s="1" t="n">
        <f aca="false">AB339-AA339</f>
        <v>0</v>
      </c>
      <c r="AD339" s="1" t="e">
        <f aca="true">_xlfn.AGGREGATE(1,6,OFFSET($S$5,H339,0,1,$K$2))</f>
        <v>#DIV/0!</v>
      </c>
    </row>
    <row r="340" customFormat="false" ht="14.25" hidden="false" customHeight="false" outlineLevel="0" collapsed="false">
      <c r="H340" s="1" t="n">
        <f aca="false">H339+1</f>
        <v>335</v>
      </c>
      <c r="I340" s="1" t="n">
        <f aca="false">WEEKDAY('daily graphs'!K340)</f>
        <v>5</v>
      </c>
      <c r="J340" s="1" t="n">
        <f aca="false">DAY(L340)</f>
        <v>25</v>
      </c>
      <c r="K340" s="1" t="n">
        <f aca="false">MONTH(L340)</f>
        <v>11</v>
      </c>
      <c r="L340" s="23" t="n">
        <f aca="false">'daily graphs'!K340 - I340</f>
        <v>36855</v>
      </c>
      <c r="M340" s="24" t="n">
        <f aca="true">IF(TODAY()&lt;DATE($O$5,K340,J340),1000000,-1000000)</f>
        <v>1000000</v>
      </c>
      <c r="N340" s="24" t="e">
        <f aca="false">IF(M340&gt;0,INDEX(big_daily_table,MATCH(DATE(O$5,$K340,$J340),daily_dates,0),MATCH($B$3,daily_items,0)),NA())</f>
        <v>#N/A</v>
      </c>
      <c r="O340" s="1" t="e">
        <f aca="false">IF(M340&lt;0,INDEX(big_daily_table,MATCH(DATE(O$5,$K340,$J340),daily_dates,0),MATCH($B$3,daily_items,0)),NA())</f>
        <v>#N/A</v>
      </c>
      <c r="P340" s="1" t="e">
        <f aca="false">IF(ISBLANK(INDEX(big_daily_table,MATCH(DATE(P$5,$K340,$J340),daily_dates,0),MATCH($B$3,daily_items,0))),NA(),INDEX(big_daily_table,MATCH(DATE(P$5,$K340,$J340),daily_dates,0),MATCH($B$3,daily_items,0)))</f>
        <v>#N/A</v>
      </c>
      <c r="Q340" s="1" t="e">
        <f aca="false">IF(ISBLANK(INDEX(big_daily_table,MATCH(DATE(Q$5,$K340,$J340),daily_dates,0),MATCH($B$3,daily_items,0))),NA(),INDEX(big_daily_table,MATCH(DATE(Q$5,$K340,$J340),daily_dates,0),MATCH($B$3,daily_items,0)))</f>
        <v>#N/A</v>
      </c>
      <c r="R340" s="1" t="e">
        <f aca="false">IF(ISBLANK(INDEX(big_daily_table,MATCH(DATE(R$5,$K340,$J340),daily_dates,0),MATCH($B$3,daily_items,0))),NA(),INDEX(big_daily_table,MATCH(DATE(R$5,$K340,$J340),daily_dates,0),MATCH($B$3,daily_items,0)))</f>
        <v>#N/A</v>
      </c>
      <c r="S340" s="1" t="e">
        <f aca="false">IF(ISBLANK(INDEX(big_daily_table,MATCH(DATE(S$5,$K340,$J340),daily_dates,0),MATCH($B$3,daily_items,0))),NA(),INDEX(big_daily_table,MATCH(DATE(S$5,$K340,$J340),daily_dates,0),MATCH($B$3,daily_items,0)))</f>
        <v>#N/A</v>
      </c>
      <c r="T340" s="1" t="e">
        <f aca="false">IF(ISBLANK(INDEX(big_daily_table,MATCH(DATE(T$5,$K340,$J340),daily_dates,0),MATCH($B$3,daily_items,0))),NA(),INDEX(big_daily_table,MATCH(DATE(T$5,$K340,$J340),daily_dates,0),MATCH($B$3,daily_items,0)))</f>
        <v>#N/A</v>
      </c>
      <c r="U340" s="1" t="e">
        <f aca="false">IF(ISBLANK(INDEX(big_daily_table,MATCH(DATE(U$5,$K340,$J340),daily_dates,0),MATCH($B$3,daily_items,0))),NA(),INDEX(big_daily_table,MATCH(DATE(U$5,$K340,$J340),daily_dates,0),MATCH($B$3,daily_items,0)))</f>
        <v>#N/A</v>
      </c>
      <c r="V340" s="1" t="e">
        <f aca="false">IF(ISBLANK(INDEX(big_daily_table,MATCH(DATE(V$5,$K340,$J340),daily_dates,0),MATCH($B$3,daily_items,0))),NA(),INDEX(big_daily_table,MATCH(DATE(V$5,$K340,$J340),daily_dates,0),MATCH($B$3,daily_items,0)))</f>
        <v>#N/A</v>
      </c>
      <c r="W340" s="1" t="e">
        <f aca="false">IF(ISBLANK(INDEX(big_daily_table,MATCH(DATE(W$5,$K340,$J340),daily_dates,0),MATCH($B$3,daily_items,0))),NA(),INDEX(big_daily_table,MATCH(DATE(W$5,$K340,$J340),daily_dates,0),MATCH($B$3,daily_items,0)))</f>
        <v>#N/A</v>
      </c>
      <c r="X340" s="1" t="e">
        <f aca="false">IF(ISBLANK(INDEX(big_daily_table,MATCH(DATE(X$5,$K340,$J340),daily_dates,0),MATCH($B$3,daily_items,0))),NA(),INDEX(big_daily_table,MATCH(DATE(X$5,$K340,$J340),daily_dates,0),MATCH($B$3,daily_items,0)))</f>
        <v>#N/A</v>
      </c>
      <c r="Y340" s="1" t="e">
        <f aca="false">IF(ISBLANK(INDEX(big_daily_table,MATCH(DATE(Y$5,$K340,$J340),daily_dates,0),MATCH($B$3,daily_items,0))),NA(),INDEX(big_daily_table,MATCH(DATE(Y$5,$K340,$J340),daily_dates,0),MATCH($B$3,daily_items,0)))</f>
        <v>#N/A</v>
      </c>
      <c r="Z340" s="1" t="e">
        <f aca="false">IF(ISBLANK(INDEX(big_daily_table,MATCH(DATE(Z$5,$K340,$J340),daily_dates,0),MATCH($B$3,daily_items,0))),NA(),INDEX(big_daily_table,MATCH(DATE(Z$5,$K340,$J340),daily_dates,0),MATCH($B$3,daily_items,0)))</f>
        <v>#N/A</v>
      </c>
      <c r="AA340" s="1" t="n">
        <f aca="true">_xlfn.AGGREGATE(5,6,OFFSET($S$5,H340,0,1,$K$2))</f>
        <v>0</v>
      </c>
      <c r="AB340" s="1" t="n">
        <f aca="true">_xlfn.AGGREGATE(4,6,OFFSET($S$5,H340,0,1,$K$2))</f>
        <v>0</v>
      </c>
      <c r="AC340" s="1" t="n">
        <f aca="false">AB340-AA340</f>
        <v>0</v>
      </c>
      <c r="AD340" s="1" t="e">
        <f aca="true">_xlfn.AGGREGATE(1,6,OFFSET($S$5,H340,0,1,$K$2))</f>
        <v>#DIV/0!</v>
      </c>
    </row>
    <row r="341" customFormat="false" ht="14.25" hidden="false" customHeight="false" outlineLevel="0" collapsed="false">
      <c r="H341" s="1" t="n">
        <f aca="false">H340+1</f>
        <v>336</v>
      </c>
      <c r="I341" s="1" t="n">
        <f aca="false">WEEKDAY('daily graphs'!K341)</f>
        <v>6</v>
      </c>
      <c r="J341" s="1" t="n">
        <f aca="false">DAY(L341)</f>
        <v>25</v>
      </c>
      <c r="K341" s="1" t="n">
        <f aca="false">MONTH(L341)</f>
        <v>11</v>
      </c>
      <c r="L341" s="23" t="n">
        <f aca="false">'daily graphs'!K341 - I341</f>
        <v>36855</v>
      </c>
      <c r="M341" s="24" t="n">
        <f aca="true">IF(TODAY()&lt;DATE($O$5,K341,J341),1000000,-1000000)</f>
        <v>1000000</v>
      </c>
      <c r="N341" s="24" t="e">
        <f aca="false">IF(M341&gt;0,INDEX(big_daily_table,MATCH(DATE(O$5,$K341,$J341),daily_dates,0),MATCH($B$3,daily_items,0)),NA())</f>
        <v>#N/A</v>
      </c>
      <c r="O341" s="1" t="e">
        <f aca="false">IF(M341&lt;0,INDEX(big_daily_table,MATCH(DATE(O$5,$K341,$J341),daily_dates,0),MATCH($B$3,daily_items,0)),NA())</f>
        <v>#N/A</v>
      </c>
      <c r="P341" s="1" t="e">
        <f aca="false">IF(ISBLANK(INDEX(big_daily_table,MATCH(DATE(P$5,$K341,$J341),daily_dates,0),MATCH($B$3,daily_items,0))),NA(),INDEX(big_daily_table,MATCH(DATE(P$5,$K341,$J341),daily_dates,0),MATCH($B$3,daily_items,0)))</f>
        <v>#N/A</v>
      </c>
      <c r="Q341" s="1" t="e">
        <f aca="false">IF(ISBLANK(INDEX(big_daily_table,MATCH(DATE(Q$5,$K341,$J341),daily_dates,0),MATCH($B$3,daily_items,0))),NA(),INDEX(big_daily_table,MATCH(DATE(Q$5,$K341,$J341),daily_dates,0),MATCH($B$3,daily_items,0)))</f>
        <v>#N/A</v>
      </c>
      <c r="R341" s="1" t="e">
        <f aca="false">IF(ISBLANK(INDEX(big_daily_table,MATCH(DATE(R$5,$K341,$J341),daily_dates,0),MATCH($B$3,daily_items,0))),NA(),INDEX(big_daily_table,MATCH(DATE(R$5,$K341,$J341),daily_dates,0),MATCH($B$3,daily_items,0)))</f>
        <v>#N/A</v>
      </c>
      <c r="S341" s="1" t="e">
        <f aca="false">IF(ISBLANK(INDEX(big_daily_table,MATCH(DATE(S$5,$K341,$J341),daily_dates,0),MATCH($B$3,daily_items,0))),NA(),INDEX(big_daily_table,MATCH(DATE(S$5,$K341,$J341),daily_dates,0),MATCH($B$3,daily_items,0)))</f>
        <v>#N/A</v>
      </c>
      <c r="T341" s="1" t="e">
        <f aca="false">IF(ISBLANK(INDEX(big_daily_table,MATCH(DATE(T$5,$K341,$J341),daily_dates,0),MATCH($B$3,daily_items,0))),NA(),INDEX(big_daily_table,MATCH(DATE(T$5,$K341,$J341),daily_dates,0),MATCH($B$3,daily_items,0)))</f>
        <v>#N/A</v>
      </c>
      <c r="U341" s="1" t="e">
        <f aca="false">IF(ISBLANK(INDEX(big_daily_table,MATCH(DATE(U$5,$K341,$J341),daily_dates,0),MATCH($B$3,daily_items,0))),NA(),INDEX(big_daily_table,MATCH(DATE(U$5,$K341,$J341),daily_dates,0),MATCH($B$3,daily_items,0)))</f>
        <v>#N/A</v>
      </c>
      <c r="V341" s="1" t="e">
        <f aca="false">IF(ISBLANK(INDEX(big_daily_table,MATCH(DATE(V$5,$K341,$J341),daily_dates,0),MATCH($B$3,daily_items,0))),NA(),INDEX(big_daily_table,MATCH(DATE(V$5,$K341,$J341),daily_dates,0),MATCH($B$3,daily_items,0)))</f>
        <v>#N/A</v>
      </c>
      <c r="W341" s="1" t="e">
        <f aca="false">IF(ISBLANK(INDEX(big_daily_table,MATCH(DATE(W$5,$K341,$J341),daily_dates,0),MATCH($B$3,daily_items,0))),NA(),INDEX(big_daily_table,MATCH(DATE(W$5,$K341,$J341),daily_dates,0),MATCH($B$3,daily_items,0)))</f>
        <v>#N/A</v>
      </c>
      <c r="X341" s="1" t="e">
        <f aca="false">IF(ISBLANK(INDEX(big_daily_table,MATCH(DATE(X$5,$K341,$J341),daily_dates,0),MATCH($B$3,daily_items,0))),NA(),INDEX(big_daily_table,MATCH(DATE(X$5,$K341,$J341),daily_dates,0),MATCH($B$3,daily_items,0)))</f>
        <v>#N/A</v>
      </c>
      <c r="Y341" s="1" t="e">
        <f aca="false">IF(ISBLANK(INDEX(big_daily_table,MATCH(DATE(Y$5,$K341,$J341),daily_dates,0),MATCH($B$3,daily_items,0))),NA(),INDEX(big_daily_table,MATCH(DATE(Y$5,$K341,$J341),daily_dates,0),MATCH($B$3,daily_items,0)))</f>
        <v>#N/A</v>
      </c>
      <c r="Z341" s="1" t="e">
        <f aca="false">IF(ISBLANK(INDEX(big_daily_table,MATCH(DATE(Z$5,$K341,$J341),daily_dates,0),MATCH($B$3,daily_items,0))),NA(),INDEX(big_daily_table,MATCH(DATE(Z$5,$K341,$J341),daily_dates,0),MATCH($B$3,daily_items,0)))</f>
        <v>#N/A</v>
      </c>
      <c r="AA341" s="1" t="n">
        <f aca="true">_xlfn.AGGREGATE(5,6,OFFSET($S$5,H341,0,1,$K$2))</f>
        <v>0</v>
      </c>
      <c r="AB341" s="1" t="n">
        <f aca="true">_xlfn.AGGREGATE(4,6,OFFSET($S$5,H341,0,1,$K$2))</f>
        <v>0</v>
      </c>
      <c r="AC341" s="1" t="n">
        <f aca="false">AB341-AA341</f>
        <v>0</v>
      </c>
      <c r="AD341" s="1" t="e">
        <f aca="true">_xlfn.AGGREGATE(1,6,OFFSET($S$5,H341,0,1,$K$2))</f>
        <v>#DIV/0!</v>
      </c>
    </row>
    <row r="342" customFormat="false" ht="14.25" hidden="false" customHeight="false" outlineLevel="0" collapsed="false">
      <c r="H342" s="1" t="n">
        <f aca="false">H341+1</f>
        <v>337</v>
      </c>
      <c r="I342" s="1" t="n">
        <f aca="false">WEEKDAY('daily graphs'!K342)</f>
        <v>7</v>
      </c>
      <c r="J342" s="1" t="n">
        <f aca="false">DAY(L342)</f>
        <v>25</v>
      </c>
      <c r="K342" s="1" t="n">
        <f aca="false">MONTH(L342)</f>
        <v>11</v>
      </c>
      <c r="L342" s="23" t="n">
        <f aca="false">'daily graphs'!K342 - I342</f>
        <v>36855</v>
      </c>
      <c r="M342" s="24" t="n">
        <f aca="true">IF(TODAY()&lt;DATE($O$5,K342,J342),1000000,-1000000)</f>
        <v>1000000</v>
      </c>
      <c r="N342" s="24" t="e">
        <f aca="false">IF(M342&gt;0,INDEX(big_daily_table,MATCH(DATE(O$5,$K342,$J342),daily_dates,0),MATCH($B$3,daily_items,0)),NA())</f>
        <v>#N/A</v>
      </c>
      <c r="O342" s="1" t="e">
        <f aca="false">IF(M342&lt;0,INDEX(big_daily_table,MATCH(DATE(O$5,$K342,$J342),daily_dates,0),MATCH($B$3,daily_items,0)),NA())</f>
        <v>#N/A</v>
      </c>
      <c r="P342" s="1" t="e">
        <f aca="false">IF(ISBLANK(INDEX(big_daily_table,MATCH(DATE(P$5,$K342,$J342),daily_dates,0),MATCH($B$3,daily_items,0))),NA(),INDEX(big_daily_table,MATCH(DATE(P$5,$K342,$J342),daily_dates,0),MATCH($B$3,daily_items,0)))</f>
        <v>#N/A</v>
      </c>
      <c r="Q342" s="1" t="e">
        <f aca="false">IF(ISBLANK(INDEX(big_daily_table,MATCH(DATE(Q$5,$K342,$J342),daily_dates,0),MATCH($B$3,daily_items,0))),NA(),INDEX(big_daily_table,MATCH(DATE(Q$5,$K342,$J342),daily_dates,0),MATCH($B$3,daily_items,0)))</f>
        <v>#N/A</v>
      </c>
      <c r="R342" s="1" t="e">
        <f aca="false">IF(ISBLANK(INDEX(big_daily_table,MATCH(DATE(R$5,$K342,$J342),daily_dates,0),MATCH($B$3,daily_items,0))),NA(),INDEX(big_daily_table,MATCH(DATE(R$5,$K342,$J342),daily_dates,0),MATCH($B$3,daily_items,0)))</f>
        <v>#N/A</v>
      </c>
      <c r="S342" s="1" t="e">
        <f aca="false">IF(ISBLANK(INDEX(big_daily_table,MATCH(DATE(S$5,$K342,$J342),daily_dates,0),MATCH($B$3,daily_items,0))),NA(),INDEX(big_daily_table,MATCH(DATE(S$5,$K342,$J342),daily_dates,0),MATCH($B$3,daily_items,0)))</f>
        <v>#N/A</v>
      </c>
      <c r="T342" s="1" t="e">
        <f aca="false">IF(ISBLANK(INDEX(big_daily_table,MATCH(DATE(T$5,$K342,$J342),daily_dates,0),MATCH($B$3,daily_items,0))),NA(),INDEX(big_daily_table,MATCH(DATE(T$5,$K342,$J342),daily_dates,0),MATCH($B$3,daily_items,0)))</f>
        <v>#N/A</v>
      </c>
      <c r="U342" s="1" t="e">
        <f aca="false">IF(ISBLANK(INDEX(big_daily_table,MATCH(DATE(U$5,$K342,$J342),daily_dates,0),MATCH($B$3,daily_items,0))),NA(),INDEX(big_daily_table,MATCH(DATE(U$5,$K342,$J342),daily_dates,0),MATCH($B$3,daily_items,0)))</f>
        <v>#N/A</v>
      </c>
      <c r="V342" s="1" t="e">
        <f aca="false">IF(ISBLANK(INDEX(big_daily_table,MATCH(DATE(V$5,$K342,$J342),daily_dates,0),MATCH($B$3,daily_items,0))),NA(),INDEX(big_daily_table,MATCH(DATE(V$5,$K342,$J342),daily_dates,0),MATCH($B$3,daily_items,0)))</f>
        <v>#N/A</v>
      </c>
      <c r="W342" s="1" t="e">
        <f aca="false">IF(ISBLANK(INDEX(big_daily_table,MATCH(DATE(W$5,$K342,$J342),daily_dates,0),MATCH($B$3,daily_items,0))),NA(),INDEX(big_daily_table,MATCH(DATE(W$5,$K342,$J342),daily_dates,0),MATCH($B$3,daily_items,0)))</f>
        <v>#N/A</v>
      </c>
      <c r="X342" s="1" t="e">
        <f aca="false">IF(ISBLANK(INDEX(big_daily_table,MATCH(DATE(X$5,$K342,$J342),daily_dates,0),MATCH($B$3,daily_items,0))),NA(),INDEX(big_daily_table,MATCH(DATE(X$5,$K342,$J342),daily_dates,0),MATCH($B$3,daily_items,0)))</f>
        <v>#N/A</v>
      </c>
      <c r="Y342" s="1" t="e">
        <f aca="false">IF(ISBLANK(INDEX(big_daily_table,MATCH(DATE(Y$5,$K342,$J342),daily_dates,0),MATCH($B$3,daily_items,0))),NA(),INDEX(big_daily_table,MATCH(DATE(Y$5,$K342,$J342),daily_dates,0),MATCH($B$3,daily_items,0)))</f>
        <v>#N/A</v>
      </c>
      <c r="Z342" s="1" t="e">
        <f aca="false">IF(ISBLANK(INDEX(big_daily_table,MATCH(DATE(Z$5,$K342,$J342),daily_dates,0),MATCH($B$3,daily_items,0))),NA(),INDEX(big_daily_table,MATCH(DATE(Z$5,$K342,$J342),daily_dates,0),MATCH($B$3,daily_items,0)))</f>
        <v>#N/A</v>
      </c>
      <c r="AA342" s="1" t="n">
        <f aca="true">_xlfn.AGGREGATE(5,6,OFFSET($S$5,H342,0,1,$K$2))</f>
        <v>0</v>
      </c>
      <c r="AB342" s="1" t="n">
        <f aca="true">_xlfn.AGGREGATE(4,6,OFFSET($S$5,H342,0,1,$K$2))</f>
        <v>0</v>
      </c>
      <c r="AC342" s="1" t="n">
        <f aca="false">AB342-AA342</f>
        <v>0</v>
      </c>
      <c r="AD342" s="1" t="e">
        <f aca="true">_xlfn.AGGREGATE(1,6,OFFSET($S$5,H342,0,1,$K$2))</f>
        <v>#DIV/0!</v>
      </c>
    </row>
    <row r="343" customFormat="false" ht="14.25" hidden="false" customHeight="false" outlineLevel="0" collapsed="false">
      <c r="H343" s="1" t="n">
        <f aca="false">H342+1</f>
        <v>338</v>
      </c>
      <c r="I343" s="1" t="n">
        <f aca="false">WEEKDAY('daily graphs'!K343)</f>
        <v>1</v>
      </c>
      <c r="J343" s="1" t="n">
        <f aca="false">DAY(L343)</f>
        <v>2</v>
      </c>
      <c r="K343" s="1" t="n">
        <f aca="false">MONTH(L343)</f>
        <v>12</v>
      </c>
      <c r="L343" s="23" t="n">
        <f aca="false">'daily graphs'!K343 - I343</f>
        <v>36862</v>
      </c>
      <c r="M343" s="24" t="n">
        <f aca="true">IF(TODAY()&lt;DATE($O$5,K343,J343),1000000,-1000000)</f>
        <v>1000000</v>
      </c>
      <c r="N343" s="24" t="e">
        <f aca="false">IF(M343&gt;0,INDEX(big_daily_table,MATCH(DATE(O$5,$K343,$J343),daily_dates,0),MATCH($B$3,daily_items,0)),NA())</f>
        <v>#N/A</v>
      </c>
      <c r="O343" s="1" t="e">
        <f aca="false">IF(M343&lt;0,INDEX(big_daily_table,MATCH(DATE(O$5,$K343,$J343),daily_dates,0),MATCH($B$3,daily_items,0)),NA())</f>
        <v>#N/A</v>
      </c>
      <c r="P343" s="1" t="e">
        <f aca="false">IF(ISBLANK(INDEX(big_daily_table,MATCH(DATE(P$5,$K343,$J343),daily_dates,0),MATCH($B$3,daily_items,0))),NA(),INDEX(big_daily_table,MATCH(DATE(P$5,$K343,$J343),daily_dates,0),MATCH($B$3,daily_items,0)))</f>
        <v>#N/A</v>
      </c>
      <c r="Q343" s="1" t="e">
        <f aca="false">IF(ISBLANK(INDEX(big_daily_table,MATCH(DATE(Q$5,$K343,$J343),daily_dates,0),MATCH($B$3,daily_items,0))),NA(),INDEX(big_daily_table,MATCH(DATE(Q$5,$K343,$J343),daily_dates,0),MATCH($B$3,daily_items,0)))</f>
        <v>#N/A</v>
      </c>
      <c r="R343" s="1" t="e">
        <f aca="false">IF(ISBLANK(INDEX(big_daily_table,MATCH(DATE(R$5,$K343,$J343),daily_dates,0),MATCH($B$3,daily_items,0))),NA(),INDEX(big_daily_table,MATCH(DATE(R$5,$K343,$J343),daily_dates,0),MATCH($B$3,daily_items,0)))</f>
        <v>#N/A</v>
      </c>
      <c r="S343" s="1" t="e">
        <f aca="false">IF(ISBLANK(INDEX(big_daily_table,MATCH(DATE(S$5,$K343,$J343),daily_dates,0),MATCH($B$3,daily_items,0))),NA(),INDEX(big_daily_table,MATCH(DATE(S$5,$K343,$J343),daily_dates,0),MATCH($B$3,daily_items,0)))</f>
        <v>#N/A</v>
      </c>
      <c r="T343" s="1" t="e">
        <f aca="false">IF(ISBLANK(INDEX(big_daily_table,MATCH(DATE(T$5,$K343,$J343),daily_dates,0),MATCH($B$3,daily_items,0))),NA(),INDEX(big_daily_table,MATCH(DATE(T$5,$K343,$J343),daily_dates,0),MATCH($B$3,daily_items,0)))</f>
        <v>#N/A</v>
      </c>
      <c r="U343" s="1" t="e">
        <f aca="false">IF(ISBLANK(INDEX(big_daily_table,MATCH(DATE(U$5,$K343,$J343),daily_dates,0),MATCH($B$3,daily_items,0))),NA(),INDEX(big_daily_table,MATCH(DATE(U$5,$K343,$J343),daily_dates,0),MATCH($B$3,daily_items,0)))</f>
        <v>#N/A</v>
      </c>
      <c r="V343" s="1" t="e">
        <f aca="false">IF(ISBLANK(INDEX(big_daily_table,MATCH(DATE(V$5,$K343,$J343),daily_dates,0),MATCH($B$3,daily_items,0))),NA(),INDEX(big_daily_table,MATCH(DATE(V$5,$K343,$J343),daily_dates,0),MATCH($B$3,daily_items,0)))</f>
        <v>#N/A</v>
      </c>
      <c r="W343" s="1" t="e">
        <f aca="false">IF(ISBLANK(INDEX(big_daily_table,MATCH(DATE(W$5,$K343,$J343),daily_dates,0),MATCH($B$3,daily_items,0))),NA(),INDEX(big_daily_table,MATCH(DATE(W$5,$K343,$J343),daily_dates,0),MATCH($B$3,daily_items,0)))</f>
        <v>#N/A</v>
      </c>
      <c r="X343" s="1" t="e">
        <f aca="false">IF(ISBLANK(INDEX(big_daily_table,MATCH(DATE(X$5,$K343,$J343),daily_dates,0),MATCH($B$3,daily_items,0))),NA(),INDEX(big_daily_table,MATCH(DATE(X$5,$K343,$J343),daily_dates,0),MATCH($B$3,daily_items,0)))</f>
        <v>#N/A</v>
      </c>
      <c r="Y343" s="1" t="e">
        <f aca="false">IF(ISBLANK(INDEX(big_daily_table,MATCH(DATE(Y$5,$K343,$J343),daily_dates,0),MATCH($B$3,daily_items,0))),NA(),INDEX(big_daily_table,MATCH(DATE(Y$5,$K343,$J343),daily_dates,0),MATCH($B$3,daily_items,0)))</f>
        <v>#N/A</v>
      </c>
      <c r="Z343" s="1" t="e">
        <f aca="false">IF(ISBLANK(INDEX(big_daily_table,MATCH(DATE(Z$5,$K343,$J343),daily_dates,0),MATCH($B$3,daily_items,0))),NA(),INDEX(big_daily_table,MATCH(DATE(Z$5,$K343,$J343),daily_dates,0),MATCH($B$3,daily_items,0)))</f>
        <v>#N/A</v>
      </c>
      <c r="AA343" s="1" t="n">
        <f aca="true">_xlfn.AGGREGATE(5,6,OFFSET($S$5,H343,0,1,$K$2))</f>
        <v>0</v>
      </c>
      <c r="AB343" s="1" t="n">
        <f aca="true">_xlfn.AGGREGATE(4,6,OFFSET($S$5,H343,0,1,$K$2))</f>
        <v>0</v>
      </c>
      <c r="AC343" s="1" t="n">
        <f aca="false">AB343-AA343</f>
        <v>0</v>
      </c>
      <c r="AD343" s="1" t="e">
        <f aca="true">_xlfn.AGGREGATE(1,6,OFFSET($S$5,H343,0,1,$K$2))</f>
        <v>#DIV/0!</v>
      </c>
    </row>
    <row r="344" customFormat="false" ht="14.25" hidden="false" customHeight="false" outlineLevel="0" collapsed="false">
      <c r="H344" s="1" t="n">
        <f aca="false">H343+1</f>
        <v>339</v>
      </c>
      <c r="I344" s="1" t="n">
        <f aca="false">WEEKDAY('daily graphs'!K344)</f>
        <v>2</v>
      </c>
      <c r="J344" s="1" t="n">
        <f aca="false">DAY(L344)</f>
        <v>2</v>
      </c>
      <c r="K344" s="1" t="n">
        <f aca="false">MONTH(L344)</f>
        <v>12</v>
      </c>
      <c r="L344" s="23" t="n">
        <f aca="false">'daily graphs'!K344 - I344</f>
        <v>36862</v>
      </c>
      <c r="M344" s="24" t="n">
        <f aca="true">IF(TODAY()&lt;DATE($O$5,K344,J344),1000000,-1000000)</f>
        <v>1000000</v>
      </c>
      <c r="N344" s="24" t="e">
        <f aca="false">IF(M344&gt;0,INDEX(big_daily_table,MATCH(DATE(O$5,$K344,$J344),daily_dates,0),MATCH($B$3,daily_items,0)),NA())</f>
        <v>#N/A</v>
      </c>
      <c r="O344" s="1" t="e">
        <f aca="false">IF(M344&lt;0,INDEX(big_daily_table,MATCH(DATE(O$5,$K344,$J344),daily_dates,0),MATCH($B$3,daily_items,0)),NA())</f>
        <v>#N/A</v>
      </c>
      <c r="P344" s="1" t="e">
        <f aca="false">IF(ISBLANK(INDEX(big_daily_table,MATCH(DATE(P$5,$K344,$J344),daily_dates,0),MATCH($B$3,daily_items,0))),NA(),INDEX(big_daily_table,MATCH(DATE(P$5,$K344,$J344),daily_dates,0),MATCH($B$3,daily_items,0)))</f>
        <v>#N/A</v>
      </c>
      <c r="Q344" s="1" t="e">
        <f aca="false">IF(ISBLANK(INDEX(big_daily_table,MATCH(DATE(Q$5,$K344,$J344),daily_dates,0),MATCH($B$3,daily_items,0))),NA(),INDEX(big_daily_table,MATCH(DATE(Q$5,$K344,$J344),daily_dates,0),MATCH($B$3,daily_items,0)))</f>
        <v>#N/A</v>
      </c>
      <c r="R344" s="1" t="e">
        <f aca="false">IF(ISBLANK(INDEX(big_daily_table,MATCH(DATE(R$5,$K344,$J344),daily_dates,0),MATCH($B$3,daily_items,0))),NA(),INDEX(big_daily_table,MATCH(DATE(R$5,$K344,$J344),daily_dates,0),MATCH($B$3,daily_items,0)))</f>
        <v>#N/A</v>
      </c>
      <c r="S344" s="1" t="e">
        <f aca="false">IF(ISBLANK(INDEX(big_daily_table,MATCH(DATE(S$5,$K344,$J344),daily_dates,0),MATCH($B$3,daily_items,0))),NA(),INDEX(big_daily_table,MATCH(DATE(S$5,$K344,$J344),daily_dates,0),MATCH($B$3,daily_items,0)))</f>
        <v>#N/A</v>
      </c>
      <c r="T344" s="1" t="e">
        <f aca="false">IF(ISBLANK(INDEX(big_daily_table,MATCH(DATE(T$5,$K344,$J344),daily_dates,0),MATCH($B$3,daily_items,0))),NA(),INDEX(big_daily_table,MATCH(DATE(T$5,$K344,$J344),daily_dates,0),MATCH($B$3,daily_items,0)))</f>
        <v>#N/A</v>
      </c>
      <c r="U344" s="1" t="e">
        <f aca="false">IF(ISBLANK(INDEX(big_daily_table,MATCH(DATE(U$5,$K344,$J344),daily_dates,0),MATCH($B$3,daily_items,0))),NA(),INDEX(big_daily_table,MATCH(DATE(U$5,$K344,$J344),daily_dates,0),MATCH($B$3,daily_items,0)))</f>
        <v>#N/A</v>
      </c>
      <c r="V344" s="1" t="e">
        <f aca="false">IF(ISBLANK(INDEX(big_daily_table,MATCH(DATE(V$5,$K344,$J344),daily_dates,0),MATCH($B$3,daily_items,0))),NA(),INDEX(big_daily_table,MATCH(DATE(V$5,$K344,$J344),daily_dates,0),MATCH($B$3,daily_items,0)))</f>
        <v>#N/A</v>
      </c>
      <c r="W344" s="1" t="e">
        <f aca="false">IF(ISBLANK(INDEX(big_daily_table,MATCH(DATE(W$5,$K344,$J344),daily_dates,0),MATCH($B$3,daily_items,0))),NA(),INDEX(big_daily_table,MATCH(DATE(W$5,$K344,$J344),daily_dates,0),MATCH($B$3,daily_items,0)))</f>
        <v>#N/A</v>
      </c>
      <c r="X344" s="1" t="e">
        <f aca="false">IF(ISBLANK(INDEX(big_daily_table,MATCH(DATE(X$5,$K344,$J344),daily_dates,0),MATCH($B$3,daily_items,0))),NA(),INDEX(big_daily_table,MATCH(DATE(X$5,$K344,$J344),daily_dates,0),MATCH($B$3,daily_items,0)))</f>
        <v>#N/A</v>
      </c>
      <c r="Y344" s="1" t="e">
        <f aca="false">IF(ISBLANK(INDEX(big_daily_table,MATCH(DATE(Y$5,$K344,$J344),daily_dates,0),MATCH($B$3,daily_items,0))),NA(),INDEX(big_daily_table,MATCH(DATE(Y$5,$K344,$J344),daily_dates,0),MATCH($B$3,daily_items,0)))</f>
        <v>#N/A</v>
      </c>
      <c r="Z344" s="1" t="e">
        <f aca="false">IF(ISBLANK(INDEX(big_daily_table,MATCH(DATE(Z$5,$K344,$J344),daily_dates,0),MATCH($B$3,daily_items,0))),NA(),INDEX(big_daily_table,MATCH(DATE(Z$5,$K344,$J344),daily_dates,0),MATCH($B$3,daily_items,0)))</f>
        <v>#N/A</v>
      </c>
      <c r="AA344" s="1" t="n">
        <f aca="true">_xlfn.AGGREGATE(5,6,OFFSET($S$5,H344,0,1,$K$2))</f>
        <v>0</v>
      </c>
      <c r="AB344" s="1" t="n">
        <f aca="true">_xlfn.AGGREGATE(4,6,OFFSET($S$5,H344,0,1,$K$2))</f>
        <v>0</v>
      </c>
      <c r="AC344" s="1" t="n">
        <f aca="false">AB344-AA344</f>
        <v>0</v>
      </c>
      <c r="AD344" s="1" t="e">
        <f aca="true">_xlfn.AGGREGATE(1,6,OFFSET($S$5,H344,0,1,$K$2))</f>
        <v>#DIV/0!</v>
      </c>
    </row>
    <row r="345" customFormat="false" ht="14.25" hidden="false" customHeight="false" outlineLevel="0" collapsed="false">
      <c r="H345" s="1" t="n">
        <f aca="false">H344+1</f>
        <v>340</v>
      </c>
      <c r="I345" s="1" t="n">
        <f aca="false">WEEKDAY('daily graphs'!K345)</f>
        <v>3</v>
      </c>
      <c r="J345" s="1" t="n">
        <f aca="false">DAY(L345)</f>
        <v>2</v>
      </c>
      <c r="K345" s="1" t="n">
        <f aca="false">MONTH(L345)</f>
        <v>12</v>
      </c>
      <c r="L345" s="23" t="n">
        <f aca="false">'daily graphs'!K345 - I345</f>
        <v>36862</v>
      </c>
      <c r="M345" s="24" t="n">
        <f aca="true">IF(TODAY()&lt;DATE($O$5,K345,J345),1000000,-1000000)</f>
        <v>1000000</v>
      </c>
      <c r="N345" s="24" t="e">
        <f aca="false">IF(M345&gt;0,INDEX(big_daily_table,MATCH(DATE(O$5,$K345,$J345),daily_dates,0),MATCH($B$3,daily_items,0)),NA())</f>
        <v>#N/A</v>
      </c>
      <c r="O345" s="1" t="e">
        <f aca="false">IF(M345&lt;0,INDEX(big_daily_table,MATCH(DATE(O$5,$K345,$J345),daily_dates,0),MATCH($B$3,daily_items,0)),NA())</f>
        <v>#N/A</v>
      </c>
      <c r="P345" s="1" t="e">
        <f aca="false">IF(ISBLANK(INDEX(big_daily_table,MATCH(DATE(P$5,$K345,$J345),daily_dates,0),MATCH($B$3,daily_items,0))),NA(),INDEX(big_daily_table,MATCH(DATE(P$5,$K345,$J345),daily_dates,0),MATCH($B$3,daily_items,0)))</f>
        <v>#N/A</v>
      </c>
      <c r="Q345" s="1" t="e">
        <f aca="false">IF(ISBLANK(INDEX(big_daily_table,MATCH(DATE(Q$5,$K345,$J345),daily_dates,0),MATCH($B$3,daily_items,0))),NA(),INDEX(big_daily_table,MATCH(DATE(Q$5,$K345,$J345),daily_dates,0),MATCH($B$3,daily_items,0)))</f>
        <v>#N/A</v>
      </c>
      <c r="R345" s="1" t="e">
        <f aca="false">IF(ISBLANK(INDEX(big_daily_table,MATCH(DATE(R$5,$K345,$J345),daily_dates,0),MATCH($B$3,daily_items,0))),NA(),INDEX(big_daily_table,MATCH(DATE(R$5,$K345,$J345),daily_dates,0),MATCH($B$3,daily_items,0)))</f>
        <v>#N/A</v>
      </c>
      <c r="S345" s="1" t="e">
        <f aca="false">IF(ISBLANK(INDEX(big_daily_table,MATCH(DATE(S$5,$K345,$J345),daily_dates,0),MATCH($B$3,daily_items,0))),NA(),INDEX(big_daily_table,MATCH(DATE(S$5,$K345,$J345),daily_dates,0),MATCH($B$3,daily_items,0)))</f>
        <v>#N/A</v>
      </c>
      <c r="T345" s="1" t="e">
        <f aca="false">IF(ISBLANK(INDEX(big_daily_table,MATCH(DATE(T$5,$K345,$J345),daily_dates,0),MATCH($B$3,daily_items,0))),NA(),INDEX(big_daily_table,MATCH(DATE(T$5,$K345,$J345),daily_dates,0),MATCH($B$3,daily_items,0)))</f>
        <v>#N/A</v>
      </c>
      <c r="U345" s="1" t="e">
        <f aca="false">IF(ISBLANK(INDEX(big_daily_table,MATCH(DATE(U$5,$K345,$J345),daily_dates,0),MATCH($B$3,daily_items,0))),NA(),INDEX(big_daily_table,MATCH(DATE(U$5,$K345,$J345),daily_dates,0),MATCH($B$3,daily_items,0)))</f>
        <v>#N/A</v>
      </c>
      <c r="V345" s="1" t="e">
        <f aca="false">IF(ISBLANK(INDEX(big_daily_table,MATCH(DATE(V$5,$K345,$J345),daily_dates,0),MATCH($B$3,daily_items,0))),NA(),INDEX(big_daily_table,MATCH(DATE(V$5,$K345,$J345),daily_dates,0),MATCH($B$3,daily_items,0)))</f>
        <v>#N/A</v>
      </c>
      <c r="W345" s="1" t="e">
        <f aca="false">IF(ISBLANK(INDEX(big_daily_table,MATCH(DATE(W$5,$K345,$J345),daily_dates,0),MATCH($B$3,daily_items,0))),NA(),INDEX(big_daily_table,MATCH(DATE(W$5,$K345,$J345),daily_dates,0),MATCH($B$3,daily_items,0)))</f>
        <v>#N/A</v>
      </c>
      <c r="X345" s="1" t="e">
        <f aca="false">IF(ISBLANK(INDEX(big_daily_table,MATCH(DATE(X$5,$K345,$J345),daily_dates,0),MATCH($B$3,daily_items,0))),NA(),INDEX(big_daily_table,MATCH(DATE(X$5,$K345,$J345),daily_dates,0),MATCH($B$3,daily_items,0)))</f>
        <v>#N/A</v>
      </c>
      <c r="Y345" s="1" t="e">
        <f aca="false">IF(ISBLANK(INDEX(big_daily_table,MATCH(DATE(Y$5,$K345,$J345),daily_dates,0),MATCH($B$3,daily_items,0))),NA(),INDEX(big_daily_table,MATCH(DATE(Y$5,$K345,$J345),daily_dates,0),MATCH($B$3,daily_items,0)))</f>
        <v>#N/A</v>
      </c>
      <c r="Z345" s="1" t="e">
        <f aca="false">IF(ISBLANK(INDEX(big_daily_table,MATCH(DATE(Z$5,$K345,$J345),daily_dates,0),MATCH($B$3,daily_items,0))),NA(),INDEX(big_daily_table,MATCH(DATE(Z$5,$K345,$J345),daily_dates,0),MATCH($B$3,daily_items,0)))</f>
        <v>#N/A</v>
      </c>
      <c r="AA345" s="1" t="n">
        <f aca="true">_xlfn.AGGREGATE(5,6,OFFSET($S$5,H345,0,1,$K$2))</f>
        <v>0</v>
      </c>
      <c r="AB345" s="1" t="n">
        <f aca="true">_xlfn.AGGREGATE(4,6,OFFSET($S$5,H345,0,1,$K$2))</f>
        <v>0</v>
      </c>
      <c r="AC345" s="1" t="n">
        <f aca="false">AB345-AA345</f>
        <v>0</v>
      </c>
      <c r="AD345" s="1" t="e">
        <f aca="true">_xlfn.AGGREGATE(1,6,OFFSET($S$5,H345,0,1,$K$2))</f>
        <v>#DIV/0!</v>
      </c>
    </row>
    <row r="346" customFormat="false" ht="14.25" hidden="false" customHeight="false" outlineLevel="0" collapsed="false">
      <c r="H346" s="1" t="n">
        <f aca="false">H345+1</f>
        <v>341</v>
      </c>
      <c r="I346" s="1" t="n">
        <f aca="false">WEEKDAY('daily graphs'!K346)</f>
        <v>4</v>
      </c>
      <c r="J346" s="1" t="n">
        <f aca="false">DAY(L346)</f>
        <v>2</v>
      </c>
      <c r="K346" s="1" t="n">
        <f aca="false">MONTH(L346)</f>
        <v>12</v>
      </c>
      <c r="L346" s="23" t="n">
        <f aca="false">'daily graphs'!K346 - I346</f>
        <v>36862</v>
      </c>
      <c r="M346" s="24" t="n">
        <f aca="true">IF(TODAY()&lt;DATE($O$5,K346,J346),1000000,-1000000)</f>
        <v>1000000</v>
      </c>
      <c r="N346" s="24" t="e">
        <f aca="false">IF(M346&gt;0,INDEX(big_daily_table,MATCH(DATE(O$5,$K346,$J346),daily_dates,0),MATCH($B$3,daily_items,0)),NA())</f>
        <v>#N/A</v>
      </c>
      <c r="O346" s="1" t="e">
        <f aca="false">IF(M346&lt;0,INDEX(big_daily_table,MATCH(DATE(O$5,$K346,$J346),daily_dates,0),MATCH($B$3,daily_items,0)),NA())</f>
        <v>#N/A</v>
      </c>
      <c r="P346" s="1" t="e">
        <f aca="false">IF(ISBLANK(INDEX(big_daily_table,MATCH(DATE(P$5,$K346,$J346),daily_dates,0),MATCH($B$3,daily_items,0))),NA(),INDEX(big_daily_table,MATCH(DATE(P$5,$K346,$J346),daily_dates,0),MATCH($B$3,daily_items,0)))</f>
        <v>#N/A</v>
      </c>
      <c r="Q346" s="1" t="e">
        <f aca="false">IF(ISBLANK(INDEX(big_daily_table,MATCH(DATE(Q$5,$K346,$J346),daily_dates,0),MATCH($B$3,daily_items,0))),NA(),INDEX(big_daily_table,MATCH(DATE(Q$5,$K346,$J346),daily_dates,0),MATCH($B$3,daily_items,0)))</f>
        <v>#N/A</v>
      </c>
      <c r="R346" s="1" t="e">
        <f aca="false">IF(ISBLANK(INDEX(big_daily_table,MATCH(DATE(R$5,$K346,$J346),daily_dates,0),MATCH($B$3,daily_items,0))),NA(),INDEX(big_daily_table,MATCH(DATE(R$5,$K346,$J346),daily_dates,0),MATCH($B$3,daily_items,0)))</f>
        <v>#N/A</v>
      </c>
      <c r="S346" s="1" t="e">
        <f aca="false">IF(ISBLANK(INDEX(big_daily_table,MATCH(DATE(S$5,$K346,$J346),daily_dates,0),MATCH($B$3,daily_items,0))),NA(),INDEX(big_daily_table,MATCH(DATE(S$5,$K346,$J346),daily_dates,0),MATCH($B$3,daily_items,0)))</f>
        <v>#N/A</v>
      </c>
      <c r="T346" s="1" t="e">
        <f aca="false">IF(ISBLANK(INDEX(big_daily_table,MATCH(DATE(T$5,$K346,$J346),daily_dates,0),MATCH($B$3,daily_items,0))),NA(),INDEX(big_daily_table,MATCH(DATE(T$5,$K346,$J346),daily_dates,0),MATCH($B$3,daily_items,0)))</f>
        <v>#N/A</v>
      </c>
      <c r="U346" s="1" t="e">
        <f aca="false">IF(ISBLANK(INDEX(big_daily_table,MATCH(DATE(U$5,$K346,$J346),daily_dates,0),MATCH($B$3,daily_items,0))),NA(),INDEX(big_daily_table,MATCH(DATE(U$5,$K346,$J346),daily_dates,0),MATCH($B$3,daily_items,0)))</f>
        <v>#N/A</v>
      </c>
      <c r="V346" s="1" t="e">
        <f aca="false">IF(ISBLANK(INDEX(big_daily_table,MATCH(DATE(V$5,$K346,$J346),daily_dates,0),MATCH($B$3,daily_items,0))),NA(),INDEX(big_daily_table,MATCH(DATE(V$5,$K346,$J346),daily_dates,0),MATCH($B$3,daily_items,0)))</f>
        <v>#N/A</v>
      </c>
      <c r="W346" s="1" t="e">
        <f aca="false">IF(ISBLANK(INDEX(big_daily_table,MATCH(DATE(W$5,$K346,$J346),daily_dates,0),MATCH($B$3,daily_items,0))),NA(),INDEX(big_daily_table,MATCH(DATE(W$5,$K346,$J346),daily_dates,0),MATCH($B$3,daily_items,0)))</f>
        <v>#N/A</v>
      </c>
      <c r="X346" s="1" t="e">
        <f aca="false">IF(ISBLANK(INDEX(big_daily_table,MATCH(DATE(X$5,$K346,$J346),daily_dates,0),MATCH($B$3,daily_items,0))),NA(),INDEX(big_daily_table,MATCH(DATE(X$5,$K346,$J346),daily_dates,0),MATCH($B$3,daily_items,0)))</f>
        <v>#N/A</v>
      </c>
      <c r="Y346" s="1" t="e">
        <f aca="false">IF(ISBLANK(INDEX(big_daily_table,MATCH(DATE(Y$5,$K346,$J346),daily_dates,0),MATCH($B$3,daily_items,0))),NA(),INDEX(big_daily_table,MATCH(DATE(Y$5,$K346,$J346),daily_dates,0),MATCH($B$3,daily_items,0)))</f>
        <v>#N/A</v>
      </c>
      <c r="Z346" s="1" t="e">
        <f aca="false">IF(ISBLANK(INDEX(big_daily_table,MATCH(DATE(Z$5,$K346,$J346),daily_dates,0),MATCH($B$3,daily_items,0))),NA(),INDEX(big_daily_table,MATCH(DATE(Z$5,$K346,$J346),daily_dates,0),MATCH($B$3,daily_items,0)))</f>
        <v>#N/A</v>
      </c>
      <c r="AA346" s="1" t="n">
        <f aca="true">_xlfn.AGGREGATE(5,6,OFFSET($S$5,H346,0,1,$K$2))</f>
        <v>0</v>
      </c>
      <c r="AB346" s="1" t="n">
        <f aca="true">_xlfn.AGGREGATE(4,6,OFFSET($S$5,H346,0,1,$K$2))</f>
        <v>0</v>
      </c>
      <c r="AC346" s="1" t="n">
        <f aca="false">AB346-AA346</f>
        <v>0</v>
      </c>
      <c r="AD346" s="1" t="e">
        <f aca="true">_xlfn.AGGREGATE(1,6,OFFSET($S$5,H346,0,1,$K$2))</f>
        <v>#DIV/0!</v>
      </c>
    </row>
    <row r="347" customFormat="false" ht="14.25" hidden="false" customHeight="false" outlineLevel="0" collapsed="false">
      <c r="H347" s="1" t="n">
        <f aca="false">H346+1</f>
        <v>342</v>
      </c>
      <c r="I347" s="1" t="n">
        <f aca="false">WEEKDAY('daily graphs'!K347)</f>
        <v>5</v>
      </c>
      <c r="J347" s="1" t="n">
        <f aca="false">DAY(L347)</f>
        <v>2</v>
      </c>
      <c r="K347" s="1" t="n">
        <f aca="false">MONTH(L347)</f>
        <v>12</v>
      </c>
      <c r="L347" s="23" t="n">
        <f aca="false">'daily graphs'!K347 - I347</f>
        <v>36862</v>
      </c>
      <c r="M347" s="24" t="n">
        <f aca="true">IF(TODAY()&lt;DATE($O$5,K347,J347),1000000,-1000000)</f>
        <v>1000000</v>
      </c>
      <c r="N347" s="24" t="e">
        <f aca="false">IF(M347&gt;0,INDEX(big_daily_table,MATCH(DATE(O$5,$K347,$J347),daily_dates,0),MATCH($B$3,daily_items,0)),NA())</f>
        <v>#N/A</v>
      </c>
      <c r="O347" s="1" t="e">
        <f aca="false">IF(M347&lt;0,INDEX(big_daily_table,MATCH(DATE(O$5,$K347,$J347),daily_dates,0),MATCH($B$3,daily_items,0)),NA())</f>
        <v>#N/A</v>
      </c>
      <c r="P347" s="1" t="e">
        <f aca="false">IF(ISBLANK(INDEX(big_daily_table,MATCH(DATE(P$5,$K347,$J347),daily_dates,0),MATCH($B$3,daily_items,0))),NA(),INDEX(big_daily_table,MATCH(DATE(P$5,$K347,$J347),daily_dates,0),MATCH($B$3,daily_items,0)))</f>
        <v>#N/A</v>
      </c>
      <c r="Q347" s="1" t="e">
        <f aca="false">IF(ISBLANK(INDEX(big_daily_table,MATCH(DATE(Q$5,$K347,$J347),daily_dates,0),MATCH($B$3,daily_items,0))),NA(),INDEX(big_daily_table,MATCH(DATE(Q$5,$K347,$J347),daily_dates,0),MATCH($B$3,daily_items,0)))</f>
        <v>#N/A</v>
      </c>
      <c r="R347" s="1" t="e">
        <f aca="false">IF(ISBLANK(INDEX(big_daily_table,MATCH(DATE(R$5,$K347,$J347),daily_dates,0),MATCH($B$3,daily_items,0))),NA(),INDEX(big_daily_table,MATCH(DATE(R$5,$K347,$J347),daily_dates,0),MATCH($B$3,daily_items,0)))</f>
        <v>#N/A</v>
      </c>
      <c r="S347" s="1" t="e">
        <f aca="false">IF(ISBLANK(INDEX(big_daily_table,MATCH(DATE(S$5,$K347,$J347),daily_dates,0),MATCH($B$3,daily_items,0))),NA(),INDEX(big_daily_table,MATCH(DATE(S$5,$K347,$J347),daily_dates,0),MATCH($B$3,daily_items,0)))</f>
        <v>#N/A</v>
      </c>
      <c r="T347" s="1" t="e">
        <f aca="false">IF(ISBLANK(INDEX(big_daily_table,MATCH(DATE(T$5,$K347,$J347),daily_dates,0),MATCH($B$3,daily_items,0))),NA(),INDEX(big_daily_table,MATCH(DATE(T$5,$K347,$J347),daily_dates,0),MATCH($B$3,daily_items,0)))</f>
        <v>#N/A</v>
      </c>
      <c r="U347" s="1" t="e">
        <f aca="false">IF(ISBLANK(INDEX(big_daily_table,MATCH(DATE(U$5,$K347,$J347),daily_dates,0),MATCH($B$3,daily_items,0))),NA(),INDEX(big_daily_table,MATCH(DATE(U$5,$K347,$J347),daily_dates,0),MATCH($B$3,daily_items,0)))</f>
        <v>#N/A</v>
      </c>
      <c r="V347" s="1" t="e">
        <f aca="false">IF(ISBLANK(INDEX(big_daily_table,MATCH(DATE(V$5,$K347,$J347),daily_dates,0),MATCH($B$3,daily_items,0))),NA(),INDEX(big_daily_table,MATCH(DATE(V$5,$K347,$J347),daily_dates,0),MATCH($B$3,daily_items,0)))</f>
        <v>#N/A</v>
      </c>
      <c r="W347" s="1" t="e">
        <f aca="false">IF(ISBLANK(INDEX(big_daily_table,MATCH(DATE(W$5,$K347,$J347),daily_dates,0),MATCH($B$3,daily_items,0))),NA(),INDEX(big_daily_table,MATCH(DATE(W$5,$K347,$J347),daily_dates,0),MATCH($B$3,daily_items,0)))</f>
        <v>#N/A</v>
      </c>
      <c r="X347" s="1" t="e">
        <f aca="false">IF(ISBLANK(INDEX(big_daily_table,MATCH(DATE(X$5,$K347,$J347),daily_dates,0),MATCH($B$3,daily_items,0))),NA(),INDEX(big_daily_table,MATCH(DATE(X$5,$K347,$J347),daily_dates,0),MATCH($B$3,daily_items,0)))</f>
        <v>#N/A</v>
      </c>
      <c r="Y347" s="1" t="e">
        <f aca="false">IF(ISBLANK(INDEX(big_daily_table,MATCH(DATE(Y$5,$K347,$J347),daily_dates,0),MATCH($B$3,daily_items,0))),NA(),INDEX(big_daily_table,MATCH(DATE(Y$5,$K347,$J347),daily_dates,0),MATCH($B$3,daily_items,0)))</f>
        <v>#N/A</v>
      </c>
      <c r="Z347" s="1" t="e">
        <f aca="false">IF(ISBLANK(INDEX(big_daily_table,MATCH(DATE(Z$5,$K347,$J347),daily_dates,0),MATCH($B$3,daily_items,0))),NA(),INDEX(big_daily_table,MATCH(DATE(Z$5,$K347,$J347),daily_dates,0),MATCH($B$3,daily_items,0)))</f>
        <v>#N/A</v>
      </c>
      <c r="AA347" s="1" t="n">
        <f aca="true">_xlfn.AGGREGATE(5,6,OFFSET($S$5,H347,0,1,$K$2))</f>
        <v>0</v>
      </c>
      <c r="AB347" s="1" t="n">
        <f aca="true">_xlfn.AGGREGATE(4,6,OFFSET($S$5,H347,0,1,$K$2))</f>
        <v>0</v>
      </c>
      <c r="AC347" s="1" t="n">
        <f aca="false">AB347-AA347</f>
        <v>0</v>
      </c>
      <c r="AD347" s="1" t="e">
        <f aca="true">_xlfn.AGGREGATE(1,6,OFFSET($S$5,H347,0,1,$K$2))</f>
        <v>#DIV/0!</v>
      </c>
    </row>
    <row r="348" customFormat="false" ht="14.25" hidden="false" customHeight="false" outlineLevel="0" collapsed="false">
      <c r="H348" s="1" t="n">
        <f aca="false">H347+1</f>
        <v>343</v>
      </c>
      <c r="I348" s="1" t="n">
        <f aca="false">WEEKDAY('daily graphs'!K348)</f>
        <v>6</v>
      </c>
      <c r="J348" s="1" t="n">
        <f aca="false">DAY(L348)</f>
        <v>2</v>
      </c>
      <c r="K348" s="1" t="n">
        <f aca="false">MONTH(L348)</f>
        <v>12</v>
      </c>
      <c r="L348" s="23" t="n">
        <f aca="false">'daily graphs'!K348 - I348</f>
        <v>36862</v>
      </c>
      <c r="M348" s="24" t="n">
        <f aca="true">IF(TODAY()&lt;DATE($O$5,K348,J348),1000000,-1000000)</f>
        <v>1000000</v>
      </c>
      <c r="N348" s="24" t="e">
        <f aca="false">IF(M348&gt;0,INDEX(big_daily_table,MATCH(DATE(O$5,$K348,$J348),daily_dates,0),MATCH($B$3,daily_items,0)),NA())</f>
        <v>#N/A</v>
      </c>
      <c r="O348" s="1" t="e">
        <f aca="false">IF(M348&lt;0,INDEX(big_daily_table,MATCH(DATE(O$5,$K348,$J348),daily_dates,0),MATCH($B$3,daily_items,0)),NA())</f>
        <v>#N/A</v>
      </c>
      <c r="P348" s="1" t="e">
        <f aca="false">IF(ISBLANK(INDEX(big_daily_table,MATCH(DATE(P$5,$K348,$J348),daily_dates,0),MATCH($B$3,daily_items,0))),NA(),INDEX(big_daily_table,MATCH(DATE(P$5,$K348,$J348),daily_dates,0),MATCH($B$3,daily_items,0)))</f>
        <v>#N/A</v>
      </c>
      <c r="Q348" s="1" t="e">
        <f aca="false">IF(ISBLANK(INDEX(big_daily_table,MATCH(DATE(Q$5,$K348,$J348),daily_dates,0),MATCH($B$3,daily_items,0))),NA(),INDEX(big_daily_table,MATCH(DATE(Q$5,$K348,$J348),daily_dates,0),MATCH($B$3,daily_items,0)))</f>
        <v>#N/A</v>
      </c>
      <c r="R348" s="1" t="e">
        <f aca="false">IF(ISBLANK(INDEX(big_daily_table,MATCH(DATE(R$5,$K348,$J348),daily_dates,0),MATCH($B$3,daily_items,0))),NA(),INDEX(big_daily_table,MATCH(DATE(R$5,$K348,$J348),daily_dates,0),MATCH($B$3,daily_items,0)))</f>
        <v>#N/A</v>
      </c>
      <c r="S348" s="1" t="e">
        <f aca="false">IF(ISBLANK(INDEX(big_daily_table,MATCH(DATE(S$5,$K348,$J348),daily_dates,0),MATCH($B$3,daily_items,0))),NA(),INDEX(big_daily_table,MATCH(DATE(S$5,$K348,$J348),daily_dates,0),MATCH($B$3,daily_items,0)))</f>
        <v>#N/A</v>
      </c>
      <c r="T348" s="1" t="e">
        <f aca="false">IF(ISBLANK(INDEX(big_daily_table,MATCH(DATE(T$5,$K348,$J348),daily_dates,0),MATCH($B$3,daily_items,0))),NA(),INDEX(big_daily_table,MATCH(DATE(T$5,$K348,$J348),daily_dates,0),MATCH($B$3,daily_items,0)))</f>
        <v>#N/A</v>
      </c>
      <c r="U348" s="1" t="e">
        <f aca="false">IF(ISBLANK(INDEX(big_daily_table,MATCH(DATE(U$5,$K348,$J348),daily_dates,0),MATCH($B$3,daily_items,0))),NA(),INDEX(big_daily_table,MATCH(DATE(U$5,$K348,$J348),daily_dates,0),MATCH($B$3,daily_items,0)))</f>
        <v>#N/A</v>
      </c>
      <c r="V348" s="1" t="e">
        <f aca="false">IF(ISBLANK(INDEX(big_daily_table,MATCH(DATE(V$5,$K348,$J348),daily_dates,0),MATCH($B$3,daily_items,0))),NA(),INDEX(big_daily_table,MATCH(DATE(V$5,$K348,$J348),daily_dates,0),MATCH($B$3,daily_items,0)))</f>
        <v>#N/A</v>
      </c>
      <c r="W348" s="1" t="e">
        <f aca="false">IF(ISBLANK(INDEX(big_daily_table,MATCH(DATE(W$5,$K348,$J348),daily_dates,0),MATCH($B$3,daily_items,0))),NA(),INDEX(big_daily_table,MATCH(DATE(W$5,$K348,$J348),daily_dates,0),MATCH($B$3,daily_items,0)))</f>
        <v>#N/A</v>
      </c>
      <c r="X348" s="1" t="e">
        <f aca="false">IF(ISBLANK(INDEX(big_daily_table,MATCH(DATE(X$5,$K348,$J348),daily_dates,0),MATCH($B$3,daily_items,0))),NA(),INDEX(big_daily_table,MATCH(DATE(X$5,$K348,$J348),daily_dates,0),MATCH($B$3,daily_items,0)))</f>
        <v>#N/A</v>
      </c>
      <c r="Y348" s="1" t="e">
        <f aca="false">IF(ISBLANK(INDEX(big_daily_table,MATCH(DATE(Y$5,$K348,$J348),daily_dates,0),MATCH($B$3,daily_items,0))),NA(),INDEX(big_daily_table,MATCH(DATE(Y$5,$K348,$J348),daily_dates,0),MATCH($B$3,daily_items,0)))</f>
        <v>#N/A</v>
      </c>
      <c r="Z348" s="1" t="e">
        <f aca="false">IF(ISBLANK(INDEX(big_daily_table,MATCH(DATE(Z$5,$K348,$J348),daily_dates,0),MATCH($B$3,daily_items,0))),NA(),INDEX(big_daily_table,MATCH(DATE(Z$5,$K348,$J348),daily_dates,0),MATCH($B$3,daily_items,0)))</f>
        <v>#N/A</v>
      </c>
      <c r="AA348" s="1" t="n">
        <f aca="true">_xlfn.AGGREGATE(5,6,OFFSET($S$5,H348,0,1,$K$2))</f>
        <v>0</v>
      </c>
      <c r="AB348" s="1" t="n">
        <f aca="true">_xlfn.AGGREGATE(4,6,OFFSET($S$5,H348,0,1,$K$2))</f>
        <v>0</v>
      </c>
      <c r="AC348" s="1" t="n">
        <f aca="false">AB348-AA348</f>
        <v>0</v>
      </c>
      <c r="AD348" s="1" t="e">
        <f aca="true">_xlfn.AGGREGATE(1,6,OFFSET($S$5,H348,0,1,$K$2))</f>
        <v>#DIV/0!</v>
      </c>
    </row>
    <row r="349" customFormat="false" ht="14.25" hidden="false" customHeight="false" outlineLevel="0" collapsed="false">
      <c r="H349" s="1" t="n">
        <f aca="false">H348+1</f>
        <v>344</v>
      </c>
      <c r="I349" s="1" t="n">
        <f aca="false">WEEKDAY('daily graphs'!K349)</f>
        <v>7</v>
      </c>
      <c r="J349" s="1" t="n">
        <f aca="false">DAY(L349)</f>
        <v>2</v>
      </c>
      <c r="K349" s="1" t="n">
        <f aca="false">MONTH(L349)</f>
        <v>12</v>
      </c>
      <c r="L349" s="23" t="n">
        <f aca="false">'daily graphs'!K349 - I349</f>
        <v>36862</v>
      </c>
      <c r="M349" s="24" t="n">
        <f aca="true">IF(TODAY()&lt;DATE($O$5,K349,J349),1000000,-1000000)</f>
        <v>1000000</v>
      </c>
      <c r="N349" s="24" t="e">
        <f aca="false">IF(M349&gt;0,INDEX(big_daily_table,MATCH(DATE(O$5,$K349,$J349),daily_dates,0),MATCH($B$3,daily_items,0)),NA())</f>
        <v>#N/A</v>
      </c>
      <c r="O349" s="1" t="e">
        <f aca="false">IF(M349&lt;0,INDEX(big_daily_table,MATCH(DATE(O$5,$K349,$J349),daily_dates,0),MATCH($B$3,daily_items,0)),NA())</f>
        <v>#N/A</v>
      </c>
      <c r="P349" s="1" t="e">
        <f aca="false">IF(ISBLANK(INDEX(big_daily_table,MATCH(DATE(P$5,$K349,$J349),daily_dates,0),MATCH($B$3,daily_items,0))),NA(),INDEX(big_daily_table,MATCH(DATE(P$5,$K349,$J349),daily_dates,0),MATCH($B$3,daily_items,0)))</f>
        <v>#N/A</v>
      </c>
      <c r="Q349" s="1" t="e">
        <f aca="false">IF(ISBLANK(INDEX(big_daily_table,MATCH(DATE(Q$5,$K349,$J349),daily_dates,0),MATCH($B$3,daily_items,0))),NA(),INDEX(big_daily_table,MATCH(DATE(Q$5,$K349,$J349),daily_dates,0),MATCH($B$3,daily_items,0)))</f>
        <v>#N/A</v>
      </c>
      <c r="R349" s="1" t="e">
        <f aca="false">IF(ISBLANK(INDEX(big_daily_table,MATCH(DATE(R$5,$K349,$J349),daily_dates,0),MATCH($B$3,daily_items,0))),NA(),INDEX(big_daily_table,MATCH(DATE(R$5,$K349,$J349),daily_dates,0),MATCH($B$3,daily_items,0)))</f>
        <v>#N/A</v>
      </c>
      <c r="S349" s="1" t="e">
        <f aca="false">IF(ISBLANK(INDEX(big_daily_table,MATCH(DATE(S$5,$K349,$J349),daily_dates,0),MATCH($B$3,daily_items,0))),NA(),INDEX(big_daily_table,MATCH(DATE(S$5,$K349,$J349),daily_dates,0),MATCH($B$3,daily_items,0)))</f>
        <v>#N/A</v>
      </c>
      <c r="T349" s="1" t="e">
        <f aca="false">IF(ISBLANK(INDEX(big_daily_table,MATCH(DATE(T$5,$K349,$J349),daily_dates,0),MATCH($B$3,daily_items,0))),NA(),INDEX(big_daily_table,MATCH(DATE(T$5,$K349,$J349),daily_dates,0),MATCH($B$3,daily_items,0)))</f>
        <v>#N/A</v>
      </c>
      <c r="U349" s="1" t="e">
        <f aca="false">IF(ISBLANK(INDEX(big_daily_table,MATCH(DATE(U$5,$K349,$J349),daily_dates,0),MATCH($B$3,daily_items,0))),NA(),INDEX(big_daily_table,MATCH(DATE(U$5,$K349,$J349),daily_dates,0),MATCH($B$3,daily_items,0)))</f>
        <v>#N/A</v>
      </c>
      <c r="V349" s="1" t="e">
        <f aca="false">IF(ISBLANK(INDEX(big_daily_table,MATCH(DATE(V$5,$K349,$J349),daily_dates,0),MATCH($B$3,daily_items,0))),NA(),INDEX(big_daily_table,MATCH(DATE(V$5,$K349,$J349),daily_dates,0),MATCH($B$3,daily_items,0)))</f>
        <v>#N/A</v>
      </c>
      <c r="W349" s="1" t="e">
        <f aca="false">IF(ISBLANK(INDEX(big_daily_table,MATCH(DATE(W$5,$K349,$J349),daily_dates,0),MATCH($B$3,daily_items,0))),NA(),INDEX(big_daily_table,MATCH(DATE(W$5,$K349,$J349),daily_dates,0),MATCH($B$3,daily_items,0)))</f>
        <v>#N/A</v>
      </c>
      <c r="X349" s="1" t="e">
        <f aca="false">IF(ISBLANK(INDEX(big_daily_table,MATCH(DATE(X$5,$K349,$J349),daily_dates,0),MATCH($B$3,daily_items,0))),NA(),INDEX(big_daily_table,MATCH(DATE(X$5,$K349,$J349),daily_dates,0),MATCH($B$3,daily_items,0)))</f>
        <v>#N/A</v>
      </c>
      <c r="Y349" s="1" t="e">
        <f aca="false">IF(ISBLANK(INDEX(big_daily_table,MATCH(DATE(Y$5,$K349,$J349),daily_dates,0),MATCH($B$3,daily_items,0))),NA(),INDEX(big_daily_table,MATCH(DATE(Y$5,$K349,$J349),daily_dates,0),MATCH($B$3,daily_items,0)))</f>
        <v>#N/A</v>
      </c>
      <c r="Z349" s="1" t="e">
        <f aca="false">IF(ISBLANK(INDEX(big_daily_table,MATCH(DATE(Z$5,$K349,$J349),daily_dates,0),MATCH($B$3,daily_items,0))),NA(),INDEX(big_daily_table,MATCH(DATE(Z$5,$K349,$J349),daily_dates,0),MATCH($B$3,daily_items,0)))</f>
        <v>#N/A</v>
      </c>
      <c r="AA349" s="1" t="n">
        <f aca="true">_xlfn.AGGREGATE(5,6,OFFSET($S$5,H349,0,1,$K$2))</f>
        <v>0</v>
      </c>
      <c r="AB349" s="1" t="n">
        <f aca="true">_xlfn.AGGREGATE(4,6,OFFSET($S$5,H349,0,1,$K$2))</f>
        <v>0</v>
      </c>
      <c r="AC349" s="1" t="n">
        <f aca="false">AB349-AA349</f>
        <v>0</v>
      </c>
      <c r="AD349" s="1" t="e">
        <f aca="true">_xlfn.AGGREGATE(1,6,OFFSET($S$5,H349,0,1,$K$2))</f>
        <v>#DIV/0!</v>
      </c>
    </row>
    <row r="350" customFormat="false" ht="14.25" hidden="false" customHeight="false" outlineLevel="0" collapsed="false">
      <c r="H350" s="1" t="n">
        <f aca="false">H349+1</f>
        <v>345</v>
      </c>
      <c r="I350" s="1" t="n">
        <f aca="false">WEEKDAY('daily graphs'!K350)</f>
        <v>1</v>
      </c>
      <c r="J350" s="1" t="n">
        <f aca="false">DAY(L350)</f>
        <v>9</v>
      </c>
      <c r="K350" s="1" t="n">
        <f aca="false">MONTH(L350)</f>
        <v>12</v>
      </c>
      <c r="L350" s="23" t="n">
        <f aca="false">'daily graphs'!K350 - I350</f>
        <v>36869</v>
      </c>
      <c r="M350" s="24" t="n">
        <f aca="true">IF(TODAY()&lt;DATE($O$5,K350,J350),1000000,-1000000)</f>
        <v>1000000</v>
      </c>
      <c r="N350" s="24" t="e">
        <f aca="false">IF(M350&gt;0,INDEX(big_daily_table,MATCH(DATE(O$5,$K350,$J350),daily_dates,0),MATCH($B$3,daily_items,0)),NA())</f>
        <v>#N/A</v>
      </c>
      <c r="O350" s="1" t="e">
        <f aca="false">IF(M350&lt;0,INDEX(big_daily_table,MATCH(DATE(O$5,$K350,$J350),daily_dates,0),MATCH($B$3,daily_items,0)),NA())</f>
        <v>#N/A</v>
      </c>
      <c r="P350" s="1" t="e">
        <f aca="false">IF(ISBLANK(INDEX(big_daily_table,MATCH(DATE(P$5,$K350,$J350),daily_dates,0),MATCH($B$3,daily_items,0))),NA(),INDEX(big_daily_table,MATCH(DATE(P$5,$K350,$J350),daily_dates,0),MATCH($B$3,daily_items,0)))</f>
        <v>#N/A</v>
      </c>
      <c r="Q350" s="1" t="e">
        <f aca="false">IF(ISBLANK(INDEX(big_daily_table,MATCH(DATE(Q$5,$K350,$J350),daily_dates,0),MATCH($B$3,daily_items,0))),NA(),INDEX(big_daily_table,MATCH(DATE(Q$5,$K350,$J350),daily_dates,0),MATCH($B$3,daily_items,0)))</f>
        <v>#N/A</v>
      </c>
      <c r="R350" s="1" t="e">
        <f aca="false">IF(ISBLANK(INDEX(big_daily_table,MATCH(DATE(R$5,$K350,$J350),daily_dates,0),MATCH($B$3,daily_items,0))),NA(),INDEX(big_daily_table,MATCH(DATE(R$5,$K350,$J350),daily_dates,0),MATCH($B$3,daily_items,0)))</f>
        <v>#N/A</v>
      </c>
      <c r="S350" s="1" t="e">
        <f aca="false">IF(ISBLANK(INDEX(big_daily_table,MATCH(DATE(S$5,$K350,$J350),daily_dates,0),MATCH($B$3,daily_items,0))),NA(),INDEX(big_daily_table,MATCH(DATE(S$5,$K350,$J350),daily_dates,0),MATCH($B$3,daily_items,0)))</f>
        <v>#N/A</v>
      </c>
      <c r="T350" s="1" t="e">
        <f aca="false">IF(ISBLANK(INDEX(big_daily_table,MATCH(DATE(T$5,$K350,$J350),daily_dates,0),MATCH($B$3,daily_items,0))),NA(),INDEX(big_daily_table,MATCH(DATE(T$5,$K350,$J350),daily_dates,0),MATCH($B$3,daily_items,0)))</f>
        <v>#N/A</v>
      </c>
      <c r="U350" s="1" t="e">
        <f aca="false">IF(ISBLANK(INDEX(big_daily_table,MATCH(DATE(U$5,$K350,$J350),daily_dates,0),MATCH($B$3,daily_items,0))),NA(),INDEX(big_daily_table,MATCH(DATE(U$5,$K350,$J350),daily_dates,0),MATCH($B$3,daily_items,0)))</f>
        <v>#N/A</v>
      </c>
      <c r="V350" s="1" t="e">
        <f aca="false">IF(ISBLANK(INDEX(big_daily_table,MATCH(DATE(V$5,$K350,$J350),daily_dates,0),MATCH($B$3,daily_items,0))),NA(),INDEX(big_daily_table,MATCH(DATE(V$5,$K350,$J350),daily_dates,0),MATCH($B$3,daily_items,0)))</f>
        <v>#N/A</v>
      </c>
      <c r="W350" s="1" t="e">
        <f aca="false">IF(ISBLANK(INDEX(big_daily_table,MATCH(DATE(W$5,$K350,$J350),daily_dates,0),MATCH($B$3,daily_items,0))),NA(),INDEX(big_daily_table,MATCH(DATE(W$5,$K350,$J350),daily_dates,0),MATCH($B$3,daily_items,0)))</f>
        <v>#N/A</v>
      </c>
      <c r="X350" s="1" t="e">
        <f aca="false">IF(ISBLANK(INDEX(big_daily_table,MATCH(DATE(X$5,$K350,$J350),daily_dates,0),MATCH($B$3,daily_items,0))),NA(),INDEX(big_daily_table,MATCH(DATE(X$5,$K350,$J350),daily_dates,0),MATCH($B$3,daily_items,0)))</f>
        <v>#N/A</v>
      </c>
      <c r="Y350" s="1" t="e">
        <f aca="false">IF(ISBLANK(INDEX(big_daily_table,MATCH(DATE(Y$5,$K350,$J350),daily_dates,0),MATCH($B$3,daily_items,0))),NA(),INDEX(big_daily_table,MATCH(DATE(Y$5,$K350,$J350),daily_dates,0),MATCH($B$3,daily_items,0)))</f>
        <v>#N/A</v>
      </c>
      <c r="Z350" s="1" t="e">
        <f aca="false">IF(ISBLANK(INDEX(big_daily_table,MATCH(DATE(Z$5,$K350,$J350),daily_dates,0),MATCH($B$3,daily_items,0))),NA(),INDEX(big_daily_table,MATCH(DATE(Z$5,$K350,$J350),daily_dates,0),MATCH($B$3,daily_items,0)))</f>
        <v>#N/A</v>
      </c>
      <c r="AA350" s="1" t="n">
        <f aca="true">_xlfn.AGGREGATE(5,6,OFFSET($S$5,H350,0,1,$K$2))</f>
        <v>0</v>
      </c>
      <c r="AB350" s="1" t="n">
        <f aca="true">_xlfn.AGGREGATE(4,6,OFFSET($S$5,H350,0,1,$K$2))</f>
        <v>0</v>
      </c>
      <c r="AC350" s="1" t="n">
        <f aca="false">AB350-AA350</f>
        <v>0</v>
      </c>
      <c r="AD350" s="1" t="e">
        <f aca="true">_xlfn.AGGREGATE(1,6,OFFSET($S$5,H350,0,1,$K$2))</f>
        <v>#DIV/0!</v>
      </c>
    </row>
    <row r="351" customFormat="false" ht="14.25" hidden="false" customHeight="false" outlineLevel="0" collapsed="false">
      <c r="H351" s="1" t="n">
        <f aca="false">H350+1</f>
        <v>346</v>
      </c>
      <c r="I351" s="1" t="n">
        <f aca="false">WEEKDAY('daily graphs'!K351)</f>
        <v>2</v>
      </c>
      <c r="J351" s="1" t="n">
        <f aca="false">DAY(L351)</f>
        <v>9</v>
      </c>
      <c r="K351" s="1" t="n">
        <f aca="false">MONTH(L351)</f>
        <v>12</v>
      </c>
      <c r="L351" s="23" t="n">
        <f aca="false">'daily graphs'!K351 - I351</f>
        <v>36869</v>
      </c>
      <c r="M351" s="24" t="n">
        <f aca="true">IF(TODAY()&lt;DATE($O$5,K351,J351),1000000,-1000000)</f>
        <v>1000000</v>
      </c>
      <c r="N351" s="24" t="e">
        <f aca="false">IF(M351&gt;0,INDEX(big_daily_table,MATCH(DATE(O$5,$K351,$J351),daily_dates,0),MATCH($B$3,daily_items,0)),NA())</f>
        <v>#N/A</v>
      </c>
      <c r="O351" s="1" t="e">
        <f aca="false">IF(M351&lt;0,INDEX(big_daily_table,MATCH(DATE(O$5,$K351,$J351),daily_dates,0),MATCH($B$3,daily_items,0)),NA())</f>
        <v>#N/A</v>
      </c>
      <c r="P351" s="1" t="e">
        <f aca="false">IF(ISBLANK(INDEX(big_daily_table,MATCH(DATE(P$5,$K351,$J351),daily_dates,0),MATCH($B$3,daily_items,0))),NA(),INDEX(big_daily_table,MATCH(DATE(P$5,$K351,$J351),daily_dates,0),MATCH($B$3,daily_items,0)))</f>
        <v>#N/A</v>
      </c>
      <c r="Q351" s="1" t="e">
        <f aca="false">IF(ISBLANK(INDEX(big_daily_table,MATCH(DATE(Q$5,$K351,$J351),daily_dates,0),MATCH($B$3,daily_items,0))),NA(),INDEX(big_daily_table,MATCH(DATE(Q$5,$K351,$J351),daily_dates,0),MATCH($B$3,daily_items,0)))</f>
        <v>#N/A</v>
      </c>
      <c r="R351" s="1" t="e">
        <f aca="false">IF(ISBLANK(INDEX(big_daily_table,MATCH(DATE(R$5,$K351,$J351),daily_dates,0),MATCH($B$3,daily_items,0))),NA(),INDEX(big_daily_table,MATCH(DATE(R$5,$K351,$J351),daily_dates,0),MATCH($B$3,daily_items,0)))</f>
        <v>#N/A</v>
      </c>
      <c r="S351" s="1" t="e">
        <f aca="false">IF(ISBLANK(INDEX(big_daily_table,MATCH(DATE(S$5,$K351,$J351),daily_dates,0),MATCH($B$3,daily_items,0))),NA(),INDEX(big_daily_table,MATCH(DATE(S$5,$K351,$J351),daily_dates,0),MATCH($B$3,daily_items,0)))</f>
        <v>#N/A</v>
      </c>
      <c r="T351" s="1" t="e">
        <f aca="false">IF(ISBLANK(INDEX(big_daily_table,MATCH(DATE(T$5,$K351,$J351),daily_dates,0),MATCH($B$3,daily_items,0))),NA(),INDEX(big_daily_table,MATCH(DATE(T$5,$K351,$J351),daily_dates,0),MATCH($B$3,daily_items,0)))</f>
        <v>#N/A</v>
      </c>
      <c r="U351" s="1" t="e">
        <f aca="false">IF(ISBLANK(INDEX(big_daily_table,MATCH(DATE(U$5,$K351,$J351),daily_dates,0),MATCH($B$3,daily_items,0))),NA(),INDEX(big_daily_table,MATCH(DATE(U$5,$K351,$J351),daily_dates,0),MATCH($B$3,daily_items,0)))</f>
        <v>#N/A</v>
      </c>
      <c r="V351" s="1" t="e">
        <f aca="false">IF(ISBLANK(INDEX(big_daily_table,MATCH(DATE(V$5,$K351,$J351),daily_dates,0),MATCH($B$3,daily_items,0))),NA(),INDEX(big_daily_table,MATCH(DATE(V$5,$K351,$J351),daily_dates,0),MATCH($B$3,daily_items,0)))</f>
        <v>#N/A</v>
      </c>
      <c r="W351" s="1" t="e">
        <f aca="false">IF(ISBLANK(INDEX(big_daily_table,MATCH(DATE(W$5,$K351,$J351),daily_dates,0),MATCH($B$3,daily_items,0))),NA(),INDEX(big_daily_table,MATCH(DATE(W$5,$K351,$J351),daily_dates,0),MATCH($B$3,daily_items,0)))</f>
        <v>#N/A</v>
      </c>
      <c r="X351" s="1" t="e">
        <f aca="false">IF(ISBLANK(INDEX(big_daily_table,MATCH(DATE(X$5,$K351,$J351),daily_dates,0),MATCH($B$3,daily_items,0))),NA(),INDEX(big_daily_table,MATCH(DATE(X$5,$K351,$J351),daily_dates,0),MATCH($B$3,daily_items,0)))</f>
        <v>#N/A</v>
      </c>
      <c r="Y351" s="1" t="e">
        <f aca="false">IF(ISBLANK(INDEX(big_daily_table,MATCH(DATE(Y$5,$K351,$J351),daily_dates,0),MATCH($B$3,daily_items,0))),NA(),INDEX(big_daily_table,MATCH(DATE(Y$5,$K351,$J351),daily_dates,0),MATCH($B$3,daily_items,0)))</f>
        <v>#N/A</v>
      </c>
      <c r="Z351" s="1" t="e">
        <f aca="false">IF(ISBLANK(INDEX(big_daily_table,MATCH(DATE(Z$5,$K351,$J351),daily_dates,0),MATCH($B$3,daily_items,0))),NA(),INDEX(big_daily_table,MATCH(DATE(Z$5,$K351,$J351),daily_dates,0),MATCH($B$3,daily_items,0)))</f>
        <v>#N/A</v>
      </c>
      <c r="AA351" s="1" t="n">
        <f aca="true">_xlfn.AGGREGATE(5,6,OFFSET($S$5,H351,0,1,$K$2))</f>
        <v>0</v>
      </c>
      <c r="AB351" s="1" t="n">
        <f aca="true">_xlfn.AGGREGATE(4,6,OFFSET($S$5,H351,0,1,$K$2))</f>
        <v>0</v>
      </c>
      <c r="AC351" s="1" t="n">
        <f aca="false">AB351-AA351</f>
        <v>0</v>
      </c>
      <c r="AD351" s="1" t="e">
        <f aca="true">_xlfn.AGGREGATE(1,6,OFFSET($S$5,H351,0,1,$K$2))</f>
        <v>#DIV/0!</v>
      </c>
    </row>
    <row r="352" customFormat="false" ht="14.25" hidden="false" customHeight="false" outlineLevel="0" collapsed="false">
      <c r="H352" s="1" t="n">
        <f aca="false">H351+1</f>
        <v>347</v>
      </c>
      <c r="I352" s="1" t="n">
        <f aca="false">WEEKDAY('daily graphs'!K352)</f>
        <v>3</v>
      </c>
      <c r="J352" s="1" t="n">
        <f aca="false">DAY(L352)</f>
        <v>9</v>
      </c>
      <c r="K352" s="1" t="n">
        <f aca="false">MONTH(L352)</f>
        <v>12</v>
      </c>
      <c r="L352" s="23" t="n">
        <f aca="false">'daily graphs'!K352 - I352</f>
        <v>36869</v>
      </c>
      <c r="M352" s="24" t="n">
        <f aca="true">IF(TODAY()&lt;DATE($O$5,K352,J352),1000000,-1000000)</f>
        <v>1000000</v>
      </c>
      <c r="N352" s="24" t="e">
        <f aca="false">IF(M352&gt;0,INDEX(big_daily_table,MATCH(DATE(O$5,$K352,$J352),daily_dates,0),MATCH($B$3,daily_items,0)),NA())</f>
        <v>#N/A</v>
      </c>
      <c r="O352" s="1" t="e">
        <f aca="false">IF(M352&lt;0,INDEX(big_daily_table,MATCH(DATE(O$5,$K352,$J352),daily_dates,0),MATCH($B$3,daily_items,0)),NA())</f>
        <v>#N/A</v>
      </c>
      <c r="P352" s="1" t="e">
        <f aca="false">IF(ISBLANK(INDEX(big_daily_table,MATCH(DATE(P$5,$K352,$J352),daily_dates,0),MATCH($B$3,daily_items,0))),NA(),INDEX(big_daily_table,MATCH(DATE(P$5,$K352,$J352),daily_dates,0),MATCH($B$3,daily_items,0)))</f>
        <v>#N/A</v>
      </c>
      <c r="Q352" s="1" t="e">
        <f aca="false">IF(ISBLANK(INDEX(big_daily_table,MATCH(DATE(Q$5,$K352,$J352),daily_dates,0),MATCH($B$3,daily_items,0))),NA(),INDEX(big_daily_table,MATCH(DATE(Q$5,$K352,$J352),daily_dates,0),MATCH($B$3,daily_items,0)))</f>
        <v>#N/A</v>
      </c>
      <c r="R352" s="1" t="e">
        <f aca="false">IF(ISBLANK(INDEX(big_daily_table,MATCH(DATE(R$5,$K352,$J352),daily_dates,0),MATCH($B$3,daily_items,0))),NA(),INDEX(big_daily_table,MATCH(DATE(R$5,$K352,$J352),daily_dates,0),MATCH($B$3,daily_items,0)))</f>
        <v>#N/A</v>
      </c>
      <c r="S352" s="1" t="e">
        <f aca="false">IF(ISBLANK(INDEX(big_daily_table,MATCH(DATE(S$5,$K352,$J352),daily_dates,0),MATCH($B$3,daily_items,0))),NA(),INDEX(big_daily_table,MATCH(DATE(S$5,$K352,$J352),daily_dates,0),MATCH($B$3,daily_items,0)))</f>
        <v>#N/A</v>
      </c>
      <c r="T352" s="1" t="e">
        <f aca="false">IF(ISBLANK(INDEX(big_daily_table,MATCH(DATE(T$5,$K352,$J352),daily_dates,0),MATCH($B$3,daily_items,0))),NA(),INDEX(big_daily_table,MATCH(DATE(T$5,$K352,$J352),daily_dates,0),MATCH($B$3,daily_items,0)))</f>
        <v>#N/A</v>
      </c>
      <c r="U352" s="1" t="e">
        <f aca="false">IF(ISBLANK(INDEX(big_daily_table,MATCH(DATE(U$5,$K352,$J352),daily_dates,0),MATCH($B$3,daily_items,0))),NA(),INDEX(big_daily_table,MATCH(DATE(U$5,$K352,$J352),daily_dates,0),MATCH($B$3,daily_items,0)))</f>
        <v>#N/A</v>
      </c>
      <c r="V352" s="1" t="e">
        <f aca="false">IF(ISBLANK(INDEX(big_daily_table,MATCH(DATE(V$5,$K352,$J352),daily_dates,0),MATCH($B$3,daily_items,0))),NA(),INDEX(big_daily_table,MATCH(DATE(V$5,$K352,$J352),daily_dates,0),MATCH($B$3,daily_items,0)))</f>
        <v>#N/A</v>
      </c>
      <c r="W352" s="1" t="e">
        <f aca="false">IF(ISBLANK(INDEX(big_daily_table,MATCH(DATE(W$5,$K352,$J352),daily_dates,0),MATCH($B$3,daily_items,0))),NA(),INDEX(big_daily_table,MATCH(DATE(W$5,$K352,$J352),daily_dates,0),MATCH($B$3,daily_items,0)))</f>
        <v>#N/A</v>
      </c>
      <c r="X352" s="1" t="e">
        <f aca="false">IF(ISBLANK(INDEX(big_daily_table,MATCH(DATE(X$5,$K352,$J352),daily_dates,0),MATCH($B$3,daily_items,0))),NA(),INDEX(big_daily_table,MATCH(DATE(X$5,$K352,$J352),daily_dates,0),MATCH($B$3,daily_items,0)))</f>
        <v>#N/A</v>
      </c>
      <c r="Y352" s="1" t="e">
        <f aca="false">IF(ISBLANK(INDEX(big_daily_table,MATCH(DATE(Y$5,$K352,$J352),daily_dates,0),MATCH($B$3,daily_items,0))),NA(),INDEX(big_daily_table,MATCH(DATE(Y$5,$K352,$J352),daily_dates,0),MATCH($B$3,daily_items,0)))</f>
        <v>#N/A</v>
      </c>
      <c r="Z352" s="1" t="e">
        <f aca="false">IF(ISBLANK(INDEX(big_daily_table,MATCH(DATE(Z$5,$K352,$J352),daily_dates,0),MATCH($B$3,daily_items,0))),NA(),INDEX(big_daily_table,MATCH(DATE(Z$5,$K352,$J352),daily_dates,0),MATCH($B$3,daily_items,0)))</f>
        <v>#N/A</v>
      </c>
      <c r="AA352" s="1" t="n">
        <f aca="true">_xlfn.AGGREGATE(5,6,OFFSET($S$5,H352,0,1,$K$2))</f>
        <v>0</v>
      </c>
      <c r="AB352" s="1" t="n">
        <f aca="true">_xlfn.AGGREGATE(4,6,OFFSET($S$5,H352,0,1,$K$2))</f>
        <v>0</v>
      </c>
      <c r="AC352" s="1" t="n">
        <f aca="false">AB352-AA352</f>
        <v>0</v>
      </c>
      <c r="AD352" s="1" t="e">
        <f aca="true">_xlfn.AGGREGATE(1,6,OFFSET($S$5,H352,0,1,$K$2))</f>
        <v>#DIV/0!</v>
      </c>
    </row>
    <row r="353" customFormat="false" ht="14.25" hidden="false" customHeight="false" outlineLevel="0" collapsed="false">
      <c r="H353" s="1" t="n">
        <f aca="false">H352+1</f>
        <v>348</v>
      </c>
      <c r="I353" s="1" t="n">
        <f aca="false">WEEKDAY('daily graphs'!K353)</f>
        <v>4</v>
      </c>
      <c r="J353" s="1" t="n">
        <f aca="false">DAY(L353)</f>
        <v>9</v>
      </c>
      <c r="K353" s="1" t="n">
        <f aca="false">MONTH(L353)</f>
        <v>12</v>
      </c>
      <c r="L353" s="23" t="n">
        <f aca="false">'daily graphs'!K353 - I353</f>
        <v>36869</v>
      </c>
      <c r="M353" s="24" t="n">
        <f aca="true">IF(TODAY()&lt;DATE($O$5,K353,J353),1000000,-1000000)</f>
        <v>1000000</v>
      </c>
      <c r="N353" s="24" t="e">
        <f aca="false">IF(M353&gt;0,INDEX(big_daily_table,MATCH(DATE(O$5,$K353,$J353),daily_dates,0),MATCH($B$3,daily_items,0)),NA())</f>
        <v>#N/A</v>
      </c>
      <c r="O353" s="1" t="e">
        <f aca="false">IF(M353&lt;0,INDEX(big_daily_table,MATCH(DATE(O$5,$K353,$J353),daily_dates,0),MATCH($B$3,daily_items,0)),NA())</f>
        <v>#N/A</v>
      </c>
      <c r="P353" s="1" t="e">
        <f aca="false">IF(ISBLANK(INDEX(big_daily_table,MATCH(DATE(P$5,$K353,$J353),daily_dates,0),MATCH($B$3,daily_items,0))),NA(),INDEX(big_daily_table,MATCH(DATE(P$5,$K353,$J353),daily_dates,0),MATCH($B$3,daily_items,0)))</f>
        <v>#N/A</v>
      </c>
      <c r="Q353" s="1" t="e">
        <f aca="false">IF(ISBLANK(INDEX(big_daily_table,MATCH(DATE(Q$5,$K353,$J353),daily_dates,0),MATCH($B$3,daily_items,0))),NA(),INDEX(big_daily_table,MATCH(DATE(Q$5,$K353,$J353),daily_dates,0),MATCH($B$3,daily_items,0)))</f>
        <v>#N/A</v>
      </c>
      <c r="R353" s="1" t="e">
        <f aca="false">IF(ISBLANK(INDEX(big_daily_table,MATCH(DATE(R$5,$K353,$J353),daily_dates,0),MATCH($B$3,daily_items,0))),NA(),INDEX(big_daily_table,MATCH(DATE(R$5,$K353,$J353),daily_dates,0),MATCH($B$3,daily_items,0)))</f>
        <v>#N/A</v>
      </c>
      <c r="S353" s="1" t="e">
        <f aca="false">IF(ISBLANK(INDEX(big_daily_table,MATCH(DATE(S$5,$K353,$J353),daily_dates,0),MATCH($B$3,daily_items,0))),NA(),INDEX(big_daily_table,MATCH(DATE(S$5,$K353,$J353),daily_dates,0),MATCH($B$3,daily_items,0)))</f>
        <v>#N/A</v>
      </c>
      <c r="T353" s="1" t="e">
        <f aca="false">IF(ISBLANK(INDEX(big_daily_table,MATCH(DATE(T$5,$K353,$J353),daily_dates,0),MATCH($B$3,daily_items,0))),NA(),INDEX(big_daily_table,MATCH(DATE(T$5,$K353,$J353),daily_dates,0),MATCH($B$3,daily_items,0)))</f>
        <v>#N/A</v>
      </c>
      <c r="U353" s="1" t="e">
        <f aca="false">IF(ISBLANK(INDEX(big_daily_table,MATCH(DATE(U$5,$K353,$J353),daily_dates,0),MATCH($B$3,daily_items,0))),NA(),INDEX(big_daily_table,MATCH(DATE(U$5,$K353,$J353),daily_dates,0),MATCH($B$3,daily_items,0)))</f>
        <v>#N/A</v>
      </c>
      <c r="V353" s="1" t="e">
        <f aca="false">IF(ISBLANK(INDEX(big_daily_table,MATCH(DATE(V$5,$K353,$J353),daily_dates,0),MATCH($B$3,daily_items,0))),NA(),INDEX(big_daily_table,MATCH(DATE(V$5,$K353,$J353),daily_dates,0),MATCH($B$3,daily_items,0)))</f>
        <v>#N/A</v>
      </c>
      <c r="W353" s="1" t="e">
        <f aca="false">IF(ISBLANK(INDEX(big_daily_table,MATCH(DATE(W$5,$K353,$J353),daily_dates,0),MATCH($B$3,daily_items,0))),NA(),INDEX(big_daily_table,MATCH(DATE(W$5,$K353,$J353),daily_dates,0),MATCH($B$3,daily_items,0)))</f>
        <v>#N/A</v>
      </c>
      <c r="X353" s="1" t="e">
        <f aca="false">IF(ISBLANK(INDEX(big_daily_table,MATCH(DATE(X$5,$K353,$J353),daily_dates,0),MATCH($B$3,daily_items,0))),NA(),INDEX(big_daily_table,MATCH(DATE(X$5,$K353,$J353),daily_dates,0),MATCH($B$3,daily_items,0)))</f>
        <v>#N/A</v>
      </c>
      <c r="Y353" s="1" t="e">
        <f aca="false">IF(ISBLANK(INDEX(big_daily_table,MATCH(DATE(Y$5,$K353,$J353),daily_dates,0),MATCH($B$3,daily_items,0))),NA(),INDEX(big_daily_table,MATCH(DATE(Y$5,$K353,$J353),daily_dates,0),MATCH($B$3,daily_items,0)))</f>
        <v>#N/A</v>
      </c>
      <c r="Z353" s="1" t="e">
        <f aca="false">IF(ISBLANK(INDEX(big_daily_table,MATCH(DATE(Z$5,$K353,$J353),daily_dates,0),MATCH($B$3,daily_items,0))),NA(),INDEX(big_daily_table,MATCH(DATE(Z$5,$K353,$J353),daily_dates,0),MATCH($B$3,daily_items,0)))</f>
        <v>#N/A</v>
      </c>
      <c r="AA353" s="1" t="n">
        <f aca="true">_xlfn.AGGREGATE(5,6,OFFSET($S$5,H353,0,1,$K$2))</f>
        <v>0</v>
      </c>
      <c r="AB353" s="1" t="n">
        <f aca="true">_xlfn.AGGREGATE(4,6,OFFSET($S$5,H353,0,1,$K$2))</f>
        <v>0</v>
      </c>
      <c r="AC353" s="1" t="n">
        <f aca="false">AB353-AA353</f>
        <v>0</v>
      </c>
      <c r="AD353" s="1" t="e">
        <f aca="true">_xlfn.AGGREGATE(1,6,OFFSET($S$5,H353,0,1,$K$2))</f>
        <v>#DIV/0!</v>
      </c>
    </row>
    <row r="354" customFormat="false" ht="14.25" hidden="false" customHeight="false" outlineLevel="0" collapsed="false">
      <c r="H354" s="1" t="n">
        <f aca="false">H353+1</f>
        <v>349</v>
      </c>
      <c r="I354" s="1" t="n">
        <f aca="false">WEEKDAY('daily graphs'!K354)</f>
        <v>5</v>
      </c>
      <c r="J354" s="1" t="n">
        <f aca="false">DAY(L354)</f>
        <v>9</v>
      </c>
      <c r="K354" s="1" t="n">
        <f aca="false">MONTH(L354)</f>
        <v>12</v>
      </c>
      <c r="L354" s="23" t="n">
        <f aca="false">'daily graphs'!K354 - I354</f>
        <v>36869</v>
      </c>
      <c r="M354" s="24" t="n">
        <f aca="true">IF(TODAY()&lt;DATE($O$5,K354,J354),1000000,-1000000)</f>
        <v>1000000</v>
      </c>
      <c r="N354" s="24" t="e">
        <f aca="false">IF(M354&gt;0,INDEX(big_daily_table,MATCH(DATE(O$5,$K354,$J354),daily_dates,0),MATCH($B$3,daily_items,0)),NA())</f>
        <v>#N/A</v>
      </c>
      <c r="O354" s="1" t="e">
        <f aca="false">IF(M354&lt;0,INDEX(big_daily_table,MATCH(DATE(O$5,$K354,$J354),daily_dates,0),MATCH($B$3,daily_items,0)),NA())</f>
        <v>#N/A</v>
      </c>
      <c r="P354" s="1" t="e">
        <f aca="false">IF(ISBLANK(INDEX(big_daily_table,MATCH(DATE(P$5,$K354,$J354),daily_dates,0),MATCH($B$3,daily_items,0))),NA(),INDEX(big_daily_table,MATCH(DATE(P$5,$K354,$J354),daily_dates,0),MATCH($B$3,daily_items,0)))</f>
        <v>#N/A</v>
      </c>
      <c r="Q354" s="1" t="e">
        <f aca="false">IF(ISBLANK(INDEX(big_daily_table,MATCH(DATE(Q$5,$K354,$J354),daily_dates,0),MATCH($B$3,daily_items,0))),NA(),INDEX(big_daily_table,MATCH(DATE(Q$5,$K354,$J354),daily_dates,0),MATCH($B$3,daily_items,0)))</f>
        <v>#N/A</v>
      </c>
      <c r="R354" s="1" t="e">
        <f aca="false">IF(ISBLANK(INDEX(big_daily_table,MATCH(DATE(R$5,$K354,$J354),daily_dates,0),MATCH($B$3,daily_items,0))),NA(),INDEX(big_daily_table,MATCH(DATE(R$5,$K354,$J354),daily_dates,0),MATCH($B$3,daily_items,0)))</f>
        <v>#N/A</v>
      </c>
      <c r="S354" s="1" t="e">
        <f aca="false">IF(ISBLANK(INDEX(big_daily_table,MATCH(DATE(S$5,$K354,$J354),daily_dates,0),MATCH($B$3,daily_items,0))),NA(),INDEX(big_daily_table,MATCH(DATE(S$5,$K354,$J354),daily_dates,0),MATCH($B$3,daily_items,0)))</f>
        <v>#N/A</v>
      </c>
      <c r="T354" s="1" t="e">
        <f aca="false">IF(ISBLANK(INDEX(big_daily_table,MATCH(DATE(T$5,$K354,$J354),daily_dates,0),MATCH($B$3,daily_items,0))),NA(),INDEX(big_daily_table,MATCH(DATE(T$5,$K354,$J354),daily_dates,0),MATCH($B$3,daily_items,0)))</f>
        <v>#N/A</v>
      </c>
      <c r="U354" s="1" t="e">
        <f aca="false">IF(ISBLANK(INDEX(big_daily_table,MATCH(DATE(U$5,$K354,$J354),daily_dates,0),MATCH($B$3,daily_items,0))),NA(),INDEX(big_daily_table,MATCH(DATE(U$5,$K354,$J354),daily_dates,0),MATCH($B$3,daily_items,0)))</f>
        <v>#N/A</v>
      </c>
      <c r="V354" s="1" t="e">
        <f aca="false">IF(ISBLANK(INDEX(big_daily_table,MATCH(DATE(V$5,$K354,$J354),daily_dates,0),MATCH($B$3,daily_items,0))),NA(),INDEX(big_daily_table,MATCH(DATE(V$5,$K354,$J354),daily_dates,0),MATCH($B$3,daily_items,0)))</f>
        <v>#N/A</v>
      </c>
      <c r="W354" s="1" t="e">
        <f aca="false">IF(ISBLANK(INDEX(big_daily_table,MATCH(DATE(W$5,$K354,$J354),daily_dates,0),MATCH($B$3,daily_items,0))),NA(),INDEX(big_daily_table,MATCH(DATE(W$5,$K354,$J354),daily_dates,0),MATCH($B$3,daily_items,0)))</f>
        <v>#N/A</v>
      </c>
      <c r="X354" s="1" t="e">
        <f aca="false">IF(ISBLANK(INDEX(big_daily_table,MATCH(DATE(X$5,$K354,$J354),daily_dates,0),MATCH($B$3,daily_items,0))),NA(),INDEX(big_daily_table,MATCH(DATE(X$5,$K354,$J354),daily_dates,0),MATCH($B$3,daily_items,0)))</f>
        <v>#N/A</v>
      </c>
      <c r="Y354" s="1" t="e">
        <f aca="false">IF(ISBLANK(INDEX(big_daily_table,MATCH(DATE(Y$5,$K354,$J354),daily_dates,0),MATCH($B$3,daily_items,0))),NA(),INDEX(big_daily_table,MATCH(DATE(Y$5,$K354,$J354),daily_dates,0),MATCH($B$3,daily_items,0)))</f>
        <v>#N/A</v>
      </c>
      <c r="Z354" s="1" t="e">
        <f aca="false">IF(ISBLANK(INDEX(big_daily_table,MATCH(DATE(Z$5,$K354,$J354),daily_dates,0),MATCH($B$3,daily_items,0))),NA(),INDEX(big_daily_table,MATCH(DATE(Z$5,$K354,$J354),daily_dates,0),MATCH($B$3,daily_items,0)))</f>
        <v>#N/A</v>
      </c>
      <c r="AA354" s="1" t="n">
        <f aca="true">_xlfn.AGGREGATE(5,6,OFFSET($S$5,H354,0,1,$K$2))</f>
        <v>0</v>
      </c>
      <c r="AB354" s="1" t="n">
        <f aca="true">_xlfn.AGGREGATE(4,6,OFFSET($S$5,H354,0,1,$K$2))</f>
        <v>0</v>
      </c>
      <c r="AC354" s="1" t="n">
        <f aca="false">AB354-AA354</f>
        <v>0</v>
      </c>
      <c r="AD354" s="1" t="e">
        <f aca="true">_xlfn.AGGREGATE(1,6,OFFSET($S$5,H354,0,1,$K$2))</f>
        <v>#DIV/0!</v>
      </c>
    </row>
    <row r="355" customFormat="false" ht="14.25" hidden="false" customHeight="false" outlineLevel="0" collapsed="false">
      <c r="H355" s="1" t="n">
        <f aca="false">H354+1</f>
        <v>350</v>
      </c>
      <c r="I355" s="1" t="n">
        <f aca="false">WEEKDAY('daily graphs'!K355)</f>
        <v>6</v>
      </c>
      <c r="J355" s="1" t="n">
        <f aca="false">DAY(L355)</f>
        <v>9</v>
      </c>
      <c r="K355" s="1" t="n">
        <f aca="false">MONTH(L355)</f>
        <v>12</v>
      </c>
      <c r="L355" s="23" t="n">
        <f aca="false">'daily graphs'!K355 - I355</f>
        <v>36869</v>
      </c>
      <c r="M355" s="24" t="n">
        <f aca="true">IF(TODAY()&lt;DATE($O$5,K355,J355),1000000,-1000000)</f>
        <v>1000000</v>
      </c>
      <c r="N355" s="24" t="e">
        <f aca="false">IF(M355&gt;0,INDEX(big_daily_table,MATCH(DATE(O$5,$K355,$J355),daily_dates,0),MATCH($B$3,daily_items,0)),NA())</f>
        <v>#N/A</v>
      </c>
      <c r="O355" s="1" t="e">
        <f aca="false">IF(M355&lt;0,INDEX(big_daily_table,MATCH(DATE(O$5,$K355,$J355),daily_dates,0),MATCH($B$3,daily_items,0)),NA())</f>
        <v>#N/A</v>
      </c>
      <c r="P355" s="1" t="e">
        <f aca="false">IF(ISBLANK(INDEX(big_daily_table,MATCH(DATE(P$5,$K355,$J355),daily_dates,0),MATCH($B$3,daily_items,0))),NA(),INDEX(big_daily_table,MATCH(DATE(P$5,$K355,$J355),daily_dates,0),MATCH($B$3,daily_items,0)))</f>
        <v>#N/A</v>
      </c>
      <c r="Q355" s="1" t="e">
        <f aca="false">IF(ISBLANK(INDEX(big_daily_table,MATCH(DATE(Q$5,$K355,$J355),daily_dates,0),MATCH($B$3,daily_items,0))),NA(),INDEX(big_daily_table,MATCH(DATE(Q$5,$K355,$J355),daily_dates,0),MATCH($B$3,daily_items,0)))</f>
        <v>#N/A</v>
      </c>
      <c r="R355" s="1" t="e">
        <f aca="false">IF(ISBLANK(INDEX(big_daily_table,MATCH(DATE(R$5,$K355,$J355),daily_dates,0),MATCH($B$3,daily_items,0))),NA(),INDEX(big_daily_table,MATCH(DATE(R$5,$K355,$J355),daily_dates,0),MATCH($B$3,daily_items,0)))</f>
        <v>#N/A</v>
      </c>
      <c r="S355" s="1" t="e">
        <f aca="false">IF(ISBLANK(INDEX(big_daily_table,MATCH(DATE(S$5,$K355,$J355),daily_dates,0),MATCH($B$3,daily_items,0))),NA(),INDEX(big_daily_table,MATCH(DATE(S$5,$K355,$J355),daily_dates,0),MATCH($B$3,daily_items,0)))</f>
        <v>#N/A</v>
      </c>
      <c r="T355" s="1" t="e">
        <f aca="false">IF(ISBLANK(INDEX(big_daily_table,MATCH(DATE(T$5,$K355,$J355),daily_dates,0),MATCH($B$3,daily_items,0))),NA(),INDEX(big_daily_table,MATCH(DATE(T$5,$K355,$J355),daily_dates,0),MATCH($B$3,daily_items,0)))</f>
        <v>#N/A</v>
      </c>
      <c r="U355" s="1" t="e">
        <f aca="false">IF(ISBLANK(INDEX(big_daily_table,MATCH(DATE(U$5,$K355,$J355),daily_dates,0),MATCH($B$3,daily_items,0))),NA(),INDEX(big_daily_table,MATCH(DATE(U$5,$K355,$J355),daily_dates,0),MATCH($B$3,daily_items,0)))</f>
        <v>#N/A</v>
      </c>
      <c r="V355" s="1" t="e">
        <f aca="false">IF(ISBLANK(INDEX(big_daily_table,MATCH(DATE(V$5,$K355,$J355),daily_dates,0),MATCH($B$3,daily_items,0))),NA(),INDEX(big_daily_table,MATCH(DATE(V$5,$K355,$J355),daily_dates,0),MATCH($B$3,daily_items,0)))</f>
        <v>#N/A</v>
      </c>
      <c r="W355" s="1" t="e">
        <f aca="false">IF(ISBLANK(INDEX(big_daily_table,MATCH(DATE(W$5,$K355,$J355),daily_dates,0),MATCH($B$3,daily_items,0))),NA(),INDEX(big_daily_table,MATCH(DATE(W$5,$K355,$J355),daily_dates,0),MATCH($B$3,daily_items,0)))</f>
        <v>#N/A</v>
      </c>
      <c r="X355" s="1" t="e">
        <f aca="false">IF(ISBLANK(INDEX(big_daily_table,MATCH(DATE(X$5,$K355,$J355),daily_dates,0),MATCH($B$3,daily_items,0))),NA(),INDEX(big_daily_table,MATCH(DATE(X$5,$K355,$J355),daily_dates,0),MATCH($B$3,daily_items,0)))</f>
        <v>#N/A</v>
      </c>
      <c r="Y355" s="1" t="e">
        <f aca="false">IF(ISBLANK(INDEX(big_daily_table,MATCH(DATE(Y$5,$K355,$J355),daily_dates,0),MATCH($B$3,daily_items,0))),NA(),INDEX(big_daily_table,MATCH(DATE(Y$5,$K355,$J355),daily_dates,0),MATCH($B$3,daily_items,0)))</f>
        <v>#N/A</v>
      </c>
      <c r="Z355" s="1" t="e">
        <f aca="false">IF(ISBLANK(INDEX(big_daily_table,MATCH(DATE(Z$5,$K355,$J355),daily_dates,0),MATCH($B$3,daily_items,0))),NA(),INDEX(big_daily_table,MATCH(DATE(Z$5,$K355,$J355),daily_dates,0),MATCH($B$3,daily_items,0)))</f>
        <v>#N/A</v>
      </c>
      <c r="AA355" s="1" t="n">
        <f aca="true">_xlfn.AGGREGATE(5,6,OFFSET($S$5,H355,0,1,$K$2))</f>
        <v>0</v>
      </c>
      <c r="AB355" s="1" t="n">
        <f aca="true">_xlfn.AGGREGATE(4,6,OFFSET($S$5,H355,0,1,$K$2))</f>
        <v>0</v>
      </c>
      <c r="AC355" s="1" t="n">
        <f aca="false">AB355-AA355</f>
        <v>0</v>
      </c>
      <c r="AD355" s="1" t="e">
        <f aca="true">_xlfn.AGGREGATE(1,6,OFFSET($S$5,H355,0,1,$K$2))</f>
        <v>#DIV/0!</v>
      </c>
    </row>
    <row r="356" customFormat="false" ht="14.25" hidden="false" customHeight="false" outlineLevel="0" collapsed="false">
      <c r="H356" s="1" t="n">
        <f aca="false">H355+1</f>
        <v>351</v>
      </c>
      <c r="I356" s="1" t="n">
        <f aca="false">WEEKDAY('daily graphs'!K356)</f>
        <v>7</v>
      </c>
      <c r="J356" s="1" t="n">
        <f aca="false">DAY(L356)</f>
        <v>9</v>
      </c>
      <c r="K356" s="1" t="n">
        <f aca="false">MONTH(L356)</f>
        <v>12</v>
      </c>
      <c r="L356" s="23" t="n">
        <f aca="false">'daily graphs'!K356 - I356</f>
        <v>36869</v>
      </c>
      <c r="M356" s="24" t="n">
        <f aca="true">IF(TODAY()&lt;DATE($O$5,K356,J356),1000000,-1000000)</f>
        <v>1000000</v>
      </c>
      <c r="N356" s="24" t="e">
        <f aca="false">IF(M356&gt;0,INDEX(big_daily_table,MATCH(DATE(O$5,$K356,$J356),daily_dates,0),MATCH($B$3,daily_items,0)),NA())</f>
        <v>#N/A</v>
      </c>
      <c r="O356" s="1" t="e">
        <f aca="false">IF(M356&lt;0,INDEX(big_daily_table,MATCH(DATE(O$5,$K356,$J356),daily_dates,0),MATCH($B$3,daily_items,0)),NA())</f>
        <v>#N/A</v>
      </c>
      <c r="P356" s="1" t="e">
        <f aca="false">IF(ISBLANK(INDEX(big_daily_table,MATCH(DATE(P$5,$K356,$J356),daily_dates,0),MATCH($B$3,daily_items,0))),NA(),INDEX(big_daily_table,MATCH(DATE(P$5,$K356,$J356),daily_dates,0),MATCH($B$3,daily_items,0)))</f>
        <v>#N/A</v>
      </c>
      <c r="Q356" s="1" t="e">
        <f aca="false">IF(ISBLANK(INDEX(big_daily_table,MATCH(DATE(Q$5,$K356,$J356),daily_dates,0),MATCH($B$3,daily_items,0))),NA(),INDEX(big_daily_table,MATCH(DATE(Q$5,$K356,$J356),daily_dates,0),MATCH($B$3,daily_items,0)))</f>
        <v>#N/A</v>
      </c>
      <c r="R356" s="1" t="e">
        <f aca="false">IF(ISBLANK(INDEX(big_daily_table,MATCH(DATE(R$5,$K356,$J356),daily_dates,0),MATCH($B$3,daily_items,0))),NA(),INDEX(big_daily_table,MATCH(DATE(R$5,$K356,$J356),daily_dates,0),MATCH($B$3,daily_items,0)))</f>
        <v>#N/A</v>
      </c>
      <c r="S356" s="1" t="e">
        <f aca="false">IF(ISBLANK(INDEX(big_daily_table,MATCH(DATE(S$5,$K356,$J356),daily_dates,0),MATCH($B$3,daily_items,0))),NA(),INDEX(big_daily_table,MATCH(DATE(S$5,$K356,$J356),daily_dates,0),MATCH($B$3,daily_items,0)))</f>
        <v>#N/A</v>
      </c>
      <c r="T356" s="1" t="e">
        <f aca="false">IF(ISBLANK(INDEX(big_daily_table,MATCH(DATE(T$5,$K356,$J356),daily_dates,0),MATCH($B$3,daily_items,0))),NA(),INDEX(big_daily_table,MATCH(DATE(T$5,$K356,$J356),daily_dates,0),MATCH($B$3,daily_items,0)))</f>
        <v>#N/A</v>
      </c>
      <c r="U356" s="1" t="e">
        <f aca="false">IF(ISBLANK(INDEX(big_daily_table,MATCH(DATE(U$5,$K356,$J356),daily_dates,0),MATCH($B$3,daily_items,0))),NA(),INDEX(big_daily_table,MATCH(DATE(U$5,$K356,$J356),daily_dates,0),MATCH($B$3,daily_items,0)))</f>
        <v>#N/A</v>
      </c>
      <c r="V356" s="1" t="e">
        <f aca="false">IF(ISBLANK(INDEX(big_daily_table,MATCH(DATE(V$5,$K356,$J356),daily_dates,0),MATCH($B$3,daily_items,0))),NA(),INDEX(big_daily_table,MATCH(DATE(V$5,$K356,$J356),daily_dates,0),MATCH($B$3,daily_items,0)))</f>
        <v>#N/A</v>
      </c>
      <c r="W356" s="1" t="e">
        <f aca="false">IF(ISBLANK(INDEX(big_daily_table,MATCH(DATE(W$5,$K356,$J356),daily_dates,0),MATCH($B$3,daily_items,0))),NA(),INDEX(big_daily_table,MATCH(DATE(W$5,$K356,$J356),daily_dates,0),MATCH($B$3,daily_items,0)))</f>
        <v>#N/A</v>
      </c>
      <c r="X356" s="1" t="e">
        <f aca="false">IF(ISBLANK(INDEX(big_daily_table,MATCH(DATE(X$5,$K356,$J356),daily_dates,0),MATCH($B$3,daily_items,0))),NA(),INDEX(big_daily_table,MATCH(DATE(X$5,$K356,$J356),daily_dates,0),MATCH($B$3,daily_items,0)))</f>
        <v>#N/A</v>
      </c>
      <c r="Y356" s="1" t="e">
        <f aca="false">IF(ISBLANK(INDEX(big_daily_table,MATCH(DATE(Y$5,$K356,$J356),daily_dates,0),MATCH($B$3,daily_items,0))),NA(),INDEX(big_daily_table,MATCH(DATE(Y$5,$K356,$J356),daily_dates,0),MATCH($B$3,daily_items,0)))</f>
        <v>#N/A</v>
      </c>
      <c r="Z356" s="1" t="e">
        <f aca="false">IF(ISBLANK(INDEX(big_daily_table,MATCH(DATE(Z$5,$K356,$J356),daily_dates,0),MATCH($B$3,daily_items,0))),NA(),INDEX(big_daily_table,MATCH(DATE(Z$5,$K356,$J356),daily_dates,0),MATCH($B$3,daily_items,0)))</f>
        <v>#N/A</v>
      </c>
      <c r="AA356" s="1" t="n">
        <f aca="true">_xlfn.AGGREGATE(5,6,OFFSET($S$5,H356,0,1,$K$2))</f>
        <v>0</v>
      </c>
      <c r="AB356" s="1" t="n">
        <f aca="true">_xlfn.AGGREGATE(4,6,OFFSET($S$5,H356,0,1,$K$2))</f>
        <v>0</v>
      </c>
      <c r="AC356" s="1" t="n">
        <f aca="false">AB356-AA356</f>
        <v>0</v>
      </c>
      <c r="AD356" s="1" t="e">
        <f aca="true">_xlfn.AGGREGATE(1,6,OFFSET($S$5,H356,0,1,$K$2))</f>
        <v>#DIV/0!</v>
      </c>
    </row>
    <row r="357" customFormat="false" ht="14.25" hidden="false" customHeight="false" outlineLevel="0" collapsed="false">
      <c r="H357" s="1" t="n">
        <f aca="false">H356+1</f>
        <v>352</v>
      </c>
      <c r="I357" s="1" t="n">
        <f aca="false">WEEKDAY('daily graphs'!K357)</f>
        <v>1</v>
      </c>
      <c r="J357" s="1" t="n">
        <f aca="false">DAY(L357)</f>
        <v>16</v>
      </c>
      <c r="K357" s="1" t="n">
        <f aca="false">MONTH(L357)</f>
        <v>12</v>
      </c>
      <c r="L357" s="23" t="n">
        <f aca="false">'daily graphs'!K357 - I357</f>
        <v>36876</v>
      </c>
      <c r="M357" s="24" t="n">
        <f aca="true">IF(TODAY()&lt;DATE($O$5,K357,J357),1000000,-1000000)</f>
        <v>1000000</v>
      </c>
      <c r="N357" s="24" t="e">
        <f aca="false">IF(M357&gt;0,INDEX(big_daily_table,MATCH(DATE(O$5,$K357,$J357),daily_dates,0),MATCH($B$3,daily_items,0)),NA())</f>
        <v>#N/A</v>
      </c>
      <c r="O357" s="1" t="e">
        <f aca="false">IF(M357&lt;0,INDEX(big_daily_table,MATCH(DATE(O$5,$K357,$J357),daily_dates,0),MATCH($B$3,daily_items,0)),NA())</f>
        <v>#N/A</v>
      </c>
      <c r="P357" s="1" t="e">
        <f aca="false">IF(ISBLANK(INDEX(big_daily_table,MATCH(DATE(P$5,$K357,$J357),daily_dates,0),MATCH($B$3,daily_items,0))),NA(),INDEX(big_daily_table,MATCH(DATE(P$5,$K357,$J357),daily_dates,0),MATCH($B$3,daily_items,0)))</f>
        <v>#N/A</v>
      </c>
      <c r="Q357" s="1" t="e">
        <f aca="false">IF(ISBLANK(INDEX(big_daily_table,MATCH(DATE(Q$5,$K357,$J357),daily_dates,0),MATCH($B$3,daily_items,0))),NA(),INDEX(big_daily_table,MATCH(DATE(Q$5,$K357,$J357),daily_dates,0),MATCH($B$3,daily_items,0)))</f>
        <v>#N/A</v>
      </c>
      <c r="R357" s="1" t="e">
        <f aca="false">IF(ISBLANK(INDEX(big_daily_table,MATCH(DATE(R$5,$K357,$J357),daily_dates,0),MATCH($B$3,daily_items,0))),NA(),INDEX(big_daily_table,MATCH(DATE(R$5,$K357,$J357),daily_dates,0),MATCH($B$3,daily_items,0)))</f>
        <v>#N/A</v>
      </c>
      <c r="S357" s="1" t="e">
        <f aca="false">IF(ISBLANK(INDEX(big_daily_table,MATCH(DATE(S$5,$K357,$J357),daily_dates,0),MATCH($B$3,daily_items,0))),NA(),INDEX(big_daily_table,MATCH(DATE(S$5,$K357,$J357),daily_dates,0),MATCH($B$3,daily_items,0)))</f>
        <v>#N/A</v>
      </c>
      <c r="T357" s="1" t="e">
        <f aca="false">IF(ISBLANK(INDEX(big_daily_table,MATCH(DATE(T$5,$K357,$J357),daily_dates,0),MATCH($B$3,daily_items,0))),NA(),INDEX(big_daily_table,MATCH(DATE(T$5,$K357,$J357),daily_dates,0),MATCH($B$3,daily_items,0)))</f>
        <v>#N/A</v>
      </c>
      <c r="U357" s="1" t="e">
        <f aca="false">IF(ISBLANK(INDEX(big_daily_table,MATCH(DATE(U$5,$K357,$J357),daily_dates,0),MATCH($B$3,daily_items,0))),NA(),INDEX(big_daily_table,MATCH(DATE(U$5,$K357,$J357),daily_dates,0),MATCH($B$3,daily_items,0)))</f>
        <v>#N/A</v>
      </c>
      <c r="V357" s="1" t="e">
        <f aca="false">IF(ISBLANK(INDEX(big_daily_table,MATCH(DATE(V$5,$K357,$J357),daily_dates,0),MATCH($B$3,daily_items,0))),NA(),INDEX(big_daily_table,MATCH(DATE(V$5,$K357,$J357),daily_dates,0),MATCH($B$3,daily_items,0)))</f>
        <v>#N/A</v>
      </c>
      <c r="W357" s="1" t="e">
        <f aca="false">IF(ISBLANK(INDEX(big_daily_table,MATCH(DATE(W$5,$K357,$J357),daily_dates,0),MATCH($B$3,daily_items,0))),NA(),INDEX(big_daily_table,MATCH(DATE(W$5,$K357,$J357),daily_dates,0),MATCH($B$3,daily_items,0)))</f>
        <v>#N/A</v>
      </c>
      <c r="X357" s="1" t="e">
        <f aca="false">IF(ISBLANK(INDEX(big_daily_table,MATCH(DATE(X$5,$K357,$J357),daily_dates,0),MATCH($B$3,daily_items,0))),NA(),INDEX(big_daily_table,MATCH(DATE(X$5,$K357,$J357),daily_dates,0),MATCH($B$3,daily_items,0)))</f>
        <v>#N/A</v>
      </c>
      <c r="Y357" s="1" t="e">
        <f aca="false">IF(ISBLANK(INDEX(big_daily_table,MATCH(DATE(Y$5,$K357,$J357),daily_dates,0),MATCH($B$3,daily_items,0))),NA(),INDEX(big_daily_table,MATCH(DATE(Y$5,$K357,$J357),daily_dates,0),MATCH($B$3,daily_items,0)))</f>
        <v>#N/A</v>
      </c>
      <c r="Z357" s="1" t="e">
        <f aca="false">IF(ISBLANK(INDEX(big_daily_table,MATCH(DATE(Z$5,$K357,$J357),daily_dates,0),MATCH($B$3,daily_items,0))),NA(),INDEX(big_daily_table,MATCH(DATE(Z$5,$K357,$J357),daily_dates,0),MATCH($B$3,daily_items,0)))</f>
        <v>#N/A</v>
      </c>
      <c r="AA357" s="1" t="n">
        <f aca="true">_xlfn.AGGREGATE(5,6,OFFSET($S$5,H357,0,1,$K$2))</f>
        <v>0</v>
      </c>
      <c r="AB357" s="1" t="n">
        <f aca="true">_xlfn.AGGREGATE(4,6,OFFSET($S$5,H357,0,1,$K$2))</f>
        <v>0</v>
      </c>
      <c r="AC357" s="1" t="n">
        <f aca="false">AB357-AA357</f>
        <v>0</v>
      </c>
      <c r="AD357" s="1" t="e">
        <f aca="true">_xlfn.AGGREGATE(1,6,OFFSET($S$5,H357,0,1,$K$2))</f>
        <v>#DIV/0!</v>
      </c>
    </row>
    <row r="358" customFormat="false" ht="14.25" hidden="false" customHeight="false" outlineLevel="0" collapsed="false">
      <c r="H358" s="1" t="n">
        <f aca="false">H357+1</f>
        <v>353</v>
      </c>
      <c r="I358" s="1" t="n">
        <f aca="false">WEEKDAY('daily graphs'!K358)</f>
        <v>2</v>
      </c>
      <c r="J358" s="1" t="n">
        <f aca="false">DAY(L358)</f>
        <v>16</v>
      </c>
      <c r="K358" s="1" t="n">
        <f aca="false">MONTH(L358)</f>
        <v>12</v>
      </c>
      <c r="L358" s="23" t="n">
        <f aca="false">'daily graphs'!K358 - I358</f>
        <v>36876</v>
      </c>
      <c r="M358" s="24" t="n">
        <f aca="true">IF(TODAY()&lt;DATE($O$5,K358,J358),1000000,-1000000)</f>
        <v>1000000</v>
      </c>
      <c r="N358" s="24" t="e">
        <f aca="false">IF(M358&gt;0,INDEX(big_daily_table,MATCH(DATE(O$5,$K358,$J358),daily_dates,0),MATCH($B$3,daily_items,0)),NA())</f>
        <v>#N/A</v>
      </c>
      <c r="O358" s="1" t="e">
        <f aca="false">IF(M358&lt;0,INDEX(big_daily_table,MATCH(DATE(O$5,$K358,$J358),daily_dates,0),MATCH($B$3,daily_items,0)),NA())</f>
        <v>#N/A</v>
      </c>
      <c r="P358" s="1" t="e">
        <f aca="false">IF(ISBLANK(INDEX(big_daily_table,MATCH(DATE(P$5,$K358,$J358),daily_dates,0),MATCH($B$3,daily_items,0))),NA(),INDEX(big_daily_table,MATCH(DATE(P$5,$K358,$J358),daily_dates,0),MATCH($B$3,daily_items,0)))</f>
        <v>#N/A</v>
      </c>
      <c r="Q358" s="1" t="e">
        <f aca="false">IF(ISBLANK(INDEX(big_daily_table,MATCH(DATE(Q$5,$K358,$J358),daily_dates,0),MATCH($B$3,daily_items,0))),NA(),INDEX(big_daily_table,MATCH(DATE(Q$5,$K358,$J358),daily_dates,0),MATCH($B$3,daily_items,0)))</f>
        <v>#N/A</v>
      </c>
      <c r="R358" s="1" t="e">
        <f aca="false">IF(ISBLANK(INDEX(big_daily_table,MATCH(DATE(R$5,$K358,$J358),daily_dates,0),MATCH($B$3,daily_items,0))),NA(),INDEX(big_daily_table,MATCH(DATE(R$5,$K358,$J358),daily_dates,0),MATCH($B$3,daily_items,0)))</f>
        <v>#N/A</v>
      </c>
      <c r="S358" s="1" t="e">
        <f aca="false">IF(ISBLANK(INDEX(big_daily_table,MATCH(DATE(S$5,$K358,$J358),daily_dates,0),MATCH($B$3,daily_items,0))),NA(),INDEX(big_daily_table,MATCH(DATE(S$5,$K358,$J358),daily_dates,0),MATCH($B$3,daily_items,0)))</f>
        <v>#N/A</v>
      </c>
      <c r="T358" s="1" t="e">
        <f aca="false">IF(ISBLANK(INDEX(big_daily_table,MATCH(DATE(T$5,$K358,$J358),daily_dates,0),MATCH($B$3,daily_items,0))),NA(),INDEX(big_daily_table,MATCH(DATE(T$5,$K358,$J358),daily_dates,0),MATCH($B$3,daily_items,0)))</f>
        <v>#N/A</v>
      </c>
      <c r="U358" s="1" t="e">
        <f aca="false">IF(ISBLANK(INDEX(big_daily_table,MATCH(DATE(U$5,$K358,$J358),daily_dates,0),MATCH($B$3,daily_items,0))),NA(),INDEX(big_daily_table,MATCH(DATE(U$5,$K358,$J358),daily_dates,0),MATCH($B$3,daily_items,0)))</f>
        <v>#N/A</v>
      </c>
      <c r="V358" s="1" t="e">
        <f aca="false">IF(ISBLANK(INDEX(big_daily_table,MATCH(DATE(V$5,$K358,$J358),daily_dates,0),MATCH($B$3,daily_items,0))),NA(),INDEX(big_daily_table,MATCH(DATE(V$5,$K358,$J358),daily_dates,0),MATCH($B$3,daily_items,0)))</f>
        <v>#N/A</v>
      </c>
      <c r="W358" s="1" t="e">
        <f aca="false">IF(ISBLANK(INDEX(big_daily_table,MATCH(DATE(W$5,$K358,$J358),daily_dates,0),MATCH($B$3,daily_items,0))),NA(),INDEX(big_daily_table,MATCH(DATE(W$5,$K358,$J358),daily_dates,0),MATCH($B$3,daily_items,0)))</f>
        <v>#N/A</v>
      </c>
      <c r="X358" s="1" t="e">
        <f aca="false">IF(ISBLANK(INDEX(big_daily_table,MATCH(DATE(X$5,$K358,$J358),daily_dates,0),MATCH($B$3,daily_items,0))),NA(),INDEX(big_daily_table,MATCH(DATE(X$5,$K358,$J358),daily_dates,0),MATCH($B$3,daily_items,0)))</f>
        <v>#N/A</v>
      </c>
      <c r="Y358" s="1" t="e">
        <f aca="false">IF(ISBLANK(INDEX(big_daily_table,MATCH(DATE(Y$5,$K358,$J358),daily_dates,0),MATCH($B$3,daily_items,0))),NA(),INDEX(big_daily_table,MATCH(DATE(Y$5,$K358,$J358),daily_dates,0),MATCH($B$3,daily_items,0)))</f>
        <v>#N/A</v>
      </c>
      <c r="Z358" s="1" t="e">
        <f aca="false">IF(ISBLANK(INDEX(big_daily_table,MATCH(DATE(Z$5,$K358,$J358),daily_dates,0),MATCH($B$3,daily_items,0))),NA(),INDEX(big_daily_table,MATCH(DATE(Z$5,$K358,$J358),daily_dates,0),MATCH($B$3,daily_items,0)))</f>
        <v>#N/A</v>
      </c>
      <c r="AA358" s="1" t="n">
        <f aca="true">_xlfn.AGGREGATE(5,6,OFFSET($S$5,H358,0,1,$K$2))</f>
        <v>0</v>
      </c>
      <c r="AB358" s="1" t="n">
        <f aca="true">_xlfn.AGGREGATE(4,6,OFFSET($S$5,H358,0,1,$K$2))</f>
        <v>0</v>
      </c>
      <c r="AC358" s="1" t="n">
        <f aca="false">AB358-AA358</f>
        <v>0</v>
      </c>
      <c r="AD358" s="1" t="e">
        <f aca="true">_xlfn.AGGREGATE(1,6,OFFSET($S$5,H358,0,1,$K$2))</f>
        <v>#DIV/0!</v>
      </c>
    </row>
    <row r="359" customFormat="false" ht="14.25" hidden="false" customHeight="false" outlineLevel="0" collapsed="false">
      <c r="H359" s="1" t="n">
        <f aca="false">H358+1</f>
        <v>354</v>
      </c>
      <c r="I359" s="1" t="n">
        <f aca="false">WEEKDAY('daily graphs'!K359)</f>
        <v>3</v>
      </c>
      <c r="J359" s="1" t="n">
        <f aca="false">DAY(L359)</f>
        <v>16</v>
      </c>
      <c r="K359" s="1" t="n">
        <f aca="false">MONTH(L359)</f>
        <v>12</v>
      </c>
      <c r="L359" s="23" t="n">
        <f aca="false">'daily graphs'!K359 - I359</f>
        <v>36876</v>
      </c>
      <c r="M359" s="24" t="n">
        <f aca="true">IF(TODAY()&lt;DATE($O$5,K359,J359),1000000,-1000000)</f>
        <v>1000000</v>
      </c>
      <c r="N359" s="24" t="e">
        <f aca="false">IF(M359&gt;0,INDEX(big_daily_table,MATCH(DATE(O$5,$K359,$J359),daily_dates,0),MATCH($B$3,daily_items,0)),NA())</f>
        <v>#N/A</v>
      </c>
      <c r="O359" s="1" t="e">
        <f aca="false">IF(M359&lt;0,INDEX(big_daily_table,MATCH(DATE(O$5,$K359,$J359),daily_dates,0),MATCH($B$3,daily_items,0)),NA())</f>
        <v>#N/A</v>
      </c>
      <c r="P359" s="1" t="e">
        <f aca="false">IF(ISBLANK(INDEX(big_daily_table,MATCH(DATE(P$5,$K359,$J359),daily_dates,0),MATCH($B$3,daily_items,0))),NA(),INDEX(big_daily_table,MATCH(DATE(P$5,$K359,$J359),daily_dates,0),MATCH($B$3,daily_items,0)))</f>
        <v>#N/A</v>
      </c>
      <c r="Q359" s="1" t="e">
        <f aca="false">IF(ISBLANK(INDEX(big_daily_table,MATCH(DATE(Q$5,$K359,$J359),daily_dates,0),MATCH($B$3,daily_items,0))),NA(),INDEX(big_daily_table,MATCH(DATE(Q$5,$K359,$J359),daily_dates,0),MATCH($B$3,daily_items,0)))</f>
        <v>#N/A</v>
      </c>
      <c r="R359" s="1" t="e">
        <f aca="false">IF(ISBLANK(INDEX(big_daily_table,MATCH(DATE(R$5,$K359,$J359),daily_dates,0),MATCH($B$3,daily_items,0))),NA(),INDEX(big_daily_table,MATCH(DATE(R$5,$K359,$J359),daily_dates,0),MATCH($B$3,daily_items,0)))</f>
        <v>#N/A</v>
      </c>
      <c r="S359" s="1" t="e">
        <f aca="false">IF(ISBLANK(INDEX(big_daily_table,MATCH(DATE(S$5,$K359,$J359),daily_dates,0),MATCH($B$3,daily_items,0))),NA(),INDEX(big_daily_table,MATCH(DATE(S$5,$K359,$J359),daily_dates,0),MATCH($B$3,daily_items,0)))</f>
        <v>#N/A</v>
      </c>
      <c r="T359" s="1" t="e">
        <f aca="false">IF(ISBLANK(INDEX(big_daily_table,MATCH(DATE(T$5,$K359,$J359),daily_dates,0),MATCH($B$3,daily_items,0))),NA(),INDEX(big_daily_table,MATCH(DATE(T$5,$K359,$J359),daily_dates,0),MATCH($B$3,daily_items,0)))</f>
        <v>#N/A</v>
      </c>
      <c r="U359" s="1" t="e">
        <f aca="false">IF(ISBLANK(INDEX(big_daily_table,MATCH(DATE(U$5,$K359,$J359),daily_dates,0),MATCH($B$3,daily_items,0))),NA(),INDEX(big_daily_table,MATCH(DATE(U$5,$K359,$J359),daily_dates,0),MATCH($B$3,daily_items,0)))</f>
        <v>#N/A</v>
      </c>
      <c r="V359" s="1" t="e">
        <f aca="false">IF(ISBLANK(INDEX(big_daily_table,MATCH(DATE(V$5,$K359,$J359),daily_dates,0),MATCH($B$3,daily_items,0))),NA(),INDEX(big_daily_table,MATCH(DATE(V$5,$K359,$J359),daily_dates,0),MATCH($B$3,daily_items,0)))</f>
        <v>#N/A</v>
      </c>
      <c r="W359" s="1" t="e">
        <f aca="false">IF(ISBLANK(INDEX(big_daily_table,MATCH(DATE(W$5,$K359,$J359),daily_dates,0),MATCH($B$3,daily_items,0))),NA(),INDEX(big_daily_table,MATCH(DATE(W$5,$K359,$J359),daily_dates,0),MATCH($B$3,daily_items,0)))</f>
        <v>#N/A</v>
      </c>
      <c r="X359" s="1" t="e">
        <f aca="false">IF(ISBLANK(INDEX(big_daily_table,MATCH(DATE(X$5,$K359,$J359),daily_dates,0),MATCH($B$3,daily_items,0))),NA(),INDEX(big_daily_table,MATCH(DATE(X$5,$K359,$J359),daily_dates,0),MATCH($B$3,daily_items,0)))</f>
        <v>#N/A</v>
      </c>
      <c r="Y359" s="1" t="e">
        <f aca="false">IF(ISBLANK(INDEX(big_daily_table,MATCH(DATE(Y$5,$K359,$J359),daily_dates,0),MATCH($B$3,daily_items,0))),NA(),INDEX(big_daily_table,MATCH(DATE(Y$5,$K359,$J359),daily_dates,0),MATCH($B$3,daily_items,0)))</f>
        <v>#N/A</v>
      </c>
      <c r="Z359" s="1" t="e">
        <f aca="false">IF(ISBLANK(INDEX(big_daily_table,MATCH(DATE(Z$5,$K359,$J359),daily_dates,0),MATCH($B$3,daily_items,0))),NA(),INDEX(big_daily_table,MATCH(DATE(Z$5,$K359,$J359),daily_dates,0),MATCH($B$3,daily_items,0)))</f>
        <v>#N/A</v>
      </c>
      <c r="AA359" s="1" t="n">
        <f aca="true">_xlfn.AGGREGATE(5,6,OFFSET($S$5,H359,0,1,$K$2))</f>
        <v>0</v>
      </c>
      <c r="AB359" s="1" t="n">
        <f aca="true">_xlfn.AGGREGATE(4,6,OFFSET($S$5,H359,0,1,$K$2))</f>
        <v>0</v>
      </c>
      <c r="AC359" s="1" t="n">
        <f aca="false">AB359-AA359</f>
        <v>0</v>
      </c>
      <c r="AD359" s="1" t="e">
        <f aca="true">_xlfn.AGGREGATE(1,6,OFFSET($S$5,H359,0,1,$K$2))</f>
        <v>#DIV/0!</v>
      </c>
    </row>
    <row r="360" customFormat="false" ht="14.25" hidden="false" customHeight="false" outlineLevel="0" collapsed="false">
      <c r="H360" s="1" t="n">
        <f aca="false">H359+1</f>
        <v>355</v>
      </c>
      <c r="I360" s="1" t="n">
        <f aca="false">WEEKDAY('daily graphs'!K360)</f>
        <v>4</v>
      </c>
      <c r="J360" s="1" t="n">
        <f aca="false">DAY(L360)</f>
        <v>16</v>
      </c>
      <c r="K360" s="1" t="n">
        <f aca="false">MONTH(L360)</f>
        <v>12</v>
      </c>
      <c r="L360" s="23" t="n">
        <f aca="false">'daily graphs'!K360 - I360</f>
        <v>36876</v>
      </c>
      <c r="M360" s="24" t="n">
        <f aca="true">IF(TODAY()&lt;DATE($O$5,K360,J360),1000000,-1000000)</f>
        <v>1000000</v>
      </c>
      <c r="N360" s="24" t="e">
        <f aca="false">IF(M360&gt;0,INDEX(big_daily_table,MATCH(DATE(O$5,$K360,$J360),daily_dates,0),MATCH($B$3,daily_items,0)),NA())</f>
        <v>#N/A</v>
      </c>
      <c r="O360" s="1" t="e">
        <f aca="false">IF(M360&lt;0,INDEX(big_daily_table,MATCH(DATE(O$5,$K360,$J360),daily_dates,0),MATCH($B$3,daily_items,0)),NA())</f>
        <v>#N/A</v>
      </c>
      <c r="P360" s="1" t="e">
        <f aca="false">IF(ISBLANK(INDEX(big_daily_table,MATCH(DATE(P$5,$K360,$J360),daily_dates,0),MATCH($B$3,daily_items,0))),NA(),INDEX(big_daily_table,MATCH(DATE(P$5,$K360,$J360),daily_dates,0),MATCH($B$3,daily_items,0)))</f>
        <v>#N/A</v>
      </c>
      <c r="Q360" s="1" t="e">
        <f aca="false">IF(ISBLANK(INDEX(big_daily_table,MATCH(DATE(Q$5,$K360,$J360),daily_dates,0),MATCH($B$3,daily_items,0))),NA(),INDEX(big_daily_table,MATCH(DATE(Q$5,$K360,$J360),daily_dates,0),MATCH($B$3,daily_items,0)))</f>
        <v>#N/A</v>
      </c>
      <c r="R360" s="1" t="e">
        <f aca="false">IF(ISBLANK(INDEX(big_daily_table,MATCH(DATE(R$5,$K360,$J360),daily_dates,0),MATCH($B$3,daily_items,0))),NA(),INDEX(big_daily_table,MATCH(DATE(R$5,$K360,$J360),daily_dates,0),MATCH($B$3,daily_items,0)))</f>
        <v>#N/A</v>
      </c>
      <c r="S360" s="1" t="e">
        <f aca="false">IF(ISBLANK(INDEX(big_daily_table,MATCH(DATE(S$5,$K360,$J360),daily_dates,0),MATCH($B$3,daily_items,0))),NA(),INDEX(big_daily_table,MATCH(DATE(S$5,$K360,$J360),daily_dates,0),MATCH($B$3,daily_items,0)))</f>
        <v>#N/A</v>
      </c>
      <c r="T360" s="1" t="e">
        <f aca="false">IF(ISBLANK(INDEX(big_daily_table,MATCH(DATE(T$5,$K360,$J360),daily_dates,0),MATCH($B$3,daily_items,0))),NA(),INDEX(big_daily_table,MATCH(DATE(T$5,$K360,$J360),daily_dates,0),MATCH($B$3,daily_items,0)))</f>
        <v>#N/A</v>
      </c>
      <c r="U360" s="1" t="e">
        <f aca="false">IF(ISBLANK(INDEX(big_daily_table,MATCH(DATE(U$5,$K360,$J360),daily_dates,0),MATCH($B$3,daily_items,0))),NA(),INDEX(big_daily_table,MATCH(DATE(U$5,$K360,$J360),daily_dates,0),MATCH($B$3,daily_items,0)))</f>
        <v>#N/A</v>
      </c>
      <c r="V360" s="1" t="e">
        <f aca="false">IF(ISBLANK(INDEX(big_daily_table,MATCH(DATE(V$5,$K360,$J360),daily_dates,0),MATCH($B$3,daily_items,0))),NA(),INDEX(big_daily_table,MATCH(DATE(V$5,$K360,$J360),daily_dates,0),MATCH($B$3,daily_items,0)))</f>
        <v>#N/A</v>
      </c>
      <c r="W360" s="1" t="e">
        <f aca="false">IF(ISBLANK(INDEX(big_daily_table,MATCH(DATE(W$5,$K360,$J360),daily_dates,0),MATCH($B$3,daily_items,0))),NA(),INDEX(big_daily_table,MATCH(DATE(W$5,$K360,$J360),daily_dates,0),MATCH($B$3,daily_items,0)))</f>
        <v>#N/A</v>
      </c>
      <c r="X360" s="1" t="e">
        <f aca="false">IF(ISBLANK(INDEX(big_daily_table,MATCH(DATE(X$5,$K360,$J360),daily_dates,0),MATCH($B$3,daily_items,0))),NA(),INDEX(big_daily_table,MATCH(DATE(X$5,$K360,$J360),daily_dates,0),MATCH($B$3,daily_items,0)))</f>
        <v>#N/A</v>
      </c>
      <c r="Y360" s="1" t="e">
        <f aca="false">IF(ISBLANK(INDEX(big_daily_table,MATCH(DATE(Y$5,$K360,$J360),daily_dates,0),MATCH($B$3,daily_items,0))),NA(),INDEX(big_daily_table,MATCH(DATE(Y$5,$K360,$J360),daily_dates,0),MATCH($B$3,daily_items,0)))</f>
        <v>#N/A</v>
      </c>
      <c r="Z360" s="1" t="e">
        <f aca="false">IF(ISBLANK(INDEX(big_daily_table,MATCH(DATE(Z$5,$K360,$J360),daily_dates,0),MATCH($B$3,daily_items,0))),NA(),INDEX(big_daily_table,MATCH(DATE(Z$5,$K360,$J360),daily_dates,0),MATCH($B$3,daily_items,0)))</f>
        <v>#N/A</v>
      </c>
      <c r="AA360" s="1" t="n">
        <f aca="true">_xlfn.AGGREGATE(5,6,OFFSET($S$5,H360,0,1,$K$2))</f>
        <v>0</v>
      </c>
      <c r="AB360" s="1" t="n">
        <f aca="true">_xlfn.AGGREGATE(4,6,OFFSET($S$5,H360,0,1,$K$2))</f>
        <v>0</v>
      </c>
      <c r="AC360" s="1" t="n">
        <f aca="false">AB360-AA360</f>
        <v>0</v>
      </c>
      <c r="AD360" s="1" t="e">
        <f aca="true">_xlfn.AGGREGATE(1,6,OFFSET($S$5,H360,0,1,$K$2))</f>
        <v>#DIV/0!</v>
      </c>
    </row>
    <row r="361" customFormat="false" ht="14.25" hidden="false" customHeight="false" outlineLevel="0" collapsed="false">
      <c r="H361" s="1" t="n">
        <f aca="false">H360+1</f>
        <v>356</v>
      </c>
      <c r="I361" s="1" t="n">
        <f aca="false">WEEKDAY('daily graphs'!K361)</f>
        <v>5</v>
      </c>
      <c r="J361" s="1" t="n">
        <f aca="false">DAY(L361)</f>
        <v>16</v>
      </c>
      <c r="K361" s="1" t="n">
        <f aca="false">MONTH(L361)</f>
        <v>12</v>
      </c>
      <c r="L361" s="23" t="n">
        <f aca="false">'daily graphs'!K361 - I361</f>
        <v>36876</v>
      </c>
      <c r="M361" s="24" t="n">
        <f aca="true">IF(TODAY()&lt;DATE($O$5,K361,J361),1000000,-1000000)</f>
        <v>1000000</v>
      </c>
      <c r="N361" s="24" t="e">
        <f aca="false">IF(M361&gt;0,INDEX(big_daily_table,MATCH(DATE(O$5,$K361,$J361),daily_dates,0),MATCH($B$3,daily_items,0)),NA())</f>
        <v>#N/A</v>
      </c>
      <c r="O361" s="1" t="e">
        <f aca="false">IF(M361&lt;0,INDEX(big_daily_table,MATCH(DATE(O$5,$K361,$J361),daily_dates,0),MATCH($B$3,daily_items,0)),NA())</f>
        <v>#N/A</v>
      </c>
      <c r="P361" s="1" t="e">
        <f aca="false">IF(ISBLANK(INDEX(big_daily_table,MATCH(DATE(P$5,$K361,$J361),daily_dates,0),MATCH($B$3,daily_items,0))),NA(),INDEX(big_daily_table,MATCH(DATE(P$5,$K361,$J361),daily_dates,0),MATCH($B$3,daily_items,0)))</f>
        <v>#N/A</v>
      </c>
      <c r="Q361" s="1" t="e">
        <f aca="false">IF(ISBLANK(INDEX(big_daily_table,MATCH(DATE(Q$5,$K361,$J361),daily_dates,0),MATCH($B$3,daily_items,0))),NA(),INDEX(big_daily_table,MATCH(DATE(Q$5,$K361,$J361),daily_dates,0),MATCH($B$3,daily_items,0)))</f>
        <v>#N/A</v>
      </c>
      <c r="R361" s="1" t="e">
        <f aca="false">IF(ISBLANK(INDEX(big_daily_table,MATCH(DATE(R$5,$K361,$J361),daily_dates,0),MATCH($B$3,daily_items,0))),NA(),INDEX(big_daily_table,MATCH(DATE(R$5,$K361,$J361),daily_dates,0),MATCH($B$3,daily_items,0)))</f>
        <v>#N/A</v>
      </c>
      <c r="S361" s="1" t="e">
        <f aca="false">IF(ISBLANK(INDEX(big_daily_table,MATCH(DATE(S$5,$K361,$J361),daily_dates,0),MATCH($B$3,daily_items,0))),NA(),INDEX(big_daily_table,MATCH(DATE(S$5,$K361,$J361),daily_dates,0),MATCH($B$3,daily_items,0)))</f>
        <v>#N/A</v>
      </c>
      <c r="T361" s="1" t="e">
        <f aca="false">IF(ISBLANK(INDEX(big_daily_table,MATCH(DATE(T$5,$K361,$J361),daily_dates,0),MATCH($B$3,daily_items,0))),NA(),INDEX(big_daily_table,MATCH(DATE(T$5,$K361,$J361),daily_dates,0),MATCH($B$3,daily_items,0)))</f>
        <v>#N/A</v>
      </c>
      <c r="U361" s="1" t="e">
        <f aca="false">IF(ISBLANK(INDEX(big_daily_table,MATCH(DATE(U$5,$K361,$J361),daily_dates,0),MATCH($B$3,daily_items,0))),NA(),INDEX(big_daily_table,MATCH(DATE(U$5,$K361,$J361),daily_dates,0),MATCH($B$3,daily_items,0)))</f>
        <v>#N/A</v>
      </c>
      <c r="V361" s="1" t="e">
        <f aca="false">IF(ISBLANK(INDEX(big_daily_table,MATCH(DATE(V$5,$K361,$J361),daily_dates,0),MATCH($B$3,daily_items,0))),NA(),INDEX(big_daily_table,MATCH(DATE(V$5,$K361,$J361),daily_dates,0),MATCH($B$3,daily_items,0)))</f>
        <v>#N/A</v>
      </c>
      <c r="W361" s="1" t="e">
        <f aca="false">IF(ISBLANK(INDEX(big_daily_table,MATCH(DATE(W$5,$K361,$J361),daily_dates,0),MATCH($B$3,daily_items,0))),NA(),INDEX(big_daily_table,MATCH(DATE(W$5,$K361,$J361),daily_dates,0),MATCH($B$3,daily_items,0)))</f>
        <v>#N/A</v>
      </c>
      <c r="X361" s="1" t="e">
        <f aca="false">IF(ISBLANK(INDEX(big_daily_table,MATCH(DATE(X$5,$K361,$J361),daily_dates,0),MATCH($B$3,daily_items,0))),NA(),INDEX(big_daily_table,MATCH(DATE(X$5,$K361,$J361),daily_dates,0),MATCH($B$3,daily_items,0)))</f>
        <v>#N/A</v>
      </c>
      <c r="Y361" s="1" t="e">
        <f aca="false">IF(ISBLANK(INDEX(big_daily_table,MATCH(DATE(Y$5,$K361,$J361),daily_dates,0),MATCH($B$3,daily_items,0))),NA(),INDEX(big_daily_table,MATCH(DATE(Y$5,$K361,$J361),daily_dates,0),MATCH($B$3,daily_items,0)))</f>
        <v>#N/A</v>
      </c>
      <c r="Z361" s="1" t="e">
        <f aca="false">IF(ISBLANK(INDEX(big_daily_table,MATCH(DATE(Z$5,$K361,$J361),daily_dates,0),MATCH($B$3,daily_items,0))),NA(),INDEX(big_daily_table,MATCH(DATE(Z$5,$K361,$J361),daily_dates,0),MATCH($B$3,daily_items,0)))</f>
        <v>#N/A</v>
      </c>
      <c r="AA361" s="1" t="n">
        <f aca="true">_xlfn.AGGREGATE(5,6,OFFSET($S$5,H361,0,1,$K$2))</f>
        <v>0</v>
      </c>
      <c r="AB361" s="1" t="n">
        <f aca="true">_xlfn.AGGREGATE(4,6,OFFSET($S$5,H361,0,1,$K$2))</f>
        <v>0</v>
      </c>
      <c r="AC361" s="1" t="n">
        <f aca="false">AB361-AA361</f>
        <v>0</v>
      </c>
      <c r="AD361" s="1" t="e">
        <f aca="true">_xlfn.AGGREGATE(1,6,OFFSET($S$5,H361,0,1,$K$2))</f>
        <v>#DIV/0!</v>
      </c>
    </row>
    <row r="362" customFormat="false" ht="14.25" hidden="false" customHeight="false" outlineLevel="0" collapsed="false">
      <c r="H362" s="1" t="n">
        <f aca="false">H361+1</f>
        <v>357</v>
      </c>
      <c r="I362" s="1" t="n">
        <f aca="false">WEEKDAY('daily graphs'!K362)</f>
        <v>6</v>
      </c>
      <c r="J362" s="1" t="n">
        <f aca="false">DAY(L362)</f>
        <v>16</v>
      </c>
      <c r="K362" s="1" t="n">
        <f aca="false">MONTH(L362)</f>
        <v>12</v>
      </c>
      <c r="L362" s="23" t="n">
        <f aca="false">'daily graphs'!K362 - I362</f>
        <v>36876</v>
      </c>
      <c r="M362" s="24" t="n">
        <f aca="true">IF(TODAY()&lt;DATE($O$5,K362,J362),1000000,-1000000)</f>
        <v>1000000</v>
      </c>
      <c r="N362" s="24" t="e">
        <f aca="false">IF(M362&gt;0,INDEX(big_daily_table,MATCH(DATE(O$5,$K362,$J362),daily_dates,0),MATCH($B$3,daily_items,0)),NA())</f>
        <v>#N/A</v>
      </c>
      <c r="O362" s="1" t="e">
        <f aca="false">IF(M362&lt;0,INDEX(big_daily_table,MATCH(DATE(O$5,$K362,$J362),daily_dates,0),MATCH($B$3,daily_items,0)),NA())</f>
        <v>#N/A</v>
      </c>
      <c r="P362" s="1" t="e">
        <f aca="false">IF(ISBLANK(INDEX(big_daily_table,MATCH(DATE(P$5,$K362,$J362),daily_dates,0),MATCH($B$3,daily_items,0))),NA(),INDEX(big_daily_table,MATCH(DATE(P$5,$K362,$J362),daily_dates,0),MATCH($B$3,daily_items,0)))</f>
        <v>#N/A</v>
      </c>
      <c r="Q362" s="1" t="e">
        <f aca="false">IF(ISBLANK(INDEX(big_daily_table,MATCH(DATE(Q$5,$K362,$J362),daily_dates,0),MATCH($B$3,daily_items,0))),NA(),INDEX(big_daily_table,MATCH(DATE(Q$5,$K362,$J362),daily_dates,0),MATCH($B$3,daily_items,0)))</f>
        <v>#N/A</v>
      </c>
      <c r="R362" s="1" t="e">
        <f aca="false">IF(ISBLANK(INDEX(big_daily_table,MATCH(DATE(R$5,$K362,$J362),daily_dates,0),MATCH($B$3,daily_items,0))),NA(),INDEX(big_daily_table,MATCH(DATE(R$5,$K362,$J362),daily_dates,0),MATCH($B$3,daily_items,0)))</f>
        <v>#N/A</v>
      </c>
      <c r="S362" s="1" t="e">
        <f aca="false">IF(ISBLANK(INDEX(big_daily_table,MATCH(DATE(S$5,$K362,$J362),daily_dates,0),MATCH($B$3,daily_items,0))),NA(),INDEX(big_daily_table,MATCH(DATE(S$5,$K362,$J362),daily_dates,0),MATCH($B$3,daily_items,0)))</f>
        <v>#N/A</v>
      </c>
      <c r="T362" s="1" t="e">
        <f aca="false">IF(ISBLANK(INDEX(big_daily_table,MATCH(DATE(T$5,$K362,$J362),daily_dates,0),MATCH($B$3,daily_items,0))),NA(),INDEX(big_daily_table,MATCH(DATE(T$5,$K362,$J362),daily_dates,0),MATCH($B$3,daily_items,0)))</f>
        <v>#N/A</v>
      </c>
      <c r="U362" s="1" t="e">
        <f aca="false">IF(ISBLANK(INDEX(big_daily_table,MATCH(DATE(U$5,$K362,$J362),daily_dates,0),MATCH($B$3,daily_items,0))),NA(),INDEX(big_daily_table,MATCH(DATE(U$5,$K362,$J362),daily_dates,0),MATCH($B$3,daily_items,0)))</f>
        <v>#N/A</v>
      </c>
      <c r="V362" s="1" t="e">
        <f aca="false">IF(ISBLANK(INDEX(big_daily_table,MATCH(DATE(V$5,$K362,$J362),daily_dates,0),MATCH($B$3,daily_items,0))),NA(),INDEX(big_daily_table,MATCH(DATE(V$5,$K362,$J362),daily_dates,0),MATCH($B$3,daily_items,0)))</f>
        <v>#N/A</v>
      </c>
      <c r="W362" s="1" t="e">
        <f aca="false">IF(ISBLANK(INDEX(big_daily_table,MATCH(DATE(W$5,$K362,$J362),daily_dates,0),MATCH($B$3,daily_items,0))),NA(),INDEX(big_daily_table,MATCH(DATE(W$5,$K362,$J362),daily_dates,0),MATCH($B$3,daily_items,0)))</f>
        <v>#N/A</v>
      </c>
      <c r="X362" s="1" t="e">
        <f aca="false">IF(ISBLANK(INDEX(big_daily_table,MATCH(DATE(X$5,$K362,$J362),daily_dates,0),MATCH($B$3,daily_items,0))),NA(),INDEX(big_daily_table,MATCH(DATE(X$5,$K362,$J362),daily_dates,0),MATCH($B$3,daily_items,0)))</f>
        <v>#N/A</v>
      </c>
      <c r="Y362" s="1" t="e">
        <f aca="false">IF(ISBLANK(INDEX(big_daily_table,MATCH(DATE(Y$5,$K362,$J362),daily_dates,0),MATCH($B$3,daily_items,0))),NA(),INDEX(big_daily_table,MATCH(DATE(Y$5,$K362,$J362),daily_dates,0),MATCH($B$3,daily_items,0)))</f>
        <v>#N/A</v>
      </c>
      <c r="Z362" s="1" t="e">
        <f aca="false">IF(ISBLANK(INDEX(big_daily_table,MATCH(DATE(Z$5,$K362,$J362),daily_dates,0),MATCH($B$3,daily_items,0))),NA(),INDEX(big_daily_table,MATCH(DATE(Z$5,$K362,$J362),daily_dates,0),MATCH($B$3,daily_items,0)))</f>
        <v>#N/A</v>
      </c>
      <c r="AA362" s="1" t="n">
        <f aca="true">_xlfn.AGGREGATE(5,6,OFFSET($S$5,H362,0,1,$K$2))</f>
        <v>0</v>
      </c>
      <c r="AB362" s="1" t="n">
        <f aca="true">_xlfn.AGGREGATE(4,6,OFFSET($S$5,H362,0,1,$K$2))</f>
        <v>0</v>
      </c>
      <c r="AC362" s="1" t="n">
        <f aca="false">AB362-AA362</f>
        <v>0</v>
      </c>
      <c r="AD362" s="1" t="e">
        <f aca="true">_xlfn.AGGREGATE(1,6,OFFSET($S$5,H362,0,1,$K$2))</f>
        <v>#DIV/0!</v>
      </c>
    </row>
    <row r="363" customFormat="false" ht="14.25" hidden="false" customHeight="false" outlineLevel="0" collapsed="false">
      <c r="H363" s="1" t="n">
        <f aca="false">H362+1</f>
        <v>358</v>
      </c>
      <c r="I363" s="1" t="n">
        <f aca="false">WEEKDAY('daily graphs'!K363)</f>
        <v>7</v>
      </c>
      <c r="J363" s="1" t="n">
        <f aca="false">DAY(L363)</f>
        <v>16</v>
      </c>
      <c r="K363" s="1" t="n">
        <f aca="false">MONTH(L363)</f>
        <v>12</v>
      </c>
      <c r="L363" s="23" t="n">
        <f aca="false">'daily graphs'!K363 - I363</f>
        <v>36876</v>
      </c>
      <c r="M363" s="24" t="n">
        <f aca="true">IF(TODAY()&lt;DATE($O$5,K363,J363),1000000,-1000000)</f>
        <v>1000000</v>
      </c>
      <c r="N363" s="24" t="e">
        <f aca="false">IF(M363&gt;0,INDEX(big_daily_table,MATCH(DATE(O$5,$K363,$J363),daily_dates,0),MATCH($B$3,daily_items,0)),NA())</f>
        <v>#N/A</v>
      </c>
      <c r="O363" s="1" t="e">
        <f aca="false">IF(M363&lt;0,INDEX(big_daily_table,MATCH(DATE(O$5,$K363,$J363),daily_dates,0),MATCH($B$3,daily_items,0)),NA())</f>
        <v>#N/A</v>
      </c>
      <c r="P363" s="1" t="e">
        <f aca="false">IF(ISBLANK(INDEX(big_daily_table,MATCH(DATE(P$5,$K363,$J363),daily_dates,0),MATCH($B$3,daily_items,0))),NA(),INDEX(big_daily_table,MATCH(DATE(P$5,$K363,$J363),daily_dates,0),MATCH($B$3,daily_items,0)))</f>
        <v>#N/A</v>
      </c>
      <c r="Q363" s="1" t="e">
        <f aca="false">IF(ISBLANK(INDEX(big_daily_table,MATCH(DATE(Q$5,$K363,$J363),daily_dates,0),MATCH($B$3,daily_items,0))),NA(),INDEX(big_daily_table,MATCH(DATE(Q$5,$K363,$J363),daily_dates,0),MATCH($B$3,daily_items,0)))</f>
        <v>#N/A</v>
      </c>
      <c r="R363" s="1" t="e">
        <f aca="false">IF(ISBLANK(INDEX(big_daily_table,MATCH(DATE(R$5,$K363,$J363),daily_dates,0),MATCH($B$3,daily_items,0))),NA(),INDEX(big_daily_table,MATCH(DATE(R$5,$K363,$J363),daily_dates,0),MATCH($B$3,daily_items,0)))</f>
        <v>#N/A</v>
      </c>
      <c r="S363" s="1" t="e">
        <f aca="false">IF(ISBLANK(INDEX(big_daily_table,MATCH(DATE(S$5,$K363,$J363),daily_dates,0),MATCH($B$3,daily_items,0))),NA(),INDEX(big_daily_table,MATCH(DATE(S$5,$K363,$J363),daily_dates,0),MATCH($B$3,daily_items,0)))</f>
        <v>#N/A</v>
      </c>
      <c r="T363" s="1" t="e">
        <f aca="false">IF(ISBLANK(INDEX(big_daily_table,MATCH(DATE(T$5,$K363,$J363),daily_dates,0),MATCH($B$3,daily_items,0))),NA(),INDEX(big_daily_table,MATCH(DATE(T$5,$K363,$J363),daily_dates,0),MATCH($B$3,daily_items,0)))</f>
        <v>#N/A</v>
      </c>
      <c r="U363" s="1" t="e">
        <f aca="false">IF(ISBLANK(INDEX(big_daily_table,MATCH(DATE(U$5,$K363,$J363),daily_dates,0),MATCH($B$3,daily_items,0))),NA(),INDEX(big_daily_table,MATCH(DATE(U$5,$K363,$J363),daily_dates,0),MATCH($B$3,daily_items,0)))</f>
        <v>#N/A</v>
      </c>
      <c r="V363" s="1" t="e">
        <f aca="false">IF(ISBLANK(INDEX(big_daily_table,MATCH(DATE(V$5,$K363,$J363),daily_dates,0),MATCH($B$3,daily_items,0))),NA(),INDEX(big_daily_table,MATCH(DATE(V$5,$K363,$J363),daily_dates,0),MATCH($B$3,daily_items,0)))</f>
        <v>#N/A</v>
      </c>
      <c r="W363" s="1" t="e">
        <f aca="false">IF(ISBLANK(INDEX(big_daily_table,MATCH(DATE(W$5,$K363,$J363),daily_dates,0),MATCH($B$3,daily_items,0))),NA(),INDEX(big_daily_table,MATCH(DATE(W$5,$K363,$J363),daily_dates,0),MATCH($B$3,daily_items,0)))</f>
        <v>#N/A</v>
      </c>
      <c r="X363" s="1" t="e">
        <f aca="false">IF(ISBLANK(INDEX(big_daily_table,MATCH(DATE(X$5,$K363,$J363),daily_dates,0),MATCH($B$3,daily_items,0))),NA(),INDEX(big_daily_table,MATCH(DATE(X$5,$K363,$J363),daily_dates,0),MATCH($B$3,daily_items,0)))</f>
        <v>#N/A</v>
      </c>
      <c r="Y363" s="1" t="e">
        <f aca="false">IF(ISBLANK(INDEX(big_daily_table,MATCH(DATE(Y$5,$K363,$J363),daily_dates,0),MATCH($B$3,daily_items,0))),NA(),INDEX(big_daily_table,MATCH(DATE(Y$5,$K363,$J363),daily_dates,0),MATCH($B$3,daily_items,0)))</f>
        <v>#N/A</v>
      </c>
      <c r="Z363" s="1" t="e">
        <f aca="false">IF(ISBLANK(INDEX(big_daily_table,MATCH(DATE(Z$5,$K363,$J363),daily_dates,0),MATCH($B$3,daily_items,0))),NA(),INDEX(big_daily_table,MATCH(DATE(Z$5,$K363,$J363),daily_dates,0),MATCH($B$3,daily_items,0)))</f>
        <v>#N/A</v>
      </c>
      <c r="AA363" s="1" t="n">
        <f aca="true">_xlfn.AGGREGATE(5,6,OFFSET($S$5,H363,0,1,$K$2))</f>
        <v>0</v>
      </c>
      <c r="AB363" s="1" t="n">
        <f aca="true">_xlfn.AGGREGATE(4,6,OFFSET($S$5,H363,0,1,$K$2))</f>
        <v>0</v>
      </c>
      <c r="AC363" s="1" t="n">
        <f aca="false">AB363-AA363</f>
        <v>0</v>
      </c>
      <c r="AD363" s="1" t="e">
        <f aca="true">_xlfn.AGGREGATE(1,6,OFFSET($S$5,H363,0,1,$K$2))</f>
        <v>#DIV/0!</v>
      </c>
    </row>
    <row r="364" customFormat="false" ht="14.25" hidden="false" customHeight="false" outlineLevel="0" collapsed="false">
      <c r="H364" s="1" t="n">
        <f aca="false">H363+1</f>
        <v>359</v>
      </c>
      <c r="I364" s="1" t="n">
        <f aca="false">WEEKDAY('daily graphs'!K364)</f>
        <v>1</v>
      </c>
      <c r="J364" s="1" t="n">
        <f aca="false">DAY(L364)</f>
        <v>23</v>
      </c>
      <c r="K364" s="1" t="n">
        <f aca="false">MONTH(L364)</f>
        <v>12</v>
      </c>
      <c r="L364" s="23" t="n">
        <f aca="false">'daily graphs'!K364 - I364</f>
        <v>36883</v>
      </c>
      <c r="M364" s="24" t="n">
        <f aca="true">IF(TODAY()&lt;DATE($O$5,K364,J364),1000000,-1000000)</f>
        <v>1000000</v>
      </c>
      <c r="N364" s="24" t="e">
        <f aca="false">IF(M364&gt;0,INDEX(big_daily_table,MATCH(DATE(O$5,$K364,$J364),daily_dates,0),MATCH($B$3,daily_items,0)),NA())</f>
        <v>#N/A</v>
      </c>
      <c r="O364" s="1" t="e">
        <f aca="false">IF(M364&lt;0,INDEX(big_daily_table,MATCH(DATE(O$5,$K364,$J364),daily_dates,0),MATCH($B$3,daily_items,0)),NA())</f>
        <v>#N/A</v>
      </c>
      <c r="P364" s="1" t="e">
        <f aca="false">IF(ISBLANK(INDEX(big_daily_table,MATCH(DATE(P$5,$K364,$J364),daily_dates,0),MATCH($B$3,daily_items,0))),NA(),INDEX(big_daily_table,MATCH(DATE(P$5,$K364,$J364),daily_dates,0),MATCH($B$3,daily_items,0)))</f>
        <v>#N/A</v>
      </c>
      <c r="Q364" s="1" t="e">
        <f aca="false">IF(ISBLANK(INDEX(big_daily_table,MATCH(DATE(Q$5,$K364,$J364),daily_dates,0),MATCH($B$3,daily_items,0))),NA(),INDEX(big_daily_table,MATCH(DATE(Q$5,$K364,$J364),daily_dates,0),MATCH($B$3,daily_items,0)))</f>
        <v>#N/A</v>
      </c>
      <c r="R364" s="1" t="e">
        <f aca="false">IF(ISBLANK(INDEX(big_daily_table,MATCH(DATE(R$5,$K364,$J364),daily_dates,0),MATCH($B$3,daily_items,0))),NA(),INDEX(big_daily_table,MATCH(DATE(R$5,$K364,$J364),daily_dates,0),MATCH($B$3,daily_items,0)))</f>
        <v>#N/A</v>
      </c>
      <c r="S364" s="1" t="e">
        <f aca="false">IF(ISBLANK(INDEX(big_daily_table,MATCH(DATE(S$5,$K364,$J364),daily_dates,0),MATCH($B$3,daily_items,0))),NA(),INDEX(big_daily_table,MATCH(DATE(S$5,$K364,$J364),daily_dates,0),MATCH($B$3,daily_items,0)))</f>
        <v>#N/A</v>
      </c>
      <c r="T364" s="1" t="e">
        <f aca="false">IF(ISBLANK(INDEX(big_daily_table,MATCH(DATE(T$5,$K364,$J364),daily_dates,0),MATCH($B$3,daily_items,0))),NA(),INDEX(big_daily_table,MATCH(DATE(T$5,$K364,$J364),daily_dates,0),MATCH($B$3,daily_items,0)))</f>
        <v>#N/A</v>
      </c>
      <c r="U364" s="1" t="e">
        <f aca="false">IF(ISBLANK(INDEX(big_daily_table,MATCH(DATE(U$5,$K364,$J364),daily_dates,0),MATCH($B$3,daily_items,0))),NA(),INDEX(big_daily_table,MATCH(DATE(U$5,$K364,$J364),daily_dates,0),MATCH($B$3,daily_items,0)))</f>
        <v>#N/A</v>
      </c>
      <c r="V364" s="1" t="e">
        <f aca="false">IF(ISBLANK(INDEX(big_daily_table,MATCH(DATE(V$5,$K364,$J364),daily_dates,0),MATCH($B$3,daily_items,0))),NA(),INDEX(big_daily_table,MATCH(DATE(V$5,$K364,$J364),daily_dates,0),MATCH($B$3,daily_items,0)))</f>
        <v>#N/A</v>
      </c>
      <c r="W364" s="1" t="e">
        <f aca="false">IF(ISBLANK(INDEX(big_daily_table,MATCH(DATE(W$5,$K364,$J364),daily_dates,0),MATCH($B$3,daily_items,0))),NA(),INDEX(big_daily_table,MATCH(DATE(W$5,$K364,$J364),daily_dates,0),MATCH($B$3,daily_items,0)))</f>
        <v>#N/A</v>
      </c>
      <c r="X364" s="1" t="e">
        <f aca="false">IF(ISBLANK(INDEX(big_daily_table,MATCH(DATE(X$5,$K364,$J364),daily_dates,0),MATCH($B$3,daily_items,0))),NA(),INDEX(big_daily_table,MATCH(DATE(X$5,$K364,$J364),daily_dates,0),MATCH($B$3,daily_items,0)))</f>
        <v>#N/A</v>
      </c>
      <c r="Y364" s="1" t="e">
        <f aca="false">IF(ISBLANK(INDEX(big_daily_table,MATCH(DATE(Y$5,$K364,$J364),daily_dates,0),MATCH($B$3,daily_items,0))),NA(),INDEX(big_daily_table,MATCH(DATE(Y$5,$K364,$J364),daily_dates,0),MATCH($B$3,daily_items,0)))</f>
        <v>#N/A</v>
      </c>
      <c r="Z364" s="1" t="e">
        <f aca="false">IF(ISBLANK(INDEX(big_daily_table,MATCH(DATE(Z$5,$K364,$J364),daily_dates,0),MATCH($B$3,daily_items,0))),NA(),INDEX(big_daily_table,MATCH(DATE(Z$5,$K364,$J364),daily_dates,0),MATCH($B$3,daily_items,0)))</f>
        <v>#N/A</v>
      </c>
      <c r="AA364" s="1" t="n">
        <f aca="true">_xlfn.AGGREGATE(5,6,OFFSET($S$5,H364,0,1,$K$2))</f>
        <v>0</v>
      </c>
      <c r="AB364" s="1" t="n">
        <f aca="true">_xlfn.AGGREGATE(4,6,OFFSET($S$5,H364,0,1,$K$2))</f>
        <v>0</v>
      </c>
      <c r="AC364" s="1" t="n">
        <f aca="false">AB364-AA364</f>
        <v>0</v>
      </c>
      <c r="AD364" s="1" t="e">
        <f aca="true">_xlfn.AGGREGATE(1,6,OFFSET($S$5,H364,0,1,$K$2))</f>
        <v>#DIV/0!</v>
      </c>
    </row>
    <row r="365" customFormat="false" ht="14.25" hidden="false" customHeight="false" outlineLevel="0" collapsed="false">
      <c r="H365" s="1" t="n">
        <f aca="false">H364+1</f>
        <v>360</v>
      </c>
      <c r="I365" s="1" t="n">
        <f aca="false">WEEKDAY('daily graphs'!K365)</f>
        <v>2</v>
      </c>
      <c r="J365" s="1" t="n">
        <f aca="false">DAY(L365)</f>
        <v>23</v>
      </c>
      <c r="K365" s="1" t="n">
        <f aca="false">MONTH(L365)</f>
        <v>12</v>
      </c>
      <c r="L365" s="23" t="n">
        <f aca="false">'daily graphs'!K365 - I365</f>
        <v>36883</v>
      </c>
      <c r="M365" s="24" t="n">
        <f aca="true">IF(TODAY()&lt;DATE($O$5,K365,J365),1000000,-1000000)</f>
        <v>1000000</v>
      </c>
      <c r="N365" s="24" t="e">
        <f aca="false">IF(M365&gt;0,INDEX(big_daily_table,MATCH(DATE(O$5,$K365,$J365),daily_dates,0),MATCH($B$3,daily_items,0)),NA())</f>
        <v>#N/A</v>
      </c>
      <c r="O365" s="1" t="e">
        <f aca="false">IF(M365&lt;0,INDEX(big_daily_table,MATCH(DATE(O$5,$K365,$J365),daily_dates,0),MATCH($B$3,daily_items,0)),NA())</f>
        <v>#N/A</v>
      </c>
      <c r="P365" s="1" t="e">
        <f aca="false">IF(ISBLANK(INDEX(big_daily_table,MATCH(DATE(P$5,$K365,$J365),daily_dates,0),MATCH($B$3,daily_items,0))),NA(),INDEX(big_daily_table,MATCH(DATE(P$5,$K365,$J365),daily_dates,0),MATCH($B$3,daily_items,0)))</f>
        <v>#N/A</v>
      </c>
      <c r="Q365" s="1" t="e">
        <f aca="false">IF(ISBLANK(INDEX(big_daily_table,MATCH(DATE(Q$5,$K365,$J365),daily_dates,0),MATCH($B$3,daily_items,0))),NA(),INDEX(big_daily_table,MATCH(DATE(Q$5,$K365,$J365),daily_dates,0),MATCH($B$3,daily_items,0)))</f>
        <v>#N/A</v>
      </c>
      <c r="R365" s="1" t="e">
        <f aca="false">IF(ISBLANK(INDEX(big_daily_table,MATCH(DATE(R$5,$K365,$J365),daily_dates,0),MATCH($B$3,daily_items,0))),NA(),INDEX(big_daily_table,MATCH(DATE(R$5,$K365,$J365),daily_dates,0),MATCH($B$3,daily_items,0)))</f>
        <v>#N/A</v>
      </c>
      <c r="S365" s="1" t="e">
        <f aca="false">IF(ISBLANK(INDEX(big_daily_table,MATCH(DATE(S$5,$K365,$J365),daily_dates,0),MATCH($B$3,daily_items,0))),NA(),INDEX(big_daily_table,MATCH(DATE(S$5,$K365,$J365),daily_dates,0),MATCH($B$3,daily_items,0)))</f>
        <v>#N/A</v>
      </c>
      <c r="T365" s="1" t="e">
        <f aca="false">IF(ISBLANK(INDEX(big_daily_table,MATCH(DATE(T$5,$K365,$J365),daily_dates,0),MATCH($B$3,daily_items,0))),NA(),INDEX(big_daily_table,MATCH(DATE(T$5,$K365,$J365),daily_dates,0),MATCH($B$3,daily_items,0)))</f>
        <v>#N/A</v>
      </c>
      <c r="U365" s="1" t="e">
        <f aca="false">IF(ISBLANK(INDEX(big_daily_table,MATCH(DATE(U$5,$K365,$J365),daily_dates,0),MATCH($B$3,daily_items,0))),NA(),INDEX(big_daily_table,MATCH(DATE(U$5,$K365,$J365),daily_dates,0),MATCH($B$3,daily_items,0)))</f>
        <v>#N/A</v>
      </c>
      <c r="V365" s="1" t="e">
        <f aca="false">IF(ISBLANK(INDEX(big_daily_table,MATCH(DATE(V$5,$K365,$J365),daily_dates,0),MATCH($B$3,daily_items,0))),NA(),INDEX(big_daily_table,MATCH(DATE(V$5,$K365,$J365),daily_dates,0),MATCH($B$3,daily_items,0)))</f>
        <v>#N/A</v>
      </c>
      <c r="W365" s="1" t="e">
        <f aca="false">IF(ISBLANK(INDEX(big_daily_table,MATCH(DATE(W$5,$K365,$J365),daily_dates,0),MATCH($B$3,daily_items,0))),NA(),INDEX(big_daily_table,MATCH(DATE(W$5,$K365,$J365),daily_dates,0),MATCH($B$3,daily_items,0)))</f>
        <v>#N/A</v>
      </c>
      <c r="X365" s="1" t="e">
        <f aca="false">IF(ISBLANK(INDEX(big_daily_table,MATCH(DATE(X$5,$K365,$J365),daily_dates,0),MATCH($B$3,daily_items,0))),NA(),INDEX(big_daily_table,MATCH(DATE(X$5,$K365,$J365),daily_dates,0),MATCH($B$3,daily_items,0)))</f>
        <v>#N/A</v>
      </c>
      <c r="Y365" s="1" t="e">
        <f aca="false">IF(ISBLANK(INDEX(big_daily_table,MATCH(DATE(Y$5,$K365,$J365),daily_dates,0),MATCH($B$3,daily_items,0))),NA(),INDEX(big_daily_table,MATCH(DATE(Y$5,$K365,$J365),daily_dates,0),MATCH($B$3,daily_items,0)))</f>
        <v>#N/A</v>
      </c>
      <c r="Z365" s="1" t="e">
        <f aca="false">IF(ISBLANK(INDEX(big_daily_table,MATCH(DATE(Z$5,$K365,$J365),daily_dates,0),MATCH($B$3,daily_items,0))),NA(),INDEX(big_daily_table,MATCH(DATE(Z$5,$K365,$J365),daily_dates,0),MATCH($B$3,daily_items,0)))</f>
        <v>#N/A</v>
      </c>
      <c r="AA365" s="1" t="n">
        <f aca="true">_xlfn.AGGREGATE(5,6,OFFSET($S$5,H365,0,1,$K$2))</f>
        <v>0</v>
      </c>
      <c r="AB365" s="1" t="n">
        <f aca="true">_xlfn.AGGREGATE(4,6,OFFSET($S$5,H365,0,1,$K$2))</f>
        <v>0</v>
      </c>
      <c r="AC365" s="1" t="n">
        <f aca="false">AB365-AA365</f>
        <v>0</v>
      </c>
      <c r="AD365" s="1" t="e">
        <f aca="true">_xlfn.AGGREGATE(1,6,OFFSET($S$5,H365,0,1,$K$2))</f>
        <v>#DIV/0!</v>
      </c>
    </row>
    <row r="366" customFormat="false" ht="14.25" hidden="false" customHeight="false" outlineLevel="0" collapsed="false">
      <c r="H366" s="1" t="n">
        <f aca="false">H365+1</f>
        <v>361</v>
      </c>
      <c r="I366" s="1" t="n">
        <f aca="false">WEEKDAY('daily graphs'!K366)</f>
        <v>3</v>
      </c>
      <c r="J366" s="1" t="n">
        <f aca="false">DAY(L366)</f>
        <v>23</v>
      </c>
      <c r="K366" s="1" t="n">
        <f aca="false">MONTH(L366)</f>
        <v>12</v>
      </c>
      <c r="L366" s="23" t="n">
        <f aca="false">'daily graphs'!K366 - I366</f>
        <v>36883</v>
      </c>
      <c r="M366" s="24" t="n">
        <f aca="true">IF(TODAY()&lt;DATE($O$5,K366,J366),1000000,-1000000)</f>
        <v>1000000</v>
      </c>
      <c r="N366" s="24" t="e">
        <f aca="false">IF(M366&gt;0,INDEX(big_daily_table,MATCH(DATE(O$5,$K366,$J366),daily_dates,0),MATCH($B$3,daily_items,0)),NA())</f>
        <v>#N/A</v>
      </c>
      <c r="O366" s="1" t="e">
        <f aca="false">IF(M366&lt;0,INDEX(big_daily_table,MATCH(DATE(O$5,$K366,$J366),daily_dates,0),MATCH($B$3,daily_items,0)),NA())</f>
        <v>#N/A</v>
      </c>
      <c r="P366" s="1" t="e">
        <f aca="false">IF(ISBLANK(INDEX(big_daily_table,MATCH(DATE(P$5,$K366,$J366),daily_dates,0),MATCH($B$3,daily_items,0))),NA(),INDEX(big_daily_table,MATCH(DATE(P$5,$K366,$J366),daily_dates,0),MATCH($B$3,daily_items,0)))</f>
        <v>#N/A</v>
      </c>
      <c r="Q366" s="1" t="e">
        <f aca="false">IF(ISBLANK(INDEX(big_daily_table,MATCH(DATE(Q$5,$K366,$J366),daily_dates,0),MATCH($B$3,daily_items,0))),NA(),INDEX(big_daily_table,MATCH(DATE(Q$5,$K366,$J366),daily_dates,0),MATCH($B$3,daily_items,0)))</f>
        <v>#N/A</v>
      </c>
      <c r="R366" s="1" t="e">
        <f aca="false">IF(ISBLANK(INDEX(big_daily_table,MATCH(DATE(R$5,$K366,$J366),daily_dates,0),MATCH($B$3,daily_items,0))),NA(),INDEX(big_daily_table,MATCH(DATE(R$5,$K366,$J366),daily_dates,0),MATCH($B$3,daily_items,0)))</f>
        <v>#N/A</v>
      </c>
      <c r="S366" s="1" t="e">
        <f aca="false">IF(ISBLANK(INDEX(big_daily_table,MATCH(DATE(S$5,$K366,$J366),daily_dates,0),MATCH($B$3,daily_items,0))),NA(),INDEX(big_daily_table,MATCH(DATE(S$5,$K366,$J366),daily_dates,0),MATCH($B$3,daily_items,0)))</f>
        <v>#N/A</v>
      </c>
      <c r="T366" s="1" t="e">
        <f aca="false">IF(ISBLANK(INDEX(big_daily_table,MATCH(DATE(T$5,$K366,$J366),daily_dates,0),MATCH($B$3,daily_items,0))),NA(),INDEX(big_daily_table,MATCH(DATE(T$5,$K366,$J366),daily_dates,0),MATCH($B$3,daily_items,0)))</f>
        <v>#N/A</v>
      </c>
      <c r="U366" s="1" t="e">
        <f aca="false">IF(ISBLANK(INDEX(big_daily_table,MATCH(DATE(U$5,$K366,$J366),daily_dates,0),MATCH($B$3,daily_items,0))),NA(),INDEX(big_daily_table,MATCH(DATE(U$5,$K366,$J366),daily_dates,0),MATCH($B$3,daily_items,0)))</f>
        <v>#N/A</v>
      </c>
      <c r="V366" s="1" t="e">
        <f aca="false">IF(ISBLANK(INDEX(big_daily_table,MATCH(DATE(V$5,$K366,$J366),daily_dates,0),MATCH($B$3,daily_items,0))),NA(),INDEX(big_daily_table,MATCH(DATE(V$5,$K366,$J366),daily_dates,0),MATCH($B$3,daily_items,0)))</f>
        <v>#N/A</v>
      </c>
      <c r="W366" s="1" t="e">
        <f aca="false">IF(ISBLANK(INDEX(big_daily_table,MATCH(DATE(W$5,$K366,$J366),daily_dates,0),MATCH($B$3,daily_items,0))),NA(),INDEX(big_daily_table,MATCH(DATE(W$5,$K366,$J366),daily_dates,0),MATCH($B$3,daily_items,0)))</f>
        <v>#N/A</v>
      </c>
      <c r="X366" s="1" t="e">
        <f aca="false">IF(ISBLANK(INDEX(big_daily_table,MATCH(DATE(X$5,$K366,$J366),daily_dates,0),MATCH($B$3,daily_items,0))),NA(),INDEX(big_daily_table,MATCH(DATE(X$5,$K366,$J366),daily_dates,0),MATCH($B$3,daily_items,0)))</f>
        <v>#N/A</v>
      </c>
      <c r="Y366" s="1" t="e">
        <f aca="false">IF(ISBLANK(INDEX(big_daily_table,MATCH(DATE(Y$5,$K366,$J366),daily_dates,0),MATCH($B$3,daily_items,0))),NA(),INDEX(big_daily_table,MATCH(DATE(Y$5,$K366,$J366),daily_dates,0),MATCH($B$3,daily_items,0)))</f>
        <v>#N/A</v>
      </c>
      <c r="Z366" s="1" t="e">
        <f aca="false">IF(ISBLANK(INDEX(big_daily_table,MATCH(DATE(Z$5,$K366,$J366),daily_dates,0),MATCH($B$3,daily_items,0))),NA(),INDEX(big_daily_table,MATCH(DATE(Z$5,$K366,$J366),daily_dates,0),MATCH($B$3,daily_items,0)))</f>
        <v>#N/A</v>
      </c>
      <c r="AA366" s="1" t="n">
        <f aca="true">_xlfn.AGGREGATE(5,6,OFFSET($S$5,H366,0,1,$K$2))</f>
        <v>0</v>
      </c>
      <c r="AB366" s="1" t="n">
        <f aca="true">_xlfn.AGGREGATE(4,6,OFFSET($S$5,H366,0,1,$K$2))</f>
        <v>0</v>
      </c>
      <c r="AC366" s="1" t="n">
        <f aca="false">AB366-AA366</f>
        <v>0</v>
      </c>
      <c r="AD366" s="1" t="e">
        <f aca="true">_xlfn.AGGREGATE(1,6,OFFSET($S$5,H366,0,1,$K$2))</f>
        <v>#DIV/0!</v>
      </c>
    </row>
    <row r="367" customFormat="false" ht="14.25" hidden="false" customHeight="false" outlineLevel="0" collapsed="false">
      <c r="H367" s="1" t="n">
        <f aca="false">H366+1</f>
        <v>362</v>
      </c>
      <c r="I367" s="1" t="n">
        <f aca="false">WEEKDAY('daily graphs'!K367)</f>
        <v>4</v>
      </c>
      <c r="J367" s="1" t="n">
        <f aca="false">DAY(L367)</f>
        <v>23</v>
      </c>
      <c r="K367" s="1" t="n">
        <f aca="false">MONTH(L367)</f>
        <v>12</v>
      </c>
      <c r="L367" s="23" t="n">
        <f aca="false">'daily graphs'!K367 - I367</f>
        <v>36883</v>
      </c>
      <c r="M367" s="24" t="n">
        <f aca="true">IF(TODAY()&lt;DATE($O$5,K367,J367),1000000,-1000000)</f>
        <v>1000000</v>
      </c>
      <c r="N367" s="24" t="e">
        <f aca="false">IF(M367&gt;0,INDEX(big_daily_table,MATCH(DATE(O$5,$K367,$J367),daily_dates,0),MATCH($B$3,daily_items,0)),NA())</f>
        <v>#N/A</v>
      </c>
      <c r="O367" s="1" t="e">
        <f aca="false">IF(M367&lt;0,INDEX(big_daily_table,MATCH(DATE(O$5,$K367,$J367),daily_dates,0),MATCH($B$3,daily_items,0)),NA())</f>
        <v>#N/A</v>
      </c>
      <c r="P367" s="1" t="e">
        <f aca="false">IF(ISBLANK(INDEX(big_daily_table,MATCH(DATE(P$5,$K367,$J367),daily_dates,0),MATCH($B$3,daily_items,0))),NA(),INDEX(big_daily_table,MATCH(DATE(P$5,$K367,$J367),daily_dates,0),MATCH($B$3,daily_items,0)))</f>
        <v>#N/A</v>
      </c>
      <c r="Q367" s="1" t="e">
        <f aca="false">IF(ISBLANK(INDEX(big_daily_table,MATCH(DATE(Q$5,$K367,$J367),daily_dates,0),MATCH($B$3,daily_items,0))),NA(),INDEX(big_daily_table,MATCH(DATE(Q$5,$K367,$J367),daily_dates,0),MATCH($B$3,daily_items,0)))</f>
        <v>#N/A</v>
      </c>
      <c r="R367" s="1" t="e">
        <f aca="false">IF(ISBLANK(INDEX(big_daily_table,MATCH(DATE(R$5,$K367,$J367),daily_dates,0),MATCH($B$3,daily_items,0))),NA(),INDEX(big_daily_table,MATCH(DATE(R$5,$K367,$J367),daily_dates,0),MATCH($B$3,daily_items,0)))</f>
        <v>#N/A</v>
      </c>
      <c r="S367" s="1" t="e">
        <f aca="false">IF(ISBLANK(INDEX(big_daily_table,MATCH(DATE(S$5,$K367,$J367),daily_dates,0),MATCH($B$3,daily_items,0))),NA(),INDEX(big_daily_table,MATCH(DATE(S$5,$K367,$J367),daily_dates,0),MATCH($B$3,daily_items,0)))</f>
        <v>#N/A</v>
      </c>
      <c r="T367" s="1" t="e">
        <f aca="false">IF(ISBLANK(INDEX(big_daily_table,MATCH(DATE(T$5,$K367,$J367),daily_dates,0),MATCH($B$3,daily_items,0))),NA(),INDEX(big_daily_table,MATCH(DATE(T$5,$K367,$J367),daily_dates,0),MATCH($B$3,daily_items,0)))</f>
        <v>#N/A</v>
      </c>
      <c r="U367" s="1" t="e">
        <f aca="false">IF(ISBLANK(INDEX(big_daily_table,MATCH(DATE(U$5,$K367,$J367),daily_dates,0),MATCH($B$3,daily_items,0))),NA(),INDEX(big_daily_table,MATCH(DATE(U$5,$K367,$J367),daily_dates,0),MATCH($B$3,daily_items,0)))</f>
        <v>#N/A</v>
      </c>
      <c r="V367" s="1" t="e">
        <f aca="false">IF(ISBLANK(INDEX(big_daily_table,MATCH(DATE(V$5,$K367,$J367),daily_dates,0),MATCH($B$3,daily_items,0))),NA(),INDEX(big_daily_table,MATCH(DATE(V$5,$K367,$J367),daily_dates,0),MATCH($B$3,daily_items,0)))</f>
        <v>#N/A</v>
      </c>
      <c r="W367" s="1" t="e">
        <f aca="false">IF(ISBLANK(INDEX(big_daily_table,MATCH(DATE(W$5,$K367,$J367),daily_dates,0),MATCH($B$3,daily_items,0))),NA(),INDEX(big_daily_table,MATCH(DATE(W$5,$K367,$J367),daily_dates,0),MATCH($B$3,daily_items,0)))</f>
        <v>#N/A</v>
      </c>
      <c r="X367" s="1" t="e">
        <f aca="false">IF(ISBLANK(INDEX(big_daily_table,MATCH(DATE(X$5,$K367,$J367),daily_dates,0),MATCH($B$3,daily_items,0))),NA(),INDEX(big_daily_table,MATCH(DATE(X$5,$K367,$J367),daily_dates,0),MATCH($B$3,daily_items,0)))</f>
        <v>#N/A</v>
      </c>
      <c r="Y367" s="1" t="e">
        <f aca="false">IF(ISBLANK(INDEX(big_daily_table,MATCH(DATE(Y$5,$K367,$J367),daily_dates,0),MATCH($B$3,daily_items,0))),NA(),INDEX(big_daily_table,MATCH(DATE(Y$5,$K367,$J367),daily_dates,0),MATCH($B$3,daily_items,0)))</f>
        <v>#N/A</v>
      </c>
      <c r="Z367" s="1" t="e">
        <f aca="false">IF(ISBLANK(INDEX(big_daily_table,MATCH(DATE(Z$5,$K367,$J367),daily_dates,0),MATCH($B$3,daily_items,0))),NA(),INDEX(big_daily_table,MATCH(DATE(Z$5,$K367,$J367),daily_dates,0),MATCH($B$3,daily_items,0)))</f>
        <v>#N/A</v>
      </c>
      <c r="AA367" s="1" t="n">
        <f aca="true">_xlfn.AGGREGATE(5,6,OFFSET($S$5,H367,0,1,$K$2))</f>
        <v>0</v>
      </c>
      <c r="AB367" s="1" t="n">
        <f aca="true">_xlfn.AGGREGATE(4,6,OFFSET($S$5,H367,0,1,$K$2))</f>
        <v>0</v>
      </c>
      <c r="AC367" s="1" t="n">
        <f aca="false">AB367-AA367</f>
        <v>0</v>
      </c>
      <c r="AD367" s="1" t="e">
        <f aca="true">_xlfn.AGGREGATE(1,6,OFFSET($S$5,H367,0,1,$K$2))</f>
        <v>#DIV/0!</v>
      </c>
    </row>
    <row r="368" customFormat="false" ht="14.25" hidden="false" customHeight="false" outlineLevel="0" collapsed="false">
      <c r="H368" s="1" t="n">
        <f aca="false">H367+1</f>
        <v>363</v>
      </c>
      <c r="I368" s="1" t="n">
        <f aca="false">WEEKDAY('daily graphs'!K368)</f>
        <v>5</v>
      </c>
      <c r="J368" s="1" t="n">
        <f aca="false">DAY(L368)</f>
        <v>23</v>
      </c>
      <c r="K368" s="1" t="n">
        <f aca="false">MONTH(L368)</f>
        <v>12</v>
      </c>
      <c r="L368" s="23" t="n">
        <f aca="false">'daily graphs'!K368 - I368</f>
        <v>36883</v>
      </c>
      <c r="M368" s="24" t="n">
        <f aca="true">IF(TODAY()&lt;DATE($O$5,K368,J368),1000000,-1000000)</f>
        <v>1000000</v>
      </c>
      <c r="N368" s="24" t="e">
        <f aca="false">IF(M368&gt;0,INDEX(big_daily_table,MATCH(DATE(O$5,$K368,$J368),daily_dates,0),MATCH($B$3,daily_items,0)),NA())</f>
        <v>#N/A</v>
      </c>
      <c r="O368" s="1" t="e">
        <f aca="false">IF(M368&lt;0,INDEX(big_daily_table,MATCH(DATE(O$5,$K368,$J368),daily_dates,0),MATCH($B$3,daily_items,0)),NA())</f>
        <v>#N/A</v>
      </c>
      <c r="P368" s="1" t="e">
        <f aca="false">IF(ISBLANK(INDEX(big_daily_table,MATCH(DATE(P$5,$K368,$J368),daily_dates,0),MATCH($B$3,daily_items,0))),NA(),INDEX(big_daily_table,MATCH(DATE(P$5,$K368,$J368),daily_dates,0),MATCH($B$3,daily_items,0)))</f>
        <v>#N/A</v>
      </c>
      <c r="Q368" s="1" t="e">
        <f aca="false">IF(ISBLANK(INDEX(big_daily_table,MATCH(DATE(Q$5,$K368,$J368),daily_dates,0),MATCH($B$3,daily_items,0))),NA(),INDEX(big_daily_table,MATCH(DATE(Q$5,$K368,$J368),daily_dates,0),MATCH($B$3,daily_items,0)))</f>
        <v>#N/A</v>
      </c>
      <c r="R368" s="1" t="e">
        <f aca="false">IF(ISBLANK(INDEX(big_daily_table,MATCH(DATE(R$5,$K368,$J368),daily_dates,0),MATCH($B$3,daily_items,0))),NA(),INDEX(big_daily_table,MATCH(DATE(R$5,$K368,$J368),daily_dates,0),MATCH($B$3,daily_items,0)))</f>
        <v>#N/A</v>
      </c>
      <c r="S368" s="1" t="e">
        <f aca="false">IF(ISBLANK(INDEX(big_daily_table,MATCH(DATE(S$5,$K368,$J368),daily_dates,0),MATCH($B$3,daily_items,0))),NA(),INDEX(big_daily_table,MATCH(DATE(S$5,$K368,$J368),daily_dates,0),MATCH($B$3,daily_items,0)))</f>
        <v>#N/A</v>
      </c>
      <c r="T368" s="1" t="e">
        <f aca="false">IF(ISBLANK(INDEX(big_daily_table,MATCH(DATE(T$5,$K368,$J368),daily_dates,0),MATCH($B$3,daily_items,0))),NA(),INDEX(big_daily_table,MATCH(DATE(T$5,$K368,$J368),daily_dates,0),MATCH($B$3,daily_items,0)))</f>
        <v>#N/A</v>
      </c>
      <c r="U368" s="1" t="e">
        <f aca="false">IF(ISBLANK(INDEX(big_daily_table,MATCH(DATE(U$5,$K368,$J368),daily_dates,0),MATCH($B$3,daily_items,0))),NA(),INDEX(big_daily_table,MATCH(DATE(U$5,$K368,$J368),daily_dates,0),MATCH($B$3,daily_items,0)))</f>
        <v>#N/A</v>
      </c>
      <c r="V368" s="1" t="e">
        <f aca="false">IF(ISBLANK(INDEX(big_daily_table,MATCH(DATE(V$5,$K368,$J368),daily_dates,0),MATCH($B$3,daily_items,0))),NA(),INDEX(big_daily_table,MATCH(DATE(V$5,$K368,$J368),daily_dates,0),MATCH($B$3,daily_items,0)))</f>
        <v>#N/A</v>
      </c>
      <c r="W368" s="1" t="e">
        <f aca="false">IF(ISBLANK(INDEX(big_daily_table,MATCH(DATE(W$5,$K368,$J368),daily_dates,0),MATCH($B$3,daily_items,0))),NA(),INDEX(big_daily_table,MATCH(DATE(W$5,$K368,$J368),daily_dates,0),MATCH($B$3,daily_items,0)))</f>
        <v>#N/A</v>
      </c>
      <c r="X368" s="1" t="e">
        <f aca="false">IF(ISBLANK(INDEX(big_daily_table,MATCH(DATE(X$5,$K368,$J368),daily_dates,0),MATCH($B$3,daily_items,0))),NA(),INDEX(big_daily_table,MATCH(DATE(X$5,$K368,$J368),daily_dates,0),MATCH($B$3,daily_items,0)))</f>
        <v>#N/A</v>
      </c>
      <c r="Y368" s="1" t="e">
        <f aca="false">IF(ISBLANK(INDEX(big_daily_table,MATCH(DATE(Y$5,$K368,$J368),daily_dates,0),MATCH($B$3,daily_items,0))),NA(),INDEX(big_daily_table,MATCH(DATE(Y$5,$K368,$J368),daily_dates,0),MATCH($B$3,daily_items,0)))</f>
        <v>#N/A</v>
      </c>
      <c r="Z368" s="1" t="e">
        <f aca="false">IF(ISBLANK(INDEX(big_daily_table,MATCH(DATE(Z$5,$K368,$J368),daily_dates,0),MATCH($B$3,daily_items,0))),NA(),INDEX(big_daily_table,MATCH(DATE(Z$5,$K368,$J368),daily_dates,0),MATCH($B$3,daily_items,0)))</f>
        <v>#N/A</v>
      </c>
      <c r="AA368" s="1" t="n">
        <f aca="true">_xlfn.AGGREGATE(5,6,OFFSET($S$5,H368,0,1,$K$2))</f>
        <v>0</v>
      </c>
      <c r="AB368" s="1" t="n">
        <f aca="true">_xlfn.AGGREGATE(4,6,OFFSET($S$5,H368,0,1,$K$2))</f>
        <v>0</v>
      </c>
      <c r="AC368" s="1" t="n">
        <f aca="false">AB368-AA368</f>
        <v>0</v>
      </c>
      <c r="AD368" s="1" t="e">
        <f aca="true">_xlfn.AGGREGATE(1,6,OFFSET($S$5,H368,0,1,$K$2))</f>
        <v>#DIV/0!</v>
      </c>
    </row>
    <row r="369" customFormat="false" ht="14.25" hidden="false" customHeight="false" outlineLevel="0" collapsed="false">
      <c r="H369" s="1" t="n">
        <f aca="false">H368+1</f>
        <v>364</v>
      </c>
      <c r="I369" s="1" t="n">
        <f aca="false">WEEKDAY('daily graphs'!K369)</f>
        <v>6</v>
      </c>
      <c r="J369" s="1" t="n">
        <f aca="false">DAY(L369)</f>
        <v>23</v>
      </c>
      <c r="K369" s="1" t="n">
        <f aca="false">MONTH(L369)</f>
        <v>12</v>
      </c>
      <c r="L369" s="23" t="n">
        <f aca="false">'daily graphs'!K369 - I369</f>
        <v>36883</v>
      </c>
      <c r="M369" s="24" t="n">
        <f aca="true">IF(TODAY()&lt;DATE($O$5,K369,J369),1000000,-1000000)</f>
        <v>1000000</v>
      </c>
      <c r="N369" s="24" t="e">
        <f aca="false">IF(M369&gt;0,INDEX(big_daily_table,MATCH(DATE(O$5,$K369,$J369),daily_dates,0),MATCH($B$3,daily_items,0)),NA())</f>
        <v>#N/A</v>
      </c>
      <c r="O369" s="1" t="e">
        <f aca="false">IF(M369&lt;0,INDEX(big_daily_table,MATCH(DATE(O$5,$K369,$J369),daily_dates,0),MATCH($B$3,daily_items,0)),NA())</f>
        <v>#N/A</v>
      </c>
      <c r="P369" s="1" t="e">
        <f aca="false">IF(ISBLANK(INDEX(big_daily_table,MATCH(DATE(P$5,$K369,$J369),daily_dates,0),MATCH($B$3,daily_items,0))),NA(),INDEX(big_daily_table,MATCH(DATE(P$5,$K369,$J369),daily_dates,0),MATCH($B$3,daily_items,0)))</f>
        <v>#N/A</v>
      </c>
      <c r="Q369" s="1" t="e">
        <f aca="false">IF(ISBLANK(INDEX(big_daily_table,MATCH(DATE(Q$5,$K369,$J369),daily_dates,0),MATCH($B$3,daily_items,0))),NA(),INDEX(big_daily_table,MATCH(DATE(Q$5,$K369,$J369),daily_dates,0),MATCH($B$3,daily_items,0)))</f>
        <v>#N/A</v>
      </c>
      <c r="R369" s="1" t="e">
        <f aca="false">IF(ISBLANK(INDEX(big_daily_table,MATCH(DATE(R$5,$K369,$J369),daily_dates,0),MATCH($B$3,daily_items,0))),NA(),INDEX(big_daily_table,MATCH(DATE(R$5,$K369,$J369),daily_dates,0),MATCH($B$3,daily_items,0)))</f>
        <v>#N/A</v>
      </c>
      <c r="S369" s="1" t="e">
        <f aca="false">IF(ISBLANK(INDEX(big_daily_table,MATCH(DATE(S$5,$K369,$J369),daily_dates,0),MATCH($B$3,daily_items,0))),NA(),INDEX(big_daily_table,MATCH(DATE(S$5,$K369,$J369),daily_dates,0),MATCH($B$3,daily_items,0)))</f>
        <v>#N/A</v>
      </c>
      <c r="T369" s="1" t="e">
        <f aca="false">IF(ISBLANK(INDEX(big_daily_table,MATCH(DATE(T$5,$K369,$J369),daily_dates,0),MATCH($B$3,daily_items,0))),NA(),INDEX(big_daily_table,MATCH(DATE(T$5,$K369,$J369),daily_dates,0),MATCH($B$3,daily_items,0)))</f>
        <v>#N/A</v>
      </c>
      <c r="U369" s="1" t="e">
        <f aca="false">IF(ISBLANK(INDEX(big_daily_table,MATCH(DATE(U$5,$K369,$J369),daily_dates,0),MATCH($B$3,daily_items,0))),NA(),INDEX(big_daily_table,MATCH(DATE(U$5,$K369,$J369),daily_dates,0),MATCH($B$3,daily_items,0)))</f>
        <v>#N/A</v>
      </c>
      <c r="V369" s="1" t="e">
        <f aca="false">IF(ISBLANK(INDEX(big_daily_table,MATCH(DATE(V$5,$K369,$J369),daily_dates,0),MATCH($B$3,daily_items,0))),NA(),INDEX(big_daily_table,MATCH(DATE(V$5,$K369,$J369),daily_dates,0),MATCH($B$3,daily_items,0)))</f>
        <v>#N/A</v>
      </c>
      <c r="W369" s="1" t="e">
        <f aca="false">IF(ISBLANK(INDEX(big_daily_table,MATCH(DATE(W$5,$K369,$J369),daily_dates,0),MATCH($B$3,daily_items,0))),NA(),INDEX(big_daily_table,MATCH(DATE(W$5,$K369,$J369),daily_dates,0),MATCH($B$3,daily_items,0)))</f>
        <v>#N/A</v>
      </c>
      <c r="X369" s="1" t="e">
        <f aca="false">IF(ISBLANK(INDEX(big_daily_table,MATCH(DATE(X$5,$K369,$J369),daily_dates,0),MATCH($B$3,daily_items,0))),NA(),INDEX(big_daily_table,MATCH(DATE(X$5,$K369,$J369),daily_dates,0),MATCH($B$3,daily_items,0)))</f>
        <v>#N/A</v>
      </c>
      <c r="Y369" s="1" t="e">
        <f aca="false">IF(ISBLANK(INDEX(big_daily_table,MATCH(DATE(Y$5,$K369,$J369),daily_dates,0),MATCH($B$3,daily_items,0))),NA(),INDEX(big_daily_table,MATCH(DATE(Y$5,$K369,$J369),daily_dates,0),MATCH($B$3,daily_items,0)))</f>
        <v>#N/A</v>
      </c>
      <c r="Z369" s="1" t="e">
        <f aca="false">IF(ISBLANK(INDEX(big_daily_table,MATCH(DATE(Z$5,$K369,$J369),daily_dates,0),MATCH($B$3,daily_items,0))),NA(),INDEX(big_daily_table,MATCH(DATE(Z$5,$K369,$J369),daily_dates,0),MATCH($B$3,daily_items,0)))</f>
        <v>#N/A</v>
      </c>
      <c r="AA369" s="1" t="n">
        <f aca="true">_xlfn.AGGREGATE(5,6,OFFSET($S$5,H369,0,1,$K$2))</f>
        <v>0</v>
      </c>
      <c r="AB369" s="1" t="n">
        <f aca="true">_xlfn.AGGREGATE(4,6,OFFSET($S$5,H369,0,1,$K$2))</f>
        <v>0</v>
      </c>
      <c r="AC369" s="1" t="n">
        <f aca="false">AB369-AA369</f>
        <v>0</v>
      </c>
      <c r="AD369" s="1" t="e">
        <f aca="true">_xlfn.AGGREGATE(1,6,OFFSET($S$5,H369,0,1,$K$2))</f>
        <v>#DIV/0!</v>
      </c>
    </row>
    <row r="370" customFormat="false" ht="14.25" hidden="false" customHeight="false" outlineLevel="0" collapsed="false">
      <c r="H370" s="1" t="n">
        <f aca="false">H369+1</f>
        <v>365</v>
      </c>
      <c r="I370" s="1" t="n">
        <f aca="false">WEEKDAY('daily graphs'!K370)</f>
        <v>7</v>
      </c>
      <c r="J370" s="1" t="n">
        <f aca="false">DAY(L370)</f>
        <v>23</v>
      </c>
      <c r="K370" s="1" t="n">
        <f aca="false">MONTH(L370)</f>
        <v>12</v>
      </c>
      <c r="L370" s="23" t="n">
        <f aca="false">'daily graphs'!K370 - I370</f>
        <v>36883</v>
      </c>
      <c r="M370" s="24" t="n">
        <f aca="true">IF(TODAY()&lt;DATE($O$5,K370,J370),1000000,-1000000)</f>
        <v>1000000</v>
      </c>
      <c r="N370" s="24" t="e">
        <f aca="false">IF(M370&gt;0,INDEX(big_daily_table,MATCH(DATE(O$5,$K370,$J370),daily_dates,0),MATCH($B$3,daily_items,0)),NA())</f>
        <v>#N/A</v>
      </c>
      <c r="O370" s="1" t="e">
        <f aca="false">IF(M370&lt;0,INDEX(big_daily_table,MATCH(DATE(O$5,$K370,$J370),daily_dates,0),MATCH($B$3,daily_items,0)),NA())</f>
        <v>#N/A</v>
      </c>
      <c r="P370" s="1" t="e">
        <f aca="false">IF(ISBLANK(INDEX(big_daily_table,MATCH(DATE(P$5,$K370,$J370),daily_dates,0),MATCH($B$3,daily_items,0))),NA(),INDEX(big_daily_table,MATCH(DATE(P$5,$K370,$J370),daily_dates,0),MATCH($B$3,daily_items,0)))</f>
        <v>#N/A</v>
      </c>
      <c r="Q370" s="1" t="e">
        <f aca="false">IF(ISBLANK(INDEX(big_daily_table,MATCH(DATE(Q$5,$K370,$J370),daily_dates,0),MATCH($B$3,daily_items,0))),NA(),INDEX(big_daily_table,MATCH(DATE(Q$5,$K370,$J370),daily_dates,0),MATCH($B$3,daily_items,0)))</f>
        <v>#N/A</v>
      </c>
      <c r="R370" s="1" t="e">
        <f aca="false">IF(ISBLANK(INDEX(big_daily_table,MATCH(DATE(R$5,$K370,$J370),daily_dates,0),MATCH($B$3,daily_items,0))),NA(),INDEX(big_daily_table,MATCH(DATE(R$5,$K370,$J370),daily_dates,0),MATCH($B$3,daily_items,0)))</f>
        <v>#N/A</v>
      </c>
      <c r="S370" s="1" t="e">
        <f aca="false">IF(ISBLANK(INDEX(big_daily_table,MATCH(DATE(S$5,$K370,$J370),daily_dates,0),MATCH($B$3,daily_items,0))),NA(),INDEX(big_daily_table,MATCH(DATE(S$5,$K370,$J370),daily_dates,0),MATCH($B$3,daily_items,0)))</f>
        <v>#N/A</v>
      </c>
      <c r="T370" s="1" t="e">
        <f aca="false">IF(ISBLANK(INDEX(big_daily_table,MATCH(DATE(T$5,$K370,$J370),daily_dates,0),MATCH($B$3,daily_items,0))),NA(),INDEX(big_daily_table,MATCH(DATE(T$5,$K370,$J370),daily_dates,0),MATCH($B$3,daily_items,0)))</f>
        <v>#N/A</v>
      </c>
      <c r="U370" s="1" t="e">
        <f aca="false">IF(ISBLANK(INDEX(big_daily_table,MATCH(DATE(U$5,$K370,$J370),daily_dates,0),MATCH($B$3,daily_items,0))),NA(),INDEX(big_daily_table,MATCH(DATE(U$5,$K370,$J370),daily_dates,0),MATCH($B$3,daily_items,0)))</f>
        <v>#N/A</v>
      </c>
      <c r="V370" s="1" t="e">
        <f aca="false">IF(ISBLANK(INDEX(big_daily_table,MATCH(DATE(V$5,$K370,$J370),daily_dates,0),MATCH($B$3,daily_items,0))),NA(),INDEX(big_daily_table,MATCH(DATE(V$5,$K370,$J370),daily_dates,0),MATCH($B$3,daily_items,0)))</f>
        <v>#N/A</v>
      </c>
      <c r="W370" s="1" t="e">
        <f aca="false">IF(ISBLANK(INDEX(big_daily_table,MATCH(DATE(W$5,$K370,$J370),daily_dates,0),MATCH($B$3,daily_items,0))),NA(),INDEX(big_daily_table,MATCH(DATE(W$5,$K370,$J370),daily_dates,0),MATCH($B$3,daily_items,0)))</f>
        <v>#N/A</v>
      </c>
      <c r="X370" s="1" t="e">
        <f aca="false">IF(ISBLANK(INDEX(big_daily_table,MATCH(DATE(X$5,$K370,$J370),daily_dates,0),MATCH($B$3,daily_items,0))),NA(),INDEX(big_daily_table,MATCH(DATE(X$5,$K370,$J370),daily_dates,0),MATCH($B$3,daily_items,0)))</f>
        <v>#N/A</v>
      </c>
      <c r="Y370" s="1" t="e">
        <f aca="false">IF(ISBLANK(INDEX(big_daily_table,MATCH(DATE(Y$5,$K370,$J370),daily_dates,0),MATCH($B$3,daily_items,0))),NA(),INDEX(big_daily_table,MATCH(DATE(Y$5,$K370,$J370),daily_dates,0),MATCH($B$3,daily_items,0)))</f>
        <v>#N/A</v>
      </c>
      <c r="Z370" s="1" t="e">
        <f aca="false">IF(ISBLANK(INDEX(big_daily_table,MATCH(DATE(Z$5,$K370,$J370),daily_dates,0),MATCH($B$3,daily_items,0))),NA(),INDEX(big_daily_table,MATCH(DATE(Z$5,$K370,$J370),daily_dates,0),MATCH($B$3,daily_items,0)))</f>
        <v>#N/A</v>
      </c>
      <c r="AA370" s="1" t="n">
        <f aca="true">_xlfn.AGGREGATE(5,6,OFFSET($S$5,H370,0,1,$K$2))</f>
        <v>0</v>
      </c>
      <c r="AB370" s="1" t="n">
        <f aca="true">_xlfn.AGGREGATE(4,6,OFFSET($S$5,H370,0,1,$K$2))</f>
        <v>0</v>
      </c>
      <c r="AC370" s="1" t="n">
        <f aca="false">AB370-AA370</f>
        <v>0</v>
      </c>
      <c r="AD370" s="1" t="e">
        <f aca="true">_xlfn.AGGREGATE(1,6,OFFSET($S$5,H370,0,1,$K$2))</f>
        <v>#DIV/0!</v>
      </c>
    </row>
    <row r="371" customFormat="false" ht="14.25" hidden="false" customHeight="false" outlineLevel="0" collapsed="false">
      <c r="H371" s="1" t="n">
        <f aca="false">H370+1</f>
        <v>366</v>
      </c>
      <c r="I371" s="1" t="n">
        <f aca="false">WEEKDAY('daily graphs'!K371)</f>
        <v>1</v>
      </c>
      <c r="J371" s="1" t="n">
        <f aca="false">DAY(L371)</f>
        <v>30</v>
      </c>
      <c r="K371" s="1" t="n">
        <f aca="false">MONTH(L371)</f>
        <v>12</v>
      </c>
      <c r="L371" s="23" t="n">
        <f aca="false">'daily graphs'!K371 - I371</f>
        <v>36890</v>
      </c>
      <c r="M371" s="24" t="n">
        <f aca="true">IF(TODAY()&lt;DATE($O$5,K371,J371),1000000,-1000000)</f>
        <v>1000000</v>
      </c>
      <c r="N371" s="24" t="e">
        <f aca="false">IF(M371&gt;0,INDEX(big_daily_table,MATCH(DATE(O$5,$K371,$J371),daily_dates,0),MATCH($B$3,daily_items,0)),NA())</f>
        <v>#N/A</v>
      </c>
      <c r="O371" s="1" t="e">
        <f aca="false">IF(M371&lt;0,INDEX(big_daily_table,MATCH(DATE(O$5,$K371,$J371),daily_dates,0),MATCH($B$3,daily_items,0)),NA())</f>
        <v>#N/A</v>
      </c>
      <c r="P371" s="1" t="e">
        <f aca="false">IF(ISBLANK(INDEX(big_daily_table,MATCH(DATE(P$5,$K371,$J371),daily_dates,0),MATCH($B$3,daily_items,0))),NA(),INDEX(big_daily_table,MATCH(DATE(P$5,$K371,$J371),daily_dates,0),MATCH($B$3,daily_items,0)))</f>
        <v>#N/A</v>
      </c>
      <c r="Q371" s="1" t="e">
        <f aca="false">IF(ISBLANK(INDEX(big_daily_table,MATCH(DATE(Q$5,$K371,$J371),daily_dates,0),MATCH($B$3,daily_items,0))),NA(),INDEX(big_daily_table,MATCH(DATE(Q$5,$K371,$J371),daily_dates,0),MATCH($B$3,daily_items,0)))</f>
        <v>#N/A</v>
      </c>
      <c r="R371" s="1" t="e">
        <f aca="false">IF(ISBLANK(INDEX(big_daily_table,MATCH(DATE(R$5,$K371,$J371),daily_dates,0),MATCH($B$3,daily_items,0))),NA(),INDEX(big_daily_table,MATCH(DATE(R$5,$K371,$J371),daily_dates,0),MATCH($B$3,daily_items,0)))</f>
        <v>#N/A</v>
      </c>
      <c r="S371" s="1" t="e">
        <f aca="false">IF(ISBLANK(INDEX(big_daily_table,MATCH(DATE(S$5,$K371,$J371),daily_dates,0),MATCH($B$3,daily_items,0))),NA(),INDEX(big_daily_table,MATCH(DATE(S$5,$K371,$J371),daily_dates,0),MATCH($B$3,daily_items,0)))</f>
        <v>#N/A</v>
      </c>
      <c r="T371" s="1" t="e">
        <f aca="false">IF(ISBLANK(INDEX(big_daily_table,MATCH(DATE(T$5,$K371,$J371),daily_dates,0),MATCH($B$3,daily_items,0))),NA(),INDEX(big_daily_table,MATCH(DATE(T$5,$K371,$J371),daily_dates,0),MATCH($B$3,daily_items,0)))</f>
        <v>#N/A</v>
      </c>
      <c r="U371" s="1" t="e">
        <f aca="false">IF(ISBLANK(INDEX(big_daily_table,MATCH(DATE(U$5,$K371,$J371),daily_dates,0),MATCH($B$3,daily_items,0))),NA(),INDEX(big_daily_table,MATCH(DATE(U$5,$K371,$J371),daily_dates,0),MATCH($B$3,daily_items,0)))</f>
        <v>#N/A</v>
      </c>
      <c r="V371" s="1" t="e">
        <f aca="false">IF(ISBLANK(INDEX(big_daily_table,MATCH(DATE(V$5,$K371,$J371),daily_dates,0),MATCH($B$3,daily_items,0))),NA(),INDEX(big_daily_table,MATCH(DATE(V$5,$K371,$J371),daily_dates,0),MATCH($B$3,daily_items,0)))</f>
        <v>#N/A</v>
      </c>
      <c r="W371" s="1" t="e">
        <f aca="false">IF(ISBLANK(INDEX(big_daily_table,MATCH(DATE(W$5,$K371,$J371),daily_dates,0),MATCH($B$3,daily_items,0))),NA(),INDEX(big_daily_table,MATCH(DATE(W$5,$K371,$J371),daily_dates,0),MATCH($B$3,daily_items,0)))</f>
        <v>#N/A</v>
      </c>
      <c r="X371" s="1" t="e">
        <f aca="false">IF(ISBLANK(INDEX(big_daily_table,MATCH(DATE(X$5,$K371,$J371),daily_dates,0),MATCH($B$3,daily_items,0))),NA(),INDEX(big_daily_table,MATCH(DATE(X$5,$K371,$J371),daily_dates,0),MATCH($B$3,daily_items,0)))</f>
        <v>#N/A</v>
      </c>
      <c r="Y371" s="1" t="e">
        <f aca="false">IF(ISBLANK(INDEX(big_daily_table,MATCH(DATE(Y$5,$K371,$J371),daily_dates,0),MATCH($B$3,daily_items,0))),NA(),INDEX(big_daily_table,MATCH(DATE(Y$5,$K371,$J371),daily_dates,0),MATCH($B$3,daily_items,0)))</f>
        <v>#N/A</v>
      </c>
      <c r="Z371" s="1" t="e">
        <f aca="false">IF(ISBLANK(INDEX(big_daily_table,MATCH(DATE(Z$5,$K371,$J371),daily_dates,0),MATCH($B$3,daily_items,0))),NA(),INDEX(big_daily_table,MATCH(DATE(Z$5,$K371,$J371),daily_dates,0),MATCH($B$3,daily_items,0)))</f>
        <v>#N/A</v>
      </c>
      <c r="AA371" s="1" t="n">
        <f aca="true">_xlfn.AGGREGATE(5,6,OFFSET($S$5,H371,0,1,$K$2))</f>
        <v>0</v>
      </c>
      <c r="AB371" s="1" t="n">
        <f aca="true">_xlfn.AGGREGATE(4,6,OFFSET($S$5,H371,0,1,$K$2))</f>
        <v>0</v>
      </c>
      <c r="AC371" s="1" t="n">
        <f aca="false">AB371-AA371</f>
        <v>0</v>
      </c>
      <c r="AD371" s="1" t="e">
        <f aca="true">_xlfn.AGGREGATE(1,6,OFFSET($S$5,H371,0,1,$K$2))</f>
        <v>#DIV/0!</v>
      </c>
    </row>
    <row r="372" customFormat="false" ht="14.25" hidden="false" customHeight="false" outlineLevel="0" collapsed="false">
      <c r="L372" s="7"/>
      <c r="M372" s="7"/>
      <c r="N372" s="7"/>
    </row>
  </sheetData>
  <dataValidations count="1">
    <dataValidation allowBlank="true" errorStyle="stop" operator="between" showDropDown="false" showErrorMessage="true" showInputMessage="true" sqref="B3" type="list">
      <formula1>daily_items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H143"/>
  <sheetViews>
    <sheetView showFormulas="false" showGridLines="fals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P7" activeCellId="0" sqref="P7"/>
    </sheetView>
  </sheetViews>
  <sheetFormatPr defaultColWidth="8.453125" defaultRowHeight="14.25" zeroHeight="false" outlineLevelRow="0" outlineLevelCol="0"/>
  <cols>
    <col collapsed="false" customWidth="true" hidden="false" outlineLevel="0" max="2" min="2" style="1" width="10.44"/>
    <col collapsed="false" customWidth="true" hidden="false" outlineLevel="0" max="15" min="15" style="1" width="12"/>
  </cols>
  <sheetData>
    <row r="1" customFormat="false" ht="15" hidden="false" customHeight="false" outlineLevel="0" collapsed="false"/>
    <row r="2" customFormat="false" ht="15" hidden="false" customHeight="false" outlineLevel="0" collapsed="false">
      <c r="I2" s="1" t="s">
        <v>2</v>
      </c>
      <c r="J2" s="18" t="n">
        <v>7</v>
      </c>
      <c r="K2" s="1" t="s">
        <v>3</v>
      </c>
    </row>
    <row r="3" customFormat="false" ht="20.25" hidden="false" customHeight="false" outlineLevel="0" collapsed="false">
      <c r="B3" s="4" t="s">
        <v>18</v>
      </c>
    </row>
    <row r="4" customFormat="false" ht="15" hidden="false" customHeight="false" outlineLevel="0" collapsed="false"/>
    <row r="5" customFormat="false" ht="14.25" hidden="false" customHeight="false" outlineLevel="0" collapsed="false">
      <c r="C5" s="20" t="s">
        <v>1</v>
      </c>
      <c r="D5" s="20" t="str">
        <f aca="false">B3</f>
        <v>commercial_stocks</v>
      </c>
      <c r="E5" s="20"/>
      <c r="F5" s="20" t="s">
        <v>9</v>
      </c>
      <c r="G5" s="20" t="s">
        <v>10</v>
      </c>
      <c r="H5" s="20" t="s">
        <v>19</v>
      </c>
      <c r="I5" s="20" t="s">
        <v>11</v>
      </c>
      <c r="K5" s="20" t="s">
        <v>20</v>
      </c>
      <c r="L5" s="20" t="s">
        <v>21</v>
      </c>
      <c r="M5" s="20"/>
      <c r="N5" s="20"/>
      <c r="O5" s="20" t="s">
        <v>22</v>
      </c>
      <c r="P5" s="20" t="str">
        <f aca="false">Q5&amp;"F"</f>
        <v>2023F</v>
      </c>
      <c r="Q5" s="21" t="n">
        <v>2023</v>
      </c>
      <c r="R5" s="20" t="n">
        <f aca="false">Q5-1</f>
        <v>2022</v>
      </c>
      <c r="S5" s="20" t="n">
        <f aca="false">R5-1</f>
        <v>2021</v>
      </c>
      <c r="T5" s="20" t="n">
        <f aca="false">S5-1</f>
        <v>2020</v>
      </c>
      <c r="U5" s="20" t="n">
        <f aca="false">T5-1</f>
        <v>2019</v>
      </c>
      <c r="V5" s="20" t="n">
        <f aca="false">U5-1</f>
        <v>2018</v>
      </c>
      <c r="W5" s="20" t="n">
        <f aca="false">V5-1</f>
        <v>2017</v>
      </c>
      <c r="X5" s="20" t="n">
        <f aca="false">W5-1</f>
        <v>2016</v>
      </c>
      <c r="Y5" s="20" t="n">
        <f aca="false">X5-1</f>
        <v>2015</v>
      </c>
      <c r="Z5" s="20" t="n">
        <f aca="false">Y5-1</f>
        <v>2014</v>
      </c>
      <c r="AA5" s="20" t="n">
        <f aca="false">Z5-1</f>
        <v>2013</v>
      </c>
      <c r="AB5" s="20" t="n">
        <f aca="false">AA5-1</f>
        <v>2012</v>
      </c>
      <c r="AC5" s="20" t="n">
        <f aca="false">AB5-1</f>
        <v>2011</v>
      </c>
      <c r="AD5" s="20" t="n">
        <f aca="false">AC5-1</f>
        <v>2010</v>
      </c>
      <c r="AE5" s="20" t="s">
        <v>9</v>
      </c>
      <c r="AF5" s="20" t="s">
        <v>10</v>
      </c>
      <c r="AG5" s="20" t="str">
        <f aca="true">"min-max (2019 -"&amp;OFFSET($T$5,0,$J$2)&amp; ")"</f>
        <v>min-max (2019 -2013)</v>
      </c>
      <c r="AH5" s="20" t="s">
        <v>11</v>
      </c>
    </row>
    <row r="6" customFormat="false" ht="15" hidden="false" customHeight="false" outlineLevel="0" collapsed="false">
      <c r="C6" s="33" t="n">
        <v>41395</v>
      </c>
      <c r="D6" s="1" t="e">
        <f aca="false" t="array" ref="D6:D6">_xlfn.xlookup($B$3,items,_xlfn.xlookup(C6,dates,big_table))</f>
        <v>#NAME?</v>
      </c>
      <c r="E6" s="1" t="n">
        <f aca="false" t="array" ref="E6:E6">IF(ISNA(_xlfn.xlookup("jodi_last",items,_xlfn.xlookup(C6,dates,big_table))),10^6,-100000)</f>
        <v>-100000</v>
      </c>
      <c r="F6" s="1" t="e">
        <f aca="false">_xlfn.xlookup(MONTH($C6),$M$6:$M$17,AE$6:AE$17)</f>
        <v>#NAME?</v>
      </c>
      <c r="G6" s="1" t="e">
        <f aca="false">_xlfn.xlookup(MONTH($C6),$M$6:$M$17,AF$6:AF$17)</f>
        <v>#NAME?</v>
      </c>
      <c r="H6" s="1" t="e">
        <f aca="false">_xlfn.xlookup(MONTH($C6),$M$6:$M$17,AG$6:AG$17)</f>
        <v>#NAME?</v>
      </c>
      <c r="I6" s="1" t="e">
        <f aca="false">_xlfn.xlookup(MONTH($C6),$M$6:$M$17,AH$6:AH$17)</f>
        <v>#NAME?</v>
      </c>
      <c r="K6" s="1" t="e">
        <f aca="false" t="array" ref="K6:K6">_xlfn.xlookup("jodi_last",items,_xlfn.xlookup(EOMONTH(DATE(Q$5,$M6,0),1)+1,dates,big_table))</f>
        <v>#NAME?</v>
      </c>
      <c r="L6" s="1" t="e">
        <f aca="false" t="array" ref="L6:L6">_xlfn.xlookup("jodi_last",items,_xlfn.xlookup(DATE(Q$5,$M6,1),dates,big_table))</f>
        <v>#NAME?</v>
      </c>
      <c r="M6" s="34" t="n">
        <v>1</v>
      </c>
      <c r="N6" s="1" t="str">
        <f aca="false">TEXT(DATE(2000,M6,1),"MMM")</f>
        <v>Jan</v>
      </c>
      <c r="O6" s="1" t="e">
        <f aca="false" t="array" ref="O6:O6">_xlfn.xlookup($B$3,items,_xlfn.xlookup(DATE(Q$5,$M6,1),dates,big_table_as_of))</f>
        <v>#NAME?</v>
      </c>
      <c r="P6" s="1" t="e">
        <f aca="false" t="array" ref="P6:P6">IF(ISNA($K6),_xlfn.xlookup($B$3,items,_xlfn.xlookup(DATE(Q$5,$M6,1),dates,big_table)),NA())</f>
        <v>#N/A</v>
      </c>
      <c r="Q6" s="1" t="e">
        <f aca="false" t="array" ref="Q6:Q6">IF(ISNA($L6),NA(),_xlfn.xlookup($B$3,items,_xlfn.xlookup(DATE(Q$5,$M6,1),dates,big_table)))</f>
        <v>#NAME?</v>
      </c>
      <c r="R6" s="1" t="e">
        <f aca="false" t="array" ref="R6:R6">IF(ISBLANK(_xlfn.xlookup($B$3,items,_xlfn.xlookup(DATE(R$5,$M6,1),dates,big_table))),NA(),_xlfn.xlookup($B$3,items,_xlfn.xlookup(DATE(R$5,$M6,1),dates,big_table)))</f>
        <v>#NAME?</v>
      </c>
      <c r="S6" s="1" t="e">
        <f aca="false" t="array" ref="S6:S6">IF(ISBLANK(_xlfn.xlookup($B$3,items,_xlfn.xlookup(DATE(S$5,$M6,1),dates,big_table))),NA(),_xlfn.xlookup($B$3,items,_xlfn.xlookup(DATE(S$5,$M6,1),dates,big_table)))</f>
        <v>#NAME?</v>
      </c>
      <c r="T6" s="1" t="e">
        <f aca="false" t="array" ref="T6:T6">IF(ISBLANK(_xlfn.xlookup($B$3,items,_xlfn.xlookup(DATE(T$5,$M6,1),dates,big_table))),NA(),_xlfn.xlookup($B$3,items,_xlfn.xlookup(DATE(T$5,$M6,1),dates,big_table)))</f>
        <v>#NAME?</v>
      </c>
      <c r="U6" s="1" t="e">
        <f aca="false" t="array" ref="U6:U6">IF(ISBLANK(_xlfn.xlookup($B$3,items,_xlfn.xlookup(DATE(U$5,$M6,1),dates,big_table))),NA(),_xlfn.xlookup($B$3,items,_xlfn.xlookup(DATE(U$5,$M6,1),dates,big_table)))</f>
        <v>#NAME?</v>
      </c>
      <c r="V6" s="1" t="e">
        <f aca="false" t="array" ref="V6:V6">IF(ISBLANK(_xlfn.xlookup($B$3,items,_xlfn.xlookup(DATE(V$5,$M6,1),dates,big_table))),NA(),_xlfn.xlookup($B$3,items,_xlfn.xlookup(DATE(V$5,$M6,1),dates,big_table)))</f>
        <v>#NAME?</v>
      </c>
      <c r="W6" s="1" t="e">
        <f aca="false" t="array" ref="W6:W6">IF(ISBLANK(_xlfn.xlookup($B$3,items,_xlfn.xlookup(DATE(W$5,$M6,1),dates,big_table))),NA(),_xlfn.xlookup($B$3,items,_xlfn.xlookup(DATE(W$5,$M6,1),dates,big_table)))</f>
        <v>#NAME?</v>
      </c>
      <c r="X6" s="1" t="e">
        <f aca="false" t="array" ref="X6:X6">IF(ISBLANK(_xlfn.xlookup($B$3,items,_xlfn.xlookup(DATE(X$5,$M6,1),dates,big_table))),NA(),_xlfn.xlookup($B$3,items,_xlfn.xlookup(DATE(X$5,$M6,1),dates,big_table)))</f>
        <v>#NAME?</v>
      </c>
      <c r="Y6" s="1" t="e">
        <f aca="false" t="array" ref="Y6:Y6">IF(ISBLANK(_xlfn.xlookup($B$3,items,_xlfn.xlookup(DATE(Y$5,$M6,1),dates,big_table))),NA(),_xlfn.xlookup($B$3,items,_xlfn.xlookup(DATE(Y$5,$M6,1),dates,big_table)))</f>
        <v>#NAME?</v>
      </c>
      <c r="Z6" s="1" t="e">
        <f aca="false" t="array" ref="Z6:Z6">IF(ISBLANK(_xlfn.xlookup($B$3,items,_xlfn.xlookup(DATE(Z$5,$M6,1),dates,big_table))),NA(),_xlfn.xlookup($B$3,items,_xlfn.xlookup(DATE(Z$5,$M6,1),dates,big_table)))</f>
        <v>#NAME?</v>
      </c>
      <c r="AA6" s="1" t="e">
        <f aca="false" t="array" ref="AA6:AA6">IF(ISBLANK(_xlfn.xlookup($B$3,items,_xlfn.xlookup(DATE(AA$5,$M6,1),dates,big_table))),NA(),_xlfn.xlookup($B$3,items,_xlfn.xlookup(DATE(AA$5,$M6,1),dates,big_table)))</f>
        <v>#NAME?</v>
      </c>
      <c r="AB6" s="1" t="e">
        <f aca="false" t="array" ref="AB6:AB6">IF(ISBLANK(_xlfn.xlookup($B$3,items,_xlfn.xlookup(DATE(AB$5,$M6,1),dates,big_table))),NA(),_xlfn.xlookup($B$3,items,_xlfn.xlookup(DATE(AB$5,$M6,1),dates,big_table)))</f>
        <v>#NAME?</v>
      </c>
      <c r="AC6" s="1" t="e">
        <f aca="false" t="array" ref="AC6:AC6">IF(ISBLANK(_xlfn.xlookup($B$3,items,_xlfn.xlookup(DATE(AC$5,$M6,1),dates,big_table))),NA(),_xlfn.xlookup($B$3,items,_xlfn.xlookup(DATE(AC$5,$M6,1),dates,big_table)))</f>
        <v>#NAME?</v>
      </c>
      <c r="AD6" s="1" t="e">
        <f aca="false" t="array" ref="AD6:AD6">IF(ISBLANK(_xlfn.xlookup($B$3,items,_xlfn.xlookup(DATE(AD$5,$M6,1),dates,big_table))),NA(),_xlfn.xlookup($B$3,items,_xlfn.xlookup(DATE(AD$5,$M6,1),dates,big_table)))</f>
        <v>#NAME?</v>
      </c>
      <c r="AE6" s="1" t="n">
        <f aca="true">_xlfn.AGGREGATE(5,6,OFFSET($T$5,M6,0,1,$J$2))</f>
        <v>0</v>
      </c>
      <c r="AF6" s="1" t="n">
        <f aca="true">_xlfn.AGGREGATE(4,6,OFFSET($T$5,M6,0,1,$J$2))</f>
        <v>0</v>
      </c>
      <c r="AG6" s="1" t="n">
        <f aca="false">AF6-AE6</f>
        <v>0</v>
      </c>
      <c r="AH6" s="1" t="e">
        <f aca="true">_xlfn.AGGREGATE(1,6,OFFSET($T$5,M6,0,1,$J$2))</f>
        <v>#DIV/0!</v>
      </c>
    </row>
    <row r="7" customFormat="false" ht="14.25" hidden="false" customHeight="false" outlineLevel="0" collapsed="false">
      <c r="C7" s="33" t="n">
        <f aca="false">EOMONTH(C6,0)+1</f>
        <v>41426</v>
      </c>
      <c r="D7" s="1" t="e">
        <f aca="false" t="array" ref="D7:D7">_xlfn.xlookup($B$3,items,_xlfn.xlookup(C7,dates,big_table))</f>
        <v>#NAME?</v>
      </c>
      <c r="E7" s="1" t="n">
        <f aca="false" t="array" ref="E7:E7">IF(ISNA(_xlfn.xlookup("jodi_last",items,_xlfn.xlookup(C7,dates,big_table))),10^6,-100000)</f>
        <v>-100000</v>
      </c>
      <c r="F7" s="1" t="e">
        <f aca="false">_xlfn.xlookup(MONTH($C7),$M$6:$M$17,AE$6:AE$17)</f>
        <v>#NAME?</v>
      </c>
      <c r="G7" s="1" t="e">
        <f aca="false">_xlfn.xlookup(MONTH($C7),$M$6:$M$17,AF$6:AF$17)</f>
        <v>#NAME?</v>
      </c>
      <c r="H7" s="1" t="e">
        <f aca="false">_xlfn.xlookup(MONTH($C7),$M$6:$M$17,AG$6:AG$17)</f>
        <v>#NAME?</v>
      </c>
      <c r="I7" s="1" t="e">
        <f aca="false">_xlfn.xlookup(MONTH($C7),$M$6:$M$17,AH$6:AH$17)</f>
        <v>#NAME?</v>
      </c>
      <c r="K7" s="1" t="e">
        <f aca="false" t="array" ref="K7:K7">_xlfn.xlookup("jodi_last",items,_xlfn.xlookup(EOMONTH(DATE(Q$5,$M7,0),1)+1,dates,big_table))</f>
        <v>#NAME?</v>
      </c>
      <c r="L7" s="1" t="e">
        <f aca="false" t="array" ref="L7:L7">_xlfn.xlookup("jodi_last",items,_xlfn.xlookup(DATE(Q$5,$M7,1),dates,big_table))</f>
        <v>#NAME?</v>
      </c>
      <c r="M7" s="1" t="n">
        <f aca="false">M6+1</f>
        <v>2</v>
      </c>
      <c r="N7" s="1" t="str">
        <f aca="false">TEXT(DATE(2000,M7,1),"MMM")</f>
        <v>Feb</v>
      </c>
      <c r="O7" s="1" t="e">
        <f aca="false" t="array" ref="O7:O7">_xlfn.xlookup($B$3,items,_xlfn.xlookup(DATE(Q$5,$M7,1),dates,big_table_as_of))</f>
        <v>#NAME?</v>
      </c>
      <c r="P7" s="1" t="e">
        <f aca="false">IF(ISNA($K7),_xlfn.xlookup($B$3,items,_xlfn.xlookup(DATE(q$'daily graphs'.c3$5,$M7,1),dates,big_table)),NA())</f>
        <v>#N/A</v>
      </c>
      <c r="Q7" s="1" t="e">
        <f aca="false" t="array" ref="Q7:Q7">IF(ISNA($L7),NA(),_xlfn.xlookup($B$3,items,_xlfn.xlookup(DATE(Q$5,$M7,1),dates,big_table)))</f>
        <v>#NAME?</v>
      </c>
      <c r="R7" s="1" t="e">
        <f aca="false" t="array" ref="R7:R7">IF(ISBLANK(_xlfn.xlookup($B$3,items,_xlfn.xlookup(DATE(R$5,$M7,1),dates,big_table))),NA(),_xlfn.xlookup($B$3,items,_xlfn.xlookup(DATE(R$5,$M7,1),dates,big_table)))</f>
        <v>#NAME?</v>
      </c>
      <c r="S7" s="1" t="e">
        <f aca="false" t="array" ref="S7:S7">IF(ISBLANK(_xlfn.xlookup($B$3,items,_xlfn.xlookup(DATE(S$5,$M7,1),dates,big_table))),NA(),_xlfn.xlookup($B$3,items,_xlfn.xlookup(DATE(S$5,$M7,1),dates,big_table)))</f>
        <v>#NAME?</v>
      </c>
      <c r="T7" s="1" t="e">
        <f aca="false" t="array" ref="T7:T7">IF(ISBLANK(_xlfn.xlookup($B$3,items,_xlfn.xlookup(DATE(T$5,$M7,1),dates,big_table))),NA(),_xlfn.xlookup($B$3,items,_xlfn.xlookup(DATE(T$5,$M7,1),dates,big_table)))</f>
        <v>#NAME?</v>
      </c>
      <c r="U7" s="1" t="e">
        <f aca="false" t="array" ref="U7:U7">IF(ISBLANK(_xlfn.xlookup($B$3,items,_xlfn.xlookup(DATE(U$5,$M7,1),dates,big_table))),NA(),_xlfn.xlookup($B$3,items,_xlfn.xlookup(DATE(U$5,$M7,1),dates,big_table)))</f>
        <v>#NAME?</v>
      </c>
      <c r="V7" s="1" t="e">
        <f aca="false" t="array" ref="V7:V7">IF(ISBLANK(_xlfn.xlookup($B$3,items,_xlfn.xlookup(DATE(V$5,$M7,1),dates,big_table))),NA(),_xlfn.xlookup($B$3,items,_xlfn.xlookup(DATE(V$5,$M7,1),dates,big_table)))</f>
        <v>#NAME?</v>
      </c>
      <c r="W7" s="1" t="e">
        <f aca="false" t="array" ref="W7:W7">IF(ISBLANK(_xlfn.xlookup($B$3,items,_xlfn.xlookup(DATE(W$5,$M7,1),dates,big_table))),NA(),_xlfn.xlookup($B$3,items,_xlfn.xlookup(DATE(W$5,$M7,1),dates,big_table)))</f>
        <v>#NAME?</v>
      </c>
      <c r="X7" s="1" t="e">
        <f aca="false" t="array" ref="X7:X7">IF(ISBLANK(_xlfn.xlookup($B$3,items,_xlfn.xlookup(DATE(X$5,$M7,1),dates,big_table))),NA(),_xlfn.xlookup($B$3,items,_xlfn.xlookup(DATE(X$5,$M7,1),dates,big_table)))</f>
        <v>#NAME?</v>
      </c>
      <c r="Y7" s="1" t="e">
        <f aca="false" t="array" ref="Y7:Y7">IF(ISBLANK(_xlfn.xlookup($B$3,items,_xlfn.xlookup(DATE(Y$5,$M7,1),dates,big_table))),NA(),_xlfn.xlookup($B$3,items,_xlfn.xlookup(DATE(Y$5,$M7,1),dates,big_table)))</f>
        <v>#NAME?</v>
      </c>
      <c r="Z7" s="1" t="e">
        <f aca="false" t="array" ref="Z7:Z7">IF(ISBLANK(_xlfn.xlookup($B$3,items,_xlfn.xlookup(DATE(Z$5,$M7,1),dates,big_table))),NA(),_xlfn.xlookup($B$3,items,_xlfn.xlookup(DATE(Z$5,$M7,1),dates,big_table)))</f>
        <v>#NAME?</v>
      </c>
      <c r="AA7" s="1" t="e">
        <f aca="false" t="array" ref="AA7:AA7">IF(ISBLANK(_xlfn.xlookup($B$3,items,_xlfn.xlookup(DATE(AA$5,$M7,1),dates,big_table))),NA(),_xlfn.xlookup($B$3,items,_xlfn.xlookup(DATE(AA$5,$M7,1),dates,big_table)))</f>
        <v>#NAME?</v>
      </c>
      <c r="AB7" s="1" t="e">
        <f aca="false" t="array" ref="AB7:AB7">IF(ISBLANK(_xlfn.xlookup($B$3,items,_xlfn.xlookup(DATE(AB$5,$M7,1),dates,big_table))),NA(),_xlfn.xlookup($B$3,items,_xlfn.xlookup(DATE(AB$5,$M7,1),dates,big_table)))</f>
        <v>#NAME?</v>
      </c>
      <c r="AC7" s="1" t="e">
        <f aca="false" t="array" ref="AC7:AC7">IF(ISBLANK(_xlfn.xlookup($B$3,items,_xlfn.xlookup(DATE(AC$5,$M7,1),dates,big_table))),NA(),_xlfn.xlookup($B$3,items,_xlfn.xlookup(DATE(AC$5,$M7,1),dates,big_table)))</f>
        <v>#NAME?</v>
      </c>
      <c r="AD7" s="1" t="e">
        <f aca="false" t="array" ref="AD7:AD7">IF(ISBLANK(_xlfn.xlookup($B$3,items,_xlfn.xlookup(DATE(AD$5,$M7,1),dates,big_table))),NA(),_xlfn.xlookup($B$3,items,_xlfn.xlookup(DATE(AD$5,$M7,1),dates,big_table)))</f>
        <v>#NAME?</v>
      </c>
      <c r="AE7" s="1" t="n">
        <f aca="true">_xlfn.AGGREGATE(5,6,OFFSET($T$5,M7,0,1,$J$2))</f>
        <v>0</v>
      </c>
      <c r="AF7" s="1" t="n">
        <f aca="true">_xlfn.AGGREGATE(4,6,OFFSET($T$5,M7,0,1,$J$2))</f>
        <v>0</v>
      </c>
      <c r="AG7" s="1" t="n">
        <f aca="false">AF7-AE7</f>
        <v>0</v>
      </c>
      <c r="AH7" s="1" t="e">
        <f aca="true">_xlfn.AGGREGATE(1,6,OFFSET($T$5,M7,0,1,$J$2))</f>
        <v>#DIV/0!</v>
      </c>
    </row>
    <row r="8" customFormat="false" ht="14.25" hidden="false" customHeight="false" outlineLevel="0" collapsed="false">
      <c r="C8" s="33" t="n">
        <f aca="false">EOMONTH(C7,0)+1</f>
        <v>41456</v>
      </c>
      <c r="D8" s="1" t="e">
        <f aca="false" t="array" ref="D8:D8">_xlfn.xlookup($B$3,items,_xlfn.xlookup(C8,dates,big_table))</f>
        <v>#NAME?</v>
      </c>
      <c r="E8" s="1" t="n">
        <f aca="false" t="array" ref="E8:E8">IF(ISNA(_xlfn.xlookup("jodi_last",items,_xlfn.xlookup(C8,dates,big_table))),10^6,-100000)</f>
        <v>-100000</v>
      </c>
      <c r="F8" s="1" t="e">
        <f aca="false">_xlfn.xlookup(MONTH($C8),$M$6:$M$17,AE$6:AE$17)</f>
        <v>#NAME?</v>
      </c>
      <c r="G8" s="1" t="e">
        <f aca="false">_xlfn.xlookup(MONTH($C8),$M$6:$M$17,AF$6:AF$17)</f>
        <v>#NAME?</v>
      </c>
      <c r="H8" s="1" t="e">
        <f aca="false">_xlfn.xlookup(MONTH($C8),$M$6:$M$17,AG$6:AG$17)</f>
        <v>#NAME?</v>
      </c>
      <c r="I8" s="1" t="e">
        <f aca="false">_xlfn.xlookup(MONTH($C8),$M$6:$M$17,AH$6:AH$17)</f>
        <v>#NAME?</v>
      </c>
      <c r="K8" s="1" t="e">
        <f aca="false" t="array" ref="K8:K8">_xlfn.xlookup("jodi_last",items,_xlfn.xlookup(EOMONTH(DATE(Q$5,$M8,0),1)+1,dates,big_table))</f>
        <v>#NAME?</v>
      </c>
      <c r="L8" s="1" t="e">
        <f aca="false" t="array" ref="L8:L8">_xlfn.xlookup("jodi_last",items,_xlfn.xlookup(DATE(Q$5,$M8,1),dates,big_table))</f>
        <v>#NAME?</v>
      </c>
      <c r="M8" s="1" t="n">
        <f aca="false">M7+1</f>
        <v>3</v>
      </c>
      <c r="N8" s="1" t="str">
        <f aca="false">TEXT(DATE(2000,M8,1),"MMM")</f>
        <v>Mar</v>
      </c>
      <c r="O8" s="1" t="e">
        <f aca="false" t="array" ref="O8:O8">_xlfn.xlookup($B$3,items,_xlfn.xlookup(DATE(Q$5,$M8,1),dates,big_table_as_of))</f>
        <v>#NAME?</v>
      </c>
      <c r="P8" s="1" t="e">
        <f aca="false" t="array" ref="P8:P8">IF(ISNA($K8),_xlfn.xlookup($B$3,items,_xlfn.xlookup(DATE(Q$5,$M8,1),dates,big_table)),NA())</f>
        <v>#N/A</v>
      </c>
      <c r="Q8" s="1" t="e">
        <f aca="false" t="array" ref="Q8:Q8">IF(ISNA($L8),NA(),_xlfn.xlookup($B$3,items,_xlfn.xlookup(DATE(Q$5,$M8,1),dates,big_table)))</f>
        <v>#NAME?</v>
      </c>
      <c r="R8" s="1" t="e">
        <f aca="false" t="array" ref="R8:R8">IF(ISBLANK(_xlfn.xlookup($B$3,items,_xlfn.xlookup(DATE(R$5,$M8,1),dates,big_table))),NA(),_xlfn.xlookup($B$3,items,_xlfn.xlookup(DATE(R$5,$M8,1),dates,big_table)))</f>
        <v>#NAME?</v>
      </c>
      <c r="S8" s="1" t="e">
        <f aca="false" t="array" ref="S8:S8">IF(ISBLANK(_xlfn.xlookup($B$3,items,_xlfn.xlookup(DATE(S$5,$M8,1),dates,big_table))),NA(),_xlfn.xlookup($B$3,items,_xlfn.xlookup(DATE(S$5,$M8,1),dates,big_table)))</f>
        <v>#NAME?</v>
      </c>
      <c r="T8" s="1" t="e">
        <f aca="false" t="array" ref="T8:T8">IF(ISBLANK(_xlfn.xlookup($B$3,items,_xlfn.xlookup(DATE(T$5,$M8,1),dates,big_table))),NA(),_xlfn.xlookup($B$3,items,_xlfn.xlookup(DATE(T$5,$M8,1),dates,big_table)))</f>
        <v>#NAME?</v>
      </c>
      <c r="U8" s="1" t="e">
        <f aca="false" t="array" ref="U8:U8">IF(ISBLANK(_xlfn.xlookup($B$3,items,_xlfn.xlookup(DATE(U$5,$M8,1),dates,big_table))),NA(),_xlfn.xlookup($B$3,items,_xlfn.xlookup(DATE(U$5,$M8,1),dates,big_table)))</f>
        <v>#NAME?</v>
      </c>
      <c r="V8" s="1" t="e">
        <f aca="false" t="array" ref="V8:V8">IF(ISBLANK(_xlfn.xlookup($B$3,items,_xlfn.xlookup(DATE(V$5,$M8,1),dates,big_table))),NA(),_xlfn.xlookup($B$3,items,_xlfn.xlookup(DATE(V$5,$M8,1),dates,big_table)))</f>
        <v>#NAME?</v>
      </c>
      <c r="W8" s="1" t="e">
        <f aca="false" t="array" ref="W8:W8">IF(ISBLANK(_xlfn.xlookup($B$3,items,_xlfn.xlookup(DATE(W$5,$M8,1),dates,big_table))),NA(),_xlfn.xlookup($B$3,items,_xlfn.xlookup(DATE(W$5,$M8,1),dates,big_table)))</f>
        <v>#NAME?</v>
      </c>
      <c r="X8" s="1" t="e">
        <f aca="false" t="array" ref="X8:X8">IF(ISBLANK(_xlfn.xlookup($B$3,items,_xlfn.xlookup(DATE(X$5,$M8,1),dates,big_table))),NA(),_xlfn.xlookup($B$3,items,_xlfn.xlookup(DATE(X$5,$M8,1),dates,big_table)))</f>
        <v>#NAME?</v>
      </c>
      <c r="Y8" s="1" t="e">
        <f aca="false" t="array" ref="Y8:Y8">IF(ISBLANK(_xlfn.xlookup($B$3,items,_xlfn.xlookup(DATE(Y$5,$M8,1),dates,big_table))),NA(),_xlfn.xlookup($B$3,items,_xlfn.xlookup(DATE(Y$5,$M8,1),dates,big_table)))</f>
        <v>#NAME?</v>
      </c>
      <c r="Z8" s="1" t="e">
        <f aca="false" t="array" ref="Z8:Z8">IF(ISBLANK(_xlfn.xlookup($B$3,items,_xlfn.xlookup(DATE(Z$5,$M8,1),dates,big_table))),NA(),_xlfn.xlookup($B$3,items,_xlfn.xlookup(DATE(Z$5,$M8,1),dates,big_table)))</f>
        <v>#NAME?</v>
      </c>
      <c r="AA8" s="1" t="e">
        <f aca="false" t="array" ref="AA8:AA8">IF(ISBLANK(_xlfn.xlookup($B$3,items,_xlfn.xlookup(DATE(AA$5,$M8,1),dates,big_table))),NA(),_xlfn.xlookup($B$3,items,_xlfn.xlookup(DATE(AA$5,$M8,1),dates,big_table)))</f>
        <v>#NAME?</v>
      </c>
      <c r="AB8" s="1" t="e">
        <f aca="false" t="array" ref="AB8:AB8">IF(ISBLANK(_xlfn.xlookup($B$3,items,_xlfn.xlookup(DATE(AB$5,$M8,1),dates,big_table))),NA(),_xlfn.xlookup($B$3,items,_xlfn.xlookup(DATE(AB$5,$M8,1),dates,big_table)))</f>
        <v>#NAME?</v>
      </c>
      <c r="AC8" s="1" t="e">
        <f aca="false" t="array" ref="AC8:AC8">IF(ISBLANK(_xlfn.xlookup($B$3,items,_xlfn.xlookup(DATE(AC$5,$M8,1),dates,big_table))),NA(),_xlfn.xlookup($B$3,items,_xlfn.xlookup(DATE(AC$5,$M8,1),dates,big_table)))</f>
        <v>#NAME?</v>
      </c>
      <c r="AD8" s="1" t="e">
        <f aca="false" t="array" ref="AD8:AD8">IF(ISBLANK(_xlfn.xlookup($B$3,items,_xlfn.xlookup(DATE(AD$5,$M8,1),dates,big_table))),NA(),_xlfn.xlookup($B$3,items,_xlfn.xlookup(DATE(AD$5,$M8,1),dates,big_table)))</f>
        <v>#NAME?</v>
      </c>
      <c r="AE8" s="1" t="n">
        <f aca="true">_xlfn.AGGREGATE(5,6,OFFSET($T$5,M8,0,1,$J$2))</f>
        <v>0</v>
      </c>
      <c r="AF8" s="1" t="n">
        <f aca="true">_xlfn.AGGREGATE(4,6,OFFSET($T$5,M8,0,1,$J$2))</f>
        <v>0</v>
      </c>
      <c r="AG8" s="1" t="n">
        <f aca="false">AF8-AE8</f>
        <v>0</v>
      </c>
      <c r="AH8" s="1" t="e">
        <f aca="true">_xlfn.AGGREGATE(1,6,OFFSET($T$5,M8,0,1,$J$2))</f>
        <v>#DIV/0!</v>
      </c>
    </row>
    <row r="9" customFormat="false" ht="14.25" hidden="false" customHeight="false" outlineLevel="0" collapsed="false">
      <c r="C9" s="33" t="n">
        <f aca="false">EOMONTH(C8,0)+1</f>
        <v>41487</v>
      </c>
      <c r="D9" s="1" t="e">
        <f aca="false" t="array" ref="D9:D9">_xlfn.xlookup($B$3,items,_xlfn.xlookup(C9,dates,big_table))</f>
        <v>#NAME?</v>
      </c>
      <c r="E9" s="1" t="n">
        <f aca="false" t="array" ref="E9:E9">IF(ISNA(_xlfn.xlookup("jodi_last",items,_xlfn.xlookup(C9,dates,big_table))),10^6,-100000)</f>
        <v>-100000</v>
      </c>
      <c r="F9" s="1" t="e">
        <f aca="false">_xlfn.xlookup(MONTH($C9),$M$6:$M$17,AE$6:AE$17)</f>
        <v>#NAME?</v>
      </c>
      <c r="G9" s="1" t="e">
        <f aca="false">_xlfn.xlookup(MONTH($C9),$M$6:$M$17,AF$6:AF$17)</f>
        <v>#NAME?</v>
      </c>
      <c r="H9" s="1" t="e">
        <f aca="false">_xlfn.xlookup(MONTH($C9),$M$6:$M$17,AG$6:AG$17)</f>
        <v>#NAME?</v>
      </c>
      <c r="I9" s="1" t="e">
        <f aca="false">_xlfn.xlookup(MONTH($C9),$M$6:$M$17,AH$6:AH$17)</f>
        <v>#NAME?</v>
      </c>
      <c r="K9" s="1" t="e">
        <f aca="false" t="array" ref="K9:K9">_xlfn.xlookup("jodi_last",items,_xlfn.xlookup(EOMONTH(DATE(Q$5,$M9,0),1)+1,dates,big_table))</f>
        <v>#NAME?</v>
      </c>
      <c r="L9" s="1" t="e">
        <f aca="false" t="array" ref="L9:L9">_xlfn.xlookup("jodi_last",items,_xlfn.xlookup(DATE(Q$5,$M9,1),dates,big_table))</f>
        <v>#NAME?</v>
      </c>
      <c r="M9" s="1" t="n">
        <f aca="false">M8+1</f>
        <v>4</v>
      </c>
      <c r="N9" s="1" t="str">
        <f aca="false">TEXT(DATE(2000,M9,1),"MMM")</f>
        <v>Apr</v>
      </c>
      <c r="O9" s="1" t="e">
        <f aca="false" t="array" ref="O9:O9">_xlfn.xlookup($B$3,items,_xlfn.xlookup(DATE(Q$5,$M9,1),dates,big_table_as_of))</f>
        <v>#NAME?</v>
      </c>
      <c r="P9" s="1" t="e">
        <f aca="false" t="array" ref="P9:P9">IF(ISNA($K9),_xlfn.xlookup($B$3,items,_xlfn.xlookup(DATE(Q$5,$M9,1),dates,big_table)),NA())</f>
        <v>#N/A</v>
      </c>
      <c r="Q9" s="1" t="e">
        <f aca="false" t="array" ref="Q9:Q9">IF(ISNA($L9),NA(),_xlfn.xlookup($B$3,items,_xlfn.xlookup(DATE(Q$5,$M9,1),dates,big_table)))</f>
        <v>#NAME?</v>
      </c>
      <c r="R9" s="1" t="e">
        <f aca="false" t="array" ref="R9:R9">IF(ISBLANK(_xlfn.xlookup($B$3,items,_xlfn.xlookup(DATE(R$5,$M9,1),dates,big_table))),NA(),_xlfn.xlookup($B$3,items,_xlfn.xlookup(DATE(R$5,$M9,1),dates,big_table)))</f>
        <v>#NAME?</v>
      </c>
      <c r="S9" s="1" t="e">
        <f aca="false" t="array" ref="S9:S9">IF(ISBLANK(_xlfn.xlookup($B$3,items,_xlfn.xlookup(DATE(S$5,$M9,1),dates,big_table))),NA(),_xlfn.xlookup($B$3,items,_xlfn.xlookup(DATE(S$5,$M9,1),dates,big_table)))</f>
        <v>#NAME?</v>
      </c>
      <c r="T9" s="1" t="e">
        <f aca="false" t="array" ref="T9:T9">IF(ISBLANK(_xlfn.xlookup($B$3,items,_xlfn.xlookup(DATE(T$5,$M9,1),dates,big_table))),NA(),_xlfn.xlookup($B$3,items,_xlfn.xlookup(DATE(T$5,$M9,1),dates,big_table)))</f>
        <v>#NAME?</v>
      </c>
      <c r="U9" s="1" t="e">
        <f aca="false" t="array" ref="U9:U9">IF(ISBLANK(_xlfn.xlookup($B$3,items,_xlfn.xlookup(DATE(U$5,$M9,1),dates,big_table))),NA(),_xlfn.xlookup($B$3,items,_xlfn.xlookup(DATE(U$5,$M9,1),dates,big_table)))</f>
        <v>#NAME?</v>
      </c>
      <c r="V9" s="1" t="e">
        <f aca="false" t="array" ref="V9:V9">IF(ISBLANK(_xlfn.xlookup($B$3,items,_xlfn.xlookup(DATE(V$5,$M9,1),dates,big_table))),NA(),_xlfn.xlookup($B$3,items,_xlfn.xlookup(DATE(V$5,$M9,1),dates,big_table)))</f>
        <v>#NAME?</v>
      </c>
      <c r="W9" s="1" t="e">
        <f aca="false" t="array" ref="W9:W9">IF(ISBLANK(_xlfn.xlookup($B$3,items,_xlfn.xlookup(DATE(W$5,$M9,1),dates,big_table))),NA(),_xlfn.xlookup($B$3,items,_xlfn.xlookup(DATE(W$5,$M9,1),dates,big_table)))</f>
        <v>#NAME?</v>
      </c>
      <c r="X9" s="1" t="e">
        <f aca="false" t="array" ref="X9:X9">IF(ISBLANK(_xlfn.xlookup($B$3,items,_xlfn.xlookup(DATE(X$5,$M9,1),dates,big_table))),NA(),_xlfn.xlookup($B$3,items,_xlfn.xlookup(DATE(X$5,$M9,1),dates,big_table)))</f>
        <v>#NAME?</v>
      </c>
      <c r="Y9" s="1" t="e">
        <f aca="false" t="array" ref="Y9:Y9">IF(ISBLANK(_xlfn.xlookup($B$3,items,_xlfn.xlookup(DATE(Y$5,$M9,1),dates,big_table))),NA(),_xlfn.xlookup($B$3,items,_xlfn.xlookup(DATE(Y$5,$M9,1),dates,big_table)))</f>
        <v>#NAME?</v>
      </c>
      <c r="Z9" s="1" t="e">
        <f aca="false" t="array" ref="Z9:Z9">IF(ISBLANK(_xlfn.xlookup($B$3,items,_xlfn.xlookup(DATE(Z$5,$M9,1),dates,big_table))),NA(),_xlfn.xlookup($B$3,items,_xlfn.xlookup(DATE(Z$5,$M9,1),dates,big_table)))</f>
        <v>#NAME?</v>
      </c>
      <c r="AA9" s="1" t="e">
        <f aca="false" t="array" ref="AA9:AA9">IF(ISBLANK(_xlfn.xlookup($B$3,items,_xlfn.xlookup(DATE(AA$5,$M9,1),dates,big_table))),NA(),_xlfn.xlookup($B$3,items,_xlfn.xlookup(DATE(AA$5,$M9,1),dates,big_table)))</f>
        <v>#NAME?</v>
      </c>
      <c r="AB9" s="1" t="e">
        <f aca="false" t="array" ref="AB9:AB9">IF(ISBLANK(_xlfn.xlookup($B$3,items,_xlfn.xlookup(DATE(AB$5,$M9,1),dates,big_table))),NA(),_xlfn.xlookup($B$3,items,_xlfn.xlookup(DATE(AB$5,$M9,1),dates,big_table)))</f>
        <v>#NAME?</v>
      </c>
      <c r="AC9" s="1" t="e">
        <f aca="false" t="array" ref="AC9:AC9">IF(ISBLANK(_xlfn.xlookup($B$3,items,_xlfn.xlookup(DATE(AC$5,$M9,1),dates,big_table))),NA(),_xlfn.xlookup($B$3,items,_xlfn.xlookup(DATE(AC$5,$M9,1),dates,big_table)))</f>
        <v>#NAME?</v>
      </c>
      <c r="AD9" s="1" t="e">
        <f aca="false" t="array" ref="AD9:AD9">IF(ISBLANK(_xlfn.xlookup($B$3,items,_xlfn.xlookup(DATE(AD$5,$M9,1),dates,big_table))),NA(),_xlfn.xlookup($B$3,items,_xlfn.xlookup(DATE(AD$5,$M9,1),dates,big_table)))</f>
        <v>#NAME?</v>
      </c>
      <c r="AE9" s="1" t="n">
        <f aca="true">_xlfn.AGGREGATE(5,6,OFFSET($T$5,M9,0,1,$J$2))</f>
        <v>0</v>
      </c>
      <c r="AF9" s="1" t="n">
        <f aca="true">_xlfn.AGGREGATE(4,6,OFFSET($T$5,M9,0,1,$J$2))</f>
        <v>0</v>
      </c>
      <c r="AG9" s="1" t="n">
        <f aca="false">AF9-AE9</f>
        <v>0</v>
      </c>
      <c r="AH9" s="1" t="e">
        <f aca="true">_xlfn.AGGREGATE(1,6,OFFSET($T$5,M9,0,1,$J$2))</f>
        <v>#DIV/0!</v>
      </c>
    </row>
    <row r="10" customFormat="false" ht="14.25" hidden="false" customHeight="false" outlineLevel="0" collapsed="false">
      <c r="C10" s="33" t="n">
        <f aca="false">EOMONTH(C9,0)+1</f>
        <v>41518</v>
      </c>
      <c r="D10" s="1" t="e">
        <f aca="false" t="array" ref="D10:D10">_xlfn.xlookup($B$3,items,_xlfn.xlookup(C10,dates,big_table))</f>
        <v>#NAME?</v>
      </c>
      <c r="E10" s="1" t="n">
        <f aca="false" t="array" ref="E10:E10">IF(ISNA(_xlfn.xlookup("jodi_last",items,_xlfn.xlookup(C10,dates,big_table))),10^6,-100000)</f>
        <v>-100000</v>
      </c>
      <c r="F10" s="1" t="e">
        <f aca="false">_xlfn.xlookup(MONTH($C10),$M$6:$M$17,AE$6:AE$17)</f>
        <v>#NAME?</v>
      </c>
      <c r="G10" s="1" t="e">
        <f aca="false">_xlfn.xlookup(MONTH($C10),$M$6:$M$17,AF$6:AF$17)</f>
        <v>#NAME?</v>
      </c>
      <c r="H10" s="1" t="e">
        <f aca="false">_xlfn.xlookup(MONTH($C10),$M$6:$M$17,AG$6:AG$17)</f>
        <v>#NAME?</v>
      </c>
      <c r="I10" s="1" t="e">
        <f aca="false">_xlfn.xlookup(MONTH($C10),$M$6:$M$17,AH$6:AH$17)</f>
        <v>#NAME?</v>
      </c>
      <c r="K10" s="1" t="e">
        <f aca="false" t="array" ref="K10:K10">_xlfn.xlookup("jodi_last",items,_xlfn.xlookup(EOMONTH(DATE(Q$5,$M10,0),1)+1,dates,big_table))</f>
        <v>#NAME?</v>
      </c>
      <c r="L10" s="1" t="e">
        <f aca="false" t="array" ref="L10:L10">_xlfn.xlookup("jodi_last",items,_xlfn.xlookup(DATE(Q$5,$M10,1),dates,big_table))</f>
        <v>#NAME?</v>
      </c>
      <c r="M10" s="1" t="n">
        <f aca="false">M9+1</f>
        <v>5</v>
      </c>
      <c r="N10" s="1" t="str">
        <f aca="false">TEXT(DATE(2000,M10,1),"MMM")</f>
        <v>May</v>
      </c>
      <c r="O10" s="1" t="e">
        <f aca="false" t="array" ref="O10:O10">_xlfn.xlookup($B$3,items,_xlfn.xlookup(DATE(Q$5,$M10,1),dates,big_table_as_of))</f>
        <v>#NAME?</v>
      </c>
      <c r="P10" s="1" t="e">
        <f aca="false" t="array" ref="P10:P10">IF(ISNA($K10),_xlfn.xlookup($B$3,items,_xlfn.xlookup(DATE(Q$5,$M10,1),dates,big_table)),NA())</f>
        <v>#N/A</v>
      </c>
      <c r="Q10" s="1" t="e">
        <f aca="false" t="array" ref="Q10:Q10">IF(ISNA($L10),NA(),_xlfn.xlookup($B$3,items,_xlfn.xlookup(DATE(Q$5,$M10,1),dates,big_table)))</f>
        <v>#NAME?</v>
      </c>
      <c r="R10" s="1" t="e">
        <f aca="false" t="array" ref="R10:R10">IF(ISBLANK(_xlfn.xlookup($B$3,items,_xlfn.xlookup(DATE(R$5,$M10,1),dates,big_table))),NA(),_xlfn.xlookup($B$3,items,_xlfn.xlookup(DATE(R$5,$M10,1),dates,big_table)))</f>
        <v>#NAME?</v>
      </c>
      <c r="S10" s="1" t="e">
        <f aca="false" t="array" ref="S10:S10">IF(ISBLANK(_xlfn.xlookup($B$3,items,_xlfn.xlookup(DATE(S$5,$M10,1),dates,big_table))),NA(),_xlfn.xlookup($B$3,items,_xlfn.xlookup(DATE(S$5,$M10,1),dates,big_table)))</f>
        <v>#NAME?</v>
      </c>
      <c r="T10" s="1" t="e">
        <f aca="false" t="array" ref="T10:T10">IF(ISBLANK(_xlfn.xlookup($B$3,items,_xlfn.xlookup(DATE(T$5,$M10,1),dates,big_table))),NA(),_xlfn.xlookup($B$3,items,_xlfn.xlookup(DATE(T$5,$M10,1),dates,big_table)))</f>
        <v>#NAME?</v>
      </c>
      <c r="U10" s="1" t="e">
        <f aca="false" t="array" ref="U10:U10">IF(ISBLANK(_xlfn.xlookup($B$3,items,_xlfn.xlookup(DATE(U$5,$M10,1),dates,big_table))),NA(),_xlfn.xlookup($B$3,items,_xlfn.xlookup(DATE(U$5,$M10,1),dates,big_table)))</f>
        <v>#NAME?</v>
      </c>
      <c r="V10" s="1" t="e">
        <f aca="false" t="array" ref="V10:V10">IF(ISBLANK(_xlfn.xlookup($B$3,items,_xlfn.xlookup(DATE(V$5,$M10,1),dates,big_table))),NA(),_xlfn.xlookup($B$3,items,_xlfn.xlookup(DATE(V$5,$M10,1),dates,big_table)))</f>
        <v>#NAME?</v>
      </c>
      <c r="W10" s="1" t="e">
        <f aca="false" t="array" ref="W10:W10">IF(ISBLANK(_xlfn.xlookup($B$3,items,_xlfn.xlookup(DATE(W$5,$M10,1),dates,big_table))),NA(),_xlfn.xlookup($B$3,items,_xlfn.xlookup(DATE(W$5,$M10,1),dates,big_table)))</f>
        <v>#NAME?</v>
      </c>
      <c r="X10" s="1" t="e">
        <f aca="false" t="array" ref="X10:X10">IF(ISBLANK(_xlfn.xlookup($B$3,items,_xlfn.xlookup(DATE(X$5,$M10,1),dates,big_table))),NA(),_xlfn.xlookup($B$3,items,_xlfn.xlookup(DATE(X$5,$M10,1),dates,big_table)))</f>
        <v>#NAME?</v>
      </c>
      <c r="Y10" s="1" t="e">
        <f aca="false" t="array" ref="Y10:Y10">IF(ISBLANK(_xlfn.xlookup($B$3,items,_xlfn.xlookup(DATE(Y$5,$M10,1),dates,big_table))),NA(),_xlfn.xlookup($B$3,items,_xlfn.xlookup(DATE(Y$5,$M10,1),dates,big_table)))</f>
        <v>#NAME?</v>
      </c>
      <c r="Z10" s="1" t="e">
        <f aca="false" t="array" ref="Z10:Z10">IF(ISBLANK(_xlfn.xlookup($B$3,items,_xlfn.xlookup(DATE(Z$5,$M10,1),dates,big_table))),NA(),_xlfn.xlookup($B$3,items,_xlfn.xlookup(DATE(Z$5,$M10,1),dates,big_table)))</f>
        <v>#NAME?</v>
      </c>
      <c r="AA10" s="1" t="e">
        <f aca="false" t="array" ref="AA10:AA10">IF(ISBLANK(_xlfn.xlookup($B$3,items,_xlfn.xlookup(DATE(AA$5,$M10,1),dates,big_table))),NA(),_xlfn.xlookup($B$3,items,_xlfn.xlookup(DATE(AA$5,$M10,1),dates,big_table)))</f>
        <v>#NAME?</v>
      </c>
      <c r="AB10" s="1" t="e">
        <f aca="false" t="array" ref="AB10:AB10">IF(ISBLANK(_xlfn.xlookup($B$3,items,_xlfn.xlookup(DATE(AB$5,$M10,1),dates,big_table))),NA(),_xlfn.xlookup($B$3,items,_xlfn.xlookup(DATE(AB$5,$M10,1),dates,big_table)))</f>
        <v>#NAME?</v>
      </c>
      <c r="AC10" s="1" t="e">
        <f aca="false" t="array" ref="AC10:AC10">IF(ISBLANK(_xlfn.xlookup($B$3,items,_xlfn.xlookup(DATE(AC$5,$M10,1),dates,big_table))),NA(),_xlfn.xlookup($B$3,items,_xlfn.xlookup(DATE(AC$5,$M10,1),dates,big_table)))</f>
        <v>#NAME?</v>
      </c>
      <c r="AD10" s="1" t="e">
        <f aca="false" t="array" ref="AD10:AD10">IF(ISBLANK(_xlfn.xlookup($B$3,items,_xlfn.xlookup(DATE(AD$5,$M10,1),dates,big_table))),NA(),_xlfn.xlookup($B$3,items,_xlfn.xlookup(DATE(AD$5,$M10,1),dates,big_table)))</f>
        <v>#NAME?</v>
      </c>
      <c r="AE10" s="1" t="n">
        <f aca="true">_xlfn.AGGREGATE(5,6,OFFSET($T$5,M10,0,1,$J$2))</f>
        <v>0</v>
      </c>
      <c r="AF10" s="1" t="n">
        <f aca="true">_xlfn.AGGREGATE(4,6,OFFSET($T$5,M10,0,1,$J$2))</f>
        <v>0</v>
      </c>
      <c r="AG10" s="1" t="n">
        <f aca="false">AF10-AE10</f>
        <v>0</v>
      </c>
      <c r="AH10" s="1" t="e">
        <f aca="true">_xlfn.AGGREGATE(1,6,OFFSET($T$5,M10,0,1,$J$2))</f>
        <v>#DIV/0!</v>
      </c>
    </row>
    <row r="11" customFormat="false" ht="14.25" hidden="false" customHeight="false" outlineLevel="0" collapsed="false">
      <c r="C11" s="33" t="n">
        <f aca="false">EOMONTH(C10,0)+1</f>
        <v>41548</v>
      </c>
      <c r="D11" s="1" t="e">
        <f aca="false" t="array" ref="D11:D11">_xlfn.xlookup($B$3,items,_xlfn.xlookup(C11,dates,big_table))</f>
        <v>#NAME?</v>
      </c>
      <c r="E11" s="1" t="n">
        <f aca="false" t="array" ref="E11:E11">IF(ISNA(_xlfn.xlookup("jodi_last",items,_xlfn.xlookup(C11,dates,big_table))),10^6,-100000)</f>
        <v>-100000</v>
      </c>
      <c r="F11" s="1" t="e">
        <f aca="false">_xlfn.xlookup(MONTH($C11),$M$6:$M$17,AE$6:AE$17)</f>
        <v>#NAME?</v>
      </c>
      <c r="G11" s="1" t="e">
        <f aca="false">_xlfn.xlookup(MONTH($C11),$M$6:$M$17,AF$6:AF$17)</f>
        <v>#NAME?</v>
      </c>
      <c r="H11" s="1" t="e">
        <f aca="false">_xlfn.xlookup(MONTH($C11),$M$6:$M$17,AG$6:AG$17)</f>
        <v>#NAME?</v>
      </c>
      <c r="I11" s="1" t="e">
        <f aca="false">_xlfn.xlookup(MONTH($C11),$M$6:$M$17,AH$6:AH$17)</f>
        <v>#NAME?</v>
      </c>
      <c r="K11" s="1" t="e">
        <f aca="false" t="array" ref="K11:K11">_xlfn.xlookup("jodi_last",items,_xlfn.xlookup(EOMONTH(DATE(Q$5,$M11,0),1)+1,dates,big_table))</f>
        <v>#NAME?</v>
      </c>
      <c r="L11" s="1" t="e">
        <f aca="false" t="array" ref="L11:L11">_xlfn.xlookup("jodi_last",items,_xlfn.xlookup(DATE(Q$5,$M11,1),dates,big_table))</f>
        <v>#NAME?</v>
      </c>
      <c r="M11" s="1" t="n">
        <f aca="false">M10+1</f>
        <v>6</v>
      </c>
      <c r="N11" s="1" t="str">
        <f aca="false">TEXT(DATE(2000,M11,1),"MMM")</f>
        <v>Jun</v>
      </c>
      <c r="O11" s="1" t="e">
        <f aca="false" t="array" ref="O11:O11">_xlfn.xlookup($B$3,items,_xlfn.xlookup(DATE(Q$5,$M11,1),dates,big_table_as_of))</f>
        <v>#NAME?</v>
      </c>
      <c r="P11" s="1" t="e">
        <f aca="false" t="array" ref="P11:P11">IF(ISNA($K11),_xlfn.xlookup($B$3,items,_xlfn.xlookup(DATE(Q$5,$M11,1),dates,big_table)),NA())</f>
        <v>#N/A</v>
      </c>
      <c r="Q11" s="1" t="e">
        <f aca="false" t="array" ref="Q11:Q11">IF(ISNA($L11),NA(),_xlfn.xlookup($B$3,items,_xlfn.xlookup(DATE(Q$5,$M11,1),dates,big_table)))</f>
        <v>#NAME?</v>
      </c>
      <c r="R11" s="1" t="e">
        <f aca="false" t="array" ref="R11:R11">IF(ISBLANK(_xlfn.xlookup($B$3,items,_xlfn.xlookup(DATE(R$5,$M11,1),dates,big_table))),NA(),_xlfn.xlookup($B$3,items,_xlfn.xlookup(DATE(R$5,$M11,1),dates,big_table)))</f>
        <v>#NAME?</v>
      </c>
      <c r="S11" s="1" t="e">
        <f aca="false" t="array" ref="S11:S11">IF(ISBLANK(_xlfn.xlookup($B$3,items,_xlfn.xlookup(DATE(S$5,$M11,1),dates,big_table))),NA(),_xlfn.xlookup($B$3,items,_xlfn.xlookup(DATE(S$5,$M11,1),dates,big_table)))</f>
        <v>#NAME?</v>
      </c>
      <c r="T11" s="1" t="e">
        <f aca="false" t="array" ref="T11:T11">IF(ISBLANK(_xlfn.xlookup($B$3,items,_xlfn.xlookup(DATE(T$5,$M11,1),dates,big_table))),NA(),_xlfn.xlookup($B$3,items,_xlfn.xlookup(DATE(T$5,$M11,1),dates,big_table)))</f>
        <v>#NAME?</v>
      </c>
      <c r="U11" s="1" t="e">
        <f aca="false" t="array" ref="U11:U11">IF(ISBLANK(_xlfn.xlookup($B$3,items,_xlfn.xlookup(DATE(U$5,$M11,1),dates,big_table))),NA(),_xlfn.xlookup($B$3,items,_xlfn.xlookup(DATE(U$5,$M11,1),dates,big_table)))</f>
        <v>#NAME?</v>
      </c>
      <c r="V11" s="1" t="e">
        <f aca="false" t="array" ref="V11:V11">IF(ISBLANK(_xlfn.xlookup($B$3,items,_xlfn.xlookup(DATE(V$5,$M11,1),dates,big_table))),NA(),_xlfn.xlookup($B$3,items,_xlfn.xlookup(DATE(V$5,$M11,1),dates,big_table)))</f>
        <v>#NAME?</v>
      </c>
      <c r="W11" s="1" t="e">
        <f aca="false" t="array" ref="W11:W11">IF(ISBLANK(_xlfn.xlookup($B$3,items,_xlfn.xlookup(DATE(W$5,$M11,1),dates,big_table))),NA(),_xlfn.xlookup($B$3,items,_xlfn.xlookup(DATE(W$5,$M11,1),dates,big_table)))</f>
        <v>#NAME?</v>
      </c>
      <c r="X11" s="1" t="e">
        <f aca="false" t="array" ref="X11:X11">IF(ISBLANK(_xlfn.xlookup($B$3,items,_xlfn.xlookup(DATE(X$5,$M11,1),dates,big_table))),NA(),_xlfn.xlookup($B$3,items,_xlfn.xlookup(DATE(X$5,$M11,1),dates,big_table)))</f>
        <v>#NAME?</v>
      </c>
      <c r="Y11" s="1" t="e">
        <f aca="false" t="array" ref="Y11:Y11">IF(ISBLANK(_xlfn.xlookup($B$3,items,_xlfn.xlookup(DATE(Y$5,$M11,1),dates,big_table))),NA(),_xlfn.xlookup($B$3,items,_xlfn.xlookup(DATE(Y$5,$M11,1),dates,big_table)))</f>
        <v>#NAME?</v>
      </c>
      <c r="Z11" s="1" t="e">
        <f aca="false" t="array" ref="Z11:Z11">IF(ISBLANK(_xlfn.xlookup($B$3,items,_xlfn.xlookup(DATE(Z$5,$M11,1),dates,big_table))),NA(),_xlfn.xlookup($B$3,items,_xlfn.xlookup(DATE(Z$5,$M11,1),dates,big_table)))</f>
        <v>#NAME?</v>
      </c>
      <c r="AA11" s="1" t="e">
        <f aca="false" t="array" ref="AA11:AA11">IF(ISBLANK(_xlfn.xlookup($B$3,items,_xlfn.xlookup(DATE(AA$5,$M11,1),dates,big_table))),NA(),_xlfn.xlookup($B$3,items,_xlfn.xlookup(DATE(AA$5,$M11,1),dates,big_table)))</f>
        <v>#NAME?</v>
      </c>
      <c r="AB11" s="1" t="e">
        <f aca="false" t="array" ref="AB11:AB11">IF(ISBLANK(_xlfn.xlookup($B$3,items,_xlfn.xlookup(DATE(AB$5,$M11,1),dates,big_table))),NA(),_xlfn.xlookup($B$3,items,_xlfn.xlookup(DATE(AB$5,$M11,1),dates,big_table)))</f>
        <v>#NAME?</v>
      </c>
      <c r="AC11" s="1" t="e">
        <f aca="false" t="array" ref="AC11:AC11">IF(ISBLANK(_xlfn.xlookup($B$3,items,_xlfn.xlookup(DATE(AC$5,$M11,1),dates,big_table))),NA(),_xlfn.xlookup($B$3,items,_xlfn.xlookup(DATE(AC$5,$M11,1),dates,big_table)))</f>
        <v>#NAME?</v>
      </c>
      <c r="AD11" s="1" t="e">
        <f aca="false" t="array" ref="AD11:AD11">IF(ISBLANK(_xlfn.xlookup($B$3,items,_xlfn.xlookup(DATE(AD$5,$M11,1),dates,big_table))),NA(),_xlfn.xlookup($B$3,items,_xlfn.xlookup(DATE(AD$5,$M11,1),dates,big_table)))</f>
        <v>#NAME?</v>
      </c>
      <c r="AE11" s="1" t="n">
        <f aca="true">_xlfn.AGGREGATE(5,6,OFFSET($T$5,M11,0,1,$J$2))</f>
        <v>0</v>
      </c>
      <c r="AF11" s="1" t="n">
        <f aca="true">_xlfn.AGGREGATE(4,6,OFFSET($T$5,M11,0,1,$J$2))</f>
        <v>0</v>
      </c>
      <c r="AG11" s="1" t="n">
        <f aca="false">AF11-AE11</f>
        <v>0</v>
      </c>
      <c r="AH11" s="1" t="e">
        <f aca="true">_xlfn.AGGREGATE(1,6,OFFSET($T$5,M11,0,1,$J$2))</f>
        <v>#DIV/0!</v>
      </c>
    </row>
    <row r="12" customFormat="false" ht="14.25" hidden="false" customHeight="false" outlineLevel="0" collapsed="false">
      <c r="C12" s="33" t="n">
        <f aca="false">EOMONTH(C11,0)+1</f>
        <v>41579</v>
      </c>
      <c r="D12" s="1" t="e">
        <f aca="false" t="array" ref="D12:D12">_xlfn.xlookup($B$3,items,_xlfn.xlookup(C12,dates,big_table))</f>
        <v>#NAME?</v>
      </c>
      <c r="E12" s="1" t="n">
        <f aca="false" t="array" ref="E12:E12">IF(ISNA(_xlfn.xlookup("jodi_last",items,_xlfn.xlookup(C12,dates,big_table))),10^6,-100000)</f>
        <v>-100000</v>
      </c>
      <c r="F12" s="1" t="e">
        <f aca="false">_xlfn.xlookup(MONTH($C12),$M$6:$M$17,AE$6:AE$17)</f>
        <v>#NAME?</v>
      </c>
      <c r="G12" s="1" t="e">
        <f aca="false">_xlfn.xlookup(MONTH($C12),$M$6:$M$17,AF$6:AF$17)</f>
        <v>#NAME?</v>
      </c>
      <c r="H12" s="1" t="e">
        <f aca="false">_xlfn.xlookup(MONTH($C12),$M$6:$M$17,AG$6:AG$17)</f>
        <v>#NAME?</v>
      </c>
      <c r="I12" s="1" t="e">
        <f aca="false">_xlfn.xlookup(MONTH($C12),$M$6:$M$17,AH$6:AH$17)</f>
        <v>#NAME?</v>
      </c>
      <c r="K12" s="1" t="e">
        <f aca="false" t="array" ref="K12:K12">_xlfn.xlookup("jodi_last",items,_xlfn.xlookup(EOMONTH(DATE(Q$5,$M12,0),1)+1,dates,big_table))</f>
        <v>#NAME?</v>
      </c>
      <c r="L12" s="1" t="e">
        <f aca="false" t="array" ref="L12:L12">_xlfn.xlookup("jodi_last",items,_xlfn.xlookup(DATE(Q$5,$M12,1),dates,big_table))</f>
        <v>#NAME?</v>
      </c>
      <c r="M12" s="1" t="n">
        <f aca="false">M11+1</f>
        <v>7</v>
      </c>
      <c r="N12" s="1" t="str">
        <f aca="false">TEXT(DATE(2000,M12,1),"MMM")</f>
        <v>Jul</v>
      </c>
      <c r="O12" s="1" t="e">
        <f aca="false" t="array" ref="O12:O12">_xlfn.xlookup($B$3,items,_xlfn.xlookup(DATE(Q$5,$M12,1),dates,big_table_as_of))</f>
        <v>#NAME?</v>
      </c>
      <c r="P12" s="1" t="e">
        <f aca="false" t="array" ref="P12:P12">IF(ISNA($K12),_xlfn.xlookup($B$3,items,_xlfn.xlookup(DATE(Q$5,$M12,1),dates,big_table)),NA())</f>
        <v>#N/A</v>
      </c>
      <c r="Q12" s="1" t="e">
        <f aca="false" t="array" ref="Q12:Q12">IF(ISNA($L12),NA(),_xlfn.xlookup($B$3,items,_xlfn.xlookup(DATE(Q$5,$M12,1),dates,big_table)))</f>
        <v>#NAME?</v>
      </c>
      <c r="R12" s="1" t="e">
        <f aca="false" t="array" ref="R12:R12">IF(ISBLANK(_xlfn.xlookup($B$3,items,_xlfn.xlookup(DATE(R$5,$M12,1),dates,big_table))),NA(),_xlfn.xlookup($B$3,items,_xlfn.xlookup(DATE(R$5,$M12,1),dates,big_table)))</f>
        <v>#NAME?</v>
      </c>
      <c r="S12" s="1" t="e">
        <f aca="false" t="array" ref="S12:S12">IF(ISBLANK(_xlfn.xlookup($B$3,items,_xlfn.xlookup(DATE(S$5,$M12,1),dates,big_table))),NA(),_xlfn.xlookup($B$3,items,_xlfn.xlookup(DATE(S$5,$M12,1),dates,big_table)))</f>
        <v>#NAME?</v>
      </c>
      <c r="T12" s="1" t="e">
        <f aca="false" t="array" ref="T12:T12">IF(ISBLANK(_xlfn.xlookup($B$3,items,_xlfn.xlookup(DATE(T$5,$M12,1),dates,big_table))),NA(),_xlfn.xlookup($B$3,items,_xlfn.xlookup(DATE(T$5,$M12,1),dates,big_table)))</f>
        <v>#NAME?</v>
      </c>
      <c r="U12" s="1" t="e">
        <f aca="false" t="array" ref="U12:U12">IF(ISBLANK(_xlfn.xlookup($B$3,items,_xlfn.xlookup(DATE(U$5,$M12,1),dates,big_table))),NA(),_xlfn.xlookup($B$3,items,_xlfn.xlookup(DATE(U$5,$M12,1),dates,big_table)))</f>
        <v>#NAME?</v>
      </c>
      <c r="V12" s="1" t="e">
        <f aca="false" t="array" ref="V12:V12">IF(ISBLANK(_xlfn.xlookup($B$3,items,_xlfn.xlookup(DATE(V$5,$M12,1),dates,big_table))),NA(),_xlfn.xlookup($B$3,items,_xlfn.xlookup(DATE(V$5,$M12,1),dates,big_table)))</f>
        <v>#NAME?</v>
      </c>
      <c r="W12" s="1" t="e">
        <f aca="false" t="array" ref="W12:W12">IF(ISBLANK(_xlfn.xlookup($B$3,items,_xlfn.xlookup(DATE(W$5,$M12,1),dates,big_table))),NA(),_xlfn.xlookup($B$3,items,_xlfn.xlookup(DATE(W$5,$M12,1),dates,big_table)))</f>
        <v>#NAME?</v>
      </c>
      <c r="X12" s="1" t="e">
        <f aca="false" t="array" ref="X12:X12">IF(ISBLANK(_xlfn.xlookup($B$3,items,_xlfn.xlookup(DATE(X$5,$M12,1),dates,big_table))),NA(),_xlfn.xlookup($B$3,items,_xlfn.xlookup(DATE(X$5,$M12,1),dates,big_table)))</f>
        <v>#NAME?</v>
      </c>
      <c r="Y12" s="1" t="e">
        <f aca="false" t="array" ref="Y12:Y12">IF(ISBLANK(_xlfn.xlookup($B$3,items,_xlfn.xlookup(DATE(Y$5,$M12,1),dates,big_table))),NA(),_xlfn.xlookup($B$3,items,_xlfn.xlookup(DATE(Y$5,$M12,1),dates,big_table)))</f>
        <v>#NAME?</v>
      </c>
      <c r="Z12" s="1" t="e">
        <f aca="false" t="array" ref="Z12:Z12">IF(ISBLANK(_xlfn.xlookup($B$3,items,_xlfn.xlookup(DATE(Z$5,$M12,1),dates,big_table))),NA(),_xlfn.xlookup($B$3,items,_xlfn.xlookup(DATE(Z$5,$M12,1),dates,big_table)))</f>
        <v>#NAME?</v>
      </c>
      <c r="AA12" s="1" t="e">
        <f aca="false" t="array" ref="AA12:AA12">IF(ISBLANK(_xlfn.xlookup($B$3,items,_xlfn.xlookup(DATE(AA$5,$M12,1),dates,big_table))),NA(),_xlfn.xlookup($B$3,items,_xlfn.xlookup(DATE(AA$5,$M12,1),dates,big_table)))</f>
        <v>#NAME?</v>
      </c>
      <c r="AB12" s="1" t="e">
        <f aca="false" t="array" ref="AB12:AB12">IF(ISBLANK(_xlfn.xlookup($B$3,items,_xlfn.xlookup(DATE(AB$5,$M12,1),dates,big_table))),NA(),_xlfn.xlookup($B$3,items,_xlfn.xlookup(DATE(AB$5,$M12,1),dates,big_table)))</f>
        <v>#NAME?</v>
      </c>
      <c r="AC12" s="1" t="e">
        <f aca="false" t="array" ref="AC12:AC12">IF(ISBLANK(_xlfn.xlookup($B$3,items,_xlfn.xlookup(DATE(AC$5,$M12,1),dates,big_table))),NA(),_xlfn.xlookup($B$3,items,_xlfn.xlookup(DATE(AC$5,$M12,1),dates,big_table)))</f>
        <v>#NAME?</v>
      </c>
      <c r="AD12" s="1" t="e">
        <f aca="false" t="array" ref="AD12:AD12">IF(ISBLANK(_xlfn.xlookup($B$3,items,_xlfn.xlookup(DATE(AD$5,$M12,1),dates,big_table))),NA(),_xlfn.xlookup($B$3,items,_xlfn.xlookup(DATE(AD$5,$M12,1),dates,big_table)))</f>
        <v>#NAME?</v>
      </c>
      <c r="AE12" s="1" t="n">
        <f aca="true">_xlfn.AGGREGATE(5,6,OFFSET($T$5,M12,0,1,$J$2))</f>
        <v>0</v>
      </c>
      <c r="AF12" s="1" t="n">
        <f aca="true">_xlfn.AGGREGATE(4,6,OFFSET($T$5,M12,0,1,$J$2))</f>
        <v>0</v>
      </c>
      <c r="AG12" s="1" t="n">
        <f aca="false">AF12-AE12</f>
        <v>0</v>
      </c>
      <c r="AH12" s="1" t="e">
        <f aca="true">_xlfn.AGGREGATE(1,6,OFFSET($T$5,M12,0,1,$J$2))</f>
        <v>#DIV/0!</v>
      </c>
    </row>
    <row r="13" customFormat="false" ht="14.25" hidden="false" customHeight="false" outlineLevel="0" collapsed="false">
      <c r="C13" s="33" t="n">
        <f aca="false">EOMONTH(C12,0)+1</f>
        <v>41609</v>
      </c>
      <c r="D13" s="1" t="e">
        <f aca="false" t="array" ref="D13:D13">_xlfn.xlookup($B$3,items,_xlfn.xlookup(C13,dates,big_table))</f>
        <v>#NAME?</v>
      </c>
      <c r="E13" s="1" t="n">
        <f aca="false" t="array" ref="E13:E13">IF(ISNA(_xlfn.xlookup("jodi_last",items,_xlfn.xlookup(C13,dates,big_table))),10^6,-100000)</f>
        <v>-100000</v>
      </c>
      <c r="F13" s="1" t="e">
        <f aca="false">_xlfn.xlookup(MONTH($C13),$M$6:$M$17,AE$6:AE$17)</f>
        <v>#NAME?</v>
      </c>
      <c r="G13" s="1" t="e">
        <f aca="false">_xlfn.xlookup(MONTH($C13),$M$6:$M$17,AF$6:AF$17)</f>
        <v>#NAME?</v>
      </c>
      <c r="H13" s="1" t="e">
        <f aca="false">_xlfn.xlookup(MONTH($C13),$M$6:$M$17,AG$6:AG$17)</f>
        <v>#NAME?</v>
      </c>
      <c r="I13" s="1" t="e">
        <f aca="false">_xlfn.xlookup(MONTH($C13),$M$6:$M$17,AH$6:AH$17)</f>
        <v>#NAME?</v>
      </c>
      <c r="K13" s="1" t="e">
        <f aca="false" t="array" ref="K13:K13">_xlfn.xlookup("jodi_last",items,_xlfn.xlookup(EOMONTH(DATE(Q$5,$M13,0),1)+1,dates,big_table))</f>
        <v>#NAME?</v>
      </c>
      <c r="L13" s="1" t="e">
        <f aca="false" t="array" ref="L13:L13">_xlfn.xlookup("jodi_last",items,_xlfn.xlookup(DATE(Q$5,$M13,1),dates,big_table))</f>
        <v>#NAME?</v>
      </c>
      <c r="M13" s="1" t="n">
        <f aca="false">M12+1</f>
        <v>8</v>
      </c>
      <c r="N13" s="1" t="str">
        <f aca="false">TEXT(DATE(2000,M13,1),"MMM")</f>
        <v>Aug</v>
      </c>
      <c r="O13" s="1" t="e">
        <f aca="false" t="array" ref="O13:O13">_xlfn.xlookup($B$3,items,_xlfn.xlookup(DATE(Q$5,$M13,1),dates,big_table_as_of))</f>
        <v>#NAME?</v>
      </c>
      <c r="P13" s="1" t="e">
        <f aca="false" t="array" ref="P13:P13">IF(ISNA($K13),_xlfn.xlookup($B$3,items,_xlfn.xlookup(DATE(Q$5,$M13,1),dates,big_table)),NA())</f>
        <v>#N/A</v>
      </c>
      <c r="Q13" s="1" t="e">
        <f aca="false" t="array" ref="Q13:Q13">IF(ISNA($L13),NA(),_xlfn.xlookup($B$3,items,_xlfn.xlookup(DATE(Q$5,$M13,1),dates,big_table)))</f>
        <v>#NAME?</v>
      </c>
      <c r="R13" s="1" t="e">
        <f aca="false" t="array" ref="R13:R13">IF(ISBLANK(_xlfn.xlookup($B$3,items,_xlfn.xlookup(DATE(R$5,$M13,1),dates,big_table))),NA(),_xlfn.xlookup($B$3,items,_xlfn.xlookup(DATE(R$5,$M13,1),dates,big_table)))</f>
        <v>#NAME?</v>
      </c>
      <c r="S13" s="1" t="e">
        <f aca="false" t="array" ref="S13:S13">IF(ISBLANK(_xlfn.xlookup($B$3,items,_xlfn.xlookup(DATE(S$5,$M13,1),dates,big_table))),NA(),_xlfn.xlookup($B$3,items,_xlfn.xlookup(DATE(S$5,$M13,1),dates,big_table)))</f>
        <v>#NAME?</v>
      </c>
      <c r="T13" s="1" t="e">
        <f aca="false" t="array" ref="T13:T13">IF(ISBLANK(_xlfn.xlookup($B$3,items,_xlfn.xlookup(DATE(T$5,$M13,1),dates,big_table))),NA(),_xlfn.xlookup($B$3,items,_xlfn.xlookup(DATE(T$5,$M13,1),dates,big_table)))</f>
        <v>#NAME?</v>
      </c>
      <c r="U13" s="1" t="e">
        <f aca="false" t="array" ref="U13:U13">IF(ISBLANK(_xlfn.xlookup($B$3,items,_xlfn.xlookup(DATE(U$5,$M13,1),dates,big_table))),NA(),_xlfn.xlookup($B$3,items,_xlfn.xlookup(DATE(U$5,$M13,1),dates,big_table)))</f>
        <v>#NAME?</v>
      </c>
      <c r="V13" s="1" t="e">
        <f aca="false" t="array" ref="V13:V13">IF(ISBLANK(_xlfn.xlookup($B$3,items,_xlfn.xlookup(DATE(V$5,$M13,1),dates,big_table))),NA(),_xlfn.xlookup($B$3,items,_xlfn.xlookup(DATE(V$5,$M13,1),dates,big_table)))</f>
        <v>#NAME?</v>
      </c>
      <c r="W13" s="1" t="e">
        <f aca="false" t="array" ref="W13:W13">IF(ISBLANK(_xlfn.xlookup($B$3,items,_xlfn.xlookup(DATE(W$5,$M13,1),dates,big_table))),NA(),_xlfn.xlookup($B$3,items,_xlfn.xlookup(DATE(W$5,$M13,1),dates,big_table)))</f>
        <v>#NAME?</v>
      </c>
      <c r="X13" s="1" t="e">
        <f aca="false" t="array" ref="X13:X13">IF(ISBLANK(_xlfn.xlookup($B$3,items,_xlfn.xlookup(DATE(X$5,$M13,1),dates,big_table))),NA(),_xlfn.xlookup($B$3,items,_xlfn.xlookup(DATE(X$5,$M13,1),dates,big_table)))</f>
        <v>#NAME?</v>
      </c>
      <c r="Y13" s="1" t="e">
        <f aca="false" t="array" ref="Y13:Y13">IF(ISBLANK(_xlfn.xlookup($B$3,items,_xlfn.xlookup(DATE(Y$5,$M13,1),dates,big_table))),NA(),_xlfn.xlookup($B$3,items,_xlfn.xlookup(DATE(Y$5,$M13,1),dates,big_table)))</f>
        <v>#NAME?</v>
      </c>
      <c r="Z13" s="1" t="e">
        <f aca="false" t="array" ref="Z13:Z13">IF(ISBLANK(_xlfn.xlookup($B$3,items,_xlfn.xlookup(DATE(Z$5,$M13,1),dates,big_table))),NA(),_xlfn.xlookup($B$3,items,_xlfn.xlookup(DATE(Z$5,$M13,1),dates,big_table)))</f>
        <v>#NAME?</v>
      </c>
      <c r="AA13" s="1" t="e">
        <f aca="false" t="array" ref="AA13:AA13">IF(ISBLANK(_xlfn.xlookup($B$3,items,_xlfn.xlookup(DATE(AA$5,$M13,1),dates,big_table))),NA(),_xlfn.xlookup($B$3,items,_xlfn.xlookup(DATE(AA$5,$M13,1),dates,big_table)))</f>
        <v>#NAME?</v>
      </c>
      <c r="AB13" s="1" t="e">
        <f aca="false" t="array" ref="AB13:AB13">IF(ISBLANK(_xlfn.xlookup($B$3,items,_xlfn.xlookup(DATE(AB$5,$M13,1),dates,big_table))),NA(),_xlfn.xlookup($B$3,items,_xlfn.xlookup(DATE(AB$5,$M13,1),dates,big_table)))</f>
        <v>#NAME?</v>
      </c>
      <c r="AC13" s="1" t="e">
        <f aca="false" t="array" ref="AC13:AC13">IF(ISBLANK(_xlfn.xlookup($B$3,items,_xlfn.xlookup(DATE(AC$5,$M13,1),dates,big_table))),NA(),_xlfn.xlookup($B$3,items,_xlfn.xlookup(DATE(AC$5,$M13,1),dates,big_table)))</f>
        <v>#NAME?</v>
      </c>
      <c r="AD13" s="1" t="e">
        <f aca="false" t="array" ref="AD13:AD13">IF(ISBLANK(_xlfn.xlookup($B$3,items,_xlfn.xlookup(DATE(AD$5,$M13,1),dates,big_table))),NA(),_xlfn.xlookup($B$3,items,_xlfn.xlookup(DATE(AD$5,$M13,1),dates,big_table)))</f>
        <v>#NAME?</v>
      </c>
      <c r="AE13" s="1" t="n">
        <f aca="true">_xlfn.AGGREGATE(5,6,OFFSET($T$5,M13,0,1,$J$2))</f>
        <v>0</v>
      </c>
      <c r="AF13" s="1" t="n">
        <f aca="true">_xlfn.AGGREGATE(4,6,OFFSET($T$5,M13,0,1,$J$2))</f>
        <v>0</v>
      </c>
      <c r="AG13" s="1" t="n">
        <f aca="false">AF13-AE13</f>
        <v>0</v>
      </c>
      <c r="AH13" s="1" t="e">
        <f aca="true">_xlfn.AGGREGATE(1,6,OFFSET($T$5,M13,0,1,$J$2))</f>
        <v>#DIV/0!</v>
      </c>
    </row>
    <row r="14" customFormat="false" ht="14.25" hidden="false" customHeight="false" outlineLevel="0" collapsed="false">
      <c r="C14" s="33" t="n">
        <f aca="false">EOMONTH(C13,0)+1</f>
        <v>41640</v>
      </c>
      <c r="D14" s="1" t="e">
        <f aca="false" t="array" ref="D14:D14">_xlfn.xlookup($B$3,items,_xlfn.xlookup(C14,dates,big_table))</f>
        <v>#NAME?</v>
      </c>
      <c r="E14" s="1" t="n">
        <f aca="false" t="array" ref="E14:E14">IF(ISNA(_xlfn.xlookup("jodi_last",items,_xlfn.xlookup(C14,dates,big_table))),10^6,-100000)</f>
        <v>-100000</v>
      </c>
      <c r="F14" s="1" t="e">
        <f aca="false">_xlfn.xlookup(MONTH($C14),$M$6:$M$17,AE$6:AE$17)</f>
        <v>#NAME?</v>
      </c>
      <c r="G14" s="1" t="e">
        <f aca="false">_xlfn.xlookup(MONTH($C14),$M$6:$M$17,AF$6:AF$17)</f>
        <v>#NAME?</v>
      </c>
      <c r="H14" s="1" t="e">
        <f aca="false">_xlfn.xlookup(MONTH($C14),$M$6:$M$17,AG$6:AG$17)</f>
        <v>#NAME?</v>
      </c>
      <c r="I14" s="1" t="e">
        <f aca="false">_xlfn.xlookup(MONTH($C14),$M$6:$M$17,AH$6:AH$17)</f>
        <v>#NAME?</v>
      </c>
      <c r="K14" s="1" t="e">
        <f aca="false" t="array" ref="K14:K14">_xlfn.xlookup("jodi_last",items,_xlfn.xlookup(EOMONTH(DATE(Q$5,$M14,0),1)+1,dates,big_table))</f>
        <v>#NAME?</v>
      </c>
      <c r="L14" s="1" t="e">
        <f aca="false" t="array" ref="L14:L14">_xlfn.xlookup("jodi_last",items,_xlfn.xlookup(DATE(Q$5,$M14,1),dates,big_table))</f>
        <v>#NAME?</v>
      </c>
      <c r="M14" s="1" t="n">
        <f aca="false">M13+1</f>
        <v>9</v>
      </c>
      <c r="N14" s="1" t="str">
        <f aca="false">TEXT(DATE(2000,M14,1),"MMM")</f>
        <v>Sep</v>
      </c>
      <c r="O14" s="1" t="e">
        <f aca="false" t="array" ref="O14:O14">_xlfn.xlookup($B$3,items,_xlfn.xlookup(DATE(Q$5,$M14,1),dates,big_table_as_of))</f>
        <v>#NAME?</v>
      </c>
      <c r="P14" s="1" t="e">
        <f aca="false" t="array" ref="P14:P14">IF(ISNA($K14),_xlfn.xlookup($B$3,items,_xlfn.xlookup(DATE(Q$5,$M14,1),dates,big_table)),NA())</f>
        <v>#N/A</v>
      </c>
      <c r="Q14" s="1" t="e">
        <f aca="false" t="array" ref="Q14:Q14">IF(ISNA($L14),NA(),_xlfn.xlookup($B$3,items,_xlfn.xlookup(DATE(Q$5,$M14,1),dates,big_table)))</f>
        <v>#NAME?</v>
      </c>
      <c r="R14" s="1" t="e">
        <f aca="false" t="array" ref="R14:R14">IF(ISBLANK(_xlfn.xlookup($B$3,items,_xlfn.xlookup(DATE(R$5,$M14,1),dates,big_table))),NA(),_xlfn.xlookup($B$3,items,_xlfn.xlookup(DATE(R$5,$M14,1),dates,big_table)))</f>
        <v>#NAME?</v>
      </c>
      <c r="S14" s="1" t="e">
        <f aca="false" t="array" ref="S14:S14">IF(ISBLANK(_xlfn.xlookup($B$3,items,_xlfn.xlookup(DATE(S$5,$M14,1),dates,big_table))),NA(),_xlfn.xlookup($B$3,items,_xlfn.xlookup(DATE(S$5,$M14,1),dates,big_table)))</f>
        <v>#NAME?</v>
      </c>
      <c r="T14" s="1" t="e">
        <f aca="false" t="array" ref="T14:T14">IF(ISBLANK(_xlfn.xlookup($B$3,items,_xlfn.xlookup(DATE(T$5,$M14,1),dates,big_table))),NA(),_xlfn.xlookup($B$3,items,_xlfn.xlookup(DATE(T$5,$M14,1),dates,big_table)))</f>
        <v>#NAME?</v>
      </c>
      <c r="U14" s="1" t="e">
        <f aca="false" t="array" ref="U14:U14">IF(ISBLANK(_xlfn.xlookup($B$3,items,_xlfn.xlookup(DATE(U$5,$M14,1),dates,big_table))),NA(),_xlfn.xlookup($B$3,items,_xlfn.xlookup(DATE(U$5,$M14,1),dates,big_table)))</f>
        <v>#NAME?</v>
      </c>
      <c r="V14" s="1" t="e">
        <f aca="false" t="array" ref="V14:V14">IF(ISBLANK(_xlfn.xlookup($B$3,items,_xlfn.xlookup(DATE(V$5,$M14,1),dates,big_table))),NA(),_xlfn.xlookup($B$3,items,_xlfn.xlookup(DATE(V$5,$M14,1),dates,big_table)))</f>
        <v>#NAME?</v>
      </c>
      <c r="W14" s="1" t="e">
        <f aca="false" t="array" ref="W14:W14">IF(ISBLANK(_xlfn.xlookup($B$3,items,_xlfn.xlookup(DATE(W$5,$M14,1),dates,big_table))),NA(),_xlfn.xlookup($B$3,items,_xlfn.xlookup(DATE(W$5,$M14,1),dates,big_table)))</f>
        <v>#NAME?</v>
      </c>
      <c r="X14" s="1" t="e">
        <f aca="false" t="array" ref="X14:X14">IF(ISBLANK(_xlfn.xlookup($B$3,items,_xlfn.xlookup(DATE(X$5,$M14,1),dates,big_table))),NA(),_xlfn.xlookup($B$3,items,_xlfn.xlookup(DATE(X$5,$M14,1),dates,big_table)))</f>
        <v>#NAME?</v>
      </c>
      <c r="Y14" s="1" t="e">
        <f aca="false" t="array" ref="Y14:Y14">IF(ISBLANK(_xlfn.xlookup($B$3,items,_xlfn.xlookup(DATE(Y$5,$M14,1),dates,big_table))),NA(),_xlfn.xlookup($B$3,items,_xlfn.xlookup(DATE(Y$5,$M14,1),dates,big_table)))</f>
        <v>#NAME?</v>
      </c>
      <c r="Z14" s="1" t="e">
        <f aca="false" t="array" ref="Z14:Z14">IF(ISBLANK(_xlfn.xlookup($B$3,items,_xlfn.xlookup(DATE(Z$5,$M14,1),dates,big_table))),NA(),_xlfn.xlookup($B$3,items,_xlfn.xlookup(DATE(Z$5,$M14,1),dates,big_table)))</f>
        <v>#NAME?</v>
      </c>
      <c r="AA14" s="1" t="e">
        <f aca="false" t="array" ref="AA14:AA14">IF(ISBLANK(_xlfn.xlookup($B$3,items,_xlfn.xlookup(DATE(AA$5,$M14,1),dates,big_table))),NA(),_xlfn.xlookup($B$3,items,_xlfn.xlookup(DATE(AA$5,$M14,1),dates,big_table)))</f>
        <v>#NAME?</v>
      </c>
      <c r="AB14" s="1" t="e">
        <f aca="false" t="array" ref="AB14:AB14">IF(ISBLANK(_xlfn.xlookup($B$3,items,_xlfn.xlookup(DATE(AB$5,$M14,1),dates,big_table))),NA(),_xlfn.xlookup($B$3,items,_xlfn.xlookup(DATE(AB$5,$M14,1),dates,big_table)))</f>
        <v>#NAME?</v>
      </c>
      <c r="AC14" s="1" t="e">
        <f aca="false" t="array" ref="AC14:AC14">IF(ISBLANK(_xlfn.xlookup($B$3,items,_xlfn.xlookup(DATE(AC$5,$M14,1),dates,big_table))),NA(),_xlfn.xlookup($B$3,items,_xlfn.xlookup(DATE(AC$5,$M14,1),dates,big_table)))</f>
        <v>#NAME?</v>
      </c>
      <c r="AD14" s="1" t="e">
        <f aca="false" t="array" ref="AD14:AD14">IF(ISBLANK(_xlfn.xlookup($B$3,items,_xlfn.xlookup(DATE(AD$5,$M14,1),dates,big_table))),NA(),_xlfn.xlookup($B$3,items,_xlfn.xlookup(DATE(AD$5,$M14,1),dates,big_table)))</f>
        <v>#NAME?</v>
      </c>
      <c r="AE14" s="1" t="n">
        <f aca="true">_xlfn.AGGREGATE(5,6,OFFSET($T$5,M14,0,1,$J$2))</f>
        <v>0</v>
      </c>
      <c r="AF14" s="1" t="n">
        <f aca="true">_xlfn.AGGREGATE(4,6,OFFSET($T$5,M14,0,1,$J$2))</f>
        <v>0</v>
      </c>
      <c r="AG14" s="1" t="n">
        <f aca="false">AF14-AE14</f>
        <v>0</v>
      </c>
      <c r="AH14" s="1" t="e">
        <f aca="true">_xlfn.AGGREGATE(1,6,OFFSET($T$5,M14,0,1,$J$2))</f>
        <v>#DIV/0!</v>
      </c>
    </row>
    <row r="15" customFormat="false" ht="14.25" hidden="false" customHeight="false" outlineLevel="0" collapsed="false">
      <c r="C15" s="33" t="n">
        <f aca="false">EOMONTH(C14,0)+1</f>
        <v>41671</v>
      </c>
      <c r="D15" s="1" t="e">
        <f aca="false" t="array" ref="D15:D15">_xlfn.xlookup($B$3,items,_xlfn.xlookup(C15,dates,big_table))</f>
        <v>#NAME?</v>
      </c>
      <c r="E15" s="1" t="n">
        <f aca="false" t="array" ref="E15:E15">IF(ISNA(_xlfn.xlookup("jodi_last",items,_xlfn.xlookup(C15,dates,big_table))),10^6,-100000)</f>
        <v>-100000</v>
      </c>
      <c r="F15" s="1" t="e">
        <f aca="false">_xlfn.xlookup(MONTH($C15),$M$6:$M$17,AE$6:AE$17)</f>
        <v>#NAME?</v>
      </c>
      <c r="G15" s="1" t="e">
        <f aca="false">_xlfn.xlookup(MONTH($C15),$M$6:$M$17,AF$6:AF$17)</f>
        <v>#NAME?</v>
      </c>
      <c r="H15" s="1" t="e">
        <f aca="false">_xlfn.xlookup(MONTH($C15),$M$6:$M$17,AG$6:AG$17)</f>
        <v>#NAME?</v>
      </c>
      <c r="I15" s="1" t="e">
        <f aca="false">_xlfn.xlookup(MONTH($C15),$M$6:$M$17,AH$6:AH$17)</f>
        <v>#NAME?</v>
      </c>
      <c r="K15" s="1" t="e">
        <f aca="false" t="array" ref="K15:K15">_xlfn.xlookup("jodi_last",items,_xlfn.xlookup(EOMONTH(DATE(Q$5,$M15,0),1)+1,dates,big_table))</f>
        <v>#NAME?</v>
      </c>
      <c r="L15" s="1" t="e">
        <f aca="false" t="array" ref="L15:L15">_xlfn.xlookup("jodi_last",items,_xlfn.xlookup(DATE(Q$5,$M15,1),dates,big_table))</f>
        <v>#NAME?</v>
      </c>
      <c r="M15" s="1" t="n">
        <f aca="false">M14+1</f>
        <v>10</v>
      </c>
      <c r="N15" s="1" t="str">
        <f aca="false">TEXT(DATE(2000,M15,1),"MMM")</f>
        <v>Oct</v>
      </c>
      <c r="O15" s="1" t="e">
        <f aca="false" t="array" ref="O15:O15">_xlfn.xlookup($B$3,items,_xlfn.xlookup(DATE(Q$5,$M15,1),dates,big_table_as_of))</f>
        <v>#NAME?</v>
      </c>
      <c r="P15" s="1" t="e">
        <f aca="false" t="array" ref="P15:P15">IF(ISNA($K15),_xlfn.xlookup($B$3,items,_xlfn.xlookup(DATE(Q$5,$M15,1),dates,big_table)),NA())</f>
        <v>#N/A</v>
      </c>
      <c r="Q15" s="1" t="e">
        <f aca="false" t="array" ref="Q15:Q15">IF(ISNA($L15),NA(),_xlfn.xlookup($B$3,items,_xlfn.xlookup(DATE(Q$5,$M15,1),dates,big_table)))</f>
        <v>#NAME?</v>
      </c>
      <c r="R15" s="1" t="e">
        <f aca="false" t="array" ref="R15:R15">IF(ISBLANK(_xlfn.xlookup($B$3,items,_xlfn.xlookup(DATE(R$5,$M15,1),dates,big_table))),NA(),_xlfn.xlookup($B$3,items,_xlfn.xlookup(DATE(R$5,$M15,1),dates,big_table)))</f>
        <v>#NAME?</v>
      </c>
      <c r="S15" s="1" t="e">
        <f aca="false" t="array" ref="S15:S15">IF(ISBLANK(_xlfn.xlookup($B$3,items,_xlfn.xlookup(DATE(S$5,$M15,1),dates,big_table))),NA(),_xlfn.xlookup($B$3,items,_xlfn.xlookup(DATE(S$5,$M15,1),dates,big_table)))</f>
        <v>#NAME?</v>
      </c>
      <c r="T15" s="1" t="e">
        <f aca="false" t="array" ref="T15:T15">IF(ISBLANK(_xlfn.xlookup($B$3,items,_xlfn.xlookup(DATE(T$5,$M15,1),dates,big_table))),NA(),_xlfn.xlookup($B$3,items,_xlfn.xlookup(DATE(T$5,$M15,1),dates,big_table)))</f>
        <v>#NAME?</v>
      </c>
      <c r="U15" s="1" t="e">
        <f aca="false" t="array" ref="U15:U15">IF(ISBLANK(_xlfn.xlookup($B$3,items,_xlfn.xlookup(DATE(U$5,$M15,1),dates,big_table))),NA(),_xlfn.xlookup($B$3,items,_xlfn.xlookup(DATE(U$5,$M15,1),dates,big_table)))</f>
        <v>#NAME?</v>
      </c>
      <c r="V15" s="1" t="e">
        <f aca="false" t="array" ref="V15:V15">IF(ISBLANK(_xlfn.xlookup($B$3,items,_xlfn.xlookup(DATE(V$5,$M15,1),dates,big_table))),NA(),_xlfn.xlookup($B$3,items,_xlfn.xlookup(DATE(V$5,$M15,1),dates,big_table)))</f>
        <v>#NAME?</v>
      </c>
      <c r="W15" s="1" t="e">
        <f aca="false" t="array" ref="W15:W15">IF(ISBLANK(_xlfn.xlookup($B$3,items,_xlfn.xlookup(DATE(W$5,$M15,1),dates,big_table))),NA(),_xlfn.xlookup($B$3,items,_xlfn.xlookup(DATE(W$5,$M15,1),dates,big_table)))</f>
        <v>#NAME?</v>
      </c>
      <c r="X15" s="1" t="e">
        <f aca="false" t="array" ref="X15:X15">IF(ISBLANK(_xlfn.xlookup($B$3,items,_xlfn.xlookup(DATE(X$5,$M15,1),dates,big_table))),NA(),_xlfn.xlookup($B$3,items,_xlfn.xlookup(DATE(X$5,$M15,1),dates,big_table)))</f>
        <v>#NAME?</v>
      </c>
      <c r="Y15" s="1" t="e">
        <f aca="false" t="array" ref="Y15:Y15">IF(ISBLANK(_xlfn.xlookup($B$3,items,_xlfn.xlookup(DATE(Y$5,$M15,1),dates,big_table))),NA(),_xlfn.xlookup($B$3,items,_xlfn.xlookup(DATE(Y$5,$M15,1),dates,big_table)))</f>
        <v>#NAME?</v>
      </c>
      <c r="Z15" s="1" t="e">
        <f aca="false" t="array" ref="Z15:Z15">IF(ISBLANK(_xlfn.xlookup($B$3,items,_xlfn.xlookup(DATE(Z$5,$M15,1),dates,big_table))),NA(),_xlfn.xlookup($B$3,items,_xlfn.xlookup(DATE(Z$5,$M15,1),dates,big_table)))</f>
        <v>#NAME?</v>
      </c>
      <c r="AA15" s="1" t="e">
        <f aca="false" t="array" ref="AA15:AA15">IF(ISBLANK(_xlfn.xlookup($B$3,items,_xlfn.xlookup(DATE(AA$5,$M15,1),dates,big_table))),NA(),_xlfn.xlookup($B$3,items,_xlfn.xlookup(DATE(AA$5,$M15,1),dates,big_table)))</f>
        <v>#NAME?</v>
      </c>
      <c r="AB15" s="1" t="e">
        <f aca="false" t="array" ref="AB15:AB15">IF(ISBLANK(_xlfn.xlookup($B$3,items,_xlfn.xlookup(DATE(AB$5,$M15,1),dates,big_table))),NA(),_xlfn.xlookup($B$3,items,_xlfn.xlookup(DATE(AB$5,$M15,1),dates,big_table)))</f>
        <v>#NAME?</v>
      </c>
      <c r="AC15" s="1" t="e">
        <f aca="false" t="array" ref="AC15:AC15">IF(ISBLANK(_xlfn.xlookup($B$3,items,_xlfn.xlookup(DATE(AC$5,$M15,1),dates,big_table))),NA(),_xlfn.xlookup($B$3,items,_xlfn.xlookup(DATE(AC$5,$M15,1),dates,big_table)))</f>
        <v>#NAME?</v>
      </c>
      <c r="AD15" s="1" t="e">
        <f aca="false" t="array" ref="AD15:AD15">IF(ISBLANK(_xlfn.xlookup($B$3,items,_xlfn.xlookup(DATE(AD$5,$M15,1),dates,big_table))),NA(),_xlfn.xlookup($B$3,items,_xlfn.xlookup(DATE(AD$5,$M15,1),dates,big_table)))</f>
        <v>#NAME?</v>
      </c>
      <c r="AE15" s="1" t="n">
        <f aca="true">_xlfn.AGGREGATE(5,6,OFFSET($T$5,M15,0,1,$J$2))</f>
        <v>0</v>
      </c>
      <c r="AF15" s="1" t="n">
        <f aca="true">_xlfn.AGGREGATE(4,6,OFFSET($T$5,M15,0,1,$J$2))</f>
        <v>0</v>
      </c>
      <c r="AG15" s="1" t="n">
        <f aca="false">AF15-AE15</f>
        <v>0</v>
      </c>
      <c r="AH15" s="1" t="e">
        <f aca="true">_xlfn.AGGREGATE(1,6,OFFSET($T$5,M15,0,1,$J$2))</f>
        <v>#DIV/0!</v>
      </c>
    </row>
    <row r="16" customFormat="false" ht="14.25" hidden="false" customHeight="false" outlineLevel="0" collapsed="false">
      <c r="C16" s="33" t="n">
        <f aca="false">EOMONTH(C15,0)+1</f>
        <v>41699</v>
      </c>
      <c r="D16" s="1" t="e">
        <f aca="false" t="array" ref="D16:D16">_xlfn.xlookup($B$3,items,_xlfn.xlookup(C16,dates,big_table))</f>
        <v>#NAME?</v>
      </c>
      <c r="E16" s="1" t="n">
        <f aca="false" t="array" ref="E16:E16">IF(ISNA(_xlfn.xlookup("jodi_last",items,_xlfn.xlookup(C16,dates,big_table))),10^6,-100000)</f>
        <v>-100000</v>
      </c>
      <c r="F16" s="1" t="e">
        <f aca="false">_xlfn.xlookup(MONTH($C16),$M$6:$M$17,AE$6:AE$17)</f>
        <v>#NAME?</v>
      </c>
      <c r="G16" s="1" t="e">
        <f aca="false">_xlfn.xlookup(MONTH($C16),$M$6:$M$17,AF$6:AF$17)</f>
        <v>#NAME?</v>
      </c>
      <c r="H16" s="1" t="e">
        <f aca="false">_xlfn.xlookup(MONTH($C16),$M$6:$M$17,AG$6:AG$17)</f>
        <v>#NAME?</v>
      </c>
      <c r="I16" s="1" t="e">
        <f aca="false">_xlfn.xlookup(MONTH($C16),$M$6:$M$17,AH$6:AH$17)</f>
        <v>#NAME?</v>
      </c>
      <c r="K16" s="1" t="e">
        <f aca="false" t="array" ref="K16:K16">_xlfn.xlookup("jodi_last",items,_xlfn.xlookup(EOMONTH(DATE(Q$5,$M16,0),1)+1,dates,big_table))</f>
        <v>#NAME?</v>
      </c>
      <c r="L16" s="1" t="e">
        <f aca="false" t="array" ref="L16:L16">_xlfn.xlookup("jodi_last",items,_xlfn.xlookup(DATE(Q$5,$M16,1),dates,big_table))</f>
        <v>#NAME?</v>
      </c>
      <c r="M16" s="1" t="n">
        <f aca="false">M15+1</f>
        <v>11</v>
      </c>
      <c r="N16" s="1" t="str">
        <f aca="false">TEXT(DATE(2000,M16,1),"MMM")</f>
        <v>Nov</v>
      </c>
      <c r="O16" s="1" t="e">
        <f aca="false" t="array" ref="O16:O16">_xlfn.xlookup($B$3,items,_xlfn.xlookup(DATE(Q$5,$M16,1),dates,big_table_as_of))</f>
        <v>#NAME?</v>
      </c>
      <c r="P16" s="1" t="e">
        <f aca="false" t="array" ref="P16:P16">IF(ISNA($K16),_xlfn.xlookup($B$3,items,_xlfn.xlookup(DATE(Q$5,$M16,1),dates,big_table)),NA())</f>
        <v>#N/A</v>
      </c>
      <c r="Q16" s="1" t="e">
        <f aca="false" t="array" ref="Q16:Q16">IF(ISNA($L16),NA(),_xlfn.xlookup($B$3,items,_xlfn.xlookup(DATE(Q$5,$M16,1),dates,big_table)))</f>
        <v>#NAME?</v>
      </c>
      <c r="R16" s="1" t="e">
        <f aca="false" t="array" ref="R16:R16">IF(ISBLANK(_xlfn.xlookup($B$3,items,_xlfn.xlookup(DATE(R$5,$M16,1),dates,big_table))),NA(),_xlfn.xlookup($B$3,items,_xlfn.xlookup(DATE(R$5,$M16,1),dates,big_table)))</f>
        <v>#NAME?</v>
      </c>
      <c r="S16" s="1" t="e">
        <f aca="false" t="array" ref="S16:S16">IF(ISBLANK(_xlfn.xlookup($B$3,items,_xlfn.xlookup(DATE(S$5,$M16,1),dates,big_table))),NA(),_xlfn.xlookup($B$3,items,_xlfn.xlookup(DATE(S$5,$M16,1),dates,big_table)))</f>
        <v>#NAME?</v>
      </c>
      <c r="T16" s="1" t="e">
        <f aca="false" t="array" ref="T16:T16">IF(ISBLANK(_xlfn.xlookup($B$3,items,_xlfn.xlookup(DATE(T$5,$M16,1),dates,big_table))),NA(),_xlfn.xlookup($B$3,items,_xlfn.xlookup(DATE(T$5,$M16,1),dates,big_table)))</f>
        <v>#NAME?</v>
      </c>
      <c r="U16" s="1" t="e">
        <f aca="false" t="array" ref="U16:U16">IF(ISBLANK(_xlfn.xlookup($B$3,items,_xlfn.xlookup(DATE(U$5,$M16,1),dates,big_table))),NA(),_xlfn.xlookup($B$3,items,_xlfn.xlookup(DATE(U$5,$M16,1),dates,big_table)))</f>
        <v>#NAME?</v>
      </c>
      <c r="V16" s="1" t="e">
        <f aca="false" t="array" ref="V16:V16">IF(ISBLANK(_xlfn.xlookup($B$3,items,_xlfn.xlookup(DATE(V$5,$M16,1),dates,big_table))),NA(),_xlfn.xlookup($B$3,items,_xlfn.xlookup(DATE(V$5,$M16,1),dates,big_table)))</f>
        <v>#NAME?</v>
      </c>
      <c r="W16" s="1" t="e">
        <f aca="false" t="array" ref="W16:W16">IF(ISBLANK(_xlfn.xlookup($B$3,items,_xlfn.xlookup(DATE(W$5,$M16,1),dates,big_table))),NA(),_xlfn.xlookup($B$3,items,_xlfn.xlookup(DATE(W$5,$M16,1),dates,big_table)))</f>
        <v>#NAME?</v>
      </c>
      <c r="X16" s="1" t="e">
        <f aca="false" t="array" ref="X16:X16">IF(ISBLANK(_xlfn.xlookup($B$3,items,_xlfn.xlookup(DATE(X$5,$M16,1),dates,big_table))),NA(),_xlfn.xlookup($B$3,items,_xlfn.xlookup(DATE(X$5,$M16,1),dates,big_table)))</f>
        <v>#NAME?</v>
      </c>
      <c r="Y16" s="1" t="e">
        <f aca="false" t="array" ref="Y16:Y16">IF(ISBLANK(_xlfn.xlookup($B$3,items,_xlfn.xlookup(DATE(Y$5,$M16,1),dates,big_table))),NA(),_xlfn.xlookup($B$3,items,_xlfn.xlookup(DATE(Y$5,$M16,1),dates,big_table)))</f>
        <v>#NAME?</v>
      </c>
      <c r="Z16" s="1" t="e">
        <f aca="false" t="array" ref="Z16:Z16">IF(ISBLANK(_xlfn.xlookup($B$3,items,_xlfn.xlookup(DATE(Z$5,$M16,1),dates,big_table))),NA(),_xlfn.xlookup($B$3,items,_xlfn.xlookup(DATE(Z$5,$M16,1),dates,big_table)))</f>
        <v>#NAME?</v>
      </c>
      <c r="AA16" s="1" t="e">
        <f aca="false" t="array" ref="AA16:AA16">IF(ISBLANK(_xlfn.xlookup($B$3,items,_xlfn.xlookup(DATE(AA$5,$M16,1),dates,big_table))),NA(),_xlfn.xlookup($B$3,items,_xlfn.xlookup(DATE(AA$5,$M16,1),dates,big_table)))</f>
        <v>#NAME?</v>
      </c>
      <c r="AB16" s="1" t="e">
        <f aca="false" t="array" ref="AB16:AB16">IF(ISBLANK(_xlfn.xlookup($B$3,items,_xlfn.xlookup(DATE(AB$5,$M16,1),dates,big_table))),NA(),_xlfn.xlookup($B$3,items,_xlfn.xlookup(DATE(AB$5,$M16,1),dates,big_table)))</f>
        <v>#NAME?</v>
      </c>
      <c r="AC16" s="1" t="e">
        <f aca="false" t="array" ref="AC16:AC16">IF(ISBLANK(_xlfn.xlookup($B$3,items,_xlfn.xlookup(DATE(AC$5,$M16,1),dates,big_table))),NA(),_xlfn.xlookup($B$3,items,_xlfn.xlookup(DATE(AC$5,$M16,1),dates,big_table)))</f>
        <v>#NAME?</v>
      </c>
      <c r="AD16" s="1" t="e">
        <f aca="false" t="array" ref="AD16:AD16">IF(ISBLANK(_xlfn.xlookup($B$3,items,_xlfn.xlookup(DATE(AD$5,$M16,1),dates,big_table))),NA(),_xlfn.xlookup($B$3,items,_xlfn.xlookup(DATE(AD$5,$M16,1),dates,big_table)))</f>
        <v>#NAME?</v>
      </c>
      <c r="AE16" s="1" t="n">
        <f aca="true">_xlfn.AGGREGATE(5,6,OFFSET($T$5,M16,0,1,$J$2))</f>
        <v>0</v>
      </c>
      <c r="AF16" s="1" t="n">
        <f aca="true">_xlfn.AGGREGATE(4,6,OFFSET($T$5,M16,0,1,$J$2))</f>
        <v>0</v>
      </c>
      <c r="AG16" s="1" t="n">
        <f aca="false">AF16-AE16</f>
        <v>0</v>
      </c>
      <c r="AH16" s="1" t="e">
        <f aca="true">_xlfn.AGGREGATE(1,6,OFFSET($T$5,M16,0,1,$J$2))</f>
        <v>#DIV/0!</v>
      </c>
    </row>
    <row r="17" customFormat="false" ht="14.25" hidden="false" customHeight="false" outlineLevel="0" collapsed="false">
      <c r="C17" s="33" t="n">
        <f aca="false">EOMONTH(C16,0)+1</f>
        <v>41730</v>
      </c>
      <c r="D17" s="1" t="e">
        <f aca="false" t="array" ref="D17:D17">_xlfn.xlookup($B$3,items,_xlfn.xlookup(C17,dates,big_table))</f>
        <v>#NAME?</v>
      </c>
      <c r="E17" s="1" t="n">
        <f aca="false" t="array" ref="E17:E17">IF(ISNA(_xlfn.xlookup("jodi_last",items,_xlfn.xlookup(C17,dates,big_table))),10^6,-100000)</f>
        <v>-100000</v>
      </c>
      <c r="F17" s="1" t="e">
        <f aca="false">_xlfn.xlookup(MONTH($C17),$M$6:$M$17,AE$6:AE$17)</f>
        <v>#NAME?</v>
      </c>
      <c r="G17" s="1" t="e">
        <f aca="false">_xlfn.xlookup(MONTH($C17),$M$6:$M$17,AF$6:AF$17)</f>
        <v>#NAME?</v>
      </c>
      <c r="H17" s="1" t="e">
        <f aca="false">_xlfn.xlookup(MONTH($C17),$M$6:$M$17,AG$6:AG$17)</f>
        <v>#NAME?</v>
      </c>
      <c r="I17" s="1" t="e">
        <f aca="false">_xlfn.xlookup(MONTH($C17),$M$6:$M$17,AH$6:AH$17)</f>
        <v>#NAME?</v>
      </c>
      <c r="K17" s="20" t="e">
        <f aca="false" t="array" ref="K17:K17">_xlfn.xlookup("jodi_last",items,_xlfn.xlookup(EOMONTH(DATE(Q$5,$M17,0),1)+1,dates,big_table))</f>
        <v>#NAME?</v>
      </c>
      <c r="L17" s="20" t="e">
        <f aca="false" t="array" ref="L17:L17">_xlfn.xlookup("jodi_last",items,_xlfn.xlookup(DATE(Q$5,$M17,1),dates,big_table))</f>
        <v>#NAME?</v>
      </c>
      <c r="M17" s="20" t="n">
        <f aca="false">M16+1</f>
        <v>12</v>
      </c>
      <c r="N17" s="20" t="str">
        <f aca="false">TEXT(DATE(2000,M17,1),"MMM")</f>
        <v>Dec</v>
      </c>
      <c r="O17" s="20" t="e">
        <f aca="false" t="array" ref="O17:O17">_xlfn.xlookup($B$3,items,_xlfn.xlookup(DATE(Q$5,$M17,1),dates,big_table_as_of))</f>
        <v>#NAME?</v>
      </c>
      <c r="P17" s="20" t="e">
        <f aca="false" t="array" ref="P17:P17">IF(ISNA($K17),_xlfn.xlookup($B$3,items,_xlfn.xlookup(DATE(Q$5,$M17,1),dates,big_table)),NA())</f>
        <v>#N/A</v>
      </c>
      <c r="Q17" s="20" t="e">
        <f aca="false" t="array" ref="Q17:Q17">IF(ISNA($L17),NA(),_xlfn.xlookup($B$3,items,_xlfn.xlookup(DATE(Q$5,$M17,1),dates,big_table)))</f>
        <v>#NAME?</v>
      </c>
      <c r="R17" s="20" t="e">
        <f aca="false" t="array" ref="R17:R17">IF(ISBLANK(_xlfn.xlookup($B$3,items,_xlfn.xlookup(DATE(R$5,$M17,1),dates,big_table))),NA(),_xlfn.xlookup($B$3,items,_xlfn.xlookup(DATE(R$5,$M17,1),dates,big_table)))</f>
        <v>#NAME?</v>
      </c>
      <c r="S17" s="20" t="e">
        <f aca="false" t="array" ref="S17:S17">IF(ISBLANK(_xlfn.xlookup($B$3,items,_xlfn.xlookup(DATE(S$5,$M17,1),dates,big_table))),NA(),_xlfn.xlookup($B$3,items,_xlfn.xlookup(DATE(S$5,$M17,1),dates,big_table)))</f>
        <v>#NAME?</v>
      </c>
      <c r="T17" s="20" t="e">
        <f aca="false" t="array" ref="T17:T17">IF(ISBLANK(_xlfn.xlookup($B$3,items,_xlfn.xlookup(DATE(T$5,$M17,1),dates,big_table))),NA(),_xlfn.xlookup($B$3,items,_xlfn.xlookup(DATE(T$5,$M17,1),dates,big_table)))</f>
        <v>#NAME?</v>
      </c>
      <c r="U17" s="20" t="e">
        <f aca="false" t="array" ref="U17:U17">IF(ISBLANK(_xlfn.xlookup($B$3,items,_xlfn.xlookup(DATE(U$5,$M17,1),dates,big_table))),NA(),_xlfn.xlookup($B$3,items,_xlfn.xlookup(DATE(U$5,$M17,1),dates,big_table)))</f>
        <v>#NAME?</v>
      </c>
      <c r="V17" s="20" t="e">
        <f aca="false" t="array" ref="V17:V17">IF(ISBLANK(_xlfn.xlookup($B$3,items,_xlfn.xlookup(DATE(V$5,$M17,1),dates,big_table))),NA(),_xlfn.xlookup($B$3,items,_xlfn.xlookup(DATE(V$5,$M17,1),dates,big_table)))</f>
        <v>#NAME?</v>
      </c>
      <c r="W17" s="20" t="e">
        <f aca="false" t="array" ref="W17:W17">IF(ISBLANK(_xlfn.xlookup($B$3,items,_xlfn.xlookup(DATE(W$5,$M17,1),dates,big_table))),NA(),_xlfn.xlookup($B$3,items,_xlfn.xlookup(DATE(W$5,$M17,1),dates,big_table)))</f>
        <v>#NAME?</v>
      </c>
      <c r="X17" s="20" t="e">
        <f aca="false" t="array" ref="X17:X17">IF(ISBLANK(_xlfn.xlookup($B$3,items,_xlfn.xlookup(DATE(X$5,$M17,1),dates,big_table))),NA(),_xlfn.xlookup($B$3,items,_xlfn.xlookup(DATE(X$5,$M17,1),dates,big_table)))</f>
        <v>#NAME?</v>
      </c>
      <c r="Y17" s="1" t="e">
        <f aca="false" t="array" ref="Y17:Y17">IF(ISBLANK(_xlfn.xlookup($B$3,items,_xlfn.xlookup(DATE(Y$5,$M17,1),dates,big_table))),NA(),_xlfn.xlookup($B$3,items,_xlfn.xlookup(DATE(Y$5,$M17,1),dates,big_table)))</f>
        <v>#NAME?</v>
      </c>
      <c r="Z17" s="1" t="e">
        <f aca="false" t="array" ref="Z17:Z17">IF(ISBLANK(_xlfn.xlookup($B$3,items,_xlfn.xlookup(DATE(Z$5,$M17,1),dates,big_table))),NA(),_xlfn.xlookup($B$3,items,_xlfn.xlookup(DATE(Z$5,$M17,1),dates,big_table)))</f>
        <v>#NAME?</v>
      </c>
      <c r="AA17" s="1" t="e">
        <f aca="false" t="array" ref="AA17:AA17">IF(ISBLANK(_xlfn.xlookup($B$3,items,_xlfn.xlookup(DATE(AA$5,$M17,1),dates,big_table))),NA(),_xlfn.xlookup($B$3,items,_xlfn.xlookup(DATE(AA$5,$M17,1),dates,big_table)))</f>
        <v>#NAME?</v>
      </c>
      <c r="AB17" s="1" t="e">
        <f aca="false" t="array" ref="AB17:AB17">IF(ISBLANK(_xlfn.xlookup($B$3,items,_xlfn.xlookup(DATE(AB$5,$M17,1),dates,big_table))),NA(),_xlfn.xlookup($B$3,items,_xlfn.xlookup(DATE(AB$5,$M17,1),dates,big_table)))</f>
        <v>#NAME?</v>
      </c>
      <c r="AC17" s="1" t="e">
        <f aca="false" t="array" ref="AC17:AC17">IF(ISBLANK(_xlfn.xlookup($B$3,items,_xlfn.xlookup(DATE(AC$5,$M17,1),dates,big_table))),NA(),_xlfn.xlookup($B$3,items,_xlfn.xlookup(DATE(AC$5,$M17,1),dates,big_table)))</f>
        <v>#NAME?</v>
      </c>
      <c r="AD17" s="1" t="e">
        <f aca="false" t="array" ref="AD17:AD17">IF(ISBLANK(_xlfn.xlookup($B$3,items,_xlfn.xlookup(DATE(AD$5,$M17,1),dates,big_table))),NA(),_xlfn.xlookup($B$3,items,_xlfn.xlookup(DATE(AD$5,$M17,1),dates,big_table)))</f>
        <v>#NAME?</v>
      </c>
      <c r="AE17" s="1" t="n">
        <f aca="true">_xlfn.AGGREGATE(5,6,OFFSET($T$5,M17,0,1,$J$2))</f>
        <v>0</v>
      </c>
      <c r="AF17" s="1" t="n">
        <f aca="true">_xlfn.AGGREGATE(4,6,OFFSET($T$5,M17,0,1,$J$2))</f>
        <v>0</v>
      </c>
      <c r="AG17" s="1" t="n">
        <f aca="false">AF17-AE17</f>
        <v>0</v>
      </c>
      <c r="AH17" s="1" t="e">
        <f aca="true">_xlfn.AGGREGATE(1,6,OFFSET($T$5,M17,0,1,$J$2))</f>
        <v>#DIV/0!</v>
      </c>
    </row>
    <row r="18" customFormat="false" ht="15" hidden="false" customHeight="false" outlineLevel="0" collapsed="false">
      <c r="C18" s="33" t="n">
        <f aca="false">EOMONTH(C17,0)+1</f>
        <v>41760</v>
      </c>
      <c r="D18" s="1" t="e">
        <f aca="false" t="array" ref="D18:D18">_xlfn.xlookup($B$3,items,_xlfn.xlookup(C18,dates,big_table))</f>
        <v>#NAME?</v>
      </c>
      <c r="E18" s="1" t="n">
        <f aca="false" t="array" ref="E18:E18">IF(ISNA(_xlfn.xlookup("jodi_last",items,_xlfn.xlookup(C18,dates,big_table))),10^6,-100000)</f>
        <v>-100000</v>
      </c>
      <c r="F18" s="1" t="e">
        <f aca="false">_xlfn.xlookup(MONTH($C18),$M$6:$M$17,AE$6:AE$17)</f>
        <v>#NAME?</v>
      </c>
      <c r="G18" s="1" t="e">
        <f aca="false">_xlfn.xlookup(MONTH($C18),$M$6:$M$17,AF$6:AF$17)</f>
        <v>#NAME?</v>
      </c>
      <c r="H18" s="1" t="e">
        <f aca="false">_xlfn.xlookup(MONTH($C18),$M$6:$M$17,AG$6:AG$17)</f>
        <v>#NAME?</v>
      </c>
      <c r="I18" s="1" t="e">
        <f aca="false">_xlfn.xlookup(MONTH($C18),$M$6:$M$17,AH$6:AH$17)</f>
        <v>#NAME?</v>
      </c>
      <c r="K18" s="1" t="s">
        <v>23</v>
      </c>
      <c r="Y18" s="25"/>
      <c r="Z18" s="26" t="n">
        <f aca="false">_xlfn.IFNA(MIN(AE6:AE17)+0.001,1)</f>
        <v>0.001</v>
      </c>
      <c r="AA18" s="26" t="n">
        <f aca="false">_xlfn.IFNA(MAX(AF6:AF17)+0.001,1)</f>
        <v>0.001</v>
      </c>
      <c r="AB18" s="26"/>
      <c r="AC18" s="27"/>
      <c r="AD18" s="26"/>
      <c r="AE18" s="26"/>
      <c r="AF18" s="26"/>
      <c r="AG18" s="26"/>
      <c r="AH18" s="28"/>
    </row>
    <row r="19" customFormat="false" ht="14.25" hidden="false" customHeight="false" outlineLevel="0" collapsed="false">
      <c r="C19" s="33" t="n">
        <f aca="false">EOMONTH(C18,0)+1</f>
        <v>41791</v>
      </c>
      <c r="D19" s="1" t="e">
        <f aca="false" t="array" ref="D19:D19">_xlfn.xlookup($B$3,items,_xlfn.xlookup(C19,dates,big_table))</f>
        <v>#NAME?</v>
      </c>
      <c r="E19" s="1" t="n">
        <f aca="false" t="array" ref="E19:E19">IF(ISNA(_xlfn.xlookup("jodi_last",items,_xlfn.xlookup(C19,dates,big_table))),10^6,-100000)</f>
        <v>-100000</v>
      </c>
      <c r="F19" s="1" t="e">
        <f aca="false">_xlfn.xlookup(MONTH($C19),$M$6:$M$17,AE$6:AE$17)</f>
        <v>#NAME?</v>
      </c>
      <c r="G19" s="1" t="e">
        <f aca="false">_xlfn.xlookup(MONTH($C19),$M$6:$M$17,AF$6:AF$17)</f>
        <v>#NAME?</v>
      </c>
      <c r="H19" s="1" t="e">
        <f aca="false">_xlfn.xlookup(MONTH($C19),$M$6:$M$17,AG$6:AG$17)</f>
        <v>#NAME?</v>
      </c>
      <c r="I19" s="1" t="e">
        <f aca="false">_xlfn.xlookup(MONTH($C19),$M$6:$M$17,AH$6:AH$17)</f>
        <v>#NAME?</v>
      </c>
      <c r="Y19" s="29" t="s">
        <v>14</v>
      </c>
      <c r="Z19" s="1" t="n">
        <f aca="false">Z18</f>
        <v>0.001</v>
      </c>
      <c r="AB19" s="1" t="n">
        <f aca="false">LOG10(ABS(Z19))</f>
        <v>-3</v>
      </c>
      <c r="AC19" s="1" t="n">
        <f aca="false">10^FLOOR(AB19,1)</f>
        <v>0.001</v>
      </c>
      <c r="AD19" s="1" t="n">
        <f aca="false">AC19/2</f>
        <v>0.0005</v>
      </c>
      <c r="AE19" s="1" t="n">
        <f aca="false">ROUNDDOWN(Z19/AC19,0)*AC19</f>
        <v>0.001</v>
      </c>
      <c r="AF19" s="1" t="n">
        <f aca="false">Z19-AE19</f>
        <v>0</v>
      </c>
      <c r="AG19" s="1" t="n">
        <f aca="false">IF(ABS(AF19)=AE19,ROUNDDOWN(AF19/AD19,0)+1,ROUNDUP(AF19/AD19,0)-1)*AD19</f>
        <v>-0.0005</v>
      </c>
      <c r="AH19" s="35" t="n">
        <f aca="false">AG19+AE19</f>
        <v>0.0005</v>
      </c>
    </row>
    <row r="20" customFormat="false" ht="15" hidden="false" customHeight="false" outlineLevel="0" collapsed="false">
      <c r="C20" s="33" t="n">
        <f aca="false">EOMONTH(C19,0)+1</f>
        <v>41821</v>
      </c>
      <c r="D20" s="1" t="e">
        <f aca="false" t="array" ref="D20:D20">_xlfn.xlookup($B$3,items,_xlfn.xlookup(C20,dates,big_table))</f>
        <v>#NAME?</v>
      </c>
      <c r="E20" s="1" t="n">
        <f aca="false" t="array" ref="E20:E20">IF(ISNA(_xlfn.xlookup("jodi_last",items,_xlfn.xlookup(C20,dates,big_table))),10^6,-100000)</f>
        <v>-100000</v>
      </c>
      <c r="F20" s="1" t="e">
        <f aca="false">_xlfn.xlookup(MONTH($C20),$M$6:$M$17,AE$6:AE$17)</f>
        <v>#NAME?</v>
      </c>
      <c r="G20" s="1" t="e">
        <f aca="false">_xlfn.xlookup(MONTH($C20),$M$6:$M$17,AF$6:AF$17)</f>
        <v>#NAME?</v>
      </c>
      <c r="H20" s="1" t="e">
        <f aca="false">_xlfn.xlookup(MONTH($C20),$M$6:$M$17,AG$6:AG$17)</f>
        <v>#NAME?</v>
      </c>
      <c r="I20" s="1" t="e">
        <f aca="false">_xlfn.xlookup(MONTH($C20),$M$6:$M$17,AH$6:AH$17)</f>
        <v>#NAME?</v>
      </c>
      <c r="M20" s="22"/>
      <c r="N20" s="22"/>
      <c r="O20" s="22"/>
      <c r="P20" s="22"/>
      <c r="Q20" s="22"/>
      <c r="R20" s="22"/>
      <c r="S20" s="22"/>
      <c r="T20" s="22"/>
      <c r="Y20" s="31" t="s">
        <v>15</v>
      </c>
      <c r="Z20" s="20" t="n">
        <f aca="false">AA18</f>
        <v>0.001</v>
      </c>
      <c r="AA20" s="20"/>
      <c r="AB20" s="20" t="n">
        <f aca="false">LOG10(Z20)</f>
        <v>-3</v>
      </c>
      <c r="AC20" s="20" t="n">
        <f aca="false">AC19</f>
        <v>0.001</v>
      </c>
      <c r="AD20" s="20" t="n">
        <f aca="false">AC20/2</f>
        <v>0.0005</v>
      </c>
      <c r="AE20" s="20" t="n">
        <f aca="false">ROUNDDOWN(Z20/AC20,0)*AC20</f>
        <v>0.001</v>
      </c>
      <c r="AF20" s="20" t="n">
        <f aca="false">Z20-AE20</f>
        <v>0</v>
      </c>
      <c r="AG20" s="20" t="n">
        <f aca="false">IF(ABS(AF20)=AE20,ROUNDDOWN(AF20/AD20,0),ROUNDUP(AF20/AD20,0))*AD20</f>
        <v>0</v>
      </c>
      <c r="AH20" s="34" t="n">
        <f aca="false">AG20+AE20</f>
        <v>0.001</v>
      </c>
    </row>
    <row r="21" customFormat="false" ht="14.25" hidden="false" customHeight="false" outlineLevel="0" collapsed="false">
      <c r="C21" s="33" t="n">
        <f aca="false">EOMONTH(C20,0)+1</f>
        <v>41852</v>
      </c>
      <c r="D21" s="1" t="e">
        <f aca="false" t="array" ref="D21:D21">_xlfn.xlookup($B$3,items,_xlfn.xlookup(C21,dates,big_table))</f>
        <v>#NAME?</v>
      </c>
      <c r="E21" s="1" t="n">
        <f aca="false" t="array" ref="E21:E21">IF(ISNA(_xlfn.xlookup("jodi_last",items,_xlfn.xlookup(C21,dates,big_table))),10^6,-100000)</f>
        <v>-100000</v>
      </c>
      <c r="F21" s="1" t="e">
        <f aca="false">_xlfn.xlookup(MONTH($C21),$M$6:$M$17,AE$6:AE$17)</f>
        <v>#NAME?</v>
      </c>
      <c r="G21" s="1" t="e">
        <f aca="false">_xlfn.xlookup(MONTH($C21),$M$6:$M$17,AF$6:AF$17)</f>
        <v>#NAME?</v>
      </c>
      <c r="H21" s="1" t="e">
        <f aca="false">_xlfn.xlookup(MONTH($C21),$M$6:$M$17,AG$6:AG$17)</f>
        <v>#NAME?</v>
      </c>
      <c r="I21" s="1" t="e">
        <f aca="false">_xlfn.xlookup(MONTH($C21),$M$6:$M$17,AH$6:AH$17)</f>
        <v>#NAME?</v>
      </c>
    </row>
    <row r="22" customFormat="false" ht="14.25" hidden="false" customHeight="false" outlineLevel="0" collapsed="false">
      <c r="C22" s="33" t="n">
        <f aca="false">EOMONTH(C21,0)+1</f>
        <v>41883</v>
      </c>
      <c r="D22" s="1" t="e">
        <f aca="false" t="array" ref="D22:D22">_xlfn.xlookup($B$3,items,_xlfn.xlookup(C22,dates,big_table))</f>
        <v>#NAME?</v>
      </c>
      <c r="E22" s="1" t="n">
        <f aca="false" t="array" ref="E22:E22">IF(ISNA(_xlfn.xlookup("jodi_last",items,_xlfn.xlookup(C22,dates,big_table))),10^6,-100000)</f>
        <v>-100000</v>
      </c>
      <c r="F22" s="1" t="e">
        <f aca="false">_xlfn.xlookup(MONTH($C22),$M$6:$M$17,AE$6:AE$17)</f>
        <v>#NAME?</v>
      </c>
      <c r="G22" s="1" t="e">
        <f aca="false">_xlfn.xlookup(MONTH($C22),$M$6:$M$17,AF$6:AF$17)</f>
        <v>#NAME?</v>
      </c>
      <c r="H22" s="1" t="e">
        <f aca="false">_xlfn.xlookup(MONTH($C22),$M$6:$M$17,AG$6:AG$17)</f>
        <v>#NAME?</v>
      </c>
      <c r="I22" s="1" t="e">
        <f aca="false">_xlfn.xlookup(MONTH($C22),$M$6:$M$17,AH$6:AH$17)</f>
        <v>#NAME?</v>
      </c>
    </row>
    <row r="23" customFormat="false" ht="14.25" hidden="false" customHeight="false" outlineLevel="0" collapsed="false">
      <c r="C23" s="33" t="n">
        <f aca="false">EOMONTH(C22,0)+1</f>
        <v>41913</v>
      </c>
      <c r="D23" s="1" t="e">
        <f aca="false" t="array" ref="D23:D23">_xlfn.xlookup($B$3,items,_xlfn.xlookup(C23,dates,big_table))</f>
        <v>#NAME?</v>
      </c>
      <c r="E23" s="1" t="n">
        <f aca="false" t="array" ref="E23:E23">IF(ISNA(_xlfn.xlookup("jodi_last",items,_xlfn.xlookup(C23,dates,big_table))),10^6,-100000)</f>
        <v>-100000</v>
      </c>
      <c r="F23" s="1" t="e">
        <f aca="false">_xlfn.xlookup(MONTH($C23),$M$6:$M$17,AE$6:AE$17)</f>
        <v>#NAME?</v>
      </c>
      <c r="G23" s="1" t="e">
        <f aca="false">_xlfn.xlookup(MONTH($C23),$M$6:$M$17,AF$6:AF$17)</f>
        <v>#NAME?</v>
      </c>
      <c r="H23" s="1" t="e">
        <f aca="false">_xlfn.xlookup(MONTH($C23),$M$6:$M$17,AG$6:AG$17)</f>
        <v>#NAME?</v>
      </c>
      <c r="I23" s="1" t="e">
        <f aca="false">_xlfn.xlookup(MONTH($C23),$M$6:$M$17,AH$6:AH$17)</f>
        <v>#NAME?</v>
      </c>
      <c r="L23" s="22" t="s">
        <v>24</v>
      </c>
      <c r="U23" s="22" t="s">
        <v>25</v>
      </c>
    </row>
    <row r="24" customFormat="false" ht="14.25" hidden="false" customHeight="false" outlineLevel="0" collapsed="false">
      <c r="C24" s="33" t="n">
        <f aca="false">EOMONTH(C23,0)+1</f>
        <v>41944</v>
      </c>
      <c r="D24" s="1" t="e">
        <f aca="false" t="array" ref="D24:D24">_xlfn.xlookup($B$3,items,_xlfn.xlookup(C24,dates,big_table))</f>
        <v>#NAME?</v>
      </c>
      <c r="E24" s="1" t="n">
        <f aca="false" t="array" ref="E24:E24">IF(ISNA(_xlfn.xlookup("jodi_last",items,_xlfn.xlookup(C24,dates,big_table))),10^6,-100000)</f>
        <v>-100000</v>
      </c>
      <c r="F24" s="1" t="e">
        <f aca="false">_xlfn.xlookup(MONTH($C24),$M$6:$M$17,AE$6:AE$17)</f>
        <v>#NAME?</v>
      </c>
      <c r="G24" s="1" t="e">
        <f aca="false">_xlfn.xlookup(MONTH($C24),$M$6:$M$17,AF$6:AF$17)</f>
        <v>#NAME?</v>
      </c>
      <c r="H24" s="1" t="e">
        <f aca="false">_xlfn.xlookup(MONTH($C24),$M$6:$M$17,AG$6:AG$17)</f>
        <v>#NAME?</v>
      </c>
      <c r="I24" s="1" t="e">
        <f aca="false">_xlfn.xlookup(MONTH($C24),$M$6:$M$17,AH$6:AH$17)</f>
        <v>#NAME?</v>
      </c>
    </row>
    <row r="25" customFormat="false" ht="14.25" hidden="false" customHeight="false" outlineLevel="0" collapsed="false">
      <c r="C25" s="33" t="n">
        <f aca="false">EOMONTH(C24,0)+1</f>
        <v>41974</v>
      </c>
      <c r="D25" s="1" t="e">
        <f aca="false" t="array" ref="D25:D25">_xlfn.xlookup($B$3,items,_xlfn.xlookup(C25,dates,big_table))</f>
        <v>#NAME?</v>
      </c>
      <c r="E25" s="1" t="n">
        <f aca="false" t="array" ref="E25:E25">IF(ISNA(_xlfn.xlookup("jodi_last",items,_xlfn.xlookup(C25,dates,big_table))),10^6,-100000)</f>
        <v>-100000</v>
      </c>
      <c r="F25" s="1" t="e">
        <f aca="false">_xlfn.xlookup(MONTH($C25),$M$6:$M$17,AE$6:AE$17)</f>
        <v>#NAME?</v>
      </c>
      <c r="G25" s="1" t="e">
        <f aca="false">_xlfn.xlookup(MONTH($C25),$M$6:$M$17,AF$6:AF$17)</f>
        <v>#NAME?</v>
      </c>
      <c r="H25" s="1" t="e">
        <f aca="false">_xlfn.xlookup(MONTH($C25),$M$6:$M$17,AG$6:AG$17)</f>
        <v>#NAME?</v>
      </c>
      <c r="I25" s="1" t="e">
        <f aca="false">_xlfn.xlookup(MONTH($C25),$M$6:$M$17,AH$6:AH$17)</f>
        <v>#NAME?</v>
      </c>
    </row>
    <row r="26" customFormat="false" ht="14.25" hidden="false" customHeight="false" outlineLevel="0" collapsed="false">
      <c r="C26" s="33" t="n">
        <f aca="false">EOMONTH(C25,0)+1</f>
        <v>42005</v>
      </c>
      <c r="D26" s="1" t="e">
        <f aca="false" t="array" ref="D26:D26">_xlfn.xlookup($B$3,items,_xlfn.xlookup(C26,dates,big_table))</f>
        <v>#NAME?</v>
      </c>
      <c r="E26" s="1" t="n">
        <f aca="false" t="array" ref="E26:E26">IF(ISNA(_xlfn.xlookup("jodi_last",items,_xlfn.xlookup(C26,dates,big_table))),10^6,-100000)</f>
        <v>-100000</v>
      </c>
      <c r="F26" s="1" t="e">
        <f aca="false">_xlfn.xlookup(MONTH($C26),$M$6:$M$17,AE$6:AE$17)</f>
        <v>#NAME?</v>
      </c>
      <c r="G26" s="1" t="e">
        <f aca="false">_xlfn.xlookup(MONTH($C26),$M$6:$M$17,AF$6:AF$17)</f>
        <v>#NAME?</v>
      </c>
      <c r="H26" s="1" t="e">
        <f aca="false">_xlfn.xlookup(MONTH($C26),$M$6:$M$17,AG$6:AG$17)</f>
        <v>#NAME?</v>
      </c>
      <c r="I26" s="1" t="e">
        <f aca="false">_xlfn.xlookup(MONTH($C26),$M$6:$M$17,AH$6:AH$17)</f>
        <v>#NAME?</v>
      </c>
    </row>
    <row r="27" customFormat="false" ht="14.25" hidden="false" customHeight="false" outlineLevel="0" collapsed="false">
      <c r="C27" s="33" t="n">
        <f aca="false">EOMONTH(C26,0)+1</f>
        <v>42036</v>
      </c>
      <c r="D27" s="1" t="e">
        <f aca="false" t="array" ref="D27:D27">_xlfn.xlookup($B$3,items,_xlfn.xlookup(C27,dates,big_table))</f>
        <v>#NAME?</v>
      </c>
      <c r="E27" s="1" t="n">
        <f aca="false" t="array" ref="E27:E27">IF(ISNA(_xlfn.xlookup("jodi_last",items,_xlfn.xlookup(C27,dates,big_table))),10^6,-100000)</f>
        <v>-100000</v>
      </c>
      <c r="F27" s="1" t="e">
        <f aca="false">_xlfn.xlookup(MONTH($C27),$M$6:$M$17,AE$6:AE$17)</f>
        <v>#NAME?</v>
      </c>
      <c r="G27" s="1" t="e">
        <f aca="false">_xlfn.xlookup(MONTH($C27),$M$6:$M$17,AF$6:AF$17)</f>
        <v>#NAME?</v>
      </c>
      <c r="H27" s="1" t="e">
        <f aca="false">_xlfn.xlookup(MONTH($C27),$M$6:$M$17,AG$6:AG$17)</f>
        <v>#NAME?</v>
      </c>
      <c r="I27" s="1" t="e">
        <f aca="false">_xlfn.xlookup(MONTH($C27),$M$6:$M$17,AH$6:AH$17)</f>
        <v>#NAME?</v>
      </c>
    </row>
    <row r="28" customFormat="false" ht="14.25" hidden="false" customHeight="false" outlineLevel="0" collapsed="false">
      <c r="C28" s="33" t="n">
        <f aca="false">EOMONTH(C27,0)+1</f>
        <v>42064</v>
      </c>
      <c r="D28" s="1" t="e">
        <f aca="false" t="array" ref="D28:D28">_xlfn.xlookup($B$3,items,_xlfn.xlookup(C28,dates,big_table))</f>
        <v>#NAME?</v>
      </c>
      <c r="E28" s="1" t="n">
        <f aca="false" t="array" ref="E28:E28">IF(ISNA(_xlfn.xlookup("jodi_last",items,_xlfn.xlookup(C28,dates,big_table))),10^6,-100000)</f>
        <v>-100000</v>
      </c>
      <c r="F28" s="1" t="e">
        <f aca="false">_xlfn.xlookup(MONTH($C28),$M$6:$M$17,AE$6:AE$17)</f>
        <v>#NAME?</v>
      </c>
      <c r="G28" s="1" t="e">
        <f aca="false">_xlfn.xlookup(MONTH($C28),$M$6:$M$17,AF$6:AF$17)</f>
        <v>#NAME?</v>
      </c>
      <c r="H28" s="1" t="e">
        <f aca="false">_xlfn.xlookup(MONTH($C28),$M$6:$M$17,AG$6:AG$17)</f>
        <v>#NAME?</v>
      </c>
      <c r="I28" s="1" t="e">
        <f aca="false">_xlfn.xlookup(MONTH($C28),$M$6:$M$17,AH$6:AH$17)</f>
        <v>#NAME?</v>
      </c>
    </row>
    <row r="29" customFormat="false" ht="14.25" hidden="false" customHeight="false" outlineLevel="0" collapsed="false">
      <c r="C29" s="33" t="n">
        <f aca="false">EOMONTH(C28,0)+1</f>
        <v>42095</v>
      </c>
      <c r="D29" s="1" t="e">
        <f aca="false" t="array" ref="D29:D29">_xlfn.xlookup($B$3,items,_xlfn.xlookup(C29,dates,big_table))</f>
        <v>#NAME?</v>
      </c>
      <c r="E29" s="1" t="n">
        <f aca="false" t="array" ref="E29:E29">IF(ISNA(_xlfn.xlookup("jodi_last",items,_xlfn.xlookup(C29,dates,big_table))),10^6,-100000)</f>
        <v>-100000</v>
      </c>
      <c r="F29" s="1" t="e">
        <f aca="false">_xlfn.xlookup(MONTH($C29),$M$6:$M$17,AE$6:AE$17)</f>
        <v>#NAME?</v>
      </c>
      <c r="G29" s="1" t="e">
        <f aca="false">_xlfn.xlookup(MONTH($C29),$M$6:$M$17,AF$6:AF$17)</f>
        <v>#NAME?</v>
      </c>
      <c r="H29" s="1" t="e">
        <f aca="false">_xlfn.xlookup(MONTH($C29),$M$6:$M$17,AG$6:AG$17)</f>
        <v>#NAME?</v>
      </c>
      <c r="I29" s="1" t="e">
        <f aca="false">_xlfn.xlookup(MONTH($C29),$M$6:$M$17,AH$6:AH$17)</f>
        <v>#NAME?</v>
      </c>
    </row>
    <row r="30" customFormat="false" ht="14.25" hidden="false" customHeight="false" outlineLevel="0" collapsed="false">
      <c r="C30" s="33" t="n">
        <f aca="false">EOMONTH(C29,0)+1</f>
        <v>42125</v>
      </c>
      <c r="D30" s="1" t="e">
        <f aca="false" t="array" ref="D30:D30">_xlfn.xlookup($B$3,items,_xlfn.xlookup(C30,dates,big_table))</f>
        <v>#NAME?</v>
      </c>
      <c r="E30" s="1" t="n">
        <f aca="false" t="array" ref="E30:E30">IF(ISNA(_xlfn.xlookup("jodi_last",items,_xlfn.xlookup(C30,dates,big_table))),10^6,-100000)</f>
        <v>-100000</v>
      </c>
      <c r="F30" s="1" t="e">
        <f aca="false">_xlfn.xlookup(MONTH($C30),$M$6:$M$17,AE$6:AE$17)</f>
        <v>#NAME?</v>
      </c>
      <c r="G30" s="1" t="e">
        <f aca="false">_xlfn.xlookup(MONTH($C30),$M$6:$M$17,AF$6:AF$17)</f>
        <v>#NAME?</v>
      </c>
      <c r="H30" s="1" t="e">
        <f aca="false">_xlfn.xlookup(MONTH($C30),$M$6:$M$17,AG$6:AG$17)</f>
        <v>#NAME?</v>
      </c>
      <c r="I30" s="1" t="e">
        <f aca="false">_xlfn.xlookup(MONTH($C30),$M$6:$M$17,AH$6:AH$17)</f>
        <v>#NAME?</v>
      </c>
    </row>
    <row r="31" customFormat="false" ht="14.25" hidden="false" customHeight="false" outlineLevel="0" collapsed="false">
      <c r="C31" s="33" t="n">
        <f aca="false">EOMONTH(C30,0)+1</f>
        <v>42156</v>
      </c>
      <c r="D31" s="1" t="e">
        <f aca="false" t="array" ref="D31:D31">_xlfn.xlookup($B$3,items,_xlfn.xlookup(C31,dates,big_table))</f>
        <v>#NAME?</v>
      </c>
      <c r="E31" s="1" t="n">
        <f aca="false" t="array" ref="E31:E31">IF(ISNA(_xlfn.xlookup("jodi_last",items,_xlfn.xlookup(C31,dates,big_table))),10^6,-100000)</f>
        <v>-100000</v>
      </c>
      <c r="F31" s="1" t="e">
        <f aca="false">_xlfn.xlookup(MONTH($C31),$M$6:$M$17,AE$6:AE$17)</f>
        <v>#NAME?</v>
      </c>
      <c r="G31" s="1" t="e">
        <f aca="false">_xlfn.xlookup(MONTH($C31),$M$6:$M$17,AF$6:AF$17)</f>
        <v>#NAME?</v>
      </c>
      <c r="H31" s="1" t="e">
        <f aca="false">_xlfn.xlookup(MONTH($C31),$M$6:$M$17,AG$6:AG$17)</f>
        <v>#NAME?</v>
      </c>
      <c r="I31" s="1" t="e">
        <f aca="false">_xlfn.xlookup(MONTH($C31),$M$6:$M$17,AH$6:AH$17)</f>
        <v>#NAME?</v>
      </c>
    </row>
    <row r="32" customFormat="false" ht="14.25" hidden="false" customHeight="false" outlineLevel="0" collapsed="false">
      <c r="C32" s="33" t="n">
        <f aca="false">EOMONTH(C31,0)+1</f>
        <v>42186</v>
      </c>
      <c r="D32" s="1" t="e">
        <f aca="false" t="array" ref="D32:D32">_xlfn.xlookup($B$3,items,_xlfn.xlookup(C32,dates,big_table))</f>
        <v>#NAME?</v>
      </c>
      <c r="E32" s="1" t="n">
        <f aca="false" t="array" ref="E32:E32">IF(ISNA(_xlfn.xlookup("jodi_last",items,_xlfn.xlookup(C32,dates,big_table))),10^6,-100000)</f>
        <v>-100000</v>
      </c>
      <c r="F32" s="1" t="e">
        <f aca="false">_xlfn.xlookup(MONTH($C32),$M$6:$M$17,AE$6:AE$17)</f>
        <v>#NAME?</v>
      </c>
      <c r="G32" s="1" t="e">
        <f aca="false">_xlfn.xlookup(MONTH($C32),$M$6:$M$17,AF$6:AF$17)</f>
        <v>#NAME?</v>
      </c>
      <c r="H32" s="1" t="e">
        <f aca="false">_xlfn.xlookup(MONTH($C32),$M$6:$M$17,AG$6:AG$17)</f>
        <v>#NAME?</v>
      </c>
      <c r="I32" s="1" t="e">
        <f aca="false">_xlfn.xlookup(MONTH($C32),$M$6:$M$17,AH$6:AH$17)</f>
        <v>#NAME?</v>
      </c>
    </row>
    <row r="33" customFormat="false" ht="14.25" hidden="false" customHeight="false" outlineLevel="0" collapsed="false">
      <c r="C33" s="33" t="n">
        <f aca="false">EOMONTH(C32,0)+1</f>
        <v>42217</v>
      </c>
      <c r="D33" s="1" t="e">
        <f aca="false" t="array" ref="D33:D33">_xlfn.xlookup($B$3,items,_xlfn.xlookup(C33,dates,big_table))</f>
        <v>#NAME?</v>
      </c>
      <c r="E33" s="1" t="n">
        <f aca="false" t="array" ref="E33:E33">IF(ISNA(_xlfn.xlookup("jodi_last",items,_xlfn.xlookup(C33,dates,big_table))),10^6,-100000)</f>
        <v>-100000</v>
      </c>
      <c r="F33" s="1" t="e">
        <f aca="false">_xlfn.xlookup(MONTH($C33),$M$6:$M$17,AE$6:AE$17)</f>
        <v>#NAME?</v>
      </c>
      <c r="G33" s="1" t="e">
        <f aca="false">_xlfn.xlookup(MONTH($C33),$M$6:$M$17,AF$6:AF$17)</f>
        <v>#NAME?</v>
      </c>
      <c r="H33" s="1" t="e">
        <f aca="false">_xlfn.xlookup(MONTH($C33),$M$6:$M$17,AG$6:AG$17)</f>
        <v>#NAME?</v>
      </c>
      <c r="I33" s="1" t="e">
        <f aca="false">_xlfn.xlookup(MONTH($C33),$M$6:$M$17,AH$6:AH$17)</f>
        <v>#NAME?</v>
      </c>
    </row>
    <row r="34" customFormat="false" ht="14.25" hidden="false" customHeight="false" outlineLevel="0" collapsed="false">
      <c r="C34" s="33" t="n">
        <f aca="false">EOMONTH(C33,0)+1</f>
        <v>42248</v>
      </c>
      <c r="D34" s="1" t="e">
        <f aca="false" t="array" ref="D34:D34">_xlfn.xlookup($B$3,items,_xlfn.xlookup(C34,dates,big_table))</f>
        <v>#NAME?</v>
      </c>
      <c r="E34" s="1" t="n">
        <f aca="false" t="array" ref="E34:E34">IF(ISNA(_xlfn.xlookup("jodi_last",items,_xlfn.xlookup(C34,dates,big_table))),10^6,-100000)</f>
        <v>-100000</v>
      </c>
      <c r="F34" s="1" t="e">
        <f aca="false">_xlfn.xlookup(MONTH($C34),$M$6:$M$17,AE$6:AE$17)</f>
        <v>#NAME?</v>
      </c>
      <c r="G34" s="1" t="e">
        <f aca="false">_xlfn.xlookup(MONTH($C34),$M$6:$M$17,AF$6:AF$17)</f>
        <v>#NAME?</v>
      </c>
      <c r="H34" s="1" t="e">
        <f aca="false">_xlfn.xlookup(MONTH($C34),$M$6:$M$17,AG$6:AG$17)</f>
        <v>#NAME?</v>
      </c>
      <c r="I34" s="1" t="e">
        <f aca="false">_xlfn.xlookup(MONTH($C34),$M$6:$M$17,AH$6:AH$17)</f>
        <v>#NAME?</v>
      </c>
    </row>
    <row r="35" customFormat="false" ht="14.25" hidden="false" customHeight="false" outlineLevel="0" collapsed="false">
      <c r="C35" s="33" t="n">
        <f aca="false">EOMONTH(C34,0)+1</f>
        <v>42278</v>
      </c>
      <c r="D35" s="1" t="e">
        <f aca="false" t="array" ref="D35:D35">_xlfn.xlookup($B$3,items,_xlfn.xlookup(C35,dates,big_table))</f>
        <v>#NAME?</v>
      </c>
      <c r="E35" s="1" t="n">
        <f aca="false" t="array" ref="E35:E35">IF(ISNA(_xlfn.xlookup("jodi_last",items,_xlfn.xlookup(C35,dates,big_table))),10^6,-100000)</f>
        <v>-100000</v>
      </c>
      <c r="F35" s="1" t="e">
        <f aca="false">_xlfn.xlookup(MONTH($C35),$M$6:$M$17,AE$6:AE$17)</f>
        <v>#NAME?</v>
      </c>
      <c r="G35" s="1" t="e">
        <f aca="false">_xlfn.xlookup(MONTH($C35),$M$6:$M$17,AF$6:AF$17)</f>
        <v>#NAME?</v>
      </c>
      <c r="H35" s="1" t="e">
        <f aca="false">_xlfn.xlookup(MONTH($C35),$M$6:$M$17,AG$6:AG$17)</f>
        <v>#NAME?</v>
      </c>
      <c r="I35" s="1" t="e">
        <f aca="false">_xlfn.xlookup(MONTH($C35),$M$6:$M$17,AH$6:AH$17)</f>
        <v>#NAME?</v>
      </c>
    </row>
    <row r="36" customFormat="false" ht="14.25" hidden="false" customHeight="false" outlineLevel="0" collapsed="false">
      <c r="C36" s="33" t="n">
        <f aca="false">EOMONTH(C35,0)+1</f>
        <v>42309</v>
      </c>
      <c r="D36" s="1" t="e">
        <f aca="false" t="array" ref="D36:D36">_xlfn.xlookup($B$3,items,_xlfn.xlookup(C36,dates,big_table))</f>
        <v>#NAME?</v>
      </c>
      <c r="E36" s="1" t="n">
        <f aca="false" t="array" ref="E36:E36">IF(ISNA(_xlfn.xlookup("jodi_last",items,_xlfn.xlookup(C36,dates,big_table))),10^6,-100000)</f>
        <v>-100000</v>
      </c>
      <c r="F36" s="1" t="e">
        <f aca="false">_xlfn.xlookup(MONTH($C36),$M$6:$M$17,AE$6:AE$17)</f>
        <v>#NAME?</v>
      </c>
      <c r="G36" s="1" t="e">
        <f aca="false">_xlfn.xlookup(MONTH($C36),$M$6:$M$17,AF$6:AF$17)</f>
        <v>#NAME?</v>
      </c>
      <c r="H36" s="1" t="e">
        <f aca="false">_xlfn.xlookup(MONTH($C36),$M$6:$M$17,AG$6:AG$17)</f>
        <v>#NAME?</v>
      </c>
      <c r="I36" s="1" t="e">
        <f aca="false">_xlfn.xlookup(MONTH($C36),$M$6:$M$17,AH$6:AH$17)</f>
        <v>#NAME?</v>
      </c>
    </row>
    <row r="37" customFormat="false" ht="14.25" hidden="false" customHeight="false" outlineLevel="0" collapsed="false">
      <c r="C37" s="33" t="n">
        <f aca="false">EOMONTH(C36,0)+1</f>
        <v>42339</v>
      </c>
      <c r="D37" s="1" t="e">
        <f aca="false" t="array" ref="D37:D37">_xlfn.xlookup($B$3,items,_xlfn.xlookup(C37,dates,big_table))</f>
        <v>#NAME?</v>
      </c>
      <c r="E37" s="1" t="n">
        <f aca="false" t="array" ref="E37:E37">IF(ISNA(_xlfn.xlookup("jodi_last",items,_xlfn.xlookup(C37,dates,big_table))),10^6,-100000)</f>
        <v>-100000</v>
      </c>
      <c r="F37" s="1" t="e">
        <f aca="false">_xlfn.xlookup(MONTH($C37),$M$6:$M$17,AE$6:AE$17)</f>
        <v>#NAME?</v>
      </c>
      <c r="G37" s="1" t="e">
        <f aca="false">_xlfn.xlookup(MONTH($C37),$M$6:$M$17,AF$6:AF$17)</f>
        <v>#NAME?</v>
      </c>
      <c r="H37" s="1" t="e">
        <f aca="false">_xlfn.xlookup(MONTH($C37),$M$6:$M$17,AG$6:AG$17)</f>
        <v>#NAME?</v>
      </c>
      <c r="I37" s="1" t="e">
        <f aca="false">_xlfn.xlookup(MONTH($C37),$M$6:$M$17,AH$6:AH$17)</f>
        <v>#NAME?</v>
      </c>
    </row>
    <row r="38" customFormat="false" ht="14.25" hidden="false" customHeight="false" outlineLevel="0" collapsed="false">
      <c r="C38" s="33" t="n">
        <f aca="false">EOMONTH(C37,0)+1</f>
        <v>42370</v>
      </c>
      <c r="D38" s="1" t="e">
        <f aca="false" t="array" ref="D38:D38">_xlfn.xlookup($B$3,items,_xlfn.xlookup(C38,dates,big_table))</f>
        <v>#NAME?</v>
      </c>
      <c r="E38" s="1" t="n">
        <f aca="false" t="array" ref="E38:E38">IF(ISNA(_xlfn.xlookup("jodi_last",items,_xlfn.xlookup(C38,dates,big_table))),10^6,-100000)</f>
        <v>-100000</v>
      </c>
      <c r="F38" s="1" t="e">
        <f aca="false">_xlfn.xlookup(MONTH($C38),$M$6:$M$17,AE$6:AE$17)</f>
        <v>#NAME?</v>
      </c>
      <c r="G38" s="1" t="e">
        <f aca="false">_xlfn.xlookup(MONTH($C38),$M$6:$M$17,AF$6:AF$17)</f>
        <v>#NAME?</v>
      </c>
      <c r="H38" s="1" t="e">
        <f aca="false">_xlfn.xlookup(MONTH($C38),$M$6:$M$17,AG$6:AG$17)</f>
        <v>#NAME?</v>
      </c>
      <c r="I38" s="1" t="e">
        <f aca="false">_xlfn.xlookup(MONTH($C38),$M$6:$M$17,AH$6:AH$17)</f>
        <v>#NAME?</v>
      </c>
    </row>
    <row r="39" customFormat="false" ht="14.25" hidden="false" customHeight="false" outlineLevel="0" collapsed="false">
      <c r="C39" s="33" t="n">
        <f aca="false">EOMONTH(C38,0)+1</f>
        <v>42401</v>
      </c>
      <c r="D39" s="1" t="e">
        <f aca="false" t="array" ref="D39:D39">_xlfn.xlookup($B$3,items,_xlfn.xlookup(C39,dates,big_table))</f>
        <v>#NAME?</v>
      </c>
      <c r="E39" s="1" t="n">
        <f aca="false" t="array" ref="E39:E39">IF(ISNA(_xlfn.xlookup("jodi_last",items,_xlfn.xlookup(C39,dates,big_table))),10^6,-100000)</f>
        <v>-100000</v>
      </c>
      <c r="F39" s="1" t="e">
        <f aca="false">_xlfn.xlookup(MONTH($C39),$M$6:$M$17,AE$6:AE$17)</f>
        <v>#NAME?</v>
      </c>
      <c r="G39" s="1" t="e">
        <f aca="false">_xlfn.xlookup(MONTH($C39),$M$6:$M$17,AF$6:AF$17)</f>
        <v>#NAME?</v>
      </c>
      <c r="H39" s="1" t="e">
        <f aca="false">_xlfn.xlookup(MONTH($C39),$M$6:$M$17,AG$6:AG$17)</f>
        <v>#NAME?</v>
      </c>
      <c r="I39" s="1" t="e">
        <f aca="false">_xlfn.xlookup(MONTH($C39),$M$6:$M$17,AH$6:AH$17)</f>
        <v>#NAME?</v>
      </c>
    </row>
    <row r="40" customFormat="false" ht="14.25" hidden="false" customHeight="false" outlineLevel="0" collapsed="false">
      <c r="C40" s="33" t="n">
        <f aca="false">EOMONTH(C39,0)+1</f>
        <v>42430</v>
      </c>
      <c r="D40" s="1" t="e">
        <f aca="false" t="array" ref="D40:D40">_xlfn.xlookup($B$3,items,_xlfn.xlookup(C40,dates,big_table))</f>
        <v>#NAME?</v>
      </c>
      <c r="E40" s="1" t="n">
        <f aca="false" t="array" ref="E40:E40">IF(ISNA(_xlfn.xlookup("jodi_last",items,_xlfn.xlookup(C40,dates,big_table))),10^6,-100000)</f>
        <v>-100000</v>
      </c>
      <c r="F40" s="1" t="e">
        <f aca="false">_xlfn.xlookup(MONTH($C40),$M$6:$M$17,AE$6:AE$17)</f>
        <v>#NAME?</v>
      </c>
      <c r="G40" s="1" t="e">
        <f aca="false">_xlfn.xlookup(MONTH($C40),$M$6:$M$17,AF$6:AF$17)</f>
        <v>#NAME?</v>
      </c>
      <c r="H40" s="1" t="e">
        <f aca="false">_xlfn.xlookup(MONTH($C40),$M$6:$M$17,AG$6:AG$17)</f>
        <v>#NAME?</v>
      </c>
      <c r="I40" s="1" t="e">
        <f aca="false">_xlfn.xlookup(MONTH($C40),$M$6:$M$17,AH$6:AH$17)</f>
        <v>#NAME?</v>
      </c>
    </row>
    <row r="41" customFormat="false" ht="14.25" hidden="false" customHeight="false" outlineLevel="0" collapsed="false">
      <c r="C41" s="33" t="n">
        <f aca="false">EOMONTH(C40,0)+1</f>
        <v>42461</v>
      </c>
      <c r="D41" s="1" t="e">
        <f aca="false" t="array" ref="D41:D41">_xlfn.xlookup($B$3,items,_xlfn.xlookup(C41,dates,big_table))</f>
        <v>#NAME?</v>
      </c>
      <c r="E41" s="1" t="n">
        <f aca="false" t="array" ref="E41:E41">IF(ISNA(_xlfn.xlookup("jodi_last",items,_xlfn.xlookup(C41,dates,big_table))),10^6,-100000)</f>
        <v>-100000</v>
      </c>
      <c r="F41" s="1" t="e">
        <f aca="false">_xlfn.xlookup(MONTH($C41),$M$6:$M$17,AE$6:AE$17)</f>
        <v>#NAME?</v>
      </c>
      <c r="G41" s="1" t="e">
        <f aca="false">_xlfn.xlookup(MONTH($C41),$M$6:$M$17,AF$6:AF$17)</f>
        <v>#NAME?</v>
      </c>
      <c r="H41" s="1" t="e">
        <f aca="false">_xlfn.xlookup(MONTH($C41),$M$6:$M$17,AG$6:AG$17)</f>
        <v>#NAME?</v>
      </c>
      <c r="I41" s="1" t="e">
        <f aca="false">_xlfn.xlookup(MONTH($C41),$M$6:$M$17,AH$6:AH$17)</f>
        <v>#NAME?</v>
      </c>
    </row>
    <row r="42" customFormat="false" ht="14.25" hidden="false" customHeight="false" outlineLevel="0" collapsed="false">
      <c r="C42" s="33" t="n">
        <f aca="false">EOMONTH(C41,0)+1</f>
        <v>42491</v>
      </c>
      <c r="D42" s="1" t="e">
        <f aca="false" t="array" ref="D42:D42">_xlfn.xlookup($B$3,items,_xlfn.xlookup(C42,dates,big_table))</f>
        <v>#NAME?</v>
      </c>
      <c r="E42" s="1" t="n">
        <f aca="false" t="array" ref="E42:E42">IF(ISNA(_xlfn.xlookup("jodi_last",items,_xlfn.xlookup(C42,dates,big_table))),10^6,-100000)</f>
        <v>-100000</v>
      </c>
      <c r="F42" s="1" t="e">
        <f aca="false">_xlfn.xlookup(MONTH($C42),$M$6:$M$17,AE$6:AE$17)</f>
        <v>#NAME?</v>
      </c>
      <c r="G42" s="1" t="e">
        <f aca="false">_xlfn.xlookup(MONTH($C42),$M$6:$M$17,AF$6:AF$17)</f>
        <v>#NAME?</v>
      </c>
      <c r="H42" s="1" t="e">
        <f aca="false">_xlfn.xlookup(MONTH($C42),$M$6:$M$17,AG$6:AG$17)</f>
        <v>#NAME?</v>
      </c>
      <c r="I42" s="1" t="e">
        <f aca="false">_xlfn.xlookup(MONTH($C42),$M$6:$M$17,AH$6:AH$17)</f>
        <v>#NAME?</v>
      </c>
    </row>
    <row r="43" customFormat="false" ht="14.25" hidden="false" customHeight="false" outlineLevel="0" collapsed="false">
      <c r="C43" s="33" t="n">
        <f aca="false">EOMONTH(C42,0)+1</f>
        <v>42522</v>
      </c>
      <c r="D43" s="1" t="e">
        <f aca="false" t="array" ref="D43:D43">_xlfn.xlookup($B$3,items,_xlfn.xlookup(C43,dates,big_table))</f>
        <v>#NAME?</v>
      </c>
      <c r="E43" s="1" t="n">
        <f aca="false" t="array" ref="E43:E43">IF(ISNA(_xlfn.xlookup("jodi_last",items,_xlfn.xlookup(C43,dates,big_table))),10^6,-100000)</f>
        <v>-100000</v>
      </c>
      <c r="F43" s="1" t="e">
        <f aca="false">_xlfn.xlookup(MONTH($C43),$M$6:$M$17,AE$6:AE$17)</f>
        <v>#NAME?</v>
      </c>
      <c r="G43" s="1" t="e">
        <f aca="false">_xlfn.xlookup(MONTH($C43),$M$6:$M$17,AF$6:AF$17)</f>
        <v>#NAME?</v>
      </c>
      <c r="H43" s="1" t="e">
        <f aca="false">_xlfn.xlookup(MONTH($C43),$M$6:$M$17,AG$6:AG$17)</f>
        <v>#NAME?</v>
      </c>
      <c r="I43" s="1" t="e">
        <f aca="false">_xlfn.xlookup(MONTH($C43),$M$6:$M$17,AH$6:AH$17)</f>
        <v>#NAME?</v>
      </c>
    </row>
    <row r="44" customFormat="false" ht="14.25" hidden="false" customHeight="false" outlineLevel="0" collapsed="false">
      <c r="C44" s="33" t="n">
        <f aca="false">EOMONTH(C43,0)+1</f>
        <v>42552</v>
      </c>
      <c r="D44" s="1" t="e">
        <f aca="false" t="array" ref="D44:D44">_xlfn.xlookup($B$3,items,_xlfn.xlookup(C44,dates,big_table))</f>
        <v>#NAME?</v>
      </c>
      <c r="E44" s="1" t="n">
        <f aca="false" t="array" ref="E44:E44">IF(ISNA(_xlfn.xlookup("jodi_last",items,_xlfn.xlookup(C44,dates,big_table))),10^6,-100000)</f>
        <v>-100000</v>
      </c>
      <c r="F44" s="1" t="e">
        <f aca="false">_xlfn.xlookup(MONTH($C44),$M$6:$M$17,AE$6:AE$17)</f>
        <v>#NAME?</v>
      </c>
      <c r="G44" s="1" t="e">
        <f aca="false">_xlfn.xlookup(MONTH($C44),$M$6:$M$17,AF$6:AF$17)</f>
        <v>#NAME?</v>
      </c>
      <c r="H44" s="1" t="e">
        <f aca="false">_xlfn.xlookup(MONTH($C44),$M$6:$M$17,AG$6:AG$17)</f>
        <v>#NAME?</v>
      </c>
      <c r="I44" s="1" t="e">
        <f aca="false">_xlfn.xlookup(MONTH($C44),$M$6:$M$17,AH$6:AH$17)</f>
        <v>#NAME?</v>
      </c>
    </row>
    <row r="45" customFormat="false" ht="14.25" hidden="false" customHeight="false" outlineLevel="0" collapsed="false">
      <c r="C45" s="33" t="n">
        <f aca="false">EOMONTH(C44,0)+1</f>
        <v>42583</v>
      </c>
      <c r="D45" s="1" t="e">
        <f aca="false" t="array" ref="D45:D45">_xlfn.xlookup($B$3,items,_xlfn.xlookup(C45,dates,big_table))</f>
        <v>#NAME?</v>
      </c>
      <c r="E45" s="1" t="n">
        <f aca="false" t="array" ref="E45:E45">IF(ISNA(_xlfn.xlookup("jodi_last",items,_xlfn.xlookup(C45,dates,big_table))),10^6,-100000)</f>
        <v>-100000</v>
      </c>
      <c r="F45" s="1" t="e">
        <f aca="false">_xlfn.xlookup(MONTH($C45),$M$6:$M$17,AE$6:AE$17)</f>
        <v>#NAME?</v>
      </c>
      <c r="G45" s="1" t="e">
        <f aca="false">_xlfn.xlookup(MONTH($C45),$M$6:$M$17,AF$6:AF$17)</f>
        <v>#NAME?</v>
      </c>
      <c r="H45" s="1" t="e">
        <f aca="false">_xlfn.xlookup(MONTH($C45),$M$6:$M$17,AG$6:AG$17)</f>
        <v>#NAME?</v>
      </c>
      <c r="I45" s="1" t="e">
        <f aca="false">_xlfn.xlookup(MONTH($C45),$M$6:$M$17,AH$6:AH$17)</f>
        <v>#NAME?</v>
      </c>
    </row>
    <row r="46" customFormat="false" ht="14.25" hidden="false" customHeight="false" outlineLevel="0" collapsed="false">
      <c r="C46" s="33" t="n">
        <f aca="false">EOMONTH(C45,0)+1</f>
        <v>42614</v>
      </c>
      <c r="D46" s="1" t="e">
        <f aca="false" t="array" ref="D46:D46">_xlfn.xlookup($B$3,items,_xlfn.xlookup(C46,dates,big_table))</f>
        <v>#NAME?</v>
      </c>
      <c r="E46" s="1" t="n">
        <f aca="false" t="array" ref="E46:E46">IF(ISNA(_xlfn.xlookup("jodi_last",items,_xlfn.xlookup(C46,dates,big_table))),10^6,-100000)</f>
        <v>-100000</v>
      </c>
      <c r="F46" s="1" t="e">
        <f aca="false">_xlfn.xlookup(MONTH($C46),$M$6:$M$17,AE$6:AE$17)</f>
        <v>#NAME?</v>
      </c>
      <c r="G46" s="1" t="e">
        <f aca="false">_xlfn.xlookup(MONTH($C46),$M$6:$M$17,AF$6:AF$17)</f>
        <v>#NAME?</v>
      </c>
      <c r="H46" s="1" t="e">
        <f aca="false">_xlfn.xlookup(MONTH($C46),$M$6:$M$17,AG$6:AG$17)</f>
        <v>#NAME?</v>
      </c>
      <c r="I46" s="1" t="e">
        <f aca="false">_xlfn.xlookup(MONTH($C46),$M$6:$M$17,AH$6:AH$17)</f>
        <v>#NAME?</v>
      </c>
    </row>
    <row r="47" customFormat="false" ht="14.25" hidden="false" customHeight="false" outlineLevel="0" collapsed="false">
      <c r="C47" s="33" t="n">
        <f aca="false">EOMONTH(C46,0)+1</f>
        <v>42644</v>
      </c>
      <c r="D47" s="1" t="e">
        <f aca="false" t="array" ref="D47:D47">_xlfn.xlookup($B$3,items,_xlfn.xlookup(C47,dates,big_table))</f>
        <v>#NAME?</v>
      </c>
      <c r="E47" s="1" t="n">
        <f aca="false" t="array" ref="E47:E47">IF(ISNA(_xlfn.xlookup("jodi_last",items,_xlfn.xlookup(C47,dates,big_table))),10^6,-100000)</f>
        <v>-100000</v>
      </c>
      <c r="F47" s="1" t="e">
        <f aca="false">_xlfn.xlookup(MONTH($C47),$M$6:$M$17,AE$6:AE$17)</f>
        <v>#NAME?</v>
      </c>
      <c r="G47" s="1" t="e">
        <f aca="false">_xlfn.xlookup(MONTH($C47),$M$6:$M$17,AF$6:AF$17)</f>
        <v>#NAME?</v>
      </c>
      <c r="H47" s="1" t="e">
        <f aca="false">_xlfn.xlookup(MONTH($C47),$M$6:$M$17,AG$6:AG$17)</f>
        <v>#NAME?</v>
      </c>
      <c r="I47" s="1" t="e">
        <f aca="false">_xlfn.xlookup(MONTH($C47),$M$6:$M$17,AH$6:AH$17)</f>
        <v>#NAME?</v>
      </c>
    </row>
    <row r="48" customFormat="false" ht="14.25" hidden="false" customHeight="false" outlineLevel="0" collapsed="false">
      <c r="C48" s="33" t="n">
        <f aca="false">EOMONTH(C47,0)+1</f>
        <v>42675</v>
      </c>
      <c r="D48" s="1" t="e">
        <f aca="false" t="array" ref="D48:D48">_xlfn.xlookup($B$3,items,_xlfn.xlookup(C48,dates,big_table))</f>
        <v>#NAME?</v>
      </c>
      <c r="E48" s="1" t="n">
        <f aca="false" t="array" ref="E48:E48">IF(ISNA(_xlfn.xlookup("jodi_last",items,_xlfn.xlookup(C48,dates,big_table))),10^6,-100000)</f>
        <v>-100000</v>
      </c>
      <c r="F48" s="1" t="e">
        <f aca="false">_xlfn.xlookup(MONTH($C48),$M$6:$M$17,AE$6:AE$17)</f>
        <v>#NAME?</v>
      </c>
      <c r="G48" s="1" t="e">
        <f aca="false">_xlfn.xlookup(MONTH($C48),$M$6:$M$17,AF$6:AF$17)</f>
        <v>#NAME?</v>
      </c>
      <c r="H48" s="1" t="e">
        <f aca="false">_xlfn.xlookup(MONTH($C48),$M$6:$M$17,AG$6:AG$17)</f>
        <v>#NAME?</v>
      </c>
      <c r="I48" s="1" t="e">
        <f aca="false">_xlfn.xlookup(MONTH($C48),$M$6:$M$17,AH$6:AH$17)</f>
        <v>#NAME?</v>
      </c>
    </row>
    <row r="49" customFormat="false" ht="14.25" hidden="false" customHeight="false" outlineLevel="0" collapsed="false">
      <c r="C49" s="33" t="n">
        <f aca="false">EOMONTH(C48,0)+1</f>
        <v>42705</v>
      </c>
      <c r="D49" s="1" t="e">
        <f aca="false" t="array" ref="D49:D49">_xlfn.xlookup($B$3,items,_xlfn.xlookup(C49,dates,big_table))</f>
        <v>#NAME?</v>
      </c>
      <c r="E49" s="1" t="n">
        <f aca="false" t="array" ref="E49:E49">IF(ISNA(_xlfn.xlookup("jodi_last",items,_xlfn.xlookup(C49,dates,big_table))),10^6,-100000)</f>
        <v>-100000</v>
      </c>
      <c r="F49" s="1" t="e">
        <f aca="false">_xlfn.xlookup(MONTH($C49),$M$6:$M$17,AE$6:AE$17)</f>
        <v>#NAME?</v>
      </c>
      <c r="G49" s="1" t="e">
        <f aca="false">_xlfn.xlookup(MONTH($C49),$M$6:$M$17,AF$6:AF$17)</f>
        <v>#NAME?</v>
      </c>
      <c r="H49" s="1" t="e">
        <f aca="false">_xlfn.xlookup(MONTH($C49),$M$6:$M$17,AG$6:AG$17)</f>
        <v>#NAME?</v>
      </c>
      <c r="I49" s="1" t="e">
        <f aca="false">_xlfn.xlookup(MONTH($C49),$M$6:$M$17,AH$6:AH$17)</f>
        <v>#NAME?</v>
      </c>
    </row>
    <row r="50" customFormat="false" ht="14.25" hidden="false" customHeight="false" outlineLevel="0" collapsed="false">
      <c r="C50" s="33" t="n">
        <f aca="false">EOMONTH(C49,0)+1</f>
        <v>42736</v>
      </c>
      <c r="D50" s="1" t="e">
        <f aca="false" t="array" ref="D50:D50">_xlfn.xlookup($B$3,items,_xlfn.xlookup(C50,dates,big_table))</f>
        <v>#NAME?</v>
      </c>
      <c r="E50" s="1" t="n">
        <f aca="false" t="array" ref="E50:E50">IF(ISNA(_xlfn.xlookup("jodi_last",items,_xlfn.xlookup(C50,dates,big_table))),10^6,-100000)</f>
        <v>-100000</v>
      </c>
      <c r="F50" s="1" t="e">
        <f aca="false">_xlfn.xlookup(MONTH($C50),$M$6:$M$17,AE$6:AE$17)</f>
        <v>#NAME?</v>
      </c>
      <c r="G50" s="1" t="e">
        <f aca="false">_xlfn.xlookup(MONTH($C50),$M$6:$M$17,AF$6:AF$17)</f>
        <v>#NAME?</v>
      </c>
      <c r="H50" s="1" t="e">
        <f aca="false">_xlfn.xlookup(MONTH($C50),$M$6:$M$17,AG$6:AG$17)</f>
        <v>#NAME?</v>
      </c>
      <c r="I50" s="1" t="e">
        <f aca="false">_xlfn.xlookup(MONTH($C50),$M$6:$M$17,AH$6:AH$17)</f>
        <v>#NAME?</v>
      </c>
    </row>
    <row r="51" customFormat="false" ht="14.25" hidden="false" customHeight="false" outlineLevel="0" collapsed="false">
      <c r="C51" s="33" t="n">
        <f aca="false">EOMONTH(C50,0)+1</f>
        <v>42767</v>
      </c>
      <c r="D51" s="1" t="e">
        <f aca="false" t="array" ref="D51:D51">_xlfn.xlookup($B$3,items,_xlfn.xlookup(C51,dates,big_table))</f>
        <v>#NAME?</v>
      </c>
      <c r="E51" s="1" t="n">
        <f aca="false" t="array" ref="E51:E51">IF(ISNA(_xlfn.xlookup("jodi_last",items,_xlfn.xlookup(C51,dates,big_table))),10^6,-100000)</f>
        <v>-100000</v>
      </c>
      <c r="F51" s="1" t="e">
        <f aca="false">_xlfn.xlookup(MONTH($C51),$M$6:$M$17,AE$6:AE$17)</f>
        <v>#NAME?</v>
      </c>
      <c r="G51" s="1" t="e">
        <f aca="false">_xlfn.xlookup(MONTH($C51),$M$6:$M$17,AF$6:AF$17)</f>
        <v>#NAME?</v>
      </c>
      <c r="H51" s="1" t="e">
        <f aca="false">_xlfn.xlookup(MONTH($C51),$M$6:$M$17,AG$6:AG$17)</f>
        <v>#NAME?</v>
      </c>
      <c r="I51" s="1" t="e">
        <f aca="false">_xlfn.xlookup(MONTH($C51),$M$6:$M$17,AH$6:AH$17)</f>
        <v>#NAME?</v>
      </c>
    </row>
    <row r="52" customFormat="false" ht="14.25" hidden="false" customHeight="false" outlineLevel="0" collapsed="false">
      <c r="C52" s="33" t="n">
        <f aca="false">EOMONTH(C51,0)+1</f>
        <v>42795</v>
      </c>
      <c r="D52" s="1" t="e">
        <f aca="false" t="array" ref="D52:D52">_xlfn.xlookup($B$3,items,_xlfn.xlookup(C52,dates,big_table))</f>
        <v>#NAME?</v>
      </c>
      <c r="E52" s="1" t="n">
        <f aca="false" t="array" ref="E52:E52">IF(ISNA(_xlfn.xlookup("jodi_last",items,_xlfn.xlookup(C52,dates,big_table))),10^6,-100000)</f>
        <v>-100000</v>
      </c>
      <c r="F52" s="1" t="e">
        <f aca="false">_xlfn.xlookup(MONTH($C52),$M$6:$M$17,AE$6:AE$17)</f>
        <v>#NAME?</v>
      </c>
      <c r="G52" s="1" t="e">
        <f aca="false">_xlfn.xlookup(MONTH($C52),$M$6:$M$17,AF$6:AF$17)</f>
        <v>#NAME?</v>
      </c>
      <c r="H52" s="1" t="e">
        <f aca="false">_xlfn.xlookup(MONTH($C52),$M$6:$M$17,AG$6:AG$17)</f>
        <v>#NAME?</v>
      </c>
      <c r="I52" s="1" t="e">
        <f aca="false">_xlfn.xlookup(MONTH($C52),$M$6:$M$17,AH$6:AH$17)</f>
        <v>#NAME?</v>
      </c>
    </row>
    <row r="53" customFormat="false" ht="14.25" hidden="false" customHeight="false" outlineLevel="0" collapsed="false">
      <c r="C53" s="33" t="n">
        <f aca="false">EOMONTH(C52,0)+1</f>
        <v>42826</v>
      </c>
      <c r="D53" s="1" t="e">
        <f aca="false" t="array" ref="D53:D53">_xlfn.xlookup($B$3,items,_xlfn.xlookup(C53,dates,big_table))</f>
        <v>#NAME?</v>
      </c>
      <c r="E53" s="1" t="n">
        <f aca="false" t="array" ref="E53:E53">IF(ISNA(_xlfn.xlookup("jodi_last",items,_xlfn.xlookup(C53,dates,big_table))),10^6,-100000)</f>
        <v>-100000</v>
      </c>
      <c r="F53" s="1" t="e">
        <f aca="false">_xlfn.xlookup(MONTH($C53),$M$6:$M$17,AE$6:AE$17)</f>
        <v>#NAME?</v>
      </c>
      <c r="G53" s="1" t="e">
        <f aca="false">_xlfn.xlookup(MONTH($C53),$M$6:$M$17,AF$6:AF$17)</f>
        <v>#NAME?</v>
      </c>
      <c r="H53" s="1" t="e">
        <f aca="false">_xlfn.xlookup(MONTH($C53),$M$6:$M$17,AG$6:AG$17)</f>
        <v>#NAME?</v>
      </c>
      <c r="I53" s="1" t="e">
        <f aca="false">_xlfn.xlookup(MONTH($C53),$M$6:$M$17,AH$6:AH$17)</f>
        <v>#NAME?</v>
      </c>
    </row>
    <row r="54" customFormat="false" ht="14.25" hidden="false" customHeight="false" outlineLevel="0" collapsed="false">
      <c r="C54" s="33" t="n">
        <f aca="false">EOMONTH(C53,0)+1</f>
        <v>42856</v>
      </c>
      <c r="D54" s="1" t="e">
        <f aca="false" t="array" ref="D54:D54">_xlfn.xlookup($B$3,items,_xlfn.xlookup(C54,dates,big_table))</f>
        <v>#NAME?</v>
      </c>
      <c r="E54" s="1" t="n">
        <f aca="false" t="array" ref="E54:E54">IF(ISNA(_xlfn.xlookup("jodi_last",items,_xlfn.xlookup(C54,dates,big_table))),10^6,-100000)</f>
        <v>-100000</v>
      </c>
      <c r="F54" s="1" t="e">
        <f aca="false">_xlfn.xlookup(MONTH($C54),$M$6:$M$17,AE$6:AE$17)</f>
        <v>#NAME?</v>
      </c>
      <c r="G54" s="1" t="e">
        <f aca="false">_xlfn.xlookup(MONTH($C54),$M$6:$M$17,AF$6:AF$17)</f>
        <v>#NAME?</v>
      </c>
      <c r="H54" s="1" t="e">
        <f aca="false">_xlfn.xlookup(MONTH($C54),$M$6:$M$17,AG$6:AG$17)</f>
        <v>#NAME?</v>
      </c>
      <c r="I54" s="1" t="e">
        <f aca="false">_xlfn.xlookup(MONTH($C54),$M$6:$M$17,AH$6:AH$17)</f>
        <v>#NAME?</v>
      </c>
    </row>
    <row r="55" customFormat="false" ht="14.25" hidden="false" customHeight="false" outlineLevel="0" collapsed="false">
      <c r="C55" s="33" t="n">
        <f aca="false">EOMONTH(C54,0)+1</f>
        <v>42887</v>
      </c>
      <c r="D55" s="1" t="e">
        <f aca="false" t="array" ref="D55:D55">_xlfn.xlookup($B$3,items,_xlfn.xlookup(C55,dates,big_table))</f>
        <v>#NAME?</v>
      </c>
      <c r="E55" s="1" t="n">
        <f aca="false" t="array" ref="E55:E55">IF(ISNA(_xlfn.xlookup("jodi_last",items,_xlfn.xlookup(C55,dates,big_table))),10^6,-100000)</f>
        <v>-100000</v>
      </c>
      <c r="F55" s="1" t="e">
        <f aca="false">_xlfn.xlookup(MONTH($C55),$M$6:$M$17,AE$6:AE$17)</f>
        <v>#NAME?</v>
      </c>
      <c r="G55" s="1" t="e">
        <f aca="false">_xlfn.xlookup(MONTH($C55),$M$6:$M$17,AF$6:AF$17)</f>
        <v>#NAME?</v>
      </c>
      <c r="H55" s="1" t="e">
        <f aca="false">_xlfn.xlookup(MONTH($C55),$M$6:$M$17,AG$6:AG$17)</f>
        <v>#NAME?</v>
      </c>
      <c r="I55" s="1" t="e">
        <f aca="false">_xlfn.xlookup(MONTH($C55),$M$6:$M$17,AH$6:AH$17)</f>
        <v>#NAME?</v>
      </c>
    </row>
    <row r="56" customFormat="false" ht="14.25" hidden="false" customHeight="false" outlineLevel="0" collapsed="false">
      <c r="C56" s="33" t="n">
        <f aca="false">EOMONTH(C55,0)+1</f>
        <v>42917</v>
      </c>
      <c r="D56" s="1" t="e">
        <f aca="false" t="array" ref="D56:D56">_xlfn.xlookup($B$3,items,_xlfn.xlookup(C56,dates,big_table))</f>
        <v>#NAME?</v>
      </c>
      <c r="E56" s="1" t="n">
        <f aca="false" t="array" ref="E56:E56">IF(ISNA(_xlfn.xlookup("jodi_last",items,_xlfn.xlookup(C56,dates,big_table))),10^6,-100000)</f>
        <v>-100000</v>
      </c>
      <c r="F56" s="1" t="e">
        <f aca="false">_xlfn.xlookup(MONTH($C56),$M$6:$M$17,AE$6:AE$17)</f>
        <v>#NAME?</v>
      </c>
      <c r="G56" s="1" t="e">
        <f aca="false">_xlfn.xlookup(MONTH($C56),$M$6:$M$17,AF$6:AF$17)</f>
        <v>#NAME?</v>
      </c>
      <c r="H56" s="1" t="e">
        <f aca="false">_xlfn.xlookup(MONTH($C56),$M$6:$M$17,AG$6:AG$17)</f>
        <v>#NAME?</v>
      </c>
      <c r="I56" s="1" t="e">
        <f aca="false">_xlfn.xlookup(MONTH($C56),$M$6:$M$17,AH$6:AH$17)</f>
        <v>#NAME?</v>
      </c>
    </row>
    <row r="57" customFormat="false" ht="14.25" hidden="false" customHeight="false" outlineLevel="0" collapsed="false">
      <c r="C57" s="33" t="n">
        <f aca="false">EOMONTH(C56,0)+1</f>
        <v>42948</v>
      </c>
      <c r="D57" s="1" t="e">
        <f aca="false" t="array" ref="D57:D57">_xlfn.xlookup($B$3,items,_xlfn.xlookup(C57,dates,big_table))</f>
        <v>#NAME?</v>
      </c>
      <c r="E57" s="1" t="n">
        <f aca="false" t="array" ref="E57:E57">IF(ISNA(_xlfn.xlookup("jodi_last",items,_xlfn.xlookup(C57,dates,big_table))),10^6,-100000)</f>
        <v>-100000</v>
      </c>
      <c r="F57" s="1" t="e">
        <f aca="false">_xlfn.xlookup(MONTH($C57),$M$6:$M$17,AE$6:AE$17)</f>
        <v>#NAME?</v>
      </c>
      <c r="G57" s="1" t="e">
        <f aca="false">_xlfn.xlookup(MONTH($C57),$M$6:$M$17,AF$6:AF$17)</f>
        <v>#NAME?</v>
      </c>
      <c r="H57" s="1" t="e">
        <f aca="false">_xlfn.xlookup(MONTH($C57),$M$6:$M$17,AG$6:AG$17)</f>
        <v>#NAME?</v>
      </c>
      <c r="I57" s="1" t="e">
        <f aca="false">_xlfn.xlookup(MONTH($C57),$M$6:$M$17,AH$6:AH$17)</f>
        <v>#NAME?</v>
      </c>
    </row>
    <row r="58" customFormat="false" ht="14.25" hidden="false" customHeight="false" outlineLevel="0" collapsed="false">
      <c r="C58" s="33" t="n">
        <f aca="false">EOMONTH(C57,0)+1</f>
        <v>42979</v>
      </c>
      <c r="D58" s="1" t="e">
        <f aca="false" t="array" ref="D58:D58">_xlfn.xlookup($B$3,items,_xlfn.xlookup(C58,dates,big_table))</f>
        <v>#NAME?</v>
      </c>
      <c r="E58" s="1" t="n">
        <f aca="false" t="array" ref="E58:E58">IF(ISNA(_xlfn.xlookup("jodi_last",items,_xlfn.xlookup(C58,dates,big_table))),10^6,-100000)</f>
        <v>-100000</v>
      </c>
      <c r="F58" s="1" t="e">
        <f aca="false">_xlfn.xlookup(MONTH($C58),$M$6:$M$17,AE$6:AE$17)</f>
        <v>#NAME?</v>
      </c>
      <c r="G58" s="1" t="e">
        <f aca="false">_xlfn.xlookup(MONTH($C58),$M$6:$M$17,AF$6:AF$17)</f>
        <v>#NAME?</v>
      </c>
      <c r="H58" s="1" t="e">
        <f aca="false">_xlfn.xlookup(MONTH($C58),$M$6:$M$17,AG$6:AG$17)</f>
        <v>#NAME?</v>
      </c>
      <c r="I58" s="1" t="e">
        <f aca="false">_xlfn.xlookup(MONTH($C58),$M$6:$M$17,AH$6:AH$17)</f>
        <v>#NAME?</v>
      </c>
    </row>
    <row r="59" customFormat="false" ht="14.25" hidden="false" customHeight="false" outlineLevel="0" collapsed="false">
      <c r="C59" s="33" t="n">
        <f aca="false">EOMONTH(C58,0)+1</f>
        <v>43009</v>
      </c>
      <c r="D59" s="1" t="e">
        <f aca="false" t="array" ref="D59:D59">_xlfn.xlookup($B$3,items,_xlfn.xlookup(C59,dates,big_table))</f>
        <v>#NAME?</v>
      </c>
      <c r="E59" s="1" t="n">
        <f aca="false" t="array" ref="E59:E59">IF(ISNA(_xlfn.xlookup("jodi_last",items,_xlfn.xlookup(C59,dates,big_table))),10^6,-100000)</f>
        <v>-100000</v>
      </c>
      <c r="F59" s="1" t="e">
        <f aca="false">_xlfn.xlookup(MONTH($C59),$M$6:$M$17,AE$6:AE$17)</f>
        <v>#NAME?</v>
      </c>
      <c r="G59" s="1" t="e">
        <f aca="false">_xlfn.xlookup(MONTH($C59),$M$6:$M$17,AF$6:AF$17)</f>
        <v>#NAME?</v>
      </c>
      <c r="H59" s="1" t="e">
        <f aca="false">_xlfn.xlookup(MONTH($C59),$M$6:$M$17,AG$6:AG$17)</f>
        <v>#NAME?</v>
      </c>
      <c r="I59" s="1" t="e">
        <f aca="false">_xlfn.xlookup(MONTH($C59),$M$6:$M$17,AH$6:AH$17)</f>
        <v>#NAME?</v>
      </c>
    </row>
    <row r="60" customFormat="false" ht="14.25" hidden="false" customHeight="false" outlineLevel="0" collapsed="false">
      <c r="C60" s="33" t="n">
        <f aca="false">EOMONTH(C59,0)+1</f>
        <v>43040</v>
      </c>
      <c r="D60" s="1" t="e">
        <f aca="false" t="array" ref="D60:D60">_xlfn.xlookup($B$3,items,_xlfn.xlookup(C60,dates,big_table))</f>
        <v>#NAME?</v>
      </c>
      <c r="E60" s="1" t="n">
        <f aca="false" t="array" ref="E60:E60">IF(ISNA(_xlfn.xlookup("jodi_last",items,_xlfn.xlookup(C60,dates,big_table))),10^6,-100000)</f>
        <v>-100000</v>
      </c>
      <c r="F60" s="1" t="e">
        <f aca="false">_xlfn.xlookup(MONTH($C60),$M$6:$M$17,AE$6:AE$17)</f>
        <v>#NAME?</v>
      </c>
      <c r="G60" s="1" t="e">
        <f aca="false">_xlfn.xlookup(MONTH($C60),$M$6:$M$17,AF$6:AF$17)</f>
        <v>#NAME?</v>
      </c>
      <c r="H60" s="1" t="e">
        <f aca="false">_xlfn.xlookup(MONTH($C60),$M$6:$M$17,AG$6:AG$17)</f>
        <v>#NAME?</v>
      </c>
      <c r="I60" s="1" t="e">
        <f aca="false">_xlfn.xlookup(MONTH($C60),$M$6:$M$17,AH$6:AH$17)</f>
        <v>#NAME?</v>
      </c>
    </row>
    <row r="61" customFormat="false" ht="14.25" hidden="false" customHeight="false" outlineLevel="0" collapsed="false">
      <c r="C61" s="33" t="n">
        <f aca="false">EOMONTH(C60,0)+1</f>
        <v>43070</v>
      </c>
      <c r="D61" s="1" t="e">
        <f aca="false" t="array" ref="D61:D61">_xlfn.xlookup($B$3,items,_xlfn.xlookup(C61,dates,big_table))</f>
        <v>#NAME?</v>
      </c>
      <c r="E61" s="1" t="n">
        <f aca="false" t="array" ref="E61:E61">IF(ISNA(_xlfn.xlookup("jodi_last",items,_xlfn.xlookup(C61,dates,big_table))),10^6,-100000)</f>
        <v>-100000</v>
      </c>
      <c r="F61" s="1" t="e">
        <f aca="false">_xlfn.xlookup(MONTH($C61),$M$6:$M$17,AE$6:AE$17)</f>
        <v>#NAME?</v>
      </c>
      <c r="G61" s="1" t="e">
        <f aca="false">_xlfn.xlookup(MONTH($C61),$M$6:$M$17,AF$6:AF$17)</f>
        <v>#NAME?</v>
      </c>
      <c r="H61" s="1" t="e">
        <f aca="false">_xlfn.xlookup(MONTH($C61),$M$6:$M$17,AG$6:AG$17)</f>
        <v>#NAME?</v>
      </c>
      <c r="I61" s="1" t="e">
        <f aca="false">_xlfn.xlookup(MONTH($C61),$M$6:$M$17,AH$6:AH$17)</f>
        <v>#NAME?</v>
      </c>
    </row>
    <row r="62" customFormat="false" ht="14.25" hidden="false" customHeight="false" outlineLevel="0" collapsed="false">
      <c r="C62" s="33" t="n">
        <f aca="false">EOMONTH(C61,0)+1</f>
        <v>43101</v>
      </c>
      <c r="D62" s="1" t="e">
        <f aca="false" t="array" ref="D62:D62">_xlfn.xlookup($B$3,items,_xlfn.xlookup(C62,dates,big_table))</f>
        <v>#NAME?</v>
      </c>
      <c r="E62" s="1" t="n">
        <f aca="false" t="array" ref="E62:E62">IF(ISNA(_xlfn.xlookup("jodi_last",items,_xlfn.xlookup(C62,dates,big_table))),10^6,-100000)</f>
        <v>-100000</v>
      </c>
      <c r="F62" s="1" t="e">
        <f aca="false">_xlfn.xlookup(MONTH($C62),$M$6:$M$17,AE$6:AE$17)</f>
        <v>#NAME?</v>
      </c>
      <c r="G62" s="1" t="e">
        <f aca="false">_xlfn.xlookup(MONTH($C62),$M$6:$M$17,AF$6:AF$17)</f>
        <v>#NAME?</v>
      </c>
      <c r="H62" s="1" t="e">
        <f aca="false">_xlfn.xlookup(MONTH($C62),$M$6:$M$17,AG$6:AG$17)</f>
        <v>#NAME?</v>
      </c>
      <c r="I62" s="1" t="e">
        <f aca="false">_xlfn.xlookup(MONTH($C62),$M$6:$M$17,AH$6:AH$17)</f>
        <v>#NAME?</v>
      </c>
    </row>
    <row r="63" customFormat="false" ht="14.25" hidden="false" customHeight="false" outlineLevel="0" collapsed="false">
      <c r="C63" s="33" t="n">
        <f aca="false">EOMONTH(C62,0)+1</f>
        <v>43132</v>
      </c>
      <c r="D63" s="1" t="e">
        <f aca="false" t="array" ref="D63:D63">_xlfn.xlookup($B$3,items,_xlfn.xlookup(C63,dates,big_table))</f>
        <v>#NAME?</v>
      </c>
      <c r="E63" s="1" t="n">
        <f aca="false" t="array" ref="E63:E63">IF(ISNA(_xlfn.xlookup("jodi_last",items,_xlfn.xlookup(C63,dates,big_table))),10^6,-100000)</f>
        <v>-100000</v>
      </c>
      <c r="F63" s="1" t="e">
        <f aca="false">_xlfn.xlookup(MONTH($C63),$M$6:$M$17,AE$6:AE$17)</f>
        <v>#NAME?</v>
      </c>
      <c r="G63" s="1" t="e">
        <f aca="false">_xlfn.xlookup(MONTH($C63),$M$6:$M$17,AF$6:AF$17)</f>
        <v>#NAME?</v>
      </c>
      <c r="H63" s="1" t="e">
        <f aca="false">_xlfn.xlookup(MONTH($C63),$M$6:$M$17,AG$6:AG$17)</f>
        <v>#NAME?</v>
      </c>
      <c r="I63" s="1" t="e">
        <f aca="false">_xlfn.xlookup(MONTH($C63),$M$6:$M$17,AH$6:AH$17)</f>
        <v>#NAME?</v>
      </c>
    </row>
    <row r="64" customFormat="false" ht="14.25" hidden="false" customHeight="false" outlineLevel="0" collapsed="false">
      <c r="C64" s="33" t="n">
        <f aca="false">EOMONTH(C63,0)+1</f>
        <v>43160</v>
      </c>
      <c r="D64" s="1" t="e">
        <f aca="false" t="array" ref="D64:D64">_xlfn.xlookup($B$3,items,_xlfn.xlookup(C64,dates,big_table))</f>
        <v>#NAME?</v>
      </c>
      <c r="E64" s="1" t="n">
        <f aca="false" t="array" ref="E64:E64">IF(ISNA(_xlfn.xlookup("jodi_last",items,_xlfn.xlookup(C64,dates,big_table))),10^6,-100000)</f>
        <v>-100000</v>
      </c>
      <c r="F64" s="1" t="e">
        <f aca="false">_xlfn.xlookup(MONTH($C64),$M$6:$M$17,AE$6:AE$17)</f>
        <v>#NAME?</v>
      </c>
      <c r="G64" s="1" t="e">
        <f aca="false">_xlfn.xlookup(MONTH($C64),$M$6:$M$17,AF$6:AF$17)</f>
        <v>#NAME?</v>
      </c>
      <c r="H64" s="1" t="e">
        <f aca="false">_xlfn.xlookup(MONTH($C64),$M$6:$M$17,AG$6:AG$17)</f>
        <v>#NAME?</v>
      </c>
      <c r="I64" s="1" t="e">
        <f aca="false">_xlfn.xlookup(MONTH($C64),$M$6:$M$17,AH$6:AH$17)</f>
        <v>#NAME?</v>
      </c>
    </row>
    <row r="65" customFormat="false" ht="14.25" hidden="false" customHeight="false" outlineLevel="0" collapsed="false">
      <c r="C65" s="33" t="n">
        <f aca="false">EOMONTH(C64,0)+1</f>
        <v>43191</v>
      </c>
      <c r="D65" s="1" t="e">
        <f aca="false" t="array" ref="D65:D65">_xlfn.xlookup($B$3,items,_xlfn.xlookup(C65,dates,big_table))</f>
        <v>#NAME?</v>
      </c>
      <c r="E65" s="1" t="n">
        <f aca="false" t="array" ref="E65:E65">IF(ISNA(_xlfn.xlookup("jodi_last",items,_xlfn.xlookup(C65,dates,big_table))),10^6,-100000)</f>
        <v>-100000</v>
      </c>
      <c r="F65" s="1" t="e">
        <f aca="false">_xlfn.xlookup(MONTH($C65),$M$6:$M$17,AE$6:AE$17)</f>
        <v>#NAME?</v>
      </c>
      <c r="G65" s="1" t="e">
        <f aca="false">_xlfn.xlookup(MONTH($C65),$M$6:$M$17,AF$6:AF$17)</f>
        <v>#NAME?</v>
      </c>
      <c r="H65" s="1" t="e">
        <f aca="false">_xlfn.xlookup(MONTH($C65),$M$6:$M$17,AG$6:AG$17)</f>
        <v>#NAME?</v>
      </c>
      <c r="I65" s="1" t="e">
        <f aca="false">_xlfn.xlookup(MONTH($C65),$M$6:$M$17,AH$6:AH$17)</f>
        <v>#NAME?</v>
      </c>
    </row>
    <row r="66" customFormat="false" ht="14.25" hidden="false" customHeight="false" outlineLevel="0" collapsed="false">
      <c r="C66" s="33" t="n">
        <f aca="false">EOMONTH(C65,0)+1</f>
        <v>43221</v>
      </c>
      <c r="D66" s="1" t="e">
        <f aca="false" t="array" ref="D66:D66">_xlfn.xlookup($B$3,items,_xlfn.xlookup(C66,dates,big_table))</f>
        <v>#NAME?</v>
      </c>
      <c r="E66" s="1" t="n">
        <f aca="false" t="array" ref="E66:E66">IF(ISNA(_xlfn.xlookup("jodi_last",items,_xlfn.xlookup(C66,dates,big_table))),10^6,-100000)</f>
        <v>-100000</v>
      </c>
      <c r="F66" s="1" t="e">
        <f aca="false">_xlfn.xlookup(MONTH($C66),$M$6:$M$17,AE$6:AE$17)</f>
        <v>#NAME?</v>
      </c>
      <c r="G66" s="1" t="e">
        <f aca="false">_xlfn.xlookup(MONTH($C66),$M$6:$M$17,AF$6:AF$17)</f>
        <v>#NAME?</v>
      </c>
      <c r="H66" s="1" t="e">
        <f aca="false">_xlfn.xlookup(MONTH($C66),$M$6:$M$17,AG$6:AG$17)</f>
        <v>#NAME?</v>
      </c>
      <c r="I66" s="1" t="e">
        <f aca="false">_xlfn.xlookup(MONTH($C66),$M$6:$M$17,AH$6:AH$17)</f>
        <v>#NAME?</v>
      </c>
    </row>
    <row r="67" customFormat="false" ht="14.25" hidden="false" customHeight="false" outlineLevel="0" collapsed="false">
      <c r="C67" s="33" t="n">
        <f aca="false">EOMONTH(C66,0)+1</f>
        <v>43252</v>
      </c>
      <c r="D67" s="1" t="e">
        <f aca="false" t="array" ref="D67:D67">_xlfn.xlookup($B$3,items,_xlfn.xlookup(C67,dates,big_table))</f>
        <v>#NAME?</v>
      </c>
      <c r="E67" s="1" t="n">
        <f aca="false" t="array" ref="E67:E67">IF(ISNA(_xlfn.xlookup("jodi_last",items,_xlfn.xlookup(C67,dates,big_table))),10^6,-100000)</f>
        <v>-100000</v>
      </c>
      <c r="F67" s="1" t="e">
        <f aca="false">_xlfn.xlookup(MONTH($C67),$M$6:$M$17,AE$6:AE$17)</f>
        <v>#NAME?</v>
      </c>
      <c r="G67" s="1" t="e">
        <f aca="false">_xlfn.xlookup(MONTH($C67),$M$6:$M$17,AF$6:AF$17)</f>
        <v>#NAME?</v>
      </c>
      <c r="H67" s="1" t="e">
        <f aca="false">_xlfn.xlookup(MONTH($C67),$M$6:$M$17,AG$6:AG$17)</f>
        <v>#NAME?</v>
      </c>
      <c r="I67" s="1" t="e">
        <f aca="false">_xlfn.xlookup(MONTH($C67),$M$6:$M$17,AH$6:AH$17)</f>
        <v>#NAME?</v>
      </c>
    </row>
    <row r="68" customFormat="false" ht="14.25" hidden="false" customHeight="false" outlineLevel="0" collapsed="false">
      <c r="C68" s="33" t="n">
        <f aca="false">EOMONTH(C67,0)+1</f>
        <v>43282</v>
      </c>
      <c r="D68" s="1" t="e">
        <f aca="false" t="array" ref="D68:D68">_xlfn.xlookup($B$3,items,_xlfn.xlookup(C68,dates,big_table))</f>
        <v>#NAME?</v>
      </c>
      <c r="E68" s="1" t="n">
        <f aca="false" t="array" ref="E68:E68">IF(ISNA(_xlfn.xlookup("jodi_last",items,_xlfn.xlookup(C68,dates,big_table))),10^6,-100000)</f>
        <v>-100000</v>
      </c>
      <c r="F68" s="1" t="e">
        <f aca="false">_xlfn.xlookup(MONTH($C68),$M$6:$M$17,AE$6:AE$17)</f>
        <v>#NAME?</v>
      </c>
      <c r="G68" s="1" t="e">
        <f aca="false">_xlfn.xlookup(MONTH($C68),$M$6:$M$17,AF$6:AF$17)</f>
        <v>#NAME?</v>
      </c>
      <c r="H68" s="1" t="e">
        <f aca="false">_xlfn.xlookup(MONTH($C68),$M$6:$M$17,AG$6:AG$17)</f>
        <v>#NAME?</v>
      </c>
      <c r="I68" s="1" t="e">
        <f aca="false">_xlfn.xlookup(MONTH($C68),$M$6:$M$17,AH$6:AH$17)</f>
        <v>#NAME?</v>
      </c>
    </row>
    <row r="69" customFormat="false" ht="14.25" hidden="false" customHeight="false" outlineLevel="0" collapsed="false">
      <c r="C69" s="33" t="n">
        <f aca="false">EOMONTH(C68,0)+1</f>
        <v>43313</v>
      </c>
      <c r="D69" s="1" t="e">
        <f aca="false" t="array" ref="D69:D69">_xlfn.xlookup($B$3,items,_xlfn.xlookup(C69,dates,big_table))</f>
        <v>#NAME?</v>
      </c>
      <c r="E69" s="1" t="n">
        <f aca="false" t="array" ref="E69:E69">IF(ISNA(_xlfn.xlookup("jodi_last",items,_xlfn.xlookup(C69,dates,big_table))),10^6,-100000)</f>
        <v>-100000</v>
      </c>
      <c r="F69" s="1" t="e">
        <f aca="false">_xlfn.xlookup(MONTH($C69),$M$6:$M$17,AE$6:AE$17)</f>
        <v>#NAME?</v>
      </c>
      <c r="G69" s="1" t="e">
        <f aca="false">_xlfn.xlookup(MONTH($C69),$M$6:$M$17,AF$6:AF$17)</f>
        <v>#NAME?</v>
      </c>
      <c r="H69" s="1" t="e">
        <f aca="false">_xlfn.xlookup(MONTH($C69),$M$6:$M$17,AG$6:AG$17)</f>
        <v>#NAME?</v>
      </c>
      <c r="I69" s="1" t="e">
        <f aca="false">_xlfn.xlookup(MONTH($C69),$M$6:$M$17,AH$6:AH$17)</f>
        <v>#NAME?</v>
      </c>
    </row>
    <row r="70" customFormat="false" ht="14.25" hidden="false" customHeight="false" outlineLevel="0" collapsed="false">
      <c r="C70" s="33" t="n">
        <f aca="false">EOMONTH(C69,0)+1</f>
        <v>43344</v>
      </c>
      <c r="D70" s="1" t="e">
        <f aca="false" t="array" ref="D70:D70">_xlfn.xlookup($B$3,items,_xlfn.xlookup(C70,dates,big_table))</f>
        <v>#NAME?</v>
      </c>
      <c r="E70" s="1" t="n">
        <f aca="false" t="array" ref="E70:E70">IF(ISNA(_xlfn.xlookup("jodi_last",items,_xlfn.xlookup(C70,dates,big_table))),10^6,-100000)</f>
        <v>-100000</v>
      </c>
      <c r="F70" s="1" t="e">
        <f aca="false">_xlfn.xlookup(MONTH($C70),$M$6:$M$17,AE$6:AE$17)</f>
        <v>#NAME?</v>
      </c>
      <c r="G70" s="1" t="e">
        <f aca="false">_xlfn.xlookup(MONTH($C70),$M$6:$M$17,AF$6:AF$17)</f>
        <v>#NAME?</v>
      </c>
      <c r="H70" s="1" t="e">
        <f aca="false">_xlfn.xlookup(MONTH($C70),$M$6:$M$17,AG$6:AG$17)</f>
        <v>#NAME?</v>
      </c>
      <c r="I70" s="1" t="e">
        <f aca="false">_xlfn.xlookup(MONTH($C70),$M$6:$M$17,AH$6:AH$17)</f>
        <v>#NAME?</v>
      </c>
    </row>
    <row r="71" customFormat="false" ht="14.25" hidden="false" customHeight="false" outlineLevel="0" collapsed="false">
      <c r="C71" s="33" t="n">
        <f aca="false">EOMONTH(C70,0)+1</f>
        <v>43374</v>
      </c>
      <c r="D71" s="1" t="e">
        <f aca="false" t="array" ref="D71:D71">_xlfn.xlookup($B$3,items,_xlfn.xlookup(C71,dates,big_table))</f>
        <v>#NAME?</v>
      </c>
      <c r="E71" s="1" t="n">
        <f aca="false" t="array" ref="E71:E71">IF(ISNA(_xlfn.xlookup("jodi_last",items,_xlfn.xlookup(C71,dates,big_table))),10^6,-100000)</f>
        <v>-100000</v>
      </c>
      <c r="F71" s="1" t="e">
        <f aca="false">_xlfn.xlookup(MONTH($C71),$M$6:$M$17,AE$6:AE$17)</f>
        <v>#NAME?</v>
      </c>
      <c r="G71" s="1" t="e">
        <f aca="false">_xlfn.xlookup(MONTH($C71),$M$6:$M$17,AF$6:AF$17)</f>
        <v>#NAME?</v>
      </c>
      <c r="H71" s="1" t="e">
        <f aca="false">_xlfn.xlookup(MONTH($C71),$M$6:$M$17,AG$6:AG$17)</f>
        <v>#NAME?</v>
      </c>
      <c r="I71" s="1" t="e">
        <f aca="false">_xlfn.xlookup(MONTH($C71),$M$6:$M$17,AH$6:AH$17)</f>
        <v>#NAME?</v>
      </c>
    </row>
    <row r="72" customFormat="false" ht="14.25" hidden="false" customHeight="false" outlineLevel="0" collapsed="false">
      <c r="C72" s="33" t="n">
        <f aca="false">EOMONTH(C71,0)+1</f>
        <v>43405</v>
      </c>
      <c r="D72" s="1" t="e">
        <f aca="false" t="array" ref="D72:D72">_xlfn.xlookup($B$3,items,_xlfn.xlookup(C72,dates,big_table))</f>
        <v>#NAME?</v>
      </c>
      <c r="E72" s="1" t="n">
        <f aca="false" t="array" ref="E72:E72">IF(ISNA(_xlfn.xlookup("jodi_last",items,_xlfn.xlookup(C72,dates,big_table))),10^6,-100000)</f>
        <v>-100000</v>
      </c>
      <c r="F72" s="1" t="e">
        <f aca="false">_xlfn.xlookup(MONTH($C72),$M$6:$M$17,AE$6:AE$17)</f>
        <v>#NAME?</v>
      </c>
      <c r="G72" s="1" t="e">
        <f aca="false">_xlfn.xlookup(MONTH($C72),$M$6:$M$17,AF$6:AF$17)</f>
        <v>#NAME?</v>
      </c>
      <c r="H72" s="1" t="e">
        <f aca="false">_xlfn.xlookup(MONTH($C72),$M$6:$M$17,AG$6:AG$17)</f>
        <v>#NAME?</v>
      </c>
      <c r="I72" s="1" t="e">
        <f aca="false">_xlfn.xlookup(MONTH($C72),$M$6:$M$17,AH$6:AH$17)</f>
        <v>#NAME?</v>
      </c>
    </row>
    <row r="73" customFormat="false" ht="14.25" hidden="false" customHeight="false" outlineLevel="0" collapsed="false">
      <c r="C73" s="33" t="n">
        <f aca="false">EOMONTH(C72,0)+1</f>
        <v>43435</v>
      </c>
      <c r="D73" s="1" t="e">
        <f aca="false" t="array" ref="D73:D73">_xlfn.xlookup($B$3,items,_xlfn.xlookup(C73,dates,big_table))</f>
        <v>#NAME?</v>
      </c>
      <c r="E73" s="1" t="n">
        <f aca="false" t="array" ref="E73:E73">IF(ISNA(_xlfn.xlookup("jodi_last",items,_xlfn.xlookup(C73,dates,big_table))),10^6,-100000)</f>
        <v>-100000</v>
      </c>
      <c r="F73" s="1" t="e">
        <f aca="false">_xlfn.xlookup(MONTH($C73),$M$6:$M$17,AE$6:AE$17)</f>
        <v>#NAME?</v>
      </c>
      <c r="G73" s="1" t="e">
        <f aca="false">_xlfn.xlookup(MONTH($C73),$M$6:$M$17,AF$6:AF$17)</f>
        <v>#NAME?</v>
      </c>
      <c r="H73" s="1" t="e">
        <f aca="false">_xlfn.xlookup(MONTH($C73),$M$6:$M$17,AG$6:AG$17)</f>
        <v>#NAME?</v>
      </c>
      <c r="I73" s="1" t="e">
        <f aca="false">_xlfn.xlookup(MONTH($C73),$M$6:$M$17,AH$6:AH$17)</f>
        <v>#NAME?</v>
      </c>
    </row>
    <row r="74" customFormat="false" ht="14.25" hidden="false" customHeight="false" outlineLevel="0" collapsed="false">
      <c r="C74" s="33" t="n">
        <f aca="false">EOMONTH(C73,0)+1</f>
        <v>43466</v>
      </c>
      <c r="D74" s="1" t="e">
        <f aca="false" t="array" ref="D74:D74">_xlfn.xlookup($B$3,items,_xlfn.xlookup(C74,dates,big_table))</f>
        <v>#NAME?</v>
      </c>
      <c r="E74" s="1" t="n">
        <f aca="false" t="array" ref="E74:E74">IF(ISNA(_xlfn.xlookup("jodi_last",items,_xlfn.xlookup(C74,dates,big_table))),10^6,-100000)</f>
        <v>-100000</v>
      </c>
      <c r="F74" s="1" t="e">
        <f aca="false">_xlfn.xlookup(MONTH($C74),$M$6:$M$17,AE$6:AE$17)</f>
        <v>#NAME?</v>
      </c>
      <c r="G74" s="1" t="e">
        <f aca="false">_xlfn.xlookup(MONTH($C74),$M$6:$M$17,AF$6:AF$17)</f>
        <v>#NAME?</v>
      </c>
      <c r="H74" s="1" t="e">
        <f aca="false">_xlfn.xlookup(MONTH($C74),$M$6:$M$17,AG$6:AG$17)</f>
        <v>#NAME?</v>
      </c>
      <c r="I74" s="1" t="e">
        <f aca="false">_xlfn.xlookup(MONTH($C74),$M$6:$M$17,AH$6:AH$17)</f>
        <v>#NAME?</v>
      </c>
    </row>
    <row r="75" customFormat="false" ht="14.25" hidden="false" customHeight="false" outlineLevel="0" collapsed="false">
      <c r="C75" s="33" t="n">
        <f aca="false">EOMONTH(C74,0)+1</f>
        <v>43497</v>
      </c>
      <c r="D75" s="1" t="e">
        <f aca="false" t="array" ref="D75:D75">_xlfn.xlookup($B$3,items,_xlfn.xlookup(C75,dates,big_table))</f>
        <v>#NAME?</v>
      </c>
      <c r="E75" s="1" t="n">
        <f aca="false" t="array" ref="E75:E75">IF(ISNA(_xlfn.xlookup("jodi_last",items,_xlfn.xlookup(C75,dates,big_table))),10^6,-100000)</f>
        <v>-100000</v>
      </c>
      <c r="F75" s="1" t="e">
        <f aca="false">_xlfn.xlookup(MONTH($C75),$M$6:$M$17,AE$6:AE$17)</f>
        <v>#NAME?</v>
      </c>
      <c r="G75" s="1" t="e">
        <f aca="false">_xlfn.xlookup(MONTH($C75),$M$6:$M$17,AF$6:AF$17)</f>
        <v>#NAME?</v>
      </c>
      <c r="H75" s="1" t="e">
        <f aca="false">_xlfn.xlookup(MONTH($C75),$M$6:$M$17,AG$6:AG$17)</f>
        <v>#NAME?</v>
      </c>
      <c r="I75" s="1" t="e">
        <f aca="false">_xlfn.xlookup(MONTH($C75),$M$6:$M$17,AH$6:AH$17)</f>
        <v>#NAME?</v>
      </c>
    </row>
    <row r="76" customFormat="false" ht="14.25" hidden="false" customHeight="false" outlineLevel="0" collapsed="false">
      <c r="C76" s="33" t="n">
        <f aca="false">EOMONTH(C75,0)+1</f>
        <v>43525</v>
      </c>
      <c r="D76" s="1" t="e">
        <f aca="false" t="array" ref="D76:D76">_xlfn.xlookup($B$3,items,_xlfn.xlookup(C76,dates,big_table))</f>
        <v>#NAME?</v>
      </c>
      <c r="E76" s="1" t="n">
        <f aca="false" t="array" ref="E76:E76">IF(ISNA(_xlfn.xlookup("jodi_last",items,_xlfn.xlookup(C76,dates,big_table))),10^6,-100000)</f>
        <v>-100000</v>
      </c>
      <c r="F76" s="1" t="e">
        <f aca="false">_xlfn.xlookup(MONTH($C76),$M$6:$M$17,AE$6:AE$17)</f>
        <v>#NAME?</v>
      </c>
      <c r="G76" s="1" t="e">
        <f aca="false">_xlfn.xlookup(MONTH($C76),$M$6:$M$17,AF$6:AF$17)</f>
        <v>#NAME?</v>
      </c>
      <c r="H76" s="1" t="e">
        <f aca="false">_xlfn.xlookup(MONTH($C76),$M$6:$M$17,AG$6:AG$17)</f>
        <v>#NAME?</v>
      </c>
      <c r="I76" s="1" t="e">
        <f aca="false">_xlfn.xlookup(MONTH($C76),$M$6:$M$17,AH$6:AH$17)</f>
        <v>#NAME?</v>
      </c>
    </row>
    <row r="77" customFormat="false" ht="14.25" hidden="false" customHeight="false" outlineLevel="0" collapsed="false">
      <c r="C77" s="33" t="n">
        <f aca="false">EOMONTH(C76,0)+1</f>
        <v>43556</v>
      </c>
      <c r="D77" s="1" t="e">
        <f aca="false" t="array" ref="D77:D77">_xlfn.xlookup($B$3,items,_xlfn.xlookup(C77,dates,big_table))</f>
        <v>#NAME?</v>
      </c>
      <c r="E77" s="1" t="n">
        <f aca="false" t="array" ref="E77:E77">IF(ISNA(_xlfn.xlookup("jodi_last",items,_xlfn.xlookup(C77,dates,big_table))),10^6,-100000)</f>
        <v>-100000</v>
      </c>
      <c r="F77" s="1" t="e">
        <f aca="false">_xlfn.xlookup(MONTH($C77),$M$6:$M$17,AE$6:AE$17)</f>
        <v>#NAME?</v>
      </c>
      <c r="G77" s="1" t="e">
        <f aca="false">_xlfn.xlookup(MONTH($C77),$M$6:$M$17,AF$6:AF$17)</f>
        <v>#NAME?</v>
      </c>
      <c r="H77" s="1" t="e">
        <f aca="false">_xlfn.xlookup(MONTH($C77),$M$6:$M$17,AG$6:AG$17)</f>
        <v>#NAME?</v>
      </c>
      <c r="I77" s="1" t="e">
        <f aca="false">_xlfn.xlookup(MONTH($C77),$M$6:$M$17,AH$6:AH$17)</f>
        <v>#NAME?</v>
      </c>
    </row>
    <row r="78" customFormat="false" ht="14.25" hidden="false" customHeight="false" outlineLevel="0" collapsed="false">
      <c r="C78" s="33" t="n">
        <f aca="false">EOMONTH(C77,0)+1</f>
        <v>43586</v>
      </c>
      <c r="D78" s="1" t="e">
        <f aca="false" t="array" ref="D78:D78">_xlfn.xlookup($B$3,items,_xlfn.xlookup(C78,dates,big_table))</f>
        <v>#NAME?</v>
      </c>
      <c r="E78" s="1" t="n">
        <f aca="false" t="array" ref="E78:E78">IF(ISNA(_xlfn.xlookup("jodi_last",items,_xlfn.xlookup(C78,dates,big_table))),10^6,-100000)</f>
        <v>-100000</v>
      </c>
      <c r="F78" s="1" t="e">
        <f aca="false">_xlfn.xlookup(MONTH($C78),$M$6:$M$17,AE$6:AE$17)</f>
        <v>#NAME?</v>
      </c>
      <c r="G78" s="1" t="e">
        <f aca="false">_xlfn.xlookup(MONTH($C78),$M$6:$M$17,AF$6:AF$17)</f>
        <v>#NAME?</v>
      </c>
      <c r="H78" s="1" t="e">
        <f aca="false">_xlfn.xlookup(MONTH($C78),$M$6:$M$17,AG$6:AG$17)</f>
        <v>#NAME?</v>
      </c>
      <c r="I78" s="1" t="e">
        <f aca="false">_xlfn.xlookup(MONTH($C78),$M$6:$M$17,AH$6:AH$17)</f>
        <v>#NAME?</v>
      </c>
    </row>
    <row r="79" customFormat="false" ht="14.25" hidden="false" customHeight="false" outlineLevel="0" collapsed="false">
      <c r="C79" s="33" t="n">
        <f aca="false">EOMONTH(C78,0)+1</f>
        <v>43617</v>
      </c>
      <c r="D79" s="1" t="e">
        <f aca="false" t="array" ref="D79:D79">_xlfn.xlookup($B$3,items,_xlfn.xlookup(C79,dates,big_table))</f>
        <v>#NAME?</v>
      </c>
      <c r="E79" s="1" t="n">
        <f aca="false" t="array" ref="E79:E79">IF(ISNA(_xlfn.xlookup("jodi_last",items,_xlfn.xlookup(C79,dates,big_table))),10^6,-100000)</f>
        <v>-100000</v>
      </c>
      <c r="F79" s="1" t="e">
        <f aca="false">_xlfn.xlookup(MONTH($C79),$M$6:$M$17,AE$6:AE$17)</f>
        <v>#NAME?</v>
      </c>
      <c r="G79" s="1" t="e">
        <f aca="false">_xlfn.xlookup(MONTH($C79),$M$6:$M$17,AF$6:AF$17)</f>
        <v>#NAME?</v>
      </c>
      <c r="H79" s="1" t="e">
        <f aca="false">_xlfn.xlookup(MONTH($C79),$M$6:$M$17,AG$6:AG$17)</f>
        <v>#NAME?</v>
      </c>
      <c r="I79" s="1" t="e">
        <f aca="false">_xlfn.xlookup(MONTH($C79),$M$6:$M$17,AH$6:AH$17)</f>
        <v>#NAME?</v>
      </c>
    </row>
    <row r="80" customFormat="false" ht="14.25" hidden="false" customHeight="false" outlineLevel="0" collapsed="false">
      <c r="C80" s="33" t="n">
        <f aca="false">EOMONTH(C79,0)+1</f>
        <v>43647</v>
      </c>
      <c r="D80" s="1" t="e">
        <f aca="false" t="array" ref="D80:D80">_xlfn.xlookup($B$3,items,_xlfn.xlookup(C80,dates,big_table))</f>
        <v>#NAME?</v>
      </c>
      <c r="E80" s="1" t="n">
        <f aca="false" t="array" ref="E80:E80">IF(ISNA(_xlfn.xlookup("jodi_last",items,_xlfn.xlookup(C80,dates,big_table))),10^6,-100000)</f>
        <v>-100000</v>
      </c>
      <c r="F80" s="1" t="e">
        <f aca="false">_xlfn.xlookup(MONTH($C80),$M$6:$M$17,AE$6:AE$17)</f>
        <v>#NAME?</v>
      </c>
      <c r="G80" s="1" t="e">
        <f aca="false">_xlfn.xlookup(MONTH($C80),$M$6:$M$17,AF$6:AF$17)</f>
        <v>#NAME?</v>
      </c>
      <c r="H80" s="1" t="e">
        <f aca="false">_xlfn.xlookup(MONTH($C80),$M$6:$M$17,AG$6:AG$17)</f>
        <v>#NAME?</v>
      </c>
      <c r="I80" s="1" t="e">
        <f aca="false">_xlfn.xlookup(MONTH($C80),$M$6:$M$17,AH$6:AH$17)</f>
        <v>#NAME?</v>
      </c>
    </row>
    <row r="81" customFormat="false" ht="14.25" hidden="false" customHeight="false" outlineLevel="0" collapsed="false">
      <c r="C81" s="33" t="n">
        <f aca="false">EOMONTH(C80,0)+1</f>
        <v>43678</v>
      </c>
      <c r="D81" s="1" t="e">
        <f aca="false" t="array" ref="D81:D81">_xlfn.xlookup($B$3,items,_xlfn.xlookup(C81,dates,big_table))</f>
        <v>#NAME?</v>
      </c>
      <c r="E81" s="1" t="n">
        <f aca="false" t="array" ref="E81:E81">IF(ISNA(_xlfn.xlookup("jodi_last",items,_xlfn.xlookup(C81,dates,big_table))),10^6,-100000)</f>
        <v>-100000</v>
      </c>
      <c r="F81" s="1" t="e">
        <f aca="false">_xlfn.xlookup(MONTH($C81),$M$6:$M$17,AE$6:AE$17)</f>
        <v>#NAME?</v>
      </c>
      <c r="G81" s="1" t="e">
        <f aca="false">_xlfn.xlookup(MONTH($C81),$M$6:$M$17,AF$6:AF$17)</f>
        <v>#NAME?</v>
      </c>
      <c r="H81" s="1" t="e">
        <f aca="false">_xlfn.xlookup(MONTH($C81),$M$6:$M$17,AG$6:AG$17)</f>
        <v>#NAME?</v>
      </c>
      <c r="I81" s="1" t="e">
        <f aca="false">_xlfn.xlookup(MONTH($C81),$M$6:$M$17,AH$6:AH$17)</f>
        <v>#NAME?</v>
      </c>
    </row>
    <row r="82" customFormat="false" ht="14.25" hidden="false" customHeight="false" outlineLevel="0" collapsed="false">
      <c r="C82" s="33" t="n">
        <f aca="false">EOMONTH(C81,0)+1</f>
        <v>43709</v>
      </c>
      <c r="D82" s="1" t="e">
        <f aca="false" t="array" ref="D82:D82">_xlfn.xlookup($B$3,items,_xlfn.xlookup(C82,dates,big_table))</f>
        <v>#NAME?</v>
      </c>
      <c r="E82" s="1" t="n">
        <f aca="false" t="array" ref="E82:E82">IF(ISNA(_xlfn.xlookup("jodi_last",items,_xlfn.xlookup(C82,dates,big_table))),10^6,-100000)</f>
        <v>-100000</v>
      </c>
      <c r="F82" s="1" t="e">
        <f aca="false">_xlfn.xlookup(MONTH($C82),$M$6:$M$17,AE$6:AE$17)</f>
        <v>#NAME?</v>
      </c>
      <c r="G82" s="1" t="e">
        <f aca="false">_xlfn.xlookup(MONTH($C82),$M$6:$M$17,AF$6:AF$17)</f>
        <v>#NAME?</v>
      </c>
      <c r="H82" s="1" t="e">
        <f aca="false">_xlfn.xlookup(MONTH($C82),$M$6:$M$17,AG$6:AG$17)</f>
        <v>#NAME?</v>
      </c>
      <c r="I82" s="1" t="e">
        <f aca="false">_xlfn.xlookup(MONTH($C82),$M$6:$M$17,AH$6:AH$17)</f>
        <v>#NAME?</v>
      </c>
    </row>
    <row r="83" customFormat="false" ht="14.25" hidden="false" customHeight="false" outlineLevel="0" collapsed="false">
      <c r="C83" s="33" t="n">
        <f aca="false">EOMONTH(C82,0)+1</f>
        <v>43739</v>
      </c>
      <c r="D83" s="1" t="e">
        <f aca="false" t="array" ref="D83:D83">_xlfn.xlookup($B$3,items,_xlfn.xlookup(C83,dates,big_table))</f>
        <v>#NAME?</v>
      </c>
      <c r="E83" s="1" t="n">
        <f aca="false" t="array" ref="E83:E83">IF(ISNA(_xlfn.xlookup("jodi_last",items,_xlfn.xlookup(C83,dates,big_table))),10^6,-100000)</f>
        <v>-100000</v>
      </c>
      <c r="F83" s="1" t="e">
        <f aca="false">_xlfn.xlookup(MONTH($C83),$M$6:$M$17,AE$6:AE$17)</f>
        <v>#NAME?</v>
      </c>
      <c r="G83" s="1" t="e">
        <f aca="false">_xlfn.xlookup(MONTH($C83),$M$6:$M$17,AF$6:AF$17)</f>
        <v>#NAME?</v>
      </c>
      <c r="H83" s="1" t="e">
        <f aca="false">_xlfn.xlookup(MONTH($C83),$M$6:$M$17,AG$6:AG$17)</f>
        <v>#NAME?</v>
      </c>
      <c r="I83" s="1" t="e">
        <f aca="false">_xlfn.xlookup(MONTH($C83),$M$6:$M$17,AH$6:AH$17)</f>
        <v>#NAME?</v>
      </c>
    </row>
    <row r="84" customFormat="false" ht="14.25" hidden="false" customHeight="false" outlineLevel="0" collapsed="false">
      <c r="C84" s="33" t="n">
        <f aca="false">EOMONTH(C83,0)+1</f>
        <v>43770</v>
      </c>
      <c r="D84" s="1" t="e">
        <f aca="false" t="array" ref="D84:D84">_xlfn.xlookup($B$3,items,_xlfn.xlookup(C84,dates,big_table))</f>
        <v>#NAME?</v>
      </c>
      <c r="E84" s="1" t="n">
        <f aca="false" t="array" ref="E84:E84">IF(ISNA(_xlfn.xlookup("jodi_last",items,_xlfn.xlookup(C84,dates,big_table))),10^6,-100000)</f>
        <v>-100000</v>
      </c>
      <c r="F84" s="1" t="e">
        <f aca="false">_xlfn.xlookup(MONTH($C84),$M$6:$M$17,AE$6:AE$17)</f>
        <v>#NAME?</v>
      </c>
      <c r="G84" s="1" t="e">
        <f aca="false">_xlfn.xlookup(MONTH($C84),$M$6:$M$17,AF$6:AF$17)</f>
        <v>#NAME?</v>
      </c>
      <c r="H84" s="1" t="e">
        <f aca="false">_xlfn.xlookup(MONTH($C84),$M$6:$M$17,AG$6:AG$17)</f>
        <v>#NAME?</v>
      </c>
      <c r="I84" s="1" t="e">
        <f aca="false">_xlfn.xlookup(MONTH($C84),$M$6:$M$17,AH$6:AH$17)</f>
        <v>#NAME?</v>
      </c>
    </row>
    <row r="85" customFormat="false" ht="14.25" hidden="false" customHeight="false" outlineLevel="0" collapsed="false">
      <c r="C85" s="33" t="n">
        <f aca="false">EOMONTH(C84,0)+1</f>
        <v>43800</v>
      </c>
      <c r="D85" s="1" t="e">
        <f aca="false" t="array" ref="D85:D85">_xlfn.xlookup($B$3,items,_xlfn.xlookup(C85,dates,big_table))</f>
        <v>#NAME?</v>
      </c>
      <c r="E85" s="1" t="n">
        <f aca="false" t="array" ref="E85:E85">IF(ISNA(_xlfn.xlookup("jodi_last",items,_xlfn.xlookup(C85,dates,big_table))),10^6,-100000)</f>
        <v>-100000</v>
      </c>
      <c r="F85" s="1" t="e">
        <f aca="false">_xlfn.xlookup(MONTH($C85),$M$6:$M$17,AE$6:AE$17)</f>
        <v>#NAME?</v>
      </c>
      <c r="G85" s="1" t="e">
        <f aca="false">_xlfn.xlookup(MONTH($C85),$M$6:$M$17,AF$6:AF$17)</f>
        <v>#NAME?</v>
      </c>
      <c r="H85" s="1" t="e">
        <f aca="false">_xlfn.xlookup(MONTH($C85),$M$6:$M$17,AG$6:AG$17)</f>
        <v>#NAME?</v>
      </c>
      <c r="I85" s="1" t="e">
        <f aca="false">_xlfn.xlookup(MONTH($C85),$M$6:$M$17,AH$6:AH$17)</f>
        <v>#NAME?</v>
      </c>
    </row>
    <row r="86" customFormat="false" ht="14.25" hidden="false" customHeight="false" outlineLevel="0" collapsed="false">
      <c r="C86" s="33" t="n">
        <f aca="false">EOMONTH(C85,0)+1</f>
        <v>43831</v>
      </c>
      <c r="D86" s="1" t="e">
        <f aca="false" t="array" ref="D86:D86">_xlfn.xlookup($B$3,items,_xlfn.xlookup(C86,dates,big_table))</f>
        <v>#NAME?</v>
      </c>
      <c r="E86" s="1" t="n">
        <f aca="false" t="array" ref="E86:E86">IF(ISNA(_xlfn.xlookup("jodi_last",items,_xlfn.xlookup(C86,dates,big_table))),10^6,-100000)</f>
        <v>-100000</v>
      </c>
      <c r="F86" s="1" t="e">
        <f aca="false">_xlfn.xlookup(MONTH($C86),$M$6:$M$17,AE$6:AE$17)</f>
        <v>#NAME?</v>
      </c>
      <c r="G86" s="1" t="e">
        <f aca="false">_xlfn.xlookup(MONTH($C86),$M$6:$M$17,AF$6:AF$17)</f>
        <v>#NAME?</v>
      </c>
      <c r="H86" s="1" t="e">
        <f aca="false">_xlfn.xlookup(MONTH($C86),$M$6:$M$17,AG$6:AG$17)</f>
        <v>#NAME?</v>
      </c>
      <c r="I86" s="1" t="e">
        <f aca="false">_xlfn.xlookup(MONTH($C86),$M$6:$M$17,AH$6:AH$17)</f>
        <v>#NAME?</v>
      </c>
    </row>
    <row r="87" customFormat="false" ht="14.25" hidden="false" customHeight="false" outlineLevel="0" collapsed="false">
      <c r="C87" s="33" t="n">
        <f aca="false">EOMONTH(C86,0)+1</f>
        <v>43862</v>
      </c>
      <c r="D87" s="1" t="e">
        <f aca="false" t="array" ref="D87:D87">_xlfn.xlookup($B$3,items,_xlfn.xlookup(C87,dates,big_table))</f>
        <v>#NAME?</v>
      </c>
      <c r="E87" s="1" t="n">
        <f aca="false" t="array" ref="E87:E87">IF(ISNA(_xlfn.xlookup("jodi_last",items,_xlfn.xlookup(C87,dates,big_table))),10^6,-100000)</f>
        <v>-100000</v>
      </c>
      <c r="F87" s="1" t="e">
        <f aca="false">_xlfn.xlookup(MONTH($C87),$M$6:$M$17,AE$6:AE$17)</f>
        <v>#NAME?</v>
      </c>
      <c r="G87" s="1" t="e">
        <f aca="false">_xlfn.xlookup(MONTH($C87),$M$6:$M$17,AF$6:AF$17)</f>
        <v>#NAME?</v>
      </c>
      <c r="H87" s="1" t="e">
        <f aca="false">_xlfn.xlookup(MONTH($C87),$M$6:$M$17,AG$6:AG$17)</f>
        <v>#NAME?</v>
      </c>
      <c r="I87" s="1" t="e">
        <f aca="false">_xlfn.xlookup(MONTH($C87),$M$6:$M$17,AH$6:AH$17)</f>
        <v>#NAME?</v>
      </c>
    </row>
    <row r="88" customFormat="false" ht="14.25" hidden="false" customHeight="false" outlineLevel="0" collapsed="false">
      <c r="C88" s="33" t="n">
        <f aca="false">EOMONTH(C87,0)+1</f>
        <v>43891</v>
      </c>
      <c r="D88" s="1" t="e">
        <f aca="false" t="array" ref="D88:D88">_xlfn.xlookup($B$3,items,_xlfn.xlookup(C88,dates,big_table))</f>
        <v>#NAME?</v>
      </c>
      <c r="E88" s="1" t="n">
        <f aca="false" t="array" ref="E88:E88">IF(ISNA(_xlfn.xlookup("jodi_last",items,_xlfn.xlookup(C88,dates,big_table))),10^6,-100000)</f>
        <v>-100000</v>
      </c>
      <c r="F88" s="1" t="e">
        <f aca="false">_xlfn.xlookup(MONTH($C88),$M$6:$M$17,AE$6:AE$17)</f>
        <v>#NAME?</v>
      </c>
      <c r="G88" s="1" t="e">
        <f aca="false">_xlfn.xlookup(MONTH($C88),$M$6:$M$17,AF$6:AF$17)</f>
        <v>#NAME?</v>
      </c>
      <c r="H88" s="1" t="e">
        <f aca="false">_xlfn.xlookup(MONTH($C88),$M$6:$M$17,AG$6:AG$17)</f>
        <v>#NAME?</v>
      </c>
      <c r="I88" s="1" t="e">
        <f aca="false">_xlfn.xlookup(MONTH($C88),$M$6:$M$17,AH$6:AH$17)</f>
        <v>#NAME?</v>
      </c>
    </row>
    <row r="89" customFormat="false" ht="14.25" hidden="false" customHeight="false" outlineLevel="0" collapsed="false">
      <c r="C89" s="33" t="n">
        <f aca="false">EOMONTH(C88,0)+1</f>
        <v>43922</v>
      </c>
      <c r="D89" s="1" t="e">
        <f aca="false" t="array" ref="D89:D89">_xlfn.xlookup($B$3,items,_xlfn.xlookup(C89,dates,big_table))</f>
        <v>#NAME?</v>
      </c>
      <c r="E89" s="1" t="n">
        <f aca="false" t="array" ref="E89:E89">IF(ISNA(_xlfn.xlookup("jodi_last",items,_xlfn.xlookup(C89,dates,big_table))),10^6,-100000)</f>
        <v>-100000</v>
      </c>
      <c r="F89" s="1" t="e">
        <f aca="false">_xlfn.xlookup(MONTH($C89),$M$6:$M$17,AE$6:AE$17)</f>
        <v>#NAME?</v>
      </c>
      <c r="G89" s="1" t="e">
        <f aca="false">_xlfn.xlookup(MONTH($C89),$M$6:$M$17,AF$6:AF$17)</f>
        <v>#NAME?</v>
      </c>
      <c r="H89" s="1" t="e">
        <f aca="false">_xlfn.xlookup(MONTH($C89),$M$6:$M$17,AG$6:AG$17)</f>
        <v>#NAME?</v>
      </c>
      <c r="I89" s="1" t="e">
        <f aca="false">_xlfn.xlookup(MONTH($C89),$M$6:$M$17,AH$6:AH$17)</f>
        <v>#NAME?</v>
      </c>
    </row>
    <row r="90" customFormat="false" ht="14.25" hidden="false" customHeight="false" outlineLevel="0" collapsed="false">
      <c r="C90" s="33" t="n">
        <f aca="false">EOMONTH(C89,0)+1</f>
        <v>43952</v>
      </c>
      <c r="D90" s="1" t="e">
        <f aca="false" t="array" ref="D90:D90">_xlfn.xlookup($B$3,items,_xlfn.xlookup(C90,dates,big_table))</f>
        <v>#NAME?</v>
      </c>
      <c r="E90" s="1" t="n">
        <f aca="false" t="array" ref="E90:E90">IF(ISNA(_xlfn.xlookup("jodi_last",items,_xlfn.xlookup(C90,dates,big_table))),10^6,-100000)</f>
        <v>-100000</v>
      </c>
      <c r="F90" s="1" t="e">
        <f aca="false">_xlfn.xlookup(MONTH($C90),$M$6:$M$17,AE$6:AE$17)</f>
        <v>#NAME?</v>
      </c>
      <c r="G90" s="1" t="e">
        <f aca="false">_xlfn.xlookup(MONTH($C90),$M$6:$M$17,AF$6:AF$17)</f>
        <v>#NAME?</v>
      </c>
      <c r="H90" s="1" t="e">
        <f aca="false">_xlfn.xlookup(MONTH($C90),$M$6:$M$17,AG$6:AG$17)</f>
        <v>#NAME?</v>
      </c>
      <c r="I90" s="1" t="e">
        <f aca="false">_xlfn.xlookup(MONTH($C90),$M$6:$M$17,AH$6:AH$17)</f>
        <v>#NAME?</v>
      </c>
    </row>
    <row r="91" customFormat="false" ht="14.25" hidden="false" customHeight="false" outlineLevel="0" collapsed="false">
      <c r="C91" s="33" t="n">
        <f aca="false">EOMONTH(C90,0)+1</f>
        <v>43983</v>
      </c>
      <c r="D91" s="1" t="e">
        <f aca="false" t="array" ref="D91:D91">_xlfn.xlookup($B$3,items,_xlfn.xlookup(C91,dates,big_table))</f>
        <v>#NAME?</v>
      </c>
      <c r="E91" s="1" t="n">
        <f aca="false" t="array" ref="E91:E91">IF(ISNA(_xlfn.xlookup("jodi_last",items,_xlfn.xlookup(C91,dates,big_table))),10^6,-100000)</f>
        <v>-100000</v>
      </c>
      <c r="F91" s="1" t="e">
        <f aca="false">_xlfn.xlookup(MONTH($C91),$M$6:$M$17,AE$6:AE$17)</f>
        <v>#NAME?</v>
      </c>
      <c r="G91" s="1" t="e">
        <f aca="false">_xlfn.xlookup(MONTH($C91),$M$6:$M$17,AF$6:AF$17)</f>
        <v>#NAME?</v>
      </c>
      <c r="H91" s="1" t="e">
        <f aca="false">_xlfn.xlookup(MONTH($C91),$M$6:$M$17,AG$6:AG$17)</f>
        <v>#NAME?</v>
      </c>
      <c r="I91" s="1" t="e">
        <f aca="false">_xlfn.xlookup(MONTH($C91),$M$6:$M$17,AH$6:AH$17)</f>
        <v>#NAME?</v>
      </c>
    </row>
    <row r="92" customFormat="false" ht="14.25" hidden="false" customHeight="false" outlineLevel="0" collapsed="false">
      <c r="C92" s="33" t="n">
        <f aca="false">EOMONTH(C91,0)+1</f>
        <v>44013</v>
      </c>
      <c r="D92" s="1" t="e">
        <f aca="false" t="array" ref="D92:D92">_xlfn.xlookup($B$3,items,_xlfn.xlookup(C92,dates,big_table))</f>
        <v>#NAME?</v>
      </c>
      <c r="E92" s="1" t="n">
        <f aca="false" t="array" ref="E92:E92">IF(ISNA(_xlfn.xlookup("jodi_last",items,_xlfn.xlookup(C92,dates,big_table))),10^6,-100000)</f>
        <v>-100000</v>
      </c>
      <c r="F92" s="1" t="e">
        <f aca="false">_xlfn.xlookup(MONTH($C92),$M$6:$M$17,AE$6:AE$17)</f>
        <v>#NAME?</v>
      </c>
      <c r="G92" s="1" t="e">
        <f aca="false">_xlfn.xlookup(MONTH($C92),$M$6:$M$17,AF$6:AF$17)</f>
        <v>#NAME?</v>
      </c>
      <c r="H92" s="1" t="e">
        <f aca="false">_xlfn.xlookup(MONTH($C92),$M$6:$M$17,AG$6:AG$17)</f>
        <v>#NAME?</v>
      </c>
      <c r="I92" s="1" t="e">
        <f aca="false">_xlfn.xlookup(MONTH($C92),$M$6:$M$17,AH$6:AH$17)</f>
        <v>#NAME?</v>
      </c>
    </row>
    <row r="93" customFormat="false" ht="14.25" hidden="false" customHeight="false" outlineLevel="0" collapsed="false">
      <c r="C93" s="33" t="n">
        <f aca="false">EOMONTH(C92,0)+1</f>
        <v>44044</v>
      </c>
      <c r="D93" s="1" t="e">
        <f aca="false" t="array" ref="D93:D93">_xlfn.xlookup($B$3,items,_xlfn.xlookup(C93,dates,big_table))</f>
        <v>#NAME?</v>
      </c>
      <c r="E93" s="1" t="n">
        <f aca="false" t="array" ref="E93:E93">IF(ISNA(_xlfn.xlookup("jodi_last",items,_xlfn.xlookup(C93,dates,big_table))),10^6,-100000)</f>
        <v>-100000</v>
      </c>
      <c r="F93" s="1" t="e">
        <f aca="false">_xlfn.xlookup(MONTH($C93),$M$6:$M$17,AE$6:AE$17)</f>
        <v>#NAME?</v>
      </c>
      <c r="G93" s="1" t="e">
        <f aca="false">_xlfn.xlookup(MONTH($C93),$M$6:$M$17,AF$6:AF$17)</f>
        <v>#NAME?</v>
      </c>
      <c r="H93" s="1" t="e">
        <f aca="false">_xlfn.xlookup(MONTH($C93),$M$6:$M$17,AG$6:AG$17)</f>
        <v>#NAME?</v>
      </c>
      <c r="I93" s="1" t="e">
        <f aca="false">_xlfn.xlookup(MONTH($C93),$M$6:$M$17,AH$6:AH$17)</f>
        <v>#NAME?</v>
      </c>
    </row>
    <row r="94" customFormat="false" ht="14.25" hidden="false" customHeight="false" outlineLevel="0" collapsed="false">
      <c r="C94" s="33" t="n">
        <f aca="false">EOMONTH(C93,0)+1</f>
        <v>44075</v>
      </c>
      <c r="D94" s="1" t="e">
        <f aca="false" t="array" ref="D94:D94">_xlfn.xlookup($B$3,items,_xlfn.xlookup(C94,dates,big_table))</f>
        <v>#NAME?</v>
      </c>
      <c r="E94" s="1" t="n">
        <f aca="false" t="array" ref="E94:E94">IF(ISNA(_xlfn.xlookup("jodi_last",items,_xlfn.xlookup(C94,dates,big_table))),10^6,-100000)</f>
        <v>-100000</v>
      </c>
      <c r="F94" s="1" t="e">
        <f aca="false">_xlfn.xlookup(MONTH($C94),$M$6:$M$17,AE$6:AE$17)</f>
        <v>#NAME?</v>
      </c>
      <c r="G94" s="1" t="e">
        <f aca="false">_xlfn.xlookup(MONTH($C94),$M$6:$M$17,AF$6:AF$17)</f>
        <v>#NAME?</v>
      </c>
      <c r="H94" s="1" t="e">
        <f aca="false">_xlfn.xlookup(MONTH($C94),$M$6:$M$17,AG$6:AG$17)</f>
        <v>#NAME?</v>
      </c>
      <c r="I94" s="1" t="e">
        <f aca="false">_xlfn.xlookup(MONTH($C94),$M$6:$M$17,AH$6:AH$17)</f>
        <v>#NAME?</v>
      </c>
    </row>
    <row r="95" customFormat="false" ht="14.25" hidden="false" customHeight="false" outlineLevel="0" collapsed="false">
      <c r="C95" s="33" t="n">
        <f aca="false">EOMONTH(C94,0)+1</f>
        <v>44105</v>
      </c>
      <c r="D95" s="1" t="e">
        <f aca="false" t="array" ref="D95:D95">_xlfn.xlookup($B$3,items,_xlfn.xlookup(C95,dates,big_table))</f>
        <v>#NAME?</v>
      </c>
      <c r="E95" s="1" t="n">
        <f aca="false" t="array" ref="E95:E95">IF(ISNA(_xlfn.xlookup("jodi_last",items,_xlfn.xlookup(C95,dates,big_table))),10^6,-100000)</f>
        <v>-100000</v>
      </c>
      <c r="F95" s="1" t="e">
        <f aca="false">_xlfn.xlookup(MONTH($C95),$M$6:$M$17,AE$6:AE$17)</f>
        <v>#NAME?</v>
      </c>
      <c r="G95" s="1" t="e">
        <f aca="false">_xlfn.xlookup(MONTH($C95),$M$6:$M$17,AF$6:AF$17)</f>
        <v>#NAME?</v>
      </c>
      <c r="H95" s="1" t="e">
        <f aca="false">_xlfn.xlookup(MONTH($C95),$M$6:$M$17,AG$6:AG$17)</f>
        <v>#NAME?</v>
      </c>
      <c r="I95" s="1" t="e">
        <f aca="false">_xlfn.xlookup(MONTH($C95),$M$6:$M$17,AH$6:AH$17)</f>
        <v>#NAME?</v>
      </c>
    </row>
    <row r="96" customFormat="false" ht="14.25" hidden="false" customHeight="false" outlineLevel="0" collapsed="false">
      <c r="C96" s="33" t="n">
        <f aca="false">EOMONTH(C95,0)+1</f>
        <v>44136</v>
      </c>
      <c r="D96" s="1" t="e">
        <f aca="false" t="array" ref="D96:D96">_xlfn.xlookup($B$3,items,_xlfn.xlookup(C96,dates,big_table))</f>
        <v>#NAME?</v>
      </c>
      <c r="E96" s="1" t="n">
        <f aca="false" t="array" ref="E96:E96">IF(ISNA(_xlfn.xlookup("jodi_last",items,_xlfn.xlookup(C96,dates,big_table))),10^6,-100000)</f>
        <v>-100000</v>
      </c>
      <c r="F96" s="1" t="e">
        <f aca="false">_xlfn.xlookup(MONTH($C96),$M$6:$M$17,AE$6:AE$17)</f>
        <v>#NAME?</v>
      </c>
      <c r="G96" s="1" t="e">
        <f aca="false">_xlfn.xlookup(MONTH($C96),$M$6:$M$17,AF$6:AF$17)</f>
        <v>#NAME?</v>
      </c>
      <c r="H96" s="1" t="e">
        <f aca="false">_xlfn.xlookup(MONTH($C96),$M$6:$M$17,AG$6:AG$17)</f>
        <v>#NAME?</v>
      </c>
      <c r="I96" s="1" t="e">
        <f aca="false">_xlfn.xlookup(MONTH($C96),$M$6:$M$17,AH$6:AH$17)</f>
        <v>#NAME?</v>
      </c>
    </row>
    <row r="97" customFormat="false" ht="14.25" hidden="false" customHeight="false" outlineLevel="0" collapsed="false">
      <c r="C97" s="33" t="n">
        <f aca="false">EOMONTH(C96,0)+1</f>
        <v>44166</v>
      </c>
      <c r="D97" s="1" t="e">
        <f aca="false" t="array" ref="D97:D97">_xlfn.xlookup($B$3,items,_xlfn.xlookup(C97,dates,big_table))</f>
        <v>#NAME?</v>
      </c>
      <c r="E97" s="1" t="n">
        <f aca="false" t="array" ref="E97:E97">IF(ISNA(_xlfn.xlookup("jodi_last",items,_xlfn.xlookup(C97,dates,big_table))),10^6,-100000)</f>
        <v>-100000</v>
      </c>
      <c r="F97" s="1" t="e">
        <f aca="false">_xlfn.xlookup(MONTH($C97),$M$6:$M$17,AE$6:AE$17)</f>
        <v>#NAME?</v>
      </c>
      <c r="G97" s="1" t="e">
        <f aca="false">_xlfn.xlookup(MONTH($C97),$M$6:$M$17,AF$6:AF$17)</f>
        <v>#NAME?</v>
      </c>
      <c r="H97" s="1" t="e">
        <f aca="false">_xlfn.xlookup(MONTH($C97),$M$6:$M$17,AG$6:AG$17)</f>
        <v>#NAME?</v>
      </c>
      <c r="I97" s="1" t="e">
        <f aca="false">_xlfn.xlookup(MONTH($C97),$M$6:$M$17,AH$6:AH$17)</f>
        <v>#NAME?</v>
      </c>
    </row>
    <row r="98" customFormat="false" ht="14.25" hidden="false" customHeight="false" outlineLevel="0" collapsed="false">
      <c r="C98" s="33" t="n">
        <f aca="false">EOMONTH(C97,0)+1</f>
        <v>44197</v>
      </c>
      <c r="D98" s="1" t="e">
        <f aca="false" t="array" ref="D98:D98">_xlfn.xlookup($B$3,items,_xlfn.xlookup(C98,dates,big_table))</f>
        <v>#NAME?</v>
      </c>
      <c r="E98" s="1" t="n">
        <f aca="false" t="array" ref="E98:E98">IF(ISNA(_xlfn.xlookup("jodi_last",items,_xlfn.xlookup(C98,dates,big_table))),10^6,-100000)</f>
        <v>-100000</v>
      </c>
      <c r="F98" s="1" t="e">
        <f aca="false">_xlfn.xlookup(MONTH($C98),$M$6:$M$17,AE$6:AE$17)</f>
        <v>#NAME?</v>
      </c>
      <c r="G98" s="1" t="e">
        <f aca="false">_xlfn.xlookup(MONTH($C98),$M$6:$M$17,AF$6:AF$17)</f>
        <v>#NAME?</v>
      </c>
      <c r="H98" s="1" t="e">
        <f aca="false">_xlfn.xlookup(MONTH($C98),$M$6:$M$17,AG$6:AG$17)</f>
        <v>#NAME?</v>
      </c>
      <c r="I98" s="1" t="e">
        <f aca="false">_xlfn.xlookup(MONTH($C98),$M$6:$M$17,AH$6:AH$17)</f>
        <v>#NAME?</v>
      </c>
    </row>
    <row r="99" customFormat="false" ht="14.25" hidden="false" customHeight="false" outlineLevel="0" collapsed="false">
      <c r="C99" s="33" t="n">
        <f aca="false">EOMONTH(C98,0)+1</f>
        <v>44228</v>
      </c>
      <c r="D99" s="1" t="e">
        <f aca="false" t="array" ref="D99:D99">_xlfn.xlookup($B$3,items,_xlfn.xlookup(C99,dates,big_table))</f>
        <v>#NAME?</v>
      </c>
      <c r="E99" s="1" t="n">
        <f aca="false" t="array" ref="E99:E99">IF(ISNA(_xlfn.xlookup("jodi_last",items,_xlfn.xlookup(C99,dates,big_table))),10^6,-100000)</f>
        <v>-100000</v>
      </c>
      <c r="F99" s="1" t="e">
        <f aca="false">_xlfn.xlookup(MONTH($C99),$M$6:$M$17,AE$6:AE$17)</f>
        <v>#NAME?</v>
      </c>
      <c r="G99" s="1" t="e">
        <f aca="false">_xlfn.xlookup(MONTH($C99),$M$6:$M$17,AF$6:AF$17)</f>
        <v>#NAME?</v>
      </c>
      <c r="H99" s="1" t="e">
        <f aca="false">_xlfn.xlookup(MONTH($C99),$M$6:$M$17,AG$6:AG$17)</f>
        <v>#NAME?</v>
      </c>
      <c r="I99" s="1" t="e">
        <f aca="false">_xlfn.xlookup(MONTH($C99),$M$6:$M$17,AH$6:AH$17)</f>
        <v>#NAME?</v>
      </c>
    </row>
    <row r="100" customFormat="false" ht="14.25" hidden="false" customHeight="false" outlineLevel="0" collapsed="false">
      <c r="C100" s="33" t="n">
        <f aca="false">EOMONTH(C99,0)+1</f>
        <v>44256</v>
      </c>
      <c r="D100" s="1" t="e">
        <f aca="false" t="array" ref="D100:D100">_xlfn.xlookup($B$3,items,_xlfn.xlookup(C100,dates,big_table))</f>
        <v>#NAME?</v>
      </c>
      <c r="E100" s="1" t="n">
        <f aca="false" t="array" ref="E100:E100">IF(ISNA(_xlfn.xlookup("jodi_last",items,_xlfn.xlookup(C100,dates,big_table))),10^6,-100000)</f>
        <v>-100000</v>
      </c>
      <c r="F100" s="1" t="e">
        <f aca="false">_xlfn.xlookup(MONTH($C100),$M$6:$M$17,AE$6:AE$17)</f>
        <v>#NAME?</v>
      </c>
      <c r="G100" s="1" t="e">
        <f aca="false">_xlfn.xlookup(MONTH($C100),$M$6:$M$17,AF$6:AF$17)</f>
        <v>#NAME?</v>
      </c>
      <c r="H100" s="1" t="e">
        <f aca="false">_xlfn.xlookup(MONTH($C100),$M$6:$M$17,AG$6:AG$17)</f>
        <v>#NAME?</v>
      </c>
      <c r="I100" s="1" t="e">
        <f aca="false">_xlfn.xlookup(MONTH($C100),$M$6:$M$17,AH$6:AH$17)</f>
        <v>#NAME?</v>
      </c>
    </row>
    <row r="101" customFormat="false" ht="14.25" hidden="false" customHeight="false" outlineLevel="0" collapsed="false">
      <c r="C101" s="33" t="n">
        <f aca="false">EOMONTH(C100,0)+1</f>
        <v>44287</v>
      </c>
      <c r="D101" s="1" t="e">
        <f aca="false" t="array" ref="D101:D101">_xlfn.xlookup($B$3,items,_xlfn.xlookup(C101,dates,big_table))</f>
        <v>#NAME?</v>
      </c>
      <c r="E101" s="1" t="n">
        <f aca="false" t="array" ref="E101:E101">IF(ISNA(_xlfn.xlookup("jodi_last",items,_xlfn.xlookup(C101,dates,big_table))),10^6,-100000)</f>
        <v>-100000</v>
      </c>
      <c r="F101" s="1" t="e">
        <f aca="false">_xlfn.xlookup(MONTH($C101),$M$6:$M$17,AE$6:AE$17)</f>
        <v>#NAME?</v>
      </c>
      <c r="G101" s="1" t="e">
        <f aca="false">_xlfn.xlookup(MONTH($C101),$M$6:$M$17,AF$6:AF$17)</f>
        <v>#NAME?</v>
      </c>
      <c r="H101" s="1" t="e">
        <f aca="false">_xlfn.xlookup(MONTH($C101),$M$6:$M$17,AG$6:AG$17)</f>
        <v>#NAME?</v>
      </c>
      <c r="I101" s="1" t="e">
        <f aca="false">_xlfn.xlookup(MONTH($C101),$M$6:$M$17,AH$6:AH$17)</f>
        <v>#NAME?</v>
      </c>
    </row>
    <row r="102" customFormat="false" ht="14.25" hidden="false" customHeight="false" outlineLevel="0" collapsed="false">
      <c r="C102" s="33" t="n">
        <f aca="false">EOMONTH(C101,0)+1</f>
        <v>44317</v>
      </c>
      <c r="D102" s="1" t="e">
        <f aca="false" t="array" ref="D102:D102">_xlfn.xlookup($B$3,items,_xlfn.xlookup(C102,dates,big_table))</f>
        <v>#NAME?</v>
      </c>
      <c r="E102" s="1" t="n">
        <f aca="false" t="array" ref="E102:E102">IF(ISNA(_xlfn.xlookup("jodi_last",items,_xlfn.xlookup(C102,dates,big_table))),10^6,-100000)</f>
        <v>-100000</v>
      </c>
      <c r="F102" s="1" t="e">
        <f aca="false">_xlfn.xlookup(MONTH($C102),$M$6:$M$17,AE$6:AE$17)</f>
        <v>#NAME?</v>
      </c>
      <c r="G102" s="1" t="e">
        <f aca="false">_xlfn.xlookup(MONTH($C102),$M$6:$M$17,AF$6:AF$17)</f>
        <v>#NAME?</v>
      </c>
      <c r="H102" s="1" t="e">
        <f aca="false">_xlfn.xlookup(MONTH($C102),$M$6:$M$17,AG$6:AG$17)</f>
        <v>#NAME?</v>
      </c>
      <c r="I102" s="1" t="e">
        <f aca="false">_xlfn.xlookup(MONTH($C102),$M$6:$M$17,AH$6:AH$17)</f>
        <v>#NAME?</v>
      </c>
    </row>
    <row r="103" customFormat="false" ht="14.25" hidden="false" customHeight="false" outlineLevel="0" collapsed="false">
      <c r="C103" s="33" t="n">
        <f aca="false">EOMONTH(C102,0)+1</f>
        <v>44348</v>
      </c>
      <c r="D103" s="1" t="e">
        <f aca="false" t="array" ref="D103:D103">_xlfn.xlookup($B$3,items,_xlfn.xlookup(C103,dates,big_table))</f>
        <v>#NAME?</v>
      </c>
      <c r="E103" s="1" t="n">
        <f aca="false" t="array" ref="E103:E103">IF(ISNA(_xlfn.xlookup("jodi_last",items,_xlfn.xlookup(C103,dates,big_table))),10^6,-100000)</f>
        <v>-100000</v>
      </c>
      <c r="F103" s="1" t="e">
        <f aca="false">_xlfn.xlookup(MONTH($C103),$M$6:$M$17,AE$6:AE$17)</f>
        <v>#NAME?</v>
      </c>
      <c r="G103" s="1" t="e">
        <f aca="false">_xlfn.xlookup(MONTH($C103),$M$6:$M$17,AF$6:AF$17)</f>
        <v>#NAME?</v>
      </c>
      <c r="H103" s="1" t="e">
        <f aca="false">_xlfn.xlookup(MONTH($C103),$M$6:$M$17,AG$6:AG$17)</f>
        <v>#NAME?</v>
      </c>
      <c r="I103" s="1" t="e">
        <f aca="false">_xlfn.xlookup(MONTH($C103),$M$6:$M$17,AH$6:AH$17)</f>
        <v>#NAME?</v>
      </c>
    </row>
    <row r="104" customFormat="false" ht="14.25" hidden="false" customHeight="false" outlineLevel="0" collapsed="false">
      <c r="C104" s="33" t="n">
        <f aca="false">EOMONTH(C103,0)+1</f>
        <v>44378</v>
      </c>
      <c r="D104" s="1" t="e">
        <f aca="false" t="array" ref="D104:D104">_xlfn.xlookup($B$3,items,_xlfn.xlookup(C104,dates,big_table))</f>
        <v>#NAME?</v>
      </c>
      <c r="E104" s="1" t="n">
        <f aca="false" t="array" ref="E104:E104">IF(ISNA(_xlfn.xlookup("jodi_last",items,_xlfn.xlookup(C104,dates,big_table))),10^6,-100000)</f>
        <v>-100000</v>
      </c>
      <c r="F104" s="1" t="e">
        <f aca="false">_xlfn.xlookup(MONTH($C104),$M$6:$M$17,AE$6:AE$17)</f>
        <v>#NAME?</v>
      </c>
      <c r="G104" s="1" t="e">
        <f aca="false">_xlfn.xlookup(MONTH($C104),$M$6:$M$17,AF$6:AF$17)</f>
        <v>#NAME?</v>
      </c>
      <c r="H104" s="1" t="e">
        <f aca="false">_xlfn.xlookup(MONTH($C104),$M$6:$M$17,AG$6:AG$17)</f>
        <v>#NAME?</v>
      </c>
      <c r="I104" s="1" t="e">
        <f aca="false">_xlfn.xlookup(MONTH($C104),$M$6:$M$17,AH$6:AH$17)</f>
        <v>#NAME?</v>
      </c>
    </row>
    <row r="105" customFormat="false" ht="14.25" hidden="false" customHeight="false" outlineLevel="0" collapsed="false">
      <c r="C105" s="33" t="n">
        <f aca="false">EOMONTH(C104,0)+1</f>
        <v>44409</v>
      </c>
      <c r="D105" s="1" t="e">
        <f aca="false" t="array" ref="D105:D105">_xlfn.xlookup($B$3,items,_xlfn.xlookup(C105,dates,big_table))</f>
        <v>#NAME?</v>
      </c>
      <c r="E105" s="1" t="n">
        <f aca="false" t="array" ref="E105:E105">IF(ISNA(_xlfn.xlookup("jodi_last",items,_xlfn.xlookup(C105,dates,big_table))),10^6,-100000)</f>
        <v>-100000</v>
      </c>
      <c r="F105" s="1" t="e">
        <f aca="false">_xlfn.xlookup(MONTH($C105),$M$6:$M$17,AE$6:AE$17)</f>
        <v>#NAME?</v>
      </c>
      <c r="G105" s="1" t="e">
        <f aca="false">_xlfn.xlookup(MONTH($C105),$M$6:$M$17,AF$6:AF$17)</f>
        <v>#NAME?</v>
      </c>
      <c r="H105" s="1" t="e">
        <f aca="false">_xlfn.xlookup(MONTH($C105),$M$6:$M$17,AG$6:AG$17)</f>
        <v>#NAME?</v>
      </c>
      <c r="I105" s="1" t="e">
        <f aca="false">_xlfn.xlookup(MONTH($C105),$M$6:$M$17,AH$6:AH$17)</f>
        <v>#NAME?</v>
      </c>
    </row>
    <row r="106" customFormat="false" ht="14.25" hidden="false" customHeight="false" outlineLevel="0" collapsed="false">
      <c r="C106" s="33" t="n">
        <f aca="false">EOMONTH(C105,0)+1</f>
        <v>44440</v>
      </c>
      <c r="D106" s="1" t="e">
        <f aca="false" t="array" ref="D106:D106">_xlfn.xlookup($B$3,items,_xlfn.xlookup(C106,dates,big_table))</f>
        <v>#NAME?</v>
      </c>
      <c r="E106" s="1" t="n">
        <f aca="false" t="array" ref="E106:E106">IF(ISNA(_xlfn.xlookup("jodi_last",items,_xlfn.xlookup(C106,dates,big_table))),10^6,-100000)</f>
        <v>-100000</v>
      </c>
      <c r="F106" s="1" t="e">
        <f aca="false">_xlfn.xlookup(MONTH($C106),$M$6:$M$17,AE$6:AE$17)</f>
        <v>#NAME?</v>
      </c>
      <c r="G106" s="1" t="e">
        <f aca="false">_xlfn.xlookup(MONTH($C106),$M$6:$M$17,AF$6:AF$17)</f>
        <v>#NAME?</v>
      </c>
      <c r="H106" s="1" t="e">
        <f aca="false">_xlfn.xlookup(MONTH($C106),$M$6:$M$17,AG$6:AG$17)</f>
        <v>#NAME?</v>
      </c>
      <c r="I106" s="1" t="e">
        <f aca="false">_xlfn.xlookup(MONTH($C106),$M$6:$M$17,AH$6:AH$17)</f>
        <v>#NAME?</v>
      </c>
    </row>
    <row r="107" customFormat="false" ht="14.25" hidden="false" customHeight="false" outlineLevel="0" collapsed="false">
      <c r="C107" s="33" t="n">
        <f aca="false">EOMONTH(C106,0)+1</f>
        <v>44470</v>
      </c>
      <c r="D107" s="1" t="e">
        <f aca="false" t="array" ref="D107:D107">_xlfn.xlookup($B$3,items,_xlfn.xlookup(C107,dates,big_table))</f>
        <v>#NAME?</v>
      </c>
      <c r="E107" s="1" t="n">
        <f aca="false" t="array" ref="E107:E107">IF(ISNA(_xlfn.xlookup("jodi_last",items,_xlfn.xlookup(C107,dates,big_table))),10^6,-100000)</f>
        <v>-100000</v>
      </c>
      <c r="F107" s="1" t="e">
        <f aca="false">_xlfn.xlookup(MONTH($C107),$M$6:$M$17,AE$6:AE$17)</f>
        <v>#NAME?</v>
      </c>
      <c r="G107" s="1" t="e">
        <f aca="false">_xlfn.xlookup(MONTH($C107),$M$6:$M$17,AF$6:AF$17)</f>
        <v>#NAME?</v>
      </c>
      <c r="H107" s="1" t="e">
        <f aca="false">_xlfn.xlookup(MONTH($C107),$M$6:$M$17,AG$6:AG$17)</f>
        <v>#NAME?</v>
      </c>
      <c r="I107" s="1" t="e">
        <f aca="false">_xlfn.xlookup(MONTH($C107),$M$6:$M$17,AH$6:AH$17)</f>
        <v>#NAME?</v>
      </c>
    </row>
    <row r="108" customFormat="false" ht="14.25" hidden="false" customHeight="false" outlineLevel="0" collapsed="false">
      <c r="C108" s="33" t="n">
        <f aca="false">EOMONTH(C107,0)+1</f>
        <v>44501</v>
      </c>
      <c r="D108" s="1" t="e">
        <f aca="false" t="array" ref="D108:D108">_xlfn.xlookup($B$3,items,_xlfn.xlookup(C108,dates,big_table))</f>
        <v>#NAME?</v>
      </c>
      <c r="E108" s="1" t="n">
        <f aca="false" t="array" ref="E108:E108">IF(ISNA(_xlfn.xlookup("jodi_last",items,_xlfn.xlookup(C108,dates,big_table))),10^6,-100000)</f>
        <v>-100000</v>
      </c>
      <c r="F108" s="1" t="e">
        <f aca="false">_xlfn.xlookup(MONTH($C108),$M$6:$M$17,AE$6:AE$17)</f>
        <v>#NAME?</v>
      </c>
      <c r="G108" s="1" t="e">
        <f aca="false">_xlfn.xlookup(MONTH($C108),$M$6:$M$17,AF$6:AF$17)</f>
        <v>#NAME?</v>
      </c>
      <c r="H108" s="1" t="e">
        <f aca="false">_xlfn.xlookup(MONTH($C108),$M$6:$M$17,AG$6:AG$17)</f>
        <v>#NAME?</v>
      </c>
      <c r="I108" s="1" t="e">
        <f aca="false">_xlfn.xlookup(MONTH($C108),$M$6:$M$17,AH$6:AH$17)</f>
        <v>#NAME?</v>
      </c>
    </row>
    <row r="109" customFormat="false" ht="14.25" hidden="false" customHeight="false" outlineLevel="0" collapsed="false">
      <c r="C109" s="33" t="n">
        <f aca="false">EOMONTH(C108,0)+1</f>
        <v>44531</v>
      </c>
      <c r="D109" s="1" t="e">
        <f aca="false" t="array" ref="D109:D109">_xlfn.xlookup($B$3,items,_xlfn.xlookup(C109,dates,big_table))</f>
        <v>#NAME?</v>
      </c>
      <c r="E109" s="1" t="n">
        <f aca="false" t="array" ref="E109:E109">IF(ISNA(_xlfn.xlookup("jodi_last",items,_xlfn.xlookup(C109,dates,big_table))),10^6,-100000)</f>
        <v>-100000</v>
      </c>
      <c r="F109" s="1" t="e">
        <f aca="false">_xlfn.xlookup(MONTH($C109),$M$6:$M$17,AE$6:AE$17)</f>
        <v>#NAME?</v>
      </c>
      <c r="G109" s="1" t="e">
        <f aca="false">_xlfn.xlookup(MONTH($C109),$M$6:$M$17,AF$6:AF$17)</f>
        <v>#NAME?</v>
      </c>
      <c r="H109" s="1" t="e">
        <f aca="false">_xlfn.xlookup(MONTH($C109),$M$6:$M$17,AG$6:AG$17)</f>
        <v>#NAME?</v>
      </c>
      <c r="I109" s="1" t="e">
        <f aca="false">_xlfn.xlookup(MONTH($C109),$M$6:$M$17,AH$6:AH$17)</f>
        <v>#NAME?</v>
      </c>
    </row>
    <row r="110" customFormat="false" ht="14.25" hidden="false" customHeight="false" outlineLevel="0" collapsed="false">
      <c r="C110" s="33" t="n">
        <f aca="false">EOMONTH(C109,0)+1</f>
        <v>44562</v>
      </c>
      <c r="D110" s="1" t="e">
        <f aca="false" t="array" ref="D110:D110">_xlfn.xlookup($B$3,items,_xlfn.xlookup(C110,dates,big_table))</f>
        <v>#NAME?</v>
      </c>
      <c r="E110" s="1" t="n">
        <f aca="false" t="array" ref="E110:E110">IF(ISNA(_xlfn.xlookup("jodi_last",items,_xlfn.xlookup(C110,dates,big_table))),10^6,-100000)</f>
        <v>-100000</v>
      </c>
      <c r="F110" s="1" t="e">
        <f aca="false">_xlfn.xlookup(MONTH($C110),$M$6:$M$17,AE$6:AE$17)</f>
        <v>#NAME?</v>
      </c>
      <c r="G110" s="1" t="e">
        <f aca="false">_xlfn.xlookup(MONTH($C110),$M$6:$M$17,AF$6:AF$17)</f>
        <v>#NAME?</v>
      </c>
      <c r="H110" s="1" t="e">
        <f aca="false">_xlfn.xlookup(MONTH($C110),$M$6:$M$17,AG$6:AG$17)</f>
        <v>#NAME?</v>
      </c>
      <c r="I110" s="1" t="e">
        <f aca="false">_xlfn.xlookup(MONTH($C110),$M$6:$M$17,AH$6:AH$17)</f>
        <v>#NAME?</v>
      </c>
    </row>
    <row r="111" customFormat="false" ht="14.25" hidden="false" customHeight="false" outlineLevel="0" collapsed="false">
      <c r="C111" s="33" t="n">
        <f aca="false">EOMONTH(C110,0)+1</f>
        <v>44593</v>
      </c>
      <c r="D111" s="1" t="e">
        <f aca="false" t="array" ref="D111:D111">_xlfn.xlookup($B$3,items,_xlfn.xlookup(C111,dates,big_table))</f>
        <v>#NAME?</v>
      </c>
      <c r="E111" s="1" t="n">
        <f aca="false" t="array" ref="E111:E111">IF(ISNA(_xlfn.xlookup("jodi_last",items,_xlfn.xlookup(C111,dates,big_table))),10^6,-100000)</f>
        <v>-100000</v>
      </c>
      <c r="F111" s="1" t="e">
        <f aca="false">_xlfn.xlookup(MONTH($C111),$M$6:$M$17,AE$6:AE$17)</f>
        <v>#NAME?</v>
      </c>
      <c r="G111" s="1" t="e">
        <f aca="false">_xlfn.xlookup(MONTH($C111),$M$6:$M$17,AF$6:AF$17)</f>
        <v>#NAME?</v>
      </c>
      <c r="H111" s="1" t="e">
        <f aca="false">_xlfn.xlookup(MONTH($C111),$M$6:$M$17,AG$6:AG$17)</f>
        <v>#NAME?</v>
      </c>
      <c r="I111" s="1" t="e">
        <f aca="false">_xlfn.xlookup(MONTH($C111),$M$6:$M$17,AH$6:AH$17)</f>
        <v>#NAME?</v>
      </c>
    </row>
    <row r="112" customFormat="false" ht="14.25" hidden="false" customHeight="false" outlineLevel="0" collapsed="false">
      <c r="C112" s="33" t="n">
        <f aca="false">EOMONTH(C111,0)+1</f>
        <v>44621</v>
      </c>
      <c r="D112" s="1" t="e">
        <f aca="false" t="array" ref="D112:D112">_xlfn.xlookup($B$3,items,_xlfn.xlookup(C112,dates,big_table))</f>
        <v>#NAME?</v>
      </c>
      <c r="E112" s="1" t="n">
        <f aca="false" t="array" ref="E112:E112">IF(ISNA(_xlfn.xlookup("jodi_last",items,_xlfn.xlookup(C112,dates,big_table))),10^6,-100000)</f>
        <v>-100000</v>
      </c>
      <c r="F112" s="1" t="e">
        <f aca="false">_xlfn.xlookup(MONTH($C112),$M$6:$M$17,AE$6:AE$17)</f>
        <v>#NAME?</v>
      </c>
      <c r="G112" s="1" t="e">
        <f aca="false">_xlfn.xlookup(MONTH($C112),$M$6:$M$17,AF$6:AF$17)</f>
        <v>#NAME?</v>
      </c>
      <c r="H112" s="1" t="e">
        <f aca="false">_xlfn.xlookup(MONTH($C112),$M$6:$M$17,AG$6:AG$17)</f>
        <v>#NAME?</v>
      </c>
      <c r="I112" s="1" t="e">
        <f aca="false">_xlfn.xlookup(MONTH($C112),$M$6:$M$17,AH$6:AH$17)</f>
        <v>#NAME?</v>
      </c>
    </row>
    <row r="113" customFormat="false" ht="14.25" hidden="false" customHeight="false" outlineLevel="0" collapsed="false">
      <c r="C113" s="33" t="n">
        <f aca="false">EOMONTH(C112,0)+1</f>
        <v>44652</v>
      </c>
      <c r="D113" s="1" t="e">
        <f aca="false" t="array" ref="D113:D113">_xlfn.xlookup($B$3,items,_xlfn.xlookup(C113,dates,big_table))</f>
        <v>#NAME?</v>
      </c>
      <c r="E113" s="1" t="n">
        <f aca="false" t="array" ref="E113:E113">IF(ISNA(_xlfn.xlookup("jodi_last",items,_xlfn.xlookup(C113,dates,big_table))),10^6,-100000)</f>
        <v>-100000</v>
      </c>
      <c r="F113" s="1" t="e">
        <f aca="false">_xlfn.xlookup(MONTH($C113),$M$6:$M$17,AE$6:AE$17)</f>
        <v>#NAME?</v>
      </c>
      <c r="G113" s="1" t="e">
        <f aca="false">_xlfn.xlookup(MONTH($C113),$M$6:$M$17,AF$6:AF$17)</f>
        <v>#NAME?</v>
      </c>
      <c r="H113" s="1" t="e">
        <f aca="false">_xlfn.xlookup(MONTH($C113),$M$6:$M$17,AG$6:AG$17)</f>
        <v>#NAME?</v>
      </c>
      <c r="I113" s="1" t="e">
        <f aca="false">_xlfn.xlookup(MONTH($C113),$M$6:$M$17,AH$6:AH$17)</f>
        <v>#NAME?</v>
      </c>
    </row>
    <row r="114" customFormat="false" ht="14.25" hidden="false" customHeight="false" outlineLevel="0" collapsed="false">
      <c r="C114" s="33" t="n">
        <f aca="false">EOMONTH(C113,0)+1</f>
        <v>44682</v>
      </c>
      <c r="D114" s="1" t="e">
        <f aca="false" t="array" ref="D114:D114">_xlfn.xlookup($B$3,items,_xlfn.xlookup(C114,dates,big_table))</f>
        <v>#NAME?</v>
      </c>
      <c r="E114" s="1" t="n">
        <f aca="false" t="array" ref="E114:E114">IF(ISNA(_xlfn.xlookup("jodi_last",items,_xlfn.xlookup(C114,dates,big_table))),10^6,-100000)</f>
        <v>-100000</v>
      </c>
      <c r="F114" s="1" t="e">
        <f aca="false">_xlfn.xlookup(MONTH($C114),$M$6:$M$17,AE$6:AE$17)</f>
        <v>#NAME?</v>
      </c>
      <c r="G114" s="1" t="e">
        <f aca="false">_xlfn.xlookup(MONTH($C114),$M$6:$M$17,AF$6:AF$17)</f>
        <v>#NAME?</v>
      </c>
      <c r="H114" s="1" t="e">
        <f aca="false">_xlfn.xlookup(MONTH($C114),$M$6:$M$17,AG$6:AG$17)</f>
        <v>#NAME?</v>
      </c>
      <c r="I114" s="1" t="e">
        <f aca="false">_xlfn.xlookup(MONTH($C114),$M$6:$M$17,AH$6:AH$17)</f>
        <v>#NAME?</v>
      </c>
    </row>
    <row r="115" customFormat="false" ht="14.25" hidden="false" customHeight="false" outlineLevel="0" collapsed="false">
      <c r="C115" s="33" t="n">
        <f aca="false">EOMONTH(C114,0)+1</f>
        <v>44713</v>
      </c>
      <c r="D115" s="1" t="e">
        <f aca="false" t="array" ref="D115:D115">_xlfn.xlookup($B$3,items,_xlfn.xlookup(C115,dates,big_table))</f>
        <v>#NAME?</v>
      </c>
      <c r="E115" s="1" t="n">
        <f aca="false" t="array" ref="E115:E115">IF(ISNA(_xlfn.xlookup("jodi_last",items,_xlfn.xlookup(C115,dates,big_table))),10^6,-100000)</f>
        <v>-100000</v>
      </c>
      <c r="F115" s="1" t="e">
        <f aca="false">_xlfn.xlookup(MONTH($C115),$M$6:$M$17,AE$6:AE$17)</f>
        <v>#NAME?</v>
      </c>
      <c r="G115" s="1" t="e">
        <f aca="false">_xlfn.xlookup(MONTH($C115),$M$6:$M$17,AF$6:AF$17)</f>
        <v>#NAME?</v>
      </c>
      <c r="H115" s="1" t="e">
        <f aca="false">_xlfn.xlookup(MONTH($C115),$M$6:$M$17,AG$6:AG$17)</f>
        <v>#NAME?</v>
      </c>
      <c r="I115" s="1" t="e">
        <f aca="false">_xlfn.xlookup(MONTH($C115),$M$6:$M$17,AH$6:AH$17)</f>
        <v>#NAME?</v>
      </c>
    </row>
    <row r="116" customFormat="false" ht="14.25" hidden="false" customHeight="false" outlineLevel="0" collapsed="false">
      <c r="C116" s="33" t="n">
        <f aca="false">EOMONTH(C115,0)+1</f>
        <v>44743</v>
      </c>
      <c r="D116" s="1" t="e">
        <f aca="false" t="array" ref="D116:D116">_xlfn.xlookup($B$3,items,_xlfn.xlookup(C116,dates,big_table))</f>
        <v>#NAME?</v>
      </c>
      <c r="E116" s="1" t="n">
        <f aca="false" t="array" ref="E116:E116">IF(ISNA(_xlfn.xlookup("jodi_last",items,_xlfn.xlookup(C116,dates,big_table))),10^6,-100000)</f>
        <v>-100000</v>
      </c>
      <c r="F116" s="1" t="e">
        <f aca="false">_xlfn.xlookup(MONTH($C116),$M$6:$M$17,AE$6:AE$17)</f>
        <v>#NAME?</v>
      </c>
      <c r="G116" s="1" t="e">
        <f aca="false">_xlfn.xlookup(MONTH($C116),$M$6:$M$17,AF$6:AF$17)</f>
        <v>#NAME?</v>
      </c>
      <c r="H116" s="1" t="e">
        <f aca="false">_xlfn.xlookup(MONTH($C116),$M$6:$M$17,AG$6:AG$17)</f>
        <v>#NAME?</v>
      </c>
      <c r="I116" s="1" t="e">
        <f aca="false">_xlfn.xlookup(MONTH($C116),$M$6:$M$17,AH$6:AH$17)</f>
        <v>#NAME?</v>
      </c>
    </row>
    <row r="117" customFormat="false" ht="14.25" hidden="false" customHeight="false" outlineLevel="0" collapsed="false">
      <c r="C117" s="33" t="n">
        <f aca="false">EOMONTH(C116,0)+1</f>
        <v>44774</v>
      </c>
      <c r="D117" s="1" t="e">
        <f aca="false" t="array" ref="D117:D117">_xlfn.xlookup($B$3,items,_xlfn.xlookup(C117,dates,big_table))</f>
        <v>#NAME?</v>
      </c>
      <c r="E117" s="1" t="n">
        <f aca="false" t="array" ref="E117:E117">IF(ISNA(_xlfn.xlookup("jodi_last",items,_xlfn.xlookup(C117,dates,big_table))),10^6,-100000)</f>
        <v>-100000</v>
      </c>
      <c r="F117" s="1" t="e">
        <f aca="false">_xlfn.xlookup(MONTH($C117),$M$6:$M$17,AE$6:AE$17)</f>
        <v>#NAME?</v>
      </c>
      <c r="G117" s="1" t="e">
        <f aca="false">_xlfn.xlookup(MONTH($C117),$M$6:$M$17,AF$6:AF$17)</f>
        <v>#NAME?</v>
      </c>
      <c r="H117" s="1" t="e">
        <f aca="false">_xlfn.xlookup(MONTH($C117),$M$6:$M$17,AG$6:AG$17)</f>
        <v>#NAME?</v>
      </c>
      <c r="I117" s="1" t="e">
        <f aca="false">_xlfn.xlookup(MONTH($C117),$M$6:$M$17,AH$6:AH$17)</f>
        <v>#NAME?</v>
      </c>
    </row>
    <row r="118" customFormat="false" ht="14.25" hidden="false" customHeight="false" outlineLevel="0" collapsed="false">
      <c r="C118" s="33" t="n">
        <f aca="false">EOMONTH(C117,0)+1</f>
        <v>44805</v>
      </c>
      <c r="D118" s="1" t="e">
        <f aca="false" t="array" ref="D118:D118">_xlfn.xlookup($B$3,items,_xlfn.xlookup(C118,dates,big_table))</f>
        <v>#NAME?</v>
      </c>
      <c r="E118" s="1" t="n">
        <f aca="false" t="array" ref="E118:E118">IF(ISNA(_xlfn.xlookup("jodi_last",items,_xlfn.xlookup(C118,dates,big_table))),10^6,-100000)</f>
        <v>-100000</v>
      </c>
      <c r="F118" s="1" t="e">
        <f aca="false">_xlfn.xlookup(MONTH($C118),$M$6:$M$17,AE$6:AE$17)</f>
        <v>#NAME?</v>
      </c>
      <c r="G118" s="1" t="e">
        <f aca="false">_xlfn.xlookup(MONTH($C118),$M$6:$M$17,AF$6:AF$17)</f>
        <v>#NAME?</v>
      </c>
      <c r="H118" s="1" t="e">
        <f aca="false">_xlfn.xlookup(MONTH($C118),$M$6:$M$17,AG$6:AG$17)</f>
        <v>#NAME?</v>
      </c>
      <c r="I118" s="1" t="e">
        <f aca="false">_xlfn.xlookup(MONTH($C118),$M$6:$M$17,AH$6:AH$17)</f>
        <v>#NAME?</v>
      </c>
    </row>
    <row r="119" customFormat="false" ht="14.25" hidden="false" customHeight="false" outlineLevel="0" collapsed="false">
      <c r="C119" s="33" t="n">
        <f aca="false">EOMONTH(C118,0)+1</f>
        <v>44835</v>
      </c>
      <c r="D119" s="1" t="e">
        <f aca="false" t="array" ref="D119:D119">_xlfn.xlookup($B$3,items,_xlfn.xlookup(C119,dates,big_table))</f>
        <v>#NAME?</v>
      </c>
      <c r="E119" s="1" t="n">
        <f aca="false" t="array" ref="E119:E119">IF(ISNA(_xlfn.xlookup("jodi_last",items,_xlfn.xlookup(C119,dates,big_table))),10^6,-100000)</f>
        <v>-100000</v>
      </c>
      <c r="F119" s="1" t="e">
        <f aca="false">_xlfn.xlookup(MONTH($C119),$M$6:$M$17,AE$6:AE$17)</f>
        <v>#NAME?</v>
      </c>
      <c r="G119" s="1" t="e">
        <f aca="false">_xlfn.xlookup(MONTH($C119),$M$6:$M$17,AF$6:AF$17)</f>
        <v>#NAME?</v>
      </c>
      <c r="H119" s="1" t="e">
        <f aca="false">_xlfn.xlookup(MONTH($C119),$M$6:$M$17,AG$6:AG$17)</f>
        <v>#NAME?</v>
      </c>
      <c r="I119" s="1" t="e">
        <f aca="false">_xlfn.xlookup(MONTH($C119),$M$6:$M$17,AH$6:AH$17)</f>
        <v>#NAME?</v>
      </c>
    </row>
    <row r="120" customFormat="false" ht="14.25" hidden="false" customHeight="false" outlineLevel="0" collapsed="false">
      <c r="C120" s="33" t="n">
        <f aca="false">EOMONTH(C119,0)+1</f>
        <v>44866</v>
      </c>
      <c r="D120" s="1" t="e">
        <f aca="false" t="array" ref="D120:D120">_xlfn.xlookup($B$3,items,_xlfn.xlookup(C120,dates,big_table))</f>
        <v>#NAME?</v>
      </c>
      <c r="E120" s="1" t="n">
        <f aca="false" t="array" ref="E120:E120">IF(ISNA(_xlfn.xlookup("jodi_last",items,_xlfn.xlookup(C120,dates,big_table))),10^6,-100000)</f>
        <v>-100000</v>
      </c>
      <c r="F120" s="1" t="e">
        <f aca="false">_xlfn.xlookup(MONTH($C120),$M$6:$M$17,AE$6:AE$17)</f>
        <v>#NAME?</v>
      </c>
      <c r="G120" s="1" t="e">
        <f aca="false">_xlfn.xlookup(MONTH($C120),$M$6:$M$17,AF$6:AF$17)</f>
        <v>#NAME?</v>
      </c>
      <c r="H120" s="1" t="e">
        <f aca="false">_xlfn.xlookup(MONTH($C120),$M$6:$M$17,AG$6:AG$17)</f>
        <v>#NAME?</v>
      </c>
      <c r="I120" s="1" t="e">
        <f aca="false">_xlfn.xlookup(MONTH($C120),$M$6:$M$17,AH$6:AH$17)</f>
        <v>#NAME?</v>
      </c>
    </row>
    <row r="121" customFormat="false" ht="14.25" hidden="false" customHeight="false" outlineLevel="0" collapsed="false">
      <c r="C121" s="33" t="n">
        <f aca="false">EOMONTH(C120,0)+1</f>
        <v>44896</v>
      </c>
      <c r="D121" s="1" t="e">
        <f aca="false" t="array" ref="D121:D121">_xlfn.xlookup($B$3,items,_xlfn.xlookup(C121,dates,big_table))</f>
        <v>#NAME?</v>
      </c>
      <c r="E121" s="1" t="n">
        <f aca="false" t="array" ref="E121:E121">IF(ISNA(_xlfn.xlookup("jodi_last",items,_xlfn.xlookup(C121,dates,big_table))),10^6,-100000)</f>
        <v>-100000</v>
      </c>
      <c r="F121" s="1" t="e">
        <f aca="false">_xlfn.xlookup(MONTH($C121),$M$6:$M$17,AE$6:AE$17)</f>
        <v>#NAME?</v>
      </c>
      <c r="G121" s="1" t="e">
        <f aca="false">_xlfn.xlookup(MONTH($C121),$M$6:$M$17,AF$6:AF$17)</f>
        <v>#NAME?</v>
      </c>
      <c r="H121" s="1" t="e">
        <f aca="false">_xlfn.xlookup(MONTH($C121),$M$6:$M$17,AG$6:AG$17)</f>
        <v>#NAME?</v>
      </c>
      <c r="I121" s="1" t="e">
        <f aca="false">_xlfn.xlookup(MONTH($C121),$M$6:$M$17,AH$6:AH$17)</f>
        <v>#NAME?</v>
      </c>
    </row>
    <row r="122" customFormat="false" ht="14.25" hidden="false" customHeight="false" outlineLevel="0" collapsed="false">
      <c r="C122" s="33" t="n">
        <f aca="false">EOMONTH(C121,0)+1</f>
        <v>44927</v>
      </c>
      <c r="D122" s="1" t="e">
        <f aca="false" t="array" ref="D122:D122">_xlfn.xlookup($B$3,items,_xlfn.xlookup(C122,dates,big_table))</f>
        <v>#NAME?</v>
      </c>
      <c r="E122" s="1" t="n">
        <f aca="false" t="array" ref="E122:E122">IF(ISNA(_xlfn.xlookup("jodi_last",items,_xlfn.xlookup(C122,dates,big_table))),10^6,-100000)</f>
        <v>-100000</v>
      </c>
      <c r="F122" s="1" t="e">
        <f aca="false">_xlfn.xlookup(MONTH($C122),$M$6:$M$17,AE$6:AE$17)</f>
        <v>#NAME?</v>
      </c>
      <c r="G122" s="1" t="e">
        <f aca="false">_xlfn.xlookup(MONTH($C122),$M$6:$M$17,AF$6:AF$17)</f>
        <v>#NAME?</v>
      </c>
      <c r="H122" s="1" t="e">
        <f aca="false">_xlfn.xlookup(MONTH($C122),$M$6:$M$17,AG$6:AG$17)</f>
        <v>#NAME?</v>
      </c>
      <c r="I122" s="1" t="e">
        <f aca="false">_xlfn.xlookup(MONTH($C122),$M$6:$M$17,AH$6:AH$17)</f>
        <v>#NAME?</v>
      </c>
    </row>
    <row r="123" customFormat="false" ht="14.25" hidden="false" customHeight="false" outlineLevel="0" collapsed="false">
      <c r="C123" s="33" t="n">
        <f aca="false">EOMONTH(C122,0)+1</f>
        <v>44958</v>
      </c>
      <c r="D123" s="1" t="e">
        <f aca="false" t="array" ref="D123:D123">_xlfn.xlookup($B$3,items,_xlfn.xlookup(C123,dates,big_table))</f>
        <v>#NAME?</v>
      </c>
      <c r="E123" s="1" t="n">
        <f aca="false" t="array" ref="E123:E123">IF(ISNA(_xlfn.xlookup("jodi_last",items,_xlfn.xlookup(C123,dates,big_table))),10^6,-100000)</f>
        <v>-100000</v>
      </c>
      <c r="F123" s="1" t="e">
        <f aca="false">_xlfn.xlookup(MONTH($C123),$M$6:$M$17,AE$6:AE$17)</f>
        <v>#NAME?</v>
      </c>
      <c r="G123" s="1" t="e">
        <f aca="false">_xlfn.xlookup(MONTH($C123),$M$6:$M$17,AF$6:AF$17)</f>
        <v>#NAME?</v>
      </c>
      <c r="H123" s="1" t="e">
        <f aca="false">_xlfn.xlookup(MONTH($C123),$M$6:$M$17,AG$6:AG$17)</f>
        <v>#NAME?</v>
      </c>
      <c r="I123" s="1" t="e">
        <f aca="false">_xlfn.xlookup(MONTH($C123),$M$6:$M$17,AH$6:AH$17)</f>
        <v>#NAME?</v>
      </c>
    </row>
    <row r="124" customFormat="false" ht="14.25" hidden="false" customHeight="false" outlineLevel="0" collapsed="false">
      <c r="C124" s="33" t="n">
        <f aca="false">EOMONTH(C123,0)+1</f>
        <v>44986</v>
      </c>
      <c r="D124" s="1" t="e">
        <f aca="false" t="array" ref="D124:D124">_xlfn.xlookup($B$3,items,_xlfn.xlookup(C124,dates,big_table))</f>
        <v>#NAME?</v>
      </c>
      <c r="E124" s="1" t="n">
        <f aca="false" t="array" ref="E124:E124">IF(ISNA(_xlfn.xlookup("jodi_last",items,_xlfn.xlookup(C124,dates,big_table))),10^6,-100000)</f>
        <v>-100000</v>
      </c>
      <c r="F124" s="1" t="e">
        <f aca="false">_xlfn.xlookup(MONTH($C124),$M$6:$M$17,AE$6:AE$17)</f>
        <v>#NAME?</v>
      </c>
      <c r="G124" s="1" t="e">
        <f aca="false">_xlfn.xlookup(MONTH($C124),$M$6:$M$17,AF$6:AF$17)</f>
        <v>#NAME?</v>
      </c>
      <c r="H124" s="1" t="e">
        <f aca="false">_xlfn.xlookup(MONTH($C124),$M$6:$M$17,AG$6:AG$17)</f>
        <v>#NAME?</v>
      </c>
      <c r="I124" s="1" t="e">
        <f aca="false">_xlfn.xlookup(MONTH($C124),$M$6:$M$17,AH$6:AH$17)</f>
        <v>#NAME?</v>
      </c>
    </row>
    <row r="125" customFormat="false" ht="14.25" hidden="false" customHeight="false" outlineLevel="0" collapsed="false">
      <c r="C125" s="33" t="n">
        <f aca="false">EOMONTH(C124,0)+1</f>
        <v>45017</v>
      </c>
      <c r="D125" s="1" t="e">
        <f aca="false" t="array" ref="D125:D125">_xlfn.xlookup($B$3,items,_xlfn.xlookup(C125,dates,big_table))</f>
        <v>#NAME?</v>
      </c>
      <c r="E125" s="1" t="n">
        <f aca="false" t="array" ref="E125:E125">IF(ISNA(_xlfn.xlookup("jodi_last",items,_xlfn.xlookup(C125,dates,big_table))),10^6,-100000)</f>
        <v>-100000</v>
      </c>
      <c r="F125" s="1" t="e">
        <f aca="false">_xlfn.xlookup(MONTH($C125),$M$6:$M$17,AE$6:AE$17)</f>
        <v>#NAME?</v>
      </c>
      <c r="G125" s="1" t="e">
        <f aca="false">_xlfn.xlookup(MONTH($C125),$M$6:$M$17,AF$6:AF$17)</f>
        <v>#NAME?</v>
      </c>
      <c r="H125" s="1" t="e">
        <f aca="false">_xlfn.xlookup(MONTH($C125),$M$6:$M$17,AG$6:AG$17)</f>
        <v>#NAME?</v>
      </c>
      <c r="I125" s="1" t="e">
        <f aca="false">_xlfn.xlookup(MONTH($C125),$M$6:$M$17,AH$6:AH$17)</f>
        <v>#NAME?</v>
      </c>
    </row>
    <row r="126" customFormat="false" ht="14.25" hidden="false" customHeight="false" outlineLevel="0" collapsed="false">
      <c r="C126" s="33" t="n">
        <f aca="false">EOMONTH(C125,0)+1</f>
        <v>45047</v>
      </c>
      <c r="D126" s="1" t="e">
        <f aca="false" t="array" ref="D126:D126">_xlfn.xlookup($B$3,items,_xlfn.xlookup(C126,dates,big_table))</f>
        <v>#NAME?</v>
      </c>
      <c r="E126" s="1" t="n">
        <f aca="false" t="array" ref="E126:E126">IF(ISNA(_xlfn.xlookup("jodi_last",items,_xlfn.xlookup(C126,dates,big_table))),10^6,-100000)</f>
        <v>-100000</v>
      </c>
      <c r="F126" s="1" t="e">
        <f aca="false">_xlfn.xlookup(MONTH($C126),$M$6:$M$17,AE$6:AE$17)</f>
        <v>#NAME?</v>
      </c>
      <c r="G126" s="1" t="e">
        <f aca="false">_xlfn.xlookup(MONTH($C126),$M$6:$M$17,AF$6:AF$17)</f>
        <v>#NAME?</v>
      </c>
      <c r="H126" s="1" t="e">
        <f aca="false">_xlfn.xlookup(MONTH($C126),$M$6:$M$17,AG$6:AG$17)</f>
        <v>#NAME?</v>
      </c>
      <c r="I126" s="1" t="e">
        <f aca="false">_xlfn.xlookup(MONTH($C126),$M$6:$M$17,AH$6:AH$17)</f>
        <v>#NAME?</v>
      </c>
    </row>
    <row r="127" customFormat="false" ht="14.25" hidden="false" customHeight="false" outlineLevel="0" collapsed="false">
      <c r="C127" s="33" t="n">
        <f aca="false">EOMONTH(C126,0)+1</f>
        <v>45078</v>
      </c>
      <c r="D127" s="1" t="e">
        <f aca="false" t="array" ref="D127:D127">_xlfn.xlookup($B$3,items,_xlfn.xlookup(C127,dates,big_table))</f>
        <v>#NAME?</v>
      </c>
      <c r="E127" s="1" t="n">
        <f aca="false" t="array" ref="E127:E127">IF(ISNA(_xlfn.xlookup("jodi_last",items,_xlfn.xlookup(C127,dates,big_table))),10^6,-100000)</f>
        <v>-100000</v>
      </c>
      <c r="F127" s="1" t="e">
        <f aca="false">_xlfn.xlookup(MONTH($C127),$M$6:$M$17,AE$6:AE$17)</f>
        <v>#NAME?</v>
      </c>
      <c r="G127" s="1" t="e">
        <f aca="false">_xlfn.xlookup(MONTH($C127),$M$6:$M$17,AF$6:AF$17)</f>
        <v>#NAME?</v>
      </c>
      <c r="H127" s="1" t="e">
        <f aca="false">_xlfn.xlookup(MONTH($C127),$M$6:$M$17,AG$6:AG$17)</f>
        <v>#NAME?</v>
      </c>
      <c r="I127" s="1" t="e">
        <f aca="false">_xlfn.xlookup(MONTH($C127),$M$6:$M$17,AH$6:AH$17)</f>
        <v>#NAME?</v>
      </c>
    </row>
    <row r="128" customFormat="false" ht="14.25" hidden="false" customHeight="false" outlineLevel="0" collapsed="false">
      <c r="C128" s="33" t="n">
        <f aca="false">EOMONTH(C127,0)+1</f>
        <v>45108</v>
      </c>
      <c r="D128" s="1" t="e">
        <f aca="false" t="array" ref="D128:D128">_xlfn.xlookup($B$3,items,_xlfn.xlookup(C128,dates,big_table))</f>
        <v>#NAME?</v>
      </c>
      <c r="E128" s="1" t="n">
        <f aca="false" t="array" ref="E128:E128">IF(ISNA(_xlfn.xlookup("jodi_last",items,_xlfn.xlookup(C128,dates,big_table))),10^6,-100000)</f>
        <v>-100000</v>
      </c>
      <c r="F128" s="1" t="e">
        <f aca="false">_xlfn.xlookup(MONTH($C128),$M$6:$M$17,AE$6:AE$17)</f>
        <v>#NAME?</v>
      </c>
      <c r="G128" s="1" t="e">
        <f aca="false">_xlfn.xlookup(MONTH($C128),$M$6:$M$17,AF$6:AF$17)</f>
        <v>#NAME?</v>
      </c>
      <c r="H128" s="1" t="e">
        <f aca="false">_xlfn.xlookup(MONTH($C128),$M$6:$M$17,AG$6:AG$17)</f>
        <v>#NAME?</v>
      </c>
      <c r="I128" s="1" t="e">
        <f aca="false">_xlfn.xlookup(MONTH($C128),$M$6:$M$17,AH$6:AH$17)</f>
        <v>#NAME?</v>
      </c>
    </row>
    <row r="129" customFormat="false" ht="14.25" hidden="false" customHeight="false" outlineLevel="0" collapsed="false">
      <c r="C129" s="33" t="n">
        <f aca="false">EOMONTH(C128,0)+1</f>
        <v>45139</v>
      </c>
      <c r="D129" s="1" t="e">
        <f aca="false" t="array" ref="D129:D129">_xlfn.xlookup($B$3,items,_xlfn.xlookup(C129,dates,big_table))</f>
        <v>#NAME?</v>
      </c>
      <c r="E129" s="1" t="n">
        <f aca="false" t="array" ref="E129:E129">IF(ISNA(_xlfn.xlookup("jodi_last",items,_xlfn.xlookup(C129,dates,big_table))),10^6,-100000)</f>
        <v>-100000</v>
      </c>
      <c r="F129" s="1" t="e">
        <f aca="false">_xlfn.xlookup(MONTH($C129),$M$6:$M$17,AE$6:AE$17)</f>
        <v>#NAME?</v>
      </c>
      <c r="G129" s="1" t="e">
        <f aca="false">_xlfn.xlookup(MONTH($C129),$M$6:$M$17,AF$6:AF$17)</f>
        <v>#NAME?</v>
      </c>
      <c r="H129" s="1" t="e">
        <f aca="false">_xlfn.xlookup(MONTH($C129),$M$6:$M$17,AG$6:AG$17)</f>
        <v>#NAME?</v>
      </c>
      <c r="I129" s="1" t="e">
        <f aca="false">_xlfn.xlookup(MONTH($C129),$M$6:$M$17,AH$6:AH$17)</f>
        <v>#NAME?</v>
      </c>
    </row>
    <row r="130" customFormat="false" ht="14.25" hidden="false" customHeight="false" outlineLevel="0" collapsed="false">
      <c r="C130" s="33" t="n">
        <f aca="false">EOMONTH(C129,0)+1</f>
        <v>45170</v>
      </c>
      <c r="D130" s="1" t="e">
        <f aca="false" t="array" ref="D130:D130">_xlfn.xlookup($B$3,items,_xlfn.xlookup(C130,dates,big_table))</f>
        <v>#NAME?</v>
      </c>
      <c r="E130" s="1" t="n">
        <f aca="false" t="array" ref="E130:E130">IF(ISNA(_xlfn.xlookup("jodi_last",items,_xlfn.xlookup(C130,dates,big_table))),10^6,-100000)</f>
        <v>-100000</v>
      </c>
      <c r="F130" s="1" t="e">
        <f aca="false">_xlfn.xlookup(MONTH($C130),$M$6:$M$17,AE$6:AE$17)</f>
        <v>#NAME?</v>
      </c>
      <c r="G130" s="1" t="e">
        <f aca="false">_xlfn.xlookup(MONTH($C130),$M$6:$M$17,AF$6:AF$17)</f>
        <v>#NAME?</v>
      </c>
      <c r="H130" s="1" t="e">
        <f aca="false">_xlfn.xlookup(MONTH($C130),$M$6:$M$17,AG$6:AG$17)</f>
        <v>#NAME?</v>
      </c>
      <c r="I130" s="1" t="e">
        <f aca="false">_xlfn.xlookup(MONTH($C130),$M$6:$M$17,AH$6:AH$17)</f>
        <v>#NAME?</v>
      </c>
    </row>
    <row r="131" customFormat="false" ht="14.25" hidden="false" customHeight="false" outlineLevel="0" collapsed="false">
      <c r="C131" s="33" t="n">
        <f aca="false">EOMONTH(C130,0)+1</f>
        <v>45200</v>
      </c>
      <c r="D131" s="1" t="e">
        <f aca="false" t="array" ref="D131:D131">_xlfn.xlookup($B$3,items,_xlfn.xlookup(C131,dates,big_table))</f>
        <v>#NAME?</v>
      </c>
      <c r="E131" s="1" t="n">
        <f aca="false" t="array" ref="E131:E131">IF(ISNA(_xlfn.xlookup("jodi_last",items,_xlfn.xlookup(C131,dates,big_table))),10^6,-100000)</f>
        <v>-100000</v>
      </c>
      <c r="F131" s="1" t="e">
        <f aca="false">_xlfn.xlookup(MONTH($C131),$M$6:$M$17,AE$6:AE$17)</f>
        <v>#NAME?</v>
      </c>
      <c r="G131" s="1" t="e">
        <f aca="false">_xlfn.xlookup(MONTH($C131),$M$6:$M$17,AF$6:AF$17)</f>
        <v>#NAME?</v>
      </c>
      <c r="H131" s="1" t="e">
        <f aca="false">_xlfn.xlookup(MONTH($C131),$M$6:$M$17,AG$6:AG$17)</f>
        <v>#NAME?</v>
      </c>
      <c r="I131" s="1" t="e">
        <f aca="false">_xlfn.xlookup(MONTH($C131),$M$6:$M$17,AH$6:AH$17)</f>
        <v>#NAME?</v>
      </c>
    </row>
    <row r="132" customFormat="false" ht="14.25" hidden="false" customHeight="false" outlineLevel="0" collapsed="false">
      <c r="C132" s="33" t="n">
        <f aca="false">EOMONTH(C131,0)+1</f>
        <v>45231</v>
      </c>
      <c r="D132" s="1" t="e">
        <f aca="false" t="array" ref="D132:D132">_xlfn.xlookup($B$3,items,_xlfn.xlookup(C132,dates,big_table))</f>
        <v>#NAME?</v>
      </c>
      <c r="E132" s="1" t="n">
        <f aca="false" t="array" ref="E132:E132">IF(ISNA(_xlfn.xlookup("jodi_last",items,_xlfn.xlookup(C132,dates,big_table))),10^6,-100000)</f>
        <v>-100000</v>
      </c>
      <c r="F132" s="1" t="e">
        <f aca="false">_xlfn.xlookup(MONTH($C132),$M$6:$M$17,AE$6:AE$17)</f>
        <v>#NAME?</v>
      </c>
      <c r="G132" s="1" t="e">
        <f aca="false">_xlfn.xlookup(MONTH($C132),$M$6:$M$17,AF$6:AF$17)</f>
        <v>#NAME?</v>
      </c>
      <c r="H132" s="1" t="e">
        <f aca="false">_xlfn.xlookup(MONTH($C132),$M$6:$M$17,AG$6:AG$17)</f>
        <v>#NAME?</v>
      </c>
      <c r="I132" s="1" t="e">
        <f aca="false">_xlfn.xlookup(MONTH($C132),$M$6:$M$17,AH$6:AH$17)</f>
        <v>#NAME?</v>
      </c>
    </row>
    <row r="133" customFormat="false" ht="14.25" hidden="false" customHeight="false" outlineLevel="0" collapsed="false">
      <c r="C133" s="33" t="n">
        <f aca="false">EOMONTH(C132,0)+1</f>
        <v>45261</v>
      </c>
      <c r="D133" s="1" t="e">
        <f aca="false" t="array" ref="D133:D133">_xlfn.xlookup($B$3,items,_xlfn.xlookup(C133,dates,big_table))</f>
        <v>#NAME?</v>
      </c>
      <c r="E133" s="1" t="n">
        <f aca="false" t="array" ref="E133:E133">IF(ISNA(_xlfn.xlookup("jodi_last",items,_xlfn.xlookup(C133,dates,big_table))),10^6,-100000)</f>
        <v>-100000</v>
      </c>
      <c r="F133" s="1" t="e">
        <f aca="false">_xlfn.xlookup(MONTH($C133),$M$6:$M$17,AE$6:AE$17)</f>
        <v>#NAME?</v>
      </c>
      <c r="G133" s="1" t="e">
        <f aca="false">_xlfn.xlookup(MONTH($C133),$M$6:$M$17,AF$6:AF$17)</f>
        <v>#NAME?</v>
      </c>
      <c r="H133" s="1" t="e">
        <f aca="false">_xlfn.xlookup(MONTH($C133),$M$6:$M$17,AG$6:AG$17)</f>
        <v>#NAME?</v>
      </c>
      <c r="I133" s="1" t="e">
        <f aca="false">_xlfn.xlookup(MONTH($C133),$M$6:$M$17,AH$6:AH$17)</f>
        <v>#NAME?</v>
      </c>
    </row>
    <row r="134" customFormat="false" ht="14.25" hidden="false" customHeight="false" outlineLevel="0" collapsed="false">
      <c r="C134" s="33" t="n">
        <f aca="false">EOMONTH(C133,0)+1</f>
        <v>45292</v>
      </c>
      <c r="D134" s="1" t="e">
        <f aca="false" t="array" ref="D134:D134">_xlfn.xlookup($B$3,items,_xlfn.xlookup(C134,dates,big_table))</f>
        <v>#NAME?</v>
      </c>
      <c r="E134" s="1" t="n">
        <f aca="false" t="array" ref="E134:E134">IF(ISNA(_xlfn.xlookup("jodi_last",items,_xlfn.xlookup(C134,dates,big_table))),10^6,-100000)</f>
        <v>-100000</v>
      </c>
      <c r="F134" s="1" t="e">
        <f aca="false">_xlfn.xlookup(MONTH($C134),$M$6:$M$17,AE$6:AE$17)</f>
        <v>#NAME?</v>
      </c>
      <c r="G134" s="1" t="e">
        <f aca="false">_xlfn.xlookup(MONTH($C134),$M$6:$M$17,AF$6:AF$17)</f>
        <v>#NAME?</v>
      </c>
      <c r="H134" s="1" t="e">
        <f aca="false">_xlfn.xlookup(MONTH($C134),$M$6:$M$17,AG$6:AG$17)</f>
        <v>#NAME?</v>
      </c>
      <c r="I134" s="1" t="e">
        <f aca="false">_xlfn.xlookup(MONTH($C134),$M$6:$M$17,AH$6:AH$17)</f>
        <v>#NAME?</v>
      </c>
    </row>
    <row r="135" customFormat="false" ht="14.25" hidden="false" customHeight="false" outlineLevel="0" collapsed="false">
      <c r="C135" s="33" t="n">
        <f aca="false">EOMONTH(C134,0)+1</f>
        <v>45323</v>
      </c>
      <c r="D135" s="1" t="e">
        <f aca="false" t="array" ref="D135:D135">_xlfn.xlookup($B$3,items,_xlfn.xlookup(C135,dates,big_table))</f>
        <v>#NAME?</v>
      </c>
      <c r="E135" s="1" t="n">
        <f aca="false" t="array" ref="E135:E135">IF(ISNA(_xlfn.xlookup("jodi_last",items,_xlfn.xlookup(C135,dates,big_table))),10^6,-100000)</f>
        <v>-100000</v>
      </c>
      <c r="F135" s="1" t="e">
        <f aca="false">_xlfn.xlookup(MONTH($C135),$M$6:$M$17,AE$6:AE$17)</f>
        <v>#NAME?</v>
      </c>
      <c r="G135" s="1" t="e">
        <f aca="false">_xlfn.xlookup(MONTH($C135),$M$6:$M$17,AF$6:AF$17)</f>
        <v>#NAME?</v>
      </c>
      <c r="H135" s="1" t="e">
        <f aca="false">_xlfn.xlookup(MONTH($C135),$M$6:$M$17,AG$6:AG$17)</f>
        <v>#NAME?</v>
      </c>
      <c r="I135" s="1" t="e">
        <f aca="false">_xlfn.xlookup(MONTH($C135),$M$6:$M$17,AH$6:AH$17)</f>
        <v>#NAME?</v>
      </c>
    </row>
    <row r="136" customFormat="false" ht="14.25" hidden="false" customHeight="false" outlineLevel="0" collapsed="false">
      <c r="C136" s="33" t="n">
        <f aca="false">EOMONTH(C135,0)+1</f>
        <v>45352</v>
      </c>
      <c r="D136" s="1" t="e">
        <f aca="false" t="array" ref="D136:D136">_xlfn.xlookup($B$3,items,_xlfn.xlookup(C136,dates,big_table))</f>
        <v>#NAME?</v>
      </c>
      <c r="E136" s="1" t="n">
        <f aca="false" t="array" ref="E136:E136">IF(ISNA(_xlfn.xlookup("jodi_last",items,_xlfn.xlookup(C136,dates,big_table))),10^6,-100000)</f>
        <v>-100000</v>
      </c>
      <c r="F136" s="1" t="e">
        <f aca="false">_xlfn.xlookup(MONTH($C136),$M$6:$M$17,AE$6:AE$17)</f>
        <v>#NAME?</v>
      </c>
      <c r="G136" s="1" t="e">
        <f aca="false">_xlfn.xlookup(MONTH($C136),$M$6:$M$17,AF$6:AF$17)</f>
        <v>#NAME?</v>
      </c>
      <c r="H136" s="1" t="e">
        <f aca="false">_xlfn.xlookup(MONTH($C136),$M$6:$M$17,AG$6:AG$17)</f>
        <v>#NAME?</v>
      </c>
      <c r="I136" s="1" t="e">
        <f aca="false">_xlfn.xlookup(MONTH($C136),$M$6:$M$17,AH$6:AH$17)</f>
        <v>#NAME?</v>
      </c>
    </row>
    <row r="137" customFormat="false" ht="14.25" hidden="false" customHeight="false" outlineLevel="0" collapsed="false">
      <c r="C137" s="33" t="n">
        <f aca="false">EOMONTH(C136,0)+1</f>
        <v>45383</v>
      </c>
      <c r="D137" s="1" t="e">
        <f aca="false" t="array" ref="D137:D137">_xlfn.xlookup($B$3,items,_xlfn.xlookup(C137,dates,big_table))</f>
        <v>#NAME?</v>
      </c>
      <c r="E137" s="1" t="n">
        <f aca="false" t="array" ref="E137:E137">IF(ISNA(_xlfn.xlookup("jodi_last",items,_xlfn.xlookup(C137,dates,big_table))),10^6,-100000)</f>
        <v>-100000</v>
      </c>
      <c r="F137" s="1" t="e">
        <f aca="false">_xlfn.xlookup(MONTH($C137),$M$6:$M$17,AE$6:AE$17)</f>
        <v>#NAME?</v>
      </c>
      <c r="G137" s="1" t="e">
        <f aca="false">_xlfn.xlookup(MONTH($C137),$M$6:$M$17,AF$6:AF$17)</f>
        <v>#NAME?</v>
      </c>
      <c r="H137" s="1" t="e">
        <f aca="false">_xlfn.xlookup(MONTH($C137),$M$6:$M$17,AG$6:AG$17)</f>
        <v>#NAME?</v>
      </c>
      <c r="I137" s="1" t="e">
        <f aca="false">_xlfn.xlookup(MONTH($C137),$M$6:$M$17,AH$6:AH$17)</f>
        <v>#NAME?</v>
      </c>
    </row>
    <row r="138" customFormat="false" ht="14.25" hidden="false" customHeight="false" outlineLevel="0" collapsed="false">
      <c r="C138" s="33" t="n">
        <f aca="false">EOMONTH(C137,0)+1</f>
        <v>45413</v>
      </c>
      <c r="D138" s="1" t="e">
        <f aca="false" t="array" ref="D138:D138">_xlfn.xlookup($B$3,items,_xlfn.xlookup(C138,dates,big_table))</f>
        <v>#NAME?</v>
      </c>
      <c r="E138" s="1" t="n">
        <f aca="false" t="array" ref="E138:E138">IF(ISNA(_xlfn.xlookup("jodi_last",items,_xlfn.xlookup(C138,dates,big_table))),10^6,-100000)</f>
        <v>-100000</v>
      </c>
      <c r="F138" s="1" t="e">
        <f aca="false">_xlfn.xlookup(MONTH($C138),$M$6:$M$17,AE$6:AE$17)</f>
        <v>#NAME?</v>
      </c>
      <c r="G138" s="1" t="e">
        <f aca="false">_xlfn.xlookup(MONTH($C138),$M$6:$M$17,AF$6:AF$17)</f>
        <v>#NAME?</v>
      </c>
      <c r="H138" s="1" t="e">
        <f aca="false">_xlfn.xlookup(MONTH($C138),$M$6:$M$17,AG$6:AG$17)</f>
        <v>#NAME?</v>
      </c>
      <c r="I138" s="1" t="e">
        <f aca="false">_xlfn.xlookup(MONTH($C138),$M$6:$M$17,AH$6:AH$17)</f>
        <v>#NAME?</v>
      </c>
    </row>
    <row r="139" customFormat="false" ht="14.25" hidden="false" customHeight="false" outlineLevel="0" collapsed="false">
      <c r="C139" s="33" t="n">
        <f aca="false">EOMONTH(C138,0)+1</f>
        <v>45444</v>
      </c>
      <c r="D139" s="1" t="e">
        <f aca="false" t="array" ref="D139:D139">_xlfn.xlookup($B$3,items,_xlfn.xlookup(C139,dates,big_table))</f>
        <v>#NAME?</v>
      </c>
      <c r="E139" s="1" t="n">
        <f aca="false" t="array" ref="E139:E139">IF(ISNA(_xlfn.xlookup("jodi_last",items,_xlfn.xlookup(C139,dates,big_table))),10^6,-100000)</f>
        <v>-100000</v>
      </c>
      <c r="F139" s="1" t="e">
        <f aca="false">_xlfn.xlookup(MONTH($C139),$M$6:$M$17,AE$6:AE$17)</f>
        <v>#NAME?</v>
      </c>
      <c r="G139" s="1" t="e">
        <f aca="false">_xlfn.xlookup(MONTH($C139),$M$6:$M$17,AF$6:AF$17)</f>
        <v>#NAME?</v>
      </c>
      <c r="H139" s="1" t="e">
        <f aca="false">_xlfn.xlookup(MONTH($C139),$M$6:$M$17,AG$6:AG$17)</f>
        <v>#NAME?</v>
      </c>
      <c r="I139" s="1" t="e">
        <f aca="false">_xlfn.xlookup(MONTH($C139),$M$6:$M$17,AH$6:AH$17)</f>
        <v>#NAME?</v>
      </c>
    </row>
    <row r="140" customFormat="false" ht="14.25" hidden="false" customHeight="false" outlineLevel="0" collapsed="false">
      <c r="C140" s="33" t="n">
        <f aca="false">EOMONTH(C139,0)+1</f>
        <v>45474</v>
      </c>
      <c r="D140" s="1" t="e">
        <f aca="false" t="array" ref="D140:D140">_xlfn.xlookup($B$3,items,_xlfn.xlookup(C140,dates,big_table))</f>
        <v>#NAME?</v>
      </c>
      <c r="E140" s="1" t="n">
        <f aca="false" t="array" ref="E140:E140">IF(ISNA(_xlfn.xlookup("jodi_last",items,_xlfn.xlookup(C140,dates,big_table))),10^6,-100000)</f>
        <v>-100000</v>
      </c>
      <c r="F140" s="1" t="e">
        <f aca="false">_xlfn.xlookup(MONTH($C140),$M$6:$M$17,AE$6:AE$17)</f>
        <v>#NAME?</v>
      </c>
      <c r="G140" s="1" t="e">
        <f aca="false">_xlfn.xlookup(MONTH($C140),$M$6:$M$17,AF$6:AF$17)</f>
        <v>#NAME?</v>
      </c>
      <c r="H140" s="1" t="e">
        <f aca="false">_xlfn.xlookup(MONTH($C140),$M$6:$M$17,AG$6:AG$17)</f>
        <v>#NAME?</v>
      </c>
      <c r="I140" s="1" t="e">
        <f aca="false">_xlfn.xlookup(MONTH($C140),$M$6:$M$17,AH$6:AH$17)</f>
        <v>#NAME?</v>
      </c>
    </row>
    <row r="141" customFormat="false" ht="14.25" hidden="false" customHeight="false" outlineLevel="0" collapsed="false">
      <c r="C141" s="33" t="n">
        <f aca="false">EOMONTH(C140,0)+1</f>
        <v>45505</v>
      </c>
      <c r="D141" s="1" t="e">
        <f aca="false" t="array" ref="D141:D141">_xlfn.xlookup($B$3,items,_xlfn.xlookup(C141,dates,big_table))</f>
        <v>#NAME?</v>
      </c>
      <c r="E141" s="1" t="n">
        <f aca="false" t="array" ref="E141:E141">IF(ISNA(_xlfn.xlookup("jodi_last",items,_xlfn.xlookup(C141,dates,big_table))),10^6,-100000)</f>
        <v>-100000</v>
      </c>
      <c r="F141" s="1" t="e">
        <f aca="false">_xlfn.xlookup(MONTH($C141),$M$6:$M$17,AE$6:AE$17)</f>
        <v>#NAME?</v>
      </c>
      <c r="G141" s="1" t="e">
        <f aca="false">_xlfn.xlookup(MONTH($C141),$M$6:$M$17,AF$6:AF$17)</f>
        <v>#NAME?</v>
      </c>
      <c r="H141" s="1" t="e">
        <f aca="false">_xlfn.xlookup(MONTH($C141),$M$6:$M$17,AG$6:AG$17)</f>
        <v>#NAME?</v>
      </c>
      <c r="I141" s="1" t="e">
        <f aca="false">_xlfn.xlookup(MONTH($C141),$M$6:$M$17,AH$6:AH$17)</f>
        <v>#NAME?</v>
      </c>
    </row>
    <row r="142" customFormat="false" ht="14.25" hidden="false" customHeight="false" outlineLevel="0" collapsed="false">
      <c r="C142" s="33" t="n">
        <f aca="false">EOMONTH(C141,0)+1</f>
        <v>45536</v>
      </c>
      <c r="D142" s="1" t="e">
        <f aca="false" t="array" ref="D142:D142">_xlfn.xlookup($B$3,items,_xlfn.xlookup(C142,dates,big_table))</f>
        <v>#NAME?</v>
      </c>
      <c r="E142" s="1" t="n">
        <f aca="false" t="array" ref="E142:E142">IF(ISNA(_xlfn.xlookup("jodi_last",items,_xlfn.xlookup(C142,dates,big_table))),10^6,-100000)</f>
        <v>-100000</v>
      </c>
      <c r="F142" s="1" t="e">
        <f aca="false">_xlfn.xlookup(MONTH($C142),$M$6:$M$17,AE$6:AE$17)</f>
        <v>#NAME?</v>
      </c>
      <c r="G142" s="1" t="e">
        <f aca="false">_xlfn.xlookup(MONTH($C142),$M$6:$M$17,AF$6:AF$17)</f>
        <v>#NAME?</v>
      </c>
      <c r="H142" s="1" t="e">
        <f aca="false">_xlfn.xlookup(MONTH($C142),$M$6:$M$17,AG$6:AG$17)</f>
        <v>#NAME?</v>
      </c>
      <c r="I142" s="1" t="e">
        <f aca="false">_xlfn.xlookup(MONTH($C142),$M$6:$M$17,AH$6:AH$17)</f>
        <v>#NAME?</v>
      </c>
    </row>
    <row r="143" customFormat="false" ht="14.25" hidden="false" customHeight="false" outlineLevel="0" collapsed="false">
      <c r="C143" s="33" t="n">
        <f aca="false">EOMONTH(C142,0)+1</f>
        <v>45566</v>
      </c>
      <c r="D143" s="1" t="e">
        <f aca="false" t="array" ref="D143:D143">_xlfn.xlookup($B$3,items,_xlfn.xlookup(C143,dates,big_table))</f>
        <v>#NAME?</v>
      </c>
      <c r="E143" s="1" t="n">
        <f aca="false" t="array" ref="E143:E143">IF(ISNA(_xlfn.xlookup("jodi_last",items,_xlfn.xlookup(C143,dates,big_table))),10^6,-100000)</f>
        <v>-100000</v>
      </c>
      <c r="F143" s="1" t="e">
        <f aca="false">_xlfn.xlookup(MONTH($C143),$M$6:$M$17,AE$6:AE$17)</f>
        <v>#NAME?</v>
      </c>
      <c r="G143" s="1" t="e">
        <f aca="false">_xlfn.xlookup(MONTH($C143),$M$6:$M$17,AF$6:AF$17)</f>
        <v>#NAME?</v>
      </c>
      <c r="H143" s="1" t="e">
        <f aca="false">_xlfn.xlookup(MONTH($C143),$M$6:$M$17,AG$6:AG$17)</f>
        <v>#NAME?</v>
      </c>
      <c r="I143" s="1" t="e">
        <f aca="false">_xlfn.xlookup(MONTH($C143),$M$6:$M$17,AH$6:AH$17)</f>
        <v>#NAME?</v>
      </c>
    </row>
  </sheetData>
  <dataValidations count="1">
    <dataValidation allowBlank="true" errorStyle="stop" operator="between" showDropDown="false" showErrorMessage="true" showInputMessage="true" sqref="B3" type="list">
      <formula1>items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R438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5" activeCellId="0" sqref="E15"/>
    </sheetView>
  </sheetViews>
  <sheetFormatPr defaultColWidth="8.453125" defaultRowHeight="14.25" zeroHeight="false" outlineLevelRow="0" outlineLevelCol="0"/>
  <cols>
    <col collapsed="false" customWidth="true" hidden="false" outlineLevel="0" max="3" min="2" style="1" width="10.66"/>
    <col collapsed="false" customWidth="true" hidden="false" outlineLevel="0" max="4" min="4" style="1" width="24.88"/>
    <col collapsed="false" customWidth="true" hidden="false" outlineLevel="0" max="5" min="5" style="1" width="28.33"/>
  </cols>
  <sheetData>
    <row r="3" customFormat="false" ht="14.25" hidden="false" customHeight="false" outlineLevel="0" collapsed="false">
      <c r="B3" s="20" t="n">
        <f aca="false" t="array" ref="B3:B4386">daily_dates</f>
        <v>0</v>
      </c>
      <c r="C3" s="20" t="s">
        <v>26</v>
      </c>
      <c r="D3" s="36" t="s">
        <v>27</v>
      </c>
      <c r="E3" s="36" t="s">
        <v>28</v>
      </c>
    </row>
    <row r="4" customFormat="false" ht="14.25" hidden="false" customHeight="false" outlineLevel="0" collapsed="false">
      <c r="B4" s="7" t="n">
        <v>40909</v>
      </c>
      <c r="C4" s="7" t="n">
        <f aca="false">B4-WEEKDAY(B4)+1</f>
        <v>40909</v>
      </c>
      <c r="D4" s="1" t="e">
        <f aca="false" t="array" ref="D4:D4">IF(ISBLANK(_xlfn.xlookup(D$3,daily_items,_xlfn.xlookup($C4,daily_dates,big_daily_table))),NA(),_xlfn.xlookup(D$3,daily_items,_xlfn.xlookup($C4,daily_dates,big_daily_table)))</f>
        <v>#NAME?</v>
      </c>
      <c r="E4" s="1" t="e">
        <f aca="false" t="array" ref="E4:E4">IF(ISBLANK(_xlfn.xlookup(E$3,daily_items,_xlfn.xlookup($C4,daily_dates,big_daily_table))),NA(),_xlfn.xlookup(E$3,daily_items,_xlfn.xlookup($C4,daily_dates,big_daily_table)))</f>
        <v>#NAME?</v>
      </c>
    </row>
    <row r="5" customFormat="false" ht="14.25" hidden="false" customHeight="false" outlineLevel="0" collapsed="false">
      <c r="B5" s="7" t="n">
        <v>40910</v>
      </c>
      <c r="C5" s="7" t="n">
        <f aca="false">B5-WEEKDAY(B5)+1</f>
        <v>40909</v>
      </c>
      <c r="D5" s="1" t="e">
        <f aca="false" t="array" ref="D5:D5">IF(ISBLANK(_xlfn.xlookup(D$3,daily_items,_xlfn.xlookup($C5,daily_dates,big_daily_table))),NA(),_xlfn.xlookup(D$3,daily_items,_xlfn.xlookup($C5,daily_dates,big_daily_table)))</f>
        <v>#NAME?</v>
      </c>
      <c r="E5" s="1" t="e">
        <f aca="false" t="array" ref="E5:E5">IF(ISBLANK(_xlfn.xlookup(E$3,daily_items,_xlfn.xlookup($C5,daily_dates,big_daily_table))),NA(),_xlfn.xlookup(E$3,daily_items,_xlfn.xlookup($C5,daily_dates,big_daily_table)))</f>
        <v>#NAME?</v>
      </c>
    </row>
    <row r="6" customFormat="false" ht="14.25" hidden="false" customHeight="false" outlineLevel="0" collapsed="false">
      <c r="B6" s="7" t="n">
        <v>40911</v>
      </c>
      <c r="C6" s="7" t="n">
        <f aca="false">B6-WEEKDAY(B6)+1</f>
        <v>40909</v>
      </c>
      <c r="D6" s="1" t="e">
        <f aca="false" t="array" ref="D6:D6">IF(ISBLANK(_xlfn.xlookup(D$3,daily_items,_xlfn.xlookup($C6,daily_dates,big_daily_table))),NA(),_xlfn.xlookup(D$3,daily_items,_xlfn.xlookup($C6,daily_dates,big_daily_table)))</f>
        <v>#NAME?</v>
      </c>
      <c r="E6" s="1" t="e">
        <f aca="false" t="array" ref="E6:E6">IF(ISBLANK(_xlfn.xlookup(E$3,daily_items,_xlfn.xlookup($C6,daily_dates,big_daily_table))),NA(),_xlfn.xlookup(E$3,daily_items,_xlfn.xlookup($C6,daily_dates,big_daily_table)))</f>
        <v>#NAME?</v>
      </c>
    </row>
    <row r="7" customFormat="false" ht="14.25" hidden="false" customHeight="false" outlineLevel="0" collapsed="false">
      <c r="B7" s="7" t="n">
        <v>40912</v>
      </c>
      <c r="C7" s="7" t="n">
        <f aca="false">B7-WEEKDAY(B7)+1</f>
        <v>40909</v>
      </c>
      <c r="D7" s="1" t="e">
        <f aca="false" t="array" ref="D7:D7">IF(ISBLANK(_xlfn.xlookup(D$3,daily_items,_xlfn.xlookup($C7,daily_dates,big_daily_table))),NA(),_xlfn.xlookup(D$3,daily_items,_xlfn.xlookup($C7,daily_dates,big_daily_table)))</f>
        <v>#NAME?</v>
      </c>
      <c r="E7" s="1" t="e">
        <f aca="false" t="array" ref="E7:E7">IF(ISBLANK(_xlfn.xlookup(E$3,daily_items,_xlfn.xlookup($C7,daily_dates,big_daily_table))),NA(),_xlfn.xlookup(E$3,daily_items,_xlfn.xlookup($C7,daily_dates,big_daily_table)))</f>
        <v>#NAME?</v>
      </c>
    </row>
    <row r="8" customFormat="false" ht="14.25" hidden="false" customHeight="false" outlineLevel="0" collapsed="false">
      <c r="B8" s="7" t="n">
        <v>40913</v>
      </c>
      <c r="C8" s="7" t="n">
        <f aca="false">B8-WEEKDAY(B8)+1</f>
        <v>40909</v>
      </c>
      <c r="D8" s="1" t="e">
        <f aca="false" t="array" ref="D8:D8">IF(ISBLANK(_xlfn.xlookup(D$3,daily_items,_xlfn.xlookup($C8,daily_dates,big_daily_table))),NA(),_xlfn.xlookup(D$3,daily_items,_xlfn.xlookup($C8,daily_dates,big_daily_table)))</f>
        <v>#NAME?</v>
      </c>
      <c r="E8" s="1" t="e">
        <f aca="false" t="array" ref="E8:E8">IF(ISBLANK(_xlfn.xlookup(E$3,daily_items,_xlfn.xlookup($C8,daily_dates,big_daily_table))),NA(),_xlfn.xlookup(E$3,daily_items,_xlfn.xlookup($C8,daily_dates,big_daily_table)))</f>
        <v>#NAME?</v>
      </c>
    </row>
    <row r="9" customFormat="false" ht="14.25" hidden="false" customHeight="false" outlineLevel="0" collapsed="false">
      <c r="B9" s="7" t="n">
        <v>40914</v>
      </c>
      <c r="C9" s="7" t="n">
        <f aca="false">B9-WEEKDAY(B9)+1</f>
        <v>40909</v>
      </c>
      <c r="D9" s="1" t="e">
        <f aca="false" t="array" ref="D9:D9">IF(ISBLANK(_xlfn.xlookup(D$3,daily_items,_xlfn.xlookup($C9,daily_dates,big_daily_table))),NA(),_xlfn.xlookup(D$3,daily_items,_xlfn.xlookup($C9,daily_dates,big_daily_table)))</f>
        <v>#NAME?</v>
      </c>
      <c r="E9" s="1" t="e">
        <f aca="false" t="array" ref="E9:E9">IF(ISBLANK(_xlfn.xlookup(E$3,daily_items,_xlfn.xlookup($C9,daily_dates,big_daily_table))),NA(),_xlfn.xlookup(E$3,daily_items,_xlfn.xlookup($C9,daily_dates,big_daily_table)))</f>
        <v>#NAME?</v>
      </c>
    </row>
    <row r="10" customFormat="false" ht="14.25" hidden="false" customHeight="false" outlineLevel="0" collapsed="false">
      <c r="B10" s="7" t="n">
        <v>40915</v>
      </c>
      <c r="C10" s="7" t="n">
        <f aca="false">B10-WEEKDAY(B10)+1</f>
        <v>40909</v>
      </c>
      <c r="D10" s="1" t="e">
        <f aca="false" t="array" ref="D10:D10">IF(ISBLANK(_xlfn.xlookup(D$3,daily_items,_xlfn.xlookup($C10,daily_dates,big_daily_table))),NA(),_xlfn.xlookup(D$3,daily_items,_xlfn.xlookup($C10,daily_dates,big_daily_table)))</f>
        <v>#NAME?</v>
      </c>
      <c r="E10" s="1" t="e">
        <f aca="false" t="array" ref="E10:E10">IF(ISBLANK(_xlfn.xlookup(E$3,daily_items,_xlfn.xlookup($C10,daily_dates,big_daily_table))),NA(),_xlfn.xlookup(E$3,daily_items,_xlfn.xlookup($C10,daily_dates,big_daily_table)))</f>
        <v>#NAME?</v>
      </c>
    </row>
    <row r="11" customFormat="false" ht="14.25" hidden="false" customHeight="false" outlineLevel="0" collapsed="false">
      <c r="B11" s="7" t="n">
        <v>40916</v>
      </c>
      <c r="C11" s="7" t="n">
        <f aca="false">B11-WEEKDAY(B11)+1</f>
        <v>40916</v>
      </c>
      <c r="D11" s="1" t="e">
        <f aca="false" t="array" ref="D11:D11">IF(ISBLANK(_xlfn.xlookup(D$3,daily_items,_xlfn.xlookup($C11,daily_dates,big_daily_table))),NA(),_xlfn.xlookup(D$3,daily_items,_xlfn.xlookup($C11,daily_dates,big_daily_table)))</f>
        <v>#NAME?</v>
      </c>
      <c r="E11" s="1" t="e">
        <f aca="false" t="array" ref="E11:E11">IF(ISBLANK(_xlfn.xlookup(E$3,daily_items,_xlfn.xlookup($C11,daily_dates,big_daily_table))),NA(),_xlfn.xlookup(E$3,daily_items,_xlfn.xlookup($C11,daily_dates,big_daily_table)))</f>
        <v>#NAME?</v>
      </c>
    </row>
    <row r="12" customFormat="false" ht="14.25" hidden="false" customHeight="false" outlineLevel="0" collapsed="false">
      <c r="B12" s="7" t="n">
        <v>40917</v>
      </c>
      <c r="C12" s="7" t="n">
        <f aca="false">B12-WEEKDAY(B12)+1</f>
        <v>40916</v>
      </c>
      <c r="D12" s="1" t="e">
        <f aca="false" t="array" ref="D12:D12">IF(ISBLANK(_xlfn.xlookup(D$3,daily_items,_xlfn.xlookup($C12,daily_dates,big_daily_table))),NA(),_xlfn.xlookup(D$3,daily_items,_xlfn.xlookup($C12,daily_dates,big_daily_table)))</f>
        <v>#NAME?</v>
      </c>
      <c r="E12" s="1" t="e">
        <f aca="false" t="array" ref="E12:E12">IF(ISBLANK(_xlfn.xlookup(E$3,daily_items,_xlfn.xlookup($C12,daily_dates,big_daily_table))),NA(),_xlfn.xlookup(E$3,daily_items,_xlfn.xlookup($C12,daily_dates,big_daily_table)))</f>
        <v>#NAME?</v>
      </c>
    </row>
    <row r="13" customFormat="false" ht="14.25" hidden="false" customHeight="false" outlineLevel="0" collapsed="false">
      <c r="B13" s="7" t="n">
        <v>40918</v>
      </c>
      <c r="C13" s="7" t="n">
        <f aca="false">B13-WEEKDAY(B13)+1</f>
        <v>40916</v>
      </c>
      <c r="D13" s="1" t="e">
        <f aca="false" t="array" ref="D13:D13">IF(ISBLANK(_xlfn.xlookup(D$3,daily_items,_xlfn.xlookup($C13,daily_dates,big_daily_table))),NA(),_xlfn.xlookup(D$3,daily_items,_xlfn.xlookup($C13,daily_dates,big_daily_table)))</f>
        <v>#NAME?</v>
      </c>
      <c r="E13" s="1" t="e">
        <f aca="false" t="array" ref="E13:E13">IF(ISBLANK(_xlfn.xlookup(E$3,daily_items,_xlfn.xlookup($C13,daily_dates,big_daily_table))),NA(),_xlfn.xlookup(E$3,daily_items,_xlfn.xlookup($C13,daily_dates,big_daily_table)))</f>
        <v>#NAME?</v>
      </c>
      <c r="R13" s="1" t="s">
        <v>29</v>
      </c>
    </row>
    <row r="14" customFormat="false" ht="14.25" hidden="false" customHeight="false" outlineLevel="0" collapsed="false">
      <c r="B14" s="7" t="n">
        <v>40919</v>
      </c>
      <c r="C14" s="7" t="n">
        <f aca="false">B14-WEEKDAY(B14)+1</f>
        <v>40916</v>
      </c>
      <c r="D14" s="1" t="e">
        <f aca="false" t="array" ref="D14:D14">IF(ISBLANK(_xlfn.xlookup(D$3,daily_items,_xlfn.xlookup($C14,daily_dates,big_daily_table))),NA(),_xlfn.xlookup(D$3,daily_items,_xlfn.xlookup($C14,daily_dates,big_daily_table)))</f>
        <v>#NAME?</v>
      </c>
      <c r="E14" s="1" t="e">
        <f aca="false" t="array" ref="E14:E14">IF(ISBLANK(_xlfn.xlookup(E$3,daily_items,_xlfn.xlookup($C14,daily_dates,big_daily_table))),NA(),_xlfn.xlookup(E$3,daily_items,_xlfn.xlookup($C14,daily_dates,big_daily_table)))</f>
        <v>#NAME?</v>
      </c>
    </row>
    <row r="15" customFormat="false" ht="14.25" hidden="false" customHeight="false" outlineLevel="0" collapsed="false">
      <c r="B15" s="7" t="n">
        <v>40920</v>
      </c>
      <c r="C15" s="7" t="n">
        <f aca="false">B15-WEEKDAY(B15)+1</f>
        <v>40916</v>
      </c>
      <c r="D15" s="1" t="e">
        <f aca="false" t="array" ref="D15:D15">IF(ISBLANK(_xlfn.xlookup(D$3,daily_items,_xlfn.xlookup($C15,daily_dates,big_daily_table))),NA(),_xlfn.xlookup(D$3,daily_items,_xlfn.xlookup($C15,daily_dates,big_daily_table)))</f>
        <v>#NAME?</v>
      </c>
      <c r="E15" s="1" t="e">
        <f aca="false" t="array" ref="E15:E15">IF(ISBLANK(_xlfn.xlookup(E$3,daily_items,_xlfn.xlookup($C15,daily_dates,big_daily_table))),NA(),_xlfn.xlookup(E$3,daily_items,_xlfn.xlookup($C15,daily_dates,big_daily_table)))</f>
        <v>#NAME?</v>
      </c>
    </row>
    <row r="16" customFormat="false" ht="14.25" hidden="false" customHeight="false" outlineLevel="0" collapsed="false">
      <c r="B16" s="7" t="n">
        <v>40921</v>
      </c>
      <c r="C16" s="7" t="n">
        <f aca="false">B16-WEEKDAY(B16)+1</f>
        <v>40916</v>
      </c>
      <c r="D16" s="1" t="e">
        <f aca="false" t="array" ref="D16:D16">IF(ISBLANK(_xlfn.xlookup(D$3,daily_items,_xlfn.xlookup($C16,daily_dates,big_daily_table))),NA(),_xlfn.xlookup(D$3,daily_items,_xlfn.xlookup($C16,daily_dates,big_daily_table)))</f>
        <v>#NAME?</v>
      </c>
      <c r="E16" s="1" t="e">
        <f aca="false" t="array" ref="E16:E16">IF(ISBLANK(_xlfn.xlookup(E$3,daily_items,_xlfn.xlookup($C16,daily_dates,big_daily_table))),NA(),_xlfn.xlookup(E$3,daily_items,_xlfn.xlookup($C16,daily_dates,big_daily_table)))</f>
        <v>#NAME?</v>
      </c>
    </row>
    <row r="17" customFormat="false" ht="14.25" hidden="false" customHeight="false" outlineLevel="0" collapsed="false">
      <c r="B17" s="7" t="n">
        <v>40922</v>
      </c>
      <c r="C17" s="7" t="n">
        <f aca="false">B17-WEEKDAY(B17)+1</f>
        <v>40916</v>
      </c>
      <c r="D17" s="1" t="e">
        <f aca="false" t="array" ref="D17:D17">IF(ISBLANK(_xlfn.xlookup(D$3,daily_items,_xlfn.xlookup($C17,daily_dates,big_daily_table))),NA(),_xlfn.xlookup(D$3,daily_items,_xlfn.xlookup($C17,daily_dates,big_daily_table)))</f>
        <v>#NAME?</v>
      </c>
      <c r="E17" s="1" t="e">
        <f aca="false" t="array" ref="E17:E17">IF(ISBLANK(_xlfn.xlookup(E$3,daily_items,_xlfn.xlookup($C17,daily_dates,big_daily_table))),NA(),_xlfn.xlookup(E$3,daily_items,_xlfn.xlookup($C17,daily_dates,big_daily_table)))</f>
        <v>#NAME?</v>
      </c>
    </row>
    <row r="18" customFormat="false" ht="14.25" hidden="false" customHeight="false" outlineLevel="0" collapsed="false">
      <c r="B18" s="7" t="n">
        <v>40923</v>
      </c>
      <c r="C18" s="7" t="n">
        <f aca="false">B18-WEEKDAY(B18)+1</f>
        <v>40923</v>
      </c>
      <c r="D18" s="1" t="e">
        <f aca="false" t="array" ref="D18:D18">IF(ISBLANK(_xlfn.xlookup(D$3,daily_items,_xlfn.xlookup($C18,daily_dates,big_daily_table))),NA(),_xlfn.xlookup(D$3,daily_items,_xlfn.xlookup($C18,daily_dates,big_daily_table)))</f>
        <v>#NAME?</v>
      </c>
      <c r="E18" s="1" t="e">
        <f aca="false" t="array" ref="E18:E18">IF(ISBLANK(_xlfn.xlookup(E$3,daily_items,_xlfn.xlookup($C18,daily_dates,big_daily_table))),NA(),_xlfn.xlookup(E$3,daily_items,_xlfn.xlookup($C18,daily_dates,big_daily_table)))</f>
        <v>#NAME?</v>
      </c>
    </row>
    <row r="19" customFormat="false" ht="14.25" hidden="false" customHeight="false" outlineLevel="0" collapsed="false">
      <c r="B19" s="7" t="n">
        <v>40924</v>
      </c>
      <c r="C19" s="7" t="n">
        <f aca="false">B19-WEEKDAY(B19)+1</f>
        <v>40923</v>
      </c>
      <c r="D19" s="1" t="e">
        <f aca="false" t="array" ref="D19:D19">IF(ISBLANK(_xlfn.xlookup(D$3,daily_items,_xlfn.xlookup($C19,daily_dates,big_daily_table))),NA(),_xlfn.xlookup(D$3,daily_items,_xlfn.xlookup($C19,daily_dates,big_daily_table)))</f>
        <v>#NAME?</v>
      </c>
      <c r="E19" s="1" t="e">
        <f aca="false" t="array" ref="E19:E19">IF(ISBLANK(_xlfn.xlookup(E$3,daily_items,_xlfn.xlookup($C19,daily_dates,big_daily_table))),NA(),_xlfn.xlookup(E$3,daily_items,_xlfn.xlookup($C19,daily_dates,big_daily_table)))</f>
        <v>#NAME?</v>
      </c>
    </row>
    <row r="20" customFormat="false" ht="14.25" hidden="false" customHeight="false" outlineLevel="0" collapsed="false">
      <c r="B20" s="7" t="n">
        <v>40925</v>
      </c>
      <c r="C20" s="7" t="n">
        <f aca="false">B20-WEEKDAY(B20)+1</f>
        <v>40923</v>
      </c>
      <c r="D20" s="1" t="e">
        <f aca="false" t="array" ref="D20:D20">IF(ISBLANK(_xlfn.xlookup(D$3,daily_items,_xlfn.xlookup($C20,daily_dates,big_daily_table))),NA(),_xlfn.xlookup(D$3,daily_items,_xlfn.xlookup($C20,daily_dates,big_daily_table)))</f>
        <v>#NAME?</v>
      </c>
      <c r="E20" s="1" t="e">
        <f aca="false" t="array" ref="E20:E20">IF(ISBLANK(_xlfn.xlookup(E$3,daily_items,_xlfn.xlookup($C20,daily_dates,big_daily_table))),NA(),_xlfn.xlookup(E$3,daily_items,_xlfn.xlookup($C20,daily_dates,big_daily_table)))</f>
        <v>#NAME?</v>
      </c>
    </row>
    <row r="21" customFormat="false" ht="14.25" hidden="false" customHeight="false" outlineLevel="0" collapsed="false">
      <c r="B21" s="7" t="n">
        <v>40926</v>
      </c>
      <c r="C21" s="7" t="n">
        <f aca="false">B21-WEEKDAY(B21)+1</f>
        <v>40923</v>
      </c>
      <c r="D21" s="1" t="e">
        <f aca="false" t="array" ref="D21:D21">IF(ISBLANK(_xlfn.xlookup(D$3,daily_items,_xlfn.xlookup($C21,daily_dates,big_daily_table))),NA(),_xlfn.xlookup(D$3,daily_items,_xlfn.xlookup($C21,daily_dates,big_daily_table)))</f>
        <v>#NAME?</v>
      </c>
      <c r="E21" s="1" t="e">
        <f aca="false" t="array" ref="E21:E21">IF(ISBLANK(_xlfn.xlookup(E$3,daily_items,_xlfn.xlookup($C21,daily_dates,big_daily_table))),NA(),_xlfn.xlookup(E$3,daily_items,_xlfn.xlookup($C21,daily_dates,big_daily_table)))</f>
        <v>#NAME?</v>
      </c>
    </row>
    <row r="22" customFormat="false" ht="14.25" hidden="false" customHeight="false" outlineLevel="0" collapsed="false">
      <c r="B22" s="7" t="n">
        <v>40927</v>
      </c>
      <c r="C22" s="7" t="n">
        <f aca="false">B22-WEEKDAY(B22)+1</f>
        <v>40923</v>
      </c>
      <c r="D22" s="1" t="e">
        <f aca="false" t="array" ref="D22:D22">IF(ISBLANK(_xlfn.xlookup(D$3,daily_items,_xlfn.xlookup($C22,daily_dates,big_daily_table))),NA(),_xlfn.xlookup(D$3,daily_items,_xlfn.xlookup($C22,daily_dates,big_daily_table)))</f>
        <v>#NAME?</v>
      </c>
      <c r="E22" s="1" t="e">
        <f aca="false" t="array" ref="E22:E22">IF(ISBLANK(_xlfn.xlookup(E$3,daily_items,_xlfn.xlookup($C22,daily_dates,big_daily_table))),NA(),_xlfn.xlookup(E$3,daily_items,_xlfn.xlookup($C22,daily_dates,big_daily_table)))</f>
        <v>#NAME?</v>
      </c>
    </row>
    <row r="23" customFormat="false" ht="14.25" hidden="false" customHeight="false" outlineLevel="0" collapsed="false">
      <c r="B23" s="7" t="n">
        <v>40928</v>
      </c>
      <c r="C23" s="7" t="n">
        <f aca="false">B23-WEEKDAY(B23)+1</f>
        <v>40923</v>
      </c>
      <c r="D23" s="1" t="e">
        <f aca="false" t="array" ref="D23:D23">IF(ISBLANK(_xlfn.xlookup(D$3,daily_items,_xlfn.xlookup($C23,daily_dates,big_daily_table))),NA(),_xlfn.xlookup(D$3,daily_items,_xlfn.xlookup($C23,daily_dates,big_daily_table)))</f>
        <v>#NAME?</v>
      </c>
      <c r="E23" s="1" t="e">
        <f aca="false" t="array" ref="E23:E23">IF(ISBLANK(_xlfn.xlookup(E$3,daily_items,_xlfn.xlookup($C23,daily_dates,big_daily_table))),NA(),_xlfn.xlookup(E$3,daily_items,_xlfn.xlookup($C23,daily_dates,big_daily_table)))</f>
        <v>#NAME?</v>
      </c>
    </row>
    <row r="24" customFormat="false" ht="14.25" hidden="false" customHeight="false" outlineLevel="0" collapsed="false">
      <c r="B24" s="7" t="n">
        <v>40929</v>
      </c>
      <c r="C24" s="7" t="n">
        <f aca="false">B24-WEEKDAY(B24)+1</f>
        <v>40923</v>
      </c>
      <c r="D24" s="1" t="e">
        <f aca="false" t="array" ref="D24:D24">IF(ISBLANK(_xlfn.xlookup(D$3,daily_items,_xlfn.xlookup($C24,daily_dates,big_daily_table))),NA(),_xlfn.xlookup(D$3,daily_items,_xlfn.xlookup($C24,daily_dates,big_daily_table)))</f>
        <v>#NAME?</v>
      </c>
      <c r="E24" s="1" t="e">
        <f aca="false" t="array" ref="E24:E24">IF(ISBLANK(_xlfn.xlookup(E$3,daily_items,_xlfn.xlookup($C24,daily_dates,big_daily_table))),NA(),_xlfn.xlookup(E$3,daily_items,_xlfn.xlookup($C24,daily_dates,big_daily_table)))</f>
        <v>#NAME?</v>
      </c>
    </row>
    <row r="25" customFormat="false" ht="14.25" hidden="false" customHeight="false" outlineLevel="0" collapsed="false">
      <c r="B25" s="7" t="n">
        <v>40930</v>
      </c>
      <c r="C25" s="7" t="n">
        <f aca="false">B25-WEEKDAY(B25)+1</f>
        <v>40930</v>
      </c>
      <c r="D25" s="1" t="e">
        <f aca="false" t="array" ref="D25:D25">IF(ISBLANK(_xlfn.xlookup(D$3,daily_items,_xlfn.xlookup($C25,daily_dates,big_daily_table))),NA(),_xlfn.xlookup(D$3,daily_items,_xlfn.xlookup($C25,daily_dates,big_daily_table)))</f>
        <v>#NAME?</v>
      </c>
      <c r="E25" s="1" t="e">
        <f aca="false" t="array" ref="E25:E25">IF(ISBLANK(_xlfn.xlookup(E$3,daily_items,_xlfn.xlookup($C25,daily_dates,big_daily_table))),NA(),_xlfn.xlookup(E$3,daily_items,_xlfn.xlookup($C25,daily_dates,big_daily_table)))</f>
        <v>#NAME?</v>
      </c>
    </row>
    <row r="26" customFormat="false" ht="14.25" hidden="false" customHeight="false" outlineLevel="0" collapsed="false">
      <c r="B26" s="7" t="n">
        <v>40931</v>
      </c>
      <c r="C26" s="7" t="n">
        <f aca="false">B26-WEEKDAY(B26)+1</f>
        <v>40930</v>
      </c>
      <c r="D26" s="1" t="e">
        <f aca="false" t="array" ref="D26:D26">IF(ISBLANK(_xlfn.xlookup(D$3,daily_items,_xlfn.xlookup($C26,daily_dates,big_daily_table))),NA(),_xlfn.xlookup(D$3,daily_items,_xlfn.xlookup($C26,daily_dates,big_daily_table)))</f>
        <v>#NAME?</v>
      </c>
      <c r="E26" s="1" t="e">
        <f aca="false" t="array" ref="E26:E26">IF(ISBLANK(_xlfn.xlookup(E$3,daily_items,_xlfn.xlookup($C26,daily_dates,big_daily_table))),NA(),_xlfn.xlookup(E$3,daily_items,_xlfn.xlookup($C26,daily_dates,big_daily_table)))</f>
        <v>#NAME?</v>
      </c>
    </row>
    <row r="27" customFormat="false" ht="14.25" hidden="false" customHeight="false" outlineLevel="0" collapsed="false">
      <c r="B27" s="7" t="n">
        <v>40932</v>
      </c>
      <c r="C27" s="7" t="n">
        <f aca="false">B27-WEEKDAY(B27)+1</f>
        <v>40930</v>
      </c>
      <c r="D27" s="1" t="e">
        <f aca="false" t="array" ref="D27:D27">IF(ISBLANK(_xlfn.xlookup(D$3,daily_items,_xlfn.xlookup($C27,daily_dates,big_daily_table))),NA(),_xlfn.xlookup(D$3,daily_items,_xlfn.xlookup($C27,daily_dates,big_daily_table)))</f>
        <v>#NAME?</v>
      </c>
      <c r="E27" s="1" t="e">
        <f aca="false" t="array" ref="E27:E27">IF(ISBLANK(_xlfn.xlookup(E$3,daily_items,_xlfn.xlookup($C27,daily_dates,big_daily_table))),NA(),_xlfn.xlookup(E$3,daily_items,_xlfn.xlookup($C27,daily_dates,big_daily_table)))</f>
        <v>#NAME?</v>
      </c>
    </row>
    <row r="28" customFormat="false" ht="14.25" hidden="false" customHeight="false" outlineLevel="0" collapsed="false">
      <c r="B28" s="7" t="n">
        <v>40933</v>
      </c>
      <c r="C28" s="7" t="n">
        <f aca="false">B28-WEEKDAY(B28)+1</f>
        <v>40930</v>
      </c>
      <c r="D28" s="1" t="e">
        <f aca="false" t="array" ref="D28:D28">IF(ISBLANK(_xlfn.xlookup(D$3,daily_items,_xlfn.xlookup($C28,daily_dates,big_daily_table))),NA(),_xlfn.xlookup(D$3,daily_items,_xlfn.xlookup($C28,daily_dates,big_daily_table)))</f>
        <v>#NAME?</v>
      </c>
      <c r="E28" s="1" t="e">
        <f aca="false" t="array" ref="E28:E28">IF(ISBLANK(_xlfn.xlookup(E$3,daily_items,_xlfn.xlookup($C28,daily_dates,big_daily_table))),NA(),_xlfn.xlookup(E$3,daily_items,_xlfn.xlookup($C28,daily_dates,big_daily_table)))</f>
        <v>#NAME?</v>
      </c>
    </row>
    <row r="29" customFormat="false" ht="14.25" hidden="false" customHeight="false" outlineLevel="0" collapsed="false">
      <c r="B29" s="7" t="n">
        <v>40934</v>
      </c>
      <c r="C29" s="7" t="n">
        <f aca="false">B29-WEEKDAY(B29)+1</f>
        <v>40930</v>
      </c>
      <c r="D29" s="1" t="e">
        <f aca="false" t="array" ref="D29:D29">IF(ISBLANK(_xlfn.xlookup(D$3,daily_items,_xlfn.xlookup($C29,daily_dates,big_daily_table))),NA(),_xlfn.xlookup(D$3,daily_items,_xlfn.xlookup($C29,daily_dates,big_daily_table)))</f>
        <v>#NAME?</v>
      </c>
      <c r="E29" s="1" t="e">
        <f aca="false" t="array" ref="E29:E29">IF(ISBLANK(_xlfn.xlookup(E$3,daily_items,_xlfn.xlookup($C29,daily_dates,big_daily_table))),NA(),_xlfn.xlookup(E$3,daily_items,_xlfn.xlookup($C29,daily_dates,big_daily_table)))</f>
        <v>#NAME?</v>
      </c>
    </row>
    <row r="30" customFormat="false" ht="14.25" hidden="false" customHeight="false" outlineLevel="0" collapsed="false">
      <c r="B30" s="7" t="n">
        <v>40935</v>
      </c>
      <c r="C30" s="7" t="n">
        <f aca="false">B30-WEEKDAY(B30)+1</f>
        <v>40930</v>
      </c>
      <c r="D30" s="1" t="e">
        <f aca="false" t="array" ref="D30:D30">IF(ISBLANK(_xlfn.xlookup(D$3,daily_items,_xlfn.xlookup($C30,daily_dates,big_daily_table))),NA(),_xlfn.xlookup(D$3,daily_items,_xlfn.xlookup($C30,daily_dates,big_daily_table)))</f>
        <v>#NAME?</v>
      </c>
      <c r="E30" s="1" t="e">
        <f aca="false" t="array" ref="E30:E30">IF(ISBLANK(_xlfn.xlookup(E$3,daily_items,_xlfn.xlookup($C30,daily_dates,big_daily_table))),NA(),_xlfn.xlookup(E$3,daily_items,_xlfn.xlookup($C30,daily_dates,big_daily_table)))</f>
        <v>#NAME?</v>
      </c>
    </row>
    <row r="31" customFormat="false" ht="14.25" hidden="false" customHeight="false" outlineLevel="0" collapsed="false">
      <c r="B31" s="7" t="n">
        <v>40936</v>
      </c>
      <c r="C31" s="7" t="n">
        <f aca="false">B31-WEEKDAY(B31)+1</f>
        <v>40930</v>
      </c>
      <c r="D31" s="1" t="e">
        <f aca="false" t="array" ref="D31:D31">IF(ISBLANK(_xlfn.xlookup(D$3,daily_items,_xlfn.xlookup($C31,daily_dates,big_daily_table))),NA(),_xlfn.xlookup(D$3,daily_items,_xlfn.xlookup($C31,daily_dates,big_daily_table)))</f>
        <v>#NAME?</v>
      </c>
      <c r="E31" s="1" t="e">
        <f aca="false" t="array" ref="E31:E31">IF(ISBLANK(_xlfn.xlookup(E$3,daily_items,_xlfn.xlookup($C31,daily_dates,big_daily_table))),NA(),_xlfn.xlookup(E$3,daily_items,_xlfn.xlookup($C31,daily_dates,big_daily_table)))</f>
        <v>#NAME?</v>
      </c>
    </row>
    <row r="32" customFormat="false" ht="14.25" hidden="false" customHeight="false" outlineLevel="0" collapsed="false">
      <c r="B32" s="7" t="n">
        <v>40937</v>
      </c>
      <c r="C32" s="7" t="n">
        <f aca="false">B32-WEEKDAY(B32)+1</f>
        <v>40937</v>
      </c>
      <c r="D32" s="1" t="e">
        <f aca="false" t="array" ref="D32:D32">IF(ISBLANK(_xlfn.xlookup(D$3,daily_items,_xlfn.xlookup($C32,daily_dates,big_daily_table))),NA(),_xlfn.xlookup(D$3,daily_items,_xlfn.xlookup($C32,daily_dates,big_daily_table)))</f>
        <v>#NAME?</v>
      </c>
      <c r="E32" s="1" t="e">
        <f aca="false" t="array" ref="E32:E32">IF(ISBLANK(_xlfn.xlookup(E$3,daily_items,_xlfn.xlookup($C32,daily_dates,big_daily_table))),NA(),_xlfn.xlookup(E$3,daily_items,_xlfn.xlookup($C32,daily_dates,big_daily_table)))</f>
        <v>#NAME?</v>
      </c>
    </row>
    <row r="33" customFormat="false" ht="14.25" hidden="false" customHeight="false" outlineLevel="0" collapsed="false">
      <c r="B33" s="7" t="n">
        <v>40938</v>
      </c>
      <c r="C33" s="7" t="n">
        <f aca="false">B33-WEEKDAY(B33)+1</f>
        <v>40937</v>
      </c>
      <c r="D33" s="1" t="e">
        <f aca="false" t="array" ref="D33:D33">IF(ISBLANK(_xlfn.xlookup(D$3,daily_items,_xlfn.xlookup($C33,daily_dates,big_daily_table))),NA(),_xlfn.xlookup(D$3,daily_items,_xlfn.xlookup($C33,daily_dates,big_daily_table)))</f>
        <v>#NAME?</v>
      </c>
      <c r="E33" s="1" t="e">
        <f aca="false" t="array" ref="E33:E33">IF(ISBLANK(_xlfn.xlookup(E$3,daily_items,_xlfn.xlookup($C33,daily_dates,big_daily_table))),NA(),_xlfn.xlookup(E$3,daily_items,_xlfn.xlookup($C33,daily_dates,big_daily_table)))</f>
        <v>#NAME?</v>
      </c>
    </row>
    <row r="34" customFormat="false" ht="14.25" hidden="false" customHeight="false" outlineLevel="0" collapsed="false">
      <c r="B34" s="7" t="n">
        <v>40939</v>
      </c>
      <c r="C34" s="7" t="n">
        <f aca="false">B34-WEEKDAY(B34)+1</f>
        <v>40937</v>
      </c>
      <c r="D34" s="1" t="e">
        <f aca="false" t="array" ref="D34:D34">IF(ISBLANK(_xlfn.xlookup(D$3,daily_items,_xlfn.xlookup($C34,daily_dates,big_daily_table))),NA(),_xlfn.xlookup(D$3,daily_items,_xlfn.xlookup($C34,daily_dates,big_daily_table)))</f>
        <v>#NAME?</v>
      </c>
      <c r="E34" s="1" t="e">
        <f aca="false" t="array" ref="E34:E34">IF(ISBLANK(_xlfn.xlookup(E$3,daily_items,_xlfn.xlookup($C34,daily_dates,big_daily_table))),NA(),_xlfn.xlookup(E$3,daily_items,_xlfn.xlookup($C34,daily_dates,big_daily_table)))</f>
        <v>#NAME?</v>
      </c>
    </row>
    <row r="35" customFormat="false" ht="14.25" hidden="false" customHeight="false" outlineLevel="0" collapsed="false">
      <c r="B35" s="7" t="n">
        <v>40940</v>
      </c>
      <c r="C35" s="7" t="n">
        <f aca="false">B35-WEEKDAY(B35)+1</f>
        <v>40937</v>
      </c>
      <c r="D35" s="1" t="e">
        <f aca="false" t="array" ref="D35:D35">IF(ISBLANK(_xlfn.xlookup(D$3,daily_items,_xlfn.xlookup($C35,daily_dates,big_daily_table))),NA(),_xlfn.xlookup(D$3,daily_items,_xlfn.xlookup($C35,daily_dates,big_daily_table)))</f>
        <v>#NAME?</v>
      </c>
      <c r="E35" s="1" t="e">
        <f aca="false" t="array" ref="E35:E35">IF(ISBLANK(_xlfn.xlookup(E$3,daily_items,_xlfn.xlookup($C35,daily_dates,big_daily_table))),NA(),_xlfn.xlookup(E$3,daily_items,_xlfn.xlookup($C35,daily_dates,big_daily_table)))</f>
        <v>#NAME?</v>
      </c>
    </row>
    <row r="36" customFormat="false" ht="14.25" hidden="false" customHeight="false" outlineLevel="0" collapsed="false">
      <c r="B36" s="7" t="n">
        <v>40941</v>
      </c>
      <c r="C36" s="7" t="n">
        <f aca="false">B36-WEEKDAY(B36)+1</f>
        <v>40937</v>
      </c>
      <c r="D36" s="1" t="e">
        <f aca="false" t="array" ref="D36:D36">IF(ISBLANK(_xlfn.xlookup(D$3,daily_items,_xlfn.xlookup($C36,daily_dates,big_daily_table))),NA(),_xlfn.xlookup(D$3,daily_items,_xlfn.xlookup($C36,daily_dates,big_daily_table)))</f>
        <v>#NAME?</v>
      </c>
      <c r="E36" s="1" t="e">
        <f aca="false" t="array" ref="E36:E36">IF(ISBLANK(_xlfn.xlookup(E$3,daily_items,_xlfn.xlookup($C36,daily_dates,big_daily_table))),NA(),_xlfn.xlookup(E$3,daily_items,_xlfn.xlookup($C36,daily_dates,big_daily_table)))</f>
        <v>#NAME?</v>
      </c>
    </row>
    <row r="37" customFormat="false" ht="14.25" hidden="false" customHeight="false" outlineLevel="0" collapsed="false">
      <c r="B37" s="7" t="n">
        <v>40942</v>
      </c>
      <c r="C37" s="7" t="n">
        <f aca="false">B37-WEEKDAY(B37)+1</f>
        <v>40937</v>
      </c>
      <c r="D37" s="1" t="e">
        <f aca="false" t="array" ref="D37:D37">IF(ISBLANK(_xlfn.xlookup(D$3,daily_items,_xlfn.xlookup($C37,daily_dates,big_daily_table))),NA(),_xlfn.xlookup(D$3,daily_items,_xlfn.xlookup($C37,daily_dates,big_daily_table)))</f>
        <v>#NAME?</v>
      </c>
      <c r="E37" s="1" t="e">
        <f aca="false" t="array" ref="E37:E37">IF(ISBLANK(_xlfn.xlookup(E$3,daily_items,_xlfn.xlookup($C37,daily_dates,big_daily_table))),NA(),_xlfn.xlookup(E$3,daily_items,_xlfn.xlookup($C37,daily_dates,big_daily_table)))</f>
        <v>#NAME?</v>
      </c>
    </row>
    <row r="38" customFormat="false" ht="14.25" hidden="false" customHeight="false" outlineLevel="0" collapsed="false">
      <c r="B38" s="7" t="n">
        <v>40943</v>
      </c>
      <c r="C38" s="7" t="n">
        <f aca="false">B38-WEEKDAY(B38)+1</f>
        <v>40937</v>
      </c>
      <c r="D38" s="1" t="e">
        <f aca="false" t="array" ref="D38:D38">IF(ISBLANK(_xlfn.xlookup(D$3,daily_items,_xlfn.xlookup($C38,daily_dates,big_daily_table))),NA(),_xlfn.xlookup(D$3,daily_items,_xlfn.xlookup($C38,daily_dates,big_daily_table)))</f>
        <v>#NAME?</v>
      </c>
      <c r="E38" s="1" t="e">
        <f aca="false" t="array" ref="E38:E38">IF(ISBLANK(_xlfn.xlookup(E$3,daily_items,_xlfn.xlookup($C38,daily_dates,big_daily_table))),NA(),_xlfn.xlookup(E$3,daily_items,_xlfn.xlookup($C38,daily_dates,big_daily_table)))</f>
        <v>#NAME?</v>
      </c>
    </row>
    <row r="39" customFormat="false" ht="14.25" hidden="false" customHeight="false" outlineLevel="0" collapsed="false">
      <c r="B39" s="7" t="n">
        <v>40944</v>
      </c>
      <c r="C39" s="7" t="n">
        <f aca="false">B39-WEEKDAY(B39)+1</f>
        <v>40944</v>
      </c>
      <c r="D39" s="1" t="e">
        <f aca="false" t="array" ref="D39:D39">IF(ISBLANK(_xlfn.xlookup(D$3,daily_items,_xlfn.xlookup($C39,daily_dates,big_daily_table))),NA(),_xlfn.xlookup(D$3,daily_items,_xlfn.xlookup($C39,daily_dates,big_daily_table)))</f>
        <v>#NAME?</v>
      </c>
      <c r="E39" s="1" t="e">
        <f aca="false" t="array" ref="E39:E39">IF(ISBLANK(_xlfn.xlookup(E$3,daily_items,_xlfn.xlookup($C39,daily_dates,big_daily_table))),NA(),_xlfn.xlookup(E$3,daily_items,_xlfn.xlookup($C39,daily_dates,big_daily_table)))</f>
        <v>#NAME?</v>
      </c>
    </row>
    <row r="40" customFormat="false" ht="14.25" hidden="false" customHeight="false" outlineLevel="0" collapsed="false">
      <c r="B40" s="7" t="n">
        <v>40945</v>
      </c>
      <c r="C40" s="7" t="n">
        <f aca="false">B40-WEEKDAY(B40)+1</f>
        <v>40944</v>
      </c>
      <c r="D40" s="1" t="e">
        <f aca="false" t="array" ref="D40:D40">IF(ISBLANK(_xlfn.xlookup(D$3,daily_items,_xlfn.xlookup($C40,daily_dates,big_daily_table))),NA(),_xlfn.xlookup(D$3,daily_items,_xlfn.xlookup($C40,daily_dates,big_daily_table)))</f>
        <v>#NAME?</v>
      </c>
      <c r="E40" s="1" t="e">
        <f aca="false" t="array" ref="E40:E40">IF(ISBLANK(_xlfn.xlookup(E$3,daily_items,_xlfn.xlookup($C40,daily_dates,big_daily_table))),NA(),_xlfn.xlookup(E$3,daily_items,_xlfn.xlookup($C40,daily_dates,big_daily_table)))</f>
        <v>#NAME?</v>
      </c>
    </row>
    <row r="41" customFormat="false" ht="14.25" hidden="false" customHeight="false" outlineLevel="0" collapsed="false">
      <c r="B41" s="7" t="n">
        <v>40946</v>
      </c>
      <c r="C41" s="7" t="n">
        <f aca="false">B41-WEEKDAY(B41)+1</f>
        <v>40944</v>
      </c>
      <c r="D41" s="1" t="e">
        <f aca="false" t="array" ref="D41:D41">IF(ISBLANK(_xlfn.xlookup(D$3,daily_items,_xlfn.xlookup($C41,daily_dates,big_daily_table))),NA(),_xlfn.xlookup(D$3,daily_items,_xlfn.xlookup($C41,daily_dates,big_daily_table)))</f>
        <v>#NAME?</v>
      </c>
      <c r="E41" s="1" t="e">
        <f aca="false" t="array" ref="E41:E41">IF(ISBLANK(_xlfn.xlookup(E$3,daily_items,_xlfn.xlookup($C41,daily_dates,big_daily_table))),NA(),_xlfn.xlookup(E$3,daily_items,_xlfn.xlookup($C41,daily_dates,big_daily_table)))</f>
        <v>#NAME?</v>
      </c>
    </row>
    <row r="42" customFormat="false" ht="14.25" hidden="false" customHeight="false" outlineLevel="0" collapsed="false">
      <c r="B42" s="7" t="n">
        <v>40947</v>
      </c>
      <c r="C42" s="7" t="n">
        <f aca="false">B42-WEEKDAY(B42)+1</f>
        <v>40944</v>
      </c>
      <c r="D42" s="1" t="e">
        <f aca="false" t="array" ref="D42:D42">IF(ISBLANK(_xlfn.xlookup(D$3,daily_items,_xlfn.xlookup($C42,daily_dates,big_daily_table))),NA(),_xlfn.xlookup(D$3,daily_items,_xlfn.xlookup($C42,daily_dates,big_daily_table)))</f>
        <v>#NAME?</v>
      </c>
      <c r="E42" s="1" t="e">
        <f aca="false" t="array" ref="E42:E42">IF(ISBLANK(_xlfn.xlookup(E$3,daily_items,_xlfn.xlookup($C42,daily_dates,big_daily_table))),NA(),_xlfn.xlookup(E$3,daily_items,_xlfn.xlookup($C42,daily_dates,big_daily_table)))</f>
        <v>#NAME?</v>
      </c>
    </row>
    <row r="43" customFormat="false" ht="14.25" hidden="false" customHeight="false" outlineLevel="0" collapsed="false">
      <c r="B43" s="7" t="n">
        <v>40948</v>
      </c>
      <c r="C43" s="7" t="n">
        <f aca="false">B43-WEEKDAY(B43)+1</f>
        <v>40944</v>
      </c>
      <c r="D43" s="1" t="e">
        <f aca="false" t="array" ref="D43:D43">IF(ISBLANK(_xlfn.xlookup(D$3,daily_items,_xlfn.xlookup($C43,daily_dates,big_daily_table))),NA(),_xlfn.xlookup(D$3,daily_items,_xlfn.xlookup($C43,daily_dates,big_daily_table)))</f>
        <v>#NAME?</v>
      </c>
      <c r="E43" s="1" t="e">
        <f aca="false" t="array" ref="E43:E43">IF(ISBLANK(_xlfn.xlookup(E$3,daily_items,_xlfn.xlookup($C43,daily_dates,big_daily_table))),NA(),_xlfn.xlookup(E$3,daily_items,_xlfn.xlookup($C43,daily_dates,big_daily_table)))</f>
        <v>#NAME?</v>
      </c>
    </row>
    <row r="44" customFormat="false" ht="14.25" hidden="false" customHeight="false" outlineLevel="0" collapsed="false">
      <c r="B44" s="7" t="n">
        <v>40949</v>
      </c>
      <c r="C44" s="7" t="n">
        <f aca="false">B44-WEEKDAY(B44)+1</f>
        <v>40944</v>
      </c>
      <c r="D44" s="1" t="e">
        <f aca="false" t="array" ref="D44:D44">IF(ISBLANK(_xlfn.xlookup(D$3,daily_items,_xlfn.xlookup($C44,daily_dates,big_daily_table))),NA(),_xlfn.xlookup(D$3,daily_items,_xlfn.xlookup($C44,daily_dates,big_daily_table)))</f>
        <v>#NAME?</v>
      </c>
      <c r="E44" s="1" t="e">
        <f aca="false" t="array" ref="E44:E44">IF(ISBLANK(_xlfn.xlookup(E$3,daily_items,_xlfn.xlookup($C44,daily_dates,big_daily_table))),NA(),_xlfn.xlookup(E$3,daily_items,_xlfn.xlookup($C44,daily_dates,big_daily_table)))</f>
        <v>#NAME?</v>
      </c>
    </row>
    <row r="45" customFormat="false" ht="14.25" hidden="false" customHeight="false" outlineLevel="0" collapsed="false">
      <c r="B45" s="7" t="n">
        <v>40950</v>
      </c>
      <c r="C45" s="7" t="n">
        <f aca="false">B45-WEEKDAY(B45)+1</f>
        <v>40944</v>
      </c>
      <c r="D45" s="1" t="e">
        <f aca="false" t="array" ref="D45:D45">IF(ISBLANK(_xlfn.xlookup(D$3,daily_items,_xlfn.xlookup($C45,daily_dates,big_daily_table))),NA(),_xlfn.xlookup(D$3,daily_items,_xlfn.xlookup($C45,daily_dates,big_daily_table)))</f>
        <v>#NAME?</v>
      </c>
      <c r="E45" s="1" t="e">
        <f aca="false" t="array" ref="E45:E45">IF(ISBLANK(_xlfn.xlookup(E$3,daily_items,_xlfn.xlookup($C45,daily_dates,big_daily_table))),NA(),_xlfn.xlookup(E$3,daily_items,_xlfn.xlookup($C45,daily_dates,big_daily_table)))</f>
        <v>#NAME?</v>
      </c>
    </row>
    <row r="46" customFormat="false" ht="14.25" hidden="false" customHeight="false" outlineLevel="0" collapsed="false">
      <c r="B46" s="7" t="n">
        <v>40951</v>
      </c>
      <c r="C46" s="7" t="n">
        <f aca="false">B46-WEEKDAY(B46)+1</f>
        <v>40951</v>
      </c>
      <c r="D46" s="1" t="e">
        <f aca="false" t="array" ref="D46:D46">IF(ISBLANK(_xlfn.xlookup(D$3,daily_items,_xlfn.xlookup($C46,daily_dates,big_daily_table))),NA(),_xlfn.xlookup(D$3,daily_items,_xlfn.xlookup($C46,daily_dates,big_daily_table)))</f>
        <v>#NAME?</v>
      </c>
      <c r="E46" s="1" t="e">
        <f aca="false" t="array" ref="E46:E46">IF(ISBLANK(_xlfn.xlookup(E$3,daily_items,_xlfn.xlookup($C46,daily_dates,big_daily_table))),NA(),_xlfn.xlookup(E$3,daily_items,_xlfn.xlookup($C46,daily_dates,big_daily_table)))</f>
        <v>#NAME?</v>
      </c>
    </row>
    <row r="47" customFormat="false" ht="14.25" hidden="false" customHeight="false" outlineLevel="0" collapsed="false">
      <c r="B47" s="7" t="n">
        <v>40952</v>
      </c>
      <c r="C47" s="7" t="n">
        <f aca="false">B47-WEEKDAY(B47)+1</f>
        <v>40951</v>
      </c>
      <c r="D47" s="1" t="e">
        <f aca="false" t="array" ref="D47:D47">IF(ISBLANK(_xlfn.xlookup(D$3,daily_items,_xlfn.xlookup($C47,daily_dates,big_daily_table))),NA(),_xlfn.xlookup(D$3,daily_items,_xlfn.xlookup($C47,daily_dates,big_daily_table)))</f>
        <v>#NAME?</v>
      </c>
      <c r="E47" s="1" t="e">
        <f aca="false" t="array" ref="E47:E47">IF(ISBLANK(_xlfn.xlookup(E$3,daily_items,_xlfn.xlookup($C47,daily_dates,big_daily_table))),NA(),_xlfn.xlookup(E$3,daily_items,_xlfn.xlookup($C47,daily_dates,big_daily_table)))</f>
        <v>#NAME?</v>
      </c>
    </row>
    <row r="48" customFormat="false" ht="14.25" hidden="false" customHeight="false" outlineLevel="0" collapsed="false">
      <c r="B48" s="7" t="n">
        <v>40953</v>
      </c>
      <c r="C48" s="7" t="n">
        <f aca="false">B48-WEEKDAY(B48)+1</f>
        <v>40951</v>
      </c>
      <c r="D48" s="1" t="e">
        <f aca="false" t="array" ref="D48:D48">IF(ISBLANK(_xlfn.xlookup(D$3,daily_items,_xlfn.xlookup($C48,daily_dates,big_daily_table))),NA(),_xlfn.xlookup(D$3,daily_items,_xlfn.xlookup($C48,daily_dates,big_daily_table)))</f>
        <v>#NAME?</v>
      </c>
      <c r="E48" s="1" t="e">
        <f aca="false" t="array" ref="E48:E48">IF(ISBLANK(_xlfn.xlookup(E$3,daily_items,_xlfn.xlookup($C48,daily_dates,big_daily_table))),NA(),_xlfn.xlookup(E$3,daily_items,_xlfn.xlookup($C48,daily_dates,big_daily_table)))</f>
        <v>#NAME?</v>
      </c>
    </row>
    <row r="49" customFormat="false" ht="14.25" hidden="false" customHeight="false" outlineLevel="0" collapsed="false">
      <c r="B49" s="7" t="n">
        <v>40954</v>
      </c>
      <c r="C49" s="7" t="n">
        <f aca="false">B49-WEEKDAY(B49)+1</f>
        <v>40951</v>
      </c>
      <c r="D49" s="1" t="e">
        <f aca="false" t="array" ref="D49:D49">IF(ISBLANK(_xlfn.xlookup(D$3,daily_items,_xlfn.xlookup($C49,daily_dates,big_daily_table))),NA(),_xlfn.xlookup(D$3,daily_items,_xlfn.xlookup($C49,daily_dates,big_daily_table)))</f>
        <v>#NAME?</v>
      </c>
      <c r="E49" s="1" t="e">
        <f aca="false" t="array" ref="E49:E49">IF(ISBLANK(_xlfn.xlookup(E$3,daily_items,_xlfn.xlookup($C49,daily_dates,big_daily_table))),NA(),_xlfn.xlookup(E$3,daily_items,_xlfn.xlookup($C49,daily_dates,big_daily_table)))</f>
        <v>#NAME?</v>
      </c>
    </row>
    <row r="50" customFormat="false" ht="14.25" hidden="false" customHeight="false" outlineLevel="0" collapsed="false">
      <c r="B50" s="7" t="n">
        <v>40955</v>
      </c>
      <c r="C50" s="7" t="n">
        <f aca="false">B50-WEEKDAY(B50)+1</f>
        <v>40951</v>
      </c>
      <c r="D50" s="1" t="e">
        <f aca="false" t="array" ref="D50:D50">IF(ISBLANK(_xlfn.xlookup(D$3,daily_items,_xlfn.xlookup($C50,daily_dates,big_daily_table))),NA(),_xlfn.xlookup(D$3,daily_items,_xlfn.xlookup($C50,daily_dates,big_daily_table)))</f>
        <v>#NAME?</v>
      </c>
      <c r="E50" s="1" t="e">
        <f aca="false" t="array" ref="E50:E50">IF(ISBLANK(_xlfn.xlookup(E$3,daily_items,_xlfn.xlookup($C50,daily_dates,big_daily_table))),NA(),_xlfn.xlookup(E$3,daily_items,_xlfn.xlookup($C50,daily_dates,big_daily_table)))</f>
        <v>#NAME?</v>
      </c>
    </row>
    <row r="51" customFormat="false" ht="14.25" hidden="false" customHeight="false" outlineLevel="0" collapsed="false">
      <c r="B51" s="7" t="n">
        <v>40956</v>
      </c>
      <c r="C51" s="7" t="n">
        <f aca="false">B51-WEEKDAY(B51)+1</f>
        <v>40951</v>
      </c>
      <c r="D51" s="1" t="e">
        <f aca="false" t="array" ref="D51:D51">IF(ISBLANK(_xlfn.xlookup(D$3,daily_items,_xlfn.xlookup($C51,daily_dates,big_daily_table))),NA(),_xlfn.xlookup(D$3,daily_items,_xlfn.xlookup($C51,daily_dates,big_daily_table)))</f>
        <v>#NAME?</v>
      </c>
      <c r="E51" s="1" t="e">
        <f aca="false" t="array" ref="E51:E51">IF(ISBLANK(_xlfn.xlookup(E$3,daily_items,_xlfn.xlookup($C51,daily_dates,big_daily_table))),NA(),_xlfn.xlookup(E$3,daily_items,_xlfn.xlookup($C51,daily_dates,big_daily_table)))</f>
        <v>#NAME?</v>
      </c>
    </row>
    <row r="52" customFormat="false" ht="14.25" hidden="false" customHeight="false" outlineLevel="0" collapsed="false">
      <c r="B52" s="7" t="n">
        <v>40957</v>
      </c>
      <c r="C52" s="7" t="n">
        <f aca="false">B52-WEEKDAY(B52)+1</f>
        <v>40951</v>
      </c>
      <c r="D52" s="1" t="e">
        <f aca="false" t="array" ref="D52:D52">IF(ISBLANK(_xlfn.xlookup(D$3,daily_items,_xlfn.xlookup($C52,daily_dates,big_daily_table))),NA(),_xlfn.xlookup(D$3,daily_items,_xlfn.xlookup($C52,daily_dates,big_daily_table)))</f>
        <v>#NAME?</v>
      </c>
      <c r="E52" s="1" t="e">
        <f aca="false" t="array" ref="E52:E52">IF(ISBLANK(_xlfn.xlookup(E$3,daily_items,_xlfn.xlookup($C52,daily_dates,big_daily_table))),NA(),_xlfn.xlookup(E$3,daily_items,_xlfn.xlookup($C52,daily_dates,big_daily_table)))</f>
        <v>#NAME?</v>
      </c>
    </row>
    <row r="53" customFormat="false" ht="14.25" hidden="false" customHeight="false" outlineLevel="0" collapsed="false">
      <c r="B53" s="7" t="n">
        <v>40958</v>
      </c>
      <c r="C53" s="7" t="n">
        <f aca="false">B53-WEEKDAY(B53)+1</f>
        <v>40958</v>
      </c>
      <c r="D53" s="1" t="e">
        <f aca="false" t="array" ref="D53:D53">IF(ISBLANK(_xlfn.xlookup(D$3,daily_items,_xlfn.xlookup($C53,daily_dates,big_daily_table))),NA(),_xlfn.xlookup(D$3,daily_items,_xlfn.xlookup($C53,daily_dates,big_daily_table)))</f>
        <v>#NAME?</v>
      </c>
      <c r="E53" s="1" t="e">
        <f aca="false" t="array" ref="E53:E53">IF(ISBLANK(_xlfn.xlookup(E$3,daily_items,_xlfn.xlookup($C53,daily_dates,big_daily_table))),NA(),_xlfn.xlookup(E$3,daily_items,_xlfn.xlookup($C53,daily_dates,big_daily_table)))</f>
        <v>#NAME?</v>
      </c>
    </row>
    <row r="54" customFormat="false" ht="14.25" hidden="false" customHeight="false" outlineLevel="0" collapsed="false">
      <c r="B54" s="7" t="n">
        <v>40959</v>
      </c>
      <c r="C54" s="7" t="n">
        <f aca="false">B54-WEEKDAY(B54)+1</f>
        <v>40958</v>
      </c>
      <c r="D54" s="1" t="e">
        <f aca="false" t="array" ref="D54:D54">IF(ISBLANK(_xlfn.xlookup(D$3,daily_items,_xlfn.xlookup($C54,daily_dates,big_daily_table))),NA(),_xlfn.xlookup(D$3,daily_items,_xlfn.xlookup($C54,daily_dates,big_daily_table)))</f>
        <v>#NAME?</v>
      </c>
      <c r="E54" s="1" t="e">
        <f aca="false" t="array" ref="E54:E54">IF(ISBLANK(_xlfn.xlookup(E$3,daily_items,_xlfn.xlookup($C54,daily_dates,big_daily_table))),NA(),_xlfn.xlookup(E$3,daily_items,_xlfn.xlookup($C54,daily_dates,big_daily_table)))</f>
        <v>#NAME?</v>
      </c>
    </row>
    <row r="55" customFormat="false" ht="14.25" hidden="false" customHeight="false" outlineLevel="0" collapsed="false">
      <c r="B55" s="7" t="n">
        <v>40960</v>
      </c>
      <c r="C55" s="7" t="n">
        <f aca="false">B55-WEEKDAY(B55)+1</f>
        <v>40958</v>
      </c>
      <c r="D55" s="1" t="e">
        <f aca="false" t="array" ref="D55:D55">IF(ISBLANK(_xlfn.xlookup(D$3,daily_items,_xlfn.xlookup($C55,daily_dates,big_daily_table))),NA(),_xlfn.xlookup(D$3,daily_items,_xlfn.xlookup($C55,daily_dates,big_daily_table)))</f>
        <v>#NAME?</v>
      </c>
      <c r="E55" s="1" t="e">
        <f aca="false" t="array" ref="E55:E55">IF(ISBLANK(_xlfn.xlookup(E$3,daily_items,_xlfn.xlookup($C55,daily_dates,big_daily_table))),NA(),_xlfn.xlookup(E$3,daily_items,_xlfn.xlookup($C55,daily_dates,big_daily_table)))</f>
        <v>#NAME?</v>
      </c>
    </row>
    <row r="56" customFormat="false" ht="14.25" hidden="false" customHeight="false" outlineLevel="0" collapsed="false">
      <c r="B56" s="7" t="n">
        <v>40961</v>
      </c>
      <c r="C56" s="7" t="n">
        <f aca="false">B56-WEEKDAY(B56)+1</f>
        <v>40958</v>
      </c>
      <c r="D56" s="1" t="e">
        <f aca="false" t="array" ref="D56:D56">IF(ISBLANK(_xlfn.xlookup(D$3,daily_items,_xlfn.xlookup($C56,daily_dates,big_daily_table))),NA(),_xlfn.xlookup(D$3,daily_items,_xlfn.xlookup($C56,daily_dates,big_daily_table)))</f>
        <v>#NAME?</v>
      </c>
      <c r="E56" s="1" t="e">
        <f aca="false" t="array" ref="E56:E56">IF(ISBLANK(_xlfn.xlookup(E$3,daily_items,_xlfn.xlookup($C56,daily_dates,big_daily_table))),NA(),_xlfn.xlookup(E$3,daily_items,_xlfn.xlookup($C56,daily_dates,big_daily_table)))</f>
        <v>#NAME?</v>
      </c>
    </row>
    <row r="57" customFormat="false" ht="14.25" hidden="false" customHeight="false" outlineLevel="0" collapsed="false">
      <c r="B57" s="7" t="n">
        <v>40962</v>
      </c>
      <c r="C57" s="7" t="n">
        <f aca="false">B57-WEEKDAY(B57)+1</f>
        <v>40958</v>
      </c>
      <c r="D57" s="1" t="e">
        <f aca="false" t="array" ref="D57:D57">IF(ISBLANK(_xlfn.xlookup(D$3,daily_items,_xlfn.xlookup($C57,daily_dates,big_daily_table))),NA(),_xlfn.xlookup(D$3,daily_items,_xlfn.xlookup($C57,daily_dates,big_daily_table)))</f>
        <v>#NAME?</v>
      </c>
      <c r="E57" s="1" t="e">
        <f aca="false" t="array" ref="E57:E57">IF(ISBLANK(_xlfn.xlookup(E$3,daily_items,_xlfn.xlookup($C57,daily_dates,big_daily_table))),NA(),_xlfn.xlookup(E$3,daily_items,_xlfn.xlookup($C57,daily_dates,big_daily_table)))</f>
        <v>#NAME?</v>
      </c>
    </row>
    <row r="58" customFormat="false" ht="14.25" hidden="false" customHeight="false" outlineLevel="0" collapsed="false">
      <c r="B58" s="7" t="n">
        <v>40963</v>
      </c>
      <c r="C58" s="7" t="n">
        <f aca="false">B58-WEEKDAY(B58)+1</f>
        <v>40958</v>
      </c>
      <c r="D58" s="1" t="e">
        <f aca="false" t="array" ref="D58:D58">IF(ISBLANK(_xlfn.xlookup(D$3,daily_items,_xlfn.xlookup($C58,daily_dates,big_daily_table))),NA(),_xlfn.xlookup(D$3,daily_items,_xlfn.xlookup($C58,daily_dates,big_daily_table)))</f>
        <v>#NAME?</v>
      </c>
      <c r="E58" s="1" t="e">
        <f aca="false" t="array" ref="E58:E58">IF(ISBLANK(_xlfn.xlookup(E$3,daily_items,_xlfn.xlookup($C58,daily_dates,big_daily_table))),NA(),_xlfn.xlookup(E$3,daily_items,_xlfn.xlookup($C58,daily_dates,big_daily_table)))</f>
        <v>#NAME?</v>
      </c>
    </row>
    <row r="59" customFormat="false" ht="14.25" hidden="false" customHeight="false" outlineLevel="0" collapsed="false">
      <c r="B59" s="7" t="n">
        <v>40964</v>
      </c>
      <c r="C59" s="7" t="n">
        <f aca="false">B59-WEEKDAY(B59)+1</f>
        <v>40958</v>
      </c>
      <c r="D59" s="1" t="e">
        <f aca="false" t="array" ref="D59:D59">IF(ISBLANK(_xlfn.xlookup(D$3,daily_items,_xlfn.xlookup($C59,daily_dates,big_daily_table))),NA(),_xlfn.xlookup(D$3,daily_items,_xlfn.xlookup($C59,daily_dates,big_daily_table)))</f>
        <v>#NAME?</v>
      </c>
      <c r="E59" s="1" t="e">
        <f aca="false" t="array" ref="E59:E59">IF(ISBLANK(_xlfn.xlookup(E$3,daily_items,_xlfn.xlookup($C59,daily_dates,big_daily_table))),NA(),_xlfn.xlookup(E$3,daily_items,_xlfn.xlookup($C59,daily_dates,big_daily_table)))</f>
        <v>#NAME?</v>
      </c>
    </row>
    <row r="60" customFormat="false" ht="14.25" hidden="false" customHeight="false" outlineLevel="0" collapsed="false">
      <c r="B60" s="7" t="n">
        <v>40965</v>
      </c>
      <c r="C60" s="7" t="n">
        <f aca="false">B60-WEEKDAY(B60)+1</f>
        <v>40965</v>
      </c>
      <c r="D60" s="1" t="e">
        <f aca="false" t="array" ref="D60:D60">IF(ISBLANK(_xlfn.xlookup(D$3,daily_items,_xlfn.xlookup($C60,daily_dates,big_daily_table))),NA(),_xlfn.xlookup(D$3,daily_items,_xlfn.xlookup($C60,daily_dates,big_daily_table)))</f>
        <v>#NAME?</v>
      </c>
      <c r="E60" s="1" t="e">
        <f aca="false" t="array" ref="E60:E60">IF(ISBLANK(_xlfn.xlookup(E$3,daily_items,_xlfn.xlookup($C60,daily_dates,big_daily_table))),NA(),_xlfn.xlookup(E$3,daily_items,_xlfn.xlookup($C60,daily_dates,big_daily_table)))</f>
        <v>#NAME?</v>
      </c>
    </row>
    <row r="61" customFormat="false" ht="14.25" hidden="false" customHeight="false" outlineLevel="0" collapsed="false">
      <c r="B61" s="7" t="n">
        <v>40966</v>
      </c>
      <c r="C61" s="7" t="n">
        <f aca="false">B61-WEEKDAY(B61)+1</f>
        <v>40965</v>
      </c>
      <c r="D61" s="1" t="e">
        <f aca="false" t="array" ref="D61:D61">IF(ISBLANK(_xlfn.xlookup(D$3,daily_items,_xlfn.xlookup($C61,daily_dates,big_daily_table))),NA(),_xlfn.xlookup(D$3,daily_items,_xlfn.xlookup($C61,daily_dates,big_daily_table)))</f>
        <v>#NAME?</v>
      </c>
      <c r="E61" s="1" t="e">
        <f aca="false" t="array" ref="E61:E61">IF(ISBLANK(_xlfn.xlookup(E$3,daily_items,_xlfn.xlookup($C61,daily_dates,big_daily_table))),NA(),_xlfn.xlookup(E$3,daily_items,_xlfn.xlookup($C61,daily_dates,big_daily_table)))</f>
        <v>#NAME?</v>
      </c>
    </row>
    <row r="62" customFormat="false" ht="14.25" hidden="false" customHeight="false" outlineLevel="0" collapsed="false">
      <c r="B62" s="7" t="n">
        <v>40967</v>
      </c>
      <c r="C62" s="7" t="n">
        <f aca="false">B62-WEEKDAY(B62)+1</f>
        <v>40965</v>
      </c>
      <c r="D62" s="1" t="e">
        <f aca="false" t="array" ref="D62:D62">IF(ISBLANK(_xlfn.xlookup(D$3,daily_items,_xlfn.xlookup($C62,daily_dates,big_daily_table))),NA(),_xlfn.xlookup(D$3,daily_items,_xlfn.xlookup($C62,daily_dates,big_daily_table)))</f>
        <v>#NAME?</v>
      </c>
      <c r="E62" s="1" t="e">
        <f aca="false" t="array" ref="E62:E62">IF(ISBLANK(_xlfn.xlookup(E$3,daily_items,_xlfn.xlookup($C62,daily_dates,big_daily_table))),NA(),_xlfn.xlookup(E$3,daily_items,_xlfn.xlookup($C62,daily_dates,big_daily_table)))</f>
        <v>#NAME?</v>
      </c>
    </row>
    <row r="63" customFormat="false" ht="14.25" hidden="false" customHeight="false" outlineLevel="0" collapsed="false">
      <c r="B63" s="7" t="n">
        <v>40968</v>
      </c>
      <c r="C63" s="7" t="n">
        <f aca="false">B63-WEEKDAY(B63)+1</f>
        <v>40965</v>
      </c>
      <c r="D63" s="1" t="e">
        <f aca="false" t="array" ref="D63:D63">IF(ISBLANK(_xlfn.xlookup(D$3,daily_items,_xlfn.xlookup($C63,daily_dates,big_daily_table))),NA(),_xlfn.xlookup(D$3,daily_items,_xlfn.xlookup($C63,daily_dates,big_daily_table)))</f>
        <v>#NAME?</v>
      </c>
      <c r="E63" s="1" t="e">
        <f aca="false" t="array" ref="E63:E63">IF(ISBLANK(_xlfn.xlookup(E$3,daily_items,_xlfn.xlookup($C63,daily_dates,big_daily_table))),NA(),_xlfn.xlookup(E$3,daily_items,_xlfn.xlookup($C63,daily_dates,big_daily_table)))</f>
        <v>#NAME?</v>
      </c>
    </row>
    <row r="64" customFormat="false" ht="14.25" hidden="false" customHeight="false" outlineLevel="0" collapsed="false">
      <c r="B64" s="7" t="n">
        <v>40969</v>
      </c>
      <c r="C64" s="7" t="n">
        <f aca="false">B64-WEEKDAY(B64)+1</f>
        <v>40965</v>
      </c>
      <c r="D64" s="1" t="e">
        <f aca="false" t="array" ref="D64:D64">IF(ISBLANK(_xlfn.xlookup(D$3,daily_items,_xlfn.xlookup($C64,daily_dates,big_daily_table))),NA(),_xlfn.xlookup(D$3,daily_items,_xlfn.xlookup($C64,daily_dates,big_daily_table)))</f>
        <v>#NAME?</v>
      </c>
      <c r="E64" s="1" t="e">
        <f aca="false" t="array" ref="E64:E64">IF(ISBLANK(_xlfn.xlookup(E$3,daily_items,_xlfn.xlookup($C64,daily_dates,big_daily_table))),NA(),_xlfn.xlookup(E$3,daily_items,_xlfn.xlookup($C64,daily_dates,big_daily_table)))</f>
        <v>#NAME?</v>
      </c>
    </row>
    <row r="65" customFormat="false" ht="14.25" hidden="false" customHeight="false" outlineLevel="0" collapsed="false">
      <c r="B65" s="7" t="n">
        <v>40970</v>
      </c>
      <c r="C65" s="7" t="n">
        <f aca="false">B65-WEEKDAY(B65)+1</f>
        <v>40965</v>
      </c>
      <c r="D65" s="1" t="e">
        <f aca="false" t="array" ref="D65:D65">IF(ISBLANK(_xlfn.xlookup(D$3,daily_items,_xlfn.xlookup($C65,daily_dates,big_daily_table))),NA(),_xlfn.xlookup(D$3,daily_items,_xlfn.xlookup($C65,daily_dates,big_daily_table)))</f>
        <v>#NAME?</v>
      </c>
      <c r="E65" s="1" t="e">
        <f aca="false" t="array" ref="E65:E65">IF(ISBLANK(_xlfn.xlookup(E$3,daily_items,_xlfn.xlookup($C65,daily_dates,big_daily_table))),NA(),_xlfn.xlookup(E$3,daily_items,_xlfn.xlookup($C65,daily_dates,big_daily_table)))</f>
        <v>#NAME?</v>
      </c>
    </row>
    <row r="66" customFormat="false" ht="14.25" hidden="false" customHeight="false" outlineLevel="0" collapsed="false">
      <c r="B66" s="7" t="n">
        <v>40971</v>
      </c>
      <c r="C66" s="7" t="n">
        <f aca="false">B66-WEEKDAY(B66)+1</f>
        <v>40965</v>
      </c>
      <c r="D66" s="1" t="e">
        <f aca="false" t="array" ref="D66:D66">IF(ISBLANK(_xlfn.xlookup(D$3,daily_items,_xlfn.xlookup($C66,daily_dates,big_daily_table))),NA(),_xlfn.xlookup(D$3,daily_items,_xlfn.xlookup($C66,daily_dates,big_daily_table)))</f>
        <v>#NAME?</v>
      </c>
      <c r="E66" s="1" t="e">
        <f aca="false" t="array" ref="E66:E66">IF(ISBLANK(_xlfn.xlookup(E$3,daily_items,_xlfn.xlookup($C66,daily_dates,big_daily_table))),NA(),_xlfn.xlookup(E$3,daily_items,_xlfn.xlookup($C66,daily_dates,big_daily_table)))</f>
        <v>#NAME?</v>
      </c>
    </row>
    <row r="67" customFormat="false" ht="14.25" hidden="false" customHeight="false" outlineLevel="0" collapsed="false">
      <c r="B67" s="7" t="n">
        <v>40972</v>
      </c>
      <c r="C67" s="7" t="n">
        <f aca="false">B67-WEEKDAY(B67)+1</f>
        <v>40972</v>
      </c>
      <c r="D67" s="1" t="e">
        <f aca="false" t="array" ref="D67:D67">IF(ISBLANK(_xlfn.xlookup(D$3,daily_items,_xlfn.xlookup($C67,daily_dates,big_daily_table))),NA(),_xlfn.xlookup(D$3,daily_items,_xlfn.xlookup($C67,daily_dates,big_daily_table)))</f>
        <v>#NAME?</v>
      </c>
      <c r="E67" s="1" t="e">
        <f aca="false" t="array" ref="E67:E67">IF(ISBLANK(_xlfn.xlookup(E$3,daily_items,_xlfn.xlookup($C67,daily_dates,big_daily_table))),NA(),_xlfn.xlookup(E$3,daily_items,_xlfn.xlookup($C67,daily_dates,big_daily_table)))</f>
        <v>#NAME?</v>
      </c>
    </row>
    <row r="68" customFormat="false" ht="14.25" hidden="false" customHeight="false" outlineLevel="0" collapsed="false">
      <c r="B68" s="7" t="n">
        <v>40973</v>
      </c>
      <c r="C68" s="7" t="n">
        <f aca="false">B68-WEEKDAY(B68)+1</f>
        <v>40972</v>
      </c>
      <c r="D68" s="1" t="e">
        <f aca="false" t="array" ref="D68:D68">IF(ISBLANK(_xlfn.xlookup(D$3,daily_items,_xlfn.xlookup($C68,daily_dates,big_daily_table))),NA(),_xlfn.xlookup(D$3,daily_items,_xlfn.xlookup($C68,daily_dates,big_daily_table)))</f>
        <v>#NAME?</v>
      </c>
      <c r="E68" s="1" t="e">
        <f aca="false" t="array" ref="E68:E68">IF(ISBLANK(_xlfn.xlookup(E$3,daily_items,_xlfn.xlookup($C68,daily_dates,big_daily_table))),NA(),_xlfn.xlookup(E$3,daily_items,_xlfn.xlookup($C68,daily_dates,big_daily_table)))</f>
        <v>#NAME?</v>
      </c>
    </row>
    <row r="69" customFormat="false" ht="14.25" hidden="false" customHeight="false" outlineLevel="0" collapsed="false">
      <c r="B69" s="7" t="n">
        <v>40974</v>
      </c>
      <c r="C69" s="7" t="n">
        <f aca="false">B69-WEEKDAY(B69)+1</f>
        <v>40972</v>
      </c>
      <c r="D69" s="1" t="e">
        <f aca="false" t="array" ref="D69:D69">IF(ISBLANK(_xlfn.xlookup(D$3,daily_items,_xlfn.xlookup($C69,daily_dates,big_daily_table))),NA(),_xlfn.xlookup(D$3,daily_items,_xlfn.xlookup($C69,daily_dates,big_daily_table)))</f>
        <v>#NAME?</v>
      </c>
      <c r="E69" s="1" t="e">
        <f aca="false" t="array" ref="E69:E69">IF(ISBLANK(_xlfn.xlookup(E$3,daily_items,_xlfn.xlookup($C69,daily_dates,big_daily_table))),NA(),_xlfn.xlookup(E$3,daily_items,_xlfn.xlookup($C69,daily_dates,big_daily_table)))</f>
        <v>#NAME?</v>
      </c>
    </row>
    <row r="70" customFormat="false" ht="14.25" hidden="false" customHeight="false" outlineLevel="0" collapsed="false">
      <c r="B70" s="7" t="n">
        <v>40975</v>
      </c>
      <c r="C70" s="7" t="n">
        <f aca="false">B70-WEEKDAY(B70)+1</f>
        <v>40972</v>
      </c>
      <c r="D70" s="1" t="e">
        <f aca="false" t="array" ref="D70:D70">IF(ISBLANK(_xlfn.xlookup(D$3,daily_items,_xlfn.xlookup($C70,daily_dates,big_daily_table))),NA(),_xlfn.xlookup(D$3,daily_items,_xlfn.xlookup($C70,daily_dates,big_daily_table)))</f>
        <v>#NAME?</v>
      </c>
      <c r="E70" s="1" t="e">
        <f aca="false" t="array" ref="E70:E70">IF(ISBLANK(_xlfn.xlookup(E$3,daily_items,_xlfn.xlookup($C70,daily_dates,big_daily_table))),NA(),_xlfn.xlookup(E$3,daily_items,_xlfn.xlookup($C70,daily_dates,big_daily_table)))</f>
        <v>#NAME?</v>
      </c>
    </row>
    <row r="71" customFormat="false" ht="14.25" hidden="false" customHeight="false" outlineLevel="0" collapsed="false">
      <c r="B71" s="7" t="n">
        <v>40976</v>
      </c>
      <c r="C71" s="7" t="n">
        <f aca="false">B71-WEEKDAY(B71)+1</f>
        <v>40972</v>
      </c>
      <c r="D71" s="1" t="e">
        <f aca="false" t="array" ref="D71:D71">IF(ISBLANK(_xlfn.xlookup(D$3,daily_items,_xlfn.xlookup($C71,daily_dates,big_daily_table))),NA(),_xlfn.xlookup(D$3,daily_items,_xlfn.xlookup($C71,daily_dates,big_daily_table)))</f>
        <v>#NAME?</v>
      </c>
      <c r="E71" s="1" t="e">
        <f aca="false" t="array" ref="E71:E71">IF(ISBLANK(_xlfn.xlookup(E$3,daily_items,_xlfn.xlookup($C71,daily_dates,big_daily_table))),NA(),_xlfn.xlookup(E$3,daily_items,_xlfn.xlookup($C71,daily_dates,big_daily_table)))</f>
        <v>#NAME?</v>
      </c>
    </row>
    <row r="72" customFormat="false" ht="14.25" hidden="false" customHeight="false" outlineLevel="0" collapsed="false">
      <c r="B72" s="7" t="n">
        <v>40977</v>
      </c>
      <c r="C72" s="7" t="n">
        <f aca="false">B72-WEEKDAY(B72)+1</f>
        <v>40972</v>
      </c>
      <c r="D72" s="1" t="e">
        <f aca="false" t="array" ref="D72:D72">IF(ISBLANK(_xlfn.xlookup(D$3,daily_items,_xlfn.xlookup($C72,daily_dates,big_daily_table))),NA(),_xlfn.xlookup(D$3,daily_items,_xlfn.xlookup($C72,daily_dates,big_daily_table)))</f>
        <v>#NAME?</v>
      </c>
      <c r="E72" s="1" t="e">
        <f aca="false" t="array" ref="E72:E72">IF(ISBLANK(_xlfn.xlookup(E$3,daily_items,_xlfn.xlookup($C72,daily_dates,big_daily_table))),NA(),_xlfn.xlookup(E$3,daily_items,_xlfn.xlookup($C72,daily_dates,big_daily_table)))</f>
        <v>#NAME?</v>
      </c>
    </row>
    <row r="73" customFormat="false" ht="14.25" hidden="false" customHeight="false" outlineLevel="0" collapsed="false">
      <c r="B73" s="7" t="n">
        <v>40978</v>
      </c>
      <c r="C73" s="7" t="n">
        <f aca="false">B73-WEEKDAY(B73)+1</f>
        <v>40972</v>
      </c>
      <c r="D73" s="1" t="e">
        <f aca="false" t="array" ref="D73:D73">IF(ISBLANK(_xlfn.xlookup(D$3,daily_items,_xlfn.xlookup($C73,daily_dates,big_daily_table))),NA(),_xlfn.xlookup(D$3,daily_items,_xlfn.xlookup($C73,daily_dates,big_daily_table)))</f>
        <v>#NAME?</v>
      </c>
      <c r="E73" s="1" t="e">
        <f aca="false" t="array" ref="E73:E73">IF(ISBLANK(_xlfn.xlookup(E$3,daily_items,_xlfn.xlookup($C73,daily_dates,big_daily_table))),NA(),_xlfn.xlookup(E$3,daily_items,_xlfn.xlookup($C73,daily_dates,big_daily_table)))</f>
        <v>#NAME?</v>
      </c>
    </row>
    <row r="74" customFormat="false" ht="14.25" hidden="false" customHeight="false" outlineLevel="0" collapsed="false">
      <c r="B74" s="7" t="n">
        <v>40979</v>
      </c>
      <c r="C74" s="7" t="n">
        <f aca="false">B74-WEEKDAY(B74)+1</f>
        <v>40979</v>
      </c>
      <c r="D74" s="1" t="e">
        <f aca="false" t="array" ref="D74:D74">IF(ISBLANK(_xlfn.xlookup(D$3,daily_items,_xlfn.xlookup($C74,daily_dates,big_daily_table))),NA(),_xlfn.xlookup(D$3,daily_items,_xlfn.xlookup($C74,daily_dates,big_daily_table)))</f>
        <v>#NAME?</v>
      </c>
      <c r="E74" s="1" t="e">
        <f aca="false" t="array" ref="E74:E74">IF(ISBLANK(_xlfn.xlookup(E$3,daily_items,_xlfn.xlookup($C74,daily_dates,big_daily_table))),NA(),_xlfn.xlookup(E$3,daily_items,_xlfn.xlookup($C74,daily_dates,big_daily_table)))</f>
        <v>#NAME?</v>
      </c>
    </row>
    <row r="75" customFormat="false" ht="14.25" hidden="false" customHeight="false" outlineLevel="0" collapsed="false">
      <c r="B75" s="7" t="n">
        <v>40980</v>
      </c>
      <c r="C75" s="7" t="n">
        <f aca="false">B75-WEEKDAY(B75)+1</f>
        <v>40979</v>
      </c>
      <c r="D75" s="1" t="e">
        <f aca="false" t="array" ref="D75:D75">IF(ISBLANK(_xlfn.xlookup(D$3,daily_items,_xlfn.xlookup($C75,daily_dates,big_daily_table))),NA(),_xlfn.xlookup(D$3,daily_items,_xlfn.xlookup($C75,daily_dates,big_daily_table)))</f>
        <v>#NAME?</v>
      </c>
      <c r="E75" s="1" t="e">
        <f aca="false" t="array" ref="E75:E75">IF(ISBLANK(_xlfn.xlookup(E$3,daily_items,_xlfn.xlookup($C75,daily_dates,big_daily_table))),NA(),_xlfn.xlookup(E$3,daily_items,_xlfn.xlookup($C75,daily_dates,big_daily_table)))</f>
        <v>#NAME?</v>
      </c>
    </row>
    <row r="76" customFormat="false" ht="14.25" hidden="false" customHeight="false" outlineLevel="0" collapsed="false">
      <c r="B76" s="7" t="n">
        <v>40981</v>
      </c>
      <c r="C76" s="7" t="n">
        <f aca="false">B76-WEEKDAY(B76)+1</f>
        <v>40979</v>
      </c>
      <c r="D76" s="1" t="e">
        <f aca="false" t="array" ref="D76:D76">IF(ISBLANK(_xlfn.xlookup(D$3,daily_items,_xlfn.xlookup($C76,daily_dates,big_daily_table))),NA(),_xlfn.xlookup(D$3,daily_items,_xlfn.xlookup($C76,daily_dates,big_daily_table)))</f>
        <v>#NAME?</v>
      </c>
      <c r="E76" s="1" t="e">
        <f aca="false" t="array" ref="E76:E76">IF(ISBLANK(_xlfn.xlookup(E$3,daily_items,_xlfn.xlookup($C76,daily_dates,big_daily_table))),NA(),_xlfn.xlookup(E$3,daily_items,_xlfn.xlookup($C76,daily_dates,big_daily_table)))</f>
        <v>#NAME?</v>
      </c>
    </row>
    <row r="77" customFormat="false" ht="14.25" hidden="false" customHeight="false" outlineLevel="0" collapsed="false">
      <c r="B77" s="7" t="n">
        <v>40982</v>
      </c>
      <c r="C77" s="7" t="n">
        <f aca="false">B77-WEEKDAY(B77)+1</f>
        <v>40979</v>
      </c>
      <c r="D77" s="1" t="e">
        <f aca="false" t="array" ref="D77:D77">IF(ISBLANK(_xlfn.xlookup(D$3,daily_items,_xlfn.xlookup($C77,daily_dates,big_daily_table))),NA(),_xlfn.xlookup(D$3,daily_items,_xlfn.xlookup($C77,daily_dates,big_daily_table)))</f>
        <v>#NAME?</v>
      </c>
      <c r="E77" s="1" t="e">
        <f aca="false" t="array" ref="E77:E77">IF(ISBLANK(_xlfn.xlookup(E$3,daily_items,_xlfn.xlookup($C77,daily_dates,big_daily_table))),NA(),_xlfn.xlookup(E$3,daily_items,_xlfn.xlookup($C77,daily_dates,big_daily_table)))</f>
        <v>#NAME?</v>
      </c>
    </row>
    <row r="78" customFormat="false" ht="14.25" hidden="false" customHeight="false" outlineLevel="0" collapsed="false">
      <c r="B78" s="7" t="n">
        <v>40983</v>
      </c>
      <c r="C78" s="7" t="n">
        <f aca="false">B78-WEEKDAY(B78)+1</f>
        <v>40979</v>
      </c>
      <c r="D78" s="1" t="e">
        <f aca="false" t="array" ref="D78:D78">IF(ISBLANK(_xlfn.xlookup(D$3,daily_items,_xlfn.xlookup($C78,daily_dates,big_daily_table))),NA(),_xlfn.xlookup(D$3,daily_items,_xlfn.xlookup($C78,daily_dates,big_daily_table)))</f>
        <v>#NAME?</v>
      </c>
      <c r="E78" s="1" t="e">
        <f aca="false" t="array" ref="E78:E78">IF(ISBLANK(_xlfn.xlookup(E$3,daily_items,_xlfn.xlookup($C78,daily_dates,big_daily_table))),NA(),_xlfn.xlookup(E$3,daily_items,_xlfn.xlookup($C78,daily_dates,big_daily_table)))</f>
        <v>#NAME?</v>
      </c>
    </row>
    <row r="79" customFormat="false" ht="14.25" hidden="false" customHeight="false" outlineLevel="0" collapsed="false">
      <c r="B79" s="7" t="n">
        <v>40984</v>
      </c>
      <c r="C79" s="7" t="n">
        <f aca="false">B79-WEEKDAY(B79)+1</f>
        <v>40979</v>
      </c>
      <c r="D79" s="1" t="e">
        <f aca="false" t="array" ref="D79:D79">IF(ISBLANK(_xlfn.xlookup(D$3,daily_items,_xlfn.xlookup($C79,daily_dates,big_daily_table))),NA(),_xlfn.xlookup(D$3,daily_items,_xlfn.xlookup($C79,daily_dates,big_daily_table)))</f>
        <v>#NAME?</v>
      </c>
      <c r="E79" s="1" t="e">
        <f aca="false" t="array" ref="E79:E79">IF(ISBLANK(_xlfn.xlookup(E$3,daily_items,_xlfn.xlookup($C79,daily_dates,big_daily_table))),NA(),_xlfn.xlookup(E$3,daily_items,_xlfn.xlookup($C79,daily_dates,big_daily_table)))</f>
        <v>#NAME?</v>
      </c>
    </row>
    <row r="80" customFormat="false" ht="14.25" hidden="false" customHeight="false" outlineLevel="0" collapsed="false">
      <c r="B80" s="7" t="n">
        <v>40985</v>
      </c>
      <c r="C80" s="7" t="n">
        <f aca="false">B80-WEEKDAY(B80)+1</f>
        <v>40979</v>
      </c>
      <c r="D80" s="1" t="e">
        <f aca="false" t="array" ref="D80:D80">IF(ISBLANK(_xlfn.xlookup(D$3,daily_items,_xlfn.xlookup($C80,daily_dates,big_daily_table))),NA(),_xlfn.xlookup(D$3,daily_items,_xlfn.xlookup($C80,daily_dates,big_daily_table)))</f>
        <v>#NAME?</v>
      </c>
      <c r="E80" s="1" t="e">
        <f aca="false" t="array" ref="E80:E80">IF(ISBLANK(_xlfn.xlookup(E$3,daily_items,_xlfn.xlookup($C80,daily_dates,big_daily_table))),NA(),_xlfn.xlookup(E$3,daily_items,_xlfn.xlookup($C80,daily_dates,big_daily_table)))</f>
        <v>#NAME?</v>
      </c>
    </row>
    <row r="81" customFormat="false" ht="14.25" hidden="false" customHeight="false" outlineLevel="0" collapsed="false">
      <c r="B81" s="7" t="n">
        <v>40986</v>
      </c>
      <c r="C81" s="7" t="n">
        <f aca="false">B81-WEEKDAY(B81)+1</f>
        <v>40986</v>
      </c>
      <c r="D81" s="1" t="e">
        <f aca="false" t="array" ref="D81:D81">IF(ISBLANK(_xlfn.xlookup(D$3,daily_items,_xlfn.xlookup($C81,daily_dates,big_daily_table))),NA(),_xlfn.xlookup(D$3,daily_items,_xlfn.xlookup($C81,daily_dates,big_daily_table)))</f>
        <v>#NAME?</v>
      </c>
      <c r="E81" s="1" t="e">
        <f aca="false" t="array" ref="E81:E81">IF(ISBLANK(_xlfn.xlookup(E$3,daily_items,_xlfn.xlookup($C81,daily_dates,big_daily_table))),NA(),_xlfn.xlookup(E$3,daily_items,_xlfn.xlookup($C81,daily_dates,big_daily_table)))</f>
        <v>#NAME?</v>
      </c>
    </row>
    <row r="82" customFormat="false" ht="14.25" hidden="false" customHeight="false" outlineLevel="0" collapsed="false">
      <c r="B82" s="7" t="n">
        <v>40987</v>
      </c>
      <c r="C82" s="7" t="n">
        <f aca="false">B82-WEEKDAY(B82)+1</f>
        <v>40986</v>
      </c>
      <c r="D82" s="1" t="e">
        <f aca="false" t="array" ref="D82:D82">IF(ISBLANK(_xlfn.xlookup(D$3,daily_items,_xlfn.xlookup($C82,daily_dates,big_daily_table))),NA(),_xlfn.xlookup(D$3,daily_items,_xlfn.xlookup($C82,daily_dates,big_daily_table)))</f>
        <v>#NAME?</v>
      </c>
      <c r="E82" s="1" t="e">
        <f aca="false" t="array" ref="E82:E82">IF(ISBLANK(_xlfn.xlookup(E$3,daily_items,_xlfn.xlookup($C82,daily_dates,big_daily_table))),NA(),_xlfn.xlookup(E$3,daily_items,_xlfn.xlookup($C82,daily_dates,big_daily_table)))</f>
        <v>#NAME?</v>
      </c>
    </row>
    <row r="83" customFormat="false" ht="14.25" hidden="false" customHeight="false" outlineLevel="0" collapsed="false">
      <c r="B83" s="7" t="n">
        <v>40988</v>
      </c>
      <c r="C83" s="7" t="n">
        <f aca="false">B83-WEEKDAY(B83)+1</f>
        <v>40986</v>
      </c>
      <c r="D83" s="1" t="e">
        <f aca="false" t="array" ref="D83:D83">IF(ISBLANK(_xlfn.xlookup(D$3,daily_items,_xlfn.xlookup($C83,daily_dates,big_daily_table))),NA(),_xlfn.xlookup(D$3,daily_items,_xlfn.xlookup($C83,daily_dates,big_daily_table)))</f>
        <v>#NAME?</v>
      </c>
      <c r="E83" s="1" t="e">
        <f aca="false" t="array" ref="E83:E83">IF(ISBLANK(_xlfn.xlookup(E$3,daily_items,_xlfn.xlookup($C83,daily_dates,big_daily_table))),NA(),_xlfn.xlookup(E$3,daily_items,_xlfn.xlookup($C83,daily_dates,big_daily_table)))</f>
        <v>#NAME?</v>
      </c>
    </row>
    <row r="84" customFormat="false" ht="14.25" hidden="false" customHeight="false" outlineLevel="0" collapsed="false">
      <c r="B84" s="7" t="n">
        <v>40989</v>
      </c>
      <c r="C84" s="7" t="n">
        <f aca="false">B84-WEEKDAY(B84)+1</f>
        <v>40986</v>
      </c>
      <c r="D84" s="1" t="e">
        <f aca="false" t="array" ref="D84:D84">IF(ISBLANK(_xlfn.xlookup(D$3,daily_items,_xlfn.xlookup($C84,daily_dates,big_daily_table))),NA(),_xlfn.xlookup(D$3,daily_items,_xlfn.xlookup($C84,daily_dates,big_daily_table)))</f>
        <v>#NAME?</v>
      </c>
      <c r="E84" s="1" t="e">
        <f aca="false" t="array" ref="E84:E84">IF(ISBLANK(_xlfn.xlookup(E$3,daily_items,_xlfn.xlookup($C84,daily_dates,big_daily_table))),NA(),_xlfn.xlookup(E$3,daily_items,_xlfn.xlookup($C84,daily_dates,big_daily_table)))</f>
        <v>#NAME?</v>
      </c>
    </row>
    <row r="85" customFormat="false" ht="14.25" hidden="false" customHeight="false" outlineLevel="0" collapsed="false">
      <c r="B85" s="7" t="n">
        <v>40990</v>
      </c>
      <c r="C85" s="7" t="n">
        <f aca="false">B85-WEEKDAY(B85)+1</f>
        <v>40986</v>
      </c>
      <c r="D85" s="1" t="e">
        <f aca="false" t="array" ref="D85:D85">IF(ISBLANK(_xlfn.xlookup(D$3,daily_items,_xlfn.xlookup($C85,daily_dates,big_daily_table))),NA(),_xlfn.xlookup(D$3,daily_items,_xlfn.xlookup($C85,daily_dates,big_daily_table)))</f>
        <v>#NAME?</v>
      </c>
      <c r="E85" s="1" t="e">
        <f aca="false" t="array" ref="E85:E85">IF(ISBLANK(_xlfn.xlookup(E$3,daily_items,_xlfn.xlookup($C85,daily_dates,big_daily_table))),NA(),_xlfn.xlookup(E$3,daily_items,_xlfn.xlookup($C85,daily_dates,big_daily_table)))</f>
        <v>#NAME?</v>
      </c>
    </row>
    <row r="86" customFormat="false" ht="14.25" hidden="false" customHeight="false" outlineLevel="0" collapsed="false">
      <c r="B86" s="7" t="n">
        <v>40991</v>
      </c>
      <c r="C86" s="7" t="n">
        <f aca="false">B86-WEEKDAY(B86)+1</f>
        <v>40986</v>
      </c>
      <c r="D86" s="1" t="e">
        <f aca="false" t="array" ref="D86:D86">IF(ISBLANK(_xlfn.xlookup(D$3,daily_items,_xlfn.xlookup($C86,daily_dates,big_daily_table))),NA(),_xlfn.xlookup(D$3,daily_items,_xlfn.xlookup($C86,daily_dates,big_daily_table)))</f>
        <v>#NAME?</v>
      </c>
      <c r="E86" s="1" t="e">
        <f aca="false" t="array" ref="E86:E86">IF(ISBLANK(_xlfn.xlookup(E$3,daily_items,_xlfn.xlookup($C86,daily_dates,big_daily_table))),NA(),_xlfn.xlookup(E$3,daily_items,_xlfn.xlookup($C86,daily_dates,big_daily_table)))</f>
        <v>#NAME?</v>
      </c>
    </row>
    <row r="87" customFormat="false" ht="14.25" hidden="false" customHeight="false" outlineLevel="0" collapsed="false">
      <c r="B87" s="7" t="n">
        <v>40992</v>
      </c>
      <c r="C87" s="7" t="n">
        <f aca="false">B87-WEEKDAY(B87)+1</f>
        <v>40986</v>
      </c>
      <c r="D87" s="1" t="e">
        <f aca="false" t="array" ref="D87:D87">IF(ISBLANK(_xlfn.xlookup(D$3,daily_items,_xlfn.xlookup($C87,daily_dates,big_daily_table))),NA(),_xlfn.xlookup(D$3,daily_items,_xlfn.xlookup($C87,daily_dates,big_daily_table)))</f>
        <v>#NAME?</v>
      </c>
      <c r="E87" s="1" t="e">
        <f aca="false" t="array" ref="E87:E87">IF(ISBLANK(_xlfn.xlookup(E$3,daily_items,_xlfn.xlookup($C87,daily_dates,big_daily_table))),NA(),_xlfn.xlookup(E$3,daily_items,_xlfn.xlookup($C87,daily_dates,big_daily_table)))</f>
        <v>#NAME?</v>
      </c>
    </row>
    <row r="88" customFormat="false" ht="14.25" hidden="false" customHeight="false" outlineLevel="0" collapsed="false">
      <c r="B88" s="7" t="n">
        <v>40993</v>
      </c>
      <c r="C88" s="7" t="n">
        <f aca="false">B88-WEEKDAY(B88)+1</f>
        <v>40993</v>
      </c>
      <c r="D88" s="1" t="e">
        <f aca="false" t="array" ref="D88:D88">IF(ISBLANK(_xlfn.xlookup(D$3,daily_items,_xlfn.xlookup($C88,daily_dates,big_daily_table))),NA(),_xlfn.xlookup(D$3,daily_items,_xlfn.xlookup($C88,daily_dates,big_daily_table)))</f>
        <v>#NAME?</v>
      </c>
      <c r="E88" s="1" t="e">
        <f aca="false" t="array" ref="E88:E88">IF(ISBLANK(_xlfn.xlookup(E$3,daily_items,_xlfn.xlookup($C88,daily_dates,big_daily_table))),NA(),_xlfn.xlookup(E$3,daily_items,_xlfn.xlookup($C88,daily_dates,big_daily_table)))</f>
        <v>#NAME?</v>
      </c>
    </row>
    <row r="89" customFormat="false" ht="14.25" hidden="false" customHeight="false" outlineLevel="0" collapsed="false">
      <c r="B89" s="7" t="n">
        <v>40994</v>
      </c>
      <c r="C89" s="7" t="n">
        <f aca="false">B89-WEEKDAY(B89)+1</f>
        <v>40993</v>
      </c>
      <c r="D89" s="1" t="e">
        <f aca="false" t="array" ref="D89:D89">IF(ISBLANK(_xlfn.xlookup(D$3,daily_items,_xlfn.xlookup($C89,daily_dates,big_daily_table))),NA(),_xlfn.xlookup(D$3,daily_items,_xlfn.xlookup($C89,daily_dates,big_daily_table)))</f>
        <v>#NAME?</v>
      </c>
      <c r="E89" s="1" t="e">
        <f aca="false" t="array" ref="E89:E89">IF(ISBLANK(_xlfn.xlookup(E$3,daily_items,_xlfn.xlookup($C89,daily_dates,big_daily_table))),NA(),_xlfn.xlookup(E$3,daily_items,_xlfn.xlookup($C89,daily_dates,big_daily_table)))</f>
        <v>#NAME?</v>
      </c>
    </row>
    <row r="90" customFormat="false" ht="14.25" hidden="false" customHeight="false" outlineLevel="0" collapsed="false">
      <c r="B90" s="7" t="n">
        <v>40995</v>
      </c>
      <c r="C90" s="7" t="n">
        <f aca="false">B90-WEEKDAY(B90)+1</f>
        <v>40993</v>
      </c>
      <c r="D90" s="1" t="e">
        <f aca="false" t="array" ref="D90:D90">IF(ISBLANK(_xlfn.xlookup(D$3,daily_items,_xlfn.xlookup($C90,daily_dates,big_daily_table))),NA(),_xlfn.xlookup(D$3,daily_items,_xlfn.xlookup($C90,daily_dates,big_daily_table)))</f>
        <v>#NAME?</v>
      </c>
      <c r="E90" s="1" t="e">
        <f aca="false" t="array" ref="E90:E90">IF(ISBLANK(_xlfn.xlookup(E$3,daily_items,_xlfn.xlookup($C90,daily_dates,big_daily_table))),NA(),_xlfn.xlookup(E$3,daily_items,_xlfn.xlookup($C90,daily_dates,big_daily_table)))</f>
        <v>#NAME?</v>
      </c>
    </row>
    <row r="91" customFormat="false" ht="14.25" hidden="false" customHeight="false" outlineLevel="0" collapsed="false">
      <c r="B91" s="7" t="n">
        <v>40996</v>
      </c>
      <c r="C91" s="7" t="n">
        <f aca="false">B91-WEEKDAY(B91)+1</f>
        <v>40993</v>
      </c>
      <c r="D91" s="1" t="e">
        <f aca="false" t="array" ref="D91:D91">IF(ISBLANK(_xlfn.xlookup(D$3,daily_items,_xlfn.xlookup($C91,daily_dates,big_daily_table))),NA(),_xlfn.xlookup(D$3,daily_items,_xlfn.xlookup($C91,daily_dates,big_daily_table)))</f>
        <v>#NAME?</v>
      </c>
      <c r="E91" s="1" t="e">
        <f aca="false" t="array" ref="E91:E91">IF(ISBLANK(_xlfn.xlookup(E$3,daily_items,_xlfn.xlookup($C91,daily_dates,big_daily_table))),NA(),_xlfn.xlookup(E$3,daily_items,_xlfn.xlookup($C91,daily_dates,big_daily_table)))</f>
        <v>#NAME?</v>
      </c>
    </row>
    <row r="92" customFormat="false" ht="14.25" hidden="false" customHeight="false" outlineLevel="0" collapsed="false">
      <c r="B92" s="7" t="n">
        <v>40997</v>
      </c>
      <c r="C92" s="7" t="n">
        <f aca="false">B92-WEEKDAY(B92)+1</f>
        <v>40993</v>
      </c>
      <c r="D92" s="1" t="e">
        <f aca="false" t="array" ref="D92:D92">IF(ISBLANK(_xlfn.xlookup(D$3,daily_items,_xlfn.xlookup($C92,daily_dates,big_daily_table))),NA(),_xlfn.xlookup(D$3,daily_items,_xlfn.xlookup($C92,daily_dates,big_daily_table)))</f>
        <v>#NAME?</v>
      </c>
      <c r="E92" s="1" t="e">
        <f aca="false" t="array" ref="E92:E92">IF(ISBLANK(_xlfn.xlookup(E$3,daily_items,_xlfn.xlookup($C92,daily_dates,big_daily_table))),NA(),_xlfn.xlookup(E$3,daily_items,_xlfn.xlookup($C92,daily_dates,big_daily_table)))</f>
        <v>#NAME?</v>
      </c>
    </row>
    <row r="93" customFormat="false" ht="14.25" hidden="false" customHeight="false" outlineLevel="0" collapsed="false">
      <c r="B93" s="7" t="n">
        <v>40998</v>
      </c>
      <c r="C93" s="7" t="n">
        <f aca="false">B93-WEEKDAY(B93)+1</f>
        <v>40993</v>
      </c>
      <c r="D93" s="1" t="e">
        <f aca="false" t="array" ref="D93:D93">IF(ISBLANK(_xlfn.xlookup(D$3,daily_items,_xlfn.xlookup($C93,daily_dates,big_daily_table))),NA(),_xlfn.xlookup(D$3,daily_items,_xlfn.xlookup($C93,daily_dates,big_daily_table)))</f>
        <v>#NAME?</v>
      </c>
      <c r="E93" s="1" t="e">
        <f aca="false" t="array" ref="E93:E93">IF(ISBLANK(_xlfn.xlookup(E$3,daily_items,_xlfn.xlookup($C93,daily_dates,big_daily_table))),NA(),_xlfn.xlookup(E$3,daily_items,_xlfn.xlookup($C93,daily_dates,big_daily_table)))</f>
        <v>#NAME?</v>
      </c>
    </row>
    <row r="94" customFormat="false" ht="14.25" hidden="false" customHeight="false" outlineLevel="0" collapsed="false">
      <c r="B94" s="7" t="n">
        <v>40999</v>
      </c>
      <c r="C94" s="7" t="n">
        <f aca="false">B94-WEEKDAY(B94)+1</f>
        <v>40993</v>
      </c>
      <c r="D94" s="1" t="e">
        <f aca="false" t="array" ref="D94:D94">IF(ISBLANK(_xlfn.xlookup(D$3,daily_items,_xlfn.xlookup($C94,daily_dates,big_daily_table))),NA(),_xlfn.xlookup(D$3,daily_items,_xlfn.xlookup($C94,daily_dates,big_daily_table)))</f>
        <v>#NAME?</v>
      </c>
      <c r="E94" s="1" t="e">
        <f aca="false" t="array" ref="E94:E94">IF(ISBLANK(_xlfn.xlookup(E$3,daily_items,_xlfn.xlookup($C94,daily_dates,big_daily_table))),NA(),_xlfn.xlookup(E$3,daily_items,_xlfn.xlookup($C94,daily_dates,big_daily_table)))</f>
        <v>#NAME?</v>
      </c>
    </row>
    <row r="95" customFormat="false" ht="14.25" hidden="false" customHeight="false" outlineLevel="0" collapsed="false">
      <c r="B95" s="7" t="n">
        <v>41000</v>
      </c>
      <c r="C95" s="7" t="n">
        <f aca="false">B95-WEEKDAY(B95)+1</f>
        <v>41000</v>
      </c>
      <c r="D95" s="1" t="e">
        <f aca="false" t="array" ref="D95:D95">IF(ISBLANK(_xlfn.xlookup(D$3,daily_items,_xlfn.xlookup($C95,daily_dates,big_daily_table))),NA(),_xlfn.xlookup(D$3,daily_items,_xlfn.xlookup($C95,daily_dates,big_daily_table)))</f>
        <v>#NAME?</v>
      </c>
      <c r="E95" s="1" t="e">
        <f aca="false" t="array" ref="E95:E95">IF(ISBLANK(_xlfn.xlookup(E$3,daily_items,_xlfn.xlookup($C95,daily_dates,big_daily_table))),NA(),_xlfn.xlookup(E$3,daily_items,_xlfn.xlookup($C95,daily_dates,big_daily_table)))</f>
        <v>#NAME?</v>
      </c>
    </row>
    <row r="96" customFormat="false" ht="14.25" hidden="false" customHeight="false" outlineLevel="0" collapsed="false">
      <c r="B96" s="7" t="n">
        <v>41001</v>
      </c>
      <c r="C96" s="7" t="n">
        <f aca="false">B96-WEEKDAY(B96)+1</f>
        <v>41000</v>
      </c>
      <c r="D96" s="1" t="e">
        <f aca="false" t="array" ref="D96:D96">IF(ISBLANK(_xlfn.xlookup(D$3,daily_items,_xlfn.xlookup($C96,daily_dates,big_daily_table))),NA(),_xlfn.xlookup(D$3,daily_items,_xlfn.xlookup($C96,daily_dates,big_daily_table)))</f>
        <v>#NAME?</v>
      </c>
      <c r="E96" s="1" t="e">
        <f aca="false" t="array" ref="E96:E96">IF(ISBLANK(_xlfn.xlookup(E$3,daily_items,_xlfn.xlookup($C96,daily_dates,big_daily_table))),NA(),_xlfn.xlookup(E$3,daily_items,_xlfn.xlookup($C96,daily_dates,big_daily_table)))</f>
        <v>#NAME?</v>
      </c>
    </row>
    <row r="97" customFormat="false" ht="14.25" hidden="false" customHeight="false" outlineLevel="0" collapsed="false">
      <c r="B97" s="7" t="n">
        <v>41002</v>
      </c>
      <c r="C97" s="7" t="n">
        <f aca="false">B97-WEEKDAY(B97)+1</f>
        <v>41000</v>
      </c>
      <c r="D97" s="1" t="e">
        <f aca="false" t="array" ref="D97:D97">IF(ISBLANK(_xlfn.xlookup(D$3,daily_items,_xlfn.xlookup($C97,daily_dates,big_daily_table))),NA(),_xlfn.xlookup(D$3,daily_items,_xlfn.xlookup($C97,daily_dates,big_daily_table)))</f>
        <v>#NAME?</v>
      </c>
      <c r="E97" s="1" t="e">
        <f aca="false" t="array" ref="E97:E97">IF(ISBLANK(_xlfn.xlookup(E$3,daily_items,_xlfn.xlookup($C97,daily_dates,big_daily_table))),NA(),_xlfn.xlookup(E$3,daily_items,_xlfn.xlookup($C97,daily_dates,big_daily_table)))</f>
        <v>#NAME?</v>
      </c>
    </row>
    <row r="98" customFormat="false" ht="14.25" hidden="false" customHeight="false" outlineLevel="0" collapsed="false">
      <c r="B98" s="7" t="n">
        <v>41003</v>
      </c>
      <c r="C98" s="7" t="n">
        <f aca="false">B98-WEEKDAY(B98)+1</f>
        <v>41000</v>
      </c>
      <c r="D98" s="1" t="e">
        <f aca="false" t="array" ref="D98:D98">IF(ISBLANK(_xlfn.xlookup(D$3,daily_items,_xlfn.xlookup($C98,daily_dates,big_daily_table))),NA(),_xlfn.xlookup(D$3,daily_items,_xlfn.xlookup($C98,daily_dates,big_daily_table)))</f>
        <v>#NAME?</v>
      </c>
      <c r="E98" s="1" t="e">
        <f aca="false" t="array" ref="E98:E98">IF(ISBLANK(_xlfn.xlookup(E$3,daily_items,_xlfn.xlookup($C98,daily_dates,big_daily_table))),NA(),_xlfn.xlookup(E$3,daily_items,_xlfn.xlookup($C98,daily_dates,big_daily_table)))</f>
        <v>#NAME?</v>
      </c>
    </row>
    <row r="99" customFormat="false" ht="14.25" hidden="false" customHeight="false" outlineLevel="0" collapsed="false">
      <c r="B99" s="7" t="n">
        <v>41004</v>
      </c>
      <c r="C99" s="7" t="n">
        <f aca="false">B99-WEEKDAY(B99)+1</f>
        <v>41000</v>
      </c>
      <c r="D99" s="1" t="e">
        <f aca="false" t="array" ref="D99:D99">IF(ISBLANK(_xlfn.xlookup(D$3,daily_items,_xlfn.xlookup($C99,daily_dates,big_daily_table))),NA(),_xlfn.xlookup(D$3,daily_items,_xlfn.xlookup($C99,daily_dates,big_daily_table)))</f>
        <v>#NAME?</v>
      </c>
      <c r="E99" s="1" t="e">
        <f aca="false" t="array" ref="E99:E99">IF(ISBLANK(_xlfn.xlookup(E$3,daily_items,_xlfn.xlookup($C99,daily_dates,big_daily_table))),NA(),_xlfn.xlookup(E$3,daily_items,_xlfn.xlookup($C99,daily_dates,big_daily_table)))</f>
        <v>#NAME?</v>
      </c>
    </row>
    <row r="100" customFormat="false" ht="14.25" hidden="false" customHeight="false" outlineLevel="0" collapsed="false">
      <c r="B100" s="7" t="n">
        <v>41005</v>
      </c>
      <c r="C100" s="7" t="n">
        <f aca="false">B100-WEEKDAY(B100)+1</f>
        <v>41000</v>
      </c>
      <c r="D100" s="1" t="e">
        <f aca="false" t="array" ref="D100:D100">IF(ISBLANK(_xlfn.xlookup(D$3,daily_items,_xlfn.xlookup($C100,daily_dates,big_daily_table))),NA(),_xlfn.xlookup(D$3,daily_items,_xlfn.xlookup($C100,daily_dates,big_daily_table)))</f>
        <v>#NAME?</v>
      </c>
      <c r="E100" s="1" t="e">
        <f aca="false" t="array" ref="E100:E100">IF(ISBLANK(_xlfn.xlookup(E$3,daily_items,_xlfn.xlookup($C100,daily_dates,big_daily_table))),NA(),_xlfn.xlookup(E$3,daily_items,_xlfn.xlookup($C100,daily_dates,big_daily_table)))</f>
        <v>#NAME?</v>
      </c>
    </row>
    <row r="101" customFormat="false" ht="14.25" hidden="false" customHeight="false" outlineLevel="0" collapsed="false">
      <c r="B101" s="7" t="n">
        <v>41006</v>
      </c>
      <c r="C101" s="7" t="n">
        <f aca="false">B101-WEEKDAY(B101)+1</f>
        <v>41000</v>
      </c>
      <c r="D101" s="1" t="e">
        <f aca="false" t="array" ref="D101:D101">IF(ISBLANK(_xlfn.xlookup(D$3,daily_items,_xlfn.xlookup($C101,daily_dates,big_daily_table))),NA(),_xlfn.xlookup(D$3,daily_items,_xlfn.xlookup($C101,daily_dates,big_daily_table)))</f>
        <v>#NAME?</v>
      </c>
      <c r="E101" s="1" t="e">
        <f aca="false" t="array" ref="E101:E101">IF(ISBLANK(_xlfn.xlookup(E$3,daily_items,_xlfn.xlookup($C101,daily_dates,big_daily_table))),NA(),_xlfn.xlookup(E$3,daily_items,_xlfn.xlookup($C101,daily_dates,big_daily_table)))</f>
        <v>#NAME?</v>
      </c>
    </row>
    <row r="102" customFormat="false" ht="14.25" hidden="false" customHeight="false" outlineLevel="0" collapsed="false">
      <c r="B102" s="7" t="n">
        <v>41007</v>
      </c>
      <c r="C102" s="7" t="n">
        <f aca="false">B102-WEEKDAY(B102)+1</f>
        <v>41007</v>
      </c>
      <c r="D102" s="1" t="e">
        <f aca="false" t="array" ref="D102:D102">IF(ISBLANK(_xlfn.xlookup(D$3,daily_items,_xlfn.xlookup($C102,daily_dates,big_daily_table))),NA(),_xlfn.xlookup(D$3,daily_items,_xlfn.xlookup($C102,daily_dates,big_daily_table)))</f>
        <v>#NAME?</v>
      </c>
      <c r="E102" s="1" t="e">
        <f aca="false" t="array" ref="E102:E102">IF(ISBLANK(_xlfn.xlookup(E$3,daily_items,_xlfn.xlookup($C102,daily_dates,big_daily_table))),NA(),_xlfn.xlookup(E$3,daily_items,_xlfn.xlookup($C102,daily_dates,big_daily_table)))</f>
        <v>#NAME?</v>
      </c>
    </row>
    <row r="103" customFormat="false" ht="14.25" hidden="false" customHeight="false" outlineLevel="0" collapsed="false">
      <c r="B103" s="7" t="n">
        <v>41008</v>
      </c>
      <c r="C103" s="7" t="n">
        <f aca="false">B103-WEEKDAY(B103)+1</f>
        <v>41007</v>
      </c>
      <c r="D103" s="1" t="e">
        <f aca="false" t="array" ref="D103:D103">IF(ISBLANK(_xlfn.xlookup(D$3,daily_items,_xlfn.xlookup($C103,daily_dates,big_daily_table))),NA(),_xlfn.xlookup(D$3,daily_items,_xlfn.xlookup($C103,daily_dates,big_daily_table)))</f>
        <v>#NAME?</v>
      </c>
      <c r="E103" s="1" t="e">
        <f aca="false" t="array" ref="E103:E103">IF(ISBLANK(_xlfn.xlookup(E$3,daily_items,_xlfn.xlookup($C103,daily_dates,big_daily_table))),NA(),_xlfn.xlookup(E$3,daily_items,_xlfn.xlookup($C103,daily_dates,big_daily_table)))</f>
        <v>#NAME?</v>
      </c>
    </row>
    <row r="104" customFormat="false" ht="14.25" hidden="false" customHeight="false" outlineLevel="0" collapsed="false">
      <c r="B104" s="7" t="n">
        <v>41009</v>
      </c>
      <c r="C104" s="7" t="n">
        <f aca="false">B104-WEEKDAY(B104)+1</f>
        <v>41007</v>
      </c>
      <c r="D104" s="1" t="e">
        <f aca="false" t="array" ref="D104:D104">IF(ISBLANK(_xlfn.xlookup(D$3,daily_items,_xlfn.xlookup($C104,daily_dates,big_daily_table))),NA(),_xlfn.xlookup(D$3,daily_items,_xlfn.xlookup($C104,daily_dates,big_daily_table)))</f>
        <v>#NAME?</v>
      </c>
      <c r="E104" s="1" t="e">
        <f aca="false" t="array" ref="E104:E104">IF(ISBLANK(_xlfn.xlookup(E$3,daily_items,_xlfn.xlookup($C104,daily_dates,big_daily_table))),NA(),_xlfn.xlookup(E$3,daily_items,_xlfn.xlookup($C104,daily_dates,big_daily_table)))</f>
        <v>#NAME?</v>
      </c>
    </row>
    <row r="105" customFormat="false" ht="14.25" hidden="false" customHeight="false" outlineLevel="0" collapsed="false">
      <c r="B105" s="7" t="n">
        <v>41010</v>
      </c>
      <c r="C105" s="7" t="n">
        <f aca="false">B105-WEEKDAY(B105)+1</f>
        <v>41007</v>
      </c>
      <c r="D105" s="1" t="e">
        <f aca="false" t="array" ref="D105:D105">IF(ISBLANK(_xlfn.xlookup(D$3,daily_items,_xlfn.xlookup($C105,daily_dates,big_daily_table))),NA(),_xlfn.xlookup(D$3,daily_items,_xlfn.xlookup($C105,daily_dates,big_daily_table)))</f>
        <v>#NAME?</v>
      </c>
      <c r="E105" s="1" t="e">
        <f aca="false" t="array" ref="E105:E105">IF(ISBLANK(_xlfn.xlookup(E$3,daily_items,_xlfn.xlookup($C105,daily_dates,big_daily_table))),NA(),_xlfn.xlookup(E$3,daily_items,_xlfn.xlookup($C105,daily_dates,big_daily_table)))</f>
        <v>#NAME?</v>
      </c>
    </row>
    <row r="106" customFormat="false" ht="14.25" hidden="false" customHeight="false" outlineLevel="0" collapsed="false">
      <c r="B106" s="7" t="n">
        <v>41011</v>
      </c>
      <c r="C106" s="7" t="n">
        <f aca="false">B106-WEEKDAY(B106)+1</f>
        <v>41007</v>
      </c>
      <c r="D106" s="1" t="e">
        <f aca="false" t="array" ref="D106:D106">IF(ISBLANK(_xlfn.xlookup(D$3,daily_items,_xlfn.xlookup($C106,daily_dates,big_daily_table))),NA(),_xlfn.xlookup(D$3,daily_items,_xlfn.xlookup($C106,daily_dates,big_daily_table)))</f>
        <v>#NAME?</v>
      </c>
      <c r="E106" s="1" t="e">
        <f aca="false" t="array" ref="E106:E106">IF(ISBLANK(_xlfn.xlookup(E$3,daily_items,_xlfn.xlookup($C106,daily_dates,big_daily_table))),NA(),_xlfn.xlookup(E$3,daily_items,_xlfn.xlookup($C106,daily_dates,big_daily_table)))</f>
        <v>#NAME?</v>
      </c>
    </row>
    <row r="107" customFormat="false" ht="14.25" hidden="false" customHeight="false" outlineLevel="0" collapsed="false">
      <c r="B107" s="7" t="n">
        <v>41012</v>
      </c>
      <c r="C107" s="7" t="n">
        <f aca="false">B107-WEEKDAY(B107)+1</f>
        <v>41007</v>
      </c>
      <c r="D107" s="1" t="e">
        <f aca="false" t="array" ref="D107:D107">IF(ISBLANK(_xlfn.xlookup(D$3,daily_items,_xlfn.xlookup($C107,daily_dates,big_daily_table))),NA(),_xlfn.xlookup(D$3,daily_items,_xlfn.xlookup($C107,daily_dates,big_daily_table)))</f>
        <v>#NAME?</v>
      </c>
      <c r="E107" s="1" t="e">
        <f aca="false" t="array" ref="E107:E107">IF(ISBLANK(_xlfn.xlookup(E$3,daily_items,_xlfn.xlookup($C107,daily_dates,big_daily_table))),NA(),_xlfn.xlookup(E$3,daily_items,_xlfn.xlookup($C107,daily_dates,big_daily_table)))</f>
        <v>#NAME?</v>
      </c>
    </row>
    <row r="108" customFormat="false" ht="14.25" hidden="false" customHeight="false" outlineLevel="0" collapsed="false">
      <c r="B108" s="7" t="n">
        <v>41013</v>
      </c>
      <c r="C108" s="7" t="n">
        <f aca="false">B108-WEEKDAY(B108)+1</f>
        <v>41007</v>
      </c>
      <c r="D108" s="1" t="e">
        <f aca="false" t="array" ref="D108:D108">IF(ISBLANK(_xlfn.xlookup(D$3,daily_items,_xlfn.xlookup($C108,daily_dates,big_daily_table))),NA(),_xlfn.xlookup(D$3,daily_items,_xlfn.xlookup($C108,daily_dates,big_daily_table)))</f>
        <v>#NAME?</v>
      </c>
      <c r="E108" s="1" t="e">
        <f aca="false" t="array" ref="E108:E108">IF(ISBLANK(_xlfn.xlookup(E$3,daily_items,_xlfn.xlookup($C108,daily_dates,big_daily_table))),NA(),_xlfn.xlookup(E$3,daily_items,_xlfn.xlookup($C108,daily_dates,big_daily_table)))</f>
        <v>#NAME?</v>
      </c>
    </row>
    <row r="109" customFormat="false" ht="14.25" hidden="false" customHeight="false" outlineLevel="0" collapsed="false">
      <c r="B109" s="7" t="n">
        <v>41014</v>
      </c>
      <c r="C109" s="7" t="n">
        <f aca="false">B109-WEEKDAY(B109)+1</f>
        <v>41014</v>
      </c>
      <c r="D109" s="1" t="e">
        <f aca="false" t="array" ref="D109:D109">IF(ISBLANK(_xlfn.xlookup(D$3,daily_items,_xlfn.xlookup($C109,daily_dates,big_daily_table))),NA(),_xlfn.xlookup(D$3,daily_items,_xlfn.xlookup($C109,daily_dates,big_daily_table)))</f>
        <v>#NAME?</v>
      </c>
      <c r="E109" s="1" t="e">
        <f aca="false" t="array" ref="E109:E109">IF(ISBLANK(_xlfn.xlookup(E$3,daily_items,_xlfn.xlookup($C109,daily_dates,big_daily_table))),NA(),_xlfn.xlookup(E$3,daily_items,_xlfn.xlookup($C109,daily_dates,big_daily_table)))</f>
        <v>#NAME?</v>
      </c>
    </row>
    <row r="110" customFormat="false" ht="14.25" hidden="false" customHeight="false" outlineLevel="0" collapsed="false">
      <c r="B110" s="7" t="n">
        <v>41015</v>
      </c>
      <c r="C110" s="7" t="n">
        <f aca="false">B110-WEEKDAY(B110)+1</f>
        <v>41014</v>
      </c>
      <c r="D110" s="1" t="e">
        <f aca="false" t="array" ref="D110:D110">IF(ISBLANK(_xlfn.xlookup(D$3,daily_items,_xlfn.xlookup($C110,daily_dates,big_daily_table))),NA(),_xlfn.xlookup(D$3,daily_items,_xlfn.xlookup($C110,daily_dates,big_daily_table)))</f>
        <v>#NAME?</v>
      </c>
      <c r="E110" s="1" t="e">
        <f aca="false" t="array" ref="E110:E110">IF(ISBLANK(_xlfn.xlookup(E$3,daily_items,_xlfn.xlookup($C110,daily_dates,big_daily_table))),NA(),_xlfn.xlookup(E$3,daily_items,_xlfn.xlookup($C110,daily_dates,big_daily_table)))</f>
        <v>#NAME?</v>
      </c>
    </row>
    <row r="111" customFormat="false" ht="14.25" hidden="false" customHeight="false" outlineLevel="0" collapsed="false">
      <c r="B111" s="7" t="n">
        <v>41016</v>
      </c>
      <c r="C111" s="7" t="n">
        <f aca="false">B111-WEEKDAY(B111)+1</f>
        <v>41014</v>
      </c>
      <c r="D111" s="1" t="e">
        <f aca="false" t="array" ref="D111:D111">IF(ISBLANK(_xlfn.xlookup(D$3,daily_items,_xlfn.xlookup($C111,daily_dates,big_daily_table))),NA(),_xlfn.xlookup(D$3,daily_items,_xlfn.xlookup($C111,daily_dates,big_daily_table)))</f>
        <v>#NAME?</v>
      </c>
      <c r="E111" s="1" t="e">
        <f aca="false" t="array" ref="E111:E111">IF(ISBLANK(_xlfn.xlookup(E$3,daily_items,_xlfn.xlookup($C111,daily_dates,big_daily_table))),NA(),_xlfn.xlookup(E$3,daily_items,_xlfn.xlookup($C111,daily_dates,big_daily_table)))</f>
        <v>#NAME?</v>
      </c>
    </row>
    <row r="112" customFormat="false" ht="14.25" hidden="false" customHeight="false" outlineLevel="0" collapsed="false">
      <c r="B112" s="7" t="n">
        <v>41017</v>
      </c>
      <c r="C112" s="7" t="n">
        <f aca="false">B112-WEEKDAY(B112)+1</f>
        <v>41014</v>
      </c>
      <c r="D112" s="1" t="e">
        <f aca="false" t="array" ref="D112:D112">IF(ISBLANK(_xlfn.xlookup(D$3,daily_items,_xlfn.xlookup($C112,daily_dates,big_daily_table))),NA(),_xlfn.xlookup(D$3,daily_items,_xlfn.xlookup($C112,daily_dates,big_daily_table)))</f>
        <v>#NAME?</v>
      </c>
      <c r="E112" s="1" t="e">
        <f aca="false" t="array" ref="E112:E112">IF(ISBLANK(_xlfn.xlookup(E$3,daily_items,_xlfn.xlookup($C112,daily_dates,big_daily_table))),NA(),_xlfn.xlookup(E$3,daily_items,_xlfn.xlookup($C112,daily_dates,big_daily_table)))</f>
        <v>#NAME?</v>
      </c>
    </row>
    <row r="113" customFormat="false" ht="14.25" hidden="false" customHeight="false" outlineLevel="0" collapsed="false">
      <c r="B113" s="7" t="n">
        <v>41018</v>
      </c>
      <c r="C113" s="7" t="n">
        <f aca="false">B113-WEEKDAY(B113)+1</f>
        <v>41014</v>
      </c>
      <c r="D113" s="1" t="e">
        <f aca="false" t="array" ref="D113:D113">IF(ISBLANK(_xlfn.xlookup(D$3,daily_items,_xlfn.xlookup($C113,daily_dates,big_daily_table))),NA(),_xlfn.xlookup(D$3,daily_items,_xlfn.xlookup($C113,daily_dates,big_daily_table)))</f>
        <v>#NAME?</v>
      </c>
      <c r="E113" s="1" t="e">
        <f aca="false" t="array" ref="E113:E113">IF(ISBLANK(_xlfn.xlookup(E$3,daily_items,_xlfn.xlookup($C113,daily_dates,big_daily_table))),NA(),_xlfn.xlookup(E$3,daily_items,_xlfn.xlookup($C113,daily_dates,big_daily_table)))</f>
        <v>#NAME?</v>
      </c>
    </row>
    <row r="114" customFormat="false" ht="14.25" hidden="false" customHeight="false" outlineLevel="0" collapsed="false">
      <c r="B114" s="7" t="n">
        <v>41019</v>
      </c>
      <c r="C114" s="7" t="n">
        <f aca="false">B114-WEEKDAY(B114)+1</f>
        <v>41014</v>
      </c>
      <c r="D114" s="1" t="e">
        <f aca="false" t="array" ref="D114:D114">IF(ISBLANK(_xlfn.xlookup(D$3,daily_items,_xlfn.xlookup($C114,daily_dates,big_daily_table))),NA(),_xlfn.xlookup(D$3,daily_items,_xlfn.xlookup($C114,daily_dates,big_daily_table)))</f>
        <v>#NAME?</v>
      </c>
      <c r="E114" s="1" t="e">
        <f aca="false" t="array" ref="E114:E114">IF(ISBLANK(_xlfn.xlookup(E$3,daily_items,_xlfn.xlookup($C114,daily_dates,big_daily_table))),NA(),_xlfn.xlookup(E$3,daily_items,_xlfn.xlookup($C114,daily_dates,big_daily_table)))</f>
        <v>#NAME?</v>
      </c>
    </row>
    <row r="115" customFormat="false" ht="14.25" hidden="false" customHeight="false" outlineLevel="0" collapsed="false">
      <c r="B115" s="7" t="n">
        <v>41020</v>
      </c>
      <c r="C115" s="7" t="n">
        <f aca="false">B115-WEEKDAY(B115)+1</f>
        <v>41014</v>
      </c>
      <c r="D115" s="1" t="e">
        <f aca="false" t="array" ref="D115:D115">IF(ISBLANK(_xlfn.xlookup(D$3,daily_items,_xlfn.xlookup($C115,daily_dates,big_daily_table))),NA(),_xlfn.xlookup(D$3,daily_items,_xlfn.xlookup($C115,daily_dates,big_daily_table)))</f>
        <v>#NAME?</v>
      </c>
      <c r="E115" s="1" t="e">
        <f aca="false" t="array" ref="E115:E115">IF(ISBLANK(_xlfn.xlookup(E$3,daily_items,_xlfn.xlookup($C115,daily_dates,big_daily_table))),NA(),_xlfn.xlookup(E$3,daily_items,_xlfn.xlookup($C115,daily_dates,big_daily_table)))</f>
        <v>#NAME?</v>
      </c>
    </row>
    <row r="116" customFormat="false" ht="14.25" hidden="false" customHeight="false" outlineLevel="0" collapsed="false">
      <c r="B116" s="7" t="n">
        <v>41021</v>
      </c>
      <c r="C116" s="7" t="n">
        <f aca="false">B116-WEEKDAY(B116)+1</f>
        <v>41021</v>
      </c>
      <c r="D116" s="1" t="e">
        <f aca="false" t="array" ref="D116:D116">IF(ISBLANK(_xlfn.xlookup(D$3,daily_items,_xlfn.xlookup($C116,daily_dates,big_daily_table))),NA(),_xlfn.xlookup(D$3,daily_items,_xlfn.xlookup($C116,daily_dates,big_daily_table)))</f>
        <v>#NAME?</v>
      </c>
      <c r="E116" s="1" t="e">
        <f aca="false" t="array" ref="E116:E116">IF(ISBLANK(_xlfn.xlookup(E$3,daily_items,_xlfn.xlookup($C116,daily_dates,big_daily_table))),NA(),_xlfn.xlookup(E$3,daily_items,_xlfn.xlookup($C116,daily_dates,big_daily_table)))</f>
        <v>#NAME?</v>
      </c>
    </row>
    <row r="117" customFormat="false" ht="14.25" hidden="false" customHeight="false" outlineLevel="0" collapsed="false">
      <c r="B117" s="7" t="n">
        <v>41022</v>
      </c>
      <c r="C117" s="7" t="n">
        <f aca="false">B117-WEEKDAY(B117)+1</f>
        <v>41021</v>
      </c>
      <c r="D117" s="1" t="e">
        <f aca="false" t="array" ref="D117:D117">IF(ISBLANK(_xlfn.xlookup(D$3,daily_items,_xlfn.xlookup($C117,daily_dates,big_daily_table))),NA(),_xlfn.xlookup(D$3,daily_items,_xlfn.xlookup($C117,daily_dates,big_daily_table)))</f>
        <v>#NAME?</v>
      </c>
      <c r="E117" s="1" t="e">
        <f aca="false" t="array" ref="E117:E117">IF(ISBLANK(_xlfn.xlookup(E$3,daily_items,_xlfn.xlookup($C117,daily_dates,big_daily_table))),NA(),_xlfn.xlookup(E$3,daily_items,_xlfn.xlookup($C117,daily_dates,big_daily_table)))</f>
        <v>#NAME?</v>
      </c>
    </row>
    <row r="118" customFormat="false" ht="14.25" hidden="false" customHeight="false" outlineLevel="0" collapsed="false">
      <c r="B118" s="7" t="n">
        <v>41023</v>
      </c>
      <c r="C118" s="7" t="n">
        <f aca="false">B118-WEEKDAY(B118)+1</f>
        <v>41021</v>
      </c>
      <c r="D118" s="1" t="e">
        <f aca="false" t="array" ref="D118:D118">IF(ISBLANK(_xlfn.xlookup(D$3,daily_items,_xlfn.xlookup($C118,daily_dates,big_daily_table))),NA(),_xlfn.xlookup(D$3,daily_items,_xlfn.xlookup($C118,daily_dates,big_daily_table)))</f>
        <v>#NAME?</v>
      </c>
      <c r="E118" s="1" t="e">
        <f aca="false" t="array" ref="E118:E118">IF(ISBLANK(_xlfn.xlookup(E$3,daily_items,_xlfn.xlookup($C118,daily_dates,big_daily_table))),NA(),_xlfn.xlookup(E$3,daily_items,_xlfn.xlookup($C118,daily_dates,big_daily_table)))</f>
        <v>#NAME?</v>
      </c>
    </row>
    <row r="119" customFormat="false" ht="14.25" hidden="false" customHeight="false" outlineLevel="0" collapsed="false">
      <c r="B119" s="7" t="n">
        <v>41024</v>
      </c>
      <c r="C119" s="7" t="n">
        <f aca="false">B119-WEEKDAY(B119)+1</f>
        <v>41021</v>
      </c>
      <c r="D119" s="1" t="e">
        <f aca="false" t="array" ref="D119:D119">IF(ISBLANK(_xlfn.xlookup(D$3,daily_items,_xlfn.xlookup($C119,daily_dates,big_daily_table))),NA(),_xlfn.xlookup(D$3,daily_items,_xlfn.xlookup($C119,daily_dates,big_daily_table)))</f>
        <v>#NAME?</v>
      </c>
      <c r="E119" s="1" t="e">
        <f aca="false" t="array" ref="E119:E119">IF(ISBLANK(_xlfn.xlookup(E$3,daily_items,_xlfn.xlookup($C119,daily_dates,big_daily_table))),NA(),_xlfn.xlookup(E$3,daily_items,_xlfn.xlookup($C119,daily_dates,big_daily_table)))</f>
        <v>#NAME?</v>
      </c>
    </row>
    <row r="120" customFormat="false" ht="14.25" hidden="false" customHeight="false" outlineLevel="0" collapsed="false">
      <c r="B120" s="7" t="n">
        <v>41025</v>
      </c>
      <c r="C120" s="7" t="n">
        <f aca="false">B120-WEEKDAY(B120)+1</f>
        <v>41021</v>
      </c>
      <c r="D120" s="1" t="e">
        <f aca="false" t="array" ref="D120:D120">IF(ISBLANK(_xlfn.xlookup(D$3,daily_items,_xlfn.xlookup($C120,daily_dates,big_daily_table))),NA(),_xlfn.xlookup(D$3,daily_items,_xlfn.xlookup($C120,daily_dates,big_daily_table)))</f>
        <v>#NAME?</v>
      </c>
      <c r="E120" s="1" t="e">
        <f aca="false" t="array" ref="E120:E120">IF(ISBLANK(_xlfn.xlookup(E$3,daily_items,_xlfn.xlookup($C120,daily_dates,big_daily_table))),NA(),_xlfn.xlookup(E$3,daily_items,_xlfn.xlookup($C120,daily_dates,big_daily_table)))</f>
        <v>#NAME?</v>
      </c>
    </row>
    <row r="121" customFormat="false" ht="14.25" hidden="false" customHeight="false" outlineLevel="0" collapsed="false">
      <c r="B121" s="7" t="n">
        <v>41026</v>
      </c>
      <c r="C121" s="7" t="n">
        <f aca="false">B121-WEEKDAY(B121)+1</f>
        <v>41021</v>
      </c>
      <c r="D121" s="1" t="e">
        <f aca="false" t="array" ref="D121:D121">IF(ISBLANK(_xlfn.xlookup(D$3,daily_items,_xlfn.xlookup($C121,daily_dates,big_daily_table))),NA(),_xlfn.xlookup(D$3,daily_items,_xlfn.xlookup($C121,daily_dates,big_daily_table)))</f>
        <v>#NAME?</v>
      </c>
      <c r="E121" s="1" t="e">
        <f aca="false" t="array" ref="E121:E121">IF(ISBLANK(_xlfn.xlookup(E$3,daily_items,_xlfn.xlookup($C121,daily_dates,big_daily_table))),NA(),_xlfn.xlookup(E$3,daily_items,_xlfn.xlookup($C121,daily_dates,big_daily_table)))</f>
        <v>#NAME?</v>
      </c>
    </row>
    <row r="122" customFormat="false" ht="14.25" hidden="false" customHeight="false" outlineLevel="0" collapsed="false">
      <c r="B122" s="7" t="n">
        <v>41027</v>
      </c>
      <c r="C122" s="7" t="n">
        <f aca="false">B122-WEEKDAY(B122)+1</f>
        <v>41021</v>
      </c>
      <c r="D122" s="1" t="e">
        <f aca="false" t="array" ref="D122:D122">IF(ISBLANK(_xlfn.xlookup(D$3,daily_items,_xlfn.xlookup($C122,daily_dates,big_daily_table))),NA(),_xlfn.xlookup(D$3,daily_items,_xlfn.xlookup($C122,daily_dates,big_daily_table)))</f>
        <v>#NAME?</v>
      </c>
      <c r="E122" s="1" t="e">
        <f aca="false" t="array" ref="E122:E122">IF(ISBLANK(_xlfn.xlookup(E$3,daily_items,_xlfn.xlookup($C122,daily_dates,big_daily_table))),NA(),_xlfn.xlookup(E$3,daily_items,_xlfn.xlookup($C122,daily_dates,big_daily_table)))</f>
        <v>#NAME?</v>
      </c>
    </row>
    <row r="123" customFormat="false" ht="14.25" hidden="false" customHeight="false" outlineLevel="0" collapsed="false">
      <c r="B123" s="7" t="n">
        <v>41028</v>
      </c>
      <c r="C123" s="7" t="n">
        <f aca="false">B123-WEEKDAY(B123)+1</f>
        <v>41028</v>
      </c>
      <c r="D123" s="1" t="e">
        <f aca="false" t="array" ref="D123:D123">IF(ISBLANK(_xlfn.xlookup(D$3,daily_items,_xlfn.xlookup($C123,daily_dates,big_daily_table))),NA(),_xlfn.xlookup(D$3,daily_items,_xlfn.xlookup($C123,daily_dates,big_daily_table)))</f>
        <v>#NAME?</v>
      </c>
      <c r="E123" s="1" t="e">
        <f aca="false" t="array" ref="E123:E123">IF(ISBLANK(_xlfn.xlookup(E$3,daily_items,_xlfn.xlookup($C123,daily_dates,big_daily_table))),NA(),_xlfn.xlookup(E$3,daily_items,_xlfn.xlookup($C123,daily_dates,big_daily_table)))</f>
        <v>#NAME?</v>
      </c>
    </row>
    <row r="124" customFormat="false" ht="14.25" hidden="false" customHeight="false" outlineLevel="0" collapsed="false">
      <c r="B124" s="7" t="n">
        <v>41029</v>
      </c>
      <c r="C124" s="7" t="n">
        <f aca="false">B124-WEEKDAY(B124)+1</f>
        <v>41028</v>
      </c>
      <c r="D124" s="1" t="e">
        <f aca="false" t="array" ref="D124:D124">IF(ISBLANK(_xlfn.xlookup(D$3,daily_items,_xlfn.xlookup($C124,daily_dates,big_daily_table))),NA(),_xlfn.xlookup(D$3,daily_items,_xlfn.xlookup($C124,daily_dates,big_daily_table)))</f>
        <v>#NAME?</v>
      </c>
      <c r="E124" s="1" t="e">
        <f aca="false" t="array" ref="E124:E124">IF(ISBLANK(_xlfn.xlookup(E$3,daily_items,_xlfn.xlookup($C124,daily_dates,big_daily_table))),NA(),_xlfn.xlookup(E$3,daily_items,_xlfn.xlookup($C124,daily_dates,big_daily_table)))</f>
        <v>#NAME?</v>
      </c>
    </row>
    <row r="125" customFormat="false" ht="14.25" hidden="false" customHeight="false" outlineLevel="0" collapsed="false">
      <c r="B125" s="7" t="n">
        <v>41030</v>
      </c>
      <c r="C125" s="7" t="n">
        <f aca="false">B125-WEEKDAY(B125)+1</f>
        <v>41028</v>
      </c>
      <c r="D125" s="1" t="e">
        <f aca="false" t="array" ref="D125:D125">IF(ISBLANK(_xlfn.xlookup(D$3,daily_items,_xlfn.xlookup($C125,daily_dates,big_daily_table))),NA(),_xlfn.xlookup(D$3,daily_items,_xlfn.xlookup($C125,daily_dates,big_daily_table)))</f>
        <v>#NAME?</v>
      </c>
      <c r="E125" s="1" t="e">
        <f aca="false" t="array" ref="E125:E125">IF(ISBLANK(_xlfn.xlookup(E$3,daily_items,_xlfn.xlookup($C125,daily_dates,big_daily_table))),NA(),_xlfn.xlookup(E$3,daily_items,_xlfn.xlookup($C125,daily_dates,big_daily_table)))</f>
        <v>#NAME?</v>
      </c>
    </row>
    <row r="126" customFormat="false" ht="14.25" hidden="false" customHeight="false" outlineLevel="0" collapsed="false">
      <c r="B126" s="7" t="n">
        <v>41031</v>
      </c>
      <c r="C126" s="7" t="n">
        <f aca="false">B126-WEEKDAY(B126)+1</f>
        <v>41028</v>
      </c>
      <c r="D126" s="1" t="e">
        <f aca="false" t="array" ref="D126:D126">IF(ISBLANK(_xlfn.xlookup(D$3,daily_items,_xlfn.xlookup($C126,daily_dates,big_daily_table))),NA(),_xlfn.xlookup(D$3,daily_items,_xlfn.xlookup($C126,daily_dates,big_daily_table)))</f>
        <v>#NAME?</v>
      </c>
      <c r="E126" s="1" t="e">
        <f aca="false" t="array" ref="E126:E126">IF(ISBLANK(_xlfn.xlookup(E$3,daily_items,_xlfn.xlookup($C126,daily_dates,big_daily_table))),NA(),_xlfn.xlookup(E$3,daily_items,_xlfn.xlookup($C126,daily_dates,big_daily_table)))</f>
        <v>#NAME?</v>
      </c>
    </row>
    <row r="127" customFormat="false" ht="14.25" hidden="false" customHeight="false" outlineLevel="0" collapsed="false">
      <c r="B127" s="7" t="n">
        <v>41032</v>
      </c>
      <c r="C127" s="7" t="n">
        <f aca="false">B127-WEEKDAY(B127)+1</f>
        <v>41028</v>
      </c>
      <c r="D127" s="1" t="e">
        <f aca="false" t="array" ref="D127:D127">IF(ISBLANK(_xlfn.xlookup(D$3,daily_items,_xlfn.xlookup($C127,daily_dates,big_daily_table))),NA(),_xlfn.xlookup(D$3,daily_items,_xlfn.xlookup($C127,daily_dates,big_daily_table)))</f>
        <v>#NAME?</v>
      </c>
      <c r="E127" s="1" t="e">
        <f aca="false" t="array" ref="E127:E127">IF(ISBLANK(_xlfn.xlookup(E$3,daily_items,_xlfn.xlookup($C127,daily_dates,big_daily_table))),NA(),_xlfn.xlookup(E$3,daily_items,_xlfn.xlookup($C127,daily_dates,big_daily_table)))</f>
        <v>#NAME?</v>
      </c>
    </row>
    <row r="128" customFormat="false" ht="14.25" hidden="false" customHeight="false" outlineLevel="0" collapsed="false">
      <c r="B128" s="7" t="n">
        <v>41033</v>
      </c>
      <c r="C128" s="7" t="n">
        <f aca="false">B128-WEEKDAY(B128)+1</f>
        <v>41028</v>
      </c>
      <c r="D128" s="1" t="e">
        <f aca="false" t="array" ref="D128:D128">IF(ISBLANK(_xlfn.xlookup(D$3,daily_items,_xlfn.xlookup($C128,daily_dates,big_daily_table))),NA(),_xlfn.xlookup(D$3,daily_items,_xlfn.xlookup($C128,daily_dates,big_daily_table)))</f>
        <v>#NAME?</v>
      </c>
      <c r="E128" s="1" t="e">
        <f aca="false" t="array" ref="E128:E128">IF(ISBLANK(_xlfn.xlookup(E$3,daily_items,_xlfn.xlookup($C128,daily_dates,big_daily_table))),NA(),_xlfn.xlookup(E$3,daily_items,_xlfn.xlookup($C128,daily_dates,big_daily_table)))</f>
        <v>#NAME?</v>
      </c>
    </row>
    <row r="129" customFormat="false" ht="14.25" hidden="false" customHeight="false" outlineLevel="0" collapsed="false">
      <c r="B129" s="7" t="n">
        <v>41034</v>
      </c>
      <c r="C129" s="7" t="n">
        <f aca="false">B129-WEEKDAY(B129)+1</f>
        <v>41028</v>
      </c>
      <c r="D129" s="1" t="e">
        <f aca="false" t="array" ref="D129:D129">IF(ISBLANK(_xlfn.xlookup(D$3,daily_items,_xlfn.xlookup($C129,daily_dates,big_daily_table))),NA(),_xlfn.xlookup(D$3,daily_items,_xlfn.xlookup($C129,daily_dates,big_daily_table)))</f>
        <v>#NAME?</v>
      </c>
      <c r="E129" s="1" t="e">
        <f aca="false" t="array" ref="E129:E129">IF(ISBLANK(_xlfn.xlookup(E$3,daily_items,_xlfn.xlookup($C129,daily_dates,big_daily_table))),NA(),_xlfn.xlookup(E$3,daily_items,_xlfn.xlookup($C129,daily_dates,big_daily_table)))</f>
        <v>#NAME?</v>
      </c>
    </row>
    <row r="130" customFormat="false" ht="14.25" hidden="false" customHeight="false" outlineLevel="0" collapsed="false">
      <c r="B130" s="7" t="n">
        <v>41035</v>
      </c>
      <c r="C130" s="7" t="n">
        <f aca="false">B130-WEEKDAY(B130)+1</f>
        <v>41035</v>
      </c>
      <c r="D130" s="1" t="e">
        <f aca="false" t="array" ref="D130:D130">IF(ISBLANK(_xlfn.xlookup(D$3,daily_items,_xlfn.xlookup($C130,daily_dates,big_daily_table))),NA(),_xlfn.xlookup(D$3,daily_items,_xlfn.xlookup($C130,daily_dates,big_daily_table)))</f>
        <v>#NAME?</v>
      </c>
      <c r="E130" s="1" t="e">
        <f aca="false" t="array" ref="E130:E130">IF(ISBLANK(_xlfn.xlookup(E$3,daily_items,_xlfn.xlookup($C130,daily_dates,big_daily_table))),NA(),_xlfn.xlookup(E$3,daily_items,_xlfn.xlookup($C130,daily_dates,big_daily_table)))</f>
        <v>#NAME?</v>
      </c>
    </row>
    <row r="131" customFormat="false" ht="14.25" hidden="false" customHeight="false" outlineLevel="0" collapsed="false">
      <c r="B131" s="7" t="n">
        <v>41036</v>
      </c>
      <c r="C131" s="7" t="n">
        <f aca="false">B131-WEEKDAY(B131)+1</f>
        <v>41035</v>
      </c>
      <c r="D131" s="1" t="e">
        <f aca="false" t="array" ref="D131:D131">IF(ISBLANK(_xlfn.xlookup(D$3,daily_items,_xlfn.xlookup($C131,daily_dates,big_daily_table))),NA(),_xlfn.xlookup(D$3,daily_items,_xlfn.xlookup($C131,daily_dates,big_daily_table)))</f>
        <v>#NAME?</v>
      </c>
      <c r="E131" s="1" t="e">
        <f aca="false" t="array" ref="E131:E131">IF(ISBLANK(_xlfn.xlookup(E$3,daily_items,_xlfn.xlookup($C131,daily_dates,big_daily_table))),NA(),_xlfn.xlookup(E$3,daily_items,_xlfn.xlookup($C131,daily_dates,big_daily_table)))</f>
        <v>#NAME?</v>
      </c>
    </row>
    <row r="132" customFormat="false" ht="14.25" hidden="false" customHeight="false" outlineLevel="0" collapsed="false">
      <c r="B132" s="7" t="n">
        <v>41037</v>
      </c>
      <c r="C132" s="7" t="n">
        <f aca="false">B132-WEEKDAY(B132)+1</f>
        <v>41035</v>
      </c>
      <c r="D132" s="1" t="e">
        <f aca="false" t="array" ref="D132:D132">IF(ISBLANK(_xlfn.xlookup(D$3,daily_items,_xlfn.xlookup($C132,daily_dates,big_daily_table))),NA(),_xlfn.xlookup(D$3,daily_items,_xlfn.xlookup($C132,daily_dates,big_daily_table)))</f>
        <v>#NAME?</v>
      </c>
      <c r="E132" s="1" t="e">
        <f aca="false" t="array" ref="E132:E132">IF(ISBLANK(_xlfn.xlookup(E$3,daily_items,_xlfn.xlookup($C132,daily_dates,big_daily_table))),NA(),_xlfn.xlookup(E$3,daily_items,_xlfn.xlookup($C132,daily_dates,big_daily_table)))</f>
        <v>#NAME?</v>
      </c>
    </row>
    <row r="133" customFormat="false" ht="14.25" hidden="false" customHeight="false" outlineLevel="0" collapsed="false">
      <c r="B133" s="7" t="n">
        <v>41038</v>
      </c>
      <c r="C133" s="7" t="n">
        <f aca="false">B133-WEEKDAY(B133)+1</f>
        <v>41035</v>
      </c>
      <c r="D133" s="1" t="e">
        <f aca="false" t="array" ref="D133:D133">IF(ISBLANK(_xlfn.xlookup(D$3,daily_items,_xlfn.xlookup($C133,daily_dates,big_daily_table))),NA(),_xlfn.xlookup(D$3,daily_items,_xlfn.xlookup($C133,daily_dates,big_daily_table)))</f>
        <v>#NAME?</v>
      </c>
      <c r="E133" s="1" t="e">
        <f aca="false" t="array" ref="E133:E133">IF(ISBLANK(_xlfn.xlookup(E$3,daily_items,_xlfn.xlookup($C133,daily_dates,big_daily_table))),NA(),_xlfn.xlookup(E$3,daily_items,_xlfn.xlookup($C133,daily_dates,big_daily_table)))</f>
        <v>#NAME?</v>
      </c>
    </row>
    <row r="134" customFormat="false" ht="14.25" hidden="false" customHeight="false" outlineLevel="0" collapsed="false">
      <c r="B134" s="7" t="n">
        <v>41039</v>
      </c>
      <c r="C134" s="7" t="n">
        <f aca="false">B134-WEEKDAY(B134)+1</f>
        <v>41035</v>
      </c>
      <c r="D134" s="1" t="e">
        <f aca="false" t="array" ref="D134:D134">IF(ISBLANK(_xlfn.xlookup(D$3,daily_items,_xlfn.xlookup($C134,daily_dates,big_daily_table))),NA(),_xlfn.xlookup(D$3,daily_items,_xlfn.xlookup($C134,daily_dates,big_daily_table)))</f>
        <v>#NAME?</v>
      </c>
      <c r="E134" s="1" t="e">
        <f aca="false" t="array" ref="E134:E134">IF(ISBLANK(_xlfn.xlookup(E$3,daily_items,_xlfn.xlookup($C134,daily_dates,big_daily_table))),NA(),_xlfn.xlookup(E$3,daily_items,_xlfn.xlookup($C134,daily_dates,big_daily_table)))</f>
        <v>#NAME?</v>
      </c>
    </row>
    <row r="135" customFormat="false" ht="14.25" hidden="false" customHeight="false" outlineLevel="0" collapsed="false">
      <c r="B135" s="7" t="n">
        <v>41040</v>
      </c>
      <c r="C135" s="7" t="n">
        <f aca="false">B135-WEEKDAY(B135)+1</f>
        <v>41035</v>
      </c>
      <c r="D135" s="1" t="e">
        <f aca="false" t="array" ref="D135:D135">IF(ISBLANK(_xlfn.xlookup(D$3,daily_items,_xlfn.xlookup($C135,daily_dates,big_daily_table))),NA(),_xlfn.xlookup(D$3,daily_items,_xlfn.xlookup($C135,daily_dates,big_daily_table)))</f>
        <v>#NAME?</v>
      </c>
      <c r="E135" s="1" t="e">
        <f aca="false" t="array" ref="E135:E135">IF(ISBLANK(_xlfn.xlookup(E$3,daily_items,_xlfn.xlookup($C135,daily_dates,big_daily_table))),NA(),_xlfn.xlookup(E$3,daily_items,_xlfn.xlookup($C135,daily_dates,big_daily_table)))</f>
        <v>#NAME?</v>
      </c>
    </row>
    <row r="136" customFormat="false" ht="14.25" hidden="false" customHeight="false" outlineLevel="0" collapsed="false">
      <c r="B136" s="7" t="n">
        <v>41041</v>
      </c>
      <c r="C136" s="7" t="n">
        <f aca="false">B136-WEEKDAY(B136)+1</f>
        <v>41035</v>
      </c>
      <c r="D136" s="1" t="e">
        <f aca="false" t="array" ref="D136:D136">IF(ISBLANK(_xlfn.xlookup(D$3,daily_items,_xlfn.xlookup($C136,daily_dates,big_daily_table))),NA(),_xlfn.xlookup(D$3,daily_items,_xlfn.xlookup($C136,daily_dates,big_daily_table)))</f>
        <v>#NAME?</v>
      </c>
      <c r="E136" s="1" t="e">
        <f aca="false" t="array" ref="E136:E136">IF(ISBLANK(_xlfn.xlookup(E$3,daily_items,_xlfn.xlookup($C136,daily_dates,big_daily_table))),NA(),_xlfn.xlookup(E$3,daily_items,_xlfn.xlookup($C136,daily_dates,big_daily_table)))</f>
        <v>#NAME?</v>
      </c>
    </row>
    <row r="137" customFormat="false" ht="14.25" hidden="false" customHeight="false" outlineLevel="0" collapsed="false">
      <c r="B137" s="7" t="n">
        <v>41042</v>
      </c>
      <c r="C137" s="7" t="n">
        <f aca="false">B137-WEEKDAY(B137)+1</f>
        <v>41042</v>
      </c>
      <c r="D137" s="1" t="e">
        <f aca="false" t="array" ref="D137:D137">IF(ISBLANK(_xlfn.xlookup(D$3,daily_items,_xlfn.xlookup($C137,daily_dates,big_daily_table))),NA(),_xlfn.xlookup(D$3,daily_items,_xlfn.xlookup($C137,daily_dates,big_daily_table)))</f>
        <v>#NAME?</v>
      </c>
      <c r="E137" s="1" t="e">
        <f aca="false" t="array" ref="E137:E137">IF(ISBLANK(_xlfn.xlookup(E$3,daily_items,_xlfn.xlookup($C137,daily_dates,big_daily_table))),NA(),_xlfn.xlookup(E$3,daily_items,_xlfn.xlookup($C137,daily_dates,big_daily_table)))</f>
        <v>#NAME?</v>
      </c>
    </row>
    <row r="138" customFormat="false" ht="14.25" hidden="false" customHeight="false" outlineLevel="0" collapsed="false">
      <c r="B138" s="7" t="n">
        <v>41043</v>
      </c>
      <c r="C138" s="7" t="n">
        <f aca="false">B138-WEEKDAY(B138)+1</f>
        <v>41042</v>
      </c>
      <c r="D138" s="1" t="e">
        <f aca="false" t="array" ref="D138:D138">IF(ISBLANK(_xlfn.xlookup(D$3,daily_items,_xlfn.xlookup($C138,daily_dates,big_daily_table))),NA(),_xlfn.xlookup(D$3,daily_items,_xlfn.xlookup($C138,daily_dates,big_daily_table)))</f>
        <v>#NAME?</v>
      </c>
      <c r="E138" s="1" t="e">
        <f aca="false" t="array" ref="E138:E138">IF(ISBLANK(_xlfn.xlookup(E$3,daily_items,_xlfn.xlookup($C138,daily_dates,big_daily_table))),NA(),_xlfn.xlookup(E$3,daily_items,_xlfn.xlookup($C138,daily_dates,big_daily_table)))</f>
        <v>#NAME?</v>
      </c>
    </row>
    <row r="139" customFormat="false" ht="14.25" hidden="false" customHeight="false" outlineLevel="0" collapsed="false">
      <c r="B139" s="7" t="n">
        <v>41044</v>
      </c>
      <c r="C139" s="7" t="n">
        <f aca="false">B139-WEEKDAY(B139)+1</f>
        <v>41042</v>
      </c>
      <c r="D139" s="1" t="e">
        <f aca="false" t="array" ref="D139:D139">IF(ISBLANK(_xlfn.xlookup(D$3,daily_items,_xlfn.xlookup($C139,daily_dates,big_daily_table))),NA(),_xlfn.xlookup(D$3,daily_items,_xlfn.xlookup($C139,daily_dates,big_daily_table)))</f>
        <v>#NAME?</v>
      </c>
      <c r="E139" s="1" t="e">
        <f aca="false" t="array" ref="E139:E139">IF(ISBLANK(_xlfn.xlookup(E$3,daily_items,_xlfn.xlookup($C139,daily_dates,big_daily_table))),NA(),_xlfn.xlookup(E$3,daily_items,_xlfn.xlookup($C139,daily_dates,big_daily_table)))</f>
        <v>#NAME?</v>
      </c>
    </row>
    <row r="140" customFormat="false" ht="14.25" hidden="false" customHeight="false" outlineLevel="0" collapsed="false">
      <c r="B140" s="7" t="n">
        <v>41045</v>
      </c>
      <c r="C140" s="7" t="n">
        <f aca="false">B140-WEEKDAY(B140)+1</f>
        <v>41042</v>
      </c>
      <c r="D140" s="1" t="e">
        <f aca="false" t="array" ref="D140:D140">IF(ISBLANK(_xlfn.xlookup(D$3,daily_items,_xlfn.xlookup($C140,daily_dates,big_daily_table))),NA(),_xlfn.xlookup(D$3,daily_items,_xlfn.xlookup($C140,daily_dates,big_daily_table)))</f>
        <v>#NAME?</v>
      </c>
      <c r="E140" s="1" t="e">
        <f aca="false" t="array" ref="E140:E140">IF(ISBLANK(_xlfn.xlookup(E$3,daily_items,_xlfn.xlookup($C140,daily_dates,big_daily_table))),NA(),_xlfn.xlookup(E$3,daily_items,_xlfn.xlookup($C140,daily_dates,big_daily_table)))</f>
        <v>#NAME?</v>
      </c>
    </row>
    <row r="141" customFormat="false" ht="14.25" hidden="false" customHeight="false" outlineLevel="0" collapsed="false">
      <c r="B141" s="7" t="n">
        <v>41046</v>
      </c>
      <c r="C141" s="7" t="n">
        <f aca="false">B141-WEEKDAY(B141)+1</f>
        <v>41042</v>
      </c>
      <c r="D141" s="1" t="e">
        <f aca="false" t="array" ref="D141:D141">IF(ISBLANK(_xlfn.xlookup(D$3,daily_items,_xlfn.xlookup($C141,daily_dates,big_daily_table))),NA(),_xlfn.xlookup(D$3,daily_items,_xlfn.xlookup($C141,daily_dates,big_daily_table)))</f>
        <v>#NAME?</v>
      </c>
      <c r="E141" s="1" t="e">
        <f aca="false" t="array" ref="E141:E141">IF(ISBLANK(_xlfn.xlookup(E$3,daily_items,_xlfn.xlookup($C141,daily_dates,big_daily_table))),NA(),_xlfn.xlookup(E$3,daily_items,_xlfn.xlookup($C141,daily_dates,big_daily_table)))</f>
        <v>#NAME?</v>
      </c>
    </row>
    <row r="142" customFormat="false" ht="14.25" hidden="false" customHeight="false" outlineLevel="0" collapsed="false">
      <c r="B142" s="7" t="n">
        <v>41047</v>
      </c>
      <c r="C142" s="7" t="n">
        <f aca="false">B142-WEEKDAY(B142)+1</f>
        <v>41042</v>
      </c>
      <c r="D142" s="1" t="e">
        <f aca="false" t="array" ref="D142:D142">IF(ISBLANK(_xlfn.xlookup(D$3,daily_items,_xlfn.xlookup($C142,daily_dates,big_daily_table))),NA(),_xlfn.xlookup(D$3,daily_items,_xlfn.xlookup($C142,daily_dates,big_daily_table)))</f>
        <v>#NAME?</v>
      </c>
      <c r="E142" s="1" t="e">
        <f aca="false" t="array" ref="E142:E142">IF(ISBLANK(_xlfn.xlookup(E$3,daily_items,_xlfn.xlookup($C142,daily_dates,big_daily_table))),NA(),_xlfn.xlookup(E$3,daily_items,_xlfn.xlookup($C142,daily_dates,big_daily_table)))</f>
        <v>#NAME?</v>
      </c>
    </row>
    <row r="143" customFormat="false" ht="14.25" hidden="false" customHeight="false" outlineLevel="0" collapsed="false">
      <c r="B143" s="7" t="n">
        <v>41048</v>
      </c>
      <c r="C143" s="7" t="n">
        <f aca="false">B143-WEEKDAY(B143)+1</f>
        <v>41042</v>
      </c>
      <c r="D143" s="1" t="e">
        <f aca="false" t="array" ref="D143:D143">IF(ISBLANK(_xlfn.xlookup(D$3,daily_items,_xlfn.xlookup($C143,daily_dates,big_daily_table))),NA(),_xlfn.xlookup(D$3,daily_items,_xlfn.xlookup($C143,daily_dates,big_daily_table)))</f>
        <v>#NAME?</v>
      </c>
      <c r="E143" s="1" t="e">
        <f aca="false" t="array" ref="E143:E143">IF(ISBLANK(_xlfn.xlookup(E$3,daily_items,_xlfn.xlookup($C143,daily_dates,big_daily_table))),NA(),_xlfn.xlookup(E$3,daily_items,_xlfn.xlookup($C143,daily_dates,big_daily_table)))</f>
        <v>#NAME?</v>
      </c>
    </row>
    <row r="144" customFormat="false" ht="14.25" hidden="false" customHeight="false" outlineLevel="0" collapsed="false">
      <c r="B144" s="7" t="n">
        <v>41049</v>
      </c>
      <c r="C144" s="7" t="n">
        <f aca="false">B144-WEEKDAY(B144)+1</f>
        <v>41049</v>
      </c>
      <c r="D144" s="1" t="e">
        <f aca="false" t="array" ref="D144:D144">IF(ISBLANK(_xlfn.xlookup(D$3,daily_items,_xlfn.xlookup($C144,daily_dates,big_daily_table))),NA(),_xlfn.xlookup(D$3,daily_items,_xlfn.xlookup($C144,daily_dates,big_daily_table)))</f>
        <v>#NAME?</v>
      </c>
      <c r="E144" s="1" t="e">
        <f aca="false" t="array" ref="E144:E144">IF(ISBLANK(_xlfn.xlookup(E$3,daily_items,_xlfn.xlookup($C144,daily_dates,big_daily_table))),NA(),_xlfn.xlookup(E$3,daily_items,_xlfn.xlookup($C144,daily_dates,big_daily_table)))</f>
        <v>#NAME?</v>
      </c>
    </row>
    <row r="145" customFormat="false" ht="14.25" hidden="false" customHeight="false" outlineLevel="0" collapsed="false">
      <c r="B145" s="7" t="n">
        <v>41050</v>
      </c>
      <c r="C145" s="7" t="n">
        <f aca="false">B145-WEEKDAY(B145)+1</f>
        <v>41049</v>
      </c>
      <c r="D145" s="1" t="e">
        <f aca="false" t="array" ref="D145:D145">IF(ISBLANK(_xlfn.xlookup(D$3,daily_items,_xlfn.xlookup($C145,daily_dates,big_daily_table))),NA(),_xlfn.xlookup(D$3,daily_items,_xlfn.xlookup($C145,daily_dates,big_daily_table)))</f>
        <v>#NAME?</v>
      </c>
      <c r="E145" s="1" t="e">
        <f aca="false" t="array" ref="E145:E145">IF(ISBLANK(_xlfn.xlookup(E$3,daily_items,_xlfn.xlookup($C145,daily_dates,big_daily_table))),NA(),_xlfn.xlookup(E$3,daily_items,_xlfn.xlookup($C145,daily_dates,big_daily_table)))</f>
        <v>#NAME?</v>
      </c>
    </row>
    <row r="146" customFormat="false" ht="14.25" hidden="false" customHeight="false" outlineLevel="0" collapsed="false">
      <c r="B146" s="7" t="n">
        <v>41051</v>
      </c>
      <c r="C146" s="7" t="n">
        <f aca="false">B146-WEEKDAY(B146)+1</f>
        <v>41049</v>
      </c>
      <c r="D146" s="1" t="e">
        <f aca="false" t="array" ref="D146:D146">IF(ISBLANK(_xlfn.xlookup(D$3,daily_items,_xlfn.xlookup($C146,daily_dates,big_daily_table))),NA(),_xlfn.xlookup(D$3,daily_items,_xlfn.xlookup($C146,daily_dates,big_daily_table)))</f>
        <v>#NAME?</v>
      </c>
      <c r="E146" s="1" t="e">
        <f aca="false" t="array" ref="E146:E146">IF(ISBLANK(_xlfn.xlookup(E$3,daily_items,_xlfn.xlookup($C146,daily_dates,big_daily_table))),NA(),_xlfn.xlookup(E$3,daily_items,_xlfn.xlookup($C146,daily_dates,big_daily_table)))</f>
        <v>#NAME?</v>
      </c>
    </row>
    <row r="147" customFormat="false" ht="14.25" hidden="false" customHeight="false" outlineLevel="0" collapsed="false">
      <c r="B147" s="7" t="n">
        <v>41052</v>
      </c>
      <c r="C147" s="7" t="n">
        <f aca="false">B147-WEEKDAY(B147)+1</f>
        <v>41049</v>
      </c>
      <c r="D147" s="1" t="e">
        <f aca="false" t="array" ref="D147:D147">IF(ISBLANK(_xlfn.xlookup(D$3,daily_items,_xlfn.xlookup($C147,daily_dates,big_daily_table))),NA(),_xlfn.xlookup(D$3,daily_items,_xlfn.xlookup($C147,daily_dates,big_daily_table)))</f>
        <v>#NAME?</v>
      </c>
      <c r="E147" s="1" t="e">
        <f aca="false" t="array" ref="E147:E147">IF(ISBLANK(_xlfn.xlookup(E$3,daily_items,_xlfn.xlookup($C147,daily_dates,big_daily_table))),NA(),_xlfn.xlookup(E$3,daily_items,_xlfn.xlookup($C147,daily_dates,big_daily_table)))</f>
        <v>#NAME?</v>
      </c>
    </row>
    <row r="148" customFormat="false" ht="14.25" hidden="false" customHeight="false" outlineLevel="0" collapsed="false">
      <c r="B148" s="7" t="n">
        <v>41053</v>
      </c>
      <c r="C148" s="7" t="n">
        <f aca="false">B148-WEEKDAY(B148)+1</f>
        <v>41049</v>
      </c>
      <c r="D148" s="1" t="e">
        <f aca="false" t="array" ref="D148:D148">IF(ISBLANK(_xlfn.xlookup(D$3,daily_items,_xlfn.xlookup($C148,daily_dates,big_daily_table))),NA(),_xlfn.xlookup(D$3,daily_items,_xlfn.xlookup($C148,daily_dates,big_daily_table)))</f>
        <v>#NAME?</v>
      </c>
      <c r="E148" s="1" t="e">
        <f aca="false" t="array" ref="E148:E148">IF(ISBLANK(_xlfn.xlookup(E$3,daily_items,_xlfn.xlookup($C148,daily_dates,big_daily_table))),NA(),_xlfn.xlookup(E$3,daily_items,_xlfn.xlookup($C148,daily_dates,big_daily_table)))</f>
        <v>#NAME?</v>
      </c>
    </row>
    <row r="149" customFormat="false" ht="14.25" hidden="false" customHeight="false" outlineLevel="0" collapsed="false">
      <c r="B149" s="7" t="n">
        <v>41054</v>
      </c>
      <c r="C149" s="7" t="n">
        <f aca="false">B149-WEEKDAY(B149)+1</f>
        <v>41049</v>
      </c>
      <c r="D149" s="1" t="e">
        <f aca="false" t="array" ref="D149:D149">IF(ISBLANK(_xlfn.xlookup(D$3,daily_items,_xlfn.xlookup($C149,daily_dates,big_daily_table))),NA(),_xlfn.xlookup(D$3,daily_items,_xlfn.xlookup($C149,daily_dates,big_daily_table)))</f>
        <v>#NAME?</v>
      </c>
      <c r="E149" s="1" t="e">
        <f aca="false" t="array" ref="E149:E149">IF(ISBLANK(_xlfn.xlookup(E$3,daily_items,_xlfn.xlookup($C149,daily_dates,big_daily_table))),NA(),_xlfn.xlookup(E$3,daily_items,_xlfn.xlookup($C149,daily_dates,big_daily_table)))</f>
        <v>#NAME?</v>
      </c>
    </row>
    <row r="150" customFormat="false" ht="14.25" hidden="false" customHeight="false" outlineLevel="0" collapsed="false">
      <c r="B150" s="7" t="n">
        <v>41055</v>
      </c>
      <c r="C150" s="7" t="n">
        <f aca="false">B150-WEEKDAY(B150)+1</f>
        <v>41049</v>
      </c>
      <c r="D150" s="1" t="e">
        <f aca="false" t="array" ref="D150:D150">IF(ISBLANK(_xlfn.xlookup(D$3,daily_items,_xlfn.xlookup($C150,daily_dates,big_daily_table))),NA(),_xlfn.xlookup(D$3,daily_items,_xlfn.xlookup($C150,daily_dates,big_daily_table)))</f>
        <v>#NAME?</v>
      </c>
      <c r="E150" s="1" t="e">
        <f aca="false" t="array" ref="E150:E150">IF(ISBLANK(_xlfn.xlookup(E$3,daily_items,_xlfn.xlookup($C150,daily_dates,big_daily_table))),NA(),_xlfn.xlookup(E$3,daily_items,_xlfn.xlookup($C150,daily_dates,big_daily_table)))</f>
        <v>#NAME?</v>
      </c>
    </row>
    <row r="151" customFormat="false" ht="14.25" hidden="false" customHeight="false" outlineLevel="0" collapsed="false">
      <c r="B151" s="7" t="n">
        <v>41056</v>
      </c>
      <c r="C151" s="7" t="n">
        <f aca="false">B151-WEEKDAY(B151)+1</f>
        <v>41056</v>
      </c>
      <c r="D151" s="1" t="e">
        <f aca="false" t="array" ref="D151:D151">IF(ISBLANK(_xlfn.xlookup(D$3,daily_items,_xlfn.xlookup($C151,daily_dates,big_daily_table))),NA(),_xlfn.xlookup(D$3,daily_items,_xlfn.xlookup($C151,daily_dates,big_daily_table)))</f>
        <v>#NAME?</v>
      </c>
      <c r="E151" s="1" t="e">
        <f aca="false" t="array" ref="E151:E151">IF(ISBLANK(_xlfn.xlookup(E$3,daily_items,_xlfn.xlookup($C151,daily_dates,big_daily_table))),NA(),_xlfn.xlookup(E$3,daily_items,_xlfn.xlookup($C151,daily_dates,big_daily_table)))</f>
        <v>#NAME?</v>
      </c>
    </row>
    <row r="152" customFormat="false" ht="14.25" hidden="false" customHeight="false" outlineLevel="0" collapsed="false">
      <c r="B152" s="7" t="n">
        <v>41057</v>
      </c>
      <c r="C152" s="7" t="n">
        <f aca="false">B152-WEEKDAY(B152)+1</f>
        <v>41056</v>
      </c>
      <c r="D152" s="1" t="e">
        <f aca="false" t="array" ref="D152:D152">IF(ISBLANK(_xlfn.xlookup(D$3,daily_items,_xlfn.xlookup($C152,daily_dates,big_daily_table))),NA(),_xlfn.xlookup(D$3,daily_items,_xlfn.xlookup($C152,daily_dates,big_daily_table)))</f>
        <v>#NAME?</v>
      </c>
      <c r="E152" s="1" t="e">
        <f aca="false" t="array" ref="E152:E152">IF(ISBLANK(_xlfn.xlookup(E$3,daily_items,_xlfn.xlookup($C152,daily_dates,big_daily_table))),NA(),_xlfn.xlookup(E$3,daily_items,_xlfn.xlookup($C152,daily_dates,big_daily_table)))</f>
        <v>#NAME?</v>
      </c>
    </row>
    <row r="153" customFormat="false" ht="14.25" hidden="false" customHeight="false" outlineLevel="0" collapsed="false">
      <c r="B153" s="7" t="n">
        <v>41058</v>
      </c>
      <c r="C153" s="7" t="n">
        <f aca="false">B153-WEEKDAY(B153)+1</f>
        <v>41056</v>
      </c>
      <c r="D153" s="1" t="e">
        <f aca="false" t="array" ref="D153:D153">IF(ISBLANK(_xlfn.xlookup(D$3,daily_items,_xlfn.xlookup($C153,daily_dates,big_daily_table))),NA(),_xlfn.xlookup(D$3,daily_items,_xlfn.xlookup($C153,daily_dates,big_daily_table)))</f>
        <v>#NAME?</v>
      </c>
      <c r="E153" s="1" t="e">
        <f aca="false" t="array" ref="E153:E153">IF(ISBLANK(_xlfn.xlookup(E$3,daily_items,_xlfn.xlookup($C153,daily_dates,big_daily_table))),NA(),_xlfn.xlookup(E$3,daily_items,_xlfn.xlookup($C153,daily_dates,big_daily_table)))</f>
        <v>#NAME?</v>
      </c>
    </row>
    <row r="154" customFormat="false" ht="14.25" hidden="false" customHeight="false" outlineLevel="0" collapsed="false">
      <c r="B154" s="7" t="n">
        <v>41059</v>
      </c>
      <c r="C154" s="7" t="n">
        <f aca="false">B154-WEEKDAY(B154)+1</f>
        <v>41056</v>
      </c>
      <c r="D154" s="1" t="e">
        <f aca="false" t="array" ref="D154:D154">IF(ISBLANK(_xlfn.xlookup(D$3,daily_items,_xlfn.xlookup($C154,daily_dates,big_daily_table))),NA(),_xlfn.xlookup(D$3,daily_items,_xlfn.xlookup($C154,daily_dates,big_daily_table)))</f>
        <v>#NAME?</v>
      </c>
      <c r="E154" s="1" t="e">
        <f aca="false" t="array" ref="E154:E154">IF(ISBLANK(_xlfn.xlookup(E$3,daily_items,_xlfn.xlookup($C154,daily_dates,big_daily_table))),NA(),_xlfn.xlookup(E$3,daily_items,_xlfn.xlookup($C154,daily_dates,big_daily_table)))</f>
        <v>#NAME?</v>
      </c>
    </row>
    <row r="155" customFormat="false" ht="14.25" hidden="false" customHeight="false" outlineLevel="0" collapsed="false">
      <c r="B155" s="7" t="n">
        <v>41060</v>
      </c>
      <c r="C155" s="7" t="n">
        <f aca="false">B155-WEEKDAY(B155)+1</f>
        <v>41056</v>
      </c>
      <c r="D155" s="1" t="e">
        <f aca="false" t="array" ref="D155:D155">IF(ISBLANK(_xlfn.xlookup(D$3,daily_items,_xlfn.xlookup($C155,daily_dates,big_daily_table))),NA(),_xlfn.xlookup(D$3,daily_items,_xlfn.xlookup($C155,daily_dates,big_daily_table)))</f>
        <v>#NAME?</v>
      </c>
      <c r="E155" s="1" t="e">
        <f aca="false" t="array" ref="E155:E155">IF(ISBLANK(_xlfn.xlookup(E$3,daily_items,_xlfn.xlookup($C155,daily_dates,big_daily_table))),NA(),_xlfn.xlookup(E$3,daily_items,_xlfn.xlookup($C155,daily_dates,big_daily_table)))</f>
        <v>#NAME?</v>
      </c>
    </row>
    <row r="156" customFormat="false" ht="14.25" hidden="false" customHeight="false" outlineLevel="0" collapsed="false">
      <c r="B156" s="7" t="n">
        <v>41061</v>
      </c>
      <c r="C156" s="7" t="n">
        <f aca="false">B156-WEEKDAY(B156)+1</f>
        <v>41056</v>
      </c>
      <c r="D156" s="1" t="e">
        <f aca="false" t="array" ref="D156:D156">IF(ISBLANK(_xlfn.xlookup(D$3,daily_items,_xlfn.xlookup($C156,daily_dates,big_daily_table))),NA(),_xlfn.xlookup(D$3,daily_items,_xlfn.xlookup($C156,daily_dates,big_daily_table)))</f>
        <v>#NAME?</v>
      </c>
      <c r="E156" s="1" t="e">
        <f aca="false" t="array" ref="E156:E156">IF(ISBLANK(_xlfn.xlookup(E$3,daily_items,_xlfn.xlookup($C156,daily_dates,big_daily_table))),NA(),_xlfn.xlookup(E$3,daily_items,_xlfn.xlookup($C156,daily_dates,big_daily_table)))</f>
        <v>#NAME?</v>
      </c>
    </row>
    <row r="157" customFormat="false" ht="14.25" hidden="false" customHeight="false" outlineLevel="0" collapsed="false">
      <c r="B157" s="7" t="n">
        <v>41062</v>
      </c>
      <c r="C157" s="7" t="n">
        <f aca="false">B157-WEEKDAY(B157)+1</f>
        <v>41056</v>
      </c>
      <c r="D157" s="1" t="e">
        <f aca="false" t="array" ref="D157:D157">IF(ISBLANK(_xlfn.xlookup(D$3,daily_items,_xlfn.xlookup($C157,daily_dates,big_daily_table))),NA(),_xlfn.xlookup(D$3,daily_items,_xlfn.xlookup($C157,daily_dates,big_daily_table)))</f>
        <v>#NAME?</v>
      </c>
      <c r="E157" s="1" t="e">
        <f aca="false" t="array" ref="E157:E157">IF(ISBLANK(_xlfn.xlookup(E$3,daily_items,_xlfn.xlookup($C157,daily_dates,big_daily_table))),NA(),_xlfn.xlookup(E$3,daily_items,_xlfn.xlookup($C157,daily_dates,big_daily_table)))</f>
        <v>#NAME?</v>
      </c>
    </row>
    <row r="158" customFormat="false" ht="14.25" hidden="false" customHeight="false" outlineLevel="0" collapsed="false">
      <c r="B158" s="7" t="n">
        <v>41063</v>
      </c>
      <c r="C158" s="7" t="n">
        <f aca="false">B158-WEEKDAY(B158)+1</f>
        <v>41063</v>
      </c>
      <c r="D158" s="1" t="e">
        <f aca="false" t="array" ref="D158:D158">IF(ISBLANK(_xlfn.xlookup(D$3,daily_items,_xlfn.xlookup($C158,daily_dates,big_daily_table))),NA(),_xlfn.xlookup(D$3,daily_items,_xlfn.xlookup($C158,daily_dates,big_daily_table)))</f>
        <v>#NAME?</v>
      </c>
      <c r="E158" s="1" t="e">
        <f aca="false" t="array" ref="E158:E158">IF(ISBLANK(_xlfn.xlookup(E$3,daily_items,_xlfn.xlookup($C158,daily_dates,big_daily_table))),NA(),_xlfn.xlookup(E$3,daily_items,_xlfn.xlookup($C158,daily_dates,big_daily_table)))</f>
        <v>#NAME?</v>
      </c>
    </row>
    <row r="159" customFormat="false" ht="14.25" hidden="false" customHeight="false" outlineLevel="0" collapsed="false">
      <c r="B159" s="7" t="n">
        <v>41064</v>
      </c>
      <c r="C159" s="7" t="n">
        <f aca="false">B159-WEEKDAY(B159)+1</f>
        <v>41063</v>
      </c>
      <c r="D159" s="1" t="e">
        <f aca="false" t="array" ref="D159:D159">IF(ISBLANK(_xlfn.xlookup(D$3,daily_items,_xlfn.xlookup($C159,daily_dates,big_daily_table))),NA(),_xlfn.xlookup(D$3,daily_items,_xlfn.xlookup($C159,daily_dates,big_daily_table)))</f>
        <v>#NAME?</v>
      </c>
      <c r="E159" s="1" t="e">
        <f aca="false" t="array" ref="E159:E159">IF(ISBLANK(_xlfn.xlookup(E$3,daily_items,_xlfn.xlookup($C159,daily_dates,big_daily_table))),NA(),_xlfn.xlookup(E$3,daily_items,_xlfn.xlookup($C159,daily_dates,big_daily_table)))</f>
        <v>#NAME?</v>
      </c>
    </row>
    <row r="160" customFormat="false" ht="14.25" hidden="false" customHeight="false" outlineLevel="0" collapsed="false">
      <c r="B160" s="7" t="n">
        <v>41065</v>
      </c>
      <c r="C160" s="7" t="n">
        <f aca="false">B160-WEEKDAY(B160)+1</f>
        <v>41063</v>
      </c>
      <c r="D160" s="1" t="e">
        <f aca="false" t="array" ref="D160:D160">IF(ISBLANK(_xlfn.xlookup(D$3,daily_items,_xlfn.xlookup($C160,daily_dates,big_daily_table))),NA(),_xlfn.xlookup(D$3,daily_items,_xlfn.xlookup($C160,daily_dates,big_daily_table)))</f>
        <v>#NAME?</v>
      </c>
      <c r="E160" s="1" t="e">
        <f aca="false" t="array" ref="E160:E160">IF(ISBLANK(_xlfn.xlookup(E$3,daily_items,_xlfn.xlookup($C160,daily_dates,big_daily_table))),NA(),_xlfn.xlookup(E$3,daily_items,_xlfn.xlookup($C160,daily_dates,big_daily_table)))</f>
        <v>#NAME?</v>
      </c>
    </row>
    <row r="161" customFormat="false" ht="14.25" hidden="false" customHeight="false" outlineLevel="0" collapsed="false">
      <c r="B161" s="7" t="n">
        <v>41066</v>
      </c>
      <c r="C161" s="7" t="n">
        <f aca="false">B161-WEEKDAY(B161)+1</f>
        <v>41063</v>
      </c>
      <c r="D161" s="1" t="e">
        <f aca="false" t="array" ref="D161:D161">IF(ISBLANK(_xlfn.xlookup(D$3,daily_items,_xlfn.xlookup($C161,daily_dates,big_daily_table))),NA(),_xlfn.xlookup(D$3,daily_items,_xlfn.xlookup($C161,daily_dates,big_daily_table)))</f>
        <v>#NAME?</v>
      </c>
      <c r="E161" s="1" t="e">
        <f aca="false" t="array" ref="E161:E161">IF(ISBLANK(_xlfn.xlookup(E$3,daily_items,_xlfn.xlookup($C161,daily_dates,big_daily_table))),NA(),_xlfn.xlookup(E$3,daily_items,_xlfn.xlookup($C161,daily_dates,big_daily_table)))</f>
        <v>#NAME?</v>
      </c>
    </row>
    <row r="162" customFormat="false" ht="14.25" hidden="false" customHeight="false" outlineLevel="0" collapsed="false">
      <c r="B162" s="7" t="n">
        <v>41067</v>
      </c>
      <c r="C162" s="7" t="n">
        <f aca="false">B162-WEEKDAY(B162)+1</f>
        <v>41063</v>
      </c>
      <c r="D162" s="1" t="e">
        <f aca="false" t="array" ref="D162:D162">IF(ISBLANK(_xlfn.xlookup(D$3,daily_items,_xlfn.xlookup($C162,daily_dates,big_daily_table))),NA(),_xlfn.xlookup(D$3,daily_items,_xlfn.xlookup($C162,daily_dates,big_daily_table)))</f>
        <v>#NAME?</v>
      </c>
      <c r="E162" s="1" t="e">
        <f aca="false" t="array" ref="E162:E162">IF(ISBLANK(_xlfn.xlookup(E$3,daily_items,_xlfn.xlookup($C162,daily_dates,big_daily_table))),NA(),_xlfn.xlookup(E$3,daily_items,_xlfn.xlookup($C162,daily_dates,big_daily_table)))</f>
        <v>#NAME?</v>
      </c>
    </row>
    <row r="163" customFormat="false" ht="14.25" hidden="false" customHeight="false" outlineLevel="0" collapsed="false">
      <c r="B163" s="7" t="n">
        <v>41068</v>
      </c>
      <c r="C163" s="7" t="n">
        <f aca="false">B163-WEEKDAY(B163)+1</f>
        <v>41063</v>
      </c>
      <c r="D163" s="1" t="e">
        <f aca="false" t="array" ref="D163:D163">IF(ISBLANK(_xlfn.xlookup(D$3,daily_items,_xlfn.xlookup($C163,daily_dates,big_daily_table))),NA(),_xlfn.xlookup(D$3,daily_items,_xlfn.xlookup($C163,daily_dates,big_daily_table)))</f>
        <v>#NAME?</v>
      </c>
      <c r="E163" s="1" t="e">
        <f aca="false" t="array" ref="E163:E163">IF(ISBLANK(_xlfn.xlookup(E$3,daily_items,_xlfn.xlookup($C163,daily_dates,big_daily_table))),NA(),_xlfn.xlookup(E$3,daily_items,_xlfn.xlookup($C163,daily_dates,big_daily_table)))</f>
        <v>#NAME?</v>
      </c>
    </row>
    <row r="164" customFormat="false" ht="14.25" hidden="false" customHeight="false" outlineLevel="0" collapsed="false">
      <c r="B164" s="7" t="n">
        <v>41069</v>
      </c>
      <c r="C164" s="7" t="n">
        <f aca="false">B164-WEEKDAY(B164)+1</f>
        <v>41063</v>
      </c>
      <c r="D164" s="1" t="e">
        <f aca="false" t="array" ref="D164:D164">IF(ISBLANK(_xlfn.xlookup(D$3,daily_items,_xlfn.xlookup($C164,daily_dates,big_daily_table))),NA(),_xlfn.xlookup(D$3,daily_items,_xlfn.xlookup($C164,daily_dates,big_daily_table)))</f>
        <v>#NAME?</v>
      </c>
      <c r="E164" s="1" t="e">
        <f aca="false" t="array" ref="E164:E164">IF(ISBLANK(_xlfn.xlookup(E$3,daily_items,_xlfn.xlookup($C164,daily_dates,big_daily_table))),NA(),_xlfn.xlookup(E$3,daily_items,_xlfn.xlookup($C164,daily_dates,big_daily_table)))</f>
        <v>#NAME?</v>
      </c>
    </row>
    <row r="165" customFormat="false" ht="14.25" hidden="false" customHeight="false" outlineLevel="0" collapsed="false">
      <c r="B165" s="7" t="n">
        <v>41070</v>
      </c>
      <c r="C165" s="7" t="n">
        <f aca="false">B165-WEEKDAY(B165)+1</f>
        <v>41070</v>
      </c>
      <c r="D165" s="1" t="e">
        <f aca="false" t="array" ref="D165:D165">IF(ISBLANK(_xlfn.xlookup(D$3,daily_items,_xlfn.xlookup($C165,daily_dates,big_daily_table))),NA(),_xlfn.xlookup(D$3,daily_items,_xlfn.xlookup($C165,daily_dates,big_daily_table)))</f>
        <v>#NAME?</v>
      </c>
      <c r="E165" s="1" t="e">
        <f aca="false" t="array" ref="E165:E165">IF(ISBLANK(_xlfn.xlookup(E$3,daily_items,_xlfn.xlookup($C165,daily_dates,big_daily_table))),NA(),_xlfn.xlookup(E$3,daily_items,_xlfn.xlookup($C165,daily_dates,big_daily_table)))</f>
        <v>#NAME?</v>
      </c>
    </row>
    <row r="166" customFormat="false" ht="14.25" hidden="false" customHeight="false" outlineLevel="0" collapsed="false">
      <c r="B166" s="7" t="n">
        <v>41071</v>
      </c>
      <c r="C166" s="7" t="n">
        <f aca="false">B166-WEEKDAY(B166)+1</f>
        <v>41070</v>
      </c>
      <c r="D166" s="1" t="e">
        <f aca="false" t="array" ref="D166:D166">IF(ISBLANK(_xlfn.xlookup(D$3,daily_items,_xlfn.xlookup($C166,daily_dates,big_daily_table))),NA(),_xlfn.xlookup(D$3,daily_items,_xlfn.xlookup($C166,daily_dates,big_daily_table)))</f>
        <v>#NAME?</v>
      </c>
      <c r="E166" s="1" t="e">
        <f aca="false" t="array" ref="E166:E166">IF(ISBLANK(_xlfn.xlookup(E$3,daily_items,_xlfn.xlookup($C166,daily_dates,big_daily_table))),NA(),_xlfn.xlookup(E$3,daily_items,_xlfn.xlookup($C166,daily_dates,big_daily_table)))</f>
        <v>#NAME?</v>
      </c>
    </row>
    <row r="167" customFormat="false" ht="14.25" hidden="false" customHeight="false" outlineLevel="0" collapsed="false">
      <c r="B167" s="7" t="n">
        <v>41072</v>
      </c>
      <c r="C167" s="7" t="n">
        <f aca="false">B167-WEEKDAY(B167)+1</f>
        <v>41070</v>
      </c>
      <c r="D167" s="1" t="e">
        <f aca="false" t="array" ref="D167:D167">IF(ISBLANK(_xlfn.xlookup(D$3,daily_items,_xlfn.xlookup($C167,daily_dates,big_daily_table))),NA(),_xlfn.xlookup(D$3,daily_items,_xlfn.xlookup($C167,daily_dates,big_daily_table)))</f>
        <v>#NAME?</v>
      </c>
      <c r="E167" s="1" t="e">
        <f aca="false" t="array" ref="E167:E167">IF(ISBLANK(_xlfn.xlookup(E$3,daily_items,_xlfn.xlookup($C167,daily_dates,big_daily_table))),NA(),_xlfn.xlookup(E$3,daily_items,_xlfn.xlookup($C167,daily_dates,big_daily_table)))</f>
        <v>#NAME?</v>
      </c>
    </row>
    <row r="168" customFormat="false" ht="14.25" hidden="false" customHeight="false" outlineLevel="0" collapsed="false">
      <c r="B168" s="7" t="n">
        <v>41073</v>
      </c>
      <c r="C168" s="7" t="n">
        <f aca="false">B168-WEEKDAY(B168)+1</f>
        <v>41070</v>
      </c>
      <c r="D168" s="1" t="e">
        <f aca="false" t="array" ref="D168:D168">IF(ISBLANK(_xlfn.xlookup(D$3,daily_items,_xlfn.xlookup($C168,daily_dates,big_daily_table))),NA(),_xlfn.xlookup(D$3,daily_items,_xlfn.xlookup($C168,daily_dates,big_daily_table)))</f>
        <v>#NAME?</v>
      </c>
      <c r="E168" s="1" t="e">
        <f aca="false" t="array" ref="E168:E168">IF(ISBLANK(_xlfn.xlookup(E$3,daily_items,_xlfn.xlookup($C168,daily_dates,big_daily_table))),NA(),_xlfn.xlookup(E$3,daily_items,_xlfn.xlookup($C168,daily_dates,big_daily_table)))</f>
        <v>#NAME?</v>
      </c>
    </row>
    <row r="169" customFormat="false" ht="14.25" hidden="false" customHeight="false" outlineLevel="0" collapsed="false">
      <c r="B169" s="7" t="n">
        <v>41074</v>
      </c>
      <c r="C169" s="7" t="n">
        <f aca="false">B169-WEEKDAY(B169)+1</f>
        <v>41070</v>
      </c>
      <c r="D169" s="1" t="e">
        <f aca="false" t="array" ref="D169:D169">IF(ISBLANK(_xlfn.xlookup(D$3,daily_items,_xlfn.xlookup($C169,daily_dates,big_daily_table))),NA(),_xlfn.xlookup(D$3,daily_items,_xlfn.xlookup($C169,daily_dates,big_daily_table)))</f>
        <v>#NAME?</v>
      </c>
      <c r="E169" s="1" t="e">
        <f aca="false" t="array" ref="E169:E169">IF(ISBLANK(_xlfn.xlookup(E$3,daily_items,_xlfn.xlookup($C169,daily_dates,big_daily_table))),NA(),_xlfn.xlookup(E$3,daily_items,_xlfn.xlookup($C169,daily_dates,big_daily_table)))</f>
        <v>#NAME?</v>
      </c>
    </row>
    <row r="170" customFormat="false" ht="14.25" hidden="false" customHeight="false" outlineLevel="0" collapsed="false">
      <c r="B170" s="7" t="n">
        <v>41075</v>
      </c>
      <c r="C170" s="7" t="n">
        <f aca="false">B170-WEEKDAY(B170)+1</f>
        <v>41070</v>
      </c>
      <c r="D170" s="1" t="e">
        <f aca="false" t="array" ref="D170:D170">IF(ISBLANK(_xlfn.xlookup(D$3,daily_items,_xlfn.xlookup($C170,daily_dates,big_daily_table))),NA(),_xlfn.xlookup(D$3,daily_items,_xlfn.xlookup($C170,daily_dates,big_daily_table)))</f>
        <v>#NAME?</v>
      </c>
      <c r="E170" s="1" t="e">
        <f aca="false" t="array" ref="E170:E170">IF(ISBLANK(_xlfn.xlookup(E$3,daily_items,_xlfn.xlookup($C170,daily_dates,big_daily_table))),NA(),_xlfn.xlookup(E$3,daily_items,_xlfn.xlookup($C170,daily_dates,big_daily_table)))</f>
        <v>#NAME?</v>
      </c>
    </row>
    <row r="171" customFormat="false" ht="14.25" hidden="false" customHeight="false" outlineLevel="0" collapsed="false">
      <c r="B171" s="7" t="n">
        <v>41076</v>
      </c>
      <c r="C171" s="7" t="n">
        <f aca="false">B171-WEEKDAY(B171)+1</f>
        <v>41070</v>
      </c>
      <c r="D171" s="1" t="e">
        <f aca="false" t="array" ref="D171:D171">IF(ISBLANK(_xlfn.xlookup(D$3,daily_items,_xlfn.xlookup($C171,daily_dates,big_daily_table))),NA(),_xlfn.xlookup(D$3,daily_items,_xlfn.xlookup($C171,daily_dates,big_daily_table)))</f>
        <v>#NAME?</v>
      </c>
      <c r="E171" s="1" t="e">
        <f aca="false" t="array" ref="E171:E171">IF(ISBLANK(_xlfn.xlookup(E$3,daily_items,_xlfn.xlookup($C171,daily_dates,big_daily_table))),NA(),_xlfn.xlookup(E$3,daily_items,_xlfn.xlookup($C171,daily_dates,big_daily_table)))</f>
        <v>#NAME?</v>
      </c>
    </row>
    <row r="172" customFormat="false" ht="14.25" hidden="false" customHeight="false" outlineLevel="0" collapsed="false">
      <c r="B172" s="7" t="n">
        <v>41077</v>
      </c>
      <c r="C172" s="7" t="n">
        <f aca="false">B172-WEEKDAY(B172)+1</f>
        <v>41077</v>
      </c>
      <c r="D172" s="1" t="e">
        <f aca="false" t="array" ref="D172:D172">IF(ISBLANK(_xlfn.xlookup(D$3,daily_items,_xlfn.xlookup($C172,daily_dates,big_daily_table))),NA(),_xlfn.xlookup(D$3,daily_items,_xlfn.xlookup($C172,daily_dates,big_daily_table)))</f>
        <v>#NAME?</v>
      </c>
      <c r="E172" s="1" t="e">
        <f aca="false" t="array" ref="E172:E172">IF(ISBLANK(_xlfn.xlookup(E$3,daily_items,_xlfn.xlookup($C172,daily_dates,big_daily_table))),NA(),_xlfn.xlookup(E$3,daily_items,_xlfn.xlookup($C172,daily_dates,big_daily_table)))</f>
        <v>#NAME?</v>
      </c>
    </row>
    <row r="173" customFormat="false" ht="14.25" hidden="false" customHeight="false" outlineLevel="0" collapsed="false">
      <c r="B173" s="7" t="n">
        <v>41078</v>
      </c>
      <c r="C173" s="7" t="n">
        <f aca="false">B173-WEEKDAY(B173)+1</f>
        <v>41077</v>
      </c>
      <c r="D173" s="1" t="e">
        <f aca="false" t="array" ref="D173:D173">IF(ISBLANK(_xlfn.xlookup(D$3,daily_items,_xlfn.xlookup($C173,daily_dates,big_daily_table))),NA(),_xlfn.xlookup(D$3,daily_items,_xlfn.xlookup($C173,daily_dates,big_daily_table)))</f>
        <v>#NAME?</v>
      </c>
      <c r="E173" s="1" t="e">
        <f aca="false" t="array" ref="E173:E173">IF(ISBLANK(_xlfn.xlookup(E$3,daily_items,_xlfn.xlookup($C173,daily_dates,big_daily_table))),NA(),_xlfn.xlookup(E$3,daily_items,_xlfn.xlookup($C173,daily_dates,big_daily_table)))</f>
        <v>#NAME?</v>
      </c>
    </row>
    <row r="174" customFormat="false" ht="14.25" hidden="false" customHeight="false" outlineLevel="0" collapsed="false">
      <c r="B174" s="7" t="n">
        <v>41079</v>
      </c>
      <c r="C174" s="7" t="n">
        <f aca="false">B174-WEEKDAY(B174)+1</f>
        <v>41077</v>
      </c>
      <c r="D174" s="1" t="e">
        <f aca="false" t="array" ref="D174:D174">IF(ISBLANK(_xlfn.xlookup(D$3,daily_items,_xlfn.xlookup($C174,daily_dates,big_daily_table))),NA(),_xlfn.xlookup(D$3,daily_items,_xlfn.xlookup($C174,daily_dates,big_daily_table)))</f>
        <v>#NAME?</v>
      </c>
      <c r="E174" s="1" t="e">
        <f aca="false" t="array" ref="E174:E174">IF(ISBLANK(_xlfn.xlookup(E$3,daily_items,_xlfn.xlookup($C174,daily_dates,big_daily_table))),NA(),_xlfn.xlookup(E$3,daily_items,_xlfn.xlookup($C174,daily_dates,big_daily_table)))</f>
        <v>#NAME?</v>
      </c>
    </row>
    <row r="175" customFormat="false" ht="14.25" hidden="false" customHeight="false" outlineLevel="0" collapsed="false">
      <c r="B175" s="7" t="n">
        <v>41080</v>
      </c>
      <c r="C175" s="7" t="n">
        <f aca="false">B175-WEEKDAY(B175)+1</f>
        <v>41077</v>
      </c>
      <c r="D175" s="1" t="e">
        <f aca="false" t="array" ref="D175:D175">IF(ISBLANK(_xlfn.xlookup(D$3,daily_items,_xlfn.xlookup($C175,daily_dates,big_daily_table))),NA(),_xlfn.xlookup(D$3,daily_items,_xlfn.xlookup($C175,daily_dates,big_daily_table)))</f>
        <v>#NAME?</v>
      </c>
      <c r="E175" s="1" t="e">
        <f aca="false" t="array" ref="E175:E175">IF(ISBLANK(_xlfn.xlookup(E$3,daily_items,_xlfn.xlookup($C175,daily_dates,big_daily_table))),NA(),_xlfn.xlookup(E$3,daily_items,_xlfn.xlookup($C175,daily_dates,big_daily_table)))</f>
        <v>#NAME?</v>
      </c>
    </row>
    <row r="176" customFormat="false" ht="14.25" hidden="false" customHeight="false" outlineLevel="0" collapsed="false">
      <c r="B176" s="7" t="n">
        <v>41081</v>
      </c>
      <c r="C176" s="7" t="n">
        <f aca="false">B176-WEEKDAY(B176)+1</f>
        <v>41077</v>
      </c>
      <c r="D176" s="1" t="e">
        <f aca="false" t="array" ref="D176:D176">IF(ISBLANK(_xlfn.xlookup(D$3,daily_items,_xlfn.xlookup($C176,daily_dates,big_daily_table))),NA(),_xlfn.xlookup(D$3,daily_items,_xlfn.xlookup($C176,daily_dates,big_daily_table)))</f>
        <v>#NAME?</v>
      </c>
      <c r="E176" s="1" t="e">
        <f aca="false" t="array" ref="E176:E176">IF(ISBLANK(_xlfn.xlookup(E$3,daily_items,_xlfn.xlookup($C176,daily_dates,big_daily_table))),NA(),_xlfn.xlookup(E$3,daily_items,_xlfn.xlookup($C176,daily_dates,big_daily_table)))</f>
        <v>#NAME?</v>
      </c>
    </row>
    <row r="177" customFormat="false" ht="14.25" hidden="false" customHeight="false" outlineLevel="0" collapsed="false">
      <c r="B177" s="7" t="n">
        <v>41082</v>
      </c>
      <c r="C177" s="7" t="n">
        <f aca="false">B177-WEEKDAY(B177)+1</f>
        <v>41077</v>
      </c>
      <c r="D177" s="1" t="e">
        <f aca="false" t="array" ref="D177:D177">IF(ISBLANK(_xlfn.xlookup(D$3,daily_items,_xlfn.xlookup($C177,daily_dates,big_daily_table))),NA(),_xlfn.xlookup(D$3,daily_items,_xlfn.xlookup($C177,daily_dates,big_daily_table)))</f>
        <v>#NAME?</v>
      </c>
      <c r="E177" s="1" t="e">
        <f aca="false" t="array" ref="E177:E177">IF(ISBLANK(_xlfn.xlookup(E$3,daily_items,_xlfn.xlookup($C177,daily_dates,big_daily_table))),NA(),_xlfn.xlookup(E$3,daily_items,_xlfn.xlookup($C177,daily_dates,big_daily_table)))</f>
        <v>#NAME?</v>
      </c>
    </row>
    <row r="178" customFormat="false" ht="14.25" hidden="false" customHeight="false" outlineLevel="0" collapsed="false">
      <c r="B178" s="7" t="n">
        <v>41083</v>
      </c>
      <c r="C178" s="7" t="n">
        <f aca="false">B178-WEEKDAY(B178)+1</f>
        <v>41077</v>
      </c>
      <c r="D178" s="1" t="e">
        <f aca="false" t="array" ref="D178:D178">IF(ISBLANK(_xlfn.xlookup(D$3,daily_items,_xlfn.xlookup($C178,daily_dates,big_daily_table))),NA(),_xlfn.xlookup(D$3,daily_items,_xlfn.xlookup($C178,daily_dates,big_daily_table)))</f>
        <v>#NAME?</v>
      </c>
      <c r="E178" s="1" t="e">
        <f aca="false" t="array" ref="E178:E178">IF(ISBLANK(_xlfn.xlookup(E$3,daily_items,_xlfn.xlookup($C178,daily_dates,big_daily_table))),NA(),_xlfn.xlookup(E$3,daily_items,_xlfn.xlookup($C178,daily_dates,big_daily_table)))</f>
        <v>#NAME?</v>
      </c>
    </row>
    <row r="179" customFormat="false" ht="14.25" hidden="false" customHeight="false" outlineLevel="0" collapsed="false">
      <c r="B179" s="7" t="n">
        <v>41084</v>
      </c>
      <c r="C179" s="7" t="n">
        <f aca="false">B179-WEEKDAY(B179)+1</f>
        <v>41084</v>
      </c>
      <c r="D179" s="1" t="e">
        <f aca="false" t="array" ref="D179:D179">IF(ISBLANK(_xlfn.xlookup(D$3,daily_items,_xlfn.xlookup($C179,daily_dates,big_daily_table))),NA(),_xlfn.xlookup(D$3,daily_items,_xlfn.xlookup($C179,daily_dates,big_daily_table)))</f>
        <v>#NAME?</v>
      </c>
      <c r="E179" s="1" t="e">
        <f aca="false" t="array" ref="E179:E179">IF(ISBLANK(_xlfn.xlookup(E$3,daily_items,_xlfn.xlookup($C179,daily_dates,big_daily_table))),NA(),_xlfn.xlookup(E$3,daily_items,_xlfn.xlookup($C179,daily_dates,big_daily_table)))</f>
        <v>#NAME?</v>
      </c>
    </row>
    <row r="180" customFormat="false" ht="14.25" hidden="false" customHeight="false" outlineLevel="0" collapsed="false">
      <c r="B180" s="7" t="n">
        <v>41085</v>
      </c>
      <c r="C180" s="7" t="n">
        <f aca="false">B180-WEEKDAY(B180)+1</f>
        <v>41084</v>
      </c>
      <c r="D180" s="1" t="e">
        <f aca="false" t="array" ref="D180:D180">IF(ISBLANK(_xlfn.xlookup(D$3,daily_items,_xlfn.xlookup($C180,daily_dates,big_daily_table))),NA(),_xlfn.xlookup(D$3,daily_items,_xlfn.xlookup($C180,daily_dates,big_daily_table)))</f>
        <v>#NAME?</v>
      </c>
      <c r="E180" s="1" t="e">
        <f aca="false" t="array" ref="E180:E180">IF(ISBLANK(_xlfn.xlookup(E$3,daily_items,_xlfn.xlookup($C180,daily_dates,big_daily_table))),NA(),_xlfn.xlookup(E$3,daily_items,_xlfn.xlookup($C180,daily_dates,big_daily_table)))</f>
        <v>#NAME?</v>
      </c>
    </row>
    <row r="181" customFormat="false" ht="14.25" hidden="false" customHeight="false" outlineLevel="0" collapsed="false">
      <c r="B181" s="7" t="n">
        <v>41086</v>
      </c>
      <c r="C181" s="7" t="n">
        <f aca="false">B181-WEEKDAY(B181)+1</f>
        <v>41084</v>
      </c>
      <c r="D181" s="1" t="e">
        <f aca="false" t="array" ref="D181:D181">IF(ISBLANK(_xlfn.xlookup(D$3,daily_items,_xlfn.xlookup($C181,daily_dates,big_daily_table))),NA(),_xlfn.xlookup(D$3,daily_items,_xlfn.xlookup($C181,daily_dates,big_daily_table)))</f>
        <v>#NAME?</v>
      </c>
      <c r="E181" s="1" t="e">
        <f aca="false" t="array" ref="E181:E181">IF(ISBLANK(_xlfn.xlookup(E$3,daily_items,_xlfn.xlookup($C181,daily_dates,big_daily_table))),NA(),_xlfn.xlookup(E$3,daily_items,_xlfn.xlookup($C181,daily_dates,big_daily_table)))</f>
        <v>#NAME?</v>
      </c>
    </row>
    <row r="182" customFormat="false" ht="14.25" hidden="false" customHeight="false" outlineLevel="0" collapsed="false">
      <c r="B182" s="7" t="n">
        <v>41087</v>
      </c>
      <c r="C182" s="7" t="n">
        <f aca="false">B182-WEEKDAY(B182)+1</f>
        <v>41084</v>
      </c>
      <c r="D182" s="1" t="e">
        <f aca="false" t="array" ref="D182:D182">IF(ISBLANK(_xlfn.xlookup(D$3,daily_items,_xlfn.xlookup($C182,daily_dates,big_daily_table))),NA(),_xlfn.xlookup(D$3,daily_items,_xlfn.xlookup($C182,daily_dates,big_daily_table)))</f>
        <v>#NAME?</v>
      </c>
      <c r="E182" s="1" t="e">
        <f aca="false" t="array" ref="E182:E182">IF(ISBLANK(_xlfn.xlookup(E$3,daily_items,_xlfn.xlookup($C182,daily_dates,big_daily_table))),NA(),_xlfn.xlookup(E$3,daily_items,_xlfn.xlookup($C182,daily_dates,big_daily_table)))</f>
        <v>#NAME?</v>
      </c>
    </row>
    <row r="183" customFormat="false" ht="14.25" hidden="false" customHeight="false" outlineLevel="0" collapsed="false">
      <c r="B183" s="7" t="n">
        <v>41088</v>
      </c>
      <c r="C183" s="7" t="n">
        <f aca="false">B183-WEEKDAY(B183)+1</f>
        <v>41084</v>
      </c>
      <c r="D183" s="1" t="e">
        <f aca="false" t="array" ref="D183:D183">IF(ISBLANK(_xlfn.xlookup(D$3,daily_items,_xlfn.xlookup($C183,daily_dates,big_daily_table))),NA(),_xlfn.xlookup(D$3,daily_items,_xlfn.xlookup($C183,daily_dates,big_daily_table)))</f>
        <v>#NAME?</v>
      </c>
      <c r="E183" s="1" t="e">
        <f aca="false" t="array" ref="E183:E183">IF(ISBLANK(_xlfn.xlookup(E$3,daily_items,_xlfn.xlookup($C183,daily_dates,big_daily_table))),NA(),_xlfn.xlookup(E$3,daily_items,_xlfn.xlookup($C183,daily_dates,big_daily_table)))</f>
        <v>#NAME?</v>
      </c>
    </row>
    <row r="184" customFormat="false" ht="14.25" hidden="false" customHeight="false" outlineLevel="0" collapsed="false">
      <c r="B184" s="7" t="n">
        <v>41089</v>
      </c>
      <c r="C184" s="7" t="n">
        <f aca="false">B184-WEEKDAY(B184)+1</f>
        <v>41084</v>
      </c>
      <c r="D184" s="1" t="e">
        <f aca="false" t="array" ref="D184:D184">IF(ISBLANK(_xlfn.xlookup(D$3,daily_items,_xlfn.xlookup($C184,daily_dates,big_daily_table))),NA(),_xlfn.xlookup(D$3,daily_items,_xlfn.xlookup($C184,daily_dates,big_daily_table)))</f>
        <v>#NAME?</v>
      </c>
      <c r="E184" s="1" t="e">
        <f aca="false" t="array" ref="E184:E184">IF(ISBLANK(_xlfn.xlookup(E$3,daily_items,_xlfn.xlookup($C184,daily_dates,big_daily_table))),NA(),_xlfn.xlookup(E$3,daily_items,_xlfn.xlookup($C184,daily_dates,big_daily_table)))</f>
        <v>#NAME?</v>
      </c>
    </row>
    <row r="185" customFormat="false" ht="14.25" hidden="false" customHeight="false" outlineLevel="0" collapsed="false">
      <c r="B185" s="7" t="n">
        <v>41090</v>
      </c>
      <c r="C185" s="7" t="n">
        <f aca="false">B185-WEEKDAY(B185)+1</f>
        <v>41084</v>
      </c>
      <c r="D185" s="1" t="e">
        <f aca="false" t="array" ref="D185:D185">IF(ISBLANK(_xlfn.xlookup(D$3,daily_items,_xlfn.xlookup($C185,daily_dates,big_daily_table))),NA(),_xlfn.xlookup(D$3,daily_items,_xlfn.xlookup($C185,daily_dates,big_daily_table)))</f>
        <v>#NAME?</v>
      </c>
      <c r="E185" s="1" t="e">
        <f aca="false" t="array" ref="E185:E185">IF(ISBLANK(_xlfn.xlookup(E$3,daily_items,_xlfn.xlookup($C185,daily_dates,big_daily_table))),NA(),_xlfn.xlookup(E$3,daily_items,_xlfn.xlookup($C185,daily_dates,big_daily_table)))</f>
        <v>#NAME?</v>
      </c>
    </row>
    <row r="186" customFormat="false" ht="14.25" hidden="false" customHeight="false" outlineLevel="0" collapsed="false">
      <c r="B186" s="7" t="n">
        <v>41091</v>
      </c>
      <c r="C186" s="7" t="n">
        <f aca="false">B186-WEEKDAY(B186)+1</f>
        <v>41091</v>
      </c>
      <c r="D186" s="1" t="e">
        <f aca="false" t="array" ref="D186:D186">IF(ISBLANK(_xlfn.xlookup(D$3,daily_items,_xlfn.xlookup($C186,daily_dates,big_daily_table))),NA(),_xlfn.xlookup(D$3,daily_items,_xlfn.xlookup($C186,daily_dates,big_daily_table)))</f>
        <v>#NAME?</v>
      </c>
      <c r="E186" s="1" t="e">
        <f aca="false" t="array" ref="E186:E186">IF(ISBLANK(_xlfn.xlookup(E$3,daily_items,_xlfn.xlookup($C186,daily_dates,big_daily_table))),NA(),_xlfn.xlookup(E$3,daily_items,_xlfn.xlookup($C186,daily_dates,big_daily_table)))</f>
        <v>#NAME?</v>
      </c>
    </row>
    <row r="187" customFormat="false" ht="14.25" hidden="false" customHeight="false" outlineLevel="0" collapsed="false">
      <c r="B187" s="7" t="n">
        <v>41092</v>
      </c>
      <c r="C187" s="7" t="n">
        <f aca="false">B187-WEEKDAY(B187)+1</f>
        <v>41091</v>
      </c>
      <c r="D187" s="1" t="e">
        <f aca="false" t="array" ref="D187:D187">IF(ISBLANK(_xlfn.xlookup(D$3,daily_items,_xlfn.xlookup($C187,daily_dates,big_daily_table))),NA(),_xlfn.xlookup(D$3,daily_items,_xlfn.xlookup($C187,daily_dates,big_daily_table)))</f>
        <v>#NAME?</v>
      </c>
      <c r="E187" s="1" t="e">
        <f aca="false" t="array" ref="E187:E187">IF(ISBLANK(_xlfn.xlookup(E$3,daily_items,_xlfn.xlookup($C187,daily_dates,big_daily_table))),NA(),_xlfn.xlookup(E$3,daily_items,_xlfn.xlookup($C187,daily_dates,big_daily_table)))</f>
        <v>#NAME?</v>
      </c>
    </row>
    <row r="188" customFormat="false" ht="14.25" hidden="false" customHeight="false" outlineLevel="0" collapsed="false">
      <c r="B188" s="7" t="n">
        <v>41093</v>
      </c>
      <c r="C188" s="7" t="n">
        <f aca="false">B188-WEEKDAY(B188)+1</f>
        <v>41091</v>
      </c>
      <c r="D188" s="1" t="e">
        <f aca="false" t="array" ref="D188:D188">IF(ISBLANK(_xlfn.xlookup(D$3,daily_items,_xlfn.xlookup($C188,daily_dates,big_daily_table))),NA(),_xlfn.xlookup(D$3,daily_items,_xlfn.xlookup($C188,daily_dates,big_daily_table)))</f>
        <v>#NAME?</v>
      </c>
      <c r="E188" s="1" t="e">
        <f aca="false" t="array" ref="E188:E188">IF(ISBLANK(_xlfn.xlookup(E$3,daily_items,_xlfn.xlookup($C188,daily_dates,big_daily_table))),NA(),_xlfn.xlookup(E$3,daily_items,_xlfn.xlookup($C188,daily_dates,big_daily_table)))</f>
        <v>#NAME?</v>
      </c>
    </row>
    <row r="189" customFormat="false" ht="14.25" hidden="false" customHeight="false" outlineLevel="0" collapsed="false">
      <c r="B189" s="7" t="n">
        <v>41094</v>
      </c>
      <c r="C189" s="7" t="n">
        <f aca="false">B189-WEEKDAY(B189)+1</f>
        <v>41091</v>
      </c>
      <c r="D189" s="1" t="e">
        <f aca="false" t="array" ref="D189:D189">IF(ISBLANK(_xlfn.xlookup(D$3,daily_items,_xlfn.xlookup($C189,daily_dates,big_daily_table))),NA(),_xlfn.xlookup(D$3,daily_items,_xlfn.xlookup($C189,daily_dates,big_daily_table)))</f>
        <v>#NAME?</v>
      </c>
      <c r="E189" s="1" t="e">
        <f aca="false" t="array" ref="E189:E189">IF(ISBLANK(_xlfn.xlookup(E$3,daily_items,_xlfn.xlookup($C189,daily_dates,big_daily_table))),NA(),_xlfn.xlookup(E$3,daily_items,_xlfn.xlookup($C189,daily_dates,big_daily_table)))</f>
        <v>#NAME?</v>
      </c>
    </row>
    <row r="190" customFormat="false" ht="14.25" hidden="false" customHeight="false" outlineLevel="0" collapsed="false">
      <c r="B190" s="7" t="n">
        <v>41095</v>
      </c>
      <c r="C190" s="7" t="n">
        <f aca="false">B190-WEEKDAY(B190)+1</f>
        <v>41091</v>
      </c>
      <c r="D190" s="1" t="e">
        <f aca="false" t="array" ref="D190:D190">IF(ISBLANK(_xlfn.xlookup(D$3,daily_items,_xlfn.xlookup($C190,daily_dates,big_daily_table))),NA(),_xlfn.xlookup(D$3,daily_items,_xlfn.xlookup($C190,daily_dates,big_daily_table)))</f>
        <v>#NAME?</v>
      </c>
      <c r="E190" s="1" t="e">
        <f aca="false" t="array" ref="E190:E190">IF(ISBLANK(_xlfn.xlookup(E$3,daily_items,_xlfn.xlookup($C190,daily_dates,big_daily_table))),NA(),_xlfn.xlookup(E$3,daily_items,_xlfn.xlookup($C190,daily_dates,big_daily_table)))</f>
        <v>#NAME?</v>
      </c>
    </row>
    <row r="191" customFormat="false" ht="14.25" hidden="false" customHeight="false" outlineLevel="0" collapsed="false">
      <c r="B191" s="7" t="n">
        <v>41096</v>
      </c>
      <c r="C191" s="7" t="n">
        <f aca="false">B191-WEEKDAY(B191)+1</f>
        <v>41091</v>
      </c>
      <c r="D191" s="1" t="e">
        <f aca="false" t="array" ref="D191:D191">IF(ISBLANK(_xlfn.xlookup(D$3,daily_items,_xlfn.xlookup($C191,daily_dates,big_daily_table))),NA(),_xlfn.xlookup(D$3,daily_items,_xlfn.xlookup($C191,daily_dates,big_daily_table)))</f>
        <v>#NAME?</v>
      </c>
      <c r="E191" s="1" t="e">
        <f aca="false" t="array" ref="E191:E191">IF(ISBLANK(_xlfn.xlookup(E$3,daily_items,_xlfn.xlookup($C191,daily_dates,big_daily_table))),NA(),_xlfn.xlookup(E$3,daily_items,_xlfn.xlookup($C191,daily_dates,big_daily_table)))</f>
        <v>#NAME?</v>
      </c>
    </row>
    <row r="192" customFormat="false" ht="14.25" hidden="false" customHeight="false" outlineLevel="0" collapsed="false">
      <c r="B192" s="7" t="n">
        <v>41097</v>
      </c>
      <c r="C192" s="7" t="n">
        <f aca="false">B192-WEEKDAY(B192)+1</f>
        <v>41091</v>
      </c>
      <c r="D192" s="1" t="e">
        <f aca="false" t="array" ref="D192:D192">IF(ISBLANK(_xlfn.xlookup(D$3,daily_items,_xlfn.xlookup($C192,daily_dates,big_daily_table))),NA(),_xlfn.xlookup(D$3,daily_items,_xlfn.xlookup($C192,daily_dates,big_daily_table)))</f>
        <v>#NAME?</v>
      </c>
      <c r="E192" s="1" t="e">
        <f aca="false" t="array" ref="E192:E192">IF(ISBLANK(_xlfn.xlookup(E$3,daily_items,_xlfn.xlookup($C192,daily_dates,big_daily_table))),NA(),_xlfn.xlookup(E$3,daily_items,_xlfn.xlookup($C192,daily_dates,big_daily_table)))</f>
        <v>#NAME?</v>
      </c>
    </row>
    <row r="193" customFormat="false" ht="14.25" hidden="false" customHeight="false" outlineLevel="0" collapsed="false">
      <c r="B193" s="7" t="n">
        <v>41098</v>
      </c>
      <c r="C193" s="7" t="n">
        <f aca="false">B193-WEEKDAY(B193)+1</f>
        <v>41098</v>
      </c>
      <c r="D193" s="1" t="e">
        <f aca="false" t="array" ref="D193:D193">IF(ISBLANK(_xlfn.xlookup(D$3,daily_items,_xlfn.xlookup($C193,daily_dates,big_daily_table))),NA(),_xlfn.xlookup(D$3,daily_items,_xlfn.xlookup($C193,daily_dates,big_daily_table)))</f>
        <v>#NAME?</v>
      </c>
      <c r="E193" s="1" t="e">
        <f aca="false" t="array" ref="E193:E193">IF(ISBLANK(_xlfn.xlookup(E$3,daily_items,_xlfn.xlookup($C193,daily_dates,big_daily_table))),NA(),_xlfn.xlookup(E$3,daily_items,_xlfn.xlookup($C193,daily_dates,big_daily_table)))</f>
        <v>#NAME?</v>
      </c>
    </row>
    <row r="194" customFormat="false" ht="14.25" hidden="false" customHeight="false" outlineLevel="0" collapsed="false">
      <c r="B194" s="7" t="n">
        <v>41099</v>
      </c>
      <c r="C194" s="7" t="n">
        <f aca="false">B194-WEEKDAY(B194)+1</f>
        <v>41098</v>
      </c>
      <c r="D194" s="1" t="e">
        <f aca="false" t="array" ref="D194:D194">IF(ISBLANK(_xlfn.xlookup(D$3,daily_items,_xlfn.xlookup($C194,daily_dates,big_daily_table))),NA(),_xlfn.xlookup(D$3,daily_items,_xlfn.xlookup($C194,daily_dates,big_daily_table)))</f>
        <v>#NAME?</v>
      </c>
      <c r="E194" s="1" t="e">
        <f aca="false" t="array" ref="E194:E194">IF(ISBLANK(_xlfn.xlookup(E$3,daily_items,_xlfn.xlookup($C194,daily_dates,big_daily_table))),NA(),_xlfn.xlookup(E$3,daily_items,_xlfn.xlookup($C194,daily_dates,big_daily_table)))</f>
        <v>#NAME?</v>
      </c>
    </row>
    <row r="195" customFormat="false" ht="14.25" hidden="false" customHeight="false" outlineLevel="0" collapsed="false">
      <c r="B195" s="7" t="n">
        <v>41100</v>
      </c>
      <c r="C195" s="7" t="n">
        <f aca="false">B195-WEEKDAY(B195)+1</f>
        <v>41098</v>
      </c>
      <c r="D195" s="1" t="e">
        <f aca="false" t="array" ref="D195:D195">IF(ISBLANK(_xlfn.xlookup(D$3,daily_items,_xlfn.xlookup($C195,daily_dates,big_daily_table))),NA(),_xlfn.xlookup(D$3,daily_items,_xlfn.xlookup($C195,daily_dates,big_daily_table)))</f>
        <v>#NAME?</v>
      </c>
      <c r="E195" s="1" t="e">
        <f aca="false" t="array" ref="E195:E195">IF(ISBLANK(_xlfn.xlookup(E$3,daily_items,_xlfn.xlookup($C195,daily_dates,big_daily_table))),NA(),_xlfn.xlookup(E$3,daily_items,_xlfn.xlookup($C195,daily_dates,big_daily_table)))</f>
        <v>#NAME?</v>
      </c>
    </row>
    <row r="196" customFormat="false" ht="14.25" hidden="false" customHeight="false" outlineLevel="0" collapsed="false">
      <c r="B196" s="7" t="n">
        <v>41101</v>
      </c>
      <c r="C196" s="7" t="n">
        <f aca="false">B196-WEEKDAY(B196)+1</f>
        <v>41098</v>
      </c>
      <c r="D196" s="1" t="e">
        <f aca="false" t="array" ref="D196:D196">IF(ISBLANK(_xlfn.xlookup(D$3,daily_items,_xlfn.xlookup($C196,daily_dates,big_daily_table))),NA(),_xlfn.xlookup(D$3,daily_items,_xlfn.xlookup($C196,daily_dates,big_daily_table)))</f>
        <v>#NAME?</v>
      </c>
      <c r="E196" s="1" t="e">
        <f aca="false" t="array" ref="E196:E196">IF(ISBLANK(_xlfn.xlookup(E$3,daily_items,_xlfn.xlookup($C196,daily_dates,big_daily_table))),NA(),_xlfn.xlookup(E$3,daily_items,_xlfn.xlookup($C196,daily_dates,big_daily_table)))</f>
        <v>#NAME?</v>
      </c>
    </row>
    <row r="197" customFormat="false" ht="14.25" hidden="false" customHeight="false" outlineLevel="0" collapsed="false">
      <c r="B197" s="7" t="n">
        <v>41102</v>
      </c>
      <c r="C197" s="7" t="n">
        <f aca="false">B197-WEEKDAY(B197)+1</f>
        <v>41098</v>
      </c>
      <c r="D197" s="1" t="e">
        <f aca="false" t="array" ref="D197:D197">IF(ISBLANK(_xlfn.xlookup(D$3,daily_items,_xlfn.xlookup($C197,daily_dates,big_daily_table))),NA(),_xlfn.xlookup(D$3,daily_items,_xlfn.xlookup($C197,daily_dates,big_daily_table)))</f>
        <v>#NAME?</v>
      </c>
      <c r="E197" s="1" t="e">
        <f aca="false" t="array" ref="E197:E197">IF(ISBLANK(_xlfn.xlookup(E$3,daily_items,_xlfn.xlookup($C197,daily_dates,big_daily_table))),NA(),_xlfn.xlookup(E$3,daily_items,_xlfn.xlookup($C197,daily_dates,big_daily_table)))</f>
        <v>#NAME?</v>
      </c>
    </row>
    <row r="198" customFormat="false" ht="14.25" hidden="false" customHeight="false" outlineLevel="0" collapsed="false">
      <c r="B198" s="7" t="n">
        <v>41103</v>
      </c>
      <c r="C198" s="7" t="n">
        <f aca="false">B198-WEEKDAY(B198)+1</f>
        <v>41098</v>
      </c>
      <c r="D198" s="1" t="e">
        <f aca="false" t="array" ref="D198:D198">IF(ISBLANK(_xlfn.xlookup(D$3,daily_items,_xlfn.xlookup($C198,daily_dates,big_daily_table))),NA(),_xlfn.xlookup(D$3,daily_items,_xlfn.xlookup($C198,daily_dates,big_daily_table)))</f>
        <v>#NAME?</v>
      </c>
      <c r="E198" s="1" t="e">
        <f aca="false" t="array" ref="E198:E198">IF(ISBLANK(_xlfn.xlookup(E$3,daily_items,_xlfn.xlookup($C198,daily_dates,big_daily_table))),NA(),_xlfn.xlookup(E$3,daily_items,_xlfn.xlookup($C198,daily_dates,big_daily_table)))</f>
        <v>#NAME?</v>
      </c>
    </row>
    <row r="199" customFormat="false" ht="14.25" hidden="false" customHeight="false" outlineLevel="0" collapsed="false">
      <c r="B199" s="7" t="n">
        <v>41104</v>
      </c>
      <c r="C199" s="7" t="n">
        <f aca="false">B199-WEEKDAY(B199)+1</f>
        <v>41098</v>
      </c>
      <c r="D199" s="1" t="e">
        <f aca="false" t="array" ref="D199:D199">IF(ISBLANK(_xlfn.xlookup(D$3,daily_items,_xlfn.xlookup($C199,daily_dates,big_daily_table))),NA(),_xlfn.xlookup(D$3,daily_items,_xlfn.xlookup($C199,daily_dates,big_daily_table)))</f>
        <v>#NAME?</v>
      </c>
      <c r="E199" s="1" t="e">
        <f aca="false" t="array" ref="E199:E199">IF(ISBLANK(_xlfn.xlookup(E$3,daily_items,_xlfn.xlookup($C199,daily_dates,big_daily_table))),NA(),_xlfn.xlookup(E$3,daily_items,_xlfn.xlookup($C199,daily_dates,big_daily_table)))</f>
        <v>#NAME?</v>
      </c>
    </row>
    <row r="200" customFormat="false" ht="14.25" hidden="false" customHeight="false" outlineLevel="0" collapsed="false">
      <c r="B200" s="7" t="n">
        <v>41105</v>
      </c>
      <c r="C200" s="7" t="n">
        <f aca="false">B200-WEEKDAY(B200)+1</f>
        <v>41105</v>
      </c>
      <c r="D200" s="1" t="e">
        <f aca="false" t="array" ref="D200:D200">IF(ISBLANK(_xlfn.xlookup(D$3,daily_items,_xlfn.xlookup($C200,daily_dates,big_daily_table))),NA(),_xlfn.xlookup(D$3,daily_items,_xlfn.xlookup($C200,daily_dates,big_daily_table)))</f>
        <v>#NAME?</v>
      </c>
      <c r="E200" s="1" t="e">
        <f aca="false" t="array" ref="E200:E200">IF(ISBLANK(_xlfn.xlookup(E$3,daily_items,_xlfn.xlookup($C200,daily_dates,big_daily_table))),NA(),_xlfn.xlookup(E$3,daily_items,_xlfn.xlookup($C200,daily_dates,big_daily_table)))</f>
        <v>#NAME?</v>
      </c>
    </row>
    <row r="201" customFormat="false" ht="14.25" hidden="false" customHeight="false" outlineLevel="0" collapsed="false">
      <c r="B201" s="7" t="n">
        <v>41106</v>
      </c>
      <c r="C201" s="7" t="n">
        <f aca="false">B201-WEEKDAY(B201)+1</f>
        <v>41105</v>
      </c>
      <c r="D201" s="1" t="e">
        <f aca="false" t="array" ref="D201:D201">IF(ISBLANK(_xlfn.xlookup(D$3,daily_items,_xlfn.xlookup($C201,daily_dates,big_daily_table))),NA(),_xlfn.xlookup(D$3,daily_items,_xlfn.xlookup($C201,daily_dates,big_daily_table)))</f>
        <v>#NAME?</v>
      </c>
      <c r="E201" s="1" t="e">
        <f aca="false" t="array" ref="E201:E201">IF(ISBLANK(_xlfn.xlookup(E$3,daily_items,_xlfn.xlookup($C201,daily_dates,big_daily_table))),NA(),_xlfn.xlookup(E$3,daily_items,_xlfn.xlookup($C201,daily_dates,big_daily_table)))</f>
        <v>#NAME?</v>
      </c>
    </row>
    <row r="202" customFormat="false" ht="14.25" hidden="false" customHeight="false" outlineLevel="0" collapsed="false">
      <c r="B202" s="7" t="n">
        <v>41107</v>
      </c>
      <c r="C202" s="7" t="n">
        <f aca="false">B202-WEEKDAY(B202)+1</f>
        <v>41105</v>
      </c>
      <c r="D202" s="1" t="e">
        <f aca="false" t="array" ref="D202:D202">IF(ISBLANK(_xlfn.xlookup(D$3,daily_items,_xlfn.xlookup($C202,daily_dates,big_daily_table))),NA(),_xlfn.xlookup(D$3,daily_items,_xlfn.xlookup($C202,daily_dates,big_daily_table)))</f>
        <v>#NAME?</v>
      </c>
      <c r="E202" s="1" t="e">
        <f aca="false" t="array" ref="E202:E202">IF(ISBLANK(_xlfn.xlookup(E$3,daily_items,_xlfn.xlookup($C202,daily_dates,big_daily_table))),NA(),_xlfn.xlookup(E$3,daily_items,_xlfn.xlookup($C202,daily_dates,big_daily_table)))</f>
        <v>#NAME?</v>
      </c>
    </row>
    <row r="203" customFormat="false" ht="14.25" hidden="false" customHeight="false" outlineLevel="0" collapsed="false">
      <c r="B203" s="7" t="n">
        <v>41108</v>
      </c>
      <c r="C203" s="7" t="n">
        <f aca="false">B203-WEEKDAY(B203)+1</f>
        <v>41105</v>
      </c>
      <c r="D203" s="1" t="e">
        <f aca="false" t="array" ref="D203:D203">IF(ISBLANK(_xlfn.xlookup(D$3,daily_items,_xlfn.xlookup($C203,daily_dates,big_daily_table))),NA(),_xlfn.xlookup(D$3,daily_items,_xlfn.xlookup($C203,daily_dates,big_daily_table)))</f>
        <v>#NAME?</v>
      </c>
      <c r="E203" s="1" t="e">
        <f aca="false" t="array" ref="E203:E203">IF(ISBLANK(_xlfn.xlookup(E$3,daily_items,_xlfn.xlookup($C203,daily_dates,big_daily_table))),NA(),_xlfn.xlookup(E$3,daily_items,_xlfn.xlookup($C203,daily_dates,big_daily_table)))</f>
        <v>#NAME?</v>
      </c>
    </row>
    <row r="204" customFormat="false" ht="14.25" hidden="false" customHeight="false" outlineLevel="0" collapsed="false">
      <c r="B204" s="7" t="n">
        <v>41109</v>
      </c>
      <c r="C204" s="7" t="n">
        <f aca="false">B204-WEEKDAY(B204)+1</f>
        <v>41105</v>
      </c>
      <c r="D204" s="1" t="e">
        <f aca="false" t="array" ref="D204:D204">IF(ISBLANK(_xlfn.xlookup(D$3,daily_items,_xlfn.xlookup($C204,daily_dates,big_daily_table))),NA(),_xlfn.xlookup(D$3,daily_items,_xlfn.xlookup($C204,daily_dates,big_daily_table)))</f>
        <v>#NAME?</v>
      </c>
      <c r="E204" s="1" t="e">
        <f aca="false" t="array" ref="E204:E204">IF(ISBLANK(_xlfn.xlookup(E$3,daily_items,_xlfn.xlookup($C204,daily_dates,big_daily_table))),NA(),_xlfn.xlookup(E$3,daily_items,_xlfn.xlookup($C204,daily_dates,big_daily_table)))</f>
        <v>#NAME?</v>
      </c>
    </row>
    <row r="205" customFormat="false" ht="14.25" hidden="false" customHeight="false" outlineLevel="0" collapsed="false">
      <c r="B205" s="7" t="n">
        <v>41110</v>
      </c>
      <c r="C205" s="7" t="n">
        <f aca="false">B205-WEEKDAY(B205)+1</f>
        <v>41105</v>
      </c>
      <c r="D205" s="1" t="e">
        <f aca="false" t="array" ref="D205:D205">IF(ISBLANK(_xlfn.xlookup(D$3,daily_items,_xlfn.xlookup($C205,daily_dates,big_daily_table))),NA(),_xlfn.xlookup(D$3,daily_items,_xlfn.xlookup($C205,daily_dates,big_daily_table)))</f>
        <v>#NAME?</v>
      </c>
      <c r="E205" s="1" t="e">
        <f aca="false" t="array" ref="E205:E205">IF(ISBLANK(_xlfn.xlookup(E$3,daily_items,_xlfn.xlookup($C205,daily_dates,big_daily_table))),NA(),_xlfn.xlookup(E$3,daily_items,_xlfn.xlookup($C205,daily_dates,big_daily_table)))</f>
        <v>#NAME?</v>
      </c>
    </row>
    <row r="206" customFormat="false" ht="14.25" hidden="false" customHeight="false" outlineLevel="0" collapsed="false">
      <c r="B206" s="7" t="n">
        <v>41111</v>
      </c>
      <c r="C206" s="7" t="n">
        <f aca="false">B206-WEEKDAY(B206)+1</f>
        <v>41105</v>
      </c>
      <c r="D206" s="1" t="e">
        <f aca="false" t="array" ref="D206:D206">IF(ISBLANK(_xlfn.xlookup(D$3,daily_items,_xlfn.xlookup($C206,daily_dates,big_daily_table))),NA(),_xlfn.xlookup(D$3,daily_items,_xlfn.xlookup($C206,daily_dates,big_daily_table)))</f>
        <v>#NAME?</v>
      </c>
      <c r="E206" s="1" t="e">
        <f aca="false" t="array" ref="E206:E206">IF(ISBLANK(_xlfn.xlookup(E$3,daily_items,_xlfn.xlookup($C206,daily_dates,big_daily_table))),NA(),_xlfn.xlookup(E$3,daily_items,_xlfn.xlookup($C206,daily_dates,big_daily_table)))</f>
        <v>#NAME?</v>
      </c>
    </row>
    <row r="207" customFormat="false" ht="14.25" hidden="false" customHeight="false" outlineLevel="0" collapsed="false">
      <c r="B207" s="7" t="n">
        <v>41112</v>
      </c>
      <c r="C207" s="7" t="n">
        <f aca="false">B207-WEEKDAY(B207)+1</f>
        <v>41112</v>
      </c>
      <c r="D207" s="1" t="e">
        <f aca="false" t="array" ref="D207:D207">IF(ISBLANK(_xlfn.xlookup(D$3,daily_items,_xlfn.xlookup($C207,daily_dates,big_daily_table))),NA(),_xlfn.xlookup(D$3,daily_items,_xlfn.xlookup($C207,daily_dates,big_daily_table)))</f>
        <v>#NAME?</v>
      </c>
      <c r="E207" s="1" t="e">
        <f aca="false" t="array" ref="E207:E207">IF(ISBLANK(_xlfn.xlookup(E$3,daily_items,_xlfn.xlookup($C207,daily_dates,big_daily_table))),NA(),_xlfn.xlookup(E$3,daily_items,_xlfn.xlookup($C207,daily_dates,big_daily_table)))</f>
        <v>#NAME?</v>
      </c>
    </row>
    <row r="208" customFormat="false" ht="14.25" hidden="false" customHeight="false" outlineLevel="0" collapsed="false">
      <c r="B208" s="7" t="n">
        <v>41113</v>
      </c>
      <c r="C208" s="7" t="n">
        <f aca="false">B208-WEEKDAY(B208)+1</f>
        <v>41112</v>
      </c>
      <c r="D208" s="1" t="e">
        <f aca="false" t="array" ref="D208:D208">IF(ISBLANK(_xlfn.xlookup(D$3,daily_items,_xlfn.xlookup($C208,daily_dates,big_daily_table))),NA(),_xlfn.xlookup(D$3,daily_items,_xlfn.xlookup($C208,daily_dates,big_daily_table)))</f>
        <v>#NAME?</v>
      </c>
      <c r="E208" s="1" t="e">
        <f aca="false" t="array" ref="E208:E208">IF(ISBLANK(_xlfn.xlookup(E$3,daily_items,_xlfn.xlookup($C208,daily_dates,big_daily_table))),NA(),_xlfn.xlookup(E$3,daily_items,_xlfn.xlookup($C208,daily_dates,big_daily_table)))</f>
        <v>#NAME?</v>
      </c>
    </row>
    <row r="209" customFormat="false" ht="14.25" hidden="false" customHeight="false" outlineLevel="0" collapsed="false">
      <c r="B209" s="7" t="n">
        <v>41114</v>
      </c>
      <c r="C209" s="7" t="n">
        <f aca="false">B209-WEEKDAY(B209)+1</f>
        <v>41112</v>
      </c>
      <c r="D209" s="1" t="e">
        <f aca="false" t="array" ref="D209:D209">IF(ISBLANK(_xlfn.xlookup(D$3,daily_items,_xlfn.xlookup($C209,daily_dates,big_daily_table))),NA(),_xlfn.xlookup(D$3,daily_items,_xlfn.xlookup($C209,daily_dates,big_daily_table)))</f>
        <v>#NAME?</v>
      </c>
      <c r="E209" s="1" t="e">
        <f aca="false" t="array" ref="E209:E209">IF(ISBLANK(_xlfn.xlookup(E$3,daily_items,_xlfn.xlookup($C209,daily_dates,big_daily_table))),NA(),_xlfn.xlookup(E$3,daily_items,_xlfn.xlookup($C209,daily_dates,big_daily_table)))</f>
        <v>#NAME?</v>
      </c>
    </row>
    <row r="210" customFormat="false" ht="14.25" hidden="false" customHeight="false" outlineLevel="0" collapsed="false">
      <c r="B210" s="7" t="n">
        <v>41115</v>
      </c>
      <c r="C210" s="7" t="n">
        <f aca="false">B210-WEEKDAY(B210)+1</f>
        <v>41112</v>
      </c>
      <c r="D210" s="1" t="e">
        <f aca="false" t="array" ref="D210:D210">IF(ISBLANK(_xlfn.xlookup(D$3,daily_items,_xlfn.xlookup($C210,daily_dates,big_daily_table))),NA(),_xlfn.xlookup(D$3,daily_items,_xlfn.xlookup($C210,daily_dates,big_daily_table)))</f>
        <v>#NAME?</v>
      </c>
      <c r="E210" s="1" t="e">
        <f aca="false" t="array" ref="E210:E210">IF(ISBLANK(_xlfn.xlookup(E$3,daily_items,_xlfn.xlookup($C210,daily_dates,big_daily_table))),NA(),_xlfn.xlookup(E$3,daily_items,_xlfn.xlookup($C210,daily_dates,big_daily_table)))</f>
        <v>#NAME?</v>
      </c>
    </row>
    <row r="211" customFormat="false" ht="14.25" hidden="false" customHeight="false" outlineLevel="0" collapsed="false">
      <c r="B211" s="7" t="n">
        <v>41116</v>
      </c>
      <c r="C211" s="7" t="n">
        <f aca="false">B211-WEEKDAY(B211)+1</f>
        <v>41112</v>
      </c>
      <c r="D211" s="1" t="e">
        <f aca="false" t="array" ref="D211:D211">IF(ISBLANK(_xlfn.xlookup(D$3,daily_items,_xlfn.xlookup($C211,daily_dates,big_daily_table))),NA(),_xlfn.xlookup(D$3,daily_items,_xlfn.xlookup($C211,daily_dates,big_daily_table)))</f>
        <v>#NAME?</v>
      </c>
      <c r="E211" s="1" t="e">
        <f aca="false" t="array" ref="E211:E211">IF(ISBLANK(_xlfn.xlookup(E$3,daily_items,_xlfn.xlookup($C211,daily_dates,big_daily_table))),NA(),_xlfn.xlookup(E$3,daily_items,_xlfn.xlookup($C211,daily_dates,big_daily_table)))</f>
        <v>#NAME?</v>
      </c>
    </row>
    <row r="212" customFormat="false" ht="14.25" hidden="false" customHeight="false" outlineLevel="0" collapsed="false">
      <c r="B212" s="7" t="n">
        <v>41117</v>
      </c>
      <c r="C212" s="7" t="n">
        <f aca="false">B212-WEEKDAY(B212)+1</f>
        <v>41112</v>
      </c>
      <c r="D212" s="1" t="e">
        <f aca="false" t="array" ref="D212:D212">IF(ISBLANK(_xlfn.xlookup(D$3,daily_items,_xlfn.xlookup($C212,daily_dates,big_daily_table))),NA(),_xlfn.xlookup(D$3,daily_items,_xlfn.xlookup($C212,daily_dates,big_daily_table)))</f>
        <v>#NAME?</v>
      </c>
      <c r="E212" s="1" t="e">
        <f aca="false" t="array" ref="E212:E212">IF(ISBLANK(_xlfn.xlookup(E$3,daily_items,_xlfn.xlookup($C212,daily_dates,big_daily_table))),NA(),_xlfn.xlookup(E$3,daily_items,_xlfn.xlookup($C212,daily_dates,big_daily_table)))</f>
        <v>#NAME?</v>
      </c>
    </row>
    <row r="213" customFormat="false" ht="14.25" hidden="false" customHeight="false" outlineLevel="0" collapsed="false">
      <c r="B213" s="7" t="n">
        <v>41118</v>
      </c>
      <c r="C213" s="7" t="n">
        <f aca="false">B213-WEEKDAY(B213)+1</f>
        <v>41112</v>
      </c>
      <c r="D213" s="1" t="e">
        <f aca="false" t="array" ref="D213:D213">IF(ISBLANK(_xlfn.xlookup(D$3,daily_items,_xlfn.xlookup($C213,daily_dates,big_daily_table))),NA(),_xlfn.xlookup(D$3,daily_items,_xlfn.xlookup($C213,daily_dates,big_daily_table)))</f>
        <v>#NAME?</v>
      </c>
      <c r="E213" s="1" t="e">
        <f aca="false" t="array" ref="E213:E213">IF(ISBLANK(_xlfn.xlookup(E$3,daily_items,_xlfn.xlookup($C213,daily_dates,big_daily_table))),NA(),_xlfn.xlookup(E$3,daily_items,_xlfn.xlookup($C213,daily_dates,big_daily_table)))</f>
        <v>#NAME?</v>
      </c>
    </row>
    <row r="214" customFormat="false" ht="14.25" hidden="false" customHeight="false" outlineLevel="0" collapsed="false">
      <c r="B214" s="7" t="n">
        <v>41119</v>
      </c>
      <c r="C214" s="7" t="n">
        <f aca="false">B214-WEEKDAY(B214)+1</f>
        <v>41119</v>
      </c>
      <c r="D214" s="1" t="e">
        <f aca="false" t="array" ref="D214:D214">IF(ISBLANK(_xlfn.xlookup(D$3,daily_items,_xlfn.xlookup($C214,daily_dates,big_daily_table))),NA(),_xlfn.xlookup(D$3,daily_items,_xlfn.xlookup($C214,daily_dates,big_daily_table)))</f>
        <v>#NAME?</v>
      </c>
      <c r="E214" s="1" t="e">
        <f aca="false" t="array" ref="E214:E214">IF(ISBLANK(_xlfn.xlookup(E$3,daily_items,_xlfn.xlookup($C214,daily_dates,big_daily_table))),NA(),_xlfn.xlookup(E$3,daily_items,_xlfn.xlookup($C214,daily_dates,big_daily_table)))</f>
        <v>#NAME?</v>
      </c>
    </row>
    <row r="215" customFormat="false" ht="14.25" hidden="false" customHeight="false" outlineLevel="0" collapsed="false">
      <c r="B215" s="7" t="n">
        <v>41120</v>
      </c>
      <c r="C215" s="7" t="n">
        <f aca="false">B215-WEEKDAY(B215)+1</f>
        <v>41119</v>
      </c>
      <c r="D215" s="1" t="e">
        <f aca="false" t="array" ref="D215:D215">IF(ISBLANK(_xlfn.xlookup(D$3,daily_items,_xlfn.xlookup($C215,daily_dates,big_daily_table))),NA(),_xlfn.xlookup(D$3,daily_items,_xlfn.xlookup($C215,daily_dates,big_daily_table)))</f>
        <v>#NAME?</v>
      </c>
      <c r="E215" s="1" t="e">
        <f aca="false" t="array" ref="E215:E215">IF(ISBLANK(_xlfn.xlookup(E$3,daily_items,_xlfn.xlookup($C215,daily_dates,big_daily_table))),NA(),_xlfn.xlookup(E$3,daily_items,_xlfn.xlookup($C215,daily_dates,big_daily_table)))</f>
        <v>#NAME?</v>
      </c>
    </row>
    <row r="216" customFormat="false" ht="14.25" hidden="false" customHeight="false" outlineLevel="0" collapsed="false">
      <c r="B216" s="7" t="n">
        <v>41121</v>
      </c>
      <c r="C216" s="7" t="n">
        <f aca="false">B216-WEEKDAY(B216)+1</f>
        <v>41119</v>
      </c>
      <c r="D216" s="1" t="e">
        <f aca="false" t="array" ref="D216:D216">IF(ISBLANK(_xlfn.xlookup(D$3,daily_items,_xlfn.xlookup($C216,daily_dates,big_daily_table))),NA(),_xlfn.xlookup(D$3,daily_items,_xlfn.xlookup($C216,daily_dates,big_daily_table)))</f>
        <v>#NAME?</v>
      </c>
      <c r="E216" s="1" t="e">
        <f aca="false" t="array" ref="E216:E216">IF(ISBLANK(_xlfn.xlookup(E$3,daily_items,_xlfn.xlookup($C216,daily_dates,big_daily_table))),NA(),_xlfn.xlookup(E$3,daily_items,_xlfn.xlookup($C216,daily_dates,big_daily_table)))</f>
        <v>#NAME?</v>
      </c>
    </row>
    <row r="217" customFormat="false" ht="14.25" hidden="false" customHeight="false" outlineLevel="0" collapsed="false">
      <c r="B217" s="7" t="n">
        <v>41122</v>
      </c>
      <c r="C217" s="7" t="n">
        <f aca="false">B217-WEEKDAY(B217)+1</f>
        <v>41119</v>
      </c>
      <c r="D217" s="1" t="e">
        <f aca="false" t="array" ref="D217:D217">IF(ISBLANK(_xlfn.xlookup(D$3,daily_items,_xlfn.xlookup($C217,daily_dates,big_daily_table))),NA(),_xlfn.xlookup(D$3,daily_items,_xlfn.xlookup($C217,daily_dates,big_daily_table)))</f>
        <v>#NAME?</v>
      </c>
      <c r="E217" s="1" t="e">
        <f aca="false" t="array" ref="E217:E217">IF(ISBLANK(_xlfn.xlookup(E$3,daily_items,_xlfn.xlookup($C217,daily_dates,big_daily_table))),NA(),_xlfn.xlookup(E$3,daily_items,_xlfn.xlookup($C217,daily_dates,big_daily_table)))</f>
        <v>#NAME?</v>
      </c>
    </row>
    <row r="218" customFormat="false" ht="14.25" hidden="false" customHeight="false" outlineLevel="0" collapsed="false">
      <c r="B218" s="7" t="n">
        <v>41123</v>
      </c>
      <c r="C218" s="7" t="n">
        <f aca="false">B218-WEEKDAY(B218)+1</f>
        <v>41119</v>
      </c>
      <c r="D218" s="1" t="e">
        <f aca="false" t="array" ref="D218:D218">IF(ISBLANK(_xlfn.xlookup(D$3,daily_items,_xlfn.xlookup($C218,daily_dates,big_daily_table))),NA(),_xlfn.xlookup(D$3,daily_items,_xlfn.xlookup($C218,daily_dates,big_daily_table)))</f>
        <v>#NAME?</v>
      </c>
      <c r="E218" s="1" t="e">
        <f aca="false" t="array" ref="E218:E218">IF(ISBLANK(_xlfn.xlookup(E$3,daily_items,_xlfn.xlookup($C218,daily_dates,big_daily_table))),NA(),_xlfn.xlookup(E$3,daily_items,_xlfn.xlookup($C218,daily_dates,big_daily_table)))</f>
        <v>#NAME?</v>
      </c>
    </row>
    <row r="219" customFormat="false" ht="14.25" hidden="false" customHeight="false" outlineLevel="0" collapsed="false">
      <c r="B219" s="7" t="n">
        <v>41124</v>
      </c>
      <c r="C219" s="7" t="n">
        <f aca="false">B219-WEEKDAY(B219)+1</f>
        <v>41119</v>
      </c>
      <c r="D219" s="1" t="e">
        <f aca="false" t="array" ref="D219:D219">IF(ISBLANK(_xlfn.xlookup(D$3,daily_items,_xlfn.xlookup($C219,daily_dates,big_daily_table))),NA(),_xlfn.xlookup(D$3,daily_items,_xlfn.xlookup($C219,daily_dates,big_daily_table)))</f>
        <v>#NAME?</v>
      </c>
      <c r="E219" s="1" t="e">
        <f aca="false" t="array" ref="E219:E219">IF(ISBLANK(_xlfn.xlookup(E$3,daily_items,_xlfn.xlookup($C219,daily_dates,big_daily_table))),NA(),_xlfn.xlookup(E$3,daily_items,_xlfn.xlookup($C219,daily_dates,big_daily_table)))</f>
        <v>#NAME?</v>
      </c>
    </row>
    <row r="220" customFormat="false" ht="14.25" hidden="false" customHeight="false" outlineLevel="0" collapsed="false">
      <c r="B220" s="7" t="n">
        <v>41125</v>
      </c>
      <c r="C220" s="7" t="n">
        <f aca="false">B220-WEEKDAY(B220)+1</f>
        <v>41119</v>
      </c>
      <c r="D220" s="1" t="e">
        <f aca="false" t="array" ref="D220:D220">IF(ISBLANK(_xlfn.xlookup(D$3,daily_items,_xlfn.xlookup($C220,daily_dates,big_daily_table))),NA(),_xlfn.xlookup(D$3,daily_items,_xlfn.xlookup($C220,daily_dates,big_daily_table)))</f>
        <v>#NAME?</v>
      </c>
      <c r="E220" s="1" t="e">
        <f aca="false" t="array" ref="E220:E220">IF(ISBLANK(_xlfn.xlookup(E$3,daily_items,_xlfn.xlookup($C220,daily_dates,big_daily_table))),NA(),_xlfn.xlookup(E$3,daily_items,_xlfn.xlookup($C220,daily_dates,big_daily_table)))</f>
        <v>#NAME?</v>
      </c>
    </row>
    <row r="221" customFormat="false" ht="14.25" hidden="false" customHeight="false" outlineLevel="0" collapsed="false">
      <c r="B221" s="7" t="n">
        <v>41126</v>
      </c>
      <c r="C221" s="7" t="n">
        <f aca="false">B221-WEEKDAY(B221)+1</f>
        <v>41126</v>
      </c>
      <c r="D221" s="1" t="e">
        <f aca="false" t="array" ref="D221:D221">IF(ISBLANK(_xlfn.xlookup(D$3,daily_items,_xlfn.xlookup($C221,daily_dates,big_daily_table))),NA(),_xlfn.xlookup(D$3,daily_items,_xlfn.xlookup($C221,daily_dates,big_daily_table)))</f>
        <v>#NAME?</v>
      </c>
      <c r="E221" s="1" t="e">
        <f aca="false" t="array" ref="E221:E221">IF(ISBLANK(_xlfn.xlookup(E$3,daily_items,_xlfn.xlookup($C221,daily_dates,big_daily_table))),NA(),_xlfn.xlookup(E$3,daily_items,_xlfn.xlookup($C221,daily_dates,big_daily_table)))</f>
        <v>#NAME?</v>
      </c>
    </row>
    <row r="222" customFormat="false" ht="14.25" hidden="false" customHeight="false" outlineLevel="0" collapsed="false">
      <c r="B222" s="7" t="n">
        <v>41127</v>
      </c>
      <c r="C222" s="7" t="n">
        <f aca="false">B222-WEEKDAY(B222)+1</f>
        <v>41126</v>
      </c>
      <c r="D222" s="1" t="e">
        <f aca="false" t="array" ref="D222:D222">IF(ISBLANK(_xlfn.xlookup(D$3,daily_items,_xlfn.xlookup($C222,daily_dates,big_daily_table))),NA(),_xlfn.xlookup(D$3,daily_items,_xlfn.xlookup($C222,daily_dates,big_daily_table)))</f>
        <v>#NAME?</v>
      </c>
      <c r="E222" s="1" t="e">
        <f aca="false" t="array" ref="E222:E222">IF(ISBLANK(_xlfn.xlookup(E$3,daily_items,_xlfn.xlookup($C222,daily_dates,big_daily_table))),NA(),_xlfn.xlookup(E$3,daily_items,_xlfn.xlookup($C222,daily_dates,big_daily_table)))</f>
        <v>#NAME?</v>
      </c>
    </row>
    <row r="223" customFormat="false" ht="14.25" hidden="false" customHeight="false" outlineLevel="0" collapsed="false">
      <c r="B223" s="7" t="n">
        <v>41128</v>
      </c>
      <c r="C223" s="7" t="n">
        <f aca="false">B223-WEEKDAY(B223)+1</f>
        <v>41126</v>
      </c>
      <c r="D223" s="1" t="e">
        <f aca="false" t="array" ref="D223:D223">IF(ISBLANK(_xlfn.xlookup(D$3,daily_items,_xlfn.xlookup($C223,daily_dates,big_daily_table))),NA(),_xlfn.xlookup(D$3,daily_items,_xlfn.xlookup($C223,daily_dates,big_daily_table)))</f>
        <v>#NAME?</v>
      </c>
      <c r="E223" s="1" t="e">
        <f aca="false" t="array" ref="E223:E223">IF(ISBLANK(_xlfn.xlookup(E$3,daily_items,_xlfn.xlookup($C223,daily_dates,big_daily_table))),NA(),_xlfn.xlookup(E$3,daily_items,_xlfn.xlookup($C223,daily_dates,big_daily_table)))</f>
        <v>#NAME?</v>
      </c>
    </row>
    <row r="224" customFormat="false" ht="14.25" hidden="false" customHeight="false" outlineLevel="0" collapsed="false">
      <c r="B224" s="7" t="n">
        <v>41129</v>
      </c>
      <c r="C224" s="7" t="n">
        <f aca="false">B224-WEEKDAY(B224)+1</f>
        <v>41126</v>
      </c>
      <c r="D224" s="1" t="e">
        <f aca="false" t="array" ref="D224:D224">IF(ISBLANK(_xlfn.xlookup(D$3,daily_items,_xlfn.xlookup($C224,daily_dates,big_daily_table))),NA(),_xlfn.xlookup(D$3,daily_items,_xlfn.xlookup($C224,daily_dates,big_daily_table)))</f>
        <v>#NAME?</v>
      </c>
      <c r="E224" s="1" t="e">
        <f aca="false" t="array" ref="E224:E224">IF(ISBLANK(_xlfn.xlookup(E$3,daily_items,_xlfn.xlookup($C224,daily_dates,big_daily_table))),NA(),_xlfn.xlookup(E$3,daily_items,_xlfn.xlookup($C224,daily_dates,big_daily_table)))</f>
        <v>#NAME?</v>
      </c>
    </row>
    <row r="225" customFormat="false" ht="14.25" hidden="false" customHeight="false" outlineLevel="0" collapsed="false">
      <c r="B225" s="7" t="n">
        <v>41130</v>
      </c>
      <c r="C225" s="7" t="n">
        <f aca="false">B225-WEEKDAY(B225)+1</f>
        <v>41126</v>
      </c>
      <c r="D225" s="1" t="e">
        <f aca="false" t="array" ref="D225:D225">IF(ISBLANK(_xlfn.xlookup(D$3,daily_items,_xlfn.xlookup($C225,daily_dates,big_daily_table))),NA(),_xlfn.xlookup(D$3,daily_items,_xlfn.xlookup($C225,daily_dates,big_daily_table)))</f>
        <v>#NAME?</v>
      </c>
      <c r="E225" s="1" t="e">
        <f aca="false" t="array" ref="E225:E225">IF(ISBLANK(_xlfn.xlookup(E$3,daily_items,_xlfn.xlookup($C225,daily_dates,big_daily_table))),NA(),_xlfn.xlookup(E$3,daily_items,_xlfn.xlookup($C225,daily_dates,big_daily_table)))</f>
        <v>#NAME?</v>
      </c>
    </row>
    <row r="226" customFormat="false" ht="14.25" hidden="false" customHeight="false" outlineLevel="0" collapsed="false">
      <c r="B226" s="7" t="n">
        <v>41131</v>
      </c>
      <c r="C226" s="7" t="n">
        <f aca="false">B226-WEEKDAY(B226)+1</f>
        <v>41126</v>
      </c>
      <c r="D226" s="1" t="e">
        <f aca="false" t="array" ref="D226:D226">IF(ISBLANK(_xlfn.xlookup(D$3,daily_items,_xlfn.xlookup($C226,daily_dates,big_daily_table))),NA(),_xlfn.xlookup(D$3,daily_items,_xlfn.xlookup($C226,daily_dates,big_daily_table)))</f>
        <v>#NAME?</v>
      </c>
      <c r="E226" s="1" t="e">
        <f aca="false" t="array" ref="E226:E226">IF(ISBLANK(_xlfn.xlookup(E$3,daily_items,_xlfn.xlookup($C226,daily_dates,big_daily_table))),NA(),_xlfn.xlookup(E$3,daily_items,_xlfn.xlookup($C226,daily_dates,big_daily_table)))</f>
        <v>#NAME?</v>
      </c>
    </row>
    <row r="227" customFormat="false" ht="14.25" hidden="false" customHeight="false" outlineLevel="0" collapsed="false">
      <c r="B227" s="7" t="n">
        <v>41132</v>
      </c>
      <c r="C227" s="7" t="n">
        <f aca="false">B227-WEEKDAY(B227)+1</f>
        <v>41126</v>
      </c>
      <c r="D227" s="1" t="e">
        <f aca="false" t="array" ref="D227:D227">IF(ISBLANK(_xlfn.xlookup(D$3,daily_items,_xlfn.xlookup($C227,daily_dates,big_daily_table))),NA(),_xlfn.xlookup(D$3,daily_items,_xlfn.xlookup($C227,daily_dates,big_daily_table)))</f>
        <v>#NAME?</v>
      </c>
      <c r="E227" s="1" t="e">
        <f aca="false" t="array" ref="E227:E227">IF(ISBLANK(_xlfn.xlookup(E$3,daily_items,_xlfn.xlookup($C227,daily_dates,big_daily_table))),NA(),_xlfn.xlookup(E$3,daily_items,_xlfn.xlookup($C227,daily_dates,big_daily_table)))</f>
        <v>#NAME?</v>
      </c>
    </row>
    <row r="228" customFormat="false" ht="14.25" hidden="false" customHeight="false" outlineLevel="0" collapsed="false">
      <c r="B228" s="7" t="n">
        <v>41133</v>
      </c>
      <c r="C228" s="7" t="n">
        <f aca="false">B228-WEEKDAY(B228)+1</f>
        <v>41133</v>
      </c>
      <c r="D228" s="1" t="e">
        <f aca="false" t="array" ref="D228:D228">IF(ISBLANK(_xlfn.xlookup(D$3,daily_items,_xlfn.xlookup($C228,daily_dates,big_daily_table))),NA(),_xlfn.xlookup(D$3,daily_items,_xlfn.xlookup($C228,daily_dates,big_daily_table)))</f>
        <v>#NAME?</v>
      </c>
      <c r="E228" s="1" t="e">
        <f aca="false" t="array" ref="E228:E228">IF(ISBLANK(_xlfn.xlookup(E$3,daily_items,_xlfn.xlookup($C228,daily_dates,big_daily_table))),NA(),_xlfn.xlookup(E$3,daily_items,_xlfn.xlookup($C228,daily_dates,big_daily_table)))</f>
        <v>#NAME?</v>
      </c>
    </row>
    <row r="229" customFormat="false" ht="14.25" hidden="false" customHeight="false" outlineLevel="0" collapsed="false">
      <c r="B229" s="7" t="n">
        <v>41134</v>
      </c>
      <c r="C229" s="7" t="n">
        <f aca="false">B229-WEEKDAY(B229)+1</f>
        <v>41133</v>
      </c>
      <c r="D229" s="1" t="e">
        <f aca="false" t="array" ref="D229:D229">IF(ISBLANK(_xlfn.xlookup(D$3,daily_items,_xlfn.xlookup($C229,daily_dates,big_daily_table))),NA(),_xlfn.xlookup(D$3,daily_items,_xlfn.xlookup($C229,daily_dates,big_daily_table)))</f>
        <v>#NAME?</v>
      </c>
      <c r="E229" s="1" t="e">
        <f aca="false" t="array" ref="E229:E229">IF(ISBLANK(_xlfn.xlookup(E$3,daily_items,_xlfn.xlookup($C229,daily_dates,big_daily_table))),NA(),_xlfn.xlookup(E$3,daily_items,_xlfn.xlookup($C229,daily_dates,big_daily_table)))</f>
        <v>#NAME?</v>
      </c>
    </row>
    <row r="230" customFormat="false" ht="14.25" hidden="false" customHeight="false" outlineLevel="0" collapsed="false">
      <c r="B230" s="7" t="n">
        <v>41135</v>
      </c>
      <c r="C230" s="7" t="n">
        <f aca="false">B230-WEEKDAY(B230)+1</f>
        <v>41133</v>
      </c>
      <c r="D230" s="1" t="e">
        <f aca="false" t="array" ref="D230:D230">IF(ISBLANK(_xlfn.xlookup(D$3,daily_items,_xlfn.xlookup($C230,daily_dates,big_daily_table))),NA(),_xlfn.xlookup(D$3,daily_items,_xlfn.xlookup($C230,daily_dates,big_daily_table)))</f>
        <v>#NAME?</v>
      </c>
      <c r="E230" s="1" t="e">
        <f aca="false" t="array" ref="E230:E230">IF(ISBLANK(_xlfn.xlookup(E$3,daily_items,_xlfn.xlookup($C230,daily_dates,big_daily_table))),NA(),_xlfn.xlookup(E$3,daily_items,_xlfn.xlookup($C230,daily_dates,big_daily_table)))</f>
        <v>#NAME?</v>
      </c>
    </row>
    <row r="231" customFormat="false" ht="14.25" hidden="false" customHeight="false" outlineLevel="0" collapsed="false">
      <c r="B231" s="7" t="n">
        <v>41136</v>
      </c>
      <c r="C231" s="7" t="n">
        <f aca="false">B231-WEEKDAY(B231)+1</f>
        <v>41133</v>
      </c>
      <c r="D231" s="1" t="e">
        <f aca="false" t="array" ref="D231:D231">IF(ISBLANK(_xlfn.xlookup(D$3,daily_items,_xlfn.xlookup($C231,daily_dates,big_daily_table))),NA(),_xlfn.xlookup(D$3,daily_items,_xlfn.xlookup($C231,daily_dates,big_daily_table)))</f>
        <v>#NAME?</v>
      </c>
      <c r="E231" s="1" t="e">
        <f aca="false" t="array" ref="E231:E231">IF(ISBLANK(_xlfn.xlookup(E$3,daily_items,_xlfn.xlookup($C231,daily_dates,big_daily_table))),NA(),_xlfn.xlookup(E$3,daily_items,_xlfn.xlookup($C231,daily_dates,big_daily_table)))</f>
        <v>#NAME?</v>
      </c>
    </row>
    <row r="232" customFormat="false" ht="14.25" hidden="false" customHeight="false" outlineLevel="0" collapsed="false">
      <c r="B232" s="7" t="n">
        <v>41137</v>
      </c>
      <c r="C232" s="7" t="n">
        <f aca="false">B232-WEEKDAY(B232)+1</f>
        <v>41133</v>
      </c>
      <c r="D232" s="1" t="e">
        <f aca="false" t="array" ref="D232:D232">IF(ISBLANK(_xlfn.xlookup(D$3,daily_items,_xlfn.xlookup($C232,daily_dates,big_daily_table))),NA(),_xlfn.xlookup(D$3,daily_items,_xlfn.xlookup($C232,daily_dates,big_daily_table)))</f>
        <v>#NAME?</v>
      </c>
      <c r="E232" s="1" t="e">
        <f aca="false" t="array" ref="E232:E232">IF(ISBLANK(_xlfn.xlookup(E$3,daily_items,_xlfn.xlookup($C232,daily_dates,big_daily_table))),NA(),_xlfn.xlookup(E$3,daily_items,_xlfn.xlookup($C232,daily_dates,big_daily_table)))</f>
        <v>#NAME?</v>
      </c>
    </row>
    <row r="233" customFormat="false" ht="14.25" hidden="false" customHeight="false" outlineLevel="0" collapsed="false">
      <c r="B233" s="7" t="n">
        <v>41138</v>
      </c>
      <c r="C233" s="7" t="n">
        <f aca="false">B233-WEEKDAY(B233)+1</f>
        <v>41133</v>
      </c>
      <c r="D233" s="1" t="e">
        <f aca="false" t="array" ref="D233:D233">IF(ISBLANK(_xlfn.xlookup(D$3,daily_items,_xlfn.xlookup($C233,daily_dates,big_daily_table))),NA(),_xlfn.xlookup(D$3,daily_items,_xlfn.xlookup($C233,daily_dates,big_daily_table)))</f>
        <v>#NAME?</v>
      </c>
      <c r="E233" s="1" t="e">
        <f aca="false" t="array" ref="E233:E233">IF(ISBLANK(_xlfn.xlookup(E$3,daily_items,_xlfn.xlookup($C233,daily_dates,big_daily_table))),NA(),_xlfn.xlookup(E$3,daily_items,_xlfn.xlookup($C233,daily_dates,big_daily_table)))</f>
        <v>#NAME?</v>
      </c>
    </row>
    <row r="234" customFormat="false" ht="14.25" hidden="false" customHeight="false" outlineLevel="0" collapsed="false">
      <c r="B234" s="7" t="n">
        <v>41139</v>
      </c>
      <c r="C234" s="7" t="n">
        <f aca="false">B234-WEEKDAY(B234)+1</f>
        <v>41133</v>
      </c>
      <c r="D234" s="1" t="e">
        <f aca="false" t="array" ref="D234:D234">IF(ISBLANK(_xlfn.xlookup(D$3,daily_items,_xlfn.xlookup($C234,daily_dates,big_daily_table))),NA(),_xlfn.xlookup(D$3,daily_items,_xlfn.xlookup($C234,daily_dates,big_daily_table)))</f>
        <v>#NAME?</v>
      </c>
      <c r="E234" s="1" t="e">
        <f aca="false" t="array" ref="E234:E234">IF(ISBLANK(_xlfn.xlookup(E$3,daily_items,_xlfn.xlookup($C234,daily_dates,big_daily_table))),NA(),_xlfn.xlookup(E$3,daily_items,_xlfn.xlookup($C234,daily_dates,big_daily_table)))</f>
        <v>#NAME?</v>
      </c>
    </row>
    <row r="235" customFormat="false" ht="14.25" hidden="false" customHeight="false" outlineLevel="0" collapsed="false">
      <c r="B235" s="7" t="n">
        <v>41140</v>
      </c>
      <c r="C235" s="7" t="n">
        <f aca="false">B235-WEEKDAY(B235)+1</f>
        <v>41140</v>
      </c>
      <c r="D235" s="1" t="e">
        <f aca="false" t="array" ref="D235:D235">IF(ISBLANK(_xlfn.xlookup(D$3,daily_items,_xlfn.xlookup($C235,daily_dates,big_daily_table))),NA(),_xlfn.xlookup(D$3,daily_items,_xlfn.xlookup($C235,daily_dates,big_daily_table)))</f>
        <v>#NAME?</v>
      </c>
      <c r="E235" s="1" t="e">
        <f aca="false" t="array" ref="E235:E235">IF(ISBLANK(_xlfn.xlookup(E$3,daily_items,_xlfn.xlookup($C235,daily_dates,big_daily_table))),NA(),_xlfn.xlookup(E$3,daily_items,_xlfn.xlookup($C235,daily_dates,big_daily_table)))</f>
        <v>#NAME?</v>
      </c>
    </row>
    <row r="236" customFormat="false" ht="14.25" hidden="false" customHeight="false" outlineLevel="0" collapsed="false">
      <c r="B236" s="7" t="n">
        <v>41141</v>
      </c>
      <c r="C236" s="7" t="n">
        <f aca="false">B236-WEEKDAY(B236)+1</f>
        <v>41140</v>
      </c>
      <c r="D236" s="1" t="e">
        <f aca="false" t="array" ref="D236:D236">IF(ISBLANK(_xlfn.xlookup(D$3,daily_items,_xlfn.xlookup($C236,daily_dates,big_daily_table))),NA(),_xlfn.xlookup(D$3,daily_items,_xlfn.xlookup($C236,daily_dates,big_daily_table)))</f>
        <v>#NAME?</v>
      </c>
      <c r="E236" s="1" t="e">
        <f aca="false" t="array" ref="E236:E236">IF(ISBLANK(_xlfn.xlookup(E$3,daily_items,_xlfn.xlookup($C236,daily_dates,big_daily_table))),NA(),_xlfn.xlookup(E$3,daily_items,_xlfn.xlookup($C236,daily_dates,big_daily_table)))</f>
        <v>#NAME?</v>
      </c>
    </row>
    <row r="237" customFormat="false" ht="14.25" hidden="false" customHeight="false" outlineLevel="0" collapsed="false">
      <c r="B237" s="7" t="n">
        <v>41142</v>
      </c>
      <c r="C237" s="7" t="n">
        <f aca="false">B237-WEEKDAY(B237)+1</f>
        <v>41140</v>
      </c>
      <c r="D237" s="1" t="e">
        <f aca="false" t="array" ref="D237:D237">IF(ISBLANK(_xlfn.xlookup(D$3,daily_items,_xlfn.xlookup($C237,daily_dates,big_daily_table))),NA(),_xlfn.xlookup(D$3,daily_items,_xlfn.xlookup($C237,daily_dates,big_daily_table)))</f>
        <v>#NAME?</v>
      </c>
      <c r="E237" s="1" t="e">
        <f aca="false" t="array" ref="E237:E237">IF(ISBLANK(_xlfn.xlookup(E$3,daily_items,_xlfn.xlookup($C237,daily_dates,big_daily_table))),NA(),_xlfn.xlookup(E$3,daily_items,_xlfn.xlookup($C237,daily_dates,big_daily_table)))</f>
        <v>#NAME?</v>
      </c>
    </row>
    <row r="238" customFormat="false" ht="14.25" hidden="false" customHeight="false" outlineLevel="0" collapsed="false">
      <c r="B238" s="7" t="n">
        <v>41143</v>
      </c>
      <c r="C238" s="7" t="n">
        <f aca="false">B238-WEEKDAY(B238)+1</f>
        <v>41140</v>
      </c>
      <c r="D238" s="1" t="e">
        <f aca="false" t="array" ref="D238:D238">IF(ISBLANK(_xlfn.xlookup(D$3,daily_items,_xlfn.xlookup($C238,daily_dates,big_daily_table))),NA(),_xlfn.xlookup(D$3,daily_items,_xlfn.xlookup($C238,daily_dates,big_daily_table)))</f>
        <v>#NAME?</v>
      </c>
      <c r="E238" s="1" t="e">
        <f aca="false" t="array" ref="E238:E238">IF(ISBLANK(_xlfn.xlookup(E$3,daily_items,_xlfn.xlookup($C238,daily_dates,big_daily_table))),NA(),_xlfn.xlookup(E$3,daily_items,_xlfn.xlookup($C238,daily_dates,big_daily_table)))</f>
        <v>#NAME?</v>
      </c>
    </row>
    <row r="239" customFormat="false" ht="14.25" hidden="false" customHeight="false" outlineLevel="0" collapsed="false">
      <c r="B239" s="7" t="n">
        <v>41144</v>
      </c>
      <c r="C239" s="7" t="n">
        <f aca="false">B239-WEEKDAY(B239)+1</f>
        <v>41140</v>
      </c>
      <c r="D239" s="1" t="e">
        <f aca="false" t="array" ref="D239:D239">IF(ISBLANK(_xlfn.xlookup(D$3,daily_items,_xlfn.xlookup($C239,daily_dates,big_daily_table))),NA(),_xlfn.xlookup(D$3,daily_items,_xlfn.xlookup($C239,daily_dates,big_daily_table)))</f>
        <v>#NAME?</v>
      </c>
      <c r="E239" s="1" t="e">
        <f aca="false" t="array" ref="E239:E239">IF(ISBLANK(_xlfn.xlookup(E$3,daily_items,_xlfn.xlookup($C239,daily_dates,big_daily_table))),NA(),_xlfn.xlookup(E$3,daily_items,_xlfn.xlookup($C239,daily_dates,big_daily_table)))</f>
        <v>#NAME?</v>
      </c>
    </row>
    <row r="240" customFormat="false" ht="14.25" hidden="false" customHeight="false" outlineLevel="0" collapsed="false">
      <c r="B240" s="7" t="n">
        <v>41145</v>
      </c>
      <c r="C240" s="7" t="n">
        <f aca="false">B240-WEEKDAY(B240)+1</f>
        <v>41140</v>
      </c>
      <c r="D240" s="1" t="e">
        <f aca="false" t="array" ref="D240:D240">IF(ISBLANK(_xlfn.xlookup(D$3,daily_items,_xlfn.xlookup($C240,daily_dates,big_daily_table))),NA(),_xlfn.xlookup(D$3,daily_items,_xlfn.xlookup($C240,daily_dates,big_daily_table)))</f>
        <v>#NAME?</v>
      </c>
      <c r="E240" s="1" t="e">
        <f aca="false" t="array" ref="E240:E240">IF(ISBLANK(_xlfn.xlookup(E$3,daily_items,_xlfn.xlookup($C240,daily_dates,big_daily_table))),NA(),_xlfn.xlookup(E$3,daily_items,_xlfn.xlookup($C240,daily_dates,big_daily_table)))</f>
        <v>#NAME?</v>
      </c>
    </row>
    <row r="241" customFormat="false" ht="14.25" hidden="false" customHeight="false" outlineLevel="0" collapsed="false">
      <c r="B241" s="7" t="n">
        <v>41146</v>
      </c>
      <c r="C241" s="7" t="n">
        <f aca="false">B241-WEEKDAY(B241)+1</f>
        <v>41140</v>
      </c>
      <c r="D241" s="1" t="e">
        <f aca="false" t="array" ref="D241:D241">IF(ISBLANK(_xlfn.xlookup(D$3,daily_items,_xlfn.xlookup($C241,daily_dates,big_daily_table))),NA(),_xlfn.xlookup(D$3,daily_items,_xlfn.xlookup($C241,daily_dates,big_daily_table)))</f>
        <v>#NAME?</v>
      </c>
      <c r="E241" s="1" t="e">
        <f aca="false" t="array" ref="E241:E241">IF(ISBLANK(_xlfn.xlookup(E$3,daily_items,_xlfn.xlookup($C241,daily_dates,big_daily_table))),NA(),_xlfn.xlookup(E$3,daily_items,_xlfn.xlookup($C241,daily_dates,big_daily_table)))</f>
        <v>#NAME?</v>
      </c>
    </row>
    <row r="242" customFormat="false" ht="14.25" hidden="false" customHeight="false" outlineLevel="0" collapsed="false">
      <c r="B242" s="7" t="n">
        <v>41147</v>
      </c>
      <c r="C242" s="7" t="n">
        <f aca="false">B242-WEEKDAY(B242)+1</f>
        <v>41147</v>
      </c>
      <c r="D242" s="1" t="e">
        <f aca="false" t="array" ref="D242:D242">IF(ISBLANK(_xlfn.xlookup(D$3,daily_items,_xlfn.xlookup($C242,daily_dates,big_daily_table))),NA(),_xlfn.xlookup(D$3,daily_items,_xlfn.xlookup($C242,daily_dates,big_daily_table)))</f>
        <v>#NAME?</v>
      </c>
      <c r="E242" s="1" t="e">
        <f aca="false" t="array" ref="E242:E242">IF(ISBLANK(_xlfn.xlookup(E$3,daily_items,_xlfn.xlookup($C242,daily_dates,big_daily_table))),NA(),_xlfn.xlookup(E$3,daily_items,_xlfn.xlookup($C242,daily_dates,big_daily_table)))</f>
        <v>#NAME?</v>
      </c>
    </row>
    <row r="243" customFormat="false" ht="14.25" hidden="false" customHeight="false" outlineLevel="0" collapsed="false">
      <c r="B243" s="7" t="n">
        <v>41148</v>
      </c>
      <c r="C243" s="7" t="n">
        <f aca="false">B243-WEEKDAY(B243)+1</f>
        <v>41147</v>
      </c>
      <c r="D243" s="1" t="e">
        <f aca="false" t="array" ref="D243:D243">IF(ISBLANK(_xlfn.xlookup(D$3,daily_items,_xlfn.xlookup($C243,daily_dates,big_daily_table))),NA(),_xlfn.xlookup(D$3,daily_items,_xlfn.xlookup($C243,daily_dates,big_daily_table)))</f>
        <v>#NAME?</v>
      </c>
      <c r="E243" s="1" t="e">
        <f aca="false" t="array" ref="E243:E243">IF(ISBLANK(_xlfn.xlookup(E$3,daily_items,_xlfn.xlookup($C243,daily_dates,big_daily_table))),NA(),_xlfn.xlookup(E$3,daily_items,_xlfn.xlookup($C243,daily_dates,big_daily_table)))</f>
        <v>#NAME?</v>
      </c>
    </row>
    <row r="244" customFormat="false" ht="14.25" hidden="false" customHeight="false" outlineLevel="0" collapsed="false">
      <c r="B244" s="7" t="n">
        <v>41149</v>
      </c>
      <c r="C244" s="7" t="n">
        <f aca="false">B244-WEEKDAY(B244)+1</f>
        <v>41147</v>
      </c>
      <c r="D244" s="1" t="e">
        <f aca="false" t="array" ref="D244:D244">IF(ISBLANK(_xlfn.xlookup(D$3,daily_items,_xlfn.xlookup($C244,daily_dates,big_daily_table))),NA(),_xlfn.xlookup(D$3,daily_items,_xlfn.xlookup($C244,daily_dates,big_daily_table)))</f>
        <v>#NAME?</v>
      </c>
      <c r="E244" s="1" t="e">
        <f aca="false" t="array" ref="E244:E244">IF(ISBLANK(_xlfn.xlookup(E$3,daily_items,_xlfn.xlookup($C244,daily_dates,big_daily_table))),NA(),_xlfn.xlookup(E$3,daily_items,_xlfn.xlookup($C244,daily_dates,big_daily_table)))</f>
        <v>#NAME?</v>
      </c>
    </row>
    <row r="245" customFormat="false" ht="14.25" hidden="false" customHeight="false" outlineLevel="0" collapsed="false">
      <c r="B245" s="7" t="n">
        <v>41150</v>
      </c>
      <c r="C245" s="7" t="n">
        <f aca="false">B245-WEEKDAY(B245)+1</f>
        <v>41147</v>
      </c>
      <c r="D245" s="1" t="e">
        <f aca="false" t="array" ref="D245:D245">IF(ISBLANK(_xlfn.xlookup(D$3,daily_items,_xlfn.xlookup($C245,daily_dates,big_daily_table))),NA(),_xlfn.xlookup(D$3,daily_items,_xlfn.xlookup($C245,daily_dates,big_daily_table)))</f>
        <v>#NAME?</v>
      </c>
      <c r="E245" s="1" t="e">
        <f aca="false" t="array" ref="E245:E245">IF(ISBLANK(_xlfn.xlookup(E$3,daily_items,_xlfn.xlookup($C245,daily_dates,big_daily_table))),NA(),_xlfn.xlookup(E$3,daily_items,_xlfn.xlookup($C245,daily_dates,big_daily_table)))</f>
        <v>#NAME?</v>
      </c>
    </row>
    <row r="246" customFormat="false" ht="14.25" hidden="false" customHeight="false" outlineLevel="0" collapsed="false">
      <c r="B246" s="7" t="n">
        <v>41151</v>
      </c>
      <c r="C246" s="7" t="n">
        <f aca="false">B246-WEEKDAY(B246)+1</f>
        <v>41147</v>
      </c>
      <c r="D246" s="1" t="e">
        <f aca="false" t="array" ref="D246:D246">IF(ISBLANK(_xlfn.xlookup(D$3,daily_items,_xlfn.xlookup($C246,daily_dates,big_daily_table))),NA(),_xlfn.xlookup(D$3,daily_items,_xlfn.xlookup($C246,daily_dates,big_daily_table)))</f>
        <v>#NAME?</v>
      </c>
      <c r="E246" s="1" t="e">
        <f aca="false" t="array" ref="E246:E246">IF(ISBLANK(_xlfn.xlookup(E$3,daily_items,_xlfn.xlookup($C246,daily_dates,big_daily_table))),NA(),_xlfn.xlookup(E$3,daily_items,_xlfn.xlookup($C246,daily_dates,big_daily_table)))</f>
        <v>#NAME?</v>
      </c>
    </row>
    <row r="247" customFormat="false" ht="14.25" hidden="false" customHeight="false" outlineLevel="0" collapsed="false">
      <c r="B247" s="7" t="n">
        <v>41152</v>
      </c>
      <c r="C247" s="7" t="n">
        <f aca="false">B247-WEEKDAY(B247)+1</f>
        <v>41147</v>
      </c>
      <c r="D247" s="1" t="e">
        <f aca="false" t="array" ref="D247:D247">IF(ISBLANK(_xlfn.xlookup(D$3,daily_items,_xlfn.xlookup($C247,daily_dates,big_daily_table))),NA(),_xlfn.xlookup(D$3,daily_items,_xlfn.xlookup($C247,daily_dates,big_daily_table)))</f>
        <v>#NAME?</v>
      </c>
      <c r="E247" s="1" t="e">
        <f aca="false" t="array" ref="E247:E247">IF(ISBLANK(_xlfn.xlookup(E$3,daily_items,_xlfn.xlookup($C247,daily_dates,big_daily_table))),NA(),_xlfn.xlookup(E$3,daily_items,_xlfn.xlookup($C247,daily_dates,big_daily_table)))</f>
        <v>#NAME?</v>
      </c>
    </row>
    <row r="248" customFormat="false" ht="14.25" hidden="false" customHeight="false" outlineLevel="0" collapsed="false">
      <c r="B248" s="7" t="n">
        <v>41153</v>
      </c>
      <c r="C248" s="7" t="n">
        <f aca="false">B248-WEEKDAY(B248)+1</f>
        <v>41147</v>
      </c>
      <c r="D248" s="1" t="e">
        <f aca="false" t="array" ref="D248:D248">IF(ISBLANK(_xlfn.xlookup(D$3,daily_items,_xlfn.xlookup($C248,daily_dates,big_daily_table))),NA(),_xlfn.xlookup(D$3,daily_items,_xlfn.xlookup($C248,daily_dates,big_daily_table)))</f>
        <v>#NAME?</v>
      </c>
      <c r="E248" s="1" t="e">
        <f aca="false" t="array" ref="E248:E248">IF(ISBLANK(_xlfn.xlookup(E$3,daily_items,_xlfn.xlookup($C248,daily_dates,big_daily_table))),NA(),_xlfn.xlookup(E$3,daily_items,_xlfn.xlookup($C248,daily_dates,big_daily_table)))</f>
        <v>#NAME?</v>
      </c>
    </row>
    <row r="249" customFormat="false" ht="14.25" hidden="false" customHeight="false" outlineLevel="0" collapsed="false">
      <c r="B249" s="7" t="n">
        <v>41154</v>
      </c>
      <c r="C249" s="7" t="n">
        <f aca="false">B249-WEEKDAY(B249)+1</f>
        <v>41154</v>
      </c>
      <c r="D249" s="1" t="e">
        <f aca="false" t="array" ref="D249:D249">IF(ISBLANK(_xlfn.xlookup(D$3,daily_items,_xlfn.xlookup($C249,daily_dates,big_daily_table))),NA(),_xlfn.xlookup(D$3,daily_items,_xlfn.xlookup($C249,daily_dates,big_daily_table)))</f>
        <v>#NAME?</v>
      </c>
      <c r="E249" s="1" t="e">
        <f aca="false" t="array" ref="E249:E249">IF(ISBLANK(_xlfn.xlookup(E$3,daily_items,_xlfn.xlookup($C249,daily_dates,big_daily_table))),NA(),_xlfn.xlookup(E$3,daily_items,_xlfn.xlookup($C249,daily_dates,big_daily_table)))</f>
        <v>#NAME?</v>
      </c>
    </row>
    <row r="250" customFormat="false" ht="14.25" hidden="false" customHeight="false" outlineLevel="0" collapsed="false">
      <c r="B250" s="7" t="n">
        <v>41155</v>
      </c>
      <c r="C250" s="7" t="n">
        <f aca="false">B250-WEEKDAY(B250)+1</f>
        <v>41154</v>
      </c>
      <c r="D250" s="1" t="e">
        <f aca="false" t="array" ref="D250:D250">IF(ISBLANK(_xlfn.xlookup(D$3,daily_items,_xlfn.xlookup($C250,daily_dates,big_daily_table))),NA(),_xlfn.xlookup(D$3,daily_items,_xlfn.xlookup($C250,daily_dates,big_daily_table)))</f>
        <v>#NAME?</v>
      </c>
      <c r="E250" s="1" t="e">
        <f aca="false" t="array" ref="E250:E250">IF(ISBLANK(_xlfn.xlookup(E$3,daily_items,_xlfn.xlookup($C250,daily_dates,big_daily_table))),NA(),_xlfn.xlookup(E$3,daily_items,_xlfn.xlookup($C250,daily_dates,big_daily_table)))</f>
        <v>#NAME?</v>
      </c>
    </row>
    <row r="251" customFormat="false" ht="14.25" hidden="false" customHeight="false" outlineLevel="0" collapsed="false">
      <c r="B251" s="7" t="n">
        <v>41156</v>
      </c>
      <c r="C251" s="7" t="n">
        <f aca="false">B251-WEEKDAY(B251)+1</f>
        <v>41154</v>
      </c>
      <c r="D251" s="1" t="e">
        <f aca="false" t="array" ref="D251:D251">IF(ISBLANK(_xlfn.xlookup(D$3,daily_items,_xlfn.xlookup($C251,daily_dates,big_daily_table))),NA(),_xlfn.xlookup(D$3,daily_items,_xlfn.xlookup($C251,daily_dates,big_daily_table)))</f>
        <v>#NAME?</v>
      </c>
      <c r="E251" s="1" t="e">
        <f aca="false" t="array" ref="E251:E251">IF(ISBLANK(_xlfn.xlookup(E$3,daily_items,_xlfn.xlookup($C251,daily_dates,big_daily_table))),NA(),_xlfn.xlookup(E$3,daily_items,_xlfn.xlookup($C251,daily_dates,big_daily_table)))</f>
        <v>#NAME?</v>
      </c>
    </row>
    <row r="252" customFormat="false" ht="14.25" hidden="false" customHeight="false" outlineLevel="0" collapsed="false">
      <c r="B252" s="7" t="n">
        <v>41157</v>
      </c>
      <c r="C252" s="7" t="n">
        <f aca="false">B252-WEEKDAY(B252)+1</f>
        <v>41154</v>
      </c>
      <c r="D252" s="1" t="e">
        <f aca="false" t="array" ref="D252:D252">IF(ISBLANK(_xlfn.xlookup(D$3,daily_items,_xlfn.xlookup($C252,daily_dates,big_daily_table))),NA(),_xlfn.xlookup(D$3,daily_items,_xlfn.xlookup($C252,daily_dates,big_daily_table)))</f>
        <v>#NAME?</v>
      </c>
      <c r="E252" s="1" t="e">
        <f aca="false" t="array" ref="E252:E252">IF(ISBLANK(_xlfn.xlookup(E$3,daily_items,_xlfn.xlookup($C252,daily_dates,big_daily_table))),NA(),_xlfn.xlookup(E$3,daily_items,_xlfn.xlookup($C252,daily_dates,big_daily_table)))</f>
        <v>#NAME?</v>
      </c>
    </row>
    <row r="253" customFormat="false" ht="14.25" hidden="false" customHeight="false" outlineLevel="0" collapsed="false">
      <c r="B253" s="7" t="n">
        <v>41158</v>
      </c>
      <c r="C253" s="7" t="n">
        <f aca="false">B253-WEEKDAY(B253)+1</f>
        <v>41154</v>
      </c>
      <c r="D253" s="1" t="e">
        <f aca="false" t="array" ref="D253:D253">IF(ISBLANK(_xlfn.xlookup(D$3,daily_items,_xlfn.xlookup($C253,daily_dates,big_daily_table))),NA(),_xlfn.xlookup(D$3,daily_items,_xlfn.xlookup($C253,daily_dates,big_daily_table)))</f>
        <v>#NAME?</v>
      </c>
      <c r="E253" s="1" t="e">
        <f aca="false" t="array" ref="E253:E253">IF(ISBLANK(_xlfn.xlookup(E$3,daily_items,_xlfn.xlookup($C253,daily_dates,big_daily_table))),NA(),_xlfn.xlookup(E$3,daily_items,_xlfn.xlookup($C253,daily_dates,big_daily_table)))</f>
        <v>#NAME?</v>
      </c>
    </row>
    <row r="254" customFormat="false" ht="14.25" hidden="false" customHeight="false" outlineLevel="0" collapsed="false">
      <c r="B254" s="7" t="n">
        <v>41159</v>
      </c>
      <c r="C254" s="7" t="n">
        <f aca="false">B254-WEEKDAY(B254)+1</f>
        <v>41154</v>
      </c>
      <c r="D254" s="1" t="e">
        <f aca="false" t="array" ref="D254:D254">IF(ISBLANK(_xlfn.xlookup(D$3,daily_items,_xlfn.xlookup($C254,daily_dates,big_daily_table))),NA(),_xlfn.xlookup(D$3,daily_items,_xlfn.xlookup($C254,daily_dates,big_daily_table)))</f>
        <v>#NAME?</v>
      </c>
      <c r="E254" s="1" t="e">
        <f aca="false" t="array" ref="E254:E254">IF(ISBLANK(_xlfn.xlookup(E$3,daily_items,_xlfn.xlookup($C254,daily_dates,big_daily_table))),NA(),_xlfn.xlookup(E$3,daily_items,_xlfn.xlookup($C254,daily_dates,big_daily_table)))</f>
        <v>#NAME?</v>
      </c>
    </row>
    <row r="255" customFormat="false" ht="14.25" hidden="false" customHeight="false" outlineLevel="0" collapsed="false">
      <c r="B255" s="7" t="n">
        <v>41160</v>
      </c>
      <c r="C255" s="7" t="n">
        <f aca="false">B255-WEEKDAY(B255)+1</f>
        <v>41154</v>
      </c>
      <c r="D255" s="1" t="e">
        <f aca="false" t="array" ref="D255:D255">IF(ISBLANK(_xlfn.xlookup(D$3,daily_items,_xlfn.xlookup($C255,daily_dates,big_daily_table))),NA(),_xlfn.xlookup(D$3,daily_items,_xlfn.xlookup($C255,daily_dates,big_daily_table)))</f>
        <v>#NAME?</v>
      </c>
      <c r="E255" s="1" t="e">
        <f aca="false" t="array" ref="E255:E255">IF(ISBLANK(_xlfn.xlookup(E$3,daily_items,_xlfn.xlookup($C255,daily_dates,big_daily_table))),NA(),_xlfn.xlookup(E$3,daily_items,_xlfn.xlookup($C255,daily_dates,big_daily_table)))</f>
        <v>#NAME?</v>
      </c>
    </row>
    <row r="256" customFormat="false" ht="14.25" hidden="false" customHeight="false" outlineLevel="0" collapsed="false">
      <c r="B256" s="7" t="n">
        <v>41161</v>
      </c>
      <c r="C256" s="7" t="n">
        <f aca="false">B256-WEEKDAY(B256)+1</f>
        <v>41161</v>
      </c>
      <c r="D256" s="1" t="e">
        <f aca="false" t="array" ref="D256:D256">IF(ISBLANK(_xlfn.xlookup(D$3,daily_items,_xlfn.xlookup($C256,daily_dates,big_daily_table))),NA(),_xlfn.xlookup(D$3,daily_items,_xlfn.xlookup($C256,daily_dates,big_daily_table)))</f>
        <v>#NAME?</v>
      </c>
      <c r="E256" s="1" t="e">
        <f aca="false" t="array" ref="E256:E256">IF(ISBLANK(_xlfn.xlookup(E$3,daily_items,_xlfn.xlookup($C256,daily_dates,big_daily_table))),NA(),_xlfn.xlookup(E$3,daily_items,_xlfn.xlookup($C256,daily_dates,big_daily_table)))</f>
        <v>#NAME?</v>
      </c>
    </row>
    <row r="257" customFormat="false" ht="14.25" hidden="false" customHeight="false" outlineLevel="0" collapsed="false">
      <c r="B257" s="7" t="n">
        <v>41162</v>
      </c>
      <c r="C257" s="7" t="n">
        <f aca="false">B257-WEEKDAY(B257)+1</f>
        <v>41161</v>
      </c>
      <c r="D257" s="1" t="e">
        <f aca="false" t="array" ref="D257:D257">IF(ISBLANK(_xlfn.xlookup(D$3,daily_items,_xlfn.xlookup($C257,daily_dates,big_daily_table))),NA(),_xlfn.xlookup(D$3,daily_items,_xlfn.xlookup($C257,daily_dates,big_daily_table)))</f>
        <v>#NAME?</v>
      </c>
      <c r="E257" s="1" t="e">
        <f aca="false" t="array" ref="E257:E257">IF(ISBLANK(_xlfn.xlookup(E$3,daily_items,_xlfn.xlookup($C257,daily_dates,big_daily_table))),NA(),_xlfn.xlookup(E$3,daily_items,_xlfn.xlookup($C257,daily_dates,big_daily_table)))</f>
        <v>#NAME?</v>
      </c>
    </row>
    <row r="258" customFormat="false" ht="14.25" hidden="false" customHeight="false" outlineLevel="0" collapsed="false">
      <c r="B258" s="7" t="n">
        <v>41163</v>
      </c>
      <c r="C258" s="7" t="n">
        <f aca="false">B258-WEEKDAY(B258)+1</f>
        <v>41161</v>
      </c>
      <c r="D258" s="1" t="e">
        <f aca="false" t="array" ref="D258:D258">IF(ISBLANK(_xlfn.xlookup(D$3,daily_items,_xlfn.xlookup($C258,daily_dates,big_daily_table))),NA(),_xlfn.xlookup(D$3,daily_items,_xlfn.xlookup($C258,daily_dates,big_daily_table)))</f>
        <v>#NAME?</v>
      </c>
      <c r="E258" s="1" t="e">
        <f aca="false" t="array" ref="E258:E258">IF(ISBLANK(_xlfn.xlookup(E$3,daily_items,_xlfn.xlookup($C258,daily_dates,big_daily_table))),NA(),_xlfn.xlookup(E$3,daily_items,_xlfn.xlookup($C258,daily_dates,big_daily_table)))</f>
        <v>#NAME?</v>
      </c>
    </row>
    <row r="259" customFormat="false" ht="14.25" hidden="false" customHeight="false" outlineLevel="0" collapsed="false">
      <c r="B259" s="7" t="n">
        <v>41164</v>
      </c>
      <c r="C259" s="7" t="n">
        <f aca="false">B259-WEEKDAY(B259)+1</f>
        <v>41161</v>
      </c>
      <c r="D259" s="1" t="e">
        <f aca="false" t="array" ref="D259:D259">IF(ISBLANK(_xlfn.xlookup(D$3,daily_items,_xlfn.xlookup($C259,daily_dates,big_daily_table))),NA(),_xlfn.xlookup(D$3,daily_items,_xlfn.xlookup($C259,daily_dates,big_daily_table)))</f>
        <v>#NAME?</v>
      </c>
      <c r="E259" s="1" t="e">
        <f aca="false" t="array" ref="E259:E259">IF(ISBLANK(_xlfn.xlookup(E$3,daily_items,_xlfn.xlookup($C259,daily_dates,big_daily_table))),NA(),_xlfn.xlookup(E$3,daily_items,_xlfn.xlookup($C259,daily_dates,big_daily_table)))</f>
        <v>#NAME?</v>
      </c>
    </row>
    <row r="260" customFormat="false" ht="14.25" hidden="false" customHeight="false" outlineLevel="0" collapsed="false">
      <c r="B260" s="7" t="n">
        <v>41165</v>
      </c>
      <c r="C260" s="7" t="n">
        <f aca="false">B260-WEEKDAY(B260)+1</f>
        <v>41161</v>
      </c>
      <c r="D260" s="1" t="e">
        <f aca="false" t="array" ref="D260:D260">IF(ISBLANK(_xlfn.xlookup(D$3,daily_items,_xlfn.xlookup($C260,daily_dates,big_daily_table))),NA(),_xlfn.xlookup(D$3,daily_items,_xlfn.xlookup($C260,daily_dates,big_daily_table)))</f>
        <v>#NAME?</v>
      </c>
      <c r="E260" s="1" t="e">
        <f aca="false" t="array" ref="E260:E260">IF(ISBLANK(_xlfn.xlookup(E$3,daily_items,_xlfn.xlookup($C260,daily_dates,big_daily_table))),NA(),_xlfn.xlookup(E$3,daily_items,_xlfn.xlookup($C260,daily_dates,big_daily_table)))</f>
        <v>#NAME?</v>
      </c>
    </row>
    <row r="261" customFormat="false" ht="14.25" hidden="false" customHeight="false" outlineLevel="0" collapsed="false">
      <c r="B261" s="7" t="n">
        <v>41166</v>
      </c>
      <c r="C261" s="7" t="n">
        <f aca="false">B261-WEEKDAY(B261)+1</f>
        <v>41161</v>
      </c>
      <c r="D261" s="1" t="e">
        <f aca="false" t="array" ref="D261:D261">IF(ISBLANK(_xlfn.xlookup(D$3,daily_items,_xlfn.xlookup($C261,daily_dates,big_daily_table))),NA(),_xlfn.xlookup(D$3,daily_items,_xlfn.xlookup($C261,daily_dates,big_daily_table)))</f>
        <v>#NAME?</v>
      </c>
      <c r="E261" s="1" t="e">
        <f aca="false" t="array" ref="E261:E261">IF(ISBLANK(_xlfn.xlookup(E$3,daily_items,_xlfn.xlookup($C261,daily_dates,big_daily_table))),NA(),_xlfn.xlookup(E$3,daily_items,_xlfn.xlookup($C261,daily_dates,big_daily_table)))</f>
        <v>#NAME?</v>
      </c>
    </row>
    <row r="262" customFormat="false" ht="14.25" hidden="false" customHeight="false" outlineLevel="0" collapsed="false">
      <c r="B262" s="7" t="n">
        <v>41167</v>
      </c>
      <c r="C262" s="7" t="n">
        <f aca="false">B262-WEEKDAY(B262)+1</f>
        <v>41161</v>
      </c>
      <c r="D262" s="1" t="e">
        <f aca="false" t="array" ref="D262:D262">IF(ISBLANK(_xlfn.xlookup(D$3,daily_items,_xlfn.xlookup($C262,daily_dates,big_daily_table))),NA(),_xlfn.xlookup(D$3,daily_items,_xlfn.xlookup($C262,daily_dates,big_daily_table)))</f>
        <v>#NAME?</v>
      </c>
      <c r="E262" s="1" t="e">
        <f aca="false" t="array" ref="E262:E262">IF(ISBLANK(_xlfn.xlookup(E$3,daily_items,_xlfn.xlookup($C262,daily_dates,big_daily_table))),NA(),_xlfn.xlookup(E$3,daily_items,_xlfn.xlookup($C262,daily_dates,big_daily_table)))</f>
        <v>#NAME?</v>
      </c>
    </row>
    <row r="263" customFormat="false" ht="14.25" hidden="false" customHeight="false" outlineLevel="0" collapsed="false">
      <c r="B263" s="7" t="n">
        <v>41168</v>
      </c>
      <c r="C263" s="7" t="n">
        <f aca="false">B263-WEEKDAY(B263)+1</f>
        <v>41168</v>
      </c>
      <c r="D263" s="1" t="e">
        <f aca="false" t="array" ref="D263:D263">IF(ISBLANK(_xlfn.xlookup(D$3,daily_items,_xlfn.xlookup($C263,daily_dates,big_daily_table))),NA(),_xlfn.xlookup(D$3,daily_items,_xlfn.xlookup($C263,daily_dates,big_daily_table)))</f>
        <v>#NAME?</v>
      </c>
      <c r="E263" s="1" t="e">
        <f aca="false" t="array" ref="E263:E263">IF(ISBLANK(_xlfn.xlookup(E$3,daily_items,_xlfn.xlookup($C263,daily_dates,big_daily_table))),NA(),_xlfn.xlookup(E$3,daily_items,_xlfn.xlookup($C263,daily_dates,big_daily_table)))</f>
        <v>#NAME?</v>
      </c>
    </row>
    <row r="264" customFormat="false" ht="14.25" hidden="false" customHeight="false" outlineLevel="0" collapsed="false">
      <c r="B264" s="7" t="n">
        <v>41169</v>
      </c>
      <c r="C264" s="7" t="n">
        <f aca="false">B264-WEEKDAY(B264)+1</f>
        <v>41168</v>
      </c>
      <c r="D264" s="1" t="e">
        <f aca="false" t="array" ref="D264:D264">IF(ISBLANK(_xlfn.xlookup(D$3,daily_items,_xlfn.xlookup($C264,daily_dates,big_daily_table))),NA(),_xlfn.xlookup(D$3,daily_items,_xlfn.xlookup($C264,daily_dates,big_daily_table)))</f>
        <v>#NAME?</v>
      </c>
      <c r="E264" s="1" t="e">
        <f aca="false" t="array" ref="E264:E264">IF(ISBLANK(_xlfn.xlookup(E$3,daily_items,_xlfn.xlookup($C264,daily_dates,big_daily_table))),NA(),_xlfn.xlookup(E$3,daily_items,_xlfn.xlookup($C264,daily_dates,big_daily_table)))</f>
        <v>#NAME?</v>
      </c>
    </row>
    <row r="265" customFormat="false" ht="14.25" hidden="false" customHeight="false" outlineLevel="0" collapsed="false">
      <c r="B265" s="7" t="n">
        <v>41170</v>
      </c>
      <c r="C265" s="7" t="n">
        <f aca="false">B265-WEEKDAY(B265)+1</f>
        <v>41168</v>
      </c>
      <c r="D265" s="1" t="e">
        <f aca="false" t="array" ref="D265:D265">IF(ISBLANK(_xlfn.xlookup(D$3,daily_items,_xlfn.xlookup($C265,daily_dates,big_daily_table))),NA(),_xlfn.xlookup(D$3,daily_items,_xlfn.xlookup($C265,daily_dates,big_daily_table)))</f>
        <v>#NAME?</v>
      </c>
      <c r="E265" s="1" t="e">
        <f aca="false" t="array" ref="E265:E265">IF(ISBLANK(_xlfn.xlookup(E$3,daily_items,_xlfn.xlookup($C265,daily_dates,big_daily_table))),NA(),_xlfn.xlookup(E$3,daily_items,_xlfn.xlookup($C265,daily_dates,big_daily_table)))</f>
        <v>#NAME?</v>
      </c>
    </row>
    <row r="266" customFormat="false" ht="14.25" hidden="false" customHeight="false" outlineLevel="0" collapsed="false">
      <c r="B266" s="7" t="n">
        <v>41171</v>
      </c>
      <c r="C266" s="7" t="n">
        <f aca="false">B266-WEEKDAY(B266)+1</f>
        <v>41168</v>
      </c>
      <c r="D266" s="1" t="e">
        <f aca="false" t="array" ref="D266:D266">IF(ISBLANK(_xlfn.xlookup(D$3,daily_items,_xlfn.xlookup($C266,daily_dates,big_daily_table))),NA(),_xlfn.xlookup(D$3,daily_items,_xlfn.xlookup($C266,daily_dates,big_daily_table)))</f>
        <v>#NAME?</v>
      </c>
      <c r="E266" s="1" t="e">
        <f aca="false" t="array" ref="E266:E266">IF(ISBLANK(_xlfn.xlookup(E$3,daily_items,_xlfn.xlookup($C266,daily_dates,big_daily_table))),NA(),_xlfn.xlookup(E$3,daily_items,_xlfn.xlookup($C266,daily_dates,big_daily_table)))</f>
        <v>#NAME?</v>
      </c>
    </row>
    <row r="267" customFormat="false" ht="14.25" hidden="false" customHeight="false" outlineLevel="0" collapsed="false">
      <c r="B267" s="7" t="n">
        <v>41172</v>
      </c>
      <c r="C267" s="7" t="n">
        <f aca="false">B267-WEEKDAY(B267)+1</f>
        <v>41168</v>
      </c>
      <c r="D267" s="1" t="e">
        <f aca="false" t="array" ref="D267:D267">IF(ISBLANK(_xlfn.xlookup(D$3,daily_items,_xlfn.xlookup($C267,daily_dates,big_daily_table))),NA(),_xlfn.xlookup(D$3,daily_items,_xlfn.xlookup($C267,daily_dates,big_daily_table)))</f>
        <v>#NAME?</v>
      </c>
      <c r="E267" s="1" t="e">
        <f aca="false" t="array" ref="E267:E267">IF(ISBLANK(_xlfn.xlookup(E$3,daily_items,_xlfn.xlookup($C267,daily_dates,big_daily_table))),NA(),_xlfn.xlookup(E$3,daily_items,_xlfn.xlookup($C267,daily_dates,big_daily_table)))</f>
        <v>#NAME?</v>
      </c>
    </row>
    <row r="268" customFormat="false" ht="14.25" hidden="false" customHeight="false" outlineLevel="0" collapsed="false">
      <c r="B268" s="7" t="n">
        <v>41173</v>
      </c>
      <c r="C268" s="7" t="n">
        <f aca="false">B268-WEEKDAY(B268)+1</f>
        <v>41168</v>
      </c>
      <c r="D268" s="1" t="e">
        <f aca="false" t="array" ref="D268:D268">IF(ISBLANK(_xlfn.xlookup(D$3,daily_items,_xlfn.xlookup($C268,daily_dates,big_daily_table))),NA(),_xlfn.xlookup(D$3,daily_items,_xlfn.xlookup($C268,daily_dates,big_daily_table)))</f>
        <v>#NAME?</v>
      </c>
      <c r="E268" s="1" t="e">
        <f aca="false" t="array" ref="E268:E268">IF(ISBLANK(_xlfn.xlookup(E$3,daily_items,_xlfn.xlookup($C268,daily_dates,big_daily_table))),NA(),_xlfn.xlookup(E$3,daily_items,_xlfn.xlookup($C268,daily_dates,big_daily_table)))</f>
        <v>#NAME?</v>
      </c>
    </row>
    <row r="269" customFormat="false" ht="14.25" hidden="false" customHeight="false" outlineLevel="0" collapsed="false">
      <c r="B269" s="7" t="n">
        <v>41174</v>
      </c>
      <c r="C269" s="7" t="n">
        <f aca="false">B269-WEEKDAY(B269)+1</f>
        <v>41168</v>
      </c>
      <c r="D269" s="1" t="e">
        <f aca="false" t="array" ref="D269:D269">IF(ISBLANK(_xlfn.xlookup(D$3,daily_items,_xlfn.xlookup($C269,daily_dates,big_daily_table))),NA(),_xlfn.xlookup(D$3,daily_items,_xlfn.xlookup($C269,daily_dates,big_daily_table)))</f>
        <v>#NAME?</v>
      </c>
      <c r="E269" s="1" t="e">
        <f aca="false" t="array" ref="E269:E269">IF(ISBLANK(_xlfn.xlookup(E$3,daily_items,_xlfn.xlookup($C269,daily_dates,big_daily_table))),NA(),_xlfn.xlookup(E$3,daily_items,_xlfn.xlookup($C269,daily_dates,big_daily_table)))</f>
        <v>#NAME?</v>
      </c>
    </row>
    <row r="270" customFormat="false" ht="14.25" hidden="false" customHeight="false" outlineLevel="0" collapsed="false">
      <c r="B270" s="7" t="n">
        <v>41175</v>
      </c>
      <c r="C270" s="7" t="n">
        <f aca="false">B270-WEEKDAY(B270)+1</f>
        <v>41175</v>
      </c>
      <c r="D270" s="1" t="e">
        <f aca="false" t="array" ref="D270:D270">IF(ISBLANK(_xlfn.xlookup(D$3,daily_items,_xlfn.xlookup($C270,daily_dates,big_daily_table))),NA(),_xlfn.xlookup(D$3,daily_items,_xlfn.xlookup($C270,daily_dates,big_daily_table)))</f>
        <v>#NAME?</v>
      </c>
      <c r="E270" s="1" t="e">
        <f aca="false" t="array" ref="E270:E270">IF(ISBLANK(_xlfn.xlookup(E$3,daily_items,_xlfn.xlookup($C270,daily_dates,big_daily_table))),NA(),_xlfn.xlookup(E$3,daily_items,_xlfn.xlookup($C270,daily_dates,big_daily_table)))</f>
        <v>#NAME?</v>
      </c>
    </row>
    <row r="271" customFormat="false" ht="14.25" hidden="false" customHeight="false" outlineLevel="0" collapsed="false">
      <c r="B271" s="7" t="n">
        <v>41176</v>
      </c>
      <c r="C271" s="7" t="n">
        <f aca="false">B271-WEEKDAY(B271)+1</f>
        <v>41175</v>
      </c>
      <c r="D271" s="1" t="e">
        <f aca="false" t="array" ref="D271:D271">IF(ISBLANK(_xlfn.xlookup(D$3,daily_items,_xlfn.xlookup($C271,daily_dates,big_daily_table))),NA(),_xlfn.xlookup(D$3,daily_items,_xlfn.xlookup($C271,daily_dates,big_daily_table)))</f>
        <v>#NAME?</v>
      </c>
      <c r="E271" s="1" t="e">
        <f aca="false" t="array" ref="E271:E271">IF(ISBLANK(_xlfn.xlookup(E$3,daily_items,_xlfn.xlookup($C271,daily_dates,big_daily_table))),NA(),_xlfn.xlookup(E$3,daily_items,_xlfn.xlookup($C271,daily_dates,big_daily_table)))</f>
        <v>#NAME?</v>
      </c>
    </row>
    <row r="272" customFormat="false" ht="14.25" hidden="false" customHeight="false" outlineLevel="0" collapsed="false">
      <c r="B272" s="7" t="n">
        <v>41177</v>
      </c>
      <c r="C272" s="7" t="n">
        <f aca="false">B272-WEEKDAY(B272)+1</f>
        <v>41175</v>
      </c>
      <c r="D272" s="1" t="e">
        <f aca="false" t="array" ref="D272:D272">IF(ISBLANK(_xlfn.xlookup(D$3,daily_items,_xlfn.xlookup($C272,daily_dates,big_daily_table))),NA(),_xlfn.xlookup(D$3,daily_items,_xlfn.xlookup($C272,daily_dates,big_daily_table)))</f>
        <v>#NAME?</v>
      </c>
      <c r="E272" s="1" t="e">
        <f aca="false" t="array" ref="E272:E272">IF(ISBLANK(_xlfn.xlookup(E$3,daily_items,_xlfn.xlookup($C272,daily_dates,big_daily_table))),NA(),_xlfn.xlookup(E$3,daily_items,_xlfn.xlookup($C272,daily_dates,big_daily_table)))</f>
        <v>#NAME?</v>
      </c>
    </row>
    <row r="273" customFormat="false" ht="14.25" hidden="false" customHeight="false" outlineLevel="0" collapsed="false">
      <c r="B273" s="7" t="n">
        <v>41178</v>
      </c>
      <c r="C273" s="7" t="n">
        <f aca="false">B273-WEEKDAY(B273)+1</f>
        <v>41175</v>
      </c>
      <c r="D273" s="1" t="e">
        <f aca="false" t="array" ref="D273:D273">IF(ISBLANK(_xlfn.xlookup(D$3,daily_items,_xlfn.xlookup($C273,daily_dates,big_daily_table))),NA(),_xlfn.xlookup(D$3,daily_items,_xlfn.xlookup($C273,daily_dates,big_daily_table)))</f>
        <v>#NAME?</v>
      </c>
      <c r="E273" s="1" t="e">
        <f aca="false" t="array" ref="E273:E273">IF(ISBLANK(_xlfn.xlookup(E$3,daily_items,_xlfn.xlookup($C273,daily_dates,big_daily_table))),NA(),_xlfn.xlookup(E$3,daily_items,_xlfn.xlookup($C273,daily_dates,big_daily_table)))</f>
        <v>#NAME?</v>
      </c>
    </row>
    <row r="274" customFormat="false" ht="14.25" hidden="false" customHeight="false" outlineLevel="0" collapsed="false">
      <c r="B274" s="7" t="n">
        <v>41179</v>
      </c>
      <c r="C274" s="7" t="n">
        <f aca="false">B274-WEEKDAY(B274)+1</f>
        <v>41175</v>
      </c>
      <c r="D274" s="1" t="e">
        <f aca="false" t="array" ref="D274:D274">IF(ISBLANK(_xlfn.xlookup(D$3,daily_items,_xlfn.xlookup($C274,daily_dates,big_daily_table))),NA(),_xlfn.xlookup(D$3,daily_items,_xlfn.xlookup($C274,daily_dates,big_daily_table)))</f>
        <v>#NAME?</v>
      </c>
      <c r="E274" s="1" t="e">
        <f aca="false" t="array" ref="E274:E274">IF(ISBLANK(_xlfn.xlookup(E$3,daily_items,_xlfn.xlookup($C274,daily_dates,big_daily_table))),NA(),_xlfn.xlookup(E$3,daily_items,_xlfn.xlookup($C274,daily_dates,big_daily_table)))</f>
        <v>#NAME?</v>
      </c>
    </row>
    <row r="275" customFormat="false" ht="14.25" hidden="false" customHeight="false" outlineLevel="0" collapsed="false">
      <c r="B275" s="7" t="n">
        <v>41180</v>
      </c>
      <c r="C275" s="7" t="n">
        <f aca="false">B275-WEEKDAY(B275)+1</f>
        <v>41175</v>
      </c>
      <c r="D275" s="1" t="e">
        <f aca="false" t="array" ref="D275:D275">IF(ISBLANK(_xlfn.xlookup(D$3,daily_items,_xlfn.xlookup($C275,daily_dates,big_daily_table))),NA(),_xlfn.xlookup(D$3,daily_items,_xlfn.xlookup($C275,daily_dates,big_daily_table)))</f>
        <v>#NAME?</v>
      </c>
      <c r="E275" s="1" t="e">
        <f aca="false" t="array" ref="E275:E275">IF(ISBLANK(_xlfn.xlookup(E$3,daily_items,_xlfn.xlookup($C275,daily_dates,big_daily_table))),NA(),_xlfn.xlookup(E$3,daily_items,_xlfn.xlookup($C275,daily_dates,big_daily_table)))</f>
        <v>#NAME?</v>
      </c>
    </row>
    <row r="276" customFormat="false" ht="14.25" hidden="false" customHeight="false" outlineLevel="0" collapsed="false">
      <c r="B276" s="7" t="n">
        <v>41181</v>
      </c>
      <c r="C276" s="7" t="n">
        <f aca="false">B276-WEEKDAY(B276)+1</f>
        <v>41175</v>
      </c>
      <c r="D276" s="1" t="e">
        <f aca="false" t="array" ref="D276:D276">IF(ISBLANK(_xlfn.xlookup(D$3,daily_items,_xlfn.xlookup($C276,daily_dates,big_daily_table))),NA(),_xlfn.xlookup(D$3,daily_items,_xlfn.xlookup($C276,daily_dates,big_daily_table)))</f>
        <v>#NAME?</v>
      </c>
      <c r="E276" s="1" t="e">
        <f aca="false" t="array" ref="E276:E276">IF(ISBLANK(_xlfn.xlookup(E$3,daily_items,_xlfn.xlookup($C276,daily_dates,big_daily_table))),NA(),_xlfn.xlookup(E$3,daily_items,_xlfn.xlookup($C276,daily_dates,big_daily_table)))</f>
        <v>#NAME?</v>
      </c>
    </row>
    <row r="277" customFormat="false" ht="14.25" hidden="false" customHeight="false" outlineLevel="0" collapsed="false">
      <c r="B277" s="7" t="n">
        <v>41182</v>
      </c>
      <c r="C277" s="7" t="n">
        <f aca="false">B277-WEEKDAY(B277)+1</f>
        <v>41182</v>
      </c>
      <c r="D277" s="1" t="e">
        <f aca="false" t="array" ref="D277:D277">IF(ISBLANK(_xlfn.xlookup(D$3,daily_items,_xlfn.xlookup($C277,daily_dates,big_daily_table))),NA(),_xlfn.xlookup(D$3,daily_items,_xlfn.xlookup($C277,daily_dates,big_daily_table)))</f>
        <v>#NAME?</v>
      </c>
      <c r="E277" s="1" t="e">
        <f aca="false" t="array" ref="E277:E277">IF(ISBLANK(_xlfn.xlookup(E$3,daily_items,_xlfn.xlookup($C277,daily_dates,big_daily_table))),NA(),_xlfn.xlookup(E$3,daily_items,_xlfn.xlookup($C277,daily_dates,big_daily_table)))</f>
        <v>#NAME?</v>
      </c>
    </row>
    <row r="278" customFormat="false" ht="14.25" hidden="false" customHeight="false" outlineLevel="0" collapsed="false">
      <c r="B278" s="7" t="n">
        <v>41183</v>
      </c>
      <c r="C278" s="7" t="n">
        <f aca="false">B278-WEEKDAY(B278)+1</f>
        <v>41182</v>
      </c>
      <c r="D278" s="1" t="e">
        <f aca="false" t="array" ref="D278:D278">IF(ISBLANK(_xlfn.xlookup(D$3,daily_items,_xlfn.xlookup($C278,daily_dates,big_daily_table))),NA(),_xlfn.xlookup(D$3,daily_items,_xlfn.xlookup($C278,daily_dates,big_daily_table)))</f>
        <v>#NAME?</v>
      </c>
      <c r="E278" s="1" t="e">
        <f aca="false" t="array" ref="E278:E278">IF(ISBLANK(_xlfn.xlookup(E$3,daily_items,_xlfn.xlookup($C278,daily_dates,big_daily_table))),NA(),_xlfn.xlookup(E$3,daily_items,_xlfn.xlookup($C278,daily_dates,big_daily_table)))</f>
        <v>#NAME?</v>
      </c>
    </row>
    <row r="279" customFormat="false" ht="14.25" hidden="false" customHeight="false" outlineLevel="0" collapsed="false">
      <c r="B279" s="7" t="n">
        <v>41184</v>
      </c>
      <c r="C279" s="7" t="n">
        <f aca="false">B279-WEEKDAY(B279)+1</f>
        <v>41182</v>
      </c>
      <c r="D279" s="1" t="e">
        <f aca="false" t="array" ref="D279:D279">IF(ISBLANK(_xlfn.xlookup(D$3,daily_items,_xlfn.xlookup($C279,daily_dates,big_daily_table))),NA(),_xlfn.xlookup(D$3,daily_items,_xlfn.xlookup($C279,daily_dates,big_daily_table)))</f>
        <v>#NAME?</v>
      </c>
      <c r="E279" s="1" t="e">
        <f aca="false" t="array" ref="E279:E279">IF(ISBLANK(_xlfn.xlookup(E$3,daily_items,_xlfn.xlookup($C279,daily_dates,big_daily_table))),NA(),_xlfn.xlookup(E$3,daily_items,_xlfn.xlookup($C279,daily_dates,big_daily_table)))</f>
        <v>#NAME?</v>
      </c>
    </row>
    <row r="280" customFormat="false" ht="14.25" hidden="false" customHeight="false" outlineLevel="0" collapsed="false">
      <c r="B280" s="7" t="n">
        <v>41185</v>
      </c>
      <c r="C280" s="7" t="n">
        <f aca="false">B280-WEEKDAY(B280)+1</f>
        <v>41182</v>
      </c>
      <c r="D280" s="1" t="e">
        <f aca="false" t="array" ref="D280:D280">IF(ISBLANK(_xlfn.xlookup(D$3,daily_items,_xlfn.xlookup($C280,daily_dates,big_daily_table))),NA(),_xlfn.xlookup(D$3,daily_items,_xlfn.xlookup($C280,daily_dates,big_daily_table)))</f>
        <v>#NAME?</v>
      </c>
      <c r="E280" s="1" t="e">
        <f aca="false" t="array" ref="E280:E280">IF(ISBLANK(_xlfn.xlookup(E$3,daily_items,_xlfn.xlookup($C280,daily_dates,big_daily_table))),NA(),_xlfn.xlookup(E$3,daily_items,_xlfn.xlookup($C280,daily_dates,big_daily_table)))</f>
        <v>#NAME?</v>
      </c>
    </row>
    <row r="281" customFormat="false" ht="14.25" hidden="false" customHeight="false" outlineLevel="0" collapsed="false">
      <c r="B281" s="7" t="n">
        <v>41186</v>
      </c>
      <c r="C281" s="7" t="n">
        <f aca="false">B281-WEEKDAY(B281)+1</f>
        <v>41182</v>
      </c>
      <c r="D281" s="1" t="e">
        <f aca="false" t="array" ref="D281:D281">IF(ISBLANK(_xlfn.xlookup(D$3,daily_items,_xlfn.xlookup($C281,daily_dates,big_daily_table))),NA(),_xlfn.xlookup(D$3,daily_items,_xlfn.xlookup($C281,daily_dates,big_daily_table)))</f>
        <v>#NAME?</v>
      </c>
      <c r="E281" s="1" t="e">
        <f aca="false" t="array" ref="E281:E281">IF(ISBLANK(_xlfn.xlookup(E$3,daily_items,_xlfn.xlookup($C281,daily_dates,big_daily_table))),NA(),_xlfn.xlookup(E$3,daily_items,_xlfn.xlookup($C281,daily_dates,big_daily_table)))</f>
        <v>#NAME?</v>
      </c>
    </row>
    <row r="282" customFormat="false" ht="14.25" hidden="false" customHeight="false" outlineLevel="0" collapsed="false">
      <c r="B282" s="7" t="n">
        <v>41187</v>
      </c>
      <c r="C282" s="7" t="n">
        <f aca="false">B282-WEEKDAY(B282)+1</f>
        <v>41182</v>
      </c>
      <c r="D282" s="1" t="e">
        <f aca="false" t="array" ref="D282:D282">IF(ISBLANK(_xlfn.xlookup(D$3,daily_items,_xlfn.xlookup($C282,daily_dates,big_daily_table))),NA(),_xlfn.xlookup(D$3,daily_items,_xlfn.xlookup($C282,daily_dates,big_daily_table)))</f>
        <v>#NAME?</v>
      </c>
      <c r="E282" s="1" t="e">
        <f aca="false" t="array" ref="E282:E282">IF(ISBLANK(_xlfn.xlookup(E$3,daily_items,_xlfn.xlookup($C282,daily_dates,big_daily_table))),NA(),_xlfn.xlookup(E$3,daily_items,_xlfn.xlookup($C282,daily_dates,big_daily_table)))</f>
        <v>#NAME?</v>
      </c>
    </row>
    <row r="283" customFormat="false" ht="14.25" hidden="false" customHeight="false" outlineLevel="0" collapsed="false">
      <c r="B283" s="7" t="n">
        <v>41188</v>
      </c>
      <c r="C283" s="7" t="n">
        <f aca="false">B283-WEEKDAY(B283)+1</f>
        <v>41182</v>
      </c>
      <c r="D283" s="1" t="e">
        <f aca="false" t="array" ref="D283:D283">IF(ISBLANK(_xlfn.xlookup(D$3,daily_items,_xlfn.xlookup($C283,daily_dates,big_daily_table))),NA(),_xlfn.xlookup(D$3,daily_items,_xlfn.xlookup($C283,daily_dates,big_daily_table)))</f>
        <v>#NAME?</v>
      </c>
      <c r="E283" s="1" t="e">
        <f aca="false" t="array" ref="E283:E283">IF(ISBLANK(_xlfn.xlookup(E$3,daily_items,_xlfn.xlookup($C283,daily_dates,big_daily_table))),NA(),_xlfn.xlookup(E$3,daily_items,_xlfn.xlookup($C283,daily_dates,big_daily_table)))</f>
        <v>#NAME?</v>
      </c>
    </row>
    <row r="284" customFormat="false" ht="14.25" hidden="false" customHeight="false" outlineLevel="0" collapsed="false">
      <c r="B284" s="7" t="n">
        <v>41189</v>
      </c>
      <c r="C284" s="7" t="n">
        <f aca="false">B284-WEEKDAY(B284)+1</f>
        <v>41189</v>
      </c>
      <c r="D284" s="1" t="e">
        <f aca="false" t="array" ref="D284:D284">IF(ISBLANK(_xlfn.xlookup(D$3,daily_items,_xlfn.xlookup($C284,daily_dates,big_daily_table))),NA(),_xlfn.xlookup(D$3,daily_items,_xlfn.xlookup($C284,daily_dates,big_daily_table)))</f>
        <v>#NAME?</v>
      </c>
      <c r="E284" s="1" t="e">
        <f aca="false" t="array" ref="E284:E284">IF(ISBLANK(_xlfn.xlookup(E$3,daily_items,_xlfn.xlookup($C284,daily_dates,big_daily_table))),NA(),_xlfn.xlookup(E$3,daily_items,_xlfn.xlookup($C284,daily_dates,big_daily_table)))</f>
        <v>#NAME?</v>
      </c>
    </row>
    <row r="285" customFormat="false" ht="14.25" hidden="false" customHeight="false" outlineLevel="0" collapsed="false">
      <c r="B285" s="7" t="n">
        <v>41190</v>
      </c>
      <c r="C285" s="7" t="n">
        <f aca="false">B285-WEEKDAY(B285)+1</f>
        <v>41189</v>
      </c>
      <c r="D285" s="1" t="e">
        <f aca="false" t="array" ref="D285:D285">IF(ISBLANK(_xlfn.xlookup(D$3,daily_items,_xlfn.xlookup($C285,daily_dates,big_daily_table))),NA(),_xlfn.xlookup(D$3,daily_items,_xlfn.xlookup($C285,daily_dates,big_daily_table)))</f>
        <v>#NAME?</v>
      </c>
      <c r="E285" s="1" t="e">
        <f aca="false" t="array" ref="E285:E285">IF(ISBLANK(_xlfn.xlookup(E$3,daily_items,_xlfn.xlookup($C285,daily_dates,big_daily_table))),NA(),_xlfn.xlookup(E$3,daily_items,_xlfn.xlookup($C285,daily_dates,big_daily_table)))</f>
        <v>#NAME?</v>
      </c>
    </row>
    <row r="286" customFormat="false" ht="14.25" hidden="false" customHeight="false" outlineLevel="0" collapsed="false">
      <c r="B286" s="7" t="n">
        <v>41191</v>
      </c>
      <c r="C286" s="7" t="n">
        <f aca="false">B286-WEEKDAY(B286)+1</f>
        <v>41189</v>
      </c>
      <c r="D286" s="1" t="e">
        <f aca="false" t="array" ref="D286:D286">IF(ISBLANK(_xlfn.xlookup(D$3,daily_items,_xlfn.xlookup($C286,daily_dates,big_daily_table))),NA(),_xlfn.xlookup(D$3,daily_items,_xlfn.xlookup($C286,daily_dates,big_daily_table)))</f>
        <v>#NAME?</v>
      </c>
      <c r="E286" s="1" t="e">
        <f aca="false" t="array" ref="E286:E286">IF(ISBLANK(_xlfn.xlookup(E$3,daily_items,_xlfn.xlookup($C286,daily_dates,big_daily_table))),NA(),_xlfn.xlookup(E$3,daily_items,_xlfn.xlookup($C286,daily_dates,big_daily_table)))</f>
        <v>#NAME?</v>
      </c>
    </row>
    <row r="287" customFormat="false" ht="14.25" hidden="false" customHeight="false" outlineLevel="0" collapsed="false">
      <c r="B287" s="7" t="n">
        <v>41192</v>
      </c>
      <c r="C287" s="7" t="n">
        <f aca="false">B287-WEEKDAY(B287)+1</f>
        <v>41189</v>
      </c>
      <c r="D287" s="1" t="e">
        <f aca="false" t="array" ref="D287:D287">IF(ISBLANK(_xlfn.xlookup(D$3,daily_items,_xlfn.xlookup($C287,daily_dates,big_daily_table))),NA(),_xlfn.xlookup(D$3,daily_items,_xlfn.xlookup($C287,daily_dates,big_daily_table)))</f>
        <v>#NAME?</v>
      </c>
      <c r="E287" s="1" t="e">
        <f aca="false" t="array" ref="E287:E287">IF(ISBLANK(_xlfn.xlookup(E$3,daily_items,_xlfn.xlookup($C287,daily_dates,big_daily_table))),NA(),_xlfn.xlookup(E$3,daily_items,_xlfn.xlookup($C287,daily_dates,big_daily_table)))</f>
        <v>#NAME?</v>
      </c>
    </row>
    <row r="288" customFormat="false" ht="14.25" hidden="false" customHeight="false" outlineLevel="0" collapsed="false">
      <c r="B288" s="7" t="n">
        <v>41193</v>
      </c>
      <c r="C288" s="7" t="n">
        <f aca="false">B288-WEEKDAY(B288)+1</f>
        <v>41189</v>
      </c>
      <c r="D288" s="1" t="e">
        <f aca="false" t="array" ref="D288:D288">IF(ISBLANK(_xlfn.xlookup(D$3,daily_items,_xlfn.xlookup($C288,daily_dates,big_daily_table))),NA(),_xlfn.xlookup(D$3,daily_items,_xlfn.xlookup($C288,daily_dates,big_daily_table)))</f>
        <v>#NAME?</v>
      </c>
      <c r="E288" s="1" t="e">
        <f aca="false" t="array" ref="E288:E288">IF(ISBLANK(_xlfn.xlookup(E$3,daily_items,_xlfn.xlookup($C288,daily_dates,big_daily_table))),NA(),_xlfn.xlookup(E$3,daily_items,_xlfn.xlookup($C288,daily_dates,big_daily_table)))</f>
        <v>#NAME?</v>
      </c>
    </row>
    <row r="289" customFormat="false" ht="14.25" hidden="false" customHeight="false" outlineLevel="0" collapsed="false">
      <c r="B289" s="7" t="n">
        <v>41194</v>
      </c>
      <c r="C289" s="7" t="n">
        <f aca="false">B289-WEEKDAY(B289)+1</f>
        <v>41189</v>
      </c>
      <c r="D289" s="1" t="e">
        <f aca="false" t="array" ref="D289:D289">IF(ISBLANK(_xlfn.xlookup(D$3,daily_items,_xlfn.xlookup($C289,daily_dates,big_daily_table))),NA(),_xlfn.xlookup(D$3,daily_items,_xlfn.xlookup($C289,daily_dates,big_daily_table)))</f>
        <v>#NAME?</v>
      </c>
      <c r="E289" s="1" t="e">
        <f aca="false" t="array" ref="E289:E289">IF(ISBLANK(_xlfn.xlookup(E$3,daily_items,_xlfn.xlookup($C289,daily_dates,big_daily_table))),NA(),_xlfn.xlookup(E$3,daily_items,_xlfn.xlookup($C289,daily_dates,big_daily_table)))</f>
        <v>#NAME?</v>
      </c>
    </row>
    <row r="290" customFormat="false" ht="14.25" hidden="false" customHeight="false" outlineLevel="0" collapsed="false">
      <c r="B290" s="7" t="n">
        <v>41195</v>
      </c>
      <c r="C290" s="7" t="n">
        <f aca="false">B290-WEEKDAY(B290)+1</f>
        <v>41189</v>
      </c>
      <c r="D290" s="1" t="e">
        <f aca="false" t="array" ref="D290:D290">IF(ISBLANK(_xlfn.xlookup(D$3,daily_items,_xlfn.xlookup($C290,daily_dates,big_daily_table))),NA(),_xlfn.xlookup(D$3,daily_items,_xlfn.xlookup($C290,daily_dates,big_daily_table)))</f>
        <v>#NAME?</v>
      </c>
      <c r="E290" s="1" t="e">
        <f aca="false" t="array" ref="E290:E290">IF(ISBLANK(_xlfn.xlookup(E$3,daily_items,_xlfn.xlookup($C290,daily_dates,big_daily_table))),NA(),_xlfn.xlookup(E$3,daily_items,_xlfn.xlookup($C290,daily_dates,big_daily_table)))</f>
        <v>#NAME?</v>
      </c>
    </row>
    <row r="291" customFormat="false" ht="14.25" hidden="false" customHeight="false" outlineLevel="0" collapsed="false">
      <c r="B291" s="7" t="n">
        <v>41196</v>
      </c>
      <c r="C291" s="7" t="n">
        <f aca="false">B291-WEEKDAY(B291)+1</f>
        <v>41196</v>
      </c>
      <c r="D291" s="1" t="e">
        <f aca="false" t="array" ref="D291:D291">IF(ISBLANK(_xlfn.xlookup(D$3,daily_items,_xlfn.xlookup($C291,daily_dates,big_daily_table))),NA(),_xlfn.xlookup(D$3,daily_items,_xlfn.xlookup($C291,daily_dates,big_daily_table)))</f>
        <v>#NAME?</v>
      </c>
      <c r="E291" s="1" t="e">
        <f aca="false" t="array" ref="E291:E291">IF(ISBLANK(_xlfn.xlookup(E$3,daily_items,_xlfn.xlookup($C291,daily_dates,big_daily_table))),NA(),_xlfn.xlookup(E$3,daily_items,_xlfn.xlookup($C291,daily_dates,big_daily_table)))</f>
        <v>#NAME?</v>
      </c>
    </row>
    <row r="292" customFormat="false" ht="14.25" hidden="false" customHeight="false" outlineLevel="0" collapsed="false">
      <c r="B292" s="7" t="n">
        <v>41197</v>
      </c>
      <c r="C292" s="7" t="n">
        <f aca="false">B292-WEEKDAY(B292)+1</f>
        <v>41196</v>
      </c>
      <c r="D292" s="1" t="e">
        <f aca="false" t="array" ref="D292:D292">IF(ISBLANK(_xlfn.xlookup(D$3,daily_items,_xlfn.xlookup($C292,daily_dates,big_daily_table))),NA(),_xlfn.xlookup(D$3,daily_items,_xlfn.xlookup($C292,daily_dates,big_daily_table)))</f>
        <v>#NAME?</v>
      </c>
      <c r="E292" s="1" t="e">
        <f aca="false" t="array" ref="E292:E292">IF(ISBLANK(_xlfn.xlookup(E$3,daily_items,_xlfn.xlookup($C292,daily_dates,big_daily_table))),NA(),_xlfn.xlookup(E$3,daily_items,_xlfn.xlookup($C292,daily_dates,big_daily_table)))</f>
        <v>#NAME?</v>
      </c>
    </row>
    <row r="293" customFormat="false" ht="14.25" hidden="false" customHeight="false" outlineLevel="0" collapsed="false">
      <c r="B293" s="7" t="n">
        <v>41198</v>
      </c>
      <c r="C293" s="7" t="n">
        <f aca="false">B293-WEEKDAY(B293)+1</f>
        <v>41196</v>
      </c>
      <c r="D293" s="1" t="e">
        <f aca="false" t="array" ref="D293:D293">IF(ISBLANK(_xlfn.xlookup(D$3,daily_items,_xlfn.xlookup($C293,daily_dates,big_daily_table))),NA(),_xlfn.xlookup(D$3,daily_items,_xlfn.xlookup($C293,daily_dates,big_daily_table)))</f>
        <v>#NAME?</v>
      </c>
      <c r="E293" s="1" t="e">
        <f aca="false" t="array" ref="E293:E293">IF(ISBLANK(_xlfn.xlookup(E$3,daily_items,_xlfn.xlookup($C293,daily_dates,big_daily_table))),NA(),_xlfn.xlookup(E$3,daily_items,_xlfn.xlookup($C293,daily_dates,big_daily_table)))</f>
        <v>#NAME?</v>
      </c>
    </row>
    <row r="294" customFormat="false" ht="14.25" hidden="false" customHeight="false" outlineLevel="0" collapsed="false">
      <c r="B294" s="7" t="n">
        <v>41199</v>
      </c>
      <c r="C294" s="7" t="n">
        <f aca="false">B294-WEEKDAY(B294)+1</f>
        <v>41196</v>
      </c>
      <c r="D294" s="1" t="e">
        <f aca="false" t="array" ref="D294:D294">IF(ISBLANK(_xlfn.xlookup(D$3,daily_items,_xlfn.xlookup($C294,daily_dates,big_daily_table))),NA(),_xlfn.xlookup(D$3,daily_items,_xlfn.xlookup($C294,daily_dates,big_daily_table)))</f>
        <v>#NAME?</v>
      </c>
      <c r="E294" s="1" t="e">
        <f aca="false" t="array" ref="E294:E294">IF(ISBLANK(_xlfn.xlookup(E$3,daily_items,_xlfn.xlookup($C294,daily_dates,big_daily_table))),NA(),_xlfn.xlookup(E$3,daily_items,_xlfn.xlookup($C294,daily_dates,big_daily_table)))</f>
        <v>#NAME?</v>
      </c>
    </row>
    <row r="295" customFormat="false" ht="14.25" hidden="false" customHeight="false" outlineLevel="0" collapsed="false">
      <c r="B295" s="7" t="n">
        <v>41200</v>
      </c>
      <c r="C295" s="7" t="n">
        <f aca="false">B295-WEEKDAY(B295)+1</f>
        <v>41196</v>
      </c>
      <c r="D295" s="1" t="e">
        <f aca="false" t="array" ref="D295:D295">IF(ISBLANK(_xlfn.xlookup(D$3,daily_items,_xlfn.xlookup($C295,daily_dates,big_daily_table))),NA(),_xlfn.xlookup(D$3,daily_items,_xlfn.xlookup($C295,daily_dates,big_daily_table)))</f>
        <v>#NAME?</v>
      </c>
      <c r="E295" s="1" t="e">
        <f aca="false" t="array" ref="E295:E295">IF(ISBLANK(_xlfn.xlookup(E$3,daily_items,_xlfn.xlookup($C295,daily_dates,big_daily_table))),NA(),_xlfn.xlookup(E$3,daily_items,_xlfn.xlookup($C295,daily_dates,big_daily_table)))</f>
        <v>#NAME?</v>
      </c>
    </row>
    <row r="296" customFormat="false" ht="14.25" hidden="false" customHeight="false" outlineLevel="0" collapsed="false">
      <c r="B296" s="7" t="n">
        <v>41201</v>
      </c>
      <c r="C296" s="7" t="n">
        <f aca="false">B296-WEEKDAY(B296)+1</f>
        <v>41196</v>
      </c>
      <c r="D296" s="1" t="e">
        <f aca="false" t="array" ref="D296:D296">IF(ISBLANK(_xlfn.xlookup(D$3,daily_items,_xlfn.xlookup($C296,daily_dates,big_daily_table))),NA(),_xlfn.xlookup(D$3,daily_items,_xlfn.xlookup($C296,daily_dates,big_daily_table)))</f>
        <v>#NAME?</v>
      </c>
      <c r="E296" s="1" t="e">
        <f aca="false" t="array" ref="E296:E296">IF(ISBLANK(_xlfn.xlookup(E$3,daily_items,_xlfn.xlookup($C296,daily_dates,big_daily_table))),NA(),_xlfn.xlookup(E$3,daily_items,_xlfn.xlookup($C296,daily_dates,big_daily_table)))</f>
        <v>#NAME?</v>
      </c>
    </row>
    <row r="297" customFormat="false" ht="14.25" hidden="false" customHeight="false" outlineLevel="0" collapsed="false">
      <c r="B297" s="7" t="n">
        <v>41202</v>
      </c>
      <c r="C297" s="7" t="n">
        <f aca="false">B297-WEEKDAY(B297)+1</f>
        <v>41196</v>
      </c>
      <c r="D297" s="1" t="e">
        <f aca="false" t="array" ref="D297:D297">IF(ISBLANK(_xlfn.xlookup(D$3,daily_items,_xlfn.xlookup($C297,daily_dates,big_daily_table))),NA(),_xlfn.xlookup(D$3,daily_items,_xlfn.xlookup($C297,daily_dates,big_daily_table)))</f>
        <v>#NAME?</v>
      </c>
      <c r="E297" s="1" t="e">
        <f aca="false" t="array" ref="E297:E297">IF(ISBLANK(_xlfn.xlookup(E$3,daily_items,_xlfn.xlookup($C297,daily_dates,big_daily_table))),NA(),_xlfn.xlookup(E$3,daily_items,_xlfn.xlookup($C297,daily_dates,big_daily_table)))</f>
        <v>#NAME?</v>
      </c>
    </row>
    <row r="298" customFormat="false" ht="14.25" hidden="false" customHeight="false" outlineLevel="0" collapsed="false">
      <c r="B298" s="7" t="n">
        <v>41203</v>
      </c>
      <c r="C298" s="7" t="n">
        <f aca="false">B298-WEEKDAY(B298)+1</f>
        <v>41203</v>
      </c>
      <c r="D298" s="1" t="e">
        <f aca="false" t="array" ref="D298:D298">IF(ISBLANK(_xlfn.xlookup(D$3,daily_items,_xlfn.xlookup($C298,daily_dates,big_daily_table))),NA(),_xlfn.xlookup(D$3,daily_items,_xlfn.xlookup($C298,daily_dates,big_daily_table)))</f>
        <v>#NAME?</v>
      </c>
      <c r="E298" s="1" t="e">
        <f aca="false" t="array" ref="E298:E298">IF(ISBLANK(_xlfn.xlookup(E$3,daily_items,_xlfn.xlookup($C298,daily_dates,big_daily_table))),NA(),_xlfn.xlookup(E$3,daily_items,_xlfn.xlookup($C298,daily_dates,big_daily_table)))</f>
        <v>#NAME?</v>
      </c>
    </row>
    <row r="299" customFormat="false" ht="14.25" hidden="false" customHeight="false" outlineLevel="0" collapsed="false">
      <c r="B299" s="7" t="n">
        <v>41204</v>
      </c>
      <c r="C299" s="7" t="n">
        <f aca="false">B299-WEEKDAY(B299)+1</f>
        <v>41203</v>
      </c>
      <c r="D299" s="1" t="e">
        <f aca="false" t="array" ref="D299:D299">IF(ISBLANK(_xlfn.xlookup(D$3,daily_items,_xlfn.xlookup($C299,daily_dates,big_daily_table))),NA(),_xlfn.xlookup(D$3,daily_items,_xlfn.xlookup($C299,daily_dates,big_daily_table)))</f>
        <v>#NAME?</v>
      </c>
      <c r="E299" s="1" t="e">
        <f aca="false" t="array" ref="E299:E299">IF(ISBLANK(_xlfn.xlookup(E$3,daily_items,_xlfn.xlookup($C299,daily_dates,big_daily_table))),NA(),_xlfn.xlookup(E$3,daily_items,_xlfn.xlookup($C299,daily_dates,big_daily_table)))</f>
        <v>#NAME?</v>
      </c>
    </row>
    <row r="300" customFormat="false" ht="14.25" hidden="false" customHeight="false" outlineLevel="0" collapsed="false">
      <c r="B300" s="7" t="n">
        <v>41205</v>
      </c>
      <c r="C300" s="7" t="n">
        <f aca="false">B300-WEEKDAY(B300)+1</f>
        <v>41203</v>
      </c>
      <c r="D300" s="1" t="e">
        <f aca="false" t="array" ref="D300:D300">IF(ISBLANK(_xlfn.xlookup(D$3,daily_items,_xlfn.xlookup($C300,daily_dates,big_daily_table))),NA(),_xlfn.xlookup(D$3,daily_items,_xlfn.xlookup($C300,daily_dates,big_daily_table)))</f>
        <v>#NAME?</v>
      </c>
      <c r="E300" s="1" t="e">
        <f aca="false" t="array" ref="E300:E300">IF(ISBLANK(_xlfn.xlookup(E$3,daily_items,_xlfn.xlookup($C300,daily_dates,big_daily_table))),NA(),_xlfn.xlookup(E$3,daily_items,_xlfn.xlookup($C300,daily_dates,big_daily_table)))</f>
        <v>#NAME?</v>
      </c>
    </row>
    <row r="301" customFormat="false" ht="14.25" hidden="false" customHeight="false" outlineLevel="0" collapsed="false">
      <c r="B301" s="7" t="n">
        <v>41206</v>
      </c>
      <c r="C301" s="7" t="n">
        <f aca="false">B301-WEEKDAY(B301)+1</f>
        <v>41203</v>
      </c>
      <c r="D301" s="1" t="e">
        <f aca="false" t="array" ref="D301:D301">IF(ISBLANK(_xlfn.xlookup(D$3,daily_items,_xlfn.xlookup($C301,daily_dates,big_daily_table))),NA(),_xlfn.xlookup(D$3,daily_items,_xlfn.xlookup($C301,daily_dates,big_daily_table)))</f>
        <v>#NAME?</v>
      </c>
      <c r="E301" s="1" t="e">
        <f aca="false" t="array" ref="E301:E301">IF(ISBLANK(_xlfn.xlookup(E$3,daily_items,_xlfn.xlookup($C301,daily_dates,big_daily_table))),NA(),_xlfn.xlookup(E$3,daily_items,_xlfn.xlookup($C301,daily_dates,big_daily_table)))</f>
        <v>#NAME?</v>
      </c>
    </row>
    <row r="302" customFormat="false" ht="14.25" hidden="false" customHeight="false" outlineLevel="0" collapsed="false">
      <c r="B302" s="7" t="n">
        <v>41207</v>
      </c>
      <c r="C302" s="7" t="n">
        <f aca="false">B302-WEEKDAY(B302)+1</f>
        <v>41203</v>
      </c>
      <c r="D302" s="1" t="e">
        <f aca="false" t="array" ref="D302:D302">IF(ISBLANK(_xlfn.xlookup(D$3,daily_items,_xlfn.xlookup($C302,daily_dates,big_daily_table))),NA(),_xlfn.xlookup(D$3,daily_items,_xlfn.xlookup($C302,daily_dates,big_daily_table)))</f>
        <v>#NAME?</v>
      </c>
      <c r="E302" s="1" t="e">
        <f aca="false" t="array" ref="E302:E302">IF(ISBLANK(_xlfn.xlookup(E$3,daily_items,_xlfn.xlookup($C302,daily_dates,big_daily_table))),NA(),_xlfn.xlookup(E$3,daily_items,_xlfn.xlookup($C302,daily_dates,big_daily_table)))</f>
        <v>#NAME?</v>
      </c>
    </row>
    <row r="303" customFormat="false" ht="14.25" hidden="false" customHeight="false" outlineLevel="0" collapsed="false">
      <c r="B303" s="7" t="n">
        <v>41208</v>
      </c>
      <c r="C303" s="7" t="n">
        <f aca="false">B303-WEEKDAY(B303)+1</f>
        <v>41203</v>
      </c>
      <c r="D303" s="1" t="e">
        <f aca="false" t="array" ref="D303:D303">IF(ISBLANK(_xlfn.xlookup(D$3,daily_items,_xlfn.xlookup($C303,daily_dates,big_daily_table))),NA(),_xlfn.xlookup(D$3,daily_items,_xlfn.xlookup($C303,daily_dates,big_daily_table)))</f>
        <v>#NAME?</v>
      </c>
      <c r="E303" s="1" t="e">
        <f aca="false" t="array" ref="E303:E303">IF(ISBLANK(_xlfn.xlookup(E$3,daily_items,_xlfn.xlookup($C303,daily_dates,big_daily_table))),NA(),_xlfn.xlookup(E$3,daily_items,_xlfn.xlookup($C303,daily_dates,big_daily_table)))</f>
        <v>#NAME?</v>
      </c>
    </row>
    <row r="304" customFormat="false" ht="14.25" hidden="false" customHeight="false" outlineLevel="0" collapsed="false">
      <c r="B304" s="7" t="n">
        <v>41209</v>
      </c>
      <c r="C304" s="7" t="n">
        <f aca="false">B304-WEEKDAY(B304)+1</f>
        <v>41203</v>
      </c>
      <c r="D304" s="1" t="e">
        <f aca="false" t="array" ref="D304:D304">IF(ISBLANK(_xlfn.xlookup(D$3,daily_items,_xlfn.xlookup($C304,daily_dates,big_daily_table))),NA(),_xlfn.xlookup(D$3,daily_items,_xlfn.xlookup($C304,daily_dates,big_daily_table)))</f>
        <v>#NAME?</v>
      </c>
      <c r="E304" s="1" t="e">
        <f aca="false" t="array" ref="E304:E304">IF(ISBLANK(_xlfn.xlookup(E$3,daily_items,_xlfn.xlookup($C304,daily_dates,big_daily_table))),NA(),_xlfn.xlookup(E$3,daily_items,_xlfn.xlookup($C304,daily_dates,big_daily_table)))</f>
        <v>#NAME?</v>
      </c>
    </row>
    <row r="305" customFormat="false" ht="14.25" hidden="false" customHeight="false" outlineLevel="0" collapsed="false">
      <c r="B305" s="7" t="n">
        <v>41210</v>
      </c>
      <c r="C305" s="7" t="n">
        <f aca="false">B305-WEEKDAY(B305)+1</f>
        <v>41210</v>
      </c>
      <c r="D305" s="1" t="e">
        <f aca="false" t="array" ref="D305:D305">IF(ISBLANK(_xlfn.xlookup(D$3,daily_items,_xlfn.xlookup($C305,daily_dates,big_daily_table))),NA(),_xlfn.xlookup(D$3,daily_items,_xlfn.xlookup($C305,daily_dates,big_daily_table)))</f>
        <v>#NAME?</v>
      </c>
      <c r="E305" s="1" t="e">
        <f aca="false" t="array" ref="E305:E305">IF(ISBLANK(_xlfn.xlookup(E$3,daily_items,_xlfn.xlookup($C305,daily_dates,big_daily_table))),NA(),_xlfn.xlookup(E$3,daily_items,_xlfn.xlookup($C305,daily_dates,big_daily_table)))</f>
        <v>#NAME?</v>
      </c>
    </row>
    <row r="306" customFormat="false" ht="14.25" hidden="false" customHeight="false" outlineLevel="0" collapsed="false">
      <c r="B306" s="7" t="n">
        <v>41211</v>
      </c>
      <c r="C306" s="7" t="n">
        <f aca="false">B306-WEEKDAY(B306)+1</f>
        <v>41210</v>
      </c>
      <c r="D306" s="1" t="e">
        <f aca="false" t="array" ref="D306:D306">IF(ISBLANK(_xlfn.xlookup(D$3,daily_items,_xlfn.xlookup($C306,daily_dates,big_daily_table))),NA(),_xlfn.xlookup(D$3,daily_items,_xlfn.xlookup($C306,daily_dates,big_daily_table)))</f>
        <v>#NAME?</v>
      </c>
      <c r="E306" s="1" t="e">
        <f aca="false" t="array" ref="E306:E306">IF(ISBLANK(_xlfn.xlookup(E$3,daily_items,_xlfn.xlookup($C306,daily_dates,big_daily_table))),NA(),_xlfn.xlookup(E$3,daily_items,_xlfn.xlookup($C306,daily_dates,big_daily_table)))</f>
        <v>#NAME?</v>
      </c>
    </row>
    <row r="307" customFormat="false" ht="14.25" hidden="false" customHeight="false" outlineLevel="0" collapsed="false">
      <c r="B307" s="7" t="n">
        <v>41212</v>
      </c>
      <c r="C307" s="7" t="n">
        <f aca="false">B307-WEEKDAY(B307)+1</f>
        <v>41210</v>
      </c>
      <c r="D307" s="1" t="e">
        <f aca="false" t="array" ref="D307:D307">IF(ISBLANK(_xlfn.xlookup(D$3,daily_items,_xlfn.xlookup($C307,daily_dates,big_daily_table))),NA(),_xlfn.xlookup(D$3,daily_items,_xlfn.xlookup($C307,daily_dates,big_daily_table)))</f>
        <v>#NAME?</v>
      </c>
      <c r="E307" s="1" t="e">
        <f aca="false" t="array" ref="E307:E307">IF(ISBLANK(_xlfn.xlookup(E$3,daily_items,_xlfn.xlookup($C307,daily_dates,big_daily_table))),NA(),_xlfn.xlookup(E$3,daily_items,_xlfn.xlookup($C307,daily_dates,big_daily_table)))</f>
        <v>#NAME?</v>
      </c>
    </row>
    <row r="308" customFormat="false" ht="14.25" hidden="false" customHeight="false" outlineLevel="0" collapsed="false">
      <c r="B308" s="7" t="n">
        <v>41213</v>
      </c>
      <c r="C308" s="7" t="n">
        <f aca="false">B308-WEEKDAY(B308)+1</f>
        <v>41210</v>
      </c>
      <c r="D308" s="1" t="e">
        <f aca="false" t="array" ref="D308:D308">IF(ISBLANK(_xlfn.xlookup(D$3,daily_items,_xlfn.xlookup($C308,daily_dates,big_daily_table))),NA(),_xlfn.xlookup(D$3,daily_items,_xlfn.xlookup($C308,daily_dates,big_daily_table)))</f>
        <v>#NAME?</v>
      </c>
      <c r="E308" s="1" t="e">
        <f aca="false" t="array" ref="E308:E308">IF(ISBLANK(_xlfn.xlookup(E$3,daily_items,_xlfn.xlookup($C308,daily_dates,big_daily_table))),NA(),_xlfn.xlookup(E$3,daily_items,_xlfn.xlookup($C308,daily_dates,big_daily_table)))</f>
        <v>#NAME?</v>
      </c>
    </row>
    <row r="309" customFormat="false" ht="14.25" hidden="false" customHeight="false" outlineLevel="0" collapsed="false">
      <c r="B309" s="7" t="n">
        <v>41214</v>
      </c>
      <c r="C309" s="7" t="n">
        <f aca="false">B309-WEEKDAY(B309)+1</f>
        <v>41210</v>
      </c>
      <c r="D309" s="1" t="e">
        <f aca="false" t="array" ref="D309:D309">IF(ISBLANK(_xlfn.xlookup(D$3,daily_items,_xlfn.xlookup($C309,daily_dates,big_daily_table))),NA(),_xlfn.xlookup(D$3,daily_items,_xlfn.xlookup($C309,daily_dates,big_daily_table)))</f>
        <v>#NAME?</v>
      </c>
      <c r="E309" s="1" t="e">
        <f aca="false" t="array" ref="E309:E309">IF(ISBLANK(_xlfn.xlookup(E$3,daily_items,_xlfn.xlookup($C309,daily_dates,big_daily_table))),NA(),_xlfn.xlookup(E$3,daily_items,_xlfn.xlookup($C309,daily_dates,big_daily_table)))</f>
        <v>#NAME?</v>
      </c>
    </row>
    <row r="310" customFormat="false" ht="14.25" hidden="false" customHeight="false" outlineLevel="0" collapsed="false">
      <c r="B310" s="7" t="n">
        <v>41215</v>
      </c>
      <c r="C310" s="7" t="n">
        <f aca="false">B310-WEEKDAY(B310)+1</f>
        <v>41210</v>
      </c>
      <c r="D310" s="1" t="e">
        <f aca="false" t="array" ref="D310:D310">IF(ISBLANK(_xlfn.xlookup(D$3,daily_items,_xlfn.xlookup($C310,daily_dates,big_daily_table))),NA(),_xlfn.xlookup(D$3,daily_items,_xlfn.xlookup($C310,daily_dates,big_daily_table)))</f>
        <v>#NAME?</v>
      </c>
      <c r="E310" s="1" t="e">
        <f aca="false" t="array" ref="E310:E310">IF(ISBLANK(_xlfn.xlookup(E$3,daily_items,_xlfn.xlookup($C310,daily_dates,big_daily_table))),NA(),_xlfn.xlookup(E$3,daily_items,_xlfn.xlookup($C310,daily_dates,big_daily_table)))</f>
        <v>#NAME?</v>
      </c>
    </row>
    <row r="311" customFormat="false" ht="14.25" hidden="false" customHeight="false" outlineLevel="0" collapsed="false">
      <c r="B311" s="7" t="n">
        <v>41216</v>
      </c>
      <c r="C311" s="7" t="n">
        <f aca="false">B311-WEEKDAY(B311)+1</f>
        <v>41210</v>
      </c>
      <c r="D311" s="1" t="e">
        <f aca="false" t="array" ref="D311:D311">IF(ISBLANK(_xlfn.xlookup(D$3,daily_items,_xlfn.xlookup($C311,daily_dates,big_daily_table))),NA(),_xlfn.xlookup(D$3,daily_items,_xlfn.xlookup($C311,daily_dates,big_daily_table)))</f>
        <v>#NAME?</v>
      </c>
      <c r="E311" s="1" t="e">
        <f aca="false" t="array" ref="E311:E311">IF(ISBLANK(_xlfn.xlookup(E$3,daily_items,_xlfn.xlookup($C311,daily_dates,big_daily_table))),NA(),_xlfn.xlookup(E$3,daily_items,_xlfn.xlookup($C311,daily_dates,big_daily_table)))</f>
        <v>#NAME?</v>
      </c>
    </row>
    <row r="312" customFormat="false" ht="14.25" hidden="false" customHeight="false" outlineLevel="0" collapsed="false">
      <c r="B312" s="7" t="n">
        <v>41217</v>
      </c>
      <c r="C312" s="7" t="n">
        <f aca="false">B312-WEEKDAY(B312)+1</f>
        <v>41217</v>
      </c>
      <c r="D312" s="1" t="e">
        <f aca="false" t="array" ref="D312:D312">IF(ISBLANK(_xlfn.xlookup(D$3,daily_items,_xlfn.xlookup($C312,daily_dates,big_daily_table))),NA(),_xlfn.xlookup(D$3,daily_items,_xlfn.xlookup($C312,daily_dates,big_daily_table)))</f>
        <v>#NAME?</v>
      </c>
      <c r="E312" s="1" t="e">
        <f aca="false" t="array" ref="E312:E312">IF(ISBLANK(_xlfn.xlookup(E$3,daily_items,_xlfn.xlookup($C312,daily_dates,big_daily_table))),NA(),_xlfn.xlookup(E$3,daily_items,_xlfn.xlookup($C312,daily_dates,big_daily_table)))</f>
        <v>#NAME?</v>
      </c>
    </row>
    <row r="313" customFormat="false" ht="14.25" hidden="false" customHeight="false" outlineLevel="0" collapsed="false">
      <c r="B313" s="7" t="n">
        <v>41218</v>
      </c>
      <c r="C313" s="7" t="n">
        <f aca="false">B313-WEEKDAY(B313)+1</f>
        <v>41217</v>
      </c>
      <c r="D313" s="1" t="e">
        <f aca="false" t="array" ref="D313:D313">IF(ISBLANK(_xlfn.xlookup(D$3,daily_items,_xlfn.xlookup($C313,daily_dates,big_daily_table))),NA(),_xlfn.xlookup(D$3,daily_items,_xlfn.xlookup($C313,daily_dates,big_daily_table)))</f>
        <v>#NAME?</v>
      </c>
      <c r="E313" s="1" t="e">
        <f aca="false" t="array" ref="E313:E313">IF(ISBLANK(_xlfn.xlookup(E$3,daily_items,_xlfn.xlookup($C313,daily_dates,big_daily_table))),NA(),_xlfn.xlookup(E$3,daily_items,_xlfn.xlookup($C313,daily_dates,big_daily_table)))</f>
        <v>#NAME?</v>
      </c>
    </row>
    <row r="314" customFormat="false" ht="14.25" hidden="false" customHeight="false" outlineLevel="0" collapsed="false">
      <c r="B314" s="7" t="n">
        <v>41219</v>
      </c>
      <c r="C314" s="7" t="n">
        <f aca="false">B314-WEEKDAY(B314)+1</f>
        <v>41217</v>
      </c>
      <c r="D314" s="1" t="e">
        <f aca="false" t="array" ref="D314:D314">IF(ISBLANK(_xlfn.xlookup(D$3,daily_items,_xlfn.xlookup($C314,daily_dates,big_daily_table))),NA(),_xlfn.xlookup(D$3,daily_items,_xlfn.xlookup($C314,daily_dates,big_daily_table)))</f>
        <v>#NAME?</v>
      </c>
      <c r="E314" s="1" t="e">
        <f aca="false" t="array" ref="E314:E314">IF(ISBLANK(_xlfn.xlookup(E$3,daily_items,_xlfn.xlookup($C314,daily_dates,big_daily_table))),NA(),_xlfn.xlookup(E$3,daily_items,_xlfn.xlookup($C314,daily_dates,big_daily_table)))</f>
        <v>#NAME?</v>
      </c>
    </row>
    <row r="315" customFormat="false" ht="14.25" hidden="false" customHeight="false" outlineLevel="0" collapsed="false">
      <c r="B315" s="7" t="n">
        <v>41220</v>
      </c>
      <c r="C315" s="7" t="n">
        <f aca="false">B315-WEEKDAY(B315)+1</f>
        <v>41217</v>
      </c>
      <c r="D315" s="1" t="e">
        <f aca="false" t="array" ref="D315:D315">IF(ISBLANK(_xlfn.xlookup(D$3,daily_items,_xlfn.xlookup($C315,daily_dates,big_daily_table))),NA(),_xlfn.xlookup(D$3,daily_items,_xlfn.xlookup($C315,daily_dates,big_daily_table)))</f>
        <v>#NAME?</v>
      </c>
      <c r="E315" s="1" t="e">
        <f aca="false" t="array" ref="E315:E315">IF(ISBLANK(_xlfn.xlookup(E$3,daily_items,_xlfn.xlookup($C315,daily_dates,big_daily_table))),NA(),_xlfn.xlookup(E$3,daily_items,_xlfn.xlookup($C315,daily_dates,big_daily_table)))</f>
        <v>#NAME?</v>
      </c>
    </row>
    <row r="316" customFormat="false" ht="14.25" hidden="false" customHeight="false" outlineLevel="0" collapsed="false">
      <c r="B316" s="7" t="n">
        <v>41221</v>
      </c>
      <c r="C316" s="7" t="n">
        <f aca="false">B316-WEEKDAY(B316)+1</f>
        <v>41217</v>
      </c>
      <c r="D316" s="1" t="e">
        <f aca="false" t="array" ref="D316:D316">IF(ISBLANK(_xlfn.xlookup(D$3,daily_items,_xlfn.xlookup($C316,daily_dates,big_daily_table))),NA(),_xlfn.xlookup(D$3,daily_items,_xlfn.xlookup($C316,daily_dates,big_daily_table)))</f>
        <v>#NAME?</v>
      </c>
      <c r="E316" s="1" t="e">
        <f aca="false" t="array" ref="E316:E316">IF(ISBLANK(_xlfn.xlookup(E$3,daily_items,_xlfn.xlookup($C316,daily_dates,big_daily_table))),NA(),_xlfn.xlookup(E$3,daily_items,_xlfn.xlookup($C316,daily_dates,big_daily_table)))</f>
        <v>#NAME?</v>
      </c>
    </row>
    <row r="317" customFormat="false" ht="14.25" hidden="false" customHeight="false" outlineLevel="0" collapsed="false">
      <c r="B317" s="7" t="n">
        <v>41222</v>
      </c>
      <c r="C317" s="7" t="n">
        <f aca="false">B317-WEEKDAY(B317)+1</f>
        <v>41217</v>
      </c>
      <c r="D317" s="1" t="e">
        <f aca="false" t="array" ref="D317:D317">IF(ISBLANK(_xlfn.xlookup(D$3,daily_items,_xlfn.xlookup($C317,daily_dates,big_daily_table))),NA(),_xlfn.xlookup(D$3,daily_items,_xlfn.xlookup($C317,daily_dates,big_daily_table)))</f>
        <v>#NAME?</v>
      </c>
      <c r="E317" s="1" t="e">
        <f aca="false" t="array" ref="E317:E317">IF(ISBLANK(_xlfn.xlookup(E$3,daily_items,_xlfn.xlookup($C317,daily_dates,big_daily_table))),NA(),_xlfn.xlookup(E$3,daily_items,_xlfn.xlookup($C317,daily_dates,big_daily_table)))</f>
        <v>#NAME?</v>
      </c>
    </row>
    <row r="318" customFormat="false" ht="14.25" hidden="false" customHeight="false" outlineLevel="0" collapsed="false">
      <c r="B318" s="7" t="n">
        <v>41223</v>
      </c>
      <c r="C318" s="7" t="n">
        <f aca="false">B318-WEEKDAY(B318)+1</f>
        <v>41217</v>
      </c>
      <c r="D318" s="1" t="e">
        <f aca="false" t="array" ref="D318:D318">IF(ISBLANK(_xlfn.xlookup(D$3,daily_items,_xlfn.xlookup($C318,daily_dates,big_daily_table))),NA(),_xlfn.xlookup(D$3,daily_items,_xlfn.xlookup($C318,daily_dates,big_daily_table)))</f>
        <v>#NAME?</v>
      </c>
      <c r="E318" s="1" t="e">
        <f aca="false" t="array" ref="E318:E318">IF(ISBLANK(_xlfn.xlookup(E$3,daily_items,_xlfn.xlookup($C318,daily_dates,big_daily_table))),NA(),_xlfn.xlookup(E$3,daily_items,_xlfn.xlookup($C318,daily_dates,big_daily_table)))</f>
        <v>#NAME?</v>
      </c>
    </row>
    <row r="319" customFormat="false" ht="14.25" hidden="false" customHeight="false" outlineLevel="0" collapsed="false">
      <c r="B319" s="7" t="n">
        <v>41224</v>
      </c>
      <c r="C319" s="7" t="n">
        <f aca="false">B319-WEEKDAY(B319)+1</f>
        <v>41224</v>
      </c>
      <c r="D319" s="1" t="e">
        <f aca="false" t="array" ref="D319:D319">IF(ISBLANK(_xlfn.xlookup(D$3,daily_items,_xlfn.xlookup($C319,daily_dates,big_daily_table))),NA(),_xlfn.xlookup(D$3,daily_items,_xlfn.xlookup($C319,daily_dates,big_daily_table)))</f>
        <v>#NAME?</v>
      </c>
      <c r="E319" s="1" t="e">
        <f aca="false" t="array" ref="E319:E319">IF(ISBLANK(_xlfn.xlookup(E$3,daily_items,_xlfn.xlookup($C319,daily_dates,big_daily_table))),NA(),_xlfn.xlookup(E$3,daily_items,_xlfn.xlookup($C319,daily_dates,big_daily_table)))</f>
        <v>#NAME?</v>
      </c>
    </row>
    <row r="320" customFormat="false" ht="14.25" hidden="false" customHeight="false" outlineLevel="0" collapsed="false">
      <c r="B320" s="7" t="n">
        <v>41225</v>
      </c>
      <c r="C320" s="7" t="n">
        <f aca="false">B320-WEEKDAY(B320)+1</f>
        <v>41224</v>
      </c>
      <c r="D320" s="1" t="e">
        <f aca="false" t="array" ref="D320:D320">IF(ISBLANK(_xlfn.xlookup(D$3,daily_items,_xlfn.xlookup($C320,daily_dates,big_daily_table))),NA(),_xlfn.xlookup(D$3,daily_items,_xlfn.xlookup($C320,daily_dates,big_daily_table)))</f>
        <v>#NAME?</v>
      </c>
      <c r="E320" s="1" t="e">
        <f aca="false" t="array" ref="E320:E320">IF(ISBLANK(_xlfn.xlookup(E$3,daily_items,_xlfn.xlookup($C320,daily_dates,big_daily_table))),NA(),_xlfn.xlookup(E$3,daily_items,_xlfn.xlookup($C320,daily_dates,big_daily_table)))</f>
        <v>#NAME?</v>
      </c>
    </row>
    <row r="321" customFormat="false" ht="14.25" hidden="false" customHeight="false" outlineLevel="0" collapsed="false">
      <c r="B321" s="7" t="n">
        <v>41226</v>
      </c>
      <c r="C321" s="7" t="n">
        <f aca="false">B321-WEEKDAY(B321)+1</f>
        <v>41224</v>
      </c>
      <c r="D321" s="1" t="e">
        <f aca="false" t="array" ref="D321:D321">IF(ISBLANK(_xlfn.xlookup(D$3,daily_items,_xlfn.xlookup($C321,daily_dates,big_daily_table))),NA(),_xlfn.xlookup(D$3,daily_items,_xlfn.xlookup($C321,daily_dates,big_daily_table)))</f>
        <v>#NAME?</v>
      </c>
      <c r="E321" s="1" t="e">
        <f aca="false" t="array" ref="E321:E321">IF(ISBLANK(_xlfn.xlookup(E$3,daily_items,_xlfn.xlookup($C321,daily_dates,big_daily_table))),NA(),_xlfn.xlookup(E$3,daily_items,_xlfn.xlookup($C321,daily_dates,big_daily_table)))</f>
        <v>#NAME?</v>
      </c>
    </row>
    <row r="322" customFormat="false" ht="14.25" hidden="false" customHeight="false" outlineLevel="0" collapsed="false">
      <c r="B322" s="7" t="n">
        <v>41227</v>
      </c>
      <c r="C322" s="7" t="n">
        <f aca="false">B322-WEEKDAY(B322)+1</f>
        <v>41224</v>
      </c>
      <c r="D322" s="1" t="e">
        <f aca="false" t="array" ref="D322:D322">IF(ISBLANK(_xlfn.xlookup(D$3,daily_items,_xlfn.xlookup($C322,daily_dates,big_daily_table))),NA(),_xlfn.xlookup(D$3,daily_items,_xlfn.xlookup($C322,daily_dates,big_daily_table)))</f>
        <v>#NAME?</v>
      </c>
      <c r="E322" s="1" t="e">
        <f aca="false" t="array" ref="E322:E322">IF(ISBLANK(_xlfn.xlookup(E$3,daily_items,_xlfn.xlookup($C322,daily_dates,big_daily_table))),NA(),_xlfn.xlookup(E$3,daily_items,_xlfn.xlookup($C322,daily_dates,big_daily_table)))</f>
        <v>#NAME?</v>
      </c>
    </row>
    <row r="323" customFormat="false" ht="14.25" hidden="false" customHeight="false" outlineLevel="0" collapsed="false">
      <c r="B323" s="7" t="n">
        <v>41228</v>
      </c>
      <c r="C323" s="7" t="n">
        <f aca="false">B323-WEEKDAY(B323)+1</f>
        <v>41224</v>
      </c>
      <c r="D323" s="1" t="e">
        <f aca="false" t="array" ref="D323:D323">IF(ISBLANK(_xlfn.xlookup(D$3,daily_items,_xlfn.xlookup($C323,daily_dates,big_daily_table))),NA(),_xlfn.xlookup(D$3,daily_items,_xlfn.xlookup($C323,daily_dates,big_daily_table)))</f>
        <v>#NAME?</v>
      </c>
      <c r="E323" s="1" t="e">
        <f aca="false" t="array" ref="E323:E323">IF(ISBLANK(_xlfn.xlookup(E$3,daily_items,_xlfn.xlookup($C323,daily_dates,big_daily_table))),NA(),_xlfn.xlookup(E$3,daily_items,_xlfn.xlookup($C323,daily_dates,big_daily_table)))</f>
        <v>#NAME?</v>
      </c>
    </row>
    <row r="324" customFormat="false" ht="14.25" hidden="false" customHeight="false" outlineLevel="0" collapsed="false">
      <c r="B324" s="7" t="n">
        <v>41229</v>
      </c>
      <c r="C324" s="7" t="n">
        <f aca="false">B324-WEEKDAY(B324)+1</f>
        <v>41224</v>
      </c>
      <c r="D324" s="1" t="e">
        <f aca="false" t="array" ref="D324:D324">IF(ISBLANK(_xlfn.xlookup(D$3,daily_items,_xlfn.xlookup($C324,daily_dates,big_daily_table))),NA(),_xlfn.xlookup(D$3,daily_items,_xlfn.xlookup($C324,daily_dates,big_daily_table)))</f>
        <v>#NAME?</v>
      </c>
      <c r="E324" s="1" t="e">
        <f aca="false" t="array" ref="E324:E324">IF(ISBLANK(_xlfn.xlookup(E$3,daily_items,_xlfn.xlookup($C324,daily_dates,big_daily_table))),NA(),_xlfn.xlookup(E$3,daily_items,_xlfn.xlookup($C324,daily_dates,big_daily_table)))</f>
        <v>#NAME?</v>
      </c>
    </row>
    <row r="325" customFormat="false" ht="14.25" hidden="false" customHeight="false" outlineLevel="0" collapsed="false">
      <c r="B325" s="7" t="n">
        <v>41230</v>
      </c>
      <c r="C325" s="7" t="n">
        <f aca="false">B325-WEEKDAY(B325)+1</f>
        <v>41224</v>
      </c>
      <c r="D325" s="1" t="e">
        <f aca="false" t="array" ref="D325:D325">IF(ISBLANK(_xlfn.xlookup(D$3,daily_items,_xlfn.xlookup($C325,daily_dates,big_daily_table))),NA(),_xlfn.xlookup(D$3,daily_items,_xlfn.xlookup($C325,daily_dates,big_daily_table)))</f>
        <v>#NAME?</v>
      </c>
      <c r="E325" s="1" t="e">
        <f aca="false" t="array" ref="E325:E325">IF(ISBLANK(_xlfn.xlookup(E$3,daily_items,_xlfn.xlookup($C325,daily_dates,big_daily_table))),NA(),_xlfn.xlookup(E$3,daily_items,_xlfn.xlookup($C325,daily_dates,big_daily_table)))</f>
        <v>#NAME?</v>
      </c>
    </row>
    <row r="326" customFormat="false" ht="14.25" hidden="false" customHeight="false" outlineLevel="0" collapsed="false">
      <c r="B326" s="7" t="n">
        <v>41231</v>
      </c>
      <c r="C326" s="7" t="n">
        <f aca="false">B326-WEEKDAY(B326)+1</f>
        <v>41231</v>
      </c>
      <c r="D326" s="1" t="e">
        <f aca="false" t="array" ref="D326:D326">IF(ISBLANK(_xlfn.xlookup(D$3,daily_items,_xlfn.xlookup($C326,daily_dates,big_daily_table))),NA(),_xlfn.xlookup(D$3,daily_items,_xlfn.xlookup($C326,daily_dates,big_daily_table)))</f>
        <v>#NAME?</v>
      </c>
      <c r="E326" s="1" t="e">
        <f aca="false" t="array" ref="E326:E326">IF(ISBLANK(_xlfn.xlookup(E$3,daily_items,_xlfn.xlookup($C326,daily_dates,big_daily_table))),NA(),_xlfn.xlookup(E$3,daily_items,_xlfn.xlookup($C326,daily_dates,big_daily_table)))</f>
        <v>#NAME?</v>
      </c>
    </row>
    <row r="327" customFormat="false" ht="14.25" hidden="false" customHeight="false" outlineLevel="0" collapsed="false">
      <c r="B327" s="7" t="n">
        <v>41232</v>
      </c>
      <c r="C327" s="7" t="n">
        <f aca="false">B327-WEEKDAY(B327)+1</f>
        <v>41231</v>
      </c>
      <c r="D327" s="1" t="e">
        <f aca="false" t="array" ref="D327:D327">IF(ISBLANK(_xlfn.xlookup(D$3,daily_items,_xlfn.xlookup($C327,daily_dates,big_daily_table))),NA(),_xlfn.xlookup(D$3,daily_items,_xlfn.xlookup($C327,daily_dates,big_daily_table)))</f>
        <v>#NAME?</v>
      </c>
      <c r="E327" s="1" t="e">
        <f aca="false" t="array" ref="E327:E327">IF(ISBLANK(_xlfn.xlookup(E$3,daily_items,_xlfn.xlookup($C327,daily_dates,big_daily_table))),NA(),_xlfn.xlookup(E$3,daily_items,_xlfn.xlookup($C327,daily_dates,big_daily_table)))</f>
        <v>#NAME?</v>
      </c>
    </row>
    <row r="328" customFormat="false" ht="14.25" hidden="false" customHeight="false" outlineLevel="0" collapsed="false">
      <c r="B328" s="7" t="n">
        <v>41233</v>
      </c>
      <c r="C328" s="7" t="n">
        <f aca="false">B328-WEEKDAY(B328)+1</f>
        <v>41231</v>
      </c>
      <c r="D328" s="1" t="e">
        <f aca="false" t="array" ref="D328:D328">IF(ISBLANK(_xlfn.xlookup(D$3,daily_items,_xlfn.xlookup($C328,daily_dates,big_daily_table))),NA(),_xlfn.xlookup(D$3,daily_items,_xlfn.xlookup($C328,daily_dates,big_daily_table)))</f>
        <v>#NAME?</v>
      </c>
      <c r="E328" s="1" t="e">
        <f aca="false" t="array" ref="E328:E328">IF(ISBLANK(_xlfn.xlookup(E$3,daily_items,_xlfn.xlookup($C328,daily_dates,big_daily_table))),NA(),_xlfn.xlookup(E$3,daily_items,_xlfn.xlookup($C328,daily_dates,big_daily_table)))</f>
        <v>#NAME?</v>
      </c>
    </row>
    <row r="329" customFormat="false" ht="14.25" hidden="false" customHeight="false" outlineLevel="0" collapsed="false">
      <c r="B329" s="7" t="n">
        <v>41234</v>
      </c>
      <c r="C329" s="7" t="n">
        <f aca="false">B329-WEEKDAY(B329)+1</f>
        <v>41231</v>
      </c>
      <c r="D329" s="1" t="e">
        <f aca="false" t="array" ref="D329:D329">IF(ISBLANK(_xlfn.xlookup(D$3,daily_items,_xlfn.xlookup($C329,daily_dates,big_daily_table))),NA(),_xlfn.xlookup(D$3,daily_items,_xlfn.xlookup($C329,daily_dates,big_daily_table)))</f>
        <v>#NAME?</v>
      </c>
      <c r="E329" s="1" t="e">
        <f aca="false" t="array" ref="E329:E329">IF(ISBLANK(_xlfn.xlookup(E$3,daily_items,_xlfn.xlookup($C329,daily_dates,big_daily_table))),NA(),_xlfn.xlookup(E$3,daily_items,_xlfn.xlookup($C329,daily_dates,big_daily_table)))</f>
        <v>#NAME?</v>
      </c>
    </row>
    <row r="330" customFormat="false" ht="14.25" hidden="false" customHeight="false" outlineLevel="0" collapsed="false">
      <c r="B330" s="7" t="n">
        <v>41235</v>
      </c>
      <c r="C330" s="7" t="n">
        <f aca="false">B330-WEEKDAY(B330)+1</f>
        <v>41231</v>
      </c>
      <c r="D330" s="1" t="e">
        <f aca="false" t="array" ref="D330:D330">IF(ISBLANK(_xlfn.xlookup(D$3,daily_items,_xlfn.xlookup($C330,daily_dates,big_daily_table))),NA(),_xlfn.xlookup(D$3,daily_items,_xlfn.xlookup($C330,daily_dates,big_daily_table)))</f>
        <v>#NAME?</v>
      </c>
      <c r="E330" s="1" t="e">
        <f aca="false" t="array" ref="E330:E330">IF(ISBLANK(_xlfn.xlookup(E$3,daily_items,_xlfn.xlookup($C330,daily_dates,big_daily_table))),NA(),_xlfn.xlookup(E$3,daily_items,_xlfn.xlookup($C330,daily_dates,big_daily_table)))</f>
        <v>#NAME?</v>
      </c>
    </row>
    <row r="331" customFormat="false" ht="14.25" hidden="false" customHeight="false" outlineLevel="0" collapsed="false">
      <c r="B331" s="7" t="n">
        <v>41236</v>
      </c>
      <c r="C331" s="7" t="n">
        <f aca="false">B331-WEEKDAY(B331)+1</f>
        <v>41231</v>
      </c>
      <c r="D331" s="1" t="e">
        <f aca="false" t="array" ref="D331:D331">IF(ISBLANK(_xlfn.xlookup(D$3,daily_items,_xlfn.xlookup($C331,daily_dates,big_daily_table))),NA(),_xlfn.xlookup(D$3,daily_items,_xlfn.xlookup($C331,daily_dates,big_daily_table)))</f>
        <v>#NAME?</v>
      </c>
      <c r="E331" s="1" t="e">
        <f aca="false" t="array" ref="E331:E331">IF(ISBLANK(_xlfn.xlookup(E$3,daily_items,_xlfn.xlookup($C331,daily_dates,big_daily_table))),NA(),_xlfn.xlookup(E$3,daily_items,_xlfn.xlookup($C331,daily_dates,big_daily_table)))</f>
        <v>#NAME?</v>
      </c>
    </row>
    <row r="332" customFormat="false" ht="14.25" hidden="false" customHeight="false" outlineLevel="0" collapsed="false">
      <c r="B332" s="7" t="n">
        <v>41237</v>
      </c>
      <c r="C332" s="7" t="n">
        <f aca="false">B332-WEEKDAY(B332)+1</f>
        <v>41231</v>
      </c>
      <c r="D332" s="1" t="e">
        <f aca="false" t="array" ref="D332:D332">IF(ISBLANK(_xlfn.xlookup(D$3,daily_items,_xlfn.xlookup($C332,daily_dates,big_daily_table))),NA(),_xlfn.xlookup(D$3,daily_items,_xlfn.xlookup($C332,daily_dates,big_daily_table)))</f>
        <v>#NAME?</v>
      </c>
      <c r="E332" s="1" t="e">
        <f aca="false" t="array" ref="E332:E332">IF(ISBLANK(_xlfn.xlookup(E$3,daily_items,_xlfn.xlookup($C332,daily_dates,big_daily_table))),NA(),_xlfn.xlookup(E$3,daily_items,_xlfn.xlookup($C332,daily_dates,big_daily_table)))</f>
        <v>#NAME?</v>
      </c>
    </row>
    <row r="333" customFormat="false" ht="14.25" hidden="false" customHeight="false" outlineLevel="0" collapsed="false">
      <c r="B333" s="7" t="n">
        <v>41238</v>
      </c>
      <c r="C333" s="7" t="n">
        <f aca="false">B333-WEEKDAY(B333)+1</f>
        <v>41238</v>
      </c>
      <c r="D333" s="1" t="e">
        <f aca="false" t="array" ref="D333:D333">IF(ISBLANK(_xlfn.xlookup(D$3,daily_items,_xlfn.xlookup($C333,daily_dates,big_daily_table))),NA(),_xlfn.xlookup(D$3,daily_items,_xlfn.xlookup($C333,daily_dates,big_daily_table)))</f>
        <v>#NAME?</v>
      </c>
      <c r="E333" s="1" t="e">
        <f aca="false" t="array" ref="E333:E333">IF(ISBLANK(_xlfn.xlookup(E$3,daily_items,_xlfn.xlookup($C333,daily_dates,big_daily_table))),NA(),_xlfn.xlookup(E$3,daily_items,_xlfn.xlookup($C333,daily_dates,big_daily_table)))</f>
        <v>#NAME?</v>
      </c>
    </row>
    <row r="334" customFormat="false" ht="14.25" hidden="false" customHeight="false" outlineLevel="0" collapsed="false">
      <c r="B334" s="7" t="n">
        <v>41239</v>
      </c>
      <c r="C334" s="7" t="n">
        <f aca="false">B334-WEEKDAY(B334)+1</f>
        <v>41238</v>
      </c>
      <c r="D334" s="1" t="e">
        <f aca="false" t="array" ref="D334:D334">IF(ISBLANK(_xlfn.xlookup(D$3,daily_items,_xlfn.xlookup($C334,daily_dates,big_daily_table))),NA(),_xlfn.xlookup(D$3,daily_items,_xlfn.xlookup($C334,daily_dates,big_daily_table)))</f>
        <v>#NAME?</v>
      </c>
      <c r="E334" s="1" t="e">
        <f aca="false" t="array" ref="E334:E334">IF(ISBLANK(_xlfn.xlookup(E$3,daily_items,_xlfn.xlookup($C334,daily_dates,big_daily_table))),NA(),_xlfn.xlookup(E$3,daily_items,_xlfn.xlookup($C334,daily_dates,big_daily_table)))</f>
        <v>#NAME?</v>
      </c>
    </row>
    <row r="335" customFormat="false" ht="14.25" hidden="false" customHeight="false" outlineLevel="0" collapsed="false">
      <c r="B335" s="7" t="n">
        <v>41240</v>
      </c>
      <c r="C335" s="7" t="n">
        <f aca="false">B335-WEEKDAY(B335)+1</f>
        <v>41238</v>
      </c>
      <c r="D335" s="1" t="e">
        <f aca="false" t="array" ref="D335:D335">IF(ISBLANK(_xlfn.xlookup(D$3,daily_items,_xlfn.xlookup($C335,daily_dates,big_daily_table))),NA(),_xlfn.xlookup(D$3,daily_items,_xlfn.xlookup($C335,daily_dates,big_daily_table)))</f>
        <v>#NAME?</v>
      </c>
      <c r="E335" s="1" t="e">
        <f aca="false" t="array" ref="E335:E335">IF(ISBLANK(_xlfn.xlookup(E$3,daily_items,_xlfn.xlookup($C335,daily_dates,big_daily_table))),NA(),_xlfn.xlookup(E$3,daily_items,_xlfn.xlookup($C335,daily_dates,big_daily_table)))</f>
        <v>#NAME?</v>
      </c>
    </row>
    <row r="336" customFormat="false" ht="14.25" hidden="false" customHeight="false" outlineLevel="0" collapsed="false">
      <c r="B336" s="7" t="n">
        <v>41241</v>
      </c>
      <c r="C336" s="7" t="n">
        <f aca="false">B336-WEEKDAY(B336)+1</f>
        <v>41238</v>
      </c>
      <c r="D336" s="1" t="e">
        <f aca="false" t="array" ref="D336:D336">IF(ISBLANK(_xlfn.xlookup(D$3,daily_items,_xlfn.xlookup($C336,daily_dates,big_daily_table))),NA(),_xlfn.xlookup(D$3,daily_items,_xlfn.xlookup($C336,daily_dates,big_daily_table)))</f>
        <v>#NAME?</v>
      </c>
      <c r="E336" s="1" t="e">
        <f aca="false" t="array" ref="E336:E336">IF(ISBLANK(_xlfn.xlookup(E$3,daily_items,_xlfn.xlookup($C336,daily_dates,big_daily_table))),NA(),_xlfn.xlookup(E$3,daily_items,_xlfn.xlookup($C336,daily_dates,big_daily_table)))</f>
        <v>#NAME?</v>
      </c>
    </row>
    <row r="337" customFormat="false" ht="14.25" hidden="false" customHeight="false" outlineLevel="0" collapsed="false">
      <c r="B337" s="7" t="n">
        <v>41242</v>
      </c>
      <c r="C337" s="7" t="n">
        <f aca="false">B337-WEEKDAY(B337)+1</f>
        <v>41238</v>
      </c>
      <c r="D337" s="1" t="e">
        <f aca="false" t="array" ref="D337:D337">IF(ISBLANK(_xlfn.xlookup(D$3,daily_items,_xlfn.xlookup($C337,daily_dates,big_daily_table))),NA(),_xlfn.xlookup(D$3,daily_items,_xlfn.xlookup($C337,daily_dates,big_daily_table)))</f>
        <v>#NAME?</v>
      </c>
      <c r="E337" s="1" t="e">
        <f aca="false" t="array" ref="E337:E337">IF(ISBLANK(_xlfn.xlookup(E$3,daily_items,_xlfn.xlookup($C337,daily_dates,big_daily_table))),NA(),_xlfn.xlookup(E$3,daily_items,_xlfn.xlookup($C337,daily_dates,big_daily_table)))</f>
        <v>#NAME?</v>
      </c>
    </row>
    <row r="338" customFormat="false" ht="14.25" hidden="false" customHeight="false" outlineLevel="0" collapsed="false">
      <c r="B338" s="7" t="n">
        <v>41243</v>
      </c>
      <c r="C338" s="7" t="n">
        <f aca="false">B338-WEEKDAY(B338)+1</f>
        <v>41238</v>
      </c>
      <c r="D338" s="1" t="e">
        <f aca="false" t="array" ref="D338:D338">IF(ISBLANK(_xlfn.xlookup(D$3,daily_items,_xlfn.xlookup($C338,daily_dates,big_daily_table))),NA(),_xlfn.xlookup(D$3,daily_items,_xlfn.xlookup($C338,daily_dates,big_daily_table)))</f>
        <v>#NAME?</v>
      </c>
      <c r="E338" s="1" t="e">
        <f aca="false" t="array" ref="E338:E338">IF(ISBLANK(_xlfn.xlookup(E$3,daily_items,_xlfn.xlookup($C338,daily_dates,big_daily_table))),NA(),_xlfn.xlookup(E$3,daily_items,_xlfn.xlookup($C338,daily_dates,big_daily_table)))</f>
        <v>#NAME?</v>
      </c>
    </row>
    <row r="339" customFormat="false" ht="14.25" hidden="false" customHeight="false" outlineLevel="0" collapsed="false">
      <c r="B339" s="7" t="n">
        <v>41244</v>
      </c>
      <c r="C339" s="7" t="n">
        <f aca="false">B339-WEEKDAY(B339)+1</f>
        <v>41238</v>
      </c>
      <c r="D339" s="1" t="e">
        <f aca="false" t="array" ref="D339:D339">IF(ISBLANK(_xlfn.xlookup(D$3,daily_items,_xlfn.xlookup($C339,daily_dates,big_daily_table))),NA(),_xlfn.xlookup(D$3,daily_items,_xlfn.xlookup($C339,daily_dates,big_daily_table)))</f>
        <v>#NAME?</v>
      </c>
      <c r="E339" s="1" t="e">
        <f aca="false" t="array" ref="E339:E339">IF(ISBLANK(_xlfn.xlookup(E$3,daily_items,_xlfn.xlookup($C339,daily_dates,big_daily_table))),NA(),_xlfn.xlookup(E$3,daily_items,_xlfn.xlookup($C339,daily_dates,big_daily_table)))</f>
        <v>#NAME?</v>
      </c>
    </row>
    <row r="340" customFormat="false" ht="14.25" hidden="false" customHeight="false" outlineLevel="0" collapsed="false">
      <c r="B340" s="7" t="n">
        <v>41245</v>
      </c>
      <c r="C340" s="7" t="n">
        <f aca="false">B340-WEEKDAY(B340)+1</f>
        <v>41245</v>
      </c>
      <c r="D340" s="1" t="e">
        <f aca="false" t="array" ref="D340:D340">IF(ISBLANK(_xlfn.xlookup(D$3,daily_items,_xlfn.xlookup($C340,daily_dates,big_daily_table))),NA(),_xlfn.xlookup(D$3,daily_items,_xlfn.xlookup($C340,daily_dates,big_daily_table)))</f>
        <v>#NAME?</v>
      </c>
      <c r="E340" s="1" t="e">
        <f aca="false" t="array" ref="E340:E340">IF(ISBLANK(_xlfn.xlookup(E$3,daily_items,_xlfn.xlookup($C340,daily_dates,big_daily_table))),NA(),_xlfn.xlookup(E$3,daily_items,_xlfn.xlookup($C340,daily_dates,big_daily_table)))</f>
        <v>#NAME?</v>
      </c>
    </row>
    <row r="341" customFormat="false" ht="14.25" hidden="false" customHeight="false" outlineLevel="0" collapsed="false">
      <c r="B341" s="7" t="n">
        <v>41246</v>
      </c>
      <c r="C341" s="7" t="n">
        <f aca="false">B341-WEEKDAY(B341)+1</f>
        <v>41245</v>
      </c>
      <c r="D341" s="1" t="e">
        <f aca="false" t="array" ref="D341:D341">IF(ISBLANK(_xlfn.xlookup(D$3,daily_items,_xlfn.xlookup($C341,daily_dates,big_daily_table))),NA(),_xlfn.xlookup(D$3,daily_items,_xlfn.xlookup($C341,daily_dates,big_daily_table)))</f>
        <v>#NAME?</v>
      </c>
      <c r="E341" s="1" t="e">
        <f aca="false" t="array" ref="E341:E341">IF(ISBLANK(_xlfn.xlookup(E$3,daily_items,_xlfn.xlookup($C341,daily_dates,big_daily_table))),NA(),_xlfn.xlookup(E$3,daily_items,_xlfn.xlookup($C341,daily_dates,big_daily_table)))</f>
        <v>#NAME?</v>
      </c>
    </row>
    <row r="342" customFormat="false" ht="14.25" hidden="false" customHeight="false" outlineLevel="0" collapsed="false">
      <c r="B342" s="7" t="n">
        <v>41247</v>
      </c>
      <c r="C342" s="7" t="n">
        <f aca="false">B342-WEEKDAY(B342)+1</f>
        <v>41245</v>
      </c>
      <c r="D342" s="1" t="e">
        <f aca="false" t="array" ref="D342:D342">IF(ISBLANK(_xlfn.xlookup(D$3,daily_items,_xlfn.xlookup($C342,daily_dates,big_daily_table))),NA(),_xlfn.xlookup(D$3,daily_items,_xlfn.xlookup($C342,daily_dates,big_daily_table)))</f>
        <v>#NAME?</v>
      </c>
      <c r="E342" s="1" t="e">
        <f aca="false" t="array" ref="E342:E342">IF(ISBLANK(_xlfn.xlookup(E$3,daily_items,_xlfn.xlookup($C342,daily_dates,big_daily_table))),NA(),_xlfn.xlookup(E$3,daily_items,_xlfn.xlookup($C342,daily_dates,big_daily_table)))</f>
        <v>#NAME?</v>
      </c>
    </row>
    <row r="343" customFormat="false" ht="14.25" hidden="false" customHeight="false" outlineLevel="0" collapsed="false">
      <c r="B343" s="7" t="n">
        <v>41248</v>
      </c>
      <c r="C343" s="7" t="n">
        <f aca="false">B343-WEEKDAY(B343)+1</f>
        <v>41245</v>
      </c>
      <c r="D343" s="1" t="e">
        <f aca="false" t="array" ref="D343:D343">IF(ISBLANK(_xlfn.xlookup(D$3,daily_items,_xlfn.xlookup($C343,daily_dates,big_daily_table))),NA(),_xlfn.xlookup(D$3,daily_items,_xlfn.xlookup($C343,daily_dates,big_daily_table)))</f>
        <v>#NAME?</v>
      </c>
      <c r="E343" s="1" t="e">
        <f aca="false" t="array" ref="E343:E343">IF(ISBLANK(_xlfn.xlookup(E$3,daily_items,_xlfn.xlookup($C343,daily_dates,big_daily_table))),NA(),_xlfn.xlookup(E$3,daily_items,_xlfn.xlookup($C343,daily_dates,big_daily_table)))</f>
        <v>#NAME?</v>
      </c>
    </row>
    <row r="344" customFormat="false" ht="14.25" hidden="false" customHeight="false" outlineLevel="0" collapsed="false">
      <c r="B344" s="7" t="n">
        <v>41249</v>
      </c>
      <c r="C344" s="7" t="n">
        <f aca="false">B344-WEEKDAY(B344)+1</f>
        <v>41245</v>
      </c>
      <c r="D344" s="1" t="e">
        <f aca="false" t="array" ref="D344:D344">IF(ISBLANK(_xlfn.xlookup(D$3,daily_items,_xlfn.xlookup($C344,daily_dates,big_daily_table))),NA(),_xlfn.xlookup(D$3,daily_items,_xlfn.xlookup($C344,daily_dates,big_daily_table)))</f>
        <v>#NAME?</v>
      </c>
      <c r="E344" s="1" t="e">
        <f aca="false" t="array" ref="E344:E344">IF(ISBLANK(_xlfn.xlookup(E$3,daily_items,_xlfn.xlookup($C344,daily_dates,big_daily_table))),NA(),_xlfn.xlookup(E$3,daily_items,_xlfn.xlookup($C344,daily_dates,big_daily_table)))</f>
        <v>#NAME?</v>
      </c>
    </row>
    <row r="345" customFormat="false" ht="14.25" hidden="false" customHeight="false" outlineLevel="0" collapsed="false">
      <c r="B345" s="7" t="n">
        <v>41250</v>
      </c>
      <c r="C345" s="7" t="n">
        <f aca="false">B345-WEEKDAY(B345)+1</f>
        <v>41245</v>
      </c>
      <c r="D345" s="1" t="e">
        <f aca="false" t="array" ref="D345:D345">IF(ISBLANK(_xlfn.xlookup(D$3,daily_items,_xlfn.xlookup($C345,daily_dates,big_daily_table))),NA(),_xlfn.xlookup(D$3,daily_items,_xlfn.xlookup($C345,daily_dates,big_daily_table)))</f>
        <v>#NAME?</v>
      </c>
      <c r="E345" s="1" t="e">
        <f aca="false" t="array" ref="E345:E345">IF(ISBLANK(_xlfn.xlookup(E$3,daily_items,_xlfn.xlookup($C345,daily_dates,big_daily_table))),NA(),_xlfn.xlookup(E$3,daily_items,_xlfn.xlookup($C345,daily_dates,big_daily_table)))</f>
        <v>#NAME?</v>
      </c>
    </row>
    <row r="346" customFormat="false" ht="14.25" hidden="false" customHeight="false" outlineLevel="0" collapsed="false">
      <c r="B346" s="7" t="n">
        <v>41251</v>
      </c>
      <c r="C346" s="7" t="n">
        <f aca="false">B346-WEEKDAY(B346)+1</f>
        <v>41245</v>
      </c>
      <c r="D346" s="1" t="e">
        <f aca="false" t="array" ref="D346:D346">IF(ISBLANK(_xlfn.xlookup(D$3,daily_items,_xlfn.xlookup($C346,daily_dates,big_daily_table))),NA(),_xlfn.xlookup(D$3,daily_items,_xlfn.xlookup($C346,daily_dates,big_daily_table)))</f>
        <v>#NAME?</v>
      </c>
      <c r="E346" s="1" t="e">
        <f aca="false" t="array" ref="E346:E346">IF(ISBLANK(_xlfn.xlookup(E$3,daily_items,_xlfn.xlookup($C346,daily_dates,big_daily_table))),NA(),_xlfn.xlookup(E$3,daily_items,_xlfn.xlookup($C346,daily_dates,big_daily_table)))</f>
        <v>#NAME?</v>
      </c>
    </row>
    <row r="347" customFormat="false" ht="14.25" hidden="false" customHeight="false" outlineLevel="0" collapsed="false">
      <c r="B347" s="7" t="n">
        <v>41252</v>
      </c>
      <c r="C347" s="7" t="n">
        <f aca="false">B347-WEEKDAY(B347)+1</f>
        <v>41252</v>
      </c>
      <c r="D347" s="1" t="e">
        <f aca="false" t="array" ref="D347:D347">IF(ISBLANK(_xlfn.xlookup(D$3,daily_items,_xlfn.xlookup($C347,daily_dates,big_daily_table))),NA(),_xlfn.xlookup(D$3,daily_items,_xlfn.xlookup($C347,daily_dates,big_daily_table)))</f>
        <v>#NAME?</v>
      </c>
      <c r="E347" s="1" t="e">
        <f aca="false" t="array" ref="E347:E347">IF(ISBLANK(_xlfn.xlookup(E$3,daily_items,_xlfn.xlookup($C347,daily_dates,big_daily_table))),NA(),_xlfn.xlookup(E$3,daily_items,_xlfn.xlookup($C347,daily_dates,big_daily_table)))</f>
        <v>#NAME?</v>
      </c>
    </row>
    <row r="348" customFormat="false" ht="14.25" hidden="false" customHeight="false" outlineLevel="0" collapsed="false">
      <c r="B348" s="7" t="n">
        <v>41253</v>
      </c>
      <c r="C348" s="7" t="n">
        <f aca="false">B348-WEEKDAY(B348)+1</f>
        <v>41252</v>
      </c>
      <c r="D348" s="1" t="e">
        <f aca="false" t="array" ref="D348:D348">IF(ISBLANK(_xlfn.xlookup(D$3,daily_items,_xlfn.xlookup($C348,daily_dates,big_daily_table))),NA(),_xlfn.xlookup(D$3,daily_items,_xlfn.xlookup($C348,daily_dates,big_daily_table)))</f>
        <v>#NAME?</v>
      </c>
      <c r="E348" s="1" t="e">
        <f aca="false" t="array" ref="E348:E348">IF(ISBLANK(_xlfn.xlookup(E$3,daily_items,_xlfn.xlookup($C348,daily_dates,big_daily_table))),NA(),_xlfn.xlookup(E$3,daily_items,_xlfn.xlookup($C348,daily_dates,big_daily_table)))</f>
        <v>#NAME?</v>
      </c>
    </row>
    <row r="349" customFormat="false" ht="14.25" hidden="false" customHeight="false" outlineLevel="0" collapsed="false">
      <c r="B349" s="7" t="n">
        <v>41254</v>
      </c>
      <c r="C349" s="7" t="n">
        <f aca="false">B349-WEEKDAY(B349)+1</f>
        <v>41252</v>
      </c>
      <c r="D349" s="1" t="e">
        <f aca="false" t="array" ref="D349:D349">IF(ISBLANK(_xlfn.xlookup(D$3,daily_items,_xlfn.xlookup($C349,daily_dates,big_daily_table))),NA(),_xlfn.xlookup(D$3,daily_items,_xlfn.xlookup($C349,daily_dates,big_daily_table)))</f>
        <v>#NAME?</v>
      </c>
      <c r="E349" s="1" t="e">
        <f aca="false" t="array" ref="E349:E349">IF(ISBLANK(_xlfn.xlookup(E$3,daily_items,_xlfn.xlookup($C349,daily_dates,big_daily_table))),NA(),_xlfn.xlookup(E$3,daily_items,_xlfn.xlookup($C349,daily_dates,big_daily_table)))</f>
        <v>#NAME?</v>
      </c>
    </row>
    <row r="350" customFormat="false" ht="14.25" hidden="false" customHeight="false" outlineLevel="0" collapsed="false">
      <c r="B350" s="7" t="n">
        <v>41255</v>
      </c>
      <c r="C350" s="7" t="n">
        <f aca="false">B350-WEEKDAY(B350)+1</f>
        <v>41252</v>
      </c>
      <c r="D350" s="1" t="e">
        <f aca="false" t="array" ref="D350:D350">IF(ISBLANK(_xlfn.xlookup(D$3,daily_items,_xlfn.xlookup($C350,daily_dates,big_daily_table))),NA(),_xlfn.xlookup(D$3,daily_items,_xlfn.xlookup($C350,daily_dates,big_daily_table)))</f>
        <v>#NAME?</v>
      </c>
      <c r="E350" s="1" t="e">
        <f aca="false" t="array" ref="E350:E350">IF(ISBLANK(_xlfn.xlookup(E$3,daily_items,_xlfn.xlookup($C350,daily_dates,big_daily_table))),NA(),_xlfn.xlookup(E$3,daily_items,_xlfn.xlookup($C350,daily_dates,big_daily_table)))</f>
        <v>#NAME?</v>
      </c>
    </row>
    <row r="351" customFormat="false" ht="14.25" hidden="false" customHeight="false" outlineLevel="0" collapsed="false">
      <c r="B351" s="7" t="n">
        <v>41256</v>
      </c>
      <c r="C351" s="7" t="n">
        <f aca="false">B351-WEEKDAY(B351)+1</f>
        <v>41252</v>
      </c>
      <c r="D351" s="1" t="e">
        <f aca="false" t="array" ref="D351:D351">IF(ISBLANK(_xlfn.xlookup(D$3,daily_items,_xlfn.xlookup($C351,daily_dates,big_daily_table))),NA(),_xlfn.xlookup(D$3,daily_items,_xlfn.xlookup($C351,daily_dates,big_daily_table)))</f>
        <v>#NAME?</v>
      </c>
      <c r="E351" s="1" t="e">
        <f aca="false" t="array" ref="E351:E351">IF(ISBLANK(_xlfn.xlookup(E$3,daily_items,_xlfn.xlookup($C351,daily_dates,big_daily_table))),NA(),_xlfn.xlookup(E$3,daily_items,_xlfn.xlookup($C351,daily_dates,big_daily_table)))</f>
        <v>#NAME?</v>
      </c>
    </row>
    <row r="352" customFormat="false" ht="14.25" hidden="false" customHeight="false" outlineLevel="0" collapsed="false">
      <c r="B352" s="7" t="n">
        <v>41257</v>
      </c>
      <c r="C352" s="7" t="n">
        <f aca="false">B352-WEEKDAY(B352)+1</f>
        <v>41252</v>
      </c>
      <c r="D352" s="1" t="e">
        <f aca="false" t="array" ref="D352:D352">IF(ISBLANK(_xlfn.xlookup(D$3,daily_items,_xlfn.xlookup($C352,daily_dates,big_daily_table))),NA(),_xlfn.xlookup(D$3,daily_items,_xlfn.xlookup($C352,daily_dates,big_daily_table)))</f>
        <v>#NAME?</v>
      </c>
      <c r="E352" s="1" t="e">
        <f aca="false" t="array" ref="E352:E352">IF(ISBLANK(_xlfn.xlookup(E$3,daily_items,_xlfn.xlookup($C352,daily_dates,big_daily_table))),NA(),_xlfn.xlookup(E$3,daily_items,_xlfn.xlookup($C352,daily_dates,big_daily_table)))</f>
        <v>#NAME?</v>
      </c>
    </row>
    <row r="353" customFormat="false" ht="14.25" hidden="false" customHeight="false" outlineLevel="0" collapsed="false">
      <c r="B353" s="7" t="n">
        <v>41258</v>
      </c>
      <c r="C353" s="7" t="n">
        <f aca="false">B353-WEEKDAY(B353)+1</f>
        <v>41252</v>
      </c>
      <c r="D353" s="1" t="e">
        <f aca="false" t="array" ref="D353:D353">IF(ISBLANK(_xlfn.xlookup(D$3,daily_items,_xlfn.xlookup($C353,daily_dates,big_daily_table))),NA(),_xlfn.xlookup(D$3,daily_items,_xlfn.xlookup($C353,daily_dates,big_daily_table)))</f>
        <v>#NAME?</v>
      </c>
      <c r="E353" s="1" t="e">
        <f aca="false" t="array" ref="E353:E353">IF(ISBLANK(_xlfn.xlookup(E$3,daily_items,_xlfn.xlookup($C353,daily_dates,big_daily_table))),NA(),_xlfn.xlookup(E$3,daily_items,_xlfn.xlookup($C353,daily_dates,big_daily_table)))</f>
        <v>#NAME?</v>
      </c>
    </row>
    <row r="354" customFormat="false" ht="14.25" hidden="false" customHeight="false" outlineLevel="0" collapsed="false">
      <c r="B354" s="7" t="n">
        <v>41259</v>
      </c>
      <c r="C354" s="7" t="n">
        <f aca="false">B354-WEEKDAY(B354)+1</f>
        <v>41259</v>
      </c>
      <c r="D354" s="1" t="e">
        <f aca="false" t="array" ref="D354:D354">IF(ISBLANK(_xlfn.xlookup(D$3,daily_items,_xlfn.xlookup($C354,daily_dates,big_daily_table))),NA(),_xlfn.xlookup(D$3,daily_items,_xlfn.xlookup($C354,daily_dates,big_daily_table)))</f>
        <v>#NAME?</v>
      </c>
      <c r="E354" s="1" t="e">
        <f aca="false" t="array" ref="E354:E354">IF(ISBLANK(_xlfn.xlookup(E$3,daily_items,_xlfn.xlookup($C354,daily_dates,big_daily_table))),NA(),_xlfn.xlookup(E$3,daily_items,_xlfn.xlookup($C354,daily_dates,big_daily_table)))</f>
        <v>#NAME?</v>
      </c>
    </row>
    <row r="355" customFormat="false" ht="14.25" hidden="false" customHeight="false" outlineLevel="0" collapsed="false">
      <c r="B355" s="7" t="n">
        <v>41260</v>
      </c>
      <c r="C355" s="7" t="n">
        <f aca="false">B355-WEEKDAY(B355)+1</f>
        <v>41259</v>
      </c>
      <c r="D355" s="1" t="e">
        <f aca="false" t="array" ref="D355:D355">IF(ISBLANK(_xlfn.xlookup(D$3,daily_items,_xlfn.xlookup($C355,daily_dates,big_daily_table))),NA(),_xlfn.xlookup(D$3,daily_items,_xlfn.xlookup($C355,daily_dates,big_daily_table)))</f>
        <v>#NAME?</v>
      </c>
      <c r="E355" s="1" t="e">
        <f aca="false" t="array" ref="E355:E355">IF(ISBLANK(_xlfn.xlookup(E$3,daily_items,_xlfn.xlookup($C355,daily_dates,big_daily_table))),NA(),_xlfn.xlookup(E$3,daily_items,_xlfn.xlookup($C355,daily_dates,big_daily_table)))</f>
        <v>#NAME?</v>
      </c>
    </row>
    <row r="356" customFormat="false" ht="14.25" hidden="false" customHeight="false" outlineLevel="0" collapsed="false">
      <c r="B356" s="7" t="n">
        <v>41261</v>
      </c>
      <c r="C356" s="7" t="n">
        <f aca="false">B356-WEEKDAY(B356)+1</f>
        <v>41259</v>
      </c>
      <c r="D356" s="1" t="e">
        <f aca="false" t="array" ref="D356:D356">IF(ISBLANK(_xlfn.xlookup(D$3,daily_items,_xlfn.xlookup($C356,daily_dates,big_daily_table))),NA(),_xlfn.xlookup(D$3,daily_items,_xlfn.xlookup($C356,daily_dates,big_daily_table)))</f>
        <v>#NAME?</v>
      </c>
      <c r="E356" s="1" t="e">
        <f aca="false" t="array" ref="E356:E356">IF(ISBLANK(_xlfn.xlookup(E$3,daily_items,_xlfn.xlookup($C356,daily_dates,big_daily_table))),NA(),_xlfn.xlookup(E$3,daily_items,_xlfn.xlookup($C356,daily_dates,big_daily_table)))</f>
        <v>#NAME?</v>
      </c>
    </row>
    <row r="357" customFormat="false" ht="14.25" hidden="false" customHeight="false" outlineLevel="0" collapsed="false">
      <c r="B357" s="7" t="n">
        <v>41262</v>
      </c>
      <c r="C357" s="7" t="n">
        <f aca="false">B357-WEEKDAY(B357)+1</f>
        <v>41259</v>
      </c>
      <c r="D357" s="1" t="e">
        <f aca="false" t="array" ref="D357:D357">IF(ISBLANK(_xlfn.xlookup(D$3,daily_items,_xlfn.xlookup($C357,daily_dates,big_daily_table))),NA(),_xlfn.xlookup(D$3,daily_items,_xlfn.xlookup($C357,daily_dates,big_daily_table)))</f>
        <v>#NAME?</v>
      </c>
      <c r="E357" s="1" t="e">
        <f aca="false" t="array" ref="E357:E357">IF(ISBLANK(_xlfn.xlookup(E$3,daily_items,_xlfn.xlookup($C357,daily_dates,big_daily_table))),NA(),_xlfn.xlookup(E$3,daily_items,_xlfn.xlookup($C357,daily_dates,big_daily_table)))</f>
        <v>#NAME?</v>
      </c>
    </row>
    <row r="358" customFormat="false" ht="14.25" hidden="false" customHeight="false" outlineLevel="0" collapsed="false">
      <c r="B358" s="7" t="n">
        <v>41263</v>
      </c>
      <c r="C358" s="7" t="n">
        <f aca="false">B358-WEEKDAY(B358)+1</f>
        <v>41259</v>
      </c>
      <c r="D358" s="1" t="e">
        <f aca="false" t="array" ref="D358:D358">IF(ISBLANK(_xlfn.xlookup(D$3,daily_items,_xlfn.xlookup($C358,daily_dates,big_daily_table))),NA(),_xlfn.xlookup(D$3,daily_items,_xlfn.xlookup($C358,daily_dates,big_daily_table)))</f>
        <v>#NAME?</v>
      </c>
      <c r="E358" s="1" t="e">
        <f aca="false" t="array" ref="E358:E358">IF(ISBLANK(_xlfn.xlookup(E$3,daily_items,_xlfn.xlookup($C358,daily_dates,big_daily_table))),NA(),_xlfn.xlookup(E$3,daily_items,_xlfn.xlookup($C358,daily_dates,big_daily_table)))</f>
        <v>#NAME?</v>
      </c>
    </row>
    <row r="359" customFormat="false" ht="14.25" hidden="false" customHeight="false" outlineLevel="0" collapsed="false">
      <c r="B359" s="7" t="n">
        <v>41264</v>
      </c>
      <c r="C359" s="7" t="n">
        <f aca="false">B359-WEEKDAY(B359)+1</f>
        <v>41259</v>
      </c>
      <c r="D359" s="1" t="e">
        <f aca="false" t="array" ref="D359:D359">IF(ISBLANK(_xlfn.xlookup(D$3,daily_items,_xlfn.xlookup($C359,daily_dates,big_daily_table))),NA(),_xlfn.xlookup(D$3,daily_items,_xlfn.xlookup($C359,daily_dates,big_daily_table)))</f>
        <v>#NAME?</v>
      </c>
      <c r="E359" s="1" t="e">
        <f aca="false" t="array" ref="E359:E359">IF(ISBLANK(_xlfn.xlookup(E$3,daily_items,_xlfn.xlookup($C359,daily_dates,big_daily_table))),NA(),_xlfn.xlookup(E$3,daily_items,_xlfn.xlookup($C359,daily_dates,big_daily_table)))</f>
        <v>#NAME?</v>
      </c>
    </row>
    <row r="360" customFormat="false" ht="14.25" hidden="false" customHeight="false" outlineLevel="0" collapsed="false">
      <c r="B360" s="7" t="n">
        <v>41265</v>
      </c>
      <c r="C360" s="7" t="n">
        <f aca="false">B360-WEEKDAY(B360)+1</f>
        <v>41259</v>
      </c>
      <c r="D360" s="1" t="e">
        <f aca="false" t="array" ref="D360:D360">IF(ISBLANK(_xlfn.xlookup(D$3,daily_items,_xlfn.xlookup($C360,daily_dates,big_daily_table))),NA(),_xlfn.xlookup(D$3,daily_items,_xlfn.xlookup($C360,daily_dates,big_daily_table)))</f>
        <v>#NAME?</v>
      </c>
      <c r="E360" s="1" t="e">
        <f aca="false" t="array" ref="E360:E360">IF(ISBLANK(_xlfn.xlookup(E$3,daily_items,_xlfn.xlookup($C360,daily_dates,big_daily_table))),NA(),_xlfn.xlookup(E$3,daily_items,_xlfn.xlookup($C360,daily_dates,big_daily_table)))</f>
        <v>#NAME?</v>
      </c>
    </row>
    <row r="361" customFormat="false" ht="14.25" hidden="false" customHeight="false" outlineLevel="0" collapsed="false">
      <c r="B361" s="7" t="n">
        <v>41266</v>
      </c>
      <c r="C361" s="7" t="n">
        <f aca="false">B361-WEEKDAY(B361)+1</f>
        <v>41266</v>
      </c>
      <c r="D361" s="1" t="e">
        <f aca="false" t="array" ref="D361:D361">IF(ISBLANK(_xlfn.xlookup(D$3,daily_items,_xlfn.xlookup($C361,daily_dates,big_daily_table))),NA(),_xlfn.xlookup(D$3,daily_items,_xlfn.xlookup($C361,daily_dates,big_daily_table)))</f>
        <v>#NAME?</v>
      </c>
      <c r="E361" s="1" t="e">
        <f aca="false" t="array" ref="E361:E361">IF(ISBLANK(_xlfn.xlookup(E$3,daily_items,_xlfn.xlookup($C361,daily_dates,big_daily_table))),NA(),_xlfn.xlookup(E$3,daily_items,_xlfn.xlookup($C361,daily_dates,big_daily_table)))</f>
        <v>#NAME?</v>
      </c>
    </row>
    <row r="362" customFormat="false" ht="14.25" hidden="false" customHeight="false" outlineLevel="0" collapsed="false">
      <c r="B362" s="7" t="n">
        <v>41267</v>
      </c>
      <c r="C362" s="7" t="n">
        <f aca="false">B362-WEEKDAY(B362)+1</f>
        <v>41266</v>
      </c>
      <c r="D362" s="1" t="e">
        <f aca="false" t="array" ref="D362:D362">IF(ISBLANK(_xlfn.xlookup(D$3,daily_items,_xlfn.xlookup($C362,daily_dates,big_daily_table))),NA(),_xlfn.xlookup(D$3,daily_items,_xlfn.xlookup($C362,daily_dates,big_daily_table)))</f>
        <v>#NAME?</v>
      </c>
      <c r="E362" s="1" t="e">
        <f aca="false" t="array" ref="E362:E362">IF(ISBLANK(_xlfn.xlookup(E$3,daily_items,_xlfn.xlookup($C362,daily_dates,big_daily_table))),NA(),_xlfn.xlookup(E$3,daily_items,_xlfn.xlookup($C362,daily_dates,big_daily_table)))</f>
        <v>#NAME?</v>
      </c>
    </row>
    <row r="363" customFormat="false" ht="14.25" hidden="false" customHeight="false" outlineLevel="0" collapsed="false">
      <c r="B363" s="7" t="n">
        <v>41268</v>
      </c>
      <c r="C363" s="7" t="n">
        <f aca="false">B363-WEEKDAY(B363)+1</f>
        <v>41266</v>
      </c>
      <c r="D363" s="1" t="e">
        <f aca="false" t="array" ref="D363:D363">IF(ISBLANK(_xlfn.xlookup(D$3,daily_items,_xlfn.xlookup($C363,daily_dates,big_daily_table))),NA(),_xlfn.xlookup(D$3,daily_items,_xlfn.xlookup($C363,daily_dates,big_daily_table)))</f>
        <v>#NAME?</v>
      </c>
      <c r="E363" s="1" t="e">
        <f aca="false" t="array" ref="E363:E363">IF(ISBLANK(_xlfn.xlookup(E$3,daily_items,_xlfn.xlookup($C363,daily_dates,big_daily_table))),NA(),_xlfn.xlookup(E$3,daily_items,_xlfn.xlookup($C363,daily_dates,big_daily_table)))</f>
        <v>#NAME?</v>
      </c>
    </row>
    <row r="364" customFormat="false" ht="14.25" hidden="false" customHeight="false" outlineLevel="0" collapsed="false">
      <c r="B364" s="7" t="n">
        <v>41269</v>
      </c>
      <c r="C364" s="7" t="n">
        <f aca="false">B364-WEEKDAY(B364)+1</f>
        <v>41266</v>
      </c>
      <c r="D364" s="1" t="e">
        <f aca="false" t="array" ref="D364:D364">IF(ISBLANK(_xlfn.xlookup(D$3,daily_items,_xlfn.xlookup($C364,daily_dates,big_daily_table))),NA(),_xlfn.xlookup(D$3,daily_items,_xlfn.xlookup($C364,daily_dates,big_daily_table)))</f>
        <v>#NAME?</v>
      </c>
      <c r="E364" s="1" t="e">
        <f aca="false" t="array" ref="E364:E364">IF(ISBLANK(_xlfn.xlookup(E$3,daily_items,_xlfn.xlookup($C364,daily_dates,big_daily_table))),NA(),_xlfn.xlookup(E$3,daily_items,_xlfn.xlookup($C364,daily_dates,big_daily_table)))</f>
        <v>#NAME?</v>
      </c>
    </row>
    <row r="365" customFormat="false" ht="14.25" hidden="false" customHeight="false" outlineLevel="0" collapsed="false">
      <c r="B365" s="7" t="n">
        <v>41270</v>
      </c>
      <c r="C365" s="7" t="n">
        <f aca="false">B365-WEEKDAY(B365)+1</f>
        <v>41266</v>
      </c>
      <c r="D365" s="1" t="e">
        <f aca="false" t="array" ref="D365:D365">IF(ISBLANK(_xlfn.xlookup(D$3,daily_items,_xlfn.xlookup($C365,daily_dates,big_daily_table))),NA(),_xlfn.xlookup(D$3,daily_items,_xlfn.xlookup($C365,daily_dates,big_daily_table)))</f>
        <v>#NAME?</v>
      </c>
      <c r="E365" s="1" t="e">
        <f aca="false" t="array" ref="E365:E365">IF(ISBLANK(_xlfn.xlookup(E$3,daily_items,_xlfn.xlookup($C365,daily_dates,big_daily_table))),NA(),_xlfn.xlookup(E$3,daily_items,_xlfn.xlookup($C365,daily_dates,big_daily_table)))</f>
        <v>#NAME?</v>
      </c>
    </row>
    <row r="366" customFormat="false" ht="14.25" hidden="false" customHeight="false" outlineLevel="0" collapsed="false">
      <c r="B366" s="7" t="n">
        <v>41271</v>
      </c>
      <c r="C366" s="7" t="n">
        <f aca="false">B366-WEEKDAY(B366)+1</f>
        <v>41266</v>
      </c>
      <c r="D366" s="1" t="e">
        <f aca="false" t="array" ref="D366:D366">IF(ISBLANK(_xlfn.xlookup(D$3,daily_items,_xlfn.xlookup($C366,daily_dates,big_daily_table))),NA(),_xlfn.xlookup(D$3,daily_items,_xlfn.xlookup($C366,daily_dates,big_daily_table)))</f>
        <v>#NAME?</v>
      </c>
      <c r="E366" s="1" t="e">
        <f aca="false" t="array" ref="E366:E366">IF(ISBLANK(_xlfn.xlookup(E$3,daily_items,_xlfn.xlookup($C366,daily_dates,big_daily_table))),NA(),_xlfn.xlookup(E$3,daily_items,_xlfn.xlookup($C366,daily_dates,big_daily_table)))</f>
        <v>#NAME?</v>
      </c>
    </row>
    <row r="367" customFormat="false" ht="14.25" hidden="false" customHeight="false" outlineLevel="0" collapsed="false">
      <c r="B367" s="7" t="n">
        <v>41272</v>
      </c>
      <c r="C367" s="7" t="n">
        <f aca="false">B367-WEEKDAY(B367)+1</f>
        <v>41266</v>
      </c>
      <c r="D367" s="1" t="e">
        <f aca="false" t="array" ref="D367:D367">IF(ISBLANK(_xlfn.xlookup(D$3,daily_items,_xlfn.xlookup($C367,daily_dates,big_daily_table))),NA(),_xlfn.xlookup(D$3,daily_items,_xlfn.xlookup($C367,daily_dates,big_daily_table)))</f>
        <v>#NAME?</v>
      </c>
      <c r="E367" s="1" t="e">
        <f aca="false" t="array" ref="E367:E367">IF(ISBLANK(_xlfn.xlookup(E$3,daily_items,_xlfn.xlookup($C367,daily_dates,big_daily_table))),NA(),_xlfn.xlookup(E$3,daily_items,_xlfn.xlookup($C367,daily_dates,big_daily_table)))</f>
        <v>#NAME?</v>
      </c>
    </row>
    <row r="368" customFormat="false" ht="14.25" hidden="false" customHeight="false" outlineLevel="0" collapsed="false">
      <c r="B368" s="7" t="n">
        <v>41273</v>
      </c>
      <c r="C368" s="7" t="n">
        <f aca="false">B368-WEEKDAY(B368)+1</f>
        <v>41273</v>
      </c>
      <c r="D368" s="1" t="e">
        <f aca="false" t="array" ref="D368:D368">IF(ISBLANK(_xlfn.xlookup(D$3,daily_items,_xlfn.xlookup($C368,daily_dates,big_daily_table))),NA(),_xlfn.xlookup(D$3,daily_items,_xlfn.xlookup($C368,daily_dates,big_daily_table)))</f>
        <v>#NAME?</v>
      </c>
      <c r="E368" s="1" t="e">
        <f aca="false" t="array" ref="E368:E368">IF(ISBLANK(_xlfn.xlookup(E$3,daily_items,_xlfn.xlookup($C368,daily_dates,big_daily_table))),NA(),_xlfn.xlookup(E$3,daily_items,_xlfn.xlookup($C368,daily_dates,big_daily_table)))</f>
        <v>#NAME?</v>
      </c>
    </row>
    <row r="369" customFormat="false" ht="14.25" hidden="false" customHeight="false" outlineLevel="0" collapsed="false">
      <c r="B369" s="7" t="n">
        <v>41274</v>
      </c>
      <c r="C369" s="7" t="n">
        <f aca="false">B369-WEEKDAY(B369)+1</f>
        <v>41273</v>
      </c>
      <c r="D369" s="1" t="e">
        <f aca="false" t="array" ref="D369:D369">IF(ISBLANK(_xlfn.xlookup(D$3,daily_items,_xlfn.xlookup($C369,daily_dates,big_daily_table))),NA(),_xlfn.xlookup(D$3,daily_items,_xlfn.xlookup($C369,daily_dates,big_daily_table)))</f>
        <v>#NAME?</v>
      </c>
      <c r="E369" s="1" t="e">
        <f aca="false" t="array" ref="E369:E369">IF(ISBLANK(_xlfn.xlookup(E$3,daily_items,_xlfn.xlookup($C369,daily_dates,big_daily_table))),NA(),_xlfn.xlookup(E$3,daily_items,_xlfn.xlookup($C369,daily_dates,big_daily_table)))</f>
        <v>#NAME?</v>
      </c>
    </row>
    <row r="370" customFormat="false" ht="14.25" hidden="false" customHeight="false" outlineLevel="0" collapsed="false">
      <c r="B370" s="7" t="n">
        <v>41275</v>
      </c>
      <c r="C370" s="7" t="n">
        <f aca="false">B370-WEEKDAY(B370)+1</f>
        <v>41273</v>
      </c>
      <c r="D370" s="1" t="e">
        <f aca="false" t="array" ref="D370:D370">IF(ISBLANK(_xlfn.xlookup(D$3,daily_items,_xlfn.xlookup($C370,daily_dates,big_daily_table))),NA(),_xlfn.xlookup(D$3,daily_items,_xlfn.xlookup($C370,daily_dates,big_daily_table)))</f>
        <v>#NAME?</v>
      </c>
      <c r="E370" s="1" t="e">
        <f aca="false" t="array" ref="E370:E370">IF(ISBLANK(_xlfn.xlookup(E$3,daily_items,_xlfn.xlookup($C370,daily_dates,big_daily_table))),NA(),_xlfn.xlookup(E$3,daily_items,_xlfn.xlookup($C370,daily_dates,big_daily_table)))</f>
        <v>#NAME?</v>
      </c>
    </row>
    <row r="371" customFormat="false" ht="14.25" hidden="false" customHeight="false" outlineLevel="0" collapsed="false">
      <c r="B371" s="7" t="n">
        <v>41276</v>
      </c>
      <c r="C371" s="7" t="n">
        <f aca="false">B371-WEEKDAY(B371)+1</f>
        <v>41273</v>
      </c>
      <c r="D371" s="1" t="e">
        <f aca="false" t="array" ref="D371:D371">IF(ISBLANK(_xlfn.xlookup(D$3,daily_items,_xlfn.xlookup($C371,daily_dates,big_daily_table))),NA(),_xlfn.xlookup(D$3,daily_items,_xlfn.xlookup($C371,daily_dates,big_daily_table)))</f>
        <v>#NAME?</v>
      </c>
      <c r="E371" s="1" t="e">
        <f aca="false" t="array" ref="E371:E371">IF(ISBLANK(_xlfn.xlookup(E$3,daily_items,_xlfn.xlookup($C371,daily_dates,big_daily_table))),NA(),_xlfn.xlookup(E$3,daily_items,_xlfn.xlookup($C371,daily_dates,big_daily_table)))</f>
        <v>#NAME?</v>
      </c>
    </row>
    <row r="372" customFormat="false" ht="14.25" hidden="false" customHeight="false" outlineLevel="0" collapsed="false">
      <c r="B372" s="7" t="n">
        <v>41277</v>
      </c>
      <c r="C372" s="7" t="n">
        <f aca="false">B372-WEEKDAY(B372)+1</f>
        <v>41273</v>
      </c>
      <c r="D372" s="1" t="e">
        <f aca="false" t="array" ref="D372:D372">IF(ISBLANK(_xlfn.xlookup(D$3,daily_items,_xlfn.xlookup($C372,daily_dates,big_daily_table))),NA(),_xlfn.xlookup(D$3,daily_items,_xlfn.xlookup($C372,daily_dates,big_daily_table)))</f>
        <v>#NAME?</v>
      </c>
      <c r="E372" s="1" t="e">
        <f aca="false" t="array" ref="E372:E372">IF(ISBLANK(_xlfn.xlookup(E$3,daily_items,_xlfn.xlookup($C372,daily_dates,big_daily_table))),NA(),_xlfn.xlookup(E$3,daily_items,_xlfn.xlookup($C372,daily_dates,big_daily_table)))</f>
        <v>#NAME?</v>
      </c>
    </row>
    <row r="373" customFormat="false" ht="14.25" hidden="false" customHeight="false" outlineLevel="0" collapsed="false">
      <c r="B373" s="7" t="n">
        <v>41278</v>
      </c>
      <c r="C373" s="7" t="n">
        <f aca="false">B373-WEEKDAY(B373)+1</f>
        <v>41273</v>
      </c>
      <c r="D373" s="1" t="e">
        <f aca="false" t="array" ref="D373:D373">IF(ISBLANK(_xlfn.xlookup(D$3,daily_items,_xlfn.xlookup($C373,daily_dates,big_daily_table))),NA(),_xlfn.xlookup(D$3,daily_items,_xlfn.xlookup($C373,daily_dates,big_daily_table)))</f>
        <v>#NAME?</v>
      </c>
      <c r="E373" s="1" t="e">
        <f aca="false" t="array" ref="E373:E373">IF(ISBLANK(_xlfn.xlookup(E$3,daily_items,_xlfn.xlookup($C373,daily_dates,big_daily_table))),NA(),_xlfn.xlookup(E$3,daily_items,_xlfn.xlookup($C373,daily_dates,big_daily_table)))</f>
        <v>#NAME?</v>
      </c>
    </row>
    <row r="374" customFormat="false" ht="14.25" hidden="false" customHeight="false" outlineLevel="0" collapsed="false">
      <c r="B374" s="7" t="n">
        <v>41279</v>
      </c>
      <c r="C374" s="7" t="n">
        <f aca="false">B374-WEEKDAY(B374)+1</f>
        <v>41273</v>
      </c>
      <c r="D374" s="1" t="e">
        <f aca="false" t="array" ref="D374:D374">IF(ISBLANK(_xlfn.xlookup(D$3,daily_items,_xlfn.xlookup($C374,daily_dates,big_daily_table))),NA(),_xlfn.xlookup(D$3,daily_items,_xlfn.xlookup($C374,daily_dates,big_daily_table)))</f>
        <v>#NAME?</v>
      </c>
      <c r="E374" s="1" t="e">
        <f aca="false" t="array" ref="E374:E374">IF(ISBLANK(_xlfn.xlookup(E$3,daily_items,_xlfn.xlookup($C374,daily_dates,big_daily_table))),NA(),_xlfn.xlookup(E$3,daily_items,_xlfn.xlookup($C374,daily_dates,big_daily_table)))</f>
        <v>#NAME?</v>
      </c>
    </row>
    <row r="375" customFormat="false" ht="14.25" hidden="false" customHeight="false" outlineLevel="0" collapsed="false">
      <c r="B375" s="7" t="n">
        <v>41280</v>
      </c>
      <c r="C375" s="7" t="n">
        <f aca="false">B375-WEEKDAY(B375)+1</f>
        <v>41280</v>
      </c>
      <c r="D375" s="1" t="e">
        <f aca="false" t="array" ref="D375:D375">IF(ISBLANK(_xlfn.xlookup(D$3,daily_items,_xlfn.xlookup($C375,daily_dates,big_daily_table))),NA(),_xlfn.xlookup(D$3,daily_items,_xlfn.xlookup($C375,daily_dates,big_daily_table)))</f>
        <v>#NAME?</v>
      </c>
      <c r="E375" s="1" t="e">
        <f aca="false" t="array" ref="E375:E375">IF(ISBLANK(_xlfn.xlookup(E$3,daily_items,_xlfn.xlookup($C375,daily_dates,big_daily_table))),NA(),_xlfn.xlookup(E$3,daily_items,_xlfn.xlookup($C375,daily_dates,big_daily_table)))</f>
        <v>#NAME?</v>
      </c>
    </row>
    <row r="376" customFormat="false" ht="14.25" hidden="false" customHeight="false" outlineLevel="0" collapsed="false">
      <c r="B376" s="7" t="n">
        <v>41281</v>
      </c>
      <c r="C376" s="7" t="n">
        <f aca="false">B376-WEEKDAY(B376)+1</f>
        <v>41280</v>
      </c>
      <c r="D376" s="1" t="e">
        <f aca="false" t="array" ref="D376:D376">IF(ISBLANK(_xlfn.xlookup(D$3,daily_items,_xlfn.xlookup($C376,daily_dates,big_daily_table))),NA(),_xlfn.xlookup(D$3,daily_items,_xlfn.xlookup($C376,daily_dates,big_daily_table)))</f>
        <v>#NAME?</v>
      </c>
      <c r="E376" s="1" t="e">
        <f aca="false" t="array" ref="E376:E376">IF(ISBLANK(_xlfn.xlookup(E$3,daily_items,_xlfn.xlookup($C376,daily_dates,big_daily_table))),NA(),_xlfn.xlookup(E$3,daily_items,_xlfn.xlookup($C376,daily_dates,big_daily_table)))</f>
        <v>#NAME?</v>
      </c>
    </row>
    <row r="377" customFormat="false" ht="14.25" hidden="false" customHeight="false" outlineLevel="0" collapsed="false">
      <c r="B377" s="7" t="n">
        <v>41282</v>
      </c>
      <c r="C377" s="7" t="n">
        <f aca="false">B377-WEEKDAY(B377)+1</f>
        <v>41280</v>
      </c>
      <c r="D377" s="1" t="e">
        <f aca="false" t="array" ref="D377:D377">IF(ISBLANK(_xlfn.xlookup(D$3,daily_items,_xlfn.xlookup($C377,daily_dates,big_daily_table))),NA(),_xlfn.xlookup(D$3,daily_items,_xlfn.xlookup($C377,daily_dates,big_daily_table)))</f>
        <v>#NAME?</v>
      </c>
      <c r="E377" s="1" t="e">
        <f aca="false" t="array" ref="E377:E377">IF(ISBLANK(_xlfn.xlookup(E$3,daily_items,_xlfn.xlookup($C377,daily_dates,big_daily_table))),NA(),_xlfn.xlookup(E$3,daily_items,_xlfn.xlookup($C377,daily_dates,big_daily_table)))</f>
        <v>#NAME?</v>
      </c>
    </row>
    <row r="378" customFormat="false" ht="14.25" hidden="false" customHeight="false" outlineLevel="0" collapsed="false">
      <c r="B378" s="7" t="n">
        <v>41283</v>
      </c>
      <c r="C378" s="7" t="n">
        <f aca="false">B378-WEEKDAY(B378)+1</f>
        <v>41280</v>
      </c>
      <c r="D378" s="1" t="e">
        <f aca="false" t="array" ref="D378:D378">IF(ISBLANK(_xlfn.xlookup(D$3,daily_items,_xlfn.xlookup($C378,daily_dates,big_daily_table))),NA(),_xlfn.xlookup(D$3,daily_items,_xlfn.xlookup($C378,daily_dates,big_daily_table)))</f>
        <v>#NAME?</v>
      </c>
      <c r="E378" s="1" t="e">
        <f aca="false" t="array" ref="E378:E378">IF(ISBLANK(_xlfn.xlookup(E$3,daily_items,_xlfn.xlookup($C378,daily_dates,big_daily_table))),NA(),_xlfn.xlookup(E$3,daily_items,_xlfn.xlookup($C378,daily_dates,big_daily_table)))</f>
        <v>#NAME?</v>
      </c>
    </row>
    <row r="379" customFormat="false" ht="14.25" hidden="false" customHeight="false" outlineLevel="0" collapsed="false">
      <c r="B379" s="7" t="n">
        <v>41284</v>
      </c>
      <c r="C379" s="7" t="n">
        <f aca="false">B379-WEEKDAY(B379)+1</f>
        <v>41280</v>
      </c>
      <c r="D379" s="1" t="e">
        <f aca="false" t="array" ref="D379:D379">IF(ISBLANK(_xlfn.xlookup(D$3,daily_items,_xlfn.xlookup($C379,daily_dates,big_daily_table))),NA(),_xlfn.xlookup(D$3,daily_items,_xlfn.xlookup($C379,daily_dates,big_daily_table)))</f>
        <v>#NAME?</v>
      </c>
      <c r="E379" s="1" t="e">
        <f aca="false" t="array" ref="E379:E379">IF(ISBLANK(_xlfn.xlookup(E$3,daily_items,_xlfn.xlookup($C379,daily_dates,big_daily_table))),NA(),_xlfn.xlookup(E$3,daily_items,_xlfn.xlookup($C379,daily_dates,big_daily_table)))</f>
        <v>#NAME?</v>
      </c>
    </row>
    <row r="380" customFormat="false" ht="14.25" hidden="false" customHeight="false" outlineLevel="0" collapsed="false">
      <c r="B380" s="7" t="n">
        <v>41285</v>
      </c>
      <c r="C380" s="7" t="n">
        <f aca="false">B380-WEEKDAY(B380)+1</f>
        <v>41280</v>
      </c>
      <c r="D380" s="1" t="e">
        <f aca="false" t="array" ref="D380:D380">IF(ISBLANK(_xlfn.xlookup(D$3,daily_items,_xlfn.xlookup($C380,daily_dates,big_daily_table))),NA(),_xlfn.xlookup(D$3,daily_items,_xlfn.xlookup($C380,daily_dates,big_daily_table)))</f>
        <v>#NAME?</v>
      </c>
      <c r="E380" s="1" t="e">
        <f aca="false" t="array" ref="E380:E380">IF(ISBLANK(_xlfn.xlookup(E$3,daily_items,_xlfn.xlookup($C380,daily_dates,big_daily_table))),NA(),_xlfn.xlookup(E$3,daily_items,_xlfn.xlookup($C380,daily_dates,big_daily_table)))</f>
        <v>#NAME?</v>
      </c>
    </row>
    <row r="381" customFormat="false" ht="14.25" hidden="false" customHeight="false" outlineLevel="0" collapsed="false">
      <c r="B381" s="7" t="n">
        <v>41286</v>
      </c>
      <c r="C381" s="7" t="n">
        <f aca="false">B381-WEEKDAY(B381)+1</f>
        <v>41280</v>
      </c>
      <c r="D381" s="1" t="e">
        <f aca="false" t="array" ref="D381:D381">IF(ISBLANK(_xlfn.xlookup(D$3,daily_items,_xlfn.xlookup($C381,daily_dates,big_daily_table))),NA(),_xlfn.xlookup(D$3,daily_items,_xlfn.xlookup($C381,daily_dates,big_daily_table)))</f>
        <v>#NAME?</v>
      </c>
      <c r="E381" s="1" t="e">
        <f aca="false" t="array" ref="E381:E381">IF(ISBLANK(_xlfn.xlookup(E$3,daily_items,_xlfn.xlookup($C381,daily_dates,big_daily_table))),NA(),_xlfn.xlookup(E$3,daily_items,_xlfn.xlookup($C381,daily_dates,big_daily_table)))</f>
        <v>#NAME?</v>
      </c>
    </row>
    <row r="382" customFormat="false" ht="14.25" hidden="false" customHeight="false" outlineLevel="0" collapsed="false">
      <c r="B382" s="7" t="n">
        <v>41287</v>
      </c>
      <c r="C382" s="7" t="n">
        <f aca="false">B382-WEEKDAY(B382)+1</f>
        <v>41287</v>
      </c>
      <c r="D382" s="1" t="e">
        <f aca="false" t="array" ref="D382:D382">IF(ISBLANK(_xlfn.xlookup(D$3,daily_items,_xlfn.xlookup($C382,daily_dates,big_daily_table))),NA(),_xlfn.xlookup(D$3,daily_items,_xlfn.xlookup($C382,daily_dates,big_daily_table)))</f>
        <v>#NAME?</v>
      </c>
      <c r="E382" s="1" t="e">
        <f aca="false" t="array" ref="E382:E382">IF(ISBLANK(_xlfn.xlookup(E$3,daily_items,_xlfn.xlookup($C382,daily_dates,big_daily_table))),NA(),_xlfn.xlookup(E$3,daily_items,_xlfn.xlookup($C382,daily_dates,big_daily_table)))</f>
        <v>#NAME?</v>
      </c>
    </row>
    <row r="383" customFormat="false" ht="14.25" hidden="false" customHeight="false" outlineLevel="0" collapsed="false">
      <c r="B383" s="7" t="n">
        <v>41288</v>
      </c>
      <c r="C383" s="7" t="n">
        <f aca="false">B383-WEEKDAY(B383)+1</f>
        <v>41287</v>
      </c>
      <c r="D383" s="1" t="e">
        <f aca="false" t="array" ref="D383:D383">IF(ISBLANK(_xlfn.xlookup(D$3,daily_items,_xlfn.xlookup($C383,daily_dates,big_daily_table))),NA(),_xlfn.xlookup(D$3,daily_items,_xlfn.xlookup($C383,daily_dates,big_daily_table)))</f>
        <v>#NAME?</v>
      </c>
      <c r="E383" s="1" t="e">
        <f aca="false" t="array" ref="E383:E383">IF(ISBLANK(_xlfn.xlookup(E$3,daily_items,_xlfn.xlookup($C383,daily_dates,big_daily_table))),NA(),_xlfn.xlookup(E$3,daily_items,_xlfn.xlookup($C383,daily_dates,big_daily_table)))</f>
        <v>#NAME?</v>
      </c>
    </row>
    <row r="384" customFormat="false" ht="14.25" hidden="false" customHeight="false" outlineLevel="0" collapsed="false">
      <c r="B384" s="7" t="n">
        <v>41289</v>
      </c>
      <c r="C384" s="7" t="n">
        <f aca="false">B384-WEEKDAY(B384)+1</f>
        <v>41287</v>
      </c>
      <c r="D384" s="1" t="e">
        <f aca="false" t="array" ref="D384:D384">IF(ISBLANK(_xlfn.xlookup(D$3,daily_items,_xlfn.xlookup($C384,daily_dates,big_daily_table))),NA(),_xlfn.xlookup(D$3,daily_items,_xlfn.xlookup($C384,daily_dates,big_daily_table)))</f>
        <v>#NAME?</v>
      </c>
      <c r="E384" s="1" t="e">
        <f aca="false" t="array" ref="E384:E384">IF(ISBLANK(_xlfn.xlookup(E$3,daily_items,_xlfn.xlookup($C384,daily_dates,big_daily_table))),NA(),_xlfn.xlookup(E$3,daily_items,_xlfn.xlookup($C384,daily_dates,big_daily_table)))</f>
        <v>#NAME?</v>
      </c>
    </row>
    <row r="385" customFormat="false" ht="14.25" hidden="false" customHeight="false" outlineLevel="0" collapsed="false">
      <c r="B385" s="7" t="n">
        <v>41290</v>
      </c>
      <c r="C385" s="7" t="n">
        <f aca="false">B385-WEEKDAY(B385)+1</f>
        <v>41287</v>
      </c>
      <c r="D385" s="1" t="e">
        <f aca="false" t="array" ref="D385:D385">IF(ISBLANK(_xlfn.xlookup(D$3,daily_items,_xlfn.xlookup($C385,daily_dates,big_daily_table))),NA(),_xlfn.xlookup(D$3,daily_items,_xlfn.xlookup($C385,daily_dates,big_daily_table)))</f>
        <v>#NAME?</v>
      </c>
      <c r="E385" s="1" t="e">
        <f aca="false" t="array" ref="E385:E385">IF(ISBLANK(_xlfn.xlookup(E$3,daily_items,_xlfn.xlookup($C385,daily_dates,big_daily_table))),NA(),_xlfn.xlookup(E$3,daily_items,_xlfn.xlookup($C385,daily_dates,big_daily_table)))</f>
        <v>#NAME?</v>
      </c>
    </row>
    <row r="386" customFormat="false" ht="14.25" hidden="false" customHeight="false" outlineLevel="0" collapsed="false">
      <c r="B386" s="7" t="n">
        <v>41291</v>
      </c>
      <c r="C386" s="7" t="n">
        <f aca="false">B386-WEEKDAY(B386)+1</f>
        <v>41287</v>
      </c>
      <c r="D386" s="1" t="e">
        <f aca="false" t="array" ref="D386:D386">IF(ISBLANK(_xlfn.xlookup(D$3,daily_items,_xlfn.xlookup($C386,daily_dates,big_daily_table))),NA(),_xlfn.xlookup(D$3,daily_items,_xlfn.xlookup($C386,daily_dates,big_daily_table)))</f>
        <v>#NAME?</v>
      </c>
      <c r="E386" s="1" t="e">
        <f aca="false" t="array" ref="E386:E386">IF(ISBLANK(_xlfn.xlookup(E$3,daily_items,_xlfn.xlookup($C386,daily_dates,big_daily_table))),NA(),_xlfn.xlookup(E$3,daily_items,_xlfn.xlookup($C386,daily_dates,big_daily_table)))</f>
        <v>#NAME?</v>
      </c>
    </row>
    <row r="387" customFormat="false" ht="14.25" hidden="false" customHeight="false" outlineLevel="0" collapsed="false">
      <c r="B387" s="7" t="n">
        <v>41292</v>
      </c>
      <c r="C387" s="7" t="n">
        <f aca="false">B387-WEEKDAY(B387)+1</f>
        <v>41287</v>
      </c>
      <c r="D387" s="1" t="e">
        <f aca="false" t="array" ref="D387:D387">IF(ISBLANK(_xlfn.xlookup(D$3,daily_items,_xlfn.xlookup($C387,daily_dates,big_daily_table))),NA(),_xlfn.xlookup(D$3,daily_items,_xlfn.xlookup($C387,daily_dates,big_daily_table)))</f>
        <v>#NAME?</v>
      </c>
      <c r="E387" s="1" t="e">
        <f aca="false" t="array" ref="E387:E387">IF(ISBLANK(_xlfn.xlookup(E$3,daily_items,_xlfn.xlookup($C387,daily_dates,big_daily_table))),NA(),_xlfn.xlookup(E$3,daily_items,_xlfn.xlookup($C387,daily_dates,big_daily_table)))</f>
        <v>#NAME?</v>
      </c>
    </row>
    <row r="388" customFormat="false" ht="14.25" hidden="false" customHeight="false" outlineLevel="0" collapsed="false">
      <c r="B388" s="7" t="n">
        <v>41293</v>
      </c>
      <c r="C388" s="7" t="n">
        <f aca="false">B388-WEEKDAY(B388)+1</f>
        <v>41287</v>
      </c>
      <c r="D388" s="1" t="e">
        <f aca="false" t="array" ref="D388:D388">IF(ISBLANK(_xlfn.xlookup(D$3,daily_items,_xlfn.xlookup($C388,daily_dates,big_daily_table))),NA(),_xlfn.xlookup(D$3,daily_items,_xlfn.xlookup($C388,daily_dates,big_daily_table)))</f>
        <v>#NAME?</v>
      </c>
      <c r="E388" s="1" t="e">
        <f aca="false" t="array" ref="E388:E388">IF(ISBLANK(_xlfn.xlookup(E$3,daily_items,_xlfn.xlookup($C388,daily_dates,big_daily_table))),NA(),_xlfn.xlookup(E$3,daily_items,_xlfn.xlookup($C388,daily_dates,big_daily_table)))</f>
        <v>#NAME?</v>
      </c>
    </row>
    <row r="389" customFormat="false" ht="14.25" hidden="false" customHeight="false" outlineLevel="0" collapsed="false">
      <c r="B389" s="7" t="n">
        <v>41294</v>
      </c>
      <c r="C389" s="7" t="n">
        <f aca="false">B389-WEEKDAY(B389)+1</f>
        <v>41294</v>
      </c>
      <c r="D389" s="1" t="e">
        <f aca="false" t="array" ref="D389:D389">IF(ISBLANK(_xlfn.xlookup(D$3,daily_items,_xlfn.xlookup($C389,daily_dates,big_daily_table))),NA(),_xlfn.xlookup(D$3,daily_items,_xlfn.xlookup($C389,daily_dates,big_daily_table)))</f>
        <v>#NAME?</v>
      </c>
      <c r="E389" s="1" t="e">
        <f aca="false" t="array" ref="E389:E389">IF(ISBLANK(_xlfn.xlookup(E$3,daily_items,_xlfn.xlookup($C389,daily_dates,big_daily_table))),NA(),_xlfn.xlookup(E$3,daily_items,_xlfn.xlookup($C389,daily_dates,big_daily_table)))</f>
        <v>#NAME?</v>
      </c>
    </row>
    <row r="390" customFormat="false" ht="14.25" hidden="false" customHeight="false" outlineLevel="0" collapsed="false">
      <c r="B390" s="7" t="n">
        <v>41295</v>
      </c>
      <c r="C390" s="7" t="n">
        <f aca="false">B390-WEEKDAY(B390)+1</f>
        <v>41294</v>
      </c>
      <c r="D390" s="1" t="e">
        <f aca="false" t="array" ref="D390:D390">IF(ISBLANK(_xlfn.xlookup(D$3,daily_items,_xlfn.xlookup($C390,daily_dates,big_daily_table))),NA(),_xlfn.xlookup(D$3,daily_items,_xlfn.xlookup($C390,daily_dates,big_daily_table)))</f>
        <v>#NAME?</v>
      </c>
      <c r="E390" s="1" t="e">
        <f aca="false" t="array" ref="E390:E390">IF(ISBLANK(_xlfn.xlookup(E$3,daily_items,_xlfn.xlookup($C390,daily_dates,big_daily_table))),NA(),_xlfn.xlookup(E$3,daily_items,_xlfn.xlookup($C390,daily_dates,big_daily_table)))</f>
        <v>#NAME?</v>
      </c>
    </row>
    <row r="391" customFormat="false" ht="14.25" hidden="false" customHeight="false" outlineLevel="0" collapsed="false">
      <c r="B391" s="7" t="n">
        <v>41296</v>
      </c>
      <c r="C391" s="7" t="n">
        <f aca="false">B391-WEEKDAY(B391)+1</f>
        <v>41294</v>
      </c>
      <c r="D391" s="1" t="e">
        <f aca="false" t="array" ref="D391:D391">IF(ISBLANK(_xlfn.xlookup(D$3,daily_items,_xlfn.xlookup($C391,daily_dates,big_daily_table))),NA(),_xlfn.xlookup(D$3,daily_items,_xlfn.xlookup($C391,daily_dates,big_daily_table)))</f>
        <v>#NAME?</v>
      </c>
      <c r="E391" s="1" t="e">
        <f aca="false" t="array" ref="E391:E391">IF(ISBLANK(_xlfn.xlookup(E$3,daily_items,_xlfn.xlookup($C391,daily_dates,big_daily_table))),NA(),_xlfn.xlookup(E$3,daily_items,_xlfn.xlookup($C391,daily_dates,big_daily_table)))</f>
        <v>#NAME?</v>
      </c>
    </row>
    <row r="392" customFormat="false" ht="14.25" hidden="false" customHeight="false" outlineLevel="0" collapsed="false">
      <c r="B392" s="7" t="n">
        <v>41297</v>
      </c>
      <c r="C392" s="7" t="n">
        <f aca="false">B392-WEEKDAY(B392)+1</f>
        <v>41294</v>
      </c>
      <c r="D392" s="1" t="e">
        <f aca="false" t="array" ref="D392:D392">IF(ISBLANK(_xlfn.xlookup(D$3,daily_items,_xlfn.xlookup($C392,daily_dates,big_daily_table))),NA(),_xlfn.xlookup(D$3,daily_items,_xlfn.xlookup($C392,daily_dates,big_daily_table)))</f>
        <v>#NAME?</v>
      </c>
      <c r="E392" s="1" t="e">
        <f aca="false" t="array" ref="E392:E392">IF(ISBLANK(_xlfn.xlookup(E$3,daily_items,_xlfn.xlookup($C392,daily_dates,big_daily_table))),NA(),_xlfn.xlookup(E$3,daily_items,_xlfn.xlookup($C392,daily_dates,big_daily_table)))</f>
        <v>#NAME?</v>
      </c>
    </row>
    <row r="393" customFormat="false" ht="14.25" hidden="false" customHeight="false" outlineLevel="0" collapsed="false">
      <c r="B393" s="7" t="n">
        <v>41298</v>
      </c>
      <c r="C393" s="7" t="n">
        <f aca="false">B393-WEEKDAY(B393)+1</f>
        <v>41294</v>
      </c>
      <c r="D393" s="1" t="e">
        <f aca="false" t="array" ref="D393:D393">IF(ISBLANK(_xlfn.xlookup(D$3,daily_items,_xlfn.xlookup($C393,daily_dates,big_daily_table))),NA(),_xlfn.xlookup(D$3,daily_items,_xlfn.xlookup($C393,daily_dates,big_daily_table)))</f>
        <v>#NAME?</v>
      </c>
      <c r="E393" s="1" t="e">
        <f aca="false" t="array" ref="E393:E393">IF(ISBLANK(_xlfn.xlookup(E$3,daily_items,_xlfn.xlookup($C393,daily_dates,big_daily_table))),NA(),_xlfn.xlookup(E$3,daily_items,_xlfn.xlookup($C393,daily_dates,big_daily_table)))</f>
        <v>#NAME?</v>
      </c>
    </row>
    <row r="394" customFormat="false" ht="14.25" hidden="false" customHeight="false" outlineLevel="0" collapsed="false">
      <c r="B394" s="7" t="n">
        <v>41299</v>
      </c>
      <c r="C394" s="7" t="n">
        <f aca="false">B394-WEEKDAY(B394)+1</f>
        <v>41294</v>
      </c>
      <c r="D394" s="1" t="e">
        <f aca="false" t="array" ref="D394:D394">IF(ISBLANK(_xlfn.xlookup(D$3,daily_items,_xlfn.xlookup($C394,daily_dates,big_daily_table))),NA(),_xlfn.xlookup(D$3,daily_items,_xlfn.xlookup($C394,daily_dates,big_daily_table)))</f>
        <v>#NAME?</v>
      </c>
      <c r="E394" s="1" t="e">
        <f aca="false" t="array" ref="E394:E394">IF(ISBLANK(_xlfn.xlookup(E$3,daily_items,_xlfn.xlookup($C394,daily_dates,big_daily_table))),NA(),_xlfn.xlookup(E$3,daily_items,_xlfn.xlookup($C394,daily_dates,big_daily_table)))</f>
        <v>#NAME?</v>
      </c>
    </row>
    <row r="395" customFormat="false" ht="14.25" hidden="false" customHeight="false" outlineLevel="0" collapsed="false">
      <c r="B395" s="7" t="n">
        <v>41300</v>
      </c>
      <c r="C395" s="7" t="n">
        <f aca="false">B395-WEEKDAY(B395)+1</f>
        <v>41294</v>
      </c>
      <c r="D395" s="1" t="e">
        <f aca="false" t="array" ref="D395:D395">IF(ISBLANK(_xlfn.xlookup(D$3,daily_items,_xlfn.xlookup($C395,daily_dates,big_daily_table))),NA(),_xlfn.xlookup(D$3,daily_items,_xlfn.xlookup($C395,daily_dates,big_daily_table)))</f>
        <v>#NAME?</v>
      </c>
      <c r="E395" s="1" t="e">
        <f aca="false" t="array" ref="E395:E395">IF(ISBLANK(_xlfn.xlookup(E$3,daily_items,_xlfn.xlookup($C395,daily_dates,big_daily_table))),NA(),_xlfn.xlookup(E$3,daily_items,_xlfn.xlookup($C395,daily_dates,big_daily_table)))</f>
        <v>#NAME?</v>
      </c>
    </row>
    <row r="396" customFormat="false" ht="14.25" hidden="false" customHeight="false" outlineLevel="0" collapsed="false">
      <c r="B396" s="7" t="n">
        <v>41301</v>
      </c>
      <c r="C396" s="7" t="n">
        <f aca="false">B396-WEEKDAY(B396)+1</f>
        <v>41301</v>
      </c>
      <c r="D396" s="1" t="e">
        <f aca="false" t="array" ref="D396:D396">IF(ISBLANK(_xlfn.xlookup(D$3,daily_items,_xlfn.xlookup($C396,daily_dates,big_daily_table))),NA(),_xlfn.xlookup(D$3,daily_items,_xlfn.xlookup($C396,daily_dates,big_daily_table)))</f>
        <v>#NAME?</v>
      </c>
      <c r="E396" s="1" t="e">
        <f aca="false" t="array" ref="E396:E396">IF(ISBLANK(_xlfn.xlookup(E$3,daily_items,_xlfn.xlookup($C396,daily_dates,big_daily_table))),NA(),_xlfn.xlookup(E$3,daily_items,_xlfn.xlookup($C396,daily_dates,big_daily_table)))</f>
        <v>#NAME?</v>
      </c>
    </row>
    <row r="397" customFormat="false" ht="14.25" hidden="false" customHeight="false" outlineLevel="0" collapsed="false">
      <c r="B397" s="7" t="n">
        <v>41302</v>
      </c>
      <c r="C397" s="7" t="n">
        <f aca="false">B397-WEEKDAY(B397)+1</f>
        <v>41301</v>
      </c>
      <c r="D397" s="1" t="e">
        <f aca="false" t="array" ref="D397:D397">IF(ISBLANK(_xlfn.xlookup(D$3,daily_items,_xlfn.xlookup($C397,daily_dates,big_daily_table))),NA(),_xlfn.xlookup(D$3,daily_items,_xlfn.xlookup($C397,daily_dates,big_daily_table)))</f>
        <v>#NAME?</v>
      </c>
      <c r="E397" s="1" t="e">
        <f aca="false" t="array" ref="E397:E397">IF(ISBLANK(_xlfn.xlookup(E$3,daily_items,_xlfn.xlookup($C397,daily_dates,big_daily_table))),NA(),_xlfn.xlookup(E$3,daily_items,_xlfn.xlookup($C397,daily_dates,big_daily_table)))</f>
        <v>#NAME?</v>
      </c>
    </row>
    <row r="398" customFormat="false" ht="14.25" hidden="false" customHeight="false" outlineLevel="0" collapsed="false">
      <c r="B398" s="7" t="n">
        <v>41303</v>
      </c>
      <c r="C398" s="7" t="n">
        <f aca="false">B398-WEEKDAY(B398)+1</f>
        <v>41301</v>
      </c>
      <c r="D398" s="1" t="e">
        <f aca="false" t="array" ref="D398:D398">IF(ISBLANK(_xlfn.xlookup(D$3,daily_items,_xlfn.xlookup($C398,daily_dates,big_daily_table))),NA(),_xlfn.xlookup(D$3,daily_items,_xlfn.xlookup($C398,daily_dates,big_daily_table)))</f>
        <v>#NAME?</v>
      </c>
      <c r="E398" s="1" t="e">
        <f aca="false" t="array" ref="E398:E398">IF(ISBLANK(_xlfn.xlookup(E$3,daily_items,_xlfn.xlookup($C398,daily_dates,big_daily_table))),NA(),_xlfn.xlookup(E$3,daily_items,_xlfn.xlookup($C398,daily_dates,big_daily_table)))</f>
        <v>#NAME?</v>
      </c>
    </row>
    <row r="399" customFormat="false" ht="14.25" hidden="false" customHeight="false" outlineLevel="0" collapsed="false">
      <c r="B399" s="7" t="n">
        <v>41304</v>
      </c>
      <c r="C399" s="7" t="n">
        <f aca="false">B399-WEEKDAY(B399)+1</f>
        <v>41301</v>
      </c>
      <c r="D399" s="1" t="e">
        <f aca="false" t="array" ref="D399:D399">IF(ISBLANK(_xlfn.xlookup(D$3,daily_items,_xlfn.xlookup($C399,daily_dates,big_daily_table))),NA(),_xlfn.xlookup(D$3,daily_items,_xlfn.xlookup($C399,daily_dates,big_daily_table)))</f>
        <v>#NAME?</v>
      </c>
      <c r="E399" s="1" t="e">
        <f aca="false" t="array" ref="E399:E399">IF(ISBLANK(_xlfn.xlookup(E$3,daily_items,_xlfn.xlookup($C399,daily_dates,big_daily_table))),NA(),_xlfn.xlookup(E$3,daily_items,_xlfn.xlookup($C399,daily_dates,big_daily_table)))</f>
        <v>#NAME?</v>
      </c>
    </row>
    <row r="400" customFormat="false" ht="14.25" hidden="false" customHeight="false" outlineLevel="0" collapsed="false">
      <c r="B400" s="7" t="n">
        <v>41305</v>
      </c>
      <c r="C400" s="7" t="n">
        <f aca="false">B400-WEEKDAY(B400)+1</f>
        <v>41301</v>
      </c>
      <c r="D400" s="1" t="e">
        <f aca="false" t="array" ref="D400:D400">IF(ISBLANK(_xlfn.xlookup(D$3,daily_items,_xlfn.xlookup($C400,daily_dates,big_daily_table))),NA(),_xlfn.xlookup(D$3,daily_items,_xlfn.xlookup($C400,daily_dates,big_daily_table)))</f>
        <v>#NAME?</v>
      </c>
      <c r="E400" s="1" t="e">
        <f aca="false" t="array" ref="E400:E400">IF(ISBLANK(_xlfn.xlookup(E$3,daily_items,_xlfn.xlookup($C400,daily_dates,big_daily_table))),NA(),_xlfn.xlookup(E$3,daily_items,_xlfn.xlookup($C400,daily_dates,big_daily_table)))</f>
        <v>#NAME?</v>
      </c>
    </row>
    <row r="401" customFormat="false" ht="14.25" hidden="false" customHeight="false" outlineLevel="0" collapsed="false">
      <c r="B401" s="7" t="n">
        <v>41306</v>
      </c>
      <c r="C401" s="7" t="n">
        <f aca="false">B401-WEEKDAY(B401)+1</f>
        <v>41301</v>
      </c>
      <c r="D401" s="1" t="e">
        <f aca="false" t="array" ref="D401:D401">IF(ISBLANK(_xlfn.xlookup(D$3,daily_items,_xlfn.xlookup($C401,daily_dates,big_daily_table))),NA(),_xlfn.xlookup(D$3,daily_items,_xlfn.xlookup($C401,daily_dates,big_daily_table)))</f>
        <v>#NAME?</v>
      </c>
      <c r="E401" s="1" t="e">
        <f aca="false" t="array" ref="E401:E401">IF(ISBLANK(_xlfn.xlookup(E$3,daily_items,_xlfn.xlookup($C401,daily_dates,big_daily_table))),NA(),_xlfn.xlookup(E$3,daily_items,_xlfn.xlookup($C401,daily_dates,big_daily_table)))</f>
        <v>#NAME?</v>
      </c>
    </row>
    <row r="402" customFormat="false" ht="14.25" hidden="false" customHeight="false" outlineLevel="0" collapsed="false">
      <c r="B402" s="7" t="n">
        <v>41307</v>
      </c>
      <c r="C402" s="7" t="n">
        <f aca="false">B402-WEEKDAY(B402)+1</f>
        <v>41301</v>
      </c>
      <c r="D402" s="1" t="e">
        <f aca="false" t="array" ref="D402:D402">IF(ISBLANK(_xlfn.xlookup(D$3,daily_items,_xlfn.xlookup($C402,daily_dates,big_daily_table))),NA(),_xlfn.xlookup(D$3,daily_items,_xlfn.xlookup($C402,daily_dates,big_daily_table)))</f>
        <v>#NAME?</v>
      </c>
      <c r="E402" s="1" t="e">
        <f aca="false" t="array" ref="E402:E402">IF(ISBLANK(_xlfn.xlookup(E$3,daily_items,_xlfn.xlookup($C402,daily_dates,big_daily_table))),NA(),_xlfn.xlookup(E$3,daily_items,_xlfn.xlookup($C402,daily_dates,big_daily_table)))</f>
        <v>#NAME?</v>
      </c>
    </row>
    <row r="403" customFormat="false" ht="14.25" hidden="false" customHeight="false" outlineLevel="0" collapsed="false">
      <c r="B403" s="7" t="n">
        <v>41308</v>
      </c>
      <c r="C403" s="7" t="n">
        <f aca="false">B403-WEEKDAY(B403)+1</f>
        <v>41308</v>
      </c>
      <c r="D403" s="1" t="e">
        <f aca="false" t="array" ref="D403:D403">IF(ISBLANK(_xlfn.xlookup(D$3,daily_items,_xlfn.xlookup($C403,daily_dates,big_daily_table))),NA(),_xlfn.xlookup(D$3,daily_items,_xlfn.xlookup($C403,daily_dates,big_daily_table)))</f>
        <v>#NAME?</v>
      </c>
      <c r="E403" s="1" t="e">
        <f aca="false" t="array" ref="E403:E403">IF(ISBLANK(_xlfn.xlookup(E$3,daily_items,_xlfn.xlookup($C403,daily_dates,big_daily_table))),NA(),_xlfn.xlookup(E$3,daily_items,_xlfn.xlookup($C403,daily_dates,big_daily_table)))</f>
        <v>#NAME?</v>
      </c>
    </row>
    <row r="404" customFormat="false" ht="14.25" hidden="false" customHeight="false" outlineLevel="0" collapsed="false">
      <c r="B404" s="7" t="n">
        <v>41309</v>
      </c>
      <c r="C404" s="7" t="n">
        <f aca="false">B404-WEEKDAY(B404)+1</f>
        <v>41308</v>
      </c>
      <c r="D404" s="1" t="e">
        <f aca="false" t="array" ref="D404:D404">IF(ISBLANK(_xlfn.xlookup(D$3,daily_items,_xlfn.xlookup($C404,daily_dates,big_daily_table))),NA(),_xlfn.xlookup(D$3,daily_items,_xlfn.xlookup($C404,daily_dates,big_daily_table)))</f>
        <v>#NAME?</v>
      </c>
      <c r="E404" s="1" t="e">
        <f aca="false" t="array" ref="E404:E404">IF(ISBLANK(_xlfn.xlookup(E$3,daily_items,_xlfn.xlookup($C404,daily_dates,big_daily_table))),NA(),_xlfn.xlookup(E$3,daily_items,_xlfn.xlookup($C404,daily_dates,big_daily_table)))</f>
        <v>#NAME?</v>
      </c>
    </row>
    <row r="405" customFormat="false" ht="14.25" hidden="false" customHeight="false" outlineLevel="0" collapsed="false">
      <c r="B405" s="7" t="n">
        <v>41310</v>
      </c>
      <c r="C405" s="7" t="n">
        <f aca="false">B405-WEEKDAY(B405)+1</f>
        <v>41308</v>
      </c>
      <c r="D405" s="1" t="e">
        <f aca="false" t="array" ref="D405:D405">IF(ISBLANK(_xlfn.xlookup(D$3,daily_items,_xlfn.xlookup($C405,daily_dates,big_daily_table))),NA(),_xlfn.xlookup(D$3,daily_items,_xlfn.xlookup($C405,daily_dates,big_daily_table)))</f>
        <v>#NAME?</v>
      </c>
      <c r="E405" s="1" t="e">
        <f aca="false" t="array" ref="E405:E405">IF(ISBLANK(_xlfn.xlookup(E$3,daily_items,_xlfn.xlookup($C405,daily_dates,big_daily_table))),NA(),_xlfn.xlookup(E$3,daily_items,_xlfn.xlookup($C405,daily_dates,big_daily_table)))</f>
        <v>#NAME?</v>
      </c>
    </row>
    <row r="406" customFormat="false" ht="14.25" hidden="false" customHeight="false" outlineLevel="0" collapsed="false">
      <c r="B406" s="7" t="n">
        <v>41311</v>
      </c>
      <c r="C406" s="7" t="n">
        <f aca="false">B406-WEEKDAY(B406)+1</f>
        <v>41308</v>
      </c>
      <c r="D406" s="1" t="e">
        <f aca="false" t="array" ref="D406:D406">IF(ISBLANK(_xlfn.xlookup(D$3,daily_items,_xlfn.xlookup($C406,daily_dates,big_daily_table))),NA(),_xlfn.xlookup(D$3,daily_items,_xlfn.xlookup($C406,daily_dates,big_daily_table)))</f>
        <v>#NAME?</v>
      </c>
      <c r="E406" s="1" t="e">
        <f aca="false" t="array" ref="E406:E406">IF(ISBLANK(_xlfn.xlookup(E$3,daily_items,_xlfn.xlookup($C406,daily_dates,big_daily_table))),NA(),_xlfn.xlookup(E$3,daily_items,_xlfn.xlookup($C406,daily_dates,big_daily_table)))</f>
        <v>#NAME?</v>
      </c>
    </row>
    <row r="407" customFormat="false" ht="14.25" hidden="false" customHeight="false" outlineLevel="0" collapsed="false">
      <c r="B407" s="7" t="n">
        <v>41312</v>
      </c>
      <c r="C407" s="7" t="n">
        <f aca="false">B407-WEEKDAY(B407)+1</f>
        <v>41308</v>
      </c>
      <c r="D407" s="1" t="e">
        <f aca="false" t="array" ref="D407:D407">IF(ISBLANK(_xlfn.xlookup(D$3,daily_items,_xlfn.xlookup($C407,daily_dates,big_daily_table))),NA(),_xlfn.xlookup(D$3,daily_items,_xlfn.xlookup($C407,daily_dates,big_daily_table)))</f>
        <v>#NAME?</v>
      </c>
      <c r="E407" s="1" t="e">
        <f aca="false" t="array" ref="E407:E407">IF(ISBLANK(_xlfn.xlookup(E$3,daily_items,_xlfn.xlookup($C407,daily_dates,big_daily_table))),NA(),_xlfn.xlookup(E$3,daily_items,_xlfn.xlookup($C407,daily_dates,big_daily_table)))</f>
        <v>#NAME?</v>
      </c>
    </row>
    <row r="408" customFormat="false" ht="14.25" hidden="false" customHeight="false" outlineLevel="0" collapsed="false">
      <c r="B408" s="7" t="n">
        <v>41313</v>
      </c>
      <c r="C408" s="7" t="n">
        <f aca="false">B408-WEEKDAY(B408)+1</f>
        <v>41308</v>
      </c>
      <c r="D408" s="1" t="e">
        <f aca="false" t="array" ref="D408:D408">IF(ISBLANK(_xlfn.xlookup(D$3,daily_items,_xlfn.xlookup($C408,daily_dates,big_daily_table))),NA(),_xlfn.xlookup(D$3,daily_items,_xlfn.xlookup($C408,daily_dates,big_daily_table)))</f>
        <v>#NAME?</v>
      </c>
      <c r="E408" s="1" t="e">
        <f aca="false" t="array" ref="E408:E408">IF(ISBLANK(_xlfn.xlookup(E$3,daily_items,_xlfn.xlookup($C408,daily_dates,big_daily_table))),NA(),_xlfn.xlookup(E$3,daily_items,_xlfn.xlookup($C408,daily_dates,big_daily_table)))</f>
        <v>#NAME?</v>
      </c>
    </row>
    <row r="409" customFormat="false" ht="14.25" hidden="false" customHeight="false" outlineLevel="0" collapsed="false">
      <c r="B409" s="7" t="n">
        <v>41314</v>
      </c>
      <c r="C409" s="7" t="n">
        <f aca="false">B409-WEEKDAY(B409)+1</f>
        <v>41308</v>
      </c>
      <c r="D409" s="1" t="e">
        <f aca="false" t="array" ref="D409:D409">IF(ISBLANK(_xlfn.xlookup(D$3,daily_items,_xlfn.xlookup($C409,daily_dates,big_daily_table))),NA(),_xlfn.xlookup(D$3,daily_items,_xlfn.xlookup($C409,daily_dates,big_daily_table)))</f>
        <v>#NAME?</v>
      </c>
      <c r="E409" s="1" t="e">
        <f aca="false" t="array" ref="E409:E409">IF(ISBLANK(_xlfn.xlookup(E$3,daily_items,_xlfn.xlookup($C409,daily_dates,big_daily_table))),NA(),_xlfn.xlookup(E$3,daily_items,_xlfn.xlookup($C409,daily_dates,big_daily_table)))</f>
        <v>#NAME?</v>
      </c>
    </row>
    <row r="410" customFormat="false" ht="14.25" hidden="false" customHeight="false" outlineLevel="0" collapsed="false">
      <c r="B410" s="7" t="n">
        <v>41315</v>
      </c>
      <c r="C410" s="7" t="n">
        <f aca="false">B410-WEEKDAY(B410)+1</f>
        <v>41315</v>
      </c>
      <c r="D410" s="1" t="e">
        <f aca="false" t="array" ref="D410:D410">IF(ISBLANK(_xlfn.xlookup(D$3,daily_items,_xlfn.xlookup($C410,daily_dates,big_daily_table))),NA(),_xlfn.xlookup(D$3,daily_items,_xlfn.xlookup($C410,daily_dates,big_daily_table)))</f>
        <v>#NAME?</v>
      </c>
      <c r="E410" s="1" t="e">
        <f aca="false" t="array" ref="E410:E410">IF(ISBLANK(_xlfn.xlookup(E$3,daily_items,_xlfn.xlookup($C410,daily_dates,big_daily_table))),NA(),_xlfn.xlookup(E$3,daily_items,_xlfn.xlookup($C410,daily_dates,big_daily_table)))</f>
        <v>#NAME?</v>
      </c>
    </row>
    <row r="411" customFormat="false" ht="14.25" hidden="false" customHeight="false" outlineLevel="0" collapsed="false">
      <c r="B411" s="7" t="n">
        <v>41316</v>
      </c>
      <c r="C411" s="7" t="n">
        <f aca="false">B411-WEEKDAY(B411)+1</f>
        <v>41315</v>
      </c>
      <c r="D411" s="1" t="e">
        <f aca="false" t="array" ref="D411:D411">IF(ISBLANK(_xlfn.xlookup(D$3,daily_items,_xlfn.xlookup($C411,daily_dates,big_daily_table))),NA(),_xlfn.xlookup(D$3,daily_items,_xlfn.xlookup($C411,daily_dates,big_daily_table)))</f>
        <v>#NAME?</v>
      </c>
      <c r="E411" s="1" t="e">
        <f aca="false" t="array" ref="E411:E411">IF(ISBLANK(_xlfn.xlookup(E$3,daily_items,_xlfn.xlookup($C411,daily_dates,big_daily_table))),NA(),_xlfn.xlookup(E$3,daily_items,_xlfn.xlookup($C411,daily_dates,big_daily_table)))</f>
        <v>#NAME?</v>
      </c>
    </row>
    <row r="412" customFormat="false" ht="14.25" hidden="false" customHeight="false" outlineLevel="0" collapsed="false">
      <c r="B412" s="7" t="n">
        <v>41317</v>
      </c>
      <c r="C412" s="7" t="n">
        <f aca="false">B412-WEEKDAY(B412)+1</f>
        <v>41315</v>
      </c>
      <c r="D412" s="1" t="e">
        <f aca="false" t="array" ref="D412:D412">IF(ISBLANK(_xlfn.xlookup(D$3,daily_items,_xlfn.xlookup($C412,daily_dates,big_daily_table))),NA(),_xlfn.xlookup(D$3,daily_items,_xlfn.xlookup($C412,daily_dates,big_daily_table)))</f>
        <v>#NAME?</v>
      </c>
      <c r="E412" s="1" t="e">
        <f aca="false" t="array" ref="E412:E412">IF(ISBLANK(_xlfn.xlookup(E$3,daily_items,_xlfn.xlookup($C412,daily_dates,big_daily_table))),NA(),_xlfn.xlookup(E$3,daily_items,_xlfn.xlookup($C412,daily_dates,big_daily_table)))</f>
        <v>#NAME?</v>
      </c>
    </row>
    <row r="413" customFormat="false" ht="14.25" hidden="false" customHeight="false" outlineLevel="0" collapsed="false">
      <c r="B413" s="7" t="n">
        <v>41318</v>
      </c>
      <c r="C413" s="7" t="n">
        <f aca="false">B413-WEEKDAY(B413)+1</f>
        <v>41315</v>
      </c>
      <c r="D413" s="1" t="e">
        <f aca="false" t="array" ref="D413:D413">IF(ISBLANK(_xlfn.xlookup(D$3,daily_items,_xlfn.xlookup($C413,daily_dates,big_daily_table))),NA(),_xlfn.xlookup(D$3,daily_items,_xlfn.xlookup($C413,daily_dates,big_daily_table)))</f>
        <v>#NAME?</v>
      </c>
      <c r="E413" s="1" t="e">
        <f aca="false" t="array" ref="E413:E413">IF(ISBLANK(_xlfn.xlookup(E$3,daily_items,_xlfn.xlookup($C413,daily_dates,big_daily_table))),NA(),_xlfn.xlookup(E$3,daily_items,_xlfn.xlookup($C413,daily_dates,big_daily_table)))</f>
        <v>#NAME?</v>
      </c>
    </row>
    <row r="414" customFormat="false" ht="14.25" hidden="false" customHeight="false" outlineLevel="0" collapsed="false">
      <c r="B414" s="7" t="n">
        <v>41319</v>
      </c>
      <c r="C414" s="7" t="n">
        <f aca="false">B414-WEEKDAY(B414)+1</f>
        <v>41315</v>
      </c>
      <c r="D414" s="1" t="e">
        <f aca="false" t="array" ref="D414:D414">IF(ISBLANK(_xlfn.xlookup(D$3,daily_items,_xlfn.xlookup($C414,daily_dates,big_daily_table))),NA(),_xlfn.xlookup(D$3,daily_items,_xlfn.xlookup($C414,daily_dates,big_daily_table)))</f>
        <v>#NAME?</v>
      </c>
      <c r="E414" s="1" t="e">
        <f aca="false" t="array" ref="E414:E414">IF(ISBLANK(_xlfn.xlookup(E$3,daily_items,_xlfn.xlookup($C414,daily_dates,big_daily_table))),NA(),_xlfn.xlookup(E$3,daily_items,_xlfn.xlookup($C414,daily_dates,big_daily_table)))</f>
        <v>#NAME?</v>
      </c>
    </row>
    <row r="415" customFormat="false" ht="14.25" hidden="false" customHeight="false" outlineLevel="0" collapsed="false">
      <c r="B415" s="7" t="n">
        <v>41320</v>
      </c>
      <c r="C415" s="7" t="n">
        <f aca="false">B415-WEEKDAY(B415)+1</f>
        <v>41315</v>
      </c>
      <c r="D415" s="1" t="e">
        <f aca="false" t="array" ref="D415:D415">IF(ISBLANK(_xlfn.xlookup(D$3,daily_items,_xlfn.xlookup($C415,daily_dates,big_daily_table))),NA(),_xlfn.xlookup(D$3,daily_items,_xlfn.xlookup($C415,daily_dates,big_daily_table)))</f>
        <v>#NAME?</v>
      </c>
      <c r="E415" s="1" t="e">
        <f aca="false" t="array" ref="E415:E415">IF(ISBLANK(_xlfn.xlookup(E$3,daily_items,_xlfn.xlookup($C415,daily_dates,big_daily_table))),NA(),_xlfn.xlookup(E$3,daily_items,_xlfn.xlookup($C415,daily_dates,big_daily_table)))</f>
        <v>#NAME?</v>
      </c>
    </row>
    <row r="416" customFormat="false" ht="14.25" hidden="false" customHeight="false" outlineLevel="0" collapsed="false">
      <c r="B416" s="7" t="n">
        <v>41321</v>
      </c>
      <c r="C416" s="7" t="n">
        <f aca="false">B416-WEEKDAY(B416)+1</f>
        <v>41315</v>
      </c>
      <c r="D416" s="1" t="e">
        <f aca="false" t="array" ref="D416:D416">IF(ISBLANK(_xlfn.xlookup(D$3,daily_items,_xlfn.xlookup($C416,daily_dates,big_daily_table))),NA(),_xlfn.xlookup(D$3,daily_items,_xlfn.xlookup($C416,daily_dates,big_daily_table)))</f>
        <v>#NAME?</v>
      </c>
      <c r="E416" s="1" t="e">
        <f aca="false" t="array" ref="E416:E416">IF(ISBLANK(_xlfn.xlookup(E$3,daily_items,_xlfn.xlookup($C416,daily_dates,big_daily_table))),NA(),_xlfn.xlookup(E$3,daily_items,_xlfn.xlookup($C416,daily_dates,big_daily_table)))</f>
        <v>#NAME?</v>
      </c>
    </row>
    <row r="417" customFormat="false" ht="14.25" hidden="false" customHeight="false" outlineLevel="0" collapsed="false">
      <c r="B417" s="7" t="n">
        <v>41322</v>
      </c>
      <c r="C417" s="7" t="n">
        <f aca="false">B417-WEEKDAY(B417)+1</f>
        <v>41322</v>
      </c>
      <c r="D417" s="1" t="e">
        <f aca="false" t="array" ref="D417:D417">IF(ISBLANK(_xlfn.xlookup(D$3,daily_items,_xlfn.xlookup($C417,daily_dates,big_daily_table))),NA(),_xlfn.xlookup(D$3,daily_items,_xlfn.xlookup($C417,daily_dates,big_daily_table)))</f>
        <v>#NAME?</v>
      </c>
      <c r="E417" s="1" t="e">
        <f aca="false" t="array" ref="E417:E417">IF(ISBLANK(_xlfn.xlookup(E$3,daily_items,_xlfn.xlookup($C417,daily_dates,big_daily_table))),NA(),_xlfn.xlookup(E$3,daily_items,_xlfn.xlookup($C417,daily_dates,big_daily_table)))</f>
        <v>#NAME?</v>
      </c>
    </row>
    <row r="418" customFormat="false" ht="14.25" hidden="false" customHeight="false" outlineLevel="0" collapsed="false">
      <c r="B418" s="7" t="n">
        <v>41323</v>
      </c>
      <c r="C418" s="7" t="n">
        <f aca="false">B418-WEEKDAY(B418)+1</f>
        <v>41322</v>
      </c>
      <c r="D418" s="1" t="e">
        <f aca="false" t="array" ref="D418:D418">IF(ISBLANK(_xlfn.xlookup(D$3,daily_items,_xlfn.xlookup($C418,daily_dates,big_daily_table))),NA(),_xlfn.xlookup(D$3,daily_items,_xlfn.xlookup($C418,daily_dates,big_daily_table)))</f>
        <v>#NAME?</v>
      </c>
      <c r="E418" s="1" t="e">
        <f aca="false" t="array" ref="E418:E418">IF(ISBLANK(_xlfn.xlookup(E$3,daily_items,_xlfn.xlookup($C418,daily_dates,big_daily_table))),NA(),_xlfn.xlookup(E$3,daily_items,_xlfn.xlookup($C418,daily_dates,big_daily_table)))</f>
        <v>#NAME?</v>
      </c>
    </row>
    <row r="419" customFormat="false" ht="14.25" hidden="false" customHeight="false" outlineLevel="0" collapsed="false">
      <c r="B419" s="7" t="n">
        <v>41324</v>
      </c>
      <c r="C419" s="7" t="n">
        <f aca="false">B419-WEEKDAY(B419)+1</f>
        <v>41322</v>
      </c>
      <c r="D419" s="1" t="e">
        <f aca="false" t="array" ref="D419:D419">IF(ISBLANK(_xlfn.xlookup(D$3,daily_items,_xlfn.xlookup($C419,daily_dates,big_daily_table))),NA(),_xlfn.xlookup(D$3,daily_items,_xlfn.xlookup($C419,daily_dates,big_daily_table)))</f>
        <v>#NAME?</v>
      </c>
      <c r="E419" s="1" t="e">
        <f aca="false" t="array" ref="E419:E419">IF(ISBLANK(_xlfn.xlookup(E$3,daily_items,_xlfn.xlookup($C419,daily_dates,big_daily_table))),NA(),_xlfn.xlookup(E$3,daily_items,_xlfn.xlookup($C419,daily_dates,big_daily_table)))</f>
        <v>#NAME?</v>
      </c>
    </row>
    <row r="420" customFormat="false" ht="14.25" hidden="false" customHeight="false" outlineLevel="0" collapsed="false">
      <c r="B420" s="7" t="n">
        <v>41325</v>
      </c>
      <c r="C420" s="7" t="n">
        <f aca="false">B420-WEEKDAY(B420)+1</f>
        <v>41322</v>
      </c>
      <c r="D420" s="1" t="e">
        <f aca="false" t="array" ref="D420:D420">IF(ISBLANK(_xlfn.xlookup(D$3,daily_items,_xlfn.xlookup($C420,daily_dates,big_daily_table))),NA(),_xlfn.xlookup(D$3,daily_items,_xlfn.xlookup($C420,daily_dates,big_daily_table)))</f>
        <v>#NAME?</v>
      </c>
      <c r="E420" s="1" t="e">
        <f aca="false" t="array" ref="E420:E420">IF(ISBLANK(_xlfn.xlookup(E$3,daily_items,_xlfn.xlookup($C420,daily_dates,big_daily_table))),NA(),_xlfn.xlookup(E$3,daily_items,_xlfn.xlookup($C420,daily_dates,big_daily_table)))</f>
        <v>#NAME?</v>
      </c>
    </row>
    <row r="421" customFormat="false" ht="14.25" hidden="false" customHeight="false" outlineLevel="0" collapsed="false">
      <c r="B421" s="7" t="n">
        <v>41326</v>
      </c>
      <c r="C421" s="7" t="n">
        <f aca="false">B421-WEEKDAY(B421)+1</f>
        <v>41322</v>
      </c>
      <c r="D421" s="1" t="e">
        <f aca="false" t="array" ref="D421:D421">IF(ISBLANK(_xlfn.xlookup(D$3,daily_items,_xlfn.xlookup($C421,daily_dates,big_daily_table))),NA(),_xlfn.xlookup(D$3,daily_items,_xlfn.xlookup($C421,daily_dates,big_daily_table)))</f>
        <v>#NAME?</v>
      </c>
      <c r="E421" s="1" t="e">
        <f aca="false" t="array" ref="E421:E421">IF(ISBLANK(_xlfn.xlookup(E$3,daily_items,_xlfn.xlookup($C421,daily_dates,big_daily_table))),NA(),_xlfn.xlookup(E$3,daily_items,_xlfn.xlookup($C421,daily_dates,big_daily_table)))</f>
        <v>#NAME?</v>
      </c>
    </row>
    <row r="422" customFormat="false" ht="14.25" hidden="false" customHeight="false" outlineLevel="0" collapsed="false">
      <c r="B422" s="7" t="n">
        <v>41327</v>
      </c>
      <c r="C422" s="7" t="n">
        <f aca="false">B422-WEEKDAY(B422)+1</f>
        <v>41322</v>
      </c>
      <c r="D422" s="1" t="e">
        <f aca="false" t="array" ref="D422:D422">IF(ISBLANK(_xlfn.xlookup(D$3,daily_items,_xlfn.xlookup($C422,daily_dates,big_daily_table))),NA(),_xlfn.xlookup(D$3,daily_items,_xlfn.xlookup($C422,daily_dates,big_daily_table)))</f>
        <v>#NAME?</v>
      </c>
      <c r="E422" s="1" t="e">
        <f aca="false" t="array" ref="E422:E422">IF(ISBLANK(_xlfn.xlookup(E$3,daily_items,_xlfn.xlookup($C422,daily_dates,big_daily_table))),NA(),_xlfn.xlookup(E$3,daily_items,_xlfn.xlookup($C422,daily_dates,big_daily_table)))</f>
        <v>#NAME?</v>
      </c>
    </row>
    <row r="423" customFormat="false" ht="14.25" hidden="false" customHeight="false" outlineLevel="0" collapsed="false">
      <c r="B423" s="7" t="n">
        <v>41328</v>
      </c>
      <c r="C423" s="7" t="n">
        <f aca="false">B423-WEEKDAY(B423)+1</f>
        <v>41322</v>
      </c>
      <c r="D423" s="1" t="e">
        <f aca="false" t="array" ref="D423:D423">IF(ISBLANK(_xlfn.xlookup(D$3,daily_items,_xlfn.xlookup($C423,daily_dates,big_daily_table))),NA(),_xlfn.xlookup(D$3,daily_items,_xlfn.xlookup($C423,daily_dates,big_daily_table)))</f>
        <v>#NAME?</v>
      </c>
      <c r="E423" s="1" t="e">
        <f aca="false" t="array" ref="E423:E423">IF(ISBLANK(_xlfn.xlookup(E$3,daily_items,_xlfn.xlookup($C423,daily_dates,big_daily_table))),NA(),_xlfn.xlookup(E$3,daily_items,_xlfn.xlookup($C423,daily_dates,big_daily_table)))</f>
        <v>#NAME?</v>
      </c>
    </row>
    <row r="424" customFormat="false" ht="14.25" hidden="false" customHeight="false" outlineLevel="0" collapsed="false">
      <c r="B424" s="7" t="n">
        <v>41329</v>
      </c>
      <c r="C424" s="7" t="n">
        <f aca="false">B424-WEEKDAY(B424)+1</f>
        <v>41329</v>
      </c>
      <c r="D424" s="1" t="e">
        <f aca="false" t="array" ref="D424:D424">IF(ISBLANK(_xlfn.xlookup(D$3,daily_items,_xlfn.xlookup($C424,daily_dates,big_daily_table))),NA(),_xlfn.xlookup(D$3,daily_items,_xlfn.xlookup($C424,daily_dates,big_daily_table)))</f>
        <v>#NAME?</v>
      </c>
      <c r="E424" s="1" t="e">
        <f aca="false" t="array" ref="E424:E424">IF(ISBLANK(_xlfn.xlookup(E$3,daily_items,_xlfn.xlookup($C424,daily_dates,big_daily_table))),NA(),_xlfn.xlookup(E$3,daily_items,_xlfn.xlookup($C424,daily_dates,big_daily_table)))</f>
        <v>#NAME?</v>
      </c>
    </row>
    <row r="425" customFormat="false" ht="14.25" hidden="false" customHeight="false" outlineLevel="0" collapsed="false">
      <c r="B425" s="7" t="n">
        <v>41330</v>
      </c>
      <c r="C425" s="7" t="n">
        <f aca="false">B425-WEEKDAY(B425)+1</f>
        <v>41329</v>
      </c>
      <c r="D425" s="1" t="e">
        <f aca="false" t="array" ref="D425:D425">IF(ISBLANK(_xlfn.xlookup(D$3,daily_items,_xlfn.xlookup($C425,daily_dates,big_daily_table))),NA(),_xlfn.xlookup(D$3,daily_items,_xlfn.xlookup($C425,daily_dates,big_daily_table)))</f>
        <v>#NAME?</v>
      </c>
      <c r="E425" s="1" t="e">
        <f aca="false" t="array" ref="E425:E425">IF(ISBLANK(_xlfn.xlookup(E$3,daily_items,_xlfn.xlookup($C425,daily_dates,big_daily_table))),NA(),_xlfn.xlookup(E$3,daily_items,_xlfn.xlookup($C425,daily_dates,big_daily_table)))</f>
        <v>#NAME?</v>
      </c>
    </row>
    <row r="426" customFormat="false" ht="14.25" hidden="false" customHeight="false" outlineLevel="0" collapsed="false">
      <c r="B426" s="7" t="n">
        <v>41331</v>
      </c>
      <c r="C426" s="7" t="n">
        <f aca="false">B426-WEEKDAY(B426)+1</f>
        <v>41329</v>
      </c>
      <c r="D426" s="1" t="e">
        <f aca="false" t="array" ref="D426:D426">IF(ISBLANK(_xlfn.xlookup(D$3,daily_items,_xlfn.xlookup($C426,daily_dates,big_daily_table))),NA(),_xlfn.xlookup(D$3,daily_items,_xlfn.xlookup($C426,daily_dates,big_daily_table)))</f>
        <v>#NAME?</v>
      </c>
      <c r="E426" s="1" t="e">
        <f aca="false" t="array" ref="E426:E426">IF(ISBLANK(_xlfn.xlookup(E$3,daily_items,_xlfn.xlookup($C426,daily_dates,big_daily_table))),NA(),_xlfn.xlookup(E$3,daily_items,_xlfn.xlookup($C426,daily_dates,big_daily_table)))</f>
        <v>#NAME?</v>
      </c>
    </row>
    <row r="427" customFormat="false" ht="14.25" hidden="false" customHeight="false" outlineLevel="0" collapsed="false">
      <c r="B427" s="7" t="n">
        <v>41332</v>
      </c>
      <c r="C427" s="7" t="n">
        <f aca="false">B427-WEEKDAY(B427)+1</f>
        <v>41329</v>
      </c>
      <c r="D427" s="1" t="e">
        <f aca="false" t="array" ref="D427:D427">IF(ISBLANK(_xlfn.xlookup(D$3,daily_items,_xlfn.xlookup($C427,daily_dates,big_daily_table))),NA(),_xlfn.xlookup(D$3,daily_items,_xlfn.xlookup($C427,daily_dates,big_daily_table)))</f>
        <v>#NAME?</v>
      </c>
      <c r="E427" s="1" t="e">
        <f aca="false" t="array" ref="E427:E427">IF(ISBLANK(_xlfn.xlookup(E$3,daily_items,_xlfn.xlookup($C427,daily_dates,big_daily_table))),NA(),_xlfn.xlookup(E$3,daily_items,_xlfn.xlookup($C427,daily_dates,big_daily_table)))</f>
        <v>#NAME?</v>
      </c>
    </row>
    <row r="428" customFormat="false" ht="14.25" hidden="false" customHeight="false" outlineLevel="0" collapsed="false">
      <c r="B428" s="7" t="n">
        <v>41333</v>
      </c>
      <c r="C428" s="7" t="n">
        <f aca="false">B428-WEEKDAY(B428)+1</f>
        <v>41329</v>
      </c>
      <c r="D428" s="1" t="e">
        <f aca="false" t="array" ref="D428:D428">IF(ISBLANK(_xlfn.xlookup(D$3,daily_items,_xlfn.xlookup($C428,daily_dates,big_daily_table))),NA(),_xlfn.xlookup(D$3,daily_items,_xlfn.xlookup($C428,daily_dates,big_daily_table)))</f>
        <v>#NAME?</v>
      </c>
      <c r="E428" s="1" t="e">
        <f aca="false" t="array" ref="E428:E428">IF(ISBLANK(_xlfn.xlookup(E$3,daily_items,_xlfn.xlookup($C428,daily_dates,big_daily_table))),NA(),_xlfn.xlookup(E$3,daily_items,_xlfn.xlookup($C428,daily_dates,big_daily_table)))</f>
        <v>#NAME?</v>
      </c>
    </row>
    <row r="429" customFormat="false" ht="14.25" hidden="false" customHeight="false" outlineLevel="0" collapsed="false">
      <c r="B429" s="7" t="n">
        <v>41334</v>
      </c>
      <c r="C429" s="7" t="n">
        <f aca="false">B429-WEEKDAY(B429)+1</f>
        <v>41329</v>
      </c>
      <c r="D429" s="1" t="e">
        <f aca="false" t="array" ref="D429:D429">IF(ISBLANK(_xlfn.xlookup(D$3,daily_items,_xlfn.xlookup($C429,daily_dates,big_daily_table))),NA(),_xlfn.xlookup(D$3,daily_items,_xlfn.xlookup($C429,daily_dates,big_daily_table)))</f>
        <v>#NAME?</v>
      </c>
      <c r="E429" s="1" t="e">
        <f aca="false" t="array" ref="E429:E429">IF(ISBLANK(_xlfn.xlookup(E$3,daily_items,_xlfn.xlookup($C429,daily_dates,big_daily_table))),NA(),_xlfn.xlookup(E$3,daily_items,_xlfn.xlookup($C429,daily_dates,big_daily_table)))</f>
        <v>#NAME?</v>
      </c>
    </row>
    <row r="430" customFormat="false" ht="14.25" hidden="false" customHeight="false" outlineLevel="0" collapsed="false">
      <c r="B430" s="7" t="n">
        <v>41335</v>
      </c>
      <c r="C430" s="7" t="n">
        <f aca="false">B430-WEEKDAY(B430)+1</f>
        <v>41329</v>
      </c>
      <c r="D430" s="1" t="e">
        <f aca="false" t="array" ref="D430:D430">IF(ISBLANK(_xlfn.xlookup(D$3,daily_items,_xlfn.xlookup($C430,daily_dates,big_daily_table))),NA(),_xlfn.xlookup(D$3,daily_items,_xlfn.xlookup($C430,daily_dates,big_daily_table)))</f>
        <v>#NAME?</v>
      </c>
      <c r="E430" s="1" t="e">
        <f aca="false" t="array" ref="E430:E430">IF(ISBLANK(_xlfn.xlookup(E$3,daily_items,_xlfn.xlookup($C430,daily_dates,big_daily_table))),NA(),_xlfn.xlookup(E$3,daily_items,_xlfn.xlookup($C430,daily_dates,big_daily_table)))</f>
        <v>#NAME?</v>
      </c>
    </row>
    <row r="431" customFormat="false" ht="14.25" hidden="false" customHeight="false" outlineLevel="0" collapsed="false">
      <c r="B431" s="7" t="n">
        <v>41336</v>
      </c>
      <c r="C431" s="7" t="n">
        <f aca="false">B431-WEEKDAY(B431)+1</f>
        <v>41336</v>
      </c>
      <c r="D431" s="1" t="e">
        <f aca="false" t="array" ref="D431:D431">IF(ISBLANK(_xlfn.xlookup(D$3,daily_items,_xlfn.xlookup($C431,daily_dates,big_daily_table))),NA(),_xlfn.xlookup(D$3,daily_items,_xlfn.xlookup($C431,daily_dates,big_daily_table)))</f>
        <v>#NAME?</v>
      </c>
      <c r="E431" s="1" t="e">
        <f aca="false" t="array" ref="E431:E431">IF(ISBLANK(_xlfn.xlookup(E$3,daily_items,_xlfn.xlookup($C431,daily_dates,big_daily_table))),NA(),_xlfn.xlookup(E$3,daily_items,_xlfn.xlookup($C431,daily_dates,big_daily_table)))</f>
        <v>#NAME?</v>
      </c>
    </row>
    <row r="432" customFormat="false" ht="14.25" hidden="false" customHeight="false" outlineLevel="0" collapsed="false">
      <c r="B432" s="7" t="n">
        <v>41337</v>
      </c>
      <c r="C432" s="7" t="n">
        <f aca="false">B432-WEEKDAY(B432)+1</f>
        <v>41336</v>
      </c>
      <c r="D432" s="1" t="e">
        <f aca="false" t="array" ref="D432:D432">IF(ISBLANK(_xlfn.xlookup(D$3,daily_items,_xlfn.xlookup($C432,daily_dates,big_daily_table))),NA(),_xlfn.xlookup(D$3,daily_items,_xlfn.xlookup($C432,daily_dates,big_daily_table)))</f>
        <v>#NAME?</v>
      </c>
      <c r="E432" s="1" t="e">
        <f aca="false" t="array" ref="E432:E432">IF(ISBLANK(_xlfn.xlookup(E$3,daily_items,_xlfn.xlookup($C432,daily_dates,big_daily_table))),NA(),_xlfn.xlookup(E$3,daily_items,_xlfn.xlookup($C432,daily_dates,big_daily_table)))</f>
        <v>#NAME?</v>
      </c>
    </row>
    <row r="433" customFormat="false" ht="14.25" hidden="false" customHeight="false" outlineLevel="0" collapsed="false">
      <c r="B433" s="7" t="n">
        <v>41338</v>
      </c>
      <c r="C433" s="7" t="n">
        <f aca="false">B433-WEEKDAY(B433)+1</f>
        <v>41336</v>
      </c>
      <c r="D433" s="1" t="e">
        <f aca="false" t="array" ref="D433:D433">IF(ISBLANK(_xlfn.xlookup(D$3,daily_items,_xlfn.xlookup($C433,daily_dates,big_daily_table))),NA(),_xlfn.xlookup(D$3,daily_items,_xlfn.xlookup($C433,daily_dates,big_daily_table)))</f>
        <v>#NAME?</v>
      </c>
      <c r="E433" s="1" t="e">
        <f aca="false" t="array" ref="E433:E433">IF(ISBLANK(_xlfn.xlookup(E$3,daily_items,_xlfn.xlookup($C433,daily_dates,big_daily_table))),NA(),_xlfn.xlookup(E$3,daily_items,_xlfn.xlookup($C433,daily_dates,big_daily_table)))</f>
        <v>#NAME?</v>
      </c>
    </row>
    <row r="434" customFormat="false" ht="14.25" hidden="false" customHeight="false" outlineLevel="0" collapsed="false">
      <c r="B434" s="7" t="n">
        <v>41339</v>
      </c>
      <c r="C434" s="7" t="n">
        <f aca="false">B434-WEEKDAY(B434)+1</f>
        <v>41336</v>
      </c>
      <c r="D434" s="1" t="e">
        <f aca="false" t="array" ref="D434:D434">IF(ISBLANK(_xlfn.xlookup(D$3,daily_items,_xlfn.xlookup($C434,daily_dates,big_daily_table))),NA(),_xlfn.xlookup(D$3,daily_items,_xlfn.xlookup($C434,daily_dates,big_daily_table)))</f>
        <v>#NAME?</v>
      </c>
      <c r="E434" s="1" t="e">
        <f aca="false" t="array" ref="E434:E434">IF(ISBLANK(_xlfn.xlookup(E$3,daily_items,_xlfn.xlookup($C434,daily_dates,big_daily_table))),NA(),_xlfn.xlookup(E$3,daily_items,_xlfn.xlookup($C434,daily_dates,big_daily_table)))</f>
        <v>#NAME?</v>
      </c>
    </row>
    <row r="435" customFormat="false" ht="14.25" hidden="false" customHeight="false" outlineLevel="0" collapsed="false">
      <c r="B435" s="7" t="n">
        <v>41340</v>
      </c>
      <c r="C435" s="7" t="n">
        <f aca="false">B435-WEEKDAY(B435)+1</f>
        <v>41336</v>
      </c>
      <c r="D435" s="1" t="e">
        <f aca="false" t="array" ref="D435:D435">IF(ISBLANK(_xlfn.xlookup(D$3,daily_items,_xlfn.xlookup($C435,daily_dates,big_daily_table))),NA(),_xlfn.xlookup(D$3,daily_items,_xlfn.xlookup($C435,daily_dates,big_daily_table)))</f>
        <v>#NAME?</v>
      </c>
      <c r="E435" s="1" t="e">
        <f aca="false" t="array" ref="E435:E435">IF(ISBLANK(_xlfn.xlookup(E$3,daily_items,_xlfn.xlookup($C435,daily_dates,big_daily_table))),NA(),_xlfn.xlookup(E$3,daily_items,_xlfn.xlookup($C435,daily_dates,big_daily_table)))</f>
        <v>#NAME?</v>
      </c>
    </row>
    <row r="436" customFormat="false" ht="14.25" hidden="false" customHeight="false" outlineLevel="0" collapsed="false">
      <c r="B436" s="7" t="n">
        <v>41341</v>
      </c>
      <c r="C436" s="7" t="n">
        <f aca="false">B436-WEEKDAY(B436)+1</f>
        <v>41336</v>
      </c>
      <c r="D436" s="1" t="e">
        <f aca="false" t="array" ref="D436:D436">IF(ISBLANK(_xlfn.xlookup(D$3,daily_items,_xlfn.xlookup($C436,daily_dates,big_daily_table))),NA(),_xlfn.xlookup(D$3,daily_items,_xlfn.xlookup($C436,daily_dates,big_daily_table)))</f>
        <v>#NAME?</v>
      </c>
      <c r="E436" s="1" t="e">
        <f aca="false" t="array" ref="E436:E436">IF(ISBLANK(_xlfn.xlookup(E$3,daily_items,_xlfn.xlookup($C436,daily_dates,big_daily_table))),NA(),_xlfn.xlookup(E$3,daily_items,_xlfn.xlookup($C436,daily_dates,big_daily_table)))</f>
        <v>#NAME?</v>
      </c>
    </row>
    <row r="437" customFormat="false" ht="14.25" hidden="false" customHeight="false" outlineLevel="0" collapsed="false">
      <c r="B437" s="7" t="n">
        <v>41342</v>
      </c>
      <c r="C437" s="7" t="n">
        <f aca="false">B437-WEEKDAY(B437)+1</f>
        <v>41336</v>
      </c>
      <c r="D437" s="1" t="e">
        <f aca="false" t="array" ref="D437:D437">IF(ISBLANK(_xlfn.xlookup(D$3,daily_items,_xlfn.xlookup($C437,daily_dates,big_daily_table))),NA(),_xlfn.xlookup(D$3,daily_items,_xlfn.xlookup($C437,daily_dates,big_daily_table)))</f>
        <v>#NAME?</v>
      </c>
      <c r="E437" s="1" t="e">
        <f aca="false" t="array" ref="E437:E437">IF(ISBLANK(_xlfn.xlookup(E$3,daily_items,_xlfn.xlookup($C437,daily_dates,big_daily_table))),NA(),_xlfn.xlookup(E$3,daily_items,_xlfn.xlookup($C437,daily_dates,big_daily_table)))</f>
        <v>#NAME?</v>
      </c>
    </row>
    <row r="438" customFormat="false" ht="14.25" hidden="false" customHeight="false" outlineLevel="0" collapsed="false">
      <c r="B438" s="7" t="n">
        <v>41343</v>
      </c>
      <c r="C438" s="7" t="n">
        <f aca="false">B438-WEEKDAY(B438)+1</f>
        <v>41343</v>
      </c>
      <c r="D438" s="1" t="e">
        <f aca="false" t="array" ref="D438:D438">IF(ISBLANK(_xlfn.xlookup(D$3,daily_items,_xlfn.xlookup($C438,daily_dates,big_daily_table))),NA(),_xlfn.xlookup(D$3,daily_items,_xlfn.xlookup($C438,daily_dates,big_daily_table)))</f>
        <v>#NAME?</v>
      </c>
      <c r="E438" s="1" t="e">
        <f aca="false" t="array" ref="E438:E438">IF(ISBLANK(_xlfn.xlookup(E$3,daily_items,_xlfn.xlookup($C438,daily_dates,big_daily_table))),NA(),_xlfn.xlookup(E$3,daily_items,_xlfn.xlookup($C438,daily_dates,big_daily_table)))</f>
        <v>#NAME?</v>
      </c>
    </row>
    <row r="439" customFormat="false" ht="14.25" hidden="false" customHeight="false" outlineLevel="0" collapsed="false">
      <c r="B439" s="7" t="n">
        <v>41344</v>
      </c>
      <c r="C439" s="7" t="n">
        <f aca="false">B439-WEEKDAY(B439)+1</f>
        <v>41343</v>
      </c>
      <c r="D439" s="1" t="e">
        <f aca="false" t="array" ref="D439:D439">IF(ISBLANK(_xlfn.xlookup(D$3,daily_items,_xlfn.xlookup($C439,daily_dates,big_daily_table))),NA(),_xlfn.xlookup(D$3,daily_items,_xlfn.xlookup($C439,daily_dates,big_daily_table)))</f>
        <v>#NAME?</v>
      </c>
      <c r="E439" s="1" t="e">
        <f aca="false" t="array" ref="E439:E439">IF(ISBLANK(_xlfn.xlookup(E$3,daily_items,_xlfn.xlookup($C439,daily_dates,big_daily_table))),NA(),_xlfn.xlookup(E$3,daily_items,_xlfn.xlookup($C439,daily_dates,big_daily_table)))</f>
        <v>#NAME?</v>
      </c>
    </row>
    <row r="440" customFormat="false" ht="14.25" hidden="false" customHeight="false" outlineLevel="0" collapsed="false">
      <c r="B440" s="7" t="n">
        <v>41345</v>
      </c>
      <c r="C440" s="7" t="n">
        <f aca="false">B440-WEEKDAY(B440)+1</f>
        <v>41343</v>
      </c>
      <c r="D440" s="1" t="e">
        <f aca="false" t="array" ref="D440:D440">IF(ISBLANK(_xlfn.xlookup(D$3,daily_items,_xlfn.xlookup($C440,daily_dates,big_daily_table))),NA(),_xlfn.xlookup(D$3,daily_items,_xlfn.xlookup($C440,daily_dates,big_daily_table)))</f>
        <v>#NAME?</v>
      </c>
      <c r="E440" s="1" t="e">
        <f aca="false" t="array" ref="E440:E440">IF(ISBLANK(_xlfn.xlookup(E$3,daily_items,_xlfn.xlookup($C440,daily_dates,big_daily_table))),NA(),_xlfn.xlookup(E$3,daily_items,_xlfn.xlookup($C440,daily_dates,big_daily_table)))</f>
        <v>#NAME?</v>
      </c>
    </row>
    <row r="441" customFormat="false" ht="14.25" hidden="false" customHeight="false" outlineLevel="0" collapsed="false">
      <c r="B441" s="7" t="n">
        <v>41346</v>
      </c>
      <c r="C441" s="7" t="n">
        <f aca="false">B441-WEEKDAY(B441)+1</f>
        <v>41343</v>
      </c>
      <c r="D441" s="1" t="e">
        <f aca="false" t="array" ref="D441:D441">IF(ISBLANK(_xlfn.xlookup(D$3,daily_items,_xlfn.xlookup($C441,daily_dates,big_daily_table))),NA(),_xlfn.xlookup(D$3,daily_items,_xlfn.xlookup($C441,daily_dates,big_daily_table)))</f>
        <v>#NAME?</v>
      </c>
      <c r="E441" s="1" t="e">
        <f aca="false" t="array" ref="E441:E441">IF(ISBLANK(_xlfn.xlookup(E$3,daily_items,_xlfn.xlookup($C441,daily_dates,big_daily_table))),NA(),_xlfn.xlookup(E$3,daily_items,_xlfn.xlookup($C441,daily_dates,big_daily_table)))</f>
        <v>#NAME?</v>
      </c>
    </row>
    <row r="442" customFormat="false" ht="14.25" hidden="false" customHeight="false" outlineLevel="0" collapsed="false">
      <c r="B442" s="7" t="n">
        <v>41347</v>
      </c>
      <c r="C442" s="7" t="n">
        <f aca="false">B442-WEEKDAY(B442)+1</f>
        <v>41343</v>
      </c>
      <c r="D442" s="1" t="e">
        <f aca="false" t="array" ref="D442:D442">IF(ISBLANK(_xlfn.xlookup(D$3,daily_items,_xlfn.xlookup($C442,daily_dates,big_daily_table))),NA(),_xlfn.xlookup(D$3,daily_items,_xlfn.xlookup($C442,daily_dates,big_daily_table)))</f>
        <v>#NAME?</v>
      </c>
      <c r="E442" s="1" t="e">
        <f aca="false" t="array" ref="E442:E442">IF(ISBLANK(_xlfn.xlookup(E$3,daily_items,_xlfn.xlookup($C442,daily_dates,big_daily_table))),NA(),_xlfn.xlookup(E$3,daily_items,_xlfn.xlookup($C442,daily_dates,big_daily_table)))</f>
        <v>#NAME?</v>
      </c>
    </row>
    <row r="443" customFormat="false" ht="14.25" hidden="false" customHeight="false" outlineLevel="0" collapsed="false">
      <c r="B443" s="7" t="n">
        <v>41348</v>
      </c>
      <c r="C443" s="7" t="n">
        <f aca="false">B443-WEEKDAY(B443)+1</f>
        <v>41343</v>
      </c>
      <c r="D443" s="1" t="e">
        <f aca="false" t="array" ref="D443:D443">IF(ISBLANK(_xlfn.xlookup(D$3,daily_items,_xlfn.xlookup($C443,daily_dates,big_daily_table))),NA(),_xlfn.xlookup(D$3,daily_items,_xlfn.xlookup($C443,daily_dates,big_daily_table)))</f>
        <v>#NAME?</v>
      </c>
      <c r="E443" s="1" t="e">
        <f aca="false" t="array" ref="E443:E443">IF(ISBLANK(_xlfn.xlookup(E$3,daily_items,_xlfn.xlookup($C443,daily_dates,big_daily_table))),NA(),_xlfn.xlookup(E$3,daily_items,_xlfn.xlookup($C443,daily_dates,big_daily_table)))</f>
        <v>#NAME?</v>
      </c>
    </row>
    <row r="444" customFormat="false" ht="14.25" hidden="false" customHeight="false" outlineLevel="0" collapsed="false">
      <c r="B444" s="7" t="n">
        <v>41349</v>
      </c>
      <c r="C444" s="7" t="n">
        <f aca="false">B444-WEEKDAY(B444)+1</f>
        <v>41343</v>
      </c>
      <c r="D444" s="1" t="e">
        <f aca="false" t="array" ref="D444:D444">IF(ISBLANK(_xlfn.xlookup(D$3,daily_items,_xlfn.xlookup($C444,daily_dates,big_daily_table))),NA(),_xlfn.xlookup(D$3,daily_items,_xlfn.xlookup($C444,daily_dates,big_daily_table)))</f>
        <v>#NAME?</v>
      </c>
      <c r="E444" s="1" t="e">
        <f aca="false" t="array" ref="E444:E444">IF(ISBLANK(_xlfn.xlookup(E$3,daily_items,_xlfn.xlookup($C444,daily_dates,big_daily_table))),NA(),_xlfn.xlookup(E$3,daily_items,_xlfn.xlookup($C444,daily_dates,big_daily_table)))</f>
        <v>#NAME?</v>
      </c>
    </row>
    <row r="445" customFormat="false" ht="14.25" hidden="false" customHeight="false" outlineLevel="0" collapsed="false">
      <c r="B445" s="7" t="n">
        <v>41350</v>
      </c>
      <c r="C445" s="7" t="n">
        <f aca="false">B445-WEEKDAY(B445)+1</f>
        <v>41350</v>
      </c>
      <c r="D445" s="1" t="e">
        <f aca="false" t="array" ref="D445:D445">IF(ISBLANK(_xlfn.xlookup(D$3,daily_items,_xlfn.xlookup($C445,daily_dates,big_daily_table))),NA(),_xlfn.xlookup(D$3,daily_items,_xlfn.xlookup($C445,daily_dates,big_daily_table)))</f>
        <v>#NAME?</v>
      </c>
      <c r="E445" s="1" t="e">
        <f aca="false" t="array" ref="E445:E445">IF(ISBLANK(_xlfn.xlookup(E$3,daily_items,_xlfn.xlookup($C445,daily_dates,big_daily_table))),NA(),_xlfn.xlookup(E$3,daily_items,_xlfn.xlookup($C445,daily_dates,big_daily_table)))</f>
        <v>#NAME?</v>
      </c>
    </row>
    <row r="446" customFormat="false" ht="14.25" hidden="false" customHeight="false" outlineLevel="0" collapsed="false">
      <c r="B446" s="7" t="n">
        <v>41351</v>
      </c>
      <c r="C446" s="7" t="n">
        <f aca="false">B446-WEEKDAY(B446)+1</f>
        <v>41350</v>
      </c>
      <c r="D446" s="1" t="e">
        <f aca="false" t="array" ref="D446:D446">IF(ISBLANK(_xlfn.xlookup(D$3,daily_items,_xlfn.xlookup($C446,daily_dates,big_daily_table))),NA(),_xlfn.xlookup(D$3,daily_items,_xlfn.xlookup($C446,daily_dates,big_daily_table)))</f>
        <v>#NAME?</v>
      </c>
      <c r="E446" s="1" t="e">
        <f aca="false" t="array" ref="E446:E446">IF(ISBLANK(_xlfn.xlookup(E$3,daily_items,_xlfn.xlookup($C446,daily_dates,big_daily_table))),NA(),_xlfn.xlookup(E$3,daily_items,_xlfn.xlookup($C446,daily_dates,big_daily_table)))</f>
        <v>#NAME?</v>
      </c>
    </row>
    <row r="447" customFormat="false" ht="14.25" hidden="false" customHeight="false" outlineLevel="0" collapsed="false">
      <c r="B447" s="7" t="n">
        <v>41352</v>
      </c>
      <c r="C447" s="7" t="n">
        <f aca="false">B447-WEEKDAY(B447)+1</f>
        <v>41350</v>
      </c>
      <c r="D447" s="1" t="e">
        <f aca="false" t="array" ref="D447:D447">IF(ISBLANK(_xlfn.xlookup(D$3,daily_items,_xlfn.xlookup($C447,daily_dates,big_daily_table))),NA(),_xlfn.xlookup(D$3,daily_items,_xlfn.xlookup($C447,daily_dates,big_daily_table)))</f>
        <v>#NAME?</v>
      </c>
      <c r="E447" s="1" t="e">
        <f aca="false" t="array" ref="E447:E447">IF(ISBLANK(_xlfn.xlookup(E$3,daily_items,_xlfn.xlookup($C447,daily_dates,big_daily_table))),NA(),_xlfn.xlookup(E$3,daily_items,_xlfn.xlookup($C447,daily_dates,big_daily_table)))</f>
        <v>#NAME?</v>
      </c>
    </row>
    <row r="448" customFormat="false" ht="14.25" hidden="false" customHeight="false" outlineLevel="0" collapsed="false">
      <c r="B448" s="7" t="n">
        <v>41353</v>
      </c>
      <c r="C448" s="7" t="n">
        <f aca="false">B448-WEEKDAY(B448)+1</f>
        <v>41350</v>
      </c>
      <c r="D448" s="1" t="e">
        <f aca="false" t="array" ref="D448:D448">IF(ISBLANK(_xlfn.xlookup(D$3,daily_items,_xlfn.xlookup($C448,daily_dates,big_daily_table))),NA(),_xlfn.xlookup(D$3,daily_items,_xlfn.xlookup($C448,daily_dates,big_daily_table)))</f>
        <v>#NAME?</v>
      </c>
      <c r="E448" s="1" t="e">
        <f aca="false" t="array" ref="E448:E448">IF(ISBLANK(_xlfn.xlookup(E$3,daily_items,_xlfn.xlookup($C448,daily_dates,big_daily_table))),NA(),_xlfn.xlookup(E$3,daily_items,_xlfn.xlookup($C448,daily_dates,big_daily_table)))</f>
        <v>#NAME?</v>
      </c>
    </row>
    <row r="449" customFormat="false" ht="14.25" hidden="false" customHeight="false" outlineLevel="0" collapsed="false">
      <c r="B449" s="7" t="n">
        <v>41354</v>
      </c>
      <c r="C449" s="7" t="n">
        <f aca="false">B449-WEEKDAY(B449)+1</f>
        <v>41350</v>
      </c>
      <c r="D449" s="1" t="e">
        <f aca="false" t="array" ref="D449:D449">IF(ISBLANK(_xlfn.xlookup(D$3,daily_items,_xlfn.xlookup($C449,daily_dates,big_daily_table))),NA(),_xlfn.xlookup(D$3,daily_items,_xlfn.xlookup($C449,daily_dates,big_daily_table)))</f>
        <v>#NAME?</v>
      </c>
      <c r="E449" s="1" t="e">
        <f aca="false" t="array" ref="E449:E449">IF(ISBLANK(_xlfn.xlookup(E$3,daily_items,_xlfn.xlookup($C449,daily_dates,big_daily_table))),NA(),_xlfn.xlookup(E$3,daily_items,_xlfn.xlookup($C449,daily_dates,big_daily_table)))</f>
        <v>#NAME?</v>
      </c>
    </row>
    <row r="450" customFormat="false" ht="14.25" hidden="false" customHeight="false" outlineLevel="0" collapsed="false">
      <c r="B450" s="7" t="n">
        <v>41355</v>
      </c>
      <c r="C450" s="7" t="n">
        <f aca="false">B450-WEEKDAY(B450)+1</f>
        <v>41350</v>
      </c>
      <c r="D450" s="1" t="e">
        <f aca="false" t="array" ref="D450:D450">IF(ISBLANK(_xlfn.xlookup(D$3,daily_items,_xlfn.xlookup($C450,daily_dates,big_daily_table))),NA(),_xlfn.xlookup(D$3,daily_items,_xlfn.xlookup($C450,daily_dates,big_daily_table)))</f>
        <v>#NAME?</v>
      </c>
      <c r="E450" s="1" t="e">
        <f aca="false" t="array" ref="E450:E450">IF(ISBLANK(_xlfn.xlookup(E$3,daily_items,_xlfn.xlookup($C450,daily_dates,big_daily_table))),NA(),_xlfn.xlookup(E$3,daily_items,_xlfn.xlookup($C450,daily_dates,big_daily_table)))</f>
        <v>#NAME?</v>
      </c>
    </row>
    <row r="451" customFormat="false" ht="14.25" hidden="false" customHeight="false" outlineLevel="0" collapsed="false">
      <c r="B451" s="7" t="n">
        <v>41356</v>
      </c>
      <c r="C451" s="7" t="n">
        <f aca="false">B451-WEEKDAY(B451)+1</f>
        <v>41350</v>
      </c>
      <c r="D451" s="1" t="e">
        <f aca="false" t="array" ref="D451:D451">IF(ISBLANK(_xlfn.xlookup(D$3,daily_items,_xlfn.xlookup($C451,daily_dates,big_daily_table))),NA(),_xlfn.xlookup(D$3,daily_items,_xlfn.xlookup($C451,daily_dates,big_daily_table)))</f>
        <v>#NAME?</v>
      </c>
      <c r="E451" s="1" t="e">
        <f aca="false" t="array" ref="E451:E451">IF(ISBLANK(_xlfn.xlookup(E$3,daily_items,_xlfn.xlookup($C451,daily_dates,big_daily_table))),NA(),_xlfn.xlookup(E$3,daily_items,_xlfn.xlookup($C451,daily_dates,big_daily_table)))</f>
        <v>#NAME?</v>
      </c>
    </row>
    <row r="452" customFormat="false" ht="14.25" hidden="false" customHeight="false" outlineLevel="0" collapsed="false">
      <c r="B452" s="7" t="n">
        <v>41357</v>
      </c>
      <c r="C452" s="7" t="n">
        <f aca="false">B452-WEEKDAY(B452)+1</f>
        <v>41357</v>
      </c>
      <c r="D452" s="1" t="e">
        <f aca="false" t="array" ref="D452:D452">IF(ISBLANK(_xlfn.xlookup(D$3,daily_items,_xlfn.xlookup($C452,daily_dates,big_daily_table))),NA(),_xlfn.xlookup(D$3,daily_items,_xlfn.xlookup($C452,daily_dates,big_daily_table)))</f>
        <v>#NAME?</v>
      </c>
      <c r="E452" s="1" t="e">
        <f aca="false" t="array" ref="E452:E452">IF(ISBLANK(_xlfn.xlookup(E$3,daily_items,_xlfn.xlookup($C452,daily_dates,big_daily_table))),NA(),_xlfn.xlookup(E$3,daily_items,_xlfn.xlookup($C452,daily_dates,big_daily_table)))</f>
        <v>#NAME?</v>
      </c>
    </row>
    <row r="453" customFormat="false" ht="14.25" hidden="false" customHeight="false" outlineLevel="0" collapsed="false">
      <c r="B453" s="7" t="n">
        <v>41358</v>
      </c>
      <c r="C453" s="7" t="n">
        <f aca="false">B453-WEEKDAY(B453)+1</f>
        <v>41357</v>
      </c>
      <c r="D453" s="1" t="e">
        <f aca="false" t="array" ref="D453:D453">IF(ISBLANK(_xlfn.xlookup(D$3,daily_items,_xlfn.xlookup($C453,daily_dates,big_daily_table))),NA(),_xlfn.xlookup(D$3,daily_items,_xlfn.xlookup($C453,daily_dates,big_daily_table)))</f>
        <v>#NAME?</v>
      </c>
      <c r="E453" s="1" t="e">
        <f aca="false" t="array" ref="E453:E453">IF(ISBLANK(_xlfn.xlookup(E$3,daily_items,_xlfn.xlookup($C453,daily_dates,big_daily_table))),NA(),_xlfn.xlookup(E$3,daily_items,_xlfn.xlookup($C453,daily_dates,big_daily_table)))</f>
        <v>#NAME?</v>
      </c>
    </row>
    <row r="454" customFormat="false" ht="14.25" hidden="false" customHeight="false" outlineLevel="0" collapsed="false">
      <c r="B454" s="7" t="n">
        <v>41359</v>
      </c>
      <c r="C454" s="7" t="n">
        <f aca="false">B454-WEEKDAY(B454)+1</f>
        <v>41357</v>
      </c>
      <c r="D454" s="1" t="e">
        <f aca="false" t="array" ref="D454:D454">IF(ISBLANK(_xlfn.xlookup(D$3,daily_items,_xlfn.xlookup($C454,daily_dates,big_daily_table))),NA(),_xlfn.xlookup(D$3,daily_items,_xlfn.xlookup($C454,daily_dates,big_daily_table)))</f>
        <v>#NAME?</v>
      </c>
      <c r="E454" s="1" t="e">
        <f aca="false" t="array" ref="E454:E454">IF(ISBLANK(_xlfn.xlookup(E$3,daily_items,_xlfn.xlookup($C454,daily_dates,big_daily_table))),NA(),_xlfn.xlookup(E$3,daily_items,_xlfn.xlookup($C454,daily_dates,big_daily_table)))</f>
        <v>#NAME?</v>
      </c>
    </row>
    <row r="455" customFormat="false" ht="14.25" hidden="false" customHeight="false" outlineLevel="0" collapsed="false">
      <c r="B455" s="7" t="n">
        <v>41360</v>
      </c>
      <c r="C455" s="7" t="n">
        <f aca="false">B455-WEEKDAY(B455)+1</f>
        <v>41357</v>
      </c>
      <c r="D455" s="1" t="e">
        <f aca="false" t="array" ref="D455:D455">IF(ISBLANK(_xlfn.xlookup(D$3,daily_items,_xlfn.xlookup($C455,daily_dates,big_daily_table))),NA(),_xlfn.xlookup(D$3,daily_items,_xlfn.xlookup($C455,daily_dates,big_daily_table)))</f>
        <v>#NAME?</v>
      </c>
      <c r="E455" s="1" t="e">
        <f aca="false" t="array" ref="E455:E455">IF(ISBLANK(_xlfn.xlookup(E$3,daily_items,_xlfn.xlookup($C455,daily_dates,big_daily_table))),NA(),_xlfn.xlookup(E$3,daily_items,_xlfn.xlookup($C455,daily_dates,big_daily_table)))</f>
        <v>#NAME?</v>
      </c>
    </row>
    <row r="456" customFormat="false" ht="14.25" hidden="false" customHeight="false" outlineLevel="0" collapsed="false">
      <c r="B456" s="7" t="n">
        <v>41361</v>
      </c>
      <c r="C456" s="7" t="n">
        <f aca="false">B456-WEEKDAY(B456)+1</f>
        <v>41357</v>
      </c>
      <c r="D456" s="1" t="e">
        <f aca="false" t="array" ref="D456:D456">IF(ISBLANK(_xlfn.xlookup(D$3,daily_items,_xlfn.xlookup($C456,daily_dates,big_daily_table))),NA(),_xlfn.xlookup(D$3,daily_items,_xlfn.xlookup($C456,daily_dates,big_daily_table)))</f>
        <v>#NAME?</v>
      </c>
      <c r="E456" s="1" t="e">
        <f aca="false" t="array" ref="E456:E456">IF(ISBLANK(_xlfn.xlookup(E$3,daily_items,_xlfn.xlookup($C456,daily_dates,big_daily_table))),NA(),_xlfn.xlookup(E$3,daily_items,_xlfn.xlookup($C456,daily_dates,big_daily_table)))</f>
        <v>#NAME?</v>
      </c>
    </row>
    <row r="457" customFormat="false" ht="14.25" hidden="false" customHeight="false" outlineLevel="0" collapsed="false">
      <c r="B457" s="7" t="n">
        <v>41362</v>
      </c>
      <c r="C457" s="7" t="n">
        <f aca="false">B457-WEEKDAY(B457)+1</f>
        <v>41357</v>
      </c>
      <c r="D457" s="1" t="e">
        <f aca="false" t="array" ref="D457:D457">IF(ISBLANK(_xlfn.xlookup(D$3,daily_items,_xlfn.xlookup($C457,daily_dates,big_daily_table))),NA(),_xlfn.xlookup(D$3,daily_items,_xlfn.xlookup($C457,daily_dates,big_daily_table)))</f>
        <v>#NAME?</v>
      </c>
      <c r="E457" s="1" t="e">
        <f aca="false" t="array" ref="E457:E457">IF(ISBLANK(_xlfn.xlookup(E$3,daily_items,_xlfn.xlookup($C457,daily_dates,big_daily_table))),NA(),_xlfn.xlookup(E$3,daily_items,_xlfn.xlookup($C457,daily_dates,big_daily_table)))</f>
        <v>#NAME?</v>
      </c>
    </row>
    <row r="458" customFormat="false" ht="14.25" hidden="false" customHeight="false" outlineLevel="0" collapsed="false">
      <c r="B458" s="7" t="n">
        <v>41363</v>
      </c>
      <c r="C458" s="7" t="n">
        <f aca="false">B458-WEEKDAY(B458)+1</f>
        <v>41357</v>
      </c>
      <c r="D458" s="1" t="e">
        <f aca="false" t="array" ref="D458:D458">IF(ISBLANK(_xlfn.xlookup(D$3,daily_items,_xlfn.xlookup($C458,daily_dates,big_daily_table))),NA(),_xlfn.xlookup(D$3,daily_items,_xlfn.xlookup($C458,daily_dates,big_daily_table)))</f>
        <v>#NAME?</v>
      </c>
      <c r="E458" s="1" t="e">
        <f aca="false" t="array" ref="E458:E458">IF(ISBLANK(_xlfn.xlookup(E$3,daily_items,_xlfn.xlookup($C458,daily_dates,big_daily_table))),NA(),_xlfn.xlookup(E$3,daily_items,_xlfn.xlookup($C458,daily_dates,big_daily_table)))</f>
        <v>#NAME?</v>
      </c>
    </row>
    <row r="459" customFormat="false" ht="14.25" hidden="false" customHeight="false" outlineLevel="0" collapsed="false">
      <c r="B459" s="7" t="n">
        <v>41364</v>
      </c>
      <c r="C459" s="7" t="n">
        <f aca="false">B459-WEEKDAY(B459)+1</f>
        <v>41364</v>
      </c>
      <c r="D459" s="1" t="e">
        <f aca="false" t="array" ref="D459:D459">IF(ISBLANK(_xlfn.xlookup(D$3,daily_items,_xlfn.xlookup($C459,daily_dates,big_daily_table))),NA(),_xlfn.xlookup(D$3,daily_items,_xlfn.xlookup($C459,daily_dates,big_daily_table)))</f>
        <v>#NAME?</v>
      </c>
      <c r="E459" s="1" t="e">
        <f aca="false" t="array" ref="E459:E459">IF(ISBLANK(_xlfn.xlookup(E$3,daily_items,_xlfn.xlookup($C459,daily_dates,big_daily_table))),NA(),_xlfn.xlookup(E$3,daily_items,_xlfn.xlookup($C459,daily_dates,big_daily_table)))</f>
        <v>#NAME?</v>
      </c>
    </row>
    <row r="460" customFormat="false" ht="14.25" hidden="false" customHeight="false" outlineLevel="0" collapsed="false">
      <c r="B460" s="7" t="n">
        <v>41365</v>
      </c>
      <c r="C460" s="7" t="n">
        <f aca="false">B460-WEEKDAY(B460)+1</f>
        <v>41364</v>
      </c>
      <c r="D460" s="1" t="e">
        <f aca="false" t="array" ref="D460:D460">IF(ISBLANK(_xlfn.xlookup(D$3,daily_items,_xlfn.xlookup($C460,daily_dates,big_daily_table))),NA(),_xlfn.xlookup(D$3,daily_items,_xlfn.xlookup($C460,daily_dates,big_daily_table)))</f>
        <v>#NAME?</v>
      </c>
      <c r="E460" s="1" t="e">
        <f aca="false" t="array" ref="E460:E460">IF(ISBLANK(_xlfn.xlookup(E$3,daily_items,_xlfn.xlookup($C460,daily_dates,big_daily_table))),NA(),_xlfn.xlookup(E$3,daily_items,_xlfn.xlookup($C460,daily_dates,big_daily_table)))</f>
        <v>#NAME?</v>
      </c>
    </row>
    <row r="461" customFormat="false" ht="14.25" hidden="false" customHeight="false" outlineLevel="0" collapsed="false">
      <c r="B461" s="7" t="n">
        <v>41366</v>
      </c>
      <c r="C461" s="7" t="n">
        <f aca="false">B461-WEEKDAY(B461)+1</f>
        <v>41364</v>
      </c>
      <c r="D461" s="1" t="e">
        <f aca="false" t="array" ref="D461:D461">IF(ISBLANK(_xlfn.xlookup(D$3,daily_items,_xlfn.xlookup($C461,daily_dates,big_daily_table))),NA(),_xlfn.xlookup(D$3,daily_items,_xlfn.xlookup($C461,daily_dates,big_daily_table)))</f>
        <v>#NAME?</v>
      </c>
      <c r="E461" s="1" t="e">
        <f aca="false" t="array" ref="E461:E461">IF(ISBLANK(_xlfn.xlookup(E$3,daily_items,_xlfn.xlookup($C461,daily_dates,big_daily_table))),NA(),_xlfn.xlookup(E$3,daily_items,_xlfn.xlookup($C461,daily_dates,big_daily_table)))</f>
        <v>#NAME?</v>
      </c>
    </row>
    <row r="462" customFormat="false" ht="14.25" hidden="false" customHeight="false" outlineLevel="0" collapsed="false">
      <c r="B462" s="7" t="n">
        <v>41367</v>
      </c>
      <c r="C462" s="7" t="n">
        <f aca="false">B462-WEEKDAY(B462)+1</f>
        <v>41364</v>
      </c>
      <c r="D462" s="1" t="e">
        <f aca="false" t="array" ref="D462:D462">IF(ISBLANK(_xlfn.xlookup(D$3,daily_items,_xlfn.xlookup($C462,daily_dates,big_daily_table))),NA(),_xlfn.xlookup(D$3,daily_items,_xlfn.xlookup($C462,daily_dates,big_daily_table)))</f>
        <v>#NAME?</v>
      </c>
      <c r="E462" s="1" t="e">
        <f aca="false" t="array" ref="E462:E462">IF(ISBLANK(_xlfn.xlookup(E$3,daily_items,_xlfn.xlookup($C462,daily_dates,big_daily_table))),NA(),_xlfn.xlookup(E$3,daily_items,_xlfn.xlookup($C462,daily_dates,big_daily_table)))</f>
        <v>#NAME?</v>
      </c>
    </row>
    <row r="463" customFormat="false" ht="14.25" hidden="false" customHeight="false" outlineLevel="0" collapsed="false">
      <c r="B463" s="7" t="n">
        <v>41368</v>
      </c>
      <c r="C463" s="7" t="n">
        <f aca="false">B463-WEEKDAY(B463)+1</f>
        <v>41364</v>
      </c>
      <c r="D463" s="1" t="e">
        <f aca="false" t="array" ref="D463:D463">IF(ISBLANK(_xlfn.xlookup(D$3,daily_items,_xlfn.xlookup($C463,daily_dates,big_daily_table))),NA(),_xlfn.xlookup(D$3,daily_items,_xlfn.xlookup($C463,daily_dates,big_daily_table)))</f>
        <v>#NAME?</v>
      </c>
      <c r="E463" s="1" t="e">
        <f aca="false" t="array" ref="E463:E463">IF(ISBLANK(_xlfn.xlookup(E$3,daily_items,_xlfn.xlookup($C463,daily_dates,big_daily_table))),NA(),_xlfn.xlookup(E$3,daily_items,_xlfn.xlookup($C463,daily_dates,big_daily_table)))</f>
        <v>#NAME?</v>
      </c>
    </row>
    <row r="464" customFormat="false" ht="14.25" hidden="false" customHeight="false" outlineLevel="0" collapsed="false">
      <c r="B464" s="7" t="n">
        <v>41369</v>
      </c>
      <c r="C464" s="7" t="n">
        <f aca="false">B464-WEEKDAY(B464)+1</f>
        <v>41364</v>
      </c>
      <c r="D464" s="1" t="e">
        <f aca="false" t="array" ref="D464:D464">IF(ISBLANK(_xlfn.xlookup(D$3,daily_items,_xlfn.xlookup($C464,daily_dates,big_daily_table))),NA(),_xlfn.xlookup(D$3,daily_items,_xlfn.xlookup($C464,daily_dates,big_daily_table)))</f>
        <v>#NAME?</v>
      </c>
      <c r="E464" s="1" t="e">
        <f aca="false" t="array" ref="E464:E464">IF(ISBLANK(_xlfn.xlookup(E$3,daily_items,_xlfn.xlookup($C464,daily_dates,big_daily_table))),NA(),_xlfn.xlookup(E$3,daily_items,_xlfn.xlookup($C464,daily_dates,big_daily_table)))</f>
        <v>#NAME?</v>
      </c>
    </row>
    <row r="465" customFormat="false" ht="14.25" hidden="false" customHeight="false" outlineLevel="0" collapsed="false">
      <c r="B465" s="7" t="n">
        <v>41370</v>
      </c>
      <c r="C465" s="7" t="n">
        <f aca="false">B465-WEEKDAY(B465)+1</f>
        <v>41364</v>
      </c>
      <c r="D465" s="1" t="e">
        <f aca="false" t="array" ref="D465:D465">IF(ISBLANK(_xlfn.xlookup(D$3,daily_items,_xlfn.xlookup($C465,daily_dates,big_daily_table))),NA(),_xlfn.xlookup(D$3,daily_items,_xlfn.xlookup($C465,daily_dates,big_daily_table)))</f>
        <v>#NAME?</v>
      </c>
      <c r="E465" s="1" t="e">
        <f aca="false" t="array" ref="E465:E465">IF(ISBLANK(_xlfn.xlookup(E$3,daily_items,_xlfn.xlookup($C465,daily_dates,big_daily_table))),NA(),_xlfn.xlookup(E$3,daily_items,_xlfn.xlookup($C465,daily_dates,big_daily_table)))</f>
        <v>#NAME?</v>
      </c>
    </row>
    <row r="466" customFormat="false" ht="14.25" hidden="false" customHeight="false" outlineLevel="0" collapsed="false">
      <c r="B466" s="7" t="n">
        <v>41371</v>
      </c>
      <c r="C466" s="7" t="n">
        <f aca="false">B466-WEEKDAY(B466)+1</f>
        <v>41371</v>
      </c>
      <c r="D466" s="1" t="e">
        <f aca="false" t="array" ref="D466:D466">IF(ISBLANK(_xlfn.xlookup(D$3,daily_items,_xlfn.xlookup($C466,daily_dates,big_daily_table))),NA(),_xlfn.xlookup(D$3,daily_items,_xlfn.xlookup($C466,daily_dates,big_daily_table)))</f>
        <v>#NAME?</v>
      </c>
      <c r="E466" s="1" t="e">
        <f aca="false" t="array" ref="E466:E466">IF(ISBLANK(_xlfn.xlookup(E$3,daily_items,_xlfn.xlookup($C466,daily_dates,big_daily_table))),NA(),_xlfn.xlookup(E$3,daily_items,_xlfn.xlookup($C466,daily_dates,big_daily_table)))</f>
        <v>#NAME?</v>
      </c>
    </row>
    <row r="467" customFormat="false" ht="14.25" hidden="false" customHeight="false" outlineLevel="0" collapsed="false">
      <c r="B467" s="7" t="n">
        <v>41372</v>
      </c>
      <c r="C467" s="7" t="n">
        <f aca="false">B467-WEEKDAY(B467)+1</f>
        <v>41371</v>
      </c>
      <c r="D467" s="1" t="e">
        <f aca="false" t="array" ref="D467:D467">IF(ISBLANK(_xlfn.xlookup(D$3,daily_items,_xlfn.xlookup($C467,daily_dates,big_daily_table))),NA(),_xlfn.xlookup(D$3,daily_items,_xlfn.xlookup($C467,daily_dates,big_daily_table)))</f>
        <v>#NAME?</v>
      </c>
      <c r="E467" s="1" t="e">
        <f aca="false" t="array" ref="E467:E467">IF(ISBLANK(_xlfn.xlookup(E$3,daily_items,_xlfn.xlookup($C467,daily_dates,big_daily_table))),NA(),_xlfn.xlookup(E$3,daily_items,_xlfn.xlookup($C467,daily_dates,big_daily_table)))</f>
        <v>#NAME?</v>
      </c>
    </row>
    <row r="468" customFormat="false" ht="14.25" hidden="false" customHeight="false" outlineLevel="0" collapsed="false">
      <c r="B468" s="7" t="n">
        <v>41373</v>
      </c>
      <c r="C468" s="7" t="n">
        <f aca="false">B468-WEEKDAY(B468)+1</f>
        <v>41371</v>
      </c>
      <c r="D468" s="1" t="e">
        <f aca="false" t="array" ref="D468:D468">IF(ISBLANK(_xlfn.xlookup(D$3,daily_items,_xlfn.xlookup($C468,daily_dates,big_daily_table))),NA(),_xlfn.xlookup(D$3,daily_items,_xlfn.xlookup($C468,daily_dates,big_daily_table)))</f>
        <v>#NAME?</v>
      </c>
      <c r="E468" s="1" t="e">
        <f aca="false" t="array" ref="E468:E468">IF(ISBLANK(_xlfn.xlookup(E$3,daily_items,_xlfn.xlookup($C468,daily_dates,big_daily_table))),NA(),_xlfn.xlookup(E$3,daily_items,_xlfn.xlookup($C468,daily_dates,big_daily_table)))</f>
        <v>#NAME?</v>
      </c>
    </row>
    <row r="469" customFormat="false" ht="14.25" hidden="false" customHeight="false" outlineLevel="0" collapsed="false">
      <c r="B469" s="7" t="n">
        <v>41374</v>
      </c>
      <c r="C469" s="7" t="n">
        <f aca="false">B469-WEEKDAY(B469)+1</f>
        <v>41371</v>
      </c>
      <c r="D469" s="1" t="e">
        <f aca="false" t="array" ref="D469:D469">IF(ISBLANK(_xlfn.xlookup(D$3,daily_items,_xlfn.xlookup($C469,daily_dates,big_daily_table))),NA(),_xlfn.xlookup(D$3,daily_items,_xlfn.xlookup($C469,daily_dates,big_daily_table)))</f>
        <v>#NAME?</v>
      </c>
      <c r="E469" s="1" t="e">
        <f aca="false" t="array" ref="E469:E469">IF(ISBLANK(_xlfn.xlookup(E$3,daily_items,_xlfn.xlookup($C469,daily_dates,big_daily_table))),NA(),_xlfn.xlookup(E$3,daily_items,_xlfn.xlookup($C469,daily_dates,big_daily_table)))</f>
        <v>#NAME?</v>
      </c>
    </row>
    <row r="470" customFormat="false" ht="14.25" hidden="false" customHeight="false" outlineLevel="0" collapsed="false">
      <c r="B470" s="7" t="n">
        <v>41375</v>
      </c>
      <c r="C470" s="7" t="n">
        <f aca="false">B470-WEEKDAY(B470)+1</f>
        <v>41371</v>
      </c>
      <c r="D470" s="1" t="e">
        <f aca="false" t="array" ref="D470:D470">IF(ISBLANK(_xlfn.xlookup(D$3,daily_items,_xlfn.xlookup($C470,daily_dates,big_daily_table))),NA(),_xlfn.xlookup(D$3,daily_items,_xlfn.xlookup($C470,daily_dates,big_daily_table)))</f>
        <v>#NAME?</v>
      </c>
      <c r="E470" s="1" t="e">
        <f aca="false" t="array" ref="E470:E470">IF(ISBLANK(_xlfn.xlookup(E$3,daily_items,_xlfn.xlookup($C470,daily_dates,big_daily_table))),NA(),_xlfn.xlookup(E$3,daily_items,_xlfn.xlookup($C470,daily_dates,big_daily_table)))</f>
        <v>#NAME?</v>
      </c>
    </row>
    <row r="471" customFormat="false" ht="14.25" hidden="false" customHeight="false" outlineLevel="0" collapsed="false">
      <c r="B471" s="7" t="n">
        <v>41376</v>
      </c>
      <c r="C471" s="7" t="n">
        <f aca="false">B471-WEEKDAY(B471)+1</f>
        <v>41371</v>
      </c>
      <c r="D471" s="1" t="e">
        <f aca="false" t="array" ref="D471:D471">IF(ISBLANK(_xlfn.xlookup(D$3,daily_items,_xlfn.xlookup($C471,daily_dates,big_daily_table))),NA(),_xlfn.xlookup(D$3,daily_items,_xlfn.xlookup($C471,daily_dates,big_daily_table)))</f>
        <v>#NAME?</v>
      </c>
      <c r="E471" s="1" t="e">
        <f aca="false" t="array" ref="E471:E471">IF(ISBLANK(_xlfn.xlookup(E$3,daily_items,_xlfn.xlookup($C471,daily_dates,big_daily_table))),NA(),_xlfn.xlookup(E$3,daily_items,_xlfn.xlookup($C471,daily_dates,big_daily_table)))</f>
        <v>#NAME?</v>
      </c>
    </row>
    <row r="472" customFormat="false" ht="14.25" hidden="false" customHeight="false" outlineLevel="0" collapsed="false">
      <c r="B472" s="7" t="n">
        <v>41377</v>
      </c>
      <c r="C472" s="7" t="n">
        <f aca="false">B472-WEEKDAY(B472)+1</f>
        <v>41371</v>
      </c>
      <c r="D472" s="1" t="e">
        <f aca="false" t="array" ref="D472:D472">IF(ISBLANK(_xlfn.xlookup(D$3,daily_items,_xlfn.xlookup($C472,daily_dates,big_daily_table))),NA(),_xlfn.xlookup(D$3,daily_items,_xlfn.xlookup($C472,daily_dates,big_daily_table)))</f>
        <v>#NAME?</v>
      </c>
      <c r="E472" s="1" t="e">
        <f aca="false" t="array" ref="E472:E472">IF(ISBLANK(_xlfn.xlookup(E$3,daily_items,_xlfn.xlookup($C472,daily_dates,big_daily_table))),NA(),_xlfn.xlookup(E$3,daily_items,_xlfn.xlookup($C472,daily_dates,big_daily_table)))</f>
        <v>#NAME?</v>
      </c>
    </row>
    <row r="473" customFormat="false" ht="14.25" hidden="false" customHeight="false" outlineLevel="0" collapsed="false">
      <c r="B473" s="7" t="n">
        <v>41378</v>
      </c>
      <c r="C473" s="7" t="n">
        <f aca="false">B473-WEEKDAY(B473)+1</f>
        <v>41378</v>
      </c>
      <c r="D473" s="1" t="e">
        <f aca="false" t="array" ref="D473:D473">IF(ISBLANK(_xlfn.xlookup(D$3,daily_items,_xlfn.xlookup($C473,daily_dates,big_daily_table))),NA(),_xlfn.xlookup(D$3,daily_items,_xlfn.xlookup($C473,daily_dates,big_daily_table)))</f>
        <v>#NAME?</v>
      </c>
      <c r="E473" s="1" t="e">
        <f aca="false" t="array" ref="E473:E473">IF(ISBLANK(_xlfn.xlookup(E$3,daily_items,_xlfn.xlookup($C473,daily_dates,big_daily_table))),NA(),_xlfn.xlookup(E$3,daily_items,_xlfn.xlookup($C473,daily_dates,big_daily_table)))</f>
        <v>#NAME?</v>
      </c>
    </row>
    <row r="474" customFormat="false" ht="14.25" hidden="false" customHeight="false" outlineLevel="0" collapsed="false">
      <c r="B474" s="7" t="n">
        <v>41379</v>
      </c>
      <c r="C474" s="7" t="n">
        <f aca="false">B474-WEEKDAY(B474)+1</f>
        <v>41378</v>
      </c>
      <c r="D474" s="1" t="e">
        <f aca="false" t="array" ref="D474:D474">IF(ISBLANK(_xlfn.xlookup(D$3,daily_items,_xlfn.xlookup($C474,daily_dates,big_daily_table))),NA(),_xlfn.xlookup(D$3,daily_items,_xlfn.xlookup($C474,daily_dates,big_daily_table)))</f>
        <v>#NAME?</v>
      </c>
      <c r="E474" s="1" t="e">
        <f aca="false" t="array" ref="E474:E474">IF(ISBLANK(_xlfn.xlookup(E$3,daily_items,_xlfn.xlookup($C474,daily_dates,big_daily_table))),NA(),_xlfn.xlookup(E$3,daily_items,_xlfn.xlookup($C474,daily_dates,big_daily_table)))</f>
        <v>#NAME?</v>
      </c>
    </row>
    <row r="475" customFormat="false" ht="14.25" hidden="false" customHeight="false" outlineLevel="0" collapsed="false">
      <c r="B475" s="7" t="n">
        <v>41380</v>
      </c>
      <c r="C475" s="7" t="n">
        <f aca="false">B475-WEEKDAY(B475)+1</f>
        <v>41378</v>
      </c>
      <c r="D475" s="1" t="e">
        <f aca="false" t="array" ref="D475:D475">IF(ISBLANK(_xlfn.xlookup(D$3,daily_items,_xlfn.xlookup($C475,daily_dates,big_daily_table))),NA(),_xlfn.xlookup(D$3,daily_items,_xlfn.xlookup($C475,daily_dates,big_daily_table)))</f>
        <v>#NAME?</v>
      </c>
      <c r="E475" s="1" t="e">
        <f aca="false" t="array" ref="E475:E475">IF(ISBLANK(_xlfn.xlookup(E$3,daily_items,_xlfn.xlookup($C475,daily_dates,big_daily_table))),NA(),_xlfn.xlookup(E$3,daily_items,_xlfn.xlookup($C475,daily_dates,big_daily_table)))</f>
        <v>#NAME?</v>
      </c>
    </row>
    <row r="476" customFormat="false" ht="14.25" hidden="false" customHeight="false" outlineLevel="0" collapsed="false">
      <c r="B476" s="7" t="n">
        <v>41381</v>
      </c>
      <c r="C476" s="7" t="n">
        <f aca="false">B476-WEEKDAY(B476)+1</f>
        <v>41378</v>
      </c>
      <c r="D476" s="1" t="e">
        <f aca="false" t="array" ref="D476:D476">IF(ISBLANK(_xlfn.xlookup(D$3,daily_items,_xlfn.xlookup($C476,daily_dates,big_daily_table))),NA(),_xlfn.xlookup(D$3,daily_items,_xlfn.xlookup($C476,daily_dates,big_daily_table)))</f>
        <v>#NAME?</v>
      </c>
      <c r="E476" s="1" t="e">
        <f aca="false" t="array" ref="E476:E476">IF(ISBLANK(_xlfn.xlookup(E$3,daily_items,_xlfn.xlookup($C476,daily_dates,big_daily_table))),NA(),_xlfn.xlookup(E$3,daily_items,_xlfn.xlookup($C476,daily_dates,big_daily_table)))</f>
        <v>#NAME?</v>
      </c>
    </row>
    <row r="477" customFormat="false" ht="14.25" hidden="false" customHeight="false" outlineLevel="0" collapsed="false">
      <c r="B477" s="7" t="n">
        <v>41382</v>
      </c>
      <c r="C477" s="7" t="n">
        <f aca="false">B477-WEEKDAY(B477)+1</f>
        <v>41378</v>
      </c>
      <c r="D477" s="1" t="e">
        <f aca="false" t="array" ref="D477:D477">IF(ISBLANK(_xlfn.xlookup(D$3,daily_items,_xlfn.xlookup($C477,daily_dates,big_daily_table))),NA(),_xlfn.xlookup(D$3,daily_items,_xlfn.xlookup($C477,daily_dates,big_daily_table)))</f>
        <v>#NAME?</v>
      </c>
      <c r="E477" s="1" t="e">
        <f aca="false" t="array" ref="E477:E477">IF(ISBLANK(_xlfn.xlookup(E$3,daily_items,_xlfn.xlookup($C477,daily_dates,big_daily_table))),NA(),_xlfn.xlookup(E$3,daily_items,_xlfn.xlookup($C477,daily_dates,big_daily_table)))</f>
        <v>#NAME?</v>
      </c>
    </row>
    <row r="478" customFormat="false" ht="14.25" hidden="false" customHeight="false" outlineLevel="0" collapsed="false">
      <c r="B478" s="7" t="n">
        <v>41383</v>
      </c>
      <c r="C478" s="7" t="n">
        <f aca="false">B478-WEEKDAY(B478)+1</f>
        <v>41378</v>
      </c>
      <c r="D478" s="1" t="e">
        <f aca="false" t="array" ref="D478:D478">IF(ISBLANK(_xlfn.xlookup(D$3,daily_items,_xlfn.xlookup($C478,daily_dates,big_daily_table))),NA(),_xlfn.xlookup(D$3,daily_items,_xlfn.xlookup($C478,daily_dates,big_daily_table)))</f>
        <v>#NAME?</v>
      </c>
      <c r="E478" s="1" t="e">
        <f aca="false" t="array" ref="E478:E478">IF(ISBLANK(_xlfn.xlookup(E$3,daily_items,_xlfn.xlookup($C478,daily_dates,big_daily_table))),NA(),_xlfn.xlookup(E$3,daily_items,_xlfn.xlookup($C478,daily_dates,big_daily_table)))</f>
        <v>#NAME?</v>
      </c>
    </row>
    <row r="479" customFormat="false" ht="14.25" hidden="false" customHeight="false" outlineLevel="0" collapsed="false">
      <c r="B479" s="7" t="n">
        <v>41384</v>
      </c>
      <c r="C479" s="7" t="n">
        <f aca="false">B479-WEEKDAY(B479)+1</f>
        <v>41378</v>
      </c>
      <c r="D479" s="1" t="e">
        <f aca="false" t="array" ref="D479:D479">IF(ISBLANK(_xlfn.xlookup(D$3,daily_items,_xlfn.xlookup($C479,daily_dates,big_daily_table))),NA(),_xlfn.xlookup(D$3,daily_items,_xlfn.xlookup($C479,daily_dates,big_daily_table)))</f>
        <v>#NAME?</v>
      </c>
      <c r="E479" s="1" t="e">
        <f aca="false" t="array" ref="E479:E479">IF(ISBLANK(_xlfn.xlookup(E$3,daily_items,_xlfn.xlookup($C479,daily_dates,big_daily_table))),NA(),_xlfn.xlookup(E$3,daily_items,_xlfn.xlookup($C479,daily_dates,big_daily_table)))</f>
        <v>#NAME?</v>
      </c>
    </row>
    <row r="480" customFormat="false" ht="14.25" hidden="false" customHeight="false" outlineLevel="0" collapsed="false">
      <c r="B480" s="7" t="n">
        <v>41385</v>
      </c>
      <c r="C480" s="7" t="n">
        <f aca="false">B480-WEEKDAY(B480)+1</f>
        <v>41385</v>
      </c>
      <c r="D480" s="1" t="e">
        <f aca="false" t="array" ref="D480:D480">IF(ISBLANK(_xlfn.xlookup(D$3,daily_items,_xlfn.xlookup($C480,daily_dates,big_daily_table))),NA(),_xlfn.xlookup(D$3,daily_items,_xlfn.xlookup($C480,daily_dates,big_daily_table)))</f>
        <v>#NAME?</v>
      </c>
      <c r="E480" s="1" t="e">
        <f aca="false" t="array" ref="E480:E480">IF(ISBLANK(_xlfn.xlookup(E$3,daily_items,_xlfn.xlookup($C480,daily_dates,big_daily_table))),NA(),_xlfn.xlookup(E$3,daily_items,_xlfn.xlookup($C480,daily_dates,big_daily_table)))</f>
        <v>#NAME?</v>
      </c>
    </row>
    <row r="481" customFormat="false" ht="14.25" hidden="false" customHeight="false" outlineLevel="0" collapsed="false">
      <c r="B481" s="7" t="n">
        <v>41386</v>
      </c>
      <c r="C481" s="7" t="n">
        <f aca="false">B481-WEEKDAY(B481)+1</f>
        <v>41385</v>
      </c>
      <c r="D481" s="1" t="e">
        <f aca="false" t="array" ref="D481:D481">IF(ISBLANK(_xlfn.xlookup(D$3,daily_items,_xlfn.xlookup($C481,daily_dates,big_daily_table))),NA(),_xlfn.xlookup(D$3,daily_items,_xlfn.xlookup($C481,daily_dates,big_daily_table)))</f>
        <v>#NAME?</v>
      </c>
      <c r="E481" s="1" t="e">
        <f aca="false" t="array" ref="E481:E481">IF(ISBLANK(_xlfn.xlookup(E$3,daily_items,_xlfn.xlookup($C481,daily_dates,big_daily_table))),NA(),_xlfn.xlookup(E$3,daily_items,_xlfn.xlookup($C481,daily_dates,big_daily_table)))</f>
        <v>#NAME?</v>
      </c>
    </row>
    <row r="482" customFormat="false" ht="14.25" hidden="false" customHeight="false" outlineLevel="0" collapsed="false">
      <c r="B482" s="7" t="n">
        <v>41387</v>
      </c>
      <c r="C482" s="7" t="n">
        <f aca="false">B482-WEEKDAY(B482)+1</f>
        <v>41385</v>
      </c>
      <c r="D482" s="1" t="e">
        <f aca="false" t="array" ref="D482:D482">IF(ISBLANK(_xlfn.xlookup(D$3,daily_items,_xlfn.xlookup($C482,daily_dates,big_daily_table))),NA(),_xlfn.xlookup(D$3,daily_items,_xlfn.xlookup($C482,daily_dates,big_daily_table)))</f>
        <v>#NAME?</v>
      </c>
      <c r="E482" s="1" t="e">
        <f aca="false" t="array" ref="E482:E482">IF(ISBLANK(_xlfn.xlookup(E$3,daily_items,_xlfn.xlookup($C482,daily_dates,big_daily_table))),NA(),_xlfn.xlookup(E$3,daily_items,_xlfn.xlookup($C482,daily_dates,big_daily_table)))</f>
        <v>#NAME?</v>
      </c>
    </row>
    <row r="483" customFormat="false" ht="14.25" hidden="false" customHeight="false" outlineLevel="0" collapsed="false">
      <c r="B483" s="7" t="n">
        <v>41388</v>
      </c>
      <c r="C483" s="7" t="n">
        <f aca="false">B483-WEEKDAY(B483)+1</f>
        <v>41385</v>
      </c>
      <c r="D483" s="1" t="e">
        <f aca="false" t="array" ref="D483:D483">IF(ISBLANK(_xlfn.xlookup(D$3,daily_items,_xlfn.xlookup($C483,daily_dates,big_daily_table))),NA(),_xlfn.xlookup(D$3,daily_items,_xlfn.xlookup($C483,daily_dates,big_daily_table)))</f>
        <v>#NAME?</v>
      </c>
      <c r="E483" s="1" t="e">
        <f aca="false" t="array" ref="E483:E483">IF(ISBLANK(_xlfn.xlookup(E$3,daily_items,_xlfn.xlookup($C483,daily_dates,big_daily_table))),NA(),_xlfn.xlookup(E$3,daily_items,_xlfn.xlookup($C483,daily_dates,big_daily_table)))</f>
        <v>#NAME?</v>
      </c>
    </row>
    <row r="484" customFormat="false" ht="14.25" hidden="false" customHeight="false" outlineLevel="0" collapsed="false">
      <c r="B484" s="7" t="n">
        <v>41389</v>
      </c>
      <c r="C484" s="7" t="n">
        <f aca="false">B484-WEEKDAY(B484)+1</f>
        <v>41385</v>
      </c>
      <c r="D484" s="1" t="e">
        <f aca="false" t="array" ref="D484:D484">IF(ISBLANK(_xlfn.xlookup(D$3,daily_items,_xlfn.xlookup($C484,daily_dates,big_daily_table))),NA(),_xlfn.xlookup(D$3,daily_items,_xlfn.xlookup($C484,daily_dates,big_daily_table)))</f>
        <v>#NAME?</v>
      </c>
      <c r="E484" s="1" t="e">
        <f aca="false" t="array" ref="E484:E484">IF(ISBLANK(_xlfn.xlookup(E$3,daily_items,_xlfn.xlookup($C484,daily_dates,big_daily_table))),NA(),_xlfn.xlookup(E$3,daily_items,_xlfn.xlookup($C484,daily_dates,big_daily_table)))</f>
        <v>#NAME?</v>
      </c>
    </row>
    <row r="485" customFormat="false" ht="14.25" hidden="false" customHeight="false" outlineLevel="0" collapsed="false">
      <c r="B485" s="7" t="n">
        <v>41390</v>
      </c>
      <c r="C485" s="7" t="n">
        <f aca="false">B485-WEEKDAY(B485)+1</f>
        <v>41385</v>
      </c>
      <c r="D485" s="1" t="e">
        <f aca="false" t="array" ref="D485:D485">IF(ISBLANK(_xlfn.xlookup(D$3,daily_items,_xlfn.xlookup($C485,daily_dates,big_daily_table))),NA(),_xlfn.xlookup(D$3,daily_items,_xlfn.xlookup($C485,daily_dates,big_daily_table)))</f>
        <v>#NAME?</v>
      </c>
      <c r="E485" s="1" t="e">
        <f aca="false" t="array" ref="E485:E485">IF(ISBLANK(_xlfn.xlookup(E$3,daily_items,_xlfn.xlookup($C485,daily_dates,big_daily_table))),NA(),_xlfn.xlookup(E$3,daily_items,_xlfn.xlookup($C485,daily_dates,big_daily_table)))</f>
        <v>#NAME?</v>
      </c>
    </row>
    <row r="486" customFormat="false" ht="14.25" hidden="false" customHeight="false" outlineLevel="0" collapsed="false">
      <c r="B486" s="7" t="n">
        <v>41391</v>
      </c>
      <c r="C486" s="7" t="n">
        <f aca="false">B486-WEEKDAY(B486)+1</f>
        <v>41385</v>
      </c>
      <c r="D486" s="1" t="e">
        <f aca="false" t="array" ref="D486:D486">IF(ISBLANK(_xlfn.xlookup(D$3,daily_items,_xlfn.xlookup($C486,daily_dates,big_daily_table))),NA(),_xlfn.xlookup(D$3,daily_items,_xlfn.xlookup($C486,daily_dates,big_daily_table)))</f>
        <v>#NAME?</v>
      </c>
      <c r="E486" s="1" t="e">
        <f aca="false" t="array" ref="E486:E486">IF(ISBLANK(_xlfn.xlookup(E$3,daily_items,_xlfn.xlookup($C486,daily_dates,big_daily_table))),NA(),_xlfn.xlookup(E$3,daily_items,_xlfn.xlookup($C486,daily_dates,big_daily_table)))</f>
        <v>#NAME?</v>
      </c>
    </row>
    <row r="487" customFormat="false" ht="14.25" hidden="false" customHeight="false" outlineLevel="0" collapsed="false">
      <c r="B487" s="7" t="n">
        <v>41392</v>
      </c>
      <c r="C487" s="7" t="n">
        <f aca="false">B487-WEEKDAY(B487)+1</f>
        <v>41392</v>
      </c>
      <c r="D487" s="1" t="e">
        <f aca="false" t="array" ref="D487:D487">IF(ISBLANK(_xlfn.xlookup(D$3,daily_items,_xlfn.xlookup($C487,daily_dates,big_daily_table))),NA(),_xlfn.xlookup(D$3,daily_items,_xlfn.xlookup($C487,daily_dates,big_daily_table)))</f>
        <v>#NAME?</v>
      </c>
      <c r="E487" s="1" t="e">
        <f aca="false" t="array" ref="E487:E487">IF(ISBLANK(_xlfn.xlookup(E$3,daily_items,_xlfn.xlookup($C487,daily_dates,big_daily_table))),NA(),_xlfn.xlookup(E$3,daily_items,_xlfn.xlookup($C487,daily_dates,big_daily_table)))</f>
        <v>#NAME?</v>
      </c>
    </row>
    <row r="488" customFormat="false" ht="14.25" hidden="false" customHeight="false" outlineLevel="0" collapsed="false">
      <c r="B488" s="7" t="n">
        <v>41393</v>
      </c>
      <c r="C488" s="7" t="n">
        <f aca="false">B488-WEEKDAY(B488)+1</f>
        <v>41392</v>
      </c>
      <c r="D488" s="1" t="e">
        <f aca="false" t="array" ref="D488:D488">IF(ISBLANK(_xlfn.xlookup(D$3,daily_items,_xlfn.xlookup($C488,daily_dates,big_daily_table))),NA(),_xlfn.xlookup(D$3,daily_items,_xlfn.xlookup($C488,daily_dates,big_daily_table)))</f>
        <v>#NAME?</v>
      </c>
      <c r="E488" s="1" t="e">
        <f aca="false" t="array" ref="E488:E488">IF(ISBLANK(_xlfn.xlookup(E$3,daily_items,_xlfn.xlookup($C488,daily_dates,big_daily_table))),NA(),_xlfn.xlookup(E$3,daily_items,_xlfn.xlookup($C488,daily_dates,big_daily_table)))</f>
        <v>#NAME?</v>
      </c>
    </row>
    <row r="489" customFormat="false" ht="14.25" hidden="false" customHeight="false" outlineLevel="0" collapsed="false">
      <c r="B489" s="7" t="n">
        <v>41394</v>
      </c>
      <c r="C489" s="7" t="n">
        <f aca="false">B489-WEEKDAY(B489)+1</f>
        <v>41392</v>
      </c>
      <c r="D489" s="1" t="e">
        <f aca="false" t="array" ref="D489:D489">IF(ISBLANK(_xlfn.xlookup(D$3,daily_items,_xlfn.xlookup($C489,daily_dates,big_daily_table))),NA(),_xlfn.xlookup(D$3,daily_items,_xlfn.xlookup($C489,daily_dates,big_daily_table)))</f>
        <v>#NAME?</v>
      </c>
      <c r="E489" s="1" t="e">
        <f aca="false" t="array" ref="E489:E489">IF(ISBLANK(_xlfn.xlookup(E$3,daily_items,_xlfn.xlookup($C489,daily_dates,big_daily_table))),NA(),_xlfn.xlookup(E$3,daily_items,_xlfn.xlookup($C489,daily_dates,big_daily_table)))</f>
        <v>#NAME?</v>
      </c>
    </row>
    <row r="490" customFormat="false" ht="14.25" hidden="false" customHeight="false" outlineLevel="0" collapsed="false">
      <c r="B490" s="7" t="n">
        <v>41395</v>
      </c>
      <c r="C490" s="7" t="n">
        <f aca="false">B490-WEEKDAY(B490)+1</f>
        <v>41392</v>
      </c>
      <c r="D490" s="1" t="e">
        <f aca="false" t="array" ref="D490:D490">IF(ISBLANK(_xlfn.xlookup(D$3,daily_items,_xlfn.xlookup($C490,daily_dates,big_daily_table))),NA(),_xlfn.xlookup(D$3,daily_items,_xlfn.xlookup($C490,daily_dates,big_daily_table)))</f>
        <v>#NAME?</v>
      </c>
      <c r="E490" s="1" t="e">
        <f aca="false" t="array" ref="E490:E490">IF(ISBLANK(_xlfn.xlookup(E$3,daily_items,_xlfn.xlookup($C490,daily_dates,big_daily_table))),NA(),_xlfn.xlookup(E$3,daily_items,_xlfn.xlookup($C490,daily_dates,big_daily_table)))</f>
        <v>#NAME?</v>
      </c>
    </row>
    <row r="491" customFormat="false" ht="14.25" hidden="false" customHeight="false" outlineLevel="0" collapsed="false">
      <c r="B491" s="7" t="n">
        <v>41396</v>
      </c>
      <c r="C491" s="7" t="n">
        <f aca="false">B491-WEEKDAY(B491)+1</f>
        <v>41392</v>
      </c>
      <c r="D491" s="1" t="e">
        <f aca="false" t="array" ref="D491:D491">IF(ISBLANK(_xlfn.xlookup(D$3,daily_items,_xlfn.xlookup($C491,daily_dates,big_daily_table))),NA(),_xlfn.xlookup(D$3,daily_items,_xlfn.xlookup($C491,daily_dates,big_daily_table)))</f>
        <v>#NAME?</v>
      </c>
      <c r="E491" s="1" t="e">
        <f aca="false" t="array" ref="E491:E491">IF(ISBLANK(_xlfn.xlookup(E$3,daily_items,_xlfn.xlookup($C491,daily_dates,big_daily_table))),NA(),_xlfn.xlookup(E$3,daily_items,_xlfn.xlookup($C491,daily_dates,big_daily_table)))</f>
        <v>#NAME?</v>
      </c>
    </row>
    <row r="492" customFormat="false" ht="14.25" hidden="false" customHeight="false" outlineLevel="0" collapsed="false">
      <c r="B492" s="7" t="n">
        <v>41397</v>
      </c>
      <c r="C492" s="7" t="n">
        <f aca="false">B492-WEEKDAY(B492)+1</f>
        <v>41392</v>
      </c>
      <c r="D492" s="1" t="e">
        <f aca="false" t="array" ref="D492:D492">IF(ISBLANK(_xlfn.xlookup(D$3,daily_items,_xlfn.xlookup($C492,daily_dates,big_daily_table))),NA(),_xlfn.xlookup(D$3,daily_items,_xlfn.xlookup($C492,daily_dates,big_daily_table)))</f>
        <v>#NAME?</v>
      </c>
      <c r="E492" s="1" t="e">
        <f aca="false" t="array" ref="E492:E492">IF(ISBLANK(_xlfn.xlookup(E$3,daily_items,_xlfn.xlookup($C492,daily_dates,big_daily_table))),NA(),_xlfn.xlookup(E$3,daily_items,_xlfn.xlookup($C492,daily_dates,big_daily_table)))</f>
        <v>#NAME?</v>
      </c>
    </row>
    <row r="493" customFormat="false" ht="14.25" hidden="false" customHeight="false" outlineLevel="0" collapsed="false">
      <c r="B493" s="7" t="n">
        <v>41398</v>
      </c>
      <c r="C493" s="7" t="n">
        <f aca="false">B493-WEEKDAY(B493)+1</f>
        <v>41392</v>
      </c>
      <c r="D493" s="1" t="e">
        <f aca="false" t="array" ref="D493:D493">IF(ISBLANK(_xlfn.xlookup(D$3,daily_items,_xlfn.xlookup($C493,daily_dates,big_daily_table))),NA(),_xlfn.xlookup(D$3,daily_items,_xlfn.xlookup($C493,daily_dates,big_daily_table)))</f>
        <v>#NAME?</v>
      </c>
      <c r="E493" s="1" t="e">
        <f aca="false" t="array" ref="E493:E493">IF(ISBLANK(_xlfn.xlookup(E$3,daily_items,_xlfn.xlookup($C493,daily_dates,big_daily_table))),NA(),_xlfn.xlookup(E$3,daily_items,_xlfn.xlookup($C493,daily_dates,big_daily_table)))</f>
        <v>#NAME?</v>
      </c>
    </row>
    <row r="494" customFormat="false" ht="14.25" hidden="false" customHeight="false" outlineLevel="0" collapsed="false">
      <c r="B494" s="7" t="n">
        <v>41399</v>
      </c>
      <c r="C494" s="7" t="n">
        <f aca="false">B494-WEEKDAY(B494)+1</f>
        <v>41399</v>
      </c>
      <c r="D494" s="1" t="e">
        <f aca="false" t="array" ref="D494:D494">IF(ISBLANK(_xlfn.xlookup(D$3,daily_items,_xlfn.xlookup($C494,daily_dates,big_daily_table))),NA(),_xlfn.xlookup(D$3,daily_items,_xlfn.xlookup($C494,daily_dates,big_daily_table)))</f>
        <v>#NAME?</v>
      </c>
      <c r="E494" s="1" t="e">
        <f aca="false" t="array" ref="E494:E494">IF(ISBLANK(_xlfn.xlookup(E$3,daily_items,_xlfn.xlookup($C494,daily_dates,big_daily_table))),NA(),_xlfn.xlookup(E$3,daily_items,_xlfn.xlookup($C494,daily_dates,big_daily_table)))</f>
        <v>#NAME?</v>
      </c>
    </row>
    <row r="495" customFormat="false" ht="14.25" hidden="false" customHeight="false" outlineLevel="0" collapsed="false">
      <c r="B495" s="7" t="n">
        <v>41400</v>
      </c>
      <c r="C495" s="7" t="n">
        <f aca="false">B495-WEEKDAY(B495)+1</f>
        <v>41399</v>
      </c>
      <c r="D495" s="1" t="e">
        <f aca="false" t="array" ref="D495:D495">IF(ISBLANK(_xlfn.xlookup(D$3,daily_items,_xlfn.xlookup($C495,daily_dates,big_daily_table))),NA(),_xlfn.xlookup(D$3,daily_items,_xlfn.xlookup($C495,daily_dates,big_daily_table)))</f>
        <v>#NAME?</v>
      </c>
      <c r="E495" s="1" t="e">
        <f aca="false" t="array" ref="E495:E495">IF(ISBLANK(_xlfn.xlookup(E$3,daily_items,_xlfn.xlookup($C495,daily_dates,big_daily_table))),NA(),_xlfn.xlookup(E$3,daily_items,_xlfn.xlookup($C495,daily_dates,big_daily_table)))</f>
        <v>#NAME?</v>
      </c>
    </row>
    <row r="496" customFormat="false" ht="14.25" hidden="false" customHeight="false" outlineLevel="0" collapsed="false">
      <c r="B496" s="7" t="n">
        <v>41401</v>
      </c>
      <c r="C496" s="7" t="n">
        <f aca="false">B496-WEEKDAY(B496)+1</f>
        <v>41399</v>
      </c>
      <c r="D496" s="1" t="e">
        <f aca="false" t="array" ref="D496:D496">IF(ISBLANK(_xlfn.xlookup(D$3,daily_items,_xlfn.xlookup($C496,daily_dates,big_daily_table))),NA(),_xlfn.xlookup(D$3,daily_items,_xlfn.xlookup($C496,daily_dates,big_daily_table)))</f>
        <v>#NAME?</v>
      </c>
      <c r="E496" s="1" t="e">
        <f aca="false" t="array" ref="E496:E496">IF(ISBLANK(_xlfn.xlookup(E$3,daily_items,_xlfn.xlookup($C496,daily_dates,big_daily_table))),NA(),_xlfn.xlookup(E$3,daily_items,_xlfn.xlookup($C496,daily_dates,big_daily_table)))</f>
        <v>#NAME?</v>
      </c>
    </row>
    <row r="497" customFormat="false" ht="14.25" hidden="false" customHeight="false" outlineLevel="0" collapsed="false">
      <c r="B497" s="7" t="n">
        <v>41402</v>
      </c>
      <c r="C497" s="7" t="n">
        <f aca="false">B497-WEEKDAY(B497)+1</f>
        <v>41399</v>
      </c>
      <c r="D497" s="1" t="e">
        <f aca="false" t="array" ref="D497:D497">IF(ISBLANK(_xlfn.xlookup(D$3,daily_items,_xlfn.xlookup($C497,daily_dates,big_daily_table))),NA(),_xlfn.xlookup(D$3,daily_items,_xlfn.xlookup($C497,daily_dates,big_daily_table)))</f>
        <v>#NAME?</v>
      </c>
      <c r="E497" s="1" t="e">
        <f aca="false" t="array" ref="E497:E497">IF(ISBLANK(_xlfn.xlookup(E$3,daily_items,_xlfn.xlookup($C497,daily_dates,big_daily_table))),NA(),_xlfn.xlookup(E$3,daily_items,_xlfn.xlookup($C497,daily_dates,big_daily_table)))</f>
        <v>#NAME?</v>
      </c>
    </row>
    <row r="498" customFormat="false" ht="14.25" hidden="false" customHeight="false" outlineLevel="0" collapsed="false">
      <c r="B498" s="7" t="n">
        <v>41403</v>
      </c>
      <c r="C498" s="7" t="n">
        <f aca="false">B498-WEEKDAY(B498)+1</f>
        <v>41399</v>
      </c>
      <c r="D498" s="1" t="e">
        <f aca="false" t="array" ref="D498:D498">IF(ISBLANK(_xlfn.xlookup(D$3,daily_items,_xlfn.xlookup($C498,daily_dates,big_daily_table))),NA(),_xlfn.xlookup(D$3,daily_items,_xlfn.xlookup($C498,daily_dates,big_daily_table)))</f>
        <v>#NAME?</v>
      </c>
      <c r="E498" s="1" t="e">
        <f aca="false" t="array" ref="E498:E498">IF(ISBLANK(_xlfn.xlookup(E$3,daily_items,_xlfn.xlookup($C498,daily_dates,big_daily_table))),NA(),_xlfn.xlookup(E$3,daily_items,_xlfn.xlookup($C498,daily_dates,big_daily_table)))</f>
        <v>#NAME?</v>
      </c>
    </row>
    <row r="499" customFormat="false" ht="14.25" hidden="false" customHeight="false" outlineLevel="0" collapsed="false">
      <c r="B499" s="7" t="n">
        <v>41404</v>
      </c>
      <c r="C499" s="7" t="n">
        <f aca="false">B499-WEEKDAY(B499)+1</f>
        <v>41399</v>
      </c>
      <c r="D499" s="1" t="e">
        <f aca="false" t="array" ref="D499:D499">IF(ISBLANK(_xlfn.xlookup(D$3,daily_items,_xlfn.xlookup($C499,daily_dates,big_daily_table))),NA(),_xlfn.xlookup(D$3,daily_items,_xlfn.xlookup($C499,daily_dates,big_daily_table)))</f>
        <v>#NAME?</v>
      </c>
      <c r="E499" s="1" t="e">
        <f aca="false" t="array" ref="E499:E499">IF(ISBLANK(_xlfn.xlookup(E$3,daily_items,_xlfn.xlookup($C499,daily_dates,big_daily_table))),NA(),_xlfn.xlookup(E$3,daily_items,_xlfn.xlookup($C499,daily_dates,big_daily_table)))</f>
        <v>#NAME?</v>
      </c>
    </row>
    <row r="500" customFormat="false" ht="14.25" hidden="false" customHeight="false" outlineLevel="0" collapsed="false">
      <c r="B500" s="7" t="n">
        <v>41405</v>
      </c>
      <c r="C500" s="7" t="n">
        <f aca="false">B500-WEEKDAY(B500)+1</f>
        <v>41399</v>
      </c>
      <c r="D500" s="1" t="e">
        <f aca="false" t="array" ref="D500:D500">IF(ISBLANK(_xlfn.xlookup(D$3,daily_items,_xlfn.xlookup($C500,daily_dates,big_daily_table))),NA(),_xlfn.xlookup(D$3,daily_items,_xlfn.xlookup($C500,daily_dates,big_daily_table)))</f>
        <v>#NAME?</v>
      </c>
      <c r="E500" s="1" t="e">
        <f aca="false" t="array" ref="E500:E500">IF(ISBLANK(_xlfn.xlookup(E$3,daily_items,_xlfn.xlookup($C500,daily_dates,big_daily_table))),NA(),_xlfn.xlookup(E$3,daily_items,_xlfn.xlookup($C500,daily_dates,big_daily_table)))</f>
        <v>#NAME?</v>
      </c>
    </row>
    <row r="501" customFormat="false" ht="14.25" hidden="false" customHeight="false" outlineLevel="0" collapsed="false">
      <c r="B501" s="7" t="n">
        <v>41406</v>
      </c>
      <c r="C501" s="7" t="n">
        <f aca="false">B501-WEEKDAY(B501)+1</f>
        <v>41406</v>
      </c>
      <c r="D501" s="1" t="e">
        <f aca="false" t="array" ref="D501:D501">IF(ISBLANK(_xlfn.xlookup(D$3,daily_items,_xlfn.xlookup($C501,daily_dates,big_daily_table))),NA(),_xlfn.xlookup(D$3,daily_items,_xlfn.xlookup($C501,daily_dates,big_daily_table)))</f>
        <v>#NAME?</v>
      </c>
      <c r="E501" s="1" t="e">
        <f aca="false" t="array" ref="E501:E501">IF(ISBLANK(_xlfn.xlookup(E$3,daily_items,_xlfn.xlookup($C501,daily_dates,big_daily_table))),NA(),_xlfn.xlookup(E$3,daily_items,_xlfn.xlookup($C501,daily_dates,big_daily_table)))</f>
        <v>#NAME?</v>
      </c>
    </row>
    <row r="502" customFormat="false" ht="14.25" hidden="false" customHeight="false" outlineLevel="0" collapsed="false">
      <c r="B502" s="7" t="n">
        <v>41407</v>
      </c>
      <c r="C502" s="7" t="n">
        <f aca="false">B502-WEEKDAY(B502)+1</f>
        <v>41406</v>
      </c>
      <c r="D502" s="1" t="e">
        <f aca="false" t="array" ref="D502:D502">IF(ISBLANK(_xlfn.xlookup(D$3,daily_items,_xlfn.xlookup($C502,daily_dates,big_daily_table))),NA(),_xlfn.xlookup(D$3,daily_items,_xlfn.xlookup($C502,daily_dates,big_daily_table)))</f>
        <v>#NAME?</v>
      </c>
      <c r="E502" s="1" t="e">
        <f aca="false" t="array" ref="E502:E502">IF(ISBLANK(_xlfn.xlookup(E$3,daily_items,_xlfn.xlookup($C502,daily_dates,big_daily_table))),NA(),_xlfn.xlookup(E$3,daily_items,_xlfn.xlookup($C502,daily_dates,big_daily_table)))</f>
        <v>#NAME?</v>
      </c>
    </row>
    <row r="503" customFormat="false" ht="14.25" hidden="false" customHeight="false" outlineLevel="0" collapsed="false">
      <c r="B503" s="7" t="n">
        <v>41408</v>
      </c>
      <c r="C503" s="7" t="n">
        <f aca="false">B503-WEEKDAY(B503)+1</f>
        <v>41406</v>
      </c>
      <c r="D503" s="1" t="e">
        <f aca="false" t="array" ref="D503:D503">IF(ISBLANK(_xlfn.xlookup(D$3,daily_items,_xlfn.xlookup($C503,daily_dates,big_daily_table))),NA(),_xlfn.xlookup(D$3,daily_items,_xlfn.xlookup($C503,daily_dates,big_daily_table)))</f>
        <v>#NAME?</v>
      </c>
      <c r="E503" s="1" t="e">
        <f aca="false" t="array" ref="E503:E503">IF(ISBLANK(_xlfn.xlookup(E$3,daily_items,_xlfn.xlookup($C503,daily_dates,big_daily_table))),NA(),_xlfn.xlookup(E$3,daily_items,_xlfn.xlookup($C503,daily_dates,big_daily_table)))</f>
        <v>#NAME?</v>
      </c>
    </row>
    <row r="504" customFormat="false" ht="14.25" hidden="false" customHeight="false" outlineLevel="0" collapsed="false">
      <c r="B504" s="7" t="n">
        <v>41409</v>
      </c>
      <c r="C504" s="7" t="n">
        <f aca="false">B504-WEEKDAY(B504)+1</f>
        <v>41406</v>
      </c>
      <c r="D504" s="1" t="e">
        <f aca="false" t="array" ref="D504:D504">IF(ISBLANK(_xlfn.xlookup(D$3,daily_items,_xlfn.xlookup($C504,daily_dates,big_daily_table))),NA(),_xlfn.xlookup(D$3,daily_items,_xlfn.xlookup($C504,daily_dates,big_daily_table)))</f>
        <v>#NAME?</v>
      </c>
      <c r="E504" s="1" t="e">
        <f aca="false" t="array" ref="E504:E504">IF(ISBLANK(_xlfn.xlookup(E$3,daily_items,_xlfn.xlookup($C504,daily_dates,big_daily_table))),NA(),_xlfn.xlookup(E$3,daily_items,_xlfn.xlookup($C504,daily_dates,big_daily_table)))</f>
        <v>#NAME?</v>
      </c>
    </row>
    <row r="505" customFormat="false" ht="14.25" hidden="false" customHeight="false" outlineLevel="0" collapsed="false">
      <c r="B505" s="7" t="n">
        <v>41410</v>
      </c>
      <c r="C505" s="7" t="n">
        <f aca="false">B505-WEEKDAY(B505)+1</f>
        <v>41406</v>
      </c>
      <c r="D505" s="1" t="e">
        <f aca="false" t="array" ref="D505:D505">IF(ISBLANK(_xlfn.xlookup(D$3,daily_items,_xlfn.xlookup($C505,daily_dates,big_daily_table))),NA(),_xlfn.xlookup(D$3,daily_items,_xlfn.xlookup($C505,daily_dates,big_daily_table)))</f>
        <v>#NAME?</v>
      </c>
      <c r="E505" s="1" t="e">
        <f aca="false" t="array" ref="E505:E505">IF(ISBLANK(_xlfn.xlookup(E$3,daily_items,_xlfn.xlookup($C505,daily_dates,big_daily_table))),NA(),_xlfn.xlookup(E$3,daily_items,_xlfn.xlookup($C505,daily_dates,big_daily_table)))</f>
        <v>#NAME?</v>
      </c>
    </row>
    <row r="506" customFormat="false" ht="14.25" hidden="false" customHeight="false" outlineLevel="0" collapsed="false">
      <c r="B506" s="7" t="n">
        <v>41411</v>
      </c>
      <c r="C506" s="7" t="n">
        <f aca="false">B506-WEEKDAY(B506)+1</f>
        <v>41406</v>
      </c>
      <c r="D506" s="1" t="e">
        <f aca="false" t="array" ref="D506:D506">IF(ISBLANK(_xlfn.xlookup(D$3,daily_items,_xlfn.xlookup($C506,daily_dates,big_daily_table))),NA(),_xlfn.xlookup(D$3,daily_items,_xlfn.xlookup($C506,daily_dates,big_daily_table)))</f>
        <v>#NAME?</v>
      </c>
      <c r="E506" s="1" t="e">
        <f aca="false" t="array" ref="E506:E506">IF(ISBLANK(_xlfn.xlookup(E$3,daily_items,_xlfn.xlookup($C506,daily_dates,big_daily_table))),NA(),_xlfn.xlookup(E$3,daily_items,_xlfn.xlookup($C506,daily_dates,big_daily_table)))</f>
        <v>#NAME?</v>
      </c>
    </row>
    <row r="507" customFormat="false" ht="14.25" hidden="false" customHeight="false" outlineLevel="0" collapsed="false">
      <c r="B507" s="7" t="n">
        <v>41412</v>
      </c>
      <c r="C507" s="7" t="n">
        <f aca="false">B507-WEEKDAY(B507)+1</f>
        <v>41406</v>
      </c>
      <c r="D507" s="1" t="e">
        <f aca="false" t="array" ref="D507:D507">IF(ISBLANK(_xlfn.xlookup(D$3,daily_items,_xlfn.xlookup($C507,daily_dates,big_daily_table))),NA(),_xlfn.xlookup(D$3,daily_items,_xlfn.xlookup($C507,daily_dates,big_daily_table)))</f>
        <v>#NAME?</v>
      </c>
      <c r="E507" s="1" t="e">
        <f aca="false" t="array" ref="E507:E507">IF(ISBLANK(_xlfn.xlookup(E$3,daily_items,_xlfn.xlookup($C507,daily_dates,big_daily_table))),NA(),_xlfn.xlookup(E$3,daily_items,_xlfn.xlookup($C507,daily_dates,big_daily_table)))</f>
        <v>#NAME?</v>
      </c>
    </row>
    <row r="508" customFormat="false" ht="14.25" hidden="false" customHeight="false" outlineLevel="0" collapsed="false">
      <c r="B508" s="7" t="n">
        <v>41413</v>
      </c>
      <c r="C508" s="7" t="n">
        <f aca="false">B508-WEEKDAY(B508)+1</f>
        <v>41413</v>
      </c>
      <c r="D508" s="1" t="e">
        <f aca="false" t="array" ref="D508:D508">IF(ISBLANK(_xlfn.xlookup(D$3,daily_items,_xlfn.xlookup($C508,daily_dates,big_daily_table))),NA(),_xlfn.xlookup(D$3,daily_items,_xlfn.xlookup($C508,daily_dates,big_daily_table)))</f>
        <v>#NAME?</v>
      </c>
      <c r="E508" s="1" t="e">
        <f aca="false" t="array" ref="E508:E508">IF(ISBLANK(_xlfn.xlookup(E$3,daily_items,_xlfn.xlookup($C508,daily_dates,big_daily_table))),NA(),_xlfn.xlookup(E$3,daily_items,_xlfn.xlookup($C508,daily_dates,big_daily_table)))</f>
        <v>#NAME?</v>
      </c>
    </row>
    <row r="509" customFormat="false" ht="14.25" hidden="false" customHeight="false" outlineLevel="0" collapsed="false">
      <c r="B509" s="7" t="n">
        <v>41414</v>
      </c>
      <c r="C509" s="7" t="n">
        <f aca="false">B509-WEEKDAY(B509)+1</f>
        <v>41413</v>
      </c>
      <c r="D509" s="1" t="e">
        <f aca="false" t="array" ref="D509:D509">IF(ISBLANK(_xlfn.xlookup(D$3,daily_items,_xlfn.xlookup($C509,daily_dates,big_daily_table))),NA(),_xlfn.xlookup(D$3,daily_items,_xlfn.xlookup($C509,daily_dates,big_daily_table)))</f>
        <v>#NAME?</v>
      </c>
      <c r="E509" s="1" t="e">
        <f aca="false" t="array" ref="E509:E509">IF(ISBLANK(_xlfn.xlookup(E$3,daily_items,_xlfn.xlookup($C509,daily_dates,big_daily_table))),NA(),_xlfn.xlookup(E$3,daily_items,_xlfn.xlookup($C509,daily_dates,big_daily_table)))</f>
        <v>#NAME?</v>
      </c>
    </row>
    <row r="510" customFormat="false" ht="14.25" hidden="false" customHeight="false" outlineLevel="0" collapsed="false">
      <c r="B510" s="7" t="n">
        <v>41415</v>
      </c>
      <c r="C510" s="7" t="n">
        <f aca="false">B510-WEEKDAY(B510)+1</f>
        <v>41413</v>
      </c>
      <c r="D510" s="1" t="e">
        <f aca="false" t="array" ref="D510:D510">IF(ISBLANK(_xlfn.xlookup(D$3,daily_items,_xlfn.xlookup($C510,daily_dates,big_daily_table))),NA(),_xlfn.xlookup(D$3,daily_items,_xlfn.xlookup($C510,daily_dates,big_daily_table)))</f>
        <v>#NAME?</v>
      </c>
      <c r="E510" s="1" t="e">
        <f aca="false" t="array" ref="E510:E510">IF(ISBLANK(_xlfn.xlookup(E$3,daily_items,_xlfn.xlookup($C510,daily_dates,big_daily_table))),NA(),_xlfn.xlookup(E$3,daily_items,_xlfn.xlookup($C510,daily_dates,big_daily_table)))</f>
        <v>#NAME?</v>
      </c>
    </row>
    <row r="511" customFormat="false" ht="14.25" hidden="false" customHeight="false" outlineLevel="0" collapsed="false">
      <c r="B511" s="7" t="n">
        <v>41416</v>
      </c>
      <c r="C511" s="7" t="n">
        <f aca="false">B511-WEEKDAY(B511)+1</f>
        <v>41413</v>
      </c>
      <c r="D511" s="1" t="e">
        <f aca="false" t="array" ref="D511:D511">IF(ISBLANK(_xlfn.xlookup(D$3,daily_items,_xlfn.xlookup($C511,daily_dates,big_daily_table))),NA(),_xlfn.xlookup(D$3,daily_items,_xlfn.xlookup($C511,daily_dates,big_daily_table)))</f>
        <v>#NAME?</v>
      </c>
      <c r="E511" s="1" t="e">
        <f aca="false" t="array" ref="E511:E511">IF(ISBLANK(_xlfn.xlookup(E$3,daily_items,_xlfn.xlookup($C511,daily_dates,big_daily_table))),NA(),_xlfn.xlookup(E$3,daily_items,_xlfn.xlookup($C511,daily_dates,big_daily_table)))</f>
        <v>#NAME?</v>
      </c>
    </row>
    <row r="512" customFormat="false" ht="14.25" hidden="false" customHeight="false" outlineLevel="0" collapsed="false">
      <c r="B512" s="7" t="n">
        <v>41417</v>
      </c>
      <c r="C512" s="7" t="n">
        <f aca="false">B512-WEEKDAY(B512)+1</f>
        <v>41413</v>
      </c>
      <c r="D512" s="1" t="e">
        <f aca="false" t="array" ref="D512:D512">IF(ISBLANK(_xlfn.xlookup(D$3,daily_items,_xlfn.xlookup($C512,daily_dates,big_daily_table))),NA(),_xlfn.xlookup(D$3,daily_items,_xlfn.xlookup($C512,daily_dates,big_daily_table)))</f>
        <v>#NAME?</v>
      </c>
      <c r="E512" s="1" t="e">
        <f aca="false" t="array" ref="E512:E512">IF(ISBLANK(_xlfn.xlookup(E$3,daily_items,_xlfn.xlookup($C512,daily_dates,big_daily_table))),NA(),_xlfn.xlookup(E$3,daily_items,_xlfn.xlookup($C512,daily_dates,big_daily_table)))</f>
        <v>#NAME?</v>
      </c>
    </row>
    <row r="513" customFormat="false" ht="14.25" hidden="false" customHeight="false" outlineLevel="0" collapsed="false">
      <c r="B513" s="7" t="n">
        <v>41418</v>
      </c>
      <c r="C513" s="7" t="n">
        <f aca="false">B513-WEEKDAY(B513)+1</f>
        <v>41413</v>
      </c>
      <c r="D513" s="1" t="e">
        <f aca="false" t="array" ref="D513:D513">IF(ISBLANK(_xlfn.xlookup(D$3,daily_items,_xlfn.xlookup($C513,daily_dates,big_daily_table))),NA(),_xlfn.xlookup(D$3,daily_items,_xlfn.xlookup($C513,daily_dates,big_daily_table)))</f>
        <v>#NAME?</v>
      </c>
      <c r="E513" s="1" t="e">
        <f aca="false" t="array" ref="E513:E513">IF(ISBLANK(_xlfn.xlookup(E$3,daily_items,_xlfn.xlookup($C513,daily_dates,big_daily_table))),NA(),_xlfn.xlookup(E$3,daily_items,_xlfn.xlookup($C513,daily_dates,big_daily_table)))</f>
        <v>#NAME?</v>
      </c>
    </row>
    <row r="514" customFormat="false" ht="14.25" hidden="false" customHeight="false" outlineLevel="0" collapsed="false">
      <c r="B514" s="7" t="n">
        <v>41419</v>
      </c>
      <c r="C514" s="7" t="n">
        <f aca="false">B514-WEEKDAY(B514)+1</f>
        <v>41413</v>
      </c>
      <c r="D514" s="1" t="e">
        <f aca="false" t="array" ref="D514:D514">IF(ISBLANK(_xlfn.xlookup(D$3,daily_items,_xlfn.xlookup($C514,daily_dates,big_daily_table))),NA(),_xlfn.xlookup(D$3,daily_items,_xlfn.xlookup($C514,daily_dates,big_daily_table)))</f>
        <v>#NAME?</v>
      </c>
      <c r="E514" s="1" t="e">
        <f aca="false" t="array" ref="E514:E514">IF(ISBLANK(_xlfn.xlookup(E$3,daily_items,_xlfn.xlookup($C514,daily_dates,big_daily_table))),NA(),_xlfn.xlookup(E$3,daily_items,_xlfn.xlookup($C514,daily_dates,big_daily_table)))</f>
        <v>#NAME?</v>
      </c>
    </row>
    <row r="515" customFormat="false" ht="14.25" hidden="false" customHeight="false" outlineLevel="0" collapsed="false">
      <c r="B515" s="7" t="n">
        <v>41420</v>
      </c>
      <c r="C515" s="7" t="n">
        <f aca="false">B515-WEEKDAY(B515)+1</f>
        <v>41420</v>
      </c>
      <c r="D515" s="1" t="e">
        <f aca="false" t="array" ref="D515:D515">IF(ISBLANK(_xlfn.xlookup(D$3,daily_items,_xlfn.xlookup($C515,daily_dates,big_daily_table))),NA(),_xlfn.xlookup(D$3,daily_items,_xlfn.xlookup($C515,daily_dates,big_daily_table)))</f>
        <v>#NAME?</v>
      </c>
      <c r="E515" s="1" t="e">
        <f aca="false" t="array" ref="E515:E515">IF(ISBLANK(_xlfn.xlookup(E$3,daily_items,_xlfn.xlookup($C515,daily_dates,big_daily_table))),NA(),_xlfn.xlookup(E$3,daily_items,_xlfn.xlookup($C515,daily_dates,big_daily_table)))</f>
        <v>#NAME?</v>
      </c>
    </row>
    <row r="516" customFormat="false" ht="14.25" hidden="false" customHeight="false" outlineLevel="0" collapsed="false">
      <c r="B516" s="7" t="n">
        <v>41421</v>
      </c>
      <c r="C516" s="7" t="n">
        <f aca="false">B516-WEEKDAY(B516)+1</f>
        <v>41420</v>
      </c>
      <c r="D516" s="1" t="e">
        <f aca="false" t="array" ref="D516:D516">IF(ISBLANK(_xlfn.xlookup(D$3,daily_items,_xlfn.xlookup($C516,daily_dates,big_daily_table))),NA(),_xlfn.xlookup(D$3,daily_items,_xlfn.xlookup($C516,daily_dates,big_daily_table)))</f>
        <v>#NAME?</v>
      </c>
      <c r="E516" s="1" t="e">
        <f aca="false" t="array" ref="E516:E516">IF(ISBLANK(_xlfn.xlookup(E$3,daily_items,_xlfn.xlookup($C516,daily_dates,big_daily_table))),NA(),_xlfn.xlookup(E$3,daily_items,_xlfn.xlookup($C516,daily_dates,big_daily_table)))</f>
        <v>#NAME?</v>
      </c>
    </row>
    <row r="517" customFormat="false" ht="14.25" hidden="false" customHeight="false" outlineLevel="0" collapsed="false">
      <c r="B517" s="7" t="n">
        <v>41422</v>
      </c>
      <c r="C517" s="7" t="n">
        <f aca="false">B517-WEEKDAY(B517)+1</f>
        <v>41420</v>
      </c>
      <c r="D517" s="1" t="e">
        <f aca="false" t="array" ref="D517:D517">IF(ISBLANK(_xlfn.xlookup(D$3,daily_items,_xlfn.xlookup($C517,daily_dates,big_daily_table))),NA(),_xlfn.xlookup(D$3,daily_items,_xlfn.xlookup($C517,daily_dates,big_daily_table)))</f>
        <v>#NAME?</v>
      </c>
      <c r="E517" s="1" t="e">
        <f aca="false" t="array" ref="E517:E517">IF(ISBLANK(_xlfn.xlookup(E$3,daily_items,_xlfn.xlookup($C517,daily_dates,big_daily_table))),NA(),_xlfn.xlookup(E$3,daily_items,_xlfn.xlookup($C517,daily_dates,big_daily_table)))</f>
        <v>#NAME?</v>
      </c>
    </row>
    <row r="518" customFormat="false" ht="14.25" hidden="false" customHeight="false" outlineLevel="0" collapsed="false">
      <c r="B518" s="7" t="n">
        <v>41423</v>
      </c>
      <c r="C518" s="7" t="n">
        <f aca="false">B518-WEEKDAY(B518)+1</f>
        <v>41420</v>
      </c>
      <c r="D518" s="1" t="e">
        <f aca="false" t="array" ref="D518:D518">IF(ISBLANK(_xlfn.xlookup(D$3,daily_items,_xlfn.xlookup($C518,daily_dates,big_daily_table))),NA(),_xlfn.xlookup(D$3,daily_items,_xlfn.xlookup($C518,daily_dates,big_daily_table)))</f>
        <v>#NAME?</v>
      </c>
      <c r="E518" s="1" t="e">
        <f aca="false" t="array" ref="E518:E518">IF(ISBLANK(_xlfn.xlookup(E$3,daily_items,_xlfn.xlookup($C518,daily_dates,big_daily_table))),NA(),_xlfn.xlookup(E$3,daily_items,_xlfn.xlookup($C518,daily_dates,big_daily_table)))</f>
        <v>#NAME?</v>
      </c>
    </row>
    <row r="519" customFormat="false" ht="14.25" hidden="false" customHeight="false" outlineLevel="0" collapsed="false">
      <c r="B519" s="7" t="n">
        <v>41424</v>
      </c>
      <c r="C519" s="7" t="n">
        <f aca="false">B519-WEEKDAY(B519)+1</f>
        <v>41420</v>
      </c>
      <c r="D519" s="1" t="e">
        <f aca="false" t="array" ref="D519:D519">IF(ISBLANK(_xlfn.xlookup(D$3,daily_items,_xlfn.xlookup($C519,daily_dates,big_daily_table))),NA(),_xlfn.xlookup(D$3,daily_items,_xlfn.xlookup($C519,daily_dates,big_daily_table)))</f>
        <v>#NAME?</v>
      </c>
      <c r="E519" s="1" t="e">
        <f aca="false" t="array" ref="E519:E519">IF(ISBLANK(_xlfn.xlookup(E$3,daily_items,_xlfn.xlookup($C519,daily_dates,big_daily_table))),NA(),_xlfn.xlookup(E$3,daily_items,_xlfn.xlookup($C519,daily_dates,big_daily_table)))</f>
        <v>#NAME?</v>
      </c>
    </row>
    <row r="520" customFormat="false" ht="14.25" hidden="false" customHeight="false" outlineLevel="0" collapsed="false">
      <c r="B520" s="7" t="n">
        <v>41425</v>
      </c>
      <c r="C520" s="7" t="n">
        <f aca="false">B520-WEEKDAY(B520)+1</f>
        <v>41420</v>
      </c>
      <c r="D520" s="1" t="e">
        <f aca="false" t="array" ref="D520:D520">IF(ISBLANK(_xlfn.xlookup(D$3,daily_items,_xlfn.xlookup($C520,daily_dates,big_daily_table))),NA(),_xlfn.xlookup(D$3,daily_items,_xlfn.xlookup($C520,daily_dates,big_daily_table)))</f>
        <v>#NAME?</v>
      </c>
      <c r="E520" s="1" t="e">
        <f aca="false" t="array" ref="E520:E520">IF(ISBLANK(_xlfn.xlookup(E$3,daily_items,_xlfn.xlookup($C520,daily_dates,big_daily_table))),NA(),_xlfn.xlookup(E$3,daily_items,_xlfn.xlookup($C520,daily_dates,big_daily_table)))</f>
        <v>#NAME?</v>
      </c>
    </row>
    <row r="521" customFormat="false" ht="14.25" hidden="false" customHeight="false" outlineLevel="0" collapsed="false">
      <c r="B521" s="7" t="n">
        <v>41426</v>
      </c>
      <c r="C521" s="7" t="n">
        <f aca="false">B521-WEEKDAY(B521)+1</f>
        <v>41420</v>
      </c>
      <c r="D521" s="1" t="e">
        <f aca="false" t="array" ref="D521:D521">IF(ISBLANK(_xlfn.xlookup(D$3,daily_items,_xlfn.xlookup($C521,daily_dates,big_daily_table))),NA(),_xlfn.xlookup(D$3,daily_items,_xlfn.xlookup($C521,daily_dates,big_daily_table)))</f>
        <v>#NAME?</v>
      </c>
      <c r="E521" s="1" t="e">
        <f aca="false" t="array" ref="E521:E521">IF(ISBLANK(_xlfn.xlookup(E$3,daily_items,_xlfn.xlookup($C521,daily_dates,big_daily_table))),NA(),_xlfn.xlookup(E$3,daily_items,_xlfn.xlookup($C521,daily_dates,big_daily_table)))</f>
        <v>#NAME?</v>
      </c>
    </row>
    <row r="522" customFormat="false" ht="14.25" hidden="false" customHeight="false" outlineLevel="0" collapsed="false">
      <c r="B522" s="7" t="n">
        <v>41427</v>
      </c>
      <c r="C522" s="7" t="n">
        <f aca="false">B522-WEEKDAY(B522)+1</f>
        <v>41427</v>
      </c>
      <c r="D522" s="1" t="e">
        <f aca="false" t="array" ref="D522:D522">IF(ISBLANK(_xlfn.xlookup(D$3,daily_items,_xlfn.xlookup($C522,daily_dates,big_daily_table))),NA(),_xlfn.xlookup(D$3,daily_items,_xlfn.xlookup($C522,daily_dates,big_daily_table)))</f>
        <v>#NAME?</v>
      </c>
      <c r="E522" s="1" t="e">
        <f aca="false" t="array" ref="E522:E522">IF(ISBLANK(_xlfn.xlookup(E$3,daily_items,_xlfn.xlookup($C522,daily_dates,big_daily_table))),NA(),_xlfn.xlookup(E$3,daily_items,_xlfn.xlookup($C522,daily_dates,big_daily_table)))</f>
        <v>#NAME?</v>
      </c>
    </row>
    <row r="523" customFormat="false" ht="14.25" hidden="false" customHeight="false" outlineLevel="0" collapsed="false">
      <c r="B523" s="7" t="n">
        <v>41428</v>
      </c>
      <c r="C523" s="7" t="n">
        <f aca="false">B523-WEEKDAY(B523)+1</f>
        <v>41427</v>
      </c>
      <c r="D523" s="1" t="e">
        <f aca="false" t="array" ref="D523:D523">IF(ISBLANK(_xlfn.xlookup(D$3,daily_items,_xlfn.xlookup($C523,daily_dates,big_daily_table))),NA(),_xlfn.xlookup(D$3,daily_items,_xlfn.xlookup($C523,daily_dates,big_daily_table)))</f>
        <v>#NAME?</v>
      </c>
      <c r="E523" s="1" t="e">
        <f aca="false" t="array" ref="E523:E523">IF(ISBLANK(_xlfn.xlookup(E$3,daily_items,_xlfn.xlookup($C523,daily_dates,big_daily_table))),NA(),_xlfn.xlookup(E$3,daily_items,_xlfn.xlookup($C523,daily_dates,big_daily_table)))</f>
        <v>#NAME?</v>
      </c>
    </row>
    <row r="524" customFormat="false" ht="14.25" hidden="false" customHeight="false" outlineLevel="0" collapsed="false">
      <c r="B524" s="7" t="n">
        <v>41429</v>
      </c>
      <c r="C524" s="7" t="n">
        <f aca="false">B524-WEEKDAY(B524)+1</f>
        <v>41427</v>
      </c>
      <c r="D524" s="1" t="e">
        <f aca="false" t="array" ref="D524:D524">IF(ISBLANK(_xlfn.xlookup(D$3,daily_items,_xlfn.xlookup($C524,daily_dates,big_daily_table))),NA(),_xlfn.xlookup(D$3,daily_items,_xlfn.xlookup($C524,daily_dates,big_daily_table)))</f>
        <v>#NAME?</v>
      </c>
      <c r="E524" s="1" t="e">
        <f aca="false" t="array" ref="E524:E524">IF(ISBLANK(_xlfn.xlookup(E$3,daily_items,_xlfn.xlookup($C524,daily_dates,big_daily_table))),NA(),_xlfn.xlookup(E$3,daily_items,_xlfn.xlookup($C524,daily_dates,big_daily_table)))</f>
        <v>#NAME?</v>
      </c>
    </row>
    <row r="525" customFormat="false" ht="14.25" hidden="false" customHeight="false" outlineLevel="0" collapsed="false">
      <c r="B525" s="7" t="n">
        <v>41430</v>
      </c>
      <c r="C525" s="7" t="n">
        <f aca="false">B525-WEEKDAY(B525)+1</f>
        <v>41427</v>
      </c>
      <c r="D525" s="1" t="e">
        <f aca="false" t="array" ref="D525:D525">IF(ISBLANK(_xlfn.xlookup(D$3,daily_items,_xlfn.xlookup($C525,daily_dates,big_daily_table))),NA(),_xlfn.xlookup(D$3,daily_items,_xlfn.xlookup($C525,daily_dates,big_daily_table)))</f>
        <v>#NAME?</v>
      </c>
      <c r="E525" s="1" t="e">
        <f aca="false" t="array" ref="E525:E525">IF(ISBLANK(_xlfn.xlookup(E$3,daily_items,_xlfn.xlookup($C525,daily_dates,big_daily_table))),NA(),_xlfn.xlookup(E$3,daily_items,_xlfn.xlookup($C525,daily_dates,big_daily_table)))</f>
        <v>#NAME?</v>
      </c>
    </row>
    <row r="526" customFormat="false" ht="14.25" hidden="false" customHeight="false" outlineLevel="0" collapsed="false">
      <c r="B526" s="7" t="n">
        <v>41431</v>
      </c>
      <c r="C526" s="7" t="n">
        <f aca="false">B526-WEEKDAY(B526)+1</f>
        <v>41427</v>
      </c>
      <c r="D526" s="1" t="e">
        <f aca="false" t="array" ref="D526:D526">IF(ISBLANK(_xlfn.xlookup(D$3,daily_items,_xlfn.xlookup($C526,daily_dates,big_daily_table))),NA(),_xlfn.xlookup(D$3,daily_items,_xlfn.xlookup($C526,daily_dates,big_daily_table)))</f>
        <v>#NAME?</v>
      </c>
      <c r="E526" s="1" t="e">
        <f aca="false" t="array" ref="E526:E526">IF(ISBLANK(_xlfn.xlookup(E$3,daily_items,_xlfn.xlookup($C526,daily_dates,big_daily_table))),NA(),_xlfn.xlookup(E$3,daily_items,_xlfn.xlookup($C526,daily_dates,big_daily_table)))</f>
        <v>#NAME?</v>
      </c>
    </row>
    <row r="527" customFormat="false" ht="14.25" hidden="false" customHeight="false" outlineLevel="0" collapsed="false">
      <c r="B527" s="7" t="n">
        <v>41432</v>
      </c>
      <c r="C527" s="7" t="n">
        <f aca="false">B527-WEEKDAY(B527)+1</f>
        <v>41427</v>
      </c>
      <c r="D527" s="1" t="e">
        <f aca="false" t="array" ref="D527:D527">IF(ISBLANK(_xlfn.xlookup(D$3,daily_items,_xlfn.xlookup($C527,daily_dates,big_daily_table))),NA(),_xlfn.xlookup(D$3,daily_items,_xlfn.xlookup($C527,daily_dates,big_daily_table)))</f>
        <v>#NAME?</v>
      </c>
      <c r="E527" s="1" t="e">
        <f aca="false" t="array" ref="E527:E527">IF(ISBLANK(_xlfn.xlookup(E$3,daily_items,_xlfn.xlookup($C527,daily_dates,big_daily_table))),NA(),_xlfn.xlookup(E$3,daily_items,_xlfn.xlookup($C527,daily_dates,big_daily_table)))</f>
        <v>#NAME?</v>
      </c>
    </row>
    <row r="528" customFormat="false" ht="14.25" hidden="false" customHeight="false" outlineLevel="0" collapsed="false">
      <c r="B528" s="7" t="n">
        <v>41433</v>
      </c>
      <c r="C528" s="7" t="n">
        <f aca="false">B528-WEEKDAY(B528)+1</f>
        <v>41427</v>
      </c>
      <c r="D528" s="1" t="e">
        <f aca="false" t="array" ref="D528:D528">IF(ISBLANK(_xlfn.xlookup(D$3,daily_items,_xlfn.xlookup($C528,daily_dates,big_daily_table))),NA(),_xlfn.xlookup(D$3,daily_items,_xlfn.xlookup($C528,daily_dates,big_daily_table)))</f>
        <v>#NAME?</v>
      </c>
      <c r="E528" s="1" t="e">
        <f aca="false" t="array" ref="E528:E528">IF(ISBLANK(_xlfn.xlookup(E$3,daily_items,_xlfn.xlookup($C528,daily_dates,big_daily_table))),NA(),_xlfn.xlookup(E$3,daily_items,_xlfn.xlookup($C528,daily_dates,big_daily_table)))</f>
        <v>#NAME?</v>
      </c>
    </row>
    <row r="529" customFormat="false" ht="14.25" hidden="false" customHeight="false" outlineLevel="0" collapsed="false">
      <c r="B529" s="7" t="n">
        <v>41434</v>
      </c>
      <c r="C529" s="7" t="n">
        <f aca="false">B529-WEEKDAY(B529)+1</f>
        <v>41434</v>
      </c>
      <c r="D529" s="1" t="e">
        <f aca="false" t="array" ref="D529:D529">IF(ISBLANK(_xlfn.xlookup(D$3,daily_items,_xlfn.xlookup($C529,daily_dates,big_daily_table))),NA(),_xlfn.xlookup(D$3,daily_items,_xlfn.xlookup($C529,daily_dates,big_daily_table)))</f>
        <v>#NAME?</v>
      </c>
      <c r="E529" s="1" t="e">
        <f aca="false" t="array" ref="E529:E529">IF(ISBLANK(_xlfn.xlookup(E$3,daily_items,_xlfn.xlookup($C529,daily_dates,big_daily_table))),NA(),_xlfn.xlookup(E$3,daily_items,_xlfn.xlookup($C529,daily_dates,big_daily_table)))</f>
        <v>#NAME?</v>
      </c>
    </row>
    <row r="530" customFormat="false" ht="14.25" hidden="false" customHeight="false" outlineLevel="0" collapsed="false">
      <c r="B530" s="7" t="n">
        <v>41435</v>
      </c>
      <c r="C530" s="7" t="n">
        <f aca="false">B530-WEEKDAY(B530)+1</f>
        <v>41434</v>
      </c>
      <c r="D530" s="1" t="e">
        <f aca="false" t="array" ref="D530:D530">IF(ISBLANK(_xlfn.xlookup(D$3,daily_items,_xlfn.xlookup($C530,daily_dates,big_daily_table))),NA(),_xlfn.xlookup(D$3,daily_items,_xlfn.xlookup($C530,daily_dates,big_daily_table)))</f>
        <v>#NAME?</v>
      </c>
      <c r="E530" s="1" t="e">
        <f aca="false" t="array" ref="E530:E530">IF(ISBLANK(_xlfn.xlookup(E$3,daily_items,_xlfn.xlookup($C530,daily_dates,big_daily_table))),NA(),_xlfn.xlookup(E$3,daily_items,_xlfn.xlookup($C530,daily_dates,big_daily_table)))</f>
        <v>#NAME?</v>
      </c>
    </row>
    <row r="531" customFormat="false" ht="14.25" hidden="false" customHeight="false" outlineLevel="0" collapsed="false">
      <c r="B531" s="7" t="n">
        <v>41436</v>
      </c>
      <c r="C531" s="7" t="n">
        <f aca="false">B531-WEEKDAY(B531)+1</f>
        <v>41434</v>
      </c>
      <c r="D531" s="1" t="e">
        <f aca="false" t="array" ref="D531:D531">IF(ISBLANK(_xlfn.xlookup(D$3,daily_items,_xlfn.xlookup($C531,daily_dates,big_daily_table))),NA(),_xlfn.xlookup(D$3,daily_items,_xlfn.xlookup($C531,daily_dates,big_daily_table)))</f>
        <v>#NAME?</v>
      </c>
      <c r="E531" s="1" t="e">
        <f aca="false" t="array" ref="E531:E531">IF(ISBLANK(_xlfn.xlookup(E$3,daily_items,_xlfn.xlookup($C531,daily_dates,big_daily_table))),NA(),_xlfn.xlookup(E$3,daily_items,_xlfn.xlookup($C531,daily_dates,big_daily_table)))</f>
        <v>#NAME?</v>
      </c>
    </row>
    <row r="532" customFormat="false" ht="14.25" hidden="false" customHeight="false" outlineLevel="0" collapsed="false">
      <c r="B532" s="7" t="n">
        <v>41437</v>
      </c>
      <c r="C532" s="7" t="n">
        <f aca="false">B532-WEEKDAY(B532)+1</f>
        <v>41434</v>
      </c>
      <c r="D532" s="1" t="e">
        <f aca="false" t="array" ref="D532:D532">IF(ISBLANK(_xlfn.xlookup(D$3,daily_items,_xlfn.xlookup($C532,daily_dates,big_daily_table))),NA(),_xlfn.xlookup(D$3,daily_items,_xlfn.xlookup($C532,daily_dates,big_daily_table)))</f>
        <v>#NAME?</v>
      </c>
      <c r="E532" s="1" t="e">
        <f aca="false" t="array" ref="E532:E532">IF(ISBLANK(_xlfn.xlookup(E$3,daily_items,_xlfn.xlookup($C532,daily_dates,big_daily_table))),NA(),_xlfn.xlookup(E$3,daily_items,_xlfn.xlookup($C532,daily_dates,big_daily_table)))</f>
        <v>#NAME?</v>
      </c>
    </row>
    <row r="533" customFormat="false" ht="14.25" hidden="false" customHeight="false" outlineLevel="0" collapsed="false">
      <c r="B533" s="7" t="n">
        <v>41438</v>
      </c>
      <c r="C533" s="7" t="n">
        <f aca="false">B533-WEEKDAY(B533)+1</f>
        <v>41434</v>
      </c>
      <c r="D533" s="1" t="e">
        <f aca="false" t="array" ref="D533:D533">IF(ISBLANK(_xlfn.xlookup(D$3,daily_items,_xlfn.xlookup($C533,daily_dates,big_daily_table))),NA(),_xlfn.xlookup(D$3,daily_items,_xlfn.xlookup($C533,daily_dates,big_daily_table)))</f>
        <v>#NAME?</v>
      </c>
      <c r="E533" s="1" t="e">
        <f aca="false" t="array" ref="E533:E533">IF(ISBLANK(_xlfn.xlookup(E$3,daily_items,_xlfn.xlookup($C533,daily_dates,big_daily_table))),NA(),_xlfn.xlookup(E$3,daily_items,_xlfn.xlookup($C533,daily_dates,big_daily_table)))</f>
        <v>#NAME?</v>
      </c>
    </row>
    <row r="534" customFormat="false" ht="14.25" hidden="false" customHeight="false" outlineLevel="0" collapsed="false">
      <c r="B534" s="7" t="n">
        <v>41439</v>
      </c>
      <c r="C534" s="7" t="n">
        <f aca="false">B534-WEEKDAY(B534)+1</f>
        <v>41434</v>
      </c>
      <c r="D534" s="1" t="e">
        <f aca="false" t="array" ref="D534:D534">IF(ISBLANK(_xlfn.xlookup(D$3,daily_items,_xlfn.xlookup($C534,daily_dates,big_daily_table))),NA(),_xlfn.xlookup(D$3,daily_items,_xlfn.xlookup($C534,daily_dates,big_daily_table)))</f>
        <v>#NAME?</v>
      </c>
      <c r="E534" s="1" t="e">
        <f aca="false" t="array" ref="E534:E534">IF(ISBLANK(_xlfn.xlookup(E$3,daily_items,_xlfn.xlookup($C534,daily_dates,big_daily_table))),NA(),_xlfn.xlookup(E$3,daily_items,_xlfn.xlookup($C534,daily_dates,big_daily_table)))</f>
        <v>#NAME?</v>
      </c>
    </row>
    <row r="535" customFormat="false" ht="14.25" hidden="false" customHeight="false" outlineLevel="0" collapsed="false">
      <c r="B535" s="7" t="n">
        <v>41440</v>
      </c>
      <c r="C535" s="7" t="n">
        <f aca="false">B535-WEEKDAY(B535)+1</f>
        <v>41434</v>
      </c>
      <c r="D535" s="1" t="e">
        <f aca="false" t="array" ref="D535:D535">IF(ISBLANK(_xlfn.xlookup(D$3,daily_items,_xlfn.xlookup($C535,daily_dates,big_daily_table))),NA(),_xlfn.xlookup(D$3,daily_items,_xlfn.xlookup($C535,daily_dates,big_daily_table)))</f>
        <v>#NAME?</v>
      </c>
      <c r="E535" s="1" t="e">
        <f aca="false" t="array" ref="E535:E535">IF(ISBLANK(_xlfn.xlookup(E$3,daily_items,_xlfn.xlookup($C535,daily_dates,big_daily_table))),NA(),_xlfn.xlookup(E$3,daily_items,_xlfn.xlookup($C535,daily_dates,big_daily_table)))</f>
        <v>#NAME?</v>
      </c>
    </row>
    <row r="536" customFormat="false" ht="14.25" hidden="false" customHeight="false" outlineLevel="0" collapsed="false">
      <c r="B536" s="7" t="n">
        <v>41441</v>
      </c>
      <c r="C536" s="7" t="n">
        <f aca="false">B536-WEEKDAY(B536)+1</f>
        <v>41441</v>
      </c>
      <c r="D536" s="1" t="e">
        <f aca="false" t="array" ref="D536:D536">IF(ISBLANK(_xlfn.xlookup(D$3,daily_items,_xlfn.xlookup($C536,daily_dates,big_daily_table))),NA(),_xlfn.xlookup(D$3,daily_items,_xlfn.xlookup($C536,daily_dates,big_daily_table)))</f>
        <v>#NAME?</v>
      </c>
      <c r="E536" s="1" t="e">
        <f aca="false" t="array" ref="E536:E536">IF(ISBLANK(_xlfn.xlookup(E$3,daily_items,_xlfn.xlookup($C536,daily_dates,big_daily_table))),NA(),_xlfn.xlookup(E$3,daily_items,_xlfn.xlookup($C536,daily_dates,big_daily_table)))</f>
        <v>#NAME?</v>
      </c>
    </row>
    <row r="537" customFormat="false" ht="14.25" hidden="false" customHeight="false" outlineLevel="0" collapsed="false">
      <c r="B537" s="7" t="n">
        <v>41442</v>
      </c>
      <c r="C537" s="7" t="n">
        <f aca="false">B537-WEEKDAY(B537)+1</f>
        <v>41441</v>
      </c>
      <c r="D537" s="1" t="e">
        <f aca="false" t="array" ref="D537:D537">IF(ISBLANK(_xlfn.xlookup(D$3,daily_items,_xlfn.xlookup($C537,daily_dates,big_daily_table))),NA(),_xlfn.xlookup(D$3,daily_items,_xlfn.xlookup($C537,daily_dates,big_daily_table)))</f>
        <v>#NAME?</v>
      </c>
      <c r="E537" s="1" t="e">
        <f aca="false" t="array" ref="E537:E537">IF(ISBLANK(_xlfn.xlookup(E$3,daily_items,_xlfn.xlookup($C537,daily_dates,big_daily_table))),NA(),_xlfn.xlookup(E$3,daily_items,_xlfn.xlookup($C537,daily_dates,big_daily_table)))</f>
        <v>#NAME?</v>
      </c>
    </row>
    <row r="538" customFormat="false" ht="14.25" hidden="false" customHeight="false" outlineLevel="0" collapsed="false">
      <c r="B538" s="7" t="n">
        <v>41443</v>
      </c>
      <c r="C538" s="7" t="n">
        <f aca="false">B538-WEEKDAY(B538)+1</f>
        <v>41441</v>
      </c>
      <c r="D538" s="1" t="e">
        <f aca="false" t="array" ref="D538:D538">IF(ISBLANK(_xlfn.xlookup(D$3,daily_items,_xlfn.xlookup($C538,daily_dates,big_daily_table))),NA(),_xlfn.xlookup(D$3,daily_items,_xlfn.xlookup($C538,daily_dates,big_daily_table)))</f>
        <v>#NAME?</v>
      </c>
      <c r="E538" s="1" t="e">
        <f aca="false" t="array" ref="E538:E538">IF(ISBLANK(_xlfn.xlookup(E$3,daily_items,_xlfn.xlookup($C538,daily_dates,big_daily_table))),NA(),_xlfn.xlookup(E$3,daily_items,_xlfn.xlookup($C538,daily_dates,big_daily_table)))</f>
        <v>#NAME?</v>
      </c>
    </row>
    <row r="539" customFormat="false" ht="14.25" hidden="false" customHeight="false" outlineLevel="0" collapsed="false">
      <c r="B539" s="7" t="n">
        <v>41444</v>
      </c>
      <c r="C539" s="7" t="n">
        <f aca="false">B539-WEEKDAY(B539)+1</f>
        <v>41441</v>
      </c>
      <c r="D539" s="1" t="e">
        <f aca="false" t="array" ref="D539:D539">IF(ISBLANK(_xlfn.xlookup(D$3,daily_items,_xlfn.xlookup($C539,daily_dates,big_daily_table))),NA(),_xlfn.xlookup(D$3,daily_items,_xlfn.xlookup($C539,daily_dates,big_daily_table)))</f>
        <v>#NAME?</v>
      </c>
      <c r="E539" s="1" t="e">
        <f aca="false" t="array" ref="E539:E539">IF(ISBLANK(_xlfn.xlookup(E$3,daily_items,_xlfn.xlookup($C539,daily_dates,big_daily_table))),NA(),_xlfn.xlookup(E$3,daily_items,_xlfn.xlookup($C539,daily_dates,big_daily_table)))</f>
        <v>#NAME?</v>
      </c>
    </row>
    <row r="540" customFormat="false" ht="14.25" hidden="false" customHeight="false" outlineLevel="0" collapsed="false">
      <c r="B540" s="7" t="n">
        <v>41445</v>
      </c>
      <c r="C540" s="7" t="n">
        <f aca="false">B540-WEEKDAY(B540)+1</f>
        <v>41441</v>
      </c>
      <c r="D540" s="1" t="e">
        <f aca="false" t="array" ref="D540:D540">IF(ISBLANK(_xlfn.xlookup(D$3,daily_items,_xlfn.xlookup($C540,daily_dates,big_daily_table))),NA(),_xlfn.xlookup(D$3,daily_items,_xlfn.xlookup($C540,daily_dates,big_daily_table)))</f>
        <v>#NAME?</v>
      </c>
      <c r="E540" s="1" t="e">
        <f aca="false" t="array" ref="E540:E540">IF(ISBLANK(_xlfn.xlookup(E$3,daily_items,_xlfn.xlookup($C540,daily_dates,big_daily_table))),NA(),_xlfn.xlookup(E$3,daily_items,_xlfn.xlookup($C540,daily_dates,big_daily_table)))</f>
        <v>#NAME?</v>
      </c>
    </row>
    <row r="541" customFormat="false" ht="14.25" hidden="false" customHeight="false" outlineLevel="0" collapsed="false">
      <c r="B541" s="7" t="n">
        <v>41446</v>
      </c>
      <c r="C541" s="7" t="n">
        <f aca="false">B541-WEEKDAY(B541)+1</f>
        <v>41441</v>
      </c>
      <c r="D541" s="1" t="e">
        <f aca="false" t="array" ref="D541:D541">IF(ISBLANK(_xlfn.xlookup(D$3,daily_items,_xlfn.xlookup($C541,daily_dates,big_daily_table))),NA(),_xlfn.xlookup(D$3,daily_items,_xlfn.xlookup($C541,daily_dates,big_daily_table)))</f>
        <v>#NAME?</v>
      </c>
      <c r="E541" s="1" t="e">
        <f aca="false" t="array" ref="E541:E541">IF(ISBLANK(_xlfn.xlookup(E$3,daily_items,_xlfn.xlookup($C541,daily_dates,big_daily_table))),NA(),_xlfn.xlookup(E$3,daily_items,_xlfn.xlookup($C541,daily_dates,big_daily_table)))</f>
        <v>#NAME?</v>
      </c>
    </row>
    <row r="542" customFormat="false" ht="14.25" hidden="false" customHeight="false" outlineLevel="0" collapsed="false">
      <c r="B542" s="7" t="n">
        <v>41447</v>
      </c>
      <c r="C542" s="7" t="n">
        <f aca="false">B542-WEEKDAY(B542)+1</f>
        <v>41441</v>
      </c>
      <c r="D542" s="1" t="e">
        <f aca="false" t="array" ref="D542:D542">IF(ISBLANK(_xlfn.xlookup(D$3,daily_items,_xlfn.xlookup($C542,daily_dates,big_daily_table))),NA(),_xlfn.xlookup(D$3,daily_items,_xlfn.xlookup($C542,daily_dates,big_daily_table)))</f>
        <v>#NAME?</v>
      </c>
      <c r="E542" s="1" t="e">
        <f aca="false" t="array" ref="E542:E542">IF(ISBLANK(_xlfn.xlookup(E$3,daily_items,_xlfn.xlookup($C542,daily_dates,big_daily_table))),NA(),_xlfn.xlookup(E$3,daily_items,_xlfn.xlookup($C542,daily_dates,big_daily_table)))</f>
        <v>#NAME?</v>
      </c>
    </row>
    <row r="543" customFormat="false" ht="14.25" hidden="false" customHeight="false" outlineLevel="0" collapsed="false">
      <c r="B543" s="7" t="n">
        <v>41448</v>
      </c>
      <c r="C543" s="7" t="n">
        <f aca="false">B543-WEEKDAY(B543)+1</f>
        <v>41448</v>
      </c>
      <c r="D543" s="1" t="e">
        <f aca="false" t="array" ref="D543:D543">IF(ISBLANK(_xlfn.xlookup(D$3,daily_items,_xlfn.xlookup($C543,daily_dates,big_daily_table))),NA(),_xlfn.xlookup(D$3,daily_items,_xlfn.xlookup($C543,daily_dates,big_daily_table)))</f>
        <v>#NAME?</v>
      </c>
      <c r="E543" s="1" t="e">
        <f aca="false" t="array" ref="E543:E543">IF(ISBLANK(_xlfn.xlookup(E$3,daily_items,_xlfn.xlookup($C543,daily_dates,big_daily_table))),NA(),_xlfn.xlookup(E$3,daily_items,_xlfn.xlookup($C543,daily_dates,big_daily_table)))</f>
        <v>#NAME?</v>
      </c>
    </row>
    <row r="544" customFormat="false" ht="14.25" hidden="false" customHeight="false" outlineLevel="0" collapsed="false">
      <c r="B544" s="7" t="n">
        <v>41449</v>
      </c>
      <c r="C544" s="7" t="n">
        <f aca="false">B544-WEEKDAY(B544)+1</f>
        <v>41448</v>
      </c>
      <c r="D544" s="1" t="e">
        <f aca="false" t="array" ref="D544:D544">IF(ISBLANK(_xlfn.xlookup(D$3,daily_items,_xlfn.xlookup($C544,daily_dates,big_daily_table))),NA(),_xlfn.xlookup(D$3,daily_items,_xlfn.xlookup($C544,daily_dates,big_daily_table)))</f>
        <v>#NAME?</v>
      </c>
      <c r="E544" s="1" t="e">
        <f aca="false" t="array" ref="E544:E544">IF(ISBLANK(_xlfn.xlookup(E$3,daily_items,_xlfn.xlookup($C544,daily_dates,big_daily_table))),NA(),_xlfn.xlookup(E$3,daily_items,_xlfn.xlookup($C544,daily_dates,big_daily_table)))</f>
        <v>#NAME?</v>
      </c>
    </row>
    <row r="545" customFormat="false" ht="14.25" hidden="false" customHeight="false" outlineLevel="0" collapsed="false">
      <c r="B545" s="7" t="n">
        <v>41450</v>
      </c>
      <c r="C545" s="7" t="n">
        <f aca="false">B545-WEEKDAY(B545)+1</f>
        <v>41448</v>
      </c>
      <c r="D545" s="1" t="e">
        <f aca="false" t="array" ref="D545:D545">IF(ISBLANK(_xlfn.xlookup(D$3,daily_items,_xlfn.xlookup($C545,daily_dates,big_daily_table))),NA(),_xlfn.xlookup(D$3,daily_items,_xlfn.xlookup($C545,daily_dates,big_daily_table)))</f>
        <v>#NAME?</v>
      </c>
      <c r="E545" s="1" t="e">
        <f aca="false" t="array" ref="E545:E545">IF(ISBLANK(_xlfn.xlookup(E$3,daily_items,_xlfn.xlookup($C545,daily_dates,big_daily_table))),NA(),_xlfn.xlookup(E$3,daily_items,_xlfn.xlookup($C545,daily_dates,big_daily_table)))</f>
        <v>#NAME?</v>
      </c>
    </row>
    <row r="546" customFormat="false" ht="14.25" hidden="false" customHeight="false" outlineLevel="0" collapsed="false">
      <c r="B546" s="7" t="n">
        <v>41451</v>
      </c>
      <c r="C546" s="7" t="n">
        <f aca="false">B546-WEEKDAY(B546)+1</f>
        <v>41448</v>
      </c>
      <c r="D546" s="1" t="e">
        <f aca="false" t="array" ref="D546:D546">IF(ISBLANK(_xlfn.xlookup(D$3,daily_items,_xlfn.xlookup($C546,daily_dates,big_daily_table))),NA(),_xlfn.xlookup(D$3,daily_items,_xlfn.xlookup($C546,daily_dates,big_daily_table)))</f>
        <v>#NAME?</v>
      </c>
      <c r="E546" s="1" t="e">
        <f aca="false" t="array" ref="E546:E546">IF(ISBLANK(_xlfn.xlookup(E$3,daily_items,_xlfn.xlookup($C546,daily_dates,big_daily_table))),NA(),_xlfn.xlookup(E$3,daily_items,_xlfn.xlookup($C546,daily_dates,big_daily_table)))</f>
        <v>#NAME?</v>
      </c>
    </row>
    <row r="547" customFormat="false" ht="14.25" hidden="false" customHeight="false" outlineLevel="0" collapsed="false">
      <c r="B547" s="7" t="n">
        <v>41452</v>
      </c>
      <c r="C547" s="7" t="n">
        <f aca="false">B547-WEEKDAY(B547)+1</f>
        <v>41448</v>
      </c>
      <c r="D547" s="1" t="e">
        <f aca="false" t="array" ref="D547:D547">IF(ISBLANK(_xlfn.xlookup(D$3,daily_items,_xlfn.xlookup($C547,daily_dates,big_daily_table))),NA(),_xlfn.xlookup(D$3,daily_items,_xlfn.xlookup($C547,daily_dates,big_daily_table)))</f>
        <v>#NAME?</v>
      </c>
      <c r="E547" s="1" t="e">
        <f aca="false" t="array" ref="E547:E547">IF(ISBLANK(_xlfn.xlookup(E$3,daily_items,_xlfn.xlookup($C547,daily_dates,big_daily_table))),NA(),_xlfn.xlookup(E$3,daily_items,_xlfn.xlookup($C547,daily_dates,big_daily_table)))</f>
        <v>#NAME?</v>
      </c>
    </row>
    <row r="548" customFormat="false" ht="14.25" hidden="false" customHeight="false" outlineLevel="0" collapsed="false">
      <c r="B548" s="7" t="n">
        <v>41453</v>
      </c>
      <c r="C548" s="7" t="n">
        <f aca="false">B548-WEEKDAY(B548)+1</f>
        <v>41448</v>
      </c>
      <c r="D548" s="1" t="e">
        <f aca="false" t="array" ref="D548:D548">IF(ISBLANK(_xlfn.xlookup(D$3,daily_items,_xlfn.xlookup($C548,daily_dates,big_daily_table))),NA(),_xlfn.xlookup(D$3,daily_items,_xlfn.xlookup($C548,daily_dates,big_daily_table)))</f>
        <v>#NAME?</v>
      </c>
      <c r="E548" s="1" t="e">
        <f aca="false" t="array" ref="E548:E548">IF(ISBLANK(_xlfn.xlookup(E$3,daily_items,_xlfn.xlookup($C548,daily_dates,big_daily_table))),NA(),_xlfn.xlookup(E$3,daily_items,_xlfn.xlookup($C548,daily_dates,big_daily_table)))</f>
        <v>#NAME?</v>
      </c>
    </row>
    <row r="549" customFormat="false" ht="14.25" hidden="false" customHeight="false" outlineLevel="0" collapsed="false">
      <c r="B549" s="7" t="n">
        <v>41454</v>
      </c>
      <c r="C549" s="7" t="n">
        <f aca="false">B549-WEEKDAY(B549)+1</f>
        <v>41448</v>
      </c>
      <c r="D549" s="1" t="e">
        <f aca="false" t="array" ref="D549:D549">IF(ISBLANK(_xlfn.xlookup(D$3,daily_items,_xlfn.xlookup($C549,daily_dates,big_daily_table))),NA(),_xlfn.xlookup(D$3,daily_items,_xlfn.xlookup($C549,daily_dates,big_daily_table)))</f>
        <v>#NAME?</v>
      </c>
      <c r="E549" s="1" t="e">
        <f aca="false" t="array" ref="E549:E549">IF(ISBLANK(_xlfn.xlookup(E$3,daily_items,_xlfn.xlookup($C549,daily_dates,big_daily_table))),NA(),_xlfn.xlookup(E$3,daily_items,_xlfn.xlookup($C549,daily_dates,big_daily_table)))</f>
        <v>#NAME?</v>
      </c>
    </row>
    <row r="550" customFormat="false" ht="14.25" hidden="false" customHeight="false" outlineLevel="0" collapsed="false">
      <c r="B550" s="7" t="n">
        <v>41455</v>
      </c>
      <c r="C550" s="7" t="n">
        <f aca="false">B550-WEEKDAY(B550)+1</f>
        <v>41455</v>
      </c>
      <c r="D550" s="1" t="e">
        <f aca="false" t="array" ref="D550:D550">IF(ISBLANK(_xlfn.xlookup(D$3,daily_items,_xlfn.xlookup($C550,daily_dates,big_daily_table))),NA(),_xlfn.xlookup(D$3,daily_items,_xlfn.xlookup($C550,daily_dates,big_daily_table)))</f>
        <v>#NAME?</v>
      </c>
      <c r="E550" s="1" t="e">
        <f aca="false" t="array" ref="E550:E550">IF(ISBLANK(_xlfn.xlookup(E$3,daily_items,_xlfn.xlookup($C550,daily_dates,big_daily_table))),NA(),_xlfn.xlookup(E$3,daily_items,_xlfn.xlookup($C550,daily_dates,big_daily_table)))</f>
        <v>#NAME?</v>
      </c>
    </row>
    <row r="551" customFormat="false" ht="14.25" hidden="false" customHeight="false" outlineLevel="0" collapsed="false">
      <c r="B551" s="7" t="n">
        <v>41456</v>
      </c>
      <c r="C551" s="7" t="n">
        <f aca="false">B551-WEEKDAY(B551)+1</f>
        <v>41455</v>
      </c>
      <c r="D551" s="1" t="e">
        <f aca="false" t="array" ref="D551:D551">IF(ISBLANK(_xlfn.xlookup(D$3,daily_items,_xlfn.xlookup($C551,daily_dates,big_daily_table))),NA(),_xlfn.xlookup(D$3,daily_items,_xlfn.xlookup($C551,daily_dates,big_daily_table)))</f>
        <v>#NAME?</v>
      </c>
      <c r="E551" s="1" t="e">
        <f aca="false" t="array" ref="E551:E551">IF(ISBLANK(_xlfn.xlookup(E$3,daily_items,_xlfn.xlookup($C551,daily_dates,big_daily_table))),NA(),_xlfn.xlookup(E$3,daily_items,_xlfn.xlookup($C551,daily_dates,big_daily_table)))</f>
        <v>#NAME?</v>
      </c>
    </row>
    <row r="552" customFormat="false" ht="14.25" hidden="false" customHeight="false" outlineLevel="0" collapsed="false">
      <c r="B552" s="7" t="n">
        <v>41457</v>
      </c>
      <c r="C552" s="7" t="n">
        <f aca="false">B552-WEEKDAY(B552)+1</f>
        <v>41455</v>
      </c>
      <c r="D552" s="1" t="e">
        <f aca="false" t="array" ref="D552:D552">IF(ISBLANK(_xlfn.xlookup(D$3,daily_items,_xlfn.xlookup($C552,daily_dates,big_daily_table))),NA(),_xlfn.xlookup(D$3,daily_items,_xlfn.xlookup($C552,daily_dates,big_daily_table)))</f>
        <v>#NAME?</v>
      </c>
      <c r="E552" s="1" t="e">
        <f aca="false" t="array" ref="E552:E552">IF(ISBLANK(_xlfn.xlookup(E$3,daily_items,_xlfn.xlookup($C552,daily_dates,big_daily_table))),NA(),_xlfn.xlookup(E$3,daily_items,_xlfn.xlookup($C552,daily_dates,big_daily_table)))</f>
        <v>#NAME?</v>
      </c>
    </row>
    <row r="553" customFormat="false" ht="14.25" hidden="false" customHeight="false" outlineLevel="0" collapsed="false">
      <c r="B553" s="7" t="n">
        <v>41458</v>
      </c>
      <c r="C553" s="7" t="n">
        <f aca="false">B553-WEEKDAY(B553)+1</f>
        <v>41455</v>
      </c>
      <c r="D553" s="1" t="e">
        <f aca="false" t="array" ref="D553:D553">IF(ISBLANK(_xlfn.xlookup(D$3,daily_items,_xlfn.xlookup($C553,daily_dates,big_daily_table))),NA(),_xlfn.xlookup(D$3,daily_items,_xlfn.xlookup($C553,daily_dates,big_daily_table)))</f>
        <v>#NAME?</v>
      </c>
      <c r="E553" s="1" t="e">
        <f aca="false" t="array" ref="E553:E553">IF(ISBLANK(_xlfn.xlookup(E$3,daily_items,_xlfn.xlookup($C553,daily_dates,big_daily_table))),NA(),_xlfn.xlookup(E$3,daily_items,_xlfn.xlookup($C553,daily_dates,big_daily_table)))</f>
        <v>#NAME?</v>
      </c>
    </row>
    <row r="554" customFormat="false" ht="14.25" hidden="false" customHeight="false" outlineLevel="0" collapsed="false">
      <c r="B554" s="7" t="n">
        <v>41459</v>
      </c>
      <c r="C554" s="7" t="n">
        <f aca="false">B554-WEEKDAY(B554)+1</f>
        <v>41455</v>
      </c>
      <c r="D554" s="1" t="e">
        <f aca="false" t="array" ref="D554:D554">IF(ISBLANK(_xlfn.xlookup(D$3,daily_items,_xlfn.xlookup($C554,daily_dates,big_daily_table))),NA(),_xlfn.xlookup(D$3,daily_items,_xlfn.xlookup($C554,daily_dates,big_daily_table)))</f>
        <v>#NAME?</v>
      </c>
      <c r="E554" s="1" t="e">
        <f aca="false" t="array" ref="E554:E554">IF(ISBLANK(_xlfn.xlookup(E$3,daily_items,_xlfn.xlookup($C554,daily_dates,big_daily_table))),NA(),_xlfn.xlookup(E$3,daily_items,_xlfn.xlookup($C554,daily_dates,big_daily_table)))</f>
        <v>#NAME?</v>
      </c>
    </row>
    <row r="555" customFormat="false" ht="14.25" hidden="false" customHeight="false" outlineLevel="0" collapsed="false">
      <c r="B555" s="7" t="n">
        <v>41460</v>
      </c>
      <c r="C555" s="7" t="n">
        <f aca="false">B555-WEEKDAY(B555)+1</f>
        <v>41455</v>
      </c>
      <c r="D555" s="1" t="e">
        <f aca="false" t="array" ref="D555:D555">IF(ISBLANK(_xlfn.xlookup(D$3,daily_items,_xlfn.xlookup($C555,daily_dates,big_daily_table))),NA(),_xlfn.xlookup(D$3,daily_items,_xlfn.xlookup($C555,daily_dates,big_daily_table)))</f>
        <v>#NAME?</v>
      </c>
      <c r="E555" s="1" t="e">
        <f aca="false" t="array" ref="E555:E555">IF(ISBLANK(_xlfn.xlookup(E$3,daily_items,_xlfn.xlookup($C555,daily_dates,big_daily_table))),NA(),_xlfn.xlookup(E$3,daily_items,_xlfn.xlookup($C555,daily_dates,big_daily_table)))</f>
        <v>#NAME?</v>
      </c>
    </row>
    <row r="556" customFormat="false" ht="14.25" hidden="false" customHeight="false" outlineLevel="0" collapsed="false">
      <c r="B556" s="7" t="n">
        <v>41461</v>
      </c>
      <c r="C556" s="7" t="n">
        <f aca="false">B556-WEEKDAY(B556)+1</f>
        <v>41455</v>
      </c>
      <c r="D556" s="1" t="e">
        <f aca="false" t="array" ref="D556:D556">IF(ISBLANK(_xlfn.xlookup(D$3,daily_items,_xlfn.xlookup($C556,daily_dates,big_daily_table))),NA(),_xlfn.xlookup(D$3,daily_items,_xlfn.xlookup($C556,daily_dates,big_daily_table)))</f>
        <v>#NAME?</v>
      </c>
      <c r="E556" s="1" t="e">
        <f aca="false" t="array" ref="E556:E556">IF(ISBLANK(_xlfn.xlookup(E$3,daily_items,_xlfn.xlookup($C556,daily_dates,big_daily_table))),NA(),_xlfn.xlookup(E$3,daily_items,_xlfn.xlookup($C556,daily_dates,big_daily_table)))</f>
        <v>#NAME?</v>
      </c>
    </row>
    <row r="557" customFormat="false" ht="14.25" hidden="false" customHeight="false" outlineLevel="0" collapsed="false">
      <c r="B557" s="7" t="n">
        <v>41462</v>
      </c>
      <c r="C557" s="7" t="n">
        <f aca="false">B557-WEEKDAY(B557)+1</f>
        <v>41462</v>
      </c>
      <c r="D557" s="1" t="e">
        <f aca="false" t="array" ref="D557:D557">IF(ISBLANK(_xlfn.xlookup(D$3,daily_items,_xlfn.xlookup($C557,daily_dates,big_daily_table))),NA(),_xlfn.xlookup(D$3,daily_items,_xlfn.xlookup($C557,daily_dates,big_daily_table)))</f>
        <v>#NAME?</v>
      </c>
      <c r="E557" s="1" t="e">
        <f aca="false" t="array" ref="E557:E557">IF(ISBLANK(_xlfn.xlookup(E$3,daily_items,_xlfn.xlookup($C557,daily_dates,big_daily_table))),NA(),_xlfn.xlookup(E$3,daily_items,_xlfn.xlookup($C557,daily_dates,big_daily_table)))</f>
        <v>#NAME?</v>
      </c>
    </row>
    <row r="558" customFormat="false" ht="14.25" hidden="false" customHeight="false" outlineLevel="0" collapsed="false">
      <c r="B558" s="7" t="n">
        <v>41463</v>
      </c>
      <c r="C558" s="7" t="n">
        <f aca="false">B558-WEEKDAY(B558)+1</f>
        <v>41462</v>
      </c>
      <c r="D558" s="1" t="e">
        <f aca="false" t="array" ref="D558:D558">IF(ISBLANK(_xlfn.xlookup(D$3,daily_items,_xlfn.xlookup($C558,daily_dates,big_daily_table))),NA(),_xlfn.xlookup(D$3,daily_items,_xlfn.xlookup($C558,daily_dates,big_daily_table)))</f>
        <v>#NAME?</v>
      </c>
      <c r="E558" s="1" t="e">
        <f aca="false" t="array" ref="E558:E558">IF(ISBLANK(_xlfn.xlookup(E$3,daily_items,_xlfn.xlookup($C558,daily_dates,big_daily_table))),NA(),_xlfn.xlookup(E$3,daily_items,_xlfn.xlookup($C558,daily_dates,big_daily_table)))</f>
        <v>#NAME?</v>
      </c>
    </row>
    <row r="559" customFormat="false" ht="14.25" hidden="false" customHeight="false" outlineLevel="0" collapsed="false">
      <c r="B559" s="7" t="n">
        <v>41464</v>
      </c>
      <c r="C559" s="7" t="n">
        <f aca="false">B559-WEEKDAY(B559)+1</f>
        <v>41462</v>
      </c>
      <c r="D559" s="1" t="e">
        <f aca="false" t="array" ref="D559:D559">IF(ISBLANK(_xlfn.xlookup(D$3,daily_items,_xlfn.xlookup($C559,daily_dates,big_daily_table))),NA(),_xlfn.xlookup(D$3,daily_items,_xlfn.xlookup($C559,daily_dates,big_daily_table)))</f>
        <v>#NAME?</v>
      </c>
      <c r="E559" s="1" t="e">
        <f aca="false" t="array" ref="E559:E559">IF(ISBLANK(_xlfn.xlookup(E$3,daily_items,_xlfn.xlookup($C559,daily_dates,big_daily_table))),NA(),_xlfn.xlookup(E$3,daily_items,_xlfn.xlookup($C559,daily_dates,big_daily_table)))</f>
        <v>#NAME?</v>
      </c>
    </row>
    <row r="560" customFormat="false" ht="14.25" hidden="false" customHeight="false" outlineLevel="0" collapsed="false">
      <c r="B560" s="7" t="n">
        <v>41465</v>
      </c>
      <c r="C560" s="7" t="n">
        <f aca="false">B560-WEEKDAY(B560)+1</f>
        <v>41462</v>
      </c>
      <c r="D560" s="1" t="e">
        <f aca="false" t="array" ref="D560:D560">IF(ISBLANK(_xlfn.xlookup(D$3,daily_items,_xlfn.xlookup($C560,daily_dates,big_daily_table))),NA(),_xlfn.xlookup(D$3,daily_items,_xlfn.xlookup($C560,daily_dates,big_daily_table)))</f>
        <v>#NAME?</v>
      </c>
      <c r="E560" s="1" t="e">
        <f aca="false" t="array" ref="E560:E560">IF(ISBLANK(_xlfn.xlookup(E$3,daily_items,_xlfn.xlookup($C560,daily_dates,big_daily_table))),NA(),_xlfn.xlookup(E$3,daily_items,_xlfn.xlookup($C560,daily_dates,big_daily_table)))</f>
        <v>#NAME?</v>
      </c>
    </row>
    <row r="561" customFormat="false" ht="14.25" hidden="false" customHeight="false" outlineLevel="0" collapsed="false">
      <c r="B561" s="7" t="n">
        <v>41466</v>
      </c>
      <c r="C561" s="7" t="n">
        <f aca="false">B561-WEEKDAY(B561)+1</f>
        <v>41462</v>
      </c>
      <c r="D561" s="1" t="e">
        <f aca="false" t="array" ref="D561:D561">IF(ISBLANK(_xlfn.xlookup(D$3,daily_items,_xlfn.xlookup($C561,daily_dates,big_daily_table))),NA(),_xlfn.xlookup(D$3,daily_items,_xlfn.xlookup($C561,daily_dates,big_daily_table)))</f>
        <v>#NAME?</v>
      </c>
      <c r="E561" s="1" t="e">
        <f aca="false" t="array" ref="E561:E561">IF(ISBLANK(_xlfn.xlookup(E$3,daily_items,_xlfn.xlookup($C561,daily_dates,big_daily_table))),NA(),_xlfn.xlookup(E$3,daily_items,_xlfn.xlookup($C561,daily_dates,big_daily_table)))</f>
        <v>#NAME?</v>
      </c>
    </row>
    <row r="562" customFormat="false" ht="14.25" hidden="false" customHeight="false" outlineLevel="0" collapsed="false">
      <c r="B562" s="7" t="n">
        <v>41467</v>
      </c>
      <c r="C562" s="7" t="n">
        <f aca="false">B562-WEEKDAY(B562)+1</f>
        <v>41462</v>
      </c>
      <c r="D562" s="1" t="e">
        <f aca="false" t="array" ref="D562:D562">IF(ISBLANK(_xlfn.xlookup(D$3,daily_items,_xlfn.xlookup($C562,daily_dates,big_daily_table))),NA(),_xlfn.xlookup(D$3,daily_items,_xlfn.xlookup($C562,daily_dates,big_daily_table)))</f>
        <v>#NAME?</v>
      </c>
      <c r="E562" s="1" t="e">
        <f aca="false" t="array" ref="E562:E562">IF(ISBLANK(_xlfn.xlookup(E$3,daily_items,_xlfn.xlookup($C562,daily_dates,big_daily_table))),NA(),_xlfn.xlookup(E$3,daily_items,_xlfn.xlookup($C562,daily_dates,big_daily_table)))</f>
        <v>#NAME?</v>
      </c>
    </row>
    <row r="563" customFormat="false" ht="14.25" hidden="false" customHeight="false" outlineLevel="0" collapsed="false">
      <c r="B563" s="7" t="n">
        <v>41468</v>
      </c>
      <c r="C563" s="7" t="n">
        <f aca="false">B563-WEEKDAY(B563)+1</f>
        <v>41462</v>
      </c>
      <c r="D563" s="1" t="e">
        <f aca="false" t="array" ref="D563:D563">IF(ISBLANK(_xlfn.xlookup(D$3,daily_items,_xlfn.xlookup($C563,daily_dates,big_daily_table))),NA(),_xlfn.xlookup(D$3,daily_items,_xlfn.xlookup($C563,daily_dates,big_daily_table)))</f>
        <v>#NAME?</v>
      </c>
      <c r="E563" s="1" t="e">
        <f aca="false" t="array" ref="E563:E563">IF(ISBLANK(_xlfn.xlookup(E$3,daily_items,_xlfn.xlookup($C563,daily_dates,big_daily_table))),NA(),_xlfn.xlookup(E$3,daily_items,_xlfn.xlookup($C563,daily_dates,big_daily_table)))</f>
        <v>#NAME?</v>
      </c>
    </row>
    <row r="564" customFormat="false" ht="14.25" hidden="false" customHeight="false" outlineLevel="0" collapsed="false">
      <c r="B564" s="7" t="n">
        <v>41469</v>
      </c>
      <c r="C564" s="7" t="n">
        <f aca="false">B564-WEEKDAY(B564)+1</f>
        <v>41469</v>
      </c>
      <c r="D564" s="1" t="e">
        <f aca="false" t="array" ref="D564:D564">IF(ISBLANK(_xlfn.xlookup(D$3,daily_items,_xlfn.xlookup($C564,daily_dates,big_daily_table))),NA(),_xlfn.xlookup(D$3,daily_items,_xlfn.xlookup($C564,daily_dates,big_daily_table)))</f>
        <v>#NAME?</v>
      </c>
      <c r="E564" s="1" t="e">
        <f aca="false" t="array" ref="E564:E564">IF(ISBLANK(_xlfn.xlookup(E$3,daily_items,_xlfn.xlookup($C564,daily_dates,big_daily_table))),NA(),_xlfn.xlookup(E$3,daily_items,_xlfn.xlookup($C564,daily_dates,big_daily_table)))</f>
        <v>#NAME?</v>
      </c>
    </row>
    <row r="565" customFormat="false" ht="14.25" hidden="false" customHeight="false" outlineLevel="0" collapsed="false">
      <c r="B565" s="7" t="n">
        <v>41470</v>
      </c>
      <c r="C565" s="7" t="n">
        <f aca="false">B565-WEEKDAY(B565)+1</f>
        <v>41469</v>
      </c>
      <c r="D565" s="1" t="e">
        <f aca="false" t="array" ref="D565:D565">IF(ISBLANK(_xlfn.xlookup(D$3,daily_items,_xlfn.xlookup($C565,daily_dates,big_daily_table))),NA(),_xlfn.xlookup(D$3,daily_items,_xlfn.xlookup($C565,daily_dates,big_daily_table)))</f>
        <v>#NAME?</v>
      </c>
      <c r="E565" s="1" t="e">
        <f aca="false" t="array" ref="E565:E565">IF(ISBLANK(_xlfn.xlookup(E$3,daily_items,_xlfn.xlookup($C565,daily_dates,big_daily_table))),NA(),_xlfn.xlookup(E$3,daily_items,_xlfn.xlookup($C565,daily_dates,big_daily_table)))</f>
        <v>#NAME?</v>
      </c>
    </row>
    <row r="566" customFormat="false" ht="14.25" hidden="false" customHeight="false" outlineLevel="0" collapsed="false">
      <c r="B566" s="7" t="n">
        <v>41471</v>
      </c>
      <c r="C566" s="7" t="n">
        <f aca="false">B566-WEEKDAY(B566)+1</f>
        <v>41469</v>
      </c>
      <c r="D566" s="1" t="e">
        <f aca="false" t="array" ref="D566:D566">IF(ISBLANK(_xlfn.xlookup(D$3,daily_items,_xlfn.xlookup($C566,daily_dates,big_daily_table))),NA(),_xlfn.xlookup(D$3,daily_items,_xlfn.xlookup($C566,daily_dates,big_daily_table)))</f>
        <v>#NAME?</v>
      </c>
      <c r="E566" s="1" t="e">
        <f aca="false" t="array" ref="E566:E566">IF(ISBLANK(_xlfn.xlookup(E$3,daily_items,_xlfn.xlookup($C566,daily_dates,big_daily_table))),NA(),_xlfn.xlookup(E$3,daily_items,_xlfn.xlookup($C566,daily_dates,big_daily_table)))</f>
        <v>#NAME?</v>
      </c>
    </row>
    <row r="567" customFormat="false" ht="14.25" hidden="false" customHeight="false" outlineLevel="0" collapsed="false">
      <c r="B567" s="7" t="n">
        <v>41472</v>
      </c>
      <c r="C567" s="7" t="n">
        <f aca="false">B567-WEEKDAY(B567)+1</f>
        <v>41469</v>
      </c>
      <c r="D567" s="1" t="e">
        <f aca="false" t="array" ref="D567:D567">IF(ISBLANK(_xlfn.xlookup(D$3,daily_items,_xlfn.xlookup($C567,daily_dates,big_daily_table))),NA(),_xlfn.xlookup(D$3,daily_items,_xlfn.xlookup($C567,daily_dates,big_daily_table)))</f>
        <v>#NAME?</v>
      </c>
      <c r="E567" s="1" t="e">
        <f aca="false" t="array" ref="E567:E567">IF(ISBLANK(_xlfn.xlookup(E$3,daily_items,_xlfn.xlookup($C567,daily_dates,big_daily_table))),NA(),_xlfn.xlookup(E$3,daily_items,_xlfn.xlookup($C567,daily_dates,big_daily_table)))</f>
        <v>#NAME?</v>
      </c>
    </row>
    <row r="568" customFormat="false" ht="14.25" hidden="false" customHeight="false" outlineLevel="0" collapsed="false">
      <c r="B568" s="7" t="n">
        <v>41473</v>
      </c>
      <c r="C568" s="7" t="n">
        <f aca="false">B568-WEEKDAY(B568)+1</f>
        <v>41469</v>
      </c>
      <c r="D568" s="1" t="e">
        <f aca="false" t="array" ref="D568:D568">IF(ISBLANK(_xlfn.xlookup(D$3,daily_items,_xlfn.xlookup($C568,daily_dates,big_daily_table))),NA(),_xlfn.xlookup(D$3,daily_items,_xlfn.xlookup($C568,daily_dates,big_daily_table)))</f>
        <v>#NAME?</v>
      </c>
      <c r="E568" s="1" t="e">
        <f aca="false" t="array" ref="E568:E568">IF(ISBLANK(_xlfn.xlookup(E$3,daily_items,_xlfn.xlookup($C568,daily_dates,big_daily_table))),NA(),_xlfn.xlookup(E$3,daily_items,_xlfn.xlookup($C568,daily_dates,big_daily_table)))</f>
        <v>#NAME?</v>
      </c>
    </row>
    <row r="569" customFormat="false" ht="14.25" hidden="false" customHeight="false" outlineLevel="0" collapsed="false">
      <c r="B569" s="7" t="n">
        <v>41474</v>
      </c>
      <c r="C569" s="7" t="n">
        <f aca="false">B569-WEEKDAY(B569)+1</f>
        <v>41469</v>
      </c>
      <c r="D569" s="1" t="e">
        <f aca="false" t="array" ref="D569:D569">IF(ISBLANK(_xlfn.xlookup(D$3,daily_items,_xlfn.xlookup($C569,daily_dates,big_daily_table))),NA(),_xlfn.xlookup(D$3,daily_items,_xlfn.xlookup($C569,daily_dates,big_daily_table)))</f>
        <v>#NAME?</v>
      </c>
      <c r="E569" s="1" t="e">
        <f aca="false" t="array" ref="E569:E569">IF(ISBLANK(_xlfn.xlookup(E$3,daily_items,_xlfn.xlookup($C569,daily_dates,big_daily_table))),NA(),_xlfn.xlookup(E$3,daily_items,_xlfn.xlookup($C569,daily_dates,big_daily_table)))</f>
        <v>#NAME?</v>
      </c>
    </row>
    <row r="570" customFormat="false" ht="14.25" hidden="false" customHeight="false" outlineLevel="0" collapsed="false">
      <c r="B570" s="7" t="n">
        <v>41475</v>
      </c>
      <c r="C570" s="7" t="n">
        <f aca="false">B570-WEEKDAY(B570)+1</f>
        <v>41469</v>
      </c>
      <c r="D570" s="1" t="e">
        <f aca="false" t="array" ref="D570:D570">IF(ISBLANK(_xlfn.xlookup(D$3,daily_items,_xlfn.xlookup($C570,daily_dates,big_daily_table))),NA(),_xlfn.xlookup(D$3,daily_items,_xlfn.xlookup($C570,daily_dates,big_daily_table)))</f>
        <v>#NAME?</v>
      </c>
      <c r="E570" s="1" t="e">
        <f aca="false" t="array" ref="E570:E570">IF(ISBLANK(_xlfn.xlookup(E$3,daily_items,_xlfn.xlookup($C570,daily_dates,big_daily_table))),NA(),_xlfn.xlookup(E$3,daily_items,_xlfn.xlookup($C570,daily_dates,big_daily_table)))</f>
        <v>#NAME?</v>
      </c>
    </row>
    <row r="571" customFormat="false" ht="14.25" hidden="false" customHeight="false" outlineLevel="0" collapsed="false">
      <c r="B571" s="7" t="n">
        <v>41476</v>
      </c>
      <c r="C571" s="7" t="n">
        <f aca="false">B571-WEEKDAY(B571)+1</f>
        <v>41476</v>
      </c>
      <c r="D571" s="1" t="e">
        <f aca="false" t="array" ref="D571:D571">IF(ISBLANK(_xlfn.xlookup(D$3,daily_items,_xlfn.xlookup($C571,daily_dates,big_daily_table))),NA(),_xlfn.xlookup(D$3,daily_items,_xlfn.xlookup($C571,daily_dates,big_daily_table)))</f>
        <v>#NAME?</v>
      </c>
      <c r="E571" s="1" t="e">
        <f aca="false" t="array" ref="E571:E571">IF(ISBLANK(_xlfn.xlookup(E$3,daily_items,_xlfn.xlookup($C571,daily_dates,big_daily_table))),NA(),_xlfn.xlookup(E$3,daily_items,_xlfn.xlookup($C571,daily_dates,big_daily_table)))</f>
        <v>#NAME?</v>
      </c>
    </row>
    <row r="572" customFormat="false" ht="14.25" hidden="false" customHeight="false" outlineLevel="0" collapsed="false">
      <c r="B572" s="7" t="n">
        <v>41477</v>
      </c>
      <c r="C572" s="7" t="n">
        <f aca="false">B572-WEEKDAY(B572)+1</f>
        <v>41476</v>
      </c>
      <c r="D572" s="1" t="e">
        <f aca="false" t="array" ref="D572:D572">IF(ISBLANK(_xlfn.xlookup(D$3,daily_items,_xlfn.xlookup($C572,daily_dates,big_daily_table))),NA(),_xlfn.xlookup(D$3,daily_items,_xlfn.xlookup($C572,daily_dates,big_daily_table)))</f>
        <v>#NAME?</v>
      </c>
      <c r="E572" s="1" t="e">
        <f aca="false" t="array" ref="E572:E572">IF(ISBLANK(_xlfn.xlookup(E$3,daily_items,_xlfn.xlookup($C572,daily_dates,big_daily_table))),NA(),_xlfn.xlookup(E$3,daily_items,_xlfn.xlookup($C572,daily_dates,big_daily_table)))</f>
        <v>#NAME?</v>
      </c>
    </row>
    <row r="573" customFormat="false" ht="14.25" hidden="false" customHeight="false" outlineLevel="0" collapsed="false">
      <c r="B573" s="7" t="n">
        <v>41478</v>
      </c>
      <c r="C573" s="7" t="n">
        <f aca="false">B573-WEEKDAY(B573)+1</f>
        <v>41476</v>
      </c>
      <c r="D573" s="1" t="e">
        <f aca="false" t="array" ref="D573:D573">IF(ISBLANK(_xlfn.xlookup(D$3,daily_items,_xlfn.xlookup($C573,daily_dates,big_daily_table))),NA(),_xlfn.xlookup(D$3,daily_items,_xlfn.xlookup($C573,daily_dates,big_daily_table)))</f>
        <v>#NAME?</v>
      </c>
      <c r="E573" s="1" t="e">
        <f aca="false" t="array" ref="E573:E573">IF(ISBLANK(_xlfn.xlookup(E$3,daily_items,_xlfn.xlookup($C573,daily_dates,big_daily_table))),NA(),_xlfn.xlookup(E$3,daily_items,_xlfn.xlookup($C573,daily_dates,big_daily_table)))</f>
        <v>#NAME?</v>
      </c>
    </row>
    <row r="574" customFormat="false" ht="14.25" hidden="false" customHeight="false" outlineLevel="0" collapsed="false">
      <c r="B574" s="7" t="n">
        <v>41479</v>
      </c>
      <c r="C574" s="7" t="n">
        <f aca="false">B574-WEEKDAY(B574)+1</f>
        <v>41476</v>
      </c>
      <c r="D574" s="1" t="e">
        <f aca="false" t="array" ref="D574:D574">IF(ISBLANK(_xlfn.xlookup(D$3,daily_items,_xlfn.xlookup($C574,daily_dates,big_daily_table))),NA(),_xlfn.xlookup(D$3,daily_items,_xlfn.xlookup($C574,daily_dates,big_daily_table)))</f>
        <v>#NAME?</v>
      </c>
      <c r="E574" s="1" t="e">
        <f aca="false" t="array" ref="E574:E574">IF(ISBLANK(_xlfn.xlookup(E$3,daily_items,_xlfn.xlookup($C574,daily_dates,big_daily_table))),NA(),_xlfn.xlookup(E$3,daily_items,_xlfn.xlookup($C574,daily_dates,big_daily_table)))</f>
        <v>#NAME?</v>
      </c>
    </row>
    <row r="575" customFormat="false" ht="14.25" hidden="false" customHeight="false" outlineLevel="0" collapsed="false">
      <c r="B575" s="7" t="n">
        <v>41480</v>
      </c>
      <c r="C575" s="7" t="n">
        <f aca="false">B575-WEEKDAY(B575)+1</f>
        <v>41476</v>
      </c>
      <c r="D575" s="1" t="e">
        <f aca="false" t="array" ref="D575:D575">IF(ISBLANK(_xlfn.xlookup(D$3,daily_items,_xlfn.xlookup($C575,daily_dates,big_daily_table))),NA(),_xlfn.xlookup(D$3,daily_items,_xlfn.xlookup($C575,daily_dates,big_daily_table)))</f>
        <v>#NAME?</v>
      </c>
      <c r="E575" s="1" t="e">
        <f aca="false" t="array" ref="E575:E575">IF(ISBLANK(_xlfn.xlookup(E$3,daily_items,_xlfn.xlookup($C575,daily_dates,big_daily_table))),NA(),_xlfn.xlookup(E$3,daily_items,_xlfn.xlookup($C575,daily_dates,big_daily_table)))</f>
        <v>#NAME?</v>
      </c>
    </row>
    <row r="576" customFormat="false" ht="14.25" hidden="false" customHeight="false" outlineLevel="0" collapsed="false">
      <c r="B576" s="7" t="n">
        <v>41481</v>
      </c>
      <c r="C576" s="7" t="n">
        <f aca="false">B576-WEEKDAY(B576)+1</f>
        <v>41476</v>
      </c>
      <c r="D576" s="1" t="e">
        <f aca="false" t="array" ref="D576:D576">IF(ISBLANK(_xlfn.xlookup(D$3,daily_items,_xlfn.xlookup($C576,daily_dates,big_daily_table))),NA(),_xlfn.xlookup(D$3,daily_items,_xlfn.xlookup($C576,daily_dates,big_daily_table)))</f>
        <v>#NAME?</v>
      </c>
      <c r="E576" s="1" t="e">
        <f aca="false" t="array" ref="E576:E576">IF(ISBLANK(_xlfn.xlookup(E$3,daily_items,_xlfn.xlookup($C576,daily_dates,big_daily_table))),NA(),_xlfn.xlookup(E$3,daily_items,_xlfn.xlookup($C576,daily_dates,big_daily_table)))</f>
        <v>#NAME?</v>
      </c>
    </row>
    <row r="577" customFormat="false" ht="14.25" hidden="false" customHeight="false" outlineLevel="0" collapsed="false">
      <c r="B577" s="7" t="n">
        <v>41482</v>
      </c>
      <c r="C577" s="7" t="n">
        <f aca="false">B577-WEEKDAY(B577)+1</f>
        <v>41476</v>
      </c>
      <c r="D577" s="1" t="e">
        <f aca="false" t="array" ref="D577:D577">IF(ISBLANK(_xlfn.xlookup(D$3,daily_items,_xlfn.xlookup($C577,daily_dates,big_daily_table))),NA(),_xlfn.xlookup(D$3,daily_items,_xlfn.xlookup($C577,daily_dates,big_daily_table)))</f>
        <v>#NAME?</v>
      </c>
      <c r="E577" s="1" t="e">
        <f aca="false" t="array" ref="E577:E577">IF(ISBLANK(_xlfn.xlookup(E$3,daily_items,_xlfn.xlookup($C577,daily_dates,big_daily_table))),NA(),_xlfn.xlookup(E$3,daily_items,_xlfn.xlookup($C577,daily_dates,big_daily_table)))</f>
        <v>#NAME?</v>
      </c>
    </row>
    <row r="578" customFormat="false" ht="14.25" hidden="false" customHeight="false" outlineLevel="0" collapsed="false">
      <c r="B578" s="7" t="n">
        <v>41483</v>
      </c>
      <c r="C578" s="7" t="n">
        <f aca="false">B578-WEEKDAY(B578)+1</f>
        <v>41483</v>
      </c>
      <c r="D578" s="1" t="e">
        <f aca="false" t="array" ref="D578:D578">IF(ISBLANK(_xlfn.xlookup(D$3,daily_items,_xlfn.xlookup($C578,daily_dates,big_daily_table))),NA(),_xlfn.xlookup(D$3,daily_items,_xlfn.xlookup($C578,daily_dates,big_daily_table)))</f>
        <v>#NAME?</v>
      </c>
      <c r="E578" s="1" t="e">
        <f aca="false" t="array" ref="E578:E578">IF(ISBLANK(_xlfn.xlookup(E$3,daily_items,_xlfn.xlookup($C578,daily_dates,big_daily_table))),NA(),_xlfn.xlookup(E$3,daily_items,_xlfn.xlookup($C578,daily_dates,big_daily_table)))</f>
        <v>#NAME?</v>
      </c>
    </row>
    <row r="579" customFormat="false" ht="14.25" hidden="false" customHeight="false" outlineLevel="0" collapsed="false">
      <c r="B579" s="7" t="n">
        <v>41484</v>
      </c>
      <c r="C579" s="7" t="n">
        <f aca="false">B579-WEEKDAY(B579)+1</f>
        <v>41483</v>
      </c>
      <c r="D579" s="1" t="e">
        <f aca="false" t="array" ref="D579:D579">IF(ISBLANK(_xlfn.xlookup(D$3,daily_items,_xlfn.xlookup($C579,daily_dates,big_daily_table))),NA(),_xlfn.xlookup(D$3,daily_items,_xlfn.xlookup($C579,daily_dates,big_daily_table)))</f>
        <v>#NAME?</v>
      </c>
      <c r="E579" s="1" t="e">
        <f aca="false" t="array" ref="E579:E579">IF(ISBLANK(_xlfn.xlookup(E$3,daily_items,_xlfn.xlookup($C579,daily_dates,big_daily_table))),NA(),_xlfn.xlookup(E$3,daily_items,_xlfn.xlookup($C579,daily_dates,big_daily_table)))</f>
        <v>#NAME?</v>
      </c>
    </row>
    <row r="580" customFormat="false" ht="14.25" hidden="false" customHeight="false" outlineLevel="0" collapsed="false">
      <c r="B580" s="7" t="n">
        <v>41485</v>
      </c>
      <c r="C580" s="7" t="n">
        <f aca="false">B580-WEEKDAY(B580)+1</f>
        <v>41483</v>
      </c>
      <c r="D580" s="1" t="e">
        <f aca="false" t="array" ref="D580:D580">IF(ISBLANK(_xlfn.xlookup(D$3,daily_items,_xlfn.xlookup($C580,daily_dates,big_daily_table))),NA(),_xlfn.xlookup(D$3,daily_items,_xlfn.xlookup($C580,daily_dates,big_daily_table)))</f>
        <v>#NAME?</v>
      </c>
      <c r="E580" s="1" t="e">
        <f aca="false" t="array" ref="E580:E580">IF(ISBLANK(_xlfn.xlookup(E$3,daily_items,_xlfn.xlookup($C580,daily_dates,big_daily_table))),NA(),_xlfn.xlookup(E$3,daily_items,_xlfn.xlookup($C580,daily_dates,big_daily_table)))</f>
        <v>#NAME?</v>
      </c>
    </row>
    <row r="581" customFormat="false" ht="14.25" hidden="false" customHeight="false" outlineLevel="0" collapsed="false">
      <c r="B581" s="7" t="n">
        <v>41486</v>
      </c>
      <c r="C581" s="7" t="n">
        <f aca="false">B581-WEEKDAY(B581)+1</f>
        <v>41483</v>
      </c>
      <c r="D581" s="1" t="e">
        <f aca="false" t="array" ref="D581:D581">IF(ISBLANK(_xlfn.xlookup(D$3,daily_items,_xlfn.xlookup($C581,daily_dates,big_daily_table))),NA(),_xlfn.xlookup(D$3,daily_items,_xlfn.xlookup($C581,daily_dates,big_daily_table)))</f>
        <v>#NAME?</v>
      </c>
      <c r="E581" s="1" t="e">
        <f aca="false" t="array" ref="E581:E581">IF(ISBLANK(_xlfn.xlookup(E$3,daily_items,_xlfn.xlookup($C581,daily_dates,big_daily_table))),NA(),_xlfn.xlookup(E$3,daily_items,_xlfn.xlookup($C581,daily_dates,big_daily_table)))</f>
        <v>#NAME?</v>
      </c>
    </row>
    <row r="582" customFormat="false" ht="14.25" hidden="false" customHeight="false" outlineLevel="0" collapsed="false">
      <c r="B582" s="7" t="n">
        <v>41487</v>
      </c>
      <c r="C582" s="7" t="n">
        <f aca="false">B582-WEEKDAY(B582)+1</f>
        <v>41483</v>
      </c>
      <c r="D582" s="1" t="e">
        <f aca="false" t="array" ref="D582:D582">IF(ISBLANK(_xlfn.xlookup(D$3,daily_items,_xlfn.xlookup($C582,daily_dates,big_daily_table))),NA(),_xlfn.xlookup(D$3,daily_items,_xlfn.xlookup($C582,daily_dates,big_daily_table)))</f>
        <v>#NAME?</v>
      </c>
      <c r="E582" s="1" t="e">
        <f aca="false" t="array" ref="E582:E582">IF(ISBLANK(_xlfn.xlookup(E$3,daily_items,_xlfn.xlookup($C582,daily_dates,big_daily_table))),NA(),_xlfn.xlookup(E$3,daily_items,_xlfn.xlookup($C582,daily_dates,big_daily_table)))</f>
        <v>#NAME?</v>
      </c>
    </row>
    <row r="583" customFormat="false" ht="14.25" hidden="false" customHeight="false" outlineLevel="0" collapsed="false">
      <c r="B583" s="7" t="n">
        <v>41488</v>
      </c>
      <c r="C583" s="7" t="n">
        <f aca="false">B583-WEEKDAY(B583)+1</f>
        <v>41483</v>
      </c>
      <c r="D583" s="1" t="e">
        <f aca="false" t="array" ref="D583:D583">IF(ISBLANK(_xlfn.xlookup(D$3,daily_items,_xlfn.xlookup($C583,daily_dates,big_daily_table))),NA(),_xlfn.xlookup(D$3,daily_items,_xlfn.xlookup($C583,daily_dates,big_daily_table)))</f>
        <v>#NAME?</v>
      </c>
      <c r="E583" s="1" t="e">
        <f aca="false" t="array" ref="E583:E583">IF(ISBLANK(_xlfn.xlookup(E$3,daily_items,_xlfn.xlookup($C583,daily_dates,big_daily_table))),NA(),_xlfn.xlookup(E$3,daily_items,_xlfn.xlookup($C583,daily_dates,big_daily_table)))</f>
        <v>#NAME?</v>
      </c>
    </row>
    <row r="584" customFormat="false" ht="14.25" hidden="false" customHeight="false" outlineLevel="0" collapsed="false">
      <c r="B584" s="7" t="n">
        <v>41489</v>
      </c>
      <c r="C584" s="7" t="n">
        <f aca="false">B584-WEEKDAY(B584)+1</f>
        <v>41483</v>
      </c>
      <c r="D584" s="1" t="e">
        <f aca="false" t="array" ref="D584:D584">IF(ISBLANK(_xlfn.xlookup(D$3,daily_items,_xlfn.xlookup($C584,daily_dates,big_daily_table))),NA(),_xlfn.xlookup(D$3,daily_items,_xlfn.xlookup($C584,daily_dates,big_daily_table)))</f>
        <v>#NAME?</v>
      </c>
      <c r="E584" s="1" t="e">
        <f aca="false" t="array" ref="E584:E584">IF(ISBLANK(_xlfn.xlookup(E$3,daily_items,_xlfn.xlookup($C584,daily_dates,big_daily_table))),NA(),_xlfn.xlookup(E$3,daily_items,_xlfn.xlookup($C584,daily_dates,big_daily_table)))</f>
        <v>#NAME?</v>
      </c>
    </row>
    <row r="585" customFormat="false" ht="14.25" hidden="false" customHeight="false" outlineLevel="0" collapsed="false">
      <c r="B585" s="7" t="n">
        <v>41490</v>
      </c>
      <c r="C585" s="7" t="n">
        <f aca="false">B585-WEEKDAY(B585)+1</f>
        <v>41490</v>
      </c>
      <c r="D585" s="1" t="e">
        <f aca="false" t="array" ref="D585:D585">IF(ISBLANK(_xlfn.xlookup(D$3,daily_items,_xlfn.xlookup($C585,daily_dates,big_daily_table))),NA(),_xlfn.xlookup(D$3,daily_items,_xlfn.xlookup($C585,daily_dates,big_daily_table)))</f>
        <v>#NAME?</v>
      </c>
      <c r="E585" s="1" t="e">
        <f aca="false" t="array" ref="E585:E585">IF(ISBLANK(_xlfn.xlookup(E$3,daily_items,_xlfn.xlookup($C585,daily_dates,big_daily_table))),NA(),_xlfn.xlookup(E$3,daily_items,_xlfn.xlookup($C585,daily_dates,big_daily_table)))</f>
        <v>#NAME?</v>
      </c>
    </row>
    <row r="586" customFormat="false" ht="14.25" hidden="false" customHeight="false" outlineLevel="0" collapsed="false">
      <c r="B586" s="7" t="n">
        <v>41491</v>
      </c>
      <c r="C586" s="7" t="n">
        <f aca="false">B586-WEEKDAY(B586)+1</f>
        <v>41490</v>
      </c>
      <c r="D586" s="1" t="e">
        <f aca="false" t="array" ref="D586:D586">IF(ISBLANK(_xlfn.xlookup(D$3,daily_items,_xlfn.xlookup($C586,daily_dates,big_daily_table))),NA(),_xlfn.xlookup(D$3,daily_items,_xlfn.xlookup($C586,daily_dates,big_daily_table)))</f>
        <v>#NAME?</v>
      </c>
      <c r="E586" s="1" t="e">
        <f aca="false" t="array" ref="E586:E586">IF(ISBLANK(_xlfn.xlookup(E$3,daily_items,_xlfn.xlookup($C586,daily_dates,big_daily_table))),NA(),_xlfn.xlookup(E$3,daily_items,_xlfn.xlookup($C586,daily_dates,big_daily_table)))</f>
        <v>#NAME?</v>
      </c>
    </row>
    <row r="587" customFormat="false" ht="14.25" hidden="false" customHeight="false" outlineLevel="0" collapsed="false">
      <c r="B587" s="7" t="n">
        <v>41492</v>
      </c>
      <c r="C587" s="7" t="n">
        <f aca="false">B587-WEEKDAY(B587)+1</f>
        <v>41490</v>
      </c>
      <c r="D587" s="1" t="e">
        <f aca="false" t="array" ref="D587:D587">IF(ISBLANK(_xlfn.xlookup(D$3,daily_items,_xlfn.xlookup($C587,daily_dates,big_daily_table))),NA(),_xlfn.xlookup(D$3,daily_items,_xlfn.xlookup($C587,daily_dates,big_daily_table)))</f>
        <v>#NAME?</v>
      </c>
      <c r="E587" s="1" t="e">
        <f aca="false" t="array" ref="E587:E587">IF(ISBLANK(_xlfn.xlookup(E$3,daily_items,_xlfn.xlookup($C587,daily_dates,big_daily_table))),NA(),_xlfn.xlookup(E$3,daily_items,_xlfn.xlookup($C587,daily_dates,big_daily_table)))</f>
        <v>#NAME?</v>
      </c>
    </row>
    <row r="588" customFormat="false" ht="14.25" hidden="false" customHeight="false" outlineLevel="0" collapsed="false">
      <c r="B588" s="7" t="n">
        <v>41493</v>
      </c>
      <c r="C588" s="7" t="n">
        <f aca="false">B588-WEEKDAY(B588)+1</f>
        <v>41490</v>
      </c>
      <c r="D588" s="1" t="e">
        <f aca="false" t="array" ref="D588:D588">IF(ISBLANK(_xlfn.xlookup(D$3,daily_items,_xlfn.xlookup($C588,daily_dates,big_daily_table))),NA(),_xlfn.xlookup(D$3,daily_items,_xlfn.xlookup($C588,daily_dates,big_daily_table)))</f>
        <v>#NAME?</v>
      </c>
      <c r="E588" s="1" t="e">
        <f aca="false" t="array" ref="E588:E588">IF(ISBLANK(_xlfn.xlookup(E$3,daily_items,_xlfn.xlookup($C588,daily_dates,big_daily_table))),NA(),_xlfn.xlookup(E$3,daily_items,_xlfn.xlookup($C588,daily_dates,big_daily_table)))</f>
        <v>#NAME?</v>
      </c>
    </row>
    <row r="589" customFormat="false" ht="14.25" hidden="false" customHeight="false" outlineLevel="0" collapsed="false">
      <c r="B589" s="7" t="n">
        <v>41494</v>
      </c>
      <c r="C589" s="7" t="n">
        <f aca="false">B589-WEEKDAY(B589)+1</f>
        <v>41490</v>
      </c>
      <c r="D589" s="1" t="e">
        <f aca="false" t="array" ref="D589:D589">IF(ISBLANK(_xlfn.xlookup(D$3,daily_items,_xlfn.xlookup($C589,daily_dates,big_daily_table))),NA(),_xlfn.xlookup(D$3,daily_items,_xlfn.xlookup($C589,daily_dates,big_daily_table)))</f>
        <v>#NAME?</v>
      </c>
      <c r="E589" s="1" t="e">
        <f aca="false" t="array" ref="E589:E589">IF(ISBLANK(_xlfn.xlookup(E$3,daily_items,_xlfn.xlookup($C589,daily_dates,big_daily_table))),NA(),_xlfn.xlookup(E$3,daily_items,_xlfn.xlookup($C589,daily_dates,big_daily_table)))</f>
        <v>#NAME?</v>
      </c>
    </row>
    <row r="590" customFormat="false" ht="14.25" hidden="false" customHeight="false" outlineLevel="0" collapsed="false">
      <c r="B590" s="7" t="n">
        <v>41495</v>
      </c>
      <c r="C590" s="7" t="n">
        <f aca="false">B590-WEEKDAY(B590)+1</f>
        <v>41490</v>
      </c>
      <c r="D590" s="1" t="e">
        <f aca="false" t="array" ref="D590:D590">IF(ISBLANK(_xlfn.xlookup(D$3,daily_items,_xlfn.xlookup($C590,daily_dates,big_daily_table))),NA(),_xlfn.xlookup(D$3,daily_items,_xlfn.xlookup($C590,daily_dates,big_daily_table)))</f>
        <v>#NAME?</v>
      </c>
      <c r="E590" s="1" t="e">
        <f aca="false" t="array" ref="E590:E590">IF(ISBLANK(_xlfn.xlookup(E$3,daily_items,_xlfn.xlookup($C590,daily_dates,big_daily_table))),NA(),_xlfn.xlookup(E$3,daily_items,_xlfn.xlookup($C590,daily_dates,big_daily_table)))</f>
        <v>#NAME?</v>
      </c>
    </row>
    <row r="591" customFormat="false" ht="14.25" hidden="false" customHeight="false" outlineLevel="0" collapsed="false">
      <c r="B591" s="7" t="n">
        <v>41496</v>
      </c>
      <c r="C591" s="7" t="n">
        <f aca="false">B591-WEEKDAY(B591)+1</f>
        <v>41490</v>
      </c>
      <c r="D591" s="1" t="e">
        <f aca="false" t="array" ref="D591:D591">IF(ISBLANK(_xlfn.xlookup(D$3,daily_items,_xlfn.xlookup($C591,daily_dates,big_daily_table))),NA(),_xlfn.xlookup(D$3,daily_items,_xlfn.xlookup($C591,daily_dates,big_daily_table)))</f>
        <v>#NAME?</v>
      </c>
      <c r="E591" s="1" t="e">
        <f aca="false" t="array" ref="E591:E591">IF(ISBLANK(_xlfn.xlookup(E$3,daily_items,_xlfn.xlookup($C591,daily_dates,big_daily_table))),NA(),_xlfn.xlookup(E$3,daily_items,_xlfn.xlookup($C591,daily_dates,big_daily_table)))</f>
        <v>#NAME?</v>
      </c>
    </row>
    <row r="592" customFormat="false" ht="14.25" hidden="false" customHeight="false" outlineLevel="0" collapsed="false">
      <c r="B592" s="7" t="n">
        <v>41497</v>
      </c>
      <c r="C592" s="7" t="n">
        <f aca="false">B592-WEEKDAY(B592)+1</f>
        <v>41497</v>
      </c>
      <c r="D592" s="1" t="e">
        <f aca="false" t="array" ref="D592:D592">IF(ISBLANK(_xlfn.xlookup(D$3,daily_items,_xlfn.xlookup($C592,daily_dates,big_daily_table))),NA(),_xlfn.xlookup(D$3,daily_items,_xlfn.xlookup($C592,daily_dates,big_daily_table)))</f>
        <v>#NAME?</v>
      </c>
      <c r="E592" s="1" t="e">
        <f aca="false" t="array" ref="E592:E592">IF(ISBLANK(_xlfn.xlookup(E$3,daily_items,_xlfn.xlookup($C592,daily_dates,big_daily_table))),NA(),_xlfn.xlookup(E$3,daily_items,_xlfn.xlookup($C592,daily_dates,big_daily_table)))</f>
        <v>#NAME?</v>
      </c>
    </row>
    <row r="593" customFormat="false" ht="14.25" hidden="false" customHeight="false" outlineLevel="0" collapsed="false">
      <c r="B593" s="7" t="n">
        <v>41498</v>
      </c>
      <c r="C593" s="7" t="n">
        <f aca="false">B593-WEEKDAY(B593)+1</f>
        <v>41497</v>
      </c>
      <c r="D593" s="1" t="e">
        <f aca="false" t="array" ref="D593:D593">IF(ISBLANK(_xlfn.xlookup(D$3,daily_items,_xlfn.xlookup($C593,daily_dates,big_daily_table))),NA(),_xlfn.xlookup(D$3,daily_items,_xlfn.xlookup($C593,daily_dates,big_daily_table)))</f>
        <v>#NAME?</v>
      </c>
      <c r="E593" s="1" t="e">
        <f aca="false" t="array" ref="E593:E593">IF(ISBLANK(_xlfn.xlookup(E$3,daily_items,_xlfn.xlookup($C593,daily_dates,big_daily_table))),NA(),_xlfn.xlookup(E$3,daily_items,_xlfn.xlookup($C593,daily_dates,big_daily_table)))</f>
        <v>#NAME?</v>
      </c>
    </row>
    <row r="594" customFormat="false" ht="14.25" hidden="false" customHeight="false" outlineLevel="0" collapsed="false">
      <c r="B594" s="7" t="n">
        <v>41499</v>
      </c>
      <c r="C594" s="7" t="n">
        <f aca="false">B594-WEEKDAY(B594)+1</f>
        <v>41497</v>
      </c>
      <c r="D594" s="1" t="e">
        <f aca="false" t="array" ref="D594:D594">IF(ISBLANK(_xlfn.xlookup(D$3,daily_items,_xlfn.xlookup($C594,daily_dates,big_daily_table))),NA(),_xlfn.xlookup(D$3,daily_items,_xlfn.xlookup($C594,daily_dates,big_daily_table)))</f>
        <v>#NAME?</v>
      </c>
      <c r="E594" s="1" t="e">
        <f aca="false" t="array" ref="E594:E594">IF(ISBLANK(_xlfn.xlookup(E$3,daily_items,_xlfn.xlookup($C594,daily_dates,big_daily_table))),NA(),_xlfn.xlookup(E$3,daily_items,_xlfn.xlookup($C594,daily_dates,big_daily_table)))</f>
        <v>#NAME?</v>
      </c>
    </row>
    <row r="595" customFormat="false" ht="14.25" hidden="false" customHeight="false" outlineLevel="0" collapsed="false">
      <c r="B595" s="7" t="n">
        <v>41500</v>
      </c>
      <c r="C595" s="7" t="n">
        <f aca="false">B595-WEEKDAY(B595)+1</f>
        <v>41497</v>
      </c>
      <c r="D595" s="1" t="e">
        <f aca="false" t="array" ref="D595:D595">IF(ISBLANK(_xlfn.xlookup(D$3,daily_items,_xlfn.xlookup($C595,daily_dates,big_daily_table))),NA(),_xlfn.xlookup(D$3,daily_items,_xlfn.xlookup($C595,daily_dates,big_daily_table)))</f>
        <v>#NAME?</v>
      </c>
      <c r="E595" s="1" t="e">
        <f aca="false" t="array" ref="E595:E595">IF(ISBLANK(_xlfn.xlookup(E$3,daily_items,_xlfn.xlookup($C595,daily_dates,big_daily_table))),NA(),_xlfn.xlookup(E$3,daily_items,_xlfn.xlookup($C595,daily_dates,big_daily_table)))</f>
        <v>#NAME?</v>
      </c>
    </row>
    <row r="596" customFormat="false" ht="14.25" hidden="false" customHeight="false" outlineLevel="0" collapsed="false">
      <c r="B596" s="7" t="n">
        <v>41501</v>
      </c>
      <c r="C596" s="7" t="n">
        <f aca="false">B596-WEEKDAY(B596)+1</f>
        <v>41497</v>
      </c>
      <c r="D596" s="1" t="e">
        <f aca="false" t="array" ref="D596:D596">IF(ISBLANK(_xlfn.xlookup(D$3,daily_items,_xlfn.xlookup($C596,daily_dates,big_daily_table))),NA(),_xlfn.xlookup(D$3,daily_items,_xlfn.xlookup($C596,daily_dates,big_daily_table)))</f>
        <v>#NAME?</v>
      </c>
      <c r="E596" s="1" t="e">
        <f aca="false" t="array" ref="E596:E596">IF(ISBLANK(_xlfn.xlookup(E$3,daily_items,_xlfn.xlookup($C596,daily_dates,big_daily_table))),NA(),_xlfn.xlookup(E$3,daily_items,_xlfn.xlookup($C596,daily_dates,big_daily_table)))</f>
        <v>#NAME?</v>
      </c>
    </row>
    <row r="597" customFormat="false" ht="14.25" hidden="false" customHeight="false" outlineLevel="0" collapsed="false">
      <c r="B597" s="7" t="n">
        <v>41502</v>
      </c>
      <c r="C597" s="7" t="n">
        <f aca="false">B597-WEEKDAY(B597)+1</f>
        <v>41497</v>
      </c>
      <c r="D597" s="1" t="e">
        <f aca="false" t="array" ref="D597:D597">IF(ISBLANK(_xlfn.xlookup(D$3,daily_items,_xlfn.xlookup($C597,daily_dates,big_daily_table))),NA(),_xlfn.xlookup(D$3,daily_items,_xlfn.xlookup($C597,daily_dates,big_daily_table)))</f>
        <v>#NAME?</v>
      </c>
      <c r="E597" s="1" t="e">
        <f aca="false" t="array" ref="E597:E597">IF(ISBLANK(_xlfn.xlookup(E$3,daily_items,_xlfn.xlookup($C597,daily_dates,big_daily_table))),NA(),_xlfn.xlookup(E$3,daily_items,_xlfn.xlookup($C597,daily_dates,big_daily_table)))</f>
        <v>#NAME?</v>
      </c>
    </row>
    <row r="598" customFormat="false" ht="14.25" hidden="false" customHeight="false" outlineLevel="0" collapsed="false">
      <c r="B598" s="7" t="n">
        <v>41503</v>
      </c>
      <c r="C598" s="7" t="n">
        <f aca="false">B598-WEEKDAY(B598)+1</f>
        <v>41497</v>
      </c>
      <c r="D598" s="1" t="e">
        <f aca="false" t="array" ref="D598:D598">IF(ISBLANK(_xlfn.xlookup(D$3,daily_items,_xlfn.xlookup($C598,daily_dates,big_daily_table))),NA(),_xlfn.xlookup(D$3,daily_items,_xlfn.xlookup($C598,daily_dates,big_daily_table)))</f>
        <v>#NAME?</v>
      </c>
      <c r="E598" s="1" t="e">
        <f aca="false" t="array" ref="E598:E598">IF(ISBLANK(_xlfn.xlookup(E$3,daily_items,_xlfn.xlookup($C598,daily_dates,big_daily_table))),NA(),_xlfn.xlookup(E$3,daily_items,_xlfn.xlookup($C598,daily_dates,big_daily_table)))</f>
        <v>#NAME?</v>
      </c>
    </row>
    <row r="599" customFormat="false" ht="14.25" hidden="false" customHeight="false" outlineLevel="0" collapsed="false">
      <c r="B599" s="7" t="n">
        <v>41504</v>
      </c>
      <c r="C599" s="7" t="n">
        <f aca="false">B599-WEEKDAY(B599)+1</f>
        <v>41504</v>
      </c>
      <c r="D599" s="1" t="e">
        <f aca="false" t="array" ref="D599:D599">IF(ISBLANK(_xlfn.xlookup(D$3,daily_items,_xlfn.xlookup($C599,daily_dates,big_daily_table))),NA(),_xlfn.xlookup(D$3,daily_items,_xlfn.xlookup($C599,daily_dates,big_daily_table)))</f>
        <v>#NAME?</v>
      </c>
      <c r="E599" s="1" t="e">
        <f aca="false" t="array" ref="E599:E599">IF(ISBLANK(_xlfn.xlookup(E$3,daily_items,_xlfn.xlookup($C599,daily_dates,big_daily_table))),NA(),_xlfn.xlookup(E$3,daily_items,_xlfn.xlookup($C599,daily_dates,big_daily_table)))</f>
        <v>#NAME?</v>
      </c>
    </row>
    <row r="600" customFormat="false" ht="14.25" hidden="false" customHeight="false" outlineLevel="0" collapsed="false">
      <c r="B600" s="7" t="n">
        <v>41505</v>
      </c>
      <c r="C600" s="7" t="n">
        <f aca="false">B600-WEEKDAY(B600)+1</f>
        <v>41504</v>
      </c>
      <c r="D600" s="1" t="e">
        <f aca="false" t="array" ref="D600:D600">IF(ISBLANK(_xlfn.xlookup(D$3,daily_items,_xlfn.xlookup($C600,daily_dates,big_daily_table))),NA(),_xlfn.xlookup(D$3,daily_items,_xlfn.xlookup($C600,daily_dates,big_daily_table)))</f>
        <v>#NAME?</v>
      </c>
      <c r="E600" s="1" t="e">
        <f aca="false" t="array" ref="E600:E600">IF(ISBLANK(_xlfn.xlookup(E$3,daily_items,_xlfn.xlookup($C600,daily_dates,big_daily_table))),NA(),_xlfn.xlookup(E$3,daily_items,_xlfn.xlookup($C600,daily_dates,big_daily_table)))</f>
        <v>#NAME?</v>
      </c>
    </row>
    <row r="601" customFormat="false" ht="14.25" hidden="false" customHeight="false" outlineLevel="0" collapsed="false">
      <c r="B601" s="7" t="n">
        <v>41506</v>
      </c>
      <c r="C601" s="7" t="n">
        <f aca="false">B601-WEEKDAY(B601)+1</f>
        <v>41504</v>
      </c>
      <c r="D601" s="1" t="e">
        <f aca="false" t="array" ref="D601:D601">IF(ISBLANK(_xlfn.xlookup(D$3,daily_items,_xlfn.xlookup($C601,daily_dates,big_daily_table))),NA(),_xlfn.xlookup(D$3,daily_items,_xlfn.xlookup($C601,daily_dates,big_daily_table)))</f>
        <v>#NAME?</v>
      </c>
      <c r="E601" s="1" t="e">
        <f aca="false" t="array" ref="E601:E601">IF(ISBLANK(_xlfn.xlookup(E$3,daily_items,_xlfn.xlookup($C601,daily_dates,big_daily_table))),NA(),_xlfn.xlookup(E$3,daily_items,_xlfn.xlookup($C601,daily_dates,big_daily_table)))</f>
        <v>#NAME?</v>
      </c>
    </row>
    <row r="602" customFormat="false" ht="14.25" hidden="false" customHeight="false" outlineLevel="0" collapsed="false">
      <c r="B602" s="7" t="n">
        <v>41507</v>
      </c>
      <c r="C602" s="7" t="n">
        <f aca="false">B602-WEEKDAY(B602)+1</f>
        <v>41504</v>
      </c>
      <c r="D602" s="1" t="e">
        <f aca="false" t="array" ref="D602:D602">IF(ISBLANK(_xlfn.xlookup(D$3,daily_items,_xlfn.xlookup($C602,daily_dates,big_daily_table))),NA(),_xlfn.xlookup(D$3,daily_items,_xlfn.xlookup($C602,daily_dates,big_daily_table)))</f>
        <v>#NAME?</v>
      </c>
      <c r="E602" s="1" t="e">
        <f aca="false" t="array" ref="E602:E602">IF(ISBLANK(_xlfn.xlookup(E$3,daily_items,_xlfn.xlookup($C602,daily_dates,big_daily_table))),NA(),_xlfn.xlookup(E$3,daily_items,_xlfn.xlookup($C602,daily_dates,big_daily_table)))</f>
        <v>#NAME?</v>
      </c>
    </row>
    <row r="603" customFormat="false" ht="14.25" hidden="false" customHeight="false" outlineLevel="0" collapsed="false">
      <c r="B603" s="7" t="n">
        <v>41508</v>
      </c>
      <c r="C603" s="7" t="n">
        <f aca="false">B603-WEEKDAY(B603)+1</f>
        <v>41504</v>
      </c>
      <c r="D603" s="1" t="e">
        <f aca="false" t="array" ref="D603:D603">IF(ISBLANK(_xlfn.xlookup(D$3,daily_items,_xlfn.xlookup($C603,daily_dates,big_daily_table))),NA(),_xlfn.xlookup(D$3,daily_items,_xlfn.xlookup($C603,daily_dates,big_daily_table)))</f>
        <v>#NAME?</v>
      </c>
      <c r="E603" s="1" t="e">
        <f aca="false" t="array" ref="E603:E603">IF(ISBLANK(_xlfn.xlookup(E$3,daily_items,_xlfn.xlookup($C603,daily_dates,big_daily_table))),NA(),_xlfn.xlookup(E$3,daily_items,_xlfn.xlookup($C603,daily_dates,big_daily_table)))</f>
        <v>#NAME?</v>
      </c>
    </row>
    <row r="604" customFormat="false" ht="14.25" hidden="false" customHeight="false" outlineLevel="0" collapsed="false">
      <c r="B604" s="7" t="n">
        <v>41509</v>
      </c>
      <c r="C604" s="7" t="n">
        <f aca="false">B604-WEEKDAY(B604)+1</f>
        <v>41504</v>
      </c>
      <c r="D604" s="1" t="e">
        <f aca="false" t="array" ref="D604:D604">IF(ISBLANK(_xlfn.xlookup(D$3,daily_items,_xlfn.xlookup($C604,daily_dates,big_daily_table))),NA(),_xlfn.xlookup(D$3,daily_items,_xlfn.xlookup($C604,daily_dates,big_daily_table)))</f>
        <v>#NAME?</v>
      </c>
      <c r="E604" s="1" t="e">
        <f aca="false" t="array" ref="E604:E604">IF(ISBLANK(_xlfn.xlookup(E$3,daily_items,_xlfn.xlookup($C604,daily_dates,big_daily_table))),NA(),_xlfn.xlookup(E$3,daily_items,_xlfn.xlookup($C604,daily_dates,big_daily_table)))</f>
        <v>#NAME?</v>
      </c>
    </row>
    <row r="605" customFormat="false" ht="14.25" hidden="false" customHeight="false" outlineLevel="0" collapsed="false">
      <c r="B605" s="7" t="n">
        <v>41510</v>
      </c>
      <c r="C605" s="7" t="n">
        <f aca="false">B605-WEEKDAY(B605)+1</f>
        <v>41504</v>
      </c>
      <c r="D605" s="1" t="e">
        <f aca="false" t="array" ref="D605:D605">IF(ISBLANK(_xlfn.xlookup(D$3,daily_items,_xlfn.xlookup($C605,daily_dates,big_daily_table))),NA(),_xlfn.xlookup(D$3,daily_items,_xlfn.xlookup($C605,daily_dates,big_daily_table)))</f>
        <v>#NAME?</v>
      </c>
      <c r="E605" s="1" t="e">
        <f aca="false" t="array" ref="E605:E605">IF(ISBLANK(_xlfn.xlookup(E$3,daily_items,_xlfn.xlookup($C605,daily_dates,big_daily_table))),NA(),_xlfn.xlookup(E$3,daily_items,_xlfn.xlookup($C605,daily_dates,big_daily_table)))</f>
        <v>#NAME?</v>
      </c>
    </row>
    <row r="606" customFormat="false" ht="14.25" hidden="false" customHeight="false" outlineLevel="0" collapsed="false">
      <c r="B606" s="7" t="n">
        <v>41511</v>
      </c>
      <c r="C606" s="7" t="n">
        <f aca="false">B606-WEEKDAY(B606)+1</f>
        <v>41511</v>
      </c>
      <c r="D606" s="1" t="e">
        <f aca="false" t="array" ref="D606:D606">IF(ISBLANK(_xlfn.xlookup(D$3,daily_items,_xlfn.xlookup($C606,daily_dates,big_daily_table))),NA(),_xlfn.xlookup(D$3,daily_items,_xlfn.xlookup($C606,daily_dates,big_daily_table)))</f>
        <v>#NAME?</v>
      </c>
      <c r="E606" s="1" t="e">
        <f aca="false" t="array" ref="E606:E606">IF(ISBLANK(_xlfn.xlookup(E$3,daily_items,_xlfn.xlookup($C606,daily_dates,big_daily_table))),NA(),_xlfn.xlookup(E$3,daily_items,_xlfn.xlookup($C606,daily_dates,big_daily_table)))</f>
        <v>#NAME?</v>
      </c>
    </row>
    <row r="607" customFormat="false" ht="14.25" hidden="false" customHeight="false" outlineLevel="0" collapsed="false">
      <c r="B607" s="7" t="n">
        <v>41512</v>
      </c>
      <c r="C607" s="7" t="n">
        <f aca="false">B607-WEEKDAY(B607)+1</f>
        <v>41511</v>
      </c>
      <c r="D607" s="1" t="e">
        <f aca="false" t="array" ref="D607:D607">IF(ISBLANK(_xlfn.xlookup(D$3,daily_items,_xlfn.xlookup($C607,daily_dates,big_daily_table))),NA(),_xlfn.xlookup(D$3,daily_items,_xlfn.xlookup($C607,daily_dates,big_daily_table)))</f>
        <v>#NAME?</v>
      </c>
      <c r="E607" s="1" t="e">
        <f aca="false" t="array" ref="E607:E607">IF(ISBLANK(_xlfn.xlookup(E$3,daily_items,_xlfn.xlookup($C607,daily_dates,big_daily_table))),NA(),_xlfn.xlookup(E$3,daily_items,_xlfn.xlookup($C607,daily_dates,big_daily_table)))</f>
        <v>#NAME?</v>
      </c>
    </row>
    <row r="608" customFormat="false" ht="14.25" hidden="false" customHeight="false" outlineLevel="0" collapsed="false">
      <c r="B608" s="7" t="n">
        <v>41513</v>
      </c>
      <c r="C608" s="7" t="n">
        <f aca="false">B608-WEEKDAY(B608)+1</f>
        <v>41511</v>
      </c>
      <c r="D608" s="1" t="e">
        <f aca="false" t="array" ref="D608:D608">IF(ISBLANK(_xlfn.xlookup(D$3,daily_items,_xlfn.xlookup($C608,daily_dates,big_daily_table))),NA(),_xlfn.xlookup(D$3,daily_items,_xlfn.xlookup($C608,daily_dates,big_daily_table)))</f>
        <v>#NAME?</v>
      </c>
      <c r="E608" s="1" t="e">
        <f aca="false" t="array" ref="E608:E608">IF(ISBLANK(_xlfn.xlookup(E$3,daily_items,_xlfn.xlookup($C608,daily_dates,big_daily_table))),NA(),_xlfn.xlookup(E$3,daily_items,_xlfn.xlookup($C608,daily_dates,big_daily_table)))</f>
        <v>#NAME?</v>
      </c>
    </row>
    <row r="609" customFormat="false" ht="14.25" hidden="false" customHeight="false" outlineLevel="0" collapsed="false">
      <c r="B609" s="7" t="n">
        <v>41514</v>
      </c>
      <c r="C609" s="7" t="n">
        <f aca="false">B609-WEEKDAY(B609)+1</f>
        <v>41511</v>
      </c>
      <c r="D609" s="1" t="e">
        <f aca="false" t="array" ref="D609:D609">IF(ISBLANK(_xlfn.xlookup(D$3,daily_items,_xlfn.xlookup($C609,daily_dates,big_daily_table))),NA(),_xlfn.xlookup(D$3,daily_items,_xlfn.xlookup($C609,daily_dates,big_daily_table)))</f>
        <v>#NAME?</v>
      </c>
      <c r="E609" s="1" t="e">
        <f aca="false" t="array" ref="E609:E609">IF(ISBLANK(_xlfn.xlookup(E$3,daily_items,_xlfn.xlookup($C609,daily_dates,big_daily_table))),NA(),_xlfn.xlookup(E$3,daily_items,_xlfn.xlookup($C609,daily_dates,big_daily_table)))</f>
        <v>#NAME?</v>
      </c>
    </row>
    <row r="610" customFormat="false" ht="14.25" hidden="false" customHeight="false" outlineLevel="0" collapsed="false">
      <c r="B610" s="7" t="n">
        <v>41515</v>
      </c>
      <c r="C610" s="7" t="n">
        <f aca="false">B610-WEEKDAY(B610)+1</f>
        <v>41511</v>
      </c>
      <c r="D610" s="1" t="e">
        <f aca="false" t="array" ref="D610:D610">IF(ISBLANK(_xlfn.xlookup(D$3,daily_items,_xlfn.xlookup($C610,daily_dates,big_daily_table))),NA(),_xlfn.xlookup(D$3,daily_items,_xlfn.xlookup($C610,daily_dates,big_daily_table)))</f>
        <v>#NAME?</v>
      </c>
      <c r="E610" s="1" t="e">
        <f aca="false" t="array" ref="E610:E610">IF(ISBLANK(_xlfn.xlookup(E$3,daily_items,_xlfn.xlookup($C610,daily_dates,big_daily_table))),NA(),_xlfn.xlookup(E$3,daily_items,_xlfn.xlookup($C610,daily_dates,big_daily_table)))</f>
        <v>#NAME?</v>
      </c>
    </row>
    <row r="611" customFormat="false" ht="14.25" hidden="false" customHeight="false" outlineLevel="0" collapsed="false">
      <c r="B611" s="7" t="n">
        <v>41516</v>
      </c>
      <c r="C611" s="7" t="n">
        <f aca="false">B611-WEEKDAY(B611)+1</f>
        <v>41511</v>
      </c>
      <c r="D611" s="1" t="e">
        <f aca="false" t="array" ref="D611:D611">IF(ISBLANK(_xlfn.xlookup(D$3,daily_items,_xlfn.xlookup($C611,daily_dates,big_daily_table))),NA(),_xlfn.xlookup(D$3,daily_items,_xlfn.xlookup($C611,daily_dates,big_daily_table)))</f>
        <v>#NAME?</v>
      </c>
      <c r="E611" s="1" t="e">
        <f aca="false" t="array" ref="E611:E611">IF(ISBLANK(_xlfn.xlookup(E$3,daily_items,_xlfn.xlookup($C611,daily_dates,big_daily_table))),NA(),_xlfn.xlookup(E$3,daily_items,_xlfn.xlookup($C611,daily_dates,big_daily_table)))</f>
        <v>#NAME?</v>
      </c>
    </row>
    <row r="612" customFormat="false" ht="14.25" hidden="false" customHeight="false" outlineLevel="0" collapsed="false">
      <c r="B612" s="7" t="n">
        <v>41517</v>
      </c>
      <c r="C612" s="7" t="n">
        <f aca="false">B612-WEEKDAY(B612)+1</f>
        <v>41511</v>
      </c>
      <c r="D612" s="1" t="e">
        <f aca="false" t="array" ref="D612:D612">IF(ISBLANK(_xlfn.xlookup(D$3,daily_items,_xlfn.xlookup($C612,daily_dates,big_daily_table))),NA(),_xlfn.xlookup(D$3,daily_items,_xlfn.xlookup($C612,daily_dates,big_daily_table)))</f>
        <v>#NAME?</v>
      </c>
      <c r="E612" s="1" t="e">
        <f aca="false" t="array" ref="E612:E612">IF(ISBLANK(_xlfn.xlookup(E$3,daily_items,_xlfn.xlookup($C612,daily_dates,big_daily_table))),NA(),_xlfn.xlookup(E$3,daily_items,_xlfn.xlookup($C612,daily_dates,big_daily_table)))</f>
        <v>#NAME?</v>
      </c>
    </row>
    <row r="613" customFormat="false" ht="14.25" hidden="false" customHeight="false" outlineLevel="0" collapsed="false">
      <c r="B613" s="7" t="n">
        <v>41518</v>
      </c>
      <c r="C613" s="7" t="n">
        <f aca="false">B613-WEEKDAY(B613)+1</f>
        <v>41518</v>
      </c>
      <c r="D613" s="1" t="e">
        <f aca="false" t="array" ref="D613:D613">IF(ISBLANK(_xlfn.xlookup(D$3,daily_items,_xlfn.xlookup($C613,daily_dates,big_daily_table))),NA(),_xlfn.xlookup(D$3,daily_items,_xlfn.xlookup($C613,daily_dates,big_daily_table)))</f>
        <v>#NAME?</v>
      </c>
      <c r="E613" s="1" t="e">
        <f aca="false" t="array" ref="E613:E613">IF(ISBLANK(_xlfn.xlookup(E$3,daily_items,_xlfn.xlookup($C613,daily_dates,big_daily_table))),NA(),_xlfn.xlookup(E$3,daily_items,_xlfn.xlookup($C613,daily_dates,big_daily_table)))</f>
        <v>#NAME?</v>
      </c>
    </row>
    <row r="614" customFormat="false" ht="14.25" hidden="false" customHeight="false" outlineLevel="0" collapsed="false">
      <c r="B614" s="7" t="n">
        <v>41519</v>
      </c>
      <c r="C614" s="7" t="n">
        <f aca="false">B614-WEEKDAY(B614)+1</f>
        <v>41518</v>
      </c>
      <c r="D614" s="1" t="e">
        <f aca="false" t="array" ref="D614:D614">IF(ISBLANK(_xlfn.xlookup(D$3,daily_items,_xlfn.xlookup($C614,daily_dates,big_daily_table))),NA(),_xlfn.xlookup(D$3,daily_items,_xlfn.xlookup($C614,daily_dates,big_daily_table)))</f>
        <v>#NAME?</v>
      </c>
      <c r="E614" s="1" t="e">
        <f aca="false" t="array" ref="E614:E614">IF(ISBLANK(_xlfn.xlookup(E$3,daily_items,_xlfn.xlookup($C614,daily_dates,big_daily_table))),NA(),_xlfn.xlookup(E$3,daily_items,_xlfn.xlookup($C614,daily_dates,big_daily_table)))</f>
        <v>#NAME?</v>
      </c>
    </row>
    <row r="615" customFormat="false" ht="14.25" hidden="false" customHeight="false" outlineLevel="0" collapsed="false">
      <c r="B615" s="7" t="n">
        <v>41520</v>
      </c>
      <c r="C615" s="7" t="n">
        <f aca="false">B615-WEEKDAY(B615)+1</f>
        <v>41518</v>
      </c>
      <c r="D615" s="1" t="e">
        <f aca="false" t="array" ref="D615:D615">IF(ISBLANK(_xlfn.xlookup(D$3,daily_items,_xlfn.xlookup($C615,daily_dates,big_daily_table))),NA(),_xlfn.xlookup(D$3,daily_items,_xlfn.xlookup($C615,daily_dates,big_daily_table)))</f>
        <v>#NAME?</v>
      </c>
      <c r="E615" s="1" t="e">
        <f aca="false" t="array" ref="E615:E615">IF(ISBLANK(_xlfn.xlookup(E$3,daily_items,_xlfn.xlookup($C615,daily_dates,big_daily_table))),NA(),_xlfn.xlookup(E$3,daily_items,_xlfn.xlookup($C615,daily_dates,big_daily_table)))</f>
        <v>#NAME?</v>
      </c>
    </row>
    <row r="616" customFormat="false" ht="14.25" hidden="false" customHeight="false" outlineLevel="0" collapsed="false">
      <c r="B616" s="7" t="n">
        <v>41521</v>
      </c>
      <c r="C616" s="7" t="n">
        <f aca="false">B616-WEEKDAY(B616)+1</f>
        <v>41518</v>
      </c>
      <c r="D616" s="1" t="e">
        <f aca="false" t="array" ref="D616:D616">IF(ISBLANK(_xlfn.xlookup(D$3,daily_items,_xlfn.xlookup($C616,daily_dates,big_daily_table))),NA(),_xlfn.xlookup(D$3,daily_items,_xlfn.xlookup($C616,daily_dates,big_daily_table)))</f>
        <v>#NAME?</v>
      </c>
      <c r="E616" s="1" t="e">
        <f aca="false" t="array" ref="E616:E616">IF(ISBLANK(_xlfn.xlookup(E$3,daily_items,_xlfn.xlookup($C616,daily_dates,big_daily_table))),NA(),_xlfn.xlookup(E$3,daily_items,_xlfn.xlookup($C616,daily_dates,big_daily_table)))</f>
        <v>#NAME?</v>
      </c>
    </row>
    <row r="617" customFormat="false" ht="14.25" hidden="false" customHeight="false" outlineLevel="0" collapsed="false">
      <c r="B617" s="7" t="n">
        <v>41522</v>
      </c>
      <c r="C617" s="7" t="n">
        <f aca="false">B617-WEEKDAY(B617)+1</f>
        <v>41518</v>
      </c>
      <c r="D617" s="1" t="e">
        <f aca="false" t="array" ref="D617:D617">IF(ISBLANK(_xlfn.xlookup(D$3,daily_items,_xlfn.xlookup($C617,daily_dates,big_daily_table))),NA(),_xlfn.xlookup(D$3,daily_items,_xlfn.xlookup($C617,daily_dates,big_daily_table)))</f>
        <v>#NAME?</v>
      </c>
      <c r="E617" s="1" t="e">
        <f aca="false" t="array" ref="E617:E617">IF(ISBLANK(_xlfn.xlookup(E$3,daily_items,_xlfn.xlookup($C617,daily_dates,big_daily_table))),NA(),_xlfn.xlookup(E$3,daily_items,_xlfn.xlookup($C617,daily_dates,big_daily_table)))</f>
        <v>#NAME?</v>
      </c>
    </row>
    <row r="618" customFormat="false" ht="14.25" hidden="false" customHeight="false" outlineLevel="0" collapsed="false">
      <c r="B618" s="7" t="n">
        <v>41523</v>
      </c>
      <c r="C618" s="7" t="n">
        <f aca="false">B618-WEEKDAY(B618)+1</f>
        <v>41518</v>
      </c>
      <c r="D618" s="1" t="e">
        <f aca="false" t="array" ref="D618:D618">IF(ISBLANK(_xlfn.xlookup(D$3,daily_items,_xlfn.xlookup($C618,daily_dates,big_daily_table))),NA(),_xlfn.xlookup(D$3,daily_items,_xlfn.xlookup($C618,daily_dates,big_daily_table)))</f>
        <v>#NAME?</v>
      </c>
      <c r="E618" s="1" t="e">
        <f aca="false" t="array" ref="E618:E618">IF(ISBLANK(_xlfn.xlookup(E$3,daily_items,_xlfn.xlookup($C618,daily_dates,big_daily_table))),NA(),_xlfn.xlookup(E$3,daily_items,_xlfn.xlookup($C618,daily_dates,big_daily_table)))</f>
        <v>#NAME?</v>
      </c>
    </row>
    <row r="619" customFormat="false" ht="14.25" hidden="false" customHeight="false" outlineLevel="0" collapsed="false">
      <c r="B619" s="7" t="n">
        <v>41524</v>
      </c>
      <c r="C619" s="7" t="n">
        <f aca="false">B619-WEEKDAY(B619)+1</f>
        <v>41518</v>
      </c>
      <c r="D619" s="1" t="e">
        <f aca="false" t="array" ref="D619:D619">IF(ISBLANK(_xlfn.xlookup(D$3,daily_items,_xlfn.xlookup($C619,daily_dates,big_daily_table))),NA(),_xlfn.xlookup(D$3,daily_items,_xlfn.xlookup($C619,daily_dates,big_daily_table)))</f>
        <v>#NAME?</v>
      </c>
      <c r="E619" s="1" t="e">
        <f aca="false" t="array" ref="E619:E619">IF(ISBLANK(_xlfn.xlookup(E$3,daily_items,_xlfn.xlookup($C619,daily_dates,big_daily_table))),NA(),_xlfn.xlookup(E$3,daily_items,_xlfn.xlookup($C619,daily_dates,big_daily_table)))</f>
        <v>#NAME?</v>
      </c>
    </row>
    <row r="620" customFormat="false" ht="14.25" hidden="false" customHeight="false" outlineLevel="0" collapsed="false">
      <c r="B620" s="7" t="n">
        <v>41525</v>
      </c>
      <c r="C620" s="7" t="n">
        <f aca="false">B620-WEEKDAY(B620)+1</f>
        <v>41525</v>
      </c>
      <c r="D620" s="1" t="e">
        <f aca="false" t="array" ref="D620:D620">IF(ISBLANK(_xlfn.xlookup(D$3,daily_items,_xlfn.xlookup($C620,daily_dates,big_daily_table))),NA(),_xlfn.xlookup(D$3,daily_items,_xlfn.xlookup($C620,daily_dates,big_daily_table)))</f>
        <v>#NAME?</v>
      </c>
      <c r="E620" s="1" t="e">
        <f aca="false" t="array" ref="E620:E620">IF(ISBLANK(_xlfn.xlookup(E$3,daily_items,_xlfn.xlookup($C620,daily_dates,big_daily_table))),NA(),_xlfn.xlookup(E$3,daily_items,_xlfn.xlookup($C620,daily_dates,big_daily_table)))</f>
        <v>#NAME?</v>
      </c>
    </row>
    <row r="621" customFormat="false" ht="14.25" hidden="false" customHeight="false" outlineLevel="0" collapsed="false">
      <c r="B621" s="7" t="n">
        <v>41526</v>
      </c>
      <c r="C621" s="7" t="n">
        <f aca="false">B621-WEEKDAY(B621)+1</f>
        <v>41525</v>
      </c>
      <c r="D621" s="1" t="e">
        <f aca="false" t="array" ref="D621:D621">IF(ISBLANK(_xlfn.xlookup(D$3,daily_items,_xlfn.xlookup($C621,daily_dates,big_daily_table))),NA(),_xlfn.xlookup(D$3,daily_items,_xlfn.xlookup($C621,daily_dates,big_daily_table)))</f>
        <v>#NAME?</v>
      </c>
      <c r="E621" s="1" t="e">
        <f aca="false" t="array" ref="E621:E621">IF(ISBLANK(_xlfn.xlookup(E$3,daily_items,_xlfn.xlookup($C621,daily_dates,big_daily_table))),NA(),_xlfn.xlookup(E$3,daily_items,_xlfn.xlookup($C621,daily_dates,big_daily_table)))</f>
        <v>#NAME?</v>
      </c>
    </row>
    <row r="622" customFormat="false" ht="14.25" hidden="false" customHeight="false" outlineLevel="0" collapsed="false">
      <c r="B622" s="7" t="n">
        <v>41527</v>
      </c>
      <c r="C622" s="7" t="n">
        <f aca="false">B622-WEEKDAY(B622)+1</f>
        <v>41525</v>
      </c>
      <c r="D622" s="1" t="e">
        <f aca="false" t="array" ref="D622:D622">IF(ISBLANK(_xlfn.xlookup(D$3,daily_items,_xlfn.xlookup($C622,daily_dates,big_daily_table))),NA(),_xlfn.xlookup(D$3,daily_items,_xlfn.xlookup($C622,daily_dates,big_daily_table)))</f>
        <v>#NAME?</v>
      </c>
      <c r="E622" s="1" t="e">
        <f aca="false" t="array" ref="E622:E622">IF(ISBLANK(_xlfn.xlookup(E$3,daily_items,_xlfn.xlookup($C622,daily_dates,big_daily_table))),NA(),_xlfn.xlookup(E$3,daily_items,_xlfn.xlookup($C622,daily_dates,big_daily_table)))</f>
        <v>#NAME?</v>
      </c>
    </row>
    <row r="623" customFormat="false" ht="14.25" hidden="false" customHeight="false" outlineLevel="0" collapsed="false">
      <c r="B623" s="7" t="n">
        <v>41528</v>
      </c>
      <c r="C623" s="7" t="n">
        <f aca="false">B623-WEEKDAY(B623)+1</f>
        <v>41525</v>
      </c>
      <c r="D623" s="1" t="e">
        <f aca="false" t="array" ref="D623:D623">IF(ISBLANK(_xlfn.xlookup(D$3,daily_items,_xlfn.xlookup($C623,daily_dates,big_daily_table))),NA(),_xlfn.xlookup(D$3,daily_items,_xlfn.xlookup($C623,daily_dates,big_daily_table)))</f>
        <v>#NAME?</v>
      </c>
      <c r="E623" s="1" t="e">
        <f aca="false" t="array" ref="E623:E623">IF(ISBLANK(_xlfn.xlookup(E$3,daily_items,_xlfn.xlookup($C623,daily_dates,big_daily_table))),NA(),_xlfn.xlookup(E$3,daily_items,_xlfn.xlookup($C623,daily_dates,big_daily_table)))</f>
        <v>#NAME?</v>
      </c>
    </row>
    <row r="624" customFormat="false" ht="14.25" hidden="false" customHeight="false" outlineLevel="0" collapsed="false">
      <c r="B624" s="7" t="n">
        <v>41529</v>
      </c>
      <c r="C624" s="7" t="n">
        <f aca="false">B624-WEEKDAY(B624)+1</f>
        <v>41525</v>
      </c>
      <c r="D624" s="1" t="e">
        <f aca="false" t="array" ref="D624:D624">IF(ISBLANK(_xlfn.xlookup(D$3,daily_items,_xlfn.xlookup($C624,daily_dates,big_daily_table))),NA(),_xlfn.xlookup(D$3,daily_items,_xlfn.xlookup($C624,daily_dates,big_daily_table)))</f>
        <v>#NAME?</v>
      </c>
      <c r="E624" s="1" t="e">
        <f aca="false" t="array" ref="E624:E624">IF(ISBLANK(_xlfn.xlookup(E$3,daily_items,_xlfn.xlookup($C624,daily_dates,big_daily_table))),NA(),_xlfn.xlookup(E$3,daily_items,_xlfn.xlookup($C624,daily_dates,big_daily_table)))</f>
        <v>#NAME?</v>
      </c>
    </row>
    <row r="625" customFormat="false" ht="14.25" hidden="false" customHeight="false" outlineLevel="0" collapsed="false">
      <c r="B625" s="7" t="n">
        <v>41530</v>
      </c>
      <c r="C625" s="7" t="n">
        <f aca="false">B625-WEEKDAY(B625)+1</f>
        <v>41525</v>
      </c>
      <c r="D625" s="1" t="e">
        <f aca="false" t="array" ref="D625:D625">IF(ISBLANK(_xlfn.xlookup(D$3,daily_items,_xlfn.xlookup($C625,daily_dates,big_daily_table))),NA(),_xlfn.xlookup(D$3,daily_items,_xlfn.xlookup($C625,daily_dates,big_daily_table)))</f>
        <v>#NAME?</v>
      </c>
      <c r="E625" s="1" t="e">
        <f aca="false" t="array" ref="E625:E625">IF(ISBLANK(_xlfn.xlookup(E$3,daily_items,_xlfn.xlookup($C625,daily_dates,big_daily_table))),NA(),_xlfn.xlookup(E$3,daily_items,_xlfn.xlookup($C625,daily_dates,big_daily_table)))</f>
        <v>#NAME?</v>
      </c>
    </row>
    <row r="626" customFormat="false" ht="14.25" hidden="false" customHeight="false" outlineLevel="0" collapsed="false">
      <c r="B626" s="7" t="n">
        <v>41531</v>
      </c>
      <c r="C626" s="7" t="n">
        <f aca="false">B626-WEEKDAY(B626)+1</f>
        <v>41525</v>
      </c>
      <c r="D626" s="1" t="e">
        <f aca="false" t="array" ref="D626:D626">IF(ISBLANK(_xlfn.xlookup(D$3,daily_items,_xlfn.xlookup($C626,daily_dates,big_daily_table))),NA(),_xlfn.xlookup(D$3,daily_items,_xlfn.xlookup($C626,daily_dates,big_daily_table)))</f>
        <v>#NAME?</v>
      </c>
      <c r="E626" s="1" t="e">
        <f aca="false" t="array" ref="E626:E626">IF(ISBLANK(_xlfn.xlookup(E$3,daily_items,_xlfn.xlookup($C626,daily_dates,big_daily_table))),NA(),_xlfn.xlookup(E$3,daily_items,_xlfn.xlookup($C626,daily_dates,big_daily_table)))</f>
        <v>#NAME?</v>
      </c>
    </row>
    <row r="627" customFormat="false" ht="14.25" hidden="false" customHeight="false" outlineLevel="0" collapsed="false">
      <c r="B627" s="7" t="n">
        <v>41532</v>
      </c>
      <c r="C627" s="7" t="n">
        <f aca="false">B627-WEEKDAY(B627)+1</f>
        <v>41532</v>
      </c>
      <c r="D627" s="1" t="e">
        <f aca="false" t="array" ref="D627:D627">IF(ISBLANK(_xlfn.xlookup(D$3,daily_items,_xlfn.xlookup($C627,daily_dates,big_daily_table))),NA(),_xlfn.xlookup(D$3,daily_items,_xlfn.xlookup($C627,daily_dates,big_daily_table)))</f>
        <v>#NAME?</v>
      </c>
      <c r="E627" s="1" t="e">
        <f aca="false" t="array" ref="E627:E627">IF(ISBLANK(_xlfn.xlookup(E$3,daily_items,_xlfn.xlookup($C627,daily_dates,big_daily_table))),NA(),_xlfn.xlookup(E$3,daily_items,_xlfn.xlookup($C627,daily_dates,big_daily_table)))</f>
        <v>#NAME?</v>
      </c>
    </row>
    <row r="628" customFormat="false" ht="14.25" hidden="false" customHeight="false" outlineLevel="0" collapsed="false">
      <c r="B628" s="7" t="n">
        <v>41533</v>
      </c>
      <c r="C628" s="7" t="n">
        <f aca="false">B628-WEEKDAY(B628)+1</f>
        <v>41532</v>
      </c>
      <c r="D628" s="1" t="e">
        <f aca="false" t="array" ref="D628:D628">IF(ISBLANK(_xlfn.xlookup(D$3,daily_items,_xlfn.xlookup($C628,daily_dates,big_daily_table))),NA(),_xlfn.xlookup(D$3,daily_items,_xlfn.xlookup($C628,daily_dates,big_daily_table)))</f>
        <v>#NAME?</v>
      </c>
      <c r="E628" s="1" t="e">
        <f aca="false" t="array" ref="E628:E628">IF(ISBLANK(_xlfn.xlookup(E$3,daily_items,_xlfn.xlookup($C628,daily_dates,big_daily_table))),NA(),_xlfn.xlookup(E$3,daily_items,_xlfn.xlookup($C628,daily_dates,big_daily_table)))</f>
        <v>#NAME?</v>
      </c>
    </row>
    <row r="629" customFormat="false" ht="14.25" hidden="false" customHeight="false" outlineLevel="0" collapsed="false">
      <c r="B629" s="7" t="n">
        <v>41534</v>
      </c>
      <c r="C629" s="7" t="n">
        <f aca="false">B629-WEEKDAY(B629)+1</f>
        <v>41532</v>
      </c>
      <c r="D629" s="1" t="e">
        <f aca="false" t="array" ref="D629:D629">IF(ISBLANK(_xlfn.xlookup(D$3,daily_items,_xlfn.xlookup($C629,daily_dates,big_daily_table))),NA(),_xlfn.xlookup(D$3,daily_items,_xlfn.xlookup($C629,daily_dates,big_daily_table)))</f>
        <v>#NAME?</v>
      </c>
      <c r="E629" s="1" t="e">
        <f aca="false" t="array" ref="E629:E629">IF(ISBLANK(_xlfn.xlookup(E$3,daily_items,_xlfn.xlookup($C629,daily_dates,big_daily_table))),NA(),_xlfn.xlookup(E$3,daily_items,_xlfn.xlookup($C629,daily_dates,big_daily_table)))</f>
        <v>#NAME?</v>
      </c>
    </row>
    <row r="630" customFormat="false" ht="14.25" hidden="false" customHeight="false" outlineLevel="0" collapsed="false">
      <c r="B630" s="7" t="n">
        <v>41535</v>
      </c>
      <c r="C630" s="7" t="n">
        <f aca="false">B630-WEEKDAY(B630)+1</f>
        <v>41532</v>
      </c>
      <c r="D630" s="1" t="e">
        <f aca="false" t="array" ref="D630:D630">IF(ISBLANK(_xlfn.xlookup(D$3,daily_items,_xlfn.xlookup($C630,daily_dates,big_daily_table))),NA(),_xlfn.xlookup(D$3,daily_items,_xlfn.xlookup($C630,daily_dates,big_daily_table)))</f>
        <v>#NAME?</v>
      </c>
      <c r="E630" s="1" t="e">
        <f aca="false" t="array" ref="E630:E630">IF(ISBLANK(_xlfn.xlookup(E$3,daily_items,_xlfn.xlookup($C630,daily_dates,big_daily_table))),NA(),_xlfn.xlookup(E$3,daily_items,_xlfn.xlookup($C630,daily_dates,big_daily_table)))</f>
        <v>#NAME?</v>
      </c>
    </row>
    <row r="631" customFormat="false" ht="14.25" hidden="false" customHeight="false" outlineLevel="0" collapsed="false">
      <c r="B631" s="7" t="n">
        <v>41536</v>
      </c>
      <c r="C631" s="7" t="n">
        <f aca="false">B631-WEEKDAY(B631)+1</f>
        <v>41532</v>
      </c>
      <c r="D631" s="1" t="e">
        <f aca="false" t="array" ref="D631:D631">IF(ISBLANK(_xlfn.xlookup(D$3,daily_items,_xlfn.xlookup($C631,daily_dates,big_daily_table))),NA(),_xlfn.xlookup(D$3,daily_items,_xlfn.xlookup($C631,daily_dates,big_daily_table)))</f>
        <v>#NAME?</v>
      </c>
      <c r="E631" s="1" t="e">
        <f aca="false" t="array" ref="E631:E631">IF(ISBLANK(_xlfn.xlookup(E$3,daily_items,_xlfn.xlookup($C631,daily_dates,big_daily_table))),NA(),_xlfn.xlookup(E$3,daily_items,_xlfn.xlookup($C631,daily_dates,big_daily_table)))</f>
        <v>#NAME?</v>
      </c>
    </row>
    <row r="632" customFormat="false" ht="14.25" hidden="false" customHeight="false" outlineLevel="0" collapsed="false">
      <c r="B632" s="7" t="n">
        <v>41537</v>
      </c>
      <c r="C632" s="7" t="n">
        <f aca="false">B632-WEEKDAY(B632)+1</f>
        <v>41532</v>
      </c>
      <c r="D632" s="1" t="e">
        <f aca="false" t="array" ref="D632:D632">IF(ISBLANK(_xlfn.xlookup(D$3,daily_items,_xlfn.xlookup($C632,daily_dates,big_daily_table))),NA(),_xlfn.xlookup(D$3,daily_items,_xlfn.xlookup($C632,daily_dates,big_daily_table)))</f>
        <v>#NAME?</v>
      </c>
      <c r="E632" s="1" t="e">
        <f aca="false" t="array" ref="E632:E632">IF(ISBLANK(_xlfn.xlookup(E$3,daily_items,_xlfn.xlookup($C632,daily_dates,big_daily_table))),NA(),_xlfn.xlookup(E$3,daily_items,_xlfn.xlookup($C632,daily_dates,big_daily_table)))</f>
        <v>#NAME?</v>
      </c>
    </row>
    <row r="633" customFormat="false" ht="14.25" hidden="false" customHeight="false" outlineLevel="0" collapsed="false">
      <c r="B633" s="7" t="n">
        <v>41538</v>
      </c>
      <c r="C633" s="7" t="n">
        <f aca="false">B633-WEEKDAY(B633)+1</f>
        <v>41532</v>
      </c>
      <c r="D633" s="1" t="e">
        <f aca="false" t="array" ref="D633:D633">IF(ISBLANK(_xlfn.xlookup(D$3,daily_items,_xlfn.xlookup($C633,daily_dates,big_daily_table))),NA(),_xlfn.xlookup(D$3,daily_items,_xlfn.xlookup($C633,daily_dates,big_daily_table)))</f>
        <v>#NAME?</v>
      </c>
      <c r="E633" s="1" t="e">
        <f aca="false" t="array" ref="E633:E633">IF(ISBLANK(_xlfn.xlookup(E$3,daily_items,_xlfn.xlookup($C633,daily_dates,big_daily_table))),NA(),_xlfn.xlookup(E$3,daily_items,_xlfn.xlookup($C633,daily_dates,big_daily_table)))</f>
        <v>#NAME?</v>
      </c>
    </row>
    <row r="634" customFormat="false" ht="14.25" hidden="false" customHeight="false" outlineLevel="0" collapsed="false">
      <c r="B634" s="7" t="n">
        <v>41539</v>
      </c>
      <c r="C634" s="7" t="n">
        <f aca="false">B634-WEEKDAY(B634)+1</f>
        <v>41539</v>
      </c>
      <c r="D634" s="1" t="e">
        <f aca="false" t="array" ref="D634:D634">IF(ISBLANK(_xlfn.xlookup(D$3,daily_items,_xlfn.xlookup($C634,daily_dates,big_daily_table))),NA(),_xlfn.xlookup(D$3,daily_items,_xlfn.xlookup($C634,daily_dates,big_daily_table)))</f>
        <v>#NAME?</v>
      </c>
      <c r="E634" s="1" t="e">
        <f aca="false" t="array" ref="E634:E634">IF(ISBLANK(_xlfn.xlookup(E$3,daily_items,_xlfn.xlookup($C634,daily_dates,big_daily_table))),NA(),_xlfn.xlookup(E$3,daily_items,_xlfn.xlookup($C634,daily_dates,big_daily_table)))</f>
        <v>#NAME?</v>
      </c>
    </row>
    <row r="635" customFormat="false" ht="14.25" hidden="false" customHeight="false" outlineLevel="0" collapsed="false">
      <c r="B635" s="7" t="n">
        <v>41540</v>
      </c>
      <c r="C635" s="7" t="n">
        <f aca="false">B635-WEEKDAY(B635)+1</f>
        <v>41539</v>
      </c>
      <c r="D635" s="1" t="e">
        <f aca="false" t="array" ref="D635:D635">IF(ISBLANK(_xlfn.xlookup(D$3,daily_items,_xlfn.xlookup($C635,daily_dates,big_daily_table))),NA(),_xlfn.xlookup(D$3,daily_items,_xlfn.xlookup($C635,daily_dates,big_daily_table)))</f>
        <v>#NAME?</v>
      </c>
      <c r="E635" s="1" t="e">
        <f aca="false" t="array" ref="E635:E635">IF(ISBLANK(_xlfn.xlookup(E$3,daily_items,_xlfn.xlookup($C635,daily_dates,big_daily_table))),NA(),_xlfn.xlookup(E$3,daily_items,_xlfn.xlookup($C635,daily_dates,big_daily_table)))</f>
        <v>#NAME?</v>
      </c>
    </row>
    <row r="636" customFormat="false" ht="14.25" hidden="false" customHeight="false" outlineLevel="0" collapsed="false">
      <c r="B636" s="7" t="n">
        <v>41541</v>
      </c>
      <c r="C636" s="7" t="n">
        <f aca="false">B636-WEEKDAY(B636)+1</f>
        <v>41539</v>
      </c>
      <c r="D636" s="1" t="e">
        <f aca="false" t="array" ref="D636:D636">IF(ISBLANK(_xlfn.xlookup(D$3,daily_items,_xlfn.xlookup($C636,daily_dates,big_daily_table))),NA(),_xlfn.xlookup(D$3,daily_items,_xlfn.xlookup($C636,daily_dates,big_daily_table)))</f>
        <v>#NAME?</v>
      </c>
      <c r="E636" s="1" t="e">
        <f aca="false" t="array" ref="E636:E636">IF(ISBLANK(_xlfn.xlookup(E$3,daily_items,_xlfn.xlookup($C636,daily_dates,big_daily_table))),NA(),_xlfn.xlookup(E$3,daily_items,_xlfn.xlookup($C636,daily_dates,big_daily_table)))</f>
        <v>#NAME?</v>
      </c>
    </row>
    <row r="637" customFormat="false" ht="14.25" hidden="false" customHeight="false" outlineLevel="0" collapsed="false">
      <c r="B637" s="7" t="n">
        <v>41542</v>
      </c>
      <c r="C637" s="7" t="n">
        <f aca="false">B637-WEEKDAY(B637)+1</f>
        <v>41539</v>
      </c>
      <c r="D637" s="1" t="e">
        <f aca="false" t="array" ref="D637:D637">IF(ISBLANK(_xlfn.xlookup(D$3,daily_items,_xlfn.xlookup($C637,daily_dates,big_daily_table))),NA(),_xlfn.xlookup(D$3,daily_items,_xlfn.xlookup($C637,daily_dates,big_daily_table)))</f>
        <v>#NAME?</v>
      </c>
      <c r="E637" s="1" t="e">
        <f aca="false" t="array" ref="E637:E637">IF(ISBLANK(_xlfn.xlookup(E$3,daily_items,_xlfn.xlookup($C637,daily_dates,big_daily_table))),NA(),_xlfn.xlookup(E$3,daily_items,_xlfn.xlookup($C637,daily_dates,big_daily_table)))</f>
        <v>#NAME?</v>
      </c>
    </row>
    <row r="638" customFormat="false" ht="14.25" hidden="false" customHeight="false" outlineLevel="0" collapsed="false">
      <c r="B638" s="7" t="n">
        <v>41543</v>
      </c>
      <c r="C638" s="7" t="n">
        <f aca="false">B638-WEEKDAY(B638)+1</f>
        <v>41539</v>
      </c>
      <c r="D638" s="1" t="e">
        <f aca="false" t="array" ref="D638:D638">IF(ISBLANK(_xlfn.xlookup(D$3,daily_items,_xlfn.xlookup($C638,daily_dates,big_daily_table))),NA(),_xlfn.xlookup(D$3,daily_items,_xlfn.xlookup($C638,daily_dates,big_daily_table)))</f>
        <v>#NAME?</v>
      </c>
      <c r="E638" s="1" t="e">
        <f aca="false" t="array" ref="E638:E638">IF(ISBLANK(_xlfn.xlookup(E$3,daily_items,_xlfn.xlookup($C638,daily_dates,big_daily_table))),NA(),_xlfn.xlookup(E$3,daily_items,_xlfn.xlookup($C638,daily_dates,big_daily_table)))</f>
        <v>#NAME?</v>
      </c>
    </row>
    <row r="639" customFormat="false" ht="14.25" hidden="false" customHeight="false" outlineLevel="0" collapsed="false">
      <c r="B639" s="7" t="n">
        <v>41544</v>
      </c>
      <c r="C639" s="7" t="n">
        <f aca="false">B639-WEEKDAY(B639)+1</f>
        <v>41539</v>
      </c>
      <c r="D639" s="1" t="e">
        <f aca="false" t="array" ref="D639:D639">IF(ISBLANK(_xlfn.xlookup(D$3,daily_items,_xlfn.xlookup($C639,daily_dates,big_daily_table))),NA(),_xlfn.xlookup(D$3,daily_items,_xlfn.xlookup($C639,daily_dates,big_daily_table)))</f>
        <v>#NAME?</v>
      </c>
      <c r="E639" s="1" t="e">
        <f aca="false" t="array" ref="E639:E639">IF(ISBLANK(_xlfn.xlookup(E$3,daily_items,_xlfn.xlookup($C639,daily_dates,big_daily_table))),NA(),_xlfn.xlookup(E$3,daily_items,_xlfn.xlookup($C639,daily_dates,big_daily_table)))</f>
        <v>#NAME?</v>
      </c>
    </row>
    <row r="640" customFormat="false" ht="14.25" hidden="false" customHeight="false" outlineLevel="0" collapsed="false">
      <c r="B640" s="7" t="n">
        <v>41545</v>
      </c>
      <c r="C640" s="7" t="n">
        <f aca="false">B640-WEEKDAY(B640)+1</f>
        <v>41539</v>
      </c>
      <c r="D640" s="1" t="e">
        <f aca="false" t="array" ref="D640:D640">IF(ISBLANK(_xlfn.xlookup(D$3,daily_items,_xlfn.xlookup($C640,daily_dates,big_daily_table))),NA(),_xlfn.xlookup(D$3,daily_items,_xlfn.xlookup($C640,daily_dates,big_daily_table)))</f>
        <v>#NAME?</v>
      </c>
      <c r="E640" s="1" t="e">
        <f aca="false" t="array" ref="E640:E640">IF(ISBLANK(_xlfn.xlookup(E$3,daily_items,_xlfn.xlookup($C640,daily_dates,big_daily_table))),NA(),_xlfn.xlookup(E$3,daily_items,_xlfn.xlookup($C640,daily_dates,big_daily_table)))</f>
        <v>#NAME?</v>
      </c>
    </row>
    <row r="641" customFormat="false" ht="14.25" hidden="false" customHeight="false" outlineLevel="0" collapsed="false">
      <c r="B641" s="7" t="n">
        <v>41546</v>
      </c>
      <c r="C641" s="7" t="n">
        <f aca="false">B641-WEEKDAY(B641)+1</f>
        <v>41546</v>
      </c>
      <c r="D641" s="1" t="e">
        <f aca="false" t="array" ref="D641:D641">IF(ISBLANK(_xlfn.xlookup(D$3,daily_items,_xlfn.xlookup($C641,daily_dates,big_daily_table))),NA(),_xlfn.xlookup(D$3,daily_items,_xlfn.xlookup($C641,daily_dates,big_daily_table)))</f>
        <v>#NAME?</v>
      </c>
      <c r="E641" s="1" t="e">
        <f aca="false" t="array" ref="E641:E641">IF(ISBLANK(_xlfn.xlookup(E$3,daily_items,_xlfn.xlookup($C641,daily_dates,big_daily_table))),NA(),_xlfn.xlookup(E$3,daily_items,_xlfn.xlookup($C641,daily_dates,big_daily_table)))</f>
        <v>#NAME?</v>
      </c>
    </row>
    <row r="642" customFormat="false" ht="14.25" hidden="false" customHeight="false" outlineLevel="0" collapsed="false">
      <c r="B642" s="7" t="n">
        <v>41547</v>
      </c>
      <c r="C642" s="7" t="n">
        <f aca="false">B642-WEEKDAY(B642)+1</f>
        <v>41546</v>
      </c>
      <c r="D642" s="1" t="e">
        <f aca="false" t="array" ref="D642:D642">IF(ISBLANK(_xlfn.xlookup(D$3,daily_items,_xlfn.xlookup($C642,daily_dates,big_daily_table))),NA(),_xlfn.xlookup(D$3,daily_items,_xlfn.xlookup($C642,daily_dates,big_daily_table)))</f>
        <v>#NAME?</v>
      </c>
      <c r="E642" s="1" t="e">
        <f aca="false" t="array" ref="E642:E642">IF(ISBLANK(_xlfn.xlookup(E$3,daily_items,_xlfn.xlookup($C642,daily_dates,big_daily_table))),NA(),_xlfn.xlookup(E$3,daily_items,_xlfn.xlookup($C642,daily_dates,big_daily_table)))</f>
        <v>#NAME?</v>
      </c>
    </row>
    <row r="643" customFormat="false" ht="14.25" hidden="false" customHeight="false" outlineLevel="0" collapsed="false">
      <c r="B643" s="7" t="n">
        <v>41548</v>
      </c>
      <c r="C643" s="7" t="n">
        <f aca="false">B643-WEEKDAY(B643)+1</f>
        <v>41546</v>
      </c>
      <c r="D643" s="1" t="e">
        <f aca="false" t="array" ref="D643:D643">IF(ISBLANK(_xlfn.xlookup(D$3,daily_items,_xlfn.xlookup($C643,daily_dates,big_daily_table))),NA(),_xlfn.xlookup(D$3,daily_items,_xlfn.xlookup($C643,daily_dates,big_daily_table)))</f>
        <v>#NAME?</v>
      </c>
      <c r="E643" s="1" t="e">
        <f aca="false" t="array" ref="E643:E643">IF(ISBLANK(_xlfn.xlookup(E$3,daily_items,_xlfn.xlookup($C643,daily_dates,big_daily_table))),NA(),_xlfn.xlookup(E$3,daily_items,_xlfn.xlookup($C643,daily_dates,big_daily_table)))</f>
        <v>#NAME?</v>
      </c>
    </row>
    <row r="644" customFormat="false" ht="14.25" hidden="false" customHeight="false" outlineLevel="0" collapsed="false">
      <c r="B644" s="7" t="n">
        <v>41549</v>
      </c>
      <c r="C644" s="7" t="n">
        <f aca="false">B644-WEEKDAY(B644)+1</f>
        <v>41546</v>
      </c>
      <c r="D644" s="1" t="e">
        <f aca="false" t="array" ref="D644:D644">IF(ISBLANK(_xlfn.xlookup(D$3,daily_items,_xlfn.xlookup($C644,daily_dates,big_daily_table))),NA(),_xlfn.xlookup(D$3,daily_items,_xlfn.xlookup($C644,daily_dates,big_daily_table)))</f>
        <v>#NAME?</v>
      </c>
      <c r="E644" s="1" t="e">
        <f aca="false" t="array" ref="E644:E644">IF(ISBLANK(_xlfn.xlookup(E$3,daily_items,_xlfn.xlookup($C644,daily_dates,big_daily_table))),NA(),_xlfn.xlookup(E$3,daily_items,_xlfn.xlookup($C644,daily_dates,big_daily_table)))</f>
        <v>#NAME?</v>
      </c>
    </row>
    <row r="645" customFormat="false" ht="14.25" hidden="false" customHeight="false" outlineLevel="0" collapsed="false">
      <c r="B645" s="7" t="n">
        <v>41550</v>
      </c>
      <c r="C645" s="7" t="n">
        <f aca="false">B645-WEEKDAY(B645)+1</f>
        <v>41546</v>
      </c>
      <c r="D645" s="1" t="e">
        <f aca="false" t="array" ref="D645:D645">IF(ISBLANK(_xlfn.xlookup(D$3,daily_items,_xlfn.xlookup($C645,daily_dates,big_daily_table))),NA(),_xlfn.xlookup(D$3,daily_items,_xlfn.xlookup($C645,daily_dates,big_daily_table)))</f>
        <v>#NAME?</v>
      </c>
      <c r="E645" s="1" t="e">
        <f aca="false" t="array" ref="E645:E645">IF(ISBLANK(_xlfn.xlookup(E$3,daily_items,_xlfn.xlookup($C645,daily_dates,big_daily_table))),NA(),_xlfn.xlookup(E$3,daily_items,_xlfn.xlookup($C645,daily_dates,big_daily_table)))</f>
        <v>#NAME?</v>
      </c>
    </row>
    <row r="646" customFormat="false" ht="14.25" hidden="false" customHeight="false" outlineLevel="0" collapsed="false">
      <c r="B646" s="7" t="n">
        <v>41551</v>
      </c>
      <c r="C646" s="7" t="n">
        <f aca="false">B646-WEEKDAY(B646)+1</f>
        <v>41546</v>
      </c>
      <c r="D646" s="1" t="e">
        <f aca="false" t="array" ref="D646:D646">IF(ISBLANK(_xlfn.xlookup(D$3,daily_items,_xlfn.xlookup($C646,daily_dates,big_daily_table))),NA(),_xlfn.xlookup(D$3,daily_items,_xlfn.xlookup($C646,daily_dates,big_daily_table)))</f>
        <v>#NAME?</v>
      </c>
      <c r="E646" s="1" t="e">
        <f aca="false" t="array" ref="E646:E646">IF(ISBLANK(_xlfn.xlookup(E$3,daily_items,_xlfn.xlookup($C646,daily_dates,big_daily_table))),NA(),_xlfn.xlookup(E$3,daily_items,_xlfn.xlookup($C646,daily_dates,big_daily_table)))</f>
        <v>#NAME?</v>
      </c>
    </row>
    <row r="647" customFormat="false" ht="14.25" hidden="false" customHeight="false" outlineLevel="0" collapsed="false">
      <c r="B647" s="7" t="n">
        <v>41552</v>
      </c>
      <c r="C647" s="7" t="n">
        <f aca="false">B647-WEEKDAY(B647)+1</f>
        <v>41546</v>
      </c>
      <c r="D647" s="1" t="e">
        <f aca="false" t="array" ref="D647:D647">IF(ISBLANK(_xlfn.xlookup(D$3,daily_items,_xlfn.xlookup($C647,daily_dates,big_daily_table))),NA(),_xlfn.xlookup(D$3,daily_items,_xlfn.xlookup($C647,daily_dates,big_daily_table)))</f>
        <v>#NAME?</v>
      </c>
      <c r="E647" s="1" t="e">
        <f aca="false" t="array" ref="E647:E647">IF(ISBLANK(_xlfn.xlookup(E$3,daily_items,_xlfn.xlookup($C647,daily_dates,big_daily_table))),NA(),_xlfn.xlookup(E$3,daily_items,_xlfn.xlookup($C647,daily_dates,big_daily_table)))</f>
        <v>#NAME?</v>
      </c>
    </row>
    <row r="648" customFormat="false" ht="14.25" hidden="false" customHeight="false" outlineLevel="0" collapsed="false">
      <c r="B648" s="7" t="n">
        <v>41553</v>
      </c>
      <c r="C648" s="7" t="n">
        <f aca="false">B648-WEEKDAY(B648)+1</f>
        <v>41553</v>
      </c>
      <c r="D648" s="1" t="e">
        <f aca="false" t="array" ref="D648:D648">IF(ISBLANK(_xlfn.xlookup(D$3,daily_items,_xlfn.xlookup($C648,daily_dates,big_daily_table))),NA(),_xlfn.xlookup(D$3,daily_items,_xlfn.xlookup($C648,daily_dates,big_daily_table)))</f>
        <v>#NAME?</v>
      </c>
      <c r="E648" s="1" t="e">
        <f aca="false" t="array" ref="E648:E648">IF(ISBLANK(_xlfn.xlookup(E$3,daily_items,_xlfn.xlookup($C648,daily_dates,big_daily_table))),NA(),_xlfn.xlookup(E$3,daily_items,_xlfn.xlookup($C648,daily_dates,big_daily_table)))</f>
        <v>#NAME?</v>
      </c>
    </row>
    <row r="649" customFormat="false" ht="14.25" hidden="false" customHeight="false" outlineLevel="0" collapsed="false">
      <c r="B649" s="7" t="n">
        <v>41554</v>
      </c>
      <c r="C649" s="7" t="n">
        <f aca="false">B649-WEEKDAY(B649)+1</f>
        <v>41553</v>
      </c>
      <c r="D649" s="1" t="e">
        <f aca="false" t="array" ref="D649:D649">IF(ISBLANK(_xlfn.xlookup(D$3,daily_items,_xlfn.xlookup($C649,daily_dates,big_daily_table))),NA(),_xlfn.xlookup(D$3,daily_items,_xlfn.xlookup($C649,daily_dates,big_daily_table)))</f>
        <v>#NAME?</v>
      </c>
      <c r="E649" s="1" t="e">
        <f aca="false" t="array" ref="E649:E649">IF(ISBLANK(_xlfn.xlookup(E$3,daily_items,_xlfn.xlookup($C649,daily_dates,big_daily_table))),NA(),_xlfn.xlookup(E$3,daily_items,_xlfn.xlookup($C649,daily_dates,big_daily_table)))</f>
        <v>#NAME?</v>
      </c>
    </row>
    <row r="650" customFormat="false" ht="14.25" hidden="false" customHeight="false" outlineLevel="0" collapsed="false">
      <c r="B650" s="7" t="n">
        <v>41555</v>
      </c>
      <c r="C650" s="7" t="n">
        <f aca="false">B650-WEEKDAY(B650)+1</f>
        <v>41553</v>
      </c>
      <c r="D650" s="1" t="e">
        <f aca="false" t="array" ref="D650:D650">IF(ISBLANK(_xlfn.xlookup(D$3,daily_items,_xlfn.xlookup($C650,daily_dates,big_daily_table))),NA(),_xlfn.xlookup(D$3,daily_items,_xlfn.xlookup($C650,daily_dates,big_daily_table)))</f>
        <v>#NAME?</v>
      </c>
      <c r="E650" s="1" t="e">
        <f aca="false" t="array" ref="E650:E650">IF(ISBLANK(_xlfn.xlookup(E$3,daily_items,_xlfn.xlookup($C650,daily_dates,big_daily_table))),NA(),_xlfn.xlookup(E$3,daily_items,_xlfn.xlookup($C650,daily_dates,big_daily_table)))</f>
        <v>#NAME?</v>
      </c>
    </row>
    <row r="651" customFormat="false" ht="14.25" hidden="false" customHeight="false" outlineLevel="0" collapsed="false">
      <c r="B651" s="7" t="n">
        <v>41556</v>
      </c>
      <c r="C651" s="7" t="n">
        <f aca="false">B651-WEEKDAY(B651)+1</f>
        <v>41553</v>
      </c>
      <c r="D651" s="1" t="e">
        <f aca="false" t="array" ref="D651:D651">IF(ISBLANK(_xlfn.xlookup(D$3,daily_items,_xlfn.xlookup($C651,daily_dates,big_daily_table))),NA(),_xlfn.xlookup(D$3,daily_items,_xlfn.xlookup($C651,daily_dates,big_daily_table)))</f>
        <v>#NAME?</v>
      </c>
      <c r="E651" s="1" t="e">
        <f aca="false" t="array" ref="E651:E651">IF(ISBLANK(_xlfn.xlookup(E$3,daily_items,_xlfn.xlookup($C651,daily_dates,big_daily_table))),NA(),_xlfn.xlookup(E$3,daily_items,_xlfn.xlookup($C651,daily_dates,big_daily_table)))</f>
        <v>#NAME?</v>
      </c>
    </row>
    <row r="652" customFormat="false" ht="14.25" hidden="false" customHeight="false" outlineLevel="0" collapsed="false">
      <c r="B652" s="7" t="n">
        <v>41557</v>
      </c>
      <c r="C652" s="7" t="n">
        <f aca="false">B652-WEEKDAY(B652)+1</f>
        <v>41553</v>
      </c>
      <c r="D652" s="1" t="e">
        <f aca="false" t="array" ref="D652:D652">IF(ISBLANK(_xlfn.xlookup(D$3,daily_items,_xlfn.xlookup($C652,daily_dates,big_daily_table))),NA(),_xlfn.xlookup(D$3,daily_items,_xlfn.xlookup($C652,daily_dates,big_daily_table)))</f>
        <v>#NAME?</v>
      </c>
      <c r="E652" s="1" t="e">
        <f aca="false" t="array" ref="E652:E652">IF(ISBLANK(_xlfn.xlookup(E$3,daily_items,_xlfn.xlookup($C652,daily_dates,big_daily_table))),NA(),_xlfn.xlookup(E$3,daily_items,_xlfn.xlookup($C652,daily_dates,big_daily_table)))</f>
        <v>#NAME?</v>
      </c>
    </row>
    <row r="653" customFormat="false" ht="14.25" hidden="false" customHeight="false" outlineLevel="0" collapsed="false">
      <c r="B653" s="7" t="n">
        <v>41558</v>
      </c>
      <c r="C653" s="7" t="n">
        <f aca="false">B653-WEEKDAY(B653)+1</f>
        <v>41553</v>
      </c>
      <c r="D653" s="1" t="e">
        <f aca="false" t="array" ref="D653:D653">IF(ISBLANK(_xlfn.xlookup(D$3,daily_items,_xlfn.xlookup($C653,daily_dates,big_daily_table))),NA(),_xlfn.xlookup(D$3,daily_items,_xlfn.xlookup($C653,daily_dates,big_daily_table)))</f>
        <v>#NAME?</v>
      </c>
      <c r="E653" s="1" t="e">
        <f aca="false" t="array" ref="E653:E653">IF(ISBLANK(_xlfn.xlookup(E$3,daily_items,_xlfn.xlookup($C653,daily_dates,big_daily_table))),NA(),_xlfn.xlookup(E$3,daily_items,_xlfn.xlookup($C653,daily_dates,big_daily_table)))</f>
        <v>#NAME?</v>
      </c>
    </row>
    <row r="654" customFormat="false" ht="14.25" hidden="false" customHeight="false" outlineLevel="0" collapsed="false">
      <c r="B654" s="7" t="n">
        <v>41559</v>
      </c>
      <c r="C654" s="7" t="n">
        <f aca="false">B654-WEEKDAY(B654)+1</f>
        <v>41553</v>
      </c>
      <c r="D654" s="1" t="e">
        <f aca="false" t="array" ref="D654:D654">IF(ISBLANK(_xlfn.xlookup(D$3,daily_items,_xlfn.xlookup($C654,daily_dates,big_daily_table))),NA(),_xlfn.xlookup(D$3,daily_items,_xlfn.xlookup($C654,daily_dates,big_daily_table)))</f>
        <v>#NAME?</v>
      </c>
      <c r="E654" s="1" t="e">
        <f aca="false" t="array" ref="E654:E654">IF(ISBLANK(_xlfn.xlookup(E$3,daily_items,_xlfn.xlookup($C654,daily_dates,big_daily_table))),NA(),_xlfn.xlookup(E$3,daily_items,_xlfn.xlookup($C654,daily_dates,big_daily_table)))</f>
        <v>#NAME?</v>
      </c>
    </row>
    <row r="655" customFormat="false" ht="14.25" hidden="false" customHeight="false" outlineLevel="0" collapsed="false">
      <c r="B655" s="7" t="n">
        <v>41560</v>
      </c>
      <c r="C655" s="7" t="n">
        <f aca="false">B655-WEEKDAY(B655)+1</f>
        <v>41560</v>
      </c>
      <c r="D655" s="1" t="e">
        <f aca="false" t="array" ref="D655:D655">IF(ISBLANK(_xlfn.xlookup(D$3,daily_items,_xlfn.xlookup($C655,daily_dates,big_daily_table))),NA(),_xlfn.xlookup(D$3,daily_items,_xlfn.xlookup($C655,daily_dates,big_daily_table)))</f>
        <v>#NAME?</v>
      </c>
      <c r="E655" s="1" t="e">
        <f aca="false" t="array" ref="E655:E655">IF(ISBLANK(_xlfn.xlookup(E$3,daily_items,_xlfn.xlookup($C655,daily_dates,big_daily_table))),NA(),_xlfn.xlookup(E$3,daily_items,_xlfn.xlookup($C655,daily_dates,big_daily_table)))</f>
        <v>#NAME?</v>
      </c>
    </row>
    <row r="656" customFormat="false" ht="14.25" hidden="false" customHeight="false" outlineLevel="0" collapsed="false">
      <c r="B656" s="7" t="n">
        <v>41561</v>
      </c>
      <c r="C656" s="7" t="n">
        <f aca="false">B656-WEEKDAY(B656)+1</f>
        <v>41560</v>
      </c>
      <c r="D656" s="1" t="e">
        <f aca="false" t="array" ref="D656:D656">IF(ISBLANK(_xlfn.xlookup(D$3,daily_items,_xlfn.xlookup($C656,daily_dates,big_daily_table))),NA(),_xlfn.xlookup(D$3,daily_items,_xlfn.xlookup($C656,daily_dates,big_daily_table)))</f>
        <v>#NAME?</v>
      </c>
      <c r="E656" s="1" t="e">
        <f aca="false" t="array" ref="E656:E656">IF(ISBLANK(_xlfn.xlookup(E$3,daily_items,_xlfn.xlookup($C656,daily_dates,big_daily_table))),NA(),_xlfn.xlookup(E$3,daily_items,_xlfn.xlookup($C656,daily_dates,big_daily_table)))</f>
        <v>#NAME?</v>
      </c>
    </row>
    <row r="657" customFormat="false" ht="14.25" hidden="false" customHeight="false" outlineLevel="0" collapsed="false">
      <c r="B657" s="7" t="n">
        <v>41562</v>
      </c>
      <c r="C657" s="7" t="n">
        <f aca="false">B657-WEEKDAY(B657)+1</f>
        <v>41560</v>
      </c>
      <c r="D657" s="1" t="e">
        <f aca="false" t="array" ref="D657:D657">IF(ISBLANK(_xlfn.xlookup(D$3,daily_items,_xlfn.xlookup($C657,daily_dates,big_daily_table))),NA(),_xlfn.xlookup(D$3,daily_items,_xlfn.xlookup($C657,daily_dates,big_daily_table)))</f>
        <v>#NAME?</v>
      </c>
      <c r="E657" s="1" t="e">
        <f aca="false" t="array" ref="E657:E657">IF(ISBLANK(_xlfn.xlookup(E$3,daily_items,_xlfn.xlookup($C657,daily_dates,big_daily_table))),NA(),_xlfn.xlookup(E$3,daily_items,_xlfn.xlookup($C657,daily_dates,big_daily_table)))</f>
        <v>#NAME?</v>
      </c>
    </row>
    <row r="658" customFormat="false" ht="14.25" hidden="false" customHeight="false" outlineLevel="0" collapsed="false">
      <c r="B658" s="7" t="n">
        <v>41563</v>
      </c>
      <c r="C658" s="7" t="n">
        <f aca="false">B658-WEEKDAY(B658)+1</f>
        <v>41560</v>
      </c>
      <c r="D658" s="1" t="e">
        <f aca="false" t="array" ref="D658:D658">IF(ISBLANK(_xlfn.xlookup(D$3,daily_items,_xlfn.xlookup($C658,daily_dates,big_daily_table))),NA(),_xlfn.xlookup(D$3,daily_items,_xlfn.xlookup($C658,daily_dates,big_daily_table)))</f>
        <v>#NAME?</v>
      </c>
      <c r="E658" s="1" t="e">
        <f aca="false" t="array" ref="E658:E658">IF(ISBLANK(_xlfn.xlookup(E$3,daily_items,_xlfn.xlookup($C658,daily_dates,big_daily_table))),NA(),_xlfn.xlookup(E$3,daily_items,_xlfn.xlookup($C658,daily_dates,big_daily_table)))</f>
        <v>#NAME?</v>
      </c>
    </row>
    <row r="659" customFormat="false" ht="14.25" hidden="false" customHeight="false" outlineLevel="0" collapsed="false">
      <c r="B659" s="7" t="n">
        <v>41564</v>
      </c>
      <c r="C659" s="7" t="n">
        <f aca="false">B659-WEEKDAY(B659)+1</f>
        <v>41560</v>
      </c>
      <c r="D659" s="1" t="e">
        <f aca="false" t="array" ref="D659:D659">IF(ISBLANK(_xlfn.xlookup(D$3,daily_items,_xlfn.xlookup($C659,daily_dates,big_daily_table))),NA(),_xlfn.xlookup(D$3,daily_items,_xlfn.xlookup($C659,daily_dates,big_daily_table)))</f>
        <v>#NAME?</v>
      </c>
      <c r="E659" s="1" t="e">
        <f aca="false" t="array" ref="E659:E659">IF(ISBLANK(_xlfn.xlookup(E$3,daily_items,_xlfn.xlookup($C659,daily_dates,big_daily_table))),NA(),_xlfn.xlookup(E$3,daily_items,_xlfn.xlookup($C659,daily_dates,big_daily_table)))</f>
        <v>#NAME?</v>
      </c>
    </row>
    <row r="660" customFormat="false" ht="14.25" hidden="false" customHeight="false" outlineLevel="0" collapsed="false">
      <c r="B660" s="7" t="n">
        <v>41565</v>
      </c>
      <c r="C660" s="7" t="n">
        <f aca="false">B660-WEEKDAY(B660)+1</f>
        <v>41560</v>
      </c>
      <c r="D660" s="1" t="e">
        <f aca="false" t="array" ref="D660:D660">IF(ISBLANK(_xlfn.xlookup(D$3,daily_items,_xlfn.xlookup($C660,daily_dates,big_daily_table))),NA(),_xlfn.xlookup(D$3,daily_items,_xlfn.xlookup($C660,daily_dates,big_daily_table)))</f>
        <v>#NAME?</v>
      </c>
      <c r="E660" s="1" t="e">
        <f aca="false" t="array" ref="E660:E660">IF(ISBLANK(_xlfn.xlookup(E$3,daily_items,_xlfn.xlookup($C660,daily_dates,big_daily_table))),NA(),_xlfn.xlookup(E$3,daily_items,_xlfn.xlookup($C660,daily_dates,big_daily_table)))</f>
        <v>#NAME?</v>
      </c>
    </row>
    <row r="661" customFormat="false" ht="14.25" hidden="false" customHeight="false" outlineLevel="0" collapsed="false">
      <c r="B661" s="7" t="n">
        <v>41566</v>
      </c>
      <c r="C661" s="7" t="n">
        <f aca="false">B661-WEEKDAY(B661)+1</f>
        <v>41560</v>
      </c>
      <c r="D661" s="1" t="e">
        <f aca="false" t="array" ref="D661:D661">IF(ISBLANK(_xlfn.xlookup(D$3,daily_items,_xlfn.xlookup($C661,daily_dates,big_daily_table))),NA(),_xlfn.xlookup(D$3,daily_items,_xlfn.xlookup($C661,daily_dates,big_daily_table)))</f>
        <v>#NAME?</v>
      </c>
      <c r="E661" s="1" t="e">
        <f aca="false" t="array" ref="E661:E661">IF(ISBLANK(_xlfn.xlookup(E$3,daily_items,_xlfn.xlookup($C661,daily_dates,big_daily_table))),NA(),_xlfn.xlookup(E$3,daily_items,_xlfn.xlookup($C661,daily_dates,big_daily_table)))</f>
        <v>#NAME?</v>
      </c>
    </row>
    <row r="662" customFormat="false" ht="14.25" hidden="false" customHeight="false" outlineLevel="0" collapsed="false">
      <c r="B662" s="7" t="n">
        <v>41567</v>
      </c>
      <c r="C662" s="7" t="n">
        <f aca="false">B662-WEEKDAY(B662)+1</f>
        <v>41567</v>
      </c>
      <c r="D662" s="1" t="e">
        <f aca="false" t="array" ref="D662:D662">IF(ISBLANK(_xlfn.xlookup(D$3,daily_items,_xlfn.xlookup($C662,daily_dates,big_daily_table))),NA(),_xlfn.xlookup(D$3,daily_items,_xlfn.xlookup($C662,daily_dates,big_daily_table)))</f>
        <v>#NAME?</v>
      </c>
      <c r="E662" s="1" t="e">
        <f aca="false" t="array" ref="E662:E662">IF(ISBLANK(_xlfn.xlookup(E$3,daily_items,_xlfn.xlookup($C662,daily_dates,big_daily_table))),NA(),_xlfn.xlookup(E$3,daily_items,_xlfn.xlookup($C662,daily_dates,big_daily_table)))</f>
        <v>#NAME?</v>
      </c>
    </row>
    <row r="663" customFormat="false" ht="14.25" hidden="false" customHeight="false" outlineLevel="0" collapsed="false">
      <c r="B663" s="7" t="n">
        <v>41568</v>
      </c>
      <c r="C663" s="7" t="n">
        <f aca="false">B663-WEEKDAY(B663)+1</f>
        <v>41567</v>
      </c>
      <c r="D663" s="1" t="e">
        <f aca="false" t="array" ref="D663:D663">IF(ISBLANK(_xlfn.xlookup(D$3,daily_items,_xlfn.xlookup($C663,daily_dates,big_daily_table))),NA(),_xlfn.xlookup(D$3,daily_items,_xlfn.xlookup($C663,daily_dates,big_daily_table)))</f>
        <v>#NAME?</v>
      </c>
      <c r="E663" s="1" t="e">
        <f aca="false" t="array" ref="E663:E663">IF(ISBLANK(_xlfn.xlookup(E$3,daily_items,_xlfn.xlookup($C663,daily_dates,big_daily_table))),NA(),_xlfn.xlookup(E$3,daily_items,_xlfn.xlookup($C663,daily_dates,big_daily_table)))</f>
        <v>#NAME?</v>
      </c>
    </row>
    <row r="664" customFormat="false" ht="14.25" hidden="false" customHeight="false" outlineLevel="0" collapsed="false">
      <c r="B664" s="7" t="n">
        <v>41569</v>
      </c>
      <c r="C664" s="7" t="n">
        <f aca="false">B664-WEEKDAY(B664)+1</f>
        <v>41567</v>
      </c>
      <c r="D664" s="1" t="e">
        <f aca="false" t="array" ref="D664:D664">IF(ISBLANK(_xlfn.xlookup(D$3,daily_items,_xlfn.xlookup($C664,daily_dates,big_daily_table))),NA(),_xlfn.xlookup(D$3,daily_items,_xlfn.xlookup($C664,daily_dates,big_daily_table)))</f>
        <v>#NAME?</v>
      </c>
      <c r="E664" s="1" t="e">
        <f aca="false" t="array" ref="E664:E664">IF(ISBLANK(_xlfn.xlookup(E$3,daily_items,_xlfn.xlookup($C664,daily_dates,big_daily_table))),NA(),_xlfn.xlookup(E$3,daily_items,_xlfn.xlookup($C664,daily_dates,big_daily_table)))</f>
        <v>#NAME?</v>
      </c>
    </row>
    <row r="665" customFormat="false" ht="14.25" hidden="false" customHeight="false" outlineLevel="0" collapsed="false">
      <c r="B665" s="7" t="n">
        <v>41570</v>
      </c>
      <c r="C665" s="7" t="n">
        <f aca="false">B665-WEEKDAY(B665)+1</f>
        <v>41567</v>
      </c>
      <c r="D665" s="1" t="e">
        <f aca="false" t="array" ref="D665:D665">IF(ISBLANK(_xlfn.xlookup(D$3,daily_items,_xlfn.xlookup($C665,daily_dates,big_daily_table))),NA(),_xlfn.xlookup(D$3,daily_items,_xlfn.xlookup($C665,daily_dates,big_daily_table)))</f>
        <v>#NAME?</v>
      </c>
      <c r="E665" s="1" t="e">
        <f aca="false" t="array" ref="E665:E665">IF(ISBLANK(_xlfn.xlookup(E$3,daily_items,_xlfn.xlookup($C665,daily_dates,big_daily_table))),NA(),_xlfn.xlookup(E$3,daily_items,_xlfn.xlookup($C665,daily_dates,big_daily_table)))</f>
        <v>#NAME?</v>
      </c>
    </row>
    <row r="666" customFormat="false" ht="14.25" hidden="false" customHeight="false" outlineLevel="0" collapsed="false">
      <c r="B666" s="7" t="n">
        <v>41571</v>
      </c>
      <c r="C666" s="7" t="n">
        <f aca="false">B666-WEEKDAY(B666)+1</f>
        <v>41567</v>
      </c>
      <c r="D666" s="1" t="e">
        <f aca="false" t="array" ref="D666:D666">IF(ISBLANK(_xlfn.xlookup(D$3,daily_items,_xlfn.xlookup($C666,daily_dates,big_daily_table))),NA(),_xlfn.xlookup(D$3,daily_items,_xlfn.xlookup($C666,daily_dates,big_daily_table)))</f>
        <v>#NAME?</v>
      </c>
      <c r="E666" s="1" t="e">
        <f aca="false" t="array" ref="E666:E666">IF(ISBLANK(_xlfn.xlookup(E$3,daily_items,_xlfn.xlookup($C666,daily_dates,big_daily_table))),NA(),_xlfn.xlookup(E$3,daily_items,_xlfn.xlookup($C666,daily_dates,big_daily_table)))</f>
        <v>#NAME?</v>
      </c>
    </row>
    <row r="667" customFormat="false" ht="14.25" hidden="false" customHeight="false" outlineLevel="0" collapsed="false">
      <c r="B667" s="7" t="n">
        <v>41572</v>
      </c>
      <c r="C667" s="7" t="n">
        <f aca="false">B667-WEEKDAY(B667)+1</f>
        <v>41567</v>
      </c>
      <c r="D667" s="1" t="e">
        <f aca="false" t="array" ref="D667:D667">IF(ISBLANK(_xlfn.xlookup(D$3,daily_items,_xlfn.xlookup($C667,daily_dates,big_daily_table))),NA(),_xlfn.xlookup(D$3,daily_items,_xlfn.xlookup($C667,daily_dates,big_daily_table)))</f>
        <v>#NAME?</v>
      </c>
      <c r="E667" s="1" t="e">
        <f aca="false" t="array" ref="E667:E667">IF(ISBLANK(_xlfn.xlookup(E$3,daily_items,_xlfn.xlookup($C667,daily_dates,big_daily_table))),NA(),_xlfn.xlookup(E$3,daily_items,_xlfn.xlookup($C667,daily_dates,big_daily_table)))</f>
        <v>#NAME?</v>
      </c>
    </row>
    <row r="668" customFormat="false" ht="14.25" hidden="false" customHeight="false" outlineLevel="0" collapsed="false">
      <c r="B668" s="7" t="n">
        <v>41573</v>
      </c>
      <c r="C668" s="7" t="n">
        <f aca="false">B668-WEEKDAY(B668)+1</f>
        <v>41567</v>
      </c>
      <c r="D668" s="1" t="e">
        <f aca="false" t="array" ref="D668:D668">IF(ISBLANK(_xlfn.xlookup(D$3,daily_items,_xlfn.xlookup($C668,daily_dates,big_daily_table))),NA(),_xlfn.xlookup(D$3,daily_items,_xlfn.xlookup($C668,daily_dates,big_daily_table)))</f>
        <v>#NAME?</v>
      </c>
      <c r="E668" s="1" t="e">
        <f aca="false" t="array" ref="E668:E668">IF(ISBLANK(_xlfn.xlookup(E$3,daily_items,_xlfn.xlookup($C668,daily_dates,big_daily_table))),NA(),_xlfn.xlookup(E$3,daily_items,_xlfn.xlookup($C668,daily_dates,big_daily_table)))</f>
        <v>#NAME?</v>
      </c>
    </row>
    <row r="669" customFormat="false" ht="14.25" hidden="false" customHeight="false" outlineLevel="0" collapsed="false">
      <c r="B669" s="7" t="n">
        <v>41574</v>
      </c>
      <c r="C669" s="7" t="n">
        <f aca="false">B669-WEEKDAY(B669)+1</f>
        <v>41574</v>
      </c>
      <c r="D669" s="1" t="e">
        <f aca="false" t="array" ref="D669:D669">IF(ISBLANK(_xlfn.xlookup(D$3,daily_items,_xlfn.xlookup($C669,daily_dates,big_daily_table))),NA(),_xlfn.xlookup(D$3,daily_items,_xlfn.xlookup($C669,daily_dates,big_daily_table)))</f>
        <v>#NAME?</v>
      </c>
      <c r="E669" s="1" t="e">
        <f aca="false" t="array" ref="E669:E669">IF(ISBLANK(_xlfn.xlookup(E$3,daily_items,_xlfn.xlookup($C669,daily_dates,big_daily_table))),NA(),_xlfn.xlookup(E$3,daily_items,_xlfn.xlookup($C669,daily_dates,big_daily_table)))</f>
        <v>#NAME?</v>
      </c>
    </row>
    <row r="670" customFormat="false" ht="14.25" hidden="false" customHeight="false" outlineLevel="0" collapsed="false">
      <c r="B670" s="7" t="n">
        <v>41575</v>
      </c>
      <c r="C670" s="7" t="n">
        <f aca="false">B670-WEEKDAY(B670)+1</f>
        <v>41574</v>
      </c>
      <c r="D670" s="1" t="e">
        <f aca="false" t="array" ref="D670:D670">IF(ISBLANK(_xlfn.xlookup(D$3,daily_items,_xlfn.xlookup($C670,daily_dates,big_daily_table))),NA(),_xlfn.xlookup(D$3,daily_items,_xlfn.xlookup($C670,daily_dates,big_daily_table)))</f>
        <v>#NAME?</v>
      </c>
      <c r="E670" s="1" t="e">
        <f aca="false" t="array" ref="E670:E670">IF(ISBLANK(_xlfn.xlookup(E$3,daily_items,_xlfn.xlookup($C670,daily_dates,big_daily_table))),NA(),_xlfn.xlookup(E$3,daily_items,_xlfn.xlookup($C670,daily_dates,big_daily_table)))</f>
        <v>#NAME?</v>
      </c>
    </row>
    <row r="671" customFormat="false" ht="14.25" hidden="false" customHeight="false" outlineLevel="0" collapsed="false">
      <c r="B671" s="7" t="n">
        <v>41576</v>
      </c>
      <c r="C671" s="7" t="n">
        <f aca="false">B671-WEEKDAY(B671)+1</f>
        <v>41574</v>
      </c>
      <c r="D671" s="1" t="e">
        <f aca="false" t="array" ref="D671:D671">IF(ISBLANK(_xlfn.xlookup(D$3,daily_items,_xlfn.xlookup($C671,daily_dates,big_daily_table))),NA(),_xlfn.xlookup(D$3,daily_items,_xlfn.xlookup($C671,daily_dates,big_daily_table)))</f>
        <v>#NAME?</v>
      </c>
      <c r="E671" s="1" t="e">
        <f aca="false" t="array" ref="E671:E671">IF(ISBLANK(_xlfn.xlookup(E$3,daily_items,_xlfn.xlookup($C671,daily_dates,big_daily_table))),NA(),_xlfn.xlookup(E$3,daily_items,_xlfn.xlookup($C671,daily_dates,big_daily_table)))</f>
        <v>#NAME?</v>
      </c>
    </row>
    <row r="672" customFormat="false" ht="14.25" hidden="false" customHeight="false" outlineLevel="0" collapsed="false">
      <c r="B672" s="7" t="n">
        <v>41577</v>
      </c>
      <c r="C672" s="7" t="n">
        <f aca="false">B672-WEEKDAY(B672)+1</f>
        <v>41574</v>
      </c>
      <c r="D672" s="1" t="e">
        <f aca="false" t="array" ref="D672:D672">IF(ISBLANK(_xlfn.xlookup(D$3,daily_items,_xlfn.xlookup($C672,daily_dates,big_daily_table))),NA(),_xlfn.xlookup(D$3,daily_items,_xlfn.xlookup($C672,daily_dates,big_daily_table)))</f>
        <v>#NAME?</v>
      </c>
      <c r="E672" s="1" t="e">
        <f aca="false" t="array" ref="E672:E672">IF(ISBLANK(_xlfn.xlookup(E$3,daily_items,_xlfn.xlookup($C672,daily_dates,big_daily_table))),NA(),_xlfn.xlookup(E$3,daily_items,_xlfn.xlookup($C672,daily_dates,big_daily_table)))</f>
        <v>#NAME?</v>
      </c>
    </row>
    <row r="673" customFormat="false" ht="14.25" hidden="false" customHeight="false" outlineLevel="0" collapsed="false">
      <c r="B673" s="7" t="n">
        <v>41578</v>
      </c>
      <c r="C673" s="7" t="n">
        <f aca="false">B673-WEEKDAY(B673)+1</f>
        <v>41574</v>
      </c>
      <c r="D673" s="1" t="e">
        <f aca="false" t="array" ref="D673:D673">IF(ISBLANK(_xlfn.xlookup(D$3,daily_items,_xlfn.xlookup($C673,daily_dates,big_daily_table))),NA(),_xlfn.xlookup(D$3,daily_items,_xlfn.xlookup($C673,daily_dates,big_daily_table)))</f>
        <v>#NAME?</v>
      </c>
      <c r="E673" s="1" t="e">
        <f aca="false" t="array" ref="E673:E673">IF(ISBLANK(_xlfn.xlookup(E$3,daily_items,_xlfn.xlookup($C673,daily_dates,big_daily_table))),NA(),_xlfn.xlookup(E$3,daily_items,_xlfn.xlookup($C673,daily_dates,big_daily_table)))</f>
        <v>#NAME?</v>
      </c>
    </row>
    <row r="674" customFormat="false" ht="14.25" hidden="false" customHeight="false" outlineLevel="0" collapsed="false">
      <c r="B674" s="7" t="n">
        <v>41579</v>
      </c>
      <c r="C674" s="7" t="n">
        <f aca="false">B674-WEEKDAY(B674)+1</f>
        <v>41574</v>
      </c>
      <c r="D674" s="1" t="e">
        <f aca="false" t="array" ref="D674:D674">IF(ISBLANK(_xlfn.xlookup(D$3,daily_items,_xlfn.xlookup($C674,daily_dates,big_daily_table))),NA(),_xlfn.xlookup(D$3,daily_items,_xlfn.xlookup($C674,daily_dates,big_daily_table)))</f>
        <v>#NAME?</v>
      </c>
      <c r="E674" s="1" t="e">
        <f aca="false" t="array" ref="E674:E674">IF(ISBLANK(_xlfn.xlookup(E$3,daily_items,_xlfn.xlookup($C674,daily_dates,big_daily_table))),NA(),_xlfn.xlookup(E$3,daily_items,_xlfn.xlookup($C674,daily_dates,big_daily_table)))</f>
        <v>#NAME?</v>
      </c>
    </row>
    <row r="675" customFormat="false" ht="14.25" hidden="false" customHeight="false" outlineLevel="0" collapsed="false">
      <c r="B675" s="7" t="n">
        <v>41580</v>
      </c>
      <c r="C675" s="7" t="n">
        <f aca="false">B675-WEEKDAY(B675)+1</f>
        <v>41574</v>
      </c>
      <c r="D675" s="1" t="e">
        <f aca="false" t="array" ref="D675:D675">IF(ISBLANK(_xlfn.xlookup(D$3,daily_items,_xlfn.xlookup($C675,daily_dates,big_daily_table))),NA(),_xlfn.xlookup(D$3,daily_items,_xlfn.xlookup($C675,daily_dates,big_daily_table)))</f>
        <v>#NAME?</v>
      </c>
      <c r="E675" s="1" t="e">
        <f aca="false" t="array" ref="E675:E675">IF(ISBLANK(_xlfn.xlookup(E$3,daily_items,_xlfn.xlookup($C675,daily_dates,big_daily_table))),NA(),_xlfn.xlookup(E$3,daily_items,_xlfn.xlookup($C675,daily_dates,big_daily_table)))</f>
        <v>#NAME?</v>
      </c>
    </row>
    <row r="676" customFormat="false" ht="14.25" hidden="false" customHeight="false" outlineLevel="0" collapsed="false">
      <c r="B676" s="7" t="n">
        <v>41581</v>
      </c>
      <c r="C676" s="7" t="n">
        <f aca="false">B676-WEEKDAY(B676)+1</f>
        <v>41581</v>
      </c>
      <c r="D676" s="1" t="e">
        <f aca="false" t="array" ref="D676:D676">IF(ISBLANK(_xlfn.xlookup(D$3,daily_items,_xlfn.xlookup($C676,daily_dates,big_daily_table))),NA(),_xlfn.xlookup(D$3,daily_items,_xlfn.xlookup($C676,daily_dates,big_daily_table)))</f>
        <v>#NAME?</v>
      </c>
      <c r="E676" s="1" t="e">
        <f aca="false" t="array" ref="E676:E676">IF(ISBLANK(_xlfn.xlookup(E$3,daily_items,_xlfn.xlookup($C676,daily_dates,big_daily_table))),NA(),_xlfn.xlookup(E$3,daily_items,_xlfn.xlookup($C676,daily_dates,big_daily_table)))</f>
        <v>#NAME?</v>
      </c>
    </row>
    <row r="677" customFormat="false" ht="14.25" hidden="false" customHeight="false" outlineLevel="0" collapsed="false">
      <c r="B677" s="7" t="n">
        <v>41582</v>
      </c>
      <c r="C677" s="7" t="n">
        <f aca="false">B677-WEEKDAY(B677)+1</f>
        <v>41581</v>
      </c>
      <c r="D677" s="1" t="e">
        <f aca="false" t="array" ref="D677:D677">IF(ISBLANK(_xlfn.xlookup(D$3,daily_items,_xlfn.xlookup($C677,daily_dates,big_daily_table))),NA(),_xlfn.xlookup(D$3,daily_items,_xlfn.xlookup($C677,daily_dates,big_daily_table)))</f>
        <v>#NAME?</v>
      </c>
      <c r="E677" s="1" t="e">
        <f aca="false" t="array" ref="E677:E677">IF(ISBLANK(_xlfn.xlookup(E$3,daily_items,_xlfn.xlookup($C677,daily_dates,big_daily_table))),NA(),_xlfn.xlookup(E$3,daily_items,_xlfn.xlookup($C677,daily_dates,big_daily_table)))</f>
        <v>#NAME?</v>
      </c>
    </row>
    <row r="678" customFormat="false" ht="14.25" hidden="false" customHeight="false" outlineLevel="0" collapsed="false">
      <c r="B678" s="7" t="n">
        <v>41583</v>
      </c>
      <c r="C678" s="7" t="n">
        <f aca="false">B678-WEEKDAY(B678)+1</f>
        <v>41581</v>
      </c>
      <c r="D678" s="1" t="e">
        <f aca="false" t="array" ref="D678:D678">IF(ISBLANK(_xlfn.xlookup(D$3,daily_items,_xlfn.xlookup($C678,daily_dates,big_daily_table))),NA(),_xlfn.xlookup(D$3,daily_items,_xlfn.xlookup($C678,daily_dates,big_daily_table)))</f>
        <v>#NAME?</v>
      </c>
      <c r="E678" s="1" t="e">
        <f aca="false" t="array" ref="E678:E678">IF(ISBLANK(_xlfn.xlookup(E$3,daily_items,_xlfn.xlookup($C678,daily_dates,big_daily_table))),NA(),_xlfn.xlookup(E$3,daily_items,_xlfn.xlookup($C678,daily_dates,big_daily_table)))</f>
        <v>#NAME?</v>
      </c>
    </row>
    <row r="679" customFormat="false" ht="14.25" hidden="false" customHeight="false" outlineLevel="0" collapsed="false">
      <c r="B679" s="7" t="n">
        <v>41584</v>
      </c>
      <c r="C679" s="7" t="n">
        <f aca="false">B679-WEEKDAY(B679)+1</f>
        <v>41581</v>
      </c>
      <c r="D679" s="1" t="e">
        <f aca="false" t="array" ref="D679:D679">IF(ISBLANK(_xlfn.xlookup(D$3,daily_items,_xlfn.xlookup($C679,daily_dates,big_daily_table))),NA(),_xlfn.xlookup(D$3,daily_items,_xlfn.xlookup($C679,daily_dates,big_daily_table)))</f>
        <v>#NAME?</v>
      </c>
      <c r="E679" s="1" t="e">
        <f aca="false" t="array" ref="E679:E679">IF(ISBLANK(_xlfn.xlookup(E$3,daily_items,_xlfn.xlookup($C679,daily_dates,big_daily_table))),NA(),_xlfn.xlookup(E$3,daily_items,_xlfn.xlookup($C679,daily_dates,big_daily_table)))</f>
        <v>#NAME?</v>
      </c>
    </row>
    <row r="680" customFormat="false" ht="14.25" hidden="false" customHeight="false" outlineLevel="0" collapsed="false">
      <c r="B680" s="7" t="n">
        <v>41585</v>
      </c>
      <c r="C680" s="7" t="n">
        <f aca="false">B680-WEEKDAY(B680)+1</f>
        <v>41581</v>
      </c>
      <c r="D680" s="1" t="e">
        <f aca="false" t="array" ref="D680:D680">IF(ISBLANK(_xlfn.xlookup(D$3,daily_items,_xlfn.xlookup($C680,daily_dates,big_daily_table))),NA(),_xlfn.xlookup(D$3,daily_items,_xlfn.xlookup($C680,daily_dates,big_daily_table)))</f>
        <v>#NAME?</v>
      </c>
      <c r="E680" s="1" t="e">
        <f aca="false" t="array" ref="E680:E680">IF(ISBLANK(_xlfn.xlookup(E$3,daily_items,_xlfn.xlookup($C680,daily_dates,big_daily_table))),NA(),_xlfn.xlookup(E$3,daily_items,_xlfn.xlookup($C680,daily_dates,big_daily_table)))</f>
        <v>#NAME?</v>
      </c>
    </row>
    <row r="681" customFormat="false" ht="14.25" hidden="false" customHeight="false" outlineLevel="0" collapsed="false">
      <c r="B681" s="7" t="n">
        <v>41586</v>
      </c>
      <c r="C681" s="7" t="n">
        <f aca="false">B681-WEEKDAY(B681)+1</f>
        <v>41581</v>
      </c>
      <c r="D681" s="1" t="e">
        <f aca="false" t="array" ref="D681:D681">IF(ISBLANK(_xlfn.xlookup(D$3,daily_items,_xlfn.xlookup($C681,daily_dates,big_daily_table))),NA(),_xlfn.xlookup(D$3,daily_items,_xlfn.xlookup($C681,daily_dates,big_daily_table)))</f>
        <v>#NAME?</v>
      </c>
      <c r="E681" s="1" t="e">
        <f aca="false" t="array" ref="E681:E681">IF(ISBLANK(_xlfn.xlookup(E$3,daily_items,_xlfn.xlookup($C681,daily_dates,big_daily_table))),NA(),_xlfn.xlookup(E$3,daily_items,_xlfn.xlookup($C681,daily_dates,big_daily_table)))</f>
        <v>#NAME?</v>
      </c>
    </row>
    <row r="682" customFormat="false" ht="14.25" hidden="false" customHeight="false" outlineLevel="0" collapsed="false">
      <c r="B682" s="7" t="n">
        <v>41587</v>
      </c>
      <c r="C682" s="7" t="n">
        <f aca="false">B682-WEEKDAY(B682)+1</f>
        <v>41581</v>
      </c>
      <c r="D682" s="1" t="e">
        <f aca="false" t="array" ref="D682:D682">IF(ISBLANK(_xlfn.xlookup(D$3,daily_items,_xlfn.xlookup($C682,daily_dates,big_daily_table))),NA(),_xlfn.xlookup(D$3,daily_items,_xlfn.xlookup($C682,daily_dates,big_daily_table)))</f>
        <v>#NAME?</v>
      </c>
      <c r="E682" s="1" t="e">
        <f aca="false" t="array" ref="E682:E682">IF(ISBLANK(_xlfn.xlookup(E$3,daily_items,_xlfn.xlookup($C682,daily_dates,big_daily_table))),NA(),_xlfn.xlookup(E$3,daily_items,_xlfn.xlookup($C682,daily_dates,big_daily_table)))</f>
        <v>#NAME?</v>
      </c>
    </row>
    <row r="683" customFormat="false" ht="14.25" hidden="false" customHeight="false" outlineLevel="0" collapsed="false">
      <c r="B683" s="7" t="n">
        <v>41588</v>
      </c>
      <c r="C683" s="7" t="n">
        <f aca="false">B683-WEEKDAY(B683)+1</f>
        <v>41588</v>
      </c>
      <c r="D683" s="1" t="e">
        <f aca="false" t="array" ref="D683:D683">IF(ISBLANK(_xlfn.xlookup(D$3,daily_items,_xlfn.xlookup($C683,daily_dates,big_daily_table))),NA(),_xlfn.xlookup(D$3,daily_items,_xlfn.xlookup($C683,daily_dates,big_daily_table)))</f>
        <v>#NAME?</v>
      </c>
      <c r="E683" s="1" t="e">
        <f aca="false" t="array" ref="E683:E683">IF(ISBLANK(_xlfn.xlookup(E$3,daily_items,_xlfn.xlookup($C683,daily_dates,big_daily_table))),NA(),_xlfn.xlookup(E$3,daily_items,_xlfn.xlookup($C683,daily_dates,big_daily_table)))</f>
        <v>#NAME?</v>
      </c>
    </row>
    <row r="684" customFormat="false" ht="14.25" hidden="false" customHeight="false" outlineLevel="0" collapsed="false">
      <c r="B684" s="7" t="n">
        <v>41589</v>
      </c>
      <c r="C684" s="7" t="n">
        <f aca="false">B684-WEEKDAY(B684)+1</f>
        <v>41588</v>
      </c>
      <c r="D684" s="1" t="e">
        <f aca="false" t="array" ref="D684:D684">IF(ISBLANK(_xlfn.xlookup(D$3,daily_items,_xlfn.xlookup($C684,daily_dates,big_daily_table))),NA(),_xlfn.xlookup(D$3,daily_items,_xlfn.xlookup($C684,daily_dates,big_daily_table)))</f>
        <v>#NAME?</v>
      </c>
      <c r="E684" s="1" t="e">
        <f aca="false" t="array" ref="E684:E684">IF(ISBLANK(_xlfn.xlookup(E$3,daily_items,_xlfn.xlookup($C684,daily_dates,big_daily_table))),NA(),_xlfn.xlookup(E$3,daily_items,_xlfn.xlookup($C684,daily_dates,big_daily_table)))</f>
        <v>#NAME?</v>
      </c>
    </row>
    <row r="685" customFormat="false" ht="14.25" hidden="false" customHeight="false" outlineLevel="0" collapsed="false">
      <c r="B685" s="7" t="n">
        <v>41590</v>
      </c>
      <c r="C685" s="7" t="n">
        <f aca="false">B685-WEEKDAY(B685)+1</f>
        <v>41588</v>
      </c>
      <c r="D685" s="1" t="e">
        <f aca="false" t="array" ref="D685:D685">IF(ISBLANK(_xlfn.xlookup(D$3,daily_items,_xlfn.xlookup($C685,daily_dates,big_daily_table))),NA(),_xlfn.xlookup(D$3,daily_items,_xlfn.xlookup($C685,daily_dates,big_daily_table)))</f>
        <v>#NAME?</v>
      </c>
      <c r="E685" s="1" t="e">
        <f aca="false" t="array" ref="E685:E685">IF(ISBLANK(_xlfn.xlookup(E$3,daily_items,_xlfn.xlookup($C685,daily_dates,big_daily_table))),NA(),_xlfn.xlookup(E$3,daily_items,_xlfn.xlookup($C685,daily_dates,big_daily_table)))</f>
        <v>#NAME?</v>
      </c>
    </row>
    <row r="686" customFormat="false" ht="14.25" hidden="false" customHeight="false" outlineLevel="0" collapsed="false">
      <c r="B686" s="7" t="n">
        <v>41591</v>
      </c>
      <c r="C686" s="7" t="n">
        <f aca="false">B686-WEEKDAY(B686)+1</f>
        <v>41588</v>
      </c>
      <c r="D686" s="1" t="e">
        <f aca="false" t="array" ref="D686:D686">IF(ISBLANK(_xlfn.xlookup(D$3,daily_items,_xlfn.xlookup($C686,daily_dates,big_daily_table))),NA(),_xlfn.xlookup(D$3,daily_items,_xlfn.xlookup($C686,daily_dates,big_daily_table)))</f>
        <v>#NAME?</v>
      </c>
      <c r="E686" s="1" t="e">
        <f aca="false" t="array" ref="E686:E686">IF(ISBLANK(_xlfn.xlookup(E$3,daily_items,_xlfn.xlookup($C686,daily_dates,big_daily_table))),NA(),_xlfn.xlookup(E$3,daily_items,_xlfn.xlookup($C686,daily_dates,big_daily_table)))</f>
        <v>#NAME?</v>
      </c>
    </row>
    <row r="687" customFormat="false" ht="14.25" hidden="false" customHeight="false" outlineLevel="0" collapsed="false">
      <c r="B687" s="7" t="n">
        <v>41592</v>
      </c>
      <c r="C687" s="7" t="n">
        <f aca="false">B687-WEEKDAY(B687)+1</f>
        <v>41588</v>
      </c>
      <c r="D687" s="1" t="e">
        <f aca="false" t="array" ref="D687:D687">IF(ISBLANK(_xlfn.xlookup(D$3,daily_items,_xlfn.xlookup($C687,daily_dates,big_daily_table))),NA(),_xlfn.xlookup(D$3,daily_items,_xlfn.xlookup($C687,daily_dates,big_daily_table)))</f>
        <v>#NAME?</v>
      </c>
      <c r="E687" s="1" t="e">
        <f aca="false" t="array" ref="E687:E687">IF(ISBLANK(_xlfn.xlookup(E$3,daily_items,_xlfn.xlookup($C687,daily_dates,big_daily_table))),NA(),_xlfn.xlookup(E$3,daily_items,_xlfn.xlookup($C687,daily_dates,big_daily_table)))</f>
        <v>#NAME?</v>
      </c>
    </row>
    <row r="688" customFormat="false" ht="14.25" hidden="false" customHeight="false" outlineLevel="0" collapsed="false">
      <c r="B688" s="7" t="n">
        <v>41593</v>
      </c>
      <c r="C688" s="7" t="n">
        <f aca="false">B688-WEEKDAY(B688)+1</f>
        <v>41588</v>
      </c>
      <c r="D688" s="1" t="e">
        <f aca="false" t="array" ref="D688:D688">IF(ISBLANK(_xlfn.xlookup(D$3,daily_items,_xlfn.xlookup($C688,daily_dates,big_daily_table))),NA(),_xlfn.xlookup(D$3,daily_items,_xlfn.xlookup($C688,daily_dates,big_daily_table)))</f>
        <v>#NAME?</v>
      </c>
      <c r="E688" s="1" t="e">
        <f aca="false" t="array" ref="E688:E688">IF(ISBLANK(_xlfn.xlookup(E$3,daily_items,_xlfn.xlookup($C688,daily_dates,big_daily_table))),NA(),_xlfn.xlookup(E$3,daily_items,_xlfn.xlookup($C688,daily_dates,big_daily_table)))</f>
        <v>#NAME?</v>
      </c>
    </row>
    <row r="689" customFormat="false" ht="14.25" hidden="false" customHeight="false" outlineLevel="0" collapsed="false">
      <c r="B689" s="7" t="n">
        <v>41594</v>
      </c>
      <c r="C689" s="7" t="n">
        <f aca="false">B689-WEEKDAY(B689)+1</f>
        <v>41588</v>
      </c>
      <c r="D689" s="1" t="e">
        <f aca="false" t="array" ref="D689:D689">IF(ISBLANK(_xlfn.xlookup(D$3,daily_items,_xlfn.xlookup($C689,daily_dates,big_daily_table))),NA(),_xlfn.xlookup(D$3,daily_items,_xlfn.xlookup($C689,daily_dates,big_daily_table)))</f>
        <v>#NAME?</v>
      </c>
      <c r="E689" s="1" t="e">
        <f aca="false" t="array" ref="E689:E689">IF(ISBLANK(_xlfn.xlookup(E$3,daily_items,_xlfn.xlookup($C689,daily_dates,big_daily_table))),NA(),_xlfn.xlookup(E$3,daily_items,_xlfn.xlookup($C689,daily_dates,big_daily_table)))</f>
        <v>#NAME?</v>
      </c>
    </row>
    <row r="690" customFormat="false" ht="14.25" hidden="false" customHeight="false" outlineLevel="0" collapsed="false">
      <c r="B690" s="7" t="n">
        <v>41595</v>
      </c>
      <c r="C690" s="7" t="n">
        <f aca="false">B690-WEEKDAY(B690)+1</f>
        <v>41595</v>
      </c>
      <c r="D690" s="1" t="e">
        <f aca="false" t="array" ref="D690:D690">IF(ISBLANK(_xlfn.xlookup(D$3,daily_items,_xlfn.xlookup($C690,daily_dates,big_daily_table))),NA(),_xlfn.xlookup(D$3,daily_items,_xlfn.xlookup($C690,daily_dates,big_daily_table)))</f>
        <v>#NAME?</v>
      </c>
      <c r="E690" s="1" t="e">
        <f aca="false" t="array" ref="E690:E690">IF(ISBLANK(_xlfn.xlookup(E$3,daily_items,_xlfn.xlookup($C690,daily_dates,big_daily_table))),NA(),_xlfn.xlookup(E$3,daily_items,_xlfn.xlookup($C690,daily_dates,big_daily_table)))</f>
        <v>#NAME?</v>
      </c>
    </row>
    <row r="691" customFormat="false" ht="14.25" hidden="false" customHeight="false" outlineLevel="0" collapsed="false">
      <c r="B691" s="7" t="n">
        <v>41596</v>
      </c>
      <c r="C691" s="7" t="n">
        <f aca="false">B691-WEEKDAY(B691)+1</f>
        <v>41595</v>
      </c>
      <c r="D691" s="1" t="e">
        <f aca="false" t="array" ref="D691:D691">IF(ISBLANK(_xlfn.xlookup(D$3,daily_items,_xlfn.xlookup($C691,daily_dates,big_daily_table))),NA(),_xlfn.xlookup(D$3,daily_items,_xlfn.xlookup($C691,daily_dates,big_daily_table)))</f>
        <v>#NAME?</v>
      </c>
      <c r="E691" s="1" t="e">
        <f aca="false" t="array" ref="E691:E691">IF(ISBLANK(_xlfn.xlookup(E$3,daily_items,_xlfn.xlookup($C691,daily_dates,big_daily_table))),NA(),_xlfn.xlookup(E$3,daily_items,_xlfn.xlookup($C691,daily_dates,big_daily_table)))</f>
        <v>#NAME?</v>
      </c>
    </row>
    <row r="692" customFormat="false" ht="14.25" hidden="false" customHeight="false" outlineLevel="0" collapsed="false">
      <c r="B692" s="7" t="n">
        <v>41597</v>
      </c>
      <c r="C692" s="7" t="n">
        <f aca="false">B692-WEEKDAY(B692)+1</f>
        <v>41595</v>
      </c>
      <c r="D692" s="1" t="e">
        <f aca="false" t="array" ref="D692:D692">IF(ISBLANK(_xlfn.xlookup(D$3,daily_items,_xlfn.xlookup($C692,daily_dates,big_daily_table))),NA(),_xlfn.xlookup(D$3,daily_items,_xlfn.xlookup($C692,daily_dates,big_daily_table)))</f>
        <v>#NAME?</v>
      </c>
      <c r="E692" s="1" t="e">
        <f aca="false" t="array" ref="E692:E692">IF(ISBLANK(_xlfn.xlookup(E$3,daily_items,_xlfn.xlookup($C692,daily_dates,big_daily_table))),NA(),_xlfn.xlookup(E$3,daily_items,_xlfn.xlookup($C692,daily_dates,big_daily_table)))</f>
        <v>#NAME?</v>
      </c>
    </row>
    <row r="693" customFormat="false" ht="14.25" hidden="false" customHeight="false" outlineLevel="0" collapsed="false">
      <c r="B693" s="7" t="n">
        <v>41598</v>
      </c>
      <c r="C693" s="7" t="n">
        <f aca="false">B693-WEEKDAY(B693)+1</f>
        <v>41595</v>
      </c>
      <c r="D693" s="1" t="e">
        <f aca="false" t="array" ref="D693:D693">IF(ISBLANK(_xlfn.xlookup(D$3,daily_items,_xlfn.xlookup($C693,daily_dates,big_daily_table))),NA(),_xlfn.xlookup(D$3,daily_items,_xlfn.xlookup($C693,daily_dates,big_daily_table)))</f>
        <v>#NAME?</v>
      </c>
      <c r="E693" s="1" t="e">
        <f aca="false" t="array" ref="E693:E693">IF(ISBLANK(_xlfn.xlookup(E$3,daily_items,_xlfn.xlookup($C693,daily_dates,big_daily_table))),NA(),_xlfn.xlookup(E$3,daily_items,_xlfn.xlookup($C693,daily_dates,big_daily_table)))</f>
        <v>#NAME?</v>
      </c>
    </row>
    <row r="694" customFormat="false" ht="14.25" hidden="false" customHeight="false" outlineLevel="0" collapsed="false">
      <c r="B694" s="7" t="n">
        <v>41599</v>
      </c>
      <c r="C694" s="7" t="n">
        <f aca="false">B694-WEEKDAY(B694)+1</f>
        <v>41595</v>
      </c>
      <c r="D694" s="1" t="e">
        <f aca="false" t="array" ref="D694:D694">IF(ISBLANK(_xlfn.xlookup(D$3,daily_items,_xlfn.xlookup($C694,daily_dates,big_daily_table))),NA(),_xlfn.xlookup(D$3,daily_items,_xlfn.xlookup($C694,daily_dates,big_daily_table)))</f>
        <v>#NAME?</v>
      </c>
      <c r="E694" s="1" t="e">
        <f aca="false" t="array" ref="E694:E694">IF(ISBLANK(_xlfn.xlookup(E$3,daily_items,_xlfn.xlookup($C694,daily_dates,big_daily_table))),NA(),_xlfn.xlookup(E$3,daily_items,_xlfn.xlookup($C694,daily_dates,big_daily_table)))</f>
        <v>#NAME?</v>
      </c>
    </row>
    <row r="695" customFormat="false" ht="14.25" hidden="false" customHeight="false" outlineLevel="0" collapsed="false">
      <c r="B695" s="7" t="n">
        <v>41600</v>
      </c>
      <c r="C695" s="7" t="n">
        <f aca="false">B695-WEEKDAY(B695)+1</f>
        <v>41595</v>
      </c>
      <c r="D695" s="1" t="e">
        <f aca="false" t="array" ref="D695:D695">IF(ISBLANK(_xlfn.xlookup(D$3,daily_items,_xlfn.xlookup($C695,daily_dates,big_daily_table))),NA(),_xlfn.xlookup(D$3,daily_items,_xlfn.xlookup($C695,daily_dates,big_daily_table)))</f>
        <v>#NAME?</v>
      </c>
      <c r="E695" s="1" t="e">
        <f aca="false" t="array" ref="E695:E695">IF(ISBLANK(_xlfn.xlookup(E$3,daily_items,_xlfn.xlookup($C695,daily_dates,big_daily_table))),NA(),_xlfn.xlookup(E$3,daily_items,_xlfn.xlookup($C695,daily_dates,big_daily_table)))</f>
        <v>#NAME?</v>
      </c>
    </row>
    <row r="696" customFormat="false" ht="14.25" hidden="false" customHeight="false" outlineLevel="0" collapsed="false">
      <c r="B696" s="7" t="n">
        <v>41601</v>
      </c>
      <c r="C696" s="7" t="n">
        <f aca="false">B696-WEEKDAY(B696)+1</f>
        <v>41595</v>
      </c>
      <c r="D696" s="1" t="e">
        <f aca="false" t="array" ref="D696:D696">IF(ISBLANK(_xlfn.xlookup(D$3,daily_items,_xlfn.xlookup($C696,daily_dates,big_daily_table))),NA(),_xlfn.xlookup(D$3,daily_items,_xlfn.xlookup($C696,daily_dates,big_daily_table)))</f>
        <v>#NAME?</v>
      </c>
      <c r="E696" s="1" t="e">
        <f aca="false" t="array" ref="E696:E696">IF(ISBLANK(_xlfn.xlookup(E$3,daily_items,_xlfn.xlookup($C696,daily_dates,big_daily_table))),NA(),_xlfn.xlookup(E$3,daily_items,_xlfn.xlookup($C696,daily_dates,big_daily_table)))</f>
        <v>#NAME?</v>
      </c>
    </row>
    <row r="697" customFormat="false" ht="14.25" hidden="false" customHeight="false" outlineLevel="0" collapsed="false">
      <c r="B697" s="7" t="n">
        <v>41602</v>
      </c>
      <c r="C697" s="7" t="n">
        <f aca="false">B697-WEEKDAY(B697)+1</f>
        <v>41602</v>
      </c>
      <c r="D697" s="1" t="e">
        <f aca="false" t="array" ref="D697:D697">IF(ISBLANK(_xlfn.xlookup(D$3,daily_items,_xlfn.xlookup($C697,daily_dates,big_daily_table))),NA(),_xlfn.xlookup(D$3,daily_items,_xlfn.xlookup($C697,daily_dates,big_daily_table)))</f>
        <v>#NAME?</v>
      </c>
      <c r="E697" s="1" t="e">
        <f aca="false" t="array" ref="E697:E697">IF(ISBLANK(_xlfn.xlookup(E$3,daily_items,_xlfn.xlookup($C697,daily_dates,big_daily_table))),NA(),_xlfn.xlookup(E$3,daily_items,_xlfn.xlookup($C697,daily_dates,big_daily_table)))</f>
        <v>#NAME?</v>
      </c>
    </row>
    <row r="698" customFormat="false" ht="14.25" hidden="false" customHeight="false" outlineLevel="0" collapsed="false">
      <c r="B698" s="7" t="n">
        <v>41603</v>
      </c>
      <c r="C698" s="7" t="n">
        <f aca="false">B698-WEEKDAY(B698)+1</f>
        <v>41602</v>
      </c>
      <c r="D698" s="1" t="e">
        <f aca="false" t="array" ref="D698:D698">IF(ISBLANK(_xlfn.xlookup(D$3,daily_items,_xlfn.xlookup($C698,daily_dates,big_daily_table))),NA(),_xlfn.xlookup(D$3,daily_items,_xlfn.xlookup($C698,daily_dates,big_daily_table)))</f>
        <v>#NAME?</v>
      </c>
      <c r="E698" s="1" t="e">
        <f aca="false" t="array" ref="E698:E698">IF(ISBLANK(_xlfn.xlookup(E$3,daily_items,_xlfn.xlookup($C698,daily_dates,big_daily_table))),NA(),_xlfn.xlookup(E$3,daily_items,_xlfn.xlookup($C698,daily_dates,big_daily_table)))</f>
        <v>#NAME?</v>
      </c>
    </row>
    <row r="699" customFormat="false" ht="14.25" hidden="false" customHeight="false" outlineLevel="0" collapsed="false">
      <c r="B699" s="7" t="n">
        <v>41604</v>
      </c>
      <c r="C699" s="7" t="n">
        <f aca="false">B699-WEEKDAY(B699)+1</f>
        <v>41602</v>
      </c>
      <c r="D699" s="1" t="e">
        <f aca="false" t="array" ref="D699:D699">IF(ISBLANK(_xlfn.xlookup(D$3,daily_items,_xlfn.xlookup($C699,daily_dates,big_daily_table))),NA(),_xlfn.xlookup(D$3,daily_items,_xlfn.xlookup($C699,daily_dates,big_daily_table)))</f>
        <v>#NAME?</v>
      </c>
      <c r="E699" s="1" t="e">
        <f aca="false" t="array" ref="E699:E699">IF(ISBLANK(_xlfn.xlookup(E$3,daily_items,_xlfn.xlookup($C699,daily_dates,big_daily_table))),NA(),_xlfn.xlookup(E$3,daily_items,_xlfn.xlookup($C699,daily_dates,big_daily_table)))</f>
        <v>#NAME?</v>
      </c>
    </row>
    <row r="700" customFormat="false" ht="14.25" hidden="false" customHeight="false" outlineLevel="0" collapsed="false">
      <c r="B700" s="7" t="n">
        <v>41605</v>
      </c>
      <c r="C700" s="7" t="n">
        <f aca="false">B700-WEEKDAY(B700)+1</f>
        <v>41602</v>
      </c>
      <c r="D700" s="1" t="e">
        <f aca="false" t="array" ref="D700:D700">IF(ISBLANK(_xlfn.xlookup(D$3,daily_items,_xlfn.xlookup($C700,daily_dates,big_daily_table))),NA(),_xlfn.xlookup(D$3,daily_items,_xlfn.xlookup($C700,daily_dates,big_daily_table)))</f>
        <v>#NAME?</v>
      </c>
      <c r="E700" s="1" t="e">
        <f aca="false" t="array" ref="E700:E700">IF(ISBLANK(_xlfn.xlookup(E$3,daily_items,_xlfn.xlookup($C700,daily_dates,big_daily_table))),NA(),_xlfn.xlookup(E$3,daily_items,_xlfn.xlookup($C700,daily_dates,big_daily_table)))</f>
        <v>#NAME?</v>
      </c>
    </row>
    <row r="701" customFormat="false" ht="14.25" hidden="false" customHeight="false" outlineLevel="0" collapsed="false">
      <c r="B701" s="7" t="n">
        <v>41606</v>
      </c>
      <c r="C701" s="7" t="n">
        <f aca="false">B701-WEEKDAY(B701)+1</f>
        <v>41602</v>
      </c>
      <c r="D701" s="1" t="e">
        <f aca="false" t="array" ref="D701:D701">IF(ISBLANK(_xlfn.xlookup(D$3,daily_items,_xlfn.xlookup($C701,daily_dates,big_daily_table))),NA(),_xlfn.xlookup(D$3,daily_items,_xlfn.xlookup($C701,daily_dates,big_daily_table)))</f>
        <v>#NAME?</v>
      </c>
      <c r="E701" s="1" t="e">
        <f aca="false" t="array" ref="E701:E701">IF(ISBLANK(_xlfn.xlookup(E$3,daily_items,_xlfn.xlookup($C701,daily_dates,big_daily_table))),NA(),_xlfn.xlookup(E$3,daily_items,_xlfn.xlookup($C701,daily_dates,big_daily_table)))</f>
        <v>#NAME?</v>
      </c>
    </row>
    <row r="702" customFormat="false" ht="14.25" hidden="false" customHeight="false" outlineLevel="0" collapsed="false">
      <c r="B702" s="7" t="n">
        <v>41607</v>
      </c>
      <c r="C702" s="7" t="n">
        <f aca="false">B702-WEEKDAY(B702)+1</f>
        <v>41602</v>
      </c>
      <c r="D702" s="1" t="e">
        <f aca="false" t="array" ref="D702:D702">IF(ISBLANK(_xlfn.xlookup(D$3,daily_items,_xlfn.xlookup($C702,daily_dates,big_daily_table))),NA(),_xlfn.xlookup(D$3,daily_items,_xlfn.xlookup($C702,daily_dates,big_daily_table)))</f>
        <v>#NAME?</v>
      </c>
      <c r="E702" s="1" t="e">
        <f aca="false" t="array" ref="E702:E702">IF(ISBLANK(_xlfn.xlookup(E$3,daily_items,_xlfn.xlookup($C702,daily_dates,big_daily_table))),NA(),_xlfn.xlookup(E$3,daily_items,_xlfn.xlookup($C702,daily_dates,big_daily_table)))</f>
        <v>#NAME?</v>
      </c>
    </row>
    <row r="703" customFormat="false" ht="14.25" hidden="false" customHeight="false" outlineLevel="0" collapsed="false">
      <c r="B703" s="7" t="n">
        <v>41608</v>
      </c>
      <c r="C703" s="7" t="n">
        <f aca="false">B703-WEEKDAY(B703)+1</f>
        <v>41602</v>
      </c>
      <c r="D703" s="1" t="e">
        <f aca="false" t="array" ref="D703:D703">IF(ISBLANK(_xlfn.xlookup(D$3,daily_items,_xlfn.xlookup($C703,daily_dates,big_daily_table))),NA(),_xlfn.xlookup(D$3,daily_items,_xlfn.xlookup($C703,daily_dates,big_daily_table)))</f>
        <v>#NAME?</v>
      </c>
      <c r="E703" s="1" t="e">
        <f aca="false" t="array" ref="E703:E703">IF(ISBLANK(_xlfn.xlookup(E$3,daily_items,_xlfn.xlookup($C703,daily_dates,big_daily_table))),NA(),_xlfn.xlookup(E$3,daily_items,_xlfn.xlookup($C703,daily_dates,big_daily_table)))</f>
        <v>#NAME?</v>
      </c>
    </row>
    <row r="704" customFormat="false" ht="14.25" hidden="false" customHeight="false" outlineLevel="0" collapsed="false">
      <c r="B704" s="7" t="n">
        <v>41609</v>
      </c>
      <c r="C704" s="7" t="n">
        <f aca="false">B704-WEEKDAY(B704)+1</f>
        <v>41609</v>
      </c>
      <c r="D704" s="1" t="e">
        <f aca="false" t="array" ref="D704:D704">IF(ISBLANK(_xlfn.xlookup(D$3,daily_items,_xlfn.xlookup($C704,daily_dates,big_daily_table))),NA(),_xlfn.xlookup(D$3,daily_items,_xlfn.xlookup($C704,daily_dates,big_daily_table)))</f>
        <v>#NAME?</v>
      </c>
      <c r="E704" s="1" t="e">
        <f aca="false" t="array" ref="E704:E704">IF(ISBLANK(_xlfn.xlookup(E$3,daily_items,_xlfn.xlookup($C704,daily_dates,big_daily_table))),NA(),_xlfn.xlookup(E$3,daily_items,_xlfn.xlookup($C704,daily_dates,big_daily_table)))</f>
        <v>#NAME?</v>
      </c>
    </row>
    <row r="705" customFormat="false" ht="14.25" hidden="false" customHeight="false" outlineLevel="0" collapsed="false">
      <c r="B705" s="7" t="n">
        <v>41610</v>
      </c>
      <c r="C705" s="7" t="n">
        <f aca="false">B705-WEEKDAY(B705)+1</f>
        <v>41609</v>
      </c>
      <c r="D705" s="1" t="e">
        <f aca="false" t="array" ref="D705:D705">IF(ISBLANK(_xlfn.xlookup(D$3,daily_items,_xlfn.xlookup($C705,daily_dates,big_daily_table))),NA(),_xlfn.xlookup(D$3,daily_items,_xlfn.xlookup($C705,daily_dates,big_daily_table)))</f>
        <v>#NAME?</v>
      </c>
      <c r="E705" s="1" t="e">
        <f aca="false" t="array" ref="E705:E705">IF(ISBLANK(_xlfn.xlookup(E$3,daily_items,_xlfn.xlookup($C705,daily_dates,big_daily_table))),NA(),_xlfn.xlookup(E$3,daily_items,_xlfn.xlookup($C705,daily_dates,big_daily_table)))</f>
        <v>#NAME?</v>
      </c>
    </row>
    <row r="706" customFormat="false" ht="14.25" hidden="false" customHeight="false" outlineLevel="0" collapsed="false">
      <c r="B706" s="7" t="n">
        <v>41611</v>
      </c>
      <c r="C706" s="7" t="n">
        <f aca="false">B706-WEEKDAY(B706)+1</f>
        <v>41609</v>
      </c>
      <c r="D706" s="1" t="e">
        <f aca="false" t="array" ref="D706:D706">IF(ISBLANK(_xlfn.xlookup(D$3,daily_items,_xlfn.xlookup($C706,daily_dates,big_daily_table))),NA(),_xlfn.xlookup(D$3,daily_items,_xlfn.xlookup($C706,daily_dates,big_daily_table)))</f>
        <v>#NAME?</v>
      </c>
      <c r="E706" s="1" t="e">
        <f aca="false" t="array" ref="E706:E706">IF(ISBLANK(_xlfn.xlookup(E$3,daily_items,_xlfn.xlookup($C706,daily_dates,big_daily_table))),NA(),_xlfn.xlookup(E$3,daily_items,_xlfn.xlookup($C706,daily_dates,big_daily_table)))</f>
        <v>#NAME?</v>
      </c>
    </row>
    <row r="707" customFormat="false" ht="14.25" hidden="false" customHeight="false" outlineLevel="0" collapsed="false">
      <c r="B707" s="7" t="n">
        <v>41612</v>
      </c>
      <c r="C707" s="7" t="n">
        <f aca="false">B707-WEEKDAY(B707)+1</f>
        <v>41609</v>
      </c>
      <c r="D707" s="1" t="e">
        <f aca="false" t="array" ref="D707:D707">IF(ISBLANK(_xlfn.xlookup(D$3,daily_items,_xlfn.xlookup($C707,daily_dates,big_daily_table))),NA(),_xlfn.xlookup(D$3,daily_items,_xlfn.xlookup($C707,daily_dates,big_daily_table)))</f>
        <v>#NAME?</v>
      </c>
      <c r="E707" s="1" t="e">
        <f aca="false" t="array" ref="E707:E707">IF(ISBLANK(_xlfn.xlookup(E$3,daily_items,_xlfn.xlookup($C707,daily_dates,big_daily_table))),NA(),_xlfn.xlookup(E$3,daily_items,_xlfn.xlookup($C707,daily_dates,big_daily_table)))</f>
        <v>#NAME?</v>
      </c>
    </row>
    <row r="708" customFormat="false" ht="14.25" hidden="false" customHeight="false" outlineLevel="0" collapsed="false">
      <c r="B708" s="7" t="n">
        <v>41613</v>
      </c>
      <c r="C708" s="7" t="n">
        <f aca="false">B708-WEEKDAY(B708)+1</f>
        <v>41609</v>
      </c>
      <c r="D708" s="1" t="e">
        <f aca="false" t="array" ref="D708:D708">IF(ISBLANK(_xlfn.xlookup(D$3,daily_items,_xlfn.xlookup($C708,daily_dates,big_daily_table))),NA(),_xlfn.xlookup(D$3,daily_items,_xlfn.xlookup($C708,daily_dates,big_daily_table)))</f>
        <v>#NAME?</v>
      </c>
      <c r="E708" s="1" t="e">
        <f aca="false" t="array" ref="E708:E708">IF(ISBLANK(_xlfn.xlookup(E$3,daily_items,_xlfn.xlookup($C708,daily_dates,big_daily_table))),NA(),_xlfn.xlookup(E$3,daily_items,_xlfn.xlookup($C708,daily_dates,big_daily_table)))</f>
        <v>#NAME?</v>
      </c>
    </row>
    <row r="709" customFormat="false" ht="14.25" hidden="false" customHeight="false" outlineLevel="0" collapsed="false">
      <c r="B709" s="7" t="n">
        <v>41614</v>
      </c>
      <c r="C709" s="7" t="n">
        <f aca="false">B709-WEEKDAY(B709)+1</f>
        <v>41609</v>
      </c>
      <c r="D709" s="1" t="e">
        <f aca="false" t="array" ref="D709:D709">IF(ISBLANK(_xlfn.xlookup(D$3,daily_items,_xlfn.xlookup($C709,daily_dates,big_daily_table))),NA(),_xlfn.xlookup(D$3,daily_items,_xlfn.xlookup($C709,daily_dates,big_daily_table)))</f>
        <v>#NAME?</v>
      </c>
      <c r="E709" s="1" t="e">
        <f aca="false" t="array" ref="E709:E709">IF(ISBLANK(_xlfn.xlookup(E$3,daily_items,_xlfn.xlookup($C709,daily_dates,big_daily_table))),NA(),_xlfn.xlookup(E$3,daily_items,_xlfn.xlookup($C709,daily_dates,big_daily_table)))</f>
        <v>#NAME?</v>
      </c>
    </row>
    <row r="710" customFormat="false" ht="14.25" hidden="false" customHeight="false" outlineLevel="0" collapsed="false">
      <c r="B710" s="7" t="n">
        <v>41615</v>
      </c>
      <c r="C710" s="7" t="n">
        <f aca="false">B710-WEEKDAY(B710)+1</f>
        <v>41609</v>
      </c>
      <c r="D710" s="1" t="e">
        <f aca="false" t="array" ref="D710:D710">IF(ISBLANK(_xlfn.xlookup(D$3,daily_items,_xlfn.xlookup($C710,daily_dates,big_daily_table))),NA(),_xlfn.xlookup(D$3,daily_items,_xlfn.xlookup($C710,daily_dates,big_daily_table)))</f>
        <v>#NAME?</v>
      </c>
      <c r="E710" s="1" t="e">
        <f aca="false" t="array" ref="E710:E710">IF(ISBLANK(_xlfn.xlookup(E$3,daily_items,_xlfn.xlookup($C710,daily_dates,big_daily_table))),NA(),_xlfn.xlookup(E$3,daily_items,_xlfn.xlookup($C710,daily_dates,big_daily_table)))</f>
        <v>#NAME?</v>
      </c>
    </row>
    <row r="711" customFormat="false" ht="14.25" hidden="false" customHeight="false" outlineLevel="0" collapsed="false">
      <c r="B711" s="7" t="n">
        <v>41616</v>
      </c>
      <c r="C711" s="7" t="n">
        <f aca="false">B711-WEEKDAY(B711)+1</f>
        <v>41616</v>
      </c>
      <c r="D711" s="1" t="e">
        <f aca="false" t="array" ref="D711:D711">IF(ISBLANK(_xlfn.xlookup(D$3,daily_items,_xlfn.xlookup($C711,daily_dates,big_daily_table))),NA(),_xlfn.xlookup(D$3,daily_items,_xlfn.xlookup($C711,daily_dates,big_daily_table)))</f>
        <v>#NAME?</v>
      </c>
      <c r="E711" s="1" t="e">
        <f aca="false" t="array" ref="E711:E711">IF(ISBLANK(_xlfn.xlookup(E$3,daily_items,_xlfn.xlookup($C711,daily_dates,big_daily_table))),NA(),_xlfn.xlookup(E$3,daily_items,_xlfn.xlookup($C711,daily_dates,big_daily_table)))</f>
        <v>#NAME?</v>
      </c>
    </row>
    <row r="712" customFormat="false" ht="14.25" hidden="false" customHeight="false" outlineLevel="0" collapsed="false">
      <c r="B712" s="7" t="n">
        <v>41617</v>
      </c>
      <c r="C712" s="7" t="n">
        <f aca="false">B712-WEEKDAY(B712)+1</f>
        <v>41616</v>
      </c>
      <c r="D712" s="1" t="e">
        <f aca="false" t="array" ref="D712:D712">IF(ISBLANK(_xlfn.xlookup(D$3,daily_items,_xlfn.xlookup($C712,daily_dates,big_daily_table))),NA(),_xlfn.xlookup(D$3,daily_items,_xlfn.xlookup($C712,daily_dates,big_daily_table)))</f>
        <v>#NAME?</v>
      </c>
      <c r="E712" s="1" t="e">
        <f aca="false" t="array" ref="E712:E712">IF(ISBLANK(_xlfn.xlookup(E$3,daily_items,_xlfn.xlookup($C712,daily_dates,big_daily_table))),NA(),_xlfn.xlookup(E$3,daily_items,_xlfn.xlookup($C712,daily_dates,big_daily_table)))</f>
        <v>#NAME?</v>
      </c>
    </row>
    <row r="713" customFormat="false" ht="14.25" hidden="false" customHeight="false" outlineLevel="0" collapsed="false">
      <c r="B713" s="7" t="n">
        <v>41618</v>
      </c>
      <c r="C713" s="7" t="n">
        <f aca="false">B713-WEEKDAY(B713)+1</f>
        <v>41616</v>
      </c>
      <c r="D713" s="1" t="e">
        <f aca="false" t="array" ref="D713:D713">IF(ISBLANK(_xlfn.xlookup(D$3,daily_items,_xlfn.xlookup($C713,daily_dates,big_daily_table))),NA(),_xlfn.xlookup(D$3,daily_items,_xlfn.xlookup($C713,daily_dates,big_daily_table)))</f>
        <v>#NAME?</v>
      </c>
      <c r="E713" s="1" t="e">
        <f aca="false" t="array" ref="E713:E713">IF(ISBLANK(_xlfn.xlookup(E$3,daily_items,_xlfn.xlookup($C713,daily_dates,big_daily_table))),NA(),_xlfn.xlookup(E$3,daily_items,_xlfn.xlookup($C713,daily_dates,big_daily_table)))</f>
        <v>#NAME?</v>
      </c>
    </row>
    <row r="714" customFormat="false" ht="14.25" hidden="false" customHeight="false" outlineLevel="0" collapsed="false">
      <c r="B714" s="7" t="n">
        <v>41619</v>
      </c>
      <c r="C714" s="7" t="n">
        <f aca="false">B714-WEEKDAY(B714)+1</f>
        <v>41616</v>
      </c>
      <c r="D714" s="1" t="e">
        <f aca="false" t="array" ref="D714:D714">IF(ISBLANK(_xlfn.xlookup(D$3,daily_items,_xlfn.xlookup($C714,daily_dates,big_daily_table))),NA(),_xlfn.xlookup(D$3,daily_items,_xlfn.xlookup($C714,daily_dates,big_daily_table)))</f>
        <v>#NAME?</v>
      </c>
      <c r="E714" s="1" t="e">
        <f aca="false" t="array" ref="E714:E714">IF(ISBLANK(_xlfn.xlookup(E$3,daily_items,_xlfn.xlookup($C714,daily_dates,big_daily_table))),NA(),_xlfn.xlookup(E$3,daily_items,_xlfn.xlookup($C714,daily_dates,big_daily_table)))</f>
        <v>#NAME?</v>
      </c>
    </row>
    <row r="715" customFormat="false" ht="14.25" hidden="false" customHeight="false" outlineLevel="0" collapsed="false">
      <c r="B715" s="7" t="n">
        <v>41620</v>
      </c>
      <c r="C715" s="7" t="n">
        <f aca="false">B715-WEEKDAY(B715)+1</f>
        <v>41616</v>
      </c>
      <c r="D715" s="1" t="e">
        <f aca="false" t="array" ref="D715:D715">IF(ISBLANK(_xlfn.xlookup(D$3,daily_items,_xlfn.xlookup($C715,daily_dates,big_daily_table))),NA(),_xlfn.xlookup(D$3,daily_items,_xlfn.xlookup($C715,daily_dates,big_daily_table)))</f>
        <v>#NAME?</v>
      </c>
      <c r="E715" s="1" t="e">
        <f aca="false" t="array" ref="E715:E715">IF(ISBLANK(_xlfn.xlookup(E$3,daily_items,_xlfn.xlookup($C715,daily_dates,big_daily_table))),NA(),_xlfn.xlookup(E$3,daily_items,_xlfn.xlookup($C715,daily_dates,big_daily_table)))</f>
        <v>#NAME?</v>
      </c>
    </row>
    <row r="716" customFormat="false" ht="14.25" hidden="false" customHeight="false" outlineLevel="0" collapsed="false">
      <c r="B716" s="7" t="n">
        <v>41621</v>
      </c>
      <c r="C716" s="7" t="n">
        <f aca="false">B716-WEEKDAY(B716)+1</f>
        <v>41616</v>
      </c>
      <c r="D716" s="1" t="e">
        <f aca="false" t="array" ref="D716:D716">IF(ISBLANK(_xlfn.xlookup(D$3,daily_items,_xlfn.xlookup($C716,daily_dates,big_daily_table))),NA(),_xlfn.xlookup(D$3,daily_items,_xlfn.xlookup($C716,daily_dates,big_daily_table)))</f>
        <v>#NAME?</v>
      </c>
      <c r="E716" s="1" t="e">
        <f aca="false" t="array" ref="E716:E716">IF(ISBLANK(_xlfn.xlookup(E$3,daily_items,_xlfn.xlookup($C716,daily_dates,big_daily_table))),NA(),_xlfn.xlookup(E$3,daily_items,_xlfn.xlookup($C716,daily_dates,big_daily_table)))</f>
        <v>#NAME?</v>
      </c>
    </row>
    <row r="717" customFormat="false" ht="14.25" hidden="false" customHeight="false" outlineLevel="0" collapsed="false">
      <c r="B717" s="7" t="n">
        <v>41622</v>
      </c>
      <c r="C717" s="7" t="n">
        <f aca="false">B717-WEEKDAY(B717)+1</f>
        <v>41616</v>
      </c>
      <c r="D717" s="1" t="e">
        <f aca="false" t="array" ref="D717:D717">IF(ISBLANK(_xlfn.xlookup(D$3,daily_items,_xlfn.xlookup($C717,daily_dates,big_daily_table))),NA(),_xlfn.xlookup(D$3,daily_items,_xlfn.xlookup($C717,daily_dates,big_daily_table)))</f>
        <v>#NAME?</v>
      </c>
      <c r="E717" s="1" t="e">
        <f aca="false" t="array" ref="E717:E717">IF(ISBLANK(_xlfn.xlookup(E$3,daily_items,_xlfn.xlookup($C717,daily_dates,big_daily_table))),NA(),_xlfn.xlookup(E$3,daily_items,_xlfn.xlookup($C717,daily_dates,big_daily_table)))</f>
        <v>#NAME?</v>
      </c>
    </row>
    <row r="718" customFormat="false" ht="14.25" hidden="false" customHeight="false" outlineLevel="0" collapsed="false">
      <c r="B718" s="7" t="n">
        <v>41623</v>
      </c>
      <c r="C718" s="7" t="n">
        <f aca="false">B718-WEEKDAY(B718)+1</f>
        <v>41623</v>
      </c>
      <c r="D718" s="1" t="e">
        <f aca="false" t="array" ref="D718:D718">IF(ISBLANK(_xlfn.xlookup(D$3,daily_items,_xlfn.xlookup($C718,daily_dates,big_daily_table))),NA(),_xlfn.xlookup(D$3,daily_items,_xlfn.xlookup($C718,daily_dates,big_daily_table)))</f>
        <v>#NAME?</v>
      </c>
      <c r="E718" s="1" t="e">
        <f aca="false" t="array" ref="E718:E718">IF(ISBLANK(_xlfn.xlookup(E$3,daily_items,_xlfn.xlookup($C718,daily_dates,big_daily_table))),NA(),_xlfn.xlookup(E$3,daily_items,_xlfn.xlookup($C718,daily_dates,big_daily_table)))</f>
        <v>#NAME?</v>
      </c>
    </row>
    <row r="719" customFormat="false" ht="14.25" hidden="false" customHeight="false" outlineLevel="0" collapsed="false">
      <c r="B719" s="7" t="n">
        <v>41624</v>
      </c>
      <c r="C719" s="7" t="n">
        <f aca="false">B719-WEEKDAY(B719)+1</f>
        <v>41623</v>
      </c>
      <c r="D719" s="1" t="e">
        <f aca="false" t="array" ref="D719:D719">IF(ISBLANK(_xlfn.xlookup(D$3,daily_items,_xlfn.xlookup($C719,daily_dates,big_daily_table))),NA(),_xlfn.xlookup(D$3,daily_items,_xlfn.xlookup($C719,daily_dates,big_daily_table)))</f>
        <v>#NAME?</v>
      </c>
      <c r="E719" s="1" t="e">
        <f aca="false" t="array" ref="E719:E719">IF(ISBLANK(_xlfn.xlookup(E$3,daily_items,_xlfn.xlookup($C719,daily_dates,big_daily_table))),NA(),_xlfn.xlookup(E$3,daily_items,_xlfn.xlookup($C719,daily_dates,big_daily_table)))</f>
        <v>#NAME?</v>
      </c>
    </row>
    <row r="720" customFormat="false" ht="14.25" hidden="false" customHeight="false" outlineLevel="0" collapsed="false">
      <c r="B720" s="7" t="n">
        <v>41625</v>
      </c>
      <c r="C720" s="7" t="n">
        <f aca="false">B720-WEEKDAY(B720)+1</f>
        <v>41623</v>
      </c>
      <c r="D720" s="1" t="e">
        <f aca="false" t="array" ref="D720:D720">IF(ISBLANK(_xlfn.xlookup(D$3,daily_items,_xlfn.xlookup($C720,daily_dates,big_daily_table))),NA(),_xlfn.xlookup(D$3,daily_items,_xlfn.xlookup($C720,daily_dates,big_daily_table)))</f>
        <v>#NAME?</v>
      </c>
      <c r="E720" s="1" t="e">
        <f aca="false" t="array" ref="E720:E720">IF(ISBLANK(_xlfn.xlookup(E$3,daily_items,_xlfn.xlookup($C720,daily_dates,big_daily_table))),NA(),_xlfn.xlookup(E$3,daily_items,_xlfn.xlookup($C720,daily_dates,big_daily_table)))</f>
        <v>#NAME?</v>
      </c>
    </row>
    <row r="721" customFormat="false" ht="14.25" hidden="false" customHeight="false" outlineLevel="0" collapsed="false">
      <c r="B721" s="7" t="n">
        <v>41626</v>
      </c>
      <c r="C721" s="7" t="n">
        <f aca="false">B721-WEEKDAY(B721)+1</f>
        <v>41623</v>
      </c>
      <c r="D721" s="1" t="e">
        <f aca="false" t="array" ref="D721:D721">IF(ISBLANK(_xlfn.xlookup(D$3,daily_items,_xlfn.xlookup($C721,daily_dates,big_daily_table))),NA(),_xlfn.xlookup(D$3,daily_items,_xlfn.xlookup($C721,daily_dates,big_daily_table)))</f>
        <v>#NAME?</v>
      </c>
      <c r="E721" s="1" t="e">
        <f aca="false" t="array" ref="E721:E721">IF(ISBLANK(_xlfn.xlookup(E$3,daily_items,_xlfn.xlookup($C721,daily_dates,big_daily_table))),NA(),_xlfn.xlookup(E$3,daily_items,_xlfn.xlookup($C721,daily_dates,big_daily_table)))</f>
        <v>#NAME?</v>
      </c>
    </row>
    <row r="722" customFormat="false" ht="14.25" hidden="false" customHeight="false" outlineLevel="0" collapsed="false">
      <c r="B722" s="7" t="n">
        <v>41627</v>
      </c>
      <c r="C722" s="7" t="n">
        <f aca="false">B722-WEEKDAY(B722)+1</f>
        <v>41623</v>
      </c>
      <c r="D722" s="1" t="e">
        <f aca="false" t="array" ref="D722:D722">IF(ISBLANK(_xlfn.xlookup(D$3,daily_items,_xlfn.xlookup($C722,daily_dates,big_daily_table))),NA(),_xlfn.xlookup(D$3,daily_items,_xlfn.xlookup($C722,daily_dates,big_daily_table)))</f>
        <v>#NAME?</v>
      </c>
      <c r="E722" s="1" t="e">
        <f aca="false" t="array" ref="E722:E722">IF(ISBLANK(_xlfn.xlookup(E$3,daily_items,_xlfn.xlookup($C722,daily_dates,big_daily_table))),NA(),_xlfn.xlookup(E$3,daily_items,_xlfn.xlookup($C722,daily_dates,big_daily_table)))</f>
        <v>#NAME?</v>
      </c>
    </row>
    <row r="723" customFormat="false" ht="14.25" hidden="false" customHeight="false" outlineLevel="0" collapsed="false">
      <c r="B723" s="7" t="n">
        <v>41628</v>
      </c>
      <c r="C723" s="7" t="n">
        <f aca="false">B723-WEEKDAY(B723)+1</f>
        <v>41623</v>
      </c>
      <c r="D723" s="1" t="e">
        <f aca="false" t="array" ref="D723:D723">IF(ISBLANK(_xlfn.xlookup(D$3,daily_items,_xlfn.xlookup($C723,daily_dates,big_daily_table))),NA(),_xlfn.xlookup(D$3,daily_items,_xlfn.xlookup($C723,daily_dates,big_daily_table)))</f>
        <v>#NAME?</v>
      </c>
      <c r="E723" s="1" t="e">
        <f aca="false" t="array" ref="E723:E723">IF(ISBLANK(_xlfn.xlookup(E$3,daily_items,_xlfn.xlookup($C723,daily_dates,big_daily_table))),NA(),_xlfn.xlookup(E$3,daily_items,_xlfn.xlookup($C723,daily_dates,big_daily_table)))</f>
        <v>#NAME?</v>
      </c>
    </row>
    <row r="724" customFormat="false" ht="14.25" hidden="false" customHeight="false" outlineLevel="0" collapsed="false">
      <c r="B724" s="7" t="n">
        <v>41629</v>
      </c>
      <c r="C724" s="7" t="n">
        <f aca="false">B724-WEEKDAY(B724)+1</f>
        <v>41623</v>
      </c>
      <c r="D724" s="1" t="e">
        <f aca="false" t="array" ref="D724:D724">IF(ISBLANK(_xlfn.xlookup(D$3,daily_items,_xlfn.xlookup($C724,daily_dates,big_daily_table))),NA(),_xlfn.xlookup(D$3,daily_items,_xlfn.xlookup($C724,daily_dates,big_daily_table)))</f>
        <v>#NAME?</v>
      </c>
      <c r="E724" s="1" t="e">
        <f aca="false" t="array" ref="E724:E724">IF(ISBLANK(_xlfn.xlookup(E$3,daily_items,_xlfn.xlookup($C724,daily_dates,big_daily_table))),NA(),_xlfn.xlookup(E$3,daily_items,_xlfn.xlookup($C724,daily_dates,big_daily_table)))</f>
        <v>#NAME?</v>
      </c>
    </row>
    <row r="725" customFormat="false" ht="14.25" hidden="false" customHeight="false" outlineLevel="0" collapsed="false">
      <c r="B725" s="7" t="n">
        <v>41630</v>
      </c>
      <c r="C725" s="7" t="n">
        <f aca="false">B725-WEEKDAY(B725)+1</f>
        <v>41630</v>
      </c>
      <c r="D725" s="1" t="e">
        <f aca="false" t="array" ref="D725:D725">IF(ISBLANK(_xlfn.xlookup(D$3,daily_items,_xlfn.xlookup($C725,daily_dates,big_daily_table))),NA(),_xlfn.xlookup(D$3,daily_items,_xlfn.xlookup($C725,daily_dates,big_daily_table)))</f>
        <v>#NAME?</v>
      </c>
      <c r="E725" s="1" t="e">
        <f aca="false" t="array" ref="E725:E725">IF(ISBLANK(_xlfn.xlookup(E$3,daily_items,_xlfn.xlookup($C725,daily_dates,big_daily_table))),NA(),_xlfn.xlookup(E$3,daily_items,_xlfn.xlookup($C725,daily_dates,big_daily_table)))</f>
        <v>#NAME?</v>
      </c>
    </row>
    <row r="726" customFormat="false" ht="14.25" hidden="false" customHeight="false" outlineLevel="0" collapsed="false">
      <c r="B726" s="7" t="n">
        <v>41631</v>
      </c>
      <c r="C726" s="7" t="n">
        <f aca="false">B726-WEEKDAY(B726)+1</f>
        <v>41630</v>
      </c>
      <c r="D726" s="1" t="e">
        <f aca="false" t="array" ref="D726:D726">IF(ISBLANK(_xlfn.xlookup(D$3,daily_items,_xlfn.xlookup($C726,daily_dates,big_daily_table))),NA(),_xlfn.xlookup(D$3,daily_items,_xlfn.xlookup($C726,daily_dates,big_daily_table)))</f>
        <v>#NAME?</v>
      </c>
      <c r="E726" s="1" t="e">
        <f aca="false" t="array" ref="E726:E726">IF(ISBLANK(_xlfn.xlookup(E$3,daily_items,_xlfn.xlookup($C726,daily_dates,big_daily_table))),NA(),_xlfn.xlookup(E$3,daily_items,_xlfn.xlookup($C726,daily_dates,big_daily_table)))</f>
        <v>#NAME?</v>
      </c>
    </row>
    <row r="727" customFormat="false" ht="14.25" hidden="false" customHeight="false" outlineLevel="0" collapsed="false">
      <c r="B727" s="7" t="n">
        <v>41632</v>
      </c>
      <c r="C727" s="7" t="n">
        <f aca="false">B727-WEEKDAY(B727)+1</f>
        <v>41630</v>
      </c>
      <c r="D727" s="1" t="e">
        <f aca="false" t="array" ref="D727:D727">IF(ISBLANK(_xlfn.xlookup(D$3,daily_items,_xlfn.xlookup($C727,daily_dates,big_daily_table))),NA(),_xlfn.xlookup(D$3,daily_items,_xlfn.xlookup($C727,daily_dates,big_daily_table)))</f>
        <v>#NAME?</v>
      </c>
      <c r="E727" s="1" t="e">
        <f aca="false" t="array" ref="E727:E727">IF(ISBLANK(_xlfn.xlookup(E$3,daily_items,_xlfn.xlookup($C727,daily_dates,big_daily_table))),NA(),_xlfn.xlookup(E$3,daily_items,_xlfn.xlookup($C727,daily_dates,big_daily_table)))</f>
        <v>#NAME?</v>
      </c>
    </row>
    <row r="728" customFormat="false" ht="14.25" hidden="false" customHeight="false" outlineLevel="0" collapsed="false">
      <c r="B728" s="7" t="n">
        <v>41633</v>
      </c>
      <c r="C728" s="7" t="n">
        <f aca="false">B728-WEEKDAY(B728)+1</f>
        <v>41630</v>
      </c>
      <c r="D728" s="1" t="e">
        <f aca="false" t="array" ref="D728:D728">IF(ISBLANK(_xlfn.xlookup(D$3,daily_items,_xlfn.xlookup($C728,daily_dates,big_daily_table))),NA(),_xlfn.xlookup(D$3,daily_items,_xlfn.xlookup($C728,daily_dates,big_daily_table)))</f>
        <v>#NAME?</v>
      </c>
      <c r="E728" s="1" t="e">
        <f aca="false" t="array" ref="E728:E728">IF(ISBLANK(_xlfn.xlookup(E$3,daily_items,_xlfn.xlookup($C728,daily_dates,big_daily_table))),NA(),_xlfn.xlookup(E$3,daily_items,_xlfn.xlookup($C728,daily_dates,big_daily_table)))</f>
        <v>#NAME?</v>
      </c>
    </row>
    <row r="729" customFormat="false" ht="14.25" hidden="false" customHeight="false" outlineLevel="0" collapsed="false">
      <c r="B729" s="7" t="n">
        <v>41634</v>
      </c>
      <c r="C729" s="7" t="n">
        <f aca="false">B729-WEEKDAY(B729)+1</f>
        <v>41630</v>
      </c>
      <c r="D729" s="1" t="e">
        <f aca="false" t="array" ref="D729:D729">IF(ISBLANK(_xlfn.xlookup(D$3,daily_items,_xlfn.xlookup($C729,daily_dates,big_daily_table))),NA(),_xlfn.xlookup(D$3,daily_items,_xlfn.xlookup($C729,daily_dates,big_daily_table)))</f>
        <v>#NAME?</v>
      </c>
      <c r="E729" s="1" t="e">
        <f aca="false" t="array" ref="E729:E729">IF(ISBLANK(_xlfn.xlookup(E$3,daily_items,_xlfn.xlookup($C729,daily_dates,big_daily_table))),NA(),_xlfn.xlookup(E$3,daily_items,_xlfn.xlookup($C729,daily_dates,big_daily_table)))</f>
        <v>#NAME?</v>
      </c>
    </row>
    <row r="730" customFormat="false" ht="14.25" hidden="false" customHeight="false" outlineLevel="0" collapsed="false">
      <c r="B730" s="7" t="n">
        <v>41635</v>
      </c>
      <c r="C730" s="7" t="n">
        <f aca="false">B730-WEEKDAY(B730)+1</f>
        <v>41630</v>
      </c>
      <c r="D730" s="1" t="e">
        <f aca="false" t="array" ref="D730:D730">IF(ISBLANK(_xlfn.xlookup(D$3,daily_items,_xlfn.xlookup($C730,daily_dates,big_daily_table))),NA(),_xlfn.xlookup(D$3,daily_items,_xlfn.xlookup($C730,daily_dates,big_daily_table)))</f>
        <v>#NAME?</v>
      </c>
      <c r="E730" s="1" t="e">
        <f aca="false" t="array" ref="E730:E730">IF(ISBLANK(_xlfn.xlookup(E$3,daily_items,_xlfn.xlookup($C730,daily_dates,big_daily_table))),NA(),_xlfn.xlookup(E$3,daily_items,_xlfn.xlookup($C730,daily_dates,big_daily_table)))</f>
        <v>#NAME?</v>
      </c>
    </row>
    <row r="731" customFormat="false" ht="14.25" hidden="false" customHeight="false" outlineLevel="0" collapsed="false">
      <c r="B731" s="7" t="n">
        <v>41636</v>
      </c>
      <c r="C731" s="7" t="n">
        <f aca="false">B731-WEEKDAY(B731)+1</f>
        <v>41630</v>
      </c>
      <c r="D731" s="1" t="e">
        <f aca="false" t="array" ref="D731:D731">IF(ISBLANK(_xlfn.xlookup(D$3,daily_items,_xlfn.xlookup($C731,daily_dates,big_daily_table))),NA(),_xlfn.xlookup(D$3,daily_items,_xlfn.xlookup($C731,daily_dates,big_daily_table)))</f>
        <v>#NAME?</v>
      </c>
      <c r="E731" s="1" t="e">
        <f aca="false" t="array" ref="E731:E731">IF(ISBLANK(_xlfn.xlookup(E$3,daily_items,_xlfn.xlookup($C731,daily_dates,big_daily_table))),NA(),_xlfn.xlookup(E$3,daily_items,_xlfn.xlookup($C731,daily_dates,big_daily_table)))</f>
        <v>#NAME?</v>
      </c>
    </row>
    <row r="732" customFormat="false" ht="14.25" hidden="false" customHeight="false" outlineLevel="0" collapsed="false">
      <c r="B732" s="7" t="n">
        <v>41637</v>
      </c>
      <c r="C732" s="7" t="n">
        <f aca="false">B732-WEEKDAY(B732)+1</f>
        <v>41637</v>
      </c>
      <c r="D732" s="1" t="e">
        <f aca="false" t="array" ref="D732:D732">IF(ISBLANK(_xlfn.xlookup(D$3,daily_items,_xlfn.xlookup($C732,daily_dates,big_daily_table))),NA(),_xlfn.xlookup(D$3,daily_items,_xlfn.xlookup($C732,daily_dates,big_daily_table)))</f>
        <v>#NAME?</v>
      </c>
      <c r="E732" s="1" t="e">
        <f aca="false" t="array" ref="E732:E732">IF(ISBLANK(_xlfn.xlookup(E$3,daily_items,_xlfn.xlookup($C732,daily_dates,big_daily_table))),NA(),_xlfn.xlookup(E$3,daily_items,_xlfn.xlookup($C732,daily_dates,big_daily_table)))</f>
        <v>#NAME?</v>
      </c>
    </row>
    <row r="733" customFormat="false" ht="14.25" hidden="false" customHeight="false" outlineLevel="0" collapsed="false">
      <c r="B733" s="7" t="n">
        <v>41638</v>
      </c>
      <c r="C733" s="7" t="n">
        <f aca="false">B733-WEEKDAY(B733)+1</f>
        <v>41637</v>
      </c>
      <c r="D733" s="1" t="e">
        <f aca="false" t="array" ref="D733:D733">IF(ISBLANK(_xlfn.xlookup(D$3,daily_items,_xlfn.xlookup($C733,daily_dates,big_daily_table))),NA(),_xlfn.xlookup(D$3,daily_items,_xlfn.xlookup($C733,daily_dates,big_daily_table)))</f>
        <v>#NAME?</v>
      </c>
      <c r="E733" s="1" t="e">
        <f aca="false" t="array" ref="E733:E733">IF(ISBLANK(_xlfn.xlookup(E$3,daily_items,_xlfn.xlookup($C733,daily_dates,big_daily_table))),NA(),_xlfn.xlookup(E$3,daily_items,_xlfn.xlookup($C733,daily_dates,big_daily_table)))</f>
        <v>#NAME?</v>
      </c>
    </row>
    <row r="734" customFormat="false" ht="14.25" hidden="false" customHeight="false" outlineLevel="0" collapsed="false">
      <c r="B734" s="7" t="n">
        <v>41639</v>
      </c>
      <c r="C734" s="7" t="n">
        <f aca="false">B734-WEEKDAY(B734)+1</f>
        <v>41637</v>
      </c>
      <c r="D734" s="1" t="e">
        <f aca="false" t="array" ref="D734:D734">IF(ISBLANK(_xlfn.xlookup(D$3,daily_items,_xlfn.xlookup($C734,daily_dates,big_daily_table))),NA(),_xlfn.xlookup(D$3,daily_items,_xlfn.xlookup($C734,daily_dates,big_daily_table)))</f>
        <v>#NAME?</v>
      </c>
      <c r="E734" s="1" t="e">
        <f aca="false" t="array" ref="E734:E734">IF(ISBLANK(_xlfn.xlookup(E$3,daily_items,_xlfn.xlookup($C734,daily_dates,big_daily_table))),NA(),_xlfn.xlookup(E$3,daily_items,_xlfn.xlookup($C734,daily_dates,big_daily_table)))</f>
        <v>#NAME?</v>
      </c>
    </row>
    <row r="735" customFormat="false" ht="14.25" hidden="false" customHeight="false" outlineLevel="0" collapsed="false">
      <c r="B735" s="7" t="n">
        <v>41640</v>
      </c>
      <c r="C735" s="7" t="n">
        <f aca="false">B735-WEEKDAY(B735)+1</f>
        <v>41637</v>
      </c>
      <c r="D735" s="1" t="e">
        <f aca="false" t="array" ref="D735:D735">IF(ISBLANK(_xlfn.xlookup(D$3,daily_items,_xlfn.xlookup($C735,daily_dates,big_daily_table))),NA(),_xlfn.xlookup(D$3,daily_items,_xlfn.xlookup($C735,daily_dates,big_daily_table)))</f>
        <v>#NAME?</v>
      </c>
      <c r="E735" s="1" t="e">
        <f aca="false" t="array" ref="E735:E735">IF(ISBLANK(_xlfn.xlookup(E$3,daily_items,_xlfn.xlookup($C735,daily_dates,big_daily_table))),NA(),_xlfn.xlookup(E$3,daily_items,_xlfn.xlookup($C735,daily_dates,big_daily_table)))</f>
        <v>#NAME?</v>
      </c>
    </row>
    <row r="736" customFormat="false" ht="14.25" hidden="false" customHeight="false" outlineLevel="0" collapsed="false">
      <c r="B736" s="7" t="n">
        <v>41641</v>
      </c>
      <c r="C736" s="7" t="n">
        <f aca="false">B736-WEEKDAY(B736)+1</f>
        <v>41637</v>
      </c>
      <c r="D736" s="1" t="e">
        <f aca="false" t="array" ref="D736:D736">IF(ISBLANK(_xlfn.xlookup(D$3,daily_items,_xlfn.xlookup($C736,daily_dates,big_daily_table))),NA(),_xlfn.xlookup(D$3,daily_items,_xlfn.xlookup($C736,daily_dates,big_daily_table)))</f>
        <v>#NAME?</v>
      </c>
      <c r="E736" s="1" t="e">
        <f aca="false" t="array" ref="E736:E736">IF(ISBLANK(_xlfn.xlookup(E$3,daily_items,_xlfn.xlookup($C736,daily_dates,big_daily_table))),NA(),_xlfn.xlookup(E$3,daily_items,_xlfn.xlookup($C736,daily_dates,big_daily_table)))</f>
        <v>#NAME?</v>
      </c>
    </row>
    <row r="737" customFormat="false" ht="14.25" hidden="false" customHeight="false" outlineLevel="0" collapsed="false">
      <c r="B737" s="7" t="n">
        <v>41642</v>
      </c>
      <c r="C737" s="7" t="n">
        <f aca="false">B737-WEEKDAY(B737)+1</f>
        <v>41637</v>
      </c>
      <c r="D737" s="1" t="e">
        <f aca="false" t="array" ref="D737:D737">IF(ISBLANK(_xlfn.xlookup(D$3,daily_items,_xlfn.xlookup($C737,daily_dates,big_daily_table))),NA(),_xlfn.xlookup(D$3,daily_items,_xlfn.xlookup($C737,daily_dates,big_daily_table)))</f>
        <v>#NAME?</v>
      </c>
      <c r="E737" s="1" t="e">
        <f aca="false" t="array" ref="E737:E737">IF(ISBLANK(_xlfn.xlookup(E$3,daily_items,_xlfn.xlookup($C737,daily_dates,big_daily_table))),NA(),_xlfn.xlookup(E$3,daily_items,_xlfn.xlookup($C737,daily_dates,big_daily_table)))</f>
        <v>#NAME?</v>
      </c>
    </row>
    <row r="738" customFormat="false" ht="14.25" hidden="false" customHeight="false" outlineLevel="0" collapsed="false">
      <c r="B738" s="7" t="n">
        <v>41643</v>
      </c>
      <c r="C738" s="7" t="n">
        <f aca="false">B738-WEEKDAY(B738)+1</f>
        <v>41637</v>
      </c>
      <c r="D738" s="1" t="e">
        <f aca="false" t="array" ref="D738:D738">IF(ISBLANK(_xlfn.xlookup(D$3,daily_items,_xlfn.xlookup($C738,daily_dates,big_daily_table))),NA(),_xlfn.xlookup(D$3,daily_items,_xlfn.xlookup($C738,daily_dates,big_daily_table)))</f>
        <v>#NAME?</v>
      </c>
      <c r="E738" s="1" t="e">
        <f aca="false" t="array" ref="E738:E738">IF(ISBLANK(_xlfn.xlookup(E$3,daily_items,_xlfn.xlookup($C738,daily_dates,big_daily_table))),NA(),_xlfn.xlookup(E$3,daily_items,_xlfn.xlookup($C738,daily_dates,big_daily_table)))</f>
        <v>#NAME?</v>
      </c>
    </row>
    <row r="739" customFormat="false" ht="14.25" hidden="false" customHeight="false" outlineLevel="0" collapsed="false">
      <c r="B739" s="7" t="n">
        <v>41644</v>
      </c>
      <c r="C739" s="7" t="n">
        <f aca="false">B739-WEEKDAY(B739)+1</f>
        <v>41644</v>
      </c>
      <c r="D739" s="1" t="e">
        <f aca="false" t="array" ref="D739:D739">IF(ISBLANK(_xlfn.xlookup(D$3,daily_items,_xlfn.xlookup($C739,daily_dates,big_daily_table))),NA(),_xlfn.xlookup(D$3,daily_items,_xlfn.xlookup($C739,daily_dates,big_daily_table)))</f>
        <v>#NAME?</v>
      </c>
      <c r="E739" s="1" t="e">
        <f aca="false" t="array" ref="E739:E739">IF(ISBLANK(_xlfn.xlookup(E$3,daily_items,_xlfn.xlookup($C739,daily_dates,big_daily_table))),NA(),_xlfn.xlookup(E$3,daily_items,_xlfn.xlookup($C739,daily_dates,big_daily_table)))</f>
        <v>#NAME?</v>
      </c>
    </row>
    <row r="740" customFormat="false" ht="14.25" hidden="false" customHeight="false" outlineLevel="0" collapsed="false">
      <c r="B740" s="7" t="n">
        <v>41645</v>
      </c>
      <c r="C740" s="7" t="n">
        <f aca="false">B740-WEEKDAY(B740)+1</f>
        <v>41644</v>
      </c>
      <c r="D740" s="1" t="e">
        <f aca="false" t="array" ref="D740:D740">IF(ISBLANK(_xlfn.xlookup(D$3,daily_items,_xlfn.xlookup($C740,daily_dates,big_daily_table))),NA(),_xlfn.xlookup(D$3,daily_items,_xlfn.xlookup($C740,daily_dates,big_daily_table)))</f>
        <v>#NAME?</v>
      </c>
      <c r="E740" s="1" t="e">
        <f aca="false" t="array" ref="E740:E740">IF(ISBLANK(_xlfn.xlookup(E$3,daily_items,_xlfn.xlookup($C740,daily_dates,big_daily_table))),NA(),_xlfn.xlookup(E$3,daily_items,_xlfn.xlookup($C740,daily_dates,big_daily_table)))</f>
        <v>#NAME?</v>
      </c>
    </row>
    <row r="741" customFormat="false" ht="14.25" hidden="false" customHeight="false" outlineLevel="0" collapsed="false">
      <c r="B741" s="7" t="n">
        <v>41646</v>
      </c>
      <c r="C741" s="7" t="n">
        <f aca="false">B741-WEEKDAY(B741)+1</f>
        <v>41644</v>
      </c>
      <c r="D741" s="1" t="e">
        <f aca="false" t="array" ref="D741:D741">IF(ISBLANK(_xlfn.xlookup(D$3,daily_items,_xlfn.xlookup($C741,daily_dates,big_daily_table))),NA(),_xlfn.xlookup(D$3,daily_items,_xlfn.xlookup($C741,daily_dates,big_daily_table)))</f>
        <v>#NAME?</v>
      </c>
      <c r="E741" s="1" t="e">
        <f aca="false" t="array" ref="E741:E741">IF(ISBLANK(_xlfn.xlookup(E$3,daily_items,_xlfn.xlookup($C741,daily_dates,big_daily_table))),NA(),_xlfn.xlookup(E$3,daily_items,_xlfn.xlookup($C741,daily_dates,big_daily_table)))</f>
        <v>#NAME?</v>
      </c>
    </row>
    <row r="742" customFormat="false" ht="14.25" hidden="false" customHeight="false" outlineLevel="0" collapsed="false">
      <c r="B742" s="7" t="n">
        <v>41647</v>
      </c>
      <c r="C742" s="7" t="n">
        <f aca="false">B742-WEEKDAY(B742)+1</f>
        <v>41644</v>
      </c>
      <c r="D742" s="1" t="e">
        <f aca="false" t="array" ref="D742:D742">IF(ISBLANK(_xlfn.xlookup(D$3,daily_items,_xlfn.xlookup($C742,daily_dates,big_daily_table))),NA(),_xlfn.xlookup(D$3,daily_items,_xlfn.xlookup($C742,daily_dates,big_daily_table)))</f>
        <v>#NAME?</v>
      </c>
      <c r="E742" s="1" t="e">
        <f aca="false" t="array" ref="E742:E742">IF(ISBLANK(_xlfn.xlookup(E$3,daily_items,_xlfn.xlookup($C742,daily_dates,big_daily_table))),NA(),_xlfn.xlookup(E$3,daily_items,_xlfn.xlookup($C742,daily_dates,big_daily_table)))</f>
        <v>#NAME?</v>
      </c>
    </row>
    <row r="743" customFormat="false" ht="14.25" hidden="false" customHeight="false" outlineLevel="0" collapsed="false">
      <c r="B743" s="7" t="n">
        <v>41648</v>
      </c>
      <c r="C743" s="7" t="n">
        <f aca="false">B743-WEEKDAY(B743)+1</f>
        <v>41644</v>
      </c>
      <c r="D743" s="1" t="e">
        <f aca="false" t="array" ref="D743:D743">IF(ISBLANK(_xlfn.xlookup(D$3,daily_items,_xlfn.xlookup($C743,daily_dates,big_daily_table))),NA(),_xlfn.xlookup(D$3,daily_items,_xlfn.xlookup($C743,daily_dates,big_daily_table)))</f>
        <v>#NAME?</v>
      </c>
      <c r="E743" s="1" t="e">
        <f aca="false" t="array" ref="E743:E743">IF(ISBLANK(_xlfn.xlookup(E$3,daily_items,_xlfn.xlookup($C743,daily_dates,big_daily_table))),NA(),_xlfn.xlookup(E$3,daily_items,_xlfn.xlookup($C743,daily_dates,big_daily_table)))</f>
        <v>#NAME?</v>
      </c>
    </row>
    <row r="744" customFormat="false" ht="14.25" hidden="false" customHeight="false" outlineLevel="0" collapsed="false">
      <c r="B744" s="7" t="n">
        <v>41649</v>
      </c>
      <c r="C744" s="7" t="n">
        <f aca="false">B744-WEEKDAY(B744)+1</f>
        <v>41644</v>
      </c>
      <c r="D744" s="1" t="e">
        <f aca="false" t="array" ref="D744:D744">IF(ISBLANK(_xlfn.xlookup(D$3,daily_items,_xlfn.xlookup($C744,daily_dates,big_daily_table))),NA(),_xlfn.xlookup(D$3,daily_items,_xlfn.xlookup($C744,daily_dates,big_daily_table)))</f>
        <v>#NAME?</v>
      </c>
      <c r="E744" s="1" t="e">
        <f aca="false" t="array" ref="E744:E744">IF(ISBLANK(_xlfn.xlookup(E$3,daily_items,_xlfn.xlookup($C744,daily_dates,big_daily_table))),NA(),_xlfn.xlookup(E$3,daily_items,_xlfn.xlookup($C744,daily_dates,big_daily_table)))</f>
        <v>#NAME?</v>
      </c>
    </row>
    <row r="745" customFormat="false" ht="14.25" hidden="false" customHeight="false" outlineLevel="0" collapsed="false">
      <c r="B745" s="7" t="n">
        <v>41650</v>
      </c>
      <c r="C745" s="7" t="n">
        <f aca="false">B745-WEEKDAY(B745)+1</f>
        <v>41644</v>
      </c>
      <c r="D745" s="1" t="e">
        <f aca="false" t="array" ref="D745:D745">IF(ISBLANK(_xlfn.xlookup(D$3,daily_items,_xlfn.xlookup($C745,daily_dates,big_daily_table))),NA(),_xlfn.xlookup(D$3,daily_items,_xlfn.xlookup($C745,daily_dates,big_daily_table)))</f>
        <v>#NAME?</v>
      </c>
      <c r="E745" s="1" t="e">
        <f aca="false" t="array" ref="E745:E745">IF(ISBLANK(_xlfn.xlookup(E$3,daily_items,_xlfn.xlookup($C745,daily_dates,big_daily_table))),NA(),_xlfn.xlookup(E$3,daily_items,_xlfn.xlookup($C745,daily_dates,big_daily_table)))</f>
        <v>#NAME?</v>
      </c>
    </row>
    <row r="746" customFormat="false" ht="14.25" hidden="false" customHeight="false" outlineLevel="0" collapsed="false">
      <c r="B746" s="7" t="n">
        <v>41651</v>
      </c>
      <c r="C746" s="7" t="n">
        <f aca="false">B746-WEEKDAY(B746)+1</f>
        <v>41651</v>
      </c>
      <c r="D746" s="1" t="e">
        <f aca="false" t="array" ref="D746:D746">IF(ISBLANK(_xlfn.xlookup(D$3,daily_items,_xlfn.xlookup($C746,daily_dates,big_daily_table))),NA(),_xlfn.xlookup(D$3,daily_items,_xlfn.xlookup($C746,daily_dates,big_daily_table)))</f>
        <v>#NAME?</v>
      </c>
      <c r="E746" s="1" t="e">
        <f aca="false" t="array" ref="E746:E746">IF(ISBLANK(_xlfn.xlookup(E$3,daily_items,_xlfn.xlookup($C746,daily_dates,big_daily_table))),NA(),_xlfn.xlookup(E$3,daily_items,_xlfn.xlookup($C746,daily_dates,big_daily_table)))</f>
        <v>#NAME?</v>
      </c>
    </row>
    <row r="747" customFormat="false" ht="14.25" hidden="false" customHeight="false" outlineLevel="0" collapsed="false">
      <c r="B747" s="7" t="n">
        <v>41652</v>
      </c>
      <c r="C747" s="7" t="n">
        <f aca="false">B747-WEEKDAY(B747)+1</f>
        <v>41651</v>
      </c>
      <c r="D747" s="1" t="e">
        <f aca="false" t="array" ref="D747:D747">IF(ISBLANK(_xlfn.xlookup(D$3,daily_items,_xlfn.xlookup($C747,daily_dates,big_daily_table))),NA(),_xlfn.xlookup(D$3,daily_items,_xlfn.xlookup($C747,daily_dates,big_daily_table)))</f>
        <v>#NAME?</v>
      </c>
      <c r="E747" s="1" t="e">
        <f aca="false" t="array" ref="E747:E747">IF(ISBLANK(_xlfn.xlookup(E$3,daily_items,_xlfn.xlookup($C747,daily_dates,big_daily_table))),NA(),_xlfn.xlookup(E$3,daily_items,_xlfn.xlookup($C747,daily_dates,big_daily_table)))</f>
        <v>#NAME?</v>
      </c>
    </row>
    <row r="748" customFormat="false" ht="14.25" hidden="false" customHeight="false" outlineLevel="0" collapsed="false">
      <c r="B748" s="7" t="n">
        <v>41653</v>
      </c>
      <c r="C748" s="7" t="n">
        <f aca="false">B748-WEEKDAY(B748)+1</f>
        <v>41651</v>
      </c>
      <c r="D748" s="1" t="e">
        <f aca="false" t="array" ref="D748:D748">IF(ISBLANK(_xlfn.xlookup(D$3,daily_items,_xlfn.xlookup($C748,daily_dates,big_daily_table))),NA(),_xlfn.xlookup(D$3,daily_items,_xlfn.xlookup($C748,daily_dates,big_daily_table)))</f>
        <v>#NAME?</v>
      </c>
      <c r="E748" s="1" t="e">
        <f aca="false" t="array" ref="E748:E748">IF(ISBLANK(_xlfn.xlookup(E$3,daily_items,_xlfn.xlookup($C748,daily_dates,big_daily_table))),NA(),_xlfn.xlookup(E$3,daily_items,_xlfn.xlookup($C748,daily_dates,big_daily_table)))</f>
        <v>#NAME?</v>
      </c>
    </row>
    <row r="749" customFormat="false" ht="14.25" hidden="false" customHeight="false" outlineLevel="0" collapsed="false">
      <c r="B749" s="7" t="n">
        <v>41654</v>
      </c>
      <c r="C749" s="7" t="n">
        <f aca="false">B749-WEEKDAY(B749)+1</f>
        <v>41651</v>
      </c>
      <c r="D749" s="1" t="e">
        <f aca="false" t="array" ref="D749:D749">IF(ISBLANK(_xlfn.xlookup(D$3,daily_items,_xlfn.xlookup($C749,daily_dates,big_daily_table))),NA(),_xlfn.xlookup(D$3,daily_items,_xlfn.xlookup($C749,daily_dates,big_daily_table)))</f>
        <v>#NAME?</v>
      </c>
      <c r="E749" s="1" t="e">
        <f aca="false" t="array" ref="E749:E749">IF(ISBLANK(_xlfn.xlookup(E$3,daily_items,_xlfn.xlookup($C749,daily_dates,big_daily_table))),NA(),_xlfn.xlookup(E$3,daily_items,_xlfn.xlookup($C749,daily_dates,big_daily_table)))</f>
        <v>#NAME?</v>
      </c>
    </row>
    <row r="750" customFormat="false" ht="14.25" hidden="false" customHeight="false" outlineLevel="0" collapsed="false">
      <c r="B750" s="7" t="n">
        <v>41655</v>
      </c>
      <c r="C750" s="7" t="n">
        <f aca="false">B750-WEEKDAY(B750)+1</f>
        <v>41651</v>
      </c>
      <c r="D750" s="1" t="e">
        <f aca="false" t="array" ref="D750:D750">IF(ISBLANK(_xlfn.xlookup(D$3,daily_items,_xlfn.xlookup($C750,daily_dates,big_daily_table))),NA(),_xlfn.xlookup(D$3,daily_items,_xlfn.xlookup($C750,daily_dates,big_daily_table)))</f>
        <v>#NAME?</v>
      </c>
      <c r="E750" s="1" t="e">
        <f aca="false" t="array" ref="E750:E750">IF(ISBLANK(_xlfn.xlookup(E$3,daily_items,_xlfn.xlookup($C750,daily_dates,big_daily_table))),NA(),_xlfn.xlookup(E$3,daily_items,_xlfn.xlookup($C750,daily_dates,big_daily_table)))</f>
        <v>#NAME?</v>
      </c>
    </row>
    <row r="751" customFormat="false" ht="14.25" hidden="false" customHeight="false" outlineLevel="0" collapsed="false">
      <c r="B751" s="7" t="n">
        <v>41656</v>
      </c>
      <c r="C751" s="7" t="n">
        <f aca="false">B751-WEEKDAY(B751)+1</f>
        <v>41651</v>
      </c>
      <c r="D751" s="1" t="e">
        <f aca="false" t="array" ref="D751:D751">IF(ISBLANK(_xlfn.xlookup(D$3,daily_items,_xlfn.xlookup($C751,daily_dates,big_daily_table))),NA(),_xlfn.xlookup(D$3,daily_items,_xlfn.xlookup($C751,daily_dates,big_daily_table)))</f>
        <v>#NAME?</v>
      </c>
      <c r="E751" s="1" t="e">
        <f aca="false" t="array" ref="E751:E751">IF(ISBLANK(_xlfn.xlookup(E$3,daily_items,_xlfn.xlookup($C751,daily_dates,big_daily_table))),NA(),_xlfn.xlookup(E$3,daily_items,_xlfn.xlookup($C751,daily_dates,big_daily_table)))</f>
        <v>#NAME?</v>
      </c>
    </row>
    <row r="752" customFormat="false" ht="14.25" hidden="false" customHeight="false" outlineLevel="0" collapsed="false">
      <c r="B752" s="7" t="n">
        <v>41657</v>
      </c>
      <c r="C752" s="7" t="n">
        <f aca="false">B752-WEEKDAY(B752)+1</f>
        <v>41651</v>
      </c>
      <c r="D752" s="1" t="e">
        <f aca="false" t="array" ref="D752:D752">IF(ISBLANK(_xlfn.xlookup(D$3,daily_items,_xlfn.xlookup($C752,daily_dates,big_daily_table))),NA(),_xlfn.xlookup(D$3,daily_items,_xlfn.xlookup($C752,daily_dates,big_daily_table)))</f>
        <v>#NAME?</v>
      </c>
      <c r="E752" s="1" t="e">
        <f aca="false" t="array" ref="E752:E752">IF(ISBLANK(_xlfn.xlookup(E$3,daily_items,_xlfn.xlookup($C752,daily_dates,big_daily_table))),NA(),_xlfn.xlookup(E$3,daily_items,_xlfn.xlookup($C752,daily_dates,big_daily_table)))</f>
        <v>#NAME?</v>
      </c>
    </row>
    <row r="753" customFormat="false" ht="14.25" hidden="false" customHeight="false" outlineLevel="0" collapsed="false">
      <c r="B753" s="7" t="n">
        <v>41658</v>
      </c>
      <c r="C753" s="7" t="n">
        <f aca="false">B753-WEEKDAY(B753)+1</f>
        <v>41658</v>
      </c>
      <c r="D753" s="1" t="e">
        <f aca="false" t="array" ref="D753:D753">IF(ISBLANK(_xlfn.xlookup(D$3,daily_items,_xlfn.xlookup($C753,daily_dates,big_daily_table))),NA(),_xlfn.xlookup(D$3,daily_items,_xlfn.xlookup($C753,daily_dates,big_daily_table)))</f>
        <v>#NAME?</v>
      </c>
      <c r="E753" s="1" t="e">
        <f aca="false" t="array" ref="E753:E753">IF(ISBLANK(_xlfn.xlookup(E$3,daily_items,_xlfn.xlookup($C753,daily_dates,big_daily_table))),NA(),_xlfn.xlookup(E$3,daily_items,_xlfn.xlookup($C753,daily_dates,big_daily_table)))</f>
        <v>#NAME?</v>
      </c>
    </row>
    <row r="754" customFormat="false" ht="14.25" hidden="false" customHeight="false" outlineLevel="0" collapsed="false">
      <c r="B754" s="7" t="n">
        <v>41659</v>
      </c>
      <c r="C754" s="7" t="n">
        <f aca="false">B754-WEEKDAY(B754)+1</f>
        <v>41658</v>
      </c>
      <c r="D754" s="1" t="e">
        <f aca="false" t="array" ref="D754:D754">IF(ISBLANK(_xlfn.xlookup(D$3,daily_items,_xlfn.xlookup($C754,daily_dates,big_daily_table))),NA(),_xlfn.xlookup(D$3,daily_items,_xlfn.xlookup($C754,daily_dates,big_daily_table)))</f>
        <v>#NAME?</v>
      </c>
      <c r="E754" s="1" t="e">
        <f aca="false" t="array" ref="E754:E754">IF(ISBLANK(_xlfn.xlookup(E$3,daily_items,_xlfn.xlookup($C754,daily_dates,big_daily_table))),NA(),_xlfn.xlookup(E$3,daily_items,_xlfn.xlookup($C754,daily_dates,big_daily_table)))</f>
        <v>#NAME?</v>
      </c>
    </row>
    <row r="755" customFormat="false" ht="14.25" hidden="false" customHeight="false" outlineLevel="0" collapsed="false">
      <c r="B755" s="7" t="n">
        <v>41660</v>
      </c>
      <c r="C755" s="7" t="n">
        <f aca="false">B755-WEEKDAY(B755)+1</f>
        <v>41658</v>
      </c>
      <c r="D755" s="1" t="e">
        <f aca="false" t="array" ref="D755:D755">IF(ISBLANK(_xlfn.xlookup(D$3,daily_items,_xlfn.xlookup($C755,daily_dates,big_daily_table))),NA(),_xlfn.xlookup(D$3,daily_items,_xlfn.xlookup($C755,daily_dates,big_daily_table)))</f>
        <v>#NAME?</v>
      </c>
      <c r="E755" s="1" t="e">
        <f aca="false" t="array" ref="E755:E755">IF(ISBLANK(_xlfn.xlookup(E$3,daily_items,_xlfn.xlookup($C755,daily_dates,big_daily_table))),NA(),_xlfn.xlookup(E$3,daily_items,_xlfn.xlookup($C755,daily_dates,big_daily_table)))</f>
        <v>#NAME?</v>
      </c>
    </row>
    <row r="756" customFormat="false" ht="14.25" hidden="false" customHeight="false" outlineLevel="0" collapsed="false">
      <c r="B756" s="7" t="n">
        <v>41661</v>
      </c>
      <c r="C756" s="7" t="n">
        <f aca="false">B756-WEEKDAY(B756)+1</f>
        <v>41658</v>
      </c>
      <c r="D756" s="1" t="e">
        <f aca="false" t="array" ref="D756:D756">IF(ISBLANK(_xlfn.xlookup(D$3,daily_items,_xlfn.xlookup($C756,daily_dates,big_daily_table))),NA(),_xlfn.xlookup(D$3,daily_items,_xlfn.xlookup($C756,daily_dates,big_daily_table)))</f>
        <v>#NAME?</v>
      </c>
      <c r="E756" s="1" t="e">
        <f aca="false" t="array" ref="E756:E756">IF(ISBLANK(_xlfn.xlookup(E$3,daily_items,_xlfn.xlookup($C756,daily_dates,big_daily_table))),NA(),_xlfn.xlookup(E$3,daily_items,_xlfn.xlookup($C756,daily_dates,big_daily_table)))</f>
        <v>#NAME?</v>
      </c>
    </row>
    <row r="757" customFormat="false" ht="14.25" hidden="false" customHeight="false" outlineLevel="0" collapsed="false">
      <c r="B757" s="7" t="n">
        <v>41662</v>
      </c>
      <c r="C757" s="7" t="n">
        <f aca="false">B757-WEEKDAY(B757)+1</f>
        <v>41658</v>
      </c>
      <c r="D757" s="1" t="e">
        <f aca="false" t="array" ref="D757:D757">IF(ISBLANK(_xlfn.xlookup(D$3,daily_items,_xlfn.xlookup($C757,daily_dates,big_daily_table))),NA(),_xlfn.xlookup(D$3,daily_items,_xlfn.xlookup($C757,daily_dates,big_daily_table)))</f>
        <v>#NAME?</v>
      </c>
      <c r="E757" s="1" t="e">
        <f aca="false" t="array" ref="E757:E757">IF(ISBLANK(_xlfn.xlookup(E$3,daily_items,_xlfn.xlookup($C757,daily_dates,big_daily_table))),NA(),_xlfn.xlookup(E$3,daily_items,_xlfn.xlookup($C757,daily_dates,big_daily_table)))</f>
        <v>#NAME?</v>
      </c>
    </row>
    <row r="758" customFormat="false" ht="14.25" hidden="false" customHeight="false" outlineLevel="0" collapsed="false">
      <c r="B758" s="7" t="n">
        <v>41663</v>
      </c>
      <c r="C758" s="7" t="n">
        <f aca="false">B758-WEEKDAY(B758)+1</f>
        <v>41658</v>
      </c>
      <c r="D758" s="1" t="e">
        <f aca="false" t="array" ref="D758:D758">IF(ISBLANK(_xlfn.xlookup(D$3,daily_items,_xlfn.xlookup($C758,daily_dates,big_daily_table))),NA(),_xlfn.xlookup(D$3,daily_items,_xlfn.xlookup($C758,daily_dates,big_daily_table)))</f>
        <v>#NAME?</v>
      </c>
      <c r="E758" s="1" t="e">
        <f aca="false" t="array" ref="E758:E758">IF(ISBLANK(_xlfn.xlookup(E$3,daily_items,_xlfn.xlookup($C758,daily_dates,big_daily_table))),NA(),_xlfn.xlookup(E$3,daily_items,_xlfn.xlookup($C758,daily_dates,big_daily_table)))</f>
        <v>#NAME?</v>
      </c>
    </row>
    <row r="759" customFormat="false" ht="14.25" hidden="false" customHeight="false" outlineLevel="0" collapsed="false">
      <c r="B759" s="7" t="n">
        <v>41664</v>
      </c>
      <c r="C759" s="7" t="n">
        <f aca="false">B759-WEEKDAY(B759)+1</f>
        <v>41658</v>
      </c>
      <c r="D759" s="1" t="e">
        <f aca="false" t="array" ref="D759:D759">IF(ISBLANK(_xlfn.xlookup(D$3,daily_items,_xlfn.xlookup($C759,daily_dates,big_daily_table))),NA(),_xlfn.xlookup(D$3,daily_items,_xlfn.xlookup($C759,daily_dates,big_daily_table)))</f>
        <v>#NAME?</v>
      </c>
      <c r="E759" s="1" t="e">
        <f aca="false" t="array" ref="E759:E759">IF(ISBLANK(_xlfn.xlookup(E$3,daily_items,_xlfn.xlookup($C759,daily_dates,big_daily_table))),NA(),_xlfn.xlookup(E$3,daily_items,_xlfn.xlookup($C759,daily_dates,big_daily_table)))</f>
        <v>#NAME?</v>
      </c>
    </row>
    <row r="760" customFormat="false" ht="14.25" hidden="false" customHeight="false" outlineLevel="0" collapsed="false">
      <c r="B760" s="7" t="n">
        <v>41665</v>
      </c>
      <c r="C760" s="7" t="n">
        <f aca="false">B760-WEEKDAY(B760)+1</f>
        <v>41665</v>
      </c>
      <c r="D760" s="1" t="e">
        <f aca="false" t="array" ref="D760:D760">IF(ISBLANK(_xlfn.xlookup(D$3,daily_items,_xlfn.xlookup($C760,daily_dates,big_daily_table))),NA(),_xlfn.xlookup(D$3,daily_items,_xlfn.xlookup($C760,daily_dates,big_daily_table)))</f>
        <v>#NAME?</v>
      </c>
      <c r="E760" s="1" t="e">
        <f aca="false" t="array" ref="E760:E760">IF(ISBLANK(_xlfn.xlookup(E$3,daily_items,_xlfn.xlookup($C760,daily_dates,big_daily_table))),NA(),_xlfn.xlookup(E$3,daily_items,_xlfn.xlookup($C760,daily_dates,big_daily_table)))</f>
        <v>#NAME?</v>
      </c>
    </row>
    <row r="761" customFormat="false" ht="14.25" hidden="false" customHeight="false" outlineLevel="0" collapsed="false">
      <c r="B761" s="7" t="n">
        <v>41666</v>
      </c>
      <c r="C761" s="7" t="n">
        <f aca="false">B761-WEEKDAY(B761)+1</f>
        <v>41665</v>
      </c>
      <c r="D761" s="1" t="e">
        <f aca="false" t="array" ref="D761:D761">IF(ISBLANK(_xlfn.xlookup(D$3,daily_items,_xlfn.xlookup($C761,daily_dates,big_daily_table))),NA(),_xlfn.xlookup(D$3,daily_items,_xlfn.xlookup($C761,daily_dates,big_daily_table)))</f>
        <v>#NAME?</v>
      </c>
      <c r="E761" s="1" t="e">
        <f aca="false" t="array" ref="E761:E761">IF(ISBLANK(_xlfn.xlookup(E$3,daily_items,_xlfn.xlookup($C761,daily_dates,big_daily_table))),NA(),_xlfn.xlookup(E$3,daily_items,_xlfn.xlookup($C761,daily_dates,big_daily_table)))</f>
        <v>#NAME?</v>
      </c>
    </row>
    <row r="762" customFormat="false" ht="14.25" hidden="false" customHeight="false" outlineLevel="0" collapsed="false">
      <c r="B762" s="7" t="n">
        <v>41667</v>
      </c>
      <c r="C762" s="7" t="n">
        <f aca="false">B762-WEEKDAY(B762)+1</f>
        <v>41665</v>
      </c>
      <c r="D762" s="1" t="e">
        <f aca="false" t="array" ref="D762:D762">IF(ISBLANK(_xlfn.xlookup(D$3,daily_items,_xlfn.xlookup($C762,daily_dates,big_daily_table))),NA(),_xlfn.xlookup(D$3,daily_items,_xlfn.xlookup($C762,daily_dates,big_daily_table)))</f>
        <v>#NAME?</v>
      </c>
      <c r="E762" s="1" t="e">
        <f aca="false" t="array" ref="E762:E762">IF(ISBLANK(_xlfn.xlookup(E$3,daily_items,_xlfn.xlookup($C762,daily_dates,big_daily_table))),NA(),_xlfn.xlookup(E$3,daily_items,_xlfn.xlookup($C762,daily_dates,big_daily_table)))</f>
        <v>#NAME?</v>
      </c>
    </row>
    <row r="763" customFormat="false" ht="14.25" hidden="false" customHeight="false" outlineLevel="0" collapsed="false">
      <c r="B763" s="7" t="n">
        <v>41668</v>
      </c>
      <c r="C763" s="7" t="n">
        <f aca="false">B763-WEEKDAY(B763)+1</f>
        <v>41665</v>
      </c>
      <c r="D763" s="1" t="e">
        <f aca="false" t="array" ref="D763:D763">IF(ISBLANK(_xlfn.xlookup(D$3,daily_items,_xlfn.xlookup($C763,daily_dates,big_daily_table))),NA(),_xlfn.xlookup(D$3,daily_items,_xlfn.xlookup($C763,daily_dates,big_daily_table)))</f>
        <v>#NAME?</v>
      </c>
      <c r="E763" s="1" t="e">
        <f aca="false" t="array" ref="E763:E763">IF(ISBLANK(_xlfn.xlookup(E$3,daily_items,_xlfn.xlookup($C763,daily_dates,big_daily_table))),NA(),_xlfn.xlookup(E$3,daily_items,_xlfn.xlookup($C763,daily_dates,big_daily_table)))</f>
        <v>#NAME?</v>
      </c>
    </row>
    <row r="764" customFormat="false" ht="14.25" hidden="false" customHeight="false" outlineLevel="0" collapsed="false">
      <c r="B764" s="7" t="n">
        <v>41669</v>
      </c>
      <c r="C764" s="7" t="n">
        <f aca="false">B764-WEEKDAY(B764)+1</f>
        <v>41665</v>
      </c>
      <c r="D764" s="1" t="e">
        <f aca="false" t="array" ref="D764:D764">IF(ISBLANK(_xlfn.xlookup(D$3,daily_items,_xlfn.xlookup($C764,daily_dates,big_daily_table))),NA(),_xlfn.xlookup(D$3,daily_items,_xlfn.xlookup($C764,daily_dates,big_daily_table)))</f>
        <v>#NAME?</v>
      </c>
      <c r="E764" s="1" t="e">
        <f aca="false" t="array" ref="E764:E764">IF(ISBLANK(_xlfn.xlookup(E$3,daily_items,_xlfn.xlookup($C764,daily_dates,big_daily_table))),NA(),_xlfn.xlookup(E$3,daily_items,_xlfn.xlookup($C764,daily_dates,big_daily_table)))</f>
        <v>#NAME?</v>
      </c>
    </row>
    <row r="765" customFormat="false" ht="14.25" hidden="false" customHeight="false" outlineLevel="0" collapsed="false">
      <c r="B765" s="7" t="n">
        <v>41670</v>
      </c>
      <c r="C765" s="7" t="n">
        <f aca="false">B765-WEEKDAY(B765)+1</f>
        <v>41665</v>
      </c>
      <c r="D765" s="1" t="e">
        <f aca="false" t="array" ref="D765:D765">IF(ISBLANK(_xlfn.xlookup(D$3,daily_items,_xlfn.xlookup($C765,daily_dates,big_daily_table))),NA(),_xlfn.xlookup(D$3,daily_items,_xlfn.xlookup($C765,daily_dates,big_daily_table)))</f>
        <v>#NAME?</v>
      </c>
      <c r="E765" s="1" t="e">
        <f aca="false" t="array" ref="E765:E765">IF(ISBLANK(_xlfn.xlookup(E$3,daily_items,_xlfn.xlookup($C765,daily_dates,big_daily_table))),NA(),_xlfn.xlookup(E$3,daily_items,_xlfn.xlookup($C765,daily_dates,big_daily_table)))</f>
        <v>#NAME?</v>
      </c>
    </row>
    <row r="766" customFormat="false" ht="14.25" hidden="false" customHeight="false" outlineLevel="0" collapsed="false">
      <c r="B766" s="7" t="n">
        <v>41671</v>
      </c>
      <c r="C766" s="7" t="n">
        <f aca="false">B766-WEEKDAY(B766)+1</f>
        <v>41665</v>
      </c>
      <c r="D766" s="1" t="e">
        <f aca="false" t="array" ref="D766:D766">IF(ISBLANK(_xlfn.xlookup(D$3,daily_items,_xlfn.xlookup($C766,daily_dates,big_daily_table))),NA(),_xlfn.xlookup(D$3,daily_items,_xlfn.xlookup($C766,daily_dates,big_daily_table)))</f>
        <v>#NAME?</v>
      </c>
      <c r="E766" s="1" t="e">
        <f aca="false" t="array" ref="E766:E766">IF(ISBLANK(_xlfn.xlookup(E$3,daily_items,_xlfn.xlookup($C766,daily_dates,big_daily_table))),NA(),_xlfn.xlookup(E$3,daily_items,_xlfn.xlookup($C766,daily_dates,big_daily_table)))</f>
        <v>#NAME?</v>
      </c>
    </row>
    <row r="767" customFormat="false" ht="14.25" hidden="false" customHeight="false" outlineLevel="0" collapsed="false">
      <c r="B767" s="7" t="n">
        <v>41672</v>
      </c>
      <c r="C767" s="7" t="n">
        <f aca="false">B767-WEEKDAY(B767)+1</f>
        <v>41672</v>
      </c>
      <c r="D767" s="1" t="e">
        <f aca="false" t="array" ref="D767:D767">IF(ISBLANK(_xlfn.xlookup(D$3,daily_items,_xlfn.xlookup($C767,daily_dates,big_daily_table))),NA(),_xlfn.xlookup(D$3,daily_items,_xlfn.xlookup($C767,daily_dates,big_daily_table)))</f>
        <v>#NAME?</v>
      </c>
      <c r="E767" s="1" t="e">
        <f aca="false" t="array" ref="E767:E767">IF(ISBLANK(_xlfn.xlookup(E$3,daily_items,_xlfn.xlookup($C767,daily_dates,big_daily_table))),NA(),_xlfn.xlookup(E$3,daily_items,_xlfn.xlookup($C767,daily_dates,big_daily_table)))</f>
        <v>#NAME?</v>
      </c>
    </row>
    <row r="768" customFormat="false" ht="14.25" hidden="false" customHeight="false" outlineLevel="0" collapsed="false">
      <c r="B768" s="7" t="n">
        <v>41673</v>
      </c>
      <c r="C768" s="7" t="n">
        <f aca="false">B768-WEEKDAY(B768)+1</f>
        <v>41672</v>
      </c>
      <c r="D768" s="1" t="e">
        <f aca="false" t="array" ref="D768:D768">IF(ISBLANK(_xlfn.xlookup(D$3,daily_items,_xlfn.xlookup($C768,daily_dates,big_daily_table))),NA(),_xlfn.xlookup(D$3,daily_items,_xlfn.xlookup($C768,daily_dates,big_daily_table)))</f>
        <v>#NAME?</v>
      </c>
      <c r="E768" s="1" t="e">
        <f aca="false" t="array" ref="E768:E768">IF(ISBLANK(_xlfn.xlookup(E$3,daily_items,_xlfn.xlookup($C768,daily_dates,big_daily_table))),NA(),_xlfn.xlookup(E$3,daily_items,_xlfn.xlookup($C768,daily_dates,big_daily_table)))</f>
        <v>#NAME?</v>
      </c>
    </row>
    <row r="769" customFormat="false" ht="14.25" hidden="false" customHeight="false" outlineLevel="0" collapsed="false">
      <c r="B769" s="7" t="n">
        <v>41674</v>
      </c>
      <c r="C769" s="7" t="n">
        <f aca="false">B769-WEEKDAY(B769)+1</f>
        <v>41672</v>
      </c>
      <c r="D769" s="1" t="e">
        <f aca="false" t="array" ref="D769:D769">IF(ISBLANK(_xlfn.xlookup(D$3,daily_items,_xlfn.xlookup($C769,daily_dates,big_daily_table))),NA(),_xlfn.xlookup(D$3,daily_items,_xlfn.xlookup($C769,daily_dates,big_daily_table)))</f>
        <v>#NAME?</v>
      </c>
      <c r="E769" s="1" t="e">
        <f aca="false" t="array" ref="E769:E769">IF(ISBLANK(_xlfn.xlookup(E$3,daily_items,_xlfn.xlookup($C769,daily_dates,big_daily_table))),NA(),_xlfn.xlookup(E$3,daily_items,_xlfn.xlookup($C769,daily_dates,big_daily_table)))</f>
        <v>#NAME?</v>
      </c>
    </row>
    <row r="770" customFormat="false" ht="14.25" hidden="false" customHeight="false" outlineLevel="0" collapsed="false">
      <c r="B770" s="7" t="n">
        <v>41675</v>
      </c>
      <c r="C770" s="7" t="n">
        <f aca="false">B770-WEEKDAY(B770)+1</f>
        <v>41672</v>
      </c>
      <c r="D770" s="1" t="e">
        <f aca="false" t="array" ref="D770:D770">IF(ISBLANK(_xlfn.xlookup(D$3,daily_items,_xlfn.xlookup($C770,daily_dates,big_daily_table))),NA(),_xlfn.xlookup(D$3,daily_items,_xlfn.xlookup($C770,daily_dates,big_daily_table)))</f>
        <v>#NAME?</v>
      </c>
      <c r="E770" s="1" t="e">
        <f aca="false" t="array" ref="E770:E770">IF(ISBLANK(_xlfn.xlookup(E$3,daily_items,_xlfn.xlookup($C770,daily_dates,big_daily_table))),NA(),_xlfn.xlookup(E$3,daily_items,_xlfn.xlookup($C770,daily_dates,big_daily_table)))</f>
        <v>#NAME?</v>
      </c>
    </row>
    <row r="771" customFormat="false" ht="14.25" hidden="false" customHeight="false" outlineLevel="0" collapsed="false">
      <c r="B771" s="7" t="n">
        <v>41676</v>
      </c>
      <c r="C771" s="7" t="n">
        <f aca="false">B771-WEEKDAY(B771)+1</f>
        <v>41672</v>
      </c>
      <c r="D771" s="1" t="e">
        <f aca="false" t="array" ref="D771:D771">IF(ISBLANK(_xlfn.xlookup(D$3,daily_items,_xlfn.xlookup($C771,daily_dates,big_daily_table))),NA(),_xlfn.xlookup(D$3,daily_items,_xlfn.xlookup($C771,daily_dates,big_daily_table)))</f>
        <v>#NAME?</v>
      </c>
      <c r="E771" s="1" t="e">
        <f aca="false" t="array" ref="E771:E771">IF(ISBLANK(_xlfn.xlookup(E$3,daily_items,_xlfn.xlookup($C771,daily_dates,big_daily_table))),NA(),_xlfn.xlookup(E$3,daily_items,_xlfn.xlookup($C771,daily_dates,big_daily_table)))</f>
        <v>#NAME?</v>
      </c>
    </row>
    <row r="772" customFormat="false" ht="14.25" hidden="false" customHeight="false" outlineLevel="0" collapsed="false">
      <c r="B772" s="7" t="n">
        <v>41677</v>
      </c>
      <c r="C772" s="7" t="n">
        <f aca="false">B772-WEEKDAY(B772)+1</f>
        <v>41672</v>
      </c>
      <c r="D772" s="1" t="e">
        <f aca="false" t="array" ref="D772:D772">IF(ISBLANK(_xlfn.xlookup(D$3,daily_items,_xlfn.xlookup($C772,daily_dates,big_daily_table))),NA(),_xlfn.xlookup(D$3,daily_items,_xlfn.xlookup($C772,daily_dates,big_daily_table)))</f>
        <v>#NAME?</v>
      </c>
      <c r="E772" s="1" t="e">
        <f aca="false" t="array" ref="E772:E772">IF(ISBLANK(_xlfn.xlookup(E$3,daily_items,_xlfn.xlookup($C772,daily_dates,big_daily_table))),NA(),_xlfn.xlookup(E$3,daily_items,_xlfn.xlookup($C772,daily_dates,big_daily_table)))</f>
        <v>#NAME?</v>
      </c>
    </row>
    <row r="773" customFormat="false" ht="14.25" hidden="false" customHeight="false" outlineLevel="0" collapsed="false">
      <c r="B773" s="7" t="n">
        <v>41678</v>
      </c>
      <c r="C773" s="7" t="n">
        <f aca="false">B773-WEEKDAY(B773)+1</f>
        <v>41672</v>
      </c>
      <c r="D773" s="1" t="e">
        <f aca="false" t="array" ref="D773:D773">IF(ISBLANK(_xlfn.xlookup(D$3,daily_items,_xlfn.xlookup($C773,daily_dates,big_daily_table))),NA(),_xlfn.xlookup(D$3,daily_items,_xlfn.xlookup($C773,daily_dates,big_daily_table)))</f>
        <v>#NAME?</v>
      </c>
      <c r="E773" s="1" t="e">
        <f aca="false" t="array" ref="E773:E773">IF(ISBLANK(_xlfn.xlookup(E$3,daily_items,_xlfn.xlookup($C773,daily_dates,big_daily_table))),NA(),_xlfn.xlookup(E$3,daily_items,_xlfn.xlookup($C773,daily_dates,big_daily_table)))</f>
        <v>#NAME?</v>
      </c>
    </row>
    <row r="774" customFormat="false" ht="14.25" hidden="false" customHeight="false" outlineLevel="0" collapsed="false">
      <c r="B774" s="7" t="n">
        <v>41679</v>
      </c>
      <c r="C774" s="7" t="n">
        <f aca="false">B774-WEEKDAY(B774)+1</f>
        <v>41679</v>
      </c>
      <c r="D774" s="1" t="e">
        <f aca="false" t="array" ref="D774:D774">IF(ISBLANK(_xlfn.xlookup(D$3,daily_items,_xlfn.xlookup($C774,daily_dates,big_daily_table))),NA(),_xlfn.xlookup(D$3,daily_items,_xlfn.xlookup($C774,daily_dates,big_daily_table)))</f>
        <v>#NAME?</v>
      </c>
      <c r="E774" s="1" t="e">
        <f aca="false" t="array" ref="E774:E774">IF(ISBLANK(_xlfn.xlookup(E$3,daily_items,_xlfn.xlookup($C774,daily_dates,big_daily_table))),NA(),_xlfn.xlookup(E$3,daily_items,_xlfn.xlookup($C774,daily_dates,big_daily_table)))</f>
        <v>#NAME?</v>
      </c>
    </row>
    <row r="775" customFormat="false" ht="14.25" hidden="false" customHeight="false" outlineLevel="0" collapsed="false">
      <c r="B775" s="7" t="n">
        <v>41680</v>
      </c>
      <c r="C775" s="7" t="n">
        <f aca="false">B775-WEEKDAY(B775)+1</f>
        <v>41679</v>
      </c>
      <c r="D775" s="1" t="e">
        <f aca="false" t="array" ref="D775:D775">IF(ISBLANK(_xlfn.xlookup(D$3,daily_items,_xlfn.xlookup($C775,daily_dates,big_daily_table))),NA(),_xlfn.xlookup(D$3,daily_items,_xlfn.xlookup($C775,daily_dates,big_daily_table)))</f>
        <v>#NAME?</v>
      </c>
      <c r="E775" s="1" t="e">
        <f aca="false" t="array" ref="E775:E775">IF(ISBLANK(_xlfn.xlookup(E$3,daily_items,_xlfn.xlookup($C775,daily_dates,big_daily_table))),NA(),_xlfn.xlookup(E$3,daily_items,_xlfn.xlookup($C775,daily_dates,big_daily_table)))</f>
        <v>#NAME?</v>
      </c>
    </row>
    <row r="776" customFormat="false" ht="14.25" hidden="false" customHeight="false" outlineLevel="0" collapsed="false">
      <c r="B776" s="7" t="n">
        <v>41681</v>
      </c>
      <c r="C776" s="7" t="n">
        <f aca="false">B776-WEEKDAY(B776)+1</f>
        <v>41679</v>
      </c>
      <c r="D776" s="1" t="e">
        <f aca="false" t="array" ref="D776:D776">IF(ISBLANK(_xlfn.xlookup(D$3,daily_items,_xlfn.xlookup($C776,daily_dates,big_daily_table))),NA(),_xlfn.xlookup(D$3,daily_items,_xlfn.xlookup($C776,daily_dates,big_daily_table)))</f>
        <v>#NAME?</v>
      </c>
      <c r="E776" s="1" t="e">
        <f aca="false" t="array" ref="E776:E776">IF(ISBLANK(_xlfn.xlookup(E$3,daily_items,_xlfn.xlookup($C776,daily_dates,big_daily_table))),NA(),_xlfn.xlookup(E$3,daily_items,_xlfn.xlookup($C776,daily_dates,big_daily_table)))</f>
        <v>#NAME?</v>
      </c>
    </row>
    <row r="777" customFormat="false" ht="14.25" hidden="false" customHeight="false" outlineLevel="0" collapsed="false">
      <c r="B777" s="7" t="n">
        <v>41682</v>
      </c>
      <c r="C777" s="7" t="n">
        <f aca="false">B777-WEEKDAY(B777)+1</f>
        <v>41679</v>
      </c>
      <c r="D777" s="1" t="e">
        <f aca="false" t="array" ref="D777:D777">IF(ISBLANK(_xlfn.xlookup(D$3,daily_items,_xlfn.xlookup($C777,daily_dates,big_daily_table))),NA(),_xlfn.xlookup(D$3,daily_items,_xlfn.xlookup($C777,daily_dates,big_daily_table)))</f>
        <v>#NAME?</v>
      </c>
      <c r="E777" s="1" t="e">
        <f aca="false" t="array" ref="E777:E777">IF(ISBLANK(_xlfn.xlookup(E$3,daily_items,_xlfn.xlookup($C777,daily_dates,big_daily_table))),NA(),_xlfn.xlookup(E$3,daily_items,_xlfn.xlookup($C777,daily_dates,big_daily_table)))</f>
        <v>#NAME?</v>
      </c>
    </row>
    <row r="778" customFormat="false" ht="14.25" hidden="false" customHeight="false" outlineLevel="0" collapsed="false">
      <c r="B778" s="7" t="n">
        <v>41683</v>
      </c>
      <c r="C778" s="7" t="n">
        <f aca="false">B778-WEEKDAY(B778)+1</f>
        <v>41679</v>
      </c>
      <c r="D778" s="1" t="e">
        <f aca="false" t="array" ref="D778:D778">IF(ISBLANK(_xlfn.xlookup(D$3,daily_items,_xlfn.xlookup($C778,daily_dates,big_daily_table))),NA(),_xlfn.xlookup(D$3,daily_items,_xlfn.xlookup($C778,daily_dates,big_daily_table)))</f>
        <v>#NAME?</v>
      </c>
      <c r="E778" s="1" t="e">
        <f aca="false" t="array" ref="E778:E778">IF(ISBLANK(_xlfn.xlookup(E$3,daily_items,_xlfn.xlookup($C778,daily_dates,big_daily_table))),NA(),_xlfn.xlookup(E$3,daily_items,_xlfn.xlookup($C778,daily_dates,big_daily_table)))</f>
        <v>#NAME?</v>
      </c>
    </row>
    <row r="779" customFormat="false" ht="14.25" hidden="false" customHeight="false" outlineLevel="0" collapsed="false">
      <c r="B779" s="7" t="n">
        <v>41684</v>
      </c>
      <c r="C779" s="7" t="n">
        <f aca="false">B779-WEEKDAY(B779)+1</f>
        <v>41679</v>
      </c>
      <c r="D779" s="1" t="e">
        <f aca="false" t="array" ref="D779:D779">IF(ISBLANK(_xlfn.xlookup(D$3,daily_items,_xlfn.xlookup($C779,daily_dates,big_daily_table))),NA(),_xlfn.xlookup(D$3,daily_items,_xlfn.xlookup($C779,daily_dates,big_daily_table)))</f>
        <v>#NAME?</v>
      </c>
      <c r="E779" s="1" t="e">
        <f aca="false" t="array" ref="E779:E779">IF(ISBLANK(_xlfn.xlookup(E$3,daily_items,_xlfn.xlookup($C779,daily_dates,big_daily_table))),NA(),_xlfn.xlookup(E$3,daily_items,_xlfn.xlookup($C779,daily_dates,big_daily_table)))</f>
        <v>#NAME?</v>
      </c>
    </row>
    <row r="780" customFormat="false" ht="14.25" hidden="false" customHeight="false" outlineLevel="0" collapsed="false">
      <c r="B780" s="7" t="n">
        <v>41685</v>
      </c>
      <c r="C780" s="7" t="n">
        <f aca="false">B780-WEEKDAY(B780)+1</f>
        <v>41679</v>
      </c>
      <c r="D780" s="1" t="e">
        <f aca="false" t="array" ref="D780:D780">IF(ISBLANK(_xlfn.xlookup(D$3,daily_items,_xlfn.xlookup($C780,daily_dates,big_daily_table))),NA(),_xlfn.xlookup(D$3,daily_items,_xlfn.xlookup($C780,daily_dates,big_daily_table)))</f>
        <v>#NAME?</v>
      </c>
      <c r="E780" s="1" t="e">
        <f aca="false" t="array" ref="E780:E780">IF(ISBLANK(_xlfn.xlookup(E$3,daily_items,_xlfn.xlookup($C780,daily_dates,big_daily_table))),NA(),_xlfn.xlookup(E$3,daily_items,_xlfn.xlookup($C780,daily_dates,big_daily_table)))</f>
        <v>#NAME?</v>
      </c>
    </row>
    <row r="781" customFormat="false" ht="14.25" hidden="false" customHeight="false" outlineLevel="0" collapsed="false">
      <c r="B781" s="7" t="n">
        <v>41686</v>
      </c>
      <c r="C781" s="7" t="n">
        <f aca="false">B781-WEEKDAY(B781)+1</f>
        <v>41686</v>
      </c>
      <c r="D781" s="1" t="e">
        <f aca="false" t="array" ref="D781:D781">IF(ISBLANK(_xlfn.xlookup(D$3,daily_items,_xlfn.xlookup($C781,daily_dates,big_daily_table))),NA(),_xlfn.xlookup(D$3,daily_items,_xlfn.xlookup($C781,daily_dates,big_daily_table)))</f>
        <v>#NAME?</v>
      </c>
      <c r="E781" s="1" t="e">
        <f aca="false" t="array" ref="E781:E781">IF(ISBLANK(_xlfn.xlookup(E$3,daily_items,_xlfn.xlookup($C781,daily_dates,big_daily_table))),NA(),_xlfn.xlookup(E$3,daily_items,_xlfn.xlookup($C781,daily_dates,big_daily_table)))</f>
        <v>#NAME?</v>
      </c>
    </row>
    <row r="782" customFormat="false" ht="14.25" hidden="false" customHeight="false" outlineLevel="0" collapsed="false">
      <c r="B782" s="7" t="n">
        <v>41687</v>
      </c>
      <c r="C782" s="7" t="n">
        <f aca="false">B782-WEEKDAY(B782)+1</f>
        <v>41686</v>
      </c>
      <c r="D782" s="1" t="e">
        <f aca="false" t="array" ref="D782:D782">IF(ISBLANK(_xlfn.xlookup(D$3,daily_items,_xlfn.xlookup($C782,daily_dates,big_daily_table))),NA(),_xlfn.xlookup(D$3,daily_items,_xlfn.xlookup($C782,daily_dates,big_daily_table)))</f>
        <v>#NAME?</v>
      </c>
      <c r="E782" s="1" t="e">
        <f aca="false" t="array" ref="E782:E782">IF(ISBLANK(_xlfn.xlookup(E$3,daily_items,_xlfn.xlookup($C782,daily_dates,big_daily_table))),NA(),_xlfn.xlookup(E$3,daily_items,_xlfn.xlookup($C782,daily_dates,big_daily_table)))</f>
        <v>#NAME?</v>
      </c>
    </row>
    <row r="783" customFormat="false" ht="14.25" hidden="false" customHeight="false" outlineLevel="0" collapsed="false">
      <c r="B783" s="7" t="n">
        <v>41688</v>
      </c>
      <c r="C783" s="7" t="n">
        <f aca="false">B783-WEEKDAY(B783)+1</f>
        <v>41686</v>
      </c>
      <c r="D783" s="1" t="e">
        <f aca="false" t="array" ref="D783:D783">IF(ISBLANK(_xlfn.xlookup(D$3,daily_items,_xlfn.xlookup($C783,daily_dates,big_daily_table))),NA(),_xlfn.xlookup(D$3,daily_items,_xlfn.xlookup($C783,daily_dates,big_daily_table)))</f>
        <v>#NAME?</v>
      </c>
      <c r="E783" s="1" t="e">
        <f aca="false" t="array" ref="E783:E783">IF(ISBLANK(_xlfn.xlookup(E$3,daily_items,_xlfn.xlookup($C783,daily_dates,big_daily_table))),NA(),_xlfn.xlookup(E$3,daily_items,_xlfn.xlookup($C783,daily_dates,big_daily_table)))</f>
        <v>#NAME?</v>
      </c>
    </row>
    <row r="784" customFormat="false" ht="14.25" hidden="false" customHeight="false" outlineLevel="0" collapsed="false">
      <c r="B784" s="7" t="n">
        <v>41689</v>
      </c>
      <c r="C784" s="7" t="n">
        <f aca="false">B784-WEEKDAY(B784)+1</f>
        <v>41686</v>
      </c>
      <c r="D784" s="1" t="e">
        <f aca="false" t="array" ref="D784:D784">IF(ISBLANK(_xlfn.xlookup(D$3,daily_items,_xlfn.xlookup($C784,daily_dates,big_daily_table))),NA(),_xlfn.xlookup(D$3,daily_items,_xlfn.xlookup($C784,daily_dates,big_daily_table)))</f>
        <v>#NAME?</v>
      </c>
      <c r="E784" s="1" t="e">
        <f aca="false" t="array" ref="E784:E784">IF(ISBLANK(_xlfn.xlookup(E$3,daily_items,_xlfn.xlookup($C784,daily_dates,big_daily_table))),NA(),_xlfn.xlookup(E$3,daily_items,_xlfn.xlookup($C784,daily_dates,big_daily_table)))</f>
        <v>#NAME?</v>
      </c>
    </row>
    <row r="785" customFormat="false" ht="14.25" hidden="false" customHeight="false" outlineLevel="0" collapsed="false">
      <c r="B785" s="7" t="n">
        <v>41690</v>
      </c>
      <c r="C785" s="7" t="n">
        <f aca="false">B785-WEEKDAY(B785)+1</f>
        <v>41686</v>
      </c>
      <c r="D785" s="1" t="e">
        <f aca="false" t="array" ref="D785:D785">IF(ISBLANK(_xlfn.xlookup(D$3,daily_items,_xlfn.xlookup($C785,daily_dates,big_daily_table))),NA(),_xlfn.xlookup(D$3,daily_items,_xlfn.xlookup($C785,daily_dates,big_daily_table)))</f>
        <v>#NAME?</v>
      </c>
      <c r="E785" s="1" t="e">
        <f aca="false" t="array" ref="E785:E785">IF(ISBLANK(_xlfn.xlookup(E$3,daily_items,_xlfn.xlookup($C785,daily_dates,big_daily_table))),NA(),_xlfn.xlookup(E$3,daily_items,_xlfn.xlookup($C785,daily_dates,big_daily_table)))</f>
        <v>#NAME?</v>
      </c>
    </row>
    <row r="786" customFormat="false" ht="14.25" hidden="false" customHeight="false" outlineLevel="0" collapsed="false">
      <c r="B786" s="7" t="n">
        <v>41691</v>
      </c>
      <c r="C786" s="7" t="n">
        <f aca="false">B786-WEEKDAY(B786)+1</f>
        <v>41686</v>
      </c>
      <c r="D786" s="1" t="e">
        <f aca="false" t="array" ref="D786:D786">IF(ISBLANK(_xlfn.xlookup(D$3,daily_items,_xlfn.xlookup($C786,daily_dates,big_daily_table))),NA(),_xlfn.xlookup(D$3,daily_items,_xlfn.xlookup($C786,daily_dates,big_daily_table)))</f>
        <v>#NAME?</v>
      </c>
      <c r="E786" s="1" t="e">
        <f aca="false" t="array" ref="E786:E786">IF(ISBLANK(_xlfn.xlookup(E$3,daily_items,_xlfn.xlookup($C786,daily_dates,big_daily_table))),NA(),_xlfn.xlookup(E$3,daily_items,_xlfn.xlookup($C786,daily_dates,big_daily_table)))</f>
        <v>#NAME?</v>
      </c>
    </row>
    <row r="787" customFormat="false" ht="14.25" hidden="false" customHeight="false" outlineLevel="0" collapsed="false">
      <c r="B787" s="7" t="n">
        <v>41692</v>
      </c>
      <c r="C787" s="7" t="n">
        <f aca="false">B787-WEEKDAY(B787)+1</f>
        <v>41686</v>
      </c>
      <c r="D787" s="1" t="e">
        <f aca="false" t="array" ref="D787:D787">IF(ISBLANK(_xlfn.xlookup(D$3,daily_items,_xlfn.xlookup($C787,daily_dates,big_daily_table))),NA(),_xlfn.xlookup(D$3,daily_items,_xlfn.xlookup($C787,daily_dates,big_daily_table)))</f>
        <v>#NAME?</v>
      </c>
      <c r="E787" s="1" t="e">
        <f aca="false" t="array" ref="E787:E787">IF(ISBLANK(_xlfn.xlookup(E$3,daily_items,_xlfn.xlookup($C787,daily_dates,big_daily_table))),NA(),_xlfn.xlookup(E$3,daily_items,_xlfn.xlookup($C787,daily_dates,big_daily_table)))</f>
        <v>#NAME?</v>
      </c>
    </row>
    <row r="788" customFormat="false" ht="14.25" hidden="false" customHeight="false" outlineLevel="0" collapsed="false">
      <c r="B788" s="7" t="n">
        <v>41693</v>
      </c>
      <c r="C788" s="7" t="n">
        <f aca="false">B788-WEEKDAY(B788)+1</f>
        <v>41693</v>
      </c>
      <c r="D788" s="1" t="e">
        <f aca="false" t="array" ref="D788:D788">IF(ISBLANK(_xlfn.xlookup(D$3,daily_items,_xlfn.xlookup($C788,daily_dates,big_daily_table))),NA(),_xlfn.xlookup(D$3,daily_items,_xlfn.xlookup($C788,daily_dates,big_daily_table)))</f>
        <v>#NAME?</v>
      </c>
      <c r="E788" s="1" t="e">
        <f aca="false" t="array" ref="E788:E788">IF(ISBLANK(_xlfn.xlookup(E$3,daily_items,_xlfn.xlookup($C788,daily_dates,big_daily_table))),NA(),_xlfn.xlookup(E$3,daily_items,_xlfn.xlookup($C788,daily_dates,big_daily_table)))</f>
        <v>#NAME?</v>
      </c>
    </row>
    <row r="789" customFormat="false" ht="14.25" hidden="false" customHeight="false" outlineLevel="0" collapsed="false">
      <c r="B789" s="7" t="n">
        <v>41694</v>
      </c>
      <c r="C789" s="7" t="n">
        <f aca="false">B789-WEEKDAY(B789)+1</f>
        <v>41693</v>
      </c>
      <c r="D789" s="1" t="e">
        <f aca="false" t="array" ref="D789:D789">IF(ISBLANK(_xlfn.xlookup(D$3,daily_items,_xlfn.xlookup($C789,daily_dates,big_daily_table))),NA(),_xlfn.xlookup(D$3,daily_items,_xlfn.xlookup($C789,daily_dates,big_daily_table)))</f>
        <v>#NAME?</v>
      </c>
      <c r="E789" s="1" t="e">
        <f aca="false" t="array" ref="E789:E789">IF(ISBLANK(_xlfn.xlookup(E$3,daily_items,_xlfn.xlookup($C789,daily_dates,big_daily_table))),NA(),_xlfn.xlookup(E$3,daily_items,_xlfn.xlookup($C789,daily_dates,big_daily_table)))</f>
        <v>#NAME?</v>
      </c>
    </row>
    <row r="790" customFormat="false" ht="14.25" hidden="false" customHeight="false" outlineLevel="0" collapsed="false">
      <c r="B790" s="7" t="n">
        <v>41695</v>
      </c>
      <c r="C790" s="7" t="n">
        <f aca="false">B790-WEEKDAY(B790)+1</f>
        <v>41693</v>
      </c>
      <c r="D790" s="1" t="e">
        <f aca="false" t="array" ref="D790:D790">IF(ISBLANK(_xlfn.xlookup(D$3,daily_items,_xlfn.xlookup($C790,daily_dates,big_daily_table))),NA(),_xlfn.xlookup(D$3,daily_items,_xlfn.xlookup($C790,daily_dates,big_daily_table)))</f>
        <v>#NAME?</v>
      </c>
      <c r="E790" s="1" t="e">
        <f aca="false" t="array" ref="E790:E790">IF(ISBLANK(_xlfn.xlookup(E$3,daily_items,_xlfn.xlookup($C790,daily_dates,big_daily_table))),NA(),_xlfn.xlookup(E$3,daily_items,_xlfn.xlookup($C790,daily_dates,big_daily_table)))</f>
        <v>#NAME?</v>
      </c>
    </row>
    <row r="791" customFormat="false" ht="14.25" hidden="false" customHeight="false" outlineLevel="0" collapsed="false">
      <c r="B791" s="7" t="n">
        <v>41696</v>
      </c>
      <c r="C791" s="7" t="n">
        <f aca="false">B791-WEEKDAY(B791)+1</f>
        <v>41693</v>
      </c>
      <c r="D791" s="1" t="e">
        <f aca="false" t="array" ref="D791:D791">IF(ISBLANK(_xlfn.xlookup(D$3,daily_items,_xlfn.xlookup($C791,daily_dates,big_daily_table))),NA(),_xlfn.xlookup(D$3,daily_items,_xlfn.xlookup($C791,daily_dates,big_daily_table)))</f>
        <v>#NAME?</v>
      </c>
      <c r="E791" s="1" t="e">
        <f aca="false" t="array" ref="E791:E791">IF(ISBLANK(_xlfn.xlookup(E$3,daily_items,_xlfn.xlookup($C791,daily_dates,big_daily_table))),NA(),_xlfn.xlookup(E$3,daily_items,_xlfn.xlookup($C791,daily_dates,big_daily_table)))</f>
        <v>#NAME?</v>
      </c>
    </row>
    <row r="792" customFormat="false" ht="14.25" hidden="false" customHeight="false" outlineLevel="0" collapsed="false">
      <c r="B792" s="7" t="n">
        <v>41697</v>
      </c>
      <c r="C792" s="7" t="n">
        <f aca="false">B792-WEEKDAY(B792)+1</f>
        <v>41693</v>
      </c>
      <c r="D792" s="1" t="e">
        <f aca="false" t="array" ref="D792:D792">IF(ISBLANK(_xlfn.xlookup(D$3,daily_items,_xlfn.xlookup($C792,daily_dates,big_daily_table))),NA(),_xlfn.xlookup(D$3,daily_items,_xlfn.xlookup($C792,daily_dates,big_daily_table)))</f>
        <v>#NAME?</v>
      </c>
      <c r="E792" s="1" t="e">
        <f aca="false" t="array" ref="E792:E792">IF(ISBLANK(_xlfn.xlookup(E$3,daily_items,_xlfn.xlookup($C792,daily_dates,big_daily_table))),NA(),_xlfn.xlookup(E$3,daily_items,_xlfn.xlookup($C792,daily_dates,big_daily_table)))</f>
        <v>#NAME?</v>
      </c>
    </row>
    <row r="793" customFormat="false" ht="14.25" hidden="false" customHeight="false" outlineLevel="0" collapsed="false">
      <c r="B793" s="7" t="n">
        <v>41698</v>
      </c>
      <c r="C793" s="7" t="n">
        <f aca="false">B793-WEEKDAY(B793)+1</f>
        <v>41693</v>
      </c>
      <c r="D793" s="1" t="e">
        <f aca="false" t="array" ref="D793:D793">IF(ISBLANK(_xlfn.xlookup(D$3,daily_items,_xlfn.xlookup($C793,daily_dates,big_daily_table))),NA(),_xlfn.xlookup(D$3,daily_items,_xlfn.xlookup($C793,daily_dates,big_daily_table)))</f>
        <v>#NAME?</v>
      </c>
      <c r="E793" s="1" t="e">
        <f aca="false" t="array" ref="E793:E793">IF(ISBLANK(_xlfn.xlookup(E$3,daily_items,_xlfn.xlookup($C793,daily_dates,big_daily_table))),NA(),_xlfn.xlookup(E$3,daily_items,_xlfn.xlookup($C793,daily_dates,big_daily_table)))</f>
        <v>#NAME?</v>
      </c>
    </row>
    <row r="794" customFormat="false" ht="14.25" hidden="false" customHeight="false" outlineLevel="0" collapsed="false">
      <c r="B794" s="7" t="n">
        <v>41699</v>
      </c>
      <c r="C794" s="7" t="n">
        <f aca="false">B794-WEEKDAY(B794)+1</f>
        <v>41693</v>
      </c>
      <c r="D794" s="1" t="e">
        <f aca="false" t="array" ref="D794:D794">IF(ISBLANK(_xlfn.xlookup(D$3,daily_items,_xlfn.xlookup($C794,daily_dates,big_daily_table))),NA(),_xlfn.xlookup(D$3,daily_items,_xlfn.xlookup($C794,daily_dates,big_daily_table)))</f>
        <v>#NAME?</v>
      </c>
      <c r="E794" s="1" t="e">
        <f aca="false" t="array" ref="E794:E794">IF(ISBLANK(_xlfn.xlookup(E$3,daily_items,_xlfn.xlookup($C794,daily_dates,big_daily_table))),NA(),_xlfn.xlookup(E$3,daily_items,_xlfn.xlookup($C794,daily_dates,big_daily_table)))</f>
        <v>#NAME?</v>
      </c>
    </row>
    <row r="795" customFormat="false" ht="14.25" hidden="false" customHeight="false" outlineLevel="0" collapsed="false">
      <c r="B795" s="7" t="n">
        <v>41700</v>
      </c>
      <c r="C795" s="7" t="n">
        <f aca="false">B795-WEEKDAY(B795)+1</f>
        <v>41700</v>
      </c>
      <c r="D795" s="1" t="e">
        <f aca="false" t="array" ref="D795:D795">IF(ISBLANK(_xlfn.xlookup(D$3,daily_items,_xlfn.xlookup($C795,daily_dates,big_daily_table))),NA(),_xlfn.xlookup(D$3,daily_items,_xlfn.xlookup($C795,daily_dates,big_daily_table)))</f>
        <v>#NAME?</v>
      </c>
      <c r="E795" s="1" t="e">
        <f aca="false" t="array" ref="E795:E795">IF(ISBLANK(_xlfn.xlookup(E$3,daily_items,_xlfn.xlookup($C795,daily_dates,big_daily_table))),NA(),_xlfn.xlookup(E$3,daily_items,_xlfn.xlookup($C795,daily_dates,big_daily_table)))</f>
        <v>#NAME?</v>
      </c>
    </row>
    <row r="796" customFormat="false" ht="14.25" hidden="false" customHeight="false" outlineLevel="0" collapsed="false">
      <c r="B796" s="7" t="n">
        <v>41701</v>
      </c>
      <c r="C796" s="7" t="n">
        <f aca="false">B796-WEEKDAY(B796)+1</f>
        <v>41700</v>
      </c>
      <c r="D796" s="1" t="e">
        <f aca="false" t="array" ref="D796:D796">IF(ISBLANK(_xlfn.xlookup(D$3,daily_items,_xlfn.xlookup($C796,daily_dates,big_daily_table))),NA(),_xlfn.xlookup(D$3,daily_items,_xlfn.xlookup($C796,daily_dates,big_daily_table)))</f>
        <v>#NAME?</v>
      </c>
      <c r="E796" s="1" t="e">
        <f aca="false" t="array" ref="E796:E796">IF(ISBLANK(_xlfn.xlookup(E$3,daily_items,_xlfn.xlookup($C796,daily_dates,big_daily_table))),NA(),_xlfn.xlookup(E$3,daily_items,_xlfn.xlookup($C796,daily_dates,big_daily_table)))</f>
        <v>#NAME?</v>
      </c>
    </row>
    <row r="797" customFormat="false" ht="14.25" hidden="false" customHeight="false" outlineLevel="0" collapsed="false">
      <c r="B797" s="7" t="n">
        <v>41702</v>
      </c>
      <c r="C797" s="7" t="n">
        <f aca="false">B797-WEEKDAY(B797)+1</f>
        <v>41700</v>
      </c>
      <c r="D797" s="1" t="e">
        <f aca="false" t="array" ref="D797:D797">IF(ISBLANK(_xlfn.xlookup(D$3,daily_items,_xlfn.xlookup($C797,daily_dates,big_daily_table))),NA(),_xlfn.xlookup(D$3,daily_items,_xlfn.xlookup($C797,daily_dates,big_daily_table)))</f>
        <v>#NAME?</v>
      </c>
      <c r="E797" s="1" t="e">
        <f aca="false" t="array" ref="E797:E797">IF(ISBLANK(_xlfn.xlookup(E$3,daily_items,_xlfn.xlookup($C797,daily_dates,big_daily_table))),NA(),_xlfn.xlookup(E$3,daily_items,_xlfn.xlookup($C797,daily_dates,big_daily_table)))</f>
        <v>#NAME?</v>
      </c>
    </row>
    <row r="798" customFormat="false" ht="14.25" hidden="false" customHeight="false" outlineLevel="0" collapsed="false">
      <c r="B798" s="7" t="n">
        <v>41703</v>
      </c>
      <c r="C798" s="7" t="n">
        <f aca="false">B798-WEEKDAY(B798)+1</f>
        <v>41700</v>
      </c>
      <c r="D798" s="1" t="e">
        <f aca="false" t="array" ref="D798:D798">IF(ISBLANK(_xlfn.xlookup(D$3,daily_items,_xlfn.xlookup($C798,daily_dates,big_daily_table))),NA(),_xlfn.xlookup(D$3,daily_items,_xlfn.xlookup($C798,daily_dates,big_daily_table)))</f>
        <v>#NAME?</v>
      </c>
      <c r="E798" s="1" t="e">
        <f aca="false" t="array" ref="E798:E798">IF(ISBLANK(_xlfn.xlookup(E$3,daily_items,_xlfn.xlookup($C798,daily_dates,big_daily_table))),NA(),_xlfn.xlookup(E$3,daily_items,_xlfn.xlookup($C798,daily_dates,big_daily_table)))</f>
        <v>#NAME?</v>
      </c>
    </row>
    <row r="799" customFormat="false" ht="14.25" hidden="false" customHeight="false" outlineLevel="0" collapsed="false">
      <c r="B799" s="7" t="n">
        <v>41704</v>
      </c>
      <c r="C799" s="7" t="n">
        <f aca="false">B799-WEEKDAY(B799)+1</f>
        <v>41700</v>
      </c>
      <c r="D799" s="1" t="e">
        <f aca="false" t="array" ref="D799:D799">IF(ISBLANK(_xlfn.xlookup(D$3,daily_items,_xlfn.xlookup($C799,daily_dates,big_daily_table))),NA(),_xlfn.xlookup(D$3,daily_items,_xlfn.xlookup($C799,daily_dates,big_daily_table)))</f>
        <v>#NAME?</v>
      </c>
      <c r="E799" s="1" t="e">
        <f aca="false" t="array" ref="E799:E799">IF(ISBLANK(_xlfn.xlookup(E$3,daily_items,_xlfn.xlookup($C799,daily_dates,big_daily_table))),NA(),_xlfn.xlookup(E$3,daily_items,_xlfn.xlookup($C799,daily_dates,big_daily_table)))</f>
        <v>#NAME?</v>
      </c>
    </row>
    <row r="800" customFormat="false" ht="14.25" hidden="false" customHeight="false" outlineLevel="0" collapsed="false">
      <c r="B800" s="7" t="n">
        <v>41705</v>
      </c>
      <c r="C800" s="7" t="n">
        <f aca="false">B800-WEEKDAY(B800)+1</f>
        <v>41700</v>
      </c>
      <c r="D800" s="1" t="e">
        <f aca="false" t="array" ref="D800:D800">IF(ISBLANK(_xlfn.xlookup(D$3,daily_items,_xlfn.xlookup($C800,daily_dates,big_daily_table))),NA(),_xlfn.xlookup(D$3,daily_items,_xlfn.xlookup($C800,daily_dates,big_daily_table)))</f>
        <v>#NAME?</v>
      </c>
      <c r="E800" s="1" t="e">
        <f aca="false" t="array" ref="E800:E800">IF(ISBLANK(_xlfn.xlookup(E$3,daily_items,_xlfn.xlookup($C800,daily_dates,big_daily_table))),NA(),_xlfn.xlookup(E$3,daily_items,_xlfn.xlookup($C800,daily_dates,big_daily_table)))</f>
        <v>#NAME?</v>
      </c>
    </row>
    <row r="801" customFormat="false" ht="14.25" hidden="false" customHeight="false" outlineLevel="0" collapsed="false">
      <c r="B801" s="7" t="n">
        <v>41706</v>
      </c>
      <c r="C801" s="7" t="n">
        <f aca="false">B801-WEEKDAY(B801)+1</f>
        <v>41700</v>
      </c>
      <c r="D801" s="1" t="e">
        <f aca="false" t="array" ref="D801:D801">IF(ISBLANK(_xlfn.xlookup(D$3,daily_items,_xlfn.xlookup($C801,daily_dates,big_daily_table))),NA(),_xlfn.xlookup(D$3,daily_items,_xlfn.xlookup($C801,daily_dates,big_daily_table)))</f>
        <v>#NAME?</v>
      </c>
      <c r="E801" s="1" t="e">
        <f aca="false" t="array" ref="E801:E801">IF(ISBLANK(_xlfn.xlookup(E$3,daily_items,_xlfn.xlookup($C801,daily_dates,big_daily_table))),NA(),_xlfn.xlookup(E$3,daily_items,_xlfn.xlookup($C801,daily_dates,big_daily_table)))</f>
        <v>#NAME?</v>
      </c>
    </row>
    <row r="802" customFormat="false" ht="14.25" hidden="false" customHeight="false" outlineLevel="0" collapsed="false">
      <c r="B802" s="7" t="n">
        <v>41707</v>
      </c>
      <c r="C802" s="7" t="n">
        <f aca="false">B802-WEEKDAY(B802)+1</f>
        <v>41707</v>
      </c>
      <c r="D802" s="1" t="e">
        <f aca="false" t="array" ref="D802:D802">IF(ISBLANK(_xlfn.xlookup(D$3,daily_items,_xlfn.xlookup($C802,daily_dates,big_daily_table))),NA(),_xlfn.xlookup(D$3,daily_items,_xlfn.xlookup($C802,daily_dates,big_daily_table)))</f>
        <v>#NAME?</v>
      </c>
      <c r="E802" s="1" t="e">
        <f aca="false" t="array" ref="E802:E802">IF(ISBLANK(_xlfn.xlookup(E$3,daily_items,_xlfn.xlookup($C802,daily_dates,big_daily_table))),NA(),_xlfn.xlookup(E$3,daily_items,_xlfn.xlookup($C802,daily_dates,big_daily_table)))</f>
        <v>#NAME?</v>
      </c>
    </row>
    <row r="803" customFormat="false" ht="14.25" hidden="false" customHeight="false" outlineLevel="0" collapsed="false">
      <c r="B803" s="7" t="n">
        <v>41708</v>
      </c>
      <c r="C803" s="7" t="n">
        <f aca="false">B803-WEEKDAY(B803)+1</f>
        <v>41707</v>
      </c>
      <c r="D803" s="1" t="e">
        <f aca="false" t="array" ref="D803:D803">IF(ISBLANK(_xlfn.xlookup(D$3,daily_items,_xlfn.xlookup($C803,daily_dates,big_daily_table))),NA(),_xlfn.xlookup(D$3,daily_items,_xlfn.xlookup($C803,daily_dates,big_daily_table)))</f>
        <v>#NAME?</v>
      </c>
      <c r="E803" s="1" t="e">
        <f aca="false" t="array" ref="E803:E803">IF(ISBLANK(_xlfn.xlookup(E$3,daily_items,_xlfn.xlookup($C803,daily_dates,big_daily_table))),NA(),_xlfn.xlookup(E$3,daily_items,_xlfn.xlookup($C803,daily_dates,big_daily_table)))</f>
        <v>#NAME?</v>
      </c>
    </row>
    <row r="804" customFormat="false" ht="14.25" hidden="false" customHeight="false" outlineLevel="0" collapsed="false">
      <c r="B804" s="7" t="n">
        <v>41709</v>
      </c>
      <c r="C804" s="7" t="n">
        <f aca="false">B804-WEEKDAY(B804)+1</f>
        <v>41707</v>
      </c>
      <c r="D804" s="1" t="e">
        <f aca="false" t="array" ref="D804:D804">IF(ISBLANK(_xlfn.xlookup(D$3,daily_items,_xlfn.xlookup($C804,daily_dates,big_daily_table))),NA(),_xlfn.xlookup(D$3,daily_items,_xlfn.xlookup($C804,daily_dates,big_daily_table)))</f>
        <v>#NAME?</v>
      </c>
      <c r="E804" s="1" t="e">
        <f aca="false" t="array" ref="E804:E804">IF(ISBLANK(_xlfn.xlookup(E$3,daily_items,_xlfn.xlookup($C804,daily_dates,big_daily_table))),NA(),_xlfn.xlookup(E$3,daily_items,_xlfn.xlookup($C804,daily_dates,big_daily_table)))</f>
        <v>#NAME?</v>
      </c>
    </row>
    <row r="805" customFormat="false" ht="14.25" hidden="false" customHeight="false" outlineLevel="0" collapsed="false">
      <c r="B805" s="7" t="n">
        <v>41710</v>
      </c>
      <c r="C805" s="7" t="n">
        <f aca="false">B805-WEEKDAY(B805)+1</f>
        <v>41707</v>
      </c>
      <c r="D805" s="1" t="e">
        <f aca="false" t="array" ref="D805:D805">IF(ISBLANK(_xlfn.xlookup(D$3,daily_items,_xlfn.xlookup($C805,daily_dates,big_daily_table))),NA(),_xlfn.xlookup(D$3,daily_items,_xlfn.xlookup($C805,daily_dates,big_daily_table)))</f>
        <v>#NAME?</v>
      </c>
      <c r="E805" s="1" t="e">
        <f aca="false" t="array" ref="E805:E805">IF(ISBLANK(_xlfn.xlookup(E$3,daily_items,_xlfn.xlookup($C805,daily_dates,big_daily_table))),NA(),_xlfn.xlookup(E$3,daily_items,_xlfn.xlookup($C805,daily_dates,big_daily_table)))</f>
        <v>#NAME?</v>
      </c>
    </row>
    <row r="806" customFormat="false" ht="14.25" hidden="false" customHeight="false" outlineLevel="0" collapsed="false">
      <c r="B806" s="7" t="n">
        <v>41711</v>
      </c>
      <c r="C806" s="7" t="n">
        <f aca="false">B806-WEEKDAY(B806)+1</f>
        <v>41707</v>
      </c>
      <c r="D806" s="1" t="e">
        <f aca="false" t="array" ref="D806:D806">IF(ISBLANK(_xlfn.xlookup(D$3,daily_items,_xlfn.xlookup($C806,daily_dates,big_daily_table))),NA(),_xlfn.xlookup(D$3,daily_items,_xlfn.xlookup($C806,daily_dates,big_daily_table)))</f>
        <v>#NAME?</v>
      </c>
      <c r="E806" s="1" t="e">
        <f aca="false" t="array" ref="E806:E806">IF(ISBLANK(_xlfn.xlookup(E$3,daily_items,_xlfn.xlookup($C806,daily_dates,big_daily_table))),NA(),_xlfn.xlookup(E$3,daily_items,_xlfn.xlookup($C806,daily_dates,big_daily_table)))</f>
        <v>#NAME?</v>
      </c>
    </row>
    <row r="807" customFormat="false" ht="14.25" hidden="false" customHeight="false" outlineLevel="0" collapsed="false">
      <c r="B807" s="7" t="n">
        <v>41712</v>
      </c>
      <c r="C807" s="7" t="n">
        <f aca="false">B807-WEEKDAY(B807)+1</f>
        <v>41707</v>
      </c>
      <c r="D807" s="1" t="e">
        <f aca="false" t="array" ref="D807:D807">IF(ISBLANK(_xlfn.xlookup(D$3,daily_items,_xlfn.xlookup($C807,daily_dates,big_daily_table))),NA(),_xlfn.xlookup(D$3,daily_items,_xlfn.xlookup($C807,daily_dates,big_daily_table)))</f>
        <v>#NAME?</v>
      </c>
      <c r="E807" s="1" t="e">
        <f aca="false" t="array" ref="E807:E807">IF(ISBLANK(_xlfn.xlookup(E$3,daily_items,_xlfn.xlookup($C807,daily_dates,big_daily_table))),NA(),_xlfn.xlookup(E$3,daily_items,_xlfn.xlookup($C807,daily_dates,big_daily_table)))</f>
        <v>#NAME?</v>
      </c>
    </row>
    <row r="808" customFormat="false" ht="14.25" hidden="false" customHeight="false" outlineLevel="0" collapsed="false">
      <c r="B808" s="7" t="n">
        <v>41713</v>
      </c>
      <c r="C808" s="7" t="n">
        <f aca="false">B808-WEEKDAY(B808)+1</f>
        <v>41707</v>
      </c>
      <c r="D808" s="1" t="e">
        <f aca="false" t="array" ref="D808:D808">IF(ISBLANK(_xlfn.xlookup(D$3,daily_items,_xlfn.xlookup($C808,daily_dates,big_daily_table))),NA(),_xlfn.xlookup(D$3,daily_items,_xlfn.xlookup($C808,daily_dates,big_daily_table)))</f>
        <v>#NAME?</v>
      </c>
      <c r="E808" s="1" t="e">
        <f aca="false" t="array" ref="E808:E808">IF(ISBLANK(_xlfn.xlookup(E$3,daily_items,_xlfn.xlookup($C808,daily_dates,big_daily_table))),NA(),_xlfn.xlookup(E$3,daily_items,_xlfn.xlookup($C808,daily_dates,big_daily_table)))</f>
        <v>#NAME?</v>
      </c>
    </row>
    <row r="809" customFormat="false" ht="14.25" hidden="false" customHeight="false" outlineLevel="0" collapsed="false">
      <c r="B809" s="7" t="n">
        <v>41714</v>
      </c>
      <c r="C809" s="7" t="n">
        <f aca="false">B809-WEEKDAY(B809)+1</f>
        <v>41714</v>
      </c>
      <c r="D809" s="1" t="e">
        <f aca="false" t="array" ref="D809:D809">IF(ISBLANK(_xlfn.xlookup(D$3,daily_items,_xlfn.xlookup($C809,daily_dates,big_daily_table))),NA(),_xlfn.xlookup(D$3,daily_items,_xlfn.xlookup($C809,daily_dates,big_daily_table)))</f>
        <v>#NAME?</v>
      </c>
      <c r="E809" s="1" t="e">
        <f aca="false" t="array" ref="E809:E809">IF(ISBLANK(_xlfn.xlookup(E$3,daily_items,_xlfn.xlookup($C809,daily_dates,big_daily_table))),NA(),_xlfn.xlookup(E$3,daily_items,_xlfn.xlookup($C809,daily_dates,big_daily_table)))</f>
        <v>#NAME?</v>
      </c>
    </row>
    <row r="810" customFormat="false" ht="14.25" hidden="false" customHeight="false" outlineLevel="0" collapsed="false">
      <c r="B810" s="7" t="n">
        <v>41715</v>
      </c>
      <c r="C810" s="7" t="n">
        <f aca="false">B810-WEEKDAY(B810)+1</f>
        <v>41714</v>
      </c>
      <c r="D810" s="1" t="e">
        <f aca="false" t="array" ref="D810:D810">IF(ISBLANK(_xlfn.xlookup(D$3,daily_items,_xlfn.xlookup($C810,daily_dates,big_daily_table))),NA(),_xlfn.xlookup(D$3,daily_items,_xlfn.xlookup($C810,daily_dates,big_daily_table)))</f>
        <v>#NAME?</v>
      </c>
      <c r="E810" s="1" t="e">
        <f aca="false" t="array" ref="E810:E810">IF(ISBLANK(_xlfn.xlookup(E$3,daily_items,_xlfn.xlookup($C810,daily_dates,big_daily_table))),NA(),_xlfn.xlookup(E$3,daily_items,_xlfn.xlookup($C810,daily_dates,big_daily_table)))</f>
        <v>#NAME?</v>
      </c>
    </row>
    <row r="811" customFormat="false" ht="14.25" hidden="false" customHeight="false" outlineLevel="0" collapsed="false">
      <c r="B811" s="7" t="n">
        <v>41716</v>
      </c>
      <c r="C811" s="7" t="n">
        <f aca="false">B811-WEEKDAY(B811)+1</f>
        <v>41714</v>
      </c>
      <c r="D811" s="1" t="e">
        <f aca="false" t="array" ref="D811:D811">IF(ISBLANK(_xlfn.xlookup(D$3,daily_items,_xlfn.xlookup($C811,daily_dates,big_daily_table))),NA(),_xlfn.xlookup(D$3,daily_items,_xlfn.xlookup($C811,daily_dates,big_daily_table)))</f>
        <v>#NAME?</v>
      </c>
      <c r="E811" s="1" t="e">
        <f aca="false" t="array" ref="E811:E811">IF(ISBLANK(_xlfn.xlookup(E$3,daily_items,_xlfn.xlookup($C811,daily_dates,big_daily_table))),NA(),_xlfn.xlookup(E$3,daily_items,_xlfn.xlookup($C811,daily_dates,big_daily_table)))</f>
        <v>#NAME?</v>
      </c>
    </row>
    <row r="812" customFormat="false" ht="14.25" hidden="false" customHeight="false" outlineLevel="0" collapsed="false">
      <c r="B812" s="7" t="n">
        <v>41717</v>
      </c>
      <c r="C812" s="7" t="n">
        <f aca="false">B812-WEEKDAY(B812)+1</f>
        <v>41714</v>
      </c>
      <c r="D812" s="1" t="e">
        <f aca="false" t="array" ref="D812:D812">IF(ISBLANK(_xlfn.xlookup(D$3,daily_items,_xlfn.xlookup($C812,daily_dates,big_daily_table))),NA(),_xlfn.xlookup(D$3,daily_items,_xlfn.xlookup($C812,daily_dates,big_daily_table)))</f>
        <v>#NAME?</v>
      </c>
      <c r="E812" s="1" t="e">
        <f aca="false" t="array" ref="E812:E812">IF(ISBLANK(_xlfn.xlookup(E$3,daily_items,_xlfn.xlookup($C812,daily_dates,big_daily_table))),NA(),_xlfn.xlookup(E$3,daily_items,_xlfn.xlookup($C812,daily_dates,big_daily_table)))</f>
        <v>#NAME?</v>
      </c>
    </row>
    <row r="813" customFormat="false" ht="14.25" hidden="false" customHeight="false" outlineLevel="0" collapsed="false">
      <c r="B813" s="7" t="n">
        <v>41718</v>
      </c>
      <c r="C813" s="7" t="n">
        <f aca="false">B813-WEEKDAY(B813)+1</f>
        <v>41714</v>
      </c>
      <c r="D813" s="1" t="e">
        <f aca="false" t="array" ref="D813:D813">IF(ISBLANK(_xlfn.xlookup(D$3,daily_items,_xlfn.xlookup($C813,daily_dates,big_daily_table))),NA(),_xlfn.xlookup(D$3,daily_items,_xlfn.xlookup($C813,daily_dates,big_daily_table)))</f>
        <v>#NAME?</v>
      </c>
      <c r="E813" s="1" t="e">
        <f aca="false" t="array" ref="E813:E813">IF(ISBLANK(_xlfn.xlookup(E$3,daily_items,_xlfn.xlookup($C813,daily_dates,big_daily_table))),NA(),_xlfn.xlookup(E$3,daily_items,_xlfn.xlookup($C813,daily_dates,big_daily_table)))</f>
        <v>#NAME?</v>
      </c>
    </row>
    <row r="814" customFormat="false" ht="14.25" hidden="false" customHeight="false" outlineLevel="0" collapsed="false">
      <c r="B814" s="7" t="n">
        <v>41719</v>
      </c>
      <c r="C814" s="7" t="n">
        <f aca="false">B814-WEEKDAY(B814)+1</f>
        <v>41714</v>
      </c>
      <c r="D814" s="1" t="e">
        <f aca="false" t="array" ref="D814:D814">IF(ISBLANK(_xlfn.xlookup(D$3,daily_items,_xlfn.xlookup($C814,daily_dates,big_daily_table))),NA(),_xlfn.xlookup(D$3,daily_items,_xlfn.xlookup($C814,daily_dates,big_daily_table)))</f>
        <v>#NAME?</v>
      </c>
      <c r="E814" s="1" t="e">
        <f aca="false" t="array" ref="E814:E814">IF(ISBLANK(_xlfn.xlookup(E$3,daily_items,_xlfn.xlookup($C814,daily_dates,big_daily_table))),NA(),_xlfn.xlookup(E$3,daily_items,_xlfn.xlookup($C814,daily_dates,big_daily_table)))</f>
        <v>#NAME?</v>
      </c>
    </row>
    <row r="815" customFormat="false" ht="14.25" hidden="false" customHeight="false" outlineLevel="0" collapsed="false">
      <c r="B815" s="7" t="n">
        <v>41720</v>
      </c>
      <c r="C815" s="7" t="n">
        <f aca="false">B815-WEEKDAY(B815)+1</f>
        <v>41714</v>
      </c>
      <c r="D815" s="1" t="e">
        <f aca="false" t="array" ref="D815:D815">IF(ISBLANK(_xlfn.xlookup(D$3,daily_items,_xlfn.xlookup($C815,daily_dates,big_daily_table))),NA(),_xlfn.xlookup(D$3,daily_items,_xlfn.xlookup($C815,daily_dates,big_daily_table)))</f>
        <v>#NAME?</v>
      </c>
      <c r="E815" s="1" t="e">
        <f aca="false" t="array" ref="E815:E815">IF(ISBLANK(_xlfn.xlookup(E$3,daily_items,_xlfn.xlookup($C815,daily_dates,big_daily_table))),NA(),_xlfn.xlookup(E$3,daily_items,_xlfn.xlookup($C815,daily_dates,big_daily_table)))</f>
        <v>#NAME?</v>
      </c>
    </row>
    <row r="816" customFormat="false" ht="14.25" hidden="false" customHeight="false" outlineLevel="0" collapsed="false">
      <c r="B816" s="7" t="n">
        <v>41721</v>
      </c>
      <c r="C816" s="7" t="n">
        <f aca="false">B816-WEEKDAY(B816)+1</f>
        <v>41721</v>
      </c>
      <c r="D816" s="1" t="e">
        <f aca="false" t="array" ref="D816:D816">IF(ISBLANK(_xlfn.xlookup(D$3,daily_items,_xlfn.xlookup($C816,daily_dates,big_daily_table))),NA(),_xlfn.xlookup(D$3,daily_items,_xlfn.xlookup($C816,daily_dates,big_daily_table)))</f>
        <v>#NAME?</v>
      </c>
      <c r="E816" s="1" t="e">
        <f aca="false" t="array" ref="E816:E816">IF(ISBLANK(_xlfn.xlookup(E$3,daily_items,_xlfn.xlookup($C816,daily_dates,big_daily_table))),NA(),_xlfn.xlookup(E$3,daily_items,_xlfn.xlookup($C816,daily_dates,big_daily_table)))</f>
        <v>#NAME?</v>
      </c>
    </row>
    <row r="817" customFormat="false" ht="14.25" hidden="false" customHeight="false" outlineLevel="0" collapsed="false">
      <c r="B817" s="7" t="n">
        <v>41722</v>
      </c>
      <c r="C817" s="7" t="n">
        <f aca="false">B817-WEEKDAY(B817)+1</f>
        <v>41721</v>
      </c>
      <c r="D817" s="1" t="e">
        <f aca="false" t="array" ref="D817:D817">IF(ISBLANK(_xlfn.xlookup(D$3,daily_items,_xlfn.xlookup($C817,daily_dates,big_daily_table))),NA(),_xlfn.xlookup(D$3,daily_items,_xlfn.xlookup($C817,daily_dates,big_daily_table)))</f>
        <v>#NAME?</v>
      </c>
      <c r="E817" s="1" t="e">
        <f aca="false" t="array" ref="E817:E817">IF(ISBLANK(_xlfn.xlookup(E$3,daily_items,_xlfn.xlookup($C817,daily_dates,big_daily_table))),NA(),_xlfn.xlookup(E$3,daily_items,_xlfn.xlookup($C817,daily_dates,big_daily_table)))</f>
        <v>#NAME?</v>
      </c>
    </row>
    <row r="818" customFormat="false" ht="14.25" hidden="false" customHeight="false" outlineLevel="0" collapsed="false">
      <c r="B818" s="7" t="n">
        <v>41723</v>
      </c>
      <c r="C818" s="7" t="n">
        <f aca="false">B818-WEEKDAY(B818)+1</f>
        <v>41721</v>
      </c>
      <c r="D818" s="1" t="e">
        <f aca="false" t="array" ref="D818:D818">IF(ISBLANK(_xlfn.xlookup(D$3,daily_items,_xlfn.xlookup($C818,daily_dates,big_daily_table))),NA(),_xlfn.xlookup(D$3,daily_items,_xlfn.xlookup($C818,daily_dates,big_daily_table)))</f>
        <v>#NAME?</v>
      </c>
      <c r="E818" s="1" t="e">
        <f aca="false" t="array" ref="E818:E818">IF(ISBLANK(_xlfn.xlookup(E$3,daily_items,_xlfn.xlookup($C818,daily_dates,big_daily_table))),NA(),_xlfn.xlookup(E$3,daily_items,_xlfn.xlookup($C818,daily_dates,big_daily_table)))</f>
        <v>#NAME?</v>
      </c>
    </row>
    <row r="819" customFormat="false" ht="14.25" hidden="false" customHeight="false" outlineLevel="0" collapsed="false">
      <c r="B819" s="7" t="n">
        <v>41724</v>
      </c>
      <c r="C819" s="7" t="n">
        <f aca="false">B819-WEEKDAY(B819)+1</f>
        <v>41721</v>
      </c>
      <c r="D819" s="1" t="e">
        <f aca="false" t="array" ref="D819:D819">IF(ISBLANK(_xlfn.xlookup(D$3,daily_items,_xlfn.xlookup($C819,daily_dates,big_daily_table))),NA(),_xlfn.xlookup(D$3,daily_items,_xlfn.xlookup($C819,daily_dates,big_daily_table)))</f>
        <v>#NAME?</v>
      </c>
      <c r="E819" s="1" t="e">
        <f aca="false" t="array" ref="E819:E819">IF(ISBLANK(_xlfn.xlookup(E$3,daily_items,_xlfn.xlookup($C819,daily_dates,big_daily_table))),NA(),_xlfn.xlookup(E$3,daily_items,_xlfn.xlookup($C819,daily_dates,big_daily_table)))</f>
        <v>#NAME?</v>
      </c>
    </row>
    <row r="820" customFormat="false" ht="14.25" hidden="false" customHeight="false" outlineLevel="0" collapsed="false">
      <c r="B820" s="7" t="n">
        <v>41725</v>
      </c>
      <c r="C820" s="7" t="n">
        <f aca="false">B820-WEEKDAY(B820)+1</f>
        <v>41721</v>
      </c>
      <c r="D820" s="1" t="e">
        <f aca="false" t="array" ref="D820:D820">IF(ISBLANK(_xlfn.xlookup(D$3,daily_items,_xlfn.xlookup($C820,daily_dates,big_daily_table))),NA(),_xlfn.xlookup(D$3,daily_items,_xlfn.xlookup($C820,daily_dates,big_daily_table)))</f>
        <v>#NAME?</v>
      </c>
      <c r="E820" s="1" t="e">
        <f aca="false" t="array" ref="E820:E820">IF(ISBLANK(_xlfn.xlookup(E$3,daily_items,_xlfn.xlookup($C820,daily_dates,big_daily_table))),NA(),_xlfn.xlookup(E$3,daily_items,_xlfn.xlookup($C820,daily_dates,big_daily_table)))</f>
        <v>#NAME?</v>
      </c>
    </row>
    <row r="821" customFormat="false" ht="14.25" hidden="false" customHeight="false" outlineLevel="0" collapsed="false">
      <c r="B821" s="7" t="n">
        <v>41726</v>
      </c>
      <c r="C821" s="7" t="n">
        <f aca="false">B821-WEEKDAY(B821)+1</f>
        <v>41721</v>
      </c>
      <c r="D821" s="1" t="e">
        <f aca="false" t="array" ref="D821:D821">IF(ISBLANK(_xlfn.xlookup(D$3,daily_items,_xlfn.xlookup($C821,daily_dates,big_daily_table))),NA(),_xlfn.xlookup(D$3,daily_items,_xlfn.xlookup($C821,daily_dates,big_daily_table)))</f>
        <v>#NAME?</v>
      </c>
      <c r="E821" s="1" t="e">
        <f aca="false" t="array" ref="E821:E821">IF(ISBLANK(_xlfn.xlookup(E$3,daily_items,_xlfn.xlookup($C821,daily_dates,big_daily_table))),NA(),_xlfn.xlookup(E$3,daily_items,_xlfn.xlookup($C821,daily_dates,big_daily_table)))</f>
        <v>#NAME?</v>
      </c>
    </row>
    <row r="822" customFormat="false" ht="14.25" hidden="false" customHeight="false" outlineLevel="0" collapsed="false">
      <c r="B822" s="7" t="n">
        <v>41727</v>
      </c>
      <c r="C822" s="7" t="n">
        <f aca="false">B822-WEEKDAY(B822)+1</f>
        <v>41721</v>
      </c>
      <c r="D822" s="1" t="e">
        <f aca="false" t="array" ref="D822:D822">IF(ISBLANK(_xlfn.xlookup(D$3,daily_items,_xlfn.xlookup($C822,daily_dates,big_daily_table))),NA(),_xlfn.xlookup(D$3,daily_items,_xlfn.xlookup($C822,daily_dates,big_daily_table)))</f>
        <v>#NAME?</v>
      </c>
      <c r="E822" s="1" t="e">
        <f aca="false" t="array" ref="E822:E822">IF(ISBLANK(_xlfn.xlookup(E$3,daily_items,_xlfn.xlookup($C822,daily_dates,big_daily_table))),NA(),_xlfn.xlookup(E$3,daily_items,_xlfn.xlookup($C822,daily_dates,big_daily_table)))</f>
        <v>#NAME?</v>
      </c>
    </row>
    <row r="823" customFormat="false" ht="14.25" hidden="false" customHeight="false" outlineLevel="0" collapsed="false">
      <c r="B823" s="7" t="n">
        <v>41728</v>
      </c>
      <c r="C823" s="7" t="n">
        <f aca="false">B823-WEEKDAY(B823)+1</f>
        <v>41728</v>
      </c>
      <c r="D823" s="1" t="e">
        <f aca="false" t="array" ref="D823:D823">IF(ISBLANK(_xlfn.xlookup(D$3,daily_items,_xlfn.xlookup($C823,daily_dates,big_daily_table))),NA(),_xlfn.xlookup(D$3,daily_items,_xlfn.xlookup($C823,daily_dates,big_daily_table)))</f>
        <v>#NAME?</v>
      </c>
      <c r="E823" s="1" t="e">
        <f aca="false" t="array" ref="E823:E823">IF(ISBLANK(_xlfn.xlookup(E$3,daily_items,_xlfn.xlookup($C823,daily_dates,big_daily_table))),NA(),_xlfn.xlookup(E$3,daily_items,_xlfn.xlookup($C823,daily_dates,big_daily_table)))</f>
        <v>#NAME?</v>
      </c>
    </row>
    <row r="824" customFormat="false" ht="14.25" hidden="false" customHeight="false" outlineLevel="0" collapsed="false">
      <c r="B824" s="7" t="n">
        <v>41729</v>
      </c>
      <c r="C824" s="7" t="n">
        <f aca="false">B824-WEEKDAY(B824)+1</f>
        <v>41728</v>
      </c>
      <c r="D824" s="1" t="e">
        <f aca="false" t="array" ref="D824:D824">IF(ISBLANK(_xlfn.xlookup(D$3,daily_items,_xlfn.xlookup($C824,daily_dates,big_daily_table))),NA(),_xlfn.xlookup(D$3,daily_items,_xlfn.xlookup($C824,daily_dates,big_daily_table)))</f>
        <v>#NAME?</v>
      </c>
      <c r="E824" s="1" t="e">
        <f aca="false" t="array" ref="E824:E824">IF(ISBLANK(_xlfn.xlookup(E$3,daily_items,_xlfn.xlookup($C824,daily_dates,big_daily_table))),NA(),_xlfn.xlookup(E$3,daily_items,_xlfn.xlookup($C824,daily_dates,big_daily_table)))</f>
        <v>#NAME?</v>
      </c>
    </row>
    <row r="825" customFormat="false" ht="14.25" hidden="false" customHeight="false" outlineLevel="0" collapsed="false">
      <c r="B825" s="7" t="n">
        <v>41730</v>
      </c>
      <c r="C825" s="7" t="n">
        <f aca="false">B825-WEEKDAY(B825)+1</f>
        <v>41728</v>
      </c>
      <c r="D825" s="1" t="e">
        <f aca="false" t="array" ref="D825:D825">IF(ISBLANK(_xlfn.xlookup(D$3,daily_items,_xlfn.xlookup($C825,daily_dates,big_daily_table))),NA(),_xlfn.xlookup(D$3,daily_items,_xlfn.xlookup($C825,daily_dates,big_daily_table)))</f>
        <v>#NAME?</v>
      </c>
      <c r="E825" s="1" t="e">
        <f aca="false" t="array" ref="E825:E825">IF(ISBLANK(_xlfn.xlookup(E$3,daily_items,_xlfn.xlookup($C825,daily_dates,big_daily_table))),NA(),_xlfn.xlookup(E$3,daily_items,_xlfn.xlookup($C825,daily_dates,big_daily_table)))</f>
        <v>#NAME?</v>
      </c>
    </row>
    <row r="826" customFormat="false" ht="14.25" hidden="false" customHeight="false" outlineLevel="0" collapsed="false">
      <c r="B826" s="7" t="n">
        <v>41731</v>
      </c>
      <c r="C826" s="7" t="n">
        <f aca="false">B826-WEEKDAY(B826)+1</f>
        <v>41728</v>
      </c>
      <c r="D826" s="1" t="e">
        <f aca="false" t="array" ref="D826:D826">IF(ISBLANK(_xlfn.xlookup(D$3,daily_items,_xlfn.xlookup($C826,daily_dates,big_daily_table))),NA(),_xlfn.xlookup(D$3,daily_items,_xlfn.xlookup($C826,daily_dates,big_daily_table)))</f>
        <v>#NAME?</v>
      </c>
      <c r="E826" s="1" t="e">
        <f aca="false" t="array" ref="E826:E826">IF(ISBLANK(_xlfn.xlookup(E$3,daily_items,_xlfn.xlookup($C826,daily_dates,big_daily_table))),NA(),_xlfn.xlookup(E$3,daily_items,_xlfn.xlookup($C826,daily_dates,big_daily_table)))</f>
        <v>#NAME?</v>
      </c>
    </row>
    <row r="827" customFormat="false" ht="14.25" hidden="false" customHeight="false" outlineLevel="0" collapsed="false">
      <c r="B827" s="7" t="n">
        <v>41732</v>
      </c>
      <c r="C827" s="7" t="n">
        <f aca="false">B827-WEEKDAY(B827)+1</f>
        <v>41728</v>
      </c>
      <c r="D827" s="1" t="e">
        <f aca="false" t="array" ref="D827:D827">IF(ISBLANK(_xlfn.xlookup(D$3,daily_items,_xlfn.xlookup($C827,daily_dates,big_daily_table))),NA(),_xlfn.xlookup(D$3,daily_items,_xlfn.xlookup($C827,daily_dates,big_daily_table)))</f>
        <v>#NAME?</v>
      </c>
      <c r="E827" s="1" t="e">
        <f aca="false" t="array" ref="E827:E827">IF(ISBLANK(_xlfn.xlookup(E$3,daily_items,_xlfn.xlookup($C827,daily_dates,big_daily_table))),NA(),_xlfn.xlookup(E$3,daily_items,_xlfn.xlookup($C827,daily_dates,big_daily_table)))</f>
        <v>#NAME?</v>
      </c>
    </row>
    <row r="828" customFormat="false" ht="14.25" hidden="false" customHeight="false" outlineLevel="0" collapsed="false">
      <c r="B828" s="7" t="n">
        <v>41733</v>
      </c>
      <c r="C828" s="7" t="n">
        <f aca="false">B828-WEEKDAY(B828)+1</f>
        <v>41728</v>
      </c>
      <c r="D828" s="1" t="e">
        <f aca="false" t="array" ref="D828:D828">IF(ISBLANK(_xlfn.xlookup(D$3,daily_items,_xlfn.xlookup($C828,daily_dates,big_daily_table))),NA(),_xlfn.xlookup(D$3,daily_items,_xlfn.xlookup($C828,daily_dates,big_daily_table)))</f>
        <v>#NAME?</v>
      </c>
      <c r="E828" s="1" t="e">
        <f aca="false" t="array" ref="E828:E828">IF(ISBLANK(_xlfn.xlookup(E$3,daily_items,_xlfn.xlookup($C828,daily_dates,big_daily_table))),NA(),_xlfn.xlookup(E$3,daily_items,_xlfn.xlookup($C828,daily_dates,big_daily_table)))</f>
        <v>#NAME?</v>
      </c>
    </row>
    <row r="829" customFormat="false" ht="14.25" hidden="false" customHeight="false" outlineLevel="0" collapsed="false">
      <c r="B829" s="7" t="n">
        <v>41734</v>
      </c>
      <c r="C829" s="7" t="n">
        <f aca="false">B829-WEEKDAY(B829)+1</f>
        <v>41728</v>
      </c>
      <c r="D829" s="1" t="e">
        <f aca="false" t="array" ref="D829:D829">IF(ISBLANK(_xlfn.xlookup(D$3,daily_items,_xlfn.xlookup($C829,daily_dates,big_daily_table))),NA(),_xlfn.xlookup(D$3,daily_items,_xlfn.xlookup($C829,daily_dates,big_daily_table)))</f>
        <v>#NAME?</v>
      </c>
      <c r="E829" s="1" t="e">
        <f aca="false" t="array" ref="E829:E829">IF(ISBLANK(_xlfn.xlookup(E$3,daily_items,_xlfn.xlookup($C829,daily_dates,big_daily_table))),NA(),_xlfn.xlookup(E$3,daily_items,_xlfn.xlookup($C829,daily_dates,big_daily_table)))</f>
        <v>#NAME?</v>
      </c>
    </row>
    <row r="830" customFormat="false" ht="14.25" hidden="false" customHeight="false" outlineLevel="0" collapsed="false">
      <c r="B830" s="7" t="n">
        <v>41735</v>
      </c>
      <c r="C830" s="7" t="n">
        <f aca="false">B830-WEEKDAY(B830)+1</f>
        <v>41735</v>
      </c>
      <c r="D830" s="1" t="e">
        <f aca="false" t="array" ref="D830:D830">IF(ISBLANK(_xlfn.xlookup(D$3,daily_items,_xlfn.xlookup($C830,daily_dates,big_daily_table))),NA(),_xlfn.xlookup(D$3,daily_items,_xlfn.xlookup($C830,daily_dates,big_daily_table)))</f>
        <v>#NAME?</v>
      </c>
      <c r="E830" s="1" t="e">
        <f aca="false" t="array" ref="E830:E830">IF(ISBLANK(_xlfn.xlookup(E$3,daily_items,_xlfn.xlookup($C830,daily_dates,big_daily_table))),NA(),_xlfn.xlookup(E$3,daily_items,_xlfn.xlookup($C830,daily_dates,big_daily_table)))</f>
        <v>#NAME?</v>
      </c>
    </row>
    <row r="831" customFormat="false" ht="14.25" hidden="false" customHeight="false" outlineLevel="0" collapsed="false">
      <c r="B831" s="7" t="n">
        <v>41736</v>
      </c>
      <c r="C831" s="7" t="n">
        <f aca="false">B831-WEEKDAY(B831)+1</f>
        <v>41735</v>
      </c>
      <c r="D831" s="1" t="e">
        <f aca="false" t="array" ref="D831:D831">IF(ISBLANK(_xlfn.xlookup(D$3,daily_items,_xlfn.xlookup($C831,daily_dates,big_daily_table))),NA(),_xlfn.xlookup(D$3,daily_items,_xlfn.xlookup($C831,daily_dates,big_daily_table)))</f>
        <v>#NAME?</v>
      </c>
      <c r="E831" s="1" t="e">
        <f aca="false" t="array" ref="E831:E831">IF(ISBLANK(_xlfn.xlookup(E$3,daily_items,_xlfn.xlookup($C831,daily_dates,big_daily_table))),NA(),_xlfn.xlookup(E$3,daily_items,_xlfn.xlookup($C831,daily_dates,big_daily_table)))</f>
        <v>#NAME?</v>
      </c>
    </row>
    <row r="832" customFormat="false" ht="14.25" hidden="false" customHeight="false" outlineLevel="0" collapsed="false">
      <c r="B832" s="7" t="n">
        <v>41737</v>
      </c>
      <c r="C832" s="7" t="n">
        <f aca="false">B832-WEEKDAY(B832)+1</f>
        <v>41735</v>
      </c>
      <c r="D832" s="1" t="e">
        <f aca="false" t="array" ref="D832:D832">IF(ISBLANK(_xlfn.xlookup(D$3,daily_items,_xlfn.xlookup($C832,daily_dates,big_daily_table))),NA(),_xlfn.xlookup(D$3,daily_items,_xlfn.xlookup($C832,daily_dates,big_daily_table)))</f>
        <v>#NAME?</v>
      </c>
      <c r="E832" s="1" t="e">
        <f aca="false" t="array" ref="E832:E832">IF(ISBLANK(_xlfn.xlookup(E$3,daily_items,_xlfn.xlookup($C832,daily_dates,big_daily_table))),NA(),_xlfn.xlookup(E$3,daily_items,_xlfn.xlookup($C832,daily_dates,big_daily_table)))</f>
        <v>#NAME?</v>
      </c>
    </row>
    <row r="833" customFormat="false" ht="14.25" hidden="false" customHeight="false" outlineLevel="0" collapsed="false">
      <c r="B833" s="7" t="n">
        <v>41738</v>
      </c>
      <c r="C833" s="7" t="n">
        <f aca="false">B833-WEEKDAY(B833)+1</f>
        <v>41735</v>
      </c>
      <c r="D833" s="1" t="e">
        <f aca="false" t="array" ref="D833:D833">IF(ISBLANK(_xlfn.xlookup(D$3,daily_items,_xlfn.xlookup($C833,daily_dates,big_daily_table))),NA(),_xlfn.xlookup(D$3,daily_items,_xlfn.xlookup($C833,daily_dates,big_daily_table)))</f>
        <v>#NAME?</v>
      </c>
      <c r="E833" s="1" t="e">
        <f aca="false" t="array" ref="E833:E833">IF(ISBLANK(_xlfn.xlookup(E$3,daily_items,_xlfn.xlookup($C833,daily_dates,big_daily_table))),NA(),_xlfn.xlookup(E$3,daily_items,_xlfn.xlookup($C833,daily_dates,big_daily_table)))</f>
        <v>#NAME?</v>
      </c>
    </row>
    <row r="834" customFormat="false" ht="14.25" hidden="false" customHeight="false" outlineLevel="0" collapsed="false">
      <c r="B834" s="7" t="n">
        <v>41739</v>
      </c>
      <c r="C834" s="7" t="n">
        <f aca="false">B834-WEEKDAY(B834)+1</f>
        <v>41735</v>
      </c>
      <c r="D834" s="1" t="e">
        <f aca="false" t="array" ref="D834:D834">IF(ISBLANK(_xlfn.xlookup(D$3,daily_items,_xlfn.xlookup($C834,daily_dates,big_daily_table))),NA(),_xlfn.xlookup(D$3,daily_items,_xlfn.xlookup($C834,daily_dates,big_daily_table)))</f>
        <v>#NAME?</v>
      </c>
      <c r="E834" s="1" t="e">
        <f aca="false" t="array" ref="E834:E834">IF(ISBLANK(_xlfn.xlookup(E$3,daily_items,_xlfn.xlookup($C834,daily_dates,big_daily_table))),NA(),_xlfn.xlookup(E$3,daily_items,_xlfn.xlookup($C834,daily_dates,big_daily_table)))</f>
        <v>#NAME?</v>
      </c>
    </row>
    <row r="835" customFormat="false" ht="14.25" hidden="false" customHeight="false" outlineLevel="0" collapsed="false">
      <c r="B835" s="7" t="n">
        <v>41740</v>
      </c>
      <c r="C835" s="7" t="n">
        <f aca="false">B835-WEEKDAY(B835)+1</f>
        <v>41735</v>
      </c>
      <c r="D835" s="1" t="e">
        <f aca="false" t="array" ref="D835:D835">IF(ISBLANK(_xlfn.xlookup(D$3,daily_items,_xlfn.xlookup($C835,daily_dates,big_daily_table))),NA(),_xlfn.xlookup(D$3,daily_items,_xlfn.xlookup($C835,daily_dates,big_daily_table)))</f>
        <v>#NAME?</v>
      </c>
      <c r="E835" s="1" t="e">
        <f aca="false" t="array" ref="E835:E835">IF(ISBLANK(_xlfn.xlookup(E$3,daily_items,_xlfn.xlookup($C835,daily_dates,big_daily_table))),NA(),_xlfn.xlookup(E$3,daily_items,_xlfn.xlookup($C835,daily_dates,big_daily_table)))</f>
        <v>#NAME?</v>
      </c>
    </row>
    <row r="836" customFormat="false" ht="14.25" hidden="false" customHeight="false" outlineLevel="0" collapsed="false">
      <c r="B836" s="7" t="n">
        <v>41741</v>
      </c>
      <c r="C836" s="7" t="n">
        <f aca="false">B836-WEEKDAY(B836)+1</f>
        <v>41735</v>
      </c>
      <c r="D836" s="1" t="e">
        <f aca="false" t="array" ref="D836:D836">IF(ISBLANK(_xlfn.xlookup(D$3,daily_items,_xlfn.xlookup($C836,daily_dates,big_daily_table))),NA(),_xlfn.xlookup(D$3,daily_items,_xlfn.xlookup($C836,daily_dates,big_daily_table)))</f>
        <v>#NAME?</v>
      </c>
      <c r="E836" s="1" t="e">
        <f aca="false" t="array" ref="E836:E836">IF(ISBLANK(_xlfn.xlookup(E$3,daily_items,_xlfn.xlookup($C836,daily_dates,big_daily_table))),NA(),_xlfn.xlookup(E$3,daily_items,_xlfn.xlookup($C836,daily_dates,big_daily_table)))</f>
        <v>#NAME?</v>
      </c>
    </row>
    <row r="837" customFormat="false" ht="14.25" hidden="false" customHeight="false" outlineLevel="0" collapsed="false">
      <c r="B837" s="7" t="n">
        <v>41742</v>
      </c>
      <c r="C837" s="7" t="n">
        <f aca="false">B837-WEEKDAY(B837)+1</f>
        <v>41742</v>
      </c>
      <c r="D837" s="1" t="e">
        <f aca="false" t="array" ref="D837:D837">IF(ISBLANK(_xlfn.xlookup(D$3,daily_items,_xlfn.xlookup($C837,daily_dates,big_daily_table))),NA(),_xlfn.xlookup(D$3,daily_items,_xlfn.xlookup($C837,daily_dates,big_daily_table)))</f>
        <v>#NAME?</v>
      </c>
      <c r="E837" s="1" t="e">
        <f aca="false" t="array" ref="E837:E837">IF(ISBLANK(_xlfn.xlookup(E$3,daily_items,_xlfn.xlookup($C837,daily_dates,big_daily_table))),NA(),_xlfn.xlookup(E$3,daily_items,_xlfn.xlookup($C837,daily_dates,big_daily_table)))</f>
        <v>#NAME?</v>
      </c>
    </row>
    <row r="838" customFormat="false" ht="14.25" hidden="false" customHeight="false" outlineLevel="0" collapsed="false">
      <c r="B838" s="7" t="n">
        <v>41743</v>
      </c>
      <c r="C838" s="7" t="n">
        <f aca="false">B838-WEEKDAY(B838)+1</f>
        <v>41742</v>
      </c>
      <c r="D838" s="1" t="e">
        <f aca="false" t="array" ref="D838:D838">IF(ISBLANK(_xlfn.xlookup(D$3,daily_items,_xlfn.xlookup($C838,daily_dates,big_daily_table))),NA(),_xlfn.xlookup(D$3,daily_items,_xlfn.xlookup($C838,daily_dates,big_daily_table)))</f>
        <v>#NAME?</v>
      </c>
      <c r="E838" s="1" t="e">
        <f aca="false" t="array" ref="E838:E838">IF(ISBLANK(_xlfn.xlookup(E$3,daily_items,_xlfn.xlookup($C838,daily_dates,big_daily_table))),NA(),_xlfn.xlookup(E$3,daily_items,_xlfn.xlookup($C838,daily_dates,big_daily_table)))</f>
        <v>#NAME?</v>
      </c>
    </row>
    <row r="839" customFormat="false" ht="14.25" hidden="false" customHeight="false" outlineLevel="0" collapsed="false">
      <c r="B839" s="7" t="n">
        <v>41744</v>
      </c>
      <c r="C839" s="7" t="n">
        <f aca="false">B839-WEEKDAY(B839)+1</f>
        <v>41742</v>
      </c>
      <c r="D839" s="1" t="e">
        <f aca="false" t="array" ref="D839:D839">IF(ISBLANK(_xlfn.xlookup(D$3,daily_items,_xlfn.xlookup($C839,daily_dates,big_daily_table))),NA(),_xlfn.xlookup(D$3,daily_items,_xlfn.xlookup($C839,daily_dates,big_daily_table)))</f>
        <v>#NAME?</v>
      </c>
      <c r="E839" s="1" t="e">
        <f aca="false" t="array" ref="E839:E839">IF(ISBLANK(_xlfn.xlookup(E$3,daily_items,_xlfn.xlookup($C839,daily_dates,big_daily_table))),NA(),_xlfn.xlookup(E$3,daily_items,_xlfn.xlookup($C839,daily_dates,big_daily_table)))</f>
        <v>#NAME?</v>
      </c>
    </row>
    <row r="840" customFormat="false" ht="14.25" hidden="false" customHeight="false" outlineLevel="0" collapsed="false">
      <c r="B840" s="7" t="n">
        <v>41745</v>
      </c>
      <c r="C840" s="7" t="n">
        <f aca="false">B840-WEEKDAY(B840)+1</f>
        <v>41742</v>
      </c>
      <c r="D840" s="1" t="e">
        <f aca="false" t="array" ref="D840:D840">IF(ISBLANK(_xlfn.xlookup(D$3,daily_items,_xlfn.xlookup($C840,daily_dates,big_daily_table))),NA(),_xlfn.xlookup(D$3,daily_items,_xlfn.xlookup($C840,daily_dates,big_daily_table)))</f>
        <v>#NAME?</v>
      </c>
      <c r="E840" s="1" t="e">
        <f aca="false" t="array" ref="E840:E840">IF(ISBLANK(_xlfn.xlookup(E$3,daily_items,_xlfn.xlookup($C840,daily_dates,big_daily_table))),NA(),_xlfn.xlookup(E$3,daily_items,_xlfn.xlookup($C840,daily_dates,big_daily_table)))</f>
        <v>#NAME?</v>
      </c>
    </row>
    <row r="841" customFormat="false" ht="14.25" hidden="false" customHeight="false" outlineLevel="0" collapsed="false">
      <c r="B841" s="7" t="n">
        <v>41746</v>
      </c>
      <c r="C841" s="7" t="n">
        <f aca="false">B841-WEEKDAY(B841)+1</f>
        <v>41742</v>
      </c>
      <c r="D841" s="1" t="e">
        <f aca="false" t="array" ref="D841:D841">IF(ISBLANK(_xlfn.xlookup(D$3,daily_items,_xlfn.xlookup($C841,daily_dates,big_daily_table))),NA(),_xlfn.xlookup(D$3,daily_items,_xlfn.xlookup($C841,daily_dates,big_daily_table)))</f>
        <v>#NAME?</v>
      </c>
      <c r="E841" s="1" t="e">
        <f aca="false" t="array" ref="E841:E841">IF(ISBLANK(_xlfn.xlookup(E$3,daily_items,_xlfn.xlookup($C841,daily_dates,big_daily_table))),NA(),_xlfn.xlookup(E$3,daily_items,_xlfn.xlookup($C841,daily_dates,big_daily_table)))</f>
        <v>#NAME?</v>
      </c>
    </row>
    <row r="842" customFormat="false" ht="14.25" hidden="false" customHeight="false" outlineLevel="0" collapsed="false">
      <c r="B842" s="7" t="n">
        <v>41747</v>
      </c>
      <c r="C842" s="7" t="n">
        <f aca="false">B842-WEEKDAY(B842)+1</f>
        <v>41742</v>
      </c>
      <c r="D842" s="1" t="e">
        <f aca="false" t="array" ref="D842:D842">IF(ISBLANK(_xlfn.xlookup(D$3,daily_items,_xlfn.xlookup($C842,daily_dates,big_daily_table))),NA(),_xlfn.xlookup(D$3,daily_items,_xlfn.xlookup($C842,daily_dates,big_daily_table)))</f>
        <v>#NAME?</v>
      </c>
      <c r="E842" s="1" t="e">
        <f aca="false" t="array" ref="E842:E842">IF(ISBLANK(_xlfn.xlookup(E$3,daily_items,_xlfn.xlookup($C842,daily_dates,big_daily_table))),NA(),_xlfn.xlookup(E$3,daily_items,_xlfn.xlookup($C842,daily_dates,big_daily_table)))</f>
        <v>#NAME?</v>
      </c>
    </row>
    <row r="843" customFormat="false" ht="14.25" hidden="false" customHeight="false" outlineLevel="0" collapsed="false">
      <c r="B843" s="7" t="n">
        <v>41748</v>
      </c>
      <c r="C843" s="7" t="n">
        <f aca="false">B843-WEEKDAY(B843)+1</f>
        <v>41742</v>
      </c>
      <c r="D843" s="1" t="e">
        <f aca="false" t="array" ref="D843:D843">IF(ISBLANK(_xlfn.xlookup(D$3,daily_items,_xlfn.xlookup($C843,daily_dates,big_daily_table))),NA(),_xlfn.xlookup(D$3,daily_items,_xlfn.xlookup($C843,daily_dates,big_daily_table)))</f>
        <v>#NAME?</v>
      </c>
      <c r="E843" s="1" t="e">
        <f aca="false" t="array" ref="E843:E843">IF(ISBLANK(_xlfn.xlookup(E$3,daily_items,_xlfn.xlookup($C843,daily_dates,big_daily_table))),NA(),_xlfn.xlookup(E$3,daily_items,_xlfn.xlookup($C843,daily_dates,big_daily_table)))</f>
        <v>#NAME?</v>
      </c>
    </row>
    <row r="844" customFormat="false" ht="14.25" hidden="false" customHeight="false" outlineLevel="0" collapsed="false">
      <c r="B844" s="7" t="n">
        <v>41749</v>
      </c>
      <c r="C844" s="7" t="n">
        <f aca="false">B844-WEEKDAY(B844)+1</f>
        <v>41749</v>
      </c>
      <c r="D844" s="1" t="e">
        <f aca="false" t="array" ref="D844:D844">IF(ISBLANK(_xlfn.xlookup(D$3,daily_items,_xlfn.xlookup($C844,daily_dates,big_daily_table))),NA(),_xlfn.xlookup(D$3,daily_items,_xlfn.xlookup($C844,daily_dates,big_daily_table)))</f>
        <v>#NAME?</v>
      </c>
      <c r="E844" s="1" t="e">
        <f aca="false" t="array" ref="E844:E844">IF(ISBLANK(_xlfn.xlookup(E$3,daily_items,_xlfn.xlookup($C844,daily_dates,big_daily_table))),NA(),_xlfn.xlookup(E$3,daily_items,_xlfn.xlookup($C844,daily_dates,big_daily_table)))</f>
        <v>#NAME?</v>
      </c>
    </row>
    <row r="845" customFormat="false" ht="14.25" hidden="false" customHeight="false" outlineLevel="0" collapsed="false">
      <c r="B845" s="7" t="n">
        <v>41750</v>
      </c>
      <c r="C845" s="7" t="n">
        <f aca="false">B845-WEEKDAY(B845)+1</f>
        <v>41749</v>
      </c>
      <c r="D845" s="1" t="e">
        <f aca="false" t="array" ref="D845:D845">IF(ISBLANK(_xlfn.xlookup(D$3,daily_items,_xlfn.xlookup($C845,daily_dates,big_daily_table))),NA(),_xlfn.xlookup(D$3,daily_items,_xlfn.xlookup($C845,daily_dates,big_daily_table)))</f>
        <v>#NAME?</v>
      </c>
      <c r="E845" s="1" t="e">
        <f aca="false" t="array" ref="E845:E845">IF(ISBLANK(_xlfn.xlookup(E$3,daily_items,_xlfn.xlookup($C845,daily_dates,big_daily_table))),NA(),_xlfn.xlookup(E$3,daily_items,_xlfn.xlookup($C845,daily_dates,big_daily_table)))</f>
        <v>#NAME?</v>
      </c>
    </row>
    <row r="846" customFormat="false" ht="14.25" hidden="false" customHeight="false" outlineLevel="0" collapsed="false">
      <c r="B846" s="7" t="n">
        <v>41751</v>
      </c>
      <c r="C846" s="7" t="n">
        <f aca="false">B846-WEEKDAY(B846)+1</f>
        <v>41749</v>
      </c>
      <c r="D846" s="1" t="e">
        <f aca="false" t="array" ref="D846:D846">IF(ISBLANK(_xlfn.xlookup(D$3,daily_items,_xlfn.xlookup($C846,daily_dates,big_daily_table))),NA(),_xlfn.xlookup(D$3,daily_items,_xlfn.xlookup($C846,daily_dates,big_daily_table)))</f>
        <v>#NAME?</v>
      </c>
      <c r="E846" s="1" t="e">
        <f aca="false" t="array" ref="E846:E846">IF(ISBLANK(_xlfn.xlookup(E$3,daily_items,_xlfn.xlookup($C846,daily_dates,big_daily_table))),NA(),_xlfn.xlookup(E$3,daily_items,_xlfn.xlookup($C846,daily_dates,big_daily_table)))</f>
        <v>#NAME?</v>
      </c>
    </row>
    <row r="847" customFormat="false" ht="14.25" hidden="false" customHeight="false" outlineLevel="0" collapsed="false">
      <c r="B847" s="7" t="n">
        <v>41752</v>
      </c>
      <c r="C847" s="7" t="n">
        <f aca="false">B847-WEEKDAY(B847)+1</f>
        <v>41749</v>
      </c>
      <c r="D847" s="1" t="e">
        <f aca="false" t="array" ref="D847:D847">IF(ISBLANK(_xlfn.xlookup(D$3,daily_items,_xlfn.xlookup($C847,daily_dates,big_daily_table))),NA(),_xlfn.xlookup(D$3,daily_items,_xlfn.xlookup($C847,daily_dates,big_daily_table)))</f>
        <v>#NAME?</v>
      </c>
      <c r="E847" s="1" t="e">
        <f aca="false" t="array" ref="E847:E847">IF(ISBLANK(_xlfn.xlookup(E$3,daily_items,_xlfn.xlookup($C847,daily_dates,big_daily_table))),NA(),_xlfn.xlookup(E$3,daily_items,_xlfn.xlookup($C847,daily_dates,big_daily_table)))</f>
        <v>#NAME?</v>
      </c>
    </row>
    <row r="848" customFormat="false" ht="14.25" hidden="false" customHeight="false" outlineLevel="0" collapsed="false">
      <c r="B848" s="7" t="n">
        <v>41753</v>
      </c>
      <c r="C848" s="7" t="n">
        <f aca="false">B848-WEEKDAY(B848)+1</f>
        <v>41749</v>
      </c>
      <c r="D848" s="1" t="e">
        <f aca="false" t="array" ref="D848:D848">IF(ISBLANK(_xlfn.xlookup(D$3,daily_items,_xlfn.xlookup($C848,daily_dates,big_daily_table))),NA(),_xlfn.xlookup(D$3,daily_items,_xlfn.xlookup($C848,daily_dates,big_daily_table)))</f>
        <v>#NAME?</v>
      </c>
      <c r="E848" s="1" t="e">
        <f aca="false" t="array" ref="E848:E848">IF(ISBLANK(_xlfn.xlookup(E$3,daily_items,_xlfn.xlookup($C848,daily_dates,big_daily_table))),NA(),_xlfn.xlookup(E$3,daily_items,_xlfn.xlookup($C848,daily_dates,big_daily_table)))</f>
        <v>#NAME?</v>
      </c>
    </row>
    <row r="849" customFormat="false" ht="14.25" hidden="false" customHeight="false" outlineLevel="0" collapsed="false">
      <c r="B849" s="7" t="n">
        <v>41754</v>
      </c>
      <c r="C849" s="7" t="n">
        <f aca="false">B849-WEEKDAY(B849)+1</f>
        <v>41749</v>
      </c>
      <c r="D849" s="1" t="e">
        <f aca="false" t="array" ref="D849:D849">IF(ISBLANK(_xlfn.xlookup(D$3,daily_items,_xlfn.xlookup($C849,daily_dates,big_daily_table))),NA(),_xlfn.xlookup(D$3,daily_items,_xlfn.xlookup($C849,daily_dates,big_daily_table)))</f>
        <v>#NAME?</v>
      </c>
      <c r="E849" s="1" t="e">
        <f aca="false" t="array" ref="E849:E849">IF(ISBLANK(_xlfn.xlookup(E$3,daily_items,_xlfn.xlookup($C849,daily_dates,big_daily_table))),NA(),_xlfn.xlookup(E$3,daily_items,_xlfn.xlookup($C849,daily_dates,big_daily_table)))</f>
        <v>#NAME?</v>
      </c>
    </row>
    <row r="850" customFormat="false" ht="14.25" hidden="false" customHeight="false" outlineLevel="0" collapsed="false">
      <c r="B850" s="7" t="n">
        <v>41755</v>
      </c>
      <c r="C850" s="7" t="n">
        <f aca="false">B850-WEEKDAY(B850)+1</f>
        <v>41749</v>
      </c>
      <c r="D850" s="1" t="e">
        <f aca="false" t="array" ref="D850:D850">IF(ISBLANK(_xlfn.xlookup(D$3,daily_items,_xlfn.xlookup($C850,daily_dates,big_daily_table))),NA(),_xlfn.xlookup(D$3,daily_items,_xlfn.xlookup($C850,daily_dates,big_daily_table)))</f>
        <v>#NAME?</v>
      </c>
      <c r="E850" s="1" t="e">
        <f aca="false" t="array" ref="E850:E850">IF(ISBLANK(_xlfn.xlookup(E$3,daily_items,_xlfn.xlookup($C850,daily_dates,big_daily_table))),NA(),_xlfn.xlookup(E$3,daily_items,_xlfn.xlookup($C850,daily_dates,big_daily_table)))</f>
        <v>#NAME?</v>
      </c>
    </row>
    <row r="851" customFormat="false" ht="14.25" hidden="false" customHeight="false" outlineLevel="0" collapsed="false">
      <c r="B851" s="7" t="n">
        <v>41756</v>
      </c>
      <c r="C851" s="7" t="n">
        <f aca="false">B851-WEEKDAY(B851)+1</f>
        <v>41756</v>
      </c>
      <c r="D851" s="1" t="e">
        <f aca="false" t="array" ref="D851:D851">IF(ISBLANK(_xlfn.xlookup(D$3,daily_items,_xlfn.xlookup($C851,daily_dates,big_daily_table))),NA(),_xlfn.xlookup(D$3,daily_items,_xlfn.xlookup($C851,daily_dates,big_daily_table)))</f>
        <v>#NAME?</v>
      </c>
      <c r="E851" s="1" t="e">
        <f aca="false" t="array" ref="E851:E851">IF(ISBLANK(_xlfn.xlookup(E$3,daily_items,_xlfn.xlookup($C851,daily_dates,big_daily_table))),NA(),_xlfn.xlookup(E$3,daily_items,_xlfn.xlookup($C851,daily_dates,big_daily_table)))</f>
        <v>#NAME?</v>
      </c>
    </row>
    <row r="852" customFormat="false" ht="14.25" hidden="false" customHeight="false" outlineLevel="0" collapsed="false">
      <c r="B852" s="7" t="n">
        <v>41757</v>
      </c>
      <c r="C852" s="7" t="n">
        <f aca="false">B852-WEEKDAY(B852)+1</f>
        <v>41756</v>
      </c>
      <c r="D852" s="1" t="e">
        <f aca="false" t="array" ref="D852:D852">IF(ISBLANK(_xlfn.xlookup(D$3,daily_items,_xlfn.xlookup($C852,daily_dates,big_daily_table))),NA(),_xlfn.xlookup(D$3,daily_items,_xlfn.xlookup($C852,daily_dates,big_daily_table)))</f>
        <v>#NAME?</v>
      </c>
      <c r="E852" s="1" t="e">
        <f aca="false" t="array" ref="E852:E852">IF(ISBLANK(_xlfn.xlookup(E$3,daily_items,_xlfn.xlookup($C852,daily_dates,big_daily_table))),NA(),_xlfn.xlookup(E$3,daily_items,_xlfn.xlookup($C852,daily_dates,big_daily_table)))</f>
        <v>#NAME?</v>
      </c>
    </row>
    <row r="853" customFormat="false" ht="14.25" hidden="false" customHeight="false" outlineLevel="0" collapsed="false">
      <c r="B853" s="7" t="n">
        <v>41758</v>
      </c>
      <c r="C853" s="7" t="n">
        <f aca="false">B853-WEEKDAY(B853)+1</f>
        <v>41756</v>
      </c>
      <c r="D853" s="1" t="e">
        <f aca="false" t="array" ref="D853:D853">IF(ISBLANK(_xlfn.xlookup(D$3,daily_items,_xlfn.xlookup($C853,daily_dates,big_daily_table))),NA(),_xlfn.xlookup(D$3,daily_items,_xlfn.xlookup($C853,daily_dates,big_daily_table)))</f>
        <v>#NAME?</v>
      </c>
      <c r="E853" s="1" t="e">
        <f aca="false" t="array" ref="E853:E853">IF(ISBLANK(_xlfn.xlookup(E$3,daily_items,_xlfn.xlookup($C853,daily_dates,big_daily_table))),NA(),_xlfn.xlookup(E$3,daily_items,_xlfn.xlookup($C853,daily_dates,big_daily_table)))</f>
        <v>#NAME?</v>
      </c>
    </row>
    <row r="854" customFormat="false" ht="14.25" hidden="false" customHeight="false" outlineLevel="0" collapsed="false">
      <c r="B854" s="7" t="n">
        <v>41759</v>
      </c>
      <c r="C854" s="7" t="n">
        <f aca="false">B854-WEEKDAY(B854)+1</f>
        <v>41756</v>
      </c>
      <c r="D854" s="1" t="e">
        <f aca="false" t="array" ref="D854:D854">IF(ISBLANK(_xlfn.xlookup(D$3,daily_items,_xlfn.xlookup($C854,daily_dates,big_daily_table))),NA(),_xlfn.xlookup(D$3,daily_items,_xlfn.xlookup($C854,daily_dates,big_daily_table)))</f>
        <v>#NAME?</v>
      </c>
      <c r="E854" s="1" t="e">
        <f aca="false" t="array" ref="E854:E854">IF(ISBLANK(_xlfn.xlookup(E$3,daily_items,_xlfn.xlookup($C854,daily_dates,big_daily_table))),NA(),_xlfn.xlookup(E$3,daily_items,_xlfn.xlookup($C854,daily_dates,big_daily_table)))</f>
        <v>#NAME?</v>
      </c>
    </row>
    <row r="855" customFormat="false" ht="14.25" hidden="false" customHeight="false" outlineLevel="0" collapsed="false">
      <c r="B855" s="7" t="n">
        <v>41760</v>
      </c>
      <c r="C855" s="7" t="n">
        <f aca="false">B855-WEEKDAY(B855)+1</f>
        <v>41756</v>
      </c>
      <c r="D855" s="1" t="e">
        <f aca="false" t="array" ref="D855:D855">IF(ISBLANK(_xlfn.xlookup(D$3,daily_items,_xlfn.xlookup($C855,daily_dates,big_daily_table))),NA(),_xlfn.xlookup(D$3,daily_items,_xlfn.xlookup($C855,daily_dates,big_daily_table)))</f>
        <v>#NAME?</v>
      </c>
      <c r="E855" s="1" t="e">
        <f aca="false" t="array" ref="E855:E855">IF(ISBLANK(_xlfn.xlookup(E$3,daily_items,_xlfn.xlookup($C855,daily_dates,big_daily_table))),NA(),_xlfn.xlookup(E$3,daily_items,_xlfn.xlookup($C855,daily_dates,big_daily_table)))</f>
        <v>#NAME?</v>
      </c>
    </row>
    <row r="856" customFormat="false" ht="14.25" hidden="false" customHeight="false" outlineLevel="0" collapsed="false">
      <c r="B856" s="7" t="n">
        <v>41761</v>
      </c>
      <c r="C856" s="7" t="n">
        <f aca="false">B856-WEEKDAY(B856)+1</f>
        <v>41756</v>
      </c>
      <c r="D856" s="1" t="e">
        <f aca="false" t="array" ref="D856:D856">IF(ISBLANK(_xlfn.xlookup(D$3,daily_items,_xlfn.xlookup($C856,daily_dates,big_daily_table))),NA(),_xlfn.xlookup(D$3,daily_items,_xlfn.xlookup($C856,daily_dates,big_daily_table)))</f>
        <v>#NAME?</v>
      </c>
      <c r="E856" s="1" t="e">
        <f aca="false" t="array" ref="E856:E856">IF(ISBLANK(_xlfn.xlookup(E$3,daily_items,_xlfn.xlookup($C856,daily_dates,big_daily_table))),NA(),_xlfn.xlookup(E$3,daily_items,_xlfn.xlookup($C856,daily_dates,big_daily_table)))</f>
        <v>#NAME?</v>
      </c>
    </row>
    <row r="857" customFormat="false" ht="14.25" hidden="false" customHeight="false" outlineLevel="0" collapsed="false">
      <c r="B857" s="7" t="n">
        <v>41762</v>
      </c>
      <c r="C857" s="7" t="n">
        <f aca="false">B857-WEEKDAY(B857)+1</f>
        <v>41756</v>
      </c>
      <c r="D857" s="1" t="e">
        <f aca="false" t="array" ref="D857:D857">IF(ISBLANK(_xlfn.xlookup(D$3,daily_items,_xlfn.xlookup($C857,daily_dates,big_daily_table))),NA(),_xlfn.xlookup(D$3,daily_items,_xlfn.xlookup($C857,daily_dates,big_daily_table)))</f>
        <v>#NAME?</v>
      </c>
      <c r="E857" s="1" t="e">
        <f aca="false" t="array" ref="E857:E857">IF(ISBLANK(_xlfn.xlookup(E$3,daily_items,_xlfn.xlookup($C857,daily_dates,big_daily_table))),NA(),_xlfn.xlookup(E$3,daily_items,_xlfn.xlookup($C857,daily_dates,big_daily_table)))</f>
        <v>#NAME?</v>
      </c>
    </row>
    <row r="858" customFormat="false" ht="14.25" hidden="false" customHeight="false" outlineLevel="0" collapsed="false">
      <c r="B858" s="7" t="n">
        <v>41763</v>
      </c>
      <c r="C858" s="7" t="n">
        <f aca="false">B858-WEEKDAY(B858)+1</f>
        <v>41763</v>
      </c>
      <c r="D858" s="1" t="e">
        <f aca="false" t="array" ref="D858:D858">IF(ISBLANK(_xlfn.xlookup(D$3,daily_items,_xlfn.xlookup($C858,daily_dates,big_daily_table))),NA(),_xlfn.xlookup(D$3,daily_items,_xlfn.xlookup($C858,daily_dates,big_daily_table)))</f>
        <v>#NAME?</v>
      </c>
      <c r="E858" s="1" t="e">
        <f aca="false" t="array" ref="E858:E858">IF(ISBLANK(_xlfn.xlookup(E$3,daily_items,_xlfn.xlookup($C858,daily_dates,big_daily_table))),NA(),_xlfn.xlookup(E$3,daily_items,_xlfn.xlookup($C858,daily_dates,big_daily_table)))</f>
        <v>#NAME?</v>
      </c>
    </row>
    <row r="859" customFormat="false" ht="14.25" hidden="false" customHeight="false" outlineLevel="0" collapsed="false">
      <c r="B859" s="7" t="n">
        <v>41764</v>
      </c>
      <c r="C859" s="7" t="n">
        <f aca="false">B859-WEEKDAY(B859)+1</f>
        <v>41763</v>
      </c>
      <c r="D859" s="1" t="e">
        <f aca="false" t="array" ref="D859:D859">IF(ISBLANK(_xlfn.xlookup(D$3,daily_items,_xlfn.xlookup($C859,daily_dates,big_daily_table))),NA(),_xlfn.xlookup(D$3,daily_items,_xlfn.xlookup($C859,daily_dates,big_daily_table)))</f>
        <v>#NAME?</v>
      </c>
      <c r="E859" s="1" t="e">
        <f aca="false" t="array" ref="E859:E859">IF(ISBLANK(_xlfn.xlookup(E$3,daily_items,_xlfn.xlookup($C859,daily_dates,big_daily_table))),NA(),_xlfn.xlookup(E$3,daily_items,_xlfn.xlookup($C859,daily_dates,big_daily_table)))</f>
        <v>#NAME?</v>
      </c>
    </row>
    <row r="860" customFormat="false" ht="14.25" hidden="false" customHeight="false" outlineLevel="0" collapsed="false">
      <c r="B860" s="7" t="n">
        <v>41765</v>
      </c>
      <c r="C860" s="7" t="n">
        <f aca="false">B860-WEEKDAY(B860)+1</f>
        <v>41763</v>
      </c>
      <c r="D860" s="1" t="e">
        <f aca="false" t="array" ref="D860:D860">IF(ISBLANK(_xlfn.xlookup(D$3,daily_items,_xlfn.xlookup($C860,daily_dates,big_daily_table))),NA(),_xlfn.xlookup(D$3,daily_items,_xlfn.xlookup($C860,daily_dates,big_daily_table)))</f>
        <v>#NAME?</v>
      </c>
      <c r="E860" s="1" t="e">
        <f aca="false" t="array" ref="E860:E860">IF(ISBLANK(_xlfn.xlookup(E$3,daily_items,_xlfn.xlookup($C860,daily_dates,big_daily_table))),NA(),_xlfn.xlookup(E$3,daily_items,_xlfn.xlookup($C860,daily_dates,big_daily_table)))</f>
        <v>#NAME?</v>
      </c>
    </row>
    <row r="861" customFormat="false" ht="14.25" hidden="false" customHeight="false" outlineLevel="0" collapsed="false">
      <c r="B861" s="7" t="n">
        <v>41766</v>
      </c>
      <c r="C861" s="7" t="n">
        <f aca="false">B861-WEEKDAY(B861)+1</f>
        <v>41763</v>
      </c>
      <c r="D861" s="1" t="e">
        <f aca="false" t="array" ref="D861:D861">IF(ISBLANK(_xlfn.xlookup(D$3,daily_items,_xlfn.xlookup($C861,daily_dates,big_daily_table))),NA(),_xlfn.xlookup(D$3,daily_items,_xlfn.xlookup($C861,daily_dates,big_daily_table)))</f>
        <v>#NAME?</v>
      </c>
      <c r="E861" s="1" t="e">
        <f aca="false" t="array" ref="E861:E861">IF(ISBLANK(_xlfn.xlookup(E$3,daily_items,_xlfn.xlookup($C861,daily_dates,big_daily_table))),NA(),_xlfn.xlookup(E$3,daily_items,_xlfn.xlookup($C861,daily_dates,big_daily_table)))</f>
        <v>#NAME?</v>
      </c>
    </row>
    <row r="862" customFormat="false" ht="14.25" hidden="false" customHeight="false" outlineLevel="0" collapsed="false">
      <c r="B862" s="7" t="n">
        <v>41767</v>
      </c>
      <c r="C862" s="7" t="n">
        <f aca="false">B862-WEEKDAY(B862)+1</f>
        <v>41763</v>
      </c>
      <c r="D862" s="1" t="e">
        <f aca="false" t="array" ref="D862:D862">IF(ISBLANK(_xlfn.xlookup(D$3,daily_items,_xlfn.xlookup($C862,daily_dates,big_daily_table))),NA(),_xlfn.xlookup(D$3,daily_items,_xlfn.xlookup($C862,daily_dates,big_daily_table)))</f>
        <v>#NAME?</v>
      </c>
      <c r="E862" s="1" t="e">
        <f aca="false" t="array" ref="E862:E862">IF(ISBLANK(_xlfn.xlookup(E$3,daily_items,_xlfn.xlookup($C862,daily_dates,big_daily_table))),NA(),_xlfn.xlookup(E$3,daily_items,_xlfn.xlookup($C862,daily_dates,big_daily_table)))</f>
        <v>#NAME?</v>
      </c>
    </row>
    <row r="863" customFormat="false" ht="14.25" hidden="false" customHeight="false" outlineLevel="0" collapsed="false">
      <c r="B863" s="7" t="n">
        <v>41768</v>
      </c>
      <c r="C863" s="7" t="n">
        <f aca="false">B863-WEEKDAY(B863)+1</f>
        <v>41763</v>
      </c>
      <c r="D863" s="1" t="e">
        <f aca="false" t="array" ref="D863:D863">IF(ISBLANK(_xlfn.xlookup(D$3,daily_items,_xlfn.xlookup($C863,daily_dates,big_daily_table))),NA(),_xlfn.xlookup(D$3,daily_items,_xlfn.xlookup($C863,daily_dates,big_daily_table)))</f>
        <v>#NAME?</v>
      </c>
      <c r="E863" s="1" t="e">
        <f aca="false" t="array" ref="E863:E863">IF(ISBLANK(_xlfn.xlookup(E$3,daily_items,_xlfn.xlookup($C863,daily_dates,big_daily_table))),NA(),_xlfn.xlookup(E$3,daily_items,_xlfn.xlookup($C863,daily_dates,big_daily_table)))</f>
        <v>#NAME?</v>
      </c>
    </row>
    <row r="864" customFormat="false" ht="14.25" hidden="false" customHeight="false" outlineLevel="0" collapsed="false">
      <c r="B864" s="7" t="n">
        <v>41769</v>
      </c>
      <c r="C864" s="7" t="n">
        <f aca="false">B864-WEEKDAY(B864)+1</f>
        <v>41763</v>
      </c>
      <c r="D864" s="1" t="e">
        <f aca="false" t="array" ref="D864:D864">IF(ISBLANK(_xlfn.xlookup(D$3,daily_items,_xlfn.xlookup($C864,daily_dates,big_daily_table))),NA(),_xlfn.xlookup(D$3,daily_items,_xlfn.xlookup($C864,daily_dates,big_daily_table)))</f>
        <v>#NAME?</v>
      </c>
      <c r="E864" s="1" t="e">
        <f aca="false" t="array" ref="E864:E864">IF(ISBLANK(_xlfn.xlookup(E$3,daily_items,_xlfn.xlookup($C864,daily_dates,big_daily_table))),NA(),_xlfn.xlookup(E$3,daily_items,_xlfn.xlookup($C864,daily_dates,big_daily_table)))</f>
        <v>#NAME?</v>
      </c>
    </row>
    <row r="865" customFormat="false" ht="14.25" hidden="false" customHeight="false" outlineLevel="0" collapsed="false">
      <c r="B865" s="7" t="n">
        <v>41770</v>
      </c>
      <c r="C865" s="7" t="n">
        <f aca="false">B865-WEEKDAY(B865)+1</f>
        <v>41770</v>
      </c>
      <c r="D865" s="1" t="e">
        <f aca="false" t="array" ref="D865:D865">IF(ISBLANK(_xlfn.xlookup(D$3,daily_items,_xlfn.xlookup($C865,daily_dates,big_daily_table))),NA(),_xlfn.xlookup(D$3,daily_items,_xlfn.xlookup($C865,daily_dates,big_daily_table)))</f>
        <v>#NAME?</v>
      </c>
      <c r="E865" s="1" t="e">
        <f aca="false" t="array" ref="E865:E865">IF(ISBLANK(_xlfn.xlookup(E$3,daily_items,_xlfn.xlookup($C865,daily_dates,big_daily_table))),NA(),_xlfn.xlookup(E$3,daily_items,_xlfn.xlookup($C865,daily_dates,big_daily_table)))</f>
        <v>#NAME?</v>
      </c>
    </row>
    <row r="866" customFormat="false" ht="14.25" hidden="false" customHeight="false" outlineLevel="0" collapsed="false">
      <c r="B866" s="7" t="n">
        <v>41771</v>
      </c>
      <c r="C866" s="7" t="n">
        <f aca="false">B866-WEEKDAY(B866)+1</f>
        <v>41770</v>
      </c>
      <c r="D866" s="1" t="e">
        <f aca="false" t="array" ref="D866:D866">IF(ISBLANK(_xlfn.xlookup(D$3,daily_items,_xlfn.xlookup($C866,daily_dates,big_daily_table))),NA(),_xlfn.xlookup(D$3,daily_items,_xlfn.xlookup($C866,daily_dates,big_daily_table)))</f>
        <v>#NAME?</v>
      </c>
      <c r="E866" s="1" t="e">
        <f aca="false" t="array" ref="E866:E866">IF(ISBLANK(_xlfn.xlookup(E$3,daily_items,_xlfn.xlookup($C866,daily_dates,big_daily_table))),NA(),_xlfn.xlookup(E$3,daily_items,_xlfn.xlookup($C866,daily_dates,big_daily_table)))</f>
        <v>#NAME?</v>
      </c>
    </row>
    <row r="867" customFormat="false" ht="14.25" hidden="false" customHeight="false" outlineLevel="0" collapsed="false">
      <c r="B867" s="7" t="n">
        <v>41772</v>
      </c>
      <c r="C867" s="7" t="n">
        <f aca="false">B867-WEEKDAY(B867)+1</f>
        <v>41770</v>
      </c>
      <c r="D867" s="1" t="e">
        <f aca="false" t="array" ref="D867:D867">IF(ISBLANK(_xlfn.xlookup(D$3,daily_items,_xlfn.xlookup($C867,daily_dates,big_daily_table))),NA(),_xlfn.xlookup(D$3,daily_items,_xlfn.xlookup($C867,daily_dates,big_daily_table)))</f>
        <v>#NAME?</v>
      </c>
      <c r="E867" s="1" t="e">
        <f aca="false" t="array" ref="E867:E867">IF(ISBLANK(_xlfn.xlookup(E$3,daily_items,_xlfn.xlookup($C867,daily_dates,big_daily_table))),NA(),_xlfn.xlookup(E$3,daily_items,_xlfn.xlookup($C867,daily_dates,big_daily_table)))</f>
        <v>#NAME?</v>
      </c>
    </row>
    <row r="868" customFormat="false" ht="14.25" hidden="false" customHeight="false" outlineLevel="0" collapsed="false">
      <c r="B868" s="7" t="n">
        <v>41773</v>
      </c>
      <c r="C868" s="7" t="n">
        <f aca="false">B868-WEEKDAY(B868)+1</f>
        <v>41770</v>
      </c>
      <c r="D868" s="1" t="e">
        <f aca="false" t="array" ref="D868:D868">IF(ISBLANK(_xlfn.xlookup(D$3,daily_items,_xlfn.xlookup($C868,daily_dates,big_daily_table))),NA(),_xlfn.xlookup(D$3,daily_items,_xlfn.xlookup($C868,daily_dates,big_daily_table)))</f>
        <v>#NAME?</v>
      </c>
      <c r="E868" s="1" t="e">
        <f aca="false" t="array" ref="E868:E868">IF(ISBLANK(_xlfn.xlookup(E$3,daily_items,_xlfn.xlookup($C868,daily_dates,big_daily_table))),NA(),_xlfn.xlookup(E$3,daily_items,_xlfn.xlookup($C868,daily_dates,big_daily_table)))</f>
        <v>#NAME?</v>
      </c>
    </row>
    <row r="869" customFormat="false" ht="14.25" hidden="false" customHeight="false" outlineLevel="0" collapsed="false">
      <c r="B869" s="7" t="n">
        <v>41774</v>
      </c>
      <c r="C869" s="7" t="n">
        <f aca="false">B869-WEEKDAY(B869)+1</f>
        <v>41770</v>
      </c>
      <c r="D869" s="1" t="e">
        <f aca="false" t="array" ref="D869:D869">IF(ISBLANK(_xlfn.xlookup(D$3,daily_items,_xlfn.xlookup($C869,daily_dates,big_daily_table))),NA(),_xlfn.xlookup(D$3,daily_items,_xlfn.xlookup($C869,daily_dates,big_daily_table)))</f>
        <v>#NAME?</v>
      </c>
      <c r="E869" s="1" t="e">
        <f aca="false" t="array" ref="E869:E869">IF(ISBLANK(_xlfn.xlookup(E$3,daily_items,_xlfn.xlookup($C869,daily_dates,big_daily_table))),NA(),_xlfn.xlookup(E$3,daily_items,_xlfn.xlookup($C869,daily_dates,big_daily_table)))</f>
        <v>#NAME?</v>
      </c>
    </row>
    <row r="870" customFormat="false" ht="14.25" hidden="false" customHeight="false" outlineLevel="0" collapsed="false">
      <c r="B870" s="7" t="n">
        <v>41775</v>
      </c>
      <c r="C870" s="7" t="n">
        <f aca="false">B870-WEEKDAY(B870)+1</f>
        <v>41770</v>
      </c>
      <c r="D870" s="1" t="e">
        <f aca="false" t="array" ref="D870:D870">IF(ISBLANK(_xlfn.xlookup(D$3,daily_items,_xlfn.xlookup($C870,daily_dates,big_daily_table))),NA(),_xlfn.xlookup(D$3,daily_items,_xlfn.xlookup($C870,daily_dates,big_daily_table)))</f>
        <v>#NAME?</v>
      </c>
      <c r="E870" s="1" t="e">
        <f aca="false" t="array" ref="E870:E870">IF(ISBLANK(_xlfn.xlookup(E$3,daily_items,_xlfn.xlookup($C870,daily_dates,big_daily_table))),NA(),_xlfn.xlookup(E$3,daily_items,_xlfn.xlookup($C870,daily_dates,big_daily_table)))</f>
        <v>#NAME?</v>
      </c>
    </row>
    <row r="871" customFormat="false" ht="14.25" hidden="false" customHeight="false" outlineLevel="0" collapsed="false">
      <c r="B871" s="7" t="n">
        <v>41776</v>
      </c>
      <c r="C871" s="7" t="n">
        <f aca="false">B871-WEEKDAY(B871)+1</f>
        <v>41770</v>
      </c>
      <c r="D871" s="1" t="e">
        <f aca="false" t="array" ref="D871:D871">IF(ISBLANK(_xlfn.xlookup(D$3,daily_items,_xlfn.xlookup($C871,daily_dates,big_daily_table))),NA(),_xlfn.xlookup(D$3,daily_items,_xlfn.xlookup($C871,daily_dates,big_daily_table)))</f>
        <v>#NAME?</v>
      </c>
      <c r="E871" s="1" t="e">
        <f aca="false" t="array" ref="E871:E871">IF(ISBLANK(_xlfn.xlookup(E$3,daily_items,_xlfn.xlookup($C871,daily_dates,big_daily_table))),NA(),_xlfn.xlookup(E$3,daily_items,_xlfn.xlookup($C871,daily_dates,big_daily_table)))</f>
        <v>#NAME?</v>
      </c>
    </row>
    <row r="872" customFormat="false" ht="14.25" hidden="false" customHeight="false" outlineLevel="0" collapsed="false">
      <c r="B872" s="7" t="n">
        <v>41777</v>
      </c>
      <c r="C872" s="7" t="n">
        <f aca="false">B872-WEEKDAY(B872)+1</f>
        <v>41777</v>
      </c>
      <c r="D872" s="1" t="e">
        <f aca="false" t="array" ref="D872:D872">IF(ISBLANK(_xlfn.xlookup(D$3,daily_items,_xlfn.xlookup($C872,daily_dates,big_daily_table))),NA(),_xlfn.xlookup(D$3,daily_items,_xlfn.xlookup($C872,daily_dates,big_daily_table)))</f>
        <v>#NAME?</v>
      </c>
      <c r="E872" s="1" t="e">
        <f aca="false" t="array" ref="E872:E872">IF(ISBLANK(_xlfn.xlookup(E$3,daily_items,_xlfn.xlookup($C872,daily_dates,big_daily_table))),NA(),_xlfn.xlookup(E$3,daily_items,_xlfn.xlookup($C872,daily_dates,big_daily_table)))</f>
        <v>#NAME?</v>
      </c>
    </row>
    <row r="873" customFormat="false" ht="14.25" hidden="false" customHeight="false" outlineLevel="0" collapsed="false">
      <c r="B873" s="7" t="n">
        <v>41778</v>
      </c>
      <c r="C873" s="7" t="n">
        <f aca="false">B873-WEEKDAY(B873)+1</f>
        <v>41777</v>
      </c>
      <c r="D873" s="1" t="e">
        <f aca="false" t="array" ref="D873:D873">IF(ISBLANK(_xlfn.xlookup(D$3,daily_items,_xlfn.xlookup($C873,daily_dates,big_daily_table))),NA(),_xlfn.xlookup(D$3,daily_items,_xlfn.xlookup($C873,daily_dates,big_daily_table)))</f>
        <v>#NAME?</v>
      </c>
      <c r="E873" s="1" t="e">
        <f aca="false" t="array" ref="E873:E873">IF(ISBLANK(_xlfn.xlookup(E$3,daily_items,_xlfn.xlookup($C873,daily_dates,big_daily_table))),NA(),_xlfn.xlookup(E$3,daily_items,_xlfn.xlookup($C873,daily_dates,big_daily_table)))</f>
        <v>#NAME?</v>
      </c>
    </row>
    <row r="874" customFormat="false" ht="14.25" hidden="false" customHeight="false" outlineLevel="0" collapsed="false">
      <c r="B874" s="7" t="n">
        <v>41779</v>
      </c>
      <c r="C874" s="7" t="n">
        <f aca="false">B874-WEEKDAY(B874)+1</f>
        <v>41777</v>
      </c>
      <c r="D874" s="1" t="e">
        <f aca="false" t="array" ref="D874:D874">IF(ISBLANK(_xlfn.xlookup(D$3,daily_items,_xlfn.xlookup($C874,daily_dates,big_daily_table))),NA(),_xlfn.xlookup(D$3,daily_items,_xlfn.xlookup($C874,daily_dates,big_daily_table)))</f>
        <v>#NAME?</v>
      </c>
      <c r="E874" s="1" t="e">
        <f aca="false" t="array" ref="E874:E874">IF(ISBLANK(_xlfn.xlookup(E$3,daily_items,_xlfn.xlookup($C874,daily_dates,big_daily_table))),NA(),_xlfn.xlookup(E$3,daily_items,_xlfn.xlookup($C874,daily_dates,big_daily_table)))</f>
        <v>#NAME?</v>
      </c>
    </row>
    <row r="875" customFormat="false" ht="14.25" hidden="false" customHeight="false" outlineLevel="0" collapsed="false">
      <c r="B875" s="7" t="n">
        <v>41780</v>
      </c>
      <c r="C875" s="7" t="n">
        <f aca="false">B875-WEEKDAY(B875)+1</f>
        <v>41777</v>
      </c>
      <c r="D875" s="1" t="e">
        <f aca="false" t="array" ref="D875:D875">IF(ISBLANK(_xlfn.xlookup(D$3,daily_items,_xlfn.xlookup($C875,daily_dates,big_daily_table))),NA(),_xlfn.xlookup(D$3,daily_items,_xlfn.xlookup($C875,daily_dates,big_daily_table)))</f>
        <v>#NAME?</v>
      </c>
      <c r="E875" s="1" t="e">
        <f aca="false" t="array" ref="E875:E875">IF(ISBLANK(_xlfn.xlookup(E$3,daily_items,_xlfn.xlookup($C875,daily_dates,big_daily_table))),NA(),_xlfn.xlookup(E$3,daily_items,_xlfn.xlookup($C875,daily_dates,big_daily_table)))</f>
        <v>#NAME?</v>
      </c>
    </row>
    <row r="876" customFormat="false" ht="14.25" hidden="false" customHeight="false" outlineLevel="0" collapsed="false">
      <c r="B876" s="7" t="n">
        <v>41781</v>
      </c>
      <c r="C876" s="7" t="n">
        <f aca="false">B876-WEEKDAY(B876)+1</f>
        <v>41777</v>
      </c>
      <c r="D876" s="1" t="e">
        <f aca="false" t="array" ref="D876:D876">IF(ISBLANK(_xlfn.xlookup(D$3,daily_items,_xlfn.xlookup($C876,daily_dates,big_daily_table))),NA(),_xlfn.xlookup(D$3,daily_items,_xlfn.xlookup($C876,daily_dates,big_daily_table)))</f>
        <v>#NAME?</v>
      </c>
      <c r="E876" s="1" t="e">
        <f aca="false" t="array" ref="E876:E876">IF(ISBLANK(_xlfn.xlookup(E$3,daily_items,_xlfn.xlookup($C876,daily_dates,big_daily_table))),NA(),_xlfn.xlookup(E$3,daily_items,_xlfn.xlookup($C876,daily_dates,big_daily_table)))</f>
        <v>#NAME?</v>
      </c>
    </row>
    <row r="877" customFormat="false" ht="14.25" hidden="false" customHeight="false" outlineLevel="0" collapsed="false">
      <c r="B877" s="7" t="n">
        <v>41782</v>
      </c>
      <c r="C877" s="7" t="n">
        <f aca="false">B877-WEEKDAY(B877)+1</f>
        <v>41777</v>
      </c>
      <c r="D877" s="1" t="e">
        <f aca="false" t="array" ref="D877:D877">IF(ISBLANK(_xlfn.xlookup(D$3,daily_items,_xlfn.xlookup($C877,daily_dates,big_daily_table))),NA(),_xlfn.xlookup(D$3,daily_items,_xlfn.xlookup($C877,daily_dates,big_daily_table)))</f>
        <v>#NAME?</v>
      </c>
      <c r="E877" s="1" t="e">
        <f aca="false" t="array" ref="E877:E877">IF(ISBLANK(_xlfn.xlookup(E$3,daily_items,_xlfn.xlookup($C877,daily_dates,big_daily_table))),NA(),_xlfn.xlookup(E$3,daily_items,_xlfn.xlookup($C877,daily_dates,big_daily_table)))</f>
        <v>#NAME?</v>
      </c>
    </row>
    <row r="878" customFormat="false" ht="14.25" hidden="false" customHeight="false" outlineLevel="0" collapsed="false">
      <c r="B878" s="7" t="n">
        <v>41783</v>
      </c>
      <c r="C878" s="7" t="n">
        <f aca="false">B878-WEEKDAY(B878)+1</f>
        <v>41777</v>
      </c>
      <c r="D878" s="1" t="e">
        <f aca="false" t="array" ref="D878:D878">IF(ISBLANK(_xlfn.xlookup(D$3,daily_items,_xlfn.xlookup($C878,daily_dates,big_daily_table))),NA(),_xlfn.xlookup(D$3,daily_items,_xlfn.xlookup($C878,daily_dates,big_daily_table)))</f>
        <v>#NAME?</v>
      </c>
      <c r="E878" s="1" t="e">
        <f aca="false" t="array" ref="E878:E878">IF(ISBLANK(_xlfn.xlookup(E$3,daily_items,_xlfn.xlookup($C878,daily_dates,big_daily_table))),NA(),_xlfn.xlookup(E$3,daily_items,_xlfn.xlookup($C878,daily_dates,big_daily_table)))</f>
        <v>#NAME?</v>
      </c>
    </row>
    <row r="879" customFormat="false" ht="14.25" hidden="false" customHeight="false" outlineLevel="0" collapsed="false">
      <c r="B879" s="7" t="n">
        <v>41784</v>
      </c>
      <c r="C879" s="7" t="n">
        <f aca="false">B879-WEEKDAY(B879)+1</f>
        <v>41784</v>
      </c>
      <c r="D879" s="1" t="e">
        <f aca="false" t="array" ref="D879:D879">IF(ISBLANK(_xlfn.xlookup(D$3,daily_items,_xlfn.xlookup($C879,daily_dates,big_daily_table))),NA(),_xlfn.xlookup(D$3,daily_items,_xlfn.xlookup($C879,daily_dates,big_daily_table)))</f>
        <v>#NAME?</v>
      </c>
      <c r="E879" s="1" t="e">
        <f aca="false" t="array" ref="E879:E879">IF(ISBLANK(_xlfn.xlookup(E$3,daily_items,_xlfn.xlookup($C879,daily_dates,big_daily_table))),NA(),_xlfn.xlookup(E$3,daily_items,_xlfn.xlookup($C879,daily_dates,big_daily_table)))</f>
        <v>#NAME?</v>
      </c>
    </row>
    <row r="880" customFormat="false" ht="14.25" hidden="false" customHeight="false" outlineLevel="0" collapsed="false">
      <c r="B880" s="7" t="n">
        <v>41785</v>
      </c>
      <c r="C880" s="7" t="n">
        <f aca="false">B880-WEEKDAY(B880)+1</f>
        <v>41784</v>
      </c>
      <c r="D880" s="1" t="e">
        <f aca="false" t="array" ref="D880:D880">IF(ISBLANK(_xlfn.xlookup(D$3,daily_items,_xlfn.xlookup($C880,daily_dates,big_daily_table))),NA(),_xlfn.xlookup(D$3,daily_items,_xlfn.xlookup($C880,daily_dates,big_daily_table)))</f>
        <v>#NAME?</v>
      </c>
      <c r="E880" s="1" t="e">
        <f aca="false" t="array" ref="E880:E880">IF(ISBLANK(_xlfn.xlookup(E$3,daily_items,_xlfn.xlookup($C880,daily_dates,big_daily_table))),NA(),_xlfn.xlookup(E$3,daily_items,_xlfn.xlookup($C880,daily_dates,big_daily_table)))</f>
        <v>#NAME?</v>
      </c>
    </row>
    <row r="881" customFormat="false" ht="14.25" hidden="false" customHeight="false" outlineLevel="0" collapsed="false">
      <c r="B881" s="7" t="n">
        <v>41786</v>
      </c>
      <c r="C881" s="7" t="n">
        <f aca="false">B881-WEEKDAY(B881)+1</f>
        <v>41784</v>
      </c>
      <c r="D881" s="1" t="e">
        <f aca="false" t="array" ref="D881:D881">IF(ISBLANK(_xlfn.xlookup(D$3,daily_items,_xlfn.xlookup($C881,daily_dates,big_daily_table))),NA(),_xlfn.xlookup(D$3,daily_items,_xlfn.xlookup($C881,daily_dates,big_daily_table)))</f>
        <v>#NAME?</v>
      </c>
      <c r="E881" s="1" t="e">
        <f aca="false" t="array" ref="E881:E881">IF(ISBLANK(_xlfn.xlookup(E$3,daily_items,_xlfn.xlookup($C881,daily_dates,big_daily_table))),NA(),_xlfn.xlookup(E$3,daily_items,_xlfn.xlookup($C881,daily_dates,big_daily_table)))</f>
        <v>#NAME?</v>
      </c>
    </row>
    <row r="882" customFormat="false" ht="14.25" hidden="false" customHeight="false" outlineLevel="0" collapsed="false">
      <c r="B882" s="7" t="n">
        <v>41787</v>
      </c>
      <c r="C882" s="7" t="n">
        <f aca="false">B882-WEEKDAY(B882)+1</f>
        <v>41784</v>
      </c>
      <c r="D882" s="1" t="e">
        <f aca="false" t="array" ref="D882:D882">IF(ISBLANK(_xlfn.xlookup(D$3,daily_items,_xlfn.xlookup($C882,daily_dates,big_daily_table))),NA(),_xlfn.xlookup(D$3,daily_items,_xlfn.xlookup($C882,daily_dates,big_daily_table)))</f>
        <v>#NAME?</v>
      </c>
      <c r="E882" s="1" t="e">
        <f aca="false" t="array" ref="E882:E882">IF(ISBLANK(_xlfn.xlookup(E$3,daily_items,_xlfn.xlookup($C882,daily_dates,big_daily_table))),NA(),_xlfn.xlookup(E$3,daily_items,_xlfn.xlookup($C882,daily_dates,big_daily_table)))</f>
        <v>#NAME?</v>
      </c>
    </row>
    <row r="883" customFormat="false" ht="14.25" hidden="false" customHeight="false" outlineLevel="0" collapsed="false">
      <c r="B883" s="7" t="n">
        <v>41788</v>
      </c>
      <c r="C883" s="7" t="n">
        <f aca="false">B883-WEEKDAY(B883)+1</f>
        <v>41784</v>
      </c>
      <c r="D883" s="1" t="e">
        <f aca="false" t="array" ref="D883:D883">IF(ISBLANK(_xlfn.xlookup(D$3,daily_items,_xlfn.xlookup($C883,daily_dates,big_daily_table))),NA(),_xlfn.xlookup(D$3,daily_items,_xlfn.xlookup($C883,daily_dates,big_daily_table)))</f>
        <v>#NAME?</v>
      </c>
      <c r="E883" s="1" t="e">
        <f aca="false" t="array" ref="E883:E883">IF(ISBLANK(_xlfn.xlookup(E$3,daily_items,_xlfn.xlookup($C883,daily_dates,big_daily_table))),NA(),_xlfn.xlookup(E$3,daily_items,_xlfn.xlookup($C883,daily_dates,big_daily_table)))</f>
        <v>#NAME?</v>
      </c>
    </row>
    <row r="884" customFormat="false" ht="14.25" hidden="false" customHeight="false" outlineLevel="0" collapsed="false">
      <c r="B884" s="7" t="n">
        <v>41789</v>
      </c>
      <c r="C884" s="7" t="n">
        <f aca="false">B884-WEEKDAY(B884)+1</f>
        <v>41784</v>
      </c>
      <c r="D884" s="1" t="e">
        <f aca="false" t="array" ref="D884:D884">IF(ISBLANK(_xlfn.xlookup(D$3,daily_items,_xlfn.xlookup($C884,daily_dates,big_daily_table))),NA(),_xlfn.xlookup(D$3,daily_items,_xlfn.xlookup($C884,daily_dates,big_daily_table)))</f>
        <v>#NAME?</v>
      </c>
      <c r="E884" s="1" t="e">
        <f aca="false" t="array" ref="E884:E884">IF(ISBLANK(_xlfn.xlookup(E$3,daily_items,_xlfn.xlookup($C884,daily_dates,big_daily_table))),NA(),_xlfn.xlookup(E$3,daily_items,_xlfn.xlookup($C884,daily_dates,big_daily_table)))</f>
        <v>#NAME?</v>
      </c>
    </row>
    <row r="885" customFormat="false" ht="14.25" hidden="false" customHeight="false" outlineLevel="0" collapsed="false">
      <c r="B885" s="7" t="n">
        <v>41790</v>
      </c>
      <c r="C885" s="7" t="n">
        <f aca="false">B885-WEEKDAY(B885)+1</f>
        <v>41784</v>
      </c>
      <c r="D885" s="1" t="e">
        <f aca="false" t="array" ref="D885:D885">IF(ISBLANK(_xlfn.xlookup(D$3,daily_items,_xlfn.xlookup($C885,daily_dates,big_daily_table))),NA(),_xlfn.xlookup(D$3,daily_items,_xlfn.xlookup($C885,daily_dates,big_daily_table)))</f>
        <v>#NAME?</v>
      </c>
      <c r="E885" s="1" t="e">
        <f aca="false" t="array" ref="E885:E885">IF(ISBLANK(_xlfn.xlookup(E$3,daily_items,_xlfn.xlookup($C885,daily_dates,big_daily_table))),NA(),_xlfn.xlookup(E$3,daily_items,_xlfn.xlookup($C885,daily_dates,big_daily_table)))</f>
        <v>#NAME?</v>
      </c>
    </row>
    <row r="886" customFormat="false" ht="14.25" hidden="false" customHeight="false" outlineLevel="0" collapsed="false">
      <c r="B886" s="7" t="n">
        <v>41791</v>
      </c>
      <c r="C886" s="7" t="n">
        <f aca="false">B886-WEEKDAY(B886)+1</f>
        <v>41791</v>
      </c>
      <c r="D886" s="1" t="e">
        <f aca="false" t="array" ref="D886:D886">IF(ISBLANK(_xlfn.xlookup(D$3,daily_items,_xlfn.xlookup($C886,daily_dates,big_daily_table))),NA(),_xlfn.xlookup(D$3,daily_items,_xlfn.xlookup($C886,daily_dates,big_daily_table)))</f>
        <v>#NAME?</v>
      </c>
      <c r="E886" s="1" t="e">
        <f aca="false" t="array" ref="E886:E886">IF(ISBLANK(_xlfn.xlookup(E$3,daily_items,_xlfn.xlookup($C886,daily_dates,big_daily_table))),NA(),_xlfn.xlookup(E$3,daily_items,_xlfn.xlookup($C886,daily_dates,big_daily_table)))</f>
        <v>#NAME?</v>
      </c>
    </row>
    <row r="887" customFormat="false" ht="14.25" hidden="false" customHeight="false" outlineLevel="0" collapsed="false">
      <c r="B887" s="7" t="n">
        <v>41792</v>
      </c>
      <c r="C887" s="7" t="n">
        <f aca="false">B887-WEEKDAY(B887)+1</f>
        <v>41791</v>
      </c>
      <c r="D887" s="1" t="e">
        <f aca="false" t="array" ref="D887:D887">IF(ISBLANK(_xlfn.xlookup(D$3,daily_items,_xlfn.xlookup($C887,daily_dates,big_daily_table))),NA(),_xlfn.xlookup(D$3,daily_items,_xlfn.xlookup($C887,daily_dates,big_daily_table)))</f>
        <v>#NAME?</v>
      </c>
      <c r="E887" s="1" t="e">
        <f aca="false" t="array" ref="E887:E887">IF(ISBLANK(_xlfn.xlookup(E$3,daily_items,_xlfn.xlookup($C887,daily_dates,big_daily_table))),NA(),_xlfn.xlookup(E$3,daily_items,_xlfn.xlookup($C887,daily_dates,big_daily_table)))</f>
        <v>#NAME?</v>
      </c>
    </row>
    <row r="888" customFormat="false" ht="14.25" hidden="false" customHeight="false" outlineLevel="0" collapsed="false">
      <c r="B888" s="7" t="n">
        <v>41793</v>
      </c>
      <c r="C888" s="7" t="n">
        <f aca="false">B888-WEEKDAY(B888)+1</f>
        <v>41791</v>
      </c>
      <c r="D888" s="1" t="e">
        <f aca="false" t="array" ref="D888:D888">IF(ISBLANK(_xlfn.xlookup(D$3,daily_items,_xlfn.xlookup($C888,daily_dates,big_daily_table))),NA(),_xlfn.xlookup(D$3,daily_items,_xlfn.xlookup($C888,daily_dates,big_daily_table)))</f>
        <v>#NAME?</v>
      </c>
      <c r="E888" s="1" t="e">
        <f aca="false" t="array" ref="E888:E888">IF(ISBLANK(_xlfn.xlookup(E$3,daily_items,_xlfn.xlookup($C888,daily_dates,big_daily_table))),NA(),_xlfn.xlookup(E$3,daily_items,_xlfn.xlookup($C888,daily_dates,big_daily_table)))</f>
        <v>#NAME?</v>
      </c>
    </row>
    <row r="889" customFormat="false" ht="14.25" hidden="false" customHeight="false" outlineLevel="0" collapsed="false">
      <c r="B889" s="7" t="n">
        <v>41794</v>
      </c>
      <c r="C889" s="7" t="n">
        <f aca="false">B889-WEEKDAY(B889)+1</f>
        <v>41791</v>
      </c>
      <c r="D889" s="1" t="e">
        <f aca="false" t="array" ref="D889:D889">IF(ISBLANK(_xlfn.xlookup(D$3,daily_items,_xlfn.xlookup($C889,daily_dates,big_daily_table))),NA(),_xlfn.xlookup(D$3,daily_items,_xlfn.xlookup($C889,daily_dates,big_daily_table)))</f>
        <v>#NAME?</v>
      </c>
      <c r="E889" s="1" t="e">
        <f aca="false" t="array" ref="E889:E889">IF(ISBLANK(_xlfn.xlookup(E$3,daily_items,_xlfn.xlookup($C889,daily_dates,big_daily_table))),NA(),_xlfn.xlookup(E$3,daily_items,_xlfn.xlookup($C889,daily_dates,big_daily_table)))</f>
        <v>#NAME?</v>
      </c>
    </row>
    <row r="890" customFormat="false" ht="14.25" hidden="false" customHeight="false" outlineLevel="0" collapsed="false">
      <c r="B890" s="7" t="n">
        <v>41795</v>
      </c>
      <c r="C890" s="7" t="n">
        <f aca="false">B890-WEEKDAY(B890)+1</f>
        <v>41791</v>
      </c>
      <c r="D890" s="1" t="e">
        <f aca="false" t="array" ref="D890:D890">IF(ISBLANK(_xlfn.xlookup(D$3,daily_items,_xlfn.xlookup($C890,daily_dates,big_daily_table))),NA(),_xlfn.xlookup(D$3,daily_items,_xlfn.xlookup($C890,daily_dates,big_daily_table)))</f>
        <v>#NAME?</v>
      </c>
      <c r="E890" s="1" t="e">
        <f aca="false" t="array" ref="E890:E890">IF(ISBLANK(_xlfn.xlookup(E$3,daily_items,_xlfn.xlookup($C890,daily_dates,big_daily_table))),NA(),_xlfn.xlookup(E$3,daily_items,_xlfn.xlookup($C890,daily_dates,big_daily_table)))</f>
        <v>#NAME?</v>
      </c>
    </row>
    <row r="891" customFormat="false" ht="14.25" hidden="false" customHeight="false" outlineLevel="0" collapsed="false">
      <c r="B891" s="7" t="n">
        <v>41796</v>
      </c>
      <c r="C891" s="7" t="n">
        <f aca="false">B891-WEEKDAY(B891)+1</f>
        <v>41791</v>
      </c>
      <c r="D891" s="1" t="e">
        <f aca="false" t="array" ref="D891:D891">IF(ISBLANK(_xlfn.xlookup(D$3,daily_items,_xlfn.xlookup($C891,daily_dates,big_daily_table))),NA(),_xlfn.xlookup(D$3,daily_items,_xlfn.xlookup($C891,daily_dates,big_daily_table)))</f>
        <v>#NAME?</v>
      </c>
      <c r="E891" s="1" t="e">
        <f aca="false" t="array" ref="E891:E891">IF(ISBLANK(_xlfn.xlookup(E$3,daily_items,_xlfn.xlookup($C891,daily_dates,big_daily_table))),NA(),_xlfn.xlookup(E$3,daily_items,_xlfn.xlookup($C891,daily_dates,big_daily_table)))</f>
        <v>#NAME?</v>
      </c>
    </row>
    <row r="892" customFormat="false" ht="14.25" hidden="false" customHeight="false" outlineLevel="0" collapsed="false">
      <c r="B892" s="7" t="n">
        <v>41797</v>
      </c>
      <c r="C892" s="7" t="n">
        <f aca="false">B892-WEEKDAY(B892)+1</f>
        <v>41791</v>
      </c>
      <c r="D892" s="1" t="e">
        <f aca="false" t="array" ref="D892:D892">IF(ISBLANK(_xlfn.xlookup(D$3,daily_items,_xlfn.xlookup($C892,daily_dates,big_daily_table))),NA(),_xlfn.xlookup(D$3,daily_items,_xlfn.xlookup($C892,daily_dates,big_daily_table)))</f>
        <v>#NAME?</v>
      </c>
      <c r="E892" s="1" t="e">
        <f aca="false" t="array" ref="E892:E892">IF(ISBLANK(_xlfn.xlookup(E$3,daily_items,_xlfn.xlookup($C892,daily_dates,big_daily_table))),NA(),_xlfn.xlookup(E$3,daily_items,_xlfn.xlookup($C892,daily_dates,big_daily_table)))</f>
        <v>#NAME?</v>
      </c>
    </row>
    <row r="893" customFormat="false" ht="14.25" hidden="false" customHeight="false" outlineLevel="0" collapsed="false">
      <c r="B893" s="7" t="n">
        <v>41798</v>
      </c>
      <c r="C893" s="7" t="n">
        <f aca="false">B893-WEEKDAY(B893)+1</f>
        <v>41798</v>
      </c>
      <c r="D893" s="1" t="e">
        <f aca="false" t="array" ref="D893:D893">IF(ISBLANK(_xlfn.xlookup(D$3,daily_items,_xlfn.xlookup($C893,daily_dates,big_daily_table))),NA(),_xlfn.xlookup(D$3,daily_items,_xlfn.xlookup($C893,daily_dates,big_daily_table)))</f>
        <v>#NAME?</v>
      </c>
      <c r="E893" s="1" t="e">
        <f aca="false" t="array" ref="E893:E893">IF(ISBLANK(_xlfn.xlookup(E$3,daily_items,_xlfn.xlookup($C893,daily_dates,big_daily_table))),NA(),_xlfn.xlookup(E$3,daily_items,_xlfn.xlookup($C893,daily_dates,big_daily_table)))</f>
        <v>#NAME?</v>
      </c>
    </row>
    <row r="894" customFormat="false" ht="14.25" hidden="false" customHeight="false" outlineLevel="0" collapsed="false">
      <c r="B894" s="7" t="n">
        <v>41799</v>
      </c>
      <c r="C894" s="7" t="n">
        <f aca="false">B894-WEEKDAY(B894)+1</f>
        <v>41798</v>
      </c>
      <c r="D894" s="1" t="e">
        <f aca="false" t="array" ref="D894:D894">IF(ISBLANK(_xlfn.xlookup(D$3,daily_items,_xlfn.xlookup($C894,daily_dates,big_daily_table))),NA(),_xlfn.xlookup(D$3,daily_items,_xlfn.xlookup($C894,daily_dates,big_daily_table)))</f>
        <v>#NAME?</v>
      </c>
      <c r="E894" s="1" t="e">
        <f aca="false" t="array" ref="E894:E894">IF(ISBLANK(_xlfn.xlookup(E$3,daily_items,_xlfn.xlookup($C894,daily_dates,big_daily_table))),NA(),_xlfn.xlookup(E$3,daily_items,_xlfn.xlookup($C894,daily_dates,big_daily_table)))</f>
        <v>#NAME?</v>
      </c>
    </row>
    <row r="895" customFormat="false" ht="14.25" hidden="false" customHeight="false" outlineLevel="0" collapsed="false">
      <c r="B895" s="7" t="n">
        <v>41800</v>
      </c>
      <c r="C895" s="7" t="n">
        <f aca="false">B895-WEEKDAY(B895)+1</f>
        <v>41798</v>
      </c>
      <c r="D895" s="1" t="e">
        <f aca="false" t="array" ref="D895:D895">IF(ISBLANK(_xlfn.xlookup(D$3,daily_items,_xlfn.xlookup($C895,daily_dates,big_daily_table))),NA(),_xlfn.xlookup(D$3,daily_items,_xlfn.xlookup($C895,daily_dates,big_daily_table)))</f>
        <v>#NAME?</v>
      </c>
      <c r="E895" s="1" t="e">
        <f aca="false" t="array" ref="E895:E895">IF(ISBLANK(_xlfn.xlookup(E$3,daily_items,_xlfn.xlookup($C895,daily_dates,big_daily_table))),NA(),_xlfn.xlookup(E$3,daily_items,_xlfn.xlookup($C895,daily_dates,big_daily_table)))</f>
        <v>#NAME?</v>
      </c>
    </row>
    <row r="896" customFormat="false" ht="14.25" hidden="false" customHeight="false" outlineLevel="0" collapsed="false">
      <c r="B896" s="7" t="n">
        <v>41801</v>
      </c>
      <c r="C896" s="7" t="n">
        <f aca="false">B896-WEEKDAY(B896)+1</f>
        <v>41798</v>
      </c>
      <c r="D896" s="1" t="e">
        <f aca="false" t="array" ref="D896:D896">IF(ISBLANK(_xlfn.xlookup(D$3,daily_items,_xlfn.xlookup($C896,daily_dates,big_daily_table))),NA(),_xlfn.xlookup(D$3,daily_items,_xlfn.xlookup($C896,daily_dates,big_daily_table)))</f>
        <v>#NAME?</v>
      </c>
      <c r="E896" s="1" t="e">
        <f aca="false" t="array" ref="E896:E896">IF(ISBLANK(_xlfn.xlookup(E$3,daily_items,_xlfn.xlookup($C896,daily_dates,big_daily_table))),NA(),_xlfn.xlookup(E$3,daily_items,_xlfn.xlookup($C896,daily_dates,big_daily_table)))</f>
        <v>#NAME?</v>
      </c>
    </row>
    <row r="897" customFormat="false" ht="14.25" hidden="false" customHeight="false" outlineLevel="0" collapsed="false">
      <c r="B897" s="7" t="n">
        <v>41802</v>
      </c>
      <c r="C897" s="7" t="n">
        <f aca="false">B897-WEEKDAY(B897)+1</f>
        <v>41798</v>
      </c>
      <c r="D897" s="1" t="e">
        <f aca="false" t="array" ref="D897:D897">IF(ISBLANK(_xlfn.xlookup(D$3,daily_items,_xlfn.xlookup($C897,daily_dates,big_daily_table))),NA(),_xlfn.xlookup(D$3,daily_items,_xlfn.xlookup($C897,daily_dates,big_daily_table)))</f>
        <v>#NAME?</v>
      </c>
      <c r="E897" s="1" t="e">
        <f aca="false" t="array" ref="E897:E897">IF(ISBLANK(_xlfn.xlookup(E$3,daily_items,_xlfn.xlookup($C897,daily_dates,big_daily_table))),NA(),_xlfn.xlookup(E$3,daily_items,_xlfn.xlookup($C897,daily_dates,big_daily_table)))</f>
        <v>#NAME?</v>
      </c>
    </row>
    <row r="898" customFormat="false" ht="14.25" hidden="false" customHeight="false" outlineLevel="0" collapsed="false">
      <c r="B898" s="7" t="n">
        <v>41803</v>
      </c>
      <c r="C898" s="7" t="n">
        <f aca="false">B898-WEEKDAY(B898)+1</f>
        <v>41798</v>
      </c>
      <c r="D898" s="1" t="e">
        <f aca="false" t="array" ref="D898:D898">IF(ISBLANK(_xlfn.xlookup(D$3,daily_items,_xlfn.xlookup($C898,daily_dates,big_daily_table))),NA(),_xlfn.xlookup(D$3,daily_items,_xlfn.xlookup($C898,daily_dates,big_daily_table)))</f>
        <v>#NAME?</v>
      </c>
      <c r="E898" s="1" t="e">
        <f aca="false" t="array" ref="E898:E898">IF(ISBLANK(_xlfn.xlookup(E$3,daily_items,_xlfn.xlookup($C898,daily_dates,big_daily_table))),NA(),_xlfn.xlookup(E$3,daily_items,_xlfn.xlookup($C898,daily_dates,big_daily_table)))</f>
        <v>#NAME?</v>
      </c>
    </row>
    <row r="899" customFormat="false" ht="14.25" hidden="false" customHeight="false" outlineLevel="0" collapsed="false">
      <c r="B899" s="7" t="n">
        <v>41804</v>
      </c>
      <c r="C899" s="7" t="n">
        <f aca="false">B899-WEEKDAY(B899)+1</f>
        <v>41798</v>
      </c>
      <c r="D899" s="1" t="e">
        <f aca="false" t="array" ref="D899:D899">IF(ISBLANK(_xlfn.xlookup(D$3,daily_items,_xlfn.xlookup($C899,daily_dates,big_daily_table))),NA(),_xlfn.xlookup(D$3,daily_items,_xlfn.xlookup($C899,daily_dates,big_daily_table)))</f>
        <v>#NAME?</v>
      </c>
      <c r="E899" s="1" t="e">
        <f aca="false" t="array" ref="E899:E899">IF(ISBLANK(_xlfn.xlookup(E$3,daily_items,_xlfn.xlookup($C899,daily_dates,big_daily_table))),NA(),_xlfn.xlookup(E$3,daily_items,_xlfn.xlookup($C899,daily_dates,big_daily_table)))</f>
        <v>#NAME?</v>
      </c>
    </row>
    <row r="900" customFormat="false" ht="14.25" hidden="false" customHeight="false" outlineLevel="0" collapsed="false">
      <c r="B900" s="7" t="n">
        <v>41805</v>
      </c>
      <c r="C900" s="7" t="n">
        <f aca="false">B900-WEEKDAY(B900)+1</f>
        <v>41805</v>
      </c>
      <c r="D900" s="1" t="e">
        <f aca="false" t="array" ref="D900:D900">IF(ISBLANK(_xlfn.xlookup(D$3,daily_items,_xlfn.xlookup($C900,daily_dates,big_daily_table))),NA(),_xlfn.xlookup(D$3,daily_items,_xlfn.xlookup($C900,daily_dates,big_daily_table)))</f>
        <v>#NAME?</v>
      </c>
      <c r="E900" s="1" t="e">
        <f aca="false" t="array" ref="E900:E900">IF(ISBLANK(_xlfn.xlookup(E$3,daily_items,_xlfn.xlookup($C900,daily_dates,big_daily_table))),NA(),_xlfn.xlookup(E$3,daily_items,_xlfn.xlookup($C900,daily_dates,big_daily_table)))</f>
        <v>#NAME?</v>
      </c>
    </row>
    <row r="901" customFormat="false" ht="14.25" hidden="false" customHeight="false" outlineLevel="0" collapsed="false">
      <c r="B901" s="7" t="n">
        <v>41806</v>
      </c>
      <c r="C901" s="7" t="n">
        <f aca="false">B901-WEEKDAY(B901)+1</f>
        <v>41805</v>
      </c>
      <c r="D901" s="1" t="e">
        <f aca="false" t="array" ref="D901:D901">IF(ISBLANK(_xlfn.xlookup(D$3,daily_items,_xlfn.xlookup($C901,daily_dates,big_daily_table))),NA(),_xlfn.xlookup(D$3,daily_items,_xlfn.xlookup($C901,daily_dates,big_daily_table)))</f>
        <v>#NAME?</v>
      </c>
      <c r="E901" s="1" t="e">
        <f aca="false" t="array" ref="E901:E901">IF(ISBLANK(_xlfn.xlookup(E$3,daily_items,_xlfn.xlookup($C901,daily_dates,big_daily_table))),NA(),_xlfn.xlookup(E$3,daily_items,_xlfn.xlookup($C901,daily_dates,big_daily_table)))</f>
        <v>#NAME?</v>
      </c>
    </row>
    <row r="902" customFormat="false" ht="14.25" hidden="false" customHeight="false" outlineLevel="0" collapsed="false">
      <c r="B902" s="7" t="n">
        <v>41807</v>
      </c>
      <c r="C902" s="7" t="n">
        <f aca="false">B902-WEEKDAY(B902)+1</f>
        <v>41805</v>
      </c>
      <c r="D902" s="1" t="e">
        <f aca="false" t="array" ref="D902:D902">IF(ISBLANK(_xlfn.xlookup(D$3,daily_items,_xlfn.xlookup($C902,daily_dates,big_daily_table))),NA(),_xlfn.xlookup(D$3,daily_items,_xlfn.xlookup($C902,daily_dates,big_daily_table)))</f>
        <v>#NAME?</v>
      </c>
      <c r="E902" s="1" t="e">
        <f aca="false" t="array" ref="E902:E902">IF(ISBLANK(_xlfn.xlookup(E$3,daily_items,_xlfn.xlookup($C902,daily_dates,big_daily_table))),NA(),_xlfn.xlookup(E$3,daily_items,_xlfn.xlookup($C902,daily_dates,big_daily_table)))</f>
        <v>#NAME?</v>
      </c>
    </row>
    <row r="903" customFormat="false" ht="14.25" hidden="false" customHeight="false" outlineLevel="0" collapsed="false">
      <c r="B903" s="7" t="n">
        <v>41808</v>
      </c>
      <c r="C903" s="7" t="n">
        <f aca="false">B903-WEEKDAY(B903)+1</f>
        <v>41805</v>
      </c>
      <c r="D903" s="1" t="e">
        <f aca="false" t="array" ref="D903:D903">IF(ISBLANK(_xlfn.xlookup(D$3,daily_items,_xlfn.xlookup($C903,daily_dates,big_daily_table))),NA(),_xlfn.xlookup(D$3,daily_items,_xlfn.xlookup($C903,daily_dates,big_daily_table)))</f>
        <v>#NAME?</v>
      </c>
      <c r="E903" s="1" t="e">
        <f aca="false" t="array" ref="E903:E903">IF(ISBLANK(_xlfn.xlookup(E$3,daily_items,_xlfn.xlookup($C903,daily_dates,big_daily_table))),NA(),_xlfn.xlookup(E$3,daily_items,_xlfn.xlookup($C903,daily_dates,big_daily_table)))</f>
        <v>#NAME?</v>
      </c>
    </row>
    <row r="904" customFormat="false" ht="14.25" hidden="false" customHeight="false" outlineLevel="0" collapsed="false">
      <c r="B904" s="7" t="n">
        <v>41809</v>
      </c>
      <c r="C904" s="7" t="n">
        <f aca="false">B904-WEEKDAY(B904)+1</f>
        <v>41805</v>
      </c>
      <c r="D904" s="1" t="e">
        <f aca="false" t="array" ref="D904:D904">IF(ISBLANK(_xlfn.xlookup(D$3,daily_items,_xlfn.xlookup($C904,daily_dates,big_daily_table))),NA(),_xlfn.xlookup(D$3,daily_items,_xlfn.xlookup($C904,daily_dates,big_daily_table)))</f>
        <v>#NAME?</v>
      </c>
      <c r="E904" s="1" t="e">
        <f aca="false" t="array" ref="E904:E904">IF(ISBLANK(_xlfn.xlookup(E$3,daily_items,_xlfn.xlookup($C904,daily_dates,big_daily_table))),NA(),_xlfn.xlookup(E$3,daily_items,_xlfn.xlookup($C904,daily_dates,big_daily_table)))</f>
        <v>#NAME?</v>
      </c>
    </row>
    <row r="905" customFormat="false" ht="14.25" hidden="false" customHeight="false" outlineLevel="0" collapsed="false">
      <c r="B905" s="7" t="n">
        <v>41810</v>
      </c>
      <c r="C905" s="7" t="n">
        <f aca="false">B905-WEEKDAY(B905)+1</f>
        <v>41805</v>
      </c>
      <c r="D905" s="1" t="e">
        <f aca="false" t="array" ref="D905:D905">IF(ISBLANK(_xlfn.xlookup(D$3,daily_items,_xlfn.xlookup($C905,daily_dates,big_daily_table))),NA(),_xlfn.xlookup(D$3,daily_items,_xlfn.xlookup($C905,daily_dates,big_daily_table)))</f>
        <v>#NAME?</v>
      </c>
      <c r="E905" s="1" t="e">
        <f aca="false" t="array" ref="E905:E905">IF(ISBLANK(_xlfn.xlookup(E$3,daily_items,_xlfn.xlookup($C905,daily_dates,big_daily_table))),NA(),_xlfn.xlookup(E$3,daily_items,_xlfn.xlookup($C905,daily_dates,big_daily_table)))</f>
        <v>#NAME?</v>
      </c>
    </row>
    <row r="906" customFormat="false" ht="14.25" hidden="false" customHeight="false" outlineLevel="0" collapsed="false">
      <c r="B906" s="7" t="n">
        <v>41811</v>
      </c>
      <c r="C906" s="7" t="n">
        <f aca="false">B906-WEEKDAY(B906)+1</f>
        <v>41805</v>
      </c>
      <c r="D906" s="1" t="e">
        <f aca="false" t="array" ref="D906:D906">IF(ISBLANK(_xlfn.xlookup(D$3,daily_items,_xlfn.xlookup($C906,daily_dates,big_daily_table))),NA(),_xlfn.xlookup(D$3,daily_items,_xlfn.xlookup($C906,daily_dates,big_daily_table)))</f>
        <v>#NAME?</v>
      </c>
      <c r="E906" s="1" t="e">
        <f aca="false" t="array" ref="E906:E906">IF(ISBLANK(_xlfn.xlookup(E$3,daily_items,_xlfn.xlookup($C906,daily_dates,big_daily_table))),NA(),_xlfn.xlookup(E$3,daily_items,_xlfn.xlookup($C906,daily_dates,big_daily_table)))</f>
        <v>#NAME?</v>
      </c>
    </row>
    <row r="907" customFormat="false" ht="14.25" hidden="false" customHeight="false" outlineLevel="0" collapsed="false">
      <c r="B907" s="7" t="n">
        <v>41812</v>
      </c>
      <c r="C907" s="7" t="n">
        <f aca="false">B907-WEEKDAY(B907)+1</f>
        <v>41812</v>
      </c>
      <c r="D907" s="1" t="e">
        <f aca="false" t="array" ref="D907:D907">IF(ISBLANK(_xlfn.xlookup(D$3,daily_items,_xlfn.xlookup($C907,daily_dates,big_daily_table))),NA(),_xlfn.xlookup(D$3,daily_items,_xlfn.xlookup($C907,daily_dates,big_daily_table)))</f>
        <v>#NAME?</v>
      </c>
      <c r="E907" s="1" t="e">
        <f aca="false" t="array" ref="E907:E907">IF(ISBLANK(_xlfn.xlookup(E$3,daily_items,_xlfn.xlookup($C907,daily_dates,big_daily_table))),NA(),_xlfn.xlookup(E$3,daily_items,_xlfn.xlookup($C907,daily_dates,big_daily_table)))</f>
        <v>#NAME?</v>
      </c>
    </row>
    <row r="908" customFormat="false" ht="14.25" hidden="false" customHeight="false" outlineLevel="0" collapsed="false">
      <c r="B908" s="7" t="n">
        <v>41813</v>
      </c>
      <c r="C908" s="7" t="n">
        <f aca="false">B908-WEEKDAY(B908)+1</f>
        <v>41812</v>
      </c>
      <c r="D908" s="1" t="e">
        <f aca="false" t="array" ref="D908:D908">IF(ISBLANK(_xlfn.xlookup(D$3,daily_items,_xlfn.xlookup($C908,daily_dates,big_daily_table))),NA(),_xlfn.xlookup(D$3,daily_items,_xlfn.xlookup($C908,daily_dates,big_daily_table)))</f>
        <v>#NAME?</v>
      </c>
      <c r="E908" s="1" t="e">
        <f aca="false" t="array" ref="E908:E908">IF(ISBLANK(_xlfn.xlookup(E$3,daily_items,_xlfn.xlookup($C908,daily_dates,big_daily_table))),NA(),_xlfn.xlookup(E$3,daily_items,_xlfn.xlookup($C908,daily_dates,big_daily_table)))</f>
        <v>#NAME?</v>
      </c>
    </row>
    <row r="909" customFormat="false" ht="14.25" hidden="false" customHeight="false" outlineLevel="0" collapsed="false">
      <c r="B909" s="7" t="n">
        <v>41814</v>
      </c>
      <c r="C909" s="7" t="n">
        <f aca="false">B909-WEEKDAY(B909)+1</f>
        <v>41812</v>
      </c>
      <c r="D909" s="1" t="e">
        <f aca="false" t="array" ref="D909:D909">IF(ISBLANK(_xlfn.xlookup(D$3,daily_items,_xlfn.xlookup($C909,daily_dates,big_daily_table))),NA(),_xlfn.xlookup(D$3,daily_items,_xlfn.xlookup($C909,daily_dates,big_daily_table)))</f>
        <v>#NAME?</v>
      </c>
      <c r="E909" s="1" t="e">
        <f aca="false" t="array" ref="E909:E909">IF(ISBLANK(_xlfn.xlookup(E$3,daily_items,_xlfn.xlookup($C909,daily_dates,big_daily_table))),NA(),_xlfn.xlookup(E$3,daily_items,_xlfn.xlookup($C909,daily_dates,big_daily_table)))</f>
        <v>#NAME?</v>
      </c>
    </row>
    <row r="910" customFormat="false" ht="14.25" hidden="false" customHeight="false" outlineLevel="0" collapsed="false">
      <c r="B910" s="7" t="n">
        <v>41815</v>
      </c>
      <c r="C910" s="7" t="n">
        <f aca="false">B910-WEEKDAY(B910)+1</f>
        <v>41812</v>
      </c>
      <c r="D910" s="1" t="e">
        <f aca="false" t="array" ref="D910:D910">IF(ISBLANK(_xlfn.xlookup(D$3,daily_items,_xlfn.xlookup($C910,daily_dates,big_daily_table))),NA(),_xlfn.xlookup(D$3,daily_items,_xlfn.xlookup($C910,daily_dates,big_daily_table)))</f>
        <v>#NAME?</v>
      </c>
      <c r="E910" s="1" t="e">
        <f aca="false" t="array" ref="E910:E910">IF(ISBLANK(_xlfn.xlookup(E$3,daily_items,_xlfn.xlookup($C910,daily_dates,big_daily_table))),NA(),_xlfn.xlookup(E$3,daily_items,_xlfn.xlookup($C910,daily_dates,big_daily_table)))</f>
        <v>#NAME?</v>
      </c>
    </row>
    <row r="911" customFormat="false" ht="14.25" hidden="false" customHeight="false" outlineLevel="0" collapsed="false">
      <c r="B911" s="7" t="n">
        <v>41816</v>
      </c>
      <c r="C911" s="7" t="n">
        <f aca="false">B911-WEEKDAY(B911)+1</f>
        <v>41812</v>
      </c>
      <c r="D911" s="1" t="e">
        <f aca="false" t="array" ref="D911:D911">IF(ISBLANK(_xlfn.xlookup(D$3,daily_items,_xlfn.xlookup($C911,daily_dates,big_daily_table))),NA(),_xlfn.xlookup(D$3,daily_items,_xlfn.xlookup($C911,daily_dates,big_daily_table)))</f>
        <v>#NAME?</v>
      </c>
      <c r="E911" s="1" t="e">
        <f aca="false" t="array" ref="E911:E911">IF(ISBLANK(_xlfn.xlookup(E$3,daily_items,_xlfn.xlookup($C911,daily_dates,big_daily_table))),NA(),_xlfn.xlookup(E$3,daily_items,_xlfn.xlookup($C911,daily_dates,big_daily_table)))</f>
        <v>#NAME?</v>
      </c>
    </row>
    <row r="912" customFormat="false" ht="14.25" hidden="false" customHeight="false" outlineLevel="0" collapsed="false">
      <c r="B912" s="7" t="n">
        <v>41817</v>
      </c>
      <c r="C912" s="7" t="n">
        <f aca="false">B912-WEEKDAY(B912)+1</f>
        <v>41812</v>
      </c>
      <c r="D912" s="1" t="e">
        <f aca="false" t="array" ref="D912:D912">IF(ISBLANK(_xlfn.xlookup(D$3,daily_items,_xlfn.xlookup($C912,daily_dates,big_daily_table))),NA(),_xlfn.xlookup(D$3,daily_items,_xlfn.xlookup($C912,daily_dates,big_daily_table)))</f>
        <v>#NAME?</v>
      </c>
      <c r="E912" s="1" t="e">
        <f aca="false" t="array" ref="E912:E912">IF(ISBLANK(_xlfn.xlookup(E$3,daily_items,_xlfn.xlookup($C912,daily_dates,big_daily_table))),NA(),_xlfn.xlookup(E$3,daily_items,_xlfn.xlookup($C912,daily_dates,big_daily_table)))</f>
        <v>#NAME?</v>
      </c>
    </row>
    <row r="913" customFormat="false" ht="14.25" hidden="false" customHeight="false" outlineLevel="0" collapsed="false">
      <c r="B913" s="7" t="n">
        <v>41818</v>
      </c>
      <c r="C913" s="7" t="n">
        <f aca="false">B913-WEEKDAY(B913)+1</f>
        <v>41812</v>
      </c>
      <c r="D913" s="1" t="e">
        <f aca="false" t="array" ref="D913:D913">IF(ISBLANK(_xlfn.xlookup(D$3,daily_items,_xlfn.xlookup($C913,daily_dates,big_daily_table))),NA(),_xlfn.xlookup(D$3,daily_items,_xlfn.xlookup($C913,daily_dates,big_daily_table)))</f>
        <v>#NAME?</v>
      </c>
      <c r="E913" s="1" t="e">
        <f aca="false" t="array" ref="E913:E913">IF(ISBLANK(_xlfn.xlookup(E$3,daily_items,_xlfn.xlookup($C913,daily_dates,big_daily_table))),NA(),_xlfn.xlookup(E$3,daily_items,_xlfn.xlookup($C913,daily_dates,big_daily_table)))</f>
        <v>#NAME?</v>
      </c>
    </row>
    <row r="914" customFormat="false" ht="14.25" hidden="false" customHeight="false" outlineLevel="0" collapsed="false">
      <c r="B914" s="7" t="n">
        <v>41819</v>
      </c>
      <c r="C914" s="7" t="n">
        <f aca="false">B914-WEEKDAY(B914)+1</f>
        <v>41819</v>
      </c>
      <c r="D914" s="1" t="e">
        <f aca="false" t="array" ref="D914:D914">IF(ISBLANK(_xlfn.xlookup(D$3,daily_items,_xlfn.xlookup($C914,daily_dates,big_daily_table))),NA(),_xlfn.xlookup(D$3,daily_items,_xlfn.xlookup($C914,daily_dates,big_daily_table)))</f>
        <v>#NAME?</v>
      </c>
      <c r="E914" s="1" t="e">
        <f aca="false" t="array" ref="E914:E914">IF(ISBLANK(_xlfn.xlookup(E$3,daily_items,_xlfn.xlookup($C914,daily_dates,big_daily_table))),NA(),_xlfn.xlookup(E$3,daily_items,_xlfn.xlookup($C914,daily_dates,big_daily_table)))</f>
        <v>#NAME?</v>
      </c>
    </row>
    <row r="915" customFormat="false" ht="14.25" hidden="false" customHeight="false" outlineLevel="0" collapsed="false">
      <c r="B915" s="7" t="n">
        <v>41820</v>
      </c>
      <c r="C915" s="7" t="n">
        <f aca="false">B915-WEEKDAY(B915)+1</f>
        <v>41819</v>
      </c>
      <c r="D915" s="1" t="e">
        <f aca="false" t="array" ref="D915:D915">IF(ISBLANK(_xlfn.xlookup(D$3,daily_items,_xlfn.xlookup($C915,daily_dates,big_daily_table))),NA(),_xlfn.xlookup(D$3,daily_items,_xlfn.xlookup($C915,daily_dates,big_daily_table)))</f>
        <v>#NAME?</v>
      </c>
      <c r="E915" s="1" t="e">
        <f aca="false" t="array" ref="E915:E915">IF(ISBLANK(_xlfn.xlookup(E$3,daily_items,_xlfn.xlookup($C915,daily_dates,big_daily_table))),NA(),_xlfn.xlookup(E$3,daily_items,_xlfn.xlookup($C915,daily_dates,big_daily_table)))</f>
        <v>#NAME?</v>
      </c>
    </row>
    <row r="916" customFormat="false" ht="14.25" hidden="false" customHeight="false" outlineLevel="0" collapsed="false">
      <c r="B916" s="7" t="n">
        <v>41821</v>
      </c>
      <c r="C916" s="7" t="n">
        <f aca="false">B916-WEEKDAY(B916)+1</f>
        <v>41819</v>
      </c>
      <c r="D916" s="1" t="e">
        <f aca="false" t="array" ref="D916:D916">IF(ISBLANK(_xlfn.xlookup(D$3,daily_items,_xlfn.xlookup($C916,daily_dates,big_daily_table))),NA(),_xlfn.xlookup(D$3,daily_items,_xlfn.xlookup($C916,daily_dates,big_daily_table)))</f>
        <v>#NAME?</v>
      </c>
      <c r="E916" s="1" t="e">
        <f aca="false" t="array" ref="E916:E916">IF(ISBLANK(_xlfn.xlookup(E$3,daily_items,_xlfn.xlookup($C916,daily_dates,big_daily_table))),NA(),_xlfn.xlookup(E$3,daily_items,_xlfn.xlookup($C916,daily_dates,big_daily_table)))</f>
        <v>#NAME?</v>
      </c>
    </row>
    <row r="917" customFormat="false" ht="14.25" hidden="false" customHeight="false" outlineLevel="0" collapsed="false">
      <c r="B917" s="7" t="n">
        <v>41822</v>
      </c>
      <c r="C917" s="7" t="n">
        <f aca="false">B917-WEEKDAY(B917)+1</f>
        <v>41819</v>
      </c>
      <c r="D917" s="1" t="e">
        <f aca="false" t="array" ref="D917:D917">IF(ISBLANK(_xlfn.xlookup(D$3,daily_items,_xlfn.xlookup($C917,daily_dates,big_daily_table))),NA(),_xlfn.xlookup(D$3,daily_items,_xlfn.xlookup($C917,daily_dates,big_daily_table)))</f>
        <v>#NAME?</v>
      </c>
      <c r="E917" s="1" t="e">
        <f aca="false" t="array" ref="E917:E917">IF(ISBLANK(_xlfn.xlookup(E$3,daily_items,_xlfn.xlookup($C917,daily_dates,big_daily_table))),NA(),_xlfn.xlookup(E$3,daily_items,_xlfn.xlookup($C917,daily_dates,big_daily_table)))</f>
        <v>#NAME?</v>
      </c>
    </row>
    <row r="918" customFormat="false" ht="14.25" hidden="false" customHeight="false" outlineLevel="0" collapsed="false">
      <c r="B918" s="7" t="n">
        <v>41823</v>
      </c>
      <c r="C918" s="7" t="n">
        <f aca="false">B918-WEEKDAY(B918)+1</f>
        <v>41819</v>
      </c>
      <c r="D918" s="1" t="e">
        <f aca="false" t="array" ref="D918:D918">IF(ISBLANK(_xlfn.xlookup(D$3,daily_items,_xlfn.xlookup($C918,daily_dates,big_daily_table))),NA(),_xlfn.xlookup(D$3,daily_items,_xlfn.xlookup($C918,daily_dates,big_daily_table)))</f>
        <v>#NAME?</v>
      </c>
      <c r="E918" s="1" t="e">
        <f aca="false" t="array" ref="E918:E918">IF(ISBLANK(_xlfn.xlookup(E$3,daily_items,_xlfn.xlookup($C918,daily_dates,big_daily_table))),NA(),_xlfn.xlookup(E$3,daily_items,_xlfn.xlookup($C918,daily_dates,big_daily_table)))</f>
        <v>#NAME?</v>
      </c>
    </row>
    <row r="919" customFormat="false" ht="14.25" hidden="false" customHeight="false" outlineLevel="0" collapsed="false">
      <c r="B919" s="7" t="n">
        <v>41824</v>
      </c>
      <c r="C919" s="7" t="n">
        <f aca="false">B919-WEEKDAY(B919)+1</f>
        <v>41819</v>
      </c>
      <c r="D919" s="1" t="e">
        <f aca="false" t="array" ref="D919:D919">IF(ISBLANK(_xlfn.xlookup(D$3,daily_items,_xlfn.xlookup($C919,daily_dates,big_daily_table))),NA(),_xlfn.xlookup(D$3,daily_items,_xlfn.xlookup($C919,daily_dates,big_daily_table)))</f>
        <v>#NAME?</v>
      </c>
      <c r="E919" s="1" t="e">
        <f aca="false" t="array" ref="E919:E919">IF(ISBLANK(_xlfn.xlookup(E$3,daily_items,_xlfn.xlookup($C919,daily_dates,big_daily_table))),NA(),_xlfn.xlookup(E$3,daily_items,_xlfn.xlookup($C919,daily_dates,big_daily_table)))</f>
        <v>#NAME?</v>
      </c>
    </row>
    <row r="920" customFormat="false" ht="14.25" hidden="false" customHeight="false" outlineLevel="0" collapsed="false">
      <c r="B920" s="7" t="n">
        <v>41825</v>
      </c>
      <c r="C920" s="7" t="n">
        <f aca="false">B920-WEEKDAY(B920)+1</f>
        <v>41819</v>
      </c>
      <c r="D920" s="1" t="e">
        <f aca="false" t="array" ref="D920:D920">IF(ISBLANK(_xlfn.xlookup(D$3,daily_items,_xlfn.xlookup($C920,daily_dates,big_daily_table))),NA(),_xlfn.xlookup(D$3,daily_items,_xlfn.xlookup($C920,daily_dates,big_daily_table)))</f>
        <v>#NAME?</v>
      </c>
      <c r="E920" s="1" t="e">
        <f aca="false" t="array" ref="E920:E920">IF(ISBLANK(_xlfn.xlookup(E$3,daily_items,_xlfn.xlookup($C920,daily_dates,big_daily_table))),NA(),_xlfn.xlookup(E$3,daily_items,_xlfn.xlookup($C920,daily_dates,big_daily_table)))</f>
        <v>#NAME?</v>
      </c>
    </row>
    <row r="921" customFormat="false" ht="14.25" hidden="false" customHeight="false" outlineLevel="0" collapsed="false">
      <c r="B921" s="7" t="n">
        <v>41826</v>
      </c>
      <c r="C921" s="7" t="n">
        <f aca="false">B921-WEEKDAY(B921)+1</f>
        <v>41826</v>
      </c>
      <c r="D921" s="1" t="e">
        <f aca="false" t="array" ref="D921:D921">IF(ISBLANK(_xlfn.xlookup(D$3,daily_items,_xlfn.xlookup($C921,daily_dates,big_daily_table))),NA(),_xlfn.xlookup(D$3,daily_items,_xlfn.xlookup($C921,daily_dates,big_daily_table)))</f>
        <v>#NAME?</v>
      </c>
      <c r="E921" s="1" t="e">
        <f aca="false" t="array" ref="E921:E921">IF(ISBLANK(_xlfn.xlookup(E$3,daily_items,_xlfn.xlookup($C921,daily_dates,big_daily_table))),NA(),_xlfn.xlookup(E$3,daily_items,_xlfn.xlookup($C921,daily_dates,big_daily_table)))</f>
        <v>#NAME?</v>
      </c>
    </row>
    <row r="922" customFormat="false" ht="14.25" hidden="false" customHeight="false" outlineLevel="0" collapsed="false">
      <c r="B922" s="7" t="n">
        <v>41827</v>
      </c>
      <c r="C922" s="7" t="n">
        <f aca="false">B922-WEEKDAY(B922)+1</f>
        <v>41826</v>
      </c>
      <c r="D922" s="1" t="e">
        <f aca="false" t="array" ref="D922:D922">IF(ISBLANK(_xlfn.xlookup(D$3,daily_items,_xlfn.xlookup($C922,daily_dates,big_daily_table))),NA(),_xlfn.xlookup(D$3,daily_items,_xlfn.xlookup($C922,daily_dates,big_daily_table)))</f>
        <v>#NAME?</v>
      </c>
      <c r="E922" s="1" t="e">
        <f aca="false" t="array" ref="E922:E922">IF(ISBLANK(_xlfn.xlookup(E$3,daily_items,_xlfn.xlookup($C922,daily_dates,big_daily_table))),NA(),_xlfn.xlookup(E$3,daily_items,_xlfn.xlookup($C922,daily_dates,big_daily_table)))</f>
        <v>#NAME?</v>
      </c>
    </row>
    <row r="923" customFormat="false" ht="14.25" hidden="false" customHeight="false" outlineLevel="0" collapsed="false">
      <c r="B923" s="7" t="n">
        <v>41828</v>
      </c>
      <c r="C923" s="7" t="n">
        <f aca="false">B923-WEEKDAY(B923)+1</f>
        <v>41826</v>
      </c>
      <c r="D923" s="1" t="e">
        <f aca="false" t="array" ref="D923:D923">IF(ISBLANK(_xlfn.xlookup(D$3,daily_items,_xlfn.xlookup($C923,daily_dates,big_daily_table))),NA(),_xlfn.xlookup(D$3,daily_items,_xlfn.xlookup($C923,daily_dates,big_daily_table)))</f>
        <v>#NAME?</v>
      </c>
      <c r="E923" s="1" t="e">
        <f aca="false" t="array" ref="E923:E923">IF(ISBLANK(_xlfn.xlookup(E$3,daily_items,_xlfn.xlookup($C923,daily_dates,big_daily_table))),NA(),_xlfn.xlookup(E$3,daily_items,_xlfn.xlookup($C923,daily_dates,big_daily_table)))</f>
        <v>#NAME?</v>
      </c>
    </row>
    <row r="924" customFormat="false" ht="14.25" hidden="false" customHeight="false" outlineLevel="0" collapsed="false">
      <c r="B924" s="7" t="n">
        <v>41829</v>
      </c>
      <c r="C924" s="7" t="n">
        <f aca="false">B924-WEEKDAY(B924)+1</f>
        <v>41826</v>
      </c>
      <c r="D924" s="1" t="e">
        <f aca="false" t="array" ref="D924:D924">IF(ISBLANK(_xlfn.xlookup(D$3,daily_items,_xlfn.xlookup($C924,daily_dates,big_daily_table))),NA(),_xlfn.xlookup(D$3,daily_items,_xlfn.xlookup($C924,daily_dates,big_daily_table)))</f>
        <v>#NAME?</v>
      </c>
      <c r="E924" s="1" t="e">
        <f aca="false" t="array" ref="E924:E924">IF(ISBLANK(_xlfn.xlookup(E$3,daily_items,_xlfn.xlookup($C924,daily_dates,big_daily_table))),NA(),_xlfn.xlookup(E$3,daily_items,_xlfn.xlookup($C924,daily_dates,big_daily_table)))</f>
        <v>#NAME?</v>
      </c>
    </row>
    <row r="925" customFormat="false" ht="14.25" hidden="false" customHeight="false" outlineLevel="0" collapsed="false">
      <c r="B925" s="7" t="n">
        <v>41830</v>
      </c>
      <c r="C925" s="7" t="n">
        <f aca="false">B925-WEEKDAY(B925)+1</f>
        <v>41826</v>
      </c>
      <c r="D925" s="1" t="e">
        <f aca="false" t="array" ref="D925:D925">IF(ISBLANK(_xlfn.xlookup(D$3,daily_items,_xlfn.xlookup($C925,daily_dates,big_daily_table))),NA(),_xlfn.xlookup(D$3,daily_items,_xlfn.xlookup($C925,daily_dates,big_daily_table)))</f>
        <v>#NAME?</v>
      </c>
      <c r="E925" s="1" t="e">
        <f aca="false" t="array" ref="E925:E925">IF(ISBLANK(_xlfn.xlookup(E$3,daily_items,_xlfn.xlookup($C925,daily_dates,big_daily_table))),NA(),_xlfn.xlookup(E$3,daily_items,_xlfn.xlookup($C925,daily_dates,big_daily_table)))</f>
        <v>#NAME?</v>
      </c>
    </row>
    <row r="926" customFormat="false" ht="14.25" hidden="false" customHeight="false" outlineLevel="0" collapsed="false">
      <c r="B926" s="7" t="n">
        <v>41831</v>
      </c>
      <c r="C926" s="7" t="n">
        <f aca="false">B926-WEEKDAY(B926)+1</f>
        <v>41826</v>
      </c>
      <c r="D926" s="1" t="e">
        <f aca="false" t="array" ref="D926:D926">IF(ISBLANK(_xlfn.xlookup(D$3,daily_items,_xlfn.xlookup($C926,daily_dates,big_daily_table))),NA(),_xlfn.xlookup(D$3,daily_items,_xlfn.xlookup($C926,daily_dates,big_daily_table)))</f>
        <v>#NAME?</v>
      </c>
      <c r="E926" s="1" t="e">
        <f aca="false" t="array" ref="E926:E926">IF(ISBLANK(_xlfn.xlookup(E$3,daily_items,_xlfn.xlookup($C926,daily_dates,big_daily_table))),NA(),_xlfn.xlookup(E$3,daily_items,_xlfn.xlookup($C926,daily_dates,big_daily_table)))</f>
        <v>#NAME?</v>
      </c>
    </row>
    <row r="927" customFormat="false" ht="14.25" hidden="false" customHeight="false" outlineLevel="0" collapsed="false">
      <c r="B927" s="7" t="n">
        <v>41832</v>
      </c>
      <c r="C927" s="7" t="n">
        <f aca="false">B927-WEEKDAY(B927)+1</f>
        <v>41826</v>
      </c>
      <c r="D927" s="1" t="e">
        <f aca="false" t="array" ref="D927:D927">IF(ISBLANK(_xlfn.xlookup(D$3,daily_items,_xlfn.xlookup($C927,daily_dates,big_daily_table))),NA(),_xlfn.xlookup(D$3,daily_items,_xlfn.xlookup($C927,daily_dates,big_daily_table)))</f>
        <v>#NAME?</v>
      </c>
      <c r="E927" s="1" t="e">
        <f aca="false" t="array" ref="E927:E927">IF(ISBLANK(_xlfn.xlookup(E$3,daily_items,_xlfn.xlookup($C927,daily_dates,big_daily_table))),NA(),_xlfn.xlookup(E$3,daily_items,_xlfn.xlookup($C927,daily_dates,big_daily_table)))</f>
        <v>#NAME?</v>
      </c>
    </row>
    <row r="928" customFormat="false" ht="14.25" hidden="false" customHeight="false" outlineLevel="0" collapsed="false">
      <c r="B928" s="7" t="n">
        <v>41833</v>
      </c>
      <c r="C928" s="7" t="n">
        <f aca="false">B928-WEEKDAY(B928)+1</f>
        <v>41833</v>
      </c>
      <c r="D928" s="1" t="e">
        <f aca="false" t="array" ref="D928:D928">IF(ISBLANK(_xlfn.xlookup(D$3,daily_items,_xlfn.xlookup($C928,daily_dates,big_daily_table))),NA(),_xlfn.xlookup(D$3,daily_items,_xlfn.xlookup($C928,daily_dates,big_daily_table)))</f>
        <v>#NAME?</v>
      </c>
      <c r="E928" s="1" t="e">
        <f aca="false" t="array" ref="E928:E928">IF(ISBLANK(_xlfn.xlookup(E$3,daily_items,_xlfn.xlookup($C928,daily_dates,big_daily_table))),NA(),_xlfn.xlookup(E$3,daily_items,_xlfn.xlookup($C928,daily_dates,big_daily_table)))</f>
        <v>#NAME?</v>
      </c>
    </row>
    <row r="929" customFormat="false" ht="14.25" hidden="false" customHeight="false" outlineLevel="0" collapsed="false">
      <c r="B929" s="7" t="n">
        <v>41834</v>
      </c>
      <c r="C929" s="7" t="n">
        <f aca="false">B929-WEEKDAY(B929)+1</f>
        <v>41833</v>
      </c>
      <c r="D929" s="1" t="e">
        <f aca="false" t="array" ref="D929:D929">IF(ISBLANK(_xlfn.xlookup(D$3,daily_items,_xlfn.xlookup($C929,daily_dates,big_daily_table))),NA(),_xlfn.xlookup(D$3,daily_items,_xlfn.xlookup($C929,daily_dates,big_daily_table)))</f>
        <v>#NAME?</v>
      </c>
      <c r="E929" s="1" t="e">
        <f aca="false" t="array" ref="E929:E929">IF(ISBLANK(_xlfn.xlookup(E$3,daily_items,_xlfn.xlookup($C929,daily_dates,big_daily_table))),NA(),_xlfn.xlookup(E$3,daily_items,_xlfn.xlookup($C929,daily_dates,big_daily_table)))</f>
        <v>#NAME?</v>
      </c>
    </row>
    <row r="930" customFormat="false" ht="14.25" hidden="false" customHeight="false" outlineLevel="0" collapsed="false">
      <c r="B930" s="7" t="n">
        <v>41835</v>
      </c>
      <c r="C930" s="7" t="n">
        <f aca="false">B930-WEEKDAY(B930)+1</f>
        <v>41833</v>
      </c>
      <c r="D930" s="1" t="e">
        <f aca="false" t="array" ref="D930:D930">IF(ISBLANK(_xlfn.xlookup(D$3,daily_items,_xlfn.xlookup($C930,daily_dates,big_daily_table))),NA(),_xlfn.xlookup(D$3,daily_items,_xlfn.xlookup($C930,daily_dates,big_daily_table)))</f>
        <v>#NAME?</v>
      </c>
      <c r="E930" s="1" t="e">
        <f aca="false" t="array" ref="E930:E930">IF(ISBLANK(_xlfn.xlookup(E$3,daily_items,_xlfn.xlookup($C930,daily_dates,big_daily_table))),NA(),_xlfn.xlookup(E$3,daily_items,_xlfn.xlookup($C930,daily_dates,big_daily_table)))</f>
        <v>#NAME?</v>
      </c>
    </row>
    <row r="931" customFormat="false" ht="14.25" hidden="false" customHeight="false" outlineLevel="0" collapsed="false">
      <c r="B931" s="7" t="n">
        <v>41836</v>
      </c>
      <c r="C931" s="7" t="n">
        <f aca="false">B931-WEEKDAY(B931)+1</f>
        <v>41833</v>
      </c>
      <c r="D931" s="1" t="e">
        <f aca="false" t="array" ref="D931:D931">IF(ISBLANK(_xlfn.xlookup(D$3,daily_items,_xlfn.xlookup($C931,daily_dates,big_daily_table))),NA(),_xlfn.xlookup(D$3,daily_items,_xlfn.xlookup($C931,daily_dates,big_daily_table)))</f>
        <v>#NAME?</v>
      </c>
      <c r="E931" s="1" t="e">
        <f aca="false" t="array" ref="E931:E931">IF(ISBLANK(_xlfn.xlookup(E$3,daily_items,_xlfn.xlookup($C931,daily_dates,big_daily_table))),NA(),_xlfn.xlookup(E$3,daily_items,_xlfn.xlookup($C931,daily_dates,big_daily_table)))</f>
        <v>#NAME?</v>
      </c>
    </row>
    <row r="932" customFormat="false" ht="14.25" hidden="false" customHeight="false" outlineLevel="0" collapsed="false">
      <c r="B932" s="7" t="n">
        <v>41837</v>
      </c>
      <c r="C932" s="7" t="n">
        <f aca="false">B932-WEEKDAY(B932)+1</f>
        <v>41833</v>
      </c>
      <c r="D932" s="1" t="e">
        <f aca="false" t="array" ref="D932:D932">IF(ISBLANK(_xlfn.xlookup(D$3,daily_items,_xlfn.xlookup($C932,daily_dates,big_daily_table))),NA(),_xlfn.xlookup(D$3,daily_items,_xlfn.xlookup($C932,daily_dates,big_daily_table)))</f>
        <v>#NAME?</v>
      </c>
      <c r="E932" s="1" t="e">
        <f aca="false" t="array" ref="E932:E932">IF(ISBLANK(_xlfn.xlookup(E$3,daily_items,_xlfn.xlookup($C932,daily_dates,big_daily_table))),NA(),_xlfn.xlookup(E$3,daily_items,_xlfn.xlookup($C932,daily_dates,big_daily_table)))</f>
        <v>#NAME?</v>
      </c>
    </row>
    <row r="933" customFormat="false" ht="14.25" hidden="false" customHeight="false" outlineLevel="0" collapsed="false">
      <c r="B933" s="7" t="n">
        <v>41838</v>
      </c>
      <c r="C933" s="7" t="n">
        <f aca="false">B933-WEEKDAY(B933)+1</f>
        <v>41833</v>
      </c>
      <c r="D933" s="1" t="e">
        <f aca="false" t="array" ref="D933:D933">IF(ISBLANK(_xlfn.xlookup(D$3,daily_items,_xlfn.xlookup($C933,daily_dates,big_daily_table))),NA(),_xlfn.xlookup(D$3,daily_items,_xlfn.xlookup($C933,daily_dates,big_daily_table)))</f>
        <v>#NAME?</v>
      </c>
      <c r="E933" s="1" t="e">
        <f aca="false" t="array" ref="E933:E933">IF(ISBLANK(_xlfn.xlookup(E$3,daily_items,_xlfn.xlookup($C933,daily_dates,big_daily_table))),NA(),_xlfn.xlookup(E$3,daily_items,_xlfn.xlookup($C933,daily_dates,big_daily_table)))</f>
        <v>#NAME?</v>
      </c>
    </row>
    <row r="934" customFormat="false" ht="14.25" hidden="false" customHeight="false" outlineLevel="0" collapsed="false">
      <c r="B934" s="7" t="n">
        <v>41839</v>
      </c>
      <c r="C934" s="7" t="n">
        <f aca="false">B934-WEEKDAY(B934)+1</f>
        <v>41833</v>
      </c>
      <c r="D934" s="1" t="e">
        <f aca="false" t="array" ref="D934:D934">IF(ISBLANK(_xlfn.xlookup(D$3,daily_items,_xlfn.xlookup($C934,daily_dates,big_daily_table))),NA(),_xlfn.xlookup(D$3,daily_items,_xlfn.xlookup($C934,daily_dates,big_daily_table)))</f>
        <v>#NAME?</v>
      </c>
      <c r="E934" s="1" t="e">
        <f aca="false" t="array" ref="E934:E934">IF(ISBLANK(_xlfn.xlookup(E$3,daily_items,_xlfn.xlookup($C934,daily_dates,big_daily_table))),NA(),_xlfn.xlookup(E$3,daily_items,_xlfn.xlookup($C934,daily_dates,big_daily_table)))</f>
        <v>#NAME?</v>
      </c>
    </row>
    <row r="935" customFormat="false" ht="14.25" hidden="false" customHeight="false" outlineLevel="0" collapsed="false">
      <c r="B935" s="7" t="n">
        <v>41840</v>
      </c>
      <c r="C935" s="7" t="n">
        <f aca="false">B935-WEEKDAY(B935)+1</f>
        <v>41840</v>
      </c>
      <c r="D935" s="1" t="e">
        <f aca="false" t="array" ref="D935:D935">IF(ISBLANK(_xlfn.xlookup(D$3,daily_items,_xlfn.xlookup($C935,daily_dates,big_daily_table))),NA(),_xlfn.xlookup(D$3,daily_items,_xlfn.xlookup($C935,daily_dates,big_daily_table)))</f>
        <v>#NAME?</v>
      </c>
      <c r="E935" s="1" t="e">
        <f aca="false" t="array" ref="E935:E935">IF(ISBLANK(_xlfn.xlookup(E$3,daily_items,_xlfn.xlookup($C935,daily_dates,big_daily_table))),NA(),_xlfn.xlookup(E$3,daily_items,_xlfn.xlookup($C935,daily_dates,big_daily_table)))</f>
        <v>#NAME?</v>
      </c>
    </row>
    <row r="936" customFormat="false" ht="14.25" hidden="false" customHeight="false" outlineLevel="0" collapsed="false">
      <c r="B936" s="7" t="n">
        <v>41841</v>
      </c>
      <c r="C936" s="7" t="n">
        <f aca="false">B936-WEEKDAY(B936)+1</f>
        <v>41840</v>
      </c>
      <c r="D936" s="1" t="e">
        <f aca="false" t="array" ref="D936:D936">IF(ISBLANK(_xlfn.xlookup(D$3,daily_items,_xlfn.xlookup($C936,daily_dates,big_daily_table))),NA(),_xlfn.xlookup(D$3,daily_items,_xlfn.xlookup($C936,daily_dates,big_daily_table)))</f>
        <v>#NAME?</v>
      </c>
      <c r="E936" s="1" t="e">
        <f aca="false" t="array" ref="E936:E936">IF(ISBLANK(_xlfn.xlookup(E$3,daily_items,_xlfn.xlookup($C936,daily_dates,big_daily_table))),NA(),_xlfn.xlookup(E$3,daily_items,_xlfn.xlookup($C936,daily_dates,big_daily_table)))</f>
        <v>#NAME?</v>
      </c>
    </row>
    <row r="937" customFormat="false" ht="14.25" hidden="false" customHeight="false" outlineLevel="0" collapsed="false">
      <c r="B937" s="7" t="n">
        <v>41842</v>
      </c>
      <c r="C937" s="7" t="n">
        <f aca="false">B937-WEEKDAY(B937)+1</f>
        <v>41840</v>
      </c>
      <c r="D937" s="1" t="e">
        <f aca="false" t="array" ref="D937:D937">IF(ISBLANK(_xlfn.xlookup(D$3,daily_items,_xlfn.xlookup($C937,daily_dates,big_daily_table))),NA(),_xlfn.xlookup(D$3,daily_items,_xlfn.xlookup($C937,daily_dates,big_daily_table)))</f>
        <v>#NAME?</v>
      </c>
      <c r="E937" s="1" t="e">
        <f aca="false" t="array" ref="E937:E937">IF(ISBLANK(_xlfn.xlookup(E$3,daily_items,_xlfn.xlookup($C937,daily_dates,big_daily_table))),NA(),_xlfn.xlookup(E$3,daily_items,_xlfn.xlookup($C937,daily_dates,big_daily_table)))</f>
        <v>#NAME?</v>
      </c>
    </row>
    <row r="938" customFormat="false" ht="14.25" hidden="false" customHeight="false" outlineLevel="0" collapsed="false">
      <c r="B938" s="7" t="n">
        <v>41843</v>
      </c>
      <c r="C938" s="7" t="n">
        <f aca="false">B938-WEEKDAY(B938)+1</f>
        <v>41840</v>
      </c>
      <c r="D938" s="1" t="e">
        <f aca="false" t="array" ref="D938:D938">IF(ISBLANK(_xlfn.xlookup(D$3,daily_items,_xlfn.xlookup($C938,daily_dates,big_daily_table))),NA(),_xlfn.xlookup(D$3,daily_items,_xlfn.xlookup($C938,daily_dates,big_daily_table)))</f>
        <v>#NAME?</v>
      </c>
      <c r="E938" s="1" t="e">
        <f aca="false" t="array" ref="E938:E938">IF(ISBLANK(_xlfn.xlookup(E$3,daily_items,_xlfn.xlookup($C938,daily_dates,big_daily_table))),NA(),_xlfn.xlookup(E$3,daily_items,_xlfn.xlookup($C938,daily_dates,big_daily_table)))</f>
        <v>#NAME?</v>
      </c>
    </row>
    <row r="939" customFormat="false" ht="14.25" hidden="false" customHeight="false" outlineLevel="0" collapsed="false">
      <c r="B939" s="7" t="n">
        <v>41844</v>
      </c>
      <c r="C939" s="7" t="n">
        <f aca="false">B939-WEEKDAY(B939)+1</f>
        <v>41840</v>
      </c>
      <c r="D939" s="1" t="e">
        <f aca="false" t="array" ref="D939:D939">IF(ISBLANK(_xlfn.xlookup(D$3,daily_items,_xlfn.xlookup($C939,daily_dates,big_daily_table))),NA(),_xlfn.xlookup(D$3,daily_items,_xlfn.xlookup($C939,daily_dates,big_daily_table)))</f>
        <v>#NAME?</v>
      </c>
      <c r="E939" s="1" t="e">
        <f aca="false" t="array" ref="E939:E939">IF(ISBLANK(_xlfn.xlookup(E$3,daily_items,_xlfn.xlookup($C939,daily_dates,big_daily_table))),NA(),_xlfn.xlookup(E$3,daily_items,_xlfn.xlookup($C939,daily_dates,big_daily_table)))</f>
        <v>#NAME?</v>
      </c>
    </row>
    <row r="940" customFormat="false" ht="14.25" hidden="false" customHeight="false" outlineLevel="0" collapsed="false">
      <c r="B940" s="7" t="n">
        <v>41845</v>
      </c>
      <c r="C940" s="7" t="n">
        <f aca="false">B940-WEEKDAY(B940)+1</f>
        <v>41840</v>
      </c>
      <c r="D940" s="1" t="e">
        <f aca="false" t="array" ref="D940:D940">IF(ISBLANK(_xlfn.xlookup(D$3,daily_items,_xlfn.xlookup($C940,daily_dates,big_daily_table))),NA(),_xlfn.xlookup(D$3,daily_items,_xlfn.xlookup($C940,daily_dates,big_daily_table)))</f>
        <v>#NAME?</v>
      </c>
      <c r="E940" s="1" t="e">
        <f aca="false" t="array" ref="E940:E940">IF(ISBLANK(_xlfn.xlookup(E$3,daily_items,_xlfn.xlookup($C940,daily_dates,big_daily_table))),NA(),_xlfn.xlookup(E$3,daily_items,_xlfn.xlookup($C940,daily_dates,big_daily_table)))</f>
        <v>#NAME?</v>
      </c>
    </row>
    <row r="941" customFormat="false" ht="14.25" hidden="false" customHeight="false" outlineLevel="0" collapsed="false">
      <c r="B941" s="7" t="n">
        <v>41846</v>
      </c>
      <c r="C941" s="7" t="n">
        <f aca="false">B941-WEEKDAY(B941)+1</f>
        <v>41840</v>
      </c>
      <c r="D941" s="1" t="e">
        <f aca="false" t="array" ref="D941:D941">IF(ISBLANK(_xlfn.xlookup(D$3,daily_items,_xlfn.xlookup($C941,daily_dates,big_daily_table))),NA(),_xlfn.xlookup(D$3,daily_items,_xlfn.xlookup($C941,daily_dates,big_daily_table)))</f>
        <v>#NAME?</v>
      </c>
      <c r="E941" s="1" t="e">
        <f aca="false" t="array" ref="E941:E941">IF(ISBLANK(_xlfn.xlookup(E$3,daily_items,_xlfn.xlookup($C941,daily_dates,big_daily_table))),NA(),_xlfn.xlookup(E$3,daily_items,_xlfn.xlookup($C941,daily_dates,big_daily_table)))</f>
        <v>#NAME?</v>
      </c>
    </row>
    <row r="942" customFormat="false" ht="14.25" hidden="false" customHeight="false" outlineLevel="0" collapsed="false">
      <c r="B942" s="7" t="n">
        <v>41847</v>
      </c>
      <c r="C942" s="7" t="n">
        <f aca="false">B942-WEEKDAY(B942)+1</f>
        <v>41847</v>
      </c>
      <c r="D942" s="1" t="e">
        <f aca="false" t="array" ref="D942:D942">IF(ISBLANK(_xlfn.xlookup(D$3,daily_items,_xlfn.xlookup($C942,daily_dates,big_daily_table))),NA(),_xlfn.xlookup(D$3,daily_items,_xlfn.xlookup($C942,daily_dates,big_daily_table)))</f>
        <v>#NAME?</v>
      </c>
      <c r="E942" s="1" t="e">
        <f aca="false" t="array" ref="E942:E942">IF(ISBLANK(_xlfn.xlookup(E$3,daily_items,_xlfn.xlookup($C942,daily_dates,big_daily_table))),NA(),_xlfn.xlookup(E$3,daily_items,_xlfn.xlookup($C942,daily_dates,big_daily_table)))</f>
        <v>#NAME?</v>
      </c>
    </row>
    <row r="943" customFormat="false" ht="14.25" hidden="false" customHeight="false" outlineLevel="0" collapsed="false">
      <c r="B943" s="7" t="n">
        <v>41848</v>
      </c>
      <c r="C943" s="7" t="n">
        <f aca="false">B943-WEEKDAY(B943)+1</f>
        <v>41847</v>
      </c>
      <c r="D943" s="1" t="e">
        <f aca="false" t="array" ref="D943:D943">IF(ISBLANK(_xlfn.xlookup(D$3,daily_items,_xlfn.xlookup($C943,daily_dates,big_daily_table))),NA(),_xlfn.xlookup(D$3,daily_items,_xlfn.xlookup($C943,daily_dates,big_daily_table)))</f>
        <v>#NAME?</v>
      </c>
      <c r="E943" s="1" t="e">
        <f aca="false" t="array" ref="E943:E943">IF(ISBLANK(_xlfn.xlookup(E$3,daily_items,_xlfn.xlookup($C943,daily_dates,big_daily_table))),NA(),_xlfn.xlookup(E$3,daily_items,_xlfn.xlookup($C943,daily_dates,big_daily_table)))</f>
        <v>#NAME?</v>
      </c>
    </row>
    <row r="944" customFormat="false" ht="14.25" hidden="false" customHeight="false" outlineLevel="0" collapsed="false">
      <c r="B944" s="7" t="n">
        <v>41849</v>
      </c>
      <c r="C944" s="7" t="n">
        <f aca="false">B944-WEEKDAY(B944)+1</f>
        <v>41847</v>
      </c>
      <c r="D944" s="1" t="e">
        <f aca="false" t="array" ref="D944:D944">IF(ISBLANK(_xlfn.xlookup(D$3,daily_items,_xlfn.xlookup($C944,daily_dates,big_daily_table))),NA(),_xlfn.xlookup(D$3,daily_items,_xlfn.xlookup($C944,daily_dates,big_daily_table)))</f>
        <v>#NAME?</v>
      </c>
      <c r="E944" s="1" t="e">
        <f aca="false" t="array" ref="E944:E944">IF(ISBLANK(_xlfn.xlookup(E$3,daily_items,_xlfn.xlookup($C944,daily_dates,big_daily_table))),NA(),_xlfn.xlookup(E$3,daily_items,_xlfn.xlookup($C944,daily_dates,big_daily_table)))</f>
        <v>#NAME?</v>
      </c>
    </row>
    <row r="945" customFormat="false" ht="14.25" hidden="false" customHeight="false" outlineLevel="0" collapsed="false">
      <c r="B945" s="7" t="n">
        <v>41850</v>
      </c>
      <c r="C945" s="7" t="n">
        <f aca="false">B945-WEEKDAY(B945)+1</f>
        <v>41847</v>
      </c>
      <c r="D945" s="1" t="e">
        <f aca="false" t="array" ref="D945:D945">IF(ISBLANK(_xlfn.xlookup(D$3,daily_items,_xlfn.xlookup($C945,daily_dates,big_daily_table))),NA(),_xlfn.xlookup(D$3,daily_items,_xlfn.xlookup($C945,daily_dates,big_daily_table)))</f>
        <v>#NAME?</v>
      </c>
      <c r="E945" s="1" t="e">
        <f aca="false" t="array" ref="E945:E945">IF(ISBLANK(_xlfn.xlookup(E$3,daily_items,_xlfn.xlookup($C945,daily_dates,big_daily_table))),NA(),_xlfn.xlookup(E$3,daily_items,_xlfn.xlookup($C945,daily_dates,big_daily_table)))</f>
        <v>#NAME?</v>
      </c>
    </row>
    <row r="946" customFormat="false" ht="14.25" hidden="false" customHeight="false" outlineLevel="0" collapsed="false">
      <c r="B946" s="7" t="n">
        <v>41851</v>
      </c>
      <c r="C946" s="7" t="n">
        <f aca="false">B946-WEEKDAY(B946)+1</f>
        <v>41847</v>
      </c>
      <c r="D946" s="1" t="e">
        <f aca="false" t="array" ref="D946:D946">IF(ISBLANK(_xlfn.xlookup(D$3,daily_items,_xlfn.xlookup($C946,daily_dates,big_daily_table))),NA(),_xlfn.xlookup(D$3,daily_items,_xlfn.xlookup($C946,daily_dates,big_daily_table)))</f>
        <v>#NAME?</v>
      </c>
      <c r="E946" s="1" t="e">
        <f aca="false" t="array" ref="E946:E946">IF(ISBLANK(_xlfn.xlookup(E$3,daily_items,_xlfn.xlookup($C946,daily_dates,big_daily_table))),NA(),_xlfn.xlookup(E$3,daily_items,_xlfn.xlookup($C946,daily_dates,big_daily_table)))</f>
        <v>#NAME?</v>
      </c>
    </row>
    <row r="947" customFormat="false" ht="14.25" hidden="false" customHeight="false" outlineLevel="0" collapsed="false">
      <c r="B947" s="7" t="n">
        <v>41852</v>
      </c>
      <c r="C947" s="7" t="n">
        <f aca="false">B947-WEEKDAY(B947)+1</f>
        <v>41847</v>
      </c>
      <c r="D947" s="1" t="e">
        <f aca="false" t="array" ref="D947:D947">IF(ISBLANK(_xlfn.xlookup(D$3,daily_items,_xlfn.xlookup($C947,daily_dates,big_daily_table))),NA(),_xlfn.xlookup(D$3,daily_items,_xlfn.xlookup($C947,daily_dates,big_daily_table)))</f>
        <v>#NAME?</v>
      </c>
      <c r="E947" s="1" t="e">
        <f aca="false" t="array" ref="E947:E947">IF(ISBLANK(_xlfn.xlookup(E$3,daily_items,_xlfn.xlookup($C947,daily_dates,big_daily_table))),NA(),_xlfn.xlookup(E$3,daily_items,_xlfn.xlookup($C947,daily_dates,big_daily_table)))</f>
        <v>#NAME?</v>
      </c>
    </row>
    <row r="948" customFormat="false" ht="14.25" hidden="false" customHeight="false" outlineLevel="0" collapsed="false">
      <c r="B948" s="7" t="n">
        <v>41853</v>
      </c>
      <c r="C948" s="7" t="n">
        <f aca="false">B948-WEEKDAY(B948)+1</f>
        <v>41847</v>
      </c>
      <c r="D948" s="1" t="e">
        <f aca="false" t="array" ref="D948:D948">IF(ISBLANK(_xlfn.xlookup(D$3,daily_items,_xlfn.xlookup($C948,daily_dates,big_daily_table))),NA(),_xlfn.xlookup(D$3,daily_items,_xlfn.xlookup($C948,daily_dates,big_daily_table)))</f>
        <v>#NAME?</v>
      </c>
      <c r="E948" s="1" t="e">
        <f aca="false" t="array" ref="E948:E948">IF(ISBLANK(_xlfn.xlookup(E$3,daily_items,_xlfn.xlookup($C948,daily_dates,big_daily_table))),NA(),_xlfn.xlookup(E$3,daily_items,_xlfn.xlookup($C948,daily_dates,big_daily_table)))</f>
        <v>#NAME?</v>
      </c>
    </row>
    <row r="949" customFormat="false" ht="14.25" hidden="false" customHeight="false" outlineLevel="0" collapsed="false">
      <c r="B949" s="7" t="n">
        <v>41854</v>
      </c>
      <c r="C949" s="7" t="n">
        <f aca="false">B949-WEEKDAY(B949)+1</f>
        <v>41854</v>
      </c>
      <c r="D949" s="1" t="e">
        <f aca="false" t="array" ref="D949:D949">IF(ISBLANK(_xlfn.xlookup(D$3,daily_items,_xlfn.xlookup($C949,daily_dates,big_daily_table))),NA(),_xlfn.xlookup(D$3,daily_items,_xlfn.xlookup($C949,daily_dates,big_daily_table)))</f>
        <v>#NAME?</v>
      </c>
      <c r="E949" s="1" t="e">
        <f aca="false" t="array" ref="E949:E949">IF(ISBLANK(_xlfn.xlookup(E$3,daily_items,_xlfn.xlookup($C949,daily_dates,big_daily_table))),NA(),_xlfn.xlookup(E$3,daily_items,_xlfn.xlookup($C949,daily_dates,big_daily_table)))</f>
        <v>#NAME?</v>
      </c>
    </row>
    <row r="950" customFormat="false" ht="14.25" hidden="false" customHeight="false" outlineLevel="0" collapsed="false">
      <c r="B950" s="7" t="n">
        <v>41855</v>
      </c>
      <c r="C950" s="7" t="n">
        <f aca="false">B950-WEEKDAY(B950)+1</f>
        <v>41854</v>
      </c>
      <c r="D950" s="1" t="e">
        <f aca="false" t="array" ref="D950:D950">IF(ISBLANK(_xlfn.xlookup(D$3,daily_items,_xlfn.xlookup($C950,daily_dates,big_daily_table))),NA(),_xlfn.xlookup(D$3,daily_items,_xlfn.xlookup($C950,daily_dates,big_daily_table)))</f>
        <v>#NAME?</v>
      </c>
      <c r="E950" s="1" t="e">
        <f aca="false" t="array" ref="E950:E950">IF(ISBLANK(_xlfn.xlookup(E$3,daily_items,_xlfn.xlookup($C950,daily_dates,big_daily_table))),NA(),_xlfn.xlookup(E$3,daily_items,_xlfn.xlookup($C950,daily_dates,big_daily_table)))</f>
        <v>#NAME?</v>
      </c>
    </row>
    <row r="951" customFormat="false" ht="14.25" hidden="false" customHeight="false" outlineLevel="0" collapsed="false">
      <c r="B951" s="7" t="n">
        <v>41856</v>
      </c>
      <c r="C951" s="7" t="n">
        <f aca="false">B951-WEEKDAY(B951)+1</f>
        <v>41854</v>
      </c>
      <c r="D951" s="1" t="e">
        <f aca="false" t="array" ref="D951:D951">IF(ISBLANK(_xlfn.xlookup(D$3,daily_items,_xlfn.xlookup($C951,daily_dates,big_daily_table))),NA(),_xlfn.xlookup(D$3,daily_items,_xlfn.xlookup($C951,daily_dates,big_daily_table)))</f>
        <v>#NAME?</v>
      </c>
      <c r="E951" s="1" t="e">
        <f aca="false" t="array" ref="E951:E951">IF(ISBLANK(_xlfn.xlookup(E$3,daily_items,_xlfn.xlookup($C951,daily_dates,big_daily_table))),NA(),_xlfn.xlookup(E$3,daily_items,_xlfn.xlookup($C951,daily_dates,big_daily_table)))</f>
        <v>#NAME?</v>
      </c>
    </row>
    <row r="952" customFormat="false" ht="14.25" hidden="false" customHeight="false" outlineLevel="0" collapsed="false">
      <c r="B952" s="7" t="n">
        <v>41857</v>
      </c>
      <c r="C952" s="7" t="n">
        <f aca="false">B952-WEEKDAY(B952)+1</f>
        <v>41854</v>
      </c>
      <c r="D952" s="1" t="e">
        <f aca="false" t="array" ref="D952:D952">IF(ISBLANK(_xlfn.xlookup(D$3,daily_items,_xlfn.xlookup($C952,daily_dates,big_daily_table))),NA(),_xlfn.xlookup(D$3,daily_items,_xlfn.xlookup($C952,daily_dates,big_daily_table)))</f>
        <v>#NAME?</v>
      </c>
      <c r="E952" s="1" t="e">
        <f aca="false" t="array" ref="E952:E952">IF(ISBLANK(_xlfn.xlookup(E$3,daily_items,_xlfn.xlookup($C952,daily_dates,big_daily_table))),NA(),_xlfn.xlookup(E$3,daily_items,_xlfn.xlookup($C952,daily_dates,big_daily_table)))</f>
        <v>#NAME?</v>
      </c>
    </row>
    <row r="953" customFormat="false" ht="14.25" hidden="false" customHeight="false" outlineLevel="0" collapsed="false">
      <c r="B953" s="7" t="n">
        <v>41858</v>
      </c>
      <c r="C953" s="7" t="n">
        <f aca="false">B953-WEEKDAY(B953)+1</f>
        <v>41854</v>
      </c>
      <c r="D953" s="1" t="e">
        <f aca="false" t="array" ref="D953:D953">IF(ISBLANK(_xlfn.xlookup(D$3,daily_items,_xlfn.xlookup($C953,daily_dates,big_daily_table))),NA(),_xlfn.xlookup(D$3,daily_items,_xlfn.xlookup($C953,daily_dates,big_daily_table)))</f>
        <v>#NAME?</v>
      </c>
      <c r="E953" s="1" t="e">
        <f aca="false" t="array" ref="E953:E953">IF(ISBLANK(_xlfn.xlookup(E$3,daily_items,_xlfn.xlookup($C953,daily_dates,big_daily_table))),NA(),_xlfn.xlookup(E$3,daily_items,_xlfn.xlookup($C953,daily_dates,big_daily_table)))</f>
        <v>#NAME?</v>
      </c>
    </row>
    <row r="954" customFormat="false" ht="14.25" hidden="false" customHeight="false" outlineLevel="0" collapsed="false">
      <c r="B954" s="7" t="n">
        <v>41859</v>
      </c>
      <c r="C954" s="7" t="n">
        <f aca="false">B954-WEEKDAY(B954)+1</f>
        <v>41854</v>
      </c>
      <c r="D954" s="1" t="e">
        <f aca="false" t="array" ref="D954:D954">IF(ISBLANK(_xlfn.xlookup(D$3,daily_items,_xlfn.xlookup($C954,daily_dates,big_daily_table))),NA(),_xlfn.xlookup(D$3,daily_items,_xlfn.xlookup($C954,daily_dates,big_daily_table)))</f>
        <v>#NAME?</v>
      </c>
      <c r="E954" s="1" t="e">
        <f aca="false" t="array" ref="E954:E954">IF(ISBLANK(_xlfn.xlookup(E$3,daily_items,_xlfn.xlookup($C954,daily_dates,big_daily_table))),NA(),_xlfn.xlookup(E$3,daily_items,_xlfn.xlookup($C954,daily_dates,big_daily_table)))</f>
        <v>#NAME?</v>
      </c>
    </row>
    <row r="955" customFormat="false" ht="14.25" hidden="false" customHeight="false" outlineLevel="0" collapsed="false">
      <c r="B955" s="7" t="n">
        <v>41860</v>
      </c>
      <c r="C955" s="7" t="n">
        <f aca="false">B955-WEEKDAY(B955)+1</f>
        <v>41854</v>
      </c>
      <c r="D955" s="1" t="e">
        <f aca="false" t="array" ref="D955:D955">IF(ISBLANK(_xlfn.xlookup(D$3,daily_items,_xlfn.xlookup($C955,daily_dates,big_daily_table))),NA(),_xlfn.xlookup(D$3,daily_items,_xlfn.xlookup($C955,daily_dates,big_daily_table)))</f>
        <v>#NAME?</v>
      </c>
      <c r="E955" s="1" t="e">
        <f aca="false" t="array" ref="E955:E955">IF(ISBLANK(_xlfn.xlookup(E$3,daily_items,_xlfn.xlookup($C955,daily_dates,big_daily_table))),NA(),_xlfn.xlookup(E$3,daily_items,_xlfn.xlookup($C955,daily_dates,big_daily_table)))</f>
        <v>#NAME?</v>
      </c>
    </row>
    <row r="956" customFormat="false" ht="14.25" hidden="false" customHeight="false" outlineLevel="0" collapsed="false">
      <c r="B956" s="7" t="n">
        <v>41861</v>
      </c>
      <c r="C956" s="7" t="n">
        <f aca="false">B956-WEEKDAY(B956)+1</f>
        <v>41861</v>
      </c>
      <c r="D956" s="1" t="e">
        <f aca="false" t="array" ref="D956:D956">IF(ISBLANK(_xlfn.xlookup(D$3,daily_items,_xlfn.xlookup($C956,daily_dates,big_daily_table))),NA(),_xlfn.xlookup(D$3,daily_items,_xlfn.xlookup($C956,daily_dates,big_daily_table)))</f>
        <v>#NAME?</v>
      </c>
      <c r="E956" s="1" t="e">
        <f aca="false" t="array" ref="E956:E956">IF(ISBLANK(_xlfn.xlookup(E$3,daily_items,_xlfn.xlookup($C956,daily_dates,big_daily_table))),NA(),_xlfn.xlookup(E$3,daily_items,_xlfn.xlookup($C956,daily_dates,big_daily_table)))</f>
        <v>#NAME?</v>
      </c>
    </row>
    <row r="957" customFormat="false" ht="14.25" hidden="false" customHeight="false" outlineLevel="0" collapsed="false">
      <c r="B957" s="7" t="n">
        <v>41862</v>
      </c>
      <c r="C957" s="7" t="n">
        <f aca="false">B957-WEEKDAY(B957)+1</f>
        <v>41861</v>
      </c>
      <c r="D957" s="1" t="e">
        <f aca="false" t="array" ref="D957:D957">IF(ISBLANK(_xlfn.xlookup(D$3,daily_items,_xlfn.xlookup($C957,daily_dates,big_daily_table))),NA(),_xlfn.xlookup(D$3,daily_items,_xlfn.xlookup($C957,daily_dates,big_daily_table)))</f>
        <v>#NAME?</v>
      </c>
      <c r="E957" s="1" t="e">
        <f aca="false" t="array" ref="E957:E957">IF(ISBLANK(_xlfn.xlookup(E$3,daily_items,_xlfn.xlookup($C957,daily_dates,big_daily_table))),NA(),_xlfn.xlookup(E$3,daily_items,_xlfn.xlookup($C957,daily_dates,big_daily_table)))</f>
        <v>#NAME?</v>
      </c>
    </row>
    <row r="958" customFormat="false" ht="14.25" hidden="false" customHeight="false" outlineLevel="0" collapsed="false">
      <c r="B958" s="7" t="n">
        <v>41863</v>
      </c>
      <c r="C958" s="7" t="n">
        <f aca="false">B958-WEEKDAY(B958)+1</f>
        <v>41861</v>
      </c>
      <c r="D958" s="1" t="e">
        <f aca="false" t="array" ref="D958:D958">IF(ISBLANK(_xlfn.xlookup(D$3,daily_items,_xlfn.xlookup($C958,daily_dates,big_daily_table))),NA(),_xlfn.xlookup(D$3,daily_items,_xlfn.xlookup($C958,daily_dates,big_daily_table)))</f>
        <v>#NAME?</v>
      </c>
      <c r="E958" s="1" t="e">
        <f aca="false" t="array" ref="E958:E958">IF(ISBLANK(_xlfn.xlookup(E$3,daily_items,_xlfn.xlookup($C958,daily_dates,big_daily_table))),NA(),_xlfn.xlookup(E$3,daily_items,_xlfn.xlookup($C958,daily_dates,big_daily_table)))</f>
        <v>#NAME?</v>
      </c>
    </row>
    <row r="959" customFormat="false" ht="14.25" hidden="false" customHeight="false" outlineLevel="0" collapsed="false">
      <c r="B959" s="7" t="n">
        <v>41864</v>
      </c>
      <c r="C959" s="7" t="n">
        <f aca="false">B959-WEEKDAY(B959)+1</f>
        <v>41861</v>
      </c>
      <c r="D959" s="1" t="e">
        <f aca="false" t="array" ref="D959:D959">IF(ISBLANK(_xlfn.xlookup(D$3,daily_items,_xlfn.xlookup($C959,daily_dates,big_daily_table))),NA(),_xlfn.xlookup(D$3,daily_items,_xlfn.xlookup($C959,daily_dates,big_daily_table)))</f>
        <v>#NAME?</v>
      </c>
      <c r="E959" s="1" t="e">
        <f aca="false" t="array" ref="E959:E959">IF(ISBLANK(_xlfn.xlookup(E$3,daily_items,_xlfn.xlookup($C959,daily_dates,big_daily_table))),NA(),_xlfn.xlookup(E$3,daily_items,_xlfn.xlookup($C959,daily_dates,big_daily_table)))</f>
        <v>#NAME?</v>
      </c>
    </row>
    <row r="960" customFormat="false" ht="14.25" hidden="false" customHeight="false" outlineLevel="0" collapsed="false">
      <c r="B960" s="7" t="n">
        <v>41865</v>
      </c>
      <c r="C960" s="7" t="n">
        <f aca="false">B960-WEEKDAY(B960)+1</f>
        <v>41861</v>
      </c>
      <c r="D960" s="1" t="e">
        <f aca="false" t="array" ref="D960:D960">IF(ISBLANK(_xlfn.xlookup(D$3,daily_items,_xlfn.xlookup($C960,daily_dates,big_daily_table))),NA(),_xlfn.xlookup(D$3,daily_items,_xlfn.xlookup($C960,daily_dates,big_daily_table)))</f>
        <v>#NAME?</v>
      </c>
      <c r="E960" s="1" t="e">
        <f aca="false" t="array" ref="E960:E960">IF(ISBLANK(_xlfn.xlookup(E$3,daily_items,_xlfn.xlookup($C960,daily_dates,big_daily_table))),NA(),_xlfn.xlookup(E$3,daily_items,_xlfn.xlookup($C960,daily_dates,big_daily_table)))</f>
        <v>#NAME?</v>
      </c>
    </row>
    <row r="961" customFormat="false" ht="14.25" hidden="false" customHeight="false" outlineLevel="0" collapsed="false">
      <c r="B961" s="7" t="n">
        <v>41866</v>
      </c>
      <c r="C961" s="7" t="n">
        <f aca="false">B961-WEEKDAY(B961)+1</f>
        <v>41861</v>
      </c>
      <c r="D961" s="1" t="e">
        <f aca="false" t="array" ref="D961:D961">IF(ISBLANK(_xlfn.xlookup(D$3,daily_items,_xlfn.xlookup($C961,daily_dates,big_daily_table))),NA(),_xlfn.xlookup(D$3,daily_items,_xlfn.xlookup($C961,daily_dates,big_daily_table)))</f>
        <v>#NAME?</v>
      </c>
      <c r="E961" s="1" t="e">
        <f aca="false" t="array" ref="E961:E961">IF(ISBLANK(_xlfn.xlookup(E$3,daily_items,_xlfn.xlookup($C961,daily_dates,big_daily_table))),NA(),_xlfn.xlookup(E$3,daily_items,_xlfn.xlookup($C961,daily_dates,big_daily_table)))</f>
        <v>#NAME?</v>
      </c>
    </row>
    <row r="962" customFormat="false" ht="14.25" hidden="false" customHeight="false" outlineLevel="0" collapsed="false">
      <c r="B962" s="7" t="n">
        <v>41867</v>
      </c>
      <c r="C962" s="7" t="n">
        <f aca="false">B962-WEEKDAY(B962)+1</f>
        <v>41861</v>
      </c>
      <c r="D962" s="1" t="e">
        <f aca="false" t="array" ref="D962:D962">IF(ISBLANK(_xlfn.xlookup(D$3,daily_items,_xlfn.xlookup($C962,daily_dates,big_daily_table))),NA(),_xlfn.xlookup(D$3,daily_items,_xlfn.xlookup($C962,daily_dates,big_daily_table)))</f>
        <v>#NAME?</v>
      </c>
      <c r="E962" s="1" t="e">
        <f aca="false" t="array" ref="E962:E962">IF(ISBLANK(_xlfn.xlookup(E$3,daily_items,_xlfn.xlookup($C962,daily_dates,big_daily_table))),NA(),_xlfn.xlookup(E$3,daily_items,_xlfn.xlookup($C962,daily_dates,big_daily_table)))</f>
        <v>#NAME?</v>
      </c>
    </row>
    <row r="963" customFormat="false" ht="14.25" hidden="false" customHeight="false" outlineLevel="0" collapsed="false">
      <c r="B963" s="7" t="n">
        <v>41868</v>
      </c>
      <c r="C963" s="7" t="n">
        <f aca="false">B963-WEEKDAY(B963)+1</f>
        <v>41868</v>
      </c>
      <c r="D963" s="1" t="e">
        <f aca="false" t="array" ref="D963:D963">IF(ISBLANK(_xlfn.xlookup(D$3,daily_items,_xlfn.xlookup($C963,daily_dates,big_daily_table))),NA(),_xlfn.xlookup(D$3,daily_items,_xlfn.xlookup($C963,daily_dates,big_daily_table)))</f>
        <v>#NAME?</v>
      </c>
      <c r="E963" s="1" t="e">
        <f aca="false" t="array" ref="E963:E963">IF(ISBLANK(_xlfn.xlookup(E$3,daily_items,_xlfn.xlookup($C963,daily_dates,big_daily_table))),NA(),_xlfn.xlookup(E$3,daily_items,_xlfn.xlookup($C963,daily_dates,big_daily_table)))</f>
        <v>#NAME?</v>
      </c>
    </row>
    <row r="964" customFormat="false" ht="14.25" hidden="false" customHeight="false" outlineLevel="0" collapsed="false">
      <c r="B964" s="7" t="n">
        <v>41869</v>
      </c>
      <c r="C964" s="7" t="n">
        <f aca="false">B964-WEEKDAY(B964)+1</f>
        <v>41868</v>
      </c>
      <c r="D964" s="1" t="e">
        <f aca="false" t="array" ref="D964:D964">IF(ISBLANK(_xlfn.xlookup(D$3,daily_items,_xlfn.xlookup($C964,daily_dates,big_daily_table))),NA(),_xlfn.xlookup(D$3,daily_items,_xlfn.xlookup($C964,daily_dates,big_daily_table)))</f>
        <v>#NAME?</v>
      </c>
      <c r="E964" s="1" t="e">
        <f aca="false" t="array" ref="E964:E964">IF(ISBLANK(_xlfn.xlookup(E$3,daily_items,_xlfn.xlookup($C964,daily_dates,big_daily_table))),NA(),_xlfn.xlookup(E$3,daily_items,_xlfn.xlookup($C964,daily_dates,big_daily_table)))</f>
        <v>#NAME?</v>
      </c>
    </row>
    <row r="965" customFormat="false" ht="14.25" hidden="false" customHeight="false" outlineLevel="0" collapsed="false">
      <c r="B965" s="7" t="n">
        <v>41870</v>
      </c>
      <c r="C965" s="7" t="n">
        <f aca="false">B965-WEEKDAY(B965)+1</f>
        <v>41868</v>
      </c>
      <c r="D965" s="1" t="e">
        <f aca="false" t="array" ref="D965:D965">IF(ISBLANK(_xlfn.xlookup(D$3,daily_items,_xlfn.xlookup($C965,daily_dates,big_daily_table))),NA(),_xlfn.xlookup(D$3,daily_items,_xlfn.xlookup($C965,daily_dates,big_daily_table)))</f>
        <v>#NAME?</v>
      </c>
      <c r="E965" s="1" t="e">
        <f aca="false" t="array" ref="E965:E965">IF(ISBLANK(_xlfn.xlookup(E$3,daily_items,_xlfn.xlookup($C965,daily_dates,big_daily_table))),NA(),_xlfn.xlookup(E$3,daily_items,_xlfn.xlookup($C965,daily_dates,big_daily_table)))</f>
        <v>#NAME?</v>
      </c>
    </row>
    <row r="966" customFormat="false" ht="14.25" hidden="false" customHeight="false" outlineLevel="0" collapsed="false">
      <c r="B966" s="7" t="n">
        <v>41871</v>
      </c>
      <c r="C966" s="7" t="n">
        <f aca="false">B966-WEEKDAY(B966)+1</f>
        <v>41868</v>
      </c>
      <c r="D966" s="1" t="e">
        <f aca="false" t="array" ref="D966:D966">IF(ISBLANK(_xlfn.xlookup(D$3,daily_items,_xlfn.xlookup($C966,daily_dates,big_daily_table))),NA(),_xlfn.xlookup(D$3,daily_items,_xlfn.xlookup($C966,daily_dates,big_daily_table)))</f>
        <v>#NAME?</v>
      </c>
      <c r="E966" s="1" t="e">
        <f aca="false" t="array" ref="E966:E966">IF(ISBLANK(_xlfn.xlookup(E$3,daily_items,_xlfn.xlookup($C966,daily_dates,big_daily_table))),NA(),_xlfn.xlookup(E$3,daily_items,_xlfn.xlookup($C966,daily_dates,big_daily_table)))</f>
        <v>#NAME?</v>
      </c>
    </row>
    <row r="967" customFormat="false" ht="14.25" hidden="false" customHeight="false" outlineLevel="0" collapsed="false">
      <c r="B967" s="7" t="n">
        <v>41872</v>
      </c>
      <c r="C967" s="7" t="n">
        <f aca="false">B967-WEEKDAY(B967)+1</f>
        <v>41868</v>
      </c>
      <c r="D967" s="1" t="e">
        <f aca="false" t="array" ref="D967:D967">IF(ISBLANK(_xlfn.xlookup(D$3,daily_items,_xlfn.xlookup($C967,daily_dates,big_daily_table))),NA(),_xlfn.xlookup(D$3,daily_items,_xlfn.xlookup($C967,daily_dates,big_daily_table)))</f>
        <v>#NAME?</v>
      </c>
      <c r="E967" s="1" t="e">
        <f aca="false" t="array" ref="E967:E967">IF(ISBLANK(_xlfn.xlookup(E$3,daily_items,_xlfn.xlookup($C967,daily_dates,big_daily_table))),NA(),_xlfn.xlookup(E$3,daily_items,_xlfn.xlookup($C967,daily_dates,big_daily_table)))</f>
        <v>#NAME?</v>
      </c>
    </row>
    <row r="968" customFormat="false" ht="14.25" hidden="false" customHeight="false" outlineLevel="0" collapsed="false">
      <c r="B968" s="7" t="n">
        <v>41873</v>
      </c>
      <c r="C968" s="7" t="n">
        <f aca="false">B968-WEEKDAY(B968)+1</f>
        <v>41868</v>
      </c>
      <c r="D968" s="1" t="e">
        <f aca="false" t="array" ref="D968:D968">IF(ISBLANK(_xlfn.xlookup(D$3,daily_items,_xlfn.xlookup($C968,daily_dates,big_daily_table))),NA(),_xlfn.xlookup(D$3,daily_items,_xlfn.xlookup($C968,daily_dates,big_daily_table)))</f>
        <v>#NAME?</v>
      </c>
      <c r="E968" s="1" t="e">
        <f aca="false" t="array" ref="E968:E968">IF(ISBLANK(_xlfn.xlookup(E$3,daily_items,_xlfn.xlookup($C968,daily_dates,big_daily_table))),NA(),_xlfn.xlookup(E$3,daily_items,_xlfn.xlookup($C968,daily_dates,big_daily_table)))</f>
        <v>#NAME?</v>
      </c>
    </row>
    <row r="969" customFormat="false" ht="14.25" hidden="false" customHeight="false" outlineLevel="0" collapsed="false">
      <c r="B969" s="7" t="n">
        <v>41874</v>
      </c>
      <c r="C969" s="7" t="n">
        <f aca="false">B969-WEEKDAY(B969)+1</f>
        <v>41868</v>
      </c>
      <c r="D969" s="1" t="e">
        <f aca="false" t="array" ref="D969:D969">IF(ISBLANK(_xlfn.xlookup(D$3,daily_items,_xlfn.xlookup($C969,daily_dates,big_daily_table))),NA(),_xlfn.xlookup(D$3,daily_items,_xlfn.xlookup($C969,daily_dates,big_daily_table)))</f>
        <v>#NAME?</v>
      </c>
      <c r="E969" s="1" t="e">
        <f aca="false" t="array" ref="E969:E969">IF(ISBLANK(_xlfn.xlookup(E$3,daily_items,_xlfn.xlookup($C969,daily_dates,big_daily_table))),NA(),_xlfn.xlookup(E$3,daily_items,_xlfn.xlookup($C969,daily_dates,big_daily_table)))</f>
        <v>#NAME?</v>
      </c>
    </row>
    <row r="970" customFormat="false" ht="14.25" hidden="false" customHeight="false" outlineLevel="0" collapsed="false">
      <c r="B970" s="7" t="n">
        <v>41875</v>
      </c>
      <c r="C970" s="7" t="n">
        <f aca="false">B970-WEEKDAY(B970)+1</f>
        <v>41875</v>
      </c>
      <c r="D970" s="1" t="e">
        <f aca="false" t="array" ref="D970:D970">IF(ISBLANK(_xlfn.xlookup(D$3,daily_items,_xlfn.xlookup($C970,daily_dates,big_daily_table))),NA(),_xlfn.xlookup(D$3,daily_items,_xlfn.xlookup($C970,daily_dates,big_daily_table)))</f>
        <v>#NAME?</v>
      </c>
      <c r="E970" s="1" t="e">
        <f aca="false" t="array" ref="E970:E970">IF(ISBLANK(_xlfn.xlookup(E$3,daily_items,_xlfn.xlookup($C970,daily_dates,big_daily_table))),NA(),_xlfn.xlookup(E$3,daily_items,_xlfn.xlookup($C970,daily_dates,big_daily_table)))</f>
        <v>#NAME?</v>
      </c>
    </row>
    <row r="971" customFormat="false" ht="14.25" hidden="false" customHeight="false" outlineLevel="0" collapsed="false">
      <c r="B971" s="7" t="n">
        <v>41876</v>
      </c>
      <c r="C971" s="7" t="n">
        <f aca="false">B971-WEEKDAY(B971)+1</f>
        <v>41875</v>
      </c>
      <c r="D971" s="1" t="e">
        <f aca="false" t="array" ref="D971:D971">IF(ISBLANK(_xlfn.xlookup(D$3,daily_items,_xlfn.xlookup($C971,daily_dates,big_daily_table))),NA(),_xlfn.xlookup(D$3,daily_items,_xlfn.xlookup($C971,daily_dates,big_daily_table)))</f>
        <v>#NAME?</v>
      </c>
      <c r="E971" s="1" t="e">
        <f aca="false" t="array" ref="E971:E971">IF(ISBLANK(_xlfn.xlookup(E$3,daily_items,_xlfn.xlookup($C971,daily_dates,big_daily_table))),NA(),_xlfn.xlookup(E$3,daily_items,_xlfn.xlookup($C971,daily_dates,big_daily_table)))</f>
        <v>#NAME?</v>
      </c>
    </row>
    <row r="972" customFormat="false" ht="14.25" hidden="false" customHeight="false" outlineLevel="0" collapsed="false">
      <c r="B972" s="7" t="n">
        <v>41877</v>
      </c>
      <c r="C972" s="7" t="n">
        <f aca="false">B972-WEEKDAY(B972)+1</f>
        <v>41875</v>
      </c>
      <c r="D972" s="1" t="e">
        <f aca="false" t="array" ref="D972:D972">IF(ISBLANK(_xlfn.xlookup(D$3,daily_items,_xlfn.xlookup($C972,daily_dates,big_daily_table))),NA(),_xlfn.xlookup(D$3,daily_items,_xlfn.xlookup($C972,daily_dates,big_daily_table)))</f>
        <v>#NAME?</v>
      </c>
      <c r="E972" s="1" t="e">
        <f aca="false" t="array" ref="E972:E972">IF(ISBLANK(_xlfn.xlookup(E$3,daily_items,_xlfn.xlookup($C972,daily_dates,big_daily_table))),NA(),_xlfn.xlookup(E$3,daily_items,_xlfn.xlookup($C972,daily_dates,big_daily_table)))</f>
        <v>#NAME?</v>
      </c>
    </row>
    <row r="973" customFormat="false" ht="14.25" hidden="false" customHeight="false" outlineLevel="0" collapsed="false">
      <c r="B973" s="7" t="n">
        <v>41878</v>
      </c>
      <c r="C973" s="7" t="n">
        <f aca="false">B973-WEEKDAY(B973)+1</f>
        <v>41875</v>
      </c>
      <c r="D973" s="1" t="e">
        <f aca="false" t="array" ref="D973:D973">IF(ISBLANK(_xlfn.xlookup(D$3,daily_items,_xlfn.xlookup($C973,daily_dates,big_daily_table))),NA(),_xlfn.xlookup(D$3,daily_items,_xlfn.xlookup($C973,daily_dates,big_daily_table)))</f>
        <v>#NAME?</v>
      </c>
      <c r="E973" s="1" t="e">
        <f aca="false" t="array" ref="E973:E973">IF(ISBLANK(_xlfn.xlookup(E$3,daily_items,_xlfn.xlookup($C973,daily_dates,big_daily_table))),NA(),_xlfn.xlookup(E$3,daily_items,_xlfn.xlookup($C973,daily_dates,big_daily_table)))</f>
        <v>#NAME?</v>
      </c>
    </row>
    <row r="974" customFormat="false" ht="14.25" hidden="false" customHeight="false" outlineLevel="0" collapsed="false">
      <c r="B974" s="7" t="n">
        <v>41879</v>
      </c>
      <c r="C974" s="7" t="n">
        <f aca="false">B974-WEEKDAY(B974)+1</f>
        <v>41875</v>
      </c>
      <c r="D974" s="1" t="e">
        <f aca="false" t="array" ref="D974:D974">IF(ISBLANK(_xlfn.xlookup(D$3,daily_items,_xlfn.xlookup($C974,daily_dates,big_daily_table))),NA(),_xlfn.xlookup(D$3,daily_items,_xlfn.xlookup($C974,daily_dates,big_daily_table)))</f>
        <v>#NAME?</v>
      </c>
      <c r="E974" s="1" t="e">
        <f aca="false" t="array" ref="E974:E974">IF(ISBLANK(_xlfn.xlookup(E$3,daily_items,_xlfn.xlookup($C974,daily_dates,big_daily_table))),NA(),_xlfn.xlookup(E$3,daily_items,_xlfn.xlookup($C974,daily_dates,big_daily_table)))</f>
        <v>#NAME?</v>
      </c>
    </row>
    <row r="975" customFormat="false" ht="14.25" hidden="false" customHeight="false" outlineLevel="0" collapsed="false">
      <c r="B975" s="7" t="n">
        <v>41880</v>
      </c>
      <c r="C975" s="7" t="n">
        <f aca="false">B975-WEEKDAY(B975)+1</f>
        <v>41875</v>
      </c>
      <c r="D975" s="1" t="e">
        <f aca="false" t="array" ref="D975:D975">IF(ISBLANK(_xlfn.xlookup(D$3,daily_items,_xlfn.xlookup($C975,daily_dates,big_daily_table))),NA(),_xlfn.xlookup(D$3,daily_items,_xlfn.xlookup($C975,daily_dates,big_daily_table)))</f>
        <v>#NAME?</v>
      </c>
      <c r="E975" s="1" t="e">
        <f aca="false" t="array" ref="E975:E975">IF(ISBLANK(_xlfn.xlookup(E$3,daily_items,_xlfn.xlookup($C975,daily_dates,big_daily_table))),NA(),_xlfn.xlookup(E$3,daily_items,_xlfn.xlookup($C975,daily_dates,big_daily_table)))</f>
        <v>#NAME?</v>
      </c>
    </row>
    <row r="976" customFormat="false" ht="14.25" hidden="false" customHeight="false" outlineLevel="0" collapsed="false">
      <c r="B976" s="7" t="n">
        <v>41881</v>
      </c>
      <c r="C976" s="7" t="n">
        <f aca="false">B976-WEEKDAY(B976)+1</f>
        <v>41875</v>
      </c>
      <c r="D976" s="1" t="e">
        <f aca="false" t="array" ref="D976:D976">IF(ISBLANK(_xlfn.xlookup(D$3,daily_items,_xlfn.xlookup($C976,daily_dates,big_daily_table))),NA(),_xlfn.xlookup(D$3,daily_items,_xlfn.xlookup($C976,daily_dates,big_daily_table)))</f>
        <v>#NAME?</v>
      </c>
      <c r="E976" s="1" t="e">
        <f aca="false" t="array" ref="E976:E976">IF(ISBLANK(_xlfn.xlookup(E$3,daily_items,_xlfn.xlookup($C976,daily_dates,big_daily_table))),NA(),_xlfn.xlookup(E$3,daily_items,_xlfn.xlookup($C976,daily_dates,big_daily_table)))</f>
        <v>#NAME?</v>
      </c>
    </row>
    <row r="977" customFormat="false" ht="14.25" hidden="false" customHeight="false" outlineLevel="0" collapsed="false">
      <c r="B977" s="7" t="n">
        <v>41882</v>
      </c>
      <c r="C977" s="7" t="n">
        <f aca="false">B977-WEEKDAY(B977)+1</f>
        <v>41882</v>
      </c>
      <c r="D977" s="1" t="e">
        <f aca="false" t="array" ref="D977:D977">IF(ISBLANK(_xlfn.xlookup(D$3,daily_items,_xlfn.xlookup($C977,daily_dates,big_daily_table))),NA(),_xlfn.xlookup(D$3,daily_items,_xlfn.xlookup($C977,daily_dates,big_daily_table)))</f>
        <v>#NAME?</v>
      </c>
      <c r="E977" s="1" t="e">
        <f aca="false" t="array" ref="E977:E977">IF(ISBLANK(_xlfn.xlookup(E$3,daily_items,_xlfn.xlookup($C977,daily_dates,big_daily_table))),NA(),_xlfn.xlookup(E$3,daily_items,_xlfn.xlookup($C977,daily_dates,big_daily_table)))</f>
        <v>#NAME?</v>
      </c>
    </row>
    <row r="978" customFormat="false" ht="14.25" hidden="false" customHeight="false" outlineLevel="0" collapsed="false">
      <c r="B978" s="7" t="n">
        <v>41883</v>
      </c>
      <c r="C978" s="7" t="n">
        <f aca="false">B978-WEEKDAY(B978)+1</f>
        <v>41882</v>
      </c>
      <c r="D978" s="1" t="e">
        <f aca="false" t="array" ref="D978:D978">IF(ISBLANK(_xlfn.xlookup(D$3,daily_items,_xlfn.xlookup($C978,daily_dates,big_daily_table))),NA(),_xlfn.xlookup(D$3,daily_items,_xlfn.xlookup($C978,daily_dates,big_daily_table)))</f>
        <v>#NAME?</v>
      </c>
      <c r="E978" s="1" t="e">
        <f aca="false" t="array" ref="E978:E978">IF(ISBLANK(_xlfn.xlookup(E$3,daily_items,_xlfn.xlookup($C978,daily_dates,big_daily_table))),NA(),_xlfn.xlookup(E$3,daily_items,_xlfn.xlookup($C978,daily_dates,big_daily_table)))</f>
        <v>#NAME?</v>
      </c>
    </row>
    <row r="979" customFormat="false" ht="14.25" hidden="false" customHeight="false" outlineLevel="0" collapsed="false">
      <c r="B979" s="7" t="n">
        <v>41884</v>
      </c>
      <c r="C979" s="7" t="n">
        <f aca="false">B979-WEEKDAY(B979)+1</f>
        <v>41882</v>
      </c>
      <c r="D979" s="1" t="e">
        <f aca="false" t="array" ref="D979:D979">IF(ISBLANK(_xlfn.xlookup(D$3,daily_items,_xlfn.xlookup($C979,daily_dates,big_daily_table))),NA(),_xlfn.xlookup(D$3,daily_items,_xlfn.xlookup($C979,daily_dates,big_daily_table)))</f>
        <v>#NAME?</v>
      </c>
      <c r="E979" s="1" t="e">
        <f aca="false" t="array" ref="E979:E979">IF(ISBLANK(_xlfn.xlookup(E$3,daily_items,_xlfn.xlookup($C979,daily_dates,big_daily_table))),NA(),_xlfn.xlookup(E$3,daily_items,_xlfn.xlookup($C979,daily_dates,big_daily_table)))</f>
        <v>#NAME?</v>
      </c>
    </row>
    <row r="980" customFormat="false" ht="14.25" hidden="false" customHeight="false" outlineLevel="0" collapsed="false">
      <c r="B980" s="7" t="n">
        <v>41885</v>
      </c>
      <c r="C980" s="7" t="n">
        <f aca="false">B980-WEEKDAY(B980)+1</f>
        <v>41882</v>
      </c>
      <c r="D980" s="1" t="e">
        <f aca="false" t="array" ref="D980:D980">IF(ISBLANK(_xlfn.xlookup(D$3,daily_items,_xlfn.xlookup($C980,daily_dates,big_daily_table))),NA(),_xlfn.xlookup(D$3,daily_items,_xlfn.xlookup($C980,daily_dates,big_daily_table)))</f>
        <v>#NAME?</v>
      </c>
      <c r="E980" s="1" t="e">
        <f aca="false" t="array" ref="E980:E980">IF(ISBLANK(_xlfn.xlookup(E$3,daily_items,_xlfn.xlookup($C980,daily_dates,big_daily_table))),NA(),_xlfn.xlookup(E$3,daily_items,_xlfn.xlookup($C980,daily_dates,big_daily_table)))</f>
        <v>#NAME?</v>
      </c>
    </row>
    <row r="981" customFormat="false" ht="14.25" hidden="false" customHeight="false" outlineLevel="0" collapsed="false">
      <c r="B981" s="7" t="n">
        <v>41886</v>
      </c>
      <c r="C981" s="7" t="n">
        <f aca="false">B981-WEEKDAY(B981)+1</f>
        <v>41882</v>
      </c>
      <c r="D981" s="1" t="e">
        <f aca="false" t="array" ref="D981:D981">IF(ISBLANK(_xlfn.xlookup(D$3,daily_items,_xlfn.xlookup($C981,daily_dates,big_daily_table))),NA(),_xlfn.xlookup(D$3,daily_items,_xlfn.xlookup($C981,daily_dates,big_daily_table)))</f>
        <v>#NAME?</v>
      </c>
      <c r="E981" s="1" t="e">
        <f aca="false" t="array" ref="E981:E981">IF(ISBLANK(_xlfn.xlookup(E$3,daily_items,_xlfn.xlookup($C981,daily_dates,big_daily_table))),NA(),_xlfn.xlookup(E$3,daily_items,_xlfn.xlookup($C981,daily_dates,big_daily_table)))</f>
        <v>#NAME?</v>
      </c>
    </row>
    <row r="982" customFormat="false" ht="14.25" hidden="false" customHeight="false" outlineLevel="0" collapsed="false">
      <c r="B982" s="7" t="n">
        <v>41887</v>
      </c>
      <c r="C982" s="7" t="n">
        <f aca="false">B982-WEEKDAY(B982)+1</f>
        <v>41882</v>
      </c>
      <c r="D982" s="1" t="e">
        <f aca="false" t="array" ref="D982:D982">IF(ISBLANK(_xlfn.xlookup(D$3,daily_items,_xlfn.xlookup($C982,daily_dates,big_daily_table))),NA(),_xlfn.xlookup(D$3,daily_items,_xlfn.xlookup($C982,daily_dates,big_daily_table)))</f>
        <v>#NAME?</v>
      </c>
      <c r="E982" s="1" t="e">
        <f aca="false" t="array" ref="E982:E982">IF(ISBLANK(_xlfn.xlookup(E$3,daily_items,_xlfn.xlookup($C982,daily_dates,big_daily_table))),NA(),_xlfn.xlookup(E$3,daily_items,_xlfn.xlookup($C982,daily_dates,big_daily_table)))</f>
        <v>#NAME?</v>
      </c>
    </row>
    <row r="983" customFormat="false" ht="14.25" hidden="false" customHeight="false" outlineLevel="0" collapsed="false">
      <c r="B983" s="7" t="n">
        <v>41888</v>
      </c>
      <c r="C983" s="7" t="n">
        <f aca="false">B983-WEEKDAY(B983)+1</f>
        <v>41882</v>
      </c>
      <c r="D983" s="1" t="e">
        <f aca="false" t="array" ref="D983:D983">IF(ISBLANK(_xlfn.xlookup(D$3,daily_items,_xlfn.xlookup($C983,daily_dates,big_daily_table))),NA(),_xlfn.xlookup(D$3,daily_items,_xlfn.xlookup($C983,daily_dates,big_daily_table)))</f>
        <v>#NAME?</v>
      </c>
      <c r="E983" s="1" t="e">
        <f aca="false" t="array" ref="E983:E983">IF(ISBLANK(_xlfn.xlookup(E$3,daily_items,_xlfn.xlookup($C983,daily_dates,big_daily_table))),NA(),_xlfn.xlookup(E$3,daily_items,_xlfn.xlookup($C983,daily_dates,big_daily_table)))</f>
        <v>#NAME?</v>
      </c>
    </row>
    <row r="984" customFormat="false" ht="14.25" hidden="false" customHeight="false" outlineLevel="0" collapsed="false">
      <c r="B984" s="7" t="n">
        <v>41889</v>
      </c>
      <c r="C984" s="7" t="n">
        <f aca="false">B984-WEEKDAY(B984)+1</f>
        <v>41889</v>
      </c>
      <c r="D984" s="1" t="e">
        <f aca="false" t="array" ref="D984:D984">IF(ISBLANK(_xlfn.xlookup(D$3,daily_items,_xlfn.xlookup($C984,daily_dates,big_daily_table))),NA(),_xlfn.xlookup(D$3,daily_items,_xlfn.xlookup($C984,daily_dates,big_daily_table)))</f>
        <v>#NAME?</v>
      </c>
      <c r="E984" s="1" t="e">
        <f aca="false" t="array" ref="E984:E984">IF(ISBLANK(_xlfn.xlookup(E$3,daily_items,_xlfn.xlookup($C984,daily_dates,big_daily_table))),NA(),_xlfn.xlookup(E$3,daily_items,_xlfn.xlookup($C984,daily_dates,big_daily_table)))</f>
        <v>#NAME?</v>
      </c>
    </row>
    <row r="985" customFormat="false" ht="14.25" hidden="false" customHeight="false" outlineLevel="0" collapsed="false">
      <c r="B985" s="7" t="n">
        <v>41890</v>
      </c>
      <c r="C985" s="7" t="n">
        <f aca="false">B985-WEEKDAY(B985)+1</f>
        <v>41889</v>
      </c>
      <c r="D985" s="1" t="e">
        <f aca="false" t="array" ref="D985:D985">IF(ISBLANK(_xlfn.xlookup(D$3,daily_items,_xlfn.xlookup($C985,daily_dates,big_daily_table))),NA(),_xlfn.xlookup(D$3,daily_items,_xlfn.xlookup($C985,daily_dates,big_daily_table)))</f>
        <v>#NAME?</v>
      </c>
      <c r="E985" s="1" t="e">
        <f aca="false" t="array" ref="E985:E985">IF(ISBLANK(_xlfn.xlookup(E$3,daily_items,_xlfn.xlookup($C985,daily_dates,big_daily_table))),NA(),_xlfn.xlookup(E$3,daily_items,_xlfn.xlookup($C985,daily_dates,big_daily_table)))</f>
        <v>#NAME?</v>
      </c>
    </row>
    <row r="986" customFormat="false" ht="14.25" hidden="false" customHeight="false" outlineLevel="0" collapsed="false">
      <c r="B986" s="7" t="n">
        <v>41891</v>
      </c>
      <c r="C986" s="7" t="n">
        <f aca="false">B986-WEEKDAY(B986)+1</f>
        <v>41889</v>
      </c>
      <c r="D986" s="1" t="e">
        <f aca="false" t="array" ref="D986:D986">IF(ISBLANK(_xlfn.xlookup(D$3,daily_items,_xlfn.xlookup($C986,daily_dates,big_daily_table))),NA(),_xlfn.xlookup(D$3,daily_items,_xlfn.xlookup($C986,daily_dates,big_daily_table)))</f>
        <v>#NAME?</v>
      </c>
      <c r="E986" s="1" t="e">
        <f aca="false" t="array" ref="E986:E986">IF(ISBLANK(_xlfn.xlookup(E$3,daily_items,_xlfn.xlookup($C986,daily_dates,big_daily_table))),NA(),_xlfn.xlookup(E$3,daily_items,_xlfn.xlookup($C986,daily_dates,big_daily_table)))</f>
        <v>#NAME?</v>
      </c>
    </row>
    <row r="987" customFormat="false" ht="14.25" hidden="false" customHeight="false" outlineLevel="0" collapsed="false">
      <c r="B987" s="7" t="n">
        <v>41892</v>
      </c>
      <c r="C987" s="7" t="n">
        <f aca="false">B987-WEEKDAY(B987)+1</f>
        <v>41889</v>
      </c>
      <c r="D987" s="1" t="e">
        <f aca="false" t="array" ref="D987:D987">IF(ISBLANK(_xlfn.xlookup(D$3,daily_items,_xlfn.xlookup($C987,daily_dates,big_daily_table))),NA(),_xlfn.xlookup(D$3,daily_items,_xlfn.xlookup($C987,daily_dates,big_daily_table)))</f>
        <v>#NAME?</v>
      </c>
      <c r="E987" s="1" t="e">
        <f aca="false" t="array" ref="E987:E987">IF(ISBLANK(_xlfn.xlookup(E$3,daily_items,_xlfn.xlookup($C987,daily_dates,big_daily_table))),NA(),_xlfn.xlookup(E$3,daily_items,_xlfn.xlookup($C987,daily_dates,big_daily_table)))</f>
        <v>#NAME?</v>
      </c>
    </row>
    <row r="988" customFormat="false" ht="14.25" hidden="false" customHeight="false" outlineLevel="0" collapsed="false">
      <c r="B988" s="7" t="n">
        <v>41893</v>
      </c>
      <c r="C988" s="7" t="n">
        <f aca="false">B988-WEEKDAY(B988)+1</f>
        <v>41889</v>
      </c>
      <c r="D988" s="1" t="e">
        <f aca="false" t="array" ref="D988:D988">IF(ISBLANK(_xlfn.xlookup(D$3,daily_items,_xlfn.xlookup($C988,daily_dates,big_daily_table))),NA(),_xlfn.xlookup(D$3,daily_items,_xlfn.xlookup($C988,daily_dates,big_daily_table)))</f>
        <v>#NAME?</v>
      </c>
      <c r="E988" s="1" t="e">
        <f aca="false" t="array" ref="E988:E988">IF(ISBLANK(_xlfn.xlookup(E$3,daily_items,_xlfn.xlookup($C988,daily_dates,big_daily_table))),NA(),_xlfn.xlookup(E$3,daily_items,_xlfn.xlookup($C988,daily_dates,big_daily_table)))</f>
        <v>#NAME?</v>
      </c>
    </row>
    <row r="989" customFormat="false" ht="14.25" hidden="false" customHeight="false" outlineLevel="0" collapsed="false">
      <c r="B989" s="7" t="n">
        <v>41894</v>
      </c>
      <c r="C989" s="7" t="n">
        <f aca="false">B989-WEEKDAY(B989)+1</f>
        <v>41889</v>
      </c>
      <c r="D989" s="1" t="e">
        <f aca="false" t="array" ref="D989:D989">IF(ISBLANK(_xlfn.xlookup(D$3,daily_items,_xlfn.xlookup($C989,daily_dates,big_daily_table))),NA(),_xlfn.xlookup(D$3,daily_items,_xlfn.xlookup($C989,daily_dates,big_daily_table)))</f>
        <v>#NAME?</v>
      </c>
      <c r="E989" s="1" t="e">
        <f aca="false" t="array" ref="E989:E989">IF(ISBLANK(_xlfn.xlookup(E$3,daily_items,_xlfn.xlookup($C989,daily_dates,big_daily_table))),NA(),_xlfn.xlookup(E$3,daily_items,_xlfn.xlookup($C989,daily_dates,big_daily_table)))</f>
        <v>#NAME?</v>
      </c>
    </row>
    <row r="990" customFormat="false" ht="14.25" hidden="false" customHeight="false" outlineLevel="0" collapsed="false">
      <c r="B990" s="7" t="n">
        <v>41895</v>
      </c>
      <c r="C990" s="7" t="n">
        <f aca="false">B990-WEEKDAY(B990)+1</f>
        <v>41889</v>
      </c>
      <c r="D990" s="1" t="e">
        <f aca="false" t="array" ref="D990:D990">IF(ISBLANK(_xlfn.xlookup(D$3,daily_items,_xlfn.xlookup($C990,daily_dates,big_daily_table))),NA(),_xlfn.xlookup(D$3,daily_items,_xlfn.xlookup($C990,daily_dates,big_daily_table)))</f>
        <v>#NAME?</v>
      </c>
      <c r="E990" s="1" t="e">
        <f aca="false" t="array" ref="E990:E990">IF(ISBLANK(_xlfn.xlookup(E$3,daily_items,_xlfn.xlookup($C990,daily_dates,big_daily_table))),NA(),_xlfn.xlookup(E$3,daily_items,_xlfn.xlookup($C990,daily_dates,big_daily_table)))</f>
        <v>#NAME?</v>
      </c>
    </row>
    <row r="991" customFormat="false" ht="14.25" hidden="false" customHeight="false" outlineLevel="0" collapsed="false">
      <c r="B991" s="7" t="n">
        <v>41896</v>
      </c>
      <c r="C991" s="7" t="n">
        <f aca="false">B991-WEEKDAY(B991)+1</f>
        <v>41896</v>
      </c>
      <c r="D991" s="1" t="e">
        <f aca="false" t="array" ref="D991:D991">IF(ISBLANK(_xlfn.xlookup(D$3,daily_items,_xlfn.xlookup($C991,daily_dates,big_daily_table))),NA(),_xlfn.xlookup(D$3,daily_items,_xlfn.xlookup($C991,daily_dates,big_daily_table)))</f>
        <v>#NAME?</v>
      </c>
      <c r="E991" s="1" t="e">
        <f aca="false" t="array" ref="E991:E991">IF(ISBLANK(_xlfn.xlookup(E$3,daily_items,_xlfn.xlookup($C991,daily_dates,big_daily_table))),NA(),_xlfn.xlookup(E$3,daily_items,_xlfn.xlookup($C991,daily_dates,big_daily_table)))</f>
        <v>#NAME?</v>
      </c>
    </row>
    <row r="992" customFormat="false" ht="14.25" hidden="false" customHeight="false" outlineLevel="0" collapsed="false">
      <c r="B992" s="7" t="n">
        <v>41897</v>
      </c>
      <c r="C992" s="7" t="n">
        <f aca="false">B992-WEEKDAY(B992)+1</f>
        <v>41896</v>
      </c>
      <c r="D992" s="1" t="e">
        <f aca="false" t="array" ref="D992:D992">IF(ISBLANK(_xlfn.xlookup(D$3,daily_items,_xlfn.xlookup($C992,daily_dates,big_daily_table))),NA(),_xlfn.xlookup(D$3,daily_items,_xlfn.xlookup($C992,daily_dates,big_daily_table)))</f>
        <v>#NAME?</v>
      </c>
      <c r="E992" s="1" t="e">
        <f aca="false" t="array" ref="E992:E992">IF(ISBLANK(_xlfn.xlookup(E$3,daily_items,_xlfn.xlookup($C992,daily_dates,big_daily_table))),NA(),_xlfn.xlookup(E$3,daily_items,_xlfn.xlookup($C992,daily_dates,big_daily_table)))</f>
        <v>#NAME?</v>
      </c>
    </row>
    <row r="993" customFormat="false" ht="14.25" hidden="false" customHeight="false" outlineLevel="0" collapsed="false">
      <c r="B993" s="7" t="n">
        <v>41898</v>
      </c>
      <c r="C993" s="7" t="n">
        <f aca="false">B993-WEEKDAY(B993)+1</f>
        <v>41896</v>
      </c>
      <c r="D993" s="1" t="e">
        <f aca="false" t="array" ref="D993:D993">IF(ISBLANK(_xlfn.xlookup(D$3,daily_items,_xlfn.xlookup($C993,daily_dates,big_daily_table))),NA(),_xlfn.xlookup(D$3,daily_items,_xlfn.xlookup($C993,daily_dates,big_daily_table)))</f>
        <v>#NAME?</v>
      </c>
      <c r="E993" s="1" t="e">
        <f aca="false" t="array" ref="E993:E993">IF(ISBLANK(_xlfn.xlookup(E$3,daily_items,_xlfn.xlookup($C993,daily_dates,big_daily_table))),NA(),_xlfn.xlookup(E$3,daily_items,_xlfn.xlookup($C993,daily_dates,big_daily_table)))</f>
        <v>#NAME?</v>
      </c>
    </row>
    <row r="994" customFormat="false" ht="14.25" hidden="false" customHeight="false" outlineLevel="0" collapsed="false">
      <c r="B994" s="7" t="n">
        <v>41899</v>
      </c>
      <c r="C994" s="7" t="n">
        <f aca="false">B994-WEEKDAY(B994)+1</f>
        <v>41896</v>
      </c>
      <c r="D994" s="1" t="e">
        <f aca="false" t="array" ref="D994:D994">IF(ISBLANK(_xlfn.xlookup(D$3,daily_items,_xlfn.xlookup($C994,daily_dates,big_daily_table))),NA(),_xlfn.xlookup(D$3,daily_items,_xlfn.xlookup($C994,daily_dates,big_daily_table)))</f>
        <v>#NAME?</v>
      </c>
      <c r="E994" s="1" t="e">
        <f aca="false" t="array" ref="E994:E994">IF(ISBLANK(_xlfn.xlookup(E$3,daily_items,_xlfn.xlookup($C994,daily_dates,big_daily_table))),NA(),_xlfn.xlookup(E$3,daily_items,_xlfn.xlookup($C994,daily_dates,big_daily_table)))</f>
        <v>#NAME?</v>
      </c>
    </row>
    <row r="995" customFormat="false" ht="14.25" hidden="false" customHeight="false" outlineLevel="0" collapsed="false">
      <c r="B995" s="7" t="n">
        <v>41900</v>
      </c>
      <c r="C995" s="7" t="n">
        <f aca="false">B995-WEEKDAY(B995)+1</f>
        <v>41896</v>
      </c>
      <c r="D995" s="1" t="e">
        <f aca="false" t="array" ref="D995:D995">IF(ISBLANK(_xlfn.xlookup(D$3,daily_items,_xlfn.xlookup($C995,daily_dates,big_daily_table))),NA(),_xlfn.xlookup(D$3,daily_items,_xlfn.xlookup($C995,daily_dates,big_daily_table)))</f>
        <v>#NAME?</v>
      </c>
      <c r="E995" s="1" t="e">
        <f aca="false" t="array" ref="E995:E995">IF(ISBLANK(_xlfn.xlookup(E$3,daily_items,_xlfn.xlookup($C995,daily_dates,big_daily_table))),NA(),_xlfn.xlookup(E$3,daily_items,_xlfn.xlookup($C995,daily_dates,big_daily_table)))</f>
        <v>#NAME?</v>
      </c>
    </row>
    <row r="996" customFormat="false" ht="14.25" hidden="false" customHeight="false" outlineLevel="0" collapsed="false">
      <c r="B996" s="7" t="n">
        <v>41901</v>
      </c>
      <c r="C996" s="7" t="n">
        <f aca="false">B996-WEEKDAY(B996)+1</f>
        <v>41896</v>
      </c>
      <c r="D996" s="1" t="e">
        <f aca="false" t="array" ref="D996:D996">IF(ISBLANK(_xlfn.xlookup(D$3,daily_items,_xlfn.xlookup($C996,daily_dates,big_daily_table))),NA(),_xlfn.xlookup(D$3,daily_items,_xlfn.xlookup($C996,daily_dates,big_daily_table)))</f>
        <v>#NAME?</v>
      </c>
      <c r="E996" s="1" t="e">
        <f aca="false" t="array" ref="E996:E996">IF(ISBLANK(_xlfn.xlookup(E$3,daily_items,_xlfn.xlookup($C996,daily_dates,big_daily_table))),NA(),_xlfn.xlookup(E$3,daily_items,_xlfn.xlookup($C996,daily_dates,big_daily_table)))</f>
        <v>#NAME?</v>
      </c>
    </row>
    <row r="997" customFormat="false" ht="14.25" hidden="false" customHeight="false" outlineLevel="0" collapsed="false">
      <c r="B997" s="7" t="n">
        <v>41902</v>
      </c>
      <c r="C997" s="7" t="n">
        <f aca="false">B997-WEEKDAY(B997)+1</f>
        <v>41896</v>
      </c>
      <c r="D997" s="1" t="e">
        <f aca="false" t="array" ref="D997:D997">IF(ISBLANK(_xlfn.xlookup(D$3,daily_items,_xlfn.xlookup($C997,daily_dates,big_daily_table))),NA(),_xlfn.xlookup(D$3,daily_items,_xlfn.xlookup($C997,daily_dates,big_daily_table)))</f>
        <v>#NAME?</v>
      </c>
      <c r="E997" s="1" t="e">
        <f aca="false" t="array" ref="E997:E997">IF(ISBLANK(_xlfn.xlookup(E$3,daily_items,_xlfn.xlookup($C997,daily_dates,big_daily_table))),NA(),_xlfn.xlookup(E$3,daily_items,_xlfn.xlookup($C997,daily_dates,big_daily_table)))</f>
        <v>#NAME?</v>
      </c>
    </row>
    <row r="998" customFormat="false" ht="14.25" hidden="false" customHeight="false" outlineLevel="0" collapsed="false">
      <c r="B998" s="7" t="n">
        <v>41903</v>
      </c>
      <c r="C998" s="7" t="n">
        <f aca="false">B998-WEEKDAY(B998)+1</f>
        <v>41903</v>
      </c>
      <c r="D998" s="1" t="e">
        <f aca="false" t="array" ref="D998:D998">IF(ISBLANK(_xlfn.xlookup(D$3,daily_items,_xlfn.xlookup($C998,daily_dates,big_daily_table))),NA(),_xlfn.xlookup(D$3,daily_items,_xlfn.xlookup($C998,daily_dates,big_daily_table)))</f>
        <v>#NAME?</v>
      </c>
      <c r="E998" s="1" t="e">
        <f aca="false" t="array" ref="E998:E998">IF(ISBLANK(_xlfn.xlookup(E$3,daily_items,_xlfn.xlookup($C998,daily_dates,big_daily_table))),NA(),_xlfn.xlookup(E$3,daily_items,_xlfn.xlookup($C998,daily_dates,big_daily_table)))</f>
        <v>#NAME?</v>
      </c>
    </row>
    <row r="999" customFormat="false" ht="14.25" hidden="false" customHeight="false" outlineLevel="0" collapsed="false">
      <c r="B999" s="7" t="n">
        <v>41904</v>
      </c>
      <c r="C999" s="7" t="n">
        <f aca="false">B999-WEEKDAY(B999)+1</f>
        <v>41903</v>
      </c>
      <c r="D999" s="1" t="e">
        <f aca="false" t="array" ref="D999:D999">IF(ISBLANK(_xlfn.xlookup(D$3,daily_items,_xlfn.xlookup($C999,daily_dates,big_daily_table))),NA(),_xlfn.xlookup(D$3,daily_items,_xlfn.xlookup($C999,daily_dates,big_daily_table)))</f>
        <v>#NAME?</v>
      </c>
      <c r="E999" s="1" t="e">
        <f aca="false" t="array" ref="E999:E999">IF(ISBLANK(_xlfn.xlookup(E$3,daily_items,_xlfn.xlookup($C999,daily_dates,big_daily_table))),NA(),_xlfn.xlookup(E$3,daily_items,_xlfn.xlookup($C999,daily_dates,big_daily_table)))</f>
        <v>#NAME?</v>
      </c>
    </row>
    <row r="1000" customFormat="false" ht="14.25" hidden="false" customHeight="false" outlineLevel="0" collapsed="false">
      <c r="B1000" s="7" t="n">
        <v>41905</v>
      </c>
      <c r="C1000" s="7" t="n">
        <f aca="false">B1000-WEEKDAY(B1000)+1</f>
        <v>41903</v>
      </c>
      <c r="D1000" s="1" t="e">
        <f aca="false" t="array" ref="D1000:D1000">IF(ISBLANK(_xlfn.xlookup(D$3,daily_items,_xlfn.xlookup($C1000,daily_dates,big_daily_table))),NA(),_xlfn.xlookup(D$3,daily_items,_xlfn.xlookup($C1000,daily_dates,big_daily_table)))</f>
        <v>#NAME?</v>
      </c>
      <c r="E1000" s="1" t="e">
        <f aca="false" t="array" ref="E1000:E1000">IF(ISBLANK(_xlfn.xlookup(E$3,daily_items,_xlfn.xlookup($C1000,daily_dates,big_daily_table))),NA(),_xlfn.xlookup(E$3,daily_items,_xlfn.xlookup($C1000,daily_dates,big_daily_table)))</f>
        <v>#NAME?</v>
      </c>
    </row>
    <row r="1001" customFormat="false" ht="14.25" hidden="false" customHeight="false" outlineLevel="0" collapsed="false">
      <c r="B1001" s="7" t="n">
        <v>41906</v>
      </c>
      <c r="C1001" s="7" t="n">
        <f aca="false">B1001-WEEKDAY(B1001)+1</f>
        <v>41903</v>
      </c>
      <c r="D1001" s="1" t="e">
        <f aca="false" t="array" ref="D1001:D1001">IF(ISBLANK(_xlfn.xlookup(D$3,daily_items,_xlfn.xlookup($C1001,daily_dates,big_daily_table))),NA(),_xlfn.xlookup(D$3,daily_items,_xlfn.xlookup($C1001,daily_dates,big_daily_table)))</f>
        <v>#NAME?</v>
      </c>
      <c r="E1001" s="1" t="e">
        <f aca="false" t="array" ref="E1001:E1001">IF(ISBLANK(_xlfn.xlookup(E$3,daily_items,_xlfn.xlookup($C1001,daily_dates,big_daily_table))),NA(),_xlfn.xlookup(E$3,daily_items,_xlfn.xlookup($C1001,daily_dates,big_daily_table)))</f>
        <v>#NAME?</v>
      </c>
    </row>
    <row r="1002" customFormat="false" ht="14.25" hidden="false" customHeight="false" outlineLevel="0" collapsed="false">
      <c r="B1002" s="7" t="n">
        <v>41907</v>
      </c>
      <c r="C1002" s="7" t="n">
        <f aca="false">B1002-WEEKDAY(B1002)+1</f>
        <v>41903</v>
      </c>
      <c r="D1002" s="1" t="e">
        <f aca="false" t="array" ref="D1002:D1002">IF(ISBLANK(_xlfn.xlookup(D$3,daily_items,_xlfn.xlookup($C1002,daily_dates,big_daily_table))),NA(),_xlfn.xlookup(D$3,daily_items,_xlfn.xlookup($C1002,daily_dates,big_daily_table)))</f>
        <v>#NAME?</v>
      </c>
      <c r="E1002" s="1" t="e">
        <f aca="false" t="array" ref="E1002:E1002">IF(ISBLANK(_xlfn.xlookup(E$3,daily_items,_xlfn.xlookup($C1002,daily_dates,big_daily_table))),NA(),_xlfn.xlookup(E$3,daily_items,_xlfn.xlookup($C1002,daily_dates,big_daily_table)))</f>
        <v>#NAME?</v>
      </c>
    </row>
    <row r="1003" customFormat="false" ht="14.25" hidden="false" customHeight="false" outlineLevel="0" collapsed="false">
      <c r="B1003" s="7" t="n">
        <v>41908</v>
      </c>
      <c r="C1003" s="7" t="n">
        <f aca="false">B1003-WEEKDAY(B1003)+1</f>
        <v>41903</v>
      </c>
      <c r="D1003" s="1" t="e">
        <f aca="false" t="array" ref="D1003:D1003">IF(ISBLANK(_xlfn.xlookup(D$3,daily_items,_xlfn.xlookup($C1003,daily_dates,big_daily_table))),NA(),_xlfn.xlookup(D$3,daily_items,_xlfn.xlookup($C1003,daily_dates,big_daily_table)))</f>
        <v>#NAME?</v>
      </c>
      <c r="E1003" s="1" t="e">
        <f aca="false" t="array" ref="E1003:E1003">IF(ISBLANK(_xlfn.xlookup(E$3,daily_items,_xlfn.xlookup($C1003,daily_dates,big_daily_table))),NA(),_xlfn.xlookup(E$3,daily_items,_xlfn.xlookup($C1003,daily_dates,big_daily_table)))</f>
        <v>#NAME?</v>
      </c>
    </row>
    <row r="1004" customFormat="false" ht="14.25" hidden="false" customHeight="false" outlineLevel="0" collapsed="false">
      <c r="B1004" s="7" t="n">
        <v>41909</v>
      </c>
      <c r="C1004" s="7" t="n">
        <f aca="false">B1004-WEEKDAY(B1004)+1</f>
        <v>41903</v>
      </c>
      <c r="D1004" s="1" t="e">
        <f aca="false" t="array" ref="D1004:D1004">IF(ISBLANK(_xlfn.xlookup(D$3,daily_items,_xlfn.xlookup($C1004,daily_dates,big_daily_table))),NA(),_xlfn.xlookup(D$3,daily_items,_xlfn.xlookup($C1004,daily_dates,big_daily_table)))</f>
        <v>#NAME?</v>
      </c>
      <c r="E1004" s="1" t="e">
        <f aca="false" t="array" ref="E1004:E1004">IF(ISBLANK(_xlfn.xlookup(E$3,daily_items,_xlfn.xlookup($C1004,daily_dates,big_daily_table))),NA(),_xlfn.xlookup(E$3,daily_items,_xlfn.xlookup($C1004,daily_dates,big_daily_table)))</f>
        <v>#NAME?</v>
      </c>
    </row>
    <row r="1005" customFormat="false" ht="14.25" hidden="false" customHeight="false" outlineLevel="0" collapsed="false">
      <c r="B1005" s="7" t="n">
        <v>41910</v>
      </c>
      <c r="C1005" s="7" t="n">
        <f aca="false">B1005-WEEKDAY(B1005)+1</f>
        <v>41910</v>
      </c>
      <c r="D1005" s="1" t="e">
        <f aca="false" t="array" ref="D1005:D1005">IF(ISBLANK(_xlfn.xlookup(D$3,daily_items,_xlfn.xlookup($C1005,daily_dates,big_daily_table))),NA(),_xlfn.xlookup(D$3,daily_items,_xlfn.xlookup($C1005,daily_dates,big_daily_table)))</f>
        <v>#NAME?</v>
      </c>
      <c r="E1005" s="1" t="e">
        <f aca="false" t="array" ref="E1005:E1005">IF(ISBLANK(_xlfn.xlookup(E$3,daily_items,_xlfn.xlookup($C1005,daily_dates,big_daily_table))),NA(),_xlfn.xlookup(E$3,daily_items,_xlfn.xlookup($C1005,daily_dates,big_daily_table)))</f>
        <v>#NAME?</v>
      </c>
    </row>
    <row r="1006" customFormat="false" ht="14.25" hidden="false" customHeight="false" outlineLevel="0" collapsed="false">
      <c r="B1006" s="7" t="n">
        <v>41911</v>
      </c>
      <c r="C1006" s="7" t="n">
        <f aca="false">B1006-WEEKDAY(B1006)+1</f>
        <v>41910</v>
      </c>
      <c r="D1006" s="1" t="e">
        <f aca="false" t="array" ref="D1006:D1006">IF(ISBLANK(_xlfn.xlookup(D$3,daily_items,_xlfn.xlookup($C1006,daily_dates,big_daily_table))),NA(),_xlfn.xlookup(D$3,daily_items,_xlfn.xlookup($C1006,daily_dates,big_daily_table)))</f>
        <v>#NAME?</v>
      </c>
      <c r="E1006" s="1" t="e">
        <f aca="false" t="array" ref="E1006:E1006">IF(ISBLANK(_xlfn.xlookup(E$3,daily_items,_xlfn.xlookup($C1006,daily_dates,big_daily_table))),NA(),_xlfn.xlookup(E$3,daily_items,_xlfn.xlookup($C1006,daily_dates,big_daily_table)))</f>
        <v>#NAME?</v>
      </c>
    </row>
    <row r="1007" customFormat="false" ht="14.25" hidden="false" customHeight="false" outlineLevel="0" collapsed="false">
      <c r="B1007" s="7" t="n">
        <v>41912</v>
      </c>
      <c r="C1007" s="7" t="n">
        <f aca="false">B1007-WEEKDAY(B1007)+1</f>
        <v>41910</v>
      </c>
      <c r="D1007" s="1" t="e">
        <f aca="false" t="array" ref="D1007:D1007">IF(ISBLANK(_xlfn.xlookup(D$3,daily_items,_xlfn.xlookup($C1007,daily_dates,big_daily_table))),NA(),_xlfn.xlookup(D$3,daily_items,_xlfn.xlookup($C1007,daily_dates,big_daily_table)))</f>
        <v>#NAME?</v>
      </c>
      <c r="E1007" s="1" t="e">
        <f aca="false" t="array" ref="E1007:E1007">IF(ISBLANK(_xlfn.xlookup(E$3,daily_items,_xlfn.xlookup($C1007,daily_dates,big_daily_table))),NA(),_xlfn.xlookup(E$3,daily_items,_xlfn.xlookup($C1007,daily_dates,big_daily_table)))</f>
        <v>#NAME?</v>
      </c>
    </row>
    <row r="1008" customFormat="false" ht="14.25" hidden="false" customHeight="false" outlineLevel="0" collapsed="false">
      <c r="B1008" s="7" t="n">
        <v>41913</v>
      </c>
      <c r="C1008" s="7" t="n">
        <f aca="false">B1008-WEEKDAY(B1008)+1</f>
        <v>41910</v>
      </c>
      <c r="D1008" s="1" t="e">
        <f aca="false" t="array" ref="D1008:D1008">IF(ISBLANK(_xlfn.xlookup(D$3,daily_items,_xlfn.xlookup($C1008,daily_dates,big_daily_table))),NA(),_xlfn.xlookup(D$3,daily_items,_xlfn.xlookup($C1008,daily_dates,big_daily_table)))</f>
        <v>#NAME?</v>
      </c>
      <c r="E1008" s="1" t="e">
        <f aca="false" t="array" ref="E1008:E1008">IF(ISBLANK(_xlfn.xlookup(E$3,daily_items,_xlfn.xlookup($C1008,daily_dates,big_daily_table))),NA(),_xlfn.xlookup(E$3,daily_items,_xlfn.xlookup($C1008,daily_dates,big_daily_table)))</f>
        <v>#NAME?</v>
      </c>
    </row>
    <row r="1009" customFormat="false" ht="14.25" hidden="false" customHeight="false" outlineLevel="0" collapsed="false">
      <c r="B1009" s="7" t="n">
        <v>41914</v>
      </c>
      <c r="C1009" s="7" t="n">
        <f aca="false">B1009-WEEKDAY(B1009)+1</f>
        <v>41910</v>
      </c>
      <c r="D1009" s="1" t="e">
        <f aca="false" t="array" ref="D1009:D1009">IF(ISBLANK(_xlfn.xlookup(D$3,daily_items,_xlfn.xlookup($C1009,daily_dates,big_daily_table))),NA(),_xlfn.xlookup(D$3,daily_items,_xlfn.xlookup($C1009,daily_dates,big_daily_table)))</f>
        <v>#NAME?</v>
      </c>
      <c r="E1009" s="1" t="e">
        <f aca="false" t="array" ref="E1009:E1009">IF(ISBLANK(_xlfn.xlookup(E$3,daily_items,_xlfn.xlookup($C1009,daily_dates,big_daily_table))),NA(),_xlfn.xlookup(E$3,daily_items,_xlfn.xlookup($C1009,daily_dates,big_daily_table)))</f>
        <v>#NAME?</v>
      </c>
    </row>
    <row r="1010" customFormat="false" ht="14.25" hidden="false" customHeight="false" outlineLevel="0" collapsed="false">
      <c r="B1010" s="7" t="n">
        <v>41915</v>
      </c>
      <c r="C1010" s="7" t="n">
        <f aca="false">B1010-WEEKDAY(B1010)+1</f>
        <v>41910</v>
      </c>
      <c r="D1010" s="1" t="e">
        <f aca="false" t="array" ref="D1010:D1010">IF(ISBLANK(_xlfn.xlookup(D$3,daily_items,_xlfn.xlookup($C1010,daily_dates,big_daily_table))),NA(),_xlfn.xlookup(D$3,daily_items,_xlfn.xlookup($C1010,daily_dates,big_daily_table)))</f>
        <v>#NAME?</v>
      </c>
      <c r="E1010" s="1" t="e">
        <f aca="false" t="array" ref="E1010:E1010">IF(ISBLANK(_xlfn.xlookup(E$3,daily_items,_xlfn.xlookup($C1010,daily_dates,big_daily_table))),NA(),_xlfn.xlookup(E$3,daily_items,_xlfn.xlookup($C1010,daily_dates,big_daily_table)))</f>
        <v>#NAME?</v>
      </c>
    </row>
    <row r="1011" customFormat="false" ht="14.25" hidden="false" customHeight="false" outlineLevel="0" collapsed="false">
      <c r="B1011" s="7" t="n">
        <v>41916</v>
      </c>
      <c r="C1011" s="7" t="n">
        <f aca="false">B1011-WEEKDAY(B1011)+1</f>
        <v>41910</v>
      </c>
      <c r="D1011" s="1" t="e">
        <f aca="false" t="array" ref="D1011:D1011">IF(ISBLANK(_xlfn.xlookup(D$3,daily_items,_xlfn.xlookup($C1011,daily_dates,big_daily_table))),NA(),_xlfn.xlookup(D$3,daily_items,_xlfn.xlookup($C1011,daily_dates,big_daily_table)))</f>
        <v>#NAME?</v>
      </c>
      <c r="E1011" s="1" t="e">
        <f aca="false" t="array" ref="E1011:E1011">IF(ISBLANK(_xlfn.xlookup(E$3,daily_items,_xlfn.xlookup($C1011,daily_dates,big_daily_table))),NA(),_xlfn.xlookup(E$3,daily_items,_xlfn.xlookup($C1011,daily_dates,big_daily_table)))</f>
        <v>#NAME?</v>
      </c>
    </row>
    <row r="1012" customFormat="false" ht="14.25" hidden="false" customHeight="false" outlineLevel="0" collapsed="false">
      <c r="B1012" s="7" t="n">
        <v>41917</v>
      </c>
      <c r="C1012" s="7" t="n">
        <f aca="false">B1012-WEEKDAY(B1012)+1</f>
        <v>41917</v>
      </c>
      <c r="D1012" s="1" t="e">
        <f aca="false" t="array" ref="D1012:D1012">IF(ISBLANK(_xlfn.xlookup(D$3,daily_items,_xlfn.xlookup($C1012,daily_dates,big_daily_table))),NA(),_xlfn.xlookup(D$3,daily_items,_xlfn.xlookup($C1012,daily_dates,big_daily_table)))</f>
        <v>#NAME?</v>
      </c>
      <c r="E1012" s="1" t="e">
        <f aca="false" t="array" ref="E1012:E1012">IF(ISBLANK(_xlfn.xlookup(E$3,daily_items,_xlfn.xlookup($C1012,daily_dates,big_daily_table))),NA(),_xlfn.xlookup(E$3,daily_items,_xlfn.xlookup($C1012,daily_dates,big_daily_table)))</f>
        <v>#NAME?</v>
      </c>
    </row>
    <row r="1013" customFormat="false" ht="14.25" hidden="false" customHeight="false" outlineLevel="0" collapsed="false">
      <c r="B1013" s="7" t="n">
        <v>41918</v>
      </c>
      <c r="C1013" s="7" t="n">
        <f aca="false">B1013-WEEKDAY(B1013)+1</f>
        <v>41917</v>
      </c>
      <c r="D1013" s="1" t="e">
        <f aca="false" t="array" ref="D1013:D1013">IF(ISBLANK(_xlfn.xlookup(D$3,daily_items,_xlfn.xlookup($C1013,daily_dates,big_daily_table))),NA(),_xlfn.xlookup(D$3,daily_items,_xlfn.xlookup($C1013,daily_dates,big_daily_table)))</f>
        <v>#NAME?</v>
      </c>
      <c r="E1013" s="1" t="e">
        <f aca="false" t="array" ref="E1013:E1013">IF(ISBLANK(_xlfn.xlookup(E$3,daily_items,_xlfn.xlookup($C1013,daily_dates,big_daily_table))),NA(),_xlfn.xlookup(E$3,daily_items,_xlfn.xlookup($C1013,daily_dates,big_daily_table)))</f>
        <v>#NAME?</v>
      </c>
    </row>
    <row r="1014" customFormat="false" ht="14.25" hidden="false" customHeight="false" outlineLevel="0" collapsed="false">
      <c r="B1014" s="7" t="n">
        <v>41919</v>
      </c>
      <c r="C1014" s="7" t="n">
        <f aca="false">B1014-WEEKDAY(B1014)+1</f>
        <v>41917</v>
      </c>
      <c r="D1014" s="1" t="e">
        <f aca="false" t="array" ref="D1014:D1014">IF(ISBLANK(_xlfn.xlookup(D$3,daily_items,_xlfn.xlookup($C1014,daily_dates,big_daily_table))),NA(),_xlfn.xlookup(D$3,daily_items,_xlfn.xlookup($C1014,daily_dates,big_daily_table)))</f>
        <v>#NAME?</v>
      </c>
      <c r="E1014" s="1" t="e">
        <f aca="false" t="array" ref="E1014:E1014">IF(ISBLANK(_xlfn.xlookup(E$3,daily_items,_xlfn.xlookup($C1014,daily_dates,big_daily_table))),NA(),_xlfn.xlookup(E$3,daily_items,_xlfn.xlookup($C1014,daily_dates,big_daily_table)))</f>
        <v>#NAME?</v>
      </c>
    </row>
    <row r="1015" customFormat="false" ht="14.25" hidden="false" customHeight="false" outlineLevel="0" collapsed="false">
      <c r="B1015" s="7" t="n">
        <v>41920</v>
      </c>
      <c r="C1015" s="7" t="n">
        <f aca="false">B1015-WEEKDAY(B1015)+1</f>
        <v>41917</v>
      </c>
      <c r="D1015" s="1" t="e">
        <f aca="false" t="array" ref="D1015:D1015">IF(ISBLANK(_xlfn.xlookup(D$3,daily_items,_xlfn.xlookup($C1015,daily_dates,big_daily_table))),NA(),_xlfn.xlookup(D$3,daily_items,_xlfn.xlookup($C1015,daily_dates,big_daily_table)))</f>
        <v>#NAME?</v>
      </c>
      <c r="E1015" s="1" t="e">
        <f aca="false" t="array" ref="E1015:E1015">IF(ISBLANK(_xlfn.xlookup(E$3,daily_items,_xlfn.xlookup($C1015,daily_dates,big_daily_table))),NA(),_xlfn.xlookup(E$3,daily_items,_xlfn.xlookup($C1015,daily_dates,big_daily_table)))</f>
        <v>#NAME?</v>
      </c>
    </row>
    <row r="1016" customFormat="false" ht="14.25" hidden="false" customHeight="false" outlineLevel="0" collapsed="false">
      <c r="B1016" s="7" t="n">
        <v>41921</v>
      </c>
      <c r="C1016" s="7" t="n">
        <f aca="false">B1016-WEEKDAY(B1016)+1</f>
        <v>41917</v>
      </c>
      <c r="D1016" s="1" t="e">
        <f aca="false" t="array" ref="D1016:D1016">IF(ISBLANK(_xlfn.xlookup(D$3,daily_items,_xlfn.xlookup($C1016,daily_dates,big_daily_table))),NA(),_xlfn.xlookup(D$3,daily_items,_xlfn.xlookup($C1016,daily_dates,big_daily_table)))</f>
        <v>#NAME?</v>
      </c>
      <c r="E1016" s="1" t="e">
        <f aca="false" t="array" ref="E1016:E1016">IF(ISBLANK(_xlfn.xlookup(E$3,daily_items,_xlfn.xlookup($C1016,daily_dates,big_daily_table))),NA(),_xlfn.xlookup(E$3,daily_items,_xlfn.xlookup($C1016,daily_dates,big_daily_table)))</f>
        <v>#NAME?</v>
      </c>
    </row>
    <row r="1017" customFormat="false" ht="14.25" hidden="false" customHeight="false" outlineLevel="0" collapsed="false">
      <c r="B1017" s="7" t="n">
        <v>41922</v>
      </c>
      <c r="C1017" s="7" t="n">
        <f aca="false">B1017-WEEKDAY(B1017)+1</f>
        <v>41917</v>
      </c>
      <c r="D1017" s="1" t="e">
        <f aca="false" t="array" ref="D1017:D1017">IF(ISBLANK(_xlfn.xlookup(D$3,daily_items,_xlfn.xlookup($C1017,daily_dates,big_daily_table))),NA(),_xlfn.xlookup(D$3,daily_items,_xlfn.xlookup($C1017,daily_dates,big_daily_table)))</f>
        <v>#NAME?</v>
      </c>
      <c r="E1017" s="1" t="e">
        <f aca="false" t="array" ref="E1017:E1017">IF(ISBLANK(_xlfn.xlookup(E$3,daily_items,_xlfn.xlookup($C1017,daily_dates,big_daily_table))),NA(),_xlfn.xlookup(E$3,daily_items,_xlfn.xlookup($C1017,daily_dates,big_daily_table)))</f>
        <v>#NAME?</v>
      </c>
    </row>
    <row r="1018" customFormat="false" ht="14.25" hidden="false" customHeight="false" outlineLevel="0" collapsed="false">
      <c r="B1018" s="7" t="n">
        <v>41923</v>
      </c>
      <c r="C1018" s="7" t="n">
        <f aca="false">B1018-WEEKDAY(B1018)+1</f>
        <v>41917</v>
      </c>
      <c r="D1018" s="1" t="e">
        <f aca="false" t="array" ref="D1018:D1018">IF(ISBLANK(_xlfn.xlookup(D$3,daily_items,_xlfn.xlookup($C1018,daily_dates,big_daily_table))),NA(),_xlfn.xlookup(D$3,daily_items,_xlfn.xlookup($C1018,daily_dates,big_daily_table)))</f>
        <v>#NAME?</v>
      </c>
      <c r="E1018" s="1" t="e">
        <f aca="false" t="array" ref="E1018:E1018">IF(ISBLANK(_xlfn.xlookup(E$3,daily_items,_xlfn.xlookup($C1018,daily_dates,big_daily_table))),NA(),_xlfn.xlookup(E$3,daily_items,_xlfn.xlookup($C1018,daily_dates,big_daily_table)))</f>
        <v>#NAME?</v>
      </c>
    </row>
    <row r="1019" customFormat="false" ht="14.25" hidden="false" customHeight="false" outlineLevel="0" collapsed="false">
      <c r="B1019" s="7" t="n">
        <v>41924</v>
      </c>
      <c r="C1019" s="7" t="n">
        <f aca="false">B1019-WEEKDAY(B1019)+1</f>
        <v>41924</v>
      </c>
      <c r="D1019" s="1" t="e">
        <f aca="false" t="array" ref="D1019:D1019">IF(ISBLANK(_xlfn.xlookup(D$3,daily_items,_xlfn.xlookup($C1019,daily_dates,big_daily_table))),NA(),_xlfn.xlookup(D$3,daily_items,_xlfn.xlookup($C1019,daily_dates,big_daily_table)))</f>
        <v>#NAME?</v>
      </c>
      <c r="E1019" s="1" t="e">
        <f aca="false" t="array" ref="E1019:E1019">IF(ISBLANK(_xlfn.xlookup(E$3,daily_items,_xlfn.xlookup($C1019,daily_dates,big_daily_table))),NA(),_xlfn.xlookup(E$3,daily_items,_xlfn.xlookup($C1019,daily_dates,big_daily_table)))</f>
        <v>#NAME?</v>
      </c>
    </row>
    <row r="1020" customFormat="false" ht="14.25" hidden="false" customHeight="false" outlineLevel="0" collapsed="false">
      <c r="B1020" s="7" t="n">
        <v>41925</v>
      </c>
      <c r="C1020" s="7" t="n">
        <f aca="false">B1020-WEEKDAY(B1020)+1</f>
        <v>41924</v>
      </c>
      <c r="D1020" s="1" t="e">
        <f aca="false" t="array" ref="D1020:D1020">IF(ISBLANK(_xlfn.xlookup(D$3,daily_items,_xlfn.xlookup($C1020,daily_dates,big_daily_table))),NA(),_xlfn.xlookup(D$3,daily_items,_xlfn.xlookup($C1020,daily_dates,big_daily_table)))</f>
        <v>#NAME?</v>
      </c>
      <c r="E1020" s="1" t="e">
        <f aca="false" t="array" ref="E1020:E1020">IF(ISBLANK(_xlfn.xlookup(E$3,daily_items,_xlfn.xlookup($C1020,daily_dates,big_daily_table))),NA(),_xlfn.xlookup(E$3,daily_items,_xlfn.xlookup($C1020,daily_dates,big_daily_table)))</f>
        <v>#NAME?</v>
      </c>
    </row>
    <row r="1021" customFormat="false" ht="14.25" hidden="false" customHeight="false" outlineLevel="0" collapsed="false">
      <c r="B1021" s="7" t="n">
        <v>41926</v>
      </c>
      <c r="C1021" s="7" t="n">
        <f aca="false">B1021-WEEKDAY(B1021)+1</f>
        <v>41924</v>
      </c>
      <c r="D1021" s="1" t="e">
        <f aca="false" t="array" ref="D1021:D1021">IF(ISBLANK(_xlfn.xlookup(D$3,daily_items,_xlfn.xlookup($C1021,daily_dates,big_daily_table))),NA(),_xlfn.xlookup(D$3,daily_items,_xlfn.xlookup($C1021,daily_dates,big_daily_table)))</f>
        <v>#NAME?</v>
      </c>
      <c r="E1021" s="1" t="e">
        <f aca="false" t="array" ref="E1021:E1021">IF(ISBLANK(_xlfn.xlookup(E$3,daily_items,_xlfn.xlookup($C1021,daily_dates,big_daily_table))),NA(),_xlfn.xlookup(E$3,daily_items,_xlfn.xlookup($C1021,daily_dates,big_daily_table)))</f>
        <v>#NAME?</v>
      </c>
    </row>
    <row r="1022" customFormat="false" ht="14.25" hidden="false" customHeight="false" outlineLevel="0" collapsed="false">
      <c r="B1022" s="7" t="n">
        <v>41927</v>
      </c>
      <c r="C1022" s="7" t="n">
        <f aca="false">B1022-WEEKDAY(B1022)+1</f>
        <v>41924</v>
      </c>
      <c r="D1022" s="1" t="e">
        <f aca="false" t="array" ref="D1022:D1022">IF(ISBLANK(_xlfn.xlookup(D$3,daily_items,_xlfn.xlookup($C1022,daily_dates,big_daily_table))),NA(),_xlfn.xlookup(D$3,daily_items,_xlfn.xlookup($C1022,daily_dates,big_daily_table)))</f>
        <v>#NAME?</v>
      </c>
      <c r="E1022" s="1" t="e">
        <f aca="false" t="array" ref="E1022:E1022">IF(ISBLANK(_xlfn.xlookup(E$3,daily_items,_xlfn.xlookup($C1022,daily_dates,big_daily_table))),NA(),_xlfn.xlookup(E$3,daily_items,_xlfn.xlookup($C1022,daily_dates,big_daily_table)))</f>
        <v>#NAME?</v>
      </c>
    </row>
    <row r="1023" customFormat="false" ht="14.25" hidden="false" customHeight="false" outlineLevel="0" collapsed="false">
      <c r="B1023" s="7" t="n">
        <v>41928</v>
      </c>
      <c r="C1023" s="7" t="n">
        <f aca="false">B1023-WEEKDAY(B1023)+1</f>
        <v>41924</v>
      </c>
      <c r="D1023" s="1" t="e">
        <f aca="false" t="array" ref="D1023:D1023">IF(ISBLANK(_xlfn.xlookup(D$3,daily_items,_xlfn.xlookup($C1023,daily_dates,big_daily_table))),NA(),_xlfn.xlookup(D$3,daily_items,_xlfn.xlookup($C1023,daily_dates,big_daily_table)))</f>
        <v>#NAME?</v>
      </c>
      <c r="E1023" s="1" t="e">
        <f aca="false" t="array" ref="E1023:E1023">IF(ISBLANK(_xlfn.xlookup(E$3,daily_items,_xlfn.xlookup($C1023,daily_dates,big_daily_table))),NA(),_xlfn.xlookup(E$3,daily_items,_xlfn.xlookup($C1023,daily_dates,big_daily_table)))</f>
        <v>#NAME?</v>
      </c>
    </row>
    <row r="1024" customFormat="false" ht="14.25" hidden="false" customHeight="false" outlineLevel="0" collapsed="false">
      <c r="B1024" s="7" t="n">
        <v>41929</v>
      </c>
      <c r="C1024" s="7" t="n">
        <f aca="false">B1024-WEEKDAY(B1024)+1</f>
        <v>41924</v>
      </c>
      <c r="D1024" s="1" t="e">
        <f aca="false" t="array" ref="D1024:D1024">IF(ISBLANK(_xlfn.xlookup(D$3,daily_items,_xlfn.xlookup($C1024,daily_dates,big_daily_table))),NA(),_xlfn.xlookup(D$3,daily_items,_xlfn.xlookup($C1024,daily_dates,big_daily_table)))</f>
        <v>#NAME?</v>
      </c>
      <c r="E1024" s="1" t="e">
        <f aca="false" t="array" ref="E1024:E1024">IF(ISBLANK(_xlfn.xlookup(E$3,daily_items,_xlfn.xlookup($C1024,daily_dates,big_daily_table))),NA(),_xlfn.xlookup(E$3,daily_items,_xlfn.xlookup($C1024,daily_dates,big_daily_table)))</f>
        <v>#NAME?</v>
      </c>
    </row>
    <row r="1025" customFormat="false" ht="14.25" hidden="false" customHeight="false" outlineLevel="0" collapsed="false">
      <c r="B1025" s="7" t="n">
        <v>41930</v>
      </c>
      <c r="C1025" s="7" t="n">
        <f aca="false">B1025-WEEKDAY(B1025)+1</f>
        <v>41924</v>
      </c>
      <c r="D1025" s="1" t="e">
        <f aca="false" t="array" ref="D1025:D1025">IF(ISBLANK(_xlfn.xlookup(D$3,daily_items,_xlfn.xlookup($C1025,daily_dates,big_daily_table))),NA(),_xlfn.xlookup(D$3,daily_items,_xlfn.xlookup($C1025,daily_dates,big_daily_table)))</f>
        <v>#NAME?</v>
      </c>
      <c r="E1025" s="1" t="e">
        <f aca="false" t="array" ref="E1025:E1025">IF(ISBLANK(_xlfn.xlookup(E$3,daily_items,_xlfn.xlookup($C1025,daily_dates,big_daily_table))),NA(),_xlfn.xlookup(E$3,daily_items,_xlfn.xlookup($C1025,daily_dates,big_daily_table)))</f>
        <v>#NAME?</v>
      </c>
    </row>
    <row r="1026" customFormat="false" ht="14.25" hidden="false" customHeight="false" outlineLevel="0" collapsed="false">
      <c r="B1026" s="7" t="n">
        <v>41931</v>
      </c>
      <c r="C1026" s="7" t="n">
        <f aca="false">B1026-WEEKDAY(B1026)+1</f>
        <v>41931</v>
      </c>
      <c r="D1026" s="1" t="e">
        <f aca="false" t="array" ref="D1026:D1026">IF(ISBLANK(_xlfn.xlookup(D$3,daily_items,_xlfn.xlookup($C1026,daily_dates,big_daily_table))),NA(),_xlfn.xlookup(D$3,daily_items,_xlfn.xlookup($C1026,daily_dates,big_daily_table)))</f>
        <v>#NAME?</v>
      </c>
      <c r="E1026" s="1" t="e">
        <f aca="false" t="array" ref="E1026:E1026">IF(ISBLANK(_xlfn.xlookup(E$3,daily_items,_xlfn.xlookup($C1026,daily_dates,big_daily_table))),NA(),_xlfn.xlookup(E$3,daily_items,_xlfn.xlookup($C1026,daily_dates,big_daily_table)))</f>
        <v>#NAME?</v>
      </c>
    </row>
    <row r="1027" customFormat="false" ht="14.25" hidden="false" customHeight="false" outlineLevel="0" collapsed="false">
      <c r="B1027" s="7" t="n">
        <v>41932</v>
      </c>
      <c r="C1027" s="7" t="n">
        <f aca="false">B1027-WEEKDAY(B1027)+1</f>
        <v>41931</v>
      </c>
      <c r="D1027" s="1" t="e">
        <f aca="false" t="array" ref="D1027:D1027">IF(ISBLANK(_xlfn.xlookup(D$3,daily_items,_xlfn.xlookup($C1027,daily_dates,big_daily_table))),NA(),_xlfn.xlookup(D$3,daily_items,_xlfn.xlookup($C1027,daily_dates,big_daily_table)))</f>
        <v>#NAME?</v>
      </c>
      <c r="E1027" s="1" t="e">
        <f aca="false" t="array" ref="E1027:E1027">IF(ISBLANK(_xlfn.xlookup(E$3,daily_items,_xlfn.xlookup($C1027,daily_dates,big_daily_table))),NA(),_xlfn.xlookup(E$3,daily_items,_xlfn.xlookup($C1027,daily_dates,big_daily_table)))</f>
        <v>#NAME?</v>
      </c>
    </row>
    <row r="1028" customFormat="false" ht="14.25" hidden="false" customHeight="false" outlineLevel="0" collapsed="false">
      <c r="B1028" s="7" t="n">
        <v>41933</v>
      </c>
      <c r="C1028" s="7" t="n">
        <f aca="false">B1028-WEEKDAY(B1028)+1</f>
        <v>41931</v>
      </c>
      <c r="D1028" s="1" t="e">
        <f aca="false" t="array" ref="D1028:D1028">IF(ISBLANK(_xlfn.xlookup(D$3,daily_items,_xlfn.xlookup($C1028,daily_dates,big_daily_table))),NA(),_xlfn.xlookup(D$3,daily_items,_xlfn.xlookup($C1028,daily_dates,big_daily_table)))</f>
        <v>#NAME?</v>
      </c>
      <c r="E1028" s="1" t="e">
        <f aca="false" t="array" ref="E1028:E1028">IF(ISBLANK(_xlfn.xlookup(E$3,daily_items,_xlfn.xlookup($C1028,daily_dates,big_daily_table))),NA(),_xlfn.xlookup(E$3,daily_items,_xlfn.xlookup($C1028,daily_dates,big_daily_table)))</f>
        <v>#NAME?</v>
      </c>
    </row>
    <row r="1029" customFormat="false" ht="14.25" hidden="false" customHeight="false" outlineLevel="0" collapsed="false">
      <c r="B1029" s="7" t="n">
        <v>41934</v>
      </c>
      <c r="C1029" s="7" t="n">
        <f aca="false">B1029-WEEKDAY(B1029)+1</f>
        <v>41931</v>
      </c>
      <c r="D1029" s="1" t="e">
        <f aca="false" t="array" ref="D1029:D1029">IF(ISBLANK(_xlfn.xlookup(D$3,daily_items,_xlfn.xlookup($C1029,daily_dates,big_daily_table))),NA(),_xlfn.xlookup(D$3,daily_items,_xlfn.xlookup($C1029,daily_dates,big_daily_table)))</f>
        <v>#NAME?</v>
      </c>
      <c r="E1029" s="1" t="e">
        <f aca="false" t="array" ref="E1029:E1029">IF(ISBLANK(_xlfn.xlookup(E$3,daily_items,_xlfn.xlookup($C1029,daily_dates,big_daily_table))),NA(),_xlfn.xlookup(E$3,daily_items,_xlfn.xlookup($C1029,daily_dates,big_daily_table)))</f>
        <v>#NAME?</v>
      </c>
    </row>
    <row r="1030" customFormat="false" ht="14.25" hidden="false" customHeight="false" outlineLevel="0" collapsed="false">
      <c r="B1030" s="7" t="n">
        <v>41935</v>
      </c>
      <c r="C1030" s="7" t="n">
        <f aca="false">B1030-WEEKDAY(B1030)+1</f>
        <v>41931</v>
      </c>
      <c r="D1030" s="1" t="e">
        <f aca="false" t="array" ref="D1030:D1030">IF(ISBLANK(_xlfn.xlookup(D$3,daily_items,_xlfn.xlookup($C1030,daily_dates,big_daily_table))),NA(),_xlfn.xlookup(D$3,daily_items,_xlfn.xlookup($C1030,daily_dates,big_daily_table)))</f>
        <v>#NAME?</v>
      </c>
      <c r="E1030" s="1" t="e">
        <f aca="false" t="array" ref="E1030:E1030">IF(ISBLANK(_xlfn.xlookup(E$3,daily_items,_xlfn.xlookup($C1030,daily_dates,big_daily_table))),NA(),_xlfn.xlookup(E$3,daily_items,_xlfn.xlookup($C1030,daily_dates,big_daily_table)))</f>
        <v>#NAME?</v>
      </c>
    </row>
    <row r="1031" customFormat="false" ht="14.25" hidden="false" customHeight="false" outlineLevel="0" collapsed="false">
      <c r="B1031" s="7" t="n">
        <v>41936</v>
      </c>
      <c r="C1031" s="7" t="n">
        <f aca="false">B1031-WEEKDAY(B1031)+1</f>
        <v>41931</v>
      </c>
      <c r="D1031" s="1" t="e">
        <f aca="false" t="array" ref="D1031:D1031">IF(ISBLANK(_xlfn.xlookup(D$3,daily_items,_xlfn.xlookup($C1031,daily_dates,big_daily_table))),NA(),_xlfn.xlookup(D$3,daily_items,_xlfn.xlookup($C1031,daily_dates,big_daily_table)))</f>
        <v>#NAME?</v>
      </c>
      <c r="E1031" s="1" t="e">
        <f aca="false" t="array" ref="E1031:E1031">IF(ISBLANK(_xlfn.xlookup(E$3,daily_items,_xlfn.xlookup($C1031,daily_dates,big_daily_table))),NA(),_xlfn.xlookup(E$3,daily_items,_xlfn.xlookup($C1031,daily_dates,big_daily_table)))</f>
        <v>#NAME?</v>
      </c>
    </row>
    <row r="1032" customFormat="false" ht="14.25" hidden="false" customHeight="false" outlineLevel="0" collapsed="false">
      <c r="B1032" s="7" t="n">
        <v>41937</v>
      </c>
      <c r="C1032" s="7" t="n">
        <f aca="false">B1032-WEEKDAY(B1032)+1</f>
        <v>41931</v>
      </c>
      <c r="D1032" s="1" t="e">
        <f aca="false" t="array" ref="D1032:D1032">IF(ISBLANK(_xlfn.xlookup(D$3,daily_items,_xlfn.xlookup($C1032,daily_dates,big_daily_table))),NA(),_xlfn.xlookup(D$3,daily_items,_xlfn.xlookup($C1032,daily_dates,big_daily_table)))</f>
        <v>#NAME?</v>
      </c>
      <c r="E1032" s="1" t="e">
        <f aca="false" t="array" ref="E1032:E1032">IF(ISBLANK(_xlfn.xlookup(E$3,daily_items,_xlfn.xlookup($C1032,daily_dates,big_daily_table))),NA(),_xlfn.xlookup(E$3,daily_items,_xlfn.xlookup($C1032,daily_dates,big_daily_table)))</f>
        <v>#NAME?</v>
      </c>
    </row>
    <row r="1033" customFormat="false" ht="14.25" hidden="false" customHeight="false" outlineLevel="0" collapsed="false">
      <c r="B1033" s="7" t="n">
        <v>41938</v>
      </c>
      <c r="C1033" s="7" t="n">
        <f aca="false">B1033-WEEKDAY(B1033)+1</f>
        <v>41938</v>
      </c>
      <c r="D1033" s="1" t="e">
        <f aca="false" t="array" ref="D1033:D1033">IF(ISBLANK(_xlfn.xlookup(D$3,daily_items,_xlfn.xlookup($C1033,daily_dates,big_daily_table))),NA(),_xlfn.xlookup(D$3,daily_items,_xlfn.xlookup($C1033,daily_dates,big_daily_table)))</f>
        <v>#NAME?</v>
      </c>
      <c r="E1033" s="1" t="e">
        <f aca="false" t="array" ref="E1033:E1033">IF(ISBLANK(_xlfn.xlookup(E$3,daily_items,_xlfn.xlookup($C1033,daily_dates,big_daily_table))),NA(),_xlfn.xlookup(E$3,daily_items,_xlfn.xlookup($C1033,daily_dates,big_daily_table)))</f>
        <v>#NAME?</v>
      </c>
    </row>
    <row r="1034" customFormat="false" ht="14.25" hidden="false" customHeight="false" outlineLevel="0" collapsed="false">
      <c r="B1034" s="7" t="n">
        <v>41939</v>
      </c>
      <c r="C1034" s="7" t="n">
        <f aca="false">B1034-WEEKDAY(B1034)+1</f>
        <v>41938</v>
      </c>
      <c r="D1034" s="1" t="e">
        <f aca="false" t="array" ref="D1034:D1034">IF(ISBLANK(_xlfn.xlookup(D$3,daily_items,_xlfn.xlookup($C1034,daily_dates,big_daily_table))),NA(),_xlfn.xlookup(D$3,daily_items,_xlfn.xlookup($C1034,daily_dates,big_daily_table)))</f>
        <v>#NAME?</v>
      </c>
      <c r="E1034" s="1" t="e">
        <f aca="false" t="array" ref="E1034:E1034">IF(ISBLANK(_xlfn.xlookup(E$3,daily_items,_xlfn.xlookup($C1034,daily_dates,big_daily_table))),NA(),_xlfn.xlookup(E$3,daily_items,_xlfn.xlookup($C1034,daily_dates,big_daily_table)))</f>
        <v>#NAME?</v>
      </c>
    </row>
    <row r="1035" customFormat="false" ht="14.25" hidden="false" customHeight="false" outlineLevel="0" collapsed="false">
      <c r="B1035" s="7" t="n">
        <v>41940</v>
      </c>
      <c r="C1035" s="7" t="n">
        <f aca="false">B1035-WEEKDAY(B1035)+1</f>
        <v>41938</v>
      </c>
      <c r="D1035" s="1" t="e">
        <f aca="false" t="array" ref="D1035:D1035">IF(ISBLANK(_xlfn.xlookup(D$3,daily_items,_xlfn.xlookup($C1035,daily_dates,big_daily_table))),NA(),_xlfn.xlookup(D$3,daily_items,_xlfn.xlookup($C1035,daily_dates,big_daily_table)))</f>
        <v>#NAME?</v>
      </c>
      <c r="E1035" s="1" t="e">
        <f aca="false" t="array" ref="E1035:E1035">IF(ISBLANK(_xlfn.xlookup(E$3,daily_items,_xlfn.xlookup($C1035,daily_dates,big_daily_table))),NA(),_xlfn.xlookup(E$3,daily_items,_xlfn.xlookup($C1035,daily_dates,big_daily_table)))</f>
        <v>#NAME?</v>
      </c>
    </row>
    <row r="1036" customFormat="false" ht="14.25" hidden="false" customHeight="false" outlineLevel="0" collapsed="false">
      <c r="B1036" s="7" t="n">
        <v>41941</v>
      </c>
      <c r="C1036" s="7" t="n">
        <f aca="false">B1036-WEEKDAY(B1036)+1</f>
        <v>41938</v>
      </c>
      <c r="D1036" s="1" t="e">
        <f aca="false" t="array" ref="D1036:D1036">IF(ISBLANK(_xlfn.xlookup(D$3,daily_items,_xlfn.xlookup($C1036,daily_dates,big_daily_table))),NA(),_xlfn.xlookup(D$3,daily_items,_xlfn.xlookup($C1036,daily_dates,big_daily_table)))</f>
        <v>#NAME?</v>
      </c>
      <c r="E1036" s="1" t="e">
        <f aca="false" t="array" ref="E1036:E1036">IF(ISBLANK(_xlfn.xlookup(E$3,daily_items,_xlfn.xlookup($C1036,daily_dates,big_daily_table))),NA(),_xlfn.xlookup(E$3,daily_items,_xlfn.xlookup($C1036,daily_dates,big_daily_table)))</f>
        <v>#NAME?</v>
      </c>
    </row>
    <row r="1037" customFormat="false" ht="14.25" hidden="false" customHeight="false" outlineLevel="0" collapsed="false">
      <c r="B1037" s="7" t="n">
        <v>41942</v>
      </c>
      <c r="C1037" s="7" t="n">
        <f aca="false">B1037-WEEKDAY(B1037)+1</f>
        <v>41938</v>
      </c>
      <c r="D1037" s="1" t="e">
        <f aca="false" t="array" ref="D1037:D1037">IF(ISBLANK(_xlfn.xlookup(D$3,daily_items,_xlfn.xlookup($C1037,daily_dates,big_daily_table))),NA(),_xlfn.xlookup(D$3,daily_items,_xlfn.xlookup($C1037,daily_dates,big_daily_table)))</f>
        <v>#NAME?</v>
      </c>
      <c r="E1037" s="1" t="e">
        <f aca="false" t="array" ref="E1037:E1037">IF(ISBLANK(_xlfn.xlookup(E$3,daily_items,_xlfn.xlookup($C1037,daily_dates,big_daily_table))),NA(),_xlfn.xlookup(E$3,daily_items,_xlfn.xlookup($C1037,daily_dates,big_daily_table)))</f>
        <v>#NAME?</v>
      </c>
    </row>
    <row r="1038" customFormat="false" ht="14.25" hidden="false" customHeight="false" outlineLevel="0" collapsed="false">
      <c r="B1038" s="7" t="n">
        <v>41943</v>
      </c>
      <c r="C1038" s="7" t="n">
        <f aca="false">B1038-WEEKDAY(B1038)+1</f>
        <v>41938</v>
      </c>
      <c r="D1038" s="1" t="e">
        <f aca="false" t="array" ref="D1038:D1038">IF(ISBLANK(_xlfn.xlookup(D$3,daily_items,_xlfn.xlookup($C1038,daily_dates,big_daily_table))),NA(),_xlfn.xlookup(D$3,daily_items,_xlfn.xlookup($C1038,daily_dates,big_daily_table)))</f>
        <v>#NAME?</v>
      </c>
      <c r="E1038" s="1" t="e">
        <f aca="false" t="array" ref="E1038:E1038">IF(ISBLANK(_xlfn.xlookup(E$3,daily_items,_xlfn.xlookup($C1038,daily_dates,big_daily_table))),NA(),_xlfn.xlookup(E$3,daily_items,_xlfn.xlookup($C1038,daily_dates,big_daily_table)))</f>
        <v>#NAME?</v>
      </c>
    </row>
    <row r="1039" customFormat="false" ht="14.25" hidden="false" customHeight="false" outlineLevel="0" collapsed="false">
      <c r="B1039" s="7" t="n">
        <v>41944</v>
      </c>
      <c r="C1039" s="7" t="n">
        <f aca="false">B1039-WEEKDAY(B1039)+1</f>
        <v>41938</v>
      </c>
      <c r="D1039" s="1" t="e">
        <f aca="false" t="array" ref="D1039:D1039">IF(ISBLANK(_xlfn.xlookup(D$3,daily_items,_xlfn.xlookup($C1039,daily_dates,big_daily_table))),NA(),_xlfn.xlookup(D$3,daily_items,_xlfn.xlookup($C1039,daily_dates,big_daily_table)))</f>
        <v>#NAME?</v>
      </c>
      <c r="E1039" s="1" t="e">
        <f aca="false" t="array" ref="E1039:E1039">IF(ISBLANK(_xlfn.xlookup(E$3,daily_items,_xlfn.xlookup($C1039,daily_dates,big_daily_table))),NA(),_xlfn.xlookup(E$3,daily_items,_xlfn.xlookup($C1039,daily_dates,big_daily_table)))</f>
        <v>#NAME?</v>
      </c>
    </row>
    <row r="1040" customFormat="false" ht="14.25" hidden="false" customHeight="false" outlineLevel="0" collapsed="false">
      <c r="B1040" s="7" t="n">
        <v>41945</v>
      </c>
      <c r="C1040" s="7" t="n">
        <f aca="false">B1040-WEEKDAY(B1040)+1</f>
        <v>41945</v>
      </c>
      <c r="D1040" s="1" t="e">
        <f aca="false" t="array" ref="D1040:D1040">IF(ISBLANK(_xlfn.xlookup(D$3,daily_items,_xlfn.xlookup($C1040,daily_dates,big_daily_table))),NA(),_xlfn.xlookup(D$3,daily_items,_xlfn.xlookup($C1040,daily_dates,big_daily_table)))</f>
        <v>#NAME?</v>
      </c>
      <c r="E1040" s="1" t="e">
        <f aca="false" t="array" ref="E1040:E1040">IF(ISBLANK(_xlfn.xlookup(E$3,daily_items,_xlfn.xlookup($C1040,daily_dates,big_daily_table))),NA(),_xlfn.xlookup(E$3,daily_items,_xlfn.xlookup($C1040,daily_dates,big_daily_table)))</f>
        <v>#NAME?</v>
      </c>
    </row>
    <row r="1041" customFormat="false" ht="14.25" hidden="false" customHeight="false" outlineLevel="0" collapsed="false">
      <c r="B1041" s="7" t="n">
        <v>41946</v>
      </c>
      <c r="C1041" s="7" t="n">
        <f aca="false">B1041-WEEKDAY(B1041)+1</f>
        <v>41945</v>
      </c>
      <c r="D1041" s="1" t="e">
        <f aca="false" t="array" ref="D1041:D1041">IF(ISBLANK(_xlfn.xlookup(D$3,daily_items,_xlfn.xlookup($C1041,daily_dates,big_daily_table))),NA(),_xlfn.xlookup(D$3,daily_items,_xlfn.xlookup($C1041,daily_dates,big_daily_table)))</f>
        <v>#NAME?</v>
      </c>
      <c r="E1041" s="1" t="e">
        <f aca="false" t="array" ref="E1041:E1041">IF(ISBLANK(_xlfn.xlookup(E$3,daily_items,_xlfn.xlookup($C1041,daily_dates,big_daily_table))),NA(),_xlfn.xlookup(E$3,daily_items,_xlfn.xlookup($C1041,daily_dates,big_daily_table)))</f>
        <v>#NAME?</v>
      </c>
    </row>
    <row r="1042" customFormat="false" ht="14.25" hidden="false" customHeight="false" outlineLevel="0" collapsed="false">
      <c r="B1042" s="7" t="n">
        <v>41947</v>
      </c>
      <c r="C1042" s="7" t="n">
        <f aca="false">B1042-WEEKDAY(B1042)+1</f>
        <v>41945</v>
      </c>
      <c r="D1042" s="1" t="e">
        <f aca="false" t="array" ref="D1042:D1042">IF(ISBLANK(_xlfn.xlookup(D$3,daily_items,_xlfn.xlookup($C1042,daily_dates,big_daily_table))),NA(),_xlfn.xlookup(D$3,daily_items,_xlfn.xlookup($C1042,daily_dates,big_daily_table)))</f>
        <v>#NAME?</v>
      </c>
      <c r="E1042" s="1" t="e">
        <f aca="false" t="array" ref="E1042:E1042">IF(ISBLANK(_xlfn.xlookup(E$3,daily_items,_xlfn.xlookup($C1042,daily_dates,big_daily_table))),NA(),_xlfn.xlookup(E$3,daily_items,_xlfn.xlookup($C1042,daily_dates,big_daily_table)))</f>
        <v>#NAME?</v>
      </c>
    </row>
    <row r="1043" customFormat="false" ht="14.25" hidden="false" customHeight="false" outlineLevel="0" collapsed="false">
      <c r="B1043" s="7" t="n">
        <v>41948</v>
      </c>
      <c r="C1043" s="7" t="n">
        <f aca="false">B1043-WEEKDAY(B1043)+1</f>
        <v>41945</v>
      </c>
      <c r="D1043" s="1" t="e">
        <f aca="false" t="array" ref="D1043:D1043">IF(ISBLANK(_xlfn.xlookup(D$3,daily_items,_xlfn.xlookup($C1043,daily_dates,big_daily_table))),NA(),_xlfn.xlookup(D$3,daily_items,_xlfn.xlookup($C1043,daily_dates,big_daily_table)))</f>
        <v>#NAME?</v>
      </c>
      <c r="E1043" s="1" t="e">
        <f aca="false" t="array" ref="E1043:E1043">IF(ISBLANK(_xlfn.xlookup(E$3,daily_items,_xlfn.xlookup($C1043,daily_dates,big_daily_table))),NA(),_xlfn.xlookup(E$3,daily_items,_xlfn.xlookup($C1043,daily_dates,big_daily_table)))</f>
        <v>#NAME?</v>
      </c>
    </row>
    <row r="1044" customFormat="false" ht="14.25" hidden="false" customHeight="false" outlineLevel="0" collapsed="false">
      <c r="B1044" s="7" t="n">
        <v>41949</v>
      </c>
      <c r="C1044" s="7" t="n">
        <f aca="false">B1044-WEEKDAY(B1044)+1</f>
        <v>41945</v>
      </c>
      <c r="D1044" s="1" t="e">
        <f aca="false" t="array" ref="D1044:D1044">IF(ISBLANK(_xlfn.xlookup(D$3,daily_items,_xlfn.xlookup($C1044,daily_dates,big_daily_table))),NA(),_xlfn.xlookup(D$3,daily_items,_xlfn.xlookup($C1044,daily_dates,big_daily_table)))</f>
        <v>#NAME?</v>
      </c>
      <c r="E1044" s="1" t="e">
        <f aca="false" t="array" ref="E1044:E1044">IF(ISBLANK(_xlfn.xlookup(E$3,daily_items,_xlfn.xlookup($C1044,daily_dates,big_daily_table))),NA(),_xlfn.xlookup(E$3,daily_items,_xlfn.xlookup($C1044,daily_dates,big_daily_table)))</f>
        <v>#NAME?</v>
      </c>
    </row>
    <row r="1045" customFormat="false" ht="14.25" hidden="false" customHeight="false" outlineLevel="0" collapsed="false">
      <c r="B1045" s="7" t="n">
        <v>41950</v>
      </c>
      <c r="C1045" s="7" t="n">
        <f aca="false">B1045-WEEKDAY(B1045)+1</f>
        <v>41945</v>
      </c>
      <c r="D1045" s="1" t="e">
        <f aca="false" t="array" ref="D1045:D1045">IF(ISBLANK(_xlfn.xlookup(D$3,daily_items,_xlfn.xlookup($C1045,daily_dates,big_daily_table))),NA(),_xlfn.xlookup(D$3,daily_items,_xlfn.xlookup($C1045,daily_dates,big_daily_table)))</f>
        <v>#NAME?</v>
      </c>
      <c r="E1045" s="1" t="e">
        <f aca="false" t="array" ref="E1045:E1045">IF(ISBLANK(_xlfn.xlookup(E$3,daily_items,_xlfn.xlookup($C1045,daily_dates,big_daily_table))),NA(),_xlfn.xlookup(E$3,daily_items,_xlfn.xlookup($C1045,daily_dates,big_daily_table)))</f>
        <v>#NAME?</v>
      </c>
    </row>
    <row r="1046" customFormat="false" ht="14.25" hidden="false" customHeight="false" outlineLevel="0" collapsed="false">
      <c r="B1046" s="7" t="n">
        <v>41951</v>
      </c>
      <c r="C1046" s="7" t="n">
        <f aca="false">B1046-WEEKDAY(B1046)+1</f>
        <v>41945</v>
      </c>
      <c r="D1046" s="1" t="e">
        <f aca="false" t="array" ref="D1046:D1046">IF(ISBLANK(_xlfn.xlookup(D$3,daily_items,_xlfn.xlookup($C1046,daily_dates,big_daily_table))),NA(),_xlfn.xlookup(D$3,daily_items,_xlfn.xlookup($C1046,daily_dates,big_daily_table)))</f>
        <v>#NAME?</v>
      </c>
      <c r="E1046" s="1" t="e">
        <f aca="false" t="array" ref="E1046:E1046">IF(ISBLANK(_xlfn.xlookup(E$3,daily_items,_xlfn.xlookup($C1046,daily_dates,big_daily_table))),NA(),_xlfn.xlookup(E$3,daily_items,_xlfn.xlookup($C1046,daily_dates,big_daily_table)))</f>
        <v>#NAME?</v>
      </c>
    </row>
    <row r="1047" customFormat="false" ht="14.25" hidden="false" customHeight="false" outlineLevel="0" collapsed="false">
      <c r="B1047" s="7" t="n">
        <v>41952</v>
      </c>
      <c r="C1047" s="7" t="n">
        <f aca="false">B1047-WEEKDAY(B1047)+1</f>
        <v>41952</v>
      </c>
      <c r="D1047" s="1" t="e">
        <f aca="false" t="array" ref="D1047:D1047">IF(ISBLANK(_xlfn.xlookup(D$3,daily_items,_xlfn.xlookup($C1047,daily_dates,big_daily_table))),NA(),_xlfn.xlookup(D$3,daily_items,_xlfn.xlookup($C1047,daily_dates,big_daily_table)))</f>
        <v>#NAME?</v>
      </c>
      <c r="E1047" s="1" t="e">
        <f aca="false" t="array" ref="E1047:E1047">IF(ISBLANK(_xlfn.xlookup(E$3,daily_items,_xlfn.xlookup($C1047,daily_dates,big_daily_table))),NA(),_xlfn.xlookup(E$3,daily_items,_xlfn.xlookup($C1047,daily_dates,big_daily_table)))</f>
        <v>#NAME?</v>
      </c>
    </row>
    <row r="1048" customFormat="false" ht="14.25" hidden="false" customHeight="false" outlineLevel="0" collapsed="false">
      <c r="B1048" s="7" t="n">
        <v>41953</v>
      </c>
      <c r="C1048" s="7" t="n">
        <f aca="false">B1048-WEEKDAY(B1048)+1</f>
        <v>41952</v>
      </c>
      <c r="D1048" s="1" t="e">
        <f aca="false" t="array" ref="D1048:D1048">IF(ISBLANK(_xlfn.xlookup(D$3,daily_items,_xlfn.xlookup($C1048,daily_dates,big_daily_table))),NA(),_xlfn.xlookup(D$3,daily_items,_xlfn.xlookup($C1048,daily_dates,big_daily_table)))</f>
        <v>#NAME?</v>
      </c>
      <c r="E1048" s="1" t="e">
        <f aca="false" t="array" ref="E1048:E1048">IF(ISBLANK(_xlfn.xlookup(E$3,daily_items,_xlfn.xlookup($C1048,daily_dates,big_daily_table))),NA(),_xlfn.xlookup(E$3,daily_items,_xlfn.xlookup($C1048,daily_dates,big_daily_table)))</f>
        <v>#NAME?</v>
      </c>
    </row>
    <row r="1049" customFormat="false" ht="14.25" hidden="false" customHeight="false" outlineLevel="0" collapsed="false">
      <c r="B1049" s="7" t="n">
        <v>41954</v>
      </c>
      <c r="C1049" s="7" t="n">
        <f aca="false">B1049-WEEKDAY(B1049)+1</f>
        <v>41952</v>
      </c>
      <c r="D1049" s="1" t="e">
        <f aca="false" t="array" ref="D1049:D1049">IF(ISBLANK(_xlfn.xlookup(D$3,daily_items,_xlfn.xlookup($C1049,daily_dates,big_daily_table))),NA(),_xlfn.xlookup(D$3,daily_items,_xlfn.xlookup($C1049,daily_dates,big_daily_table)))</f>
        <v>#NAME?</v>
      </c>
      <c r="E1049" s="1" t="e">
        <f aca="false" t="array" ref="E1049:E1049">IF(ISBLANK(_xlfn.xlookup(E$3,daily_items,_xlfn.xlookup($C1049,daily_dates,big_daily_table))),NA(),_xlfn.xlookup(E$3,daily_items,_xlfn.xlookup($C1049,daily_dates,big_daily_table)))</f>
        <v>#NAME?</v>
      </c>
    </row>
    <row r="1050" customFormat="false" ht="14.25" hidden="false" customHeight="false" outlineLevel="0" collapsed="false">
      <c r="B1050" s="7" t="n">
        <v>41955</v>
      </c>
      <c r="C1050" s="7" t="n">
        <f aca="false">B1050-WEEKDAY(B1050)+1</f>
        <v>41952</v>
      </c>
      <c r="D1050" s="1" t="e">
        <f aca="false" t="array" ref="D1050:D1050">IF(ISBLANK(_xlfn.xlookup(D$3,daily_items,_xlfn.xlookup($C1050,daily_dates,big_daily_table))),NA(),_xlfn.xlookup(D$3,daily_items,_xlfn.xlookup($C1050,daily_dates,big_daily_table)))</f>
        <v>#NAME?</v>
      </c>
      <c r="E1050" s="1" t="e">
        <f aca="false" t="array" ref="E1050:E1050">IF(ISBLANK(_xlfn.xlookup(E$3,daily_items,_xlfn.xlookup($C1050,daily_dates,big_daily_table))),NA(),_xlfn.xlookup(E$3,daily_items,_xlfn.xlookup($C1050,daily_dates,big_daily_table)))</f>
        <v>#NAME?</v>
      </c>
    </row>
    <row r="1051" customFormat="false" ht="14.25" hidden="false" customHeight="false" outlineLevel="0" collapsed="false">
      <c r="B1051" s="7" t="n">
        <v>41956</v>
      </c>
      <c r="C1051" s="7" t="n">
        <f aca="false">B1051-WEEKDAY(B1051)+1</f>
        <v>41952</v>
      </c>
      <c r="D1051" s="1" t="e">
        <f aca="false" t="array" ref="D1051:D1051">IF(ISBLANK(_xlfn.xlookup(D$3,daily_items,_xlfn.xlookup($C1051,daily_dates,big_daily_table))),NA(),_xlfn.xlookup(D$3,daily_items,_xlfn.xlookup($C1051,daily_dates,big_daily_table)))</f>
        <v>#NAME?</v>
      </c>
      <c r="E1051" s="1" t="e">
        <f aca="false" t="array" ref="E1051:E1051">IF(ISBLANK(_xlfn.xlookup(E$3,daily_items,_xlfn.xlookup($C1051,daily_dates,big_daily_table))),NA(),_xlfn.xlookup(E$3,daily_items,_xlfn.xlookup($C1051,daily_dates,big_daily_table)))</f>
        <v>#NAME?</v>
      </c>
    </row>
    <row r="1052" customFormat="false" ht="14.25" hidden="false" customHeight="false" outlineLevel="0" collapsed="false">
      <c r="B1052" s="7" t="n">
        <v>41957</v>
      </c>
      <c r="C1052" s="7" t="n">
        <f aca="false">B1052-WEEKDAY(B1052)+1</f>
        <v>41952</v>
      </c>
      <c r="D1052" s="1" t="e">
        <f aca="false" t="array" ref="D1052:D1052">IF(ISBLANK(_xlfn.xlookup(D$3,daily_items,_xlfn.xlookup($C1052,daily_dates,big_daily_table))),NA(),_xlfn.xlookup(D$3,daily_items,_xlfn.xlookup($C1052,daily_dates,big_daily_table)))</f>
        <v>#NAME?</v>
      </c>
      <c r="E1052" s="1" t="e">
        <f aca="false" t="array" ref="E1052:E1052">IF(ISBLANK(_xlfn.xlookup(E$3,daily_items,_xlfn.xlookup($C1052,daily_dates,big_daily_table))),NA(),_xlfn.xlookup(E$3,daily_items,_xlfn.xlookup($C1052,daily_dates,big_daily_table)))</f>
        <v>#NAME?</v>
      </c>
    </row>
    <row r="1053" customFormat="false" ht="14.25" hidden="false" customHeight="false" outlineLevel="0" collapsed="false">
      <c r="B1053" s="7" t="n">
        <v>41958</v>
      </c>
      <c r="C1053" s="7" t="n">
        <f aca="false">B1053-WEEKDAY(B1053)+1</f>
        <v>41952</v>
      </c>
      <c r="D1053" s="1" t="e">
        <f aca="false" t="array" ref="D1053:D1053">IF(ISBLANK(_xlfn.xlookup(D$3,daily_items,_xlfn.xlookup($C1053,daily_dates,big_daily_table))),NA(),_xlfn.xlookup(D$3,daily_items,_xlfn.xlookup($C1053,daily_dates,big_daily_table)))</f>
        <v>#NAME?</v>
      </c>
      <c r="E1053" s="1" t="e">
        <f aca="false" t="array" ref="E1053:E1053">IF(ISBLANK(_xlfn.xlookup(E$3,daily_items,_xlfn.xlookup($C1053,daily_dates,big_daily_table))),NA(),_xlfn.xlookup(E$3,daily_items,_xlfn.xlookup($C1053,daily_dates,big_daily_table)))</f>
        <v>#NAME?</v>
      </c>
    </row>
    <row r="1054" customFormat="false" ht="14.25" hidden="false" customHeight="false" outlineLevel="0" collapsed="false">
      <c r="B1054" s="7" t="n">
        <v>41959</v>
      </c>
      <c r="C1054" s="7" t="n">
        <f aca="false">B1054-WEEKDAY(B1054)+1</f>
        <v>41959</v>
      </c>
      <c r="D1054" s="1" t="e">
        <f aca="false" t="array" ref="D1054:D1054">IF(ISBLANK(_xlfn.xlookup(D$3,daily_items,_xlfn.xlookup($C1054,daily_dates,big_daily_table))),NA(),_xlfn.xlookup(D$3,daily_items,_xlfn.xlookup($C1054,daily_dates,big_daily_table)))</f>
        <v>#NAME?</v>
      </c>
      <c r="E1054" s="1" t="e">
        <f aca="false" t="array" ref="E1054:E1054">IF(ISBLANK(_xlfn.xlookup(E$3,daily_items,_xlfn.xlookup($C1054,daily_dates,big_daily_table))),NA(),_xlfn.xlookup(E$3,daily_items,_xlfn.xlookup($C1054,daily_dates,big_daily_table)))</f>
        <v>#NAME?</v>
      </c>
    </row>
    <row r="1055" customFormat="false" ht="14.25" hidden="false" customHeight="false" outlineLevel="0" collapsed="false">
      <c r="B1055" s="7" t="n">
        <v>41960</v>
      </c>
      <c r="C1055" s="7" t="n">
        <f aca="false">B1055-WEEKDAY(B1055)+1</f>
        <v>41959</v>
      </c>
      <c r="D1055" s="1" t="e">
        <f aca="false" t="array" ref="D1055:D1055">IF(ISBLANK(_xlfn.xlookup(D$3,daily_items,_xlfn.xlookup($C1055,daily_dates,big_daily_table))),NA(),_xlfn.xlookup(D$3,daily_items,_xlfn.xlookup($C1055,daily_dates,big_daily_table)))</f>
        <v>#NAME?</v>
      </c>
      <c r="E1055" s="1" t="e">
        <f aca="false" t="array" ref="E1055:E1055">IF(ISBLANK(_xlfn.xlookup(E$3,daily_items,_xlfn.xlookup($C1055,daily_dates,big_daily_table))),NA(),_xlfn.xlookup(E$3,daily_items,_xlfn.xlookup($C1055,daily_dates,big_daily_table)))</f>
        <v>#NAME?</v>
      </c>
    </row>
    <row r="1056" customFormat="false" ht="14.25" hidden="false" customHeight="false" outlineLevel="0" collapsed="false">
      <c r="B1056" s="7" t="n">
        <v>41961</v>
      </c>
      <c r="C1056" s="7" t="n">
        <f aca="false">B1056-WEEKDAY(B1056)+1</f>
        <v>41959</v>
      </c>
      <c r="D1056" s="1" t="e">
        <f aca="false" t="array" ref="D1056:D1056">IF(ISBLANK(_xlfn.xlookup(D$3,daily_items,_xlfn.xlookup($C1056,daily_dates,big_daily_table))),NA(),_xlfn.xlookup(D$3,daily_items,_xlfn.xlookup($C1056,daily_dates,big_daily_table)))</f>
        <v>#NAME?</v>
      </c>
      <c r="E1056" s="1" t="e">
        <f aca="false" t="array" ref="E1056:E1056">IF(ISBLANK(_xlfn.xlookup(E$3,daily_items,_xlfn.xlookup($C1056,daily_dates,big_daily_table))),NA(),_xlfn.xlookup(E$3,daily_items,_xlfn.xlookup($C1056,daily_dates,big_daily_table)))</f>
        <v>#NAME?</v>
      </c>
    </row>
    <row r="1057" customFormat="false" ht="14.25" hidden="false" customHeight="false" outlineLevel="0" collapsed="false">
      <c r="B1057" s="7" t="n">
        <v>41962</v>
      </c>
      <c r="C1057" s="7" t="n">
        <f aca="false">B1057-WEEKDAY(B1057)+1</f>
        <v>41959</v>
      </c>
      <c r="D1057" s="1" t="e">
        <f aca="false" t="array" ref="D1057:D1057">IF(ISBLANK(_xlfn.xlookup(D$3,daily_items,_xlfn.xlookup($C1057,daily_dates,big_daily_table))),NA(),_xlfn.xlookup(D$3,daily_items,_xlfn.xlookup($C1057,daily_dates,big_daily_table)))</f>
        <v>#NAME?</v>
      </c>
      <c r="E1057" s="1" t="e">
        <f aca="false" t="array" ref="E1057:E1057">IF(ISBLANK(_xlfn.xlookup(E$3,daily_items,_xlfn.xlookup($C1057,daily_dates,big_daily_table))),NA(),_xlfn.xlookup(E$3,daily_items,_xlfn.xlookup($C1057,daily_dates,big_daily_table)))</f>
        <v>#NAME?</v>
      </c>
    </row>
    <row r="1058" customFormat="false" ht="14.25" hidden="false" customHeight="false" outlineLevel="0" collapsed="false">
      <c r="B1058" s="7" t="n">
        <v>41963</v>
      </c>
      <c r="C1058" s="7" t="n">
        <f aca="false">B1058-WEEKDAY(B1058)+1</f>
        <v>41959</v>
      </c>
      <c r="D1058" s="1" t="e">
        <f aca="false" t="array" ref="D1058:D1058">IF(ISBLANK(_xlfn.xlookup(D$3,daily_items,_xlfn.xlookup($C1058,daily_dates,big_daily_table))),NA(),_xlfn.xlookup(D$3,daily_items,_xlfn.xlookup($C1058,daily_dates,big_daily_table)))</f>
        <v>#NAME?</v>
      </c>
      <c r="E1058" s="1" t="e">
        <f aca="false" t="array" ref="E1058:E1058">IF(ISBLANK(_xlfn.xlookup(E$3,daily_items,_xlfn.xlookup($C1058,daily_dates,big_daily_table))),NA(),_xlfn.xlookup(E$3,daily_items,_xlfn.xlookup($C1058,daily_dates,big_daily_table)))</f>
        <v>#NAME?</v>
      </c>
    </row>
    <row r="1059" customFormat="false" ht="14.25" hidden="false" customHeight="false" outlineLevel="0" collapsed="false">
      <c r="B1059" s="7" t="n">
        <v>41964</v>
      </c>
      <c r="C1059" s="7" t="n">
        <f aca="false">B1059-WEEKDAY(B1059)+1</f>
        <v>41959</v>
      </c>
      <c r="D1059" s="1" t="e">
        <f aca="false" t="array" ref="D1059:D1059">IF(ISBLANK(_xlfn.xlookup(D$3,daily_items,_xlfn.xlookup($C1059,daily_dates,big_daily_table))),NA(),_xlfn.xlookup(D$3,daily_items,_xlfn.xlookup($C1059,daily_dates,big_daily_table)))</f>
        <v>#NAME?</v>
      </c>
      <c r="E1059" s="1" t="e">
        <f aca="false" t="array" ref="E1059:E1059">IF(ISBLANK(_xlfn.xlookup(E$3,daily_items,_xlfn.xlookup($C1059,daily_dates,big_daily_table))),NA(),_xlfn.xlookup(E$3,daily_items,_xlfn.xlookup($C1059,daily_dates,big_daily_table)))</f>
        <v>#NAME?</v>
      </c>
    </row>
    <row r="1060" customFormat="false" ht="14.25" hidden="false" customHeight="false" outlineLevel="0" collapsed="false">
      <c r="B1060" s="7" t="n">
        <v>41965</v>
      </c>
      <c r="C1060" s="7" t="n">
        <f aca="false">B1060-WEEKDAY(B1060)+1</f>
        <v>41959</v>
      </c>
      <c r="D1060" s="1" t="e">
        <f aca="false" t="array" ref="D1060:D1060">IF(ISBLANK(_xlfn.xlookup(D$3,daily_items,_xlfn.xlookup($C1060,daily_dates,big_daily_table))),NA(),_xlfn.xlookup(D$3,daily_items,_xlfn.xlookup($C1060,daily_dates,big_daily_table)))</f>
        <v>#NAME?</v>
      </c>
      <c r="E1060" s="1" t="e">
        <f aca="false" t="array" ref="E1060:E1060">IF(ISBLANK(_xlfn.xlookup(E$3,daily_items,_xlfn.xlookup($C1060,daily_dates,big_daily_table))),NA(),_xlfn.xlookup(E$3,daily_items,_xlfn.xlookup($C1060,daily_dates,big_daily_table)))</f>
        <v>#NAME?</v>
      </c>
    </row>
    <row r="1061" customFormat="false" ht="14.25" hidden="false" customHeight="false" outlineLevel="0" collapsed="false">
      <c r="B1061" s="7" t="n">
        <v>41966</v>
      </c>
      <c r="C1061" s="7" t="n">
        <f aca="false">B1061-WEEKDAY(B1061)+1</f>
        <v>41966</v>
      </c>
      <c r="D1061" s="1" t="e">
        <f aca="false" t="array" ref="D1061:D1061">IF(ISBLANK(_xlfn.xlookup(D$3,daily_items,_xlfn.xlookup($C1061,daily_dates,big_daily_table))),NA(),_xlfn.xlookup(D$3,daily_items,_xlfn.xlookup($C1061,daily_dates,big_daily_table)))</f>
        <v>#NAME?</v>
      </c>
      <c r="E1061" s="1" t="e">
        <f aca="false" t="array" ref="E1061:E1061">IF(ISBLANK(_xlfn.xlookup(E$3,daily_items,_xlfn.xlookup($C1061,daily_dates,big_daily_table))),NA(),_xlfn.xlookup(E$3,daily_items,_xlfn.xlookup($C1061,daily_dates,big_daily_table)))</f>
        <v>#NAME?</v>
      </c>
    </row>
    <row r="1062" customFormat="false" ht="14.25" hidden="false" customHeight="false" outlineLevel="0" collapsed="false">
      <c r="B1062" s="7" t="n">
        <v>41967</v>
      </c>
      <c r="C1062" s="7" t="n">
        <f aca="false">B1062-WEEKDAY(B1062)+1</f>
        <v>41966</v>
      </c>
      <c r="D1062" s="1" t="e">
        <f aca="false" t="array" ref="D1062:D1062">IF(ISBLANK(_xlfn.xlookup(D$3,daily_items,_xlfn.xlookup($C1062,daily_dates,big_daily_table))),NA(),_xlfn.xlookup(D$3,daily_items,_xlfn.xlookup($C1062,daily_dates,big_daily_table)))</f>
        <v>#NAME?</v>
      </c>
      <c r="E1062" s="1" t="e">
        <f aca="false" t="array" ref="E1062:E1062">IF(ISBLANK(_xlfn.xlookup(E$3,daily_items,_xlfn.xlookup($C1062,daily_dates,big_daily_table))),NA(),_xlfn.xlookup(E$3,daily_items,_xlfn.xlookup($C1062,daily_dates,big_daily_table)))</f>
        <v>#NAME?</v>
      </c>
    </row>
    <row r="1063" customFormat="false" ht="14.25" hidden="false" customHeight="false" outlineLevel="0" collapsed="false">
      <c r="B1063" s="7" t="n">
        <v>41968</v>
      </c>
      <c r="C1063" s="7" t="n">
        <f aca="false">B1063-WEEKDAY(B1063)+1</f>
        <v>41966</v>
      </c>
      <c r="D1063" s="1" t="e">
        <f aca="false" t="array" ref="D1063:D1063">IF(ISBLANK(_xlfn.xlookup(D$3,daily_items,_xlfn.xlookup($C1063,daily_dates,big_daily_table))),NA(),_xlfn.xlookup(D$3,daily_items,_xlfn.xlookup($C1063,daily_dates,big_daily_table)))</f>
        <v>#NAME?</v>
      </c>
      <c r="E1063" s="1" t="e">
        <f aca="false" t="array" ref="E1063:E1063">IF(ISBLANK(_xlfn.xlookup(E$3,daily_items,_xlfn.xlookup($C1063,daily_dates,big_daily_table))),NA(),_xlfn.xlookup(E$3,daily_items,_xlfn.xlookup($C1063,daily_dates,big_daily_table)))</f>
        <v>#NAME?</v>
      </c>
    </row>
    <row r="1064" customFormat="false" ht="14.25" hidden="false" customHeight="false" outlineLevel="0" collapsed="false">
      <c r="B1064" s="7" t="n">
        <v>41969</v>
      </c>
      <c r="C1064" s="7" t="n">
        <f aca="false">B1064-WEEKDAY(B1064)+1</f>
        <v>41966</v>
      </c>
      <c r="D1064" s="1" t="e">
        <f aca="false" t="array" ref="D1064:D1064">IF(ISBLANK(_xlfn.xlookup(D$3,daily_items,_xlfn.xlookup($C1064,daily_dates,big_daily_table))),NA(),_xlfn.xlookup(D$3,daily_items,_xlfn.xlookup($C1064,daily_dates,big_daily_table)))</f>
        <v>#NAME?</v>
      </c>
      <c r="E1064" s="1" t="e">
        <f aca="false" t="array" ref="E1064:E1064">IF(ISBLANK(_xlfn.xlookup(E$3,daily_items,_xlfn.xlookup($C1064,daily_dates,big_daily_table))),NA(),_xlfn.xlookup(E$3,daily_items,_xlfn.xlookup($C1064,daily_dates,big_daily_table)))</f>
        <v>#NAME?</v>
      </c>
    </row>
    <row r="1065" customFormat="false" ht="14.25" hidden="false" customHeight="false" outlineLevel="0" collapsed="false">
      <c r="B1065" s="7" t="n">
        <v>41970</v>
      </c>
      <c r="C1065" s="7" t="n">
        <f aca="false">B1065-WEEKDAY(B1065)+1</f>
        <v>41966</v>
      </c>
      <c r="D1065" s="1" t="e">
        <f aca="false" t="array" ref="D1065:D1065">IF(ISBLANK(_xlfn.xlookup(D$3,daily_items,_xlfn.xlookup($C1065,daily_dates,big_daily_table))),NA(),_xlfn.xlookup(D$3,daily_items,_xlfn.xlookup($C1065,daily_dates,big_daily_table)))</f>
        <v>#NAME?</v>
      </c>
      <c r="E1065" s="1" t="e">
        <f aca="false" t="array" ref="E1065:E1065">IF(ISBLANK(_xlfn.xlookup(E$3,daily_items,_xlfn.xlookup($C1065,daily_dates,big_daily_table))),NA(),_xlfn.xlookup(E$3,daily_items,_xlfn.xlookup($C1065,daily_dates,big_daily_table)))</f>
        <v>#NAME?</v>
      </c>
    </row>
    <row r="1066" customFormat="false" ht="14.25" hidden="false" customHeight="false" outlineLevel="0" collapsed="false">
      <c r="B1066" s="7" t="n">
        <v>41971</v>
      </c>
      <c r="C1066" s="7" t="n">
        <f aca="false">B1066-WEEKDAY(B1066)+1</f>
        <v>41966</v>
      </c>
      <c r="D1066" s="1" t="e">
        <f aca="false" t="array" ref="D1066:D1066">IF(ISBLANK(_xlfn.xlookup(D$3,daily_items,_xlfn.xlookup($C1066,daily_dates,big_daily_table))),NA(),_xlfn.xlookup(D$3,daily_items,_xlfn.xlookup($C1066,daily_dates,big_daily_table)))</f>
        <v>#NAME?</v>
      </c>
      <c r="E1066" s="1" t="e">
        <f aca="false" t="array" ref="E1066:E1066">IF(ISBLANK(_xlfn.xlookup(E$3,daily_items,_xlfn.xlookup($C1066,daily_dates,big_daily_table))),NA(),_xlfn.xlookup(E$3,daily_items,_xlfn.xlookup($C1066,daily_dates,big_daily_table)))</f>
        <v>#NAME?</v>
      </c>
    </row>
    <row r="1067" customFormat="false" ht="14.25" hidden="false" customHeight="false" outlineLevel="0" collapsed="false">
      <c r="B1067" s="7" t="n">
        <v>41972</v>
      </c>
      <c r="C1067" s="7" t="n">
        <f aca="false">B1067-WEEKDAY(B1067)+1</f>
        <v>41966</v>
      </c>
      <c r="D1067" s="1" t="e">
        <f aca="false" t="array" ref="D1067:D1067">IF(ISBLANK(_xlfn.xlookup(D$3,daily_items,_xlfn.xlookup($C1067,daily_dates,big_daily_table))),NA(),_xlfn.xlookup(D$3,daily_items,_xlfn.xlookup($C1067,daily_dates,big_daily_table)))</f>
        <v>#NAME?</v>
      </c>
      <c r="E1067" s="1" t="e">
        <f aca="false" t="array" ref="E1067:E1067">IF(ISBLANK(_xlfn.xlookup(E$3,daily_items,_xlfn.xlookup($C1067,daily_dates,big_daily_table))),NA(),_xlfn.xlookup(E$3,daily_items,_xlfn.xlookup($C1067,daily_dates,big_daily_table)))</f>
        <v>#NAME?</v>
      </c>
    </row>
    <row r="1068" customFormat="false" ht="14.25" hidden="false" customHeight="false" outlineLevel="0" collapsed="false">
      <c r="B1068" s="7" t="n">
        <v>41973</v>
      </c>
      <c r="C1068" s="7" t="n">
        <f aca="false">B1068-WEEKDAY(B1068)+1</f>
        <v>41973</v>
      </c>
      <c r="D1068" s="1" t="e">
        <f aca="false" t="array" ref="D1068:D1068">IF(ISBLANK(_xlfn.xlookup(D$3,daily_items,_xlfn.xlookup($C1068,daily_dates,big_daily_table))),NA(),_xlfn.xlookup(D$3,daily_items,_xlfn.xlookup($C1068,daily_dates,big_daily_table)))</f>
        <v>#NAME?</v>
      </c>
      <c r="E1068" s="1" t="e">
        <f aca="false" t="array" ref="E1068:E1068">IF(ISBLANK(_xlfn.xlookup(E$3,daily_items,_xlfn.xlookup($C1068,daily_dates,big_daily_table))),NA(),_xlfn.xlookup(E$3,daily_items,_xlfn.xlookup($C1068,daily_dates,big_daily_table)))</f>
        <v>#NAME?</v>
      </c>
    </row>
    <row r="1069" customFormat="false" ht="14.25" hidden="false" customHeight="false" outlineLevel="0" collapsed="false">
      <c r="B1069" s="7" t="n">
        <v>41974</v>
      </c>
      <c r="C1069" s="7" t="n">
        <f aca="false">B1069-WEEKDAY(B1069)+1</f>
        <v>41973</v>
      </c>
      <c r="D1069" s="1" t="e">
        <f aca="false" t="array" ref="D1069:D1069">IF(ISBLANK(_xlfn.xlookup(D$3,daily_items,_xlfn.xlookup($C1069,daily_dates,big_daily_table))),NA(),_xlfn.xlookup(D$3,daily_items,_xlfn.xlookup($C1069,daily_dates,big_daily_table)))</f>
        <v>#NAME?</v>
      </c>
      <c r="E1069" s="1" t="e">
        <f aca="false" t="array" ref="E1069:E1069">IF(ISBLANK(_xlfn.xlookup(E$3,daily_items,_xlfn.xlookup($C1069,daily_dates,big_daily_table))),NA(),_xlfn.xlookup(E$3,daily_items,_xlfn.xlookup($C1069,daily_dates,big_daily_table)))</f>
        <v>#NAME?</v>
      </c>
    </row>
    <row r="1070" customFormat="false" ht="14.25" hidden="false" customHeight="false" outlineLevel="0" collapsed="false">
      <c r="B1070" s="7" t="n">
        <v>41975</v>
      </c>
      <c r="C1070" s="7" t="n">
        <f aca="false">B1070-WEEKDAY(B1070)+1</f>
        <v>41973</v>
      </c>
      <c r="D1070" s="1" t="e">
        <f aca="false" t="array" ref="D1070:D1070">IF(ISBLANK(_xlfn.xlookup(D$3,daily_items,_xlfn.xlookup($C1070,daily_dates,big_daily_table))),NA(),_xlfn.xlookup(D$3,daily_items,_xlfn.xlookup($C1070,daily_dates,big_daily_table)))</f>
        <v>#NAME?</v>
      </c>
      <c r="E1070" s="1" t="e">
        <f aca="false" t="array" ref="E1070:E1070">IF(ISBLANK(_xlfn.xlookup(E$3,daily_items,_xlfn.xlookup($C1070,daily_dates,big_daily_table))),NA(),_xlfn.xlookup(E$3,daily_items,_xlfn.xlookup($C1070,daily_dates,big_daily_table)))</f>
        <v>#NAME?</v>
      </c>
    </row>
    <row r="1071" customFormat="false" ht="14.25" hidden="false" customHeight="false" outlineLevel="0" collapsed="false">
      <c r="B1071" s="7" t="n">
        <v>41976</v>
      </c>
      <c r="C1071" s="7" t="n">
        <f aca="false">B1071-WEEKDAY(B1071)+1</f>
        <v>41973</v>
      </c>
      <c r="D1071" s="1" t="e">
        <f aca="false" t="array" ref="D1071:D1071">IF(ISBLANK(_xlfn.xlookup(D$3,daily_items,_xlfn.xlookup($C1071,daily_dates,big_daily_table))),NA(),_xlfn.xlookup(D$3,daily_items,_xlfn.xlookup($C1071,daily_dates,big_daily_table)))</f>
        <v>#NAME?</v>
      </c>
      <c r="E1071" s="1" t="e">
        <f aca="false" t="array" ref="E1071:E1071">IF(ISBLANK(_xlfn.xlookup(E$3,daily_items,_xlfn.xlookup($C1071,daily_dates,big_daily_table))),NA(),_xlfn.xlookup(E$3,daily_items,_xlfn.xlookup($C1071,daily_dates,big_daily_table)))</f>
        <v>#NAME?</v>
      </c>
    </row>
    <row r="1072" customFormat="false" ht="14.25" hidden="false" customHeight="false" outlineLevel="0" collapsed="false">
      <c r="B1072" s="7" t="n">
        <v>41977</v>
      </c>
      <c r="C1072" s="7" t="n">
        <f aca="false">B1072-WEEKDAY(B1072)+1</f>
        <v>41973</v>
      </c>
      <c r="D1072" s="1" t="e">
        <f aca="false" t="array" ref="D1072:D1072">IF(ISBLANK(_xlfn.xlookup(D$3,daily_items,_xlfn.xlookup($C1072,daily_dates,big_daily_table))),NA(),_xlfn.xlookup(D$3,daily_items,_xlfn.xlookup($C1072,daily_dates,big_daily_table)))</f>
        <v>#NAME?</v>
      </c>
      <c r="E1072" s="1" t="e">
        <f aca="false" t="array" ref="E1072:E1072">IF(ISBLANK(_xlfn.xlookup(E$3,daily_items,_xlfn.xlookup($C1072,daily_dates,big_daily_table))),NA(),_xlfn.xlookup(E$3,daily_items,_xlfn.xlookup($C1072,daily_dates,big_daily_table)))</f>
        <v>#NAME?</v>
      </c>
    </row>
    <row r="1073" customFormat="false" ht="14.25" hidden="false" customHeight="false" outlineLevel="0" collapsed="false">
      <c r="B1073" s="7" t="n">
        <v>41978</v>
      </c>
      <c r="C1073" s="7" t="n">
        <f aca="false">B1073-WEEKDAY(B1073)+1</f>
        <v>41973</v>
      </c>
      <c r="D1073" s="1" t="e">
        <f aca="false" t="array" ref="D1073:D1073">IF(ISBLANK(_xlfn.xlookup(D$3,daily_items,_xlfn.xlookup($C1073,daily_dates,big_daily_table))),NA(),_xlfn.xlookup(D$3,daily_items,_xlfn.xlookup($C1073,daily_dates,big_daily_table)))</f>
        <v>#NAME?</v>
      </c>
      <c r="E1073" s="1" t="e">
        <f aca="false" t="array" ref="E1073:E1073">IF(ISBLANK(_xlfn.xlookup(E$3,daily_items,_xlfn.xlookup($C1073,daily_dates,big_daily_table))),NA(),_xlfn.xlookup(E$3,daily_items,_xlfn.xlookup($C1073,daily_dates,big_daily_table)))</f>
        <v>#NAME?</v>
      </c>
    </row>
    <row r="1074" customFormat="false" ht="14.25" hidden="false" customHeight="false" outlineLevel="0" collapsed="false">
      <c r="B1074" s="7" t="n">
        <v>41979</v>
      </c>
      <c r="C1074" s="7" t="n">
        <f aca="false">B1074-WEEKDAY(B1074)+1</f>
        <v>41973</v>
      </c>
      <c r="D1074" s="1" t="e">
        <f aca="false" t="array" ref="D1074:D1074">IF(ISBLANK(_xlfn.xlookup(D$3,daily_items,_xlfn.xlookup($C1074,daily_dates,big_daily_table))),NA(),_xlfn.xlookup(D$3,daily_items,_xlfn.xlookup($C1074,daily_dates,big_daily_table)))</f>
        <v>#NAME?</v>
      </c>
      <c r="E1074" s="1" t="e">
        <f aca="false" t="array" ref="E1074:E1074">IF(ISBLANK(_xlfn.xlookup(E$3,daily_items,_xlfn.xlookup($C1074,daily_dates,big_daily_table))),NA(),_xlfn.xlookup(E$3,daily_items,_xlfn.xlookup($C1074,daily_dates,big_daily_table)))</f>
        <v>#NAME?</v>
      </c>
    </row>
    <row r="1075" customFormat="false" ht="14.25" hidden="false" customHeight="false" outlineLevel="0" collapsed="false">
      <c r="B1075" s="7" t="n">
        <v>41980</v>
      </c>
      <c r="C1075" s="7" t="n">
        <f aca="false">B1075-WEEKDAY(B1075)+1</f>
        <v>41980</v>
      </c>
      <c r="D1075" s="1" t="e">
        <f aca="false" t="array" ref="D1075:D1075">IF(ISBLANK(_xlfn.xlookup(D$3,daily_items,_xlfn.xlookup($C1075,daily_dates,big_daily_table))),NA(),_xlfn.xlookup(D$3,daily_items,_xlfn.xlookup($C1075,daily_dates,big_daily_table)))</f>
        <v>#NAME?</v>
      </c>
      <c r="E1075" s="1" t="e">
        <f aca="false" t="array" ref="E1075:E1075">IF(ISBLANK(_xlfn.xlookup(E$3,daily_items,_xlfn.xlookup($C1075,daily_dates,big_daily_table))),NA(),_xlfn.xlookup(E$3,daily_items,_xlfn.xlookup($C1075,daily_dates,big_daily_table)))</f>
        <v>#NAME?</v>
      </c>
    </row>
    <row r="1076" customFormat="false" ht="14.25" hidden="false" customHeight="false" outlineLevel="0" collapsed="false">
      <c r="B1076" s="7" t="n">
        <v>41981</v>
      </c>
      <c r="C1076" s="7" t="n">
        <f aca="false">B1076-WEEKDAY(B1076)+1</f>
        <v>41980</v>
      </c>
      <c r="D1076" s="1" t="e">
        <f aca="false" t="array" ref="D1076:D1076">IF(ISBLANK(_xlfn.xlookup(D$3,daily_items,_xlfn.xlookup($C1076,daily_dates,big_daily_table))),NA(),_xlfn.xlookup(D$3,daily_items,_xlfn.xlookup($C1076,daily_dates,big_daily_table)))</f>
        <v>#NAME?</v>
      </c>
      <c r="E1076" s="1" t="e">
        <f aca="false" t="array" ref="E1076:E1076">IF(ISBLANK(_xlfn.xlookup(E$3,daily_items,_xlfn.xlookup($C1076,daily_dates,big_daily_table))),NA(),_xlfn.xlookup(E$3,daily_items,_xlfn.xlookup($C1076,daily_dates,big_daily_table)))</f>
        <v>#NAME?</v>
      </c>
    </row>
    <row r="1077" customFormat="false" ht="14.25" hidden="false" customHeight="false" outlineLevel="0" collapsed="false">
      <c r="B1077" s="7" t="n">
        <v>41982</v>
      </c>
      <c r="C1077" s="7" t="n">
        <f aca="false">B1077-WEEKDAY(B1077)+1</f>
        <v>41980</v>
      </c>
      <c r="D1077" s="1" t="e">
        <f aca="false" t="array" ref="D1077:D1077">IF(ISBLANK(_xlfn.xlookup(D$3,daily_items,_xlfn.xlookup($C1077,daily_dates,big_daily_table))),NA(),_xlfn.xlookup(D$3,daily_items,_xlfn.xlookup($C1077,daily_dates,big_daily_table)))</f>
        <v>#NAME?</v>
      </c>
      <c r="E1077" s="1" t="e">
        <f aca="false" t="array" ref="E1077:E1077">IF(ISBLANK(_xlfn.xlookup(E$3,daily_items,_xlfn.xlookup($C1077,daily_dates,big_daily_table))),NA(),_xlfn.xlookup(E$3,daily_items,_xlfn.xlookup($C1077,daily_dates,big_daily_table)))</f>
        <v>#NAME?</v>
      </c>
    </row>
    <row r="1078" customFormat="false" ht="14.25" hidden="false" customHeight="false" outlineLevel="0" collapsed="false">
      <c r="B1078" s="7" t="n">
        <v>41983</v>
      </c>
      <c r="C1078" s="7" t="n">
        <f aca="false">B1078-WEEKDAY(B1078)+1</f>
        <v>41980</v>
      </c>
      <c r="D1078" s="1" t="e">
        <f aca="false" t="array" ref="D1078:D1078">IF(ISBLANK(_xlfn.xlookup(D$3,daily_items,_xlfn.xlookup($C1078,daily_dates,big_daily_table))),NA(),_xlfn.xlookup(D$3,daily_items,_xlfn.xlookup($C1078,daily_dates,big_daily_table)))</f>
        <v>#NAME?</v>
      </c>
      <c r="E1078" s="1" t="e">
        <f aca="false" t="array" ref="E1078:E1078">IF(ISBLANK(_xlfn.xlookup(E$3,daily_items,_xlfn.xlookup($C1078,daily_dates,big_daily_table))),NA(),_xlfn.xlookup(E$3,daily_items,_xlfn.xlookup($C1078,daily_dates,big_daily_table)))</f>
        <v>#NAME?</v>
      </c>
    </row>
    <row r="1079" customFormat="false" ht="14.25" hidden="false" customHeight="false" outlineLevel="0" collapsed="false">
      <c r="B1079" s="7" t="n">
        <v>41984</v>
      </c>
      <c r="C1079" s="7" t="n">
        <f aca="false">B1079-WEEKDAY(B1079)+1</f>
        <v>41980</v>
      </c>
      <c r="D1079" s="1" t="e">
        <f aca="false" t="array" ref="D1079:D1079">IF(ISBLANK(_xlfn.xlookup(D$3,daily_items,_xlfn.xlookup($C1079,daily_dates,big_daily_table))),NA(),_xlfn.xlookup(D$3,daily_items,_xlfn.xlookup($C1079,daily_dates,big_daily_table)))</f>
        <v>#NAME?</v>
      </c>
      <c r="E1079" s="1" t="e">
        <f aca="false" t="array" ref="E1079:E1079">IF(ISBLANK(_xlfn.xlookup(E$3,daily_items,_xlfn.xlookup($C1079,daily_dates,big_daily_table))),NA(),_xlfn.xlookup(E$3,daily_items,_xlfn.xlookup($C1079,daily_dates,big_daily_table)))</f>
        <v>#NAME?</v>
      </c>
    </row>
    <row r="1080" customFormat="false" ht="14.25" hidden="false" customHeight="false" outlineLevel="0" collapsed="false">
      <c r="B1080" s="7" t="n">
        <v>41985</v>
      </c>
      <c r="C1080" s="7" t="n">
        <f aca="false">B1080-WEEKDAY(B1080)+1</f>
        <v>41980</v>
      </c>
      <c r="D1080" s="1" t="e">
        <f aca="false" t="array" ref="D1080:D1080">IF(ISBLANK(_xlfn.xlookup(D$3,daily_items,_xlfn.xlookup($C1080,daily_dates,big_daily_table))),NA(),_xlfn.xlookup(D$3,daily_items,_xlfn.xlookup($C1080,daily_dates,big_daily_table)))</f>
        <v>#NAME?</v>
      </c>
      <c r="E1080" s="1" t="e">
        <f aca="false" t="array" ref="E1080:E1080">IF(ISBLANK(_xlfn.xlookup(E$3,daily_items,_xlfn.xlookup($C1080,daily_dates,big_daily_table))),NA(),_xlfn.xlookup(E$3,daily_items,_xlfn.xlookup($C1080,daily_dates,big_daily_table)))</f>
        <v>#NAME?</v>
      </c>
    </row>
    <row r="1081" customFormat="false" ht="14.25" hidden="false" customHeight="false" outlineLevel="0" collapsed="false">
      <c r="B1081" s="7" t="n">
        <v>41986</v>
      </c>
      <c r="C1081" s="7" t="n">
        <f aca="false">B1081-WEEKDAY(B1081)+1</f>
        <v>41980</v>
      </c>
      <c r="D1081" s="1" t="e">
        <f aca="false" t="array" ref="D1081:D1081">IF(ISBLANK(_xlfn.xlookup(D$3,daily_items,_xlfn.xlookup($C1081,daily_dates,big_daily_table))),NA(),_xlfn.xlookup(D$3,daily_items,_xlfn.xlookup($C1081,daily_dates,big_daily_table)))</f>
        <v>#NAME?</v>
      </c>
      <c r="E1081" s="1" t="e">
        <f aca="false" t="array" ref="E1081:E1081">IF(ISBLANK(_xlfn.xlookup(E$3,daily_items,_xlfn.xlookup($C1081,daily_dates,big_daily_table))),NA(),_xlfn.xlookup(E$3,daily_items,_xlfn.xlookup($C1081,daily_dates,big_daily_table)))</f>
        <v>#NAME?</v>
      </c>
    </row>
    <row r="1082" customFormat="false" ht="14.25" hidden="false" customHeight="false" outlineLevel="0" collapsed="false">
      <c r="B1082" s="7" t="n">
        <v>41987</v>
      </c>
      <c r="C1082" s="7" t="n">
        <f aca="false">B1082-WEEKDAY(B1082)+1</f>
        <v>41987</v>
      </c>
      <c r="D1082" s="1" t="e">
        <f aca="false" t="array" ref="D1082:D1082">IF(ISBLANK(_xlfn.xlookup(D$3,daily_items,_xlfn.xlookup($C1082,daily_dates,big_daily_table))),NA(),_xlfn.xlookup(D$3,daily_items,_xlfn.xlookup($C1082,daily_dates,big_daily_table)))</f>
        <v>#NAME?</v>
      </c>
      <c r="E1082" s="1" t="e">
        <f aca="false" t="array" ref="E1082:E1082">IF(ISBLANK(_xlfn.xlookup(E$3,daily_items,_xlfn.xlookup($C1082,daily_dates,big_daily_table))),NA(),_xlfn.xlookup(E$3,daily_items,_xlfn.xlookup($C1082,daily_dates,big_daily_table)))</f>
        <v>#NAME?</v>
      </c>
    </row>
    <row r="1083" customFormat="false" ht="14.25" hidden="false" customHeight="false" outlineLevel="0" collapsed="false">
      <c r="B1083" s="7" t="n">
        <v>41988</v>
      </c>
      <c r="C1083" s="7" t="n">
        <f aca="false">B1083-WEEKDAY(B1083)+1</f>
        <v>41987</v>
      </c>
      <c r="D1083" s="1" t="e">
        <f aca="false" t="array" ref="D1083:D1083">IF(ISBLANK(_xlfn.xlookup(D$3,daily_items,_xlfn.xlookup($C1083,daily_dates,big_daily_table))),NA(),_xlfn.xlookup(D$3,daily_items,_xlfn.xlookup($C1083,daily_dates,big_daily_table)))</f>
        <v>#NAME?</v>
      </c>
      <c r="E1083" s="1" t="e">
        <f aca="false" t="array" ref="E1083:E1083">IF(ISBLANK(_xlfn.xlookup(E$3,daily_items,_xlfn.xlookup($C1083,daily_dates,big_daily_table))),NA(),_xlfn.xlookup(E$3,daily_items,_xlfn.xlookup($C1083,daily_dates,big_daily_table)))</f>
        <v>#NAME?</v>
      </c>
    </row>
    <row r="1084" customFormat="false" ht="14.25" hidden="false" customHeight="false" outlineLevel="0" collapsed="false">
      <c r="B1084" s="7" t="n">
        <v>41989</v>
      </c>
      <c r="C1084" s="7" t="n">
        <f aca="false">B1084-WEEKDAY(B1084)+1</f>
        <v>41987</v>
      </c>
      <c r="D1084" s="1" t="e">
        <f aca="false" t="array" ref="D1084:D1084">IF(ISBLANK(_xlfn.xlookup(D$3,daily_items,_xlfn.xlookup($C1084,daily_dates,big_daily_table))),NA(),_xlfn.xlookup(D$3,daily_items,_xlfn.xlookup($C1084,daily_dates,big_daily_table)))</f>
        <v>#NAME?</v>
      </c>
      <c r="E1084" s="1" t="e">
        <f aca="false" t="array" ref="E1084:E1084">IF(ISBLANK(_xlfn.xlookup(E$3,daily_items,_xlfn.xlookup($C1084,daily_dates,big_daily_table))),NA(),_xlfn.xlookup(E$3,daily_items,_xlfn.xlookup($C1084,daily_dates,big_daily_table)))</f>
        <v>#NAME?</v>
      </c>
    </row>
    <row r="1085" customFormat="false" ht="14.25" hidden="false" customHeight="false" outlineLevel="0" collapsed="false">
      <c r="B1085" s="7" t="n">
        <v>41990</v>
      </c>
      <c r="C1085" s="7" t="n">
        <f aca="false">B1085-WEEKDAY(B1085)+1</f>
        <v>41987</v>
      </c>
      <c r="D1085" s="1" t="e">
        <f aca="false" t="array" ref="D1085:D1085">IF(ISBLANK(_xlfn.xlookup(D$3,daily_items,_xlfn.xlookup($C1085,daily_dates,big_daily_table))),NA(),_xlfn.xlookup(D$3,daily_items,_xlfn.xlookup($C1085,daily_dates,big_daily_table)))</f>
        <v>#NAME?</v>
      </c>
      <c r="E1085" s="1" t="e">
        <f aca="false" t="array" ref="E1085:E1085">IF(ISBLANK(_xlfn.xlookup(E$3,daily_items,_xlfn.xlookup($C1085,daily_dates,big_daily_table))),NA(),_xlfn.xlookup(E$3,daily_items,_xlfn.xlookup($C1085,daily_dates,big_daily_table)))</f>
        <v>#NAME?</v>
      </c>
    </row>
    <row r="1086" customFormat="false" ht="14.25" hidden="false" customHeight="false" outlineLevel="0" collapsed="false">
      <c r="B1086" s="7" t="n">
        <v>41991</v>
      </c>
      <c r="C1086" s="7" t="n">
        <f aca="false">B1086-WEEKDAY(B1086)+1</f>
        <v>41987</v>
      </c>
      <c r="D1086" s="1" t="e">
        <f aca="false" t="array" ref="D1086:D1086">IF(ISBLANK(_xlfn.xlookup(D$3,daily_items,_xlfn.xlookup($C1086,daily_dates,big_daily_table))),NA(),_xlfn.xlookup(D$3,daily_items,_xlfn.xlookup($C1086,daily_dates,big_daily_table)))</f>
        <v>#NAME?</v>
      </c>
      <c r="E1086" s="1" t="e">
        <f aca="false" t="array" ref="E1086:E1086">IF(ISBLANK(_xlfn.xlookup(E$3,daily_items,_xlfn.xlookup($C1086,daily_dates,big_daily_table))),NA(),_xlfn.xlookup(E$3,daily_items,_xlfn.xlookup($C1086,daily_dates,big_daily_table)))</f>
        <v>#NAME?</v>
      </c>
    </row>
    <row r="1087" customFormat="false" ht="14.25" hidden="false" customHeight="false" outlineLevel="0" collapsed="false">
      <c r="B1087" s="7" t="n">
        <v>41992</v>
      </c>
      <c r="C1087" s="7" t="n">
        <f aca="false">B1087-WEEKDAY(B1087)+1</f>
        <v>41987</v>
      </c>
      <c r="D1087" s="1" t="e">
        <f aca="false" t="array" ref="D1087:D1087">IF(ISBLANK(_xlfn.xlookup(D$3,daily_items,_xlfn.xlookup($C1087,daily_dates,big_daily_table))),NA(),_xlfn.xlookup(D$3,daily_items,_xlfn.xlookup($C1087,daily_dates,big_daily_table)))</f>
        <v>#NAME?</v>
      </c>
      <c r="E1087" s="1" t="e">
        <f aca="false" t="array" ref="E1087:E1087">IF(ISBLANK(_xlfn.xlookup(E$3,daily_items,_xlfn.xlookup($C1087,daily_dates,big_daily_table))),NA(),_xlfn.xlookup(E$3,daily_items,_xlfn.xlookup($C1087,daily_dates,big_daily_table)))</f>
        <v>#NAME?</v>
      </c>
    </row>
    <row r="1088" customFormat="false" ht="14.25" hidden="false" customHeight="false" outlineLevel="0" collapsed="false">
      <c r="B1088" s="7" t="n">
        <v>41993</v>
      </c>
      <c r="C1088" s="7" t="n">
        <f aca="false">B1088-WEEKDAY(B1088)+1</f>
        <v>41987</v>
      </c>
      <c r="D1088" s="1" t="e">
        <f aca="false" t="array" ref="D1088:D1088">IF(ISBLANK(_xlfn.xlookup(D$3,daily_items,_xlfn.xlookup($C1088,daily_dates,big_daily_table))),NA(),_xlfn.xlookup(D$3,daily_items,_xlfn.xlookup($C1088,daily_dates,big_daily_table)))</f>
        <v>#NAME?</v>
      </c>
      <c r="E1088" s="1" t="e">
        <f aca="false" t="array" ref="E1088:E1088">IF(ISBLANK(_xlfn.xlookup(E$3,daily_items,_xlfn.xlookup($C1088,daily_dates,big_daily_table))),NA(),_xlfn.xlookup(E$3,daily_items,_xlfn.xlookup($C1088,daily_dates,big_daily_table)))</f>
        <v>#NAME?</v>
      </c>
    </row>
    <row r="1089" customFormat="false" ht="14.25" hidden="false" customHeight="false" outlineLevel="0" collapsed="false">
      <c r="B1089" s="7" t="n">
        <v>41994</v>
      </c>
      <c r="C1089" s="7" t="n">
        <f aca="false">B1089-WEEKDAY(B1089)+1</f>
        <v>41994</v>
      </c>
      <c r="D1089" s="1" t="e">
        <f aca="false" t="array" ref="D1089:D1089">IF(ISBLANK(_xlfn.xlookup(D$3,daily_items,_xlfn.xlookup($C1089,daily_dates,big_daily_table))),NA(),_xlfn.xlookup(D$3,daily_items,_xlfn.xlookup($C1089,daily_dates,big_daily_table)))</f>
        <v>#NAME?</v>
      </c>
      <c r="E1089" s="1" t="e">
        <f aca="false" t="array" ref="E1089:E1089">IF(ISBLANK(_xlfn.xlookup(E$3,daily_items,_xlfn.xlookup($C1089,daily_dates,big_daily_table))),NA(),_xlfn.xlookup(E$3,daily_items,_xlfn.xlookup($C1089,daily_dates,big_daily_table)))</f>
        <v>#NAME?</v>
      </c>
    </row>
    <row r="1090" customFormat="false" ht="14.25" hidden="false" customHeight="false" outlineLevel="0" collapsed="false">
      <c r="B1090" s="7" t="n">
        <v>41995</v>
      </c>
      <c r="C1090" s="7" t="n">
        <f aca="false">B1090-WEEKDAY(B1090)+1</f>
        <v>41994</v>
      </c>
      <c r="D1090" s="1" t="e">
        <f aca="false" t="array" ref="D1090:D1090">IF(ISBLANK(_xlfn.xlookup(D$3,daily_items,_xlfn.xlookup($C1090,daily_dates,big_daily_table))),NA(),_xlfn.xlookup(D$3,daily_items,_xlfn.xlookup($C1090,daily_dates,big_daily_table)))</f>
        <v>#NAME?</v>
      </c>
      <c r="E1090" s="1" t="e">
        <f aca="false" t="array" ref="E1090:E1090">IF(ISBLANK(_xlfn.xlookup(E$3,daily_items,_xlfn.xlookup($C1090,daily_dates,big_daily_table))),NA(),_xlfn.xlookup(E$3,daily_items,_xlfn.xlookup($C1090,daily_dates,big_daily_table)))</f>
        <v>#NAME?</v>
      </c>
    </row>
    <row r="1091" customFormat="false" ht="14.25" hidden="false" customHeight="false" outlineLevel="0" collapsed="false">
      <c r="B1091" s="7" t="n">
        <v>41996</v>
      </c>
      <c r="C1091" s="7" t="n">
        <f aca="false">B1091-WEEKDAY(B1091)+1</f>
        <v>41994</v>
      </c>
      <c r="D1091" s="1" t="e">
        <f aca="false" t="array" ref="D1091:D1091">IF(ISBLANK(_xlfn.xlookup(D$3,daily_items,_xlfn.xlookup($C1091,daily_dates,big_daily_table))),NA(),_xlfn.xlookup(D$3,daily_items,_xlfn.xlookup($C1091,daily_dates,big_daily_table)))</f>
        <v>#NAME?</v>
      </c>
      <c r="E1091" s="1" t="e">
        <f aca="false" t="array" ref="E1091:E1091">IF(ISBLANK(_xlfn.xlookup(E$3,daily_items,_xlfn.xlookup($C1091,daily_dates,big_daily_table))),NA(),_xlfn.xlookup(E$3,daily_items,_xlfn.xlookup($C1091,daily_dates,big_daily_table)))</f>
        <v>#NAME?</v>
      </c>
    </row>
    <row r="1092" customFormat="false" ht="14.25" hidden="false" customHeight="false" outlineLevel="0" collapsed="false">
      <c r="B1092" s="7" t="n">
        <v>41997</v>
      </c>
      <c r="C1092" s="7" t="n">
        <f aca="false">B1092-WEEKDAY(B1092)+1</f>
        <v>41994</v>
      </c>
      <c r="D1092" s="1" t="e">
        <f aca="false" t="array" ref="D1092:D1092">IF(ISBLANK(_xlfn.xlookup(D$3,daily_items,_xlfn.xlookup($C1092,daily_dates,big_daily_table))),NA(),_xlfn.xlookup(D$3,daily_items,_xlfn.xlookup($C1092,daily_dates,big_daily_table)))</f>
        <v>#NAME?</v>
      </c>
      <c r="E1092" s="1" t="e">
        <f aca="false" t="array" ref="E1092:E1092">IF(ISBLANK(_xlfn.xlookup(E$3,daily_items,_xlfn.xlookup($C1092,daily_dates,big_daily_table))),NA(),_xlfn.xlookup(E$3,daily_items,_xlfn.xlookup($C1092,daily_dates,big_daily_table)))</f>
        <v>#NAME?</v>
      </c>
    </row>
    <row r="1093" customFormat="false" ht="14.25" hidden="false" customHeight="false" outlineLevel="0" collapsed="false">
      <c r="B1093" s="7" t="n">
        <v>41998</v>
      </c>
      <c r="C1093" s="7" t="n">
        <f aca="false">B1093-WEEKDAY(B1093)+1</f>
        <v>41994</v>
      </c>
      <c r="D1093" s="1" t="e">
        <f aca="false" t="array" ref="D1093:D1093">IF(ISBLANK(_xlfn.xlookup(D$3,daily_items,_xlfn.xlookup($C1093,daily_dates,big_daily_table))),NA(),_xlfn.xlookup(D$3,daily_items,_xlfn.xlookup($C1093,daily_dates,big_daily_table)))</f>
        <v>#NAME?</v>
      </c>
      <c r="E1093" s="1" t="e">
        <f aca="false" t="array" ref="E1093:E1093">IF(ISBLANK(_xlfn.xlookup(E$3,daily_items,_xlfn.xlookup($C1093,daily_dates,big_daily_table))),NA(),_xlfn.xlookup(E$3,daily_items,_xlfn.xlookup($C1093,daily_dates,big_daily_table)))</f>
        <v>#NAME?</v>
      </c>
    </row>
    <row r="1094" customFormat="false" ht="14.25" hidden="false" customHeight="false" outlineLevel="0" collapsed="false">
      <c r="B1094" s="7" t="n">
        <v>41999</v>
      </c>
      <c r="C1094" s="7" t="n">
        <f aca="false">B1094-WEEKDAY(B1094)+1</f>
        <v>41994</v>
      </c>
      <c r="D1094" s="1" t="e">
        <f aca="false" t="array" ref="D1094:D1094">IF(ISBLANK(_xlfn.xlookup(D$3,daily_items,_xlfn.xlookup($C1094,daily_dates,big_daily_table))),NA(),_xlfn.xlookup(D$3,daily_items,_xlfn.xlookup($C1094,daily_dates,big_daily_table)))</f>
        <v>#NAME?</v>
      </c>
      <c r="E1094" s="1" t="e">
        <f aca="false" t="array" ref="E1094:E1094">IF(ISBLANK(_xlfn.xlookup(E$3,daily_items,_xlfn.xlookup($C1094,daily_dates,big_daily_table))),NA(),_xlfn.xlookup(E$3,daily_items,_xlfn.xlookup($C1094,daily_dates,big_daily_table)))</f>
        <v>#NAME?</v>
      </c>
    </row>
    <row r="1095" customFormat="false" ht="14.25" hidden="false" customHeight="false" outlineLevel="0" collapsed="false">
      <c r="B1095" s="7" t="n">
        <v>42000</v>
      </c>
      <c r="C1095" s="7" t="n">
        <f aca="false">B1095-WEEKDAY(B1095)+1</f>
        <v>41994</v>
      </c>
      <c r="D1095" s="1" t="e">
        <f aca="false" t="array" ref="D1095:D1095">IF(ISBLANK(_xlfn.xlookup(D$3,daily_items,_xlfn.xlookup($C1095,daily_dates,big_daily_table))),NA(),_xlfn.xlookup(D$3,daily_items,_xlfn.xlookup($C1095,daily_dates,big_daily_table)))</f>
        <v>#NAME?</v>
      </c>
      <c r="E1095" s="1" t="e">
        <f aca="false" t="array" ref="E1095:E1095">IF(ISBLANK(_xlfn.xlookup(E$3,daily_items,_xlfn.xlookup($C1095,daily_dates,big_daily_table))),NA(),_xlfn.xlookup(E$3,daily_items,_xlfn.xlookup($C1095,daily_dates,big_daily_table)))</f>
        <v>#NAME?</v>
      </c>
    </row>
    <row r="1096" customFormat="false" ht="14.25" hidden="false" customHeight="false" outlineLevel="0" collapsed="false">
      <c r="B1096" s="7" t="n">
        <v>42001</v>
      </c>
      <c r="C1096" s="7" t="n">
        <f aca="false">B1096-WEEKDAY(B1096)+1</f>
        <v>42001</v>
      </c>
      <c r="D1096" s="1" t="e">
        <f aca="false" t="array" ref="D1096:D1096">IF(ISBLANK(_xlfn.xlookup(D$3,daily_items,_xlfn.xlookup($C1096,daily_dates,big_daily_table))),NA(),_xlfn.xlookup(D$3,daily_items,_xlfn.xlookup($C1096,daily_dates,big_daily_table)))</f>
        <v>#NAME?</v>
      </c>
      <c r="E1096" s="1" t="e">
        <f aca="false" t="array" ref="E1096:E1096">IF(ISBLANK(_xlfn.xlookup(E$3,daily_items,_xlfn.xlookup($C1096,daily_dates,big_daily_table))),NA(),_xlfn.xlookup(E$3,daily_items,_xlfn.xlookup($C1096,daily_dates,big_daily_table)))</f>
        <v>#NAME?</v>
      </c>
    </row>
    <row r="1097" customFormat="false" ht="14.25" hidden="false" customHeight="false" outlineLevel="0" collapsed="false">
      <c r="B1097" s="7" t="n">
        <v>42002</v>
      </c>
      <c r="C1097" s="7" t="n">
        <f aca="false">B1097-WEEKDAY(B1097)+1</f>
        <v>42001</v>
      </c>
      <c r="D1097" s="1" t="e">
        <f aca="false" t="array" ref="D1097:D1097">IF(ISBLANK(_xlfn.xlookup(D$3,daily_items,_xlfn.xlookup($C1097,daily_dates,big_daily_table))),NA(),_xlfn.xlookup(D$3,daily_items,_xlfn.xlookup($C1097,daily_dates,big_daily_table)))</f>
        <v>#NAME?</v>
      </c>
      <c r="E1097" s="1" t="e">
        <f aca="false" t="array" ref="E1097:E1097">IF(ISBLANK(_xlfn.xlookup(E$3,daily_items,_xlfn.xlookup($C1097,daily_dates,big_daily_table))),NA(),_xlfn.xlookup(E$3,daily_items,_xlfn.xlookup($C1097,daily_dates,big_daily_table)))</f>
        <v>#NAME?</v>
      </c>
    </row>
    <row r="1098" customFormat="false" ht="14.25" hidden="false" customHeight="false" outlineLevel="0" collapsed="false">
      <c r="B1098" s="7" t="n">
        <v>42003</v>
      </c>
      <c r="C1098" s="7" t="n">
        <f aca="false">B1098-WEEKDAY(B1098)+1</f>
        <v>42001</v>
      </c>
      <c r="D1098" s="1" t="e">
        <f aca="false" t="array" ref="D1098:D1098">IF(ISBLANK(_xlfn.xlookup(D$3,daily_items,_xlfn.xlookup($C1098,daily_dates,big_daily_table))),NA(),_xlfn.xlookup(D$3,daily_items,_xlfn.xlookup($C1098,daily_dates,big_daily_table)))</f>
        <v>#NAME?</v>
      </c>
      <c r="E1098" s="1" t="e">
        <f aca="false" t="array" ref="E1098:E1098">IF(ISBLANK(_xlfn.xlookup(E$3,daily_items,_xlfn.xlookup($C1098,daily_dates,big_daily_table))),NA(),_xlfn.xlookup(E$3,daily_items,_xlfn.xlookup($C1098,daily_dates,big_daily_table)))</f>
        <v>#NAME?</v>
      </c>
    </row>
    <row r="1099" customFormat="false" ht="14.25" hidden="false" customHeight="false" outlineLevel="0" collapsed="false">
      <c r="B1099" s="7" t="n">
        <v>42004</v>
      </c>
      <c r="C1099" s="7" t="n">
        <f aca="false">B1099-WEEKDAY(B1099)+1</f>
        <v>42001</v>
      </c>
      <c r="D1099" s="1" t="e">
        <f aca="false" t="array" ref="D1099:D1099">IF(ISBLANK(_xlfn.xlookup(D$3,daily_items,_xlfn.xlookup($C1099,daily_dates,big_daily_table))),NA(),_xlfn.xlookup(D$3,daily_items,_xlfn.xlookup($C1099,daily_dates,big_daily_table)))</f>
        <v>#NAME?</v>
      </c>
      <c r="E1099" s="1" t="e">
        <f aca="false" t="array" ref="E1099:E1099">IF(ISBLANK(_xlfn.xlookup(E$3,daily_items,_xlfn.xlookup($C1099,daily_dates,big_daily_table))),NA(),_xlfn.xlookup(E$3,daily_items,_xlfn.xlookup($C1099,daily_dates,big_daily_table)))</f>
        <v>#NAME?</v>
      </c>
    </row>
    <row r="1100" customFormat="false" ht="14.25" hidden="false" customHeight="false" outlineLevel="0" collapsed="false">
      <c r="B1100" s="7" t="n">
        <v>42005</v>
      </c>
      <c r="C1100" s="7" t="n">
        <f aca="false">B1100-WEEKDAY(B1100)+1</f>
        <v>42001</v>
      </c>
      <c r="D1100" s="1" t="e">
        <f aca="false" t="array" ref="D1100:D1100">IF(ISBLANK(_xlfn.xlookup(D$3,daily_items,_xlfn.xlookup($C1100,daily_dates,big_daily_table))),NA(),_xlfn.xlookup(D$3,daily_items,_xlfn.xlookup($C1100,daily_dates,big_daily_table)))</f>
        <v>#NAME?</v>
      </c>
      <c r="E1100" s="1" t="e">
        <f aca="false" t="array" ref="E1100:E1100">IF(ISBLANK(_xlfn.xlookup(E$3,daily_items,_xlfn.xlookup($C1100,daily_dates,big_daily_table))),NA(),_xlfn.xlookup(E$3,daily_items,_xlfn.xlookup($C1100,daily_dates,big_daily_table)))</f>
        <v>#NAME?</v>
      </c>
    </row>
    <row r="1101" customFormat="false" ht="14.25" hidden="false" customHeight="false" outlineLevel="0" collapsed="false">
      <c r="B1101" s="7" t="n">
        <v>42006</v>
      </c>
      <c r="C1101" s="7" t="n">
        <f aca="false">B1101-WEEKDAY(B1101)+1</f>
        <v>42001</v>
      </c>
      <c r="D1101" s="1" t="e">
        <f aca="false" t="array" ref="D1101:D1101">IF(ISBLANK(_xlfn.xlookup(D$3,daily_items,_xlfn.xlookup($C1101,daily_dates,big_daily_table))),NA(),_xlfn.xlookup(D$3,daily_items,_xlfn.xlookup($C1101,daily_dates,big_daily_table)))</f>
        <v>#NAME?</v>
      </c>
      <c r="E1101" s="1" t="e">
        <f aca="false" t="array" ref="E1101:E1101">IF(ISBLANK(_xlfn.xlookup(E$3,daily_items,_xlfn.xlookup($C1101,daily_dates,big_daily_table))),NA(),_xlfn.xlookup(E$3,daily_items,_xlfn.xlookup($C1101,daily_dates,big_daily_table)))</f>
        <v>#NAME?</v>
      </c>
    </row>
    <row r="1102" customFormat="false" ht="14.25" hidden="false" customHeight="false" outlineLevel="0" collapsed="false">
      <c r="B1102" s="7" t="n">
        <v>42007</v>
      </c>
      <c r="C1102" s="7" t="n">
        <f aca="false">B1102-WEEKDAY(B1102)+1</f>
        <v>42001</v>
      </c>
      <c r="D1102" s="1" t="e">
        <f aca="false" t="array" ref="D1102:D1102">IF(ISBLANK(_xlfn.xlookup(D$3,daily_items,_xlfn.xlookup($C1102,daily_dates,big_daily_table))),NA(),_xlfn.xlookup(D$3,daily_items,_xlfn.xlookup($C1102,daily_dates,big_daily_table)))</f>
        <v>#NAME?</v>
      </c>
      <c r="E1102" s="1" t="e">
        <f aca="false" t="array" ref="E1102:E1102">IF(ISBLANK(_xlfn.xlookup(E$3,daily_items,_xlfn.xlookup($C1102,daily_dates,big_daily_table))),NA(),_xlfn.xlookup(E$3,daily_items,_xlfn.xlookup($C1102,daily_dates,big_daily_table)))</f>
        <v>#NAME?</v>
      </c>
    </row>
    <row r="1103" customFormat="false" ht="14.25" hidden="false" customHeight="false" outlineLevel="0" collapsed="false">
      <c r="B1103" s="7" t="n">
        <v>42008</v>
      </c>
      <c r="C1103" s="7" t="n">
        <f aca="false">B1103-WEEKDAY(B1103)+1</f>
        <v>42008</v>
      </c>
      <c r="D1103" s="1" t="e">
        <f aca="false" t="array" ref="D1103:D1103">IF(ISBLANK(_xlfn.xlookup(D$3,daily_items,_xlfn.xlookup($C1103,daily_dates,big_daily_table))),NA(),_xlfn.xlookup(D$3,daily_items,_xlfn.xlookup($C1103,daily_dates,big_daily_table)))</f>
        <v>#NAME?</v>
      </c>
      <c r="E1103" s="1" t="e">
        <f aca="false" t="array" ref="E1103:E1103">IF(ISBLANK(_xlfn.xlookup(E$3,daily_items,_xlfn.xlookup($C1103,daily_dates,big_daily_table))),NA(),_xlfn.xlookup(E$3,daily_items,_xlfn.xlookup($C1103,daily_dates,big_daily_table)))</f>
        <v>#NAME?</v>
      </c>
    </row>
    <row r="1104" customFormat="false" ht="14.25" hidden="false" customHeight="false" outlineLevel="0" collapsed="false">
      <c r="B1104" s="7" t="n">
        <v>42009</v>
      </c>
      <c r="C1104" s="7" t="n">
        <f aca="false">B1104-WEEKDAY(B1104)+1</f>
        <v>42008</v>
      </c>
      <c r="D1104" s="1" t="e">
        <f aca="false" t="array" ref="D1104:D1104">IF(ISBLANK(_xlfn.xlookup(D$3,daily_items,_xlfn.xlookup($C1104,daily_dates,big_daily_table))),NA(),_xlfn.xlookup(D$3,daily_items,_xlfn.xlookup($C1104,daily_dates,big_daily_table)))</f>
        <v>#NAME?</v>
      </c>
      <c r="E1104" s="1" t="e">
        <f aca="false" t="array" ref="E1104:E1104">IF(ISBLANK(_xlfn.xlookup(E$3,daily_items,_xlfn.xlookup($C1104,daily_dates,big_daily_table))),NA(),_xlfn.xlookup(E$3,daily_items,_xlfn.xlookup($C1104,daily_dates,big_daily_table)))</f>
        <v>#NAME?</v>
      </c>
    </row>
    <row r="1105" customFormat="false" ht="14.25" hidden="false" customHeight="false" outlineLevel="0" collapsed="false">
      <c r="B1105" s="7" t="n">
        <v>42010</v>
      </c>
      <c r="C1105" s="7" t="n">
        <f aca="false">B1105-WEEKDAY(B1105)+1</f>
        <v>42008</v>
      </c>
      <c r="D1105" s="1" t="e">
        <f aca="false" t="array" ref="D1105:D1105">IF(ISBLANK(_xlfn.xlookup(D$3,daily_items,_xlfn.xlookup($C1105,daily_dates,big_daily_table))),NA(),_xlfn.xlookup(D$3,daily_items,_xlfn.xlookup($C1105,daily_dates,big_daily_table)))</f>
        <v>#NAME?</v>
      </c>
      <c r="E1105" s="1" t="e">
        <f aca="false" t="array" ref="E1105:E1105">IF(ISBLANK(_xlfn.xlookup(E$3,daily_items,_xlfn.xlookup($C1105,daily_dates,big_daily_table))),NA(),_xlfn.xlookup(E$3,daily_items,_xlfn.xlookup($C1105,daily_dates,big_daily_table)))</f>
        <v>#NAME?</v>
      </c>
    </row>
    <row r="1106" customFormat="false" ht="14.25" hidden="false" customHeight="false" outlineLevel="0" collapsed="false">
      <c r="B1106" s="7" t="n">
        <v>42011</v>
      </c>
      <c r="C1106" s="7" t="n">
        <f aca="false">B1106-WEEKDAY(B1106)+1</f>
        <v>42008</v>
      </c>
      <c r="D1106" s="1" t="e">
        <f aca="false" t="array" ref="D1106:D1106">IF(ISBLANK(_xlfn.xlookup(D$3,daily_items,_xlfn.xlookup($C1106,daily_dates,big_daily_table))),NA(),_xlfn.xlookup(D$3,daily_items,_xlfn.xlookup($C1106,daily_dates,big_daily_table)))</f>
        <v>#NAME?</v>
      </c>
      <c r="E1106" s="1" t="e">
        <f aca="false" t="array" ref="E1106:E1106">IF(ISBLANK(_xlfn.xlookup(E$3,daily_items,_xlfn.xlookup($C1106,daily_dates,big_daily_table))),NA(),_xlfn.xlookup(E$3,daily_items,_xlfn.xlookup($C1106,daily_dates,big_daily_table)))</f>
        <v>#NAME?</v>
      </c>
    </row>
    <row r="1107" customFormat="false" ht="14.25" hidden="false" customHeight="false" outlineLevel="0" collapsed="false">
      <c r="B1107" s="7" t="n">
        <v>42012</v>
      </c>
      <c r="C1107" s="7" t="n">
        <f aca="false">B1107-WEEKDAY(B1107)+1</f>
        <v>42008</v>
      </c>
      <c r="D1107" s="1" t="e">
        <f aca="false" t="array" ref="D1107:D1107">IF(ISBLANK(_xlfn.xlookup(D$3,daily_items,_xlfn.xlookup($C1107,daily_dates,big_daily_table))),NA(),_xlfn.xlookup(D$3,daily_items,_xlfn.xlookup($C1107,daily_dates,big_daily_table)))</f>
        <v>#NAME?</v>
      </c>
      <c r="E1107" s="1" t="e">
        <f aca="false" t="array" ref="E1107:E1107">IF(ISBLANK(_xlfn.xlookup(E$3,daily_items,_xlfn.xlookup($C1107,daily_dates,big_daily_table))),NA(),_xlfn.xlookup(E$3,daily_items,_xlfn.xlookup($C1107,daily_dates,big_daily_table)))</f>
        <v>#NAME?</v>
      </c>
    </row>
    <row r="1108" customFormat="false" ht="14.25" hidden="false" customHeight="false" outlineLevel="0" collapsed="false">
      <c r="B1108" s="7" t="n">
        <v>42013</v>
      </c>
      <c r="C1108" s="7" t="n">
        <f aca="false">B1108-WEEKDAY(B1108)+1</f>
        <v>42008</v>
      </c>
      <c r="D1108" s="1" t="e">
        <f aca="false" t="array" ref="D1108:D1108">IF(ISBLANK(_xlfn.xlookup(D$3,daily_items,_xlfn.xlookup($C1108,daily_dates,big_daily_table))),NA(),_xlfn.xlookup(D$3,daily_items,_xlfn.xlookup($C1108,daily_dates,big_daily_table)))</f>
        <v>#NAME?</v>
      </c>
      <c r="E1108" s="1" t="e">
        <f aca="false" t="array" ref="E1108:E1108">IF(ISBLANK(_xlfn.xlookup(E$3,daily_items,_xlfn.xlookup($C1108,daily_dates,big_daily_table))),NA(),_xlfn.xlookup(E$3,daily_items,_xlfn.xlookup($C1108,daily_dates,big_daily_table)))</f>
        <v>#NAME?</v>
      </c>
    </row>
    <row r="1109" customFormat="false" ht="14.25" hidden="false" customHeight="false" outlineLevel="0" collapsed="false">
      <c r="B1109" s="7" t="n">
        <v>42014</v>
      </c>
      <c r="C1109" s="7" t="n">
        <f aca="false">B1109-WEEKDAY(B1109)+1</f>
        <v>42008</v>
      </c>
      <c r="D1109" s="1" t="e">
        <f aca="false" t="array" ref="D1109:D1109">IF(ISBLANK(_xlfn.xlookup(D$3,daily_items,_xlfn.xlookup($C1109,daily_dates,big_daily_table))),NA(),_xlfn.xlookup(D$3,daily_items,_xlfn.xlookup($C1109,daily_dates,big_daily_table)))</f>
        <v>#NAME?</v>
      </c>
      <c r="E1109" s="1" t="e">
        <f aca="false" t="array" ref="E1109:E1109">IF(ISBLANK(_xlfn.xlookup(E$3,daily_items,_xlfn.xlookup($C1109,daily_dates,big_daily_table))),NA(),_xlfn.xlookup(E$3,daily_items,_xlfn.xlookup($C1109,daily_dates,big_daily_table)))</f>
        <v>#NAME?</v>
      </c>
    </row>
    <row r="1110" customFormat="false" ht="14.25" hidden="false" customHeight="false" outlineLevel="0" collapsed="false">
      <c r="B1110" s="7" t="n">
        <v>42015</v>
      </c>
      <c r="C1110" s="7" t="n">
        <f aca="false">B1110-WEEKDAY(B1110)+1</f>
        <v>42015</v>
      </c>
      <c r="D1110" s="1" t="e">
        <f aca="false" t="array" ref="D1110:D1110">IF(ISBLANK(_xlfn.xlookup(D$3,daily_items,_xlfn.xlookup($C1110,daily_dates,big_daily_table))),NA(),_xlfn.xlookup(D$3,daily_items,_xlfn.xlookup($C1110,daily_dates,big_daily_table)))</f>
        <v>#NAME?</v>
      </c>
      <c r="E1110" s="1" t="e">
        <f aca="false" t="array" ref="E1110:E1110">IF(ISBLANK(_xlfn.xlookup(E$3,daily_items,_xlfn.xlookup($C1110,daily_dates,big_daily_table))),NA(),_xlfn.xlookup(E$3,daily_items,_xlfn.xlookup($C1110,daily_dates,big_daily_table)))</f>
        <v>#NAME?</v>
      </c>
    </row>
    <row r="1111" customFormat="false" ht="14.25" hidden="false" customHeight="false" outlineLevel="0" collapsed="false">
      <c r="B1111" s="7" t="n">
        <v>42016</v>
      </c>
      <c r="C1111" s="7" t="n">
        <f aca="false">B1111-WEEKDAY(B1111)+1</f>
        <v>42015</v>
      </c>
      <c r="D1111" s="1" t="e">
        <f aca="false" t="array" ref="D1111:D1111">IF(ISBLANK(_xlfn.xlookup(D$3,daily_items,_xlfn.xlookup($C1111,daily_dates,big_daily_table))),NA(),_xlfn.xlookup(D$3,daily_items,_xlfn.xlookup($C1111,daily_dates,big_daily_table)))</f>
        <v>#NAME?</v>
      </c>
      <c r="E1111" s="1" t="e">
        <f aca="false" t="array" ref="E1111:E1111">IF(ISBLANK(_xlfn.xlookup(E$3,daily_items,_xlfn.xlookup($C1111,daily_dates,big_daily_table))),NA(),_xlfn.xlookup(E$3,daily_items,_xlfn.xlookup($C1111,daily_dates,big_daily_table)))</f>
        <v>#NAME?</v>
      </c>
    </row>
    <row r="1112" customFormat="false" ht="14.25" hidden="false" customHeight="false" outlineLevel="0" collapsed="false">
      <c r="B1112" s="7" t="n">
        <v>42017</v>
      </c>
      <c r="C1112" s="7" t="n">
        <f aca="false">B1112-WEEKDAY(B1112)+1</f>
        <v>42015</v>
      </c>
      <c r="D1112" s="1" t="e">
        <f aca="false" t="array" ref="D1112:D1112">IF(ISBLANK(_xlfn.xlookup(D$3,daily_items,_xlfn.xlookup($C1112,daily_dates,big_daily_table))),NA(),_xlfn.xlookup(D$3,daily_items,_xlfn.xlookup($C1112,daily_dates,big_daily_table)))</f>
        <v>#NAME?</v>
      </c>
      <c r="E1112" s="1" t="e">
        <f aca="false" t="array" ref="E1112:E1112">IF(ISBLANK(_xlfn.xlookup(E$3,daily_items,_xlfn.xlookup($C1112,daily_dates,big_daily_table))),NA(),_xlfn.xlookup(E$3,daily_items,_xlfn.xlookup($C1112,daily_dates,big_daily_table)))</f>
        <v>#NAME?</v>
      </c>
    </row>
    <row r="1113" customFormat="false" ht="14.25" hidden="false" customHeight="false" outlineLevel="0" collapsed="false">
      <c r="B1113" s="7" t="n">
        <v>42018</v>
      </c>
      <c r="C1113" s="7" t="n">
        <f aca="false">B1113-WEEKDAY(B1113)+1</f>
        <v>42015</v>
      </c>
      <c r="D1113" s="1" t="e">
        <f aca="false" t="array" ref="D1113:D1113">IF(ISBLANK(_xlfn.xlookup(D$3,daily_items,_xlfn.xlookup($C1113,daily_dates,big_daily_table))),NA(),_xlfn.xlookup(D$3,daily_items,_xlfn.xlookup($C1113,daily_dates,big_daily_table)))</f>
        <v>#NAME?</v>
      </c>
      <c r="E1113" s="1" t="e">
        <f aca="false" t="array" ref="E1113:E1113">IF(ISBLANK(_xlfn.xlookup(E$3,daily_items,_xlfn.xlookup($C1113,daily_dates,big_daily_table))),NA(),_xlfn.xlookup(E$3,daily_items,_xlfn.xlookup($C1113,daily_dates,big_daily_table)))</f>
        <v>#NAME?</v>
      </c>
    </row>
    <row r="1114" customFormat="false" ht="14.25" hidden="false" customHeight="false" outlineLevel="0" collapsed="false">
      <c r="B1114" s="7" t="n">
        <v>42019</v>
      </c>
      <c r="C1114" s="7" t="n">
        <f aca="false">B1114-WEEKDAY(B1114)+1</f>
        <v>42015</v>
      </c>
      <c r="D1114" s="1" t="e">
        <f aca="false" t="array" ref="D1114:D1114">IF(ISBLANK(_xlfn.xlookup(D$3,daily_items,_xlfn.xlookup($C1114,daily_dates,big_daily_table))),NA(),_xlfn.xlookup(D$3,daily_items,_xlfn.xlookup($C1114,daily_dates,big_daily_table)))</f>
        <v>#NAME?</v>
      </c>
      <c r="E1114" s="1" t="e">
        <f aca="false" t="array" ref="E1114:E1114">IF(ISBLANK(_xlfn.xlookup(E$3,daily_items,_xlfn.xlookup($C1114,daily_dates,big_daily_table))),NA(),_xlfn.xlookup(E$3,daily_items,_xlfn.xlookup($C1114,daily_dates,big_daily_table)))</f>
        <v>#NAME?</v>
      </c>
    </row>
    <row r="1115" customFormat="false" ht="14.25" hidden="false" customHeight="false" outlineLevel="0" collapsed="false">
      <c r="B1115" s="7" t="n">
        <v>42020</v>
      </c>
      <c r="C1115" s="7" t="n">
        <f aca="false">B1115-WEEKDAY(B1115)+1</f>
        <v>42015</v>
      </c>
      <c r="D1115" s="1" t="e">
        <f aca="false" t="array" ref="D1115:D1115">IF(ISBLANK(_xlfn.xlookup(D$3,daily_items,_xlfn.xlookup($C1115,daily_dates,big_daily_table))),NA(),_xlfn.xlookup(D$3,daily_items,_xlfn.xlookup($C1115,daily_dates,big_daily_table)))</f>
        <v>#NAME?</v>
      </c>
      <c r="E1115" s="1" t="e">
        <f aca="false" t="array" ref="E1115:E1115">IF(ISBLANK(_xlfn.xlookup(E$3,daily_items,_xlfn.xlookup($C1115,daily_dates,big_daily_table))),NA(),_xlfn.xlookup(E$3,daily_items,_xlfn.xlookup($C1115,daily_dates,big_daily_table)))</f>
        <v>#NAME?</v>
      </c>
    </row>
    <row r="1116" customFormat="false" ht="14.25" hidden="false" customHeight="false" outlineLevel="0" collapsed="false">
      <c r="B1116" s="7" t="n">
        <v>42021</v>
      </c>
      <c r="C1116" s="7" t="n">
        <f aca="false">B1116-WEEKDAY(B1116)+1</f>
        <v>42015</v>
      </c>
      <c r="D1116" s="1" t="e">
        <f aca="false" t="array" ref="D1116:D1116">IF(ISBLANK(_xlfn.xlookup(D$3,daily_items,_xlfn.xlookup($C1116,daily_dates,big_daily_table))),NA(),_xlfn.xlookup(D$3,daily_items,_xlfn.xlookup($C1116,daily_dates,big_daily_table)))</f>
        <v>#NAME?</v>
      </c>
      <c r="E1116" s="1" t="e">
        <f aca="false" t="array" ref="E1116:E1116">IF(ISBLANK(_xlfn.xlookup(E$3,daily_items,_xlfn.xlookup($C1116,daily_dates,big_daily_table))),NA(),_xlfn.xlookup(E$3,daily_items,_xlfn.xlookup($C1116,daily_dates,big_daily_table)))</f>
        <v>#NAME?</v>
      </c>
    </row>
    <row r="1117" customFormat="false" ht="14.25" hidden="false" customHeight="false" outlineLevel="0" collapsed="false">
      <c r="B1117" s="7" t="n">
        <v>42022</v>
      </c>
      <c r="C1117" s="7" t="n">
        <f aca="false">B1117-WEEKDAY(B1117)+1</f>
        <v>42022</v>
      </c>
      <c r="D1117" s="1" t="e">
        <f aca="false" t="array" ref="D1117:D1117">IF(ISBLANK(_xlfn.xlookup(D$3,daily_items,_xlfn.xlookup($C1117,daily_dates,big_daily_table))),NA(),_xlfn.xlookup(D$3,daily_items,_xlfn.xlookup($C1117,daily_dates,big_daily_table)))</f>
        <v>#NAME?</v>
      </c>
      <c r="E1117" s="1" t="e">
        <f aca="false" t="array" ref="E1117:E1117">IF(ISBLANK(_xlfn.xlookup(E$3,daily_items,_xlfn.xlookup($C1117,daily_dates,big_daily_table))),NA(),_xlfn.xlookup(E$3,daily_items,_xlfn.xlookup($C1117,daily_dates,big_daily_table)))</f>
        <v>#NAME?</v>
      </c>
    </row>
    <row r="1118" customFormat="false" ht="14.25" hidden="false" customHeight="false" outlineLevel="0" collapsed="false">
      <c r="B1118" s="7" t="n">
        <v>42023</v>
      </c>
      <c r="C1118" s="7" t="n">
        <f aca="false">B1118-WEEKDAY(B1118)+1</f>
        <v>42022</v>
      </c>
      <c r="D1118" s="1" t="e">
        <f aca="false" t="array" ref="D1118:D1118">IF(ISBLANK(_xlfn.xlookup(D$3,daily_items,_xlfn.xlookup($C1118,daily_dates,big_daily_table))),NA(),_xlfn.xlookup(D$3,daily_items,_xlfn.xlookup($C1118,daily_dates,big_daily_table)))</f>
        <v>#NAME?</v>
      </c>
      <c r="E1118" s="1" t="e">
        <f aca="false" t="array" ref="E1118:E1118">IF(ISBLANK(_xlfn.xlookup(E$3,daily_items,_xlfn.xlookup($C1118,daily_dates,big_daily_table))),NA(),_xlfn.xlookup(E$3,daily_items,_xlfn.xlookup($C1118,daily_dates,big_daily_table)))</f>
        <v>#NAME?</v>
      </c>
    </row>
    <row r="1119" customFormat="false" ht="14.25" hidden="false" customHeight="false" outlineLevel="0" collapsed="false">
      <c r="B1119" s="7" t="n">
        <v>42024</v>
      </c>
      <c r="C1119" s="7" t="n">
        <f aca="false">B1119-WEEKDAY(B1119)+1</f>
        <v>42022</v>
      </c>
      <c r="D1119" s="1" t="e">
        <f aca="false" t="array" ref="D1119:D1119">IF(ISBLANK(_xlfn.xlookup(D$3,daily_items,_xlfn.xlookup($C1119,daily_dates,big_daily_table))),NA(),_xlfn.xlookup(D$3,daily_items,_xlfn.xlookup($C1119,daily_dates,big_daily_table)))</f>
        <v>#NAME?</v>
      </c>
      <c r="E1119" s="1" t="e">
        <f aca="false" t="array" ref="E1119:E1119">IF(ISBLANK(_xlfn.xlookup(E$3,daily_items,_xlfn.xlookup($C1119,daily_dates,big_daily_table))),NA(),_xlfn.xlookup(E$3,daily_items,_xlfn.xlookup($C1119,daily_dates,big_daily_table)))</f>
        <v>#NAME?</v>
      </c>
    </row>
    <row r="1120" customFormat="false" ht="14.25" hidden="false" customHeight="false" outlineLevel="0" collapsed="false">
      <c r="B1120" s="7" t="n">
        <v>42025</v>
      </c>
      <c r="C1120" s="7" t="n">
        <f aca="false">B1120-WEEKDAY(B1120)+1</f>
        <v>42022</v>
      </c>
      <c r="D1120" s="1" t="e">
        <f aca="false" t="array" ref="D1120:D1120">IF(ISBLANK(_xlfn.xlookup(D$3,daily_items,_xlfn.xlookup($C1120,daily_dates,big_daily_table))),NA(),_xlfn.xlookup(D$3,daily_items,_xlfn.xlookup($C1120,daily_dates,big_daily_table)))</f>
        <v>#NAME?</v>
      </c>
      <c r="E1120" s="1" t="e">
        <f aca="false" t="array" ref="E1120:E1120">IF(ISBLANK(_xlfn.xlookup(E$3,daily_items,_xlfn.xlookup($C1120,daily_dates,big_daily_table))),NA(),_xlfn.xlookup(E$3,daily_items,_xlfn.xlookup($C1120,daily_dates,big_daily_table)))</f>
        <v>#NAME?</v>
      </c>
    </row>
    <row r="1121" customFormat="false" ht="14.25" hidden="false" customHeight="false" outlineLevel="0" collapsed="false">
      <c r="B1121" s="7" t="n">
        <v>42026</v>
      </c>
      <c r="C1121" s="7" t="n">
        <f aca="false">B1121-WEEKDAY(B1121)+1</f>
        <v>42022</v>
      </c>
      <c r="D1121" s="1" t="e">
        <f aca="false" t="array" ref="D1121:D1121">IF(ISBLANK(_xlfn.xlookup(D$3,daily_items,_xlfn.xlookup($C1121,daily_dates,big_daily_table))),NA(),_xlfn.xlookup(D$3,daily_items,_xlfn.xlookup($C1121,daily_dates,big_daily_table)))</f>
        <v>#NAME?</v>
      </c>
      <c r="E1121" s="1" t="e">
        <f aca="false" t="array" ref="E1121:E1121">IF(ISBLANK(_xlfn.xlookup(E$3,daily_items,_xlfn.xlookup($C1121,daily_dates,big_daily_table))),NA(),_xlfn.xlookup(E$3,daily_items,_xlfn.xlookup($C1121,daily_dates,big_daily_table)))</f>
        <v>#NAME?</v>
      </c>
    </row>
    <row r="1122" customFormat="false" ht="14.25" hidden="false" customHeight="false" outlineLevel="0" collapsed="false">
      <c r="B1122" s="7" t="n">
        <v>42027</v>
      </c>
      <c r="C1122" s="7" t="n">
        <f aca="false">B1122-WEEKDAY(B1122)+1</f>
        <v>42022</v>
      </c>
      <c r="D1122" s="1" t="e">
        <f aca="false" t="array" ref="D1122:D1122">IF(ISBLANK(_xlfn.xlookup(D$3,daily_items,_xlfn.xlookup($C1122,daily_dates,big_daily_table))),NA(),_xlfn.xlookup(D$3,daily_items,_xlfn.xlookup($C1122,daily_dates,big_daily_table)))</f>
        <v>#NAME?</v>
      </c>
      <c r="E1122" s="1" t="e">
        <f aca="false" t="array" ref="E1122:E1122">IF(ISBLANK(_xlfn.xlookup(E$3,daily_items,_xlfn.xlookup($C1122,daily_dates,big_daily_table))),NA(),_xlfn.xlookup(E$3,daily_items,_xlfn.xlookup($C1122,daily_dates,big_daily_table)))</f>
        <v>#NAME?</v>
      </c>
    </row>
    <row r="1123" customFormat="false" ht="14.25" hidden="false" customHeight="false" outlineLevel="0" collapsed="false">
      <c r="B1123" s="7" t="n">
        <v>42028</v>
      </c>
      <c r="C1123" s="7" t="n">
        <f aca="false">B1123-WEEKDAY(B1123)+1</f>
        <v>42022</v>
      </c>
      <c r="D1123" s="1" t="e">
        <f aca="false" t="array" ref="D1123:D1123">IF(ISBLANK(_xlfn.xlookup(D$3,daily_items,_xlfn.xlookup($C1123,daily_dates,big_daily_table))),NA(),_xlfn.xlookup(D$3,daily_items,_xlfn.xlookup($C1123,daily_dates,big_daily_table)))</f>
        <v>#NAME?</v>
      </c>
      <c r="E1123" s="1" t="e">
        <f aca="false" t="array" ref="E1123:E1123">IF(ISBLANK(_xlfn.xlookup(E$3,daily_items,_xlfn.xlookup($C1123,daily_dates,big_daily_table))),NA(),_xlfn.xlookup(E$3,daily_items,_xlfn.xlookup($C1123,daily_dates,big_daily_table)))</f>
        <v>#NAME?</v>
      </c>
    </row>
    <row r="1124" customFormat="false" ht="14.25" hidden="false" customHeight="false" outlineLevel="0" collapsed="false">
      <c r="B1124" s="7" t="n">
        <v>42029</v>
      </c>
      <c r="C1124" s="7" t="n">
        <f aca="false">B1124-WEEKDAY(B1124)+1</f>
        <v>42029</v>
      </c>
      <c r="D1124" s="1" t="e">
        <f aca="false" t="array" ref="D1124:D1124">IF(ISBLANK(_xlfn.xlookup(D$3,daily_items,_xlfn.xlookup($C1124,daily_dates,big_daily_table))),NA(),_xlfn.xlookup(D$3,daily_items,_xlfn.xlookup($C1124,daily_dates,big_daily_table)))</f>
        <v>#NAME?</v>
      </c>
      <c r="E1124" s="1" t="e">
        <f aca="false" t="array" ref="E1124:E1124">IF(ISBLANK(_xlfn.xlookup(E$3,daily_items,_xlfn.xlookup($C1124,daily_dates,big_daily_table))),NA(),_xlfn.xlookup(E$3,daily_items,_xlfn.xlookup($C1124,daily_dates,big_daily_table)))</f>
        <v>#NAME?</v>
      </c>
    </row>
    <row r="1125" customFormat="false" ht="14.25" hidden="false" customHeight="false" outlineLevel="0" collapsed="false">
      <c r="B1125" s="7" t="n">
        <v>42030</v>
      </c>
      <c r="C1125" s="7" t="n">
        <f aca="false">B1125-WEEKDAY(B1125)+1</f>
        <v>42029</v>
      </c>
      <c r="D1125" s="1" t="e">
        <f aca="false" t="array" ref="D1125:D1125">IF(ISBLANK(_xlfn.xlookup(D$3,daily_items,_xlfn.xlookup($C1125,daily_dates,big_daily_table))),NA(),_xlfn.xlookup(D$3,daily_items,_xlfn.xlookup($C1125,daily_dates,big_daily_table)))</f>
        <v>#NAME?</v>
      </c>
      <c r="E1125" s="1" t="e">
        <f aca="false" t="array" ref="E1125:E1125">IF(ISBLANK(_xlfn.xlookup(E$3,daily_items,_xlfn.xlookup($C1125,daily_dates,big_daily_table))),NA(),_xlfn.xlookup(E$3,daily_items,_xlfn.xlookup($C1125,daily_dates,big_daily_table)))</f>
        <v>#NAME?</v>
      </c>
    </row>
    <row r="1126" customFormat="false" ht="14.25" hidden="false" customHeight="false" outlineLevel="0" collapsed="false">
      <c r="B1126" s="7" t="n">
        <v>42031</v>
      </c>
      <c r="C1126" s="7" t="n">
        <f aca="false">B1126-WEEKDAY(B1126)+1</f>
        <v>42029</v>
      </c>
      <c r="D1126" s="1" t="e">
        <f aca="false" t="array" ref="D1126:D1126">IF(ISBLANK(_xlfn.xlookup(D$3,daily_items,_xlfn.xlookup($C1126,daily_dates,big_daily_table))),NA(),_xlfn.xlookup(D$3,daily_items,_xlfn.xlookup($C1126,daily_dates,big_daily_table)))</f>
        <v>#NAME?</v>
      </c>
      <c r="E1126" s="1" t="e">
        <f aca="false" t="array" ref="E1126:E1126">IF(ISBLANK(_xlfn.xlookup(E$3,daily_items,_xlfn.xlookup($C1126,daily_dates,big_daily_table))),NA(),_xlfn.xlookup(E$3,daily_items,_xlfn.xlookup($C1126,daily_dates,big_daily_table)))</f>
        <v>#NAME?</v>
      </c>
    </row>
    <row r="1127" customFormat="false" ht="14.25" hidden="false" customHeight="false" outlineLevel="0" collapsed="false">
      <c r="B1127" s="7" t="n">
        <v>42032</v>
      </c>
      <c r="C1127" s="7" t="n">
        <f aca="false">B1127-WEEKDAY(B1127)+1</f>
        <v>42029</v>
      </c>
      <c r="D1127" s="1" t="e">
        <f aca="false" t="array" ref="D1127:D1127">IF(ISBLANK(_xlfn.xlookup(D$3,daily_items,_xlfn.xlookup($C1127,daily_dates,big_daily_table))),NA(),_xlfn.xlookup(D$3,daily_items,_xlfn.xlookup($C1127,daily_dates,big_daily_table)))</f>
        <v>#NAME?</v>
      </c>
      <c r="E1127" s="1" t="e">
        <f aca="false" t="array" ref="E1127:E1127">IF(ISBLANK(_xlfn.xlookup(E$3,daily_items,_xlfn.xlookup($C1127,daily_dates,big_daily_table))),NA(),_xlfn.xlookup(E$3,daily_items,_xlfn.xlookup($C1127,daily_dates,big_daily_table)))</f>
        <v>#NAME?</v>
      </c>
    </row>
    <row r="1128" customFormat="false" ht="14.25" hidden="false" customHeight="false" outlineLevel="0" collapsed="false">
      <c r="B1128" s="7" t="n">
        <v>42033</v>
      </c>
      <c r="C1128" s="7" t="n">
        <f aca="false">B1128-WEEKDAY(B1128)+1</f>
        <v>42029</v>
      </c>
      <c r="D1128" s="1" t="e">
        <f aca="false" t="array" ref="D1128:D1128">IF(ISBLANK(_xlfn.xlookup(D$3,daily_items,_xlfn.xlookup($C1128,daily_dates,big_daily_table))),NA(),_xlfn.xlookup(D$3,daily_items,_xlfn.xlookup($C1128,daily_dates,big_daily_table)))</f>
        <v>#NAME?</v>
      </c>
      <c r="E1128" s="1" t="e">
        <f aca="false" t="array" ref="E1128:E1128">IF(ISBLANK(_xlfn.xlookup(E$3,daily_items,_xlfn.xlookup($C1128,daily_dates,big_daily_table))),NA(),_xlfn.xlookup(E$3,daily_items,_xlfn.xlookup($C1128,daily_dates,big_daily_table)))</f>
        <v>#NAME?</v>
      </c>
    </row>
    <row r="1129" customFormat="false" ht="14.25" hidden="false" customHeight="false" outlineLevel="0" collapsed="false">
      <c r="B1129" s="7" t="n">
        <v>42034</v>
      </c>
      <c r="C1129" s="7" t="n">
        <f aca="false">B1129-WEEKDAY(B1129)+1</f>
        <v>42029</v>
      </c>
      <c r="D1129" s="1" t="e">
        <f aca="false" t="array" ref="D1129:D1129">IF(ISBLANK(_xlfn.xlookup(D$3,daily_items,_xlfn.xlookup($C1129,daily_dates,big_daily_table))),NA(),_xlfn.xlookup(D$3,daily_items,_xlfn.xlookup($C1129,daily_dates,big_daily_table)))</f>
        <v>#NAME?</v>
      </c>
      <c r="E1129" s="1" t="e">
        <f aca="false" t="array" ref="E1129:E1129">IF(ISBLANK(_xlfn.xlookup(E$3,daily_items,_xlfn.xlookup($C1129,daily_dates,big_daily_table))),NA(),_xlfn.xlookup(E$3,daily_items,_xlfn.xlookup($C1129,daily_dates,big_daily_table)))</f>
        <v>#NAME?</v>
      </c>
    </row>
    <row r="1130" customFormat="false" ht="14.25" hidden="false" customHeight="false" outlineLevel="0" collapsed="false">
      <c r="B1130" s="7" t="n">
        <v>42035</v>
      </c>
      <c r="C1130" s="7" t="n">
        <f aca="false">B1130-WEEKDAY(B1130)+1</f>
        <v>42029</v>
      </c>
      <c r="D1130" s="1" t="e">
        <f aca="false" t="array" ref="D1130:D1130">IF(ISBLANK(_xlfn.xlookup(D$3,daily_items,_xlfn.xlookup($C1130,daily_dates,big_daily_table))),NA(),_xlfn.xlookup(D$3,daily_items,_xlfn.xlookup($C1130,daily_dates,big_daily_table)))</f>
        <v>#NAME?</v>
      </c>
      <c r="E1130" s="1" t="e">
        <f aca="false" t="array" ref="E1130:E1130">IF(ISBLANK(_xlfn.xlookup(E$3,daily_items,_xlfn.xlookup($C1130,daily_dates,big_daily_table))),NA(),_xlfn.xlookup(E$3,daily_items,_xlfn.xlookup($C1130,daily_dates,big_daily_table)))</f>
        <v>#NAME?</v>
      </c>
    </row>
    <row r="1131" customFormat="false" ht="14.25" hidden="false" customHeight="false" outlineLevel="0" collapsed="false">
      <c r="B1131" s="7" t="n">
        <v>42036</v>
      </c>
      <c r="C1131" s="7" t="n">
        <f aca="false">B1131-WEEKDAY(B1131)+1</f>
        <v>42036</v>
      </c>
      <c r="D1131" s="1" t="e">
        <f aca="false" t="array" ref="D1131:D1131">IF(ISBLANK(_xlfn.xlookup(D$3,daily_items,_xlfn.xlookup($C1131,daily_dates,big_daily_table))),NA(),_xlfn.xlookup(D$3,daily_items,_xlfn.xlookup($C1131,daily_dates,big_daily_table)))</f>
        <v>#NAME?</v>
      </c>
      <c r="E1131" s="1" t="e">
        <f aca="false" t="array" ref="E1131:E1131">IF(ISBLANK(_xlfn.xlookup(E$3,daily_items,_xlfn.xlookup($C1131,daily_dates,big_daily_table))),NA(),_xlfn.xlookup(E$3,daily_items,_xlfn.xlookup($C1131,daily_dates,big_daily_table)))</f>
        <v>#NAME?</v>
      </c>
    </row>
    <row r="1132" customFormat="false" ht="14.25" hidden="false" customHeight="false" outlineLevel="0" collapsed="false">
      <c r="B1132" s="7" t="n">
        <v>42037</v>
      </c>
      <c r="C1132" s="7" t="n">
        <f aca="false">B1132-WEEKDAY(B1132)+1</f>
        <v>42036</v>
      </c>
      <c r="D1132" s="1" t="e">
        <f aca="false" t="array" ref="D1132:D1132">IF(ISBLANK(_xlfn.xlookup(D$3,daily_items,_xlfn.xlookup($C1132,daily_dates,big_daily_table))),NA(),_xlfn.xlookup(D$3,daily_items,_xlfn.xlookup($C1132,daily_dates,big_daily_table)))</f>
        <v>#NAME?</v>
      </c>
      <c r="E1132" s="1" t="e">
        <f aca="false" t="array" ref="E1132:E1132">IF(ISBLANK(_xlfn.xlookup(E$3,daily_items,_xlfn.xlookup($C1132,daily_dates,big_daily_table))),NA(),_xlfn.xlookup(E$3,daily_items,_xlfn.xlookup($C1132,daily_dates,big_daily_table)))</f>
        <v>#NAME?</v>
      </c>
    </row>
    <row r="1133" customFormat="false" ht="14.25" hidden="false" customHeight="false" outlineLevel="0" collapsed="false">
      <c r="B1133" s="7" t="n">
        <v>42038</v>
      </c>
      <c r="C1133" s="7" t="n">
        <f aca="false">B1133-WEEKDAY(B1133)+1</f>
        <v>42036</v>
      </c>
      <c r="D1133" s="1" t="e">
        <f aca="false" t="array" ref="D1133:D1133">IF(ISBLANK(_xlfn.xlookup(D$3,daily_items,_xlfn.xlookup($C1133,daily_dates,big_daily_table))),NA(),_xlfn.xlookup(D$3,daily_items,_xlfn.xlookup($C1133,daily_dates,big_daily_table)))</f>
        <v>#NAME?</v>
      </c>
      <c r="E1133" s="1" t="e">
        <f aca="false" t="array" ref="E1133:E1133">IF(ISBLANK(_xlfn.xlookup(E$3,daily_items,_xlfn.xlookup($C1133,daily_dates,big_daily_table))),NA(),_xlfn.xlookup(E$3,daily_items,_xlfn.xlookup($C1133,daily_dates,big_daily_table)))</f>
        <v>#NAME?</v>
      </c>
    </row>
    <row r="1134" customFormat="false" ht="14.25" hidden="false" customHeight="false" outlineLevel="0" collapsed="false">
      <c r="B1134" s="7" t="n">
        <v>42039</v>
      </c>
      <c r="C1134" s="7" t="n">
        <f aca="false">B1134-WEEKDAY(B1134)+1</f>
        <v>42036</v>
      </c>
      <c r="D1134" s="1" t="e">
        <f aca="false" t="array" ref="D1134:D1134">IF(ISBLANK(_xlfn.xlookup(D$3,daily_items,_xlfn.xlookup($C1134,daily_dates,big_daily_table))),NA(),_xlfn.xlookup(D$3,daily_items,_xlfn.xlookup($C1134,daily_dates,big_daily_table)))</f>
        <v>#NAME?</v>
      </c>
      <c r="E1134" s="1" t="e">
        <f aca="false" t="array" ref="E1134:E1134">IF(ISBLANK(_xlfn.xlookup(E$3,daily_items,_xlfn.xlookup($C1134,daily_dates,big_daily_table))),NA(),_xlfn.xlookup(E$3,daily_items,_xlfn.xlookup($C1134,daily_dates,big_daily_table)))</f>
        <v>#NAME?</v>
      </c>
    </row>
    <row r="1135" customFormat="false" ht="14.25" hidden="false" customHeight="false" outlineLevel="0" collapsed="false">
      <c r="B1135" s="7" t="n">
        <v>42040</v>
      </c>
      <c r="C1135" s="7" t="n">
        <f aca="false">B1135-WEEKDAY(B1135)+1</f>
        <v>42036</v>
      </c>
      <c r="D1135" s="1" t="e">
        <f aca="false" t="array" ref="D1135:D1135">IF(ISBLANK(_xlfn.xlookup(D$3,daily_items,_xlfn.xlookup($C1135,daily_dates,big_daily_table))),NA(),_xlfn.xlookup(D$3,daily_items,_xlfn.xlookup($C1135,daily_dates,big_daily_table)))</f>
        <v>#NAME?</v>
      </c>
      <c r="E1135" s="1" t="e">
        <f aca="false" t="array" ref="E1135:E1135">IF(ISBLANK(_xlfn.xlookup(E$3,daily_items,_xlfn.xlookup($C1135,daily_dates,big_daily_table))),NA(),_xlfn.xlookup(E$3,daily_items,_xlfn.xlookup($C1135,daily_dates,big_daily_table)))</f>
        <v>#NAME?</v>
      </c>
    </row>
    <row r="1136" customFormat="false" ht="14.25" hidden="false" customHeight="false" outlineLevel="0" collapsed="false">
      <c r="B1136" s="7" t="n">
        <v>42041</v>
      </c>
      <c r="C1136" s="7" t="n">
        <f aca="false">B1136-WEEKDAY(B1136)+1</f>
        <v>42036</v>
      </c>
      <c r="D1136" s="1" t="e">
        <f aca="false" t="array" ref="D1136:D1136">IF(ISBLANK(_xlfn.xlookup(D$3,daily_items,_xlfn.xlookup($C1136,daily_dates,big_daily_table))),NA(),_xlfn.xlookup(D$3,daily_items,_xlfn.xlookup($C1136,daily_dates,big_daily_table)))</f>
        <v>#NAME?</v>
      </c>
      <c r="E1136" s="1" t="e">
        <f aca="false" t="array" ref="E1136:E1136">IF(ISBLANK(_xlfn.xlookup(E$3,daily_items,_xlfn.xlookup($C1136,daily_dates,big_daily_table))),NA(),_xlfn.xlookup(E$3,daily_items,_xlfn.xlookup($C1136,daily_dates,big_daily_table)))</f>
        <v>#NAME?</v>
      </c>
    </row>
    <row r="1137" customFormat="false" ht="14.25" hidden="false" customHeight="false" outlineLevel="0" collapsed="false">
      <c r="B1137" s="7" t="n">
        <v>42042</v>
      </c>
      <c r="C1137" s="7" t="n">
        <f aca="false">B1137-WEEKDAY(B1137)+1</f>
        <v>42036</v>
      </c>
      <c r="D1137" s="1" t="e">
        <f aca="false" t="array" ref="D1137:D1137">IF(ISBLANK(_xlfn.xlookup(D$3,daily_items,_xlfn.xlookup($C1137,daily_dates,big_daily_table))),NA(),_xlfn.xlookup(D$3,daily_items,_xlfn.xlookup($C1137,daily_dates,big_daily_table)))</f>
        <v>#NAME?</v>
      </c>
      <c r="E1137" s="1" t="e">
        <f aca="false" t="array" ref="E1137:E1137">IF(ISBLANK(_xlfn.xlookup(E$3,daily_items,_xlfn.xlookup($C1137,daily_dates,big_daily_table))),NA(),_xlfn.xlookup(E$3,daily_items,_xlfn.xlookup($C1137,daily_dates,big_daily_table)))</f>
        <v>#NAME?</v>
      </c>
    </row>
    <row r="1138" customFormat="false" ht="14.25" hidden="false" customHeight="false" outlineLevel="0" collapsed="false">
      <c r="B1138" s="7" t="n">
        <v>42043</v>
      </c>
      <c r="C1138" s="7" t="n">
        <f aca="false">B1138-WEEKDAY(B1138)+1</f>
        <v>42043</v>
      </c>
      <c r="D1138" s="1" t="e">
        <f aca="false" t="array" ref="D1138:D1138">IF(ISBLANK(_xlfn.xlookup(D$3,daily_items,_xlfn.xlookup($C1138,daily_dates,big_daily_table))),NA(),_xlfn.xlookup(D$3,daily_items,_xlfn.xlookup($C1138,daily_dates,big_daily_table)))</f>
        <v>#NAME?</v>
      </c>
      <c r="E1138" s="1" t="e">
        <f aca="false" t="array" ref="E1138:E1138">IF(ISBLANK(_xlfn.xlookup(E$3,daily_items,_xlfn.xlookup($C1138,daily_dates,big_daily_table))),NA(),_xlfn.xlookup(E$3,daily_items,_xlfn.xlookup($C1138,daily_dates,big_daily_table)))</f>
        <v>#NAME?</v>
      </c>
    </row>
    <row r="1139" customFormat="false" ht="14.25" hidden="false" customHeight="false" outlineLevel="0" collapsed="false">
      <c r="B1139" s="7" t="n">
        <v>42044</v>
      </c>
      <c r="C1139" s="7" t="n">
        <f aca="false">B1139-WEEKDAY(B1139)+1</f>
        <v>42043</v>
      </c>
      <c r="D1139" s="1" t="e">
        <f aca="false" t="array" ref="D1139:D1139">IF(ISBLANK(_xlfn.xlookup(D$3,daily_items,_xlfn.xlookup($C1139,daily_dates,big_daily_table))),NA(),_xlfn.xlookup(D$3,daily_items,_xlfn.xlookup($C1139,daily_dates,big_daily_table)))</f>
        <v>#NAME?</v>
      </c>
      <c r="E1139" s="1" t="e">
        <f aca="false" t="array" ref="E1139:E1139">IF(ISBLANK(_xlfn.xlookup(E$3,daily_items,_xlfn.xlookup($C1139,daily_dates,big_daily_table))),NA(),_xlfn.xlookup(E$3,daily_items,_xlfn.xlookup($C1139,daily_dates,big_daily_table)))</f>
        <v>#NAME?</v>
      </c>
    </row>
    <row r="1140" customFormat="false" ht="14.25" hidden="false" customHeight="false" outlineLevel="0" collapsed="false">
      <c r="B1140" s="7" t="n">
        <v>42045</v>
      </c>
      <c r="C1140" s="7" t="n">
        <f aca="false">B1140-WEEKDAY(B1140)+1</f>
        <v>42043</v>
      </c>
      <c r="D1140" s="1" t="e">
        <f aca="false" t="array" ref="D1140:D1140">IF(ISBLANK(_xlfn.xlookup(D$3,daily_items,_xlfn.xlookup($C1140,daily_dates,big_daily_table))),NA(),_xlfn.xlookup(D$3,daily_items,_xlfn.xlookup($C1140,daily_dates,big_daily_table)))</f>
        <v>#NAME?</v>
      </c>
      <c r="E1140" s="1" t="e">
        <f aca="false" t="array" ref="E1140:E1140">IF(ISBLANK(_xlfn.xlookup(E$3,daily_items,_xlfn.xlookup($C1140,daily_dates,big_daily_table))),NA(),_xlfn.xlookup(E$3,daily_items,_xlfn.xlookup($C1140,daily_dates,big_daily_table)))</f>
        <v>#NAME?</v>
      </c>
    </row>
    <row r="1141" customFormat="false" ht="14.25" hidden="false" customHeight="false" outlineLevel="0" collapsed="false">
      <c r="B1141" s="7" t="n">
        <v>42046</v>
      </c>
      <c r="C1141" s="7" t="n">
        <f aca="false">B1141-WEEKDAY(B1141)+1</f>
        <v>42043</v>
      </c>
      <c r="D1141" s="1" t="e">
        <f aca="false" t="array" ref="D1141:D1141">IF(ISBLANK(_xlfn.xlookup(D$3,daily_items,_xlfn.xlookup($C1141,daily_dates,big_daily_table))),NA(),_xlfn.xlookup(D$3,daily_items,_xlfn.xlookup($C1141,daily_dates,big_daily_table)))</f>
        <v>#NAME?</v>
      </c>
      <c r="E1141" s="1" t="e">
        <f aca="false" t="array" ref="E1141:E1141">IF(ISBLANK(_xlfn.xlookup(E$3,daily_items,_xlfn.xlookup($C1141,daily_dates,big_daily_table))),NA(),_xlfn.xlookup(E$3,daily_items,_xlfn.xlookup($C1141,daily_dates,big_daily_table)))</f>
        <v>#NAME?</v>
      </c>
    </row>
    <row r="1142" customFormat="false" ht="14.25" hidden="false" customHeight="false" outlineLevel="0" collapsed="false">
      <c r="B1142" s="7" t="n">
        <v>42047</v>
      </c>
      <c r="C1142" s="7" t="n">
        <f aca="false">B1142-WEEKDAY(B1142)+1</f>
        <v>42043</v>
      </c>
      <c r="D1142" s="1" t="e">
        <f aca="false" t="array" ref="D1142:D1142">IF(ISBLANK(_xlfn.xlookup(D$3,daily_items,_xlfn.xlookup($C1142,daily_dates,big_daily_table))),NA(),_xlfn.xlookup(D$3,daily_items,_xlfn.xlookup($C1142,daily_dates,big_daily_table)))</f>
        <v>#NAME?</v>
      </c>
      <c r="E1142" s="1" t="e">
        <f aca="false" t="array" ref="E1142:E1142">IF(ISBLANK(_xlfn.xlookup(E$3,daily_items,_xlfn.xlookup($C1142,daily_dates,big_daily_table))),NA(),_xlfn.xlookup(E$3,daily_items,_xlfn.xlookup($C1142,daily_dates,big_daily_table)))</f>
        <v>#NAME?</v>
      </c>
    </row>
    <row r="1143" customFormat="false" ht="14.25" hidden="false" customHeight="false" outlineLevel="0" collapsed="false">
      <c r="B1143" s="7" t="n">
        <v>42048</v>
      </c>
      <c r="C1143" s="7" t="n">
        <f aca="false">B1143-WEEKDAY(B1143)+1</f>
        <v>42043</v>
      </c>
      <c r="D1143" s="1" t="e">
        <f aca="false" t="array" ref="D1143:D1143">IF(ISBLANK(_xlfn.xlookup(D$3,daily_items,_xlfn.xlookup($C1143,daily_dates,big_daily_table))),NA(),_xlfn.xlookup(D$3,daily_items,_xlfn.xlookup($C1143,daily_dates,big_daily_table)))</f>
        <v>#NAME?</v>
      </c>
      <c r="E1143" s="1" t="e">
        <f aca="false" t="array" ref="E1143:E1143">IF(ISBLANK(_xlfn.xlookup(E$3,daily_items,_xlfn.xlookup($C1143,daily_dates,big_daily_table))),NA(),_xlfn.xlookup(E$3,daily_items,_xlfn.xlookup($C1143,daily_dates,big_daily_table)))</f>
        <v>#NAME?</v>
      </c>
    </row>
    <row r="1144" customFormat="false" ht="14.25" hidden="false" customHeight="false" outlineLevel="0" collapsed="false">
      <c r="B1144" s="7" t="n">
        <v>42049</v>
      </c>
      <c r="C1144" s="7" t="n">
        <f aca="false">B1144-WEEKDAY(B1144)+1</f>
        <v>42043</v>
      </c>
      <c r="D1144" s="1" t="e">
        <f aca="false" t="array" ref="D1144:D1144">IF(ISBLANK(_xlfn.xlookup(D$3,daily_items,_xlfn.xlookup($C1144,daily_dates,big_daily_table))),NA(),_xlfn.xlookup(D$3,daily_items,_xlfn.xlookup($C1144,daily_dates,big_daily_table)))</f>
        <v>#NAME?</v>
      </c>
      <c r="E1144" s="1" t="e">
        <f aca="false" t="array" ref="E1144:E1144">IF(ISBLANK(_xlfn.xlookup(E$3,daily_items,_xlfn.xlookup($C1144,daily_dates,big_daily_table))),NA(),_xlfn.xlookup(E$3,daily_items,_xlfn.xlookup($C1144,daily_dates,big_daily_table)))</f>
        <v>#NAME?</v>
      </c>
    </row>
    <row r="1145" customFormat="false" ht="14.25" hidden="false" customHeight="false" outlineLevel="0" collapsed="false">
      <c r="B1145" s="7" t="n">
        <v>42050</v>
      </c>
      <c r="C1145" s="7" t="n">
        <f aca="false">B1145-WEEKDAY(B1145)+1</f>
        <v>42050</v>
      </c>
      <c r="D1145" s="1" t="e">
        <f aca="false" t="array" ref="D1145:D1145">IF(ISBLANK(_xlfn.xlookup(D$3,daily_items,_xlfn.xlookup($C1145,daily_dates,big_daily_table))),NA(),_xlfn.xlookup(D$3,daily_items,_xlfn.xlookup($C1145,daily_dates,big_daily_table)))</f>
        <v>#NAME?</v>
      </c>
      <c r="E1145" s="1" t="e">
        <f aca="false" t="array" ref="E1145:E1145">IF(ISBLANK(_xlfn.xlookup(E$3,daily_items,_xlfn.xlookup($C1145,daily_dates,big_daily_table))),NA(),_xlfn.xlookup(E$3,daily_items,_xlfn.xlookup($C1145,daily_dates,big_daily_table)))</f>
        <v>#NAME?</v>
      </c>
    </row>
    <row r="1146" customFormat="false" ht="14.25" hidden="false" customHeight="false" outlineLevel="0" collapsed="false">
      <c r="B1146" s="7" t="n">
        <v>42051</v>
      </c>
      <c r="C1146" s="7" t="n">
        <f aca="false">B1146-WEEKDAY(B1146)+1</f>
        <v>42050</v>
      </c>
      <c r="D1146" s="1" t="e">
        <f aca="false" t="array" ref="D1146:D1146">IF(ISBLANK(_xlfn.xlookup(D$3,daily_items,_xlfn.xlookup($C1146,daily_dates,big_daily_table))),NA(),_xlfn.xlookup(D$3,daily_items,_xlfn.xlookup($C1146,daily_dates,big_daily_table)))</f>
        <v>#NAME?</v>
      </c>
      <c r="E1146" s="1" t="e">
        <f aca="false" t="array" ref="E1146:E1146">IF(ISBLANK(_xlfn.xlookup(E$3,daily_items,_xlfn.xlookup($C1146,daily_dates,big_daily_table))),NA(),_xlfn.xlookup(E$3,daily_items,_xlfn.xlookup($C1146,daily_dates,big_daily_table)))</f>
        <v>#NAME?</v>
      </c>
    </row>
    <row r="1147" customFormat="false" ht="14.25" hidden="false" customHeight="false" outlineLevel="0" collapsed="false">
      <c r="B1147" s="7" t="n">
        <v>42052</v>
      </c>
      <c r="C1147" s="7" t="n">
        <f aca="false">B1147-WEEKDAY(B1147)+1</f>
        <v>42050</v>
      </c>
      <c r="D1147" s="1" t="e">
        <f aca="false" t="array" ref="D1147:D1147">IF(ISBLANK(_xlfn.xlookup(D$3,daily_items,_xlfn.xlookup($C1147,daily_dates,big_daily_table))),NA(),_xlfn.xlookup(D$3,daily_items,_xlfn.xlookup($C1147,daily_dates,big_daily_table)))</f>
        <v>#NAME?</v>
      </c>
      <c r="E1147" s="1" t="e">
        <f aca="false" t="array" ref="E1147:E1147">IF(ISBLANK(_xlfn.xlookup(E$3,daily_items,_xlfn.xlookup($C1147,daily_dates,big_daily_table))),NA(),_xlfn.xlookup(E$3,daily_items,_xlfn.xlookup($C1147,daily_dates,big_daily_table)))</f>
        <v>#NAME?</v>
      </c>
    </row>
    <row r="1148" customFormat="false" ht="14.25" hidden="false" customHeight="false" outlineLevel="0" collapsed="false">
      <c r="B1148" s="7" t="n">
        <v>42053</v>
      </c>
      <c r="C1148" s="7" t="n">
        <f aca="false">B1148-WEEKDAY(B1148)+1</f>
        <v>42050</v>
      </c>
      <c r="D1148" s="1" t="e">
        <f aca="false" t="array" ref="D1148:D1148">IF(ISBLANK(_xlfn.xlookup(D$3,daily_items,_xlfn.xlookup($C1148,daily_dates,big_daily_table))),NA(),_xlfn.xlookup(D$3,daily_items,_xlfn.xlookup($C1148,daily_dates,big_daily_table)))</f>
        <v>#NAME?</v>
      </c>
      <c r="E1148" s="1" t="e">
        <f aca="false" t="array" ref="E1148:E1148">IF(ISBLANK(_xlfn.xlookup(E$3,daily_items,_xlfn.xlookup($C1148,daily_dates,big_daily_table))),NA(),_xlfn.xlookup(E$3,daily_items,_xlfn.xlookup($C1148,daily_dates,big_daily_table)))</f>
        <v>#NAME?</v>
      </c>
    </row>
    <row r="1149" customFormat="false" ht="14.25" hidden="false" customHeight="false" outlineLevel="0" collapsed="false">
      <c r="B1149" s="7" t="n">
        <v>42054</v>
      </c>
      <c r="C1149" s="7" t="n">
        <f aca="false">B1149-WEEKDAY(B1149)+1</f>
        <v>42050</v>
      </c>
      <c r="D1149" s="1" t="e">
        <f aca="false" t="array" ref="D1149:D1149">IF(ISBLANK(_xlfn.xlookup(D$3,daily_items,_xlfn.xlookup($C1149,daily_dates,big_daily_table))),NA(),_xlfn.xlookup(D$3,daily_items,_xlfn.xlookup($C1149,daily_dates,big_daily_table)))</f>
        <v>#NAME?</v>
      </c>
      <c r="E1149" s="1" t="e">
        <f aca="false" t="array" ref="E1149:E1149">IF(ISBLANK(_xlfn.xlookup(E$3,daily_items,_xlfn.xlookup($C1149,daily_dates,big_daily_table))),NA(),_xlfn.xlookup(E$3,daily_items,_xlfn.xlookup($C1149,daily_dates,big_daily_table)))</f>
        <v>#NAME?</v>
      </c>
    </row>
    <row r="1150" customFormat="false" ht="14.25" hidden="false" customHeight="false" outlineLevel="0" collapsed="false">
      <c r="B1150" s="7" t="n">
        <v>42055</v>
      </c>
      <c r="C1150" s="7" t="n">
        <f aca="false">B1150-WEEKDAY(B1150)+1</f>
        <v>42050</v>
      </c>
      <c r="D1150" s="1" t="e">
        <f aca="false" t="array" ref="D1150:D1150">IF(ISBLANK(_xlfn.xlookup(D$3,daily_items,_xlfn.xlookup($C1150,daily_dates,big_daily_table))),NA(),_xlfn.xlookup(D$3,daily_items,_xlfn.xlookup($C1150,daily_dates,big_daily_table)))</f>
        <v>#NAME?</v>
      </c>
      <c r="E1150" s="1" t="e">
        <f aca="false" t="array" ref="E1150:E1150">IF(ISBLANK(_xlfn.xlookup(E$3,daily_items,_xlfn.xlookup($C1150,daily_dates,big_daily_table))),NA(),_xlfn.xlookup(E$3,daily_items,_xlfn.xlookup($C1150,daily_dates,big_daily_table)))</f>
        <v>#NAME?</v>
      </c>
    </row>
    <row r="1151" customFormat="false" ht="14.25" hidden="false" customHeight="false" outlineLevel="0" collapsed="false">
      <c r="B1151" s="7" t="n">
        <v>42056</v>
      </c>
      <c r="C1151" s="7" t="n">
        <f aca="false">B1151-WEEKDAY(B1151)+1</f>
        <v>42050</v>
      </c>
      <c r="D1151" s="1" t="e">
        <f aca="false" t="array" ref="D1151:D1151">IF(ISBLANK(_xlfn.xlookup(D$3,daily_items,_xlfn.xlookup($C1151,daily_dates,big_daily_table))),NA(),_xlfn.xlookup(D$3,daily_items,_xlfn.xlookup($C1151,daily_dates,big_daily_table)))</f>
        <v>#NAME?</v>
      </c>
      <c r="E1151" s="1" t="e">
        <f aca="false" t="array" ref="E1151:E1151">IF(ISBLANK(_xlfn.xlookup(E$3,daily_items,_xlfn.xlookup($C1151,daily_dates,big_daily_table))),NA(),_xlfn.xlookup(E$3,daily_items,_xlfn.xlookup($C1151,daily_dates,big_daily_table)))</f>
        <v>#NAME?</v>
      </c>
    </row>
    <row r="1152" customFormat="false" ht="14.25" hidden="false" customHeight="false" outlineLevel="0" collapsed="false">
      <c r="B1152" s="7" t="n">
        <v>42057</v>
      </c>
      <c r="C1152" s="7" t="n">
        <f aca="false">B1152-WEEKDAY(B1152)+1</f>
        <v>42057</v>
      </c>
      <c r="D1152" s="1" t="e">
        <f aca="false" t="array" ref="D1152:D1152">IF(ISBLANK(_xlfn.xlookup(D$3,daily_items,_xlfn.xlookup($C1152,daily_dates,big_daily_table))),NA(),_xlfn.xlookup(D$3,daily_items,_xlfn.xlookup($C1152,daily_dates,big_daily_table)))</f>
        <v>#NAME?</v>
      </c>
      <c r="E1152" s="1" t="e">
        <f aca="false" t="array" ref="E1152:E1152">IF(ISBLANK(_xlfn.xlookup(E$3,daily_items,_xlfn.xlookup($C1152,daily_dates,big_daily_table))),NA(),_xlfn.xlookup(E$3,daily_items,_xlfn.xlookup($C1152,daily_dates,big_daily_table)))</f>
        <v>#NAME?</v>
      </c>
    </row>
    <row r="1153" customFormat="false" ht="14.25" hidden="false" customHeight="false" outlineLevel="0" collapsed="false">
      <c r="B1153" s="7" t="n">
        <v>42058</v>
      </c>
      <c r="C1153" s="7" t="n">
        <f aca="false">B1153-WEEKDAY(B1153)+1</f>
        <v>42057</v>
      </c>
      <c r="D1153" s="1" t="e">
        <f aca="false" t="array" ref="D1153:D1153">IF(ISBLANK(_xlfn.xlookup(D$3,daily_items,_xlfn.xlookup($C1153,daily_dates,big_daily_table))),NA(),_xlfn.xlookup(D$3,daily_items,_xlfn.xlookup($C1153,daily_dates,big_daily_table)))</f>
        <v>#NAME?</v>
      </c>
      <c r="E1153" s="1" t="e">
        <f aca="false" t="array" ref="E1153:E1153">IF(ISBLANK(_xlfn.xlookup(E$3,daily_items,_xlfn.xlookup($C1153,daily_dates,big_daily_table))),NA(),_xlfn.xlookup(E$3,daily_items,_xlfn.xlookup($C1153,daily_dates,big_daily_table)))</f>
        <v>#NAME?</v>
      </c>
    </row>
    <row r="1154" customFormat="false" ht="14.25" hidden="false" customHeight="false" outlineLevel="0" collapsed="false">
      <c r="B1154" s="7" t="n">
        <v>42059</v>
      </c>
      <c r="C1154" s="7" t="n">
        <f aca="false">B1154-WEEKDAY(B1154)+1</f>
        <v>42057</v>
      </c>
      <c r="D1154" s="1" t="e">
        <f aca="false" t="array" ref="D1154:D1154">IF(ISBLANK(_xlfn.xlookup(D$3,daily_items,_xlfn.xlookup($C1154,daily_dates,big_daily_table))),NA(),_xlfn.xlookup(D$3,daily_items,_xlfn.xlookup($C1154,daily_dates,big_daily_table)))</f>
        <v>#NAME?</v>
      </c>
      <c r="E1154" s="1" t="e">
        <f aca="false" t="array" ref="E1154:E1154">IF(ISBLANK(_xlfn.xlookup(E$3,daily_items,_xlfn.xlookup($C1154,daily_dates,big_daily_table))),NA(),_xlfn.xlookup(E$3,daily_items,_xlfn.xlookup($C1154,daily_dates,big_daily_table)))</f>
        <v>#NAME?</v>
      </c>
    </row>
    <row r="1155" customFormat="false" ht="14.25" hidden="false" customHeight="false" outlineLevel="0" collapsed="false">
      <c r="B1155" s="7" t="n">
        <v>42060</v>
      </c>
      <c r="C1155" s="7" t="n">
        <f aca="false">B1155-WEEKDAY(B1155)+1</f>
        <v>42057</v>
      </c>
      <c r="D1155" s="1" t="e">
        <f aca="false" t="array" ref="D1155:D1155">IF(ISBLANK(_xlfn.xlookup(D$3,daily_items,_xlfn.xlookup($C1155,daily_dates,big_daily_table))),NA(),_xlfn.xlookup(D$3,daily_items,_xlfn.xlookup($C1155,daily_dates,big_daily_table)))</f>
        <v>#NAME?</v>
      </c>
      <c r="E1155" s="1" t="e">
        <f aca="false" t="array" ref="E1155:E1155">IF(ISBLANK(_xlfn.xlookup(E$3,daily_items,_xlfn.xlookup($C1155,daily_dates,big_daily_table))),NA(),_xlfn.xlookup(E$3,daily_items,_xlfn.xlookup($C1155,daily_dates,big_daily_table)))</f>
        <v>#NAME?</v>
      </c>
    </row>
    <row r="1156" customFormat="false" ht="14.25" hidden="false" customHeight="false" outlineLevel="0" collapsed="false">
      <c r="B1156" s="7" t="n">
        <v>42061</v>
      </c>
      <c r="C1156" s="7" t="n">
        <f aca="false">B1156-WEEKDAY(B1156)+1</f>
        <v>42057</v>
      </c>
      <c r="D1156" s="1" t="e">
        <f aca="false" t="array" ref="D1156:D1156">IF(ISBLANK(_xlfn.xlookup(D$3,daily_items,_xlfn.xlookup($C1156,daily_dates,big_daily_table))),NA(),_xlfn.xlookup(D$3,daily_items,_xlfn.xlookup($C1156,daily_dates,big_daily_table)))</f>
        <v>#NAME?</v>
      </c>
      <c r="E1156" s="1" t="e">
        <f aca="false" t="array" ref="E1156:E1156">IF(ISBLANK(_xlfn.xlookup(E$3,daily_items,_xlfn.xlookup($C1156,daily_dates,big_daily_table))),NA(),_xlfn.xlookup(E$3,daily_items,_xlfn.xlookup($C1156,daily_dates,big_daily_table)))</f>
        <v>#NAME?</v>
      </c>
    </row>
    <row r="1157" customFormat="false" ht="14.25" hidden="false" customHeight="false" outlineLevel="0" collapsed="false">
      <c r="B1157" s="7" t="n">
        <v>42062</v>
      </c>
      <c r="C1157" s="7" t="n">
        <f aca="false">B1157-WEEKDAY(B1157)+1</f>
        <v>42057</v>
      </c>
      <c r="D1157" s="1" t="e">
        <f aca="false" t="array" ref="D1157:D1157">IF(ISBLANK(_xlfn.xlookup(D$3,daily_items,_xlfn.xlookup($C1157,daily_dates,big_daily_table))),NA(),_xlfn.xlookup(D$3,daily_items,_xlfn.xlookup($C1157,daily_dates,big_daily_table)))</f>
        <v>#NAME?</v>
      </c>
      <c r="E1157" s="1" t="e">
        <f aca="false" t="array" ref="E1157:E1157">IF(ISBLANK(_xlfn.xlookup(E$3,daily_items,_xlfn.xlookup($C1157,daily_dates,big_daily_table))),NA(),_xlfn.xlookup(E$3,daily_items,_xlfn.xlookup($C1157,daily_dates,big_daily_table)))</f>
        <v>#NAME?</v>
      </c>
    </row>
    <row r="1158" customFormat="false" ht="14.25" hidden="false" customHeight="false" outlineLevel="0" collapsed="false">
      <c r="B1158" s="7" t="n">
        <v>42063</v>
      </c>
      <c r="C1158" s="7" t="n">
        <f aca="false">B1158-WEEKDAY(B1158)+1</f>
        <v>42057</v>
      </c>
      <c r="D1158" s="1" t="e">
        <f aca="false" t="array" ref="D1158:D1158">IF(ISBLANK(_xlfn.xlookup(D$3,daily_items,_xlfn.xlookup($C1158,daily_dates,big_daily_table))),NA(),_xlfn.xlookup(D$3,daily_items,_xlfn.xlookup($C1158,daily_dates,big_daily_table)))</f>
        <v>#NAME?</v>
      </c>
      <c r="E1158" s="1" t="e">
        <f aca="false" t="array" ref="E1158:E1158">IF(ISBLANK(_xlfn.xlookup(E$3,daily_items,_xlfn.xlookup($C1158,daily_dates,big_daily_table))),NA(),_xlfn.xlookup(E$3,daily_items,_xlfn.xlookup($C1158,daily_dates,big_daily_table)))</f>
        <v>#NAME?</v>
      </c>
    </row>
    <row r="1159" customFormat="false" ht="14.25" hidden="false" customHeight="false" outlineLevel="0" collapsed="false">
      <c r="B1159" s="7" t="n">
        <v>42064</v>
      </c>
      <c r="C1159" s="7" t="n">
        <f aca="false">B1159-WEEKDAY(B1159)+1</f>
        <v>42064</v>
      </c>
      <c r="D1159" s="1" t="e">
        <f aca="false" t="array" ref="D1159:D1159">IF(ISBLANK(_xlfn.xlookup(D$3,daily_items,_xlfn.xlookup($C1159,daily_dates,big_daily_table))),NA(),_xlfn.xlookup(D$3,daily_items,_xlfn.xlookup($C1159,daily_dates,big_daily_table)))</f>
        <v>#NAME?</v>
      </c>
      <c r="E1159" s="1" t="e">
        <f aca="false" t="array" ref="E1159:E1159">IF(ISBLANK(_xlfn.xlookup(E$3,daily_items,_xlfn.xlookup($C1159,daily_dates,big_daily_table))),NA(),_xlfn.xlookup(E$3,daily_items,_xlfn.xlookup($C1159,daily_dates,big_daily_table)))</f>
        <v>#NAME?</v>
      </c>
    </row>
    <row r="1160" customFormat="false" ht="14.25" hidden="false" customHeight="false" outlineLevel="0" collapsed="false">
      <c r="B1160" s="7" t="n">
        <v>42065</v>
      </c>
      <c r="C1160" s="7" t="n">
        <f aca="false">B1160-WEEKDAY(B1160)+1</f>
        <v>42064</v>
      </c>
      <c r="D1160" s="1" t="e">
        <f aca="false" t="array" ref="D1160:D1160">IF(ISBLANK(_xlfn.xlookup(D$3,daily_items,_xlfn.xlookup($C1160,daily_dates,big_daily_table))),NA(),_xlfn.xlookup(D$3,daily_items,_xlfn.xlookup($C1160,daily_dates,big_daily_table)))</f>
        <v>#NAME?</v>
      </c>
      <c r="E1160" s="1" t="e">
        <f aca="false" t="array" ref="E1160:E1160">IF(ISBLANK(_xlfn.xlookup(E$3,daily_items,_xlfn.xlookup($C1160,daily_dates,big_daily_table))),NA(),_xlfn.xlookup(E$3,daily_items,_xlfn.xlookup($C1160,daily_dates,big_daily_table)))</f>
        <v>#NAME?</v>
      </c>
    </row>
    <row r="1161" customFormat="false" ht="14.25" hidden="false" customHeight="false" outlineLevel="0" collapsed="false">
      <c r="B1161" s="7" t="n">
        <v>42066</v>
      </c>
      <c r="C1161" s="7" t="n">
        <f aca="false">B1161-WEEKDAY(B1161)+1</f>
        <v>42064</v>
      </c>
      <c r="D1161" s="1" t="e">
        <f aca="false" t="array" ref="D1161:D1161">IF(ISBLANK(_xlfn.xlookup(D$3,daily_items,_xlfn.xlookup($C1161,daily_dates,big_daily_table))),NA(),_xlfn.xlookup(D$3,daily_items,_xlfn.xlookup($C1161,daily_dates,big_daily_table)))</f>
        <v>#NAME?</v>
      </c>
      <c r="E1161" s="1" t="e">
        <f aca="false" t="array" ref="E1161:E1161">IF(ISBLANK(_xlfn.xlookup(E$3,daily_items,_xlfn.xlookup($C1161,daily_dates,big_daily_table))),NA(),_xlfn.xlookup(E$3,daily_items,_xlfn.xlookup($C1161,daily_dates,big_daily_table)))</f>
        <v>#NAME?</v>
      </c>
    </row>
    <row r="1162" customFormat="false" ht="14.25" hidden="false" customHeight="false" outlineLevel="0" collapsed="false">
      <c r="B1162" s="7" t="n">
        <v>42067</v>
      </c>
      <c r="C1162" s="7" t="n">
        <f aca="false">B1162-WEEKDAY(B1162)+1</f>
        <v>42064</v>
      </c>
      <c r="D1162" s="1" t="e">
        <f aca="false" t="array" ref="D1162:D1162">IF(ISBLANK(_xlfn.xlookup(D$3,daily_items,_xlfn.xlookup($C1162,daily_dates,big_daily_table))),NA(),_xlfn.xlookup(D$3,daily_items,_xlfn.xlookup($C1162,daily_dates,big_daily_table)))</f>
        <v>#NAME?</v>
      </c>
      <c r="E1162" s="1" t="e">
        <f aca="false" t="array" ref="E1162:E1162">IF(ISBLANK(_xlfn.xlookup(E$3,daily_items,_xlfn.xlookup($C1162,daily_dates,big_daily_table))),NA(),_xlfn.xlookup(E$3,daily_items,_xlfn.xlookup($C1162,daily_dates,big_daily_table)))</f>
        <v>#NAME?</v>
      </c>
    </row>
    <row r="1163" customFormat="false" ht="14.25" hidden="false" customHeight="false" outlineLevel="0" collapsed="false">
      <c r="B1163" s="7" t="n">
        <v>42068</v>
      </c>
      <c r="C1163" s="7" t="n">
        <f aca="false">B1163-WEEKDAY(B1163)+1</f>
        <v>42064</v>
      </c>
      <c r="D1163" s="1" t="e">
        <f aca="false" t="array" ref="D1163:D1163">IF(ISBLANK(_xlfn.xlookup(D$3,daily_items,_xlfn.xlookup($C1163,daily_dates,big_daily_table))),NA(),_xlfn.xlookup(D$3,daily_items,_xlfn.xlookup($C1163,daily_dates,big_daily_table)))</f>
        <v>#NAME?</v>
      </c>
      <c r="E1163" s="1" t="e">
        <f aca="false" t="array" ref="E1163:E1163">IF(ISBLANK(_xlfn.xlookup(E$3,daily_items,_xlfn.xlookup($C1163,daily_dates,big_daily_table))),NA(),_xlfn.xlookup(E$3,daily_items,_xlfn.xlookup($C1163,daily_dates,big_daily_table)))</f>
        <v>#NAME?</v>
      </c>
    </row>
    <row r="1164" customFormat="false" ht="14.25" hidden="false" customHeight="false" outlineLevel="0" collapsed="false">
      <c r="B1164" s="7" t="n">
        <v>42069</v>
      </c>
      <c r="C1164" s="7" t="n">
        <f aca="false">B1164-WEEKDAY(B1164)+1</f>
        <v>42064</v>
      </c>
      <c r="D1164" s="1" t="e">
        <f aca="false" t="array" ref="D1164:D1164">IF(ISBLANK(_xlfn.xlookup(D$3,daily_items,_xlfn.xlookup($C1164,daily_dates,big_daily_table))),NA(),_xlfn.xlookup(D$3,daily_items,_xlfn.xlookup($C1164,daily_dates,big_daily_table)))</f>
        <v>#NAME?</v>
      </c>
      <c r="E1164" s="1" t="e">
        <f aca="false" t="array" ref="E1164:E1164">IF(ISBLANK(_xlfn.xlookup(E$3,daily_items,_xlfn.xlookup($C1164,daily_dates,big_daily_table))),NA(),_xlfn.xlookup(E$3,daily_items,_xlfn.xlookup($C1164,daily_dates,big_daily_table)))</f>
        <v>#NAME?</v>
      </c>
    </row>
    <row r="1165" customFormat="false" ht="14.25" hidden="false" customHeight="false" outlineLevel="0" collapsed="false">
      <c r="B1165" s="7" t="n">
        <v>42070</v>
      </c>
      <c r="C1165" s="7" t="n">
        <f aca="false">B1165-WEEKDAY(B1165)+1</f>
        <v>42064</v>
      </c>
      <c r="D1165" s="1" t="e">
        <f aca="false" t="array" ref="D1165:D1165">IF(ISBLANK(_xlfn.xlookup(D$3,daily_items,_xlfn.xlookup($C1165,daily_dates,big_daily_table))),NA(),_xlfn.xlookup(D$3,daily_items,_xlfn.xlookup($C1165,daily_dates,big_daily_table)))</f>
        <v>#NAME?</v>
      </c>
      <c r="E1165" s="1" t="e">
        <f aca="false" t="array" ref="E1165:E1165">IF(ISBLANK(_xlfn.xlookup(E$3,daily_items,_xlfn.xlookup($C1165,daily_dates,big_daily_table))),NA(),_xlfn.xlookup(E$3,daily_items,_xlfn.xlookup($C1165,daily_dates,big_daily_table)))</f>
        <v>#NAME?</v>
      </c>
    </row>
    <row r="1166" customFormat="false" ht="14.25" hidden="false" customHeight="false" outlineLevel="0" collapsed="false">
      <c r="B1166" s="7" t="n">
        <v>42071</v>
      </c>
      <c r="C1166" s="7" t="n">
        <f aca="false">B1166-WEEKDAY(B1166)+1</f>
        <v>42071</v>
      </c>
      <c r="D1166" s="1" t="e">
        <f aca="false" t="array" ref="D1166:D1166">IF(ISBLANK(_xlfn.xlookup(D$3,daily_items,_xlfn.xlookup($C1166,daily_dates,big_daily_table))),NA(),_xlfn.xlookup(D$3,daily_items,_xlfn.xlookup($C1166,daily_dates,big_daily_table)))</f>
        <v>#NAME?</v>
      </c>
      <c r="E1166" s="1" t="e">
        <f aca="false" t="array" ref="E1166:E1166">IF(ISBLANK(_xlfn.xlookup(E$3,daily_items,_xlfn.xlookup($C1166,daily_dates,big_daily_table))),NA(),_xlfn.xlookup(E$3,daily_items,_xlfn.xlookup($C1166,daily_dates,big_daily_table)))</f>
        <v>#NAME?</v>
      </c>
    </row>
    <row r="1167" customFormat="false" ht="14.25" hidden="false" customHeight="false" outlineLevel="0" collapsed="false">
      <c r="B1167" s="7" t="n">
        <v>42072</v>
      </c>
      <c r="C1167" s="7" t="n">
        <f aca="false">B1167-WEEKDAY(B1167)+1</f>
        <v>42071</v>
      </c>
      <c r="D1167" s="1" t="e">
        <f aca="false" t="array" ref="D1167:D1167">IF(ISBLANK(_xlfn.xlookup(D$3,daily_items,_xlfn.xlookup($C1167,daily_dates,big_daily_table))),NA(),_xlfn.xlookup(D$3,daily_items,_xlfn.xlookup($C1167,daily_dates,big_daily_table)))</f>
        <v>#NAME?</v>
      </c>
      <c r="E1167" s="1" t="e">
        <f aca="false" t="array" ref="E1167:E1167">IF(ISBLANK(_xlfn.xlookup(E$3,daily_items,_xlfn.xlookup($C1167,daily_dates,big_daily_table))),NA(),_xlfn.xlookup(E$3,daily_items,_xlfn.xlookup($C1167,daily_dates,big_daily_table)))</f>
        <v>#NAME?</v>
      </c>
    </row>
    <row r="1168" customFormat="false" ht="14.25" hidden="false" customHeight="false" outlineLevel="0" collapsed="false">
      <c r="B1168" s="7" t="n">
        <v>42073</v>
      </c>
      <c r="C1168" s="7" t="n">
        <f aca="false">B1168-WEEKDAY(B1168)+1</f>
        <v>42071</v>
      </c>
      <c r="D1168" s="1" t="e">
        <f aca="false" t="array" ref="D1168:D1168">IF(ISBLANK(_xlfn.xlookup(D$3,daily_items,_xlfn.xlookup($C1168,daily_dates,big_daily_table))),NA(),_xlfn.xlookup(D$3,daily_items,_xlfn.xlookup($C1168,daily_dates,big_daily_table)))</f>
        <v>#NAME?</v>
      </c>
      <c r="E1168" s="1" t="e">
        <f aca="false" t="array" ref="E1168:E1168">IF(ISBLANK(_xlfn.xlookup(E$3,daily_items,_xlfn.xlookup($C1168,daily_dates,big_daily_table))),NA(),_xlfn.xlookup(E$3,daily_items,_xlfn.xlookup($C1168,daily_dates,big_daily_table)))</f>
        <v>#NAME?</v>
      </c>
    </row>
    <row r="1169" customFormat="false" ht="14.25" hidden="false" customHeight="false" outlineLevel="0" collapsed="false">
      <c r="B1169" s="7" t="n">
        <v>42074</v>
      </c>
      <c r="C1169" s="7" t="n">
        <f aca="false">B1169-WEEKDAY(B1169)+1</f>
        <v>42071</v>
      </c>
      <c r="D1169" s="1" t="e">
        <f aca="false" t="array" ref="D1169:D1169">IF(ISBLANK(_xlfn.xlookup(D$3,daily_items,_xlfn.xlookup($C1169,daily_dates,big_daily_table))),NA(),_xlfn.xlookup(D$3,daily_items,_xlfn.xlookup($C1169,daily_dates,big_daily_table)))</f>
        <v>#NAME?</v>
      </c>
      <c r="E1169" s="1" t="e">
        <f aca="false" t="array" ref="E1169:E1169">IF(ISBLANK(_xlfn.xlookup(E$3,daily_items,_xlfn.xlookup($C1169,daily_dates,big_daily_table))),NA(),_xlfn.xlookup(E$3,daily_items,_xlfn.xlookup($C1169,daily_dates,big_daily_table)))</f>
        <v>#NAME?</v>
      </c>
    </row>
    <row r="1170" customFormat="false" ht="14.25" hidden="false" customHeight="false" outlineLevel="0" collapsed="false">
      <c r="B1170" s="7" t="n">
        <v>42075</v>
      </c>
      <c r="C1170" s="7" t="n">
        <f aca="false">B1170-WEEKDAY(B1170)+1</f>
        <v>42071</v>
      </c>
      <c r="D1170" s="1" t="e">
        <f aca="false" t="array" ref="D1170:D1170">IF(ISBLANK(_xlfn.xlookup(D$3,daily_items,_xlfn.xlookup($C1170,daily_dates,big_daily_table))),NA(),_xlfn.xlookup(D$3,daily_items,_xlfn.xlookup($C1170,daily_dates,big_daily_table)))</f>
        <v>#NAME?</v>
      </c>
      <c r="E1170" s="1" t="e">
        <f aca="false" t="array" ref="E1170:E1170">IF(ISBLANK(_xlfn.xlookup(E$3,daily_items,_xlfn.xlookup($C1170,daily_dates,big_daily_table))),NA(),_xlfn.xlookup(E$3,daily_items,_xlfn.xlookup($C1170,daily_dates,big_daily_table)))</f>
        <v>#NAME?</v>
      </c>
    </row>
    <row r="1171" customFormat="false" ht="14.25" hidden="false" customHeight="false" outlineLevel="0" collapsed="false">
      <c r="B1171" s="7" t="n">
        <v>42076</v>
      </c>
      <c r="C1171" s="7" t="n">
        <f aca="false">B1171-WEEKDAY(B1171)+1</f>
        <v>42071</v>
      </c>
      <c r="D1171" s="1" t="e">
        <f aca="false" t="array" ref="D1171:D1171">IF(ISBLANK(_xlfn.xlookup(D$3,daily_items,_xlfn.xlookup($C1171,daily_dates,big_daily_table))),NA(),_xlfn.xlookup(D$3,daily_items,_xlfn.xlookup($C1171,daily_dates,big_daily_table)))</f>
        <v>#NAME?</v>
      </c>
      <c r="E1171" s="1" t="e">
        <f aca="false" t="array" ref="E1171:E1171">IF(ISBLANK(_xlfn.xlookup(E$3,daily_items,_xlfn.xlookup($C1171,daily_dates,big_daily_table))),NA(),_xlfn.xlookup(E$3,daily_items,_xlfn.xlookup($C1171,daily_dates,big_daily_table)))</f>
        <v>#NAME?</v>
      </c>
    </row>
    <row r="1172" customFormat="false" ht="14.25" hidden="false" customHeight="false" outlineLevel="0" collapsed="false">
      <c r="B1172" s="7" t="n">
        <v>42077</v>
      </c>
      <c r="C1172" s="7" t="n">
        <f aca="false">B1172-WEEKDAY(B1172)+1</f>
        <v>42071</v>
      </c>
      <c r="D1172" s="1" t="e">
        <f aca="false" t="array" ref="D1172:D1172">IF(ISBLANK(_xlfn.xlookup(D$3,daily_items,_xlfn.xlookup($C1172,daily_dates,big_daily_table))),NA(),_xlfn.xlookup(D$3,daily_items,_xlfn.xlookup($C1172,daily_dates,big_daily_table)))</f>
        <v>#NAME?</v>
      </c>
      <c r="E1172" s="1" t="e">
        <f aca="false" t="array" ref="E1172:E1172">IF(ISBLANK(_xlfn.xlookup(E$3,daily_items,_xlfn.xlookup($C1172,daily_dates,big_daily_table))),NA(),_xlfn.xlookup(E$3,daily_items,_xlfn.xlookup($C1172,daily_dates,big_daily_table)))</f>
        <v>#NAME?</v>
      </c>
    </row>
    <row r="1173" customFormat="false" ht="14.25" hidden="false" customHeight="false" outlineLevel="0" collapsed="false">
      <c r="B1173" s="7" t="n">
        <v>42078</v>
      </c>
      <c r="C1173" s="7" t="n">
        <f aca="false">B1173-WEEKDAY(B1173)+1</f>
        <v>42078</v>
      </c>
      <c r="D1173" s="1" t="e">
        <f aca="false" t="array" ref="D1173:D1173">IF(ISBLANK(_xlfn.xlookup(D$3,daily_items,_xlfn.xlookup($C1173,daily_dates,big_daily_table))),NA(),_xlfn.xlookup(D$3,daily_items,_xlfn.xlookup($C1173,daily_dates,big_daily_table)))</f>
        <v>#NAME?</v>
      </c>
      <c r="E1173" s="1" t="e">
        <f aca="false" t="array" ref="E1173:E1173">IF(ISBLANK(_xlfn.xlookup(E$3,daily_items,_xlfn.xlookup($C1173,daily_dates,big_daily_table))),NA(),_xlfn.xlookup(E$3,daily_items,_xlfn.xlookup($C1173,daily_dates,big_daily_table)))</f>
        <v>#NAME?</v>
      </c>
    </row>
    <row r="1174" customFormat="false" ht="14.25" hidden="false" customHeight="false" outlineLevel="0" collapsed="false">
      <c r="B1174" s="7" t="n">
        <v>42079</v>
      </c>
      <c r="C1174" s="7" t="n">
        <f aca="false">B1174-WEEKDAY(B1174)+1</f>
        <v>42078</v>
      </c>
      <c r="D1174" s="1" t="e">
        <f aca="false" t="array" ref="D1174:D1174">IF(ISBLANK(_xlfn.xlookup(D$3,daily_items,_xlfn.xlookup($C1174,daily_dates,big_daily_table))),NA(),_xlfn.xlookup(D$3,daily_items,_xlfn.xlookup($C1174,daily_dates,big_daily_table)))</f>
        <v>#NAME?</v>
      </c>
      <c r="E1174" s="1" t="e">
        <f aca="false" t="array" ref="E1174:E1174">IF(ISBLANK(_xlfn.xlookup(E$3,daily_items,_xlfn.xlookup($C1174,daily_dates,big_daily_table))),NA(),_xlfn.xlookup(E$3,daily_items,_xlfn.xlookup($C1174,daily_dates,big_daily_table)))</f>
        <v>#NAME?</v>
      </c>
    </row>
    <row r="1175" customFormat="false" ht="14.25" hidden="false" customHeight="false" outlineLevel="0" collapsed="false">
      <c r="B1175" s="7" t="n">
        <v>42080</v>
      </c>
      <c r="C1175" s="7" t="n">
        <f aca="false">B1175-WEEKDAY(B1175)+1</f>
        <v>42078</v>
      </c>
      <c r="D1175" s="1" t="e">
        <f aca="false" t="array" ref="D1175:D1175">IF(ISBLANK(_xlfn.xlookup(D$3,daily_items,_xlfn.xlookup($C1175,daily_dates,big_daily_table))),NA(),_xlfn.xlookup(D$3,daily_items,_xlfn.xlookup($C1175,daily_dates,big_daily_table)))</f>
        <v>#NAME?</v>
      </c>
      <c r="E1175" s="1" t="e">
        <f aca="false" t="array" ref="E1175:E1175">IF(ISBLANK(_xlfn.xlookup(E$3,daily_items,_xlfn.xlookup($C1175,daily_dates,big_daily_table))),NA(),_xlfn.xlookup(E$3,daily_items,_xlfn.xlookup($C1175,daily_dates,big_daily_table)))</f>
        <v>#NAME?</v>
      </c>
    </row>
    <row r="1176" customFormat="false" ht="14.25" hidden="false" customHeight="false" outlineLevel="0" collapsed="false">
      <c r="B1176" s="7" t="n">
        <v>42081</v>
      </c>
      <c r="C1176" s="7" t="n">
        <f aca="false">B1176-WEEKDAY(B1176)+1</f>
        <v>42078</v>
      </c>
      <c r="D1176" s="1" t="e">
        <f aca="false" t="array" ref="D1176:D1176">IF(ISBLANK(_xlfn.xlookup(D$3,daily_items,_xlfn.xlookup($C1176,daily_dates,big_daily_table))),NA(),_xlfn.xlookup(D$3,daily_items,_xlfn.xlookup($C1176,daily_dates,big_daily_table)))</f>
        <v>#NAME?</v>
      </c>
      <c r="E1176" s="1" t="e">
        <f aca="false" t="array" ref="E1176:E1176">IF(ISBLANK(_xlfn.xlookup(E$3,daily_items,_xlfn.xlookup($C1176,daily_dates,big_daily_table))),NA(),_xlfn.xlookup(E$3,daily_items,_xlfn.xlookup($C1176,daily_dates,big_daily_table)))</f>
        <v>#NAME?</v>
      </c>
    </row>
    <row r="1177" customFormat="false" ht="14.25" hidden="false" customHeight="false" outlineLevel="0" collapsed="false">
      <c r="B1177" s="7" t="n">
        <v>42082</v>
      </c>
      <c r="C1177" s="7" t="n">
        <f aca="false">B1177-WEEKDAY(B1177)+1</f>
        <v>42078</v>
      </c>
      <c r="D1177" s="1" t="e">
        <f aca="false" t="array" ref="D1177:D1177">IF(ISBLANK(_xlfn.xlookup(D$3,daily_items,_xlfn.xlookup($C1177,daily_dates,big_daily_table))),NA(),_xlfn.xlookup(D$3,daily_items,_xlfn.xlookup($C1177,daily_dates,big_daily_table)))</f>
        <v>#NAME?</v>
      </c>
      <c r="E1177" s="1" t="e">
        <f aca="false" t="array" ref="E1177:E1177">IF(ISBLANK(_xlfn.xlookup(E$3,daily_items,_xlfn.xlookup($C1177,daily_dates,big_daily_table))),NA(),_xlfn.xlookup(E$3,daily_items,_xlfn.xlookup($C1177,daily_dates,big_daily_table)))</f>
        <v>#NAME?</v>
      </c>
    </row>
    <row r="1178" customFormat="false" ht="14.25" hidden="false" customHeight="false" outlineLevel="0" collapsed="false">
      <c r="B1178" s="7" t="n">
        <v>42083</v>
      </c>
      <c r="C1178" s="7" t="n">
        <f aca="false">B1178-WEEKDAY(B1178)+1</f>
        <v>42078</v>
      </c>
      <c r="D1178" s="1" t="e">
        <f aca="false" t="array" ref="D1178:D1178">IF(ISBLANK(_xlfn.xlookup(D$3,daily_items,_xlfn.xlookup($C1178,daily_dates,big_daily_table))),NA(),_xlfn.xlookup(D$3,daily_items,_xlfn.xlookup($C1178,daily_dates,big_daily_table)))</f>
        <v>#NAME?</v>
      </c>
      <c r="E1178" s="1" t="e">
        <f aca="false" t="array" ref="E1178:E1178">IF(ISBLANK(_xlfn.xlookup(E$3,daily_items,_xlfn.xlookup($C1178,daily_dates,big_daily_table))),NA(),_xlfn.xlookup(E$3,daily_items,_xlfn.xlookup($C1178,daily_dates,big_daily_table)))</f>
        <v>#NAME?</v>
      </c>
    </row>
    <row r="1179" customFormat="false" ht="14.25" hidden="false" customHeight="false" outlineLevel="0" collapsed="false">
      <c r="B1179" s="7" t="n">
        <v>42084</v>
      </c>
      <c r="C1179" s="7" t="n">
        <f aca="false">B1179-WEEKDAY(B1179)+1</f>
        <v>42078</v>
      </c>
      <c r="D1179" s="1" t="e">
        <f aca="false" t="array" ref="D1179:D1179">IF(ISBLANK(_xlfn.xlookup(D$3,daily_items,_xlfn.xlookup($C1179,daily_dates,big_daily_table))),NA(),_xlfn.xlookup(D$3,daily_items,_xlfn.xlookup($C1179,daily_dates,big_daily_table)))</f>
        <v>#NAME?</v>
      </c>
      <c r="E1179" s="1" t="e">
        <f aca="false" t="array" ref="E1179:E1179">IF(ISBLANK(_xlfn.xlookup(E$3,daily_items,_xlfn.xlookup($C1179,daily_dates,big_daily_table))),NA(),_xlfn.xlookup(E$3,daily_items,_xlfn.xlookup($C1179,daily_dates,big_daily_table)))</f>
        <v>#NAME?</v>
      </c>
    </row>
    <row r="1180" customFormat="false" ht="14.25" hidden="false" customHeight="false" outlineLevel="0" collapsed="false">
      <c r="B1180" s="7" t="n">
        <v>42085</v>
      </c>
      <c r="C1180" s="7" t="n">
        <f aca="false">B1180-WEEKDAY(B1180)+1</f>
        <v>42085</v>
      </c>
      <c r="D1180" s="1" t="e">
        <f aca="false" t="array" ref="D1180:D1180">IF(ISBLANK(_xlfn.xlookup(D$3,daily_items,_xlfn.xlookup($C1180,daily_dates,big_daily_table))),NA(),_xlfn.xlookup(D$3,daily_items,_xlfn.xlookup($C1180,daily_dates,big_daily_table)))</f>
        <v>#NAME?</v>
      </c>
      <c r="E1180" s="1" t="e">
        <f aca="false" t="array" ref="E1180:E1180">IF(ISBLANK(_xlfn.xlookup(E$3,daily_items,_xlfn.xlookup($C1180,daily_dates,big_daily_table))),NA(),_xlfn.xlookup(E$3,daily_items,_xlfn.xlookup($C1180,daily_dates,big_daily_table)))</f>
        <v>#NAME?</v>
      </c>
    </row>
    <row r="1181" customFormat="false" ht="14.25" hidden="false" customHeight="false" outlineLevel="0" collapsed="false">
      <c r="B1181" s="7" t="n">
        <v>42086</v>
      </c>
      <c r="C1181" s="7" t="n">
        <f aca="false">B1181-WEEKDAY(B1181)+1</f>
        <v>42085</v>
      </c>
      <c r="D1181" s="1" t="e">
        <f aca="false" t="array" ref="D1181:D1181">IF(ISBLANK(_xlfn.xlookup(D$3,daily_items,_xlfn.xlookup($C1181,daily_dates,big_daily_table))),NA(),_xlfn.xlookup(D$3,daily_items,_xlfn.xlookup($C1181,daily_dates,big_daily_table)))</f>
        <v>#NAME?</v>
      </c>
      <c r="E1181" s="1" t="e">
        <f aca="false" t="array" ref="E1181:E1181">IF(ISBLANK(_xlfn.xlookup(E$3,daily_items,_xlfn.xlookup($C1181,daily_dates,big_daily_table))),NA(),_xlfn.xlookup(E$3,daily_items,_xlfn.xlookup($C1181,daily_dates,big_daily_table)))</f>
        <v>#NAME?</v>
      </c>
    </row>
    <row r="1182" customFormat="false" ht="14.25" hidden="false" customHeight="false" outlineLevel="0" collapsed="false">
      <c r="B1182" s="7" t="n">
        <v>42087</v>
      </c>
      <c r="C1182" s="7" t="n">
        <f aca="false">B1182-WEEKDAY(B1182)+1</f>
        <v>42085</v>
      </c>
      <c r="D1182" s="1" t="e">
        <f aca="false" t="array" ref="D1182:D1182">IF(ISBLANK(_xlfn.xlookup(D$3,daily_items,_xlfn.xlookup($C1182,daily_dates,big_daily_table))),NA(),_xlfn.xlookup(D$3,daily_items,_xlfn.xlookup($C1182,daily_dates,big_daily_table)))</f>
        <v>#NAME?</v>
      </c>
      <c r="E1182" s="1" t="e">
        <f aca="false" t="array" ref="E1182:E1182">IF(ISBLANK(_xlfn.xlookup(E$3,daily_items,_xlfn.xlookup($C1182,daily_dates,big_daily_table))),NA(),_xlfn.xlookup(E$3,daily_items,_xlfn.xlookup($C1182,daily_dates,big_daily_table)))</f>
        <v>#NAME?</v>
      </c>
    </row>
    <row r="1183" customFormat="false" ht="14.25" hidden="false" customHeight="false" outlineLevel="0" collapsed="false">
      <c r="B1183" s="7" t="n">
        <v>42088</v>
      </c>
      <c r="C1183" s="7" t="n">
        <f aca="false">B1183-WEEKDAY(B1183)+1</f>
        <v>42085</v>
      </c>
      <c r="D1183" s="1" t="e">
        <f aca="false" t="array" ref="D1183:D1183">IF(ISBLANK(_xlfn.xlookup(D$3,daily_items,_xlfn.xlookup($C1183,daily_dates,big_daily_table))),NA(),_xlfn.xlookup(D$3,daily_items,_xlfn.xlookup($C1183,daily_dates,big_daily_table)))</f>
        <v>#NAME?</v>
      </c>
      <c r="E1183" s="1" t="e">
        <f aca="false" t="array" ref="E1183:E1183">IF(ISBLANK(_xlfn.xlookup(E$3,daily_items,_xlfn.xlookup($C1183,daily_dates,big_daily_table))),NA(),_xlfn.xlookup(E$3,daily_items,_xlfn.xlookup($C1183,daily_dates,big_daily_table)))</f>
        <v>#NAME?</v>
      </c>
    </row>
    <row r="1184" customFormat="false" ht="14.25" hidden="false" customHeight="false" outlineLevel="0" collapsed="false">
      <c r="B1184" s="7" t="n">
        <v>42089</v>
      </c>
      <c r="C1184" s="7" t="n">
        <f aca="false">B1184-WEEKDAY(B1184)+1</f>
        <v>42085</v>
      </c>
      <c r="D1184" s="1" t="e">
        <f aca="false" t="array" ref="D1184:D1184">IF(ISBLANK(_xlfn.xlookup(D$3,daily_items,_xlfn.xlookup($C1184,daily_dates,big_daily_table))),NA(),_xlfn.xlookup(D$3,daily_items,_xlfn.xlookup($C1184,daily_dates,big_daily_table)))</f>
        <v>#NAME?</v>
      </c>
      <c r="E1184" s="1" t="e">
        <f aca="false" t="array" ref="E1184:E1184">IF(ISBLANK(_xlfn.xlookup(E$3,daily_items,_xlfn.xlookup($C1184,daily_dates,big_daily_table))),NA(),_xlfn.xlookup(E$3,daily_items,_xlfn.xlookup($C1184,daily_dates,big_daily_table)))</f>
        <v>#NAME?</v>
      </c>
    </row>
    <row r="1185" customFormat="false" ht="14.25" hidden="false" customHeight="false" outlineLevel="0" collapsed="false">
      <c r="B1185" s="7" t="n">
        <v>42090</v>
      </c>
      <c r="C1185" s="7" t="n">
        <f aca="false">B1185-WEEKDAY(B1185)+1</f>
        <v>42085</v>
      </c>
      <c r="D1185" s="1" t="e">
        <f aca="false" t="array" ref="D1185:D1185">IF(ISBLANK(_xlfn.xlookup(D$3,daily_items,_xlfn.xlookup($C1185,daily_dates,big_daily_table))),NA(),_xlfn.xlookup(D$3,daily_items,_xlfn.xlookup($C1185,daily_dates,big_daily_table)))</f>
        <v>#NAME?</v>
      </c>
      <c r="E1185" s="1" t="e">
        <f aca="false" t="array" ref="E1185:E1185">IF(ISBLANK(_xlfn.xlookup(E$3,daily_items,_xlfn.xlookup($C1185,daily_dates,big_daily_table))),NA(),_xlfn.xlookup(E$3,daily_items,_xlfn.xlookup($C1185,daily_dates,big_daily_table)))</f>
        <v>#NAME?</v>
      </c>
    </row>
    <row r="1186" customFormat="false" ht="14.25" hidden="false" customHeight="false" outlineLevel="0" collapsed="false">
      <c r="B1186" s="7" t="n">
        <v>42091</v>
      </c>
      <c r="C1186" s="7" t="n">
        <f aca="false">B1186-WEEKDAY(B1186)+1</f>
        <v>42085</v>
      </c>
      <c r="D1186" s="1" t="e">
        <f aca="false" t="array" ref="D1186:D1186">IF(ISBLANK(_xlfn.xlookup(D$3,daily_items,_xlfn.xlookup($C1186,daily_dates,big_daily_table))),NA(),_xlfn.xlookup(D$3,daily_items,_xlfn.xlookup($C1186,daily_dates,big_daily_table)))</f>
        <v>#NAME?</v>
      </c>
      <c r="E1186" s="1" t="e">
        <f aca="false" t="array" ref="E1186:E1186">IF(ISBLANK(_xlfn.xlookup(E$3,daily_items,_xlfn.xlookup($C1186,daily_dates,big_daily_table))),NA(),_xlfn.xlookup(E$3,daily_items,_xlfn.xlookup($C1186,daily_dates,big_daily_table)))</f>
        <v>#NAME?</v>
      </c>
    </row>
    <row r="1187" customFormat="false" ht="14.25" hidden="false" customHeight="false" outlineLevel="0" collapsed="false">
      <c r="B1187" s="7" t="n">
        <v>42092</v>
      </c>
      <c r="C1187" s="7" t="n">
        <f aca="false">B1187-WEEKDAY(B1187)+1</f>
        <v>42092</v>
      </c>
      <c r="D1187" s="1" t="e">
        <f aca="false" t="array" ref="D1187:D1187">IF(ISBLANK(_xlfn.xlookup(D$3,daily_items,_xlfn.xlookup($C1187,daily_dates,big_daily_table))),NA(),_xlfn.xlookup(D$3,daily_items,_xlfn.xlookup($C1187,daily_dates,big_daily_table)))</f>
        <v>#NAME?</v>
      </c>
      <c r="E1187" s="1" t="e">
        <f aca="false" t="array" ref="E1187:E1187">IF(ISBLANK(_xlfn.xlookup(E$3,daily_items,_xlfn.xlookup($C1187,daily_dates,big_daily_table))),NA(),_xlfn.xlookup(E$3,daily_items,_xlfn.xlookup($C1187,daily_dates,big_daily_table)))</f>
        <v>#NAME?</v>
      </c>
    </row>
    <row r="1188" customFormat="false" ht="14.25" hidden="false" customHeight="false" outlineLevel="0" collapsed="false">
      <c r="B1188" s="7" t="n">
        <v>42093</v>
      </c>
      <c r="C1188" s="7" t="n">
        <f aca="false">B1188-WEEKDAY(B1188)+1</f>
        <v>42092</v>
      </c>
      <c r="D1188" s="1" t="e">
        <f aca="false" t="array" ref="D1188:D1188">IF(ISBLANK(_xlfn.xlookup(D$3,daily_items,_xlfn.xlookup($C1188,daily_dates,big_daily_table))),NA(),_xlfn.xlookup(D$3,daily_items,_xlfn.xlookup($C1188,daily_dates,big_daily_table)))</f>
        <v>#NAME?</v>
      </c>
      <c r="E1188" s="1" t="e">
        <f aca="false" t="array" ref="E1188:E1188">IF(ISBLANK(_xlfn.xlookup(E$3,daily_items,_xlfn.xlookup($C1188,daily_dates,big_daily_table))),NA(),_xlfn.xlookup(E$3,daily_items,_xlfn.xlookup($C1188,daily_dates,big_daily_table)))</f>
        <v>#NAME?</v>
      </c>
    </row>
    <row r="1189" customFormat="false" ht="14.25" hidden="false" customHeight="false" outlineLevel="0" collapsed="false">
      <c r="B1189" s="7" t="n">
        <v>42094</v>
      </c>
      <c r="C1189" s="7" t="n">
        <f aca="false">B1189-WEEKDAY(B1189)+1</f>
        <v>42092</v>
      </c>
      <c r="D1189" s="1" t="e">
        <f aca="false" t="array" ref="D1189:D1189">IF(ISBLANK(_xlfn.xlookup(D$3,daily_items,_xlfn.xlookup($C1189,daily_dates,big_daily_table))),NA(),_xlfn.xlookup(D$3,daily_items,_xlfn.xlookup($C1189,daily_dates,big_daily_table)))</f>
        <v>#NAME?</v>
      </c>
      <c r="E1189" s="1" t="e">
        <f aca="false" t="array" ref="E1189:E1189">IF(ISBLANK(_xlfn.xlookup(E$3,daily_items,_xlfn.xlookup($C1189,daily_dates,big_daily_table))),NA(),_xlfn.xlookup(E$3,daily_items,_xlfn.xlookup($C1189,daily_dates,big_daily_table)))</f>
        <v>#NAME?</v>
      </c>
    </row>
    <row r="1190" customFormat="false" ht="14.25" hidden="false" customHeight="false" outlineLevel="0" collapsed="false">
      <c r="B1190" s="7" t="n">
        <v>42095</v>
      </c>
      <c r="C1190" s="7" t="n">
        <f aca="false">B1190-WEEKDAY(B1190)+1</f>
        <v>42092</v>
      </c>
      <c r="D1190" s="1" t="e">
        <f aca="false" t="array" ref="D1190:D1190">IF(ISBLANK(_xlfn.xlookup(D$3,daily_items,_xlfn.xlookup($C1190,daily_dates,big_daily_table))),NA(),_xlfn.xlookup(D$3,daily_items,_xlfn.xlookup($C1190,daily_dates,big_daily_table)))</f>
        <v>#NAME?</v>
      </c>
      <c r="E1190" s="1" t="e">
        <f aca="false" t="array" ref="E1190:E1190">IF(ISBLANK(_xlfn.xlookup(E$3,daily_items,_xlfn.xlookup($C1190,daily_dates,big_daily_table))),NA(),_xlfn.xlookup(E$3,daily_items,_xlfn.xlookup($C1190,daily_dates,big_daily_table)))</f>
        <v>#NAME?</v>
      </c>
    </row>
    <row r="1191" customFormat="false" ht="14.25" hidden="false" customHeight="false" outlineLevel="0" collapsed="false">
      <c r="B1191" s="7" t="n">
        <v>42096</v>
      </c>
      <c r="C1191" s="7" t="n">
        <f aca="false">B1191-WEEKDAY(B1191)+1</f>
        <v>42092</v>
      </c>
      <c r="D1191" s="1" t="e">
        <f aca="false" t="array" ref="D1191:D1191">IF(ISBLANK(_xlfn.xlookup(D$3,daily_items,_xlfn.xlookup($C1191,daily_dates,big_daily_table))),NA(),_xlfn.xlookup(D$3,daily_items,_xlfn.xlookup($C1191,daily_dates,big_daily_table)))</f>
        <v>#NAME?</v>
      </c>
      <c r="E1191" s="1" t="e">
        <f aca="false" t="array" ref="E1191:E1191">IF(ISBLANK(_xlfn.xlookup(E$3,daily_items,_xlfn.xlookup($C1191,daily_dates,big_daily_table))),NA(),_xlfn.xlookup(E$3,daily_items,_xlfn.xlookup($C1191,daily_dates,big_daily_table)))</f>
        <v>#NAME?</v>
      </c>
    </row>
    <row r="1192" customFormat="false" ht="14.25" hidden="false" customHeight="false" outlineLevel="0" collapsed="false">
      <c r="B1192" s="7" t="n">
        <v>42097</v>
      </c>
      <c r="C1192" s="7" t="n">
        <f aca="false">B1192-WEEKDAY(B1192)+1</f>
        <v>42092</v>
      </c>
      <c r="D1192" s="1" t="e">
        <f aca="false" t="array" ref="D1192:D1192">IF(ISBLANK(_xlfn.xlookup(D$3,daily_items,_xlfn.xlookup($C1192,daily_dates,big_daily_table))),NA(),_xlfn.xlookup(D$3,daily_items,_xlfn.xlookup($C1192,daily_dates,big_daily_table)))</f>
        <v>#NAME?</v>
      </c>
      <c r="E1192" s="1" t="e">
        <f aca="false" t="array" ref="E1192:E1192">IF(ISBLANK(_xlfn.xlookup(E$3,daily_items,_xlfn.xlookup($C1192,daily_dates,big_daily_table))),NA(),_xlfn.xlookup(E$3,daily_items,_xlfn.xlookup($C1192,daily_dates,big_daily_table)))</f>
        <v>#NAME?</v>
      </c>
    </row>
    <row r="1193" customFormat="false" ht="14.25" hidden="false" customHeight="false" outlineLevel="0" collapsed="false">
      <c r="B1193" s="7" t="n">
        <v>42098</v>
      </c>
      <c r="C1193" s="7" t="n">
        <f aca="false">B1193-WEEKDAY(B1193)+1</f>
        <v>42092</v>
      </c>
      <c r="D1193" s="1" t="e">
        <f aca="false" t="array" ref="D1193:D1193">IF(ISBLANK(_xlfn.xlookup(D$3,daily_items,_xlfn.xlookup($C1193,daily_dates,big_daily_table))),NA(),_xlfn.xlookup(D$3,daily_items,_xlfn.xlookup($C1193,daily_dates,big_daily_table)))</f>
        <v>#NAME?</v>
      </c>
      <c r="E1193" s="1" t="e">
        <f aca="false" t="array" ref="E1193:E1193">IF(ISBLANK(_xlfn.xlookup(E$3,daily_items,_xlfn.xlookup($C1193,daily_dates,big_daily_table))),NA(),_xlfn.xlookup(E$3,daily_items,_xlfn.xlookup($C1193,daily_dates,big_daily_table)))</f>
        <v>#NAME?</v>
      </c>
    </row>
    <row r="1194" customFormat="false" ht="14.25" hidden="false" customHeight="false" outlineLevel="0" collapsed="false">
      <c r="B1194" s="7" t="n">
        <v>42099</v>
      </c>
      <c r="C1194" s="7" t="n">
        <f aca="false">B1194-WEEKDAY(B1194)+1</f>
        <v>42099</v>
      </c>
      <c r="D1194" s="1" t="e">
        <f aca="false" t="array" ref="D1194:D1194">IF(ISBLANK(_xlfn.xlookup(D$3,daily_items,_xlfn.xlookup($C1194,daily_dates,big_daily_table))),NA(),_xlfn.xlookup(D$3,daily_items,_xlfn.xlookup($C1194,daily_dates,big_daily_table)))</f>
        <v>#NAME?</v>
      </c>
      <c r="E1194" s="1" t="e">
        <f aca="false" t="array" ref="E1194:E1194">IF(ISBLANK(_xlfn.xlookup(E$3,daily_items,_xlfn.xlookup($C1194,daily_dates,big_daily_table))),NA(),_xlfn.xlookup(E$3,daily_items,_xlfn.xlookup($C1194,daily_dates,big_daily_table)))</f>
        <v>#NAME?</v>
      </c>
    </row>
    <row r="1195" customFormat="false" ht="14.25" hidden="false" customHeight="false" outlineLevel="0" collapsed="false">
      <c r="B1195" s="7" t="n">
        <v>42100</v>
      </c>
      <c r="C1195" s="7" t="n">
        <f aca="false">B1195-WEEKDAY(B1195)+1</f>
        <v>42099</v>
      </c>
      <c r="D1195" s="1" t="e">
        <f aca="false" t="array" ref="D1195:D1195">IF(ISBLANK(_xlfn.xlookup(D$3,daily_items,_xlfn.xlookup($C1195,daily_dates,big_daily_table))),NA(),_xlfn.xlookup(D$3,daily_items,_xlfn.xlookup($C1195,daily_dates,big_daily_table)))</f>
        <v>#NAME?</v>
      </c>
      <c r="E1195" s="1" t="e">
        <f aca="false" t="array" ref="E1195:E1195">IF(ISBLANK(_xlfn.xlookup(E$3,daily_items,_xlfn.xlookup($C1195,daily_dates,big_daily_table))),NA(),_xlfn.xlookup(E$3,daily_items,_xlfn.xlookup($C1195,daily_dates,big_daily_table)))</f>
        <v>#NAME?</v>
      </c>
    </row>
    <row r="1196" customFormat="false" ht="14.25" hidden="false" customHeight="false" outlineLevel="0" collapsed="false">
      <c r="B1196" s="7" t="n">
        <v>42101</v>
      </c>
      <c r="C1196" s="7" t="n">
        <f aca="false">B1196-WEEKDAY(B1196)+1</f>
        <v>42099</v>
      </c>
      <c r="D1196" s="1" t="e">
        <f aca="false" t="array" ref="D1196:D1196">IF(ISBLANK(_xlfn.xlookup(D$3,daily_items,_xlfn.xlookup($C1196,daily_dates,big_daily_table))),NA(),_xlfn.xlookup(D$3,daily_items,_xlfn.xlookup($C1196,daily_dates,big_daily_table)))</f>
        <v>#NAME?</v>
      </c>
      <c r="E1196" s="1" t="e">
        <f aca="false" t="array" ref="E1196:E1196">IF(ISBLANK(_xlfn.xlookup(E$3,daily_items,_xlfn.xlookup($C1196,daily_dates,big_daily_table))),NA(),_xlfn.xlookup(E$3,daily_items,_xlfn.xlookup($C1196,daily_dates,big_daily_table)))</f>
        <v>#NAME?</v>
      </c>
    </row>
    <row r="1197" customFormat="false" ht="14.25" hidden="false" customHeight="false" outlineLevel="0" collapsed="false">
      <c r="B1197" s="7" t="n">
        <v>42102</v>
      </c>
      <c r="C1197" s="7" t="n">
        <f aca="false">B1197-WEEKDAY(B1197)+1</f>
        <v>42099</v>
      </c>
      <c r="D1197" s="1" t="e">
        <f aca="false" t="array" ref="D1197:D1197">IF(ISBLANK(_xlfn.xlookup(D$3,daily_items,_xlfn.xlookup($C1197,daily_dates,big_daily_table))),NA(),_xlfn.xlookup(D$3,daily_items,_xlfn.xlookup($C1197,daily_dates,big_daily_table)))</f>
        <v>#NAME?</v>
      </c>
      <c r="E1197" s="1" t="e">
        <f aca="false" t="array" ref="E1197:E1197">IF(ISBLANK(_xlfn.xlookup(E$3,daily_items,_xlfn.xlookup($C1197,daily_dates,big_daily_table))),NA(),_xlfn.xlookup(E$3,daily_items,_xlfn.xlookup($C1197,daily_dates,big_daily_table)))</f>
        <v>#NAME?</v>
      </c>
    </row>
    <row r="1198" customFormat="false" ht="14.25" hidden="false" customHeight="false" outlineLevel="0" collapsed="false">
      <c r="B1198" s="7" t="n">
        <v>42103</v>
      </c>
      <c r="C1198" s="7" t="n">
        <f aca="false">B1198-WEEKDAY(B1198)+1</f>
        <v>42099</v>
      </c>
      <c r="D1198" s="1" t="e">
        <f aca="false" t="array" ref="D1198:D1198">IF(ISBLANK(_xlfn.xlookup(D$3,daily_items,_xlfn.xlookup($C1198,daily_dates,big_daily_table))),NA(),_xlfn.xlookup(D$3,daily_items,_xlfn.xlookup($C1198,daily_dates,big_daily_table)))</f>
        <v>#NAME?</v>
      </c>
      <c r="E1198" s="1" t="e">
        <f aca="false" t="array" ref="E1198:E1198">IF(ISBLANK(_xlfn.xlookup(E$3,daily_items,_xlfn.xlookup($C1198,daily_dates,big_daily_table))),NA(),_xlfn.xlookup(E$3,daily_items,_xlfn.xlookup($C1198,daily_dates,big_daily_table)))</f>
        <v>#NAME?</v>
      </c>
    </row>
    <row r="1199" customFormat="false" ht="14.25" hidden="false" customHeight="false" outlineLevel="0" collapsed="false">
      <c r="B1199" s="7" t="n">
        <v>42104</v>
      </c>
      <c r="C1199" s="7" t="n">
        <f aca="false">B1199-WEEKDAY(B1199)+1</f>
        <v>42099</v>
      </c>
      <c r="D1199" s="1" t="e">
        <f aca="false" t="array" ref="D1199:D1199">IF(ISBLANK(_xlfn.xlookup(D$3,daily_items,_xlfn.xlookup($C1199,daily_dates,big_daily_table))),NA(),_xlfn.xlookup(D$3,daily_items,_xlfn.xlookup($C1199,daily_dates,big_daily_table)))</f>
        <v>#NAME?</v>
      </c>
      <c r="E1199" s="1" t="e">
        <f aca="false" t="array" ref="E1199:E1199">IF(ISBLANK(_xlfn.xlookup(E$3,daily_items,_xlfn.xlookup($C1199,daily_dates,big_daily_table))),NA(),_xlfn.xlookup(E$3,daily_items,_xlfn.xlookup($C1199,daily_dates,big_daily_table)))</f>
        <v>#NAME?</v>
      </c>
    </row>
    <row r="1200" customFormat="false" ht="14.25" hidden="false" customHeight="false" outlineLevel="0" collapsed="false">
      <c r="B1200" s="7" t="n">
        <v>42105</v>
      </c>
      <c r="C1200" s="7" t="n">
        <f aca="false">B1200-WEEKDAY(B1200)+1</f>
        <v>42099</v>
      </c>
      <c r="D1200" s="1" t="e">
        <f aca="false" t="array" ref="D1200:D1200">IF(ISBLANK(_xlfn.xlookup(D$3,daily_items,_xlfn.xlookup($C1200,daily_dates,big_daily_table))),NA(),_xlfn.xlookup(D$3,daily_items,_xlfn.xlookup($C1200,daily_dates,big_daily_table)))</f>
        <v>#NAME?</v>
      </c>
      <c r="E1200" s="1" t="e">
        <f aca="false" t="array" ref="E1200:E1200">IF(ISBLANK(_xlfn.xlookup(E$3,daily_items,_xlfn.xlookup($C1200,daily_dates,big_daily_table))),NA(),_xlfn.xlookup(E$3,daily_items,_xlfn.xlookup($C1200,daily_dates,big_daily_table)))</f>
        <v>#NAME?</v>
      </c>
    </row>
    <row r="1201" customFormat="false" ht="14.25" hidden="false" customHeight="false" outlineLevel="0" collapsed="false">
      <c r="B1201" s="7" t="n">
        <v>42106</v>
      </c>
      <c r="C1201" s="7" t="n">
        <f aca="false">B1201-WEEKDAY(B1201)+1</f>
        <v>42106</v>
      </c>
      <c r="D1201" s="1" t="e">
        <f aca="false" t="array" ref="D1201:D1201">IF(ISBLANK(_xlfn.xlookup(D$3,daily_items,_xlfn.xlookup($C1201,daily_dates,big_daily_table))),NA(),_xlfn.xlookup(D$3,daily_items,_xlfn.xlookup($C1201,daily_dates,big_daily_table)))</f>
        <v>#NAME?</v>
      </c>
      <c r="E1201" s="1" t="e">
        <f aca="false" t="array" ref="E1201:E1201">IF(ISBLANK(_xlfn.xlookup(E$3,daily_items,_xlfn.xlookup($C1201,daily_dates,big_daily_table))),NA(),_xlfn.xlookup(E$3,daily_items,_xlfn.xlookup($C1201,daily_dates,big_daily_table)))</f>
        <v>#NAME?</v>
      </c>
    </row>
    <row r="1202" customFormat="false" ht="14.25" hidden="false" customHeight="false" outlineLevel="0" collapsed="false">
      <c r="B1202" s="7" t="n">
        <v>42107</v>
      </c>
      <c r="C1202" s="7" t="n">
        <f aca="false">B1202-WEEKDAY(B1202)+1</f>
        <v>42106</v>
      </c>
      <c r="D1202" s="1" t="e">
        <f aca="false" t="array" ref="D1202:D1202">IF(ISBLANK(_xlfn.xlookup(D$3,daily_items,_xlfn.xlookup($C1202,daily_dates,big_daily_table))),NA(),_xlfn.xlookup(D$3,daily_items,_xlfn.xlookup($C1202,daily_dates,big_daily_table)))</f>
        <v>#NAME?</v>
      </c>
      <c r="E1202" s="1" t="e">
        <f aca="false" t="array" ref="E1202:E1202">IF(ISBLANK(_xlfn.xlookup(E$3,daily_items,_xlfn.xlookup($C1202,daily_dates,big_daily_table))),NA(),_xlfn.xlookup(E$3,daily_items,_xlfn.xlookup($C1202,daily_dates,big_daily_table)))</f>
        <v>#NAME?</v>
      </c>
    </row>
    <row r="1203" customFormat="false" ht="14.25" hidden="false" customHeight="false" outlineLevel="0" collapsed="false">
      <c r="B1203" s="7" t="n">
        <v>42108</v>
      </c>
      <c r="C1203" s="7" t="n">
        <f aca="false">B1203-WEEKDAY(B1203)+1</f>
        <v>42106</v>
      </c>
      <c r="D1203" s="1" t="e">
        <f aca="false" t="array" ref="D1203:D1203">IF(ISBLANK(_xlfn.xlookup(D$3,daily_items,_xlfn.xlookup($C1203,daily_dates,big_daily_table))),NA(),_xlfn.xlookup(D$3,daily_items,_xlfn.xlookup($C1203,daily_dates,big_daily_table)))</f>
        <v>#NAME?</v>
      </c>
      <c r="E1203" s="1" t="e">
        <f aca="false" t="array" ref="E1203:E1203">IF(ISBLANK(_xlfn.xlookup(E$3,daily_items,_xlfn.xlookup($C1203,daily_dates,big_daily_table))),NA(),_xlfn.xlookup(E$3,daily_items,_xlfn.xlookup($C1203,daily_dates,big_daily_table)))</f>
        <v>#NAME?</v>
      </c>
    </row>
    <row r="1204" customFormat="false" ht="14.25" hidden="false" customHeight="false" outlineLevel="0" collapsed="false">
      <c r="B1204" s="7" t="n">
        <v>42109</v>
      </c>
      <c r="C1204" s="7" t="n">
        <f aca="false">B1204-WEEKDAY(B1204)+1</f>
        <v>42106</v>
      </c>
      <c r="D1204" s="1" t="e">
        <f aca="false" t="array" ref="D1204:D1204">IF(ISBLANK(_xlfn.xlookup(D$3,daily_items,_xlfn.xlookup($C1204,daily_dates,big_daily_table))),NA(),_xlfn.xlookup(D$3,daily_items,_xlfn.xlookup($C1204,daily_dates,big_daily_table)))</f>
        <v>#NAME?</v>
      </c>
      <c r="E1204" s="1" t="e">
        <f aca="false" t="array" ref="E1204:E1204">IF(ISBLANK(_xlfn.xlookup(E$3,daily_items,_xlfn.xlookup($C1204,daily_dates,big_daily_table))),NA(),_xlfn.xlookup(E$3,daily_items,_xlfn.xlookup($C1204,daily_dates,big_daily_table)))</f>
        <v>#NAME?</v>
      </c>
    </row>
    <row r="1205" customFormat="false" ht="14.25" hidden="false" customHeight="false" outlineLevel="0" collapsed="false">
      <c r="B1205" s="7" t="n">
        <v>42110</v>
      </c>
      <c r="C1205" s="7" t="n">
        <f aca="false">B1205-WEEKDAY(B1205)+1</f>
        <v>42106</v>
      </c>
      <c r="D1205" s="1" t="e">
        <f aca="false" t="array" ref="D1205:D1205">IF(ISBLANK(_xlfn.xlookup(D$3,daily_items,_xlfn.xlookup($C1205,daily_dates,big_daily_table))),NA(),_xlfn.xlookup(D$3,daily_items,_xlfn.xlookup($C1205,daily_dates,big_daily_table)))</f>
        <v>#NAME?</v>
      </c>
      <c r="E1205" s="1" t="e">
        <f aca="false" t="array" ref="E1205:E1205">IF(ISBLANK(_xlfn.xlookup(E$3,daily_items,_xlfn.xlookup($C1205,daily_dates,big_daily_table))),NA(),_xlfn.xlookup(E$3,daily_items,_xlfn.xlookup($C1205,daily_dates,big_daily_table)))</f>
        <v>#NAME?</v>
      </c>
    </row>
    <row r="1206" customFormat="false" ht="14.25" hidden="false" customHeight="false" outlineLevel="0" collapsed="false">
      <c r="B1206" s="7" t="n">
        <v>42111</v>
      </c>
      <c r="C1206" s="7" t="n">
        <f aca="false">B1206-WEEKDAY(B1206)+1</f>
        <v>42106</v>
      </c>
      <c r="D1206" s="1" t="e">
        <f aca="false" t="array" ref="D1206:D1206">IF(ISBLANK(_xlfn.xlookup(D$3,daily_items,_xlfn.xlookup($C1206,daily_dates,big_daily_table))),NA(),_xlfn.xlookup(D$3,daily_items,_xlfn.xlookup($C1206,daily_dates,big_daily_table)))</f>
        <v>#NAME?</v>
      </c>
      <c r="E1206" s="1" t="e">
        <f aca="false" t="array" ref="E1206:E1206">IF(ISBLANK(_xlfn.xlookup(E$3,daily_items,_xlfn.xlookup($C1206,daily_dates,big_daily_table))),NA(),_xlfn.xlookup(E$3,daily_items,_xlfn.xlookup($C1206,daily_dates,big_daily_table)))</f>
        <v>#NAME?</v>
      </c>
    </row>
    <row r="1207" customFormat="false" ht="14.25" hidden="false" customHeight="false" outlineLevel="0" collapsed="false">
      <c r="B1207" s="7" t="n">
        <v>42112</v>
      </c>
      <c r="C1207" s="7" t="n">
        <f aca="false">B1207-WEEKDAY(B1207)+1</f>
        <v>42106</v>
      </c>
      <c r="D1207" s="1" t="e">
        <f aca="false" t="array" ref="D1207:D1207">IF(ISBLANK(_xlfn.xlookup(D$3,daily_items,_xlfn.xlookup($C1207,daily_dates,big_daily_table))),NA(),_xlfn.xlookup(D$3,daily_items,_xlfn.xlookup($C1207,daily_dates,big_daily_table)))</f>
        <v>#NAME?</v>
      </c>
      <c r="E1207" s="1" t="e">
        <f aca="false" t="array" ref="E1207:E1207">IF(ISBLANK(_xlfn.xlookup(E$3,daily_items,_xlfn.xlookup($C1207,daily_dates,big_daily_table))),NA(),_xlfn.xlookup(E$3,daily_items,_xlfn.xlookup($C1207,daily_dates,big_daily_table)))</f>
        <v>#NAME?</v>
      </c>
    </row>
    <row r="1208" customFormat="false" ht="14.25" hidden="false" customHeight="false" outlineLevel="0" collapsed="false">
      <c r="B1208" s="7" t="n">
        <v>42113</v>
      </c>
      <c r="C1208" s="7" t="n">
        <f aca="false">B1208-WEEKDAY(B1208)+1</f>
        <v>42113</v>
      </c>
      <c r="D1208" s="1" t="e">
        <f aca="false" t="array" ref="D1208:D1208">IF(ISBLANK(_xlfn.xlookup(D$3,daily_items,_xlfn.xlookup($C1208,daily_dates,big_daily_table))),NA(),_xlfn.xlookup(D$3,daily_items,_xlfn.xlookup($C1208,daily_dates,big_daily_table)))</f>
        <v>#NAME?</v>
      </c>
      <c r="E1208" s="1" t="e">
        <f aca="false" t="array" ref="E1208:E1208">IF(ISBLANK(_xlfn.xlookup(E$3,daily_items,_xlfn.xlookup($C1208,daily_dates,big_daily_table))),NA(),_xlfn.xlookup(E$3,daily_items,_xlfn.xlookup($C1208,daily_dates,big_daily_table)))</f>
        <v>#NAME?</v>
      </c>
    </row>
    <row r="1209" customFormat="false" ht="14.25" hidden="false" customHeight="false" outlineLevel="0" collapsed="false">
      <c r="B1209" s="7" t="n">
        <v>42114</v>
      </c>
      <c r="C1209" s="7" t="n">
        <f aca="false">B1209-WEEKDAY(B1209)+1</f>
        <v>42113</v>
      </c>
      <c r="D1209" s="1" t="e">
        <f aca="false" t="array" ref="D1209:D1209">IF(ISBLANK(_xlfn.xlookup(D$3,daily_items,_xlfn.xlookup($C1209,daily_dates,big_daily_table))),NA(),_xlfn.xlookup(D$3,daily_items,_xlfn.xlookup($C1209,daily_dates,big_daily_table)))</f>
        <v>#NAME?</v>
      </c>
      <c r="E1209" s="1" t="e">
        <f aca="false" t="array" ref="E1209:E1209">IF(ISBLANK(_xlfn.xlookup(E$3,daily_items,_xlfn.xlookup($C1209,daily_dates,big_daily_table))),NA(),_xlfn.xlookup(E$3,daily_items,_xlfn.xlookup($C1209,daily_dates,big_daily_table)))</f>
        <v>#NAME?</v>
      </c>
    </row>
    <row r="1210" customFormat="false" ht="14.25" hidden="false" customHeight="false" outlineLevel="0" collapsed="false">
      <c r="B1210" s="7" t="n">
        <v>42115</v>
      </c>
      <c r="C1210" s="7" t="n">
        <f aca="false">B1210-WEEKDAY(B1210)+1</f>
        <v>42113</v>
      </c>
      <c r="D1210" s="1" t="e">
        <f aca="false" t="array" ref="D1210:D1210">IF(ISBLANK(_xlfn.xlookup(D$3,daily_items,_xlfn.xlookup($C1210,daily_dates,big_daily_table))),NA(),_xlfn.xlookup(D$3,daily_items,_xlfn.xlookup($C1210,daily_dates,big_daily_table)))</f>
        <v>#NAME?</v>
      </c>
      <c r="E1210" s="1" t="e">
        <f aca="false" t="array" ref="E1210:E1210">IF(ISBLANK(_xlfn.xlookup(E$3,daily_items,_xlfn.xlookup($C1210,daily_dates,big_daily_table))),NA(),_xlfn.xlookup(E$3,daily_items,_xlfn.xlookup($C1210,daily_dates,big_daily_table)))</f>
        <v>#NAME?</v>
      </c>
    </row>
    <row r="1211" customFormat="false" ht="14.25" hidden="false" customHeight="false" outlineLevel="0" collapsed="false">
      <c r="B1211" s="7" t="n">
        <v>42116</v>
      </c>
      <c r="C1211" s="7" t="n">
        <f aca="false">B1211-WEEKDAY(B1211)+1</f>
        <v>42113</v>
      </c>
      <c r="D1211" s="1" t="e">
        <f aca="false" t="array" ref="D1211:D1211">IF(ISBLANK(_xlfn.xlookup(D$3,daily_items,_xlfn.xlookup($C1211,daily_dates,big_daily_table))),NA(),_xlfn.xlookup(D$3,daily_items,_xlfn.xlookup($C1211,daily_dates,big_daily_table)))</f>
        <v>#NAME?</v>
      </c>
      <c r="E1211" s="1" t="e">
        <f aca="false" t="array" ref="E1211:E1211">IF(ISBLANK(_xlfn.xlookup(E$3,daily_items,_xlfn.xlookup($C1211,daily_dates,big_daily_table))),NA(),_xlfn.xlookup(E$3,daily_items,_xlfn.xlookup($C1211,daily_dates,big_daily_table)))</f>
        <v>#NAME?</v>
      </c>
    </row>
    <row r="1212" customFormat="false" ht="14.25" hidden="false" customHeight="false" outlineLevel="0" collapsed="false">
      <c r="B1212" s="7" t="n">
        <v>42117</v>
      </c>
      <c r="C1212" s="7" t="n">
        <f aca="false">B1212-WEEKDAY(B1212)+1</f>
        <v>42113</v>
      </c>
      <c r="D1212" s="1" t="e">
        <f aca="false" t="array" ref="D1212:D1212">IF(ISBLANK(_xlfn.xlookup(D$3,daily_items,_xlfn.xlookup($C1212,daily_dates,big_daily_table))),NA(),_xlfn.xlookup(D$3,daily_items,_xlfn.xlookup($C1212,daily_dates,big_daily_table)))</f>
        <v>#NAME?</v>
      </c>
      <c r="E1212" s="1" t="e">
        <f aca="false" t="array" ref="E1212:E1212">IF(ISBLANK(_xlfn.xlookup(E$3,daily_items,_xlfn.xlookup($C1212,daily_dates,big_daily_table))),NA(),_xlfn.xlookup(E$3,daily_items,_xlfn.xlookup($C1212,daily_dates,big_daily_table)))</f>
        <v>#NAME?</v>
      </c>
    </row>
    <row r="1213" customFormat="false" ht="14.25" hidden="false" customHeight="false" outlineLevel="0" collapsed="false">
      <c r="B1213" s="7" t="n">
        <v>42118</v>
      </c>
      <c r="C1213" s="7" t="n">
        <f aca="false">B1213-WEEKDAY(B1213)+1</f>
        <v>42113</v>
      </c>
      <c r="D1213" s="1" t="e">
        <f aca="false" t="array" ref="D1213:D1213">IF(ISBLANK(_xlfn.xlookup(D$3,daily_items,_xlfn.xlookup($C1213,daily_dates,big_daily_table))),NA(),_xlfn.xlookup(D$3,daily_items,_xlfn.xlookup($C1213,daily_dates,big_daily_table)))</f>
        <v>#NAME?</v>
      </c>
      <c r="E1213" s="1" t="e">
        <f aca="false" t="array" ref="E1213:E1213">IF(ISBLANK(_xlfn.xlookup(E$3,daily_items,_xlfn.xlookup($C1213,daily_dates,big_daily_table))),NA(),_xlfn.xlookup(E$3,daily_items,_xlfn.xlookup($C1213,daily_dates,big_daily_table)))</f>
        <v>#NAME?</v>
      </c>
    </row>
    <row r="1214" customFormat="false" ht="14.25" hidden="false" customHeight="false" outlineLevel="0" collapsed="false">
      <c r="B1214" s="7" t="n">
        <v>42119</v>
      </c>
      <c r="C1214" s="7" t="n">
        <f aca="false">B1214-WEEKDAY(B1214)+1</f>
        <v>42113</v>
      </c>
      <c r="D1214" s="1" t="e">
        <f aca="false" t="array" ref="D1214:D1214">IF(ISBLANK(_xlfn.xlookup(D$3,daily_items,_xlfn.xlookup($C1214,daily_dates,big_daily_table))),NA(),_xlfn.xlookup(D$3,daily_items,_xlfn.xlookup($C1214,daily_dates,big_daily_table)))</f>
        <v>#NAME?</v>
      </c>
      <c r="E1214" s="1" t="e">
        <f aca="false" t="array" ref="E1214:E1214">IF(ISBLANK(_xlfn.xlookup(E$3,daily_items,_xlfn.xlookup($C1214,daily_dates,big_daily_table))),NA(),_xlfn.xlookup(E$3,daily_items,_xlfn.xlookup($C1214,daily_dates,big_daily_table)))</f>
        <v>#NAME?</v>
      </c>
    </row>
    <row r="1215" customFormat="false" ht="14.25" hidden="false" customHeight="false" outlineLevel="0" collapsed="false">
      <c r="B1215" s="7" t="n">
        <v>42120</v>
      </c>
      <c r="C1215" s="7" t="n">
        <f aca="false">B1215-WEEKDAY(B1215)+1</f>
        <v>42120</v>
      </c>
      <c r="D1215" s="1" t="e">
        <f aca="false" t="array" ref="D1215:D1215">IF(ISBLANK(_xlfn.xlookup(D$3,daily_items,_xlfn.xlookup($C1215,daily_dates,big_daily_table))),NA(),_xlfn.xlookup(D$3,daily_items,_xlfn.xlookup($C1215,daily_dates,big_daily_table)))</f>
        <v>#NAME?</v>
      </c>
      <c r="E1215" s="1" t="e">
        <f aca="false" t="array" ref="E1215:E1215">IF(ISBLANK(_xlfn.xlookup(E$3,daily_items,_xlfn.xlookup($C1215,daily_dates,big_daily_table))),NA(),_xlfn.xlookup(E$3,daily_items,_xlfn.xlookup($C1215,daily_dates,big_daily_table)))</f>
        <v>#NAME?</v>
      </c>
    </row>
    <row r="1216" customFormat="false" ht="14.25" hidden="false" customHeight="false" outlineLevel="0" collapsed="false">
      <c r="B1216" s="7" t="n">
        <v>42121</v>
      </c>
      <c r="C1216" s="7" t="n">
        <f aca="false">B1216-WEEKDAY(B1216)+1</f>
        <v>42120</v>
      </c>
      <c r="D1216" s="1" t="e">
        <f aca="false" t="array" ref="D1216:D1216">IF(ISBLANK(_xlfn.xlookup(D$3,daily_items,_xlfn.xlookup($C1216,daily_dates,big_daily_table))),NA(),_xlfn.xlookup(D$3,daily_items,_xlfn.xlookup($C1216,daily_dates,big_daily_table)))</f>
        <v>#NAME?</v>
      </c>
      <c r="E1216" s="1" t="e">
        <f aca="false" t="array" ref="E1216:E1216">IF(ISBLANK(_xlfn.xlookup(E$3,daily_items,_xlfn.xlookup($C1216,daily_dates,big_daily_table))),NA(),_xlfn.xlookup(E$3,daily_items,_xlfn.xlookup($C1216,daily_dates,big_daily_table)))</f>
        <v>#NAME?</v>
      </c>
    </row>
    <row r="1217" customFormat="false" ht="14.25" hidden="false" customHeight="false" outlineLevel="0" collapsed="false">
      <c r="B1217" s="7" t="n">
        <v>42122</v>
      </c>
      <c r="C1217" s="7" t="n">
        <f aca="false">B1217-WEEKDAY(B1217)+1</f>
        <v>42120</v>
      </c>
      <c r="D1217" s="1" t="e">
        <f aca="false" t="array" ref="D1217:D1217">IF(ISBLANK(_xlfn.xlookup(D$3,daily_items,_xlfn.xlookup($C1217,daily_dates,big_daily_table))),NA(),_xlfn.xlookup(D$3,daily_items,_xlfn.xlookup($C1217,daily_dates,big_daily_table)))</f>
        <v>#NAME?</v>
      </c>
      <c r="E1217" s="1" t="e">
        <f aca="false" t="array" ref="E1217:E1217">IF(ISBLANK(_xlfn.xlookup(E$3,daily_items,_xlfn.xlookup($C1217,daily_dates,big_daily_table))),NA(),_xlfn.xlookup(E$3,daily_items,_xlfn.xlookup($C1217,daily_dates,big_daily_table)))</f>
        <v>#NAME?</v>
      </c>
    </row>
    <row r="1218" customFormat="false" ht="14.25" hidden="false" customHeight="false" outlineLevel="0" collapsed="false">
      <c r="B1218" s="7" t="n">
        <v>42123</v>
      </c>
      <c r="C1218" s="7" t="n">
        <f aca="false">B1218-WEEKDAY(B1218)+1</f>
        <v>42120</v>
      </c>
      <c r="D1218" s="1" t="e">
        <f aca="false" t="array" ref="D1218:D1218">IF(ISBLANK(_xlfn.xlookup(D$3,daily_items,_xlfn.xlookup($C1218,daily_dates,big_daily_table))),NA(),_xlfn.xlookup(D$3,daily_items,_xlfn.xlookup($C1218,daily_dates,big_daily_table)))</f>
        <v>#NAME?</v>
      </c>
      <c r="E1218" s="1" t="e">
        <f aca="false" t="array" ref="E1218:E1218">IF(ISBLANK(_xlfn.xlookup(E$3,daily_items,_xlfn.xlookup($C1218,daily_dates,big_daily_table))),NA(),_xlfn.xlookup(E$3,daily_items,_xlfn.xlookup($C1218,daily_dates,big_daily_table)))</f>
        <v>#NAME?</v>
      </c>
    </row>
    <row r="1219" customFormat="false" ht="14.25" hidden="false" customHeight="false" outlineLevel="0" collapsed="false">
      <c r="B1219" s="7" t="n">
        <v>42124</v>
      </c>
      <c r="C1219" s="7" t="n">
        <f aca="false">B1219-WEEKDAY(B1219)+1</f>
        <v>42120</v>
      </c>
      <c r="D1219" s="1" t="e">
        <f aca="false" t="array" ref="D1219:D1219">IF(ISBLANK(_xlfn.xlookup(D$3,daily_items,_xlfn.xlookup($C1219,daily_dates,big_daily_table))),NA(),_xlfn.xlookup(D$3,daily_items,_xlfn.xlookup($C1219,daily_dates,big_daily_table)))</f>
        <v>#NAME?</v>
      </c>
      <c r="E1219" s="1" t="e">
        <f aca="false" t="array" ref="E1219:E1219">IF(ISBLANK(_xlfn.xlookup(E$3,daily_items,_xlfn.xlookup($C1219,daily_dates,big_daily_table))),NA(),_xlfn.xlookup(E$3,daily_items,_xlfn.xlookup($C1219,daily_dates,big_daily_table)))</f>
        <v>#NAME?</v>
      </c>
    </row>
    <row r="1220" customFormat="false" ht="14.25" hidden="false" customHeight="false" outlineLevel="0" collapsed="false">
      <c r="B1220" s="7" t="n">
        <v>42125</v>
      </c>
      <c r="C1220" s="7" t="n">
        <f aca="false">B1220-WEEKDAY(B1220)+1</f>
        <v>42120</v>
      </c>
      <c r="D1220" s="1" t="e">
        <f aca="false" t="array" ref="D1220:D1220">IF(ISBLANK(_xlfn.xlookup(D$3,daily_items,_xlfn.xlookup($C1220,daily_dates,big_daily_table))),NA(),_xlfn.xlookup(D$3,daily_items,_xlfn.xlookup($C1220,daily_dates,big_daily_table)))</f>
        <v>#NAME?</v>
      </c>
      <c r="E1220" s="1" t="e">
        <f aca="false" t="array" ref="E1220:E1220">IF(ISBLANK(_xlfn.xlookup(E$3,daily_items,_xlfn.xlookup($C1220,daily_dates,big_daily_table))),NA(),_xlfn.xlookup(E$3,daily_items,_xlfn.xlookup($C1220,daily_dates,big_daily_table)))</f>
        <v>#NAME?</v>
      </c>
    </row>
    <row r="1221" customFormat="false" ht="14.25" hidden="false" customHeight="false" outlineLevel="0" collapsed="false">
      <c r="B1221" s="7" t="n">
        <v>42126</v>
      </c>
      <c r="C1221" s="7" t="n">
        <f aca="false">B1221-WEEKDAY(B1221)+1</f>
        <v>42120</v>
      </c>
      <c r="D1221" s="1" t="e">
        <f aca="false" t="array" ref="D1221:D1221">IF(ISBLANK(_xlfn.xlookup(D$3,daily_items,_xlfn.xlookup($C1221,daily_dates,big_daily_table))),NA(),_xlfn.xlookup(D$3,daily_items,_xlfn.xlookup($C1221,daily_dates,big_daily_table)))</f>
        <v>#NAME?</v>
      </c>
      <c r="E1221" s="1" t="e">
        <f aca="false" t="array" ref="E1221:E1221">IF(ISBLANK(_xlfn.xlookup(E$3,daily_items,_xlfn.xlookup($C1221,daily_dates,big_daily_table))),NA(),_xlfn.xlookup(E$3,daily_items,_xlfn.xlookup($C1221,daily_dates,big_daily_table)))</f>
        <v>#NAME?</v>
      </c>
    </row>
    <row r="1222" customFormat="false" ht="14.25" hidden="false" customHeight="false" outlineLevel="0" collapsed="false">
      <c r="B1222" s="7" t="n">
        <v>42127</v>
      </c>
      <c r="C1222" s="7" t="n">
        <f aca="false">B1222-WEEKDAY(B1222)+1</f>
        <v>42127</v>
      </c>
      <c r="D1222" s="1" t="e">
        <f aca="false" t="array" ref="D1222:D1222">IF(ISBLANK(_xlfn.xlookup(D$3,daily_items,_xlfn.xlookup($C1222,daily_dates,big_daily_table))),NA(),_xlfn.xlookup(D$3,daily_items,_xlfn.xlookup($C1222,daily_dates,big_daily_table)))</f>
        <v>#NAME?</v>
      </c>
      <c r="E1222" s="1" t="e">
        <f aca="false" t="array" ref="E1222:E1222">IF(ISBLANK(_xlfn.xlookup(E$3,daily_items,_xlfn.xlookup($C1222,daily_dates,big_daily_table))),NA(),_xlfn.xlookup(E$3,daily_items,_xlfn.xlookup($C1222,daily_dates,big_daily_table)))</f>
        <v>#NAME?</v>
      </c>
    </row>
    <row r="1223" customFormat="false" ht="14.25" hidden="false" customHeight="false" outlineLevel="0" collapsed="false">
      <c r="B1223" s="7" t="n">
        <v>42128</v>
      </c>
      <c r="C1223" s="7" t="n">
        <f aca="false">B1223-WEEKDAY(B1223)+1</f>
        <v>42127</v>
      </c>
      <c r="D1223" s="1" t="e">
        <f aca="false" t="array" ref="D1223:D1223">IF(ISBLANK(_xlfn.xlookup(D$3,daily_items,_xlfn.xlookup($C1223,daily_dates,big_daily_table))),NA(),_xlfn.xlookup(D$3,daily_items,_xlfn.xlookup($C1223,daily_dates,big_daily_table)))</f>
        <v>#NAME?</v>
      </c>
      <c r="E1223" s="1" t="e">
        <f aca="false" t="array" ref="E1223:E1223">IF(ISBLANK(_xlfn.xlookup(E$3,daily_items,_xlfn.xlookup($C1223,daily_dates,big_daily_table))),NA(),_xlfn.xlookup(E$3,daily_items,_xlfn.xlookup($C1223,daily_dates,big_daily_table)))</f>
        <v>#NAME?</v>
      </c>
    </row>
    <row r="1224" customFormat="false" ht="14.25" hidden="false" customHeight="false" outlineLevel="0" collapsed="false">
      <c r="B1224" s="7" t="n">
        <v>42129</v>
      </c>
      <c r="C1224" s="7" t="n">
        <f aca="false">B1224-WEEKDAY(B1224)+1</f>
        <v>42127</v>
      </c>
      <c r="D1224" s="1" t="e">
        <f aca="false" t="array" ref="D1224:D1224">IF(ISBLANK(_xlfn.xlookup(D$3,daily_items,_xlfn.xlookup($C1224,daily_dates,big_daily_table))),NA(),_xlfn.xlookup(D$3,daily_items,_xlfn.xlookup($C1224,daily_dates,big_daily_table)))</f>
        <v>#NAME?</v>
      </c>
      <c r="E1224" s="1" t="e">
        <f aca="false" t="array" ref="E1224:E1224">IF(ISBLANK(_xlfn.xlookup(E$3,daily_items,_xlfn.xlookup($C1224,daily_dates,big_daily_table))),NA(),_xlfn.xlookup(E$3,daily_items,_xlfn.xlookup($C1224,daily_dates,big_daily_table)))</f>
        <v>#NAME?</v>
      </c>
    </row>
    <row r="1225" customFormat="false" ht="14.25" hidden="false" customHeight="false" outlineLevel="0" collapsed="false">
      <c r="B1225" s="7" t="n">
        <v>42130</v>
      </c>
      <c r="C1225" s="7" t="n">
        <f aca="false">B1225-WEEKDAY(B1225)+1</f>
        <v>42127</v>
      </c>
      <c r="D1225" s="1" t="e">
        <f aca="false" t="array" ref="D1225:D1225">IF(ISBLANK(_xlfn.xlookup(D$3,daily_items,_xlfn.xlookup($C1225,daily_dates,big_daily_table))),NA(),_xlfn.xlookup(D$3,daily_items,_xlfn.xlookup($C1225,daily_dates,big_daily_table)))</f>
        <v>#NAME?</v>
      </c>
      <c r="E1225" s="1" t="e">
        <f aca="false" t="array" ref="E1225:E1225">IF(ISBLANK(_xlfn.xlookup(E$3,daily_items,_xlfn.xlookup($C1225,daily_dates,big_daily_table))),NA(),_xlfn.xlookup(E$3,daily_items,_xlfn.xlookup($C1225,daily_dates,big_daily_table)))</f>
        <v>#NAME?</v>
      </c>
    </row>
    <row r="1226" customFormat="false" ht="14.25" hidden="false" customHeight="false" outlineLevel="0" collapsed="false">
      <c r="B1226" s="7" t="n">
        <v>42131</v>
      </c>
      <c r="C1226" s="7" t="n">
        <f aca="false">B1226-WEEKDAY(B1226)+1</f>
        <v>42127</v>
      </c>
      <c r="D1226" s="1" t="e">
        <f aca="false" t="array" ref="D1226:D1226">IF(ISBLANK(_xlfn.xlookup(D$3,daily_items,_xlfn.xlookup($C1226,daily_dates,big_daily_table))),NA(),_xlfn.xlookup(D$3,daily_items,_xlfn.xlookup($C1226,daily_dates,big_daily_table)))</f>
        <v>#NAME?</v>
      </c>
      <c r="E1226" s="1" t="e">
        <f aca="false" t="array" ref="E1226:E1226">IF(ISBLANK(_xlfn.xlookup(E$3,daily_items,_xlfn.xlookup($C1226,daily_dates,big_daily_table))),NA(),_xlfn.xlookup(E$3,daily_items,_xlfn.xlookup($C1226,daily_dates,big_daily_table)))</f>
        <v>#NAME?</v>
      </c>
    </row>
    <row r="1227" customFormat="false" ht="14.25" hidden="false" customHeight="false" outlineLevel="0" collapsed="false">
      <c r="B1227" s="7" t="n">
        <v>42132</v>
      </c>
      <c r="C1227" s="7" t="n">
        <f aca="false">B1227-WEEKDAY(B1227)+1</f>
        <v>42127</v>
      </c>
      <c r="D1227" s="1" t="e">
        <f aca="false" t="array" ref="D1227:D1227">IF(ISBLANK(_xlfn.xlookup(D$3,daily_items,_xlfn.xlookup($C1227,daily_dates,big_daily_table))),NA(),_xlfn.xlookup(D$3,daily_items,_xlfn.xlookup($C1227,daily_dates,big_daily_table)))</f>
        <v>#NAME?</v>
      </c>
      <c r="E1227" s="1" t="e">
        <f aca="false" t="array" ref="E1227:E1227">IF(ISBLANK(_xlfn.xlookup(E$3,daily_items,_xlfn.xlookup($C1227,daily_dates,big_daily_table))),NA(),_xlfn.xlookup(E$3,daily_items,_xlfn.xlookup($C1227,daily_dates,big_daily_table)))</f>
        <v>#NAME?</v>
      </c>
    </row>
    <row r="1228" customFormat="false" ht="14.25" hidden="false" customHeight="false" outlineLevel="0" collapsed="false">
      <c r="B1228" s="7" t="n">
        <v>42133</v>
      </c>
      <c r="C1228" s="7" t="n">
        <f aca="false">B1228-WEEKDAY(B1228)+1</f>
        <v>42127</v>
      </c>
      <c r="D1228" s="1" t="e">
        <f aca="false" t="array" ref="D1228:D1228">IF(ISBLANK(_xlfn.xlookup(D$3,daily_items,_xlfn.xlookup($C1228,daily_dates,big_daily_table))),NA(),_xlfn.xlookup(D$3,daily_items,_xlfn.xlookup($C1228,daily_dates,big_daily_table)))</f>
        <v>#NAME?</v>
      </c>
      <c r="E1228" s="1" t="e">
        <f aca="false" t="array" ref="E1228:E1228">IF(ISBLANK(_xlfn.xlookup(E$3,daily_items,_xlfn.xlookup($C1228,daily_dates,big_daily_table))),NA(),_xlfn.xlookup(E$3,daily_items,_xlfn.xlookup($C1228,daily_dates,big_daily_table)))</f>
        <v>#NAME?</v>
      </c>
    </row>
    <row r="1229" customFormat="false" ht="14.25" hidden="false" customHeight="false" outlineLevel="0" collapsed="false">
      <c r="B1229" s="7" t="n">
        <v>42134</v>
      </c>
      <c r="C1229" s="7" t="n">
        <f aca="false">B1229-WEEKDAY(B1229)+1</f>
        <v>42134</v>
      </c>
      <c r="D1229" s="1" t="e">
        <f aca="false" t="array" ref="D1229:D1229">IF(ISBLANK(_xlfn.xlookup(D$3,daily_items,_xlfn.xlookup($C1229,daily_dates,big_daily_table))),NA(),_xlfn.xlookup(D$3,daily_items,_xlfn.xlookup($C1229,daily_dates,big_daily_table)))</f>
        <v>#NAME?</v>
      </c>
      <c r="E1229" s="1" t="e">
        <f aca="false" t="array" ref="E1229:E1229">IF(ISBLANK(_xlfn.xlookup(E$3,daily_items,_xlfn.xlookup($C1229,daily_dates,big_daily_table))),NA(),_xlfn.xlookup(E$3,daily_items,_xlfn.xlookup($C1229,daily_dates,big_daily_table)))</f>
        <v>#NAME?</v>
      </c>
    </row>
    <row r="1230" customFormat="false" ht="14.25" hidden="false" customHeight="false" outlineLevel="0" collapsed="false">
      <c r="B1230" s="7" t="n">
        <v>42135</v>
      </c>
      <c r="C1230" s="7" t="n">
        <f aca="false">B1230-WEEKDAY(B1230)+1</f>
        <v>42134</v>
      </c>
      <c r="D1230" s="1" t="e">
        <f aca="false" t="array" ref="D1230:D1230">IF(ISBLANK(_xlfn.xlookup(D$3,daily_items,_xlfn.xlookup($C1230,daily_dates,big_daily_table))),NA(),_xlfn.xlookup(D$3,daily_items,_xlfn.xlookup($C1230,daily_dates,big_daily_table)))</f>
        <v>#NAME?</v>
      </c>
      <c r="E1230" s="1" t="e">
        <f aca="false" t="array" ref="E1230:E1230">IF(ISBLANK(_xlfn.xlookup(E$3,daily_items,_xlfn.xlookup($C1230,daily_dates,big_daily_table))),NA(),_xlfn.xlookup(E$3,daily_items,_xlfn.xlookup($C1230,daily_dates,big_daily_table)))</f>
        <v>#NAME?</v>
      </c>
    </row>
    <row r="1231" customFormat="false" ht="14.25" hidden="false" customHeight="false" outlineLevel="0" collapsed="false">
      <c r="B1231" s="7" t="n">
        <v>42136</v>
      </c>
      <c r="C1231" s="7" t="n">
        <f aca="false">B1231-WEEKDAY(B1231)+1</f>
        <v>42134</v>
      </c>
      <c r="D1231" s="1" t="e">
        <f aca="false" t="array" ref="D1231:D1231">IF(ISBLANK(_xlfn.xlookup(D$3,daily_items,_xlfn.xlookup($C1231,daily_dates,big_daily_table))),NA(),_xlfn.xlookup(D$3,daily_items,_xlfn.xlookup($C1231,daily_dates,big_daily_table)))</f>
        <v>#NAME?</v>
      </c>
      <c r="E1231" s="1" t="e">
        <f aca="false" t="array" ref="E1231:E1231">IF(ISBLANK(_xlfn.xlookup(E$3,daily_items,_xlfn.xlookup($C1231,daily_dates,big_daily_table))),NA(),_xlfn.xlookup(E$3,daily_items,_xlfn.xlookup($C1231,daily_dates,big_daily_table)))</f>
        <v>#NAME?</v>
      </c>
    </row>
    <row r="1232" customFormat="false" ht="14.25" hidden="false" customHeight="false" outlineLevel="0" collapsed="false">
      <c r="B1232" s="7" t="n">
        <v>42137</v>
      </c>
      <c r="C1232" s="7" t="n">
        <f aca="false">B1232-WEEKDAY(B1232)+1</f>
        <v>42134</v>
      </c>
      <c r="D1232" s="1" t="e">
        <f aca="false" t="array" ref="D1232:D1232">IF(ISBLANK(_xlfn.xlookup(D$3,daily_items,_xlfn.xlookup($C1232,daily_dates,big_daily_table))),NA(),_xlfn.xlookup(D$3,daily_items,_xlfn.xlookup($C1232,daily_dates,big_daily_table)))</f>
        <v>#NAME?</v>
      </c>
      <c r="E1232" s="1" t="e">
        <f aca="false" t="array" ref="E1232:E1232">IF(ISBLANK(_xlfn.xlookup(E$3,daily_items,_xlfn.xlookup($C1232,daily_dates,big_daily_table))),NA(),_xlfn.xlookup(E$3,daily_items,_xlfn.xlookup($C1232,daily_dates,big_daily_table)))</f>
        <v>#NAME?</v>
      </c>
    </row>
    <row r="1233" customFormat="false" ht="14.25" hidden="false" customHeight="false" outlineLevel="0" collapsed="false">
      <c r="B1233" s="7" t="n">
        <v>42138</v>
      </c>
      <c r="C1233" s="7" t="n">
        <f aca="false">B1233-WEEKDAY(B1233)+1</f>
        <v>42134</v>
      </c>
      <c r="D1233" s="1" t="e">
        <f aca="false" t="array" ref="D1233:D1233">IF(ISBLANK(_xlfn.xlookup(D$3,daily_items,_xlfn.xlookup($C1233,daily_dates,big_daily_table))),NA(),_xlfn.xlookup(D$3,daily_items,_xlfn.xlookup($C1233,daily_dates,big_daily_table)))</f>
        <v>#NAME?</v>
      </c>
      <c r="E1233" s="1" t="e">
        <f aca="false" t="array" ref="E1233:E1233">IF(ISBLANK(_xlfn.xlookup(E$3,daily_items,_xlfn.xlookup($C1233,daily_dates,big_daily_table))),NA(),_xlfn.xlookup(E$3,daily_items,_xlfn.xlookup($C1233,daily_dates,big_daily_table)))</f>
        <v>#NAME?</v>
      </c>
    </row>
    <row r="1234" customFormat="false" ht="14.25" hidden="false" customHeight="false" outlineLevel="0" collapsed="false">
      <c r="B1234" s="7" t="n">
        <v>42139</v>
      </c>
      <c r="C1234" s="7" t="n">
        <f aca="false">B1234-WEEKDAY(B1234)+1</f>
        <v>42134</v>
      </c>
      <c r="D1234" s="1" t="e">
        <f aca="false" t="array" ref="D1234:D1234">IF(ISBLANK(_xlfn.xlookup(D$3,daily_items,_xlfn.xlookup($C1234,daily_dates,big_daily_table))),NA(),_xlfn.xlookup(D$3,daily_items,_xlfn.xlookup($C1234,daily_dates,big_daily_table)))</f>
        <v>#NAME?</v>
      </c>
      <c r="E1234" s="1" t="e">
        <f aca="false" t="array" ref="E1234:E1234">IF(ISBLANK(_xlfn.xlookup(E$3,daily_items,_xlfn.xlookup($C1234,daily_dates,big_daily_table))),NA(),_xlfn.xlookup(E$3,daily_items,_xlfn.xlookup($C1234,daily_dates,big_daily_table)))</f>
        <v>#NAME?</v>
      </c>
    </row>
    <row r="1235" customFormat="false" ht="14.25" hidden="false" customHeight="false" outlineLevel="0" collapsed="false">
      <c r="B1235" s="7" t="n">
        <v>42140</v>
      </c>
      <c r="C1235" s="7" t="n">
        <f aca="false">B1235-WEEKDAY(B1235)+1</f>
        <v>42134</v>
      </c>
      <c r="D1235" s="1" t="e">
        <f aca="false" t="array" ref="D1235:D1235">IF(ISBLANK(_xlfn.xlookup(D$3,daily_items,_xlfn.xlookup($C1235,daily_dates,big_daily_table))),NA(),_xlfn.xlookup(D$3,daily_items,_xlfn.xlookup($C1235,daily_dates,big_daily_table)))</f>
        <v>#NAME?</v>
      </c>
      <c r="E1235" s="1" t="e">
        <f aca="false" t="array" ref="E1235:E1235">IF(ISBLANK(_xlfn.xlookup(E$3,daily_items,_xlfn.xlookup($C1235,daily_dates,big_daily_table))),NA(),_xlfn.xlookup(E$3,daily_items,_xlfn.xlookup($C1235,daily_dates,big_daily_table)))</f>
        <v>#NAME?</v>
      </c>
    </row>
    <row r="1236" customFormat="false" ht="14.25" hidden="false" customHeight="false" outlineLevel="0" collapsed="false">
      <c r="B1236" s="7" t="n">
        <v>42141</v>
      </c>
      <c r="C1236" s="7" t="n">
        <f aca="false">B1236-WEEKDAY(B1236)+1</f>
        <v>42141</v>
      </c>
      <c r="D1236" s="1" t="e">
        <f aca="false" t="array" ref="D1236:D1236">IF(ISBLANK(_xlfn.xlookup(D$3,daily_items,_xlfn.xlookup($C1236,daily_dates,big_daily_table))),NA(),_xlfn.xlookup(D$3,daily_items,_xlfn.xlookup($C1236,daily_dates,big_daily_table)))</f>
        <v>#NAME?</v>
      </c>
      <c r="E1236" s="1" t="e">
        <f aca="false" t="array" ref="E1236:E1236">IF(ISBLANK(_xlfn.xlookup(E$3,daily_items,_xlfn.xlookup($C1236,daily_dates,big_daily_table))),NA(),_xlfn.xlookup(E$3,daily_items,_xlfn.xlookup($C1236,daily_dates,big_daily_table)))</f>
        <v>#NAME?</v>
      </c>
    </row>
    <row r="1237" customFormat="false" ht="14.25" hidden="false" customHeight="false" outlineLevel="0" collapsed="false">
      <c r="B1237" s="7" t="n">
        <v>42142</v>
      </c>
      <c r="C1237" s="7" t="n">
        <f aca="false">B1237-WEEKDAY(B1237)+1</f>
        <v>42141</v>
      </c>
      <c r="D1237" s="1" t="e">
        <f aca="false" t="array" ref="D1237:D1237">IF(ISBLANK(_xlfn.xlookup(D$3,daily_items,_xlfn.xlookup($C1237,daily_dates,big_daily_table))),NA(),_xlfn.xlookup(D$3,daily_items,_xlfn.xlookup($C1237,daily_dates,big_daily_table)))</f>
        <v>#NAME?</v>
      </c>
      <c r="E1237" s="1" t="e">
        <f aca="false" t="array" ref="E1237:E1237">IF(ISBLANK(_xlfn.xlookup(E$3,daily_items,_xlfn.xlookup($C1237,daily_dates,big_daily_table))),NA(),_xlfn.xlookup(E$3,daily_items,_xlfn.xlookup($C1237,daily_dates,big_daily_table)))</f>
        <v>#NAME?</v>
      </c>
    </row>
    <row r="1238" customFormat="false" ht="14.25" hidden="false" customHeight="false" outlineLevel="0" collapsed="false">
      <c r="B1238" s="7" t="n">
        <v>42143</v>
      </c>
      <c r="C1238" s="7" t="n">
        <f aca="false">B1238-WEEKDAY(B1238)+1</f>
        <v>42141</v>
      </c>
      <c r="D1238" s="1" t="e">
        <f aca="false" t="array" ref="D1238:D1238">IF(ISBLANK(_xlfn.xlookup(D$3,daily_items,_xlfn.xlookup($C1238,daily_dates,big_daily_table))),NA(),_xlfn.xlookup(D$3,daily_items,_xlfn.xlookup($C1238,daily_dates,big_daily_table)))</f>
        <v>#NAME?</v>
      </c>
      <c r="E1238" s="1" t="e">
        <f aca="false" t="array" ref="E1238:E1238">IF(ISBLANK(_xlfn.xlookup(E$3,daily_items,_xlfn.xlookup($C1238,daily_dates,big_daily_table))),NA(),_xlfn.xlookup(E$3,daily_items,_xlfn.xlookup($C1238,daily_dates,big_daily_table)))</f>
        <v>#NAME?</v>
      </c>
    </row>
    <row r="1239" customFormat="false" ht="14.25" hidden="false" customHeight="false" outlineLevel="0" collapsed="false">
      <c r="B1239" s="7" t="n">
        <v>42144</v>
      </c>
      <c r="C1239" s="7" t="n">
        <f aca="false">B1239-WEEKDAY(B1239)+1</f>
        <v>42141</v>
      </c>
      <c r="D1239" s="1" t="e">
        <f aca="false" t="array" ref="D1239:D1239">IF(ISBLANK(_xlfn.xlookup(D$3,daily_items,_xlfn.xlookup($C1239,daily_dates,big_daily_table))),NA(),_xlfn.xlookup(D$3,daily_items,_xlfn.xlookup($C1239,daily_dates,big_daily_table)))</f>
        <v>#NAME?</v>
      </c>
      <c r="E1239" s="1" t="e">
        <f aca="false" t="array" ref="E1239:E1239">IF(ISBLANK(_xlfn.xlookup(E$3,daily_items,_xlfn.xlookup($C1239,daily_dates,big_daily_table))),NA(),_xlfn.xlookup(E$3,daily_items,_xlfn.xlookup($C1239,daily_dates,big_daily_table)))</f>
        <v>#NAME?</v>
      </c>
    </row>
    <row r="1240" customFormat="false" ht="14.25" hidden="false" customHeight="false" outlineLevel="0" collapsed="false">
      <c r="B1240" s="7" t="n">
        <v>42145</v>
      </c>
      <c r="C1240" s="7" t="n">
        <f aca="false">B1240-WEEKDAY(B1240)+1</f>
        <v>42141</v>
      </c>
      <c r="D1240" s="1" t="e">
        <f aca="false" t="array" ref="D1240:D1240">IF(ISBLANK(_xlfn.xlookup(D$3,daily_items,_xlfn.xlookup($C1240,daily_dates,big_daily_table))),NA(),_xlfn.xlookup(D$3,daily_items,_xlfn.xlookup($C1240,daily_dates,big_daily_table)))</f>
        <v>#NAME?</v>
      </c>
      <c r="E1240" s="1" t="e">
        <f aca="false" t="array" ref="E1240:E1240">IF(ISBLANK(_xlfn.xlookup(E$3,daily_items,_xlfn.xlookup($C1240,daily_dates,big_daily_table))),NA(),_xlfn.xlookup(E$3,daily_items,_xlfn.xlookup($C1240,daily_dates,big_daily_table)))</f>
        <v>#NAME?</v>
      </c>
    </row>
    <row r="1241" customFormat="false" ht="14.25" hidden="false" customHeight="false" outlineLevel="0" collapsed="false">
      <c r="B1241" s="7" t="n">
        <v>42146</v>
      </c>
      <c r="C1241" s="7" t="n">
        <f aca="false">B1241-WEEKDAY(B1241)+1</f>
        <v>42141</v>
      </c>
      <c r="D1241" s="1" t="e">
        <f aca="false" t="array" ref="D1241:D1241">IF(ISBLANK(_xlfn.xlookup(D$3,daily_items,_xlfn.xlookup($C1241,daily_dates,big_daily_table))),NA(),_xlfn.xlookup(D$3,daily_items,_xlfn.xlookup($C1241,daily_dates,big_daily_table)))</f>
        <v>#NAME?</v>
      </c>
      <c r="E1241" s="1" t="e">
        <f aca="false" t="array" ref="E1241:E1241">IF(ISBLANK(_xlfn.xlookup(E$3,daily_items,_xlfn.xlookup($C1241,daily_dates,big_daily_table))),NA(),_xlfn.xlookup(E$3,daily_items,_xlfn.xlookup($C1241,daily_dates,big_daily_table)))</f>
        <v>#NAME?</v>
      </c>
    </row>
    <row r="1242" customFormat="false" ht="14.25" hidden="false" customHeight="false" outlineLevel="0" collapsed="false">
      <c r="B1242" s="7" t="n">
        <v>42147</v>
      </c>
      <c r="C1242" s="7" t="n">
        <f aca="false">B1242-WEEKDAY(B1242)+1</f>
        <v>42141</v>
      </c>
      <c r="D1242" s="1" t="e">
        <f aca="false" t="array" ref="D1242:D1242">IF(ISBLANK(_xlfn.xlookup(D$3,daily_items,_xlfn.xlookup($C1242,daily_dates,big_daily_table))),NA(),_xlfn.xlookup(D$3,daily_items,_xlfn.xlookup($C1242,daily_dates,big_daily_table)))</f>
        <v>#NAME?</v>
      </c>
      <c r="E1242" s="1" t="e">
        <f aca="false" t="array" ref="E1242:E1242">IF(ISBLANK(_xlfn.xlookup(E$3,daily_items,_xlfn.xlookup($C1242,daily_dates,big_daily_table))),NA(),_xlfn.xlookup(E$3,daily_items,_xlfn.xlookup($C1242,daily_dates,big_daily_table)))</f>
        <v>#NAME?</v>
      </c>
    </row>
    <row r="1243" customFormat="false" ht="14.25" hidden="false" customHeight="false" outlineLevel="0" collapsed="false">
      <c r="B1243" s="7" t="n">
        <v>42148</v>
      </c>
      <c r="C1243" s="7" t="n">
        <f aca="false">B1243-WEEKDAY(B1243)+1</f>
        <v>42148</v>
      </c>
      <c r="D1243" s="1" t="e">
        <f aca="false" t="array" ref="D1243:D1243">IF(ISBLANK(_xlfn.xlookup(D$3,daily_items,_xlfn.xlookup($C1243,daily_dates,big_daily_table))),NA(),_xlfn.xlookup(D$3,daily_items,_xlfn.xlookup($C1243,daily_dates,big_daily_table)))</f>
        <v>#NAME?</v>
      </c>
      <c r="E1243" s="1" t="e">
        <f aca="false" t="array" ref="E1243:E1243">IF(ISBLANK(_xlfn.xlookup(E$3,daily_items,_xlfn.xlookup($C1243,daily_dates,big_daily_table))),NA(),_xlfn.xlookup(E$3,daily_items,_xlfn.xlookup($C1243,daily_dates,big_daily_table)))</f>
        <v>#NAME?</v>
      </c>
    </row>
    <row r="1244" customFormat="false" ht="14.25" hidden="false" customHeight="false" outlineLevel="0" collapsed="false">
      <c r="B1244" s="7" t="n">
        <v>42149</v>
      </c>
      <c r="C1244" s="7" t="n">
        <f aca="false">B1244-WEEKDAY(B1244)+1</f>
        <v>42148</v>
      </c>
      <c r="D1244" s="1" t="e">
        <f aca="false" t="array" ref="D1244:D1244">IF(ISBLANK(_xlfn.xlookup(D$3,daily_items,_xlfn.xlookup($C1244,daily_dates,big_daily_table))),NA(),_xlfn.xlookup(D$3,daily_items,_xlfn.xlookup($C1244,daily_dates,big_daily_table)))</f>
        <v>#NAME?</v>
      </c>
      <c r="E1244" s="1" t="e">
        <f aca="false" t="array" ref="E1244:E1244">IF(ISBLANK(_xlfn.xlookup(E$3,daily_items,_xlfn.xlookup($C1244,daily_dates,big_daily_table))),NA(),_xlfn.xlookup(E$3,daily_items,_xlfn.xlookup($C1244,daily_dates,big_daily_table)))</f>
        <v>#NAME?</v>
      </c>
    </row>
    <row r="1245" customFormat="false" ht="14.25" hidden="false" customHeight="false" outlineLevel="0" collapsed="false">
      <c r="B1245" s="7" t="n">
        <v>42150</v>
      </c>
      <c r="C1245" s="7" t="n">
        <f aca="false">B1245-WEEKDAY(B1245)+1</f>
        <v>42148</v>
      </c>
      <c r="D1245" s="1" t="e">
        <f aca="false" t="array" ref="D1245:D1245">IF(ISBLANK(_xlfn.xlookup(D$3,daily_items,_xlfn.xlookup($C1245,daily_dates,big_daily_table))),NA(),_xlfn.xlookup(D$3,daily_items,_xlfn.xlookup($C1245,daily_dates,big_daily_table)))</f>
        <v>#NAME?</v>
      </c>
      <c r="E1245" s="1" t="e">
        <f aca="false" t="array" ref="E1245:E1245">IF(ISBLANK(_xlfn.xlookup(E$3,daily_items,_xlfn.xlookup($C1245,daily_dates,big_daily_table))),NA(),_xlfn.xlookup(E$3,daily_items,_xlfn.xlookup($C1245,daily_dates,big_daily_table)))</f>
        <v>#NAME?</v>
      </c>
    </row>
    <row r="1246" customFormat="false" ht="14.25" hidden="false" customHeight="false" outlineLevel="0" collapsed="false">
      <c r="B1246" s="7" t="n">
        <v>42151</v>
      </c>
      <c r="C1246" s="7" t="n">
        <f aca="false">B1246-WEEKDAY(B1246)+1</f>
        <v>42148</v>
      </c>
      <c r="D1246" s="1" t="e">
        <f aca="false" t="array" ref="D1246:D1246">IF(ISBLANK(_xlfn.xlookup(D$3,daily_items,_xlfn.xlookup($C1246,daily_dates,big_daily_table))),NA(),_xlfn.xlookup(D$3,daily_items,_xlfn.xlookup($C1246,daily_dates,big_daily_table)))</f>
        <v>#NAME?</v>
      </c>
      <c r="E1246" s="1" t="e">
        <f aca="false" t="array" ref="E1246:E1246">IF(ISBLANK(_xlfn.xlookup(E$3,daily_items,_xlfn.xlookup($C1246,daily_dates,big_daily_table))),NA(),_xlfn.xlookup(E$3,daily_items,_xlfn.xlookup($C1246,daily_dates,big_daily_table)))</f>
        <v>#NAME?</v>
      </c>
    </row>
    <row r="1247" customFormat="false" ht="14.25" hidden="false" customHeight="false" outlineLevel="0" collapsed="false">
      <c r="B1247" s="7" t="n">
        <v>42152</v>
      </c>
      <c r="C1247" s="7" t="n">
        <f aca="false">B1247-WEEKDAY(B1247)+1</f>
        <v>42148</v>
      </c>
      <c r="D1247" s="1" t="e">
        <f aca="false" t="array" ref="D1247:D1247">IF(ISBLANK(_xlfn.xlookup(D$3,daily_items,_xlfn.xlookup($C1247,daily_dates,big_daily_table))),NA(),_xlfn.xlookup(D$3,daily_items,_xlfn.xlookup($C1247,daily_dates,big_daily_table)))</f>
        <v>#NAME?</v>
      </c>
      <c r="E1247" s="1" t="e">
        <f aca="false" t="array" ref="E1247:E1247">IF(ISBLANK(_xlfn.xlookup(E$3,daily_items,_xlfn.xlookup($C1247,daily_dates,big_daily_table))),NA(),_xlfn.xlookup(E$3,daily_items,_xlfn.xlookup($C1247,daily_dates,big_daily_table)))</f>
        <v>#NAME?</v>
      </c>
    </row>
    <row r="1248" customFormat="false" ht="14.25" hidden="false" customHeight="false" outlineLevel="0" collapsed="false">
      <c r="B1248" s="7" t="n">
        <v>42153</v>
      </c>
      <c r="C1248" s="7" t="n">
        <f aca="false">B1248-WEEKDAY(B1248)+1</f>
        <v>42148</v>
      </c>
      <c r="D1248" s="1" t="e">
        <f aca="false" t="array" ref="D1248:D1248">IF(ISBLANK(_xlfn.xlookup(D$3,daily_items,_xlfn.xlookup($C1248,daily_dates,big_daily_table))),NA(),_xlfn.xlookup(D$3,daily_items,_xlfn.xlookup($C1248,daily_dates,big_daily_table)))</f>
        <v>#NAME?</v>
      </c>
      <c r="E1248" s="1" t="e">
        <f aca="false" t="array" ref="E1248:E1248">IF(ISBLANK(_xlfn.xlookup(E$3,daily_items,_xlfn.xlookup($C1248,daily_dates,big_daily_table))),NA(),_xlfn.xlookup(E$3,daily_items,_xlfn.xlookup($C1248,daily_dates,big_daily_table)))</f>
        <v>#NAME?</v>
      </c>
    </row>
    <row r="1249" customFormat="false" ht="14.25" hidden="false" customHeight="false" outlineLevel="0" collapsed="false">
      <c r="B1249" s="7" t="n">
        <v>42154</v>
      </c>
      <c r="C1249" s="7" t="n">
        <f aca="false">B1249-WEEKDAY(B1249)+1</f>
        <v>42148</v>
      </c>
      <c r="D1249" s="1" t="e">
        <f aca="false" t="array" ref="D1249:D1249">IF(ISBLANK(_xlfn.xlookup(D$3,daily_items,_xlfn.xlookup($C1249,daily_dates,big_daily_table))),NA(),_xlfn.xlookup(D$3,daily_items,_xlfn.xlookup($C1249,daily_dates,big_daily_table)))</f>
        <v>#NAME?</v>
      </c>
      <c r="E1249" s="1" t="e">
        <f aca="false" t="array" ref="E1249:E1249">IF(ISBLANK(_xlfn.xlookup(E$3,daily_items,_xlfn.xlookup($C1249,daily_dates,big_daily_table))),NA(),_xlfn.xlookup(E$3,daily_items,_xlfn.xlookup($C1249,daily_dates,big_daily_table)))</f>
        <v>#NAME?</v>
      </c>
    </row>
    <row r="1250" customFormat="false" ht="14.25" hidden="false" customHeight="false" outlineLevel="0" collapsed="false">
      <c r="B1250" s="7" t="n">
        <v>42155</v>
      </c>
      <c r="C1250" s="7" t="n">
        <f aca="false">B1250-WEEKDAY(B1250)+1</f>
        <v>42155</v>
      </c>
      <c r="D1250" s="1" t="e">
        <f aca="false" t="array" ref="D1250:D1250">IF(ISBLANK(_xlfn.xlookup(D$3,daily_items,_xlfn.xlookup($C1250,daily_dates,big_daily_table))),NA(),_xlfn.xlookup(D$3,daily_items,_xlfn.xlookup($C1250,daily_dates,big_daily_table)))</f>
        <v>#NAME?</v>
      </c>
      <c r="E1250" s="1" t="e">
        <f aca="false" t="array" ref="E1250:E1250">IF(ISBLANK(_xlfn.xlookup(E$3,daily_items,_xlfn.xlookup($C1250,daily_dates,big_daily_table))),NA(),_xlfn.xlookup(E$3,daily_items,_xlfn.xlookup($C1250,daily_dates,big_daily_table)))</f>
        <v>#NAME?</v>
      </c>
    </row>
    <row r="1251" customFormat="false" ht="14.25" hidden="false" customHeight="false" outlineLevel="0" collapsed="false">
      <c r="B1251" s="7" t="n">
        <v>42156</v>
      </c>
      <c r="C1251" s="7" t="n">
        <f aca="false">B1251-WEEKDAY(B1251)+1</f>
        <v>42155</v>
      </c>
      <c r="D1251" s="1" t="e">
        <f aca="false" t="array" ref="D1251:D1251">IF(ISBLANK(_xlfn.xlookup(D$3,daily_items,_xlfn.xlookup($C1251,daily_dates,big_daily_table))),NA(),_xlfn.xlookup(D$3,daily_items,_xlfn.xlookup($C1251,daily_dates,big_daily_table)))</f>
        <v>#NAME?</v>
      </c>
      <c r="E1251" s="1" t="e">
        <f aca="false" t="array" ref="E1251:E1251">IF(ISBLANK(_xlfn.xlookup(E$3,daily_items,_xlfn.xlookup($C1251,daily_dates,big_daily_table))),NA(),_xlfn.xlookup(E$3,daily_items,_xlfn.xlookup($C1251,daily_dates,big_daily_table)))</f>
        <v>#NAME?</v>
      </c>
    </row>
    <row r="1252" customFormat="false" ht="14.25" hidden="false" customHeight="false" outlineLevel="0" collapsed="false">
      <c r="B1252" s="7" t="n">
        <v>42157</v>
      </c>
      <c r="C1252" s="7" t="n">
        <f aca="false">B1252-WEEKDAY(B1252)+1</f>
        <v>42155</v>
      </c>
      <c r="D1252" s="1" t="e">
        <f aca="false" t="array" ref="D1252:D1252">IF(ISBLANK(_xlfn.xlookup(D$3,daily_items,_xlfn.xlookup($C1252,daily_dates,big_daily_table))),NA(),_xlfn.xlookup(D$3,daily_items,_xlfn.xlookup($C1252,daily_dates,big_daily_table)))</f>
        <v>#NAME?</v>
      </c>
      <c r="E1252" s="1" t="e">
        <f aca="false" t="array" ref="E1252:E1252">IF(ISBLANK(_xlfn.xlookup(E$3,daily_items,_xlfn.xlookup($C1252,daily_dates,big_daily_table))),NA(),_xlfn.xlookup(E$3,daily_items,_xlfn.xlookup($C1252,daily_dates,big_daily_table)))</f>
        <v>#NAME?</v>
      </c>
    </row>
    <row r="1253" customFormat="false" ht="14.25" hidden="false" customHeight="false" outlineLevel="0" collapsed="false">
      <c r="B1253" s="7" t="n">
        <v>42158</v>
      </c>
      <c r="C1253" s="7" t="n">
        <f aca="false">B1253-WEEKDAY(B1253)+1</f>
        <v>42155</v>
      </c>
      <c r="D1253" s="1" t="e">
        <f aca="false" t="array" ref="D1253:D1253">IF(ISBLANK(_xlfn.xlookup(D$3,daily_items,_xlfn.xlookup($C1253,daily_dates,big_daily_table))),NA(),_xlfn.xlookup(D$3,daily_items,_xlfn.xlookup($C1253,daily_dates,big_daily_table)))</f>
        <v>#NAME?</v>
      </c>
      <c r="E1253" s="1" t="e">
        <f aca="false" t="array" ref="E1253:E1253">IF(ISBLANK(_xlfn.xlookup(E$3,daily_items,_xlfn.xlookup($C1253,daily_dates,big_daily_table))),NA(),_xlfn.xlookup(E$3,daily_items,_xlfn.xlookup($C1253,daily_dates,big_daily_table)))</f>
        <v>#NAME?</v>
      </c>
    </row>
    <row r="1254" customFormat="false" ht="14.25" hidden="false" customHeight="false" outlineLevel="0" collapsed="false">
      <c r="B1254" s="7" t="n">
        <v>42159</v>
      </c>
      <c r="C1254" s="7" t="n">
        <f aca="false">B1254-WEEKDAY(B1254)+1</f>
        <v>42155</v>
      </c>
      <c r="D1254" s="1" t="e">
        <f aca="false" t="array" ref="D1254:D1254">IF(ISBLANK(_xlfn.xlookup(D$3,daily_items,_xlfn.xlookup($C1254,daily_dates,big_daily_table))),NA(),_xlfn.xlookup(D$3,daily_items,_xlfn.xlookup($C1254,daily_dates,big_daily_table)))</f>
        <v>#NAME?</v>
      </c>
      <c r="E1254" s="1" t="e">
        <f aca="false" t="array" ref="E1254:E1254">IF(ISBLANK(_xlfn.xlookup(E$3,daily_items,_xlfn.xlookup($C1254,daily_dates,big_daily_table))),NA(),_xlfn.xlookup(E$3,daily_items,_xlfn.xlookup($C1254,daily_dates,big_daily_table)))</f>
        <v>#NAME?</v>
      </c>
    </row>
    <row r="1255" customFormat="false" ht="14.25" hidden="false" customHeight="false" outlineLevel="0" collapsed="false">
      <c r="B1255" s="7" t="n">
        <v>42160</v>
      </c>
      <c r="C1255" s="7" t="n">
        <f aca="false">B1255-WEEKDAY(B1255)+1</f>
        <v>42155</v>
      </c>
      <c r="D1255" s="1" t="e">
        <f aca="false" t="array" ref="D1255:D1255">IF(ISBLANK(_xlfn.xlookup(D$3,daily_items,_xlfn.xlookup($C1255,daily_dates,big_daily_table))),NA(),_xlfn.xlookup(D$3,daily_items,_xlfn.xlookup($C1255,daily_dates,big_daily_table)))</f>
        <v>#NAME?</v>
      </c>
      <c r="E1255" s="1" t="e">
        <f aca="false" t="array" ref="E1255:E1255">IF(ISBLANK(_xlfn.xlookup(E$3,daily_items,_xlfn.xlookup($C1255,daily_dates,big_daily_table))),NA(),_xlfn.xlookup(E$3,daily_items,_xlfn.xlookup($C1255,daily_dates,big_daily_table)))</f>
        <v>#NAME?</v>
      </c>
    </row>
    <row r="1256" customFormat="false" ht="14.25" hidden="false" customHeight="false" outlineLevel="0" collapsed="false">
      <c r="B1256" s="7" t="n">
        <v>42161</v>
      </c>
      <c r="C1256" s="7" t="n">
        <f aca="false">B1256-WEEKDAY(B1256)+1</f>
        <v>42155</v>
      </c>
      <c r="D1256" s="1" t="e">
        <f aca="false" t="array" ref="D1256:D1256">IF(ISBLANK(_xlfn.xlookup(D$3,daily_items,_xlfn.xlookup($C1256,daily_dates,big_daily_table))),NA(),_xlfn.xlookup(D$3,daily_items,_xlfn.xlookup($C1256,daily_dates,big_daily_table)))</f>
        <v>#NAME?</v>
      </c>
      <c r="E1256" s="1" t="e">
        <f aca="false" t="array" ref="E1256:E1256">IF(ISBLANK(_xlfn.xlookup(E$3,daily_items,_xlfn.xlookup($C1256,daily_dates,big_daily_table))),NA(),_xlfn.xlookup(E$3,daily_items,_xlfn.xlookup($C1256,daily_dates,big_daily_table)))</f>
        <v>#NAME?</v>
      </c>
    </row>
    <row r="1257" customFormat="false" ht="14.25" hidden="false" customHeight="false" outlineLevel="0" collapsed="false">
      <c r="B1257" s="7" t="n">
        <v>42162</v>
      </c>
      <c r="C1257" s="7" t="n">
        <f aca="false">B1257-WEEKDAY(B1257)+1</f>
        <v>42162</v>
      </c>
      <c r="D1257" s="1" t="e">
        <f aca="false" t="array" ref="D1257:D1257">IF(ISBLANK(_xlfn.xlookup(D$3,daily_items,_xlfn.xlookup($C1257,daily_dates,big_daily_table))),NA(),_xlfn.xlookup(D$3,daily_items,_xlfn.xlookup($C1257,daily_dates,big_daily_table)))</f>
        <v>#NAME?</v>
      </c>
      <c r="E1257" s="1" t="e">
        <f aca="false" t="array" ref="E1257:E1257">IF(ISBLANK(_xlfn.xlookup(E$3,daily_items,_xlfn.xlookup($C1257,daily_dates,big_daily_table))),NA(),_xlfn.xlookup(E$3,daily_items,_xlfn.xlookup($C1257,daily_dates,big_daily_table)))</f>
        <v>#NAME?</v>
      </c>
    </row>
    <row r="1258" customFormat="false" ht="14.25" hidden="false" customHeight="false" outlineLevel="0" collapsed="false">
      <c r="B1258" s="7" t="n">
        <v>42163</v>
      </c>
      <c r="C1258" s="7" t="n">
        <f aca="false">B1258-WEEKDAY(B1258)+1</f>
        <v>42162</v>
      </c>
      <c r="D1258" s="1" t="e">
        <f aca="false" t="array" ref="D1258:D1258">IF(ISBLANK(_xlfn.xlookup(D$3,daily_items,_xlfn.xlookup($C1258,daily_dates,big_daily_table))),NA(),_xlfn.xlookup(D$3,daily_items,_xlfn.xlookup($C1258,daily_dates,big_daily_table)))</f>
        <v>#NAME?</v>
      </c>
      <c r="E1258" s="1" t="e">
        <f aca="false" t="array" ref="E1258:E1258">IF(ISBLANK(_xlfn.xlookup(E$3,daily_items,_xlfn.xlookup($C1258,daily_dates,big_daily_table))),NA(),_xlfn.xlookup(E$3,daily_items,_xlfn.xlookup($C1258,daily_dates,big_daily_table)))</f>
        <v>#NAME?</v>
      </c>
    </row>
    <row r="1259" customFormat="false" ht="14.25" hidden="false" customHeight="false" outlineLevel="0" collapsed="false">
      <c r="B1259" s="7" t="n">
        <v>42164</v>
      </c>
      <c r="C1259" s="7" t="n">
        <f aca="false">B1259-WEEKDAY(B1259)+1</f>
        <v>42162</v>
      </c>
      <c r="D1259" s="1" t="e">
        <f aca="false" t="array" ref="D1259:D1259">IF(ISBLANK(_xlfn.xlookup(D$3,daily_items,_xlfn.xlookup($C1259,daily_dates,big_daily_table))),NA(),_xlfn.xlookup(D$3,daily_items,_xlfn.xlookup($C1259,daily_dates,big_daily_table)))</f>
        <v>#NAME?</v>
      </c>
      <c r="E1259" s="1" t="e">
        <f aca="false" t="array" ref="E1259:E1259">IF(ISBLANK(_xlfn.xlookup(E$3,daily_items,_xlfn.xlookup($C1259,daily_dates,big_daily_table))),NA(),_xlfn.xlookup(E$3,daily_items,_xlfn.xlookup($C1259,daily_dates,big_daily_table)))</f>
        <v>#NAME?</v>
      </c>
    </row>
    <row r="1260" customFormat="false" ht="14.25" hidden="false" customHeight="false" outlineLevel="0" collapsed="false">
      <c r="B1260" s="7" t="n">
        <v>42165</v>
      </c>
      <c r="C1260" s="7" t="n">
        <f aca="false">B1260-WEEKDAY(B1260)+1</f>
        <v>42162</v>
      </c>
      <c r="D1260" s="1" t="e">
        <f aca="false" t="array" ref="D1260:D1260">IF(ISBLANK(_xlfn.xlookup(D$3,daily_items,_xlfn.xlookup($C1260,daily_dates,big_daily_table))),NA(),_xlfn.xlookup(D$3,daily_items,_xlfn.xlookup($C1260,daily_dates,big_daily_table)))</f>
        <v>#NAME?</v>
      </c>
      <c r="E1260" s="1" t="e">
        <f aca="false" t="array" ref="E1260:E1260">IF(ISBLANK(_xlfn.xlookup(E$3,daily_items,_xlfn.xlookup($C1260,daily_dates,big_daily_table))),NA(),_xlfn.xlookup(E$3,daily_items,_xlfn.xlookup($C1260,daily_dates,big_daily_table)))</f>
        <v>#NAME?</v>
      </c>
    </row>
    <row r="1261" customFormat="false" ht="14.25" hidden="false" customHeight="false" outlineLevel="0" collapsed="false">
      <c r="B1261" s="7" t="n">
        <v>42166</v>
      </c>
      <c r="C1261" s="7" t="n">
        <f aca="false">B1261-WEEKDAY(B1261)+1</f>
        <v>42162</v>
      </c>
      <c r="D1261" s="1" t="e">
        <f aca="false" t="array" ref="D1261:D1261">IF(ISBLANK(_xlfn.xlookup(D$3,daily_items,_xlfn.xlookup($C1261,daily_dates,big_daily_table))),NA(),_xlfn.xlookup(D$3,daily_items,_xlfn.xlookup($C1261,daily_dates,big_daily_table)))</f>
        <v>#NAME?</v>
      </c>
      <c r="E1261" s="1" t="e">
        <f aca="false" t="array" ref="E1261:E1261">IF(ISBLANK(_xlfn.xlookup(E$3,daily_items,_xlfn.xlookup($C1261,daily_dates,big_daily_table))),NA(),_xlfn.xlookup(E$3,daily_items,_xlfn.xlookup($C1261,daily_dates,big_daily_table)))</f>
        <v>#NAME?</v>
      </c>
    </row>
    <row r="1262" customFormat="false" ht="14.25" hidden="false" customHeight="false" outlineLevel="0" collapsed="false">
      <c r="B1262" s="7" t="n">
        <v>42167</v>
      </c>
      <c r="C1262" s="7" t="n">
        <f aca="false">B1262-WEEKDAY(B1262)+1</f>
        <v>42162</v>
      </c>
      <c r="D1262" s="1" t="e">
        <f aca="false" t="array" ref="D1262:D1262">IF(ISBLANK(_xlfn.xlookup(D$3,daily_items,_xlfn.xlookup($C1262,daily_dates,big_daily_table))),NA(),_xlfn.xlookup(D$3,daily_items,_xlfn.xlookup($C1262,daily_dates,big_daily_table)))</f>
        <v>#NAME?</v>
      </c>
      <c r="E1262" s="1" t="e">
        <f aca="false" t="array" ref="E1262:E1262">IF(ISBLANK(_xlfn.xlookup(E$3,daily_items,_xlfn.xlookup($C1262,daily_dates,big_daily_table))),NA(),_xlfn.xlookup(E$3,daily_items,_xlfn.xlookup($C1262,daily_dates,big_daily_table)))</f>
        <v>#NAME?</v>
      </c>
    </row>
    <row r="1263" customFormat="false" ht="14.25" hidden="false" customHeight="false" outlineLevel="0" collapsed="false">
      <c r="B1263" s="7" t="n">
        <v>42168</v>
      </c>
      <c r="C1263" s="7" t="n">
        <f aca="false">B1263-WEEKDAY(B1263)+1</f>
        <v>42162</v>
      </c>
      <c r="D1263" s="1" t="e">
        <f aca="false" t="array" ref="D1263:D1263">IF(ISBLANK(_xlfn.xlookup(D$3,daily_items,_xlfn.xlookup($C1263,daily_dates,big_daily_table))),NA(),_xlfn.xlookup(D$3,daily_items,_xlfn.xlookup($C1263,daily_dates,big_daily_table)))</f>
        <v>#NAME?</v>
      </c>
      <c r="E1263" s="1" t="e">
        <f aca="false" t="array" ref="E1263:E1263">IF(ISBLANK(_xlfn.xlookup(E$3,daily_items,_xlfn.xlookup($C1263,daily_dates,big_daily_table))),NA(),_xlfn.xlookup(E$3,daily_items,_xlfn.xlookup($C1263,daily_dates,big_daily_table)))</f>
        <v>#NAME?</v>
      </c>
    </row>
    <row r="1264" customFormat="false" ht="14.25" hidden="false" customHeight="false" outlineLevel="0" collapsed="false">
      <c r="B1264" s="7" t="n">
        <v>42169</v>
      </c>
      <c r="C1264" s="7" t="n">
        <f aca="false">B1264-WEEKDAY(B1264)+1</f>
        <v>42169</v>
      </c>
      <c r="D1264" s="1" t="e">
        <f aca="false" t="array" ref="D1264:D1264">IF(ISBLANK(_xlfn.xlookup(D$3,daily_items,_xlfn.xlookup($C1264,daily_dates,big_daily_table))),NA(),_xlfn.xlookup(D$3,daily_items,_xlfn.xlookup($C1264,daily_dates,big_daily_table)))</f>
        <v>#NAME?</v>
      </c>
      <c r="E1264" s="1" t="e">
        <f aca="false" t="array" ref="E1264:E1264">IF(ISBLANK(_xlfn.xlookup(E$3,daily_items,_xlfn.xlookup($C1264,daily_dates,big_daily_table))),NA(),_xlfn.xlookup(E$3,daily_items,_xlfn.xlookup($C1264,daily_dates,big_daily_table)))</f>
        <v>#NAME?</v>
      </c>
    </row>
    <row r="1265" customFormat="false" ht="14.25" hidden="false" customHeight="false" outlineLevel="0" collapsed="false">
      <c r="B1265" s="7" t="n">
        <v>42170</v>
      </c>
      <c r="C1265" s="7" t="n">
        <f aca="false">B1265-WEEKDAY(B1265)+1</f>
        <v>42169</v>
      </c>
      <c r="D1265" s="1" t="e">
        <f aca="false" t="array" ref="D1265:D1265">IF(ISBLANK(_xlfn.xlookup(D$3,daily_items,_xlfn.xlookup($C1265,daily_dates,big_daily_table))),NA(),_xlfn.xlookup(D$3,daily_items,_xlfn.xlookup($C1265,daily_dates,big_daily_table)))</f>
        <v>#NAME?</v>
      </c>
      <c r="E1265" s="1" t="e">
        <f aca="false" t="array" ref="E1265:E1265">IF(ISBLANK(_xlfn.xlookup(E$3,daily_items,_xlfn.xlookup($C1265,daily_dates,big_daily_table))),NA(),_xlfn.xlookup(E$3,daily_items,_xlfn.xlookup($C1265,daily_dates,big_daily_table)))</f>
        <v>#NAME?</v>
      </c>
    </row>
    <row r="1266" customFormat="false" ht="14.25" hidden="false" customHeight="false" outlineLevel="0" collapsed="false">
      <c r="B1266" s="7" t="n">
        <v>42171</v>
      </c>
      <c r="C1266" s="7" t="n">
        <f aca="false">B1266-WEEKDAY(B1266)+1</f>
        <v>42169</v>
      </c>
      <c r="D1266" s="1" t="e">
        <f aca="false" t="array" ref="D1266:D1266">IF(ISBLANK(_xlfn.xlookup(D$3,daily_items,_xlfn.xlookup($C1266,daily_dates,big_daily_table))),NA(),_xlfn.xlookup(D$3,daily_items,_xlfn.xlookup($C1266,daily_dates,big_daily_table)))</f>
        <v>#NAME?</v>
      </c>
      <c r="E1266" s="1" t="e">
        <f aca="false" t="array" ref="E1266:E1266">IF(ISBLANK(_xlfn.xlookup(E$3,daily_items,_xlfn.xlookup($C1266,daily_dates,big_daily_table))),NA(),_xlfn.xlookup(E$3,daily_items,_xlfn.xlookup($C1266,daily_dates,big_daily_table)))</f>
        <v>#NAME?</v>
      </c>
    </row>
    <row r="1267" customFormat="false" ht="14.25" hidden="false" customHeight="false" outlineLevel="0" collapsed="false">
      <c r="B1267" s="7" t="n">
        <v>42172</v>
      </c>
      <c r="C1267" s="7" t="n">
        <f aca="false">B1267-WEEKDAY(B1267)+1</f>
        <v>42169</v>
      </c>
      <c r="D1267" s="1" t="e">
        <f aca="false" t="array" ref="D1267:D1267">IF(ISBLANK(_xlfn.xlookup(D$3,daily_items,_xlfn.xlookup($C1267,daily_dates,big_daily_table))),NA(),_xlfn.xlookup(D$3,daily_items,_xlfn.xlookup($C1267,daily_dates,big_daily_table)))</f>
        <v>#NAME?</v>
      </c>
      <c r="E1267" s="1" t="e">
        <f aca="false" t="array" ref="E1267:E1267">IF(ISBLANK(_xlfn.xlookup(E$3,daily_items,_xlfn.xlookup($C1267,daily_dates,big_daily_table))),NA(),_xlfn.xlookup(E$3,daily_items,_xlfn.xlookup($C1267,daily_dates,big_daily_table)))</f>
        <v>#NAME?</v>
      </c>
    </row>
    <row r="1268" customFormat="false" ht="14.25" hidden="false" customHeight="false" outlineLevel="0" collapsed="false">
      <c r="B1268" s="7" t="n">
        <v>42173</v>
      </c>
      <c r="C1268" s="7" t="n">
        <f aca="false">B1268-WEEKDAY(B1268)+1</f>
        <v>42169</v>
      </c>
      <c r="D1268" s="1" t="e">
        <f aca="false" t="array" ref="D1268:D1268">IF(ISBLANK(_xlfn.xlookup(D$3,daily_items,_xlfn.xlookup($C1268,daily_dates,big_daily_table))),NA(),_xlfn.xlookup(D$3,daily_items,_xlfn.xlookup($C1268,daily_dates,big_daily_table)))</f>
        <v>#NAME?</v>
      </c>
      <c r="E1268" s="1" t="e">
        <f aca="false" t="array" ref="E1268:E1268">IF(ISBLANK(_xlfn.xlookup(E$3,daily_items,_xlfn.xlookup($C1268,daily_dates,big_daily_table))),NA(),_xlfn.xlookup(E$3,daily_items,_xlfn.xlookup($C1268,daily_dates,big_daily_table)))</f>
        <v>#NAME?</v>
      </c>
    </row>
    <row r="1269" customFormat="false" ht="14.25" hidden="false" customHeight="false" outlineLevel="0" collapsed="false">
      <c r="B1269" s="7" t="n">
        <v>42174</v>
      </c>
      <c r="C1269" s="7" t="n">
        <f aca="false">B1269-WEEKDAY(B1269)+1</f>
        <v>42169</v>
      </c>
      <c r="D1269" s="1" t="e">
        <f aca="false" t="array" ref="D1269:D1269">IF(ISBLANK(_xlfn.xlookup(D$3,daily_items,_xlfn.xlookup($C1269,daily_dates,big_daily_table))),NA(),_xlfn.xlookup(D$3,daily_items,_xlfn.xlookup($C1269,daily_dates,big_daily_table)))</f>
        <v>#NAME?</v>
      </c>
      <c r="E1269" s="1" t="e">
        <f aca="false" t="array" ref="E1269:E1269">IF(ISBLANK(_xlfn.xlookup(E$3,daily_items,_xlfn.xlookup($C1269,daily_dates,big_daily_table))),NA(),_xlfn.xlookup(E$3,daily_items,_xlfn.xlookup($C1269,daily_dates,big_daily_table)))</f>
        <v>#NAME?</v>
      </c>
    </row>
    <row r="1270" customFormat="false" ht="14.25" hidden="false" customHeight="false" outlineLevel="0" collapsed="false">
      <c r="B1270" s="7" t="n">
        <v>42175</v>
      </c>
      <c r="C1270" s="7" t="n">
        <f aca="false">B1270-WEEKDAY(B1270)+1</f>
        <v>42169</v>
      </c>
      <c r="D1270" s="1" t="e">
        <f aca="false" t="array" ref="D1270:D1270">IF(ISBLANK(_xlfn.xlookup(D$3,daily_items,_xlfn.xlookup($C1270,daily_dates,big_daily_table))),NA(),_xlfn.xlookup(D$3,daily_items,_xlfn.xlookup($C1270,daily_dates,big_daily_table)))</f>
        <v>#NAME?</v>
      </c>
      <c r="E1270" s="1" t="e">
        <f aca="false" t="array" ref="E1270:E1270">IF(ISBLANK(_xlfn.xlookup(E$3,daily_items,_xlfn.xlookup($C1270,daily_dates,big_daily_table))),NA(),_xlfn.xlookup(E$3,daily_items,_xlfn.xlookup($C1270,daily_dates,big_daily_table)))</f>
        <v>#NAME?</v>
      </c>
    </row>
    <row r="1271" customFormat="false" ht="14.25" hidden="false" customHeight="false" outlineLevel="0" collapsed="false">
      <c r="B1271" s="7" t="n">
        <v>42176</v>
      </c>
      <c r="C1271" s="7" t="n">
        <f aca="false">B1271-WEEKDAY(B1271)+1</f>
        <v>42176</v>
      </c>
      <c r="D1271" s="1" t="e">
        <f aca="false" t="array" ref="D1271:D1271">IF(ISBLANK(_xlfn.xlookup(D$3,daily_items,_xlfn.xlookup($C1271,daily_dates,big_daily_table))),NA(),_xlfn.xlookup(D$3,daily_items,_xlfn.xlookup($C1271,daily_dates,big_daily_table)))</f>
        <v>#NAME?</v>
      </c>
      <c r="E1271" s="1" t="e">
        <f aca="false" t="array" ref="E1271:E1271">IF(ISBLANK(_xlfn.xlookup(E$3,daily_items,_xlfn.xlookup($C1271,daily_dates,big_daily_table))),NA(),_xlfn.xlookup(E$3,daily_items,_xlfn.xlookup($C1271,daily_dates,big_daily_table)))</f>
        <v>#NAME?</v>
      </c>
    </row>
    <row r="1272" customFormat="false" ht="14.25" hidden="false" customHeight="false" outlineLevel="0" collapsed="false">
      <c r="B1272" s="7" t="n">
        <v>42177</v>
      </c>
      <c r="C1272" s="7" t="n">
        <f aca="false">B1272-WEEKDAY(B1272)+1</f>
        <v>42176</v>
      </c>
      <c r="D1272" s="1" t="e">
        <f aca="false" t="array" ref="D1272:D1272">IF(ISBLANK(_xlfn.xlookup(D$3,daily_items,_xlfn.xlookup($C1272,daily_dates,big_daily_table))),NA(),_xlfn.xlookup(D$3,daily_items,_xlfn.xlookup($C1272,daily_dates,big_daily_table)))</f>
        <v>#NAME?</v>
      </c>
      <c r="E1272" s="1" t="e">
        <f aca="false" t="array" ref="E1272:E1272">IF(ISBLANK(_xlfn.xlookup(E$3,daily_items,_xlfn.xlookup($C1272,daily_dates,big_daily_table))),NA(),_xlfn.xlookup(E$3,daily_items,_xlfn.xlookup($C1272,daily_dates,big_daily_table)))</f>
        <v>#NAME?</v>
      </c>
    </row>
    <row r="1273" customFormat="false" ht="14.25" hidden="false" customHeight="false" outlineLevel="0" collapsed="false">
      <c r="B1273" s="7" t="n">
        <v>42178</v>
      </c>
      <c r="C1273" s="7" t="n">
        <f aca="false">B1273-WEEKDAY(B1273)+1</f>
        <v>42176</v>
      </c>
      <c r="D1273" s="1" t="e">
        <f aca="false" t="array" ref="D1273:D1273">IF(ISBLANK(_xlfn.xlookup(D$3,daily_items,_xlfn.xlookup($C1273,daily_dates,big_daily_table))),NA(),_xlfn.xlookup(D$3,daily_items,_xlfn.xlookup($C1273,daily_dates,big_daily_table)))</f>
        <v>#NAME?</v>
      </c>
      <c r="E1273" s="1" t="e">
        <f aca="false" t="array" ref="E1273:E1273">IF(ISBLANK(_xlfn.xlookup(E$3,daily_items,_xlfn.xlookup($C1273,daily_dates,big_daily_table))),NA(),_xlfn.xlookup(E$3,daily_items,_xlfn.xlookup($C1273,daily_dates,big_daily_table)))</f>
        <v>#NAME?</v>
      </c>
    </row>
    <row r="1274" customFormat="false" ht="14.25" hidden="false" customHeight="false" outlineLevel="0" collapsed="false">
      <c r="B1274" s="7" t="n">
        <v>42179</v>
      </c>
      <c r="C1274" s="7" t="n">
        <f aca="false">B1274-WEEKDAY(B1274)+1</f>
        <v>42176</v>
      </c>
      <c r="D1274" s="1" t="e">
        <f aca="false" t="array" ref="D1274:D1274">IF(ISBLANK(_xlfn.xlookup(D$3,daily_items,_xlfn.xlookup($C1274,daily_dates,big_daily_table))),NA(),_xlfn.xlookup(D$3,daily_items,_xlfn.xlookup($C1274,daily_dates,big_daily_table)))</f>
        <v>#NAME?</v>
      </c>
      <c r="E1274" s="1" t="e">
        <f aca="false" t="array" ref="E1274:E1274">IF(ISBLANK(_xlfn.xlookup(E$3,daily_items,_xlfn.xlookup($C1274,daily_dates,big_daily_table))),NA(),_xlfn.xlookup(E$3,daily_items,_xlfn.xlookup($C1274,daily_dates,big_daily_table)))</f>
        <v>#NAME?</v>
      </c>
    </row>
    <row r="1275" customFormat="false" ht="14.25" hidden="false" customHeight="false" outlineLevel="0" collapsed="false">
      <c r="B1275" s="7" t="n">
        <v>42180</v>
      </c>
      <c r="C1275" s="7" t="n">
        <f aca="false">B1275-WEEKDAY(B1275)+1</f>
        <v>42176</v>
      </c>
      <c r="D1275" s="1" t="e">
        <f aca="false" t="array" ref="D1275:D1275">IF(ISBLANK(_xlfn.xlookup(D$3,daily_items,_xlfn.xlookup($C1275,daily_dates,big_daily_table))),NA(),_xlfn.xlookup(D$3,daily_items,_xlfn.xlookup($C1275,daily_dates,big_daily_table)))</f>
        <v>#NAME?</v>
      </c>
      <c r="E1275" s="1" t="e">
        <f aca="false" t="array" ref="E1275:E1275">IF(ISBLANK(_xlfn.xlookup(E$3,daily_items,_xlfn.xlookup($C1275,daily_dates,big_daily_table))),NA(),_xlfn.xlookup(E$3,daily_items,_xlfn.xlookup($C1275,daily_dates,big_daily_table)))</f>
        <v>#NAME?</v>
      </c>
    </row>
    <row r="1276" customFormat="false" ht="14.25" hidden="false" customHeight="false" outlineLevel="0" collapsed="false">
      <c r="B1276" s="7" t="n">
        <v>42181</v>
      </c>
      <c r="C1276" s="7" t="n">
        <f aca="false">B1276-WEEKDAY(B1276)+1</f>
        <v>42176</v>
      </c>
      <c r="D1276" s="1" t="e">
        <f aca="false" t="array" ref="D1276:D1276">IF(ISBLANK(_xlfn.xlookup(D$3,daily_items,_xlfn.xlookup($C1276,daily_dates,big_daily_table))),NA(),_xlfn.xlookup(D$3,daily_items,_xlfn.xlookup($C1276,daily_dates,big_daily_table)))</f>
        <v>#NAME?</v>
      </c>
      <c r="E1276" s="1" t="e">
        <f aca="false" t="array" ref="E1276:E1276">IF(ISBLANK(_xlfn.xlookup(E$3,daily_items,_xlfn.xlookup($C1276,daily_dates,big_daily_table))),NA(),_xlfn.xlookup(E$3,daily_items,_xlfn.xlookup($C1276,daily_dates,big_daily_table)))</f>
        <v>#NAME?</v>
      </c>
    </row>
    <row r="1277" customFormat="false" ht="14.25" hidden="false" customHeight="false" outlineLevel="0" collapsed="false">
      <c r="B1277" s="7" t="n">
        <v>42182</v>
      </c>
      <c r="C1277" s="7" t="n">
        <f aca="false">B1277-WEEKDAY(B1277)+1</f>
        <v>42176</v>
      </c>
      <c r="D1277" s="1" t="e">
        <f aca="false" t="array" ref="D1277:D1277">IF(ISBLANK(_xlfn.xlookup(D$3,daily_items,_xlfn.xlookup($C1277,daily_dates,big_daily_table))),NA(),_xlfn.xlookup(D$3,daily_items,_xlfn.xlookup($C1277,daily_dates,big_daily_table)))</f>
        <v>#NAME?</v>
      </c>
      <c r="E1277" s="1" t="e">
        <f aca="false" t="array" ref="E1277:E1277">IF(ISBLANK(_xlfn.xlookup(E$3,daily_items,_xlfn.xlookup($C1277,daily_dates,big_daily_table))),NA(),_xlfn.xlookup(E$3,daily_items,_xlfn.xlookup($C1277,daily_dates,big_daily_table)))</f>
        <v>#NAME?</v>
      </c>
    </row>
    <row r="1278" customFormat="false" ht="14.25" hidden="false" customHeight="false" outlineLevel="0" collapsed="false">
      <c r="B1278" s="7" t="n">
        <v>42183</v>
      </c>
      <c r="C1278" s="7" t="n">
        <f aca="false">B1278-WEEKDAY(B1278)+1</f>
        <v>42183</v>
      </c>
      <c r="D1278" s="1" t="e">
        <f aca="false" t="array" ref="D1278:D1278">IF(ISBLANK(_xlfn.xlookup(D$3,daily_items,_xlfn.xlookup($C1278,daily_dates,big_daily_table))),NA(),_xlfn.xlookup(D$3,daily_items,_xlfn.xlookup($C1278,daily_dates,big_daily_table)))</f>
        <v>#NAME?</v>
      </c>
      <c r="E1278" s="1" t="e">
        <f aca="false" t="array" ref="E1278:E1278">IF(ISBLANK(_xlfn.xlookup(E$3,daily_items,_xlfn.xlookup($C1278,daily_dates,big_daily_table))),NA(),_xlfn.xlookup(E$3,daily_items,_xlfn.xlookup($C1278,daily_dates,big_daily_table)))</f>
        <v>#NAME?</v>
      </c>
    </row>
    <row r="1279" customFormat="false" ht="14.25" hidden="false" customHeight="false" outlineLevel="0" collapsed="false">
      <c r="B1279" s="7" t="n">
        <v>42184</v>
      </c>
      <c r="C1279" s="7" t="n">
        <f aca="false">B1279-WEEKDAY(B1279)+1</f>
        <v>42183</v>
      </c>
      <c r="D1279" s="1" t="e">
        <f aca="false" t="array" ref="D1279:D1279">IF(ISBLANK(_xlfn.xlookup(D$3,daily_items,_xlfn.xlookup($C1279,daily_dates,big_daily_table))),NA(),_xlfn.xlookup(D$3,daily_items,_xlfn.xlookup($C1279,daily_dates,big_daily_table)))</f>
        <v>#NAME?</v>
      </c>
      <c r="E1279" s="1" t="e">
        <f aca="false" t="array" ref="E1279:E1279">IF(ISBLANK(_xlfn.xlookup(E$3,daily_items,_xlfn.xlookup($C1279,daily_dates,big_daily_table))),NA(),_xlfn.xlookup(E$3,daily_items,_xlfn.xlookup($C1279,daily_dates,big_daily_table)))</f>
        <v>#NAME?</v>
      </c>
    </row>
    <row r="1280" customFormat="false" ht="14.25" hidden="false" customHeight="false" outlineLevel="0" collapsed="false">
      <c r="B1280" s="7" t="n">
        <v>42185</v>
      </c>
      <c r="C1280" s="7" t="n">
        <f aca="false">B1280-WEEKDAY(B1280)+1</f>
        <v>42183</v>
      </c>
      <c r="D1280" s="1" t="e">
        <f aca="false" t="array" ref="D1280:D1280">IF(ISBLANK(_xlfn.xlookup(D$3,daily_items,_xlfn.xlookup($C1280,daily_dates,big_daily_table))),NA(),_xlfn.xlookup(D$3,daily_items,_xlfn.xlookup($C1280,daily_dates,big_daily_table)))</f>
        <v>#NAME?</v>
      </c>
      <c r="E1280" s="1" t="e">
        <f aca="false" t="array" ref="E1280:E1280">IF(ISBLANK(_xlfn.xlookup(E$3,daily_items,_xlfn.xlookup($C1280,daily_dates,big_daily_table))),NA(),_xlfn.xlookup(E$3,daily_items,_xlfn.xlookup($C1280,daily_dates,big_daily_table)))</f>
        <v>#NAME?</v>
      </c>
    </row>
    <row r="1281" customFormat="false" ht="14.25" hidden="false" customHeight="false" outlineLevel="0" collapsed="false">
      <c r="B1281" s="7" t="n">
        <v>42186</v>
      </c>
      <c r="C1281" s="7" t="n">
        <f aca="false">B1281-WEEKDAY(B1281)+1</f>
        <v>42183</v>
      </c>
      <c r="D1281" s="1" t="e">
        <f aca="false" t="array" ref="D1281:D1281">IF(ISBLANK(_xlfn.xlookup(D$3,daily_items,_xlfn.xlookup($C1281,daily_dates,big_daily_table))),NA(),_xlfn.xlookup(D$3,daily_items,_xlfn.xlookup($C1281,daily_dates,big_daily_table)))</f>
        <v>#NAME?</v>
      </c>
      <c r="E1281" s="1" t="e">
        <f aca="false" t="array" ref="E1281:E1281">IF(ISBLANK(_xlfn.xlookup(E$3,daily_items,_xlfn.xlookup($C1281,daily_dates,big_daily_table))),NA(),_xlfn.xlookup(E$3,daily_items,_xlfn.xlookup($C1281,daily_dates,big_daily_table)))</f>
        <v>#NAME?</v>
      </c>
    </row>
    <row r="1282" customFormat="false" ht="14.25" hidden="false" customHeight="false" outlineLevel="0" collapsed="false">
      <c r="B1282" s="7" t="n">
        <v>42187</v>
      </c>
      <c r="C1282" s="7" t="n">
        <f aca="false">B1282-WEEKDAY(B1282)+1</f>
        <v>42183</v>
      </c>
      <c r="D1282" s="1" t="e">
        <f aca="false" t="array" ref="D1282:D1282">IF(ISBLANK(_xlfn.xlookup(D$3,daily_items,_xlfn.xlookup($C1282,daily_dates,big_daily_table))),NA(),_xlfn.xlookup(D$3,daily_items,_xlfn.xlookup($C1282,daily_dates,big_daily_table)))</f>
        <v>#NAME?</v>
      </c>
      <c r="E1282" s="1" t="e">
        <f aca="false" t="array" ref="E1282:E1282">IF(ISBLANK(_xlfn.xlookup(E$3,daily_items,_xlfn.xlookup($C1282,daily_dates,big_daily_table))),NA(),_xlfn.xlookup(E$3,daily_items,_xlfn.xlookup($C1282,daily_dates,big_daily_table)))</f>
        <v>#NAME?</v>
      </c>
    </row>
    <row r="1283" customFormat="false" ht="14.25" hidden="false" customHeight="false" outlineLevel="0" collapsed="false">
      <c r="B1283" s="7" t="n">
        <v>42188</v>
      </c>
      <c r="C1283" s="7" t="n">
        <f aca="false">B1283-WEEKDAY(B1283)+1</f>
        <v>42183</v>
      </c>
      <c r="D1283" s="1" t="e">
        <f aca="false" t="array" ref="D1283:D1283">IF(ISBLANK(_xlfn.xlookup(D$3,daily_items,_xlfn.xlookup($C1283,daily_dates,big_daily_table))),NA(),_xlfn.xlookup(D$3,daily_items,_xlfn.xlookup($C1283,daily_dates,big_daily_table)))</f>
        <v>#NAME?</v>
      </c>
      <c r="E1283" s="1" t="e">
        <f aca="false" t="array" ref="E1283:E1283">IF(ISBLANK(_xlfn.xlookup(E$3,daily_items,_xlfn.xlookup($C1283,daily_dates,big_daily_table))),NA(),_xlfn.xlookup(E$3,daily_items,_xlfn.xlookup($C1283,daily_dates,big_daily_table)))</f>
        <v>#NAME?</v>
      </c>
    </row>
    <row r="1284" customFormat="false" ht="14.25" hidden="false" customHeight="false" outlineLevel="0" collapsed="false">
      <c r="B1284" s="7" t="n">
        <v>42189</v>
      </c>
      <c r="C1284" s="7" t="n">
        <f aca="false">B1284-WEEKDAY(B1284)+1</f>
        <v>42183</v>
      </c>
      <c r="D1284" s="1" t="e">
        <f aca="false" t="array" ref="D1284:D1284">IF(ISBLANK(_xlfn.xlookup(D$3,daily_items,_xlfn.xlookup($C1284,daily_dates,big_daily_table))),NA(),_xlfn.xlookup(D$3,daily_items,_xlfn.xlookup($C1284,daily_dates,big_daily_table)))</f>
        <v>#NAME?</v>
      </c>
      <c r="E1284" s="1" t="e">
        <f aca="false" t="array" ref="E1284:E1284">IF(ISBLANK(_xlfn.xlookup(E$3,daily_items,_xlfn.xlookup($C1284,daily_dates,big_daily_table))),NA(),_xlfn.xlookup(E$3,daily_items,_xlfn.xlookup($C1284,daily_dates,big_daily_table)))</f>
        <v>#NAME?</v>
      </c>
    </row>
    <row r="1285" customFormat="false" ht="14.25" hidden="false" customHeight="false" outlineLevel="0" collapsed="false">
      <c r="B1285" s="7" t="n">
        <v>42190</v>
      </c>
      <c r="C1285" s="7" t="n">
        <f aca="false">B1285-WEEKDAY(B1285)+1</f>
        <v>42190</v>
      </c>
      <c r="D1285" s="1" t="e">
        <f aca="false" t="array" ref="D1285:D1285">IF(ISBLANK(_xlfn.xlookup(D$3,daily_items,_xlfn.xlookup($C1285,daily_dates,big_daily_table))),NA(),_xlfn.xlookup(D$3,daily_items,_xlfn.xlookup($C1285,daily_dates,big_daily_table)))</f>
        <v>#NAME?</v>
      </c>
      <c r="E1285" s="1" t="e">
        <f aca="false" t="array" ref="E1285:E1285">IF(ISBLANK(_xlfn.xlookup(E$3,daily_items,_xlfn.xlookup($C1285,daily_dates,big_daily_table))),NA(),_xlfn.xlookup(E$3,daily_items,_xlfn.xlookup($C1285,daily_dates,big_daily_table)))</f>
        <v>#NAME?</v>
      </c>
    </row>
    <row r="1286" customFormat="false" ht="14.25" hidden="false" customHeight="false" outlineLevel="0" collapsed="false">
      <c r="B1286" s="7" t="n">
        <v>42191</v>
      </c>
      <c r="C1286" s="7" t="n">
        <f aca="false">B1286-WEEKDAY(B1286)+1</f>
        <v>42190</v>
      </c>
      <c r="D1286" s="1" t="e">
        <f aca="false" t="array" ref="D1286:D1286">IF(ISBLANK(_xlfn.xlookup(D$3,daily_items,_xlfn.xlookup($C1286,daily_dates,big_daily_table))),NA(),_xlfn.xlookup(D$3,daily_items,_xlfn.xlookup($C1286,daily_dates,big_daily_table)))</f>
        <v>#NAME?</v>
      </c>
      <c r="E1286" s="1" t="e">
        <f aca="false" t="array" ref="E1286:E1286">IF(ISBLANK(_xlfn.xlookup(E$3,daily_items,_xlfn.xlookup($C1286,daily_dates,big_daily_table))),NA(),_xlfn.xlookup(E$3,daily_items,_xlfn.xlookup($C1286,daily_dates,big_daily_table)))</f>
        <v>#NAME?</v>
      </c>
    </row>
    <row r="1287" customFormat="false" ht="14.25" hidden="false" customHeight="false" outlineLevel="0" collapsed="false">
      <c r="B1287" s="7" t="n">
        <v>42192</v>
      </c>
      <c r="C1287" s="7" t="n">
        <f aca="false">B1287-WEEKDAY(B1287)+1</f>
        <v>42190</v>
      </c>
      <c r="D1287" s="1" t="e">
        <f aca="false" t="array" ref="D1287:D1287">IF(ISBLANK(_xlfn.xlookup(D$3,daily_items,_xlfn.xlookup($C1287,daily_dates,big_daily_table))),NA(),_xlfn.xlookup(D$3,daily_items,_xlfn.xlookup($C1287,daily_dates,big_daily_table)))</f>
        <v>#NAME?</v>
      </c>
      <c r="E1287" s="1" t="e">
        <f aca="false" t="array" ref="E1287:E1287">IF(ISBLANK(_xlfn.xlookup(E$3,daily_items,_xlfn.xlookup($C1287,daily_dates,big_daily_table))),NA(),_xlfn.xlookup(E$3,daily_items,_xlfn.xlookup($C1287,daily_dates,big_daily_table)))</f>
        <v>#NAME?</v>
      </c>
    </row>
    <row r="1288" customFormat="false" ht="14.25" hidden="false" customHeight="false" outlineLevel="0" collapsed="false">
      <c r="B1288" s="7" t="n">
        <v>42193</v>
      </c>
      <c r="C1288" s="7" t="n">
        <f aca="false">B1288-WEEKDAY(B1288)+1</f>
        <v>42190</v>
      </c>
      <c r="D1288" s="1" t="e">
        <f aca="false" t="array" ref="D1288:D1288">IF(ISBLANK(_xlfn.xlookup(D$3,daily_items,_xlfn.xlookup($C1288,daily_dates,big_daily_table))),NA(),_xlfn.xlookup(D$3,daily_items,_xlfn.xlookup($C1288,daily_dates,big_daily_table)))</f>
        <v>#NAME?</v>
      </c>
      <c r="E1288" s="1" t="e">
        <f aca="false" t="array" ref="E1288:E1288">IF(ISBLANK(_xlfn.xlookup(E$3,daily_items,_xlfn.xlookup($C1288,daily_dates,big_daily_table))),NA(),_xlfn.xlookup(E$3,daily_items,_xlfn.xlookup($C1288,daily_dates,big_daily_table)))</f>
        <v>#NAME?</v>
      </c>
    </row>
    <row r="1289" customFormat="false" ht="14.25" hidden="false" customHeight="false" outlineLevel="0" collapsed="false">
      <c r="B1289" s="7" t="n">
        <v>42194</v>
      </c>
      <c r="C1289" s="7" t="n">
        <f aca="false">B1289-WEEKDAY(B1289)+1</f>
        <v>42190</v>
      </c>
      <c r="D1289" s="1" t="e">
        <f aca="false" t="array" ref="D1289:D1289">IF(ISBLANK(_xlfn.xlookup(D$3,daily_items,_xlfn.xlookup($C1289,daily_dates,big_daily_table))),NA(),_xlfn.xlookup(D$3,daily_items,_xlfn.xlookup($C1289,daily_dates,big_daily_table)))</f>
        <v>#NAME?</v>
      </c>
      <c r="E1289" s="1" t="e">
        <f aca="false" t="array" ref="E1289:E1289">IF(ISBLANK(_xlfn.xlookup(E$3,daily_items,_xlfn.xlookup($C1289,daily_dates,big_daily_table))),NA(),_xlfn.xlookup(E$3,daily_items,_xlfn.xlookup($C1289,daily_dates,big_daily_table)))</f>
        <v>#NAME?</v>
      </c>
    </row>
    <row r="1290" customFormat="false" ht="14.25" hidden="false" customHeight="false" outlineLevel="0" collapsed="false">
      <c r="B1290" s="7" t="n">
        <v>42195</v>
      </c>
      <c r="C1290" s="7" t="n">
        <f aca="false">B1290-WEEKDAY(B1290)+1</f>
        <v>42190</v>
      </c>
      <c r="D1290" s="1" t="e">
        <f aca="false" t="array" ref="D1290:D1290">IF(ISBLANK(_xlfn.xlookup(D$3,daily_items,_xlfn.xlookup($C1290,daily_dates,big_daily_table))),NA(),_xlfn.xlookup(D$3,daily_items,_xlfn.xlookup($C1290,daily_dates,big_daily_table)))</f>
        <v>#NAME?</v>
      </c>
      <c r="E1290" s="1" t="e">
        <f aca="false" t="array" ref="E1290:E1290">IF(ISBLANK(_xlfn.xlookup(E$3,daily_items,_xlfn.xlookup($C1290,daily_dates,big_daily_table))),NA(),_xlfn.xlookup(E$3,daily_items,_xlfn.xlookup($C1290,daily_dates,big_daily_table)))</f>
        <v>#NAME?</v>
      </c>
    </row>
    <row r="1291" customFormat="false" ht="14.25" hidden="false" customHeight="false" outlineLevel="0" collapsed="false">
      <c r="B1291" s="7" t="n">
        <v>42196</v>
      </c>
      <c r="C1291" s="7" t="n">
        <f aca="false">B1291-WEEKDAY(B1291)+1</f>
        <v>42190</v>
      </c>
      <c r="D1291" s="1" t="e">
        <f aca="false" t="array" ref="D1291:D1291">IF(ISBLANK(_xlfn.xlookup(D$3,daily_items,_xlfn.xlookup($C1291,daily_dates,big_daily_table))),NA(),_xlfn.xlookup(D$3,daily_items,_xlfn.xlookup($C1291,daily_dates,big_daily_table)))</f>
        <v>#NAME?</v>
      </c>
      <c r="E1291" s="1" t="e">
        <f aca="false" t="array" ref="E1291:E1291">IF(ISBLANK(_xlfn.xlookup(E$3,daily_items,_xlfn.xlookup($C1291,daily_dates,big_daily_table))),NA(),_xlfn.xlookup(E$3,daily_items,_xlfn.xlookup($C1291,daily_dates,big_daily_table)))</f>
        <v>#NAME?</v>
      </c>
    </row>
    <row r="1292" customFormat="false" ht="14.25" hidden="false" customHeight="false" outlineLevel="0" collapsed="false">
      <c r="B1292" s="7" t="n">
        <v>42197</v>
      </c>
      <c r="C1292" s="7" t="n">
        <f aca="false">B1292-WEEKDAY(B1292)+1</f>
        <v>42197</v>
      </c>
      <c r="D1292" s="1" t="e">
        <f aca="false" t="array" ref="D1292:D1292">IF(ISBLANK(_xlfn.xlookup(D$3,daily_items,_xlfn.xlookup($C1292,daily_dates,big_daily_table))),NA(),_xlfn.xlookup(D$3,daily_items,_xlfn.xlookup($C1292,daily_dates,big_daily_table)))</f>
        <v>#NAME?</v>
      </c>
      <c r="E1292" s="1" t="e">
        <f aca="false" t="array" ref="E1292:E1292">IF(ISBLANK(_xlfn.xlookup(E$3,daily_items,_xlfn.xlookup($C1292,daily_dates,big_daily_table))),NA(),_xlfn.xlookup(E$3,daily_items,_xlfn.xlookup($C1292,daily_dates,big_daily_table)))</f>
        <v>#NAME?</v>
      </c>
    </row>
    <row r="1293" customFormat="false" ht="14.25" hidden="false" customHeight="false" outlineLevel="0" collapsed="false">
      <c r="B1293" s="7" t="n">
        <v>42198</v>
      </c>
      <c r="C1293" s="7" t="n">
        <f aca="false">B1293-WEEKDAY(B1293)+1</f>
        <v>42197</v>
      </c>
      <c r="D1293" s="1" t="e">
        <f aca="false" t="array" ref="D1293:D1293">IF(ISBLANK(_xlfn.xlookup(D$3,daily_items,_xlfn.xlookup($C1293,daily_dates,big_daily_table))),NA(),_xlfn.xlookup(D$3,daily_items,_xlfn.xlookup($C1293,daily_dates,big_daily_table)))</f>
        <v>#NAME?</v>
      </c>
      <c r="E1293" s="1" t="e">
        <f aca="false" t="array" ref="E1293:E1293">IF(ISBLANK(_xlfn.xlookup(E$3,daily_items,_xlfn.xlookup($C1293,daily_dates,big_daily_table))),NA(),_xlfn.xlookup(E$3,daily_items,_xlfn.xlookup($C1293,daily_dates,big_daily_table)))</f>
        <v>#NAME?</v>
      </c>
    </row>
    <row r="1294" customFormat="false" ht="14.25" hidden="false" customHeight="false" outlineLevel="0" collapsed="false">
      <c r="B1294" s="7" t="n">
        <v>42199</v>
      </c>
      <c r="C1294" s="7" t="n">
        <f aca="false">B1294-WEEKDAY(B1294)+1</f>
        <v>42197</v>
      </c>
      <c r="D1294" s="1" t="e">
        <f aca="false" t="array" ref="D1294:D1294">IF(ISBLANK(_xlfn.xlookup(D$3,daily_items,_xlfn.xlookup($C1294,daily_dates,big_daily_table))),NA(),_xlfn.xlookup(D$3,daily_items,_xlfn.xlookup($C1294,daily_dates,big_daily_table)))</f>
        <v>#NAME?</v>
      </c>
      <c r="E1294" s="1" t="e">
        <f aca="false" t="array" ref="E1294:E1294">IF(ISBLANK(_xlfn.xlookup(E$3,daily_items,_xlfn.xlookup($C1294,daily_dates,big_daily_table))),NA(),_xlfn.xlookup(E$3,daily_items,_xlfn.xlookup($C1294,daily_dates,big_daily_table)))</f>
        <v>#NAME?</v>
      </c>
    </row>
    <row r="1295" customFormat="false" ht="14.25" hidden="false" customHeight="false" outlineLevel="0" collapsed="false">
      <c r="B1295" s="7" t="n">
        <v>42200</v>
      </c>
      <c r="C1295" s="7" t="n">
        <f aca="false">B1295-WEEKDAY(B1295)+1</f>
        <v>42197</v>
      </c>
      <c r="D1295" s="1" t="e">
        <f aca="false" t="array" ref="D1295:D1295">IF(ISBLANK(_xlfn.xlookup(D$3,daily_items,_xlfn.xlookup($C1295,daily_dates,big_daily_table))),NA(),_xlfn.xlookup(D$3,daily_items,_xlfn.xlookup($C1295,daily_dates,big_daily_table)))</f>
        <v>#NAME?</v>
      </c>
      <c r="E1295" s="1" t="e">
        <f aca="false" t="array" ref="E1295:E1295">IF(ISBLANK(_xlfn.xlookup(E$3,daily_items,_xlfn.xlookup($C1295,daily_dates,big_daily_table))),NA(),_xlfn.xlookup(E$3,daily_items,_xlfn.xlookup($C1295,daily_dates,big_daily_table)))</f>
        <v>#NAME?</v>
      </c>
    </row>
    <row r="1296" customFormat="false" ht="14.25" hidden="false" customHeight="false" outlineLevel="0" collapsed="false">
      <c r="B1296" s="7" t="n">
        <v>42201</v>
      </c>
      <c r="C1296" s="7" t="n">
        <f aca="false">B1296-WEEKDAY(B1296)+1</f>
        <v>42197</v>
      </c>
      <c r="D1296" s="1" t="e">
        <f aca="false" t="array" ref="D1296:D1296">IF(ISBLANK(_xlfn.xlookup(D$3,daily_items,_xlfn.xlookup($C1296,daily_dates,big_daily_table))),NA(),_xlfn.xlookup(D$3,daily_items,_xlfn.xlookup($C1296,daily_dates,big_daily_table)))</f>
        <v>#NAME?</v>
      </c>
      <c r="E1296" s="1" t="e">
        <f aca="false" t="array" ref="E1296:E1296">IF(ISBLANK(_xlfn.xlookup(E$3,daily_items,_xlfn.xlookup($C1296,daily_dates,big_daily_table))),NA(),_xlfn.xlookup(E$3,daily_items,_xlfn.xlookup($C1296,daily_dates,big_daily_table)))</f>
        <v>#NAME?</v>
      </c>
    </row>
    <row r="1297" customFormat="false" ht="14.25" hidden="false" customHeight="false" outlineLevel="0" collapsed="false">
      <c r="B1297" s="7" t="n">
        <v>42202</v>
      </c>
      <c r="C1297" s="7" t="n">
        <f aca="false">B1297-WEEKDAY(B1297)+1</f>
        <v>42197</v>
      </c>
      <c r="D1297" s="1" t="e">
        <f aca="false" t="array" ref="D1297:D1297">IF(ISBLANK(_xlfn.xlookup(D$3,daily_items,_xlfn.xlookup($C1297,daily_dates,big_daily_table))),NA(),_xlfn.xlookup(D$3,daily_items,_xlfn.xlookup($C1297,daily_dates,big_daily_table)))</f>
        <v>#NAME?</v>
      </c>
      <c r="E1297" s="1" t="e">
        <f aca="false" t="array" ref="E1297:E1297">IF(ISBLANK(_xlfn.xlookup(E$3,daily_items,_xlfn.xlookup($C1297,daily_dates,big_daily_table))),NA(),_xlfn.xlookup(E$3,daily_items,_xlfn.xlookup($C1297,daily_dates,big_daily_table)))</f>
        <v>#NAME?</v>
      </c>
    </row>
    <row r="1298" customFormat="false" ht="14.25" hidden="false" customHeight="false" outlineLevel="0" collapsed="false">
      <c r="B1298" s="7" t="n">
        <v>42203</v>
      </c>
      <c r="C1298" s="7" t="n">
        <f aca="false">B1298-WEEKDAY(B1298)+1</f>
        <v>42197</v>
      </c>
      <c r="D1298" s="1" t="e">
        <f aca="false" t="array" ref="D1298:D1298">IF(ISBLANK(_xlfn.xlookup(D$3,daily_items,_xlfn.xlookup($C1298,daily_dates,big_daily_table))),NA(),_xlfn.xlookup(D$3,daily_items,_xlfn.xlookup($C1298,daily_dates,big_daily_table)))</f>
        <v>#NAME?</v>
      </c>
      <c r="E1298" s="1" t="e">
        <f aca="false" t="array" ref="E1298:E1298">IF(ISBLANK(_xlfn.xlookup(E$3,daily_items,_xlfn.xlookup($C1298,daily_dates,big_daily_table))),NA(),_xlfn.xlookup(E$3,daily_items,_xlfn.xlookup($C1298,daily_dates,big_daily_table)))</f>
        <v>#NAME?</v>
      </c>
    </row>
    <row r="1299" customFormat="false" ht="14.25" hidden="false" customHeight="false" outlineLevel="0" collapsed="false">
      <c r="B1299" s="7" t="n">
        <v>42204</v>
      </c>
      <c r="C1299" s="7" t="n">
        <f aca="false">B1299-WEEKDAY(B1299)+1</f>
        <v>42204</v>
      </c>
      <c r="D1299" s="1" t="e">
        <f aca="false" t="array" ref="D1299:D1299">IF(ISBLANK(_xlfn.xlookup(D$3,daily_items,_xlfn.xlookup($C1299,daily_dates,big_daily_table))),NA(),_xlfn.xlookup(D$3,daily_items,_xlfn.xlookup($C1299,daily_dates,big_daily_table)))</f>
        <v>#NAME?</v>
      </c>
      <c r="E1299" s="1" t="e">
        <f aca="false" t="array" ref="E1299:E1299">IF(ISBLANK(_xlfn.xlookup(E$3,daily_items,_xlfn.xlookup($C1299,daily_dates,big_daily_table))),NA(),_xlfn.xlookup(E$3,daily_items,_xlfn.xlookup($C1299,daily_dates,big_daily_table)))</f>
        <v>#NAME?</v>
      </c>
    </row>
    <row r="1300" customFormat="false" ht="14.25" hidden="false" customHeight="false" outlineLevel="0" collapsed="false">
      <c r="B1300" s="7" t="n">
        <v>42205</v>
      </c>
      <c r="C1300" s="7" t="n">
        <f aca="false">B1300-WEEKDAY(B1300)+1</f>
        <v>42204</v>
      </c>
      <c r="D1300" s="1" t="e">
        <f aca="false" t="array" ref="D1300:D1300">IF(ISBLANK(_xlfn.xlookup(D$3,daily_items,_xlfn.xlookup($C1300,daily_dates,big_daily_table))),NA(),_xlfn.xlookup(D$3,daily_items,_xlfn.xlookup($C1300,daily_dates,big_daily_table)))</f>
        <v>#NAME?</v>
      </c>
      <c r="E1300" s="1" t="e">
        <f aca="false" t="array" ref="E1300:E1300">IF(ISBLANK(_xlfn.xlookup(E$3,daily_items,_xlfn.xlookup($C1300,daily_dates,big_daily_table))),NA(),_xlfn.xlookup(E$3,daily_items,_xlfn.xlookup($C1300,daily_dates,big_daily_table)))</f>
        <v>#NAME?</v>
      </c>
    </row>
    <row r="1301" customFormat="false" ht="14.25" hidden="false" customHeight="false" outlineLevel="0" collapsed="false">
      <c r="B1301" s="7" t="n">
        <v>42206</v>
      </c>
      <c r="C1301" s="7" t="n">
        <f aca="false">B1301-WEEKDAY(B1301)+1</f>
        <v>42204</v>
      </c>
      <c r="D1301" s="1" t="e">
        <f aca="false" t="array" ref="D1301:D1301">IF(ISBLANK(_xlfn.xlookup(D$3,daily_items,_xlfn.xlookup($C1301,daily_dates,big_daily_table))),NA(),_xlfn.xlookup(D$3,daily_items,_xlfn.xlookup($C1301,daily_dates,big_daily_table)))</f>
        <v>#NAME?</v>
      </c>
      <c r="E1301" s="1" t="e">
        <f aca="false" t="array" ref="E1301:E1301">IF(ISBLANK(_xlfn.xlookup(E$3,daily_items,_xlfn.xlookup($C1301,daily_dates,big_daily_table))),NA(),_xlfn.xlookup(E$3,daily_items,_xlfn.xlookup($C1301,daily_dates,big_daily_table)))</f>
        <v>#NAME?</v>
      </c>
    </row>
    <row r="1302" customFormat="false" ht="14.25" hidden="false" customHeight="false" outlineLevel="0" collapsed="false">
      <c r="B1302" s="7" t="n">
        <v>42207</v>
      </c>
      <c r="C1302" s="7" t="n">
        <f aca="false">B1302-WEEKDAY(B1302)+1</f>
        <v>42204</v>
      </c>
      <c r="D1302" s="1" t="e">
        <f aca="false" t="array" ref="D1302:D1302">IF(ISBLANK(_xlfn.xlookup(D$3,daily_items,_xlfn.xlookup($C1302,daily_dates,big_daily_table))),NA(),_xlfn.xlookup(D$3,daily_items,_xlfn.xlookup($C1302,daily_dates,big_daily_table)))</f>
        <v>#NAME?</v>
      </c>
      <c r="E1302" s="1" t="e">
        <f aca="false" t="array" ref="E1302:E1302">IF(ISBLANK(_xlfn.xlookup(E$3,daily_items,_xlfn.xlookup($C1302,daily_dates,big_daily_table))),NA(),_xlfn.xlookup(E$3,daily_items,_xlfn.xlookup($C1302,daily_dates,big_daily_table)))</f>
        <v>#NAME?</v>
      </c>
    </row>
    <row r="1303" customFormat="false" ht="14.25" hidden="false" customHeight="false" outlineLevel="0" collapsed="false">
      <c r="B1303" s="7" t="n">
        <v>42208</v>
      </c>
      <c r="C1303" s="7" t="n">
        <f aca="false">B1303-WEEKDAY(B1303)+1</f>
        <v>42204</v>
      </c>
      <c r="D1303" s="1" t="e">
        <f aca="false" t="array" ref="D1303:D1303">IF(ISBLANK(_xlfn.xlookup(D$3,daily_items,_xlfn.xlookup($C1303,daily_dates,big_daily_table))),NA(),_xlfn.xlookup(D$3,daily_items,_xlfn.xlookup($C1303,daily_dates,big_daily_table)))</f>
        <v>#NAME?</v>
      </c>
      <c r="E1303" s="1" t="e">
        <f aca="false" t="array" ref="E1303:E1303">IF(ISBLANK(_xlfn.xlookup(E$3,daily_items,_xlfn.xlookup($C1303,daily_dates,big_daily_table))),NA(),_xlfn.xlookup(E$3,daily_items,_xlfn.xlookup($C1303,daily_dates,big_daily_table)))</f>
        <v>#NAME?</v>
      </c>
    </row>
    <row r="1304" customFormat="false" ht="14.25" hidden="false" customHeight="false" outlineLevel="0" collapsed="false">
      <c r="B1304" s="7" t="n">
        <v>42209</v>
      </c>
      <c r="C1304" s="7" t="n">
        <f aca="false">B1304-WEEKDAY(B1304)+1</f>
        <v>42204</v>
      </c>
      <c r="D1304" s="1" t="e">
        <f aca="false" t="array" ref="D1304:D1304">IF(ISBLANK(_xlfn.xlookup(D$3,daily_items,_xlfn.xlookup($C1304,daily_dates,big_daily_table))),NA(),_xlfn.xlookup(D$3,daily_items,_xlfn.xlookup($C1304,daily_dates,big_daily_table)))</f>
        <v>#NAME?</v>
      </c>
      <c r="E1304" s="1" t="e">
        <f aca="false" t="array" ref="E1304:E1304">IF(ISBLANK(_xlfn.xlookup(E$3,daily_items,_xlfn.xlookup($C1304,daily_dates,big_daily_table))),NA(),_xlfn.xlookup(E$3,daily_items,_xlfn.xlookup($C1304,daily_dates,big_daily_table)))</f>
        <v>#NAME?</v>
      </c>
    </row>
    <row r="1305" customFormat="false" ht="14.25" hidden="false" customHeight="false" outlineLevel="0" collapsed="false">
      <c r="B1305" s="7" t="n">
        <v>42210</v>
      </c>
      <c r="C1305" s="7" t="n">
        <f aca="false">B1305-WEEKDAY(B1305)+1</f>
        <v>42204</v>
      </c>
      <c r="D1305" s="1" t="e">
        <f aca="false" t="array" ref="D1305:D1305">IF(ISBLANK(_xlfn.xlookup(D$3,daily_items,_xlfn.xlookup($C1305,daily_dates,big_daily_table))),NA(),_xlfn.xlookup(D$3,daily_items,_xlfn.xlookup($C1305,daily_dates,big_daily_table)))</f>
        <v>#NAME?</v>
      </c>
      <c r="E1305" s="1" t="e">
        <f aca="false" t="array" ref="E1305:E1305">IF(ISBLANK(_xlfn.xlookup(E$3,daily_items,_xlfn.xlookup($C1305,daily_dates,big_daily_table))),NA(),_xlfn.xlookup(E$3,daily_items,_xlfn.xlookup($C1305,daily_dates,big_daily_table)))</f>
        <v>#NAME?</v>
      </c>
    </row>
    <row r="1306" customFormat="false" ht="14.25" hidden="false" customHeight="false" outlineLevel="0" collapsed="false">
      <c r="B1306" s="7" t="n">
        <v>42211</v>
      </c>
      <c r="C1306" s="7" t="n">
        <f aca="false">B1306-WEEKDAY(B1306)+1</f>
        <v>42211</v>
      </c>
      <c r="D1306" s="1" t="e">
        <f aca="false" t="array" ref="D1306:D1306">IF(ISBLANK(_xlfn.xlookup(D$3,daily_items,_xlfn.xlookup($C1306,daily_dates,big_daily_table))),NA(),_xlfn.xlookup(D$3,daily_items,_xlfn.xlookup($C1306,daily_dates,big_daily_table)))</f>
        <v>#NAME?</v>
      </c>
      <c r="E1306" s="1" t="e">
        <f aca="false" t="array" ref="E1306:E1306">IF(ISBLANK(_xlfn.xlookup(E$3,daily_items,_xlfn.xlookup($C1306,daily_dates,big_daily_table))),NA(),_xlfn.xlookup(E$3,daily_items,_xlfn.xlookup($C1306,daily_dates,big_daily_table)))</f>
        <v>#NAME?</v>
      </c>
    </row>
    <row r="1307" customFormat="false" ht="14.25" hidden="false" customHeight="false" outlineLevel="0" collapsed="false">
      <c r="B1307" s="7" t="n">
        <v>42212</v>
      </c>
      <c r="C1307" s="7" t="n">
        <f aca="false">B1307-WEEKDAY(B1307)+1</f>
        <v>42211</v>
      </c>
      <c r="D1307" s="1" t="e">
        <f aca="false" t="array" ref="D1307:D1307">IF(ISBLANK(_xlfn.xlookup(D$3,daily_items,_xlfn.xlookup($C1307,daily_dates,big_daily_table))),NA(),_xlfn.xlookup(D$3,daily_items,_xlfn.xlookup($C1307,daily_dates,big_daily_table)))</f>
        <v>#NAME?</v>
      </c>
      <c r="E1307" s="1" t="e">
        <f aca="false" t="array" ref="E1307:E1307">IF(ISBLANK(_xlfn.xlookup(E$3,daily_items,_xlfn.xlookup($C1307,daily_dates,big_daily_table))),NA(),_xlfn.xlookup(E$3,daily_items,_xlfn.xlookup($C1307,daily_dates,big_daily_table)))</f>
        <v>#NAME?</v>
      </c>
    </row>
    <row r="1308" customFormat="false" ht="14.25" hidden="false" customHeight="false" outlineLevel="0" collapsed="false">
      <c r="B1308" s="7" t="n">
        <v>42213</v>
      </c>
      <c r="C1308" s="7" t="n">
        <f aca="false">B1308-WEEKDAY(B1308)+1</f>
        <v>42211</v>
      </c>
      <c r="D1308" s="1" t="e">
        <f aca="false" t="array" ref="D1308:D1308">IF(ISBLANK(_xlfn.xlookup(D$3,daily_items,_xlfn.xlookup($C1308,daily_dates,big_daily_table))),NA(),_xlfn.xlookup(D$3,daily_items,_xlfn.xlookup($C1308,daily_dates,big_daily_table)))</f>
        <v>#NAME?</v>
      </c>
      <c r="E1308" s="1" t="e">
        <f aca="false" t="array" ref="E1308:E1308">IF(ISBLANK(_xlfn.xlookup(E$3,daily_items,_xlfn.xlookup($C1308,daily_dates,big_daily_table))),NA(),_xlfn.xlookup(E$3,daily_items,_xlfn.xlookup($C1308,daily_dates,big_daily_table)))</f>
        <v>#NAME?</v>
      </c>
    </row>
    <row r="1309" customFormat="false" ht="14.25" hidden="false" customHeight="false" outlineLevel="0" collapsed="false">
      <c r="B1309" s="7" t="n">
        <v>42214</v>
      </c>
      <c r="C1309" s="7" t="n">
        <f aca="false">B1309-WEEKDAY(B1309)+1</f>
        <v>42211</v>
      </c>
      <c r="D1309" s="1" t="e">
        <f aca="false" t="array" ref="D1309:D1309">IF(ISBLANK(_xlfn.xlookup(D$3,daily_items,_xlfn.xlookup($C1309,daily_dates,big_daily_table))),NA(),_xlfn.xlookup(D$3,daily_items,_xlfn.xlookup($C1309,daily_dates,big_daily_table)))</f>
        <v>#NAME?</v>
      </c>
      <c r="E1309" s="1" t="e">
        <f aca="false" t="array" ref="E1309:E1309">IF(ISBLANK(_xlfn.xlookup(E$3,daily_items,_xlfn.xlookup($C1309,daily_dates,big_daily_table))),NA(),_xlfn.xlookup(E$3,daily_items,_xlfn.xlookup($C1309,daily_dates,big_daily_table)))</f>
        <v>#NAME?</v>
      </c>
    </row>
    <row r="1310" customFormat="false" ht="14.25" hidden="false" customHeight="false" outlineLevel="0" collapsed="false">
      <c r="B1310" s="7" t="n">
        <v>42215</v>
      </c>
      <c r="C1310" s="7" t="n">
        <f aca="false">B1310-WEEKDAY(B1310)+1</f>
        <v>42211</v>
      </c>
      <c r="D1310" s="1" t="e">
        <f aca="false" t="array" ref="D1310:D1310">IF(ISBLANK(_xlfn.xlookup(D$3,daily_items,_xlfn.xlookup($C1310,daily_dates,big_daily_table))),NA(),_xlfn.xlookup(D$3,daily_items,_xlfn.xlookup($C1310,daily_dates,big_daily_table)))</f>
        <v>#NAME?</v>
      </c>
      <c r="E1310" s="1" t="e">
        <f aca="false" t="array" ref="E1310:E1310">IF(ISBLANK(_xlfn.xlookup(E$3,daily_items,_xlfn.xlookup($C1310,daily_dates,big_daily_table))),NA(),_xlfn.xlookup(E$3,daily_items,_xlfn.xlookup($C1310,daily_dates,big_daily_table)))</f>
        <v>#NAME?</v>
      </c>
    </row>
    <row r="1311" customFormat="false" ht="14.25" hidden="false" customHeight="false" outlineLevel="0" collapsed="false">
      <c r="B1311" s="7" t="n">
        <v>42216</v>
      </c>
      <c r="C1311" s="7" t="n">
        <f aca="false">B1311-WEEKDAY(B1311)+1</f>
        <v>42211</v>
      </c>
      <c r="D1311" s="1" t="e">
        <f aca="false" t="array" ref="D1311:D1311">IF(ISBLANK(_xlfn.xlookup(D$3,daily_items,_xlfn.xlookup($C1311,daily_dates,big_daily_table))),NA(),_xlfn.xlookup(D$3,daily_items,_xlfn.xlookup($C1311,daily_dates,big_daily_table)))</f>
        <v>#NAME?</v>
      </c>
      <c r="E1311" s="1" t="e">
        <f aca="false" t="array" ref="E1311:E1311">IF(ISBLANK(_xlfn.xlookup(E$3,daily_items,_xlfn.xlookup($C1311,daily_dates,big_daily_table))),NA(),_xlfn.xlookup(E$3,daily_items,_xlfn.xlookup($C1311,daily_dates,big_daily_table)))</f>
        <v>#NAME?</v>
      </c>
    </row>
    <row r="1312" customFormat="false" ht="14.25" hidden="false" customHeight="false" outlineLevel="0" collapsed="false">
      <c r="B1312" s="7" t="n">
        <v>42217</v>
      </c>
      <c r="C1312" s="7" t="n">
        <f aca="false">B1312-WEEKDAY(B1312)+1</f>
        <v>42211</v>
      </c>
      <c r="D1312" s="1" t="e">
        <f aca="false" t="array" ref="D1312:D1312">IF(ISBLANK(_xlfn.xlookup(D$3,daily_items,_xlfn.xlookup($C1312,daily_dates,big_daily_table))),NA(),_xlfn.xlookup(D$3,daily_items,_xlfn.xlookup($C1312,daily_dates,big_daily_table)))</f>
        <v>#NAME?</v>
      </c>
      <c r="E1312" s="1" t="e">
        <f aca="false" t="array" ref="E1312:E1312">IF(ISBLANK(_xlfn.xlookup(E$3,daily_items,_xlfn.xlookup($C1312,daily_dates,big_daily_table))),NA(),_xlfn.xlookup(E$3,daily_items,_xlfn.xlookup($C1312,daily_dates,big_daily_table)))</f>
        <v>#NAME?</v>
      </c>
    </row>
    <row r="1313" customFormat="false" ht="14.25" hidden="false" customHeight="false" outlineLevel="0" collapsed="false">
      <c r="B1313" s="7" t="n">
        <v>42218</v>
      </c>
      <c r="C1313" s="7" t="n">
        <f aca="false">B1313-WEEKDAY(B1313)+1</f>
        <v>42218</v>
      </c>
      <c r="D1313" s="1" t="e">
        <f aca="false" t="array" ref="D1313:D1313">IF(ISBLANK(_xlfn.xlookup(D$3,daily_items,_xlfn.xlookup($C1313,daily_dates,big_daily_table))),NA(),_xlfn.xlookup(D$3,daily_items,_xlfn.xlookup($C1313,daily_dates,big_daily_table)))</f>
        <v>#NAME?</v>
      </c>
      <c r="E1313" s="1" t="e">
        <f aca="false" t="array" ref="E1313:E1313">IF(ISBLANK(_xlfn.xlookup(E$3,daily_items,_xlfn.xlookup($C1313,daily_dates,big_daily_table))),NA(),_xlfn.xlookup(E$3,daily_items,_xlfn.xlookup($C1313,daily_dates,big_daily_table)))</f>
        <v>#NAME?</v>
      </c>
    </row>
    <row r="1314" customFormat="false" ht="14.25" hidden="false" customHeight="false" outlineLevel="0" collapsed="false">
      <c r="B1314" s="7" t="n">
        <v>42219</v>
      </c>
      <c r="C1314" s="7" t="n">
        <f aca="false">B1314-WEEKDAY(B1314)+1</f>
        <v>42218</v>
      </c>
      <c r="D1314" s="1" t="e">
        <f aca="false" t="array" ref="D1314:D1314">IF(ISBLANK(_xlfn.xlookup(D$3,daily_items,_xlfn.xlookup($C1314,daily_dates,big_daily_table))),NA(),_xlfn.xlookup(D$3,daily_items,_xlfn.xlookup($C1314,daily_dates,big_daily_table)))</f>
        <v>#NAME?</v>
      </c>
      <c r="E1314" s="1" t="e">
        <f aca="false" t="array" ref="E1314:E1314">IF(ISBLANK(_xlfn.xlookup(E$3,daily_items,_xlfn.xlookup($C1314,daily_dates,big_daily_table))),NA(),_xlfn.xlookup(E$3,daily_items,_xlfn.xlookup($C1314,daily_dates,big_daily_table)))</f>
        <v>#NAME?</v>
      </c>
    </row>
    <row r="1315" customFormat="false" ht="14.25" hidden="false" customHeight="false" outlineLevel="0" collapsed="false">
      <c r="B1315" s="7" t="n">
        <v>42220</v>
      </c>
      <c r="C1315" s="7" t="n">
        <f aca="false">B1315-WEEKDAY(B1315)+1</f>
        <v>42218</v>
      </c>
      <c r="D1315" s="1" t="e">
        <f aca="false" t="array" ref="D1315:D1315">IF(ISBLANK(_xlfn.xlookup(D$3,daily_items,_xlfn.xlookup($C1315,daily_dates,big_daily_table))),NA(),_xlfn.xlookup(D$3,daily_items,_xlfn.xlookup($C1315,daily_dates,big_daily_table)))</f>
        <v>#NAME?</v>
      </c>
      <c r="E1315" s="1" t="e">
        <f aca="false" t="array" ref="E1315:E1315">IF(ISBLANK(_xlfn.xlookup(E$3,daily_items,_xlfn.xlookup($C1315,daily_dates,big_daily_table))),NA(),_xlfn.xlookup(E$3,daily_items,_xlfn.xlookup($C1315,daily_dates,big_daily_table)))</f>
        <v>#NAME?</v>
      </c>
    </row>
    <row r="1316" customFormat="false" ht="14.25" hidden="false" customHeight="false" outlineLevel="0" collapsed="false">
      <c r="B1316" s="7" t="n">
        <v>42221</v>
      </c>
      <c r="C1316" s="7" t="n">
        <f aca="false">B1316-WEEKDAY(B1316)+1</f>
        <v>42218</v>
      </c>
      <c r="D1316" s="1" t="e">
        <f aca="false" t="array" ref="D1316:D1316">IF(ISBLANK(_xlfn.xlookup(D$3,daily_items,_xlfn.xlookup($C1316,daily_dates,big_daily_table))),NA(),_xlfn.xlookup(D$3,daily_items,_xlfn.xlookup($C1316,daily_dates,big_daily_table)))</f>
        <v>#NAME?</v>
      </c>
      <c r="E1316" s="1" t="e">
        <f aca="false" t="array" ref="E1316:E1316">IF(ISBLANK(_xlfn.xlookup(E$3,daily_items,_xlfn.xlookup($C1316,daily_dates,big_daily_table))),NA(),_xlfn.xlookup(E$3,daily_items,_xlfn.xlookup($C1316,daily_dates,big_daily_table)))</f>
        <v>#NAME?</v>
      </c>
    </row>
    <row r="1317" customFormat="false" ht="14.25" hidden="false" customHeight="false" outlineLevel="0" collapsed="false">
      <c r="B1317" s="7" t="n">
        <v>42222</v>
      </c>
      <c r="C1317" s="7" t="n">
        <f aca="false">B1317-WEEKDAY(B1317)+1</f>
        <v>42218</v>
      </c>
      <c r="D1317" s="1" t="e">
        <f aca="false" t="array" ref="D1317:D1317">IF(ISBLANK(_xlfn.xlookup(D$3,daily_items,_xlfn.xlookup($C1317,daily_dates,big_daily_table))),NA(),_xlfn.xlookup(D$3,daily_items,_xlfn.xlookup($C1317,daily_dates,big_daily_table)))</f>
        <v>#NAME?</v>
      </c>
      <c r="E1317" s="1" t="e">
        <f aca="false" t="array" ref="E1317:E1317">IF(ISBLANK(_xlfn.xlookup(E$3,daily_items,_xlfn.xlookup($C1317,daily_dates,big_daily_table))),NA(),_xlfn.xlookup(E$3,daily_items,_xlfn.xlookup($C1317,daily_dates,big_daily_table)))</f>
        <v>#NAME?</v>
      </c>
    </row>
    <row r="1318" customFormat="false" ht="14.25" hidden="false" customHeight="false" outlineLevel="0" collapsed="false">
      <c r="B1318" s="7" t="n">
        <v>42223</v>
      </c>
      <c r="C1318" s="7" t="n">
        <f aca="false">B1318-WEEKDAY(B1318)+1</f>
        <v>42218</v>
      </c>
      <c r="D1318" s="1" t="e">
        <f aca="false" t="array" ref="D1318:D1318">IF(ISBLANK(_xlfn.xlookup(D$3,daily_items,_xlfn.xlookup($C1318,daily_dates,big_daily_table))),NA(),_xlfn.xlookup(D$3,daily_items,_xlfn.xlookup($C1318,daily_dates,big_daily_table)))</f>
        <v>#NAME?</v>
      </c>
      <c r="E1318" s="1" t="e">
        <f aca="false" t="array" ref="E1318:E1318">IF(ISBLANK(_xlfn.xlookup(E$3,daily_items,_xlfn.xlookup($C1318,daily_dates,big_daily_table))),NA(),_xlfn.xlookup(E$3,daily_items,_xlfn.xlookup($C1318,daily_dates,big_daily_table)))</f>
        <v>#NAME?</v>
      </c>
    </row>
    <row r="1319" customFormat="false" ht="14.25" hidden="false" customHeight="false" outlineLevel="0" collapsed="false">
      <c r="B1319" s="7" t="n">
        <v>42224</v>
      </c>
      <c r="C1319" s="7" t="n">
        <f aca="false">B1319-WEEKDAY(B1319)+1</f>
        <v>42218</v>
      </c>
      <c r="D1319" s="1" t="e">
        <f aca="false" t="array" ref="D1319:D1319">IF(ISBLANK(_xlfn.xlookup(D$3,daily_items,_xlfn.xlookup($C1319,daily_dates,big_daily_table))),NA(),_xlfn.xlookup(D$3,daily_items,_xlfn.xlookup($C1319,daily_dates,big_daily_table)))</f>
        <v>#NAME?</v>
      </c>
      <c r="E1319" s="1" t="e">
        <f aca="false" t="array" ref="E1319:E1319">IF(ISBLANK(_xlfn.xlookup(E$3,daily_items,_xlfn.xlookup($C1319,daily_dates,big_daily_table))),NA(),_xlfn.xlookup(E$3,daily_items,_xlfn.xlookup($C1319,daily_dates,big_daily_table)))</f>
        <v>#NAME?</v>
      </c>
    </row>
    <row r="1320" customFormat="false" ht="14.25" hidden="false" customHeight="false" outlineLevel="0" collapsed="false">
      <c r="B1320" s="7" t="n">
        <v>42225</v>
      </c>
      <c r="C1320" s="7" t="n">
        <f aca="false">B1320-WEEKDAY(B1320)+1</f>
        <v>42225</v>
      </c>
      <c r="D1320" s="1" t="e">
        <f aca="false" t="array" ref="D1320:D1320">IF(ISBLANK(_xlfn.xlookup(D$3,daily_items,_xlfn.xlookup($C1320,daily_dates,big_daily_table))),NA(),_xlfn.xlookup(D$3,daily_items,_xlfn.xlookup($C1320,daily_dates,big_daily_table)))</f>
        <v>#NAME?</v>
      </c>
      <c r="E1320" s="1" t="e">
        <f aca="false" t="array" ref="E1320:E1320">IF(ISBLANK(_xlfn.xlookup(E$3,daily_items,_xlfn.xlookup($C1320,daily_dates,big_daily_table))),NA(),_xlfn.xlookup(E$3,daily_items,_xlfn.xlookup($C1320,daily_dates,big_daily_table)))</f>
        <v>#NAME?</v>
      </c>
    </row>
    <row r="1321" customFormat="false" ht="14.25" hidden="false" customHeight="false" outlineLevel="0" collapsed="false">
      <c r="B1321" s="7" t="n">
        <v>42226</v>
      </c>
      <c r="C1321" s="7" t="n">
        <f aca="false">B1321-WEEKDAY(B1321)+1</f>
        <v>42225</v>
      </c>
      <c r="D1321" s="1" t="e">
        <f aca="false" t="array" ref="D1321:D1321">IF(ISBLANK(_xlfn.xlookup(D$3,daily_items,_xlfn.xlookup($C1321,daily_dates,big_daily_table))),NA(),_xlfn.xlookup(D$3,daily_items,_xlfn.xlookup($C1321,daily_dates,big_daily_table)))</f>
        <v>#NAME?</v>
      </c>
      <c r="E1321" s="1" t="e">
        <f aca="false" t="array" ref="E1321:E1321">IF(ISBLANK(_xlfn.xlookup(E$3,daily_items,_xlfn.xlookup($C1321,daily_dates,big_daily_table))),NA(),_xlfn.xlookup(E$3,daily_items,_xlfn.xlookup($C1321,daily_dates,big_daily_table)))</f>
        <v>#NAME?</v>
      </c>
    </row>
    <row r="1322" customFormat="false" ht="14.25" hidden="false" customHeight="false" outlineLevel="0" collapsed="false">
      <c r="B1322" s="7" t="n">
        <v>42227</v>
      </c>
      <c r="C1322" s="7" t="n">
        <f aca="false">B1322-WEEKDAY(B1322)+1</f>
        <v>42225</v>
      </c>
      <c r="D1322" s="1" t="e">
        <f aca="false" t="array" ref="D1322:D1322">IF(ISBLANK(_xlfn.xlookup(D$3,daily_items,_xlfn.xlookup($C1322,daily_dates,big_daily_table))),NA(),_xlfn.xlookup(D$3,daily_items,_xlfn.xlookup($C1322,daily_dates,big_daily_table)))</f>
        <v>#NAME?</v>
      </c>
      <c r="E1322" s="1" t="e">
        <f aca="false" t="array" ref="E1322:E1322">IF(ISBLANK(_xlfn.xlookup(E$3,daily_items,_xlfn.xlookup($C1322,daily_dates,big_daily_table))),NA(),_xlfn.xlookup(E$3,daily_items,_xlfn.xlookup($C1322,daily_dates,big_daily_table)))</f>
        <v>#NAME?</v>
      </c>
    </row>
    <row r="1323" customFormat="false" ht="14.25" hidden="false" customHeight="false" outlineLevel="0" collapsed="false">
      <c r="B1323" s="7" t="n">
        <v>42228</v>
      </c>
      <c r="C1323" s="7" t="n">
        <f aca="false">B1323-WEEKDAY(B1323)+1</f>
        <v>42225</v>
      </c>
      <c r="D1323" s="1" t="e">
        <f aca="false" t="array" ref="D1323:D1323">IF(ISBLANK(_xlfn.xlookup(D$3,daily_items,_xlfn.xlookup($C1323,daily_dates,big_daily_table))),NA(),_xlfn.xlookup(D$3,daily_items,_xlfn.xlookup($C1323,daily_dates,big_daily_table)))</f>
        <v>#NAME?</v>
      </c>
      <c r="E1323" s="1" t="e">
        <f aca="false" t="array" ref="E1323:E1323">IF(ISBLANK(_xlfn.xlookup(E$3,daily_items,_xlfn.xlookup($C1323,daily_dates,big_daily_table))),NA(),_xlfn.xlookup(E$3,daily_items,_xlfn.xlookup($C1323,daily_dates,big_daily_table)))</f>
        <v>#NAME?</v>
      </c>
    </row>
    <row r="1324" customFormat="false" ht="14.25" hidden="false" customHeight="false" outlineLevel="0" collapsed="false">
      <c r="B1324" s="7" t="n">
        <v>42229</v>
      </c>
      <c r="C1324" s="7" t="n">
        <f aca="false">B1324-WEEKDAY(B1324)+1</f>
        <v>42225</v>
      </c>
      <c r="D1324" s="1" t="e">
        <f aca="false" t="array" ref="D1324:D1324">IF(ISBLANK(_xlfn.xlookup(D$3,daily_items,_xlfn.xlookup($C1324,daily_dates,big_daily_table))),NA(),_xlfn.xlookup(D$3,daily_items,_xlfn.xlookup($C1324,daily_dates,big_daily_table)))</f>
        <v>#NAME?</v>
      </c>
      <c r="E1324" s="1" t="e">
        <f aca="false" t="array" ref="E1324:E1324">IF(ISBLANK(_xlfn.xlookup(E$3,daily_items,_xlfn.xlookup($C1324,daily_dates,big_daily_table))),NA(),_xlfn.xlookup(E$3,daily_items,_xlfn.xlookup($C1324,daily_dates,big_daily_table)))</f>
        <v>#NAME?</v>
      </c>
    </row>
    <row r="1325" customFormat="false" ht="14.25" hidden="false" customHeight="false" outlineLevel="0" collapsed="false">
      <c r="B1325" s="7" t="n">
        <v>42230</v>
      </c>
      <c r="C1325" s="7" t="n">
        <f aca="false">B1325-WEEKDAY(B1325)+1</f>
        <v>42225</v>
      </c>
      <c r="D1325" s="1" t="e">
        <f aca="false" t="array" ref="D1325:D1325">IF(ISBLANK(_xlfn.xlookup(D$3,daily_items,_xlfn.xlookup($C1325,daily_dates,big_daily_table))),NA(),_xlfn.xlookup(D$3,daily_items,_xlfn.xlookup($C1325,daily_dates,big_daily_table)))</f>
        <v>#NAME?</v>
      </c>
      <c r="E1325" s="1" t="e">
        <f aca="false" t="array" ref="E1325:E1325">IF(ISBLANK(_xlfn.xlookup(E$3,daily_items,_xlfn.xlookup($C1325,daily_dates,big_daily_table))),NA(),_xlfn.xlookup(E$3,daily_items,_xlfn.xlookup($C1325,daily_dates,big_daily_table)))</f>
        <v>#NAME?</v>
      </c>
    </row>
    <row r="1326" customFormat="false" ht="14.25" hidden="false" customHeight="false" outlineLevel="0" collapsed="false">
      <c r="B1326" s="7" t="n">
        <v>42231</v>
      </c>
      <c r="C1326" s="7" t="n">
        <f aca="false">B1326-WEEKDAY(B1326)+1</f>
        <v>42225</v>
      </c>
      <c r="D1326" s="1" t="e">
        <f aca="false" t="array" ref="D1326:D1326">IF(ISBLANK(_xlfn.xlookup(D$3,daily_items,_xlfn.xlookup($C1326,daily_dates,big_daily_table))),NA(),_xlfn.xlookup(D$3,daily_items,_xlfn.xlookup($C1326,daily_dates,big_daily_table)))</f>
        <v>#NAME?</v>
      </c>
      <c r="E1326" s="1" t="e">
        <f aca="false" t="array" ref="E1326:E1326">IF(ISBLANK(_xlfn.xlookup(E$3,daily_items,_xlfn.xlookup($C1326,daily_dates,big_daily_table))),NA(),_xlfn.xlookup(E$3,daily_items,_xlfn.xlookup($C1326,daily_dates,big_daily_table)))</f>
        <v>#NAME?</v>
      </c>
    </row>
    <row r="1327" customFormat="false" ht="14.25" hidden="false" customHeight="false" outlineLevel="0" collapsed="false">
      <c r="B1327" s="7" t="n">
        <v>42232</v>
      </c>
      <c r="C1327" s="7" t="n">
        <f aca="false">B1327-WEEKDAY(B1327)+1</f>
        <v>42232</v>
      </c>
      <c r="D1327" s="1" t="e">
        <f aca="false" t="array" ref="D1327:D1327">IF(ISBLANK(_xlfn.xlookup(D$3,daily_items,_xlfn.xlookup($C1327,daily_dates,big_daily_table))),NA(),_xlfn.xlookup(D$3,daily_items,_xlfn.xlookup($C1327,daily_dates,big_daily_table)))</f>
        <v>#NAME?</v>
      </c>
      <c r="E1327" s="1" t="e">
        <f aca="false" t="array" ref="E1327:E1327">IF(ISBLANK(_xlfn.xlookup(E$3,daily_items,_xlfn.xlookup($C1327,daily_dates,big_daily_table))),NA(),_xlfn.xlookup(E$3,daily_items,_xlfn.xlookup($C1327,daily_dates,big_daily_table)))</f>
        <v>#NAME?</v>
      </c>
    </row>
    <row r="1328" customFormat="false" ht="14.25" hidden="false" customHeight="false" outlineLevel="0" collapsed="false">
      <c r="B1328" s="7" t="n">
        <v>42233</v>
      </c>
      <c r="C1328" s="7" t="n">
        <f aca="false">B1328-WEEKDAY(B1328)+1</f>
        <v>42232</v>
      </c>
      <c r="D1328" s="1" t="e">
        <f aca="false" t="array" ref="D1328:D1328">IF(ISBLANK(_xlfn.xlookup(D$3,daily_items,_xlfn.xlookup($C1328,daily_dates,big_daily_table))),NA(),_xlfn.xlookup(D$3,daily_items,_xlfn.xlookup($C1328,daily_dates,big_daily_table)))</f>
        <v>#NAME?</v>
      </c>
      <c r="E1328" s="1" t="e">
        <f aca="false" t="array" ref="E1328:E1328">IF(ISBLANK(_xlfn.xlookup(E$3,daily_items,_xlfn.xlookup($C1328,daily_dates,big_daily_table))),NA(),_xlfn.xlookup(E$3,daily_items,_xlfn.xlookup($C1328,daily_dates,big_daily_table)))</f>
        <v>#NAME?</v>
      </c>
    </row>
    <row r="1329" customFormat="false" ht="14.25" hidden="false" customHeight="false" outlineLevel="0" collapsed="false">
      <c r="B1329" s="7" t="n">
        <v>42234</v>
      </c>
      <c r="C1329" s="7" t="n">
        <f aca="false">B1329-WEEKDAY(B1329)+1</f>
        <v>42232</v>
      </c>
      <c r="D1329" s="1" t="e">
        <f aca="false" t="array" ref="D1329:D1329">IF(ISBLANK(_xlfn.xlookup(D$3,daily_items,_xlfn.xlookup($C1329,daily_dates,big_daily_table))),NA(),_xlfn.xlookup(D$3,daily_items,_xlfn.xlookup($C1329,daily_dates,big_daily_table)))</f>
        <v>#NAME?</v>
      </c>
      <c r="E1329" s="1" t="e">
        <f aca="false" t="array" ref="E1329:E1329">IF(ISBLANK(_xlfn.xlookup(E$3,daily_items,_xlfn.xlookup($C1329,daily_dates,big_daily_table))),NA(),_xlfn.xlookup(E$3,daily_items,_xlfn.xlookup($C1329,daily_dates,big_daily_table)))</f>
        <v>#NAME?</v>
      </c>
    </row>
    <row r="1330" customFormat="false" ht="14.25" hidden="false" customHeight="false" outlineLevel="0" collapsed="false">
      <c r="B1330" s="7" t="n">
        <v>42235</v>
      </c>
      <c r="C1330" s="7" t="n">
        <f aca="false">B1330-WEEKDAY(B1330)+1</f>
        <v>42232</v>
      </c>
      <c r="D1330" s="1" t="e">
        <f aca="false" t="array" ref="D1330:D1330">IF(ISBLANK(_xlfn.xlookup(D$3,daily_items,_xlfn.xlookup($C1330,daily_dates,big_daily_table))),NA(),_xlfn.xlookup(D$3,daily_items,_xlfn.xlookup($C1330,daily_dates,big_daily_table)))</f>
        <v>#NAME?</v>
      </c>
      <c r="E1330" s="1" t="e">
        <f aca="false" t="array" ref="E1330:E1330">IF(ISBLANK(_xlfn.xlookup(E$3,daily_items,_xlfn.xlookup($C1330,daily_dates,big_daily_table))),NA(),_xlfn.xlookup(E$3,daily_items,_xlfn.xlookup($C1330,daily_dates,big_daily_table)))</f>
        <v>#NAME?</v>
      </c>
    </row>
    <row r="1331" customFormat="false" ht="14.25" hidden="false" customHeight="false" outlineLevel="0" collapsed="false">
      <c r="B1331" s="7" t="n">
        <v>42236</v>
      </c>
      <c r="C1331" s="7" t="n">
        <f aca="false">B1331-WEEKDAY(B1331)+1</f>
        <v>42232</v>
      </c>
      <c r="D1331" s="1" t="e">
        <f aca="false" t="array" ref="D1331:D1331">IF(ISBLANK(_xlfn.xlookup(D$3,daily_items,_xlfn.xlookup($C1331,daily_dates,big_daily_table))),NA(),_xlfn.xlookup(D$3,daily_items,_xlfn.xlookup($C1331,daily_dates,big_daily_table)))</f>
        <v>#NAME?</v>
      </c>
      <c r="E1331" s="1" t="e">
        <f aca="false" t="array" ref="E1331:E1331">IF(ISBLANK(_xlfn.xlookup(E$3,daily_items,_xlfn.xlookup($C1331,daily_dates,big_daily_table))),NA(),_xlfn.xlookup(E$3,daily_items,_xlfn.xlookup($C1331,daily_dates,big_daily_table)))</f>
        <v>#NAME?</v>
      </c>
    </row>
    <row r="1332" customFormat="false" ht="14.25" hidden="false" customHeight="false" outlineLevel="0" collapsed="false">
      <c r="B1332" s="7" t="n">
        <v>42237</v>
      </c>
      <c r="C1332" s="7" t="n">
        <f aca="false">B1332-WEEKDAY(B1332)+1</f>
        <v>42232</v>
      </c>
      <c r="D1332" s="1" t="e">
        <f aca="false" t="array" ref="D1332:D1332">IF(ISBLANK(_xlfn.xlookup(D$3,daily_items,_xlfn.xlookup($C1332,daily_dates,big_daily_table))),NA(),_xlfn.xlookup(D$3,daily_items,_xlfn.xlookup($C1332,daily_dates,big_daily_table)))</f>
        <v>#NAME?</v>
      </c>
      <c r="E1332" s="1" t="e">
        <f aca="false" t="array" ref="E1332:E1332">IF(ISBLANK(_xlfn.xlookup(E$3,daily_items,_xlfn.xlookup($C1332,daily_dates,big_daily_table))),NA(),_xlfn.xlookup(E$3,daily_items,_xlfn.xlookup($C1332,daily_dates,big_daily_table)))</f>
        <v>#NAME?</v>
      </c>
    </row>
    <row r="1333" customFormat="false" ht="14.25" hidden="false" customHeight="false" outlineLevel="0" collapsed="false">
      <c r="B1333" s="7" t="n">
        <v>42238</v>
      </c>
      <c r="C1333" s="7" t="n">
        <f aca="false">B1333-WEEKDAY(B1333)+1</f>
        <v>42232</v>
      </c>
      <c r="D1333" s="1" t="e">
        <f aca="false" t="array" ref="D1333:D1333">IF(ISBLANK(_xlfn.xlookup(D$3,daily_items,_xlfn.xlookup($C1333,daily_dates,big_daily_table))),NA(),_xlfn.xlookup(D$3,daily_items,_xlfn.xlookup($C1333,daily_dates,big_daily_table)))</f>
        <v>#NAME?</v>
      </c>
      <c r="E1333" s="1" t="e">
        <f aca="false" t="array" ref="E1333:E1333">IF(ISBLANK(_xlfn.xlookup(E$3,daily_items,_xlfn.xlookup($C1333,daily_dates,big_daily_table))),NA(),_xlfn.xlookup(E$3,daily_items,_xlfn.xlookup($C1333,daily_dates,big_daily_table)))</f>
        <v>#NAME?</v>
      </c>
    </row>
    <row r="1334" customFormat="false" ht="14.25" hidden="false" customHeight="false" outlineLevel="0" collapsed="false">
      <c r="B1334" s="7" t="n">
        <v>42239</v>
      </c>
      <c r="C1334" s="7" t="n">
        <f aca="false">B1334-WEEKDAY(B1334)+1</f>
        <v>42239</v>
      </c>
      <c r="D1334" s="1" t="e">
        <f aca="false" t="array" ref="D1334:D1334">IF(ISBLANK(_xlfn.xlookup(D$3,daily_items,_xlfn.xlookup($C1334,daily_dates,big_daily_table))),NA(),_xlfn.xlookup(D$3,daily_items,_xlfn.xlookup($C1334,daily_dates,big_daily_table)))</f>
        <v>#NAME?</v>
      </c>
      <c r="E1334" s="1" t="e">
        <f aca="false" t="array" ref="E1334:E1334">IF(ISBLANK(_xlfn.xlookup(E$3,daily_items,_xlfn.xlookup($C1334,daily_dates,big_daily_table))),NA(),_xlfn.xlookup(E$3,daily_items,_xlfn.xlookup($C1334,daily_dates,big_daily_table)))</f>
        <v>#NAME?</v>
      </c>
    </row>
    <row r="1335" customFormat="false" ht="14.25" hidden="false" customHeight="false" outlineLevel="0" collapsed="false">
      <c r="B1335" s="7" t="n">
        <v>42240</v>
      </c>
      <c r="C1335" s="7" t="n">
        <f aca="false">B1335-WEEKDAY(B1335)+1</f>
        <v>42239</v>
      </c>
      <c r="D1335" s="1" t="e">
        <f aca="false" t="array" ref="D1335:D1335">IF(ISBLANK(_xlfn.xlookup(D$3,daily_items,_xlfn.xlookup($C1335,daily_dates,big_daily_table))),NA(),_xlfn.xlookup(D$3,daily_items,_xlfn.xlookup($C1335,daily_dates,big_daily_table)))</f>
        <v>#NAME?</v>
      </c>
      <c r="E1335" s="1" t="e">
        <f aca="false" t="array" ref="E1335:E1335">IF(ISBLANK(_xlfn.xlookup(E$3,daily_items,_xlfn.xlookup($C1335,daily_dates,big_daily_table))),NA(),_xlfn.xlookup(E$3,daily_items,_xlfn.xlookup($C1335,daily_dates,big_daily_table)))</f>
        <v>#NAME?</v>
      </c>
    </row>
    <row r="1336" customFormat="false" ht="14.25" hidden="false" customHeight="false" outlineLevel="0" collapsed="false">
      <c r="B1336" s="7" t="n">
        <v>42241</v>
      </c>
      <c r="C1336" s="7" t="n">
        <f aca="false">B1336-WEEKDAY(B1336)+1</f>
        <v>42239</v>
      </c>
      <c r="D1336" s="1" t="e">
        <f aca="false" t="array" ref="D1336:D1336">IF(ISBLANK(_xlfn.xlookup(D$3,daily_items,_xlfn.xlookup($C1336,daily_dates,big_daily_table))),NA(),_xlfn.xlookup(D$3,daily_items,_xlfn.xlookup($C1336,daily_dates,big_daily_table)))</f>
        <v>#NAME?</v>
      </c>
      <c r="E1336" s="1" t="e">
        <f aca="false" t="array" ref="E1336:E1336">IF(ISBLANK(_xlfn.xlookup(E$3,daily_items,_xlfn.xlookup($C1336,daily_dates,big_daily_table))),NA(),_xlfn.xlookup(E$3,daily_items,_xlfn.xlookup($C1336,daily_dates,big_daily_table)))</f>
        <v>#NAME?</v>
      </c>
    </row>
    <row r="1337" customFormat="false" ht="14.25" hidden="false" customHeight="false" outlineLevel="0" collapsed="false">
      <c r="B1337" s="7" t="n">
        <v>42242</v>
      </c>
      <c r="C1337" s="7" t="n">
        <f aca="false">B1337-WEEKDAY(B1337)+1</f>
        <v>42239</v>
      </c>
      <c r="D1337" s="1" t="e">
        <f aca="false" t="array" ref="D1337:D1337">IF(ISBLANK(_xlfn.xlookup(D$3,daily_items,_xlfn.xlookup($C1337,daily_dates,big_daily_table))),NA(),_xlfn.xlookup(D$3,daily_items,_xlfn.xlookup($C1337,daily_dates,big_daily_table)))</f>
        <v>#NAME?</v>
      </c>
      <c r="E1337" s="1" t="e">
        <f aca="false" t="array" ref="E1337:E1337">IF(ISBLANK(_xlfn.xlookup(E$3,daily_items,_xlfn.xlookup($C1337,daily_dates,big_daily_table))),NA(),_xlfn.xlookup(E$3,daily_items,_xlfn.xlookup($C1337,daily_dates,big_daily_table)))</f>
        <v>#NAME?</v>
      </c>
    </row>
    <row r="1338" customFormat="false" ht="14.25" hidden="false" customHeight="false" outlineLevel="0" collapsed="false">
      <c r="B1338" s="7" t="n">
        <v>42243</v>
      </c>
      <c r="C1338" s="7" t="n">
        <f aca="false">B1338-WEEKDAY(B1338)+1</f>
        <v>42239</v>
      </c>
      <c r="D1338" s="1" t="e">
        <f aca="false" t="array" ref="D1338:D1338">IF(ISBLANK(_xlfn.xlookup(D$3,daily_items,_xlfn.xlookup($C1338,daily_dates,big_daily_table))),NA(),_xlfn.xlookup(D$3,daily_items,_xlfn.xlookup($C1338,daily_dates,big_daily_table)))</f>
        <v>#NAME?</v>
      </c>
      <c r="E1338" s="1" t="e">
        <f aca="false" t="array" ref="E1338:E1338">IF(ISBLANK(_xlfn.xlookup(E$3,daily_items,_xlfn.xlookup($C1338,daily_dates,big_daily_table))),NA(),_xlfn.xlookup(E$3,daily_items,_xlfn.xlookup($C1338,daily_dates,big_daily_table)))</f>
        <v>#NAME?</v>
      </c>
    </row>
    <row r="1339" customFormat="false" ht="14.25" hidden="false" customHeight="false" outlineLevel="0" collapsed="false">
      <c r="B1339" s="7" t="n">
        <v>42244</v>
      </c>
      <c r="C1339" s="7" t="n">
        <f aca="false">B1339-WEEKDAY(B1339)+1</f>
        <v>42239</v>
      </c>
      <c r="D1339" s="1" t="e">
        <f aca="false" t="array" ref="D1339:D1339">IF(ISBLANK(_xlfn.xlookup(D$3,daily_items,_xlfn.xlookup($C1339,daily_dates,big_daily_table))),NA(),_xlfn.xlookup(D$3,daily_items,_xlfn.xlookup($C1339,daily_dates,big_daily_table)))</f>
        <v>#NAME?</v>
      </c>
      <c r="E1339" s="1" t="e">
        <f aca="false" t="array" ref="E1339:E1339">IF(ISBLANK(_xlfn.xlookup(E$3,daily_items,_xlfn.xlookup($C1339,daily_dates,big_daily_table))),NA(),_xlfn.xlookup(E$3,daily_items,_xlfn.xlookup($C1339,daily_dates,big_daily_table)))</f>
        <v>#NAME?</v>
      </c>
    </row>
    <row r="1340" customFormat="false" ht="14.25" hidden="false" customHeight="false" outlineLevel="0" collapsed="false">
      <c r="B1340" s="7" t="n">
        <v>42245</v>
      </c>
      <c r="C1340" s="7" t="n">
        <f aca="false">B1340-WEEKDAY(B1340)+1</f>
        <v>42239</v>
      </c>
      <c r="D1340" s="1" t="e">
        <f aca="false" t="array" ref="D1340:D1340">IF(ISBLANK(_xlfn.xlookup(D$3,daily_items,_xlfn.xlookup($C1340,daily_dates,big_daily_table))),NA(),_xlfn.xlookup(D$3,daily_items,_xlfn.xlookup($C1340,daily_dates,big_daily_table)))</f>
        <v>#NAME?</v>
      </c>
      <c r="E1340" s="1" t="e">
        <f aca="false" t="array" ref="E1340:E1340">IF(ISBLANK(_xlfn.xlookup(E$3,daily_items,_xlfn.xlookup($C1340,daily_dates,big_daily_table))),NA(),_xlfn.xlookup(E$3,daily_items,_xlfn.xlookup($C1340,daily_dates,big_daily_table)))</f>
        <v>#NAME?</v>
      </c>
    </row>
    <row r="1341" customFormat="false" ht="14.25" hidden="false" customHeight="false" outlineLevel="0" collapsed="false">
      <c r="B1341" s="7" t="n">
        <v>42246</v>
      </c>
      <c r="C1341" s="7" t="n">
        <f aca="false">B1341-WEEKDAY(B1341)+1</f>
        <v>42246</v>
      </c>
      <c r="D1341" s="1" t="e">
        <f aca="false" t="array" ref="D1341:D1341">IF(ISBLANK(_xlfn.xlookup(D$3,daily_items,_xlfn.xlookup($C1341,daily_dates,big_daily_table))),NA(),_xlfn.xlookup(D$3,daily_items,_xlfn.xlookup($C1341,daily_dates,big_daily_table)))</f>
        <v>#NAME?</v>
      </c>
      <c r="E1341" s="1" t="e">
        <f aca="false" t="array" ref="E1341:E1341">IF(ISBLANK(_xlfn.xlookup(E$3,daily_items,_xlfn.xlookup($C1341,daily_dates,big_daily_table))),NA(),_xlfn.xlookup(E$3,daily_items,_xlfn.xlookup($C1341,daily_dates,big_daily_table)))</f>
        <v>#NAME?</v>
      </c>
    </row>
    <row r="1342" customFormat="false" ht="14.25" hidden="false" customHeight="false" outlineLevel="0" collapsed="false">
      <c r="B1342" s="7" t="n">
        <v>42247</v>
      </c>
      <c r="C1342" s="7" t="n">
        <f aca="false">B1342-WEEKDAY(B1342)+1</f>
        <v>42246</v>
      </c>
      <c r="D1342" s="1" t="e">
        <f aca="false" t="array" ref="D1342:D1342">IF(ISBLANK(_xlfn.xlookup(D$3,daily_items,_xlfn.xlookup($C1342,daily_dates,big_daily_table))),NA(),_xlfn.xlookup(D$3,daily_items,_xlfn.xlookup($C1342,daily_dates,big_daily_table)))</f>
        <v>#NAME?</v>
      </c>
      <c r="E1342" s="1" t="e">
        <f aca="false" t="array" ref="E1342:E1342">IF(ISBLANK(_xlfn.xlookup(E$3,daily_items,_xlfn.xlookup($C1342,daily_dates,big_daily_table))),NA(),_xlfn.xlookup(E$3,daily_items,_xlfn.xlookup($C1342,daily_dates,big_daily_table)))</f>
        <v>#NAME?</v>
      </c>
    </row>
    <row r="1343" customFormat="false" ht="14.25" hidden="false" customHeight="false" outlineLevel="0" collapsed="false">
      <c r="B1343" s="7" t="n">
        <v>42248</v>
      </c>
      <c r="C1343" s="7" t="n">
        <f aca="false">B1343-WEEKDAY(B1343)+1</f>
        <v>42246</v>
      </c>
      <c r="D1343" s="1" t="e">
        <f aca="false" t="array" ref="D1343:D1343">IF(ISBLANK(_xlfn.xlookup(D$3,daily_items,_xlfn.xlookup($C1343,daily_dates,big_daily_table))),NA(),_xlfn.xlookup(D$3,daily_items,_xlfn.xlookup($C1343,daily_dates,big_daily_table)))</f>
        <v>#NAME?</v>
      </c>
      <c r="E1343" s="1" t="e">
        <f aca="false" t="array" ref="E1343:E1343">IF(ISBLANK(_xlfn.xlookup(E$3,daily_items,_xlfn.xlookup($C1343,daily_dates,big_daily_table))),NA(),_xlfn.xlookup(E$3,daily_items,_xlfn.xlookup($C1343,daily_dates,big_daily_table)))</f>
        <v>#NAME?</v>
      </c>
    </row>
    <row r="1344" customFormat="false" ht="14.25" hidden="false" customHeight="false" outlineLevel="0" collapsed="false">
      <c r="B1344" s="7" t="n">
        <v>42249</v>
      </c>
      <c r="C1344" s="7" t="n">
        <f aca="false">B1344-WEEKDAY(B1344)+1</f>
        <v>42246</v>
      </c>
      <c r="D1344" s="1" t="e">
        <f aca="false" t="array" ref="D1344:D1344">IF(ISBLANK(_xlfn.xlookup(D$3,daily_items,_xlfn.xlookup($C1344,daily_dates,big_daily_table))),NA(),_xlfn.xlookup(D$3,daily_items,_xlfn.xlookup($C1344,daily_dates,big_daily_table)))</f>
        <v>#NAME?</v>
      </c>
      <c r="E1344" s="1" t="e">
        <f aca="false" t="array" ref="E1344:E1344">IF(ISBLANK(_xlfn.xlookup(E$3,daily_items,_xlfn.xlookup($C1344,daily_dates,big_daily_table))),NA(),_xlfn.xlookup(E$3,daily_items,_xlfn.xlookup($C1344,daily_dates,big_daily_table)))</f>
        <v>#NAME?</v>
      </c>
    </row>
    <row r="1345" customFormat="false" ht="14.25" hidden="false" customHeight="false" outlineLevel="0" collapsed="false">
      <c r="B1345" s="7" t="n">
        <v>42250</v>
      </c>
      <c r="C1345" s="7" t="n">
        <f aca="false">B1345-WEEKDAY(B1345)+1</f>
        <v>42246</v>
      </c>
      <c r="D1345" s="1" t="e">
        <f aca="false" t="array" ref="D1345:D1345">IF(ISBLANK(_xlfn.xlookup(D$3,daily_items,_xlfn.xlookup($C1345,daily_dates,big_daily_table))),NA(),_xlfn.xlookup(D$3,daily_items,_xlfn.xlookup($C1345,daily_dates,big_daily_table)))</f>
        <v>#NAME?</v>
      </c>
      <c r="E1345" s="1" t="e">
        <f aca="false" t="array" ref="E1345:E1345">IF(ISBLANK(_xlfn.xlookup(E$3,daily_items,_xlfn.xlookup($C1345,daily_dates,big_daily_table))),NA(),_xlfn.xlookup(E$3,daily_items,_xlfn.xlookup($C1345,daily_dates,big_daily_table)))</f>
        <v>#NAME?</v>
      </c>
    </row>
    <row r="1346" customFormat="false" ht="14.25" hidden="false" customHeight="false" outlineLevel="0" collapsed="false">
      <c r="B1346" s="7" t="n">
        <v>42251</v>
      </c>
      <c r="C1346" s="7" t="n">
        <f aca="false">B1346-WEEKDAY(B1346)+1</f>
        <v>42246</v>
      </c>
      <c r="D1346" s="1" t="e">
        <f aca="false" t="array" ref="D1346:D1346">IF(ISBLANK(_xlfn.xlookup(D$3,daily_items,_xlfn.xlookup($C1346,daily_dates,big_daily_table))),NA(),_xlfn.xlookup(D$3,daily_items,_xlfn.xlookup($C1346,daily_dates,big_daily_table)))</f>
        <v>#NAME?</v>
      </c>
      <c r="E1346" s="1" t="e">
        <f aca="false" t="array" ref="E1346:E1346">IF(ISBLANK(_xlfn.xlookup(E$3,daily_items,_xlfn.xlookup($C1346,daily_dates,big_daily_table))),NA(),_xlfn.xlookup(E$3,daily_items,_xlfn.xlookup($C1346,daily_dates,big_daily_table)))</f>
        <v>#NAME?</v>
      </c>
    </row>
    <row r="1347" customFormat="false" ht="14.25" hidden="false" customHeight="false" outlineLevel="0" collapsed="false">
      <c r="B1347" s="7" t="n">
        <v>42252</v>
      </c>
      <c r="C1347" s="7" t="n">
        <f aca="false">B1347-WEEKDAY(B1347)+1</f>
        <v>42246</v>
      </c>
      <c r="D1347" s="1" t="e">
        <f aca="false" t="array" ref="D1347:D1347">IF(ISBLANK(_xlfn.xlookup(D$3,daily_items,_xlfn.xlookup($C1347,daily_dates,big_daily_table))),NA(),_xlfn.xlookup(D$3,daily_items,_xlfn.xlookup($C1347,daily_dates,big_daily_table)))</f>
        <v>#NAME?</v>
      </c>
      <c r="E1347" s="1" t="e">
        <f aca="false" t="array" ref="E1347:E1347">IF(ISBLANK(_xlfn.xlookup(E$3,daily_items,_xlfn.xlookup($C1347,daily_dates,big_daily_table))),NA(),_xlfn.xlookup(E$3,daily_items,_xlfn.xlookup($C1347,daily_dates,big_daily_table)))</f>
        <v>#NAME?</v>
      </c>
    </row>
    <row r="1348" customFormat="false" ht="14.25" hidden="false" customHeight="false" outlineLevel="0" collapsed="false">
      <c r="B1348" s="7" t="n">
        <v>42253</v>
      </c>
      <c r="C1348" s="7" t="n">
        <f aca="false">B1348-WEEKDAY(B1348)+1</f>
        <v>42253</v>
      </c>
      <c r="D1348" s="1" t="e">
        <f aca="false" t="array" ref="D1348:D1348">IF(ISBLANK(_xlfn.xlookup(D$3,daily_items,_xlfn.xlookup($C1348,daily_dates,big_daily_table))),NA(),_xlfn.xlookup(D$3,daily_items,_xlfn.xlookup($C1348,daily_dates,big_daily_table)))</f>
        <v>#NAME?</v>
      </c>
      <c r="E1348" s="1" t="e">
        <f aca="false" t="array" ref="E1348:E1348">IF(ISBLANK(_xlfn.xlookup(E$3,daily_items,_xlfn.xlookup($C1348,daily_dates,big_daily_table))),NA(),_xlfn.xlookup(E$3,daily_items,_xlfn.xlookup($C1348,daily_dates,big_daily_table)))</f>
        <v>#NAME?</v>
      </c>
    </row>
    <row r="1349" customFormat="false" ht="14.25" hidden="false" customHeight="false" outlineLevel="0" collapsed="false">
      <c r="B1349" s="7" t="n">
        <v>42254</v>
      </c>
      <c r="C1349" s="7" t="n">
        <f aca="false">B1349-WEEKDAY(B1349)+1</f>
        <v>42253</v>
      </c>
      <c r="D1349" s="1" t="e">
        <f aca="false" t="array" ref="D1349:D1349">IF(ISBLANK(_xlfn.xlookup(D$3,daily_items,_xlfn.xlookup($C1349,daily_dates,big_daily_table))),NA(),_xlfn.xlookup(D$3,daily_items,_xlfn.xlookup($C1349,daily_dates,big_daily_table)))</f>
        <v>#NAME?</v>
      </c>
      <c r="E1349" s="1" t="e">
        <f aca="false" t="array" ref="E1349:E1349">IF(ISBLANK(_xlfn.xlookup(E$3,daily_items,_xlfn.xlookup($C1349,daily_dates,big_daily_table))),NA(),_xlfn.xlookup(E$3,daily_items,_xlfn.xlookup($C1349,daily_dates,big_daily_table)))</f>
        <v>#NAME?</v>
      </c>
    </row>
    <row r="1350" customFormat="false" ht="14.25" hidden="false" customHeight="false" outlineLevel="0" collapsed="false">
      <c r="B1350" s="7" t="n">
        <v>42255</v>
      </c>
      <c r="C1350" s="7" t="n">
        <f aca="false">B1350-WEEKDAY(B1350)+1</f>
        <v>42253</v>
      </c>
      <c r="D1350" s="1" t="e">
        <f aca="false" t="array" ref="D1350:D1350">IF(ISBLANK(_xlfn.xlookup(D$3,daily_items,_xlfn.xlookup($C1350,daily_dates,big_daily_table))),NA(),_xlfn.xlookup(D$3,daily_items,_xlfn.xlookup($C1350,daily_dates,big_daily_table)))</f>
        <v>#NAME?</v>
      </c>
      <c r="E1350" s="1" t="e">
        <f aca="false" t="array" ref="E1350:E1350">IF(ISBLANK(_xlfn.xlookup(E$3,daily_items,_xlfn.xlookup($C1350,daily_dates,big_daily_table))),NA(),_xlfn.xlookup(E$3,daily_items,_xlfn.xlookup($C1350,daily_dates,big_daily_table)))</f>
        <v>#NAME?</v>
      </c>
    </row>
    <row r="1351" customFormat="false" ht="14.25" hidden="false" customHeight="false" outlineLevel="0" collapsed="false">
      <c r="B1351" s="7" t="n">
        <v>42256</v>
      </c>
      <c r="C1351" s="7" t="n">
        <f aca="false">B1351-WEEKDAY(B1351)+1</f>
        <v>42253</v>
      </c>
      <c r="D1351" s="1" t="e">
        <f aca="false" t="array" ref="D1351:D1351">IF(ISBLANK(_xlfn.xlookup(D$3,daily_items,_xlfn.xlookup($C1351,daily_dates,big_daily_table))),NA(),_xlfn.xlookup(D$3,daily_items,_xlfn.xlookup($C1351,daily_dates,big_daily_table)))</f>
        <v>#NAME?</v>
      </c>
      <c r="E1351" s="1" t="e">
        <f aca="false" t="array" ref="E1351:E1351">IF(ISBLANK(_xlfn.xlookup(E$3,daily_items,_xlfn.xlookup($C1351,daily_dates,big_daily_table))),NA(),_xlfn.xlookup(E$3,daily_items,_xlfn.xlookup($C1351,daily_dates,big_daily_table)))</f>
        <v>#NAME?</v>
      </c>
    </row>
    <row r="1352" customFormat="false" ht="14.25" hidden="false" customHeight="false" outlineLevel="0" collapsed="false">
      <c r="B1352" s="7" t="n">
        <v>42257</v>
      </c>
      <c r="C1352" s="7" t="n">
        <f aca="false">B1352-WEEKDAY(B1352)+1</f>
        <v>42253</v>
      </c>
      <c r="D1352" s="1" t="e">
        <f aca="false" t="array" ref="D1352:D1352">IF(ISBLANK(_xlfn.xlookup(D$3,daily_items,_xlfn.xlookup($C1352,daily_dates,big_daily_table))),NA(),_xlfn.xlookup(D$3,daily_items,_xlfn.xlookup($C1352,daily_dates,big_daily_table)))</f>
        <v>#NAME?</v>
      </c>
      <c r="E1352" s="1" t="e">
        <f aca="false" t="array" ref="E1352:E1352">IF(ISBLANK(_xlfn.xlookup(E$3,daily_items,_xlfn.xlookup($C1352,daily_dates,big_daily_table))),NA(),_xlfn.xlookup(E$3,daily_items,_xlfn.xlookup($C1352,daily_dates,big_daily_table)))</f>
        <v>#NAME?</v>
      </c>
    </row>
    <row r="1353" customFormat="false" ht="14.25" hidden="false" customHeight="false" outlineLevel="0" collapsed="false">
      <c r="B1353" s="7" t="n">
        <v>42258</v>
      </c>
      <c r="C1353" s="7" t="n">
        <f aca="false">B1353-WEEKDAY(B1353)+1</f>
        <v>42253</v>
      </c>
      <c r="D1353" s="1" t="e">
        <f aca="false" t="array" ref="D1353:D1353">IF(ISBLANK(_xlfn.xlookup(D$3,daily_items,_xlfn.xlookup($C1353,daily_dates,big_daily_table))),NA(),_xlfn.xlookup(D$3,daily_items,_xlfn.xlookup($C1353,daily_dates,big_daily_table)))</f>
        <v>#NAME?</v>
      </c>
      <c r="E1353" s="1" t="e">
        <f aca="false" t="array" ref="E1353:E1353">IF(ISBLANK(_xlfn.xlookup(E$3,daily_items,_xlfn.xlookup($C1353,daily_dates,big_daily_table))),NA(),_xlfn.xlookup(E$3,daily_items,_xlfn.xlookup($C1353,daily_dates,big_daily_table)))</f>
        <v>#NAME?</v>
      </c>
    </row>
    <row r="1354" customFormat="false" ht="14.25" hidden="false" customHeight="false" outlineLevel="0" collapsed="false">
      <c r="B1354" s="7" t="n">
        <v>42259</v>
      </c>
      <c r="C1354" s="7" t="n">
        <f aca="false">B1354-WEEKDAY(B1354)+1</f>
        <v>42253</v>
      </c>
      <c r="D1354" s="1" t="e">
        <f aca="false" t="array" ref="D1354:D1354">IF(ISBLANK(_xlfn.xlookup(D$3,daily_items,_xlfn.xlookup($C1354,daily_dates,big_daily_table))),NA(),_xlfn.xlookup(D$3,daily_items,_xlfn.xlookup($C1354,daily_dates,big_daily_table)))</f>
        <v>#NAME?</v>
      </c>
      <c r="E1354" s="1" t="e">
        <f aca="false" t="array" ref="E1354:E1354">IF(ISBLANK(_xlfn.xlookup(E$3,daily_items,_xlfn.xlookup($C1354,daily_dates,big_daily_table))),NA(),_xlfn.xlookup(E$3,daily_items,_xlfn.xlookup($C1354,daily_dates,big_daily_table)))</f>
        <v>#NAME?</v>
      </c>
    </row>
    <row r="1355" customFormat="false" ht="14.25" hidden="false" customHeight="false" outlineLevel="0" collapsed="false">
      <c r="B1355" s="7" t="n">
        <v>42260</v>
      </c>
      <c r="C1355" s="7" t="n">
        <f aca="false">B1355-WEEKDAY(B1355)+1</f>
        <v>42260</v>
      </c>
      <c r="D1355" s="1" t="e">
        <f aca="false" t="array" ref="D1355:D1355">IF(ISBLANK(_xlfn.xlookup(D$3,daily_items,_xlfn.xlookup($C1355,daily_dates,big_daily_table))),NA(),_xlfn.xlookup(D$3,daily_items,_xlfn.xlookup($C1355,daily_dates,big_daily_table)))</f>
        <v>#NAME?</v>
      </c>
      <c r="E1355" s="1" t="e">
        <f aca="false" t="array" ref="E1355:E1355">IF(ISBLANK(_xlfn.xlookup(E$3,daily_items,_xlfn.xlookup($C1355,daily_dates,big_daily_table))),NA(),_xlfn.xlookup(E$3,daily_items,_xlfn.xlookup($C1355,daily_dates,big_daily_table)))</f>
        <v>#NAME?</v>
      </c>
    </row>
    <row r="1356" customFormat="false" ht="14.25" hidden="false" customHeight="false" outlineLevel="0" collapsed="false">
      <c r="B1356" s="7" t="n">
        <v>42261</v>
      </c>
      <c r="C1356" s="7" t="n">
        <f aca="false">B1356-WEEKDAY(B1356)+1</f>
        <v>42260</v>
      </c>
      <c r="D1356" s="1" t="e">
        <f aca="false" t="array" ref="D1356:D1356">IF(ISBLANK(_xlfn.xlookup(D$3,daily_items,_xlfn.xlookup($C1356,daily_dates,big_daily_table))),NA(),_xlfn.xlookup(D$3,daily_items,_xlfn.xlookup($C1356,daily_dates,big_daily_table)))</f>
        <v>#NAME?</v>
      </c>
      <c r="E1356" s="1" t="e">
        <f aca="false" t="array" ref="E1356:E1356">IF(ISBLANK(_xlfn.xlookup(E$3,daily_items,_xlfn.xlookup($C1356,daily_dates,big_daily_table))),NA(),_xlfn.xlookup(E$3,daily_items,_xlfn.xlookup($C1356,daily_dates,big_daily_table)))</f>
        <v>#NAME?</v>
      </c>
    </row>
    <row r="1357" customFormat="false" ht="14.25" hidden="false" customHeight="false" outlineLevel="0" collapsed="false">
      <c r="B1357" s="7" t="n">
        <v>42262</v>
      </c>
      <c r="C1357" s="7" t="n">
        <f aca="false">B1357-WEEKDAY(B1357)+1</f>
        <v>42260</v>
      </c>
      <c r="D1357" s="1" t="e">
        <f aca="false" t="array" ref="D1357:D1357">IF(ISBLANK(_xlfn.xlookup(D$3,daily_items,_xlfn.xlookup($C1357,daily_dates,big_daily_table))),NA(),_xlfn.xlookup(D$3,daily_items,_xlfn.xlookup($C1357,daily_dates,big_daily_table)))</f>
        <v>#NAME?</v>
      </c>
      <c r="E1357" s="1" t="e">
        <f aca="false" t="array" ref="E1357:E1357">IF(ISBLANK(_xlfn.xlookup(E$3,daily_items,_xlfn.xlookup($C1357,daily_dates,big_daily_table))),NA(),_xlfn.xlookup(E$3,daily_items,_xlfn.xlookup($C1357,daily_dates,big_daily_table)))</f>
        <v>#NAME?</v>
      </c>
    </row>
    <row r="1358" customFormat="false" ht="14.25" hidden="false" customHeight="false" outlineLevel="0" collapsed="false">
      <c r="B1358" s="7" t="n">
        <v>42263</v>
      </c>
      <c r="C1358" s="7" t="n">
        <f aca="false">B1358-WEEKDAY(B1358)+1</f>
        <v>42260</v>
      </c>
      <c r="D1358" s="1" t="e">
        <f aca="false" t="array" ref="D1358:D1358">IF(ISBLANK(_xlfn.xlookup(D$3,daily_items,_xlfn.xlookup($C1358,daily_dates,big_daily_table))),NA(),_xlfn.xlookup(D$3,daily_items,_xlfn.xlookup($C1358,daily_dates,big_daily_table)))</f>
        <v>#NAME?</v>
      </c>
      <c r="E1358" s="1" t="e">
        <f aca="false" t="array" ref="E1358:E1358">IF(ISBLANK(_xlfn.xlookup(E$3,daily_items,_xlfn.xlookup($C1358,daily_dates,big_daily_table))),NA(),_xlfn.xlookup(E$3,daily_items,_xlfn.xlookup($C1358,daily_dates,big_daily_table)))</f>
        <v>#NAME?</v>
      </c>
    </row>
    <row r="1359" customFormat="false" ht="14.25" hidden="false" customHeight="false" outlineLevel="0" collapsed="false">
      <c r="B1359" s="7" t="n">
        <v>42264</v>
      </c>
      <c r="C1359" s="7" t="n">
        <f aca="false">B1359-WEEKDAY(B1359)+1</f>
        <v>42260</v>
      </c>
      <c r="D1359" s="1" t="e">
        <f aca="false" t="array" ref="D1359:D1359">IF(ISBLANK(_xlfn.xlookup(D$3,daily_items,_xlfn.xlookup($C1359,daily_dates,big_daily_table))),NA(),_xlfn.xlookup(D$3,daily_items,_xlfn.xlookup($C1359,daily_dates,big_daily_table)))</f>
        <v>#NAME?</v>
      </c>
      <c r="E1359" s="1" t="e">
        <f aca="false" t="array" ref="E1359:E1359">IF(ISBLANK(_xlfn.xlookup(E$3,daily_items,_xlfn.xlookup($C1359,daily_dates,big_daily_table))),NA(),_xlfn.xlookup(E$3,daily_items,_xlfn.xlookup($C1359,daily_dates,big_daily_table)))</f>
        <v>#NAME?</v>
      </c>
    </row>
    <row r="1360" customFormat="false" ht="14.25" hidden="false" customHeight="false" outlineLevel="0" collapsed="false">
      <c r="B1360" s="7" t="n">
        <v>42265</v>
      </c>
      <c r="C1360" s="7" t="n">
        <f aca="false">B1360-WEEKDAY(B1360)+1</f>
        <v>42260</v>
      </c>
      <c r="D1360" s="1" t="e">
        <f aca="false" t="array" ref="D1360:D1360">IF(ISBLANK(_xlfn.xlookup(D$3,daily_items,_xlfn.xlookup($C1360,daily_dates,big_daily_table))),NA(),_xlfn.xlookup(D$3,daily_items,_xlfn.xlookup($C1360,daily_dates,big_daily_table)))</f>
        <v>#NAME?</v>
      </c>
      <c r="E1360" s="1" t="e">
        <f aca="false" t="array" ref="E1360:E1360">IF(ISBLANK(_xlfn.xlookup(E$3,daily_items,_xlfn.xlookup($C1360,daily_dates,big_daily_table))),NA(),_xlfn.xlookup(E$3,daily_items,_xlfn.xlookup($C1360,daily_dates,big_daily_table)))</f>
        <v>#NAME?</v>
      </c>
    </row>
    <row r="1361" customFormat="false" ht="14.25" hidden="false" customHeight="false" outlineLevel="0" collapsed="false">
      <c r="B1361" s="7" t="n">
        <v>42266</v>
      </c>
      <c r="C1361" s="7" t="n">
        <f aca="false">B1361-WEEKDAY(B1361)+1</f>
        <v>42260</v>
      </c>
      <c r="D1361" s="1" t="e">
        <f aca="false" t="array" ref="D1361:D1361">IF(ISBLANK(_xlfn.xlookup(D$3,daily_items,_xlfn.xlookup($C1361,daily_dates,big_daily_table))),NA(),_xlfn.xlookup(D$3,daily_items,_xlfn.xlookup($C1361,daily_dates,big_daily_table)))</f>
        <v>#NAME?</v>
      </c>
      <c r="E1361" s="1" t="e">
        <f aca="false" t="array" ref="E1361:E1361">IF(ISBLANK(_xlfn.xlookup(E$3,daily_items,_xlfn.xlookup($C1361,daily_dates,big_daily_table))),NA(),_xlfn.xlookup(E$3,daily_items,_xlfn.xlookup($C1361,daily_dates,big_daily_table)))</f>
        <v>#NAME?</v>
      </c>
    </row>
    <row r="1362" customFormat="false" ht="14.25" hidden="false" customHeight="false" outlineLevel="0" collapsed="false">
      <c r="B1362" s="7" t="n">
        <v>42267</v>
      </c>
      <c r="C1362" s="7" t="n">
        <f aca="false">B1362-WEEKDAY(B1362)+1</f>
        <v>42267</v>
      </c>
      <c r="D1362" s="1" t="e">
        <f aca="false" t="array" ref="D1362:D1362">IF(ISBLANK(_xlfn.xlookup(D$3,daily_items,_xlfn.xlookup($C1362,daily_dates,big_daily_table))),NA(),_xlfn.xlookup(D$3,daily_items,_xlfn.xlookup($C1362,daily_dates,big_daily_table)))</f>
        <v>#NAME?</v>
      </c>
      <c r="E1362" s="1" t="e">
        <f aca="false" t="array" ref="E1362:E1362">IF(ISBLANK(_xlfn.xlookup(E$3,daily_items,_xlfn.xlookup($C1362,daily_dates,big_daily_table))),NA(),_xlfn.xlookup(E$3,daily_items,_xlfn.xlookup($C1362,daily_dates,big_daily_table)))</f>
        <v>#NAME?</v>
      </c>
    </row>
    <row r="1363" customFormat="false" ht="14.25" hidden="false" customHeight="false" outlineLevel="0" collapsed="false">
      <c r="B1363" s="7" t="n">
        <v>42268</v>
      </c>
      <c r="C1363" s="7" t="n">
        <f aca="false">B1363-WEEKDAY(B1363)+1</f>
        <v>42267</v>
      </c>
      <c r="D1363" s="1" t="e">
        <f aca="false" t="array" ref="D1363:D1363">IF(ISBLANK(_xlfn.xlookup(D$3,daily_items,_xlfn.xlookup($C1363,daily_dates,big_daily_table))),NA(),_xlfn.xlookup(D$3,daily_items,_xlfn.xlookup($C1363,daily_dates,big_daily_table)))</f>
        <v>#NAME?</v>
      </c>
      <c r="E1363" s="1" t="e">
        <f aca="false" t="array" ref="E1363:E1363">IF(ISBLANK(_xlfn.xlookup(E$3,daily_items,_xlfn.xlookup($C1363,daily_dates,big_daily_table))),NA(),_xlfn.xlookup(E$3,daily_items,_xlfn.xlookup($C1363,daily_dates,big_daily_table)))</f>
        <v>#NAME?</v>
      </c>
    </row>
    <row r="1364" customFormat="false" ht="14.25" hidden="false" customHeight="false" outlineLevel="0" collapsed="false">
      <c r="B1364" s="7" t="n">
        <v>42269</v>
      </c>
      <c r="C1364" s="7" t="n">
        <f aca="false">B1364-WEEKDAY(B1364)+1</f>
        <v>42267</v>
      </c>
      <c r="D1364" s="1" t="e">
        <f aca="false" t="array" ref="D1364:D1364">IF(ISBLANK(_xlfn.xlookup(D$3,daily_items,_xlfn.xlookup($C1364,daily_dates,big_daily_table))),NA(),_xlfn.xlookup(D$3,daily_items,_xlfn.xlookup($C1364,daily_dates,big_daily_table)))</f>
        <v>#NAME?</v>
      </c>
      <c r="E1364" s="1" t="e">
        <f aca="false" t="array" ref="E1364:E1364">IF(ISBLANK(_xlfn.xlookup(E$3,daily_items,_xlfn.xlookup($C1364,daily_dates,big_daily_table))),NA(),_xlfn.xlookup(E$3,daily_items,_xlfn.xlookup($C1364,daily_dates,big_daily_table)))</f>
        <v>#NAME?</v>
      </c>
    </row>
    <row r="1365" customFormat="false" ht="14.25" hidden="false" customHeight="false" outlineLevel="0" collapsed="false">
      <c r="B1365" s="7" t="n">
        <v>42270</v>
      </c>
      <c r="C1365" s="7" t="n">
        <f aca="false">B1365-WEEKDAY(B1365)+1</f>
        <v>42267</v>
      </c>
      <c r="D1365" s="1" t="e">
        <f aca="false" t="array" ref="D1365:D1365">IF(ISBLANK(_xlfn.xlookup(D$3,daily_items,_xlfn.xlookup($C1365,daily_dates,big_daily_table))),NA(),_xlfn.xlookup(D$3,daily_items,_xlfn.xlookup($C1365,daily_dates,big_daily_table)))</f>
        <v>#NAME?</v>
      </c>
      <c r="E1365" s="1" t="e">
        <f aca="false" t="array" ref="E1365:E1365">IF(ISBLANK(_xlfn.xlookup(E$3,daily_items,_xlfn.xlookup($C1365,daily_dates,big_daily_table))),NA(),_xlfn.xlookup(E$3,daily_items,_xlfn.xlookup($C1365,daily_dates,big_daily_table)))</f>
        <v>#NAME?</v>
      </c>
    </row>
    <row r="1366" customFormat="false" ht="14.25" hidden="false" customHeight="false" outlineLevel="0" collapsed="false">
      <c r="B1366" s="7" t="n">
        <v>42271</v>
      </c>
      <c r="C1366" s="7" t="n">
        <f aca="false">B1366-WEEKDAY(B1366)+1</f>
        <v>42267</v>
      </c>
      <c r="D1366" s="1" t="e">
        <f aca="false" t="array" ref="D1366:D1366">IF(ISBLANK(_xlfn.xlookup(D$3,daily_items,_xlfn.xlookup($C1366,daily_dates,big_daily_table))),NA(),_xlfn.xlookup(D$3,daily_items,_xlfn.xlookup($C1366,daily_dates,big_daily_table)))</f>
        <v>#NAME?</v>
      </c>
      <c r="E1366" s="1" t="e">
        <f aca="false" t="array" ref="E1366:E1366">IF(ISBLANK(_xlfn.xlookup(E$3,daily_items,_xlfn.xlookup($C1366,daily_dates,big_daily_table))),NA(),_xlfn.xlookup(E$3,daily_items,_xlfn.xlookup($C1366,daily_dates,big_daily_table)))</f>
        <v>#NAME?</v>
      </c>
    </row>
    <row r="1367" customFormat="false" ht="14.25" hidden="false" customHeight="false" outlineLevel="0" collapsed="false">
      <c r="B1367" s="7" t="n">
        <v>42272</v>
      </c>
      <c r="C1367" s="7" t="n">
        <f aca="false">B1367-WEEKDAY(B1367)+1</f>
        <v>42267</v>
      </c>
      <c r="D1367" s="1" t="e">
        <f aca="false" t="array" ref="D1367:D1367">IF(ISBLANK(_xlfn.xlookup(D$3,daily_items,_xlfn.xlookup($C1367,daily_dates,big_daily_table))),NA(),_xlfn.xlookup(D$3,daily_items,_xlfn.xlookup($C1367,daily_dates,big_daily_table)))</f>
        <v>#NAME?</v>
      </c>
      <c r="E1367" s="1" t="e">
        <f aca="false" t="array" ref="E1367:E1367">IF(ISBLANK(_xlfn.xlookup(E$3,daily_items,_xlfn.xlookup($C1367,daily_dates,big_daily_table))),NA(),_xlfn.xlookup(E$3,daily_items,_xlfn.xlookup($C1367,daily_dates,big_daily_table)))</f>
        <v>#NAME?</v>
      </c>
    </row>
    <row r="1368" customFormat="false" ht="14.25" hidden="false" customHeight="false" outlineLevel="0" collapsed="false">
      <c r="B1368" s="7" t="n">
        <v>42273</v>
      </c>
      <c r="C1368" s="7" t="n">
        <f aca="false">B1368-WEEKDAY(B1368)+1</f>
        <v>42267</v>
      </c>
      <c r="D1368" s="1" t="e">
        <f aca="false" t="array" ref="D1368:D1368">IF(ISBLANK(_xlfn.xlookup(D$3,daily_items,_xlfn.xlookup($C1368,daily_dates,big_daily_table))),NA(),_xlfn.xlookup(D$3,daily_items,_xlfn.xlookup($C1368,daily_dates,big_daily_table)))</f>
        <v>#NAME?</v>
      </c>
      <c r="E1368" s="1" t="e">
        <f aca="false" t="array" ref="E1368:E1368">IF(ISBLANK(_xlfn.xlookup(E$3,daily_items,_xlfn.xlookup($C1368,daily_dates,big_daily_table))),NA(),_xlfn.xlookup(E$3,daily_items,_xlfn.xlookup($C1368,daily_dates,big_daily_table)))</f>
        <v>#NAME?</v>
      </c>
    </row>
    <row r="1369" customFormat="false" ht="14.25" hidden="false" customHeight="false" outlineLevel="0" collapsed="false">
      <c r="B1369" s="7" t="n">
        <v>42274</v>
      </c>
      <c r="C1369" s="7" t="n">
        <f aca="false">B1369-WEEKDAY(B1369)+1</f>
        <v>42274</v>
      </c>
      <c r="D1369" s="1" t="e">
        <f aca="false" t="array" ref="D1369:D1369">IF(ISBLANK(_xlfn.xlookup(D$3,daily_items,_xlfn.xlookup($C1369,daily_dates,big_daily_table))),NA(),_xlfn.xlookup(D$3,daily_items,_xlfn.xlookup($C1369,daily_dates,big_daily_table)))</f>
        <v>#NAME?</v>
      </c>
      <c r="E1369" s="1" t="e">
        <f aca="false" t="array" ref="E1369:E1369">IF(ISBLANK(_xlfn.xlookup(E$3,daily_items,_xlfn.xlookup($C1369,daily_dates,big_daily_table))),NA(),_xlfn.xlookup(E$3,daily_items,_xlfn.xlookup($C1369,daily_dates,big_daily_table)))</f>
        <v>#NAME?</v>
      </c>
    </row>
    <row r="1370" customFormat="false" ht="14.25" hidden="false" customHeight="false" outlineLevel="0" collapsed="false">
      <c r="B1370" s="7" t="n">
        <v>42275</v>
      </c>
      <c r="C1370" s="7" t="n">
        <f aca="false">B1370-WEEKDAY(B1370)+1</f>
        <v>42274</v>
      </c>
      <c r="D1370" s="1" t="e">
        <f aca="false" t="array" ref="D1370:D1370">IF(ISBLANK(_xlfn.xlookup(D$3,daily_items,_xlfn.xlookup($C1370,daily_dates,big_daily_table))),NA(),_xlfn.xlookup(D$3,daily_items,_xlfn.xlookup($C1370,daily_dates,big_daily_table)))</f>
        <v>#NAME?</v>
      </c>
      <c r="E1370" s="1" t="e">
        <f aca="false" t="array" ref="E1370:E1370">IF(ISBLANK(_xlfn.xlookup(E$3,daily_items,_xlfn.xlookup($C1370,daily_dates,big_daily_table))),NA(),_xlfn.xlookup(E$3,daily_items,_xlfn.xlookup($C1370,daily_dates,big_daily_table)))</f>
        <v>#NAME?</v>
      </c>
    </row>
    <row r="1371" customFormat="false" ht="14.25" hidden="false" customHeight="false" outlineLevel="0" collapsed="false">
      <c r="B1371" s="7" t="n">
        <v>42276</v>
      </c>
      <c r="C1371" s="7" t="n">
        <f aca="false">B1371-WEEKDAY(B1371)+1</f>
        <v>42274</v>
      </c>
      <c r="D1371" s="1" t="e">
        <f aca="false" t="array" ref="D1371:D1371">IF(ISBLANK(_xlfn.xlookup(D$3,daily_items,_xlfn.xlookup($C1371,daily_dates,big_daily_table))),NA(),_xlfn.xlookup(D$3,daily_items,_xlfn.xlookup($C1371,daily_dates,big_daily_table)))</f>
        <v>#NAME?</v>
      </c>
      <c r="E1371" s="1" t="e">
        <f aca="false" t="array" ref="E1371:E1371">IF(ISBLANK(_xlfn.xlookup(E$3,daily_items,_xlfn.xlookup($C1371,daily_dates,big_daily_table))),NA(),_xlfn.xlookup(E$3,daily_items,_xlfn.xlookup($C1371,daily_dates,big_daily_table)))</f>
        <v>#NAME?</v>
      </c>
    </row>
    <row r="1372" customFormat="false" ht="14.25" hidden="false" customHeight="false" outlineLevel="0" collapsed="false">
      <c r="B1372" s="7" t="n">
        <v>42277</v>
      </c>
      <c r="C1372" s="7" t="n">
        <f aca="false">B1372-WEEKDAY(B1372)+1</f>
        <v>42274</v>
      </c>
      <c r="D1372" s="1" t="e">
        <f aca="false" t="array" ref="D1372:D1372">IF(ISBLANK(_xlfn.xlookup(D$3,daily_items,_xlfn.xlookup($C1372,daily_dates,big_daily_table))),NA(),_xlfn.xlookup(D$3,daily_items,_xlfn.xlookup($C1372,daily_dates,big_daily_table)))</f>
        <v>#NAME?</v>
      </c>
      <c r="E1372" s="1" t="e">
        <f aca="false" t="array" ref="E1372:E1372">IF(ISBLANK(_xlfn.xlookup(E$3,daily_items,_xlfn.xlookup($C1372,daily_dates,big_daily_table))),NA(),_xlfn.xlookup(E$3,daily_items,_xlfn.xlookup($C1372,daily_dates,big_daily_table)))</f>
        <v>#NAME?</v>
      </c>
    </row>
    <row r="1373" customFormat="false" ht="14.25" hidden="false" customHeight="false" outlineLevel="0" collapsed="false">
      <c r="B1373" s="7" t="n">
        <v>42278</v>
      </c>
      <c r="C1373" s="7" t="n">
        <f aca="false">B1373-WEEKDAY(B1373)+1</f>
        <v>42274</v>
      </c>
      <c r="D1373" s="1" t="e">
        <f aca="false" t="array" ref="D1373:D1373">IF(ISBLANK(_xlfn.xlookup(D$3,daily_items,_xlfn.xlookup($C1373,daily_dates,big_daily_table))),NA(),_xlfn.xlookup(D$3,daily_items,_xlfn.xlookup($C1373,daily_dates,big_daily_table)))</f>
        <v>#NAME?</v>
      </c>
      <c r="E1373" s="1" t="e">
        <f aca="false" t="array" ref="E1373:E1373">IF(ISBLANK(_xlfn.xlookup(E$3,daily_items,_xlfn.xlookup($C1373,daily_dates,big_daily_table))),NA(),_xlfn.xlookup(E$3,daily_items,_xlfn.xlookup($C1373,daily_dates,big_daily_table)))</f>
        <v>#NAME?</v>
      </c>
    </row>
    <row r="1374" customFormat="false" ht="14.25" hidden="false" customHeight="false" outlineLevel="0" collapsed="false">
      <c r="B1374" s="7" t="n">
        <v>42279</v>
      </c>
      <c r="C1374" s="7" t="n">
        <f aca="false">B1374-WEEKDAY(B1374)+1</f>
        <v>42274</v>
      </c>
      <c r="D1374" s="1" t="e">
        <f aca="false" t="array" ref="D1374:D1374">IF(ISBLANK(_xlfn.xlookup(D$3,daily_items,_xlfn.xlookup($C1374,daily_dates,big_daily_table))),NA(),_xlfn.xlookup(D$3,daily_items,_xlfn.xlookup($C1374,daily_dates,big_daily_table)))</f>
        <v>#NAME?</v>
      </c>
      <c r="E1374" s="1" t="e">
        <f aca="false" t="array" ref="E1374:E1374">IF(ISBLANK(_xlfn.xlookup(E$3,daily_items,_xlfn.xlookup($C1374,daily_dates,big_daily_table))),NA(),_xlfn.xlookup(E$3,daily_items,_xlfn.xlookup($C1374,daily_dates,big_daily_table)))</f>
        <v>#NAME?</v>
      </c>
    </row>
    <row r="1375" customFormat="false" ht="14.25" hidden="false" customHeight="false" outlineLevel="0" collapsed="false">
      <c r="B1375" s="7" t="n">
        <v>42280</v>
      </c>
      <c r="C1375" s="7" t="n">
        <f aca="false">B1375-WEEKDAY(B1375)+1</f>
        <v>42274</v>
      </c>
      <c r="D1375" s="1" t="e">
        <f aca="false" t="array" ref="D1375:D1375">IF(ISBLANK(_xlfn.xlookup(D$3,daily_items,_xlfn.xlookup($C1375,daily_dates,big_daily_table))),NA(),_xlfn.xlookup(D$3,daily_items,_xlfn.xlookup($C1375,daily_dates,big_daily_table)))</f>
        <v>#NAME?</v>
      </c>
      <c r="E1375" s="1" t="e">
        <f aca="false" t="array" ref="E1375:E1375">IF(ISBLANK(_xlfn.xlookup(E$3,daily_items,_xlfn.xlookup($C1375,daily_dates,big_daily_table))),NA(),_xlfn.xlookup(E$3,daily_items,_xlfn.xlookup($C1375,daily_dates,big_daily_table)))</f>
        <v>#NAME?</v>
      </c>
    </row>
    <row r="1376" customFormat="false" ht="14.25" hidden="false" customHeight="false" outlineLevel="0" collapsed="false">
      <c r="B1376" s="7" t="n">
        <v>42281</v>
      </c>
      <c r="C1376" s="7" t="n">
        <f aca="false">B1376-WEEKDAY(B1376)+1</f>
        <v>42281</v>
      </c>
      <c r="D1376" s="1" t="e">
        <f aca="false" t="array" ref="D1376:D1376">IF(ISBLANK(_xlfn.xlookup(D$3,daily_items,_xlfn.xlookup($C1376,daily_dates,big_daily_table))),NA(),_xlfn.xlookup(D$3,daily_items,_xlfn.xlookup($C1376,daily_dates,big_daily_table)))</f>
        <v>#NAME?</v>
      </c>
      <c r="E1376" s="1" t="e">
        <f aca="false" t="array" ref="E1376:E1376">IF(ISBLANK(_xlfn.xlookup(E$3,daily_items,_xlfn.xlookup($C1376,daily_dates,big_daily_table))),NA(),_xlfn.xlookup(E$3,daily_items,_xlfn.xlookup($C1376,daily_dates,big_daily_table)))</f>
        <v>#NAME?</v>
      </c>
    </row>
    <row r="1377" customFormat="false" ht="14.25" hidden="false" customHeight="false" outlineLevel="0" collapsed="false">
      <c r="B1377" s="7" t="n">
        <v>42282</v>
      </c>
      <c r="C1377" s="7" t="n">
        <f aca="false">B1377-WEEKDAY(B1377)+1</f>
        <v>42281</v>
      </c>
      <c r="D1377" s="1" t="e">
        <f aca="false" t="array" ref="D1377:D1377">IF(ISBLANK(_xlfn.xlookup(D$3,daily_items,_xlfn.xlookup($C1377,daily_dates,big_daily_table))),NA(),_xlfn.xlookup(D$3,daily_items,_xlfn.xlookup($C1377,daily_dates,big_daily_table)))</f>
        <v>#NAME?</v>
      </c>
      <c r="E1377" s="1" t="e">
        <f aca="false" t="array" ref="E1377:E1377">IF(ISBLANK(_xlfn.xlookup(E$3,daily_items,_xlfn.xlookup($C1377,daily_dates,big_daily_table))),NA(),_xlfn.xlookup(E$3,daily_items,_xlfn.xlookup($C1377,daily_dates,big_daily_table)))</f>
        <v>#NAME?</v>
      </c>
    </row>
    <row r="1378" customFormat="false" ht="14.25" hidden="false" customHeight="false" outlineLevel="0" collapsed="false">
      <c r="B1378" s="7" t="n">
        <v>42283</v>
      </c>
      <c r="C1378" s="7" t="n">
        <f aca="false">B1378-WEEKDAY(B1378)+1</f>
        <v>42281</v>
      </c>
      <c r="D1378" s="1" t="e">
        <f aca="false" t="array" ref="D1378:D1378">IF(ISBLANK(_xlfn.xlookup(D$3,daily_items,_xlfn.xlookup($C1378,daily_dates,big_daily_table))),NA(),_xlfn.xlookup(D$3,daily_items,_xlfn.xlookup($C1378,daily_dates,big_daily_table)))</f>
        <v>#NAME?</v>
      </c>
      <c r="E1378" s="1" t="e">
        <f aca="false" t="array" ref="E1378:E1378">IF(ISBLANK(_xlfn.xlookup(E$3,daily_items,_xlfn.xlookup($C1378,daily_dates,big_daily_table))),NA(),_xlfn.xlookup(E$3,daily_items,_xlfn.xlookup($C1378,daily_dates,big_daily_table)))</f>
        <v>#NAME?</v>
      </c>
    </row>
    <row r="1379" customFormat="false" ht="14.25" hidden="false" customHeight="false" outlineLevel="0" collapsed="false">
      <c r="B1379" s="7" t="n">
        <v>42284</v>
      </c>
      <c r="C1379" s="7" t="n">
        <f aca="false">B1379-WEEKDAY(B1379)+1</f>
        <v>42281</v>
      </c>
      <c r="D1379" s="1" t="e">
        <f aca="false" t="array" ref="D1379:D1379">IF(ISBLANK(_xlfn.xlookup(D$3,daily_items,_xlfn.xlookup($C1379,daily_dates,big_daily_table))),NA(),_xlfn.xlookup(D$3,daily_items,_xlfn.xlookup($C1379,daily_dates,big_daily_table)))</f>
        <v>#NAME?</v>
      </c>
      <c r="E1379" s="1" t="e">
        <f aca="false" t="array" ref="E1379:E1379">IF(ISBLANK(_xlfn.xlookup(E$3,daily_items,_xlfn.xlookup($C1379,daily_dates,big_daily_table))),NA(),_xlfn.xlookup(E$3,daily_items,_xlfn.xlookup($C1379,daily_dates,big_daily_table)))</f>
        <v>#NAME?</v>
      </c>
    </row>
    <row r="1380" customFormat="false" ht="14.25" hidden="false" customHeight="false" outlineLevel="0" collapsed="false">
      <c r="B1380" s="7" t="n">
        <v>42285</v>
      </c>
      <c r="C1380" s="7" t="n">
        <f aca="false">B1380-WEEKDAY(B1380)+1</f>
        <v>42281</v>
      </c>
      <c r="D1380" s="1" t="e">
        <f aca="false" t="array" ref="D1380:D1380">IF(ISBLANK(_xlfn.xlookup(D$3,daily_items,_xlfn.xlookup($C1380,daily_dates,big_daily_table))),NA(),_xlfn.xlookup(D$3,daily_items,_xlfn.xlookup($C1380,daily_dates,big_daily_table)))</f>
        <v>#NAME?</v>
      </c>
      <c r="E1380" s="1" t="e">
        <f aca="false" t="array" ref="E1380:E1380">IF(ISBLANK(_xlfn.xlookup(E$3,daily_items,_xlfn.xlookup($C1380,daily_dates,big_daily_table))),NA(),_xlfn.xlookup(E$3,daily_items,_xlfn.xlookup($C1380,daily_dates,big_daily_table)))</f>
        <v>#NAME?</v>
      </c>
    </row>
    <row r="1381" customFormat="false" ht="14.25" hidden="false" customHeight="false" outlineLevel="0" collapsed="false">
      <c r="B1381" s="7" t="n">
        <v>42286</v>
      </c>
      <c r="C1381" s="7" t="n">
        <f aca="false">B1381-WEEKDAY(B1381)+1</f>
        <v>42281</v>
      </c>
      <c r="D1381" s="1" t="e">
        <f aca="false" t="array" ref="D1381:D1381">IF(ISBLANK(_xlfn.xlookup(D$3,daily_items,_xlfn.xlookup($C1381,daily_dates,big_daily_table))),NA(),_xlfn.xlookup(D$3,daily_items,_xlfn.xlookup($C1381,daily_dates,big_daily_table)))</f>
        <v>#NAME?</v>
      </c>
      <c r="E1381" s="1" t="e">
        <f aca="false" t="array" ref="E1381:E1381">IF(ISBLANK(_xlfn.xlookup(E$3,daily_items,_xlfn.xlookup($C1381,daily_dates,big_daily_table))),NA(),_xlfn.xlookup(E$3,daily_items,_xlfn.xlookup($C1381,daily_dates,big_daily_table)))</f>
        <v>#NAME?</v>
      </c>
    </row>
    <row r="1382" customFormat="false" ht="14.25" hidden="false" customHeight="false" outlineLevel="0" collapsed="false">
      <c r="B1382" s="7" t="n">
        <v>42287</v>
      </c>
      <c r="C1382" s="7" t="n">
        <f aca="false">B1382-WEEKDAY(B1382)+1</f>
        <v>42281</v>
      </c>
      <c r="D1382" s="1" t="e">
        <f aca="false" t="array" ref="D1382:D1382">IF(ISBLANK(_xlfn.xlookup(D$3,daily_items,_xlfn.xlookup($C1382,daily_dates,big_daily_table))),NA(),_xlfn.xlookup(D$3,daily_items,_xlfn.xlookup($C1382,daily_dates,big_daily_table)))</f>
        <v>#NAME?</v>
      </c>
      <c r="E1382" s="1" t="e">
        <f aca="false" t="array" ref="E1382:E1382">IF(ISBLANK(_xlfn.xlookup(E$3,daily_items,_xlfn.xlookup($C1382,daily_dates,big_daily_table))),NA(),_xlfn.xlookup(E$3,daily_items,_xlfn.xlookup($C1382,daily_dates,big_daily_table)))</f>
        <v>#NAME?</v>
      </c>
    </row>
    <row r="1383" customFormat="false" ht="14.25" hidden="false" customHeight="false" outlineLevel="0" collapsed="false">
      <c r="B1383" s="7" t="n">
        <v>42288</v>
      </c>
      <c r="C1383" s="7" t="n">
        <f aca="false">B1383-WEEKDAY(B1383)+1</f>
        <v>42288</v>
      </c>
      <c r="D1383" s="1" t="e">
        <f aca="false" t="array" ref="D1383:D1383">IF(ISBLANK(_xlfn.xlookup(D$3,daily_items,_xlfn.xlookup($C1383,daily_dates,big_daily_table))),NA(),_xlfn.xlookup(D$3,daily_items,_xlfn.xlookup($C1383,daily_dates,big_daily_table)))</f>
        <v>#NAME?</v>
      </c>
      <c r="E1383" s="1" t="e">
        <f aca="false" t="array" ref="E1383:E1383">IF(ISBLANK(_xlfn.xlookup(E$3,daily_items,_xlfn.xlookup($C1383,daily_dates,big_daily_table))),NA(),_xlfn.xlookup(E$3,daily_items,_xlfn.xlookup($C1383,daily_dates,big_daily_table)))</f>
        <v>#NAME?</v>
      </c>
    </row>
    <row r="1384" customFormat="false" ht="14.25" hidden="false" customHeight="false" outlineLevel="0" collapsed="false">
      <c r="B1384" s="7" t="n">
        <v>42289</v>
      </c>
      <c r="C1384" s="7" t="n">
        <f aca="false">B1384-WEEKDAY(B1384)+1</f>
        <v>42288</v>
      </c>
      <c r="D1384" s="1" t="e">
        <f aca="false" t="array" ref="D1384:D1384">IF(ISBLANK(_xlfn.xlookup(D$3,daily_items,_xlfn.xlookup($C1384,daily_dates,big_daily_table))),NA(),_xlfn.xlookup(D$3,daily_items,_xlfn.xlookup($C1384,daily_dates,big_daily_table)))</f>
        <v>#NAME?</v>
      </c>
      <c r="E1384" s="1" t="e">
        <f aca="false" t="array" ref="E1384:E1384">IF(ISBLANK(_xlfn.xlookup(E$3,daily_items,_xlfn.xlookup($C1384,daily_dates,big_daily_table))),NA(),_xlfn.xlookup(E$3,daily_items,_xlfn.xlookup($C1384,daily_dates,big_daily_table)))</f>
        <v>#NAME?</v>
      </c>
    </row>
    <row r="1385" customFormat="false" ht="14.25" hidden="false" customHeight="false" outlineLevel="0" collapsed="false">
      <c r="B1385" s="7" t="n">
        <v>42290</v>
      </c>
      <c r="C1385" s="7" t="n">
        <f aca="false">B1385-WEEKDAY(B1385)+1</f>
        <v>42288</v>
      </c>
      <c r="D1385" s="1" t="e">
        <f aca="false" t="array" ref="D1385:D1385">IF(ISBLANK(_xlfn.xlookup(D$3,daily_items,_xlfn.xlookup($C1385,daily_dates,big_daily_table))),NA(),_xlfn.xlookup(D$3,daily_items,_xlfn.xlookup($C1385,daily_dates,big_daily_table)))</f>
        <v>#NAME?</v>
      </c>
      <c r="E1385" s="1" t="e">
        <f aca="false" t="array" ref="E1385:E1385">IF(ISBLANK(_xlfn.xlookup(E$3,daily_items,_xlfn.xlookup($C1385,daily_dates,big_daily_table))),NA(),_xlfn.xlookup(E$3,daily_items,_xlfn.xlookup($C1385,daily_dates,big_daily_table)))</f>
        <v>#NAME?</v>
      </c>
    </row>
    <row r="1386" customFormat="false" ht="14.25" hidden="false" customHeight="false" outlineLevel="0" collapsed="false">
      <c r="B1386" s="7" t="n">
        <v>42291</v>
      </c>
      <c r="C1386" s="7" t="n">
        <f aca="false">B1386-WEEKDAY(B1386)+1</f>
        <v>42288</v>
      </c>
      <c r="D1386" s="1" t="e">
        <f aca="false" t="array" ref="D1386:D1386">IF(ISBLANK(_xlfn.xlookup(D$3,daily_items,_xlfn.xlookup($C1386,daily_dates,big_daily_table))),NA(),_xlfn.xlookup(D$3,daily_items,_xlfn.xlookup($C1386,daily_dates,big_daily_table)))</f>
        <v>#NAME?</v>
      </c>
      <c r="E1386" s="1" t="e">
        <f aca="false" t="array" ref="E1386:E1386">IF(ISBLANK(_xlfn.xlookup(E$3,daily_items,_xlfn.xlookup($C1386,daily_dates,big_daily_table))),NA(),_xlfn.xlookup(E$3,daily_items,_xlfn.xlookup($C1386,daily_dates,big_daily_table)))</f>
        <v>#NAME?</v>
      </c>
    </row>
    <row r="1387" customFormat="false" ht="14.25" hidden="false" customHeight="false" outlineLevel="0" collapsed="false">
      <c r="B1387" s="7" t="n">
        <v>42292</v>
      </c>
      <c r="C1387" s="7" t="n">
        <f aca="false">B1387-WEEKDAY(B1387)+1</f>
        <v>42288</v>
      </c>
      <c r="D1387" s="1" t="e">
        <f aca="false" t="array" ref="D1387:D1387">IF(ISBLANK(_xlfn.xlookup(D$3,daily_items,_xlfn.xlookup($C1387,daily_dates,big_daily_table))),NA(),_xlfn.xlookup(D$3,daily_items,_xlfn.xlookup($C1387,daily_dates,big_daily_table)))</f>
        <v>#NAME?</v>
      </c>
      <c r="E1387" s="1" t="e">
        <f aca="false" t="array" ref="E1387:E1387">IF(ISBLANK(_xlfn.xlookup(E$3,daily_items,_xlfn.xlookup($C1387,daily_dates,big_daily_table))),NA(),_xlfn.xlookup(E$3,daily_items,_xlfn.xlookup($C1387,daily_dates,big_daily_table)))</f>
        <v>#NAME?</v>
      </c>
    </row>
    <row r="1388" customFormat="false" ht="14.25" hidden="false" customHeight="false" outlineLevel="0" collapsed="false">
      <c r="B1388" s="7" t="n">
        <v>42293</v>
      </c>
      <c r="C1388" s="7" t="n">
        <f aca="false">B1388-WEEKDAY(B1388)+1</f>
        <v>42288</v>
      </c>
      <c r="D1388" s="1" t="e">
        <f aca="false" t="array" ref="D1388:D1388">IF(ISBLANK(_xlfn.xlookup(D$3,daily_items,_xlfn.xlookup($C1388,daily_dates,big_daily_table))),NA(),_xlfn.xlookup(D$3,daily_items,_xlfn.xlookup($C1388,daily_dates,big_daily_table)))</f>
        <v>#NAME?</v>
      </c>
      <c r="E1388" s="1" t="e">
        <f aca="false" t="array" ref="E1388:E1388">IF(ISBLANK(_xlfn.xlookup(E$3,daily_items,_xlfn.xlookup($C1388,daily_dates,big_daily_table))),NA(),_xlfn.xlookup(E$3,daily_items,_xlfn.xlookup($C1388,daily_dates,big_daily_table)))</f>
        <v>#NAME?</v>
      </c>
    </row>
    <row r="1389" customFormat="false" ht="14.25" hidden="false" customHeight="false" outlineLevel="0" collapsed="false">
      <c r="B1389" s="7" t="n">
        <v>42294</v>
      </c>
      <c r="C1389" s="7" t="n">
        <f aca="false">B1389-WEEKDAY(B1389)+1</f>
        <v>42288</v>
      </c>
      <c r="D1389" s="1" t="e">
        <f aca="false" t="array" ref="D1389:D1389">IF(ISBLANK(_xlfn.xlookup(D$3,daily_items,_xlfn.xlookup($C1389,daily_dates,big_daily_table))),NA(),_xlfn.xlookup(D$3,daily_items,_xlfn.xlookup($C1389,daily_dates,big_daily_table)))</f>
        <v>#NAME?</v>
      </c>
      <c r="E1389" s="1" t="e">
        <f aca="false" t="array" ref="E1389:E1389">IF(ISBLANK(_xlfn.xlookup(E$3,daily_items,_xlfn.xlookup($C1389,daily_dates,big_daily_table))),NA(),_xlfn.xlookup(E$3,daily_items,_xlfn.xlookup($C1389,daily_dates,big_daily_table)))</f>
        <v>#NAME?</v>
      </c>
    </row>
    <row r="1390" customFormat="false" ht="14.25" hidden="false" customHeight="false" outlineLevel="0" collapsed="false">
      <c r="B1390" s="7" t="n">
        <v>42295</v>
      </c>
      <c r="C1390" s="7" t="n">
        <f aca="false">B1390-WEEKDAY(B1390)+1</f>
        <v>42295</v>
      </c>
      <c r="D1390" s="1" t="e">
        <f aca="false" t="array" ref="D1390:D1390">IF(ISBLANK(_xlfn.xlookup(D$3,daily_items,_xlfn.xlookup($C1390,daily_dates,big_daily_table))),NA(),_xlfn.xlookup(D$3,daily_items,_xlfn.xlookup($C1390,daily_dates,big_daily_table)))</f>
        <v>#NAME?</v>
      </c>
      <c r="E1390" s="1" t="e">
        <f aca="false" t="array" ref="E1390:E1390">IF(ISBLANK(_xlfn.xlookup(E$3,daily_items,_xlfn.xlookup($C1390,daily_dates,big_daily_table))),NA(),_xlfn.xlookup(E$3,daily_items,_xlfn.xlookup($C1390,daily_dates,big_daily_table)))</f>
        <v>#NAME?</v>
      </c>
    </row>
    <row r="1391" customFormat="false" ht="14.25" hidden="false" customHeight="false" outlineLevel="0" collapsed="false">
      <c r="B1391" s="7" t="n">
        <v>42296</v>
      </c>
      <c r="C1391" s="7" t="n">
        <f aca="false">B1391-WEEKDAY(B1391)+1</f>
        <v>42295</v>
      </c>
      <c r="D1391" s="1" t="e">
        <f aca="false" t="array" ref="D1391:D1391">IF(ISBLANK(_xlfn.xlookup(D$3,daily_items,_xlfn.xlookup($C1391,daily_dates,big_daily_table))),NA(),_xlfn.xlookup(D$3,daily_items,_xlfn.xlookup($C1391,daily_dates,big_daily_table)))</f>
        <v>#NAME?</v>
      </c>
      <c r="E1391" s="1" t="e">
        <f aca="false" t="array" ref="E1391:E1391">IF(ISBLANK(_xlfn.xlookup(E$3,daily_items,_xlfn.xlookup($C1391,daily_dates,big_daily_table))),NA(),_xlfn.xlookup(E$3,daily_items,_xlfn.xlookup($C1391,daily_dates,big_daily_table)))</f>
        <v>#NAME?</v>
      </c>
    </row>
    <row r="1392" customFormat="false" ht="14.25" hidden="false" customHeight="false" outlineLevel="0" collapsed="false">
      <c r="B1392" s="7" t="n">
        <v>42297</v>
      </c>
      <c r="C1392" s="7" t="n">
        <f aca="false">B1392-WEEKDAY(B1392)+1</f>
        <v>42295</v>
      </c>
      <c r="D1392" s="1" t="e">
        <f aca="false" t="array" ref="D1392:D1392">IF(ISBLANK(_xlfn.xlookup(D$3,daily_items,_xlfn.xlookup($C1392,daily_dates,big_daily_table))),NA(),_xlfn.xlookup(D$3,daily_items,_xlfn.xlookup($C1392,daily_dates,big_daily_table)))</f>
        <v>#NAME?</v>
      </c>
      <c r="E1392" s="1" t="e">
        <f aca="false" t="array" ref="E1392:E1392">IF(ISBLANK(_xlfn.xlookup(E$3,daily_items,_xlfn.xlookup($C1392,daily_dates,big_daily_table))),NA(),_xlfn.xlookup(E$3,daily_items,_xlfn.xlookup($C1392,daily_dates,big_daily_table)))</f>
        <v>#NAME?</v>
      </c>
    </row>
    <row r="1393" customFormat="false" ht="14.25" hidden="false" customHeight="false" outlineLevel="0" collapsed="false">
      <c r="B1393" s="7" t="n">
        <v>42298</v>
      </c>
      <c r="C1393" s="7" t="n">
        <f aca="false">B1393-WEEKDAY(B1393)+1</f>
        <v>42295</v>
      </c>
      <c r="D1393" s="1" t="e">
        <f aca="false" t="array" ref="D1393:D1393">IF(ISBLANK(_xlfn.xlookup(D$3,daily_items,_xlfn.xlookup($C1393,daily_dates,big_daily_table))),NA(),_xlfn.xlookup(D$3,daily_items,_xlfn.xlookup($C1393,daily_dates,big_daily_table)))</f>
        <v>#NAME?</v>
      </c>
      <c r="E1393" s="1" t="e">
        <f aca="false" t="array" ref="E1393:E1393">IF(ISBLANK(_xlfn.xlookup(E$3,daily_items,_xlfn.xlookup($C1393,daily_dates,big_daily_table))),NA(),_xlfn.xlookup(E$3,daily_items,_xlfn.xlookup($C1393,daily_dates,big_daily_table)))</f>
        <v>#NAME?</v>
      </c>
    </row>
    <row r="1394" customFormat="false" ht="14.25" hidden="false" customHeight="false" outlineLevel="0" collapsed="false">
      <c r="B1394" s="7" t="n">
        <v>42299</v>
      </c>
      <c r="C1394" s="7" t="n">
        <f aca="false">B1394-WEEKDAY(B1394)+1</f>
        <v>42295</v>
      </c>
      <c r="D1394" s="1" t="e">
        <f aca="false" t="array" ref="D1394:D1394">IF(ISBLANK(_xlfn.xlookup(D$3,daily_items,_xlfn.xlookup($C1394,daily_dates,big_daily_table))),NA(),_xlfn.xlookup(D$3,daily_items,_xlfn.xlookup($C1394,daily_dates,big_daily_table)))</f>
        <v>#NAME?</v>
      </c>
      <c r="E1394" s="1" t="e">
        <f aca="false" t="array" ref="E1394:E1394">IF(ISBLANK(_xlfn.xlookup(E$3,daily_items,_xlfn.xlookup($C1394,daily_dates,big_daily_table))),NA(),_xlfn.xlookup(E$3,daily_items,_xlfn.xlookup($C1394,daily_dates,big_daily_table)))</f>
        <v>#NAME?</v>
      </c>
    </row>
    <row r="1395" customFormat="false" ht="14.25" hidden="false" customHeight="false" outlineLevel="0" collapsed="false">
      <c r="B1395" s="7" t="n">
        <v>42300</v>
      </c>
      <c r="C1395" s="7" t="n">
        <f aca="false">B1395-WEEKDAY(B1395)+1</f>
        <v>42295</v>
      </c>
      <c r="D1395" s="1" t="e">
        <f aca="false" t="array" ref="D1395:D1395">IF(ISBLANK(_xlfn.xlookup(D$3,daily_items,_xlfn.xlookup($C1395,daily_dates,big_daily_table))),NA(),_xlfn.xlookup(D$3,daily_items,_xlfn.xlookup($C1395,daily_dates,big_daily_table)))</f>
        <v>#NAME?</v>
      </c>
      <c r="E1395" s="1" t="e">
        <f aca="false" t="array" ref="E1395:E1395">IF(ISBLANK(_xlfn.xlookup(E$3,daily_items,_xlfn.xlookup($C1395,daily_dates,big_daily_table))),NA(),_xlfn.xlookup(E$3,daily_items,_xlfn.xlookup($C1395,daily_dates,big_daily_table)))</f>
        <v>#NAME?</v>
      </c>
    </row>
    <row r="1396" customFormat="false" ht="14.25" hidden="false" customHeight="false" outlineLevel="0" collapsed="false">
      <c r="B1396" s="7" t="n">
        <v>42301</v>
      </c>
      <c r="C1396" s="7" t="n">
        <f aca="false">B1396-WEEKDAY(B1396)+1</f>
        <v>42295</v>
      </c>
      <c r="D1396" s="1" t="e">
        <f aca="false" t="array" ref="D1396:D1396">IF(ISBLANK(_xlfn.xlookup(D$3,daily_items,_xlfn.xlookup($C1396,daily_dates,big_daily_table))),NA(),_xlfn.xlookup(D$3,daily_items,_xlfn.xlookup($C1396,daily_dates,big_daily_table)))</f>
        <v>#NAME?</v>
      </c>
      <c r="E1396" s="1" t="e">
        <f aca="false" t="array" ref="E1396:E1396">IF(ISBLANK(_xlfn.xlookup(E$3,daily_items,_xlfn.xlookup($C1396,daily_dates,big_daily_table))),NA(),_xlfn.xlookup(E$3,daily_items,_xlfn.xlookup($C1396,daily_dates,big_daily_table)))</f>
        <v>#NAME?</v>
      </c>
    </row>
    <row r="1397" customFormat="false" ht="14.25" hidden="false" customHeight="false" outlineLevel="0" collapsed="false">
      <c r="B1397" s="7" t="n">
        <v>42302</v>
      </c>
      <c r="C1397" s="7" t="n">
        <f aca="false">B1397-WEEKDAY(B1397)+1</f>
        <v>42302</v>
      </c>
      <c r="D1397" s="1" t="e">
        <f aca="false" t="array" ref="D1397:D1397">IF(ISBLANK(_xlfn.xlookup(D$3,daily_items,_xlfn.xlookup($C1397,daily_dates,big_daily_table))),NA(),_xlfn.xlookup(D$3,daily_items,_xlfn.xlookup($C1397,daily_dates,big_daily_table)))</f>
        <v>#NAME?</v>
      </c>
      <c r="E1397" s="1" t="e">
        <f aca="false" t="array" ref="E1397:E1397">IF(ISBLANK(_xlfn.xlookup(E$3,daily_items,_xlfn.xlookup($C1397,daily_dates,big_daily_table))),NA(),_xlfn.xlookup(E$3,daily_items,_xlfn.xlookup($C1397,daily_dates,big_daily_table)))</f>
        <v>#NAME?</v>
      </c>
    </row>
    <row r="1398" customFormat="false" ht="14.25" hidden="false" customHeight="false" outlineLevel="0" collapsed="false">
      <c r="B1398" s="7" t="n">
        <v>42303</v>
      </c>
      <c r="C1398" s="7" t="n">
        <f aca="false">B1398-WEEKDAY(B1398)+1</f>
        <v>42302</v>
      </c>
      <c r="D1398" s="1" t="e">
        <f aca="false" t="array" ref="D1398:D1398">IF(ISBLANK(_xlfn.xlookup(D$3,daily_items,_xlfn.xlookup($C1398,daily_dates,big_daily_table))),NA(),_xlfn.xlookup(D$3,daily_items,_xlfn.xlookup($C1398,daily_dates,big_daily_table)))</f>
        <v>#NAME?</v>
      </c>
      <c r="E1398" s="1" t="e">
        <f aca="false" t="array" ref="E1398:E1398">IF(ISBLANK(_xlfn.xlookup(E$3,daily_items,_xlfn.xlookup($C1398,daily_dates,big_daily_table))),NA(),_xlfn.xlookup(E$3,daily_items,_xlfn.xlookup($C1398,daily_dates,big_daily_table)))</f>
        <v>#NAME?</v>
      </c>
    </row>
    <row r="1399" customFormat="false" ht="14.25" hidden="false" customHeight="false" outlineLevel="0" collapsed="false">
      <c r="B1399" s="7" t="n">
        <v>42304</v>
      </c>
      <c r="C1399" s="7" t="n">
        <f aca="false">B1399-WEEKDAY(B1399)+1</f>
        <v>42302</v>
      </c>
      <c r="D1399" s="1" t="e">
        <f aca="false" t="array" ref="D1399:D1399">IF(ISBLANK(_xlfn.xlookup(D$3,daily_items,_xlfn.xlookup($C1399,daily_dates,big_daily_table))),NA(),_xlfn.xlookup(D$3,daily_items,_xlfn.xlookup($C1399,daily_dates,big_daily_table)))</f>
        <v>#NAME?</v>
      </c>
      <c r="E1399" s="1" t="e">
        <f aca="false" t="array" ref="E1399:E1399">IF(ISBLANK(_xlfn.xlookup(E$3,daily_items,_xlfn.xlookup($C1399,daily_dates,big_daily_table))),NA(),_xlfn.xlookup(E$3,daily_items,_xlfn.xlookup($C1399,daily_dates,big_daily_table)))</f>
        <v>#NAME?</v>
      </c>
    </row>
    <row r="1400" customFormat="false" ht="14.25" hidden="false" customHeight="false" outlineLevel="0" collapsed="false">
      <c r="B1400" s="7" t="n">
        <v>42305</v>
      </c>
      <c r="C1400" s="7" t="n">
        <f aca="false">B1400-WEEKDAY(B1400)+1</f>
        <v>42302</v>
      </c>
      <c r="D1400" s="1" t="e">
        <f aca="false" t="array" ref="D1400:D1400">IF(ISBLANK(_xlfn.xlookup(D$3,daily_items,_xlfn.xlookup($C1400,daily_dates,big_daily_table))),NA(),_xlfn.xlookup(D$3,daily_items,_xlfn.xlookup($C1400,daily_dates,big_daily_table)))</f>
        <v>#NAME?</v>
      </c>
      <c r="E1400" s="1" t="e">
        <f aca="false" t="array" ref="E1400:E1400">IF(ISBLANK(_xlfn.xlookup(E$3,daily_items,_xlfn.xlookup($C1400,daily_dates,big_daily_table))),NA(),_xlfn.xlookup(E$3,daily_items,_xlfn.xlookup($C1400,daily_dates,big_daily_table)))</f>
        <v>#NAME?</v>
      </c>
    </row>
    <row r="1401" customFormat="false" ht="14.25" hidden="false" customHeight="false" outlineLevel="0" collapsed="false">
      <c r="B1401" s="7" t="n">
        <v>42306</v>
      </c>
      <c r="C1401" s="7" t="n">
        <f aca="false">B1401-WEEKDAY(B1401)+1</f>
        <v>42302</v>
      </c>
      <c r="D1401" s="1" t="e">
        <f aca="false" t="array" ref="D1401:D1401">IF(ISBLANK(_xlfn.xlookup(D$3,daily_items,_xlfn.xlookup($C1401,daily_dates,big_daily_table))),NA(),_xlfn.xlookup(D$3,daily_items,_xlfn.xlookup($C1401,daily_dates,big_daily_table)))</f>
        <v>#NAME?</v>
      </c>
      <c r="E1401" s="1" t="e">
        <f aca="false" t="array" ref="E1401:E1401">IF(ISBLANK(_xlfn.xlookup(E$3,daily_items,_xlfn.xlookup($C1401,daily_dates,big_daily_table))),NA(),_xlfn.xlookup(E$3,daily_items,_xlfn.xlookup($C1401,daily_dates,big_daily_table)))</f>
        <v>#NAME?</v>
      </c>
    </row>
    <row r="1402" customFormat="false" ht="14.25" hidden="false" customHeight="false" outlineLevel="0" collapsed="false">
      <c r="B1402" s="7" t="n">
        <v>42307</v>
      </c>
      <c r="C1402" s="7" t="n">
        <f aca="false">B1402-WEEKDAY(B1402)+1</f>
        <v>42302</v>
      </c>
      <c r="D1402" s="1" t="e">
        <f aca="false" t="array" ref="D1402:D1402">IF(ISBLANK(_xlfn.xlookup(D$3,daily_items,_xlfn.xlookup($C1402,daily_dates,big_daily_table))),NA(),_xlfn.xlookup(D$3,daily_items,_xlfn.xlookup($C1402,daily_dates,big_daily_table)))</f>
        <v>#NAME?</v>
      </c>
      <c r="E1402" s="1" t="e">
        <f aca="false" t="array" ref="E1402:E1402">IF(ISBLANK(_xlfn.xlookup(E$3,daily_items,_xlfn.xlookup($C1402,daily_dates,big_daily_table))),NA(),_xlfn.xlookup(E$3,daily_items,_xlfn.xlookup($C1402,daily_dates,big_daily_table)))</f>
        <v>#NAME?</v>
      </c>
    </row>
    <row r="1403" customFormat="false" ht="14.25" hidden="false" customHeight="false" outlineLevel="0" collapsed="false">
      <c r="B1403" s="7" t="n">
        <v>42308</v>
      </c>
      <c r="C1403" s="7" t="n">
        <f aca="false">B1403-WEEKDAY(B1403)+1</f>
        <v>42302</v>
      </c>
      <c r="D1403" s="1" t="e">
        <f aca="false" t="array" ref="D1403:D1403">IF(ISBLANK(_xlfn.xlookup(D$3,daily_items,_xlfn.xlookup($C1403,daily_dates,big_daily_table))),NA(),_xlfn.xlookup(D$3,daily_items,_xlfn.xlookup($C1403,daily_dates,big_daily_table)))</f>
        <v>#NAME?</v>
      </c>
      <c r="E1403" s="1" t="e">
        <f aca="false" t="array" ref="E1403:E1403">IF(ISBLANK(_xlfn.xlookup(E$3,daily_items,_xlfn.xlookup($C1403,daily_dates,big_daily_table))),NA(),_xlfn.xlookup(E$3,daily_items,_xlfn.xlookup($C1403,daily_dates,big_daily_table)))</f>
        <v>#NAME?</v>
      </c>
    </row>
    <row r="1404" customFormat="false" ht="14.25" hidden="false" customHeight="false" outlineLevel="0" collapsed="false">
      <c r="B1404" s="7" t="n">
        <v>42309</v>
      </c>
      <c r="C1404" s="7" t="n">
        <f aca="false">B1404-WEEKDAY(B1404)+1</f>
        <v>42309</v>
      </c>
      <c r="D1404" s="1" t="e">
        <f aca="false" t="array" ref="D1404:D1404">IF(ISBLANK(_xlfn.xlookup(D$3,daily_items,_xlfn.xlookup($C1404,daily_dates,big_daily_table))),NA(),_xlfn.xlookup(D$3,daily_items,_xlfn.xlookup($C1404,daily_dates,big_daily_table)))</f>
        <v>#NAME?</v>
      </c>
      <c r="E1404" s="1" t="e">
        <f aca="false" t="array" ref="E1404:E1404">IF(ISBLANK(_xlfn.xlookup(E$3,daily_items,_xlfn.xlookup($C1404,daily_dates,big_daily_table))),NA(),_xlfn.xlookup(E$3,daily_items,_xlfn.xlookup($C1404,daily_dates,big_daily_table)))</f>
        <v>#NAME?</v>
      </c>
    </row>
    <row r="1405" customFormat="false" ht="14.25" hidden="false" customHeight="false" outlineLevel="0" collapsed="false">
      <c r="B1405" s="7" t="n">
        <v>42310</v>
      </c>
      <c r="C1405" s="7" t="n">
        <f aca="false">B1405-WEEKDAY(B1405)+1</f>
        <v>42309</v>
      </c>
      <c r="D1405" s="1" t="e">
        <f aca="false" t="array" ref="D1405:D1405">IF(ISBLANK(_xlfn.xlookup(D$3,daily_items,_xlfn.xlookup($C1405,daily_dates,big_daily_table))),NA(),_xlfn.xlookup(D$3,daily_items,_xlfn.xlookup($C1405,daily_dates,big_daily_table)))</f>
        <v>#NAME?</v>
      </c>
      <c r="E1405" s="1" t="e">
        <f aca="false" t="array" ref="E1405:E1405">IF(ISBLANK(_xlfn.xlookup(E$3,daily_items,_xlfn.xlookup($C1405,daily_dates,big_daily_table))),NA(),_xlfn.xlookup(E$3,daily_items,_xlfn.xlookup($C1405,daily_dates,big_daily_table)))</f>
        <v>#NAME?</v>
      </c>
    </row>
    <row r="1406" customFormat="false" ht="14.25" hidden="false" customHeight="false" outlineLevel="0" collapsed="false">
      <c r="B1406" s="7" t="n">
        <v>42311</v>
      </c>
      <c r="C1406" s="7" t="n">
        <f aca="false">B1406-WEEKDAY(B1406)+1</f>
        <v>42309</v>
      </c>
      <c r="D1406" s="1" t="e">
        <f aca="false" t="array" ref="D1406:D1406">IF(ISBLANK(_xlfn.xlookup(D$3,daily_items,_xlfn.xlookup($C1406,daily_dates,big_daily_table))),NA(),_xlfn.xlookup(D$3,daily_items,_xlfn.xlookup($C1406,daily_dates,big_daily_table)))</f>
        <v>#NAME?</v>
      </c>
      <c r="E1406" s="1" t="e">
        <f aca="false" t="array" ref="E1406:E1406">IF(ISBLANK(_xlfn.xlookup(E$3,daily_items,_xlfn.xlookup($C1406,daily_dates,big_daily_table))),NA(),_xlfn.xlookup(E$3,daily_items,_xlfn.xlookup($C1406,daily_dates,big_daily_table)))</f>
        <v>#NAME?</v>
      </c>
    </row>
    <row r="1407" customFormat="false" ht="14.25" hidden="false" customHeight="false" outlineLevel="0" collapsed="false">
      <c r="B1407" s="7" t="n">
        <v>42312</v>
      </c>
      <c r="C1407" s="7" t="n">
        <f aca="false">B1407-WEEKDAY(B1407)+1</f>
        <v>42309</v>
      </c>
      <c r="D1407" s="1" t="e">
        <f aca="false" t="array" ref="D1407:D1407">IF(ISBLANK(_xlfn.xlookup(D$3,daily_items,_xlfn.xlookup($C1407,daily_dates,big_daily_table))),NA(),_xlfn.xlookup(D$3,daily_items,_xlfn.xlookup($C1407,daily_dates,big_daily_table)))</f>
        <v>#NAME?</v>
      </c>
      <c r="E1407" s="1" t="e">
        <f aca="false" t="array" ref="E1407:E1407">IF(ISBLANK(_xlfn.xlookup(E$3,daily_items,_xlfn.xlookup($C1407,daily_dates,big_daily_table))),NA(),_xlfn.xlookup(E$3,daily_items,_xlfn.xlookup($C1407,daily_dates,big_daily_table)))</f>
        <v>#NAME?</v>
      </c>
    </row>
    <row r="1408" customFormat="false" ht="14.25" hidden="false" customHeight="false" outlineLevel="0" collapsed="false">
      <c r="B1408" s="7" t="n">
        <v>42313</v>
      </c>
      <c r="C1408" s="7" t="n">
        <f aca="false">B1408-WEEKDAY(B1408)+1</f>
        <v>42309</v>
      </c>
      <c r="D1408" s="1" t="e">
        <f aca="false" t="array" ref="D1408:D1408">IF(ISBLANK(_xlfn.xlookup(D$3,daily_items,_xlfn.xlookup($C1408,daily_dates,big_daily_table))),NA(),_xlfn.xlookup(D$3,daily_items,_xlfn.xlookup($C1408,daily_dates,big_daily_table)))</f>
        <v>#NAME?</v>
      </c>
      <c r="E1408" s="1" t="e">
        <f aca="false" t="array" ref="E1408:E1408">IF(ISBLANK(_xlfn.xlookup(E$3,daily_items,_xlfn.xlookup($C1408,daily_dates,big_daily_table))),NA(),_xlfn.xlookup(E$3,daily_items,_xlfn.xlookup($C1408,daily_dates,big_daily_table)))</f>
        <v>#NAME?</v>
      </c>
    </row>
    <row r="1409" customFormat="false" ht="14.25" hidden="false" customHeight="false" outlineLevel="0" collapsed="false">
      <c r="B1409" s="7" t="n">
        <v>42314</v>
      </c>
      <c r="C1409" s="7" t="n">
        <f aca="false">B1409-WEEKDAY(B1409)+1</f>
        <v>42309</v>
      </c>
      <c r="D1409" s="1" t="e">
        <f aca="false" t="array" ref="D1409:D1409">IF(ISBLANK(_xlfn.xlookup(D$3,daily_items,_xlfn.xlookup($C1409,daily_dates,big_daily_table))),NA(),_xlfn.xlookup(D$3,daily_items,_xlfn.xlookup($C1409,daily_dates,big_daily_table)))</f>
        <v>#NAME?</v>
      </c>
      <c r="E1409" s="1" t="e">
        <f aca="false" t="array" ref="E1409:E1409">IF(ISBLANK(_xlfn.xlookup(E$3,daily_items,_xlfn.xlookup($C1409,daily_dates,big_daily_table))),NA(),_xlfn.xlookup(E$3,daily_items,_xlfn.xlookup($C1409,daily_dates,big_daily_table)))</f>
        <v>#NAME?</v>
      </c>
    </row>
    <row r="1410" customFormat="false" ht="14.25" hidden="false" customHeight="false" outlineLevel="0" collapsed="false">
      <c r="B1410" s="7" t="n">
        <v>42315</v>
      </c>
      <c r="C1410" s="7" t="n">
        <f aca="false">B1410-WEEKDAY(B1410)+1</f>
        <v>42309</v>
      </c>
      <c r="D1410" s="1" t="e">
        <f aca="false" t="array" ref="D1410:D1410">IF(ISBLANK(_xlfn.xlookup(D$3,daily_items,_xlfn.xlookup($C1410,daily_dates,big_daily_table))),NA(),_xlfn.xlookup(D$3,daily_items,_xlfn.xlookup($C1410,daily_dates,big_daily_table)))</f>
        <v>#NAME?</v>
      </c>
      <c r="E1410" s="1" t="e">
        <f aca="false" t="array" ref="E1410:E1410">IF(ISBLANK(_xlfn.xlookup(E$3,daily_items,_xlfn.xlookup($C1410,daily_dates,big_daily_table))),NA(),_xlfn.xlookup(E$3,daily_items,_xlfn.xlookup($C1410,daily_dates,big_daily_table)))</f>
        <v>#NAME?</v>
      </c>
    </row>
    <row r="1411" customFormat="false" ht="14.25" hidden="false" customHeight="false" outlineLevel="0" collapsed="false">
      <c r="B1411" s="7" t="n">
        <v>42316</v>
      </c>
      <c r="C1411" s="7" t="n">
        <f aca="false">B1411-WEEKDAY(B1411)+1</f>
        <v>42316</v>
      </c>
      <c r="D1411" s="1" t="e">
        <f aca="false" t="array" ref="D1411:D1411">IF(ISBLANK(_xlfn.xlookup(D$3,daily_items,_xlfn.xlookup($C1411,daily_dates,big_daily_table))),NA(),_xlfn.xlookup(D$3,daily_items,_xlfn.xlookup($C1411,daily_dates,big_daily_table)))</f>
        <v>#NAME?</v>
      </c>
      <c r="E1411" s="1" t="e">
        <f aca="false" t="array" ref="E1411:E1411">IF(ISBLANK(_xlfn.xlookup(E$3,daily_items,_xlfn.xlookup($C1411,daily_dates,big_daily_table))),NA(),_xlfn.xlookup(E$3,daily_items,_xlfn.xlookup($C1411,daily_dates,big_daily_table)))</f>
        <v>#NAME?</v>
      </c>
    </row>
    <row r="1412" customFormat="false" ht="14.25" hidden="false" customHeight="false" outlineLevel="0" collapsed="false">
      <c r="B1412" s="7" t="n">
        <v>42317</v>
      </c>
      <c r="C1412" s="7" t="n">
        <f aca="false">B1412-WEEKDAY(B1412)+1</f>
        <v>42316</v>
      </c>
      <c r="D1412" s="1" t="e">
        <f aca="false" t="array" ref="D1412:D1412">IF(ISBLANK(_xlfn.xlookup(D$3,daily_items,_xlfn.xlookup($C1412,daily_dates,big_daily_table))),NA(),_xlfn.xlookup(D$3,daily_items,_xlfn.xlookup($C1412,daily_dates,big_daily_table)))</f>
        <v>#NAME?</v>
      </c>
      <c r="E1412" s="1" t="e">
        <f aca="false" t="array" ref="E1412:E1412">IF(ISBLANK(_xlfn.xlookup(E$3,daily_items,_xlfn.xlookup($C1412,daily_dates,big_daily_table))),NA(),_xlfn.xlookup(E$3,daily_items,_xlfn.xlookup($C1412,daily_dates,big_daily_table)))</f>
        <v>#NAME?</v>
      </c>
    </row>
    <row r="1413" customFormat="false" ht="14.25" hidden="false" customHeight="false" outlineLevel="0" collapsed="false">
      <c r="B1413" s="7" t="n">
        <v>42318</v>
      </c>
      <c r="C1413" s="7" t="n">
        <f aca="false">B1413-WEEKDAY(B1413)+1</f>
        <v>42316</v>
      </c>
      <c r="D1413" s="1" t="e">
        <f aca="false" t="array" ref="D1413:D1413">IF(ISBLANK(_xlfn.xlookup(D$3,daily_items,_xlfn.xlookup($C1413,daily_dates,big_daily_table))),NA(),_xlfn.xlookup(D$3,daily_items,_xlfn.xlookup($C1413,daily_dates,big_daily_table)))</f>
        <v>#NAME?</v>
      </c>
      <c r="E1413" s="1" t="e">
        <f aca="false" t="array" ref="E1413:E1413">IF(ISBLANK(_xlfn.xlookup(E$3,daily_items,_xlfn.xlookup($C1413,daily_dates,big_daily_table))),NA(),_xlfn.xlookup(E$3,daily_items,_xlfn.xlookup($C1413,daily_dates,big_daily_table)))</f>
        <v>#NAME?</v>
      </c>
    </row>
    <row r="1414" customFormat="false" ht="14.25" hidden="false" customHeight="false" outlineLevel="0" collapsed="false">
      <c r="B1414" s="7" t="n">
        <v>42319</v>
      </c>
      <c r="C1414" s="7" t="n">
        <f aca="false">B1414-WEEKDAY(B1414)+1</f>
        <v>42316</v>
      </c>
      <c r="D1414" s="1" t="e">
        <f aca="false" t="array" ref="D1414:D1414">IF(ISBLANK(_xlfn.xlookup(D$3,daily_items,_xlfn.xlookup($C1414,daily_dates,big_daily_table))),NA(),_xlfn.xlookup(D$3,daily_items,_xlfn.xlookup($C1414,daily_dates,big_daily_table)))</f>
        <v>#NAME?</v>
      </c>
      <c r="E1414" s="1" t="e">
        <f aca="false" t="array" ref="E1414:E1414">IF(ISBLANK(_xlfn.xlookup(E$3,daily_items,_xlfn.xlookup($C1414,daily_dates,big_daily_table))),NA(),_xlfn.xlookup(E$3,daily_items,_xlfn.xlookup($C1414,daily_dates,big_daily_table)))</f>
        <v>#NAME?</v>
      </c>
    </row>
    <row r="1415" customFormat="false" ht="14.25" hidden="false" customHeight="false" outlineLevel="0" collapsed="false">
      <c r="B1415" s="7" t="n">
        <v>42320</v>
      </c>
      <c r="C1415" s="7" t="n">
        <f aca="false">B1415-WEEKDAY(B1415)+1</f>
        <v>42316</v>
      </c>
      <c r="D1415" s="1" t="e">
        <f aca="false" t="array" ref="D1415:D1415">IF(ISBLANK(_xlfn.xlookup(D$3,daily_items,_xlfn.xlookup($C1415,daily_dates,big_daily_table))),NA(),_xlfn.xlookup(D$3,daily_items,_xlfn.xlookup($C1415,daily_dates,big_daily_table)))</f>
        <v>#NAME?</v>
      </c>
      <c r="E1415" s="1" t="e">
        <f aca="false" t="array" ref="E1415:E1415">IF(ISBLANK(_xlfn.xlookup(E$3,daily_items,_xlfn.xlookup($C1415,daily_dates,big_daily_table))),NA(),_xlfn.xlookup(E$3,daily_items,_xlfn.xlookup($C1415,daily_dates,big_daily_table)))</f>
        <v>#NAME?</v>
      </c>
    </row>
    <row r="1416" customFormat="false" ht="14.25" hidden="false" customHeight="false" outlineLevel="0" collapsed="false">
      <c r="B1416" s="7" t="n">
        <v>42321</v>
      </c>
      <c r="C1416" s="7" t="n">
        <f aca="false">B1416-WEEKDAY(B1416)+1</f>
        <v>42316</v>
      </c>
      <c r="D1416" s="1" t="e">
        <f aca="false" t="array" ref="D1416:D1416">IF(ISBLANK(_xlfn.xlookup(D$3,daily_items,_xlfn.xlookup($C1416,daily_dates,big_daily_table))),NA(),_xlfn.xlookup(D$3,daily_items,_xlfn.xlookup($C1416,daily_dates,big_daily_table)))</f>
        <v>#NAME?</v>
      </c>
      <c r="E1416" s="1" t="e">
        <f aca="false" t="array" ref="E1416:E1416">IF(ISBLANK(_xlfn.xlookup(E$3,daily_items,_xlfn.xlookup($C1416,daily_dates,big_daily_table))),NA(),_xlfn.xlookup(E$3,daily_items,_xlfn.xlookup($C1416,daily_dates,big_daily_table)))</f>
        <v>#NAME?</v>
      </c>
    </row>
    <row r="1417" customFormat="false" ht="14.25" hidden="false" customHeight="false" outlineLevel="0" collapsed="false">
      <c r="B1417" s="7" t="n">
        <v>42322</v>
      </c>
      <c r="C1417" s="7" t="n">
        <f aca="false">B1417-WEEKDAY(B1417)+1</f>
        <v>42316</v>
      </c>
      <c r="D1417" s="1" t="e">
        <f aca="false" t="array" ref="D1417:D1417">IF(ISBLANK(_xlfn.xlookup(D$3,daily_items,_xlfn.xlookup($C1417,daily_dates,big_daily_table))),NA(),_xlfn.xlookup(D$3,daily_items,_xlfn.xlookup($C1417,daily_dates,big_daily_table)))</f>
        <v>#NAME?</v>
      </c>
      <c r="E1417" s="1" t="e">
        <f aca="false" t="array" ref="E1417:E1417">IF(ISBLANK(_xlfn.xlookup(E$3,daily_items,_xlfn.xlookup($C1417,daily_dates,big_daily_table))),NA(),_xlfn.xlookup(E$3,daily_items,_xlfn.xlookup($C1417,daily_dates,big_daily_table)))</f>
        <v>#NAME?</v>
      </c>
    </row>
    <row r="1418" customFormat="false" ht="14.25" hidden="false" customHeight="false" outlineLevel="0" collapsed="false">
      <c r="B1418" s="7" t="n">
        <v>42323</v>
      </c>
      <c r="C1418" s="7" t="n">
        <f aca="false">B1418-WEEKDAY(B1418)+1</f>
        <v>42323</v>
      </c>
      <c r="D1418" s="1" t="e">
        <f aca="false" t="array" ref="D1418:D1418">IF(ISBLANK(_xlfn.xlookup(D$3,daily_items,_xlfn.xlookup($C1418,daily_dates,big_daily_table))),NA(),_xlfn.xlookup(D$3,daily_items,_xlfn.xlookup($C1418,daily_dates,big_daily_table)))</f>
        <v>#NAME?</v>
      </c>
      <c r="E1418" s="1" t="e">
        <f aca="false" t="array" ref="E1418:E1418">IF(ISBLANK(_xlfn.xlookup(E$3,daily_items,_xlfn.xlookup($C1418,daily_dates,big_daily_table))),NA(),_xlfn.xlookup(E$3,daily_items,_xlfn.xlookup($C1418,daily_dates,big_daily_table)))</f>
        <v>#NAME?</v>
      </c>
    </row>
    <row r="1419" customFormat="false" ht="14.25" hidden="false" customHeight="false" outlineLevel="0" collapsed="false">
      <c r="B1419" s="7" t="n">
        <v>42324</v>
      </c>
      <c r="C1419" s="7" t="n">
        <f aca="false">B1419-WEEKDAY(B1419)+1</f>
        <v>42323</v>
      </c>
      <c r="D1419" s="1" t="e">
        <f aca="false" t="array" ref="D1419:D1419">IF(ISBLANK(_xlfn.xlookup(D$3,daily_items,_xlfn.xlookup($C1419,daily_dates,big_daily_table))),NA(),_xlfn.xlookup(D$3,daily_items,_xlfn.xlookup($C1419,daily_dates,big_daily_table)))</f>
        <v>#NAME?</v>
      </c>
      <c r="E1419" s="1" t="e">
        <f aca="false" t="array" ref="E1419:E1419">IF(ISBLANK(_xlfn.xlookup(E$3,daily_items,_xlfn.xlookup($C1419,daily_dates,big_daily_table))),NA(),_xlfn.xlookup(E$3,daily_items,_xlfn.xlookup($C1419,daily_dates,big_daily_table)))</f>
        <v>#NAME?</v>
      </c>
    </row>
    <row r="1420" customFormat="false" ht="14.25" hidden="false" customHeight="false" outlineLevel="0" collapsed="false">
      <c r="B1420" s="7" t="n">
        <v>42325</v>
      </c>
      <c r="C1420" s="7" t="n">
        <f aca="false">B1420-WEEKDAY(B1420)+1</f>
        <v>42323</v>
      </c>
      <c r="D1420" s="1" t="e">
        <f aca="false" t="array" ref="D1420:D1420">IF(ISBLANK(_xlfn.xlookup(D$3,daily_items,_xlfn.xlookup($C1420,daily_dates,big_daily_table))),NA(),_xlfn.xlookup(D$3,daily_items,_xlfn.xlookup($C1420,daily_dates,big_daily_table)))</f>
        <v>#NAME?</v>
      </c>
      <c r="E1420" s="1" t="e">
        <f aca="false" t="array" ref="E1420:E1420">IF(ISBLANK(_xlfn.xlookup(E$3,daily_items,_xlfn.xlookup($C1420,daily_dates,big_daily_table))),NA(),_xlfn.xlookup(E$3,daily_items,_xlfn.xlookup($C1420,daily_dates,big_daily_table)))</f>
        <v>#NAME?</v>
      </c>
    </row>
    <row r="1421" customFormat="false" ht="14.25" hidden="false" customHeight="false" outlineLevel="0" collapsed="false">
      <c r="B1421" s="7" t="n">
        <v>42326</v>
      </c>
      <c r="C1421" s="7" t="n">
        <f aca="false">B1421-WEEKDAY(B1421)+1</f>
        <v>42323</v>
      </c>
      <c r="D1421" s="1" t="e">
        <f aca="false" t="array" ref="D1421:D1421">IF(ISBLANK(_xlfn.xlookup(D$3,daily_items,_xlfn.xlookup($C1421,daily_dates,big_daily_table))),NA(),_xlfn.xlookup(D$3,daily_items,_xlfn.xlookup($C1421,daily_dates,big_daily_table)))</f>
        <v>#NAME?</v>
      </c>
      <c r="E1421" s="1" t="e">
        <f aca="false" t="array" ref="E1421:E1421">IF(ISBLANK(_xlfn.xlookup(E$3,daily_items,_xlfn.xlookup($C1421,daily_dates,big_daily_table))),NA(),_xlfn.xlookup(E$3,daily_items,_xlfn.xlookup($C1421,daily_dates,big_daily_table)))</f>
        <v>#NAME?</v>
      </c>
    </row>
    <row r="1422" customFormat="false" ht="14.25" hidden="false" customHeight="false" outlineLevel="0" collapsed="false">
      <c r="B1422" s="7" t="n">
        <v>42327</v>
      </c>
      <c r="C1422" s="7" t="n">
        <f aca="false">B1422-WEEKDAY(B1422)+1</f>
        <v>42323</v>
      </c>
      <c r="D1422" s="1" t="e">
        <f aca="false" t="array" ref="D1422:D1422">IF(ISBLANK(_xlfn.xlookup(D$3,daily_items,_xlfn.xlookup($C1422,daily_dates,big_daily_table))),NA(),_xlfn.xlookup(D$3,daily_items,_xlfn.xlookup($C1422,daily_dates,big_daily_table)))</f>
        <v>#NAME?</v>
      </c>
      <c r="E1422" s="1" t="e">
        <f aca="false" t="array" ref="E1422:E1422">IF(ISBLANK(_xlfn.xlookup(E$3,daily_items,_xlfn.xlookup($C1422,daily_dates,big_daily_table))),NA(),_xlfn.xlookup(E$3,daily_items,_xlfn.xlookup($C1422,daily_dates,big_daily_table)))</f>
        <v>#NAME?</v>
      </c>
    </row>
    <row r="1423" customFormat="false" ht="14.25" hidden="false" customHeight="false" outlineLevel="0" collapsed="false">
      <c r="B1423" s="7" t="n">
        <v>42328</v>
      </c>
      <c r="C1423" s="7" t="n">
        <f aca="false">B1423-WEEKDAY(B1423)+1</f>
        <v>42323</v>
      </c>
      <c r="D1423" s="1" t="e">
        <f aca="false" t="array" ref="D1423:D1423">IF(ISBLANK(_xlfn.xlookup(D$3,daily_items,_xlfn.xlookup($C1423,daily_dates,big_daily_table))),NA(),_xlfn.xlookup(D$3,daily_items,_xlfn.xlookup($C1423,daily_dates,big_daily_table)))</f>
        <v>#NAME?</v>
      </c>
      <c r="E1423" s="1" t="e">
        <f aca="false" t="array" ref="E1423:E1423">IF(ISBLANK(_xlfn.xlookup(E$3,daily_items,_xlfn.xlookup($C1423,daily_dates,big_daily_table))),NA(),_xlfn.xlookup(E$3,daily_items,_xlfn.xlookup($C1423,daily_dates,big_daily_table)))</f>
        <v>#NAME?</v>
      </c>
    </row>
    <row r="1424" customFormat="false" ht="14.25" hidden="false" customHeight="false" outlineLevel="0" collapsed="false">
      <c r="B1424" s="7" t="n">
        <v>42329</v>
      </c>
      <c r="C1424" s="7" t="n">
        <f aca="false">B1424-WEEKDAY(B1424)+1</f>
        <v>42323</v>
      </c>
      <c r="D1424" s="1" t="e">
        <f aca="false" t="array" ref="D1424:D1424">IF(ISBLANK(_xlfn.xlookup(D$3,daily_items,_xlfn.xlookup($C1424,daily_dates,big_daily_table))),NA(),_xlfn.xlookup(D$3,daily_items,_xlfn.xlookup($C1424,daily_dates,big_daily_table)))</f>
        <v>#NAME?</v>
      </c>
      <c r="E1424" s="1" t="e">
        <f aca="false" t="array" ref="E1424:E1424">IF(ISBLANK(_xlfn.xlookup(E$3,daily_items,_xlfn.xlookup($C1424,daily_dates,big_daily_table))),NA(),_xlfn.xlookup(E$3,daily_items,_xlfn.xlookup($C1424,daily_dates,big_daily_table)))</f>
        <v>#NAME?</v>
      </c>
    </row>
    <row r="1425" customFormat="false" ht="14.25" hidden="false" customHeight="false" outlineLevel="0" collapsed="false">
      <c r="B1425" s="7" t="n">
        <v>42330</v>
      </c>
      <c r="C1425" s="7" t="n">
        <f aca="false">B1425-WEEKDAY(B1425)+1</f>
        <v>42330</v>
      </c>
      <c r="D1425" s="1" t="e">
        <f aca="false" t="array" ref="D1425:D1425">IF(ISBLANK(_xlfn.xlookup(D$3,daily_items,_xlfn.xlookup($C1425,daily_dates,big_daily_table))),NA(),_xlfn.xlookup(D$3,daily_items,_xlfn.xlookup($C1425,daily_dates,big_daily_table)))</f>
        <v>#NAME?</v>
      </c>
      <c r="E1425" s="1" t="e">
        <f aca="false" t="array" ref="E1425:E1425">IF(ISBLANK(_xlfn.xlookup(E$3,daily_items,_xlfn.xlookup($C1425,daily_dates,big_daily_table))),NA(),_xlfn.xlookup(E$3,daily_items,_xlfn.xlookup($C1425,daily_dates,big_daily_table)))</f>
        <v>#NAME?</v>
      </c>
    </row>
    <row r="1426" customFormat="false" ht="14.25" hidden="false" customHeight="false" outlineLevel="0" collapsed="false">
      <c r="B1426" s="7" t="n">
        <v>42331</v>
      </c>
      <c r="C1426" s="7" t="n">
        <f aca="false">B1426-WEEKDAY(B1426)+1</f>
        <v>42330</v>
      </c>
      <c r="D1426" s="1" t="e">
        <f aca="false" t="array" ref="D1426:D1426">IF(ISBLANK(_xlfn.xlookup(D$3,daily_items,_xlfn.xlookup($C1426,daily_dates,big_daily_table))),NA(),_xlfn.xlookup(D$3,daily_items,_xlfn.xlookup($C1426,daily_dates,big_daily_table)))</f>
        <v>#NAME?</v>
      </c>
      <c r="E1426" s="1" t="e">
        <f aca="false" t="array" ref="E1426:E1426">IF(ISBLANK(_xlfn.xlookup(E$3,daily_items,_xlfn.xlookup($C1426,daily_dates,big_daily_table))),NA(),_xlfn.xlookup(E$3,daily_items,_xlfn.xlookup($C1426,daily_dates,big_daily_table)))</f>
        <v>#NAME?</v>
      </c>
    </row>
    <row r="1427" customFormat="false" ht="14.25" hidden="false" customHeight="false" outlineLevel="0" collapsed="false">
      <c r="B1427" s="7" t="n">
        <v>42332</v>
      </c>
      <c r="C1427" s="7" t="n">
        <f aca="false">B1427-WEEKDAY(B1427)+1</f>
        <v>42330</v>
      </c>
      <c r="D1427" s="1" t="e">
        <f aca="false" t="array" ref="D1427:D1427">IF(ISBLANK(_xlfn.xlookup(D$3,daily_items,_xlfn.xlookup($C1427,daily_dates,big_daily_table))),NA(),_xlfn.xlookup(D$3,daily_items,_xlfn.xlookup($C1427,daily_dates,big_daily_table)))</f>
        <v>#NAME?</v>
      </c>
      <c r="E1427" s="1" t="e">
        <f aca="false" t="array" ref="E1427:E1427">IF(ISBLANK(_xlfn.xlookup(E$3,daily_items,_xlfn.xlookup($C1427,daily_dates,big_daily_table))),NA(),_xlfn.xlookup(E$3,daily_items,_xlfn.xlookup($C1427,daily_dates,big_daily_table)))</f>
        <v>#NAME?</v>
      </c>
    </row>
    <row r="1428" customFormat="false" ht="14.25" hidden="false" customHeight="false" outlineLevel="0" collapsed="false">
      <c r="B1428" s="7" t="n">
        <v>42333</v>
      </c>
      <c r="C1428" s="7" t="n">
        <f aca="false">B1428-WEEKDAY(B1428)+1</f>
        <v>42330</v>
      </c>
      <c r="D1428" s="1" t="e">
        <f aca="false" t="array" ref="D1428:D1428">IF(ISBLANK(_xlfn.xlookup(D$3,daily_items,_xlfn.xlookup($C1428,daily_dates,big_daily_table))),NA(),_xlfn.xlookup(D$3,daily_items,_xlfn.xlookup($C1428,daily_dates,big_daily_table)))</f>
        <v>#NAME?</v>
      </c>
      <c r="E1428" s="1" t="e">
        <f aca="false" t="array" ref="E1428:E1428">IF(ISBLANK(_xlfn.xlookup(E$3,daily_items,_xlfn.xlookup($C1428,daily_dates,big_daily_table))),NA(),_xlfn.xlookup(E$3,daily_items,_xlfn.xlookup($C1428,daily_dates,big_daily_table)))</f>
        <v>#NAME?</v>
      </c>
    </row>
    <row r="1429" customFormat="false" ht="14.25" hidden="false" customHeight="false" outlineLevel="0" collapsed="false">
      <c r="B1429" s="7" t="n">
        <v>42334</v>
      </c>
      <c r="C1429" s="7" t="n">
        <f aca="false">B1429-WEEKDAY(B1429)+1</f>
        <v>42330</v>
      </c>
      <c r="D1429" s="1" t="e">
        <f aca="false" t="array" ref="D1429:D1429">IF(ISBLANK(_xlfn.xlookup(D$3,daily_items,_xlfn.xlookup($C1429,daily_dates,big_daily_table))),NA(),_xlfn.xlookup(D$3,daily_items,_xlfn.xlookup($C1429,daily_dates,big_daily_table)))</f>
        <v>#NAME?</v>
      </c>
      <c r="E1429" s="1" t="e">
        <f aca="false" t="array" ref="E1429:E1429">IF(ISBLANK(_xlfn.xlookup(E$3,daily_items,_xlfn.xlookup($C1429,daily_dates,big_daily_table))),NA(),_xlfn.xlookup(E$3,daily_items,_xlfn.xlookup($C1429,daily_dates,big_daily_table)))</f>
        <v>#NAME?</v>
      </c>
    </row>
    <row r="1430" customFormat="false" ht="14.25" hidden="false" customHeight="false" outlineLevel="0" collapsed="false">
      <c r="B1430" s="7" t="n">
        <v>42335</v>
      </c>
      <c r="C1430" s="7" t="n">
        <f aca="false">B1430-WEEKDAY(B1430)+1</f>
        <v>42330</v>
      </c>
      <c r="D1430" s="1" t="e">
        <f aca="false" t="array" ref="D1430:D1430">IF(ISBLANK(_xlfn.xlookup(D$3,daily_items,_xlfn.xlookup($C1430,daily_dates,big_daily_table))),NA(),_xlfn.xlookup(D$3,daily_items,_xlfn.xlookup($C1430,daily_dates,big_daily_table)))</f>
        <v>#NAME?</v>
      </c>
      <c r="E1430" s="1" t="e">
        <f aca="false" t="array" ref="E1430:E1430">IF(ISBLANK(_xlfn.xlookup(E$3,daily_items,_xlfn.xlookup($C1430,daily_dates,big_daily_table))),NA(),_xlfn.xlookup(E$3,daily_items,_xlfn.xlookup($C1430,daily_dates,big_daily_table)))</f>
        <v>#NAME?</v>
      </c>
    </row>
    <row r="1431" customFormat="false" ht="14.25" hidden="false" customHeight="false" outlineLevel="0" collapsed="false">
      <c r="B1431" s="7" t="n">
        <v>42336</v>
      </c>
      <c r="C1431" s="7" t="n">
        <f aca="false">B1431-WEEKDAY(B1431)+1</f>
        <v>42330</v>
      </c>
      <c r="D1431" s="1" t="e">
        <f aca="false" t="array" ref="D1431:D1431">IF(ISBLANK(_xlfn.xlookup(D$3,daily_items,_xlfn.xlookup($C1431,daily_dates,big_daily_table))),NA(),_xlfn.xlookup(D$3,daily_items,_xlfn.xlookup($C1431,daily_dates,big_daily_table)))</f>
        <v>#NAME?</v>
      </c>
      <c r="E1431" s="1" t="e">
        <f aca="false" t="array" ref="E1431:E1431">IF(ISBLANK(_xlfn.xlookup(E$3,daily_items,_xlfn.xlookup($C1431,daily_dates,big_daily_table))),NA(),_xlfn.xlookup(E$3,daily_items,_xlfn.xlookup($C1431,daily_dates,big_daily_table)))</f>
        <v>#NAME?</v>
      </c>
    </row>
    <row r="1432" customFormat="false" ht="14.25" hidden="false" customHeight="false" outlineLevel="0" collapsed="false">
      <c r="B1432" s="7" t="n">
        <v>42337</v>
      </c>
      <c r="C1432" s="7" t="n">
        <f aca="false">B1432-WEEKDAY(B1432)+1</f>
        <v>42337</v>
      </c>
      <c r="D1432" s="1" t="e">
        <f aca="false" t="array" ref="D1432:D1432">IF(ISBLANK(_xlfn.xlookup(D$3,daily_items,_xlfn.xlookup($C1432,daily_dates,big_daily_table))),NA(),_xlfn.xlookup(D$3,daily_items,_xlfn.xlookup($C1432,daily_dates,big_daily_table)))</f>
        <v>#NAME?</v>
      </c>
      <c r="E1432" s="1" t="e">
        <f aca="false" t="array" ref="E1432:E1432">IF(ISBLANK(_xlfn.xlookup(E$3,daily_items,_xlfn.xlookup($C1432,daily_dates,big_daily_table))),NA(),_xlfn.xlookup(E$3,daily_items,_xlfn.xlookup($C1432,daily_dates,big_daily_table)))</f>
        <v>#NAME?</v>
      </c>
    </row>
    <row r="1433" customFormat="false" ht="14.25" hidden="false" customHeight="false" outlineLevel="0" collapsed="false">
      <c r="B1433" s="7" t="n">
        <v>42338</v>
      </c>
      <c r="C1433" s="7" t="n">
        <f aca="false">B1433-WEEKDAY(B1433)+1</f>
        <v>42337</v>
      </c>
      <c r="D1433" s="1" t="e">
        <f aca="false" t="array" ref="D1433:D1433">IF(ISBLANK(_xlfn.xlookup(D$3,daily_items,_xlfn.xlookup($C1433,daily_dates,big_daily_table))),NA(),_xlfn.xlookup(D$3,daily_items,_xlfn.xlookup($C1433,daily_dates,big_daily_table)))</f>
        <v>#NAME?</v>
      </c>
      <c r="E1433" s="1" t="e">
        <f aca="false" t="array" ref="E1433:E1433">IF(ISBLANK(_xlfn.xlookup(E$3,daily_items,_xlfn.xlookup($C1433,daily_dates,big_daily_table))),NA(),_xlfn.xlookup(E$3,daily_items,_xlfn.xlookup($C1433,daily_dates,big_daily_table)))</f>
        <v>#NAME?</v>
      </c>
    </row>
    <row r="1434" customFormat="false" ht="14.25" hidden="false" customHeight="false" outlineLevel="0" collapsed="false">
      <c r="B1434" s="7" t="n">
        <v>42339</v>
      </c>
      <c r="C1434" s="7" t="n">
        <f aca="false">B1434-WEEKDAY(B1434)+1</f>
        <v>42337</v>
      </c>
      <c r="D1434" s="1" t="e">
        <f aca="false" t="array" ref="D1434:D1434">IF(ISBLANK(_xlfn.xlookup(D$3,daily_items,_xlfn.xlookup($C1434,daily_dates,big_daily_table))),NA(),_xlfn.xlookup(D$3,daily_items,_xlfn.xlookup($C1434,daily_dates,big_daily_table)))</f>
        <v>#NAME?</v>
      </c>
      <c r="E1434" s="1" t="e">
        <f aca="false" t="array" ref="E1434:E1434">IF(ISBLANK(_xlfn.xlookup(E$3,daily_items,_xlfn.xlookup($C1434,daily_dates,big_daily_table))),NA(),_xlfn.xlookup(E$3,daily_items,_xlfn.xlookup($C1434,daily_dates,big_daily_table)))</f>
        <v>#NAME?</v>
      </c>
    </row>
    <row r="1435" customFormat="false" ht="14.25" hidden="false" customHeight="false" outlineLevel="0" collapsed="false">
      <c r="B1435" s="7" t="n">
        <v>42340</v>
      </c>
      <c r="C1435" s="7" t="n">
        <f aca="false">B1435-WEEKDAY(B1435)+1</f>
        <v>42337</v>
      </c>
      <c r="D1435" s="1" t="e">
        <f aca="false" t="array" ref="D1435:D1435">IF(ISBLANK(_xlfn.xlookup(D$3,daily_items,_xlfn.xlookup($C1435,daily_dates,big_daily_table))),NA(),_xlfn.xlookup(D$3,daily_items,_xlfn.xlookup($C1435,daily_dates,big_daily_table)))</f>
        <v>#NAME?</v>
      </c>
      <c r="E1435" s="1" t="e">
        <f aca="false" t="array" ref="E1435:E1435">IF(ISBLANK(_xlfn.xlookup(E$3,daily_items,_xlfn.xlookup($C1435,daily_dates,big_daily_table))),NA(),_xlfn.xlookup(E$3,daily_items,_xlfn.xlookup($C1435,daily_dates,big_daily_table)))</f>
        <v>#NAME?</v>
      </c>
    </row>
    <row r="1436" customFormat="false" ht="14.25" hidden="false" customHeight="false" outlineLevel="0" collapsed="false">
      <c r="B1436" s="7" t="n">
        <v>42341</v>
      </c>
      <c r="C1436" s="7" t="n">
        <f aca="false">B1436-WEEKDAY(B1436)+1</f>
        <v>42337</v>
      </c>
      <c r="D1436" s="1" t="e">
        <f aca="false" t="array" ref="D1436:D1436">IF(ISBLANK(_xlfn.xlookup(D$3,daily_items,_xlfn.xlookup($C1436,daily_dates,big_daily_table))),NA(),_xlfn.xlookup(D$3,daily_items,_xlfn.xlookup($C1436,daily_dates,big_daily_table)))</f>
        <v>#NAME?</v>
      </c>
      <c r="E1436" s="1" t="e">
        <f aca="false" t="array" ref="E1436:E1436">IF(ISBLANK(_xlfn.xlookup(E$3,daily_items,_xlfn.xlookup($C1436,daily_dates,big_daily_table))),NA(),_xlfn.xlookup(E$3,daily_items,_xlfn.xlookup($C1436,daily_dates,big_daily_table)))</f>
        <v>#NAME?</v>
      </c>
    </row>
    <row r="1437" customFormat="false" ht="14.25" hidden="false" customHeight="false" outlineLevel="0" collapsed="false">
      <c r="B1437" s="7" t="n">
        <v>42342</v>
      </c>
      <c r="C1437" s="7" t="n">
        <f aca="false">B1437-WEEKDAY(B1437)+1</f>
        <v>42337</v>
      </c>
      <c r="D1437" s="1" t="e">
        <f aca="false" t="array" ref="D1437:D1437">IF(ISBLANK(_xlfn.xlookup(D$3,daily_items,_xlfn.xlookup($C1437,daily_dates,big_daily_table))),NA(),_xlfn.xlookup(D$3,daily_items,_xlfn.xlookup($C1437,daily_dates,big_daily_table)))</f>
        <v>#NAME?</v>
      </c>
      <c r="E1437" s="1" t="e">
        <f aca="false" t="array" ref="E1437:E1437">IF(ISBLANK(_xlfn.xlookup(E$3,daily_items,_xlfn.xlookup($C1437,daily_dates,big_daily_table))),NA(),_xlfn.xlookup(E$3,daily_items,_xlfn.xlookup($C1437,daily_dates,big_daily_table)))</f>
        <v>#NAME?</v>
      </c>
    </row>
    <row r="1438" customFormat="false" ht="14.25" hidden="false" customHeight="false" outlineLevel="0" collapsed="false">
      <c r="B1438" s="7" t="n">
        <v>42343</v>
      </c>
      <c r="C1438" s="7" t="n">
        <f aca="false">B1438-WEEKDAY(B1438)+1</f>
        <v>42337</v>
      </c>
      <c r="D1438" s="1" t="e">
        <f aca="false" t="array" ref="D1438:D1438">IF(ISBLANK(_xlfn.xlookup(D$3,daily_items,_xlfn.xlookup($C1438,daily_dates,big_daily_table))),NA(),_xlfn.xlookup(D$3,daily_items,_xlfn.xlookup($C1438,daily_dates,big_daily_table)))</f>
        <v>#NAME?</v>
      </c>
      <c r="E1438" s="1" t="e">
        <f aca="false" t="array" ref="E1438:E1438">IF(ISBLANK(_xlfn.xlookup(E$3,daily_items,_xlfn.xlookup($C1438,daily_dates,big_daily_table))),NA(),_xlfn.xlookup(E$3,daily_items,_xlfn.xlookup($C1438,daily_dates,big_daily_table)))</f>
        <v>#NAME?</v>
      </c>
    </row>
    <row r="1439" customFormat="false" ht="14.25" hidden="false" customHeight="false" outlineLevel="0" collapsed="false">
      <c r="B1439" s="7" t="n">
        <v>42344</v>
      </c>
      <c r="C1439" s="7" t="n">
        <f aca="false">B1439-WEEKDAY(B1439)+1</f>
        <v>42344</v>
      </c>
      <c r="D1439" s="1" t="e">
        <f aca="false" t="array" ref="D1439:D1439">IF(ISBLANK(_xlfn.xlookup(D$3,daily_items,_xlfn.xlookup($C1439,daily_dates,big_daily_table))),NA(),_xlfn.xlookup(D$3,daily_items,_xlfn.xlookup($C1439,daily_dates,big_daily_table)))</f>
        <v>#NAME?</v>
      </c>
      <c r="E1439" s="1" t="e">
        <f aca="false" t="array" ref="E1439:E1439">IF(ISBLANK(_xlfn.xlookup(E$3,daily_items,_xlfn.xlookup($C1439,daily_dates,big_daily_table))),NA(),_xlfn.xlookup(E$3,daily_items,_xlfn.xlookup($C1439,daily_dates,big_daily_table)))</f>
        <v>#NAME?</v>
      </c>
    </row>
    <row r="1440" customFormat="false" ht="14.25" hidden="false" customHeight="false" outlineLevel="0" collapsed="false">
      <c r="B1440" s="7" t="n">
        <v>42345</v>
      </c>
      <c r="C1440" s="7" t="n">
        <f aca="false">B1440-WEEKDAY(B1440)+1</f>
        <v>42344</v>
      </c>
      <c r="D1440" s="1" t="e">
        <f aca="false" t="array" ref="D1440:D1440">IF(ISBLANK(_xlfn.xlookup(D$3,daily_items,_xlfn.xlookup($C1440,daily_dates,big_daily_table))),NA(),_xlfn.xlookup(D$3,daily_items,_xlfn.xlookup($C1440,daily_dates,big_daily_table)))</f>
        <v>#NAME?</v>
      </c>
      <c r="E1440" s="1" t="e">
        <f aca="false" t="array" ref="E1440:E1440">IF(ISBLANK(_xlfn.xlookup(E$3,daily_items,_xlfn.xlookup($C1440,daily_dates,big_daily_table))),NA(),_xlfn.xlookup(E$3,daily_items,_xlfn.xlookup($C1440,daily_dates,big_daily_table)))</f>
        <v>#NAME?</v>
      </c>
    </row>
    <row r="1441" customFormat="false" ht="14.25" hidden="false" customHeight="false" outlineLevel="0" collapsed="false">
      <c r="B1441" s="7" t="n">
        <v>42346</v>
      </c>
      <c r="C1441" s="7" t="n">
        <f aca="false">B1441-WEEKDAY(B1441)+1</f>
        <v>42344</v>
      </c>
      <c r="D1441" s="1" t="e">
        <f aca="false" t="array" ref="D1441:D1441">IF(ISBLANK(_xlfn.xlookup(D$3,daily_items,_xlfn.xlookup($C1441,daily_dates,big_daily_table))),NA(),_xlfn.xlookup(D$3,daily_items,_xlfn.xlookup($C1441,daily_dates,big_daily_table)))</f>
        <v>#NAME?</v>
      </c>
      <c r="E1441" s="1" t="e">
        <f aca="false" t="array" ref="E1441:E1441">IF(ISBLANK(_xlfn.xlookup(E$3,daily_items,_xlfn.xlookup($C1441,daily_dates,big_daily_table))),NA(),_xlfn.xlookup(E$3,daily_items,_xlfn.xlookup($C1441,daily_dates,big_daily_table)))</f>
        <v>#NAME?</v>
      </c>
    </row>
    <row r="1442" customFormat="false" ht="14.25" hidden="false" customHeight="false" outlineLevel="0" collapsed="false">
      <c r="B1442" s="7" t="n">
        <v>42347</v>
      </c>
      <c r="C1442" s="7" t="n">
        <f aca="false">B1442-WEEKDAY(B1442)+1</f>
        <v>42344</v>
      </c>
      <c r="D1442" s="1" t="e">
        <f aca="false" t="array" ref="D1442:D1442">IF(ISBLANK(_xlfn.xlookup(D$3,daily_items,_xlfn.xlookup($C1442,daily_dates,big_daily_table))),NA(),_xlfn.xlookup(D$3,daily_items,_xlfn.xlookup($C1442,daily_dates,big_daily_table)))</f>
        <v>#NAME?</v>
      </c>
      <c r="E1442" s="1" t="e">
        <f aca="false" t="array" ref="E1442:E1442">IF(ISBLANK(_xlfn.xlookup(E$3,daily_items,_xlfn.xlookup($C1442,daily_dates,big_daily_table))),NA(),_xlfn.xlookup(E$3,daily_items,_xlfn.xlookup($C1442,daily_dates,big_daily_table)))</f>
        <v>#NAME?</v>
      </c>
    </row>
    <row r="1443" customFormat="false" ht="14.25" hidden="false" customHeight="false" outlineLevel="0" collapsed="false">
      <c r="B1443" s="7" t="n">
        <v>42348</v>
      </c>
      <c r="C1443" s="7" t="n">
        <f aca="false">B1443-WEEKDAY(B1443)+1</f>
        <v>42344</v>
      </c>
      <c r="D1443" s="1" t="e">
        <f aca="false" t="array" ref="D1443:D1443">IF(ISBLANK(_xlfn.xlookup(D$3,daily_items,_xlfn.xlookup($C1443,daily_dates,big_daily_table))),NA(),_xlfn.xlookup(D$3,daily_items,_xlfn.xlookup($C1443,daily_dates,big_daily_table)))</f>
        <v>#NAME?</v>
      </c>
      <c r="E1443" s="1" t="e">
        <f aca="false" t="array" ref="E1443:E1443">IF(ISBLANK(_xlfn.xlookup(E$3,daily_items,_xlfn.xlookup($C1443,daily_dates,big_daily_table))),NA(),_xlfn.xlookup(E$3,daily_items,_xlfn.xlookup($C1443,daily_dates,big_daily_table)))</f>
        <v>#NAME?</v>
      </c>
    </row>
    <row r="1444" customFormat="false" ht="14.25" hidden="false" customHeight="false" outlineLevel="0" collapsed="false">
      <c r="B1444" s="7" t="n">
        <v>42349</v>
      </c>
      <c r="C1444" s="7" t="n">
        <f aca="false">B1444-WEEKDAY(B1444)+1</f>
        <v>42344</v>
      </c>
      <c r="D1444" s="1" t="e">
        <f aca="false" t="array" ref="D1444:D1444">IF(ISBLANK(_xlfn.xlookup(D$3,daily_items,_xlfn.xlookup($C1444,daily_dates,big_daily_table))),NA(),_xlfn.xlookup(D$3,daily_items,_xlfn.xlookup($C1444,daily_dates,big_daily_table)))</f>
        <v>#NAME?</v>
      </c>
      <c r="E1444" s="1" t="e">
        <f aca="false" t="array" ref="E1444:E1444">IF(ISBLANK(_xlfn.xlookup(E$3,daily_items,_xlfn.xlookup($C1444,daily_dates,big_daily_table))),NA(),_xlfn.xlookup(E$3,daily_items,_xlfn.xlookup($C1444,daily_dates,big_daily_table)))</f>
        <v>#NAME?</v>
      </c>
    </row>
    <row r="1445" customFormat="false" ht="14.25" hidden="false" customHeight="false" outlineLevel="0" collapsed="false">
      <c r="B1445" s="7" t="n">
        <v>42350</v>
      </c>
      <c r="C1445" s="7" t="n">
        <f aca="false">B1445-WEEKDAY(B1445)+1</f>
        <v>42344</v>
      </c>
      <c r="D1445" s="1" t="e">
        <f aca="false" t="array" ref="D1445:D1445">IF(ISBLANK(_xlfn.xlookup(D$3,daily_items,_xlfn.xlookup($C1445,daily_dates,big_daily_table))),NA(),_xlfn.xlookup(D$3,daily_items,_xlfn.xlookup($C1445,daily_dates,big_daily_table)))</f>
        <v>#NAME?</v>
      </c>
      <c r="E1445" s="1" t="e">
        <f aca="false" t="array" ref="E1445:E1445">IF(ISBLANK(_xlfn.xlookup(E$3,daily_items,_xlfn.xlookup($C1445,daily_dates,big_daily_table))),NA(),_xlfn.xlookup(E$3,daily_items,_xlfn.xlookup($C1445,daily_dates,big_daily_table)))</f>
        <v>#NAME?</v>
      </c>
    </row>
    <row r="1446" customFormat="false" ht="14.25" hidden="false" customHeight="false" outlineLevel="0" collapsed="false">
      <c r="B1446" s="7" t="n">
        <v>42351</v>
      </c>
      <c r="C1446" s="7" t="n">
        <f aca="false">B1446-WEEKDAY(B1446)+1</f>
        <v>42351</v>
      </c>
      <c r="D1446" s="1" t="e">
        <f aca="false" t="array" ref="D1446:D1446">IF(ISBLANK(_xlfn.xlookup(D$3,daily_items,_xlfn.xlookup($C1446,daily_dates,big_daily_table))),NA(),_xlfn.xlookup(D$3,daily_items,_xlfn.xlookup($C1446,daily_dates,big_daily_table)))</f>
        <v>#NAME?</v>
      </c>
      <c r="E1446" s="1" t="e">
        <f aca="false" t="array" ref="E1446:E1446">IF(ISBLANK(_xlfn.xlookup(E$3,daily_items,_xlfn.xlookup($C1446,daily_dates,big_daily_table))),NA(),_xlfn.xlookup(E$3,daily_items,_xlfn.xlookup($C1446,daily_dates,big_daily_table)))</f>
        <v>#NAME?</v>
      </c>
    </row>
    <row r="1447" customFormat="false" ht="14.25" hidden="false" customHeight="false" outlineLevel="0" collapsed="false">
      <c r="B1447" s="7" t="n">
        <v>42352</v>
      </c>
      <c r="C1447" s="7" t="n">
        <f aca="false">B1447-WEEKDAY(B1447)+1</f>
        <v>42351</v>
      </c>
      <c r="D1447" s="1" t="e">
        <f aca="false" t="array" ref="D1447:D1447">IF(ISBLANK(_xlfn.xlookup(D$3,daily_items,_xlfn.xlookup($C1447,daily_dates,big_daily_table))),NA(),_xlfn.xlookup(D$3,daily_items,_xlfn.xlookup($C1447,daily_dates,big_daily_table)))</f>
        <v>#NAME?</v>
      </c>
      <c r="E1447" s="1" t="e">
        <f aca="false" t="array" ref="E1447:E1447">IF(ISBLANK(_xlfn.xlookup(E$3,daily_items,_xlfn.xlookup($C1447,daily_dates,big_daily_table))),NA(),_xlfn.xlookup(E$3,daily_items,_xlfn.xlookup($C1447,daily_dates,big_daily_table)))</f>
        <v>#NAME?</v>
      </c>
    </row>
    <row r="1448" customFormat="false" ht="14.25" hidden="false" customHeight="false" outlineLevel="0" collapsed="false">
      <c r="B1448" s="7" t="n">
        <v>42353</v>
      </c>
      <c r="C1448" s="7" t="n">
        <f aca="false">B1448-WEEKDAY(B1448)+1</f>
        <v>42351</v>
      </c>
      <c r="D1448" s="1" t="e">
        <f aca="false" t="array" ref="D1448:D1448">IF(ISBLANK(_xlfn.xlookup(D$3,daily_items,_xlfn.xlookup($C1448,daily_dates,big_daily_table))),NA(),_xlfn.xlookup(D$3,daily_items,_xlfn.xlookup($C1448,daily_dates,big_daily_table)))</f>
        <v>#NAME?</v>
      </c>
      <c r="E1448" s="1" t="e">
        <f aca="false" t="array" ref="E1448:E1448">IF(ISBLANK(_xlfn.xlookup(E$3,daily_items,_xlfn.xlookup($C1448,daily_dates,big_daily_table))),NA(),_xlfn.xlookup(E$3,daily_items,_xlfn.xlookup($C1448,daily_dates,big_daily_table)))</f>
        <v>#NAME?</v>
      </c>
    </row>
    <row r="1449" customFormat="false" ht="14.25" hidden="false" customHeight="false" outlineLevel="0" collapsed="false">
      <c r="B1449" s="7" t="n">
        <v>42354</v>
      </c>
      <c r="C1449" s="7" t="n">
        <f aca="false">B1449-WEEKDAY(B1449)+1</f>
        <v>42351</v>
      </c>
      <c r="D1449" s="1" t="e">
        <f aca="false" t="array" ref="D1449:D1449">IF(ISBLANK(_xlfn.xlookup(D$3,daily_items,_xlfn.xlookup($C1449,daily_dates,big_daily_table))),NA(),_xlfn.xlookup(D$3,daily_items,_xlfn.xlookup($C1449,daily_dates,big_daily_table)))</f>
        <v>#NAME?</v>
      </c>
      <c r="E1449" s="1" t="e">
        <f aca="false" t="array" ref="E1449:E1449">IF(ISBLANK(_xlfn.xlookup(E$3,daily_items,_xlfn.xlookup($C1449,daily_dates,big_daily_table))),NA(),_xlfn.xlookup(E$3,daily_items,_xlfn.xlookup($C1449,daily_dates,big_daily_table)))</f>
        <v>#NAME?</v>
      </c>
    </row>
    <row r="1450" customFormat="false" ht="14.25" hidden="false" customHeight="false" outlineLevel="0" collapsed="false">
      <c r="B1450" s="7" t="n">
        <v>42355</v>
      </c>
      <c r="C1450" s="7" t="n">
        <f aca="false">B1450-WEEKDAY(B1450)+1</f>
        <v>42351</v>
      </c>
      <c r="D1450" s="1" t="e">
        <f aca="false" t="array" ref="D1450:D1450">IF(ISBLANK(_xlfn.xlookup(D$3,daily_items,_xlfn.xlookup($C1450,daily_dates,big_daily_table))),NA(),_xlfn.xlookup(D$3,daily_items,_xlfn.xlookup($C1450,daily_dates,big_daily_table)))</f>
        <v>#NAME?</v>
      </c>
      <c r="E1450" s="1" t="e">
        <f aca="false" t="array" ref="E1450:E1450">IF(ISBLANK(_xlfn.xlookup(E$3,daily_items,_xlfn.xlookup($C1450,daily_dates,big_daily_table))),NA(),_xlfn.xlookup(E$3,daily_items,_xlfn.xlookup($C1450,daily_dates,big_daily_table)))</f>
        <v>#NAME?</v>
      </c>
    </row>
    <row r="1451" customFormat="false" ht="14.25" hidden="false" customHeight="false" outlineLevel="0" collapsed="false">
      <c r="B1451" s="7" t="n">
        <v>42356</v>
      </c>
      <c r="C1451" s="7" t="n">
        <f aca="false">B1451-WEEKDAY(B1451)+1</f>
        <v>42351</v>
      </c>
      <c r="D1451" s="1" t="e">
        <f aca="false" t="array" ref="D1451:D1451">IF(ISBLANK(_xlfn.xlookup(D$3,daily_items,_xlfn.xlookup($C1451,daily_dates,big_daily_table))),NA(),_xlfn.xlookup(D$3,daily_items,_xlfn.xlookup($C1451,daily_dates,big_daily_table)))</f>
        <v>#NAME?</v>
      </c>
      <c r="E1451" s="1" t="e">
        <f aca="false" t="array" ref="E1451:E1451">IF(ISBLANK(_xlfn.xlookup(E$3,daily_items,_xlfn.xlookup($C1451,daily_dates,big_daily_table))),NA(),_xlfn.xlookup(E$3,daily_items,_xlfn.xlookup($C1451,daily_dates,big_daily_table)))</f>
        <v>#NAME?</v>
      </c>
    </row>
    <row r="1452" customFormat="false" ht="14.25" hidden="false" customHeight="false" outlineLevel="0" collapsed="false">
      <c r="B1452" s="7" t="n">
        <v>42357</v>
      </c>
      <c r="C1452" s="7" t="n">
        <f aca="false">B1452-WEEKDAY(B1452)+1</f>
        <v>42351</v>
      </c>
      <c r="D1452" s="1" t="e">
        <f aca="false" t="array" ref="D1452:D1452">IF(ISBLANK(_xlfn.xlookup(D$3,daily_items,_xlfn.xlookup($C1452,daily_dates,big_daily_table))),NA(),_xlfn.xlookup(D$3,daily_items,_xlfn.xlookup($C1452,daily_dates,big_daily_table)))</f>
        <v>#NAME?</v>
      </c>
      <c r="E1452" s="1" t="e">
        <f aca="false" t="array" ref="E1452:E1452">IF(ISBLANK(_xlfn.xlookup(E$3,daily_items,_xlfn.xlookup($C1452,daily_dates,big_daily_table))),NA(),_xlfn.xlookup(E$3,daily_items,_xlfn.xlookup($C1452,daily_dates,big_daily_table)))</f>
        <v>#NAME?</v>
      </c>
    </row>
    <row r="1453" customFormat="false" ht="14.25" hidden="false" customHeight="false" outlineLevel="0" collapsed="false">
      <c r="B1453" s="7" t="n">
        <v>42358</v>
      </c>
      <c r="C1453" s="7" t="n">
        <f aca="false">B1453-WEEKDAY(B1453)+1</f>
        <v>42358</v>
      </c>
      <c r="D1453" s="1" t="e">
        <f aca="false" t="array" ref="D1453:D1453">IF(ISBLANK(_xlfn.xlookup(D$3,daily_items,_xlfn.xlookup($C1453,daily_dates,big_daily_table))),NA(),_xlfn.xlookup(D$3,daily_items,_xlfn.xlookup($C1453,daily_dates,big_daily_table)))</f>
        <v>#NAME?</v>
      </c>
      <c r="E1453" s="1" t="e">
        <f aca="false" t="array" ref="E1453:E1453">IF(ISBLANK(_xlfn.xlookup(E$3,daily_items,_xlfn.xlookup($C1453,daily_dates,big_daily_table))),NA(),_xlfn.xlookup(E$3,daily_items,_xlfn.xlookup($C1453,daily_dates,big_daily_table)))</f>
        <v>#NAME?</v>
      </c>
    </row>
    <row r="1454" customFormat="false" ht="14.25" hidden="false" customHeight="false" outlineLevel="0" collapsed="false">
      <c r="B1454" s="7" t="n">
        <v>42359</v>
      </c>
      <c r="C1454" s="7" t="n">
        <f aca="false">B1454-WEEKDAY(B1454)+1</f>
        <v>42358</v>
      </c>
      <c r="D1454" s="1" t="e">
        <f aca="false" t="array" ref="D1454:D1454">IF(ISBLANK(_xlfn.xlookup(D$3,daily_items,_xlfn.xlookup($C1454,daily_dates,big_daily_table))),NA(),_xlfn.xlookup(D$3,daily_items,_xlfn.xlookup($C1454,daily_dates,big_daily_table)))</f>
        <v>#NAME?</v>
      </c>
      <c r="E1454" s="1" t="e">
        <f aca="false" t="array" ref="E1454:E1454">IF(ISBLANK(_xlfn.xlookup(E$3,daily_items,_xlfn.xlookup($C1454,daily_dates,big_daily_table))),NA(),_xlfn.xlookup(E$3,daily_items,_xlfn.xlookup($C1454,daily_dates,big_daily_table)))</f>
        <v>#NAME?</v>
      </c>
    </row>
    <row r="1455" customFormat="false" ht="14.25" hidden="false" customHeight="false" outlineLevel="0" collapsed="false">
      <c r="B1455" s="7" t="n">
        <v>42360</v>
      </c>
      <c r="C1455" s="7" t="n">
        <f aca="false">B1455-WEEKDAY(B1455)+1</f>
        <v>42358</v>
      </c>
      <c r="D1455" s="1" t="e">
        <f aca="false" t="array" ref="D1455:D1455">IF(ISBLANK(_xlfn.xlookup(D$3,daily_items,_xlfn.xlookup($C1455,daily_dates,big_daily_table))),NA(),_xlfn.xlookup(D$3,daily_items,_xlfn.xlookup($C1455,daily_dates,big_daily_table)))</f>
        <v>#NAME?</v>
      </c>
      <c r="E1455" s="1" t="e">
        <f aca="false" t="array" ref="E1455:E1455">IF(ISBLANK(_xlfn.xlookup(E$3,daily_items,_xlfn.xlookup($C1455,daily_dates,big_daily_table))),NA(),_xlfn.xlookup(E$3,daily_items,_xlfn.xlookup($C1455,daily_dates,big_daily_table)))</f>
        <v>#NAME?</v>
      </c>
    </row>
    <row r="1456" customFormat="false" ht="14.25" hidden="false" customHeight="false" outlineLevel="0" collapsed="false">
      <c r="B1456" s="7" t="n">
        <v>42361</v>
      </c>
      <c r="C1456" s="7" t="n">
        <f aca="false">B1456-WEEKDAY(B1456)+1</f>
        <v>42358</v>
      </c>
      <c r="D1456" s="1" t="e">
        <f aca="false" t="array" ref="D1456:D1456">IF(ISBLANK(_xlfn.xlookup(D$3,daily_items,_xlfn.xlookup($C1456,daily_dates,big_daily_table))),NA(),_xlfn.xlookup(D$3,daily_items,_xlfn.xlookup($C1456,daily_dates,big_daily_table)))</f>
        <v>#NAME?</v>
      </c>
      <c r="E1456" s="1" t="e">
        <f aca="false" t="array" ref="E1456:E1456">IF(ISBLANK(_xlfn.xlookup(E$3,daily_items,_xlfn.xlookup($C1456,daily_dates,big_daily_table))),NA(),_xlfn.xlookup(E$3,daily_items,_xlfn.xlookup($C1456,daily_dates,big_daily_table)))</f>
        <v>#NAME?</v>
      </c>
    </row>
    <row r="1457" customFormat="false" ht="14.25" hidden="false" customHeight="false" outlineLevel="0" collapsed="false">
      <c r="B1457" s="7" t="n">
        <v>42362</v>
      </c>
      <c r="C1457" s="7" t="n">
        <f aca="false">B1457-WEEKDAY(B1457)+1</f>
        <v>42358</v>
      </c>
      <c r="D1457" s="1" t="e">
        <f aca="false" t="array" ref="D1457:D1457">IF(ISBLANK(_xlfn.xlookup(D$3,daily_items,_xlfn.xlookup($C1457,daily_dates,big_daily_table))),NA(),_xlfn.xlookup(D$3,daily_items,_xlfn.xlookup($C1457,daily_dates,big_daily_table)))</f>
        <v>#NAME?</v>
      </c>
      <c r="E1457" s="1" t="e">
        <f aca="false" t="array" ref="E1457:E1457">IF(ISBLANK(_xlfn.xlookup(E$3,daily_items,_xlfn.xlookup($C1457,daily_dates,big_daily_table))),NA(),_xlfn.xlookup(E$3,daily_items,_xlfn.xlookup($C1457,daily_dates,big_daily_table)))</f>
        <v>#NAME?</v>
      </c>
    </row>
    <row r="1458" customFormat="false" ht="14.25" hidden="false" customHeight="false" outlineLevel="0" collapsed="false">
      <c r="B1458" s="7" t="n">
        <v>42363</v>
      </c>
      <c r="C1458" s="7" t="n">
        <f aca="false">B1458-WEEKDAY(B1458)+1</f>
        <v>42358</v>
      </c>
      <c r="D1458" s="1" t="e">
        <f aca="false" t="array" ref="D1458:D1458">IF(ISBLANK(_xlfn.xlookup(D$3,daily_items,_xlfn.xlookup($C1458,daily_dates,big_daily_table))),NA(),_xlfn.xlookup(D$3,daily_items,_xlfn.xlookup($C1458,daily_dates,big_daily_table)))</f>
        <v>#NAME?</v>
      </c>
      <c r="E1458" s="1" t="e">
        <f aca="false" t="array" ref="E1458:E1458">IF(ISBLANK(_xlfn.xlookup(E$3,daily_items,_xlfn.xlookup($C1458,daily_dates,big_daily_table))),NA(),_xlfn.xlookup(E$3,daily_items,_xlfn.xlookup($C1458,daily_dates,big_daily_table)))</f>
        <v>#NAME?</v>
      </c>
    </row>
    <row r="1459" customFormat="false" ht="14.25" hidden="false" customHeight="false" outlineLevel="0" collapsed="false">
      <c r="B1459" s="7" t="n">
        <v>42364</v>
      </c>
      <c r="C1459" s="7" t="n">
        <f aca="false">B1459-WEEKDAY(B1459)+1</f>
        <v>42358</v>
      </c>
      <c r="D1459" s="1" t="e">
        <f aca="false" t="array" ref="D1459:D1459">IF(ISBLANK(_xlfn.xlookup(D$3,daily_items,_xlfn.xlookup($C1459,daily_dates,big_daily_table))),NA(),_xlfn.xlookup(D$3,daily_items,_xlfn.xlookup($C1459,daily_dates,big_daily_table)))</f>
        <v>#NAME?</v>
      </c>
      <c r="E1459" s="1" t="e">
        <f aca="false" t="array" ref="E1459:E1459">IF(ISBLANK(_xlfn.xlookup(E$3,daily_items,_xlfn.xlookup($C1459,daily_dates,big_daily_table))),NA(),_xlfn.xlookup(E$3,daily_items,_xlfn.xlookup($C1459,daily_dates,big_daily_table)))</f>
        <v>#NAME?</v>
      </c>
    </row>
    <row r="1460" customFormat="false" ht="14.25" hidden="false" customHeight="false" outlineLevel="0" collapsed="false">
      <c r="B1460" s="7" t="n">
        <v>42365</v>
      </c>
      <c r="C1460" s="7" t="n">
        <f aca="false">B1460-WEEKDAY(B1460)+1</f>
        <v>42365</v>
      </c>
      <c r="D1460" s="1" t="e">
        <f aca="false" t="array" ref="D1460:D1460">IF(ISBLANK(_xlfn.xlookup(D$3,daily_items,_xlfn.xlookup($C1460,daily_dates,big_daily_table))),NA(),_xlfn.xlookup(D$3,daily_items,_xlfn.xlookup($C1460,daily_dates,big_daily_table)))</f>
        <v>#NAME?</v>
      </c>
      <c r="E1460" s="1" t="e">
        <f aca="false" t="array" ref="E1460:E1460">IF(ISBLANK(_xlfn.xlookup(E$3,daily_items,_xlfn.xlookup($C1460,daily_dates,big_daily_table))),NA(),_xlfn.xlookup(E$3,daily_items,_xlfn.xlookup($C1460,daily_dates,big_daily_table)))</f>
        <v>#NAME?</v>
      </c>
    </row>
    <row r="1461" customFormat="false" ht="14.25" hidden="false" customHeight="false" outlineLevel="0" collapsed="false">
      <c r="B1461" s="7" t="n">
        <v>42366</v>
      </c>
      <c r="C1461" s="7" t="n">
        <f aca="false">B1461-WEEKDAY(B1461)+1</f>
        <v>42365</v>
      </c>
      <c r="D1461" s="1" t="e">
        <f aca="false" t="array" ref="D1461:D1461">IF(ISBLANK(_xlfn.xlookup(D$3,daily_items,_xlfn.xlookup($C1461,daily_dates,big_daily_table))),NA(),_xlfn.xlookup(D$3,daily_items,_xlfn.xlookup($C1461,daily_dates,big_daily_table)))</f>
        <v>#NAME?</v>
      </c>
      <c r="E1461" s="1" t="e">
        <f aca="false" t="array" ref="E1461:E1461">IF(ISBLANK(_xlfn.xlookup(E$3,daily_items,_xlfn.xlookup($C1461,daily_dates,big_daily_table))),NA(),_xlfn.xlookup(E$3,daily_items,_xlfn.xlookup($C1461,daily_dates,big_daily_table)))</f>
        <v>#NAME?</v>
      </c>
    </row>
    <row r="1462" customFormat="false" ht="14.25" hidden="false" customHeight="false" outlineLevel="0" collapsed="false">
      <c r="B1462" s="7" t="n">
        <v>42367</v>
      </c>
      <c r="C1462" s="7" t="n">
        <f aca="false">B1462-WEEKDAY(B1462)+1</f>
        <v>42365</v>
      </c>
      <c r="D1462" s="1" t="e">
        <f aca="false" t="array" ref="D1462:D1462">IF(ISBLANK(_xlfn.xlookup(D$3,daily_items,_xlfn.xlookup($C1462,daily_dates,big_daily_table))),NA(),_xlfn.xlookup(D$3,daily_items,_xlfn.xlookup($C1462,daily_dates,big_daily_table)))</f>
        <v>#NAME?</v>
      </c>
      <c r="E1462" s="1" t="e">
        <f aca="false" t="array" ref="E1462:E1462">IF(ISBLANK(_xlfn.xlookup(E$3,daily_items,_xlfn.xlookup($C1462,daily_dates,big_daily_table))),NA(),_xlfn.xlookup(E$3,daily_items,_xlfn.xlookup($C1462,daily_dates,big_daily_table)))</f>
        <v>#NAME?</v>
      </c>
    </row>
    <row r="1463" customFormat="false" ht="14.25" hidden="false" customHeight="false" outlineLevel="0" collapsed="false">
      <c r="B1463" s="7" t="n">
        <v>42368</v>
      </c>
      <c r="C1463" s="7" t="n">
        <f aca="false">B1463-WEEKDAY(B1463)+1</f>
        <v>42365</v>
      </c>
      <c r="D1463" s="1" t="e">
        <f aca="false" t="array" ref="D1463:D1463">IF(ISBLANK(_xlfn.xlookup(D$3,daily_items,_xlfn.xlookup($C1463,daily_dates,big_daily_table))),NA(),_xlfn.xlookup(D$3,daily_items,_xlfn.xlookup($C1463,daily_dates,big_daily_table)))</f>
        <v>#NAME?</v>
      </c>
      <c r="E1463" s="1" t="e">
        <f aca="false" t="array" ref="E1463:E1463">IF(ISBLANK(_xlfn.xlookup(E$3,daily_items,_xlfn.xlookup($C1463,daily_dates,big_daily_table))),NA(),_xlfn.xlookup(E$3,daily_items,_xlfn.xlookup($C1463,daily_dates,big_daily_table)))</f>
        <v>#NAME?</v>
      </c>
    </row>
    <row r="1464" customFormat="false" ht="14.25" hidden="false" customHeight="false" outlineLevel="0" collapsed="false">
      <c r="B1464" s="7" t="n">
        <v>42369</v>
      </c>
      <c r="C1464" s="7" t="n">
        <f aca="false">B1464-WEEKDAY(B1464)+1</f>
        <v>42365</v>
      </c>
      <c r="D1464" s="1" t="e">
        <f aca="false" t="array" ref="D1464:D1464">IF(ISBLANK(_xlfn.xlookup(D$3,daily_items,_xlfn.xlookup($C1464,daily_dates,big_daily_table))),NA(),_xlfn.xlookup(D$3,daily_items,_xlfn.xlookup($C1464,daily_dates,big_daily_table)))</f>
        <v>#NAME?</v>
      </c>
      <c r="E1464" s="1" t="e">
        <f aca="false" t="array" ref="E1464:E1464">IF(ISBLANK(_xlfn.xlookup(E$3,daily_items,_xlfn.xlookup($C1464,daily_dates,big_daily_table))),NA(),_xlfn.xlookup(E$3,daily_items,_xlfn.xlookup($C1464,daily_dates,big_daily_table)))</f>
        <v>#NAME?</v>
      </c>
    </row>
    <row r="1465" customFormat="false" ht="14.25" hidden="false" customHeight="false" outlineLevel="0" collapsed="false">
      <c r="B1465" s="7" t="n">
        <v>42370</v>
      </c>
      <c r="C1465" s="7" t="n">
        <f aca="false">B1465-WEEKDAY(B1465)+1</f>
        <v>42365</v>
      </c>
      <c r="D1465" s="1" t="e">
        <f aca="false" t="array" ref="D1465:D1465">IF(ISBLANK(_xlfn.xlookup(D$3,daily_items,_xlfn.xlookup($C1465,daily_dates,big_daily_table))),NA(),_xlfn.xlookup(D$3,daily_items,_xlfn.xlookup($C1465,daily_dates,big_daily_table)))</f>
        <v>#NAME?</v>
      </c>
      <c r="E1465" s="1" t="e">
        <f aca="false" t="array" ref="E1465:E1465">IF(ISBLANK(_xlfn.xlookup(E$3,daily_items,_xlfn.xlookup($C1465,daily_dates,big_daily_table))),NA(),_xlfn.xlookup(E$3,daily_items,_xlfn.xlookup($C1465,daily_dates,big_daily_table)))</f>
        <v>#NAME?</v>
      </c>
    </row>
    <row r="1466" customFormat="false" ht="14.25" hidden="false" customHeight="false" outlineLevel="0" collapsed="false">
      <c r="B1466" s="7" t="n">
        <v>42371</v>
      </c>
      <c r="C1466" s="7" t="n">
        <f aca="false">B1466-WEEKDAY(B1466)+1</f>
        <v>42365</v>
      </c>
      <c r="D1466" s="1" t="e">
        <f aca="false" t="array" ref="D1466:D1466">IF(ISBLANK(_xlfn.xlookup(D$3,daily_items,_xlfn.xlookup($C1466,daily_dates,big_daily_table))),NA(),_xlfn.xlookup(D$3,daily_items,_xlfn.xlookup($C1466,daily_dates,big_daily_table)))</f>
        <v>#NAME?</v>
      </c>
      <c r="E1466" s="1" t="e">
        <f aca="false" t="array" ref="E1466:E1466">IF(ISBLANK(_xlfn.xlookup(E$3,daily_items,_xlfn.xlookup($C1466,daily_dates,big_daily_table))),NA(),_xlfn.xlookup(E$3,daily_items,_xlfn.xlookup($C1466,daily_dates,big_daily_table)))</f>
        <v>#NAME?</v>
      </c>
    </row>
    <row r="1467" customFormat="false" ht="14.25" hidden="false" customHeight="false" outlineLevel="0" collapsed="false">
      <c r="B1467" s="7" t="n">
        <v>42372</v>
      </c>
      <c r="C1467" s="7" t="n">
        <f aca="false">B1467-WEEKDAY(B1467)+1</f>
        <v>42372</v>
      </c>
      <c r="D1467" s="1" t="e">
        <f aca="false" t="array" ref="D1467:D1467">IF(ISBLANK(_xlfn.xlookup(D$3,daily_items,_xlfn.xlookup($C1467,daily_dates,big_daily_table))),NA(),_xlfn.xlookup(D$3,daily_items,_xlfn.xlookup($C1467,daily_dates,big_daily_table)))</f>
        <v>#NAME?</v>
      </c>
      <c r="E1467" s="1" t="e">
        <f aca="false" t="array" ref="E1467:E1467">IF(ISBLANK(_xlfn.xlookup(E$3,daily_items,_xlfn.xlookup($C1467,daily_dates,big_daily_table))),NA(),_xlfn.xlookup(E$3,daily_items,_xlfn.xlookup($C1467,daily_dates,big_daily_table)))</f>
        <v>#NAME?</v>
      </c>
    </row>
    <row r="1468" customFormat="false" ht="14.25" hidden="false" customHeight="false" outlineLevel="0" collapsed="false">
      <c r="B1468" s="7" t="n">
        <v>42373</v>
      </c>
      <c r="C1468" s="7" t="n">
        <f aca="false">B1468-WEEKDAY(B1468)+1</f>
        <v>42372</v>
      </c>
      <c r="D1468" s="1" t="e">
        <f aca="false" t="array" ref="D1468:D1468">IF(ISBLANK(_xlfn.xlookup(D$3,daily_items,_xlfn.xlookup($C1468,daily_dates,big_daily_table))),NA(),_xlfn.xlookup(D$3,daily_items,_xlfn.xlookup($C1468,daily_dates,big_daily_table)))</f>
        <v>#NAME?</v>
      </c>
      <c r="E1468" s="1" t="e">
        <f aca="false" t="array" ref="E1468:E1468">IF(ISBLANK(_xlfn.xlookup(E$3,daily_items,_xlfn.xlookup($C1468,daily_dates,big_daily_table))),NA(),_xlfn.xlookup(E$3,daily_items,_xlfn.xlookup($C1468,daily_dates,big_daily_table)))</f>
        <v>#NAME?</v>
      </c>
    </row>
    <row r="1469" customFormat="false" ht="14.25" hidden="false" customHeight="false" outlineLevel="0" collapsed="false">
      <c r="B1469" s="7" t="n">
        <v>42374</v>
      </c>
      <c r="C1469" s="7" t="n">
        <f aca="false">B1469-WEEKDAY(B1469)+1</f>
        <v>42372</v>
      </c>
      <c r="D1469" s="1" t="e">
        <f aca="false" t="array" ref="D1469:D1469">IF(ISBLANK(_xlfn.xlookup(D$3,daily_items,_xlfn.xlookup($C1469,daily_dates,big_daily_table))),NA(),_xlfn.xlookup(D$3,daily_items,_xlfn.xlookup($C1469,daily_dates,big_daily_table)))</f>
        <v>#NAME?</v>
      </c>
      <c r="E1469" s="1" t="e">
        <f aca="false" t="array" ref="E1469:E1469">IF(ISBLANK(_xlfn.xlookup(E$3,daily_items,_xlfn.xlookup($C1469,daily_dates,big_daily_table))),NA(),_xlfn.xlookup(E$3,daily_items,_xlfn.xlookup($C1469,daily_dates,big_daily_table)))</f>
        <v>#NAME?</v>
      </c>
    </row>
    <row r="1470" customFormat="false" ht="14.25" hidden="false" customHeight="false" outlineLevel="0" collapsed="false">
      <c r="B1470" s="7" t="n">
        <v>42375</v>
      </c>
      <c r="C1470" s="7" t="n">
        <f aca="false">B1470-WEEKDAY(B1470)+1</f>
        <v>42372</v>
      </c>
      <c r="D1470" s="1" t="e">
        <f aca="false" t="array" ref="D1470:D1470">IF(ISBLANK(_xlfn.xlookup(D$3,daily_items,_xlfn.xlookup($C1470,daily_dates,big_daily_table))),NA(),_xlfn.xlookup(D$3,daily_items,_xlfn.xlookup($C1470,daily_dates,big_daily_table)))</f>
        <v>#NAME?</v>
      </c>
      <c r="E1470" s="1" t="e">
        <f aca="false" t="array" ref="E1470:E1470">IF(ISBLANK(_xlfn.xlookup(E$3,daily_items,_xlfn.xlookup($C1470,daily_dates,big_daily_table))),NA(),_xlfn.xlookup(E$3,daily_items,_xlfn.xlookup($C1470,daily_dates,big_daily_table)))</f>
        <v>#NAME?</v>
      </c>
    </row>
    <row r="1471" customFormat="false" ht="14.25" hidden="false" customHeight="false" outlineLevel="0" collapsed="false">
      <c r="B1471" s="7" t="n">
        <v>42376</v>
      </c>
      <c r="C1471" s="7" t="n">
        <f aca="false">B1471-WEEKDAY(B1471)+1</f>
        <v>42372</v>
      </c>
      <c r="D1471" s="1" t="e">
        <f aca="false" t="array" ref="D1471:D1471">IF(ISBLANK(_xlfn.xlookup(D$3,daily_items,_xlfn.xlookup($C1471,daily_dates,big_daily_table))),NA(),_xlfn.xlookup(D$3,daily_items,_xlfn.xlookup($C1471,daily_dates,big_daily_table)))</f>
        <v>#NAME?</v>
      </c>
      <c r="E1471" s="1" t="e">
        <f aca="false" t="array" ref="E1471:E1471">IF(ISBLANK(_xlfn.xlookup(E$3,daily_items,_xlfn.xlookup($C1471,daily_dates,big_daily_table))),NA(),_xlfn.xlookup(E$3,daily_items,_xlfn.xlookup($C1471,daily_dates,big_daily_table)))</f>
        <v>#NAME?</v>
      </c>
    </row>
    <row r="1472" customFormat="false" ht="14.25" hidden="false" customHeight="false" outlineLevel="0" collapsed="false">
      <c r="B1472" s="7" t="n">
        <v>42377</v>
      </c>
      <c r="C1472" s="7" t="n">
        <f aca="false">B1472-WEEKDAY(B1472)+1</f>
        <v>42372</v>
      </c>
      <c r="D1472" s="1" t="e">
        <f aca="false" t="array" ref="D1472:D1472">IF(ISBLANK(_xlfn.xlookup(D$3,daily_items,_xlfn.xlookup($C1472,daily_dates,big_daily_table))),NA(),_xlfn.xlookup(D$3,daily_items,_xlfn.xlookup($C1472,daily_dates,big_daily_table)))</f>
        <v>#NAME?</v>
      </c>
      <c r="E1472" s="1" t="e">
        <f aca="false" t="array" ref="E1472:E1472">IF(ISBLANK(_xlfn.xlookup(E$3,daily_items,_xlfn.xlookup($C1472,daily_dates,big_daily_table))),NA(),_xlfn.xlookup(E$3,daily_items,_xlfn.xlookup($C1472,daily_dates,big_daily_table)))</f>
        <v>#NAME?</v>
      </c>
    </row>
    <row r="1473" customFormat="false" ht="14.25" hidden="false" customHeight="false" outlineLevel="0" collapsed="false">
      <c r="B1473" s="7" t="n">
        <v>42378</v>
      </c>
      <c r="C1473" s="7" t="n">
        <f aca="false">B1473-WEEKDAY(B1473)+1</f>
        <v>42372</v>
      </c>
      <c r="D1473" s="1" t="e">
        <f aca="false" t="array" ref="D1473:D1473">IF(ISBLANK(_xlfn.xlookup(D$3,daily_items,_xlfn.xlookup($C1473,daily_dates,big_daily_table))),NA(),_xlfn.xlookup(D$3,daily_items,_xlfn.xlookup($C1473,daily_dates,big_daily_table)))</f>
        <v>#NAME?</v>
      </c>
      <c r="E1473" s="1" t="e">
        <f aca="false" t="array" ref="E1473:E1473">IF(ISBLANK(_xlfn.xlookup(E$3,daily_items,_xlfn.xlookup($C1473,daily_dates,big_daily_table))),NA(),_xlfn.xlookup(E$3,daily_items,_xlfn.xlookup($C1473,daily_dates,big_daily_table)))</f>
        <v>#NAME?</v>
      </c>
    </row>
    <row r="1474" customFormat="false" ht="14.25" hidden="false" customHeight="false" outlineLevel="0" collapsed="false">
      <c r="B1474" s="7" t="n">
        <v>42379</v>
      </c>
      <c r="C1474" s="7" t="n">
        <f aca="false">B1474-WEEKDAY(B1474)+1</f>
        <v>42379</v>
      </c>
      <c r="D1474" s="1" t="e">
        <f aca="false" t="array" ref="D1474:D1474">IF(ISBLANK(_xlfn.xlookup(D$3,daily_items,_xlfn.xlookup($C1474,daily_dates,big_daily_table))),NA(),_xlfn.xlookup(D$3,daily_items,_xlfn.xlookup($C1474,daily_dates,big_daily_table)))</f>
        <v>#NAME?</v>
      </c>
      <c r="E1474" s="1" t="e">
        <f aca="false" t="array" ref="E1474:E1474">IF(ISBLANK(_xlfn.xlookup(E$3,daily_items,_xlfn.xlookup($C1474,daily_dates,big_daily_table))),NA(),_xlfn.xlookup(E$3,daily_items,_xlfn.xlookup($C1474,daily_dates,big_daily_table)))</f>
        <v>#NAME?</v>
      </c>
    </row>
    <row r="1475" customFormat="false" ht="14.25" hidden="false" customHeight="false" outlineLevel="0" collapsed="false">
      <c r="B1475" s="7" t="n">
        <v>42380</v>
      </c>
      <c r="C1475" s="7" t="n">
        <f aca="false">B1475-WEEKDAY(B1475)+1</f>
        <v>42379</v>
      </c>
      <c r="D1475" s="1" t="e">
        <f aca="false" t="array" ref="D1475:D1475">IF(ISBLANK(_xlfn.xlookup(D$3,daily_items,_xlfn.xlookup($C1475,daily_dates,big_daily_table))),NA(),_xlfn.xlookup(D$3,daily_items,_xlfn.xlookup($C1475,daily_dates,big_daily_table)))</f>
        <v>#NAME?</v>
      </c>
      <c r="E1475" s="1" t="e">
        <f aca="false" t="array" ref="E1475:E1475">IF(ISBLANK(_xlfn.xlookup(E$3,daily_items,_xlfn.xlookup($C1475,daily_dates,big_daily_table))),NA(),_xlfn.xlookup(E$3,daily_items,_xlfn.xlookup($C1475,daily_dates,big_daily_table)))</f>
        <v>#NAME?</v>
      </c>
    </row>
    <row r="1476" customFormat="false" ht="14.25" hidden="false" customHeight="false" outlineLevel="0" collapsed="false">
      <c r="B1476" s="7" t="n">
        <v>42381</v>
      </c>
      <c r="C1476" s="7" t="n">
        <f aca="false">B1476-WEEKDAY(B1476)+1</f>
        <v>42379</v>
      </c>
      <c r="D1476" s="1" t="e">
        <f aca="false" t="array" ref="D1476:D1476">IF(ISBLANK(_xlfn.xlookup(D$3,daily_items,_xlfn.xlookup($C1476,daily_dates,big_daily_table))),NA(),_xlfn.xlookup(D$3,daily_items,_xlfn.xlookup($C1476,daily_dates,big_daily_table)))</f>
        <v>#NAME?</v>
      </c>
      <c r="E1476" s="1" t="e">
        <f aca="false" t="array" ref="E1476:E1476">IF(ISBLANK(_xlfn.xlookup(E$3,daily_items,_xlfn.xlookup($C1476,daily_dates,big_daily_table))),NA(),_xlfn.xlookup(E$3,daily_items,_xlfn.xlookup($C1476,daily_dates,big_daily_table)))</f>
        <v>#NAME?</v>
      </c>
    </row>
    <row r="1477" customFormat="false" ht="14.25" hidden="false" customHeight="false" outlineLevel="0" collapsed="false">
      <c r="B1477" s="7" t="n">
        <v>42382</v>
      </c>
      <c r="C1477" s="7" t="n">
        <f aca="false">B1477-WEEKDAY(B1477)+1</f>
        <v>42379</v>
      </c>
      <c r="D1477" s="1" t="e">
        <f aca="false" t="array" ref="D1477:D1477">IF(ISBLANK(_xlfn.xlookup(D$3,daily_items,_xlfn.xlookup($C1477,daily_dates,big_daily_table))),NA(),_xlfn.xlookup(D$3,daily_items,_xlfn.xlookup($C1477,daily_dates,big_daily_table)))</f>
        <v>#NAME?</v>
      </c>
      <c r="E1477" s="1" t="e">
        <f aca="false" t="array" ref="E1477:E1477">IF(ISBLANK(_xlfn.xlookup(E$3,daily_items,_xlfn.xlookup($C1477,daily_dates,big_daily_table))),NA(),_xlfn.xlookup(E$3,daily_items,_xlfn.xlookup($C1477,daily_dates,big_daily_table)))</f>
        <v>#NAME?</v>
      </c>
    </row>
    <row r="1478" customFormat="false" ht="14.25" hidden="false" customHeight="false" outlineLevel="0" collapsed="false">
      <c r="B1478" s="7" t="n">
        <v>42383</v>
      </c>
      <c r="C1478" s="7" t="n">
        <f aca="false">B1478-WEEKDAY(B1478)+1</f>
        <v>42379</v>
      </c>
      <c r="D1478" s="1" t="e">
        <f aca="false" t="array" ref="D1478:D1478">IF(ISBLANK(_xlfn.xlookup(D$3,daily_items,_xlfn.xlookup($C1478,daily_dates,big_daily_table))),NA(),_xlfn.xlookup(D$3,daily_items,_xlfn.xlookup($C1478,daily_dates,big_daily_table)))</f>
        <v>#NAME?</v>
      </c>
      <c r="E1478" s="1" t="e">
        <f aca="false" t="array" ref="E1478:E1478">IF(ISBLANK(_xlfn.xlookup(E$3,daily_items,_xlfn.xlookup($C1478,daily_dates,big_daily_table))),NA(),_xlfn.xlookup(E$3,daily_items,_xlfn.xlookup($C1478,daily_dates,big_daily_table)))</f>
        <v>#NAME?</v>
      </c>
    </row>
    <row r="1479" customFormat="false" ht="14.25" hidden="false" customHeight="false" outlineLevel="0" collapsed="false">
      <c r="B1479" s="7" t="n">
        <v>42384</v>
      </c>
      <c r="C1479" s="7" t="n">
        <f aca="false">B1479-WEEKDAY(B1479)+1</f>
        <v>42379</v>
      </c>
      <c r="D1479" s="1" t="e">
        <f aca="false" t="array" ref="D1479:D1479">IF(ISBLANK(_xlfn.xlookup(D$3,daily_items,_xlfn.xlookup($C1479,daily_dates,big_daily_table))),NA(),_xlfn.xlookup(D$3,daily_items,_xlfn.xlookup($C1479,daily_dates,big_daily_table)))</f>
        <v>#NAME?</v>
      </c>
      <c r="E1479" s="1" t="e">
        <f aca="false" t="array" ref="E1479:E1479">IF(ISBLANK(_xlfn.xlookup(E$3,daily_items,_xlfn.xlookup($C1479,daily_dates,big_daily_table))),NA(),_xlfn.xlookup(E$3,daily_items,_xlfn.xlookup($C1479,daily_dates,big_daily_table)))</f>
        <v>#NAME?</v>
      </c>
    </row>
    <row r="1480" customFormat="false" ht="14.25" hidden="false" customHeight="false" outlineLevel="0" collapsed="false">
      <c r="B1480" s="7" t="n">
        <v>42385</v>
      </c>
      <c r="C1480" s="7" t="n">
        <f aca="false">B1480-WEEKDAY(B1480)+1</f>
        <v>42379</v>
      </c>
      <c r="D1480" s="1" t="e">
        <f aca="false" t="array" ref="D1480:D1480">IF(ISBLANK(_xlfn.xlookup(D$3,daily_items,_xlfn.xlookup($C1480,daily_dates,big_daily_table))),NA(),_xlfn.xlookup(D$3,daily_items,_xlfn.xlookup($C1480,daily_dates,big_daily_table)))</f>
        <v>#NAME?</v>
      </c>
      <c r="E1480" s="1" t="e">
        <f aca="false" t="array" ref="E1480:E1480">IF(ISBLANK(_xlfn.xlookup(E$3,daily_items,_xlfn.xlookup($C1480,daily_dates,big_daily_table))),NA(),_xlfn.xlookup(E$3,daily_items,_xlfn.xlookup($C1480,daily_dates,big_daily_table)))</f>
        <v>#NAME?</v>
      </c>
    </row>
    <row r="1481" customFormat="false" ht="14.25" hidden="false" customHeight="false" outlineLevel="0" collapsed="false">
      <c r="B1481" s="7" t="n">
        <v>42386</v>
      </c>
      <c r="C1481" s="7" t="n">
        <f aca="false">B1481-WEEKDAY(B1481)+1</f>
        <v>42386</v>
      </c>
      <c r="D1481" s="1" t="e">
        <f aca="false" t="array" ref="D1481:D1481">IF(ISBLANK(_xlfn.xlookup(D$3,daily_items,_xlfn.xlookup($C1481,daily_dates,big_daily_table))),NA(),_xlfn.xlookup(D$3,daily_items,_xlfn.xlookup($C1481,daily_dates,big_daily_table)))</f>
        <v>#NAME?</v>
      </c>
      <c r="E1481" s="1" t="e">
        <f aca="false" t="array" ref="E1481:E1481">IF(ISBLANK(_xlfn.xlookup(E$3,daily_items,_xlfn.xlookup($C1481,daily_dates,big_daily_table))),NA(),_xlfn.xlookup(E$3,daily_items,_xlfn.xlookup($C1481,daily_dates,big_daily_table)))</f>
        <v>#NAME?</v>
      </c>
    </row>
    <row r="1482" customFormat="false" ht="14.25" hidden="false" customHeight="false" outlineLevel="0" collapsed="false">
      <c r="B1482" s="7" t="n">
        <v>42387</v>
      </c>
      <c r="C1482" s="7" t="n">
        <f aca="false">B1482-WEEKDAY(B1482)+1</f>
        <v>42386</v>
      </c>
      <c r="D1482" s="1" t="e">
        <f aca="false" t="array" ref="D1482:D1482">IF(ISBLANK(_xlfn.xlookup(D$3,daily_items,_xlfn.xlookup($C1482,daily_dates,big_daily_table))),NA(),_xlfn.xlookup(D$3,daily_items,_xlfn.xlookup($C1482,daily_dates,big_daily_table)))</f>
        <v>#NAME?</v>
      </c>
      <c r="E1482" s="1" t="e">
        <f aca="false" t="array" ref="E1482:E1482">IF(ISBLANK(_xlfn.xlookup(E$3,daily_items,_xlfn.xlookup($C1482,daily_dates,big_daily_table))),NA(),_xlfn.xlookup(E$3,daily_items,_xlfn.xlookup($C1482,daily_dates,big_daily_table)))</f>
        <v>#NAME?</v>
      </c>
    </row>
    <row r="1483" customFormat="false" ht="14.25" hidden="false" customHeight="false" outlineLevel="0" collapsed="false">
      <c r="B1483" s="7" t="n">
        <v>42388</v>
      </c>
      <c r="C1483" s="7" t="n">
        <f aca="false">B1483-WEEKDAY(B1483)+1</f>
        <v>42386</v>
      </c>
      <c r="D1483" s="1" t="e">
        <f aca="false" t="array" ref="D1483:D1483">IF(ISBLANK(_xlfn.xlookup(D$3,daily_items,_xlfn.xlookup($C1483,daily_dates,big_daily_table))),NA(),_xlfn.xlookup(D$3,daily_items,_xlfn.xlookup($C1483,daily_dates,big_daily_table)))</f>
        <v>#NAME?</v>
      </c>
      <c r="E1483" s="1" t="e">
        <f aca="false" t="array" ref="E1483:E1483">IF(ISBLANK(_xlfn.xlookup(E$3,daily_items,_xlfn.xlookup($C1483,daily_dates,big_daily_table))),NA(),_xlfn.xlookup(E$3,daily_items,_xlfn.xlookup($C1483,daily_dates,big_daily_table)))</f>
        <v>#NAME?</v>
      </c>
    </row>
    <row r="1484" customFormat="false" ht="14.25" hidden="false" customHeight="false" outlineLevel="0" collapsed="false">
      <c r="B1484" s="7" t="n">
        <v>42389</v>
      </c>
      <c r="C1484" s="7" t="n">
        <f aca="false">B1484-WEEKDAY(B1484)+1</f>
        <v>42386</v>
      </c>
      <c r="D1484" s="1" t="e">
        <f aca="false" t="array" ref="D1484:D1484">IF(ISBLANK(_xlfn.xlookup(D$3,daily_items,_xlfn.xlookup($C1484,daily_dates,big_daily_table))),NA(),_xlfn.xlookup(D$3,daily_items,_xlfn.xlookup($C1484,daily_dates,big_daily_table)))</f>
        <v>#NAME?</v>
      </c>
      <c r="E1484" s="1" t="e">
        <f aca="false" t="array" ref="E1484:E1484">IF(ISBLANK(_xlfn.xlookup(E$3,daily_items,_xlfn.xlookup($C1484,daily_dates,big_daily_table))),NA(),_xlfn.xlookup(E$3,daily_items,_xlfn.xlookup($C1484,daily_dates,big_daily_table)))</f>
        <v>#NAME?</v>
      </c>
    </row>
    <row r="1485" customFormat="false" ht="14.25" hidden="false" customHeight="false" outlineLevel="0" collapsed="false">
      <c r="B1485" s="7" t="n">
        <v>42390</v>
      </c>
      <c r="C1485" s="7" t="n">
        <f aca="false">B1485-WEEKDAY(B1485)+1</f>
        <v>42386</v>
      </c>
      <c r="D1485" s="1" t="e">
        <f aca="false" t="array" ref="D1485:D1485">IF(ISBLANK(_xlfn.xlookup(D$3,daily_items,_xlfn.xlookup($C1485,daily_dates,big_daily_table))),NA(),_xlfn.xlookup(D$3,daily_items,_xlfn.xlookup($C1485,daily_dates,big_daily_table)))</f>
        <v>#NAME?</v>
      </c>
      <c r="E1485" s="1" t="e">
        <f aca="false" t="array" ref="E1485:E1485">IF(ISBLANK(_xlfn.xlookup(E$3,daily_items,_xlfn.xlookup($C1485,daily_dates,big_daily_table))),NA(),_xlfn.xlookup(E$3,daily_items,_xlfn.xlookup($C1485,daily_dates,big_daily_table)))</f>
        <v>#NAME?</v>
      </c>
    </row>
    <row r="1486" customFormat="false" ht="14.25" hidden="false" customHeight="false" outlineLevel="0" collapsed="false">
      <c r="B1486" s="7" t="n">
        <v>42391</v>
      </c>
      <c r="C1486" s="7" t="n">
        <f aca="false">B1486-WEEKDAY(B1486)+1</f>
        <v>42386</v>
      </c>
      <c r="D1486" s="1" t="e">
        <f aca="false" t="array" ref="D1486:D1486">IF(ISBLANK(_xlfn.xlookup(D$3,daily_items,_xlfn.xlookup($C1486,daily_dates,big_daily_table))),NA(),_xlfn.xlookup(D$3,daily_items,_xlfn.xlookup($C1486,daily_dates,big_daily_table)))</f>
        <v>#NAME?</v>
      </c>
      <c r="E1486" s="1" t="e">
        <f aca="false" t="array" ref="E1486:E1486">IF(ISBLANK(_xlfn.xlookup(E$3,daily_items,_xlfn.xlookup($C1486,daily_dates,big_daily_table))),NA(),_xlfn.xlookup(E$3,daily_items,_xlfn.xlookup($C1486,daily_dates,big_daily_table)))</f>
        <v>#NAME?</v>
      </c>
    </row>
    <row r="1487" customFormat="false" ht="14.25" hidden="false" customHeight="false" outlineLevel="0" collapsed="false">
      <c r="B1487" s="7" t="n">
        <v>42392</v>
      </c>
      <c r="C1487" s="7" t="n">
        <f aca="false">B1487-WEEKDAY(B1487)+1</f>
        <v>42386</v>
      </c>
      <c r="D1487" s="1" t="e">
        <f aca="false" t="array" ref="D1487:D1487">IF(ISBLANK(_xlfn.xlookup(D$3,daily_items,_xlfn.xlookup($C1487,daily_dates,big_daily_table))),NA(),_xlfn.xlookup(D$3,daily_items,_xlfn.xlookup($C1487,daily_dates,big_daily_table)))</f>
        <v>#NAME?</v>
      </c>
      <c r="E1487" s="1" t="e">
        <f aca="false" t="array" ref="E1487:E1487">IF(ISBLANK(_xlfn.xlookup(E$3,daily_items,_xlfn.xlookup($C1487,daily_dates,big_daily_table))),NA(),_xlfn.xlookup(E$3,daily_items,_xlfn.xlookup($C1487,daily_dates,big_daily_table)))</f>
        <v>#NAME?</v>
      </c>
    </row>
    <row r="1488" customFormat="false" ht="14.25" hidden="false" customHeight="false" outlineLevel="0" collapsed="false">
      <c r="B1488" s="7" t="n">
        <v>42393</v>
      </c>
      <c r="C1488" s="7" t="n">
        <f aca="false">B1488-WEEKDAY(B1488)+1</f>
        <v>42393</v>
      </c>
      <c r="D1488" s="1" t="e">
        <f aca="false" t="array" ref="D1488:D1488">IF(ISBLANK(_xlfn.xlookup(D$3,daily_items,_xlfn.xlookup($C1488,daily_dates,big_daily_table))),NA(),_xlfn.xlookup(D$3,daily_items,_xlfn.xlookup($C1488,daily_dates,big_daily_table)))</f>
        <v>#NAME?</v>
      </c>
      <c r="E1488" s="1" t="e">
        <f aca="false" t="array" ref="E1488:E1488">IF(ISBLANK(_xlfn.xlookup(E$3,daily_items,_xlfn.xlookup($C1488,daily_dates,big_daily_table))),NA(),_xlfn.xlookup(E$3,daily_items,_xlfn.xlookup($C1488,daily_dates,big_daily_table)))</f>
        <v>#NAME?</v>
      </c>
    </row>
    <row r="1489" customFormat="false" ht="14.25" hidden="false" customHeight="false" outlineLevel="0" collapsed="false">
      <c r="B1489" s="7" t="n">
        <v>42394</v>
      </c>
      <c r="C1489" s="7" t="n">
        <f aca="false">B1489-WEEKDAY(B1489)+1</f>
        <v>42393</v>
      </c>
      <c r="D1489" s="1" t="e">
        <f aca="false" t="array" ref="D1489:D1489">IF(ISBLANK(_xlfn.xlookup(D$3,daily_items,_xlfn.xlookup($C1489,daily_dates,big_daily_table))),NA(),_xlfn.xlookup(D$3,daily_items,_xlfn.xlookup($C1489,daily_dates,big_daily_table)))</f>
        <v>#NAME?</v>
      </c>
      <c r="E1489" s="1" t="e">
        <f aca="false" t="array" ref="E1489:E1489">IF(ISBLANK(_xlfn.xlookup(E$3,daily_items,_xlfn.xlookup($C1489,daily_dates,big_daily_table))),NA(),_xlfn.xlookup(E$3,daily_items,_xlfn.xlookup($C1489,daily_dates,big_daily_table)))</f>
        <v>#NAME?</v>
      </c>
    </row>
    <row r="1490" customFormat="false" ht="14.25" hidden="false" customHeight="false" outlineLevel="0" collapsed="false">
      <c r="B1490" s="7" t="n">
        <v>42395</v>
      </c>
      <c r="C1490" s="7" t="n">
        <f aca="false">B1490-WEEKDAY(B1490)+1</f>
        <v>42393</v>
      </c>
      <c r="D1490" s="1" t="e">
        <f aca="false" t="array" ref="D1490:D1490">IF(ISBLANK(_xlfn.xlookup(D$3,daily_items,_xlfn.xlookup($C1490,daily_dates,big_daily_table))),NA(),_xlfn.xlookup(D$3,daily_items,_xlfn.xlookup($C1490,daily_dates,big_daily_table)))</f>
        <v>#NAME?</v>
      </c>
      <c r="E1490" s="1" t="e">
        <f aca="false" t="array" ref="E1490:E1490">IF(ISBLANK(_xlfn.xlookup(E$3,daily_items,_xlfn.xlookup($C1490,daily_dates,big_daily_table))),NA(),_xlfn.xlookup(E$3,daily_items,_xlfn.xlookup($C1490,daily_dates,big_daily_table)))</f>
        <v>#NAME?</v>
      </c>
    </row>
    <row r="1491" customFormat="false" ht="14.25" hidden="false" customHeight="false" outlineLevel="0" collapsed="false">
      <c r="B1491" s="7" t="n">
        <v>42396</v>
      </c>
      <c r="C1491" s="7" t="n">
        <f aca="false">B1491-WEEKDAY(B1491)+1</f>
        <v>42393</v>
      </c>
      <c r="D1491" s="1" t="e">
        <f aca="false" t="array" ref="D1491:D1491">IF(ISBLANK(_xlfn.xlookup(D$3,daily_items,_xlfn.xlookup($C1491,daily_dates,big_daily_table))),NA(),_xlfn.xlookup(D$3,daily_items,_xlfn.xlookup($C1491,daily_dates,big_daily_table)))</f>
        <v>#NAME?</v>
      </c>
      <c r="E1491" s="1" t="e">
        <f aca="false" t="array" ref="E1491:E1491">IF(ISBLANK(_xlfn.xlookup(E$3,daily_items,_xlfn.xlookup($C1491,daily_dates,big_daily_table))),NA(),_xlfn.xlookup(E$3,daily_items,_xlfn.xlookup($C1491,daily_dates,big_daily_table)))</f>
        <v>#NAME?</v>
      </c>
    </row>
    <row r="1492" customFormat="false" ht="14.25" hidden="false" customHeight="false" outlineLevel="0" collapsed="false">
      <c r="B1492" s="7" t="n">
        <v>42397</v>
      </c>
      <c r="C1492" s="7" t="n">
        <f aca="false">B1492-WEEKDAY(B1492)+1</f>
        <v>42393</v>
      </c>
      <c r="D1492" s="1" t="e">
        <f aca="false" t="array" ref="D1492:D1492">IF(ISBLANK(_xlfn.xlookup(D$3,daily_items,_xlfn.xlookup($C1492,daily_dates,big_daily_table))),NA(),_xlfn.xlookup(D$3,daily_items,_xlfn.xlookup($C1492,daily_dates,big_daily_table)))</f>
        <v>#NAME?</v>
      </c>
      <c r="E1492" s="1" t="e">
        <f aca="false" t="array" ref="E1492:E1492">IF(ISBLANK(_xlfn.xlookup(E$3,daily_items,_xlfn.xlookup($C1492,daily_dates,big_daily_table))),NA(),_xlfn.xlookup(E$3,daily_items,_xlfn.xlookup($C1492,daily_dates,big_daily_table)))</f>
        <v>#NAME?</v>
      </c>
    </row>
    <row r="1493" customFormat="false" ht="14.25" hidden="false" customHeight="false" outlineLevel="0" collapsed="false">
      <c r="B1493" s="7" t="n">
        <v>42398</v>
      </c>
      <c r="C1493" s="7" t="n">
        <f aca="false">B1493-WEEKDAY(B1493)+1</f>
        <v>42393</v>
      </c>
      <c r="D1493" s="1" t="e">
        <f aca="false" t="array" ref="D1493:D1493">IF(ISBLANK(_xlfn.xlookup(D$3,daily_items,_xlfn.xlookup($C1493,daily_dates,big_daily_table))),NA(),_xlfn.xlookup(D$3,daily_items,_xlfn.xlookup($C1493,daily_dates,big_daily_table)))</f>
        <v>#NAME?</v>
      </c>
      <c r="E1493" s="1" t="e">
        <f aca="false" t="array" ref="E1493:E1493">IF(ISBLANK(_xlfn.xlookup(E$3,daily_items,_xlfn.xlookup($C1493,daily_dates,big_daily_table))),NA(),_xlfn.xlookup(E$3,daily_items,_xlfn.xlookup($C1493,daily_dates,big_daily_table)))</f>
        <v>#NAME?</v>
      </c>
    </row>
    <row r="1494" customFormat="false" ht="14.25" hidden="false" customHeight="false" outlineLevel="0" collapsed="false">
      <c r="B1494" s="7" t="n">
        <v>42399</v>
      </c>
      <c r="C1494" s="7" t="n">
        <f aca="false">B1494-WEEKDAY(B1494)+1</f>
        <v>42393</v>
      </c>
      <c r="D1494" s="1" t="e">
        <f aca="false" t="array" ref="D1494:D1494">IF(ISBLANK(_xlfn.xlookup(D$3,daily_items,_xlfn.xlookup($C1494,daily_dates,big_daily_table))),NA(),_xlfn.xlookup(D$3,daily_items,_xlfn.xlookup($C1494,daily_dates,big_daily_table)))</f>
        <v>#NAME?</v>
      </c>
      <c r="E1494" s="1" t="e">
        <f aca="false" t="array" ref="E1494:E1494">IF(ISBLANK(_xlfn.xlookup(E$3,daily_items,_xlfn.xlookup($C1494,daily_dates,big_daily_table))),NA(),_xlfn.xlookup(E$3,daily_items,_xlfn.xlookup($C1494,daily_dates,big_daily_table)))</f>
        <v>#NAME?</v>
      </c>
    </row>
    <row r="1495" customFormat="false" ht="14.25" hidden="false" customHeight="false" outlineLevel="0" collapsed="false">
      <c r="B1495" s="7" t="n">
        <v>42400</v>
      </c>
      <c r="C1495" s="7" t="n">
        <f aca="false">B1495-WEEKDAY(B1495)+1</f>
        <v>42400</v>
      </c>
      <c r="D1495" s="1" t="e">
        <f aca="false" t="array" ref="D1495:D1495">IF(ISBLANK(_xlfn.xlookup(D$3,daily_items,_xlfn.xlookup($C1495,daily_dates,big_daily_table))),NA(),_xlfn.xlookup(D$3,daily_items,_xlfn.xlookup($C1495,daily_dates,big_daily_table)))</f>
        <v>#NAME?</v>
      </c>
      <c r="E1495" s="1" t="e">
        <f aca="false" t="array" ref="E1495:E1495">IF(ISBLANK(_xlfn.xlookup(E$3,daily_items,_xlfn.xlookup($C1495,daily_dates,big_daily_table))),NA(),_xlfn.xlookup(E$3,daily_items,_xlfn.xlookup($C1495,daily_dates,big_daily_table)))</f>
        <v>#NAME?</v>
      </c>
    </row>
    <row r="1496" customFormat="false" ht="14.25" hidden="false" customHeight="false" outlineLevel="0" collapsed="false">
      <c r="B1496" s="7" t="n">
        <v>42401</v>
      </c>
      <c r="C1496" s="7" t="n">
        <f aca="false">B1496-WEEKDAY(B1496)+1</f>
        <v>42400</v>
      </c>
      <c r="D1496" s="1" t="e">
        <f aca="false" t="array" ref="D1496:D1496">IF(ISBLANK(_xlfn.xlookup(D$3,daily_items,_xlfn.xlookup($C1496,daily_dates,big_daily_table))),NA(),_xlfn.xlookup(D$3,daily_items,_xlfn.xlookup($C1496,daily_dates,big_daily_table)))</f>
        <v>#NAME?</v>
      </c>
      <c r="E1496" s="1" t="e">
        <f aca="false" t="array" ref="E1496:E1496">IF(ISBLANK(_xlfn.xlookup(E$3,daily_items,_xlfn.xlookup($C1496,daily_dates,big_daily_table))),NA(),_xlfn.xlookup(E$3,daily_items,_xlfn.xlookup($C1496,daily_dates,big_daily_table)))</f>
        <v>#NAME?</v>
      </c>
    </row>
    <row r="1497" customFormat="false" ht="14.25" hidden="false" customHeight="false" outlineLevel="0" collapsed="false">
      <c r="B1497" s="7" t="n">
        <v>42402</v>
      </c>
      <c r="C1497" s="7" t="n">
        <f aca="false">B1497-WEEKDAY(B1497)+1</f>
        <v>42400</v>
      </c>
      <c r="D1497" s="1" t="e">
        <f aca="false" t="array" ref="D1497:D1497">IF(ISBLANK(_xlfn.xlookup(D$3,daily_items,_xlfn.xlookup($C1497,daily_dates,big_daily_table))),NA(),_xlfn.xlookup(D$3,daily_items,_xlfn.xlookup($C1497,daily_dates,big_daily_table)))</f>
        <v>#NAME?</v>
      </c>
      <c r="E1497" s="1" t="e">
        <f aca="false" t="array" ref="E1497:E1497">IF(ISBLANK(_xlfn.xlookup(E$3,daily_items,_xlfn.xlookup($C1497,daily_dates,big_daily_table))),NA(),_xlfn.xlookup(E$3,daily_items,_xlfn.xlookup($C1497,daily_dates,big_daily_table)))</f>
        <v>#NAME?</v>
      </c>
    </row>
    <row r="1498" customFormat="false" ht="14.25" hidden="false" customHeight="false" outlineLevel="0" collapsed="false">
      <c r="B1498" s="7" t="n">
        <v>42403</v>
      </c>
      <c r="C1498" s="7" t="n">
        <f aca="false">B1498-WEEKDAY(B1498)+1</f>
        <v>42400</v>
      </c>
      <c r="D1498" s="1" t="e">
        <f aca="false" t="array" ref="D1498:D1498">IF(ISBLANK(_xlfn.xlookup(D$3,daily_items,_xlfn.xlookup($C1498,daily_dates,big_daily_table))),NA(),_xlfn.xlookup(D$3,daily_items,_xlfn.xlookup($C1498,daily_dates,big_daily_table)))</f>
        <v>#NAME?</v>
      </c>
      <c r="E1498" s="1" t="e">
        <f aca="false" t="array" ref="E1498:E1498">IF(ISBLANK(_xlfn.xlookup(E$3,daily_items,_xlfn.xlookup($C1498,daily_dates,big_daily_table))),NA(),_xlfn.xlookup(E$3,daily_items,_xlfn.xlookup($C1498,daily_dates,big_daily_table)))</f>
        <v>#NAME?</v>
      </c>
    </row>
    <row r="1499" customFormat="false" ht="14.25" hidden="false" customHeight="false" outlineLevel="0" collapsed="false">
      <c r="B1499" s="7" t="n">
        <v>42404</v>
      </c>
      <c r="C1499" s="7" t="n">
        <f aca="false">B1499-WEEKDAY(B1499)+1</f>
        <v>42400</v>
      </c>
      <c r="D1499" s="1" t="e">
        <f aca="false" t="array" ref="D1499:D1499">IF(ISBLANK(_xlfn.xlookup(D$3,daily_items,_xlfn.xlookup($C1499,daily_dates,big_daily_table))),NA(),_xlfn.xlookup(D$3,daily_items,_xlfn.xlookup($C1499,daily_dates,big_daily_table)))</f>
        <v>#NAME?</v>
      </c>
      <c r="E1499" s="1" t="e">
        <f aca="false" t="array" ref="E1499:E1499">IF(ISBLANK(_xlfn.xlookup(E$3,daily_items,_xlfn.xlookup($C1499,daily_dates,big_daily_table))),NA(),_xlfn.xlookup(E$3,daily_items,_xlfn.xlookup($C1499,daily_dates,big_daily_table)))</f>
        <v>#NAME?</v>
      </c>
    </row>
    <row r="1500" customFormat="false" ht="14.25" hidden="false" customHeight="false" outlineLevel="0" collapsed="false">
      <c r="B1500" s="7" t="n">
        <v>42405</v>
      </c>
      <c r="C1500" s="7" t="n">
        <f aca="false">B1500-WEEKDAY(B1500)+1</f>
        <v>42400</v>
      </c>
      <c r="D1500" s="1" t="e">
        <f aca="false" t="array" ref="D1500:D1500">IF(ISBLANK(_xlfn.xlookup(D$3,daily_items,_xlfn.xlookup($C1500,daily_dates,big_daily_table))),NA(),_xlfn.xlookup(D$3,daily_items,_xlfn.xlookup($C1500,daily_dates,big_daily_table)))</f>
        <v>#NAME?</v>
      </c>
      <c r="E1500" s="1" t="e">
        <f aca="false" t="array" ref="E1500:E1500">IF(ISBLANK(_xlfn.xlookup(E$3,daily_items,_xlfn.xlookup($C1500,daily_dates,big_daily_table))),NA(),_xlfn.xlookup(E$3,daily_items,_xlfn.xlookup($C1500,daily_dates,big_daily_table)))</f>
        <v>#NAME?</v>
      </c>
    </row>
    <row r="1501" customFormat="false" ht="14.25" hidden="false" customHeight="false" outlineLevel="0" collapsed="false">
      <c r="B1501" s="7" t="n">
        <v>42406</v>
      </c>
      <c r="C1501" s="7" t="n">
        <f aca="false">B1501-WEEKDAY(B1501)+1</f>
        <v>42400</v>
      </c>
      <c r="D1501" s="1" t="e">
        <f aca="false" t="array" ref="D1501:D1501">IF(ISBLANK(_xlfn.xlookup(D$3,daily_items,_xlfn.xlookup($C1501,daily_dates,big_daily_table))),NA(),_xlfn.xlookup(D$3,daily_items,_xlfn.xlookup($C1501,daily_dates,big_daily_table)))</f>
        <v>#NAME?</v>
      </c>
      <c r="E1501" s="1" t="e">
        <f aca="false" t="array" ref="E1501:E1501">IF(ISBLANK(_xlfn.xlookup(E$3,daily_items,_xlfn.xlookup($C1501,daily_dates,big_daily_table))),NA(),_xlfn.xlookup(E$3,daily_items,_xlfn.xlookup($C1501,daily_dates,big_daily_table)))</f>
        <v>#NAME?</v>
      </c>
    </row>
    <row r="1502" customFormat="false" ht="14.25" hidden="false" customHeight="false" outlineLevel="0" collapsed="false">
      <c r="B1502" s="7" t="n">
        <v>42407</v>
      </c>
      <c r="C1502" s="7" t="n">
        <f aca="false">B1502-WEEKDAY(B1502)+1</f>
        <v>42407</v>
      </c>
      <c r="D1502" s="1" t="e">
        <f aca="false" t="array" ref="D1502:D1502">IF(ISBLANK(_xlfn.xlookup(D$3,daily_items,_xlfn.xlookup($C1502,daily_dates,big_daily_table))),NA(),_xlfn.xlookup(D$3,daily_items,_xlfn.xlookup($C1502,daily_dates,big_daily_table)))</f>
        <v>#NAME?</v>
      </c>
      <c r="E1502" s="1" t="e">
        <f aca="false" t="array" ref="E1502:E1502">IF(ISBLANK(_xlfn.xlookup(E$3,daily_items,_xlfn.xlookup($C1502,daily_dates,big_daily_table))),NA(),_xlfn.xlookup(E$3,daily_items,_xlfn.xlookup($C1502,daily_dates,big_daily_table)))</f>
        <v>#NAME?</v>
      </c>
    </row>
    <row r="1503" customFormat="false" ht="14.25" hidden="false" customHeight="false" outlineLevel="0" collapsed="false">
      <c r="B1503" s="7" t="n">
        <v>42408</v>
      </c>
      <c r="C1503" s="7" t="n">
        <f aca="false">B1503-WEEKDAY(B1503)+1</f>
        <v>42407</v>
      </c>
      <c r="D1503" s="1" t="e">
        <f aca="false" t="array" ref="D1503:D1503">IF(ISBLANK(_xlfn.xlookup(D$3,daily_items,_xlfn.xlookup($C1503,daily_dates,big_daily_table))),NA(),_xlfn.xlookup(D$3,daily_items,_xlfn.xlookup($C1503,daily_dates,big_daily_table)))</f>
        <v>#NAME?</v>
      </c>
      <c r="E1503" s="1" t="e">
        <f aca="false" t="array" ref="E1503:E1503">IF(ISBLANK(_xlfn.xlookup(E$3,daily_items,_xlfn.xlookup($C1503,daily_dates,big_daily_table))),NA(),_xlfn.xlookup(E$3,daily_items,_xlfn.xlookup($C1503,daily_dates,big_daily_table)))</f>
        <v>#NAME?</v>
      </c>
    </row>
    <row r="1504" customFormat="false" ht="14.25" hidden="false" customHeight="false" outlineLevel="0" collapsed="false">
      <c r="B1504" s="7" t="n">
        <v>42409</v>
      </c>
      <c r="C1504" s="7" t="n">
        <f aca="false">B1504-WEEKDAY(B1504)+1</f>
        <v>42407</v>
      </c>
      <c r="D1504" s="1" t="e">
        <f aca="false" t="array" ref="D1504:D1504">IF(ISBLANK(_xlfn.xlookup(D$3,daily_items,_xlfn.xlookup($C1504,daily_dates,big_daily_table))),NA(),_xlfn.xlookup(D$3,daily_items,_xlfn.xlookup($C1504,daily_dates,big_daily_table)))</f>
        <v>#NAME?</v>
      </c>
      <c r="E1504" s="1" t="e">
        <f aca="false" t="array" ref="E1504:E1504">IF(ISBLANK(_xlfn.xlookup(E$3,daily_items,_xlfn.xlookup($C1504,daily_dates,big_daily_table))),NA(),_xlfn.xlookup(E$3,daily_items,_xlfn.xlookup($C1504,daily_dates,big_daily_table)))</f>
        <v>#NAME?</v>
      </c>
    </row>
    <row r="1505" customFormat="false" ht="14.25" hidden="false" customHeight="false" outlineLevel="0" collapsed="false">
      <c r="B1505" s="7" t="n">
        <v>42410</v>
      </c>
      <c r="C1505" s="7" t="n">
        <f aca="false">B1505-WEEKDAY(B1505)+1</f>
        <v>42407</v>
      </c>
      <c r="D1505" s="1" t="e">
        <f aca="false" t="array" ref="D1505:D1505">IF(ISBLANK(_xlfn.xlookup(D$3,daily_items,_xlfn.xlookup($C1505,daily_dates,big_daily_table))),NA(),_xlfn.xlookup(D$3,daily_items,_xlfn.xlookup($C1505,daily_dates,big_daily_table)))</f>
        <v>#NAME?</v>
      </c>
      <c r="E1505" s="1" t="e">
        <f aca="false" t="array" ref="E1505:E1505">IF(ISBLANK(_xlfn.xlookup(E$3,daily_items,_xlfn.xlookup($C1505,daily_dates,big_daily_table))),NA(),_xlfn.xlookup(E$3,daily_items,_xlfn.xlookup($C1505,daily_dates,big_daily_table)))</f>
        <v>#NAME?</v>
      </c>
    </row>
    <row r="1506" customFormat="false" ht="14.25" hidden="false" customHeight="false" outlineLevel="0" collapsed="false">
      <c r="B1506" s="7" t="n">
        <v>42411</v>
      </c>
      <c r="C1506" s="7" t="n">
        <f aca="false">B1506-WEEKDAY(B1506)+1</f>
        <v>42407</v>
      </c>
      <c r="D1506" s="1" t="e">
        <f aca="false" t="array" ref="D1506:D1506">IF(ISBLANK(_xlfn.xlookup(D$3,daily_items,_xlfn.xlookup($C1506,daily_dates,big_daily_table))),NA(),_xlfn.xlookup(D$3,daily_items,_xlfn.xlookup($C1506,daily_dates,big_daily_table)))</f>
        <v>#NAME?</v>
      </c>
      <c r="E1506" s="1" t="e">
        <f aca="false" t="array" ref="E1506:E1506">IF(ISBLANK(_xlfn.xlookup(E$3,daily_items,_xlfn.xlookup($C1506,daily_dates,big_daily_table))),NA(),_xlfn.xlookup(E$3,daily_items,_xlfn.xlookup($C1506,daily_dates,big_daily_table)))</f>
        <v>#NAME?</v>
      </c>
    </row>
    <row r="1507" customFormat="false" ht="14.25" hidden="false" customHeight="false" outlineLevel="0" collapsed="false">
      <c r="B1507" s="7" t="n">
        <v>42412</v>
      </c>
      <c r="C1507" s="7" t="n">
        <f aca="false">B1507-WEEKDAY(B1507)+1</f>
        <v>42407</v>
      </c>
      <c r="D1507" s="1" t="e">
        <f aca="false" t="array" ref="D1507:D1507">IF(ISBLANK(_xlfn.xlookup(D$3,daily_items,_xlfn.xlookup($C1507,daily_dates,big_daily_table))),NA(),_xlfn.xlookup(D$3,daily_items,_xlfn.xlookup($C1507,daily_dates,big_daily_table)))</f>
        <v>#NAME?</v>
      </c>
      <c r="E1507" s="1" t="e">
        <f aca="false" t="array" ref="E1507:E1507">IF(ISBLANK(_xlfn.xlookup(E$3,daily_items,_xlfn.xlookup($C1507,daily_dates,big_daily_table))),NA(),_xlfn.xlookup(E$3,daily_items,_xlfn.xlookup($C1507,daily_dates,big_daily_table)))</f>
        <v>#NAME?</v>
      </c>
    </row>
    <row r="1508" customFormat="false" ht="14.25" hidden="false" customHeight="false" outlineLevel="0" collapsed="false">
      <c r="B1508" s="7" t="n">
        <v>42413</v>
      </c>
      <c r="C1508" s="7" t="n">
        <f aca="false">B1508-WEEKDAY(B1508)+1</f>
        <v>42407</v>
      </c>
      <c r="D1508" s="1" t="e">
        <f aca="false" t="array" ref="D1508:D1508">IF(ISBLANK(_xlfn.xlookup(D$3,daily_items,_xlfn.xlookup($C1508,daily_dates,big_daily_table))),NA(),_xlfn.xlookup(D$3,daily_items,_xlfn.xlookup($C1508,daily_dates,big_daily_table)))</f>
        <v>#NAME?</v>
      </c>
      <c r="E1508" s="1" t="e">
        <f aca="false" t="array" ref="E1508:E1508">IF(ISBLANK(_xlfn.xlookup(E$3,daily_items,_xlfn.xlookup($C1508,daily_dates,big_daily_table))),NA(),_xlfn.xlookup(E$3,daily_items,_xlfn.xlookup($C1508,daily_dates,big_daily_table)))</f>
        <v>#NAME?</v>
      </c>
    </row>
    <row r="1509" customFormat="false" ht="14.25" hidden="false" customHeight="false" outlineLevel="0" collapsed="false">
      <c r="B1509" s="7" t="n">
        <v>42414</v>
      </c>
      <c r="C1509" s="7" t="n">
        <f aca="false">B1509-WEEKDAY(B1509)+1</f>
        <v>42414</v>
      </c>
      <c r="D1509" s="1" t="e">
        <f aca="false" t="array" ref="D1509:D1509">IF(ISBLANK(_xlfn.xlookup(D$3,daily_items,_xlfn.xlookup($C1509,daily_dates,big_daily_table))),NA(),_xlfn.xlookup(D$3,daily_items,_xlfn.xlookup($C1509,daily_dates,big_daily_table)))</f>
        <v>#NAME?</v>
      </c>
      <c r="E1509" s="1" t="e">
        <f aca="false" t="array" ref="E1509:E1509">IF(ISBLANK(_xlfn.xlookup(E$3,daily_items,_xlfn.xlookup($C1509,daily_dates,big_daily_table))),NA(),_xlfn.xlookup(E$3,daily_items,_xlfn.xlookup($C1509,daily_dates,big_daily_table)))</f>
        <v>#NAME?</v>
      </c>
    </row>
    <row r="1510" customFormat="false" ht="14.25" hidden="false" customHeight="false" outlineLevel="0" collapsed="false">
      <c r="B1510" s="7" t="n">
        <v>42415</v>
      </c>
      <c r="C1510" s="7" t="n">
        <f aca="false">B1510-WEEKDAY(B1510)+1</f>
        <v>42414</v>
      </c>
      <c r="D1510" s="1" t="e">
        <f aca="false" t="array" ref="D1510:D1510">IF(ISBLANK(_xlfn.xlookup(D$3,daily_items,_xlfn.xlookup($C1510,daily_dates,big_daily_table))),NA(),_xlfn.xlookup(D$3,daily_items,_xlfn.xlookup($C1510,daily_dates,big_daily_table)))</f>
        <v>#NAME?</v>
      </c>
      <c r="E1510" s="1" t="e">
        <f aca="false" t="array" ref="E1510:E1510">IF(ISBLANK(_xlfn.xlookup(E$3,daily_items,_xlfn.xlookup($C1510,daily_dates,big_daily_table))),NA(),_xlfn.xlookup(E$3,daily_items,_xlfn.xlookup($C1510,daily_dates,big_daily_table)))</f>
        <v>#NAME?</v>
      </c>
    </row>
    <row r="1511" customFormat="false" ht="14.25" hidden="false" customHeight="false" outlineLevel="0" collapsed="false">
      <c r="B1511" s="7" t="n">
        <v>42416</v>
      </c>
      <c r="C1511" s="7" t="n">
        <f aca="false">B1511-WEEKDAY(B1511)+1</f>
        <v>42414</v>
      </c>
      <c r="D1511" s="1" t="e">
        <f aca="false" t="array" ref="D1511:D1511">IF(ISBLANK(_xlfn.xlookup(D$3,daily_items,_xlfn.xlookup($C1511,daily_dates,big_daily_table))),NA(),_xlfn.xlookup(D$3,daily_items,_xlfn.xlookup($C1511,daily_dates,big_daily_table)))</f>
        <v>#NAME?</v>
      </c>
      <c r="E1511" s="1" t="e">
        <f aca="false" t="array" ref="E1511:E1511">IF(ISBLANK(_xlfn.xlookup(E$3,daily_items,_xlfn.xlookup($C1511,daily_dates,big_daily_table))),NA(),_xlfn.xlookup(E$3,daily_items,_xlfn.xlookup($C1511,daily_dates,big_daily_table)))</f>
        <v>#NAME?</v>
      </c>
    </row>
    <row r="1512" customFormat="false" ht="14.25" hidden="false" customHeight="false" outlineLevel="0" collapsed="false">
      <c r="B1512" s="7" t="n">
        <v>42417</v>
      </c>
      <c r="C1512" s="7" t="n">
        <f aca="false">B1512-WEEKDAY(B1512)+1</f>
        <v>42414</v>
      </c>
      <c r="D1512" s="1" t="e">
        <f aca="false" t="array" ref="D1512:D1512">IF(ISBLANK(_xlfn.xlookup(D$3,daily_items,_xlfn.xlookup($C1512,daily_dates,big_daily_table))),NA(),_xlfn.xlookup(D$3,daily_items,_xlfn.xlookup($C1512,daily_dates,big_daily_table)))</f>
        <v>#NAME?</v>
      </c>
      <c r="E1512" s="1" t="e">
        <f aca="false" t="array" ref="E1512:E1512">IF(ISBLANK(_xlfn.xlookup(E$3,daily_items,_xlfn.xlookup($C1512,daily_dates,big_daily_table))),NA(),_xlfn.xlookup(E$3,daily_items,_xlfn.xlookup($C1512,daily_dates,big_daily_table)))</f>
        <v>#NAME?</v>
      </c>
    </row>
    <row r="1513" customFormat="false" ht="14.25" hidden="false" customHeight="false" outlineLevel="0" collapsed="false">
      <c r="B1513" s="7" t="n">
        <v>42418</v>
      </c>
      <c r="C1513" s="7" t="n">
        <f aca="false">B1513-WEEKDAY(B1513)+1</f>
        <v>42414</v>
      </c>
      <c r="D1513" s="1" t="e">
        <f aca="false" t="array" ref="D1513:D1513">IF(ISBLANK(_xlfn.xlookup(D$3,daily_items,_xlfn.xlookup($C1513,daily_dates,big_daily_table))),NA(),_xlfn.xlookup(D$3,daily_items,_xlfn.xlookup($C1513,daily_dates,big_daily_table)))</f>
        <v>#NAME?</v>
      </c>
      <c r="E1513" s="1" t="e">
        <f aca="false" t="array" ref="E1513:E1513">IF(ISBLANK(_xlfn.xlookup(E$3,daily_items,_xlfn.xlookup($C1513,daily_dates,big_daily_table))),NA(),_xlfn.xlookup(E$3,daily_items,_xlfn.xlookup($C1513,daily_dates,big_daily_table)))</f>
        <v>#NAME?</v>
      </c>
    </row>
    <row r="1514" customFormat="false" ht="14.25" hidden="false" customHeight="false" outlineLevel="0" collapsed="false">
      <c r="B1514" s="7" t="n">
        <v>42419</v>
      </c>
      <c r="C1514" s="7" t="n">
        <f aca="false">B1514-WEEKDAY(B1514)+1</f>
        <v>42414</v>
      </c>
      <c r="D1514" s="1" t="e">
        <f aca="false" t="array" ref="D1514:D1514">IF(ISBLANK(_xlfn.xlookup(D$3,daily_items,_xlfn.xlookup($C1514,daily_dates,big_daily_table))),NA(),_xlfn.xlookup(D$3,daily_items,_xlfn.xlookup($C1514,daily_dates,big_daily_table)))</f>
        <v>#NAME?</v>
      </c>
      <c r="E1514" s="1" t="e">
        <f aca="false" t="array" ref="E1514:E1514">IF(ISBLANK(_xlfn.xlookup(E$3,daily_items,_xlfn.xlookup($C1514,daily_dates,big_daily_table))),NA(),_xlfn.xlookup(E$3,daily_items,_xlfn.xlookup($C1514,daily_dates,big_daily_table)))</f>
        <v>#NAME?</v>
      </c>
    </row>
    <row r="1515" customFormat="false" ht="14.25" hidden="false" customHeight="false" outlineLevel="0" collapsed="false">
      <c r="B1515" s="7" t="n">
        <v>42420</v>
      </c>
      <c r="C1515" s="7" t="n">
        <f aca="false">B1515-WEEKDAY(B1515)+1</f>
        <v>42414</v>
      </c>
      <c r="D1515" s="1" t="e">
        <f aca="false" t="array" ref="D1515:D1515">IF(ISBLANK(_xlfn.xlookup(D$3,daily_items,_xlfn.xlookup($C1515,daily_dates,big_daily_table))),NA(),_xlfn.xlookup(D$3,daily_items,_xlfn.xlookup($C1515,daily_dates,big_daily_table)))</f>
        <v>#NAME?</v>
      </c>
      <c r="E1515" s="1" t="e">
        <f aca="false" t="array" ref="E1515:E1515">IF(ISBLANK(_xlfn.xlookup(E$3,daily_items,_xlfn.xlookup($C1515,daily_dates,big_daily_table))),NA(),_xlfn.xlookup(E$3,daily_items,_xlfn.xlookup($C1515,daily_dates,big_daily_table)))</f>
        <v>#NAME?</v>
      </c>
    </row>
    <row r="1516" customFormat="false" ht="14.25" hidden="false" customHeight="false" outlineLevel="0" collapsed="false">
      <c r="B1516" s="7" t="n">
        <v>42421</v>
      </c>
      <c r="C1516" s="7" t="n">
        <f aca="false">B1516-WEEKDAY(B1516)+1</f>
        <v>42421</v>
      </c>
      <c r="D1516" s="1" t="e">
        <f aca="false" t="array" ref="D1516:D1516">IF(ISBLANK(_xlfn.xlookup(D$3,daily_items,_xlfn.xlookup($C1516,daily_dates,big_daily_table))),NA(),_xlfn.xlookup(D$3,daily_items,_xlfn.xlookup($C1516,daily_dates,big_daily_table)))</f>
        <v>#NAME?</v>
      </c>
      <c r="E1516" s="1" t="e">
        <f aca="false" t="array" ref="E1516:E1516">IF(ISBLANK(_xlfn.xlookup(E$3,daily_items,_xlfn.xlookup($C1516,daily_dates,big_daily_table))),NA(),_xlfn.xlookup(E$3,daily_items,_xlfn.xlookup($C1516,daily_dates,big_daily_table)))</f>
        <v>#NAME?</v>
      </c>
    </row>
    <row r="1517" customFormat="false" ht="14.25" hidden="false" customHeight="false" outlineLevel="0" collapsed="false">
      <c r="B1517" s="7" t="n">
        <v>42422</v>
      </c>
      <c r="C1517" s="7" t="n">
        <f aca="false">B1517-WEEKDAY(B1517)+1</f>
        <v>42421</v>
      </c>
      <c r="D1517" s="1" t="e">
        <f aca="false" t="array" ref="D1517:D1517">IF(ISBLANK(_xlfn.xlookup(D$3,daily_items,_xlfn.xlookup($C1517,daily_dates,big_daily_table))),NA(),_xlfn.xlookup(D$3,daily_items,_xlfn.xlookup($C1517,daily_dates,big_daily_table)))</f>
        <v>#NAME?</v>
      </c>
      <c r="E1517" s="1" t="e">
        <f aca="false" t="array" ref="E1517:E1517">IF(ISBLANK(_xlfn.xlookup(E$3,daily_items,_xlfn.xlookup($C1517,daily_dates,big_daily_table))),NA(),_xlfn.xlookup(E$3,daily_items,_xlfn.xlookup($C1517,daily_dates,big_daily_table)))</f>
        <v>#NAME?</v>
      </c>
    </row>
    <row r="1518" customFormat="false" ht="14.25" hidden="false" customHeight="false" outlineLevel="0" collapsed="false">
      <c r="B1518" s="7" t="n">
        <v>42423</v>
      </c>
      <c r="C1518" s="7" t="n">
        <f aca="false">B1518-WEEKDAY(B1518)+1</f>
        <v>42421</v>
      </c>
      <c r="D1518" s="1" t="e">
        <f aca="false" t="array" ref="D1518:D1518">IF(ISBLANK(_xlfn.xlookup(D$3,daily_items,_xlfn.xlookup($C1518,daily_dates,big_daily_table))),NA(),_xlfn.xlookup(D$3,daily_items,_xlfn.xlookup($C1518,daily_dates,big_daily_table)))</f>
        <v>#NAME?</v>
      </c>
      <c r="E1518" s="1" t="e">
        <f aca="false" t="array" ref="E1518:E1518">IF(ISBLANK(_xlfn.xlookup(E$3,daily_items,_xlfn.xlookup($C1518,daily_dates,big_daily_table))),NA(),_xlfn.xlookup(E$3,daily_items,_xlfn.xlookup($C1518,daily_dates,big_daily_table)))</f>
        <v>#NAME?</v>
      </c>
    </row>
    <row r="1519" customFormat="false" ht="14.25" hidden="false" customHeight="false" outlineLevel="0" collapsed="false">
      <c r="B1519" s="7" t="n">
        <v>42424</v>
      </c>
      <c r="C1519" s="7" t="n">
        <f aca="false">B1519-WEEKDAY(B1519)+1</f>
        <v>42421</v>
      </c>
      <c r="D1519" s="1" t="e">
        <f aca="false" t="array" ref="D1519:D1519">IF(ISBLANK(_xlfn.xlookup(D$3,daily_items,_xlfn.xlookup($C1519,daily_dates,big_daily_table))),NA(),_xlfn.xlookup(D$3,daily_items,_xlfn.xlookup($C1519,daily_dates,big_daily_table)))</f>
        <v>#NAME?</v>
      </c>
      <c r="E1519" s="1" t="e">
        <f aca="false" t="array" ref="E1519:E1519">IF(ISBLANK(_xlfn.xlookup(E$3,daily_items,_xlfn.xlookup($C1519,daily_dates,big_daily_table))),NA(),_xlfn.xlookup(E$3,daily_items,_xlfn.xlookup($C1519,daily_dates,big_daily_table)))</f>
        <v>#NAME?</v>
      </c>
    </row>
    <row r="1520" customFormat="false" ht="14.25" hidden="false" customHeight="false" outlineLevel="0" collapsed="false">
      <c r="B1520" s="7" t="n">
        <v>42425</v>
      </c>
      <c r="C1520" s="7" t="n">
        <f aca="false">B1520-WEEKDAY(B1520)+1</f>
        <v>42421</v>
      </c>
      <c r="D1520" s="1" t="e">
        <f aca="false" t="array" ref="D1520:D1520">IF(ISBLANK(_xlfn.xlookup(D$3,daily_items,_xlfn.xlookup($C1520,daily_dates,big_daily_table))),NA(),_xlfn.xlookup(D$3,daily_items,_xlfn.xlookup($C1520,daily_dates,big_daily_table)))</f>
        <v>#NAME?</v>
      </c>
      <c r="E1520" s="1" t="e">
        <f aca="false" t="array" ref="E1520:E1520">IF(ISBLANK(_xlfn.xlookup(E$3,daily_items,_xlfn.xlookup($C1520,daily_dates,big_daily_table))),NA(),_xlfn.xlookup(E$3,daily_items,_xlfn.xlookup($C1520,daily_dates,big_daily_table)))</f>
        <v>#NAME?</v>
      </c>
    </row>
    <row r="1521" customFormat="false" ht="14.25" hidden="false" customHeight="false" outlineLevel="0" collapsed="false">
      <c r="B1521" s="7" t="n">
        <v>42426</v>
      </c>
      <c r="C1521" s="7" t="n">
        <f aca="false">B1521-WEEKDAY(B1521)+1</f>
        <v>42421</v>
      </c>
      <c r="D1521" s="1" t="e">
        <f aca="false" t="array" ref="D1521:D1521">IF(ISBLANK(_xlfn.xlookup(D$3,daily_items,_xlfn.xlookup($C1521,daily_dates,big_daily_table))),NA(),_xlfn.xlookup(D$3,daily_items,_xlfn.xlookup($C1521,daily_dates,big_daily_table)))</f>
        <v>#NAME?</v>
      </c>
      <c r="E1521" s="1" t="e">
        <f aca="false" t="array" ref="E1521:E1521">IF(ISBLANK(_xlfn.xlookup(E$3,daily_items,_xlfn.xlookup($C1521,daily_dates,big_daily_table))),NA(),_xlfn.xlookup(E$3,daily_items,_xlfn.xlookup($C1521,daily_dates,big_daily_table)))</f>
        <v>#NAME?</v>
      </c>
    </row>
    <row r="1522" customFormat="false" ht="14.25" hidden="false" customHeight="false" outlineLevel="0" collapsed="false">
      <c r="B1522" s="7" t="n">
        <v>42427</v>
      </c>
      <c r="C1522" s="7" t="n">
        <f aca="false">B1522-WEEKDAY(B1522)+1</f>
        <v>42421</v>
      </c>
      <c r="D1522" s="1" t="e">
        <f aca="false" t="array" ref="D1522:D1522">IF(ISBLANK(_xlfn.xlookup(D$3,daily_items,_xlfn.xlookup($C1522,daily_dates,big_daily_table))),NA(),_xlfn.xlookup(D$3,daily_items,_xlfn.xlookup($C1522,daily_dates,big_daily_table)))</f>
        <v>#NAME?</v>
      </c>
      <c r="E1522" s="1" t="e">
        <f aca="false" t="array" ref="E1522:E1522">IF(ISBLANK(_xlfn.xlookup(E$3,daily_items,_xlfn.xlookup($C1522,daily_dates,big_daily_table))),NA(),_xlfn.xlookup(E$3,daily_items,_xlfn.xlookup($C1522,daily_dates,big_daily_table)))</f>
        <v>#NAME?</v>
      </c>
    </row>
    <row r="1523" customFormat="false" ht="14.25" hidden="false" customHeight="false" outlineLevel="0" collapsed="false">
      <c r="B1523" s="7" t="n">
        <v>42428</v>
      </c>
      <c r="C1523" s="7" t="n">
        <f aca="false">B1523-WEEKDAY(B1523)+1</f>
        <v>42428</v>
      </c>
      <c r="D1523" s="1" t="e">
        <f aca="false" t="array" ref="D1523:D1523">IF(ISBLANK(_xlfn.xlookup(D$3,daily_items,_xlfn.xlookup($C1523,daily_dates,big_daily_table))),NA(),_xlfn.xlookup(D$3,daily_items,_xlfn.xlookup($C1523,daily_dates,big_daily_table)))</f>
        <v>#NAME?</v>
      </c>
      <c r="E1523" s="1" t="e">
        <f aca="false" t="array" ref="E1523:E1523">IF(ISBLANK(_xlfn.xlookup(E$3,daily_items,_xlfn.xlookup($C1523,daily_dates,big_daily_table))),NA(),_xlfn.xlookup(E$3,daily_items,_xlfn.xlookup($C1523,daily_dates,big_daily_table)))</f>
        <v>#NAME?</v>
      </c>
    </row>
    <row r="1524" customFormat="false" ht="14.25" hidden="false" customHeight="false" outlineLevel="0" collapsed="false">
      <c r="B1524" s="7" t="n">
        <v>42429</v>
      </c>
      <c r="C1524" s="7" t="n">
        <f aca="false">B1524-WEEKDAY(B1524)+1</f>
        <v>42428</v>
      </c>
      <c r="D1524" s="1" t="e">
        <f aca="false" t="array" ref="D1524:D1524">IF(ISBLANK(_xlfn.xlookup(D$3,daily_items,_xlfn.xlookup($C1524,daily_dates,big_daily_table))),NA(),_xlfn.xlookup(D$3,daily_items,_xlfn.xlookup($C1524,daily_dates,big_daily_table)))</f>
        <v>#NAME?</v>
      </c>
      <c r="E1524" s="1" t="e">
        <f aca="false" t="array" ref="E1524:E1524">IF(ISBLANK(_xlfn.xlookup(E$3,daily_items,_xlfn.xlookup($C1524,daily_dates,big_daily_table))),NA(),_xlfn.xlookup(E$3,daily_items,_xlfn.xlookup($C1524,daily_dates,big_daily_table)))</f>
        <v>#NAME?</v>
      </c>
    </row>
    <row r="1525" customFormat="false" ht="14.25" hidden="false" customHeight="false" outlineLevel="0" collapsed="false">
      <c r="B1525" s="7" t="n">
        <v>42430</v>
      </c>
      <c r="C1525" s="7" t="n">
        <f aca="false">B1525-WEEKDAY(B1525)+1</f>
        <v>42428</v>
      </c>
      <c r="D1525" s="1" t="e">
        <f aca="false" t="array" ref="D1525:D1525">IF(ISBLANK(_xlfn.xlookup(D$3,daily_items,_xlfn.xlookup($C1525,daily_dates,big_daily_table))),NA(),_xlfn.xlookup(D$3,daily_items,_xlfn.xlookup($C1525,daily_dates,big_daily_table)))</f>
        <v>#NAME?</v>
      </c>
      <c r="E1525" s="1" t="e">
        <f aca="false" t="array" ref="E1525:E1525">IF(ISBLANK(_xlfn.xlookup(E$3,daily_items,_xlfn.xlookup($C1525,daily_dates,big_daily_table))),NA(),_xlfn.xlookup(E$3,daily_items,_xlfn.xlookup($C1525,daily_dates,big_daily_table)))</f>
        <v>#NAME?</v>
      </c>
    </row>
    <row r="1526" customFormat="false" ht="14.25" hidden="false" customHeight="false" outlineLevel="0" collapsed="false">
      <c r="B1526" s="7" t="n">
        <v>42431</v>
      </c>
      <c r="C1526" s="7" t="n">
        <f aca="false">B1526-WEEKDAY(B1526)+1</f>
        <v>42428</v>
      </c>
      <c r="D1526" s="1" t="e">
        <f aca="false" t="array" ref="D1526:D1526">IF(ISBLANK(_xlfn.xlookup(D$3,daily_items,_xlfn.xlookup($C1526,daily_dates,big_daily_table))),NA(),_xlfn.xlookup(D$3,daily_items,_xlfn.xlookup($C1526,daily_dates,big_daily_table)))</f>
        <v>#NAME?</v>
      </c>
      <c r="E1526" s="1" t="e">
        <f aca="false" t="array" ref="E1526:E1526">IF(ISBLANK(_xlfn.xlookup(E$3,daily_items,_xlfn.xlookup($C1526,daily_dates,big_daily_table))),NA(),_xlfn.xlookup(E$3,daily_items,_xlfn.xlookup($C1526,daily_dates,big_daily_table)))</f>
        <v>#NAME?</v>
      </c>
    </row>
    <row r="1527" customFormat="false" ht="14.25" hidden="false" customHeight="false" outlineLevel="0" collapsed="false">
      <c r="B1527" s="7" t="n">
        <v>42432</v>
      </c>
      <c r="C1527" s="7" t="n">
        <f aca="false">B1527-WEEKDAY(B1527)+1</f>
        <v>42428</v>
      </c>
      <c r="D1527" s="1" t="e">
        <f aca="false" t="array" ref="D1527:D1527">IF(ISBLANK(_xlfn.xlookup(D$3,daily_items,_xlfn.xlookup($C1527,daily_dates,big_daily_table))),NA(),_xlfn.xlookup(D$3,daily_items,_xlfn.xlookup($C1527,daily_dates,big_daily_table)))</f>
        <v>#NAME?</v>
      </c>
      <c r="E1527" s="1" t="e">
        <f aca="false" t="array" ref="E1527:E1527">IF(ISBLANK(_xlfn.xlookup(E$3,daily_items,_xlfn.xlookup($C1527,daily_dates,big_daily_table))),NA(),_xlfn.xlookup(E$3,daily_items,_xlfn.xlookup($C1527,daily_dates,big_daily_table)))</f>
        <v>#NAME?</v>
      </c>
    </row>
    <row r="1528" customFormat="false" ht="14.25" hidden="false" customHeight="false" outlineLevel="0" collapsed="false">
      <c r="B1528" s="7" t="n">
        <v>42433</v>
      </c>
      <c r="C1528" s="7" t="n">
        <f aca="false">B1528-WEEKDAY(B1528)+1</f>
        <v>42428</v>
      </c>
      <c r="D1528" s="1" t="e">
        <f aca="false" t="array" ref="D1528:D1528">IF(ISBLANK(_xlfn.xlookup(D$3,daily_items,_xlfn.xlookup($C1528,daily_dates,big_daily_table))),NA(),_xlfn.xlookup(D$3,daily_items,_xlfn.xlookup($C1528,daily_dates,big_daily_table)))</f>
        <v>#NAME?</v>
      </c>
      <c r="E1528" s="1" t="e">
        <f aca="false" t="array" ref="E1528:E1528">IF(ISBLANK(_xlfn.xlookup(E$3,daily_items,_xlfn.xlookup($C1528,daily_dates,big_daily_table))),NA(),_xlfn.xlookup(E$3,daily_items,_xlfn.xlookup($C1528,daily_dates,big_daily_table)))</f>
        <v>#NAME?</v>
      </c>
    </row>
    <row r="1529" customFormat="false" ht="14.25" hidden="false" customHeight="false" outlineLevel="0" collapsed="false">
      <c r="B1529" s="7" t="n">
        <v>42434</v>
      </c>
      <c r="C1529" s="7" t="n">
        <f aca="false">B1529-WEEKDAY(B1529)+1</f>
        <v>42428</v>
      </c>
      <c r="D1529" s="1" t="e">
        <f aca="false" t="array" ref="D1529:D1529">IF(ISBLANK(_xlfn.xlookup(D$3,daily_items,_xlfn.xlookup($C1529,daily_dates,big_daily_table))),NA(),_xlfn.xlookup(D$3,daily_items,_xlfn.xlookup($C1529,daily_dates,big_daily_table)))</f>
        <v>#NAME?</v>
      </c>
      <c r="E1529" s="1" t="e">
        <f aca="false" t="array" ref="E1529:E1529">IF(ISBLANK(_xlfn.xlookup(E$3,daily_items,_xlfn.xlookup($C1529,daily_dates,big_daily_table))),NA(),_xlfn.xlookup(E$3,daily_items,_xlfn.xlookup($C1529,daily_dates,big_daily_table)))</f>
        <v>#NAME?</v>
      </c>
    </row>
    <row r="1530" customFormat="false" ht="14.25" hidden="false" customHeight="false" outlineLevel="0" collapsed="false">
      <c r="B1530" s="7" t="n">
        <v>42435</v>
      </c>
      <c r="C1530" s="7" t="n">
        <f aca="false">B1530-WEEKDAY(B1530)+1</f>
        <v>42435</v>
      </c>
      <c r="D1530" s="1" t="e">
        <f aca="false" t="array" ref="D1530:D1530">IF(ISBLANK(_xlfn.xlookup(D$3,daily_items,_xlfn.xlookup($C1530,daily_dates,big_daily_table))),NA(),_xlfn.xlookup(D$3,daily_items,_xlfn.xlookup($C1530,daily_dates,big_daily_table)))</f>
        <v>#NAME?</v>
      </c>
      <c r="E1530" s="1" t="e">
        <f aca="false" t="array" ref="E1530:E1530">IF(ISBLANK(_xlfn.xlookup(E$3,daily_items,_xlfn.xlookup($C1530,daily_dates,big_daily_table))),NA(),_xlfn.xlookup(E$3,daily_items,_xlfn.xlookup($C1530,daily_dates,big_daily_table)))</f>
        <v>#NAME?</v>
      </c>
    </row>
    <row r="1531" customFormat="false" ht="14.25" hidden="false" customHeight="false" outlineLevel="0" collapsed="false">
      <c r="B1531" s="7" t="n">
        <v>42436</v>
      </c>
      <c r="C1531" s="7" t="n">
        <f aca="false">B1531-WEEKDAY(B1531)+1</f>
        <v>42435</v>
      </c>
      <c r="D1531" s="1" t="e">
        <f aca="false" t="array" ref="D1531:D1531">IF(ISBLANK(_xlfn.xlookup(D$3,daily_items,_xlfn.xlookup($C1531,daily_dates,big_daily_table))),NA(),_xlfn.xlookup(D$3,daily_items,_xlfn.xlookup($C1531,daily_dates,big_daily_table)))</f>
        <v>#NAME?</v>
      </c>
      <c r="E1531" s="1" t="e">
        <f aca="false" t="array" ref="E1531:E1531">IF(ISBLANK(_xlfn.xlookup(E$3,daily_items,_xlfn.xlookup($C1531,daily_dates,big_daily_table))),NA(),_xlfn.xlookup(E$3,daily_items,_xlfn.xlookup($C1531,daily_dates,big_daily_table)))</f>
        <v>#NAME?</v>
      </c>
    </row>
    <row r="1532" customFormat="false" ht="14.25" hidden="false" customHeight="false" outlineLevel="0" collapsed="false">
      <c r="B1532" s="7" t="n">
        <v>42437</v>
      </c>
      <c r="C1532" s="7" t="n">
        <f aca="false">B1532-WEEKDAY(B1532)+1</f>
        <v>42435</v>
      </c>
      <c r="D1532" s="1" t="e">
        <f aca="false" t="array" ref="D1532:D1532">IF(ISBLANK(_xlfn.xlookup(D$3,daily_items,_xlfn.xlookup($C1532,daily_dates,big_daily_table))),NA(),_xlfn.xlookup(D$3,daily_items,_xlfn.xlookup($C1532,daily_dates,big_daily_table)))</f>
        <v>#NAME?</v>
      </c>
      <c r="E1532" s="1" t="e">
        <f aca="false" t="array" ref="E1532:E1532">IF(ISBLANK(_xlfn.xlookup(E$3,daily_items,_xlfn.xlookup($C1532,daily_dates,big_daily_table))),NA(),_xlfn.xlookup(E$3,daily_items,_xlfn.xlookup($C1532,daily_dates,big_daily_table)))</f>
        <v>#NAME?</v>
      </c>
    </row>
    <row r="1533" customFormat="false" ht="14.25" hidden="false" customHeight="false" outlineLevel="0" collapsed="false">
      <c r="B1533" s="7" t="n">
        <v>42438</v>
      </c>
      <c r="C1533" s="7" t="n">
        <f aca="false">B1533-WEEKDAY(B1533)+1</f>
        <v>42435</v>
      </c>
      <c r="D1533" s="1" t="e">
        <f aca="false" t="array" ref="D1533:D1533">IF(ISBLANK(_xlfn.xlookup(D$3,daily_items,_xlfn.xlookup($C1533,daily_dates,big_daily_table))),NA(),_xlfn.xlookup(D$3,daily_items,_xlfn.xlookup($C1533,daily_dates,big_daily_table)))</f>
        <v>#NAME?</v>
      </c>
      <c r="E1533" s="1" t="e">
        <f aca="false" t="array" ref="E1533:E1533">IF(ISBLANK(_xlfn.xlookup(E$3,daily_items,_xlfn.xlookup($C1533,daily_dates,big_daily_table))),NA(),_xlfn.xlookup(E$3,daily_items,_xlfn.xlookup($C1533,daily_dates,big_daily_table)))</f>
        <v>#NAME?</v>
      </c>
    </row>
    <row r="1534" customFormat="false" ht="14.25" hidden="false" customHeight="false" outlineLevel="0" collapsed="false">
      <c r="B1534" s="7" t="n">
        <v>42439</v>
      </c>
      <c r="C1534" s="7" t="n">
        <f aca="false">B1534-WEEKDAY(B1534)+1</f>
        <v>42435</v>
      </c>
      <c r="D1534" s="1" t="e">
        <f aca="false" t="array" ref="D1534:D1534">IF(ISBLANK(_xlfn.xlookup(D$3,daily_items,_xlfn.xlookup($C1534,daily_dates,big_daily_table))),NA(),_xlfn.xlookup(D$3,daily_items,_xlfn.xlookup($C1534,daily_dates,big_daily_table)))</f>
        <v>#NAME?</v>
      </c>
      <c r="E1534" s="1" t="e">
        <f aca="false" t="array" ref="E1534:E1534">IF(ISBLANK(_xlfn.xlookup(E$3,daily_items,_xlfn.xlookup($C1534,daily_dates,big_daily_table))),NA(),_xlfn.xlookup(E$3,daily_items,_xlfn.xlookup($C1534,daily_dates,big_daily_table)))</f>
        <v>#NAME?</v>
      </c>
    </row>
    <row r="1535" customFormat="false" ht="14.25" hidden="false" customHeight="false" outlineLevel="0" collapsed="false">
      <c r="B1535" s="7" t="n">
        <v>42440</v>
      </c>
      <c r="C1535" s="7" t="n">
        <f aca="false">B1535-WEEKDAY(B1535)+1</f>
        <v>42435</v>
      </c>
      <c r="D1535" s="1" t="e">
        <f aca="false" t="array" ref="D1535:D1535">IF(ISBLANK(_xlfn.xlookup(D$3,daily_items,_xlfn.xlookup($C1535,daily_dates,big_daily_table))),NA(),_xlfn.xlookup(D$3,daily_items,_xlfn.xlookup($C1535,daily_dates,big_daily_table)))</f>
        <v>#NAME?</v>
      </c>
      <c r="E1535" s="1" t="e">
        <f aca="false" t="array" ref="E1535:E1535">IF(ISBLANK(_xlfn.xlookup(E$3,daily_items,_xlfn.xlookup($C1535,daily_dates,big_daily_table))),NA(),_xlfn.xlookup(E$3,daily_items,_xlfn.xlookup($C1535,daily_dates,big_daily_table)))</f>
        <v>#NAME?</v>
      </c>
    </row>
    <row r="1536" customFormat="false" ht="14.25" hidden="false" customHeight="false" outlineLevel="0" collapsed="false">
      <c r="B1536" s="7" t="n">
        <v>42441</v>
      </c>
      <c r="C1536" s="7" t="n">
        <f aca="false">B1536-WEEKDAY(B1536)+1</f>
        <v>42435</v>
      </c>
      <c r="D1536" s="1" t="e">
        <f aca="false" t="array" ref="D1536:D1536">IF(ISBLANK(_xlfn.xlookup(D$3,daily_items,_xlfn.xlookup($C1536,daily_dates,big_daily_table))),NA(),_xlfn.xlookup(D$3,daily_items,_xlfn.xlookup($C1536,daily_dates,big_daily_table)))</f>
        <v>#NAME?</v>
      </c>
      <c r="E1536" s="1" t="e">
        <f aca="false" t="array" ref="E1536:E1536">IF(ISBLANK(_xlfn.xlookup(E$3,daily_items,_xlfn.xlookup($C1536,daily_dates,big_daily_table))),NA(),_xlfn.xlookup(E$3,daily_items,_xlfn.xlookup($C1536,daily_dates,big_daily_table)))</f>
        <v>#NAME?</v>
      </c>
    </row>
    <row r="1537" customFormat="false" ht="14.25" hidden="false" customHeight="false" outlineLevel="0" collapsed="false">
      <c r="B1537" s="7" t="n">
        <v>42442</v>
      </c>
      <c r="C1537" s="7" t="n">
        <f aca="false">B1537-WEEKDAY(B1537)+1</f>
        <v>42442</v>
      </c>
      <c r="D1537" s="1" t="e">
        <f aca="false" t="array" ref="D1537:D1537">IF(ISBLANK(_xlfn.xlookup(D$3,daily_items,_xlfn.xlookup($C1537,daily_dates,big_daily_table))),NA(),_xlfn.xlookup(D$3,daily_items,_xlfn.xlookup($C1537,daily_dates,big_daily_table)))</f>
        <v>#NAME?</v>
      </c>
      <c r="E1537" s="1" t="e">
        <f aca="false" t="array" ref="E1537:E1537">IF(ISBLANK(_xlfn.xlookup(E$3,daily_items,_xlfn.xlookup($C1537,daily_dates,big_daily_table))),NA(),_xlfn.xlookup(E$3,daily_items,_xlfn.xlookup($C1537,daily_dates,big_daily_table)))</f>
        <v>#NAME?</v>
      </c>
    </row>
    <row r="1538" customFormat="false" ht="14.25" hidden="false" customHeight="false" outlineLevel="0" collapsed="false">
      <c r="B1538" s="7" t="n">
        <v>42443</v>
      </c>
      <c r="C1538" s="7" t="n">
        <f aca="false">B1538-WEEKDAY(B1538)+1</f>
        <v>42442</v>
      </c>
      <c r="D1538" s="1" t="e">
        <f aca="false" t="array" ref="D1538:D1538">IF(ISBLANK(_xlfn.xlookup(D$3,daily_items,_xlfn.xlookup($C1538,daily_dates,big_daily_table))),NA(),_xlfn.xlookup(D$3,daily_items,_xlfn.xlookup($C1538,daily_dates,big_daily_table)))</f>
        <v>#NAME?</v>
      </c>
      <c r="E1538" s="1" t="e">
        <f aca="false" t="array" ref="E1538:E1538">IF(ISBLANK(_xlfn.xlookup(E$3,daily_items,_xlfn.xlookup($C1538,daily_dates,big_daily_table))),NA(),_xlfn.xlookup(E$3,daily_items,_xlfn.xlookup($C1538,daily_dates,big_daily_table)))</f>
        <v>#NAME?</v>
      </c>
    </row>
    <row r="1539" customFormat="false" ht="14.25" hidden="false" customHeight="false" outlineLevel="0" collapsed="false">
      <c r="B1539" s="7" t="n">
        <v>42444</v>
      </c>
      <c r="C1539" s="7" t="n">
        <f aca="false">B1539-WEEKDAY(B1539)+1</f>
        <v>42442</v>
      </c>
      <c r="D1539" s="1" t="e">
        <f aca="false" t="array" ref="D1539:D1539">IF(ISBLANK(_xlfn.xlookup(D$3,daily_items,_xlfn.xlookup($C1539,daily_dates,big_daily_table))),NA(),_xlfn.xlookup(D$3,daily_items,_xlfn.xlookup($C1539,daily_dates,big_daily_table)))</f>
        <v>#NAME?</v>
      </c>
      <c r="E1539" s="1" t="e">
        <f aca="false" t="array" ref="E1539:E1539">IF(ISBLANK(_xlfn.xlookup(E$3,daily_items,_xlfn.xlookup($C1539,daily_dates,big_daily_table))),NA(),_xlfn.xlookup(E$3,daily_items,_xlfn.xlookup($C1539,daily_dates,big_daily_table)))</f>
        <v>#NAME?</v>
      </c>
    </row>
    <row r="1540" customFormat="false" ht="14.25" hidden="false" customHeight="false" outlineLevel="0" collapsed="false">
      <c r="B1540" s="7" t="n">
        <v>42445</v>
      </c>
      <c r="C1540" s="7" t="n">
        <f aca="false">B1540-WEEKDAY(B1540)+1</f>
        <v>42442</v>
      </c>
      <c r="D1540" s="1" t="e">
        <f aca="false" t="array" ref="D1540:D1540">IF(ISBLANK(_xlfn.xlookup(D$3,daily_items,_xlfn.xlookup($C1540,daily_dates,big_daily_table))),NA(),_xlfn.xlookup(D$3,daily_items,_xlfn.xlookup($C1540,daily_dates,big_daily_table)))</f>
        <v>#NAME?</v>
      </c>
      <c r="E1540" s="1" t="e">
        <f aca="false" t="array" ref="E1540:E1540">IF(ISBLANK(_xlfn.xlookup(E$3,daily_items,_xlfn.xlookup($C1540,daily_dates,big_daily_table))),NA(),_xlfn.xlookup(E$3,daily_items,_xlfn.xlookup($C1540,daily_dates,big_daily_table)))</f>
        <v>#NAME?</v>
      </c>
    </row>
    <row r="1541" customFormat="false" ht="14.25" hidden="false" customHeight="false" outlineLevel="0" collapsed="false">
      <c r="B1541" s="7" t="n">
        <v>42446</v>
      </c>
      <c r="C1541" s="7" t="n">
        <f aca="false">B1541-WEEKDAY(B1541)+1</f>
        <v>42442</v>
      </c>
      <c r="D1541" s="1" t="e">
        <f aca="false" t="array" ref="D1541:D1541">IF(ISBLANK(_xlfn.xlookup(D$3,daily_items,_xlfn.xlookup($C1541,daily_dates,big_daily_table))),NA(),_xlfn.xlookup(D$3,daily_items,_xlfn.xlookup($C1541,daily_dates,big_daily_table)))</f>
        <v>#NAME?</v>
      </c>
      <c r="E1541" s="1" t="e">
        <f aca="false" t="array" ref="E1541:E1541">IF(ISBLANK(_xlfn.xlookup(E$3,daily_items,_xlfn.xlookup($C1541,daily_dates,big_daily_table))),NA(),_xlfn.xlookup(E$3,daily_items,_xlfn.xlookup($C1541,daily_dates,big_daily_table)))</f>
        <v>#NAME?</v>
      </c>
    </row>
    <row r="1542" customFormat="false" ht="14.25" hidden="false" customHeight="false" outlineLevel="0" collapsed="false">
      <c r="B1542" s="7" t="n">
        <v>42447</v>
      </c>
      <c r="C1542" s="7" t="n">
        <f aca="false">B1542-WEEKDAY(B1542)+1</f>
        <v>42442</v>
      </c>
      <c r="D1542" s="1" t="e">
        <f aca="false" t="array" ref="D1542:D1542">IF(ISBLANK(_xlfn.xlookup(D$3,daily_items,_xlfn.xlookup($C1542,daily_dates,big_daily_table))),NA(),_xlfn.xlookup(D$3,daily_items,_xlfn.xlookup($C1542,daily_dates,big_daily_table)))</f>
        <v>#NAME?</v>
      </c>
      <c r="E1542" s="1" t="e">
        <f aca="false" t="array" ref="E1542:E1542">IF(ISBLANK(_xlfn.xlookup(E$3,daily_items,_xlfn.xlookup($C1542,daily_dates,big_daily_table))),NA(),_xlfn.xlookup(E$3,daily_items,_xlfn.xlookup($C1542,daily_dates,big_daily_table)))</f>
        <v>#NAME?</v>
      </c>
    </row>
    <row r="1543" customFormat="false" ht="14.25" hidden="false" customHeight="false" outlineLevel="0" collapsed="false">
      <c r="B1543" s="7" t="n">
        <v>42448</v>
      </c>
      <c r="C1543" s="7" t="n">
        <f aca="false">B1543-WEEKDAY(B1543)+1</f>
        <v>42442</v>
      </c>
      <c r="D1543" s="1" t="e">
        <f aca="false" t="array" ref="D1543:D1543">IF(ISBLANK(_xlfn.xlookup(D$3,daily_items,_xlfn.xlookup($C1543,daily_dates,big_daily_table))),NA(),_xlfn.xlookup(D$3,daily_items,_xlfn.xlookup($C1543,daily_dates,big_daily_table)))</f>
        <v>#NAME?</v>
      </c>
      <c r="E1543" s="1" t="e">
        <f aca="false" t="array" ref="E1543:E1543">IF(ISBLANK(_xlfn.xlookup(E$3,daily_items,_xlfn.xlookup($C1543,daily_dates,big_daily_table))),NA(),_xlfn.xlookup(E$3,daily_items,_xlfn.xlookup($C1543,daily_dates,big_daily_table)))</f>
        <v>#NAME?</v>
      </c>
    </row>
    <row r="1544" customFormat="false" ht="14.25" hidden="false" customHeight="false" outlineLevel="0" collapsed="false">
      <c r="B1544" s="7" t="n">
        <v>42449</v>
      </c>
      <c r="C1544" s="7" t="n">
        <f aca="false">B1544-WEEKDAY(B1544)+1</f>
        <v>42449</v>
      </c>
      <c r="D1544" s="1" t="e">
        <f aca="false" t="array" ref="D1544:D1544">IF(ISBLANK(_xlfn.xlookup(D$3,daily_items,_xlfn.xlookup($C1544,daily_dates,big_daily_table))),NA(),_xlfn.xlookup(D$3,daily_items,_xlfn.xlookup($C1544,daily_dates,big_daily_table)))</f>
        <v>#NAME?</v>
      </c>
      <c r="E1544" s="1" t="e">
        <f aca="false" t="array" ref="E1544:E1544">IF(ISBLANK(_xlfn.xlookup(E$3,daily_items,_xlfn.xlookup($C1544,daily_dates,big_daily_table))),NA(),_xlfn.xlookup(E$3,daily_items,_xlfn.xlookup($C1544,daily_dates,big_daily_table)))</f>
        <v>#NAME?</v>
      </c>
    </row>
    <row r="1545" customFormat="false" ht="14.25" hidden="false" customHeight="false" outlineLevel="0" collapsed="false">
      <c r="B1545" s="7" t="n">
        <v>42450</v>
      </c>
      <c r="C1545" s="7" t="n">
        <f aca="false">B1545-WEEKDAY(B1545)+1</f>
        <v>42449</v>
      </c>
      <c r="D1545" s="1" t="e">
        <f aca="false" t="array" ref="D1545:D1545">IF(ISBLANK(_xlfn.xlookup(D$3,daily_items,_xlfn.xlookup($C1545,daily_dates,big_daily_table))),NA(),_xlfn.xlookup(D$3,daily_items,_xlfn.xlookup($C1545,daily_dates,big_daily_table)))</f>
        <v>#NAME?</v>
      </c>
      <c r="E1545" s="1" t="e">
        <f aca="false" t="array" ref="E1545:E1545">IF(ISBLANK(_xlfn.xlookup(E$3,daily_items,_xlfn.xlookup($C1545,daily_dates,big_daily_table))),NA(),_xlfn.xlookup(E$3,daily_items,_xlfn.xlookup($C1545,daily_dates,big_daily_table)))</f>
        <v>#NAME?</v>
      </c>
    </row>
    <row r="1546" customFormat="false" ht="14.25" hidden="false" customHeight="false" outlineLevel="0" collapsed="false">
      <c r="B1546" s="7" t="n">
        <v>42451</v>
      </c>
      <c r="C1546" s="7" t="n">
        <f aca="false">B1546-WEEKDAY(B1546)+1</f>
        <v>42449</v>
      </c>
      <c r="D1546" s="1" t="e">
        <f aca="false" t="array" ref="D1546:D1546">IF(ISBLANK(_xlfn.xlookup(D$3,daily_items,_xlfn.xlookup($C1546,daily_dates,big_daily_table))),NA(),_xlfn.xlookup(D$3,daily_items,_xlfn.xlookup($C1546,daily_dates,big_daily_table)))</f>
        <v>#NAME?</v>
      </c>
      <c r="E1546" s="1" t="e">
        <f aca="false" t="array" ref="E1546:E1546">IF(ISBLANK(_xlfn.xlookup(E$3,daily_items,_xlfn.xlookup($C1546,daily_dates,big_daily_table))),NA(),_xlfn.xlookup(E$3,daily_items,_xlfn.xlookup($C1546,daily_dates,big_daily_table)))</f>
        <v>#NAME?</v>
      </c>
    </row>
    <row r="1547" customFormat="false" ht="14.25" hidden="false" customHeight="false" outlineLevel="0" collapsed="false">
      <c r="B1547" s="7" t="n">
        <v>42452</v>
      </c>
      <c r="C1547" s="7" t="n">
        <f aca="false">B1547-WEEKDAY(B1547)+1</f>
        <v>42449</v>
      </c>
      <c r="D1547" s="1" t="e">
        <f aca="false" t="array" ref="D1547:D1547">IF(ISBLANK(_xlfn.xlookup(D$3,daily_items,_xlfn.xlookup($C1547,daily_dates,big_daily_table))),NA(),_xlfn.xlookup(D$3,daily_items,_xlfn.xlookup($C1547,daily_dates,big_daily_table)))</f>
        <v>#NAME?</v>
      </c>
      <c r="E1547" s="1" t="e">
        <f aca="false" t="array" ref="E1547:E1547">IF(ISBLANK(_xlfn.xlookup(E$3,daily_items,_xlfn.xlookup($C1547,daily_dates,big_daily_table))),NA(),_xlfn.xlookup(E$3,daily_items,_xlfn.xlookup($C1547,daily_dates,big_daily_table)))</f>
        <v>#NAME?</v>
      </c>
    </row>
    <row r="1548" customFormat="false" ht="14.25" hidden="false" customHeight="false" outlineLevel="0" collapsed="false">
      <c r="B1548" s="7" t="n">
        <v>42453</v>
      </c>
      <c r="C1548" s="7" t="n">
        <f aca="false">B1548-WEEKDAY(B1548)+1</f>
        <v>42449</v>
      </c>
      <c r="D1548" s="1" t="e">
        <f aca="false" t="array" ref="D1548:D1548">IF(ISBLANK(_xlfn.xlookup(D$3,daily_items,_xlfn.xlookup($C1548,daily_dates,big_daily_table))),NA(),_xlfn.xlookup(D$3,daily_items,_xlfn.xlookup($C1548,daily_dates,big_daily_table)))</f>
        <v>#NAME?</v>
      </c>
      <c r="E1548" s="1" t="e">
        <f aca="false" t="array" ref="E1548:E1548">IF(ISBLANK(_xlfn.xlookup(E$3,daily_items,_xlfn.xlookup($C1548,daily_dates,big_daily_table))),NA(),_xlfn.xlookup(E$3,daily_items,_xlfn.xlookup($C1548,daily_dates,big_daily_table)))</f>
        <v>#NAME?</v>
      </c>
    </row>
    <row r="1549" customFormat="false" ht="14.25" hidden="false" customHeight="false" outlineLevel="0" collapsed="false">
      <c r="B1549" s="7" t="n">
        <v>42454</v>
      </c>
      <c r="C1549" s="7" t="n">
        <f aca="false">B1549-WEEKDAY(B1549)+1</f>
        <v>42449</v>
      </c>
      <c r="D1549" s="1" t="e">
        <f aca="false" t="array" ref="D1549:D1549">IF(ISBLANK(_xlfn.xlookup(D$3,daily_items,_xlfn.xlookup($C1549,daily_dates,big_daily_table))),NA(),_xlfn.xlookup(D$3,daily_items,_xlfn.xlookup($C1549,daily_dates,big_daily_table)))</f>
        <v>#NAME?</v>
      </c>
      <c r="E1549" s="1" t="e">
        <f aca="false" t="array" ref="E1549:E1549">IF(ISBLANK(_xlfn.xlookup(E$3,daily_items,_xlfn.xlookup($C1549,daily_dates,big_daily_table))),NA(),_xlfn.xlookup(E$3,daily_items,_xlfn.xlookup($C1549,daily_dates,big_daily_table)))</f>
        <v>#NAME?</v>
      </c>
    </row>
    <row r="1550" customFormat="false" ht="14.25" hidden="false" customHeight="false" outlineLevel="0" collapsed="false">
      <c r="B1550" s="7" t="n">
        <v>42455</v>
      </c>
      <c r="C1550" s="7" t="n">
        <f aca="false">B1550-WEEKDAY(B1550)+1</f>
        <v>42449</v>
      </c>
      <c r="D1550" s="1" t="e">
        <f aca="false" t="array" ref="D1550:D1550">IF(ISBLANK(_xlfn.xlookup(D$3,daily_items,_xlfn.xlookup($C1550,daily_dates,big_daily_table))),NA(),_xlfn.xlookup(D$3,daily_items,_xlfn.xlookup($C1550,daily_dates,big_daily_table)))</f>
        <v>#NAME?</v>
      </c>
      <c r="E1550" s="1" t="e">
        <f aca="false" t="array" ref="E1550:E1550">IF(ISBLANK(_xlfn.xlookup(E$3,daily_items,_xlfn.xlookup($C1550,daily_dates,big_daily_table))),NA(),_xlfn.xlookup(E$3,daily_items,_xlfn.xlookup($C1550,daily_dates,big_daily_table)))</f>
        <v>#NAME?</v>
      </c>
    </row>
    <row r="1551" customFormat="false" ht="14.25" hidden="false" customHeight="false" outlineLevel="0" collapsed="false">
      <c r="B1551" s="7" t="n">
        <v>42456</v>
      </c>
      <c r="C1551" s="7" t="n">
        <f aca="false">B1551-WEEKDAY(B1551)+1</f>
        <v>42456</v>
      </c>
      <c r="D1551" s="1" t="e">
        <f aca="false" t="array" ref="D1551:D1551">IF(ISBLANK(_xlfn.xlookup(D$3,daily_items,_xlfn.xlookup($C1551,daily_dates,big_daily_table))),NA(),_xlfn.xlookup(D$3,daily_items,_xlfn.xlookup($C1551,daily_dates,big_daily_table)))</f>
        <v>#NAME?</v>
      </c>
      <c r="E1551" s="1" t="e">
        <f aca="false" t="array" ref="E1551:E1551">IF(ISBLANK(_xlfn.xlookup(E$3,daily_items,_xlfn.xlookup($C1551,daily_dates,big_daily_table))),NA(),_xlfn.xlookup(E$3,daily_items,_xlfn.xlookup($C1551,daily_dates,big_daily_table)))</f>
        <v>#NAME?</v>
      </c>
    </row>
    <row r="1552" customFormat="false" ht="14.25" hidden="false" customHeight="false" outlineLevel="0" collapsed="false">
      <c r="B1552" s="7" t="n">
        <v>42457</v>
      </c>
      <c r="C1552" s="7" t="n">
        <f aca="false">B1552-WEEKDAY(B1552)+1</f>
        <v>42456</v>
      </c>
      <c r="D1552" s="1" t="e">
        <f aca="false" t="array" ref="D1552:D1552">IF(ISBLANK(_xlfn.xlookup(D$3,daily_items,_xlfn.xlookup($C1552,daily_dates,big_daily_table))),NA(),_xlfn.xlookup(D$3,daily_items,_xlfn.xlookup($C1552,daily_dates,big_daily_table)))</f>
        <v>#NAME?</v>
      </c>
      <c r="E1552" s="1" t="e">
        <f aca="false" t="array" ref="E1552:E1552">IF(ISBLANK(_xlfn.xlookup(E$3,daily_items,_xlfn.xlookup($C1552,daily_dates,big_daily_table))),NA(),_xlfn.xlookup(E$3,daily_items,_xlfn.xlookup($C1552,daily_dates,big_daily_table)))</f>
        <v>#NAME?</v>
      </c>
    </row>
    <row r="1553" customFormat="false" ht="14.25" hidden="false" customHeight="false" outlineLevel="0" collapsed="false">
      <c r="B1553" s="7" t="n">
        <v>42458</v>
      </c>
      <c r="C1553" s="7" t="n">
        <f aca="false">B1553-WEEKDAY(B1553)+1</f>
        <v>42456</v>
      </c>
      <c r="D1553" s="1" t="e">
        <f aca="false" t="array" ref="D1553:D1553">IF(ISBLANK(_xlfn.xlookup(D$3,daily_items,_xlfn.xlookup($C1553,daily_dates,big_daily_table))),NA(),_xlfn.xlookup(D$3,daily_items,_xlfn.xlookup($C1553,daily_dates,big_daily_table)))</f>
        <v>#NAME?</v>
      </c>
      <c r="E1553" s="1" t="e">
        <f aca="false" t="array" ref="E1553:E1553">IF(ISBLANK(_xlfn.xlookup(E$3,daily_items,_xlfn.xlookup($C1553,daily_dates,big_daily_table))),NA(),_xlfn.xlookup(E$3,daily_items,_xlfn.xlookup($C1553,daily_dates,big_daily_table)))</f>
        <v>#NAME?</v>
      </c>
    </row>
    <row r="1554" customFormat="false" ht="14.25" hidden="false" customHeight="false" outlineLevel="0" collapsed="false">
      <c r="B1554" s="7" t="n">
        <v>42459</v>
      </c>
      <c r="C1554" s="7" t="n">
        <f aca="false">B1554-WEEKDAY(B1554)+1</f>
        <v>42456</v>
      </c>
      <c r="D1554" s="1" t="e">
        <f aca="false" t="array" ref="D1554:D1554">IF(ISBLANK(_xlfn.xlookup(D$3,daily_items,_xlfn.xlookup($C1554,daily_dates,big_daily_table))),NA(),_xlfn.xlookup(D$3,daily_items,_xlfn.xlookup($C1554,daily_dates,big_daily_table)))</f>
        <v>#NAME?</v>
      </c>
      <c r="E1554" s="1" t="e">
        <f aca="false" t="array" ref="E1554:E1554">IF(ISBLANK(_xlfn.xlookup(E$3,daily_items,_xlfn.xlookup($C1554,daily_dates,big_daily_table))),NA(),_xlfn.xlookup(E$3,daily_items,_xlfn.xlookup($C1554,daily_dates,big_daily_table)))</f>
        <v>#NAME?</v>
      </c>
    </row>
    <row r="1555" customFormat="false" ht="14.25" hidden="false" customHeight="false" outlineLevel="0" collapsed="false">
      <c r="B1555" s="7" t="n">
        <v>42460</v>
      </c>
      <c r="C1555" s="7" t="n">
        <f aca="false">B1555-WEEKDAY(B1555)+1</f>
        <v>42456</v>
      </c>
      <c r="D1555" s="1" t="e">
        <f aca="false" t="array" ref="D1555:D1555">IF(ISBLANK(_xlfn.xlookup(D$3,daily_items,_xlfn.xlookup($C1555,daily_dates,big_daily_table))),NA(),_xlfn.xlookup(D$3,daily_items,_xlfn.xlookup($C1555,daily_dates,big_daily_table)))</f>
        <v>#NAME?</v>
      </c>
      <c r="E1555" s="1" t="e">
        <f aca="false" t="array" ref="E1555:E1555">IF(ISBLANK(_xlfn.xlookup(E$3,daily_items,_xlfn.xlookup($C1555,daily_dates,big_daily_table))),NA(),_xlfn.xlookup(E$3,daily_items,_xlfn.xlookup($C1555,daily_dates,big_daily_table)))</f>
        <v>#NAME?</v>
      </c>
    </row>
    <row r="1556" customFormat="false" ht="14.25" hidden="false" customHeight="false" outlineLevel="0" collapsed="false">
      <c r="B1556" s="7" t="n">
        <v>42461</v>
      </c>
      <c r="C1556" s="7" t="n">
        <f aca="false">B1556-WEEKDAY(B1556)+1</f>
        <v>42456</v>
      </c>
      <c r="D1556" s="1" t="e">
        <f aca="false" t="array" ref="D1556:D1556">IF(ISBLANK(_xlfn.xlookup(D$3,daily_items,_xlfn.xlookup($C1556,daily_dates,big_daily_table))),NA(),_xlfn.xlookup(D$3,daily_items,_xlfn.xlookup($C1556,daily_dates,big_daily_table)))</f>
        <v>#NAME?</v>
      </c>
      <c r="E1556" s="1" t="e">
        <f aca="false" t="array" ref="E1556:E1556">IF(ISBLANK(_xlfn.xlookup(E$3,daily_items,_xlfn.xlookup($C1556,daily_dates,big_daily_table))),NA(),_xlfn.xlookup(E$3,daily_items,_xlfn.xlookup($C1556,daily_dates,big_daily_table)))</f>
        <v>#NAME?</v>
      </c>
    </row>
    <row r="1557" customFormat="false" ht="14.25" hidden="false" customHeight="false" outlineLevel="0" collapsed="false">
      <c r="B1557" s="7" t="n">
        <v>42462</v>
      </c>
      <c r="C1557" s="7" t="n">
        <f aca="false">B1557-WEEKDAY(B1557)+1</f>
        <v>42456</v>
      </c>
      <c r="D1557" s="1" t="e">
        <f aca="false" t="array" ref="D1557:D1557">IF(ISBLANK(_xlfn.xlookup(D$3,daily_items,_xlfn.xlookup($C1557,daily_dates,big_daily_table))),NA(),_xlfn.xlookup(D$3,daily_items,_xlfn.xlookup($C1557,daily_dates,big_daily_table)))</f>
        <v>#NAME?</v>
      </c>
      <c r="E1557" s="1" t="e">
        <f aca="false" t="array" ref="E1557:E1557">IF(ISBLANK(_xlfn.xlookup(E$3,daily_items,_xlfn.xlookup($C1557,daily_dates,big_daily_table))),NA(),_xlfn.xlookup(E$3,daily_items,_xlfn.xlookup($C1557,daily_dates,big_daily_table)))</f>
        <v>#NAME?</v>
      </c>
    </row>
    <row r="1558" customFormat="false" ht="14.25" hidden="false" customHeight="false" outlineLevel="0" collapsed="false">
      <c r="B1558" s="7" t="n">
        <v>42463</v>
      </c>
      <c r="C1558" s="7" t="n">
        <f aca="false">B1558-WEEKDAY(B1558)+1</f>
        <v>42463</v>
      </c>
      <c r="D1558" s="1" t="e">
        <f aca="false" t="array" ref="D1558:D1558">IF(ISBLANK(_xlfn.xlookup(D$3,daily_items,_xlfn.xlookup($C1558,daily_dates,big_daily_table))),NA(),_xlfn.xlookup(D$3,daily_items,_xlfn.xlookup($C1558,daily_dates,big_daily_table)))</f>
        <v>#NAME?</v>
      </c>
      <c r="E1558" s="1" t="e">
        <f aca="false" t="array" ref="E1558:E1558">IF(ISBLANK(_xlfn.xlookup(E$3,daily_items,_xlfn.xlookup($C1558,daily_dates,big_daily_table))),NA(),_xlfn.xlookup(E$3,daily_items,_xlfn.xlookup($C1558,daily_dates,big_daily_table)))</f>
        <v>#NAME?</v>
      </c>
    </row>
    <row r="1559" customFormat="false" ht="14.25" hidden="false" customHeight="false" outlineLevel="0" collapsed="false">
      <c r="B1559" s="7" t="n">
        <v>42464</v>
      </c>
      <c r="C1559" s="7" t="n">
        <f aca="false">B1559-WEEKDAY(B1559)+1</f>
        <v>42463</v>
      </c>
      <c r="D1559" s="1" t="e">
        <f aca="false" t="array" ref="D1559:D1559">IF(ISBLANK(_xlfn.xlookup(D$3,daily_items,_xlfn.xlookup($C1559,daily_dates,big_daily_table))),NA(),_xlfn.xlookup(D$3,daily_items,_xlfn.xlookup($C1559,daily_dates,big_daily_table)))</f>
        <v>#NAME?</v>
      </c>
      <c r="E1559" s="1" t="e">
        <f aca="false" t="array" ref="E1559:E1559">IF(ISBLANK(_xlfn.xlookup(E$3,daily_items,_xlfn.xlookup($C1559,daily_dates,big_daily_table))),NA(),_xlfn.xlookup(E$3,daily_items,_xlfn.xlookup($C1559,daily_dates,big_daily_table)))</f>
        <v>#NAME?</v>
      </c>
    </row>
    <row r="1560" customFormat="false" ht="14.25" hidden="false" customHeight="false" outlineLevel="0" collapsed="false">
      <c r="B1560" s="7" t="n">
        <v>42465</v>
      </c>
      <c r="C1560" s="7" t="n">
        <f aca="false">B1560-WEEKDAY(B1560)+1</f>
        <v>42463</v>
      </c>
      <c r="D1560" s="1" t="e">
        <f aca="false" t="array" ref="D1560:D1560">IF(ISBLANK(_xlfn.xlookup(D$3,daily_items,_xlfn.xlookup($C1560,daily_dates,big_daily_table))),NA(),_xlfn.xlookup(D$3,daily_items,_xlfn.xlookup($C1560,daily_dates,big_daily_table)))</f>
        <v>#NAME?</v>
      </c>
      <c r="E1560" s="1" t="e">
        <f aca="false" t="array" ref="E1560:E1560">IF(ISBLANK(_xlfn.xlookup(E$3,daily_items,_xlfn.xlookup($C1560,daily_dates,big_daily_table))),NA(),_xlfn.xlookup(E$3,daily_items,_xlfn.xlookup($C1560,daily_dates,big_daily_table)))</f>
        <v>#NAME?</v>
      </c>
    </row>
    <row r="1561" customFormat="false" ht="14.25" hidden="false" customHeight="false" outlineLevel="0" collapsed="false">
      <c r="B1561" s="7" t="n">
        <v>42466</v>
      </c>
      <c r="C1561" s="7" t="n">
        <f aca="false">B1561-WEEKDAY(B1561)+1</f>
        <v>42463</v>
      </c>
      <c r="D1561" s="1" t="e">
        <f aca="false" t="array" ref="D1561:D1561">IF(ISBLANK(_xlfn.xlookup(D$3,daily_items,_xlfn.xlookup($C1561,daily_dates,big_daily_table))),NA(),_xlfn.xlookup(D$3,daily_items,_xlfn.xlookup($C1561,daily_dates,big_daily_table)))</f>
        <v>#NAME?</v>
      </c>
      <c r="E1561" s="1" t="e">
        <f aca="false" t="array" ref="E1561:E1561">IF(ISBLANK(_xlfn.xlookup(E$3,daily_items,_xlfn.xlookup($C1561,daily_dates,big_daily_table))),NA(),_xlfn.xlookup(E$3,daily_items,_xlfn.xlookup($C1561,daily_dates,big_daily_table)))</f>
        <v>#NAME?</v>
      </c>
    </row>
    <row r="1562" customFormat="false" ht="14.25" hidden="false" customHeight="false" outlineLevel="0" collapsed="false">
      <c r="B1562" s="7" t="n">
        <v>42467</v>
      </c>
      <c r="C1562" s="7" t="n">
        <f aca="false">B1562-WEEKDAY(B1562)+1</f>
        <v>42463</v>
      </c>
      <c r="D1562" s="1" t="e">
        <f aca="false" t="array" ref="D1562:D1562">IF(ISBLANK(_xlfn.xlookup(D$3,daily_items,_xlfn.xlookup($C1562,daily_dates,big_daily_table))),NA(),_xlfn.xlookup(D$3,daily_items,_xlfn.xlookup($C1562,daily_dates,big_daily_table)))</f>
        <v>#NAME?</v>
      </c>
      <c r="E1562" s="1" t="e">
        <f aca="false" t="array" ref="E1562:E1562">IF(ISBLANK(_xlfn.xlookup(E$3,daily_items,_xlfn.xlookup($C1562,daily_dates,big_daily_table))),NA(),_xlfn.xlookup(E$3,daily_items,_xlfn.xlookup($C1562,daily_dates,big_daily_table)))</f>
        <v>#NAME?</v>
      </c>
    </row>
    <row r="1563" customFormat="false" ht="14.25" hidden="false" customHeight="false" outlineLevel="0" collapsed="false">
      <c r="B1563" s="7" t="n">
        <v>42468</v>
      </c>
      <c r="C1563" s="7" t="n">
        <f aca="false">B1563-WEEKDAY(B1563)+1</f>
        <v>42463</v>
      </c>
      <c r="D1563" s="1" t="e">
        <f aca="false" t="array" ref="D1563:D1563">IF(ISBLANK(_xlfn.xlookup(D$3,daily_items,_xlfn.xlookup($C1563,daily_dates,big_daily_table))),NA(),_xlfn.xlookup(D$3,daily_items,_xlfn.xlookup($C1563,daily_dates,big_daily_table)))</f>
        <v>#NAME?</v>
      </c>
      <c r="E1563" s="1" t="e">
        <f aca="false" t="array" ref="E1563:E1563">IF(ISBLANK(_xlfn.xlookup(E$3,daily_items,_xlfn.xlookup($C1563,daily_dates,big_daily_table))),NA(),_xlfn.xlookup(E$3,daily_items,_xlfn.xlookup($C1563,daily_dates,big_daily_table)))</f>
        <v>#NAME?</v>
      </c>
    </row>
    <row r="1564" customFormat="false" ht="14.25" hidden="false" customHeight="false" outlineLevel="0" collapsed="false">
      <c r="B1564" s="7" t="n">
        <v>42469</v>
      </c>
      <c r="C1564" s="7" t="n">
        <f aca="false">B1564-WEEKDAY(B1564)+1</f>
        <v>42463</v>
      </c>
      <c r="D1564" s="1" t="e">
        <f aca="false" t="array" ref="D1564:D1564">IF(ISBLANK(_xlfn.xlookup(D$3,daily_items,_xlfn.xlookup($C1564,daily_dates,big_daily_table))),NA(),_xlfn.xlookup(D$3,daily_items,_xlfn.xlookup($C1564,daily_dates,big_daily_table)))</f>
        <v>#NAME?</v>
      </c>
      <c r="E1564" s="1" t="e">
        <f aca="false" t="array" ref="E1564:E1564">IF(ISBLANK(_xlfn.xlookup(E$3,daily_items,_xlfn.xlookup($C1564,daily_dates,big_daily_table))),NA(),_xlfn.xlookup(E$3,daily_items,_xlfn.xlookup($C1564,daily_dates,big_daily_table)))</f>
        <v>#NAME?</v>
      </c>
    </row>
    <row r="1565" customFormat="false" ht="14.25" hidden="false" customHeight="false" outlineLevel="0" collapsed="false">
      <c r="B1565" s="7" t="n">
        <v>42470</v>
      </c>
      <c r="C1565" s="7" t="n">
        <f aca="false">B1565-WEEKDAY(B1565)+1</f>
        <v>42470</v>
      </c>
      <c r="D1565" s="1" t="e">
        <f aca="false" t="array" ref="D1565:D1565">IF(ISBLANK(_xlfn.xlookup(D$3,daily_items,_xlfn.xlookup($C1565,daily_dates,big_daily_table))),NA(),_xlfn.xlookup(D$3,daily_items,_xlfn.xlookup($C1565,daily_dates,big_daily_table)))</f>
        <v>#NAME?</v>
      </c>
      <c r="E1565" s="1" t="e">
        <f aca="false" t="array" ref="E1565:E1565">IF(ISBLANK(_xlfn.xlookup(E$3,daily_items,_xlfn.xlookup($C1565,daily_dates,big_daily_table))),NA(),_xlfn.xlookup(E$3,daily_items,_xlfn.xlookup($C1565,daily_dates,big_daily_table)))</f>
        <v>#NAME?</v>
      </c>
    </row>
    <row r="1566" customFormat="false" ht="14.25" hidden="false" customHeight="false" outlineLevel="0" collapsed="false">
      <c r="B1566" s="7" t="n">
        <v>42471</v>
      </c>
      <c r="C1566" s="7" t="n">
        <f aca="false">B1566-WEEKDAY(B1566)+1</f>
        <v>42470</v>
      </c>
      <c r="D1566" s="1" t="e">
        <f aca="false" t="array" ref="D1566:D1566">IF(ISBLANK(_xlfn.xlookup(D$3,daily_items,_xlfn.xlookup($C1566,daily_dates,big_daily_table))),NA(),_xlfn.xlookup(D$3,daily_items,_xlfn.xlookup($C1566,daily_dates,big_daily_table)))</f>
        <v>#NAME?</v>
      </c>
      <c r="E1566" s="1" t="e">
        <f aca="false" t="array" ref="E1566:E1566">IF(ISBLANK(_xlfn.xlookup(E$3,daily_items,_xlfn.xlookup($C1566,daily_dates,big_daily_table))),NA(),_xlfn.xlookup(E$3,daily_items,_xlfn.xlookup($C1566,daily_dates,big_daily_table)))</f>
        <v>#NAME?</v>
      </c>
    </row>
    <row r="1567" customFormat="false" ht="14.25" hidden="false" customHeight="false" outlineLevel="0" collapsed="false">
      <c r="B1567" s="7" t="n">
        <v>42472</v>
      </c>
      <c r="C1567" s="7" t="n">
        <f aca="false">B1567-WEEKDAY(B1567)+1</f>
        <v>42470</v>
      </c>
      <c r="D1567" s="1" t="e">
        <f aca="false" t="array" ref="D1567:D1567">IF(ISBLANK(_xlfn.xlookup(D$3,daily_items,_xlfn.xlookup($C1567,daily_dates,big_daily_table))),NA(),_xlfn.xlookup(D$3,daily_items,_xlfn.xlookup($C1567,daily_dates,big_daily_table)))</f>
        <v>#NAME?</v>
      </c>
      <c r="E1567" s="1" t="e">
        <f aca="false" t="array" ref="E1567:E1567">IF(ISBLANK(_xlfn.xlookup(E$3,daily_items,_xlfn.xlookup($C1567,daily_dates,big_daily_table))),NA(),_xlfn.xlookup(E$3,daily_items,_xlfn.xlookup($C1567,daily_dates,big_daily_table)))</f>
        <v>#NAME?</v>
      </c>
    </row>
    <row r="1568" customFormat="false" ht="14.25" hidden="false" customHeight="false" outlineLevel="0" collapsed="false">
      <c r="B1568" s="7" t="n">
        <v>42473</v>
      </c>
      <c r="C1568" s="7" t="n">
        <f aca="false">B1568-WEEKDAY(B1568)+1</f>
        <v>42470</v>
      </c>
      <c r="D1568" s="1" t="e">
        <f aca="false" t="array" ref="D1568:D1568">IF(ISBLANK(_xlfn.xlookup(D$3,daily_items,_xlfn.xlookup($C1568,daily_dates,big_daily_table))),NA(),_xlfn.xlookup(D$3,daily_items,_xlfn.xlookup($C1568,daily_dates,big_daily_table)))</f>
        <v>#NAME?</v>
      </c>
      <c r="E1568" s="1" t="e">
        <f aca="false" t="array" ref="E1568:E1568">IF(ISBLANK(_xlfn.xlookup(E$3,daily_items,_xlfn.xlookup($C1568,daily_dates,big_daily_table))),NA(),_xlfn.xlookup(E$3,daily_items,_xlfn.xlookup($C1568,daily_dates,big_daily_table)))</f>
        <v>#NAME?</v>
      </c>
    </row>
    <row r="1569" customFormat="false" ht="14.25" hidden="false" customHeight="false" outlineLevel="0" collapsed="false">
      <c r="B1569" s="7" t="n">
        <v>42474</v>
      </c>
      <c r="C1569" s="7" t="n">
        <f aca="false">B1569-WEEKDAY(B1569)+1</f>
        <v>42470</v>
      </c>
      <c r="D1569" s="1" t="e">
        <f aca="false" t="array" ref="D1569:D1569">IF(ISBLANK(_xlfn.xlookup(D$3,daily_items,_xlfn.xlookup($C1569,daily_dates,big_daily_table))),NA(),_xlfn.xlookup(D$3,daily_items,_xlfn.xlookup($C1569,daily_dates,big_daily_table)))</f>
        <v>#NAME?</v>
      </c>
      <c r="E1569" s="1" t="e">
        <f aca="false" t="array" ref="E1569:E1569">IF(ISBLANK(_xlfn.xlookup(E$3,daily_items,_xlfn.xlookup($C1569,daily_dates,big_daily_table))),NA(),_xlfn.xlookup(E$3,daily_items,_xlfn.xlookup($C1569,daily_dates,big_daily_table)))</f>
        <v>#NAME?</v>
      </c>
    </row>
    <row r="1570" customFormat="false" ht="14.25" hidden="false" customHeight="false" outlineLevel="0" collapsed="false">
      <c r="B1570" s="7" t="n">
        <v>42475</v>
      </c>
      <c r="C1570" s="7" t="n">
        <f aca="false">B1570-WEEKDAY(B1570)+1</f>
        <v>42470</v>
      </c>
      <c r="D1570" s="1" t="e">
        <f aca="false" t="array" ref="D1570:D1570">IF(ISBLANK(_xlfn.xlookup(D$3,daily_items,_xlfn.xlookup($C1570,daily_dates,big_daily_table))),NA(),_xlfn.xlookup(D$3,daily_items,_xlfn.xlookup($C1570,daily_dates,big_daily_table)))</f>
        <v>#NAME?</v>
      </c>
      <c r="E1570" s="1" t="e">
        <f aca="false" t="array" ref="E1570:E1570">IF(ISBLANK(_xlfn.xlookup(E$3,daily_items,_xlfn.xlookup($C1570,daily_dates,big_daily_table))),NA(),_xlfn.xlookup(E$3,daily_items,_xlfn.xlookup($C1570,daily_dates,big_daily_table)))</f>
        <v>#NAME?</v>
      </c>
    </row>
    <row r="1571" customFormat="false" ht="14.25" hidden="false" customHeight="false" outlineLevel="0" collapsed="false">
      <c r="B1571" s="7" t="n">
        <v>42476</v>
      </c>
      <c r="C1571" s="7" t="n">
        <f aca="false">B1571-WEEKDAY(B1571)+1</f>
        <v>42470</v>
      </c>
      <c r="D1571" s="1" t="e">
        <f aca="false" t="array" ref="D1571:D1571">IF(ISBLANK(_xlfn.xlookup(D$3,daily_items,_xlfn.xlookup($C1571,daily_dates,big_daily_table))),NA(),_xlfn.xlookup(D$3,daily_items,_xlfn.xlookup($C1571,daily_dates,big_daily_table)))</f>
        <v>#NAME?</v>
      </c>
      <c r="E1571" s="1" t="e">
        <f aca="false" t="array" ref="E1571:E1571">IF(ISBLANK(_xlfn.xlookup(E$3,daily_items,_xlfn.xlookup($C1571,daily_dates,big_daily_table))),NA(),_xlfn.xlookup(E$3,daily_items,_xlfn.xlookup($C1571,daily_dates,big_daily_table)))</f>
        <v>#NAME?</v>
      </c>
    </row>
    <row r="1572" customFormat="false" ht="14.25" hidden="false" customHeight="false" outlineLevel="0" collapsed="false">
      <c r="B1572" s="7" t="n">
        <v>42477</v>
      </c>
      <c r="C1572" s="7" t="n">
        <f aca="false">B1572-WEEKDAY(B1572)+1</f>
        <v>42477</v>
      </c>
      <c r="D1572" s="1" t="e">
        <f aca="false" t="array" ref="D1572:D1572">IF(ISBLANK(_xlfn.xlookup(D$3,daily_items,_xlfn.xlookup($C1572,daily_dates,big_daily_table))),NA(),_xlfn.xlookup(D$3,daily_items,_xlfn.xlookup($C1572,daily_dates,big_daily_table)))</f>
        <v>#NAME?</v>
      </c>
      <c r="E1572" s="1" t="e">
        <f aca="false" t="array" ref="E1572:E1572">IF(ISBLANK(_xlfn.xlookup(E$3,daily_items,_xlfn.xlookup($C1572,daily_dates,big_daily_table))),NA(),_xlfn.xlookup(E$3,daily_items,_xlfn.xlookup($C1572,daily_dates,big_daily_table)))</f>
        <v>#NAME?</v>
      </c>
    </row>
    <row r="1573" customFormat="false" ht="14.25" hidden="false" customHeight="false" outlineLevel="0" collapsed="false">
      <c r="B1573" s="7" t="n">
        <v>42478</v>
      </c>
      <c r="C1573" s="7" t="n">
        <f aca="false">B1573-WEEKDAY(B1573)+1</f>
        <v>42477</v>
      </c>
      <c r="D1573" s="1" t="e">
        <f aca="false" t="array" ref="D1573:D1573">IF(ISBLANK(_xlfn.xlookup(D$3,daily_items,_xlfn.xlookup($C1573,daily_dates,big_daily_table))),NA(),_xlfn.xlookup(D$3,daily_items,_xlfn.xlookup($C1573,daily_dates,big_daily_table)))</f>
        <v>#NAME?</v>
      </c>
      <c r="E1573" s="1" t="e">
        <f aca="false" t="array" ref="E1573:E1573">IF(ISBLANK(_xlfn.xlookup(E$3,daily_items,_xlfn.xlookup($C1573,daily_dates,big_daily_table))),NA(),_xlfn.xlookup(E$3,daily_items,_xlfn.xlookup($C1573,daily_dates,big_daily_table)))</f>
        <v>#NAME?</v>
      </c>
    </row>
    <row r="1574" customFormat="false" ht="14.25" hidden="false" customHeight="false" outlineLevel="0" collapsed="false">
      <c r="B1574" s="7" t="n">
        <v>42479</v>
      </c>
      <c r="C1574" s="7" t="n">
        <f aca="false">B1574-WEEKDAY(B1574)+1</f>
        <v>42477</v>
      </c>
      <c r="D1574" s="1" t="e">
        <f aca="false" t="array" ref="D1574:D1574">IF(ISBLANK(_xlfn.xlookup(D$3,daily_items,_xlfn.xlookup($C1574,daily_dates,big_daily_table))),NA(),_xlfn.xlookup(D$3,daily_items,_xlfn.xlookup($C1574,daily_dates,big_daily_table)))</f>
        <v>#NAME?</v>
      </c>
      <c r="E1574" s="1" t="e">
        <f aca="false" t="array" ref="E1574:E1574">IF(ISBLANK(_xlfn.xlookup(E$3,daily_items,_xlfn.xlookup($C1574,daily_dates,big_daily_table))),NA(),_xlfn.xlookup(E$3,daily_items,_xlfn.xlookup($C1574,daily_dates,big_daily_table)))</f>
        <v>#NAME?</v>
      </c>
    </row>
    <row r="1575" customFormat="false" ht="14.25" hidden="false" customHeight="false" outlineLevel="0" collapsed="false">
      <c r="B1575" s="7" t="n">
        <v>42480</v>
      </c>
      <c r="C1575" s="7" t="n">
        <f aca="false">B1575-WEEKDAY(B1575)+1</f>
        <v>42477</v>
      </c>
      <c r="D1575" s="1" t="e">
        <f aca="false" t="array" ref="D1575:D1575">IF(ISBLANK(_xlfn.xlookup(D$3,daily_items,_xlfn.xlookup($C1575,daily_dates,big_daily_table))),NA(),_xlfn.xlookup(D$3,daily_items,_xlfn.xlookup($C1575,daily_dates,big_daily_table)))</f>
        <v>#NAME?</v>
      </c>
      <c r="E1575" s="1" t="e">
        <f aca="false" t="array" ref="E1575:E1575">IF(ISBLANK(_xlfn.xlookup(E$3,daily_items,_xlfn.xlookup($C1575,daily_dates,big_daily_table))),NA(),_xlfn.xlookup(E$3,daily_items,_xlfn.xlookup($C1575,daily_dates,big_daily_table)))</f>
        <v>#NAME?</v>
      </c>
    </row>
    <row r="1576" customFormat="false" ht="14.25" hidden="false" customHeight="false" outlineLevel="0" collapsed="false">
      <c r="B1576" s="7" t="n">
        <v>42481</v>
      </c>
      <c r="C1576" s="7" t="n">
        <f aca="false">B1576-WEEKDAY(B1576)+1</f>
        <v>42477</v>
      </c>
      <c r="D1576" s="1" t="e">
        <f aca="false" t="array" ref="D1576:D1576">IF(ISBLANK(_xlfn.xlookup(D$3,daily_items,_xlfn.xlookup($C1576,daily_dates,big_daily_table))),NA(),_xlfn.xlookup(D$3,daily_items,_xlfn.xlookup($C1576,daily_dates,big_daily_table)))</f>
        <v>#NAME?</v>
      </c>
      <c r="E1576" s="1" t="e">
        <f aca="false" t="array" ref="E1576:E1576">IF(ISBLANK(_xlfn.xlookup(E$3,daily_items,_xlfn.xlookup($C1576,daily_dates,big_daily_table))),NA(),_xlfn.xlookup(E$3,daily_items,_xlfn.xlookup($C1576,daily_dates,big_daily_table)))</f>
        <v>#NAME?</v>
      </c>
    </row>
    <row r="1577" customFormat="false" ht="14.25" hidden="false" customHeight="false" outlineLevel="0" collapsed="false">
      <c r="B1577" s="7" t="n">
        <v>42482</v>
      </c>
      <c r="C1577" s="7" t="n">
        <f aca="false">B1577-WEEKDAY(B1577)+1</f>
        <v>42477</v>
      </c>
      <c r="D1577" s="1" t="e">
        <f aca="false" t="array" ref="D1577:D1577">IF(ISBLANK(_xlfn.xlookup(D$3,daily_items,_xlfn.xlookup($C1577,daily_dates,big_daily_table))),NA(),_xlfn.xlookup(D$3,daily_items,_xlfn.xlookup($C1577,daily_dates,big_daily_table)))</f>
        <v>#NAME?</v>
      </c>
      <c r="E1577" s="1" t="e">
        <f aca="false" t="array" ref="E1577:E1577">IF(ISBLANK(_xlfn.xlookup(E$3,daily_items,_xlfn.xlookup($C1577,daily_dates,big_daily_table))),NA(),_xlfn.xlookup(E$3,daily_items,_xlfn.xlookup($C1577,daily_dates,big_daily_table)))</f>
        <v>#NAME?</v>
      </c>
    </row>
    <row r="1578" customFormat="false" ht="14.25" hidden="false" customHeight="false" outlineLevel="0" collapsed="false">
      <c r="B1578" s="7" t="n">
        <v>42483</v>
      </c>
      <c r="C1578" s="7" t="n">
        <f aca="false">B1578-WEEKDAY(B1578)+1</f>
        <v>42477</v>
      </c>
      <c r="D1578" s="1" t="e">
        <f aca="false" t="array" ref="D1578:D1578">IF(ISBLANK(_xlfn.xlookup(D$3,daily_items,_xlfn.xlookup($C1578,daily_dates,big_daily_table))),NA(),_xlfn.xlookup(D$3,daily_items,_xlfn.xlookup($C1578,daily_dates,big_daily_table)))</f>
        <v>#NAME?</v>
      </c>
      <c r="E1578" s="1" t="e">
        <f aca="false" t="array" ref="E1578:E1578">IF(ISBLANK(_xlfn.xlookup(E$3,daily_items,_xlfn.xlookup($C1578,daily_dates,big_daily_table))),NA(),_xlfn.xlookup(E$3,daily_items,_xlfn.xlookup($C1578,daily_dates,big_daily_table)))</f>
        <v>#NAME?</v>
      </c>
    </row>
    <row r="1579" customFormat="false" ht="14.25" hidden="false" customHeight="false" outlineLevel="0" collapsed="false">
      <c r="B1579" s="7" t="n">
        <v>42484</v>
      </c>
      <c r="C1579" s="7" t="n">
        <f aca="false">B1579-WEEKDAY(B1579)+1</f>
        <v>42484</v>
      </c>
      <c r="D1579" s="1" t="e">
        <f aca="false" t="array" ref="D1579:D1579">IF(ISBLANK(_xlfn.xlookup(D$3,daily_items,_xlfn.xlookup($C1579,daily_dates,big_daily_table))),NA(),_xlfn.xlookup(D$3,daily_items,_xlfn.xlookup($C1579,daily_dates,big_daily_table)))</f>
        <v>#NAME?</v>
      </c>
      <c r="E1579" s="1" t="e">
        <f aca="false" t="array" ref="E1579:E1579">IF(ISBLANK(_xlfn.xlookup(E$3,daily_items,_xlfn.xlookup($C1579,daily_dates,big_daily_table))),NA(),_xlfn.xlookup(E$3,daily_items,_xlfn.xlookup($C1579,daily_dates,big_daily_table)))</f>
        <v>#NAME?</v>
      </c>
    </row>
    <row r="1580" customFormat="false" ht="14.25" hidden="false" customHeight="false" outlineLevel="0" collapsed="false">
      <c r="B1580" s="7" t="n">
        <v>42485</v>
      </c>
      <c r="C1580" s="7" t="n">
        <f aca="false">B1580-WEEKDAY(B1580)+1</f>
        <v>42484</v>
      </c>
      <c r="D1580" s="1" t="e">
        <f aca="false" t="array" ref="D1580:D1580">IF(ISBLANK(_xlfn.xlookup(D$3,daily_items,_xlfn.xlookup($C1580,daily_dates,big_daily_table))),NA(),_xlfn.xlookup(D$3,daily_items,_xlfn.xlookup($C1580,daily_dates,big_daily_table)))</f>
        <v>#NAME?</v>
      </c>
      <c r="E1580" s="1" t="e">
        <f aca="false" t="array" ref="E1580:E1580">IF(ISBLANK(_xlfn.xlookup(E$3,daily_items,_xlfn.xlookup($C1580,daily_dates,big_daily_table))),NA(),_xlfn.xlookup(E$3,daily_items,_xlfn.xlookup($C1580,daily_dates,big_daily_table)))</f>
        <v>#NAME?</v>
      </c>
    </row>
    <row r="1581" customFormat="false" ht="14.25" hidden="false" customHeight="false" outlineLevel="0" collapsed="false">
      <c r="B1581" s="7" t="n">
        <v>42486</v>
      </c>
      <c r="C1581" s="7" t="n">
        <f aca="false">B1581-WEEKDAY(B1581)+1</f>
        <v>42484</v>
      </c>
      <c r="D1581" s="1" t="e">
        <f aca="false" t="array" ref="D1581:D1581">IF(ISBLANK(_xlfn.xlookup(D$3,daily_items,_xlfn.xlookup($C1581,daily_dates,big_daily_table))),NA(),_xlfn.xlookup(D$3,daily_items,_xlfn.xlookup($C1581,daily_dates,big_daily_table)))</f>
        <v>#NAME?</v>
      </c>
      <c r="E1581" s="1" t="e">
        <f aca="false" t="array" ref="E1581:E1581">IF(ISBLANK(_xlfn.xlookup(E$3,daily_items,_xlfn.xlookup($C1581,daily_dates,big_daily_table))),NA(),_xlfn.xlookup(E$3,daily_items,_xlfn.xlookup($C1581,daily_dates,big_daily_table)))</f>
        <v>#NAME?</v>
      </c>
    </row>
    <row r="1582" customFormat="false" ht="14.25" hidden="false" customHeight="false" outlineLevel="0" collapsed="false">
      <c r="B1582" s="7" t="n">
        <v>42487</v>
      </c>
      <c r="C1582" s="7" t="n">
        <f aca="false">B1582-WEEKDAY(B1582)+1</f>
        <v>42484</v>
      </c>
      <c r="D1582" s="1" t="e">
        <f aca="false" t="array" ref="D1582:D1582">IF(ISBLANK(_xlfn.xlookup(D$3,daily_items,_xlfn.xlookup($C1582,daily_dates,big_daily_table))),NA(),_xlfn.xlookup(D$3,daily_items,_xlfn.xlookup($C1582,daily_dates,big_daily_table)))</f>
        <v>#NAME?</v>
      </c>
      <c r="E1582" s="1" t="e">
        <f aca="false" t="array" ref="E1582:E1582">IF(ISBLANK(_xlfn.xlookup(E$3,daily_items,_xlfn.xlookup($C1582,daily_dates,big_daily_table))),NA(),_xlfn.xlookup(E$3,daily_items,_xlfn.xlookup($C1582,daily_dates,big_daily_table)))</f>
        <v>#NAME?</v>
      </c>
    </row>
    <row r="1583" customFormat="false" ht="14.25" hidden="false" customHeight="false" outlineLevel="0" collapsed="false">
      <c r="B1583" s="7" t="n">
        <v>42488</v>
      </c>
      <c r="C1583" s="7" t="n">
        <f aca="false">B1583-WEEKDAY(B1583)+1</f>
        <v>42484</v>
      </c>
      <c r="D1583" s="1" t="e">
        <f aca="false" t="array" ref="D1583:D1583">IF(ISBLANK(_xlfn.xlookup(D$3,daily_items,_xlfn.xlookup($C1583,daily_dates,big_daily_table))),NA(),_xlfn.xlookup(D$3,daily_items,_xlfn.xlookup($C1583,daily_dates,big_daily_table)))</f>
        <v>#NAME?</v>
      </c>
      <c r="E1583" s="1" t="e">
        <f aca="false" t="array" ref="E1583:E1583">IF(ISBLANK(_xlfn.xlookup(E$3,daily_items,_xlfn.xlookup($C1583,daily_dates,big_daily_table))),NA(),_xlfn.xlookup(E$3,daily_items,_xlfn.xlookup($C1583,daily_dates,big_daily_table)))</f>
        <v>#NAME?</v>
      </c>
    </row>
    <row r="1584" customFormat="false" ht="14.25" hidden="false" customHeight="false" outlineLevel="0" collapsed="false">
      <c r="B1584" s="7" t="n">
        <v>42489</v>
      </c>
      <c r="C1584" s="7" t="n">
        <f aca="false">B1584-WEEKDAY(B1584)+1</f>
        <v>42484</v>
      </c>
      <c r="D1584" s="1" t="e">
        <f aca="false" t="array" ref="D1584:D1584">IF(ISBLANK(_xlfn.xlookup(D$3,daily_items,_xlfn.xlookup($C1584,daily_dates,big_daily_table))),NA(),_xlfn.xlookup(D$3,daily_items,_xlfn.xlookup($C1584,daily_dates,big_daily_table)))</f>
        <v>#NAME?</v>
      </c>
      <c r="E1584" s="1" t="e">
        <f aca="false" t="array" ref="E1584:E1584">IF(ISBLANK(_xlfn.xlookup(E$3,daily_items,_xlfn.xlookup($C1584,daily_dates,big_daily_table))),NA(),_xlfn.xlookup(E$3,daily_items,_xlfn.xlookup($C1584,daily_dates,big_daily_table)))</f>
        <v>#NAME?</v>
      </c>
    </row>
    <row r="1585" customFormat="false" ht="14.25" hidden="false" customHeight="false" outlineLevel="0" collapsed="false">
      <c r="B1585" s="7" t="n">
        <v>42490</v>
      </c>
      <c r="C1585" s="7" t="n">
        <f aca="false">B1585-WEEKDAY(B1585)+1</f>
        <v>42484</v>
      </c>
      <c r="D1585" s="1" t="e">
        <f aca="false" t="array" ref="D1585:D1585">IF(ISBLANK(_xlfn.xlookup(D$3,daily_items,_xlfn.xlookup($C1585,daily_dates,big_daily_table))),NA(),_xlfn.xlookup(D$3,daily_items,_xlfn.xlookup($C1585,daily_dates,big_daily_table)))</f>
        <v>#NAME?</v>
      </c>
      <c r="E1585" s="1" t="e">
        <f aca="false" t="array" ref="E1585:E1585">IF(ISBLANK(_xlfn.xlookup(E$3,daily_items,_xlfn.xlookup($C1585,daily_dates,big_daily_table))),NA(),_xlfn.xlookup(E$3,daily_items,_xlfn.xlookup($C1585,daily_dates,big_daily_table)))</f>
        <v>#NAME?</v>
      </c>
    </row>
    <row r="1586" customFormat="false" ht="14.25" hidden="false" customHeight="false" outlineLevel="0" collapsed="false">
      <c r="B1586" s="7" t="n">
        <v>42491</v>
      </c>
      <c r="C1586" s="7" t="n">
        <f aca="false">B1586-WEEKDAY(B1586)+1</f>
        <v>42491</v>
      </c>
      <c r="D1586" s="1" t="e">
        <f aca="false" t="array" ref="D1586:D1586">IF(ISBLANK(_xlfn.xlookup(D$3,daily_items,_xlfn.xlookup($C1586,daily_dates,big_daily_table))),NA(),_xlfn.xlookup(D$3,daily_items,_xlfn.xlookup($C1586,daily_dates,big_daily_table)))</f>
        <v>#NAME?</v>
      </c>
      <c r="E1586" s="1" t="e">
        <f aca="false" t="array" ref="E1586:E1586">IF(ISBLANK(_xlfn.xlookup(E$3,daily_items,_xlfn.xlookup($C1586,daily_dates,big_daily_table))),NA(),_xlfn.xlookup(E$3,daily_items,_xlfn.xlookup($C1586,daily_dates,big_daily_table)))</f>
        <v>#NAME?</v>
      </c>
    </row>
    <row r="1587" customFormat="false" ht="14.25" hidden="false" customHeight="false" outlineLevel="0" collapsed="false">
      <c r="B1587" s="7" t="n">
        <v>42492</v>
      </c>
      <c r="C1587" s="7" t="n">
        <f aca="false">B1587-WEEKDAY(B1587)+1</f>
        <v>42491</v>
      </c>
      <c r="D1587" s="1" t="e">
        <f aca="false" t="array" ref="D1587:D1587">IF(ISBLANK(_xlfn.xlookup(D$3,daily_items,_xlfn.xlookup($C1587,daily_dates,big_daily_table))),NA(),_xlfn.xlookup(D$3,daily_items,_xlfn.xlookup($C1587,daily_dates,big_daily_table)))</f>
        <v>#NAME?</v>
      </c>
      <c r="E1587" s="1" t="e">
        <f aca="false" t="array" ref="E1587:E1587">IF(ISBLANK(_xlfn.xlookup(E$3,daily_items,_xlfn.xlookup($C1587,daily_dates,big_daily_table))),NA(),_xlfn.xlookup(E$3,daily_items,_xlfn.xlookup($C1587,daily_dates,big_daily_table)))</f>
        <v>#NAME?</v>
      </c>
    </row>
    <row r="1588" customFormat="false" ht="14.25" hidden="false" customHeight="false" outlineLevel="0" collapsed="false">
      <c r="B1588" s="7" t="n">
        <v>42493</v>
      </c>
      <c r="C1588" s="7" t="n">
        <f aca="false">B1588-WEEKDAY(B1588)+1</f>
        <v>42491</v>
      </c>
      <c r="D1588" s="1" t="e">
        <f aca="false" t="array" ref="D1588:D1588">IF(ISBLANK(_xlfn.xlookup(D$3,daily_items,_xlfn.xlookup($C1588,daily_dates,big_daily_table))),NA(),_xlfn.xlookup(D$3,daily_items,_xlfn.xlookup($C1588,daily_dates,big_daily_table)))</f>
        <v>#NAME?</v>
      </c>
      <c r="E1588" s="1" t="e">
        <f aca="false" t="array" ref="E1588:E1588">IF(ISBLANK(_xlfn.xlookup(E$3,daily_items,_xlfn.xlookup($C1588,daily_dates,big_daily_table))),NA(),_xlfn.xlookup(E$3,daily_items,_xlfn.xlookup($C1588,daily_dates,big_daily_table)))</f>
        <v>#NAME?</v>
      </c>
    </row>
    <row r="1589" customFormat="false" ht="14.25" hidden="false" customHeight="false" outlineLevel="0" collapsed="false">
      <c r="B1589" s="7" t="n">
        <v>42494</v>
      </c>
      <c r="C1589" s="7" t="n">
        <f aca="false">B1589-WEEKDAY(B1589)+1</f>
        <v>42491</v>
      </c>
      <c r="D1589" s="1" t="e">
        <f aca="false" t="array" ref="D1589:D1589">IF(ISBLANK(_xlfn.xlookup(D$3,daily_items,_xlfn.xlookup($C1589,daily_dates,big_daily_table))),NA(),_xlfn.xlookup(D$3,daily_items,_xlfn.xlookup($C1589,daily_dates,big_daily_table)))</f>
        <v>#NAME?</v>
      </c>
      <c r="E1589" s="1" t="e">
        <f aca="false" t="array" ref="E1589:E1589">IF(ISBLANK(_xlfn.xlookup(E$3,daily_items,_xlfn.xlookup($C1589,daily_dates,big_daily_table))),NA(),_xlfn.xlookup(E$3,daily_items,_xlfn.xlookup($C1589,daily_dates,big_daily_table)))</f>
        <v>#NAME?</v>
      </c>
    </row>
    <row r="1590" customFormat="false" ht="14.25" hidden="false" customHeight="false" outlineLevel="0" collapsed="false">
      <c r="B1590" s="7" t="n">
        <v>42495</v>
      </c>
      <c r="C1590" s="7" t="n">
        <f aca="false">B1590-WEEKDAY(B1590)+1</f>
        <v>42491</v>
      </c>
      <c r="D1590" s="1" t="e">
        <f aca="false" t="array" ref="D1590:D1590">IF(ISBLANK(_xlfn.xlookup(D$3,daily_items,_xlfn.xlookup($C1590,daily_dates,big_daily_table))),NA(),_xlfn.xlookup(D$3,daily_items,_xlfn.xlookup($C1590,daily_dates,big_daily_table)))</f>
        <v>#NAME?</v>
      </c>
      <c r="E1590" s="1" t="e">
        <f aca="false" t="array" ref="E1590:E1590">IF(ISBLANK(_xlfn.xlookup(E$3,daily_items,_xlfn.xlookup($C1590,daily_dates,big_daily_table))),NA(),_xlfn.xlookup(E$3,daily_items,_xlfn.xlookup($C1590,daily_dates,big_daily_table)))</f>
        <v>#NAME?</v>
      </c>
    </row>
    <row r="1591" customFormat="false" ht="14.25" hidden="false" customHeight="false" outlineLevel="0" collapsed="false">
      <c r="B1591" s="7" t="n">
        <v>42496</v>
      </c>
      <c r="C1591" s="7" t="n">
        <f aca="false">B1591-WEEKDAY(B1591)+1</f>
        <v>42491</v>
      </c>
      <c r="D1591" s="1" t="e">
        <f aca="false" t="array" ref="D1591:D1591">IF(ISBLANK(_xlfn.xlookup(D$3,daily_items,_xlfn.xlookup($C1591,daily_dates,big_daily_table))),NA(),_xlfn.xlookup(D$3,daily_items,_xlfn.xlookup($C1591,daily_dates,big_daily_table)))</f>
        <v>#NAME?</v>
      </c>
      <c r="E1591" s="1" t="e">
        <f aca="false" t="array" ref="E1591:E1591">IF(ISBLANK(_xlfn.xlookup(E$3,daily_items,_xlfn.xlookup($C1591,daily_dates,big_daily_table))),NA(),_xlfn.xlookup(E$3,daily_items,_xlfn.xlookup($C1591,daily_dates,big_daily_table)))</f>
        <v>#NAME?</v>
      </c>
    </row>
    <row r="1592" customFormat="false" ht="14.25" hidden="false" customHeight="false" outlineLevel="0" collapsed="false">
      <c r="B1592" s="7" t="n">
        <v>42497</v>
      </c>
      <c r="C1592" s="7" t="n">
        <f aca="false">B1592-WEEKDAY(B1592)+1</f>
        <v>42491</v>
      </c>
      <c r="D1592" s="1" t="e">
        <f aca="false" t="array" ref="D1592:D1592">IF(ISBLANK(_xlfn.xlookup(D$3,daily_items,_xlfn.xlookup($C1592,daily_dates,big_daily_table))),NA(),_xlfn.xlookup(D$3,daily_items,_xlfn.xlookup($C1592,daily_dates,big_daily_table)))</f>
        <v>#NAME?</v>
      </c>
      <c r="E1592" s="1" t="e">
        <f aca="false" t="array" ref="E1592:E1592">IF(ISBLANK(_xlfn.xlookup(E$3,daily_items,_xlfn.xlookup($C1592,daily_dates,big_daily_table))),NA(),_xlfn.xlookup(E$3,daily_items,_xlfn.xlookup($C1592,daily_dates,big_daily_table)))</f>
        <v>#NAME?</v>
      </c>
    </row>
    <row r="1593" customFormat="false" ht="14.25" hidden="false" customHeight="false" outlineLevel="0" collapsed="false">
      <c r="B1593" s="7" t="n">
        <v>42498</v>
      </c>
      <c r="C1593" s="7" t="n">
        <f aca="false">B1593-WEEKDAY(B1593)+1</f>
        <v>42498</v>
      </c>
      <c r="D1593" s="1" t="e">
        <f aca="false" t="array" ref="D1593:D1593">IF(ISBLANK(_xlfn.xlookup(D$3,daily_items,_xlfn.xlookup($C1593,daily_dates,big_daily_table))),NA(),_xlfn.xlookup(D$3,daily_items,_xlfn.xlookup($C1593,daily_dates,big_daily_table)))</f>
        <v>#NAME?</v>
      </c>
      <c r="E1593" s="1" t="e">
        <f aca="false" t="array" ref="E1593:E1593">IF(ISBLANK(_xlfn.xlookup(E$3,daily_items,_xlfn.xlookup($C1593,daily_dates,big_daily_table))),NA(),_xlfn.xlookup(E$3,daily_items,_xlfn.xlookup($C1593,daily_dates,big_daily_table)))</f>
        <v>#NAME?</v>
      </c>
    </row>
    <row r="1594" customFormat="false" ht="14.25" hidden="false" customHeight="false" outlineLevel="0" collapsed="false">
      <c r="B1594" s="7" t="n">
        <v>42499</v>
      </c>
      <c r="C1594" s="7" t="n">
        <f aca="false">B1594-WEEKDAY(B1594)+1</f>
        <v>42498</v>
      </c>
      <c r="D1594" s="1" t="e">
        <f aca="false" t="array" ref="D1594:D1594">IF(ISBLANK(_xlfn.xlookup(D$3,daily_items,_xlfn.xlookup($C1594,daily_dates,big_daily_table))),NA(),_xlfn.xlookup(D$3,daily_items,_xlfn.xlookup($C1594,daily_dates,big_daily_table)))</f>
        <v>#NAME?</v>
      </c>
      <c r="E1594" s="1" t="e">
        <f aca="false" t="array" ref="E1594:E1594">IF(ISBLANK(_xlfn.xlookup(E$3,daily_items,_xlfn.xlookup($C1594,daily_dates,big_daily_table))),NA(),_xlfn.xlookup(E$3,daily_items,_xlfn.xlookup($C1594,daily_dates,big_daily_table)))</f>
        <v>#NAME?</v>
      </c>
    </row>
    <row r="1595" customFormat="false" ht="14.25" hidden="false" customHeight="false" outlineLevel="0" collapsed="false">
      <c r="B1595" s="7" t="n">
        <v>42500</v>
      </c>
      <c r="C1595" s="7" t="n">
        <f aca="false">B1595-WEEKDAY(B1595)+1</f>
        <v>42498</v>
      </c>
      <c r="D1595" s="1" t="e">
        <f aca="false" t="array" ref="D1595:D1595">IF(ISBLANK(_xlfn.xlookup(D$3,daily_items,_xlfn.xlookup($C1595,daily_dates,big_daily_table))),NA(),_xlfn.xlookup(D$3,daily_items,_xlfn.xlookup($C1595,daily_dates,big_daily_table)))</f>
        <v>#NAME?</v>
      </c>
      <c r="E1595" s="1" t="e">
        <f aca="false" t="array" ref="E1595:E1595">IF(ISBLANK(_xlfn.xlookup(E$3,daily_items,_xlfn.xlookup($C1595,daily_dates,big_daily_table))),NA(),_xlfn.xlookup(E$3,daily_items,_xlfn.xlookup($C1595,daily_dates,big_daily_table)))</f>
        <v>#NAME?</v>
      </c>
    </row>
    <row r="1596" customFormat="false" ht="14.25" hidden="false" customHeight="false" outlineLevel="0" collapsed="false">
      <c r="B1596" s="7" t="n">
        <v>42501</v>
      </c>
      <c r="C1596" s="7" t="n">
        <f aca="false">B1596-WEEKDAY(B1596)+1</f>
        <v>42498</v>
      </c>
      <c r="D1596" s="1" t="e">
        <f aca="false" t="array" ref="D1596:D1596">IF(ISBLANK(_xlfn.xlookup(D$3,daily_items,_xlfn.xlookup($C1596,daily_dates,big_daily_table))),NA(),_xlfn.xlookup(D$3,daily_items,_xlfn.xlookup($C1596,daily_dates,big_daily_table)))</f>
        <v>#NAME?</v>
      </c>
      <c r="E1596" s="1" t="e">
        <f aca="false" t="array" ref="E1596:E1596">IF(ISBLANK(_xlfn.xlookup(E$3,daily_items,_xlfn.xlookup($C1596,daily_dates,big_daily_table))),NA(),_xlfn.xlookup(E$3,daily_items,_xlfn.xlookup($C1596,daily_dates,big_daily_table)))</f>
        <v>#NAME?</v>
      </c>
    </row>
    <row r="1597" customFormat="false" ht="14.25" hidden="false" customHeight="false" outlineLevel="0" collapsed="false">
      <c r="B1597" s="7" t="n">
        <v>42502</v>
      </c>
      <c r="C1597" s="7" t="n">
        <f aca="false">B1597-WEEKDAY(B1597)+1</f>
        <v>42498</v>
      </c>
      <c r="D1597" s="1" t="e">
        <f aca="false" t="array" ref="D1597:D1597">IF(ISBLANK(_xlfn.xlookup(D$3,daily_items,_xlfn.xlookup($C1597,daily_dates,big_daily_table))),NA(),_xlfn.xlookup(D$3,daily_items,_xlfn.xlookup($C1597,daily_dates,big_daily_table)))</f>
        <v>#NAME?</v>
      </c>
      <c r="E1597" s="1" t="e">
        <f aca="false" t="array" ref="E1597:E1597">IF(ISBLANK(_xlfn.xlookup(E$3,daily_items,_xlfn.xlookup($C1597,daily_dates,big_daily_table))),NA(),_xlfn.xlookup(E$3,daily_items,_xlfn.xlookup($C1597,daily_dates,big_daily_table)))</f>
        <v>#NAME?</v>
      </c>
    </row>
    <row r="1598" customFormat="false" ht="14.25" hidden="false" customHeight="false" outlineLevel="0" collapsed="false">
      <c r="B1598" s="7" t="n">
        <v>42503</v>
      </c>
      <c r="C1598" s="7" t="n">
        <f aca="false">B1598-WEEKDAY(B1598)+1</f>
        <v>42498</v>
      </c>
      <c r="D1598" s="1" t="e">
        <f aca="false" t="array" ref="D1598:D1598">IF(ISBLANK(_xlfn.xlookup(D$3,daily_items,_xlfn.xlookup($C1598,daily_dates,big_daily_table))),NA(),_xlfn.xlookup(D$3,daily_items,_xlfn.xlookup($C1598,daily_dates,big_daily_table)))</f>
        <v>#NAME?</v>
      </c>
      <c r="E1598" s="1" t="e">
        <f aca="false" t="array" ref="E1598:E1598">IF(ISBLANK(_xlfn.xlookup(E$3,daily_items,_xlfn.xlookup($C1598,daily_dates,big_daily_table))),NA(),_xlfn.xlookup(E$3,daily_items,_xlfn.xlookup($C1598,daily_dates,big_daily_table)))</f>
        <v>#NAME?</v>
      </c>
    </row>
    <row r="1599" customFormat="false" ht="14.25" hidden="false" customHeight="false" outlineLevel="0" collapsed="false">
      <c r="B1599" s="7" t="n">
        <v>42504</v>
      </c>
      <c r="C1599" s="7" t="n">
        <f aca="false">B1599-WEEKDAY(B1599)+1</f>
        <v>42498</v>
      </c>
      <c r="D1599" s="1" t="e">
        <f aca="false" t="array" ref="D1599:D1599">IF(ISBLANK(_xlfn.xlookup(D$3,daily_items,_xlfn.xlookup($C1599,daily_dates,big_daily_table))),NA(),_xlfn.xlookup(D$3,daily_items,_xlfn.xlookup($C1599,daily_dates,big_daily_table)))</f>
        <v>#NAME?</v>
      </c>
      <c r="E1599" s="1" t="e">
        <f aca="false" t="array" ref="E1599:E1599">IF(ISBLANK(_xlfn.xlookup(E$3,daily_items,_xlfn.xlookup($C1599,daily_dates,big_daily_table))),NA(),_xlfn.xlookup(E$3,daily_items,_xlfn.xlookup($C1599,daily_dates,big_daily_table)))</f>
        <v>#NAME?</v>
      </c>
    </row>
    <row r="1600" customFormat="false" ht="14.25" hidden="false" customHeight="false" outlineLevel="0" collapsed="false">
      <c r="B1600" s="7" t="n">
        <v>42505</v>
      </c>
      <c r="C1600" s="7" t="n">
        <f aca="false">B1600-WEEKDAY(B1600)+1</f>
        <v>42505</v>
      </c>
      <c r="D1600" s="1" t="e">
        <f aca="false" t="array" ref="D1600:D1600">IF(ISBLANK(_xlfn.xlookup(D$3,daily_items,_xlfn.xlookup($C1600,daily_dates,big_daily_table))),NA(),_xlfn.xlookup(D$3,daily_items,_xlfn.xlookup($C1600,daily_dates,big_daily_table)))</f>
        <v>#NAME?</v>
      </c>
      <c r="E1600" s="1" t="e">
        <f aca="false" t="array" ref="E1600:E1600">IF(ISBLANK(_xlfn.xlookup(E$3,daily_items,_xlfn.xlookup($C1600,daily_dates,big_daily_table))),NA(),_xlfn.xlookup(E$3,daily_items,_xlfn.xlookup($C1600,daily_dates,big_daily_table)))</f>
        <v>#NAME?</v>
      </c>
    </row>
    <row r="1601" customFormat="false" ht="14.25" hidden="false" customHeight="false" outlineLevel="0" collapsed="false">
      <c r="B1601" s="7" t="n">
        <v>42506</v>
      </c>
      <c r="C1601" s="7" t="n">
        <f aca="false">B1601-WEEKDAY(B1601)+1</f>
        <v>42505</v>
      </c>
      <c r="D1601" s="1" t="e">
        <f aca="false" t="array" ref="D1601:D1601">IF(ISBLANK(_xlfn.xlookup(D$3,daily_items,_xlfn.xlookup($C1601,daily_dates,big_daily_table))),NA(),_xlfn.xlookup(D$3,daily_items,_xlfn.xlookup($C1601,daily_dates,big_daily_table)))</f>
        <v>#NAME?</v>
      </c>
      <c r="E1601" s="1" t="e">
        <f aca="false" t="array" ref="E1601:E1601">IF(ISBLANK(_xlfn.xlookup(E$3,daily_items,_xlfn.xlookup($C1601,daily_dates,big_daily_table))),NA(),_xlfn.xlookup(E$3,daily_items,_xlfn.xlookup($C1601,daily_dates,big_daily_table)))</f>
        <v>#NAME?</v>
      </c>
    </row>
    <row r="1602" customFormat="false" ht="14.25" hidden="false" customHeight="false" outlineLevel="0" collapsed="false">
      <c r="B1602" s="7" t="n">
        <v>42507</v>
      </c>
      <c r="C1602" s="7" t="n">
        <f aca="false">B1602-WEEKDAY(B1602)+1</f>
        <v>42505</v>
      </c>
      <c r="D1602" s="1" t="e">
        <f aca="false" t="array" ref="D1602:D1602">IF(ISBLANK(_xlfn.xlookup(D$3,daily_items,_xlfn.xlookup($C1602,daily_dates,big_daily_table))),NA(),_xlfn.xlookup(D$3,daily_items,_xlfn.xlookup($C1602,daily_dates,big_daily_table)))</f>
        <v>#NAME?</v>
      </c>
      <c r="E1602" s="1" t="e">
        <f aca="false" t="array" ref="E1602:E1602">IF(ISBLANK(_xlfn.xlookup(E$3,daily_items,_xlfn.xlookup($C1602,daily_dates,big_daily_table))),NA(),_xlfn.xlookup(E$3,daily_items,_xlfn.xlookup($C1602,daily_dates,big_daily_table)))</f>
        <v>#NAME?</v>
      </c>
    </row>
    <row r="1603" customFormat="false" ht="14.25" hidden="false" customHeight="false" outlineLevel="0" collapsed="false">
      <c r="B1603" s="7" t="n">
        <v>42508</v>
      </c>
      <c r="C1603" s="7" t="n">
        <f aca="false">B1603-WEEKDAY(B1603)+1</f>
        <v>42505</v>
      </c>
      <c r="D1603" s="1" t="e">
        <f aca="false" t="array" ref="D1603:D1603">IF(ISBLANK(_xlfn.xlookup(D$3,daily_items,_xlfn.xlookup($C1603,daily_dates,big_daily_table))),NA(),_xlfn.xlookup(D$3,daily_items,_xlfn.xlookup($C1603,daily_dates,big_daily_table)))</f>
        <v>#NAME?</v>
      </c>
      <c r="E1603" s="1" t="e">
        <f aca="false" t="array" ref="E1603:E1603">IF(ISBLANK(_xlfn.xlookup(E$3,daily_items,_xlfn.xlookup($C1603,daily_dates,big_daily_table))),NA(),_xlfn.xlookup(E$3,daily_items,_xlfn.xlookup($C1603,daily_dates,big_daily_table)))</f>
        <v>#NAME?</v>
      </c>
    </row>
    <row r="1604" customFormat="false" ht="14.25" hidden="false" customHeight="false" outlineLevel="0" collapsed="false">
      <c r="B1604" s="7" t="n">
        <v>42509</v>
      </c>
      <c r="C1604" s="7" t="n">
        <f aca="false">B1604-WEEKDAY(B1604)+1</f>
        <v>42505</v>
      </c>
      <c r="D1604" s="1" t="e">
        <f aca="false" t="array" ref="D1604:D1604">IF(ISBLANK(_xlfn.xlookup(D$3,daily_items,_xlfn.xlookup($C1604,daily_dates,big_daily_table))),NA(),_xlfn.xlookup(D$3,daily_items,_xlfn.xlookup($C1604,daily_dates,big_daily_table)))</f>
        <v>#NAME?</v>
      </c>
      <c r="E1604" s="1" t="e">
        <f aca="false" t="array" ref="E1604:E1604">IF(ISBLANK(_xlfn.xlookup(E$3,daily_items,_xlfn.xlookup($C1604,daily_dates,big_daily_table))),NA(),_xlfn.xlookup(E$3,daily_items,_xlfn.xlookup($C1604,daily_dates,big_daily_table)))</f>
        <v>#NAME?</v>
      </c>
    </row>
    <row r="1605" customFormat="false" ht="14.25" hidden="false" customHeight="false" outlineLevel="0" collapsed="false">
      <c r="B1605" s="7" t="n">
        <v>42510</v>
      </c>
      <c r="C1605" s="7" t="n">
        <f aca="false">B1605-WEEKDAY(B1605)+1</f>
        <v>42505</v>
      </c>
      <c r="D1605" s="1" t="e">
        <f aca="false" t="array" ref="D1605:D1605">IF(ISBLANK(_xlfn.xlookup(D$3,daily_items,_xlfn.xlookup($C1605,daily_dates,big_daily_table))),NA(),_xlfn.xlookup(D$3,daily_items,_xlfn.xlookup($C1605,daily_dates,big_daily_table)))</f>
        <v>#NAME?</v>
      </c>
      <c r="E1605" s="1" t="e">
        <f aca="false" t="array" ref="E1605:E1605">IF(ISBLANK(_xlfn.xlookup(E$3,daily_items,_xlfn.xlookup($C1605,daily_dates,big_daily_table))),NA(),_xlfn.xlookup(E$3,daily_items,_xlfn.xlookup($C1605,daily_dates,big_daily_table)))</f>
        <v>#NAME?</v>
      </c>
    </row>
    <row r="1606" customFormat="false" ht="14.25" hidden="false" customHeight="false" outlineLevel="0" collapsed="false">
      <c r="B1606" s="7" t="n">
        <v>42511</v>
      </c>
      <c r="C1606" s="7" t="n">
        <f aca="false">B1606-WEEKDAY(B1606)+1</f>
        <v>42505</v>
      </c>
      <c r="D1606" s="1" t="e">
        <f aca="false" t="array" ref="D1606:D1606">IF(ISBLANK(_xlfn.xlookup(D$3,daily_items,_xlfn.xlookup($C1606,daily_dates,big_daily_table))),NA(),_xlfn.xlookup(D$3,daily_items,_xlfn.xlookup($C1606,daily_dates,big_daily_table)))</f>
        <v>#NAME?</v>
      </c>
      <c r="E1606" s="1" t="e">
        <f aca="false" t="array" ref="E1606:E1606">IF(ISBLANK(_xlfn.xlookup(E$3,daily_items,_xlfn.xlookup($C1606,daily_dates,big_daily_table))),NA(),_xlfn.xlookup(E$3,daily_items,_xlfn.xlookup($C1606,daily_dates,big_daily_table)))</f>
        <v>#NAME?</v>
      </c>
    </row>
    <row r="1607" customFormat="false" ht="14.25" hidden="false" customHeight="false" outlineLevel="0" collapsed="false">
      <c r="B1607" s="7" t="n">
        <v>42512</v>
      </c>
      <c r="C1607" s="7" t="n">
        <f aca="false">B1607-WEEKDAY(B1607)+1</f>
        <v>42512</v>
      </c>
      <c r="D1607" s="1" t="e">
        <f aca="false" t="array" ref="D1607:D1607">IF(ISBLANK(_xlfn.xlookup(D$3,daily_items,_xlfn.xlookup($C1607,daily_dates,big_daily_table))),NA(),_xlfn.xlookup(D$3,daily_items,_xlfn.xlookup($C1607,daily_dates,big_daily_table)))</f>
        <v>#NAME?</v>
      </c>
      <c r="E1607" s="1" t="e">
        <f aca="false" t="array" ref="E1607:E1607">IF(ISBLANK(_xlfn.xlookup(E$3,daily_items,_xlfn.xlookup($C1607,daily_dates,big_daily_table))),NA(),_xlfn.xlookup(E$3,daily_items,_xlfn.xlookup($C1607,daily_dates,big_daily_table)))</f>
        <v>#NAME?</v>
      </c>
    </row>
    <row r="1608" customFormat="false" ht="14.25" hidden="false" customHeight="false" outlineLevel="0" collapsed="false">
      <c r="B1608" s="7" t="n">
        <v>42513</v>
      </c>
      <c r="C1608" s="7" t="n">
        <f aca="false">B1608-WEEKDAY(B1608)+1</f>
        <v>42512</v>
      </c>
      <c r="D1608" s="1" t="e">
        <f aca="false" t="array" ref="D1608:D1608">IF(ISBLANK(_xlfn.xlookup(D$3,daily_items,_xlfn.xlookup($C1608,daily_dates,big_daily_table))),NA(),_xlfn.xlookup(D$3,daily_items,_xlfn.xlookup($C1608,daily_dates,big_daily_table)))</f>
        <v>#NAME?</v>
      </c>
      <c r="E1608" s="1" t="e">
        <f aca="false" t="array" ref="E1608:E1608">IF(ISBLANK(_xlfn.xlookup(E$3,daily_items,_xlfn.xlookup($C1608,daily_dates,big_daily_table))),NA(),_xlfn.xlookup(E$3,daily_items,_xlfn.xlookup($C1608,daily_dates,big_daily_table)))</f>
        <v>#NAME?</v>
      </c>
    </row>
    <row r="1609" customFormat="false" ht="14.25" hidden="false" customHeight="false" outlineLevel="0" collapsed="false">
      <c r="B1609" s="7" t="n">
        <v>42514</v>
      </c>
      <c r="C1609" s="7" t="n">
        <f aca="false">B1609-WEEKDAY(B1609)+1</f>
        <v>42512</v>
      </c>
      <c r="D1609" s="1" t="e">
        <f aca="false" t="array" ref="D1609:D1609">IF(ISBLANK(_xlfn.xlookup(D$3,daily_items,_xlfn.xlookup($C1609,daily_dates,big_daily_table))),NA(),_xlfn.xlookup(D$3,daily_items,_xlfn.xlookup($C1609,daily_dates,big_daily_table)))</f>
        <v>#NAME?</v>
      </c>
      <c r="E1609" s="1" t="e">
        <f aca="false" t="array" ref="E1609:E1609">IF(ISBLANK(_xlfn.xlookup(E$3,daily_items,_xlfn.xlookup($C1609,daily_dates,big_daily_table))),NA(),_xlfn.xlookup(E$3,daily_items,_xlfn.xlookup($C1609,daily_dates,big_daily_table)))</f>
        <v>#NAME?</v>
      </c>
    </row>
    <row r="1610" customFormat="false" ht="14.25" hidden="false" customHeight="false" outlineLevel="0" collapsed="false">
      <c r="B1610" s="7" t="n">
        <v>42515</v>
      </c>
      <c r="C1610" s="7" t="n">
        <f aca="false">B1610-WEEKDAY(B1610)+1</f>
        <v>42512</v>
      </c>
      <c r="D1610" s="1" t="e">
        <f aca="false" t="array" ref="D1610:D1610">IF(ISBLANK(_xlfn.xlookup(D$3,daily_items,_xlfn.xlookup($C1610,daily_dates,big_daily_table))),NA(),_xlfn.xlookup(D$3,daily_items,_xlfn.xlookup($C1610,daily_dates,big_daily_table)))</f>
        <v>#NAME?</v>
      </c>
      <c r="E1610" s="1" t="e">
        <f aca="false" t="array" ref="E1610:E1610">IF(ISBLANK(_xlfn.xlookup(E$3,daily_items,_xlfn.xlookup($C1610,daily_dates,big_daily_table))),NA(),_xlfn.xlookup(E$3,daily_items,_xlfn.xlookup($C1610,daily_dates,big_daily_table)))</f>
        <v>#NAME?</v>
      </c>
    </row>
    <row r="1611" customFormat="false" ht="14.25" hidden="false" customHeight="false" outlineLevel="0" collapsed="false">
      <c r="B1611" s="7" t="n">
        <v>42516</v>
      </c>
      <c r="C1611" s="7" t="n">
        <f aca="false">B1611-WEEKDAY(B1611)+1</f>
        <v>42512</v>
      </c>
      <c r="D1611" s="1" t="e">
        <f aca="false" t="array" ref="D1611:D1611">IF(ISBLANK(_xlfn.xlookup(D$3,daily_items,_xlfn.xlookup($C1611,daily_dates,big_daily_table))),NA(),_xlfn.xlookup(D$3,daily_items,_xlfn.xlookup($C1611,daily_dates,big_daily_table)))</f>
        <v>#NAME?</v>
      </c>
      <c r="E1611" s="1" t="e">
        <f aca="false" t="array" ref="E1611:E1611">IF(ISBLANK(_xlfn.xlookup(E$3,daily_items,_xlfn.xlookup($C1611,daily_dates,big_daily_table))),NA(),_xlfn.xlookup(E$3,daily_items,_xlfn.xlookup($C1611,daily_dates,big_daily_table)))</f>
        <v>#NAME?</v>
      </c>
    </row>
    <row r="1612" customFormat="false" ht="14.25" hidden="false" customHeight="false" outlineLevel="0" collapsed="false">
      <c r="B1612" s="7" t="n">
        <v>42517</v>
      </c>
      <c r="C1612" s="7" t="n">
        <f aca="false">B1612-WEEKDAY(B1612)+1</f>
        <v>42512</v>
      </c>
      <c r="D1612" s="1" t="e">
        <f aca="false" t="array" ref="D1612:D1612">IF(ISBLANK(_xlfn.xlookup(D$3,daily_items,_xlfn.xlookup($C1612,daily_dates,big_daily_table))),NA(),_xlfn.xlookup(D$3,daily_items,_xlfn.xlookup($C1612,daily_dates,big_daily_table)))</f>
        <v>#NAME?</v>
      </c>
      <c r="E1612" s="1" t="e">
        <f aca="false" t="array" ref="E1612:E1612">IF(ISBLANK(_xlfn.xlookup(E$3,daily_items,_xlfn.xlookup($C1612,daily_dates,big_daily_table))),NA(),_xlfn.xlookup(E$3,daily_items,_xlfn.xlookup($C1612,daily_dates,big_daily_table)))</f>
        <v>#NAME?</v>
      </c>
    </row>
    <row r="1613" customFormat="false" ht="14.25" hidden="false" customHeight="false" outlineLevel="0" collapsed="false">
      <c r="B1613" s="7" t="n">
        <v>42518</v>
      </c>
      <c r="C1613" s="7" t="n">
        <f aca="false">B1613-WEEKDAY(B1613)+1</f>
        <v>42512</v>
      </c>
      <c r="D1613" s="1" t="e">
        <f aca="false" t="array" ref="D1613:D1613">IF(ISBLANK(_xlfn.xlookup(D$3,daily_items,_xlfn.xlookup($C1613,daily_dates,big_daily_table))),NA(),_xlfn.xlookup(D$3,daily_items,_xlfn.xlookup($C1613,daily_dates,big_daily_table)))</f>
        <v>#NAME?</v>
      </c>
      <c r="E1613" s="1" t="e">
        <f aca="false" t="array" ref="E1613:E1613">IF(ISBLANK(_xlfn.xlookup(E$3,daily_items,_xlfn.xlookup($C1613,daily_dates,big_daily_table))),NA(),_xlfn.xlookup(E$3,daily_items,_xlfn.xlookup($C1613,daily_dates,big_daily_table)))</f>
        <v>#NAME?</v>
      </c>
    </row>
    <row r="1614" customFormat="false" ht="14.25" hidden="false" customHeight="false" outlineLevel="0" collapsed="false">
      <c r="B1614" s="7" t="n">
        <v>42519</v>
      </c>
      <c r="C1614" s="7" t="n">
        <f aca="false">B1614-WEEKDAY(B1614)+1</f>
        <v>42519</v>
      </c>
      <c r="D1614" s="1" t="e">
        <f aca="false" t="array" ref="D1614:D1614">IF(ISBLANK(_xlfn.xlookup(D$3,daily_items,_xlfn.xlookup($C1614,daily_dates,big_daily_table))),NA(),_xlfn.xlookup(D$3,daily_items,_xlfn.xlookup($C1614,daily_dates,big_daily_table)))</f>
        <v>#NAME?</v>
      </c>
      <c r="E1614" s="1" t="e">
        <f aca="false" t="array" ref="E1614:E1614">IF(ISBLANK(_xlfn.xlookup(E$3,daily_items,_xlfn.xlookup($C1614,daily_dates,big_daily_table))),NA(),_xlfn.xlookup(E$3,daily_items,_xlfn.xlookup($C1614,daily_dates,big_daily_table)))</f>
        <v>#NAME?</v>
      </c>
    </row>
    <row r="1615" customFormat="false" ht="14.25" hidden="false" customHeight="false" outlineLevel="0" collapsed="false">
      <c r="B1615" s="7" t="n">
        <v>42520</v>
      </c>
      <c r="C1615" s="7" t="n">
        <f aca="false">B1615-WEEKDAY(B1615)+1</f>
        <v>42519</v>
      </c>
      <c r="D1615" s="1" t="e">
        <f aca="false" t="array" ref="D1615:D1615">IF(ISBLANK(_xlfn.xlookup(D$3,daily_items,_xlfn.xlookup($C1615,daily_dates,big_daily_table))),NA(),_xlfn.xlookup(D$3,daily_items,_xlfn.xlookup($C1615,daily_dates,big_daily_table)))</f>
        <v>#NAME?</v>
      </c>
      <c r="E1615" s="1" t="e">
        <f aca="false" t="array" ref="E1615:E1615">IF(ISBLANK(_xlfn.xlookup(E$3,daily_items,_xlfn.xlookup($C1615,daily_dates,big_daily_table))),NA(),_xlfn.xlookup(E$3,daily_items,_xlfn.xlookup($C1615,daily_dates,big_daily_table)))</f>
        <v>#NAME?</v>
      </c>
    </row>
    <row r="1616" customFormat="false" ht="14.25" hidden="false" customHeight="false" outlineLevel="0" collapsed="false">
      <c r="B1616" s="7" t="n">
        <v>42521</v>
      </c>
      <c r="C1616" s="7" t="n">
        <f aca="false">B1616-WEEKDAY(B1616)+1</f>
        <v>42519</v>
      </c>
      <c r="D1616" s="1" t="e">
        <f aca="false" t="array" ref="D1616:D1616">IF(ISBLANK(_xlfn.xlookup(D$3,daily_items,_xlfn.xlookup($C1616,daily_dates,big_daily_table))),NA(),_xlfn.xlookup(D$3,daily_items,_xlfn.xlookup($C1616,daily_dates,big_daily_table)))</f>
        <v>#NAME?</v>
      </c>
      <c r="E1616" s="1" t="e">
        <f aca="false" t="array" ref="E1616:E1616">IF(ISBLANK(_xlfn.xlookup(E$3,daily_items,_xlfn.xlookup($C1616,daily_dates,big_daily_table))),NA(),_xlfn.xlookup(E$3,daily_items,_xlfn.xlookup($C1616,daily_dates,big_daily_table)))</f>
        <v>#NAME?</v>
      </c>
    </row>
    <row r="1617" customFormat="false" ht="14.25" hidden="false" customHeight="false" outlineLevel="0" collapsed="false">
      <c r="B1617" s="7" t="n">
        <v>42522</v>
      </c>
      <c r="C1617" s="7" t="n">
        <f aca="false">B1617-WEEKDAY(B1617)+1</f>
        <v>42519</v>
      </c>
      <c r="D1617" s="1" t="e">
        <f aca="false" t="array" ref="D1617:D1617">IF(ISBLANK(_xlfn.xlookup(D$3,daily_items,_xlfn.xlookup($C1617,daily_dates,big_daily_table))),NA(),_xlfn.xlookup(D$3,daily_items,_xlfn.xlookup($C1617,daily_dates,big_daily_table)))</f>
        <v>#NAME?</v>
      </c>
      <c r="E1617" s="1" t="e">
        <f aca="false" t="array" ref="E1617:E1617">IF(ISBLANK(_xlfn.xlookup(E$3,daily_items,_xlfn.xlookup($C1617,daily_dates,big_daily_table))),NA(),_xlfn.xlookup(E$3,daily_items,_xlfn.xlookup($C1617,daily_dates,big_daily_table)))</f>
        <v>#NAME?</v>
      </c>
    </row>
    <row r="1618" customFormat="false" ht="14.25" hidden="false" customHeight="false" outlineLevel="0" collapsed="false">
      <c r="B1618" s="7" t="n">
        <v>42523</v>
      </c>
      <c r="C1618" s="7" t="n">
        <f aca="false">B1618-WEEKDAY(B1618)+1</f>
        <v>42519</v>
      </c>
      <c r="D1618" s="1" t="e">
        <f aca="false" t="array" ref="D1618:D1618">IF(ISBLANK(_xlfn.xlookup(D$3,daily_items,_xlfn.xlookup($C1618,daily_dates,big_daily_table))),NA(),_xlfn.xlookup(D$3,daily_items,_xlfn.xlookup($C1618,daily_dates,big_daily_table)))</f>
        <v>#NAME?</v>
      </c>
      <c r="E1618" s="1" t="e">
        <f aca="false" t="array" ref="E1618:E1618">IF(ISBLANK(_xlfn.xlookup(E$3,daily_items,_xlfn.xlookup($C1618,daily_dates,big_daily_table))),NA(),_xlfn.xlookup(E$3,daily_items,_xlfn.xlookup($C1618,daily_dates,big_daily_table)))</f>
        <v>#NAME?</v>
      </c>
    </row>
    <row r="1619" customFormat="false" ht="14.25" hidden="false" customHeight="false" outlineLevel="0" collapsed="false">
      <c r="B1619" s="7" t="n">
        <v>42524</v>
      </c>
      <c r="C1619" s="7" t="n">
        <f aca="false">B1619-WEEKDAY(B1619)+1</f>
        <v>42519</v>
      </c>
      <c r="D1619" s="1" t="e">
        <f aca="false" t="array" ref="D1619:D1619">IF(ISBLANK(_xlfn.xlookup(D$3,daily_items,_xlfn.xlookup($C1619,daily_dates,big_daily_table))),NA(),_xlfn.xlookup(D$3,daily_items,_xlfn.xlookup($C1619,daily_dates,big_daily_table)))</f>
        <v>#NAME?</v>
      </c>
      <c r="E1619" s="1" t="e">
        <f aca="false" t="array" ref="E1619:E1619">IF(ISBLANK(_xlfn.xlookup(E$3,daily_items,_xlfn.xlookup($C1619,daily_dates,big_daily_table))),NA(),_xlfn.xlookup(E$3,daily_items,_xlfn.xlookup($C1619,daily_dates,big_daily_table)))</f>
        <v>#NAME?</v>
      </c>
    </row>
    <row r="1620" customFormat="false" ht="14.25" hidden="false" customHeight="false" outlineLevel="0" collapsed="false">
      <c r="B1620" s="7" t="n">
        <v>42525</v>
      </c>
      <c r="C1620" s="7" t="n">
        <f aca="false">B1620-WEEKDAY(B1620)+1</f>
        <v>42519</v>
      </c>
      <c r="D1620" s="1" t="e">
        <f aca="false" t="array" ref="D1620:D1620">IF(ISBLANK(_xlfn.xlookup(D$3,daily_items,_xlfn.xlookup($C1620,daily_dates,big_daily_table))),NA(),_xlfn.xlookup(D$3,daily_items,_xlfn.xlookup($C1620,daily_dates,big_daily_table)))</f>
        <v>#NAME?</v>
      </c>
      <c r="E1620" s="1" t="e">
        <f aca="false" t="array" ref="E1620:E1620">IF(ISBLANK(_xlfn.xlookup(E$3,daily_items,_xlfn.xlookup($C1620,daily_dates,big_daily_table))),NA(),_xlfn.xlookup(E$3,daily_items,_xlfn.xlookup($C1620,daily_dates,big_daily_table)))</f>
        <v>#NAME?</v>
      </c>
    </row>
    <row r="1621" customFormat="false" ht="14.25" hidden="false" customHeight="false" outlineLevel="0" collapsed="false">
      <c r="B1621" s="7" t="n">
        <v>42526</v>
      </c>
      <c r="C1621" s="7" t="n">
        <f aca="false">B1621-WEEKDAY(B1621)+1</f>
        <v>42526</v>
      </c>
      <c r="D1621" s="1" t="e">
        <f aca="false" t="array" ref="D1621:D1621">IF(ISBLANK(_xlfn.xlookup(D$3,daily_items,_xlfn.xlookup($C1621,daily_dates,big_daily_table))),NA(),_xlfn.xlookup(D$3,daily_items,_xlfn.xlookup($C1621,daily_dates,big_daily_table)))</f>
        <v>#NAME?</v>
      </c>
      <c r="E1621" s="1" t="e">
        <f aca="false" t="array" ref="E1621:E1621">IF(ISBLANK(_xlfn.xlookup(E$3,daily_items,_xlfn.xlookup($C1621,daily_dates,big_daily_table))),NA(),_xlfn.xlookup(E$3,daily_items,_xlfn.xlookup($C1621,daily_dates,big_daily_table)))</f>
        <v>#NAME?</v>
      </c>
    </row>
    <row r="1622" customFormat="false" ht="14.25" hidden="false" customHeight="false" outlineLevel="0" collapsed="false">
      <c r="B1622" s="7" t="n">
        <v>42527</v>
      </c>
      <c r="C1622" s="7" t="n">
        <f aca="false">B1622-WEEKDAY(B1622)+1</f>
        <v>42526</v>
      </c>
      <c r="D1622" s="1" t="e">
        <f aca="false" t="array" ref="D1622:D1622">IF(ISBLANK(_xlfn.xlookup(D$3,daily_items,_xlfn.xlookup($C1622,daily_dates,big_daily_table))),NA(),_xlfn.xlookup(D$3,daily_items,_xlfn.xlookup($C1622,daily_dates,big_daily_table)))</f>
        <v>#NAME?</v>
      </c>
      <c r="E1622" s="1" t="e">
        <f aca="false" t="array" ref="E1622:E1622">IF(ISBLANK(_xlfn.xlookup(E$3,daily_items,_xlfn.xlookup($C1622,daily_dates,big_daily_table))),NA(),_xlfn.xlookup(E$3,daily_items,_xlfn.xlookup($C1622,daily_dates,big_daily_table)))</f>
        <v>#NAME?</v>
      </c>
    </row>
    <row r="1623" customFormat="false" ht="14.25" hidden="false" customHeight="false" outlineLevel="0" collapsed="false">
      <c r="B1623" s="7" t="n">
        <v>42528</v>
      </c>
      <c r="C1623" s="7" t="n">
        <f aca="false">B1623-WEEKDAY(B1623)+1</f>
        <v>42526</v>
      </c>
      <c r="D1623" s="1" t="e">
        <f aca="false" t="array" ref="D1623:D1623">IF(ISBLANK(_xlfn.xlookup(D$3,daily_items,_xlfn.xlookup($C1623,daily_dates,big_daily_table))),NA(),_xlfn.xlookup(D$3,daily_items,_xlfn.xlookup($C1623,daily_dates,big_daily_table)))</f>
        <v>#NAME?</v>
      </c>
      <c r="E1623" s="1" t="e">
        <f aca="false" t="array" ref="E1623:E1623">IF(ISBLANK(_xlfn.xlookup(E$3,daily_items,_xlfn.xlookup($C1623,daily_dates,big_daily_table))),NA(),_xlfn.xlookup(E$3,daily_items,_xlfn.xlookup($C1623,daily_dates,big_daily_table)))</f>
        <v>#NAME?</v>
      </c>
    </row>
    <row r="1624" customFormat="false" ht="14.25" hidden="false" customHeight="false" outlineLevel="0" collapsed="false">
      <c r="B1624" s="7" t="n">
        <v>42529</v>
      </c>
      <c r="C1624" s="7" t="n">
        <f aca="false">B1624-WEEKDAY(B1624)+1</f>
        <v>42526</v>
      </c>
      <c r="D1624" s="1" t="e">
        <f aca="false" t="array" ref="D1624:D1624">IF(ISBLANK(_xlfn.xlookup(D$3,daily_items,_xlfn.xlookup($C1624,daily_dates,big_daily_table))),NA(),_xlfn.xlookup(D$3,daily_items,_xlfn.xlookup($C1624,daily_dates,big_daily_table)))</f>
        <v>#NAME?</v>
      </c>
      <c r="E1624" s="1" t="e">
        <f aca="false" t="array" ref="E1624:E1624">IF(ISBLANK(_xlfn.xlookup(E$3,daily_items,_xlfn.xlookup($C1624,daily_dates,big_daily_table))),NA(),_xlfn.xlookup(E$3,daily_items,_xlfn.xlookup($C1624,daily_dates,big_daily_table)))</f>
        <v>#NAME?</v>
      </c>
    </row>
    <row r="1625" customFormat="false" ht="14.25" hidden="false" customHeight="false" outlineLevel="0" collapsed="false">
      <c r="B1625" s="7" t="n">
        <v>42530</v>
      </c>
      <c r="C1625" s="7" t="n">
        <f aca="false">B1625-WEEKDAY(B1625)+1</f>
        <v>42526</v>
      </c>
      <c r="D1625" s="1" t="e">
        <f aca="false" t="array" ref="D1625:D1625">IF(ISBLANK(_xlfn.xlookup(D$3,daily_items,_xlfn.xlookup($C1625,daily_dates,big_daily_table))),NA(),_xlfn.xlookup(D$3,daily_items,_xlfn.xlookup($C1625,daily_dates,big_daily_table)))</f>
        <v>#NAME?</v>
      </c>
      <c r="E1625" s="1" t="e">
        <f aca="false" t="array" ref="E1625:E1625">IF(ISBLANK(_xlfn.xlookup(E$3,daily_items,_xlfn.xlookup($C1625,daily_dates,big_daily_table))),NA(),_xlfn.xlookup(E$3,daily_items,_xlfn.xlookup($C1625,daily_dates,big_daily_table)))</f>
        <v>#NAME?</v>
      </c>
    </row>
    <row r="1626" customFormat="false" ht="14.25" hidden="false" customHeight="false" outlineLevel="0" collapsed="false">
      <c r="B1626" s="7" t="n">
        <v>42531</v>
      </c>
      <c r="C1626" s="7" t="n">
        <f aca="false">B1626-WEEKDAY(B1626)+1</f>
        <v>42526</v>
      </c>
      <c r="D1626" s="1" t="e">
        <f aca="false" t="array" ref="D1626:D1626">IF(ISBLANK(_xlfn.xlookup(D$3,daily_items,_xlfn.xlookup($C1626,daily_dates,big_daily_table))),NA(),_xlfn.xlookup(D$3,daily_items,_xlfn.xlookup($C1626,daily_dates,big_daily_table)))</f>
        <v>#NAME?</v>
      </c>
      <c r="E1626" s="1" t="e">
        <f aca="false" t="array" ref="E1626:E1626">IF(ISBLANK(_xlfn.xlookup(E$3,daily_items,_xlfn.xlookup($C1626,daily_dates,big_daily_table))),NA(),_xlfn.xlookup(E$3,daily_items,_xlfn.xlookup($C1626,daily_dates,big_daily_table)))</f>
        <v>#NAME?</v>
      </c>
    </row>
    <row r="1627" customFormat="false" ht="14.25" hidden="false" customHeight="false" outlineLevel="0" collapsed="false">
      <c r="B1627" s="7" t="n">
        <v>42532</v>
      </c>
      <c r="C1627" s="7" t="n">
        <f aca="false">B1627-WEEKDAY(B1627)+1</f>
        <v>42526</v>
      </c>
      <c r="D1627" s="1" t="e">
        <f aca="false" t="array" ref="D1627:D1627">IF(ISBLANK(_xlfn.xlookup(D$3,daily_items,_xlfn.xlookup($C1627,daily_dates,big_daily_table))),NA(),_xlfn.xlookup(D$3,daily_items,_xlfn.xlookup($C1627,daily_dates,big_daily_table)))</f>
        <v>#NAME?</v>
      </c>
      <c r="E1627" s="1" t="e">
        <f aca="false" t="array" ref="E1627:E1627">IF(ISBLANK(_xlfn.xlookup(E$3,daily_items,_xlfn.xlookup($C1627,daily_dates,big_daily_table))),NA(),_xlfn.xlookup(E$3,daily_items,_xlfn.xlookup($C1627,daily_dates,big_daily_table)))</f>
        <v>#NAME?</v>
      </c>
    </row>
    <row r="1628" customFormat="false" ht="14.25" hidden="false" customHeight="false" outlineLevel="0" collapsed="false">
      <c r="B1628" s="7" t="n">
        <v>42533</v>
      </c>
      <c r="C1628" s="7" t="n">
        <f aca="false">B1628-WEEKDAY(B1628)+1</f>
        <v>42533</v>
      </c>
      <c r="D1628" s="1" t="e">
        <f aca="false" t="array" ref="D1628:D1628">IF(ISBLANK(_xlfn.xlookup(D$3,daily_items,_xlfn.xlookup($C1628,daily_dates,big_daily_table))),NA(),_xlfn.xlookup(D$3,daily_items,_xlfn.xlookup($C1628,daily_dates,big_daily_table)))</f>
        <v>#NAME?</v>
      </c>
      <c r="E1628" s="1" t="e">
        <f aca="false" t="array" ref="E1628:E1628">IF(ISBLANK(_xlfn.xlookup(E$3,daily_items,_xlfn.xlookup($C1628,daily_dates,big_daily_table))),NA(),_xlfn.xlookup(E$3,daily_items,_xlfn.xlookup($C1628,daily_dates,big_daily_table)))</f>
        <v>#NAME?</v>
      </c>
    </row>
    <row r="1629" customFormat="false" ht="14.25" hidden="false" customHeight="false" outlineLevel="0" collapsed="false">
      <c r="B1629" s="7" t="n">
        <v>42534</v>
      </c>
      <c r="C1629" s="7" t="n">
        <f aca="false">B1629-WEEKDAY(B1629)+1</f>
        <v>42533</v>
      </c>
      <c r="D1629" s="1" t="e">
        <f aca="false" t="array" ref="D1629:D1629">IF(ISBLANK(_xlfn.xlookup(D$3,daily_items,_xlfn.xlookup($C1629,daily_dates,big_daily_table))),NA(),_xlfn.xlookup(D$3,daily_items,_xlfn.xlookup($C1629,daily_dates,big_daily_table)))</f>
        <v>#NAME?</v>
      </c>
      <c r="E1629" s="1" t="e">
        <f aca="false" t="array" ref="E1629:E1629">IF(ISBLANK(_xlfn.xlookup(E$3,daily_items,_xlfn.xlookup($C1629,daily_dates,big_daily_table))),NA(),_xlfn.xlookup(E$3,daily_items,_xlfn.xlookup($C1629,daily_dates,big_daily_table)))</f>
        <v>#NAME?</v>
      </c>
    </row>
    <row r="1630" customFormat="false" ht="14.25" hidden="false" customHeight="false" outlineLevel="0" collapsed="false">
      <c r="B1630" s="7" t="n">
        <v>42535</v>
      </c>
      <c r="C1630" s="7" t="n">
        <f aca="false">B1630-WEEKDAY(B1630)+1</f>
        <v>42533</v>
      </c>
      <c r="D1630" s="1" t="e">
        <f aca="false" t="array" ref="D1630:D1630">IF(ISBLANK(_xlfn.xlookup(D$3,daily_items,_xlfn.xlookup($C1630,daily_dates,big_daily_table))),NA(),_xlfn.xlookup(D$3,daily_items,_xlfn.xlookup($C1630,daily_dates,big_daily_table)))</f>
        <v>#NAME?</v>
      </c>
      <c r="E1630" s="1" t="e">
        <f aca="false" t="array" ref="E1630:E1630">IF(ISBLANK(_xlfn.xlookup(E$3,daily_items,_xlfn.xlookup($C1630,daily_dates,big_daily_table))),NA(),_xlfn.xlookup(E$3,daily_items,_xlfn.xlookup($C1630,daily_dates,big_daily_table)))</f>
        <v>#NAME?</v>
      </c>
    </row>
    <row r="1631" customFormat="false" ht="14.25" hidden="false" customHeight="false" outlineLevel="0" collapsed="false">
      <c r="B1631" s="7" t="n">
        <v>42536</v>
      </c>
      <c r="C1631" s="7" t="n">
        <f aca="false">B1631-WEEKDAY(B1631)+1</f>
        <v>42533</v>
      </c>
      <c r="D1631" s="1" t="e">
        <f aca="false" t="array" ref="D1631:D1631">IF(ISBLANK(_xlfn.xlookup(D$3,daily_items,_xlfn.xlookup($C1631,daily_dates,big_daily_table))),NA(),_xlfn.xlookup(D$3,daily_items,_xlfn.xlookup($C1631,daily_dates,big_daily_table)))</f>
        <v>#NAME?</v>
      </c>
      <c r="E1631" s="1" t="e">
        <f aca="false" t="array" ref="E1631:E1631">IF(ISBLANK(_xlfn.xlookup(E$3,daily_items,_xlfn.xlookup($C1631,daily_dates,big_daily_table))),NA(),_xlfn.xlookup(E$3,daily_items,_xlfn.xlookup($C1631,daily_dates,big_daily_table)))</f>
        <v>#NAME?</v>
      </c>
    </row>
    <row r="1632" customFormat="false" ht="14.25" hidden="false" customHeight="false" outlineLevel="0" collapsed="false">
      <c r="B1632" s="7" t="n">
        <v>42537</v>
      </c>
      <c r="C1632" s="7" t="n">
        <f aca="false">B1632-WEEKDAY(B1632)+1</f>
        <v>42533</v>
      </c>
      <c r="D1632" s="1" t="e">
        <f aca="false" t="array" ref="D1632:D1632">IF(ISBLANK(_xlfn.xlookup(D$3,daily_items,_xlfn.xlookup($C1632,daily_dates,big_daily_table))),NA(),_xlfn.xlookup(D$3,daily_items,_xlfn.xlookup($C1632,daily_dates,big_daily_table)))</f>
        <v>#NAME?</v>
      </c>
      <c r="E1632" s="1" t="e">
        <f aca="false" t="array" ref="E1632:E1632">IF(ISBLANK(_xlfn.xlookup(E$3,daily_items,_xlfn.xlookup($C1632,daily_dates,big_daily_table))),NA(),_xlfn.xlookup(E$3,daily_items,_xlfn.xlookup($C1632,daily_dates,big_daily_table)))</f>
        <v>#NAME?</v>
      </c>
    </row>
    <row r="1633" customFormat="false" ht="14.25" hidden="false" customHeight="false" outlineLevel="0" collapsed="false">
      <c r="B1633" s="7" t="n">
        <v>42538</v>
      </c>
      <c r="C1633" s="7" t="n">
        <f aca="false">B1633-WEEKDAY(B1633)+1</f>
        <v>42533</v>
      </c>
      <c r="D1633" s="1" t="e">
        <f aca="false" t="array" ref="D1633:D1633">IF(ISBLANK(_xlfn.xlookup(D$3,daily_items,_xlfn.xlookup($C1633,daily_dates,big_daily_table))),NA(),_xlfn.xlookup(D$3,daily_items,_xlfn.xlookup($C1633,daily_dates,big_daily_table)))</f>
        <v>#NAME?</v>
      </c>
      <c r="E1633" s="1" t="e">
        <f aca="false" t="array" ref="E1633:E1633">IF(ISBLANK(_xlfn.xlookup(E$3,daily_items,_xlfn.xlookup($C1633,daily_dates,big_daily_table))),NA(),_xlfn.xlookup(E$3,daily_items,_xlfn.xlookup($C1633,daily_dates,big_daily_table)))</f>
        <v>#NAME?</v>
      </c>
    </row>
    <row r="1634" customFormat="false" ht="14.25" hidden="false" customHeight="false" outlineLevel="0" collapsed="false">
      <c r="B1634" s="7" t="n">
        <v>42539</v>
      </c>
      <c r="C1634" s="7" t="n">
        <f aca="false">B1634-WEEKDAY(B1634)+1</f>
        <v>42533</v>
      </c>
      <c r="D1634" s="1" t="e">
        <f aca="false" t="array" ref="D1634:D1634">IF(ISBLANK(_xlfn.xlookup(D$3,daily_items,_xlfn.xlookup($C1634,daily_dates,big_daily_table))),NA(),_xlfn.xlookup(D$3,daily_items,_xlfn.xlookup($C1634,daily_dates,big_daily_table)))</f>
        <v>#NAME?</v>
      </c>
      <c r="E1634" s="1" t="e">
        <f aca="false" t="array" ref="E1634:E1634">IF(ISBLANK(_xlfn.xlookup(E$3,daily_items,_xlfn.xlookup($C1634,daily_dates,big_daily_table))),NA(),_xlfn.xlookup(E$3,daily_items,_xlfn.xlookup($C1634,daily_dates,big_daily_table)))</f>
        <v>#NAME?</v>
      </c>
    </row>
    <row r="1635" customFormat="false" ht="14.25" hidden="false" customHeight="false" outlineLevel="0" collapsed="false">
      <c r="B1635" s="7" t="n">
        <v>42540</v>
      </c>
      <c r="C1635" s="7" t="n">
        <f aca="false">B1635-WEEKDAY(B1635)+1</f>
        <v>42540</v>
      </c>
      <c r="D1635" s="1" t="e">
        <f aca="false" t="array" ref="D1635:D1635">IF(ISBLANK(_xlfn.xlookup(D$3,daily_items,_xlfn.xlookup($C1635,daily_dates,big_daily_table))),NA(),_xlfn.xlookup(D$3,daily_items,_xlfn.xlookup($C1635,daily_dates,big_daily_table)))</f>
        <v>#NAME?</v>
      </c>
      <c r="E1635" s="1" t="e">
        <f aca="false" t="array" ref="E1635:E1635">IF(ISBLANK(_xlfn.xlookup(E$3,daily_items,_xlfn.xlookup($C1635,daily_dates,big_daily_table))),NA(),_xlfn.xlookup(E$3,daily_items,_xlfn.xlookup($C1635,daily_dates,big_daily_table)))</f>
        <v>#NAME?</v>
      </c>
    </row>
    <row r="1636" customFormat="false" ht="14.25" hidden="false" customHeight="false" outlineLevel="0" collapsed="false">
      <c r="B1636" s="7" t="n">
        <v>42541</v>
      </c>
      <c r="C1636" s="7" t="n">
        <f aca="false">B1636-WEEKDAY(B1636)+1</f>
        <v>42540</v>
      </c>
      <c r="D1636" s="1" t="e">
        <f aca="false" t="array" ref="D1636:D1636">IF(ISBLANK(_xlfn.xlookup(D$3,daily_items,_xlfn.xlookup($C1636,daily_dates,big_daily_table))),NA(),_xlfn.xlookup(D$3,daily_items,_xlfn.xlookup($C1636,daily_dates,big_daily_table)))</f>
        <v>#NAME?</v>
      </c>
      <c r="E1636" s="1" t="e">
        <f aca="false" t="array" ref="E1636:E1636">IF(ISBLANK(_xlfn.xlookup(E$3,daily_items,_xlfn.xlookup($C1636,daily_dates,big_daily_table))),NA(),_xlfn.xlookup(E$3,daily_items,_xlfn.xlookup($C1636,daily_dates,big_daily_table)))</f>
        <v>#NAME?</v>
      </c>
    </row>
    <row r="1637" customFormat="false" ht="14.25" hidden="false" customHeight="false" outlineLevel="0" collapsed="false">
      <c r="B1637" s="7" t="n">
        <v>42542</v>
      </c>
      <c r="C1637" s="7" t="n">
        <f aca="false">B1637-WEEKDAY(B1637)+1</f>
        <v>42540</v>
      </c>
      <c r="D1637" s="1" t="e">
        <f aca="false" t="array" ref="D1637:D1637">IF(ISBLANK(_xlfn.xlookup(D$3,daily_items,_xlfn.xlookup($C1637,daily_dates,big_daily_table))),NA(),_xlfn.xlookup(D$3,daily_items,_xlfn.xlookup($C1637,daily_dates,big_daily_table)))</f>
        <v>#NAME?</v>
      </c>
      <c r="E1637" s="1" t="e">
        <f aca="false" t="array" ref="E1637:E1637">IF(ISBLANK(_xlfn.xlookup(E$3,daily_items,_xlfn.xlookup($C1637,daily_dates,big_daily_table))),NA(),_xlfn.xlookup(E$3,daily_items,_xlfn.xlookup($C1637,daily_dates,big_daily_table)))</f>
        <v>#NAME?</v>
      </c>
    </row>
    <row r="1638" customFormat="false" ht="14.25" hidden="false" customHeight="false" outlineLevel="0" collapsed="false">
      <c r="B1638" s="7" t="n">
        <v>42543</v>
      </c>
      <c r="C1638" s="7" t="n">
        <f aca="false">B1638-WEEKDAY(B1638)+1</f>
        <v>42540</v>
      </c>
      <c r="D1638" s="1" t="e">
        <f aca="false" t="array" ref="D1638:D1638">IF(ISBLANK(_xlfn.xlookup(D$3,daily_items,_xlfn.xlookup($C1638,daily_dates,big_daily_table))),NA(),_xlfn.xlookup(D$3,daily_items,_xlfn.xlookup($C1638,daily_dates,big_daily_table)))</f>
        <v>#NAME?</v>
      </c>
      <c r="E1638" s="1" t="e">
        <f aca="false" t="array" ref="E1638:E1638">IF(ISBLANK(_xlfn.xlookup(E$3,daily_items,_xlfn.xlookup($C1638,daily_dates,big_daily_table))),NA(),_xlfn.xlookup(E$3,daily_items,_xlfn.xlookup($C1638,daily_dates,big_daily_table)))</f>
        <v>#NAME?</v>
      </c>
    </row>
    <row r="1639" customFormat="false" ht="14.25" hidden="false" customHeight="false" outlineLevel="0" collapsed="false">
      <c r="B1639" s="7" t="n">
        <v>42544</v>
      </c>
      <c r="C1639" s="7" t="n">
        <f aca="false">B1639-WEEKDAY(B1639)+1</f>
        <v>42540</v>
      </c>
      <c r="D1639" s="1" t="e">
        <f aca="false" t="array" ref="D1639:D1639">IF(ISBLANK(_xlfn.xlookup(D$3,daily_items,_xlfn.xlookup($C1639,daily_dates,big_daily_table))),NA(),_xlfn.xlookup(D$3,daily_items,_xlfn.xlookup($C1639,daily_dates,big_daily_table)))</f>
        <v>#NAME?</v>
      </c>
      <c r="E1639" s="1" t="e">
        <f aca="false" t="array" ref="E1639:E1639">IF(ISBLANK(_xlfn.xlookup(E$3,daily_items,_xlfn.xlookup($C1639,daily_dates,big_daily_table))),NA(),_xlfn.xlookup(E$3,daily_items,_xlfn.xlookup($C1639,daily_dates,big_daily_table)))</f>
        <v>#NAME?</v>
      </c>
    </row>
    <row r="1640" customFormat="false" ht="14.25" hidden="false" customHeight="false" outlineLevel="0" collapsed="false">
      <c r="B1640" s="7" t="n">
        <v>42545</v>
      </c>
      <c r="C1640" s="7" t="n">
        <f aca="false">B1640-WEEKDAY(B1640)+1</f>
        <v>42540</v>
      </c>
      <c r="D1640" s="1" t="e">
        <f aca="false" t="array" ref="D1640:D1640">IF(ISBLANK(_xlfn.xlookup(D$3,daily_items,_xlfn.xlookup($C1640,daily_dates,big_daily_table))),NA(),_xlfn.xlookup(D$3,daily_items,_xlfn.xlookup($C1640,daily_dates,big_daily_table)))</f>
        <v>#NAME?</v>
      </c>
      <c r="E1640" s="1" t="e">
        <f aca="false" t="array" ref="E1640:E1640">IF(ISBLANK(_xlfn.xlookup(E$3,daily_items,_xlfn.xlookup($C1640,daily_dates,big_daily_table))),NA(),_xlfn.xlookup(E$3,daily_items,_xlfn.xlookup($C1640,daily_dates,big_daily_table)))</f>
        <v>#NAME?</v>
      </c>
    </row>
    <row r="1641" customFormat="false" ht="14.25" hidden="false" customHeight="false" outlineLevel="0" collapsed="false">
      <c r="B1641" s="7" t="n">
        <v>42546</v>
      </c>
      <c r="C1641" s="7" t="n">
        <f aca="false">B1641-WEEKDAY(B1641)+1</f>
        <v>42540</v>
      </c>
      <c r="D1641" s="1" t="e">
        <f aca="false" t="array" ref="D1641:D1641">IF(ISBLANK(_xlfn.xlookup(D$3,daily_items,_xlfn.xlookup($C1641,daily_dates,big_daily_table))),NA(),_xlfn.xlookup(D$3,daily_items,_xlfn.xlookup($C1641,daily_dates,big_daily_table)))</f>
        <v>#NAME?</v>
      </c>
      <c r="E1641" s="1" t="e">
        <f aca="false" t="array" ref="E1641:E1641">IF(ISBLANK(_xlfn.xlookup(E$3,daily_items,_xlfn.xlookup($C1641,daily_dates,big_daily_table))),NA(),_xlfn.xlookup(E$3,daily_items,_xlfn.xlookup($C1641,daily_dates,big_daily_table)))</f>
        <v>#NAME?</v>
      </c>
    </row>
    <row r="1642" customFormat="false" ht="14.25" hidden="false" customHeight="false" outlineLevel="0" collapsed="false">
      <c r="B1642" s="7" t="n">
        <v>42547</v>
      </c>
      <c r="C1642" s="7" t="n">
        <f aca="false">B1642-WEEKDAY(B1642)+1</f>
        <v>42547</v>
      </c>
      <c r="D1642" s="1" t="e">
        <f aca="false" t="array" ref="D1642:D1642">IF(ISBLANK(_xlfn.xlookup(D$3,daily_items,_xlfn.xlookup($C1642,daily_dates,big_daily_table))),NA(),_xlfn.xlookup(D$3,daily_items,_xlfn.xlookup($C1642,daily_dates,big_daily_table)))</f>
        <v>#NAME?</v>
      </c>
      <c r="E1642" s="1" t="e">
        <f aca="false" t="array" ref="E1642:E1642">IF(ISBLANK(_xlfn.xlookup(E$3,daily_items,_xlfn.xlookup($C1642,daily_dates,big_daily_table))),NA(),_xlfn.xlookup(E$3,daily_items,_xlfn.xlookup($C1642,daily_dates,big_daily_table)))</f>
        <v>#NAME?</v>
      </c>
    </row>
    <row r="1643" customFormat="false" ht="14.25" hidden="false" customHeight="false" outlineLevel="0" collapsed="false">
      <c r="B1643" s="7" t="n">
        <v>42548</v>
      </c>
      <c r="C1643" s="7" t="n">
        <f aca="false">B1643-WEEKDAY(B1643)+1</f>
        <v>42547</v>
      </c>
      <c r="D1643" s="1" t="e">
        <f aca="false" t="array" ref="D1643:D1643">IF(ISBLANK(_xlfn.xlookup(D$3,daily_items,_xlfn.xlookup($C1643,daily_dates,big_daily_table))),NA(),_xlfn.xlookup(D$3,daily_items,_xlfn.xlookup($C1643,daily_dates,big_daily_table)))</f>
        <v>#NAME?</v>
      </c>
      <c r="E1643" s="1" t="e">
        <f aca="false" t="array" ref="E1643:E1643">IF(ISBLANK(_xlfn.xlookup(E$3,daily_items,_xlfn.xlookup($C1643,daily_dates,big_daily_table))),NA(),_xlfn.xlookup(E$3,daily_items,_xlfn.xlookup($C1643,daily_dates,big_daily_table)))</f>
        <v>#NAME?</v>
      </c>
    </row>
    <row r="1644" customFormat="false" ht="14.25" hidden="false" customHeight="false" outlineLevel="0" collapsed="false">
      <c r="B1644" s="7" t="n">
        <v>42549</v>
      </c>
      <c r="C1644" s="7" t="n">
        <f aca="false">B1644-WEEKDAY(B1644)+1</f>
        <v>42547</v>
      </c>
      <c r="D1644" s="1" t="e">
        <f aca="false" t="array" ref="D1644:D1644">IF(ISBLANK(_xlfn.xlookup(D$3,daily_items,_xlfn.xlookup($C1644,daily_dates,big_daily_table))),NA(),_xlfn.xlookup(D$3,daily_items,_xlfn.xlookup($C1644,daily_dates,big_daily_table)))</f>
        <v>#NAME?</v>
      </c>
      <c r="E1644" s="1" t="e">
        <f aca="false" t="array" ref="E1644:E1644">IF(ISBLANK(_xlfn.xlookup(E$3,daily_items,_xlfn.xlookup($C1644,daily_dates,big_daily_table))),NA(),_xlfn.xlookup(E$3,daily_items,_xlfn.xlookup($C1644,daily_dates,big_daily_table)))</f>
        <v>#NAME?</v>
      </c>
    </row>
    <row r="1645" customFormat="false" ht="14.25" hidden="false" customHeight="false" outlineLevel="0" collapsed="false">
      <c r="B1645" s="7" t="n">
        <v>42550</v>
      </c>
      <c r="C1645" s="7" t="n">
        <f aca="false">B1645-WEEKDAY(B1645)+1</f>
        <v>42547</v>
      </c>
      <c r="D1645" s="1" t="e">
        <f aca="false" t="array" ref="D1645:D1645">IF(ISBLANK(_xlfn.xlookup(D$3,daily_items,_xlfn.xlookup($C1645,daily_dates,big_daily_table))),NA(),_xlfn.xlookup(D$3,daily_items,_xlfn.xlookup($C1645,daily_dates,big_daily_table)))</f>
        <v>#NAME?</v>
      </c>
      <c r="E1645" s="1" t="e">
        <f aca="false" t="array" ref="E1645:E1645">IF(ISBLANK(_xlfn.xlookup(E$3,daily_items,_xlfn.xlookup($C1645,daily_dates,big_daily_table))),NA(),_xlfn.xlookup(E$3,daily_items,_xlfn.xlookup($C1645,daily_dates,big_daily_table)))</f>
        <v>#NAME?</v>
      </c>
    </row>
    <row r="1646" customFormat="false" ht="14.25" hidden="false" customHeight="false" outlineLevel="0" collapsed="false">
      <c r="B1646" s="7" t="n">
        <v>42551</v>
      </c>
      <c r="C1646" s="7" t="n">
        <f aca="false">B1646-WEEKDAY(B1646)+1</f>
        <v>42547</v>
      </c>
      <c r="D1646" s="1" t="e">
        <f aca="false" t="array" ref="D1646:D1646">IF(ISBLANK(_xlfn.xlookup(D$3,daily_items,_xlfn.xlookup($C1646,daily_dates,big_daily_table))),NA(),_xlfn.xlookup(D$3,daily_items,_xlfn.xlookup($C1646,daily_dates,big_daily_table)))</f>
        <v>#NAME?</v>
      </c>
      <c r="E1646" s="1" t="e">
        <f aca="false" t="array" ref="E1646:E1646">IF(ISBLANK(_xlfn.xlookup(E$3,daily_items,_xlfn.xlookup($C1646,daily_dates,big_daily_table))),NA(),_xlfn.xlookup(E$3,daily_items,_xlfn.xlookup($C1646,daily_dates,big_daily_table)))</f>
        <v>#NAME?</v>
      </c>
    </row>
    <row r="1647" customFormat="false" ht="14.25" hidden="false" customHeight="false" outlineLevel="0" collapsed="false">
      <c r="B1647" s="7" t="n">
        <v>42552</v>
      </c>
      <c r="C1647" s="7" t="n">
        <f aca="false">B1647-WEEKDAY(B1647)+1</f>
        <v>42547</v>
      </c>
      <c r="D1647" s="1" t="e">
        <f aca="false" t="array" ref="D1647:D1647">IF(ISBLANK(_xlfn.xlookup(D$3,daily_items,_xlfn.xlookup($C1647,daily_dates,big_daily_table))),NA(),_xlfn.xlookup(D$3,daily_items,_xlfn.xlookup($C1647,daily_dates,big_daily_table)))</f>
        <v>#NAME?</v>
      </c>
      <c r="E1647" s="1" t="e">
        <f aca="false" t="array" ref="E1647:E1647">IF(ISBLANK(_xlfn.xlookup(E$3,daily_items,_xlfn.xlookup($C1647,daily_dates,big_daily_table))),NA(),_xlfn.xlookup(E$3,daily_items,_xlfn.xlookup($C1647,daily_dates,big_daily_table)))</f>
        <v>#NAME?</v>
      </c>
    </row>
    <row r="1648" customFormat="false" ht="14.25" hidden="false" customHeight="false" outlineLevel="0" collapsed="false">
      <c r="B1648" s="7" t="n">
        <v>42553</v>
      </c>
      <c r="C1648" s="7" t="n">
        <f aca="false">B1648-WEEKDAY(B1648)+1</f>
        <v>42547</v>
      </c>
      <c r="D1648" s="1" t="e">
        <f aca="false" t="array" ref="D1648:D1648">IF(ISBLANK(_xlfn.xlookup(D$3,daily_items,_xlfn.xlookup($C1648,daily_dates,big_daily_table))),NA(),_xlfn.xlookup(D$3,daily_items,_xlfn.xlookup($C1648,daily_dates,big_daily_table)))</f>
        <v>#NAME?</v>
      </c>
      <c r="E1648" s="1" t="e">
        <f aca="false" t="array" ref="E1648:E1648">IF(ISBLANK(_xlfn.xlookup(E$3,daily_items,_xlfn.xlookup($C1648,daily_dates,big_daily_table))),NA(),_xlfn.xlookup(E$3,daily_items,_xlfn.xlookup($C1648,daily_dates,big_daily_table)))</f>
        <v>#NAME?</v>
      </c>
    </row>
    <row r="1649" customFormat="false" ht="14.25" hidden="false" customHeight="false" outlineLevel="0" collapsed="false">
      <c r="B1649" s="7" t="n">
        <v>42554</v>
      </c>
      <c r="C1649" s="7" t="n">
        <f aca="false">B1649-WEEKDAY(B1649)+1</f>
        <v>42554</v>
      </c>
      <c r="D1649" s="1" t="e">
        <f aca="false" t="array" ref="D1649:D1649">IF(ISBLANK(_xlfn.xlookup(D$3,daily_items,_xlfn.xlookup($C1649,daily_dates,big_daily_table))),NA(),_xlfn.xlookup(D$3,daily_items,_xlfn.xlookup($C1649,daily_dates,big_daily_table)))</f>
        <v>#NAME?</v>
      </c>
      <c r="E1649" s="1" t="e">
        <f aca="false" t="array" ref="E1649:E1649">IF(ISBLANK(_xlfn.xlookup(E$3,daily_items,_xlfn.xlookup($C1649,daily_dates,big_daily_table))),NA(),_xlfn.xlookup(E$3,daily_items,_xlfn.xlookup($C1649,daily_dates,big_daily_table)))</f>
        <v>#NAME?</v>
      </c>
    </row>
    <row r="1650" customFormat="false" ht="14.25" hidden="false" customHeight="false" outlineLevel="0" collapsed="false">
      <c r="B1650" s="7" t="n">
        <v>42555</v>
      </c>
      <c r="C1650" s="7" t="n">
        <f aca="false">B1650-WEEKDAY(B1650)+1</f>
        <v>42554</v>
      </c>
      <c r="D1650" s="1" t="e">
        <f aca="false" t="array" ref="D1650:D1650">IF(ISBLANK(_xlfn.xlookup(D$3,daily_items,_xlfn.xlookup($C1650,daily_dates,big_daily_table))),NA(),_xlfn.xlookup(D$3,daily_items,_xlfn.xlookup($C1650,daily_dates,big_daily_table)))</f>
        <v>#NAME?</v>
      </c>
      <c r="E1650" s="1" t="e">
        <f aca="false" t="array" ref="E1650:E1650">IF(ISBLANK(_xlfn.xlookup(E$3,daily_items,_xlfn.xlookup($C1650,daily_dates,big_daily_table))),NA(),_xlfn.xlookup(E$3,daily_items,_xlfn.xlookup($C1650,daily_dates,big_daily_table)))</f>
        <v>#NAME?</v>
      </c>
    </row>
    <row r="1651" customFormat="false" ht="14.25" hidden="false" customHeight="false" outlineLevel="0" collapsed="false">
      <c r="B1651" s="7" t="n">
        <v>42556</v>
      </c>
      <c r="C1651" s="7" t="n">
        <f aca="false">B1651-WEEKDAY(B1651)+1</f>
        <v>42554</v>
      </c>
      <c r="D1651" s="1" t="e">
        <f aca="false" t="array" ref="D1651:D1651">IF(ISBLANK(_xlfn.xlookup(D$3,daily_items,_xlfn.xlookup($C1651,daily_dates,big_daily_table))),NA(),_xlfn.xlookup(D$3,daily_items,_xlfn.xlookup($C1651,daily_dates,big_daily_table)))</f>
        <v>#NAME?</v>
      </c>
      <c r="E1651" s="1" t="e">
        <f aca="false" t="array" ref="E1651:E1651">IF(ISBLANK(_xlfn.xlookup(E$3,daily_items,_xlfn.xlookup($C1651,daily_dates,big_daily_table))),NA(),_xlfn.xlookup(E$3,daily_items,_xlfn.xlookup($C1651,daily_dates,big_daily_table)))</f>
        <v>#NAME?</v>
      </c>
    </row>
    <row r="1652" customFormat="false" ht="14.25" hidden="false" customHeight="false" outlineLevel="0" collapsed="false">
      <c r="B1652" s="7" t="n">
        <v>42557</v>
      </c>
      <c r="C1652" s="7" t="n">
        <f aca="false">B1652-WEEKDAY(B1652)+1</f>
        <v>42554</v>
      </c>
      <c r="D1652" s="1" t="e">
        <f aca="false" t="array" ref="D1652:D1652">IF(ISBLANK(_xlfn.xlookup(D$3,daily_items,_xlfn.xlookup($C1652,daily_dates,big_daily_table))),NA(),_xlfn.xlookup(D$3,daily_items,_xlfn.xlookup($C1652,daily_dates,big_daily_table)))</f>
        <v>#NAME?</v>
      </c>
      <c r="E1652" s="1" t="e">
        <f aca="false" t="array" ref="E1652:E1652">IF(ISBLANK(_xlfn.xlookup(E$3,daily_items,_xlfn.xlookup($C1652,daily_dates,big_daily_table))),NA(),_xlfn.xlookup(E$3,daily_items,_xlfn.xlookup($C1652,daily_dates,big_daily_table)))</f>
        <v>#NAME?</v>
      </c>
    </row>
    <row r="1653" customFormat="false" ht="14.25" hidden="false" customHeight="false" outlineLevel="0" collapsed="false">
      <c r="B1653" s="7" t="n">
        <v>42558</v>
      </c>
      <c r="C1653" s="7" t="n">
        <f aca="false">B1653-WEEKDAY(B1653)+1</f>
        <v>42554</v>
      </c>
      <c r="D1653" s="1" t="e">
        <f aca="false" t="array" ref="D1653:D1653">IF(ISBLANK(_xlfn.xlookup(D$3,daily_items,_xlfn.xlookup($C1653,daily_dates,big_daily_table))),NA(),_xlfn.xlookup(D$3,daily_items,_xlfn.xlookup($C1653,daily_dates,big_daily_table)))</f>
        <v>#NAME?</v>
      </c>
      <c r="E1653" s="1" t="e">
        <f aca="false" t="array" ref="E1653:E1653">IF(ISBLANK(_xlfn.xlookup(E$3,daily_items,_xlfn.xlookup($C1653,daily_dates,big_daily_table))),NA(),_xlfn.xlookup(E$3,daily_items,_xlfn.xlookup($C1653,daily_dates,big_daily_table)))</f>
        <v>#NAME?</v>
      </c>
    </row>
    <row r="1654" customFormat="false" ht="14.25" hidden="false" customHeight="false" outlineLevel="0" collapsed="false">
      <c r="B1654" s="7" t="n">
        <v>42559</v>
      </c>
      <c r="C1654" s="7" t="n">
        <f aca="false">B1654-WEEKDAY(B1654)+1</f>
        <v>42554</v>
      </c>
      <c r="D1654" s="1" t="e">
        <f aca="false" t="array" ref="D1654:D1654">IF(ISBLANK(_xlfn.xlookup(D$3,daily_items,_xlfn.xlookup($C1654,daily_dates,big_daily_table))),NA(),_xlfn.xlookup(D$3,daily_items,_xlfn.xlookup($C1654,daily_dates,big_daily_table)))</f>
        <v>#NAME?</v>
      </c>
      <c r="E1654" s="1" t="e">
        <f aca="false" t="array" ref="E1654:E1654">IF(ISBLANK(_xlfn.xlookup(E$3,daily_items,_xlfn.xlookup($C1654,daily_dates,big_daily_table))),NA(),_xlfn.xlookup(E$3,daily_items,_xlfn.xlookup($C1654,daily_dates,big_daily_table)))</f>
        <v>#NAME?</v>
      </c>
    </row>
    <row r="1655" customFormat="false" ht="14.25" hidden="false" customHeight="false" outlineLevel="0" collapsed="false">
      <c r="B1655" s="7" t="n">
        <v>42560</v>
      </c>
      <c r="C1655" s="7" t="n">
        <f aca="false">B1655-WEEKDAY(B1655)+1</f>
        <v>42554</v>
      </c>
      <c r="D1655" s="1" t="e">
        <f aca="false" t="array" ref="D1655:D1655">IF(ISBLANK(_xlfn.xlookup(D$3,daily_items,_xlfn.xlookup($C1655,daily_dates,big_daily_table))),NA(),_xlfn.xlookup(D$3,daily_items,_xlfn.xlookup($C1655,daily_dates,big_daily_table)))</f>
        <v>#NAME?</v>
      </c>
      <c r="E1655" s="1" t="e">
        <f aca="false" t="array" ref="E1655:E1655">IF(ISBLANK(_xlfn.xlookup(E$3,daily_items,_xlfn.xlookup($C1655,daily_dates,big_daily_table))),NA(),_xlfn.xlookup(E$3,daily_items,_xlfn.xlookup($C1655,daily_dates,big_daily_table)))</f>
        <v>#NAME?</v>
      </c>
    </row>
    <row r="1656" customFormat="false" ht="14.25" hidden="false" customHeight="false" outlineLevel="0" collapsed="false">
      <c r="B1656" s="7" t="n">
        <v>42561</v>
      </c>
      <c r="C1656" s="7" t="n">
        <f aca="false">B1656-WEEKDAY(B1656)+1</f>
        <v>42561</v>
      </c>
      <c r="D1656" s="1" t="e">
        <f aca="false" t="array" ref="D1656:D1656">IF(ISBLANK(_xlfn.xlookup(D$3,daily_items,_xlfn.xlookup($C1656,daily_dates,big_daily_table))),NA(),_xlfn.xlookup(D$3,daily_items,_xlfn.xlookup($C1656,daily_dates,big_daily_table)))</f>
        <v>#NAME?</v>
      </c>
      <c r="E1656" s="1" t="e">
        <f aca="false" t="array" ref="E1656:E1656">IF(ISBLANK(_xlfn.xlookup(E$3,daily_items,_xlfn.xlookup($C1656,daily_dates,big_daily_table))),NA(),_xlfn.xlookup(E$3,daily_items,_xlfn.xlookup($C1656,daily_dates,big_daily_table)))</f>
        <v>#NAME?</v>
      </c>
    </row>
    <row r="1657" customFormat="false" ht="14.25" hidden="false" customHeight="false" outlineLevel="0" collapsed="false">
      <c r="B1657" s="7" t="n">
        <v>42562</v>
      </c>
      <c r="C1657" s="7" t="n">
        <f aca="false">B1657-WEEKDAY(B1657)+1</f>
        <v>42561</v>
      </c>
      <c r="D1657" s="1" t="e">
        <f aca="false" t="array" ref="D1657:D1657">IF(ISBLANK(_xlfn.xlookup(D$3,daily_items,_xlfn.xlookup($C1657,daily_dates,big_daily_table))),NA(),_xlfn.xlookup(D$3,daily_items,_xlfn.xlookup($C1657,daily_dates,big_daily_table)))</f>
        <v>#NAME?</v>
      </c>
      <c r="E1657" s="1" t="e">
        <f aca="false" t="array" ref="E1657:E1657">IF(ISBLANK(_xlfn.xlookup(E$3,daily_items,_xlfn.xlookup($C1657,daily_dates,big_daily_table))),NA(),_xlfn.xlookup(E$3,daily_items,_xlfn.xlookup($C1657,daily_dates,big_daily_table)))</f>
        <v>#NAME?</v>
      </c>
    </row>
    <row r="1658" customFormat="false" ht="14.25" hidden="false" customHeight="false" outlineLevel="0" collapsed="false">
      <c r="B1658" s="7" t="n">
        <v>42563</v>
      </c>
      <c r="C1658" s="7" t="n">
        <f aca="false">B1658-WEEKDAY(B1658)+1</f>
        <v>42561</v>
      </c>
      <c r="D1658" s="1" t="e">
        <f aca="false" t="array" ref="D1658:D1658">IF(ISBLANK(_xlfn.xlookup(D$3,daily_items,_xlfn.xlookup($C1658,daily_dates,big_daily_table))),NA(),_xlfn.xlookup(D$3,daily_items,_xlfn.xlookup($C1658,daily_dates,big_daily_table)))</f>
        <v>#NAME?</v>
      </c>
      <c r="E1658" s="1" t="e">
        <f aca="false" t="array" ref="E1658:E1658">IF(ISBLANK(_xlfn.xlookup(E$3,daily_items,_xlfn.xlookup($C1658,daily_dates,big_daily_table))),NA(),_xlfn.xlookup(E$3,daily_items,_xlfn.xlookup($C1658,daily_dates,big_daily_table)))</f>
        <v>#NAME?</v>
      </c>
    </row>
    <row r="1659" customFormat="false" ht="14.25" hidden="false" customHeight="false" outlineLevel="0" collapsed="false">
      <c r="B1659" s="7" t="n">
        <v>42564</v>
      </c>
      <c r="C1659" s="7" t="n">
        <f aca="false">B1659-WEEKDAY(B1659)+1</f>
        <v>42561</v>
      </c>
      <c r="D1659" s="1" t="e">
        <f aca="false" t="array" ref="D1659:D1659">IF(ISBLANK(_xlfn.xlookup(D$3,daily_items,_xlfn.xlookup($C1659,daily_dates,big_daily_table))),NA(),_xlfn.xlookup(D$3,daily_items,_xlfn.xlookup($C1659,daily_dates,big_daily_table)))</f>
        <v>#NAME?</v>
      </c>
      <c r="E1659" s="1" t="e">
        <f aca="false" t="array" ref="E1659:E1659">IF(ISBLANK(_xlfn.xlookup(E$3,daily_items,_xlfn.xlookup($C1659,daily_dates,big_daily_table))),NA(),_xlfn.xlookup(E$3,daily_items,_xlfn.xlookup($C1659,daily_dates,big_daily_table)))</f>
        <v>#NAME?</v>
      </c>
    </row>
    <row r="1660" customFormat="false" ht="14.25" hidden="false" customHeight="false" outlineLevel="0" collapsed="false">
      <c r="B1660" s="7" t="n">
        <v>42565</v>
      </c>
      <c r="C1660" s="7" t="n">
        <f aca="false">B1660-WEEKDAY(B1660)+1</f>
        <v>42561</v>
      </c>
      <c r="D1660" s="1" t="e">
        <f aca="false" t="array" ref="D1660:D1660">IF(ISBLANK(_xlfn.xlookup(D$3,daily_items,_xlfn.xlookup($C1660,daily_dates,big_daily_table))),NA(),_xlfn.xlookup(D$3,daily_items,_xlfn.xlookup($C1660,daily_dates,big_daily_table)))</f>
        <v>#NAME?</v>
      </c>
      <c r="E1660" s="1" t="e">
        <f aca="false" t="array" ref="E1660:E1660">IF(ISBLANK(_xlfn.xlookup(E$3,daily_items,_xlfn.xlookup($C1660,daily_dates,big_daily_table))),NA(),_xlfn.xlookup(E$3,daily_items,_xlfn.xlookup($C1660,daily_dates,big_daily_table)))</f>
        <v>#NAME?</v>
      </c>
    </row>
    <row r="1661" customFormat="false" ht="14.25" hidden="false" customHeight="false" outlineLevel="0" collapsed="false">
      <c r="B1661" s="7" t="n">
        <v>42566</v>
      </c>
      <c r="C1661" s="7" t="n">
        <f aca="false">B1661-WEEKDAY(B1661)+1</f>
        <v>42561</v>
      </c>
      <c r="D1661" s="1" t="e">
        <f aca="false" t="array" ref="D1661:D1661">IF(ISBLANK(_xlfn.xlookup(D$3,daily_items,_xlfn.xlookup($C1661,daily_dates,big_daily_table))),NA(),_xlfn.xlookup(D$3,daily_items,_xlfn.xlookup($C1661,daily_dates,big_daily_table)))</f>
        <v>#NAME?</v>
      </c>
      <c r="E1661" s="1" t="e">
        <f aca="false" t="array" ref="E1661:E1661">IF(ISBLANK(_xlfn.xlookup(E$3,daily_items,_xlfn.xlookup($C1661,daily_dates,big_daily_table))),NA(),_xlfn.xlookup(E$3,daily_items,_xlfn.xlookup($C1661,daily_dates,big_daily_table)))</f>
        <v>#NAME?</v>
      </c>
    </row>
    <row r="1662" customFormat="false" ht="14.25" hidden="false" customHeight="false" outlineLevel="0" collapsed="false">
      <c r="B1662" s="7" t="n">
        <v>42567</v>
      </c>
      <c r="C1662" s="7" t="n">
        <f aca="false">B1662-WEEKDAY(B1662)+1</f>
        <v>42561</v>
      </c>
      <c r="D1662" s="1" t="e">
        <f aca="false" t="array" ref="D1662:D1662">IF(ISBLANK(_xlfn.xlookup(D$3,daily_items,_xlfn.xlookup($C1662,daily_dates,big_daily_table))),NA(),_xlfn.xlookup(D$3,daily_items,_xlfn.xlookup($C1662,daily_dates,big_daily_table)))</f>
        <v>#NAME?</v>
      </c>
      <c r="E1662" s="1" t="e">
        <f aca="false" t="array" ref="E1662:E1662">IF(ISBLANK(_xlfn.xlookup(E$3,daily_items,_xlfn.xlookup($C1662,daily_dates,big_daily_table))),NA(),_xlfn.xlookup(E$3,daily_items,_xlfn.xlookup($C1662,daily_dates,big_daily_table)))</f>
        <v>#NAME?</v>
      </c>
    </row>
    <row r="1663" customFormat="false" ht="14.25" hidden="false" customHeight="false" outlineLevel="0" collapsed="false">
      <c r="B1663" s="7" t="n">
        <v>42568</v>
      </c>
      <c r="C1663" s="7" t="n">
        <f aca="false">B1663-WEEKDAY(B1663)+1</f>
        <v>42568</v>
      </c>
      <c r="D1663" s="1" t="e">
        <f aca="false" t="array" ref="D1663:D1663">IF(ISBLANK(_xlfn.xlookup(D$3,daily_items,_xlfn.xlookup($C1663,daily_dates,big_daily_table))),NA(),_xlfn.xlookup(D$3,daily_items,_xlfn.xlookup($C1663,daily_dates,big_daily_table)))</f>
        <v>#NAME?</v>
      </c>
      <c r="E1663" s="1" t="e">
        <f aca="false" t="array" ref="E1663:E1663">IF(ISBLANK(_xlfn.xlookup(E$3,daily_items,_xlfn.xlookup($C1663,daily_dates,big_daily_table))),NA(),_xlfn.xlookup(E$3,daily_items,_xlfn.xlookup($C1663,daily_dates,big_daily_table)))</f>
        <v>#NAME?</v>
      </c>
    </row>
    <row r="1664" customFormat="false" ht="14.25" hidden="false" customHeight="false" outlineLevel="0" collapsed="false">
      <c r="B1664" s="7" t="n">
        <v>42569</v>
      </c>
      <c r="C1664" s="7" t="n">
        <f aca="false">B1664-WEEKDAY(B1664)+1</f>
        <v>42568</v>
      </c>
      <c r="D1664" s="1" t="e">
        <f aca="false" t="array" ref="D1664:D1664">IF(ISBLANK(_xlfn.xlookup(D$3,daily_items,_xlfn.xlookup($C1664,daily_dates,big_daily_table))),NA(),_xlfn.xlookup(D$3,daily_items,_xlfn.xlookup($C1664,daily_dates,big_daily_table)))</f>
        <v>#NAME?</v>
      </c>
      <c r="E1664" s="1" t="e">
        <f aca="false" t="array" ref="E1664:E1664">IF(ISBLANK(_xlfn.xlookup(E$3,daily_items,_xlfn.xlookup($C1664,daily_dates,big_daily_table))),NA(),_xlfn.xlookup(E$3,daily_items,_xlfn.xlookup($C1664,daily_dates,big_daily_table)))</f>
        <v>#NAME?</v>
      </c>
    </row>
    <row r="1665" customFormat="false" ht="14.25" hidden="false" customHeight="false" outlineLevel="0" collapsed="false">
      <c r="B1665" s="7" t="n">
        <v>42570</v>
      </c>
      <c r="C1665" s="7" t="n">
        <f aca="false">B1665-WEEKDAY(B1665)+1</f>
        <v>42568</v>
      </c>
      <c r="D1665" s="1" t="e">
        <f aca="false" t="array" ref="D1665:D1665">IF(ISBLANK(_xlfn.xlookup(D$3,daily_items,_xlfn.xlookup($C1665,daily_dates,big_daily_table))),NA(),_xlfn.xlookup(D$3,daily_items,_xlfn.xlookup($C1665,daily_dates,big_daily_table)))</f>
        <v>#NAME?</v>
      </c>
      <c r="E1665" s="1" t="e">
        <f aca="false" t="array" ref="E1665:E1665">IF(ISBLANK(_xlfn.xlookup(E$3,daily_items,_xlfn.xlookup($C1665,daily_dates,big_daily_table))),NA(),_xlfn.xlookup(E$3,daily_items,_xlfn.xlookup($C1665,daily_dates,big_daily_table)))</f>
        <v>#NAME?</v>
      </c>
    </row>
    <row r="1666" customFormat="false" ht="14.25" hidden="false" customHeight="false" outlineLevel="0" collapsed="false">
      <c r="B1666" s="7" t="n">
        <v>42571</v>
      </c>
      <c r="C1666" s="7" t="n">
        <f aca="false">B1666-WEEKDAY(B1666)+1</f>
        <v>42568</v>
      </c>
      <c r="D1666" s="1" t="e">
        <f aca="false" t="array" ref="D1666:D1666">IF(ISBLANK(_xlfn.xlookup(D$3,daily_items,_xlfn.xlookup($C1666,daily_dates,big_daily_table))),NA(),_xlfn.xlookup(D$3,daily_items,_xlfn.xlookup($C1666,daily_dates,big_daily_table)))</f>
        <v>#NAME?</v>
      </c>
      <c r="E1666" s="1" t="e">
        <f aca="false" t="array" ref="E1666:E1666">IF(ISBLANK(_xlfn.xlookup(E$3,daily_items,_xlfn.xlookup($C1666,daily_dates,big_daily_table))),NA(),_xlfn.xlookup(E$3,daily_items,_xlfn.xlookup($C1666,daily_dates,big_daily_table)))</f>
        <v>#NAME?</v>
      </c>
    </row>
    <row r="1667" customFormat="false" ht="14.25" hidden="false" customHeight="false" outlineLevel="0" collapsed="false">
      <c r="B1667" s="7" t="n">
        <v>42572</v>
      </c>
      <c r="C1667" s="7" t="n">
        <f aca="false">B1667-WEEKDAY(B1667)+1</f>
        <v>42568</v>
      </c>
      <c r="D1667" s="1" t="e">
        <f aca="false" t="array" ref="D1667:D1667">IF(ISBLANK(_xlfn.xlookup(D$3,daily_items,_xlfn.xlookup($C1667,daily_dates,big_daily_table))),NA(),_xlfn.xlookup(D$3,daily_items,_xlfn.xlookup($C1667,daily_dates,big_daily_table)))</f>
        <v>#NAME?</v>
      </c>
      <c r="E1667" s="1" t="e">
        <f aca="false" t="array" ref="E1667:E1667">IF(ISBLANK(_xlfn.xlookup(E$3,daily_items,_xlfn.xlookup($C1667,daily_dates,big_daily_table))),NA(),_xlfn.xlookup(E$3,daily_items,_xlfn.xlookup($C1667,daily_dates,big_daily_table)))</f>
        <v>#NAME?</v>
      </c>
    </row>
    <row r="1668" customFormat="false" ht="14.25" hidden="false" customHeight="false" outlineLevel="0" collapsed="false">
      <c r="B1668" s="7" t="n">
        <v>42573</v>
      </c>
      <c r="C1668" s="7" t="n">
        <f aca="false">B1668-WEEKDAY(B1668)+1</f>
        <v>42568</v>
      </c>
      <c r="D1668" s="1" t="e">
        <f aca="false" t="array" ref="D1668:D1668">IF(ISBLANK(_xlfn.xlookup(D$3,daily_items,_xlfn.xlookup($C1668,daily_dates,big_daily_table))),NA(),_xlfn.xlookup(D$3,daily_items,_xlfn.xlookup($C1668,daily_dates,big_daily_table)))</f>
        <v>#NAME?</v>
      </c>
      <c r="E1668" s="1" t="e">
        <f aca="false" t="array" ref="E1668:E1668">IF(ISBLANK(_xlfn.xlookup(E$3,daily_items,_xlfn.xlookup($C1668,daily_dates,big_daily_table))),NA(),_xlfn.xlookup(E$3,daily_items,_xlfn.xlookup($C1668,daily_dates,big_daily_table)))</f>
        <v>#NAME?</v>
      </c>
    </row>
    <row r="1669" customFormat="false" ht="14.25" hidden="false" customHeight="false" outlineLevel="0" collapsed="false">
      <c r="B1669" s="7" t="n">
        <v>42574</v>
      </c>
      <c r="C1669" s="7" t="n">
        <f aca="false">B1669-WEEKDAY(B1669)+1</f>
        <v>42568</v>
      </c>
      <c r="D1669" s="1" t="e">
        <f aca="false" t="array" ref="D1669:D1669">IF(ISBLANK(_xlfn.xlookup(D$3,daily_items,_xlfn.xlookup($C1669,daily_dates,big_daily_table))),NA(),_xlfn.xlookup(D$3,daily_items,_xlfn.xlookup($C1669,daily_dates,big_daily_table)))</f>
        <v>#NAME?</v>
      </c>
      <c r="E1669" s="1" t="e">
        <f aca="false" t="array" ref="E1669:E1669">IF(ISBLANK(_xlfn.xlookup(E$3,daily_items,_xlfn.xlookup($C1669,daily_dates,big_daily_table))),NA(),_xlfn.xlookup(E$3,daily_items,_xlfn.xlookup($C1669,daily_dates,big_daily_table)))</f>
        <v>#NAME?</v>
      </c>
    </row>
    <row r="1670" customFormat="false" ht="14.25" hidden="false" customHeight="false" outlineLevel="0" collapsed="false">
      <c r="B1670" s="7" t="n">
        <v>42575</v>
      </c>
      <c r="C1670" s="7" t="n">
        <f aca="false">B1670-WEEKDAY(B1670)+1</f>
        <v>42575</v>
      </c>
      <c r="D1670" s="1" t="e">
        <f aca="false" t="array" ref="D1670:D1670">IF(ISBLANK(_xlfn.xlookup(D$3,daily_items,_xlfn.xlookup($C1670,daily_dates,big_daily_table))),NA(),_xlfn.xlookup(D$3,daily_items,_xlfn.xlookup($C1670,daily_dates,big_daily_table)))</f>
        <v>#NAME?</v>
      </c>
      <c r="E1670" s="1" t="e">
        <f aca="false" t="array" ref="E1670:E1670">IF(ISBLANK(_xlfn.xlookup(E$3,daily_items,_xlfn.xlookup($C1670,daily_dates,big_daily_table))),NA(),_xlfn.xlookup(E$3,daily_items,_xlfn.xlookup($C1670,daily_dates,big_daily_table)))</f>
        <v>#NAME?</v>
      </c>
    </row>
    <row r="1671" customFormat="false" ht="14.25" hidden="false" customHeight="false" outlineLevel="0" collapsed="false">
      <c r="B1671" s="7" t="n">
        <v>42576</v>
      </c>
      <c r="C1671" s="7" t="n">
        <f aca="false">B1671-WEEKDAY(B1671)+1</f>
        <v>42575</v>
      </c>
      <c r="D1671" s="1" t="e">
        <f aca="false" t="array" ref="D1671:D1671">IF(ISBLANK(_xlfn.xlookup(D$3,daily_items,_xlfn.xlookup($C1671,daily_dates,big_daily_table))),NA(),_xlfn.xlookup(D$3,daily_items,_xlfn.xlookup($C1671,daily_dates,big_daily_table)))</f>
        <v>#NAME?</v>
      </c>
      <c r="E1671" s="1" t="e">
        <f aca="false" t="array" ref="E1671:E1671">IF(ISBLANK(_xlfn.xlookup(E$3,daily_items,_xlfn.xlookup($C1671,daily_dates,big_daily_table))),NA(),_xlfn.xlookup(E$3,daily_items,_xlfn.xlookup($C1671,daily_dates,big_daily_table)))</f>
        <v>#NAME?</v>
      </c>
    </row>
    <row r="1672" customFormat="false" ht="14.25" hidden="false" customHeight="false" outlineLevel="0" collapsed="false">
      <c r="B1672" s="7" t="n">
        <v>42577</v>
      </c>
      <c r="C1672" s="7" t="n">
        <f aca="false">B1672-WEEKDAY(B1672)+1</f>
        <v>42575</v>
      </c>
      <c r="D1672" s="1" t="e">
        <f aca="false" t="array" ref="D1672:D1672">IF(ISBLANK(_xlfn.xlookup(D$3,daily_items,_xlfn.xlookup($C1672,daily_dates,big_daily_table))),NA(),_xlfn.xlookup(D$3,daily_items,_xlfn.xlookup($C1672,daily_dates,big_daily_table)))</f>
        <v>#NAME?</v>
      </c>
      <c r="E1672" s="1" t="e">
        <f aca="false" t="array" ref="E1672:E1672">IF(ISBLANK(_xlfn.xlookup(E$3,daily_items,_xlfn.xlookup($C1672,daily_dates,big_daily_table))),NA(),_xlfn.xlookup(E$3,daily_items,_xlfn.xlookup($C1672,daily_dates,big_daily_table)))</f>
        <v>#NAME?</v>
      </c>
    </row>
    <row r="1673" customFormat="false" ht="14.25" hidden="false" customHeight="false" outlineLevel="0" collapsed="false">
      <c r="B1673" s="7" t="n">
        <v>42578</v>
      </c>
      <c r="C1673" s="7" t="n">
        <f aca="false">B1673-WEEKDAY(B1673)+1</f>
        <v>42575</v>
      </c>
      <c r="D1673" s="1" t="e">
        <f aca="false" t="array" ref="D1673:D1673">IF(ISBLANK(_xlfn.xlookup(D$3,daily_items,_xlfn.xlookup($C1673,daily_dates,big_daily_table))),NA(),_xlfn.xlookup(D$3,daily_items,_xlfn.xlookup($C1673,daily_dates,big_daily_table)))</f>
        <v>#NAME?</v>
      </c>
      <c r="E1673" s="1" t="e">
        <f aca="false" t="array" ref="E1673:E1673">IF(ISBLANK(_xlfn.xlookup(E$3,daily_items,_xlfn.xlookup($C1673,daily_dates,big_daily_table))),NA(),_xlfn.xlookup(E$3,daily_items,_xlfn.xlookup($C1673,daily_dates,big_daily_table)))</f>
        <v>#NAME?</v>
      </c>
    </row>
    <row r="1674" customFormat="false" ht="14.25" hidden="false" customHeight="false" outlineLevel="0" collapsed="false">
      <c r="B1674" s="7" t="n">
        <v>42579</v>
      </c>
      <c r="C1674" s="7" t="n">
        <f aca="false">B1674-WEEKDAY(B1674)+1</f>
        <v>42575</v>
      </c>
      <c r="D1674" s="1" t="e">
        <f aca="false" t="array" ref="D1674:D1674">IF(ISBLANK(_xlfn.xlookup(D$3,daily_items,_xlfn.xlookup($C1674,daily_dates,big_daily_table))),NA(),_xlfn.xlookup(D$3,daily_items,_xlfn.xlookup($C1674,daily_dates,big_daily_table)))</f>
        <v>#NAME?</v>
      </c>
      <c r="E1674" s="1" t="e">
        <f aca="false" t="array" ref="E1674:E1674">IF(ISBLANK(_xlfn.xlookup(E$3,daily_items,_xlfn.xlookup($C1674,daily_dates,big_daily_table))),NA(),_xlfn.xlookup(E$3,daily_items,_xlfn.xlookup($C1674,daily_dates,big_daily_table)))</f>
        <v>#NAME?</v>
      </c>
    </row>
    <row r="1675" customFormat="false" ht="14.25" hidden="false" customHeight="false" outlineLevel="0" collapsed="false">
      <c r="B1675" s="7" t="n">
        <v>42580</v>
      </c>
      <c r="C1675" s="7" t="n">
        <f aca="false">B1675-WEEKDAY(B1675)+1</f>
        <v>42575</v>
      </c>
      <c r="D1675" s="1" t="e">
        <f aca="false" t="array" ref="D1675:D1675">IF(ISBLANK(_xlfn.xlookup(D$3,daily_items,_xlfn.xlookup($C1675,daily_dates,big_daily_table))),NA(),_xlfn.xlookup(D$3,daily_items,_xlfn.xlookup($C1675,daily_dates,big_daily_table)))</f>
        <v>#NAME?</v>
      </c>
      <c r="E1675" s="1" t="e">
        <f aca="false" t="array" ref="E1675:E1675">IF(ISBLANK(_xlfn.xlookup(E$3,daily_items,_xlfn.xlookup($C1675,daily_dates,big_daily_table))),NA(),_xlfn.xlookup(E$3,daily_items,_xlfn.xlookup($C1675,daily_dates,big_daily_table)))</f>
        <v>#NAME?</v>
      </c>
    </row>
    <row r="1676" customFormat="false" ht="14.25" hidden="false" customHeight="false" outlineLevel="0" collapsed="false">
      <c r="B1676" s="7" t="n">
        <v>42581</v>
      </c>
      <c r="C1676" s="7" t="n">
        <f aca="false">B1676-WEEKDAY(B1676)+1</f>
        <v>42575</v>
      </c>
      <c r="D1676" s="1" t="e">
        <f aca="false" t="array" ref="D1676:D1676">IF(ISBLANK(_xlfn.xlookup(D$3,daily_items,_xlfn.xlookup($C1676,daily_dates,big_daily_table))),NA(),_xlfn.xlookup(D$3,daily_items,_xlfn.xlookup($C1676,daily_dates,big_daily_table)))</f>
        <v>#NAME?</v>
      </c>
      <c r="E1676" s="1" t="e">
        <f aca="false" t="array" ref="E1676:E1676">IF(ISBLANK(_xlfn.xlookup(E$3,daily_items,_xlfn.xlookup($C1676,daily_dates,big_daily_table))),NA(),_xlfn.xlookup(E$3,daily_items,_xlfn.xlookup($C1676,daily_dates,big_daily_table)))</f>
        <v>#NAME?</v>
      </c>
    </row>
    <row r="1677" customFormat="false" ht="14.25" hidden="false" customHeight="false" outlineLevel="0" collapsed="false">
      <c r="B1677" s="7" t="n">
        <v>42582</v>
      </c>
      <c r="C1677" s="7" t="n">
        <f aca="false">B1677-WEEKDAY(B1677)+1</f>
        <v>42582</v>
      </c>
      <c r="D1677" s="1" t="e">
        <f aca="false" t="array" ref="D1677:D1677">IF(ISBLANK(_xlfn.xlookup(D$3,daily_items,_xlfn.xlookup($C1677,daily_dates,big_daily_table))),NA(),_xlfn.xlookup(D$3,daily_items,_xlfn.xlookup($C1677,daily_dates,big_daily_table)))</f>
        <v>#NAME?</v>
      </c>
      <c r="E1677" s="1" t="e">
        <f aca="false" t="array" ref="E1677:E1677">IF(ISBLANK(_xlfn.xlookup(E$3,daily_items,_xlfn.xlookup($C1677,daily_dates,big_daily_table))),NA(),_xlfn.xlookup(E$3,daily_items,_xlfn.xlookup($C1677,daily_dates,big_daily_table)))</f>
        <v>#NAME?</v>
      </c>
    </row>
    <row r="1678" customFormat="false" ht="14.25" hidden="false" customHeight="false" outlineLevel="0" collapsed="false">
      <c r="B1678" s="7" t="n">
        <v>42583</v>
      </c>
      <c r="C1678" s="7" t="n">
        <f aca="false">B1678-WEEKDAY(B1678)+1</f>
        <v>42582</v>
      </c>
      <c r="D1678" s="1" t="e">
        <f aca="false" t="array" ref="D1678:D1678">IF(ISBLANK(_xlfn.xlookup(D$3,daily_items,_xlfn.xlookup($C1678,daily_dates,big_daily_table))),NA(),_xlfn.xlookup(D$3,daily_items,_xlfn.xlookup($C1678,daily_dates,big_daily_table)))</f>
        <v>#NAME?</v>
      </c>
      <c r="E1678" s="1" t="e">
        <f aca="false" t="array" ref="E1678:E1678">IF(ISBLANK(_xlfn.xlookup(E$3,daily_items,_xlfn.xlookup($C1678,daily_dates,big_daily_table))),NA(),_xlfn.xlookup(E$3,daily_items,_xlfn.xlookup($C1678,daily_dates,big_daily_table)))</f>
        <v>#NAME?</v>
      </c>
    </row>
    <row r="1679" customFormat="false" ht="14.25" hidden="false" customHeight="false" outlineLevel="0" collapsed="false">
      <c r="B1679" s="7" t="n">
        <v>42584</v>
      </c>
      <c r="C1679" s="7" t="n">
        <f aca="false">B1679-WEEKDAY(B1679)+1</f>
        <v>42582</v>
      </c>
      <c r="D1679" s="1" t="e">
        <f aca="false" t="array" ref="D1679:D1679">IF(ISBLANK(_xlfn.xlookup(D$3,daily_items,_xlfn.xlookup($C1679,daily_dates,big_daily_table))),NA(),_xlfn.xlookup(D$3,daily_items,_xlfn.xlookup($C1679,daily_dates,big_daily_table)))</f>
        <v>#NAME?</v>
      </c>
      <c r="E1679" s="1" t="e">
        <f aca="false" t="array" ref="E1679:E1679">IF(ISBLANK(_xlfn.xlookup(E$3,daily_items,_xlfn.xlookup($C1679,daily_dates,big_daily_table))),NA(),_xlfn.xlookup(E$3,daily_items,_xlfn.xlookup($C1679,daily_dates,big_daily_table)))</f>
        <v>#NAME?</v>
      </c>
    </row>
    <row r="1680" customFormat="false" ht="14.25" hidden="false" customHeight="false" outlineLevel="0" collapsed="false">
      <c r="B1680" s="7" t="n">
        <v>42585</v>
      </c>
      <c r="C1680" s="7" t="n">
        <f aca="false">B1680-WEEKDAY(B1680)+1</f>
        <v>42582</v>
      </c>
      <c r="D1680" s="1" t="e">
        <f aca="false" t="array" ref="D1680:D1680">IF(ISBLANK(_xlfn.xlookup(D$3,daily_items,_xlfn.xlookup($C1680,daily_dates,big_daily_table))),NA(),_xlfn.xlookup(D$3,daily_items,_xlfn.xlookup($C1680,daily_dates,big_daily_table)))</f>
        <v>#NAME?</v>
      </c>
      <c r="E1680" s="1" t="e">
        <f aca="false" t="array" ref="E1680:E1680">IF(ISBLANK(_xlfn.xlookup(E$3,daily_items,_xlfn.xlookup($C1680,daily_dates,big_daily_table))),NA(),_xlfn.xlookup(E$3,daily_items,_xlfn.xlookup($C1680,daily_dates,big_daily_table)))</f>
        <v>#NAME?</v>
      </c>
    </row>
    <row r="1681" customFormat="false" ht="14.25" hidden="false" customHeight="false" outlineLevel="0" collapsed="false">
      <c r="B1681" s="7" t="n">
        <v>42586</v>
      </c>
      <c r="C1681" s="7" t="n">
        <f aca="false">B1681-WEEKDAY(B1681)+1</f>
        <v>42582</v>
      </c>
      <c r="D1681" s="1" t="e">
        <f aca="false" t="array" ref="D1681:D1681">IF(ISBLANK(_xlfn.xlookup(D$3,daily_items,_xlfn.xlookup($C1681,daily_dates,big_daily_table))),NA(),_xlfn.xlookup(D$3,daily_items,_xlfn.xlookup($C1681,daily_dates,big_daily_table)))</f>
        <v>#NAME?</v>
      </c>
      <c r="E1681" s="1" t="e">
        <f aca="false" t="array" ref="E1681:E1681">IF(ISBLANK(_xlfn.xlookup(E$3,daily_items,_xlfn.xlookup($C1681,daily_dates,big_daily_table))),NA(),_xlfn.xlookup(E$3,daily_items,_xlfn.xlookup($C1681,daily_dates,big_daily_table)))</f>
        <v>#NAME?</v>
      </c>
    </row>
    <row r="1682" customFormat="false" ht="14.25" hidden="false" customHeight="false" outlineLevel="0" collapsed="false">
      <c r="B1682" s="7" t="n">
        <v>42587</v>
      </c>
      <c r="C1682" s="7" t="n">
        <f aca="false">B1682-WEEKDAY(B1682)+1</f>
        <v>42582</v>
      </c>
      <c r="D1682" s="1" t="e">
        <f aca="false" t="array" ref="D1682:D1682">IF(ISBLANK(_xlfn.xlookup(D$3,daily_items,_xlfn.xlookup($C1682,daily_dates,big_daily_table))),NA(),_xlfn.xlookup(D$3,daily_items,_xlfn.xlookup($C1682,daily_dates,big_daily_table)))</f>
        <v>#NAME?</v>
      </c>
      <c r="E1682" s="1" t="e">
        <f aca="false" t="array" ref="E1682:E1682">IF(ISBLANK(_xlfn.xlookup(E$3,daily_items,_xlfn.xlookup($C1682,daily_dates,big_daily_table))),NA(),_xlfn.xlookup(E$3,daily_items,_xlfn.xlookup($C1682,daily_dates,big_daily_table)))</f>
        <v>#NAME?</v>
      </c>
    </row>
    <row r="1683" customFormat="false" ht="14.25" hidden="false" customHeight="false" outlineLevel="0" collapsed="false">
      <c r="B1683" s="7" t="n">
        <v>42588</v>
      </c>
      <c r="C1683" s="7" t="n">
        <f aca="false">B1683-WEEKDAY(B1683)+1</f>
        <v>42582</v>
      </c>
      <c r="D1683" s="1" t="e">
        <f aca="false" t="array" ref="D1683:D1683">IF(ISBLANK(_xlfn.xlookup(D$3,daily_items,_xlfn.xlookup($C1683,daily_dates,big_daily_table))),NA(),_xlfn.xlookup(D$3,daily_items,_xlfn.xlookup($C1683,daily_dates,big_daily_table)))</f>
        <v>#NAME?</v>
      </c>
      <c r="E1683" s="1" t="e">
        <f aca="false" t="array" ref="E1683:E1683">IF(ISBLANK(_xlfn.xlookup(E$3,daily_items,_xlfn.xlookup($C1683,daily_dates,big_daily_table))),NA(),_xlfn.xlookup(E$3,daily_items,_xlfn.xlookup($C1683,daily_dates,big_daily_table)))</f>
        <v>#NAME?</v>
      </c>
    </row>
    <row r="1684" customFormat="false" ht="14.25" hidden="false" customHeight="false" outlineLevel="0" collapsed="false">
      <c r="B1684" s="7" t="n">
        <v>42589</v>
      </c>
      <c r="C1684" s="7" t="n">
        <f aca="false">B1684-WEEKDAY(B1684)+1</f>
        <v>42589</v>
      </c>
      <c r="D1684" s="1" t="e">
        <f aca="false" t="array" ref="D1684:D1684">IF(ISBLANK(_xlfn.xlookup(D$3,daily_items,_xlfn.xlookup($C1684,daily_dates,big_daily_table))),NA(),_xlfn.xlookup(D$3,daily_items,_xlfn.xlookup($C1684,daily_dates,big_daily_table)))</f>
        <v>#NAME?</v>
      </c>
      <c r="E1684" s="1" t="e">
        <f aca="false" t="array" ref="E1684:E1684">IF(ISBLANK(_xlfn.xlookup(E$3,daily_items,_xlfn.xlookup($C1684,daily_dates,big_daily_table))),NA(),_xlfn.xlookup(E$3,daily_items,_xlfn.xlookup($C1684,daily_dates,big_daily_table)))</f>
        <v>#NAME?</v>
      </c>
    </row>
    <row r="1685" customFormat="false" ht="14.25" hidden="false" customHeight="false" outlineLevel="0" collapsed="false">
      <c r="B1685" s="7" t="n">
        <v>42590</v>
      </c>
      <c r="C1685" s="7" t="n">
        <f aca="false">B1685-WEEKDAY(B1685)+1</f>
        <v>42589</v>
      </c>
      <c r="D1685" s="1" t="e">
        <f aca="false" t="array" ref="D1685:D1685">IF(ISBLANK(_xlfn.xlookup(D$3,daily_items,_xlfn.xlookup($C1685,daily_dates,big_daily_table))),NA(),_xlfn.xlookup(D$3,daily_items,_xlfn.xlookup($C1685,daily_dates,big_daily_table)))</f>
        <v>#NAME?</v>
      </c>
      <c r="E1685" s="1" t="e">
        <f aca="false" t="array" ref="E1685:E1685">IF(ISBLANK(_xlfn.xlookup(E$3,daily_items,_xlfn.xlookup($C1685,daily_dates,big_daily_table))),NA(),_xlfn.xlookup(E$3,daily_items,_xlfn.xlookup($C1685,daily_dates,big_daily_table)))</f>
        <v>#NAME?</v>
      </c>
    </row>
    <row r="1686" customFormat="false" ht="14.25" hidden="false" customHeight="false" outlineLevel="0" collapsed="false">
      <c r="B1686" s="7" t="n">
        <v>42591</v>
      </c>
      <c r="C1686" s="7" t="n">
        <f aca="false">B1686-WEEKDAY(B1686)+1</f>
        <v>42589</v>
      </c>
      <c r="D1686" s="1" t="e">
        <f aca="false" t="array" ref="D1686:D1686">IF(ISBLANK(_xlfn.xlookup(D$3,daily_items,_xlfn.xlookup($C1686,daily_dates,big_daily_table))),NA(),_xlfn.xlookup(D$3,daily_items,_xlfn.xlookup($C1686,daily_dates,big_daily_table)))</f>
        <v>#NAME?</v>
      </c>
      <c r="E1686" s="1" t="e">
        <f aca="false" t="array" ref="E1686:E1686">IF(ISBLANK(_xlfn.xlookup(E$3,daily_items,_xlfn.xlookup($C1686,daily_dates,big_daily_table))),NA(),_xlfn.xlookup(E$3,daily_items,_xlfn.xlookup($C1686,daily_dates,big_daily_table)))</f>
        <v>#NAME?</v>
      </c>
    </row>
    <row r="1687" customFormat="false" ht="14.25" hidden="false" customHeight="false" outlineLevel="0" collapsed="false">
      <c r="B1687" s="7" t="n">
        <v>42592</v>
      </c>
      <c r="C1687" s="7" t="n">
        <f aca="false">B1687-WEEKDAY(B1687)+1</f>
        <v>42589</v>
      </c>
      <c r="D1687" s="1" t="e">
        <f aca="false" t="array" ref="D1687:D1687">IF(ISBLANK(_xlfn.xlookup(D$3,daily_items,_xlfn.xlookup($C1687,daily_dates,big_daily_table))),NA(),_xlfn.xlookup(D$3,daily_items,_xlfn.xlookup($C1687,daily_dates,big_daily_table)))</f>
        <v>#NAME?</v>
      </c>
      <c r="E1687" s="1" t="e">
        <f aca="false" t="array" ref="E1687:E1687">IF(ISBLANK(_xlfn.xlookup(E$3,daily_items,_xlfn.xlookup($C1687,daily_dates,big_daily_table))),NA(),_xlfn.xlookup(E$3,daily_items,_xlfn.xlookup($C1687,daily_dates,big_daily_table)))</f>
        <v>#NAME?</v>
      </c>
    </row>
    <row r="1688" customFormat="false" ht="14.25" hidden="false" customHeight="false" outlineLevel="0" collapsed="false">
      <c r="B1688" s="7" t="n">
        <v>42593</v>
      </c>
      <c r="C1688" s="7" t="n">
        <f aca="false">B1688-WEEKDAY(B1688)+1</f>
        <v>42589</v>
      </c>
      <c r="D1688" s="1" t="e">
        <f aca="false" t="array" ref="D1688:D1688">IF(ISBLANK(_xlfn.xlookup(D$3,daily_items,_xlfn.xlookup($C1688,daily_dates,big_daily_table))),NA(),_xlfn.xlookup(D$3,daily_items,_xlfn.xlookup($C1688,daily_dates,big_daily_table)))</f>
        <v>#NAME?</v>
      </c>
      <c r="E1688" s="1" t="e">
        <f aca="false" t="array" ref="E1688:E1688">IF(ISBLANK(_xlfn.xlookup(E$3,daily_items,_xlfn.xlookup($C1688,daily_dates,big_daily_table))),NA(),_xlfn.xlookup(E$3,daily_items,_xlfn.xlookup($C1688,daily_dates,big_daily_table)))</f>
        <v>#NAME?</v>
      </c>
    </row>
    <row r="1689" customFormat="false" ht="14.25" hidden="false" customHeight="false" outlineLevel="0" collapsed="false">
      <c r="B1689" s="7" t="n">
        <v>42594</v>
      </c>
      <c r="C1689" s="7" t="n">
        <f aca="false">B1689-WEEKDAY(B1689)+1</f>
        <v>42589</v>
      </c>
      <c r="D1689" s="1" t="e">
        <f aca="false" t="array" ref="D1689:D1689">IF(ISBLANK(_xlfn.xlookup(D$3,daily_items,_xlfn.xlookup($C1689,daily_dates,big_daily_table))),NA(),_xlfn.xlookup(D$3,daily_items,_xlfn.xlookup($C1689,daily_dates,big_daily_table)))</f>
        <v>#NAME?</v>
      </c>
      <c r="E1689" s="1" t="e">
        <f aca="false" t="array" ref="E1689:E1689">IF(ISBLANK(_xlfn.xlookup(E$3,daily_items,_xlfn.xlookup($C1689,daily_dates,big_daily_table))),NA(),_xlfn.xlookup(E$3,daily_items,_xlfn.xlookup($C1689,daily_dates,big_daily_table)))</f>
        <v>#NAME?</v>
      </c>
    </row>
    <row r="1690" customFormat="false" ht="14.25" hidden="false" customHeight="false" outlineLevel="0" collapsed="false">
      <c r="B1690" s="7" t="n">
        <v>42595</v>
      </c>
      <c r="C1690" s="7" t="n">
        <f aca="false">B1690-WEEKDAY(B1690)+1</f>
        <v>42589</v>
      </c>
      <c r="D1690" s="1" t="e">
        <f aca="false" t="array" ref="D1690:D1690">IF(ISBLANK(_xlfn.xlookup(D$3,daily_items,_xlfn.xlookup($C1690,daily_dates,big_daily_table))),NA(),_xlfn.xlookup(D$3,daily_items,_xlfn.xlookup($C1690,daily_dates,big_daily_table)))</f>
        <v>#NAME?</v>
      </c>
      <c r="E1690" s="1" t="e">
        <f aca="false" t="array" ref="E1690:E1690">IF(ISBLANK(_xlfn.xlookup(E$3,daily_items,_xlfn.xlookup($C1690,daily_dates,big_daily_table))),NA(),_xlfn.xlookup(E$3,daily_items,_xlfn.xlookup($C1690,daily_dates,big_daily_table)))</f>
        <v>#NAME?</v>
      </c>
    </row>
    <row r="1691" customFormat="false" ht="14.25" hidden="false" customHeight="false" outlineLevel="0" collapsed="false">
      <c r="B1691" s="7" t="n">
        <v>42596</v>
      </c>
      <c r="C1691" s="7" t="n">
        <f aca="false">B1691-WEEKDAY(B1691)+1</f>
        <v>42596</v>
      </c>
      <c r="D1691" s="1" t="e">
        <f aca="false" t="array" ref="D1691:D1691">IF(ISBLANK(_xlfn.xlookup(D$3,daily_items,_xlfn.xlookup($C1691,daily_dates,big_daily_table))),NA(),_xlfn.xlookup(D$3,daily_items,_xlfn.xlookup($C1691,daily_dates,big_daily_table)))</f>
        <v>#NAME?</v>
      </c>
      <c r="E1691" s="1" t="e">
        <f aca="false" t="array" ref="E1691:E1691">IF(ISBLANK(_xlfn.xlookup(E$3,daily_items,_xlfn.xlookup($C1691,daily_dates,big_daily_table))),NA(),_xlfn.xlookup(E$3,daily_items,_xlfn.xlookup($C1691,daily_dates,big_daily_table)))</f>
        <v>#NAME?</v>
      </c>
    </row>
    <row r="1692" customFormat="false" ht="14.25" hidden="false" customHeight="false" outlineLevel="0" collapsed="false">
      <c r="B1692" s="7" t="n">
        <v>42597</v>
      </c>
      <c r="C1692" s="7" t="n">
        <f aca="false">B1692-WEEKDAY(B1692)+1</f>
        <v>42596</v>
      </c>
      <c r="D1692" s="1" t="e">
        <f aca="false" t="array" ref="D1692:D1692">IF(ISBLANK(_xlfn.xlookup(D$3,daily_items,_xlfn.xlookup($C1692,daily_dates,big_daily_table))),NA(),_xlfn.xlookup(D$3,daily_items,_xlfn.xlookup($C1692,daily_dates,big_daily_table)))</f>
        <v>#NAME?</v>
      </c>
      <c r="E1692" s="1" t="e">
        <f aca="false" t="array" ref="E1692:E1692">IF(ISBLANK(_xlfn.xlookup(E$3,daily_items,_xlfn.xlookup($C1692,daily_dates,big_daily_table))),NA(),_xlfn.xlookup(E$3,daily_items,_xlfn.xlookup($C1692,daily_dates,big_daily_table)))</f>
        <v>#NAME?</v>
      </c>
    </row>
    <row r="1693" customFormat="false" ht="14.25" hidden="false" customHeight="false" outlineLevel="0" collapsed="false">
      <c r="B1693" s="7" t="n">
        <v>42598</v>
      </c>
      <c r="C1693" s="7" t="n">
        <f aca="false">B1693-WEEKDAY(B1693)+1</f>
        <v>42596</v>
      </c>
      <c r="D1693" s="1" t="e">
        <f aca="false" t="array" ref="D1693:D1693">IF(ISBLANK(_xlfn.xlookup(D$3,daily_items,_xlfn.xlookup($C1693,daily_dates,big_daily_table))),NA(),_xlfn.xlookup(D$3,daily_items,_xlfn.xlookup($C1693,daily_dates,big_daily_table)))</f>
        <v>#NAME?</v>
      </c>
      <c r="E1693" s="1" t="e">
        <f aca="false" t="array" ref="E1693:E1693">IF(ISBLANK(_xlfn.xlookup(E$3,daily_items,_xlfn.xlookup($C1693,daily_dates,big_daily_table))),NA(),_xlfn.xlookup(E$3,daily_items,_xlfn.xlookup($C1693,daily_dates,big_daily_table)))</f>
        <v>#NAME?</v>
      </c>
    </row>
    <row r="1694" customFormat="false" ht="14.25" hidden="false" customHeight="false" outlineLevel="0" collapsed="false">
      <c r="B1694" s="7" t="n">
        <v>42599</v>
      </c>
      <c r="C1694" s="7" t="n">
        <f aca="false">B1694-WEEKDAY(B1694)+1</f>
        <v>42596</v>
      </c>
      <c r="D1694" s="1" t="e">
        <f aca="false" t="array" ref="D1694:D1694">IF(ISBLANK(_xlfn.xlookup(D$3,daily_items,_xlfn.xlookup($C1694,daily_dates,big_daily_table))),NA(),_xlfn.xlookup(D$3,daily_items,_xlfn.xlookup($C1694,daily_dates,big_daily_table)))</f>
        <v>#NAME?</v>
      </c>
      <c r="E1694" s="1" t="e">
        <f aca="false" t="array" ref="E1694:E1694">IF(ISBLANK(_xlfn.xlookup(E$3,daily_items,_xlfn.xlookup($C1694,daily_dates,big_daily_table))),NA(),_xlfn.xlookup(E$3,daily_items,_xlfn.xlookup($C1694,daily_dates,big_daily_table)))</f>
        <v>#NAME?</v>
      </c>
    </row>
    <row r="1695" customFormat="false" ht="14.25" hidden="false" customHeight="false" outlineLevel="0" collapsed="false">
      <c r="B1695" s="7" t="n">
        <v>42600</v>
      </c>
      <c r="C1695" s="7" t="n">
        <f aca="false">B1695-WEEKDAY(B1695)+1</f>
        <v>42596</v>
      </c>
      <c r="D1695" s="1" t="e">
        <f aca="false" t="array" ref="D1695:D1695">IF(ISBLANK(_xlfn.xlookup(D$3,daily_items,_xlfn.xlookup($C1695,daily_dates,big_daily_table))),NA(),_xlfn.xlookup(D$3,daily_items,_xlfn.xlookup($C1695,daily_dates,big_daily_table)))</f>
        <v>#NAME?</v>
      </c>
      <c r="E1695" s="1" t="e">
        <f aca="false" t="array" ref="E1695:E1695">IF(ISBLANK(_xlfn.xlookup(E$3,daily_items,_xlfn.xlookup($C1695,daily_dates,big_daily_table))),NA(),_xlfn.xlookup(E$3,daily_items,_xlfn.xlookup($C1695,daily_dates,big_daily_table)))</f>
        <v>#NAME?</v>
      </c>
    </row>
    <row r="1696" customFormat="false" ht="14.25" hidden="false" customHeight="false" outlineLevel="0" collapsed="false">
      <c r="B1696" s="7" t="n">
        <v>42601</v>
      </c>
      <c r="C1696" s="7" t="n">
        <f aca="false">B1696-WEEKDAY(B1696)+1</f>
        <v>42596</v>
      </c>
      <c r="D1696" s="1" t="e">
        <f aca="false" t="array" ref="D1696:D1696">IF(ISBLANK(_xlfn.xlookup(D$3,daily_items,_xlfn.xlookup($C1696,daily_dates,big_daily_table))),NA(),_xlfn.xlookup(D$3,daily_items,_xlfn.xlookup($C1696,daily_dates,big_daily_table)))</f>
        <v>#NAME?</v>
      </c>
      <c r="E1696" s="1" t="e">
        <f aca="false" t="array" ref="E1696:E1696">IF(ISBLANK(_xlfn.xlookup(E$3,daily_items,_xlfn.xlookup($C1696,daily_dates,big_daily_table))),NA(),_xlfn.xlookup(E$3,daily_items,_xlfn.xlookup($C1696,daily_dates,big_daily_table)))</f>
        <v>#NAME?</v>
      </c>
    </row>
    <row r="1697" customFormat="false" ht="14.25" hidden="false" customHeight="false" outlineLevel="0" collapsed="false">
      <c r="B1697" s="7" t="n">
        <v>42602</v>
      </c>
      <c r="C1697" s="7" t="n">
        <f aca="false">B1697-WEEKDAY(B1697)+1</f>
        <v>42596</v>
      </c>
      <c r="D1697" s="1" t="e">
        <f aca="false" t="array" ref="D1697:D1697">IF(ISBLANK(_xlfn.xlookup(D$3,daily_items,_xlfn.xlookup($C1697,daily_dates,big_daily_table))),NA(),_xlfn.xlookup(D$3,daily_items,_xlfn.xlookup($C1697,daily_dates,big_daily_table)))</f>
        <v>#NAME?</v>
      </c>
      <c r="E1697" s="1" t="e">
        <f aca="false" t="array" ref="E1697:E1697">IF(ISBLANK(_xlfn.xlookup(E$3,daily_items,_xlfn.xlookup($C1697,daily_dates,big_daily_table))),NA(),_xlfn.xlookup(E$3,daily_items,_xlfn.xlookup($C1697,daily_dates,big_daily_table)))</f>
        <v>#NAME?</v>
      </c>
    </row>
    <row r="1698" customFormat="false" ht="14.25" hidden="false" customHeight="false" outlineLevel="0" collapsed="false">
      <c r="B1698" s="7" t="n">
        <v>42603</v>
      </c>
      <c r="C1698" s="7" t="n">
        <f aca="false">B1698-WEEKDAY(B1698)+1</f>
        <v>42603</v>
      </c>
      <c r="D1698" s="1" t="e">
        <f aca="false" t="array" ref="D1698:D1698">IF(ISBLANK(_xlfn.xlookup(D$3,daily_items,_xlfn.xlookup($C1698,daily_dates,big_daily_table))),NA(),_xlfn.xlookup(D$3,daily_items,_xlfn.xlookup($C1698,daily_dates,big_daily_table)))</f>
        <v>#NAME?</v>
      </c>
      <c r="E1698" s="1" t="e">
        <f aca="false" t="array" ref="E1698:E1698">IF(ISBLANK(_xlfn.xlookup(E$3,daily_items,_xlfn.xlookup($C1698,daily_dates,big_daily_table))),NA(),_xlfn.xlookup(E$3,daily_items,_xlfn.xlookup($C1698,daily_dates,big_daily_table)))</f>
        <v>#NAME?</v>
      </c>
    </row>
    <row r="1699" customFormat="false" ht="14.25" hidden="false" customHeight="false" outlineLevel="0" collapsed="false">
      <c r="B1699" s="7" t="n">
        <v>42604</v>
      </c>
      <c r="C1699" s="7" t="n">
        <f aca="false">B1699-WEEKDAY(B1699)+1</f>
        <v>42603</v>
      </c>
      <c r="D1699" s="1" t="e">
        <f aca="false" t="array" ref="D1699:D1699">IF(ISBLANK(_xlfn.xlookup(D$3,daily_items,_xlfn.xlookup($C1699,daily_dates,big_daily_table))),NA(),_xlfn.xlookup(D$3,daily_items,_xlfn.xlookup($C1699,daily_dates,big_daily_table)))</f>
        <v>#NAME?</v>
      </c>
      <c r="E1699" s="1" t="e">
        <f aca="false" t="array" ref="E1699:E1699">IF(ISBLANK(_xlfn.xlookup(E$3,daily_items,_xlfn.xlookup($C1699,daily_dates,big_daily_table))),NA(),_xlfn.xlookup(E$3,daily_items,_xlfn.xlookup($C1699,daily_dates,big_daily_table)))</f>
        <v>#NAME?</v>
      </c>
    </row>
    <row r="1700" customFormat="false" ht="14.25" hidden="false" customHeight="false" outlineLevel="0" collapsed="false">
      <c r="B1700" s="7" t="n">
        <v>42605</v>
      </c>
      <c r="C1700" s="7" t="n">
        <f aca="false">B1700-WEEKDAY(B1700)+1</f>
        <v>42603</v>
      </c>
      <c r="D1700" s="1" t="e">
        <f aca="false" t="array" ref="D1700:D1700">IF(ISBLANK(_xlfn.xlookup(D$3,daily_items,_xlfn.xlookup($C1700,daily_dates,big_daily_table))),NA(),_xlfn.xlookup(D$3,daily_items,_xlfn.xlookup($C1700,daily_dates,big_daily_table)))</f>
        <v>#NAME?</v>
      </c>
      <c r="E1700" s="1" t="e">
        <f aca="false" t="array" ref="E1700:E1700">IF(ISBLANK(_xlfn.xlookup(E$3,daily_items,_xlfn.xlookup($C1700,daily_dates,big_daily_table))),NA(),_xlfn.xlookup(E$3,daily_items,_xlfn.xlookup($C1700,daily_dates,big_daily_table)))</f>
        <v>#NAME?</v>
      </c>
    </row>
    <row r="1701" customFormat="false" ht="14.25" hidden="false" customHeight="false" outlineLevel="0" collapsed="false">
      <c r="B1701" s="7" t="n">
        <v>42606</v>
      </c>
      <c r="C1701" s="7" t="n">
        <f aca="false">B1701-WEEKDAY(B1701)+1</f>
        <v>42603</v>
      </c>
      <c r="D1701" s="1" t="e">
        <f aca="false" t="array" ref="D1701:D1701">IF(ISBLANK(_xlfn.xlookup(D$3,daily_items,_xlfn.xlookup($C1701,daily_dates,big_daily_table))),NA(),_xlfn.xlookup(D$3,daily_items,_xlfn.xlookup($C1701,daily_dates,big_daily_table)))</f>
        <v>#NAME?</v>
      </c>
      <c r="E1701" s="1" t="e">
        <f aca="false" t="array" ref="E1701:E1701">IF(ISBLANK(_xlfn.xlookup(E$3,daily_items,_xlfn.xlookup($C1701,daily_dates,big_daily_table))),NA(),_xlfn.xlookup(E$3,daily_items,_xlfn.xlookup($C1701,daily_dates,big_daily_table)))</f>
        <v>#NAME?</v>
      </c>
    </row>
    <row r="1702" customFormat="false" ht="14.25" hidden="false" customHeight="false" outlineLevel="0" collapsed="false">
      <c r="B1702" s="7" t="n">
        <v>42607</v>
      </c>
      <c r="C1702" s="7" t="n">
        <f aca="false">B1702-WEEKDAY(B1702)+1</f>
        <v>42603</v>
      </c>
      <c r="D1702" s="1" t="e">
        <f aca="false" t="array" ref="D1702:D1702">IF(ISBLANK(_xlfn.xlookup(D$3,daily_items,_xlfn.xlookup($C1702,daily_dates,big_daily_table))),NA(),_xlfn.xlookup(D$3,daily_items,_xlfn.xlookup($C1702,daily_dates,big_daily_table)))</f>
        <v>#NAME?</v>
      </c>
      <c r="E1702" s="1" t="e">
        <f aca="false" t="array" ref="E1702:E1702">IF(ISBLANK(_xlfn.xlookup(E$3,daily_items,_xlfn.xlookup($C1702,daily_dates,big_daily_table))),NA(),_xlfn.xlookup(E$3,daily_items,_xlfn.xlookup($C1702,daily_dates,big_daily_table)))</f>
        <v>#NAME?</v>
      </c>
    </row>
    <row r="1703" customFormat="false" ht="14.25" hidden="false" customHeight="false" outlineLevel="0" collapsed="false">
      <c r="B1703" s="7" t="n">
        <v>42608</v>
      </c>
      <c r="C1703" s="7" t="n">
        <f aca="false">B1703-WEEKDAY(B1703)+1</f>
        <v>42603</v>
      </c>
      <c r="D1703" s="1" t="e">
        <f aca="false" t="array" ref="D1703:D1703">IF(ISBLANK(_xlfn.xlookup(D$3,daily_items,_xlfn.xlookup($C1703,daily_dates,big_daily_table))),NA(),_xlfn.xlookup(D$3,daily_items,_xlfn.xlookup($C1703,daily_dates,big_daily_table)))</f>
        <v>#NAME?</v>
      </c>
      <c r="E1703" s="1" t="e">
        <f aca="false" t="array" ref="E1703:E1703">IF(ISBLANK(_xlfn.xlookup(E$3,daily_items,_xlfn.xlookup($C1703,daily_dates,big_daily_table))),NA(),_xlfn.xlookup(E$3,daily_items,_xlfn.xlookup($C1703,daily_dates,big_daily_table)))</f>
        <v>#NAME?</v>
      </c>
    </row>
    <row r="1704" customFormat="false" ht="14.25" hidden="false" customHeight="false" outlineLevel="0" collapsed="false">
      <c r="B1704" s="7" t="n">
        <v>42609</v>
      </c>
      <c r="C1704" s="7" t="n">
        <f aca="false">B1704-WEEKDAY(B1704)+1</f>
        <v>42603</v>
      </c>
      <c r="D1704" s="1" t="e">
        <f aca="false" t="array" ref="D1704:D1704">IF(ISBLANK(_xlfn.xlookup(D$3,daily_items,_xlfn.xlookup($C1704,daily_dates,big_daily_table))),NA(),_xlfn.xlookup(D$3,daily_items,_xlfn.xlookup($C1704,daily_dates,big_daily_table)))</f>
        <v>#NAME?</v>
      </c>
      <c r="E1704" s="1" t="e">
        <f aca="false" t="array" ref="E1704:E1704">IF(ISBLANK(_xlfn.xlookup(E$3,daily_items,_xlfn.xlookup($C1704,daily_dates,big_daily_table))),NA(),_xlfn.xlookup(E$3,daily_items,_xlfn.xlookup($C1704,daily_dates,big_daily_table)))</f>
        <v>#NAME?</v>
      </c>
    </row>
    <row r="1705" customFormat="false" ht="14.25" hidden="false" customHeight="false" outlineLevel="0" collapsed="false">
      <c r="B1705" s="7" t="n">
        <v>42610</v>
      </c>
      <c r="C1705" s="7" t="n">
        <f aca="false">B1705-WEEKDAY(B1705)+1</f>
        <v>42610</v>
      </c>
      <c r="D1705" s="1" t="e">
        <f aca="false" t="array" ref="D1705:D1705">IF(ISBLANK(_xlfn.xlookup(D$3,daily_items,_xlfn.xlookup($C1705,daily_dates,big_daily_table))),NA(),_xlfn.xlookup(D$3,daily_items,_xlfn.xlookup($C1705,daily_dates,big_daily_table)))</f>
        <v>#NAME?</v>
      </c>
      <c r="E1705" s="1" t="e">
        <f aca="false" t="array" ref="E1705:E1705">IF(ISBLANK(_xlfn.xlookup(E$3,daily_items,_xlfn.xlookup($C1705,daily_dates,big_daily_table))),NA(),_xlfn.xlookup(E$3,daily_items,_xlfn.xlookup($C1705,daily_dates,big_daily_table)))</f>
        <v>#NAME?</v>
      </c>
    </row>
    <row r="1706" customFormat="false" ht="14.25" hidden="false" customHeight="false" outlineLevel="0" collapsed="false">
      <c r="B1706" s="7" t="n">
        <v>42611</v>
      </c>
      <c r="C1706" s="7" t="n">
        <f aca="false">B1706-WEEKDAY(B1706)+1</f>
        <v>42610</v>
      </c>
      <c r="D1706" s="1" t="e">
        <f aca="false" t="array" ref="D1706:D1706">IF(ISBLANK(_xlfn.xlookup(D$3,daily_items,_xlfn.xlookup($C1706,daily_dates,big_daily_table))),NA(),_xlfn.xlookup(D$3,daily_items,_xlfn.xlookup($C1706,daily_dates,big_daily_table)))</f>
        <v>#NAME?</v>
      </c>
      <c r="E1706" s="1" t="e">
        <f aca="false" t="array" ref="E1706:E1706">IF(ISBLANK(_xlfn.xlookup(E$3,daily_items,_xlfn.xlookup($C1706,daily_dates,big_daily_table))),NA(),_xlfn.xlookup(E$3,daily_items,_xlfn.xlookup($C1706,daily_dates,big_daily_table)))</f>
        <v>#NAME?</v>
      </c>
    </row>
    <row r="1707" customFormat="false" ht="14.25" hidden="false" customHeight="false" outlineLevel="0" collapsed="false">
      <c r="B1707" s="7" t="n">
        <v>42612</v>
      </c>
      <c r="C1707" s="7" t="n">
        <f aca="false">B1707-WEEKDAY(B1707)+1</f>
        <v>42610</v>
      </c>
      <c r="D1707" s="1" t="e">
        <f aca="false" t="array" ref="D1707:D1707">IF(ISBLANK(_xlfn.xlookup(D$3,daily_items,_xlfn.xlookup($C1707,daily_dates,big_daily_table))),NA(),_xlfn.xlookup(D$3,daily_items,_xlfn.xlookup($C1707,daily_dates,big_daily_table)))</f>
        <v>#NAME?</v>
      </c>
      <c r="E1707" s="1" t="e">
        <f aca="false" t="array" ref="E1707:E1707">IF(ISBLANK(_xlfn.xlookup(E$3,daily_items,_xlfn.xlookup($C1707,daily_dates,big_daily_table))),NA(),_xlfn.xlookup(E$3,daily_items,_xlfn.xlookup($C1707,daily_dates,big_daily_table)))</f>
        <v>#NAME?</v>
      </c>
    </row>
    <row r="1708" customFormat="false" ht="14.25" hidden="false" customHeight="false" outlineLevel="0" collapsed="false">
      <c r="B1708" s="7" t="n">
        <v>42613</v>
      </c>
      <c r="C1708" s="7" t="n">
        <f aca="false">B1708-WEEKDAY(B1708)+1</f>
        <v>42610</v>
      </c>
      <c r="D1708" s="1" t="e">
        <f aca="false" t="array" ref="D1708:D1708">IF(ISBLANK(_xlfn.xlookup(D$3,daily_items,_xlfn.xlookup($C1708,daily_dates,big_daily_table))),NA(),_xlfn.xlookup(D$3,daily_items,_xlfn.xlookup($C1708,daily_dates,big_daily_table)))</f>
        <v>#NAME?</v>
      </c>
      <c r="E1708" s="1" t="e">
        <f aca="false" t="array" ref="E1708:E1708">IF(ISBLANK(_xlfn.xlookup(E$3,daily_items,_xlfn.xlookup($C1708,daily_dates,big_daily_table))),NA(),_xlfn.xlookup(E$3,daily_items,_xlfn.xlookup($C1708,daily_dates,big_daily_table)))</f>
        <v>#NAME?</v>
      </c>
    </row>
    <row r="1709" customFormat="false" ht="14.25" hidden="false" customHeight="false" outlineLevel="0" collapsed="false">
      <c r="B1709" s="7" t="n">
        <v>42614</v>
      </c>
      <c r="C1709" s="7" t="n">
        <f aca="false">B1709-WEEKDAY(B1709)+1</f>
        <v>42610</v>
      </c>
      <c r="D1709" s="1" t="e">
        <f aca="false" t="array" ref="D1709:D1709">IF(ISBLANK(_xlfn.xlookup(D$3,daily_items,_xlfn.xlookup($C1709,daily_dates,big_daily_table))),NA(),_xlfn.xlookup(D$3,daily_items,_xlfn.xlookup($C1709,daily_dates,big_daily_table)))</f>
        <v>#NAME?</v>
      </c>
      <c r="E1709" s="1" t="e">
        <f aca="false" t="array" ref="E1709:E1709">IF(ISBLANK(_xlfn.xlookup(E$3,daily_items,_xlfn.xlookup($C1709,daily_dates,big_daily_table))),NA(),_xlfn.xlookup(E$3,daily_items,_xlfn.xlookup($C1709,daily_dates,big_daily_table)))</f>
        <v>#NAME?</v>
      </c>
    </row>
    <row r="1710" customFormat="false" ht="14.25" hidden="false" customHeight="false" outlineLevel="0" collapsed="false">
      <c r="B1710" s="7" t="n">
        <v>42615</v>
      </c>
      <c r="C1710" s="7" t="n">
        <f aca="false">B1710-WEEKDAY(B1710)+1</f>
        <v>42610</v>
      </c>
      <c r="D1710" s="1" t="e">
        <f aca="false" t="array" ref="D1710:D1710">IF(ISBLANK(_xlfn.xlookup(D$3,daily_items,_xlfn.xlookup($C1710,daily_dates,big_daily_table))),NA(),_xlfn.xlookup(D$3,daily_items,_xlfn.xlookup($C1710,daily_dates,big_daily_table)))</f>
        <v>#NAME?</v>
      </c>
      <c r="E1710" s="1" t="e">
        <f aca="false" t="array" ref="E1710:E1710">IF(ISBLANK(_xlfn.xlookup(E$3,daily_items,_xlfn.xlookup($C1710,daily_dates,big_daily_table))),NA(),_xlfn.xlookup(E$3,daily_items,_xlfn.xlookup($C1710,daily_dates,big_daily_table)))</f>
        <v>#NAME?</v>
      </c>
    </row>
    <row r="1711" customFormat="false" ht="14.25" hidden="false" customHeight="false" outlineLevel="0" collapsed="false">
      <c r="B1711" s="7" t="n">
        <v>42616</v>
      </c>
      <c r="C1711" s="7" t="n">
        <f aca="false">B1711-WEEKDAY(B1711)+1</f>
        <v>42610</v>
      </c>
      <c r="D1711" s="1" t="e">
        <f aca="false" t="array" ref="D1711:D1711">IF(ISBLANK(_xlfn.xlookup(D$3,daily_items,_xlfn.xlookup($C1711,daily_dates,big_daily_table))),NA(),_xlfn.xlookup(D$3,daily_items,_xlfn.xlookup($C1711,daily_dates,big_daily_table)))</f>
        <v>#NAME?</v>
      </c>
      <c r="E1711" s="1" t="e">
        <f aca="false" t="array" ref="E1711:E1711">IF(ISBLANK(_xlfn.xlookup(E$3,daily_items,_xlfn.xlookup($C1711,daily_dates,big_daily_table))),NA(),_xlfn.xlookup(E$3,daily_items,_xlfn.xlookup($C1711,daily_dates,big_daily_table)))</f>
        <v>#NAME?</v>
      </c>
    </row>
    <row r="1712" customFormat="false" ht="14.25" hidden="false" customHeight="false" outlineLevel="0" collapsed="false">
      <c r="B1712" s="7" t="n">
        <v>42617</v>
      </c>
      <c r="C1712" s="7" t="n">
        <f aca="false">B1712-WEEKDAY(B1712)+1</f>
        <v>42617</v>
      </c>
      <c r="D1712" s="1" t="e">
        <f aca="false" t="array" ref="D1712:D1712">IF(ISBLANK(_xlfn.xlookup(D$3,daily_items,_xlfn.xlookup($C1712,daily_dates,big_daily_table))),NA(),_xlfn.xlookup(D$3,daily_items,_xlfn.xlookup($C1712,daily_dates,big_daily_table)))</f>
        <v>#NAME?</v>
      </c>
      <c r="E1712" s="1" t="e">
        <f aca="false" t="array" ref="E1712:E1712">IF(ISBLANK(_xlfn.xlookup(E$3,daily_items,_xlfn.xlookup($C1712,daily_dates,big_daily_table))),NA(),_xlfn.xlookup(E$3,daily_items,_xlfn.xlookup($C1712,daily_dates,big_daily_table)))</f>
        <v>#NAME?</v>
      </c>
    </row>
    <row r="1713" customFormat="false" ht="14.25" hidden="false" customHeight="false" outlineLevel="0" collapsed="false">
      <c r="B1713" s="7" t="n">
        <v>42618</v>
      </c>
      <c r="C1713" s="7" t="n">
        <f aca="false">B1713-WEEKDAY(B1713)+1</f>
        <v>42617</v>
      </c>
      <c r="D1713" s="1" t="e">
        <f aca="false" t="array" ref="D1713:D1713">IF(ISBLANK(_xlfn.xlookup(D$3,daily_items,_xlfn.xlookup($C1713,daily_dates,big_daily_table))),NA(),_xlfn.xlookup(D$3,daily_items,_xlfn.xlookup($C1713,daily_dates,big_daily_table)))</f>
        <v>#NAME?</v>
      </c>
      <c r="E1713" s="1" t="e">
        <f aca="false" t="array" ref="E1713:E1713">IF(ISBLANK(_xlfn.xlookup(E$3,daily_items,_xlfn.xlookup($C1713,daily_dates,big_daily_table))),NA(),_xlfn.xlookup(E$3,daily_items,_xlfn.xlookup($C1713,daily_dates,big_daily_table)))</f>
        <v>#NAME?</v>
      </c>
    </row>
    <row r="1714" customFormat="false" ht="14.25" hidden="false" customHeight="false" outlineLevel="0" collapsed="false">
      <c r="B1714" s="7" t="n">
        <v>42619</v>
      </c>
      <c r="C1714" s="7" t="n">
        <f aca="false">B1714-WEEKDAY(B1714)+1</f>
        <v>42617</v>
      </c>
      <c r="D1714" s="1" t="e">
        <f aca="false" t="array" ref="D1714:D1714">IF(ISBLANK(_xlfn.xlookup(D$3,daily_items,_xlfn.xlookup($C1714,daily_dates,big_daily_table))),NA(),_xlfn.xlookup(D$3,daily_items,_xlfn.xlookup($C1714,daily_dates,big_daily_table)))</f>
        <v>#NAME?</v>
      </c>
      <c r="E1714" s="1" t="e">
        <f aca="false" t="array" ref="E1714:E1714">IF(ISBLANK(_xlfn.xlookup(E$3,daily_items,_xlfn.xlookup($C1714,daily_dates,big_daily_table))),NA(),_xlfn.xlookup(E$3,daily_items,_xlfn.xlookup($C1714,daily_dates,big_daily_table)))</f>
        <v>#NAME?</v>
      </c>
    </row>
    <row r="1715" customFormat="false" ht="14.25" hidden="false" customHeight="false" outlineLevel="0" collapsed="false">
      <c r="B1715" s="7" t="n">
        <v>42620</v>
      </c>
      <c r="C1715" s="7" t="n">
        <f aca="false">B1715-WEEKDAY(B1715)+1</f>
        <v>42617</v>
      </c>
      <c r="D1715" s="1" t="e">
        <f aca="false" t="array" ref="D1715:D1715">IF(ISBLANK(_xlfn.xlookup(D$3,daily_items,_xlfn.xlookup($C1715,daily_dates,big_daily_table))),NA(),_xlfn.xlookup(D$3,daily_items,_xlfn.xlookup($C1715,daily_dates,big_daily_table)))</f>
        <v>#NAME?</v>
      </c>
      <c r="E1715" s="1" t="e">
        <f aca="false" t="array" ref="E1715:E1715">IF(ISBLANK(_xlfn.xlookup(E$3,daily_items,_xlfn.xlookup($C1715,daily_dates,big_daily_table))),NA(),_xlfn.xlookup(E$3,daily_items,_xlfn.xlookup($C1715,daily_dates,big_daily_table)))</f>
        <v>#NAME?</v>
      </c>
    </row>
    <row r="1716" customFormat="false" ht="14.25" hidden="false" customHeight="false" outlineLevel="0" collapsed="false">
      <c r="B1716" s="7" t="n">
        <v>42621</v>
      </c>
      <c r="C1716" s="7" t="n">
        <f aca="false">B1716-WEEKDAY(B1716)+1</f>
        <v>42617</v>
      </c>
      <c r="D1716" s="1" t="e">
        <f aca="false" t="array" ref="D1716:D1716">IF(ISBLANK(_xlfn.xlookup(D$3,daily_items,_xlfn.xlookup($C1716,daily_dates,big_daily_table))),NA(),_xlfn.xlookup(D$3,daily_items,_xlfn.xlookup($C1716,daily_dates,big_daily_table)))</f>
        <v>#NAME?</v>
      </c>
      <c r="E1716" s="1" t="e">
        <f aca="false" t="array" ref="E1716:E1716">IF(ISBLANK(_xlfn.xlookup(E$3,daily_items,_xlfn.xlookup($C1716,daily_dates,big_daily_table))),NA(),_xlfn.xlookup(E$3,daily_items,_xlfn.xlookup($C1716,daily_dates,big_daily_table)))</f>
        <v>#NAME?</v>
      </c>
    </row>
    <row r="1717" customFormat="false" ht="14.25" hidden="false" customHeight="false" outlineLevel="0" collapsed="false">
      <c r="B1717" s="7" t="n">
        <v>42622</v>
      </c>
      <c r="C1717" s="7" t="n">
        <f aca="false">B1717-WEEKDAY(B1717)+1</f>
        <v>42617</v>
      </c>
      <c r="D1717" s="1" t="e">
        <f aca="false" t="array" ref="D1717:D1717">IF(ISBLANK(_xlfn.xlookup(D$3,daily_items,_xlfn.xlookup($C1717,daily_dates,big_daily_table))),NA(),_xlfn.xlookup(D$3,daily_items,_xlfn.xlookup($C1717,daily_dates,big_daily_table)))</f>
        <v>#NAME?</v>
      </c>
      <c r="E1717" s="1" t="e">
        <f aca="false" t="array" ref="E1717:E1717">IF(ISBLANK(_xlfn.xlookup(E$3,daily_items,_xlfn.xlookup($C1717,daily_dates,big_daily_table))),NA(),_xlfn.xlookup(E$3,daily_items,_xlfn.xlookup($C1717,daily_dates,big_daily_table)))</f>
        <v>#NAME?</v>
      </c>
    </row>
    <row r="1718" customFormat="false" ht="14.25" hidden="false" customHeight="false" outlineLevel="0" collapsed="false">
      <c r="B1718" s="7" t="n">
        <v>42623</v>
      </c>
      <c r="C1718" s="7" t="n">
        <f aca="false">B1718-WEEKDAY(B1718)+1</f>
        <v>42617</v>
      </c>
      <c r="D1718" s="1" t="e">
        <f aca="false" t="array" ref="D1718:D1718">IF(ISBLANK(_xlfn.xlookup(D$3,daily_items,_xlfn.xlookup($C1718,daily_dates,big_daily_table))),NA(),_xlfn.xlookup(D$3,daily_items,_xlfn.xlookup($C1718,daily_dates,big_daily_table)))</f>
        <v>#NAME?</v>
      </c>
      <c r="E1718" s="1" t="e">
        <f aca="false" t="array" ref="E1718:E1718">IF(ISBLANK(_xlfn.xlookup(E$3,daily_items,_xlfn.xlookup($C1718,daily_dates,big_daily_table))),NA(),_xlfn.xlookup(E$3,daily_items,_xlfn.xlookup($C1718,daily_dates,big_daily_table)))</f>
        <v>#NAME?</v>
      </c>
    </row>
    <row r="1719" customFormat="false" ht="14.25" hidden="false" customHeight="false" outlineLevel="0" collapsed="false">
      <c r="B1719" s="7" t="n">
        <v>42624</v>
      </c>
      <c r="C1719" s="7" t="n">
        <f aca="false">B1719-WEEKDAY(B1719)+1</f>
        <v>42624</v>
      </c>
      <c r="D1719" s="1" t="e">
        <f aca="false" t="array" ref="D1719:D1719">IF(ISBLANK(_xlfn.xlookup(D$3,daily_items,_xlfn.xlookup($C1719,daily_dates,big_daily_table))),NA(),_xlfn.xlookup(D$3,daily_items,_xlfn.xlookup($C1719,daily_dates,big_daily_table)))</f>
        <v>#NAME?</v>
      </c>
      <c r="E1719" s="1" t="e">
        <f aca="false" t="array" ref="E1719:E1719">IF(ISBLANK(_xlfn.xlookup(E$3,daily_items,_xlfn.xlookup($C1719,daily_dates,big_daily_table))),NA(),_xlfn.xlookup(E$3,daily_items,_xlfn.xlookup($C1719,daily_dates,big_daily_table)))</f>
        <v>#NAME?</v>
      </c>
    </row>
    <row r="1720" customFormat="false" ht="14.25" hidden="false" customHeight="false" outlineLevel="0" collapsed="false">
      <c r="B1720" s="7" t="n">
        <v>42625</v>
      </c>
      <c r="C1720" s="7" t="n">
        <f aca="false">B1720-WEEKDAY(B1720)+1</f>
        <v>42624</v>
      </c>
      <c r="D1720" s="1" t="e">
        <f aca="false" t="array" ref="D1720:D1720">IF(ISBLANK(_xlfn.xlookup(D$3,daily_items,_xlfn.xlookup($C1720,daily_dates,big_daily_table))),NA(),_xlfn.xlookup(D$3,daily_items,_xlfn.xlookup($C1720,daily_dates,big_daily_table)))</f>
        <v>#NAME?</v>
      </c>
      <c r="E1720" s="1" t="e">
        <f aca="false" t="array" ref="E1720:E1720">IF(ISBLANK(_xlfn.xlookup(E$3,daily_items,_xlfn.xlookup($C1720,daily_dates,big_daily_table))),NA(),_xlfn.xlookup(E$3,daily_items,_xlfn.xlookup($C1720,daily_dates,big_daily_table)))</f>
        <v>#NAME?</v>
      </c>
    </row>
    <row r="1721" customFormat="false" ht="14.25" hidden="false" customHeight="false" outlineLevel="0" collapsed="false">
      <c r="B1721" s="7" t="n">
        <v>42626</v>
      </c>
      <c r="C1721" s="7" t="n">
        <f aca="false">B1721-WEEKDAY(B1721)+1</f>
        <v>42624</v>
      </c>
      <c r="D1721" s="1" t="e">
        <f aca="false" t="array" ref="D1721:D1721">IF(ISBLANK(_xlfn.xlookup(D$3,daily_items,_xlfn.xlookup($C1721,daily_dates,big_daily_table))),NA(),_xlfn.xlookup(D$3,daily_items,_xlfn.xlookup($C1721,daily_dates,big_daily_table)))</f>
        <v>#NAME?</v>
      </c>
      <c r="E1721" s="1" t="e">
        <f aca="false" t="array" ref="E1721:E1721">IF(ISBLANK(_xlfn.xlookup(E$3,daily_items,_xlfn.xlookup($C1721,daily_dates,big_daily_table))),NA(),_xlfn.xlookup(E$3,daily_items,_xlfn.xlookup($C1721,daily_dates,big_daily_table)))</f>
        <v>#NAME?</v>
      </c>
    </row>
    <row r="1722" customFormat="false" ht="14.25" hidden="false" customHeight="false" outlineLevel="0" collapsed="false">
      <c r="B1722" s="7" t="n">
        <v>42627</v>
      </c>
      <c r="C1722" s="7" t="n">
        <f aca="false">B1722-WEEKDAY(B1722)+1</f>
        <v>42624</v>
      </c>
      <c r="D1722" s="1" t="e">
        <f aca="false" t="array" ref="D1722:D1722">IF(ISBLANK(_xlfn.xlookup(D$3,daily_items,_xlfn.xlookup($C1722,daily_dates,big_daily_table))),NA(),_xlfn.xlookup(D$3,daily_items,_xlfn.xlookup($C1722,daily_dates,big_daily_table)))</f>
        <v>#NAME?</v>
      </c>
      <c r="E1722" s="1" t="e">
        <f aca="false" t="array" ref="E1722:E1722">IF(ISBLANK(_xlfn.xlookup(E$3,daily_items,_xlfn.xlookup($C1722,daily_dates,big_daily_table))),NA(),_xlfn.xlookup(E$3,daily_items,_xlfn.xlookup($C1722,daily_dates,big_daily_table)))</f>
        <v>#NAME?</v>
      </c>
    </row>
    <row r="1723" customFormat="false" ht="14.25" hidden="false" customHeight="false" outlineLevel="0" collapsed="false">
      <c r="B1723" s="7" t="n">
        <v>42628</v>
      </c>
      <c r="C1723" s="7" t="n">
        <f aca="false">B1723-WEEKDAY(B1723)+1</f>
        <v>42624</v>
      </c>
      <c r="D1723" s="1" t="e">
        <f aca="false" t="array" ref="D1723:D1723">IF(ISBLANK(_xlfn.xlookup(D$3,daily_items,_xlfn.xlookup($C1723,daily_dates,big_daily_table))),NA(),_xlfn.xlookup(D$3,daily_items,_xlfn.xlookup($C1723,daily_dates,big_daily_table)))</f>
        <v>#NAME?</v>
      </c>
      <c r="E1723" s="1" t="e">
        <f aca="false" t="array" ref="E1723:E1723">IF(ISBLANK(_xlfn.xlookup(E$3,daily_items,_xlfn.xlookup($C1723,daily_dates,big_daily_table))),NA(),_xlfn.xlookup(E$3,daily_items,_xlfn.xlookup($C1723,daily_dates,big_daily_table)))</f>
        <v>#NAME?</v>
      </c>
    </row>
    <row r="1724" customFormat="false" ht="14.25" hidden="false" customHeight="false" outlineLevel="0" collapsed="false">
      <c r="B1724" s="7" t="n">
        <v>42629</v>
      </c>
      <c r="C1724" s="7" t="n">
        <f aca="false">B1724-WEEKDAY(B1724)+1</f>
        <v>42624</v>
      </c>
      <c r="D1724" s="1" t="e">
        <f aca="false" t="array" ref="D1724:D1724">IF(ISBLANK(_xlfn.xlookup(D$3,daily_items,_xlfn.xlookup($C1724,daily_dates,big_daily_table))),NA(),_xlfn.xlookup(D$3,daily_items,_xlfn.xlookup($C1724,daily_dates,big_daily_table)))</f>
        <v>#NAME?</v>
      </c>
      <c r="E1724" s="1" t="e">
        <f aca="false" t="array" ref="E1724:E1724">IF(ISBLANK(_xlfn.xlookup(E$3,daily_items,_xlfn.xlookup($C1724,daily_dates,big_daily_table))),NA(),_xlfn.xlookup(E$3,daily_items,_xlfn.xlookup($C1724,daily_dates,big_daily_table)))</f>
        <v>#NAME?</v>
      </c>
    </row>
    <row r="1725" customFormat="false" ht="14.25" hidden="false" customHeight="false" outlineLevel="0" collapsed="false">
      <c r="B1725" s="7" t="n">
        <v>42630</v>
      </c>
      <c r="C1725" s="7" t="n">
        <f aca="false">B1725-WEEKDAY(B1725)+1</f>
        <v>42624</v>
      </c>
      <c r="D1725" s="1" t="e">
        <f aca="false" t="array" ref="D1725:D1725">IF(ISBLANK(_xlfn.xlookup(D$3,daily_items,_xlfn.xlookup($C1725,daily_dates,big_daily_table))),NA(),_xlfn.xlookup(D$3,daily_items,_xlfn.xlookup($C1725,daily_dates,big_daily_table)))</f>
        <v>#NAME?</v>
      </c>
      <c r="E1725" s="1" t="e">
        <f aca="false" t="array" ref="E1725:E1725">IF(ISBLANK(_xlfn.xlookup(E$3,daily_items,_xlfn.xlookup($C1725,daily_dates,big_daily_table))),NA(),_xlfn.xlookup(E$3,daily_items,_xlfn.xlookup($C1725,daily_dates,big_daily_table)))</f>
        <v>#NAME?</v>
      </c>
    </row>
    <row r="1726" customFormat="false" ht="14.25" hidden="false" customHeight="false" outlineLevel="0" collapsed="false">
      <c r="B1726" s="7" t="n">
        <v>42631</v>
      </c>
      <c r="C1726" s="7" t="n">
        <f aca="false">B1726-WEEKDAY(B1726)+1</f>
        <v>42631</v>
      </c>
      <c r="D1726" s="1" t="e">
        <f aca="false" t="array" ref="D1726:D1726">IF(ISBLANK(_xlfn.xlookup(D$3,daily_items,_xlfn.xlookup($C1726,daily_dates,big_daily_table))),NA(),_xlfn.xlookup(D$3,daily_items,_xlfn.xlookup($C1726,daily_dates,big_daily_table)))</f>
        <v>#NAME?</v>
      </c>
      <c r="E1726" s="1" t="e">
        <f aca="false" t="array" ref="E1726:E1726">IF(ISBLANK(_xlfn.xlookup(E$3,daily_items,_xlfn.xlookup($C1726,daily_dates,big_daily_table))),NA(),_xlfn.xlookup(E$3,daily_items,_xlfn.xlookup($C1726,daily_dates,big_daily_table)))</f>
        <v>#NAME?</v>
      </c>
    </row>
    <row r="1727" customFormat="false" ht="14.25" hidden="false" customHeight="false" outlineLevel="0" collapsed="false">
      <c r="B1727" s="7" t="n">
        <v>42632</v>
      </c>
      <c r="C1727" s="7" t="n">
        <f aca="false">B1727-WEEKDAY(B1727)+1</f>
        <v>42631</v>
      </c>
      <c r="D1727" s="1" t="e">
        <f aca="false" t="array" ref="D1727:D1727">IF(ISBLANK(_xlfn.xlookup(D$3,daily_items,_xlfn.xlookup($C1727,daily_dates,big_daily_table))),NA(),_xlfn.xlookup(D$3,daily_items,_xlfn.xlookup($C1727,daily_dates,big_daily_table)))</f>
        <v>#NAME?</v>
      </c>
      <c r="E1727" s="1" t="e">
        <f aca="false" t="array" ref="E1727:E1727">IF(ISBLANK(_xlfn.xlookup(E$3,daily_items,_xlfn.xlookup($C1727,daily_dates,big_daily_table))),NA(),_xlfn.xlookup(E$3,daily_items,_xlfn.xlookup($C1727,daily_dates,big_daily_table)))</f>
        <v>#NAME?</v>
      </c>
    </row>
    <row r="1728" customFormat="false" ht="14.25" hidden="false" customHeight="false" outlineLevel="0" collapsed="false">
      <c r="B1728" s="7" t="n">
        <v>42633</v>
      </c>
      <c r="C1728" s="7" t="n">
        <f aca="false">B1728-WEEKDAY(B1728)+1</f>
        <v>42631</v>
      </c>
      <c r="D1728" s="1" t="e">
        <f aca="false" t="array" ref="D1728:D1728">IF(ISBLANK(_xlfn.xlookup(D$3,daily_items,_xlfn.xlookup($C1728,daily_dates,big_daily_table))),NA(),_xlfn.xlookup(D$3,daily_items,_xlfn.xlookup($C1728,daily_dates,big_daily_table)))</f>
        <v>#NAME?</v>
      </c>
      <c r="E1728" s="1" t="e">
        <f aca="false" t="array" ref="E1728:E1728">IF(ISBLANK(_xlfn.xlookup(E$3,daily_items,_xlfn.xlookup($C1728,daily_dates,big_daily_table))),NA(),_xlfn.xlookup(E$3,daily_items,_xlfn.xlookup($C1728,daily_dates,big_daily_table)))</f>
        <v>#NAME?</v>
      </c>
    </row>
    <row r="1729" customFormat="false" ht="14.25" hidden="false" customHeight="false" outlineLevel="0" collapsed="false">
      <c r="B1729" s="7" t="n">
        <v>42634</v>
      </c>
      <c r="C1729" s="7" t="n">
        <f aca="false">B1729-WEEKDAY(B1729)+1</f>
        <v>42631</v>
      </c>
      <c r="D1729" s="1" t="e">
        <f aca="false" t="array" ref="D1729:D1729">IF(ISBLANK(_xlfn.xlookup(D$3,daily_items,_xlfn.xlookup($C1729,daily_dates,big_daily_table))),NA(),_xlfn.xlookup(D$3,daily_items,_xlfn.xlookup($C1729,daily_dates,big_daily_table)))</f>
        <v>#NAME?</v>
      </c>
      <c r="E1729" s="1" t="e">
        <f aca="false" t="array" ref="E1729:E1729">IF(ISBLANK(_xlfn.xlookup(E$3,daily_items,_xlfn.xlookup($C1729,daily_dates,big_daily_table))),NA(),_xlfn.xlookup(E$3,daily_items,_xlfn.xlookup($C1729,daily_dates,big_daily_table)))</f>
        <v>#NAME?</v>
      </c>
    </row>
    <row r="1730" customFormat="false" ht="14.25" hidden="false" customHeight="false" outlineLevel="0" collapsed="false">
      <c r="B1730" s="7" t="n">
        <v>42635</v>
      </c>
      <c r="C1730" s="7" t="n">
        <f aca="false">B1730-WEEKDAY(B1730)+1</f>
        <v>42631</v>
      </c>
      <c r="D1730" s="1" t="e">
        <f aca="false" t="array" ref="D1730:D1730">IF(ISBLANK(_xlfn.xlookup(D$3,daily_items,_xlfn.xlookup($C1730,daily_dates,big_daily_table))),NA(),_xlfn.xlookup(D$3,daily_items,_xlfn.xlookup($C1730,daily_dates,big_daily_table)))</f>
        <v>#NAME?</v>
      </c>
      <c r="E1730" s="1" t="e">
        <f aca="false" t="array" ref="E1730:E1730">IF(ISBLANK(_xlfn.xlookup(E$3,daily_items,_xlfn.xlookup($C1730,daily_dates,big_daily_table))),NA(),_xlfn.xlookup(E$3,daily_items,_xlfn.xlookup($C1730,daily_dates,big_daily_table)))</f>
        <v>#NAME?</v>
      </c>
    </row>
    <row r="1731" customFormat="false" ht="14.25" hidden="false" customHeight="false" outlineLevel="0" collapsed="false">
      <c r="B1731" s="7" t="n">
        <v>42636</v>
      </c>
      <c r="C1731" s="7" t="n">
        <f aca="false">B1731-WEEKDAY(B1731)+1</f>
        <v>42631</v>
      </c>
      <c r="D1731" s="1" t="e">
        <f aca="false" t="array" ref="D1731:D1731">IF(ISBLANK(_xlfn.xlookup(D$3,daily_items,_xlfn.xlookup($C1731,daily_dates,big_daily_table))),NA(),_xlfn.xlookup(D$3,daily_items,_xlfn.xlookup($C1731,daily_dates,big_daily_table)))</f>
        <v>#NAME?</v>
      </c>
      <c r="E1731" s="1" t="e">
        <f aca="false" t="array" ref="E1731:E1731">IF(ISBLANK(_xlfn.xlookup(E$3,daily_items,_xlfn.xlookup($C1731,daily_dates,big_daily_table))),NA(),_xlfn.xlookup(E$3,daily_items,_xlfn.xlookup($C1731,daily_dates,big_daily_table)))</f>
        <v>#NAME?</v>
      </c>
    </row>
    <row r="1732" customFormat="false" ht="14.25" hidden="false" customHeight="false" outlineLevel="0" collapsed="false">
      <c r="B1732" s="7" t="n">
        <v>42637</v>
      </c>
      <c r="C1732" s="7" t="n">
        <f aca="false">B1732-WEEKDAY(B1732)+1</f>
        <v>42631</v>
      </c>
      <c r="D1732" s="1" t="e">
        <f aca="false" t="array" ref="D1732:D1732">IF(ISBLANK(_xlfn.xlookup(D$3,daily_items,_xlfn.xlookup($C1732,daily_dates,big_daily_table))),NA(),_xlfn.xlookup(D$3,daily_items,_xlfn.xlookup($C1732,daily_dates,big_daily_table)))</f>
        <v>#NAME?</v>
      </c>
      <c r="E1732" s="1" t="e">
        <f aca="false" t="array" ref="E1732:E1732">IF(ISBLANK(_xlfn.xlookup(E$3,daily_items,_xlfn.xlookup($C1732,daily_dates,big_daily_table))),NA(),_xlfn.xlookup(E$3,daily_items,_xlfn.xlookup($C1732,daily_dates,big_daily_table)))</f>
        <v>#NAME?</v>
      </c>
    </row>
    <row r="1733" customFormat="false" ht="14.25" hidden="false" customHeight="false" outlineLevel="0" collapsed="false">
      <c r="B1733" s="7" t="n">
        <v>42638</v>
      </c>
      <c r="C1733" s="7" t="n">
        <f aca="false">B1733-WEEKDAY(B1733)+1</f>
        <v>42638</v>
      </c>
      <c r="D1733" s="1" t="e">
        <f aca="false" t="array" ref="D1733:D1733">IF(ISBLANK(_xlfn.xlookup(D$3,daily_items,_xlfn.xlookup($C1733,daily_dates,big_daily_table))),NA(),_xlfn.xlookup(D$3,daily_items,_xlfn.xlookup($C1733,daily_dates,big_daily_table)))</f>
        <v>#NAME?</v>
      </c>
      <c r="E1733" s="1" t="e">
        <f aca="false" t="array" ref="E1733:E1733">IF(ISBLANK(_xlfn.xlookup(E$3,daily_items,_xlfn.xlookup($C1733,daily_dates,big_daily_table))),NA(),_xlfn.xlookup(E$3,daily_items,_xlfn.xlookup($C1733,daily_dates,big_daily_table)))</f>
        <v>#NAME?</v>
      </c>
    </row>
    <row r="1734" customFormat="false" ht="14.25" hidden="false" customHeight="false" outlineLevel="0" collapsed="false">
      <c r="B1734" s="7" t="n">
        <v>42639</v>
      </c>
      <c r="C1734" s="7" t="n">
        <f aca="false">B1734-WEEKDAY(B1734)+1</f>
        <v>42638</v>
      </c>
      <c r="D1734" s="1" t="e">
        <f aca="false" t="array" ref="D1734:D1734">IF(ISBLANK(_xlfn.xlookup(D$3,daily_items,_xlfn.xlookup($C1734,daily_dates,big_daily_table))),NA(),_xlfn.xlookup(D$3,daily_items,_xlfn.xlookup($C1734,daily_dates,big_daily_table)))</f>
        <v>#NAME?</v>
      </c>
      <c r="E1734" s="1" t="e">
        <f aca="false" t="array" ref="E1734:E1734">IF(ISBLANK(_xlfn.xlookup(E$3,daily_items,_xlfn.xlookup($C1734,daily_dates,big_daily_table))),NA(),_xlfn.xlookup(E$3,daily_items,_xlfn.xlookup($C1734,daily_dates,big_daily_table)))</f>
        <v>#NAME?</v>
      </c>
    </row>
    <row r="1735" customFormat="false" ht="14.25" hidden="false" customHeight="false" outlineLevel="0" collapsed="false">
      <c r="B1735" s="7" t="n">
        <v>42640</v>
      </c>
      <c r="C1735" s="7" t="n">
        <f aca="false">B1735-WEEKDAY(B1735)+1</f>
        <v>42638</v>
      </c>
      <c r="D1735" s="1" t="e">
        <f aca="false" t="array" ref="D1735:D1735">IF(ISBLANK(_xlfn.xlookup(D$3,daily_items,_xlfn.xlookup($C1735,daily_dates,big_daily_table))),NA(),_xlfn.xlookup(D$3,daily_items,_xlfn.xlookup($C1735,daily_dates,big_daily_table)))</f>
        <v>#NAME?</v>
      </c>
      <c r="E1735" s="1" t="e">
        <f aca="false" t="array" ref="E1735:E1735">IF(ISBLANK(_xlfn.xlookup(E$3,daily_items,_xlfn.xlookup($C1735,daily_dates,big_daily_table))),NA(),_xlfn.xlookup(E$3,daily_items,_xlfn.xlookup($C1735,daily_dates,big_daily_table)))</f>
        <v>#NAME?</v>
      </c>
    </row>
    <row r="1736" customFormat="false" ht="14.25" hidden="false" customHeight="false" outlineLevel="0" collapsed="false">
      <c r="B1736" s="7" t="n">
        <v>42641</v>
      </c>
      <c r="C1736" s="7" t="n">
        <f aca="false">B1736-WEEKDAY(B1736)+1</f>
        <v>42638</v>
      </c>
      <c r="D1736" s="1" t="e">
        <f aca="false" t="array" ref="D1736:D1736">IF(ISBLANK(_xlfn.xlookup(D$3,daily_items,_xlfn.xlookup($C1736,daily_dates,big_daily_table))),NA(),_xlfn.xlookup(D$3,daily_items,_xlfn.xlookup($C1736,daily_dates,big_daily_table)))</f>
        <v>#NAME?</v>
      </c>
      <c r="E1736" s="1" t="e">
        <f aca="false" t="array" ref="E1736:E1736">IF(ISBLANK(_xlfn.xlookup(E$3,daily_items,_xlfn.xlookup($C1736,daily_dates,big_daily_table))),NA(),_xlfn.xlookup(E$3,daily_items,_xlfn.xlookup($C1736,daily_dates,big_daily_table)))</f>
        <v>#NAME?</v>
      </c>
    </row>
    <row r="1737" customFormat="false" ht="14.25" hidden="false" customHeight="false" outlineLevel="0" collapsed="false">
      <c r="B1737" s="7" t="n">
        <v>42642</v>
      </c>
      <c r="C1737" s="7" t="n">
        <f aca="false">B1737-WEEKDAY(B1737)+1</f>
        <v>42638</v>
      </c>
      <c r="D1737" s="1" t="e">
        <f aca="false" t="array" ref="D1737:D1737">IF(ISBLANK(_xlfn.xlookup(D$3,daily_items,_xlfn.xlookup($C1737,daily_dates,big_daily_table))),NA(),_xlfn.xlookup(D$3,daily_items,_xlfn.xlookup($C1737,daily_dates,big_daily_table)))</f>
        <v>#NAME?</v>
      </c>
      <c r="E1737" s="1" t="e">
        <f aca="false" t="array" ref="E1737:E1737">IF(ISBLANK(_xlfn.xlookup(E$3,daily_items,_xlfn.xlookup($C1737,daily_dates,big_daily_table))),NA(),_xlfn.xlookup(E$3,daily_items,_xlfn.xlookup($C1737,daily_dates,big_daily_table)))</f>
        <v>#NAME?</v>
      </c>
    </row>
    <row r="1738" customFormat="false" ht="14.25" hidden="false" customHeight="false" outlineLevel="0" collapsed="false">
      <c r="B1738" s="7" t="n">
        <v>42643</v>
      </c>
      <c r="C1738" s="7" t="n">
        <f aca="false">B1738-WEEKDAY(B1738)+1</f>
        <v>42638</v>
      </c>
      <c r="D1738" s="1" t="e">
        <f aca="false" t="array" ref="D1738:D1738">IF(ISBLANK(_xlfn.xlookup(D$3,daily_items,_xlfn.xlookup($C1738,daily_dates,big_daily_table))),NA(),_xlfn.xlookup(D$3,daily_items,_xlfn.xlookup($C1738,daily_dates,big_daily_table)))</f>
        <v>#NAME?</v>
      </c>
      <c r="E1738" s="1" t="e">
        <f aca="false" t="array" ref="E1738:E1738">IF(ISBLANK(_xlfn.xlookup(E$3,daily_items,_xlfn.xlookup($C1738,daily_dates,big_daily_table))),NA(),_xlfn.xlookup(E$3,daily_items,_xlfn.xlookup($C1738,daily_dates,big_daily_table)))</f>
        <v>#NAME?</v>
      </c>
    </row>
    <row r="1739" customFormat="false" ht="14.25" hidden="false" customHeight="false" outlineLevel="0" collapsed="false">
      <c r="B1739" s="7" t="n">
        <v>42644</v>
      </c>
      <c r="C1739" s="7" t="n">
        <f aca="false">B1739-WEEKDAY(B1739)+1</f>
        <v>42638</v>
      </c>
      <c r="D1739" s="1" t="e">
        <f aca="false" t="array" ref="D1739:D1739">IF(ISBLANK(_xlfn.xlookup(D$3,daily_items,_xlfn.xlookup($C1739,daily_dates,big_daily_table))),NA(),_xlfn.xlookup(D$3,daily_items,_xlfn.xlookup($C1739,daily_dates,big_daily_table)))</f>
        <v>#NAME?</v>
      </c>
      <c r="E1739" s="1" t="e">
        <f aca="false" t="array" ref="E1739:E1739">IF(ISBLANK(_xlfn.xlookup(E$3,daily_items,_xlfn.xlookup($C1739,daily_dates,big_daily_table))),NA(),_xlfn.xlookup(E$3,daily_items,_xlfn.xlookup($C1739,daily_dates,big_daily_table)))</f>
        <v>#NAME?</v>
      </c>
    </row>
    <row r="1740" customFormat="false" ht="14.25" hidden="false" customHeight="false" outlineLevel="0" collapsed="false">
      <c r="B1740" s="7" t="n">
        <v>42645</v>
      </c>
      <c r="C1740" s="7" t="n">
        <f aca="false">B1740-WEEKDAY(B1740)+1</f>
        <v>42645</v>
      </c>
      <c r="D1740" s="1" t="e">
        <f aca="false" t="array" ref="D1740:D1740">IF(ISBLANK(_xlfn.xlookup(D$3,daily_items,_xlfn.xlookup($C1740,daily_dates,big_daily_table))),NA(),_xlfn.xlookup(D$3,daily_items,_xlfn.xlookup($C1740,daily_dates,big_daily_table)))</f>
        <v>#NAME?</v>
      </c>
      <c r="E1740" s="1" t="e">
        <f aca="false" t="array" ref="E1740:E1740">IF(ISBLANK(_xlfn.xlookup(E$3,daily_items,_xlfn.xlookup($C1740,daily_dates,big_daily_table))),NA(),_xlfn.xlookup(E$3,daily_items,_xlfn.xlookup($C1740,daily_dates,big_daily_table)))</f>
        <v>#NAME?</v>
      </c>
    </row>
    <row r="1741" customFormat="false" ht="14.25" hidden="false" customHeight="false" outlineLevel="0" collapsed="false">
      <c r="B1741" s="7" t="n">
        <v>42646</v>
      </c>
      <c r="C1741" s="7" t="n">
        <f aca="false">B1741-WEEKDAY(B1741)+1</f>
        <v>42645</v>
      </c>
      <c r="D1741" s="1" t="e">
        <f aca="false" t="array" ref="D1741:D1741">IF(ISBLANK(_xlfn.xlookup(D$3,daily_items,_xlfn.xlookup($C1741,daily_dates,big_daily_table))),NA(),_xlfn.xlookup(D$3,daily_items,_xlfn.xlookup($C1741,daily_dates,big_daily_table)))</f>
        <v>#NAME?</v>
      </c>
      <c r="E1741" s="1" t="e">
        <f aca="false" t="array" ref="E1741:E1741">IF(ISBLANK(_xlfn.xlookup(E$3,daily_items,_xlfn.xlookup($C1741,daily_dates,big_daily_table))),NA(),_xlfn.xlookup(E$3,daily_items,_xlfn.xlookup($C1741,daily_dates,big_daily_table)))</f>
        <v>#NAME?</v>
      </c>
    </row>
    <row r="1742" customFormat="false" ht="14.25" hidden="false" customHeight="false" outlineLevel="0" collapsed="false">
      <c r="B1742" s="7" t="n">
        <v>42647</v>
      </c>
      <c r="C1742" s="7" t="n">
        <f aca="false">B1742-WEEKDAY(B1742)+1</f>
        <v>42645</v>
      </c>
      <c r="D1742" s="1" t="e">
        <f aca="false" t="array" ref="D1742:D1742">IF(ISBLANK(_xlfn.xlookup(D$3,daily_items,_xlfn.xlookup($C1742,daily_dates,big_daily_table))),NA(),_xlfn.xlookup(D$3,daily_items,_xlfn.xlookup($C1742,daily_dates,big_daily_table)))</f>
        <v>#NAME?</v>
      </c>
      <c r="E1742" s="1" t="e">
        <f aca="false" t="array" ref="E1742:E1742">IF(ISBLANK(_xlfn.xlookup(E$3,daily_items,_xlfn.xlookup($C1742,daily_dates,big_daily_table))),NA(),_xlfn.xlookup(E$3,daily_items,_xlfn.xlookup($C1742,daily_dates,big_daily_table)))</f>
        <v>#NAME?</v>
      </c>
    </row>
    <row r="1743" customFormat="false" ht="14.25" hidden="false" customHeight="false" outlineLevel="0" collapsed="false">
      <c r="B1743" s="7" t="n">
        <v>42648</v>
      </c>
      <c r="C1743" s="7" t="n">
        <f aca="false">B1743-WEEKDAY(B1743)+1</f>
        <v>42645</v>
      </c>
      <c r="D1743" s="1" t="e">
        <f aca="false" t="array" ref="D1743:D1743">IF(ISBLANK(_xlfn.xlookup(D$3,daily_items,_xlfn.xlookup($C1743,daily_dates,big_daily_table))),NA(),_xlfn.xlookup(D$3,daily_items,_xlfn.xlookup($C1743,daily_dates,big_daily_table)))</f>
        <v>#NAME?</v>
      </c>
      <c r="E1743" s="1" t="e">
        <f aca="false" t="array" ref="E1743:E1743">IF(ISBLANK(_xlfn.xlookup(E$3,daily_items,_xlfn.xlookup($C1743,daily_dates,big_daily_table))),NA(),_xlfn.xlookup(E$3,daily_items,_xlfn.xlookup($C1743,daily_dates,big_daily_table)))</f>
        <v>#NAME?</v>
      </c>
    </row>
    <row r="1744" customFormat="false" ht="14.25" hidden="false" customHeight="false" outlineLevel="0" collapsed="false">
      <c r="B1744" s="7" t="n">
        <v>42649</v>
      </c>
      <c r="C1744" s="7" t="n">
        <f aca="false">B1744-WEEKDAY(B1744)+1</f>
        <v>42645</v>
      </c>
      <c r="D1744" s="1" t="e">
        <f aca="false" t="array" ref="D1744:D1744">IF(ISBLANK(_xlfn.xlookup(D$3,daily_items,_xlfn.xlookup($C1744,daily_dates,big_daily_table))),NA(),_xlfn.xlookup(D$3,daily_items,_xlfn.xlookup($C1744,daily_dates,big_daily_table)))</f>
        <v>#NAME?</v>
      </c>
      <c r="E1744" s="1" t="e">
        <f aca="false" t="array" ref="E1744:E1744">IF(ISBLANK(_xlfn.xlookup(E$3,daily_items,_xlfn.xlookup($C1744,daily_dates,big_daily_table))),NA(),_xlfn.xlookup(E$3,daily_items,_xlfn.xlookup($C1744,daily_dates,big_daily_table)))</f>
        <v>#NAME?</v>
      </c>
    </row>
    <row r="1745" customFormat="false" ht="14.25" hidden="false" customHeight="false" outlineLevel="0" collapsed="false">
      <c r="B1745" s="7" t="n">
        <v>42650</v>
      </c>
      <c r="C1745" s="7" t="n">
        <f aca="false">B1745-WEEKDAY(B1745)+1</f>
        <v>42645</v>
      </c>
      <c r="D1745" s="1" t="e">
        <f aca="false" t="array" ref="D1745:D1745">IF(ISBLANK(_xlfn.xlookup(D$3,daily_items,_xlfn.xlookup($C1745,daily_dates,big_daily_table))),NA(),_xlfn.xlookup(D$3,daily_items,_xlfn.xlookup($C1745,daily_dates,big_daily_table)))</f>
        <v>#NAME?</v>
      </c>
      <c r="E1745" s="1" t="e">
        <f aca="false" t="array" ref="E1745:E1745">IF(ISBLANK(_xlfn.xlookup(E$3,daily_items,_xlfn.xlookup($C1745,daily_dates,big_daily_table))),NA(),_xlfn.xlookup(E$3,daily_items,_xlfn.xlookup($C1745,daily_dates,big_daily_table)))</f>
        <v>#NAME?</v>
      </c>
    </row>
    <row r="1746" customFormat="false" ht="14.25" hidden="false" customHeight="false" outlineLevel="0" collapsed="false">
      <c r="B1746" s="7" t="n">
        <v>42651</v>
      </c>
      <c r="C1746" s="7" t="n">
        <f aca="false">B1746-WEEKDAY(B1746)+1</f>
        <v>42645</v>
      </c>
      <c r="D1746" s="1" t="e">
        <f aca="false" t="array" ref="D1746:D1746">IF(ISBLANK(_xlfn.xlookup(D$3,daily_items,_xlfn.xlookup($C1746,daily_dates,big_daily_table))),NA(),_xlfn.xlookup(D$3,daily_items,_xlfn.xlookup($C1746,daily_dates,big_daily_table)))</f>
        <v>#NAME?</v>
      </c>
      <c r="E1746" s="1" t="e">
        <f aca="false" t="array" ref="E1746:E1746">IF(ISBLANK(_xlfn.xlookup(E$3,daily_items,_xlfn.xlookup($C1746,daily_dates,big_daily_table))),NA(),_xlfn.xlookup(E$3,daily_items,_xlfn.xlookup($C1746,daily_dates,big_daily_table)))</f>
        <v>#NAME?</v>
      </c>
    </row>
    <row r="1747" customFormat="false" ht="14.25" hidden="false" customHeight="false" outlineLevel="0" collapsed="false">
      <c r="B1747" s="7" t="n">
        <v>42652</v>
      </c>
      <c r="C1747" s="7" t="n">
        <f aca="false">B1747-WEEKDAY(B1747)+1</f>
        <v>42652</v>
      </c>
      <c r="D1747" s="1" t="e">
        <f aca="false" t="array" ref="D1747:D1747">IF(ISBLANK(_xlfn.xlookup(D$3,daily_items,_xlfn.xlookup($C1747,daily_dates,big_daily_table))),NA(),_xlfn.xlookup(D$3,daily_items,_xlfn.xlookup($C1747,daily_dates,big_daily_table)))</f>
        <v>#NAME?</v>
      </c>
      <c r="E1747" s="1" t="e">
        <f aca="false" t="array" ref="E1747:E1747">IF(ISBLANK(_xlfn.xlookup(E$3,daily_items,_xlfn.xlookup($C1747,daily_dates,big_daily_table))),NA(),_xlfn.xlookup(E$3,daily_items,_xlfn.xlookup($C1747,daily_dates,big_daily_table)))</f>
        <v>#NAME?</v>
      </c>
    </row>
    <row r="1748" customFormat="false" ht="14.25" hidden="false" customHeight="false" outlineLevel="0" collapsed="false">
      <c r="B1748" s="7" t="n">
        <v>42653</v>
      </c>
      <c r="C1748" s="7" t="n">
        <f aca="false">B1748-WEEKDAY(B1748)+1</f>
        <v>42652</v>
      </c>
      <c r="D1748" s="1" t="e">
        <f aca="false" t="array" ref="D1748:D1748">IF(ISBLANK(_xlfn.xlookup(D$3,daily_items,_xlfn.xlookup($C1748,daily_dates,big_daily_table))),NA(),_xlfn.xlookup(D$3,daily_items,_xlfn.xlookup($C1748,daily_dates,big_daily_table)))</f>
        <v>#NAME?</v>
      </c>
      <c r="E1748" s="1" t="e">
        <f aca="false" t="array" ref="E1748:E1748">IF(ISBLANK(_xlfn.xlookup(E$3,daily_items,_xlfn.xlookup($C1748,daily_dates,big_daily_table))),NA(),_xlfn.xlookup(E$3,daily_items,_xlfn.xlookup($C1748,daily_dates,big_daily_table)))</f>
        <v>#NAME?</v>
      </c>
    </row>
    <row r="1749" customFormat="false" ht="14.25" hidden="false" customHeight="false" outlineLevel="0" collapsed="false">
      <c r="B1749" s="7" t="n">
        <v>42654</v>
      </c>
      <c r="C1749" s="7" t="n">
        <f aca="false">B1749-WEEKDAY(B1749)+1</f>
        <v>42652</v>
      </c>
      <c r="D1749" s="1" t="e">
        <f aca="false" t="array" ref="D1749:D1749">IF(ISBLANK(_xlfn.xlookup(D$3,daily_items,_xlfn.xlookup($C1749,daily_dates,big_daily_table))),NA(),_xlfn.xlookup(D$3,daily_items,_xlfn.xlookup($C1749,daily_dates,big_daily_table)))</f>
        <v>#NAME?</v>
      </c>
      <c r="E1749" s="1" t="e">
        <f aca="false" t="array" ref="E1749:E1749">IF(ISBLANK(_xlfn.xlookup(E$3,daily_items,_xlfn.xlookup($C1749,daily_dates,big_daily_table))),NA(),_xlfn.xlookup(E$3,daily_items,_xlfn.xlookup($C1749,daily_dates,big_daily_table)))</f>
        <v>#NAME?</v>
      </c>
    </row>
    <row r="1750" customFormat="false" ht="14.25" hidden="false" customHeight="false" outlineLevel="0" collapsed="false">
      <c r="B1750" s="7" t="n">
        <v>42655</v>
      </c>
      <c r="C1750" s="7" t="n">
        <f aca="false">B1750-WEEKDAY(B1750)+1</f>
        <v>42652</v>
      </c>
      <c r="D1750" s="1" t="e">
        <f aca="false" t="array" ref="D1750:D1750">IF(ISBLANK(_xlfn.xlookup(D$3,daily_items,_xlfn.xlookup($C1750,daily_dates,big_daily_table))),NA(),_xlfn.xlookup(D$3,daily_items,_xlfn.xlookup($C1750,daily_dates,big_daily_table)))</f>
        <v>#NAME?</v>
      </c>
      <c r="E1750" s="1" t="e">
        <f aca="false" t="array" ref="E1750:E1750">IF(ISBLANK(_xlfn.xlookup(E$3,daily_items,_xlfn.xlookup($C1750,daily_dates,big_daily_table))),NA(),_xlfn.xlookup(E$3,daily_items,_xlfn.xlookup($C1750,daily_dates,big_daily_table)))</f>
        <v>#NAME?</v>
      </c>
    </row>
    <row r="1751" customFormat="false" ht="14.25" hidden="false" customHeight="false" outlineLevel="0" collapsed="false">
      <c r="B1751" s="7" t="n">
        <v>42656</v>
      </c>
      <c r="C1751" s="7" t="n">
        <f aca="false">B1751-WEEKDAY(B1751)+1</f>
        <v>42652</v>
      </c>
      <c r="D1751" s="1" t="e">
        <f aca="false" t="array" ref="D1751:D1751">IF(ISBLANK(_xlfn.xlookup(D$3,daily_items,_xlfn.xlookup($C1751,daily_dates,big_daily_table))),NA(),_xlfn.xlookup(D$3,daily_items,_xlfn.xlookup($C1751,daily_dates,big_daily_table)))</f>
        <v>#NAME?</v>
      </c>
      <c r="E1751" s="1" t="e">
        <f aca="false" t="array" ref="E1751:E1751">IF(ISBLANK(_xlfn.xlookup(E$3,daily_items,_xlfn.xlookup($C1751,daily_dates,big_daily_table))),NA(),_xlfn.xlookup(E$3,daily_items,_xlfn.xlookup($C1751,daily_dates,big_daily_table)))</f>
        <v>#NAME?</v>
      </c>
    </row>
    <row r="1752" customFormat="false" ht="14.25" hidden="false" customHeight="false" outlineLevel="0" collapsed="false">
      <c r="B1752" s="7" t="n">
        <v>42657</v>
      </c>
      <c r="C1752" s="7" t="n">
        <f aca="false">B1752-WEEKDAY(B1752)+1</f>
        <v>42652</v>
      </c>
      <c r="D1752" s="1" t="e">
        <f aca="false" t="array" ref="D1752:D1752">IF(ISBLANK(_xlfn.xlookup(D$3,daily_items,_xlfn.xlookup($C1752,daily_dates,big_daily_table))),NA(),_xlfn.xlookup(D$3,daily_items,_xlfn.xlookup($C1752,daily_dates,big_daily_table)))</f>
        <v>#NAME?</v>
      </c>
      <c r="E1752" s="1" t="e">
        <f aca="false" t="array" ref="E1752:E1752">IF(ISBLANK(_xlfn.xlookup(E$3,daily_items,_xlfn.xlookup($C1752,daily_dates,big_daily_table))),NA(),_xlfn.xlookup(E$3,daily_items,_xlfn.xlookup($C1752,daily_dates,big_daily_table)))</f>
        <v>#NAME?</v>
      </c>
    </row>
    <row r="1753" customFormat="false" ht="14.25" hidden="false" customHeight="false" outlineLevel="0" collapsed="false">
      <c r="B1753" s="7" t="n">
        <v>42658</v>
      </c>
      <c r="C1753" s="7" t="n">
        <f aca="false">B1753-WEEKDAY(B1753)+1</f>
        <v>42652</v>
      </c>
      <c r="D1753" s="1" t="e">
        <f aca="false" t="array" ref="D1753:D1753">IF(ISBLANK(_xlfn.xlookup(D$3,daily_items,_xlfn.xlookup($C1753,daily_dates,big_daily_table))),NA(),_xlfn.xlookup(D$3,daily_items,_xlfn.xlookup($C1753,daily_dates,big_daily_table)))</f>
        <v>#NAME?</v>
      </c>
      <c r="E1753" s="1" t="e">
        <f aca="false" t="array" ref="E1753:E1753">IF(ISBLANK(_xlfn.xlookup(E$3,daily_items,_xlfn.xlookup($C1753,daily_dates,big_daily_table))),NA(),_xlfn.xlookup(E$3,daily_items,_xlfn.xlookup($C1753,daily_dates,big_daily_table)))</f>
        <v>#NAME?</v>
      </c>
    </row>
    <row r="1754" customFormat="false" ht="14.25" hidden="false" customHeight="false" outlineLevel="0" collapsed="false">
      <c r="B1754" s="7" t="n">
        <v>42659</v>
      </c>
      <c r="C1754" s="7" t="n">
        <f aca="false">B1754-WEEKDAY(B1754)+1</f>
        <v>42659</v>
      </c>
      <c r="D1754" s="1" t="e">
        <f aca="false" t="array" ref="D1754:D1754">IF(ISBLANK(_xlfn.xlookup(D$3,daily_items,_xlfn.xlookup($C1754,daily_dates,big_daily_table))),NA(),_xlfn.xlookup(D$3,daily_items,_xlfn.xlookup($C1754,daily_dates,big_daily_table)))</f>
        <v>#NAME?</v>
      </c>
      <c r="E1754" s="1" t="e">
        <f aca="false" t="array" ref="E1754:E1754">IF(ISBLANK(_xlfn.xlookup(E$3,daily_items,_xlfn.xlookup($C1754,daily_dates,big_daily_table))),NA(),_xlfn.xlookup(E$3,daily_items,_xlfn.xlookup($C1754,daily_dates,big_daily_table)))</f>
        <v>#NAME?</v>
      </c>
    </row>
    <row r="1755" customFormat="false" ht="14.25" hidden="false" customHeight="false" outlineLevel="0" collapsed="false">
      <c r="B1755" s="7" t="n">
        <v>42660</v>
      </c>
      <c r="C1755" s="7" t="n">
        <f aca="false">B1755-WEEKDAY(B1755)+1</f>
        <v>42659</v>
      </c>
      <c r="D1755" s="1" t="e">
        <f aca="false" t="array" ref="D1755:D1755">IF(ISBLANK(_xlfn.xlookup(D$3,daily_items,_xlfn.xlookup($C1755,daily_dates,big_daily_table))),NA(),_xlfn.xlookup(D$3,daily_items,_xlfn.xlookup($C1755,daily_dates,big_daily_table)))</f>
        <v>#NAME?</v>
      </c>
      <c r="E1755" s="1" t="e">
        <f aca="false" t="array" ref="E1755:E1755">IF(ISBLANK(_xlfn.xlookup(E$3,daily_items,_xlfn.xlookup($C1755,daily_dates,big_daily_table))),NA(),_xlfn.xlookup(E$3,daily_items,_xlfn.xlookup($C1755,daily_dates,big_daily_table)))</f>
        <v>#NAME?</v>
      </c>
    </row>
    <row r="1756" customFormat="false" ht="14.25" hidden="false" customHeight="false" outlineLevel="0" collapsed="false">
      <c r="B1756" s="7" t="n">
        <v>42661</v>
      </c>
      <c r="C1756" s="7" t="n">
        <f aca="false">B1756-WEEKDAY(B1756)+1</f>
        <v>42659</v>
      </c>
      <c r="D1756" s="1" t="e">
        <f aca="false" t="array" ref="D1756:D1756">IF(ISBLANK(_xlfn.xlookup(D$3,daily_items,_xlfn.xlookup($C1756,daily_dates,big_daily_table))),NA(),_xlfn.xlookup(D$3,daily_items,_xlfn.xlookup($C1756,daily_dates,big_daily_table)))</f>
        <v>#NAME?</v>
      </c>
      <c r="E1756" s="1" t="e">
        <f aca="false" t="array" ref="E1756:E1756">IF(ISBLANK(_xlfn.xlookup(E$3,daily_items,_xlfn.xlookup($C1756,daily_dates,big_daily_table))),NA(),_xlfn.xlookup(E$3,daily_items,_xlfn.xlookup($C1756,daily_dates,big_daily_table)))</f>
        <v>#NAME?</v>
      </c>
    </row>
    <row r="1757" customFormat="false" ht="14.25" hidden="false" customHeight="false" outlineLevel="0" collapsed="false">
      <c r="B1757" s="7" t="n">
        <v>42662</v>
      </c>
      <c r="C1757" s="7" t="n">
        <f aca="false">B1757-WEEKDAY(B1757)+1</f>
        <v>42659</v>
      </c>
      <c r="D1757" s="1" t="e">
        <f aca="false" t="array" ref="D1757:D1757">IF(ISBLANK(_xlfn.xlookup(D$3,daily_items,_xlfn.xlookup($C1757,daily_dates,big_daily_table))),NA(),_xlfn.xlookup(D$3,daily_items,_xlfn.xlookup($C1757,daily_dates,big_daily_table)))</f>
        <v>#NAME?</v>
      </c>
      <c r="E1757" s="1" t="e">
        <f aca="false" t="array" ref="E1757:E1757">IF(ISBLANK(_xlfn.xlookup(E$3,daily_items,_xlfn.xlookup($C1757,daily_dates,big_daily_table))),NA(),_xlfn.xlookup(E$3,daily_items,_xlfn.xlookup($C1757,daily_dates,big_daily_table)))</f>
        <v>#NAME?</v>
      </c>
    </row>
    <row r="1758" customFormat="false" ht="14.25" hidden="false" customHeight="false" outlineLevel="0" collapsed="false">
      <c r="B1758" s="7" t="n">
        <v>42663</v>
      </c>
      <c r="C1758" s="7" t="n">
        <f aca="false">B1758-WEEKDAY(B1758)+1</f>
        <v>42659</v>
      </c>
      <c r="D1758" s="1" t="e">
        <f aca="false" t="array" ref="D1758:D1758">IF(ISBLANK(_xlfn.xlookup(D$3,daily_items,_xlfn.xlookup($C1758,daily_dates,big_daily_table))),NA(),_xlfn.xlookup(D$3,daily_items,_xlfn.xlookup($C1758,daily_dates,big_daily_table)))</f>
        <v>#NAME?</v>
      </c>
      <c r="E1758" s="1" t="e">
        <f aca="false" t="array" ref="E1758:E1758">IF(ISBLANK(_xlfn.xlookup(E$3,daily_items,_xlfn.xlookup($C1758,daily_dates,big_daily_table))),NA(),_xlfn.xlookup(E$3,daily_items,_xlfn.xlookup($C1758,daily_dates,big_daily_table)))</f>
        <v>#NAME?</v>
      </c>
    </row>
    <row r="1759" customFormat="false" ht="14.25" hidden="false" customHeight="false" outlineLevel="0" collapsed="false">
      <c r="B1759" s="7" t="n">
        <v>42664</v>
      </c>
      <c r="C1759" s="7" t="n">
        <f aca="false">B1759-WEEKDAY(B1759)+1</f>
        <v>42659</v>
      </c>
      <c r="D1759" s="1" t="e">
        <f aca="false" t="array" ref="D1759:D1759">IF(ISBLANK(_xlfn.xlookup(D$3,daily_items,_xlfn.xlookup($C1759,daily_dates,big_daily_table))),NA(),_xlfn.xlookup(D$3,daily_items,_xlfn.xlookup($C1759,daily_dates,big_daily_table)))</f>
        <v>#NAME?</v>
      </c>
      <c r="E1759" s="1" t="e">
        <f aca="false" t="array" ref="E1759:E1759">IF(ISBLANK(_xlfn.xlookup(E$3,daily_items,_xlfn.xlookup($C1759,daily_dates,big_daily_table))),NA(),_xlfn.xlookup(E$3,daily_items,_xlfn.xlookup($C1759,daily_dates,big_daily_table)))</f>
        <v>#NAME?</v>
      </c>
    </row>
    <row r="1760" customFormat="false" ht="14.25" hidden="false" customHeight="false" outlineLevel="0" collapsed="false">
      <c r="B1760" s="7" t="n">
        <v>42665</v>
      </c>
      <c r="C1760" s="7" t="n">
        <f aca="false">B1760-WEEKDAY(B1760)+1</f>
        <v>42659</v>
      </c>
      <c r="D1760" s="1" t="e">
        <f aca="false" t="array" ref="D1760:D1760">IF(ISBLANK(_xlfn.xlookup(D$3,daily_items,_xlfn.xlookup($C1760,daily_dates,big_daily_table))),NA(),_xlfn.xlookup(D$3,daily_items,_xlfn.xlookup($C1760,daily_dates,big_daily_table)))</f>
        <v>#NAME?</v>
      </c>
      <c r="E1760" s="1" t="e">
        <f aca="false" t="array" ref="E1760:E1760">IF(ISBLANK(_xlfn.xlookup(E$3,daily_items,_xlfn.xlookup($C1760,daily_dates,big_daily_table))),NA(),_xlfn.xlookup(E$3,daily_items,_xlfn.xlookup($C1760,daily_dates,big_daily_table)))</f>
        <v>#NAME?</v>
      </c>
    </row>
    <row r="1761" customFormat="false" ht="14.25" hidden="false" customHeight="false" outlineLevel="0" collapsed="false">
      <c r="B1761" s="7" t="n">
        <v>42666</v>
      </c>
      <c r="C1761" s="7" t="n">
        <f aca="false">B1761-WEEKDAY(B1761)+1</f>
        <v>42666</v>
      </c>
      <c r="D1761" s="1" t="e">
        <f aca="false" t="array" ref="D1761:D1761">IF(ISBLANK(_xlfn.xlookup(D$3,daily_items,_xlfn.xlookup($C1761,daily_dates,big_daily_table))),NA(),_xlfn.xlookup(D$3,daily_items,_xlfn.xlookup($C1761,daily_dates,big_daily_table)))</f>
        <v>#NAME?</v>
      </c>
      <c r="E1761" s="1" t="e">
        <f aca="false" t="array" ref="E1761:E1761">IF(ISBLANK(_xlfn.xlookup(E$3,daily_items,_xlfn.xlookup($C1761,daily_dates,big_daily_table))),NA(),_xlfn.xlookup(E$3,daily_items,_xlfn.xlookup($C1761,daily_dates,big_daily_table)))</f>
        <v>#NAME?</v>
      </c>
    </row>
    <row r="1762" customFormat="false" ht="14.25" hidden="false" customHeight="false" outlineLevel="0" collapsed="false">
      <c r="B1762" s="7" t="n">
        <v>42667</v>
      </c>
      <c r="C1762" s="7" t="n">
        <f aca="false">B1762-WEEKDAY(B1762)+1</f>
        <v>42666</v>
      </c>
      <c r="D1762" s="1" t="e">
        <f aca="false" t="array" ref="D1762:D1762">IF(ISBLANK(_xlfn.xlookup(D$3,daily_items,_xlfn.xlookup($C1762,daily_dates,big_daily_table))),NA(),_xlfn.xlookup(D$3,daily_items,_xlfn.xlookup($C1762,daily_dates,big_daily_table)))</f>
        <v>#NAME?</v>
      </c>
      <c r="E1762" s="1" t="e">
        <f aca="false" t="array" ref="E1762:E1762">IF(ISBLANK(_xlfn.xlookup(E$3,daily_items,_xlfn.xlookup($C1762,daily_dates,big_daily_table))),NA(),_xlfn.xlookup(E$3,daily_items,_xlfn.xlookup($C1762,daily_dates,big_daily_table)))</f>
        <v>#NAME?</v>
      </c>
    </row>
    <row r="1763" customFormat="false" ht="14.25" hidden="false" customHeight="false" outlineLevel="0" collapsed="false">
      <c r="B1763" s="7" t="n">
        <v>42668</v>
      </c>
      <c r="C1763" s="7" t="n">
        <f aca="false">B1763-WEEKDAY(B1763)+1</f>
        <v>42666</v>
      </c>
      <c r="D1763" s="1" t="e">
        <f aca="false" t="array" ref="D1763:D1763">IF(ISBLANK(_xlfn.xlookup(D$3,daily_items,_xlfn.xlookup($C1763,daily_dates,big_daily_table))),NA(),_xlfn.xlookup(D$3,daily_items,_xlfn.xlookup($C1763,daily_dates,big_daily_table)))</f>
        <v>#NAME?</v>
      </c>
      <c r="E1763" s="1" t="e">
        <f aca="false" t="array" ref="E1763:E1763">IF(ISBLANK(_xlfn.xlookup(E$3,daily_items,_xlfn.xlookup($C1763,daily_dates,big_daily_table))),NA(),_xlfn.xlookup(E$3,daily_items,_xlfn.xlookup($C1763,daily_dates,big_daily_table)))</f>
        <v>#NAME?</v>
      </c>
    </row>
    <row r="1764" customFormat="false" ht="14.25" hidden="false" customHeight="false" outlineLevel="0" collapsed="false">
      <c r="B1764" s="7" t="n">
        <v>42669</v>
      </c>
      <c r="C1764" s="7" t="n">
        <f aca="false">B1764-WEEKDAY(B1764)+1</f>
        <v>42666</v>
      </c>
      <c r="D1764" s="1" t="e">
        <f aca="false" t="array" ref="D1764:D1764">IF(ISBLANK(_xlfn.xlookup(D$3,daily_items,_xlfn.xlookup($C1764,daily_dates,big_daily_table))),NA(),_xlfn.xlookup(D$3,daily_items,_xlfn.xlookup($C1764,daily_dates,big_daily_table)))</f>
        <v>#NAME?</v>
      </c>
      <c r="E1764" s="1" t="e">
        <f aca="false" t="array" ref="E1764:E1764">IF(ISBLANK(_xlfn.xlookup(E$3,daily_items,_xlfn.xlookup($C1764,daily_dates,big_daily_table))),NA(),_xlfn.xlookup(E$3,daily_items,_xlfn.xlookup($C1764,daily_dates,big_daily_table)))</f>
        <v>#NAME?</v>
      </c>
    </row>
    <row r="1765" customFormat="false" ht="14.25" hidden="false" customHeight="false" outlineLevel="0" collapsed="false">
      <c r="B1765" s="7" t="n">
        <v>42670</v>
      </c>
      <c r="C1765" s="7" t="n">
        <f aca="false">B1765-WEEKDAY(B1765)+1</f>
        <v>42666</v>
      </c>
      <c r="D1765" s="1" t="e">
        <f aca="false" t="array" ref="D1765:D1765">IF(ISBLANK(_xlfn.xlookup(D$3,daily_items,_xlfn.xlookup($C1765,daily_dates,big_daily_table))),NA(),_xlfn.xlookup(D$3,daily_items,_xlfn.xlookup($C1765,daily_dates,big_daily_table)))</f>
        <v>#NAME?</v>
      </c>
      <c r="E1765" s="1" t="e">
        <f aca="false" t="array" ref="E1765:E1765">IF(ISBLANK(_xlfn.xlookup(E$3,daily_items,_xlfn.xlookup($C1765,daily_dates,big_daily_table))),NA(),_xlfn.xlookup(E$3,daily_items,_xlfn.xlookup($C1765,daily_dates,big_daily_table)))</f>
        <v>#NAME?</v>
      </c>
    </row>
    <row r="1766" customFormat="false" ht="14.25" hidden="false" customHeight="false" outlineLevel="0" collapsed="false">
      <c r="B1766" s="7" t="n">
        <v>42671</v>
      </c>
      <c r="C1766" s="7" t="n">
        <f aca="false">B1766-WEEKDAY(B1766)+1</f>
        <v>42666</v>
      </c>
      <c r="D1766" s="1" t="e">
        <f aca="false" t="array" ref="D1766:D1766">IF(ISBLANK(_xlfn.xlookup(D$3,daily_items,_xlfn.xlookup($C1766,daily_dates,big_daily_table))),NA(),_xlfn.xlookup(D$3,daily_items,_xlfn.xlookup($C1766,daily_dates,big_daily_table)))</f>
        <v>#NAME?</v>
      </c>
      <c r="E1766" s="1" t="e">
        <f aca="false" t="array" ref="E1766:E1766">IF(ISBLANK(_xlfn.xlookup(E$3,daily_items,_xlfn.xlookup($C1766,daily_dates,big_daily_table))),NA(),_xlfn.xlookup(E$3,daily_items,_xlfn.xlookup($C1766,daily_dates,big_daily_table)))</f>
        <v>#NAME?</v>
      </c>
    </row>
    <row r="1767" customFormat="false" ht="14.25" hidden="false" customHeight="false" outlineLevel="0" collapsed="false">
      <c r="B1767" s="7" t="n">
        <v>42672</v>
      </c>
      <c r="C1767" s="7" t="n">
        <f aca="false">B1767-WEEKDAY(B1767)+1</f>
        <v>42666</v>
      </c>
      <c r="D1767" s="1" t="e">
        <f aca="false" t="array" ref="D1767:D1767">IF(ISBLANK(_xlfn.xlookup(D$3,daily_items,_xlfn.xlookup($C1767,daily_dates,big_daily_table))),NA(),_xlfn.xlookup(D$3,daily_items,_xlfn.xlookup($C1767,daily_dates,big_daily_table)))</f>
        <v>#NAME?</v>
      </c>
      <c r="E1767" s="1" t="e">
        <f aca="false" t="array" ref="E1767:E1767">IF(ISBLANK(_xlfn.xlookup(E$3,daily_items,_xlfn.xlookup($C1767,daily_dates,big_daily_table))),NA(),_xlfn.xlookup(E$3,daily_items,_xlfn.xlookup($C1767,daily_dates,big_daily_table)))</f>
        <v>#NAME?</v>
      </c>
    </row>
    <row r="1768" customFormat="false" ht="14.25" hidden="false" customHeight="false" outlineLevel="0" collapsed="false">
      <c r="B1768" s="7" t="n">
        <v>42673</v>
      </c>
      <c r="C1768" s="7" t="n">
        <f aca="false">B1768-WEEKDAY(B1768)+1</f>
        <v>42673</v>
      </c>
      <c r="D1768" s="1" t="e">
        <f aca="false" t="array" ref="D1768:D1768">IF(ISBLANK(_xlfn.xlookup(D$3,daily_items,_xlfn.xlookup($C1768,daily_dates,big_daily_table))),NA(),_xlfn.xlookup(D$3,daily_items,_xlfn.xlookup($C1768,daily_dates,big_daily_table)))</f>
        <v>#NAME?</v>
      </c>
      <c r="E1768" s="1" t="e">
        <f aca="false" t="array" ref="E1768:E1768">IF(ISBLANK(_xlfn.xlookup(E$3,daily_items,_xlfn.xlookup($C1768,daily_dates,big_daily_table))),NA(),_xlfn.xlookup(E$3,daily_items,_xlfn.xlookup($C1768,daily_dates,big_daily_table)))</f>
        <v>#NAME?</v>
      </c>
    </row>
    <row r="1769" customFormat="false" ht="14.25" hidden="false" customHeight="false" outlineLevel="0" collapsed="false">
      <c r="B1769" s="7" t="n">
        <v>42674</v>
      </c>
      <c r="C1769" s="7" t="n">
        <f aca="false">B1769-WEEKDAY(B1769)+1</f>
        <v>42673</v>
      </c>
      <c r="D1769" s="1" t="e">
        <f aca="false" t="array" ref="D1769:D1769">IF(ISBLANK(_xlfn.xlookup(D$3,daily_items,_xlfn.xlookup($C1769,daily_dates,big_daily_table))),NA(),_xlfn.xlookup(D$3,daily_items,_xlfn.xlookup($C1769,daily_dates,big_daily_table)))</f>
        <v>#NAME?</v>
      </c>
      <c r="E1769" s="1" t="e">
        <f aca="false" t="array" ref="E1769:E1769">IF(ISBLANK(_xlfn.xlookup(E$3,daily_items,_xlfn.xlookup($C1769,daily_dates,big_daily_table))),NA(),_xlfn.xlookup(E$3,daily_items,_xlfn.xlookup($C1769,daily_dates,big_daily_table)))</f>
        <v>#NAME?</v>
      </c>
    </row>
    <row r="1770" customFormat="false" ht="14.25" hidden="false" customHeight="false" outlineLevel="0" collapsed="false">
      <c r="B1770" s="7" t="n">
        <v>42675</v>
      </c>
      <c r="C1770" s="7" t="n">
        <f aca="false">B1770-WEEKDAY(B1770)+1</f>
        <v>42673</v>
      </c>
      <c r="D1770" s="1" t="e">
        <f aca="false" t="array" ref="D1770:D1770">IF(ISBLANK(_xlfn.xlookup(D$3,daily_items,_xlfn.xlookup($C1770,daily_dates,big_daily_table))),NA(),_xlfn.xlookup(D$3,daily_items,_xlfn.xlookup($C1770,daily_dates,big_daily_table)))</f>
        <v>#NAME?</v>
      </c>
      <c r="E1770" s="1" t="e">
        <f aca="false" t="array" ref="E1770:E1770">IF(ISBLANK(_xlfn.xlookup(E$3,daily_items,_xlfn.xlookup($C1770,daily_dates,big_daily_table))),NA(),_xlfn.xlookup(E$3,daily_items,_xlfn.xlookup($C1770,daily_dates,big_daily_table)))</f>
        <v>#NAME?</v>
      </c>
    </row>
    <row r="1771" customFormat="false" ht="14.25" hidden="false" customHeight="false" outlineLevel="0" collapsed="false">
      <c r="B1771" s="7" t="n">
        <v>42676</v>
      </c>
      <c r="C1771" s="7" t="n">
        <f aca="false">B1771-WEEKDAY(B1771)+1</f>
        <v>42673</v>
      </c>
      <c r="D1771" s="1" t="e">
        <f aca="false" t="array" ref="D1771:D1771">IF(ISBLANK(_xlfn.xlookup(D$3,daily_items,_xlfn.xlookup($C1771,daily_dates,big_daily_table))),NA(),_xlfn.xlookup(D$3,daily_items,_xlfn.xlookup($C1771,daily_dates,big_daily_table)))</f>
        <v>#NAME?</v>
      </c>
      <c r="E1771" s="1" t="e">
        <f aca="false" t="array" ref="E1771:E1771">IF(ISBLANK(_xlfn.xlookup(E$3,daily_items,_xlfn.xlookup($C1771,daily_dates,big_daily_table))),NA(),_xlfn.xlookup(E$3,daily_items,_xlfn.xlookup($C1771,daily_dates,big_daily_table)))</f>
        <v>#NAME?</v>
      </c>
    </row>
    <row r="1772" customFormat="false" ht="14.25" hidden="false" customHeight="false" outlineLevel="0" collapsed="false">
      <c r="B1772" s="7" t="n">
        <v>42677</v>
      </c>
      <c r="C1772" s="7" t="n">
        <f aca="false">B1772-WEEKDAY(B1772)+1</f>
        <v>42673</v>
      </c>
      <c r="D1772" s="1" t="e">
        <f aca="false" t="array" ref="D1772:D1772">IF(ISBLANK(_xlfn.xlookup(D$3,daily_items,_xlfn.xlookup($C1772,daily_dates,big_daily_table))),NA(),_xlfn.xlookup(D$3,daily_items,_xlfn.xlookup($C1772,daily_dates,big_daily_table)))</f>
        <v>#NAME?</v>
      </c>
      <c r="E1772" s="1" t="e">
        <f aca="false" t="array" ref="E1772:E1772">IF(ISBLANK(_xlfn.xlookup(E$3,daily_items,_xlfn.xlookup($C1772,daily_dates,big_daily_table))),NA(),_xlfn.xlookup(E$3,daily_items,_xlfn.xlookup($C1772,daily_dates,big_daily_table)))</f>
        <v>#NAME?</v>
      </c>
    </row>
    <row r="1773" customFormat="false" ht="14.25" hidden="false" customHeight="false" outlineLevel="0" collapsed="false">
      <c r="B1773" s="7" t="n">
        <v>42678</v>
      </c>
      <c r="C1773" s="7" t="n">
        <f aca="false">B1773-WEEKDAY(B1773)+1</f>
        <v>42673</v>
      </c>
      <c r="D1773" s="1" t="e">
        <f aca="false" t="array" ref="D1773:D1773">IF(ISBLANK(_xlfn.xlookup(D$3,daily_items,_xlfn.xlookup($C1773,daily_dates,big_daily_table))),NA(),_xlfn.xlookup(D$3,daily_items,_xlfn.xlookup($C1773,daily_dates,big_daily_table)))</f>
        <v>#NAME?</v>
      </c>
      <c r="E1773" s="1" t="e">
        <f aca="false" t="array" ref="E1773:E1773">IF(ISBLANK(_xlfn.xlookup(E$3,daily_items,_xlfn.xlookup($C1773,daily_dates,big_daily_table))),NA(),_xlfn.xlookup(E$3,daily_items,_xlfn.xlookup($C1773,daily_dates,big_daily_table)))</f>
        <v>#NAME?</v>
      </c>
    </row>
    <row r="1774" customFormat="false" ht="14.25" hidden="false" customHeight="false" outlineLevel="0" collapsed="false">
      <c r="B1774" s="7" t="n">
        <v>42679</v>
      </c>
      <c r="C1774" s="7" t="n">
        <f aca="false">B1774-WEEKDAY(B1774)+1</f>
        <v>42673</v>
      </c>
      <c r="D1774" s="1" t="e">
        <f aca="false" t="array" ref="D1774:D1774">IF(ISBLANK(_xlfn.xlookup(D$3,daily_items,_xlfn.xlookup($C1774,daily_dates,big_daily_table))),NA(),_xlfn.xlookup(D$3,daily_items,_xlfn.xlookup($C1774,daily_dates,big_daily_table)))</f>
        <v>#NAME?</v>
      </c>
      <c r="E1774" s="1" t="e">
        <f aca="false" t="array" ref="E1774:E1774">IF(ISBLANK(_xlfn.xlookup(E$3,daily_items,_xlfn.xlookup($C1774,daily_dates,big_daily_table))),NA(),_xlfn.xlookup(E$3,daily_items,_xlfn.xlookup($C1774,daily_dates,big_daily_table)))</f>
        <v>#NAME?</v>
      </c>
    </row>
    <row r="1775" customFormat="false" ht="14.25" hidden="false" customHeight="false" outlineLevel="0" collapsed="false">
      <c r="B1775" s="7" t="n">
        <v>42680</v>
      </c>
      <c r="C1775" s="7" t="n">
        <f aca="false">B1775-WEEKDAY(B1775)+1</f>
        <v>42680</v>
      </c>
      <c r="D1775" s="1" t="e">
        <f aca="false" t="array" ref="D1775:D1775">IF(ISBLANK(_xlfn.xlookup(D$3,daily_items,_xlfn.xlookup($C1775,daily_dates,big_daily_table))),NA(),_xlfn.xlookup(D$3,daily_items,_xlfn.xlookup($C1775,daily_dates,big_daily_table)))</f>
        <v>#NAME?</v>
      </c>
      <c r="E1775" s="1" t="e">
        <f aca="false" t="array" ref="E1775:E1775">IF(ISBLANK(_xlfn.xlookup(E$3,daily_items,_xlfn.xlookup($C1775,daily_dates,big_daily_table))),NA(),_xlfn.xlookup(E$3,daily_items,_xlfn.xlookup($C1775,daily_dates,big_daily_table)))</f>
        <v>#NAME?</v>
      </c>
    </row>
    <row r="1776" customFormat="false" ht="14.25" hidden="false" customHeight="false" outlineLevel="0" collapsed="false">
      <c r="B1776" s="7" t="n">
        <v>42681</v>
      </c>
      <c r="C1776" s="7" t="n">
        <f aca="false">B1776-WEEKDAY(B1776)+1</f>
        <v>42680</v>
      </c>
      <c r="D1776" s="1" t="e">
        <f aca="false" t="array" ref="D1776:D1776">IF(ISBLANK(_xlfn.xlookup(D$3,daily_items,_xlfn.xlookup($C1776,daily_dates,big_daily_table))),NA(),_xlfn.xlookup(D$3,daily_items,_xlfn.xlookup($C1776,daily_dates,big_daily_table)))</f>
        <v>#NAME?</v>
      </c>
      <c r="E1776" s="1" t="e">
        <f aca="false" t="array" ref="E1776:E1776">IF(ISBLANK(_xlfn.xlookup(E$3,daily_items,_xlfn.xlookup($C1776,daily_dates,big_daily_table))),NA(),_xlfn.xlookup(E$3,daily_items,_xlfn.xlookup($C1776,daily_dates,big_daily_table)))</f>
        <v>#NAME?</v>
      </c>
    </row>
    <row r="1777" customFormat="false" ht="14.25" hidden="false" customHeight="false" outlineLevel="0" collapsed="false">
      <c r="B1777" s="7" t="n">
        <v>42682</v>
      </c>
      <c r="C1777" s="7" t="n">
        <f aca="false">B1777-WEEKDAY(B1777)+1</f>
        <v>42680</v>
      </c>
      <c r="D1777" s="1" t="e">
        <f aca="false" t="array" ref="D1777:D1777">IF(ISBLANK(_xlfn.xlookup(D$3,daily_items,_xlfn.xlookup($C1777,daily_dates,big_daily_table))),NA(),_xlfn.xlookup(D$3,daily_items,_xlfn.xlookup($C1777,daily_dates,big_daily_table)))</f>
        <v>#NAME?</v>
      </c>
      <c r="E1777" s="1" t="e">
        <f aca="false" t="array" ref="E1777:E1777">IF(ISBLANK(_xlfn.xlookup(E$3,daily_items,_xlfn.xlookup($C1777,daily_dates,big_daily_table))),NA(),_xlfn.xlookup(E$3,daily_items,_xlfn.xlookup($C1777,daily_dates,big_daily_table)))</f>
        <v>#NAME?</v>
      </c>
    </row>
    <row r="1778" customFormat="false" ht="14.25" hidden="false" customHeight="false" outlineLevel="0" collapsed="false">
      <c r="B1778" s="7" t="n">
        <v>42683</v>
      </c>
      <c r="C1778" s="7" t="n">
        <f aca="false">B1778-WEEKDAY(B1778)+1</f>
        <v>42680</v>
      </c>
      <c r="D1778" s="1" t="e">
        <f aca="false" t="array" ref="D1778:D1778">IF(ISBLANK(_xlfn.xlookup(D$3,daily_items,_xlfn.xlookup($C1778,daily_dates,big_daily_table))),NA(),_xlfn.xlookup(D$3,daily_items,_xlfn.xlookup($C1778,daily_dates,big_daily_table)))</f>
        <v>#NAME?</v>
      </c>
      <c r="E1778" s="1" t="e">
        <f aca="false" t="array" ref="E1778:E1778">IF(ISBLANK(_xlfn.xlookup(E$3,daily_items,_xlfn.xlookup($C1778,daily_dates,big_daily_table))),NA(),_xlfn.xlookup(E$3,daily_items,_xlfn.xlookup($C1778,daily_dates,big_daily_table)))</f>
        <v>#NAME?</v>
      </c>
    </row>
    <row r="1779" customFormat="false" ht="14.25" hidden="false" customHeight="false" outlineLevel="0" collapsed="false">
      <c r="B1779" s="7" t="n">
        <v>42684</v>
      </c>
      <c r="C1779" s="7" t="n">
        <f aca="false">B1779-WEEKDAY(B1779)+1</f>
        <v>42680</v>
      </c>
      <c r="D1779" s="1" t="e">
        <f aca="false" t="array" ref="D1779:D1779">IF(ISBLANK(_xlfn.xlookup(D$3,daily_items,_xlfn.xlookup($C1779,daily_dates,big_daily_table))),NA(),_xlfn.xlookup(D$3,daily_items,_xlfn.xlookup($C1779,daily_dates,big_daily_table)))</f>
        <v>#NAME?</v>
      </c>
      <c r="E1779" s="1" t="e">
        <f aca="false" t="array" ref="E1779:E1779">IF(ISBLANK(_xlfn.xlookup(E$3,daily_items,_xlfn.xlookup($C1779,daily_dates,big_daily_table))),NA(),_xlfn.xlookup(E$3,daily_items,_xlfn.xlookup($C1779,daily_dates,big_daily_table)))</f>
        <v>#NAME?</v>
      </c>
    </row>
    <row r="1780" customFormat="false" ht="14.25" hidden="false" customHeight="false" outlineLevel="0" collapsed="false">
      <c r="B1780" s="7" t="n">
        <v>42685</v>
      </c>
      <c r="C1780" s="7" t="n">
        <f aca="false">B1780-WEEKDAY(B1780)+1</f>
        <v>42680</v>
      </c>
      <c r="D1780" s="1" t="e">
        <f aca="false" t="array" ref="D1780:D1780">IF(ISBLANK(_xlfn.xlookup(D$3,daily_items,_xlfn.xlookup($C1780,daily_dates,big_daily_table))),NA(),_xlfn.xlookup(D$3,daily_items,_xlfn.xlookup($C1780,daily_dates,big_daily_table)))</f>
        <v>#NAME?</v>
      </c>
      <c r="E1780" s="1" t="e">
        <f aca="false" t="array" ref="E1780:E1780">IF(ISBLANK(_xlfn.xlookup(E$3,daily_items,_xlfn.xlookup($C1780,daily_dates,big_daily_table))),NA(),_xlfn.xlookup(E$3,daily_items,_xlfn.xlookup($C1780,daily_dates,big_daily_table)))</f>
        <v>#NAME?</v>
      </c>
    </row>
    <row r="1781" customFormat="false" ht="14.25" hidden="false" customHeight="false" outlineLevel="0" collapsed="false">
      <c r="B1781" s="7" t="n">
        <v>42686</v>
      </c>
      <c r="C1781" s="7" t="n">
        <f aca="false">B1781-WEEKDAY(B1781)+1</f>
        <v>42680</v>
      </c>
      <c r="D1781" s="1" t="e">
        <f aca="false" t="array" ref="D1781:D1781">IF(ISBLANK(_xlfn.xlookup(D$3,daily_items,_xlfn.xlookup($C1781,daily_dates,big_daily_table))),NA(),_xlfn.xlookup(D$3,daily_items,_xlfn.xlookup($C1781,daily_dates,big_daily_table)))</f>
        <v>#NAME?</v>
      </c>
      <c r="E1781" s="1" t="e">
        <f aca="false" t="array" ref="E1781:E1781">IF(ISBLANK(_xlfn.xlookup(E$3,daily_items,_xlfn.xlookup($C1781,daily_dates,big_daily_table))),NA(),_xlfn.xlookup(E$3,daily_items,_xlfn.xlookup($C1781,daily_dates,big_daily_table)))</f>
        <v>#NAME?</v>
      </c>
    </row>
    <row r="1782" customFormat="false" ht="14.25" hidden="false" customHeight="false" outlineLevel="0" collapsed="false">
      <c r="B1782" s="7" t="n">
        <v>42687</v>
      </c>
      <c r="C1782" s="7" t="n">
        <f aca="false">B1782-WEEKDAY(B1782)+1</f>
        <v>42687</v>
      </c>
      <c r="D1782" s="1" t="e">
        <f aca="false" t="array" ref="D1782:D1782">IF(ISBLANK(_xlfn.xlookup(D$3,daily_items,_xlfn.xlookup($C1782,daily_dates,big_daily_table))),NA(),_xlfn.xlookup(D$3,daily_items,_xlfn.xlookup($C1782,daily_dates,big_daily_table)))</f>
        <v>#NAME?</v>
      </c>
      <c r="E1782" s="1" t="e">
        <f aca="false" t="array" ref="E1782:E1782">IF(ISBLANK(_xlfn.xlookup(E$3,daily_items,_xlfn.xlookup($C1782,daily_dates,big_daily_table))),NA(),_xlfn.xlookup(E$3,daily_items,_xlfn.xlookup($C1782,daily_dates,big_daily_table)))</f>
        <v>#NAME?</v>
      </c>
    </row>
    <row r="1783" customFormat="false" ht="14.25" hidden="false" customHeight="false" outlineLevel="0" collapsed="false">
      <c r="B1783" s="7" t="n">
        <v>42688</v>
      </c>
      <c r="C1783" s="7" t="n">
        <f aca="false">B1783-WEEKDAY(B1783)+1</f>
        <v>42687</v>
      </c>
      <c r="D1783" s="1" t="e">
        <f aca="false" t="array" ref="D1783:D1783">IF(ISBLANK(_xlfn.xlookup(D$3,daily_items,_xlfn.xlookup($C1783,daily_dates,big_daily_table))),NA(),_xlfn.xlookup(D$3,daily_items,_xlfn.xlookup($C1783,daily_dates,big_daily_table)))</f>
        <v>#NAME?</v>
      </c>
      <c r="E1783" s="1" t="e">
        <f aca="false" t="array" ref="E1783:E1783">IF(ISBLANK(_xlfn.xlookup(E$3,daily_items,_xlfn.xlookup($C1783,daily_dates,big_daily_table))),NA(),_xlfn.xlookup(E$3,daily_items,_xlfn.xlookup($C1783,daily_dates,big_daily_table)))</f>
        <v>#NAME?</v>
      </c>
    </row>
    <row r="1784" customFormat="false" ht="14.25" hidden="false" customHeight="false" outlineLevel="0" collapsed="false">
      <c r="B1784" s="7" t="n">
        <v>42689</v>
      </c>
      <c r="C1784" s="7" t="n">
        <f aca="false">B1784-WEEKDAY(B1784)+1</f>
        <v>42687</v>
      </c>
      <c r="D1784" s="1" t="e">
        <f aca="false" t="array" ref="D1784:D1784">IF(ISBLANK(_xlfn.xlookup(D$3,daily_items,_xlfn.xlookup($C1784,daily_dates,big_daily_table))),NA(),_xlfn.xlookup(D$3,daily_items,_xlfn.xlookup($C1784,daily_dates,big_daily_table)))</f>
        <v>#NAME?</v>
      </c>
      <c r="E1784" s="1" t="e">
        <f aca="false" t="array" ref="E1784:E1784">IF(ISBLANK(_xlfn.xlookup(E$3,daily_items,_xlfn.xlookup($C1784,daily_dates,big_daily_table))),NA(),_xlfn.xlookup(E$3,daily_items,_xlfn.xlookup($C1784,daily_dates,big_daily_table)))</f>
        <v>#NAME?</v>
      </c>
    </row>
    <row r="1785" customFormat="false" ht="14.25" hidden="false" customHeight="false" outlineLevel="0" collapsed="false">
      <c r="B1785" s="7" t="n">
        <v>42690</v>
      </c>
      <c r="C1785" s="7" t="n">
        <f aca="false">B1785-WEEKDAY(B1785)+1</f>
        <v>42687</v>
      </c>
      <c r="D1785" s="1" t="e">
        <f aca="false" t="array" ref="D1785:D1785">IF(ISBLANK(_xlfn.xlookup(D$3,daily_items,_xlfn.xlookup($C1785,daily_dates,big_daily_table))),NA(),_xlfn.xlookup(D$3,daily_items,_xlfn.xlookup($C1785,daily_dates,big_daily_table)))</f>
        <v>#NAME?</v>
      </c>
      <c r="E1785" s="1" t="e">
        <f aca="false" t="array" ref="E1785:E1785">IF(ISBLANK(_xlfn.xlookup(E$3,daily_items,_xlfn.xlookup($C1785,daily_dates,big_daily_table))),NA(),_xlfn.xlookup(E$3,daily_items,_xlfn.xlookup($C1785,daily_dates,big_daily_table)))</f>
        <v>#NAME?</v>
      </c>
    </row>
    <row r="1786" customFormat="false" ht="14.25" hidden="false" customHeight="false" outlineLevel="0" collapsed="false">
      <c r="B1786" s="7" t="n">
        <v>42691</v>
      </c>
      <c r="C1786" s="7" t="n">
        <f aca="false">B1786-WEEKDAY(B1786)+1</f>
        <v>42687</v>
      </c>
      <c r="D1786" s="1" t="e">
        <f aca="false" t="array" ref="D1786:D1786">IF(ISBLANK(_xlfn.xlookup(D$3,daily_items,_xlfn.xlookup($C1786,daily_dates,big_daily_table))),NA(),_xlfn.xlookup(D$3,daily_items,_xlfn.xlookup($C1786,daily_dates,big_daily_table)))</f>
        <v>#NAME?</v>
      </c>
      <c r="E1786" s="1" t="e">
        <f aca="false" t="array" ref="E1786:E1786">IF(ISBLANK(_xlfn.xlookup(E$3,daily_items,_xlfn.xlookup($C1786,daily_dates,big_daily_table))),NA(),_xlfn.xlookup(E$3,daily_items,_xlfn.xlookup($C1786,daily_dates,big_daily_table)))</f>
        <v>#NAME?</v>
      </c>
    </row>
    <row r="1787" customFormat="false" ht="14.25" hidden="false" customHeight="false" outlineLevel="0" collapsed="false">
      <c r="B1787" s="7" t="n">
        <v>42692</v>
      </c>
      <c r="C1787" s="7" t="n">
        <f aca="false">B1787-WEEKDAY(B1787)+1</f>
        <v>42687</v>
      </c>
      <c r="D1787" s="1" t="e">
        <f aca="false" t="array" ref="D1787:D1787">IF(ISBLANK(_xlfn.xlookup(D$3,daily_items,_xlfn.xlookup($C1787,daily_dates,big_daily_table))),NA(),_xlfn.xlookup(D$3,daily_items,_xlfn.xlookup($C1787,daily_dates,big_daily_table)))</f>
        <v>#NAME?</v>
      </c>
      <c r="E1787" s="1" t="e">
        <f aca="false" t="array" ref="E1787:E1787">IF(ISBLANK(_xlfn.xlookup(E$3,daily_items,_xlfn.xlookup($C1787,daily_dates,big_daily_table))),NA(),_xlfn.xlookup(E$3,daily_items,_xlfn.xlookup($C1787,daily_dates,big_daily_table)))</f>
        <v>#NAME?</v>
      </c>
    </row>
    <row r="1788" customFormat="false" ht="14.25" hidden="false" customHeight="false" outlineLevel="0" collapsed="false">
      <c r="B1788" s="7" t="n">
        <v>42693</v>
      </c>
      <c r="C1788" s="7" t="n">
        <f aca="false">B1788-WEEKDAY(B1788)+1</f>
        <v>42687</v>
      </c>
      <c r="D1788" s="1" t="e">
        <f aca="false" t="array" ref="D1788:D1788">IF(ISBLANK(_xlfn.xlookup(D$3,daily_items,_xlfn.xlookup($C1788,daily_dates,big_daily_table))),NA(),_xlfn.xlookup(D$3,daily_items,_xlfn.xlookup($C1788,daily_dates,big_daily_table)))</f>
        <v>#NAME?</v>
      </c>
      <c r="E1788" s="1" t="e">
        <f aca="false" t="array" ref="E1788:E1788">IF(ISBLANK(_xlfn.xlookup(E$3,daily_items,_xlfn.xlookup($C1788,daily_dates,big_daily_table))),NA(),_xlfn.xlookup(E$3,daily_items,_xlfn.xlookup($C1788,daily_dates,big_daily_table)))</f>
        <v>#NAME?</v>
      </c>
    </row>
    <row r="1789" customFormat="false" ht="14.25" hidden="false" customHeight="false" outlineLevel="0" collapsed="false">
      <c r="B1789" s="7" t="n">
        <v>42694</v>
      </c>
      <c r="C1789" s="7" t="n">
        <f aca="false">B1789-WEEKDAY(B1789)+1</f>
        <v>42694</v>
      </c>
      <c r="D1789" s="1" t="e">
        <f aca="false" t="array" ref="D1789:D1789">IF(ISBLANK(_xlfn.xlookup(D$3,daily_items,_xlfn.xlookup($C1789,daily_dates,big_daily_table))),NA(),_xlfn.xlookup(D$3,daily_items,_xlfn.xlookup($C1789,daily_dates,big_daily_table)))</f>
        <v>#NAME?</v>
      </c>
      <c r="E1789" s="1" t="e">
        <f aca="false" t="array" ref="E1789:E1789">IF(ISBLANK(_xlfn.xlookup(E$3,daily_items,_xlfn.xlookup($C1789,daily_dates,big_daily_table))),NA(),_xlfn.xlookup(E$3,daily_items,_xlfn.xlookup($C1789,daily_dates,big_daily_table)))</f>
        <v>#NAME?</v>
      </c>
    </row>
    <row r="1790" customFormat="false" ht="14.25" hidden="false" customHeight="false" outlineLevel="0" collapsed="false">
      <c r="B1790" s="7" t="n">
        <v>42695</v>
      </c>
      <c r="C1790" s="7" t="n">
        <f aca="false">B1790-WEEKDAY(B1790)+1</f>
        <v>42694</v>
      </c>
      <c r="D1790" s="1" t="e">
        <f aca="false" t="array" ref="D1790:D1790">IF(ISBLANK(_xlfn.xlookup(D$3,daily_items,_xlfn.xlookup($C1790,daily_dates,big_daily_table))),NA(),_xlfn.xlookup(D$3,daily_items,_xlfn.xlookup($C1790,daily_dates,big_daily_table)))</f>
        <v>#NAME?</v>
      </c>
      <c r="E1790" s="1" t="e">
        <f aca="false" t="array" ref="E1790:E1790">IF(ISBLANK(_xlfn.xlookup(E$3,daily_items,_xlfn.xlookup($C1790,daily_dates,big_daily_table))),NA(),_xlfn.xlookup(E$3,daily_items,_xlfn.xlookup($C1790,daily_dates,big_daily_table)))</f>
        <v>#NAME?</v>
      </c>
    </row>
    <row r="1791" customFormat="false" ht="14.25" hidden="false" customHeight="false" outlineLevel="0" collapsed="false">
      <c r="B1791" s="7" t="n">
        <v>42696</v>
      </c>
      <c r="C1791" s="7" t="n">
        <f aca="false">B1791-WEEKDAY(B1791)+1</f>
        <v>42694</v>
      </c>
      <c r="D1791" s="1" t="e">
        <f aca="false" t="array" ref="D1791:D1791">IF(ISBLANK(_xlfn.xlookup(D$3,daily_items,_xlfn.xlookup($C1791,daily_dates,big_daily_table))),NA(),_xlfn.xlookup(D$3,daily_items,_xlfn.xlookup($C1791,daily_dates,big_daily_table)))</f>
        <v>#NAME?</v>
      </c>
      <c r="E1791" s="1" t="e">
        <f aca="false" t="array" ref="E1791:E1791">IF(ISBLANK(_xlfn.xlookup(E$3,daily_items,_xlfn.xlookup($C1791,daily_dates,big_daily_table))),NA(),_xlfn.xlookup(E$3,daily_items,_xlfn.xlookup($C1791,daily_dates,big_daily_table)))</f>
        <v>#NAME?</v>
      </c>
    </row>
    <row r="1792" customFormat="false" ht="14.25" hidden="false" customHeight="false" outlineLevel="0" collapsed="false">
      <c r="B1792" s="7" t="n">
        <v>42697</v>
      </c>
      <c r="C1792" s="7" t="n">
        <f aca="false">B1792-WEEKDAY(B1792)+1</f>
        <v>42694</v>
      </c>
      <c r="D1792" s="1" t="e">
        <f aca="false" t="array" ref="D1792:D1792">IF(ISBLANK(_xlfn.xlookup(D$3,daily_items,_xlfn.xlookup($C1792,daily_dates,big_daily_table))),NA(),_xlfn.xlookup(D$3,daily_items,_xlfn.xlookup($C1792,daily_dates,big_daily_table)))</f>
        <v>#NAME?</v>
      </c>
      <c r="E1792" s="1" t="e">
        <f aca="false" t="array" ref="E1792:E1792">IF(ISBLANK(_xlfn.xlookup(E$3,daily_items,_xlfn.xlookup($C1792,daily_dates,big_daily_table))),NA(),_xlfn.xlookup(E$3,daily_items,_xlfn.xlookup($C1792,daily_dates,big_daily_table)))</f>
        <v>#NAME?</v>
      </c>
    </row>
    <row r="1793" customFormat="false" ht="14.25" hidden="false" customHeight="false" outlineLevel="0" collapsed="false">
      <c r="B1793" s="7" t="n">
        <v>42698</v>
      </c>
      <c r="C1793" s="7" t="n">
        <f aca="false">B1793-WEEKDAY(B1793)+1</f>
        <v>42694</v>
      </c>
      <c r="D1793" s="1" t="e">
        <f aca="false" t="array" ref="D1793:D1793">IF(ISBLANK(_xlfn.xlookup(D$3,daily_items,_xlfn.xlookup($C1793,daily_dates,big_daily_table))),NA(),_xlfn.xlookup(D$3,daily_items,_xlfn.xlookup($C1793,daily_dates,big_daily_table)))</f>
        <v>#NAME?</v>
      </c>
      <c r="E1793" s="1" t="e">
        <f aca="false" t="array" ref="E1793:E1793">IF(ISBLANK(_xlfn.xlookup(E$3,daily_items,_xlfn.xlookup($C1793,daily_dates,big_daily_table))),NA(),_xlfn.xlookup(E$3,daily_items,_xlfn.xlookup($C1793,daily_dates,big_daily_table)))</f>
        <v>#NAME?</v>
      </c>
    </row>
    <row r="1794" customFormat="false" ht="14.25" hidden="false" customHeight="false" outlineLevel="0" collapsed="false">
      <c r="B1794" s="7" t="n">
        <v>42699</v>
      </c>
      <c r="C1794" s="7" t="n">
        <f aca="false">B1794-WEEKDAY(B1794)+1</f>
        <v>42694</v>
      </c>
      <c r="D1794" s="1" t="e">
        <f aca="false" t="array" ref="D1794:D1794">IF(ISBLANK(_xlfn.xlookup(D$3,daily_items,_xlfn.xlookup($C1794,daily_dates,big_daily_table))),NA(),_xlfn.xlookup(D$3,daily_items,_xlfn.xlookup($C1794,daily_dates,big_daily_table)))</f>
        <v>#NAME?</v>
      </c>
      <c r="E1794" s="1" t="e">
        <f aca="false" t="array" ref="E1794:E1794">IF(ISBLANK(_xlfn.xlookup(E$3,daily_items,_xlfn.xlookup($C1794,daily_dates,big_daily_table))),NA(),_xlfn.xlookup(E$3,daily_items,_xlfn.xlookup($C1794,daily_dates,big_daily_table)))</f>
        <v>#NAME?</v>
      </c>
    </row>
    <row r="1795" customFormat="false" ht="14.25" hidden="false" customHeight="false" outlineLevel="0" collapsed="false">
      <c r="B1795" s="7" t="n">
        <v>42700</v>
      </c>
      <c r="C1795" s="7" t="n">
        <f aca="false">B1795-WEEKDAY(B1795)+1</f>
        <v>42694</v>
      </c>
      <c r="D1795" s="1" t="e">
        <f aca="false" t="array" ref="D1795:D1795">IF(ISBLANK(_xlfn.xlookup(D$3,daily_items,_xlfn.xlookup($C1795,daily_dates,big_daily_table))),NA(),_xlfn.xlookup(D$3,daily_items,_xlfn.xlookup($C1795,daily_dates,big_daily_table)))</f>
        <v>#NAME?</v>
      </c>
      <c r="E1795" s="1" t="e">
        <f aca="false" t="array" ref="E1795:E1795">IF(ISBLANK(_xlfn.xlookup(E$3,daily_items,_xlfn.xlookup($C1795,daily_dates,big_daily_table))),NA(),_xlfn.xlookup(E$3,daily_items,_xlfn.xlookup($C1795,daily_dates,big_daily_table)))</f>
        <v>#NAME?</v>
      </c>
    </row>
    <row r="1796" customFormat="false" ht="14.25" hidden="false" customHeight="false" outlineLevel="0" collapsed="false">
      <c r="B1796" s="7" t="n">
        <v>42701</v>
      </c>
      <c r="C1796" s="7" t="n">
        <f aca="false">B1796-WEEKDAY(B1796)+1</f>
        <v>42701</v>
      </c>
      <c r="D1796" s="1" t="e">
        <f aca="false" t="array" ref="D1796:D1796">IF(ISBLANK(_xlfn.xlookup(D$3,daily_items,_xlfn.xlookup($C1796,daily_dates,big_daily_table))),NA(),_xlfn.xlookup(D$3,daily_items,_xlfn.xlookup($C1796,daily_dates,big_daily_table)))</f>
        <v>#NAME?</v>
      </c>
      <c r="E1796" s="1" t="e">
        <f aca="false" t="array" ref="E1796:E1796">IF(ISBLANK(_xlfn.xlookup(E$3,daily_items,_xlfn.xlookup($C1796,daily_dates,big_daily_table))),NA(),_xlfn.xlookup(E$3,daily_items,_xlfn.xlookup($C1796,daily_dates,big_daily_table)))</f>
        <v>#NAME?</v>
      </c>
    </row>
    <row r="1797" customFormat="false" ht="14.25" hidden="false" customHeight="false" outlineLevel="0" collapsed="false">
      <c r="B1797" s="7" t="n">
        <v>42702</v>
      </c>
      <c r="C1797" s="7" t="n">
        <f aca="false">B1797-WEEKDAY(B1797)+1</f>
        <v>42701</v>
      </c>
      <c r="D1797" s="1" t="e">
        <f aca="false" t="array" ref="D1797:D1797">IF(ISBLANK(_xlfn.xlookup(D$3,daily_items,_xlfn.xlookup($C1797,daily_dates,big_daily_table))),NA(),_xlfn.xlookup(D$3,daily_items,_xlfn.xlookup($C1797,daily_dates,big_daily_table)))</f>
        <v>#NAME?</v>
      </c>
      <c r="E1797" s="1" t="e">
        <f aca="false" t="array" ref="E1797:E1797">IF(ISBLANK(_xlfn.xlookup(E$3,daily_items,_xlfn.xlookup($C1797,daily_dates,big_daily_table))),NA(),_xlfn.xlookup(E$3,daily_items,_xlfn.xlookup($C1797,daily_dates,big_daily_table)))</f>
        <v>#NAME?</v>
      </c>
    </row>
    <row r="1798" customFormat="false" ht="14.25" hidden="false" customHeight="false" outlineLevel="0" collapsed="false">
      <c r="B1798" s="7" t="n">
        <v>42703</v>
      </c>
      <c r="C1798" s="7" t="n">
        <f aca="false">B1798-WEEKDAY(B1798)+1</f>
        <v>42701</v>
      </c>
      <c r="D1798" s="1" t="e">
        <f aca="false" t="array" ref="D1798:D1798">IF(ISBLANK(_xlfn.xlookup(D$3,daily_items,_xlfn.xlookup($C1798,daily_dates,big_daily_table))),NA(),_xlfn.xlookup(D$3,daily_items,_xlfn.xlookup($C1798,daily_dates,big_daily_table)))</f>
        <v>#NAME?</v>
      </c>
      <c r="E1798" s="1" t="e">
        <f aca="false" t="array" ref="E1798:E1798">IF(ISBLANK(_xlfn.xlookup(E$3,daily_items,_xlfn.xlookup($C1798,daily_dates,big_daily_table))),NA(),_xlfn.xlookup(E$3,daily_items,_xlfn.xlookup($C1798,daily_dates,big_daily_table)))</f>
        <v>#NAME?</v>
      </c>
    </row>
    <row r="1799" customFormat="false" ht="14.25" hidden="false" customHeight="false" outlineLevel="0" collapsed="false">
      <c r="B1799" s="7" t="n">
        <v>42704</v>
      </c>
      <c r="C1799" s="7" t="n">
        <f aca="false">B1799-WEEKDAY(B1799)+1</f>
        <v>42701</v>
      </c>
      <c r="D1799" s="1" t="e">
        <f aca="false" t="array" ref="D1799:D1799">IF(ISBLANK(_xlfn.xlookup(D$3,daily_items,_xlfn.xlookup($C1799,daily_dates,big_daily_table))),NA(),_xlfn.xlookup(D$3,daily_items,_xlfn.xlookup($C1799,daily_dates,big_daily_table)))</f>
        <v>#NAME?</v>
      </c>
      <c r="E1799" s="1" t="e">
        <f aca="false" t="array" ref="E1799:E1799">IF(ISBLANK(_xlfn.xlookup(E$3,daily_items,_xlfn.xlookup($C1799,daily_dates,big_daily_table))),NA(),_xlfn.xlookup(E$3,daily_items,_xlfn.xlookup($C1799,daily_dates,big_daily_table)))</f>
        <v>#NAME?</v>
      </c>
    </row>
    <row r="1800" customFormat="false" ht="14.25" hidden="false" customHeight="false" outlineLevel="0" collapsed="false">
      <c r="B1800" s="7" t="n">
        <v>42705</v>
      </c>
      <c r="C1800" s="7" t="n">
        <f aca="false">B1800-WEEKDAY(B1800)+1</f>
        <v>42701</v>
      </c>
      <c r="D1800" s="1" t="e">
        <f aca="false" t="array" ref="D1800:D1800">IF(ISBLANK(_xlfn.xlookup(D$3,daily_items,_xlfn.xlookup($C1800,daily_dates,big_daily_table))),NA(),_xlfn.xlookup(D$3,daily_items,_xlfn.xlookup($C1800,daily_dates,big_daily_table)))</f>
        <v>#NAME?</v>
      </c>
      <c r="E1800" s="1" t="e">
        <f aca="false" t="array" ref="E1800:E1800">IF(ISBLANK(_xlfn.xlookup(E$3,daily_items,_xlfn.xlookup($C1800,daily_dates,big_daily_table))),NA(),_xlfn.xlookup(E$3,daily_items,_xlfn.xlookup($C1800,daily_dates,big_daily_table)))</f>
        <v>#NAME?</v>
      </c>
    </row>
    <row r="1801" customFormat="false" ht="14.25" hidden="false" customHeight="false" outlineLevel="0" collapsed="false">
      <c r="B1801" s="7" t="n">
        <v>42706</v>
      </c>
      <c r="C1801" s="7" t="n">
        <f aca="false">B1801-WEEKDAY(B1801)+1</f>
        <v>42701</v>
      </c>
      <c r="D1801" s="1" t="e">
        <f aca="false" t="array" ref="D1801:D1801">IF(ISBLANK(_xlfn.xlookup(D$3,daily_items,_xlfn.xlookup($C1801,daily_dates,big_daily_table))),NA(),_xlfn.xlookup(D$3,daily_items,_xlfn.xlookup($C1801,daily_dates,big_daily_table)))</f>
        <v>#NAME?</v>
      </c>
      <c r="E1801" s="1" t="e">
        <f aca="false" t="array" ref="E1801:E1801">IF(ISBLANK(_xlfn.xlookup(E$3,daily_items,_xlfn.xlookup($C1801,daily_dates,big_daily_table))),NA(),_xlfn.xlookup(E$3,daily_items,_xlfn.xlookup($C1801,daily_dates,big_daily_table)))</f>
        <v>#NAME?</v>
      </c>
    </row>
    <row r="1802" customFormat="false" ht="14.25" hidden="false" customHeight="false" outlineLevel="0" collapsed="false">
      <c r="B1802" s="7" t="n">
        <v>42707</v>
      </c>
      <c r="C1802" s="7" t="n">
        <f aca="false">B1802-WEEKDAY(B1802)+1</f>
        <v>42701</v>
      </c>
      <c r="D1802" s="1" t="e">
        <f aca="false" t="array" ref="D1802:D1802">IF(ISBLANK(_xlfn.xlookup(D$3,daily_items,_xlfn.xlookup($C1802,daily_dates,big_daily_table))),NA(),_xlfn.xlookup(D$3,daily_items,_xlfn.xlookup($C1802,daily_dates,big_daily_table)))</f>
        <v>#NAME?</v>
      </c>
      <c r="E1802" s="1" t="e">
        <f aca="false" t="array" ref="E1802:E1802">IF(ISBLANK(_xlfn.xlookup(E$3,daily_items,_xlfn.xlookup($C1802,daily_dates,big_daily_table))),NA(),_xlfn.xlookup(E$3,daily_items,_xlfn.xlookup($C1802,daily_dates,big_daily_table)))</f>
        <v>#NAME?</v>
      </c>
    </row>
    <row r="1803" customFormat="false" ht="14.25" hidden="false" customHeight="false" outlineLevel="0" collapsed="false">
      <c r="B1803" s="7" t="n">
        <v>42708</v>
      </c>
      <c r="C1803" s="7" t="n">
        <f aca="false">B1803-WEEKDAY(B1803)+1</f>
        <v>42708</v>
      </c>
      <c r="D1803" s="1" t="e">
        <f aca="false" t="array" ref="D1803:D1803">IF(ISBLANK(_xlfn.xlookup(D$3,daily_items,_xlfn.xlookup($C1803,daily_dates,big_daily_table))),NA(),_xlfn.xlookup(D$3,daily_items,_xlfn.xlookup($C1803,daily_dates,big_daily_table)))</f>
        <v>#NAME?</v>
      </c>
      <c r="E1803" s="1" t="e">
        <f aca="false" t="array" ref="E1803:E1803">IF(ISBLANK(_xlfn.xlookup(E$3,daily_items,_xlfn.xlookup($C1803,daily_dates,big_daily_table))),NA(),_xlfn.xlookup(E$3,daily_items,_xlfn.xlookup($C1803,daily_dates,big_daily_table)))</f>
        <v>#NAME?</v>
      </c>
    </row>
    <row r="1804" customFormat="false" ht="14.25" hidden="false" customHeight="false" outlineLevel="0" collapsed="false">
      <c r="B1804" s="7" t="n">
        <v>42709</v>
      </c>
      <c r="C1804" s="7" t="n">
        <f aca="false">B1804-WEEKDAY(B1804)+1</f>
        <v>42708</v>
      </c>
      <c r="D1804" s="1" t="e">
        <f aca="false" t="array" ref="D1804:D1804">IF(ISBLANK(_xlfn.xlookup(D$3,daily_items,_xlfn.xlookup($C1804,daily_dates,big_daily_table))),NA(),_xlfn.xlookup(D$3,daily_items,_xlfn.xlookup($C1804,daily_dates,big_daily_table)))</f>
        <v>#NAME?</v>
      </c>
      <c r="E1804" s="1" t="e">
        <f aca="false" t="array" ref="E1804:E1804">IF(ISBLANK(_xlfn.xlookup(E$3,daily_items,_xlfn.xlookup($C1804,daily_dates,big_daily_table))),NA(),_xlfn.xlookup(E$3,daily_items,_xlfn.xlookup($C1804,daily_dates,big_daily_table)))</f>
        <v>#NAME?</v>
      </c>
    </row>
    <row r="1805" customFormat="false" ht="14.25" hidden="false" customHeight="false" outlineLevel="0" collapsed="false">
      <c r="B1805" s="7" t="n">
        <v>42710</v>
      </c>
      <c r="C1805" s="7" t="n">
        <f aca="false">B1805-WEEKDAY(B1805)+1</f>
        <v>42708</v>
      </c>
      <c r="D1805" s="1" t="e">
        <f aca="false" t="array" ref="D1805:D1805">IF(ISBLANK(_xlfn.xlookup(D$3,daily_items,_xlfn.xlookup($C1805,daily_dates,big_daily_table))),NA(),_xlfn.xlookup(D$3,daily_items,_xlfn.xlookup($C1805,daily_dates,big_daily_table)))</f>
        <v>#NAME?</v>
      </c>
      <c r="E1805" s="1" t="e">
        <f aca="false" t="array" ref="E1805:E1805">IF(ISBLANK(_xlfn.xlookup(E$3,daily_items,_xlfn.xlookup($C1805,daily_dates,big_daily_table))),NA(),_xlfn.xlookup(E$3,daily_items,_xlfn.xlookup($C1805,daily_dates,big_daily_table)))</f>
        <v>#NAME?</v>
      </c>
    </row>
    <row r="1806" customFormat="false" ht="14.25" hidden="false" customHeight="false" outlineLevel="0" collapsed="false">
      <c r="B1806" s="7" t="n">
        <v>42711</v>
      </c>
      <c r="C1806" s="7" t="n">
        <f aca="false">B1806-WEEKDAY(B1806)+1</f>
        <v>42708</v>
      </c>
      <c r="D1806" s="1" t="e">
        <f aca="false" t="array" ref="D1806:D1806">IF(ISBLANK(_xlfn.xlookup(D$3,daily_items,_xlfn.xlookup($C1806,daily_dates,big_daily_table))),NA(),_xlfn.xlookup(D$3,daily_items,_xlfn.xlookup($C1806,daily_dates,big_daily_table)))</f>
        <v>#NAME?</v>
      </c>
      <c r="E1806" s="1" t="e">
        <f aca="false" t="array" ref="E1806:E1806">IF(ISBLANK(_xlfn.xlookup(E$3,daily_items,_xlfn.xlookup($C1806,daily_dates,big_daily_table))),NA(),_xlfn.xlookup(E$3,daily_items,_xlfn.xlookup($C1806,daily_dates,big_daily_table)))</f>
        <v>#NAME?</v>
      </c>
    </row>
    <row r="1807" customFormat="false" ht="14.25" hidden="false" customHeight="false" outlineLevel="0" collapsed="false">
      <c r="B1807" s="7" t="n">
        <v>42712</v>
      </c>
      <c r="C1807" s="7" t="n">
        <f aca="false">B1807-WEEKDAY(B1807)+1</f>
        <v>42708</v>
      </c>
      <c r="D1807" s="1" t="e">
        <f aca="false" t="array" ref="D1807:D1807">IF(ISBLANK(_xlfn.xlookup(D$3,daily_items,_xlfn.xlookup($C1807,daily_dates,big_daily_table))),NA(),_xlfn.xlookup(D$3,daily_items,_xlfn.xlookup($C1807,daily_dates,big_daily_table)))</f>
        <v>#NAME?</v>
      </c>
      <c r="E1807" s="1" t="e">
        <f aca="false" t="array" ref="E1807:E1807">IF(ISBLANK(_xlfn.xlookup(E$3,daily_items,_xlfn.xlookup($C1807,daily_dates,big_daily_table))),NA(),_xlfn.xlookup(E$3,daily_items,_xlfn.xlookup($C1807,daily_dates,big_daily_table)))</f>
        <v>#NAME?</v>
      </c>
    </row>
    <row r="1808" customFormat="false" ht="14.25" hidden="false" customHeight="false" outlineLevel="0" collapsed="false">
      <c r="B1808" s="7" t="n">
        <v>42713</v>
      </c>
      <c r="C1808" s="7" t="n">
        <f aca="false">B1808-WEEKDAY(B1808)+1</f>
        <v>42708</v>
      </c>
      <c r="D1808" s="1" t="e">
        <f aca="false" t="array" ref="D1808:D1808">IF(ISBLANK(_xlfn.xlookup(D$3,daily_items,_xlfn.xlookup($C1808,daily_dates,big_daily_table))),NA(),_xlfn.xlookup(D$3,daily_items,_xlfn.xlookup($C1808,daily_dates,big_daily_table)))</f>
        <v>#NAME?</v>
      </c>
      <c r="E1808" s="1" t="e">
        <f aca="false" t="array" ref="E1808:E1808">IF(ISBLANK(_xlfn.xlookup(E$3,daily_items,_xlfn.xlookup($C1808,daily_dates,big_daily_table))),NA(),_xlfn.xlookup(E$3,daily_items,_xlfn.xlookup($C1808,daily_dates,big_daily_table)))</f>
        <v>#NAME?</v>
      </c>
    </row>
    <row r="1809" customFormat="false" ht="14.25" hidden="false" customHeight="false" outlineLevel="0" collapsed="false">
      <c r="B1809" s="7" t="n">
        <v>42714</v>
      </c>
      <c r="C1809" s="7" t="n">
        <f aca="false">B1809-WEEKDAY(B1809)+1</f>
        <v>42708</v>
      </c>
      <c r="D1809" s="1" t="e">
        <f aca="false" t="array" ref="D1809:D1809">IF(ISBLANK(_xlfn.xlookup(D$3,daily_items,_xlfn.xlookup($C1809,daily_dates,big_daily_table))),NA(),_xlfn.xlookup(D$3,daily_items,_xlfn.xlookup($C1809,daily_dates,big_daily_table)))</f>
        <v>#NAME?</v>
      </c>
      <c r="E1809" s="1" t="e">
        <f aca="false" t="array" ref="E1809:E1809">IF(ISBLANK(_xlfn.xlookup(E$3,daily_items,_xlfn.xlookup($C1809,daily_dates,big_daily_table))),NA(),_xlfn.xlookup(E$3,daily_items,_xlfn.xlookup($C1809,daily_dates,big_daily_table)))</f>
        <v>#NAME?</v>
      </c>
    </row>
    <row r="1810" customFormat="false" ht="14.25" hidden="false" customHeight="false" outlineLevel="0" collapsed="false">
      <c r="B1810" s="7" t="n">
        <v>42715</v>
      </c>
      <c r="C1810" s="7" t="n">
        <f aca="false">B1810-WEEKDAY(B1810)+1</f>
        <v>42715</v>
      </c>
      <c r="D1810" s="1" t="e">
        <f aca="false" t="array" ref="D1810:D1810">IF(ISBLANK(_xlfn.xlookup(D$3,daily_items,_xlfn.xlookup($C1810,daily_dates,big_daily_table))),NA(),_xlfn.xlookup(D$3,daily_items,_xlfn.xlookup($C1810,daily_dates,big_daily_table)))</f>
        <v>#NAME?</v>
      </c>
      <c r="E1810" s="1" t="e">
        <f aca="false" t="array" ref="E1810:E1810">IF(ISBLANK(_xlfn.xlookup(E$3,daily_items,_xlfn.xlookup($C1810,daily_dates,big_daily_table))),NA(),_xlfn.xlookup(E$3,daily_items,_xlfn.xlookup($C1810,daily_dates,big_daily_table)))</f>
        <v>#NAME?</v>
      </c>
    </row>
    <row r="1811" customFormat="false" ht="14.25" hidden="false" customHeight="false" outlineLevel="0" collapsed="false">
      <c r="B1811" s="7" t="n">
        <v>42716</v>
      </c>
      <c r="C1811" s="7" t="n">
        <f aca="false">B1811-WEEKDAY(B1811)+1</f>
        <v>42715</v>
      </c>
      <c r="D1811" s="1" t="e">
        <f aca="false" t="array" ref="D1811:D1811">IF(ISBLANK(_xlfn.xlookup(D$3,daily_items,_xlfn.xlookup($C1811,daily_dates,big_daily_table))),NA(),_xlfn.xlookup(D$3,daily_items,_xlfn.xlookup($C1811,daily_dates,big_daily_table)))</f>
        <v>#NAME?</v>
      </c>
      <c r="E1811" s="1" t="e">
        <f aca="false" t="array" ref="E1811:E1811">IF(ISBLANK(_xlfn.xlookup(E$3,daily_items,_xlfn.xlookup($C1811,daily_dates,big_daily_table))),NA(),_xlfn.xlookup(E$3,daily_items,_xlfn.xlookup($C1811,daily_dates,big_daily_table)))</f>
        <v>#NAME?</v>
      </c>
    </row>
    <row r="1812" customFormat="false" ht="14.25" hidden="false" customHeight="false" outlineLevel="0" collapsed="false">
      <c r="B1812" s="7" t="n">
        <v>42717</v>
      </c>
      <c r="C1812" s="7" t="n">
        <f aca="false">B1812-WEEKDAY(B1812)+1</f>
        <v>42715</v>
      </c>
      <c r="D1812" s="1" t="e">
        <f aca="false" t="array" ref="D1812:D1812">IF(ISBLANK(_xlfn.xlookup(D$3,daily_items,_xlfn.xlookup($C1812,daily_dates,big_daily_table))),NA(),_xlfn.xlookup(D$3,daily_items,_xlfn.xlookup($C1812,daily_dates,big_daily_table)))</f>
        <v>#NAME?</v>
      </c>
      <c r="E1812" s="1" t="e">
        <f aca="false" t="array" ref="E1812:E1812">IF(ISBLANK(_xlfn.xlookup(E$3,daily_items,_xlfn.xlookup($C1812,daily_dates,big_daily_table))),NA(),_xlfn.xlookup(E$3,daily_items,_xlfn.xlookup($C1812,daily_dates,big_daily_table)))</f>
        <v>#NAME?</v>
      </c>
    </row>
    <row r="1813" customFormat="false" ht="14.25" hidden="false" customHeight="false" outlineLevel="0" collapsed="false">
      <c r="B1813" s="7" t="n">
        <v>42718</v>
      </c>
      <c r="C1813" s="7" t="n">
        <f aca="false">B1813-WEEKDAY(B1813)+1</f>
        <v>42715</v>
      </c>
      <c r="D1813" s="1" t="e">
        <f aca="false" t="array" ref="D1813:D1813">IF(ISBLANK(_xlfn.xlookup(D$3,daily_items,_xlfn.xlookup($C1813,daily_dates,big_daily_table))),NA(),_xlfn.xlookup(D$3,daily_items,_xlfn.xlookup($C1813,daily_dates,big_daily_table)))</f>
        <v>#NAME?</v>
      </c>
      <c r="E1813" s="1" t="e">
        <f aca="false" t="array" ref="E1813:E1813">IF(ISBLANK(_xlfn.xlookup(E$3,daily_items,_xlfn.xlookup($C1813,daily_dates,big_daily_table))),NA(),_xlfn.xlookup(E$3,daily_items,_xlfn.xlookup($C1813,daily_dates,big_daily_table)))</f>
        <v>#NAME?</v>
      </c>
    </row>
    <row r="1814" customFormat="false" ht="14.25" hidden="false" customHeight="false" outlineLevel="0" collapsed="false">
      <c r="B1814" s="7" t="n">
        <v>42719</v>
      </c>
      <c r="C1814" s="7" t="n">
        <f aca="false">B1814-WEEKDAY(B1814)+1</f>
        <v>42715</v>
      </c>
      <c r="D1814" s="1" t="e">
        <f aca="false" t="array" ref="D1814:D1814">IF(ISBLANK(_xlfn.xlookup(D$3,daily_items,_xlfn.xlookup($C1814,daily_dates,big_daily_table))),NA(),_xlfn.xlookup(D$3,daily_items,_xlfn.xlookup($C1814,daily_dates,big_daily_table)))</f>
        <v>#NAME?</v>
      </c>
      <c r="E1814" s="1" t="e">
        <f aca="false" t="array" ref="E1814:E1814">IF(ISBLANK(_xlfn.xlookup(E$3,daily_items,_xlfn.xlookup($C1814,daily_dates,big_daily_table))),NA(),_xlfn.xlookup(E$3,daily_items,_xlfn.xlookup($C1814,daily_dates,big_daily_table)))</f>
        <v>#NAME?</v>
      </c>
    </row>
    <row r="1815" customFormat="false" ht="14.25" hidden="false" customHeight="false" outlineLevel="0" collapsed="false">
      <c r="B1815" s="7" t="n">
        <v>42720</v>
      </c>
      <c r="C1815" s="7" t="n">
        <f aca="false">B1815-WEEKDAY(B1815)+1</f>
        <v>42715</v>
      </c>
      <c r="D1815" s="1" t="e">
        <f aca="false" t="array" ref="D1815:D1815">IF(ISBLANK(_xlfn.xlookup(D$3,daily_items,_xlfn.xlookup($C1815,daily_dates,big_daily_table))),NA(),_xlfn.xlookup(D$3,daily_items,_xlfn.xlookup($C1815,daily_dates,big_daily_table)))</f>
        <v>#NAME?</v>
      </c>
      <c r="E1815" s="1" t="e">
        <f aca="false" t="array" ref="E1815:E1815">IF(ISBLANK(_xlfn.xlookup(E$3,daily_items,_xlfn.xlookup($C1815,daily_dates,big_daily_table))),NA(),_xlfn.xlookup(E$3,daily_items,_xlfn.xlookup($C1815,daily_dates,big_daily_table)))</f>
        <v>#NAME?</v>
      </c>
    </row>
    <row r="1816" customFormat="false" ht="14.25" hidden="false" customHeight="false" outlineLevel="0" collapsed="false">
      <c r="B1816" s="7" t="n">
        <v>42721</v>
      </c>
      <c r="C1816" s="7" t="n">
        <f aca="false">B1816-WEEKDAY(B1816)+1</f>
        <v>42715</v>
      </c>
      <c r="D1816" s="1" t="e">
        <f aca="false" t="array" ref="D1816:D1816">IF(ISBLANK(_xlfn.xlookup(D$3,daily_items,_xlfn.xlookup($C1816,daily_dates,big_daily_table))),NA(),_xlfn.xlookup(D$3,daily_items,_xlfn.xlookup($C1816,daily_dates,big_daily_table)))</f>
        <v>#NAME?</v>
      </c>
      <c r="E1816" s="1" t="e">
        <f aca="false" t="array" ref="E1816:E1816">IF(ISBLANK(_xlfn.xlookup(E$3,daily_items,_xlfn.xlookup($C1816,daily_dates,big_daily_table))),NA(),_xlfn.xlookup(E$3,daily_items,_xlfn.xlookup($C1816,daily_dates,big_daily_table)))</f>
        <v>#NAME?</v>
      </c>
    </row>
    <row r="1817" customFormat="false" ht="14.25" hidden="false" customHeight="false" outlineLevel="0" collapsed="false">
      <c r="B1817" s="7" t="n">
        <v>42722</v>
      </c>
      <c r="C1817" s="7" t="n">
        <f aca="false">B1817-WEEKDAY(B1817)+1</f>
        <v>42722</v>
      </c>
      <c r="D1817" s="1" t="e">
        <f aca="false" t="array" ref="D1817:D1817">IF(ISBLANK(_xlfn.xlookup(D$3,daily_items,_xlfn.xlookup($C1817,daily_dates,big_daily_table))),NA(),_xlfn.xlookup(D$3,daily_items,_xlfn.xlookup($C1817,daily_dates,big_daily_table)))</f>
        <v>#NAME?</v>
      </c>
      <c r="E1817" s="1" t="e">
        <f aca="false" t="array" ref="E1817:E1817">IF(ISBLANK(_xlfn.xlookup(E$3,daily_items,_xlfn.xlookup($C1817,daily_dates,big_daily_table))),NA(),_xlfn.xlookup(E$3,daily_items,_xlfn.xlookup($C1817,daily_dates,big_daily_table)))</f>
        <v>#NAME?</v>
      </c>
    </row>
    <row r="1818" customFormat="false" ht="14.25" hidden="false" customHeight="false" outlineLevel="0" collapsed="false">
      <c r="B1818" s="7" t="n">
        <v>42723</v>
      </c>
      <c r="C1818" s="7" t="n">
        <f aca="false">B1818-WEEKDAY(B1818)+1</f>
        <v>42722</v>
      </c>
      <c r="D1818" s="1" t="e">
        <f aca="false" t="array" ref="D1818:D1818">IF(ISBLANK(_xlfn.xlookup(D$3,daily_items,_xlfn.xlookup($C1818,daily_dates,big_daily_table))),NA(),_xlfn.xlookup(D$3,daily_items,_xlfn.xlookup($C1818,daily_dates,big_daily_table)))</f>
        <v>#NAME?</v>
      </c>
      <c r="E1818" s="1" t="e">
        <f aca="false" t="array" ref="E1818:E1818">IF(ISBLANK(_xlfn.xlookup(E$3,daily_items,_xlfn.xlookup($C1818,daily_dates,big_daily_table))),NA(),_xlfn.xlookup(E$3,daily_items,_xlfn.xlookup($C1818,daily_dates,big_daily_table)))</f>
        <v>#NAME?</v>
      </c>
    </row>
    <row r="1819" customFormat="false" ht="14.25" hidden="false" customHeight="false" outlineLevel="0" collapsed="false">
      <c r="B1819" s="7" t="n">
        <v>42724</v>
      </c>
      <c r="C1819" s="7" t="n">
        <f aca="false">B1819-WEEKDAY(B1819)+1</f>
        <v>42722</v>
      </c>
      <c r="D1819" s="1" t="e">
        <f aca="false" t="array" ref="D1819:D1819">IF(ISBLANK(_xlfn.xlookup(D$3,daily_items,_xlfn.xlookup($C1819,daily_dates,big_daily_table))),NA(),_xlfn.xlookup(D$3,daily_items,_xlfn.xlookup($C1819,daily_dates,big_daily_table)))</f>
        <v>#NAME?</v>
      </c>
      <c r="E1819" s="1" t="e">
        <f aca="false" t="array" ref="E1819:E1819">IF(ISBLANK(_xlfn.xlookup(E$3,daily_items,_xlfn.xlookup($C1819,daily_dates,big_daily_table))),NA(),_xlfn.xlookup(E$3,daily_items,_xlfn.xlookup($C1819,daily_dates,big_daily_table)))</f>
        <v>#NAME?</v>
      </c>
    </row>
    <row r="1820" customFormat="false" ht="14.25" hidden="false" customHeight="false" outlineLevel="0" collapsed="false">
      <c r="B1820" s="7" t="n">
        <v>42725</v>
      </c>
      <c r="C1820" s="7" t="n">
        <f aca="false">B1820-WEEKDAY(B1820)+1</f>
        <v>42722</v>
      </c>
      <c r="D1820" s="1" t="e">
        <f aca="false" t="array" ref="D1820:D1820">IF(ISBLANK(_xlfn.xlookup(D$3,daily_items,_xlfn.xlookup($C1820,daily_dates,big_daily_table))),NA(),_xlfn.xlookup(D$3,daily_items,_xlfn.xlookup($C1820,daily_dates,big_daily_table)))</f>
        <v>#NAME?</v>
      </c>
      <c r="E1820" s="1" t="e">
        <f aca="false" t="array" ref="E1820:E1820">IF(ISBLANK(_xlfn.xlookup(E$3,daily_items,_xlfn.xlookup($C1820,daily_dates,big_daily_table))),NA(),_xlfn.xlookup(E$3,daily_items,_xlfn.xlookup($C1820,daily_dates,big_daily_table)))</f>
        <v>#NAME?</v>
      </c>
    </row>
    <row r="1821" customFormat="false" ht="14.25" hidden="false" customHeight="false" outlineLevel="0" collapsed="false">
      <c r="B1821" s="7" t="n">
        <v>42726</v>
      </c>
      <c r="C1821" s="7" t="n">
        <f aca="false">B1821-WEEKDAY(B1821)+1</f>
        <v>42722</v>
      </c>
      <c r="D1821" s="1" t="e">
        <f aca="false" t="array" ref="D1821:D1821">IF(ISBLANK(_xlfn.xlookup(D$3,daily_items,_xlfn.xlookup($C1821,daily_dates,big_daily_table))),NA(),_xlfn.xlookup(D$3,daily_items,_xlfn.xlookup($C1821,daily_dates,big_daily_table)))</f>
        <v>#NAME?</v>
      </c>
      <c r="E1821" s="1" t="e">
        <f aca="false" t="array" ref="E1821:E1821">IF(ISBLANK(_xlfn.xlookup(E$3,daily_items,_xlfn.xlookup($C1821,daily_dates,big_daily_table))),NA(),_xlfn.xlookup(E$3,daily_items,_xlfn.xlookup($C1821,daily_dates,big_daily_table)))</f>
        <v>#NAME?</v>
      </c>
    </row>
    <row r="1822" customFormat="false" ht="14.25" hidden="false" customHeight="false" outlineLevel="0" collapsed="false">
      <c r="B1822" s="7" t="n">
        <v>42727</v>
      </c>
      <c r="C1822" s="7" t="n">
        <f aca="false">B1822-WEEKDAY(B1822)+1</f>
        <v>42722</v>
      </c>
      <c r="D1822" s="1" t="e">
        <f aca="false" t="array" ref="D1822:D1822">IF(ISBLANK(_xlfn.xlookup(D$3,daily_items,_xlfn.xlookup($C1822,daily_dates,big_daily_table))),NA(),_xlfn.xlookup(D$3,daily_items,_xlfn.xlookup($C1822,daily_dates,big_daily_table)))</f>
        <v>#NAME?</v>
      </c>
      <c r="E1822" s="1" t="e">
        <f aca="false" t="array" ref="E1822:E1822">IF(ISBLANK(_xlfn.xlookup(E$3,daily_items,_xlfn.xlookup($C1822,daily_dates,big_daily_table))),NA(),_xlfn.xlookup(E$3,daily_items,_xlfn.xlookup($C1822,daily_dates,big_daily_table)))</f>
        <v>#NAME?</v>
      </c>
    </row>
    <row r="1823" customFormat="false" ht="14.25" hidden="false" customHeight="false" outlineLevel="0" collapsed="false">
      <c r="B1823" s="7" t="n">
        <v>42728</v>
      </c>
      <c r="C1823" s="7" t="n">
        <f aca="false">B1823-WEEKDAY(B1823)+1</f>
        <v>42722</v>
      </c>
      <c r="D1823" s="1" t="e">
        <f aca="false" t="array" ref="D1823:D1823">IF(ISBLANK(_xlfn.xlookup(D$3,daily_items,_xlfn.xlookup($C1823,daily_dates,big_daily_table))),NA(),_xlfn.xlookup(D$3,daily_items,_xlfn.xlookup($C1823,daily_dates,big_daily_table)))</f>
        <v>#NAME?</v>
      </c>
      <c r="E1823" s="1" t="e">
        <f aca="false" t="array" ref="E1823:E1823">IF(ISBLANK(_xlfn.xlookup(E$3,daily_items,_xlfn.xlookup($C1823,daily_dates,big_daily_table))),NA(),_xlfn.xlookup(E$3,daily_items,_xlfn.xlookup($C1823,daily_dates,big_daily_table)))</f>
        <v>#NAME?</v>
      </c>
    </row>
    <row r="1824" customFormat="false" ht="14.25" hidden="false" customHeight="false" outlineLevel="0" collapsed="false">
      <c r="B1824" s="7" t="n">
        <v>42729</v>
      </c>
      <c r="C1824" s="7" t="n">
        <f aca="false">B1824-WEEKDAY(B1824)+1</f>
        <v>42729</v>
      </c>
      <c r="D1824" s="1" t="e">
        <f aca="false" t="array" ref="D1824:D1824">IF(ISBLANK(_xlfn.xlookup(D$3,daily_items,_xlfn.xlookup($C1824,daily_dates,big_daily_table))),NA(),_xlfn.xlookup(D$3,daily_items,_xlfn.xlookup($C1824,daily_dates,big_daily_table)))</f>
        <v>#NAME?</v>
      </c>
      <c r="E1824" s="1" t="e">
        <f aca="false" t="array" ref="E1824:E1824">IF(ISBLANK(_xlfn.xlookup(E$3,daily_items,_xlfn.xlookup($C1824,daily_dates,big_daily_table))),NA(),_xlfn.xlookup(E$3,daily_items,_xlfn.xlookup($C1824,daily_dates,big_daily_table)))</f>
        <v>#NAME?</v>
      </c>
    </row>
    <row r="1825" customFormat="false" ht="14.25" hidden="false" customHeight="false" outlineLevel="0" collapsed="false">
      <c r="B1825" s="7" t="n">
        <v>42730</v>
      </c>
      <c r="C1825" s="7" t="n">
        <f aca="false">B1825-WEEKDAY(B1825)+1</f>
        <v>42729</v>
      </c>
      <c r="D1825" s="1" t="e">
        <f aca="false" t="array" ref="D1825:D1825">IF(ISBLANK(_xlfn.xlookup(D$3,daily_items,_xlfn.xlookup($C1825,daily_dates,big_daily_table))),NA(),_xlfn.xlookup(D$3,daily_items,_xlfn.xlookup($C1825,daily_dates,big_daily_table)))</f>
        <v>#NAME?</v>
      </c>
      <c r="E1825" s="1" t="e">
        <f aca="false" t="array" ref="E1825:E1825">IF(ISBLANK(_xlfn.xlookup(E$3,daily_items,_xlfn.xlookup($C1825,daily_dates,big_daily_table))),NA(),_xlfn.xlookup(E$3,daily_items,_xlfn.xlookup($C1825,daily_dates,big_daily_table)))</f>
        <v>#NAME?</v>
      </c>
    </row>
    <row r="1826" customFormat="false" ht="14.25" hidden="false" customHeight="false" outlineLevel="0" collapsed="false">
      <c r="B1826" s="7" t="n">
        <v>42731</v>
      </c>
      <c r="C1826" s="7" t="n">
        <f aca="false">B1826-WEEKDAY(B1826)+1</f>
        <v>42729</v>
      </c>
      <c r="D1826" s="1" t="e">
        <f aca="false" t="array" ref="D1826:D1826">IF(ISBLANK(_xlfn.xlookup(D$3,daily_items,_xlfn.xlookup($C1826,daily_dates,big_daily_table))),NA(),_xlfn.xlookup(D$3,daily_items,_xlfn.xlookup($C1826,daily_dates,big_daily_table)))</f>
        <v>#NAME?</v>
      </c>
      <c r="E1826" s="1" t="e">
        <f aca="false" t="array" ref="E1826:E1826">IF(ISBLANK(_xlfn.xlookup(E$3,daily_items,_xlfn.xlookup($C1826,daily_dates,big_daily_table))),NA(),_xlfn.xlookup(E$3,daily_items,_xlfn.xlookup($C1826,daily_dates,big_daily_table)))</f>
        <v>#NAME?</v>
      </c>
    </row>
    <row r="1827" customFormat="false" ht="14.25" hidden="false" customHeight="false" outlineLevel="0" collapsed="false">
      <c r="B1827" s="7" t="n">
        <v>42732</v>
      </c>
      <c r="C1827" s="7" t="n">
        <f aca="false">B1827-WEEKDAY(B1827)+1</f>
        <v>42729</v>
      </c>
      <c r="D1827" s="1" t="e">
        <f aca="false" t="array" ref="D1827:D1827">IF(ISBLANK(_xlfn.xlookup(D$3,daily_items,_xlfn.xlookup($C1827,daily_dates,big_daily_table))),NA(),_xlfn.xlookup(D$3,daily_items,_xlfn.xlookup($C1827,daily_dates,big_daily_table)))</f>
        <v>#NAME?</v>
      </c>
      <c r="E1827" s="1" t="e">
        <f aca="false" t="array" ref="E1827:E1827">IF(ISBLANK(_xlfn.xlookup(E$3,daily_items,_xlfn.xlookup($C1827,daily_dates,big_daily_table))),NA(),_xlfn.xlookup(E$3,daily_items,_xlfn.xlookup($C1827,daily_dates,big_daily_table)))</f>
        <v>#NAME?</v>
      </c>
    </row>
    <row r="1828" customFormat="false" ht="14.25" hidden="false" customHeight="false" outlineLevel="0" collapsed="false">
      <c r="B1828" s="7" t="n">
        <v>42733</v>
      </c>
      <c r="C1828" s="7" t="n">
        <f aca="false">B1828-WEEKDAY(B1828)+1</f>
        <v>42729</v>
      </c>
      <c r="D1828" s="1" t="e">
        <f aca="false" t="array" ref="D1828:D1828">IF(ISBLANK(_xlfn.xlookup(D$3,daily_items,_xlfn.xlookup($C1828,daily_dates,big_daily_table))),NA(),_xlfn.xlookup(D$3,daily_items,_xlfn.xlookup($C1828,daily_dates,big_daily_table)))</f>
        <v>#NAME?</v>
      </c>
      <c r="E1828" s="1" t="e">
        <f aca="false" t="array" ref="E1828:E1828">IF(ISBLANK(_xlfn.xlookup(E$3,daily_items,_xlfn.xlookup($C1828,daily_dates,big_daily_table))),NA(),_xlfn.xlookup(E$3,daily_items,_xlfn.xlookup($C1828,daily_dates,big_daily_table)))</f>
        <v>#NAME?</v>
      </c>
    </row>
    <row r="1829" customFormat="false" ht="14.25" hidden="false" customHeight="false" outlineLevel="0" collapsed="false">
      <c r="B1829" s="7" t="n">
        <v>42734</v>
      </c>
      <c r="C1829" s="7" t="n">
        <f aca="false">B1829-WEEKDAY(B1829)+1</f>
        <v>42729</v>
      </c>
      <c r="D1829" s="1" t="e">
        <f aca="false" t="array" ref="D1829:D1829">IF(ISBLANK(_xlfn.xlookup(D$3,daily_items,_xlfn.xlookup($C1829,daily_dates,big_daily_table))),NA(),_xlfn.xlookup(D$3,daily_items,_xlfn.xlookup($C1829,daily_dates,big_daily_table)))</f>
        <v>#NAME?</v>
      </c>
      <c r="E1829" s="1" t="e">
        <f aca="false" t="array" ref="E1829:E1829">IF(ISBLANK(_xlfn.xlookup(E$3,daily_items,_xlfn.xlookup($C1829,daily_dates,big_daily_table))),NA(),_xlfn.xlookup(E$3,daily_items,_xlfn.xlookup($C1829,daily_dates,big_daily_table)))</f>
        <v>#NAME?</v>
      </c>
    </row>
    <row r="1830" customFormat="false" ht="14.25" hidden="false" customHeight="false" outlineLevel="0" collapsed="false">
      <c r="B1830" s="7" t="n">
        <v>42735</v>
      </c>
      <c r="C1830" s="7" t="n">
        <f aca="false">B1830-WEEKDAY(B1830)+1</f>
        <v>42729</v>
      </c>
      <c r="D1830" s="1" t="e">
        <f aca="false" t="array" ref="D1830:D1830">IF(ISBLANK(_xlfn.xlookup(D$3,daily_items,_xlfn.xlookup($C1830,daily_dates,big_daily_table))),NA(),_xlfn.xlookup(D$3,daily_items,_xlfn.xlookup($C1830,daily_dates,big_daily_table)))</f>
        <v>#NAME?</v>
      </c>
      <c r="E1830" s="1" t="e">
        <f aca="false" t="array" ref="E1830:E1830">IF(ISBLANK(_xlfn.xlookup(E$3,daily_items,_xlfn.xlookup($C1830,daily_dates,big_daily_table))),NA(),_xlfn.xlookup(E$3,daily_items,_xlfn.xlookup($C1830,daily_dates,big_daily_table)))</f>
        <v>#NAME?</v>
      </c>
    </row>
    <row r="1831" customFormat="false" ht="14.25" hidden="false" customHeight="false" outlineLevel="0" collapsed="false">
      <c r="B1831" s="7" t="n">
        <v>42736</v>
      </c>
      <c r="C1831" s="7" t="n">
        <f aca="false">B1831-WEEKDAY(B1831)+1</f>
        <v>42736</v>
      </c>
      <c r="D1831" s="1" t="e">
        <f aca="false" t="array" ref="D1831:D1831">IF(ISBLANK(_xlfn.xlookup(D$3,daily_items,_xlfn.xlookup($C1831,daily_dates,big_daily_table))),NA(),_xlfn.xlookup(D$3,daily_items,_xlfn.xlookup($C1831,daily_dates,big_daily_table)))</f>
        <v>#NAME?</v>
      </c>
      <c r="E1831" s="1" t="e">
        <f aca="false" t="array" ref="E1831:E1831">IF(ISBLANK(_xlfn.xlookup(E$3,daily_items,_xlfn.xlookup($C1831,daily_dates,big_daily_table))),NA(),_xlfn.xlookup(E$3,daily_items,_xlfn.xlookup($C1831,daily_dates,big_daily_table)))</f>
        <v>#NAME?</v>
      </c>
    </row>
    <row r="1832" customFormat="false" ht="14.25" hidden="false" customHeight="false" outlineLevel="0" collapsed="false">
      <c r="B1832" s="7" t="n">
        <v>42737</v>
      </c>
      <c r="C1832" s="7" t="n">
        <f aca="false">B1832-WEEKDAY(B1832)+1</f>
        <v>42736</v>
      </c>
      <c r="D1832" s="1" t="e">
        <f aca="false" t="array" ref="D1832:D1832">IF(ISBLANK(_xlfn.xlookup(D$3,daily_items,_xlfn.xlookup($C1832,daily_dates,big_daily_table))),NA(),_xlfn.xlookup(D$3,daily_items,_xlfn.xlookup($C1832,daily_dates,big_daily_table)))</f>
        <v>#NAME?</v>
      </c>
      <c r="E1832" s="1" t="e">
        <f aca="false" t="array" ref="E1832:E1832">IF(ISBLANK(_xlfn.xlookup(E$3,daily_items,_xlfn.xlookup($C1832,daily_dates,big_daily_table))),NA(),_xlfn.xlookup(E$3,daily_items,_xlfn.xlookup($C1832,daily_dates,big_daily_table)))</f>
        <v>#NAME?</v>
      </c>
    </row>
    <row r="1833" customFormat="false" ht="14.25" hidden="false" customHeight="false" outlineLevel="0" collapsed="false">
      <c r="B1833" s="7" t="n">
        <v>42738</v>
      </c>
      <c r="C1833" s="7" t="n">
        <f aca="false">B1833-WEEKDAY(B1833)+1</f>
        <v>42736</v>
      </c>
      <c r="D1833" s="1" t="e">
        <f aca="false" t="array" ref="D1833:D1833">IF(ISBLANK(_xlfn.xlookup(D$3,daily_items,_xlfn.xlookup($C1833,daily_dates,big_daily_table))),NA(),_xlfn.xlookup(D$3,daily_items,_xlfn.xlookup($C1833,daily_dates,big_daily_table)))</f>
        <v>#NAME?</v>
      </c>
      <c r="E1833" s="1" t="e">
        <f aca="false" t="array" ref="E1833:E1833">IF(ISBLANK(_xlfn.xlookup(E$3,daily_items,_xlfn.xlookup($C1833,daily_dates,big_daily_table))),NA(),_xlfn.xlookup(E$3,daily_items,_xlfn.xlookup($C1833,daily_dates,big_daily_table)))</f>
        <v>#NAME?</v>
      </c>
    </row>
    <row r="1834" customFormat="false" ht="14.25" hidden="false" customHeight="false" outlineLevel="0" collapsed="false">
      <c r="B1834" s="7" t="n">
        <v>42739</v>
      </c>
      <c r="C1834" s="7" t="n">
        <f aca="false">B1834-WEEKDAY(B1834)+1</f>
        <v>42736</v>
      </c>
      <c r="D1834" s="1" t="e">
        <f aca="false" t="array" ref="D1834:D1834">IF(ISBLANK(_xlfn.xlookup(D$3,daily_items,_xlfn.xlookup($C1834,daily_dates,big_daily_table))),NA(),_xlfn.xlookup(D$3,daily_items,_xlfn.xlookup($C1834,daily_dates,big_daily_table)))</f>
        <v>#NAME?</v>
      </c>
      <c r="E1834" s="1" t="e">
        <f aca="false" t="array" ref="E1834:E1834">IF(ISBLANK(_xlfn.xlookup(E$3,daily_items,_xlfn.xlookup($C1834,daily_dates,big_daily_table))),NA(),_xlfn.xlookup(E$3,daily_items,_xlfn.xlookup($C1834,daily_dates,big_daily_table)))</f>
        <v>#NAME?</v>
      </c>
    </row>
    <row r="1835" customFormat="false" ht="14.25" hidden="false" customHeight="false" outlineLevel="0" collapsed="false">
      <c r="B1835" s="7" t="n">
        <v>42740</v>
      </c>
      <c r="C1835" s="7" t="n">
        <f aca="false">B1835-WEEKDAY(B1835)+1</f>
        <v>42736</v>
      </c>
      <c r="D1835" s="1" t="e">
        <f aca="false" t="array" ref="D1835:D1835">IF(ISBLANK(_xlfn.xlookup(D$3,daily_items,_xlfn.xlookup($C1835,daily_dates,big_daily_table))),NA(),_xlfn.xlookup(D$3,daily_items,_xlfn.xlookup($C1835,daily_dates,big_daily_table)))</f>
        <v>#NAME?</v>
      </c>
      <c r="E1835" s="1" t="e">
        <f aca="false" t="array" ref="E1835:E1835">IF(ISBLANK(_xlfn.xlookup(E$3,daily_items,_xlfn.xlookup($C1835,daily_dates,big_daily_table))),NA(),_xlfn.xlookup(E$3,daily_items,_xlfn.xlookup($C1835,daily_dates,big_daily_table)))</f>
        <v>#NAME?</v>
      </c>
    </row>
    <row r="1836" customFormat="false" ht="14.25" hidden="false" customHeight="false" outlineLevel="0" collapsed="false">
      <c r="B1836" s="7" t="n">
        <v>42741</v>
      </c>
      <c r="C1836" s="7" t="n">
        <f aca="false">B1836-WEEKDAY(B1836)+1</f>
        <v>42736</v>
      </c>
      <c r="D1836" s="1" t="e">
        <f aca="false" t="array" ref="D1836:D1836">IF(ISBLANK(_xlfn.xlookup(D$3,daily_items,_xlfn.xlookup($C1836,daily_dates,big_daily_table))),NA(),_xlfn.xlookup(D$3,daily_items,_xlfn.xlookup($C1836,daily_dates,big_daily_table)))</f>
        <v>#NAME?</v>
      </c>
      <c r="E1836" s="1" t="e">
        <f aca="false" t="array" ref="E1836:E1836">IF(ISBLANK(_xlfn.xlookup(E$3,daily_items,_xlfn.xlookup($C1836,daily_dates,big_daily_table))),NA(),_xlfn.xlookup(E$3,daily_items,_xlfn.xlookup($C1836,daily_dates,big_daily_table)))</f>
        <v>#NAME?</v>
      </c>
    </row>
    <row r="1837" customFormat="false" ht="14.25" hidden="false" customHeight="false" outlineLevel="0" collapsed="false">
      <c r="B1837" s="7" t="n">
        <v>42742</v>
      </c>
      <c r="C1837" s="7" t="n">
        <f aca="false">B1837-WEEKDAY(B1837)+1</f>
        <v>42736</v>
      </c>
      <c r="D1837" s="1" t="e">
        <f aca="false" t="array" ref="D1837:D1837">IF(ISBLANK(_xlfn.xlookup(D$3,daily_items,_xlfn.xlookup($C1837,daily_dates,big_daily_table))),NA(),_xlfn.xlookup(D$3,daily_items,_xlfn.xlookup($C1837,daily_dates,big_daily_table)))</f>
        <v>#NAME?</v>
      </c>
      <c r="E1837" s="1" t="e">
        <f aca="false" t="array" ref="E1837:E1837">IF(ISBLANK(_xlfn.xlookup(E$3,daily_items,_xlfn.xlookup($C1837,daily_dates,big_daily_table))),NA(),_xlfn.xlookup(E$3,daily_items,_xlfn.xlookup($C1837,daily_dates,big_daily_table)))</f>
        <v>#NAME?</v>
      </c>
    </row>
    <row r="1838" customFormat="false" ht="14.25" hidden="false" customHeight="false" outlineLevel="0" collapsed="false">
      <c r="B1838" s="7" t="n">
        <v>42743</v>
      </c>
      <c r="C1838" s="7" t="n">
        <f aca="false">B1838-WEEKDAY(B1838)+1</f>
        <v>42743</v>
      </c>
      <c r="D1838" s="1" t="e">
        <f aca="false" t="array" ref="D1838:D1838">IF(ISBLANK(_xlfn.xlookup(D$3,daily_items,_xlfn.xlookup($C1838,daily_dates,big_daily_table))),NA(),_xlfn.xlookup(D$3,daily_items,_xlfn.xlookup($C1838,daily_dates,big_daily_table)))</f>
        <v>#NAME?</v>
      </c>
      <c r="E1838" s="1" t="e">
        <f aca="false" t="array" ref="E1838:E1838">IF(ISBLANK(_xlfn.xlookup(E$3,daily_items,_xlfn.xlookup($C1838,daily_dates,big_daily_table))),NA(),_xlfn.xlookup(E$3,daily_items,_xlfn.xlookup($C1838,daily_dates,big_daily_table)))</f>
        <v>#NAME?</v>
      </c>
    </row>
    <row r="1839" customFormat="false" ht="14.25" hidden="false" customHeight="false" outlineLevel="0" collapsed="false">
      <c r="B1839" s="7" t="n">
        <v>42744</v>
      </c>
      <c r="C1839" s="7" t="n">
        <f aca="false">B1839-WEEKDAY(B1839)+1</f>
        <v>42743</v>
      </c>
      <c r="D1839" s="1" t="e">
        <f aca="false" t="array" ref="D1839:D1839">IF(ISBLANK(_xlfn.xlookup(D$3,daily_items,_xlfn.xlookup($C1839,daily_dates,big_daily_table))),NA(),_xlfn.xlookup(D$3,daily_items,_xlfn.xlookup($C1839,daily_dates,big_daily_table)))</f>
        <v>#NAME?</v>
      </c>
      <c r="E1839" s="1" t="e">
        <f aca="false" t="array" ref="E1839:E1839">IF(ISBLANK(_xlfn.xlookup(E$3,daily_items,_xlfn.xlookup($C1839,daily_dates,big_daily_table))),NA(),_xlfn.xlookup(E$3,daily_items,_xlfn.xlookup($C1839,daily_dates,big_daily_table)))</f>
        <v>#NAME?</v>
      </c>
    </row>
    <row r="1840" customFormat="false" ht="14.25" hidden="false" customHeight="false" outlineLevel="0" collapsed="false">
      <c r="B1840" s="7" t="n">
        <v>42745</v>
      </c>
      <c r="C1840" s="7" t="n">
        <f aca="false">B1840-WEEKDAY(B1840)+1</f>
        <v>42743</v>
      </c>
      <c r="D1840" s="1" t="e">
        <f aca="false" t="array" ref="D1840:D1840">IF(ISBLANK(_xlfn.xlookup(D$3,daily_items,_xlfn.xlookup($C1840,daily_dates,big_daily_table))),NA(),_xlfn.xlookup(D$3,daily_items,_xlfn.xlookup($C1840,daily_dates,big_daily_table)))</f>
        <v>#NAME?</v>
      </c>
      <c r="E1840" s="1" t="e">
        <f aca="false" t="array" ref="E1840:E1840">IF(ISBLANK(_xlfn.xlookup(E$3,daily_items,_xlfn.xlookup($C1840,daily_dates,big_daily_table))),NA(),_xlfn.xlookup(E$3,daily_items,_xlfn.xlookup($C1840,daily_dates,big_daily_table)))</f>
        <v>#NAME?</v>
      </c>
    </row>
    <row r="1841" customFormat="false" ht="14.25" hidden="false" customHeight="false" outlineLevel="0" collapsed="false">
      <c r="B1841" s="7" t="n">
        <v>42746</v>
      </c>
      <c r="C1841" s="7" t="n">
        <f aca="false">B1841-WEEKDAY(B1841)+1</f>
        <v>42743</v>
      </c>
      <c r="D1841" s="1" t="e">
        <f aca="false" t="array" ref="D1841:D1841">IF(ISBLANK(_xlfn.xlookup(D$3,daily_items,_xlfn.xlookup($C1841,daily_dates,big_daily_table))),NA(),_xlfn.xlookup(D$3,daily_items,_xlfn.xlookup($C1841,daily_dates,big_daily_table)))</f>
        <v>#NAME?</v>
      </c>
      <c r="E1841" s="1" t="e">
        <f aca="false" t="array" ref="E1841:E1841">IF(ISBLANK(_xlfn.xlookup(E$3,daily_items,_xlfn.xlookup($C1841,daily_dates,big_daily_table))),NA(),_xlfn.xlookup(E$3,daily_items,_xlfn.xlookup($C1841,daily_dates,big_daily_table)))</f>
        <v>#NAME?</v>
      </c>
    </row>
    <row r="1842" customFormat="false" ht="14.25" hidden="false" customHeight="false" outlineLevel="0" collapsed="false">
      <c r="B1842" s="7" t="n">
        <v>42747</v>
      </c>
      <c r="C1842" s="7" t="n">
        <f aca="false">B1842-WEEKDAY(B1842)+1</f>
        <v>42743</v>
      </c>
      <c r="D1842" s="1" t="e">
        <f aca="false" t="array" ref="D1842:D1842">IF(ISBLANK(_xlfn.xlookup(D$3,daily_items,_xlfn.xlookup($C1842,daily_dates,big_daily_table))),NA(),_xlfn.xlookup(D$3,daily_items,_xlfn.xlookup($C1842,daily_dates,big_daily_table)))</f>
        <v>#NAME?</v>
      </c>
      <c r="E1842" s="1" t="e">
        <f aca="false" t="array" ref="E1842:E1842">IF(ISBLANK(_xlfn.xlookup(E$3,daily_items,_xlfn.xlookup($C1842,daily_dates,big_daily_table))),NA(),_xlfn.xlookup(E$3,daily_items,_xlfn.xlookup($C1842,daily_dates,big_daily_table)))</f>
        <v>#NAME?</v>
      </c>
    </row>
    <row r="1843" customFormat="false" ht="14.25" hidden="false" customHeight="false" outlineLevel="0" collapsed="false">
      <c r="B1843" s="7" t="n">
        <v>42748</v>
      </c>
      <c r="C1843" s="7" t="n">
        <f aca="false">B1843-WEEKDAY(B1843)+1</f>
        <v>42743</v>
      </c>
      <c r="D1843" s="1" t="e">
        <f aca="false" t="array" ref="D1843:D1843">IF(ISBLANK(_xlfn.xlookup(D$3,daily_items,_xlfn.xlookup($C1843,daily_dates,big_daily_table))),NA(),_xlfn.xlookup(D$3,daily_items,_xlfn.xlookup($C1843,daily_dates,big_daily_table)))</f>
        <v>#NAME?</v>
      </c>
      <c r="E1843" s="1" t="e">
        <f aca="false" t="array" ref="E1843:E1843">IF(ISBLANK(_xlfn.xlookup(E$3,daily_items,_xlfn.xlookup($C1843,daily_dates,big_daily_table))),NA(),_xlfn.xlookup(E$3,daily_items,_xlfn.xlookup($C1843,daily_dates,big_daily_table)))</f>
        <v>#NAME?</v>
      </c>
    </row>
    <row r="1844" customFormat="false" ht="14.25" hidden="false" customHeight="false" outlineLevel="0" collapsed="false">
      <c r="B1844" s="7" t="n">
        <v>42749</v>
      </c>
      <c r="C1844" s="7" t="n">
        <f aca="false">B1844-WEEKDAY(B1844)+1</f>
        <v>42743</v>
      </c>
      <c r="D1844" s="1" t="e">
        <f aca="false" t="array" ref="D1844:D1844">IF(ISBLANK(_xlfn.xlookup(D$3,daily_items,_xlfn.xlookup($C1844,daily_dates,big_daily_table))),NA(),_xlfn.xlookup(D$3,daily_items,_xlfn.xlookup($C1844,daily_dates,big_daily_table)))</f>
        <v>#NAME?</v>
      </c>
      <c r="E1844" s="1" t="e">
        <f aca="false" t="array" ref="E1844:E1844">IF(ISBLANK(_xlfn.xlookup(E$3,daily_items,_xlfn.xlookup($C1844,daily_dates,big_daily_table))),NA(),_xlfn.xlookup(E$3,daily_items,_xlfn.xlookup($C1844,daily_dates,big_daily_table)))</f>
        <v>#NAME?</v>
      </c>
    </row>
    <row r="1845" customFormat="false" ht="14.25" hidden="false" customHeight="false" outlineLevel="0" collapsed="false">
      <c r="B1845" s="7" t="n">
        <v>42750</v>
      </c>
      <c r="C1845" s="7" t="n">
        <f aca="false">B1845-WEEKDAY(B1845)+1</f>
        <v>42750</v>
      </c>
      <c r="D1845" s="1" t="e">
        <f aca="false" t="array" ref="D1845:D1845">IF(ISBLANK(_xlfn.xlookup(D$3,daily_items,_xlfn.xlookup($C1845,daily_dates,big_daily_table))),NA(),_xlfn.xlookup(D$3,daily_items,_xlfn.xlookup($C1845,daily_dates,big_daily_table)))</f>
        <v>#NAME?</v>
      </c>
      <c r="E1845" s="1" t="e">
        <f aca="false" t="array" ref="E1845:E1845">IF(ISBLANK(_xlfn.xlookup(E$3,daily_items,_xlfn.xlookup($C1845,daily_dates,big_daily_table))),NA(),_xlfn.xlookup(E$3,daily_items,_xlfn.xlookup($C1845,daily_dates,big_daily_table)))</f>
        <v>#NAME?</v>
      </c>
    </row>
    <row r="1846" customFormat="false" ht="14.25" hidden="false" customHeight="false" outlineLevel="0" collapsed="false">
      <c r="B1846" s="7" t="n">
        <v>42751</v>
      </c>
      <c r="C1846" s="7" t="n">
        <f aca="false">B1846-WEEKDAY(B1846)+1</f>
        <v>42750</v>
      </c>
      <c r="D1846" s="1" t="e">
        <f aca="false" t="array" ref="D1846:D1846">IF(ISBLANK(_xlfn.xlookup(D$3,daily_items,_xlfn.xlookup($C1846,daily_dates,big_daily_table))),NA(),_xlfn.xlookup(D$3,daily_items,_xlfn.xlookup($C1846,daily_dates,big_daily_table)))</f>
        <v>#NAME?</v>
      </c>
      <c r="E1846" s="1" t="e">
        <f aca="false" t="array" ref="E1846:E1846">IF(ISBLANK(_xlfn.xlookup(E$3,daily_items,_xlfn.xlookup($C1846,daily_dates,big_daily_table))),NA(),_xlfn.xlookup(E$3,daily_items,_xlfn.xlookup($C1846,daily_dates,big_daily_table)))</f>
        <v>#NAME?</v>
      </c>
    </row>
    <row r="1847" customFormat="false" ht="14.25" hidden="false" customHeight="false" outlineLevel="0" collapsed="false">
      <c r="B1847" s="7" t="n">
        <v>42752</v>
      </c>
      <c r="C1847" s="7" t="n">
        <f aca="false">B1847-WEEKDAY(B1847)+1</f>
        <v>42750</v>
      </c>
      <c r="D1847" s="1" t="e">
        <f aca="false" t="array" ref="D1847:D1847">IF(ISBLANK(_xlfn.xlookup(D$3,daily_items,_xlfn.xlookup($C1847,daily_dates,big_daily_table))),NA(),_xlfn.xlookup(D$3,daily_items,_xlfn.xlookup($C1847,daily_dates,big_daily_table)))</f>
        <v>#NAME?</v>
      </c>
      <c r="E1847" s="1" t="e">
        <f aca="false" t="array" ref="E1847:E1847">IF(ISBLANK(_xlfn.xlookup(E$3,daily_items,_xlfn.xlookup($C1847,daily_dates,big_daily_table))),NA(),_xlfn.xlookup(E$3,daily_items,_xlfn.xlookup($C1847,daily_dates,big_daily_table)))</f>
        <v>#NAME?</v>
      </c>
    </row>
    <row r="1848" customFormat="false" ht="14.25" hidden="false" customHeight="false" outlineLevel="0" collapsed="false">
      <c r="B1848" s="7" t="n">
        <v>42753</v>
      </c>
      <c r="C1848" s="7" t="n">
        <f aca="false">B1848-WEEKDAY(B1848)+1</f>
        <v>42750</v>
      </c>
      <c r="D1848" s="1" t="e">
        <f aca="false" t="array" ref="D1848:D1848">IF(ISBLANK(_xlfn.xlookup(D$3,daily_items,_xlfn.xlookup($C1848,daily_dates,big_daily_table))),NA(),_xlfn.xlookup(D$3,daily_items,_xlfn.xlookup($C1848,daily_dates,big_daily_table)))</f>
        <v>#NAME?</v>
      </c>
      <c r="E1848" s="1" t="e">
        <f aca="false" t="array" ref="E1848:E1848">IF(ISBLANK(_xlfn.xlookup(E$3,daily_items,_xlfn.xlookup($C1848,daily_dates,big_daily_table))),NA(),_xlfn.xlookup(E$3,daily_items,_xlfn.xlookup($C1848,daily_dates,big_daily_table)))</f>
        <v>#NAME?</v>
      </c>
    </row>
    <row r="1849" customFormat="false" ht="14.25" hidden="false" customHeight="false" outlineLevel="0" collapsed="false">
      <c r="B1849" s="7" t="n">
        <v>42754</v>
      </c>
      <c r="C1849" s="7" t="n">
        <f aca="false">B1849-WEEKDAY(B1849)+1</f>
        <v>42750</v>
      </c>
      <c r="D1849" s="1" t="e">
        <f aca="false" t="array" ref="D1849:D1849">IF(ISBLANK(_xlfn.xlookup(D$3,daily_items,_xlfn.xlookup($C1849,daily_dates,big_daily_table))),NA(),_xlfn.xlookup(D$3,daily_items,_xlfn.xlookup($C1849,daily_dates,big_daily_table)))</f>
        <v>#NAME?</v>
      </c>
      <c r="E1849" s="1" t="e">
        <f aca="false" t="array" ref="E1849:E1849">IF(ISBLANK(_xlfn.xlookup(E$3,daily_items,_xlfn.xlookup($C1849,daily_dates,big_daily_table))),NA(),_xlfn.xlookup(E$3,daily_items,_xlfn.xlookup($C1849,daily_dates,big_daily_table)))</f>
        <v>#NAME?</v>
      </c>
    </row>
    <row r="1850" customFormat="false" ht="14.25" hidden="false" customHeight="false" outlineLevel="0" collapsed="false">
      <c r="B1850" s="7" t="n">
        <v>42755</v>
      </c>
      <c r="C1850" s="7" t="n">
        <f aca="false">B1850-WEEKDAY(B1850)+1</f>
        <v>42750</v>
      </c>
      <c r="D1850" s="1" t="e">
        <f aca="false" t="array" ref="D1850:D1850">IF(ISBLANK(_xlfn.xlookup(D$3,daily_items,_xlfn.xlookup($C1850,daily_dates,big_daily_table))),NA(),_xlfn.xlookup(D$3,daily_items,_xlfn.xlookup($C1850,daily_dates,big_daily_table)))</f>
        <v>#NAME?</v>
      </c>
      <c r="E1850" s="1" t="e">
        <f aca="false" t="array" ref="E1850:E1850">IF(ISBLANK(_xlfn.xlookup(E$3,daily_items,_xlfn.xlookup($C1850,daily_dates,big_daily_table))),NA(),_xlfn.xlookup(E$3,daily_items,_xlfn.xlookup($C1850,daily_dates,big_daily_table)))</f>
        <v>#NAME?</v>
      </c>
    </row>
    <row r="1851" customFormat="false" ht="14.25" hidden="false" customHeight="false" outlineLevel="0" collapsed="false">
      <c r="B1851" s="7" t="n">
        <v>42756</v>
      </c>
      <c r="C1851" s="7" t="n">
        <f aca="false">B1851-WEEKDAY(B1851)+1</f>
        <v>42750</v>
      </c>
      <c r="D1851" s="1" t="e">
        <f aca="false" t="array" ref="D1851:D1851">IF(ISBLANK(_xlfn.xlookup(D$3,daily_items,_xlfn.xlookup($C1851,daily_dates,big_daily_table))),NA(),_xlfn.xlookup(D$3,daily_items,_xlfn.xlookup($C1851,daily_dates,big_daily_table)))</f>
        <v>#NAME?</v>
      </c>
      <c r="E1851" s="1" t="e">
        <f aca="false" t="array" ref="E1851:E1851">IF(ISBLANK(_xlfn.xlookup(E$3,daily_items,_xlfn.xlookup($C1851,daily_dates,big_daily_table))),NA(),_xlfn.xlookup(E$3,daily_items,_xlfn.xlookup($C1851,daily_dates,big_daily_table)))</f>
        <v>#NAME?</v>
      </c>
    </row>
    <row r="1852" customFormat="false" ht="14.25" hidden="false" customHeight="false" outlineLevel="0" collapsed="false">
      <c r="B1852" s="7" t="n">
        <v>42757</v>
      </c>
      <c r="C1852" s="7" t="n">
        <f aca="false">B1852-WEEKDAY(B1852)+1</f>
        <v>42757</v>
      </c>
      <c r="D1852" s="1" t="e">
        <f aca="false" t="array" ref="D1852:D1852">IF(ISBLANK(_xlfn.xlookup(D$3,daily_items,_xlfn.xlookup($C1852,daily_dates,big_daily_table))),NA(),_xlfn.xlookup(D$3,daily_items,_xlfn.xlookup($C1852,daily_dates,big_daily_table)))</f>
        <v>#NAME?</v>
      </c>
      <c r="E1852" s="1" t="e">
        <f aca="false" t="array" ref="E1852:E1852">IF(ISBLANK(_xlfn.xlookup(E$3,daily_items,_xlfn.xlookup($C1852,daily_dates,big_daily_table))),NA(),_xlfn.xlookup(E$3,daily_items,_xlfn.xlookup($C1852,daily_dates,big_daily_table)))</f>
        <v>#NAME?</v>
      </c>
    </row>
    <row r="1853" customFormat="false" ht="14.25" hidden="false" customHeight="false" outlineLevel="0" collapsed="false">
      <c r="B1853" s="7" t="n">
        <v>42758</v>
      </c>
      <c r="C1853" s="7" t="n">
        <f aca="false">B1853-WEEKDAY(B1853)+1</f>
        <v>42757</v>
      </c>
      <c r="D1853" s="1" t="e">
        <f aca="false" t="array" ref="D1853:D1853">IF(ISBLANK(_xlfn.xlookup(D$3,daily_items,_xlfn.xlookup($C1853,daily_dates,big_daily_table))),NA(),_xlfn.xlookup(D$3,daily_items,_xlfn.xlookup($C1853,daily_dates,big_daily_table)))</f>
        <v>#NAME?</v>
      </c>
      <c r="E1853" s="1" t="e">
        <f aca="false" t="array" ref="E1853:E1853">IF(ISBLANK(_xlfn.xlookup(E$3,daily_items,_xlfn.xlookup($C1853,daily_dates,big_daily_table))),NA(),_xlfn.xlookup(E$3,daily_items,_xlfn.xlookup($C1853,daily_dates,big_daily_table)))</f>
        <v>#NAME?</v>
      </c>
    </row>
    <row r="1854" customFormat="false" ht="14.25" hidden="false" customHeight="false" outlineLevel="0" collapsed="false">
      <c r="B1854" s="7" t="n">
        <v>42759</v>
      </c>
      <c r="C1854" s="7" t="n">
        <f aca="false">B1854-WEEKDAY(B1854)+1</f>
        <v>42757</v>
      </c>
      <c r="D1854" s="1" t="e">
        <f aca="false" t="array" ref="D1854:D1854">IF(ISBLANK(_xlfn.xlookup(D$3,daily_items,_xlfn.xlookup($C1854,daily_dates,big_daily_table))),NA(),_xlfn.xlookup(D$3,daily_items,_xlfn.xlookup($C1854,daily_dates,big_daily_table)))</f>
        <v>#NAME?</v>
      </c>
      <c r="E1854" s="1" t="e">
        <f aca="false" t="array" ref="E1854:E1854">IF(ISBLANK(_xlfn.xlookup(E$3,daily_items,_xlfn.xlookup($C1854,daily_dates,big_daily_table))),NA(),_xlfn.xlookup(E$3,daily_items,_xlfn.xlookup($C1854,daily_dates,big_daily_table)))</f>
        <v>#NAME?</v>
      </c>
    </row>
    <row r="1855" customFormat="false" ht="14.25" hidden="false" customHeight="false" outlineLevel="0" collapsed="false">
      <c r="B1855" s="7" t="n">
        <v>42760</v>
      </c>
      <c r="C1855" s="7" t="n">
        <f aca="false">B1855-WEEKDAY(B1855)+1</f>
        <v>42757</v>
      </c>
      <c r="D1855" s="1" t="e">
        <f aca="false" t="array" ref="D1855:D1855">IF(ISBLANK(_xlfn.xlookup(D$3,daily_items,_xlfn.xlookup($C1855,daily_dates,big_daily_table))),NA(),_xlfn.xlookup(D$3,daily_items,_xlfn.xlookup($C1855,daily_dates,big_daily_table)))</f>
        <v>#NAME?</v>
      </c>
      <c r="E1855" s="1" t="e">
        <f aca="false" t="array" ref="E1855:E1855">IF(ISBLANK(_xlfn.xlookup(E$3,daily_items,_xlfn.xlookup($C1855,daily_dates,big_daily_table))),NA(),_xlfn.xlookup(E$3,daily_items,_xlfn.xlookup($C1855,daily_dates,big_daily_table)))</f>
        <v>#NAME?</v>
      </c>
    </row>
    <row r="1856" customFormat="false" ht="14.25" hidden="false" customHeight="false" outlineLevel="0" collapsed="false">
      <c r="B1856" s="7" t="n">
        <v>42761</v>
      </c>
      <c r="C1856" s="7" t="n">
        <f aca="false">B1856-WEEKDAY(B1856)+1</f>
        <v>42757</v>
      </c>
      <c r="D1856" s="1" t="e">
        <f aca="false" t="array" ref="D1856:D1856">IF(ISBLANK(_xlfn.xlookup(D$3,daily_items,_xlfn.xlookup($C1856,daily_dates,big_daily_table))),NA(),_xlfn.xlookup(D$3,daily_items,_xlfn.xlookup($C1856,daily_dates,big_daily_table)))</f>
        <v>#NAME?</v>
      </c>
      <c r="E1856" s="1" t="e">
        <f aca="false" t="array" ref="E1856:E1856">IF(ISBLANK(_xlfn.xlookup(E$3,daily_items,_xlfn.xlookup($C1856,daily_dates,big_daily_table))),NA(),_xlfn.xlookup(E$3,daily_items,_xlfn.xlookup($C1856,daily_dates,big_daily_table)))</f>
        <v>#NAME?</v>
      </c>
    </row>
    <row r="1857" customFormat="false" ht="14.25" hidden="false" customHeight="false" outlineLevel="0" collapsed="false">
      <c r="B1857" s="7" t="n">
        <v>42762</v>
      </c>
      <c r="C1857" s="7" t="n">
        <f aca="false">B1857-WEEKDAY(B1857)+1</f>
        <v>42757</v>
      </c>
      <c r="D1857" s="1" t="e">
        <f aca="false" t="array" ref="D1857:D1857">IF(ISBLANK(_xlfn.xlookup(D$3,daily_items,_xlfn.xlookup($C1857,daily_dates,big_daily_table))),NA(),_xlfn.xlookup(D$3,daily_items,_xlfn.xlookup($C1857,daily_dates,big_daily_table)))</f>
        <v>#NAME?</v>
      </c>
      <c r="E1857" s="1" t="e">
        <f aca="false" t="array" ref="E1857:E1857">IF(ISBLANK(_xlfn.xlookup(E$3,daily_items,_xlfn.xlookup($C1857,daily_dates,big_daily_table))),NA(),_xlfn.xlookup(E$3,daily_items,_xlfn.xlookup($C1857,daily_dates,big_daily_table)))</f>
        <v>#NAME?</v>
      </c>
    </row>
    <row r="1858" customFormat="false" ht="14.25" hidden="false" customHeight="false" outlineLevel="0" collapsed="false">
      <c r="B1858" s="7" t="n">
        <v>42763</v>
      </c>
      <c r="C1858" s="7" t="n">
        <f aca="false">B1858-WEEKDAY(B1858)+1</f>
        <v>42757</v>
      </c>
      <c r="D1858" s="1" t="e">
        <f aca="false" t="array" ref="D1858:D1858">IF(ISBLANK(_xlfn.xlookup(D$3,daily_items,_xlfn.xlookup($C1858,daily_dates,big_daily_table))),NA(),_xlfn.xlookup(D$3,daily_items,_xlfn.xlookup($C1858,daily_dates,big_daily_table)))</f>
        <v>#NAME?</v>
      </c>
      <c r="E1858" s="1" t="e">
        <f aca="false" t="array" ref="E1858:E1858">IF(ISBLANK(_xlfn.xlookup(E$3,daily_items,_xlfn.xlookup($C1858,daily_dates,big_daily_table))),NA(),_xlfn.xlookup(E$3,daily_items,_xlfn.xlookup($C1858,daily_dates,big_daily_table)))</f>
        <v>#NAME?</v>
      </c>
    </row>
    <row r="1859" customFormat="false" ht="14.25" hidden="false" customHeight="false" outlineLevel="0" collapsed="false">
      <c r="B1859" s="7" t="n">
        <v>42764</v>
      </c>
      <c r="C1859" s="7" t="n">
        <f aca="false">B1859-WEEKDAY(B1859)+1</f>
        <v>42764</v>
      </c>
      <c r="D1859" s="1" t="e">
        <f aca="false" t="array" ref="D1859:D1859">IF(ISBLANK(_xlfn.xlookup(D$3,daily_items,_xlfn.xlookup($C1859,daily_dates,big_daily_table))),NA(),_xlfn.xlookup(D$3,daily_items,_xlfn.xlookup($C1859,daily_dates,big_daily_table)))</f>
        <v>#NAME?</v>
      </c>
      <c r="E1859" s="1" t="e">
        <f aca="false" t="array" ref="E1859:E1859">IF(ISBLANK(_xlfn.xlookup(E$3,daily_items,_xlfn.xlookup($C1859,daily_dates,big_daily_table))),NA(),_xlfn.xlookup(E$3,daily_items,_xlfn.xlookup($C1859,daily_dates,big_daily_table)))</f>
        <v>#NAME?</v>
      </c>
    </row>
    <row r="1860" customFormat="false" ht="14.25" hidden="false" customHeight="false" outlineLevel="0" collapsed="false">
      <c r="B1860" s="7" t="n">
        <v>42765</v>
      </c>
      <c r="C1860" s="7" t="n">
        <f aca="false">B1860-WEEKDAY(B1860)+1</f>
        <v>42764</v>
      </c>
      <c r="D1860" s="1" t="e">
        <f aca="false" t="array" ref="D1860:D1860">IF(ISBLANK(_xlfn.xlookup(D$3,daily_items,_xlfn.xlookup($C1860,daily_dates,big_daily_table))),NA(),_xlfn.xlookup(D$3,daily_items,_xlfn.xlookup($C1860,daily_dates,big_daily_table)))</f>
        <v>#NAME?</v>
      </c>
      <c r="E1860" s="1" t="e">
        <f aca="false" t="array" ref="E1860:E1860">IF(ISBLANK(_xlfn.xlookup(E$3,daily_items,_xlfn.xlookup($C1860,daily_dates,big_daily_table))),NA(),_xlfn.xlookup(E$3,daily_items,_xlfn.xlookup($C1860,daily_dates,big_daily_table)))</f>
        <v>#NAME?</v>
      </c>
    </row>
    <row r="1861" customFormat="false" ht="14.25" hidden="false" customHeight="false" outlineLevel="0" collapsed="false">
      <c r="B1861" s="7" t="n">
        <v>42766</v>
      </c>
      <c r="C1861" s="7" t="n">
        <f aca="false">B1861-WEEKDAY(B1861)+1</f>
        <v>42764</v>
      </c>
      <c r="D1861" s="1" t="e">
        <f aca="false" t="array" ref="D1861:D1861">IF(ISBLANK(_xlfn.xlookup(D$3,daily_items,_xlfn.xlookup($C1861,daily_dates,big_daily_table))),NA(),_xlfn.xlookup(D$3,daily_items,_xlfn.xlookup($C1861,daily_dates,big_daily_table)))</f>
        <v>#NAME?</v>
      </c>
      <c r="E1861" s="1" t="e">
        <f aca="false" t="array" ref="E1861:E1861">IF(ISBLANK(_xlfn.xlookup(E$3,daily_items,_xlfn.xlookup($C1861,daily_dates,big_daily_table))),NA(),_xlfn.xlookup(E$3,daily_items,_xlfn.xlookup($C1861,daily_dates,big_daily_table)))</f>
        <v>#NAME?</v>
      </c>
    </row>
    <row r="1862" customFormat="false" ht="14.25" hidden="false" customHeight="false" outlineLevel="0" collapsed="false">
      <c r="B1862" s="7" t="n">
        <v>42767</v>
      </c>
      <c r="C1862" s="7" t="n">
        <f aca="false">B1862-WEEKDAY(B1862)+1</f>
        <v>42764</v>
      </c>
      <c r="D1862" s="1" t="e">
        <f aca="false" t="array" ref="D1862:D1862">IF(ISBLANK(_xlfn.xlookup(D$3,daily_items,_xlfn.xlookup($C1862,daily_dates,big_daily_table))),NA(),_xlfn.xlookup(D$3,daily_items,_xlfn.xlookup($C1862,daily_dates,big_daily_table)))</f>
        <v>#NAME?</v>
      </c>
      <c r="E1862" s="1" t="e">
        <f aca="false" t="array" ref="E1862:E1862">IF(ISBLANK(_xlfn.xlookup(E$3,daily_items,_xlfn.xlookup($C1862,daily_dates,big_daily_table))),NA(),_xlfn.xlookup(E$3,daily_items,_xlfn.xlookup($C1862,daily_dates,big_daily_table)))</f>
        <v>#NAME?</v>
      </c>
    </row>
    <row r="1863" customFormat="false" ht="14.25" hidden="false" customHeight="false" outlineLevel="0" collapsed="false">
      <c r="B1863" s="7" t="n">
        <v>42768</v>
      </c>
      <c r="C1863" s="7" t="n">
        <f aca="false">B1863-WEEKDAY(B1863)+1</f>
        <v>42764</v>
      </c>
      <c r="D1863" s="1" t="e">
        <f aca="false" t="array" ref="D1863:D1863">IF(ISBLANK(_xlfn.xlookup(D$3,daily_items,_xlfn.xlookup($C1863,daily_dates,big_daily_table))),NA(),_xlfn.xlookup(D$3,daily_items,_xlfn.xlookup($C1863,daily_dates,big_daily_table)))</f>
        <v>#NAME?</v>
      </c>
      <c r="E1863" s="1" t="e">
        <f aca="false" t="array" ref="E1863:E1863">IF(ISBLANK(_xlfn.xlookup(E$3,daily_items,_xlfn.xlookup($C1863,daily_dates,big_daily_table))),NA(),_xlfn.xlookup(E$3,daily_items,_xlfn.xlookup($C1863,daily_dates,big_daily_table)))</f>
        <v>#NAME?</v>
      </c>
    </row>
    <row r="1864" customFormat="false" ht="14.25" hidden="false" customHeight="false" outlineLevel="0" collapsed="false">
      <c r="B1864" s="7" t="n">
        <v>42769</v>
      </c>
      <c r="C1864" s="7" t="n">
        <f aca="false">B1864-WEEKDAY(B1864)+1</f>
        <v>42764</v>
      </c>
      <c r="D1864" s="1" t="e">
        <f aca="false" t="array" ref="D1864:D1864">IF(ISBLANK(_xlfn.xlookup(D$3,daily_items,_xlfn.xlookup($C1864,daily_dates,big_daily_table))),NA(),_xlfn.xlookup(D$3,daily_items,_xlfn.xlookup($C1864,daily_dates,big_daily_table)))</f>
        <v>#NAME?</v>
      </c>
      <c r="E1864" s="1" t="e">
        <f aca="false" t="array" ref="E1864:E1864">IF(ISBLANK(_xlfn.xlookup(E$3,daily_items,_xlfn.xlookup($C1864,daily_dates,big_daily_table))),NA(),_xlfn.xlookup(E$3,daily_items,_xlfn.xlookup($C1864,daily_dates,big_daily_table)))</f>
        <v>#NAME?</v>
      </c>
    </row>
    <row r="1865" customFormat="false" ht="14.25" hidden="false" customHeight="false" outlineLevel="0" collapsed="false">
      <c r="B1865" s="7" t="n">
        <v>42770</v>
      </c>
      <c r="C1865" s="7" t="n">
        <f aca="false">B1865-WEEKDAY(B1865)+1</f>
        <v>42764</v>
      </c>
      <c r="D1865" s="1" t="e">
        <f aca="false" t="array" ref="D1865:D1865">IF(ISBLANK(_xlfn.xlookup(D$3,daily_items,_xlfn.xlookup($C1865,daily_dates,big_daily_table))),NA(),_xlfn.xlookup(D$3,daily_items,_xlfn.xlookup($C1865,daily_dates,big_daily_table)))</f>
        <v>#NAME?</v>
      </c>
      <c r="E1865" s="1" t="e">
        <f aca="false" t="array" ref="E1865:E1865">IF(ISBLANK(_xlfn.xlookup(E$3,daily_items,_xlfn.xlookup($C1865,daily_dates,big_daily_table))),NA(),_xlfn.xlookup(E$3,daily_items,_xlfn.xlookup($C1865,daily_dates,big_daily_table)))</f>
        <v>#NAME?</v>
      </c>
    </row>
    <row r="1866" customFormat="false" ht="14.25" hidden="false" customHeight="false" outlineLevel="0" collapsed="false">
      <c r="B1866" s="7" t="n">
        <v>42771</v>
      </c>
      <c r="C1866" s="7" t="n">
        <f aca="false">B1866-WEEKDAY(B1866)+1</f>
        <v>42771</v>
      </c>
      <c r="D1866" s="1" t="e">
        <f aca="false" t="array" ref="D1866:D1866">IF(ISBLANK(_xlfn.xlookup(D$3,daily_items,_xlfn.xlookup($C1866,daily_dates,big_daily_table))),NA(),_xlfn.xlookup(D$3,daily_items,_xlfn.xlookup($C1866,daily_dates,big_daily_table)))</f>
        <v>#NAME?</v>
      </c>
      <c r="E1866" s="1" t="e">
        <f aca="false" t="array" ref="E1866:E1866">IF(ISBLANK(_xlfn.xlookup(E$3,daily_items,_xlfn.xlookup($C1866,daily_dates,big_daily_table))),NA(),_xlfn.xlookup(E$3,daily_items,_xlfn.xlookup($C1866,daily_dates,big_daily_table)))</f>
        <v>#NAME?</v>
      </c>
    </row>
    <row r="1867" customFormat="false" ht="14.25" hidden="false" customHeight="false" outlineLevel="0" collapsed="false">
      <c r="B1867" s="7" t="n">
        <v>42772</v>
      </c>
      <c r="C1867" s="7" t="n">
        <f aca="false">B1867-WEEKDAY(B1867)+1</f>
        <v>42771</v>
      </c>
      <c r="D1867" s="1" t="e">
        <f aca="false" t="array" ref="D1867:D1867">IF(ISBLANK(_xlfn.xlookup(D$3,daily_items,_xlfn.xlookup($C1867,daily_dates,big_daily_table))),NA(),_xlfn.xlookup(D$3,daily_items,_xlfn.xlookup($C1867,daily_dates,big_daily_table)))</f>
        <v>#NAME?</v>
      </c>
      <c r="E1867" s="1" t="e">
        <f aca="false" t="array" ref="E1867:E1867">IF(ISBLANK(_xlfn.xlookup(E$3,daily_items,_xlfn.xlookup($C1867,daily_dates,big_daily_table))),NA(),_xlfn.xlookup(E$3,daily_items,_xlfn.xlookup($C1867,daily_dates,big_daily_table)))</f>
        <v>#NAME?</v>
      </c>
    </row>
    <row r="1868" customFormat="false" ht="14.25" hidden="false" customHeight="false" outlineLevel="0" collapsed="false">
      <c r="B1868" s="7" t="n">
        <v>42773</v>
      </c>
      <c r="C1868" s="7" t="n">
        <f aca="false">B1868-WEEKDAY(B1868)+1</f>
        <v>42771</v>
      </c>
      <c r="D1868" s="1" t="e">
        <f aca="false" t="array" ref="D1868:D1868">IF(ISBLANK(_xlfn.xlookup(D$3,daily_items,_xlfn.xlookup($C1868,daily_dates,big_daily_table))),NA(),_xlfn.xlookup(D$3,daily_items,_xlfn.xlookup($C1868,daily_dates,big_daily_table)))</f>
        <v>#NAME?</v>
      </c>
      <c r="E1868" s="1" t="e">
        <f aca="false" t="array" ref="E1868:E1868">IF(ISBLANK(_xlfn.xlookup(E$3,daily_items,_xlfn.xlookup($C1868,daily_dates,big_daily_table))),NA(),_xlfn.xlookup(E$3,daily_items,_xlfn.xlookup($C1868,daily_dates,big_daily_table)))</f>
        <v>#NAME?</v>
      </c>
    </row>
    <row r="1869" customFormat="false" ht="14.25" hidden="false" customHeight="false" outlineLevel="0" collapsed="false">
      <c r="B1869" s="7" t="n">
        <v>42774</v>
      </c>
      <c r="C1869" s="7" t="n">
        <f aca="false">B1869-WEEKDAY(B1869)+1</f>
        <v>42771</v>
      </c>
      <c r="D1869" s="1" t="e">
        <f aca="false" t="array" ref="D1869:D1869">IF(ISBLANK(_xlfn.xlookup(D$3,daily_items,_xlfn.xlookup($C1869,daily_dates,big_daily_table))),NA(),_xlfn.xlookup(D$3,daily_items,_xlfn.xlookup($C1869,daily_dates,big_daily_table)))</f>
        <v>#NAME?</v>
      </c>
      <c r="E1869" s="1" t="e">
        <f aca="false" t="array" ref="E1869:E1869">IF(ISBLANK(_xlfn.xlookup(E$3,daily_items,_xlfn.xlookup($C1869,daily_dates,big_daily_table))),NA(),_xlfn.xlookup(E$3,daily_items,_xlfn.xlookup($C1869,daily_dates,big_daily_table)))</f>
        <v>#NAME?</v>
      </c>
    </row>
    <row r="1870" customFormat="false" ht="14.25" hidden="false" customHeight="false" outlineLevel="0" collapsed="false">
      <c r="B1870" s="7" t="n">
        <v>42775</v>
      </c>
      <c r="C1870" s="7" t="n">
        <f aca="false">B1870-WEEKDAY(B1870)+1</f>
        <v>42771</v>
      </c>
      <c r="D1870" s="1" t="e">
        <f aca="false" t="array" ref="D1870:D1870">IF(ISBLANK(_xlfn.xlookup(D$3,daily_items,_xlfn.xlookup($C1870,daily_dates,big_daily_table))),NA(),_xlfn.xlookup(D$3,daily_items,_xlfn.xlookup($C1870,daily_dates,big_daily_table)))</f>
        <v>#NAME?</v>
      </c>
      <c r="E1870" s="1" t="e">
        <f aca="false" t="array" ref="E1870:E1870">IF(ISBLANK(_xlfn.xlookup(E$3,daily_items,_xlfn.xlookup($C1870,daily_dates,big_daily_table))),NA(),_xlfn.xlookup(E$3,daily_items,_xlfn.xlookup($C1870,daily_dates,big_daily_table)))</f>
        <v>#NAME?</v>
      </c>
    </row>
    <row r="1871" customFormat="false" ht="14.25" hidden="false" customHeight="false" outlineLevel="0" collapsed="false">
      <c r="B1871" s="7" t="n">
        <v>42776</v>
      </c>
      <c r="C1871" s="7" t="n">
        <f aca="false">B1871-WEEKDAY(B1871)+1</f>
        <v>42771</v>
      </c>
      <c r="D1871" s="1" t="e">
        <f aca="false" t="array" ref="D1871:D1871">IF(ISBLANK(_xlfn.xlookup(D$3,daily_items,_xlfn.xlookup($C1871,daily_dates,big_daily_table))),NA(),_xlfn.xlookup(D$3,daily_items,_xlfn.xlookup($C1871,daily_dates,big_daily_table)))</f>
        <v>#NAME?</v>
      </c>
      <c r="E1871" s="1" t="e">
        <f aca="false" t="array" ref="E1871:E1871">IF(ISBLANK(_xlfn.xlookup(E$3,daily_items,_xlfn.xlookup($C1871,daily_dates,big_daily_table))),NA(),_xlfn.xlookup(E$3,daily_items,_xlfn.xlookup($C1871,daily_dates,big_daily_table)))</f>
        <v>#NAME?</v>
      </c>
    </row>
    <row r="1872" customFormat="false" ht="14.25" hidden="false" customHeight="false" outlineLevel="0" collapsed="false">
      <c r="B1872" s="7" t="n">
        <v>42777</v>
      </c>
      <c r="C1872" s="7" t="n">
        <f aca="false">B1872-WEEKDAY(B1872)+1</f>
        <v>42771</v>
      </c>
      <c r="D1872" s="1" t="e">
        <f aca="false" t="array" ref="D1872:D1872">IF(ISBLANK(_xlfn.xlookup(D$3,daily_items,_xlfn.xlookup($C1872,daily_dates,big_daily_table))),NA(),_xlfn.xlookup(D$3,daily_items,_xlfn.xlookup($C1872,daily_dates,big_daily_table)))</f>
        <v>#NAME?</v>
      </c>
      <c r="E1872" s="1" t="e">
        <f aca="false" t="array" ref="E1872:E1872">IF(ISBLANK(_xlfn.xlookup(E$3,daily_items,_xlfn.xlookup($C1872,daily_dates,big_daily_table))),NA(),_xlfn.xlookup(E$3,daily_items,_xlfn.xlookup($C1872,daily_dates,big_daily_table)))</f>
        <v>#NAME?</v>
      </c>
    </row>
    <row r="1873" customFormat="false" ht="14.25" hidden="false" customHeight="false" outlineLevel="0" collapsed="false">
      <c r="B1873" s="7" t="n">
        <v>42778</v>
      </c>
      <c r="C1873" s="7" t="n">
        <f aca="false">B1873-WEEKDAY(B1873)+1</f>
        <v>42778</v>
      </c>
      <c r="D1873" s="1" t="e">
        <f aca="false" t="array" ref="D1873:D1873">IF(ISBLANK(_xlfn.xlookup(D$3,daily_items,_xlfn.xlookup($C1873,daily_dates,big_daily_table))),NA(),_xlfn.xlookup(D$3,daily_items,_xlfn.xlookup($C1873,daily_dates,big_daily_table)))</f>
        <v>#NAME?</v>
      </c>
      <c r="E1873" s="1" t="e">
        <f aca="false" t="array" ref="E1873:E1873">IF(ISBLANK(_xlfn.xlookup(E$3,daily_items,_xlfn.xlookup($C1873,daily_dates,big_daily_table))),NA(),_xlfn.xlookup(E$3,daily_items,_xlfn.xlookup($C1873,daily_dates,big_daily_table)))</f>
        <v>#NAME?</v>
      </c>
    </row>
    <row r="1874" customFormat="false" ht="14.25" hidden="false" customHeight="false" outlineLevel="0" collapsed="false">
      <c r="B1874" s="7" t="n">
        <v>42779</v>
      </c>
      <c r="C1874" s="7" t="n">
        <f aca="false">B1874-WEEKDAY(B1874)+1</f>
        <v>42778</v>
      </c>
      <c r="D1874" s="1" t="e">
        <f aca="false" t="array" ref="D1874:D1874">IF(ISBLANK(_xlfn.xlookup(D$3,daily_items,_xlfn.xlookup($C1874,daily_dates,big_daily_table))),NA(),_xlfn.xlookup(D$3,daily_items,_xlfn.xlookup($C1874,daily_dates,big_daily_table)))</f>
        <v>#NAME?</v>
      </c>
      <c r="E1874" s="1" t="e">
        <f aca="false" t="array" ref="E1874:E1874">IF(ISBLANK(_xlfn.xlookup(E$3,daily_items,_xlfn.xlookup($C1874,daily_dates,big_daily_table))),NA(),_xlfn.xlookup(E$3,daily_items,_xlfn.xlookup($C1874,daily_dates,big_daily_table)))</f>
        <v>#NAME?</v>
      </c>
    </row>
    <row r="1875" customFormat="false" ht="14.25" hidden="false" customHeight="false" outlineLevel="0" collapsed="false">
      <c r="B1875" s="7" t="n">
        <v>42780</v>
      </c>
      <c r="C1875" s="7" t="n">
        <f aca="false">B1875-WEEKDAY(B1875)+1</f>
        <v>42778</v>
      </c>
      <c r="D1875" s="1" t="e">
        <f aca="false" t="array" ref="D1875:D1875">IF(ISBLANK(_xlfn.xlookup(D$3,daily_items,_xlfn.xlookup($C1875,daily_dates,big_daily_table))),NA(),_xlfn.xlookup(D$3,daily_items,_xlfn.xlookup($C1875,daily_dates,big_daily_table)))</f>
        <v>#NAME?</v>
      </c>
      <c r="E1875" s="1" t="e">
        <f aca="false" t="array" ref="E1875:E1875">IF(ISBLANK(_xlfn.xlookup(E$3,daily_items,_xlfn.xlookup($C1875,daily_dates,big_daily_table))),NA(),_xlfn.xlookup(E$3,daily_items,_xlfn.xlookup($C1875,daily_dates,big_daily_table)))</f>
        <v>#NAME?</v>
      </c>
    </row>
    <row r="1876" customFormat="false" ht="14.25" hidden="false" customHeight="false" outlineLevel="0" collapsed="false">
      <c r="B1876" s="7" t="n">
        <v>42781</v>
      </c>
      <c r="C1876" s="7" t="n">
        <f aca="false">B1876-WEEKDAY(B1876)+1</f>
        <v>42778</v>
      </c>
      <c r="D1876" s="1" t="e">
        <f aca="false" t="array" ref="D1876:D1876">IF(ISBLANK(_xlfn.xlookup(D$3,daily_items,_xlfn.xlookup($C1876,daily_dates,big_daily_table))),NA(),_xlfn.xlookup(D$3,daily_items,_xlfn.xlookup($C1876,daily_dates,big_daily_table)))</f>
        <v>#NAME?</v>
      </c>
      <c r="E1876" s="1" t="e">
        <f aca="false" t="array" ref="E1876:E1876">IF(ISBLANK(_xlfn.xlookup(E$3,daily_items,_xlfn.xlookup($C1876,daily_dates,big_daily_table))),NA(),_xlfn.xlookup(E$3,daily_items,_xlfn.xlookup($C1876,daily_dates,big_daily_table)))</f>
        <v>#NAME?</v>
      </c>
    </row>
    <row r="1877" customFormat="false" ht="14.25" hidden="false" customHeight="false" outlineLevel="0" collapsed="false">
      <c r="B1877" s="7" t="n">
        <v>42782</v>
      </c>
      <c r="C1877" s="7" t="n">
        <f aca="false">B1877-WEEKDAY(B1877)+1</f>
        <v>42778</v>
      </c>
      <c r="D1877" s="1" t="e">
        <f aca="false" t="array" ref="D1877:D1877">IF(ISBLANK(_xlfn.xlookup(D$3,daily_items,_xlfn.xlookup($C1877,daily_dates,big_daily_table))),NA(),_xlfn.xlookup(D$3,daily_items,_xlfn.xlookup($C1877,daily_dates,big_daily_table)))</f>
        <v>#NAME?</v>
      </c>
      <c r="E1877" s="1" t="e">
        <f aca="false" t="array" ref="E1877:E1877">IF(ISBLANK(_xlfn.xlookup(E$3,daily_items,_xlfn.xlookup($C1877,daily_dates,big_daily_table))),NA(),_xlfn.xlookup(E$3,daily_items,_xlfn.xlookup($C1877,daily_dates,big_daily_table)))</f>
        <v>#NAME?</v>
      </c>
    </row>
    <row r="1878" customFormat="false" ht="14.25" hidden="false" customHeight="false" outlineLevel="0" collapsed="false">
      <c r="B1878" s="7" t="n">
        <v>42783</v>
      </c>
      <c r="C1878" s="7" t="n">
        <f aca="false">B1878-WEEKDAY(B1878)+1</f>
        <v>42778</v>
      </c>
      <c r="D1878" s="1" t="e">
        <f aca="false" t="array" ref="D1878:D1878">IF(ISBLANK(_xlfn.xlookup(D$3,daily_items,_xlfn.xlookup($C1878,daily_dates,big_daily_table))),NA(),_xlfn.xlookup(D$3,daily_items,_xlfn.xlookup($C1878,daily_dates,big_daily_table)))</f>
        <v>#NAME?</v>
      </c>
      <c r="E1878" s="1" t="e">
        <f aca="false" t="array" ref="E1878:E1878">IF(ISBLANK(_xlfn.xlookup(E$3,daily_items,_xlfn.xlookup($C1878,daily_dates,big_daily_table))),NA(),_xlfn.xlookup(E$3,daily_items,_xlfn.xlookup($C1878,daily_dates,big_daily_table)))</f>
        <v>#NAME?</v>
      </c>
    </row>
    <row r="1879" customFormat="false" ht="14.25" hidden="false" customHeight="false" outlineLevel="0" collapsed="false">
      <c r="B1879" s="7" t="n">
        <v>42784</v>
      </c>
      <c r="C1879" s="7" t="n">
        <f aca="false">B1879-WEEKDAY(B1879)+1</f>
        <v>42778</v>
      </c>
      <c r="D1879" s="1" t="e">
        <f aca="false" t="array" ref="D1879:D1879">IF(ISBLANK(_xlfn.xlookup(D$3,daily_items,_xlfn.xlookup($C1879,daily_dates,big_daily_table))),NA(),_xlfn.xlookup(D$3,daily_items,_xlfn.xlookup($C1879,daily_dates,big_daily_table)))</f>
        <v>#NAME?</v>
      </c>
      <c r="E1879" s="1" t="e">
        <f aca="false" t="array" ref="E1879:E1879">IF(ISBLANK(_xlfn.xlookup(E$3,daily_items,_xlfn.xlookup($C1879,daily_dates,big_daily_table))),NA(),_xlfn.xlookup(E$3,daily_items,_xlfn.xlookup($C1879,daily_dates,big_daily_table)))</f>
        <v>#NAME?</v>
      </c>
    </row>
    <row r="1880" customFormat="false" ht="14.25" hidden="false" customHeight="false" outlineLevel="0" collapsed="false">
      <c r="B1880" s="7" t="n">
        <v>42785</v>
      </c>
      <c r="C1880" s="7" t="n">
        <f aca="false">B1880-WEEKDAY(B1880)+1</f>
        <v>42785</v>
      </c>
      <c r="D1880" s="1" t="e">
        <f aca="false" t="array" ref="D1880:D1880">IF(ISBLANK(_xlfn.xlookup(D$3,daily_items,_xlfn.xlookup($C1880,daily_dates,big_daily_table))),NA(),_xlfn.xlookup(D$3,daily_items,_xlfn.xlookup($C1880,daily_dates,big_daily_table)))</f>
        <v>#NAME?</v>
      </c>
      <c r="E1880" s="1" t="e">
        <f aca="false" t="array" ref="E1880:E1880">IF(ISBLANK(_xlfn.xlookup(E$3,daily_items,_xlfn.xlookup($C1880,daily_dates,big_daily_table))),NA(),_xlfn.xlookup(E$3,daily_items,_xlfn.xlookup($C1880,daily_dates,big_daily_table)))</f>
        <v>#NAME?</v>
      </c>
    </row>
    <row r="1881" customFormat="false" ht="14.25" hidden="false" customHeight="false" outlineLevel="0" collapsed="false">
      <c r="B1881" s="7" t="n">
        <v>42786</v>
      </c>
      <c r="C1881" s="7" t="n">
        <f aca="false">B1881-WEEKDAY(B1881)+1</f>
        <v>42785</v>
      </c>
      <c r="D1881" s="1" t="e">
        <f aca="false" t="array" ref="D1881:D1881">IF(ISBLANK(_xlfn.xlookup(D$3,daily_items,_xlfn.xlookup($C1881,daily_dates,big_daily_table))),NA(),_xlfn.xlookup(D$3,daily_items,_xlfn.xlookup($C1881,daily_dates,big_daily_table)))</f>
        <v>#NAME?</v>
      </c>
      <c r="E1881" s="1" t="e">
        <f aca="false" t="array" ref="E1881:E1881">IF(ISBLANK(_xlfn.xlookup(E$3,daily_items,_xlfn.xlookup($C1881,daily_dates,big_daily_table))),NA(),_xlfn.xlookup(E$3,daily_items,_xlfn.xlookup($C1881,daily_dates,big_daily_table)))</f>
        <v>#NAME?</v>
      </c>
    </row>
    <row r="1882" customFormat="false" ht="14.25" hidden="false" customHeight="false" outlineLevel="0" collapsed="false">
      <c r="B1882" s="7" t="n">
        <v>42787</v>
      </c>
      <c r="C1882" s="7" t="n">
        <f aca="false">B1882-WEEKDAY(B1882)+1</f>
        <v>42785</v>
      </c>
      <c r="D1882" s="1" t="e">
        <f aca="false" t="array" ref="D1882:D1882">IF(ISBLANK(_xlfn.xlookup(D$3,daily_items,_xlfn.xlookup($C1882,daily_dates,big_daily_table))),NA(),_xlfn.xlookup(D$3,daily_items,_xlfn.xlookup($C1882,daily_dates,big_daily_table)))</f>
        <v>#NAME?</v>
      </c>
      <c r="E1882" s="1" t="e">
        <f aca="false" t="array" ref="E1882:E1882">IF(ISBLANK(_xlfn.xlookup(E$3,daily_items,_xlfn.xlookup($C1882,daily_dates,big_daily_table))),NA(),_xlfn.xlookup(E$3,daily_items,_xlfn.xlookup($C1882,daily_dates,big_daily_table)))</f>
        <v>#NAME?</v>
      </c>
    </row>
    <row r="1883" customFormat="false" ht="14.25" hidden="false" customHeight="false" outlineLevel="0" collapsed="false">
      <c r="B1883" s="7" t="n">
        <v>42788</v>
      </c>
      <c r="C1883" s="7" t="n">
        <f aca="false">B1883-WEEKDAY(B1883)+1</f>
        <v>42785</v>
      </c>
      <c r="D1883" s="1" t="e">
        <f aca="false" t="array" ref="D1883:D1883">IF(ISBLANK(_xlfn.xlookup(D$3,daily_items,_xlfn.xlookup($C1883,daily_dates,big_daily_table))),NA(),_xlfn.xlookup(D$3,daily_items,_xlfn.xlookup($C1883,daily_dates,big_daily_table)))</f>
        <v>#NAME?</v>
      </c>
      <c r="E1883" s="1" t="e">
        <f aca="false" t="array" ref="E1883:E1883">IF(ISBLANK(_xlfn.xlookup(E$3,daily_items,_xlfn.xlookup($C1883,daily_dates,big_daily_table))),NA(),_xlfn.xlookup(E$3,daily_items,_xlfn.xlookup($C1883,daily_dates,big_daily_table)))</f>
        <v>#NAME?</v>
      </c>
    </row>
    <row r="1884" customFormat="false" ht="14.25" hidden="false" customHeight="false" outlineLevel="0" collapsed="false">
      <c r="B1884" s="7" t="n">
        <v>42789</v>
      </c>
      <c r="C1884" s="7" t="n">
        <f aca="false">B1884-WEEKDAY(B1884)+1</f>
        <v>42785</v>
      </c>
      <c r="D1884" s="1" t="e">
        <f aca="false" t="array" ref="D1884:D1884">IF(ISBLANK(_xlfn.xlookup(D$3,daily_items,_xlfn.xlookup($C1884,daily_dates,big_daily_table))),NA(),_xlfn.xlookup(D$3,daily_items,_xlfn.xlookup($C1884,daily_dates,big_daily_table)))</f>
        <v>#NAME?</v>
      </c>
      <c r="E1884" s="1" t="e">
        <f aca="false" t="array" ref="E1884:E1884">IF(ISBLANK(_xlfn.xlookup(E$3,daily_items,_xlfn.xlookup($C1884,daily_dates,big_daily_table))),NA(),_xlfn.xlookup(E$3,daily_items,_xlfn.xlookup($C1884,daily_dates,big_daily_table)))</f>
        <v>#NAME?</v>
      </c>
    </row>
    <row r="1885" customFormat="false" ht="14.25" hidden="false" customHeight="false" outlineLevel="0" collapsed="false">
      <c r="B1885" s="7" t="n">
        <v>42790</v>
      </c>
      <c r="C1885" s="7" t="n">
        <f aca="false">B1885-WEEKDAY(B1885)+1</f>
        <v>42785</v>
      </c>
      <c r="D1885" s="1" t="e">
        <f aca="false" t="array" ref="D1885:D1885">IF(ISBLANK(_xlfn.xlookup(D$3,daily_items,_xlfn.xlookup($C1885,daily_dates,big_daily_table))),NA(),_xlfn.xlookup(D$3,daily_items,_xlfn.xlookup($C1885,daily_dates,big_daily_table)))</f>
        <v>#NAME?</v>
      </c>
      <c r="E1885" s="1" t="e">
        <f aca="false" t="array" ref="E1885:E1885">IF(ISBLANK(_xlfn.xlookup(E$3,daily_items,_xlfn.xlookup($C1885,daily_dates,big_daily_table))),NA(),_xlfn.xlookup(E$3,daily_items,_xlfn.xlookup($C1885,daily_dates,big_daily_table)))</f>
        <v>#NAME?</v>
      </c>
    </row>
    <row r="1886" customFormat="false" ht="14.25" hidden="false" customHeight="false" outlineLevel="0" collapsed="false">
      <c r="B1886" s="7" t="n">
        <v>42791</v>
      </c>
      <c r="C1886" s="7" t="n">
        <f aca="false">B1886-WEEKDAY(B1886)+1</f>
        <v>42785</v>
      </c>
      <c r="D1886" s="1" t="e">
        <f aca="false" t="array" ref="D1886:D1886">IF(ISBLANK(_xlfn.xlookup(D$3,daily_items,_xlfn.xlookup($C1886,daily_dates,big_daily_table))),NA(),_xlfn.xlookup(D$3,daily_items,_xlfn.xlookup($C1886,daily_dates,big_daily_table)))</f>
        <v>#NAME?</v>
      </c>
      <c r="E1886" s="1" t="e">
        <f aca="false" t="array" ref="E1886:E1886">IF(ISBLANK(_xlfn.xlookup(E$3,daily_items,_xlfn.xlookup($C1886,daily_dates,big_daily_table))),NA(),_xlfn.xlookup(E$3,daily_items,_xlfn.xlookup($C1886,daily_dates,big_daily_table)))</f>
        <v>#NAME?</v>
      </c>
    </row>
    <row r="1887" customFormat="false" ht="14.25" hidden="false" customHeight="false" outlineLevel="0" collapsed="false">
      <c r="B1887" s="7" t="n">
        <v>42792</v>
      </c>
      <c r="C1887" s="7" t="n">
        <f aca="false">B1887-WEEKDAY(B1887)+1</f>
        <v>42792</v>
      </c>
      <c r="D1887" s="1" t="e">
        <f aca="false" t="array" ref="D1887:D1887">IF(ISBLANK(_xlfn.xlookup(D$3,daily_items,_xlfn.xlookup($C1887,daily_dates,big_daily_table))),NA(),_xlfn.xlookup(D$3,daily_items,_xlfn.xlookup($C1887,daily_dates,big_daily_table)))</f>
        <v>#NAME?</v>
      </c>
      <c r="E1887" s="1" t="e">
        <f aca="false" t="array" ref="E1887:E1887">IF(ISBLANK(_xlfn.xlookup(E$3,daily_items,_xlfn.xlookup($C1887,daily_dates,big_daily_table))),NA(),_xlfn.xlookup(E$3,daily_items,_xlfn.xlookup($C1887,daily_dates,big_daily_table)))</f>
        <v>#NAME?</v>
      </c>
    </row>
    <row r="1888" customFormat="false" ht="14.25" hidden="false" customHeight="false" outlineLevel="0" collapsed="false">
      <c r="B1888" s="7" t="n">
        <v>42793</v>
      </c>
      <c r="C1888" s="7" t="n">
        <f aca="false">B1888-WEEKDAY(B1888)+1</f>
        <v>42792</v>
      </c>
      <c r="D1888" s="1" t="e">
        <f aca="false" t="array" ref="D1888:D1888">IF(ISBLANK(_xlfn.xlookup(D$3,daily_items,_xlfn.xlookup($C1888,daily_dates,big_daily_table))),NA(),_xlfn.xlookup(D$3,daily_items,_xlfn.xlookup($C1888,daily_dates,big_daily_table)))</f>
        <v>#NAME?</v>
      </c>
      <c r="E1888" s="1" t="e">
        <f aca="false" t="array" ref="E1888:E1888">IF(ISBLANK(_xlfn.xlookup(E$3,daily_items,_xlfn.xlookup($C1888,daily_dates,big_daily_table))),NA(),_xlfn.xlookup(E$3,daily_items,_xlfn.xlookup($C1888,daily_dates,big_daily_table)))</f>
        <v>#NAME?</v>
      </c>
    </row>
    <row r="1889" customFormat="false" ht="14.25" hidden="false" customHeight="false" outlineLevel="0" collapsed="false">
      <c r="B1889" s="7" t="n">
        <v>42794</v>
      </c>
      <c r="C1889" s="7" t="n">
        <f aca="false">B1889-WEEKDAY(B1889)+1</f>
        <v>42792</v>
      </c>
      <c r="D1889" s="1" t="e">
        <f aca="false" t="array" ref="D1889:D1889">IF(ISBLANK(_xlfn.xlookup(D$3,daily_items,_xlfn.xlookup($C1889,daily_dates,big_daily_table))),NA(),_xlfn.xlookup(D$3,daily_items,_xlfn.xlookup($C1889,daily_dates,big_daily_table)))</f>
        <v>#NAME?</v>
      </c>
      <c r="E1889" s="1" t="e">
        <f aca="false" t="array" ref="E1889:E1889">IF(ISBLANK(_xlfn.xlookup(E$3,daily_items,_xlfn.xlookup($C1889,daily_dates,big_daily_table))),NA(),_xlfn.xlookup(E$3,daily_items,_xlfn.xlookup($C1889,daily_dates,big_daily_table)))</f>
        <v>#NAME?</v>
      </c>
    </row>
    <row r="1890" customFormat="false" ht="14.25" hidden="false" customHeight="false" outlineLevel="0" collapsed="false">
      <c r="B1890" s="7" t="n">
        <v>42795</v>
      </c>
      <c r="C1890" s="7" t="n">
        <f aca="false">B1890-WEEKDAY(B1890)+1</f>
        <v>42792</v>
      </c>
      <c r="D1890" s="1" t="e">
        <f aca="false" t="array" ref="D1890:D1890">IF(ISBLANK(_xlfn.xlookup(D$3,daily_items,_xlfn.xlookup($C1890,daily_dates,big_daily_table))),NA(),_xlfn.xlookup(D$3,daily_items,_xlfn.xlookup($C1890,daily_dates,big_daily_table)))</f>
        <v>#NAME?</v>
      </c>
      <c r="E1890" s="1" t="e">
        <f aca="false" t="array" ref="E1890:E1890">IF(ISBLANK(_xlfn.xlookup(E$3,daily_items,_xlfn.xlookup($C1890,daily_dates,big_daily_table))),NA(),_xlfn.xlookup(E$3,daily_items,_xlfn.xlookup($C1890,daily_dates,big_daily_table)))</f>
        <v>#NAME?</v>
      </c>
    </row>
    <row r="1891" customFormat="false" ht="14.25" hidden="false" customHeight="false" outlineLevel="0" collapsed="false">
      <c r="B1891" s="7" t="n">
        <v>42796</v>
      </c>
      <c r="C1891" s="7" t="n">
        <f aca="false">B1891-WEEKDAY(B1891)+1</f>
        <v>42792</v>
      </c>
      <c r="D1891" s="1" t="e">
        <f aca="false" t="array" ref="D1891:D1891">IF(ISBLANK(_xlfn.xlookup(D$3,daily_items,_xlfn.xlookup($C1891,daily_dates,big_daily_table))),NA(),_xlfn.xlookup(D$3,daily_items,_xlfn.xlookup($C1891,daily_dates,big_daily_table)))</f>
        <v>#NAME?</v>
      </c>
      <c r="E1891" s="1" t="e">
        <f aca="false" t="array" ref="E1891:E1891">IF(ISBLANK(_xlfn.xlookup(E$3,daily_items,_xlfn.xlookup($C1891,daily_dates,big_daily_table))),NA(),_xlfn.xlookup(E$3,daily_items,_xlfn.xlookup($C1891,daily_dates,big_daily_table)))</f>
        <v>#NAME?</v>
      </c>
    </row>
    <row r="1892" customFormat="false" ht="14.25" hidden="false" customHeight="false" outlineLevel="0" collapsed="false">
      <c r="B1892" s="7" t="n">
        <v>42797</v>
      </c>
      <c r="C1892" s="7" t="n">
        <f aca="false">B1892-WEEKDAY(B1892)+1</f>
        <v>42792</v>
      </c>
      <c r="D1892" s="1" t="e">
        <f aca="false" t="array" ref="D1892:D1892">IF(ISBLANK(_xlfn.xlookup(D$3,daily_items,_xlfn.xlookup($C1892,daily_dates,big_daily_table))),NA(),_xlfn.xlookup(D$3,daily_items,_xlfn.xlookup($C1892,daily_dates,big_daily_table)))</f>
        <v>#NAME?</v>
      </c>
      <c r="E1892" s="1" t="e">
        <f aca="false" t="array" ref="E1892:E1892">IF(ISBLANK(_xlfn.xlookup(E$3,daily_items,_xlfn.xlookup($C1892,daily_dates,big_daily_table))),NA(),_xlfn.xlookup(E$3,daily_items,_xlfn.xlookup($C1892,daily_dates,big_daily_table)))</f>
        <v>#NAME?</v>
      </c>
    </row>
    <row r="1893" customFormat="false" ht="14.25" hidden="false" customHeight="false" outlineLevel="0" collapsed="false">
      <c r="B1893" s="7" t="n">
        <v>42798</v>
      </c>
      <c r="C1893" s="7" t="n">
        <f aca="false">B1893-WEEKDAY(B1893)+1</f>
        <v>42792</v>
      </c>
      <c r="D1893" s="1" t="e">
        <f aca="false" t="array" ref="D1893:D1893">IF(ISBLANK(_xlfn.xlookup(D$3,daily_items,_xlfn.xlookup($C1893,daily_dates,big_daily_table))),NA(),_xlfn.xlookup(D$3,daily_items,_xlfn.xlookup($C1893,daily_dates,big_daily_table)))</f>
        <v>#NAME?</v>
      </c>
      <c r="E1893" s="1" t="e">
        <f aca="false" t="array" ref="E1893:E1893">IF(ISBLANK(_xlfn.xlookup(E$3,daily_items,_xlfn.xlookup($C1893,daily_dates,big_daily_table))),NA(),_xlfn.xlookup(E$3,daily_items,_xlfn.xlookup($C1893,daily_dates,big_daily_table)))</f>
        <v>#NAME?</v>
      </c>
    </row>
    <row r="1894" customFormat="false" ht="14.25" hidden="false" customHeight="false" outlineLevel="0" collapsed="false">
      <c r="B1894" s="7" t="n">
        <v>42799</v>
      </c>
      <c r="C1894" s="7" t="n">
        <f aca="false">B1894-WEEKDAY(B1894)+1</f>
        <v>42799</v>
      </c>
      <c r="D1894" s="1" t="e">
        <f aca="false" t="array" ref="D1894:D1894">IF(ISBLANK(_xlfn.xlookup(D$3,daily_items,_xlfn.xlookup($C1894,daily_dates,big_daily_table))),NA(),_xlfn.xlookup(D$3,daily_items,_xlfn.xlookup($C1894,daily_dates,big_daily_table)))</f>
        <v>#NAME?</v>
      </c>
      <c r="E1894" s="1" t="e">
        <f aca="false" t="array" ref="E1894:E1894">IF(ISBLANK(_xlfn.xlookup(E$3,daily_items,_xlfn.xlookup($C1894,daily_dates,big_daily_table))),NA(),_xlfn.xlookup(E$3,daily_items,_xlfn.xlookup($C1894,daily_dates,big_daily_table)))</f>
        <v>#NAME?</v>
      </c>
    </row>
    <row r="1895" customFormat="false" ht="14.25" hidden="false" customHeight="false" outlineLevel="0" collapsed="false">
      <c r="B1895" s="7" t="n">
        <v>42800</v>
      </c>
      <c r="C1895" s="7" t="n">
        <f aca="false">B1895-WEEKDAY(B1895)+1</f>
        <v>42799</v>
      </c>
      <c r="D1895" s="1" t="e">
        <f aca="false" t="array" ref="D1895:D1895">IF(ISBLANK(_xlfn.xlookup(D$3,daily_items,_xlfn.xlookup($C1895,daily_dates,big_daily_table))),NA(),_xlfn.xlookup(D$3,daily_items,_xlfn.xlookup($C1895,daily_dates,big_daily_table)))</f>
        <v>#NAME?</v>
      </c>
      <c r="E1895" s="1" t="e">
        <f aca="false" t="array" ref="E1895:E1895">IF(ISBLANK(_xlfn.xlookup(E$3,daily_items,_xlfn.xlookup($C1895,daily_dates,big_daily_table))),NA(),_xlfn.xlookup(E$3,daily_items,_xlfn.xlookup($C1895,daily_dates,big_daily_table)))</f>
        <v>#NAME?</v>
      </c>
    </row>
    <row r="1896" customFormat="false" ht="14.25" hidden="false" customHeight="false" outlineLevel="0" collapsed="false">
      <c r="B1896" s="7" t="n">
        <v>42801</v>
      </c>
      <c r="C1896" s="7" t="n">
        <f aca="false">B1896-WEEKDAY(B1896)+1</f>
        <v>42799</v>
      </c>
      <c r="D1896" s="1" t="e">
        <f aca="false" t="array" ref="D1896:D1896">IF(ISBLANK(_xlfn.xlookup(D$3,daily_items,_xlfn.xlookup($C1896,daily_dates,big_daily_table))),NA(),_xlfn.xlookup(D$3,daily_items,_xlfn.xlookup($C1896,daily_dates,big_daily_table)))</f>
        <v>#NAME?</v>
      </c>
      <c r="E1896" s="1" t="e">
        <f aca="false" t="array" ref="E1896:E1896">IF(ISBLANK(_xlfn.xlookup(E$3,daily_items,_xlfn.xlookup($C1896,daily_dates,big_daily_table))),NA(),_xlfn.xlookup(E$3,daily_items,_xlfn.xlookup($C1896,daily_dates,big_daily_table)))</f>
        <v>#NAME?</v>
      </c>
    </row>
    <row r="1897" customFormat="false" ht="14.25" hidden="false" customHeight="false" outlineLevel="0" collapsed="false">
      <c r="B1897" s="7" t="n">
        <v>42802</v>
      </c>
      <c r="C1897" s="7" t="n">
        <f aca="false">B1897-WEEKDAY(B1897)+1</f>
        <v>42799</v>
      </c>
      <c r="D1897" s="1" t="e">
        <f aca="false" t="array" ref="D1897:D1897">IF(ISBLANK(_xlfn.xlookup(D$3,daily_items,_xlfn.xlookup($C1897,daily_dates,big_daily_table))),NA(),_xlfn.xlookup(D$3,daily_items,_xlfn.xlookup($C1897,daily_dates,big_daily_table)))</f>
        <v>#NAME?</v>
      </c>
      <c r="E1897" s="1" t="e">
        <f aca="false" t="array" ref="E1897:E1897">IF(ISBLANK(_xlfn.xlookup(E$3,daily_items,_xlfn.xlookup($C1897,daily_dates,big_daily_table))),NA(),_xlfn.xlookup(E$3,daily_items,_xlfn.xlookup($C1897,daily_dates,big_daily_table)))</f>
        <v>#NAME?</v>
      </c>
    </row>
    <row r="1898" customFormat="false" ht="14.25" hidden="false" customHeight="false" outlineLevel="0" collapsed="false">
      <c r="B1898" s="7" t="n">
        <v>42803</v>
      </c>
      <c r="C1898" s="7" t="n">
        <f aca="false">B1898-WEEKDAY(B1898)+1</f>
        <v>42799</v>
      </c>
      <c r="D1898" s="1" t="e">
        <f aca="false" t="array" ref="D1898:D1898">IF(ISBLANK(_xlfn.xlookup(D$3,daily_items,_xlfn.xlookup($C1898,daily_dates,big_daily_table))),NA(),_xlfn.xlookup(D$3,daily_items,_xlfn.xlookup($C1898,daily_dates,big_daily_table)))</f>
        <v>#NAME?</v>
      </c>
      <c r="E1898" s="1" t="e">
        <f aca="false" t="array" ref="E1898:E1898">IF(ISBLANK(_xlfn.xlookup(E$3,daily_items,_xlfn.xlookup($C1898,daily_dates,big_daily_table))),NA(),_xlfn.xlookup(E$3,daily_items,_xlfn.xlookup($C1898,daily_dates,big_daily_table)))</f>
        <v>#NAME?</v>
      </c>
    </row>
    <row r="1899" customFormat="false" ht="14.25" hidden="false" customHeight="false" outlineLevel="0" collapsed="false">
      <c r="B1899" s="7" t="n">
        <v>42804</v>
      </c>
      <c r="C1899" s="7" t="n">
        <f aca="false">B1899-WEEKDAY(B1899)+1</f>
        <v>42799</v>
      </c>
      <c r="D1899" s="1" t="e">
        <f aca="false" t="array" ref="D1899:D1899">IF(ISBLANK(_xlfn.xlookup(D$3,daily_items,_xlfn.xlookup($C1899,daily_dates,big_daily_table))),NA(),_xlfn.xlookup(D$3,daily_items,_xlfn.xlookup($C1899,daily_dates,big_daily_table)))</f>
        <v>#NAME?</v>
      </c>
      <c r="E1899" s="1" t="e">
        <f aca="false" t="array" ref="E1899:E1899">IF(ISBLANK(_xlfn.xlookup(E$3,daily_items,_xlfn.xlookup($C1899,daily_dates,big_daily_table))),NA(),_xlfn.xlookup(E$3,daily_items,_xlfn.xlookup($C1899,daily_dates,big_daily_table)))</f>
        <v>#NAME?</v>
      </c>
    </row>
    <row r="1900" customFormat="false" ht="14.25" hidden="false" customHeight="false" outlineLevel="0" collapsed="false">
      <c r="B1900" s="7" t="n">
        <v>42805</v>
      </c>
      <c r="C1900" s="7" t="n">
        <f aca="false">B1900-WEEKDAY(B1900)+1</f>
        <v>42799</v>
      </c>
      <c r="D1900" s="1" t="e">
        <f aca="false" t="array" ref="D1900:D1900">IF(ISBLANK(_xlfn.xlookup(D$3,daily_items,_xlfn.xlookup($C1900,daily_dates,big_daily_table))),NA(),_xlfn.xlookup(D$3,daily_items,_xlfn.xlookup($C1900,daily_dates,big_daily_table)))</f>
        <v>#NAME?</v>
      </c>
      <c r="E1900" s="1" t="e">
        <f aca="false" t="array" ref="E1900:E1900">IF(ISBLANK(_xlfn.xlookup(E$3,daily_items,_xlfn.xlookup($C1900,daily_dates,big_daily_table))),NA(),_xlfn.xlookup(E$3,daily_items,_xlfn.xlookup($C1900,daily_dates,big_daily_table)))</f>
        <v>#NAME?</v>
      </c>
    </row>
    <row r="1901" customFormat="false" ht="14.25" hidden="false" customHeight="false" outlineLevel="0" collapsed="false">
      <c r="B1901" s="7" t="n">
        <v>42806</v>
      </c>
      <c r="C1901" s="7" t="n">
        <f aca="false">B1901-WEEKDAY(B1901)+1</f>
        <v>42806</v>
      </c>
      <c r="D1901" s="1" t="e">
        <f aca="false" t="array" ref="D1901:D1901">IF(ISBLANK(_xlfn.xlookup(D$3,daily_items,_xlfn.xlookup($C1901,daily_dates,big_daily_table))),NA(),_xlfn.xlookup(D$3,daily_items,_xlfn.xlookup($C1901,daily_dates,big_daily_table)))</f>
        <v>#NAME?</v>
      </c>
      <c r="E1901" s="1" t="e">
        <f aca="false" t="array" ref="E1901:E1901">IF(ISBLANK(_xlfn.xlookup(E$3,daily_items,_xlfn.xlookup($C1901,daily_dates,big_daily_table))),NA(),_xlfn.xlookup(E$3,daily_items,_xlfn.xlookup($C1901,daily_dates,big_daily_table)))</f>
        <v>#NAME?</v>
      </c>
    </row>
    <row r="1902" customFormat="false" ht="14.25" hidden="false" customHeight="false" outlineLevel="0" collapsed="false">
      <c r="B1902" s="7" t="n">
        <v>42807</v>
      </c>
      <c r="C1902" s="7" t="n">
        <f aca="false">B1902-WEEKDAY(B1902)+1</f>
        <v>42806</v>
      </c>
      <c r="D1902" s="1" t="e">
        <f aca="false" t="array" ref="D1902:D1902">IF(ISBLANK(_xlfn.xlookup(D$3,daily_items,_xlfn.xlookup($C1902,daily_dates,big_daily_table))),NA(),_xlfn.xlookup(D$3,daily_items,_xlfn.xlookup($C1902,daily_dates,big_daily_table)))</f>
        <v>#NAME?</v>
      </c>
      <c r="E1902" s="1" t="e">
        <f aca="false" t="array" ref="E1902:E1902">IF(ISBLANK(_xlfn.xlookup(E$3,daily_items,_xlfn.xlookup($C1902,daily_dates,big_daily_table))),NA(),_xlfn.xlookup(E$3,daily_items,_xlfn.xlookup($C1902,daily_dates,big_daily_table)))</f>
        <v>#NAME?</v>
      </c>
    </row>
    <row r="1903" customFormat="false" ht="14.25" hidden="false" customHeight="false" outlineLevel="0" collapsed="false">
      <c r="B1903" s="7" t="n">
        <v>42808</v>
      </c>
      <c r="C1903" s="7" t="n">
        <f aca="false">B1903-WEEKDAY(B1903)+1</f>
        <v>42806</v>
      </c>
      <c r="D1903" s="1" t="e">
        <f aca="false" t="array" ref="D1903:D1903">IF(ISBLANK(_xlfn.xlookup(D$3,daily_items,_xlfn.xlookup($C1903,daily_dates,big_daily_table))),NA(),_xlfn.xlookup(D$3,daily_items,_xlfn.xlookup($C1903,daily_dates,big_daily_table)))</f>
        <v>#NAME?</v>
      </c>
      <c r="E1903" s="1" t="e">
        <f aca="false" t="array" ref="E1903:E1903">IF(ISBLANK(_xlfn.xlookup(E$3,daily_items,_xlfn.xlookup($C1903,daily_dates,big_daily_table))),NA(),_xlfn.xlookup(E$3,daily_items,_xlfn.xlookup($C1903,daily_dates,big_daily_table)))</f>
        <v>#NAME?</v>
      </c>
    </row>
    <row r="1904" customFormat="false" ht="14.25" hidden="false" customHeight="false" outlineLevel="0" collapsed="false">
      <c r="B1904" s="7" t="n">
        <v>42809</v>
      </c>
      <c r="C1904" s="7" t="n">
        <f aca="false">B1904-WEEKDAY(B1904)+1</f>
        <v>42806</v>
      </c>
      <c r="D1904" s="1" t="e">
        <f aca="false" t="array" ref="D1904:D1904">IF(ISBLANK(_xlfn.xlookup(D$3,daily_items,_xlfn.xlookup($C1904,daily_dates,big_daily_table))),NA(),_xlfn.xlookup(D$3,daily_items,_xlfn.xlookup($C1904,daily_dates,big_daily_table)))</f>
        <v>#NAME?</v>
      </c>
      <c r="E1904" s="1" t="e">
        <f aca="false" t="array" ref="E1904:E1904">IF(ISBLANK(_xlfn.xlookup(E$3,daily_items,_xlfn.xlookup($C1904,daily_dates,big_daily_table))),NA(),_xlfn.xlookup(E$3,daily_items,_xlfn.xlookup($C1904,daily_dates,big_daily_table)))</f>
        <v>#NAME?</v>
      </c>
    </row>
    <row r="1905" customFormat="false" ht="14.25" hidden="false" customHeight="false" outlineLevel="0" collapsed="false">
      <c r="B1905" s="7" t="n">
        <v>42810</v>
      </c>
      <c r="C1905" s="7" t="n">
        <f aca="false">B1905-WEEKDAY(B1905)+1</f>
        <v>42806</v>
      </c>
      <c r="D1905" s="1" t="e">
        <f aca="false" t="array" ref="D1905:D1905">IF(ISBLANK(_xlfn.xlookup(D$3,daily_items,_xlfn.xlookup($C1905,daily_dates,big_daily_table))),NA(),_xlfn.xlookup(D$3,daily_items,_xlfn.xlookup($C1905,daily_dates,big_daily_table)))</f>
        <v>#NAME?</v>
      </c>
      <c r="E1905" s="1" t="e">
        <f aca="false" t="array" ref="E1905:E1905">IF(ISBLANK(_xlfn.xlookup(E$3,daily_items,_xlfn.xlookup($C1905,daily_dates,big_daily_table))),NA(),_xlfn.xlookup(E$3,daily_items,_xlfn.xlookup($C1905,daily_dates,big_daily_table)))</f>
        <v>#NAME?</v>
      </c>
    </row>
    <row r="1906" customFormat="false" ht="14.25" hidden="false" customHeight="false" outlineLevel="0" collapsed="false">
      <c r="B1906" s="7" t="n">
        <v>42811</v>
      </c>
      <c r="C1906" s="7" t="n">
        <f aca="false">B1906-WEEKDAY(B1906)+1</f>
        <v>42806</v>
      </c>
      <c r="D1906" s="1" t="e">
        <f aca="false" t="array" ref="D1906:D1906">IF(ISBLANK(_xlfn.xlookup(D$3,daily_items,_xlfn.xlookup($C1906,daily_dates,big_daily_table))),NA(),_xlfn.xlookup(D$3,daily_items,_xlfn.xlookup($C1906,daily_dates,big_daily_table)))</f>
        <v>#NAME?</v>
      </c>
      <c r="E1906" s="1" t="e">
        <f aca="false" t="array" ref="E1906:E1906">IF(ISBLANK(_xlfn.xlookup(E$3,daily_items,_xlfn.xlookup($C1906,daily_dates,big_daily_table))),NA(),_xlfn.xlookup(E$3,daily_items,_xlfn.xlookup($C1906,daily_dates,big_daily_table)))</f>
        <v>#NAME?</v>
      </c>
    </row>
    <row r="1907" customFormat="false" ht="14.25" hidden="false" customHeight="false" outlineLevel="0" collapsed="false">
      <c r="B1907" s="7" t="n">
        <v>42812</v>
      </c>
      <c r="C1907" s="7" t="n">
        <f aca="false">B1907-WEEKDAY(B1907)+1</f>
        <v>42806</v>
      </c>
      <c r="D1907" s="1" t="e">
        <f aca="false" t="array" ref="D1907:D1907">IF(ISBLANK(_xlfn.xlookup(D$3,daily_items,_xlfn.xlookup($C1907,daily_dates,big_daily_table))),NA(),_xlfn.xlookup(D$3,daily_items,_xlfn.xlookup($C1907,daily_dates,big_daily_table)))</f>
        <v>#NAME?</v>
      </c>
      <c r="E1907" s="1" t="e">
        <f aca="false" t="array" ref="E1907:E1907">IF(ISBLANK(_xlfn.xlookup(E$3,daily_items,_xlfn.xlookup($C1907,daily_dates,big_daily_table))),NA(),_xlfn.xlookup(E$3,daily_items,_xlfn.xlookup($C1907,daily_dates,big_daily_table)))</f>
        <v>#NAME?</v>
      </c>
    </row>
    <row r="1908" customFormat="false" ht="14.25" hidden="false" customHeight="false" outlineLevel="0" collapsed="false">
      <c r="B1908" s="7" t="n">
        <v>42813</v>
      </c>
      <c r="C1908" s="7" t="n">
        <f aca="false">B1908-WEEKDAY(B1908)+1</f>
        <v>42813</v>
      </c>
      <c r="D1908" s="1" t="e">
        <f aca="false" t="array" ref="D1908:D1908">IF(ISBLANK(_xlfn.xlookup(D$3,daily_items,_xlfn.xlookup($C1908,daily_dates,big_daily_table))),NA(),_xlfn.xlookup(D$3,daily_items,_xlfn.xlookup($C1908,daily_dates,big_daily_table)))</f>
        <v>#NAME?</v>
      </c>
      <c r="E1908" s="1" t="e">
        <f aca="false" t="array" ref="E1908:E1908">IF(ISBLANK(_xlfn.xlookup(E$3,daily_items,_xlfn.xlookup($C1908,daily_dates,big_daily_table))),NA(),_xlfn.xlookup(E$3,daily_items,_xlfn.xlookup($C1908,daily_dates,big_daily_table)))</f>
        <v>#NAME?</v>
      </c>
    </row>
    <row r="1909" customFormat="false" ht="14.25" hidden="false" customHeight="false" outlineLevel="0" collapsed="false">
      <c r="B1909" s="7" t="n">
        <v>42814</v>
      </c>
      <c r="C1909" s="7" t="n">
        <f aca="false">B1909-WEEKDAY(B1909)+1</f>
        <v>42813</v>
      </c>
      <c r="D1909" s="1" t="e">
        <f aca="false" t="array" ref="D1909:D1909">IF(ISBLANK(_xlfn.xlookup(D$3,daily_items,_xlfn.xlookup($C1909,daily_dates,big_daily_table))),NA(),_xlfn.xlookup(D$3,daily_items,_xlfn.xlookup($C1909,daily_dates,big_daily_table)))</f>
        <v>#NAME?</v>
      </c>
      <c r="E1909" s="1" t="e">
        <f aca="false" t="array" ref="E1909:E1909">IF(ISBLANK(_xlfn.xlookup(E$3,daily_items,_xlfn.xlookup($C1909,daily_dates,big_daily_table))),NA(),_xlfn.xlookup(E$3,daily_items,_xlfn.xlookup($C1909,daily_dates,big_daily_table)))</f>
        <v>#NAME?</v>
      </c>
    </row>
    <row r="1910" customFormat="false" ht="14.25" hidden="false" customHeight="false" outlineLevel="0" collapsed="false">
      <c r="B1910" s="7" t="n">
        <v>42815</v>
      </c>
      <c r="C1910" s="7" t="n">
        <f aca="false">B1910-WEEKDAY(B1910)+1</f>
        <v>42813</v>
      </c>
      <c r="D1910" s="1" t="e">
        <f aca="false" t="array" ref="D1910:D1910">IF(ISBLANK(_xlfn.xlookup(D$3,daily_items,_xlfn.xlookup($C1910,daily_dates,big_daily_table))),NA(),_xlfn.xlookup(D$3,daily_items,_xlfn.xlookup($C1910,daily_dates,big_daily_table)))</f>
        <v>#NAME?</v>
      </c>
      <c r="E1910" s="1" t="e">
        <f aca="false" t="array" ref="E1910:E1910">IF(ISBLANK(_xlfn.xlookup(E$3,daily_items,_xlfn.xlookup($C1910,daily_dates,big_daily_table))),NA(),_xlfn.xlookup(E$3,daily_items,_xlfn.xlookup($C1910,daily_dates,big_daily_table)))</f>
        <v>#NAME?</v>
      </c>
    </row>
    <row r="1911" customFormat="false" ht="14.25" hidden="false" customHeight="false" outlineLevel="0" collapsed="false">
      <c r="B1911" s="7" t="n">
        <v>42816</v>
      </c>
      <c r="C1911" s="7" t="n">
        <f aca="false">B1911-WEEKDAY(B1911)+1</f>
        <v>42813</v>
      </c>
      <c r="D1911" s="1" t="e">
        <f aca="false" t="array" ref="D1911:D1911">IF(ISBLANK(_xlfn.xlookup(D$3,daily_items,_xlfn.xlookup($C1911,daily_dates,big_daily_table))),NA(),_xlfn.xlookup(D$3,daily_items,_xlfn.xlookup($C1911,daily_dates,big_daily_table)))</f>
        <v>#NAME?</v>
      </c>
      <c r="E1911" s="1" t="e">
        <f aca="false" t="array" ref="E1911:E1911">IF(ISBLANK(_xlfn.xlookup(E$3,daily_items,_xlfn.xlookup($C1911,daily_dates,big_daily_table))),NA(),_xlfn.xlookup(E$3,daily_items,_xlfn.xlookup($C1911,daily_dates,big_daily_table)))</f>
        <v>#NAME?</v>
      </c>
    </row>
    <row r="1912" customFormat="false" ht="14.25" hidden="false" customHeight="false" outlineLevel="0" collapsed="false">
      <c r="B1912" s="7" t="n">
        <v>42817</v>
      </c>
      <c r="C1912" s="7" t="n">
        <f aca="false">B1912-WEEKDAY(B1912)+1</f>
        <v>42813</v>
      </c>
      <c r="D1912" s="1" t="e">
        <f aca="false" t="array" ref="D1912:D1912">IF(ISBLANK(_xlfn.xlookup(D$3,daily_items,_xlfn.xlookup($C1912,daily_dates,big_daily_table))),NA(),_xlfn.xlookup(D$3,daily_items,_xlfn.xlookup($C1912,daily_dates,big_daily_table)))</f>
        <v>#NAME?</v>
      </c>
      <c r="E1912" s="1" t="e">
        <f aca="false" t="array" ref="E1912:E1912">IF(ISBLANK(_xlfn.xlookup(E$3,daily_items,_xlfn.xlookup($C1912,daily_dates,big_daily_table))),NA(),_xlfn.xlookup(E$3,daily_items,_xlfn.xlookup($C1912,daily_dates,big_daily_table)))</f>
        <v>#NAME?</v>
      </c>
    </row>
    <row r="1913" customFormat="false" ht="14.25" hidden="false" customHeight="false" outlineLevel="0" collapsed="false">
      <c r="B1913" s="7" t="n">
        <v>42818</v>
      </c>
      <c r="C1913" s="7" t="n">
        <f aca="false">B1913-WEEKDAY(B1913)+1</f>
        <v>42813</v>
      </c>
      <c r="D1913" s="1" t="e">
        <f aca="false" t="array" ref="D1913:D1913">IF(ISBLANK(_xlfn.xlookup(D$3,daily_items,_xlfn.xlookup($C1913,daily_dates,big_daily_table))),NA(),_xlfn.xlookup(D$3,daily_items,_xlfn.xlookup($C1913,daily_dates,big_daily_table)))</f>
        <v>#NAME?</v>
      </c>
      <c r="E1913" s="1" t="e">
        <f aca="false" t="array" ref="E1913:E1913">IF(ISBLANK(_xlfn.xlookup(E$3,daily_items,_xlfn.xlookup($C1913,daily_dates,big_daily_table))),NA(),_xlfn.xlookup(E$3,daily_items,_xlfn.xlookup($C1913,daily_dates,big_daily_table)))</f>
        <v>#NAME?</v>
      </c>
    </row>
    <row r="1914" customFormat="false" ht="14.25" hidden="false" customHeight="false" outlineLevel="0" collapsed="false">
      <c r="B1914" s="7" t="n">
        <v>42819</v>
      </c>
      <c r="C1914" s="7" t="n">
        <f aca="false">B1914-WEEKDAY(B1914)+1</f>
        <v>42813</v>
      </c>
      <c r="D1914" s="1" t="e">
        <f aca="false" t="array" ref="D1914:D1914">IF(ISBLANK(_xlfn.xlookup(D$3,daily_items,_xlfn.xlookup($C1914,daily_dates,big_daily_table))),NA(),_xlfn.xlookup(D$3,daily_items,_xlfn.xlookup($C1914,daily_dates,big_daily_table)))</f>
        <v>#NAME?</v>
      </c>
      <c r="E1914" s="1" t="e">
        <f aca="false" t="array" ref="E1914:E1914">IF(ISBLANK(_xlfn.xlookup(E$3,daily_items,_xlfn.xlookup($C1914,daily_dates,big_daily_table))),NA(),_xlfn.xlookup(E$3,daily_items,_xlfn.xlookup($C1914,daily_dates,big_daily_table)))</f>
        <v>#NAME?</v>
      </c>
    </row>
    <row r="1915" customFormat="false" ht="14.25" hidden="false" customHeight="false" outlineLevel="0" collapsed="false">
      <c r="B1915" s="7" t="n">
        <v>42820</v>
      </c>
      <c r="C1915" s="7" t="n">
        <f aca="false">B1915-WEEKDAY(B1915)+1</f>
        <v>42820</v>
      </c>
      <c r="D1915" s="1" t="e">
        <f aca="false" t="array" ref="D1915:D1915">IF(ISBLANK(_xlfn.xlookup(D$3,daily_items,_xlfn.xlookup($C1915,daily_dates,big_daily_table))),NA(),_xlfn.xlookup(D$3,daily_items,_xlfn.xlookup($C1915,daily_dates,big_daily_table)))</f>
        <v>#NAME?</v>
      </c>
      <c r="E1915" s="1" t="e">
        <f aca="false" t="array" ref="E1915:E1915">IF(ISBLANK(_xlfn.xlookup(E$3,daily_items,_xlfn.xlookup($C1915,daily_dates,big_daily_table))),NA(),_xlfn.xlookup(E$3,daily_items,_xlfn.xlookup($C1915,daily_dates,big_daily_table)))</f>
        <v>#NAME?</v>
      </c>
    </row>
    <row r="1916" customFormat="false" ht="14.25" hidden="false" customHeight="false" outlineLevel="0" collapsed="false">
      <c r="B1916" s="7" t="n">
        <v>42821</v>
      </c>
      <c r="C1916" s="7" t="n">
        <f aca="false">B1916-WEEKDAY(B1916)+1</f>
        <v>42820</v>
      </c>
      <c r="D1916" s="1" t="e">
        <f aca="false" t="array" ref="D1916:D1916">IF(ISBLANK(_xlfn.xlookup(D$3,daily_items,_xlfn.xlookup($C1916,daily_dates,big_daily_table))),NA(),_xlfn.xlookup(D$3,daily_items,_xlfn.xlookup($C1916,daily_dates,big_daily_table)))</f>
        <v>#NAME?</v>
      </c>
      <c r="E1916" s="1" t="e">
        <f aca="false" t="array" ref="E1916:E1916">IF(ISBLANK(_xlfn.xlookup(E$3,daily_items,_xlfn.xlookup($C1916,daily_dates,big_daily_table))),NA(),_xlfn.xlookup(E$3,daily_items,_xlfn.xlookup($C1916,daily_dates,big_daily_table)))</f>
        <v>#NAME?</v>
      </c>
    </row>
    <row r="1917" customFormat="false" ht="14.25" hidden="false" customHeight="false" outlineLevel="0" collapsed="false">
      <c r="B1917" s="7" t="n">
        <v>42822</v>
      </c>
      <c r="C1917" s="7" t="n">
        <f aca="false">B1917-WEEKDAY(B1917)+1</f>
        <v>42820</v>
      </c>
      <c r="D1917" s="1" t="e">
        <f aca="false" t="array" ref="D1917:D1917">IF(ISBLANK(_xlfn.xlookup(D$3,daily_items,_xlfn.xlookup($C1917,daily_dates,big_daily_table))),NA(),_xlfn.xlookup(D$3,daily_items,_xlfn.xlookup($C1917,daily_dates,big_daily_table)))</f>
        <v>#NAME?</v>
      </c>
      <c r="E1917" s="1" t="e">
        <f aca="false" t="array" ref="E1917:E1917">IF(ISBLANK(_xlfn.xlookup(E$3,daily_items,_xlfn.xlookup($C1917,daily_dates,big_daily_table))),NA(),_xlfn.xlookup(E$3,daily_items,_xlfn.xlookup($C1917,daily_dates,big_daily_table)))</f>
        <v>#NAME?</v>
      </c>
    </row>
    <row r="1918" customFormat="false" ht="14.25" hidden="false" customHeight="false" outlineLevel="0" collapsed="false">
      <c r="B1918" s="7" t="n">
        <v>42823</v>
      </c>
      <c r="C1918" s="7" t="n">
        <f aca="false">B1918-WEEKDAY(B1918)+1</f>
        <v>42820</v>
      </c>
      <c r="D1918" s="1" t="e">
        <f aca="false" t="array" ref="D1918:D1918">IF(ISBLANK(_xlfn.xlookup(D$3,daily_items,_xlfn.xlookup($C1918,daily_dates,big_daily_table))),NA(),_xlfn.xlookup(D$3,daily_items,_xlfn.xlookup($C1918,daily_dates,big_daily_table)))</f>
        <v>#NAME?</v>
      </c>
      <c r="E1918" s="1" t="e">
        <f aca="false" t="array" ref="E1918:E1918">IF(ISBLANK(_xlfn.xlookup(E$3,daily_items,_xlfn.xlookup($C1918,daily_dates,big_daily_table))),NA(),_xlfn.xlookup(E$3,daily_items,_xlfn.xlookup($C1918,daily_dates,big_daily_table)))</f>
        <v>#NAME?</v>
      </c>
    </row>
    <row r="1919" customFormat="false" ht="14.25" hidden="false" customHeight="false" outlineLevel="0" collapsed="false">
      <c r="B1919" s="7" t="n">
        <v>42824</v>
      </c>
      <c r="C1919" s="7" t="n">
        <f aca="false">B1919-WEEKDAY(B1919)+1</f>
        <v>42820</v>
      </c>
      <c r="D1919" s="1" t="e">
        <f aca="false" t="array" ref="D1919:D1919">IF(ISBLANK(_xlfn.xlookup(D$3,daily_items,_xlfn.xlookup($C1919,daily_dates,big_daily_table))),NA(),_xlfn.xlookup(D$3,daily_items,_xlfn.xlookup($C1919,daily_dates,big_daily_table)))</f>
        <v>#NAME?</v>
      </c>
      <c r="E1919" s="1" t="e">
        <f aca="false" t="array" ref="E1919:E1919">IF(ISBLANK(_xlfn.xlookup(E$3,daily_items,_xlfn.xlookup($C1919,daily_dates,big_daily_table))),NA(),_xlfn.xlookup(E$3,daily_items,_xlfn.xlookup($C1919,daily_dates,big_daily_table)))</f>
        <v>#NAME?</v>
      </c>
    </row>
    <row r="1920" customFormat="false" ht="14.25" hidden="false" customHeight="false" outlineLevel="0" collapsed="false">
      <c r="B1920" s="7" t="n">
        <v>42825</v>
      </c>
      <c r="C1920" s="7" t="n">
        <f aca="false">B1920-WEEKDAY(B1920)+1</f>
        <v>42820</v>
      </c>
      <c r="D1920" s="1" t="e">
        <f aca="false" t="array" ref="D1920:D1920">IF(ISBLANK(_xlfn.xlookup(D$3,daily_items,_xlfn.xlookup($C1920,daily_dates,big_daily_table))),NA(),_xlfn.xlookup(D$3,daily_items,_xlfn.xlookup($C1920,daily_dates,big_daily_table)))</f>
        <v>#NAME?</v>
      </c>
      <c r="E1920" s="1" t="e">
        <f aca="false" t="array" ref="E1920:E1920">IF(ISBLANK(_xlfn.xlookup(E$3,daily_items,_xlfn.xlookup($C1920,daily_dates,big_daily_table))),NA(),_xlfn.xlookup(E$3,daily_items,_xlfn.xlookup($C1920,daily_dates,big_daily_table)))</f>
        <v>#NAME?</v>
      </c>
    </row>
    <row r="1921" customFormat="false" ht="14.25" hidden="false" customHeight="false" outlineLevel="0" collapsed="false">
      <c r="B1921" s="7" t="n">
        <v>42826</v>
      </c>
      <c r="C1921" s="7" t="n">
        <f aca="false">B1921-WEEKDAY(B1921)+1</f>
        <v>42820</v>
      </c>
      <c r="D1921" s="1" t="e">
        <f aca="false" t="array" ref="D1921:D1921">IF(ISBLANK(_xlfn.xlookup(D$3,daily_items,_xlfn.xlookup($C1921,daily_dates,big_daily_table))),NA(),_xlfn.xlookup(D$3,daily_items,_xlfn.xlookup($C1921,daily_dates,big_daily_table)))</f>
        <v>#NAME?</v>
      </c>
      <c r="E1921" s="1" t="e">
        <f aca="false" t="array" ref="E1921:E1921">IF(ISBLANK(_xlfn.xlookup(E$3,daily_items,_xlfn.xlookup($C1921,daily_dates,big_daily_table))),NA(),_xlfn.xlookup(E$3,daily_items,_xlfn.xlookup($C1921,daily_dates,big_daily_table)))</f>
        <v>#NAME?</v>
      </c>
    </row>
    <row r="1922" customFormat="false" ht="14.25" hidden="false" customHeight="false" outlineLevel="0" collapsed="false">
      <c r="B1922" s="7" t="n">
        <v>42827</v>
      </c>
      <c r="C1922" s="7" t="n">
        <f aca="false">B1922-WEEKDAY(B1922)+1</f>
        <v>42827</v>
      </c>
      <c r="D1922" s="1" t="e">
        <f aca="false" t="array" ref="D1922:D1922">IF(ISBLANK(_xlfn.xlookup(D$3,daily_items,_xlfn.xlookup($C1922,daily_dates,big_daily_table))),NA(),_xlfn.xlookup(D$3,daily_items,_xlfn.xlookup($C1922,daily_dates,big_daily_table)))</f>
        <v>#NAME?</v>
      </c>
      <c r="E1922" s="1" t="e">
        <f aca="false" t="array" ref="E1922:E1922">IF(ISBLANK(_xlfn.xlookup(E$3,daily_items,_xlfn.xlookup($C1922,daily_dates,big_daily_table))),NA(),_xlfn.xlookup(E$3,daily_items,_xlfn.xlookup($C1922,daily_dates,big_daily_table)))</f>
        <v>#NAME?</v>
      </c>
    </row>
    <row r="1923" customFormat="false" ht="14.25" hidden="false" customHeight="false" outlineLevel="0" collapsed="false">
      <c r="B1923" s="7" t="n">
        <v>42828</v>
      </c>
      <c r="C1923" s="7" t="n">
        <f aca="false">B1923-WEEKDAY(B1923)+1</f>
        <v>42827</v>
      </c>
      <c r="D1923" s="1" t="e">
        <f aca="false" t="array" ref="D1923:D1923">IF(ISBLANK(_xlfn.xlookup(D$3,daily_items,_xlfn.xlookup($C1923,daily_dates,big_daily_table))),NA(),_xlfn.xlookup(D$3,daily_items,_xlfn.xlookup($C1923,daily_dates,big_daily_table)))</f>
        <v>#NAME?</v>
      </c>
      <c r="E1923" s="1" t="e">
        <f aca="false" t="array" ref="E1923:E1923">IF(ISBLANK(_xlfn.xlookup(E$3,daily_items,_xlfn.xlookup($C1923,daily_dates,big_daily_table))),NA(),_xlfn.xlookup(E$3,daily_items,_xlfn.xlookup($C1923,daily_dates,big_daily_table)))</f>
        <v>#NAME?</v>
      </c>
    </row>
    <row r="1924" customFormat="false" ht="14.25" hidden="false" customHeight="false" outlineLevel="0" collapsed="false">
      <c r="B1924" s="7" t="n">
        <v>42829</v>
      </c>
      <c r="C1924" s="7" t="n">
        <f aca="false">B1924-WEEKDAY(B1924)+1</f>
        <v>42827</v>
      </c>
      <c r="D1924" s="1" t="e">
        <f aca="false" t="array" ref="D1924:D1924">IF(ISBLANK(_xlfn.xlookup(D$3,daily_items,_xlfn.xlookup($C1924,daily_dates,big_daily_table))),NA(),_xlfn.xlookup(D$3,daily_items,_xlfn.xlookup($C1924,daily_dates,big_daily_table)))</f>
        <v>#NAME?</v>
      </c>
      <c r="E1924" s="1" t="e">
        <f aca="false" t="array" ref="E1924:E1924">IF(ISBLANK(_xlfn.xlookup(E$3,daily_items,_xlfn.xlookup($C1924,daily_dates,big_daily_table))),NA(),_xlfn.xlookup(E$3,daily_items,_xlfn.xlookup($C1924,daily_dates,big_daily_table)))</f>
        <v>#NAME?</v>
      </c>
    </row>
    <row r="1925" customFormat="false" ht="14.25" hidden="false" customHeight="false" outlineLevel="0" collapsed="false">
      <c r="B1925" s="7" t="n">
        <v>42830</v>
      </c>
      <c r="C1925" s="7" t="n">
        <f aca="false">B1925-WEEKDAY(B1925)+1</f>
        <v>42827</v>
      </c>
      <c r="D1925" s="1" t="e">
        <f aca="false" t="array" ref="D1925:D1925">IF(ISBLANK(_xlfn.xlookup(D$3,daily_items,_xlfn.xlookup($C1925,daily_dates,big_daily_table))),NA(),_xlfn.xlookup(D$3,daily_items,_xlfn.xlookup($C1925,daily_dates,big_daily_table)))</f>
        <v>#NAME?</v>
      </c>
      <c r="E1925" s="1" t="e">
        <f aca="false" t="array" ref="E1925:E1925">IF(ISBLANK(_xlfn.xlookup(E$3,daily_items,_xlfn.xlookup($C1925,daily_dates,big_daily_table))),NA(),_xlfn.xlookup(E$3,daily_items,_xlfn.xlookup($C1925,daily_dates,big_daily_table)))</f>
        <v>#NAME?</v>
      </c>
    </row>
    <row r="1926" customFormat="false" ht="14.25" hidden="false" customHeight="false" outlineLevel="0" collapsed="false">
      <c r="B1926" s="7" t="n">
        <v>42831</v>
      </c>
      <c r="C1926" s="7" t="n">
        <f aca="false">B1926-WEEKDAY(B1926)+1</f>
        <v>42827</v>
      </c>
      <c r="D1926" s="1" t="e">
        <f aca="false" t="array" ref="D1926:D1926">IF(ISBLANK(_xlfn.xlookup(D$3,daily_items,_xlfn.xlookup($C1926,daily_dates,big_daily_table))),NA(),_xlfn.xlookup(D$3,daily_items,_xlfn.xlookup($C1926,daily_dates,big_daily_table)))</f>
        <v>#NAME?</v>
      </c>
      <c r="E1926" s="1" t="e">
        <f aca="false" t="array" ref="E1926:E1926">IF(ISBLANK(_xlfn.xlookup(E$3,daily_items,_xlfn.xlookup($C1926,daily_dates,big_daily_table))),NA(),_xlfn.xlookup(E$3,daily_items,_xlfn.xlookup($C1926,daily_dates,big_daily_table)))</f>
        <v>#NAME?</v>
      </c>
    </row>
    <row r="1927" customFormat="false" ht="14.25" hidden="false" customHeight="false" outlineLevel="0" collapsed="false">
      <c r="B1927" s="7" t="n">
        <v>42832</v>
      </c>
      <c r="C1927" s="7" t="n">
        <f aca="false">B1927-WEEKDAY(B1927)+1</f>
        <v>42827</v>
      </c>
      <c r="D1927" s="1" t="e">
        <f aca="false" t="array" ref="D1927:D1927">IF(ISBLANK(_xlfn.xlookup(D$3,daily_items,_xlfn.xlookup($C1927,daily_dates,big_daily_table))),NA(),_xlfn.xlookup(D$3,daily_items,_xlfn.xlookup($C1927,daily_dates,big_daily_table)))</f>
        <v>#NAME?</v>
      </c>
      <c r="E1927" s="1" t="e">
        <f aca="false" t="array" ref="E1927:E1927">IF(ISBLANK(_xlfn.xlookup(E$3,daily_items,_xlfn.xlookup($C1927,daily_dates,big_daily_table))),NA(),_xlfn.xlookup(E$3,daily_items,_xlfn.xlookup($C1927,daily_dates,big_daily_table)))</f>
        <v>#NAME?</v>
      </c>
    </row>
    <row r="1928" customFormat="false" ht="14.25" hidden="false" customHeight="false" outlineLevel="0" collapsed="false">
      <c r="B1928" s="7" t="n">
        <v>42833</v>
      </c>
      <c r="C1928" s="7" t="n">
        <f aca="false">B1928-WEEKDAY(B1928)+1</f>
        <v>42827</v>
      </c>
      <c r="D1928" s="1" t="e">
        <f aca="false" t="array" ref="D1928:D1928">IF(ISBLANK(_xlfn.xlookup(D$3,daily_items,_xlfn.xlookup($C1928,daily_dates,big_daily_table))),NA(),_xlfn.xlookup(D$3,daily_items,_xlfn.xlookup($C1928,daily_dates,big_daily_table)))</f>
        <v>#NAME?</v>
      </c>
      <c r="E1928" s="1" t="e">
        <f aca="false" t="array" ref="E1928:E1928">IF(ISBLANK(_xlfn.xlookup(E$3,daily_items,_xlfn.xlookup($C1928,daily_dates,big_daily_table))),NA(),_xlfn.xlookup(E$3,daily_items,_xlfn.xlookup($C1928,daily_dates,big_daily_table)))</f>
        <v>#NAME?</v>
      </c>
    </row>
    <row r="1929" customFormat="false" ht="14.25" hidden="false" customHeight="false" outlineLevel="0" collapsed="false">
      <c r="B1929" s="7" t="n">
        <v>42834</v>
      </c>
      <c r="C1929" s="7" t="n">
        <f aca="false">B1929-WEEKDAY(B1929)+1</f>
        <v>42834</v>
      </c>
      <c r="D1929" s="1" t="e">
        <f aca="false" t="array" ref="D1929:D1929">IF(ISBLANK(_xlfn.xlookup(D$3,daily_items,_xlfn.xlookup($C1929,daily_dates,big_daily_table))),NA(),_xlfn.xlookup(D$3,daily_items,_xlfn.xlookup($C1929,daily_dates,big_daily_table)))</f>
        <v>#NAME?</v>
      </c>
      <c r="E1929" s="1" t="e">
        <f aca="false" t="array" ref="E1929:E1929">IF(ISBLANK(_xlfn.xlookup(E$3,daily_items,_xlfn.xlookup($C1929,daily_dates,big_daily_table))),NA(),_xlfn.xlookup(E$3,daily_items,_xlfn.xlookup($C1929,daily_dates,big_daily_table)))</f>
        <v>#NAME?</v>
      </c>
    </row>
    <row r="1930" customFormat="false" ht="14.25" hidden="false" customHeight="false" outlineLevel="0" collapsed="false">
      <c r="B1930" s="7" t="n">
        <v>42835</v>
      </c>
      <c r="C1930" s="7" t="n">
        <f aca="false">B1930-WEEKDAY(B1930)+1</f>
        <v>42834</v>
      </c>
      <c r="D1930" s="1" t="e">
        <f aca="false" t="array" ref="D1930:D1930">IF(ISBLANK(_xlfn.xlookup(D$3,daily_items,_xlfn.xlookup($C1930,daily_dates,big_daily_table))),NA(),_xlfn.xlookup(D$3,daily_items,_xlfn.xlookup($C1930,daily_dates,big_daily_table)))</f>
        <v>#NAME?</v>
      </c>
      <c r="E1930" s="1" t="e">
        <f aca="false" t="array" ref="E1930:E1930">IF(ISBLANK(_xlfn.xlookup(E$3,daily_items,_xlfn.xlookup($C1930,daily_dates,big_daily_table))),NA(),_xlfn.xlookup(E$3,daily_items,_xlfn.xlookup($C1930,daily_dates,big_daily_table)))</f>
        <v>#NAME?</v>
      </c>
    </row>
    <row r="1931" customFormat="false" ht="14.25" hidden="false" customHeight="false" outlineLevel="0" collapsed="false">
      <c r="B1931" s="7" t="n">
        <v>42836</v>
      </c>
      <c r="C1931" s="7" t="n">
        <f aca="false">B1931-WEEKDAY(B1931)+1</f>
        <v>42834</v>
      </c>
      <c r="D1931" s="1" t="e">
        <f aca="false" t="array" ref="D1931:D1931">IF(ISBLANK(_xlfn.xlookup(D$3,daily_items,_xlfn.xlookup($C1931,daily_dates,big_daily_table))),NA(),_xlfn.xlookup(D$3,daily_items,_xlfn.xlookup($C1931,daily_dates,big_daily_table)))</f>
        <v>#NAME?</v>
      </c>
      <c r="E1931" s="1" t="e">
        <f aca="false" t="array" ref="E1931:E1931">IF(ISBLANK(_xlfn.xlookup(E$3,daily_items,_xlfn.xlookup($C1931,daily_dates,big_daily_table))),NA(),_xlfn.xlookup(E$3,daily_items,_xlfn.xlookup($C1931,daily_dates,big_daily_table)))</f>
        <v>#NAME?</v>
      </c>
    </row>
    <row r="1932" customFormat="false" ht="14.25" hidden="false" customHeight="false" outlineLevel="0" collapsed="false">
      <c r="B1932" s="7" t="n">
        <v>42837</v>
      </c>
      <c r="C1932" s="7" t="n">
        <f aca="false">B1932-WEEKDAY(B1932)+1</f>
        <v>42834</v>
      </c>
      <c r="D1932" s="1" t="e">
        <f aca="false" t="array" ref="D1932:D1932">IF(ISBLANK(_xlfn.xlookup(D$3,daily_items,_xlfn.xlookup($C1932,daily_dates,big_daily_table))),NA(),_xlfn.xlookup(D$3,daily_items,_xlfn.xlookup($C1932,daily_dates,big_daily_table)))</f>
        <v>#NAME?</v>
      </c>
      <c r="E1932" s="1" t="e">
        <f aca="false" t="array" ref="E1932:E1932">IF(ISBLANK(_xlfn.xlookup(E$3,daily_items,_xlfn.xlookup($C1932,daily_dates,big_daily_table))),NA(),_xlfn.xlookup(E$3,daily_items,_xlfn.xlookup($C1932,daily_dates,big_daily_table)))</f>
        <v>#NAME?</v>
      </c>
    </row>
    <row r="1933" customFormat="false" ht="14.25" hidden="false" customHeight="false" outlineLevel="0" collapsed="false">
      <c r="B1933" s="7" t="n">
        <v>42838</v>
      </c>
      <c r="C1933" s="7" t="n">
        <f aca="false">B1933-WEEKDAY(B1933)+1</f>
        <v>42834</v>
      </c>
      <c r="D1933" s="1" t="e">
        <f aca="false" t="array" ref="D1933:D1933">IF(ISBLANK(_xlfn.xlookup(D$3,daily_items,_xlfn.xlookup($C1933,daily_dates,big_daily_table))),NA(),_xlfn.xlookup(D$3,daily_items,_xlfn.xlookup($C1933,daily_dates,big_daily_table)))</f>
        <v>#NAME?</v>
      </c>
      <c r="E1933" s="1" t="e">
        <f aca="false" t="array" ref="E1933:E1933">IF(ISBLANK(_xlfn.xlookup(E$3,daily_items,_xlfn.xlookup($C1933,daily_dates,big_daily_table))),NA(),_xlfn.xlookup(E$3,daily_items,_xlfn.xlookup($C1933,daily_dates,big_daily_table)))</f>
        <v>#NAME?</v>
      </c>
    </row>
    <row r="1934" customFormat="false" ht="14.25" hidden="false" customHeight="false" outlineLevel="0" collapsed="false">
      <c r="B1934" s="7" t="n">
        <v>42839</v>
      </c>
      <c r="C1934" s="7" t="n">
        <f aca="false">B1934-WEEKDAY(B1934)+1</f>
        <v>42834</v>
      </c>
      <c r="D1934" s="1" t="e">
        <f aca="false" t="array" ref="D1934:D1934">IF(ISBLANK(_xlfn.xlookup(D$3,daily_items,_xlfn.xlookup($C1934,daily_dates,big_daily_table))),NA(),_xlfn.xlookup(D$3,daily_items,_xlfn.xlookup($C1934,daily_dates,big_daily_table)))</f>
        <v>#NAME?</v>
      </c>
      <c r="E1934" s="1" t="e">
        <f aca="false" t="array" ref="E1934:E1934">IF(ISBLANK(_xlfn.xlookup(E$3,daily_items,_xlfn.xlookup($C1934,daily_dates,big_daily_table))),NA(),_xlfn.xlookup(E$3,daily_items,_xlfn.xlookup($C1934,daily_dates,big_daily_table)))</f>
        <v>#NAME?</v>
      </c>
    </row>
    <row r="1935" customFormat="false" ht="14.25" hidden="false" customHeight="false" outlineLevel="0" collapsed="false">
      <c r="B1935" s="7" t="n">
        <v>42840</v>
      </c>
      <c r="C1935" s="7" t="n">
        <f aca="false">B1935-WEEKDAY(B1935)+1</f>
        <v>42834</v>
      </c>
      <c r="D1935" s="1" t="e">
        <f aca="false" t="array" ref="D1935:D1935">IF(ISBLANK(_xlfn.xlookup(D$3,daily_items,_xlfn.xlookup($C1935,daily_dates,big_daily_table))),NA(),_xlfn.xlookup(D$3,daily_items,_xlfn.xlookup($C1935,daily_dates,big_daily_table)))</f>
        <v>#NAME?</v>
      </c>
      <c r="E1935" s="1" t="e">
        <f aca="false" t="array" ref="E1935:E1935">IF(ISBLANK(_xlfn.xlookup(E$3,daily_items,_xlfn.xlookup($C1935,daily_dates,big_daily_table))),NA(),_xlfn.xlookup(E$3,daily_items,_xlfn.xlookup($C1935,daily_dates,big_daily_table)))</f>
        <v>#NAME?</v>
      </c>
    </row>
    <row r="1936" customFormat="false" ht="14.25" hidden="false" customHeight="false" outlineLevel="0" collapsed="false">
      <c r="B1936" s="7" t="n">
        <v>42841</v>
      </c>
      <c r="C1936" s="7" t="n">
        <f aca="false">B1936-WEEKDAY(B1936)+1</f>
        <v>42841</v>
      </c>
      <c r="D1936" s="1" t="e">
        <f aca="false" t="array" ref="D1936:D1936">IF(ISBLANK(_xlfn.xlookup(D$3,daily_items,_xlfn.xlookup($C1936,daily_dates,big_daily_table))),NA(),_xlfn.xlookup(D$3,daily_items,_xlfn.xlookup($C1936,daily_dates,big_daily_table)))</f>
        <v>#NAME?</v>
      </c>
      <c r="E1936" s="1" t="e">
        <f aca="false" t="array" ref="E1936:E1936">IF(ISBLANK(_xlfn.xlookup(E$3,daily_items,_xlfn.xlookup($C1936,daily_dates,big_daily_table))),NA(),_xlfn.xlookup(E$3,daily_items,_xlfn.xlookup($C1936,daily_dates,big_daily_table)))</f>
        <v>#NAME?</v>
      </c>
    </row>
    <row r="1937" customFormat="false" ht="14.25" hidden="false" customHeight="false" outlineLevel="0" collapsed="false">
      <c r="B1937" s="7" t="n">
        <v>42842</v>
      </c>
      <c r="C1937" s="7" t="n">
        <f aca="false">B1937-WEEKDAY(B1937)+1</f>
        <v>42841</v>
      </c>
      <c r="D1937" s="1" t="e">
        <f aca="false" t="array" ref="D1937:D1937">IF(ISBLANK(_xlfn.xlookup(D$3,daily_items,_xlfn.xlookup($C1937,daily_dates,big_daily_table))),NA(),_xlfn.xlookup(D$3,daily_items,_xlfn.xlookup($C1937,daily_dates,big_daily_table)))</f>
        <v>#NAME?</v>
      </c>
      <c r="E1937" s="1" t="e">
        <f aca="false" t="array" ref="E1937:E1937">IF(ISBLANK(_xlfn.xlookup(E$3,daily_items,_xlfn.xlookup($C1937,daily_dates,big_daily_table))),NA(),_xlfn.xlookup(E$3,daily_items,_xlfn.xlookup($C1937,daily_dates,big_daily_table)))</f>
        <v>#NAME?</v>
      </c>
    </row>
    <row r="1938" customFormat="false" ht="14.25" hidden="false" customHeight="false" outlineLevel="0" collapsed="false">
      <c r="B1938" s="7" t="n">
        <v>42843</v>
      </c>
      <c r="C1938" s="7" t="n">
        <f aca="false">B1938-WEEKDAY(B1938)+1</f>
        <v>42841</v>
      </c>
      <c r="D1938" s="1" t="e">
        <f aca="false" t="array" ref="D1938:D1938">IF(ISBLANK(_xlfn.xlookup(D$3,daily_items,_xlfn.xlookup($C1938,daily_dates,big_daily_table))),NA(),_xlfn.xlookup(D$3,daily_items,_xlfn.xlookup($C1938,daily_dates,big_daily_table)))</f>
        <v>#NAME?</v>
      </c>
      <c r="E1938" s="1" t="e">
        <f aca="false" t="array" ref="E1938:E1938">IF(ISBLANK(_xlfn.xlookup(E$3,daily_items,_xlfn.xlookup($C1938,daily_dates,big_daily_table))),NA(),_xlfn.xlookup(E$3,daily_items,_xlfn.xlookup($C1938,daily_dates,big_daily_table)))</f>
        <v>#NAME?</v>
      </c>
    </row>
    <row r="1939" customFormat="false" ht="14.25" hidden="false" customHeight="false" outlineLevel="0" collapsed="false">
      <c r="B1939" s="7" t="n">
        <v>42844</v>
      </c>
      <c r="C1939" s="7" t="n">
        <f aca="false">B1939-WEEKDAY(B1939)+1</f>
        <v>42841</v>
      </c>
      <c r="D1939" s="1" t="e">
        <f aca="false" t="array" ref="D1939:D1939">IF(ISBLANK(_xlfn.xlookup(D$3,daily_items,_xlfn.xlookup($C1939,daily_dates,big_daily_table))),NA(),_xlfn.xlookup(D$3,daily_items,_xlfn.xlookup($C1939,daily_dates,big_daily_table)))</f>
        <v>#NAME?</v>
      </c>
      <c r="E1939" s="1" t="e">
        <f aca="false" t="array" ref="E1939:E1939">IF(ISBLANK(_xlfn.xlookup(E$3,daily_items,_xlfn.xlookup($C1939,daily_dates,big_daily_table))),NA(),_xlfn.xlookup(E$3,daily_items,_xlfn.xlookup($C1939,daily_dates,big_daily_table)))</f>
        <v>#NAME?</v>
      </c>
    </row>
    <row r="1940" customFormat="false" ht="14.25" hidden="false" customHeight="false" outlineLevel="0" collapsed="false">
      <c r="B1940" s="7" t="n">
        <v>42845</v>
      </c>
      <c r="C1940" s="7" t="n">
        <f aca="false">B1940-WEEKDAY(B1940)+1</f>
        <v>42841</v>
      </c>
      <c r="D1940" s="1" t="e">
        <f aca="false" t="array" ref="D1940:D1940">IF(ISBLANK(_xlfn.xlookup(D$3,daily_items,_xlfn.xlookup($C1940,daily_dates,big_daily_table))),NA(),_xlfn.xlookup(D$3,daily_items,_xlfn.xlookup($C1940,daily_dates,big_daily_table)))</f>
        <v>#NAME?</v>
      </c>
      <c r="E1940" s="1" t="e">
        <f aca="false" t="array" ref="E1940:E1940">IF(ISBLANK(_xlfn.xlookup(E$3,daily_items,_xlfn.xlookup($C1940,daily_dates,big_daily_table))),NA(),_xlfn.xlookup(E$3,daily_items,_xlfn.xlookup($C1940,daily_dates,big_daily_table)))</f>
        <v>#NAME?</v>
      </c>
    </row>
    <row r="1941" customFormat="false" ht="14.25" hidden="false" customHeight="false" outlineLevel="0" collapsed="false">
      <c r="B1941" s="7" t="n">
        <v>42846</v>
      </c>
      <c r="C1941" s="7" t="n">
        <f aca="false">B1941-WEEKDAY(B1941)+1</f>
        <v>42841</v>
      </c>
      <c r="D1941" s="1" t="e">
        <f aca="false" t="array" ref="D1941:D1941">IF(ISBLANK(_xlfn.xlookup(D$3,daily_items,_xlfn.xlookup($C1941,daily_dates,big_daily_table))),NA(),_xlfn.xlookup(D$3,daily_items,_xlfn.xlookup($C1941,daily_dates,big_daily_table)))</f>
        <v>#NAME?</v>
      </c>
      <c r="E1941" s="1" t="e">
        <f aca="false" t="array" ref="E1941:E1941">IF(ISBLANK(_xlfn.xlookup(E$3,daily_items,_xlfn.xlookup($C1941,daily_dates,big_daily_table))),NA(),_xlfn.xlookup(E$3,daily_items,_xlfn.xlookup($C1941,daily_dates,big_daily_table)))</f>
        <v>#NAME?</v>
      </c>
    </row>
    <row r="1942" customFormat="false" ht="14.25" hidden="false" customHeight="false" outlineLevel="0" collapsed="false">
      <c r="B1942" s="7" t="n">
        <v>42847</v>
      </c>
      <c r="C1942" s="7" t="n">
        <f aca="false">B1942-WEEKDAY(B1942)+1</f>
        <v>42841</v>
      </c>
      <c r="D1942" s="1" t="e">
        <f aca="false" t="array" ref="D1942:D1942">IF(ISBLANK(_xlfn.xlookup(D$3,daily_items,_xlfn.xlookup($C1942,daily_dates,big_daily_table))),NA(),_xlfn.xlookup(D$3,daily_items,_xlfn.xlookup($C1942,daily_dates,big_daily_table)))</f>
        <v>#NAME?</v>
      </c>
      <c r="E1942" s="1" t="e">
        <f aca="false" t="array" ref="E1942:E1942">IF(ISBLANK(_xlfn.xlookup(E$3,daily_items,_xlfn.xlookup($C1942,daily_dates,big_daily_table))),NA(),_xlfn.xlookup(E$3,daily_items,_xlfn.xlookup($C1942,daily_dates,big_daily_table)))</f>
        <v>#NAME?</v>
      </c>
    </row>
    <row r="1943" customFormat="false" ht="14.25" hidden="false" customHeight="false" outlineLevel="0" collapsed="false">
      <c r="B1943" s="7" t="n">
        <v>42848</v>
      </c>
      <c r="C1943" s="7" t="n">
        <f aca="false">B1943-WEEKDAY(B1943)+1</f>
        <v>42848</v>
      </c>
      <c r="D1943" s="1" t="e">
        <f aca="false" t="array" ref="D1943:D1943">IF(ISBLANK(_xlfn.xlookup(D$3,daily_items,_xlfn.xlookup($C1943,daily_dates,big_daily_table))),NA(),_xlfn.xlookup(D$3,daily_items,_xlfn.xlookup($C1943,daily_dates,big_daily_table)))</f>
        <v>#NAME?</v>
      </c>
      <c r="E1943" s="1" t="e">
        <f aca="false" t="array" ref="E1943:E1943">IF(ISBLANK(_xlfn.xlookup(E$3,daily_items,_xlfn.xlookup($C1943,daily_dates,big_daily_table))),NA(),_xlfn.xlookup(E$3,daily_items,_xlfn.xlookup($C1943,daily_dates,big_daily_table)))</f>
        <v>#NAME?</v>
      </c>
    </row>
    <row r="1944" customFormat="false" ht="14.25" hidden="false" customHeight="false" outlineLevel="0" collapsed="false">
      <c r="B1944" s="7" t="n">
        <v>42849</v>
      </c>
      <c r="C1944" s="7" t="n">
        <f aca="false">B1944-WEEKDAY(B1944)+1</f>
        <v>42848</v>
      </c>
      <c r="D1944" s="1" t="e">
        <f aca="false" t="array" ref="D1944:D1944">IF(ISBLANK(_xlfn.xlookup(D$3,daily_items,_xlfn.xlookup($C1944,daily_dates,big_daily_table))),NA(),_xlfn.xlookup(D$3,daily_items,_xlfn.xlookup($C1944,daily_dates,big_daily_table)))</f>
        <v>#NAME?</v>
      </c>
      <c r="E1944" s="1" t="e">
        <f aca="false" t="array" ref="E1944:E1944">IF(ISBLANK(_xlfn.xlookup(E$3,daily_items,_xlfn.xlookup($C1944,daily_dates,big_daily_table))),NA(),_xlfn.xlookup(E$3,daily_items,_xlfn.xlookup($C1944,daily_dates,big_daily_table)))</f>
        <v>#NAME?</v>
      </c>
    </row>
    <row r="1945" customFormat="false" ht="14.25" hidden="false" customHeight="false" outlineLevel="0" collapsed="false">
      <c r="B1945" s="7" t="n">
        <v>42850</v>
      </c>
      <c r="C1945" s="7" t="n">
        <f aca="false">B1945-WEEKDAY(B1945)+1</f>
        <v>42848</v>
      </c>
      <c r="D1945" s="1" t="e">
        <f aca="false" t="array" ref="D1945:D1945">IF(ISBLANK(_xlfn.xlookup(D$3,daily_items,_xlfn.xlookup($C1945,daily_dates,big_daily_table))),NA(),_xlfn.xlookup(D$3,daily_items,_xlfn.xlookup($C1945,daily_dates,big_daily_table)))</f>
        <v>#NAME?</v>
      </c>
      <c r="E1945" s="1" t="e">
        <f aca="false" t="array" ref="E1945:E1945">IF(ISBLANK(_xlfn.xlookup(E$3,daily_items,_xlfn.xlookup($C1945,daily_dates,big_daily_table))),NA(),_xlfn.xlookup(E$3,daily_items,_xlfn.xlookup($C1945,daily_dates,big_daily_table)))</f>
        <v>#NAME?</v>
      </c>
    </row>
    <row r="1946" customFormat="false" ht="14.25" hidden="false" customHeight="false" outlineLevel="0" collapsed="false">
      <c r="B1946" s="7" t="n">
        <v>42851</v>
      </c>
      <c r="C1946" s="7" t="n">
        <f aca="false">B1946-WEEKDAY(B1946)+1</f>
        <v>42848</v>
      </c>
      <c r="D1946" s="1" t="e">
        <f aca="false" t="array" ref="D1946:D1946">IF(ISBLANK(_xlfn.xlookup(D$3,daily_items,_xlfn.xlookup($C1946,daily_dates,big_daily_table))),NA(),_xlfn.xlookup(D$3,daily_items,_xlfn.xlookup($C1946,daily_dates,big_daily_table)))</f>
        <v>#NAME?</v>
      </c>
      <c r="E1946" s="1" t="e">
        <f aca="false" t="array" ref="E1946:E1946">IF(ISBLANK(_xlfn.xlookup(E$3,daily_items,_xlfn.xlookup($C1946,daily_dates,big_daily_table))),NA(),_xlfn.xlookup(E$3,daily_items,_xlfn.xlookup($C1946,daily_dates,big_daily_table)))</f>
        <v>#NAME?</v>
      </c>
    </row>
    <row r="1947" customFormat="false" ht="14.25" hidden="false" customHeight="false" outlineLevel="0" collapsed="false">
      <c r="B1947" s="7" t="n">
        <v>42852</v>
      </c>
      <c r="C1947" s="7" t="n">
        <f aca="false">B1947-WEEKDAY(B1947)+1</f>
        <v>42848</v>
      </c>
      <c r="D1947" s="1" t="e">
        <f aca="false" t="array" ref="D1947:D1947">IF(ISBLANK(_xlfn.xlookup(D$3,daily_items,_xlfn.xlookup($C1947,daily_dates,big_daily_table))),NA(),_xlfn.xlookup(D$3,daily_items,_xlfn.xlookup($C1947,daily_dates,big_daily_table)))</f>
        <v>#NAME?</v>
      </c>
      <c r="E1947" s="1" t="e">
        <f aca="false" t="array" ref="E1947:E1947">IF(ISBLANK(_xlfn.xlookup(E$3,daily_items,_xlfn.xlookup($C1947,daily_dates,big_daily_table))),NA(),_xlfn.xlookup(E$3,daily_items,_xlfn.xlookup($C1947,daily_dates,big_daily_table)))</f>
        <v>#NAME?</v>
      </c>
    </row>
    <row r="1948" customFormat="false" ht="14.25" hidden="false" customHeight="false" outlineLevel="0" collapsed="false">
      <c r="B1948" s="7" t="n">
        <v>42853</v>
      </c>
      <c r="C1948" s="7" t="n">
        <f aca="false">B1948-WEEKDAY(B1948)+1</f>
        <v>42848</v>
      </c>
      <c r="D1948" s="1" t="e">
        <f aca="false" t="array" ref="D1948:D1948">IF(ISBLANK(_xlfn.xlookup(D$3,daily_items,_xlfn.xlookup($C1948,daily_dates,big_daily_table))),NA(),_xlfn.xlookup(D$3,daily_items,_xlfn.xlookup($C1948,daily_dates,big_daily_table)))</f>
        <v>#NAME?</v>
      </c>
      <c r="E1948" s="1" t="e">
        <f aca="false" t="array" ref="E1948:E1948">IF(ISBLANK(_xlfn.xlookup(E$3,daily_items,_xlfn.xlookup($C1948,daily_dates,big_daily_table))),NA(),_xlfn.xlookup(E$3,daily_items,_xlfn.xlookup($C1948,daily_dates,big_daily_table)))</f>
        <v>#NAME?</v>
      </c>
    </row>
    <row r="1949" customFormat="false" ht="14.25" hidden="false" customHeight="false" outlineLevel="0" collapsed="false">
      <c r="B1949" s="7" t="n">
        <v>42854</v>
      </c>
      <c r="C1949" s="7" t="n">
        <f aca="false">B1949-WEEKDAY(B1949)+1</f>
        <v>42848</v>
      </c>
      <c r="D1949" s="1" t="e">
        <f aca="false" t="array" ref="D1949:D1949">IF(ISBLANK(_xlfn.xlookup(D$3,daily_items,_xlfn.xlookup($C1949,daily_dates,big_daily_table))),NA(),_xlfn.xlookup(D$3,daily_items,_xlfn.xlookup($C1949,daily_dates,big_daily_table)))</f>
        <v>#NAME?</v>
      </c>
      <c r="E1949" s="1" t="e">
        <f aca="false" t="array" ref="E1949:E1949">IF(ISBLANK(_xlfn.xlookup(E$3,daily_items,_xlfn.xlookup($C1949,daily_dates,big_daily_table))),NA(),_xlfn.xlookup(E$3,daily_items,_xlfn.xlookup($C1949,daily_dates,big_daily_table)))</f>
        <v>#NAME?</v>
      </c>
    </row>
    <row r="1950" customFormat="false" ht="14.25" hidden="false" customHeight="false" outlineLevel="0" collapsed="false">
      <c r="B1950" s="7" t="n">
        <v>42855</v>
      </c>
      <c r="C1950" s="7" t="n">
        <f aca="false">B1950-WEEKDAY(B1950)+1</f>
        <v>42855</v>
      </c>
      <c r="D1950" s="1" t="e">
        <f aca="false" t="array" ref="D1950:D1950">IF(ISBLANK(_xlfn.xlookup(D$3,daily_items,_xlfn.xlookup($C1950,daily_dates,big_daily_table))),NA(),_xlfn.xlookup(D$3,daily_items,_xlfn.xlookup($C1950,daily_dates,big_daily_table)))</f>
        <v>#NAME?</v>
      </c>
      <c r="E1950" s="1" t="e">
        <f aca="false" t="array" ref="E1950:E1950">IF(ISBLANK(_xlfn.xlookup(E$3,daily_items,_xlfn.xlookup($C1950,daily_dates,big_daily_table))),NA(),_xlfn.xlookup(E$3,daily_items,_xlfn.xlookup($C1950,daily_dates,big_daily_table)))</f>
        <v>#NAME?</v>
      </c>
    </row>
    <row r="1951" customFormat="false" ht="14.25" hidden="false" customHeight="false" outlineLevel="0" collapsed="false">
      <c r="B1951" s="7" t="n">
        <v>42856</v>
      </c>
      <c r="C1951" s="7" t="n">
        <f aca="false">B1951-WEEKDAY(B1951)+1</f>
        <v>42855</v>
      </c>
      <c r="D1951" s="1" t="e">
        <f aca="false" t="array" ref="D1951:D1951">IF(ISBLANK(_xlfn.xlookup(D$3,daily_items,_xlfn.xlookup($C1951,daily_dates,big_daily_table))),NA(),_xlfn.xlookup(D$3,daily_items,_xlfn.xlookup($C1951,daily_dates,big_daily_table)))</f>
        <v>#NAME?</v>
      </c>
      <c r="E1951" s="1" t="e">
        <f aca="false" t="array" ref="E1951:E1951">IF(ISBLANK(_xlfn.xlookup(E$3,daily_items,_xlfn.xlookup($C1951,daily_dates,big_daily_table))),NA(),_xlfn.xlookup(E$3,daily_items,_xlfn.xlookup($C1951,daily_dates,big_daily_table)))</f>
        <v>#NAME?</v>
      </c>
    </row>
    <row r="1952" customFormat="false" ht="14.25" hidden="false" customHeight="false" outlineLevel="0" collapsed="false">
      <c r="B1952" s="7" t="n">
        <v>42857</v>
      </c>
      <c r="C1952" s="7" t="n">
        <f aca="false">B1952-WEEKDAY(B1952)+1</f>
        <v>42855</v>
      </c>
      <c r="D1952" s="1" t="e">
        <f aca="false" t="array" ref="D1952:D1952">IF(ISBLANK(_xlfn.xlookup(D$3,daily_items,_xlfn.xlookup($C1952,daily_dates,big_daily_table))),NA(),_xlfn.xlookup(D$3,daily_items,_xlfn.xlookup($C1952,daily_dates,big_daily_table)))</f>
        <v>#NAME?</v>
      </c>
      <c r="E1952" s="1" t="e">
        <f aca="false" t="array" ref="E1952:E1952">IF(ISBLANK(_xlfn.xlookup(E$3,daily_items,_xlfn.xlookup($C1952,daily_dates,big_daily_table))),NA(),_xlfn.xlookup(E$3,daily_items,_xlfn.xlookup($C1952,daily_dates,big_daily_table)))</f>
        <v>#NAME?</v>
      </c>
    </row>
    <row r="1953" customFormat="false" ht="14.25" hidden="false" customHeight="false" outlineLevel="0" collapsed="false">
      <c r="B1953" s="7" t="n">
        <v>42858</v>
      </c>
      <c r="C1953" s="7" t="n">
        <f aca="false">B1953-WEEKDAY(B1953)+1</f>
        <v>42855</v>
      </c>
      <c r="D1953" s="1" t="e">
        <f aca="false" t="array" ref="D1953:D1953">IF(ISBLANK(_xlfn.xlookup(D$3,daily_items,_xlfn.xlookup($C1953,daily_dates,big_daily_table))),NA(),_xlfn.xlookup(D$3,daily_items,_xlfn.xlookup($C1953,daily_dates,big_daily_table)))</f>
        <v>#NAME?</v>
      </c>
      <c r="E1953" s="1" t="e">
        <f aca="false" t="array" ref="E1953:E1953">IF(ISBLANK(_xlfn.xlookup(E$3,daily_items,_xlfn.xlookup($C1953,daily_dates,big_daily_table))),NA(),_xlfn.xlookup(E$3,daily_items,_xlfn.xlookup($C1953,daily_dates,big_daily_table)))</f>
        <v>#NAME?</v>
      </c>
    </row>
    <row r="1954" customFormat="false" ht="14.25" hidden="false" customHeight="false" outlineLevel="0" collapsed="false">
      <c r="B1954" s="7" t="n">
        <v>42859</v>
      </c>
      <c r="C1954" s="7" t="n">
        <f aca="false">B1954-WEEKDAY(B1954)+1</f>
        <v>42855</v>
      </c>
      <c r="D1954" s="1" t="e">
        <f aca="false" t="array" ref="D1954:D1954">IF(ISBLANK(_xlfn.xlookup(D$3,daily_items,_xlfn.xlookup($C1954,daily_dates,big_daily_table))),NA(),_xlfn.xlookup(D$3,daily_items,_xlfn.xlookup($C1954,daily_dates,big_daily_table)))</f>
        <v>#NAME?</v>
      </c>
      <c r="E1954" s="1" t="e">
        <f aca="false" t="array" ref="E1954:E1954">IF(ISBLANK(_xlfn.xlookup(E$3,daily_items,_xlfn.xlookup($C1954,daily_dates,big_daily_table))),NA(),_xlfn.xlookup(E$3,daily_items,_xlfn.xlookup($C1954,daily_dates,big_daily_table)))</f>
        <v>#NAME?</v>
      </c>
    </row>
    <row r="1955" customFormat="false" ht="14.25" hidden="false" customHeight="false" outlineLevel="0" collapsed="false">
      <c r="B1955" s="7" t="n">
        <v>42860</v>
      </c>
      <c r="C1955" s="7" t="n">
        <f aca="false">B1955-WEEKDAY(B1955)+1</f>
        <v>42855</v>
      </c>
      <c r="D1955" s="1" t="e">
        <f aca="false" t="array" ref="D1955:D1955">IF(ISBLANK(_xlfn.xlookup(D$3,daily_items,_xlfn.xlookup($C1955,daily_dates,big_daily_table))),NA(),_xlfn.xlookup(D$3,daily_items,_xlfn.xlookup($C1955,daily_dates,big_daily_table)))</f>
        <v>#NAME?</v>
      </c>
      <c r="E1955" s="1" t="e">
        <f aca="false" t="array" ref="E1955:E1955">IF(ISBLANK(_xlfn.xlookup(E$3,daily_items,_xlfn.xlookup($C1955,daily_dates,big_daily_table))),NA(),_xlfn.xlookup(E$3,daily_items,_xlfn.xlookup($C1955,daily_dates,big_daily_table)))</f>
        <v>#NAME?</v>
      </c>
    </row>
    <row r="1956" customFormat="false" ht="14.25" hidden="false" customHeight="false" outlineLevel="0" collapsed="false">
      <c r="B1956" s="7" t="n">
        <v>42861</v>
      </c>
      <c r="C1956" s="7" t="n">
        <f aca="false">B1956-WEEKDAY(B1956)+1</f>
        <v>42855</v>
      </c>
      <c r="D1956" s="1" t="e">
        <f aca="false" t="array" ref="D1956:D1956">IF(ISBLANK(_xlfn.xlookup(D$3,daily_items,_xlfn.xlookup($C1956,daily_dates,big_daily_table))),NA(),_xlfn.xlookup(D$3,daily_items,_xlfn.xlookup($C1956,daily_dates,big_daily_table)))</f>
        <v>#NAME?</v>
      </c>
      <c r="E1956" s="1" t="e">
        <f aca="false" t="array" ref="E1956:E1956">IF(ISBLANK(_xlfn.xlookup(E$3,daily_items,_xlfn.xlookup($C1956,daily_dates,big_daily_table))),NA(),_xlfn.xlookup(E$3,daily_items,_xlfn.xlookup($C1956,daily_dates,big_daily_table)))</f>
        <v>#NAME?</v>
      </c>
    </row>
    <row r="1957" customFormat="false" ht="14.25" hidden="false" customHeight="false" outlineLevel="0" collapsed="false">
      <c r="B1957" s="7" t="n">
        <v>42862</v>
      </c>
      <c r="C1957" s="7" t="n">
        <f aca="false">B1957-WEEKDAY(B1957)+1</f>
        <v>42862</v>
      </c>
      <c r="D1957" s="1" t="e">
        <f aca="false" t="array" ref="D1957:D1957">IF(ISBLANK(_xlfn.xlookup(D$3,daily_items,_xlfn.xlookup($C1957,daily_dates,big_daily_table))),NA(),_xlfn.xlookup(D$3,daily_items,_xlfn.xlookup($C1957,daily_dates,big_daily_table)))</f>
        <v>#NAME?</v>
      </c>
      <c r="E1957" s="1" t="e">
        <f aca="false" t="array" ref="E1957:E1957">IF(ISBLANK(_xlfn.xlookup(E$3,daily_items,_xlfn.xlookup($C1957,daily_dates,big_daily_table))),NA(),_xlfn.xlookup(E$3,daily_items,_xlfn.xlookup($C1957,daily_dates,big_daily_table)))</f>
        <v>#NAME?</v>
      </c>
    </row>
    <row r="1958" customFormat="false" ht="14.25" hidden="false" customHeight="false" outlineLevel="0" collapsed="false">
      <c r="B1958" s="7" t="n">
        <v>42863</v>
      </c>
      <c r="C1958" s="7" t="n">
        <f aca="false">B1958-WEEKDAY(B1958)+1</f>
        <v>42862</v>
      </c>
      <c r="D1958" s="1" t="e">
        <f aca="false" t="array" ref="D1958:D1958">IF(ISBLANK(_xlfn.xlookup(D$3,daily_items,_xlfn.xlookup($C1958,daily_dates,big_daily_table))),NA(),_xlfn.xlookup(D$3,daily_items,_xlfn.xlookup($C1958,daily_dates,big_daily_table)))</f>
        <v>#NAME?</v>
      </c>
      <c r="E1958" s="1" t="e">
        <f aca="false" t="array" ref="E1958:E1958">IF(ISBLANK(_xlfn.xlookup(E$3,daily_items,_xlfn.xlookup($C1958,daily_dates,big_daily_table))),NA(),_xlfn.xlookup(E$3,daily_items,_xlfn.xlookup($C1958,daily_dates,big_daily_table)))</f>
        <v>#NAME?</v>
      </c>
    </row>
    <row r="1959" customFormat="false" ht="14.25" hidden="false" customHeight="false" outlineLevel="0" collapsed="false">
      <c r="B1959" s="7" t="n">
        <v>42864</v>
      </c>
      <c r="C1959" s="7" t="n">
        <f aca="false">B1959-WEEKDAY(B1959)+1</f>
        <v>42862</v>
      </c>
      <c r="D1959" s="1" t="e">
        <f aca="false" t="array" ref="D1959:D1959">IF(ISBLANK(_xlfn.xlookup(D$3,daily_items,_xlfn.xlookup($C1959,daily_dates,big_daily_table))),NA(),_xlfn.xlookup(D$3,daily_items,_xlfn.xlookup($C1959,daily_dates,big_daily_table)))</f>
        <v>#NAME?</v>
      </c>
      <c r="E1959" s="1" t="e">
        <f aca="false" t="array" ref="E1959:E1959">IF(ISBLANK(_xlfn.xlookup(E$3,daily_items,_xlfn.xlookup($C1959,daily_dates,big_daily_table))),NA(),_xlfn.xlookup(E$3,daily_items,_xlfn.xlookup($C1959,daily_dates,big_daily_table)))</f>
        <v>#NAME?</v>
      </c>
    </row>
    <row r="1960" customFormat="false" ht="14.25" hidden="false" customHeight="false" outlineLevel="0" collapsed="false">
      <c r="B1960" s="7" t="n">
        <v>42865</v>
      </c>
      <c r="C1960" s="7" t="n">
        <f aca="false">B1960-WEEKDAY(B1960)+1</f>
        <v>42862</v>
      </c>
      <c r="D1960" s="1" t="e">
        <f aca="false" t="array" ref="D1960:D1960">IF(ISBLANK(_xlfn.xlookup(D$3,daily_items,_xlfn.xlookup($C1960,daily_dates,big_daily_table))),NA(),_xlfn.xlookup(D$3,daily_items,_xlfn.xlookup($C1960,daily_dates,big_daily_table)))</f>
        <v>#NAME?</v>
      </c>
      <c r="E1960" s="1" t="e">
        <f aca="false" t="array" ref="E1960:E1960">IF(ISBLANK(_xlfn.xlookup(E$3,daily_items,_xlfn.xlookup($C1960,daily_dates,big_daily_table))),NA(),_xlfn.xlookup(E$3,daily_items,_xlfn.xlookup($C1960,daily_dates,big_daily_table)))</f>
        <v>#NAME?</v>
      </c>
    </row>
    <row r="1961" customFormat="false" ht="14.25" hidden="false" customHeight="false" outlineLevel="0" collapsed="false">
      <c r="B1961" s="7" t="n">
        <v>42866</v>
      </c>
      <c r="C1961" s="7" t="n">
        <f aca="false">B1961-WEEKDAY(B1961)+1</f>
        <v>42862</v>
      </c>
      <c r="D1961" s="1" t="e">
        <f aca="false" t="array" ref="D1961:D1961">IF(ISBLANK(_xlfn.xlookup(D$3,daily_items,_xlfn.xlookup($C1961,daily_dates,big_daily_table))),NA(),_xlfn.xlookup(D$3,daily_items,_xlfn.xlookup($C1961,daily_dates,big_daily_table)))</f>
        <v>#NAME?</v>
      </c>
      <c r="E1961" s="1" t="e">
        <f aca="false" t="array" ref="E1961:E1961">IF(ISBLANK(_xlfn.xlookup(E$3,daily_items,_xlfn.xlookup($C1961,daily_dates,big_daily_table))),NA(),_xlfn.xlookup(E$3,daily_items,_xlfn.xlookup($C1961,daily_dates,big_daily_table)))</f>
        <v>#NAME?</v>
      </c>
    </row>
    <row r="1962" customFormat="false" ht="14.25" hidden="false" customHeight="false" outlineLevel="0" collapsed="false">
      <c r="B1962" s="7" t="n">
        <v>42867</v>
      </c>
      <c r="C1962" s="7" t="n">
        <f aca="false">B1962-WEEKDAY(B1962)+1</f>
        <v>42862</v>
      </c>
      <c r="D1962" s="1" t="e">
        <f aca="false" t="array" ref="D1962:D1962">IF(ISBLANK(_xlfn.xlookup(D$3,daily_items,_xlfn.xlookup($C1962,daily_dates,big_daily_table))),NA(),_xlfn.xlookup(D$3,daily_items,_xlfn.xlookup($C1962,daily_dates,big_daily_table)))</f>
        <v>#NAME?</v>
      </c>
      <c r="E1962" s="1" t="e">
        <f aca="false" t="array" ref="E1962:E1962">IF(ISBLANK(_xlfn.xlookup(E$3,daily_items,_xlfn.xlookup($C1962,daily_dates,big_daily_table))),NA(),_xlfn.xlookup(E$3,daily_items,_xlfn.xlookup($C1962,daily_dates,big_daily_table)))</f>
        <v>#NAME?</v>
      </c>
    </row>
    <row r="1963" customFormat="false" ht="14.25" hidden="false" customHeight="false" outlineLevel="0" collapsed="false">
      <c r="B1963" s="7" t="n">
        <v>42868</v>
      </c>
      <c r="C1963" s="7" t="n">
        <f aca="false">B1963-WEEKDAY(B1963)+1</f>
        <v>42862</v>
      </c>
      <c r="D1963" s="1" t="e">
        <f aca="false" t="array" ref="D1963:D1963">IF(ISBLANK(_xlfn.xlookup(D$3,daily_items,_xlfn.xlookup($C1963,daily_dates,big_daily_table))),NA(),_xlfn.xlookup(D$3,daily_items,_xlfn.xlookup($C1963,daily_dates,big_daily_table)))</f>
        <v>#NAME?</v>
      </c>
      <c r="E1963" s="1" t="e">
        <f aca="false" t="array" ref="E1963:E1963">IF(ISBLANK(_xlfn.xlookup(E$3,daily_items,_xlfn.xlookup($C1963,daily_dates,big_daily_table))),NA(),_xlfn.xlookup(E$3,daily_items,_xlfn.xlookup($C1963,daily_dates,big_daily_table)))</f>
        <v>#NAME?</v>
      </c>
    </row>
    <row r="1964" customFormat="false" ht="14.25" hidden="false" customHeight="false" outlineLevel="0" collapsed="false">
      <c r="B1964" s="7" t="n">
        <v>42869</v>
      </c>
      <c r="C1964" s="7" t="n">
        <f aca="false">B1964-WEEKDAY(B1964)+1</f>
        <v>42869</v>
      </c>
      <c r="D1964" s="1" t="e">
        <f aca="false" t="array" ref="D1964:D1964">IF(ISBLANK(_xlfn.xlookup(D$3,daily_items,_xlfn.xlookup($C1964,daily_dates,big_daily_table))),NA(),_xlfn.xlookup(D$3,daily_items,_xlfn.xlookup($C1964,daily_dates,big_daily_table)))</f>
        <v>#NAME?</v>
      </c>
      <c r="E1964" s="1" t="e">
        <f aca="false" t="array" ref="E1964:E1964">IF(ISBLANK(_xlfn.xlookup(E$3,daily_items,_xlfn.xlookup($C1964,daily_dates,big_daily_table))),NA(),_xlfn.xlookup(E$3,daily_items,_xlfn.xlookup($C1964,daily_dates,big_daily_table)))</f>
        <v>#NAME?</v>
      </c>
    </row>
    <row r="1965" customFormat="false" ht="14.25" hidden="false" customHeight="false" outlineLevel="0" collapsed="false">
      <c r="B1965" s="7" t="n">
        <v>42870</v>
      </c>
      <c r="C1965" s="7" t="n">
        <f aca="false">B1965-WEEKDAY(B1965)+1</f>
        <v>42869</v>
      </c>
      <c r="D1965" s="1" t="e">
        <f aca="false" t="array" ref="D1965:D1965">IF(ISBLANK(_xlfn.xlookup(D$3,daily_items,_xlfn.xlookup($C1965,daily_dates,big_daily_table))),NA(),_xlfn.xlookup(D$3,daily_items,_xlfn.xlookup($C1965,daily_dates,big_daily_table)))</f>
        <v>#NAME?</v>
      </c>
      <c r="E1965" s="1" t="e">
        <f aca="false" t="array" ref="E1965:E1965">IF(ISBLANK(_xlfn.xlookup(E$3,daily_items,_xlfn.xlookup($C1965,daily_dates,big_daily_table))),NA(),_xlfn.xlookup(E$3,daily_items,_xlfn.xlookup($C1965,daily_dates,big_daily_table)))</f>
        <v>#NAME?</v>
      </c>
    </row>
    <row r="1966" customFormat="false" ht="14.25" hidden="false" customHeight="false" outlineLevel="0" collapsed="false">
      <c r="B1966" s="7" t="n">
        <v>42871</v>
      </c>
      <c r="C1966" s="7" t="n">
        <f aca="false">B1966-WEEKDAY(B1966)+1</f>
        <v>42869</v>
      </c>
      <c r="D1966" s="1" t="e">
        <f aca="false" t="array" ref="D1966:D1966">IF(ISBLANK(_xlfn.xlookup(D$3,daily_items,_xlfn.xlookup($C1966,daily_dates,big_daily_table))),NA(),_xlfn.xlookup(D$3,daily_items,_xlfn.xlookup($C1966,daily_dates,big_daily_table)))</f>
        <v>#NAME?</v>
      </c>
      <c r="E1966" s="1" t="e">
        <f aca="false" t="array" ref="E1966:E1966">IF(ISBLANK(_xlfn.xlookup(E$3,daily_items,_xlfn.xlookup($C1966,daily_dates,big_daily_table))),NA(),_xlfn.xlookup(E$3,daily_items,_xlfn.xlookup($C1966,daily_dates,big_daily_table)))</f>
        <v>#NAME?</v>
      </c>
    </row>
    <row r="1967" customFormat="false" ht="14.25" hidden="false" customHeight="false" outlineLevel="0" collapsed="false">
      <c r="B1967" s="7" t="n">
        <v>42872</v>
      </c>
      <c r="C1967" s="7" t="n">
        <f aca="false">B1967-WEEKDAY(B1967)+1</f>
        <v>42869</v>
      </c>
      <c r="D1967" s="1" t="e">
        <f aca="false" t="array" ref="D1967:D1967">IF(ISBLANK(_xlfn.xlookup(D$3,daily_items,_xlfn.xlookup($C1967,daily_dates,big_daily_table))),NA(),_xlfn.xlookup(D$3,daily_items,_xlfn.xlookup($C1967,daily_dates,big_daily_table)))</f>
        <v>#NAME?</v>
      </c>
      <c r="E1967" s="1" t="e">
        <f aca="false" t="array" ref="E1967:E1967">IF(ISBLANK(_xlfn.xlookup(E$3,daily_items,_xlfn.xlookup($C1967,daily_dates,big_daily_table))),NA(),_xlfn.xlookup(E$3,daily_items,_xlfn.xlookup($C1967,daily_dates,big_daily_table)))</f>
        <v>#NAME?</v>
      </c>
    </row>
    <row r="1968" customFormat="false" ht="14.25" hidden="false" customHeight="false" outlineLevel="0" collapsed="false">
      <c r="B1968" s="7" t="n">
        <v>42873</v>
      </c>
      <c r="C1968" s="7" t="n">
        <f aca="false">B1968-WEEKDAY(B1968)+1</f>
        <v>42869</v>
      </c>
      <c r="D1968" s="1" t="e">
        <f aca="false" t="array" ref="D1968:D1968">IF(ISBLANK(_xlfn.xlookup(D$3,daily_items,_xlfn.xlookup($C1968,daily_dates,big_daily_table))),NA(),_xlfn.xlookup(D$3,daily_items,_xlfn.xlookup($C1968,daily_dates,big_daily_table)))</f>
        <v>#NAME?</v>
      </c>
      <c r="E1968" s="1" t="e">
        <f aca="false" t="array" ref="E1968:E1968">IF(ISBLANK(_xlfn.xlookup(E$3,daily_items,_xlfn.xlookup($C1968,daily_dates,big_daily_table))),NA(),_xlfn.xlookup(E$3,daily_items,_xlfn.xlookup($C1968,daily_dates,big_daily_table)))</f>
        <v>#NAME?</v>
      </c>
    </row>
    <row r="1969" customFormat="false" ht="14.25" hidden="false" customHeight="false" outlineLevel="0" collapsed="false">
      <c r="B1969" s="7" t="n">
        <v>42874</v>
      </c>
      <c r="C1969" s="7" t="n">
        <f aca="false">B1969-WEEKDAY(B1969)+1</f>
        <v>42869</v>
      </c>
      <c r="D1969" s="1" t="e">
        <f aca="false" t="array" ref="D1969:D1969">IF(ISBLANK(_xlfn.xlookup(D$3,daily_items,_xlfn.xlookup($C1969,daily_dates,big_daily_table))),NA(),_xlfn.xlookup(D$3,daily_items,_xlfn.xlookup($C1969,daily_dates,big_daily_table)))</f>
        <v>#NAME?</v>
      </c>
      <c r="E1969" s="1" t="e">
        <f aca="false" t="array" ref="E1969:E1969">IF(ISBLANK(_xlfn.xlookup(E$3,daily_items,_xlfn.xlookup($C1969,daily_dates,big_daily_table))),NA(),_xlfn.xlookup(E$3,daily_items,_xlfn.xlookup($C1969,daily_dates,big_daily_table)))</f>
        <v>#NAME?</v>
      </c>
    </row>
    <row r="1970" customFormat="false" ht="14.25" hidden="false" customHeight="false" outlineLevel="0" collapsed="false">
      <c r="B1970" s="7" t="n">
        <v>42875</v>
      </c>
      <c r="C1970" s="7" t="n">
        <f aca="false">B1970-WEEKDAY(B1970)+1</f>
        <v>42869</v>
      </c>
      <c r="D1970" s="1" t="e">
        <f aca="false" t="array" ref="D1970:D1970">IF(ISBLANK(_xlfn.xlookup(D$3,daily_items,_xlfn.xlookup($C1970,daily_dates,big_daily_table))),NA(),_xlfn.xlookup(D$3,daily_items,_xlfn.xlookup($C1970,daily_dates,big_daily_table)))</f>
        <v>#NAME?</v>
      </c>
      <c r="E1970" s="1" t="e">
        <f aca="false" t="array" ref="E1970:E1970">IF(ISBLANK(_xlfn.xlookup(E$3,daily_items,_xlfn.xlookup($C1970,daily_dates,big_daily_table))),NA(),_xlfn.xlookup(E$3,daily_items,_xlfn.xlookup($C1970,daily_dates,big_daily_table)))</f>
        <v>#NAME?</v>
      </c>
    </row>
    <row r="1971" customFormat="false" ht="14.25" hidden="false" customHeight="false" outlineLevel="0" collapsed="false">
      <c r="B1971" s="7" t="n">
        <v>42876</v>
      </c>
      <c r="C1971" s="7" t="n">
        <f aca="false">B1971-WEEKDAY(B1971)+1</f>
        <v>42876</v>
      </c>
      <c r="D1971" s="1" t="e">
        <f aca="false" t="array" ref="D1971:D1971">IF(ISBLANK(_xlfn.xlookup(D$3,daily_items,_xlfn.xlookup($C1971,daily_dates,big_daily_table))),NA(),_xlfn.xlookup(D$3,daily_items,_xlfn.xlookup($C1971,daily_dates,big_daily_table)))</f>
        <v>#NAME?</v>
      </c>
      <c r="E1971" s="1" t="e">
        <f aca="false" t="array" ref="E1971:E1971">IF(ISBLANK(_xlfn.xlookup(E$3,daily_items,_xlfn.xlookup($C1971,daily_dates,big_daily_table))),NA(),_xlfn.xlookup(E$3,daily_items,_xlfn.xlookup($C1971,daily_dates,big_daily_table)))</f>
        <v>#NAME?</v>
      </c>
    </row>
    <row r="1972" customFormat="false" ht="14.25" hidden="false" customHeight="false" outlineLevel="0" collapsed="false">
      <c r="B1972" s="7" t="n">
        <v>42877</v>
      </c>
      <c r="C1972" s="7" t="n">
        <f aca="false">B1972-WEEKDAY(B1972)+1</f>
        <v>42876</v>
      </c>
      <c r="D1972" s="1" t="e">
        <f aca="false" t="array" ref="D1972:D1972">IF(ISBLANK(_xlfn.xlookup(D$3,daily_items,_xlfn.xlookup($C1972,daily_dates,big_daily_table))),NA(),_xlfn.xlookup(D$3,daily_items,_xlfn.xlookup($C1972,daily_dates,big_daily_table)))</f>
        <v>#NAME?</v>
      </c>
      <c r="E1972" s="1" t="e">
        <f aca="false" t="array" ref="E1972:E1972">IF(ISBLANK(_xlfn.xlookup(E$3,daily_items,_xlfn.xlookup($C1972,daily_dates,big_daily_table))),NA(),_xlfn.xlookup(E$3,daily_items,_xlfn.xlookup($C1972,daily_dates,big_daily_table)))</f>
        <v>#NAME?</v>
      </c>
    </row>
    <row r="1973" customFormat="false" ht="14.25" hidden="false" customHeight="false" outlineLevel="0" collapsed="false">
      <c r="B1973" s="7" t="n">
        <v>42878</v>
      </c>
      <c r="C1973" s="7" t="n">
        <f aca="false">B1973-WEEKDAY(B1973)+1</f>
        <v>42876</v>
      </c>
      <c r="D1973" s="1" t="e">
        <f aca="false" t="array" ref="D1973:D1973">IF(ISBLANK(_xlfn.xlookup(D$3,daily_items,_xlfn.xlookup($C1973,daily_dates,big_daily_table))),NA(),_xlfn.xlookup(D$3,daily_items,_xlfn.xlookup($C1973,daily_dates,big_daily_table)))</f>
        <v>#NAME?</v>
      </c>
      <c r="E1973" s="1" t="e">
        <f aca="false" t="array" ref="E1973:E1973">IF(ISBLANK(_xlfn.xlookup(E$3,daily_items,_xlfn.xlookup($C1973,daily_dates,big_daily_table))),NA(),_xlfn.xlookup(E$3,daily_items,_xlfn.xlookup($C1973,daily_dates,big_daily_table)))</f>
        <v>#NAME?</v>
      </c>
    </row>
    <row r="1974" customFormat="false" ht="14.25" hidden="false" customHeight="false" outlineLevel="0" collapsed="false">
      <c r="B1974" s="7" t="n">
        <v>42879</v>
      </c>
      <c r="C1974" s="7" t="n">
        <f aca="false">B1974-WEEKDAY(B1974)+1</f>
        <v>42876</v>
      </c>
      <c r="D1974" s="1" t="e">
        <f aca="false" t="array" ref="D1974:D1974">IF(ISBLANK(_xlfn.xlookup(D$3,daily_items,_xlfn.xlookup($C1974,daily_dates,big_daily_table))),NA(),_xlfn.xlookup(D$3,daily_items,_xlfn.xlookup($C1974,daily_dates,big_daily_table)))</f>
        <v>#NAME?</v>
      </c>
      <c r="E1974" s="1" t="e">
        <f aca="false" t="array" ref="E1974:E1974">IF(ISBLANK(_xlfn.xlookup(E$3,daily_items,_xlfn.xlookup($C1974,daily_dates,big_daily_table))),NA(),_xlfn.xlookup(E$3,daily_items,_xlfn.xlookup($C1974,daily_dates,big_daily_table)))</f>
        <v>#NAME?</v>
      </c>
    </row>
    <row r="1975" customFormat="false" ht="14.25" hidden="false" customHeight="false" outlineLevel="0" collapsed="false">
      <c r="B1975" s="7" t="n">
        <v>42880</v>
      </c>
      <c r="C1975" s="7" t="n">
        <f aca="false">B1975-WEEKDAY(B1975)+1</f>
        <v>42876</v>
      </c>
      <c r="D1975" s="1" t="e">
        <f aca="false" t="array" ref="D1975:D1975">IF(ISBLANK(_xlfn.xlookup(D$3,daily_items,_xlfn.xlookup($C1975,daily_dates,big_daily_table))),NA(),_xlfn.xlookup(D$3,daily_items,_xlfn.xlookup($C1975,daily_dates,big_daily_table)))</f>
        <v>#NAME?</v>
      </c>
      <c r="E1975" s="1" t="e">
        <f aca="false" t="array" ref="E1975:E1975">IF(ISBLANK(_xlfn.xlookup(E$3,daily_items,_xlfn.xlookup($C1975,daily_dates,big_daily_table))),NA(),_xlfn.xlookup(E$3,daily_items,_xlfn.xlookup($C1975,daily_dates,big_daily_table)))</f>
        <v>#NAME?</v>
      </c>
    </row>
    <row r="1976" customFormat="false" ht="14.25" hidden="false" customHeight="false" outlineLevel="0" collapsed="false">
      <c r="B1976" s="7" t="n">
        <v>42881</v>
      </c>
      <c r="C1976" s="7" t="n">
        <f aca="false">B1976-WEEKDAY(B1976)+1</f>
        <v>42876</v>
      </c>
      <c r="D1976" s="1" t="e">
        <f aca="false" t="array" ref="D1976:D1976">IF(ISBLANK(_xlfn.xlookup(D$3,daily_items,_xlfn.xlookup($C1976,daily_dates,big_daily_table))),NA(),_xlfn.xlookup(D$3,daily_items,_xlfn.xlookup($C1976,daily_dates,big_daily_table)))</f>
        <v>#NAME?</v>
      </c>
      <c r="E1976" s="1" t="e">
        <f aca="false" t="array" ref="E1976:E1976">IF(ISBLANK(_xlfn.xlookup(E$3,daily_items,_xlfn.xlookup($C1976,daily_dates,big_daily_table))),NA(),_xlfn.xlookup(E$3,daily_items,_xlfn.xlookup($C1976,daily_dates,big_daily_table)))</f>
        <v>#NAME?</v>
      </c>
    </row>
    <row r="1977" customFormat="false" ht="14.25" hidden="false" customHeight="false" outlineLevel="0" collapsed="false">
      <c r="B1977" s="7" t="n">
        <v>42882</v>
      </c>
      <c r="C1977" s="7" t="n">
        <f aca="false">B1977-WEEKDAY(B1977)+1</f>
        <v>42876</v>
      </c>
      <c r="D1977" s="1" t="e">
        <f aca="false" t="array" ref="D1977:D1977">IF(ISBLANK(_xlfn.xlookup(D$3,daily_items,_xlfn.xlookup($C1977,daily_dates,big_daily_table))),NA(),_xlfn.xlookup(D$3,daily_items,_xlfn.xlookup($C1977,daily_dates,big_daily_table)))</f>
        <v>#NAME?</v>
      </c>
      <c r="E1977" s="1" t="e">
        <f aca="false" t="array" ref="E1977:E1977">IF(ISBLANK(_xlfn.xlookup(E$3,daily_items,_xlfn.xlookup($C1977,daily_dates,big_daily_table))),NA(),_xlfn.xlookup(E$3,daily_items,_xlfn.xlookup($C1977,daily_dates,big_daily_table)))</f>
        <v>#NAME?</v>
      </c>
    </row>
    <row r="1978" customFormat="false" ht="14.25" hidden="false" customHeight="false" outlineLevel="0" collapsed="false">
      <c r="B1978" s="7" t="n">
        <v>42883</v>
      </c>
      <c r="C1978" s="7" t="n">
        <f aca="false">B1978-WEEKDAY(B1978)+1</f>
        <v>42883</v>
      </c>
      <c r="D1978" s="1" t="e">
        <f aca="false" t="array" ref="D1978:D1978">IF(ISBLANK(_xlfn.xlookup(D$3,daily_items,_xlfn.xlookup($C1978,daily_dates,big_daily_table))),NA(),_xlfn.xlookup(D$3,daily_items,_xlfn.xlookup($C1978,daily_dates,big_daily_table)))</f>
        <v>#NAME?</v>
      </c>
      <c r="E1978" s="1" t="e">
        <f aca="false" t="array" ref="E1978:E1978">IF(ISBLANK(_xlfn.xlookup(E$3,daily_items,_xlfn.xlookup($C1978,daily_dates,big_daily_table))),NA(),_xlfn.xlookup(E$3,daily_items,_xlfn.xlookup($C1978,daily_dates,big_daily_table)))</f>
        <v>#NAME?</v>
      </c>
    </row>
    <row r="1979" customFormat="false" ht="14.25" hidden="false" customHeight="false" outlineLevel="0" collapsed="false">
      <c r="B1979" s="7" t="n">
        <v>42884</v>
      </c>
      <c r="C1979" s="7" t="n">
        <f aca="false">B1979-WEEKDAY(B1979)+1</f>
        <v>42883</v>
      </c>
      <c r="D1979" s="1" t="e">
        <f aca="false" t="array" ref="D1979:D1979">IF(ISBLANK(_xlfn.xlookup(D$3,daily_items,_xlfn.xlookup($C1979,daily_dates,big_daily_table))),NA(),_xlfn.xlookup(D$3,daily_items,_xlfn.xlookup($C1979,daily_dates,big_daily_table)))</f>
        <v>#NAME?</v>
      </c>
      <c r="E1979" s="1" t="e">
        <f aca="false" t="array" ref="E1979:E1979">IF(ISBLANK(_xlfn.xlookup(E$3,daily_items,_xlfn.xlookup($C1979,daily_dates,big_daily_table))),NA(),_xlfn.xlookup(E$3,daily_items,_xlfn.xlookup($C1979,daily_dates,big_daily_table)))</f>
        <v>#NAME?</v>
      </c>
    </row>
    <row r="1980" customFormat="false" ht="14.25" hidden="false" customHeight="false" outlineLevel="0" collapsed="false">
      <c r="B1980" s="7" t="n">
        <v>42885</v>
      </c>
      <c r="C1980" s="7" t="n">
        <f aca="false">B1980-WEEKDAY(B1980)+1</f>
        <v>42883</v>
      </c>
      <c r="D1980" s="1" t="e">
        <f aca="false" t="array" ref="D1980:D1980">IF(ISBLANK(_xlfn.xlookup(D$3,daily_items,_xlfn.xlookup($C1980,daily_dates,big_daily_table))),NA(),_xlfn.xlookup(D$3,daily_items,_xlfn.xlookup($C1980,daily_dates,big_daily_table)))</f>
        <v>#NAME?</v>
      </c>
      <c r="E1980" s="1" t="e">
        <f aca="false" t="array" ref="E1980:E1980">IF(ISBLANK(_xlfn.xlookup(E$3,daily_items,_xlfn.xlookup($C1980,daily_dates,big_daily_table))),NA(),_xlfn.xlookup(E$3,daily_items,_xlfn.xlookup($C1980,daily_dates,big_daily_table)))</f>
        <v>#NAME?</v>
      </c>
    </row>
    <row r="1981" customFormat="false" ht="14.25" hidden="false" customHeight="false" outlineLevel="0" collapsed="false">
      <c r="B1981" s="7" t="n">
        <v>42886</v>
      </c>
      <c r="C1981" s="7" t="n">
        <f aca="false">B1981-WEEKDAY(B1981)+1</f>
        <v>42883</v>
      </c>
      <c r="D1981" s="1" t="e">
        <f aca="false" t="array" ref="D1981:D1981">IF(ISBLANK(_xlfn.xlookup(D$3,daily_items,_xlfn.xlookup($C1981,daily_dates,big_daily_table))),NA(),_xlfn.xlookup(D$3,daily_items,_xlfn.xlookup($C1981,daily_dates,big_daily_table)))</f>
        <v>#NAME?</v>
      </c>
      <c r="E1981" s="1" t="e">
        <f aca="false" t="array" ref="E1981:E1981">IF(ISBLANK(_xlfn.xlookup(E$3,daily_items,_xlfn.xlookup($C1981,daily_dates,big_daily_table))),NA(),_xlfn.xlookup(E$3,daily_items,_xlfn.xlookup($C1981,daily_dates,big_daily_table)))</f>
        <v>#NAME?</v>
      </c>
    </row>
    <row r="1982" customFormat="false" ht="14.25" hidden="false" customHeight="false" outlineLevel="0" collapsed="false">
      <c r="B1982" s="7" t="n">
        <v>42887</v>
      </c>
      <c r="C1982" s="7" t="n">
        <f aca="false">B1982-WEEKDAY(B1982)+1</f>
        <v>42883</v>
      </c>
      <c r="D1982" s="1" t="e">
        <f aca="false" t="array" ref="D1982:D1982">IF(ISBLANK(_xlfn.xlookup(D$3,daily_items,_xlfn.xlookup($C1982,daily_dates,big_daily_table))),NA(),_xlfn.xlookup(D$3,daily_items,_xlfn.xlookup($C1982,daily_dates,big_daily_table)))</f>
        <v>#NAME?</v>
      </c>
      <c r="E1982" s="1" t="e">
        <f aca="false" t="array" ref="E1982:E1982">IF(ISBLANK(_xlfn.xlookup(E$3,daily_items,_xlfn.xlookup($C1982,daily_dates,big_daily_table))),NA(),_xlfn.xlookup(E$3,daily_items,_xlfn.xlookup($C1982,daily_dates,big_daily_table)))</f>
        <v>#NAME?</v>
      </c>
    </row>
    <row r="1983" customFormat="false" ht="14.25" hidden="false" customHeight="false" outlineLevel="0" collapsed="false">
      <c r="B1983" s="7" t="n">
        <v>42888</v>
      </c>
      <c r="C1983" s="7" t="n">
        <f aca="false">B1983-WEEKDAY(B1983)+1</f>
        <v>42883</v>
      </c>
      <c r="D1983" s="1" t="e">
        <f aca="false" t="array" ref="D1983:D1983">IF(ISBLANK(_xlfn.xlookup(D$3,daily_items,_xlfn.xlookup($C1983,daily_dates,big_daily_table))),NA(),_xlfn.xlookup(D$3,daily_items,_xlfn.xlookup($C1983,daily_dates,big_daily_table)))</f>
        <v>#NAME?</v>
      </c>
      <c r="E1983" s="1" t="e">
        <f aca="false" t="array" ref="E1983:E1983">IF(ISBLANK(_xlfn.xlookup(E$3,daily_items,_xlfn.xlookup($C1983,daily_dates,big_daily_table))),NA(),_xlfn.xlookup(E$3,daily_items,_xlfn.xlookup($C1983,daily_dates,big_daily_table)))</f>
        <v>#NAME?</v>
      </c>
    </row>
    <row r="1984" customFormat="false" ht="14.25" hidden="false" customHeight="false" outlineLevel="0" collapsed="false">
      <c r="B1984" s="7" t="n">
        <v>42889</v>
      </c>
      <c r="C1984" s="7" t="n">
        <f aca="false">B1984-WEEKDAY(B1984)+1</f>
        <v>42883</v>
      </c>
      <c r="D1984" s="1" t="e">
        <f aca="false" t="array" ref="D1984:D1984">IF(ISBLANK(_xlfn.xlookup(D$3,daily_items,_xlfn.xlookup($C1984,daily_dates,big_daily_table))),NA(),_xlfn.xlookup(D$3,daily_items,_xlfn.xlookup($C1984,daily_dates,big_daily_table)))</f>
        <v>#NAME?</v>
      </c>
      <c r="E1984" s="1" t="e">
        <f aca="false" t="array" ref="E1984:E1984">IF(ISBLANK(_xlfn.xlookup(E$3,daily_items,_xlfn.xlookup($C1984,daily_dates,big_daily_table))),NA(),_xlfn.xlookup(E$3,daily_items,_xlfn.xlookup($C1984,daily_dates,big_daily_table)))</f>
        <v>#NAME?</v>
      </c>
    </row>
    <row r="1985" customFormat="false" ht="14.25" hidden="false" customHeight="false" outlineLevel="0" collapsed="false">
      <c r="B1985" s="7" t="n">
        <v>42890</v>
      </c>
      <c r="C1985" s="7" t="n">
        <f aca="false">B1985-WEEKDAY(B1985)+1</f>
        <v>42890</v>
      </c>
      <c r="D1985" s="1" t="e">
        <f aca="false" t="array" ref="D1985:D1985">IF(ISBLANK(_xlfn.xlookup(D$3,daily_items,_xlfn.xlookup($C1985,daily_dates,big_daily_table))),NA(),_xlfn.xlookup(D$3,daily_items,_xlfn.xlookup($C1985,daily_dates,big_daily_table)))</f>
        <v>#NAME?</v>
      </c>
      <c r="E1985" s="1" t="e">
        <f aca="false" t="array" ref="E1985:E1985">IF(ISBLANK(_xlfn.xlookup(E$3,daily_items,_xlfn.xlookup($C1985,daily_dates,big_daily_table))),NA(),_xlfn.xlookup(E$3,daily_items,_xlfn.xlookup($C1985,daily_dates,big_daily_table)))</f>
        <v>#NAME?</v>
      </c>
    </row>
    <row r="1986" customFormat="false" ht="14.25" hidden="false" customHeight="false" outlineLevel="0" collapsed="false">
      <c r="B1986" s="7" t="n">
        <v>42891</v>
      </c>
      <c r="C1986" s="7" t="n">
        <f aca="false">B1986-WEEKDAY(B1986)+1</f>
        <v>42890</v>
      </c>
      <c r="D1986" s="1" t="e">
        <f aca="false" t="array" ref="D1986:D1986">IF(ISBLANK(_xlfn.xlookup(D$3,daily_items,_xlfn.xlookup($C1986,daily_dates,big_daily_table))),NA(),_xlfn.xlookup(D$3,daily_items,_xlfn.xlookup($C1986,daily_dates,big_daily_table)))</f>
        <v>#NAME?</v>
      </c>
      <c r="E1986" s="1" t="e">
        <f aca="false" t="array" ref="E1986:E1986">IF(ISBLANK(_xlfn.xlookup(E$3,daily_items,_xlfn.xlookup($C1986,daily_dates,big_daily_table))),NA(),_xlfn.xlookup(E$3,daily_items,_xlfn.xlookup($C1986,daily_dates,big_daily_table)))</f>
        <v>#NAME?</v>
      </c>
    </row>
    <row r="1987" customFormat="false" ht="14.25" hidden="false" customHeight="false" outlineLevel="0" collapsed="false">
      <c r="B1987" s="7" t="n">
        <v>42892</v>
      </c>
      <c r="C1987" s="7" t="n">
        <f aca="false">B1987-WEEKDAY(B1987)+1</f>
        <v>42890</v>
      </c>
      <c r="D1987" s="1" t="e">
        <f aca="false" t="array" ref="D1987:D1987">IF(ISBLANK(_xlfn.xlookup(D$3,daily_items,_xlfn.xlookup($C1987,daily_dates,big_daily_table))),NA(),_xlfn.xlookup(D$3,daily_items,_xlfn.xlookup($C1987,daily_dates,big_daily_table)))</f>
        <v>#NAME?</v>
      </c>
      <c r="E1987" s="1" t="e">
        <f aca="false" t="array" ref="E1987:E1987">IF(ISBLANK(_xlfn.xlookup(E$3,daily_items,_xlfn.xlookup($C1987,daily_dates,big_daily_table))),NA(),_xlfn.xlookup(E$3,daily_items,_xlfn.xlookup($C1987,daily_dates,big_daily_table)))</f>
        <v>#NAME?</v>
      </c>
    </row>
    <row r="1988" customFormat="false" ht="14.25" hidden="false" customHeight="false" outlineLevel="0" collapsed="false">
      <c r="B1988" s="7" t="n">
        <v>42893</v>
      </c>
      <c r="C1988" s="7" t="n">
        <f aca="false">B1988-WEEKDAY(B1988)+1</f>
        <v>42890</v>
      </c>
      <c r="D1988" s="1" t="e">
        <f aca="false" t="array" ref="D1988:D1988">IF(ISBLANK(_xlfn.xlookup(D$3,daily_items,_xlfn.xlookup($C1988,daily_dates,big_daily_table))),NA(),_xlfn.xlookup(D$3,daily_items,_xlfn.xlookup($C1988,daily_dates,big_daily_table)))</f>
        <v>#NAME?</v>
      </c>
      <c r="E1988" s="1" t="e">
        <f aca="false" t="array" ref="E1988:E1988">IF(ISBLANK(_xlfn.xlookup(E$3,daily_items,_xlfn.xlookup($C1988,daily_dates,big_daily_table))),NA(),_xlfn.xlookup(E$3,daily_items,_xlfn.xlookup($C1988,daily_dates,big_daily_table)))</f>
        <v>#NAME?</v>
      </c>
    </row>
    <row r="1989" customFormat="false" ht="14.25" hidden="false" customHeight="false" outlineLevel="0" collapsed="false">
      <c r="B1989" s="7" t="n">
        <v>42894</v>
      </c>
      <c r="C1989" s="7" t="n">
        <f aca="false">B1989-WEEKDAY(B1989)+1</f>
        <v>42890</v>
      </c>
      <c r="D1989" s="1" t="e">
        <f aca="false" t="array" ref="D1989:D1989">IF(ISBLANK(_xlfn.xlookup(D$3,daily_items,_xlfn.xlookup($C1989,daily_dates,big_daily_table))),NA(),_xlfn.xlookup(D$3,daily_items,_xlfn.xlookup($C1989,daily_dates,big_daily_table)))</f>
        <v>#NAME?</v>
      </c>
      <c r="E1989" s="1" t="e">
        <f aca="false" t="array" ref="E1989:E1989">IF(ISBLANK(_xlfn.xlookup(E$3,daily_items,_xlfn.xlookup($C1989,daily_dates,big_daily_table))),NA(),_xlfn.xlookup(E$3,daily_items,_xlfn.xlookup($C1989,daily_dates,big_daily_table)))</f>
        <v>#NAME?</v>
      </c>
    </row>
    <row r="1990" customFormat="false" ht="14.25" hidden="false" customHeight="false" outlineLevel="0" collapsed="false">
      <c r="B1990" s="7" t="n">
        <v>42895</v>
      </c>
      <c r="C1990" s="7" t="n">
        <f aca="false">B1990-WEEKDAY(B1990)+1</f>
        <v>42890</v>
      </c>
      <c r="D1990" s="1" t="e">
        <f aca="false" t="array" ref="D1990:D1990">IF(ISBLANK(_xlfn.xlookup(D$3,daily_items,_xlfn.xlookup($C1990,daily_dates,big_daily_table))),NA(),_xlfn.xlookup(D$3,daily_items,_xlfn.xlookup($C1990,daily_dates,big_daily_table)))</f>
        <v>#NAME?</v>
      </c>
      <c r="E1990" s="1" t="e">
        <f aca="false" t="array" ref="E1990:E1990">IF(ISBLANK(_xlfn.xlookup(E$3,daily_items,_xlfn.xlookup($C1990,daily_dates,big_daily_table))),NA(),_xlfn.xlookup(E$3,daily_items,_xlfn.xlookup($C1990,daily_dates,big_daily_table)))</f>
        <v>#NAME?</v>
      </c>
    </row>
    <row r="1991" customFormat="false" ht="14.25" hidden="false" customHeight="false" outlineLevel="0" collapsed="false">
      <c r="B1991" s="7" t="n">
        <v>42896</v>
      </c>
      <c r="C1991" s="7" t="n">
        <f aca="false">B1991-WEEKDAY(B1991)+1</f>
        <v>42890</v>
      </c>
      <c r="D1991" s="1" t="e">
        <f aca="false" t="array" ref="D1991:D1991">IF(ISBLANK(_xlfn.xlookup(D$3,daily_items,_xlfn.xlookup($C1991,daily_dates,big_daily_table))),NA(),_xlfn.xlookup(D$3,daily_items,_xlfn.xlookup($C1991,daily_dates,big_daily_table)))</f>
        <v>#NAME?</v>
      </c>
      <c r="E1991" s="1" t="e">
        <f aca="false" t="array" ref="E1991:E1991">IF(ISBLANK(_xlfn.xlookup(E$3,daily_items,_xlfn.xlookup($C1991,daily_dates,big_daily_table))),NA(),_xlfn.xlookup(E$3,daily_items,_xlfn.xlookup($C1991,daily_dates,big_daily_table)))</f>
        <v>#NAME?</v>
      </c>
    </row>
    <row r="1992" customFormat="false" ht="14.25" hidden="false" customHeight="false" outlineLevel="0" collapsed="false">
      <c r="B1992" s="7" t="n">
        <v>42897</v>
      </c>
      <c r="C1992" s="7" t="n">
        <f aca="false">B1992-WEEKDAY(B1992)+1</f>
        <v>42897</v>
      </c>
      <c r="D1992" s="1" t="e">
        <f aca="false" t="array" ref="D1992:D1992">IF(ISBLANK(_xlfn.xlookup(D$3,daily_items,_xlfn.xlookup($C1992,daily_dates,big_daily_table))),NA(),_xlfn.xlookup(D$3,daily_items,_xlfn.xlookup($C1992,daily_dates,big_daily_table)))</f>
        <v>#NAME?</v>
      </c>
      <c r="E1992" s="1" t="e">
        <f aca="false" t="array" ref="E1992:E1992">IF(ISBLANK(_xlfn.xlookup(E$3,daily_items,_xlfn.xlookup($C1992,daily_dates,big_daily_table))),NA(),_xlfn.xlookup(E$3,daily_items,_xlfn.xlookup($C1992,daily_dates,big_daily_table)))</f>
        <v>#NAME?</v>
      </c>
    </row>
    <row r="1993" customFormat="false" ht="14.25" hidden="false" customHeight="false" outlineLevel="0" collapsed="false">
      <c r="B1993" s="7" t="n">
        <v>42898</v>
      </c>
      <c r="C1993" s="7" t="n">
        <f aca="false">B1993-WEEKDAY(B1993)+1</f>
        <v>42897</v>
      </c>
      <c r="D1993" s="1" t="e">
        <f aca="false" t="array" ref="D1993:D1993">IF(ISBLANK(_xlfn.xlookup(D$3,daily_items,_xlfn.xlookup($C1993,daily_dates,big_daily_table))),NA(),_xlfn.xlookup(D$3,daily_items,_xlfn.xlookup($C1993,daily_dates,big_daily_table)))</f>
        <v>#NAME?</v>
      </c>
      <c r="E1993" s="1" t="e">
        <f aca="false" t="array" ref="E1993:E1993">IF(ISBLANK(_xlfn.xlookup(E$3,daily_items,_xlfn.xlookup($C1993,daily_dates,big_daily_table))),NA(),_xlfn.xlookup(E$3,daily_items,_xlfn.xlookup($C1993,daily_dates,big_daily_table)))</f>
        <v>#NAME?</v>
      </c>
    </row>
    <row r="1994" customFormat="false" ht="14.25" hidden="false" customHeight="false" outlineLevel="0" collapsed="false">
      <c r="B1994" s="7" t="n">
        <v>42899</v>
      </c>
      <c r="C1994" s="7" t="n">
        <f aca="false">B1994-WEEKDAY(B1994)+1</f>
        <v>42897</v>
      </c>
      <c r="D1994" s="1" t="e">
        <f aca="false" t="array" ref="D1994:D1994">IF(ISBLANK(_xlfn.xlookup(D$3,daily_items,_xlfn.xlookup($C1994,daily_dates,big_daily_table))),NA(),_xlfn.xlookup(D$3,daily_items,_xlfn.xlookup($C1994,daily_dates,big_daily_table)))</f>
        <v>#NAME?</v>
      </c>
      <c r="E1994" s="1" t="e">
        <f aca="false" t="array" ref="E1994:E1994">IF(ISBLANK(_xlfn.xlookup(E$3,daily_items,_xlfn.xlookup($C1994,daily_dates,big_daily_table))),NA(),_xlfn.xlookup(E$3,daily_items,_xlfn.xlookup($C1994,daily_dates,big_daily_table)))</f>
        <v>#NAME?</v>
      </c>
    </row>
    <row r="1995" customFormat="false" ht="14.25" hidden="false" customHeight="false" outlineLevel="0" collapsed="false">
      <c r="B1995" s="7" t="n">
        <v>42900</v>
      </c>
      <c r="C1995" s="7" t="n">
        <f aca="false">B1995-WEEKDAY(B1995)+1</f>
        <v>42897</v>
      </c>
      <c r="D1995" s="1" t="e">
        <f aca="false" t="array" ref="D1995:D1995">IF(ISBLANK(_xlfn.xlookup(D$3,daily_items,_xlfn.xlookup($C1995,daily_dates,big_daily_table))),NA(),_xlfn.xlookup(D$3,daily_items,_xlfn.xlookup($C1995,daily_dates,big_daily_table)))</f>
        <v>#NAME?</v>
      </c>
      <c r="E1995" s="1" t="e">
        <f aca="false" t="array" ref="E1995:E1995">IF(ISBLANK(_xlfn.xlookup(E$3,daily_items,_xlfn.xlookup($C1995,daily_dates,big_daily_table))),NA(),_xlfn.xlookup(E$3,daily_items,_xlfn.xlookup($C1995,daily_dates,big_daily_table)))</f>
        <v>#NAME?</v>
      </c>
    </row>
    <row r="1996" customFormat="false" ht="14.25" hidden="false" customHeight="false" outlineLevel="0" collapsed="false">
      <c r="B1996" s="7" t="n">
        <v>42901</v>
      </c>
      <c r="C1996" s="7" t="n">
        <f aca="false">B1996-WEEKDAY(B1996)+1</f>
        <v>42897</v>
      </c>
      <c r="D1996" s="1" t="e">
        <f aca="false" t="array" ref="D1996:D1996">IF(ISBLANK(_xlfn.xlookup(D$3,daily_items,_xlfn.xlookup($C1996,daily_dates,big_daily_table))),NA(),_xlfn.xlookup(D$3,daily_items,_xlfn.xlookup($C1996,daily_dates,big_daily_table)))</f>
        <v>#NAME?</v>
      </c>
      <c r="E1996" s="1" t="e">
        <f aca="false" t="array" ref="E1996:E1996">IF(ISBLANK(_xlfn.xlookup(E$3,daily_items,_xlfn.xlookup($C1996,daily_dates,big_daily_table))),NA(),_xlfn.xlookup(E$3,daily_items,_xlfn.xlookup($C1996,daily_dates,big_daily_table)))</f>
        <v>#NAME?</v>
      </c>
    </row>
    <row r="1997" customFormat="false" ht="14.25" hidden="false" customHeight="false" outlineLevel="0" collapsed="false">
      <c r="B1997" s="7" t="n">
        <v>42902</v>
      </c>
      <c r="C1997" s="7" t="n">
        <f aca="false">B1997-WEEKDAY(B1997)+1</f>
        <v>42897</v>
      </c>
      <c r="D1997" s="1" t="e">
        <f aca="false" t="array" ref="D1997:D1997">IF(ISBLANK(_xlfn.xlookup(D$3,daily_items,_xlfn.xlookup($C1997,daily_dates,big_daily_table))),NA(),_xlfn.xlookup(D$3,daily_items,_xlfn.xlookup($C1997,daily_dates,big_daily_table)))</f>
        <v>#NAME?</v>
      </c>
      <c r="E1997" s="1" t="e">
        <f aca="false" t="array" ref="E1997:E1997">IF(ISBLANK(_xlfn.xlookup(E$3,daily_items,_xlfn.xlookup($C1997,daily_dates,big_daily_table))),NA(),_xlfn.xlookup(E$3,daily_items,_xlfn.xlookup($C1997,daily_dates,big_daily_table)))</f>
        <v>#NAME?</v>
      </c>
    </row>
    <row r="1998" customFormat="false" ht="14.25" hidden="false" customHeight="false" outlineLevel="0" collapsed="false">
      <c r="B1998" s="7" t="n">
        <v>42903</v>
      </c>
      <c r="C1998" s="7" t="n">
        <f aca="false">B1998-WEEKDAY(B1998)+1</f>
        <v>42897</v>
      </c>
      <c r="D1998" s="1" t="e">
        <f aca="false" t="array" ref="D1998:D1998">IF(ISBLANK(_xlfn.xlookup(D$3,daily_items,_xlfn.xlookup($C1998,daily_dates,big_daily_table))),NA(),_xlfn.xlookup(D$3,daily_items,_xlfn.xlookup($C1998,daily_dates,big_daily_table)))</f>
        <v>#NAME?</v>
      </c>
      <c r="E1998" s="1" t="e">
        <f aca="false" t="array" ref="E1998:E1998">IF(ISBLANK(_xlfn.xlookup(E$3,daily_items,_xlfn.xlookup($C1998,daily_dates,big_daily_table))),NA(),_xlfn.xlookup(E$3,daily_items,_xlfn.xlookup($C1998,daily_dates,big_daily_table)))</f>
        <v>#NAME?</v>
      </c>
    </row>
    <row r="1999" customFormat="false" ht="14.25" hidden="false" customHeight="false" outlineLevel="0" collapsed="false">
      <c r="B1999" s="7" t="n">
        <v>42904</v>
      </c>
      <c r="C1999" s="7" t="n">
        <f aca="false">B1999-WEEKDAY(B1999)+1</f>
        <v>42904</v>
      </c>
      <c r="D1999" s="1" t="e">
        <f aca="false" t="array" ref="D1999:D1999">IF(ISBLANK(_xlfn.xlookup(D$3,daily_items,_xlfn.xlookup($C1999,daily_dates,big_daily_table))),NA(),_xlfn.xlookup(D$3,daily_items,_xlfn.xlookup($C1999,daily_dates,big_daily_table)))</f>
        <v>#NAME?</v>
      </c>
      <c r="E1999" s="1" t="e">
        <f aca="false" t="array" ref="E1999:E1999">IF(ISBLANK(_xlfn.xlookup(E$3,daily_items,_xlfn.xlookup($C1999,daily_dates,big_daily_table))),NA(),_xlfn.xlookup(E$3,daily_items,_xlfn.xlookup($C1999,daily_dates,big_daily_table)))</f>
        <v>#NAME?</v>
      </c>
    </row>
    <row r="2000" customFormat="false" ht="14.25" hidden="false" customHeight="false" outlineLevel="0" collapsed="false">
      <c r="B2000" s="7" t="n">
        <v>42905</v>
      </c>
      <c r="C2000" s="7" t="n">
        <f aca="false">B2000-WEEKDAY(B2000)+1</f>
        <v>42904</v>
      </c>
      <c r="D2000" s="1" t="e">
        <f aca="false" t="array" ref="D2000:D2000">IF(ISBLANK(_xlfn.xlookup(D$3,daily_items,_xlfn.xlookup($C2000,daily_dates,big_daily_table))),NA(),_xlfn.xlookup(D$3,daily_items,_xlfn.xlookup($C2000,daily_dates,big_daily_table)))</f>
        <v>#NAME?</v>
      </c>
      <c r="E2000" s="1" t="e">
        <f aca="false" t="array" ref="E2000:E2000">IF(ISBLANK(_xlfn.xlookup(E$3,daily_items,_xlfn.xlookup($C2000,daily_dates,big_daily_table))),NA(),_xlfn.xlookup(E$3,daily_items,_xlfn.xlookup($C2000,daily_dates,big_daily_table)))</f>
        <v>#NAME?</v>
      </c>
    </row>
    <row r="2001" customFormat="false" ht="14.25" hidden="false" customHeight="false" outlineLevel="0" collapsed="false">
      <c r="B2001" s="7" t="n">
        <v>42906</v>
      </c>
      <c r="C2001" s="7" t="n">
        <f aca="false">B2001-WEEKDAY(B2001)+1</f>
        <v>42904</v>
      </c>
      <c r="D2001" s="1" t="e">
        <f aca="false" t="array" ref="D2001:D2001">IF(ISBLANK(_xlfn.xlookup(D$3,daily_items,_xlfn.xlookup($C2001,daily_dates,big_daily_table))),NA(),_xlfn.xlookup(D$3,daily_items,_xlfn.xlookup($C2001,daily_dates,big_daily_table)))</f>
        <v>#NAME?</v>
      </c>
      <c r="E2001" s="1" t="e">
        <f aca="false" t="array" ref="E2001:E2001">IF(ISBLANK(_xlfn.xlookup(E$3,daily_items,_xlfn.xlookup($C2001,daily_dates,big_daily_table))),NA(),_xlfn.xlookup(E$3,daily_items,_xlfn.xlookup($C2001,daily_dates,big_daily_table)))</f>
        <v>#NAME?</v>
      </c>
    </row>
    <row r="2002" customFormat="false" ht="14.25" hidden="false" customHeight="false" outlineLevel="0" collapsed="false">
      <c r="B2002" s="7" t="n">
        <v>42907</v>
      </c>
      <c r="C2002" s="7" t="n">
        <f aca="false">B2002-WEEKDAY(B2002)+1</f>
        <v>42904</v>
      </c>
      <c r="D2002" s="1" t="e">
        <f aca="false" t="array" ref="D2002:D2002">IF(ISBLANK(_xlfn.xlookup(D$3,daily_items,_xlfn.xlookup($C2002,daily_dates,big_daily_table))),NA(),_xlfn.xlookup(D$3,daily_items,_xlfn.xlookup($C2002,daily_dates,big_daily_table)))</f>
        <v>#NAME?</v>
      </c>
      <c r="E2002" s="1" t="e">
        <f aca="false" t="array" ref="E2002:E2002">IF(ISBLANK(_xlfn.xlookup(E$3,daily_items,_xlfn.xlookup($C2002,daily_dates,big_daily_table))),NA(),_xlfn.xlookup(E$3,daily_items,_xlfn.xlookup($C2002,daily_dates,big_daily_table)))</f>
        <v>#NAME?</v>
      </c>
    </row>
    <row r="2003" customFormat="false" ht="14.25" hidden="false" customHeight="false" outlineLevel="0" collapsed="false">
      <c r="B2003" s="7" t="n">
        <v>42908</v>
      </c>
      <c r="C2003" s="7" t="n">
        <f aca="false">B2003-WEEKDAY(B2003)+1</f>
        <v>42904</v>
      </c>
      <c r="D2003" s="1" t="e">
        <f aca="false" t="array" ref="D2003:D2003">IF(ISBLANK(_xlfn.xlookup(D$3,daily_items,_xlfn.xlookup($C2003,daily_dates,big_daily_table))),NA(),_xlfn.xlookup(D$3,daily_items,_xlfn.xlookup($C2003,daily_dates,big_daily_table)))</f>
        <v>#NAME?</v>
      </c>
      <c r="E2003" s="1" t="e">
        <f aca="false" t="array" ref="E2003:E2003">IF(ISBLANK(_xlfn.xlookup(E$3,daily_items,_xlfn.xlookup($C2003,daily_dates,big_daily_table))),NA(),_xlfn.xlookup(E$3,daily_items,_xlfn.xlookup($C2003,daily_dates,big_daily_table)))</f>
        <v>#NAME?</v>
      </c>
    </row>
    <row r="2004" customFormat="false" ht="14.25" hidden="false" customHeight="false" outlineLevel="0" collapsed="false">
      <c r="B2004" s="7" t="n">
        <v>42909</v>
      </c>
      <c r="C2004" s="7" t="n">
        <f aca="false">B2004-WEEKDAY(B2004)+1</f>
        <v>42904</v>
      </c>
      <c r="D2004" s="1" t="e">
        <f aca="false" t="array" ref="D2004:D2004">IF(ISBLANK(_xlfn.xlookup(D$3,daily_items,_xlfn.xlookup($C2004,daily_dates,big_daily_table))),NA(),_xlfn.xlookup(D$3,daily_items,_xlfn.xlookup($C2004,daily_dates,big_daily_table)))</f>
        <v>#NAME?</v>
      </c>
      <c r="E2004" s="1" t="e">
        <f aca="false" t="array" ref="E2004:E2004">IF(ISBLANK(_xlfn.xlookup(E$3,daily_items,_xlfn.xlookup($C2004,daily_dates,big_daily_table))),NA(),_xlfn.xlookup(E$3,daily_items,_xlfn.xlookup($C2004,daily_dates,big_daily_table)))</f>
        <v>#NAME?</v>
      </c>
    </row>
    <row r="2005" customFormat="false" ht="14.25" hidden="false" customHeight="false" outlineLevel="0" collapsed="false">
      <c r="B2005" s="7" t="n">
        <v>42910</v>
      </c>
      <c r="C2005" s="7" t="n">
        <f aca="false">B2005-WEEKDAY(B2005)+1</f>
        <v>42904</v>
      </c>
      <c r="D2005" s="1" t="e">
        <f aca="false" t="array" ref="D2005:D2005">IF(ISBLANK(_xlfn.xlookup(D$3,daily_items,_xlfn.xlookup($C2005,daily_dates,big_daily_table))),NA(),_xlfn.xlookup(D$3,daily_items,_xlfn.xlookup($C2005,daily_dates,big_daily_table)))</f>
        <v>#NAME?</v>
      </c>
      <c r="E2005" s="1" t="e">
        <f aca="false" t="array" ref="E2005:E2005">IF(ISBLANK(_xlfn.xlookup(E$3,daily_items,_xlfn.xlookup($C2005,daily_dates,big_daily_table))),NA(),_xlfn.xlookup(E$3,daily_items,_xlfn.xlookup($C2005,daily_dates,big_daily_table)))</f>
        <v>#NAME?</v>
      </c>
    </row>
    <row r="2006" customFormat="false" ht="14.25" hidden="false" customHeight="false" outlineLevel="0" collapsed="false">
      <c r="B2006" s="7" t="n">
        <v>42911</v>
      </c>
      <c r="C2006" s="7" t="n">
        <f aca="false">B2006-WEEKDAY(B2006)+1</f>
        <v>42911</v>
      </c>
      <c r="D2006" s="1" t="e">
        <f aca="false" t="array" ref="D2006:D2006">IF(ISBLANK(_xlfn.xlookup(D$3,daily_items,_xlfn.xlookup($C2006,daily_dates,big_daily_table))),NA(),_xlfn.xlookup(D$3,daily_items,_xlfn.xlookup($C2006,daily_dates,big_daily_table)))</f>
        <v>#NAME?</v>
      </c>
      <c r="E2006" s="1" t="e">
        <f aca="false" t="array" ref="E2006:E2006">IF(ISBLANK(_xlfn.xlookup(E$3,daily_items,_xlfn.xlookup($C2006,daily_dates,big_daily_table))),NA(),_xlfn.xlookup(E$3,daily_items,_xlfn.xlookup($C2006,daily_dates,big_daily_table)))</f>
        <v>#NAME?</v>
      </c>
    </row>
    <row r="2007" customFormat="false" ht="14.25" hidden="false" customHeight="false" outlineLevel="0" collapsed="false">
      <c r="B2007" s="7" t="n">
        <v>42912</v>
      </c>
      <c r="C2007" s="7" t="n">
        <f aca="false">B2007-WEEKDAY(B2007)+1</f>
        <v>42911</v>
      </c>
      <c r="D2007" s="1" t="e">
        <f aca="false" t="array" ref="D2007:D2007">IF(ISBLANK(_xlfn.xlookup(D$3,daily_items,_xlfn.xlookup($C2007,daily_dates,big_daily_table))),NA(),_xlfn.xlookup(D$3,daily_items,_xlfn.xlookup($C2007,daily_dates,big_daily_table)))</f>
        <v>#NAME?</v>
      </c>
      <c r="E2007" s="1" t="e">
        <f aca="false" t="array" ref="E2007:E2007">IF(ISBLANK(_xlfn.xlookup(E$3,daily_items,_xlfn.xlookup($C2007,daily_dates,big_daily_table))),NA(),_xlfn.xlookup(E$3,daily_items,_xlfn.xlookup($C2007,daily_dates,big_daily_table)))</f>
        <v>#NAME?</v>
      </c>
    </row>
    <row r="2008" customFormat="false" ht="14.25" hidden="false" customHeight="false" outlineLevel="0" collapsed="false">
      <c r="B2008" s="7" t="n">
        <v>42913</v>
      </c>
      <c r="C2008" s="7" t="n">
        <f aca="false">B2008-WEEKDAY(B2008)+1</f>
        <v>42911</v>
      </c>
      <c r="D2008" s="1" t="e">
        <f aca="false" t="array" ref="D2008:D2008">IF(ISBLANK(_xlfn.xlookup(D$3,daily_items,_xlfn.xlookup($C2008,daily_dates,big_daily_table))),NA(),_xlfn.xlookup(D$3,daily_items,_xlfn.xlookup($C2008,daily_dates,big_daily_table)))</f>
        <v>#NAME?</v>
      </c>
      <c r="E2008" s="1" t="e">
        <f aca="false" t="array" ref="E2008:E2008">IF(ISBLANK(_xlfn.xlookup(E$3,daily_items,_xlfn.xlookup($C2008,daily_dates,big_daily_table))),NA(),_xlfn.xlookup(E$3,daily_items,_xlfn.xlookup($C2008,daily_dates,big_daily_table)))</f>
        <v>#NAME?</v>
      </c>
    </row>
    <row r="2009" customFormat="false" ht="14.25" hidden="false" customHeight="false" outlineLevel="0" collapsed="false">
      <c r="B2009" s="7" t="n">
        <v>42914</v>
      </c>
      <c r="C2009" s="7" t="n">
        <f aca="false">B2009-WEEKDAY(B2009)+1</f>
        <v>42911</v>
      </c>
      <c r="D2009" s="1" t="e">
        <f aca="false" t="array" ref="D2009:D2009">IF(ISBLANK(_xlfn.xlookup(D$3,daily_items,_xlfn.xlookup($C2009,daily_dates,big_daily_table))),NA(),_xlfn.xlookup(D$3,daily_items,_xlfn.xlookup($C2009,daily_dates,big_daily_table)))</f>
        <v>#NAME?</v>
      </c>
      <c r="E2009" s="1" t="e">
        <f aca="false" t="array" ref="E2009:E2009">IF(ISBLANK(_xlfn.xlookup(E$3,daily_items,_xlfn.xlookup($C2009,daily_dates,big_daily_table))),NA(),_xlfn.xlookup(E$3,daily_items,_xlfn.xlookup($C2009,daily_dates,big_daily_table)))</f>
        <v>#NAME?</v>
      </c>
    </row>
    <row r="2010" customFormat="false" ht="14.25" hidden="false" customHeight="false" outlineLevel="0" collapsed="false">
      <c r="B2010" s="7" t="n">
        <v>42915</v>
      </c>
      <c r="C2010" s="7" t="n">
        <f aca="false">B2010-WEEKDAY(B2010)+1</f>
        <v>42911</v>
      </c>
      <c r="D2010" s="1" t="e">
        <f aca="false" t="array" ref="D2010:D2010">IF(ISBLANK(_xlfn.xlookup(D$3,daily_items,_xlfn.xlookup($C2010,daily_dates,big_daily_table))),NA(),_xlfn.xlookup(D$3,daily_items,_xlfn.xlookup($C2010,daily_dates,big_daily_table)))</f>
        <v>#NAME?</v>
      </c>
      <c r="E2010" s="1" t="e">
        <f aca="false" t="array" ref="E2010:E2010">IF(ISBLANK(_xlfn.xlookup(E$3,daily_items,_xlfn.xlookup($C2010,daily_dates,big_daily_table))),NA(),_xlfn.xlookup(E$3,daily_items,_xlfn.xlookup($C2010,daily_dates,big_daily_table)))</f>
        <v>#NAME?</v>
      </c>
    </row>
    <row r="2011" customFormat="false" ht="14.25" hidden="false" customHeight="false" outlineLevel="0" collapsed="false">
      <c r="B2011" s="7" t="n">
        <v>42916</v>
      </c>
      <c r="C2011" s="7" t="n">
        <f aca="false">B2011-WEEKDAY(B2011)+1</f>
        <v>42911</v>
      </c>
      <c r="D2011" s="1" t="e">
        <f aca="false" t="array" ref="D2011:D2011">IF(ISBLANK(_xlfn.xlookup(D$3,daily_items,_xlfn.xlookup($C2011,daily_dates,big_daily_table))),NA(),_xlfn.xlookup(D$3,daily_items,_xlfn.xlookup($C2011,daily_dates,big_daily_table)))</f>
        <v>#NAME?</v>
      </c>
      <c r="E2011" s="1" t="e">
        <f aca="false" t="array" ref="E2011:E2011">IF(ISBLANK(_xlfn.xlookup(E$3,daily_items,_xlfn.xlookup($C2011,daily_dates,big_daily_table))),NA(),_xlfn.xlookup(E$3,daily_items,_xlfn.xlookup($C2011,daily_dates,big_daily_table)))</f>
        <v>#NAME?</v>
      </c>
    </row>
    <row r="2012" customFormat="false" ht="14.25" hidden="false" customHeight="false" outlineLevel="0" collapsed="false">
      <c r="B2012" s="7" t="n">
        <v>42917</v>
      </c>
      <c r="C2012" s="7" t="n">
        <f aca="false">B2012-WEEKDAY(B2012)+1</f>
        <v>42911</v>
      </c>
      <c r="D2012" s="1" t="e">
        <f aca="false" t="array" ref="D2012:D2012">IF(ISBLANK(_xlfn.xlookup(D$3,daily_items,_xlfn.xlookup($C2012,daily_dates,big_daily_table))),NA(),_xlfn.xlookup(D$3,daily_items,_xlfn.xlookup($C2012,daily_dates,big_daily_table)))</f>
        <v>#NAME?</v>
      </c>
      <c r="E2012" s="1" t="e">
        <f aca="false" t="array" ref="E2012:E2012">IF(ISBLANK(_xlfn.xlookup(E$3,daily_items,_xlfn.xlookup($C2012,daily_dates,big_daily_table))),NA(),_xlfn.xlookup(E$3,daily_items,_xlfn.xlookup($C2012,daily_dates,big_daily_table)))</f>
        <v>#NAME?</v>
      </c>
    </row>
    <row r="2013" customFormat="false" ht="14.25" hidden="false" customHeight="false" outlineLevel="0" collapsed="false">
      <c r="B2013" s="7" t="n">
        <v>42918</v>
      </c>
      <c r="C2013" s="7" t="n">
        <f aca="false">B2013-WEEKDAY(B2013)+1</f>
        <v>42918</v>
      </c>
      <c r="D2013" s="1" t="e">
        <f aca="false" t="array" ref="D2013:D2013">IF(ISBLANK(_xlfn.xlookup(D$3,daily_items,_xlfn.xlookup($C2013,daily_dates,big_daily_table))),NA(),_xlfn.xlookup(D$3,daily_items,_xlfn.xlookup($C2013,daily_dates,big_daily_table)))</f>
        <v>#NAME?</v>
      </c>
      <c r="E2013" s="1" t="e">
        <f aca="false" t="array" ref="E2013:E2013">IF(ISBLANK(_xlfn.xlookup(E$3,daily_items,_xlfn.xlookup($C2013,daily_dates,big_daily_table))),NA(),_xlfn.xlookup(E$3,daily_items,_xlfn.xlookup($C2013,daily_dates,big_daily_table)))</f>
        <v>#NAME?</v>
      </c>
    </row>
    <row r="2014" customFormat="false" ht="14.25" hidden="false" customHeight="false" outlineLevel="0" collapsed="false">
      <c r="B2014" s="7" t="n">
        <v>42919</v>
      </c>
      <c r="C2014" s="7" t="n">
        <f aca="false">B2014-WEEKDAY(B2014)+1</f>
        <v>42918</v>
      </c>
      <c r="D2014" s="1" t="e">
        <f aca="false" t="array" ref="D2014:D2014">IF(ISBLANK(_xlfn.xlookup(D$3,daily_items,_xlfn.xlookup($C2014,daily_dates,big_daily_table))),NA(),_xlfn.xlookup(D$3,daily_items,_xlfn.xlookup($C2014,daily_dates,big_daily_table)))</f>
        <v>#NAME?</v>
      </c>
      <c r="E2014" s="1" t="e">
        <f aca="false" t="array" ref="E2014:E2014">IF(ISBLANK(_xlfn.xlookup(E$3,daily_items,_xlfn.xlookup($C2014,daily_dates,big_daily_table))),NA(),_xlfn.xlookup(E$3,daily_items,_xlfn.xlookup($C2014,daily_dates,big_daily_table)))</f>
        <v>#NAME?</v>
      </c>
    </row>
    <row r="2015" customFormat="false" ht="14.25" hidden="false" customHeight="false" outlineLevel="0" collapsed="false">
      <c r="B2015" s="7" t="n">
        <v>42920</v>
      </c>
      <c r="C2015" s="7" t="n">
        <f aca="false">B2015-WEEKDAY(B2015)+1</f>
        <v>42918</v>
      </c>
      <c r="D2015" s="1" t="e">
        <f aca="false" t="array" ref="D2015:D2015">IF(ISBLANK(_xlfn.xlookup(D$3,daily_items,_xlfn.xlookup($C2015,daily_dates,big_daily_table))),NA(),_xlfn.xlookup(D$3,daily_items,_xlfn.xlookup($C2015,daily_dates,big_daily_table)))</f>
        <v>#NAME?</v>
      </c>
      <c r="E2015" s="1" t="e">
        <f aca="false" t="array" ref="E2015:E2015">IF(ISBLANK(_xlfn.xlookup(E$3,daily_items,_xlfn.xlookup($C2015,daily_dates,big_daily_table))),NA(),_xlfn.xlookup(E$3,daily_items,_xlfn.xlookup($C2015,daily_dates,big_daily_table)))</f>
        <v>#NAME?</v>
      </c>
    </row>
    <row r="2016" customFormat="false" ht="14.25" hidden="false" customHeight="false" outlineLevel="0" collapsed="false">
      <c r="B2016" s="7" t="n">
        <v>42921</v>
      </c>
      <c r="C2016" s="7" t="n">
        <f aca="false">B2016-WEEKDAY(B2016)+1</f>
        <v>42918</v>
      </c>
      <c r="D2016" s="1" t="e">
        <f aca="false" t="array" ref="D2016:D2016">IF(ISBLANK(_xlfn.xlookup(D$3,daily_items,_xlfn.xlookup($C2016,daily_dates,big_daily_table))),NA(),_xlfn.xlookup(D$3,daily_items,_xlfn.xlookup($C2016,daily_dates,big_daily_table)))</f>
        <v>#NAME?</v>
      </c>
      <c r="E2016" s="1" t="e">
        <f aca="false" t="array" ref="E2016:E2016">IF(ISBLANK(_xlfn.xlookup(E$3,daily_items,_xlfn.xlookup($C2016,daily_dates,big_daily_table))),NA(),_xlfn.xlookup(E$3,daily_items,_xlfn.xlookup($C2016,daily_dates,big_daily_table)))</f>
        <v>#NAME?</v>
      </c>
    </row>
    <row r="2017" customFormat="false" ht="14.25" hidden="false" customHeight="false" outlineLevel="0" collapsed="false">
      <c r="B2017" s="7" t="n">
        <v>42922</v>
      </c>
      <c r="C2017" s="7" t="n">
        <f aca="false">B2017-WEEKDAY(B2017)+1</f>
        <v>42918</v>
      </c>
      <c r="D2017" s="1" t="e">
        <f aca="false" t="array" ref="D2017:D2017">IF(ISBLANK(_xlfn.xlookup(D$3,daily_items,_xlfn.xlookup($C2017,daily_dates,big_daily_table))),NA(),_xlfn.xlookup(D$3,daily_items,_xlfn.xlookup($C2017,daily_dates,big_daily_table)))</f>
        <v>#NAME?</v>
      </c>
      <c r="E2017" s="1" t="e">
        <f aca="false" t="array" ref="E2017:E2017">IF(ISBLANK(_xlfn.xlookup(E$3,daily_items,_xlfn.xlookup($C2017,daily_dates,big_daily_table))),NA(),_xlfn.xlookup(E$3,daily_items,_xlfn.xlookup($C2017,daily_dates,big_daily_table)))</f>
        <v>#NAME?</v>
      </c>
    </row>
    <row r="2018" customFormat="false" ht="14.25" hidden="false" customHeight="false" outlineLevel="0" collapsed="false">
      <c r="B2018" s="7" t="n">
        <v>42923</v>
      </c>
      <c r="C2018" s="7" t="n">
        <f aca="false">B2018-WEEKDAY(B2018)+1</f>
        <v>42918</v>
      </c>
      <c r="D2018" s="1" t="e">
        <f aca="false" t="array" ref="D2018:D2018">IF(ISBLANK(_xlfn.xlookup(D$3,daily_items,_xlfn.xlookup($C2018,daily_dates,big_daily_table))),NA(),_xlfn.xlookup(D$3,daily_items,_xlfn.xlookup($C2018,daily_dates,big_daily_table)))</f>
        <v>#NAME?</v>
      </c>
      <c r="E2018" s="1" t="e">
        <f aca="false" t="array" ref="E2018:E2018">IF(ISBLANK(_xlfn.xlookup(E$3,daily_items,_xlfn.xlookup($C2018,daily_dates,big_daily_table))),NA(),_xlfn.xlookup(E$3,daily_items,_xlfn.xlookup($C2018,daily_dates,big_daily_table)))</f>
        <v>#NAME?</v>
      </c>
    </row>
    <row r="2019" customFormat="false" ht="14.25" hidden="false" customHeight="false" outlineLevel="0" collapsed="false">
      <c r="B2019" s="7" t="n">
        <v>42924</v>
      </c>
      <c r="C2019" s="7" t="n">
        <f aca="false">B2019-WEEKDAY(B2019)+1</f>
        <v>42918</v>
      </c>
      <c r="D2019" s="1" t="e">
        <f aca="false" t="array" ref="D2019:D2019">IF(ISBLANK(_xlfn.xlookup(D$3,daily_items,_xlfn.xlookup($C2019,daily_dates,big_daily_table))),NA(),_xlfn.xlookup(D$3,daily_items,_xlfn.xlookup($C2019,daily_dates,big_daily_table)))</f>
        <v>#NAME?</v>
      </c>
      <c r="E2019" s="1" t="e">
        <f aca="false" t="array" ref="E2019:E2019">IF(ISBLANK(_xlfn.xlookup(E$3,daily_items,_xlfn.xlookup($C2019,daily_dates,big_daily_table))),NA(),_xlfn.xlookup(E$3,daily_items,_xlfn.xlookup($C2019,daily_dates,big_daily_table)))</f>
        <v>#NAME?</v>
      </c>
    </row>
    <row r="2020" customFormat="false" ht="14.25" hidden="false" customHeight="false" outlineLevel="0" collapsed="false">
      <c r="B2020" s="7" t="n">
        <v>42925</v>
      </c>
      <c r="C2020" s="7" t="n">
        <f aca="false">B2020-WEEKDAY(B2020)+1</f>
        <v>42925</v>
      </c>
      <c r="D2020" s="1" t="e">
        <f aca="false" t="array" ref="D2020:D2020">IF(ISBLANK(_xlfn.xlookup(D$3,daily_items,_xlfn.xlookup($C2020,daily_dates,big_daily_table))),NA(),_xlfn.xlookup(D$3,daily_items,_xlfn.xlookup($C2020,daily_dates,big_daily_table)))</f>
        <v>#NAME?</v>
      </c>
      <c r="E2020" s="1" t="e">
        <f aca="false" t="array" ref="E2020:E2020">IF(ISBLANK(_xlfn.xlookup(E$3,daily_items,_xlfn.xlookup($C2020,daily_dates,big_daily_table))),NA(),_xlfn.xlookup(E$3,daily_items,_xlfn.xlookup($C2020,daily_dates,big_daily_table)))</f>
        <v>#NAME?</v>
      </c>
    </row>
    <row r="2021" customFormat="false" ht="14.25" hidden="false" customHeight="false" outlineLevel="0" collapsed="false">
      <c r="B2021" s="7" t="n">
        <v>42926</v>
      </c>
      <c r="C2021" s="7" t="n">
        <f aca="false">B2021-WEEKDAY(B2021)+1</f>
        <v>42925</v>
      </c>
      <c r="D2021" s="1" t="e">
        <f aca="false" t="array" ref="D2021:D2021">IF(ISBLANK(_xlfn.xlookup(D$3,daily_items,_xlfn.xlookup($C2021,daily_dates,big_daily_table))),NA(),_xlfn.xlookup(D$3,daily_items,_xlfn.xlookup($C2021,daily_dates,big_daily_table)))</f>
        <v>#NAME?</v>
      </c>
      <c r="E2021" s="1" t="e">
        <f aca="false" t="array" ref="E2021:E2021">IF(ISBLANK(_xlfn.xlookup(E$3,daily_items,_xlfn.xlookup($C2021,daily_dates,big_daily_table))),NA(),_xlfn.xlookup(E$3,daily_items,_xlfn.xlookup($C2021,daily_dates,big_daily_table)))</f>
        <v>#NAME?</v>
      </c>
    </row>
    <row r="2022" customFormat="false" ht="14.25" hidden="false" customHeight="false" outlineLevel="0" collapsed="false">
      <c r="B2022" s="7" t="n">
        <v>42927</v>
      </c>
      <c r="C2022" s="7" t="n">
        <f aca="false">B2022-WEEKDAY(B2022)+1</f>
        <v>42925</v>
      </c>
      <c r="D2022" s="1" t="e">
        <f aca="false" t="array" ref="D2022:D2022">IF(ISBLANK(_xlfn.xlookup(D$3,daily_items,_xlfn.xlookup($C2022,daily_dates,big_daily_table))),NA(),_xlfn.xlookup(D$3,daily_items,_xlfn.xlookup($C2022,daily_dates,big_daily_table)))</f>
        <v>#NAME?</v>
      </c>
      <c r="E2022" s="1" t="e">
        <f aca="false" t="array" ref="E2022:E2022">IF(ISBLANK(_xlfn.xlookup(E$3,daily_items,_xlfn.xlookup($C2022,daily_dates,big_daily_table))),NA(),_xlfn.xlookup(E$3,daily_items,_xlfn.xlookup($C2022,daily_dates,big_daily_table)))</f>
        <v>#NAME?</v>
      </c>
    </row>
    <row r="2023" customFormat="false" ht="14.25" hidden="false" customHeight="false" outlineLevel="0" collapsed="false">
      <c r="B2023" s="7" t="n">
        <v>42928</v>
      </c>
      <c r="C2023" s="7" t="n">
        <f aca="false">B2023-WEEKDAY(B2023)+1</f>
        <v>42925</v>
      </c>
      <c r="D2023" s="1" t="e">
        <f aca="false" t="array" ref="D2023:D2023">IF(ISBLANK(_xlfn.xlookup(D$3,daily_items,_xlfn.xlookup($C2023,daily_dates,big_daily_table))),NA(),_xlfn.xlookup(D$3,daily_items,_xlfn.xlookup($C2023,daily_dates,big_daily_table)))</f>
        <v>#NAME?</v>
      </c>
      <c r="E2023" s="1" t="e">
        <f aca="false" t="array" ref="E2023:E2023">IF(ISBLANK(_xlfn.xlookup(E$3,daily_items,_xlfn.xlookup($C2023,daily_dates,big_daily_table))),NA(),_xlfn.xlookup(E$3,daily_items,_xlfn.xlookup($C2023,daily_dates,big_daily_table)))</f>
        <v>#NAME?</v>
      </c>
    </row>
    <row r="2024" customFormat="false" ht="14.25" hidden="false" customHeight="false" outlineLevel="0" collapsed="false">
      <c r="B2024" s="7" t="n">
        <v>42929</v>
      </c>
      <c r="C2024" s="7" t="n">
        <f aca="false">B2024-WEEKDAY(B2024)+1</f>
        <v>42925</v>
      </c>
      <c r="D2024" s="1" t="e">
        <f aca="false" t="array" ref="D2024:D2024">IF(ISBLANK(_xlfn.xlookup(D$3,daily_items,_xlfn.xlookup($C2024,daily_dates,big_daily_table))),NA(),_xlfn.xlookup(D$3,daily_items,_xlfn.xlookup($C2024,daily_dates,big_daily_table)))</f>
        <v>#NAME?</v>
      </c>
      <c r="E2024" s="1" t="e">
        <f aca="false" t="array" ref="E2024:E2024">IF(ISBLANK(_xlfn.xlookup(E$3,daily_items,_xlfn.xlookup($C2024,daily_dates,big_daily_table))),NA(),_xlfn.xlookup(E$3,daily_items,_xlfn.xlookup($C2024,daily_dates,big_daily_table)))</f>
        <v>#NAME?</v>
      </c>
    </row>
    <row r="2025" customFormat="false" ht="14.25" hidden="false" customHeight="false" outlineLevel="0" collapsed="false">
      <c r="B2025" s="7" t="n">
        <v>42930</v>
      </c>
      <c r="C2025" s="7" t="n">
        <f aca="false">B2025-WEEKDAY(B2025)+1</f>
        <v>42925</v>
      </c>
      <c r="D2025" s="1" t="e">
        <f aca="false" t="array" ref="D2025:D2025">IF(ISBLANK(_xlfn.xlookup(D$3,daily_items,_xlfn.xlookup($C2025,daily_dates,big_daily_table))),NA(),_xlfn.xlookup(D$3,daily_items,_xlfn.xlookup($C2025,daily_dates,big_daily_table)))</f>
        <v>#NAME?</v>
      </c>
      <c r="E2025" s="1" t="e">
        <f aca="false" t="array" ref="E2025:E2025">IF(ISBLANK(_xlfn.xlookup(E$3,daily_items,_xlfn.xlookup($C2025,daily_dates,big_daily_table))),NA(),_xlfn.xlookup(E$3,daily_items,_xlfn.xlookup($C2025,daily_dates,big_daily_table)))</f>
        <v>#NAME?</v>
      </c>
    </row>
    <row r="2026" customFormat="false" ht="14.25" hidden="false" customHeight="false" outlineLevel="0" collapsed="false">
      <c r="B2026" s="7" t="n">
        <v>42931</v>
      </c>
      <c r="C2026" s="7" t="n">
        <f aca="false">B2026-WEEKDAY(B2026)+1</f>
        <v>42925</v>
      </c>
      <c r="D2026" s="1" t="e">
        <f aca="false" t="array" ref="D2026:D2026">IF(ISBLANK(_xlfn.xlookup(D$3,daily_items,_xlfn.xlookup($C2026,daily_dates,big_daily_table))),NA(),_xlfn.xlookup(D$3,daily_items,_xlfn.xlookup($C2026,daily_dates,big_daily_table)))</f>
        <v>#NAME?</v>
      </c>
      <c r="E2026" s="1" t="e">
        <f aca="false" t="array" ref="E2026:E2026">IF(ISBLANK(_xlfn.xlookup(E$3,daily_items,_xlfn.xlookup($C2026,daily_dates,big_daily_table))),NA(),_xlfn.xlookup(E$3,daily_items,_xlfn.xlookup($C2026,daily_dates,big_daily_table)))</f>
        <v>#NAME?</v>
      </c>
    </row>
    <row r="2027" customFormat="false" ht="14.25" hidden="false" customHeight="false" outlineLevel="0" collapsed="false">
      <c r="B2027" s="7" t="n">
        <v>42932</v>
      </c>
      <c r="C2027" s="7" t="n">
        <f aca="false">B2027-WEEKDAY(B2027)+1</f>
        <v>42932</v>
      </c>
      <c r="D2027" s="1" t="e">
        <f aca="false" t="array" ref="D2027:D2027">IF(ISBLANK(_xlfn.xlookup(D$3,daily_items,_xlfn.xlookup($C2027,daily_dates,big_daily_table))),NA(),_xlfn.xlookup(D$3,daily_items,_xlfn.xlookup($C2027,daily_dates,big_daily_table)))</f>
        <v>#NAME?</v>
      </c>
      <c r="E2027" s="1" t="e">
        <f aca="false" t="array" ref="E2027:E2027">IF(ISBLANK(_xlfn.xlookup(E$3,daily_items,_xlfn.xlookup($C2027,daily_dates,big_daily_table))),NA(),_xlfn.xlookup(E$3,daily_items,_xlfn.xlookup($C2027,daily_dates,big_daily_table)))</f>
        <v>#NAME?</v>
      </c>
    </row>
    <row r="2028" customFormat="false" ht="14.25" hidden="false" customHeight="false" outlineLevel="0" collapsed="false">
      <c r="B2028" s="7" t="n">
        <v>42933</v>
      </c>
      <c r="C2028" s="7" t="n">
        <f aca="false">B2028-WEEKDAY(B2028)+1</f>
        <v>42932</v>
      </c>
      <c r="D2028" s="1" t="e">
        <f aca="false" t="array" ref="D2028:D2028">IF(ISBLANK(_xlfn.xlookup(D$3,daily_items,_xlfn.xlookup($C2028,daily_dates,big_daily_table))),NA(),_xlfn.xlookup(D$3,daily_items,_xlfn.xlookup($C2028,daily_dates,big_daily_table)))</f>
        <v>#NAME?</v>
      </c>
      <c r="E2028" s="1" t="e">
        <f aca="false" t="array" ref="E2028:E2028">IF(ISBLANK(_xlfn.xlookup(E$3,daily_items,_xlfn.xlookup($C2028,daily_dates,big_daily_table))),NA(),_xlfn.xlookup(E$3,daily_items,_xlfn.xlookup($C2028,daily_dates,big_daily_table)))</f>
        <v>#NAME?</v>
      </c>
    </row>
    <row r="2029" customFormat="false" ht="14.25" hidden="false" customHeight="false" outlineLevel="0" collapsed="false">
      <c r="B2029" s="7" t="n">
        <v>42934</v>
      </c>
      <c r="C2029" s="7" t="n">
        <f aca="false">B2029-WEEKDAY(B2029)+1</f>
        <v>42932</v>
      </c>
      <c r="D2029" s="1" t="e">
        <f aca="false" t="array" ref="D2029:D2029">IF(ISBLANK(_xlfn.xlookup(D$3,daily_items,_xlfn.xlookup($C2029,daily_dates,big_daily_table))),NA(),_xlfn.xlookup(D$3,daily_items,_xlfn.xlookup($C2029,daily_dates,big_daily_table)))</f>
        <v>#NAME?</v>
      </c>
      <c r="E2029" s="1" t="e">
        <f aca="false" t="array" ref="E2029:E2029">IF(ISBLANK(_xlfn.xlookup(E$3,daily_items,_xlfn.xlookup($C2029,daily_dates,big_daily_table))),NA(),_xlfn.xlookup(E$3,daily_items,_xlfn.xlookup($C2029,daily_dates,big_daily_table)))</f>
        <v>#NAME?</v>
      </c>
    </row>
    <row r="2030" customFormat="false" ht="14.25" hidden="false" customHeight="false" outlineLevel="0" collapsed="false">
      <c r="B2030" s="7" t="n">
        <v>42935</v>
      </c>
      <c r="C2030" s="7" t="n">
        <f aca="false">B2030-WEEKDAY(B2030)+1</f>
        <v>42932</v>
      </c>
      <c r="D2030" s="1" t="e">
        <f aca="false" t="array" ref="D2030:D2030">IF(ISBLANK(_xlfn.xlookup(D$3,daily_items,_xlfn.xlookup($C2030,daily_dates,big_daily_table))),NA(),_xlfn.xlookup(D$3,daily_items,_xlfn.xlookup($C2030,daily_dates,big_daily_table)))</f>
        <v>#NAME?</v>
      </c>
      <c r="E2030" s="1" t="e">
        <f aca="false" t="array" ref="E2030:E2030">IF(ISBLANK(_xlfn.xlookup(E$3,daily_items,_xlfn.xlookup($C2030,daily_dates,big_daily_table))),NA(),_xlfn.xlookup(E$3,daily_items,_xlfn.xlookup($C2030,daily_dates,big_daily_table)))</f>
        <v>#NAME?</v>
      </c>
    </row>
    <row r="2031" customFormat="false" ht="14.25" hidden="false" customHeight="false" outlineLevel="0" collapsed="false">
      <c r="B2031" s="7" t="n">
        <v>42936</v>
      </c>
      <c r="C2031" s="7" t="n">
        <f aca="false">B2031-WEEKDAY(B2031)+1</f>
        <v>42932</v>
      </c>
      <c r="D2031" s="1" t="e">
        <f aca="false" t="array" ref="D2031:D2031">IF(ISBLANK(_xlfn.xlookup(D$3,daily_items,_xlfn.xlookup($C2031,daily_dates,big_daily_table))),NA(),_xlfn.xlookup(D$3,daily_items,_xlfn.xlookup($C2031,daily_dates,big_daily_table)))</f>
        <v>#NAME?</v>
      </c>
      <c r="E2031" s="1" t="e">
        <f aca="false" t="array" ref="E2031:E2031">IF(ISBLANK(_xlfn.xlookup(E$3,daily_items,_xlfn.xlookup($C2031,daily_dates,big_daily_table))),NA(),_xlfn.xlookup(E$3,daily_items,_xlfn.xlookup($C2031,daily_dates,big_daily_table)))</f>
        <v>#NAME?</v>
      </c>
    </row>
    <row r="2032" customFormat="false" ht="14.25" hidden="false" customHeight="false" outlineLevel="0" collapsed="false">
      <c r="B2032" s="7" t="n">
        <v>42937</v>
      </c>
      <c r="C2032" s="7" t="n">
        <f aca="false">B2032-WEEKDAY(B2032)+1</f>
        <v>42932</v>
      </c>
      <c r="D2032" s="1" t="e">
        <f aca="false" t="array" ref="D2032:D2032">IF(ISBLANK(_xlfn.xlookup(D$3,daily_items,_xlfn.xlookup($C2032,daily_dates,big_daily_table))),NA(),_xlfn.xlookup(D$3,daily_items,_xlfn.xlookup($C2032,daily_dates,big_daily_table)))</f>
        <v>#NAME?</v>
      </c>
      <c r="E2032" s="1" t="e">
        <f aca="false" t="array" ref="E2032:E2032">IF(ISBLANK(_xlfn.xlookup(E$3,daily_items,_xlfn.xlookup($C2032,daily_dates,big_daily_table))),NA(),_xlfn.xlookup(E$3,daily_items,_xlfn.xlookup($C2032,daily_dates,big_daily_table)))</f>
        <v>#NAME?</v>
      </c>
    </row>
    <row r="2033" customFormat="false" ht="14.25" hidden="false" customHeight="false" outlineLevel="0" collapsed="false">
      <c r="B2033" s="7" t="n">
        <v>42938</v>
      </c>
      <c r="C2033" s="7" t="n">
        <f aca="false">B2033-WEEKDAY(B2033)+1</f>
        <v>42932</v>
      </c>
      <c r="D2033" s="1" t="e">
        <f aca="false" t="array" ref="D2033:D2033">IF(ISBLANK(_xlfn.xlookup(D$3,daily_items,_xlfn.xlookup($C2033,daily_dates,big_daily_table))),NA(),_xlfn.xlookup(D$3,daily_items,_xlfn.xlookup($C2033,daily_dates,big_daily_table)))</f>
        <v>#NAME?</v>
      </c>
      <c r="E2033" s="1" t="e">
        <f aca="false" t="array" ref="E2033:E2033">IF(ISBLANK(_xlfn.xlookup(E$3,daily_items,_xlfn.xlookup($C2033,daily_dates,big_daily_table))),NA(),_xlfn.xlookup(E$3,daily_items,_xlfn.xlookup($C2033,daily_dates,big_daily_table)))</f>
        <v>#NAME?</v>
      </c>
    </row>
    <row r="2034" customFormat="false" ht="14.25" hidden="false" customHeight="false" outlineLevel="0" collapsed="false">
      <c r="B2034" s="7" t="n">
        <v>42939</v>
      </c>
      <c r="C2034" s="7" t="n">
        <f aca="false">B2034-WEEKDAY(B2034)+1</f>
        <v>42939</v>
      </c>
      <c r="D2034" s="1" t="e">
        <f aca="false" t="array" ref="D2034:D2034">IF(ISBLANK(_xlfn.xlookup(D$3,daily_items,_xlfn.xlookup($C2034,daily_dates,big_daily_table))),NA(),_xlfn.xlookup(D$3,daily_items,_xlfn.xlookup($C2034,daily_dates,big_daily_table)))</f>
        <v>#NAME?</v>
      </c>
      <c r="E2034" s="1" t="e">
        <f aca="false" t="array" ref="E2034:E2034">IF(ISBLANK(_xlfn.xlookup(E$3,daily_items,_xlfn.xlookup($C2034,daily_dates,big_daily_table))),NA(),_xlfn.xlookup(E$3,daily_items,_xlfn.xlookup($C2034,daily_dates,big_daily_table)))</f>
        <v>#NAME?</v>
      </c>
    </row>
    <row r="2035" customFormat="false" ht="14.25" hidden="false" customHeight="false" outlineLevel="0" collapsed="false">
      <c r="B2035" s="7" t="n">
        <v>42940</v>
      </c>
      <c r="C2035" s="7" t="n">
        <f aca="false">B2035-WEEKDAY(B2035)+1</f>
        <v>42939</v>
      </c>
      <c r="D2035" s="1" t="e">
        <f aca="false" t="array" ref="D2035:D2035">IF(ISBLANK(_xlfn.xlookup(D$3,daily_items,_xlfn.xlookup($C2035,daily_dates,big_daily_table))),NA(),_xlfn.xlookup(D$3,daily_items,_xlfn.xlookup($C2035,daily_dates,big_daily_table)))</f>
        <v>#NAME?</v>
      </c>
      <c r="E2035" s="1" t="e">
        <f aca="false" t="array" ref="E2035:E2035">IF(ISBLANK(_xlfn.xlookup(E$3,daily_items,_xlfn.xlookup($C2035,daily_dates,big_daily_table))),NA(),_xlfn.xlookup(E$3,daily_items,_xlfn.xlookup($C2035,daily_dates,big_daily_table)))</f>
        <v>#NAME?</v>
      </c>
    </row>
    <row r="2036" customFormat="false" ht="14.25" hidden="false" customHeight="false" outlineLevel="0" collapsed="false">
      <c r="B2036" s="7" t="n">
        <v>42941</v>
      </c>
      <c r="C2036" s="7" t="n">
        <f aca="false">B2036-WEEKDAY(B2036)+1</f>
        <v>42939</v>
      </c>
      <c r="D2036" s="1" t="e">
        <f aca="false" t="array" ref="D2036:D2036">IF(ISBLANK(_xlfn.xlookup(D$3,daily_items,_xlfn.xlookup($C2036,daily_dates,big_daily_table))),NA(),_xlfn.xlookup(D$3,daily_items,_xlfn.xlookup($C2036,daily_dates,big_daily_table)))</f>
        <v>#NAME?</v>
      </c>
      <c r="E2036" s="1" t="e">
        <f aca="false" t="array" ref="E2036:E2036">IF(ISBLANK(_xlfn.xlookup(E$3,daily_items,_xlfn.xlookup($C2036,daily_dates,big_daily_table))),NA(),_xlfn.xlookup(E$3,daily_items,_xlfn.xlookup($C2036,daily_dates,big_daily_table)))</f>
        <v>#NAME?</v>
      </c>
    </row>
    <row r="2037" customFormat="false" ht="14.25" hidden="false" customHeight="false" outlineLevel="0" collapsed="false">
      <c r="B2037" s="7" t="n">
        <v>42942</v>
      </c>
      <c r="C2037" s="7" t="n">
        <f aca="false">B2037-WEEKDAY(B2037)+1</f>
        <v>42939</v>
      </c>
      <c r="D2037" s="1" t="e">
        <f aca="false" t="array" ref="D2037:D2037">IF(ISBLANK(_xlfn.xlookup(D$3,daily_items,_xlfn.xlookup($C2037,daily_dates,big_daily_table))),NA(),_xlfn.xlookup(D$3,daily_items,_xlfn.xlookup($C2037,daily_dates,big_daily_table)))</f>
        <v>#NAME?</v>
      </c>
      <c r="E2037" s="1" t="e">
        <f aca="false" t="array" ref="E2037:E2037">IF(ISBLANK(_xlfn.xlookup(E$3,daily_items,_xlfn.xlookup($C2037,daily_dates,big_daily_table))),NA(),_xlfn.xlookup(E$3,daily_items,_xlfn.xlookup($C2037,daily_dates,big_daily_table)))</f>
        <v>#NAME?</v>
      </c>
    </row>
    <row r="2038" customFormat="false" ht="14.25" hidden="false" customHeight="false" outlineLevel="0" collapsed="false">
      <c r="B2038" s="7" t="n">
        <v>42943</v>
      </c>
      <c r="C2038" s="7" t="n">
        <f aca="false">B2038-WEEKDAY(B2038)+1</f>
        <v>42939</v>
      </c>
      <c r="D2038" s="1" t="e">
        <f aca="false" t="array" ref="D2038:D2038">IF(ISBLANK(_xlfn.xlookup(D$3,daily_items,_xlfn.xlookup($C2038,daily_dates,big_daily_table))),NA(),_xlfn.xlookup(D$3,daily_items,_xlfn.xlookup($C2038,daily_dates,big_daily_table)))</f>
        <v>#NAME?</v>
      </c>
      <c r="E2038" s="1" t="e">
        <f aca="false" t="array" ref="E2038:E2038">IF(ISBLANK(_xlfn.xlookup(E$3,daily_items,_xlfn.xlookup($C2038,daily_dates,big_daily_table))),NA(),_xlfn.xlookup(E$3,daily_items,_xlfn.xlookup($C2038,daily_dates,big_daily_table)))</f>
        <v>#NAME?</v>
      </c>
    </row>
    <row r="2039" customFormat="false" ht="14.25" hidden="false" customHeight="false" outlineLevel="0" collapsed="false">
      <c r="B2039" s="7" t="n">
        <v>42944</v>
      </c>
      <c r="C2039" s="7" t="n">
        <f aca="false">B2039-WEEKDAY(B2039)+1</f>
        <v>42939</v>
      </c>
      <c r="D2039" s="1" t="e">
        <f aca="false" t="array" ref="D2039:D2039">IF(ISBLANK(_xlfn.xlookup(D$3,daily_items,_xlfn.xlookup($C2039,daily_dates,big_daily_table))),NA(),_xlfn.xlookup(D$3,daily_items,_xlfn.xlookup($C2039,daily_dates,big_daily_table)))</f>
        <v>#NAME?</v>
      </c>
      <c r="E2039" s="1" t="e">
        <f aca="false" t="array" ref="E2039:E2039">IF(ISBLANK(_xlfn.xlookup(E$3,daily_items,_xlfn.xlookup($C2039,daily_dates,big_daily_table))),NA(),_xlfn.xlookup(E$3,daily_items,_xlfn.xlookup($C2039,daily_dates,big_daily_table)))</f>
        <v>#NAME?</v>
      </c>
    </row>
    <row r="2040" customFormat="false" ht="14.25" hidden="false" customHeight="false" outlineLevel="0" collapsed="false">
      <c r="B2040" s="7" t="n">
        <v>42945</v>
      </c>
      <c r="C2040" s="7" t="n">
        <f aca="false">B2040-WEEKDAY(B2040)+1</f>
        <v>42939</v>
      </c>
      <c r="D2040" s="1" t="e">
        <f aca="false" t="array" ref="D2040:D2040">IF(ISBLANK(_xlfn.xlookup(D$3,daily_items,_xlfn.xlookup($C2040,daily_dates,big_daily_table))),NA(),_xlfn.xlookup(D$3,daily_items,_xlfn.xlookup($C2040,daily_dates,big_daily_table)))</f>
        <v>#NAME?</v>
      </c>
      <c r="E2040" s="1" t="e">
        <f aca="false" t="array" ref="E2040:E2040">IF(ISBLANK(_xlfn.xlookup(E$3,daily_items,_xlfn.xlookup($C2040,daily_dates,big_daily_table))),NA(),_xlfn.xlookup(E$3,daily_items,_xlfn.xlookup($C2040,daily_dates,big_daily_table)))</f>
        <v>#NAME?</v>
      </c>
    </row>
    <row r="2041" customFormat="false" ht="14.25" hidden="false" customHeight="false" outlineLevel="0" collapsed="false">
      <c r="B2041" s="7" t="n">
        <v>42946</v>
      </c>
      <c r="C2041" s="7" t="n">
        <f aca="false">B2041-WEEKDAY(B2041)+1</f>
        <v>42946</v>
      </c>
      <c r="D2041" s="1" t="e">
        <f aca="false" t="array" ref="D2041:D2041">IF(ISBLANK(_xlfn.xlookup(D$3,daily_items,_xlfn.xlookup($C2041,daily_dates,big_daily_table))),NA(),_xlfn.xlookup(D$3,daily_items,_xlfn.xlookup($C2041,daily_dates,big_daily_table)))</f>
        <v>#NAME?</v>
      </c>
      <c r="E2041" s="1" t="e">
        <f aca="false" t="array" ref="E2041:E2041">IF(ISBLANK(_xlfn.xlookup(E$3,daily_items,_xlfn.xlookup($C2041,daily_dates,big_daily_table))),NA(),_xlfn.xlookup(E$3,daily_items,_xlfn.xlookup($C2041,daily_dates,big_daily_table)))</f>
        <v>#NAME?</v>
      </c>
    </row>
    <row r="2042" customFormat="false" ht="14.25" hidden="false" customHeight="false" outlineLevel="0" collapsed="false">
      <c r="B2042" s="7" t="n">
        <v>42947</v>
      </c>
      <c r="C2042" s="7" t="n">
        <f aca="false">B2042-WEEKDAY(B2042)+1</f>
        <v>42946</v>
      </c>
      <c r="D2042" s="1" t="e">
        <f aca="false" t="array" ref="D2042:D2042">IF(ISBLANK(_xlfn.xlookup(D$3,daily_items,_xlfn.xlookup($C2042,daily_dates,big_daily_table))),NA(),_xlfn.xlookup(D$3,daily_items,_xlfn.xlookup($C2042,daily_dates,big_daily_table)))</f>
        <v>#NAME?</v>
      </c>
      <c r="E2042" s="1" t="e">
        <f aca="false" t="array" ref="E2042:E2042">IF(ISBLANK(_xlfn.xlookup(E$3,daily_items,_xlfn.xlookup($C2042,daily_dates,big_daily_table))),NA(),_xlfn.xlookup(E$3,daily_items,_xlfn.xlookup($C2042,daily_dates,big_daily_table)))</f>
        <v>#NAME?</v>
      </c>
    </row>
    <row r="2043" customFormat="false" ht="14.25" hidden="false" customHeight="false" outlineLevel="0" collapsed="false">
      <c r="B2043" s="7" t="n">
        <v>42948</v>
      </c>
      <c r="C2043" s="7" t="n">
        <f aca="false">B2043-WEEKDAY(B2043)+1</f>
        <v>42946</v>
      </c>
      <c r="D2043" s="1" t="e">
        <f aca="false" t="array" ref="D2043:D2043">IF(ISBLANK(_xlfn.xlookup(D$3,daily_items,_xlfn.xlookup($C2043,daily_dates,big_daily_table))),NA(),_xlfn.xlookup(D$3,daily_items,_xlfn.xlookup($C2043,daily_dates,big_daily_table)))</f>
        <v>#NAME?</v>
      </c>
      <c r="E2043" s="1" t="e">
        <f aca="false" t="array" ref="E2043:E2043">IF(ISBLANK(_xlfn.xlookup(E$3,daily_items,_xlfn.xlookup($C2043,daily_dates,big_daily_table))),NA(),_xlfn.xlookup(E$3,daily_items,_xlfn.xlookup($C2043,daily_dates,big_daily_table)))</f>
        <v>#NAME?</v>
      </c>
    </row>
    <row r="2044" customFormat="false" ht="14.25" hidden="false" customHeight="false" outlineLevel="0" collapsed="false">
      <c r="B2044" s="7" t="n">
        <v>42949</v>
      </c>
      <c r="C2044" s="7" t="n">
        <f aca="false">B2044-WEEKDAY(B2044)+1</f>
        <v>42946</v>
      </c>
      <c r="D2044" s="1" t="e">
        <f aca="false" t="array" ref="D2044:D2044">IF(ISBLANK(_xlfn.xlookup(D$3,daily_items,_xlfn.xlookup($C2044,daily_dates,big_daily_table))),NA(),_xlfn.xlookup(D$3,daily_items,_xlfn.xlookup($C2044,daily_dates,big_daily_table)))</f>
        <v>#NAME?</v>
      </c>
      <c r="E2044" s="1" t="e">
        <f aca="false" t="array" ref="E2044:E2044">IF(ISBLANK(_xlfn.xlookup(E$3,daily_items,_xlfn.xlookup($C2044,daily_dates,big_daily_table))),NA(),_xlfn.xlookup(E$3,daily_items,_xlfn.xlookup($C2044,daily_dates,big_daily_table)))</f>
        <v>#NAME?</v>
      </c>
    </row>
    <row r="2045" customFormat="false" ht="14.25" hidden="false" customHeight="false" outlineLevel="0" collapsed="false">
      <c r="B2045" s="7" t="n">
        <v>42950</v>
      </c>
      <c r="C2045" s="7" t="n">
        <f aca="false">B2045-WEEKDAY(B2045)+1</f>
        <v>42946</v>
      </c>
      <c r="D2045" s="1" t="e">
        <f aca="false" t="array" ref="D2045:D2045">IF(ISBLANK(_xlfn.xlookup(D$3,daily_items,_xlfn.xlookup($C2045,daily_dates,big_daily_table))),NA(),_xlfn.xlookup(D$3,daily_items,_xlfn.xlookup($C2045,daily_dates,big_daily_table)))</f>
        <v>#NAME?</v>
      </c>
      <c r="E2045" s="1" t="e">
        <f aca="false" t="array" ref="E2045:E2045">IF(ISBLANK(_xlfn.xlookup(E$3,daily_items,_xlfn.xlookup($C2045,daily_dates,big_daily_table))),NA(),_xlfn.xlookup(E$3,daily_items,_xlfn.xlookup($C2045,daily_dates,big_daily_table)))</f>
        <v>#NAME?</v>
      </c>
    </row>
    <row r="2046" customFormat="false" ht="14.25" hidden="false" customHeight="false" outlineLevel="0" collapsed="false">
      <c r="B2046" s="7" t="n">
        <v>42951</v>
      </c>
      <c r="C2046" s="7" t="n">
        <f aca="false">B2046-WEEKDAY(B2046)+1</f>
        <v>42946</v>
      </c>
      <c r="D2046" s="1" t="e">
        <f aca="false" t="array" ref="D2046:D2046">IF(ISBLANK(_xlfn.xlookup(D$3,daily_items,_xlfn.xlookup($C2046,daily_dates,big_daily_table))),NA(),_xlfn.xlookup(D$3,daily_items,_xlfn.xlookup($C2046,daily_dates,big_daily_table)))</f>
        <v>#NAME?</v>
      </c>
      <c r="E2046" s="1" t="e">
        <f aca="false" t="array" ref="E2046:E2046">IF(ISBLANK(_xlfn.xlookup(E$3,daily_items,_xlfn.xlookup($C2046,daily_dates,big_daily_table))),NA(),_xlfn.xlookup(E$3,daily_items,_xlfn.xlookup($C2046,daily_dates,big_daily_table)))</f>
        <v>#NAME?</v>
      </c>
    </row>
    <row r="2047" customFormat="false" ht="14.25" hidden="false" customHeight="false" outlineLevel="0" collapsed="false">
      <c r="B2047" s="7" t="n">
        <v>42952</v>
      </c>
      <c r="C2047" s="7" t="n">
        <f aca="false">B2047-WEEKDAY(B2047)+1</f>
        <v>42946</v>
      </c>
      <c r="D2047" s="1" t="e">
        <f aca="false" t="array" ref="D2047:D2047">IF(ISBLANK(_xlfn.xlookup(D$3,daily_items,_xlfn.xlookup($C2047,daily_dates,big_daily_table))),NA(),_xlfn.xlookup(D$3,daily_items,_xlfn.xlookup($C2047,daily_dates,big_daily_table)))</f>
        <v>#NAME?</v>
      </c>
      <c r="E2047" s="1" t="e">
        <f aca="false" t="array" ref="E2047:E2047">IF(ISBLANK(_xlfn.xlookup(E$3,daily_items,_xlfn.xlookup($C2047,daily_dates,big_daily_table))),NA(),_xlfn.xlookup(E$3,daily_items,_xlfn.xlookup($C2047,daily_dates,big_daily_table)))</f>
        <v>#NAME?</v>
      </c>
    </row>
    <row r="2048" customFormat="false" ht="14.25" hidden="false" customHeight="false" outlineLevel="0" collapsed="false">
      <c r="B2048" s="7" t="n">
        <v>42953</v>
      </c>
      <c r="C2048" s="7" t="n">
        <f aca="false">B2048-WEEKDAY(B2048)+1</f>
        <v>42953</v>
      </c>
      <c r="D2048" s="1" t="e">
        <f aca="false" t="array" ref="D2048:D2048">IF(ISBLANK(_xlfn.xlookup(D$3,daily_items,_xlfn.xlookup($C2048,daily_dates,big_daily_table))),NA(),_xlfn.xlookup(D$3,daily_items,_xlfn.xlookup($C2048,daily_dates,big_daily_table)))</f>
        <v>#NAME?</v>
      </c>
      <c r="E2048" s="1" t="e">
        <f aca="false" t="array" ref="E2048:E2048">IF(ISBLANK(_xlfn.xlookup(E$3,daily_items,_xlfn.xlookup($C2048,daily_dates,big_daily_table))),NA(),_xlfn.xlookup(E$3,daily_items,_xlfn.xlookup($C2048,daily_dates,big_daily_table)))</f>
        <v>#NAME?</v>
      </c>
    </row>
    <row r="2049" customFormat="false" ht="14.25" hidden="false" customHeight="false" outlineLevel="0" collapsed="false">
      <c r="B2049" s="7" t="n">
        <v>42954</v>
      </c>
      <c r="C2049" s="7" t="n">
        <f aca="false">B2049-WEEKDAY(B2049)+1</f>
        <v>42953</v>
      </c>
      <c r="D2049" s="1" t="e">
        <f aca="false" t="array" ref="D2049:D2049">IF(ISBLANK(_xlfn.xlookup(D$3,daily_items,_xlfn.xlookup($C2049,daily_dates,big_daily_table))),NA(),_xlfn.xlookup(D$3,daily_items,_xlfn.xlookup($C2049,daily_dates,big_daily_table)))</f>
        <v>#NAME?</v>
      </c>
      <c r="E2049" s="1" t="e">
        <f aca="false" t="array" ref="E2049:E2049">IF(ISBLANK(_xlfn.xlookup(E$3,daily_items,_xlfn.xlookup($C2049,daily_dates,big_daily_table))),NA(),_xlfn.xlookup(E$3,daily_items,_xlfn.xlookup($C2049,daily_dates,big_daily_table)))</f>
        <v>#NAME?</v>
      </c>
    </row>
    <row r="2050" customFormat="false" ht="14.25" hidden="false" customHeight="false" outlineLevel="0" collapsed="false">
      <c r="B2050" s="7" t="n">
        <v>42955</v>
      </c>
      <c r="C2050" s="7" t="n">
        <f aca="false">B2050-WEEKDAY(B2050)+1</f>
        <v>42953</v>
      </c>
      <c r="D2050" s="1" t="e">
        <f aca="false" t="array" ref="D2050:D2050">IF(ISBLANK(_xlfn.xlookup(D$3,daily_items,_xlfn.xlookup($C2050,daily_dates,big_daily_table))),NA(),_xlfn.xlookup(D$3,daily_items,_xlfn.xlookup($C2050,daily_dates,big_daily_table)))</f>
        <v>#NAME?</v>
      </c>
      <c r="E2050" s="1" t="e">
        <f aca="false" t="array" ref="E2050:E2050">IF(ISBLANK(_xlfn.xlookup(E$3,daily_items,_xlfn.xlookup($C2050,daily_dates,big_daily_table))),NA(),_xlfn.xlookup(E$3,daily_items,_xlfn.xlookup($C2050,daily_dates,big_daily_table)))</f>
        <v>#NAME?</v>
      </c>
    </row>
    <row r="2051" customFormat="false" ht="14.25" hidden="false" customHeight="false" outlineLevel="0" collapsed="false">
      <c r="B2051" s="7" t="n">
        <v>42956</v>
      </c>
      <c r="C2051" s="7" t="n">
        <f aca="false">B2051-WEEKDAY(B2051)+1</f>
        <v>42953</v>
      </c>
      <c r="D2051" s="1" t="e">
        <f aca="false" t="array" ref="D2051:D2051">IF(ISBLANK(_xlfn.xlookup(D$3,daily_items,_xlfn.xlookup($C2051,daily_dates,big_daily_table))),NA(),_xlfn.xlookup(D$3,daily_items,_xlfn.xlookup($C2051,daily_dates,big_daily_table)))</f>
        <v>#NAME?</v>
      </c>
      <c r="E2051" s="1" t="e">
        <f aca="false" t="array" ref="E2051:E2051">IF(ISBLANK(_xlfn.xlookup(E$3,daily_items,_xlfn.xlookup($C2051,daily_dates,big_daily_table))),NA(),_xlfn.xlookup(E$3,daily_items,_xlfn.xlookup($C2051,daily_dates,big_daily_table)))</f>
        <v>#NAME?</v>
      </c>
    </row>
    <row r="2052" customFormat="false" ht="14.25" hidden="false" customHeight="false" outlineLevel="0" collapsed="false">
      <c r="B2052" s="7" t="n">
        <v>42957</v>
      </c>
      <c r="C2052" s="7" t="n">
        <f aca="false">B2052-WEEKDAY(B2052)+1</f>
        <v>42953</v>
      </c>
      <c r="D2052" s="1" t="e">
        <f aca="false" t="array" ref="D2052:D2052">IF(ISBLANK(_xlfn.xlookup(D$3,daily_items,_xlfn.xlookup($C2052,daily_dates,big_daily_table))),NA(),_xlfn.xlookup(D$3,daily_items,_xlfn.xlookup($C2052,daily_dates,big_daily_table)))</f>
        <v>#NAME?</v>
      </c>
      <c r="E2052" s="1" t="e">
        <f aca="false" t="array" ref="E2052:E2052">IF(ISBLANK(_xlfn.xlookup(E$3,daily_items,_xlfn.xlookup($C2052,daily_dates,big_daily_table))),NA(),_xlfn.xlookup(E$3,daily_items,_xlfn.xlookup($C2052,daily_dates,big_daily_table)))</f>
        <v>#NAME?</v>
      </c>
    </row>
    <row r="2053" customFormat="false" ht="14.25" hidden="false" customHeight="false" outlineLevel="0" collapsed="false">
      <c r="B2053" s="7" t="n">
        <v>42958</v>
      </c>
      <c r="C2053" s="7" t="n">
        <f aca="false">B2053-WEEKDAY(B2053)+1</f>
        <v>42953</v>
      </c>
      <c r="D2053" s="1" t="e">
        <f aca="false" t="array" ref="D2053:D2053">IF(ISBLANK(_xlfn.xlookup(D$3,daily_items,_xlfn.xlookup($C2053,daily_dates,big_daily_table))),NA(),_xlfn.xlookup(D$3,daily_items,_xlfn.xlookup($C2053,daily_dates,big_daily_table)))</f>
        <v>#NAME?</v>
      </c>
      <c r="E2053" s="1" t="e">
        <f aca="false" t="array" ref="E2053:E2053">IF(ISBLANK(_xlfn.xlookup(E$3,daily_items,_xlfn.xlookup($C2053,daily_dates,big_daily_table))),NA(),_xlfn.xlookup(E$3,daily_items,_xlfn.xlookup($C2053,daily_dates,big_daily_table)))</f>
        <v>#NAME?</v>
      </c>
    </row>
    <row r="2054" customFormat="false" ht="14.25" hidden="false" customHeight="false" outlineLevel="0" collapsed="false">
      <c r="B2054" s="7" t="n">
        <v>42959</v>
      </c>
      <c r="C2054" s="7" t="n">
        <f aca="false">B2054-WEEKDAY(B2054)+1</f>
        <v>42953</v>
      </c>
      <c r="D2054" s="1" t="e">
        <f aca="false" t="array" ref="D2054:D2054">IF(ISBLANK(_xlfn.xlookup(D$3,daily_items,_xlfn.xlookup($C2054,daily_dates,big_daily_table))),NA(),_xlfn.xlookup(D$3,daily_items,_xlfn.xlookup($C2054,daily_dates,big_daily_table)))</f>
        <v>#NAME?</v>
      </c>
      <c r="E2054" s="1" t="e">
        <f aca="false" t="array" ref="E2054:E2054">IF(ISBLANK(_xlfn.xlookup(E$3,daily_items,_xlfn.xlookup($C2054,daily_dates,big_daily_table))),NA(),_xlfn.xlookup(E$3,daily_items,_xlfn.xlookup($C2054,daily_dates,big_daily_table)))</f>
        <v>#NAME?</v>
      </c>
    </row>
    <row r="2055" customFormat="false" ht="14.25" hidden="false" customHeight="false" outlineLevel="0" collapsed="false">
      <c r="B2055" s="7" t="n">
        <v>42960</v>
      </c>
      <c r="C2055" s="7" t="n">
        <f aca="false">B2055-WEEKDAY(B2055)+1</f>
        <v>42960</v>
      </c>
      <c r="D2055" s="1" t="e">
        <f aca="false" t="array" ref="D2055:D2055">IF(ISBLANK(_xlfn.xlookup(D$3,daily_items,_xlfn.xlookup($C2055,daily_dates,big_daily_table))),NA(),_xlfn.xlookup(D$3,daily_items,_xlfn.xlookup($C2055,daily_dates,big_daily_table)))</f>
        <v>#NAME?</v>
      </c>
      <c r="E2055" s="1" t="e">
        <f aca="false" t="array" ref="E2055:E2055">IF(ISBLANK(_xlfn.xlookup(E$3,daily_items,_xlfn.xlookup($C2055,daily_dates,big_daily_table))),NA(),_xlfn.xlookup(E$3,daily_items,_xlfn.xlookup($C2055,daily_dates,big_daily_table)))</f>
        <v>#NAME?</v>
      </c>
    </row>
    <row r="2056" customFormat="false" ht="14.25" hidden="false" customHeight="false" outlineLevel="0" collapsed="false">
      <c r="B2056" s="7" t="n">
        <v>42961</v>
      </c>
      <c r="C2056" s="7" t="n">
        <f aca="false">B2056-WEEKDAY(B2056)+1</f>
        <v>42960</v>
      </c>
      <c r="D2056" s="1" t="e">
        <f aca="false" t="array" ref="D2056:D2056">IF(ISBLANK(_xlfn.xlookup(D$3,daily_items,_xlfn.xlookup($C2056,daily_dates,big_daily_table))),NA(),_xlfn.xlookup(D$3,daily_items,_xlfn.xlookup($C2056,daily_dates,big_daily_table)))</f>
        <v>#NAME?</v>
      </c>
      <c r="E2056" s="1" t="e">
        <f aca="false" t="array" ref="E2056:E2056">IF(ISBLANK(_xlfn.xlookup(E$3,daily_items,_xlfn.xlookup($C2056,daily_dates,big_daily_table))),NA(),_xlfn.xlookup(E$3,daily_items,_xlfn.xlookup($C2056,daily_dates,big_daily_table)))</f>
        <v>#NAME?</v>
      </c>
    </row>
    <row r="2057" customFormat="false" ht="14.25" hidden="false" customHeight="false" outlineLevel="0" collapsed="false">
      <c r="B2057" s="7" t="n">
        <v>42962</v>
      </c>
      <c r="C2057" s="7" t="n">
        <f aca="false">B2057-WEEKDAY(B2057)+1</f>
        <v>42960</v>
      </c>
      <c r="D2057" s="1" t="e">
        <f aca="false" t="array" ref="D2057:D2057">IF(ISBLANK(_xlfn.xlookup(D$3,daily_items,_xlfn.xlookup($C2057,daily_dates,big_daily_table))),NA(),_xlfn.xlookup(D$3,daily_items,_xlfn.xlookup($C2057,daily_dates,big_daily_table)))</f>
        <v>#NAME?</v>
      </c>
      <c r="E2057" s="1" t="e">
        <f aca="false" t="array" ref="E2057:E2057">IF(ISBLANK(_xlfn.xlookup(E$3,daily_items,_xlfn.xlookup($C2057,daily_dates,big_daily_table))),NA(),_xlfn.xlookup(E$3,daily_items,_xlfn.xlookup($C2057,daily_dates,big_daily_table)))</f>
        <v>#NAME?</v>
      </c>
    </row>
    <row r="2058" customFormat="false" ht="14.25" hidden="false" customHeight="false" outlineLevel="0" collapsed="false">
      <c r="B2058" s="7" t="n">
        <v>42963</v>
      </c>
      <c r="C2058" s="7" t="n">
        <f aca="false">B2058-WEEKDAY(B2058)+1</f>
        <v>42960</v>
      </c>
      <c r="D2058" s="1" t="e">
        <f aca="false" t="array" ref="D2058:D2058">IF(ISBLANK(_xlfn.xlookup(D$3,daily_items,_xlfn.xlookup($C2058,daily_dates,big_daily_table))),NA(),_xlfn.xlookup(D$3,daily_items,_xlfn.xlookup($C2058,daily_dates,big_daily_table)))</f>
        <v>#NAME?</v>
      </c>
      <c r="E2058" s="1" t="e">
        <f aca="false" t="array" ref="E2058:E2058">IF(ISBLANK(_xlfn.xlookup(E$3,daily_items,_xlfn.xlookup($C2058,daily_dates,big_daily_table))),NA(),_xlfn.xlookup(E$3,daily_items,_xlfn.xlookup($C2058,daily_dates,big_daily_table)))</f>
        <v>#NAME?</v>
      </c>
    </row>
    <row r="2059" customFormat="false" ht="14.25" hidden="false" customHeight="false" outlineLevel="0" collapsed="false">
      <c r="B2059" s="7" t="n">
        <v>42964</v>
      </c>
      <c r="C2059" s="7" t="n">
        <f aca="false">B2059-WEEKDAY(B2059)+1</f>
        <v>42960</v>
      </c>
      <c r="D2059" s="1" t="e">
        <f aca="false" t="array" ref="D2059:D2059">IF(ISBLANK(_xlfn.xlookup(D$3,daily_items,_xlfn.xlookup($C2059,daily_dates,big_daily_table))),NA(),_xlfn.xlookup(D$3,daily_items,_xlfn.xlookup($C2059,daily_dates,big_daily_table)))</f>
        <v>#NAME?</v>
      </c>
      <c r="E2059" s="1" t="e">
        <f aca="false" t="array" ref="E2059:E2059">IF(ISBLANK(_xlfn.xlookup(E$3,daily_items,_xlfn.xlookup($C2059,daily_dates,big_daily_table))),NA(),_xlfn.xlookup(E$3,daily_items,_xlfn.xlookup($C2059,daily_dates,big_daily_table)))</f>
        <v>#NAME?</v>
      </c>
    </row>
    <row r="2060" customFormat="false" ht="14.25" hidden="false" customHeight="false" outlineLevel="0" collapsed="false">
      <c r="B2060" s="7" t="n">
        <v>42965</v>
      </c>
      <c r="C2060" s="7" t="n">
        <f aca="false">B2060-WEEKDAY(B2060)+1</f>
        <v>42960</v>
      </c>
      <c r="D2060" s="1" t="e">
        <f aca="false" t="array" ref="D2060:D2060">IF(ISBLANK(_xlfn.xlookup(D$3,daily_items,_xlfn.xlookup($C2060,daily_dates,big_daily_table))),NA(),_xlfn.xlookup(D$3,daily_items,_xlfn.xlookup($C2060,daily_dates,big_daily_table)))</f>
        <v>#NAME?</v>
      </c>
      <c r="E2060" s="1" t="e">
        <f aca="false" t="array" ref="E2060:E2060">IF(ISBLANK(_xlfn.xlookup(E$3,daily_items,_xlfn.xlookup($C2060,daily_dates,big_daily_table))),NA(),_xlfn.xlookup(E$3,daily_items,_xlfn.xlookup($C2060,daily_dates,big_daily_table)))</f>
        <v>#NAME?</v>
      </c>
    </row>
    <row r="2061" customFormat="false" ht="14.25" hidden="false" customHeight="false" outlineLevel="0" collapsed="false">
      <c r="B2061" s="7" t="n">
        <v>42966</v>
      </c>
      <c r="C2061" s="7" t="n">
        <f aca="false">B2061-WEEKDAY(B2061)+1</f>
        <v>42960</v>
      </c>
      <c r="D2061" s="1" t="e">
        <f aca="false" t="array" ref="D2061:D2061">IF(ISBLANK(_xlfn.xlookup(D$3,daily_items,_xlfn.xlookup($C2061,daily_dates,big_daily_table))),NA(),_xlfn.xlookup(D$3,daily_items,_xlfn.xlookup($C2061,daily_dates,big_daily_table)))</f>
        <v>#NAME?</v>
      </c>
      <c r="E2061" s="1" t="e">
        <f aca="false" t="array" ref="E2061:E2061">IF(ISBLANK(_xlfn.xlookup(E$3,daily_items,_xlfn.xlookup($C2061,daily_dates,big_daily_table))),NA(),_xlfn.xlookup(E$3,daily_items,_xlfn.xlookup($C2061,daily_dates,big_daily_table)))</f>
        <v>#NAME?</v>
      </c>
    </row>
    <row r="2062" customFormat="false" ht="14.25" hidden="false" customHeight="false" outlineLevel="0" collapsed="false">
      <c r="B2062" s="7" t="n">
        <v>42967</v>
      </c>
      <c r="C2062" s="7" t="n">
        <f aca="false">B2062-WEEKDAY(B2062)+1</f>
        <v>42967</v>
      </c>
      <c r="D2062" s="1" t="e">
        <f aca="false" t="array" ref="D2062:D2062">IF(ISBLANK(_xlfn.xlookup(D$3,daily_items,_xlfn.xlookup($C2062,daily_dates,big_daily_table))),NA(),_xlfn.xlookup(D$3,daily_items,_xlfn.xlookup($C2062,daily_dates,big_daily_table)))</f>
        <v>#NAME?</v>
      </c>
      <c r="E2062" s="1" t="e">
        <f aca="false" t="array" ref="E2062:E2062">IF(ISBLANK(_xlfn.xlookup(E$3,daily_items,_xlfn.xlookup($C2062,daily_dates,big_daily_table))),NA(),_xlfn.xlookup(E$3,daily_items,_xlfn.xlookup($C2062,daily_dates,big_daily_table)))</f>
        <v>#NAME?</v>
      </c>
    </row>
    <row r="2063" customFormat="false" ht="14.25" hidden="false" customHeight="false" outlineLevel="0" collapsed="false">
      <c r="B2063" s="7" t="n">
        <v>42968</v>
      </c>
      <c r="C2063" s="7" t="n">
        <f aca="false">B2063-WEEKDAY(B2063)+1</f>
        <v>42967</v>
      </c>
      <c r="D2063" s="1" t="e">
        <f aca="false" t="array" ref="D2063:D2063">IF(ISBLANK(_xlfn.xlookup(D$3,daily_items,_xlfn.xlookup($C2063,daily_dates,big_daily_table))),NA(),_xlfn.xlookup(D$3,daily_items,_xlfn.xlookup($C2063,daily_dates,big_daily_table)))</f>
        <v>#NAME?</v>
      </c>
      <c r="E2063" s="1" t="e">
        <f aca="false" t="array" ref="E2063:E2063">IF(ISBLANK(_xlfn.xlookup(E$3,daily_items,_xlfn.xlookup($C2063,daily_dates,big_daily_table))),NA(),_xlfn.xlookup(E$3,daily_items,_xlfn.xlookup($C2063,daily_dates,big_daily_table)))</f>
        <v>#NAME?</v>
      </c>
    </row>
    <row r="2064" customFormat="false" ht="14.25" hidden="false" customHeight="false" outlineLevel="0" collapsed="false">
      <c r="B2064" s="7" t="n">
        <v>42969</v>
      </c>
      <c r="C2064" s="7" t="n">
        <f aca="false">B2064-WEEKDAY(B2064)+1</f>
        <v>42967</v>
      </c>
      <c r="D2064" s="1" t="e">
        <f aca="false" t="array" ref="D2064:D2064">IF(ISBLANK(_xlfn.xlookup(D$3,daily_items,_xlfn.xlookup($C2064,daily_dates,big_daily_table))),NA(),_xlfn.xlookup(D$3,daily_items,_xlfn.xlookup($C2064,daily_dates,big_daily_table)))</f>
        <v>#NAME?</v>
      </c>
      <c r="E2064" s="1" t="e">
        <f aca="false" t="array" ref="E2064:E2064">IF(ISBLANK(_xlfn.xlookup(E$3,daily_items,_xlfn.xlookup($C2064,daily_dates,big_daily_table))),NA(),_xlfn.xlookup(E$3,daily_items,_xlfn.xlookup($C2064,daily_dates,big_daily_table)))</f>
        <v>#NAME?</v>
      </c>
    </row>
    <row r="2065" customFormat="false" ht="14.25" hidden="false" customHeight="false" outlineLevel="0" collapsed="false">
      <c r="B2065" s="7" t="n">
        <v>42970</v>
      </c>
      <c r="C2065" s="7" t="n">
        <f aca="false">B2065-WEEKDAY(B2065)+1</f>
        <v>42967</v>
      </c>
      <c r="D2065" s="1" t="e">
        <f aca="false" t="array" ref="D2065:D2065">IF(ISBLANK(_xlfn.xlookup(D$3,daily_items,_xlfn.xlookup($C2065,daily_dates,big_daily_table))),NA(),_xlfn.xlookup(D$3,daily_items,_xlfn.xlookup($C2065,daily_dates,big_daily_table)))</f>
        <v>#NAME?</v>
      </c>
      <c r="E2065" s="1" t="e">
        <f aca="false" t="array" ref="E2065:E2065">IF(ISBLANK(_xlfn.xlookup(E$3,daily_items,_xlfn.xlookup($C2065,daily_dates,big_daily_table))),NA(),_xlfn.xlookup(E$3,daily_items,_xlfn.xlookup($C2065,daily_dates,big_daily_table)))</f>
        <v>#NAME?</v>
      </c>
    </row>
    <row r="2066" customFormat="false" ht="14.25" hidden="false" customHeight="false" outlineLevel="0" collapsed="false">
      <c r="B2066" s="7" t="n">
        <v>42971</v>
      </c>
      <c r="C2066" s="7" t="n">
        <f aca="false">B2066-WEEKDAY(B2066)+1</f>
        <v>42967</v>
      </c>
      <c r="D2066" s="1" t="e">
        <f aca="false" t="array" ref="D2066:D2066">IF(ISBLANK(_xlfn.xlookup(D$3,daily_items,_xlfn.xlookup($C2066,daily_dates,big_daily_table))),NA(),_xlfn.xlookup(D$3,daily_items,_xlfn.xlookup($C2066,daily_dates,big_daily_table)))</f>
        <v>#NAME?</v>
      </c>
      <c r="E2066" s="1" t="e">
        <f aca="false" t="array" ref="E2066:E2066">IF(ISBLANK(_xlfn.xlookup(E$3,daily_items,_xlfn.xlookup($C2066,daily_dates,big_daily_table))),NA(),_xlfn.xlookup(E$3,daily_items,_xlfn.xlookup($C2066,daily_dates,big_daily_table)))</f>
        <v>#NAME?</v>
      </c>
    </row>
    <row r="2067" customFormat="false" ht="14.25" hidden="false" customHeight="false" outlineLevel="0" collapsed="false">
      <c r="B2067" s="7" t="n">
        <v>42972</v>
      </c>
      <c r="C2067" s="7" t="n">
        <f aca="false">B2067-WEEKDAY(B2067)+1</f>
        <v>42967</v>
      </c>
      <c r="D2067" s="1" t="e">
        <f aca="false" t="array" ref="D2067:D2067">IF(ISBLANK(_xlfn.xlookup(D$3,daily_items,_xlfn.xlookup($C2067,daily_dates,big_daily_table))),NA(),_xlfn.xlookup(D$3,daily_items,_xlfn.xlookup($C2067,daily_dates,big_daily_table)))</f>
        <v>#NAME?</v>
      </c>
      <c r="E2067" s="1" t="e">
        <f aca="false" t="array" ref="E2067:E2067">IF(ISBLANK(_xlfn.xlookup(E$3,daily_items,_xlfn.xlookup($C2067,daily_dates,big_daily_table))),NA(),_xlfn.xlookup(E$3,daily_items,_xlfn.xlookup($C2067,daily_dates,big_daily_table)))</f>
        <v>#NAME?</v>
      </c>
    </row>
    <row r="2068" customFormat="false" ht="14.25" hidden="false" customHeight="false" outlineLevel="0" collapsed="false">
      <c r="B2068" s="7" t="n">
        <v>42973</v>
      </c>
      <c r="C2068" s="7" t="n">
        <f aca="false">B2068-WEEKDAY(B2068)+1</f>
        <v>42967</v>
      </c>
      <c r="D2068" s="1" t="e">
        <f aca="false" t="array" ref="D2068:D2068">IF(ISBLANK(_xlfn.xlookup(D$3,daily_items,_xlfn.xlookup($C2068,daily_dates,big_daily_table))),NA(),_xlfn.xlookup(D$3,daily_items,_xlfn.xlookup($C2068,daily_dates,big_daily_table)))</f>
        <v>#NAME?</v>
      </c>
      <c r="E2068" s="1" t="e">
        <f aca="false" t="array" ref="E2068:E2068">IF(ISBLANK(_xlfn.xlookup(E$3,daily_items,_xlfn.xlookup($C2068,daily_dates,big_daily_table))),NA(),_xlfn.xlookup(E$3,daily_items,_xlfn.xlookup($C2068,daily_dates,big_daily_table)))</f>
        <v>#NAME?</v>
      </c>
    </row>
    <row r="2069" customFormat="false" ht="14.25" hidden="false" customHeight="false" outlineLevel="0" collapsed="false">
      <c r="B2069" s="7" t="n">
        <v>42974</v>
      </c>
      <c r="C2069" s="7" t="n">
        <f aca="false">B2069-WEEKDAY(B2069)+1</f>
        <v>42974</v>
      </c>
      <c r="D2069" s="1" t="e">
        <f aca="false" t="array" ref="D2069:D2069">IF(ISBLANK(_xlfn.xlookup(D$3,daily_items,_xlfn.xlookup($C2069,daily_dates,big_daily_table))),NA(),_xlfn.xlookup(D$3,daily_items,_xlfn.xlookup($C2069,daily_dates,big_daily_table)))</f>
        <v>#NAME?</v>
      </c>
      <c r="E2069" s="1" t="e">
        <f aca="false" t="array" ref="E2069:E2069">IF(ISBLANK(_xlfn.xlookup(E$3,daily_items,_xlfn.xlookup($C2069,daily_dates,big_daily_table))),NA(),_xlfn.xlookup(E$3,daily_items,_xlfn.xlookup($C2069,daily_dates,big_daily_table)))</f>
        <v>#NAME?</v>
      </c>
    </row>
    <row r="2070" customFormat="false" ht="14.25" hidden="false" customHeight="false" outlineLevel="0" collapsed="false">
      <c r="B2070" s="7" t="n">
        <v>42975</v>
      </c>
      <c r="C2070" s="7" t="n">
        <f aca="false">B2070-WEEKDAY(B2070)+1</f>
        <v>42974</v>
      </c>
      <c r="D2070" s="1" t="e">
        <f aca="false" t="array" ref="D2070:D2070">IF(ISBLANK(_xlfn.xlookup(D$3,daily_items,_xlfn.xlookup($C2070,daily_dates,big_daily_table))),NA(),_xlfn.xlookup(D$3,daily_items,_xlfn.xlookup($C2070,daily_dates,big_daily_table)))</f>
        <v>#NAME?</v>
      </c>
      <c r="E2070" s="1" t="e">
        <f aca="false" t="array" ref="E2070:E2070">IF(ISBLANK(_xlfn.xlookup(E$3,daily_items,_xlfn.xlookup($C2070,daily_dates,big_daily_table))),NA(),_xlfn.xlookup(E$3,daily_items,_xlfn.xlookup($C2070,daily_dates,big_daily_table)))</f>
        <v>#NAME?</v>
      </c>
    </row>
    <row r="2071" customFormat="false" ht="14.25" hidden="false" customHeight="false" outlineLevel="0" collapsed="false">
      <c r="B2071" s="7" t="n">
        <v>42976</v>
      </c>
      <c r="C2071" s="7" t="n">
        <f aca="false">B2071-WEEKDAY(B2071)+1</f>
        <v>42974</v>
      </c>
      <c r="D2071" s="1" t="e">
        <f aca="false" t="array" ref="D2071:D2071">IF(ISBLANK(_xlfn.xlookup(D$3,daily_items,_xlfn.xlookup($C2071,daily_dates,big_daily_table))),NA(),_xlfn.xlookup(D$3,daily_items,_xlfn.xlookup($C2071,daily_dates,big_daily_table)))</f>
        <v>#NAME?</v>
      </c>
      <c r="E2071" s="1" t="e">
        <f aca="false" t="array" ref="E2071:E2071">IF(ISBLANK(_xlfn.xlookup(E$3,daily_items,_xlfn.xlookup($C2071,daily_dates,big_daily_table))),NA(),_xlfn.xlookup(E$3,daily_items,_xlfn.xlookup($C2071,daily_dates,big_daily_table)))</f>
        <v>#NAME?</v>
      </c>
    </row>
    <row r="2072" customFormat="false" ht="14.25" hidden="false" customHeight="false" outlineLevel="0" collapsed="false">
      <c r="B2072" s="7" t="n">
        <v>42977</v>
      </c>
      <c r="C2072" s="7" t="n">
        <f aca="false">B2072-WEEKDAY(B2072)+1</f>
        <v>42974</v>
      </c>
      <c r="D2072" s="1" t="e">
        <f aca="false" t="array" ref="D2072:D2072">IF(ISBLANK(_xlfn.xlookup(D$3,daily_items,_xlfn.xlookup($C2072,daily_dates,big_daily_table))),NA(),_xlfn.xlookup(D$3,daily_items,_xlfn.xlookup($C2072,daily_dates,big_daily_table)))</f>
        <v>#NAME?</v>
      </c>
      <c r="E2072" s="1" t="e">
        <f aca="false" t="array" ref="E2072:E2072">IF(ISBLANK(_xlfn.xlookup(E$3,daily_items,_xlfn.xlookup($C2072,daily_dates,big_daily_table))),NA(),_xlfn.xlookup(E$3,daily_items,_xlfn.xlookup($C2072,daily_dates,big_daily_table)))</f>
        <v>#NAME?</v>
      </c>
    </row>
    <row r="2073" customFormat="false" ht="14.25" hidden="false" customHeight="false" outlineLevel="0" collapsed="false">
      <c r="B2073" s="7" t="n">
        <v>42978</v>
      </c>
      <c r="C2073" s="7" t="n">
        <f aca="false">B2073-WEEKDAY(B2073)+1</f>
        <v>42974</v>
      </c>
      <c r="D2073" s="1" t="e">
        <f aca="false" t="array" ref="D2073:D2073">IF(ISBLANK(_xlfn.xlookup(D$3,daily_items,_xlfn.xlookup($C2073,daily_dates,big_daily_table))),NA(),_xlfn.xlookup(D$3,daily_items,_xlfn.xlookup($C2073,daily_dates,big_daily_table)))</f>
        <v>#NAME?</v>
      </c>
      <c r="E2073" s="1" t="e">
        <f aca="false" t="array" ref="E2073:E2073">IF(ISBLANK(_xlfn.xlookup(E$3,daily_items,_xlfn.xlookup($C2073,daily_dates,big_daily_table))),NA(),_xlfn.xlookup(E$3,daily_items,_xlfn.xlookup($C2073,daily_dates,big_daily_table)))</f>
        <v>#NAME?</v>
      </c>
    </row>
    <row r="2074" customFormat="false" ht="14.25" hidden="false" customHeight="false" outlineLevel="0" collapsed="false">
      <c r="B2074" s="7" t="n">
        <v>42979</v>
      </c>
      <c r="C2074" s="7" t="n">
        <f aca="false">B2074-WEEKDAY(B2074)+1</f>
        <v>42974</v>
      </c>
      <c r="D2074" s="1" t="e">
        <f aca="false" t="array" ref="D2074:D2074">IF(ISBLANK(_xlfn.xlookup(D$3,daily_items,_xlfn.xlookup($C2074,daily_dates,big_daily_table))),NA(),_xlfn.xlookup(D$3,daily_items,_xlfn.xlookup($C2074,daily_dates,big_daily_table)))</f>
        <v>#NAME?</v>
      </c>
      <c r="E2074" s="1" t="e">
        <f aca="false" t="array" ref="E2074:E2074">IF(ISBLANK(_xlfn.xlookup(E$3,daily_items,_xlfn.xlookup($C2074,daily_dates,big_daily_table))),NA(),_xlfn.xlookup(E$3,daily_items,_xlfn.xlookup($C2074,daily_dates,big_daily_table)))</f>
        <v>#NAME?</v>
      </c>
    </row>
    <row r="2075" customFormat="false" ht="14.25" hidden="false" customHeight="false" outlineLevel="0" collapsed="false">
      <c r="B2075" s="7" t="n">
        <v>42980</v>
      </c>
      <c r="C2075" s="7" t="n">
        <f aca="false">B2075-WEEKDAY(B2075)+1</f>
        <v>42974</v>
      </c>
      <c r="D2075" s="1" t="e">
        <f aca="false" t="array" ref="D2075:D2075">IF(ISBLANK(_xlfn.xlookup(D$3,daily_items,_xlfn.xlookup($C2075,daily_dates,big_daily_table))),NA(),_xlfn.xlookup(D$3,daily_items,_xlfn.xlookup($C2075,daily_dates,big_daily_table)))</f>
        <v>#NAME?</v>
      </c>
      <c r="E2075" s="1" t="e">
        <f aca="false" t="array" ref="E2075:E2075">IF(ISBLANK(_xlfn.xlookup(E$3,daily_items,_xlfn.xlookup($C2075,daily_dates,big_daily_table))),NA(),_xlfn.xlookup(E$3,daily_items,_xlfn.xlookup($C2075,daily_dates,big_daily_table)))</f>
        <v>#NAME?</v>
      </c>
    </row>
    <row r="2076" customFormat="false" ht="14.25" hidden="false" customHeight="false" outlineLevel="0" collapsed="false">
      <c r="B2076" s="7" t="n">
        <v>42981</v>
      </c>
      <c r="C2076" s="7" t="n">
        <f aca="false">B2076-WEEKDAY(B2076)+1</f>
        <v>42981</v>
      </c>
      <c r="D2076" s="1" t="e">
        <f aca="false" t="array" ref="D2076:D2076">IF(ISBLANK(_xlfn.xlookup(D$3,daily_items,_xlfn.xlookup($C2076,daily_dates,big_daily_table))),NA(),_xlfn.xlookup(D$3,daily_items,_xlfn.xlookup($C2076,daily_dates,big_daily_table)))</f>
        <v>#NAME?</v>
      </c>
      <c r="E2076" s="1" t="e">
        <f aca="false" t="array" ref="E2076:E2076">IF(ISBLANK(_xlfn.xlookup(E$3,daily_items,_xlfn.xlookup($C2076,daily_dates,big_daily_table))),NA(),_xlfn.xlookup(E$3,daily_items,_xlfn.xlookup($C2076,daily_dates,big_daily_table)))</f>
        <v>#NAME?</v>
      </c>
    </row>
    <row r="2077" customFormat="false" ht="14.25" hidden="false" customHeight="false" outlineLevel="0" collapsed="false">
      <c r="B2077" s="7" t="n">
        <v>42982</v>
      </c>
      <c r="C2077" s="7" t="n">
        <f aca="false">B2077-WEEKDAY(B2077)+1</f>
        <v>42981</v>
      </c>
      <c r="D2077" s="1" t="e">
        <f aca="false" t="array" ref="D2077:D2077">IF(ISBLANK(_xlfn.xlookup(D$3,daily_items,_xlfn.xlookup($C2077,daily_dates,big_daily_table))),NA(),_xlfn.xlookup(D$3,daily_items,_xlfn.xlookup($C2077,daily_dates,big_daily_table)))</f>
        <v>#NAME?</v>
      </c>
      <c r="E2077" s="1" t="e">
        <f aca="false" t="array" ref="E2077:E2077">IF(ISBLANK(_xlfn.xlookup(E$3,daily_items,_xlfn.xlookup($C2077,daily_dates,big_daily_table))),NA(),_xlfn.xlookup(E$3,daily_items,_xlfn.xlookup($C2077,daily_dates,big_daily_table)))</f>
        <v>#NAME?</v>
      </c>
    </row>
    <row r="2078" customFormat="false" ht="14.25" hidden="false" customHeight="false" outlineLevel="0" collapsed="false">
      <c r="B2078" s="7" t="n">
        <v>42983</v>
      </c>
      <c r="C2078" s="7" t="n">
        <f aca="false">B2078-WEEKDAY(B2078)+1</f>
        <v>42981</v>
      </c>
      <c r="D2078" s="1" t="e">
        <f aca="false" t="array" ref="D2078:D2078">IF(ISBLANK(_xlfn.xlookup(D$3,daily_items,_xlfn.xlookup($C2078,daily_dates,big_daily_table))),NA(),_xlfn.xlookup(D$3,daily_items,_xlfn.xlookup($C2078,daily_dates,big_daily_table)))</f>
        <v>#NAME?</v>
      </c>
      <c r="E2078" s="1" t="e">
        <f aca="false" t="array" ref="E2078:E2078">IF(ISBLANK(_xlfn.xlookup(E$3,daily_items,_xlfn.xlookup($C2078,daily_dates,big_daily_table))),NA(),_xlfn.xlookup(E$3,daily_items,_xlfn.xlookup($C2078,daily_dates,big_daily_table)))</f>
        <v>#NAME?</v>
      </c>
    </row>
    <row r="2079" customFormat="false" ht="14.25" hidden="false" customHeight="false" outlineLevel="0" collapsed="false">
      <c r="B2079" s="7" t="n">
        <v>42984</v>
      </c>
      <c r="C2079" s="7" t="n">
        <f aca="false">B2079-WEEKDAY(B2079)+1</f>
        <v>42981</v>
      </c>
      <c r="D2079" s="1" t="e">
        <f aca="false" t="array" ref="D2079:D2079">IF(ISBLANK(_xlfn.xlookup(D$3,daily_items,_xlfn.xlookup($C2079,daily_dates,big_daily_table))),NA(),_xlfn.xlookup(D$3,daily_items,_xlfn.xlookup($C2079,daily_dates,big_daily_table)))</f>
        <v>#NAME?</v>
      </c>
      <c r="E2079" s="1" t="e">
        <f aca="false" t="array" ref="E2079:E2079">IF(ISBLANK(_xlfn.xlookup(E$3,daily_items,_xlfn.xlookup($C2079,daily_dates,big_daily_table))),NA(),_xlfn.xlookup(E$3,daily_items,_xlfn.xlookup($C2079,daily_dates,big_daily_table)))</f>
        <v>#NAME?</v>
      </c>
    </row>
    <row r="2080" customFormat="false" ht="14.25" hidden="false" customHeight="false" outlineLevel="0" collapsed="false">
      <c r="B2080" s="7" t="n">
        <v>42985</v>
      </c>
      <c r="C2080" s="7" t="n">
        <f aca="false">B2080-WEEKDAY(B2080)+1</f>
        <v>42981</v>
      </c>
      <c r="D2080" s="1" t="e">
        <f aca="false" t="array" ref="D2080:D2080">IF(ISBLANK(_xlfn.xlookup(D$3,daily_items,_xlfn.xlookup($C2080,daily_dates,big_daily_table))),NA(),_xlfn.xlookup(D$3,daily_items,_xlfn.xlookup($C2080,daily_dates,big_daily_table)))</f>
        <v>#NAME?</v>
      </c>
      <c r="E2080" s="1" t="e">
        <f aca="false" t="array" ref="E2080:E2080">IF(ISBLANK(_xlfn.xlookup(E$3,daily_items,_xlfn.xlookup($C2080,daily_dates,big_daily_table))),NA(),_xlfn.xlookup(E$3,daily_items,_xlfn.xlookup($C2080,daily_dates,big_daily_table)))</f>
        <v>#NAME?</v>
      </c>
    </row>
    <row r="2081" customFormat="false" ht="14.25" hidden="false" customHeight="false" outlineLevel="0" collapsed="false">
      <c r="B2081" s="7" t="n">
        <v>42986</v>
      </c>
      <c r="C2081" s="7" t="n">
        <f aca="false">B2081-WEEKDAY(B2081)+1</f>
        <v>42981</v>
      </c>
      <c r="D2081" s="1" t="e">
        <f aca="false" t="array" ref="D2081:D2081">IF(ISBLANK(_xlfn.xlookup(D$3,daily_items,_xlfn.xlookup($C2081,daily_dates,big_daily_table))),NA(),_xlfn.xlookup(D$3,daily_items,_xlfn.xlookup($C2081,daily_dates,big_daily_table)))</f>
        <v>#NAME?</v>
      </c>
      <c r="E2081" s="1" t="e">
        <f aca="false" t="array" ref="E2081:E2081">IF(ISBLANK(_xlfn.xlookup(E$3,daily_items,_xlfn.xlookup($C2081,daily_dates,big_daily_table))),NA(),_xlfn.xlookup(E$3,daily_items,_xlfn.xlookup($C2081,daily_dates,big_daily_table)))</f>
        <v>#NAME?</v>
      </c>
    </row>
    <row r="2082" customFormat="false" ht="14.25" hidden="false" customHeight="false" outlineLevel="0" collapsed="false">
      <c r="B2082" s="7" t="n">
        <v>42987</v>
      </c>
      <c r="C2082" s="7" t="n">
        <f aca="false">B2082-WEEKDAY(B2082)+1</f>
        <v>42981</v>
      </c>
      <c r="D2082" s="1" t="e">
        <f aca="false" t="array" ref="D2082:D2082">IF(ISBLANK(_xlfn.xlookup(D$3,daily_items,_xlfn.xlookup($C2082,daily_dates,big_daily_table))),NA(),_xlfn.xlookup(D$3,daily_items,_xlfn.xlookup($C2082,daily_dates,big_daily_table)))</f>
        <v>#NAME?</v>
      </c>
      <c r="E2082" s="1" t="e">
        <f aca="false" t="array" ref="E2082:E2082">IF(ISBLANK(_xlfn.xlookup(E$3,daily_items,_xlfn.xlookup($C2082,daily_dates,big_daily_table))),NA(),_xlfn.xlookup(E$3,daily_items,_xlfn.xlookup($C2082,daily_dates,big_daily_table)))</f>
        <v>#NAME?</v>
      </c>
    </row>
    <row r="2083" customFormat="false" ht="14.25" hidden="false" customHeight="false" outlineLevel="0" collapsed="false">
      <c r="B2083" s="7" t="n">
        <v>42988</v>
      </c>
      <c r="C2083" s="7" t="n">
        <f aca="false">B2083-WEEKDAY(B2083)+1</f>
        <v>42988</v>
      </c>
      <c r="D2083" s="1" t="e">
        <f aca="false" t="array" ref="D2083:D2083">IF(ISBLANK(_xlfn.xlookup(D$3,daily_items,_xlfn.xlookup($C2083,daily_dates,big_daily_table))),NA(),_xlfn.xlookup(D$3,daily_items,_xlfn.xlookup($C2083,daily_dates,big_daily_table)))</f>
        <v>#NAME?</v>
      </c>
      <c r="E2083" s="1" t="e">
        <f aca="false" t="array" ref="E2083:E2083">IF(ISBLANK(_xlfn.xlookup(E$3,daily_items,_xlfn.xlookup($C2083,daily_dates,big_daily_table))),NA(),_xlfn.xlookup(E$3,daily_items,_xlfn.xlookup($C2083,daily_dates,big_daily_table)))</f>
        <v>#NAME?</v>
      </c>
    </row>
    <row r="2084" customFormat="false" ht="14.25" hidden="false" customHeight="false" outlineLevel="0" collapsed="false">
      <c r="B2084" s="7" t="n">
        <v>42989</v>
      </c>
      <c r="C2084" s="7" t="n">
        <f aca="false">B2084-WEEKDAY(B2084)+1</f>
        <v>42988</v>
      </c>
      <c r="D2084" s="1" t="e">
        <f aca="false" t="array" ref="D2084:D2084">IF(ISBLANK(_xlfn.xlookup(D$3,daily_items,_xlfn.xlookup($C2084,daily_dates,big_daily_table))),NA(),_xlfn.xlookup(D$3,daily_items,_xlfn.xlookup($C2084,daily_dates,big_daily_table)))</f>
        <v>#NAME?</v>
      </c>
      <c r="E2084" s="1" t="e">
        <f aca="false" t="array" ref="E2084:E2084">IF(ISBLANK(_xlfn.xlookup(E$3,daily_items,_xlfn.xlookup($C2084,daily_dates,big_daily_table))),NA(),_xlfn.xlookup(E$3,daily_items,_xlfn.xlookup($C2084,daily_dates,big_daily_table)))</f>
        <v>#NAME?</v>
      </c>
    </row>
    <row r="2085" customFormat="false" ht="14.25" hidden="false" customHeight="false" outlineLevel="0" collapsed="false">
      <c r="B2085" s="7" t="n">
        <v>42990</v>
      </c>
      <c r="C2085" s="7" t="n">
        <f aca="false">B2085-WEEKDAY(B2085)+1</f>
        <v>42988</v>
      </c>
      <c r="D2085" s="1" t="e">
        <f aca="false" t="array" ref="D2085:D2085">IF(ISBLANK(_xlfn.xlookup(D$3,daily_items,_xlfn.xlookup($C2085,daily_dates,big_daily_table))),NA(),_xlfn.xlookup(D$3,daily_items,_xlfn.xlookup($C2085,daily_dates,big_daily_table)))</f>
        <v>#NAME?</v>
      </c>
      <c r="E2085" s="1" t="e">
        <f aca="false" t="array" ref="E2085:E2085">IF(ISBLANK(_xlfn.xlookup(E$3,daily_items,_xlfn.xlookup($C2085,daily_dates,big_daily_table))),NA(),_xlfn.xlookup(E$3,daily_items,_xlfn.xlookup($C2085,daily_dates,big_daily_table)))</f>
        <v>#NAME?</v>
      </c>
    </row>
    <row r="2086" customFormat="false" ht="14.25" hidden="false" customHeight="false" outlineLevel="0" collapsed="false">
      <c r="B2086" s="7" t="n">
        <v>42991</v>
      </c>
      <c r="C2086" s="7" t="n">
        <f aca="false">B2086-WEEKDAY(B2086)+1</f>
        <v>42988</v>
      </c>
      <c r="D2086" s="1" t="e">
        <f aca="false" t="array" ref="D2086:D2086">IF(ISBLANK(_xlfn.xlookup(D$3,daily_items,_xlfn.xlookup($C2086,daily_dates,big_daily_table))),NA(),_xlfn.xlookup(D$3,daily_items,_xlfn.xlookup($C2086,daily_dates,big_daily_table)))</f>
        <v>#NAME?</v>
      </c>
      <c r="E2086" s="1" t="e">
        <f aca="false" t="array" ref="E2086:E2086">IF(ISBLANK(_xlfn.xlookup(E$3,daily_items,_xlfn.xlookup($C2086,daily_dates,big_daily_table))),NA(),_xlfn.xlookup(E$3,daily_items,_xlfn.xlookup($C2086,daily_dates,big_daily_table)))</f>
        <v>#NAME?</v>
      </c>
    </row>
    <row r="2087" customFormat="false" ht="14.25" hidden="false" customHeight="false" outlineLevel="0" collapsed="false">
      <c r="B2087" s="7" t="n">
        <v>42992</v>
      </c>
      <c r="C2087" s="7" t="n">
        <f aca="false">B2087-WEEKDAY(B2087)+1</f>
        <v>42988</v>
      </c>
      <c r="D2087" s="1" t="e">
        <f aca="false" t="array" ref="D2087:D2087">IF(ISBLANK(_xlfn.xlookup(D$3,daily_items,_xlfn.xlookup($C2087,daily_dates,big_daily_table))),NA(),_xlfn.xlookup(D$3,daily_items,_xlfn.xlookup($C2087,daily_dates,big_daily_table)))</f>
        <v>#NAME?</v>
      </c>
      <c r="E2087" s="1" t="e">
        <f aca="false" t="array" ref="E2087:E2087">IF(ISBLANK(_xlfn.xlookup(E$3,daily_items,_xlfn.xlookup($C2087,daily_dates,big_daily_table))),NA(),_xlfn.xlookup(E$3,daily_items,_xlfn.xlookup($C2087,daily_dates,big_daily_table)))</f>
        <v>#NAME?</v>
      </c>
    </row>
    <row r="2088" customFormat="false" ht="14.25" hidden="false" customHeight="false" outlineLevel="0" collapsed="false">
      <c r="B2088" s="7" t="n">
        <v>42993</v>
      </c>
      <c r="C2088" s="7" t="n">
        <f aca="false">B2088-WEEKDAY(B2088)+1</f>
        <v>42988</v>
      </c>
      <c r="D2088" s="1" t="e">
        <f aca="false" t="array" ref="D2088:D2088">IF(ISBLANK(_xlfn.xlookup(D$3,daily_items,_xlfn.xlookup($C2088,daily_dates,big_daily_table))),NA(),_xlfn.xlookup(D$3,daily_items,_xlfn.xlookup($C2088,daily_dates,big_daily_table)))</f>
        <v>#NAME?</v>
      </c>
      <c r="E2088" s="1" t="e">
        <f aca="false" t="array" ref="E2088:E2088">IF(ISBLANK(_xlfn.xlookup(E$3,daily_items,_xlfn.xlookup($C2088,daily_dates,big_daily_table))),NA(),_xlfn.xlookup(E$3,daily_items,_xlfn.xlookup($C2088,daily_dates,big_daily_table)))</f>
        <v>#NAME?</v>
      </c>
    </row>
    <row r="2089" customFormat="false" ht="14.25" hidden="false" customHeight="false" outlineLevel="0" collapsed="false">
      <c r="B2089" s="7" t="n">
        <v>42994</v>
      </c>
      <c r="C2089" s="7" t="n">
        <f aca="false">B2089-WEEKDAY(B2089)+1</f>
        <v>42988</v>
      </c>
      <c r="D2089" s="1" t="e">
        <f aca="false" t="array" ref="D2089:D2089">IF(ISBLANK(_xlfn.xlookup(D$3,daily_items,_xlfn.xlookup($C2089,daily_dates,big_daily_table))),NA(),_xlfn.xlookup(D$3,daily_items,_xlfn.xlookup($C2089,daily_dates,big_daily_table)))</f>
        <v>#NAME?</v>
      </c>
      <c r="E2089" s="1" t="e">
        <f aca="false" t="array" ref="E2089:E2089">IF(ISBLANK(_xlfn.xlookup(E$3,daily_items,_xlfn.xlookup($C2089,daily_dates,big_daily_table))),NA(),_xlfn.xlookup(E$3,daily_items,_xlfn.xlookup($C2089,daily_dates,big_daily_table)))</f>
        <v>#NAME?</v>
      </c>
    </row>
    <row r="2090" customFormat="false" ht="14.25" hidden="false" customHeight="false" outlineLevel="0" collapsed="false">
      <c r="B2090" s="7" t="n">
        <v>42995</v>
      </c>
      <c r="C2090" s="7" t="n">
        <f aca="false">B2090-WEEKDAY(B2090)+1</f>
        <v>42995</v>
      </c>
      <c r="D2090" s="1" t="e">
        <f aca="false" t="array" ref="D2090:D2090">IF(ISBLANK(_xlfn.xlookup(D$3,daily_items,_xlfn.xlookup($C2090,daily_dates,big_daily_table))),NA(),_xlfn.xlookup(D$3,daily_items,_xlfn.xlookup($C2090,daily_dates,big_daily_table)))</f>
        <v>#NAME?</v>
      </c>
      <c r="E2090" s="1" t="e">
        <f aca="false" t="array" ref="E2090:E2090">IF(ISBLANK(_xlfn.xlookup(E$3,daily_items,_xlfn.xlookup($C2090,daily_dates,big_daily_table))),NA(),_xlfn.xlookup(E$3,daily_items,_xlfn.xlookup($C2090,daily_dates,big_daily_table)))</f>
        <v>#NAME?</v>
      </c>
    </row>
    <row r="2091" customFormat="false" ht="14.25" hidden="false" customHeight="false" outlineLevel="0" collapsed="false">
      <c r="B2091" s="7" t="n">
        <v>42996</v>
      </c>
      <c r="C2091" s="7" t="n">
        <f aca="false">B2091-WEEKDAY(B2091)+1</f>
        <v>42995</v>
      </c>
      <c r="D2091" s="1" t="e">
        <f aca="false" t="array" ref="D2091:D2091">IF(ISBLANK(_xlfn.xlookup(D$3,daily_items,_xlfn.xlookup($C2091,daily_dates,big_daily_table))),NA(),_xlfn.xlookup(D$3,daily_items,_xlfn.xlookup($C2091,daily_dates,big_daily_table)))</f>
        <v>#NAME?</v>
      </c>
      <c r="E2091" s="1" t="e">
        <f aca="false" t="array" ref="E2091:E2091">IF(ISBLANK(_xlfn.xlookup(E$3,daily_items,_xlfn.xlookup($C2091,daily_dates,big_daily_table))),NA(),_xlfn.xlookup(E$3,daily_items,_xlfn.xlookup($C2091,daily_dates,big_daily_table)))</f>
        <v>#NAME?</v>
      </c>
    </row>
    <row r="2092" customFormat="false" ht="14.25" hidden="false" customHeight="false" outlineLevel="0" collapsed="false">
      <c r="B2092" s="7" t="n">
        <v>42997</v>
      </c>
      <c r="C2092" s="7" t="n">
        <f aca="false">B2092-WEEKDAY(B2092)+1</f>
        <v>42995</v>
      </c>
      <c r="D2092" s="1" t="e">
        <f aca="false" t="array" ref="D2092:D2092">IF(ISBLANK(_xlfn.xlookup(D$3,daily_items,_xlfn.xlookup($C2092,daily_dates,big_daily_table))),NA(),_xlfn.xlookup(D$3,daily_items,_xlfn.xlookup($C2092,daily_dates,big_daily_table)))</f>
        <v>#NAME?</v>
      </c>
      <c r="E2092" s="1" t="e">
        <f aca="false" t="array" ref="E2092:E2092">IF(ISBLANK(_xlfn.xlookup(E$3,daily_items,_xlfn.xlookup($C2092,daily_dates,big_daily_table))),NA(),_xlfn.xlookup(E$3,daily_items,_xlfn.xlookup($C2092,daily_dates,big_daily_table)))</f>
        <v>#NAME?</v>
      </c>
    </row>
    <row r="2093" customFormat="false" ht="14.25" hidden="false" customHeight="false" outlineLevel="0" collapsed="false">
      <c r="B2093" s="7" t="n">
        <v>42998</v>
      </c>
      <c r="C2093" s="7" t="n">
        <f aca="false">B2093-WEEKDAY(B2093)+1</f>
        <v>42995</v>
      </c>
      <c r="D2093" s="1" t="e">
        <f aca="false" t="array" ref="D2093:D2093">IF(ISBLANK(_xlfn.xlookup(D$3,daily_items,_xlfn.xlookup($C2093,daily_dates,big_daily_table))),NA(),_xlfn.xlookup(D$3,daily_items,_xlfn.xlookup($C2093,daily_dates,big_daily_table)))</f>
        <v>#NAME?</v>
      </c>
      <c r="E2093" s="1" t="e">
        <f aca="false" t="array" ref="E2093:E2093">IF(ISBLANK(_xlfn.xlookup(E$3,daily_items,_xlfn.xlookup($C2093,daily_dates,big_daily_table))),NA(),_xlfn.xlookup(E$3,daily_items,_xlfn.xlookup($C2093,daily_dates,big_daily_table)))</f>
        <v>#NAME?</v>
      </c>
    </row>
    <row r="2094" customFormat="false" ht="14.25" hidden="false" customHeight="false" outlineLevel="0" collapsed="false">
      <c r="B2094" s="7" t="n">
        <v>42999</v>
      </c>
      <c r="C2094" s="7" t="n">
        <f aca="false">B2094-WEEKDAY(B2094)+1</f>
        <v>42995</v>
      </c>
      <c r="D2094" s="1" t="e">
        <f aca="false" t="array" ref="D2094:D2094">IF(ISBLANK(_xlfn.xlookup(D$3,daily_items,_xlfn.xlookup($C2094,daily_dates,big_daily_table))),NA(),_xlfn.xlookup(D$3,daily_items,_xlfn.xlookup($C2094,daily_dates,big_daily_table)))</f>
        <v>#NAME?</v>
      </c>
      <c r="E2094" s="1" t="e">
        <f aca="false" t="array" ref="E2094:E2094">IF(ISBLANK(_xlfn.xlookup(E$3,daily_items,_xlfn.xlookup($C2094,daily_dates,big_daily_table))),NA(),_xlfn.xlookup(E$3,daily_items,_xlfn.xlookup($C2094,daily_dates,big_daily_table)))</f>
        <v>#NAME?</v>
      </c>
    </row>
    <row r="2095" customFormat="false" ht="14.25" hidden="false" customHeight="false" outlineLevel="0" collapsed="false">
      <c r="B2095" s="7" t="n">
        <v>43000</v>
      </c>
      <c r="C2095" s="7" t="n">
        <f aca="false">B2095-WEEKDAY(B2095)+1</f>
        <v>42995</v>
      </c>
      <c r="D2095" s="1" t="e">
        <f aca="false" t="array" ref="D2095:D2095">IF(ISBLANK(_xlfn.xlookup(D$3,daily_items,_xlfn.xlookup($C2095,daily_dates,big_daily_table))),NA(),_xlfn.xlookup(D$3,daily_items,_xlfn.xlookup($C2095,daily_dates,big_daily_table)))</f>
        <v>#NAME?</v>
      </c>
      <c r="E2095" s="1" t="e">
        <f aca="false" t="array" ref="E2095:E2095">IF(ISBLANK(_xlfn.xlookup(E$3,daily_items,_xlfn.xlookup($C2095,daily_dates,big_daily_table))),NA(),_xlfn.xlookup(E$3,daily_items,_xlfn.xlookup($C2095,daily_dates,big_daily_table)))</f>
        <v>#NAME?</v>
      </c>
    </row>
    <row r="2096" customFormat="false" ht="14.25" hidden="false" customHeight="false" outlineLevel="0" collapsed="false">
      <c r="B2096" s="7" t="n">
        <v>43001</v>
      </c>
      <c r="C2096" s="7" t="n">
        <f aca="false">B2096-WEEKDAY(B2096)+1</f>
        <v>42995</v>
      </c>
      <c r="D2096" s="1" t="e">
        <f aca="false" t="array" ref="D2096:D2096">IF(ISBLANK(_xlfn.xlookup(D$3,daily_items,_xlfn.xlookup($C2096,daily_dates,big_daily_table))),NA(),_xlfn.xlookup(D$3,daily_items,_xlfn.xlookup($C2096,daily_dates,big_daily_table)))</f>
        <v>#NAME?</v>
      </c>
      <c r="E2096" s="1" t="e">
        <f aca="false" t="array" ref="E2096:E2096">IF(ISBLANK(_xlfn.xlookup(E$3,daily_items,_xlfn.xlookup($C2096,daily_dates,big_daily_table))),NA(),_xlfn.xlookup(E$3,daily_items,_xlfn.xlookup($C2096,daily_dates,big_daily_table)))</f>
        <v>#NAME?</v>
      </c>
    </row>
    <row r="2097" customFormat="false" ht="14.25" hidden="false" customHeight="false" outlineLevel="0" collapsed="false">
      <c r="B2097" s="7" t="n">
        <v>43002</v>
      </c>
      <c r="C2097" s="7" t="n">
        <f aca="false">B2097-WEEKDAY(B2097)+1</f>
        <v>43002</v>
      </c>
      <c r="D2097" s="1" t="e">
        <f aca="false" t="array" ref="D2097:D2097">IF(ISBLANK(_xlfn.xlookup(D$3,daily_items,_xlfn.xlookup($C2097,daily_dates,big_daily_table))),NA(),_xlfn.xlookup(D$3,daily_items,_xlfn.xlookup($C2097,daily_dates,big_daily_table)))</f>
        <v>#NAME?</v>
      </c>
      <c r="E2097" s="1" t="e">
        <f aca="false" t="array" ref="E2097:E2097">IF(ISBLANK(_xlfn.xlookup(E$3,daily_items,_xlfn.xlookup($C2097,daily_dates,big_daily_table))),NA(),_xlfn.xlookup(E$3,daily_items,_xlfn.xlookup($C2097,daily_dates,big_daily_table)))</f>
        <v>#NAME?</v>
      </c>
    </row>
    <row r="2098" customFormat="false" ht="14.25" hidden="false" customHeight="false" outlineLevel="0" collapsed="false">
      <c r="B2098" s="7" t="n">
        <v>43003</v>
      </c>
      <c r="C2098" s="7" t="n">
        <f aca="false">B2098-WEEKDAY(B2098)+1</f>
        <v>43002</v>
      </c>
      <c r="D2098" s="1" t="e">
        <f aca="false" t="array" ref="D2098:D2098">IF(ISBLANK(_xlfn.xlookup(D$3,daily_items,_xlfn.xlookup($C2098,daily_dates,big_daily_table))),NA(),_xlfn.xlookup(D$3,daily_items,_xlfn.xlookup($C2098,daily_dates,big_daily_table)))</f>
        <v>#NAME?</v>
      </c>
      <c r="E2098" s="1" t="e">
        <f aca="false" t="array" ref="E2098:E2098">IF(ISBLANK(_xlfn.xlookup(E$3,daily_items,_xlfn.xlookup($C2098,daily_dates,big_daily_table))),NA(),_xlfn.xlookup(E$3,daily_items,_xlfn.xlookup($C2098,daily_dates,big_daily_table)))</f>
        <v>#NAME?</v>
      </c>
    </row>
    <row r="2099" customFormat="false" ht="14.25" hidden="false" customHeight="false" outlineLevel="0" collapsed="false">
      <c r="B2099" s="7" t="n">
        <v>43004</v>
      </c>
      <c r="C2099" s="7" t="n">
        <f aca="false">B2099-WEEKDAY(B2099)+1</f>
        <v>43002</v>
      </c>
      <c r="D2099" s="1" t="e">
        <f aca="false" t="array" ref="D2099:D2099">IF(ISBLANK(_xlfn.xlookup(D$3,daily_items,_xlfn.xlookup($C2099,daily_dates,big_daily_table))),NA(),_xlfn.xlookup(D$3,daily_items,_xlfn.xlookup($C2099,daily_dates,big_daily_table)))</f>
        <v>#NAME?</v>
      </c>
      <c r="E2099" s="1" t="e">
        <f aca="false" t="array" ref="E2099:E2099">IF(ISBLANK(_xlfn.xlookup(E$3,daily_items,_xlfn.xlookup($C2099,daily_dates,big_daily_table))),NA(),_xlfn.xlookup(E$3,daily_items,_xlfn.xlookup($C2099,daily_dates,big_daily_table)))</f>
        <v>#NAME?</v>
      </c>
    </row>
    <row r="2100" customFormat="false" ht="14.25" hidden="false" customHeight="false" outlineLevel="0" collapsed="false">
      <c r="B2100" s="7" t="n">
        <v>43005</v>
      </c>
      <c r="C2100" s="7" t="n">
        <f aca="false">B2100-WEEKDAY(B2100)+1</f>
        <v>43002</v>
      </c>
      <c r="D2100" s="1" t="e">
        <f aca="false" t="array" ref="D2100:D2100">IF(ISBLANK(_xlfn.xlookup(D$3,daily_items,_xlfn.xlookup($C2100,daily_dates,big_daily_table))),NA(),_xlfn.xlookup(D$3,daily_items,_xlfn.xlookup($C2100,daily_dates,big_daily_table)))</f>
        <v>#NAME?</v>
      </c>
      <c r="E2100" s="1" t="e">
        <f aca="false" t="array" ref="E2100:E2100">IF(ISBLANK(_xlfn.xlookup(E$3,daily_items,_xlfn.xlookup($C2100,daily_dates,big_daily_table))),NA(),_xlfn.xlookup(E$3,daily_items,_xlfn.xlookup($C2100,daily_dates,big_daily_table)))</f>
        <v>#NAME?</v>
      </c>
    </row>
    <row r="2101" customFormat="false" ht="14.25" hidden="false" customHeight="false" outlineLevel="0" collapsed="false">
      <c r="B2101" s="7" t="n">
        <v>43006</v>
      </c>
      <c r="C2101" s="7" t="n">
        <f aca="false">B2101-WEEKDAY(B2101)+1</f>
        <v>43002</v>
      </c>
      <c r="D2101" s="1" t="e">
        <f aca="false" t="array" ref="D2101:D2101">IF(ISBLANK(_xlfn.xlookup(D$3,daily_items,_xlfn.xlookup($C2101,daily_dates,big_daily_table))),NA(),_xlfn.xlookup(D$3,daily_items,_xlfn.xlookup($C2101,daily_dates,big_daily_table)))</f>
        <v>#NAME?</v>
      </c>
      <c r="E2101" s="1" t="e">
        <f aca="false" t="array" ref="E2101:E2101">IF(ISBLANK(_xlfn.xlookup(E$3,daily_items,_xlfn.xlookup($C2101,daily_dates,big_daily_table))),NA(),_xlfn.xlookup(E$3,daily_items,_xlfn.xlookup($C2101,daily_dates,big_daily_table)))</f>
        <v>#NAME?</v>
      </c>
    </row>
    <row r="2102" customFormat="false" ht="14.25" hidden="false" customHeight="false" outlineLevel="0" collapsed="false">
      <c r="B2102" s="7" t="n">
        <v>43007</v>
      </c>
      <c r="C2102" s="7" t="n">
        <f aca="false">B2102-WEEKDAY(B2102)+1</f>
        <v>43002</v>
      </c>
      <c r="D2102" s="1" t="e">
        <f aca="false" t="array" ref="D2102:D2102">IF(ISBLANK(_xlfn.xlookup(D$3,daily_items,_xlfn.xlookup($C2102,daily_dates,big_daily_table))),NA(),_xlfn.xlookup(D$3,daily_items,_xlfn.xlookup($C2102,daily_dates,big_daily_table)))</f>
        <v>#NAME?</v>
      </c>
      <c r="E2102" s="1" t="e">
        <f aca="false" t="array" ref="E2102:E2102">IF(ISBLANK(_xlfn.xlookup(E$3,daily_items,_xlfn.xlookup($C2102,daily_dates,big_daily_table))),NA(),_xlfn.xlookup(E$3,daily_items,_xlfn.xlookup($C2102,daily_dates,big_daily_table)))</f>
        <v>#NAME?</v>
      </c>
    </row>
    <row r="2103" customFormat="false" ht="14.25" hidden="false" customHeight="false" outlineLevel="0" collapsed="false">
      <c r="B2103" s="7" t="n">
        <v>43008</v>
      </c>
      <c r="C2103" s="7" t="n">
        <f aca="false">B2103-WEEKDAY(B2103)+1</f>
        <v>43002</v>
      </c>
      <c r="D2103" s="1" t="e">
        <f aca="false" t="array" ref="D2103:D2103">IF(ISBLANK(_xlfn.xlookup(D$3,daily_items,_xlfn.xlookup($C2103,daily_dates,big_daily_table))),NA(),_xlfn.xlookup(D$3,daily_items,_xlfn.xlookup($C2103,daily_dates,big_daily_table)))</f>
        <v>#NAME?</v>
      </c>
      <c r="E2103" s="1" t="e">
        <f aca="false" t="array" ref="E2103:E2103">IF(ISBLANK(_xlfn.xlookup(E$3,daily_items,_xlfn.xlookup($C2103,daily_dates,big_daily_table))),NA(),_xlfn.xlookup(E$3,daily_items,_xlfn.xlookup($C2103,daily_dates,big_daily_table)))</f>
        <v>#NAME?</v>
      </c>
    </row>
    <row r="2104" customFormat="false" ht="14.25" hidden="false" customHeight="false" outlineLevel="0" collapsed="false">
      <c r="B2104" s="7" t="n">
        <v>43009</v>
      </c>
      <c r="C2104" s="7" t="n">
        <f aca="false">B2104-WEEKDAY(B2104)+1</f>
        <v>43009</v>
      </c>
      <c r="D2104" s="1" t="e">
        <f aca="false" t="array" ref="D2104:D2104">IF(ISBLANK(_xlfn.xlookup(D$3,daily_items,_xlfn.xlookup($C2104,daily_dates,big_daily_table))),NA(),_xlfn.xlookup(D$3,daily_items,_xlfn.xlookup($C2104,daily_dates,big_daily_table)))</f>
        <v>#NAME?</v>
      </c>
      <c r="E2104" s="1" t="e">
        <f aca="false" t="array" ref="E2104:E2104">IF(ISBLANK(_xlfn.xlookup(E$3,daily_items,_xlfn.xlookup($C2104,daily_dates,big_daily_table))),NA(),_xlfn.xlookup(E$3,daily_items,_xlfn.xlookup($C2104,daily_dates,big_daily_table)))</f>
        <v>#NAME?</v>
      </c>
    </row>
    <row r="2105" customFormat="false" ht="14.25" hidden="false" customHeight="false" outlineLevel="0" collapsed="false">
      <c r="B2105" s="7" t="n">
        <v>43010</v>
      </c>
      <c r="C2105" s="7" t="n">
        <f aca="false">B2105-WEEKDAY(B2105)+1</f>
        <v>43009</v>
      </c>
      <c r="D2105" s="1" t="e">
        <f aca="false" t="array" ref="D2105:D2105">IF(ISBLANK(_xlfn.xlookup(D$3,daily_items,_xlfn.xlookup($C2105,daily_dates,big_daily_table))),NA(),_xlfn.xlookup(D$3,daily_items,_xlfn.xlookup($C2105,daily_dates,big_daily_table)))</f>
        <v>#NAME?</v>
      </c>
      <c r="E2105" s="1" t="e">
        <f aca="false" t="array" ref="E2105:E2105">IF(ISBLANK(_xlfn.xlookup(E$3,daily_items,_xlfn.xlookup($C2105,daily_dates,big_daily_table))),NA(),_xlfn.xlookup(E$3,daily_items,_xlfn.xlookup($C2105,daily_dates,big_daily_table)))</f>
        <v>#NAME?</v>
      </c>
    </row>
    <row r="2106" customFormat="false" ht="14.25" hidden="false" customHeight="false" outlineLevel="0" collapsed="false">
      <c r="B2106" s="7" t="n">
        <v>43011</v>
      </c>
      <c r="C2106" s="7" t="n">
        <f aca="false">B2106-WEEKDAY(B2106)+1</f>
        <v>43009</v>
      </c>
      <c r="D2106" s="1" t="e">
        <f aca="false" t="array" ref="D2106:D2106">IF(ISBLANK(_xlfn.xlookup(D$3,daily_items,_xlfn.xlookup($C2106,daily_dates,big_daily_table))),NA(),_xlfn.xlookup(D$3,daily_items,_xlfn.xlookup($C2106,daily_dates,big_daily_table)))</f>
        <v>#NAME?</v>
      </c>
      <c r="E2106" s="1" t="e">
        <f aca="false" t="array" ref="E2106:E2106">IF(ISBLANK(_xlfn.xlookup(E$3,daily_items,_xlfn.xlookup($C2106,daily_dates,big_daily_table))),NA(),_xlfn.xlookup(E$3,daily_items,_xlfn.xlookup($C2106,daily_dates,big_daily_table)))</f>
        <v>#NAME?</v>
      </c>
    </row>
    <row r="2107" customFormat="false" ht="14.25" hidden="false" customHeight="false" outlineLevel="0" collapsed="false">
      <c r="B2107" s="7" t="n">
        <v>43012</v>
      </c>
      <c r="C2107" s="7" t="n">
        <f aca="false">B2107-WEEKDAY(B2107)+1</f>
        <v>43009</v>
      </c>
      <c r="D2107" s="1" t="e">
        <f aca="false" t="array" ref="D2107:D2107">IF(ISBLANK(_xlfn.xlookup(D$3,daily_items,_xlfn.xlookup($C2107,daily_dates,big_daily_table))),NA(),_xlfn.xlookup(D$3,daily_items,_xlfn.xlookup($C2107,daily_dates,big_daily_table)))</f>
        <v>#NAME?</v>
      </c>
      <c r="E2107" s="1" t="e">
        <f aca="false" t="array" ref="E2107:E2107">IF(ISBLANK(_xlfn.xlookup(E$3,daily_items,_xlfn.xlookup($C2107,daily_dates,big_daily_table))),NA(),_xlfn.xlookup(E$3,daily_items,_xlfn.xlookup($C2107,daily_dates,big_daily_table)))</f>
        <v>#NAME?</v>
      </c>
    </row>
    <row r="2108" customFormat="false" ht="14.25" hidden="false" customHeight="false" outlineLevel="0" collapsed="false">
      <c r="B2108" s="7" t="n">
        <v>43013</v>
      </c>
      <c r="C2108" s="7" t="n">
        <f aca="false">B2108-WEEKDAY(B2108)+1</f>
        <v>43009</v>
      </c>
      <c r="D2108" s="1" t="e">
        <f aca="false" t="array" ref="D2108:D2108">IF(ISBLANK(_xlfn.xlookup(D$3,daily_items,_xlfn.xlookup($C2108,daily_dates,big_daily_table))),NA(),_xlfn.xlookup(D$3,daily_items,_xlfn.xlookup($C2108,daily_dates,big_daily_table)))</f>
        <v>#NAME?</v>
      </c>
      <c r="E2108" s="1" t="e">
        <f aca="false" t="array" ref="E2108:E2108">IF(ISBLANK(_xlfn.xlookup(E$3,daily_items,_xlfn.xlookup($C2108,daily_dates,big_daily_table))),NA(),_xlfn.xlookup(E$3,daily_items,_xlfn.xlookup($C2108,daily_dates,big_daily_table)))</f>
        <v>#NAME?</v>
      </c>
    </row>
    <row r="2109" customFormat="false" ht="14.25" hidden="false" customHeight="false" outlineLevel="0" collapsed="false">
      <c r="B2109" s="7" t="n">
        <v>43014</v>
      </c>
      <c r="C2109" s="7" t="n">
        <f aca="false">B2109-WEEKDAY(B2109)+1</f>
        <v>43009</v>
      </c>
      <c r="D2109" s="1" t="e">
        <f aca="false" t="array" ref="D2109:D2109">IF(ISBLANK(_xlfn.xlookup(D$3,daily_items,_xlfn.xlookup($C2109,daily_dates,big_daily_table))),NA(),_xlfn.xlookup(D$3,daily_items,_xlfn.xlookup($C2109,daily_dates,big_daily_table)))</f>
        <v>#NAME?</v>
      </c>
      <c r="E2109" s="1" t="e">
        <f aca="false" t="array" ref="E2109:E2109">IF(ISBLANK(_xlfn.xlookup(E$3,daily_items,_xlfn.xlookup($C2109,daily_dates,big_daily_table))),NA(),_xlfn.xlookup(E$3,daily_items,_xlfn.xlookup($C2109,daily_dates,big_daily_table)))</f>
        <v>#NAME?</v>
      </c>
    </row>
    <row r="2110" customFormat="false" ht="14.25" hidden="false" customHeight="false" outlineLevel="0" collapsed="false">
      <c r="B2110" s="7" t="n">
        <v>43015</v>
      </c>
      <c r="C2110" s="7" t="n">
        <f aca="false">B2110-WEEKDAY(B2110)+1</f>
        <v>43009</v>
      </c>
      <c r="D2110" s="1" t="e">
        <f aca="false" t="array" ref="D2110:D2110">IF(ISBLANK(_xlfn.xlookup(D$3,daily_items,_xlfn.xlookup($C2110,daily_dates,big_daily_table))),NA(),_xlfn.xlookup(D$3,daily_items,_xlfn.xlookup($C2110,daily_dates,big_daily_table)))</f>
        <v>#NAME?</v>
      </c>
      <c r="E2110" s="1" t="e">
        <f aca="false" t="array" ref="E2110:E2110">IF(ISBLANK(_xlfn.xlookup(E$3,daily_items,_xlfn.xlookup($C2110,daily_dates,big_daily_table))),NA(),_xlfn.xlookup(E$3,daily_items,_xlfn.xlookup($C2110,daily_dates,big_daily_table)))</f>
        <v>#NAME?</v>
      </c>
    </row>
    <row r="2111" customFormat="false" ht="14.25" hidden="false" customHeight="false" outlineLevel="0" collapsed="false">
      <c r="B2111" s="7" t="n">
        <v>43016</v>
      </c>
      <c r="C2111" s="7" t="n">
        <f aca="false">B2111-WEEKDAY(B2111)+1</f>
        <v>43016</v>
      </c>
      <c r="D2111" s="1" t="e">
        <f aca="false" t="array" ref="D2111:D2111">IF(ISBLANK(_xlfn.xlookup(D$3,daily_items,_xlfn.xlookup($C2111,daily_dates,big_daily_table))),NA(),_xlfn.xlookup(D$3,daily_items,_xlfn.xlookup($C2111,daily_dates,big_daily_table)))</f>
        <v>#NAME?</v>
      </c>
      <c r="E2111" s="1" t="e">
        <f aca="false" t="array" ref="E2111:E2111">IF(ISBLANK(_xlfn.xlookup(E$3,daily_items,_xlfn.xlookup($C2111,daily_dates,big_daily_table))),NA(),_xlfn.xlookup(E$3,daily_items,_xlfn.xlookup($C2111,daily_dates,big_daily_table)))</f>
        <v>#NAME?</v>
      </c>
    </row>
    <row r="2112" customFormat="false" ht="14.25" hidden="false" customHeight="false" outlineLevel="0" collapsed="false">
      <c r="B2112" s="7" t="n">
        <v>43017</v>
      </c>
      <c r="C2112" s="7" t="n">
        <f aca="false">B2112-WEEKDAY(B2112)+1</f>
        <v>43016</v>
      </c>
      <c r="D2112" s="1" t="e">
        <f aca="false" t="array" ref="D2112:D2112">IF(ISBLANK(_xlfn.xlookup(D$3,daily_items,_xlfn.xlookup($C2112,daily_dates,big_daily_table))),NA(),_xlfn.xlookup(D$3,daily_items,_xlfn.xlookup($C2112,daily_dates,big_daily_table)))</f>
        <v>#NAME?</v>
      </c>
      <c r="E2112" s="1" t="e">
        <f aca="false" t="array" ref="E2112:E2112">IF(ISBLANK(_xlfn.xlookup(E$3,daily_items,_xlfn.xlookup($C2112,daily_dates,big_daily_table))),NA(),_xlfn.xlookup(E$3,daily_items,_xlfn.xlookup($C2112,daily_dates,big_daily_table)))</f>
        <v>#NAME?</v>
      </c>
    </row>
    <row r="2113" customFormat="false" ht="14.25" hidden="false" customHeight="false" outlineLevel="0" collapsed="false">
      <c r="B2113" s="7" t="n">
        <v>43018</v>
      </c>
      <c r="C2113" s="7" t="n">
        <f aca="false">B2113-WEEKDAY(B2113)+1</f>
        <v>43016</v>
      </c>
      <c r="D2113" s="1" t="e">
        <f aca="false" t="array" ref="D2113:D2113">IF(ISBLANK(_xlfn.xlookup(D$3,daily_items,_xlfn.xlookup($C2113,daily_dates,big_daily_table))),NA(),_xlfn.xlookup(D$3,daily_items,_xlfn.xlookup($C2113,daily_dates,big_daily_table)))</f>
        <v>#NAME?</v>
      </c>
      <c r="E2113" s="1" t="e">
        <f aca="false" t="array" ref="E2113:E2113">IF(ISBLANK(_xlfn.xlookup(E$3,daily_items,_xlfn.xlookup($C2113,daily_dates,big_daily_table))),NA(),_xlfn.xlookup(E$3,daily_items,_xlfn.xlookup($C2113,daily_dates,big_daily_table)))</f>
        <v>#NAME?</v>
      </c>
    </row>
    <row r="2114" customFormat="false" ht="14.25" hidden="false" customHeight="false" outlineLevel="0" collapsed="false">
      <c r="B2114" s="7" t="n">
        <v>43019</v>
      </c>
      <c r="C2114" s="7" t="n">
        <f aca="false">B2114-WEEKDAY(B2114)+1</f>
        <v>43016</v>
      </c>
      <c r="D2114" s="1" t="e">
        <f aca="false" t="array" ref="D2114:D2114">IF(ISBLANK(_xlfn.xlookup(D$3,daily_items,_xlfn.xlookup($C2114,daily_dates,big_daily_table))),NA(),_xlfn.xlookup(D$3,daily_items,_xlfn.xlookup($C2114,daily_dates,big_daily_table)))</f>
        <v>#NAME?</v>
      </c>
      <c r="E2114" s="1" t="e">
        <f aca="false" t="array" ref="E2114:E2114">IF(ISBLANK(_xlfn.xlookup(E$3,daily_items,_xlfn.xlookup($C2114,daily_dates,big_daily_table))),NA(),_xlfn.xlookup(E$3,daily_items,_xlfn.xlookup($C2114,daily_dates,big_daily_table)))</f>
        <v>#NAME?</v>
      </c>
    </row>
    <row r="2115" customFormat="false" ht="14.25" hidden="false" customHeight="false" outlineLevel="0" collapsed="false">
      <c r="B2115" s="7" t="n">
        <v>43020</v>
      </c>
      <c r="C2115" s="7" t="n">
        <f aca="false">B2115-WEEKDAY(B2115)+1</f>
        <v>43016</v>
      </c>
      <c r="D2115" s="1" t="e">
        <f aca="false" t="array" ref="D2115:D2115">IF(ISBLANK(_xlfn.xlookup(D$3,daily_items,_xlfn.xlookup($C2115,daily_dates,big_daily_table))),NA(),_xlfn.xlookup(D$3,daily_items,_xlfn.xlookup($C2115,daily_dates,big_daily_table)))</f>
        <v>#NAME?</v>
      </c>
      <c r="E2115" s="1" t="e">
        <f aca="false" t="array" ref="E2115:E2115">IF(ISBLANK(_xlfn.xlookup(E$3,daily_items,_xlfn.xlookup($C2115,daily_dates,big_daily_table))),NA(),_xlfn.xlookup(E$3,daily_items,_xlfn.xlookup($C2115,daily_dates,big_daily_table)))</f>
        <v>#NAME?</v>
      </c>
    </row>
    <row r="2116" customFormat="false" ht="14.25" hidden="false" customHeight="false" outlineLevel="0" collapsed="false">
      <c r="B2116" s="7" t="n">
        <v>43021</v>
      </c>
      <c r="C2116" s="7" t="n">
        <f aca="false">B2116-WEEKDAY(B2116)+1</f>
        <v>43016</v>
      </c>
      <c r="D2116" s="1" t="e">
        <f aca="false" t="array" ref="D2116:D2116">IF(ISBLANK(_xlfn.xlookup(D$3,daily_items,_xlfn.xlookup($C2116,daily_dates,big_daily_table))),NA(),_xlfn.xlookup(D$3,daily_items,_xlfn.xlookup($C2116,daily_dates,big_daily_table)))</f>
        <v>#NAME?</v>
      </c>
      <c r="E2116" s="1" t="e">
        <f aca="false" t="array" ref="E2116:E2116">IF(ISBLANK(_xlfn.xlookup(E$3,daily_items,_xlfn.xlookup($C2116,daily_dates,big_daily_table))),NA(),_xlfn.xlookup(E$3,daily_items,_xlfn.xlookup($C2116,daily_dates,big_daily_table)))</f>
        <v>#NAME?</v>
      </c>
    </row>
    <row r="2117" customFormat="false" ht="14.25" hidden="false" customHeight="false" outlineLevel="0" collapsed="false">
      <c r="B2117" s="7" t="n">
        <v>43022</v>
      </c>
      <c r="C2117" s="7" t="n">
        <f aca="false">B2117-WEEKDAY(B2117)+1</f>
        <v>43016</v>
      </c>
      <c r="D2117" s="1" t="e">
        <f aca="false" t="array" ref="D2117:D2117">IF(ISBLANK(_xlfn.xlookup(D$3,daily_items,_xlfn.xlookup($C2117,daily_dates,big_daily_table))),NA(),_xlfn.xlookup(D$3,daily_items,_xlfn.xlookup($C2117,daily_dates,big_daily_table)))</f>
        <v>#NAME?</v>
      </c>
      <c r="E2117" s="1" t="e">
        <f aca="false" t="array" ref="E2117:E2117">IF(ISBLANK(_xlfn.xlookup(E$3,daily_items,_xlfn.xlookup($C2117,daily_dates,big_daily_table))),NA(),_xlfn.xlookup(E$3,daily_items,_xlfn.xlookup($C2117,daily_dates,big_daily_table)))</f>
        <v>#NAME?</v>
      </c>
    </row>
    <row r="2118" customFormat="false" ht="14.25" hidden="false" customHeight="false" outlineLevel="0" collapsed="false">
      <c r="B2118" s="7" t="n">
        <v>43023</v>
      </c>
      <c r="C2118" s="7" t="n">
        <f aca="false">B2118-WEEKDAY(B2118)+1</f>
        <v>43023</v>
      </c>
      <c r="D2118" s="1" t="e">
        <f aca="false" t="array" ref="D2118:D2118">IF(ISBLANK(_xlfn.xlookup(D$3,daily_items,_xlfn.xlookup($C2118,daily_dates,big_daily_table))),NA(),_xlfn.xlookup(D$3,daily_items,_xlfn.xlookup($C2118,daily_dates,big_daily_table)))</f>
        <v>#NAME?</v>
      </c>
      <c r="E2118" s="1" t="e">
        <f aca="false" t="array" ref="E2118:E2118">IF(ISBLANK(_xlfn.xlookup(E$3,daily_items,_xlfn.xlookup($C2118,daily_dates,big_daily_table))),NA(),_xlfn.xlookup(E$3,daily_items,_xlfn.xlookup($C2118,daily_dates,big_daily_table)))</f>
        <v>#NAME?</v>
      </c>
    </row>
    <row r="2119" customFormat="false" ht="14.25" hidden="false" customHeight="false" outlineLevel="0" collapsed="false">
      <c r="B2119" s="7" t="n">
        <v>43024</v>
      </c>
      <c r="C2119" s="7" t="n">
        <f aca="false">B2119-WEEKDAY(B2119)+1</f>
        <v>43023</v>
      </c>
      <c r="D2119" s="1" t="e">
        <f aca="false" t="array" ref="D2119:D2119">IF(ISBLANK(_xlfn.xlookup(D$3,daily_items,_xlfn.xlookup($C2119,daily_dates,big_daily_table))),NA(),_xlfn.xlookup(D$3,daily_items,_xlfn.xlookup($C2119,daily_dates,big_daily_table)))</f>
        <v>#NAME?</v>
      </c>
      <c r="E2119" s="1" t="e">
        <f aca="false" t="array" ref="E2119:E2119">IF(ISBLANK(_xlfn.xlookup(E$3,daily_items,_xlfn.xlookup($C2119,daily_dates,big_daily_table))),NA(),_xlfn.xlookup(E$3,daily_items,_xlfn.xlookup($C2119,daily_dates,big_daily_table)))</f>
        <v>#NAME?</v>
      </c>
    </row>
    <row r="2120" customFormat="false" ht="14.25" hidden="false" customHeight="false" outlineLevel="0" collapsed="false">
      <c r="B2120" s="7" t="n">
        <v>43025</v>
      </c>
      <c r="C2120" s="7" t="n">
        <f aca="false">B2120-WEEKDAY(B2120)+1</f>
        <v>43023</v>
      </c>
      <c r="D2120" s="1" t="e">
        <f aca="false" t="array" ref="D2120:D2120">IF(ISBLANK(_xlfn.xlookup(D$3,daily_items,_xlfn.xlookup($C2120,daily_dates,big_daily_table))),NA(),_xlfn.xlookup(D$3,daily_items,_xlfn.xlookup($C2120,daily_dates,big_daily_table)))</f>
        <v>#NAME?</v>
      </c>
      <c r="E2120" s="1" t="e">
        <f aca="false" t="array" ref="E2120:E2120">IF(ISBLANK(_xlfn.xlookup(E$3,daily_items,_xlfn.xlookup($C2120,daily_dates,big_daily_table))),NA(),_xlfn.xlookup(E$3,daily_items,_xlfn.xlookup($C2120,daily_dates,big_daily_table)))</f>
        <v>#NAME?</v>
      </c>
    </row>
    <row r="2121" customFormat="false" ht="14.25" hidden="false" customHeight="false" outlineLevel="0" collapsed="false">
      <c r="B2121" s="7" t="n">
        <v>43026</v>
      </c>
      <c r="C2121" s="7" t="n">
        <f aca="false">B2121-WEEKDAY(B2121)+1</f>
        <v>43023</v>
      </c>
      <c r="D2121" s="1" t="e">
        <f aca="false" t="array" ref="D2121:D2121">IF(ISBLANK(_xlfn.xlookup(D$3,daily_items,_xlfn.xlookup($C2121,daily_dates,big_daily_table))),NA(),_xlfn.xlookup(D$3,daily_items,_xlfn.xlookup($C2121,daily_dates,big_daily_table)))</f>
        <v>#NAME?</v>
      </c>
      <c r="E2121" s="1" t="e">
        <f aca="false" t="array" ref="E2121:E2121">IF(ISBLANK(_xlfn.xlookup(E$3,daily_items,_xlfn.xlookup($C2121,daily_dates,big_daily_table))),NA(),_xlfn.xlookup(E$3,daily_items,_xlfn.xlookup($C2121,daily_dates,big_daily_table)))</f>
        <v>#NAME?</v>
      </c>
    </row>
    <row r="2122" customFormat="false" ht="14.25" hidden="false" customHeight="false" outlineLevel="0" collapsed="false">
      <c r="B2122" s="7" t="n">
        <v>43027</v>
      </c>
      <c r="C2122" s="7" t="n">
        <f aca="false">B2122-WEEKDAY(B2122)+1</f>
        <v>43023</v>
      </c>
      <c r="D2122" s="1" t="e">
        <f aca="false" t="array" ref="D2122:D2122">IF(ISBLANK(_xlfn.xlookup(D$3,daily_items,_xlfn.xlookup($C2122,daily_dates,big_daily_table))),NA(),_xlfn.xlookup(D$3,daily_items,_xlfn.xlookup($C2122,daily_dates,big_daily_table)))</f>
        <v>#NAME?</v>
      </c>
      <c r="E2122" s="1" t="e">
        <f aca="false" t="array" ref="E2122:E2122">IF(ISBLANK(_xlfn.xlookup(E$3,daily_items,_xlfn.xlookup($C2122,daily_dates,big_daily_table))),NA(),_xlfn.xlookup(E$3,daily_items,_xlfn.xlookup($C2122,daily_dates,big_daily_table)))</f>
        <v>#NAME?</v>
      </c>
    </row>
    <row r="2123" customFormat="false" ht="14.25" hidden="false" customHeight="false" outlineLevel="0" collapsed="false">
      <c r="B2123" s="7" t="n">
        <v>43028</v>
      </c>
      <c r="C2123" s="7" t="n">
        <f aca="false">B2123-WEEKDAY(B2123)+1</f>
        <v>43023</v>
      </c>
      <c r="D2123" s="1" t="e">
        <f aca="false" t="array" ref="D2123:D2123">IF(ISBLANK(_xlfn.xlookup(D$3,daily_items,_xlfn.xlookup($C2123,daily_dates,big_daily_table))),NA(),_xlfn.xlookup(D$3,daily_items,_xlfn.xlookup($C2123,daily_dates,big_daily_table)))</f>
        <v>#NAME?</v>
      </c>
      <c r="E2123" s="1" t="e">
        <f aca="false" t="array" ref="E2123:E2123">IF(ISBLANK(_xlfn.xlookup(E$3,daily_items,_xlfn.xlookup($C2123,daily_dates,big_daily_table))),NA(),_xlfn.xlookup(E$3,daily_items,_xlfn.xlookup($C2123,daily_dates,big_daily_table)))</f>
        <v>#NAME?</v>
      </c>
    </row>
    <row r="2124" customFormat="false" ht="14.25" hidden="false" customHeight="false" outlineLevel="0" collapsed="false">
      <c r="B2124" s="7" t="n">
        <v>43029</v>
      </c>
      <c r="C2124" s="7" t="n">
        <f aca="false">B2124-WEEKDAY(B2124)+1</f>
        <v>43023</v>
      </c>
      <c r="D2124" s="1" t="e">
        <f aca="false" t="array" ref="D2124:D2124">IF(ISBLANK(_xlfn.xlookup(D$3,daily_items,_xlfn.xlookup($C2124,daily_dates,big_daily_table))),NA(),_xlfn.xlookup(D$3,daily_items,_xlfn.xlookup($C2124,daily_dates,big_daily_table)))</f>
        <v>#NAME?</v>
      </c>
      <c r="E2124" s="1" t="e">
        <f aca="false" t="array" ref="E2124:E2124">IF(ISBLANK(_xlfn.xlookup(E$3,daily_items,_xlfn.xlookup($C2124,daily_dates,big_daily_table))),NA(),_xlfn.xlookup(E$3,daily_items,_xlfn.xlookup($C2124,daily_dates,big_daily_table)))</f>
        <v>#NAME?</v>
      </c>
    </row>
    <row r="2125" customFormat="false" ht="14.25" hidden="false" customHeight="false" outlineLevel="0" collapsed="false">
      <c r="B2125" s="7" t="n">
        <v>43030</v>
      </c>
      <c r="C2125" s="7" t="n">
        <f aca="false">B2125-WEEKDAY(B2125)+1</f>
        <v>43030</v>
      </c>
      <c r="D2125" s="1" t="e">
        <f aca="false" t="array" ref="D2125:D2125">IF(ISBLANK(_xlfn.xlookup(D$3,daily_items,_xlfn.xlookup($C2125,daily_dates,big_daily_table))),NA(),_xlfn.xlookup(D$3,daily_items,_xlfn.xlookup($C2125,daily_dates,big_daily_table)))</f>
        <v>#NAME?</v>
      </c>
      <c r="E2125" s="1" t="e">
        <f aca="false" t="array" ref="E2125:E2125">IF(ISBLANK(_xlfn.xlookup(E$3,daily_items,_xlfn.xlookup($C2125,daily_dates,big_daily_table))),NA(),_xlfn.xlookup(E$3,daily_items,_xlfn.xlookup($C2125,daily_dates,big_daily_table)))</f>
        <v>#NAME?</v>
      </c>
    </row>
    <row r="2126" customFormat="false" ht="14.25" hidden="false" customHeight="false" outlineLevel="0" collapsed="false">
      <c r="B2126" s="7" t="n">
        <v>43031</v>
      </c>
      <c r="C2126" s="7" t="n">
        <f aca="false">B2126-WEEKDAY(B2126)+1</f>
        <v>43030</v>
      </c>
      <c r="D2126" s="1" t="e">
        <f aca="false" t="array" ref="D2126:D2126">IF(ISBLANK(_xlfn.xlookup(D$3,daily_items,_xlfn.xlookup($C2126,daily_dates,big_daily_table))),NA(),_xlfn.xlookup(D$3,daily_items,_xlfn.xlookup($C2126,daily_dates,big_daily_table)))</f>
        <v>#NAME?</v>
      </c>
      <c r="E2126" s="1" t="e">
        <f aca="false" t="array" ref="E2126:E2126">IF(ISBLANK(_xlfn.xlookup(E$3,daily_items,_xlfn.xlookup($C2126,daily_dates,big_daily_table))),NA(),_xlfn.xlookup(E$3,daily_items,_xlfn.xlookup($C2126,daily_dates,big_daily_table)))</f>
        <v>#NAME?</v>
      </c>
    </row>
    <row r="2127" customFormat="false" ht="14.25" hidden="false" customHeight="false" outlineLevel="0" collapsed="false">
      <c r="B2127" s="7" t="n">
        <v>43032</v>
      </c>
      <c r="C2127" s="7" t="n">
        <f aca="false">B2127-WEEKDAY(B2127)+1</f>
        <v>43030</v>
      </c>
      <c r="D2127" s="1" t="e">
        <f aca="false" t="array" ref="D2127:D2127">IF(ISBLANK(_xlfn.xlookup(D$3,daily_items,_xlfn.xlookup($C2127,daily_dates,big_daily_table))),NA(),_xlfn.xlookup(D$3,daily_items,_xlfn.xlookup($C2127,daily_dates,big_daily_table)))</f>
        <v>#NAME?</v>
      </c>
      <c r="E2127" s="1" t="e">
        <f aca="false" t="array" ref="E2127:E2127">IF(ISBLANK(_xlfn.xlookup(E$3,daily_items,_xlfn.xlookup($C2127,daily_dates,big_daily_table))),NA(),_xlfn.xlookup(E$3,daily_items,_xlfn.xlookup($C2127,daily_dates,big_daily_table)))</f>
        <v>#NAME?</v>
      </c>
    </row>
    <row r="2128" customFormat="false" ht="14.25" hidden="false" customHeight="false" outlineLevel="0" collapsed="false">
      <c r="B2128" s="7" t="n">
        <v>43033</v>
      </c>
      <c r="C2128" s="7" t="n">
        <f aca="false">B2128-WEEKDAY(B2128)+1</f>
        <v>43030</v>
      </c>
      <c r="D2128" s="1" t="e">
        <f aca="false" t="array" ref="D2128:D2128">IF(ISBLANK(_xlfn.xlookup(D$3,daily_items,_xlfn.xlookup($C2128,daily_dates,big_daily_table))),NA(),_xlfn.xlookup(D$3,daily_items,_xlfn.xlookup($C2128,daily_dates,big_daily_table)))</f>
        <v>#NAME?</v>
      </c>
      <c r="E2128" s="1" t="e">
        <f aca="false" t="array" ref="E2128:E2128">IF(ISBLANK(_xlfn.xlookup(E$3,daily_items,_xlfn.xlookup($C2128,daily_dates,big_daily_table))),NA(),_xlfn.xlookup(E$3,daily_items,_xlfn.xlookup($C2128,daily_dates,big_daily_table)))</f>
        <v>#NAME?</v>
      </c>
    </row>
    <row r="2129" customFormat="false" ht="14.25" hidden="false" customHeight="false" outlineLevel="0" collapsed="false">
      <c r="B2129" s="7" t="n">
        <v>43034</v>
      </c>
      <c r="C2129" s="7" t="n">
        <f aca="false">B2129-WEEKDAY(B2129)+1</f>
        <v>43030</v>
      </c>
      <c r="D2129" s="1" t="e">
        <f aca="false" t="array" ref="D2129:D2129">IF(ISBLANK(_xlfn.xlookup(D$3,daily_items,_xlfn.xlookup($C2129,daily_dates,big_daily_table))),NA(),_xlfn.xlookup(D$3,daily_items,_xlfn.xlookup($C2129,daily_dates,big_daily_table)))</f>
        <v>#NAME?</v>
      </c>
      <c r="E2129" s="1" t="e">
        <f aca="false" t="array" ref="E2129:E2129">IF(ISBLANK(_xlfn.xlookup(E$3,daily_items,_xlfn.xlookup($C2129,daily_dates,big_daily_table))),NA(),_xlfn.xlookup(E$3,daily_items,_xlfn.xlookup($C2129,daily_dates,big_daily_table)))</f>
        <v>#NAME?</v>
      </c>
    </row>
    <row r="2130" customFormat="false" ht="14.25" hidden="false" customHeight="false" outlineLevel="0" collapsed="false">
      <c r="B2130" s="7" t="n">
        <v>43035</v>
      </c>
      <c r="C2130" s="7" t="n">
        <f aca="false">B2130-WEEKDAY(B2130)+1</f>
        <v>43030</v>
      </c>
      <c r="D2130" s="1" t="e">
        <f aca="false" t="array" ref="D2130:D2130">IF(ISBLANK(_xlfn.xlookup(D$3,daily_items,_xlfn.xlookup($C2130,daily_dates,big_daily_table))),NA(),_xlfn.xlookup(D$3,daily_items,_xlfn.xlookup($C2130,daily_dates,big_daily_table)))</f>
        <v>#NAME?</v>
      </c>
      <c r="E2130" s="1" t="e">
        <f aca="false" t="array" ref="E2130:E2130">IF(ISBLANK(_xlfn.xlookup(E$3,daily_items,_xlfn.xlookup($C2130,daily_dates,big_daily_table))),NA(),_xlfn.xlookup(E$3,daily_items,_xlfn.xlookup($C2130,daily_dates,big_daily_table)))</f>
        <v>#NAME?</v>
      </c>
    </row>
    <row r="2131" customFormat="false" ht="14.25" hidden="false" customHeight="false" outlineLevel="0" collapsed="false">
      <c r="B2131" s="7" t="n">
        <v>43036</v>
      </c>
      <c r="C2131" s="7" t="n">
        <f aca="false">B2131-WEEKDAY(B2131)+1</f>
        <v>43030</v>
      </c>
      <c r="D2131" s="1" t="e">
        <f aca="false" t="array" ref="D2131:D2131">IF(ISBLANK(_xlfn.xlookup(D$3,daily_items,_xlfn.xlookup($C2131,daily_dates,big_daily_table))),NA(),_xlfn.xlookup(D$3,daily_items,_xlfn.xlookup($C2131,daily_dates,big_daily_table)))</f>
        <v>#NAME?</v>
      </c>
      <c r="E2131" s="1" t="e">
        <f aca="false" t="array" ref="E2131:E2131">IF(ISBLANK(_xlfn.xlookup(E$3,daily_items,_xlfn.xlookup($C2131,daily_dates,big_daily_table))),NA(),_xlfn.xlookup(E$3,daily_items,_xlfn.xlookup($C2131,daily_dates,big_daily_table)))</f>
        <v>#NAME?</v>
      </c>
    </row>
    <row r="2132" customFormat="false" ht="14.25" hidden="false" customHeight="false" outlineLevel="0" collapsed="false">
      <c r="B2132" s="7" t="n">
        <v>43037</v>
      </c>
      <c r="C2132" s="7" t="n">
        <f aca="false">B2132-WEEKDAY(B2132)+1</f>
        <v>43037</v>
      </c>
      <c r="D2132" s="1" t="e">
        <f aca="false" t="array" ref="D2132:D2132">IF(ISBLANK(_xlfn.xlookup(D$3,daily_items,_xlfn.xlookup($C2132,daily_dates,big_daily_table))),NA(),_xlfn.xlookup(D$3,daily_items,_xlfn.xlookup($C2132,daily_dates,big_daily_table)))</f>
        <v>#NAME?</v>
      </c>
      <c r="E2132" s="1" t="e">
        <f aca="false" t="array" ref="E2132:E2132">IF(ISBLANK(_xlfn.xlookup(E$3,daily_items,_xlfn.xlookup($C2132,daily_dates,big_daily_table))),NA(),_xlfn.xlookup(E$3,daily_items,_xlfn.xlookup($C2132,daily_dates,big_daily_table)))</f>
        <v>#NAME?</v>
      </c>
    </row>
    <row r="2133" customFormat="false" ht="14.25" hidden="false" customHeight="false" outlineLevel="0" collapsed="false">
      <c r="B2133" s="7" t="n">
        <v>43038</v>
      </c>
      <c r="C2133" s="7" t="n">
        <f aca="false">B2133-WEEKDAY(B2133)+1</f>
        <v>43037</v>
      </c>
      <c r="D2133" s="1" t="e">
        <f aca="false" t="array" ref="D2133:D2133">IF(ISBLANK(_xlfn.xlookup(D$3,daily_items,_xlfn.xlookup($C2133,daily_dates,big_daily_table))),NA(),_xlfn.xlookup(D$3,daily_items,_xlfn.xlookup($C2133,daily_dates,big_daily_table)))</f>
        <v>#NAME?</v>
      </c>
      <c r="E2133" s="1" t="e">
        <f aca="false" t="array" ref="E2133:E2133">IF(ISBLANK(_xlfn.xlookup(E$3,daily_items,_xlfn.xlookup($C2133,daily_dates,big_daily_table))),NA(),_xlfn.xlookup(E$3,daily_items,_xlfn.xlookup($C2133,daily_dates,big_daily_table)))</f>
        <v>#NAME?</v>
      </c>
    </row>
    <row r="2134" customFormat="false" ht="14.25" hidden="false" customHeight="false" outlineLevel="0" collapsed="false">
      <c r="B2134" s="7" t="n">
        <v>43039</v>
      </c>
      <c r="C2134" s="7" t="n">
        <f aca="false">B2134-WEEKDAY(B2134)+1</f>
        <v>43037</v>
      </c>
      <c r="D2134" s="1" t="e">
        <f aca="false" t="array" ref="D2134:D2134">IF(ISBLANK(_xlfn.xlookup(D$3,daily_items,_xlfn.xlookup($C2134,daily_dates,big_daily_table))),NA(),_xlfn.xlookup(D$3,daily_items,_xlfn.xlookup($C2134,daily_dates,big_daily_table)))</f>
        <v>#NAME?</v>
      </c>
      <c r="E2134" s="1" t="e">
        <f aca="false" t="array" ref="E2134:E2134">IF(ISBLANK(_xlfn.xlookup(E$3,daily_items,_xlfn.xlookup($C2134,daily_dates,big_daily_table))),NA(),_xlfn.xlookup(E$3,daily_items,_xlfn.xlookup($C2134,daily_dates,big_daily_table)))</f>
        <v>#NAME?</v>
      </c>
    </row>
    <row r="2135" customFormat="false" ht="14.25" hidden="false" customHeight="false" outlineLevel="0" collapsed="false">
      <c r="B2135" s="7" t="n">
        <v>43040</v>
      </c>
      <c r="C2135" s="7" t="n">
        <f aca="false">B2135-WEEKDAY(B2135)+1</f>
        <v>43037</v>
      </c>
      <c r="D2135" s="1" t="e">
        <f aca="false" t="array" ref="D2135:D2135">IF(ISBLANK(_xlfn.xlookup(D$3,daily_items,_xlfn.xlookup($C2135,daily_dates,big_daily_table))),NA(),_xlfn.xlookup(D$3,daily_items,_xlfn.xlookup($C2135,daily_dates,big_daily_table)))</f>
        <v>#NAME?</v>
      </c>
      <c r="E2135" s="1" t="e">
        <f aca="false" t="array" ref="E2135:E2135">IF(ISBLANK(_xlfn.xlookup(E$3,daily_items,_xlfn.xlookup($C2135,daily_dates,big_daily_table))),NA(),_xlfn.xlookup(E$3,daily_items,_xlfn.xlookup($C2135,daily_dates,big_daily_table)))</f>
        <v>#NAME?</v>
      </c>
    </row>
    <row r="2136" customFormat="false" ht="14.25" hidden="false" customHeight="false" outlineLevel="0" collapsed="false">
      <c r="B2136" s="7" t="n">
        <v>43041</v>
      </c>
      <c r="C2136" s="7" t="n">
        <f aca="false">B2136-WEEKDAY(B2136)+1</f>
        <v>43037</v>
      </c>
      <c r="D2136" s="1" t="e">
        <f aca="false" t="array" ref="D2136:D2136">IF(ISBLANK(_xlfn.xlookup(D$3,daily_items,_xlfn.xlookup($C2136,daily_dates,big_daily_table))),NA(),_xlfn.xlookup(D$3,daily_items,_xlfn.xlookup($C2136,daily_dates,big_daily_table)))</f>
        <v>#NAME?</v>
      </c>
      <c r="E2136" s="1" t="e">
        <f aca="false" t="array" ref="E2136:E2136">IF(ISBLANK(_xlfn.xlookup(E$3,daily_items,_xlfn.xlookup($C2136,daily_dates,big_daily_table))),NA(),_xlfn.xlookup(E$3,daily_items,_xlfn.xlookup($C2136,daily_dates,big_daily_table)))</f>
        <v>#NAME?</v>
      </c>
    </row>
    <row r="2137" customFormat="false" ht="14.25" hidden="false" customHeight="false" outlineLevel="0" collapsed="false">
      <c r="B2137" s="7" t="n">
        <v>43042</v>
      </c>
      <c r="C2137" s="7" t="n">
        <f aca="false">B2137-WEEKDAY(B2137)+1</f>
        <v>43037</v>
      </c>
      <c r="D2137" s="1" t="e">
        <f aca="false" t="array" ref="D2137:D2137">IF(ISBLANK(_xlfn.xlookup(D$3,daily_items,_xlfn.xlookup($C2137,daily_dates,big_daily_table))),NA(),_xlfn.xlookup(D$3,daily_items,_xlfn.xlookup($C2137,daily_dates,big_daily_table)))</f>
        <v>#NAME?</v>
      </c>
      <c r="E2137" s="1" t="e">
        <f aca="false" t="array" ref="E2137:E2137">IF(ISBLANK(_xlfn.xlookup(E$3,daily_items,_xlfn.xlookup($C2137,daily_dates,big_daily_table))),NA(),_xlfn.xlookup(E$3,daily_items,_xlfn.xlookup($C2137,daily_dates,big_daily_table)))</f>
        <v>#NAME?</v>
      </c>
    </row>
    <row r="2138" customFormat="false" ht="14.25" hidden="false" customHeight="false" outlineLevel="0" collapsed="false">
      <c r="B2138" s="7" t="n">
        <v>43043</v>
      </c>
      <c r="C2138" s="7" t="n">
        <f aca="false">B2138-WEEKDAY(B2138)+1</f>
        <v>43037</v>
      </c>
      <c r="D2138" s="1" t="e">
        <f aca="false" t="array" ref="D2138:D2138">IF(ISBLANK(_xlfn.xlookup(D$3,daily_items,_xlfn.xlookup($C2138,daily_dates,big_daily_table))),NA(),_xlfn.xlookup(D$3,daily_items,_xlfn.xlookup($C2138,daily_dates,big_daily_table)))</f>
        <v>#NAME?</v>
      </c>
      <c r="E2138" s="1" t="e">
        <f aca="false" t="array" ref="E2138:E2138">IF(ISBLANK(_xlfn.xlookup(E$3,daily_items,_xlfn.xlookup($C2138,daily_dates,big_daily_table))),NA(),_xlfn.xlookup(E$3,daily_items,_xlfn.xlookup($C2138,daily_dates,big_daily_table)))</f>
        <v>#NAME?</v>
      </c>
    </row>
    <row r="2139" customFormat="false" ht="14.25" hidden="false" customHeight="false" outlineLevel="0" collapsed="false">
      <c r="B2139" s="7" t="n">
        <v>43044</v>
      </c>
      <c r="C2139" s="7" t="n">
        <f aca="false">B2139-WEEKDAY(B2139)+1</f>
        <v>43044</v>
      </c>
      <c r="D2139" s="1" t="e">
        <f aca="false" t="array" ref="D2139:D2139">IF(ISBLANK(_xlfn.xlookup(D$3,daily_items,_xlfn.xlookup($C2139,daily_dates,big_daily_table))),NA(),_xlfn.xlookup(D$3,daily_items,_xlfn.xlookup($C2139,daily_dates,big_daily_table)))</f>
        <v>#NAME?</v>
      </c>
      <c r="E2139" s="1" t="e">
        <f aca="false" t="array" ref="E2139:E2139">IF(ISBLANK(_xlfn.xlookup(E$3,daily_items,_xlfn.xlookup($C2139,daily_dates,big_daily_table))),NA(),_xlfn.xlookup(E$3,daily_items,_xlfn.xlookup($C2139,daily_dates,big_daily_table)))</f>
        <v>#NAME?</v>
      </c>
    </row>
    <row r="2140" customFormat="false" ht="14.25" hidden="false" customHeight="false" outlineLevel="0" collapsed="false">
      <c r="B2140" s="7" t="n">
        <v>43045</v>
      </c>
      <c r="C2140" s="7" t="n">
        <f aca="false">B2140-WEEKDAY(B2140)+1</f>
        <v>43044</v>
      </c>
      <c r="D2140" s="1" t="e">
        <f aca="false" t="array" ref="D2140:D2140">IF(ISBLANK(_xlfn.xlookup(D$3,daily_items,_xlfn.xlookup($C2140,daily_dates,big_daily_table))),NA(),_xlfn.xlookup(D$3,daily_items,_xlfn.xlookup($C2140,daily_dates,big_daily_table)))</f>
        <v>#NAME?</v>
      </c>
      <c r="E2140" s="1" t="e">
        <f aca="false" t="array" ref="E2140:E2140">IF(ISBLANK(_xlfn.xlookup(E$3,daily_items,_xlfn.xlookup($C2140,daily_dates,big_daily_table))),NA(),_xlfn.xlookup(E$3,daily_items,_xlfn.xlookup($C2140,daily_dates,big_daily_table)))</f>
        <v>#NAME?</v>
      </c>
    </row>
    <row r="2141" customFormat="false" ht="14.25" hidden="false" customHeight="false" outlineLevel="0" collapsed="false">
      <c r="B2141" s="7" t="n">
        <v>43046</v>
      </c>
      <c r="C2141" s="7" t="n">
        <f aca="false">B2141-WEEKDAY(B2141)+1</f>
        <v>43044</v>
      </c>
      <c r="D2141" s="1" t="e">
        <f aca="false" t="array" ref="D2141:D2141">IF(ISBLANK(_xlfn.xlookup(D$3,daily_items,_xlfn.xlookup($C2141,daily_dates,big_daily_table))),NA(),_xlfn.xlookup(D$3,daily_items,_xlfn.xlookup($C2141,daily_dates,big_daily_table)))</f>
        <v>#NAME?</v>
      </c>
      <c r="E2141" s="1" t="e">
        <f aca="false" t="array" ref="E2141:E2141">IF(ISBLANK(_xlfn.xlookup(E$3,daily_items,_xlfn.xlookup($C2141,daily_dates,big_daily_table))),NA(),_xlfn.xlookup(E$3,daily_items,_xlfn.xlookup($C2141,daily_dates,big_daily_table)))</f>
        <v>#NAME?</v>
      </c>
    </row>
    <row r="2142" customFormat="false" ht="14.25" hidden="false" customHeight="false" outlineLevel="0" collapsed="false">
      <c r="B2142" s="7" t="n">
        <v>43047</v>
      </c>
      <c r="C2142" s="7" t="n">
        <f aca="false">B2142-WEEKDAY(B2142)+1</f>
        <v>43044</v>
      </c>
      <c r="D2142" s="1" t="e">
        <f aca="false" t="array" ref="D2142:D2142">IF(ISBLANK(_xlfn.xlookup(D$3,daily_items,_xlfn.xlookup($C2142,daily_dates,big_daily_table))),NA(),_xlfn.xlookup(D$3,daily_items,_xlfn.xlookup($C2142,daily_dates,big_daily_table)))</f>
        <v>#NAME?</v>
      </c>
      <c r="E2142" s="1" t="e">
        <f aca="false" t="array" ref="E2142:E2142">IF(ISBLANK(_xlfn.xlookup(E$3,daily_items,_xlfn.xlookup($C2142,daily_dates,big_daily_table))),NA(),_xlfn.xlookup(E$3,daily_items,_xlfn.xlookup($C2142,daily_dates,big_daily_table)))</f>
        <v>#NAME?</v>
      </c>
    </row>
    <row r="2143" customFormat="false" ht="14.25" hidden="false" customHeight="false" outlineLevel="0" collapsed="false">
      <c r="B2143" s="7" t="n">
        <v>43048</v>
      </c>
      <c r="C2143" s="7" t="n">
        <f aca="false">B2143-WEEKDAY(B2143)+1</f>
        <v>43044</v>
      </c>
      <c r="D2143" s="1" t="e">
        <f aca="false" t="array" ref="D2143:D2143">IF(ISBLANK(_xlfn.xlookup(D$3,daily_items,_xlfn.xlookup($C2143,daily_dates,big_daily_table))),NA(),_xlfn.xlookup(D$3,daily_items,_xlfn.xlookup($C2143,daily_dates,big_daily_table)))</f>
        <v>#NAME?</v>
      </c>
      <c r="E2143" s="1" t="e">
        <f aca="false" t="array" ref="E2143:E2143">IF(ISBLANK(_xlfn.xlookup(E$3,daily_items,_xlfn.xlookup($C2143,daily_dates,big_daily_table))),NA(),_xlfn.xlookup(E$3,daily_items,_xlfn.xlookup($C2143,daily_dates,big_daily_table)))</f>
        <v>#NAME?</v>
      </c>
    </row>
    <row r="2144" customFormat="false" ht="14.25" hidden="false" customHeight="false" outlineLevel="0" collapsed="false">
      <c r="B2144" s="7" t="n">
        <v>43049</v>
      </c>
      <c r="C2144" s="7" t="n">
        <f aca="false">B2144-WEEKDAY(B2144)+1</f>
        <v>43044</v>
      </c>
      <c r="D2144" s="1" t="e">
        <f aca="false" t="array" ref="D2144:D2144">IF(ISBLANK(_xlfn.xlookup(D$3,daily_items,_xlfn.xlookup($C2144,daily_dates,big_daily_table))),NA(),_xlfn.xlookup(D$3,daily_items,_xlfn.xlookup($C2144,daily_dates,big_daily_table)))</f>
        <v>#NAME?</v>
      </c>
      <c r="E2144" s="1" t="e">
        <f aca="false" t="array" ref="E2144:E2144">IF(ISBLANK(_xlfn.xlookup(E$3,daily_items,_xlfn.xlookup($C2144,daily_dates,big_daily_table))),NA(),_xlfn.xlookup(E$3,daily_items,_xlfn.xlookup($C2144,daily_dates,big_daily_table)))</f>
        <v>#NAME?</v>
      </c>
    </row>
    <row r="2145" customFormat="false" ht="14.25" hidden="false" customHeight="false" outlineLevel="0" collapsed="false">
      <c r="B2145" s="7" t="n">
        <v>43050</v>
      </c>
      <c r="C2145" s="7" t="n">
        <f aca="false">B2145-WEEKDAY(B2145)+1</f>
        <v>43044</v>
      </c>
      <c r="D2145" s="1" t="e">
        <f aca="false" t="array" ref="D2145:D2145">IF(ISBLANK(_xlfn.xlookup(D$3,daily_items,_xlfn.xlookup($C2145,daily_dates,big_daily_table))),NA(),_xlfn.xlookup(D$3,daily_items,_xlfn.xlookup($C2145,daily_dates,big_daily_table)))</f>
        <v>#NAME?</v>
      </c>
      <c r="E2145" s="1" t="e">
        <f aca="false" t="array" ref="E2145:E2145">IF(ISBLANK(_xlfn.xlookup(E$3,daily_items,_xlfn.xlookup($C2145,daily_dates,big_daily_table))),NA(),_xlfn.xlookup(E$3,daily_items,_xlfn.xlookup($C2145,daily_dates,big_daily_table)))</f>
        <v>#NAME?</v>
      </c>
    </row>
    <row r="2146" customFormat="false" ht="14.25" hidden="false" customHeight="false" outlineLevel="0" collapsed="false">
      <c r="B2146" s="7" t="n">
        <v>43051</v>
      </c>
      <c r="C2146" s="7" t="n">
        <f aca="false">B2146-WEEKDAY(B2146)+1</f>
        <v>43051</v>
      </c>
      <c r="D2146" s="1" t="e">
        <f aca="false" t="array" ref="D2146:D2146">IF(ISBLANK(_xlfn.xlookup(D$3,daily_items,_xlfn.xlookup($C2146,daily_dates,big_daily_table))),NA(),_xlfn.xlookup(D$3,daily_items,_xlfn.xlookup($C2146,daily_dates,big_daily_table)))</f>
        <v>#NAME?</v>
      </c>
      <c r="E2146" s="1" t="e">
        <f aca="false" t="array" ref="E2146:E2146">IF(ISBLANK(_xlfn.xlookup(E$3,daily_items,_xlfn.xlookup($C2146,daily_dates,big_daily_table))),NA(),_xlfn.xlookup(E$3,daily_items,_xlfn.xlookup($C2146,daily_dates,big_daily_table)))</f>
        <v>#NAME?</v>
      </c>
    </row>
    <row r="2147" customFormat="false" ht="14.25" hidden="false" customHeight="false" outlineLevel="0" collapsed="false">
      <c r="B2147" s="7" t="n">
        <v>43052</v>
      </c>
      <c r="C2147" s="7" t="n">
        <f aca="false">B2147-WEEKDAY(B2147)+1</f>
        <v>43051</v>
      </c>
      <c r="D2147" s="1" t="e">
        <f aca="false" t="array" ref="D2147:D2147">IF(ISBLANK(_xlfn.xlookup(D$3,daily_items,_xlfn.xlookup($C2147,daily_dates,big_daily_table))),NA(),_xlfn.xlookup(D$3,daily_items,_xlfn.xlookup($C2147,daily_dates,big_daily_table)))</f>
        <v>#NAME?</v>
      </c>
      <c r="E2147" s="1" t="e">
        <f aca="false" t="array" ref="E2147:E2147">IF(ISBLANK(_xlfn.xlookup(E$3,daily_items,_xlfn.xlookup($C2147,daily_dates,big_daily_table))),NA(),_xlfn.xlookup(E$3,daily_items,_xlfn.xlookup($C2147,daily_dates,big_daily_table)))</f>
        <v>#NAME?</v>
      </c>
    </row>
    <row r="2148" customFormat="false" ht="14.25" hidden="false" customHeight="false" outlineLevel="0" collapsed="false">
      <c r="B2148" s="7" t="n">
        <v>43053</v>
      </c>
      <c r="C2148" s="7" t="n">
        <f aca="false">B2148-WEEKDAY(B2148)+1</f>
        <v>43051</v>
      </c>
      <c r="D2148" s="1" t="e">
        <f aca="false" t="array" ref="D2148:D2148">IF(ISBLANK(_xlfn.xlookup(D$3,daily_items,_xlfn.xlookup($C2148,daily_dates,big_daily_table))),NA(),_xlfn.xlookup(D$3,daily_items,_xlfn.xlookup($C2148,daily_dates,big_daily_table)))</f>
        <v>#NAME?</v>
      </c>
      <c r="E2148" s="1" t="e">
        <f aca="false" t="array" ref="E2148:E2148">IF(ISBLANK(_xlfn.xlookup(E$3,daily_items,_xlfn.xlookup($C2148,daily_dates,big_daily_table))),NA(),_xlfn.xlookup(E$3,daily_items,_xlfn.xlookup($C2148,daily_dates,big_daily_table)))</f>
        <v>#NAME?</v>
      </c>
    </row>
    <row r="2149" customFormat="false" ht="14.25" hidden="false" customHeight="false" outlineLevel="0" collapsed="false">
      <c r="B2149" s="7" t="n">
        <v>43054</v>
      </c>
      <c r="C2149" s="7" t="n">
        <f aca="false">B2149-WEEKDAY(B2149)+1</f>
        <v>43051</v>
      </c>
      <c r="D2149" s="1" t="e">
        <f aca="false" t="array" ref="D2149:D2149">IF(ISBLANK(_xlfn.xlookup(D$3,daily_items,_xlfn.xlookup($C2149,daily_dates,big_daily_table))),NA(),_xlfn.xlookup(D$3,daily_items,_xlfn.xlookup($C2149,daily_dates,big_daily_table)))</f>
        <v>#NAME?</v>
      </c>
      <c r="E2149" s="1" t="e">
        <f aca="false" t="array" ref="E2149:E2149">IF(ISBLANK(_xlfn.xlookup(E$3,daily_items,_xlfn.xlookup($C2149,daily_dates,big_daily_table))),NA(),_xlfn.xlookup(E$3,daily_items,_xlfn.xlookup($C2149,daily_dates,big_daily_table)))</f>
        <v>#NAME?</v>
      </c>
    </row>
    <row r="2150" customFormat="false" ht="14.25" hidden="false" customHeight="false" outlineLevel="0" collapsed="false">
      <c r="B2150" s="7" t="n">
        <v>43055</v>
      </c>
      <c r="C2150" s="7" t="n">
        <f aca="false">B2150-WEEKDAY(B2150)+1</f>
        <v>43051</v>
      </c>
      <c r="D2150" s="1" t="e">
        <f aca="false" t="array" ref="D2150:D2150">IF(ISBLANK(_xlfn.xlookup(D$3,daily_items,_xlfn.xlookup($C2150,daily_dates,big_daily_table))),NA(),_xlfn.xlookup(D$3,daily_items,_xlfn.xlookup($C2150,daily_dates,big_daily_table)))</f>
        <v>#NAME?</v>
      </c>
      <c r="E2150" s="1" t="e">
        <f aca="false" t="array" ref="E2150:E2150">IF(ISBLANK(_xlfn.xlookup(E$3,daily_items,_xlfn.xlookup($C2150,daily_dates,big_daily_table))),NA(),_xlfn.xlookup(E$3,daily_items,_xlfn.xlookup($C2150,daily_dates,big_daily_table)))</f>
        <v>#NAME?</v>
      </c>
    </row>
    <row r="2151" customFormat="false" ht="14.25" hidden="false" customHeight="false" outlineLevel="0" collapsed="false">
      <c r="B2151" s="7" t="n">
        <v>43056</v>
      </c>
      <c r="C2151" s="7" t="n">
        <f aca="false">B2151-WEEKDAY(B2151)+1</f>
        <v>43051</v>
      </c>
      <c r="D2151" s="1" t="e">
        <f aca="false" t="array" ref="D2151:D2151">IF(ISBLANK(_xlfn.xlookup(D$3,daily_items,_xlfn.xlookup($C2151,daily_dates,big_daily_table))),NA(),_xlfn.xlookup(D$3,daily_items,_xlfn.xlookup($C2151,daily_dates,big_daily_table)))</f>
        <v>#NAME?</v>
      </c>
      <c r="E2151" s="1" t="e">
        <f aca="false" t="array" ref="E2151:E2151">IF(ISBLANK(_xlfn.xlookup(E$3,daily_items,_xlfn.xlookup($C2151,daily_dates,big_daily_table))),NA(),_xlfn.xlookup(E$3,daily_items,_xlfn.xlookup($C2151,daily_dates,big_daily_table)))</f>
        <v>#NAME?</v>
      </c>
    </row>
    <row r="2152" customFormat="false" ht="14.25" hidden="false" customHeight="false" outlineLevel="0" collapsed="false">
      <c r="B2152" s="7" t="n">
        <v>43057</v>
      </c>
      <c r="C2152" s="7" t="n">
        <f aca="false">B2152-WEEKDAY(B2152)+1</f>
        <v>43051</v>
      </c>
      <c r="D2152" s="1" t="e">
        <f aca="false" t="array" ref="D2152:D2152">IF(ISBLANK(_xlfn.xlookup(D$3,daily_items,_xlfn.xlookup($C2152,daily_dates,big_daily_table))),NA(),_xlfn.xlookup(D$3,daily_items,_xlfn.xlookup($C2152,daily_dates,big_daily_table)))</f>
        <v>#NAME?</v>
      </c>
      <c r="E2152" s="1" t="e">
        <f aca="false" t="array" ref="E2152:E2152">IF(ISBLANK(_xlfn.xlookup(E$3,daily_items,_xlfn.xlookup($C2152,daily_dates,big_daily_table))),NA(),_xlfn.xlookup(E$3,daily_items,_xlfn.xlookup($C2152,daily_dates,big_daily_table)))</f>
        <v>#NAME?</v>
      </c>
    </row>
    <row r="2153" customFormat="false" ht="14.25" hidden="false" customHeight="false" outlineLevel="0" collapsed="false">
      <c r="B2153" s="7" t="n">
        <v>43058</v>
      </c>
      <c r="C2153" s="7" t="n">
        <f aca="false">B2153-WEEKDAY(B2153)+1</f>
        <v>43058</v>
      </c>
      <c r="D2153" s="1" t="e">
        <f aca="false" t="array" ref="D2153:D2153">IF(ISBLANK(_xlfn.xlookup(D$3,daily_items,_xlfn.xlookup($C2153,daily_dates,big_daily_table))),NA(),_xlfn.xlookup(D$3,daily_items,_xlfn.xlookup($C2153,daily_dates,big_daily_table)))</f>
        <v>#NAME?</v>
      </c>
      <c r="E2153" s="1" t="e">
        <f aca="false" t="array" ref="E2153:E2153">IF(ISBLANK(_xlfn.xlookup(E$3,daily_items,_xlfn.xlookup($C2153,daily_dates,big_daily_table))),NA(),_xlfn.xlookup(E$3,daily_items,_xlfn.xlookup($C2153,daily_dates,big_daily_table)))</f>
        <v>#NAME?</v>
      </c>
    </row>
    <row r="2154" customFormat="false" ht="14.25" hidden="false" customHeight="false" outlineLevel="0" collapsed="false">
      <c r="B2154" s="7" t="n">
        <v>43059</v>
      </c>
      <c r="C2154" s="7" t="n">
        <f aca="false">B2154-WEEKDAY(B2154)+1</f>
        <v>43058</v>
      </c>
      <c r="D2154" s="1" t="e">
        <f aca="false" t="array" ref="D2154:D2154">IF(ISBLANK(_xlfn.xlookup(D$3,daily_items,_xlfn.xlookup($C2154,daily_dates,big_daily_table))),NA(),_xlfn.xlookup(D$3,daily_items,_xlfn.xlookup($C2154,daily_dates,big_daily_table)))</f>
        <v>#NAME?</v>
      </c>
      <c r="E2154" s="1" t="e">
        <f aca="false" t="array" ref="E2154:E2154">IF(ISBLANK(_xlfn.xlookup(E$3,daily_items,_xlfn.xlookup($C2154,daily_dates,big_daily_table))),NA(),_xlfn.xlookup(E$3,daily_items,_xlfn.xlookup($C2154,daily_dates,big_daily_table)))</f>
        <v>#NAME?</v>
      </c>
    </row>
    <row r="2155" customFormat="false" ht="14.25" hidden="false" customHeight="false" outlineLevel="0" collapsed="false">
      <c r="B2155" s="7" t="n">
        <v>43060</v>
      </c>
      <c r="C2155" s="7" t="n">
        <f aca="false">B2155-WEEKDAY(B2155)+1</f>
        <v>43058</v>
      </c>
      <c r="D2155" s="1" t="e">
        <f aca="false" t="array" ref="D2155:D2155">IF(ISBLANK(_xlfn.xlookup(D$3,daily_items,_xlfn.xlookup($C2155,daily_dates,big_daily_table))),NA(),_xlfn.xlookup(D$3,daily_items,_xlfn.xlookup($C2155,daily_dates,big_daily_table)))</f>
        <v>#NAME?</v>
      </c>
      <c r="E2155" s="1" t="e">
        <f aca="false" t="array" ref="E2155:E2155">IF(ISBLANK(_xlfn.xlookup(E$3,daily_items,_xlfn.xlookup($C2155,daily_dates,big_daily_table))),NA(),_xlfn.xlookup(E$3,daily_items,_xlfn.xlookup($C2155,daily_dates,big_daily_table)))</f>
        <v>#NAME?</v>
      </c>
    </row>
    <row r="2156" customFormat="false" ht="14.25" hidden="false" customHeight="false" outlineLevel="0" collapsed="false">
      <c r="B2156" s="7" t="n">
        <v>43061</v>
      </c>
      <c r="C2156" s="7" t="n">
        <f aca="false">B2156-WEEKDAY(B2156)+1</f>
        <v>43058</v>
      </c>
      <c r="D2156" s="1" t="e">
        <f aca="false" t="array" ref="D2156:D2156">IF(ISBLANK(_xlfn.xlookup(D$3,daily_items,_xlfn.xlookup($C2156,daily_dates,big_daily_table))),NA(),_xlfn.xlookup(D$3,daily_items,_xlfn.xlookup($C2156,daily_dates,big_daily_table)))</f>
        <v>#NAME?</v>
      </c>
      <c r="E2156" s="1" t="e">
        <f aca="false" t="array" ref="E2156:E2156">IF(ISBLANK(_xlfn.xlookup(E$3,daily_items,_xlfn.xlookup($C2156,daily_dates,big_daily_table))),NA(),_xlfn.xlookup(E$3,daily_items,_xlfn.xlookup($C2156,daily_dates,big_daily_table)))</f>
        <v>#NAME?</v>
      </c>
    </row>
    <row r="2157" customFormat="false" ht="14.25" hidden="false" customHeight="false" outlineLevel="0" collapsed="false">
      <c r="B2157" s="7" t="n">
        <v>43062</v>
      </c>
      <c r="C2157" s="7" t="n">
        <f aca="false">B2157-WEEKDAY(B2157)+1</f>
        <v>43058</v>
      </c>
      <c r="D2157" s="1" t="e">
        <f aca="false" t="array" ref="D2157:D2157">IF(ISBLANK(_xlfn.xlookup(D$3,daily_items,_xlfn.xlookup($C2157,daily_dates,big_daily_table))),NA(),_xlfn.xlookup(D$3,daily_items,_xlfn.xlookup($C2157,daily_dates,big_daily_table)))</f>
        <v>#NAME?</v>
      </c>
      <c r="E2157" s="1" t="e">
        <f aca="false" t="array" ref="E2157:E2157">IF(ISBLANK(_xlfn.xlookup(E$3,daily_items,_xlfn.xlookup($C2157,daily_dates,big_daily_table))),NA(),_xlfn.xlookup(E$3,daily_items,_xlfn.xlookup($C2157,daily_dates,big_daily_table)))</f>
        <v>#NAME?</v>
      </c>
    </row>
    <row r="2158" customFormat="false" ht="14.25" hidden="false" customHeight="false" outlineLevel="0" collapsed="false">
      <c r="B2158" s="7" t="n">
        <v>43063</v>
      </c>
      <c r="C2158" s="7" t="n">
        <f aca="false">B2158-WEEKDAY(B2158)+1</f>
        <v>43058</v>
      </c>
      <c r="D2158" s="1" t="e">
        <f aca="false" t="array" ref="D2158:D2158">IF(ISBLANK(_xlfn.xlookup(D$3,daily_items,_xlfn.xlookup($C2158,daily_dates,big_daily_table))),NA(),_xlfn.xlookup(D$3,daily_items,_xlfn.xlookup($C2158,daily_dates,big_daily_table)))</f>
        <v>#NAME?</v>
      </c>
      <c r="E2158" s="1" t="e">
        <f aca="false" t="array" ref="E2158:E2158">IF(ISBLANK(_xlfn.xlookup(E$3,daily_items,_xlfn.xlookup($C2158,daily_dates,big_daily_table))),NA(),_xlfn.xlookup(E$3,daily_items,_xlfn.xlookup($C2158,daily_dates,big_daily_table)))</f>
        <v>#NAME?</v>
      </c>
    </row>
    <row r="2159" customFormat="false" ht="14.25" hidden="false" customHeight="false" outlineLevel="0" collapsed="false">
      <c r="B2159" s="7" t="n">
        <v>43064</v>
      </c>
      <c r="C2159" s="7" t="n">
        <f aca="false">B2159-WEEKDAY(B2159)+1</f>
        <v>43058</v>
      </c>
      <c r="D2159" s="1" t="e">
        <f aca="false" t="array" ref="D2159:D2159">IF(ISBLANK(_xlfn.xlookup(D$3,daily_items,_xlfn.xlookup($C2159,daily_dates,big_daily_table))),NA(),_xlfn.xlookup(D$3,daily_items,_xlfn.xlookup($C2159,daily_dates,big_daily_table)))</f>
        <v>#NAME?</v>
      </c>
      <c r="E2159" s="1" t="e">
        <f aca="false" t="array" ref="E2159:E2159">IF(ISBLANK(_xlfn.xlookup(E$3,daily_items,_xlfn.xlookup($C2159,daily_dates,big_daily_table))),NA(),_xlfn.xlookup(E$3,daily_items,_xlfn.xlookup($C2159,daily_dates,big_daily_table)))</f>
        <v>#NAME?</v>
      </c>
    </row>
    <row r="2160" customFormat="false" ht="14.25" hidden="false" customHeight="false" outlineLevel="0" collapsed="false">
      <c r="B2160" s="7" t="n">
        <v>43065</v>
      </c>
      <c r="C2160" s="7" t="n">
        <f aca="false">B2160-WEEKDAY(B2160)+1</f>
        <v>43065</v>
      </c>
      <c r="D2160" s="1" t="e">
        <f aca="false" t="array" ref="D2160:D2160">IF(ISBLANK(_xlfn.xlookup(D$3,daily_items,_xlfn.xlookup($C2160,daily_dates,big_daily_table))),NA(),_xlfn.xlookup(D$3,daily_items,_xlfn.xlookup($C2160,daily_dates,big_daily_table)))</f>
        <v>#NAME?</v>
      </c>
      <c r="E2160" s="1" t="e">
        <f aca="false" t="array" ref="E2160:E2160">IF(ISBLANK(_xlfn.xlookup(E$3,daily_items,_xlfn.xlookup($C2160,daily_dates,big_daily_table))),NA(),_xlfn.xlookup(E$3,daily_items,_xlfn.xlookup($C2160,daily_dates,big_daily_table)))</f>
        <v>#NAME?</v>
      </c>
    </row>
    <row r="2161" customFormat="false" ht="14.25" hidden="false" customHeight="false" outlineLevel="0" collapsed="false">
      <c r="B2161" s="7" t="n">
        <v>43066</v>
      </c>
      <c r="C2161" s="7" t="n">
        <f aca="false">B2161-WEEKDAY(B2161)+1</f>
        <v>43065</v>
      </c>
      <c r="D2161" s="1" t="e">
        <f aca="false" t="array" ref="D2161:D2161">IF(ISBLANK(_xlfn.xlookup(D$3,daily_items,_xlfn.xlookup($C2161,daily_dates,big_daily_table))),NA(),_xlfn.xlookup(D$3,daily_items,_xlfn.xlookup($C2161,daily_dates,big_daily_table)))</f>
        <v>#NAME?</v>
      </c>
      <c r="E2161" s="1" t="e">
        <f aca="false" t="array" ref="E2161:E2161">IF(ISBLANK(_xlfn.xlookup(E$3,daily_items,_xlfn.xlookup($C2161,daily_dates,big_daily_table))),NA(),_xlfn.xlookup(E$3,daily_items,_xlfn.xlookup($C2161,daily_dates,big_daily_table)))</f>
        <v>#NAME?</v>
      </c>
    </row>
    <row r="2162" customFormat="false" ht="14.25" hidden="false" customHeight="false" outlineLevel="0" collapsed="false">
      <c r="B2162" s="7" t="n">
        <v>43067</v>
      </c>
      <c r="C2162" s="7" t="n">
        <f aca="false">B2162-WEEKDAY(B2162)+1</f>
        <v>43065</v>
      </c>
      <c r="D2162" s="1" t="e">
        <f aca="false" t="array" ref="D2162:D2162">IF(ISBLANK(_xlfn.xlookup(D$3,daily_items,_xlfn.xlookup($C2162,daily_dates,big_daily_table))),NA(),_xlfn.xlookup(D$3,daily_items,_xlfn.xlookup($C2162,daily_dates,big_daily_table)))</f>
        <v>#NAME?</v>
      </c>
      <c r="E2162" s="1" t="e">
        <f aca="false" t="array" ref="E2162:E2162">IF(ISBLANK(_xlfn.xlookup(E$3,daily_items,_xlfn.xlookup($C2162,daily_dates,big_daily_table))),NA(),_xlfn.xlookup(E$3,daily_items,_xlfn.xlookup($C2162,daily_dates,big_daily_table)))</f>
        <v>#NAME?</v>
      </c>
    </row>
    <row r="2163" customFormat="false" ht="14.25" hidden="false" customHeight="false" outlineLevel="0" collapsed="false">
      <c r="B2163" s="7" t="n">
        <v>43068</v>
      </c>
      <c r="C2163" s="7" t="n">
        <f aca="false">B2163-WEEKDAY(B2163)+1</f>
        <v>43065</v>
      </c>
      <c r="D2163" s="1" t="e">
        <f aca="false" t="array" ref="D2163:D2163">IF(ISBLANK(_xlfn.xlookup(D$3,daily_items,_xlfn.xlookup($C2163,daily_dates,big_daily_table))),NA(),_xlfn.xlookup(D$3,daily_items,_xlfn.xlookup($C2163,daily_dates,big_daily_table)))</f>
        <v>#NAME?</v>
      </c>
      <c r="E2163" s="1" t="e">
        <f aca="false" t="array" ref="E2163:E2163">IF(ISBLANK(_xlfn.xlookup(E$3,daily_items,_xlfn.xlookup($C2163,daily_dates,big_daily_table))),NA(),_xlfn.xlookup(E$3,daily_items,_xlfn.xlookup($C2163,daily_dates,big_daily_table)))</f>
        <v>#NAME?</v>
      </c>
    </row>
    <row r="2164" customFormat="false" ht="14.25" hidden="false" customHeight="false" outlineLevel="0" collapsed="false">
      <c r="B2164" s="7" t="n">
        <v>43069</v>
      </c>
      <c r="C2164" s="7" t="n">
        <f aca="false">B2164-WEEKDAY(B2164)+1</f>
        <v>43065</v>
      </c>
      <c r="D2164" s="1" t="e">
        <f aca="false" t="array" ref="D2164:D2164">IF(ISBLANK(_xlfn.xlookup(D$3,daily_items,_xlfn.xlookup($C2164,daily_dates,big_daily_table))),NA(),_xlfn.xlookup(D$3,daily_items,_xlfn.xlookup($C2164,daily_dates,big_daily_table)))</f>
        <v>#NAME?</v>
      </c>
      <c r="E2164" s="1" t="e">
        <f aca="false" t="array" ref="E2164:E2164">IF(ISBLANK(_xlfn.xlookup(E$3,daily_items,_xlfn.xlookup($C2164,daily_dates,big_daily_table))),NA(),_xlfn.xlookup(E$3,daily_items,_xlfn.xlookup($C2164,daily_dates,big_daily_table)))</f>
        <v>#NAME?</v>
      </c>
    </row>
    <row r="2165" customFormat="false" ht="14.25" hidden="false" customHeight="false" outlineLevel="0" collapsed="false">
      <c r="B2165" s="7" t="n">
        <v>43070</v>
      </c>
      <c r="C2165" s="7" t="n">
        <f aca="false">B2165-WEEKDAY(B2165)+1</f>
        <v>43065</v>
      </c>
      <c r="D2165" s="1" t="e">
        <f aca="false" t="array" ref="D2165:D2165">IF(ISBLANK(_xlfn.xlookup(D$3,daily_items,_xlfn.xlookup($C2165,daily_dates,big_daily_table))),NA(),_xlfn.xlookup(D$3,daily_items,_xlfn.xlookup($C2165,daily_dates,big_daily_table)))</f>
        <v>#NAME?</v>
      </c>
      <c r="E2165" s="1" t="e">
        <f aca="false" t="array" ref="E2165:E2165">IF(ISBLANK(_xlfn.xlookup(E$3,daily_items,_xlfn.xlookup($C2165,daily_dates,big_daily_table))),NA(),_xlfn.xlookup(E$3,daily_items,_xlfn.xlookup($C2165,daily_dates,big_daily_table)))</f>
        <v>#NAME?</v>
      </c>
    </row>
    <row r="2166" customFormat="false" ht="14.25" hidden="false" customHeight="false" outlineLevel="0" collapsed="false">
      <c r="B2166" s="7" t="n">
        <v>43071</v>
      </c>
      <c r="C2166" s="7" t="n">
        <f aca="false">B2166-WEEKDAY(B2166)+1</f>
        <v>43065</v>
      </c>
      <c r="D2166" s="1" t="e">
        <f aca="false" t="array" ref="D2166:D2166">IF(ISBLANK(_xlfn.xlookup(D$3,daily_items,_xlfn.xlookup($C2166,daily_dates,big_daily_table))),NA(),_xlfn.xlookup(D$3,daily_items,_xlfn.xlookup($C2166,daily_dates,big_daily_table)))</f>
        <v>#NAME?</v>
      </c>
      <c r="E2166" s="1" t="e">
        <f aca="false" t="array" ref="E2166:E2166">IF(ISBLANK(_xlfn.xlookup(E$3,daily_items,_xlfn.xlookup($C2166,daily_dates,big_daily_table))),NA(),_xlfn.xlookup(E$3,daily_items,_xlfn.xlookup($C2166,daily_dates,big_daily_table)))</f>
        <v>#NAME?</v>
      </c>
    </row>
    <row r="2167" customFormat="false" ht="14.25" hidden="false" customHeight="false" outlineLevel="0" collapsed="false">
      <c r="B2167" s="7" t="n">
        <v>43072</v>
      </c>
      <c r="C2167" s="7" t="n">
        <f aca="false">B2167-WEEKDAY(B2167)+1</f>
        <v>43072</v>
      </c>
      <c r="D2167" s="1" t="e">
        <f aca="false" t="array" ref="D2167:D2167">IF(ISBLANK(_xlfn.xlookup(D$3,daily_items,_xlfn.xlookup($C2167,daily_dates,big_daily_table))),NA(),_xlfn.xlookup(D$3,daily_items,_xlfn.xlookup($C2167,daily_dates,big_daily_table)))</f>
        <v>#NAME?</v>
      </c>
      <c r="E2167" s="1" t="e">
        <f aca="false" t="array" ref="E2167:E2167">IF(ISBLANK(_xlfn.xlookup(E$3,daily_items,_xlfn.xlookup($C2167,daily_dates,big_daily_table))),NA(),_xlfn.xlookup(E$3,daily_items,_xlfn.xlookup($C2167,daily_dates,big_daily_table)))</f>
        <v>#NAME?</v>
      </c>
    </row>
    <row r="2168" customFormat="false" ht="14.25" hidden="false" customHeight="false" outlineLevel="0" collapsed="false">
      <c r="B2168" s="7" t="n">
        <v>43073</v>
      </c>
      <c r="C2168" s="7" t="n">
        <f aca="false">B2168-WEEKDAY(B2168)+1</f>
        <v>43072</v>
      </c>
      <c r="D2168" s="1" t="e">
        <f aca="false" t="array" ref="D2168:D2168">IF(ISBLANK(_xlfn.xlookup(D$3,daily_items,_xlfn.xlookup($C2168,daily_dates,big_daily_table))),NA(),_xlfn.xlookup(D$3,daily_items,_xlfn.xlookup($C2168,daily_dates,big_daily_table)))</f>
        <v>#NAME?</v>
      </c>
      <c r="E2168" s="1" t="e">
        <f aca="false" t="array" ref="E2168:E2168">IF(ISBLANK(_xlfn.xlookup(E$3,daily_items,_xlfn.xlookup($C2168,daily_dates,big_daily_table))),NA(),_xlfn.xlookup(E$3,daily_items,_xlfn.xlookup($C2168,daily_dates,big_daily_table)))</f>
        <v>#NAME?</v>
      </c>
    </row>
    <row r="2169" customFormat="false" ht="14.25" hidden="false" customHeight="false" outlineLevel="0" collapsed="false">
      <c r="B2169" s="7" t="n">
        <v>43074</v>
      </c>
      <c r="C2169" s="7" t="n">
        <f aca="false">B2169-WEEKDAY(B2169)+1</f>
        <v>43072</v>
      </c>
      <c r="D2169" s="1" t="e">
        <f aca="false" t="array" ref="D2169:D2169">IF(ISBLANK(_xlfn.xlookup(D$3,daily_items,_xlfn.xlookup($C2169,daily_dates,big_daily_table))),NA(),_xlfn.xlookup(D$3,daily_items,_xlfn.xlookup($C2169,daily_dates,big_daily_table)))</f>
        <v>#NAME?</v>
      </c>
      <c r="E2169" s="1" t="e">
        <f aca="false" t="array" ref="E2169:E2169">IF(ISBLANK(_xlfn.xlookup(E$3,daily_items,_xlfn.xlookup($C2169,daily_dates,big_daily_table))),NA(),_xlfn.xlookup(E$3,daily_items,_xlfn.xlookup($C2169,daily_dates,big_daily_table)))</f>
        <v>#NAME?</v>
      </c>
    </row>
    <row r="2170" customFormat="false" ht="14.25" hidden="false" customHeight="false" outlineLevel="0" collapsed="false">
      <c r="B2170" s="7" t="n">
        <v>43075</v>
      </c>
      <c r="C2170" s="7" t="n">
        <f aca="false">B2170-WEEKDAY(B2170)+1</f>
        <v>43072</v>
      </c>
      <c r="D2170" s="1" t="e">
        <f aca="false" t="array" ref="D2170:D2170">IF(ISBLANK(_xlfn.xlookup(D$3,daily_items,_xlfn.xlookup($C2170,daily_dates,big_daily_table))),NA(),_xlfn.xlookup(D$3,daily_items,_xlfn.xlookup($C2170,daily_dates,big_daily_table)))</f>
        <v>#NAME?</v>
      </c>
      <c r="E2170" s="1" t="e">
        <f aca="false" t="array" ref="E2170:E2170">IF(ISBLANK(_xlfn.xlookup(E$3,daily_items,_xlfn.xlookup($C2170,daily_dates,big_daily_table))),NA(),_xlfn.xlookup(E$3,daily_items,_xlfn.xlookup($C2170,daily_dates,big_daily_table)))</f>
        <v>#NAME?</v>
      </c>
    </row>
    <row r="2171" customFormat="false" ht="14.25" hidden="false" customHeight="false" outlineLevel="0" collapsed="false">
      <c r="B2171" s="7" t="n">
        <v>43076</v>
      </c>
      <c r="C2171" s="7" t="n">
        <f aca="false">B2171-WEEKDAY(B2171)+1</f>
        <v>43072</v>
      </c>
      <c r="D2171" s="1" t="e">
        <f aca="false" t="array" ref="D2171:D2171">IF(ISBLANK(_xlfn.xlookup(D$3,daily_items,_xlfn.xlookup($C2171,daily_dates,big_daily_table))),NA(),_xlfn.xlookup(D$3,daily_items,_xlfn.xlookup($C2171,daily_dates,big_daily_table)))</f>
        <v>#NAME?</v>
      </c>
      <c r="E2171" s="1" t="e">
        <f aca="false" t="array" ref="E2171:E2171">IF(ISBLANK(_xlfn.xlookup(E$3,daily_items,_xlfn.xlookup($C2171,daily_dates,big_daily_table))),NA(),_xlfn.xlookup(E$3,daily_items,_xlfn.xlookup($C2171,daily_dates,big_daily_table)))</f>
        <v>#NAME?</v>
      </c>
    </row>
    <row r="2172" customFormat="false" ht="14.25" hidden="false" customHeight="false" outlineLevel="0" collapsed="false">
      <c r="B2172" s="7" t="n">
        <v>43077</v>
      </c>
      <c r="C2172" s="7" t="n">
        <f aca="false">B2172-WEEKDAY(B2172)+1</f>
        <v>43072</v>
      </c>
      <c r="D2172" s="1" t="e">
        <f aca="false" t="array" ref="D2172:D2172">IF(ISBLANK(_xlfn.xlookup(D$3,daily_items,_xlfn.xlookup($C2172,daily_dates,big_daily_table))),NA(),_xlfn.xlookup(D$3,daily_items,_xlfn.xlookup($C2172,daily_dates,big_daily_table)))</f>
        <v>#NAME?</v>
      </c>
      <c r="E2172" s="1" t="e">
        <f aca="false" t="array" ref="E2172:E2172">IF(ISBLANK(_xlfn.xlookup(E$3,daily_items,_xlfn.xlookup($C2172,daily_dates,big_daily_table))),NA(),_xlfn.xlookup(E$3,daily_items,_xlfn.xlookup($C2172,daily_dates,big_daily_table)))</f>
        <v>#NAME?</v>
      </c>
    </row>
    <row r="2173" customFormat="false" ht="14.25" hidden="false" customHeight="false" outlineLevel="0" collapsed="false">
      <c r="B2173" s="7" t="n">
        <v>43078</v>
      </c>
      <c r="C2173" s="7" t="n">
        <f aca="false">B2173-WEEKDAY(B2173)+1</f>
        <v>43072</v>
      </c>
      <c r="D2173" s="1" t="e">
        <f aca="false" t="array" ref="D2173:D2173">IF(ISBLANK(_xlfn.xlookup(D$3,daily_items,_xlfn.xlookup($C2173,daily_dates,big_daily_table))),NA(),_xlfn.xlookup(D$3,daily_items,_xlfn.xlookup($C2173,daily_dates,big_daily_table)))</f>
        <v>#NAME?</v>
      </c>
      <c r="E2173" s="1" t="e">
        <f aca="false" t="array" ref="E2173:E2173">IF(ISBLANK(_xlfn.xlookup(E$3,daily_items,_xlfn.xlookup($C2173,daily_dates,big_daily_table))),NA(),_xlfn.xlookup(E$3,daily_items,_xlfn.xlookup($C2173,daily_dates,big_daily_table)))</f>
        <v>#NAME?</v>
      </c>
    </row>
    <row r="2174" customFormat="false" ht="14.25" hidden="false" customHeight="false" outlineLevel="0" collapsed="false">
      <c r="B2174" s="7" t="n">
        <v>43079</v>
      </c>
      <c r="C2174" s="7" t="n">
        <f aca="false">B2174-WEEKDAY(B2174)+1</f>
        <v>43079</v>
      </c>
      <c r="D2174" s="1" t="e">
        <f aca="false" t="array" ref="D2174:D2174">IF(ISBLANK(_xlfn.xlookup(D$3,daily_items,_xlfn.xlookup($C2174,daily_dates,big_daily_table))),NA(),_xlfn.xlookup(D$3,daily_items,_xlfn.xlookup($C2174,daily_dates,big_daily_table)))</f>
        <v>#NAME?</v>
      </c>
      <c r="E2174" s="1" t="e">
        <f aca="false" t="array" ref="E2174:E2174">IF(ISBLANK(_xlfn.xlookup(E$3,daily_items,_xlfn.xlookup($C2174,daily_dates,big_daily_table))),NA(),_xlfn.xlookup(E$3,daily_items,_xlfn.xlookup($C2174,daily_dates,big_daily_table)))</f>
        <v>#NAME?</v>
      </c>
    </row>
    <row r="2175" customFormat="false" ht="14.25" hidden="false" customHeight="false" outlineLevel="0" collapsed="false">
      <c r="B2175" s="7" t="n">
        <v>43080</v>
      </c>
      <c r="C2175" s="7" t="n">
        <f aca="false">B2175-WEEKDAY(B2175)+1</f>
        <v>43079</v>
      </c>
      <c r="D2175" s="1" t="e">
        <f aca="false" t="array" ref="D2175:D2175">IF(ISBLANK(_xlfn.xlookup(D$3,daily_items,_xlfn.xlookup($C2175,daily_dates,big_daily_table))),NA(),_xlfn.xlookup(D$3,daily_items,_xlfn.xlookup($C2175,daily_dates,big_daily_table)))</f>
        <v>#NAME?</v>
      </c>
      <c r="E2175" s="1" t="e">
        <f aca="false" t="array" ref="E2175:E2175">IF(ISBLANK(_xlfn.xlookup(E$3,daily_items,_xlfn.xlookup($C2175,daily_dates,big_daily_table))),NA(),_xlfn.xlookup(E$3,daily_items,_xlfn.xlookup($C2175,daily_dates,big_daily_table)))</f>
        <v>#NAME?</v>
      </c>
    </row>
    <row r="2176" customFormat="false" ht="14.25" hidden="false" customHeight="false" outlineLevel="0" collapsed="false">
      <c r="B2176" s="7" t="n">
        <v>43081</v>
      </c>
      <c r="C2176" s="7" t="n">
        <f aca="false">B2176-WEEKDAY(B2176)+1</f>
        <v>43079</v>
      </c>
      <c r="D2176" s="1" t="e">
        <f aca="false" t="array" ref="D2176:D2176">IF(ISBLANK(_xlfn.xlookup(D$3,daily_items,_xlfn.xlookup($C2176,daily_dates,big_daily_table))),NA(),_xlfn.xlookup(D$3,daily_items,_xlfn.xlookup($C2176,daily_dates,big_daily_table)))</f>
        <v>#NAME?</v>
      </c>
      <c r="E2176" s="1" t="e">
        <f aca="false" t="array" ref="E2176:E2176">IF(ISBLANK(_xlfn.xlookup(E$3,daily_items,_xlfn.xlookup($C2176,daily_dates,big_daily_table))),NA(),_xlfn.xlookup(E$3,daily_items,_xlfn.xlookup($C2176,daily_dates,big_daily_table)))</f>
        <v>#NAME?</v>
      </c>
    </row>
    <row r="2177" customFormat="false" ht="14.25" hidden="false" customHeight="false" outlineLevel="0" collapsed="false">
      <c r="B2177" s="7" t="n">
        <v>43082</v>
      </c>
      <c r="C2177" s="7" t="n">
        <f aca="false">B2177-WEEKDAY(B2177)+1</f>
        <v>43079</v>
      </c>
      <c r="D2177" s="1" t="e">
        <f aca="false" t="array" ref="D2177:D2177">IF(ISBLANK(_xlfn.xlookup(D$3,daily_items,_xlfn.xlookup($C2177,daily_dates,big_daily_table))),NA(),_xlfn.xlookup(D$3,daily_items,_xlfn.xlookup($C2177,daily_dates,big_daily_table)))</f>
        <v>#NAME?</v>
      </c>
      <c r="E2177" s="1" t="e">
        <f aca="false" t="array" ref="E2177:E2177">IF(ISBLANK(_xlfn.xlookup(E$3,daily_items,_xlfn.xlookup($C2177,daily_dates,big_daily_table))),NA(),_xlfn.xlookup(E$3,daily_items,_xlfn.xlookup($C2177,daily_dates,big_daily_table)))</f>
        <v>#NAME?</v>
      </c>
    </row>
    <row r="2178" customFormat="false" ht="14.25" hidden="false" customHeight="false" outlineLevel="0" collapsed="false">
      <c r="B2178" s="7" t="n">
        <v>43083</v>
      </c>
      <c r="C2178" s="7" t="n">
        <f aca="false">B2178-WEEKDAY(B2178)+1</f>
        <v>43079</v>
      </c>
      <c r="D2178" s="1" t="e">
        <f aca="false" t="array" ref="D2178:D2178">IF(ISBLANK(_xlfn.xlookup(D$3,daily_items,_xlfn.xlookup($C2178,daily_dates,big_daily_table))),NA(),_xlfn.xlookup(D$3,daily_items,_xlfn.xlookup($C2178,daily_dates,big_daily_table)))</f>
        <v>#NAME?</v>
      </c>
      <c r="E2178" s="1" t="e">
        <f aca="false" t="array" ref="E2178:E2178">IF(ISBLANK(_xlfn.xlookup(E$3,daily_items,_xlfn.xlookup($C2178,daily_dates,big_daily_table))),NA(),_xlfn.xlookup(E$3,daily_items,_xlfn.xlookup($C2178,daily_dates,big_daily_table)))</f>
        <v>#NAME?</v>
      </c>
    </row>
    <row r="2179" customFormat="false" ht="14.25" hidden="false" customHeight="false" outlineLevel="0" collapsed="false">
      <c r="B2179" s="7" t="n">
        <v>43084</v>
      </c>
      <c r="C2179" s="7" t="n">
        <f aca="false">B2179-WEEKDAY(B2179)+1</f>
        <v>43079</v>
      </c>
      <c r="D2179" s="1" t="e">
        <f aca="false" t="array" ref="D2179:D2179">IF(ISBLANK(_xlfn.xlookup(D$3,daily_items,_xlfn.xlookup($C2179,daily_dates,big_daily_table))),NA(),_xlfn.xlookup(D$3,daily_items,_xlfn.xlookup($C2179,daily_dates,big_daily_table)))</f>
        <v>#NAME?</v>
      </c>
      <c r="E2179" s="1" t="e">
        <f aca="false" t="array" ref="E2179:E2179">IF(ISBLANK(_xlfn.xlookup(E$3,daily_items,_xlfn.xlookup($C2179,daily_dates,big_daily_table))),NA(),_xlfn.xlookup(E$3,daily_items,_xlfn.xlookup($C2179,daily_dates,big_daily_table)))</f>
        <v>#NAME?</v>
      </c>
    </row>
    <row r="2180" customFormat="false" ht="14.25" hidden="false" customHeight="false" outlineLevel="0" collapsed="false">
      <c r="B2180" s="7" t="n">
        <v>43085</v>
      </c>
      <c r="C2180" s="7" t="n">
        <f aca="false">B2180-WEEKDAY(B2180)+1</f>
        <v>43079</v>
      </c>
      <c r="D2180" s="1" t="e">
        <f aca="false" t="array" ref="D2180:D2180">IF(ISBLANK(_xlfn.xlookup(D$3,daily_items,_xlfn.xlookup($C2180,daily_dates,big_daily_table))),NA(),_xlfn.xlookup(D$3,daily_items,_xlfn.xlookup($C2180,daily_dates,big_daily_table)))</f>
        <v>#NAME?</v>
      </c>
      <c r="E2180" s="1" t="e">
        <f aca="false" t="array" ref="E2180:E2180">IF(ISBLANK(_xlfn.xlookup(E$3,daily_items,_xlfn.xlookup($C2180,daily_dates,big_daily_table))),NA(),_xlfn.xlookup(E$3,daily_items,_xlfn.xlookup($C2180,daily_dates,big_daily_table)))</f>
        <v>#NAME?</v>
      </c>
    </row>
    <row r="2181" customFormat="false" ht="14.25" hidden="false" customHeight="false" outlineLevel="0" collapsed="false">
      <c r="B2181" s="7" t="n">
        <v>43086</v>
      </c>
      <c r="C2181" s="7" t="n">
        <f aca="false">B2181-WEEKDAY(B2181)+1</f>
        <v>43086</v>
      </c>
      <c r="D2181" s="1" t="e">
        <f aca="false" t="array" ref="D2181:D2181">IF(ISBLANK(_xlfn.xlookup(D$3,daily_items,_xlfn.xlookup($C2181,daily_dates,big_daily_table))),NA(),_xlfn.xlookup(D$3,daily_items,_xlfn.xlookup($C2181,daily_dates,big_daily_table)))</f>
        <v>#NAME?</v>
      </c>
      <c r="E2181" s="1" t="e">
        <f aca="false" t="array" ref="E2181:E2181">IF(ISBLANK(_xlfn.xlookup(E$3,daily_items,_xlfn.xlookup($C2181,daily_dates,big_daily_table))),NA(),_xlfn.xlookup(E$3,daily_items,_xlfn.xlookup($C2181,daily_dates,big_daily_table)))</f>
        <v>#NAME?</v>
      </c>
    </row>
    <row r="2182" customFormat="false" ht="14.25" hidden="false" customHeight="false" outlineLevel="0" collapsed="false">
      <c r="B2182" s="7" t="n">
        <v>43087</v>
      </c>
      <c r="C2182" s="7" t="n">
        <f aca="false">B2182-WEEKDAY(B2182)+1</f>
        <v>43086</v>
      </c>
      <c r="D2182" s="1" t="e">
        <f aca="false" t="array" ref="D2182:D2182">IF(ISBLANK(_xlfn.xlookup(D$3,daily_items,_xlfn.xlookup($C2182,daily_dates,big_daily_table))),NA(),_xlfn.xlookup(D$3,daily_items,_xlfn.xlookup($C2182,daily_dates,big_daily_table)))</f>
        <v>#NAME?</v>
      </c>
      <c r="E2182" s="1" t="e">
        <f aca="false" t="array" ref="E2182:E2182">IF(ISBLANK(_xlfn.xlookup(E$3,daily_items,_xlfn.xlookup($C2182,daily_dates,big_daily_table))),NA(),_xlfn.xlookup(E$3,daily_items,_xlfn.xlookup($C2182,daily_dates,big_daily_table)))</f>
        <v>#NAME?</v>
      </c>
    </row>
    <row r="2183" customFormat="false" ht="14.25" hidden="false" customHeight="false" outlineLevel="0" collapsed="false">
      <c r="B2183" s="7" t="n">
        <v>43088</v>
      </c>
      <c r="C2183" s="7" t="n">
        <f aca="false">B2183-WEEKDAY(B2183)+1</f>
        <v>43086</v>
      </c>
      <c r="D2183" s="1" t="e">
        <f aca="false" t="array" ref="D2183:D2183">IF(ISBLANK(_xlfn.xlookup(D$3,daily_items,_xlfn.xlookup($C2183,daily_dates,big_daily_table))),NA(),_xlfn.xlookup(D$3,daily_items,_xlfn.xlookup($C2183,daily_dates,big_daily_table)))</f>
        <v>#NAME?</v>
      </c>
      <c r="E2183" s="1" t="e">
        <f aca="false" t="array" ref="E2183:E2183">IF(ISBLANK(_xlfn.xlookup(E$3,daily_items,_xlfn.xlookup($C2183,daily_dates,big_daily_table))),NA(),_xlfn.xlookup(E$3,daily_items,_xlfn.xlookup($C2183,daily_dates,big_daily_table)))</f>
        <v>#NAME?</v>
      </c>
    </row>
    <row r="2184" customFormat="false" ht="14.25" hidden="false" customHeight="false" outlineLevel="0" collapsed="false">
      <c r="B2184" s="7" t="n">
        <v>43089</v>
      </c>
      <c r="C2184" s="7" t="n">
        <f aca="false">B2184-WEEKDAY(B2184)+1</f>
        <v>43086</v>
      </c>
      <c r="D2184" s="1" t="e">
        <f aca="false" t="array" ref="D2184:D2184">IF(ISBLANK(_xlfn.xlookup(D$3,daily_items,_xlfn.xlookup($C2184,daily_dates,big_daily_table))),NA(),_xlfn.xlookup(D$3,daily_items,_xlfn.xlookup($C2184,daily_dates,big_daily_table)))</f>
        <v>#NAME?</v>
      </c>
      <c r="E2184" s="1" t="e">
        <f aca="false" t="array" ref="E2184:E2184">IF(ISBLANK(_xlfn.xlookup(E$3,daily_items,_xlfn.xlookup($C2184,daily_dates,big_daily_table))),NA(),_xlfn.xlookup(E$3,daily_items,_xlfn.xlookup($C2184,daily_dates,big_daily_table)))</f>
        <v>#NAME?</v>
      </c>
    </row>
    <row r="2185" customFormat="false" ht="14.25" hidden="false" customHeight="false" outlineLevel="0" collapsed="false">
      <c r="B2185" s="7" t="n">
        <v>43090</v>
      </c>
      <c r="C2185" s="7" t="n">
        <f aca="false">B2185-WEEKDAY(B2185)+1</f>
        <v>43086</v>
      </c>
      <c r="D2185" s="1" t="e">
        <f aca="false" t="array" ref="D2185:D2185">IF(ISBLANK(_xlfn.xlookup(D$3,daily_items,_xlfn.xlookup($C2185,daily_dates,big_daily_table))),NA(),_xlfn.xlookup(D$3,daily_items,_xlfn.xlookup($C2185,daily_dates,big_daily_table)))</f>
        <v>#NAME?</v>
      </c>
      <c r="E2185" s="1" t="e">
        <f aca="false" t="array" ref="E2185:E2185">IF(ISBLANK(_xlfn.xlookup(E$3,daily_items,_xlfn.xlookup($C2185,daily_dates,big_daily_table))),NA(),_xlfn.xlookup(E$3,daily_items,_xlfn.xlookup($C2185,daily_dates,big_daily_table)))</f>
        <v>#NAME?</v>
      </c>
    </row>
    <row r="2186" customFormat="false" ht="14.25" hidden="false" customHeight="false" outlineLevel="0" collapsed="false">
      <c r="B2186" s="7" t="n">
        <v>43091</v>
      </c>
      <c r="C2186" s="7" t="n">
        <f aca="false">B2186-WEEKDAY(B2186)+1</f>
        <v>43086</v>
      </c>
      <c r="D2186" s="1" t="e">
        <f aca="false" t="array" ref="D2186:D2186">IF(ISBLANK(_xlfn.xlookup(D$3,daily_items,_xlfn.xlookup($C2186,daily_dates,big_daily_table))),NA(),_xlfn.xlookup(D$3,daily_items,_xlfn.xlookup($C2186,daily_dates,big_daily_table)))</f>
        <v>#NAME?</v>
      </c>
      <c r="E2186" s="1" t="e">
        <f aca="false" t="array" ref="E2186:E2186">IF(ISBLANK(_xlfn.xlookup(E$3,daily_items,_xlfn.xlookup($C2186,daily_dates,big_daily_table))),NA(),_xlfn.xlookup(E$3,daily_items,_xlfn.xlookup($C2186,daily_dates,big_daily_table)))</f>
        <v>#NAME?</v>
      </c>
    </row>
    <row r="2187" customFormat="false" ht="14.25" hidden="false" customHeight="false" outlineLevel="0" collapsed="false">
      <c r="B2187" s="7" t="n">
        <v>43092</v>
      </c>
      <c r="C2187" s="7" t="n">
        <f aca="false">B2187-WEEKDAY(B2187)+1</f>
        <v>43086</v>
      </c>
      <c r="D2187" s="1" t="e">
        <f aca="false" t="array" ref="D2187:D2187">IF(ISBLANK(_xlfn.xlookup(D$3,daily_items,_xlfn.xlookup($C2187,daily_dates,big_daily_table))),NA(),_xlfn.xlookup(D$3,daily_items,_xlfn.xlookup($C2187,daily_dates,big_daily_table)))</f>
        <v>#NAME?</v>
      </c>
      <c r="E2187" s="1" t="e">
        <f aca="false" t="array" ref="E2187:E2187">IF(ISBLANK(_xlfn.xlookup(E$3,daily_items,_xlfn.xlookup($C2187,daily_dates,big_daily_table))),NA(),_xlfn.xlookup(E$3,daily_items,_xlfn.xlookup($C2187,daily_dates,big_daily_table)))</f>
        <v>#NAME?</v>
      </c>
    </row>
    <row r="2188" customFormat="false" ht="14.25" hidden="false" customHeight="false" outlineLevel="0" collapsed="false">
      <c r="B2188" s="7" t="n">
        <v>43093</v>
      </c>
      <c r="C2188" s="7" t="n">
        <f aca="false">B2188-WEEKDAY(B2188)+1</f>
        <v>43093</v>
      </c>
      <c r="D2188" s="1" t="e">
        <f aca="false" t="array" ref="D2188:D2188">IF(ISBLANK(_xlfn.xlookup(D$3,daily_items,_xlfn.xlookup($C2188,daily_dates,big_daily_table))),NA(),_xlfn.xlookup(D$3,daily_items,_xlfn.xlookup($C2188,daily_dates,big_daily_table)))</f>
        <v>#NAME?</v>
      </c>
      <c r="E2188" s="1" t="e">
        <f aca="false" t="array" ref="E2188:E2188">IF(ISBLANK(_xlfn.xlookup(E$3,daily_items,_xlfn.xlookup($C2188,daily_dates,big_daily_table))),NA(),_xlfn.xlookup(E$3,daily_items,_xlfn.xlookup($C2188,daily_dates,big_daily_table)))</f>
        <v>#NAME?</v>
      </c>
    </row>
    <row r="2189" customFormat="false" ht="14.25" hidden="false" customHeight="false" outlineLevel="0" collapsed="false">
      <c r="B2189" s="7" t="n">
        <v>43094</v>
      </c>
      <c r="C2189" s="7" t="n">
        <f aca="false">B2189-WEEKDAY(B2189)+1</f>
        <v>43093</v>
      </c>
      <c r="D2189" s="1" t="e">
        <f aca="false" t="array" ref="D2189:D2189">IF(ISBLANK(_xlfn.xlookup(D$3,daily_items,_xlfn.xlookup($C2189,daily_dates,big_daily_table))),NA(),_xlfn.xlookup(D$3,daily_items,_xlfn.xlookup($C2189,daily_dates,big_daily_table)))</f>
        <v>#NAME?</v>
      </c>
      <c r="E2189" s="1" t="e">
        <f aca="false" t="array" ref="E2189:E2189">IF(ISBLANK(_xlfn.xlookup(E$3,daily_items,_xlfn.xlookup($C2189,daily_dates,big_daily_table))),NA(),_xlfn.xlookup(E$3,daily_items,_xlfn.xlookup($C2189,daily_dates,big_daily_table)))</f>
        <v>#NAME?</v>
      </c>
    </row>
    <row r="2190" customFormat="false" ht="14.25" hidden="false" customHeight="false" outlineLevel="0" collapsed="false">
      <c r="B2190" s="7" t="n">
        <v>43095</v>
      </c>
      <c r="C2190" s="7" t="n">
        <f aca="false">B2190-WEEKDAY(B2190)+1</f>
        <v>43093</v>
      </c>
      <c r="D2190" s="1" t="e">
        <f aca="false" t="array" ref="D2190:D2190">IF(ISBLANK(_xlfn.xlookup(D$3,daily_items,_xlfn.xlookup($C2190,daily_dates,big_daily_table))),NA(),_xlfn.xlookup(D$3,daily_items,_xlfn.xlookup($C2190,daily_dates,big_daily_table)))</f>
        <v>#NAME?</v>
      </c>
      <c r="E2190" s="1" t="e">
        <f aca="false" t="array" ref="E2190:E2190">IF(ISBLANK(_xlfn.xlookup(E$3,daily_items,_xlfn.xlookup($C2190,daily_dates,big_daily_table))),NA(),_xlfn.xlookup(E$3,daily_items,_xlfn.xlookup($C2190,daily_dates,big_daily_table)))</f>
        <v>#NAME?</v>
      </c>
    </row>
    <row r="2191" customFormat="false" ht="14.25" hidden="false" customHeight="false" outlineLevel="0" collapsed="false">
      <c r="B2191" s="7" t="n">
        <v>43096</v>
      </c>
      <c r="C2191" s="7" t="n">
        <f aca="false">B2191-WEEKDAY(B2191)+1</f>
        <v>43093</v>
      </c>
      <c r="D2191" s="1" t="e">
        <f aca="false" t="array" ref="D2191:D2191">IF(ISBLANK(_xlfn.xlookup(D$3,daily_items,_xlfn.xlookup($C2191,daily_dates,big_daily_table))),NA(),_xlfn.xlookup(D$3,daily_items,_xlfn.xlookup($C2191,daily_dates,big_daily_table)))</f>
        <v>#NAME?</v>
      </c>
      <c r="E2191" s="1" t="e">
        <f aca="false" t="array" ref="E2191:E2191">IF(ISBLANK(_xlfn.xlookup(E$3,daily_items,_xlfn.xlookup($C2191,daily_dates,big_daily_table))),NA(),_xlfn.xlookup(E$3,daily_items,_xlfn.xlookup($C2191,daily_dates,big_daily_table)))</f>
        <v>#NAME?</v>
      </c>
    </row>
    <row r="2192" customFormat="false" ht="14.25" hidden="false" customHeight="false" outlineLevel="0" collapsed="false">
      <c r="B2192" s="7" t="n">
        <v>43097</v>
      </c>
      <c r="C2192" s="7" t="n">
        <f aca="false">B2192-WEEKDAY(B2192)+1</f>
        <v>43093</v>
      </c>
      <c r="D2192" s="1" t="e">
        <f aca="false" t="array" ref="D2192:D2192">IF(ISBLANK(_xlfn.xlookup(D$3,daily_items,_xlfn.xlookup($C2192,daily_dates,big_daily_table))),NA(),_xlfn.xlookup(D$3,daily_items,_xlfn.xlookup($C2192,daily_dates,big_daily_table)))</f>
        <v>#NAME?</v>
      </c>
      <c r="E2192" s="1" t="e">
        <f aca="false" t="array" ref="E2192:E2192">IF(ISBLANK(_xlfn.xlookup(E$3,daily_items,_xlfn.xlookup($C2192,daily_dates,big_daily_table))),NA(),_xlfn.xlookup(E$3,daily_items,_xlfn.xlookup($C2192,daily_dates,big_daily_table)))</f>
        <v>#NAME?</v>
      </c>
    </row>
    <row r="2193" customFormat="false" ht="14.25" hidden="false" customHeight="false" outlineLevel="0" collapsed="false">
      <c r="B2193" s="7" t="n">
        <v>43098</v>
      </c>
      <c r="C2193" s="7" t="n">
        <f aca="false">B2193-WEEKDAY(B2193)+1</f>
        <v>43093</v>
      </c>
      <c r="D2193" s="1" t="e">
        <f aca="false" t="array" ref="D2193:D2193">IF(ISBLANK(_xlfn.xlookup(D$3,daily_items,_xlfn.xlookup($C2193,daily_dates,big_daily_table))),NA(),_xlfn.xlookup(D$3,daily_items,_xlfn.xlookup($C2193,daily_dates,big_daily_table)))</f>
        <v>#NAME?</v>
      </c>
      <c r="E2193" s="1" t="e">
        <f aca="false" t="array" ref="E2193:E2193">IF(ISBLANK(_xlfn.xlookup(E$3,daily_items,_xlfn.xlookup($C2193,daily_dates,big_daily_table))),NA(),_xlfn.xlookup(E$3,daily_items,_xlfn.xlookup($C2193,daily_dates,big_daily_table)))</f>
        <v>#NAME?</v>
      </c>
    </row>
    <row r="2194" customFormat="false" ht="14.25" hidden="false" customHeight="false" outlineLevel="0" collapsed="false">
      <c r="B2194" s="7" t="n">
        <v>43099</v>
      </c>
      <c r="C2194" s="7" t="n">
        <f aca="false">B2194-WEEKDAY(B2194)+1</f>
        <v>43093</v>
      </c>
      <c r="D2194" s="1" t="e">
        <f aca="false" t="array" ref="D2194:D2194">IF(ISBLANK(_xlfn.xlookup(D$3,daily_items,_xlfn.xlookup($C2194,daily_dates,big_daily_table))),NA(),_xlfn.xlookup(D$3,daily_items,_xlfn.xlookup($C2194,daily_dates,big_daily_table)))</f>
        <v>#NAME?</v>
      </c>
      <c r="E2194" s="1" t="e">
        <f aca="false" t="array" ref="E2194:E2194">IF(ISBLANK(_xlfn.xlookup(E$3,daily_items,_xlfn.xlookup($C2194,daily_dates,big_daily_table))),NA(),_xlfn.xlookup(E$3,daily_items,_xlfn.xlookup($C2194,daily_dates,big_daily_table)))</f>
        <v>#NAME?</v>
      </c>
    </row>
    <row r="2195" customFormat="false" ht="14.25" hidden="false" customHeight="false" outlineLevel="0" collapsed="false">
      <c r="B2195" s="7" t="n">
        <v>43100</v>
      </c>
      <c r="C2195" s="7" t="n">
        <f aca="false">B2195-WEEKDAY(B2195)+1</f>
        <v>43100</v>
      </c>
      <c r="D2195" s="1" t="e">
        <f aca="false" t="array" ref="D2195:D2195">IF(ISBLANK(_xlfn.xlookup(D$3,daily_items,_xlfn.xlookup($C2195,daily_dates,big_daily_table))),NA(),_xlfn.xlookup(D$3,daily_items,_xlfn.xlookup($C2195,daily_dates,big_daily_table)))</f>
        <v>#NAME?</v>
      </c>
      <c r="E2195" s="1" t="e">
        <f aca="false" t="array" ref="E2195:E2195">IF(ISBLANK(_xlfn.xlookup(E$3,daily_items,_xlfn.xlookup($C2195,daily_dates,big_daily_table))),NA(),_xlfn.xlookup(E$3,daily_items,_xlfn.xlookup($C2195,daily_dates,big_daily_table)))</f>
        <v>#NAME?</v>
      </c>
    </row>
    <row r="2196" customFormat="false" ht="14.25" hidden="false" customHeight="false" outlineLevel="0" collapsed="false">
      <c r="B2196" s="7" t="n">
        <v>43101</v>
      </c>
      <c r="C2196" s="7" t="n">
        <f aca="false">B2196-WEEKDAY(B2196)+1</f>
        <v>43100</v>
      </c>
      <c r="D2196" s="1" t="e">
        <f aca="false" t="array" ref="D2196:D2196">IF(ISBLANK(_xlfn.xlookup(D$3,daily_items,_xlfn.xlookup($C2196,daily_dates,big_daily_table))),NA(),_xlfn.xlookup(D$3,daily_items,_xlfn.xlookup($C2196,daily_dates,big_daily_table)))</f>
        <v>#NAME?</v>
      </c>
      <c r="E2196" s="1" t="e">
        <f aca="false" t="array" ref="E2196:E2196">IF(ISBLANK(_xlfn.xlookup(E$3,daily_items,_xlfn.xlookup($C2196,daily_dates,big_daily_table))),NA(),_xlfn.xlookup(E$3,daily_items,_xlfn.xlookup($C2196,daily_dates,big_daily_table)))</f>
        <v>#NAME?</v>
      </c>
    </row>
    <row r="2197" customFormat="false" ht="14.25" hidden="false" customHeight="false" outlineLevel="0" collapsed="false">
      <c r="B2197" s="7" t="n">
        <v>43102</v>
      </c>
      <c r="C2197" s="7" t="n">
        <f aca="false">B2197-WEEKDAY(B2197)+1</f>
        <v>43100</v>
      </c>
      <c r="D2197" s="1" t="e">
        <f aca="false" t="array" ref="D2197:D2197">IF(ISBLANK(_xlfn.xlookup(D$3,daily_items,_xlfn.xlookup($C2197,daily_dates,big_daily_table))),NA(),_xlfn.xlookup(D$3,daily_items,_xlfn.xlookup($C2197,daily_dates,big_daily_table)))</f>
        <v>#NAME?</v>
      </c>
      <c r="E2197" s="1" t="e">
        <f aca="false" t="array" ref="E2197:E2197">IF(ISBLANK(_xlfn.xlookup(E$3,daily_items,_xlfn.xlookup($C2197,daily_dates,big_daily_table))),NA(),_xlfn.xlookup(E$3,daily_items,_xlfn.xlookup($C2197,daily_dates,big_daily_table)))</f>
        <v>#NAME?</v>
      </c>
    </row>
    <row r="2198" customFormat="false" ht="14.25" hidden="false" customHeight="false" outlineLevel="0" collapsed="false">
      <c r="B2198" s="7" t="n">
        <v>43103</v>
      </c>
      <c r="C2198" s="7" t="n">
        <f aca="false">B2198-WEEKDAY(B2198)+1</f>
        <v>43100</v>
      </c>
      <c r="D2198" s="1" t="e">
        <f aca="false" t="array" ref="D2198:D2198">IF(ISBLANK(_xlfn.xlookup(D$3,daily_items,_xlfn.xlookup($C2198,daily_dates,big_daily_table))),NA(),_xlfn.xlookup(D$3,daily_items,_xlfn.xlookup($C2198,daily_dates,big_daily_table)))</f>
        <v>#NAME?</v>
      </c>
      <c r="E2198" s="1" t="e">
        <f aca="false" t="array" ref="E2198:E2198">IF(ISBLANK(_xlfn.xlookup(E$3,daily_items,_xlfn.xlookup($C2198,daily_dates,big_daily_table))),NA(),_xlfn.xlookup(E$3,daily_items,_xlfn.xlookup($C2198,daily_dates,big_daily_table)))</f>
        <v>#NAME?</v>
      </c>
    </row>
    <row r="2199" customFormat="false" ht="14.25" hidden="false" customHeight="false" outlineLevel="0" collapsed="false">
      <c r="B2199" s="7" t="n">
        <v>43104</v>
      </c>
      <c r="C2199" s="7" t="n">
        <f aca="false">B2199-WEEKDAY(B2199)+1</f>
        <v>43100</v>
      </c>
      <c r="D2199" s="1" t="e">
        <f aca="false" t="array" ref="D2199:D2199">IF(ISBLANK(_xlfn.xlookup(D$3,daily_items,_xlfn.xlookup($C2199,daily_dates,big_daily_table))),NA(),_xlfn.xlookup(D$3,daily_items,_xlfn.xlookup($C2199,daily_dates,big_daily_table)))</f>
        <v>#NAME?</v>
      </c>
      <c r="E2199" s="1" t="e">
        <f aca="false" t="array" ref="E2199:E2199">IF(ISBLANK(_xlfn.xlookup(E$3,daily_items,_xlfn.xlookup($C2199,daily_dates,big_daily_table))),NA(),_xlfn.xlookup(E$3,daily_items,_xlfn.xlookup($C2199,daily_dates,big_daily_table)))</f>
        <v>#NAME?</v>
      </c>
    </row>
    <row r="2200" customFormat="false" ht="14.25" hidden="false" customHeight="false" outlineLevel="0" collapsed="false">
      <c r="B2200" s="7" t="n">
        <v>43105</v>
      </c>
      <c r="C2200" s="7" t="n">
        <f aca="false">B2200-WEEKDAY(B2200)+1</f>
        <v>43100</v>
      </c>
      <c r="D2200" s="1" t="e">
        <f aca="false" t="array" ref="D2200:D2200">IF(ISBLANK(_xlfn.xlookup(D$3,daily_items,_xlfn.xlookup($C2200,daily_dates,big_daily_table))),NA(),_xlfn.xlookup(D$3,daily_items,_xlfn.xlookup($C2200,daily_dates,big_daily_table)))</f>
        <v>#NAME?</v>
      </c>
      <c r="E2200" s="1" t="e">
        <f aca="false" t="array" ref="E2200:E2200">IF(ISBLANK(_xlfn.xlookup(E$3,daily_items,_xlfn.xlookup($C2200,daily_dates,big_daily_table))),NA(),_xlfn.xlookup(E$3,daily_items,_xlfn.xlookup($C2200,daily_dates,big_daily_table)))</f>
        <v>#NAME?</v>
      </c>
    </row>
    <row r="2201" customFormat="false" ht="14.25" hidden="false" customHeight="false" outlineLevel="0" collapsed="false">
      <c r="B2201" s="7" t="n">
        <v>43106</v>
      </c>
      <c r="C2201" s="7" t="n">
        <f aca="false">B2201-WEEKDAY(B2201)+1</f>
        <v>43100</v>
      </c>
      <c r="D2201" s="1" t="e">
        <f aca="false" t="array" ref="D2201:D2201">IF(ISBLANK(_xlfn.xlookup(D$3,daily_items,_xlfn.xlookup($C2201,daily_dates,big_daily_table))),NA(),_xlfn.xlookup(D$3,daily_items,_xlfn.xlookup($C2201,daily_dates,big_daily_table)))</f>
        <v>#NAME?</v>
      </c>
      <c r="E2201" s="1" t="e">
        <f aca="false" t="array" ref="E2201:E2201">IF(ISBLANK(_xlfn.xlookup(E$3,daily_items,_xlfn.xlookup($C2201,daily_dates,big_daily_table))),NA(),_xlfn.xlookup(E$3,daily_items,_xlfn.xlookup($C2201,daily_dates,big_daily_table)))</f>
        <v>#NAME?</v>
      </c>
    </row>
    <row r="2202" customFormat="false" ht="14.25" hidden="false" customHeight="false" outlineLevel="0" collapsed="false">
      <c r="B2202" s="7" t="n">
        <v>43107</v>
      </c>
      <c r="C2202" s="7" t="n">
        <f aca="false">B2202-WEEKDAY(B2202)+1</f>
        <v>43107</v>
      </c>
      <c r="D2202" s="1" t="e">
        <f aca="false" t="array" ref="D2202:D2202">IF(ISBLANK(_xlfn.xlookup(D$3,daily_items,_xlfn.xlookup($C2202,daily_dates,big_daily_table))),NA(),_xlfn.xlookup(D$3,daily_items,_xlfn.xlookup($C2202,daily_dates,big_daily_table)))</f>
        <v>#NAME?</v>
      </c>
      <c r="E2202" s="1" t="e">
        <f aca="false" t="array" ref="E2202:E2202">IF(ISBLANK(_xlfn.xlookup(E$3,daily_items,_xlfn.xlookup($C2202,daily_dates,big_daily_table))),NA(),_xlfn.xlookup(E$3,daily_items,_xlfn.xlookup($C2202,daily_dates,big_daily_table)))</f>
        <v>#NAME?</v>
      </c>
    </row>
    <row r="2203" customFormat="false" ht="14.25" hidden="false" customHeight="false" outlineLevel="0" collapsed="false">
      <c r="B2203" s="7" t="n">
        <v>43108</v>
      </c>
      <c r="C2203" s="7" t="n">
        <f aca="false">B2203-WEEKDAY(B2203)+1</f>
        <v>43107</v>
      </c>
      <c r="D2203" s="1" t="e">
        <f aca="false" t="array" ref="D2203:D2203">IF(ISBLANK(_xlfn.xlookup(D$3,daily_items,_xlfn.xlookup($C2203,daily_dates,big_daily_table))),NA(),_xlfn.xlookup(D$3,daily_items,_xlfn.xlookup($C2203,daily_dates,big_daily_table)))</f>
        <v>#NAME?</v>
      </c>
      <c r="E2203" s="1" t="e">
        <f aca="false" t="array" ref="E2203:E2203">IF(ISBLANK(_xlfn.xlookup(E$3,daily_items,_xlfn.xlookup($C2203,daily_dates,big_daily_table))),NA(),_xlfn.xlookup(E$3,daily_items,_xlfn.xlookup($C2203,daily_dates,big_daily_table)))</f>
        <v>#NAME?</v>
      </c>
    </row>
    <row r="2204" customFormat="false" ht="14.25" hidden="false" customHeight="false" outlineLevel="0" collapsed="false">
      <c r="B2204" s="7" t="n">
        <v>43109</v>
      </c>
      <c r="C2204" s="7" t="n">
        <f aca="false">B2204-WEEKDAY(B2204)+1</f>
        <v>43107</v>
      </c>
      <c r="D2204" s="1" t="e">
        <f aca="false" t="array" ref="D2204:D2204">IF(ISBLANK(_xlfn.xlookup(D$3,daily_items,_xlfn.xlookup($C2204,daily_dates,big_daily_table))),NA(),_xlfn.xlookup(D$3,daily_items,_xlfn.xlookup($C2204,daily_dates,big_daily_table)))</f>
        <v>#NAME?</v>
      </c>
      <c r="E2204" s="1" t="e">
        <f aca="false" t="array" ref="E2204:E2204">IF(ISBLANK(_xlfn.xlookup(E$3,daily_items,_xlfn.xlookup($C2204,daily_dates,big_daily_table))),NA(),_xlfn.xlookup(E$3,daily_items,_xlfn.xlookup($C2204,daily_dates,big_daily_table)))</f>
        <v>#NAME?</v>
      </c>
    </row>
    <row r="2205" customFormat="false" ht="14.25" hidden="false" customHeight="false" outlineLevel="0" collapsed="false">
      <c r="B2205" s="7" t="n">
        <v>43110</v>
      </c>
      <c r="C2205" s="7" t="n">
        <f aca="false">B2205-WEEKDAY(B2205)+1</f>
        <v>43107</v>
      </c>
      <c r="D2205" s="1" t="e">
        <f aca="false" t="array" ref="D2205:D2205">IF(ISBLANK(_xlfn.xlookup(D$3,daily_items,_xlfn.xlookup($C2205,daily_dates,big_daily_table))),NA(),_xlfn.xlookup(D$3,daily_items,_xlfn.xlookup($C2205,daily_dates,big_daily_table)))</f>
        <v>#NAME?</v>
      </c>
      <c r="E2205" s="1" t="e">
        <f aca="false" t="array" ref="E2205:E2205">IF(ISBLANK(_xlfn.xlookup(E$3,daily_items,_xlfn.xlookup($C2205,daily_dates,big_daily_table))),NA(),_xlfn.xlookup(E$3,daily_items,_xlfn.xlookup($C2205,daily_dates,big_daily_table)))</f>
        <v>#NAME?</v>
      </c>
    </row>
    <row r="2206" customFormat="false" ht="14.25" hidden="false" customHeight="false" outlineLevel="0" collapsed="false">
      <c r="B2206" s="7" t="n">
        <v>43111</v>
      </c>
      <c r="C2206" s="7" t="n">
        <f aca="false">B2206-WEEKDAY(B2206)+1</f>
        <v>43107</v>
      </c>
      <c r="D2206" s="1" t="e">
        <f aca="false" t="array" ref="D2206:D2206">IF(ISBLANK(_xlfn.xlookup(D$3,daily_items,_xlfn.xlookup($C2206,daily_dates,big_daily_table))),NA(),_xlfn.xlookup(D$3,daily_items,_xlfn.xlookup($C2206,daily_dates,big_daily_table)))</f>
        <v>#NAME?</v>
      </c>
      <c r="E2206" s="1" t="e">
        <f aca="false" t="array" ref="E2206:E2206">IF(ISBLANK(_xlfn.xlookup(E$3,daily_items,_xlfn.xlookup($C2206,daily_dates,big_daily_table))),NA(),_xlfn.xlookup(E$3,daily_items,_xlfn.xlookup($C2206,daily_dates,big_daily_table)))</f>
        <v>#NAME?</v>
      </c>
    </row>
    <row r="2207" customFormat="false" ht="14.25" hidden="false" customHeight="false" outlineLevel="0" collapsed="false">
      <c r="B2207" s="7" t="n">
        <v>43112</v>
      </c>
      <c r="C2207" s="7" t="n">
        <f aca="false">B2207-WEEKDAY(B2207)+1</f>
        <v>43107</v>
      </c>
      <c r="D2207" s="1" t="e">
        <f aca="false" t="array" ref="D2207:D2207">IF(ISBLANK(_xlfn.xlookup(D$3,daily_items,_xlfn.xlookup($C2207,daily_dates,big_daily_table))),NA(),_xlfn.xlookup(D$3,daily_items,_xlfn.xlookup($C2207,daily_dates,big_daily_table)))</f>
        <v>#NAME?</v>
      </c>
      <c r="E2207" s="1" t="e">
        <f aca="false" t="array" ref="E2207:E2207">IF(ISBLANK(_xlfn.xlookup(E$3,daily_items,_xlfn.xlookup($C2207,daily_dates,big_daily_table))),NA(),_xlfn.xlookup(E$3,daily_items,_xlfn.xlookup($C2207,daily_dates,big_daily_table)))</f>
        <v>#NAME?</v>
      </c>
    </row>
    <row r="2208" customFormat="false" ht="14.25" hidden="false" customHeight="false" outlineLevel="0" collapsed="false">
      <c r="B2208" s="7" t="n">
        <v>43113</v>
      </c>
      <c r="C2208" s="7" t="n">
        <f aca="false">B2208-WEEKDAY(B2208)+1</f>
        <v>43107</v>
      </c>
      <c r="D2208" s="1" t="e">
        <f aca="false" t="array" ref="D2208:D2208">IF(ISBLANK(_xlfn.xlookup(D$3,daily_items,_xlfn.xlookup($C2208,daily_dates,big_daily_table))),NA(),_xlfn.xlookup(D$3,daily_items,_xlfn.xlookup($C2208,daily_dates,big_daily_table)))</f>
        <v>#NAME?</v>
      </c>
      <c r="E2208" s="1" t="e">
        <f aca="false" t="array" ref="E2208:E2208">IF(ISBLANK(_xlfn.xlookup(E$3,daily_items,_xlfn.xlookup($C2208,daily_dates,big_daily_table))),NA(),_xlfn.xlookup(E$3,daily_items,_xlfn.xlookup($C2208,daily_dates,big_daily_table)))</f>
        <v>#NAME?</v>
      </c>
    </row>
    <row r="2209" customFormat="false" ht="14.25" hidden="false" customHeight="false" outlineLevel="0" collapsed="false">
      <c r="B2209" s="7" t="n">
        <v>43114</v>
      </c>
      <c r="C2209" s="7" t="n">
        <f aca="false">B2209-WEEKDAY(B2209)+1</f>
        <v>43114</v>
      </c>
      <c r="D2209" s="1" t="e">
        <f aca="false" t="array" ref="D2209:D2209">IF(ISBLANK(_xlfn.xlookup(D$3,daily_items,_xlfn.xlookup($C2209,daily_dates,big_daily_table))),NA(),_xlfn.xlookup(D$3,daily_items,_xlfn.xlookup($C2209,daily_dates,big_daily_table)))</f>
        <v>#NAME?</v>
      </c>
      <c r="E2209" s="1" t="e">
        <f aca="false" t="array" ref="E2209:E2209">IF(ISBLANK(_xlfn.xlookup(E$3,daily_items,_xlfn.xlookup($C2209,daily_dates,big_daily_table))),NA(),_xlfn.xlookup(E$3,daily_items,_xlfn.xlookup($C2209,daily_dates,big_daily_table)))</f>
        <v>#NAME?</v>
      </c>
    </row>
    <row r="2210" customFormat="false" ht="14.25" hidden="false" customHeight="false" outlineLevel="0" collapsed="false">
      <c r="B2210" s="7" t="n">
        <v>43115</v>
      </c>
      <c r="C2210" s="7" t="n">
        <f aca="false">B2210-WEEKDAY(B2210)+1</f>
        <v>43114</v>
      </c>
      <c r="D2210" s="1" t="e">
        <f aca="false" t="array" ref="D2210:D2210">IF(ISBLANK(_xlfn.xlookup(D$3,daily_items,_xlfn.xlookup($C2210,daily_dates,big_daily_table))),NA(),_xlfn.xlookup(D$3,daily_items,_xlfn.xlookup($C2210,daily_dates,big_daily_table)))</f>
        <v>#NAME?</v>
      </c>
      <c r="E2210" s="1" t="e">
        <f aca="false" t="array" ref="E2210:E2210">IF(ISBLANK(_xlfn.xlookup(E$3,daily_items,_xlfn.xlookup($C2210,daily_dates,big_daily_table))),NA(),_xlfn.xlookup(E$3,daily_items,_xlfn.xlookup($C2210,daily_dates,big_daily_table)))</f>
        <v>#NAME?</v>
      </c>
    </row>
    <row r="2211" customFormat="false" ht="14.25" hidden="false" customHeight="false" outlineLevel="0" collapsed="false">
      <c r="B2211" s="7" t="n">
        <v>43116</v>
      </c>
      <c r="C2211" s="7" t="n">
        <f aca="false">B2211-WEEKDAY(B2211)+1</f>
        <v>43114</v>
      </c>
      <c r="D2211" s="1" t="e">
        <f aca="false" t="array" ref="D2211:D2211">IF(ISBLANK(_xlfn.xlookup(D$3,daily_items,_xlfn.xlookup($C2211,daily_dates,big_daily_table))),NA(),_xlfn.xlookup(D$3,daily_items,_xlfn.xlookup($C2211,daily_dates,big_daily_table)))</f>
        <v>#NAME?</v>
      </c>
      <c r="E2211" s="1" t="e">
        <f aca="false" t="array" ref="E2211:E2211">IF(ISBLANK(_xlfn.xlookup(E$3,daily_items,_xlfn.xlookup($C2211,daily_dates,big_daily_table))),NA(),_xlfn.xlookup(E$3,daily_items,_xlfn.xlookup($C2211,daily_dates,big_daily_table)))</f>
        <v>#NAME?</v>
      </c>
    </row>
    <row r="2212" customFormat="false" ht="14.25" hidden="false" customHeight="false" outlineLevel="0" collapsed="false">
      <c r="B2212" s="7" t="n">
        <v>43117</v>
      </c>
      <c r="C2212" s="7" t="n">
        <f aca="false">B2212-WEEKDAY(B2212)+1</f>
        <v>43114</v>
      </c>
      <c r="D2212" s="1" t="e">
        <f aca="false" t="array" ref="D2212:D2212">IF(ISBLANK(_xlfn.xlookup(D$3,daily_items,_xlfn.xlookup($C2212,daily_dates,big_daily_table))),NA(),_xlfn.xlookup(D$3,daily_items,_xlfn.xlookup($C2212,daily_dates,big_daily_table)))</f>
        <v>#NAME?</v>
      </c>
      <c r="E2212" s="1" t="e">
        <f aca="false" t="array" ref="E2212:E2212">IF(ISBLANK(_xlfn.xlookup(E$3,daily_items,_xlfn.xlookup($C2212,daily_dates,big_daily_table))),NA(),_xlfn.xlookup(E$3,daily_items,_xlfn.xlookup($C2212,daily_dates,big_daily_table)))</f>
        <v>#NAME?</v>
      </c>
    </row>
    <row r="2213" customFormat="false" ht="14.25" hidden="false" customHeight="false" outlineLevel="0" collapsed="false">
      <c r="B2213" s="7" t="n">
        <v>43118</v>
      </c>
      <c r="C2213" s="7" t="n">
        <f aca="false">B2213-WEEKDAY(B2213)+1</f>
        <v>43114</v>
      </c>
      <c r="D2213" s="1" t="e">
        <f aca="false" t="array" ref="D2213:D2213">IF(ISBLANK(_xlfn.xlookup(D$3,daily_items,_xlfn.xlookup($C2213,daily_dates,big_daily_table))),NA(),_xlfn.xlookup(D$3,daily_items,_xlfn.xlookup($C2213,daily_dates,big_daily_table)))</f>
        <v>#NAME?</v>
      </c>
      <c r="E2213" s="1" t="e">
        <f aca="false" t="array" ref="E2213:E2213">IF(ISBLANK(_xlfn.xlookup(E$3,daily_items,_xlfn.xlookup($C2213,daily_dates,big_daily_table))),NA(),_xlfn.xlookup(E$3,daily_items,_xlfn.xlookup($C2213,daily_dates,big_daily_table)))</f>
        <v>#NAME?</v>
      </c>
    </row>
    <row r="2214" customFormat="false" ht="14.25" hidden="false" customHeight="false" outlineLevel="0" collapsed="false">
      <c r="B2214" s="7" t="n">
        <v>43119</v>
      </c>
      <c r="C2214" s="7" t="n">
        <f aca="false">B2214-WEEKDAY(B2214)+1</f>
        <v>43114</v>
      </c>
      <c r="D2214" s="1" t="e">
        <f aca="false" t="array" ref="D2214:D2214">IF(ISBLANK(_xlfn.xlookup(D$3,daily_items,_xlfn.xlookup($C2214,daily_dates,big_daily_table))),NA(),_xlfn.xlookup(D$3,daily_items,_xlfn.xlookup($C2214,daily_dates,big_daily_table)))</f>
        <v>#NAME?</v>
      </c>
      <c r="E2214" s="1" t="e">
        <f aca="false" t="array" ref="E2214:E2214">IF(ISBLANK(_xlfn.xlookup(E$3,daily_items,_xlfn.xlookup($C2214,daily_dates,big_daily_table))),NA(),_xlfn.xlookup(E$3,daily_items,_xlfn.xlookup($C2214,daily_dates,big_daily_table)))</f>
        <v>#NAME?</v>
      </c>
    </row>
    <row r="2215" customFormat="false" ht="14.25" hidden="false" customHeight="false" outlineLevel="0" collapsed="false">
      <c r="B2215" s="7" t="n">
        <v>43120</v>
      </c>
      <c r="C2215" s="7" t="n">
        <f aca="false">B2215-WEEKDAY(B2215)+1</f>
        <v>43114</v>
      </c>
      <c r="D2215" s="1" t="e">
        <f aca="false" t="array" ref="D2215:D2215">IF(ISBLANK(_xlfn.xlookup(D$3,daily_items,_xlfn.xlookup($C2215,daily_dates,big_daily_table))),NA(),_xlfn.xlookup(D$3,daily_items,_xlfn.xlookup($C2215,daily_dates,big_daily_table)))</f>
        <v>#NAME?</v>
      </c>
      <c r="E2215" s="1" t="e">
        <f aca="false" t="array" ref="E2215:E2215">IF(ISBLANK(_xlfn.xlookup(E$3,daily_items,_xlfn.xlookup($C2215,daily_dates,big_daily_table))),NA(),_xlfn.xlookup(E$3,daily_items,_xlfn.xlookup($C2215,daily_dates,big_daily_table)))</f>
        <v>#NAME?</v>
      </c>
    </row>
    <row r="2216" customFormat="false" ht="14.25" hidden="false" customHeight="false" outlineLevel="0" collapsed="false">
      <c r="B2216" s="7" t="n">
        <v>43121</v>
      </c>
      <c r="C2216" s="7" t="n">
        <f aca="false">B2216-WEEKDAY(B2216)+1</f>
        <v>43121</v>
      </c>
      <c r="D2216" s="1" t="e">
        <f aca="false" t="array" ref="D2216:D2216">IF(ISBLANK(_xlfn.xlookup(D$3,daily_items,_xlfn.xlookup($C2216,daily_dates,big_daily_table))),NA(),_xlfn.xlookup(D$3,daily_items,_xlfn.xlookup($C2216,daily_dates,big_daily_table)))</f>
        <v>#NAME?</v>
      </c>
      <c r="E2216" s="1" t="e">
        <f aca="false" t="array" ref="E2216:E2216">IF(ISBLANK(_xlfn.xlookup(E$3,daily_items,_xlfn.xlookup($C2216,daily_dates,big_daily_table))),NA(),_xlfn.xlookup(E$3,daily_items,_xlfn.xlookup($C2216,daily_dates,big_daily_table)))</f>
        <v>#NAME?</v>
      </c>
    </row>
    <row r="2217" customFormat="false" ht="14.25" hidden="false" customHeight="false" outlineLevel="0" collapsed="false">
      <c r="B2217" s="7" t="n">
        <v>43122</v>
      </c>
      <c r="C2217" s="7" t="n">
        <f aca="false">B2217-WEEKDAY(B2217)+1</f>
        <v>43121</v>
      </c>
      <c r="D2217" s="1" t="e">
        <f aca="false" t="array" ref="D2217:D2217">IF(ISBLANK(_xlfn.xlookup(D$3,daily_items,_xlfn.xlookup($C2217,daily_dates,big_daily_table))),NA(),_xlfn.xlookup(D$3,daily_items,_xlfn.xlookup($C2217,daily_dates,big_daily_table)))</f>
        <v>#NAME?</v>
      </c>
      <c r="E2217" s="1" t="e">
        <f aca="false" t="array" ref="E2217:E2217">IF(ISBLANK(_xlfn.xlookup(E$3,daily_items,_xlfn.xlookup($C2217,daily_dates,big_daily_table))),NA(),_xlfn.xlookup(E$3,daily_items,_xlfn.xlookup($C2217,daily_dates,big_daily_table)))</f>
        <v>#NAME?</v>
      </c>
    </row>
    <row r="2218" customFormat="false" ht="14.25" hidden="false" customHeight="false" outlineLevel="0" collapsed="false">
      <c r="B2218" s="7" t="n">
        <v>43123</v>
      </c>
      <c r="C2218" s="7" t="n">
        <f aca="false">B2218-WEEKDAY(B2218)+1</f>
        <v>43121</v>
      </c>
      <c r="D2218" s="1" t="e">
        <f aca="false" t="array" ref="D2218:D2218">IF(ISBLANK(_xlfn.xlookup(D$3,daily_items,_xlfn.xlookup($C2218,daily_dates,big_daily_table))),NA(),_xlfn.xlookup(D$3,daily_items,_xlfn.xlookup($C2218,daily_dates,big_daily_table)))</f>
        <v>#NAME?</v>
      </c>
      <c r="E2218" s="1" t="e">
        <f aca="false" t="array" ref="E2218:E2218">IF(ISBLANK(_xlfn.xlookup(E$3,daily_items,_xlfn.xlookup($C2218,daily_dates,big_daily_table))),NA(),_xlfn.xlookup(E$3,daily_items,_xlfn.xlookup($C2218,daily_dates,big_daily_table)))</f>
        <v>#NAME?</v>
      </c>
    </row>
    <row r="2219" customFormat="false" ht="14.25" hidden="false" customHeight="false" outlineLevel="0" collapsed="false">
      <c r="B2219" s="7" t="n">
        <v>43124</v>
      </c>
      <c r="C2219" s="7" t="n">
        <f aca="false">B2219-WEEKDAY(B2219)+1</f>
        <v>43121</v>
      </c>
      <c r="D2219" s="1" t="e">
        <f aca="false" t="array" ref="D2219:D2219">IF(ISBLANK(_xlfn.xlookup(D$3,daily_items,_xlfn.xlookup($C2219,daily_dates,big_daily_table))),NA(),_xlfn.xlookup(D$3,daily_items,_xlfn.xlookup($C2219,daily_dates,big_daily_table)))</f>
        <v>#NAME?</v>
      </c>
      <c r="E2219" s="1" t="e">
        <f aca="false" t="array" ref="E2219:E2219">IF(ISBLANK(_xlfn.xlookup(E$3,daily_items,_xlfn.xlookup($C2219,daily_dates,big_daily_table))),NA(),_xlfn.xlookup(E$3,daily_items,_xlfn.xlookup($C2219,daily_dates,big_daily_table)))</f>
        <v>#NAME?</v>
      </c>
    </row>
    <row r="2220" customFormat="false" ht="14.25" hidden="false" customHeight="false" outlineLevel="0" collapsed="false">
      <c r="B2220" s="7" t="n">
        <v>43125</v>
      </c>
      <c r="C2220" s="7" t="n">
        <f aca="false">B2220-WEEKDAY(B2220)+1</f>
        <v>43121</v>
      </c>
      <c r="D2220" s="1" t="e">
        <f aca="false" t="array" ref="D2220:D2220">IF(ISBLANK(_xlfn.xlookup(D$3,daily_items,_xlfn.xlookup($C2220,daily_dates,big_daily_table))),NA(),_xlfn.xlookup(D$3,daily_items,_xlfn.xlookup($C2220,daily_dates,big_daily_table)))</f>
        <v>#NAME?</v>
      </c>
      <c r="E2220" s="1" t="e">
        <f aca="false" t="array" ref="E2220:E2220">IF(ISBLANK(_xlfn.xlookup(E$3,daily_items,_xlfn.xlookup($C2220,daily_dates,big_daily_table))),NA(),_xlfn.xlookup(E$3,daily_items,_xlfn.xlookup($C2220,daily_dates,big_daily_table)))</f>
        <v>#NAME?</v>
      </c>
    </row>
    <row r="2221" customFormat="false" ht="14.25" hidden="false" customHeight="false" outlineLevel="0" collapsed="false">
      <c r="B2221" s="7" t="n">
        <v>43126</v>
      </c>
      <c r="C2221" s="7" t="n">
        <f aca="false">B2221-WEEKDAY(B2221)+1</f>
        <v>43121</v>
      </c>
      <c r="D2221" s="1" t="e">
        <f aca="false" t="array" ref="D2221:D2221">IF(ISBLANK(_xlfn.xlookup(D$3,daily_items,_xlfn.xlookup($C2221,daily_dates,big_daily_table))),NA(),_xlfn.xlookup(D$3,daily_items,_xlfn.xlookup($C2221,daily_dates,big_daily_table)))</f>
        <v>#NAME?</v>
      </c>
      <c r="E2221" s="1" t="e">
        <f aca="false" t="array" ref="E2221:E2221">IF(ISBLANK(_xlfn.xlookup(E$3,daily_items,_xlfn.xlookup($C2221,daily_dates,big_daily_table))),NA(),_xlfn.xlookup(E$3,daily_items,_xlfn.xlookup($C2221,daily_dates,big_daily_table)))</f>
        <v>#NAME?</v>
      </c>
    </row>
    <row r="2222" customFormat="false" ht="14.25" hidden="false" customHeight="false" outlineLevel="0" collapsed="false">
      <c r="B2222" s="7" t="n">
        <v>43127</v>
      </c>
      <c r="C2222" s="7" t="n">
        <f aca="false">B2222-WEEKDAY(B2222)+1</f>
        <v>43121</v>
      </c>
      <c r="D2222" s="1" t="e">
        <f aca="false" t="array" ref="D2222:D2222">IF(ISBLANK(_xlfn.xlookup(D$3,daily_items,_xlfn.xlookup($C2222,daily_dates,big_daily_table))),NA(),_xlfn.xlookup(D$3,daily_items,_xlfn.xlookup($C2222,daily_dates,big_daily_table)))</f>
        <v>#NAME?</v>
      </c>
      <c r="E2222" s="1" t="e">
        <f aca="false" t="array" ref="E2222:E2222">IF(ISBLANK(_xlfn.xlookup(E$3,daily_items,_xlfn.xlookup($C2222,daily_dates,big_daily_table))),NA(),_xlfn.xlookup(E$3,daily_items,_xlfn.xlookup($C2222,daily_dates,big_daily_table)))</f>
        <v>#NAME?</v>
      </c>
    </row>
    <row r="2223" customFormat="false" ht="14.25" hidden="false" customHeight="false" outlineLevel="0" collapsed="false">
      <c r="B2223" s="7" t="n">
        <v>43128</v>
      </c>
      <c r="C2223" s="7" t="n">
        <f aca="false">B2223-WEEKDAY(B2223)+1</f>
        <v>43128</v>
      </c>
      <c r="D2223" s="1" t="e">
        <f aca="false" t="array" ref="D2223:D2223">IF(ISBLANK(_xlfn.xlookup(D$3,daily_items,_xlfn.xlookup($C2223,daily_dates,big_daily_table))),NA(),_xlfn.xlookup(D$3,daily_items,_xlfn.xlookup($C2223,daily_dates,big_daily_table)))</f>
        <v>#NAME?</v>
      </c>
      <c r="E2223" s="1" t="e">
        <f aca="false" t="array" ref="E2223:E2223">IF(ISBLANK(_xlfn.xlookup(E$3,daily_items,_xlfn.xlookup($C2223,daily_dates,big_daily_table))),NA(),_xlfn.xlookup(E$3,daily_items,_xlfn.xlookup($C2223,daily_dates,big_daily_table)))</f>
        <v>#NAME?</v>
      </c>
    </row>
    <row r="2224" customFormat="false" ht="14.25" hidden="false" customHeight="false" outlineLevel="0" collapsed="false">
      <c r="B2224" s="7" t="n">
        <v>43129</v>
      </c>
      <c r="C2224" s="7" t="n">
        <f aca="false">B2224-WEEKDAY(B2224)+1</f>
        <v>43128</v>
      </c>
      <c r="D2224" s="1" t="e">
        <f aca="false" t="array" ref="D2224:D2224">IF(ISBLANK(_xlfn.xlookup(D$3,daily_items,_xlfn.xlookup($C2224,daily_dates,big_daily_table))),NA(),_xlfn.xlookup(D$3,daily_items,_xlfn.xlookup($C2224,daily_dates,big_daily_table)))</f>
        <v>#NAME?</v>
      </c>
      <c r="E2224" s="1" t="e">
        <f aca="false" t="array" ref="E2224:E2224">IF(ISBLANK(_xlfn.xlookup(E$3,daily_items,_xlfn.xlookup($C2224,daily_dates,big_daily_table))),NA(),_xlfn.xlookup(E$3,daily_items,_xlfn.xlookup($C2224,daily_dates,big_daily_table)))</f>
        <v>#NAME?</v>
      </c>
    </row>
    <row r="2225" customFormat="false" ht="14.25" hidden="false" customHeight="false" outlineLevel="0" collapsed="false">
      <c r="B2225" s="7" t="n">
        <v>43130</v>
      </c>
      <c r="C2225" s="7" t="n">
        <f aca="false">B2225-WEEKDAY(B2225)+1</f>
        <v>43128</v>
      </c>
      <c r="D2225" s="1" t="e">
        <f aca="false" t="array" ref="D2225:D2225">IF(ISBLANK(_xlfn.xlookup(D$3,daily_items,_xlfn.xlookup($C2225,daily_dates,big_daily_table))),NA(),_xlfn.xlookup(D$3,daily_items,_xlfn.xlookup($C2225,daily_dates,big_daily_table)))</f>
        <v>#NAME?</v>
      </c>
      <c r="E2225" s="1" t="e">
        <f aca="false" t="array" ref="E2225:E2225">IF(ISBLANK(_xlfn.xlookup(E$3,daily_items,_xlfn.xlookup($C2225,daily_dates,big_daily_table))),NA(),_xlfn.xlookup(E$3,daily_items,_xlfn.xlookup($C2225,daily_dates,big_daily_table)))</f>
        <v>#NAME?</v>
      </c>
    </row>
    <row r="2226" customFormat="false" ht="14.25" hidden="false" customHeight="false" outlineLevel="0" collapsed="false">
      <c r="B2226" s="7" t="n">
        <v>43131</v>
      </c>
      <c r="C2226" s="7" t="n">
        <f aca="false">B2226-WEEKDAY(B2226)+1</f>
        <v>43128</v>
      </c>
      <c r="D2226" s="1" t="e">
        <f aca="false" t="array" ref="D2226:D2226">IF(ISBLANK(_xlfn.xlookup(D$3,daily_items,_xlfn.xlookup($C2226,daily_dates,big_daily_table))),NA(),_xlfn.xlookup(D$3,daily_items,_xlfn.xlookup($C2226,daily_dates,big_daily_table)))</f>
        <v>#NAME?</v>
      </c>
      <c r="E2226" s="1" t="e">
        <f aca="false" t="array" ref="E2226:E2226">IF(ISBLANK(_xlfn.xlookup(E$3,daily_items,_xlfn.xlookup($C2226,daily_dates,big_daily_table))),NA(),_xlfn.xlookup(E$3,daily_items,_xlfn.xlookup($C2226,daily_dates,big_daily_table)))</f>
        <v>#NAME?</v>
      </c>
    </row>
    <row r="2227" customFormat="false" ht="14.25" hidden="false" customHeight="false" outlineLevel="0" collapsed="false">
      <c r="B2227" s="7" t="n">
        <v>43132</v>
      </c>
      <c r="C2227" s="7" t="n">
        <f aca="false">B2227-WEEKDAY(B2227)+1</f>
        <v>43128</v>
      </c>
      <c r="D2227" s="1" t="e">
        <f aca="false" t="array" ref="D2227:D2227">IF(ISBLANK(_xlfn.xlookup(D$3,daily_items,_xlfn.xlookup($C2227,daily_dates,big_daily_table))),NA(),_xlfn.xlookup(D$3,daily_items,_xlfn.xlookup($C2227,daily_dates,big_daily_table)))</f>
        <v>#NAME?</v>
      </c>
      <c r="E2227" s="1" t="e">
        <f aca="false" t="array" ref="E2227:E2227">IF(ISBLANK(_xlfn.xlookup(E$3,daily_items,_xlfn.xlookup($C2227,daily_dates,big_daily_table))),NA(),_xlfn.xlookup(E$3,daily_items,_xlfn.xlookup($C2227,daily_dates,big_daily_table)))</f>
        <v>#NAME?</v>
      </c>
    </row>
    <row r="2228" customFormat="false" ht="14.25" hidden="false" customHeight="false" outlineLevel="0" collapsed="false">
      <c r="B2228" s="7" t="n">
        <v>43133</v>
      </c>
      <c r="C2228" s="7" t="n">
        <f aca="false">B2228-WEEKDAY(B2228)+1</f>
        <v>43128</v>
      </c>
      <c r="D2228" s="1" t="e">
        <f aca="false" t="array" ref="D2228:D2228">IF(ISBLANK(_xlfn.xlookup(D$3,daily_items,_xlfn.xlookup($C2228,daily_dates,big_daily_table))),NA(),_xlfn.xlookup(D$3,daily_items,_xlfn.xlookup($C2228,daily_dates,big_daily_table)))</f>
        <v>#NAME?</v>
      </c>
      <c r="E2228" s="1" t="e">
        <f aca="false" t="array" ref="E2228:E2228">IF(ISBLANK(_xlfn.xlookup(E$3,daily_items,_xlfn.xlookup($C2228,daily_dates,big_daily_table))),NA(),_xlfn.xlookup(E$3,daily_items,_xlfn.xlookup($C2228,daily_dates,big_daily_table)))</f>
        <v>#NAME?</v>
      </c>
    </row>
    <row r="2229" customFormat="false" ht="14.25" hidden="false" customHeight="false" outlineLevel="0" collapsed="false">
      <c r="B2229" s="7" t="n">
        <v>43134</v>
      </c>
      <c r="C2229" s="7" t="n">
        <f aca="false">B2229-WEEKDAY(B2229)+1</f>
        <v>43128</v>
      </c>
      <c r="D2229" s="1" t="e">
        <f aca="false" t="array" ref="D2229:D2229">IF(ISBLANK(_xlfn.xlookup(D$3,daily_items,_xlfn.xlookup($C2229,daily_dates,big_daily_table))),NA(),_xlfn.xlookup(D$3,daily_items,_xlfn.xlookup($C2229,daily_dates,big_daily_table)))</f>
        <v>#NAME?</v>
      </c>
      <c r="E2229" s="1" t="e">
        <f aca="false" t="array" ref="E2229:E2229">IF(ISBLANK(_xlfn.xlookup(E$3,daily_items,_xlfn.xlookup($C2229,daily_dates,big_daily_table))),NA(),_xlfn.xlookup(E$3,daily_items,_xlfn.xlookup($C2229,daily_dates,big_daily_table)))</f>
        <v>#NAME?</v>
      </c>
    </row>
    <row r="2230" customFormat="false" ht="14.25" hidden="false" customHeight="false" outlineLevel="0" collapsed="false">
      <c r="B2230" s="7" t="n">
        <v>43135</v>
      </c>
      <c r="C2230" s="7" t="n">
        <f aca="false">B2230-WEEKDAY(B2230)+1</f>
        <v>43135</v>
      </c>
      <c r="D2230" s="1" t="e">
        <f aca="false" t="array" ref="D2230:D2230">IF(ISBLANK(_xlfn.xlookup(D$3,daily_items,_xlfn.xlookup($C2230,daily_dates,big_daily_table))),NA(),_xlfn.xlookup(D$3,daily_items,_xlfn.xlookup($C2230,daily_dates,big_daily_table)))</f>
        <v>#NAME?</v>
      </c>
      <c r="E2230" s="1" t="e">
        <f aca="false" t="array" ref="E2230:E2230">IF(ISBLANK(_xlfn.xlookup(E$3,daily_items,_xlfn.xlookup($C2230,daily_dates,big_daily_table))),NA(),_xlfn.xlookup(E$3,daily_items,_xlfn.xlookup($C2230,daily_dates,big_daily_table)))</f>
        <v>#NAME?</v>
      </c>
    </row>
    <row r="2231" customFormat="false" ht="14.25" hidden="false" customHeight="false" outlineLevel="0" collapsed="false">
      <c r="B2231" s="7" t="n">
        <v>43136</v>
      </c>
      <c r="C2231" s="7" t="n">
        <f aca="false">B2231-WEEKDAY(B2231)+1</f>
        <v>43135</v>
      </c>
      <c r="D2231" s="1" t="e">
        <f aca="false" t="array" ref="D2231:D2231">IF(ISBLANK(_xlfn.xlookup(D$3,daily_items,_xlfn.xlookup($C2231,daily_dates,big_daily_table))),NA(),_xlfn.xlookup(D$3,daily_items,_xlfn.xlookup($C2231,daily_dates,big_daily_table)))</f>
        <v>#NAME?</v>
      </c>
      <c r="E2231" s="1" t="e">
        <f aca="false" t="array" ref="E2231:E2231">IF(ISBLANK(_xlfn.xlookup(E$3,daily_items,_xlfn.xlookup($C2231,daily_dates,big_daily_table))),NA(),_xlfn.xlookup(E$3,daily_items,_xlfn.xlookup($C2231,daily_dates,big_daily_table)))</f>
        <v>#NAME?</v>
      </c>
    </row>
    <row r="2232" customFormat="false" ht="14.25" hidden="false" customHeight="false" outlineLevel="0" collapsed="false">
      <c r="B2232" s="7" t="n">
        <v>43137</v>
      </c>
      <c r="C2232" s="7" t="n">
        <f aca="false">B2232-WEEKDAY(B2232)+1</f>
        <v>43135</v>
      </c>
      <c r="D2232" s="1" t="e">
        <f aca="false" t="array" ref="D2232:D2232">IF(ISBLANK(_xlfn.xlookup(D$3,daily_items,_xlfn.xlookup($C2232,daily_dates,big_daily_table))),NA(),_xlfn.xlookup(D$3,daily_items,_xlfn.xlookup($C2232,daily_dates,big_daily_table)))</f>
        <v>#NAME?</v>
      </c>
      <c r="E2232" s="1" t="e">
        <f aca="false" t="array" ref="E2232:E2232">IF(ISBLANK(_xlfn.xlookup(E$3,daily_items,_xlfn.xlookup($C2232,daily_dates,big_daily_table))),NA(),_xlfn.xlookup(E$3,daily_items,_xlfn.xlookup($C2232,daily_dates,big_daily_table)))</f>
        <v>#NAME?</v>
      </c>
    </row>
    <row r="2233" customFormat="false" ht="14.25" hidden="false" customHeight="false" outlineLevel="0" collapsed="false">
      <c r="B2233" s="7" t="n">
        <v>43138</v>
      </c>
      <c r="C2233" s="7" t="n">
        <f aca="false">B2233-WEEKDAY(B2233)+1</f>
        <v>43135</v>
      </c>
      <c r="D2233" s="1" t="e">
        <f aca="false" t="array" ref="D2233:D2233">IF(ISBLANK(_xlfn.xlookup(D$3,daily_items,_xlfn.xlookup($C2233,daily_dates,big_daily_table))),NA(),_xlfn.xlookup(D$3,daily_items,_xlfn.xlookup($C2233,daily_dates,big_daily_table)))</f>
        <v>#NAME?</v>
      </c>
      <c r="E2233" s="1" t="e">
        <f aca="false" t="array" ref="E2233:E2233">IF(ISBLANK(_xlfn.xlookup(E$3,daily_items,_xlfn.xlookup($C2233,daily_dates,big_daily_table))),NA(),_xlfn.xlookup(E$3,daily_items,_xlfn.xlookup($C2233,daily_dates,big_daily_table)))</f>
        <v>#NAME?</v>
      </c>
    </row>
    <row r="2234" customFormat="false" ht="14.25" hidden="false" customHeight="false" outlineLevel="0" collapsed="false">
      <c r="B2234" s="7" t="n">
        <v>43139</v>
      </c>
      <c r="C2234" s="7" t="n">
        <f aca="false">B2234-WEEKDAY(B2234)+1</f>
        <v>43135</v>
      </c>
      <c r="D2234" s="1" t="e">
        <f aca="false" t="array" ref="D2234:D2234">IF(ISBLANK(_xlfn.xlookup(D$3,daily_items,_xlfn.xlookup($C2234,daily_dates,big_daily_table))),NA(),_xlfn.xlookup(D$3,daily_items,_xlfn.xlookup($C2234,daily_dates,big_daily_table)))</f>
        <v>#NAME?</v>
      </c>
      <c r="E2234" s="1" t="e">
        <f aca="false" t="array" ref="E2234:E2234">IF(ISBLANK(_xlfn.xlookup(E$3,daily_items,_xlfn.xlookup($C2234,daily_dates,big_daily_table))),NA(),_xlfn.xlookup(E$3,daily_items,_xlfn.xlookup($C2234,daily_dates,big_daily_table)))</f>
        <v>#NAME?</v>
      </c>
    </row>
    <row r="2235" customFormat="false" ht="14.25" hidden="false" customHeight="false" outlineLevel="0" collapsed="false">
      <c r="B2235" s="7" t="n">
        <v>43140</v>
      </c>
      <c r="C2235" s="7" t="n">
        <f aca="false">B2235-WEEKDAY(B2235)+1</f>
        <v>43135</v>
      </c>
      <c r="D2235" s="1" t="e">
        <f aca="false" t="array" ref="D2235:D2235">IF(ISBLANK(_xlfn.xlookup(D$3,daily_items,_xlfn.xlookup($C2235,daily_dates,big_daily_table))),NA(),_xlfn.xlookup(D$3,daily_items,_xlfn.xlookup($C2235,daily_dates,big_daily_table)))</f>
        <v>#NAME?</v>
      </c>
      <c r="E2235" s="1" t="e">
        <f aca="false" t="array" ref="E2235:E2235">IF(ISBLANK(_xlfn.xlookup(E$3,daily_items,_xlfn.xlookup($C2235,daily_dates,big_daily_table))),NA(),_xlfn.xlookup(E$3,daily_items,_xlfn.xlookup($C2235,daily_dates,big_daily_table)))</f>
        <v>#NAME?</v>
      </c>
    </row>
    <row r="2236" customFormat="false" ht="14.25" hidden="false" customHeight="false" outlineLevel="0" collapsed="false">
      <c r="B2236" s="7" t="n">
        <v>43141</v>
      </c>
      <c r="C2236" s="7" t="n">
        <f aca="false">B2236-WEEKDAY(B2236)+1</f>
        <v>43135</v>
      </c>
      <c r="D2236" s="1" t="e">
        <f aca="false" t="array" ref="D2236:D2236">IF(ISBLANK(_xlfn.xlookup(D$3,daily_items,_xlfn.xlookup($C2236,daily_dates,big_daily_table))),NA(),_xlfn.xlookup(D$3,daily_items,_xlfn.xlookup($C2236,daily_dates,big_daily_table)))</f>
        <v>#NAME?</v>
      </c>
      <c r="E2236" s="1" t="e">
        <f aca="false" t="array" ref="E2236:E2236">IF(ISBLANK(_xlfn.xlookup(E$3,daily_items,_xlfn.xlookup($C2236,daily_dates,big_daily_table))),NA(),_xlfn.xlookup(E$3,daily_items,_xlfn.xlookup($C2236,daily_dates,big_daily_table)))</f>
        <v>#NAME?</v>
      </c>
    </row>
    <row r="2237" customFormat="false" ht="14.25" hidden="false" customHeight="false" outlineLevel="0" collapsed="false">
      <c r="B2237" s="7" t="n">
        <v>43142</v>
      </c>
      <c r="C2237" s="7" t="n">
        <f aca="false">B2237-WEEKDAY(B2237)+1</f>
        <v>43142</v>
      </c>
      <c r="D2237" s="1" t="e">
        <f aca="false" t="array" ref="D2237:D2237">IF(ISBLANK(_xlfn.xlookup(D$3,daily_items,_xlfn.xlookup($C2237,daily_dates,big_daily_table))),NA(),_xlfn.xlookup(D$3,daily_items,_xlfn.xlookup($C2237,daily_dates,big_daily_table)))</f>
        <v>#NAME?</v>
      </c>
      <c r="E2237" s="1" t="e">
        <f aca="false" t="array" ref="E2237:E2237">IF(ISBLANK(_xlfn.xlookup(E$3,daily_items,_xlfn.xlookup($C2237,daily_dates,big_daily_table))),NA(),_xlfn.xlookup(E$3,daily_items,_xlfn.xlookup($C2237,daily_dates,big_daily_table)))</f>
        <v>#NAME?</v>
      </c>
    </row>
    <row r="2238" customFormat="false" ht="14.25" hidden="false" customHeight="false" outlineLevel="0" collapsed="false">
      <c r="B2238" s="7" t="n">
        <v>43143</v>
      </c>
      <c r="C2238" s="7" t="n">
        <f aca="false">B2238-WEEKDAY(B2238)+1</f>
        <v>43142</v>
      </c>
      <c r="D2238" s="1" t="e">
        <f aca="false" t="array" ref="D2238:D2238">IF(ISBLANK(_xlfn.xlookup(D$3,daily_items,_xlfn.xlookup($C2238,daily_dates,big_daily_table))),NA(),_xlfn.xlookup(D$3,daily_items,_xlfn.xlookup($C2238,daily_dates,big_daily_table)))</f>
        <v>#NAME?</v>
      </c>
      <c r="E2238" s="1" t="e">
        <f aca="false" t="array" ref="E2238:E2238">IF(ISBLANK(_xlfn.xlookup(E$3,daily_items,_xlfn.xlookup($C2238,daily_dates,big_daily_table))),NA(),_xlfn.xlookup(E$3,daily_items,_xlfn.xlookup($C2238,daily_dates,big_daily_table)))</f>
        <v>#NAME?</v>
      </c>
    </row>
    <row r="2239" customFormat="false" ht="14.25" hidden="false" customHeight="false" outlineLevel="0" collapsed="false">
      <c r="B2239" s="7" t="n">
        <v>43144</v>
      </c>
      <c r="C2239" s="7" t="n">
        <f aca="false">B2239-WEEKDAY(B2239)+1</f>
        <v>43142</v>
      </c>
      <c r="D2239" s="1" t="e">
        <f aca="false" t="array" ref="D2239:D2239">IF(ISBLANK(_xlfn.xlookup(D$3,daily_items,_xlfn.xlookup($C2239,daily_dates,big_daily_table))),NA(),_xlfn.xlookup(D$3,daily_items,_xlfn.xlookup($C2239,daily_dates,big_daily_table)))</f>
        <v>#NAME?</v>
      </c>
      <c r="E2239" s="1" t="e">
        <f aca="false" t="array" ref="E2239:E2239">IF(ISBLANK(_xlfn.xlookup(E$3,daily_items,_xlfn.xlookup($C2239,daily_dates,big_daily_table))),NA(),_xlfn.xlookup(E$3,daily_items,_xlfn.xlookup($C2239,daily_dates,big_daily_table)))</f>
        <v>#NAME?</v>
      </c>
    </row>
    <row r="2240" customFormat="false" ht="14.25" hidden="false" customHeight="false" outlineLevel="0" collapsed="false">
      <c r="B2240" s="7" t="n">
        <v>43145</v>
      </c>
      <c r="C2240" s="7" t="n">
        <f aca="false">B2240-WEEKDAY(B2240)+1</f>
        <v>43142</v>
      </c>
      <c r="D2240" s="1" t="e">
        <f aca="false" t="array" ref="D2240:D2240">IF(ISBLANK(_xlfn.xlookup(D$3,daily_items,_xlfn.xlookup($C2240,daily_dates,big_daily_table))),NA(),_xlfn.xlookup(D$3,daily_items,_xlfn.xlookup($C2240,daily_dates,big_daily_table)))</f>
        <v>#NAME?</v>
      </c>
      <c r="E2240" s="1" t="e">
        <f aca="false" t="array" ref="E2240:E2240">IF(ISBLANK(_xlfn.xlookup(E$3,daily_items,_xlfn.xlookup($C2240,daily_dates,big_daily_table))),NA(),_xlfn.xlookup(E$3,daily_items,_xlfn.xlookup($C2240,daily_dates,big_daily_table)))</f>
        <v>#NAME?</v>
      </c>
    </row>
    <row r="2241" customFormat="false" ht="14.25" hidden="false" customHeight="false" outlineLevel="0" collapsed="false">
      <c r="B2241" s="7" t="n">
        <v>43146</v>
      </c>
      <c r="C2241" s="7" t="n">
        <f aca="false">B2241-WEEKDAY(B2241)+1</f>
        <v>43142</v>
      </c>
      <c r="D2241" s="1" t="e">
        <f aca="false" t="array" ref="D2241:D2241">IF(ISBLANK(_xlfn.xlookup(D$3,daily_items,_xlfn.xlookup($C2241,daily_dates,big_daily_table))),NA(),_xlfn.xlookup(D$3,daily_items,_xlfn.xlookup($C2241,daily_dates,big_daily_table)))</f>
        <v>#NAME?</v>
      </c>
      <c r="E2241" s="1" t="e">
        <f aca="false" t="array" ref="E2241:E2241">IF(ISBLANK(_xlfn.xlookup(E$3,daily_items,_xlfn.xlookup($C2241,daily_dates,big_daily_table))),NA(),_xlfn.xlookup(E$3,daily_items,_xlfn.xlookup($C2241,daily_dates,big_daily_table)))</f>
        <v>#NAME?</v>
      </c>
    </row>
    <row r="2242" customFormat="false" ht="14.25" hidden="false" customHeight="false" outlineLevel="0" collapsed="false">
      <c r="B2242" s="7" t="n">
        <v>43147</v>
      </c>
      <c r="C2242" s="7" t="n">
        <f aca="false">B2242-WEEKDAY(B2242)+1</f>
        <v>43142</v>
      </c>
      <c r="D2242" s="1" t="e">
        <f aca="false" t="array" ref="D2242:D2242">IF(ISBLANK(_xlfn.xlookup(D$3,daily_items,_xlfn.xlookup($C2242,daily_dates,big_daily_table))),NA(),_xlfn.xlookup(D$3,daily_items,_xlfn.xlookup($C2242,daily_dates,big_daily_table)))</f>
        <v>#NAME?</v>
      </c>
      <c r="E2242" s="1" t="e">
        <f aca="false" t="array" ref="E2242:E2242">IF(ISBLANK(_xlfn.xlookup(E$3,daily_items,_xlfn.xlookup($C2242,daily_dates,big_daily_table))),NA(),_xlfn.xlookup(E$3,daily_items,_xlfn.xlookup($C2242,daily_dates,big_daily_table)))</f>
        <v>#NAME?</v>
      </c>
    </row>
    <row r="2243" customFormat="false" ht="14.25" hidden="false" customHeight="false" outlineLevel="0" collapsed="false">
      <c r="B2243" s="7" t="n">
        <v>43148</v>
      </c>
      <c r="C2243" s="7" t="n">
        <f aca="false">B2243-WEEKDAY(B2243)+1</f>
        <v>43142</v>
      </c>
      <c r="D2243" s="1" t="e">
        <f aca="false" t="array" ref="D2243:D2243">IF(ISBLANK(_xlfn.xlookup(D$3,daily_items,_xlfn.xlookup($C2243,daily_dates,big_daily_table))),NA(),_xlfn.xlookup(D$3,daily_items,_xlfn.xlookup($C2243,daily_dates,big_daily_table)))</f>
        <v>#NAME?</v>
      </c>
      <c r="E2243" s="1" t="e">
        <f aca="false" t="array" ref="E2243:E2243">IF(ISBLANK(_xlfn.xlookup(E$3,daily_items,_xlfn.xlookup($C2243,daily_dates,big_daily_table))),NA(),_xlfn.xlookup(E$3,daily_items,_xlfn.xlookup($C2243,daily_dates,big_daily_table)))</f>
        <v>#NAME?</v>
      </c>
    </row>
    <row r="2244" customFormat="false" ht="14.25" hidden="false" customHeight="false" outlineLevel="0" collapsed="false">
      <c r="B2244" s="7" t="n">
        <v>43149</v>
      </c>
      <c r="C2244" s="7" t="n">
        <f aca="false">B2244-WEEKDAY(B2244)+1</f>
        <v>43149</v>
      </c>
      <c r="D2244" s="1" t="e">
        <f aca="false" t="array" ref="D2244:D2244">IF(ISBLANK(_xlfn.xlookup(D$3,daily_items,_xlfn.xlookup($C2244,daily_dates,big_daily_table))),NA(),_xlfn.xlookup(D$3,daily_items,_xlfn.xlookup($C2244,daily_dates,big_daily_table)))</f>
        <v>#NAME?</v>
      </c>
      <c r="E2244" s="1" t="e">
        <f aca="false" t="array" ref="E2244:E2244">IF(ISBLANK(_xlfn.xlookup(E$3,daily_items,_xlfn.xlookup($C2244,daily_dates,big_daily_table))),NA(),_xlfn.xlookup(E$3,daily_items,_xlfn.xlookup($C2244,daily_dates,big_daily_table)))</f>
        <v>#NAME?</v>
      </c>
    </row>
    <row r="2245" customFormat="false" ht="14.25" hidden="false" customHeight="false" outlineLevel="0" collapsed="false">
      <c r="B2245" s="7" t="n">
        <v>43150</v>
      </c>
      <c r="C2245" s="7" t="n">
        <f aca="false">B2245-WEEKDAY(B2245)+1</f>
        <v>43149</v>
      </c>
      <c r="D2245" s="1" t="e">
        <f aca="false" t="array" ref="D2245:D2245">IF(ISBLANK(_xlfn.xlookup(D$3,daily_items,_xlfn.xlookup($C2245,daily_dates,big_daily_table))),NA(),_xlfn.xlookup(D$3,daily_items,_xlfn.xlookup($C2245,daily_dates,big_daily_table)))</f>
        <v>#NAME?</v>
      </c>
      <c r="E2245" s="1" t="e">
        <f aca="false" t="array" ref="E2245:E2245">IF(ISBLANK(_xlfn.xlookup(E$3,daily_items,_xlfn.xlookup($C2245,daily_dates,big_daily_table))),NA(),_xlfn.xlookup(E$3,daily_items,_xlfn.xlookup($C2245,daily_dates,big_daily_table)))</f>
        <v>#NAME?</v>
      </c>
    </row>
    <row r="2246" customFormat="false" ht="14.25" hidden="false" customHeight="false" outlineLevel="0" collapsed="false">
      <c r="B2246" s="7" t="n">
        <v>43151</v>
      </c>
      <c r="C2246" s="7" t="n">
        <f aca="false">B2246-WEEKDAY(B2246)+1</f>
        <v>43149</v>
      </c>
      <c r="D2246" s="1" t="e">
        <f aca="false" t="array" ref="D2246:D2246">IF(ISBLANK(_xlfn.xlookup(D$3,daily_items,_xlfn.xlookup($C2246,daily_dates,big_daily_table))),NA(),_xlfn.xlookup(D$3,daily_items,_xlfn.xlookup($C2246,daily_dates,big_daily_table)))</f>
        <v>#NAME?</v>
      </c>
      <c r="E2246" s="1" t="e">
        <f aca="false" t="array" ref="E2246:E2246">IF(ISBLANK(_xlfn.xlookup(E$3,daily_items,_xlfn.xlookup($C2246,daily_dates,big_daily_table))),NA(),_xlfn.xlookup(E$3,daily_items,_xlfn.xlookup($C2246,daily_dates,big_daily_table)))</f>
        <v>#NAME?</v>
      </c>
    </row>
    <row r="2247" customFormat="false" ht="14.25" hidden="false" customHeight="false" outlineLevel="0" collapsed="false">
      <c r="B2247" s="7" t="n">
        <v>43152</v>
      </c>
      <c r="C2247" s="7" t="n">
        <f aca="false">B2247-WEEKDAY(B2247)+1</f>
        <v>43149</v>
      </c>
      <c r="D2247" s="1" t="e">
        <f aca="false" t="array" ref="D2247:D2247">IF(ISBLANK(_xlfn.xlookup(D$3,daily_items,_xlfn.xlookup($C2247,daily_dates,big_daily_table))),NA(),_xlfn.xlookup(D$3,daily_items,_xlfn.xlookup($C2247,daily_dates,big_daily_table)))</f>
        <v>#NAME?</v>
      </c>
      <c r="E2247" s="1" t="e">
        <f aca="false" t="array" ref="E2247:E2247">IF(ISBLANK(_xlfn.xlookup(E$3,daily_items,_xlfn.xlookup($C2247,daily_dates,big_daily_table))),NA(),_xlfn.xlookup(E$3,daily_items,_xlfn.xlookup($C2247,daily_dates,big_daily_table)))</f>
        <v>#NAME?</v>
      </c>
    </row>
    <row r="2248" customFormat="false" ht="14.25" hidden="false" customHeight="false" outlineLevel="0" collapsed="false">
      <c r="B2248" s="7" t="n">
        <v>43153</v>
      </c>
      <c r="C2248" s="7" t="n">
        <f aca="false">B2248-WEEKDAY(B2248)+1</f>
        <v>43149</v>
      </c>
      <c r="D2248" s="1" t="e">
        <f aca="false" t="array" ref="D2248:D2248">IF(ISBLANK(_xlfn.xlookup(D$3,daily_items,_xlfn.xlookup($C2248,daily_dates,big_daily_table))),NA(),_xlfn.xlookup(D$3,daily_items,_xlfn.xlookup($C2248,daily_dates,big_daily_table)))</f>
        <v>#NAME?</v>
      </c>
      <c r="E2248" s="1" t="e">
        <f aca="false" t="array" ref="E2248:E2248">IF(ISBLANK(_xlfn.xlookup(E$3,daily_items,_xlfn.xlookup($C2248,daily_dates,big_daily_table))),NA(),_xlfn.xlookup(E$3,daily_items,_xlfn.xlookup($C2248,daily_dates,big_daily_table)))</f>
        <v>#NAME?</v>
      </c>
    </row>
    <row r="2249" customFormat="false" ht="14.25" hidden="false" customHeight="false" outlineLevel="0" collapsed="false">
      <c r="B2249" s="7" t="n">
        <v>43154</v>
      </c>
      <c r="C2249" s="7" t="n">
        <f aca="false">B2249-WEEKDAY(B2249)+1</f>
        <v>43149</v>
      </c>
      <c r="D2249" s="1" t="e">
        <f aca="false" t="array" ref="D2249:D2249">IF(ISBLANK(_xlfn.xlookup(D$3,daily_items,_xlfn.xlookup($C2249,daily_dates,big_daily_table))),NA(),_xlfn.xlookup(D$3,daily_items,_xlfn.xlookup($C2249,daily_dates,big_daily_table)))</f>
        <v>#NAME?</v>
      </c>
      <c r="E2249" s="1" t="e">
        <f aca="false" t="array" ref="E2249:E2249">IF(ISBLANK(_xlfn.xlookup(E$3,daily_items,_xlfn.xlookup($C2249,daily_dates,big_daily_table))),NA(),_xlfn.xlookup(E$3,daily_items,_xlfn.xlookup($C2249,daily_dates,big_daily_table)))</f>
        <v>#NAME?</v>
      </c>
    </row>
    <row r="2250" customFormat="false" ht="14.25" hidden="false" customHeight="false" outlineLevel="0" collapsed="false">
      <c r="B2250" s="7" t="n">
        <v>43155</v>
      </c>
      <c r="C2250" s="7" t="n">
        <f aca="false">B2250-WEEKDAY(B2250)+1</f>
        <v>43149</v>
      </c>
      <c r="D2250" s="1" t="e">
        <f aca="false" t="array" ref="D2250:D2250">IF(ISBLANK(_xlfn.xlookup(D$3,daily_items,_xlfn.xlookup($C2250,daily_dates,big_daily_table))),NA(),_xlfn.xlookup(D$3,daily_items,_xlfn.xlookup($C2250,daily_dates,big_daily_table)))</f>
        <v>#NAME?</v>
      </c>
      <c r="E2250" s="1" t="e">
        <f aca="false" t="array" ref="E2250:E2250">IF(ISBLANK(_xlfn.xlookup(E$3,daily_items,_xlfn.xlookup($C2250,daily_dates,big_daily_table))),NA(),_xlfn.xlookup(E$3,daily_items,_xlfn.xlookup($C2250,daily_dates,big_daily_table)))</f>
        <v>#NAME?</v>
      </c>
    </row>
    <row r="2251" customFormat="false" ht="14.25" hidden="false" customHeight="false" outlineLevel="0" collapsed="false">
      <c r="B2251" s="7" t="n">
        <v>43156</v>
      </c>
      <c r="C2251" s="7" t="n">
        <f aca="false">B2251-WEEKDAY(B2251)+1</f>
        <v>43156</v>
      </c>
      <c r="D2251" s="1" t="e">
        <f aca="false" t="array" ref="D2251:D2251">IF(ISBLANK(_xlfn.xlookup(D$3,daily_items,_xlfn.xlookup($C2251,daily_dates,big_daily_table))),NA(),_xlfn.xlookup(D$3,daily_items,_xlfn.xlookup($C2251,daily_dates,big_daily_table)))</f>
        <v>#NAME?</v>
      </c>
      <c r="E2251" s="1" t="e">
        <f aca="false" t="array" ref="E2251:E2251">IF(ISBLANK(_xlfn.xlookup(E$3,daily_items,_xlfn.xlookup($C2251,daily_dates,big_daily_table))),NA(),_xlfn.xlookup(E$3,daily_items,_xlfn.xlookup($C2251,daily_dates,big_daily_table)))</f>
        <v>#NAME?</v>
      </c>
    </row>
    <row r="2252" customFormat="false" ht="14.25" hidden="false" customHeight="false" outlineLevel="0" collapsed="false">
      <c r="B2252" s="7" t="n">
        <v>43157</v>
      </c>
      <c r="C2252" s="7" t="n">
        <f aca="false">B2252-WEEKDAY(B2252)+1</f>
        <v>43156</v>
      </c>
      <c r="D2252" s="1" t="e">
        <f aca="false" t="array" ref="D2252:D2252">IF(ISBLANK(_xlfn.xlookup(D$3,daily_items,_xlfn.xlookup($C2252,daily_dates,big_daily_table))),NA(),_xlfn.xlookup(D$3,daily_items,_xlfn.xlookup($C2252,daily_dates,big_daily_table)))</f>
        <v>#NAME?</v>
      </c>
      <c r="E2252" s="1" t="e">
        <f aca="false" t="array" ref="E2252:E2252">IF(ISBLANK(_xlfn.xlookup(E$3,daily_items,_xlfn.xlookup($C2252,daily_dates,big_daily_table))),NA(),_xlfn.xlookup(E$3,daily_items,_xlfn.xlookup($C2252,daily_dates,big_daily_table)))</f>
        <v>#NAME?</v>
      </c>
    </row>
    <row r="2253" customFormat="false" ht="14.25" hidden="false" customHeight="false" outlineLevel="0" collapsed="false">
      <c r="B2253" s="7" t="n">
        <v>43158</v>
      </c>
      <c r="C2253" s="7" t="n">
        <f aca="false">B2253-WEEKDAY(B2253)+1</f>
        <v>43156</v>
      </c>
      <c r="D2253" s="1" t="e">
        <f aca="false" t="array" ref="D2253:D2253">IF(ISBLANK(_xlfn.xlookup(D$3,daily_items,_xlfn.xlookup($C2253,daily_dates,big_daily_table))),NA(),_xlfn.xlookup(D$3,daily_items,_xlfn.xlookup($C2253,daily_dates,big_daily_table)))</f>
        <v>#NAME?</v>
      </c>
      <c r="E2253" s="1" t="e">
        <f aca="false" t="array" ref="E2253:E2253">IF(ISBLANK(_xlfn.xlookup(E$3,daily_items,_xlfn.xlookup($C2253,daily_dates,big_daily_table))),NA(),_xlfn.xlookup(E$3,daily_items,_xlfn.xlookup($C2253,daily_dates,big_daily_table)))</f>
        <v>#NAME?</v>
      </c>
    </row>
    <row r="2254" customFormat="false" ht="14.25" hidden="false" customHeight="false" outlineLevel="0" collapsed="false">
      <c r="B2254" s="7" t="n">
        <v>43159</v>
      </c>
      <c r="C2254" s="7" t="n">
        <f aca="false">B2254-WEEKDAY(B2254)+1</f>
        <v>43156</v>
      </c>
      <c r="D2254" s="1" t="e">
        <f aca="false" t="array" ref="D2254:D2254">IF(ISBLANK(_xlfn.xlookup(D$3,daily_items,_xlfn.xlookup($C2254,daily_dates,big_daily_table))),NA(),_xlfn.xlookup(D$3,daily_items,_xlfn.xlookup($C2254,daily_dates,big_daily_table)))</f>
        <v>#NAME?</v>
      </c>
      <c r="E2254" s="1" t="e">
        <f aca="false" t="array" ref="E2254:E2254">IF(ISBLANK(_xlfn.xlookup(E$3,daily_items,_xlfn.xlookup($C2254,daily_dates,big_daily_table))),NA(),_xlfn.xlookup(E$3,daily_items,_xlfn.xlookup($C2254,daily_dates,big_daily_table)))</f>
        <v>#NAME?</v>
      </c>
    </row>
    <row r="2255" customFormat="false" ht="14.25" hidden="false" customHeight="false" outlineLevel="0" collapsed="false">
      <c r="B2255" s="7" t="n">
        <v>43160</v>
      </c>
      <c r="C2255" s="7" t="n">
        <f aca="false">B2255-WEEKDAY(B2255)+1</f>
        <v>43156</v>
      </c>
      <c r="D2255" s="1" t="e">
        <f aca="false" t="array" ref="D2255:D2255">IF(ISBLANK(_xlfn.xlookup(D$3,daily_items,_xlfn.xlookup($C2255,daily_dates,big_daily_table))),NA(),_xlfn.xlookup(D$3,daily_items,_xlfn.xlookup($C2255,daily_dates,big_daily_table)))</f>
        <v>#NAME?</v>
      </c>
      <c r="E2255" s="1" t="e">
        <f aca="false" t="array" ref="E2255:E2255">IF(ISBLANK(_xlfn.xlookup(E$3,daily_items,_xlfn.xlookup($C2255,daily_dates,big_daily_table))),NA(),_xlfn.xlookup(E$3,daily_items,_xlfn.xlookup($C2255,daily_dates,big_daily_table)))</f>
        <v>#NAME?</v>
      </c>
    </row>
    <row r="2256" customFormat="false" ht="14.25" hidden="false" customHeight="false" outlineLevel="0" collapsed="false">
      <c r="B2256" s="7" t="n">
        <v>43161</v>
      </c>
      <c r="C2256" s="7" t="n">
        <f aca="false">B2256-WEEKDAY(B2256)+1</f>
        <v>43156</v>
      </c>
      <c r="D2256" s="1" t="e">
        <f aca="false" t="array" ref="D2256:D2256">IF(ISBLANK(_xlfn.xlookup(D$3,daily_items,_xlfn.xlookup($C2256,daily_dates,big_daily_table))),NA(),_xlfn.xlookup(D$3,daily_items,_xlfn.xlookup($C2256,daily_dates,big_daily_table)))</f>
        <v>#NAME?</v>
      </c>
      <c r="E2256" s="1" t="e">
        <f aca="false" t="array" ref="E2256:E2256">IF(ISBLANK(_xlfn.xlookup(E$3,daily_items,_xlfn.xlookup($C2256,daily_dates,big_daily_table))),NA(),_xlfn.xlookup(E$3,daily_items,_xlfn.xlookup($C2256,daily_dates,big_daily_table)))</f>
        <v>#NAME?</v>
      </c>
    </row>
    <row r="2257" customFormat="false" ht="14.25" hidden="false" customHeight="false" outlineLevel="0" collapsed="false">
      <c r="B2257" s="7" t="n">
        <v>43162</v>
      </c>
      <c r="C2257" s="7" t="n">
        <f aca="false">B2257-WEEKDAY(B2257)+1</f>
        <v>43156</v>
      </c>
      <c r="D2257" s="1" t="e">
        <f aca="false" t="array" ref="D2257:D2257">IF(ISBLANK(_xlfn.xlookup(D$3,daily_items,_xlfn.xlookup($C2257,daily_dates,big_daily_table))),NA(),_xlfn.xlookup(D$3,daily_items,_xlfn.xlookup($C2257,daily_dates,big_daily_table)))</f>
        <v>#NAME?</v>
      </c>
      <c r="E2257" s="1" t="e">
        <f aca="false" t="array" ref="E2257:E2257">IF(ISBLANK(_xlfn.xlookup(E$3,daily_items,_xlfn.xlookup($C2257,daily_dates,big_daily_table))),NA(),_xlfn.xlookup(E$3,daily_items,_xlfn.xlookup($C2257,daily_dates,big_daily_table)))</f>
        <v>#NAME?</v>
      </c>
    </row>
    <row r="2258" customFormat="false" ht="14.25" hidden="false" customHeight="false" outlineLevel="0" collapsed="false">
      <c r="B2258" s="7" t="n">
        <v>43163</v>
      </c>
      <c r="C2258" s="7" t="n">
        <f aca="false">B2258-WEEKDAY(B2258)+1</f>
        <v>43163</v>
      </c>
      <c r="D2258" s="1" t="e">
        <f aca="false" t="array" ref="D2258:D2258">IF(ISBLANK(_xlfn.xlookup(D$3,daily_items,_xlfn.xlookup($C2258,daily_dates,big_daily_table))),NA(),_xlfn.xlookup(D$3,daily_items,_xlfn.xlookup($C2258,daily_dates,big_daily_table)))</f>
        <v>#NAME?</v>
      </c>
      <c r="E2258" s="1" t="e">
        <f aca="false" t="array" ref="E2258:E2258">IF(ISBLANK(_xlfn.xlookup(E$3,daily_items,_xlfn.xlookup($C2258,daily_dates,big_daily_table))),NA(),_xlfn.xlookup(E$3,daily_items,_xlfn.xlookup($C2258,daily_dates,big_daily_table)))</f>
        <v>#NAME?</v>
      </c>
    </row>
    <row r="2259" customFormat="false" ht="14.25" hidden="false" customHeight="false" outlineLevel="0" collapsed="false">
      <c r="B2259" s="7" t="n">
        <v>43164</v>
      </c>
      <c r="C2259" s="7" t="n">
        <f aca="false">B2259-WEEKDAY(B2259)+1</f>
        <v>43163</v>
      </c>
      <c r="D2259" s="1" t="e">
        <f aca="false" t="array" ref="D2259:D2259">IF(ISBLANK(_xlfn.xlookup(D$3,daily_items,_xlfn.xlookup($C2259,daily_dates,big_daily_table))),NA(),_xlfn.xlookup(D$3,daily_items,_xlfn.xlookup($C2259,daily_dates,big_daily_table)))</f>
        <v>#NAME?</v>
      </c>
      <c r="E2259" s="1" t="e">
        <f aca="false" t="array" ref="E2259:E2259">IF(ISBLANK(_xlfn.xlookup(E$3,daily_items,_xlfn.xlookup($C2259,daily_dates,big_daily_table))),NA(),_xlfn.xlookup(E$3,daily_items,_xlfn.xlookup($C2259,daily_dates,big_daily_table)))</f>
        <v>#NAME?</v>
      </c>
    </row>
    <row r="2260" customFormat="false" ht="14.25" hidden="false" customHeight="false" outlineLevel="0" collapsed="false">
      <c r="B2260" s="7" t="n">
        <v>43165</v>
      </c>
      <c r="C2260" s="7" t="n">
        <f aca="false">B2260-WEEKDAY(B2260)+1</f>
        <v>43163</v>
      </c>
      <c r="D2260" s="1" t="e">
        <f aca="false" t="array" ref="D2260:D2260">IF(ISBLANK(_xlfn.xlookup(D$3,daily_items,_xlfn.xlookup($C2260,daily_dates,big_daily_table))),NA(),_xlfn.xlookup(D$3,daily_items,_xlfn.xlookup($C2260,daily_dates,big_daily_table)))</f>
        <v>#NAME?</v>
      </c>
      <c r="E2260" s="1" t="e">
        <f aca="false" t="array" ref="E2260:E2260">IF(ISBLANK(_xlfn.xlookup(E$3,daily_items,_xlfn.xlookup($C2260,daily_dates,big_daily_table))),NA(),_xlfn.xlookup(E$3,daily_items,_xlfn.xlookup($C2260,daily_dates,big_daily_table)))</f>
        <v>#NAME?</v>
      </c>
    </row>
    <row r="2261" customFormat="false" ht="14.25" hidden="false" customHeight="false" outlineLevel="0" collapsed="false">
      <c r="B2261" s="7" t="n">
        <v>43166</v>
      </c>
      <c r="C2261" s="7" t="n">
        <f aca="false">B2261-WEEKDAY(B2261)+1</f>
        <v>43163</v>
      </c>
      <c r="D2261" s="1" t="e">
        <f aca="false" t="array" ref="D2261:D2261">IF(ISBLANK(_xlfn.xlookup(D$3,daily_items,_xlfn.xlookup($C2261,daily_dates,big_daily_table))),NA(),_xlfn.xlookup(D$3,daily_items,_xlfn.xlookup($C2261,daily_dates,big_daily_table)))</f>
        <v>#NAME?</v>
      </c>
      <c r="E2261" s="1" t="e">
        <f aca="false" t="array" ref="E2261:E2261">IF(ISBLANK(_xlfn.xlookup(E$3,daily_items,_xlfn.xlookup($C2261,daily_dates,big_daily_table))),NA(),_xlfn.xlookup(E$3,daily_items,_xlfn.xlookup($C2261,daily_dates,big_daily_table)))</f>
        <v>#NAME?</v>
      </c>
    </row>
    <row r="2262" customFormat="false" ht="14.25" hidden="false" customHeight="false" outlineLevel="0" collapsed="false">
      <c r="B2262" s="7" t="n">
        <v>43167</v>
      </c>
      <c r="C2262" s="7" t="n">
        <f aca="false">B2262-WEEKDAY(B2262)+1</f>
        <v>43163</v>
      </c>
      <c r="D2262" s="1" t="e">
        <f aca="false" t="array" ref="D2262:D2262">IF(ISBLANK(_xlfn.xlookup(D$3,daily_items,_xlfn.xlookup($C2262,daily_dates,big_daily_table))),NA(),_xlfn.xlookup(D$3,daily_items,_xlfn.xlookup($C2262,daily_dates,big_daily_table)))</f>
        <v>#NAME?</v>
      </c>
      <c r="E2262" s="1" t="e">
        <f aca="false" t="array" ref="E2262:E2262">IF(ISBLANK(_xlfn.xlookup(E$3,daily_items,_xlfn.xlookup($C2262,daily_dates,big_daily_table))),NA(),_xlfn.xlookup(E$3,daily_items,_xlfn.xlookup($C2262,daily_dates,big_daily_table)))</f>
        <v>#NAME?</v>
      </c>
    </row>
    <row r="2263" customFormat="false" ht="14.25" hidden="false" customHeight="false" outlineLevel="0" collapsed="false">
      <c r="B2263" s="7" t="n">
        <v>43168</v>
      </c>
      <c r="C2263" s="7" t="n">
        <f aca="false">B2263-WEEKDAY(B2263)+1</f>
        <v>43163</v>
      </c>
      <c r="D2263" s="1" t="e">
        <f aca="false" t="array" ref="D2263:D2263">IF(ISBLANK(_xlfn.xlookup(D$3,daily_items,_xlfn.xlookup($C2263,daily_dates,big_daily_table))),NA(),_xlfn.xlookup(D$3,daily_items,_xlfn.xlookup($C2263,daily_dates,big_daily_table)))</f>
        <v>#NAME?</v>
      </c>
      <c r="E2263" s="1" t="e">
        <f aca="false" t="array" ref="E2263:E2263">IF(ISBLANK(_xlfn.xlookup(E$3,daily_items,_xlfn.xlookup($C2263,daily_dates,big_daily_table))),NA(),_xlfn.xlookup(E$3,daily_items,_xlfn.xlookup($C2263,daily_dates,big_daily_table)))</f>
        <v>#NAME?</v>
      </c>
    </row>
    <row r="2264" customFormat="false" ht="14.25" hidden="false" customHeight="false" outlineLevel="0" collapsed="false">
      <c r="B2264" s="7" t="n">
        <v>43169</v>
      </c>
      <c r="C2264" s="7" t="n">
        <f aca="false">B2264-WEEKDAY(B2264)+1</f>
        <v>43163</v>
      </c>
      <c r="D2264" s="1" t="e">
        <f aca="false" t="array" ref="D2264:D2264">IF(ISBLANK(_xlfn.xlookup(D$3,daily_items,_xlfn.xlookup($C2264,daily_dates,big_daily_table))),NA(),_xlfn.xlookup(D$3,daily_items,_xlfn.xlookup($C2264,daily_dates,big_daily_table)))</f>
        <v>#NAME?</v>
      </c>
      <c r="E2264" s="1" t="e">
        <f aca="false" t="array" ref="E2264:E2264">IF(ISBLANK(_xlfn.xlookup(E$3,daily_items,_xlfn.xlookup($C2264,daily_dates,big_daily_table))),NA(),_xlfn.xlookup(E$3,daily_items,_xlfn.xlookup($C2264,daily_dates,big_daily_table)))</f>
        <v>#NAME?</v>
      </c>
    </row>
    <row r="2265" customFormat="false" ht="14.25" hidden="false" customHeight="false" outlineLevel="0" collapsed="false">
      <c r="B2265" s="7" t="n">
        <v>43170</v>
      </c>
      <c r="C2265" s="7" t="n">
        <f aca="false">B2265-WEEKDAY(B2265)+1</f>
        <v>43170</v>
      </c>
      <c r="D2265" s="1" t="e">
        <f aca="false" t="array" ref="D2265:D2265">IF(ISBLANK(_xlfn.xlookup(D$3,daily_items,_xlfn.xlookup($C2265,daily_dates,big_daily_table))),NA(),_xlfn.xlookup(D$3,daily_items,_xlfn.xlookup($C2265,daily_dates,big_daily_table)))</f>
        <v>#NAME?</v>
      </c>
      <c r="E2265" s="1" t="e">
        <f aca="false" t="array" ref="E2265:E2265">IF(ISBLANK(_xlfn.xlookup(E$3,daily_items,_xlfn.xlookup($C2265,daily_dates,big_daily_table))),NA(),_xlfn.xlookup(E$3,daily_items,_xlfn.xlookup($C2265,daily_dates,big_daily_table)))</f>
        <v>#NAME?</v>
      </c>
    </row>
    <row r="2266" customFormat="false" ht="14.25" hidden="false" customHeight="false" outlineLevel="0" collapsed="false">
      <c r="B2266" s="7" t="n">
        <v>43171</v>
      </c>
      <c r="C2266" s="7" t="n">
        <f aca="false">B2266-WEEKDAY(B2266)+1</f>
        <v>43170</v>
      </c>
      <c r="D2266" s="1" t="e">
        <f aca="false" t="array" ref="D2266:D2266">IF(ISBLANK(_xlfn.xlookup(D$3,daily_items,_xlfn.xlookup($C2266,daily_dates,big_daily_table))),NA(),_xlfn.xlookup(D$3,daily_items,_xlfn.xlookup($C2266,daily_dates,big_daily_table)))</f>
        <v>#NAME?</v>
      </c>
      <c r="E2266" s="1" t="e">
        <f aca="false" t="array" ref="E2266:E2266">IF(ISBLANK(_xlfn.xlookup(E$3,daily_items,_xlfn.xlookup($C2266,daily_dates,big_daily_table))),NA(),_xlfn.xlookup(E$3,daily_items,_xlfn.xlookup($C2266,daily_dates,big_daily_table)))</f>
        <v>#NAME?</v>
      </c>
    </row>
    <row r="2267" customFormat="false" ht="14.25" hidden="false" customHeight="false" outlineLevel="0" collapsed="false">
      <c r="B2267" s="7" t="n">
        <v>43172</v>
      </c>
      <c r="C2267" s="7" t="n">
        <f aca="false">B2267-WEEKDAY(B2267)+1</f>
        <v>43170</v>
      </c>
      <c r="D2267" s="1" t="e">
        <f aca="false" t="array" ref="D2267:D2267">IF(ISBLANK(_xlfn.xlookup(D$3,daily_items,_xlfn.xlookup($C2267,daily_dates,big_daily_table))),NA(),_xlfn.xlookup(D$3,daily_items,_xlfn.xlookup($C2267,daily_dates,big_daily_table)))</f>
        <v>#NAME?</v>
      </c>
      <c r="E2267" s="1" t="e">
        <f aca="false" t="array" ref="E2267:E2267">IF(ISBLANK(_xlfn.xlookup(E$3,daily_items,_xlfn.xlookup($C2267,daily_dates,big_daily_table))),NA(),_xlfn.xlookup(E$3,daily_items,_xlfn.xlookup($C2267,daily_dates,big_daily_table)))</f>
        <v>#NAME?</v>
      </c>
    </row>
    <row r="2268" customFormat="false" ht="14.25" hidden="false" customHeight="false" outlineLevel="0" collapsed="false">
      <c r="B2268" s="7" t="n">
        <v>43173</v>
      </c>
      <c r="C2268" s="7" t="n">
        <f aca="false">B2268-WEEKDAY(B2268)+1</f>
        <v>43170</v>
      </c>
      <c r="D2268" s="1" t="e">
        <f aca="false" t="array" ref="D2268:D2268">IF(ISBLANK(_xlfn.xlookup(D$3,daily_items,_xlfn.xlookup($C2268,daily_dates,big_daily_table))),NA(),_xlfn.xlookup(D$3,daily_items,_xlfn.xlookup($C2268,daily_dates,big_daily_table)))</f>
        <v>#NAME?</v>
      </c>
      <c r="E2268" s="1" t="e">
        <f aca="false" t="array" ref="E2268:E2268">IF(ISBLANK(_xlfn.xlookup(E$3,daily_items,_xlfn.xlookup($C2268,daily_dates,big_daily_table))),NA(),_xlfn.xlookup(E$3,daily_items,_xlfn.xlookup($C2268,daily_dates,big_daily_table)))</f>
        <v>#NAME?</v>
      </c>
    </row>
    <row r="2269" customFormat="false" ht="14.25" hidden="false" customHeight="false" outlineLevel="0" collapsed="false">
      <c r="B2269" s="7" t="n">
        <v>43174</v>
      </c>
      <c r="C2269" s="7" t="n">
        <f aca="false">B2269-WEEKDAY(B2269)+1</f>
        <v>43170</v>
      </c>
      <c r="D2269" s="1" t="e">
        <f aca="false" t="array" ref="D2269:D2269">IF(ISBLANK(_xlfn.xlookup(D$3,daily_items,_xlfn.xlookup($C2269,daily_dates,big_daily_table))),NA(),_xlfn.xlookup(D$3,daily_items,_xlfn.xlookup($C2269,daily_dates,big_daily_table)))</f>
        <v>#NAME?</v>
      </c>
      <c r="E2269" s="1" t="e">
        <f aca="false" t="array" ref="E2269:E2269">IF(ISBLANK(_xlfn.xlookup(E$3,daily_items,_xlfn.xlookup($C2269,daily_dates,big_daily_table))),NA(),_xlfn.xlookup(E$3,daily_items,_xlfn.xlookup($C2269,daily_dates,big_daily_table)))</f>
        <v>#NAME?</v>
      </c>
    </row>
    <row r="2270" customFormat="false" ht="14.25" hidden="false" customHeight="false" outlineLevel="0" collapsed="false">
      <c r="B2270" s="7" t="n">
        <v>43175</v>
      </c>
      <c r="C2270" s="7" t="n">
        <f aca="false">B2270-WEEKDAY(B2270)+1</f>
        <v>43170</v>
      </c>
      <c r="D2270" s="1" t="e">
        <f aca="false" t="array" ref="D2270:D2270">IF(ISBLANK(_xlfn.xlookup(D$3,daily_items,_xlfn.xlookup($C2270,daily_dates,big_daily_table))),NA(),_xlfn.xlookup(D$3,daily_items,_xlfn.xlookup($C2270,daily_dates,big_daily_table)))</f>
        <v>#NAME?</v>
      </c>
      <c r="E2270" s="1" t="e">
        <f aca="false" t="array" ref="E2270:E2270">IF(ISBLANK(_xlfn.xlookup(E$3,daily_items,_xlfn.xlookup($C2270,daily_dates,big_daily_table))),NA(),_xlfn.xlookup(E$3,daily_items,_xlfn.xlookup($C2270,daily_dates,big_daily_table)))</f>
        <v>#NAME?</v>
      </c>
    </row>
    <row r="2271" customFormat="false" ht="14.25" hidden="false" customHeight="false" outlineLevel="0" collapsed="false">
      <c r="B2271" s="7" t="n">
        <v>43176</v>
      </c>
      <c r="C2271" s="7" t="n">
        <f aca="false">B2271-WEEKDAY(B2271)+1</f>
        <v>43170</v>
      </c>
      <c r="D2271" s="1" t="e">
        <f aca="false" t="array" ref="D2271:D2271">IF(ISBLANK(_xlfn.xlookup(D$3,daily_items,_xlfn.xlookup($C2271,daily_dates,big_daily_table))),NA(),_xlfn.xlookup(D$3,daily_items,_xlfn.xlookup($C2271,daily_dates,big_daily_table)))</f>
        <v>#NAME?</v>
      </c>
      <c r="E2271" s="1" t="e">
        <f aca="false" t="array" ref="E2271:E2271">IF(ISBLANK(_xlfn.xlookup(E$3,daily_items,_xlfn.xlookup($C2271,daily_dates,big_daily_table))),NA(),_xlfn.xlookup(E$3,daily_items,_xlfn.xlookup($C2271,daily_dates,big_daily_table)))</f>
        <v>#NAME?</v>
      </c>
    </row>
    <row r="2272" customFormat="false" ht="14.25" hidden="false" customHeight="false" outlineLevel="0" collapsed="false">
      <c r="B2272" s="7" t="n">
        <v>43177</v>
      </c>
      <c r="C2272" s="7" t="n">
        <f aca="false">B2272-WEEKDAY(B2272)+1</f>
        <v>43177</v>
      </c>
      <c r="D2272" s="1" t="e">
        <f aca="false" t="array" ref="D2272:D2272">IF(ISBLANK(_xlfn.xlookup(D$3,daily_items,_xlfn.xlookup($C2272,daily_dates,big_daily_table))),NA(),_xlfn.xlookup(D$3,daily_items,_xlfn.xlookup($C2272,daily_dates,big_daily_table)))</f>
        <v>#NAME?</v>
      </c>
      <c r="E2272" s="1" t="e">
        <f aca="false" t="array" ref="E2272:E2272">IF(ISBLANK(_xlfn.xlookup(E$3,daily_items,_xlfn.xlookup($C2272,daily_dates,big_daily_table))),NA(),_xlfn.xlookup(E$3,daily_items,_xlfn.xlookup($C2272,daily_dates,big_daily_table)))</f>
        <v>#NAME?</v>
      </c>
    </row>
    <row r="2273" customFormat="false" ht="14.25" hidden="false" customHeight="false" outlineLevel="0" collapsed="false">
      <c r="B2273" s="7" t="n">
        <v>43178</v>
      </c>
      <c r="C2273" s="7" t="n">
        <f aca="false">B2273-WEEKDAY(B2273)+1</f>
        <v>43177</v>
      </c>
      <c r="D2273" s="1" t="e">
        <f aca="false" t="array" ref="D2273:D2273">IF(ISBLANK(_xlfn.xlookup(D$3,daily_items,_xlfn.xlookup($C2273,daily_dates,big_daily_table))),NA(),_xlfn.xlookup(D$3,daily_items,_xlfn.xlookup($C2273,daily_dates,big_daily_table)))</f>
        <v>#NAME?</v>
      </c>
      <c r="E2273" s="1" t="e">
        <f aca="false" t="array" ref="E2273:E2273">IF(ISBLANK(_xlfn.xlookup(E$3,daily_items,_xlfn.xlookup($C2273,daily_dates,big_daily_table))),NA(),_xlfn.xlookup(E$3,daily_items,_xlfn.xlookup($C2273,daily_dates,big_daily_table)))</f>
        <v>#NAME?</v>
      </c>
    </row>
    <row r="2274" customFormat="false" ht="14.25" hidden="false" customHeight="false" outlineLevel="0" collapsed="false">
      <c r="B2274" s="7" t="n">
        <v>43179</v>
      </c>
      <c r="C2274" s="7" t="n">
        <f aca="false">B2274-WEEKDAY(B2274)+1</f>
        <v>43177</v>
      </c>
      <c r="D2274" s="1" t="e">
        <f aca="false" t="array" ref="D2274:D2274">IF(ISBLANK(_xlfn.xlookup(D$3,daily_items,_xlfn.xlookup($C2274,daily_dates,big_daily_table))),NA(),_xlfn.xlookup(D$3,daily_items,_xlfn.xlookup($C2274,daily_dates,big_daily_table)))</f>
        <v>#NAME?</v>
      </c>
      <c r="E2274" s="1" t="e">
        <f aca="false" t="array" ref="E2274:E2274">IF(ISBLANK(_xlfn.xlookup(E$3,daily_items,_xlfn.xlookup($C2274,daily_dates,big_daily_table))),NA(),_xlfn.xlookup(E$3,daily_items,_xlfn.xlookup($C2274,daily_dates,big_daily_table)))</f>
        <v>#NAME?</v>
      </c>
    </row>
    <row r="2275" customFormat="false" ht="14.25" hidden="false" customHeight="false" outlineLevel="0" collapsed="false">
      <c r="B2275" s="7" t="n">
        <v>43180</v>
      </c>
      <c r="C2275" s="7" t="n">
        <f aca="false">B2275-WEEKDAY(B2275)+1</f>
        <v>43177</v>
      </c>
      <c r="D2275" s="1" t="e">
        <f aca="false" t="array" ref="D2275:D2275">IF(ISBLANK(_xlfn.xlookup(D$3,daily_items,_xlfn.xlookup($C2275,daily_dates,big_daily_table))),NA(),_xlfn.xlookup(D$3,daily_items,_xlfn.xlookup($C2275,daily_dates,big_daily_table)))</f>
        <v>#NAME?</v>
      </c>
      <c r="E2275" s="1" t="e">
        <f aca="false" t="array" ref="E2275:E2275">IF(ISBLANK(_xlfn.xlookup(E$3,daily_items,_xlfn.xlookup($C2275,daily_dates,big_daily_table))),NA(),_xlfn.xlookup(E$3,daily_items,_xlfn.xlookup($C2275,daily_dates,big_daily_table)))</f>
        <v>#NAME?</v>
      </c>
    </row>
    <row r="2276" customFormat="false" ht="14.25" hidden="false" customHeight="false" outlineLevel="0" collapsed="false">
      <c r="B2276" s="7" t="n">
        <v>43181</v>
      </c>
      <c r="C2276" s="7" t="n">
        <f aca="false">B2276-WEEKDAY(B2276)+1</f>
        <v>43177</v>
      </c>
      <c r="D2276" s="1" t="e">
        <f aca="false" t="array" ref="D2276:D2276">IF(ISBLANK(_xlfn.xlookup(D$3,daily_items,_xlfn.xlookup($C2276,daily_dates,big_daily_table))),NA(),_xlfn.xlookup(D$3,daily_items,_xlfn.xlookup($C2276,daily_dates,big_daily_table)))</f>
        <v>#NAME?</v>
      </c>
      <c r="E2276" s="1" t="e">
        <f aca="false" t="array" ref="E2276:E2276">IF(ISBLANK(_xlfn.xlookup(E$3,daily_items,_xlfn.xlookup($C2276,daily_dates,big_daily_table))),NA(),_xlfn.xlookup(E$3,daily_items,_xlfn.xlookup($C2276,daily_dates,big_daily_table)))</f>
        <v>#NAME?</v>
      </c>
    </row>
    <row r="2277" customFormat="false" ht="14.25" hidden="false" customHeight="false" outlineLevel="0" collapsed="false">
      <c r="B2277" s="7" t="n">
        <v>43182</v>
      </c>
      <c r="C2277" s="7" t="n">
        <f aca="false">B2277-WEEKDAY(B2277)+1</f>
        <v>43177</v>
      </c>
      <c r="D2277" s="1" t="e">
        <f aca="false" t="array" ref="D2277:D2277">IF(ISBLANK(_xlfn.xlookup(D$3,daily_items,_xlfn.xlookup($C2277,daily_dates,big_daily_table))),NA(),_xlfn.xlookup(D$3,daily_items,_xlfn.xlookup($C2277,daily_dates,big_daily_table)))</f>
        <v>#NAME?</v>
      </c>
      <c r="E2277" s="1" t="e">
        <f aca="false" t="array" ref="E2277:E2277">IF(ISBLANK(_xlfn.xlookup(E$3,daily_items,_xlfn.xlookup($C2277,daily_dates,big_daily_table))),NA(),_xlfn.xlookup(E$3,daily_items,_xlfn.xlookup($C2277,daily_dates,big_daily_table)))</f>
        <v>#NAME?</v>
      </c>
    </row>
    <row r="2278" customFormat="false" ht="14.25" hidden="false" customHeight="false" outlineLevel="0" collapsed="false">
      <c r="B2278" s="7" t="n">
        <v>43183</v>
      </c>
      <c r="C2278" s="7" t="n">
        <f aca="false">B2278-WEEKDAY(B2278)+1</f>
        <v>43177</v>
      </c>
      <c r="D2278" s="1" t="e">
        <f aca="false" t="array" ref="D2278:D2278">IF(ISBLANK(_xlfn.xlookup(D$3,daily_items,_xlfn.xlookup($C2278,daily_dates,big_daily_table))),NA(),_xlfn.xlookup(D$3,daily_items,_xlfn.xlookup($C2278,daily_dates,big_daily_table)))</f>
        <v>#NAME?</v>
      </c>
      <c r="E2278" s="1" t="e">
        <f aca="false" t="array" ref="E2278:E2278">IF(ISBLANK(_xlfn.xlookup(E$3,daily_items,_xlfn.xlookup($C2278,daily_dates,big_daily_table))),NA(),_xlfn.xlookup(E$3,daily_items,_xlfn.xlookup($C2278,daily_dates,big_daily_table)))</f>
        <v>#NAME?</v>
      </c>
    </row>
    <row r="2279" customFormat="false" ht="14.25" hidden="false" customHeight="false" outlineLevel="0" collapsed="false">
      <c r="B2279" s="7" t="n">
        <v>43184</v>
      </c>
      <c r="C2279" s="7" t="n">
        <f aca="false">B2279-WEEKDAY(B2279)+1</f>
        <v>43184</v>
      </c>
      <c r="D2279" s="1" t="e">
        <f aca="false" t="array" ref="D2279:D2279">IF(ISBLANK(_xlfn.xlookup(D$3,daily_items,_xlfn.xlookup($C2279,daily_dates,big_daily_table))),NA(),_xlfn.xlookup(D$3,daily_items,_xlfn.xlookup($C2279,daily_dates,big_daily_table)))</f>
        <v>#NAME?</v>
      </c>
      <c r="E2279" s="1" t="e">
        <f aca="false" t="array" ref="E2279:E2279">IF(ISBLANK(_xlfn.xlookup(E$3,daily_items,_xlfn.xlookup($C2279,daily_dates,big_daily_table))),NA(),_xlfn.xlookup(E$3,daily_items,_xlfn.xlookup($C2279,daily_dates,big_daily_table)))</f>
        <v>#NAME?</v>
      </c>
    </row>
    <row r="2280" customFormat="false" ht="14.25" hidden="false" customHeight="false" outlineLevel="0" collapsed="false">
      <c r="B2280" s="7" t="n">
        <v>43185</v>
      </c>
      <c r="C2280" s="7" t="n">
        <f aca="false">B2280-WEEKDAY(B2280)+1</f>
        <v>43184</v>
      </c>
      <c r="D2280" s="1" t="e">
        <f aca="false" t="array" ref="D2280:D2280">IF(ISBLANK(_xlfn.xlookup(D$3,daily_items,_xlfn.xlookup($C2280,daily_dates,big_daily_table))),NA(),_xlfn.xlookup(D$3,daily_items,_xlfn.xlookup($C2280,daily_dates,big_daily_table)))</f>
        <v>#NAME?</v>
      </c>
      <c r="E2280" s="1" t="e">
        <f aca="false" t="array" ref="E2280:E2280">IF(ISBLANK(_xlfn.xlookup(E$3,daily_items,_xlfn.xlookup($C2280,daily_dates,big_daily_table))),NA(),_xlfn.xlookup(E$3,daily_items,_xlfn.xlookup($C2280,daily_dates,big_daily_table)))</f>
        <v>#NAME?</v>
      </c>
    </row>
    <row r="2281" customFormat="false" ht="14.25" hidden="false" customHeight="false" outlineLevel="0" collapsed="false">
      <c r="B2281" s="7" t="n">
        <v>43186</v>
      </c>
      <c r="C2281" s="7" t="n">
        <f aca="false">B2281-WEEKDAY(B2281)+1</f>
        <v>43184</v>
      </c>
      <c r="D2281" s="1" t="e">
        <f aca="false" t="array" ref="D2281:D2281">IF(ISBLANK(_xlfn.xlookup(D$3,daily_items,_xlfn.xlookup($C2281,daily_dates,big_daily_table))),NA(),_xlfn.xlookup(D$3,daily_items,_xlfn.xlookup($C2281,daily_dates,big_daily_table)))</f>
        <v>#NAME?</v>
      </c>
      <c r="E2281" s="1" t="e">
        <f aca="false" t="array" ref="E2281:E2281">IF(ISBLANK(_xlfn.xlookup(E$3,daily_items,_xlfn.xlookup($C2281,daily_dates,big_daily_table))),NA(),_xlfn.xlookup(E$3,daily_items,_xlfn.xlookup($C2281,daily_dates,big_daily_table)))</f>
        <v>#NAME?</v>
      </c>
    </row>
    <row r="2282" customFormat="false" ht="14.25" hidden="false" customHeight="false" outlineLevel="0" collapsed="false">
      <c r="B2282" s="7" t="n">
        <v>43187</v>
      </c>
      <c r="C2282" s="7" t="n">
        <f aca="false">B2282-WEEKDAY(B2282)+1</f>
        <v>43184</v>
      </c>
      <c r="D2282" s="1" t="e">
        <f aca="false" t="array" ref="D2282:D2282">IF(ISBLANK(_xlfn.xlookup(D$3,daily_items,_xlfn.xlookup($C2282,daily_dates,big_daily_table))),NA(),_xlfn.xlookup(D$3,daily_items,_xlfn.xlookup($C2282,daily_dates,big_daily_table)))</f>
        <v>#NAME?</v>
      </c>
      <c r="E2282" s="1" t="e">
        <f aca="false" t="array" ref="E2282:E2282">IF(ISBLANK(_xlfn.xlookup(E$3,daily_items,_xlfn.xlookup($C2282,daily_dates,big_daily_table))),NA(),_xlfn.xlookup(E$3,daily_items,_xlfn.xlookup($C2282,daily_dates,big_daily_table)))</f>
        <v>#NAME?</v>
      </c>
    </row>
    <row r="2283" customFormat="false" ht="14.25" hidden="false" customHeight="false" outlineLevel="0" collapsed="false">
      <c r="B2283" s="7" t="n">
        <v>43188</v>
      </c>
      <c r="C2283" s="7" t="n">
        <f aca="false">B2283-WEEKDAY(B2283)+1</f>
        <v>43184</v>
      </c>
      <c r="D2283" s="1" t="e">
        <f aca="false" t="array" ref="D2283:D2283">IF(ISBLANK(_xlfn.xlookup(D$3,daily_items,_xlfn.xlookup($C2283,daily_dates,big_daily_table))),NA(),_xlfn.xlookup(D$3,daily_items,_xlfn.xlookup($C2283,daily_dates,big_daily_table)))</f>
        <v>#NAME?</v>
      </c>
      <c r="E2283" s="1" t="e">
        <f aca="false" t="array" ref="E2283:E2283">IF(ISBLANK(_xlfn.xlookup(E$3,daily_items,_xlfn.xlookup($C2283,daily_dates,big_daily_table))),NA(),_xlfn.xlookup(E$3,daily_items,_xlfn.xlookup($C2283,daily_dates,big_daily_table)))</f>
        <v>#NAME?</v>
      </c>
    </row>
    <row r="2284" customFormat="false" ht="14.25" hidden="false" customHeight="false" outlineLevel="0" collapsed="false">
      <c r="B2284" s="7" t="n">
        <v>43189</v>
      </c>
      <c r="C2284" s="7" t="n">
        <f aca="false">B2284-WEEKDAY(B2284)+1</f>
        <v>43184</v>
      </c>
      <c r="D2284" s="1" t="e">
        <f aca="false" t="array" ref="D2284:D2284">IF(ISBLANK(_xlfn.xlookup(D$3,daily_items,_xlfn.xlookup($C2284,daily_dates,big_daily_table))),NA(),_xlfn.xlookup(D$3,daily_items,_xlfn.xlookup($C2284,daily_dates,big_daily_table)))</f>
        <v>#NAME?</v>
      </c>
      <c r="E2284" s="1" t="e">
        <f aca="false" t="array" ref="E2284:E2284">IF(ISBLANK(_xlfn.xlookup(E$3,daily_items,_xlfn.xlookup($C2284,daily_dates,big_daily_table))),NA(),_xlfn.xlookup(E$3,daily_items,_xlfn.xlookup($C2284,daily_dates,big_daily_table)))</f>
        <v>#NAME?</v>
      </c>
    </row>
    <row r="2285" customFormat="false" ht="14.25" hidden="false" customHeight="false" outlineLevel="0" collapsed="false">
      <c r="B2285" s="7" t="n">
        <v>43190</v>
      </c>
      <c r="C2285" s="7" t="n">
        <f aca="false">B2285-WEEKDAY(B2285)+1</f>
        <v>43184</v>
      </c>
      <c r="D2285" s="1" t="e">
        <f aca="false" t="array" ref="D2285:D2285">IF(ISBLANK(_xlfn.xlookup(D$3,daily_items,_xlfn.xlookup($C2285,daily_dates,big_daily_table))),NA(),_xlfn.xlookup(D$3,daily_items,_xlfn.xlookup($C2285,daily_dates,big_daily_table)))</f>
        <v>#NAME?</v>
      </c>
      <c r="E2285" s="1" t="e">
        <f aca="false" t="array" ref="E2285:E2285">IF(ISBLANK(_xlfn.xlookup(E$3,daily_items,_xlfn.xlookup($C2285,daily_dates,big_daily_table))),NA(),_xlfn.xlookup(E$3,daily_items,_xlfn.xlookup($C2285,daily_dates,big_daily_table)))</f>
        <v>#NAME?</v>
      </c>
    </row>
    <row r="2286" customFormat="false" ht="14.25" hidden="false" customHeight="false" outlineLevel="0" collapsed="false">
      <c r="B2286" s="7" t="n">
        <v>43191</v>
      </c>
      <c r="C2286" s="7" t="n">
        <f aca="false">B2286-WEEKDAY(B2286)+1</f>
        <v>43191</v>
      </c>
      <c r="D2286" s="1" t="e">
        <f aca="false" t="array" ref="D2286:D2286">IF(ISBLANK(_xlfn.xlookup(D$3,daily_items,_xlfn.xlookup($C2286,daily_dates,big_daily_table))),NA(),_xlfn.xlookup(D$3,daily_items,_xlfn.xlookup($C2286,daily_dates,big_daily_table)))</f>
        <v>#NAME?</v>
      </c>
      <c r="E2286" s="1" t="e">
        <f aca="false" t="array" ref="E2286:E2286">IF(ISBLANK(_xlfn.xlookup(E$3,daily_items,_xlfn.xlookup($C2286,daily_dates,big_daily_table))),NA(),_xlfn.xlookup(E$3,daily_items,_xlfn.xlookup($C2286,daily_dates,big_daily_table)))</f>
        <v>#NAME?</v>
      </c>
    </row>
    <row r="2287" customFormat="false" ht="14.25" hidden="false" customHeight="false" outlineLevel="0" collapsed="false">
      <c r="B2287" s="7" t="n">
        <v>43192</v>
      </c>
      <c r="C2287" s="7" t="n">
        <f aca="false">B2287-WEEKDAY(B2287)+1</f>
        <v>43191</v>
      </c>
      <c r="D2287" s="1" t="e">
        <f aca="false" t="array" ref="D2287:D2287">IF(ISBLANK(_xlfn.xlookup(D$3,daily_items,_xlfn.xlookup($C2287,daily_dates,big_daily_table))),NA(),_xlfn.xlookup(D$3,daily_items,_xlfn.xlookup($C2287,daily_dates,big_daily_table)))</f>
        <v>#NAME?</v>
      </c>
      <c r="E2287" s="1" t="e">
        <f aca="false" t="array" ref="E2287:E2287">IF(ISBLANK(_xlfn.xlookup(E$3,daily_items,_xlfn.xlookup($C2287,daily_dates,big_daily_table))),NA(),_xlfn.xlookup(E$3,daily_items,_xlfn.xlookup($C2287,daily_dates,big_daily_table)))</f>
        <v>#NAME?</v>
      </c>
    </row>
    <row r="2288" customFormat="false" ht="14.25" hidden="false" customHeight="false" outlineLevel="0" collapsed="false">
      <c r="B2288" s="7" t="n">
        <v>43193</v>
      </c>
      <c r="C2288" s="7" t="n">
        <f aca="false">B2288-WEEKDAY(B2288)+1</f>
        <v>43191</v>
      </c>
      <c r="D2288" s="1" t="e">
        <f aca="false" t="array" ref="D2288:D2288">IF(ISBLANK(_xlfn.xlookup(D$3,daily_items,_xlfn.xlookup($C2288,daily_dates,big_daily_table))),NA(),_xlfn.xlookup(D$3,daily_items,_xlfn.xlookup($C2288,daily_dates,big_daily_table)))</f>
        <v>#NAME?</v>
      </c>
      <c r="E2288" s="1" t="e">
        <f aca="false" t="array" ref="E2288:E2288">IF(ISBLANK(_xlfn.xlookup(E$3,daily_items,_xlfn.xlookup($C2288,daily_dates,big_daily_table))),NA(),_xlfn.xlookup(E$3,daily_items,_xlfn.xlookup($C2288,daily_dates,big_daily_table)))</f>
        <v>#NAME?</v>
      </c>
    </row>
    <row r="2289" customFormat="false" ht="14.25" hidden="false" customHeight="false" outlineLevel="0" collapsed="false">
      <c r="B2289" s="7" t="n">
        <v>43194</v>
      </c>
      <c r="C2289" s="7" t="n">
        <f aca="false">B2289-WEEKDAY(B2289)+1</f>
        <v>43191</v>
      </c>
      <c r="D2289" s="1" t="e">
        <f aca="false" t="array" ref="D2289:D2289">IF(ISBLANK(_xlfn.xlookup(D$3,daily_items,_xlfn.xlookup($C2289,daily_dates,big_daily_table))),NA(),_xlfn.xlookup(D$3,daily_items,_xlfn.xlookup($C2289,daily_dates,big_daily_table)))</f>
        <v>#NAME?</v>
      </c>
      <c r="E2289" s="1" t="e">
        <f aca="false" t="array" ref="E2289:E2289">IF(ISBLANK(_xlfn.xlookup(E$3,daily_items,_xlfn.xlookup($C2289,daily_dates,big_daily_table))),NA(),_xlfn.xlookup(E$3,daily_items,_xlfn.xlookup($C2289,daily_dates,big_daily_table)))</f>
        <v>#NAME?</v>
      </c>
    </row>
    <row r="2290" customFormat="false" ht="14.25" hidden="false" customHeight="false" outlineLevel="0" collapsed="false">
      <c r="B2290" s="7" t="n">
        <v>43195</v>
      </c>
      <c r="C2290" s="7" t="n">
        <f aca="false">B2290-WEEKDAY(B2290)+1</f>
        <v>43191</v>
      </c>
      <c r="D2290" s="1" t="e">
        <f aca="false" t="array" ref="D2290:D2290">IF(ISBLANK(_xlfn.xlookup(D$3,daily_items,_xlfn.xlookup($C2290,daily_dates,big_daily_table))),NA(),_xlfn.xlookup(D$3,daily_items,_xlfn.xlookup($C2290,daily_dates,big_daily_table)))</f>
        <v>#NAME?</v>
      </c>
      <c r="E2290" s="1" t="e">
        <f aca="false" t="array" ref="E2290:E2290">IF(ISBLANK(_xlfn.xlookup(E$3,daily_items,_xlfn.xlookup($C2290,daily_dates,big_daily_table))),NA(),_xlfn.xlookup(E$3,daily_items,_xlfn.xlookup($C2290,daily_dates,big_daily_table)))</f>
        <v>#NAME?</v>
      </c>
    </row>
    <row r="2291" customFormat="false" ht="14.25" hidden="false" customHeight="false" outlineLevel="0" collapsed="false">
      <c r="B2291" s="7" t="n">
        <v>43196</v>
      </c>
      <c r="C2291" s="7" t="n">
        <f aca="false">B2291-WEEKDAY(B2291)+1</f>
        <v>43191</v>
      </c>
      <c r="D2291" s="1" t="e">
        <f aca="false" t="array" ref="D2291:D2291">IF(ISBLANK(_xlfn.xlookup(D$3,daily_items,_xlfn.xlookup($C2291,daily_dates,big_daily_table))),NA(),_xlfn.xlookup(D$3,daily_items,_xlfn.xlookup($C2291,daily_dates,big_daily_table)))</f>
        <v>#NAME?</v>
      </c>
      <c r="E2291" s="1" t="e">
        <f aca="false" t="array" ref="E2291:E2291">IF(ISBLANK(_xlfn.xlookup(E$3,daily_items,_xlfn.xlookup($C2291,daily_dates,big_daily_table))),NA(),_xlfn.xlookup(E$3,daily_items,_xlfn.xlookup($C2291,daily_dates,big_daily_table)))</f>
        <v>#NAME?</v>
      </c>
    </row>
    <row r="2292" customFormat="false" ht="14.25" hidden="false" customHeight="false" outlineLevel="0" collapsed="false">
      <c r="B2292" s="7" t="n">
        <v>43197</v>
      </c>
      <c r="C2292" s="7" t="n">
        <f aca="false">B2292-WEEKDAY(B2292)+1</f>
        <v>43191</v>
      </c>
      <c r="D2292" s="1" t="e">
        <f aca="false" t="array" ref="D2292:D2292">IF(ISBLANK(_xlfn.xlookup(D$3,daily_items,_xlfn.xlookup($C2292,daily_dates,big_daily_table))),NA(),_xlfn.xlookup(D$3,daily_items,_xlfn.xlookup($C2292,daily_dates,big_daily_table)))</f>
        <v>#NAME?</v>
      </c>
      <c r="E2292" s="1" t="e">
        <f aca="false" t="array" ref="E2292:E2292">IF(ISBLANK(_xlfn.xlookup(E$3,daily_items,_xlfn.xlookup($C2292,daily_dates,big_daily_table))),NA(),_xlfn.xlookup(E$3,daily_items,_xlfn.xlookup($C2292,daily_dates,big_daily_table)))</f>
        <v>#NAME?</v>
      </c>
    </row>
    <row r="2293" customFormat="false" ht="14.25" hidden="false" customHeight="false" outlineLevel="0" collapsed="false">
      <c r="B2293" s="7" t="n">
        <v>43198</v>
      </c>
      <c r="C2293" s="7" t="n">
        <f aca="false">B2293-WEEKDAY(B2293)+1</f>
        <v>43198</v>
      </c>
      <c r="D2293" s="1" t="e">
        <f aca="false" t="array" ref="D2293:D2293">IF(ISBLANK(_xlfn.xlookup(D$3,daily_items,_xlfn.xlookup($C2293,daily_dates,big_daily_table))),NA(),_xlfn.xlookup(D$3,daily_items,_xlfn.xlookup($C2293,daily_dates,big_daily_table)))</f>
        <v>#NAME?</v>
      </c>
      <c r="E2293" s="1" t="e">
        <f aca="false" t="array" ref="E2293:E2293">IF(ISBLANK(_xlfn.xlookup(E$3,daily_items,_xlfn.xlookup($C2293,daily_dates,big_daily_table))),NA(),_xlfn.xlookup(E$3,daily_items,_xlfn.xlookup($C2293,daily_dates,big_daily_table)))</f>
        <v>#NAME?</v>
      </c>
    </row>
    <row r="2294" customFormat="false" ht="14.25" hidden="false" customHeight="false" outlineLevel="0" collapsed="false">
      <c r="B2294" s="7" t="n">
        <v>43199</v>
      </c>
      <c r="C2294" s="7" t="n">
        <f aca="false">B2294-WEEKDAY(B2294)+1</f>
        <v>43198</v>
      </c>
      <c r="D2294" s="1" t="e">
        <f aca="false" t="array" ref="D2294:D2294">IF(ISBLANK(_xlfn.xlookup(D$3,daily_items,_xlfn.xlookup($C2294,daily_dates,big_daily_table))),NA(),_xlfn.xlookup(D$3,daily_items,_xlfn.xlookup($C2294,daily_dates,big_daily_table)))</f>
        <v>#NAME?</v>
      </c>
      <c r="E2294" s="1" t="e">
        <f aca="false" t="array" ref="E2294:E2294">IF(ISBLANK(_xlfn.xlookup(E$3,daily_items,_xlfn.xlookup($C2294,daily_dates,big_daily_table))),NA(),_xlfn.xlookup(E$3,daily_items,_xlfn.xlookup($C2294,daily_dates,big_daily_table)))</f>
        <v>#NAME?</v>
      </c>
    </row>
    <row r="2295" customFormat="false" ht="14.25" hidden="false" customHeight="false" outlineLevel="0" collapsed="false">
      <c r="B2295" s="7" t="n">
        <v>43200</v>
      </c>
      <c r="C2295" s="7" t="n">
        <f aca="false">B2295-WEEKDAY(B2295)+1</f>
        <v>43198</v>
      </c>
      <c r="D2295" s="1" t="e">
        <f aca="false" t="array" ref="D2295:D2295">IF(ISBLANK(_xlfn.xlookup(D$3,daily_items,_xlfn.xlookup($C2295,daily_dates,big_daily_table))),NA(),_xlfn.xlookup(D$3,daily_items,_xlfn.xlookup($C2295,daily_dates,big_daily_table)))</f>
        <v>#NAME?</v>
      </c>
      <c r="E2295" s="1" t="e">
        <f aca="false" t="array" ref="E2295:E2295">IF(ISBLANK(_xlfn.xlookup(E$3,daily_items,_xlfn.xlookup($C2295,daily_dates,big_daily_table))),NA(),_xlfn.xlookup(E$3,daily_items,_xlfn.xlookup($C2295,daily_dates,big_daily_table)))</f>
        <v>#NAME?</v>
      </c>
    </row>
    <row r="2296" customFormat="false" ht="14.25" hidden="false" customHeight="false" outlineLevel="0" collapsed="false">
      <c r="B2296" s="7" t="n">
        <v>43201</v>
      </c>
      <c r="C2296" s="7" t="n">
        <f aca="false">B2296-WEEKDAY(B2296)+1</f>
        <v>43198</v>
      </c>
      <c r="D2296" s="1" t="e">
        <f aca="false" t="array" ref="D2296:D2296">IF(ISBLANK(_xlfn.xlookup(D$3,daily_items,_xlfn.xlookup($C2296,daily_dates,big_daily_table))),NA(),_xlfn.xlookup(D$3,daily_items,_xlfn.xlookup($C2296,daily_dates,big_daily_table)))</f>
        <v>#NAME?</v>
      </c>
      <c r="E2296" s="1" t="e">
        <f aca="false" t="array" ref="E2296:E2296">IF(ISBLANK(_xlfn.xlookup(E$3,daily_items,_xlfn.xlookup($C2296,daily_dates,big_daily_table))),NA(),_xlfn.xlookup(E$3,daily_items,_xlfn.xlookup($C2296,daily_dates,big_daily_table)))</f>
        <v>#NAME?</v>
      </c>
    </row>
    <row r="2297" customFormat="false" ht="14.25" hidden="false" customHeight="false" outlineLevel="0" collapsed="false">
      <c r="B2297" s="7" t="n">
        <v>43202</v>
      </c>
      <c r="C2297" s="7" t="n">
        <f aca="false">B2297-WEEKDAY(B2297)+1</f>
        <v>43198</v>
      </c>
      <c r="D2297" s="1" t="e">
        <f aca="false" t="array" ref="D2297:D2297">IF(ISBLANK(_xlfn.xlookup(D$3,daily_items,_xlfn.xlookup($C2297,daily_dates,big_daily_table))),NA(),_xlfn.xlookup(D$3,daily_items,_xlfn.xlookup($C2297,daily_dates,big_daily_table)))</f>
        <v>#NAME?</v>
      </c>
      <c r="E2297" s="1" t="e">
        <f aca="false" t="array" ref="E2297:E2297">IF(ISBLANK(_xlfn.xlookup(E$3,daily_items,_xlfn.xlookup($C2297,daily_dates,big_daily_table))),NA(),_xlfn.xlookup(E$3,daily_items,_xlfn.xlookup($C2297,daily_dates,big_daily_table)))</f>
        <v>#NAME?</v>
      </c>
    </row>
    <row r="2298" customFormat="false" ht="14.25" hidden="false" customHeight="false" outlineLevel="0" collapsed="false">
      <c r="B2298" s="7" t="n">
        <v>43203</v>
      </c>
      <c r="C2298" s="7" t="n">
        <f aca="false">B2298-WEEKDAY(B2298)+1</f>
        <v>43198</v>
      </c>
      <c r="D2298" s="1" t="e">
        <f aca="false" t="array" ref="D2298:D2298">IF(ISBLANK(_xlfn.xlookup(D$3,daily_items,_xlfn.xlookup($C2298,daily_dates,big_daily_table))),NA(),_xlfn.xlookup(D$3,daily_items,_xlfn.xlookup($C2298,daily_dates,big_daily_table)))</f>
        <v>#NAME?</v>
      </c>
      <c r="E2298" s="1" t="e">
        <f aca="false" t="array" ref="E2298:E2298">IF(ISBLANK(_xlfn.xlookup(E$3,daily_items,_xlfn.xlookup($C2298,daily_dates,big_daily_table))),NA(),_xlfn.xlookup(E$3,daily_items,_xlfn.xlookup($C2298,daily_dates,big_daily_table)))</f>
        <v>#NAME?</v>
      </c>
    </row>
    <row r="2299" customFormat="false" ht="14.25" hidden="false" customHeight="false" outlineLevel="0" collapsed="false">
      <c r="B2299" s="7" t="n">
        <v>43204</v>
      </c>
      <c r="C2299" s="7" t="n">
        <f aca="false">B2299-WEEKDAY(B2299)+1</f>
        <v>43198</v>
      </c>
      <c r="D2299" s="1" t="e">
        <f aca="false" t="array" ref="D2299:D2299">IF(ISBLANK(_xlfn.xlookup(D$3,daily_items,_xlfn.xlookup($C2299,daily_dates,big_daily_table))),NA(),_xlfn.xlookup(D$3,daily_items,_xlfn.xlookup($C2299,daily_dates,big_daily_table)))</f>
        <v>#NAME?</v>
      </c>
      <c r="E2299" s="1" t="e">
        <f aca="false" t="array" ref="E2299:E2299">IF(ISBLANK(_xlfn.xlookup(E$3,daily_items,_xlfn.xlookup($C2299,daily_dates,big_daily_table))),NA(),_xlfn.xlookup(E$3,daily_items,_xlfn.xlookup($C2299,daily_dates,big_daily_table)))</f>
        <v>#NAME?</v>
      </c>
    </row>
    <row r="2300" customFormat="false" ht="14.25" hidden="false" customHeight="false" outlineLevel="0" collapsed="false">
      <c r="B2300" s="7" t="n">
        <v>43205</v>
      </c>
      <c r="C2300" s="7" t="n">
        <f aca="false">B2300-WEEKDAY(B2300)+1</f>
        <v>43205</v>
      </c>
      <c r="D2300" s="1" t="e">
        <f aca="false" t="array" ref="D2300:D2300">IF(ISBLANK(_xlfn.xlookup(D$3,daily_items,_xlfn.xlookup($C2300,daily_dates,big_daily_table))),NA(),_xlfn.xlookup(D$3,daily_items,_xlfn.xlookup($C2300,daily_dates,big_daily_table)))</f>
        <v>#NAME?</v>
      </c>
      <c r="E2300" s="1" t="e">
        <f aca="false" t="array" ref="E2300:E2300">IF(ISBLANK(_xlfn.xlookup(E$3,daily_items,_xlfn.xlookup($C2300,daily_dates,big_daily_table))),NA(),_xlfn.xlookup(E$3,daily_items,_xlfn.xlookup($C2300,daily_dates,big_daily_table)))</f>
        <v>#NAME?</v>
      </c>
    </row>
    <row r="2301" customFormat="false" ht="14.25" hidden="false" customHeight="false" outlineLevel="0" collapsed="false">
      <c r="B2301" s="7" t="n">
        <v>43206</v>
      </c>
      <c r="C2301" s="7" t="n">
        <f aca="false">B2301-WEEKDAY(B2301)+1</f>
        <v>43205</v>
      </c>
      <c r="D2301" s="1" t="e">
        <f aca="false" t="array" ref="D2301:D2301">IF(ISBLANK(_xlfn.xlookup(D$3,daily_items,_xlfn.xlookup($C2301,daily_dates,big_daily_table))),NA(),_xlfn.xlookup(D$3,daily_items,_xlfn.xlookup($C2301,daily_dates,big_daily_table)))</f>
        <v>#NAME?</v>
      </c>
      <c r="E2301" s="1" t="e">
        <f aca="false" t="array" ref="E2301:E2301">IF(ISBLANK(_xlfn.xlookup(E$3,daily_items,_xlfn.xlookup($C2301,daily_dates,big_daily_table))),NA(),_xlfn.xlookup(E$3,daily_items,_xlfn.xlookup($C2301,daily_dates,big_daily_table)))</f>
        <v>#NAME?</v>
      </c>
    </row>
    <row r="2302" customFormat="false" ht="14.25" hidden="false" customHeight="false" outlineLevel="0" collapsed="false">
      <c r="B2302" s="7" t="n">
        <v>43207</v>
      </c>
      <c r="C2302" s="7" t="n">
        <f aca="false">B2302-WEEKDAY(B2302)+1</f>
        <v>43205</v>
      </c>
      <c r="D2302" s="1" t="e">
        <f aca="false" t="array" ref="D2302:D2302">IF(ISBLANK(_xlfn.xlookup(D$3,daily_items,_xlfn.xlookup($C2302,daily_dates,big_daily_table))),NA(),_xlfn.xlookup(D$3,daily_items,_xlfn.xlookup($C2302,daily_dates,big_daily_table)))</f>
        <v>#NAME?</v>
      </c>
      <c r="E2302" s="1" t="e">
        <f aca="false" t="array" ref="E2302:E2302">IF(ISBLANK(_xlfn.xlookup(E$3,daily_items,_xlfn.xlookup($C2302,daily_dates,big_daily_table))),NA(),_xlfn.xlookup(E$3,daily_items,_xlfn.xlookup($C2302,daily_dates,big_daily_table)))</f>
        <v>#NAME?</v>
      </c>
    </row>
    <row r="2303" customFormat="false" ht="14.25" hidden="false" customHeight="false" outlineLevel="0" collapsed="false">
      <c r="B2303" s="7" t="n">
        <v>43208</v>
      </c>
      <c r="C2303" s="7" t="n">
        <f aca="false">B2303-WEEKDAY(B2303)+1</f>
        <v>43205</v>
      </c>
      <c r="D2303" s="1" t="e">
        <f aca="false" t="array" ref="D2303:D2303">IF(ISBLANK(_xlfn.xlookup(D$3,daily_items,_xlfn.xlookup($C2303,daily_dates,big_daily_table))),NA(),_xlfn.xlookup(D$3,daily_items,_xlfn.xlookup($C2303,daily_dates,big_daily_table)))</f>
        <v>#NAME?</v>
      </c>
      <c r="E2303" s="1" t="e">
        <f aca="false" t="array" ref="E2303:E2303">IF(ISBLANK(_xlfn.xlookup(E$3,daily_items,_xlfn.xlookup($C2303,daily_dates,big_daily_table))),NA(),_xlfn.xlookup(E$3,daily_items,_xlfn.xlookup($C2303,daily_dates,big_daily_table)))</f>
        <v>#NAME?</v>
      </c>
    </row>
    <row r="2304" customFormat="false" ht="14.25" hidden="false" customHeight="false" outlineLevel="0" collapsed="false">
      <c r="B2304" s="7" t="n">
        <v>43209</v>
      </c>
      <c r="C2304" s="7" t="n">
        <f aca="false">B2304-WEEKDAY(B2304)+1</f>
        <v>43205</v>
      </c>
      <c r="D2304" s="1" t="e">
        <f aca="false" t="array" ref="D2304:D2304">IF(ISBLANK(_xlfn.xlookup(D$3,daily_items,_xlfn.xlookup($C2304,daily_dates,big_daily_table))),NA(),_xlfn.xlookup(D$3,daily_items,_xlfn.xlookup($C2304,daily_dates,big_daily_table)))</f>
        <v>#NAME?</v>
      </c>
      <c r="E2304" s="1" t="e">
        <f aca="false" t="array" ref="E2304:E2304">IF(ISBLANK(_xlfn.xlookup(E$3,daily_items,_xlfn.xlookup($C2304,daily_dates,big_daily_table))),NA(),_xlfn.xlookup(E$3,daily_items,_xlfn.xlookup($C2304,daily_dates,big_daily_table)))</f>
        <v>#NAME?</v>
      </c>
    </row>
    <row r="2305" customFormat="false" ht="14.25" hidden="false" customHeight="false" outlineLevel="0" collapsed="false">
      <c r="B2305" s="7" t="n">
        <v>43210</v>
      </c>
      <c r="C2305" s="7" t="n">
        <f aca="false">B2305-WEEKDAY(B2305)+1</f>
        <v>43205</v>
      </c>
      <c r="D2305" s="1" t="e">
        <f aca="false" t="array" ref="D2305:D2305">IF(ISBLANK(_xlfn.xlookup(D$3,daily_items,_xlfn.xlookup($C2305,daily_dates,big_daily_table))),NA(),_xlfn.xlookup(D$3,daily_items,_xlfn.xlookup($C2305,daily_dates,big_daily_table)))</f>
        <v>#NAME?</v>
      </c>
      <c r="E2305" s="1" t="e">
        <f aca="false" t="array" ref="E2305:E2305">IF(ISBLANK(_xlfn.xlookup(E$3,daily_items,_xlfn.xlookup($C2305,daily_dates,big_daily_table))),NA(),_xlfn.xlookup(E$3,daily_items,_xlfn.xlookup($C2305,daily_dates,big_daily_table)))</f>
        <v>#NAME?</v>
      </c>
    </row>
    <row r="2306" customFormat="false" ht="14.25" hidden="false" customHeight="false" outlineLevel="0" collapsed="false">
      <c r="B2306" s="7" t="n">
        <v>43211</v>
      </c>
      <c r="C2306" s="7" t="n">
        <f aca="false">B2306-WEEKDAY(B2306)+1</f>
        <v>43205</v>
      </c>
      <c r="D2306" s="1" t="e">
        <f aca="false" t="array" ref="D2306:D2306">IF(ISBLANK(_xlfn.xlookup(D$3,daily_items,_xlfn.xlookup($C2306,daily_dates,big_daily_table))),NA(),_xlfn.xlookup(D$3,daily_items,_xlfn.xlookup($C2306,daily_dates,big_daily_table)))</f>
        <v>#NAME?</v>
      </c>
      <c r="E2306" s="1" t="e">
        <f aca="false" t="array" ref="E2306:E2306">IF(ISBLANK(_xlfn.xlookup(E$3,daily_items,_xlfn.xlookup($C2306,daily_dates,big_daily_table))),NA(),_xlfn.xlookup(E$3,daily_items,_xlfn.xlookup($C2306,daily_dates,big_daily_table)))</f>
        <v>#NAME?</v>
      </c>
    </row>
    <row r="2307" customFormat="false" ht="14.25" hidden="false" customHeight="false" outlineLevel="0" collapsed="false">
      <c r="B2307" s="7" t="n">
        <v>43212</v>
      </c>
      <c r="C2307" s="7" t="n">
        <f aca="false">B2307-WEEKDAY(B2307)+1</f>
        <v>43212</v>
      </c>
      <c r="D2307" s="1" t="e">
        <f aca="false" t="array" ref="D2307:D2307">IF(ISBLANK(_xlfn.xlookup(D$3,daily_items,_xlfn.xlookup($C2307,daily_dates,big_daily_table))),NA(),_xlfn.xlookup(D$3,daily_items,_xlfn.xlookup($C2307,daily_dates,big_daily_table)))</f>
        <v>#NAME?</v>
      </c>
      <c r="E2307" s="1" t="e">
        <f aca="false" t="array" ref="E2307:E2307">IF(ISBLANK(_xlfn.xlookup(E$3,daily_items,_xlfn.xlookup($C2307,daily_dates,big_daily_table))),NA(),_xlfn.xlookup(E$3,daily_items,_xlfn.xlookup($C2307,daily_dates,big_daily_table)))</f>
        <v>#NAME?</v>
      </c>
    </row>
    <row r="2308" customFormat="false" ht="14.25" hidden="false" customHeight="false" outlineLevel="0" collapsed="false">
      <c r="B2308" s="7" t="n">
        <v>43213</v>
      </c>
      <c r="C2308" s="7" t="n">
        <f aca="false">B2308-WEEKDAY(B2308)+1</f>
        <v>43212</v>
      </c>
      <c r="D2308" s="1" t="e">
        <f aca="false" t="array" ref="D2308:D2308">IF(ISBLANK(_xlfn.xlookup(D$3,daily_items,_xlfn.xlookup($C2308,daily_dates,big_daily_table))),NA(),_xlfn.xlookup(D$3,daily_items,_xlfn.xlookup($C2308,daily_dates,big_daily_table)))</f>
        <v>#NAME?</v>
      </c>
      <c r="E2308" s="1" t="e">
        <f aca="false" t="array" ref="E2308:E2308">IF(ISBLANK(_xlfn.xlookup(E$3,daily_items,_xlfn.xlookup($C2308,daily_dates,big_daily_table))),NA(),_xlfn.xlookup(E$3,daily_items,_xlfn.xlookup($C2308,daily_dates,big_daily_table)))</f>
        <v>#NAME?</v>
      </c>
    </row>
    <row r="2309" customFormat="false" ht="14.25" hidden="false" customHeight="false" outlineLevel="0" collapsed="false">
      <c r="B2309" s="7" t="n">
        <v>43214</v>
      </c>
      <c r="C2309" s="7" t="n">
        <f aca="false">B2309-WEEKDAY(B2309)+1</f>
        <v>43212</v>
      </c>
      <c r="D2309" s="1" t="e">
        <f aca="false" t="array" ref="D2309:D2309">IF(ISBLANK(_xlfn.xlookup(D$3,daily_items,_xlfn.xlookup($C2309,daily_dates,big_daily_table))),NA(),_xlfn.xlookup(D$3,daily_items,_xlfn.xlookup($C2309,daily_dates,big_daily_table)))</f>
        <v>#NAME?</v>
      </c>
      <c r="E2309" s="1" t="e">
        <f aca="false" t="array" ref="E2309:E2309">IF(ISBLANK(_xlfn.xlookup(E$3,daily_items,_xlfn.xlookup($C2309,daily_dates,big_daily_table))),NA(),_xlfn.xlookup(E$3,daily_items,_xlfn.xlookup($C2309,daily_dates,big_daily_table)))</f>
        <v>#NAME?</v>
      </c>
    </row>
    <row r="2310" customFormat="false" ht="14.25" hidden="false" customHeight="false" outlineLevel="0" collapsed="false">
      <c r="B2310" s="7" t="n">
        <v>43215</v>
      </c>
      <c r="C2310" s="7" t="n">
        <f aca="false">B2310-WEEKDAY(B2310)+1</f>
        <v>43212</v>
      </c>
      <c r="D2310" s="1" t="e">
        <f aca="false" t="array" ref="D2310:D2310">IF(ISBLANK(_xlfn.xlookup(D$3,daily_items,_xlfn.xlookup($C2310,daily_dates,big_daily_table))),NA(),_xlfn.xlookup(D$3,daily_items,_xlfn.xlookup($C2310,daily_dates,big_daily_table)))</f>
        <v>#NAME?</v>
      </c>
      <c r="E2310" s="1" t="e">
        <f aca="false" t="array" ref="E2310:E2310">IF(ISBLANK(_xlfn.xlookup(E$3,daily_items,_xlfn.xlookup($C2310,daily_dates,big_daily_table))),NA(),_xlfn.xlookup(E$3,daily_items,_xlfn.xlookup($C2310,daily_dates,big_daily_table)))</f>
        <v>#NAME?</v>
      </c>
    </row>
    <row r="2311" customFormat="false" ht="14.25" hidden="false" customHeight="false" outlineLevel="0" collapsed="false">
      <c r="B2311" s="7" t="n">
        <v>43216</v>
      </c>
      <c r="C2311" s="7" t="n">
        <f aca="false">B2311-WEEKDAY(B2311)+1</f>
        <v>43212</v>
      </c>
      <c r="D2311" s="1" t="e">
        <f aca="false" t="array" ref="D2311:D2311">IF(ISBLANK(_xlfn.xlookup(D$3,daily_items,_xlfn.xlookup($C2311,daily_dates,big_daily_table))),NA(),_xlfn.xlookup(D$3,daily_items,_xlfn.xlookup($C2311,daily_dates,big_daily_table)))</f>
        <v>#NAME?</v>
      </c>
      <c r="E2311" s="1" t="e">
        <f aca="false" t="array" ref="E2311:E2311">IF(ISBLANK(_xlfn.xlookup(E$3,daily_items,_xlfn.xlookup($C2311,daily_dates,big_daily_table))),NA(),_xlfn.xlookup(E$3,daily_items,_xlfn.xlookup($C2311,daily_dates,big_daily_table)))</f>
        <v>#NAME?</v>
      </c>
    </row>
    <row r="2312" customFormat="false" ht="14.25" hidden="false" customHeight="false" outlineLevel="0" collapsed="false">
      <c r="B2312" s="7" t="n">
        <v>43217</v>
      </c>
      <c r="C2312" s="7" t="n">
        <f aca="false">B2312-WEEKDAY(B2312)+1</f>
        <v>43212</v>
      </c>
      <c r="D2312" s="1" t="e">
        <f aca="false" t="array" ref="D2312:D2312">IF(ISBLANK(_xlfn.xlookup(D$3,daily_items,_xlfn.xlookup($C2312,daily_dates,big_daily_table))),NA(),_xlfn.xlookup(D$3,daily_items,_xlfn.xlookup($C2312,daily_dates,big_daily_table)))</f>
        <v>#NAME?</v>
      </c>
      <c r="E2312" s="1" t="e">
        <f aca="false" t="array" ref="E2312:E2312">IF(ISBLANK(_xlfn.xlookup(E$3,daily_items,_xlfn.xlookup($C2312,daily_dates,big_daily_table))),NA(),_xlfn.xlookup(E$3,daily_items,_xlfn.xlookup($C2312,daily_dates,big_daily_table)))</f>
        <v>#NAME?</v>
      </c>
    </row>
    <row r="2313" customFormat="false" ht="14.25" hidden="false" customHeight="false" outlineLevel="0" collapsed="false">
      <c r="B2313" s="7" t="n">
        <v>43218</v>
      </c>
      <c r="C2313" s="7" t="n">
        <f aca="false">B2313-WEEKDAY(B2313)+1</f>
        <v>43212</v>
      </c>
      <c r="D2313" s="1" t="e">
        <f aca="false" t="array" ref="D2313:D2313">IF(ISBLANK(_xlfn.xlookup(D$3,daily_items,_xlfn.xlookup($C2313,daily_dates,big_daily_table))),NA(),_xlfn.xlookup(D$3,daily_items,_xlfn.xlookup($C2313,daily_dates,big_daily_table)))</f>
        <v>#NAME?</v>
      </c>
      <c r="E2313" s="1" t="e">
        <f aca="false" t="array" ref="E2313:E2313">IF(ISBLANK(_xlfn.xlookup(E$3,daily_items,_xlfn.xlookup($C2313,daily_dates,big_daily_table))),NA(),_xlfn.xlookup(E$3,daily_items,_xlfn.xlookup($C2313,daily_dates,big_daily_table)))</f>
        <v>#NAME?</v>
      </c>
    </row>
    <row r="2314" customFormat="false" ht="14.25" hidden="false" customHeight="false" outlineLevel="0" collapsed="false">
      <c r="B2314" s="7" t="n">
        <v>43219</v>
      </c>
      <c r="C2314" s="7" t="n">
        <f aca="false">B2314-WEEKDAY(B2314)+1</f>
        <v>43219</v>
      </c>
      <c r="D2314" s="1" t="e">
        <f aca="false" t="array" ref="D2314:D2314">IF(ISBLANK(_xlfn.xlookup(D$3,daily_items,_xlfn.xlookup($C2314,daily_dates,big_daily_table))),NA(),_xlfn.xlookup(D$3,daily_items,_xlfn.xlookup($C2314,daily_dates,big_daily_table)))</f>
        <v>#NAME?</v>
      </c>
      <c r="E2314" s="1" t="e">
        <f aca="false" t="array" ref="E2314:E2314">IF(ISBLANK(_xlfn.xlookup(E$3,daily_items,_xlfn.xlookup($C2314,daily_dates,big_daily_table))),NA(),_xlfn.xlookup(E$3,daily_items,_xlfn.xlookup($C2314,daily_dates,big_daily_table)))</f>
        <v>#NAME?</v>
      </c>
    </row>
    <row r="2315" customFormat="false" ht="14.25" hidden="false" customHeight="false" outlineLevel="0" collapsed="false">
      <c r="B2315" s="7" t="n">
        <v>43220</v>
      </c>
      <c r="C2315" s="7" t="n">
        <f aca="false">B2315-WEEKDAY(B2315)+1</f>
        <v>43219</v>
      </c>
      <c r="D2315" s="1" t="e">
        <f aca="false" t="array" ref="D2315:D2315">IF(ISBLANK(_xlfn.xlookup(D$3,daily_items,_xlfn.xlookup($C2315,daily_dates,big_daily_table))),NA(),_xlfn.xlookup(D$3,daily_items,_xlfn.xlookup($C2315,daily_dates,big_daily_table)))</f>
        <v>#NAME?</v>
      </c>
      <c r="E2315" s="1" t="e">
        <f aca="false" t="array" ref="E2315:E2315">IF(ISBLANK(_xlfn.xlookup(E$3,daily_items,_xlfn.xlookup($C2315,daily_dates,big_daily_table))),NA(),_xlfn.xlookup(E$3,daily_items,_xlfn.xlookup($C2315,daily_dates,big_daily_table)))</f>
        <v>#NAME?</v>
      </c>
    </row>
    <row r="2316" customFormat="false" ht="14.25" hidden="false" customHeight="false" outlineLevel="0" collapsed="false">
      <c r="B2316" s="7" t="n">
        <v>43221</v>
      </c>
      <c r="C2316" s="7" t="n">
        <f aca="false">B2316-WEEKDAY(B2316)+1</f>
        <v>43219</v>
      </c>
      <c r="D2316" s="1" t="e">
        <f aca="false" t="array" ref="D2316:D2316">IF(ISBLANK(_xlfn.xlookup(D$3,daily_items,_xlfn.xlookup($C2316,daily_dates,big_daily_table))),NA(),_xlfn.xlookup(D$3,daily_items,_xlfn.xlookup($C2316,daily_dates,big_daily_table)))</f>
        <v>#NAME?</v>
      </c>
      <c r="E2316" s="1" t="e">
        <f aca="false" t="array" ref="E2316:E2316">IF(ISBLANK(_xlfn.xlookup(E$3,daily_items,_xlfn.xlookup($C2316,daily_dates,big_daily_table))),NA(),_xlfn.xlookup(E$3,daily_items,_xlfn.xlookup($C2316,daily_dates,big_daily_table)))</f>
        <v>#NAME?</v>
      </c>
    </row>
    <row r="2317" customFormat="false" ht="14.25" hidden="false" customHeight="false" outlineLevel="0" collapsed="false">
      <c r="B2317" s="7" t="n">
        <v>43222</v>
      </c>
      <c r="C2317" s="7" t="n">
        <f aca="false">B2317-WEEKDAY(B2317)+1</f>
        <v>43219</v>
      </c>
      <c r="D2317" s="1" t="e">
        <f aca="false" t="array" ref="D2317:D2317">IF(ISBLANK(_xlfn.xlookup(D$3,daily_items,_xlfn.xlookup($C2317,daily_dates,big_daily_table))),NA(),_xlfn.xlookup(D$3,daily_items,_xlfn.xlookup($C2317,daily_dates,big_daily_table)))</f>
        <v>#NAME?</v>
      </c>
      <c r="E2317" s="1" t="e">
        <f aca="false" t="array" ref="E2317:E2317">IF(ISBLANK(_xlfn.xlookup(E$3,daily_items,_xlfn.xlookup($C2317,daily_dates,big_daily_table))),NA(),_xlfn.xlookup(E$3,daily_items,_xlfn.xlookup($C2317,daily_dates,big_daily_table)))</f>
        <v>#NAME?</v>
      </c>
    </row>
    <row r="2318" customFormat="false" ht="14.25" hidden="false" customHeight="false" outlineLevel="0" collapsed="false">
      <c r="B2318" s="7" t="n">
        <v>43223</v>
      </c>
      <c r="C2318" s="7" t="n">
        <f aca="false">B2318-WEEKDAY(B2318)+1</f>
        <v>43219</v>
      </c>
      <c r="D2318" s="1" t="e">
        <f aca="false" t="array" ref="D2318:D2318">IF(ISBLANK(_xlfn.xlookup(D$3,daily_items,_xlfn.xlookup($C2318,daily_dates,big_daily_table))),NA(),_xlfn.xlookup(D$3,daily_items,_xlfn.xlookup($C2318,daily_dates,big_daily_table)))</f>
        <v>#NAME?</v>
      </c>
      <c r="E2318" s="1" t="e">
        <f aca="false" t="array" ref="E2318:E2318">IF(ISBLANK(_xlfn.xlookup(E$3,daily_items,_xlfn.xlookup($C2318,daily_dates,big_daily_table))),NA(),_xlfn.xlookup(E$3,daily_items,_xlfn.xlookup($C2318,daily_dates,big_daily_table)))</f>
        <v>#NAME?</v>
      </c>
    </row>
    <row r="2319" customFormat="false" ht="14.25" hidden="false" customHeight="false" outlineLevel="0" collapsed="false">
      <c r="B2319" s="7" t="n">
        <v>43224</v>
      </c>
      <c r="C2319" s="7" t="n">
        <f aca="false">B2319-WEEKDAY(B2319)+1</f>
        <v>43219</v>
      </c>
      <c r="D2319" s="1" t="e">
        <f aca="false" t="array" ref="D2319:D2319">IF(ISBLANK(_xlfn.xlookup(D$3,daily_items,_xlfn.xlookup($C2319,daily_dates,big_daily_table))),NA(),_xlfn.xlookup(D$3,daily_items,_xlfn.xlookup($C2319,daily_dates,big_daily_table)))</f>
        <v>#NAME?</v>
      </c>
      <c r="E2319" s="1" t="e">
        <f aca="false" t="array" ref="E2319:E2319">IF(ISBLANK(_xlfn.xlookup(E$3,daily_items,_xlfn.xlookup($C2319,daily_dates,big_daily_table))),NA(),_xlfn.xlookup(E$3,daily_items,_xlfn.xlookup($C2319,daily_dates,big_daily_table)))</f>
        <v>#NAME?</v>
      </c>
    </row>
    <row r="2320" customFormat="false" ht="14.25" hidden="false" customHeight="false" outlineLevel="0" collapsed="false">
      <c r="B2320" s="7" t="n">
        <v>43225</v>
      </c>
      <c r="C2320" s="7" t="n">
        <f aca="false">B2320-WEEKDAY(B2320)+1</f>
        <v>43219</v>
      </c>
      <c r="D2320" s="1" t="e">
        <f aca="false" t="array" ref="D2320:D2320">IF(ISBLANK(_xlfn.xlookup(D$3,daily_items,_xlfn.xlookup($C2320,daily_dates,big_daily_table))),NA(),_xlfn.xlookup(D$3,daily_items,_xlfn.xlookup($C2320,daily_dates,big_daily_table)))</f>
        <v>#NAME?</v>
      </c>
      <c r="E2320" s="1" t="e">
        <f aca="false" t="array" ref="E2320:E2320">IF(ISBLANK(_xlfn.xlookup(E$3,daily_items,_xlfn.xlookup($C2320,daily_dates,big_daily_table))),NA(),_xlfn.xlookup(E$3,daily_items,_xlfn.xlookup($C2320,daily_dates,big_daily_table)))</f>
        <v>#NAME?</v>
      </c>
    </row>
    <row r="2321" customFormat="false" ht="14.25" hidden="false" customHeight="false" outlineLevel="0" collapsed="false">
      <c r="B2321" s="7" t="n">
        <v>43226</v>
      </c>
      <c r="C2321" s="7" t="n">
        <f aca="false">B2321-WEEKDAY(B2321)+1</f>
        <v>43226</v>
      </c>
      <c r="D2321" s="1" t="e">
        <f aca="false" t="array" ref="D2321:D2321">IF(ISBLANK(_xlfn.xlookup(D$3,daily_items,_xlfn.xlookup($C2321,daily_dates,big_daily_table))),NA(),_xlfn.xlookup(D$3,daily_items,_xlfn.xlookup($C2321,daily_dates,big_daily_table)))</f>
        <v>#NAME?</v>
      </c>
      <c r="E2321" s="1" t="e">
        <f aca="false" t="array" ref="E2321:E2321">IF(ISBLANK(_xlfn.xlookup(E$3,daily_items,_xlfn.xlookup($C2321,daily_dates,big_daily_table))),NA(),_xlfn.xlookup(E$3,daily_items,_xlfn.xlookup($C2321,daily_dates,big_daily_table)))</f>
        <v>#NAME?</v>
      </c>
    </row>
    <row r="2322" customFormat="false" ht="14.25" hidden="false" customHeight="false" outlineLevel="0" collapsed="false">
      <c r="B2322" s="7" t="n">
        <v>43227</v>
      </c>
      <c r="C2322" s="7" t="n">
        <f aca="false">B2322-WEEKDAY(B2322)+1</f>
        <v>43226</v>
      </c>
      <c r="D2322" s="1" t="e">
        <f aca="false" t="array" ref="D2322:D2322">IF(ISBLANK(_xlfn.xlookup(D$3,daily_items,_xlfn.xlookup($C2322,daily_dates,big_daily_table))),NA(),_xlfn.xlookup(D$3,daily_items,_xlfn.xlookup($C2322,daily_dates,big_daily_table)))</f>
        <v>#NAME?</v>
      </c>
      <c r="E2322" s="1" t="e">
        <f aca="false" t="array" ref="E2322:E2322">IF(ISBLANK(_xlfn.xlookup(E$3,daily_items,_xlfn.xlookup($C2322,daily_dates,big_daily_table))),NA(),_xlfn.xlookup(E$3,daily_items,_xlfn.xlookup($C2322,daily_dates,big_daily_table)))</f>
        <v>#NAME?</v>
      </c>
    </row>
    <row r="2323" customFormat="false" ht="14.25" hidden="false" customHeight="false" outlineLevel="0" collapsed="false">
      <c r="B2323" s="7" t="n">
        <v>43228</v>
      </c>
      <c r="C2323" s="7" t="n">
        <f aca="false">B2323-WEEKDAY(B2323)+1</f>
        <v>43226</v>
      </c>
      <c r="D2323" s="1" t="e">
        <f aca="false" t="array" ref="D2323:D2323">IF(ISBLANK(_xlfn.xlookup(D$3,daily_items,_xlfn.xlookup($C2323,daily_dates,big_daily_table))),NA(),_xlfn.xlookup(D$3,daily_items,_xlfn.xlookup($C2323,daily_dates,big_daily_table)))</f>
        <v>#NAME?</v>
      </c>
      <c r="E2323" s="1" t="e">
        <f aca="false" t="array" ref="E2323:E2323">IF(ISBLANK(_xlfn.xlookup(E$3,daily_items,_xlfn.xlookup($C2323,daily_dates,big_daily_table))),NA(),_xlfn.xlookup(E$3,daily_items,_xlfn.xlookup($C2323,daily_dates,big_daily_table)))</f>
        <v>#NAME?</v>
      </c>
    </row>
    <row r="2324" customFormat="false" ht="14.25" hidden="false" customHeight="false" outlineLevel="0" collapsed="false">
      <c r="B2324" s="7" t="n">
        <v>43229</v>
      </c>
      <c r="C2324" s="7" t="n">
        <f aca="false">B2324-WEEKDAY(B2324)+1</f>
        <v>43226</v>
      </c>
      <c r="D2324" s="1" t="e">
        <f aca="false" t="array" ref="D2324:D2324">IF(ISBLANK(_xlfn.xlookup(D$3,daily_items,_xlfn.xlookup($C2324,daily_dates,big_daily_table))),NA(),_xlfn.xlookup(D$3,daily_items,_xlfn.xlookup($C2324,daily_dates,big_daily_table)))</f>
        <v>#NAME?</v>
      </c>
      <c r="E2324" s="1" t="e">
        <f aca="false" t="array" ref="E2324:E2324">IF(ISBLANK(_xlfn.xlookup(E$3,daily_items,_xlfn.xlookup($C2324,daily_dates,big_daily_table))),NA(),_xlfn.xlookup(E$3,daily_items,_xlfn.xlookup($C2324,daily_dates,big_daily_table)))</f>
        <v>#NAME?</v>
      </c>
    </row>
    <row r="2325" customFormat="false" ht="14.25" hidden="false" customHeight="false" outlineLevel="0" collapsed="false">
      <c r="B2325" s="7" t="n">
        <v>43230</v>
      </c>
      <c r="C2325" s="7" t="n">
        <f aca="false">B2325-WEEKDAY(B2325)+1</f>
        <v>43226</v>
      </c>
      <c r="D2325" s="1" t="e">
        <f aca="false" t="array" ref="D2325:D2325">IF(ISBLANK(_xlfn.xlookup(D$3,daily_items,_xlfn.xlookup($C2325,daily_dates,big_daily_table))),NA(),_xlfn.xlookup(D$3,daily_items,_xlfn.xlookup($C2325,daily_dates,big_daily_table)))</f>
        <v>#NAME?</v>
      </c>
      <c r="E2325" s="1" t="e">
        <f aca="false" t="array" ref="E2325:E2325">IF(ISBLANK(_xlfn.xlookup(E$3,daily_items,_xlfn.xlookup($C2325,daily_dates,big_daily_table))),NA(),_xlfn.xlookup(E$3,daily_items,_xlfn.xlookup($C2325,daily_dates,big_daily_table)))</f>
        <v>#NAME?</v>
      </c>
    </row>
    <row r="2326" customFormat="false" ht="14.25" hidden="false" customHeight="false" outlineLevel="0" collapsed="false">
      <c r="B2326" s="7" t="n">
        <v>43231</v>
      </c>
      <c r="C2326" s="7" t="n">
        <f aca="false">B2326-WEEKDAY(B2326)+1</f>
        <v>43226</v>
      </c>
      <c r="D2326" s="1" t="e">
        <f aca="false" t="array" ref="D2326:D2326">IF(ISBLANK(_xlfn.xlookup(D$3,daily_items,_xlfn.xlookup($C2326,daily_dates,big_daily_table))),NA(),_xlfn.xlookup(D$3,daily_items,_xlfn.xlookup($C2326,daily_dates,big_daily_table)))</f>
        <v>#NAME?</v>
      </c>
      <c r="E2326" s="1" t="e">
        <f aca="false" t="array" ref="E2326:E2326">IF(ISBLANK(_xlfn.xlookup(E$3,daily_items,_xlfn.xlookup($C2326,daily_dates,big_daily_table))),NA(),_xlfn.xlookup(E$3,daily_items,_xlfn.xlookup($C2326,daily_dates,big_daily_table)))</f>
        <v>#NAME?</v>
      </c>
    </row>
    <row r="2327" customFormat="false" ht="14.25" hidden="false" customHeight="false" outlineLevel="0" collapsed="false">
      <c r="B2327" s="7" t="n">
        <v>43232</v>
      </c>
      <c r="C2327" s="7" t="n">
        <f aca="false">B2327-WEEKDAY(B2327)+1</f>
        <v>43226</v>
      </c>
      <c r="D2327" s="1" t="e">
        <f aca="false" t="array" ref="D2327:D2327">IF(ISBLANK(_xlfn.xlookup(D$3,daily_items,_xlfn.xlookup($C2327,daily_dates,big_daily_table))),NA(),_xlfn.xlookup(D$3,daily_items,_xlfn.xlookup($C2327,daily_dates,big_daily_table)))</f>
        <v>#NAME?</v>
      </c>
      <c r="E2327" s="1" t="e">
        <f aca="false" t="array" ref="E2327:E2327">IF(ISBLANK(_xlfn.xlookup(E$3,daily_items,_xlfn.xlookup($C2327,daily_dates,big_daily_table))),NA(),_xlfn.xlookup(E$3,daily_items,_xlfn.xlookup($C2327,daily_dates,big_daily_table)))</f>
        <v>#NAME?</v>
      </c>
    </row>
    <row r="2328" customFormat="false" ht="14.25" hidden="false" customHeight="false" outlineLevel="0" collapsed="false">
      <c r="B2328" s="7" t="n">
        <v>43233</v>
      </c>
      <c r="C2328" s="7" t="n">
        <f aca="false">B2328-WEEKDAY(B2328)+1</f>
        <v>43233</v>
      </c>
      <c r="D2328" s="1" t="e">
        <f aca="false" t="array" ref="D2328:D2328">IF(ISBLANK(_xlfn.xlookup(D$3,daily_items,_xlfn.xlookup($C2328,daily_dates,big_daily_table))),NA(),_xlfn.xlookup(D$3,daily_items,_xlfn.xlookup($C2328,daily_dates,big_daily_table)))</f>
        <v>#NAME?</v>
      </c>
      <c r="E2328" s="1" t="e">
        <f aca="false" t="array" ref="E2328:E2328">IF(ISBLANK(_xlfn.xlookup(E$3,daily_items,_xlfn.xlookup($C2328,daily_dates,big_daily_table))),NA(),_xlfn.xlookup(E$3,daily_items,_xlfn.xlookup($C2328,daily_dates,big_daily_table)))</f>
        <v>#NAME?</v>
      </c>
    </row>
    <row r="2329" customFormat="false" ht="14.25" hidden="false" customHeight="false" outlineLevel="0" collapsed="false">
      <c r="B2329" s="7" t="n">
        <v>43234</v>
      </c>
      <c r="C2329" s="7" t="n">
        <f aca="false">B2329-WEEKDAY(B2329)+1</f>
        <v>43233</v>
      </c>
      <c r="D2329" s="1" t="e">
        <f aca="false" t="array" ref="D2329:D2329">IF(ISBLANK(_xlfn.xlookup(D$3,daily_items,_xlfn.xlookup($C2329,daily_dates,big_daily_table))),NA(),_xlfn.xlookup(D$3,daily_items,_xlfn.xlookup($C2329,daily_dates,big_daily_table)))</f>
        <v>#NAME?</v>
      </c>
      <c r="E2329" s="1" t="e">
        <f aca="false" t="array" ref="E2329:E2329">IF(ISBLANK(_xlfn.xlookup(E$3,daily_items,_xlfn.xlookup($C2329,daily_dates,big_daily_table))),NA(),_xlfn.xlookup(E$3,daily_items,_xlfn.xlookup($C2329,daily_dates,big_daily_table)))</f>
        <v>#NAME?</v>
      </c>
    </row>
    <row r="2330" customFormat="false" ht="14.25" hidden="false" customHeight="false" outlineLevel="0" collapsed="false">
      <c r="B2330" s="7" t="n">
        <v>43235</v>
      </c>
      <c r="C2330" s="7" t="n">
        <f aca="false">B2330-WEEKDAY(B2330)+1</f>
        <v>43233</v>
      </c>
      <c r="D2330" s="1" t="e">
        <f aca="false" t="array" ref="D2330:D2330">IF(ISBLANK(_xlfn.xlookup(D$3,daily_items,_xlfn.xlookup($C2330,daily_dates,big_daily_table))),NA(),_xlfn.xlookup(D$3,daily_items,_xlfn.xlookup($C2330,daily_dates,big_daily_table)))</f>
        <v>#NAME?</v>
      </c>
      <c r="E2330" s="1" t="e">
        <f aca="false" t="array" ref="E2330:E2330">IF(ISBLANK(_xlfn.xlookup(E$3,daily_items,_xlfn.xlookup($C2330,daily_dates,big_daily_table))),NA(),_xlfn.xlookup(E$3,daily_items,_xlfn.xlookup($C2330,daily_dates,big_daily_table)))</f>
        <v>#NAME?</v>
      </c>
    </row>
    <row r="2331" customFormat="false" ht="14.25" hidden="false" customHeight="false" outlineLevel="0" collapsed="false">
      <c r="B2331" s="7" t="n">
        <v>43236</v>
      </c>
      <c r="C2331" s="7" t="n">
        <f aca="false">B2331-WEEKDAY(B2331)+1</f>
        <v>43233</v>
      </c>
      <c r="D2331" s="1" t="e">
        <f aca="false" t="array" ref="D2331:D2331">IF(ISBLANK(_xlfn.xlookup(D$3,daily_items,_xlfn.xlookup($C2331,daily_dates,big_daily_table))),NA(),_xlfn.xlookup(D$3,daily_items,_xlfn.xlookup($C2331,daily_dates,big_daily_table)))</f>
        <v>#NAME?</v>
      </c>
      <c r="E2331" s="1" t="e">
        <f aca="false" t="array" ref="E2331:E2331">IF(ISBLANK(_xlfn.xlookup(E$3,daily_items,_xlfn.xlookup($C2331,daily_dates,big_daily_table))),NA(),_xlfn.xlookup(E$3,daily_items,_xlfn.xlookup($C2331,daily_dates,big_daily_table)))</f>
        <v>#NAME?</v>
      </c>
    </row>
    <row r="2332" customFormat="false" ht="14.25" hidden="false" customHeight="false" outlineLevel="0" collapsed="false">
      <c r="B2332" s="7" t="n">
        <v>43237</v>
      </c>
      <c r="C2332" s="7" t="n">
        <f aca="false">B2332-WEEKDAY(B2332)+1</f>
        <v>43233</v>
      </c>
      <c r="D2332" s="1" t="e">
        <f aca="false" t="array" ref="D2332:D2332">IF(ISBLANK(_xlfn.xlookup(D$3,daily_items,_xlfn.xlookup($C2332,daily_dates,big_daily_table))),NA(),_xlfn.xlookup(D$3,daily_items,_xlfn.xlookup($C2332,daily_dates,big_daily_table)))</f>
        <v>#NAME?</v>
      </c>
      <c r="E2332" s="1" t="e">
        <f aca="false" t="array" ref="E2332:E2332">IF(ISBLANK(_xlfn.xlookup(E$3,daily_items,_xlfn.xlookup($C2332,daily_dates,big_daily_table))),NA(),_xlfn.xlookup(E$3,daily_items,_xlfn.xlookup($C2332,daily_dates,big_daily_table)))</f>
        <v>#NAME?</v>
      </c>
    </row>
    <row r="2333" customFormat="false" ht="14.25" hidden="false" customHeight="false" outlineLevel="0" collapsed="false">
      <c r="B2333" s="7" t="n">
        <v>43238</v>
      </c>
      <c r="C2333" s="7" t="n">
        <f aca="false">B2333-WEEKDAY(B2333)+1</f>
        <v>43233</v>
      </c>
      <c r="D2333" s="1" t="e">
        <f aca="false" t="array" ref="D2333:D2333">IF(ISBLANK(_xlfn.xlookup(D$3,daily_items,_xlfn.xlookup($C2333,daily_dates,big_daily_table))),NA(),_xlfn.xlookup(D$3,daily_items,_xlfn.xlookup($C2333,daily_dates,big_daily_table)))</f>
        <v>#NAME?</v>
      </c>
      <c r="E2333" s="1" t="e">
        <f aca="false" t="array" ref="E2333:E2333">IF(ISBLANK(_xlfn.xlookup(E$3,daily_items,_xlfn.xlookup($C2333,daily_dates,big_daily_table))),NA(),_xlfn.xlookup(E$3,daily_items,_xlfn.xlookup($C2333,daily_dates,big_daily_table)))</f>
        <v>#NAME?</v>
      </c>
    </row>
    <row r="2334" customFormat="false" ht="14.25" hidden="false" customHeight="false" outlineLevel="0" collapsed="false">
      <c r="B2334" s="7" t="n">
        <v>43239</v>
      </c>
      <c r="C2334" s="7" t="n">
        <f aca="false">B2334-WEEKDAY(B2334)+1</f>
        <v>43233</v>
      </c>
      <c r="D2334" s="1" t="e">
        <f aca="false" t="array" ref="D2334:D2334">IF(ISBLANK(_xlfn.xlookup(D$3,daily_items,_xlfn.xlookup($C2334,daily_dates,big_daily_table))),NA(),_xlfn.xlookup(D$3,daily_items,_xlfn.xlookup($C2334,daily_dates,big_daily_table)))</f>
        <v>#NAME?</v>
      </c>
      <c r="E2334" s="1" t="e">
        <f aca="false" t="array" ref="E2334:E2334">IF(ISBLANK(_xlfn.xlookup(E$3,daily_items,_xlfn.xlookup($C2334,daily_dates,big_daily_table))),NA(),_xlfn.xlookup(E$3,daily_items,_xlfn.xlookup($C2334,daily_dates,big_daily_table)))</f>
        <v>#NAME?</v>
      </c>
    </row>
    <row r="2335" customFormat="false" ht="14.25" hidden="false" customHeight="false" outlineLevel="0" collapsed="false">
      <c r="B2335" s="7" t="n">
        <v>43240</v>
      </c>
      <c r="C2335" s="7" t="n">
        <f aca="false">B2335-WEEKDAY(B2335)+1</f>
        <v>43240</v>
      </c>
      <c r="D2335" s="1" t="e">
        <f aca="false" t="array" ref="D2335:D2335">IF(ISBLANK(_xlfn.xlookup(D$3,daily_items,_xlfn.xlookup($C2335,daily_dates,big_daily_table))),NA(),_xlfn.xlookup(D$3,daily_items,_xlfn.xlookup($C2335,daily_dates,big_daily_table)))</f>
        <v>#NAME?</v>
      </c>
      <c r="E2335" s="1" t="e">
        <f aca="false" t="array" ref="E2335:E2335">IF(ISBLANK(_xlfn.xlookup(E$3,daily_items,_xlfn.xlookup($C2335,daily_dates,big_daily_table))),NA(),_xlfn.xlookup(E$3,daily_items,_xlfn.xlookup($C2335,daily_dates,big_daily_table)))</f>
        <v>#NAME?</v>
      </c>
    </row>
    <row r="2336" customFormat="false" ht="14.25" hidden="false" customHeight="false" outlineLevel="0" collapsed="false">
      <c r="B2336" s="7" t="n">
        <v>43241</v>
      </c>
      <c r="C2336" s="7" t="n">
        <f aca="false">B2336-WEEKDAY(B2336)+1</f>
        <v>43240</v>
      </c>
      <c r="D2336" s="1" t="e">
        <f aca="false" t="array" ref="D2336:D2336">IF(ISBLANK(_xlfn.xlookup(D$3,daily_items,_xlfn.xlookup($C2336,daily_dates,big_daily_table))),NA(),_xlfn.xlookup(D$3,daily_items,_xlfn.xlookup($C2336,daily_dates,big_daily_table)))</f>
        <v>#NAME?</v>
      </c>
      <c r="E2336" s="1" t="e">
        <f aca="false" t="array" ref="E2336:E2336">IF(ISBLANK(_xlfn.xlookup(E$3,daily_items,_xlfn.xlookup($C2336,daily_dates,big_daily_table))),NA(),_xlfn.xlookup(E$3,daily_items,_xlfn.xlookup($C2336,daily_dates,big_daily_table)))</f>
        <v>#NAME?</v>
      </c>
    </row>
    <row r="2337" customFormat="false" ht="14.25" hidden="false" customHeight="false" outlineLevel="0" collapsed="false">
      <c r="B2337" s="7" t="n">
        <v>43242</v>
      </c>
      <c r="C2337" s="7" t="n">
        <f aca="false">B2337-WEEKDAY(B2337)+1</f>
        <v>43240</v>
      </c>
      <c r="D2337" s="1" t="e">
        <f aca="false" t="array" ref="D2337:D2337">IF(ISBLANK(_xlfn.xlookup(D$3,daily_items,_xlfn.xlookup($C2337,daily_dates,big_daily_table))),NA(),_xlfn.xlookup(D$3,daily_items,_xlfn.xlookup($C2337,daily_dates,big_daily_table)))</f>
        <v>#NAME?</v>
      </c>
      <c r="E2337" s="1" t="e">
        <f aca="false" t="array" ref="E2337:E2337">IF(ISBLANK(_xlfn.xlookup(E$3,daily_items,_xlfn.xlookup($C2337,daily_dates,big_daily_table))),NA(),_xlfn.xlookup(E$3,daily_items,_xlfn.xlookup($C2337,daily_dates,big_daily_table)))</f>
        <v>#NAME?</v>
      </c>
    </row>
    <row r="2338" customFormat="false" ht="14.25" hidden="false" customHeight="false" outlineLevel="0" collapsed="false">
      <c r="B2338" s="7" t="n">
        <v>43243</v>
      </c>
      <c r="C2338" s="7" t="n">
        <f aca="false">B2338-WEEKDAY(B2338)+1</f>
        <v>43240</v>
      </c>
      <c r="D2338" s="1" t="e">
        <f aca="false" t="array" ref="D2338:D2338">IF(ISBLANK(_xlfn.xlookup(D$3,daily_items,_xlfn.xlookup($C2338,daily_dates,big_daily_table))),NA(),_xlfn.xlookup(D$3,daily_items,_xlfn.xlookup($C2338,daily_dates,big_daily_table)))</f>
        <v>#NAME?</v>
      </c>
      <c r="E2338" s="1" t="e">
        <f aca="false" t="array" ref="E2338:E2338">IF(ISBLANK(_xlfn.xlookup(E$3,daily_items,_xlfn.xlookup($C2338,daily_dates,big_daily_table))),NA(),_xlfn.xlookup(E$3,daily_items,_xlfn.xlookup($C2338,daily_dates,big_daily_table)))</f>
        <v>#NAME?</v>
      </c>
    </row>
    <row r="2339" customFormat="false" ht="14.25" hidden="false" customHeight="false" outlineLevel="0" collapsed="false">
      <c r="B2339" s="7" t="n">
        <v>43244</v>
      </c>
      <c r="C2339" s="7" t="n">
        <f aca="false">B2339-WEEKDAY(B2339)+1</f>
        <v>43240</v>
      </c>
      <c r="D2339" s="1" t="e">
        <f aca="false" t="array" ref="D2339:D2339">IF(ISBLANK(_xlfn.xlookup(D$3,daily_items,_xlfn.xlookup($C2339,daily_dates,big_daily_table))),NA(),_xlfn.xlookup(D$3,daily_items,_xlfn.xlookup($C2339,daily_dates,big_daily_table)))</f>
        <v>#NAME?</v>
      </c>
      <c r="E2339" s="1" t="e">
        <f aca="false" t="array" ref="E2339:E2339">IF(ISBLANK(_xlfn.xlookup(E$3,daily_items,_xlfn.xlookup($C2339,daily_dates,big_daily_table))),NA(),_xlfn.xlookup(E$3,daily_items,_xlfn.xlookup($C2339,daily_dates,big_daily_table)))</f>
        <v>#NAME?</v>
      </c>
    </row>
    <row r="2340" customFormat="false" ht="14.25" hidden="false" customHeight="false" outlineLevel="0" collapsed="false">
      <c r="B2340" s="7" t="n">
        <v>43245</v>
      </c>
      <c r="C2340" s="7" t="n">
        <f aca="false">B2340-WEEKDAY(B2340)+1</f>
        <v>43240</v>
      </c>
      <c r="D2340" s="1" t="e">
        <f aca="false" t="array" ref="D2340:D2340">IF(ISBLANK(_xlfn.xlookup(D$3,daily_items,_xlfn.xlookup($C2340,daily_dates,big_daily_table))),NA(),_xlfn.xlookup(D$3,daily_items,_xlfn.xlookup($C2340,daily_dates,big_daily_table)))</f>
        <v>#NAME?</v>
      </c>
      <c r="E2340" s="1" t="e">
        <f aca="false" t="array" ref="E2340:E2340">IF(ISBLANK(_xlfn.xlookup(E$3,daily_items,_xlfn.xlookup($C2340,daily_dates,big_daily_table))),NA(),_xlfn.xlookup(E$3,daily_items,_xlfn.xlookup($C2340,daily_dates,big_daily_table)))</f>
        <v>#NAME?</v>
      </c>
    </row>
    <row r="2341" customFormat="false" ht="14.25" hidden="false" customHeight="false" outlineLevel="0" collapsed="false">
      <c r="B2341" s="7" t="n">
        <v>43246</v>
      </c>
      <c r="C2341" s="7" t="n">
        <f aca="false">B2341-WEEKDAY(B2341)+1</f>
        <v>43240</v>
      </c>
      <c r="D2341" s="1" t="e">
        <f aca="false" t="array" ref="D2341:D2341">IF(ISBLANK(_xlfn.xlookup(D$3,daily_items,_xlfn.xlookup($C2341,daily_dates,big_daily_table))),NA(),_xlfn.xlookup(D$3,daily_items,_xlfn.xlookup($C2341,daily_dates,big_daily_table)))</f>
        <v>#NAME?</v>
      </c>
      <c r="E2341" s="1" t="e">
        <f aca="false" t="array" ref="E2341:E2341">IF(ISBLANK(_xlfn.xlookup(E$3,daily_items,_xlfn.xlookup($C2341,daily_dates,big_daily_table))),NA(),_xlfn.xlookup(E$3,daily_items,_xlfn.xlookup($C2341,daily_dates,big_daily_table)))</f>
        <v>#NAME?</v>
      </c>
    </row>
    <row r="2342" customFormat="false" ht="14.25" hidden="false" customHeight="false" outlineLevel="0" collapsed="false">
      <c r="B2342" s="7" t="n">
        <v>43247</v>
      </c>
      <c r="C2342" s="7" t="n">
        <f aca="false">B2342-WEEKDAY(B2342)+1</f>
        <v>43247</v>
      </c>
      <c r="D2342" s="1" t="e">
        <f aca="false" t="array" ref="D2342:D2342">IF(ISBLANK(_xlfn.xlookup(D$3,daily_items,_xlfn.xlookup($C2342,daily_dates,big_daily_table))),NA(),_xlfn.xlookup(D$3,daily_items,_xlfn.xlookup($C2342,daily_dates,big_daily_table)))</f>
        <v>#NAME?</v>
      </c>
      <c r="E2342" s="1" t="e">
        <f aca="false" t="array" ref="E2342:E2342">IF(ISBLANK(_xlfn.xlookup(E$3,daily_items,_xlfn.xlookup($C2342,daily_dates,big_daily_table))),NA(),_xlfn.xlookup(E$3,daily_items,_xlfn.xlookup($C2342,daily_dates,big_daily_table)))</f>
        <v>#NAME?</v>
      </c>
    </row>
    <row r="2343" customFormat="false" ht="14.25" hidden="false" customHeight="false" outlineLevel="0" collapsed="false">
      <c r="B2343" s="7" t="n">
        <v>43248</v>
      </c>
      <c r="C2343" s="7" t="n">
        <f aca="false">B2343-WEEKDAY(B2343)+1</f>
        <v>43247</v>
      </c>
      <c r="D2343" s="1" t="e">
        <f aca="false" t="array" ref="D2343:D2343">IF(ISBLANK(_xlfn.xlookup(D$3,daily_items,_xlfn.xlookup($C2343,daily_dates,big_daily_table))),NA(),_xlfn.xlookup(D$3,daily_items,_xlfn.xlookup($C2343,daily_dates,big_daily_table)))</f>
        <v>#NAME?</v>
      </c>
      <c r="E2343" s="1" t="e">
        <f aca="false" t="array" ref="E2343:E2343">IF(ISBLANK(_xlfn.xlookup(E$3,daily_items,_xlfn.xlookup($C2343,daily_dates,big_daily_table))),NA(),_xlfn.xlookup(E$3,daily_items,_xlfn.xlookup($C2343,daily_dates,big_daily_table)))</f>
        <v>#NAME?</v>
      </c>
    </row>
    <row r="2344" customFormat="false" ht="14.25" hidden="false" customHeight="false" outlineLevel="0" collapsed="false">
      <c r="B2344" s="7" t="n">
        <v>43249</v>
      </c>
      <c r="C2344" s="7" t="n">
        <f aca="false">B2344-WEEKDAY(B2344)+1</f>
        <v>43247</v>
      </c>
      <c r="D2344" s="1" t="e">
        <f aca="false" t="array" ref="D2344:D2344">IF(ISBLANK(_xlfn.xlookup(D$3,daily_items,_xlfn.xlookup($C2344,daily_dates,big_daily_table))),NA(),_xlfn.xlookup(D$3,daily_items,_xlfn.xlookup($C2344,daily_dates,big_daily_table)))</f>
        <v>#NAME?</v>
      </c>
      <c r="E2344" s="1" t="e">
        <f aca="false" t="array" ref="E2344:E2344">IF(ISBLANK(_xlfn.xlookup(E$3,daily_items,_xlfn.xlookup($C2344,daily_dates,big_daily_table))),NA(),_xlfn.xlookup(E$3,daily_items,_xlfn.xlookup($C2344,daily_dates,big_daily_table)))</f>
        <v>#NAME?</v>
      </c>
    </row>
    <row r="2345" customFormat="false" ht="14.25" hidden="false" customHeight="false" outlineLevel="0" collapsed="false">
      <c r="B2345" s="7" t="n">
        <v>43250</v>
      </c>
      <c r="C2345" s="7" t="n">
        <f aca="false">B2345-WEEKDAY(B2345)+1</f>
        <v>43247</v>
      </c>
      <c r="D2345" s="1" t="e">
        <f aca="false" t="array" ref="D2345:D2345">IF(ISBLANK(_xlfn.xlookup(D$3,daily_items,_xlfn.xlookup($C2345,daily_dates,big_daily_table))),NA(),_xlfn.xlookup(D$3,daily_items,_xlfn.xlookup($C2345,daily_dates,big_daily_table)))</f>
        <v>#NAME?</v>
      </c>
      <c r="E2345" s="1" t="e">
        <f aca="false" t="array" ref="E2345:E2345">IF(ISBLANK(_xlfn.xlookup(E$3,daily_items,_xlfn.xlookup($C2345,daily_dates,big_daily_table))),NA(),_xlfn.xlookup(E$3,daily_items,_xlfn.xlookup($C2345,daily_dates,big_daily_table)))</f>
        <v>#NAME?</v>
      </c>
    </row>
    <row r="2346" customFormat="false" ht="14.25" hidden="false" customHeight="false" outlineLevel="0" collapsed="false">
      <c r="B2346" s="7" t="n">
        <v>43251</v>
      </c>
      <c r="C2346" s="7" t="n">
        <f aca="false">B2346-WEEKDAY(B2346)+1</f>
        <v>43247</v>
      </c>
      <c r="D2346" s="1" t="e">
        <f aca="false" t="array" ref="D2346:D2346">IF(ISBLANK(_xlfn.xlookup(D$3,daily_items,_xlfn.xlookup($C2346,daily_dates,big_daily_table))),NA(),_xlfn.xlookup(D$3,daily_items,_xlfn.xlookup($C2346,daily_dates,big_daily_table)))</f>
        <v>#NAME?</v>
      </c>
      <c r="E2346" s="1" t="e">
        <f aca="false" t="array" ref="E2346:E2346">IF(ISBLANK(_xlfn.xlookup(E$3,daily_items,_xlfn.xlookup($C2346,daily_dates,big_daily_table))),NA(),_xlfn.xlookup(E$3,daily_items,_xlfn.xlookup($C2346,daily_dates,big_daily_table)))</f>
        <v>#NAME?</v>
      </c>
    </row>
    <row r="2347" customFormat="false" ht="14.25" hidden="false" customHeight="false" outlineLevel="0" collapsed="false">
      <c r="B2347" s="7" t="n">
        <v>43252</v>
      </c>
      <c r="C2347" s="7" t="n">
        <f aca="false">B2347-WEEKDAY(B2347)+1</f>
        <v>43247</v>
      </c>
      <c r="D2347" s="1" t="e">
        <f aca="false" t="array" ref="D2347:D2347">IF(ISBLANK(_xlfn.xlookup(D$3,daily_items,_xlfn.xlookup($C2347,daily_dates,big_daily_table))),NA(),_xlfn.xlookup(D$3,daily_items,_xlfn.xlookup($C2347,daily_dates,big_daily_table)))</f>
        <v>#NAME?</v>
      </c>
      <c r="E2347" s="1" t="e">
        <f aca="false" t="array" ref="E2347:E2347">IF(ISBLANK(_xlfn.xlookup(E$3,daily_items,_xlfn.xlookup($C2347,daily_dates,big_daily_table))),NA(),_xlfn.xlookup(E$3,daily_items,_xlfn.xlookup($C2347,daily_dates,big_daily_table)))</f>
        <v>#NAME?</v>
      </c>
    </row>
    <row r="2348" customFormat="false" ht="14.25" hidden="false" customHeight="false" outlineLevel="0" collapsed="false">
      <c r="B2348" s="7" t="n">
        <v>43253</v>
      </c>
      <c r="C2348" s="7" t="n">
        <f aca="false">B2348-WEEKDAY(B2348)+1</f>
        <v>43247</v>
      </c>
      <c r="D2348" s="1" t="e">
        <f aca="false" t="array" ref="D2348:D2348">IF(ISBLANK(_xlfn.xlookup(D$3,daily_items,_xlfn.xlookup($C2348,daily_dates,big_daily_table))),NA(),_xlfn.xlookup(D$3,daily_items,_xlfn.xlookup($C2348,daily_dates,big_daily_table)))</f>
        <v>#NAME?</v>
      </c>
      <c r="E2348" s="1" t="e">
        <f aca="false" t="array" ref="E2348:E2348">IF(ISBLANK(_xlfn.xlookup(E$3,daily_items,_xlfn.xlookup($C2348,daily_dates,big_daily_table))),NA(),_xlfn.xlookup(E$3,daily_items,_xlfn.xlookup($C2348,daily_dates,big_daily_table)))</f>
        <v>#NAME?</v>
      </c>
    </row>
    <row r="2349" customFormat="false" ht="14.25" hidden="false" customHeight="false" outlineLevel="0" collapsed="false">
      <c r="B2349" s="7" t="n">
        <v>43254</v>
      </c>
      <c r="C2349" s="7" t="n">
        <f aca="false">B2349-WEEKDAY(B2349)+1</f>
        <v>43254</v>
      </c>
      <c r="D2349" s="1" t="e">
        <f aca="false" t="array" ref="D2349:D2349">IF(ISBLANK(_xlfn.xlookup(D$3,daily_items,_xlfn.xlookup($C2349,daily_dates,big_daily_table))),NA(),_xlfn.xlookup(D$3,daily_items,_xlfn.xlookup($C2349,daily_dates,big_daily_table)))</f>
        <v>#NAME?</v>
      </c>
      <c r="E2349" s="1" t="e">
        <f aca="false" t="array" ref="E2349:E2349">IF(ISBLANK(_xlfn.xlookup(E$3,daily_items,_xlfn.xlookup($C2349,daily_dates,big_daily_table))),NA(),_xlfn.xlookup(E$3,daily_items,_xlfn.xlookup($C2349,daily_dates,big_daily_table)))</f>
        <v>#NAME?</v>
      </c>
    </row>
    <row r="2350" customFormat="false" ht="14.25" hidden="false" customHeight="false" outlineLevel="0" collapsed="false">
      <c r="B2350" s="7" t="n">
        <v>43255</v>
      </c>
      <c r="C2350" s="7" t="n">
        <f aca="false">B2350-WEEKDAY(B2350)+1</f>
        <v>43254</v>
      </c>
      <c r="D2350" s="1" t="e">
        <f aca="false" t="array" ref="D2350:D2350">IF(ISBLANK(_xlfn.xlookup(D$3,daily_items,_xlfn.xlookup($C2350,daily_dates,big_daily_table))),NA(),_xlfn.xlookup(D$3,daily_items,_xlfn.xlookup($C2350,daily_dates,big_daily_table)))</f>
        <v>#NAME?</v>
      </c>
      <c r="E2350" s="1" t="e">
        <f aca="false" t="array" ref="E2350:E2350">IF(ISBLANK(_xlfn.xlookup(E$3,daily_items,_xlfn.xlookup($C2350,daily_dates,big_daily_table))),NA(),_xlfn.xlookup(E$3,daily_items,_xlfn.xlookup($C2350,daily_dates,big_daily_table)))</f>
        <v>#NAME?</v>
      </c>
    </row>
    <row r="2351" customFormat="false" ht="14.25" hidden="false" customHeight="false" outlineLevel="0" collapsed="false">
      <c r="B2351" s="7" t="n">
        <v>43256</v>
      </c>
      <c r="C2351" s="7" t="n">
        <f aca="false">B2351-WEEKDAY(B2351)+1</f>
        <v>43254</v>
      </c>
      <c r="D2351" s="1" t="e">
        <f aca="false" t="array" ref="D2351:D2351">IF(ISBLANK(_xlfn.xlookup(D$3,daily_items,_xlfn.xlookup($C2351,daily_dates,big_daily_table))),NA(),_xlfn.xlookup(D$3,daily_items,_xlfn.xlookup($C2351,daily_dates,big_daily_table)))</f>
        <v>#NAME?</v>
      </c>
      <c r="E2351" s="1" t="e">
        <f aca="false" t="array" ref="E2351:E2351">IF(ISBLANK(_xlfn.xlookup(E$3,daily_items,_xlfn.xlookup($C2351,daily_dates,big_daily_table))),NA(),_xlfn.xlookup(E$3,daily_items,_xlfn.xlookup($C2351,daily_dates,big_daily_table)))</f>
        <v>#NAME?</v>
      </c>
    </row>
    <row r="2352" customFormat="false" ht="14.25" hidden="false" customHeight="false" outlineLevel="0" collapsed="false">
      <c r="B2352" s="7" t="n">
        <v>43257</v>
      </c>
      <c r="C2352" s="7" t="n">
        <f aca="false">B2352-WEEKDAY(B2352)+1</f>
        <v>43254</v>
      </c>
      <c r="D2352" s="1" t="e">
        <f aca="false" t="array" ref="D2352:D2352">IF(ISBLANK(_xlfn.xlookup(D$3,daily_items,_xlfn.xlookup($C2352,daily_dates,big_daily_table))),NA(),_xlfn.xlookup(D$3,daily_items,_xlfn.xlookup($C2352,daily_dates,big_daily_table)))</f>
        <v>#NAME?</v>
      </c>
      <c r="E2352" s="1" t="e">
        <f aca="false" t="array" ref="E2352:E2352">IF(ISBLANK(_xlfn.xlookup(E$3,daily_items,_xlfn.xlookup($C2352,daily_dates,big_daily_table))),NA(),_xlfn.xlookup(E$3,daily_items,_xlfn.xlookup($C2352,daily_dates,big_daily_table)))</f>
        <v>#NAME?</v>
      </c>
    </row>
    <row r="2353" customFormat="false" ht="14.25" hidden="false" customHeight="false" outlineLevel="0" collapsed="false">
      <c r="B2353" s="7" t="n">
        <v>43258</v>
      </c>
      <c r="C2353" s="7" t="n">
        <f aca="false">B2353-WEEKDAY(B2353)+1</f>
        <v>43254</v>
      </c>
      <c r="D2353" s="1" t="e">
        <f aca="false" t="array" ref="D2353:D2353">IF(ISBLANK(_xlfn.xlookup(D$3,daily_items,_xlfn.xlookup($C2353,daily_dates,big_daily_table))),NA(),_xlfn.xlookup(D$3,daily_items,_xlfn.xlookup($C2353,daily_dates,big_daily_table)))</f>
        <v>#NAME?</v>
      </c>
      <c r="E2353" s="1" t="e">
        <f aca="false" t="array" ref="E2353:E2353">IF(ISBLANK(_xlfn.xlookup(E$3,daily_items,_xlfn.xlookup($C2353,daily_dates,big_daily_table))),NA(),_xlfn.xlookup(E$3,daily_items,_xlfn.xlookup($C2353,daily_dates,big_daily_table)))</f>
        <v>#NAME?</v>
      </c>
    </row>
    <row r="2354" customFormat="false" ht="14.25" hidden="false" customHeight="false" outlineLevel="0" collapsed="false">
      <c r="B2354" s="7" t="n">
        <v>43259</v>
      </c>
      <c r="C2354" s="7" t="n">
        <f aca="false">B2354-WEEKDAY(B2354)+1</f>
        <v>43254</v>
      </c>
      <c r="D2354" s="1" t="e">
        <f aca="false" t="array" ref="D2354:D2354">IF(ISBLANK(_xlfn.xlookup(D$3,daily_items,_xlfn.xlookup($C2354,daily_dates,big_daily_table))),NA(),_xlfn.xlookup(D$3,daily_items,_xlfn.xlookup($C2354,daily_dates,big_daily_table)))</f>
        <v>#NAME?</v>
      </c>
      <c r="E2354" s="1" t="e">
        <f aca="false" t="array" ref="E2354:E2354">IF(ISBLANK(_xlfn.xlookup(E$3,daily_items,_xlfn.xlookup($C2354,daily_dates,big_daily_table))),NA(),_xlfn.xlookup(E$3,daily_items,_xlfn.xlookup($C2354,daily_dates,big_daily_table)))</f>
        <v>#NAME?</v>
      </c>
    </row>
    <row r="2355" customFormat="false" ht="14.25" hidden="false" customHeight="false" outlineLevel="0" collapsed="false">
      <c r="B2355" s="7" t="n">
        <v>43260</v>
      </c>
      <c r="C2355" s="7" t="n">
        <f aca="false">B2355-WEEKDAY(B2355)+1</f>
        <v>43254</v>
      </c>
      <c r="D2355" s="1" t="e">
        <f aca="false" t="array" ref="D2355:D2355">IF(ISBLANK(_xlfn.xlookup(D$3,daily_items,_xlfn.xlookup($C2355,daily_dates,big_daily_table))),NA(),_xlfn.xlookup(D$3,daily_items,_xlfn.xlookup($C2355,daily_dates,big_daily_table)))</f>
        <v>#NAME?</v>
      </c>
      <c r="E2355" s="1" t="e">
        <f aca="false" t="array" ref="E2355:E2355">IF(ISBLANK(_xlfn.xlookup(E$3,daily_items,_xlfn.xlookup($C2355,daily_dates,big_daily_table))),NA(),_xlfn.xlookup(E$3,daily_items,_xlfn.xlookup($C2355,daily_dates,big_daily_table)))</f>
        <v>#NAME?</v>
      </c>
    </row>
    <row r="2356" customFormat="false" ht="14.25" hidden="false" customHeight="false" outlineLevel="0" collapsed="false">
      <c r="B2356" s="7" t="n">
        <v>43261</v>
      </c>
      <c r="C2356" s="7" t="n">
        <f aca="false">B2356-WEEKDAY(B2356)+1</f>
        <v>43261</v>
      </c>
      <c r="D2356" s="1" t="e">
        <f aca="false" t="array" ref="D2356:D2356">IF(ISBLANK(_xlfn.xlookup(D$3,daily_items,_xlfn.xlookup($C2356,daily_dates,big_daily_table))),NA(),_xlfn.xlookup(D$3,daily_items,_xlfn.xlookup($C2356,daily_dates,big_daily_table)))</f>
        <v>#NAME?</v>
      </c>
      <c r="E2356" s="1" t="e">
        <f aca="false" t="array" ref="E2356:E2356">IF(ISBLANK(_xlfn.xlookup(E$3,daily_items,_xlfn.xlookup($C2356,daily_dates,big_daily_table))),NA(),_xlfn.xlookup(E$3,daily_items,_xlfn.xlookup($C2356,daily_dates,big_daily_table)))</f>
        <v>#NAME?</v>
      </c>
    </row>
    <row r="2357" customFormat="false" ht="14.25" hidden="false" customHeight="false" outlineLevel="0" collapsed="false">
      <c r="B2357" s="7" t="n">
        <v>43262</v>
      </c>
      <c r="C2357" s="7" t="n">
        <f aca="false">B2357-WEEKDAY(B2357)+1</f>
        <v>43261</v>
      </c>
      <c r="D2357" s="1" t="e">
        <f aca="false" t="array" ref="D2357:D2357">IF(ISBLANK(_xlfn.xlookup(D$3,daily_items,_xlfn.xlookup($C2357,daily_dates,big_daily_table))),NA(),_xlfn.xlookup(D$3,daily_items,_xlfn.xlookup($C2357,daily_dates,big_daily_table)))</f>
        <v>#NAME?</v>
      </c>
      <c r="E2357" s="1" t="e">
        <f aca="false" t="array" ref="E2357:E2357">IF(ISBLANK(_xlfn.xlookup(E$3,daily_items,_xlfn.xlookup($C2357,daily_dates,big_daily_table))),NA(),_xlfn.xlookup(E$3,daily_items,_xlfn.xlookup($C2357,daily_dates,big_daily_table)))</f>
        <v>#NAME?</v>
      </c>
    </row>
    <row r="2358" customFormat="false" ht="14.25" hidden="false" customHeight="false" outlineLevel="0" collapsed="false">
      <c r="B2358" s="7" t="n">
        <v>43263</v>
      </c>
      <c r="C2358" s="7" t="n">
        <f aca="false">B2358-WEEKDAY(B2358)+1</f>
        <v>43261</v>
      </c>
      <c r="D2358" s="1" t="e">
        <f aca="false" t="array" ref="D2358:D2358">IF(ISBLANK(_xlfn.xlookup(D$3,daily_items,_xlfn.xlookup($C2358,daily_dates,big_daily_table))),NA(),_xlfn.xlookup(D$3,daily_items,_xlfn.xlookup($C2358,daily_dates,big_daily_table)))</f>
        <v>#NAME?</v>
      </c>
      <c r="E2358" s="1" t="e">
        <f aca="false" t="array" ref="E2358:E2358">IF(ISBLANK(_xlfn.xlookup(E$3,daily_items,_xlfn.xlookup($C2358,daily_dates,big_daily_table))),NA(),_xlfn.xlookup(E$3,daily_items,_xlfn.xlookup($C2358,daily_dates,big_daily_table)))</f>
        <v>#NAME?</v>
      </c>
    </row>
    <row r="2359" customFormat="false" ht="14.25" hidden="false" customHeight="false" outlineLevel="0" collapsed="false">
      <c r="B2359" s="7" t="n">
        <v>43264</v>
      </c>
      <c r="C2359" s="7" t="n">
        <f aca="false">B2359-WEEKDAY(B2359)+1</f>
        <v>43261</v>
      </c>
      <c r="D2359" s="1" t="e">
        <f aca="false" t="array" ref="D2359:D2359">IF(ISBLANK(_xlfn.xlookup(D$3,daily_items,_xlfn.xlookup($C2359,daily_dates,big_daily_table))),NA(),_xlfn.xlookup(D$3,daily_items,_xlfn.xlookup($C2359,daily_dates,big_daily_table)))</f>
        <v>#NAME?</v>
      </c>
      <c r="E2359" s="1" t="e">
        <f aca="false" t="array" ref="E2359:E2359">IF(ISBLANK(_xlfn.xlookup(E$3,daily_items,_xlfn.xlookup($C2359,daily_dates,big_daily_table))),NA(),_xlfn.xlookup(E$3,daily_items,_xlfn.xlookup($C2359,daily_dates,big_daily_table)))</f>
        <v>#NAME?</v>
      </c>
    </row>
    <row r="2360" customFormat="false" ht="14.25" hidden="false" customHeight="false" outlineLevel="0" collapsed="false">
      <c r="B2360" s="7" t="n">
        <v>43265</v>
      </c>
      <c r="C2360" s="7" t="n">
        <f aca="false">B2360-WEEKDAY(B2360)+1</f>
        <v>43261</v>
      </c>
      <c r="D2360" s="1" t="e">
        <f aca="false" t="array" ref="D2360:D2360">IF(ISBLANK(_xlfn.xlookup(D$3,daily_items,_xlfn.xlookup($C2360,daily_dates,big_daily_table))),NA(),_xlfn.xlookup(D$3,daily_items,_xlfn.xlookup($C2360,daily_dates,big_daily_table)))</f>
        <v>#NAME?</v>
      </c>
      <c r="E2360" s="1" t="e">
        <f aca="false" t="array" ref="E2360:E2360">IF(ISBLANK(_xlfn.xlookup(E$3,daily_items,_xlfn.xlookup($C2360,daily_dates,big_daily_table))),NA(),_xlfn.xlookup(E$3,daily_items,_xlfn.xlookup($C2360,daily_dates,big_daily_table)))</f>
        <v>#NAME?</v>
      </c>
    </row>
    <row r="2361" customFormat="false" ht="14.25" hidden="false" customHeight="false" outlineLevel="0" collapsed="false">
      <c r="B2361" s="7" t="n">
        <v>43266</v>
      </c>
      <c r="C2361" s="7" t="n">
        <f aca="false">B2361-WEEKDAY(B2361)+1</f>
        <v>43261</v>
      </c>
      <c r="D2361" s="1" t="e">
        <f aca="false" t="array" ref="D2361:D2361">IF(ISBLANK(_xlfn.xlookup(D$3,daily_items,_xlfn.xlookup($C2361,daily_dates,big_daily_table))),NA(),_xlfn.xlookup(D$3,daily_items,_xlfn.xlookup($C2361,daily_dates,big_daily_table)))</f>
        <v>#NAME?</v>
      </c>
      <c r="E2361" s="1" t="e">
        <f aca="false" t="array" ref="E2361:E2361">IF(ISBLANK(_xlfn.xlookup(E$3,daily_items,_xlfn.xlookup($C2361,daily_dates,big_daily_table))),NA(),_xlfn.xlookup(E$3,daily_items,_xlfn.xlookup($C2361,daily_dates,big_daily_table)))</f>
        <v>#NAME?</v>
      </c>
    </row>
    <row r="2362" customFormat="false" ht="14.25" hidden="false" customHeight="false" outlineLevel="0" collapsed="false">
      <c r="B2362" s="7" t="n">
        <v>43267</v>
      </c>
      <c r="C2362" s="7" t="n">
        <f aca="false">B2362-WEEKDAY(B2362)+1</f>
        <v>43261</v>
      </c>
      <c r="D2362" s="1" t="e">
        <f aca="false" t="array" ref="D2362:D2362">IF(ISBLANK(_xlfn.xlookup(D$3,daily_items,_xlfn.xlookup($C2362,daily_dates,big_daily_table))),NA(),_xlfn.xlookup(D$3,daily_items,_xlfn.xlookup($C2362,daily_dates,big_daily_table)))</f>
        <v>#NAME?</v>
      </c>
      <c r="E2362" s="1" t="e">
        <f aca="false" t="array" ref="E2362:E2362">IF(ISBLANK(_xlfn.xlookup(E$3,daily_items,_xlfn.xlookup($C2362,daily_dates,big_daily_table))),NA(),_xlfn.xlookup(E$3,daily_items,_xlfn.xlookup($C2362,daily_dates,big_daily_table)))</f>
        <v>#NAME?</v>
      </c>
    </row>
    <row r="2363" customFormat="false" ht="14.25" hidden="false" customHeight="false" outlineLevel="0" collapsed="false">
      <c r="B2363" s="7" t="n">
        <v>43268</v>
      </c>
      <c r="C2363" s="7" t="n">
        <f aca="false">B2363-WEEKDAY(B2363)+1</f>
        <v>43268</v>
      </c>
      <c r="D2363" s="1" t="e">
        <f aca="false" t="array" ref="D2363:D2363">IF(ISBLANK(_xlfn.xlookup(D$3,daily_items,_xlfn.xlookup($C2363,daily_dates,big_daily_table))),NA(),_xlfn.xlookup(D$3,daily_items,_xlfn.xlookup($C2363,daily_dates,big_daily_table)))</f>
        <v>#NAME?</v>
      </c>
      <c r="E2363" s="1" t="e">
        <f aca="false" t="array" ref="E2363:E2363">IF(ISBLANK(_xlfn.xlookup(E$3,daily_items,_xlfn.xlookup($C2363,daily_dates,big_daily_table))),NA(),_xlfn.xlookup(E$3,daily_items,_xlfn.xlookup($C2363,daily_dates,big_daily_table)))</f>
        <v>#NAME?</v>
      </c>
    </row>
    <row r="2364" customFormat="false" ht="14.25" hidden="false" customHeight="false" outlineLevel="0" collapsed="false">
      <c r="B2364" s="7" t="n">
        <v>43269</v>
      </c>
      <c r="C2364" s="7" t="n">
        <f aca="false">B2364-WEEKDAY(B2364)+1</f>
        <v>43268</v>
      </c>
      <c r="D2364" s="1" t="e">
        <f aca="false" t="array" ref="D2364:D2364">IF(ISBLANK(_xlfn.xlookup(D$3,daily_items,_xlfn.xlookup($C2364,daily_dates,big_daily_table))),NA(),_xlfn.xlookup(D$3,daily_items,_xlfn.xlookup($C2364,daily_dates,big_daily_table)))</f>
        <v>#NAME?</v>
      </c>
      <c r="E2364" s="1" t="e">
        <f aca="false" t="array" ref="E2364:E2364">IF(ISBLANK(_xlfn.xlookup(E$3,daily_items,_xlfn.xlookup($C2364,daily_dates,big_daily_table))),NA(),_xlfn.xlookup(E$3,daily_items,_xlfn.xlookup($C2364,daily_dates,big_daily_table)))</f>
        <v>#NAME?</v>
      </c>
    </row>
    <row r="2365" customFormat="false" ht="14.25" hidden="false" customHeight="false" outlineLevel="0" collapsed="false">
      <c r="B2365" s="7" t="n">
        <v>43270</v>
      </c>
      <c r="C2365" s="7" t="n">
        <f aca="false">B2365-WEEKDAY(B2365)+1</f>
        <v>43268</v>
      </c>
      <c r="D2365" s="1" t="e">
        <f aca="false" t="array" ref="D2365:D2365">IF(ISBLANK(_xlfn.xlookup(D$3,daily_items,_xlfn.xlookup($C2365,daily_dates,big_daily_table))),NA(),_xlfn.xlookup(D$3,daily_items,_xlfn.xlookup($C2365,daily_dates,big_daily_table)))</f>
        <v>#NAME?</v>
      </c>
      <c r="E2365" s="1" t="e">
        <f aca="false" t="array" ref="E2365:E2365">IF(ISBLANK(_xlfn.xlookup(E$3,daily_items,_xlfn.xlookup($C2365,daily_dates,big_daily_table))),NA(),_xlfn.xlookup(E$3,daily_items,_xlfn.xlookup($C2365,daily_dates,big_daily_table)))</f>
        <v>#NAME?</v>
      </c>
    </row>
    <row r="2366" customFormat="false" ht="14.25" hidden="false" customHeight="false" outlineLevel="0" collapsed="false">
      <c r="B2366" s="7" t="n">
        <v>43271</v>
      </c>
      <c r="C2366" s="7" t="n">
        <f aca="false">B2366-WEEKDAY(B2366)+1</f>
        <v>43268</v>
      </c>
      <c r="D2366" s="1" t="e">
        <f aca="false" t="array" ref="D2366:D2366">IF(ISBLANK(_xlfn.xlookup(D$3,daily_items,_xlfn.xlookup($C2366,daily_dates,big_daily_table))),NA(),_xlfn.xlookup(D$3,daily_items,_xlfn.xlookup($C2366,daily_dates,big_daily_table)))</f>
        <v>#NAME?</v>
      </c>
      <c r="E2366" s="1" t="e">
        <f aca="false" t="array" ref="E2366:E2366">IF(ISBLANK(_xlfn.xlookup(E$3,daily_items,_xlfn.xlookup($C2366,daily_dates,big_daily_table))),NA(),_xlfn.xlookup(E$3,daily_items,_xlfn.xlookup($C2366,daily_dates,big_daily_table)))</f>
        <v>#NAME?</v>
      </c>
    </row>
    <row r="2367" customFormat="false" ht="14.25" hidden="false" customHeight="false" outlineLevel="0" collapsed="false">
      <c r="B2367" s="7" t="n">
        <v>43272</v>
      </c>
      <c r="C2367" s="7" t="n">
        <f aca="false">B2367-WEEKDAY(B2367)+1</f>
        <v>43268</v>
      </c>
      <c r="D2367" s="1" t="e">
        <f aca="false" t="array" ref="D2367:D2367">IF(ISBLANK(_xlfn.xlookup(D$3,daily_items,_xlfn.xlookup($C2367,daily_dates,big_daily_table))),NA(),_xlfn.xlookup(D$3,daily_items,_xlfn.xlookup($C2367,daily_dates,big_daily_table)))</f>
        <v>#NAME?</v>
      </c>
      <c r="E2367" s="1" t="e">
        <f aca="false" t="array" ref="E2367:E2367">IF(ISBLANK(_xlfn.xlookup(E$3,daily_items,_xlfn.xlookup($C2367,daily_dates,big_daily_table))),NA(),_xlfn.xlookup(E$3,daily_items,_xlfn.xlookup($C2367,daily_dates,big_daily_table)))</f>
        <v>#NAME?</v>
      </c>
    </row>
    <row r="2368" customFormat="false" ht="14.25" hidden="false" customHeight="false" outlineLevel="0" collapsed="false">
      <c r="B2368" s="7" t="n">
        <v>43273</v>
      </c>
      <c r="C2368" s="7" t="n">
        <f aca="false">B2368-WEEKDAY(B2368)+1</f>
        <v>43268</v>
      </c>
      <c r="D2368" s="1" t="e">
        <f aca="false" t="array" ref="D2368:D2368">IF(ISBLANK(_xlfn.xlookup(D$3,daily_items,_xlfn.xlookup($C2368,daily_dates,big_daily_table))),NA(),_xlfn.xlookup(D$3,daily_items,_xlfn.xlookup($C2368,daily_dates,big_daily_table)))</f>
        <v>#NAME?</v>
      </c>
      <c r="E2368" s="1" t="e">
        <f aca="false" t="array" ref="E2368:E2368">IF(ISBLANK(_xlfn.xlookup(E$3,daily_items,_xlfn.xlookup($C2368,daily_dates,big_daily_table))),NA(),_xlfn.xlookup(E$3,daily_items,_xlfn.xlookup($C2368,daily_dates,big_daily_table)))</f>
        <v>#NAME?</v>
      </c>
    </row>
    <row r="2369" customFormat="false" ht="14.25" hidden="false" customHeight="false" outlineLevel="0" collapsed="false">
      <c r="B2369" s="7" t="n">
        <v>43274</v>
      </c>
      <c r="C2369" s="7" t="n">
        <f aca="false">B2369-WEEKDAY(B2369)+1</f>
        <v>43268</v>
      </c>
      <c r="D2369" s="1" t="e">
        <f aca="false" t="array" ref="D2369:D2369">IF(ISBLANK(_xlfn.xlookup(D$3,daily_items,_xlfn.xlookup($C2369,daily_dates,big_daily_table))),NA(),_xlfn.xlookup(D$3,daily_items,_xlfn.xlookup($C2369,daily_dates,big_daily_table)))</f>
        <v>#NAME?</v>
      </c>
      <c r="E2369" s="1" t="e">
        <f aca="false" t="array" ref="E2369:E2369">IF(ISBLANK(_xlfn.xlookup(E$3,daily_items,_xlfn.xlookup($C2369,daily_dates,big_daily_table))),NA(),_xlfn.xlookup(E$3,daily_items,_xlfn.xlookup($C2369,daily_dates,big_daily_table)))</f>
        <v>#NAME?</v>
      </c>
    </row>
    <row r="2370" customFormat="false" ht="14.25" hidden="false" customHeight="false" outlineLevel="0" collapsed="false">
      <c r="B2370" s="7" t="n">
        <v>43275</v>
      </c>
      <c r="C2370" s="7" t="n">
        <f aca="false">B2370-WEEKDAY(B2370)+1</f>
        <v>43275</v>
      </c>
      <c r="D2370" s="1" t="e">
        <f aca="false" t="array" ref="D2370:D2370">IF(ISBLANK(_xlfn.xlookup(D$3,daily_items,_xlfn.xlookup($C2370,daily_dates,big_daily_table))),NA(),_xlfn.xlookup(D$3,daily_items,_xlfn.xlookup($C2370,daily_dates,big_daily_table)))</f>
        <v>#NAME?</v>
      </c>
      <c r="E2370" s="1" t="e">
        <f aca="false" t="array" ref="E2370:E2370">IF(ISBLANK(_xlfn.xlookup(E$3,daily_items,_xlfn.xlookup($C2370,daily_dates,big_daily_table))),NA(),_xlfn.xlookup(E$3,daily_items,_xlfn.xlookup($C2370,daily_dates,big_daily_table)))</f>
        <v>#NAME?</v>
      </c>
    </row>
    <row r="2371" customFormat="false" ht="14.25" hidden="false" customHeight="false" outlineLevel="0" collapsed="false">
      <c r="B2371" s="7" t="n">
        <v>43276</v>
      </c>
      <c r="C2371" s="7" t="n">
        <f aca="false">B2371-WEEKDAY(B2371)+1</f>
        <v>43275</v>
      </c>
      <c r="D2371" s="1" t="e">
        <f aca="false" t="array" ref="D2371:D2371">IF(ISBLANK(_xlfn.xlookup(D$3,daily_items,_xlfn.xlookup($C2371,daily_dates,big_daily_table))),NA(),_xlfn.xlookup(D$3,daily_items,_xlfn.xlookup($C2371,daily_dates,big_daily_table)))</f>
        <v>#NAME?</v>
      </c>
      <c r="E2371" s="1" t="e">
        <f aca="false" t="array" ref="E2371:E2371">IF(ISBLANK(_xlfn.xlookup(E$3,daily_items,_xlfn.xlookup($C2371,daily_dates,big_daily_table))),NA(),_xlfn.xlookup(E$3,daily_items,_xlfn.xlookup($C2371,daily_dates,big_daily_table)))</f>
        <v>#NAME?</v>
      </c>
    </row>
    <row r="2372" customFormat="false" ht="14.25" hidden="false" customHeight="false" outlineLevel="0" collapsed="false">
      <c r="B2372" s="7" t="n">
        <v>43277</v>
      </c>
      <c r="C2372" s="7" t="n">
        <f aca="false">B2372-WEEKDAY(B2372)+1</f>
        <v>43275</v>
      </c>
      <c r="D2372" s="1" t="e">
        <f aca="false" t="array" ref="D2372:D2372">IF(ISBLANK(_xlfn.xlookup(D$3,daily_items,_xlfn.xlookup($C2372,daily_dates,big_daily_table))),NA(),_xlfn.xlookup(D$3,daily_items,_xlfn.xlookup($C2372,daily_dates,big_daily_table)))</f>
        <v>#NAME?</v>
      </c>
      <c r="E2372" s="1" t="e">
        <f aca="false" t="array" ref="E2372:E2372">IF(ISBLANK(_xlfn.xlookup(E$3,daily_items,_xlfn.xlookup($C2372,daily_dates,big_daily_table))),NA(),_xlfn.xlookup(E$3,daily_items,_xlfn.xlookup($C2372,daily_dates,big_daily_table)))</f>
        <v>#NAME?</v>
      </c>
    </row>
    <row r="2373" customFormat="false" ht="14.25" hidden="false" customHeight="false" outlineLevel="0" collapsed="false">
      <c r="B2373" s="7" t="n">
        <v>43278</v>
      </c>
      <c r="C2373" s="7" t="n">
        <f aca="false">B2373-WEEKDAY(B2373)+1</f>
        <v>43275</v>
      </c>
      <c r="D2373" s="1" t="e">
        <f aca="false" t="array" ref="D2373:D2373">IF(ISBLANK(_xlfn.xlookup(D$3,daily_items,_xlfn.xlookup($C2373,daily_dates,big_daily_table))),NA(),_xlfn.xlookup(D$3,daily_items,_xlfn.xlookup($C2373,daily_dates,big_daily_table)))</f>
        <v>#NAME?</v>
      </c>
      <c r="E2373" s="1" t="e">
        <f aca="false" t="array" ref="E2373:E2373">IF(ISBLANK(_xlfn.xlookup(E$3,daily_items,_xlfn.xlookup($C2373,daily_dates,big_daily_table))),NA(),_xlfn.xlookup(E$3,daily_items,_xlfn.xlookup($C2373,daily_dates,big_daily_table)))</f>
        <v>#NAME?</v>
      </c>
    </row>
    <row r="2374" customFormat="false" ht="14.25" hidden="false" customHeight="false" outlineLevel="0" collapsed="false">
      <c r="B2374" s="7" t="n">
        <v>43279</v>
      </c>
      <c r="C2374" s="7" t="n">
        <f aca="false">B2374-WEEKDAY(B2374)+1</f>
        <v>43275</v>
      </c>
      <c r="D2374" s="1" t="e">
        <f aca="false" t="array" ref="D2374:D2374">IF(ISBLANK(_xlfn.xlookup(D$3,daily_items,_xlfn.xlookup($C2374,daily_dates,big_daily_table))),NA(),_xlfn.xlookup(D$3,daily_items,_xlfn.xlookup($C2374,daily_dates,big_daily_table)))</f>
        <v>#NAME?</v>
      </c>
      <c r="E2374" s="1" t="e">
        <f aca="false" t="array" ref="E2374:E2374">IF(ISBLANK(_xlfn.xlookup(E$3,daily_items,_xlfn.xlookup($C2374,daily_dates,big_daily_table))),NA(),_xlfn.xlookup(E$3,daily_items,_xlfn.xlookup($C2374,daily_dates,big_daily_table)))</f>
        <v>#NAME?</v>
      </c>
    </row>
    <row r="2375" customFormat="false" ht="14.25" hidden="false" customHeight="false" outlineLevel="0" collapsed="false">
      <c r="B2375" s="7" t="n">
        <v>43280</v>
      </c>
      <c r="C2375" s="7" t="n">
        <f aca="false">B2375-WEEKDAY(B2375)+1</f>
        <v>43275</v>
      </c>
      <c r="D2375" s="1" t="e">
        <f aca="false" t="array" ref="D2375:D2375">IF(ISBLANK(_xlfn.xlookup(D$3,daily_items,_xlfn.xlookup($C2375,daily_dates,big_daily_table))),NA(),_xlfn.xlookup(D$3,daily_items,_xlfn.xlookup($C2375,daily_dates,big_daily_table)))</f>
        <v>#NAME?</v>
      </c>
      <c r="E2375" s="1" t="e">
        <f aca="false" t="array" ref="E2375:E2375">IF(ISBLANK(_xlfn.xlookup(E$3,daily_items,_xlfn.xlookup($C2375,daily_dates,big_daily_table))),NA(),_xlfn.xlookup(E$3,daily_items,_xlfn.xlookup($C2375,daily_dates,big_daily_table)))</f>
        <v>#NAME?</v>
      </c>
    </row>
    <row r="2376" customFormat="false" ht="14.25" hidden="false" customHeight="false" outlineLevel="0" collapsed="false">
      <c r="B2376" s="7" t="n">
        <v>43281</v>
      </c>
      <c r="C2376" s="7" t="n">
        <f aca="false">B2376-WEEKDAY(B2376)+1</f>
        <v>43275</v>
      </c>
      <c r="D2376" s="1" t="e">
        <f aca="false" t="array" ref="D2376:D2376">IF(ISBLANK(_xlfn.xlookup(D$3,daily_items,_xlfn.xlookup($C2376,daily_dates,big_daily_table))),NA(),_xlfn.xlookup(D$3,daily_items,_xlfn.xlookup($C2376,daily_dates,big_daily_table)))</f>
        <v>#NAME?</v>
      </c>
      <c r="E2376" s="1" t="e">
        <f aca="false" t="array" ref="E2376:E2376">IF(ISBLANK(_xlfn.xlookup(E$3,daily_items,_xlfn.xlookup($C2376,daily_dates,big_daily_table))),NA(),_xlfn.xlookup(E$3,daily_items,_xlfn.xlookup($C2376,daily_dates,big_daily_table)))</f>
        <v>#NAME?</v>
      </c>
    </row>
    <row r="2377" customFormat="false" ht="14.25" hidden="false" customHeight="false" outlineLevel="0" collapsed="false">
      <c r="B2377" s="7" t="n">
        <v>43282</v>
      </c>
      <c r="C2377" s="7" t="n">
        <f aca="false">B2377-WEEKDAY(B2377)+1</f>
        <v>43282</v>
      </c>
      <c r="D2377" s="1" t="e">
        <f aca="false" t="array" ref="D2377:D2377">IF(ISBLANK(_xlfn.xlookup(D$3,daily_items,_xlfn.xlookup($C2377,daily_dates,big_daily_table))),NA(),_xlfn.xlookup(D$3,daily_items,_xlfn.xlookup($C2377,daily_dates,big_daily_table)))</f>
        <v>#NAME?</v>
      </c>
      <c r="E2377" s="1" t="e">
        <f aca="false" t="array" ref="E2377:E2377">IF(ISBLANK(_xlfn.xlookup(E$3,daily_items,_xlfn.xlookup($C2377,daily_dates,big_daily_table))),NA(),_xlfn.xlookup(E$3,daily_items,_xlfn.xlookup($C2377,daily_dates,big_daily_table)))</f>
        <v>#NAME?</v>
      </c>
    </row>
    <row r="2378" customFormat="false" ht="14.25" hidden="false" customHeight="false" outlineLevel="0" collapsed="false">
      <c r="B2378" s="7" t="n">
        <v>43283</v>
      </c>
      <c r="C2378" s="7" t="n">
        <f aca="false">B2378-WEEKDAY(B2378)+1</f>
        <v>43282</v>
      </c>
      <c r="D2378" s="1" t="e">
        <f aca="false" t="array" ref="D2378:D2378">IF(ISBLANK(_xlfn.xlookup(D$3,daily_items,_xlfn.xlookup($C2378,daily_dates,big_daily_table))),NA(),_xlfn.xlookup(D$3,daily_items,_xlfn.xlookup($C2378,daily_dates,big_daily_table)))</f>
        <v>#NAME?</v>
      </c>
      <c r="E2378" s="1" t="e">
        <f aca="false" t="array" ref="E2378:E2378">IF(ISBLANK(_xlfn.xlookup(E$3,daily_items,_xlfn.xlookup($C2378,daily_dates,big_daily_table))),NA(),_xlfn.xlookup(E$3,daily_items,_xlfn.xlookup($C2378,daily_dates,big_daily_table)))</f>
        <v>#NAME?</v>
      </c>
    </row>
    <row r="2379" customFormat="false" ht="14.25" hidden="false" customHeight="false" outlineLevel="0" collapsed="false">
      <c r="B2379" s="7" t="n">
        <v>43284</v>
      </c>
      <c r="C2379" s="7" t="n">
        <f aca="false">B2379-WEEKDAY(B2379)+1</f>
        <v>43282</v>
      </c>
      <c r="D2379" s="1" t="e">
        <f aca="false" t="array" ref="D2379:D2379">IF(ISBLANK(_xlfn.xlookup(D$3,daily_items,_xlfn.xlookup($C2379,daily_dates,big_daily_table))),NA(),_xlfn.xlookup(D$3,daily_items,_xlfn.xlookup($C2379,daily_dates,big_daily_table)))</f>
        <v>#NAME?</v>
      </c>
      <c r="E2379" s="1" t="e">
        <f aca="false" t="array" ref="E2379:E2379">IF(ISBLANK(_xlfn.xlookup(E$3,daily_items,_xlfn.xlookup($C2379,daily_dates,big_daily_table))),NA(),_xlfn.xlookup(E$3,daily_items,_xlfn.xlookup($C2379,daily_dates,big_daily_table)))</f>
        <v>#NAME?</v>
      </c>
    </row>
    <row r="2380" customFormat="false" ht="14.25" hidden="false" customHeight="false" outlineLevel="0" collapsed="false">
      <c r="B2380" s="7" t="n">
        <v>43285</v>
      </c>
      <c r="C2380" s="7" t="n">
        <f aca="false">B2380-WEEKDAY(B2380)+1</f>
        <v>43282</v>
      </c>
      <c r="D2380" s="1" t="e">
        <f aca="false" t="array" ref="D2380:D2380">IF(ISBLANK(_xlfn.xlookup(D$3,daily_items,_xlfn.xlookup($C2380,daily_dates,big_daily_table))),NA(),_xlfn.xlookup(D$3,daily_items,_xlfn.xlookup($C2380,daily_dates,big_daily_table)))</f>
        <v>#NAME?</v>
      </c>
      <c r="E2380" s="1" t="e">
        <f aca="false" t="array" ref="E2380:E2380">IF(ISBLANK(_xlfn.xlookup(E$3,daily_items,_xlfn.xlookup($C2380,daily_dates,big_daily_table))),NA(),_xlfn.xlookup(E$3,daily_items,_xlfn.xlookup($C2380,daily_dates,big_daily_table)))</f>
        <v>#NAME?</v>
      </c>
    </row>
    <row r="2381" customFormat="false" ht="14.25" hidden="false" customHeight="false" outlineLevel="0" collapsed="false">
      <c r="B2381" s="7" t="n">
        <v>43286</v>
      </c>
      <c r="C2381" s="7" t="n">
        <f aca="false">B2381-WEEKDAY(B2381)+1</f>
        <v>43282</v>
      </c>
      <c r="D2381" s="1" t="e">
        <f aca="false" t="array" ref="D2381:D2381">IF(ISBLANK(_xlfn.xlookup(D$3,daily_items,_xlfn.xlookup($C2381,daily_dates,big_daily_table))),NA(),_xlfn.xlookup(D$3,daily_items,_xlfn.xlookup($C2381,daily_dates,big_daily_table)))</f>
        <v>#NAME?</v>
      </c>
      <c r="E2381" s="1" t="e">
        <f aca="false" t="array" ref="E2381:E2381">IF(ISBLANK(_xlfn.xlookup(E$3,daily_items,_xlfn.xlookup($C2381,daily_dates,big_daily_table))),NA(),_xlfn.xlookup(E$3,daily_items,_xlfn.xlookup($C2381,daily_dates,big_daily_table)))</f>
        <v>#NAME?</v>
      </c>
    </row>
    <row r="2382" customFormat="false" ht="14.25" hidden="false" customHeight="false" outlineLevel="0" collapsed="false">
      <c r="B2382" s="7" t="n">
        <v>43287</v>
      </c>
      <c r="C2382" s="7" t="n">
        <f aca="false">B2382-WEEKDAY(B2382)+1</f>
        <v>43282</v>
      </c>
      <c r="D2382" s="1" t="e">
        <f aca="false" t="array" ref="D2382:D2382">IF(ISBLANK(_xlfn.xlookup(D$3,daily_items,_xlfn.xlookup($C2382,daily_dates,big_daily_table))),NA(),_xlfn.xlookup(D$3,daily_items,_xlfn.xlookup($C2382,daily_dates,big_daily_table)))</f>
        <v>#NAME?</v>
      </c>
      <c r="E2382" s="1" t="e">
        <f aca="false" t="array" ref="E2382:E2382">IF(ISBLANK(_xlfn.xlookup(E$3,daily_items,_xlfn.xlookup($C2382,daily_dates,big_daily_table))),NA(),_xlfn.xlookup(E$3,daily_items,_xlfn.xlookup($C2382,daily_dates,big_daily_table)))</f>
        <v>#NAME?</v>
      </c>
    </row>
    <row r="2383" customFormat="false" ht="14.25" hidden="false" customHeight="false" outlineLevel="0" collapsed="false">
      <c r="B2383" s="7" t="n">
        <v>43288</v>
      </c>
      <c r="C2383" s="7" t="n">
        <f aca="false">B2383-WEEKDAY(B2383)+1</f>
        <v>43282</v>
      </c>
      <c r="D2383" s="1" t="e">
        <f aca="false" t="array" ref="D2383:D2383">IF(ISBLANK(_xlfn.xlookup(D$3,daily_items,_xlfn.xlookup($C2383,daily_dates,big_daily_table))),NA(),_xlfn.xlookup(D$3,daily_items,_xlfn.xlookup($C2383,daily_dates,big_daily_table)))</f>
        <v>#NAME?</v>
      </c>
      <c r="E2383" s="1" t="e">
        <f aca="false" t="array" ref="E2383:E2383">IF(ISBLANK(_xlfn.xlookup(E$3,daily_items,_xlfn.xlookup($C2383,daily_dates,big_daily_table))),NA(),_xlfn.xlookup(E$3,daily_items,_xlfn.xlookup($C2383,daily_dates,big_daily_table)))</f>
        <v>#NAME?</v>
      </c>
    </row>
    <row r="2384" customFormat="false" ht="14.25" hidden="false" customHeight="false" outlineLevel="0" collapsed="false">
      <c r="B2384" s="7" t="n">
        <v>43289</v>
      </c>
      <c r="C2384" s="7" t="n">
        <f aca="false">B2384-WEEKDAY(B2384)+1</f>
        <v>43289</v>
      </c>
      <c r="D2384" s="1" t="e">
        <f aca="false" t="array" ref="D2384:D2384">IF(ISBLANK(_xlfn.xlookup(D$3,daily_items,_xlfn.xlookup($C2384,daily_dates,big_daily_table))),NA(),_xlfn.xlookup(D$3,daily_items,_xlfn.xlookup($C2384,daily_dates,big_daily_table)))</f>
        <v>#NAME?</v>
      </c>
      <c r="E2384" s="1" t="e">
        <f aca="false" t="array" ref="E2384:E2384">IF(ISBLANK(_xlfn.xlookup(E$3,daily_items,_xlfn.xlookup($C2384,daily_dates,big_daily_table))),NA(),_xlfn.xlookup(E$3,daily_items,_xlfn.xlookup($C2384,daily_dates,big_daily_table)))</f>
        <v>#NAME?</v>
      </c>
    </row>
    <row r="2385" customFormat="false" ht="14.25" hidden="false" customHeight="false" outlineLevel="0" collapsed="false">
      <c r="B2385" s="7" t="n">
        <v>43290</v>
      </c>
      <c r="C2385" s="7" t="n">
        <f aca="false">B2385-WEEKDAY(B2385)+1</f>
        <v>43289</v>
      </c>
      <c r="D2385" s="1" t="e">
        <f aca="false" t="array" ref="D2385:D2385">IF(ISBLANK(_xlfn.xlookup(D$3,daily_items,_xlfn.xlookup($C2385,daily_dates,big_daily_table))),NA(),_xlfn.xlookup(D$3,daily_items,_xlfn.xlookup($C2385,daily_dates,big_daily_table)))</f>
        <v>#NAME?</v>
      </c>
      <c r="E2385" s="1" t="e">
        <f aca="false" t="array" ref="E2385:E2385">IF(ISBLANK(_xlfn.xlookup(E$3,daily_items,_xlfn.xlookup($C2385,daily_dates,big_daily_table))),NA(),_xlfn.xlookup(E$3,daily_items,_xlfn.xlookup($C2385,daily_dates,big_daily_table)))</f>
        <v>#NAME?</v>
      </c>
    </row>
    <row r="2386" customFormat="false" ht="14.25" hidden="false" customHeight="false" outlineLevel="0" collapsed="false">
      <c r="B2386" s="7" t="n">
        <v>43291</v>
      </c>
      <c r="C2386" s="7" t="n">
        <f aca="false">B2386-WEEKDAY(B2386)+1</f>
        <v>43289</v>
      </c>
      <c r="D2386" s="1" t="e">
        <f aca="false" t="array" ref="D2386:D2386">IF(ISBLANK(_xlfn.xlookup(D$3,daily_items,_xlfn.xlookup($C2386,daily_dates,big_daily_table))),NA(),_xlfn.xlookup(D$3,daily_items,_xlfn.xlookup($C2386,daily_dates,big_daily_table)))</f>
        <v>#NAME?</v>
      </c>
      <c r="E2386" s="1" t="e">
        <f aca="false" t="array" ref="E2386:E2386">IF(ISBLANK(_xlfn.xlookup(E$3,daily_items,_xlfn.xlookup($C2386,daily_dates,big_daily_table))),NA(),_xlfn.xlookup(E$3,daily_items,_xlfn.xlookup($C2386,daily_dates,big_daily_table)))</f>
        <v>#NAME?</v>
      </c>
    </row>
    <row r="2387" customFormat="false" ht="14.25" hidden="false" customHeight="false" outlineLevel="0" collapsed="false">
      <c r="B2387" s="7" t="n">
        <v>43292</v>
      </c>
      <c r="C2387" s="7" t="n">
        <f aca="false">B2387-WEEKDAY(B2387)+1</f>
        <v>43289</v>
      </c>
      <c r="D2387" s="1" t="e">
        <f aca="false" t="array" ref="D2387:D2387">IF(ISBLANK(_xlfn.xlookup(D$3,daily_items,_xlfn.xlookup($C2387,daily_dates,big_daily_table))),NA(),_xlfn.xlookup(D$3,daily_items,_xlfn.xlookup($C2387,daily_dates,big_daily_table)))</f>
        <v>#NAME?</v>
      </c>
      <c r="E2387" s="1" t="e">
        <f aca="false" t="array" ref="E2387:E2387">IF(ISBLANK(_xlfn.xlookup(E$3,daily_items,_xlfn.xlookup($C2387,daily_dates,big_daily_table))),NA(),_xlfn.xlookup(E$3,daily_items,_xlfn.xlookup($C2387,daily_dates,big_daily_table)))</f>
        <v>#NAME?</v>
      </c>
    </row>
    <row r="2388" customFormat="false" ht="14.25" hidden="false" customHeight="false" outlineLevel="0" collapsed="false">
      <c r="B2388" s="7" t="n">
        <v>43293</v>
      </c>
      <c r="C2388" s="7" t="n">
        <f aca="false">B2388-WEEKDAY(B2388)+1</f>
        <v>43289</v>
      </c>
      <c r="D2388" s="1" t="e">
        <f aca="false" t="array" ref="D2388:D2388">IF(ISBLANK(_xlfn.xlookup(D$3,daily_items,_xlfn.xlookup($C2388,daily_dates,big_daily_table))),NA(),_xlfn.xlookup(D$3,daily_items,_xlfn.xlookup($C2388,daily_dates,big_daily_table)))</f>
        <v>#NAME?</v>
      </c>
      <c r="E2388" s="1" t="e">
        <f aca="false" t="array" ref="E2388:E2388">IF(ISBLANK(_xlfn.xlookup(E$3,daily_items,_xlfn.xlookup($C2388,daily_dates,big_daily_table))),NA(),_xlfn.xlookup(E$3,daily_items,_xlfn.xlookup($C2388,daily_dates,big_daily_table)))</f>
        <v>#NAME?</v>
      </c>
    </row>
    <row r="2389" customFormat="false" ht="14.25" hidden="false" customHeight="false" outlineLevel="0" collapsed="false">
      <c r="B2389" s="7" t="n">
        <v>43294</v>
      </c>
      <c r="C2389" s="7" t="n">
        <f aca="false">B2389-WEEKDAY(B2389)+1</f>
        <v>43289</v>
      </c>
      <c r="D2389" s="1" t="e">
        <f aca="false" t="array" ref="D2389:D2389">IF(ISBLANK(_xlfn.xlookup(D$3,daily_items,_xlfn.xlookup($C2389,daily_dates,big_daily_table))),NA(),_xlfn.xlookup(D$3,daily_items,_xlfn.xlookup($C2389,daily_dates,big_daily_table)))</f>
        <v>#NAME?</v>
      </c>
      <c r="E2389" s="1" t="e">
        <f aca="false" t="array" ref="E2389:E2389">IF(ISBLANK(_xlfn.xlookup(E$3,daily_items,_xlfn.xlookup($C2389,daily_dates,big_daily_table))),NA(),_xlfn.xlookup(E$3,daily_items,_xlfn.xlookup($C2389,daily_dates,big_daily_table)))</f>
        <v>#NAME?</v>
      </c>
    </row>
    <row r="2390" customFormat="false" ht="14.25" hidden="false" customHeight="false" outlineLevel="0" collapsed="false">
      <c r="B2390" s="7" t="n">
        <v>43295</v>
      </c>
      <c r="C2390" s="7" t="n">
        <f aca="false">B2390-WEEKDAY(B2390)+1</f>
        <v>43289</v>
      </c>
      <c r="D2390" s="1" t="e">
        <f aca="false" t="array" ref="D2390:D2390">IF(ISBLANK(_xlfn.xlookup(D$3,daily_items,_xlfn.xlookup($C2390,daily_dates,big_daily_table))),NA(),_xlfn.xlookup(D$3,daily_items,_xlfn.xlookup($C2390,daily_dates,big_daily_table)))</f>
        <v>#NAME?</v>
      </c>
      <c r="E2390" s="1" t="e">
        <f aca="false" t="array" ref="E2390:E2390">IF(ISBLANK(_xlfn.xlookup(E$3,daily_items,_xlfn.xlookup($C2390,daily_dates,big_daily_table))),NA(),_xlfn.xlookup(E$3,daily_items,_xlfn.xlookup($C2390,daily_dates,big_daily_table)))</f>
        <v>#NAME?</v>
      </c>
    </row>
    <row r="2391" customFormat="false" ht="14.25" hidden="false" customHeight="false" outlineLevel="0" collapsed="false">
      <c r="B2391" s="7" t="n">
        <v>43296</v>
      </c>
      <c r="C2391" s="7" t="n">
        <f aca="false">B2391-WEEKDAY(B2391)+1</f>
        <v>43296</v>
      </c>
      <c r="D2391" s="1" t="e">
        <f aca="false" t="array" ref="D2391:D2391">IF(ISBLANK(_xlfn.xlookup(D$3,daily_items,_xlfn.xlookup($C2391,daily_dates,big_daily_table))),NA(),_xlfn.xlookup(D$3,daily_items,_xlfn.xlookup($C2391,daily_dates,big_daily_table)))</f>
        <v>#NAME?</v>
      </c>
      <c r="E2391" s="1" t="e">
        <f aca="false" t="array" ref="E2391:E2391">IF(ISBLANK(_xlfn.xlookup(E$3,daily_items,_xlfn.xlookup($C2391,daily_dates,big_daily_table))),NA(),_xlfn.xlookup(E$3,daily_items,_xlfn.xlookup($C2391,daily_dates,big_daily_table)))</f>
        <v>#NAME?</v>
      </c>
    </row>
    <row r="2392" customFormat="false" ht="14.25" hidden="false" customHeight="false" outlineLevel="0" collapsed="false">
      <c r="B2392" s="7" t="n">
        <v>43297</v>
      </c>
      <c r="C2392" s="7" t="n">
        <f aca="false">B2392-WEEKDAY(B2392)+1</f>
        <v>43296</v>
      </c>
      <c r="D2392" s="1" t="e">
        <f aca="false" t="array" ref="D2392:D2392">IF(ISBLANK(_xlfn.xlookup(D$3,daily_items,_xlfn.xlookup($C2392,daily_dates,big_daily_table))),NA(),_xlfn.xlookup(D$3,daily_items,_xlfn.xlookup($C2392,daily_dates,big_daily_table)))</f>
        <v>#NAME?</v>
      </c>
      <c r="E2392" s="1" t="e">
        <f aca="false" t="array" ref="E2392:E2392">IF(ISBLANK(_xlfn.xlookup(E$3,daily_items,_xlfn.xlookup($C2392,daily_dates,big_daily_table))),NA(),_xlfn.xlookup(E$3,daily_items,_xlfn.xlookup($C2392,daily_dates,big_daily_table)))</f>
        <v>#NAME?</v>
      </c>
    </row>
    <row r="2393" customFormat="false" ht="14.25" hidden="false" customHeight="false" outlineLevel="0" collapsed="false">
      <c r="B2393" s="7" t="n">
        <v>43298</v>
      </c>
      <c r="C2393" s="7" t="n">
        <f aca="false">B2393-WEEKDAY(B2393)+1</f>
        <v>43296</v>
      </c>
      <c r="D2393" s="1" t="e">
        <f aca="false" t="array" ref="D2393:D2393">IF(ISBLANK(_xlfn.xlookup(D$3,daily_items,_xlfn.xlookup($C2393,daily_dates,big_daily_table))),NA(),_xlfn.xlookup(D$3,daily_items,_xlfn.xlookup($C2393,daily_dates,big_daily_table)))</f>
        <v>#NAME?</v>
      </c>
      <c r="E2393" s="1" t="e">
        <f aca="false" t="array" ref="E2393:E2393">IF(ISBLANK(_xlfn.xlookup(E$3,daily_items,_xlfn.xlookup($C2393,daily_dates,big_daily_table))),NA(),_xlfn.xlookup(E$3,daily_items,_xlfn.xlookup($C2393,daily_dates,big_daily_table)))</f>
        <v>#NAME?</v>
      </c>
    </row>
    <row r="2394" customFormat="false" ht="14.25" hidden="false" customHeight="false" outlineLevel="0" collapsed="false">
      <c r="B2394" s="7" t="n">
        <v>43299</v>
      </c>
      <c r="C2394" s="7" t="n">
        <f aca="false">B2394-WEEKDAY(B2394)+1</f>
        <v>43296</v>
      </c>
      <c r="D2394" s="1" t="e">
        <f aca="false" t="array" ref="D2394:D2394">IF(ISBLANK(_xlfn.xlookup(D$3,daily_items,_xlfn.xlookup($C2394,daily_dates,big_daily_table))),NA(),_xlfn.xlookup(D$3,daily_items,_xlfn.xlookup($C2394,daily_dates,big_daily_table)))</f>
        <v>#NAME?</v>
      </c>
      <c r="E2394" s="1" t="e">
        <f aca="false" t="array" ref="E2394:E2394">IF(ISBLANK(_xlfn.xlookup(E$3,daily_items,_xlfn.xlookup($C2394,daily_dates,big_daily_table))),NA(),_xlfn.xlookup(E$3,daily_items,_xlfn.xlookup($C2394,daily_dates,big_daily_table)))</f>
        <v>#NAME?</v>
      </c>
    </row>
    <row r="2395" customFormat="false" ht="14.25" hidden="false" customHeight="false" outlineLevel="0" collapsed="false">
      <c r="B2395" s="7" t="n">
        <v>43300</v>
      </c>
      <c r="C2395" s="7" t="n">
        <f aca="false">B2395-WEEKDAY(B2395)+1</f>
        <v>43296</v>
      </c>
      <c r="D2395" s="1" t="e">
        <f aca="false" t="array" ref="D2395:D2395">IF(ISBLANK(_xlfn.xlookup(D$3,daily_items,_xlfn.xlookup($C2395,daily_dates,big_daily_table))),NA(),_xlfn.xlookup(D$3,daily_items,_xlfn.xlookup($C2395,daily_dates,big_daily_table)))</f>
        <v>#NAME?</v>
      </c>
      <c r="E2395" s="1" t="e">
        <f aca="false" t="array" ref="E2395:E2395">IF(ISBLANK(_xlfn.xlookup(E$3,daily_items,_xlfn.xlookup($C2395,daily_dates,big_daily_table))),NA(),_xlfn.xlookup(E$3,daily_items,_xlfn.xlookup($C2395,daily_dates,big_daily_table)))</f>
        <v>#NAME?</v>
      </c>
    </row>
    <row r="2396" customFormat="false" ht="14.25" hidden="false" customHeight="false" outlineLevel="0" collapsed="false">
      <c r="B2396" s="7" t="n">
        <v>43301</v>
      </c>
      <c r="C2396" s="7" t="n">
        <f aca="false">B2396-WEEKDAY(B2396)+1</f>
        <v>43296</v>
      </c>
      <c r="D2396" s="1" t="e">
        <f aca="false" t="array" ref="D2396:D2396">IF(ISBLANK(_xlfn.xlookup(D$3,daily_items,_xlfn.xlookup($C2396,daily_dates,big_daily_table))),NA(),_xlfn.xlookup(D$3,daily_items,_xlfn.xlookup($C2396,daily_dates,big_daily_table)))</f>
        <v>#NAME?</v>
      </c>
      <c r="E2396" s="1" t="e">
        <f aca="false" t="array" ref="E2396:E2396">IF(ISBLANK(_xlfn.xlookup(E$3,daily_items,_xlfn.xlookup($C2396,daily_dates,big_daily_table))),NA(),_xlfn.xlookup(E$3,daily_items,_xlfn.xlookup($C2396,daily_dates,big_daily_table)))</f>
        <v>#NAME?</v>
      </c>
    </row>
    <row r="2397" customFormat="false" ht="14.25" hidden="false" customHeight="false" outlineLevel="0" collapsed="false">
      <c r="B2397" s="7" t="n">
        <v>43302</v>
      </c>
      <c r="C2397" s="7" t="n">
        <f aca="false">B2397-WEEKDAY(B2397)+1</f>
        <v>43296</v>
      </c>
      <c r="D2397" s="1" t="e">
        <f aca="false" t="array" ref="D2397:D2397">IF(ISBLANK(_xlfn.xlookup(D$3,daily_items,_xlfn.xlookup($C2397,daily_dates,big_daily_table))),NA(),_xlfn.xlookup(D$3,daily_items,_xlfn.xlookup($C2397,daily_dates,big_daily_table)))</f>
        <v>#NAME?</v>
      </c>
      <c r="E2397" s="1" t="e">
        <f aca="false" t="array" ref="E2397:E2397">IF(ISBLANK(_xlfn.xlookup(E$3,daily_items,_xlfn.xlookup($C2397,daily_dates,big_daily_table))),NA(),_xlfn.xlookup(E$3,daily_items,_xlfn.xlookup($C2397,daily_dates,big_daily_table)))</f>
        <v>#NAME?</v>
      </c>
    </row>
    <row r="2398" customFormat="false" ht="14.25" hidden="false" customHeight="false" outlineLevel="0" collapsed="false">
      <c r="B2398" s="7" t="n">
        <v>43303</v>
      </c>
      <c r="C2398" s="7" t="n">
        <f aca="false">B2398-WEEKDAY(B2398)+1</f>
        <v>43303</v>
      </c>
      <c r="D2398" s="1" t="e">
        <f aca="false" t="array" ref="D2398:D2398">IF(ISBLANK(_xlfn.xlookup(D$3,daily_items,_xlfn.xlookup($C2398,daily_dates,big_daily_table))),NA(),_xlfn.xlookup(D$3,daily_items,_xlfn.xlookup($C2398,daily_dates,big_daily_table)))</f>
        <v>#NAME?</v>
      </c>
      <c r="E2398" s="1" t="e">
        <f aca="false" t="array" ref="E2398:E2398">IF(ISBLANK(_xlfn.xlookup(E$3,daily_items,_xlfn.xlookup($C2398,daily_dates,big_daily_table))),NA(),_xlfn.xlookup(E$3,daily_items,_xlfn.xlookup($C2398,daily_dates,big_daily_table)))</f>
        <v>#NAME?</v>
      </c>
    </row>
    <row r="2399" customFormat="false" ht="14.25" hidden="false" customHeight="false" outlineLevel="0" collapsed="false">
      <c r="B2399" s="7" t="n">
        <v>43304</v>
      </c>
      <c r="C2399" s="7" t="n">
        <f aca="false">B2399-WEEKDAY(B2399)+1</f>
        <v>43303</v>
      </c>
      <c r="D2399" s="1" t="e">
        <f aca="false" t="array" ref="D2399:D2399">IF(ISBLANK(_xlfn.xlookup(D$3,daily_items,_xlfn.xlookup($C2399,daily_dates,big_daily_table))),NA(),_xlfn.xlookup(D$3,daily_items,_xlfn.xlookup($C2399,daily_dates,big_daily_table)))</f>
        <v>#NAME?</v>
      </c>
      <c r="E2399" s="1" t="e">
        <f aca="false" t="array" ref="E2399:E2399">IF(ISBLANK(_xlfn.xlookup(E$3,daily_items,_xlfn.xlookup($C2399,daily_dates,big_daily_table))),NA(),_xlfn.xlookup(E$3,daily_items,_xlfn.xlookup($C2399,daily_dates,big_daily_table)))</f>
        <v>#NAME?</v>
      </c>
    </row>
    <row r="2400" customFormat="false" ht="14.25" hidden="false" customHeight="false" outlineLevel="0" collapsed="false">
      <c r="B2400" s="7" t="n">
        <v>43305</v>
      </c>
      <c r="C2400" s="7" t="n">
        <f aca="false">B2400-WEEKDAY(B2400)+1</f>
        <v>43303</v>
      </c>
      <c r="D2400" s="1" t="e">
        <f aca="false" t="array" ref="D2400:D2400">IF(ISBLANK(_xlfn.xlookup(D$3,daily_items,_xlfn.xlookup($C2400,daily_dates,big_daily_table))),NA(),_xlfn.xlookup(D$3,daily_items,_xlfn.xlookup($C2400,daily_dates,big_daily_table)))</f>
        <v>#NAME?</v>
      </c>
      <c r="E2400" s="1" t="e">
        <f aca="false" t="array" ref="E2400:E2400">IF(ISBLANK(_xlfn.xlookup(E$3,daily_items,_xlfn.xlookup($C2400,daily_dates,big_daily_table))),NA(),_xlfn.xlookup(E$3,daily_items,_xlfn.xlookup($C2400,daily_dates,big_daily_table)))</f>
        <v>#NAME?</v>
      </c>
    </row>
    <row r="2401" customFormat="false" ht="14.25" hidden="false" customHeight="false" outlineLevel="0" collapsed="false">
      <c r="B2401" s="7" t="n">
        <v>43306</v>
      </c>
      <c r="C2401" s="7" t="n">
        <f aca="false">B2401-WEEKDAY(B2401)+1</f>
        <v>43303</v>
      </c>
      <c r="D2401" s="1" t="e">
        <f aca="false" t="array" ref="D2401:D2401">IF(ISBLANK(_xlfn.xlookup(D$3,daily_items,_xlfn.xlookup($C2401,daily_dates,big_daily_table))),NA(),_xlfn.xlookup(D$3,daily_items,_xlfn.xlookup($C2401,daily_dates,big_daily_table)))</f>
        <v>#NAME?</v>
      </c>
      <c r="E2401" s="1" t="e">
        <f aca="false" t="array" ref="E2401:E2401">IF(ISBLANK(_xlfn.xlookup(E$3,daily_items,_xlfn.xlookup($C2401,daily_dates,big_daily_table))),NA(),_xlfn.xlookup(E$3,daily_items,_xlfn.xlookup($C2401,daily_dates,big_daily_table)))</f>
        <v>#NAME?</v>
      </c>
    </row>
    <row r="2402" customFormat="false" ht="14.25" hidden="false" customHeight="false" outlineLevel="0" collapsed="false">
      <c r="B2402" s="7" t="n">
        <v>43307</v>
      </c>
      <c r="C2402" s="7" t="n">
        <f aca="false">B2402-WEEKDAY(B2402)+1</f>
        <v>43303</v>
      </c>
      <c r="D2402" s="1" t="e">
        <f aca="false" t="array" ref="D2402:D2402">IF(ISBLANK(_xlfn.xlookup(D$3,daily_items,_xlfn.xlookup($C2402,daily_dates,big_daily_table))),NA(),_xlfn.xlookup(D$3,daily_items,_xlfn.xlookup($C2402,daily_dates,big_daily_table)))</f>
        <v>#NAME?</v>
      </c>
      <c r="E2402" s="1" t="e">
        <f aca="false" t="array" ref="E2402:E2402">IF(ISBLANK(_xlfn.xlookup(E$3,daily_items,_xlfn.xlookup($C2402,daily_dates,big_daily_table))),NA(),_xlfn.xlookup(E$3,daily_items,_xlfn.xlookup($C2402,daily_dates,big_daily_table)))</f>
        <v>#NAME?</v>
      </c>
    </row>
    <row r="2403" customFormat="false" ht="14.25" hidden="false" customHeight="false" outlineLevel="0" collapsed="false">
      <c r="B2403" s="7" t="n">
        <v>43308</v>
      </c>
      <c r="C2403" s="7" t="n">
        <f aca="false">B2403-WEEKDAY(B2403)+1</f>
        <v>43303</v>
      </c>
      <c r="D2403" s="1" t="e">
        <f aca="false" t="array" ref="D2403:D2403">IF(ISBLANK(_xlfn.xlookup(D$3,daily_items,_xlfn.xlookup($C2403,daily_dates,big_daily_table))),NA(),_xlfn.xlookup(D$3,daily_items,_xlfn.xlookup($C2403,daily_dates,big_daily_table)))</f>
        <v>#NAME?</v>
      </c>
      <c r="E2403" s="1" t="e">
        <f aca="false" t="array" ref="E2403:E2403">IF(ISBLANK(_xlfn.xlookup(E$3,daily_items,_xlfn.xlookup($C2403,daily_dates,big_daily_table))),NA(),_xlfn.xlookup(E$3,daily_items,_xlfn.xlookup($C2403,daily_dates,big_daily_table)))</f>
        <v>#NAME?</v>
      </c>
    </row>
    <row r="2404" customFormat="false" ht="14.25" hidden="false" customHeight="false" outlineLevel="0" collapsed="false">
      <c r="B2404" s="7" t="n">
        <v>43309</v>
      </c>
      <c r="C2404" s="7" t="n">
        <f aca="false">B2404-WEEKDAY(B2404)+1</f>
        <v>43303</v>
      </c>
      <c r="D2404" s="1" t="e">
        <f aca="false" t="array" ref="D2404:D2404">IF(ISBLANK(_xlfn.xlookup(D$3,daily_items,_xlfn.xlookup($C2404,daily_dates,big_daily_table))),NA(),_xlfn.xlookup(D$3,daily_items,_xlfn.xlookup($C2404,daily_dates,big_daily_table)))</f>
        <v>#NAME?</v>
      </c>
      <c r="E2404" s="1" t="e">
        <f aca="false" t="array" ref="E2404:E2404">IF(ISBLANK(_xlfn.xlookup(E$3,daily_items,_xlfn.xlookup($C2404,daily_dates,big_daily_table))),NA(),_xlfn.xlookup(E$3,daily_items,_xlfn.xlookup($C2404,daily_dates,big_daily_table)))</f>
        <v>#NAME?</v>
      </c>
    </row>
    <row r="2405" customFormat="false" ht="14.25" hidden="false" customHeight="false" outlineLevel="0" collapsed="false">
      <c r="B2405" s="7" t="n">
        <v>43310</v>
      </c>
      <c r="C2405" s="7" t="n">
        <f aca="false">B2405-WEEKDAY(B2405)+1</f>
        <v>43310</v>
      </c>
      <c r="D2405" s="1" t="e">
        <f aca="false" t="array" ref="D2405:D2405">IF(ISBLANK(_xlfn.xlookup(D$3,daily_items,_xlfn.xlookup($C2405,daily_dates,big_daily_table))),NA(),_xlfn.xlookup(D$3,daily_items,_xlfn.xlookup($C2405,daily_dates,big_daily_table)))</f>
        <v>#NAME?</v>
      </c>
      <c r="E2405" s="1" t="e">
        <f aca="false" t="array" ref="E2405:E2405">IF(ISBLANK(_xlfn.xlookup(E$3,daily_items,_xlfn.xlookup($C2405,daily_dates,big_daily_table))),NA(),_xlfn.xlookup(E$3,daily_items,_xlfn.xlookup($C2405,daily_dates,big_daily_table)))</f>
        <v>#NAME?</v>
      </c>
    </row>
    <row r="2406" customFormat="false" ht="14.25" hidden="false" customHeight="false" outlineLevel="0" collapsed="false">
      <c r="B2406" s="7" t="n">
        <v>43311</v>
      </c>
      <c r="C2406" s="7" t="n">
        <f aca="false">B2406-WEEKDAY(B2406)+1</f>
        <v>43310</v>
      </c>
      <c r="D2406" s="1" t="e">
        <f aca="false" t="array" ref="D2406:D2406">IF(ISBLANK(_xlfn.xlookup(D$3,daily_items,_xlfn.xlookup($C2406,daily_dates,big_daily_table))),NA(),_xlfn.xlookup(D$3,daily_items,_xlfn.xlookup($C2406,daily_dates,big_daily_table)))</f>
        <v>#NAME?</v>
      </c>
      <c r="E2406" s="1" t="e">
        <f aca="false" t="array" ref="E2406:E2406">IF(ISBLANK(_xlfn.xlookup(E$3,daily_items,_xlfn.xlookup($C2406,daily_dates,big_daily_table))),NA(),_xlfn.xlookup(E$3,daily_items,_xlfn.xlookup($C2406,daily_dates,big_daily_table)))</f>
        <v>#NAME?</v>
      </c>
    </row>
    <row r="2407" customFormat="false" ht="14.25" hidden="false" customHeight="false" outlineLevel="0" collapsed="false">
      <c r="B2407" s="7" t="n">
        <v>43312</v>
      </c>
      <c r="C2407" s="7" t="n">
        <f aca="false">B2407-WEEKDAY(B2407)+1</f>
        <v>43310</v>
      </c>
      <c r="D2407" s="1" t="e">
        <f aca="false" t="array" ref="D2407:D2407">IF(ISBLANK(_xlfn.xlookup(D$3,daily_items,_xlfn.xlookup($C2407,daily_dates,big_daily_table))),NA(),_xlfn.xlookup(D$3,daily_items,_xlfn.xlookup($C2407,daily_dates,big_daily_table)))</f>
        <v>#NAME?</v>
      </c>
      <c r="E2407" s="1" t="e">
        <f aca="false" t="array" ref="E2407:E2407">IF(ISBLANK(_xlfn.xlookup(E$3,daily_items,_xlfn.xlookup($C2407,daily_dates,big_daily_table))),NA(),_xlfn.xlookup(E$3,daily_items,_xlfn.xlookup($C2407,daily_dates,big_daily_table)))</f>
        <v>#NAME?</v>
      </c>
    </row>
    <row r="2408" customFormat="false" ht="14.25" hidden="false" customHeight="false" outlineLevel="0" collapsed="false">
      <c r="B2408" s="7" t="n">
        <v>43313</v>
      </c>
      <c r="C2408" s="7" t="n">
        <f aca="false">B2408-WEEKDAY(B2408)+1</f>
        <v>43310</v>
      </c>
      <c r="D2408" s="1" t="e">
        <f aca="false" t="array" ref="D2408:D2408">IF(ISBLANK(_xlfn.xlookup(D$3,daily_items,_xlfn.xlookup($C2408,daily_dates,big_daily_table))),NA(),_xlfn.xlookup(D$3,daily_items,_xlfn.xlookup($C2408,daily_dates,big_daily_table)))</f>
        <v>#NAME?</v>
      </c>
      <c r="E2408" s="1" t="e">
        <f aca="false" t="array" ref="E2408:E2408">IF(ISBLANK(_xlfn.xlookup(E$3,daily_items,_xlfn.xlookup($C2408,daily_dates,big_daily_table))),NA(),_xlfn.xlookup(E$3,daily_items,_xlfn.xlookup($C2408,daily_dates,big_daily_table)))</f>
        <v>#NAME?</v>
      </c>
    </row>
    <row r="2409" customFormat="false" ht="14.25" hidden="false" customHeight="false" outlineLevel="0" collapsed="false">
      <c r="B2409" s="7" t="n">
        <v>43314</v>
      </c>
      <c r="C2409" s="7" t="n">
        <f aca="false">B2409-WEEKDAY(B2409)+1</f>
        <v>43310</v>
      </c>
      <c r="D2409" s="1" t="e">
        <f aca="false" t="array" ref="D2409:D2409">IF(ISBLANK(_xlfn.xlookup(D$3,daily_items,_xlfn.xlookup($C2409,daily_dates,big_daily_table))),NA(),_xlfn.xlookup(D$3,daily_items,_xlfn.xlookup($C2409,daily_dates,big_daily_table)))</f>
        <v>#NAME?</v>
      </c>
      <c r="E2409" s="1" t="e">
        <f aca="false" t="array" ref="E2409:E2409">IF(ISBLANK(_xlfn.xlookup(E$3,daily_items,_xlfn.xlookup($C2409,daily_dates,big_daily_table))),NA(),_xlfn.xlookup(E$3,daily_items,_xlfn.xlookup($C2409,daily_dates,big_daily_table)))</f>
        <v>#NAME?</v>
      </c>
    </row>
    <row r="2410" customFormat="false" ht="14.25" hidden="false" customHeight="false" outlineLevel="0" collapsed="false">
      <c r="B2410" s="7" t="n">
        <v>43315</v>
      </c>
      <c r="C2410" s="7" t="n">
        <f aca="false">B2410-WEEKDAY(B2410)+1</f>
        <v>43310</v>
      </c>
      <c r="D2410" s="1" t="e">
        <f aca="false" t="array" ref="D2410:D2410">IF(ISBLANK(_xlfn.xlookup(D$3,daily_items,_xlfn.xlookup($C2410,daily_dates,big_daily_table))),NA(),_xlfn.xlookup(D$3,daily_items,_xlfn.xlookup($C2410,daily_dates,big_daily_table)))</f>
        <v>#NAME?</v>
      </c>
      <c r="E2410" s="1" t="e">
        <f aca="false" t="array" ref="E2410:E2410">IF(ISBLANK(_xlfn.xlookup(E$3,daily_items,_xlfn.xlookup($C2410,daily_dates,big_daily_table))),NA(),_xlfn.xlookup(E$3,daily_items,_xlfn.xlookup($C2410,daily_dates,big_daily_table)))</f>
        <v>#NAME?</v>
      </c>
    </row>
    <row r="2411" customFormat="false" ht="14.25" hidden="false" customHeight="false" outlineLevel="0" collapsed="false">
      <c r="B2411" s="7" t="n">
        <v>43316</v>
      </c>
      <c r="C2411" s="7" t="n">
        <f aca="false">B2411-WEEKDAY(B2411)+1</f>
        <v>43310</v>
      </c>
      <c r="D2411" s="1" t="e">
        <f aca="false" t="array" ref="D2411:D2411">IF(ISBLANK(_xlfn.xlookup(D$3,daily_items,_xlfn.xlookup($C2411,daily_dates,big_daily_table))),NA(),_xlfn.xlookup(D$3,daily_items,_xlfn.xlookup($C2411,daily_dates,big_daily_table)))</f>
        <v>#NAME?</v>
      </c>
      <c r="E2411" s="1" t="e">
        <f aca="false" t="array" ref="E2411:E2411">IF(ISBLANK(_xlfn.xlookup(E$3,daily_items,_xlfn.xlookup($C2411,daily_dates,big_daily_table))),NA(),_xlfn.xlookup(E$3,daily_items,_xlfn.xlookup($C2411,daily_dates,big_daily_table)))</f>
        <v>#NAME?</v>
      </c>
    </row>
    <row r="2412" customFormat="false" ht="14.25" hidden="false" customHeight="false" outlineLevel="0" collapsed="false">
      <c r="B2412" s="7" t="n">
        <v>43317</v>
      </c>
      <c r="C2412" s="7" t="n">
        <f aca="false">B2412-WEEKDAY(B2412)+1</f>
        <v>43317</v>
      </c>
      <c r="D2412" s="1" t="e">
        <f aca="false" t="array" ref="D2412:D2412">IF(ISBLANK(_xlfn.xlookup(D$3,daily_items,_xlfn.xlookup($C2412,daily_dates,big_daily_table))),NA(),_xlfn.xlookup(D$3,daily_items,_xlfn.xlookup($C2412,daily_dates,big_daily_table)))</f>
        <v>#NAME?</v>
      </c>
      <c r="E2412" s="1" t="e">
        <f aca="false" t="array" ref="E2412:E2412">IF(ISBLANK(_xlfn.xlookup(E$3,daily_items,_xlfn.xlookup($C2412,daily_dates,big_daily_table))),NA(),_xlfn.xlookup(E$3,daily_items,_xlfn.xlookup($C2412,daily_dates,big_daily_table)))</f>
        <v>#NAME?</v>
      </c>
    </row>
    <row r="2413" customFormat="false" ht="14.25" hidden="false" customHeight="false" outlineLevel="0" collapsed="false">
      <c r="B2413" s="7" t="n">
        <v>43318</v>
      </c>
      <c r="C2413" s="7" t="n">
        <f aca="false">B2413-WEEKDAY(B2413)+1</f>
        <v>43317</v>
      </c>
      <c r="D2413" s="1" t="e">
        <f aca="false" t="array" ref="D2413:D2413">IF(ISBLANK(_xlfn.xlookup(D$3,daily_items,_xlfn.xlookup($C2413,daily_dates,big_daily_table))),NA(),_xlfn.xlookup(D$3,daily_items,_xlfn.xlookup($C2413,daily_dates,big_daily_table)))</f>
        <v>#NAME?</v>
      </c>
      <c r="E2413" s="1" t="e">
        <f aca="false" t="array" ref="E2413:E2413">IF(ISBLANK(_xlfn.xlookup(E$3,daily_items,_xlfn.xlookup($C2413,daily_dates,big_daily_table))),NA(),_xlfn.xlookup(E$3,daily_items,_xlfn.xlookup($C2413,daily_dates,big_daily_table)))</f>
        <v>#NAME?</v>
      </c>
    </row>
    <row r="2414" customFormat="false" ht="14.25" hidden="false" customHeight="false" outlineLevel="0" collapsed="false">
      <c r="B2414" s="7" t="n">
        <v>43319</v>
      </c>
      <c r="C2414" s="7" t="n">
        <f aca="false">B2414-WEEKDAY(B2414)+1</f>
        <v>43317</v>
      </c>
      <c r="D2414" s="1" t="e">
        <f aca="false" t="array" ref="D2414:D2414">IF(ISBLANK(_xlfn.xlookup(D$3,daily_items,_xlfn.xlookup($C2414,daily_dates,big_daily_table))),NA(),_xlfn.xlookup(D$3,daily_items,_xlfn.xlookup($C2414,daily_dates,big_daily_table)))</f>
        <v>#NAME?</v>
      </c>
      <c r="E2414" s="1" t="e">
        <f aca="false" t="array" ref="E2414:E2414">IF(ISBLANK(_xlfn.xlookup(E$3,daily_items,_xlfn.xlookup($C2414,daily_dates,big_daily_table))),NA(),_xlfn.xlookup(E$3,daily_items,_xlfn.xlookup($C2414,daily_dates,big_daily_table)))</f>
        <v>#NAME?</v>
      </c>
    </row>
    <row r="2415" customFormat="false" ht="14.25" hidden="false" customHeight="false" outlineLevel="0" collapsed="false">
      <c r="B2415" s="7" t="n">
        <v>43320</v>
      </c>
      <c r="C2415" s="7" t="n">
        <f aca="false">B2415-WEEKDAY(B2415)+1</f>
        <v>43317</v>
      </c>
      <c r="D2415" s="1" t="e">
        <f aca="false" t="array" ref="D2415:D2415">IF(ISBLANK(_xlfn.xlookup(D$3,daily_items,_xlfn.xlookup($C2415,daily_dates,big_daily_table))),NA(),_xlfn.xlookup(D$3,daily_items,_xlfn.xlookup($C2415,daily_dates,big_daily_table)))</f>
        <v>#NAME?</v>
      </c>
      <c r="E2415" s="1" t="e">
        <f aca="false" t="array" ref="E2415:E2415">IF(ISBLANK(_xlfn.xlookup(E$3,daily_items,_xlfn.xlookup($C2415,daily_dates,big_daily_table))),NA(),_xlfn.xlookup(E$3,daily_items,_xlfn.xlookup($C2415,daily_dates,big_daily_table)))</f>
        <v>#NAME?</v>
      </c>
    </row>
    <row r="2416" customFormat="false" ht="14.25" hidden="false" customHeight="false" outlineLevel="0" collapsed="false">
      <c r="B2416" s="7" t="n">
        <v>43321</v>
      </c>
      <c r="C2416" s="7" t="n">
        <f aca="false">B2416-WEEKDAY(B2416)+1</f>
        <v>43317</v>
      </c>
      <c r="D2416" s="1" t="e">
        <f aca="false" t="array" ref="D2416:D2416">IF(ISBLANK(_xlfn.xlookup(D$3,daily_items,_xlfn.xlookup($C2416,daily_dates,big_daily_table))),NA(),_xlfn.xlookup(D$3,daily_items,_xlfn.xlookup($C2416,daily_dates,big_daily_table)))</f>
        <v>#NAME?</v>
      </c>
      <c r="E2416" s="1" t="e">
        <f aca="false" t="array" ref="E2416:E2416">IF(ISBLANK(_xlfn.xlookup(E$3,daily_items,_xlfn.xlookup($C2416,daily_dates,big_daily_table))),NA(),_xlfn.xlookup(E$3,daily_items,_xlfn.xlookup($C2416,daily_dates,big_daily_table)))</f>
        <v>#NAME?</v>
      </c>
    </row>
    <row r="2417" customFormat="false" ht="14.25" hidden="false" customHeight="false" outlineLevel="0" collapsed="false">
      <c r="B2417" s="7" t="n">
        <v>43322</v>
      </c>
      <c r="C2417" s="7" t="n">
        <f aca="false">B2417-WEEKDAY(B2417)+1</f>
        <v>43317</v>
      </c>
      <c r="D2417" s="1" t="e">
        <f aca="false" t="array" ref="D2417:D2417">IF(ISBLANK(_xlfn.xlookup(D$3,daily_items,_xlfn.xlookup($C2417,daily_dates,big_daily_table))),NA(),_xlfn.xlookup(D$3,daily_items,_xlfn.xlookup($C2417,daily_dates,big_daily_table)))</f>
        <v>#NAME?</v>
      </c>
      <c r="E2417" s="1" t="e">
        <f aca="false" t="array" ref="E2417:E2417">IF(ISBLANK(_xlfn.xlookup(E$3,daily_items,_xlfn.xlookup($C2417,daily_dates,big_daily_table))),NA(),_xlfn.xlookup(E$3,daily_items,_xlfn.xlookup($C2417,daily_dates,big_daily_table)))</f>
        <v>#NAME?</v>
      </c>
    </row>
    <row r="2418" customFormat="false" ht="14.25" hidden="false" customHeight="false" outlineLevel="0" collapsed="false">
      <c r="B2418" s="7" t="n">
        <v>43323</v>
      </c>
      <c r="C2418" s="7" t="n">
        <f aca="false">B2418-WEEKDAY(B2418)+1</f>
        <v>43317</v>
      </c>
      <c r="D2418" s="1" t="e">
        <f aca="false" t="array" ref="D2418:D2418">IF(ISBLANK(_xlfn.xlookup(D$3,daily_items,_xlfn.xlookup($C2418,daily_dates,big_daily_table))),NA(),_xlfn.xlookup(D$3,daily_items,_xlfn.xlookup($C2418,daily_dates,big_daily_table)))</f>
        <v>#NAME?</v>
      </c>
      <c r="E2418" s="1" t="e">
        <f aca="false" t="array" ref="E2418:E2418">IF(ISBLANK(_xlfn.xlookup(E$3,daily_items,_xlfn.xlookup($C2418,daily_dates,big_daily_table))),NA(),_xlfn.xlookup(E$3,daily_items,_xlfn.xlookup($C2418,daily_dates,big_daily_table)))</f>
        <v>#NAME?</v>
      </c>
    </row>
    <row r="2419" customFormat="false" ht="14.25" hidden="false" customHeight="false" outlineLevel="0" collapsed="false">
      <c r="B2419" s="7" t="n">
        <v>43324</v>
      </c>
      <c r="C2419" s="7" t="n">
        <f aca="false">B2419-WEEKDAY(B2419)+1</f>
        <v>43324</v>
      </c>
      <c r="D2419" s="1" t="e">
        <f aca="false" t="array" ref="D2419:D2419">IF(ISBLANK(_xlfn.xlookup(D$3,daily_items,_xlfn.xlookup($C2419,daily_dates,big_daily_table))),NA(),_xlfn.xlookup(D$3,daily_items,_xlfn.xlookup($C2419,daily_dates,big_daily_table)))</f>
        <v>#NAME?</v>
      </c>
      <c r="E2419" s="1" t="e">
        <f aca="false" t="array" ref="E2419:E2419">IF(ISBLANK(_xlfn.xlookup(E$3,daily_items,_xlfn.xlookup($C2419,daily_dates,big_daily_table))),NA(),_xlfn.xlookup(E$3,daily_items,_xlfn.xlookup($C2419,daily_dates,big_daily_table)))</f>
        <v>#NAME?</v>
      </c>
    </row>
    <row r="2420" customFormat="false" ht="14.25" hidden="false" customHeight="false" outlineLevel="0" collapsed="false">
      <c r="B2420" s="7" t="n">
        <v>43325</v>
      </c>
      <c r="C2420" s="7" t="n">
        <f aca="false">B2420-WEEKDAY(B2420)+1</f>
        <v>43324</v>
      </c>
      <c r="D2420" s="1" t="e">
        <f aca="false" t="array" ref="D2420:D2420">IF(ISBLANK(_xlfn.xlookup(D$3,daily_items,_xlfn.xlookup($C2420,daily_dates,big_daily_table))),NA(),_xlfn.xlookup(D$3,daily_items,_xlfn.xlookup($C2420,daily_dates,big_daily_table)))</f>
        <v>#NAME?</v>
      </c>
      <c r="E2420" s="1" t="e">
        <f aca="false" t="array" ref="E2420:E2420">IF(ISBLANK(_xlfn.xlookup(E$3,daily_items,_xlfn.xlookup($C2420,daily_dates,big_daily_table))),NA(),_xlfn.xlookup(E$3,daily_items,_xlfn.xlookup($C2420,daily_dates,big_daily_table)))</f>
        <v>#NAME?</v>
      </c>
    </row>
    <row r="2421" customFormat="false" ht="14.25" hidden="false" customHeight="false" outlineLevel="0" collapsed="false">
      <c r="B2421" s="7" t="n">
        <v>43326</v>
      </c>
      <c r="C2421" s="7" t="n">
        <f aca="false">B2421-WEEKDAY(B2421)+1</f>
        <v>43324</v>
      </c>
      <c r="D2421" s="1" t="e">
        <f aca="false" t="array" ref="D2421:D2421">IF(ISBLANK(_xlfn.xlookup(D$3,daily_items,_xlfn.xlookup($C2421,daily_dates,big_daily_table))),NA(),_xlfn.xlookup(D$3,daily_items,_xlfn.xlookup($C2421,daily_dates,big_daily_table)))</f>
        <v>#NAME?</v>
      </c>
      <c r="E2421" s="1" t="e">
        <f aca="false" t="array" ref="E2421:E2421">IF(ISBLANK(_xlfn.xlookup(E$3,daily_items,_xlfn.xlookup($C2421,daily_dates,big_daily_table))),NA(),_xlfn.xlookup(E$3,daily_items,_xlfn.xlookup($C2421,daily_dates,big_daily_table)))</f>
        <v>#NAME?</v>
      </c>
    </row>
    <row r="2422" customFormat="false" ht="14.25" hidden="false" customHeight="false" outlineLevel="0" collapsed="false">
      <c r="B2422" s="7" t="n">
        <v>43327</v>
      </c>
      <c r="C2422" s="7" t="n">
        <f aca="false">B2422-WEEKDAY(B2422)+1</f>
        <v>43324</v>
      </c>
      <c r="D2422" s="1" t="e">
        <f aca="false" t="array" ref="D2422:D2422">IF(ISBLANK(_xlfn.xlookup(D$3,daily_items,_xlfn.xlookup($C2422,daily_dates,big_daily_table))),NA(),_xlfn.xlookup(D$3,daily_items,_xlfn.xlookup($C2422,daily_dates,big_daily_table)))</f>
        <v>#NAME?</v>
      </c>
      <c r="E2422" s="1" t="e">
        <f aca="false" t="array" ref="E2422:E2422">IF(ISBLANK(_xlfn.xlookup(E$3,daily_items,_xlfn.xlookup($C2422,daily_dates,big_daily_table))),NA(),_xlfn.xlookup(E$3,daily_items,_xlfn.xlookup($C2422,daily_dates,big_daily_table)))</f>
        <v>#NAME?</v>
      </c>
    </row>
    <row r="2423" customFormat="false" ht="14.25" hidden="false" customHeight="false" outlineLevel="0" collapsed="false">
      <c r="B2423" s="7" t="n">
        <v>43328</v>
      </c>
      <c r="C2423" s="7" t="n">
        <f aca="false">B2423-WEEKDAY(B2423)+1</f>
        <v>43324</v>
      </c>
      <c r="D2423" s="1" t="e">
        <f aca="false" t="array" ref="D2423:D2423">IF(ISBLANK(_xlfn.xlookup(D$3,daily_items,_xlfn.xlookup($C2423,daily_dates,big_daily_table))),NA(),_xlfn.xlookup(D$3,daily_items,_xlfn.xlookup($C2423,daily_dates,big_daily_table)))</f>
        <v>#NAME?</v>
      </c>
      <c r="E2423" s="1" t="e">
        <f aca="false" t="array" ref="E2423:E2423">IF(ISBLANK(_xlfn.xlookup(E$3,daily_items,_xlfn.xlookup($C2423,daily_dates,big_daily_table))),NA(),_xlfn.xlookup(E$3,daily_items,_xlfn.xlookup($C2423,daily_dates,big_daily_table)))</f>
        <v>#NAME?</v>
      </c>
    </row>
    <row r="2424" customFormat="false" ht="14.25" hidden="false" customHeight="false" outlineLevel="0" collapsed="false">
      <c r="B2424" s="7" t="n">
        <v>43329</v>
      </c>
      <c r="C2424" s="7" t="n">
        <f aca="false">B2424-WEEKDAY(B2424)+1</f>
        <v>43324</v>
      </c>
      <c r="D2424" s="1" t="e">
        <f aca="false" t="array" ref="D2424:D2424">IF(ISBLANK(_xlfn.xlookup(D$3,daily_items,_xlfn.xlookup($C2424,daily_dates,big_daily_table))),NA(),_xlfn.xlookup(D$3,daily_items,_xlfn.xlookup($C2424,daily_dates,big_daily_table)))</f>
        <v>#NAME?</v>
      </c>
      <c r="E2424" s="1" t="e">
        <f aca="false" t="array" ref="E2424:E2424">IF(ISBLANK(_xlfn.xlookup(E$3,daily_items,_xlfn.xlookup($C2424,daily_dates,big_daily_table))),NA(),_xlfn.xlookup(E$3,daily_items,_xlfn.xlookup($C2424,daily_dates,big_daily_table)))</f>
        <v>#NAME?</v>
      </c>
    </row>
    <row r="2425" customFormat="false" ht="14.25" hidden="false" customHeight="false" outlineLevel="0" collapsed="false">
      <c r="B2425" s="7" t="n">
        <v>43330</v>
      </c>
      <c r="C2425" s="7" t="n">
        <f aca="false">B2425-WEEKDAY(B2425)+1</f>
        <v>43324</v>
      </c>
      <c r="D2425" s="1" t="e">
        <f aca="false" t="array" ref="D2425:D2425">IF(ISBLANK(_xlfn.xlookup(D$3,daily_items,_xlfn.xlookup($C2425,daily_dates,big_daily_table))),NA(),_xlfn.xlookup(D$3,daily_items,_xlfn.xlookup($C2425,daily_dates,big_daily_table)))</f>
        <v>#NAME?</v>
      </c>
      <c r="E2425" s="1" t="e">
        <f aca="false" t="array" ref="E2425:E2425">IF(ISBLANK(_xlfn.xlookup(E$3,daily_items,_xlfn.xlookup($C2425,daily_dates,big_daily_table))),NA(),_xlfn.xlookup(E$3,daily_items,_xlfn.xlookup($C2425,daily_dates,big_daily_table)))</f>
        <v>#NAME?</v>
      </c>
    </row>
    <row r="2426" customFormat="false" ht="14.25" hidden="false" customHeight="false" outlineLevel="0" collapsed="false">
      <c r="B2426" s="7" t="n">
        <v>43331</v>
      </c>
      <c r="C2426" s="7" t="n">
        <f aca="false">B2426-WEEKDAY(B2426)+1</f>
        <v>43331</v>
      </c>
      <c r="D2426" s="1" t="e">
        <f aca="false" t="array" ref="D2426:D2426">IF(ISBLANK(_xlfn.xlookup(D$3,daily_items,_xlfn.xlookup($C2426,daily_dates,big_daily_table))),NA(),_xlfn.xlookup(D$3,daily_items,_xlfn.xlookup($C2426,daily_dates,big_daily_table)))</f>
        <v>#NAME?</v>
      </c>
      <c r="E2426" s="1" t="e">
        <f aca="false" t="array" ref="E2426:E2426">IF(ISBLANK(_xlfn.xlookup(E$3,daily_items,_xlfn.xlookup($C2426,daily_dates,big_daily_table))),NA(),_xlfn.xlookup(E$3,daily_items,_xlfn.xlookup($C2426,daily_dates,big_daily_table)))</f>
        <v>#NAME?</v>
      </c>
    </row>
    <row r="2427" customFormat="false" ht="14.25" hidden="false" customHeight="false" outlineLevel="0" collapsed="false">
      <c r="B2427" s="7" t="n">
        <v>43332</v>
      </c>
      <c r="C2427" s="7" t="n">
        <f aca="false">B2427-WEEKDAY(B2427)+1</f>
        <v>43331</v>
      </c>
      <c r="D2427" s="1" t="e">
        <f aca="false" t="array" ref="D2427:D2427">IF(ISBLANK(_xlfn.xlookup(D$3,daily_items,_xlfn.xlookup($C2427,daily_dates,big_daily_table))),NA(),_xlfn.xlookup(D$3,daily_items,_xlfn.xlookup($C2427,daily_dates,big_daily_table)))</f>
        <v>#NAME?</v>
      </c>
      <c r="E2427" s="1" t="e">
        <f aca="false" t="array" ref="E2427:E2427">IF(ISBLANK(_xlfn.xlookup(E$3,daily_items,_xlfn.xlookup($C2427,daily_dates,big_daily_table))),NA(),_xlfn.xlookup(E$3,daily_items,_xlfn.xlookup($C2427,daily_dates,big_daily_table)))</f>
        <v>#NAME?</v>
      </c>
    </row>
    <row r="2428" customFormat="false" ht="14.25" hidden="false" customHeight="false" outlineLevel="0" collapsed="false">
      <c r="B2428" s="7" t="n">
        <v>43333</v>
      </c>
      <c r="C2428" s="7" t="n">
        <f aca="false">B2428-WEEKDAY(B2428)+1</f>
        <v>43331</v>
      </c>
      <c r="D2428" s="1" t="e">
        <f aca="false" t="array" ref="D2428:D2428">IF(ISBLANK(_xlfn.xlookup(D$3,daily_items,_xlfn.xlookup($C2428,daily_dates,big_daily_table))),NA(),_xlfn.xlookup(D$3,daily_items,_xlfn.xlookup($C2428,daily_dates,big_daily_table)))</f>
        <v>#NAME?</v>
      </c>
      <c r="E2428" s="1" t="e">
        <f aca="false" t="array" ref="E2428:E2428">IF(ISBLANK(_xlfn.xlookup(E$3,daily_items,_xlfn.xlookup($C2428,daily_dates,big_daily_table))),NA(),_xlfn.xlookup(E$3,daily_items,_xlfn.xlookup($C2428,daily_dates,big_daily_table)))</f>
        <v>#NAME?</v>
      </c>
    </row>
    <row r="2429" customFormat="false" ht="14.25" hidden="false" customHeight="false" outlineLevel="0" collapsed="false">
      <c r="B2429" s="7" t="n">
        <v>43334</v>
      </c>
      <c r="C2429" s="7" t="n">
        <f aca="false">B2429-WEEKDAY(B2429)+1</f>
        <v>43331</v>
      </c>
      <c r="D2429" s="1" t="e">
        <f aca="false" t="array" ref="D2429:D2429">IF(ISBLANK(_xlfn.xlookup(D$3,daily_items,_xlfn.xlookup($C2429,daily_dates,big_daily_table))),NA(),_xlfn.xlookup(D$3,daily_items,_xlfn.xlookup($C2429,daily_dates,big_daily_table)))</f>
        <v>#NAME?</v>
      </c>
      <c r="E2429" s="1" t="e">
        <f aca="false" t="array" ref="E2429:E2429">IF(ISBLANK(_xlfn.xlookup(E$3,daily_items,_xlfn.xlookup($C2429,daily_dates,big_daily_table))),NA(),_xlfn.xlookup(E$3,daily_items,_xlfn.xlookup($C2429,daily_dates,big_daily_table)))</f>
        <v>#NAME?</v>
      </c>
    </row>
    <row r="2430" customFormat="false" ht="14.25" hidden="false" customHeight="false" outlineLevel="0" collapsed="false">
      <c r="B2430" s="7" t="n">
        <v>43335</v>
      </c>
      <c r="C2430" s="7" t="n">
        <f aca="false">B2430-WEEKDAY(B2430)+1</f>
        <v>43331</v>
      </c>
      <c r="D2430" s="1" t="e">
        <f aca="false" t="array" ref="D2430:D2430">IF(ISBLANK(_xlfn.xlookup(D$3,daily_items,_xlfn.xlookup($C2430,daily_dates,big_daily_table))),NA(),_xlfn.xlookup(D$3,daily_items,_xlfn.xlookup($C2430,daily_dates,big_daily_table)))</f>
        <v>#NAME?</v>
      </c>
      <c r="E2430" s="1" t="e">
        <f aca="false" t="array" ref="E2430:E2430">IF(ISBLANK(_xlfn.xlookup(E$3,daily_items,_xlfn.xlookup($C2430,daily_dates,big_daily_table))),NA(),_xlfn.xlookup(E$3,daily_items,_xlfn.xlookup($C2430,daily_dates,big_daily_table)))</f>
        <v>#NAME?</v>
      </c>
    </row>
    <row r="2431" customFormat="false" ht="14.25" hidden="false" customHeight="false" outlineLevel="0" collapsed="false">
      <c r="B2431" s="7" t="n">
        <v>43336</v>
      </c>
      <c r="C2431" s="7" t="n">
        <f aca="false">B2431-WEEKDAY(B2431)+1</f>
        <v>43331</v>
      </c>
      <c r="D2431" s="1" t="e">
        <f aca="false" t="array" ref="D2431:D2431">IF(ISBLANK(_xlfn.xlookup(D$3,daily_items,_xlfn.xlookup($C2431,daily_dates,big_daily_table))),NA(),_xlfn.xlookup(D$3,daily_items,_xlfn.xlookup($C2431,daily_dates,big_daily_table)))</f>
        <v>#NAME?</v>
      </c>
      <c r="E2431" s="1" t="e">
        <f aca="false" t="array" ref="E2431:E2431">IF(ISBLANK(_xlfn.xlookup(E$3,daily_items,_xlfn.xlookup($C2431,daily_dates,big_daily_table))),NA(),_xlfn.xlookup(E$3,daily_items,_xlfn.xlookup($C2431,daily_dates,big_daily_table)))</f>
        <v>#NAME?</v>
      </c>
    </row>
    <row r="2432" customFormat="false" ht="14.25" hidden="false" customHeight="false" outlineLevel="0" collapsed="false">
      <c r="B2432" s="7" t="n">
        <v>43337</v>
      </c>
      <c r="C2432" s="7" t="n">
        <f aca="false">B2432-WEEKDAY(B2432)+1</f>
        <v>43331</v>
      </c>
      <c r="D2432" s="1" t="e">
        <f aca="false" t="array" ref="D2432:D2432">IF(ISBLANK(_xlfn.xlookup(D$3,daily_items,_xlfn.xlookup($C2432,daily_dates,big_daily_table))),NA(),_xlfn.xlookup(D$3,daily_items,_xlfn.xlookup($C2432,daily_dates,big_daily_table)))</f>
        <v>#NAME?</v>
      </c>
      <c r="E2432" s="1" t="e">
        <f aca="false" t="array" ref="E2432:E2432">IF(ISBLANK(_xlfn.xlookup(E$3,daily_items,_xlfn.xlookup($C2432,daily_dates,big_daily_table))),NA(),_xlfn.xlookup(E$3,daily_items,_xlfn.xlookup($C2432,daily_dates,big_daily_table)))</f>
        <v>#NAME?</v>
      </c>
    </row>
    <row r="2433" customFormat="false" ht="14.25" hidden="false" customHeight="false" outlineLevel="0" collapsed="false">
      <c r="B2433" s="7" t="n">
        <v>43338</v>
      </c>
      <c r="C2433" s="7" t="n">
        <f aca="false">B2433-WEEKDAY(B2433)+1</f>
        <v>43338</v>
      </c>
      <c r="D2433" s="1" t="e">
        <f aca="false" t="array" ref="D2433:D2433">IF(ISBLANK(_xlfn.xlookup(D$3,daily_items,_xlfn.xlookup($C2433,daily_dates,big_daily_table))),NA(),_xlfn.xlookup(D$3,daily_items,_xlfn.xlookup($C2433,daily_dates,big_daily_table)))</f>
        <v>#NAME?</v>
      </c>
      <c r="E2433" s="1" t="e">
        <f aca="false" t="array" ref="E2433:E2433">IF(ISBLANK(_xlfn.xlookup(E$3,daily_items,_xlfn.xlookup($C2433,daily_dates,big_daily_table))),NA(),_xlfn.xlookup(E$3,daily_items,_xlfn.xlookup($C2433,daily_dates,big_daily_table)))</f>
        <v>#NAME?</v>
      </c>
    </row>
    <row r="2434" customFormat="false" ht="14.25" hidden="false" customHeight="false" outlineLevel="0" collapsed="false">
      <c r="B2434" s="7" t="n">
        <v>43339</v>
      </c>
      <c r="C2434" s="7" t="n">
        <f aca="false">B2434-WEEKDAY(B2434)+1</f>
        <v>43338</v>
      </c>
      <c r="D2434" s="1" t="e">
        <f aca="false" t="array" ref="D2434:D2434">IF(ISBLANK(_xlfn.xlookup(D$3,daily_items,_xlfn.xlookup($C2434,daily_dates,big_daily_table))),NA(),_xlfn.xlookup(D$3,daily_items,_xlfn.xlookup($C2434,daily_dates,big_daily_table)))</f>
        <v>#NAME?</v>
      </c>
      <c r="E2434" s="1" t="e">
        <f aca="false" t="array" ref="E2434:E2434">IF(ISBLANK(_xlfn.xlookup(E$3,daily_items,_xlfn.xlookup($C2434,daily_dates,big_daily_table))),NA(),_xlfn.xlookup(E$3,daily_items,_xlfn.xlookup($C2434,daily_dates,big_daily_table)))</f>
        <v>#NAME?</v>
      </c>
    </row>
    <row r="2435" customFormat="false" ht="14.25" hidden="false" customHeight="false" outlineLevel="0" collapsed="false">
      <c r="B2435" s="7" t="n">
        <v>43340</v>
      </c>
      <c r="C2435" s="7" t="n">
        <f aca="false">B2435-WEEKDAY(B2435)+1</f>
        <v>43338</v>
      </c>
      <c r="D2435" s="1" t="e">
        <f aca="false" t="array" ref="D2435:D2435">IF(ISBLANK(_xlfn.xlookup(D$3,daily_items,_xlfn.xlookup($C2435,daily_dates,big_daily_table))),NA(),_xlfn.xlookup(D$3,daily_items,_xlfn.xlookup($C2435,daily_dates,big_daily_table)))</f>
        <v>#NAME?</v>
      </c>
      <c r="E2435" s="1" t="e">
        <f aca="false" t="array" ref="E2435:E2435">IF(ISBLANK(_xlfn.xlookup(E$3,daily_items,_xlfn.xlookup($C2435,daily_dates,big_daily_table))),NA(),_xlfn.xlookup(E$3,daily_items,_xlfn.xlookup($C2435,daily_dates,big_daily_table)))</f>
        <v>#NAME?</v>
      </c>
    </row>
    <row r="2436" customFormat="false" ht="14.25" hidden="false" customHeight="false" outlineLevel="0" collapsed="false">
      <c r="B2436" s="7" t="n">
        <v>43341</v>
      </c>
      <c r="C2436" s="7" t="n">
        <f aca="false">B2436-WEEKDAY(B2436)+1</f>
        <v>43338</v>
      </c>
      <c r="D2436" s="1" t="e">
        <f aca="false" t="array" ref="D2436:D2436">IF(ISBLANK(_xlfn.xlookup(D$3,daily_items,_xlfn.xlookup($C2436,daily_dates,big_daily_table))),NA(),_xlfn.xlookup(D$3,daily_items,_xlfn.xlookup($C2436,daily_dates,big_daily_table)))</f>
        <v>#NAME?</v>
      </c>
      <c r="E2436" s="1" t="e">
        <f aca="false" t="array" ref="E2436:E2436">IF(ISBLANK(_xlfn.xlookup(E$3,daily_items,_xlfn.xlookup($C2436,daily_dates,big_daily_table))),NA(),_xlfn.xlookup(E$3,daily_items,_xlfn.xlookup($C2436,daily_dates,big_daily_table)))</f>
        <v>#NAME?</v>
      </c>
    </row>
    <row r="2437" customFormat="false" ht="14.25" hidden="false" customHeight="false" outlineLevel="0" collapsed="false">
      <c r="B2437" s="7" t="n">
        <v>43342</v>
      </c>
      <c r="C2437" s="7" t="n">
        <f aca="false">B2437-WEEKDAY(B2437)+1</f>
        <v>43338</v>
      </c>
      <c r="D2437" s="1" t="e">
        <f aca="false" t="array" ref="D2437:D2437">IF(ISBLANK(_xlfn.xlookup(D$3,daily_items,_xlfn.xlookup($C2437,daily_dates,big_daily_table))),NA(),_xlfn.xlookup(D$3,daily_items,_xlfn.xlookup($C2437,daily_dates,big_daily_table)))</f>
        <v>#NAME?</v>
      </c>
      <c r="E2437" s="1" t="e">
        <f aca="false" t="array" ref="E2437:E2437">IF(ISBLANK(_xlfn.xlookup(E$3,daily_items,_xlfn.xlookup($C2437,daily_dates,big_daily_table))),NA(),_xlfn.xlookup(E$3,daily_items,_xlfn.xlookup($C2437,daily_dates,big_daily_table)))</f>
        <v>#NAME?</v>
      </c>
    </row>
    <row r="2438" customFormat="false" ht="14.25" hidden="false" customHeight="false" outlineLevel="0" collapsed="false">
      <c r="B2438" s="7" t="n">
        <v>43343</v>
      </c>
      <c r="C2438" s="7" t="n">
        <f aca="false">B2438-WEEKDAY(B2438)+1</f>
        <v>43338</v>
      </c>
      <c r="D2438" s="1" t="e">
        <f aca="false" t="array" ref="D2438:D2438">IF(ISBLANK(_xlfn.xlookup(D$3,daily_items,_xlfn.xlookup($C2438,daily_dates,big_daily_table))),NA(),_xlfn.xlookup(D$3,daily_items,_xlfn.xlookup($C2438,daily_dates,big_daily_table)))</f>
        <v>#NAME?</v>
      </c>
      <c r="E2438" s="1" t="e">
        <f aca="false" t="array" ref="E2438:E2438">IF(ISBLANK(_xlfn.xlookup(E$3,daily_items,_xlfn.xlookup($C2438,daily_dates,big_daily_table))),NA(),_xlfn.xlookup(E$3,daily_items,_xlfn.xlookup($C2438,daily_dates,big_daily_table)))</f>
        <v>#NAME?</v>
      </c>
    </row>
    <row r="2439" customFormat="false" ht="14.25" hidden="false" customHeight="false" outlineLevel="0" collapsed="false">
      <c r="B2439" s="7" t="n">
        <v>43344</v>
      </c>
      <c r="C2439" s="7" t="n">
        <f aca="false">B2439-WEEKDAY(B2439)+1</f>
        <v>43338</v>
      </c>
      <c r="D2439" s="1" t="e">
        <f aca="false" t="array" ref="D2439:D2439">IF(ISBLANK(_xlfn.xlookup(D$3,daily_items,_xlfn.xlookup($C2439,daily_dates,big_daily_table))),NA(),_xlfn.xlookup(D$3,daily_items,_xlfn.xlookup($C2439,daily_dates,big_daily_table)))</f>
        <v>#NAME?</v>
      </c>
      <c r="E2439" s="1" t="e">
        <f aca="false" t="array" ref="E2439:E2439">IF(ISBLANK(_xlfn.xlookup(E$3,daily_items,_xlfn.xlookup($C2439,daily_dates,big_daily_table))),NA(),_xlfn.xlookup(E$3,daily_items,_xlfn.xlookup($C2439,daily_dates,big_daily_table)))</f>
        <v>#NAME?</v>
      </c>
    </row>
    <row r="2440" customFormat="false" ht="14.25" hidden="false" customHeight="false" outlineLevel="0" collapsed="false">
      <c r="B2440" s="7" t="n">
        <v>43345</v>
      </c>
      <c r="C2440" s="7" t="n">
        <f aca="false">B2440-WEEKDAY(B2440)+1</f>
        <v>43345</v>
      </c>
      <c r="D2440" s="1" t="e">
        <f aca="false" t="array" ref="D2440:D2440">IF(ISBLANK(_xlfn.xlookup(D$3,daily_items,_xlfn.xlookup($C2440,daily_dates,big_daily_table))),NA(),_xlfn.xlookup(D$3,daily_items,_xlfn.xlookup($C2440,daily_dates,big_daily_table)))</f>
        <v>#NAME?</v>
      </c>
      <c r="E2440" s="1" t="e">
        <f aca="false" t="array" ref="E2440:E2440">IF(ISBLANK(_xlfn.xlookup(E$3,daily_items,_xlfn.xlookup($C2440,daily_dates,big_daily_table))),NA(),_xlfn.xlookup(E$3,daily_items,_xlfn.xlookup($C2440,daily_dates,big_daily_table)))</f>
        <v>#NAME?</v>
      </c>
    </row>
    <row r="2441" customFormat="false" ht="14.25" hidden="false" customHeight="false" outlineLevel="0" collapsed="false">
      <c r="B2441" s="7" t="n">
        <v>43346</v>
      </c>
      <c r="C2441" s="7" t="n">
        <f aca="false">B2441-WEEKDAY(B2441)+1</f>
        <v>43345</v>
      </c>
      <c r="D2441" s="1" t="e">
        <f aca="false" t="array" ref="D2441:D2441">IF(ISBLANK(_xlfn.xlookup(D$3,daily_items,_xlfn.xlookup($C2441,daily_dates,big_daily_table))),NA(),_xlfn.xlookup(D$3,daily_items,_xlfn.xlookup($C2441,daily_dates,big_daily_table)))</f>
        <v>#NAME?</v>
      </c>
      <c r="E2441" s="1" t="e">
        <f aca="false" t="array" ref="E2441:E2441">IF(ISBLANK(_xlfn.xlookup(E$3,daily_items,_xlfn.xlookup($C2441,daily_dates,big_daily_table))),NA(),_xlfn.xlookup(E$3,daily_items,_xlfn.xlookup($C2441,daily_dates,big_daily_table)))</f>
        <v>#NAME?</v>
      </c>
    </row>
    <row r="2442" customFormat="false" ht="14.25" hidden="false" customHeight="false" outlineLevel="0" collapsed="false">
      <c r="B2442" s="7" t="n">
        <v>43347</v>
      </c>
      <c r="C2442" s="7" t="n">
        <f aca="false">B2442-WEEKDAY(B2442)+1</f>
        <v>43345</v>
      </c>
      <c r="D2442" s="1" t="e">
        <f aca="false" t="array" ref="D2442:D2442">IF(ISBLANK(_xlfn.xlookup(D$3,daily_items,_xlfn.xlookup($C2442,daily_dates,big_daily_table))),NA(),_xlfn.xlookup(D$3,daily_items,_xlfn.xlookup($C2442,daily_dates,big_daily_table)))</f>
        <v>#NAME?</v>
      </c>
      <c r="E2442" s="1" t="e">
        <f aca="false" t="array" ref="E2442:E2442">IF(ISBLANK(_xlfn.xlookup(E$3,daily_items,_xlfn.xlookup($C2442,daily_dates,big_daily_table))),NA(),_xlfn.xlookup(E$3,daily_items,_xlfn.xlookup($C2442,daily_dates,big_daily_table)))</f>
        <v>#NAME?</v>
      </c>
    </row>
    <row r="2443" customFormat="false" ht="14.25" hidden="false" customHeight="false" outlineLevel="0" collapsed="false">
      <c r="B2443" s="7" t="n">
        <v>43348</v>
      </c>
      <c r="C2443" s="7" t="n">
        <f aca="false">B2443-WEEKDAY(B2443)+1</f>
        <v>43345</v>
      </c>
      <c r="D2443" s="1" t="e">
        <f aca="false" t="array" ref="D2443:D2443">IF(ISBLANK(_xlfn.xlookup(D$3,daily_items,_xlfn.xlookup($C2443,daily_dates,big_daily_table))),NA(),_xlfn.xlookup(D$3,daily_items,_xlfn.xlookup($C2443,daily_dates,big_daily_table)))</f>
        <v>#NAME?</v>
      </c>
      <c r="E2443" s="1" t="e">
        <f aca="false" t="array" ref="E2443:E2443">IF(ISBLANK(_xlfn.xlookup(E$3,daily_items,_xlfn.xlookup($C2443,daily_dates,big_daily_table))),NA(),_xlfn.xlookup(E$3,daily_items,_xlfn.xlookup($C2443,daily_dates,big_daily_table)))</f>
        <v>#NAME?</v>
      </c>
    </row>
    <row r="2444" customFormat="false" ht="14.25" hidden="false" customHeight="false" outlineLevel="0" collapsed="false">
      <c r="B2444" s="7" t="n">
        <v>43349</v>
      </c>
      <c r="C2444" s="7" t="n">
        <f aca="false">B2444-WEEKDAY(B2444)+1</f>
        <v>43345</v>
      </c>
      <c r="D2444" s="1" t="e">
        <f aca="false" t="array" ref="D2444:D2444">IF(ISBLANK(_xlfn.xlookup(D$3,daily_items,_xlfn.xlookup($C2444,daily_dates,big_daily_table))),NA(),_xlfn.xlookup(D$3,daily_items,_xlfn.xlookup($C2444,daily_dates,big_daily_table)))</f>
        <v>#NAME?</v>
      </c>
      <c r="E2444" s="1" t="e">
        <f aca="false" t="array" ref="E2444:E2444">IF(ISBLANK(_xlfn.xlookup(E$3,daily_items,_xlfn.xlookup($C2444,daily_dates,big_daily_table))),NA(),_xlfn.xlookup(E$3,daily_items,_xlfn.xlookup($C2444,daily_dates,big_daily_table)))</f>
        <v>#NAME?</v>
      </c>
    </row>
    <row r="2445" customFormat="false" ht="14.25" hidden="false" customHeight="false" outlineLevel="0" collapsed="false">
      <c r="B2445" s="7" t="n">
        <v>43350</v>
      </c>
      <c r="C2445" s="7" t="n">
        <f aca="false">B2445-WEEKDAY(B2445)+1</f>
        <v>43345</v>
      </c>
      <c r="D2445" s="1" t="e">
        <f aca="false" t="array" ref="D2445:D2445">IF(ISBLANK(_xlfn.xlookup(D$3,daily_items,_xlfn.xlookup($C2445,daily_dates,big_daily_table))),NA(),_xlfn.xlookup(D$3,daily_items,_xlfn.xlookup($C2445,daily_dates,big_daily_table)))</f>
        <v>#NAME?</v>
      </c>
      <c r="E2445" s="1" t="e">
        <f aca="false" t="array" ref="E2445:E2445">IF(ISBLANK(_xlfn.xlookup(E$3,daily_items,_xlfn.xlookup($C2445,daily_dates,big_daily_table))),NA(),_xlfn.xlookup(E$3,daily_items,_xlfn.xlookup($C2445,daily_dates,big_daily_table)))</f>
        <v>#NAME?</v>
      </c>
    </row>
    <row r="2446" customFormat="false" ht="14.25" hidden="false" customHeight="false" outlineLevel="0" collapsed="false">
      <c r="B2446" s="7" t="n">
        <v>43351</v>
      </c>
      <c r="C2446" s="7" t="n">
        <f aca="false">B2446-WEEKDAY(B2446)+1</f>
        <v>43345</v>
      </c>
      <c r="D2446" s="1" t="e">
        <f aca="false" t="array" ref="D2446:D2446">IF(ISBLANK(_xlfn.xlookup(D$3,daily_items,_xlfn.xlookup($C2446,daily_dates,big_daily_table))),NA(),_xlfn.xlookup(D$3,daily_items,_xlfn.xlookup($C2446,daily_dates,big_daily_table)))</f>
        <v>#NAME?</v>
      </c>
      <c r="E2446" s="1" t="e">
        <f aca="false" t="array" ref="E2446:E2446">IF(ISBLANK(_xlfn.xlookup(E$3,daily_items,_xlfn.xlookup($C2446,daily_dates,big_daily_table))),NA(),_xlfn.xlookup(E$3,daily_items,_xlfn.xlookup($C2446,daily_dates,big_daily_table)))</f>
        <v>#NAME?</v>
      </c>
    </row>
    <row r="2447" customFormat="false" ht="14.25" hidden="false" customHeight="false" outlineLevel="0" collapsed="false">
      <c r="B2447" s="7" t="n">
        <v>43352</v>
      </c>
      <c r="C2447" s="7" t="n">
        <f aca="false">B2447-WEEKDAY(B2447)+1</f>
        <v>43352</v>
      </c>
      <c r="D2447" s="1" t="e">
        <f aca="false" t="array" ref="D2447:D2447">IF(ISBLANK(_xlfn.xlookup(D$3,daily_items,_xlfn.xlookup($C2447,daily_dates,big_daily_table))),NA(),_xlfn.xlookup(D$3,daily_items,_xlfn.xlookup($C2447,daily_dates,big_daily_table)))</f>
        <v>#NAME?</v>
      </c>
      <c r="E2447" s="1" t="e">
        <f aca="false" t="array" ref="E2447:E2447">IF(ISBLANK(_xlfn.xlookup(E$3,daily_items,_xlfn.xlookup($C2447,daily_dates,big_daily_table))),NA(),_xlfn.xlookup(E$3,daily_items,_xlfn.xlookup($C2447,daily_dates,big_daily_table)))</f>
        <v>#NAME?</v>
      </c>
    </row>
    <row r="2448" customFormat="false" ht="14.25" hidden="false" customHeight="false" outlineLevel="0" collapsed="false">
      <c r="B2448" s="7" t="n">
        <v>43353</v>
      </c>
      <c r="C2448" s="7" t="n">
        <f aca="false">B2448-WEEKDAY(B2448)+1</f>
        <v>43352</v>
      </c>
      <c r="D2448" s="1" t="e">
        <f aca="false" t="array" ref="D2448:D2448">IF(ISBLANK(_xlfn.xlookup(D$3,daily_items,_xlfn.xlookup($C2448,daily_dates,big_daily_table))),NA(),_xlfn.xlookup(D$3,daily_items,_xlfn.xlookup($C2448,daily_dates,big_daily_table)))</f>
        <v>#NAME?</v>
      </c>
      <c r="E2448" s="1" t="e">
        <f aca="false" t="array" ref="E2448:E2448">IF(ISBLANK(_xlfn.xlookup(E$3,daily_items,_xlfn.xlookup($C2448,daily_dates,big_daily_table))),NA(),_xlfn.xlookup(E$3,daily_items,_xlfn.xlookup($C2448,daily_dates,big_daily_table)))</f>
        <v>#NAME?</v>
      </c>
    </row>
    <row r="2449" customFormat="false" ht="14.25" hidden="false" customHeight="false" outlineLevel="0" collapsed="false">
      <c r="B2449" s="7" t="n">
        <v>43354</v>
      </c>
      <c r="C2449" s="7" t="n">
        <f aca="false">B2449-WEEKDAY(B2449)+1</f>
        <v>43352</v>
      </c>
      <c r="D2449" s="1" t="e">
        <f aca="false" t="array" ref="D2449:D2449">IF(ISBLANK(_xlfn.xlookup(D$3,daily_items,_xlfn.xlookup($C2449,daily_dates,big_daily_table))),NA(),_xlfn.xlookup(D$3,daily_items,_xlfn.xlookup($C2449,daily_dates,big_daily_table)))</f>
        <v>#NAME?</v>
      </c>
      <c r="E2449" s="1" t="e">
        <f aca="false" t="array" ref="E2449:E2449">IF(ISBLANK(_xlfn.xlookup(E$3,daily_items,_xlfn.xlookup($C2449,daily_dates,big_daily_table))),NA(),_xlfn.xlookup(E$3,daily_items,_xlfn.xlookup($C2449,daily_dates,big_daily_table)))</f>
        <v>#NAME?</v>
      </c>
    </row>
    <row r="2450" customFormat="false" ht="14.25" hidden="false" customHeight="false" outlineLevel="0" collapsed="false">
      <c r="B2450" s="7" t="n">
        <v>43355</v>
      </c>
      <c r="C2450" s="7" t="n">
        <f aca="false">B2450-WEEKDAY(B2450)+1</f>
        <v>43352</v>
      </c>
      <c r="D2450" s="1" t="e">
        <f aca="false" t="array" ref="D2450:D2450">IF(ISBLANK(_xlfn.xlookup(D$3,daily_items,_xlfn.xlookup($C2450,daily_dates,big_daily_table))),NA(),_xlfn.xlookup(D$3,daily_items,_xlfn.xlookup($C2450,daily_dates,big_daily_table)))</f>
        <v>#NAME?</v>
      </c>
      <c r="E2450" s="1" t="e">
        <f aca="false" t="array" ref="E2450:E2450">IF(ISBLANK(_xlfn.xlookup(E$3,daily_items,_xlfn.xlookup($C2450,daily_dates,big_daily_table))),NA(),_xlfn.xlookup(E$3,daily_items,_xlfn.xlookup($C2450,daily_dates,big_daily_table)))</f>
        <v>#NAME?</v>
      </c>
    </row>
    <row r="2451" customFormat="false" ht="14.25" hidden="false" customHeight="false" outlineLevel="0" collapsed="false">
      <c r="B2451" s="7" t="n">
        <v>43356</v>
      </c>
      <c r="C2451" s="7" t="n">
        <f aca="false">B2451-WEEKDAY(B2451)+1</f>
        <v>43352</v>
      </c>
      <c r="D2451" s="1" t="e">
        <f aca="false" t="array" ref="D2451:D2451">IF(ISBLANK(_xlfn.xlookup(D$3,daily_items,_xlfn.xlookup($C2451,daily_dates,big_daily_table))),NA(),_xlfn.xlookup(D$3,daily_items,_xlfn.xlookup($C2451,daily_dates,big_daily_table)))</f>
        <v>#NAME?</v>
      </c>
      <c r="E2451" s="1" t="e">
        <f aca="false" t="array" ref="E2451:E2451">IF(ISBLANK(_xlfn.xlookup(E$3,daily_items,_xlfn.xlookup($C2451,daily_dates,big_daily_table))),NA(),_xlfn.xlookup(E$3,daily_items,_xlfn.xlookup($C2451,daily_dates,big_daily_table)))</f>
        <v>#NAME?</v>
      </c>
    </row>
    <row r="2452" customFormat="false" ht="14.25" hidden="false" customHeight="false" outlineLevel="0" collapsed="false">
      <c r="B2452" s="7" t="n">
        <v>43357</v>
      </c>
      <c r="C2452" s="7" t="n">
        <f aca="false">B2452-WEEKDAY(B2452)+1</f>
        <v>43352</v>
      </c>
      <c r="D2452" s="1" t="e">
        <f aca="false" t="array" ref="D2452:D2452">IF(ISBLANK(_xlfn.xlookup(D$3,daily_items,_xlfn.xlookup($C2452,daily_dates,big_daily_table))),NA(),_xlfn.xlookup(D$3,daily_items,_xlfn.xlookup($C2452,daily_dates,big_daily_table)))</f>
        <v>#NAME?</v>
      </c>
      <c r="E2452" s="1" t="e">
        <f aca="false" t="array" ref="E2452:E2452">IF(ISBLANK(_xlfn.xlookup(E$3,daily_items,_xlfn.xlookup($C2452,daily_dates,big_daily_table))),NA(),_xlfn.xlookup(E$3,daily_items,_xlfn.xlookup($C2452,daily_dates,big_daily_table)))</f>
        <v>#NAME?</v>
      </c>
    </row>
    <row r="2453" customFormat="false" ht="14.25" hidden="false" customHeight="false" outlineLevel="0" collapsed="false">
      <c r="B2453" s="7" t="n">
        <v>43358</v>
      </c>
      <c r="C2453" s="7" t="n">
        <f aca="false">B2453-WEEKDAY(B2453)+1</f>
        <v>43352</v>
      </c>
      <c r="D2453" s="1" t="e">
        <f aca="false" t="array" ref="D2453:D2453">IF(ISBLANK(_xlfn.xlookup(D$3,daily_items,_xlfn.xlookup($C2453,daily_dates,big_daily_table))),NA(),_xlfn.xlookup(D$3,daily_items,_xlfn.xlookup($C2453,daily_dates,big_daily_table)))</f>
        <v>#NAME?</v>
      </c>
      <c r="E2453" s="1" t="e">
        <f aca="false" t="array" ref="E2453:E2453">IF(ISBLANK(_xlfn.xlookup(E$3,daily_items,_xlfn.xlookup($C2453,daily_dates,big_daily_table))),NA(),_xlfn.xlookup(E$3,daily_items,_xlfn.xlookup($C2453,daily_dates,big_daily_table)))</f>
        <v>#NAME?</v>
      </c>
    </row>
    <row r="2454" customFormat="false" ht="14.25" hidden="false" customHeight="false" outlineLevel="0" collapsed="false">
      <c r="B2454" s="7" t="n">
        <v>43359</v>
      </c>
      <c r="C2454" s="7" t="n">
        <f aca="false">B2454-WEEKDAY(B2454)+1</f>
        <v>43359</v>
      </c>
      <c r="D2454" s="1" t="e">
        <f aca="false" t="array" ref="D2454:D2454">IF(ISBLANK(_xlfn.xlookup(D$3,daily_items,_xlfn.xlookup($C2454,daily_dates,big_daily_table))),NA(),_xlfn.xlookup(D$3,daily_items,_xlfn.xlookup($C2454,daily_dates,big_daily_table)))</f>
        <v>#NAME?</v>
      </c>
      <c r="E2454" s="1" t="e">
        <f aca="false" t="array" ref="E2454:E2454">IF(ISBLANK(_xlfn.xlookup(E$3,daily_items,_xlfn.xlookup($C2454,daily_dates,big_daily_table))),NA(),_xlfn.xlookup(E$3,daily_items,_xlfn.xlookup($C2454,daily_dates,big_daily_table)))</f>
        <v>#NAME?</v>
      </c>
    </row>
    <row r="2455" customFormat="false" ht="14.25" hidden="false" customHeight="false" outlineLevel="0" collapsed="false">
      <c r="B2455" s="7" t="n">
        <v>43360</v>
      </c>
      <c r="C2455" s="7" t="n">
        <f aca="false">B2455-WEEKDAY(B2455)+1</f>
        <v>43359</v>
      </c>
      <c r="D2455" s="1" t="e">
        <f aca="false" t="array" ref="D2455:D2455">IF(ISBLANK(_xlfn.xlookup(D$3,daily_items,_xlfn.xlookup($C2455,daily_dates,big_daily_table))),NA(),_xlfn.xlookup(D$3,daily_items,_xlfn.xlookup($C2455,daily_dates,big_daily_table)))</f>
        <v>#NAME?</v>
      </c>
      <c r="E2455" s="1" t="e">
        <f aca="false" t="array" ref="E2455:E2455">IF(ISBLANK(_xlfn.xlookup(E$3,daily_items,_xlfn.xlookup($C2455,daily_dates,big_daily_table))),NA(),_xlfn.xlookup(E$3,daily_items,_xlfn.xlookup($C2455,daily_dates,big_daily_table)))</f>
        <v>#NAME?</v>
      </c>
    </row>
    <row r="2456" customFormat="false" ht="14.25" hidden="false" customHeight="false" outlineLevel="0" collapsed="false">
      <c r="B2456" s="7" t="n">
        <v>43361</v>
      </c>
      <c r="C2456" s="7" t="n">
        <f aca="false">B2456-WEEKDAY(B2456)+1</f>
        <v>43359</v>
      </c>
      <c r="D2456" s="1" t="e">
        <f aca="false" t="array" ref="D2456:D2456">IF(ISBLANK(_xlfn.xlookup(D$3,daily_items,_xlfn.xlookup($C2456,daily_dates,big_daily_table))),NA(),_xlfn.xlookup(D$3,daily_items,_xlfn.xlookup($C2456,daily_dates,big_daily_table)))</f>
        <v>#NAME?</v>
      </c>
      <c r="E2456" s="1" t="e">
        <f aca="false" t="array" ref="E2456:E2456">IF(ISBLANK(_xlfn.xlookup(E$3,daily_items,_xlfn.xlookup($C2456,daily_dates,big_daily_table))),NA(),_xlfn.xlookup(E$3,daily_items,_xlfn.xlookup($C2456,daily_dates,big_daily_table)))</f>
        <v>#NAME?</v>
      </c>
    </row>
    <row r="2457" customFormat="false" ht="14.25" hidden="false" customHeight="false" outlineLevel="0" collapsed="false">
      <c r="B2457" s="7" t="n">
        <v>43362</v>
      </c>
      <c r="C2457" s="7" t="n">
        <f aca="false">B2457-WEEKDAY(B2457)+1</f>
        <v>43359</v>
      </c>
      <c r="D2457" s="1" t="e">
        <f aca="false" t="array" ref="D2457:D2457">IF(ISBLANK(_xlfn.xlookup(D$3,daily_items,_xlfn.xlookup($C2457,daily_dates,big_daily_table))),NA(),_xlfn.xlookup(D$3,daily_items,_xlfn.xlookup($C2457,daily_dates,big_daily_table)))</f>
        <v>#NAME?</v>
      </c>
      <c r="E2457" s="1" t="e">
        <f aca="false" t="array" ref="E2457:E2457">IF(ISBLANK(_xlfn.xlookup(E$3,daily_items,_xlfn.xlookup($C2457,daily_dates,big_daily_table))),NA(),_xlfn.xlookup(E$3,daily_items,_xlfn.xlookup($C2457,daily_dates,big_daily_table)))</f>
        <v>#NAME?</v>
      </c>
    </row>
    <row r="2458" customFormat="false" ht="14.25" hidden="false" customHeight="false" outlineLevel="0" collapsed="false">
      <c r="B2458" s="7" t="n">
        <v>43363</v>
      </c>
      <c r="C2458" s="7" t="n">
        <f aca="false">B2458-WEEKDAY(B2458)+1</f>
        <v>43359</v>
      </c>
      <c r="D2458" s="1" t="e">
        <f aca="false" t="array" ref="D2458:D2458">IF(ISBLANK(_xlfn.xlookup(D$3,daily_items,_xlfn.xlookup($C2458,daily_dates,big_daily_table))),NA(),_xlfn.xlookup(D$3,daily_items,_xlfn.xlookup($C2458,daily_dates,big_daily_table)))</f>
        <v>#NAME?</v>
      </c>
      <c r="E2458" s="1" t="e">
        <f aca="false" t="array" ref="E2458:E2458">IF(ISBLANK(_xlfn.xlookup(E$3,daily_items,_xlfn.xlookup($C2458,daily_dates,big_daily_table))),NA(),_xlfn.xlookup(E$3,daily_items,_xlfn.xlookup($C2458,daily_dates,big_daily_table)))</f>
        <v>#NAME?</v>
      </c>
    </row>
    <row r="2459" customFormat="false" ht="14.25" hidden="false" customHeight="false" outlineLevel="0" collapsed="false">
      <c r="B2459" s="7" t="n">
        <v>43364</v>
      </c>
      <c r="C2459" s="7" t="n">
        <f aca="false">B2459-WEEKDAY(B2459)+1</f>
        <v>43359</v>
      </c>
      <c r="D2459" s="1" t="e">
        <f aca="false" t="array" ref="D2459:D2459">IF(ISBLANK(_xlfn.xlookup(D$3,daily_items,_xlfn.xlookup($C2459,daily_dates,big_daily_table))),NA(),_xlfn.xlookup(D$3,daily_items,_xlfn.xlookup($C2459,daily_dates,big_daily_table)))</f>
        <v>#NAME?</v>
      </c>
      <c r="E2459" s="1" t="e">
        <f aca="false" t="array" ref="E2459:E2459">IF(ISBLANK(_xlfn.xlookup(E$3,daily_items,_xlfn.xlookup($C2459,daily_dates,big_daily_table))),NA(),_xlfn.xlookup(E$3,daily_items,_xlfn.xlookup($C2459,daily_dates,big_daily_table)))</f>
        <v>#NAME?</v>
      </c>
    </row>
    <row r="2460" customFormat="false" ht="14.25" hidden="false" customHeight="false" outlineLevel="0" collapsed="false">
      <c r="B2460" s="7" t="n">
        <v>43365</v>
      </c>
      <c r="C2460" s="7" t="n">
        <f aca="false">B2460-WEEKDAY(B2460)+1</f>
        <v>43359</v>
      </c>
      <c r="D2460" s="1" t="e">
        <f aca="false" t="array" ref="D2460:D2460">IF(ISBLANK(_xlfn.xlookup(D$3,daily_items,_xlfn.xlookup($C2460,daily_dates,big_daily_table))),NA(),_xlfn.xlookup(D$3,daily_items,_xlfn.xlookup($C2460,daily_dates,big_daily_table)))</f>
        <v>#NAME?</v>
      </c>
      <c r="E2460" s="1" t="e">
        <f aca="false" t="array" ref="E2460:E2460">IF(ISBLANK(_xlfn.xlookup(E$3,daily_items,_xlfn.xlookup($C2460,daily_dates,big_daily_table))),NA(),_xlfn.xlookup(E$3,daily_items,_xlfn.xlookup($C2460,daily_dates,big_daily_table)))</f>
        <v>#NAME?</v>
      </c>
    </row>
    <row r="2461" customFormat="false" ht="14.25" hidden="false" customHeight="false" outlineLevel="0" collapsed="false">
      <c r="B2461" s="7" t="n">
        <v>43366</v>
      </c>
      <c r="C2461" s="7" t="n">
        <f aca="false">B2461-WEEKDAY(B2461)+1</f>
        <v>43366</v>
      </c>
      <c r="D2461" s="1" t="e">
        <f aca="false" t="array" ref="D2461:D2461">IF(ISBLANK(_xlfn.xlookup(D$3,daily_items,_xlfn.xlookup($C2461,daily_dates,big_daily_table))),NA(),_xlfn.xlookup(D$3,daily_items,_xlfn.xlookup($C2461,daily_dates,big_daily_table)))</f>
        <v>#NAME?</v>
      </c>
      <c r="E2461" s="1" t="e">
        <f aca="false" t="array" ref="E2461:E2461">IF(ISBLANK(_xlfn.xlookup(E$3,daily_items,_xlfn.xlookup($C2461,daily_dates,big_daily_table))),NA(),_xlfn.xlookup(E$3,daily_items,_xlfn.xlookup($C2461,daily_dates,big_daily_table)))</f>
        <v>#NAME?</v>
      </c>
    </row>
    <row r="2462" customFormat="false" ht="14.25" hidden="false" customHeight="false" outlineLevel="0" collapsed="false">
      <c r="B2462" s="7" t="n">
        <v>43367</v>
      </c>
      <c r="C2462" s="7" t="n">
        <f aca="false">B2462-WEEKDAY(B2462)+1</f>
        <v>43366</v>
      </c>
      <c r="D2462" s="1" t="e">
        <f aca="false" t="array" ref="D2462:D2462">IF(ISBLANK(_xlfn.xlookup(D$3,daily_items,_xlfn.xlookup($C2462,daily_dates,big_daily_table))),NA(),_xlfn.xlookup(D$3,daily_items,_xlfn.xlookup($C2462,daily_dates,big_daily_table)))</f>
        <v>#NAME?</v>
      </c>
      <c r="E2462" s="1" t="e">
        <f aca="false" t="array" ref="E2462:E2462">IF(ISBLANK(_xlfn.xlookup(E$3,daily_items,_xlfn.xlookup($C2462,daily_dates,big_daily_table))),NA(),_xlfn.xlookup(E$3,daily_items,_xlfn.xlookup($C2462,daily_dates,big_daily_table)))</f>
        <v>#NAME?</v>
      </c>
    </row>
    <row r="2463" customFormat="false" ht="14.25" hidden="false" customHeight="false" outlineLevel="0" collapsed="false">
      <c r="B2463" s="7" t="n">
        <v>43368</v>
      </c>
      <c r="C2463" s="7" t="n">
        <f aca="false">B2463-WEEKDAY(B2463)+1</f>
        <v>43366</v>
      </c>
      <c r="D2463" s="1" t="e">
        <f aca="false" t="array" ref="D2463:D2463">IF(ISBLANK(_xlfn.xlookup(D$3,daily_items,_xlfn.xlookup($C2463,daily_dates,big_daily_table))),NA(),_xlfn.xlookup(D$3,daily_items,_xlfn.xlookup($C2463,daily_dates,big_daily_table)))</f>
        <v>#NAME?</v>
      </c>
      <c r="E2463" s="1" t="e">
        <f aca="false" t="array" ref="E2463:E2463">IF(ISBLANK(_xlfn.xlookup(E$3,daily_items,_xlfn.xlookup($C2463,daily_dates,big_daily_table))),NA(),_xlfn.xlookup(E$3,daily_items,_xlfn.xlookup($C2463,daily_dates,big_daily_table)))</f>
        <v>#NAME?</v>
      </c>
    </row>
    <row r="2464" customFormat="false" ht="14.25" hidden="false" customHeight="false" outlineLevel="0" collapsed="false">
      <c r="B2464" s="7" t="n">
        <v>43369</v>
      </c>
      <c r="C2464" s="7" t="n">
        <f aca="false">B2464-WEEKDAY(B2464)+1</f>
        <v>43366</v>
      </c>
      <c r="D2464" s="1" t="e">
        <f aca="false" t="array" ref="D2464:D2464">IF(ISBLANK(_xlfn.xlookup(D$3,daily_items,_xlfn.xlookup($C2464,daily_dates,big_daily_table))),NA(),_xlfn.xlookup(D$3,daily_items,_xlfn.xlookup($C2464,daily_dates,big_daily_table)))</f>
        <v>#NAME?</v>
      </c>
      <c r="E2464" s="1" t="e">
        <f aca="false" t="array" ref="E2464:E2464">IF(ISBLANK(_xlfn.xlookup(E$3,daily_items,_xlfn.xlookup($C2464,daily_dates,big_daily_table))),NA(),_xlfn.xlookup(E$3,daily_items,_xlfn.xlookup($C2464,daily_dates,big_daily_table)))</f>
        <v>#NAME?</v>
      </c>
    </row>
    <row r="2465" customFormat="false" ht="14.25" hidden="false" customHeight="false" outlineLevel="0" collapsed="false">
      <c r="B2465" s="7" t="n">
        <v>43370</v>
      </c>
      <c r="C2465" s="7" t="n">
        <f aca="false">B2465-WEEKDAY(B2465)+1</f>
        <v>43366</v>
      </c>
      <c r="D2465" s="1" t="e">
        <f aca="false" t="array" ref="D2465:D2465">IF(ISBLANK(_xlfn.xlookup(D$3,daily_items,_xlfn.xlookup($C2465,daily_dates,big_daily_table))),NA(),_xlfn.xlookup(D$3,daily_items,_xlfn.xlookup($C2465,daily_dates,big_daily_table)))</f>
        <v>#NAME?</v>
      </c>
      <c r="E2465" s="1" t="e">
        <f aca="false" t="array" ref="E2465:E2465">IF(ISBLANK(_xlfn.xlookup(E$3,daily_items,_xlfn.xlookup($C2465,daily_dates,big_daily_table))),NA(),_xlfn.xlookup(E$3,daily_items,_xlfn.xlookup($C2465,daily_dates,big_daily_table)))</f>
        <v>#NAME?</v>
      </c>
    </row>
    <row r="2466" customFormat="false" ht="14.25" hidden="false" customHeight="false" outlineLevel="0" collapsed="false">
      <c r="B2466" s="7" t="n">
        <v>43371</v>
      </c>
      <c r="C2466" s="7" t="n">
        <f aca="false">B2466-WEEKDAY(B2466)+1</f>
        <v>43366</v>
      </c>
      <c r="D2466" s="1" t="e">
        <f aca="false" t="array" ref="D2466:D2466">IF(ISBLANK(_xlfn.xlookup(D$3,daily_items,_xlfn.xlookup($C2466,daily_dates,big_daily_table))),NA(),_xlfn.xlookup(D$3,daily_items,_xlfn.xlookup($C2466,daily_dates,big_daily_table)))</f>
        <v>#NAME?</v>
      </c>
      <c r="E2466" s="1" t="e">
        <f aca="false" t="array" ref="E2466:E2466">IF(ISBLANK(_xlfn.xlookup(E$3,daily_items,_xlfn.xlookup($C2466,daily_dates,big_daily_table))),NA(),_xlfn.xlookup(E$3,daily_items,_xlfn.xlookup($C2466,daily_dates,big_daily_table)))</f>
        <v>#NAME?</v>
      </c>
    </row>
    <row r="2467" customFormat="false" ht="14.25" hidden="false" customHeight="false" outlineLevel="0" collapsed="false">
      <c r="B2467" s="7" t="n">
        <v>43372</v>
      </c>
      <c r="C2467" s="7" t="n">
        <f aca="false">B2467-WEEKDAY(B2467)+1</f>
        <v>43366</v>
      </c>
      <c r="D2467" s="1" t="e">
        <f aca="false" t="array" ref="D2467:D2467">IF(ISBLANK(_xlfn.xlookup(D$3,daily_items,_xlfn.xlookup($C2467,daily_dates,big_daily_table))),NA(),_xlfn.xlookup(D$3,daily_items,_xlfn.xlookup($C2467,daily_dates,big_daily_table)))</f>
        <v>#NAME?</v>
      </c>
      <c r="E2467" s="1" t="e">
        <f aca="false" t="array" ref="E2467:E2467">IF(ISBLANK(_xlfn.xlookup(E$3,daily_items,_xlfn.xlookup($C2467,daily_dates,big_daily_table))),NA(),_xlfn.xlookup(E$3,daily_items,_xlfn.xlookup($C2467,daily_dates,big_daily_table)))</f>
        <v>#NAME?</v>
      </c>
    </row>
    <row r="2468" customFormat="false" ht="14.25" hidden="false" customHeight="false" outlineLevel="0" collapsed="false">
      <c r="B2468" s="7" t="n">
        <v>43373</v>
      </c>
      <c r="C2468" s="7" t="n">
        <f aca="false">B2468-WEEKDAY(B2468)+1</f>
        <v>43373</v>
      </c>
      <c r="D2468" s="1" t="e">
        <f aca="false" t="array" ref="D2468:D2468">IF(ISBLANK(_xlfn.xlookup(D$3,daily_items,_xlfn.xlookup($C2468,daily_dates,big_daily_table))),NA(),_xlfn.xlookup(D$3,daily_items,_xlfn.xlookup($C2468,daily_dates,big_daily_table)))</f>
        <v>#NAME?</v>
      </c>
      <c r="E2468" s="1" t="e">
        <f aca="false" t="array" ref="E2468:E2468">IF(ISBLANK(_xlfn.xlookup(E$3,daily_items,_xlfn.xlookup($C2468,daily_dates,big_daily_table))),NA(),_xlfn.xlookup(E$3,daily_items,_xlfn.xlookup($C2468,daily_dates,big_daily_table)))</f>
        <v>#NAME?</v>
      </c>
    </row>
    <row r="2469" customFormat="false" ht="14.25" hidden="false" customHeight="false" outlineLevel="0" collapsed="false">
      <c r="B2469" s="7" t="n">
        <v>43374</v>
      </c>
      <c r="C2469" s="7" t="n">
        <f aca="false">B2469-WEEKDAY(B2469)+1</f>
        <v>43373</v>
      </c>
      <c r="D2469" s="1" t="e">
        <f aca="false" t="array" ref="D2469:D2469">IF(ISBLANK(_xlfn.xlookup(D$3,daily_items,_xlfn.xlookup($C2469,daily_dates,big_daily_table))),NA(),_xlfn.xlookup(D$3,daily_items,_xlfn.xlookup($C2469,daily_dates,big_daily_table)))</f>
        <v>#NAME?</v>
      </c>
      <c r="E2469" s="1" t="e">
        <f aca="false" t="array" ref="E2469:E2469">IF(ISBLANK(_xlfn.xlookup(E$3,daily_items,_xlfn.xlookup($C2469,daily_dates,big_daily_table))),NA(),_xlfn.xlookup(E$3,daily_items,_xlfn.xlookup($C2469,daily_dates,big_daily_table)))</f>
        <v>#NAME?</v>
      </c>
    </row>
    <row r="2470" customFormat="false" ht="14.25" hidden="false" customHeight="false" outlineLevel="0" collapsed="false">
      <c r="B2470" s="7" t="n">
        <v>43375</v>
      </c>
      <c r="C2470" s="7" t="n">
        <f aca="false">B2470-WEEKDAY(B2470)+1</f>
        <v>43373</v>
      </c>
      <c r="D2470" s="1" t="e">
        <f aca="false" t="array" ref="D2470:D2470">IF(ISBLANK(_xlfn.xlookup(D$3,daily_items,_xlfn.xlookup($C2470,daily_dates,big_daily_table))),NA(),_xlfn.xlookup(D$3,daily_items,_xlfn.xlookup($C2470,daily_dates,big_daily_table)))</f>
        <v>#NAME?</v>
      </c>
      <c r="E2470" s="1" t="e">
        <f aca="false" t="array" ref="E2470:E2470">IF(ISBLANK(_xlfn.xlookup(E$3,daily_items,_xlfn.xlookup($C2470,daily_dates,big_daily_table))),NA(),_xlfn.xlookup(E$3,daily_items,_xlfn.xlookup($C2470,daily_dates,big_daily_table)))</f>
        <v>#NAME?</v>
      </c>
    </row>
    <row r="2471" customFormat="false" ht="14.25" hidden="false" customHeight="false" outlineLevel="0" collapsed="false">
      <c r="B2471" s="7" t="n">
        <v>43376</v>
      </c>
      <c r="C2471" s="7" t="n">
        <f aca="false">B2471-WEEKDAY(B2471)+1</f>
        <v>43373</v>
      </c>
      <c r="D2471" s="1" t="e">
        <f aca="false" t="array" ref="D2471:D2471">IF(ISBLANK(_xlfn.xlookup(D$3,daily_items,_xlfn.xlookup($C2471,daily_dates,big_daily_table))),NA(),_xlfn.xlookup(D$3,daily_items,_xlfn.xlookup($C2471,daily_dates,big_daily_table)))</f>
        <v>#NAME?</v>
      </c>
      <c r="E2471" s="1" t="e">
        <f aca="false" t="array" ref="E2471:E2471">IF(ISBLANK(_xlfn.xlookup(E$3,daily_items,_xlfn.xlookup($C2471,daily_dates,big_daily_table))),NA(),_xlfn.xlookup(E$3,daily_items,_xlfn.xlookup($C2471,daily_dates,big_daily_table)))</f>
        <v>#NAME?</v>
      </c>
    </row>
    <row r="2472" customFormat="false" ht="14.25" hidden="false" customHeight="false" outlineLevel="0" collapsed="false">
      <c r="B2472" s="7" t="n">
        <v>43377</v>
      </c>
      <c r="C2472" s="7" t="n">
        <f aca="false">B2472-WEEKDAY(B2472)+1</f>
        <v>43373</v>
      </c>
      <c r="D2472" s="1" t="e">
        <f aca="false" t="array" ref="D2472:D2472">IF(ISBLANK(_xlfn.xlookup(D$3,daily_items,_xlfn.xlookup($C2472,daily_dates,big_daily_table))),NA(),_xlfn.xlookup(D$3,daily_items,_xlfn.xlookup($C2472,daily_dates,big_daily_table)))</f>
        <v>#NAME?</v>
      </c>
      <c r="E2472" s="1" t="e">
        <f aca="false" t="array" ref="E2472:E2472">IF(ISBLANK(_xlfn.xlookup(E$3,daily_items,_xlfn.xlookup($C2472,daily_dates,big_daily_table))),NA(),_xlfn.xlookup(E$3,daily_items,_xlfn.xlookup($C2472,daily_dates,big_daily_table)))</f>
        <v>#NAME?</v>
      </c>
    </row>
    <row r="2473" customFormat="false" ht="14.25" hidden="false" customHeight="false" outlineLevel="0" collapsed="false">
      <c r="B2473" s="7" t="n">
        <v>43378</v>
      </c>
      <c r="C2473" s="7" t="n">
        <f aca="false">B2473-WEEKDAY(B2473)+1</f>
        <v>43373</v>
      </c>
      <c r="D2473" s="1" t="e">
        <f aca="false" t="array" ref="D2473:D2473">IF(ISBLANK(_xlfn.xlookup(D$3,daily_items,_xlfn.xlookup($C2473,daily_dates,big_daily_table))),NA(),_xlfn.xlookup(D$3,daily_items,_xlfn.xlookup($C2473,daily_dates,big_daily_table)))</f>
        <v>#NAME?</v>
      </c>
      <c r="E2473" s="1" t="e">
        <f aca="false" t="array" ref="E2473:E2473">IF(ISBLANK(_xlfn.xlookup(E$3,daily_items,_xlfn.xlookup($C2473,daily_dates,big_daily_table))),NA(),_xlfn.xlookup(E$3,daily_items,_xlfn.xlookup($C2473,daily_dates,big_daily_table)))</f>
        <v>#NAME?</v>
      </c>
    </row>
    <row r="2474" customFormat="false" ht="14.25" hidden="false" customHeight="false" outlineLevel="0" collapsed="false">
      <c r="B2474" s="7" t="n">
        <v>43379</v>
      </c>
      <c r="C2474" s="7" t="n">
        <f aca="false">B2474-WEEKDAY(B2474)+1</f>
        <v>43373</v>
      </c>
      <c r="D2474" s="1" t="e">
        <f aca="false" t="array" ref="D2474:D2474">IF(ISBLANK(_xlfn.xlookup(D$3,daily_items,_xlfn.xlookup($C2474,daily_dates,big_daily_table))),NA(),_xlfn.xlookup(D$3,daily_items,_xlfn.xlookup($C2474,daily_dates,big_daily_table)))</f>
        <v>#NAME?</v>
      </c>
      <c r="E2474" s="1" t="e">
        <f aca="false" t="array" ref="E2474:E2474">IF(ISBLANK(_xlfn.xlookup(E$3,daily_items,_xlfn.xlookup($C2474,daily_dates,big_daily_table))),NA(),_xlfn.xlookup(E$3,daily_items,_xlfn.xlookup($C2474,daily_dates,big_daily_table)))</f>
        <v>#NAME?</v>
      </c>
    </row>
    <row r="2475" customFormat="false" ht="14.25" hidden="false" customHeight="false" outlineLevel="0" collapsed="false">
      <c r="B2475" s="7" t="n">
        <v>43380</v>
      </c>
      <c r="C2475" s="7" t="n">
        <f aca="false">B2475-WEEKDAY(B2475)+1</f>
        <v>43380</v>
      </c>
      <c r="D2475" s="1" t="e">
        <f aca="false" t="array" ref="D2475:D2475">IF(ISBLANK(_xlfn.xlookup(D$3,daily_items,_xlfn.xlookup($C2475,daily_dates,big_daily_table))),NA(),_xlfn.xlookup(D$3,daily_items,_xlfn.xlookup($C2475,daily_dates,big_daily_table)))</f>
        <v>#NAME?</v>
      </c>
      <c r="E2475" s="1" t="e">
        <f aca="false" t="array" ref="E2475:E2475">IF(ISBLANK(_xlfn.xlookup(E$3,daily_items,_xlfn.xlookup($C2475,daily_dates,big_daily_table))),NA(),_xlfn.xlookup(E$3,daily_items,_xlfn.xlookup($C2475,daily_dates,big_daily_table)))</f>
        <v>#NAME?</v>
      </c>
    </row>
    <row r="2476" customFormat="false" ht="14.25" hidden="false" customHeight="false" outlineLevel="0" collapsed="false">
      <c r="B2476" s="7" t="n">
        <v>43381</v>
      </c>
      <c r="C2476" s="7" t="n">
        <f aca="false">B2476-WEEKDAY(B2476)+1</f>
        <v>43380</v>
      </c>
      <c r="D2476" s="1" t="e">
        <f aca="false" t="array" ref="D2476:D2476">IF(ISBLANK(_xlfn.xlookup(D$3,daily_items,_xlfn.xlookup($C2476,daily_dates,big_daily_table))),NA(),_xlfn.xlookup(D$3,daily_items,_xlfn.xlookup($C2476,daily_dates,big_daily_table)))</f>
        <v>#NAME?</v>
      </c>
      <c r="E2476" s="1" t="e">
        <f aca="false" t="array" ref="E2476:E2476">IF(ISBLANK(_xlfn.xlookup(E$3,daily_items,_xlfn.xlookup($C2476,daily_dates,big_daily_table))),NA(),_xlfn.xlookup(E$3,daily_items,_xlfn.xlookup($C2476,daily_dates,big_daily_table)))</f>
        <v>#NAME?</v>
      </c>
    </row>
    <row r="2477" customFormat="false" ht="14.25" hidden="false" customHeight="false" outlineLevel="0" collapsed="false">
      <c r="B2477" s="7" t="n">
        <v>43382</v>
      </c>
      <c r="C2477" s="7" t="n">
        <f aca="false">B2477-WEEKDAY(B2477)+1</f>
        <v>43380</v>
      </c>
      <c r="D2477" s="1" t="e">
        <f aca="false" t="array" ref="D2477:D2477">IF(ISBLANK(_xlfn.xlookup(D$3,daily_items,_xlfn.xlookup($C2477,daily_dates,big_daily_table))),NA(),_xlfn.xlookup(D$3,daily_items,_xlfn.xlookup($C2477,daily_dates,big_daily_table)))</f>
        <v>#NAME?</v>
      </c>
      <c r="E2477" s="1" t="e">
        <f aca="false" t="array" ref="E2477:E2477">IF(ISBLANK(_xlfn.xlookup(E$3,daily_items,_xlfn.xlookup($C2477,daily_dates,big_daily_table))),NA(),_xlfn.xlookup(E$3,daily_items,_xlfn.xlookup($C2477,daily_dates,big_daily_table)))</f>
        <v>#NAME?</v>
      </c>
    </row>
    <row r="2478" customFormat="false" ht="14.25" hidden="false" customHeight="false" outlineLevel="0" collapsed="false">
      <c r="B2478" s="7" t="n">
        <v>43383</v>
      </c>
      <c r="C2478" s="7" t="n">
        <f aca="false">B2478-WEEKDAY(B2478)+1</f>
        <v>43380</v>
      </c>
      <c r="D2478" s="1" t="e">
        <f aca="false" t="array" ref="D2478:D2478">IF(ISBLANK(_xlfn.xlookup(D$3,daily_items,_xlfn.xlookup($C2478,daily_dates,big_daily_table))),NA(),_xlfn.xlookup(D$3,daily_items,_xlfn.xlookup($C2478,daily_dates,big_daily_table)))</f>
        <v>#NAME?</v>
      </c>
      <c r="E2478" s="1" t="e">
        <f aca="false" t="array" ref="E2478:E2478">IF(ISBLANK(_xlfn.xlookup(E$3,daily_items,_xlfn.xlookup($C2478,daily_dates,big_daily_table))),NA(),_xlfn.xlookup(E$3,daily_items,_xlfn.xlookup($C2478,daily_dates,big_daily_table)))</f>
        <v>#NAME?</v>
      </c>
    </row>
    <row r="2479" customFormat="false" ht="14.25" hidden="false" customHeight="false" outlineLevel="0" collapsed="false">
      <c r="B2479" s="7" t="n">
        <v>43384</v>
      </c>
      <c r="C2479" s="7" t="n">
        <f aca="false">B2479-WEEKDAY(B2479)+1</f>
        <v>43380</v>
      </c>
      <c r="D2479" s="1" t="e">
        <f aca="false" t="array" ref="D2479:D2479">IF(ISBLANK(_xlfn.xlookup(D$3,daily_items,_xlfn.xlookup($C2479,daily_dates,big_daily_table))),NA(),_xlfn.xlookup(D$3,daily_items,_xlfn.xlookup($C2479,daily_dates,big_daily_table)))</f>
        <v>#NAME?</v>
      </c>
      <c r="E2479" s="1" t="e">
        <f aca="false" t="array" ref="E2479:E2479">IF(ISBLANK(_xlfn.xlookup(E$3,daily_items,_xlfn.xlookup($C2479,daily_dates,big_daily_table))),NA(),_xlfn.xlookup(E$3,daily_items,_xlfn.xlookup($C2479,daily_dates,big_daily_table)))</f>
        <v>#NAME?</v>
      </c>
    </row>
    <row r="2480" customFormat="false" ht="14.25" hidden="false" customHeight="false" outlineLevel="0" collapsed="false">
      <c r="B2480" s="7" t="n">
        <v>43385</v>
      </c>
      <c r="C2480" s="7" t="n">
        <f aca="false">B2480-WEEKDAY(B2480)+1</f>
        <v>43380</v>
      </c>
      <c r="D2480" s="1" t="e">
        <f aca="false" t="array" ref="D2480:D2480">IF(ISBLANK(_xlfn.xlookup(D$3,daily_items,_xlfn.xlookup($C2480,daily_dates,big_daily_table))),NA(),_xlfn.xlookup(D$3,daily_items,_xlfn.xlookup($C2480,daily_dates,big_daily_table)))</f>
        <v>#NAME?</v>
      </c>
      <c r="E2480" s="1" t="e">
        <f aca="false" t="array" ref="E2480:E2480">IF(ISBLANK(_xlfn.xlookup(E$3,daily_items,_xlfn.xlookup($C2480,daily_dates,big_daily_table))),NA(),_xlfn.xlookup(E$3,daily_items,_xlfn.xlookup($C2480,daily_dates,big_daily_table)))</f>
        <v>#NAME?</v>
      </c>
    </row>
    <row r="2481" customFormat="false" ht="14.25" hidden="false" customHeight="false" outlineLevel="0" collapsed="false">
      <c r="B2481" s="7" t="n">
        <v>43386</v>
      </c>
      <c r="C2481" s="7" t="n">
        <f aca="false">B2481-WEEKDAY(B2481)+1</f>
        <v>43380</v>
      </c>
      <c r="D2481" s="1" t="e">
        <f aca="false" t="array" ref="D2481:D2481">IF(ISBLANK(_xlfn.xlookup(D$3,daily_items,_xlfn.xlookup($C2481,daily_dates,big_daily_table))),NA(),_xlfn.xlookup(D$3,daily_items,_xlfn.xlookup($C2481,daily_dates,big_daily_table)))</f>
        <v>#NAME?</v>
      </c>
      <c r="E2481" s="1" t="e">
        <f aca="false" t="array" ref="E2481:E2481">IF(ISBLANK(_xlfn.xlookup(E$3,daily_items,_xlfn.xlookup($C2481,daily_dates,big_daily_table))),NA(),_xlfn.xlookup(E$3,daily_items,_xlfn.xlookup($C2481,daily_dates,big_daily_table)))</f>
        <v>#NAME?</v>
      </c>
    </row>
    <row r="2482" customFormat="false" ht="14.25" hidden="false" customHeight="false" outlineLevel="0" collapsed="false">
      <c r="B2482" s="7" t="n">
        <v>43387</v>
      </c>
      <c r="C2482" s="7" t="n">
        <f aca="false">B2482-WEEKDAY(B2482)+1</f>
        <v>43387</v>
      </c>
      <c r="D2482" s="1" t="e">
        <f aca="false" t="array" ref="D2482:D2482">IF(ISBLANK(_xlfn.xlookup(D$3,daily_items,_xlfn.xlookup($C2482,daily_dates,big_daily_table))),NA(),_xlfn.xlookup(D$3,daily_items,_xlfn.xlookup($C2482,daily_dates,big_daily_table)))</f>
        <v>#NAME?</v>
      </c>
      <c r="E2482" s="1" t="e">
        <f aca="false" t="array" ref="E2482:E2482">IF(ISBLANK(_xlfn.xlookup(E$3,daily_items,_xlfn.xlookup($C2482,daily_dates,big_daily_table))),NA(),_xlfn.xlookup(E$3,daily_items,_xlfn.xlookup($C2482,daily_dates,big_daily_table)))</f>
        <v>#NAME?</v>
      </c>
    </row>
    <row r="2483" customFormat="false" ht="14.25" hidden="false" customHeight="false" outlineLevel="0" collapsed="false">
      <c r="B2483" s="7" t="n">
        <v>43388</v>
      </c>
      <c r="C2483" s="7" t="n">
        <f aca="false">B2483-WEEKDAY(B2483)+1</f>
        <v>43387</v>
      </c>
      <c r="D2483" s="1" t="e">
        <f aca="false" t="array" ref="D2483:D2483">IF(ISBLANK(_xlfn.xlookup(D$3,daily_items,_xlfn.xlookup($C2483,daily_dates,big_daily_table))),NA(),_xlfn.xlookup(D$3,daily_items,_xlfn.xlookup($C2483,daily_dates,big_daily_table)))</f>
        <v>#NAME?</v>
      </c>
      <c r="E2483" s="1" t="e">
        <f aca="false" t="array" ref="E2483:E2483">IF(ISBLANK(_xlfn.xlookup(E$3,daily_items,_xlfn.xlookup($C2483,daily_dates,big_daily_table))),NA(),_xlfn.xlookup(E$3,daily_items,_xlfn.xlookup($C2483,daily_dates,big_daily_table)))</f>
        <v>#NAME?</v>
      </c>
    </row>
    <row r="2484" customFormat="false" ht="14.25" hidden="false" customHeight="false" outlineLevel="0" collapsed="false">
      <c r="B2484" s="7" t="n">
        <v>43389</v>
      </c>
      <c r="C2484" s="7" t="n">
        <f aca="false">B2484-WEEKDAY(B2484)+1</f>
        <v>43387</v>
      </c>
      <c r="D2484" s="1" t="e">
        <f aca="false" t="array" ref="D2484:D2484">IF(ISBLANK(_xlfn.xlookup(D$3,daily_items,_xlfn.xlookup($C2484,daily_dates,big_daily_table))),NA(),_xlfn.xlookup(D$3,daily_items,_xlfn.xlookup($C2484,daily_dates,big_daily_table)))</f>
        <v>#NAME?</v>
      </c>
      <c r="E2484" s="1" t="e">
        <f aca="false" t="array" ref="E2484:E2484">IF(ISBLANK(_xlfn.xlookup(E$3,daily_items,_xlfn.xlookup($C2484,daily_dates,big_daily_table))),NA(),_xlfn.xlookup(E$3,daily_items,_xlfn.xlookup($C2484,daily_dates,big_daily_table)))</f>
        <v>#NAME?</v>
      </c>
    </row>
    <row r="2485" customFormat="false" ht="14.25" hidden="false" customHeight="false" outlineLevel="0" collapsed="false">
      <c r="B2485" s="7" t="n">
        <v>43390</v>
      </c>
      <c r="C2485" s="7" t="n">
        <f aca="false">B2485-WEEKDAY(B2485)+1</f>
        <v>43387</v>
      </c>
      <c r="D2485" s="1" t="e">
        <f aca="false" t="array" ref="D2485:D2485">IF(ISBLANK(_xlfn.xlookup(D$3,daily_items,_xlfn.xlookup($C2485,daily_dates,big_daily_table))),NA(),_xlfn.xlookup(D$3,daily_items,_xlfn.xlookup($C2485,daily_dates,big_daily_table)))</f>
        <v>#NAME?</v>
      </c>
      <c r="E2485" s="1" t="e">
        <f aca="false" t="array" ref="E2485:E2485">IF(ISBLANK(_xlfn.xlookup(E$3,daily_items,_xlfn.xlookup($C2485,daily_dates,big_daily_table))),NA(),_xlfn.xlookup(E$3,daily_items,_xlfn.xlookup($C2485,daily_dates,big_daily_table)))</f>
        <v>#NAME?</v>
      </c>
    </row>
    <row r="2486" customFormat="false" ht="14.25" hidden="false" customHeight="false" outlineLevel="0" collapsed="false">
      <c r="B2486" s="7" t="n">
        <v>43391</v>
      </c>
      <c r="C2486" s="7" t="n">
        <f aca="false">B2486-WEEKDAY(B2486)+1</f>
        <v>43387</v>
      </c>
      <c r="D2486" s="1" t="e">
        <f aca="false" t="array" ref="D2486:D2486">IF(ISBLANK(_xlfn.xlookup(D$3,daily_items,_xlfn.xlookup($C2486,daily_dates,big_daily_table))),NA(),_xlfn.xlookup(D$3,daily_items,_xlfn.xlookup($C2486,daily_dates,big_daily_table)))</f>
        <v>#NAME?</v>
      </c>
      <c r="E2486" s="1" t="e">
        <f aca="false" t="array" ref="E2486:E2486">IF(ISBLANK(_xlfn.xlookup(E$3,daily_items,_xlfn.xlookup($C2486,daily_dates,big_daily_table))),NA(),_xlfn.xlookup(E$3,daily_items,_xlfn.xlookup($C2486,daily_dates,big_daily_table)))</f>
        <v>#NAME?</v>
      </c>
    </row>
    <row r="2487" customFormat="false" ht="14.25" hidden="false" customHeight="false" outlineLevel="0" collapsed="false">
      <c r="B2487" s="7" t="n">
        <v>43392</v>
      </c>
      <c r="C2487" s="7" t="n">
        <f aca="false">B2487-WEEKDAY(B2487)+1</f>
        <v>43387</v>
      </c>
      <c r="D2487" s="1" t="e">
        <f aca="false" t="array" ref="D2487:D2487">IF(ISBLANK(_xlfn.xlookup(D$3,daily_items,_xlfn.xlookup($C2487,daily_dates,big_daily_table))),NA(),_xlfn.xlookup(D$3,daily_items,_xlfn.xlookup($C2487,daily_dates,big_daily_table)))</f>
        <v>#NAME?</v>
      </c>
      <c r="E2487" s="1" t="e">
        <f aca="false" t="array" ref="E2487:E2487">IF(ISBLANK(_xlfn.xlookup(E$3,daily_items,_xlfn.xlookup($C2487,daily_dates,big_daily_table))),NA(),_xlfn.xlookup(E$3,daily_items,_xlfn.xlookup($C2487,daily_dates,big_daily_table)))</f>
        <v>#NAME?</v>
      </c>
    </row>
    <row r="2488" customFormat="false" ht="14.25" hidden="false" customHeight="false" outlineLevel="0" collapsed="false">
      <c r="B2488" s="7" t="n">
        <v>43393</v>
      </c>
      <c r="C2488" s="7" t="n">
        <f aca="false">B2488-WEEKDAY(B2488)+1</f>
        <v>43387</v>
      </c>
      <c r="D2488" s="1" t="e">
        <f aca="false" t="array" ref="D2488:D2488">IF(ISBLANK(_xlfn.xlookup(D$3,daily_items,_xlfn.xlookup($C2488,daily_dates,big_daily_table))),NA(),_xlfn.xlookup(D$3,daily_items,_xlfn.xlookup($C2488,daily_dates,big_daily_table)))</f>
        <v>#NAME?</v>
      </c>
      <c r="E2488" s="1" t="e">
        <f aca="false" t="array" ref="E2488:E2488">IF(ISBLANK(_xlfn.xlookup(E$3,daily_items,_xlfn.xlookup($C2488,daily_dates,big_daily_table))),NA(),_xlfn.xlookup(E$3,daily_items,_xlfn.xlookup($C2488,daily_dates,big_daily_table)))</f>
        <v>#NAME?</v>
      </c>
    </row>
    <row r="2489" customFormat="false" ht="14.25" hidden="false" customHeight="false" outlineLevel="0" collapsed="false">
      <c r="B2489" s="7" t="n">
        <v>43394</v>
      </c>
      <c r="C2489" s="7" t="n">
        <f aca="false">B2489-WEEKDAY(B2489)+1</f>
        <v>43394</v>
      </c>
      <c r="D2489" s="1" t="e">
        <f aca="false" t="array" ref="D2489:D2489">IF(ISBLANK(_xlfn.xlookup(D$3,daily_items,_xlfn.xlookup($C2489,daily_dates,big_daily_table))),NA(),_xlfn.xlookup(D$3,daily_items,_xlfn.xlookup($C2489,daily_dates,big_daily_table)))</f>
        <v>#NAME?</v>
      </c>
      <c r="E2489" s="1" t="e">
        <f aca="false" t="array" ref="E2489:E2489">IF(ISBLANK(_xlfn.xlookup(E$3,daily_items,_xlfn.xlookup($C2489,daily_dates,big_daily_table))),NA(),_xlfn.xlookup(E$3,daily_items,_xlfn.xlookup($C2489,daily_dates,big_daily_table)))</f>
        <v>#NAME?</v>
      </c>
    </row>
    <row r="2490" customFormat="false" ht="14.25" hidden="false" customHeight="false" outlineLevel="0" collapsed="false">
      <c r="B2490" s="7" t="n">
        <v>43395</v>
      </c>
      <c r="C2490" s="7" t="n">
        <f aca="false">B2490-WEEKDAY(B2490)+1</f>
        <v>43394</v>
      </c>
      <c r="D2490" s="1" t="e">
        <f aca="false" t="array" ref="D2490:D2490">IF(ISBLANK(_xlfn.xlookup(D$3,daily_items,_xlfn.xlookup($C2490,daily_dates,big_daily_table))),NA(),_xlfn.xlookup(D$3,daily_items,_xlfn.xlookup($C2490,daily_dates,big_daily_table)))</f>
        <v>#NAME?</v>
      </c>
      <c r="E2490" s="1" t="e">
        <f aca="false" t="array" ref="E2490:E2490">IF(ISBLANK(_xlfn.xlookup(E$3,daily_items,_xlfn.xlookup($C2490,daily_dates,big_daily_table))),NA(),_xlfn.xlookup(E$3,daily_items,_xlfn.xlookup($C2490,daily_dates,big_daily_table)))</f>
        <v>#NAME?</v>
      </c>
    </row>
    <row r="2491" customFormat="false" ht="14.25" hidden="false" customHeight="false" outlineLevel="0" collapsed="false">
      <c r="B2491" s="7" t="n">
        <v>43396</v>
      </c>
      <c r="C2491" s="7" t="n">
        <f aca="false">B2491-WEEKDAY(B2491)+1</f>
        <v>43394</v>
      </c>
      <c r="D2491" s="1" t="e">
        <f aca="false" t="array" ref="D2491:D2491">IF(ISBLANK(_xlfn.xlookup(D$3,daily_items,_xlfn.xlookup($C2491,daily_dates,big_daily_table))),NA(),_xlfn.xlookup(D$3,daily_items,_xlfn.xlookup($C2491,daily_dates,big_daily_table)))</f>
        <v>#NAME?</v>
      </c>
      <c r="E2491" s="1" t="e">
        <f aca="false" t="array" ref="E2491:E2491">IF(ISBLANK(_xlfn.xlookup(E$3,daily_items,_xlfn.xlookup($C2491,daily_dates,big_daily_table))),NA(),_xlfn.xlookup(E$3,daily_items,_xlfn.xlookup($C2491,daily_dates,big_daily_table)))</f>
        <v>#NAME?</v>
      </c>
    </row>
    <row r="2492" customFormat="false" ht="14.25" hidden="false" customHeight="false" outlineLevel="0" collapsed="false">
      <c r="B2492" s="7" t="n">
        <v>43397</v>
      </c>
      <c r="C2492" s="7" t="n">
        <f aca="false">B2492-WEEKDAY(B2492)+1</f>
        <v>43394</v>
      </c>
      <c r="D2492" s="1" t="e">
        <f aca="false" t="array" ref="D2492:D2492">IF(ISBLANK(_xlfn.xlookup(D$3,daily_items,_xlfn.xlookup($C2492,daily_dates,big_daily_table))),NA(),_xlfn.xlookup(D$3,daily_items,_xlfn.xlookup($C2492,daily_dates,big_daily_table)))</f>
        <v>#NAME?</v>
      </c>
      <c r="E2492" s="1" t="e">
        <f aca="false" t="array" ref="E2492:E2492">IF(ISBLANK(_xlfn.xlookup(E$3,daily_items,_xlfn.xlookup($C2492,daily_dates,big_daily_table))),NA(),_xlfn.xlookup(E$3,daily_items,_xlfn.xlookup($C2492,daily_dates,big_daily_table)))</f>
        <v>#NAME?</v>
      </c>
    </row>
    <row r="2493" customFormat="false" ht="14.25" hidden="false" customHeight="false" outlineLevel="0" collapsed="false">
      <c r="B2493" s="7" t="n">
        <v>43398</v>
      </c>
      <c r="C2493" s="7" t="n">
        <f aca="false">B2493-WEEKDAY(B2493)+1</f>
        <v>43394</v>
      </c>
      <c r="D2493" s="1" t="e">
        <f aca="false" t="array" ref="D2493:D2493">IF(ISBLANK(_xlfn.xlookup(D$3,daily_items,_xlfn.xlookup($C2493,daily_dates,big_daily_table))),NA(),_xlfn.xlookup(D$3,daily_items,_xlfn.xlookup($C2493,daily_dates,big_daily_table)))</f>
        <v>#NAME?</v>
      </c>
      <c r="E2493" s="1" t="e">
        <f aca="false" t="array" ref="E2493:E2493">IF(ISBLANK(_xlfn.xlookup(E$3,daily_items,_xlfn.xlookup($C2493,daily_dates,big_daily_table))),NA(),_xlfn.xlookup(E$3,daily_items,_xlfn.xlookup($C2493,daily_dates,big_daily_table)))</f>
        <v>#NAME?</v>
      </c>
    </row>
    <row r="2494" customFormat="false" ht="14.25" hidden="false" customHeight="false" outlineLevel="0" collapsed="false">
      <c r="B2494" s="7" t="n">
        <v>43399</v>
      </c>
      <c r="C2494" s="7" t="n">
        <f aca="false">B2494-WEEKDAY(B2494)+1</f>
        <v>43394</v>
      </c>
      <c r="D2494" s="1" t="e">
        <f aca="false" t="array" ref="D2494:D2494">IF(ISBLANK(_xlfn.xlookup(D$3,daily_items,_xlfn.xlookup($C2494,daily_dates,big_daily_table))),NA(),_xlfn.xlookup(D$3,daily_items,_xlfn.xlookup($C2494,daily_dates,big_daily_table)))</f>
        <v>#NAME?</v>
      </c>
      <c r="E2494" s="1" t="e">
        <f aca="false" t="array" ref="E2494:E2494">IF(ISBLANK(_xlfn.xlookup(E$3,daily_items,_xlfn.xlookup($C2494,daily_dates,big_daily_table))),NA(),_xlfn.xlookup(E$3,daily_items,_xlfn.xlookup($C2494,daily_dates,big_daily_table)))</f>
        <v>#NAME?</v>
      </c>
    </row>
    <row r="2495" customFormat="false" ht="14.25" hidden="false" customHeight="false" outlineLevel="0" collapsed="false">
      <c r="B2495" s="7" t="n">
        <v>43400</v>
      </c>
      <c r="C2495" s="7" t="n">
        <f aca="false">B2495-WEEKDAY(B2495)+1</f>
        <v>43394</v>
      </c>
      <c r="D2495" s="1" t="e">
        <f aca="false" t="array" ref="D2495:D2495">IF(ISBLANK(_xlfn.xlookup(D$3,daily_items,_xlfn.xlookup($C2495,daily_dates,big_daily_table))),NA(),_xlfn.xlookup(D$3,daily_items,_xlfn.xlookup($C2495,daily_dates,big_daily_table)))</f>
        <v>#NAME?</v>
      </c>
      <c r="E2495" s="1" t="e">
        <f aca="false" t="array" ref="E2495:E2495">IF(ISBLANK(_xlfn.xlookup(E$3,daily_items,_xlfn.xlookup($C2495,daily_dates,big_daily_table))),NA(),_xlfn.xlookup(E$3,daily_items,_xlfn.xlookup($C2495,daily_dates,big_daily_table)))</f>
        <v>#NAME?</v>
      </c>
    </row>
    <row r="2496" customFormat="false" ht="14.25" hidden="false" customHeight="false" outlineLevel="0" collapsed="false">
      <c r="B2496" s="7" t="n">
        <v>43401</v>
      </c>
      <c r="C2496" s="7" t="n">
        <f aca="false">B2496-WEEKDAY(B2496)+1</f>
        <v>43401</v>
      </c>
      <c r="D2496" s="1" t="e">
        <f aca="false" t="array" ref="D2496:D2496">IF(ISBLANK(_xlfn.xlookup(D$3,daily_items,_xlfn.xlookup($C2496,daily_dates,big_daily_table))),NA(),_xlfn.xlookup(D$3,daily_items,_xlfn.xlookup($C2496,daily_dates,big_daily_table)))</f>
        <v>#NAME?</v>
      </c>
      <c r="E2496" s="1" t="e">
        <f aca="false" t="array" ref="E2496:E2496">IF(ISBLANK(_xlfn.xlookup(E$3,daily_items,_xlfn.xlookup($C2496,daily_dates,big_daily_table))),NA(),_xlfn.xlookup(E$3,daily_items,_xlfn.xlookup($C2496,daily_dates,big_daily_table)))</f>
        <v>#NAME?</v>
      </c>
    </row>
    <row r="2497" customFormat="false" ht="14.25" hidden="false" customHeight="false" outlineLevel="0" collapsed="false">
      <c r="B2497" s="7" t="n">
        <v>43402</v>
      </c>
      <c r="C2497" s="7" t="n">
        <f aca="false">B2497-WEEKDAY(B2497)+1</f>
        <v>43401</v>
      </c>
      <c r="D2497" s="1" t="e">
        <f aca="false" t="array" ref="D2497:D2497">IF(ISBLANK(_xlfn.xlookup(D$3,daily_items,_xlfn.xlookup($C2497,daily_dates,big_daily_table))),NA(),_xlfn.xlookup(D$3,daily_items,_xlfn.xlookup($C2497,daily_dates,big_daily_table)))</f>
        <v>#NAME?</v>
      </c>
      <c r="E2497" s="1" t="e">
        <f aca="false" t="array" ref="E2497:E2497">IF(ISBLANK(_xlfn.xlookup(E$3,daily_items,_xlfn.xlookup($C2497,daily_dates,big_daily_table))),NA(),_xlfn.xlookup(E$3,daily_items,_xlfn.xlookup($C2497,daily_dates,big_daily_table)))</f>
        <v>#NAME?</v>
      </c>
    </row>
    <row r="2498" customFormat="false" ht="14.25" hidden="false" customHeight="false" outlineLevel="0" collapsed="false">
      <c r="B2498" s="7" t="n">
        <v>43403</v>
      </c>
      <c r="C2498" s="7" t="n">
        <f aca="false">B2498-WEEKDAY(B2498)+1</f>
        <v>43401</v>
      </c>
      <c r="D2498" s="1" t="e">
        <f aca="false" t="array" ref="D2498:D2498">IF(ISBLANK(_xlfn.xlookup(D$3,daily_items,_xlfn.xlookup($C2498,daily_dates,big_daily_table))),NA(),_xlfn.xlookup(D$3,daily_items,_xlfn.xlookup($C2498,daily_dates,big_daily_table)))</f>
        <v>#NAME?</v>
      </c>
      <c r="E2498" s="1" t="e">
        <f aca="false" t="array" ref="E2498:E2498">IF(ISBLANK(_xlfn.xlookup(E$3,daily_items,_xlfn.xlookup($C2498,daily_dates,big_daily_table))),NA(),_xlfn.xlookup(E$3,daily_items,_xlfn.xlookup($C2498,daily_dates,big_daily_table)))</f>
        <v>#NAME?</v>
      </c>
    </row>
    <row r="2499" customFormat="false" ht="14.25" hidden="false" customHeight="false" outlineLevel="0" collapsed="false">
      <c r="B2499" s="7" t="n">
        <v>43404</v>
      </c>
      <c r="C2499" s="7" t="n">
        <f aca="false">B2499-WEEKDAY(B2499)+1</f>
        <v>43401</v>
      </c>
      <c r="D2499" s="1" t="e">
        <f aca="false" t="array" ref="D2499:D2499">IF(ISBLANK(_xlfn.xlookup(D$3,daily_items,_xlfn.xlookup($C2499,daily_dates,big_daily_table))),NA(),_xlfn.xlookup(D$3,daily_items,_xlfn.xlookup($C2499,daily_dates,big_daily_table)))</f>
        <v>#NAME?</v>
      </c>
      <c r="E2499" s="1" t="e">
        <f aca="false" t="array" ref="E2499:E2499">IF(ISBLANK(_xlfn.xlookup(E$3,daily_items,_xlfn.xlookup($C2499,daily_dates,big_daily_table))),NA(),_xlfn.xlookup(E$3,daily_items,_xlfn.xlookup($C2499,daily_dates,big_daily_table)))</f>
        <v>#NAME?</v>
      </c>
    </row>
    <row r="2500" customFormat="false" ht="14.25" hidden="false" customHeight="false" outlineLevel="0" collapsed="false">
      <c r="B2500" s="7" t="n">
        <v>43405</v>
      </c>
      <c r="C2500" s="7" t="n">
        <f aca="false">B2500-WEEKDAY(B2500)+1</f>
        <v>43401</v>
      </c>
      <c r="D2500" s="1" t="e">
        <f aca="false" t="array" ref="D2500:D2500">IF(ISBLANK(_xlfn.xlookup(D$3,daily_items,_xlfn.xlookup($C2500,daily_dates,big_daily_table))),NA(),_xlfn.xlookup(D$3,daily_items,_xlfn.xlookup($C2500,daily_dates,big_daily_table)))</f>
        <v>#NAME?</v>
      </c>
      <c r="E2500" s="1" t="e">
        <f aca="false" t="array" ref="E2500:E2500">IF(ISBLANK(_xlfn.xlookup(E$3,daily_items,_xlfn.xlookup($C2500,daily_dates,big_daily_table))),NA(),_xlfn.xlookup(E$3,daily_items,_xlfn.xlookup($C2500,daily_dates,big_daily_table)))</f>
        <v>#NAME?</v>
      </c>
    </row>
    <row r="2501" customFormat="false" ht="14.25" hidden="false" customHeight="false" outlineLevel="0" collapsed="false">
      <c r="B2501" s="7" t="n">
        <v>43406</v>
      </c>
      <c r="C2501" s="7" t="n">
        <f aca="false">B2501-WEEKDAY(B2501)+1</f>
        <v>43401</v>
      </c>
      <c r="D2501" s="1" t="e">
        <f aca="false" t="array" ref="D2501:D2501">IF(ISBLANK(_xlfn.xlookup(D$3,daily_items,_xlfn.xlookup($C2501,daily_dates,big_daily_table))),NA(),_xlfn.xlookup(D$3,daily_items,_xlfn.xlookup($C2501,daily_dates,big_daily_table)))</f>
        <v>#NAME?</v>
      </c>
      <c r="E2501" s="1" t="e">
        <f aca="false" t="array" ref="E2501:E2501">IF(ISBLANK(_xlfn.xlookup(E$3,daily_items,_xlfn.xlookup($C2501,daily_dates,big_daily_table))),NA(),_xlfn.xlookup(E$3,daily_items,_xlfn.xlookup($C2501,daily_dates,big_daily_table)))</f>
        <v>#NAME?</v>
      </c>
    </row>
    <row r="2502" customFormat="false" ht="14.25" hidden="false" customHeight="false" outlineLevel="0" collapsed="false">
      <c r="B2502" s="7" t="n">
        <v>43407</v>
      </c>
      <c r="C2502" s="7" t="n">
        <f aca="false">B2502-WEEKDAY(B2502)+1</f>
        <v>43401</v>
      </c>
      <c r="D2502" s="1" t="e">
        <f aca="false" t="array" ref="D2502:D2502">IF(ISBLANK(_xlfn.xlookup(D$3,daily_items,_xlfn.xlookup($C2502,daily_dates,big_daily_table))),NA(),_xlfn.xlookup(D$3,daily_items,_xlfn.xlookup($C2502,daily_dates,big_daily_table)))</f>
        <v>#NAME?</v>
      </c>
      <c r="E2502" s="1" t="e">
        <f aca="false" t="array" ref="E2502:E2502">IF(ISBLANK(_xlfn.xlookup(E$3,daily_items,_xlfn.xlookup($C2502,daily_dates,big_daily_table))),NA(),_xlfn.xlookup(E$3,daily_items,_xlfn.xlookup($C2502,daily_dates,big_daily_table)))</f>
        <v>#NAME?</v>
      </c>
    </row>
    <row r="2503" customFormat="false" ht="14.25" hidden="false" customHeight="false" outlineLevel="0" collapsed="false">
      <c r="B2503" s="7" t="n">
        <v>43408</v>
      </c>
      <c r="C2503" s="7" t="n">
        <f aca="false">B2503-WEEKDAY(B2503)+1</f>
        <v>43408</v>
      </c>
      <c r="D2503" s="1" t="e">
        <f aca="false" t="array" ref="D2503:D2503">IF(ISBLANK(_xlfn.xlookup(D$3,daily_items,_xlfn.xlookup($C2503,daily_dates,big_daily_table))),NA(),_xlfn.xlookup(D$3,daily_items,_xlfn.xlookup($C2503,daily_dates,big_daily_table)))</f>
        <v>#NAME?</v>
      </c>
      <c r="E2503" s="1" t="e">
        <f aca="false" t="array" ref="E2503:E2503">IF(ISBLANK(_xlfn.xlookup(E$3,daily_items,_xlfn.xlookup($C2503,daily_dates,big_daily_table))),NA(),_xlfn.xlookup(E$3,daily_items,_xlfn.xlookup($C2503,daily_dates,big_daily_table)))</f>
        <v>#NAME?</v>
      </c>
    </row>
    <row r="2504" customFormat="false" ht="14.25" hidden="false" customHeight="false" outlineLevel="0" collapsed="false">
      <c r="B2504" s="7" t="n">
        <v>43409</v>
      </c>
      <c r="C2504" s="7" t="n">
        <f aca="false">B2504-WEEKDAY(B2504)+1</f>
        <v>43408</v>
      </c>
      <c r="D2504" s="1" t="e">
        <f aca="false" t="array" ref="D2504:D2504">IF(ISBLANK(_xlfn.xlookup(D$3,daily_items,_xlfn.xlookup($C2504,daily_dates,big_daily_table))),NA(),_xlfn.xlookup(D$3,daily_items,_xlfn.xlookup($C2504,daily_dates,big_daily_table)))</f>
        <v>#NAME?</v>
      </c>
      <c r="E2504" s="1" t="e">
        <f aca="false" t="array" ref="E2504:E2504">IF(ISBLANK(_xlfn.xlookup(E$3,daily_items,_xlfn.xlookup($C2504,daily_dates,big_daily_table))),NA(),_xlfn.xlookup(E$3,daily_items,_xlfn.xlookup($C2504,daily_dates,big_daily_table)))</f>
        <v>#NAME?</v>
      </c>
    </row>
    <row r="2505" customFormat="false" ht="14.25" hidden="false" customHeight="false" outlineLevel="0" collapsed="false">
      <c r="B2505" s="7" t="n">
        <v>43410</v>
      </c>
      <c r="C2505" s="7" t="n">
        <f aca="false">B2505-WEEKDAY(B2505)+1</f>
        <v>43408</v>
      </c>
      <c r="D2505" s="1" t="e">
        <f aca="false" t="array" ref="D2505:D2505">IF(ISBLANK(_xlfn.xlookup(D$3,daily_items,_xlfn.xlookup($C2505,daily_dates,big_daily_table))),NA(),_xlfn.xlookup(D$3,daily_items,_xlfn.xlookup($C2505,daily_dates,big_daily_table)))</f>
        <v>#NAME?</v>
      </c>
      <c r="E2505" s="1" t="e">
        <f aca="false" t="array" ref="E2505:E2505">IF(ISBLANK(_xlfn.xlookup(E$3,daily_items,_xlfn.xlookup($C2505,daily_dates,big_daily_table))),NA(),_xlfn.xlookup(E$3,daily_items,_xlfn.xlookup($C2505,daily_dates,big_daily_table)))</f>
        <v>#NAME?</v>
      </c>
    </row>
    <row r="2506" customFormat="false" ht="14.25" hidden="false" customHeight="false" outlineLevel="0" collapsed="false">
      <c r="B2506" s="7" t="n">
        <v>43411</v>
      </c>
      <c r="C2506" s="7" t="n">
        <f aca="false">B2506-WEEKDAY(B2506)+1</f>
        <v>43408</v>
      </c>
      <c r="D2506" s="1" t="e">
        <f aca="false" t="array" ref="D2506:D2506">IF(ISBLANK(_xlfn.xlookup(D$3,daily_items,_xlfn.xlookup($C2506,daily_dates,big_daily_table))),NA(),_xlfn.xlookup(D$3,daily_items,_xlfn.xlookup($C2506,daily_dates,big_daily_table)))</f>
        <v>#NAME?</v>
      </c>
      <c r="E2506" s="1" t="e">
        <f aca="false" t="array" ref="E2506:E2506">IF(ISBLANK(_xlfn.xlookup(E$3,daily_items,_xlfn.xlookup($C2506,daily_dates,big_daily_table))),NA(),_xlfn.xlookup(E$3,daily_items,_xlfn.xlookup($C2506,daily_dates,big_daily_table)))</f>
        <v>#NAME?</v>
      </c>
    </row>
    <row r="2507" customFormat="false" ht="14.25" hidden="false" customHeight="false" outlineLevel="0" collapsed="false">
      <c r="B2507" s="7" t="n">
        <v>43412</v>
      </c>
      <c r="C2507" s="7" t="n">
        <f aca="false">B2507-WEEKDAY(B2507)+1</f>
        <v>43408</v>
      </c>
      <c r="D2507" s="1" t="e">
        <f aca="false" t="array" ref="D2507:D2507">IF(ISBLANK(_xlfn.xlookup(D$3,daily_items,_xlfn.xlookup($C2507,daily_dates,big_daily_table))),NA(),_xlfn.xlookup(D$3,daily_items,_xlfn.xlookup($C2507,daily_dates,big_daily_table)))</f>
        <v>#NAME?</v>
      </c>
      <c r="E2507" s="1" t="e">
        <f aca="false" t="array" ref="E2507:E2507">IF(ISBLANK(_xlfn.xlookup(E$3,daily_items,_xlfn.xlookup($C2507,daily_dates,big_daily_table))),NA(),_xlfn.xlookup(E$3,daily_items,_xlfn.xlookup($C2507,daily_dates,big_daily_table)))</f>
        <v>#NAME?</v>
      </c>
    </row>
    <row r="2508" customFormat="false" ht="14.25" hidden="false" customHeight="false" outlineLevel="0" collapsed="false">
      <c r="B2508" s="7" t="n">
        <v>43413</v>
      </c>
      <c r="C2508" s="7" t="n">
        <f aca="false">B2508-WEEKDAY(B2508)+1</f>
        <v>43408</v>
      </c>
      <c r="D2508" s="1" t="e">
        <f aca="false" t="array" ref="D2508:D2508">IF(ISBLANK(_xlfn.xlookup(D$3,daily_items,_xlfn.xlookup($C2508,daily_dates,big_daily_table))),NA(),_xlfn.xlookup(D$3,daily_items,_xlfn.xlookup($C2508,daily_dates,big_daily_table)))</f>
        <v>#NAME?</v>
      </c>
      <c r="E2508" s="1" t="e">
        <f aca="false" t="array" ref="E2508:E2508">IF(ISBLANK(_xlfn.xlookup(E$3,daily_items,_xlfn.xlookup($C2508,daily_dates,big_daily_table))),NA(),_xlfn.xlookup(E$3,daily_items,_xlfn.xlookup($C2508,daily_dates,big_daily_table)))</f>
        <v>#NAME?</v>
      </c>
    </row>
    <row r="2509" customFormat="false" ht="14.25" hidden="false" customHeight="false" outlineLevel="0" collapsed="false">
      <c r="B2509" s="7" t="n">
        <v>43414</v>
      </c>
      <c r="C2509" s="7" t="n">
        <f aca="false">B2509-WEEKDAY(B2509)+1</f>
        <v>43408</v>
      </c>
      <c r="D2509" s="1" t="e">
        <f aca="false" t="array" ref="D2509:D2509">IF(ISBLANK(_xlfn.xlookup(D$3,daily_items,_xlfn.xlookup($C2509,daily_dates,big_daily_table))),NA(),_xlfn.xlookup(D$3,daily_items,_xlfn.xlookup($C2509,daily_dates,big_daily_table)))</f>
        <v>#NAME?</v>
      </c>
      <c r="E2509" s="1" t="e">
        <f aca="false" t="array" ref="E2509:E2509">IF(ISBLANK(_xlfn.xlookup(E$3,daily_items,_xlfn.xlookup($C2509,daily_dates,big_daily_table))),NA(),_xlfn.xlookup(E$3,daily_items,_xlfn.xlookup($C2509,daily_dates,big_daily_table)))</f>
        <v>#NAME?</v>
      </c>
    </row>
    <row r="2510" customFormat="false" ht="14.25" hidden="false" customHeight="false" outlineLevel="0" collapsed="false">
      <c r="B2510" s="7" t="n">
        <v>43415</v>
      </c>
      <c r="C2510" s="7" t="n">
        <f aca="false">B2510-WEEKDAY(B2510)+1</f>
        <v>43415</v>
      </c>
      <c r="D2510" s="1" t="e">
        <f aca="false" t="array" ref="D2510:D2510">IF(ISBLANK(_xlfn.xlookup(D$3,daily_items,_xlfn.xlookup($C2510,daily_dates,big_daily_table))),NA(),_xlfn.xlookup(D$3,daily_items,_xlfn.xlookup($C2510,daily_dates,big_daily_table)))</f>
        <v>#NAME?</v>
      </c>
      <c r="E2510" s="1" t="e">
        <f aca="false" t="array" ref="E2510:E2510">IF(ISBLANK(_xlfn.xlookup(E$3,daily_items,_xlfn.xlookup($C2510,daily_dates,big_daily_table))),NA(),_xlfn.xlookup(E$3,daily_items,_xlfn.xlookup($C2510,daily_dates,big_daily_table)))</f>
        <v>#NAME?</v>
      </c>
    </row>
    <row r="2511" customFormat="false" ht="14.25" hidden="false" customHeight="false" outlineLevel="0" collapsed="false">
      <c r="B2511" s="7" t="n">
        <v>43416</v>
      </c>
      <c r="C2511" s="7" t="n">
        <f aca="false">B2511-WEEKDAY(B2511)+1</f>
        <v>43415</v>
      </c>
      <c r="D2511" s="1" t="e">
        <f aca="false" t="array" ref="D2511:D2511">IF(ISBLANK(_xlfn.xlookup(D$3,daily_items,_xlfn.xlookup($C2511,daily_dates,big_daily_table))),NA(),_xlfn.xlookup(D$3,daily_items,_xlfn.xlookup($C2511,daily_dates,big_daily_table)))</f>
        <v>#NAME?</v>
      </c>
      <c r="E2511" s="1" t="e">
        <f aca="false" t="array" ref="E2511:E2511">IF(ISBLANK(_xlfn.xlookup(E$3,daily_items,_xlfn.xlookup($C2511,daily_dates,big_daily_table))),NA(),_xlfn.xlookup(E$3,daily_items,_xlfn.xlookup($C2511,daily_dates,big_daily_table)))</f>
        <v>#NAME?</v>
      </c>
    </row>
    <row r="2512" customFormat="false" ht="14.25" hidden="false" customHeight="false" outlineLevel="0" collapsed="false">
      <c r="B2512" s="7" t="n">
        <v>43417</v>
      </c>
      <c r="C2512" s="7" t="n">
        <f aca="false">B2512-WEEKDAY(B2512)+1</f>
        <v>43415</v>
      </c>
      <c r="D2512" s="1" t="e">
        <f aca="false" t="array" ref="D2512:D2512">IF(ISBLANK(_xlfn.xlookup(D$3,daily_items,_xlfn.xlookup($C2512,daily_dates,big_daily_table))),NA(),_xlfn.xlookup(D$3,daily_items,_xlfn.xlookup($C2512,daily_dates,big_daily_table)))</f>
        <v>#NAME?</v>
      </c>
      <c r="E2512" s="1" t="e">
        <f aca="false" t="array" ref="E2512:E2512">IF(ISBLANK(_xlfn.xlookup(E$3,daily_items,_xlfn.xlookup($C2512,daily_dates,big_daily_table))),NA(),_xlfn.xlookup(E$3,daily_items,_xlfn.xlookup($C2512,daily_dates,big_daily_table)))</f>
        <v>#NAME?</v>
      </c>
    </row>
    <row r="2513" customFormat="false" ht="14.25" hidden="false" customHeight="false" outlineLevel="0" collapsed="false">
      <c r="B2513" s="7" t="n">
        <v>43418</v>
      </c>
      <c r="C2513" s="7" t="n">
        <f aca="false">B2513-WEEKDAY(B2513)+1</f>
        <v>43415</v>
      </c>
      <c r="D2513" s="1" t="e">
        <f aca="false" t="array" ref="D2513:D2513">IF(ISBLANK(_xlfn.xlookup(D$3,daily_items,_xlfn.xlookup($C2513,daily_dates,big_daily_table))),NA(),_xlfn.xlookup(D$3,daily_items,_xlfn.xlookup($C2513,daily_dates,big_daily_table)))</f>
        <v>#NAME?</v>
      </c>
      <c r="E2513" s="1" t="e">
        <f aca="false" t="array" ref="E2513:E2513">IF(ISBLANK(_xlfn.xlookup(E$3,daily_items,_xlfn.xlookup($C2513,daily_dates,big_daily_table))),NA(),_xlfn.xlookup(E$3,daily_items,_xlfn.xlookup($C2513,daily_dates,big_daily_table)))</f>
        <v>#NAME?</v>
      </c>
    </row>
    <row r="2514" customFormat="false" ht="14.25" hidden="false" customHeight="false" outlineLevel="0" collapsed="false">
      <c r="B2514" s="7" t="n">
        <v>43419</v>
      </c>
      <c r="C2514" s="7" t="n">
        <f aca="false">B2514-WEEKDAY(B2514)+1</f>
        <v>43415</v>
      </c>
      <c r="D2514" s="1" t="e">
        <f aca="false" t="array" ref="D2514:D2514">IF(ISBLANK(_xlfn.xlookup(D$3,daily_items,_xlfn.xlookup($C2514,daily_dates,big_daily_table))),NA(),_xlfn.xlookup(D$3,daily_items,_xlfn.xlookup($C2514,daily_dates,big_daily_table)))</f>
        <v>#NAME?</v>
      </c>
      <c r="E2514" s="1" t="e">
        <f aca="false" t="array" ref="E2514:E2514">IF(ISBLANK(_xlfn.xlookup(E$3,daily_items,_xlfn.xlookup($C2514,daily_dates,big_daily_table))),NA(),_xlfn.xlookup(E$3,daily_items,_xlfn.xlookup($C2514,daily_dates,big_daily_table)))</f>
        <v>#NAME?</v>
      </c>
    </row>
    <row r="2515" customFormat="false" ht="14.25" hidden="false" customHeight="false" outlineLevel="0" collapsed="false">
      <c r="B2515" s="7" t="n">
        <v>43420</v>
      </c>
      <c r="C2515" s="7" t="n">
        <f aca="false">B2515-WEEKDAY(B2515)+1</f>
        <v>43415</v>
      </c>
      <c r="D2515" s="1" t="e">
        <f aca="false" t="array" ref="D2515:D2515">IF(ISBLANK(_xlfn.xlookup(D$3,daily_items,_xlfn.xlookup($C2515,daily_dates,big_daily_table))),NA(),_xlfn.xlookup(D$3,daily_items,_xlfn.xlookup($C2515,daily_dates,big_daily_table)))</f>
        <v>#NAME?</v>
      </c>
      <c r="E2515" s="1" t="e">
        <f aca="false" t="array" ref="E2515:E2515">IF(ISBLANK(_xlfn.xlookup(E$3,daily_items,_xlfn.xlookup($C2515,daily_dates,big_daily_table))),NA(),_xlfn.xlookup(E$3,daily_items,_xlfn.xlookup($C2515,daily_dates,big_daily_table)))</f>
        <v>#NAME?</v>
      </c>
    </row>
    <row r="2516" customFormat="false" ht="14.25" hidden="false" customHeight="false" outlineLevel="0" collapsed="false">
      <c r="B2516" s="7" t="n">
        <v>43421</v>
      </c>
      <c r="C2516" s="7" t="n">
        <f aca="false">B2516-WEEKDAY(B2516)+1</f>
        <v>43415</v>
      </c>
      <c r="D2516" s="1" t="e">
        <f aca="false" t="array" ref="D2516:D2516">IF(ISBLANK(_xlfn.xlookup(D$3,daily_items,_xlfn.xlookup($C2516,daily_dates,big_daily_table))),NA(),_xlfn.xlookup(D$3,daily_items,_xlfn.xlookup($C2516,daily_dates,big_daily_table)))</f>
        <v>#NAME?</v>
      </c>
      <c r="E2516" s="1" t="e">
        <f aca="false" t="array" ref="E2516:E2516">IF(ISBLANK(_xlfn.xlookup(E$3,daily_items,_xlfn.xlookup($C2516,daily_dates,big_daily_table))),NA(),_xlfn.xlookup(E$3,daily_items,_xlfn.xlookup($C2516,daily_dates,big_daily_table)))</f>
        <v>#NAME?</v>
      </c>
    </row>
    <row r="2517" customFormat="false" ht="14.25" hidden="false" customHeight="false" outlineLevel="0" collapsed="false">
      <c r="B2517" s="7" t="n">
        <v>43422</v>
      </c>
      <c r="C2517" s="7" t="n">
        <f aca="false">B2517-WEEKDAY(B2517)+1</f>
        <v>43422</v>
      </c>
      <c r="D2517" s="1" t="e">
        <f aca="false" t="array" ref="D2517:D2517">IF(ISBLANK(_xlfn.xlookup(D$3,daily_items,_xlfn.xlookup($C2517,daily_dates,big_daily_table))),NA(),_xlfn.xlookup(D$3,daily_items,_xlfn.xlookup($C2517,daily_dates,big_daily_table)))</f>
        <v>#NAME?</v>
      </c>
      <c r="E2517" s="1" t="e">
        <f aca="false" t="array" ref="E2517:E2517">IF(ISBLANK(_xlfn.xlookup(E$3,daily_items,_xlfn.xlookup($C2517,daily_dates,big_daily_table))),NA(),_xlfn.xlookup(E$3,daily_items,_xlfn.xlookup($C2517,daily_dates,big_daily_table)))</f>
        <v>#NAME?</v>
      </c>
    </row>
    <row r="2518" customFormat="false" ht="14.25" hidden="false" customHeight="false" outlineLevel="0" collapsed="false">
      <c r="B2518" s="7" t="n">
        <v>43423</v>
      </c>
      <c r="C2518" s="7" t="n">
        <f aca="false">B2518-WEEKDAY(B2518)+1</f>
        <v>43422</v>
      </c>
      <c r="D2518" s="1" t="e">
        <f aca="false" t="array" ref="D2518:D2518">IF(ISBLANK(_xlfn.xlookup(D$3,daily_items,_xlfn.xlookup($C2518,daily_dates,big_daily_table))),NA(),_xlfn.xlookup(D$3,daily_items,_xlfn.xlookup($C2518,daily_dates,big_daily_table)))</f>
        <v>#NAME?</v>
      </c>
      <c r="E2518" s="1" t="e">
        <f aca="false" t="array" ref="E2518:E2518">IF(ISBLANK(_xlfn.xlookup(E$3,daily_items,_xlfn.xlookup($C2518,daily_dates,big_daily_table))),NA(),_xlfn.xlookup(E$3,daily_items,_xlfn.xlookup($C2518,daily_dates,big_daily_table)))</f>
        <v>#NAME?</v>
      </c>
    </row>
    <row r="2519" customFormat="false" ht="14.25" hidden="false" customHeight="false" outlineLevel="0" collapsed="false">
      <c r="B2519" s="7" t="n">
        <v>43424</v>
      </c>
      <c r="C2519" s="7" t="n">
        <f aca="false">B2519-WEEKDAY(B2519)+1</f>
        <v>43422</v>
      </c>
      <c r="D2519" s="1" t="e">
        <f aca="false" t="array" ref="D2519:D2519">IF(ISBLANK(_xlfn.xlookup(D$3,daily_items,_xlfn.xlookup($C2519,daily_dates,big_daily_table))),NA(),_xlfn.xlookup(D$3,daily_items,_xlfn.xlookup($C2519,daily_dates,big_daily_table)))</f>
        <v>#NAME?</v>
      </c>
      <c r="E2519" s="1" t="e">
        <f aca="false" t="array" ref="E2519:E2519">IF(ISBLANK(_xlfn.xlookup(E$3,daily_items,_xlfn.xlookup($C2519,daily_dates,big_daily_table))),NA(),_xlfn.xlookup(E$3,daily_items,_xlfn.xlookup($C2519,daily_dates,big_daily_table)))</f>
        <v>#NAME?</v>
      </c>
    </row>
    <row r="2520" customFormat="false" ht="14.25" hidden="false" customHeight="false" outlineLevel="0" collapsed="false">
      <c r="B2520" s="7" t="n">
        <v>43425</v>
      </c>
      <c r="C2520" s="7" t="n">
        <f aca="false">B2520-WEEKDAY(B2520)+1</f>
        <v>43422</v>
      </c>
      <c r="D2520" s="1" t="e">
        <f aca="false" t="array" ref="D2520:D2520">IF(ISBLANK(_xlfn.xlookup(D$3,daily_items,_xlfn.xlookup($C2520,daily_dates,big_daily_table))),NA(),_xlfn.xlookup(D$3,daily_items,_xlfn.xlookup($C2520,daily_dates,big_daily_table)))</f>
        <v>#NAME?</v>
      </c>
      <c r="E2520" s="1" t="e">
        <f aca="false" t="array" ref="E2520:E2520">IF(ISBLANK(_xlfn.xlookup(E$3,daily_items,_xlfn.xlookup($C2520,daily_dates,big_daily_table))),NA(),_xlfn.xlookup(E$3,daily_items,_xlfn.xlookup($C2520,daily_dates,big_daily_table)))</f>
        <v>#NAME?</v>
      </c>
    </row>
    <row r="2521" customFormat="false" ht="14.25" hidden="false" customHeight="false" outlineLevel="0" collapsed="false">
      <c r="B2521" s="7" t="n">
        <v>43426</v>
      </c>
      <c r="C2521" s="7" t="n">
        <f aca="false">B2521-WEEKDAY(B2521)+1</f>
        <v>43422</v>
      </c>
      <c r="D2521" s="1" t="e">
        <f aca="false" t="array" ref="D2521:D2521">IF(ISBLANK(_xlfn.xlookup(D$3,daily_items,_xlfn.xlookup($C2521,daily_dates,big_daily_table))),NA(),_xlfn.xlookup(D$3,daily_items,_xlfn.xlookup($C2521,daily_dates,big_daily_table)))</f>
        <v>#NAME?</v>
      </c>
      <c r="E2521" s="1" t="e">
        <f aca="false" t="array" ref="E2521:E2521">IF(ISBLANK(_xlfn.xlookup(E$3,daily_items,_xlfn.xlookup($C2521,daily_dates,big_daily_table))),NA(),_xlfn.xlookup(E$3,daily_items,_xlfn.xlookup($C2521,daily_dates,big_daily_table)))</f>
        <v>#NAME?</v>
      </c>
    </row>
    <row r="2522" customFormat="false" ht="14.25" hidden="false" customHeight="false" outlineLevel="0" collapsed="false">
      <c r="B2522" s="7" t="n">
        <v>43427</v>
      </c>
      <c r="C2522" s="7" t="n">
        <f aca="false">B2522-WEEKDAY(B2522)+1</f>
        <v>43422</v>
      </c>
      <c r="D2522" s="1" t="e">
        <f aca="false" t="array" ref="D2522:D2522">IF(ISBLANK(_xlfn.xlookup(D$3,daily_items,_xlfn.xlookup($C2522,daily_dates,big_daily_table))),NA(),_xlfn.xlookup(D$3,daily_items,_xlfn.xlookup($C2522,daily_dates,big_daily_table)))</f>
        <v>#NAME?</v>
      </c>
      <c r="E2522" s="1" t="e">
        <f aca="false" t="array" ref="E2522:E2522">IF(ISBLANK(_xlfn.xlookup(E$3,daily_items,_xlfn.xlookup($C2522,daily_dates,big_daily_table))),NA(),_xlfn.xlookup(E$3,daily_items,_xlfn.xlookup($C2522,daily_dates,big_daily_table)))</f>
        <v>#NAME?</v>
      </c>
    </row>
    <row r="2523" customFormat="false" ht="14.25" hidden="false" customHeight="false" outlineLevel="0" collapsed="false">
      <c r="B2523" s="7" t="n">
        <v>43428</v>
      </c>
      <c r="C2523" s="7" t="n">
        <f aca="false">B2523-WEEKDAY(B2523)+1</f>
        <v>43422</v>
      </c>
      <c r="D2523" s="1" t="e">
        <f aca="false" t="array" ref="D2523:D2523">IF(ISBLANK(_xlfn.xlookup(D$3,daily_items,_xlfn.xlookup($C2523,daily_dates,big_daily_table))),NA(),_xlfn.xlookup(D$3,daily_items,_xlfn.xlookup($C2523,daily_dates,big_daily_table)))</f>
        <v>#NAME?</v>
      </c>
      <c r="E2523" s="1" t="e">
        <f aca="false" t="array" ref="E2523:E2523">IF(ISBLANK(_xlfn.xlookup(E$3,daily_items,_xlfn.xlookup($C2523,daily_dates,big_daily_table))),NA(),_xlfn.xlookup(E$3,daily_items,_xlfn.xlookup($C2523,daily_dates,big_daily_table)))</f>
        <v>#NAME?</v>
      </c>
    </row>
    <row r="2524" customFormat="false" ht="14.25" hidden="false" customHeight="false" outlineLevel="0" collapsed="false">
      <c r="B2524" s="7" t="n">
        <v>43429</v>
      </c>
      <c r="C2524" s="7" t="n">
        <f aca="false">B2524-WEEKDAY(B2524)+1</f>
        <v>43429</v>
      </c>
      <c r="D2524" s="1" t="e">
        <f aca="false" t="array" ref="D2524:D2524">IF(ISBLANK(_xlfn.xlookup(D$3,daily_items,_xlfn.xlookup($C2524,daily_dates,big_daily_table))),NA(),_xlfn.xlookup(D$3,daily_items,_xlfn.xlookup($C2524,daily_dates,big_daily_table)))</f>
        <v>#NAME?</v>
      </c>
      <c r="E2524" s="1" t="e">
        <f aca="false" t="array" ref="E2524:E2524">IF(ISBLANK(_xlfn.xlookup(E$3,daily_items,_xlfn.xlookup($C2524,daily_dates,big_daily_table))),NA(),_xlfn.xlookup(E$3,daily_items,_xlfn.xlookup($C2524,daily_dates,big_daily_table)))</f>
        <v>#NAME?</v>
      </c>
    </row>
    <row r="2525" customFormat="false" ht="14.25" hidden="false" customHeight="false" outlineLevel="0" collapsed="false">
      <c r="B2525" s="7" t="n">
        <v>43430</v>
      </c>
      <c r="C2525" s="7" t="n">
        <f aca="false">B2525-WEEKDAY(B2525)+1</f>
        <v>43429</v>
      </c>
      <c r="D2525" s="1" t="e">
        <f aca="false" t="array" ref="D2525:D2525">IF(ISBLANK(_xlfn.xlookup(D$3,daily_items,_xlfn.xlookup($C2525,daily_dates,big_daily_table))),NA(),_xlfn.xlookup(D$3,daily_items,_xlfn.xlookup($C2525,daily_dates,big_daily_table)))</f>
        <v>#NAME?</v>
      </c>
      <c r="E2525" s="1" t="e">
        <f aca="false" t="array" ref="E2525:E2525">IF(ISBLANK(_xlfn.xlookup(E$3,daily_items,_xlfn.xlookup($C2525,daily_dates,big_daily_table))),NA(),_xlfn.xlookup(E$3,daily_items,_xlfn.xlookup($C2525,daily_dates,big_daily_table)))</f>
        <v>#NAME?</v>
      </c>
    </row>
    <row r="2526" customFormat="false" ht="14.25" hidden="false" customHeight="false" outlineLevel="0" collapsed="false">
      <c r="B2526" s="7" t="n">
        <v>43431</v>
      </c>
      <c r="C2526" s="7" t="n">
        <f aca="false">B2526-WEEKDAY(B2526)+1</f>
        <v>43429</v>
      </c>
      <c r="D2526" s="1" t="e">
        <f aca="false" t="array" ref="D2526:D2526">IF(ISBLANK(_xlfn.xlookup(D$3,daily_items,_xlfn.xlookup($C2526,daily_dates,big_daily_table))),NA(),_xlfn.xlookup(D$3,daily_items,_xlfn.xlookup($C2526,daily_dates,big_daily_table)))</f>
        <v>#NAME?</v>
      </c>
      <c r="E2526" s="1" t="e">
        <f aca="false" t="array" ref="E2526:E2526">IF(ISBLANK(_xlfn.xlookup(E$3,daily_items,_xlfn.xlookup($C2526,daily_dates,big_daily_table))),NA(),_xlfn.xlookup(E$3,daily_items,_xlfn.xlookup($C2526,daily_dates,big_daily_table)))</f>
        <v>#NAME?</v>
      </c>
    </row>
    <row r="2527" customFormat="false" ht="14.25" hidden="false" customHeight="false" outlineLevel="0" collapsed="false">
      <c r="B2527" s="7" t="n">
        <v>43432</v>
      </c>
      <c r="C2527" s="7" t="n">
        <f aca="false">B2527-WEEKDAY(B2527)+1</f>
        <v>43429</v>
      </c>
      <c r="D2527" s="1" t="e">
        <f aca="false" t="array" ref="D2527:D2527">IF(ISBLANK(_xlfn.xlookup(D$3,daily_items,_xlfn.xlookup($C2527,daily_dates,big_daily_table))),NA(),_xlfn.xlookup(D$3,daily_items,_xlfn.xlookup($C2527,daily_dates,big_daily_table)))</f>
        <v>#NAME?</v>
      </c>
      <c r="E2527" s="1" t="e">
        <f aca="false" t="array" ref="E2527:E2527">IF(ISBLANK(_xlfn.xlookup(E$3,daily_items,_xlfn.xlookup($C2527,daily_dates,big_daily_table))),NA(),_xlfn.xlookup(E$3,daily_items,_xlfn.xlookup($C2527,daily_dates,big_daily_table)))</f>
        <v>#NAME?</v>
      </c>
    </row>
    <row r="2528" customFormat="false" ht="14.25" hidden="false" customHeight="false" outlineLevel="0" collapsed="false">
      <c r="B2528" s="7" t="n">
        <v>43433</v>
      </c>
      <c r="C2528" s="7" t="n">
        <f aca="false">B2528-WEEKDAY(B2528)+1</f>
        <v>43429</v>
      </c>
      <c r="D2528" s="1" t="e">
        <f aca="false" t="array" ref="D2528:D2528">IF(ISBLANK(_xlfn.xlookup(D$3,daily_items,_xlfn.xlookup($C2528,daily_dates,big_daily_table))),NA(),_xlfn.xlookup(D$3,daily_items,_xlfn.xlookup($C2528,daily_dates,big_daily_table)))</f>
        <v>#NAME?</v>
      </c>
      <c r="E2528" s="1" t="e">
        <f aca="false" t="array" ref="E2528:E2528">IF(ISBLANK(_xlfn.xlookup(E$3,daily_items,_xlfn.xlookup($C2528,daily_dates,big_daily_table))),NA(),_xlfn.xlookup(E$3,daily_items,_xlfn.xlookup($C2528,daily_dates,big_daily_table)))</f>
        <v>#NAME?</v>
      </c>
    </row>
    <row r="2529" customFormat="false" ht="14.25" hidden="false" customHeight="false" outlineLevel="0" collapsed="false">
      <c r="B2529" s="7" t="n">
        <v>43434</v>
      </c>
      <c r="C2529" s="7" t="n">
        <f aca="false">B2529-WEEKDAY(B2529)+1</f>
        <v>43429</v>
      </c>
      <c r="D2529" s="1" t="e">
        <f aca="false" t="array" ref="D2529:D2529">IF(ISBLANK(_xlfn.xlookup(D$3,daily_items,_xlfn.xlookup($C2529,daily_dates,big_daily_table))),NA(),_xlfn.xlookup(D$3,daily_items,_xlfn.xlookup($C2529,daily_dates,big_daily_table)))</f>
        <v>#NAME?</v>
      </c>
      <c r="E2529" s="1" t="e">
        <f aca="false" t="array" ref="E2529:E2529">IF(ISBLANK(_xlfn.xlookup(E$3,daily_items,_xlfn.xlookup($C2529,daily_dates,big_daily_table))),NA(),_xlfn.xlookup(E$3,daily_items,_xlfn.xlookup($C2529,daily_dates,big_daily_table)))</f>
        <v>#NAME?</v>
      </c>
    </row>
    <row r="2530" customFormat="false" ht="14.25" hidden="false" customHeight="false" outlineLevel="0" collapsed="false">
      <c r="B2530" s="7" t="n">
        <v>43435</v>
      </c>
      <c r="C2530" s="7" t="n">
        <f aca="false">B2530-WEEKDAY(B2530)+1</f>
        <v>43429</v>
      </c>
      <c r="D2530" s="1" t="e">
        <f aca="false" t="array" ref="D2530:D2530">IF(ISBLANK(_xlfn.xlookup(D$3,daily_items,_xlfn.xlookup($C2530,daily_dates,big_daily_table))),NA(),_xlfn.xlookup(D$3,daily_items,_xlfn.xlookup($C2530,daily_dates,big_daily_table)))</f>
        <v>#NAME?</v>
      </c>
      <c r="E2530" s="1" t="e">
        <f aca="false" t="array" ref="E2530:E2530">IF(ISBLANK(_xlfn.xlookup(E$3,daily_items,_xlfn.xlookup($C2530,daily_dates,big_daily_table))),NA(),_xlfn.xlookup(E$3,daily_items,_xlfn.xlookup($C2530,daily_dates,big_daily_table)))</f>
        <v>#NAME?</v>
      </c>
    </row>
    <row r="2531" customFormat="false" ht="14.25" hidden="false" customHeight="false" outlineLevel="0" collapsed="false">
      <c r="B2531" s="7" t="n">
        <v>43436</v>
      </c>
      <c r="C2531" s="7" t="n">
        <f aca="false">B2531-WEEKDAY(B2531)+1</f>
        <v>43436</v>
      </c>
      <c r="D2531" s="1" t="e">
        <f aca="false" t="array" ref="D2531:D2531">IF(ISBLANK(_xlfn.xlookup(D$3,daily_items,_xlfn.xlookup($C2531,daily_dates,big_daily_table))),NA(),_xlfn.xlookup(D$3,daily_items,_xlfn.xlookup($C2531,daily_dates,big_daily_table)))</f>
        <v>#NAME?</v>
      </c>
      <c r="E2531" s="1" t="e">
        <f aca="false" t="array" ref="E2531:E2531">IF(ISBLANK(_xlfn.xlookup(E$3,daily_items,_xlfn.xlookup($C2531,daily_dates,big_daily_table))),NA(),_xlfn.xlookup(E$3,daily_items,_xlfn.xlookup($C2531,daily_dates,big_daily_table)))</f>
        <v>#NAME?</v>
      </c>
    </row>
    <row r="2532" customFormat="false" ht="14.25" hidden="false" customHeight="false" outlineLevel="0" collapsed="false">
      <c r="B2532" s="7" t="n">
        <v>43437</v>
      </c>
      <c r="C2532" s="7" t="n">
        <f aca="false">B2532-WEEKDAY(B2532)+1</f>
        <v>43436</v>
      </c>
      <c r="D2532" s="1" t="e">
        <f aca="false" t="array" ref="D2532:D2532">IF(ISBLANK(_xlfn.xlookup(D$3,daily_items,_xlfn.xlookup($C2532,daily_dates,big_daily_table))),NA(),_xlfn.xlookup(D$3,daily_items,_xlfn.xlookup($C2532,daily_dates,big_daily_table)))</f>
        <v>#NAME?</v>
      </c>
      <c r="E2532" s="1" t="e">
        <f aca="false" t="array" ref="E2532:E2532">IF(ISBLANK(_xlfn.xlookup(E$3,daily_items,_xlfn.xlookup($C2532,daily_dates,big_daily_table))),NA(),_xlfn.xlookup(E$3,daily_items,_xlfn.xlookup($C2532,daily_dates,big_daily_table)))</f>
        <v>#NAME?</v>
      </c>
    </row>
    <row r="2533" customFormat="false" ht="14.25" hidden="false" customHeight="false" outlineLevel="0" collapsed="false">
      <c r="B2533" s="7" t="n">
        <v>43438</v>
      </c>
      <c r="C2533" s="7" t="n">
        <f aca="false">B2533-WEEKDAY(B2533)+1</f>
        <v>43436</v>
      </c>
      <c r="D2533" s="1" t="e">
        <f aca="false" t="array" ref="D2533:D2533">IF(ISBLANK(_xlfn.xlookup(D$3,daily_items,_xlfn.xlookup($C2533,daily_dates,big_daily_table))),NA(),_xlfn.xlookup(D$3,daily_items,_xlfn.xlookup($C2533,daily_dates,big_daily_table)))</f>
        <v>#NAME?</v>
      </c>
      <c r="E2533" s="1" t="e">
        <f aca="false" t="array" ref="E2533:E2533">IF(ISBLANK(_xlfn.xlookup(E$3,daily_items,_xlfn.xlookup($C2533,daily_dates,big_daily_table))),NA(),_xlfn.xlookup(E$3,daily_items,_xlfn.xlookup($C2533,daily_dates,big_daily_table)))</f>
        <v>#NAME?</v>
      </c>
    </row>
    <row r="2534" customFormat="false" ht="14.25" hidden="false" customHeight="false" outlineLevel="0" collapsed="false">
      <c r="B2534" s="7" t="n">
        <v>43439</v>
      </c>
      <c r="C2534" s="7" t="n">
        <f aca="false">B2534-WEEKDAY(B2534)+1</f>
        <v>43436</v>
      </c>
      <c r="D2534" s="1" t="e">
        <f aca="false" t="array" ref="D2534:D2534">IF(ISBLANK(_xlfn.xlookup(D$3,daily_items,_xlfn.xlookup($C2534,daily_dates,big_daily_table))),NA(),_xlfn.xlookup(D$3,daily_items,_xlfn.xlookup($C2534,daily_dates,big_daily_table)))</f>
        <v>#NAME?</v>
      </c>
      <c r="E2534" s="1" t="e">
        <f aca="false" t="array" ref="E2534:E2534">IF(ISBLANK(_xlfn.xlookup(E$3,daily_items,_xlfn.xlookup($C2534,daily_dates,big_daily_table))),NA(),_xlfn.xlookup(E$3,daily_items,_xlfn.xlookup($C2534,daily_dates,big_daily_table)))</f>
        <v>#NAME?</v>
      </c>
    </row>
    <row r="2535" customFormat="false" ht="14.25" hidden="false" customHeight="false" outlineLevel="0" collapsed="false">
      <c r="B2535" s="7" t="n">
        <v>43440</v>
      </c>
      <c r="C2535" s="7" t="n">
        <f aca="false">B2535-WEEKDAY(B2535)+1</f>
        <v>43436</v>
      </c>
      <c r="D2535" s="1" t="e">
        <f aca="false" t="array" ref="D2535:D2535">IF(ISBLANK(_xlfn.xlookup(D$3,daily_items,_xlfn.xlookup($C2535,daily_dates,big_daily_table))),NA(),_xlfn.xlookup(D$3,daily_items,_xlfn.xlookup($C2535,daily_dates,big_daily_table)))</f>
        <v>#NAME?</v>
      </c>
      <c r="E2535" s="1" t="e">
        <f aca="false" t="array" ref="E2535:E2535">IF(ISBLANK(_xlfn.xlookup(E$3,daily_items,_xlfn.xlookup($C2535,daily_dates,big_daily_table))),NA(),_xlfn.xlookup(E$3,daily_items,_xlfn.xlookup($C2535,daily_dates,big_daily_table)))</f>
        <v>#NAME?</v>
      </c>
    </row>
    <row r="2536" customFormat="false" ht="14.25" hidden="false" customHeight="false" outlineLevel="0" collapsed="false">
      <c r="B2536" s="7" t="n">
        <v>43441</v>
      </c>
      <c r="C2536" s="7" t="n">
        <f aca="false">B2536-WEEKDAY(B2536)+1</f>
        <v>43436</v>
      </c>
      <c r="D2536" s="1" t="e">
        <f aca="false" t="array" ref="D2536:D2536">IF(ISBLANK(_xlfn.xlookup(D$3,daily_items,_xlfn.xlookup($C2536,daily_dates,big_daily_table))),NA(),_xlfn.xlookup(D$3,daily_items,_xlfn.xlookup($C2536,daily_dates,big_daily_table)))</f>
        <v>#NAME?</v>
      </c>
      <c r="E2536" s="1" t="e">
        <f aca="false" t="array" ref="E2536:E2536">IF(ISBLANK(_xlfn.xlookup(E$3,daily_items,_xlfn.xlookup($C2536,daily_dates,big_daily_table))),NA(),_xlfn.xlookup(E$3,daily_items,_xlfn.xlookup($C2536,daily_dates,big_daily_table)))</f>
        <v>#NAME?</v>
      </c>
    </row>
    <row r="2537" customFormat="false" ht="14.25" hidden="false" customHeight="false" outlineLevel="0" collapsed="false">
      <c r="B2537" s="7" t="n">
        <v>43442</v>
      </c>
      <c r="C2537" s="7" t="n">
        <f aca="false">B2537-WEEKDAY(B2537)+1</f>
        <v>43436</v>
      </c>
      <c r="D2537" s="1" t="e">
        <f aca="false" t="array" ref="D2537:D2537">IF(ISBLANK(_xlfn.xlookup(D$3,daily_items,_xlfn.xlookup($C2537,daily_dates,big_daily_table))),NA(),_xlfn.xlookup(D$3,daily_items,_xlfn.xlookup($C2537,daily_dates,big_daily_table)))</f>
        <v>#NAME?</v>
      </c>
      <c r="E2537" s="1" t="e">
        <f aca="false" t="array" ref="E2537:E2537">IF(ISBLANK(_xlfn.xlookup(E$3,daily_items,_xlfn.xlookup($C2537,daily_dates,big_daily_table))),NA(),_xlfn.xlookup(E$3,daily_items,_xlfn.xlookup($C2537,daily_dates,big_daily_table)))</f>
        <v>#NAME?</v>
      </c>
    </row>
    <row r="2538" customFormat="false" ht="14.25" hidden="false" customHeight="false" outlineLevel="0" collapsed="false">
      <c r="B2538" s="7" t="n">
        <v>43443</v>
      </c>
      <c r="C2538" s="7" t="n">
        <f aca="false">B2538-WEEKDAY(B2538)+1</f>
        <v>43443</v>
      </c>
      <c r="D2538" s="1" t="e">
        <f aca="false" t="array" ref="D2538:D2538">IF(ISBLANK(_xlfn.xlookup(D$3,daily_items,_xlfn.xlookup($C2538,daily_dates,big_daily_table))),NA(),_xlfn.xlookup(D$3,daily_items,_xlfn.xlookup($C2538,daily_dates,big_daily_table)))</f>
        <v>#NAME?</v>
      </c>
      <c r="E2538" s="1" t="e">
        <f aca="false" t="array" ref="E2538:E2538">IF(ISBLANK(_xlfn.xlookup(E$3,daily_items,_xlfn.xlookup($C2538,daily_dates,big_daily_table))),NA(),_xlfn.xlookup(E$3,daily_items,_xlfn.xlookup($C2538,daily_dates,big_daily_table)))</f>
        <v>#NAME?</v>
      </c>
    </row>
    <row r="2539" customFormat="false" ht="14.25" hidden="false" customHeight="false" outlineLevel="0" collapsed="false">
      <c r="B2539" s="7" t="n">
        <v>43444</v>
      </c>
      <c r="C2539" s="7" t="n">
        <f aca="false">B2539-WEEKDAY(B2539)+1</f>
        <v>43443</v>
      </c>
      <c r="D2539" s="1" t="e">
        <f aca="false" t="array" ref="D2539:D2539">IF(ISBLANK(_xlfn.xlookup(D$3,daily_items,_xlfn.xlookup($C2539,daily_dates,big_daily_table))),NA(),_xlfn.xlookup(D$3,daily_items,_xlfn.xlookup($C2539,daily_dates,big_daily_table)))</f>
        <v>#NAME?</v>
      </c>
      <c r="E2539" s="1" t="e">
        <f aca="false" t="array" ref="E2539:E2539">IF(ISBLANK(_xlfn.xlookup(E$3,daily_items,_xlfn.xlookup($C2539,daily_dates,big_daily_table))),NA(),_xlfn.xlookup(E$3,daily_items,_xlfn.xlookup($C2539,daily_dates,big_daily_table)))</f>
        <v>#NAME?</v>
      </c>
    </row>
    <row r="2540" customFormat="false" ht="14.25" hidden="false" customHeight="false" outlineLevel="0" collapsed="false">
      <c r="B2540" s="7" t="n">
        <v>43445</v>
      </c>
      <c r="C2540" s="7" t="n">
        <f aca="false">B2540-WEEKDAY(B2540)+1</f>
        <v>43443</v>
      </c>
      <c r="D2540" s="1" t="e">
        <f aca="false" t="array" ref="D2540:D2540">IF(ISBLANK(_xlfn.xlookup(D$3,daily_items,_xlfn.xlookup($C2540,daily_dates,big_daily_table))),NA(),_xlfn.xlookup(D$3,daily_items,_xlfn.xlookup($C2540,daily_dates,big_daily_table)))</f>
        <v>#NAME?</v>
      </c>
      <c r="E2540" s="1" t="e">
        <f aca="false" t="array" ref="E2540:E2540">IF(ISBLANK(_xlfn.xlookup(E$3,daily_items,_xlfn.xlookup($C2540,daily_dates,big_daily_table))),NA(),_xlfn.xlookup(E$3,daily_items,_xlfn.xlookup($C2540,daily_dates,big_daily_table)))</f>
        <v>#NAME?</v>
      </c>
    </row>
    <row r="2541" customFormat="false" ht="14.25" hidden="false" customHeight="false" outlineLevel="0" collapsed="false">
      <c r="B2541" s="7" t="n">
        <v>43446</v>
      </c>
      <c r="C2541" s="7" t="n">
        <f aca="false">B2541-WEEKDAY(B2541)+1</f>
        <v>43443</v>
      </c>
      <c r="D2541" s="1" t="e">
        <f aca="false" t="array" ref="D2541:D2541">IF(ISBLANK(_xlfn.xlookup(D$3,daily_items,_xlfn.xlookup($C2541,daily_dates,big_daily_table))),NA(),_xlfn.xlookup(D$3,daily_items,_xlfn.xlookup($C2541,daily_dates,big_daily_table)))</f>
        <v>#NAME?</v>
      </c>
      <c r="E2541" s="1" t="e">
        <f aca="false" t="array" ref="E2541:E2541">IF(ISBLANK(_xlfn.xlookup(E$3,daily_items,_xlfn.xlookup($C2541,daily_dates,big_daily_table))),NA(),_xlfn.xlookup(E$3,daily_items,_xlfn.xlookup($C2541,daily_dates,big_daily_table)))</f>
        <v>#NAME?</v>
      </c>
    </row>
    <row r="2542" customFormat="false" ht="14.25" hidden="false" customHeight="false" outlineLevel="0" collapsed="false">
      <c r="B2542" s="7" t="n">
        <v>43447</v>
      </c>
      <c r="C2542" s="7" t="n">
        <f aca="false">B2542-WEEKDAY(B2542)+1</f>
        <v>43443</v>
      </c>
      <c r="D2542" s="1" t="e">
        <f aca="false" t="array" ref="D2542:D2542">IF(ISBLANK(_xlfn.xlookup(D$3,daily_items,_xlfn.xlookup($C2542,daily_dates,big_daily_table))),NA(),_xlfn.xlookup(D$3,daily_items,_xlfn.xlookup($C2542,daily_dates,big_daily_table)))</f>
        <v>#NAME?</v>
      </c>
      <c r="E2542" s="1" t="e">
        <f aca="false" t="array" ref="E2542:E2542">IF(ISBLANK(_xlfn.xlookup(E$3,daily_items,_xlfn.xlookup($C2542,daily_dates,big_daily_table))),NA(),_xlfn.xlookup(E$3,daily_items,_xlfn.xlookup($C2542,daily_dates,big_daily_table)))</f>
        <v>#NAME?</v>
      </c>
    </row>
    <row r="2543" customFormat="false" ht="14.25" hidden="false" customHeight="false" outlineLevel="0" collapsed="false">
      <c r="B2543" s="7" t="n">
        <v>43448</v>
      </c>
      <c r="C2543" s="7" t="n">
        <f aca="false">B2543-WEEKDAY(B2543)+1</f>
        <v>43443</v>
      </c>
      <c r="D2543" s="1" t="e">
        <f aca="false" t="array" ref="D2543:D2543">IF(ISBLANK(_xlfn.xlookup(D$3,daily_items,_xlfn.xlookup($C2543,daily_dates,big_daily_table))),NA(),_xlfn.xlookup(D$3,daily_items,_xlfn.xlookup($C2543,daily_dates,big_daily_table)))</f>
        <v>#NAME?</v>
      </c>
      <c r="E2543" s="1" t="e">
        <f aca="false" t="array" ref="E2543:E2543">IF(ISBLANK(_xlfn.xlookup(E$3,daily_items,_xlfn.xlookup($C2543,daily_dates,big_daily_table))),NA(),_xlfn.xlookup(E$3,daily_items,_xlfn.xlookup($C2543,daily_dates,big_daily_table)))</f>
        <v>#NAME?</v>
      </c>
    </row>
    <row r="2544" customFormat="false" ht="14.25" hidden="false" customHeight="false" outlineLevel="0" collapsed="false">
      <c r="B2544" s="7" t="n">
        <v>43449</v>
      </c>
      <c r="C2544" s="7" t="n">
        <f aca="false">B2544-WEEKDAY(B2544)+1</f>
        <v>43443</v>
      </c>
      <c r="D2544" s="1" t="e">
        <f aca="false" t="array" ref="D2544:D2544">IF(ISBLANK(_xlfn.xlookup(D$3,daily_items,_xlfn.xlookup($C2544,daily_dates,big_daily_table))),NA(),_xlfn.xlookup(D$3,daily_items,_xlfn.xlookup($C2544,daily_dates,big_daily_table)))</f>
        <v>#NAME?</v>
      </c>
      <c r="E2544" s="1" t="e">
        <f aca="false" t="array" ref="E2544:E2544">IF(ISBLANK(_xlfn.xlookup(E$3,daily_items,_xlfn.xlookup($C2544,daily_dates,big_daily_table))),NA(),_xlfn.xlookup(E$3,daily_items,_xlfn.xlookup($C2544,daily_dates,big_daily_table)))</f>
        <v>#NAME?</v>
      </c>
    </row>
    <row r="2545" customFormat="false" ht="14.25" hidden="false" customHeight="false" outlineLevel="0" collapsed="false">
      <c r="B2545" s="7" t="n">
        <v>43450</v>
      </c>
      <c r="C2545" s="7" t="n">
        <f aca="false">B2545-WEEKDAY(B2545)+1</f>
        <v>43450</v>
      </c>
      <c r="D2545" s="1" t="e">
        <f aca="false" t="array" ref="D2545:D2545">IF(ISBLANK(_xlfn.xlookup(D$3,daily_items,_xlfn.xlookup($C2545,daily_dates,big_daily_table))),NA(),_xlfn.xlookup(D$3,daily_items,_xlfn.xlookup($C2545,daily_dates,big_daily_table)))</f>
        <v>#NAME?</v>
      </c>
      <c r="E2545" s="1" t="e">
        <f aca="false" t="array" ref="E2545:E2545">IF(ISBLANK(_xlfn.xlookup(E$3,daily_items,_xlfn.xlookup($C2545,daily_dates,big_daily_table))),NA(),_xlfn.xlookup(E$3,daily_items,_xlfn.xlookup($C2545,daily_dates,big_daily_table)))</f>
        <v>#NAME?</v>
      </c>
    </row>
    <row r="2546" customFormat="false" ht="14.25" hidden="false" customHeight="false" outlineLevel="0" collapsed="false">
      <c r="B2546" s="7" t="n">
        <v>43451</v>
      </c>
      <c r="C2546" s="7" t="n">
        <f aca="false">B2546-WEEKDAY(B2546)+1</f>
        <v>43450</v>
      </c>
      <c r="D2546" s="1" t="e">
        <f aca="false" t="array" ref="D2546:D2546">IF(ISBLANK(_xlfn.xlookup(D$3,daily_items,_xlfn.xlookup($C2546,daily_dates,big_daily_table))),NA(),_xlfn.xlookup(D$3,daily_items,_xlfn.xlookup($C2546,daily_dates,big_daily_table)))</f>
        <v>#NAME?</v>
      </c>
      <c r="E2546" s="1" t="e">
        <f aca="false" t="array" ref="E2546:E2546">IF(ISBLANK(_xlfn.xlookup(E$3,daily_items,_xlfn.xlookup($C2546,daily_dates,big_daily_table))),NA(),_xlfn.xlookup(E$3,daily_items,_xlfn.xlookup($C2546,daily_dates,big_daily_table)))</f>
        <v>#NAME?</v>
      </c>
    </row>
    <row r="2547" customFormat="false" ht="14.25" hidden="false" customHeight="false" outlineLevel="0" collapsed="false">
      <c r="B2547" s="7" t="n">
        <v>43452</v>
      </c>
      <c r="C2547" s="7" t="n">
        <f aca="false">B2547-WEEKDAY(B2547)+1</f>
        <v>43450</v>
      </c>
      <c r="D2547" s="1" t="e">
        <f aca="false" t="array" ref="D2547:D2547">IF(ISBLANK(_xlfn.xlookup(D$3,daily_items,_xlfn.xlookup($C2547,daily_dates,big_daily_table))),NA(),_xlfn.xlookup(D$3,daily_items,_xlfn.xlookup($C2547,daily_dates,big_daily_table)))</f>
        <v>#NAME?</v>
      </c>
      <c r="E2547" s="1" t="e">
        <f aca="false" t="array" ref="E2547:E2547">IF(ISBLANK(_xlfn.xlookup(E$3,daily_items,_xlfn.xlookup($C2547,daily_dates,big_daily_table))),NA(),_xlfn.xlookup(E$3,daily_items,_xlfn.xlookup($C2547,daily_dates,big_daily_table)))</f>
        <v>#NAME?</v>
      </c>
    </row>
    <row r="2548" customFormat="false" ht="14.25" hidden="false" customHeight="false" outlineLevel="0" collapsed="false">
      <c r="B2548" s="7" t="n">
        <v>43453</v>
      </c>
      <c r="C2548" s="7" t="n">
        <f aca="false">B2548-WEEKDAY(B2548)+1</f>
        <v>43450</v>
      </c>
      <c r="D2548" s="1" t="e">
        <f aca="false" t="array" ref="D2548:D2548">IF(ISBLANK(_xlfn.xlookup(D$3,daily_items,_xlfn.xlookup($C2548,daily_dates,big_daily_table))),NA(),_xlfn.xlookup(D$3,daily_items,_xlfn.xlookup($C2548,daily_dates,big_daily_table)))</f>
        <v>#NAME?</v>
      </c>
      <c r="E2548" s="1" t="e">
        <f aca="false" t="array" ref="E2548:E2548">IF(ISBLANK(_xlfn.xlookup(E$3,daily_items,_xlfn.xlookup($C2548,daily_dates,big_daily_table))),NA(),_xlfn.xlookup(E$3,daily_items,_xlfn.xlookup($C2548,daily_dates,big_daily_table)))</f>
        <v>#NAME?</v>
      </c>
    </row>
    <row r="2549" customFormat="false" ht="14.25" hidden="false" customHeight="false" outlineLevel="0" collapsed="false">
      <c r="B2549" s="7" t="n">
        <v>43454</v>
      </c>
      <c r="C2549" s="7" t="n">
        <f aca="false">B2549-WEEKDAY(B2549)+1</f>
        <v>43450</v>
      </c>
      <c r="D2549" s="1" t="e">
        <f aca="false" t="array" ref="D2549:D2549">IF(ISBLANK(_xlfn.xlookup(D$3,daily_items,_xlfn.xlookup($C2549,daily_dates,big_daily_table))),NA(),_xlfn.xlookup(D$3,daily_items,_xlfn.xlookup($C2549,daily_dates,big_daily_table)))</f>
        <v>#NAME?</v>
      </c>
      <c r="E2549" s="1" t="e">
        <f aca="false" t="array" ref="E2549:E2549">IF(ISBLANK(_xlfn.xlookup(E$3,daily_items,_xlfn.xlookup($C2549,daily_dates,big_daily_table))),NA(),_xlfn.xlookup(E$3,daily_items,_xlfn.xlookup($C2549,daily_dates,big_daily_table)))</f>
        <v>#NAME?</v>
      </c>
    </row>
    <row r="2550" customFormat="false" ht="14.25" hidden="false" customHeight="false" outlineLevel="0" collapsed="false">
      <c r="B2550" s="7" t="n">
        <v>43455</v>
      </c>
      <c r="C2550" s="7" t="n">
        <f aca="false">B2550-WEEKDAY(B2550)+1</f>
        <v>43450</v>
      </c>
      <c r="D2550" s="1" t="e">
        <f aca="false" t="array" ref="D2550:D2550">IF(ISBLANK(_xlfn.xlookup(D$3,daily_items,_xlfn.xlookup($C2550,daily_dates,big_daily_table))),NA(),_xlfn.xlookup(D$3,daily_items,_xlfn.xlookup($C2550,daily_dates,big_daily_table)))</f>
        <v>#NAME?</v>
      </c>
      <c r="E2550" s="1" t="e">
        <f aca="false" t="array" ref="E2550:E2550">IF(ISBLANK(_xlfn.xlookup(E$3,daily_items,_xlfn.xlookup($C2550,daily_dates,big_daily_table))),NA(),_xlfn.xlookup(E$3,daily_items,_xlfn.xlookup($C2550,daily_dates,big_daily_table)))</f>
        <v>#NAME?</v>
      </c>
    </row>
    <row r="2551" customFormat="false" ht="14.25" hidden="false" customHeight="false" outlineLevel="0" collapsed="false">
      <c r="B2551" s="7" t="n">
        <v>43456</v>
      </c>
      <c r="C2551" s="7" t="n">
        <f aca="false">B2551-WEEKDAY(B2551)+1</f>
        <v>43450</v>
      </c>
      <c r="D2551" s="1" t="e">
        <f aca="false" t="array" ref="D2551:D2551">IF(ISBLANK(_xlfn.xlookup(D$3,daily_items,_xlfn.xlookup($C2551,daily_dates,big_daily_table))),NA(),_xlfn.xlookup(D$3,daily_items,_xlfn.xlookup($C2551,daily_dates,big_daily_table)))</f>
        <v>#NAME?</v>
      </c>
      <c r="E2551" s="1" t="e">
        <f aca="false" t="array" ref="E2551:E2551">IF(ISBLANK(_xlfn.xlookup(E$3,daily_items,_xlfn.xlookup($C2551,daily_dates,big_daily_table))),NA(),_xlfn.xlookup(E$3,daily_items,_xlfn.xlookup($C2551,daily_dates,big_daily_table)))</f>
        <v>#NAME?</v>
      </c>
    </row>
    <row r="2552" customFormat="false" ht="14.25" hidden="false" customHeight="false" outlineLevel="0" collapsed="false">
      <c r="B2552" s="7" t="n">
        <v>43457</v>
      </c>
      <c r="C2552" s="7" t="n">
        <f aca="false">B2552-WEEKDAY(B2552)+1</f>
        <v>43457</v>
      </c>
      <c r="D2552" s="1" t="e">
        <f aca="false" t="array" ref="D2552:D2552">IF(ISBLANK(_xlfn.xlookup(D$3,daily_items,_xlfn.xlookup($C2552,daily_dates,big_daily_table))),NA(),_xlfn.xlookup(D$3,daily_items,_xlfn.xlookup($C2552,daily_dates,big_daily_table)))</f>
        <v>#NAME?</v>
      </c>
      <c r="E2552" s="1" t="e">
        <f aca="false" t="array" ref="E2552:E2552">IF(ISBLANK(_xlfn.xlookup(E$3,daily_items,_xlfn.xlookup($C2552,daily_dates,big_daily_table))),NA(),_xlfn.xlookup(E$3,daily_items,_xlfn.xlookup($C2552,daily_dates,big_daily_table)))</f>
        <v>#NAME?</v>
      </c>
    </row>
    <row r="2553" customFormat="false" ht="14.25" hidden="false" customHeight="false" outlineLevel="0" collapsed="false">
      <c r="B2553" s="7" t="n">
        <v>43458</v>
      </c>
      <c r="C2553" s="7" t="n">
        <f aca="false">B2553-WEEKDAY(B2553)+1</f>
        <v>43457</v>
      </c>
      <c r="D2553" s="1" t="e">
        <f aca="false" t="array" ref="D2553:D2553">IF(ISBLANK(_xlfn.xlookup(D$3,daily_items,_xlfn.xlookup($C2553,daily_dates,big_daily_table))),NA(),_xlfn.xlookup(D$3,daily_items,_xlfn.xlookup($C2553,daily_dates,big_daily_table)))</f>
        <v>#NAME?</v>
      </c>
      <c r="E2553" s="1" t="e">
        <f aca="false" t="array" ref="E2553:E2553">IF(ISBLANK(_xlfn.xlookup(E$3,daily_items,_xlfn.xlookup($C2553,daily_dates,big_daily_table))),NA(),_xlfn.xlookup(E$3,daily_items,_xlfn.xlookup($C2553,daily_dates,big_daily_table)))</f>
        <v>#NAME?</v>
      </c>
    </row>
    <row r="2554" customFormat="false" ht="14.25" hidden="false" customHeight="false" outlineLevel="0" collapsed="false">
      <c r="B2554" s="7" t="n">
        <v>43459</v>
      </c>
      <c r="C2554" s="7" t="n">
        <f aca="false">B2554-WEEKDAY(B2554)+1</f>
        <v>43457</v>
      </c>
      <c r="D2554" s="1" t="e">
        <f aca="false" t="array" ref="D2554:D2554">IF(ISBLANK(_xlfn.xlookup(D$3,daily_items,_xlfn.xlookup($C2554,daily_dates,big_daily_table))),NA(),_xlfn.xlookup(D$3,daily_items,_xlfn.xlookup($C2554,daily_dates,big_daily_table)))</f>
        <v>#NAME?</v>
      </c>
      <c r="E2554" s="1" t="e">
        <f aca="false" t="array" ref="E2554:E2554">IF(ISBLANK(_xlfn.xlookup(E$3,daily_items,_xlfn.xlookup($C2554,daily_dates,big_daily_table))),NA(),_xlfn.xlookup(E$3,daily_items,_xlfn.xlookup($C2554,daily_dates,big_daily_table)))</f>
        <v>#NAME?</v>
      </c>
    </row>
    <row r="2555" customFormat="false" ht="14.25" hidden="false" customHeight="false" outlineLevel="0" collapsed="false">
      <c r="B2555" s="7" t="n">
        <v>43460</v>
      </c>
      <c r="C2555" s="7" t="n">
        <f aca="false">B2555-WEEKDAY(B2555)+1</f>
        <v>43457</v>
      </c>
      <c r="D2555" s="1" t="e">
        <f aca="false" t="array" ref="D2555:D2555">IF(ISBLANK(_xlfn.xlookup(D$3,daily_items,_xlfn.xlookup($C2555,daily_dates,big_daily_table))),NA(),_xlfn.xlookup(D$3,daily_items,_xlfn.xlookup($C2555,daily_dates,big_daily_table)))</f>
        <v>#NAME?</v>
      </c>
      <c r="E2555" s="1" t="e">
        <f aca="false" t="array" ref="E2555:E2555">IF(ISBLANK(_xlfn.xlookup(E$3,daily_items,_xlfn.xlookup($C2555,daily_dates,big_daily_table))),NA(),_xlfn.xlookup(E$3,daily_items,_xlfn.xlookup($C2555,daily_dates,big_daily_table)))</f>
        <v>#NAME?</v>
      </c>
    </row>
    <row r="2556" customFormat="false" ht="14.25" hidden="false" customHeight="false" outlineLevel="0" collapsed="false">
      <c r="B2556" s="7" t="n">
        <v>43461</v>
      </c>
      <c r="C2556" s="7" t="n">
        <f aca="false">B2556-WEEKDAY(B2556)+1</f>
        <v>43457</v>
      </c>
      <c r="D2556" s="1" t="e">
        <f aca="false" t="array" ref="D2556:D2556">IF(ISBLANK(_xlfn.xlookup(D$3,daily_items,_xlfn.xlookup($C2556,daily_dates,big_daily_table))),NA(),_xlfn.xlookup(D$3,daily_items,_xlfn.xlookup($C2556,daily_dates,big_daily_table)))</f>
        <v>#NAME?</v>
      </c>
      <c r="E2556" s="1" t="e">
        <f aca="false" t="array" ref="E2556:E2556">IF(ISBLANK(_xlfn.xlookup(E$3,daily_items,_xlfn.xlookup($C2556,daily_dates,big_daily_table))),NA(),_xlfn.xlookup(E$3,daily_items,_xlfn.xlookup($C2556,daily_dates,big_daily_table)))</f>
        <v>#NAME?</v>
      </c>
    </row>
    <row r="2557" customFormat="false" ht="14.25" hidden="false" customHeight="false" outlineLevel="0" collapsed="false">
      <c r="B2557" s="7" t="n">
        <v>43462</v>
      </c>
      <c r="C2557" s="7" t="n">
        <f aca="false">B2557-WEEKDAY(B2557)+1</f>
        <v>43457</v>
      </c>
      <c r="D2557" s="1" t="e">
        <f aca="false" t="array" ref="D2557:D2557">IF(ISBLANK(_xlfn.xlookup(D$3,daily_items,_xlfn.xlookup($C2557,daily_dates,big_daily_table))),NA(),_xlfn.xlookup(D$3,daily_items,_xlfn.xlookup($C2557,daily_dates,big_daily_table)))</f>
        <v>#NAME?</v>
      </c>
      <c r="E2557" s="1" t="e">
        <f aca="false" t="array" ref="E2557:E2557">IF(ISBLANK(_xlfn.xlookup(E$3,daily_items,_xlfn.xlookup($C2557,daily_dates,big_daily_table))),NA(),_xlfn.xlookup(E$3,daily_items,_xlfn.xlookup($C2557,daily_dates,big_daily_table)))</f>
        <v>#NAME?</v>
      </c>
    </row>
    <row r="2558" customFormat="false" ht="14.25" hidden="false" customHeight="false" outlineLevel="0" collapsed="false">
      <c r="B2558" s="7" t="n">
        <v>43463</v>
      </c>
      <c r="C2558" s="7" t="n">
        <f aca="false">B2558-WEEKDAY(B2558)+1</f>
        <v>43457</v>
      </c>
      <c r="D2558" s="1" t="e">
        <f aca="false" t="array" ref="D2558:D2558">IF(ISBLANK(_xlfn.xlookup(D$3,daily_items,_xlfn.xlookup($C2558,daily_dates,big_daily_table))),NA(),_xlfn.xlookup(D$3,daily_items,_xlfn.xlookup($C2558,daily_dates,big_daily_table)))</f>
        <v>#NAME?</v>
      </c>
      <c r="E2558" s="1" t="e">
        <f aca="false" t="array" ref="E2558:E2558">IF(ISBLANK(_xlfn.xlookup(E$3,daily_items,_xlfn.xlookup($C2558,daily_dates,big_daily_table))),NA(),_xlfn.xlookup(E$3,daily_items,_xlfn.xlookup($C2558,daily_dates,big_daily_table)))</f>
        <v>#NAME?</v>
      </c>
    </row>
    <row r="2559" customFormat="false" ht="14.25" hidden="false" customHeight="false" outlineLevel="0" collapsed="false">
      <c r="B2559" s="7" t="n">
        <v>43464</v>
      </c>
      <c r="C2559" s="7" t="n">
        <f aca="false">B2559-WEEKDAY(B2559)+1</f>
        <v>43464</v>
      </c>
      <c r="D2559" s="1" t="e">
        <f aca="false" t="array" ref="D2559:D2559">IF(ISBLANK(_xlfn.xlookup(D$3,daily_items,_xlfn.xlookup($C2559,daily_dates,big_daily_table))),NA(),_xlfn.xlookup(D$3,daily_items,_xlfn.xlookup($C2559,daily_dates,big_daily_table)))</f>
        <v>#NAME?</v>
      </c>
      <c r="E2559" s="1" t="e">
        <f aca="false" t="array" ref="E2559:E2559">IF(ISBLANK(_xlfn.xlookup(E$3,daily_items,_xlfn.xlookup($C2559,daily_dates,big_daily_table))),NA(),_xlfn.xlookup(E$3,daily_items,_xlfn.xlookup($C2559,daily_dates,big_daily_table)))</f>
        <v>#NAME?</v>
      </c>
    </row>
    <row r="2560" customFormat="false" ht="14.25" hidden="false" customHeight="false" outlineLevel="0" collapsed="false">
      <c r="B2560" s="7" t="n">
        <v>43465</v>
      </c>
      <c r="C2560" s="7" t="n">
        <f aca="false">B2560-WEEKDAY(B2560)+1</f>
        <v>43464</v>
      </c>
      <c r="D2560" s="1" t="e">
        <f aca="false" t="array" ref="D2560:D2560">IF(ISBLANK(_xlfn.xlookup(D$3,daily_items,_xlfn.xlookup($C2560,daily_dates,big_daily_table))),NA(),_xlfn.xlookup(D$3,daily_items,_xlfn.xlookup($C2560,daily_dates,big_daily_table)))</f>
        <v>#NAME?</v>
      </c>
      <c r="E2560" s="1" t="e">
        <f aca="false" t="array" ref="E2560:E2560">IF(ISBLANK(_xlfn.xlookup(E$3,daily_items,_xlfn.xlookup($C2560,daily_dates,big_daily_table))),NA(),_xlfn.xlookup(E$3,daily_items,_xlfn.xlookup($C2560,daily_dates,big_daily_table)))</f>
        <v>#NAME?</v>
      </c>
    </row>
    <row r="2561" customFormat="false" ht="14.25" hidden="false" customHeight="false" outlineLevel="0" collapsed="false">
      <c r="B2561" s="7" t="n">
        <v>43466</v>
      </c>
      <c r="C2561" s="7" t="n">
        <f aca="false">B2561-WEEKDAY(B2561)+1</f>
        <v>43464</v>
      </c>
      <c r="D2561" s="1" t="e">
        <f aca="false" t="array" ref="D2561:D2561">IF(ISBLANK(_xlfn.xlookup(D$3,daily_items,_xlfn.xlookup($C2561,daily_dates,big_daily_table))),NA(),_xlfn.xlookup(D$3,daily_items,_xlfn.xlookup($C2561,daily_dates,big_daily_table)))</f>
        <v>#NAME?</v>
      </c>
      <c r="E2561" s="1" t="e">
        <f aca="false" t="array" ref="E2561:E2561">IF(ISBLANK(_xlfn.xlookup(E$3,daily_items,_xlfn.xlookup($C2561,daily_dates,big_daily_table))),NA(),_xlfn.xlookup(E$3,daily_items,_xlfn.xlookup($C2561,daily_dates,big_daily_table)))</f>
        <v>#NAME?</v>
      </c>
    </row>
    <row r="2562" customFormat="false" ht="14.25" hidden="false" customHeight="false" outlineLevel="0" collapsed="false">
      <c r="B2562" s="7" t="n">
        <v>43467</v>
      </c>
      <c r="C2562" s="7" t="n">
        <f aca="false">B2562-WEEKDAY(B2562)+1</f>
        <v>43464</v>
      </c>
      <c r="D2562" s="1" t="e">
        <f aca="false" t="array" ref="D2562:D2562">IF(ISBLANK(_xlfn.xlookup(D$3,daily_items,_xlfn.xlookup($C2562,daily_dates,big_daily_table))),NA(),_xlfn.xlookup(D$3,daily_items,_xlfn.xlookup($C2562,daily_dates,big_daily_table)))</f>
        <v>#NAME?</v>
      </c>
      <c r="E2562" s="1" t="e">
        <f aca="false" t="array" ref="E2562:E2562">IF(ISBLANK(_xlfn.xlookup(E$3,daily_items,_xlfn.xlookup($C2562,daily_dates,big_daily_table))),NA(),_xlfn.xlookup(E$3,daily_items,_xlfn.xlookup($C2562,daily_dates,big_daily_table)))</f>
        <v>#NAME?</v>
      </c>
    </row>
    <row r="2563" customFormat="false" ht="14.25" hidden="false" customHeight="false" outlineLevel="0" collapsed="false">
      <c r="B2563" s="7" t="n">
        <v>43468</v>
      </c>
      <c r="C2563" s="7" t="n">
        <f aca="false">B2563-WEEKDAY(B2563)+1</f>
        <v>43464</v>
      </c>
      <c r="D2563" s="1" t="e">
        <f aca="false" t="array" ref="D2563:D2563">IF(ISBLANK(_xlfn.xlookup(D$3,daily_items,_xlfn.xlookup($C2563,daily_dates,big_daily_table))),NA(),_xlfn.xlookup(D$3,daily_items,_xlfn.xlookup($C2563,daily_dates,big_daily_table)))</f>
        <v>#NAME?</v>
      </c>
      <c r="E2563" s="1" t="e">
        <f aca="false" t="array" ref="E2563:E2563">IF(ISBLANK(_xlfn.xlookup(E$3,daily_items,_xlfn.xlookup($C2563,daily_dates,big_daily_table))),NA(),_xlfn.xlookup(E$3,daily_items,_xlfn.xlookup($C2563,daily_dates,big_daily_table)))</f>
        <v>#NAME?</v>
      </c>
    </row>
    <row r="2564" customFormat="false" ht="14.25" hidden="false" customHeight="false" outlineLevel="0" collapsed="false">
      <c r="B2564" s="7" t="n">
        <v>43469</v>
      </c>
      <c r="C2564" s="7" t="n">
        <f aca="false">B2564-WEEKDAY(B2564)+1</f>
        <v>43464</v>
      </c>
      <c r="D2564" s="1" t="e">
        <f aca="false" t="array" ref="D2564:D2564">IF(ISBLANK(_xlfn.xlookup(D$3,daily_items,_xlfn.xlookup($C2564,daily_dates,big_daily_table))),NA(),_xlfn.xlookup(D$3,daily_items,_xlfn.xlookup($C2564,daily_dates,big_daily_table)))</f>
        <v>#NAME?</v>
      </c>
      <c r="E2564" s="1" t="e">
        <f aca="false" t="array" ref="E2564:E2564">IF(ISBLANK(_xlfn.xlookup(E$3,daily_items,_xlfn.xlookup($C2564,daily_dates,big_daily_table))),NA(),_xlfn.xlookup(E$3,daily_items,_xlfn.xlookup($C2564,daily_dates,big_daily_table)))</f>
        <v>#NAME?</v>
      </c>
    </row>
    <row r="2565" customFormat="false" ht="14.25" hidden="false" customHeight="false" outlineLevel="0" collapsed="false">
      <c r="B2565" s="7" t="n">
        <v>43470</v>
      </c>
      <c r="C2565" s="7" t="n">
        <f aca="false">B2565-WEEKDAY(B2565)+1</f>
        <v>43464</v>
      </c>
      <c r="D2565" s="1" t="e">
        <f aca="false" t="array" ref="D2565:D2565">IF(ISBLANK(_xlfn.xlookup(D$3,daily_items,_xlfn.xlookup($C2565,daily_dates,big_daily_table))),NA(),_xlfn.xlookup(D$3,daily_items,_xlfn.xlookup($C2565,daily_dates,big_daily_table)))</f>
        <v>#NAME?</v>
      </c>
      <c r="E2565" s="1" t="e">
        <f aca="false" t="array" ref="E2565:E2565">IF(ISBLANK(_xlfn.xlookup(E$3,daily_items,_xlfn.xlookup($C2565,daily_dates,big_daily_table))),NA(),_xlfn.xlookup(E$3,daily_items,_xlfn.xlookup($C2565,daily_dates,big_daily_table)))</f>
        <v>#NAME?</v>
      </c>
    </row>
    <row r="2566" customFormat="false" ht="14.25" hidden="false" customHeight="false" outlineLevel="0" collapsed="false">
      <c r="B2566" s="7" t="n">
        <v>43471</v>
      </c>
      <c r="C2566" s="7" t="n">
        <f aca="false">B2566-WEEKDAY(B2566)+1</f>
        <v>43471</v>
      </c>
      <c r="D2566" s="1" t="e">
        <f aca="false" t="array" ref="D2566:D2566">IF(ISBLANK(_xlfn.xlookup(D$3,daily_items,_xlfn.xlookup($C2566,daily_dates,big_daily_table))),NA(),_xlfn.xlookup(D$3,daily_items,_xlfn.xlookup($C2566,daily_dates,big_daily_table)))</f>
        <v>#NAME?</v>
      </c>
      <c r="E2566" s="1" t="e">
        <f aca="false" t="array" ref="E2566:E2566">IF(ISBLANK(_xlfn.xlookup(E$3,daily_items,_xlfn.xlookup($C2566,daily_dates,big_daily_table))),NA(),_xlfn.xlookup(E$3,daily_items,_xlfn.xlookup($C2566,daily_dates,big_daily_table)))</f>
        <v>#NAME?</v>
      </c>
    </row>
    <row r="2567" customFormat="false" ht="14.25" hidden="false" customHeight="false" outlineLevel="0" collapsed="false">
      <c r="B2567" s="7" t="n">
        <v>43472</v>
      </c>
      <c r="C2567" s="7" t="n">
        <f aca="false">B2567-WEEKDAY(B2567)+1</f>
        <v>43471</v>
      </c>
      <c r="D2567" s="1" t="e">
        <f aca="false" t="array" ref="D2567:D2567">IF(ISBLANK(_xlfn.xlookup(D$3,daily_items,_xlfn.xlookup($C2567,daily_dates,big_daily_table))),NA(),_xlfn.xlookup(D$3,daily_items,_xlfn.xlookup($C2567,daily_dates,big_daily_table)))</f>
        <v>#NAME?</v>
      </c>
      <c r="E2567" s="1" t="e">
        <f aca="false" t="array" ref="E2567:E2567">IF(ISBLANK(_xlfn.xlookup(E$3,daily_items,_xlfn.xlookup($C2567,daily_dates,big_daily_table))),NA(),_xlfn.xlookup(E$3,daily_items,_xlfn.xlookup($C2567,daily_dates,big_daily_table)))</f>
        <v>#NAME?</v>
      </c>
    </row>
    <row r="2568" customFormat="false" ht="14.25" hidden="false" customHeight="false" outlineLevel="0" collapsed="false">
      <c r="B2568" s="7" t="n">
        <v>43473</v>
      </c>
      <c r="C2568" s="7" t="n">
        <f aca="false">B2568-WEEKDAY(B2568)+1</f>
        <v>43471</v>
      </c>
      <c r="D2568" s="1" t="e">
        <f aca="false" t="array" ref="D2568:D2568">IF(ISBLANK(_xlfn.xlookup(D$3,daily_items,_xlfn.xlookup($C2568,daily_dates,big_daily_table))),NA(),_xlfn.xlookup(D$3,daily_items,_xlfn.xlookup($C2568,daily_dates,big_daily_table)))</f>
        <v>#NAME?</v>
      </c>
      <c r="E2568" s="1" t="e">
        <f aca="false" t="array" ref="E2568:E2568">IF(ISBLANK(_xlfn.xlookup(E$3,daily_items,_xlfn.xlookup($C2568,daily_dates,big_daily_table))),NA(),_xlfn.xlookup(E$3,daily_items,_xlfn.xlookup($C2568,daily_dates,big_daily_table)))</f>
        <v>#NAME?</v>
      </c>
    </row>
    <row r="2569" customFormat="false" ht="14.25" hidden="false" customHeight="false" outlineLevel="0" collapsed="false">
      <c r="B2569" s="7" t="n">
        <v>43474</v>
      </c>
      <c r="C2569" s="7" t="n">
        <f aca="false">B2569-WEEKDAY(B2569)+1</f>
        <v>43471</v>
      </c>
      <c r="D2569" s="1" t="e">
        <f aca="false" t="array" ref="D2569:D2569">IF(ISBLANK(_xlfn.xlookup(D$3,daily_items,_xlfn.xlookup($C2569,daily_dates,big_daily_table))),NA(),_xlfn.xlookup(D$3,daily_items,_xlfn.xlookup($C2569,daily_dates,big_daily_table)))</f>
        <v>#NAME?</v>
      </c>
      <c r="E2569" s="1" t="e">
        <f aca="false" t="array" ref="E2569:E2569">IF(ISBLANK(_xlfn.xlookup(E$3,daily_items,_xlfn.xlookup($C2569,daily_dates,big_daily_table))),NA(),_xlfn.xlookup(E$3,daily_items,_xlfn.xlookup($C2569,daily_dates,big_daily_table)))</f>
        <v>#NAME?</v>
      </c>
    </row>
    <row r="2570" customFormat="false" ht="14.25" hidden="false" customHeight="false" outlineLevel="0" collapsed="false">
      <c r="B2570" s="7" t="n">
        <v>43475</v>
      </c>
      <c r="C2570" s="7" t="n">
        <f aca="false">B2570-WEEKDAY(B2570)+1</f>
        <v>43471</v>
      </c>
      <c r="D2570" s="1" t="e">
        <f aca="false" t="array" ref="D2570:D2570">IF(ISBLANK(_xlfn.xlookup(D$3,daily_items,_xlfn.xlookup($C2570,daily_dates,big_daily_table))),NA(),_xlfn.xlookup(D$3,daily_items,_xlfn.xlookup($C2570,daily_dates,big_daily_table)))</f>
        <v>#NAME?</v>
      </c>
      <c r="E2570" s="1" t="e">
        <f aca="false" t="array" ref="E2570:E2570">IF(ISBLANK(_xlfn.xlookup(E$3,daily_items,_xlfn.xlookup($C2570,daily_dates,big_daily_table))),NA(),_xlfn.xlookup(E$3,daily_items,_xlfn.xlookup($C2570,daily_dates,big_daily_table)))</f>
        <v>#NAME?</v>
      </c>
    </row>
    <row r="2571" customFormat="false" ht="14.25" hidden="false" customHeight="false" outlineLevel="0" collapsed="false">
      <c r="B2571" s="7" t="n">
        <v>43476</v>
      </c>
      <c r="C2571" s="7" t="n">
        <f aca="false">B2571-WEEKDAY(B2571)+1</f>
        <v>43471</v>
      </c>
      <c r="D2571" s="1" t="e">
        <f aca="false" t="array" ref="D2571:D2571">IF(ISBLANK(_xlfn.xlookup(D$3,daily_items,_xlfn.xlookup($C2571,daily_dates,big_daily_table))),NA(),_xlfn.xlookup(D$3,daily_items,_xlfn.xlookup($C2571,daily_dates,big_daily_table)))</f>
        <v>#NAME?</v>
      </c>
      <c r="E2571" s="1" t="e">
        <f aca="false" t="array" ref="E2571:E2571">IF(ISBLANK(_xlfn.xlookup(E$3,daily_items,_xlfn.xlookup($C2571,daily_dates,big_daily_table))),NA(),_xlfn.xlookup(E$3,daily_items,_xlfn.xlookup($C2571,daily_dates,big_daily_table)))</f>
        <v>#NAME?</v>
      </c>
    </row>
    <row r="2572" customFormat="false" ht="14.25" hidden="false" customHeight="false" outlineLevel="0" collapsed="false">
      <c r="B2572" s="7" t="n">
        <v>43477</v>
      </c>
      <c r="C2572" s="7" t="n">
        <f aca="false">B2572-WEEKDAY(B2572)+1</f>
        <v>43471</v>
      </c>
      <c r="D2572" s="1" t="e">
        <f aca="false" t="array" ref="D2572:D2572">IF(ISBLANK(_xlfn.xlookup(D$3,daily_items,_xlfn.xlookup($C2572,daily_dates,big_daily_table))),NA(),_xlfn.xlookup(D$3,daily_items,_xlfn.xlookup($C2572,daily_dates,big_daily_table)))</f>
        <v>#NAME?</v>
      </c>
      <c r="E2572" s="1" t="e">
        <f aca="false" t="array" ref="E2572:E2572">IF(ISBLANK(_xlfn.xlookup(E$3,daily_items,_xlfn.xlookup($C2572,daily_dates,big_daily_table))),NA(),_xlfn.xlookup(E$3,daily_items,_xlfn.xlookup($C2572,daily_dates,big_daily_table)))</f>
        <v>#NAME?</v>
      </c>
    </row>
    <row r="2573" customFormat="false" ht="14.25" hidden="false" customHeight="false" outlineLevel="0" collapsed="false">
      <c r="B2573" s="7" t="n">
        <v>43478</v>
      </c>
      <c r="C2573" s="7" t="n">
        <f aca="false">B2573-WEEKDAY(B2573)+1</f>
        <v>43478</v>
      </c>
      <c r="D2573" s="1" t="e">
        <f aca="false" t="array" ref="D2573:D2573">IF(ISBLANK(_xlfn.xlookup(D$3,daily_items,_xlfn.xlookup($C2573,daily_dates,big_daily_table))),NA(),_xlfn.xlookup(D$3,daily_items,_xlfn.xlookup($C2573,daily_dates,big_daily_table)))</f>
        <v>#NAME?</v>
      </c>
      <c r="E2573" s="1" t="e">
        <f aca="false" t="array" ref="E2573:E2573">IF(ISBLANK(_xlfn.xlookup(E$3,daily_items,_xlfn.xlookup($C2573,daily_dates,big_daily_table))),NA(),_xlfn.xlookup(E$3,daily_items,_xlfn.xlookup($C2573,daily_dates,big_daily_table)))</f>
        <v>#NAME?</v>
      </c>
    </row>
    <row r="2574" customFormat="false" ht="14.25" hidden="false" customHeight="false" outlineLevel="0" collapsed="false">
      <c r="B2574" s="7" t="n">
        <v>43479</v>
      </c>
      <c r="C2574" s="7" t="n">
        <f aca="false">B2574-WEEKDAY(B2574)+1</f>
        <v>43478</v>
      </c>
      <c r="D2574" s="1" t="e">
        <f aca="false" t="array" ref="D2574:D2574">IF(ISBLANK(_xlfn.xlookup(D$3,daily_items,_xlfn.xlookup($C2574,daily_dates,big_daily_table))),NA(),_xlfn.xlookup(D$3,daily_items,_xlfn.xlookup($C2574,daily_dates,big_daily_table)))</f>
        <v>#NAME?</v>
      </c>
      <c r="E2574" s="1" t="e">
        <f aca="false" t="array" ref="E2574:E2574">IF(ISBLANK(_xlfn.xlookup(E$3,daily_items,_xlfn.xlookup($C2574,daily_dates,big_daily_table))),NA(),_xlfn.xlookup(E$3,daily_items,_xlfn.xlookup($C2574,daily_dates,big_daily_table)))</f>
        <v>#NAME?</v>
      </c>
    </row>
    <row r="2575" customFormat="false" ht="14.25" hidden="false" customHeight="false" outlineLevel="0" collapsed="false">
      <c r="B2575" s="7" t="n">
        <v>43480</v>
      </c>
      <c r="C2575" s="7" t="n">
        <f aca="false">B2575-WEEKDAY(B2575)+1</f>
        <v>43478</v>
      </c>
      <c r="D2575" s="1" t="e">
        <f aca="false" t="array" ref="D2575:D2575">IF(ISBLANK(_xlfn.xlookup(D$3,daily_items,_xlfn.xlookup($C2575,daily_dates,big_daily_table))),NA(),_xlfn.xlookup(D$3,daily_items,_xlfn.xlookup($C2575,daily_dates,big_daily_table)))</f>
        <v>#NAME?</v>
      </c>
      <c r="E2575" s="1" t="e">
        <f aca="false" t="array" ref="E2575:E2575">IF(ISBLANK(_xlfn.xlookup(E$3,daily_items,_xlfn.xlookup($C2575,daily_dates,big_daily_table))),NA(),_xlfn.xlookup(E$3,daily_items,_xlfn.xlookup($C2575,daily_dates,big_daily_table)))</f>
        <v>#NAME?</v>
      </c>
    </row>
    <row r="2576" customFormat="false" ht="14.25" hidden="false" customHeight="false" outlineLevel="0" collapsed="false">
      <c r="B2576" s="7" t="n">
        <v>43481</v>
      </c>
      <c r="C2576" s="7" t="n">
        <f aca="false">B2576-WEEKDAY(B2576)+1</f>
        <v>43478</v>
      </c>
      <c r="D2576" s="1" t="e">
        <f aca="false" t="array" ref="D2576:D2576">IF(ISBLANK(_xlfn.xlookup(D$3,daily_items,_xlfn.xlookup($C2576,daily_dates,big_daily_table))),NA(),_xlfn.xlookup(D$3,daily_items,_xlfn.xlookup($C2576,daily_dates,big_daily_table)))</f>
        <v>#NAME?</v>
      </c>
      <c r="E2576" s="1" t="e">
        <f aca="false" t="array" ref="E2576:E2576">IF(ISBLANK(_xlfn.xlookup(E$3,daily_items,_xlfn.xlookup($C2576,daily_dates,big_daily_table))),NA(),_xlfn.xlookup(E$3,daily_items,_xlfn.xlookup($C2576,daily_dates,big_daily_table)))</f>
        <v>#NAME?</v>
      </c>
    </row>
    <row r="2577" customFormat="false" ht="14.25" hidden="false" customHeight="false" outlineLevel="0" collapsed="false">
      <c r="B2577" s="7" t="n">
        <v>43482</v>
      </c>
      <c r="C2577" s="7" t="n">
        <f aca="false">B2577-WEEKDAY(B2577)+1</f>
        <v>43478</v>
      </c>
      <c r="D2577" s="1" t="e">
        <f aca="false" t="array" ref="D2577:D2577">IF(ISBLANK(_xlfn.xlookup(D$3,daily_items,_xlfn.xlookup($C2577,daily_dates,big_daily_table))),NA(),_xlfn.xlookup(D$3,daily_items,_xlfn.xlookup($C2577,daily_dates,big_daily_table)))</f>
        <v>#NAME?</v>
      </c>
      <c r="E2577" s="1" t="e">
        <f aca="false" t="array" ref="E2577:E2577">IF(ISBLANK(_xlfn.xlookup(E$3,daily_items,_xlfn.xlookup($C2577,daily_dates,big_daily_table))),NA(),_xlfn.xlookup(E$3,daily_items,_xlfn.xlookup($C2577,daily_dates,big_daily_table)))</f>
        <v>#NAME?</v>
      </c>
    </row>
    <row r="2578" customFormat="false" ht="14.25" hidden="false" customHeight="false" outlineLevel="0" collapsed="false">
      <c r="B2578" s="7" t="n">
        <v>43483</v>
      </c>
      <c r="C2578" s="7" t="n">
        <f aca="false">B2578-WEEKDAY(B2578)+1</f>
        <v>43478</v>
      </c>
      <c r="D2578" s="1" t="e">
        <f aca="false" t="array" ref="D2578:D2578">IF(ISBLANK(_xlfn.xlookup(D$3,daily_items,_xlfn.xlookup($C2578,daily_dates,big_daily_table))),NA(),_xlfn.xlookup(D$3,daily_items,_xlfn.xlookup($C2578,daily_dates,big_daily_table)))</f>
        <v>#NAME?</v>
      </c>
      <c r="E2578" s="1" t="e">
        <f aca="false" t="array" ref="E2578:E2578">IF(ISBLANK(_xlfn.xlookup(E$3,daily_items,_xlfn.xlookup($C2578,daily_dates,big_daily_table))),NA(),_xlfn.xlookup(E$3,daily_items,_xlfn.xlookup($C2578,daily_dates,big_daily_table)))</f>
        <v>#NAME?</v>
      </c>
    </row>
    <row r="2579" customFormat="false" ht="14.25" hidden="false" customHeight="false" outlineLevel="0" collapsed="false">
      <c r="B2579" s="7" t="n">
        <v>43484</v>
      </c>
      <c r="C2579" s="7" t="n">
        <f aca="false">B2579-WEEKDAY(B2579)+1</f>
        <v>43478</v>
      </c>
      <c r="D2579" s="1" t="e">
        <f aca="false" t="array" ref="D2579:D2579">IF(ISBLANK(_xlfn.xlookup(D$3,daily_items,_xlfn.xlookup($C2579,daily_dates,big_daily_table))),NA(),_xlfn.xlookup(D$3,daily_items,_xlfn.xlookup($C2579,daily_dates,big_daily_table)))</f>
        <v>#NAME?</v>
      </c>
      <c r="E2579" s="1" t="e">
        <f aca="false" t="array" ref="E2579:E2579">IF(ISBLANK(_xlfn.xlookup(E$3,daily_items,_xlfn.xlookup($C2579,daily_dates,big_daily_table))),NA(),_xlfn.xlookup(E$3,daily_items,_xlfn.xlookup($C2579,daily_dates,big_daily_table)))</f>
        <v>#NAME?</v>
      </c>
    </row>
    <row r="2580" customFormat="false" ht="14.25" hidden="false" customHeight="false" outlineLevel="0" collapsed="false">
      <c r="B2580" s="7" t="n">
        <v>43485</v>
      </c>
      <c r="C2580" s="7" t="n">
        <f aca="false">B2580-WEEKDAY(B2580)+1</f>
        <v>43485</v>
      </c>
      <c r="D2580" s="1" t="e">
        <f aca="false" t="array" ref="D2580:D2580">IF(ISBLANK(_xlfn.xlookup(D$3,daily_items,_xlfn.xlookup($C2580,daily_dates,big_daily_table))),NA(),_xlfn.xlookup(D$3,daily_items,_xlfn.xlookup($C2580,daily_dates,big_daily_table)))</f>
        <v>#NAME?</v>
      </c>
      <c r="E2580" s="1" t="e">
        <f aca="false" t="array" ref="E2580:E2580">IF(ISBLANK(_xlfn.xlookup(E$3,daily_items,_xlfn.xlookup($C2580,daily_dates,big_daily_table))),NA(),_xlfn.xlookup(E$3,daily_items,_xlfn.xlookup($C2580,daily_dates,big_daily_table)))</f>
        <v>#NAME?</v>
      </c>
    </row>
    <row r="2581" customFormat="false" ht="14.25" hidden="false" customHeight="false" outlineLevel="0" collapsed="false">
      <c r="B2581" s="7" t="n">
        <v>43486</v>
      </c>
      <c r="C2581" s="7" t="n">
        <f aca="false">B2581-WEEKDAY(B2581)+1</f>
        <v>43485</v>
      </c>
      <c r="D2581" s="1" t="e">
        <f aca="false" t="array" ref="D2581:D2581">IF(ISBLANK(_xlfn.xlookup(D$3,daily_items,_xlfn.xlookup($C2581,daily_dates,big_daily_table))),NA(),_xlfn.xlookup(D$3,daily_items,_xlfn.xlookup($C2581,daily_dates,big_daily_table)))</f>
        <v>#NAME?</v>
      </c>
      <c r="E2581" s="1" t="e">
        <f aca="false" t="array" ref="E2581:E2581">IF(ISBLANK(_xlfn.xlookup(E$3,daily_items,_xlfn.xlookup($C2581,daily_dates,big_daily_table))),NA(),_xlfn.xlookup(E$3,daily_items,_xlfn.xlookup($C2581,daily_dates,big_daily_table)))</f>
        <v>#NAME?</v>
      </c>
    </row>
    <row r="2582" customFormat="false" ht="14.25" hidden="false" customHeight="false" outlineLevel="0" collapsed="false">
      <c r="B2582" s="7" t="n">
        <v>43487</v>
      </c>
      <c r="C2582" s="7" t="n">
        <f aca="false">B2582-WEEKDAY(B2582)+1</f>
        <v>43485</v>
      </c>
      <c r="D2582" s="1" t="e">
        <f aca="false" t="array" ref="D2582:D2582">IF(ISBLANK(_xlfn.xlookup(D$3,daily_items,_xlfn.xlookup($C2582,daily_dates,big_daily_table))),NA(),_xlfn.xlookup(D$3,daily_items,_xlfn.xlookup($C2582,daily_dates,big_daily_table)))</f>
        <v>#NAME?</v>
      </c>
      <c r="E2582" s="1" t="e">
        <f aca="false" t="array" ref="E2582:E2582">IF(ISBLANK(_xlfn.xlookup(E$3,daily_items,_xlfn.xlookup($C2582,daily_dates,big_daily_table))),NA(),_xlfn.xlookup(E$3,daily_items,_xlfn.xlookup($C2582,daily_dates,big_daily_table)))</f>
        <v>#NAME?</v>
      </c>
    </row>
    <row r="2583" customFormat="false" ht="14.25" hidden="false" customHeight="false" outlineLevel="0" collapsed="false">
      <c r="B2583" s="7" t="n">
        <v>43488</v>
      </c>
      <c r="C2583" s="7" t="n">
        <f aca="false">B2583-WEEKDAY(B2583)+1</f>
        <v>43485</v>
      </c>
      <c r="D2583" s="1" t="e">
        <f aca="false" t="array" ref="D2583:D2583">IF(ISBLANK(_xlfn.xlookup(D$3,daily_items,_xlfn.xlookup($C2583,daily_dates,big_daily_table))),NA(),_xlfn.xlookup(D$3,daily_items,_xlfn.xlookup($C2583,daily_dates,big_daily_table)))</f>
        <v>#NAME?</v>
      </c>
      <c r="E2583" s="1" t="e">
        <f aca="false" t="array" ref="E2583:E2583">IF(ISBLANK(_xlfn.xlookup(E$3,daily_items,_xlfn.xlookup($C2583,daily_dates,big_daily_table))),NA(),_xlfn.xlookup(E$3,daily_items,_xlfn.xlookup($C2583,daily_dates,big_daily_table)))</f>
        <v>#NAME?</v>
      </c>
    </row>
    <row r="2584" customFormat="false" ht="14.25" hidden="false" customHeight="false" outlineLevel="0" collapsed="false">
      <c r="B2584" s="7" t="n">
        <v>43489</v>
      </c>
      <c r="C2584" s="7" t="n">
        <f aca="false">B2584-WEEKDAY(B2584)+1</f>
        <v>43485</v>
      </c>
      <c r="D2584" s="1" t="e">
        <f aca="false" t="array" ref="D2584:D2584">IF(ISBLANK(_xlfn.xlookup(D$3,daily_items,_xlfn.xlookup($C2584,daily_dates,big_daily_table))),NA(),_xlfn.xlookup(D$3,daily_items,_xlfn.xlookup($C2584,daily_dates,big_daily_table)))</f>
        <v>#NAME?</v>
      </c>
      <c r="E2584" s="1" t="e">
        <f aca="false" t="array" ref="E2584:E2584">IF(ISBLANK(_xlfn.xlookup(E$3,daily_items,_xlfn.xlookup($C2584,daily_dates,big_daily_table))),NA(),_xlfn.xlookup(E$3,daily_items,_xlfn.xlookup($C2584,daily_dates,big_daily_table)))</f>
        <v>#NAME?</v>
      </c>
    </row>
    <row r="2585" customFormat="false" ht="14.25" hidden="false" customHeight="false" outlineLevel="0" collapsed="false">
      <c r="B2585" s="7" t="n">
        <v>43490</v>
      </c>
      <c r="C2585" s="7" t="n">
        <f aca="false">B2585-WEEKDAY(B2585)+1</f>
        <v>43485</v>
      </c>
      <c r="D2585" s="1" t="e">
        <f aca="false" t="array" ref="D2585:D2585">IF(ISBLANK(_xlfn.xlookup(D$3,daily_items,_xlfn.xlookup($C2585,daily_dates,big_daily_table))),NA(),_xlfn.xlookup(D$3,daily_items,_xlfn.xlookup($C2585,daily_dates,big_daily_table)))</f>
        <v>#NAME?</v>
      </c>
      <c r="E2585" s="1" t="e">
        <f aca="false" t="array" ref="E2585:E2585">IF(ISBLANK(_xlfn.xlookup(E$3,daily_items,_xlfn.xlookup($C2585,daily_dates,big_daily_table))),NA(),_xlfn.xlookup(E$3,daily_items,_xlfn.xlookup($C2585,daily_dates,big_daily_table)))</f>
        <v>#NAME?</v>
      </c>
    </row>
    <row r="2586" customFormat="false" ht="14.25" hidden="false" customHeight="false" outlineLevel="0" collapsed="false">
      <c r="B2586" s="7" t="n">
        <v>43491</v>
      </c>
      <c r="C2586" s="7" t="n">
        <f aca="false">B2586-WEEKDAY(B2586)+1</f>
        <v>43485</v>
      </c>
      <c r="D2586" s="1" t="e">
        <f aca="false" t="array" ref="D2586:D2586">IF(ISBLANK(_xlfn.xlookup(D$3,daily_items,_xlfn.xlookup($C2586,daily_dates,big_daily_table))),NA(),_xlfn.xlookup(D$3,daily_items,_xlfn.xlookup($C2586,daily_dates,big_daily_table)))</f>
        <v>#NAME?</v>
      </c>
      <c r="E2586" s="1" t="e">
        <f aca="false" t="array" ref="E2586:E2586">IF(ISBLANK(_xlfn.xlookup(E$3,daily_items,_xlfn.xlookup($C2586,daily_dates,big_daily_table))),NA(),_xlfn.xlookup(E$3,daily_items,_xlfn.xlookup($C2586,daily_dates,big_daily_table)))</f>
        <v>#NAME?</v>
      </c>
    </row>
    <row r="2587" customFormat="false" ht="14.25" hidden="false" customHeight="false" outlineLevel="0" collapsed="false">
      <c r="B2587" s="7" t="n">
        <v>43492</v>
      </c>
      <c r="C2587" s="7" t="n">
        <f aca="false">B2587-WEEKDAY(B2587)+1</f>
        <v>43492</v>
      </c>
      <c r="D2587" s="1" t="e">
        <f aca="false" t="array" ref="D2587:D2587">IF(ISBLANK(_xlfn.xlookup(D$3,daily_items,_xlfn.xlookup($C2587,daily_dates,big_daily_table))),NA(),_xlfn.xlookup(D$3,daily_items,_xlfn.xlookup($C2587,daily_dates,big_daily_table)))</f>
        <v>#NAME?</v>
      </c>
      <c r="E2587" s="1" t="e">
        <f aca="false" t="array" ref="E2587:E2587">IF(ISBLANK(_xlfn.xlookup(E$3,daily_items,_xlfn.xlookup($C2587,daily_dates,big_daily_table))),NA(),_xlfn.xlookup(E$3,daily_items,_xlfn.xlookup($C2587,daily_dates,big_daily_table)))</f>
        <v>#NAME?</v>
      </c>
    </row>
    <row r="2588" customFormat="false" ht="14.25" hidden="false" customHeight="false" outlineLevel="0" collapsed="false">
      <c r="B2588" s="7" t="n">
        <v>43493</v>
      </c>
      <c r="C2588" s="7" t="n">
        <f aca="false">B2588-WEEKDAY(B2588)+1</f>
        <v>43492</v>
      </c>
      <c r="D2588" s="1" t="e">
        <f aca="false" t="array" ref="D2588:D2588">IF(ISBLANK(_xlfn.xlookup(D$3,daily_items,_xlfn.xlookup($C2588,daily_dates,big_daily_table))),NA(),_xlfn.xlookup(D$3,daily_items,_xlfn.xlookup($C2588,daily_dates,big_daily_table)))</f>
        <v>#NAME?</v>
      </c>
      <c r="E2588" s="1" t="e">
        <f aca="false" t="array" ref="E2588:E2588">IF(ISBLANK(_xlfn.xlookup(E$3,daily_items,_xlfn.xlookup($C2588,daily_dates,big_daily_table))),NA(),_xlfn.xlookup(E$3,daily_items,_xlfn.xlookup($C2588,daily_dates,big_daily_table)))</f>
        <v>#NAME?</v>
      </c>
    </row>
    <row r="2589" customFormat="false" ht="14.25" hidden="false" customHeight="false" outlineLevel="0" collapsed="false">
      <c r="B2589" s="7" t="n">
        <v>43494</v>
      </c>
      <c r="C2589" s="7" t="n">
        <f aca="false">B2589-WEEKDAY(B2589)+1</f>
        <v>43492</v>
      </c>
      <c r="D2589" s="1" t="e">
        <f aca="false" t="array" ref="D2589:D2589">IF(ISBLANK(_xlfn.xlookup(D$3,daily_items,_xlfn.xlookup($C2589,daily_dates,big_daily_table))),NA(),_xlfn.xlookup(D$3,daily_items,_xlfn.xlookup($C2589,daily_dates,big_daily_table)))</f>
        <v>#NAME?</v>
      </c>
      <c r="E2589" s="1" t="e">
        <f aca="false" t="array" ref="E2589:E2589">IF(ISBLANK(_xlfn.xlookup(E$3,daily_items,_xlfn.xlookup($C2589,daily_dates,big_daily_table))),NA(),_xlfn.xlookup(E$3,daily_items,_xlfn.xlookup($C2589,daily_dates,big_daily_table)))</f>
        <v>#NAME?</v>
      </c>
    </row>
    <row r="2590" customFormat="false" ht="14.25" hidden="false" customHeight="false" outlineLevel="0" collapsed="false">
      <c r="B2590" s="7" t="n">
        <v>43495</v>
      </c>
      <c r="C2590" s="7" t="n">
        <f aca="false">B2590-WEEKDAY(B2590)+1</f>
        <v>43492</v>
      </c>
      <c r="D2590" s="1" t="e">
        <f aca="false" t="array" ref="D2590:D2590">IF(ISBLANK(_xlfn.xlookup(D$3,daily_items,_xlfn.xlookup($C2590,daily_dates,big_daily_table))),NA(),_xlfn.xlookup(D$3,daily_items,_xlfn.xlookup($C2590,daily_dates,big_daily_table)))</f>
        <v>#NAME?</v>
      </c>
      <c r="E2590" s="1" t="e">
        <f aca="false" t="array" ref="E2590:E2590">IF(ISBLANK(_xlfn.xlookup(E$3,daily_items,_xlfn.xlookup($C2590,daily_dates,big_daily_table))),NA(),_xlfn.xlookup(E$3,daily_items,_xlfn.xlookup($C2590,daily_dates,big_daily_table)))</f>
        <v>#NAME?</v>
      </c>
    </row>
    <row r="2591" customFormat="false" ht="14.25" hidden="false" customHeight="false" outlineLevel="0" collapsed="false">
      <c r="B2591" s="7" t="n">
        <v>43496</v>
      </c>
      <c r="C2591" s="7" t="n">
        <f aca="false">B2591-WEEKDAY(B2591)+1</f>
        <v>43492</v>
      </c>
      <c r="D2591" s="1" t="e">
        <f aca="false" t="array" ref="D2591:D2591">IF(ISBLANK(_xlfn.xlookup(D$3,daily_items,_xlfn.xlookup($C2591,daily_dates,big_daily_table))),NA(),_xlfn.xlookup(D$3,daily_items,_xlfn.xlookup($C2591,daily_dates,big_daily_table)))</f>
        <v>#NAME?</v>
      </c>
      <c r="E2591" s="1" t="e">
        <f aca="false" t="array" ref="E2591:E2591">IF(ISBLANK(_xlfn.xlookup(E$3,daily_items,_xlfn.xlookup($C2591,daily_dates,big_daily_table))),NA(),_xlfn.xlookup(E$3,daily_items,_xlfn.xlookup($C2591,daily_dates,big_daily_table)))</f>
        <v>#NAME?</v>
      </c>
    </row>
    <row r="2592" customFormat="false" ht="14.25" hidden="false" customHeight="false" outlineLevel="0" collapsed="false">
      <c r="B2592" s="7" t="n">
        <v>43497</v>
      </c>
      <c r="C2592" s="7" t="n">
        <f aca="false">B2592-WEEKDAY(B2592)+1</f>
        <v>43492</v>
      </c>
      <c r="D2592" s="1" t="e">
        <f aca="false" t="array" ref="D2592:D2592">IF(ISBLANK(_xlfn.xlookup(D$3,daily_items,_xlfn.xlookup($C2592,daily_dates,big_daily_table))),NA(),_xlfn.xlookup(D$3,daily_items,_xlfn.xlookup($C2592,daily_dates,big_daily_table)))</f>
        <v>#NAME?</v>
      </c>
      <c r="E2592" s="1" t="e">
        <f aca="false" t="array" ref="E2592:E2592">IF(ISBLANK(_xlfn.xlookup(E$3,daily_items,_xlfn.xlookup($C2592,daily_dates,big_daily_table))),NA(),_xlfn.xlookup(E$3,daily_items,_xlfn.xlookup($C2592,daily_dates,big_daily_table)))</f>
        <v>#NAME?</v>
      </c>
    </row>
    <row r="2593" customFormat="false" ht="14.25" hidden="false" customHeight="false" outlineLevel="0" collapsed="false">
      <c r="B2593" s="7" t="n">
        <v>43498</v>
      </c>
      <c r="C2593" s="7" t="n">
        <f aca="false">B2593-WEEKDAY(B2593)+1</f>
        <v>43492</v>
      </c>
      <c r="D2593" s="1" t="e">
        <f aca="false" t="array" ref="D2593:D2593">IF(ISBLANK(_xlfn.xlookup(D$3,daily_items,_xlfn.xlookup($C2593,daily_dates,big_daily_table))),NA(),_xlfn.xlookup(D$3,daily_items,_xlfn.xlookup($C2593,daily_dates,big_daily_table)))</f>
        <v>#NAME?</v>
      </c>
      <c r="E2593" s="1" t="e">
        <f aca="false" t="array" ref="E2593:E2593">IF(ISBLANK(_xlfn.xlookup(E$3,daily_items,_xlfn.xlookup($C2593,daily_dates,big_daily_table))),NA(),_xlfn.xlookup(E$3,daily_items,_xlfn.xlookup($C2593,daily_dates,big_daily_table)))</f>
        <v>#NAME?</v>
      </c>
    </row>
    <row r="2594" customFormat="false" ht="14.25" hidden="false" customHeight="false" outlineLevel="0" collapsed="false">
      <c r="B2594" s="7" t="n">
        <v>43499</v>
      </c>
      <c r="C2594" s="7" t="n">
        <f aca="false">B2594-WEEKDAY(B2594)+1</f>
        <v>43499</v>
      </c>
      <c r="D2594" s="1" t="e">
        <f aca="false" t="array" ref="D2594:D2594">IF(ISBLANK(_xlfn.xlookup(D$3,daily_items,_xlfn.xlookup($C2594,daily_dates,big_daily_table))),NA(),_xlfn.xlookup(D$3,daily_items,_xlfn.xlookup($C2594,daily_dates,big_daily_table)))</f>
        <v>#NAME?</v>
      </c>
      <c r="E2594" s="1" t="e">
        <f aca="false" t="array" ref="E2594:E2594">IF(ISBLANK(_xlfn.xlookup(E$3,daily_items,_xlfn.xlookup($C2594,daily_dates,big_daily_table))),NA(),_xlfn.xlookup(E$3,daily_items,_xlfn.xlookup($C2594,daily_dates,big_daily_table)))</f>
        <v>#NAME?</v>
      </c>
    </row>
    <row r="2595" customFormat="false" ht="14.25" hidden="false" customHeight="false" outlineLevel="0" collapsed="false">
      <c r="B2595" s="7" t="n">
        <v>43500</v>
      </c>
      <c r="C2595" s="7" t="n">
        <f aca="false">B2595-WEEKDAY(B2595)+1</f>
        <v>43499</v>
      </c>
      <c r="D2595" s="1" t="e">
        <f aca="false" t="array" ref="D2595:D2595">IF(ISBLANK(_xlfn.xlookup(D$3,daily_items,_xlfn.xlookup($C2595,daily_dates,big_daily_table))),NA(),_xlfn.xlookup(D$3,daily_items,_xlfn.xlookup($C2595,daily_dates,big_daily_table)))</f>
        <v>#NAME?</v>
      </c>
      <c r="E2595" s="1" t="e">
        <f aca="false" t="array" ref="E2595:E2595">IF(ISBLANK(_xlfn.xlookup(E$3,daily_items,_xlfn.xlookup($C2595,daily_dates,big_daily_table))),NA(),_xlfn.xlookup(E$3,daily_items,_xlfn.xlookup($C2595,daily_dates,big_daily_table)))</f>
        <v>#NAME?</v>
      </c>
    </row>
    <row r="2596" customFormat="false" ht="14.25" hidden="false" customHeight="false" outlineLevel="0" collapsed="false">
      <c r="B2596" s="7" t="n">
        <v>43501</v>
      </c>
      <c r="C2596" s="7" t="n">
        <f aca="false">B2596-WEEKDAY(B2596)+1</f>
        <v>43499</v>
      </c>
      <c r="D2596" s="1" t="e">
        <f aca="false" t="array" ref="D2596:D2596">IF(ISBLANK(_xlfn.xlookup(D$3,daily_items,_xlfn.xlookup($C2596,daily_dates,big_daily_table))),NA(),_xlfn.xlookup(D$3,daily_items,_xlfn.xlookup($C2596,daily_dates,big_daily_table)))</f>
        <v>#NAME?</v>
      </c>
      <c r="E2596" s="1" t="e">
        <f aca="false" t="array" ref="E2596:E2596">IF(ISBLANK(_xlfn.xlookup(E$3,daily_items,_xlfn.xlookup($C2596,daily_dates,big_daily_table))),NA(),_xlfn.xlookup(E$3,daily_items,_xlfn.xlookup($C2596,daily_dates,big_daily_table)))</f>
        <v>#NAME?</v>
      </c>
    </row>
    <row r="2597" customFormat="false" ht="14.25" hidden="false" customHeight="false" outlineLevel="0" collapsed="false">
      <c r="B2597" s="7" t="n">
        <v>43502</v>
      </c>
      <c r="C2597" s="7" t="n">
        <f aca="false">B2597-WEEKDAY(B2597)+1</f>
        <v>43499</v>
      </c>
      <c r="D2597" s="1" t="e">
        <f aca="false" t="array" ref="D2597:D2597">IF(ISBLANK(_xlfn.xlookup(D$3,daily_items,_xlfn.xlookup($C2597,daily_dates,big_daily_table))),NA(),_xlfn.xlookup(D$3,daily_items,_xlfn.xlookup($C2597,daily_dates,big_daily_table)))</f>
        <v>#NAME?</v>
      </c>
      <c r="E2597" s="1" t="e">
        <f aca="false" t="array" ref="E2597:E2597">IF(ISBLANK(_xlfn.xlookup(E$3,daily_items,_xlfn.xlookup($C2597,daily_dates,big_daily_table))),NA(),_xlfn.xlookup(E$3,daily_items,_xlfn.xlookup($C2597,daily_dates,big_daily_table)))</f>
        <v>#NAME?</v>
      </c>
    </row>
    <row r="2598" customFormat="false" ht="14.25" hidden="false" customHeight="false" outlineLevel="0" collapsed="false">
      <c r="B2598" s="7" t="n">
        <v>43503</v>
      </c>
      <c r="C2598" s="7" t="n">
        <f aca="false">B2598-WEEKDAY(B2598)+1</f>
        <v>43499</v>
      </c>
      <c r="D2598" s="1" t="e">
        <f aca="false" t="array" ref="D2598:D2598">IF(ISBLANK(_xlfn.xlookup(D$3,daily_items,_xlfn.xlookup($C2598,daily_dates,big_daily_table))),NA(),_xlfn.xlookup(D$3,daily_items,_xlfn.xlookup($C2598,daily_dates,big_daily_table)))</f>
        <v>#NAME?</v>
      </c>
      <c r="E2598" s="1" t="e">
        <f aca="false" t="array" ref="E2598:E2598">IF(ISBLANK(_xlfn.xlookup(E$3,daily_items,_xlfn.xlookup($C2598,daily_dates,big_daily_table))),NA(),_xlfn.xlookup(E$3,daily_items,_xlfn.xlookup($C2598,daily_dates,big_daily_table)))</f>
        <v>#NAME?</v>
      </c>
    </row>
    <row r="2599" customFormat="false" ht="14.25" hidden="false" customHeight="false" outlineLevel="0" collapsed="false">
      <c r="B2599" s="7" t="n">
        <v>43504</v>
      </c>
      <c r="C2599" s="7" t="n">
        <f aca="false">B2599-WEEKDAY(B2599)+1</f>
        <v>43499</v>
      </c>
      <c r="D2599" s="1" t="e">
        <f aca="false" t="array" ref="D2599:D2599">IF(ISBLANK(_xlfn.xlookup(D$3,daily_items,_xlfn.xlookup($C2599,daily_dates,big_daily_table))),NA(),_xlfn.xlookup(D$3,daily_items,_xlfn.xlookup($C2599,daily_dates,big_daily_table)))</f>
        <v>#NAME?</v>
      </c>
      <c r="E2599" s="1" t="e">
        <f aca="false" t="array" ref="E2599:E2599">IF(ISBLANK(_xlfn.xlookup(E$3,daily_items,_xlfn.xlookup($C2599,daily_dates,big_daily_table))),NA(),_xlfn.xlookup(E$3,daily_items,_xlfn.xlookup($C2599,daily_dates,big_daily_table)))</f>
        <v>#NAME?</v>
      </c>
    </row>
    <row r="2600" customFormat="false" ht="14.25" hidden="false" customHeight="false" outlineLevel="0" collapsed="false">
      <c r="B2600" s="7" t="n">
        <v>43505</v>
      </c>
      <c r="C2600" s="7" t="n">
        <f aca="false">B2600-WEEKDAY(B2600)+1</f>
        <v>43499</v>
      </c>
      <c r="D2600" s="1" t="e">
        <f aca="false" t="array" ref="D2600:D2600">IF(ISBLANK(_xlfn.xlookup(D$3,daily_items,_xlfn.xlookup($C2600,daily_dates,big_daily_table))),NA(),_xlfn.xlookup(D$3,daily_items,_xlfn.xlookup($C2600,daily_dates,big_daily_table)))</f>
        <v>#NAME?</v>
      </c>
      <c r="E2600" s="1" t="e">
        <f aca="false" t="array" ref="E2600:E2600">IF(ISBLANK(_xlfn.xlookup(E$3,daily_items,_xlfn.xlookup($C2600,daily_dates,big_daily_table))),NA(),_xlfn.xlookup(E$3,daily_items,_xlfn.xlookup($C2600,daily_dates,big_daily_table)))</f>
        <v>#NAME?</v>
      </c>
    </row>
    <row r="2601" customFormat="false" ht="14.25" hidden="false" customHeight="false" outlineLevel="0" collapsed="false">
      <c r="B2601" s="7" t="n">
        <v>43506</v>
      </c>
      <c r="C2601" s="7" t="n">
        <f aca="false">B2601-WEEKDAY(B2601)+1</f>
        <v>43506</v>
      </c>
      <c r="D2601" s="1" t="e">
        <f aca="false" t="array" ref="D2601:D2601">IF(ISBLANK(_xlfn.xlookup(D$3,daily_items,_xlfn.xlookup($C2601,daily_dates,big_daily_table))),NA(),_xlfn.xlookup(D$3,daily_items,_xlfn.xlookup($C2601,daily_dates,big_daily_table)))</f>
        <v>#NAME?</v>
      </c>
      <c r="E2601" s="1" t="e">
        <f aca="false" t="array" ref="E2601:E2601">IF(ISBLANK(_xlfn.xlookup(E$3,daily_items,_xlfn.xlookup($C2601,daily_dates,big_daily_table))),NA(),_xlfn.xlookup(E$3,daily_items,_xlfn.xlookup($C2601,daily_dates,big_daily_table)))</f>
        <v>#NAME?</v>
      </c>
    </row>
    <row r="2602" customFormat="false" ht="14.25" hidden="false" customHeight="false" outlineLevel="0" collapsed="false">
      <c r="B2602" s="7" t="n">
        <v>43507</v>
      </c>
      <c r="C2602" s="7" t="n">
        <f aca="false">B2602-WEEKDAY(B2602)+1</f>
        <v>43506</v>
      </c>
      <c r="D2602" s="1" t="e">
        <f aca="false" t="array" ref="D2602:D2602">IF(ISBLANK(_xlfn.xlookup(D$3,daily_items,_xlfn.xlookup($C2602,daily_dates,big_daily_table))),NA(),_xlfn.xlookup(D$3,daily_items,_xlfn.xlookup($C2602,daily_dates,big_daily_table)))</f>
        <v>#NAME?</v>
      </c>
      <c r="E2602" s="1" t="e">
        <f aca="false" t="array" ref="E2602:E2602">IF(ISBLANK(_xlfn.xlookup(E$3,daily_items,_xlfn.xlookup($C2602,daily_dates,big_daily_table))),NA(),_xlfn.xlookup(E$3,daily_items,_xlfn.xlookup($C2602,daily_dates,big_daily_table)))</f>
        <v>#NAME?</v>
      </c>
    </row>
    <row r="2603" customFormat="false" ht="14.25" hidden="false" customHeight="false" outlineLevel="0" collapsed="false">
      <c r="B2603" s="7" t="n">
        <v>43508</v>
      </c>
      <c r="C2603" s="7" t="n">
        <f aca="false">B2603-WEEKDAY(B2603)+1</f>
        <v>43506</v>
      </c>
      <c r="D2603" s="1" t="e">
        <f aca="false" t="array" ref="D2603:D2603">IF(ISBLANK(_xlfn.xlookup(D$3,daily_items,_xlfn.xlookup($C2603,daily_dates,big_daily_table))),NA(),_xlfn.xlookup(D$3,daily_items,_xlfn.xlookup($C2603,daily_dates,big_daily_table)))</f>
        <v>#NAME?</v>
      </c>
      <c r="E2603" s="1" t="e">
        <f aca="false" t="array" ref="E2603:E2603">IF(ISBLANK(_xlfn.xlookup(E$3,daily_items,_xlfn.xlookup($C2603,daily_dates,big_daily_table))),NA(),_xlfn.xlookup(E$3,daily_items,_xlfn.xlookup($C2603,daily_dates,big_daily_table)))</f>
        <v>#NAME?</v>
      </c>
    </row>
    <row r="2604" customFormat="false" ht="14.25" hidden="false" customHeight="false" outlineLevel="0" collapsed="false">
      <c r="B2604" s="7" t="n">
        <v>43509</v>
      </c>
      <c r="C2604" s="7" t="n">
        <f aca="false">B2604-WEEKDAY(B2604)+1</f>
        <v>43506</v>
      </c>
      <c r="D2604" s="1" t="e">
        <f aca="false" t="array" ref="D2604:D2604">IF(ISBLANK(_xlfn.xlookup(D$3,daily_items,_xlfn.xlookup($C2604,daily_dates,big_daily_table))),NA(),_xlfn.xlookup(D$3,daily_items,_xlfn.xlookup($C2604,daily_dates,big_daily_table)))</f>
        <v>#NAME?</v>
      </c>
      <c r="E2604" s="1" t="e">
        <f aca="false" t="array" ref="E2604:E2604">IF(ISBLANK(_xlfn.xlookup(E$3,daily_items,_xlfn.xlookup($C2604,daily_dates,big_daily_table))),NA(),_xlfn.xlookup(E$3,daily_items,_xlfn.xlookup($C2604,daily_dates,big_daily_table)))</f>
        <v>#NAME?</v>
      </c>
    </row>
    <row r="2605" customFormat="false" ht="14.25" hidden="false" customHeight="false" outlineLevel="0" collapsed="false">
      <c r="B2605" s="7" t="n">
        <v>43510</v>
      </c>
      <c r="C2605" s="7" t="n">
        <f aca="false">B2605-WEEKDAY(B2605)+1</f>
        <v>43506</v>
      </c>
      <c r="D2605" s="1" t="e">
        <f aca="false" t="array" ref="D2605:D2605">IF(ISBLANK(_xlfn.xlookup(D$3,daily_items,_xlfn.xlookup($C2605,daily_dates,big_daily_table))),NA(),_xlfn.xlookup(D$3,daily_items,_xlfn.xlookup($C2605,daily_dates,big_daily_table)))</f>
        <v>#NAME?</v>
      </c>
      <c r="E2605" s="1" t="e">
        <f aca="false" t="array" ref="E2605:E2605">IF(ISBLANK(_xlfn.xlookup(E$3,daily_items,_xlfn.xlookup($C2605,daily_dates,big_daily_table))),NA(),_xlfn.xlookup(E$3,daily_items,_xlfn.xlookup($C2605,daily_dates,big_daily_table)))</f>
        <v>#NAME?</v>
      </c>
    </row>
    <row r="2606" customFormat="false" ht="14.25" hidden="false" customHeight="false" outlineLevel="0" collapsed="false">
      <c r="B2606" s="7" t="n">
        <v>43511</v>
      </c>
      <c r="C2606" s="7" t="n">
        <f aca="false">B2606-WEEKDAY(B2606)+1</f>
        <v>43506</v>
      </c>
      <c r="D2606" s="1" t="e">
        <f aca="false" t="array" ref="D2606:D2606">IF(ISBLANK(_xlfn.xlookup(D$3,daily_items,_xlfn.xlookup($C2606,daily_dates,big_daily_table))),NA(),_xlfn.xlookup(D$3,daily_items,_xlfn.xlookup($C2606,daily_dates,big_daily_table)))</f>
        <v>#NAME?</v>
      </c>
      <c r="E2606" s="1" t="e">
        <f aca="false" t="array" ref="E2606:E2606">IF(ISBLANK(_xlfn.xlookup(E$3,daily_items,_xlfn.xlookup($C2606,daily_dates,big_daily_table))),NA(),_xlfn.xlookup(E$3,daily_items,_xlfn.xlookup($C2606,daily_dates,big_daily_table)))</f>
        <v>#NAME?</v>
      </c>
    </row>
    <row r="2607" customFormat="false" ht="14.25" hidden="false" customHeight="false" outlineLevel="0" collapsed="false">
      <c r="B2607" s="7" t="n">
        <v>43512</v>
      </c>
      <c r="C2607" s="7" t="n">
        <f aca="false">B2607-WEEKDAY(B2607)+1</f>
        <v>43506</v>
      </c>
      <c r="D2607" s="1" t="e">
        <f aca="false" t="array" ref="D2607:D2607">IF(ISBLANK(_xlfn.xlookup(D$3,daily_items,_xlfn.xlookup($C2607,daily_dates,big_daily_table))),NA(),_xlfn.xlookup(D$3,daily_items,_xlfn.xlookup($C2607,daily_dates,big_daily_table)))</f>
        <v>#NAME?</v>
      </c>
      <c r="E2607" s="1" t="e">
        <f aca="false" t="array" ref="E2607:E2607">IF(ISBLANK(_xlfn.xlookup(E$3,daily_items,_xlfn.xlookup($C2607,daily_dates,big_daily_table))),NA(),_xlfn.xlookup(E$3,daily_items,_xlfn.xlookup($C2607,daily_dates,big_daily_table)))</f>
        <v>#NAME?</v>
      </c>
    </row>
    <row r="2608" customFormat="false" ht="14.25" hidden="false" customHeight="false" outlineLevel="0" collapsed="false">
      <c r="B2608" s="7" t="n">
        <v>43513</v>
      </c>
      <c r="C2608" s="7" t="n">
        <f aca="false">B2608-WEEKDAY(B2608)+1</f>
        <v>43513</v>
      </c>
      <c r="D2608" s="1" t="e">
        <f aca="false" t="array" ref="D2608:D2608">IF(ISBLANK(_xlfn.xlookup(D$3,daily_items,_xlfn.xlookup($C2608,daily_dates,big_daily_table))),NA(),_xlfn.xlookup(D$3,daily_items,_xlfn.xlookup($C2608,daily_dates,big_daily_table)))</f>
        <v>#NAME?</v>
      </c>
      <c r="E2608" s="1" t="e">
        <f aca="false" t="array" ref="E2608:E2608">IF(ISBLANK(_xlfn.xlookup(E$3,daily_items,_xlfn.xlookup($C2608,daily_dates,big_daily_table))),NA(),_xlfn.xlookup(E$3,daily_items,_xlfn.xlookup($C2608,daily_dates,big_daily_table)))</f>
        <v>#NAME?</v>
      </c>
    </row>
    <row r="2609" customFormat="false" ht="14.25" hidden="false" customHeight="false" outlineLevel="0" collapsed="false">
      <c r="B2609" s="7" t="n">
        <v>43514</v>
      </c>
      <c r="C2609" s="7" t="n">
        <f aca="false">B2609-WEEKDAY(B2609)+1</f>
        <v>43513</v>
      </c>
      <c r="D2609" s="1" t="e">
        <f aca="false" t="array" ref="D2609:D2609">IF(ISBLANK(_xlfn.xlookup(D$3,daily_items,_xlfn.xlookup($C2609,daily_dates,big_daily_table))),NA(),_xlfn.xlookup(D$3,daily_items,_xlfn.xlookup($C2609,daily_dates,big_daily_table)))</f>
        <v>#NAME?</v>
      </c>
      <c r="E2609" s="1" t="e">
        <f aca="false" t="array" ref="E2609:E2609">IF(ISBLANK(_xlfn.xlookup(E$3,daily_items,_xlfn.xlookup($C2609,daily_dates,big_daily_table))),NA(),_xlfn.xlookup(E$3,daily_items,_xlfn.xlookup($C2609,daily_dates,big_daily_table)))</f>
        <v>#NAME?</v>
      </c>
    </row>
    <row r="2610" customFormat="false" ht="14.25" hidden="false" customHeight="false" outlineLevel="0" collapsed="false">
      <c r="B2610" s="7" t="n">
        <v>43515</v>
      </c>
      <c r="C2610" s="7" t="n">
        <f aca="false">B2610-WEEKDAY(B2610)+1</f>
        <v>43513</v>
      </c>
      <c r="D2610" s="1" t="e">
        <f aca="false" t="array" ref="D2610:D2610">IF(ISBLANK(_xlfn.xlookup(D$3,daily_items,_xlfn.xlookup($C2610,daily_dates,big_daily_table))),NA(),_xlfn.xlookup(D$3,daily_items,_xlfn.xlookup($C2610,daily_dates,big_daily_table)))</f>
        <v>#NAME?</v>
      </c>
      <c r="E2610" s="1" t="e">
        <f aca="false" t="array" ref="E2610:E2610">IF(ISBLANK(_xlfn.xlookup(E$3,daily_items,_xlfn.xlookup($C2610,daily_dates,big_daily_table))),NA(),_xlfn.xlookup(E$3,daily_items,_xlfn.xlookup($C2610,daily_dates,big_daily_table)))</f>
        <v>#NAME?</v>
      </c>
    </row>
    <row r="2611" customFormat="false" ht="14.25" hidden="false" customHeight="false" outlineLevel="0" collapsed="false">
      <c r="B2611" s="7" t="n">
        <v>43516</v>
      </c>
      <c r="C2611" s="7" t="n">
        <f aca="false">B2611-WEEKDAY(B2611)+1</f>
        <v>43513</v>
      </c>
      <c r="D2611" s="1" t="e">
        <f aca="false" t="array" ref="D2611:D2611">IF(ISBLANK(_xlfn.xlookup(D$3,daily_items,_xlfn.xlookup($C2611,daily_dates,big_daily_table))),NA(),_xlfn.xlookup(D$3,daily_items,_xlfn.xlookup($C2611,daily_dates,big_daily_table)))</f>
        <v>#NAME?</v>
      </c>
      <c r="E2611" s="1" t="e">
        <f aca="false" t="array" ref="E2611:E2611">IF(ISBLANK(_xlfn.xlookup(E$3,daily_items,_xlfn.xlookup($C2611,daily_dates,big_daily_table))),NA(),_xlfn.xlookup(E$3,daily_items,_xlfn.xlookup($C2611,daily_dates,big_daily_table)))</f>
        <v>#NAME?</v>
      </c>
    </row>
    <row r="2612" customFormat="false" ht="14.25" hidden="false" customHeight="false" outlineLevel="0" collapsed="false">
      <c r="B2612" s="7" t="n">
        <v>43517</v>
      </c>
      <c r="C2612" s="7" t="n">
        <f aca="false">B2612-WEEKDAY(B2612)+1</f>
        <v>43513</v>
      </c>
      <c r="D2612" s="1" t="e">
        <f aca="false" t="array" ref="D2612:D2612">IF(ISBLANK(_xlfn.xlookup(D$3,daily_items,_xlfn.xlookup($C2612,daily_dates,big_daily_table))),NA(),_xlfn.xlookup(D$3,daily_items,_xlfn.xlookup($C2612,daily_dates,big_daily_table)))</f>
        <v>#NAME?</v>
      </c>
      <c r="E2612" s="1" t="e">
        <f aca="false" t="array" ref="E2612:E2612">IF(ISBLANK(_xlfn.xlookup(E$3,daily_items,_xlfn.xlookup($C2612,daily_dates,big_daily_table))),NA(),_xlfn.xlookup(E$3,daily_items,_xlfn.xlookup($C2612,daily_dates,big_daily_table)))</f>
        <v>#NAME?</v>
      </c>
    </row>
    <row r="2613" customFormat="false" ht="14.25" hidden="false" customHeight="false" outlineLevel="0" collapsed="false">
      <c r="B2613" s="7" t="n">
        <v>43518</v>
      </c>
      <c r="C2613" s="7" t="n">
        <f aca="false">B2613-WEEKDAY(B2613)+1</f>
        <v>43513</v>
      </c>
      <c r="D2613" s="1" t="e">
        <f aca="false" t="array" ref="D2613:D2613">IF(ISBLANK(_xlfn.xlookup(D$3,daily_items,_xlfn.xlookup($C2613,daily_dates,big_daily_table))),NA(),_xlfn.xlookup(D$3,daily_items,_xlfn.xlookup($C2613,daily_dates,big_daily_table)))</f>
        <v>#NAME?</v>
      </c>
      <c r="E2613" s="1" t="e">
        <f aca="false" t="array" ref="E2613:E2613">IF(ISBLANK(_xlfn.xlookup(E$3,daily_items,_xlfn.xlookup($C2613,daily_dates,big_daily_table))),NA(),_xlfn.xlookup(E$3,daily_items,_xlfn.xlookup($C2613,daily_dates,big_daily_table)))</f>
        <v>#NAME?</v>
      </c>
    </row>
    <row r="2614" customFormat="false" ht="14.25" hidden="false" customHeight="false" outlineLevel="0" collapsed="false">
      <c r="B2614" s="7" t="n">
        <v>43519</v>
      </c>
      <c r="C2614" s="7" t="n">
        <f aca="false">B2614-WEEKDAY(B2614)+1</f>
        <v>43513</v>
      </c>
      <c r="D2614" s="1" t="e">
        <f aca="false" t="array" ref="D2614:D2614">IF(ISBLANK(_xlfn.xlookup(D$3,daily_items,_xlfn.xlookup($C2614,daily_dates,big_daily_table))),NA(),_xlfn.xlookup(D$3,daily_items,_xlfn.xlookup($C2614,daily_dates,big_daily_table)))</f>
        <v>#NAME?</v>
      </c>
      <c r="E2614" s="1" t="e">
        <f aca="false" t="array" ref="E2614:E2614">IF(ISBLANK(_xlfn.xlookup(E$3,daily_items,_xlfn.xlookup($C2614,daily_dates,big_daily_table))),NA(),_xlfn.xlookup(E$3,daily_items,_xlfn.xlookup($C2614,daily_dates,big_daily_table)))</f>
        <v>#NAME?</v>
      </c>
    </row>
    <row r="2615" customFormat="false" ht="14.25" hidden="false" customHeight="false" outlineLevel="0" collapsed="false">
      <c r="B2615" s="7" t="n">
        <v>43520</v>
      </c>
      <c r="C2615" s="7" t="n">
        <f aca="false">B2615-WEEKDAY(B2615)+1</f>
        <v>43520</v>
      </c>
      <c r="D2615" s="1" t="e">
        <f aca="false" t="array" ref="D2615:D2615">IF(ISBLANK(_xlfn.xlookup(D$3,daily_items,_xlfn.xlookup($C2615,daily_dates,big_daily_table))),NA(),_xlfn.xlookup(D$3,daily_items,_xlfn.xlookup($C2615,daily_dates,big_daily_table)))</f>
        <v>#NAME?</v>
      </c>
      <c r="E2615" s="1" t="e">
        <f aca="false" t="array" ref="E2615:E2615">IF(ISBLANK(_xlfn.xlookup(E$3,daily_items,_xlfn.xlookup($C2615,daily_dates,big_daily_table))),NA(),_xlfn.xlookup(E$3,daily_items,_xlfn.xlookup($C2615,daily_dates,big_daily_table)))</f>
        <v>#NAME?</v>
      </c>
    </row>
    <row r="2616" customFormat="false" ht="14.25" hidden="false" customHeight="false" outlineLevel="0" collapsed="false">
      <c r="B2616" s="7" t="n">
        <v>43521</v>
      </c>
      <c r="C2616" s="7" t="n">
        <f aca="false">B2616-WEEKDAY(B2616)+1</f>
        <v>43520</v>
      </c>
      <c r="D2616" s="1" t="e">
        <f aca="false" t="array" ref="D2616:D2616">IF(ISBLANK(_xlfn.xlookup(D$3,daily_items,_xlfn.xlookup($C2616,daily_dates,big_daily_table))),NA(),_xlfn.xlookup(D$3,daily_items,_xlfn.xlookup($C2616,daily_dates,big_daily_table)))</f>
        <v>#NAME?</v>
      </c>
      <c r="E2616" s="1" t="e">
        <f aca="false" t="array" ref="E2616:E2616">IF(ISBLANK(_xlfn.xlookup(E$3,daily_items,_xlfn.xlookup($C2616,daily_dates,big_daily_table))),NA(),_xlfn.xlookup(E$3,daily_items,_xlfn.xlookup($C2616,daily_dates,big_daily_table)))</f>
        <v>#NAME?</v>
      </c>
    </row>
    <row r="2617" customFormat="false" ht="14.25" hidden="false" customHeight="false" outlineLevel="0" collapsed="false">
      <c r="B2617" s="7" t="n">
        <v>43522</v>
      </c>
      <c r="C2617" s="7" t="n">
        <f aca="false">B2617-WEEKDAY(B2617)+1</f>
        <v>43520</v>
      </c>
      <c r="D2617" s="1" t="e">
        <f aca="false" t="array" ref="D2617:D2617">IF(ISBLANK(_xlfn.xlookup(D$3,daily_items,_xlfn.xlookup($C2617,daily_dates,big_daily_table))),NA(),_xlfn.xlookup(D$3,daily_items,_xlfn.xlookup($C2617,daily_dates,big_daily_table)))</f>
        <v>#NAME?</v>
      </c>
      <c r="E2617" s="1" t="e">
        <f aca="false" t="array" ref="E2617:E2617">IF(ISBLANK(_xlfn.xlookup(E$3,daily_items,_xlfn.xlookup($C2617,daily_dates,big_daily_table))),NA(),_xlfn.xlookup(E$3,daily_items,_xlfn.xlookup($C2617,daily_dates,big_daily_table)))</f>
        <v>#NAME?</v>
      </c>
    </row>
    <row r="2618" customFormat="false" ht="14.25" hidden="false" customHeight="false" outlineLevel="0" collapsed="false">
      <c r="B2618" s="7" t="n">
        <v>43523</v>
      </c>
      <c r="C2618" s="7" t="n">
        <f aca="false">B2618-WEEKDAY(B2618)+1</f>
        <v>43520</v>
      </c>
      <c r="D2618" s="1" t="e">
        <f aca="false" t="array" ref="D2618:D2618">IF(ISBLANK(_xlfn.xlookup(D$3,daily_items,_xlfn.xlookup($C2618,daily_dates,big_daily_table))),NA(),_xlfn.xlookup(D$3,daily_items,_xlfn.xlookup($C2618,daily_dates,big_daily_table)))</f>
        <v>#NAME?</v>
      </c>
      <c r="E2618" s="1" t="e">
        <f aca="false" t="array" ref="E2618:E2618">IF(ISBLANK(_xlfn.xlookup(E$3,daily_items,_xlfn.xlookup($C2618,daily_dates,big_daily_table))),NA(),_xlfn.xlookup(E$3,daily_items,_xlfn.xlookup($C2618,daily_dates,big_daily_table)))</f>
        <v>#NAME?</v>
      </c>
    </row>
    <row r="2619" customFormat="false" ht="14.25" hidden="false" customHeight="false" outlineLevel="0" collapsed="false">
      <c r="B2619" s="7" t="n">
        <v>43524</v>
      </c>
      <c r="C2619" s="7" t="n">
        <f aca="false">B2619-WEEKDAY(B2619)+1</f>
        <v>43520</v>
      </c>
      <c r="D2619" s="1" t="e">
        <f aca="false" t="array" ref="D2619:D2619">IF(ISBLANK(_xlfn.xlookup(D$3,daily_items,_xlfn.xlookup($C2619,daily_dates,big_daily_table))),NA(),_xlfn.xlookup(D$3,daily_items,_xlfn.xlookup($C2619,daily_dates,big_daily_table)))</f>
        <v>#NAME?</v>
      </c>
      <c r="E2619" s="1" t="e">
        <f aca="false" t="array" ref="E2619:E2619">IF(ISBLANK(_xlfn.xlookup(E$3,daily_items,_xlfn.xlookup($C2619,daily_dates,big_daily_table))),NA(),_xlfn.xlookup(E$3,daily_items,_xlfn.xlookup($C2619,daily_dates,big_daily_table)))</f>
        <v>#NAME?</v>
      </c>
    </row>
    <row r="2620" customFormat="false" ht="14.25" hidden="false" customHeight="false" outlineLevel="0" collapsed="false">
      <c r="B2620" s="7" t="n">
        <v>43525</v>
      </c>
      <c r="C2620" s="7" t="n">
        <f aca="false">B2620-WEEKDAY(B2620)+1</f>
        <v>43520</v>
      </c>
      <c r="D2620" s="1" t="e">
        <f aca="false" t="array" ref="D2620:D2620">IF(ISBLANK(_xlfn.xlookup(D$3,daily_items,_xlfn.xlookup($C2620,daily_dates,big_daily_table))),NA(),_xlfn.xlookup(D$3,daily_items,_xlfn.xlookup($C2620,daily_dates,big_daily_table)))</f>
        <v>#NAME?</v>
      </c>
      <c r="E2620" s="1" t="e">
        <f aca="false" t="array" ref="E2620:E2620">IF(ISBLANK(_xlfn.xlookup(E$3,daily_items,_xlfn.xlookup($C2620,daily_dates,big_daily_table))),NA(),_xlfn.xlookup(E$3,daily_items,_xlfn.xlookup($C2620,daily_dates,big_daily_table)))</f>
        <v>#NAME?</v>
      </c>
    </row>
    <row r="2621" customFormat="false" ht="14.25" hidden="false" customHeight="false" outlineLevel="0" collapsed="false">
      <c r="B2621" s="7" t="n">
        <v>43526</v>
      </c>
      <c r="C2621" s="7" t="n">
        <f aca="false">B2621-WEEKDAY(B2621)+1</f>
        <v>43520</v>
      </c>
      <c r="D2621" s="1" t="e">
        <f aca="false" t="array" ref="D2621:D2621">IF(ISBLANK(_xlfn.xlookup(D$3,daily_items,_xlfn.xlookup($C2621,daily_dates,big_daily_table))),NA(),_xlfn.xlookup(D$3,daily_items,_xlfn.xlookup($C2621,daily_dates,big_daily_table)))</f>
        <v>#NAME?</v>
      </c>
      <c r="E2621" s="1" t="e">
        <f aca="false" t="array" ref="E2621:E2621">IF(ISBLANK(_xlfn.xlookup(E$3,daily_items,_xlfn.xlookup($C2621,daily_dates,big_daily_table))),NA(),_xlfn.xlookup(E$3,daily_items,_xlfn.xlookup($C2621,daily_dates,big_daily_table)))</f>
        <v>#NAME?</v>
      </c>
    </row>
    <row r="2622" customFormat="false" ht="14.25" hidden="false" customHeight="false" outlineLevel="0" collapsed="false">
      <c r="B2622" s="7" t="n">
        <v>43527</v>
      </c>
      <c r="C2622" s="7" t="n">
        <f aca="false">B2622-WEEKDAY(B2622)+1</f>
        <v>43527</v>
      </c>
      <c r="D2622" s="1" t="e">
        <f aca="false" t="array" ref="D2622:D2622">IF(ISBLANK(_xlfn.xlookup(D$3,daily_items,_xlfn.xlookup($C2622,daily_dates,big_daily_table))),NA(),_xlfn.xlookup(D$3,daily_items,_xlfn.xlookup($C2622,daily_dates,big_daily_table)))</f>
        <v>#NAME?</v>
      </c>
      <c r="E2622" s="1" t="e">
        <f aca="false" t="array" ref="E2622:E2622">IF(ISBLANK(_xlfn.xlookup(E$3,daily_items,_xlfn.xlookup($C2622,daily_dates,big_daily_table))),NA(),_xlfn.xlookup(E$3,daily_items,_xlfn.xlookup($C2622,daily_dates,big_daily_table)))</f>
        <v>#NAME?</v>
      </c>
    </row>
    <row r="2623" customFormat="false" ht="14.25" hidden="false" customHeight="false" outlineLevel="0" collapsed="false">
      <c r="B2623" s="7" t="n">
        <v>43528</v>
      </c>
      <c r="C2623" s="7" t="n">
        <f aca="false">B2623-WEEKDAY(B2623)+1</f>
        <v>43527</v>
      </c>
      <c r="D2623" s="1" t="e">
        <f aca="false" t="array" ref="D2623:D2623">IF(ISBLANK(_xlfn.xlookup(D$3,daily_items,_xlfn.xlookup($C2623,daily_dates,big_daily_table))),NA(),_xlfn.xlookup(D$3,daily_items,_xlfn.xlookup($C2623,daily_dates,big_daily_table)))</f>
        <v>#NAME?</v>
      </c>
      <c r="E2623" s="1" t="e">
        <f aca="false" t="array" ref="E2623:E2623">IF(ISBLANK(_xlfn.xlookup(E$3,daily_items,_xlfn.xlookup($C2623,daily_dates,big_daily_table))),NA(),_xlfn.xlookup(E$3,daily_items,_xlfn.xlookup($C2623,daily_dates,big_daily_table)))</f>
        <v>#NAME?</v>
      </c>
    </row>
    <row r="2624" customFormat="false" ht="14.25" hidden="false" customHeight="false" outlineLevel="0" collapsed="false">
      <c r="B2624" s="7" t="n">
        <v>43529</v>
      </c>
      <c r="C2624" s="7" t="n">
        <f aca="false">B2624-WEEKDAY(B2624)+1</f>
        <v>43527</v>
      </c>
      <c r="D2624" s="1" t="e">
        <f aca="false" t="array" ref="D2624:D2624">IF(ISBLANK(_xlfn.xlookup(D$3,daily_items,_xlfn.xlookup($C2624,daily_dates,big_daily_table))),NA(),_xlfn.xlookup(D$3,daily_items,_xlfn.xlookup($C2624,daily_dates,big_daily_table)))</f>
        <v>#NAME?</v>
      </c>
      <c r="E2624" s="1" t="e">
        <f aca="false" t="array" ref="E2624:E2624">IF(ISBLANK(_xlfn.xlookup(E$3,daily_items,_xlfn.xlookup($C2624,daily_dates,big_daily_table))),NA(),_xlfn.xlookup(E$3,daily_items,_xlfn.xlookup($C2624,daily_dates,big_daily_table)))</f>
        <v>#NAME?</v>
      </c>
    </row>
    <row r="2625" customFormat="false" ht="14.25" hidden="false" customHeight="false" outlineLevel="0" collapsed="false">
      <c r="B2625" s="7" t="n">
        <v>43530</v>
      </c>
      <c r="C2625" s="7" t="n">
        <f aca="false">B2625-WEEKDAY(B2625)+1</f>
        <v>43527</v>
      </c>
      <c r="D2625" s="1" t="e">
        <f aca="false" t="array" ref="D2625:D2625">IF(ISBLANK(_xlfn.xlookup(D$3,daily_items,_xlfn.xlookup($C2625,daily_dates,big_daily_table))),NA(),_xlfn.xlookup(D$3,daily_items,_xlfn.xlookup($C2625,daily_dates,big_daily_table)))</f>
        <v>#NAME?</v>
      </c>
      <c r="E2625" s="1" t="e">
        <f aca="false" t="array" ref="E2625:E2625">IF(ISBLANK(_xlfn.xlookup(E$3,daily_items,_xlfn.xlookup($C2625,daily_dates,big_daily_table))),NA(),_xlfn.xlookup(E$3,daily_items,_xlfn.xlookup($C2625,daily_dates,big_daily_table)))</f>
        <v>#NAME?</v>
      </c>
    </row>
    <row r="2626" customFormat="false" ht="14.25" hidden="false" customHeight="false" outlineLevel="0" collapsed="false">
      <c r="B2626" s="7" t="n">
        <v>43531</v>
      </c>
      <c r="C2626" s="7" t="n">
        <f aca="false">B2626-WEEKDAY(B2626)+1</f>
        <v>43527</v>
      </c>
      <c r="D2626" s="1" t="e">
        <f aca="false" t="array" ref="D2626:D2626">IF(ISBLANK(_xlfn.xlookup(D$3,daily_items,_xlfn.xlookup($C2626,daily_dates,big_daily_table))),NA(),_xlfn.xlookup(D$3,daily_items,_xlfn.xlookup($C2626,daily_dates,big_daily_table)))</f>
        <v>#NAME?</v>
      </c>
      <c r="E2626" s="1" t="e">
        <f aca="false" t="array" ref="E2626:E2626">IF(ISBLANK(_xlfn.xlookup(E$3,daily_items,_xlfn.xlookup($C2626,daily_dates,big_daily_table))),NA(),_xlfn.xlookup(E$3,daily_items,_xlfn.xlookup($C2626,daily_dates,big_daily_table)))</f>
        <v>#NAME?</v>
      </c>
    </row>
    <row r="2627" customFormat="false" ht="14.25" hidden="false" customHeight="false" outlineLevel="0" collapsed="false">
      <c r="B2627" s="7" t="n">
        <v>43532</v>
      </c>
      <c r="C2627" s="7" t="n">
        <f aca="false">B2627-WEEKDAY(B2627)+1</f>
        <v>43527</v>
      </c>
      <c r="D2627" s="1" t="e">
        <f aca="false" t="array" ref="D2627:D2627">IF(ISBLANK(_xlfn.xlookup(D$3,daily_items,_xlfn.xlookup($C2627,daily_dates,big_daily_table))),NA(),_xlfn.xlookup(D$3,daily_items,_xlfn.xlookup($C2627,daily_dates,big_daily_table)))</f>
        <v>#NAME?</v>
      </c>
      <c r="E2627" s="1" t="e">
        <f aca="false" t="array" ref="E2627:E2627">IF(ISBLANK(_xlfn.xlookup(E$3,daily_items,_xlfn.xlookup($C2627,daily_dates,big_daily_table))),NA(),_xlfn.xlookup(E$3,daily_items,_xlfn.xlookup($C2627,daily_dates,big_daily_table)))</f>
        <v>#NAME?</v>
      </c>
    </row>
    <row r="2628" customFormat="false" ht="14.25" hidden="false" customHeight="false" outlineLevel="0" collapsed="false">
      <c r="B2628" s="7" t="n">
        <v>43533</v>
      </c>
      <c r="C2628" s="7" t="n">
        <f aca="false">B2628-WEEKDAY(B2628)+1</f>
        <v>43527</v>
      </c>
      <c r="D2628" s="1" t="e">
        <f aca="false" t="array" ref="D2628:D2628">IF(ISBLANK(_xlfn.xlookup(D$3,daily_items,_xlfn.xlookup($C2628,daily_dates,big_daily_table))),NA(),_xlfn.xlookup(D$3,daily_items,_xlfn.xlookup($C2628,daily_dates,big_daily_table)))</f>
        <v>#NAME?</v>
      </c>
      <c r="E2628" s="1" t="e">
        <f aca="false" t="array" ref="E2628:E2628">IF(ISBLANK(_xlfn.xlookup(E$3,daily_items,_xlfn.xlookup($C2628,daily_dates,big_daily_table))),NA(),_xlfn.xlookup(E$3,daily_items,_xlfn.xlookup($C2628,daily_dates,big_daily_table)))</f>
        <v>#NAME?</v>
      </c>
    </row>
    <row r="2629" customFormat="false" ht="14.25" hidden="false" customHeight="false" outlineLevel="0" collapsed="false">
      <c r="B2629" s="7" t="n">
        <v>43534</v>
      </c>
      <c r="C2629" s="7" t="n">
        <f aca="false">B2629-WEEKDAY(B2629)+1</f>
        <v>43534</v>
      </c>
      <c r="D2629" s="1" t="e">
        <f aca="false" t="array" ref="D2629:D2629">IF(ISBLANK(_xlfn.xlookup(D$3,daily_items,_xlfn.xlookup($C2629,daily_dates,big_daily_table))),NA(),_xlfn.xlookup(D$3,daily_items,_xlfn.xlookup($C2629,daily_dates,big_daily_table)))</f>
        <v>#NAME?</v>
      </c>
      <c r="E2629" s="1" t="e">
        <f aca="false" t="array" ref="E2629:E2629">IF(ISBLANK(_xlfn.xlookup(E$3,daily_items,_xlfn.xlookup($C2629,daily_dates,big_daily_table))),NA(),_xlfn.xlookup(E$3,daily_items,_xlfn.xlookup($C2629,daily_dates,big_daily_table)))</f>
        <v>#NAME?</v>
      </c>
    </row>
    <row r="2630" customFormat="false" ht="14.25" hidden="false" customHeight="false" outlineLevel="0" collapsed="false">
      <c r="B2630" s="7" t="n">
        <v>43535</v>
      </c>
      <c r="C2630" s="7" t="n">
        <f aca="false">B2630-WEEKDAY(B2630)+1</f>
        <v>43534</v>
      </c>
      <c r="D2630" s="1" t="e">
        <f aca="false" t="array" ref="D2630:D2630">IF(ISBLANK(_xlfn.xlookup(D$3,daily_items,_xlfn.xlookup($C2630,daily_dates,big_daily_table))),NA(),_xlfn.xlookup(D$3,daily_items,_xlfn.xlookup($C2630,daily_dates,big_daily_table)))</f>
        <v>#NAME?</v>
      </c>
      <c r="E2630" s="1" t="e">
        <f aca="false" t="array" ref="E2630:E2630">IF(ISBLANK(_xlfn.xlookup(E$3,daily_items,_xlfn.xlookup($C2630,daily_dates,big_daily_table))),NA(),_xlfn.xlookup(E$3,daily_items,_xlfn.xlookup($C2630,daily_dates,big_daily_table)))</f>
        <v>#NAME?</v>
      </c>
    </row>
    <row r="2631" customFormat="false" ht="14.25" hidden="false" customHeight="false" outlineLevel="0" collapsed="false">
      <c r="B2631" s="7" t="n">
        <v>43536</v>
      </c>
      <c r="C2631" s="7" t="n">
        <f aca="false">B2631-WEEKDAY(B2631)+1</f>
        <v>43534</v>
      </c>
      <c r="D2631" s="1" t="e">
        <f aca="false" t="array" ref="D2631:D2631">IF(ISBLANK(_xlfn.xlookup(D$3,daily_items,_xlfn.xlookup($C2631,daily_dates,big_daily_table))),NA(),_xlfn.xlookup(D$3,daily_items,_xlfn.xlookup($C2631,daily_dates,big_daily_table)))</f>
        <v>#NAME?</v>
      </c>
      <c r="E2631" s="1" t="e">
        <f aca="false" t="array" ref="E2631:E2631">IF(ISBLANK(_xlfn.xlookup(E$3,daily_items,_xlfn.xlookup($C2631,daily_dates,big_daily_table))),NA(),_xlfn.xlookup(E$3,daily_items,_xlfn.xlookup($C2631,daily_dates,big_daily_table)))</f>
        <v>#NAME?</v>
      </c>
    </row>
    <row r="2632" customFormat="false" ht="14.25" hidden="false" customHeight="false" outlineLevel="0" collapsed="false">
      <c r="B2632" s="7" t="n">
        <v>43537</v>
      </c>
      <c r="C2632" s="7" t="n">
        <f aca="false">B2632-WEEKDAY(B2632)+1</f>
        <v>43534</v>
      </c>
      <c r="D2632" s="1" t="e">
        <f aca="false" t="array" ref="D2632:D2632">IF(ISBLANK(_xlfn.xlookup(D$3,daily_items,_xlfn.xlookup($C2632,daily_dates,big_daily_table))),NA(),_xlfn.xlookup(D$3,daily_items,_xlfn.xlookup($C2632,daily_dates,big_daily_table)))</f>
        <v>#NAME?</v>
      </c>
      <c r="E2632" s="1" t="e">
        <f aca="false" t="array" ref="E2632:E2632">IF(ISBLANK(_xlfn.xlookup(E$3,daily_items,_xlfn.xlookup($C2632,daily_dates,big_daily_table))),NA(),_xlfn.xlookup(E$3,daily_items,_xlfn.xlookup($C2632,daily_dates,big_daily_table)))</f>
        <v>#NAME?</v>
      </c>
    </row>
    <row r="2633" customFormat="false" ht="14.25" hidden="false" customHeight="false" outlineLevel="0" collapsed="false">
      <c r="B2633" s="7" t="n">
        <v>43538</v>
      </c>
      <c r="C2633" s="7" t="n">
        <f aca="false">B2633-WEEKDAY(B2633)+1</f>
        <v>43534</v>
      </c>
      <c r="D2633" s="1" t="e">
        <f aca="false" t="array" ref="D2633:D2633">IF(ISBLANK(_xlfn.xlookup(D$3,daily_items,_xlfn.xlookup($C2633,daily_dates,big_daily_table))),NA(),_xlfn.xlookup(D$3,daily_items,_xlfn.xlookup($C2633,daily_dates,big_daily_table)))</f>
        <v>#NAME?</v>
      </c>
      <c r="E2633" s="1" t="e">
        <f aca="false" t="array" ref="E2633:E2633">IF(ISBLANK(_xlfn.xlookup(E$3,daily_items,_xlfn.xlookup($C2633,daily_dates,big_daily_table))),NA(),_xlfn.xlookup(E$3,daily_items,_xlfn.xlookup($C2633,daily_dates,big_daily_table)))</f>
        <v>#NAME?</v>
      </c>
    </row>
    <row r="2634" customFormat="false" ht="14.25" hidden="false" customHeight="false" outlineLevel="0" collapsed="false">
      <c r="B2634" s="7" t="n">
        <v>43539</v>
      </c>
      <c r="C2634" s="7" t="n">
        <f aca="false">B2634-WEEKDAY(B2634)+1</f>
        <v>43534</v>
      </c>
      <c r="D2634" s="1" t="e">
        <f aca="false" t="array" ref="D2634:D2634">IF(ISBLANK(_xlfn.xlookup(D$3,daily_items,_xlfn.xlookup($C2634,daily_dates,big_daily_table))),NA(),_xlfn.xlookup(D$3,daily_items,_xlfn.xlookup($C2634,daily_dates,big_daily_table)))</f>
        <v>#NAME?</v>
      </c>
      <c r="E2634" s="1" t="e">
        <f aca="false" t="array" ref="E2634:E2634">IF(ISBLANK(_xlfn.xlookup(E$3,daily_items,_xlfn.xlookup($C2634,daily_dates,big_daily_table))),NA(),_xlfn.xlookup(E$3,daily_items,_xlfn.xlookup($C2634,daily_dates,big_daily_table)))</f>
        <v>#NAME?</v>
      </c>
    </row>
    <row r="2635" customFormat="false" ht="14.25" hidden="false" customHeight="false" outlineLevel="0" collapsed="false">
      <c r="B2635" s="7" t="n">
        <v>43540</v>
      </c>
      <c r="C2635" s="7" t="n">
        <f aca="false">B2635-WEEKDAY(B2635)+1</f>
        <v>43534</v>
      </c>
      <c r="D2635" s="1" t="e">
        <f aca="false" t="array" ref="D2635:D2635">IF(ISBLANK(_xlfn.xlookup(D$3,daily_items,_xlfn.xlookup($C2635,daily_dates,big_daily_table))),NA(),_xlfn.xlookup(D$3,daily_items,_xlfn.xlookup($C2635,daily_dates,big_daily_table)))</f>
        <v>#NAME?</v>
      </c>
      <c r="E2635" s="1" t="e">
        <f aca="false" t="array" ref="E2635:E2635">IF(ISBLANK(_xlfn.xlookup(E$3,daily_items,_xlfn.xlookup($C2635,daily_dates,big_daily_table))),NA(),_xlfn.xlookup(E$3,daily_items,_xlfn.xlookup($C2635,daily_dates,big_daily_table)))</f>
        <v>#NAME?</v>
      </c>
    </row>
    <row r="2636" customFormat="false" ht="14.25" hidden="false" customHeight="false" outlineLevel="0" collapsed="false">
      <c r="B2636" s="7" t="n">
        <v>43541</v>
      </c>
      <c r="C2636" s="7" t="n">
        <f aca="false">B2636-WEEKDAY(B2636)+1</f>
        <v>43541</v>
      </c>
      <c r="D2636" s="1" t="e">
        <f aca="false" t="array" ref="D2636:D2636">IF(ISBLANK(_xlfn.xlookup(D$3,daily_items,_xlfn.xlookup($C2636,daily_dates,big_daily_table))),NA(),_xlfn.xlookup(D$3,daily_items,_xlfn.xlookup($C2636,daily_dates,big_daily_table)))</f>
        <v>#NAME?</v>
      </c>
      <c r="E2636" s="1" t="e">
        <f aca="false" t="array" ref="E2636:E2636">IF(ISBLANK(_xlfn.xlookup(E$3,daily_items,_xlfn.xlookup($C2636,daily_dates,big_daily_table))),NA(),_xlfn.xlookup(E$3,daily_items,_xlfn.xlookup($C2636,daily_dates,big_daily_table)))</f>
        <v>#NAME?</v>
      </c>
    </row>
    <row r="2637" customFormat="false" ht="14.25" hidden="false" customHeight="false" outlineLevel="0" collapsed="false">
      <c r="B2637" s="7" t="n">
        <v>43542</v>
      </c>
      <c r="C2637" s="7" t="n">
        <f aca="false">B2637-WEEKDAY(B2637)+1</f>
        <v>43541</v>
      </c>
      <c r="D2637" s="1" t="e">
        <f aca="false" t="array" ref="D2637:D2637">IF(ISBLANK(_xlfn.xlookup(D$3,daily_items,_xlfn.xlookup($C2637,daily_dates,big_daily_table))),NA(),_xlfn.xlookup(D$3,daily_items,_xlfn.xlookup($C2637,daily_dates,big_daily_table)))</f>
        <v>#NAME?</v>
      </c>
      <c r="E2637" s="1" t="e">
        <f aca="false" t="array" ref="E2637:E2637">IF(ISBLANK(_xlfn.xlookup(E$3,daily_items,_xlfn.xlookup($C2637,daily_dates,big_daily_table))),NA(),_xlfn.xlookup(E$3,daily_items,_xlfn.xlookup($C2637,daily_dates,big_daily_table)))</f>
        <v>#NAME?</v>
      </c>
    </row>
    <row r="2638" customFormat="false" ht="14.25" hidden="false" customHeight="false" outlineLevel="0" collapsed="false">
      <c r="B2638" s="7" t="n">
        <v>43543</v>
      </c>
      <c r="C2638" s="7" t="n">
        <f aca="false">B2638-WEEKDAY(B2638)+1</f>
        <v>43541</v>
      </c>
      <c r="D2638" s="1" t="e">
        <f aca="false" t="array" ref="D2638:D2638">IF(ISBLANK(_xlfn.xlookup(D$3,daily_items,_xlfn.xlookup($C2638,daily_dates,big_daily_table))),NA(),_xlfn.xlookup(D$3,daily_items,_xlfn.xlookup($C2638,daily_dates,big_daily_table)))</f>
        <v>#NAME?</v>
      </c>
      <c r="E2638" s="1" t="e">
        <f aca="false" t="array" ref="E2638:E2638">IF(ISBLANK(_xlfn.xlookup(E$3,daily_items,_xlfn.xlookup($C2638,daily_dates,big_daily_table))),NA(),_xlfn.xlookup(E$3,daily_items,_xlfn.xlookup($C2638,daily_dates,big_daily_table)))</f>
        <v>#NAME?</v>
      </c>
    </row>
    <row r="2639" customFormat="false" ht="14.25" hidden="false" customHeight="false" outlineLevel="0" collapsed="false">
      <c r="B2639" s="7" t="n">
        <v>43544</v>
      </c>
      <c r="C2639" s="7" t="n">
        <f aca="false">B2639-WEEKDAY(B2639)+1</f>
        <v>43541</v>
      </c>
      <c r="D2639" s="1" t="e">
        <f aca="false" t="array" ref="D2639:D2639">IF(ISBLANK(_xlfn.xlookup(D$3,daily_items,_xlfn.xlookup($C2639,daily_dates,big_daily_table))),NA(),_xlfn.xlookup(D$3,daily_items,_xlfn.xlookup($C2639,daily_dates,big_daily_table)))</f>
        <v>#NAME?</v>
      </c>
      <c r="E2639" s="1" t="e">
        <f aca="false" t="array" ref="E2639:E2639">IF(ISBLANK(_xlfn.xlookup(E$3,daily_items,_xlfn.xlookup($C2639,daily_dates,big_daily_table))),NA(),_xlfn.xlookup(E$3,daily_items,_xlfn.xlookup($C2639,daily_dates,big_daily_table)))</f>
        <v>#NAME?</v>
      </c>
    </row>
    <row r="2640" customFormat="false" ht="14.25" hidden="false" customHeight="false" outlineLevel="0" collapsed="false">
      <c r="B2640" s="7" t="n">
        <v>43545</v>
      </c>
      <c r="C2640" s="7" t="n">
        <f aca="false">B2640-WEEKDAY(B2640)+1</f>
        <v>43541</v>
      </c>
      <c r="D2640" s="1" t="e">
        <f aca="false" t="array" ref="D2640:D2640">IF(ISBLANK(_xlfn.xlookup(D$3,daily_items,_xlfn.xlookup($C2640,daily_dates,big_daily_table))),NA(),_xlfn.xlookup(D$3,daily_items,_xlfn.xlookup($C2640,daily_dates,big_daily_table)))</f>
        <v>#NAME?</v>
      </c>
      <c r="E2640" s="1" t="e">
        <f aca="false" t="array" ref="E2640:E2640">IF(ISBLANK(_xlfn.xlookup(E$3,daily_items,_xlfn.xlookup($C2640,daily_dates,big_daily_table))),NA(),_xlfn.xlookup(E$3,daily_items,_xlfn.xlookup($C2640,daily_dates,big_daily_table)))</f>
        <v>#NAME?</v>
      </c>
    </row>
    <row r="2641" customFormat="false" ht="14.25" hidden="false" customHeight="false" outlineLevel="0" collapsed="false">
      <c r="B2641" s="7" t="n">
        <v>43546</v>
      </c>
      <c r="C2641" s="7" t="n">
        <f aca="false">B2641-WEEKDAY(B2641)+1</f>
        <v>43541</v>
      </c>
      <c r="D2641" s="1" t="e">
        <f aca="false" t="array" ref="D2641:D2641">IF(ISBLANK(_xlfn.xlookup(D$3,daily_items,_xlfn.xlookup($C2641,daily_dates,big_daily_table))),NA(),_xlfn.xlookup(D$3,daily_items,_xlfn.xlookup($C2641,daily_dates,big_daily_table)))</f>
        <v>#NAME?</v>
      </c>
      <c r="E2641" s="1" t="e">
        <f aca="false" t="array" ref="E2641:E2641">IF(ISBLANK(_xlfn.xlookup(E$3,daily_items,_xlfn.xlookup($C2641,daily_dates,big_daily_table))),NA(),_xlfn.xlookup(E$3,daily_items,_xlfn.xlookup($C2641,daily_dates,big_daily_table)))</f>
        <v>#NAME?</v>
      </c>
    </row>
    <row r="2642" customFormat="false" ht="14.25" hidden="false" customHeight="false" outlineLevel="0" collapsed="false">
      <c r="B2642" s="7" t="n">
        <v>43547</v>
      </c>
      <c r="C2642" s="7" t="n">
        <f aca="false">B2642-WEEKDAY(B2642)+1</f>
        <v>43541</v>
      </c>
      <c r="D2642" s="1" t="e">
        <f aca="false" t="array" ref="D2642:D2642">IF(ISBLANK(_xlfn.xlookup(D$3,daily_items,_xlfn.xlookup($C2642,daily_dates,big_daily_table))),NA(),_xlfn.xlookup(D$3,daily_items,_xlfn.xlookup($C2642,daily_dates,big_daily_table)))</f>
        <v>#NAME?</v>
      </c>
      <c r="E2642" s="1" t="e">
        <f aca="false" t="array" ref="E2642:E2642">IF(ISBLANK(_xlfn.xlookup(E$3,daily_items,_xlfn.xlookup($C2642,daily_dates,big_daily_table))),NA(),_xlfn.xlookup(E$3,daily_items,_xlfn.xlookup($C2642,daily_dates,big_daily_table)))</f>
        <v>#NAME?</v>
      </c>
    </row>
    <row r="2643" customFormat="false" ht="14.25" hidden="false" customHeight="false" outlineLevel="0" collapsed="false">
      <c r="B2643" s="7" t="n">
        <v>43548</v>
      </c>
      <c r="C2643" s="7" t="n">
        <f aca="false">B2643-WEEKDAY(B2643)+1</f>
        <v>43548</v>
      </c>
      <c r="D2643" s="1" t="e">
        <f aca="false" t="array" ref="D2643:D2643">IF(ISBLANK(_xlfn.xlookup(D$3,daily_items,_xlfn.xlookup($C2643,daily_dates,big_daily_table))),NA(),_xlfn.xlookup(D$3,daily_items,_xlfn.xlookup($C2643,daily_dates,big_daily_table)))</f>
        <v>#NAME?</v>
      </c>
      <c r="E2643" s="1" t="e">
        <f aca="false" t="array" ref="E2643:E2643">IF(ISBLANK(_xlfn.xlookup(E$3,daily_items,_xlfn.xlookup($C2643,daily_dates,big_daily_table))),NA(),_xlfn.xlookup(E$3,daily_items,_xlfn.xlookup($C2643,daily_dates,big_daily_table)))</f>
        <v>#NAME?</v>
      </c>
    </row>
    <row r="2644" customFormat="false" ht="14.25" hidden="false" customHeight="false" outlineLevel="0" collapsed="false">
      <c r="B2644" s="7" t="n">
        <v>43549</v>
      </c>
      <c r="C2644" s="7" t="n">
        <f aca="false">B2644-WEEKDAY(B2644)+1</f>
        <v>43548</v>
      </c>
      <c r="D2644" s="1" t="e">
        <f aca="false" t="array" ref="D2644:D2644">IF(ISBLANK(_xlfn.xlookup(D$3,daily_items,_xlfn.xlookup($C2644,daily_dates,big_daily_table))),NA(),_xlfn.xlookup(D$3,daily_items,_xlfn.xlookup($C2644,daily_dates,big_daily_table)))</f>
        <v>#NAME?</v>
      </c>
      <c r="E2644" s="1" t="e">
        <f aca="false" t="array" ref="E2644:E2644">IF(ISBLANK(_xlfn.xlookup(E$3,daily_items,_xlfn.xlookup($C2644,daily_dates,big_daily_table))),NA(),_xlfn.xlookup(E$3,daily_items,_xlfn.xlookup($C2644,daily_dates,big_daily_table)))</f>
        <v>#NAME?</v>
      </c>
    </row>
    <row r="2645" customFormat="false" ht="14.25" hidden="false" customHeight="false" outlineLevel="0" collapsed="false">
      <c r="B2645" s="7" t="n">
        <v>43550</v>
      </c>
      <c r="C2645" s="7" t="n">
        <f aca="false">B2645-WEEKDAY(B2645)+1</f>
        <v>43548</v>
      </c>
      <c r="D2645" s="1" t="e">
        <f aca="false" t="array" ref="D2645:D2645">IF(ISBLANK(_xlfn.xlookup(D$3,daily_items,_xlfn.xlookup($C2645,daily_dates,big_daily_table))),NA(),_xlfn.xlookup(D$3,daily_items,_xlfn.xlookup($C2645,daily_dates,big_daily_table)))</f>
        <v>#NAME?</v>
      </c>
      <c r="E2645" s="1" t="e">
        <f aca="false" t="array" ref="E2645:E2645">IF(ISBLANK(_xlfn.xlookup(E$3,daily_items,_xlfn.xlookup($C2645,daily_dates,big_daily_table))),NA(),_xlfn.xlookup(E$3,daily_items,_xlfn.xlookup($C2645,daily_dates,big_daily_table)))</f>
        <v>#NAME?</v>
      </c>
    </row>
    <row r="2646" customFormat="false" ht="14.25" hidden="false" customHeight="false" outlineLevel="0" collapsed="false">
      <c r="B2646" s="7" t="n">
        <v>43551</v>
      </c>
      <c r="C2646" s="7" t="n">
        <f aca="false">B2646-WEEKDAY(B2646)+1</f>
        <v>43548</v>
      </c>
      <c r="D2646" s="1" t="e">
        <f aca="false" t="array" ref="D2646:D2646">IF(ISBLANK(_xlfn.xlookup(D$3,daily_items,_xlfn.xlookup($C2646,daily_dates,big_daily_table))),NA(),_xlfn.xlookup(D$3,daily_items,_xlfn.xlookup($C2646,daily_dates,big_daily_table)))</f>
        <v>#NAME?</v>
      </c>
      <c r="E2646" s="1" t="e">
        <f aca="false" t="array" ref="E2646:E2646">IF(ISBLANK(_xlfn.xlookup(E$3,daily_items,_xlfn.xlookup($C2646,daily_dates,big_daily_table))),NA(),_xlfn.xlookup(E$3,daily_items,_xlfn.xlookup($C2646,daily_dates,big_daily_table)))</f>
        <v>#NAME?</v>
      </c>
    </row>
    <row r="2647" customFormat="false" ht="14.25" hidden="false" customHeight="false" outlineLevel="0" collapsed="false">
      <c r="B2647" s="7" t="n">
        <v>43552</v>
      </c>
      <c r="C2647" s="7" t="n">
        <f aca="false">B2647-WEEKDAY(B2647)+1</f>
        <v>43548</v>
      </c>
      <c r="D2647" s="1" t="e">
        <f aca="false" t="array" ref="D2647:D2647">IF(ISBLANK(_xlfn.xlookup(D$3,daily_items,_xlfn.xlookup($C2647,daily_dates,big_daily_table))),NA(),_xlfn.xlookup(D$3,daily_items,_xlfn.xlookup($C2647,daily_dates,big_daily_table)))</f>
        <v>#NAME?</v>
      </c>
      <c r="E2647" s="1" t="e">
        <f aca="false" t="array" ref="E2647:E2647">IF(ISBLANK(_xlfn.xlookup(E$3,daily_items,_xlfn.xlookup($C2647,daily_dates,big_daily_table))),NA(),_xlfn.xlookup(E$3,daily_items,_xlfn.xlookup($C2647,daily_dates,big_daily_table)))</f>
        <v>#NAME?</v>
      </c>
    </row>
    <row r="2648" customFormat="false" ht="14.25" hidden="false" customHeight="false" outlineLevel="0" collapsed="false">
      <c r="B2648" s="7" t="n">
        <v>43553</v>
      </c>
      <c r="C2648" s="7" t="n">
        <f aca="false">B2648-WEEKDAY(B2648)+1</f>
        <v>43548</v>
      </c>
      <c r="D2648" s="1" t="e">
        <f aca="false" t="array" ref="D2648:D2648">IF(ISBLANK(_xlfn.xlookup(D$3,daily_items,_xlfn.xlookup($C2648,daily_dates,big_daily_table))),NA(),_xlfn.xlookup(D$3,daily_items,_xlfn.xlookup($C2648,daily_dates,big_daily_table)))</f>
        <v>#NAME?</v>
      </c>
      <c r="E2648" s="1" t="e">
        <f aca="false" t="array" ref="E2648:E2648">IF(ISBLANK(_xlfn.xlookup(E$3,daily_items,_xlfn.xlookup($C2648,daily_dates,big_daily_table))),NA(),_xlfn.xlookup(E$3,daily_items,_xlfn.xlookup($C2648,daily_dates,big_daily_table)))</f>
        <v>#NAME?</v>
      </c>
    </row>
    <row r="2649" customFormat="false" ht="14.25" hidden="false" customHeight="false" outlineLevel="0" collapsed="false">
      <c r="B2649" s="7" t="n">
        <v>43554</v>
      </c>
      <c r="C2649" s="7" t="n">
        <f aca="false">B2649-WEEKDAY(B2649)+1</f>
        <v>43548</v>
      </c>
      <c r="D2649" s="1" t="e">
        <f aca="false" t="array" ref="D2649:D2649">IF(ISBLANK(_xlfn.xlookup(D$3,daily_items,_xlfn.xlookup($C2649,daily_dates,big_daily_table))),NA(),_xlfn.xlookup(D$3,daily_items,_xlfn.xlookup($C2649,daily_dates,big_daily_table)))</f>
        <v>#NAME?</v>
      </c>
      <c r="E2649" s="1" t="e">
        <f aca="false" t="array" ref="E2649:E2649">IF(ISBLANK(_xlfn.xlookup(E$3,daily_items,_xlfn.xlookup($C2649,daily_dates,big_daily_table))),NA(),_xlfn.xlookup(E$3,daily_items,_xlfn.xlookup($C2649,daily_dates,big_daily_table)))</f>
        <v>#NAME?</v>
      </c>
    </row>
    <row r="2650" customFormat="false" ht="14.25" hidden="false" customHeight="false" outlineLevel="0" collapsed="false">
      <c r="B2650" s="7" t="n">
        <v>43555</v>
      </c>
      <c r="C2650" s="7" t="n">
        <f aca="false">B2650-WEEKDAY(B2650)+1</f>
        <v>43555</v>
      </c>
      <c r="D2650" s="1" t="e">
        <f aca="false" t="array" ref="D2650:D2650">IF(ISBLANK(_xlfn.xlookup(D$3,daily_items,_xlfn.xlookup($C2650,daily_dates,big_daily_table))),NA(),_xlfn.xlookup(D$3,daily_items,_xlfn.xlookup($C2650,daily_dates,big_daily_table)))</f>
        <v>#NAME?</v>
      </c>
      <c r="E2650" s="1" t="e">
        <f aca="false" t="array" ref="E2650:E2650">IF(ISBLANK(_xlfn.xlookup(E$3,daily_items,_xlfn.xlookup($C2650,daily_dates,big_daily_table))),NA(),_xlfn.xlookup(E$3,daily_items,_xlfn.xlookup($C2650,daily_dates,big_daily_table)))</f>
        <v>#NAME?</v>
      </c>
    </row>
    <row r="2651" customFormat="false" ht="14.25" hidden="false" customHeight="false" outlineLevel="0" collapsed="false">
      <c r="B2651" s="7" t="n">
        <v>43556</v>
      </c>
      <c r="C2651" s="7" t="n">
        <f aca="false">B2651-WEEKDAY(B2651)+1</f>
        <v>43555</v>
      </c>
      <c r="D2651" s="1" t="e">
        <f aca="false" t="array" ref="D2651:D2651">IF(ISBLANK(_xlfn.xlookup(D$3,daily_items,_xlfn.xlookup($C2651,daily_dates,big_daily_table))),NA(),_xlfn.xlookup(D$3,daily_items,_xlfn.xlookup($C2651,daily_dates,big_daily_table)))</f>
        <v>#NAME?</v>
      </c>
      <c r="E2651" s="1" t="e">
        <f aca="false" t="array" ref="E2651:E2651">IF(ISBLANK(_xlfn.xlookup(E$3,daily_items,_xlfn.xlookup($C2651,daily_dates,big_daily_table))),NA(),_xlfn.xlookup(E$3,daily_items,_xlfn.xlookup($C2651,daily_dates,big_daily_table)))</f>
        <v>#NAME?</v>
      </c>
    </row>
    <row r="2652" customFormat="false" ht="14.25" hidden="false" customHeight="false" outlineLevel="0" collapsed="false">
      <c r="B2652" s="7" t="n">
        <v>43557</v>
      </c>
      <c r="C2652" s="7" t="n">
        <f aca="false">B2652-WEEKDAY(B2652)+1</f>
        <v>43555</v>
      </c>
      <c r="D2652" s="1" t="e">
        <f aca="false" t="array" ref="D2652:D2652">IF(ISBLANK(_xlfn.xlookup(D$3,daily_items,_xlfn.xlookup($C2652,daily_dates,big_daily_table))),NA(),_xlfn.xlookup(D$3,daily_items,_xlfn.xlookup($C2652,daily_dates,big_daily_table)))</f>
        <v>#NAME?</v>
      </c>
      <c r="E2652" s="1" t="e">
        <f aca="false" t="array" ref="E2652:E2652">IF(ISBLANK(_xlfn.xlookup(E$3,daily_items,_xlfn.xlookup($C2652,daily_dates,big_daily_table))),NA(),_xlfn.xlookup(E$3,daily_items,_xlfn.xlookup($C2652,daily_dates,big_daily_table)))</f>
        <v>#NAME?</v>
      </c>
    </row>
    <row r="2653" customFormat="false" ht="14.25" hidden="false" customHeight="false" outlineLevel="0" collapsed="false">
      <c r="B2653" s="7" t="n">
        <v>43558</v>
      </c>
      <c r="C2653" s="7" t="n">
        <f aca="false">B2653-WEEKDAY(B2653)+1</f>
        <v>43555</v>
      </c>
      <c r="D2653" s="1" t="e">
        <f aca="false" t="array" ref="D2653:D2653">IF(ISBLANK(_xlfn.xlookup(D$3,daily_items,_xlfn.xlookup($C2653,daily_dates,big_daily_table))),NA(),_xlfn.xlookup(D$3,daily_items,_xlfn.xlookup($C2653,daily_dates,big_daily_table)))</f>
        <v>#NAME?</v>
      </c>
      <c r="E2653" s="1" t="e">
        <f aca="false" t="array" ref="E2653:E2653">IF(ISBLANK(_xlfn.xlookup(E$3,daily_items,_xlfn.xlookup($C2653,daily_dates,big_daily_table))),NA(),_xlfn.xlookup(E$3,daily_items,_xlfn.xlookup($C2653,daily_dates,big_daily_table)))</f>
        <v>#NAME?</v>
      </c>
    </row>
    <row r="2654" customFormat="false" ht="14.25" hidden="false" customHeight="false" outlineLevel="0" collapsed="false">
      <c r="B2654" s="7" t="n">
        <v>43559</v>
      </c>
      <c r="C2654" s="7" t="n">
        <f aca="false">B2654-WEEKDAY(B2654)+1</f>
        <v>43555</v>
      </c>
      <c r="D2654" s="1" t="e">
        <f aca="false" t="array" ref="D2654:D2654">IF(ISBLANK(_xlfn.xlookup(D$3,daily_items,_xlfn.xlookup($C2654,daily_dates,big_daily_table))),NA(),_xlfn.xlookup(D$3,daily_items,_xlfn.xlookup($C2654,daily_dates,big_daily_table)))</f>
        <v>#NAME?</v>
      </c>
      <c r="E2654" s="1" t="e">
        <f aca="false" t="array" ref="E2654:E2654">IF(ISBLANK(_xlfn.xlookup(E$3,daily_items,_xlfn.xlookup($C2654,daily_dates,big_daily_table))),NA(),_xlfn.xlookup(E$3,daily_items,_xlfn.xlookup($C2654,daily_dates,big_daily_table)))</f>
        <v>#NAME?</v>
      </c>
    </row>
    <row r="2655" customFormat="false" ht="14.25" hidden="false" customHeight="false" outlineLevel="0" collapsed="false">
      <c r="B2655" s="7" t="n">
        <v>43560</v>
      </c>
      <c r="C2655" s="7" t="n">
        <f aca="false">B2655-WEEKDAY(B2655)+1</f>
        <v>43555</v>
      </c>
      <c r="D2655" s="1" t="e">
        <f aca="false" t="array" ref="D2655:D2655">IF(ISBLANK(_xlfn.xlookup(D$3,daily_items,_xlfn.xlookup($C2655,daily_dates,big_daily_table))),NA(),_xlfn.xlookup(D$3,daily_items,_xlfn.xlookup($C2655,daily_dates,big_daily_table)))</f>
        <v>#NAME?</v>
      </c>
      <c r="E2655" s="1" t="e">
        <f aca="false" t="array" ref="E2655:E2655">IF(ISBLANK(_xlfn.xlookup(E$3,daily_items,_xlfn.xlookup($C2655,daily_dates,big_daily_table))),NA(),_xlfn.xlookup(E$3,daily_items,_xlfn.xlookup($C2655,daily_dates,big_daily_table)))</f>
        <v>#NAME?</v>
      </c>
    </row>
    <row r="2656" customFormat="false" ht="14.25" hidden="false" customHeight="false" outlineLevel="0" collapsed="false">
      <c r="B2656" s="7" t="n">
        <v>43561</v>
      </c>
      <c r="C2656" s="7" t="n">
        <f aca="false">B2656-WEEKDAY(B2656)+1</f>
        <v>43555</v>
      </c>
      <c r="D2656" s="1" t="e">
        <f aca="false" t="array" ref="D2656:D2656">IF(ISBLANK(_xlfn.xlookup(D$3,daily_items,_xlfn.xlookup($C2656,daily_dates,big_daily_table))),NA(),_xlfn.xlookup(D$3,daily_items,_xlfn.xlookup($C2656,daily_dates,big_daily_table)))</f>
        <v>#NAME?</v>
      </c>
      <c r="E2656" s="1" t="e">
        <f aca="false" t="array" ref="E2656:E2656">IF(ISBLANK(_xlfn.xlookup(E$3,daily_items,_xlfn.xlookup($C2656,daily_dates,big_daily_table))),NA(),_xlfn.xlookup(E$3,daily_items,_xlfn.xlookup($C2656,daily_dates,big_daily_table)))</f>
        <v>#NAME?</v>
      </c>
    </row>
    <row r="2657" customFormat="false" ht="14.25" hidden="false" customHeight="false" outlineLevel="0" collapsed="false">
      <c r="B2657" s="7" t="n">
        <v>43562</v>
      </c>
      <c r="C2657" s="7" t="n">
        <f aca="false">B2657-WEEKDAY(B2657)+1</f>
        <v>43562</v>
      </c>
      <c r="D2657" s="1" t="e">
        <f aca="false" t="array" ref="D2657:D2657">IF(ISBLANK(_xlfn.xlookup(D$3,daily_items,_xlfn.xlookup($C2657,daily_dates,big_daily_table))),NA(),_xlfn.xlookup(D$3,daily_items,_xlfn.xlookup($C2657,daily_dates,big_daily_table)))</f>
        <v>#NAME?</v>
      </c>
      <c r="E2657" s="1" t="e">
        <f aca="false" t="array" ref="E2657:E2657">IF(ISBLANK(_xlfn.xlookup(E$3,daily_items,_xlfn.xlookup($C2657,daily_dates,big_daily_table))),NA(),_xlfn.xlookup(E$3,daily_items,_xlfn.xlookup($C2657,daily_dates,big_daily_table)))</f>
        <v>#NAME?</v>
      </c>
    </row>
    <row r="2658" customFormat="false" ht="14.25" hidden="false" customHeight="false" outlineLevel="0" collapsed="false">
      <c r="B2658" s="7" t="n">
        <v>43563</v>
      </c>
      <c r="C2658" s="7" t="n">
        <f aca="false">B2658-WEEKDAY(B2658)+1</f>
        <v>43562</v>
      </c>
      <c r="D2658" s="1" t="e">
        <f aca="false" t="array" ref="D2658:D2658">IF(ISBLANK(_xlfn.xlookup(D$3,daily_items,_xlfn.xlookup($C2658,daily_dates,big_daily_table))),NA(),_xlfn.xlookup(D$3,daily_items,_xlfn.xlookup($C2658,daily_dates,big_daily_table)))</f>
        <v>#NAME?</v>
      </c>
      <c r="E2658" s="1" t="e">
        <f aca="false" t="array" ref="E2658:E2658">IF(ISBLANK(_xlfn.xlookup(E$3,daily_items,_xlfn.xlookup($C2658,daily_dates,big_daily_table))),NA(),_xlfn.xlookup(E$3,daily_items,_xlfn.xlookup($C2658,daily_dates,big_daily_table)))</f>
        <v>#NAME?</v>
      </c>
    </row>
    <row r="2659" customFormat="false" ht="14.25" hidden="false" customHeight="false" outlineLevel="0" collapsed="false">
      <c r="B2659" s="7" t="n">
        <v>43564</v>
      </c>
      <c r="C2659" s="7" t="n">
        <f aca="false">B2659-WEEKDAY(B2659)+1</f>
        <v>43562</v>
      </c>
      <c r="D2659" s="1" t="e">
        <f aca="false" t="array" ref="D2659:D2659">IF(ISBLANK(_xlfn.xlookup(D$3,daily_items,_xlfn.xlookup($C2659,daily_dates,big_daily_table))),NA(),_xlfn.xlookup(D$3,daily_items,_xlfn.xlookup($C2659,daily_dates,big_daily_table)))</f>
        <v>#NAME?</v>
      </c>
      <c r="E2659" s="1" t="e">
        <f aca="false" t="array" ref="E2659:E2659">IF(ISBLANK(_xlfn.xlookup(E$3,daily_items,_xlfn.xlookup($C2659,daily_dates,big_daily_table))),NA(),_xlfn.xlookup(E$3,daily_items,_xlfn.xlookup($C2659,daily_dates,big_daily_table)))</f>
        <v>#NAME?</v>
      </c>
    </row>
    <row r="2660" customFormat="false" ht="14.25" hidden="false" customHeight="false" outlineLevel="0" collapsed="false">
      <c r="B2660" s="7" t="n">
        <v>43565</v>
      </c>
      <c r="C2660" s="7" t="n">
        <f aca="false">B2660-WEEKDAY(B2660)+1</f>
        <v>43562</v>
      </c>
      <c r="D2660" s="1" t="e">
        <f aca="false" t="array" ref="D2660:D2660">IF(ISBLANK(_xlfn.xlookup(D$3,daily_items,_xlfn.xlookup($C2660,daily_dates,big_daily_table))),NA(),_xlfn.xlookup(D$3,daily_items,_xlfn.xlookup($C2660,daily_dates,big_daily_table)))</f>
        <v>#NAME?</v>
      </c>
      <c r="E2660" s="1" t="e">
        <f aca="false" t="array" ref="E2660:E2660">IF(ISBLANK(_xlfn.xlookup(E$3,daily_items,_xlfn.xlookup($C2660,daily_dates,big_daily_table))),NA(),_xlfn.xlookup(E$3,daily_items,_xlfn.xlookup($C2660,daily_dates,big_daily_table)))</f>
        <v>#NAME?</v>
      </c>
    </row>
    <row r="2661" customFormat="false" ht="14.25" hidden="false" customHeight="false" outlineLevel="0" collapsed="false">
      <c r="B2661" s="7" t="n">
        <v>43566</v>
      </c>
      <c r="C2661" s="7" t="n">
        <f aca="false">B2661-WEEKDAY(B2661)+1</f>
        <v>43562</v>
      </c>
      <c r="D2661" s="1" t="e">
        <f aca="false" t="array" ref="D2661:D2661">IF(ISBLANK(_xlfn.xlookup(D$3,daily_items,_xlfn.xlookup($C2661,daily_dates,big_daily_table))),NA(),_xlfn.xlookup(D$3,daily_items,_xlfn.xlookup($C2661,daily_dates,big_daily_table)))</f>
        <v>#NAME?</v>
      </c>
      <c r="E2661" s="1" t="e">
        <f aca="false" t="array" ref="E2661:E2661">IF(ISBLANK(_xlfn.xlookup(E$3,daily_items,_xlfn.xlookup($C2661,daily_dates,big_daily_table))),NA(),_xlfn.xlookup(E$3,daily_items,_xlfn.xlookup($C2661,daily_dates,big_daily_table)))</f>
        <v>#NAME?</v>
      </c>
    </row>
    <row r="2662" customFormat="false" ht="14.25" hidden="false" customHeight="false" outlineLevel="0" collapsed="false">
      <c r="B2662" s="7" t="n">
        <v>43567</v>
      </c>
      <c r="C2662" s="7" t="n">
        <f aca="false">B2662-WEEKDAY(B2662)+1</f>
        <v>43562</v>
      </c>
      <c r="D2662" s="1" t="e">
        <f aca="false" t="array" ref="D2662:D2662">IF(ISBLANK(_xlfn.xlookup(D$3,daily_items,_xlfn.xlookup($C2662,daily_dates,big_daily_table))),NA(),_xlfn.xlookup(D$3,daily_items,_xlfn.xlookup($C2662,daily_dates,big_daily_table)))</f>
        <v>#NAME?</v>
      </c>
      <c r="E2662" s="1" t="e">
        <f aca="false" t="array" ref="E2662:E2662">IF(ISBLANK(_xlfn.xlookup(E$3,daily_items,_xlfn.xlookup($C2662,daily_dates,big_daily_table))),NA(),_xlfn.xlookup(E$3,daily_items,_xlfn.xlookup($C2662,daily_dates,big_daily_table)))</f>
        <v>#NAME?</v>
      </c>
    </row>
    <row r="2663" customFormat="false" ht="14.25" hidden="false" customHeight="false" outlineLevel="0" collapsed="false">
      <c r="B2663" s="7" t="n">
        <v>43568</v>
      </c>
      <c r="C2663" s="7" t="n">
        <f aca="false">B2663-WEEKDAY(B2663)+1</f>
        <v>43562</v>
      </c>
      <c r="D2663" s="1" t="e">
        <f aca="false" t="array" ref="D2663:D2663">IF(ISBLANK(_xlfn.xlookup(D$3,daily_items,_xlfn.xlookup($C2663,daily_dates,big_daily_table))),NA(),_xlfn.xlookup(D$3,daily_items,_xlfn.xlookup($C2663,daily_dates,big_daily_table)))</f>
        <v>#NAME?</v>
      </c>
      <c r="E2663" s="1" t="e">
        <f aca="false" t="array" ref="E2663:E2663">IF(ISBLANK(_xlfn.xlookup(E$3,daily_items,_xlfn.xlookup($C2663,daily_dates,big_daily_table))),NA(),_xlfn.xlookup(E$3,daily_items,_xlfn.xlookup($C2663,daily_dates,big_daily_table)))</f>
        <v>#NAME?</v>
      </c>
    </row>
    <row r="2664" customFormat="false" ht="14.25" hidden="false" customHeight="false" outlineLevel="0" collapsed="false">
      <c r="B2664" s="7" t="n">
        <v>43569</v>
      </c>
      <c r="C2664" s="7" t="n">
        <f aca="false">B2664-WEEKDAY(B2664)+1</f>
        <v>43569</v>
      </c>
      <c r="D2664" s="1" t="e">
        <f aca="false" t="array" ref="D2664:D2664">IF(ISBLANK(_xlfn.xlookup(D$3,daily_items,_xlfn.xlookup($C2664,daily_dates,big_daily_table))),NA(),_xlfn.xlookup(D$3,daily_items,_xlfn.xlookup($C2664,daily_dates,big_daily_table)))</f>
        <v>#NAME?</v>
      </c>
      <c r="E2664" s="1" t="e">
        <f aca="false" t="array" ref="E2664:E2664">IF(ISBLANK(_xlfn.xlookup(E$3,daily_items,_xlfn.xlookup($C2664,daily_dates,big_daily_table))),NA(),_xlfn.xlookup(E$3,daily_items,_xlfn.xlookup($C2664,daily_dates,big_daily_table)))</f>
        <v>#NAME?</v>
      </c>
    </row>
    <row r="2665" customFormat="false" ht="14.25" hidden="false" customHeight="false" outlineLevel="0" collapsed="false">
      <c r="B2665" s="7" t="n">
        <v>43570</v>
      </c>
      <c r="C2665" s="7" t="n">
        <f aca="false">B2665-WEEKDAY(B2665)+1</f>
        <v>43569</v>
      </c>
      <c r="D2665" s="1" t="e">
        <f aca="false" t="array" ref="D2665:D2665">IF(ISBLANK(_xlfn.xlookup(D$3,daily_items,_xlfn.xlookup($C2665,daily_dates,big_daily_table))),NA(),_xlfn.xlookup(D$3,daily_items,_xlfn.xlookup($C2665,daily_dates,big_daily_table)))</f>
        <v>#NAME?</v>
      </c>
      <c r="E2665" s="1" t="e">
        <f aca="false" t="array" ref="E2665:E2665">IF(ISBLANK(_xlfn.xlookup(E$3,daily_items,_xlfn.xlookup($C2665,daily_dates,big_daily_table))),NA(),_xlfn.xlookup(E$3,daily_items,_xlfn.xlookup($C2665,daily_dates,big_daily_table)))</f>
        <v>#NAME?</v>
      </c>
    </row>
    <row r="2666" customFormat="false" ht="14.25" hidden="false" customHeight="false" outlineLevel="0" collapsed="false">
      <c r="B2666" s="7" t="n">
        <v>43571</v>
      </c>
      <c r="C2666" s="7" t="n">
        <f aca="false">B2666-WEEKDAY(B2666)+1</f>
        <v>43569</v>
      </c>
      <c r="D2666" s="1" t="e">
        <f aca="false" t="array" ref="D2666:D2666">IF(ISBLANK(_xlfn.xlookup(D$3,daily_items,_xlfn.xlookup($C2666,daily_dates,big_daily_table))),NA(),_xlfn.xlookup(D$3,daily_items,_xlfn.xlookup($C2666,daily_dates,big_daily_table)))</f>
        <v>#NAME?</v>
      </c>
      <c r="E2666" s="1" t="e">
        <f aca="false" t="array" ref="E2666:E2666">IF(ISBLANK(_xlfn.xlookup(E$3,daily_items,_xlfn.xlookup($C2666,daily_dates,big_daily_table))),NA(),_xlfn.xlookup(E$3,daily_items,_xlfn.xlookup($C2666,daily_dates,big_daily_table)))</f>
        <v>#NAME?</v>
      </c>
    </row>
    <row r="2667" customFormat="false" ht="14.25" hidden="false" customHeight="false" outlineLevel="0" collapsed="false">
      <c r="B2667" s="7" t="n">
        <v>43572</v>
      </c>
      <c r="C2667" s="7" t="n">
        <f aca="false">B2667-WEEKDAY(B2667)+1</f>
        <v>43569</v>
      </c>
      <c r="D2667" s="1" t="e">
        <f aca="false" t="array" ref="D2667:D2667">IF(ISBLANK(_xlfn.xlookup(D$3,daily_items,_xlfn.xlookup($C2667,daily_dates,big_daily_table))),NA(),_xlfn.xlookup(D$3,daily_items,_xlfn.xlookup($C2667,daily_dates,big_daily_table)))</f>
        <v>#NAME?</v>
      </c>
      <c r="E2667" s="1" t="e">
        <f aca="false" t="array" ref="E2667:E2667">IF(ISBLANK(_xlfn.xlookup(E$3,daily_items,_xlfn.xlookup($C2667,daily_dates,big_daily_table))),NA(),_xlfn.xlookup(E$3,daily_items,_xlfn.xlookup($C2667,daily_dates,big_daily_table)))</f>
        <v>#NAME?</v>
      </c>
    </row>
    <row r="2668" customFormat="false" ht="14.25" hidden="false" customHeight="false" outlineLevel="0" collapsed="false">
      <c r="B2668" s="7" t="n">
        <v>43573</v>
      </c>
      <c r="C2668" s="7" t="n">
        <f aca="false">B2668-WEEKDAY(B2668)+1</f>
        <v>43569</v>
      </c>
      <c r="D2668" s="1" t="e">
        <f aca="false" t="array" ref="D2668:D2668">IF(ISBLANK(_xlfn.xlookup(D$3,daily_items,_xlfn.xlookup($C2668,daily_dates,big_daily_table))),NA(),_xlfn.xlookup(D$3,daily_items,_xlfn.xlookup($C2668,daily_dates,big_daily_table)))</f>
        <v>#NAME?</v>
      </c>
      <c r="E2668" s="1" t="e">
        <f aca="false" t="array" ref="E2668:E2668">IF(ISBLANK(_xlfn.xlookup(E$3,daily_items,_xlfn.xlookup($C2668,daily_dates,big_daily_table))),NA(),_xlfn.xlookup(E$3,daily_items,_xlfn.xlookup($C2668,daily_dates,big_daily_table)))</f>
        <v>#NAME?</v>
      </c>
    </row>
    <row r="2669" customFormat="false" ht="14.25" hidden="false" customHeight="false" outlineLevel="0" collapsed="false">
      <c r="B2669" s="7" t="n">
        <v>43574</v>
      </c>
      <c r="C2669" s="7" t="n">
        <f aca="false">B2669-WEEKDAY(B2669)+1</f>
        <v>43569</v>
      </c>
      <c r="D2669" s="1" t="e">
        <f aca="false" t="array" ref="D2669:D2669">IF(ISBLANK(_xlfn.xlookup(D$3,daily_items,_xlfn.xlookup($C2669,daily_dates,big_daily_table))),NA(),_xlfn.xlookup(D$3,daily_items,_xlfn.xlookup($C2669,daily_dates,big_daily_table)))</f>
        <v>#NAME?</v>
      </c>
      <c r="E2669" s="1" t="e">
        <f aca="false" t="array" ref="E2669:E2669">IF(ISBLANK(_xlfn.xlookup(E$3,daily_items,_xlfn.xlookup($C2669,daily_dates,big_daily_table))),NA(),_xlfn.xlookup(E$3,daily_items,_xlfn.xlookup($C2669,daily_dates,big_daily_table)))</f>
        <v>#NAME?</v>
      </c>
    </row>
    <row r="2670" customFormat="false" ht="14.25" hidden="false" customHeight="false" outlineLevel="0" collapsed="false">
      <c r="B2670" s="7" t="n">
        <v>43575</v>
      </c>
      <c r="C2670" s="7" t="n">
        <f aca="false">B2670-WEEKDAY(B2670)+1</f>
        <v>43569</v>
      </c>
      <c r="D2670" s="1" t="e">
        <f aca="false" t="array" ref="D2670:D2670">IF(ISBLANK(_xlfn.xlookup(D$3,daily_items,_xlfn.xlookup($C2670,daily_dates,big_daily_table))),NA(),_xlfn.xlookup(D$3,daily_items,_xlfn.xlookup($C2670,daily_dates,big_daily_table)))</f>
        <v>#NAME?</v>
      </c>
      <c r="E2670" s="1" t="e">
        <f aca="false" t="array" ref="E2670:E2670">IF(ISBLANK(_xlfn.xlookup(E$3,daily_items,_xlfn.xlookup($C2670,daily_dates,big_daily_table))),NA(),_xlfn.xlookup(E$3,daily_items,_xlfn.xlookup($C2670,daily_dates,big_daily_table)))</f>
        <v>#NAME?</v>
      </c>
    </row>
    <row r="2671" customFormat="false" ht="14.25" hidden="false" customHeight="false" outlineLevel="0" collapsed="false">
      <c r="B2671" s="7" t="n">
        <v>43576</v>
      </c>
      <c r="C2671" s="7" t="n">
        <f aca="false">B2671-WEEKDAY(B2671)+1</f>
        <v>43576</v>
      </c>
      <c r="D2671" s="1" t="e">
        <f aca="false" t="array" ref="D2671:D2671">IF(ISBLANK(_xlfn.xlookup(D$3,daily_items,_xlfn.xlookup($C2671,daily_dates,big_daily_table))),NA(),_xlfn.xlookup(D$3,daily_items,_xlfn.xlookup($C2671,daily_dates,big_daily_table)))</f>
        <v>#NAME?</v>
      </c>
      <c r="E2671" s="1" t="e">
        <f aca="false" t="array" ref="E2671:E2671">IF(ISBLANK(_xlfn.xlookup(E$3,daily_items,_xlfn.xlookup($C2671,daily_dates,big_daily_table))),NA(),_xlfn.xlookup(E$3,daily_items,_xlfn.xlookup($C2671,daily_dates,big_daily_table)))</f>
        <v>#NAME?</v>
      </c>
    </row>
    <row r="2672" customFormat="false" ht="14.25" hidden="false" customHeight="false" outlineLevel="0" collapsed="false">
      <c r="B2672" s="7" t="n">
        <v>43577</v>
      </c>
      <c r="C2672" s="7" t="n">
        <f aca="false">B2672-WEEKDAY(B2672)+1</f>
        <v>43576</v>
      </c>
      <c r="D2672" s="1" t="e">
        <f aca="false" t="array" ref="D2672:D2672">IF(ISBLANK(_xlfn.xlookup(D$3,daily_items,_xlfn.xlookup($C2672,daily_dates,big_daily_table))),NA(),_xlfn.xlookup(D$3,daily_items,_xlfn.xlookup($C2672,daily_dates,big_daily_table)))</f>
        <v>#NAME?</v>
      </c>
      <c r="E2672" s="1" t="e">
        <f aca="false" t="array" ref="E2672:E2672">IF(ISBLANK(_xlfn.xlookup(E$3,daily_items,_xlfn.xlookup($C2672,daily_dates,big_daily_table))),NA(),_xlfn.xlookup(E$3,daily_items,_xlfn.xlookup($C2672,daily_dates,big_daily_table)))</f>
        <v>#NAME?</v>
      </c>
    </row>
    <row r="2673" customFormat="false" ht="14.25" hidden="false" customHeight="false" outlineLevel="0" collapsed="false">
      <c r="B2673" s="7" t="n">
        <v>43578</v>
      </c>
      <c r="C2673" s="7" t="n">
        <f aca="false">B2673-WEEKDAY(B2673)+1</f>
        <v>43576</v>
      </c>
      <c r="D2673" s="1" t="e">
        <f aca="false" t="array" ref="D2673:D2673">IF(ISBLANK(_xlfn.xlookup(D$3,daily_items,_xlfn.xlookup($C2673,daily_dates,big_daily_table))),NA(),_xlfn.xlookup(D$3,daily_items,_xlfn.xlookup($C2673,daily_dates,big_daily_table)))</f>
        <v>#NAME?</v>
      </c>
      <c r="E2673" s="1" t="e">
        <f aca="false" t="array" ref="E2673:E2673">IF(ISBLANK(_xlfn.xlookup(E$3,daily_items,_xlfn.xlookup($C2673,daily_dates,big_daily_table))),NA(),_xlfn.xlookup(E$3,daily_items,_xlfn.xlookup($C2673,daily_dates,big_daily_table)))</f>
        <v>#NAME?</v>
      </c>
    </row>
    <row r="2674" customFormat="false" ht="14.25" hidden="false" customHeight="false" outlineLevel="0" collapsed="false">
      <c r="B2674" s="7" t="n">
        <v>43579</v>
      </c>
      <c r="C2674" s="7" t="n">
        <f aca="false">B2674-WEEKDAY(B2674)+1</f>
        <v>43576</v>
      </c>
      <c r="D2674" s="1" t="e">
        <f aca="false" t="array" ref="D2674:D2674">IF(ISBLANK(_xlfn.xlookup(D$3,daily_items,_xlfn.xlookup($C2674,daily_dates,big_daily_table))),NA(),_xlfn.xlookup(D$3,daily_items,_xlfn.xlookup($C2674,daily_dates,big_daily_table)))</f>
        <v>#NAME?</v>
      </c>
      <c r="E2674" s="1" t="e">
        <f aca="false" t="array" ref="E2674:E2674">IF(ISBLANK(_xlfn.xlookup(E$3,daily_items,_xlfn.xlookup($C2674,daily_dates,big_daily_table))),NA(),_xlfn.xlookup(E$3,daily_items,_xlfn.xlookup($C2674,daily_dates,big_daily_table)))</f>
        <v>#NAME?</v>
      </c>
    </row>
    <row r="2675" customFormat="false" ht="14.25" hidden="false" customHeight="false" outlineLevel="0" collapsed="false">
      <c r="B2675" s="7" t="n">
        <v>43580</v>
      </c>
      <c r="C2675" s="7" t="n">
        <f aca="false">B2675-WEEKDAY(B2675)+1</f>
        <v>43576</v>
      </c>
      <c r="D2675" s="1" t="e">
        <f aca="false" t="array" ref="D2675:D2675">IF(ISBLANK(_xlfn.xlookup(D$3,daily_items,_xlfn.xlookup($C2675,daily_dates,big_daily_table))),NA(),_xlfn.xlookup(D$3,daily_items,_xlfn.xlookup($C2675,daily_dates,big_daily_table)))</f>
        <v>#NAME?</v>
      </c>
      <c r="E2675" s="1" t="e">
        <f aca="false" t="array" ref="E2675:E2675">IF(ISBLANK(_xlfn.xlookup(E$3,daily_items,_xlfn.xlookup($C2675,daily_dates,big_daily_table))),NA(),_xlfn.xlookup(E$3,daily_items,_xlfn.xlookup($C2675,daily_dates,big_daily_table)))</f>
        <v>#NAME?</v>
      </c>
    </row>
    <row r="2676" customFormat="false" ht="14.25" hidden="false" customHeight="false" outlineLevel="0" collapsed="false">
      <c r="B2676" s="7" t="n">
        <v>43581</v>
      </c>
      <c r="C2676" s="7" t="n">
        <f aca="false">B2676-WEEKDAY(B2676)+1</f>
        <v>43576</v>
      </c>
      <c r="D2676" s="1" t="e">
        <f aca="false" t="array" ref="D2676:D2676">IF(ISBLANK(_xlfn.xlookup(D$3,daily_items,_xlfn.xlookup($C2676,daily_dates,big_daily_table))),NA(),_xlfn.xlookup(D$3,daily_items,_xlfn.xlookup($C2676,daily_dates,big_daily_table)))</f>
        <v>#NAME?</v>
      </c>
      <c r="E2676" s="1" t="e">
        <f aca="false" t="array" ref="E2676:E2676">IF(ISBLANK(_xlfn.xlookup(E$3,daily_items,_xlfn.xlookup($C2676,daily_dates,big_daily_table))),NA(),_xlfn.xlookup(E$3,daily_items,_xlfn.xlookup($C2676,daily_dates,big_daily_table)))</f>
        <v>#NAME?</v>
      </c>
    </row>
    <row r="2677" customFormat="false" ht="14.25" hidden="false" customHeight="false" outlineLevel="0" collapsed="false">
      <c r="B2677" s="7" t="n">
        <v>43582</v>
      </c>
      <c r="C2677" s="7" t="n">
        <f aca="false">B2677-WEEKDAY(B2677)+1</f>
        <v>43576</v>
      </c>
      <c r="D2677" s="1" t="e">
        <f aca="false" t="array" ref="D2677:D2677">IF(ISBLANK(_xlfn.xlookup(D$3,daily_items,_xlfn.xlookup($C2677,daily_dates,big_daily_table))),NA(),_xlfn.xlookup(D$3,daily_items,_xlfn.xlookup($C2677,daily_dates,big_daily_table)))</f>
        <v>#NAME?</v>
      </c>
      <c r="E2677" s="1" t="e">
        <f aca="false" t="array" ref="E2677:E2677">IF(ISBLANK(_xlfn.xlookup(E$3,daily_items,_xlfn.xlookup($C2677,daily_dates,big_daily_table))),NA(),_xlfn.xlookup(E$3,daily_items,_xlfn.xlookup($C2677,daily_dates,big_daily_table)))</f>
        <v>#NAME?</v>
      </c>
    </row>
    <row r="2678" customFormat="false" ht="14.25" hidden="false" customHeight="false" outlineLevel="0" collapsed="false">
      <c r="B2678" s="7" t="n">
        <v>43583</v>
      </c>
      <c r="C2678" s="7" t="n">
        <f aca="false">B2678-WEEKDAY(B2678)+1</f>
        <v>43583</v>
      </c>
      <c r="D2678" s="1" t="e">
        <f aca="false" t="array" ref="D2678:D2678">IF(ISBLANK(_xlfn.xlookup(D$3,daily_items,_xlfn.xlookup($C2678,daily_dates,big_daily_table))),NA(),_xlfn.xlookup(D$3,daily_items,_xlfn.xlookup($C2678,daily_dates,big_daily_table)))</f>
        <v>#NAME?</v>
      </c>
      <c r="E2678" s="1" t="e">
        <f aca="false" t="array" ref="E2678:E2678">IF(ISBLANK(_xlfn.xlookup(E$3,daily_items,_xlfn.xlookup($C2678,daily_dates,big_daily_table))),NA(),_xlfn.xlookup(E$3,daily_items,_xlfn.xlookup($C2678,daily_dates,big_daily_table)))</f>
        <v>#NAME?</v>
      </c>
    </row>
    <row r="2679" customFormat="false" ht="14.25" hidden="false" customHeight="false" outlineLevel="0" collapsed="false">
      <c r="B2679" s="7" t="n">
        <v>43584</v>
      </c>
      <c r="C2679" s="7" t="n">
        <f aca="false">B2679-WEEKDAY(B2679)+1</f>
        <v>43583</v>
      </c>
      <c r="D2679" s="1" t="e">
        <f aca="false" t="array" ref="D2679:D2679">IF(ISBLANK(_xlfn.xlookup(D$3,daily_items,_xlfn.xlookup($C2679,daily_dates,big_daily_table))),NA(),_xlfn.xlookup(D$3,daily_items,_xlfn.xlookup($C2679,daily_dates,big_daily_table)))</f>
        <v>#NAME?</v>
      </c>
      <c r="E2679" s="1" t="e">
        <f aca="false" t="array" ref="E2679:E2679">IF(ISBLANK(_xlfn.xlookup(E$3,daily_items,_xlfn.xlookup($C2679,daily_dates,big_daily_table))),NA(),_xlfn.xlookup(E$3,daily_items,_xlfn.xlookup($C2679,daily_dates,big_daily_table)))</f>
        <v>#NAME?</v>
      </c>
    </row>
    <row r="2680" customFormat="false" ht="14.25" hidden="false" customHeight="false" outlineLevel="0" collapsed="false">
      <c r="B2680" s="7" t="n">
        <v>43585</v>
      </c>
      <c r="C2680" s="7" t="n">
        <f aca="false">B2680-WEEKDAY(B2680)+1</f>
        <v>43583</v>
      </c>
      <c r="D2680" s="1" t="e">
        <f aca="false" t="array" ref="D2680:D2680">IF(ISBLANK(_xlfn.xlookup(D$3,daily_items,_xlfn.xlookup($C2680,daily_dates,big_daily_table))),NA(),_xlfn.xlookup(D$3,daily_items,_xlfn.xlookup($C2680,daily_dates,big_daily_table)))</f>
        <v>#NAME?</v>
      </c>
      <c r="E2680" s="1" t="e">
        <f aca="false" t="array" ref="E2680:E2680">IF(ISBLANK(_xlfn.xlookup(E$3,daily_items,_xlfn.xlookup($C2680,daily_dates,big_daily_table))),NA(),_xlfn.xlookup(E$3,daily_items,_xlfn.xlookup($C2680,daily_dates,big_daily_table)))</f>
        <v>#NAME?</v>
      </c>
    </row>
    <row r="2681" customFormat="false" ht="14.25" hidden="false" customHeight="false" outlineLevel="0" collapsed="false">
      <c r="B2681" s="7" t="n">
        <v>43586</v>
      </c>
      <c r="C2681" s="7" t="n">
        <f aca="false">B2681-WEEKDAY(B2681)+1</f>
        <v>43583</v>
      </c>
      <c r="D2681" s="1" t="e">
        <f aca="false" t="array" ref="D2681:D2681">IF(ISBLANK(_xlfn.xlookup(D$3,daily_items,_xlfn.xlookup($C2681,daily_dates,big_daily_table))),NA(),_xlfn.xlookup(D$3,daily_items,_xlfn.xlookup($C2681,daily_dates,big_daily_table)))</f>
        <v>#NAME?</v>
      </c>
      <c r="E2681" s="1" t="e">
        <f aca="false" t="array" ref="E2681:E2681">IF(ISBLANK(_xlfn.xlookup(E$3,daily_items,_xlfn.xlookup($C2681,daily_dates,big_daily_table))),NA(),_xlfn.xlookup(E$3,daily_items,_xlfn.xlookup($C2681,daily_dates,big_daily_table)))</f>
        <v>#NAME?</v>
      </c>
    </row>
    <row r="2682" customFormat="false" ht="14.25" hidden="false" customHeight="false" outlineLevel="0" collapsed="false">
      <c r="B2682" s="7" t="n">
        <v>43587</v>
      </c>
      <c r="C2682" s="7" t="n">
        <f aca="false">B2682-WEEKDAY(B2682)+1</f>
        <v>43583</v>
      </c>
      <c r="D2682" s="1" t="e">
        <f aca="false" t="array" ref="D2682:D2682">IF(ISBLANK(_xlfn.xlookup(D$3,daily_items,_xlfn.xlookup($C2682,daily_dates,big_daily_table))),NA(),_xlfn.xlookup(D$3,daily_items,_xlfn.xlookup($C2682,daily_dates,big_daily_table)))</f>
        <v>#NAME?</v>
      </c>
      <c r="E2682" s="1" t="e">
        <f aca="false" t="array" ref="E2682:E2682">IF(ISBLANK(_xlfn.xlookup(E$3,daily_items,_xlfn.xlookup($C2682,daily_dates,big_daily_table))),NA(),_xlfn.xlookup(E$3,daily_items,_xlfn.xlookup($C2682,daily_dates,big_daily_table)))</f>
        <v>#NAME?</v>
      </c>
    </row>
    <row r="2683" customFormat="false" ht="14.25" hidden="false" customHeight="false" outlineLevel="0" collapsed="false">
      <c r="B2683" s="7" t="n">
        <v>43588</v>
      </c>
      <c r="C2683" s="7" t="n">
        <f aca="false">B2683-WEEKDAY(B2683)+1</f>
        <v>43583</v>
      </c>
      <c r="D2683" s="1" t="e">
        <f aca="false" t="array" ref="D2683:D2683">IF(ISBLANK(_xlfn.xlookup(D$3,daily_items,_xlfn.xlookup($C2683,daily_dates,big_daily_table))),NA(),_xlfn.xlookup(D$3,daily_items,_xlfn.xlookup($C2683,daily_dates,big_daily_table)))</f>
        <v>#NAME?</v>
      </c>
      <c r="E2683" s="1" t="e">
        <f aca="false" t="array" ref="E2683:E2683">IF(ISBLANK(_xlfn.xlookup(E$3,daily_items,_xlfn.xlookup($C2683,daily_dates,big_daily_table))),NA(),_xlfn.xlookup(E$3,daily_items,_xlfn.xlookup($C2683,daily_dates,big_daily_table)))</f>
        <v>#NAME?</v>
      </c>
    </row>
    <row r="2684" customFormat="false" ht="14.25" hidden="false" customHeight="false" outlineLevel="0" collapsed="false">
      <c r="B2684" s="7" t="n">
        <v>43589</v>
      </c>
      <c r="C2684" s="7" t="n">
        <f aca="false">B2684-WEEKDAY(B2684)+1</f>
        <v>43583</v>
      </c>
      <c r="D2684" s="1" t="e">
        <f aca="false" t="array" ref="D2684:D2684">IF(ISBLANK(_xlfn.xlookup(D$3,daily_items,_xlfn.xlookup($C2684,daily_dates,big_daily_table))),NA(),_xlfn.xlookup(D$3,daily_items,_xlfn.xlookup($C2684,daily_dates,big_daily_table)))</f>
        <v>#NAME?</v>
      </c>
      <c r="E2684" s="1" t="e">
        <f aca="false" t="array" ref="E2684:E2684">IF(ISBLANK(_xlfn.xlookup(E$3,daily_items,_xlfn.xlookup($C2684,daily_dates,big_daily_table))),NA(),_xlfn.xlookup(E$3,daily_items,_xlfn.xlookup($C2684,daily_dates,big_daily_table)))</f>
        <v>#NAME?</v>
      </c>
    </row>
    <row r="2685" customFormat="false" ht="14.25" hidden="false" customHeight="false" outlineLevel="0" collapsed="false">
      <c r="B2685" s="7" t="n">
        <v>43590</v>
      </c>
      <c r="C2685" s="7" t="n">
        <f aca="false">B2685-WEEKDAY(B2685)+1</f>
        <v>43590</v>
      </c>
      <c r="D2685" s="1" t="e">
        <f aca="false" t="array" ref="D2685:D2685">IF(ISBLANK(_xlfn.xlookup(D$3,daily_items,_xlfn.xlookup($C2685,daily_dates,big_daily_table))),NA(),_xlfn.xlookup(D$3,daily_items,_xlfn.xlookup($C2685,daily_dates,big_daily_table)))</f>
        <v>#NAME?</v>
      </c>
      <c r="E2685" s="1" t="e">
        <f aca="false" t="array" ref="E2685:E2685">IF(ISBLANK(_xlfn.xlookup(E$3,daily_items,_xlfn.xlookup($C2685,daily_dates,big_daily_table))),NA(),_xlfn.xlookup(E$3,daily_items,_xlfn.xlookup($C2685,daily_dates,big_daily_table)))</f>
        <v>#NAME?</v>
      </c>
    </row>
    <row r="2686" customFormat="false" ht="14.25" hidden="false" customHeight="false" outlineLevel="0" collapsed="false">
      <c r="B2686" s="7" t="n">
        <v>43591</v>
      </c>
      <c r="C2686" s="7" t="n">
        <f aca="false">B2686-WEEKDAY(B2686)+1</f>
        <v>43590</v>
      </c>
      <c r="D2686" s="1" t="e">
        <f aca="false" t="array" ref="D2686:D2686">IF(ISBLANK(_xlfn.xlookup(D$3,daily_items,_xlfn.xlookup($C2686,daily_dates,big_daily_table))),NA(),_xlfn.xlookup(D$3,daily_items,_xlfn.xlookup($C2686,daily_dates,big_daily_table)))</f>
        <v>#NAME?</v>
      </c>
      <c r="E2686" s="1" t="e">
        <f aca="false" t="array" ref="E2686:E2686">IF(ISBLANK(_xlfn.xlookup(E$3,daily_items,_xlfn.xlookup($C2686,daily_dates,big_daily_table))),NA(),_xlfn.xlookup(E$3,daily_items,_xlfn.xlookup($C2686,daily_dates,big_daily_table)))</f>
        <v>#NAME?</v>
      </c>
    </row>
    <row r="2687" customFormat="false" ht="14.25" hidden="false" customHeight="false" outlineLevel="0" collapsed="false">
      <c r="B2687" s="7" t="n">
        <v>43592</v>
      </c>
      <c r="C2687" s="7" t="n">
        <f aca="false">B2687-WEEKDAY(B2687)+1</f>
        <v>43590</v>
      </c>
      <c r="D2687" s="1" t="e">
        <f aca="false" t="array" ref="D2687:D2687">IF(ISBLANK(_xlfn.xlookup(D$3,daily_items,_xlfn.xlookup($C2687,daily_dates,big_daily_table))),NA(),_xlfn.xlookup(D$3,daily_items,_xlfn.xlookup($C2687,daily_dates,big_daily_table)))</f>
        <v>#NAME?</v>
      </c>
      <c r="E2687" s="1" t="e">
        <f aca="false" t="array" ref="E2687:E2687">IF(ISBLANK(_xlfn.xlookup(E$3,daily_items,_xlfn.xlookup($C2687,daily_dates,big_daily_table))),NA(),_xlfn.xlookup(E$3,daily_items,_xlfn.xlookup($C2687,daily_dates,big_daily_table)))</f>
        <v>#NAME?</v>
      </c>
    </row>
    <row r="2688" customFormat="false" ht="14.25" hidden="false" customHeight="false" outlineLevel="0" collapsed="false">
      <c r="B2688" s="7" t="n">
        <v>43593</v>
      </c>
      <c r="C2688" s="7" t="n">
        <f aca="false">B2688-WEEKDAY(B2688)+1</f>
        <v>43590</v>
      </c>
      <c r="D2688" s="1" t="e">
        <f aca="false" t="array" ref="D2688:D2688">IF(ISBLANK(_xlfn.xlookup(D$3,daily_items,_xlfn.xlookup($C2688,daily_dates,big_daily_table))),NA(),_xlfn.xlookup(D$3,daily_items,_xlfn.xlookup($C2688,daily_dates,big_daily_table)))</f>
        <v>#NAME?</v>
      </c>
      <c r="E2688" s="1" t="e">
        <f aca="false" t="array" ref="E2688:E2688">IF(ISBLANK(_xlfn.xlookup(E$3,daily_items,_xlfn.xlookup($C2688,daily_dates,big_daily_table))),NA(),_xlfn.xlookup(E$3,daily_items,_xlfn.xlookup($C2688,daily_dates,big_daily_table)))</f>
        <v>#NAME?</v>
      </c>
    </row>
    <row r="2689" customFormat="false" ht="14.25" hidden="false" customHeight="false" outlineLevel="0" collapsed="false">
      <c r="B2689" s="7" t="n">
        <v>43594</v>
      </c>
      <c r="C2689" s="7" t="n">
        <f aca="false">B2689-WEEKDAY(B2689)+1</f>
        <v>43590</v>
      </c>
      <c r="D2689" s="1" t="e">
        <f aca="false" t="array" ref="D2689:D2689">IF(ISBLANK(_xlfn.xlookup(D$3,daily_items,_xlfn.xlookup($C2689,daily_dates,big_daily_table))),NA(),_xlfn.xlookup(D$3,daily_items,_xlfn.xlookup($C2689,daily_dates,big_daily_table)))</f>
        <v>#NAME?</v>
      </c>
      <c r="E2689" s="1" t="e">
        <f aca="false" t="array" ref="E2689:E2689">IF(ISBLANK(_xlfn.xlookup(E$3,daily_items,_xlfn.xlookup($C2689,daily_dates,big_daily_table))),NA(),_xlfn.xlookup(E$3,daily_items,_xlfn.xlookup($C2689,daily_dates,big_daily_table)))</f>
        <v>#NAME?</v>
      </c>
    </row>
    <row r="2690" customFormat="false" ht="14.25" hidden="false" customHeight="false" outlineLevel="0" collapsed="false">
      <c r="B2690" s="7" t="n">
        <v>43595</v>
      </c>
      <c r="C2690" s="7" t="n">
        <f aca="false">B2690-WEEKDAY(B2690)+1</f>
        <v>43590</v>
      </c>
      <c r="D2690" s="1" t="e">
        <f aca="false" t="array" ref="D2690:D2690">IF(ISBLANK(_xlfn.xlookup(D$3,daily_items,_xlfn.xlookup($C2690,daily_dates,big_daily_table))),NA(),_xlfn.xlookup(D$3,daily_items,_xlfn.xlookup($C2690,daily_dates,big_daily_table)))</f>
        <v>#NAME?</v>
      </c>
      <c r="E2690" s="1" t="e">
        <f aca="false" t="array" ref="E2690:E2690">IF(ISBLANK(_xlfn.xlookup(E$3,daily_items,_xlfn.xlookup($C2690,daily_dates,big_daily_table))),NA(),_xlfn.xlookup(E$3,daily_items,_xlfn.xlookup($C2690,daily_dates,big_daily_table)))</f>
        <v>#NAME?</v>
      </c>
    </row>
    <row r="2691" customFormat="false" ht="14.25" hidden="false" customHeight="false" outlineLevel="0" collapsed="false">
      <c r="B2691" s="7" t="n">
        <v>43596</v>
      </c>
      <c r="C2691" s="7" t="n">
        <f aca="false">B2691-WEEKDAY(B2691)+1</f>
        <v>43590</v>
      </c>
      <c r="D2691" s="1" t="e">
        <f aca="false" t="array" ref="D2691:D2691">IF(ISBLANK(_xlfn.xlookup(D$3,daily_items,_xlfn.xlookup($C2691,daily_dates,big_daily_table))),NA(),_xlfn.xlookup(D$3,daily_items,_xlfn.xlookup($C2691,daily_dates,big_daily_table)))</f>
        <v>#NAME?</v>
      </c>
      <c r="E2691" s="1" t="e">
        <f aca="false" t="array" ref="E2691:E2691">IF(ISBLANK(_xlfn.xlookup(E$3,daily_items,_xlfn.xlookup($C2691,daily_dates,big_daily_table))),NA(),_xlfn.xlookup(E$3,daily_items,_xlfn.xlookup($C2691,daily_dates,big_daily_table)))</f>
        <v>#NAME?</v>
      </c>
    </row>
    <row r="2692" customFormat="false" ht="14.25" hidden="false" customHeight="false" outlineLevel="0" collapsed="false">
      <c r="B2692" s="7" t="n">
        <v>43597</v>
      </c>
      <c r="C2692" s="7" t="n">
        <f aca="false">B2692-WEEKDAY(B2692)+1</f>
        <v>43597</v>
      </c>
      <c r="D2692" s="1" t="e">
        <f aca="false" t="array" ref="D2692:D2692">IF(ISBLANK(_xlfn.xlookup(D$3,daily_items,_xlfn.xlookup($C2692,daily_dates,big_daily_table))),NA(),_xlfn.xlookup(D$3,daily_items,_xlfn.xlookup($C2692,daily_dates,big_daily_table)))</f>
        <v>#NAME?</v>
      </c>
      <c r="E2692" s="1" t="e">
        <f aca="false" t="array" ref="E2692:E2692">IF(ISBLANK(_xlfn.xlookup(E$3,daily_items,_xlfn.xlookup($C2692,daily_dates,big_daily_table))),NA(),_xlfn.xlookup(E$3,daily_items,_xlfn.xlookup($C2692,daily_dates,big_daily_table)))</f>
        <v>#NAME?</v>
      </c>
    </row>
    <row r="2693" customFormat="false" ht="14.25" hidden="false" customHeight="false" outlineLevel="0" collapsed="false">
      <c r="B2693" s="7" t="n">
        <v>43598</v>
      </c>
      <c r="C2693" s="7" t="n">
        <f aca="false">B2693-WEEKDAY(B2693)+1</f>
        <v>43597</v>
      </c>
      <c r="D2693" s="1" t="e">
        <f aca="false" t="array" ref="D2693:D2693">IF(ISBLANK(_xlfn.xlookup(D$3,daily_items,_xlfn.xlookup($C2693,daily_dates,big_daily_table))),NA(),_xlfn.xlookup(D$3,daily_items,_xlfn.xlookup($C2693,daily_dates,big_daily_table)))</f>
        <v>#NAME?</v>
      </c>
      <c r="E2693" s="1" t="e">
        <f aca="false" t="array" ref="E2693:E2693">IF(ISBLANK(_xlfn.xlookup(E$3,daily_items,_xlfn.xlookup($C2693,daily_dates,big_daily_table))),NA(),_xlfn.xlookup(E$3,daily_items,_xlfn.xlookup($C2693,daily_dates,big_daily_table)))</f>
        <v>#NAME?</v>
      </c>
    </row>
    <row r="2694" customFormat="false" ht="14.25" hidden="false" customHeight="false" outlineLevel="0" collapsed="false">
      <c r="B2694" s="7" t="n">
        <v>43599</v>
      </c>
      <c r="C2694" s="7" t="n">
        <f aca="false">B2694-WEEKDAY(B2694)+1</f>
        <v>43597</v>
      </c>
      <c r="D2694" s="1" t="e">
        <f aca="false" t="array" ref="D2694:D2694">IF(ISBLANK(_xlfn.xlookup(D$3,daily_items,_xlfn.xlookup($C2694,daily_dates,big_daily_table))),NA(),_xlfn.xlookup(D$3,daily_items,_xlfn.xlookup($C2694,daily_dates,big_daily_table)))</f>
        <v>#NAME?</v>
      </c>
      <c r="E2694" s="1" t="e">
        <f aca="false" t="array" ref="E2694:E2694">IF(ISBLANK(_xlfn.xlookup(E$3,daily_items,_xlfn.xlookup($C2694,daily_dates,big_daily_table))),NA(),_xlfn.xlookup(E$3,daily_items,_xlfn.xlookup($C2694,daily_dates,big_daily_table)))</f>
        <v>#NAME?</v>
      </c>
    </row>
    <row r="2695" customFormat="false" ht="14.25" hidden="false" customHeight="false" outlineLevel="0" collapsed="false">
      <c r="B2695" s="7" t="n">
        <v>43600</v>
      </c>
      <c r="C2695" s="7" t="n">
        <f aca="false">B2695-WEEKDAY(B2695)+1</f>
        <v>43597</v>
      </c>
      <c r="D2695" s="1" t="e">
        <f aca="false" t="array" ref="D2695:D2695">IF(ISBLANK(_xlfn.xlookup(D$3,daily_items,_xlfn.xlookup($C2695,daily_dates,big_daily_table))),NA(),_xlfn.xlookup(D$3,daily_items,_xlfn.xlookup($C2695,daily_dates,big_daily_table)))</f>
        <v>#NAME?</v>
      </c>
      <c r="E2695" s="1" t="e">
        <f aca="false" t="array" ref="E2695:E2695">IF(ISBLANK(_xlfn.xlookup(E$3,daily_items,_xlfn.xlookup($C2695,daily_dates,big_daily_table))),NA(),_xlfn.xlookup(E$3,daily_items,_xlfn.xlookup($C2695,daily_dates,big_daily_table)))</f>
        <v>#NAME?</v>
      </c>
    </row>
    <row r="2696" customFormat="false" ht="14.25" hidden="false" customHeight="false" outlineLevel="0" collapsed="false">
      <c r="B2696" s="7" t="n">
        <v>43601</v>
      </c>
      <c r="C2696" s="7" t="n">
        <f aca="false">B2696-WEEKDAY(B2696)+1</f>
        <v>43597</v>
      </c>
      <c r="D2696" s="1" t="e">
        <f aca="false" t="array" ref="D2696:D2696">IF(ISBLANK(_xlfn.xlookup(D$3,daily_items,_xlfn.xlookup($C2696,daily_dates,big_daily_table))),NA(),_xlfn.xlookup(D$3,daily_items,_xlfn.xlookup($C2696,daily_dates,big_daily_table)))</f>
        <v>#NAME?</v>
      </c>
      <c r="E2696" s="1" t="e">
        <f aca="false" t="array" ref="E2696:E2696">IF(ISBLANK(_xlfn.xlookup(E$3,daily_items,_xlfn.xlookup($C2696,daily_dates,big_daily_table))),NA(),_xlfn.xlookup(E$3,daily_items,_xlfn.xlookup($C2696,daily_dates,big_daily_table)))</f>
        <v>#NAME?</v>
      </c>
    </row>
    <row r="2697" customFormat="false" ht="14.25" hidden="false" customHeight="false" outlineLevel="0" collapsed="false">
      <c r="B2697" s="7" t="n">
        <v>43602</v>
      </c>
      <c r="C2697" s="7" t="n">
        <f aca="false">B2697-WEEKDAY(B2697)+1</f>
        <v>43597</v>
      </c>
      <c r="D2697" s="1" t="e">
        <f aca="false" t="array" ref="D2697:D2697">IF(ISBLANK(_xlfn.xlookup(D$3,daily_items,_xlfn.xlookup($C2697,daily_dates,big_daily_table))),NA(),_xlfn.xlookup(D$3,daily_items,_xlfn.xlookup($C2697,daily_dates,big_daily_table)))</f>
        <v>#NAME?</v>
      </c>
      <c r="E2697" s="1" t="e">
        <f aca="false" t="array" ref="E2697:E2697">IF(ISBLANK(_xlfn.xlookup(E$3,daily_items,_xlfn.xlookup($C2697,daily_dates,big_daily_table))),NA(),_xlfn.xlookup(E$3,daily_items,_xlfn.xlookup($C2697,daily_dates,big_daily_table)))</f>
        <v>#NAME?</v>
      </c>
    </row>
    <row r="2698" customFormat="false" ht="14.25" hidden="false" customHeight="false" outlineLevel="0" collapsed="false">
      <c r="B2698" s="7" t="n">
        <v>43603</v>
      </c>
      <c r="C2698" s="7" t="n">
        <f aca="false">B2698-WEEKDAY(B2698)+1</f>
        <v>43597</v>
      </c>
      <c r="D2698" s="1" t="e">
        <f aca="false" t="array" ref="D2698:D2698">IF(ISBLANK(_xlfn.xlookup(D$3,daily_items,_xlfn.xlookup($C2698,daily_dates,big_daily_table))),NA(),_xlfn.xlookup(D$3,daily_items,_xlfn.xlookup($C2698,daily_dates,big_daily_table)))</f>
        <v>#NAME?</v>
      </c>
      <c r="E2698" s="1" t="e">
        <f aca="false" t="array" ref="E2698:E2698">IF(ISBLANK(_xlfn.xlookup(E$3,daily_items,_xlfn.xlookup($C2698,daily_dates,big_daily_table))),NA(),_xlfn.xlookup(E$3,daily_items,_xlfn.xlookup($C2698,daily_dates,big_daily_table)))</f>
        <v>#NAME?</v>
      </c>
    </row>
    <row r="2699" customFormat="false" ht="14.25" hidden="false" customHeight="false" outlineLevel="0" collapsed="false">
      <c r="B2699" s="7" t="n">
        <v>43604</v>
      </c>
      <c r="C2699" s="7" t="n">
        <f aca="false">B2699-WEEKDAY(B2699)+1</f>
        <v>43604</v>
      </c>
      <c r="D2699" s="1" t="e">
        <f aca="false" t="array" ref="D2699:D2699">IF(ISBLANK(_xlfn.xlookup(D$3,daily_items,_xlfn.xlookup($C2699,daily_dates,big_daily_table))),NA(),_xlfn.xlookup(D$3,daily_items,_xlfn.xlookup($C2699,daily_dates,big_daily_table)))</f>
        <v>#NAME?</v>
      </c>
      <c r="E2699" s="1" t="e">
        <f aca="false" t="array" ref="E2699:E2699">IF(ISBLANK(_xlfn.xlookup(E$3,daily_items,_xlfn.xlookup($C2699,daily_dates,big_daily_table))),NA(),_xlfn.xlookup(E$3,daily_items,_xlfn.xlookup($C2699,daily_dates,big_daily_table)))</f>
        <v>#NAME?</v>
      </c>
    </row>
    <row r="2700" customFormat="false" ht="14.25" hidden="false" customHeight="false" outlineLevel="0" collapsed="false">
      <c r="B2700" s="7" t="n">
        <v>43605</v>
      </c>
      <c r="C2700" s="7" t="n">
        <f aca="false">B2700-WEEKDAY(B2700)+1</f>
        <v>43604</v>
      </c>
      <c r="D2700" s="1" t="e">
        <f aca="false" t="array" ref="D2700:D2700">IF(ISBLANK(_xlfn.xlookup(D$3,daily_items,_xlfn.xlookup($C2700,daily_dates,big_daily_table))),NA(),_xlfn.xlookup(D$3,daily_items,_xlfn.xlookup($C2700,daily_dates,big_daily_table)))</f>
        <v>#NAME?</v>
      </c>
      <c r="E2700" s="1" t="e">
        <f aca="false" t="array" ref="E2700:E2700">IF(ISBLANK(_xlfn.xlookup(E$3,daily_items,_xlfn.xlookup($C2700,daily_dates,big_daily_table))),NA(),_xlfn.xlookup(E$3,daily_items,_xlfn.xlookup($C2700,daily_dates,big_daily_table)))</f>
        <v>#NAME?</v>
      </c>
    </row>
    <row r="2701" customFormat="false" ht="14.25" hidden="false" customHeight="false" outlineLevel="0" collapsed="false">
      <c r="B2701" s="7" t="n">
        <v>43606</v>
      </c>
      <c r="C2701" s="7" t="n">
        <f aca="false">B2701-WEEKDAY(B2701)+1</f>
        <v>43604</v>
      </c>
      <c r="D2701" s="1" t="e">
        <f aca="false" t="array" ref="D2701:D2701">IF(ISBLANK(_xlfn.xlookup(D$3,daily_items,_xlfn.xlookup($C2701,daily_dates,big_daily_table))),NA(),_xlfn.xlookup(D$3,daily_items,_xlfn.xlookup($C2701,daily_dates,big_daily_table)))</f>
        <v>#NAME?</v>
      </c>
      <c r="E2701" s="1" t="e">
        <f aca="false" t="array" ref="E2701:E2701">IF(ISBLANK(_xlfn.xlookup(E$3,daily_items,_xlfn.xlookup($C2701,daily_dates,big_daily_table))),NA(),_xlfn.xlookup(E$3,daily_items,_xlfn.xlookup($C2701,daily_dates,big_daily_table)))</f>
        <v>#NAME?</v>
      </c>
    </row>
    <row r="2702" customFormat="false" ht="14.25" hidden="false" customHeight="false" outlineLevel="0" collapsed="false">
      <c r="B2702" s="7" t="n">
        <v>43607</v>
      </c>
      <c r="C2702" s="7" t="n">
        <f aca="false">B2702-WEEKDAY(B2702)+1</f>
        <v>43604</v>
      </c>
      <c r="D2702" s="1" t="e">
        <f aca="false" t="array" ref="D2702:D2702">IF(ISBLANK(_xlfn.xlookup(D$3,daily_items,_xlfn.xlookup($C2702,daily_dates,big_daily_table))),NA(),_xlfn.xlookup(D$3,daily_items,_xlfn.xlookup($C2702,daily_dates,big_daily_table)))</f>
        <v>#NAME?</v>
      </c>
      <c r="E2702" s="1" t="e">
        <f aca="false" t="array" ref="E2702:E2702">IF(ISBLANK(_xlfn.xlookup(E$3,daily_items,_xlfn.xlookup($C2702,daily_dates,big_daily_table))),NA(),_xlfn.xlookup(E$3,daily_items,_xlfn.xlookup($C2702,daily_dates,big_daily_table)))</f>
        <v>#NAME?</v>
      </c>
    </row>
    <row r="2703" customFormat="false" ht="14.25" hidden="false" customHeight="false" outlineLevel="0" collapsed="false">
      <c r="B2703" s="7" t="n">
        <v>43608</v>
      </c>
      <c r="C2703" s="7" t="n">
        <f aca="false">B2703-WEEKDAY(B2703)+1</f>
        <v>43604</v>
      </c>
      <c r="D2703" s="1" t="e">
        <f aca="false" t="array" ref="D2703:D2703">IF(ISBLANK(_xlfn.xlookup(D$3,daily_items,_xlfn.xlookup($C2703,daily_dates,big_daily_table))),NA(),_xlfn.xlookup(D$3,daily_items,_xlfn.xlookup($C2703,daily_dates,big_daily_table)))</f>
        <v>#NAME?</v>
      </c>
      <c r="E2703" s="1" t="e">
        <f aca="false" t="array" ref="E2703:E2703">IF(ISBLANK(_xlfn.xlookup(E$3,daily_items,_xlfn.xlookup($C2703,daily_dates,big_daily_table))),NA(),_xlfn.xlookup(E$3,daily_items,_xlfn.xlookup($C2703,daily_dates,big_daily_table)))</f>
        <v>#NAME?</v>
      </c>
    </row>
    <row r="2704" customFormat="false" ht="14.25" hidden="false" customHeight="false" outlineLevel="0" collapsed="false">
      <c r="B2704" s="7" t="n">
        <v>43609</v>
      </c>
      <c r="C2704" s="7" t="n">
        <f aca="false">B2704-WEEKDAY(B2704)+1</f>
        <v>43604</v>
      </c>
      <c r="D2704" s="1" t="e">
        <f aca="false" t="array" ref="D2704:D2704">IF(ISBLANK(_xlfn.xlookup(D$3,daily_items,_xlfn.xlookup($C2704,daily_dates,big_daily_table))),NA(),_xlfn.xlookup(D$3,daily_items,_xlfn.xlookup($C2704,daily_dates,big_daily_table)))</f>
        <v>#NAME?</v>
      </c>
      <c r="E2704" s="1" t="e">
        <f aca="false" t="array" ref="E2704:E2704">IF(ISBLANK(_xlfn.xlookup(E$3,daily_items,_xlfn.xlookup($C2704,daily_dates,big_daily_table))),NA(),_xlfn.xlookup(E$3,daily_items,_xlfn.xlookup($C2704,daily_dates,big_daily_table)))</f>
        <v>#NAME?</v>
      </c>
    </row>
    <row r="2705" customFormat="false" ht="14.25" hidden="false" customHeight="false" outlineLevel="0" collapsed="false">
      <c r="B2705" s="7" t="n">
        <v>43610</v>
      </c>
      <c r="C2705" s="7" t="n">
        <f aca="false">B2705-WEEKDAY(B2705)+1</f>
        <v>43604</v>
      </c>
      <c r="D2705" s="1" t="e">
        <f aca="false" t="array" ref="D2705:D2705">IF(ISBLANK(_xlfn.xlookup(D$3,daily_items,_xlfn.xlookup($C2705,daily_dates,big_daily_table))),NA(),_xlfn.xlookup(D$3,daily_items,_xlfn.xlookup($C2705,daily_dates,big_daily_table)))</f>
        <v>#NAME?</v>
      </c>
      <c r="E2705" s="1" t="e">
        <f aca="false" t="array" ref="E2705:E2705">IF(ISBLANK(_xlfn.xlookup(E$3,daily_items,_xlfn.xlookup($C2705,daily_dates,big_daily_table))),NA(),_xlfn.xlookup(E$3,daily_items,_xlfn.xlookup($C2705,daily_dates,big_daily_table)))</f>
        <v>#NAME?</v>
      </c>
    </row>
    <row r="2706" customFormat="false" ht="14.25" hidden="false" customHeight="false" outlineLevel="0" collapsed="false">
      <c r="B2706" s="7" t="n">
        <v>43611</v>
      </c>
      <c r="C2706" s="7" t="n">
        <f aca="false">B2706-WEEKDAY(B2706)+1</f>
        <v>43611</v>
      </c>
      <c r="D2706" s="1" t="e">
        <f aca="false" t="array" ref="D2706:D2706">IF(ISBLANK(_xlfn.xlookup(D$3,daily_items,_xlfn.xlookup($C2706,daily_dates,big_daily_table))),NA(),_xlfn.xlookup(D$3,daily_items,_xlfn.xlookup($C2706,daily_dates,big_daily_table)))</f>
        <v>#NAME?</v>
      </c>
      <c r="E2706" s="1" t="e">
        <f aca="false" t="array" ref="E2706:E2706">IF(ISBLANK(_xlfn.xlookup(E$3,daily_items,_xlfn.xlookup($C2706,daily_dates,big_daily_table))),NA(),_xlfn.xlookup(E$3,daily_items,_xlfn.xlookup($C2706,daily_dates,big_daily_table)))</f>
        <v>#NAME?</v>
      </c>
    </row>
    <row r="2707" customFormat="false" ht="14.25" hidden="false" customHeight="false" outlineLevel="0" collapsed="false">
      <c r="B2707" s="7" t="n">
        <v>43612</v>
      </c>
      <c r="C2707" s="7" t="n">
        <f aca="false">B2707-WEEKDAY(B2707)+1</f>
        <v>43611</v>
      </c>
      <c r="D2707" s="1" t="e">
        <f aca="false" t="array" ref="D2707:D2707">IF(ISBLANK(_xlfn.xlookup(D$3,daily_items,_xlfn.xlookup($C2707,daily_dates,big_daily_table))),NA(),_xlfn.xlookup(D$3,daily_items,_xlfn.xlookup($C2707,daily_dates,big_daily_table)))</f>
        <v>#NAME?</v>
      </c>
      <c r="E2707" s="1" t="e">
        <f aca="false" t="array" ref="E2707:E2707">IF(ISBLANK(_xlfn.xlookup(E$3,daily_items,_xlfn.xlookup($C2707,daily_dates,big_daily_table))),NA(),_xlfn.xlookup(E$3,daily_items,_xlfn.xlookup($C2707,daily_dates,big_daily_table)))</f>
        <v>#NAME?</v>
      </c>
    </row>
    <row r="2708" customFormat="false" ht="14.25" hidden="false" customHeight="false" outlineLevel="0" collapsed="false">
      <c r="B2708" s="7" t="n">
        <v>43613</v>
      </c>
      <c r="C2708" s="7" t="n">
        <f aca="false">B2708-WEEKDAY(B2708)+1</f>
        <v>43611</v>
      </c>
      <c r="D2708" s="1" t="e">
        <f aca="false" t="array" ref="D2708:D2708">IF(ISBLANK(_xlfn.xlookup(D$3,daily_items,_xlfn.xlookup($C2708,daily_dates,big_daily_table))),NA(),_xlfn.xlookup(D$3,daily_items,_xlfn.xlookup($C2708,daily_dates,big_daily_table)))</f>
        <v>#NAME?</v>
      </c>
      <c r="E2708" s="1" t="e">
        <f aca="false" t="array" ref="E2708:E2708">IF(ISBLANK(_xlfn.xlookup(E$3,daily_items,_xlfn.xlookup($C2708,daily_dates,big_daily_table))),NA(),_xlfn.xlookup(E$3,daily_items,_xlfn.xlookup($C2708,daily_dates,big_daily_table)))</f>
        <v>#NAME?</v>
      </c>
    </row>
    <row r="2709" customFormat="false" ht="14.25" hidden="false" customHeight="false" outlineLevel="0" collapsed="false">
      <c r="B2709" s="7" t="n">
        <v>43614</v>
      </c>
      <c r="C2709" s="7" t="n">
        <f aca="false">B2709-WEEKDAY(B2709)+1</f>
        <v>43611</v>
      </c>
      <c r="D2709" s="1" t="e">
        <f aca="false" t="array" ref="D2709:D2709">IF(ISBLANK(_xlfn.xlookup(D$3,daily_items,_xlfn.xlookup($C2709,daily_dates,big_daily_table))),NA(),_xlfn.xlookup(D$3,daily_items,_xlfn.xlookup($C2709,daily_dates,big_daily_table)))</f>
        <v>#NAME?</v>
      </c>
      <c r="E2709" s="1" t="e">
        <f aca="false" t="array" ref="E2709:E2709">IF(ISBLANK(_xlfn.xlookup(E$3,daily_items,_xlfn.xlookup($C2709,daily_dates,big_daily_table))),NA(),_xlfn.xlookup(E$3,daily_items,_xlfn.xlookup($C2709,daily_dates,big_daily_table)))</f>
        <v>#NAME?</v>
      </c>
    </row>
    <row r="2710" customFormat="false" ht="14.25" hidden="false" customHeight="false" outlineLevel="0" collapsed="false">
      <c r="B2710" s="7" t="n">
        <v>43615</v>
      </c>
      <c r="C2710" s="7" t="n">
        <f aca="false">B2710-WEEKDAY(B2710)+1</f>
        <v>43611</v>
      </c>
      <c r="D2710" s="1" t="e">
        <f aca="false" t="array" ref="D2710:D2710">IF(ISBLANK(_xlfn.xlookup(D$3,daily_items,_xlfn.xlookup($C2710,daily_dates,big_daily_table))),NA(),_xlfn.xlookup(D$3,daily_items,_xlfn.xlookup($C2710,daily_dates,big_daily_table)))</f>
        <v>#NAME?</v>
      </c>
      <c r="E2710" s="1" t="e">
        <f aca="false" t="array" ref="E2710:E2710">IF(ISBLANK(_xlfn.xlookup(E$3,daily_items,_xlfn.xlookup($C2710,daily_dates,big_daily_table))),NA(),_xlfn.xlookup(E$3,daily_items,_xlfn.xlookup($C2710,daily_dates,big_daily_table)))</f>
        <v>#NAME?</v>
      </c>
    </row>
    <row r="2711" customFormat="false" ht="14.25" hidden="false" customHeight="false" outlineLevel="0" collapsed="false">
      <c r="B2711" s="7" t="n">
        <v>43616</v>
      </c>
      <c r="C2711" s="7" t="n">
        <f aca="false">B2711-WEEKDAY(B2711)+1</f>
        <v>43611</v>
      </c>
      <c r="D2711" s="1" t="e">
        <f aca="false" t="array" ref="D2711:D2711">IF(ISBLANK(_xlfn.xlookup(D$3,daily_items,_xlfn.xlookup($C2711,daily_dates,big_daily_table))),NA(),_xlfn.xlookup(D$3,daily_items,_xlfn.xlookup($C2711,daily_dates,big_daily_table)))</f>
        <v>#NAME?</v>
      </c>
      <c r="E2711" s="1" t="e">
        <f aca="false" t="array" ref="E2711:E2711">IF(ISBLANK(_xlfn.xlookup(E$3,daily_items,_xlfn.xlookup($C2711,daily_dates,big_daily_table))),NA(),_xlfn.xlookup(E$3,daily_items,_xlfn.xlookup($C2711,daily_dates,big_daily_table)))</f>
        <v>#NAME?</v>
      </c>
    </row>
    <row r="2712" customFormat="false" ht="14.25" hidden="false" customHeight="false" outlineLevel="0" collapsed="false">
      <c r="B2712" s="7" t="n">
        <v>43617</v>
      </c>
      <c r="C2712" s="7" t="n">
        <f aca="false">B2712-WEEKDAY(B2712)+1</f>
        <v>43611</v>
      </c>
      <c r="D2712" s="1" t="e">
        <f aca="false" t="array" ref="D2712:D2712">IF(ISBLANK(_xlfn.xlookup(D$3,daily_items,_xlfn.xlookup($C2712,daily_dates,big_daily_table))),NA(),_xlfn.xlookup(D$3,daily_items,_xlfn.xlookup($C2712,daily_dates,big_daily_table)))</f>
        <v>#NAME?</v>
      </c>
      <c r="E2712" s="1" t="e">
        <f aca="false" t="array" ref="E2712:E2712">IF(ISBLANK(_xlfn.xlookup(E$3,daily_items,_xlfn.xlookup($C2712,daily_dates,big_daily_table))),NA(),_xlfn.xlookup(E$3,daily_items,_xlfn.xlookup($C2712,daily_dates,big_daily_table)))</f>
        <v>#NAME?</v>
      </c>
    </row>
    <row r="2713" customFormat="false" ht="14.25" hidden="false" customHeight="false" outlineLevel="0" collapsed="false">
      <c r="B2713" s="7" t="n">
        <v>43618</v>
      </c>
      <c r="C2713" s="7" t="n">
        <f aca="false">B2713-WEEKDAY(B2713)+1</f>
        <v>43618</v>
      </c>
      <c r="D2713" s="1" t="e">
        <f aca="false" t="array" ref="D2713:D2713">IF(ISBLANK(_xlfn.xlookup(D$3,daily_items,_xlfn.xlookup($C2713,daily_dates,big_daily_table))),NA(),_xlfn.xlookup(D$3,daily_items,_xlfn.xlookup($C2713,daily_dates,big_daily_table)))</f>
        <v>#NAME?</v>
      </c>
      <c r="E2713" s="1" t="e">
        <f aca="false" t="array" ref="E2713:E2713">IF(ISBLANK(_xlfn.xlookup(E$3,daily_items,_xlfn.xlookup($C2713,daily_dates,big_daily_table))),NA(),_xlfn.xlookup(E$3,daily_items,_xlfn.xlookup($C2713,daily_dates,big_daily_table)))</f>
        <v>#NAME?</v>
      </c>
    </row>
    <row r="2714" customFormat="false" ht="14.25" hidden="false" customHeight="false" outlineLevel="0" collapsed="false">
      <c r="B2714" s="7" t="n">
        <v>43619</v>
      </c>
      <c r="C2714" s="7" t="n">
        <f aca="false">B2714-WEEKDAY(B2714)+1</f>
        <v>43618</v>
      </c>
      <c r="D2714" s="1" t="e">
        <f aca="false" t="array" ref="D2714:D2714">IF(ISBLANK(_xlfn.xlookup(D$3,daily_items,_xlfn.xlookup($C2714,daily_dates,big_daily_table))),NA(),_xlfn.xlookup(D$3,daily_items,_xlfn.xlookup($C2714,daily_dates,big_daily_table)))</f>
        <v>#NAME?</v>
      </c>
      <c r="E2714" s="1" t="e">
        <f aca="false" t="array" ref="E2714:E2714">IF(ISBLANK(_xlfn.xlookup(E$3,daily_items,_xlfn.xlookup($C2714,daily_dates,big_daily_table))),NA(),_xlfn.xlookup(E$3,daily_items,_xlfn.xlookup($C2714,daily_dates,big_daily_table)))</f>
        <v>#NAME?</v>
      </c>
    </row>
    <row r="2715" customFormat="false" ht="14.25" hidden="false" customHeight="false" outlineLevel="0" collapsed="false">
      <c r="B2715" s="7" t="n">
        <v>43620</v>
      </c>
      <c r="C2715" s="7" t="n">
        <f aca="false">B2715-WEEKDAY(B2715)+1</f>
        <v>43618</v>
      </c>
      <c r="D2715" s="1" t="e">
        <f aca="false" t="array" ref="D2715:D2715">IF(ISBLANK(_xlfn.xlookup(D$3,daily_items,_xlfn.xlookup($C2715,daily_dates,big_daily_table))),NA(),_xlfn.xlookup(D$3,daily_items,_xlfn.xlookup($C2715,daily_dates,big_daily_table)))</f>
        <v>#NAME?</v>
      </c>
      <c r="E2715" s="1" t="e">
        <f aca="false" t="array" ref="E2715:E2715">IF(ISBLANK(_xlfn.xlookup(E$3,daily_items,_xlfn.xlookup($C2715,daily_dates,big_daily_table))),NA(),_xlfn.xlookup(E$3,daily_items,_xlfn.xlookup($C2715,daily_dates,big_daily_table)))</f>
        <v>#NAME?</v>
      </c>
    </row>
    <row r="2716" customFormat="false" ht="14.25" hidden="false" customHeight="false" outlineLevel="0" collapsed="false">
      <c r="B2716" s="7" t="n">
        <v>43621</v>
      </c>
      <c r="C2716" s="7" t="n">
        <f aca="false">B2716-WEEKDAY(B2716)+1</f>
        <v>43618</v>
      </c>
      <c r="D2716" s="1" t="e">
        <f aca="false" t="array" ref="D2716:D2716">IF(ISBLANK(_xlfn.xlookup(D$3,daily_items,_xlfn.xlookup($C2716,daily_dates,big_daily_table))),NA(),_xlfn.xlookup(D$3,daily_items,_xlfn.xlookup($C2716,daily_dates,big_daily_table)))</f>
        <v>#NAME?</v>
      </c>
      <c r="E2716" s="1" t="e">
        <f aca="false" t="array" ref="E2716:E2716">IF(ISBLANK(_xlfn.xlookup(E$3,daily_items,_xlfn.xlookup($C2716,daily_dates,big_daily_table))),NA(),_xlfn.xlookup(E$3,daily_items,_xlfn.xlookup($C2716,daily_dates,big_daily_table)))</f>
        <v>#NAME?</v>
      </c>
    </row>
    <row r="2717" customFormat="false" ht="14.25" hidden="false" customHeight="false" outlineLevel="0" collapsed="false">
      <c r="B2717" s="7" t="n">
        <v>43622</v>
      </c>
      <c r="C2717" s="7" t="n">
        <f aca="false">B2717-WEEKDAY(B2717)+1</f>
        <v>43618</v>
      </c>
      <c r="D2717" s="1" t="e">
        <f aca="false" t="array" ref="D2717:D2717">IF(ISBLANK(_xlfn.xlookup(D$3,daily_items,_xlfn.xlookup($C2717,daily_dates,big_daily_table))),NA(),_xlfn.xlookup(D$3,daily_items,_xlfn.xlookup($C2717,daily_dates,big_daily_table)))</f>
        <v>#NAME?</v>
      </c>
      <c r="E2717" s="1" t="e">
        <f aca="false" t="array" ref="E2717:E2717">IF(ISBLANK(_xlfn.xlookup(E$3,daily_items,_xlfn.xlookup($C2717,daily_dates,big_daily_table))),NA(),_xlfn.xlookup(E$3,daily_items,_xlfn.xlookup($C2717,daily_dates,big_daily_table)))</f>
        <v>#NAME?</v>
      </c>
    </row>
    <row r="2718" customFormat="false" ht="14.25" hidden="false" customHeight="false" outlineLevel="0" collapsed="false">
      <c r="B2718" s="7" t="n">
        <v>43623</v>
      </c>
      <c r="C2718" s="7" t="n">
        <f aca="false">B2718-WEEKDAY(B2718)+1</f>
        <v>43618</v>
      </c>
      <c r="D2718" s="1" t="e">
        <f aca="false" t="array" ref="D2718:D2718">IF(ISBLANK(_xlfn.xlookup(D$3,daily_items,_xlfn.xlookup($C2718,daily_dates,big_daily_table))),NA(),_xlfn.xlookup(D$3,daily_items,_xlfn.xlookup($C2718,daily_dates,big_daily_table)))</f>
        <v>#NAME?</v>
      </c>
      <c r="E2718" s="1" t="e">
        <f aca="false" t="array" ref="E2718:E2718">IF(ISBLANK(_xlfn.xlookup(E$3,daily_items,_xlfn.xlookup($C2718,daily_dates,big_daily_table))),NA(),_xlfn.xlookup(E$3,daily_items,_xlfn.xlookup($C2718,daily_dates,big_daily_table)))</f>
        <v>#NAME?</v>
      </c>
    </row>
    <row r="2719" customFormat="false" ht="14.25" hidden="false" customHeight="false" outlineLevel="0" collapsed="false">
      <c r="B2719" s="7" t="n">
        <v>43624</v>
      </c>
      <c r="C2719" s="7" t="n">
        <f aca="false">B2719-WEEKDAY(B2719)+1</f>
        <v>43618</v>
      </c>
      <c r="D2719" s="1" t="e">
        <f aca="false" t="array" ref="D2719:D2719">IF(ISBLANK(_xlfn.xlookup(D$3,daily_items,_xlfn.xlookup($C2719,daily_dates,big_daily_table))),NA(),_xlfn.xlookup(D$3,daily_items,_xlfn.xlookup($C2719,daily_dates,big_daily_table)))</f>
        <v>#NAME?</v>
      </c>
      <c r="E2719" s="1" t="e">
        <f aca="false" t="array" ref="E2719:E2719">IF(ISBLANK(_xlfn.xlookup(E$3,daily_items,_xlfn.xlookup($C2719,daily_dates,big_daily_table))),NA(),_xlfn.xlookup(E$3,daily_items,_xlfn.xlookup($C2719,daily_dates,big_daily_table)))</f>
        <v>#NAME?</v>
      </c>
    </row>
    <row r="2720" customFormat="false" ht="14.25" hidden="false" customHeight="false" outlineLevel="0" collapsed="false">
      <c r="B2720" s="7" t="n">
        <v>43625</v>
      </c>
      <c r="C2720" s="7" t="n">
        <f aca="false">B2720-WEEKDAY(B2720)+1</f>
        <v>43625</v>
      </c>
      <c r="D2720" s="1" t="e">
        <f aca="false" t="array" ref="D2720:D2720">IF(ISBLANK(_xlfn.xlookup(D$3,daily_items,_xlfn.xlookup($C2720,daily_dates,big_daily_table))),NA(),_xlfn.xlookup(D$3,daily_items,_xlfn.xlookup($C2720,daily_dates,big_daily_table)))</f>
        <v>#NAME?</v>
      </c>
      <c r="E2720" s="1" t="e">
        <f aca="false" t="array" ref="E2720:E2720">IF(ISBLANK(_xlfn.xlookup(E$3,daily_items,_xlfn.xlookup($C2720,daily_dates,big_daily_table))),NA(),_xlfn.xlookup(E$3,daily_items,_xlfn.xlookup($C2720,daily_dates,big_daily_table)))</f>
        <v>#NAME?</v>
      </c>
    </row>
    <row r="2721" customFormat="false" ht="14.25" hidden="false" customHeight="false" outlineLevel="0" collapsed="false">
      <c r="B2721" s="7" t="n">
        <v>43626</v>
      </c>
      <c r="C2721" s="7" t="n">
        <f aca="false">B2721-WEEKDAY(B2721)+1</f>
        <v>43625</v>
      </c>
      <c r="D2721" s="1" t="e">
        <f aca="false" t="array" ref="D2721:D2721">IF(ISBLANK(_xlfn.xlookup(D$3,daily_items,_xlfn.xlookup($C2721,daily_dates,big_daily_table))),NA(),_xlfn.xlookup(D$3,daily_items,_xlfn.xlookup($C2721,daily_dates,big_daily_table)))</f>
        <v>#NAME?</v>
      </c>
      <c r="E2721" s="1" t="e">
        <f aca="false" t="array" ref="E2721:E2721">IF(ISBLANK(_xlfn.xlookup(E$3,daily_items,_xlfn.xlookup($C2721,daily_dates,big_daily_table))),NA(),_xlfn.xlookup(E$3,daily_items,_xlfn.xlookup($C2721,daily_dates,big_daily_table)))</f>
        <v>#NAME?</v>
      </c>
    </row>
    <row r="2722" customFormat="false" ht="14.25" hidden="false" customHeight="false" outlineLevel="0" collapsed="false">
      <c r="B2722" s="7" t="n">
        <v>43627</v>
      </c>
      <c r="C2722" s="7" t="n">
        <f aca="false">B2722-WEEKDAY(B2722)+1</f>
        <v>43625</v>
      </c>
      <c r="D2722" s="1" t="e">
        <f aca="false" t="array" ref="D2722:D2722">IF(ISBLANK(_xlfn.xlookup(D$3,daily_items,_xlfn.xlookup($C2722,daily_dates,big_daily_table))),NA(),_xlfn.xlookup(D$3,daily_items,_xlfn.xlookup($C2722,daily_dates,big_daily_table)))</f>
        <v>#NAME?</v>
      </c>
      <c r="E2722" s="1" t="e">
        <f aca="false" t="array" ref="E2722:E2722">IF(ISBLANK(_xlfn.xlookup(E$3,daily_items,_xlfn.xlookup($C2722,daily_dates,big_daily_table))),NA(),_xlfn.xlookup(E$3,daily_items,_xlfn.xlookup($C2722,daily_dates,big_daily_table)))</f>
        <v>#NAME?</v>
      </c>
    </row>
    <row r="2723" customFormat="false" ht="14.25" hidden="false" customHeight="false" outlineLevel="0" collapsed="false">
      <c r="B2723" s="7" t="n">
        <v>43628</v>
      </c>
      <c r="C2723" s="7" t="n">
        <f aca="false">B2723-WEEKDAY(B2723)+1</f>
        <v>43625</v>
      </c>
      <c r="D2723" s="1" t="e">
        <f aca="false" t="array" ref="D2723:D2723">IF(ISBLANK(_xlfn.xlookup(D$3,daily_items,_xlfn.xlookup($C2723,daily_dates,big_daily_table))),NA(),_xlfn.xlookup(D$3,daily_items,_xlfn.xlookup($C2723,daily_dates,big_daily_table)))</f>
        <v>#NAME?</v>
      </c>
      <c r="E2723" s="1" t="e">
        <f aca="false" t="array" ref="E2723:E2723">IF(ISBLANK(_xlfn.xlookup(E$3,daily_items,_xlfn.xlookup($C2723,daily_dates,big_daily_table))),NA(),_xlfn.xlookup(E$3,daily_items,_xlfn.xlookup($C2723,daily_dates,big_daily_table)))</f>
        <v>#NAME?</v>
      </c>
    </row>
    <row r="2724" customFormat="false" ht="14.25" hidden="false" customHeight="false" outlineLevel="0" collapsed="false">
      <c r="B2724" s="7" t="n">
        <v>43629</v>
      </c>
      <c r="C2724" s="7" t="n">
        <f aca="false">B2724-WEEKDAY(B2724)+1</f>
        <v>43625</v>
      </c>
      <c r="D2724" s="1" t="e">
        <f aca="false" t="array" ref="D2724:D2724">IF(ISBLANK(_xlfn.xlookup(D$3,daily_items,_xlfn.xlookup($C2724,daily_dates,big_daily_table))),NA(),_xlfn.xlookup(D$3,daily_items,_xlfn.xlookup($C2724,daily_dates,big_daily_table)))</f>
        <v>#NAME?</v>
      </c>
      <c r="E2724" s="1" t="e">
        <f aca="false" t="array" ref="E2724:E2724">IF(ISBLANK(_xlfn.xlookup(E$3,daily_items,_xlfn.xlookup($C2724,daily_dates,big_daily_table))),NA(),_xlfn.xlookup(E$3,daily_items,_xlfn.xlookup($C2724,daily_dates,big_daily_table)))</f>
        <v>#NAME?</v>
      </c>
    </row>
    <row r="2725" customFormat="false" ht="14.25" hidden="false" customHeight="false" outlineLevel="0" collapsed="false">
      <c r="B2725" s="7" t="n">
        <v>43630</v>
      </c>
      <c r="C2725" s="7" t="n">
        <f aca="false">B2725-WEEKDAY(B2725)+1</f>
        <v>43625</v>
      </c>
      <c r="D2725" s="1" t="e">
        <f aca="false" t="array" ref="D2725:D2725">IF(ISBLANK(_xlfn.xlookup(D$3,daily_items,_xlfn.xlookup($C2725,daily_dates,big_daily_table))),NA(),_xlfn.xlookup(D$3,daily_items,_xlfn.xlookup($C2725,daily_dates,big_daily_table)))</f>
        <v>#NAME?</v>
      </c>
      <c r="E2725" s="1" t="e">
        <f aca="false" t="array" ref="E2725:E2725">IF(ISBLANK(_xlfn.xlookup(E$3,daily_items,_xlfn.xlookup($C2725,daily_dates,big_daily_table))),NA(),_xlfn.xlookup(E$3,daily_items,_xlfn.xlookup($C2725,daily_dates,big_daily_table)))</f>
        <v>#NAME?</v>
      </c>
    </row>
    <row r="2726" customFormat="false" ht="14.25" hidden="false" customHeight="false" outlineLevel="0" collapsed="false">
      <c r="B2726" s="7" t="n">
        <v>43631</v>
      </c>
      <c r="C2726" s="7" t="n">
        <f aca="false">B2726-WEEKDAY(B2726)+1</f>
        <v>43625</v>
      </c>
      <c r="D2726" s="1" t="e">
        <f aca="false" t="array" ref="D2726:D2726">IF(ISBLANK(_xlfn.xlookup(D$3,daily_items,_xlfn.xlookup($C2726,daily_dates,big_daily_table))),NA(),_xlfn.xlookup(D$3,daily_items,_xlfn.xlookup($C2726,daily_dates,big_daily_table)))</f>
        <v>#NAME?</v>
      </c>
      <c r="E2726" s="1" t="e">
        <f aca="false" t="array" ref="E2726:E2726">IF(ISBLANK(_xlfn.xlookup(E$3,daily_items,_xlfn.xlookup($C2726,daily_dates,big_daily_table))),NA(),_xlfn.xlookup(E$3,daily_items,_xlfn.xlookup($C2726,daily_dates,big_daily_table)))</f>
        <v>#NAME?</v>
      </c>
    </row>
    <row r="2727" customFormat="false" ht="14.25" hidden="false" customHeight="false" outlineLevel="0" collapsed="false">
      <c r="B2727" s="7" t="n">
        <v>43632</v>
      </c>
      <c r="C2727" s="7" t="n">
        <f aca="false">B2727-WEEKDAY(B2727)+1</f>
        <v>43632</v>
      </c>
      <c r="D2727" s="1" t="e">
        <f aca="false" t="array" ref="D2727:D2727">IF(ISBLANK(_xlfn.xlookup(D$3,daily_items,_xlfn.xlookup($C2727,daily_dates,big_daily_table))),NA(),_xlfn.xlookup(D$3,daily_items,_xlfn.xlookup($C2727,daily_dates,big_daily_table)))</f>
        <v>#NAME?</v>
      </c>
      <c r="E2727" s="1" t="e">
        <f aca="false" t="array" ref="E2727:E2727">IF(ISBLANK(_xlfn.xlookup(E$3,daily_items,_xlfn.xlookup($C2727,daily_dates,big_daily_table))),NA(),_xlfn.xlookup(E$3,daily_items,_xlfn.xlookup($C2727,daily_dates,big_daily_table)))</f>
        <v>#NAME?</v>
      </c>
    </row>
    <row r="2728" customFormat="false" ht="14.25" hidden="false" customHeight="false" outlineLevel="0" collapsed="false">
      <c r="B2728" s="7" t="n">
        <v>43633</v>
      </c>
      <c r="C2728" s="7" t="n">
        <f aca="false">B2728-WEEKDAY(B2728)+1</f>
        <v>43632</v>
      </c>
      <c r="D2728" s="1" t="e">
        <f aca="false" t="array" ref="D2728:D2728">IF(ISBLANK(_xlfn.xlookup(D$3,daily_items,_xlfn.xlookup($C2728,daily_dates,big_daily_table))),NA(),_xlfn.xlookup(D$3,daily_items,_xlfn.xlookup($C2728,daily_dates,big_daily_table)))</f>
        <v>#NAME?</v>
      </c>
      <c r="E2728" s="1" t="e">
        <f aca="false" t="array" ref="E2728:E2728">IF(ISBLANK(_xlfn.xlookup(E$3,daily_items,_xlfn.xlookup($C2728,daily_dates,big_daily_table))),NA(),_xlfn.xlookup(E$3,daily_items,_xlfn.xlookup($C2728,daily_dates,big_daily_table)))</f>
        <v>#NAME?</v>
      </c>
    </row>
    <row r="2729" customFormat="false" ht="14.25" hidden="false" customHeight="false" outlineLevel="0" collapsed="false">
      <c r="B2729" s="7" t="n">
        <v>43634</v>
      </c>
      <c r="C2729" s="7" t="n">
        <f aca="false">B2729-WEEKDAY(B2729)+1</f>
        <v>43632</v>
      </c>
      <c r="D2729" s="1" t="e">
        <f aca="false" t="array" ref="D2729:D2729">IF(ISBLANK(_xlfn.xlookup(D$3,daily_items,_xlfn.xlookup($C2729,daily_dates,big_daily_table))),NA(),_xlfn.xlookup(D$3,daily_items,_xlfn.xlookup($C2729,daily_dates,big_daily_table)))</f>
        <v>#NAME?</v>
      </c>
      <c r="E2729" s="1" t="e">
        <f aca="false" t="array" ref="E2729:E2729">IF(ISBLANK(_xlfn.xlookup(E$3,daily_items,_xlfn.xlookup($C2729,daily_dates,big_daily_table))),NA(),_xlfn.xlookup(E$3,daily_items,_xlfn.xlookup($C2729,daily_dates,big_daily_table)))</f>
        <v>#NAME?</v>
      </c>
    </row>
    <row r="2730" customFormat="false" ht="14.25" hidden="false" customHeight="false" outlineLevel="0" collapsed="false">
      <c r="B2730" s="7" t="n">
        <v>43635</v>
      </c>
      <c r="C2730" s="7" t="n">
        <f aca="false">B2730-WEEKDAY(B2730)+1</f>
        <v>43632</v>
      </c>
      <c r="D2730" s="1" t="e">
        <f aca="false" t="array" ref="D2730:D2730">IF(ISBLANK(_xlfn.xlookup(D$3,daily_items,_xlfn.xlookup($C2730,daily_dates,big_daily_table))),NA(),_xlfn.xlookup(D$3,daily_items,_xlfn.xlookup($C2730,daily_dates,big_daily_table)))</f>
        <v>#NAME?</v>
      </c>
      <c r="E2730" s="1" t="e">
        <f aca="false" t="array" ref="E2730:E2730">IF(ISBLANK(_xlfn.xlookup(E$3,daily_items,_xlfn.xlookup($C2730,daily_dates,big_daily_table))),NA(),_xlfn.xlookup(E$3,daily_items,_xlfn.xlookup($C2730,daily_dates,big_daily_table)))</f>
        <v>#NAME?</v>
      </c>
    </row>
    <row r="2731" customFormat="false" ht="14.25" hidden="false" customHeight="false" outlineLevel="0" collapsed="false">
      <c r="B2731" s="7" t="n">
        <v>43636</v>
      </c>
      <c r="C2731" s="7" t="n">
        <f aca="false">B2731-WEEKDAY(B2731)+1</f>
        <v>43632</v>
      </c>
      <c r="D2731" s="1" t="e">
        <f aca="false" t="array" ref="D2731:D2731">IF(ISBLANK(_xlfn.xlookup(D$3,daily_items,_xlfn.xlookup($C2731,daily_dates,big_daily_table))),NA(),_xlfn.xlookup(D$3,daily_items,_xlfn.xlookup($C2731,daily_dates,big_daily_table)))</f>
        <v>#NAME?</v>
      </c>
      <c r="E2731" s="1" t="e">
        <f aca="false" t="array" ref="E2731:E2731">IF(ISBLANK(_xlfn.xlookup(E$3,daily_items,_xlfn.xlookup($C2731,daily_dates,big_daily_table))),NA(),_xlfn.xlookup(E$3,daily_items,_xlfn.xlookup($C2731,daily_dates,big_daily_table)))</f>
        <v>#NAME?</v>
      </c>
    </row>
    <row r="2732" customFormat="false" ht="14.25" hidden="false" customHeight="false" outlineLevel="0" collapsed="false">
      <c r="B2732" s="7" t="n">
        <v>43637</v>
      </c>
      <c r="C2732" s="7" t="n">
        <f aca="false">B2732-WEEKDAY(B2732)+1</f>
        <v>43632</v>
      </c>
      <c r="D2732" s="1" t="e">
        <f aca="false" t="array" ref="D2732:D2732">IF(ISBLANK(_xlfn.xlookup(D$3,daily_items,_xlfn.xlookup($C2732,daily_dates,big_daily_table))),NA(),_xlfn.xlookup(D$3,daily_items,_xlfn.xlookup($C2732,daily_dates,big_daily_table)))</f>
        <v>#NAME?</v>
      </c>
      <c r="E2732" s="1" t="e">
        <f aca="false" t="array" ref="E2732:E2732">IF(ISBLANK(_xlfn.xlookup(E$3,daily_items,_xlfn.xlookup($C2732,daily_dates,big_daily_table))),NA(),_xlfn.xlookup(E$3,daily_items,_xlfn.xlookup($C2732,daily_dates,big_daily_table)))</f>
        <v>#NAME?</v>
      </c>
    </row>
    <row r="2733" customFormat="false" ht="14.25" hidden="false" customHeight="false" outlineLevel="0" collapsed="false">
      <c r="B2733" s="7" t="n">
        <v>43638</v>
      </c>
      <c r="C2733" s="7" t="n">
        <f aca="false">B2733-WEEKDAY(B2733)+1</f>
        <v>43632</v>
      </c>
      <c r="D2733" s="1" t="e">
        <f aca="false" t="array" ref="D2733:D2733">IF(ISBLANK(_xlfn.xlookup(D$3,daily_items,_xlfn.xlookup($C2733,daily_dates,big_daily_table))),NA(),_xlfn.xlookup(D$3,daily_items,_xlfn.xlookup($C2733,daily_dates,big_daily_table)))</f>
        <v>#NAME?</v>
      </c>
      <c r="E2733" s="1" t="e">
        <f aca="false" t="array" ref="E2733:E2733">IF(ISBLANK(_xlfn.xlookup(E$3,daily_items,_xlfn.xlookup($C2733,daily_dates,big_daily_table))),NA(),_xlfn.xlookup(E$3,daily_items,_xlfn.xlookup($C2733,daily_dates,big_daily_table)))</f>
        <v>#NAME?</v>
      </c>
    </row>
    <row r="2734" customFormat="false" ht="14.25" hidden="false" customHeight="false" outlineLevel="0" collapsed="false">
      <c r="B2734" s="7" t="n">
        <v>43639</v>
      </c>
      <c r="C2734" s="7" t="n">
        <f aca="false">B2734-WEEKDAY(B2734)+1</f>
        <v>43639</v>
      </c>
      <c r="D2734" s="1" t="e">
        <f aca="false" t="array" ref="D2734:D2734">IF(ISBLANK(_xlfn.xlookup(D$3,daily_items,_xlfn.xlookup($C2734,daily_dates,big_daily_table))),NA(),_xlfn.xlookup(D$3,daily_items,_xlfn.xlookup($C2734,daily_dates,big_daily_table)))</f>
        <v>#NAME?</v>
      </c>
      <c r="E2734" s="1" t="e">
        <f aca="false" t="array" ref="E2734:E2734">IF(ISBLANK(_xlfn.xlookup(E$3,daily_items,_xlfn.xlookup($C2734,daily_dates,big_daily_table))),NA(),_xlfn.xlookup(E$3,daily_items,_xlfn.xlookup($C2734,daily_dates,big_daily_table)))</f>
        <v>#NAME?</v>
      </c>
    </row>
    <row r="2735" customFormat="false" ht="14.25" hidden="false" customHeight="false" outlineLevel="0" collapsed="false">
      <c r="B2735" s="7" t="n">
        <v>43640</v>
      </c>
      <c r="C2735" s="7" t="n">
        <f aca="false">B2735-WEEKDAY(B2735)+1</f>
        <v>43639</v>
      </c>
      <c r="D2735" s="1" t="e">
        <f aca="false" t="array" ref="D2735:D2735">IF(ISBLANK(_xlfn.xlookup(D$3,daily_items,_xlfn.xlookup($C2735,daily_dates,big_daily_table))),NA(),_xlfn.xlookup(D$3,daily_items,_xlfn.xlookup($C2735,daily_dates,big_daily_table)))</f>
        <v>#NAME?</v>
      </c>
      <c r="E2735" s="1" t="e">
        <f aca="false" t="array" ref="E2735:E2735">IF(ISBLANK(_xlfn.xlookup(E$3,daily_items,_xlfn.xlookup($C2735,daily_dates,big_daily_table))),NA(),_xlfn.xlookup(E$3,daily_items,_xlfn.xlookup($C2735,daily_dates,big_daily_table)))</f>
        <v>#NAME?</v>
      </c>
    </row>
    <row r="2736" customFormat="false" ht="14.25" hidden="false" customHeight="false" outlineLevel="0" collapsed="false">
      <c r="B2736" s="7" t="n">
        <v>43641</v>
      </c>
      <c r="C2736" s="7" t="n">
        <f aca="false">B2736-WEEKDAY(B2736)+1</f>
        <v>43639</v>
      </c>
      <c r="D2736" s="1" t="e">
        <f aca="false" t="array" ref="D2736:D2736">IF(ISBLANK(_xlfn.xlookup(D$3,daily_items,_xlfn.xlookup($C2736,daily_dates,big_daily_table))),NA(),_xlfn.xlookup(D$3,daily_items,_xlfn.xlookup($C2736,daily_dates,big_daily_table)))</f>
        <v>#NAME?</v>
      </c>
      <c r="E2736" s="1" t="e">
        <f aca="false" t="array" ref="E2736:E2736">IF(ISBLANK(_xlfn.xlookup(E$3,daily_items,_xlfn.xlookup($C2736,daily_dates,big_daily_table))),NA(),_xlfn.xlookup(E$3,daily_items,_xlfn.xlookup($C2736,daily_dates,big_daily_table)))</f>
        <v>#NAME?</v>
      </c>
    </row>
    <row r="2737" customFormat="false" ht="14.25" hidden="false" customHeight="false" outlineLevel="0" collapsed="false">
      <c r="B2737" s="7" t="n">
        <v>43642</v>
      </c>
      <c r="C2737" s="7" t="n">
        <f aca="false">B2737-WEEKDAY(B2737)+1</f>
        <v>43639</v>
      </c>
      <c r="D2737" s="1" t="e">
        <f aca="false" t="array" ref="D2737:D2737">IF(ISBLANK(_xlfn.xlookup(D$3,daily_items,_xlfn.xlookup($C2737,daily_dates,big_daily_table))),NA(),_xlfn.xlookup(D$3,daily_items,_xlfn.xlookup($C2737,daily_dates,big_daily_table)))</f>
        <v>#NAME?</v>
      </c>
      <c r="E2737" s="1" t="e">
        <f aca="false" t="array" ref="E2737:E2737">IF(ISBLANK(_xlfn.xlookup(E$3,daily_items,_xlfn.xlookup($C2737,daily_dates,big_daily_table))),NA(),_xlfn.xlookup(E$3,daily_items,_xlfn.xlookup($C2737,daily_dates,big_daily_table)))</f>
        <v>#NAME?</v>
      </c>
    </row>
    <row r="2738" customFormat="false" ht="14.25" hidden="false" customHeight="false" outlineLevel="0" collapsed="false">
      <c r="B2738" s="7" t="n">
        <v>43643</v>
      </c>
      <c r="C2738" s="7" t="n">
        <f aca="false">B2738-WEEKDAY(B2738)+1</f>
        <v>43639</v>
      </c>
      <c r="D2738" s="1" t="e">
        <f aca="false" t="array" ref="D2738:D2738">IF(ISBLANK(_xlfn.xlookup(D$3,daily_items,_xlfn.xlookup($C2738,daily_dates,big_daily_table))),NA(),_xlfn.xlookup(D$3,daily_items,_xlfn.xlookup($C2738,daily_dates,big_daily_table)))</f>
        <v>#NAME?</v>
      </c>
      <c r="E2738" s="1" t="e">
        <f aca="false" t="array" ref="E2738:E2738">IF(ISBLANK(_xlfn.xlookup(E$3,daily_items,_xlfn.xlookup($C2738,daily_dates,big_daily_table))),NA(),_xlfn.xlookup(E$3,daily_items,_xlfn.xlookup($C2738,daily_dates,big_daily_table)))</f>
        <v>#NAME?</v>
      </c>
    </row>
    <row r="2739" customFormat="false" ht="14.25" hidden="false" customHeight="false" outlineLevel="0" collapsed="false">
      <c r="B2739" s="7" t="n">
        <v>43644</v>
      </c>
      <c r="C2739" s="7" t="n">
        <f aca="false">B2739-WEEKDAY(B2739)+1</f>
        <v>43639</v>
      </c>
      <c r="D2739" s="1" t="e">
        <f aca="false" t="array" ref="D2739:D2739">IF(ISBLANK(_xlfn.xlookup(D$3,daily_items,_xlfn.xlookup($C2739,daily_dates,big_daily_table))),NA(),_xlfn.xlookup(D$3,daily_items,_xlfn.xlookup($C2739,daily_dates,big_daily_table)))</f>
        <v>#NAME?</v>
      </c>
      <c r="E2739" s="1" t="e">
        <f aca="false" t="array" ref="E2739:E2739">IF(ISBLANK(_xlfn.xlookup(E$3,daily_items,_xlfn.xlookup($C2739,daily_dates,big_daily_table))),NA(),_xlfn.xlookup(E$3,daily_items,_xlfn.xlookup($C2739,daily_dates,big_daily_table)))</f>
        <v>#NAME?</v>
      </c>
    </row>
    <row r="2740" customFormat="false" ht="14.25" hidden="false" customHeight="false" outlineLevel="0" collapsed="false">
      <c r="B2740" s="7" t="n">
        <v>43645</v>
      </c>
      <c r="C2740" s="7" t="n">
        <f aca="false">B2740-WEEKDAY(B2740)+1</f>
        <v>43639</v>
      </c>
      <c r="D2740" s="1" t="e">
        <f aca="false" t="array" ref="D2740:D2740">IF(ISBLANK(_xlfn.xlookup(D$3,daily_items,_xlfn.xlookup($C2740,daily_dates,big_daily_table))),NA(),_xlfn.xlookup(D$3,daily_items,_xlfn.xlookup($C2740,daily_dates,big_daily_table)))</f>
        <v>#NAME?</v>
      </c>
      <c r="E2740" s="1" t="e">
        <f aca="false" t="array" ref="E2740:E2740">IF(ISBLANK(_xlfn.xlookup(E$3,daily_items,_xlfn.xlookup($C2740,daily_dates,big_daily_table))),NA(),_xlfn.xlookup(E$3,daily_items,_xlfn.xlookup($C2740,daily_dates,big_daily_table)))</f>
        <v>#NAME?</v>
      </c>
    </row>
    <row r="2741" customFormat="false" ht="14.25" hidden="false" customHeight="false" outlineLevel="0" collapsed="false">
      <c r="B2741" s="7" t="n">
        <v>43646</v>
      </c>
      <c r="C2741" s="7" t="n">
        <f aca="false">B2741-WEEKDAY(B2741)+1</f>
        <v>43646</v>
      </c>
      <c r="D2741" s="1" t="e">
        <f aca="false" t="array" ref="D2741:D2741">IF(ISBLANK(_xlfn.xlookup(D$3,daily_items,_xlfn.xlookup($C2741,daily_dates,big_daily_table))),NA(),_xlfn.xlookup(D$3,daily_items,_xlfn.xlookup($C2741,daily_dates,big_daily_table)))</f>
        <v>#NAME?</v>
      </c>
      <c r="E2741" s="1" t="e">
        <f aca="false" t="array" ref="E2741:E2741">IF(ISBLANK(_xlfn.xlookup(E$3,daily_items,_xlfn.xlookup($C2741,daily_dates,big_daily_table))),NA(),_xlfn.xlookup(E$3,daily_items,_xlfn.xlookup($C2741,daily_dates,big_daily_table)))</f>
        <v>#NAME?</v>
      </c>
    </row>
    <row r="2742" customFormat="false" ht="14.25" hidden="false" customHeight="false" outlineLevel="0" collapsed="false">
      <c r="B2742" s="7" t="n">
        <v>43647</v>
      </c>
      <c r="C2742" s="7" t="n">
        <f aca="false">B2742-WEEKDAY(B2742)+1</f>
        <v>43646</v>
      </c>
      <c r="D2742" s="1" t="e">
        <f aca="false" t="array" ref="D2742:D2742">IF(ISBLANK(_xlfn.xlookup(D$3,daily_items,_xlfn.xlookup($C2742,daily_dates,big_daily_table))),NA(),_xlfn.xlookup(D$3,daily_items,_xlfn.xlookup($C2742,daily_dates,big_daily_table)))</f>
        <v>#NAME?</v>
      </c>
      <c r="E2742" s="1" t="e">
        <f aca="false" t="array" ref="E2742:E2742">IF(ISBLANK(_xlfn.xlookup(E$3,daily_items,_xlfn.xlookup($C2742,daily_dates,big_daily_table))),NA(),_xlfn.xlookup(E$3,daily_items,_xlfn.xlookup($C2742,daily_dates,big_daily_table)))</f>
        <v>#NAME?</v>
      </c>
    </row>
    <row r="2743" customFormat="false" ht="14.25" hidden="false" customHeight="false" outlineLevel="0" collapsed="false">
      <c r="B2743" s="7" t="n">
        <v>43648</v>
      </c>
      <c r="C2743" s="7" t="n">
        <f aca="false">B2743-WEEKDAY(B2743)+1</f>
        <v>43646</v>
      </c>
      <c r="D2743" s="1" t="e">
        <f aca="false" t="array" ref="D2743:D2743">IF(ISBLANK(_xlfn.xlookup(D$3,daily_items,_xlfn.xlookup($C2743,daily_dates,big_daily_table))),NA(),_xlfn.xlookup(D$3,daily_items,_xlfn.xlookup($C2743,daily_dates,big_daily_table)))</f>
        <v>#NAME?</v>
      </c>
      <c r="E2743" s="1" t="e">
        <f aca="false" t="array" ref="E2743:E2743">IF(ISBLANK(_xlfn.xlookup(E$3,daily_items,_xlfn.xlookup($C2743,daily_dates,big_daily_table))),NA(),_xlfn.xlookup(E$3,daily_items,_xlfn.xlookup($C2743,daily_dates,big_daily_table)))</f>
        <v>#NAME?</v>
      </c>
    </row>
    <row r="2744" customFormat="false" ht="14.25" hidden="false" customHeight="false" outlineLevel="0" collapsed="false">
      <c r="B2744" s="7" t="n">
        <v>43649</v>
      </c>
      <c r="C2744" s="7" t="n">
        <f aca="false">B2744-WEEKDAY(B2744)+1</f>
        <v>43646</v>
      </c>
      <c r="D2744" s="1" t="e">
        <f aca="false" t="array" ref="D2744:D2744">IF(ISBLANK(_xlfn.xlookup(D$3,daily_items,_xlfn.xlookup($C2744,daily_dates,big_daily_table))),NA(),_xlfn.xlookup(D$3,daily_items,_xlfn.xlookup($C2744,daily_dates,big_daily_table)))</f>
        <v>#NAME?</v>
      </c>
      <c r="E2744" s="1" t="e">
        <f aca="false" t="array" ref="E2744:E2744">IF(ISBLANK(_xlfn.xlookup(E$3,daily_items,_xlfn.xlookup($C2744,daily_dates,big_daily_table))),NA(),_xlfn.xlookup(E$3,daily_items,_xlfn.xlookup($C2744,daily_dates,big_daily_table)))</f>
        <v>#NAME?</v>
      </c>
    </row>
    <row r="2745" customFormat="false" ht="14.25" hidden="false" customHeight="false" outlineLevel="0" collapsed="false">
      <c r="B2745" s="7" t="n">
        <v>43650</v>
      </c>
      <c r="C2745" s="7" t="n">
        <f aca="false">B2745-WEEKDAY(B2745)+1</f>
        <v>43646</v>
      </c>
      <c r="D2745" s="1" t="e">
        <f aca="false" t="array" ref="D2745:D2745">IF(ISBLANK(_xlfn.xlookup(D$3,daily_items,_xlfn.xlookup($C2745,daily_dates,big_daily_table))),NA(),_xlfn.xlookup(D$3,daily_items,_xlfn.xlookup($C2745,daily_dates,big_daily_table)))</f>
        <v>#NAME?</v>
      </c>
      <c r="E2745" s="1" t="e">
        <f aca="false" t="array" ref="E2745:E2745">IF(ISBLANK(_xlfn.xlookup(E$3,daily_items,_xlfn.xlookup($C2745,daily_dates,big_daily_table))),NA(),_xlfn.xlookup(E$3,daily_items,_xlfn.xlookup($C2745,daily_dates,big_daily_table)))</f>
        <v>#NAME?</v>
      </c>
    </row>
    <row r="2746" customFormat="false" ht="14.25" hidden="false" customHeight="false" outlineLevel="0" collapsed="false">
      <c r="B2746" s="7" t="n">
        <v>43651</v>
      </c>
      <c r="C2746" s="7" t="n">
        <f aca="false">B2746-WEEKDAY(B2746)+1</f>
        <v>43646</v>
      </c>
      <c r="D2746" s="1" t="e">
        <f aca="false" t="array" ref="D2746:D2746">IF(ISBLANK(_xlfn.xlookup(D$3,daily_items,_xlfn.xlookup($C2746,daily_dates,big_daily_table))),NA(),_xlfn.xlookup(D$3,daily_items,_xlfn.xlookup($C2746,daily_dates,big_daily_table)))</f>
        <v>#NAME?</v>
      </c>
      <c r="E2746" s="1" t="e">
        <f aca="false" t="array" ref="E2746:E2746">IF(ISBLANK(_xlfn.xlookup(E$3,daily_items,_xlfn.xlookup($C2746,daily_dates,big_daily_table))),NA(),_xlfn.xlookup(E$3,daily_items,_xlfn.xlookup($C2746,daily_dates,big_daily_table)))</f>
        <v>#NAME?</v>
      </c>
    </row>
    <row r="2747" customFormat="false" ht="14.25" hidden="false" customHeight="false" outlineLevel="0" collapsed="false">
      <c r="B2747" s="7" t="n">
        <v>43652</v>
      </c>
      <c r="C2747" s="7" t="n">
        <f aca="false">B2747-WEEKDAY(B2747)+1</f>
        <v>43646</v>
      </c>
      <c r="D2747" s="1" t="e">
        <f aca="false" t="array" ref="D2747:D2747">IF(ISBLANK(_xlfn.xlookup(D$3,daily_items,_xlfn.xlookup($C2747,daily_dates,big_daily_table))),NA(),_xlfn.xlookup(D$3,daily_items,_xlfn.xlookup($C2747,daily_dates,big_daily_table)))</f>
        <v>#NAME?</v>
      </c>
      <c r="E2747" s="1" t="e">
        <f aca="false" t="array" ref="E2747:E2747">IF(ISBLANK(_xlfn.xlookup(E$3,daily_items,_xlfn.xlookup($C2747,daily_dates,big_daily_table))),NA(),_xlfn.xlookup(E$3,daily_items,_xlfn.xlookup($C2747,daily_dates,big_daily_table)))</f>
        <v>#NAME?</v>
      </c>
    </row>
    <row r="2748" customFormat="false" ht="14.25" hidden="false" customHeight="false" outlineLevel="0" collapsed="false">
      <c r="B2748" s="7" t="n">
        <v>43653</v>
      </c>
      <c r="C2748" s="7" t="n">
        <f aca="false">B2748-WEEKDAY(B2748)+1</f>
        <v>43653</v>
      </c>
      <c r="D2748" s="1" t="e">
        <f aca="false" t="array" ref="D2748:D2748">IF(ISBLANK(_xlfn.xlookup(D$3,daily_items,_xlfn.xlookup($C2748,daily_dates,big_daily_table))),NA(),_xlfn.xlookup(D$3,daily_items,_xlfn.xlookup($C2748,daily_dates,big_daily_table)))</f>
        <v>#NAME?</v>
      </c>
      <c r="E2748" s="1" t="e">
        <f aca="false" t="array" ref="E2748:E2748">IF(ISBLANK(_xlfn.xlookup(E$3,daily_items,_xlfn.xlookup($C2748,daily_dates,big_daily_table))),NA(),_xlfn.xlookup(E$3,daily_items,_xlfn.xlookup($C2748,daily_dates,big_daily_table)))</f>
        <v>#NAME?</v>
      </c>
    </row>
    <row r="2749" customFormat="false" ht="14.25" hidden="false" customHeight="false" outlineLevel="0" collapsed="false">
      <c r="B2749" s="7" t="n">
        <v>43654</v>
      </c>
      <c r="C2749" s="7" t="n">
        <f aca="false">B2749-WEEKDAY(B2749)+1</f>
        <v>43653</v>
      </c>
      <c r="D2749" s="1" t="e">
        <f aca="false" t="array" ref="D2749:D2749">IF(ISBLANK(_xlfn.xlookup(D$3,daily_items,_xlfn.xlookup($C2749,daily_dates,big_daily_table))),NA(),_xlfn.xlookup(D$3,daily_items,_xlfn.xlookup($C2749,daily_dates,big_daily_table)))</f>
        <v>#NAME?</v>
      </c>
      <c r="E2749" s="1" t="e">
        <f aca="false" t="array" ref="E2749:E2749">IF(ISBLANK(_xlfn.xlookup(E$3,daily_items,_xlfn.xlookup($C2749,daily_dates,big_daily_table))),NA(),_xlfn.xlookup(E$3,daily_items,_xlfn.xlookup($C2749,daily_dates,big_daily_table)))</f>
        <v>#NAME?</v>
      </c>
    </row>
    <row r="2750" customFormat="false" ht="14.25" hidden="false" customHeight="false" outlineLevel="0" collapsed="false">
      <c r="B2750" s="7" t="n">
        <v>43655</v>
      </c>
      <c r="C2750" s="7" t="n">
        <f aca="false">B2750-WEEKDAY(B2750)+1</f>
        <v>43653</v>
      </c>
      <c r="D2750" s="1" t="e">
        <f aca="false" t="array" ref="D2750:D2750">IF(ISBLANK(_xlfn.xlookup(D$3,daily_items,_xlfn.xlookup($C2750,daily_dates,big_daily_table))),NA(),_xlfn.xlookup(D$3,daily_items,_xlfn.xlookup($C2750,daily_dates,big_daily_table)))</f>
        <v>#NAME?</v>
      </c>
      <c r="E2750" s="1" t="e">
        <f aca="false" t="array" ref="E2750:E2750">IF(ISBLANK(_xlfn.xlookup(E$3,daily_items,_xlfn.xlookup($C2750,daily_dates,big_daily_table))),NA(),_xlfn.xlookup(E$3,daily_items,_xlfn.xlookup($C2750,daily_dates,big_daily_table)))</f>
        <v>#NAME?</v>
      </c>
    </row>
    <row r="2751" customFormat="false" ht="14.25" hidden="false" customHeight="false" outlineLevel="0" collapsed="false">
      <c r="B2751" s="7" t="n">
        <v>43656</v>
      </c>
      <c r="C2751" s="7" t="n">
        <f aca="false">B2751-WEEKDAY(B2751)+1</f>
        <v>43653</v>
      </c>
      <c r="D2751" s="1" t="e">
        <f aca="false" t="array" ref="D2751:D2751">IF(ISBLANK(_xlfn.xlookup(D$3,daily_items,_xlfn.xlookup($C2751,daily_dates,big_daily_table))),NA(),_xlfn.xlookup(D$3,daily_items,_xlfn.xlookup($C2751,daily_dates,big_daily_table)))</f>
        <v>#NAME?</v>
      </c>
      <c r="E2751" s="1" t="e">
        <f aca="false" t="array" ref="E2751:E2751">IF(ISBLANK(_xlfn.xlookup(E$3,daily_items,_xlfn.xlookup($C2751,daily_dates,big_daily_table))),NA(),_xlfn.xlookup(E$3,daily_items,_xlfn.xlookup($C2751,daily_dates,big_daily_table)))</f>
        <v>#NAME?</v>
      </c>
    </row>
    <row r="2752" customFormat="false" ht="14.25" hidden="false" customHeight="false" outlineLevel="0" collapsed="false">
      <c r="B2752" s="7" t="n">
        <v>43657</v>
      </c>
      <c r="C2752" s="7" t="n">
        <f aca="false">B2752-WEEKDAY(B2752)+1</f>
        <v>43653</v>
      </c>
      <c r="D2752" s="1" t="e">
        <f aca="false" t="array" ref="D2752:D2752">IF(ISBLANK(_xlfn.xlookup(D$3,daily_items,_xlfn.xlookup($C2752,daily_dates,big_daily_table))),NA(),_xlfn.xlookup(D$3,daily_items,_xlfn.xlookup($C2752,daily_dates,big_daily_table)))</f>
        <v>#NAME?</v>
      </c>
      <c r="E2752" s="1" t="e">
        <f aca="false" t="array" ref="E2752:E2752">IF(ISBLANK(_xlfn.xlookup(E$3,daily_items,_xlfn.xlookup($C2752,daily_dates,big_daily_table))),NA(),_xlfn.xlookup(E$3,daily_items,_xlfn.xlookup($C2752,daily_dates,big_daily_table)))</f>
        <v>#NAME?</v>
      </c>
    </row>
    <row r="2753" customFormat="false" ht="14.25" hidden="false" customHeight="false" outlineLevel="0" collapsed="false">
      <c r="B2753" s="7" t="n">
        <v>43658</v>
      </c>
      <c r="C2753" s="7" t="n">
        <f aca="false">B2753-WEEKDAY(B2753)+1</f>
        <v>43653</v>
      </c>
      <c r="D2753" s="1" t="e">
        <f aca="false" t="array" ref="D2753:D2753">IF(ISBLANK(_xlfn.xlookup(D$3,daily_items,_xlfn.xlookup($C2753,daily_dates,big_daily_table))),NA(),_xlfn.xlookup(D$3,daily_items,_xlfn.xlookup($C2753,daily_dates,big_daily_table)))</f>
        <v>#NAME?</v>
      </c>
      <c r="E2753" s="1" t="e">
        <f aca="false" t="array" ref="E2753:E2753">IF(ISBLANK(_xlfn.xlookup(E$3,daily_items,_xlfn.xlookup($C2753,daily_dates,big_daily_table))),NA(),_xlfn.xlookup(E$3,daily_items,_xlfn.xlookup($C2753,daily_dates,big_daily_table)))</f>
        <v>#NAME?</v>
      </c>
    </row>
    <row r="2754" customFormat="false" ht="14.25" hidden="false" customHeight="false" outlineLevel="0" collapsed="false">
      <c r="B2754" s="7" t="n">
        <v>43659</v>
      </c>
      <c r="C2754" s="7" t="n">
        <f aca="false">B2754-WEEKDAY(B2754)+1</f>
        <v>43653</v>
      </c>
      <c r="D2754" s="1" t="e">
        <f aca="false" t="array" ref="D2754:D2754">IF(ISBLANK(_xlfn.xlookup(D$3,daily_items,_xlfn.xlookup($C2754,daily_dates,big_daily_table))),NA(),_xlfn.xlookup(D$3,daily_items,_xlfn.xlookup($C2754,daily_dates,big_daily_table)))</f>
        <v>#NAME?</v>
      </c>
      <c r="E2754" s="1" t="e">
        <f aca="false" t="array" ref="E2754:E2754">IF(ISBLANK(_xlfn.xlookup(E$3,daily_items,_xlfn.xlookup($C2754,daily_dates,big_daily_table))),NA(),_xlfn.xlookup(E$3,daily_items,_xlfn.xlookup($C2754,daily_dates,big_daily_table)))</f>
        <v>#NAME?</v>
      </c>
    </row>
    <row r="2755" customFormat="false" ht="14.25" hidden="false" customHeight="false" outlineLevel="0" collapsed="false">
      <c r="B2755" s="7" t="n">
        <v>43660</v>
      </c>
      <c r="C2755" s="7" t="n">
        <f aca="false">B2755-WEEKDAY(B2755)+1</f>
        <v>43660</v>
      </c>
      <c r="D2755" s="1" t="e">
        <f aca="false" t="array" ref="D2755:D2755">IF(ISBLANK(_xlfn.xlookup(D$3,daily_items,_xlfn.xlookup($C2755,daily_dates,big_daily_table))),NA(),_xlfn.xlookup(D$3,daily_items,_xlfn.xlookup($C2755,daily_dates,big_daily_table)))</f>
        <v>#NAME?</v>
      </c>
      <c r="E2755" s="1" t="e">
        <f aca="false" t="array" ref="E2755:E2755">IF(ISBLANK(_xlfn.xlookup(E$3,daily_items,_xlfn.xlookup($C2755,daily_dates,big_daily_table))),NA(),_xlfn.xlookup(E$3,daily_items,_xlfn.xlookup($C2755,daily_dates,big_daily_table)))</f>
        <v>#NAME?</v>
      </c>
    </row>
    <row r="2756" customFormat="false" ht="14.25" hidden="false" customHeight="false" outlineLevel="0" collapsed="false">
      <c r="B2756" s="7" t="n">
        <v>43661</v>
      </c>
      <c r="C2756" s="7" t="n">
        <f aca="false">B2756-WEEKDAY(B2756)+1</f>
        <v>43660</v>
      </c>
      <c r="D2756" s="1" t="e">
        <f aca="false" t="array" ref="D2756:D2756">IF(ISBLANK(_xlfn.xlookup(D$3,daily_items,_xlfn.xlookup($C2756,daily_dates,big_daily_table))),NA(),_xlfn.xlookup(D$3,daily_items,_xlfn.xlookup($C2756,daily_dates,big_daily_table)))</f>
        <v>#NAME?</v>
      </c>
      <c r="E2756" s="1" t="e">
        <f aca="false" t="array" ref="E2756:E2756">IF(ISBLANK(_xlfn.xlookup(E$3,daily_items,_xlfn.xlookup($C2756,daily_dates,big_daily_table))),NA(),_xlfn.xlookup(E$3,daily_items,_xlfn.xlookup($C2756,daily_dates,big_daily_table)))</f>
        <v>#NAME?</v>
      </c>
    </row>
    <row r="2757" customFormat="false" ht="14.25" hidden="false" customHeight="false" outlineLevel="0" collapsed="false">
      <c r="B2757" s="7" t="n">
        <v>43662</v>
      </c>
      <c r="C2757" s="7" t="n">
        <f aca="false">B2757-WEEKDAY(B2757)+1</f>
        <v>43660</v>
      </c>
      <c r="D2757" s="1" t="e">
        <f aca="false" t="array" ref="D2757:D2757">IF(ISBLANK(_xlfn.xlookup(D$3,daily_items,_xlfn.xlookup($C2757,daily_dates,big_daily_table))),NA(),_xlfn.xlookup(D$3,daily_items,_xlfn.xlookup($C2757,daily_dates,big_daily_table)))</f>
        <v>#NAME?</v>
      </c>
      <c r="E2757" s="1" t="e">
        <f aca="false" t="array" ref="E2757:E2757">IF(ISBLANK(_xlfn.xlookup(E$3,daily_items,_xlfn.xlookup($C2757,daily_dates,big_daily_table))),NA(),_xlfn.xlookup(E$3,daily_items,_xlfn.xlookup($C2757,daily_dates,big_daily_table)))</f>
        <v>#NAME?</v>
      </c>
    </row>
    <row r="2758" customFormat="false" ht="14.25" hidden="false" customHeight="false" outlineLevel="0" collapsed="false">
      <c r="B2758" s="7" t="n">
        <v>43663</v>
      </c>
      <c r="C2758" s="7" t="n">
        <f aca="false">B2758-WEEKDAY(B2758)+1</f>
        <v>43660</v>
      </c>
      <c r="D2758" s="1" t="e">
        <f aca="false" t="array" ref="D2758:D2758">IF(ISBLANK(_xlfn.xlookup(D$3,daily_items,_xlfn.xlookup($C2758,daily_dates,big_daily_table))),NA(),_xlfn.xlookup(D$3,daily_items,_xlfn.xlookup($C2758,daily_dates,big_daily_table)))</f>
        <v>#NAME?</v>
      </c>
      <c r="E2758" s="1" t="e">
        <f aca="false" t="array" ref="E2758:E2758">IF(ISBLANK(_xlfn.xlookup(E$3,daily_items,_xlfn.xlookup($C2758,daily_dates,big_daily_table))),NA(),_xlfn.xlookup(E$3,daily_items,_xlfn.xlookup($C2758,daily_dates,big_daily_table)))</f>
        <v>#NAME?</v>
      </c>
    </row>
    <row r="2759" customFormat="false" ht="14.25" hidden="false" customHeight="false" outlineLevel="0" collapsed="false">
      <c r="B2759" s="7" t="n">
        <v>43664</v>
      </c>
      <c r="C2759" s="7" t="n">
        <f aca="false">B2759-WEEKDAY(B2759)+1</f>
        <v>43660</v>
      </c>
      <c r="D2759" s="1" t="e">
        <f aca="false" t="array" ref="D2759:D2759">IF(ISBLANK(_xlfn.xlookup(D$3,daily_items,_xlfn.xlookup($C2759,daily_dates,big_daily_table))),NA(),_xlfn.xlookup(D$3,daily_items,_xlfn.xlookup($C2759,daily_dates,big_daily_table)))</f>
        <v>#NAME?</v>
      </c>
      <c r="E2759" s="1" t="e">
        <f aca="false" t="array" ref="E2759:E2759">IF(ISBLANK(_xlfn.xlookup(E$3,daily_items,_xlfn.xlookup($C2759,daily_dates,big_daily_table))),NA(),_xlfn.xlookup(E$3,daily_items,_xlfn.xlookup($C2759,daily_dates,big_daily_table)))</f>
        <v>#NAME?</v>
      </c>
    </row>
    <row r="2760" customFormat="false" ht="14.25" hidden="false" customHeight="false" outlineLevel="0" collapsed="false">
      <c r="B2760" s="7" t="n">
        <v>43665</v>
      </c>
      <c r="C2760" s="7" t="n">
        <f aca="false">B2760-WEEKDAY(B2760)+1</f>
        <v>43660</v>
      </c>
      <c r="D2760" s="1" t="e">
        <f aca="false" t="array" ref="D2760:D2760">IF(ISBLANK(_xlfn.xlookup(D$3,daily_items,_xlfn.xlookup($C2760,daily_dates,big_daily_table))),NA(),_xlfn.xlookup(D$3,daily_items,_xlfn.xlookup($C2760,daily_dates,big_daily_table)))</f>
        <v>#NAME?</v>
      </c>
      <c r="E2760" s="1" t="e">
        <f aca="false" t="array" ref="E2760:E2760">IF(ISBLANK(_xlfn.xlookup(E$3,daily_items,_xlfn.xlookup($C2760,daily_dates,big_daily_table))),NA(),_xlfn.xlookup(E$3,daily_items,_xlfn.xlookup($C2760,daily_dates,big_daily_table)))</f>
        <v>#NAME?</v>
      </c>
    </row>
    <row r="2761" customFormat="false" ht="14.25" hidden="false" customHeight="false" outlineLevel="0" collapsed="false">
      <c r="B2761" s="7" t="n">
        <v>43666</v>
      </c>
      <c r="C2761" s="7" t="n">
        <f aca="false">B2761-WEEKDAY(B2761)+1</f>
        <v>43660</v>
      </c>
      <c r="D2761" s="1" t="e">
        <f aca="false" t="array" ref="D2761:D2761">IF(ISBLANK(_xlfn.xlookup(D$3,daily_items,_xlfn.xlookup($C2761,daily_dates,big_daily_table))),NA(),_xlfn.xlookup(D$3,daily_items,_xlfn.xlookup($C2761,daily_dates,big_daily_table)))</f>
        <v>#NAME?</v>
      </c>
      <c r="E2761" s="1" t="e">
        <f aca="false" t="array" ref="E2761:E2761">IF(ISBLANK(_xlfn.xlookup(E$3,daily_items,_xlfn.xlookup($C2761,daily_dates,big_daily_table))),NA(),_xlfn.xlookup(E$3,daily_items,_xlfn.xlookup($C2761,daily_dates,big_daily_table)))</f>
        <v>#NAME?</v>
      </c>
    </row>
    <row r="2762" customFormat="false" ht="14.25" hidden="false" customHeight="false" outlineLevel="0" collapsed="false">
      <c r="B2762" s="7" t="n">
        <v>43667</v>
      </c>
      <c r="C2762" s="7" t="n">
        <f aca="false">B2762-WEEKDAY(B2762)+1</f>
        <v>43667</v>
      </c>
      <c r="D2762" s="1" t="e">
        <f aca="false" t="array" ref="D2762:D2762">IF(ISBLANK(_xlfn.xlookup(D$3,daily_items,_xlfn.xlookup($C2762,daily_dates,big_daily_table))),NA(),_xlfn.xlookup(D$3,daily_items,_xlfn.xlookup($C2762,daily_dates,big_daily_table)))</f>
        <v>#NAME?</v>
      </c>
      <c r="E2762" s="1" t="e">
        <f aca="false" t="array" ref="E2762:E2762">IF(ISBLANK(_xlfn.xlookup(E$3,daily_items,_xlfn.xlookup($C2762,daily_dates,big_daily_table))),NA(),_xlfn.xlookup(E$3,daily_items,_xlfn.xlookup($C2762,daily_dates,big_daily_table)))</f>
        <v>#NAME?</v>
      </c>
    </row>
    <row r="2763" customFormat="false" ht="14.25" hidden="false" customHeight="false" outlineLevel="0" collapsed="false">
      <c r="B2763" s="7" t="n">
        <v>43668</v>
      </c>
      <c r="C2763" s="7" t="n">
        <f aca="false">B2763-WEEKDAY(B2763)+1</f>
        <v>43667</v>
      </c>
      <c r="D2763" s="1" t="e">
        <f aca="false" t="array" ref="D2763:D2763">IF(ISBLANK(_xlfn.xlookup(D$3,daily_items,_xlfn.xlookup($C2763,daily_dates,big_daily_table))),NA(),_xlfn.xlookup(D$3,daily_items,_xlfn.xlookup($C2763,daily_dates,big_daily_table)))</f>
        <v>#NAME?</v>
      </c>
      <c r="E2763" s="1" t="e">
        <f aca="false" t="array" ref="E2763:E2763">IF(ISBLANK(_xlfn.xlookup(E$3,daily_items,_xlfn.xlookup($C2763,daily_dates,big_daily_table))),NA(),_xlfn.xlookup(E$3,daily_items,_xlfn.xlookup($C2763,daily_dates,big_daily_table)))</f>
        <v>#NAME?</v>
      </c>
    </row>
    <row r="2764" customFormat="false" ht="14.25" hidden="false" customHeight="false" outlineLevel="0" collapsed="false">
      <c r="B2764" s="7" t="n">
        <v>43669</v>
      </c>
      <c r="C2764" s="7" t="n">
        <f aca="false">B2764-WEEKDAY(B2764)+1</f>
        <v>43667</v>
      </c>
      <c r="D2764" s="1" t="e">
        <f aca="false" t="array" ref="D2764:D2764">IF(ISBLANK(_xlfn.xlookup(D$3,daily_items,_xlfn.xlookup($C2764,daily_dates,big_daily_table))),NA(),_xlfn.xlookup(D$3,daily_items,_xlfn.xlookup($C2764,daily_dates,big_daily_table)))</f>
        <v>#NAME?</v>
      </c>
      <c r="E2764" s="1" t="e">
        <f aca="false" t="array" ref="E2764:E2764">IF(ISBLANK(_xlfn.xlookup(E$3,daily_items,_xlfn.xlookup($C2764,daily_dates,big_daily_table))),NA(),_xlfn.xlookup(E$3,daily_items,_xlfn.xlookup($C2764,daily_dates,big_daily_table)))</f>
        <v>#NAME?</v>
      </c>
    </row>
    <row r="2765" customFormat="false" ht="14.25" hidden="false" customHeight="false" outlineLevel="0" collapsed="false">
      <c r="B2765" s="7" t="n">
        <v>43670</v>
      </c>
      <c r="C2765" s="7" t="n">
        <f aca="false">B2765-WEEKDAY(B2765)+1</f>
        <v>43667</v>
      </c>
      <c r="D2765" s="1" t="e">
        <f aca="false" t="array" ref="D2765:D2765">IF(ISBLANK(_xlfn.xlookup(D$3,daily_items,_xlfn.xlookup($C2765,daily_dates,big_daily_table))),NA(),_xlfn.xlookup(D$3,daily_items,_xlfn.xlookup($C2765,daily_dates,big_daily_table)))</f>
        <v>#NAME?</v>
      </c>
      <c r="E2765" s="1" t="e">
        <f aca="false" t="array" ref="E2765:E2765">IF(ISBLANK(_xlfn.xlookup(E$3,daily_items,_xlfn.xlookup($C2765,daily_dates,big_daily_table))),NA(),_xlfn.xlookup(E$3,daily_items,_xlfn.xlookup($C2765,daily_dates,big_daily_table)))</f>
        <v>#NAME?</v>
      </c>
    </row>
    <row r="2766" customFormat="false" ht="14.25" hidden="false" customHeight="false" outlineLevel="0" collapsed="false">
      <c r="B2766" s="7" t="n">
        <v>43671</v>
      </c>
      <c r="C2766" s="7" t="n">
        <f aca="false">B2766-WEEKDAY(B2766)+1</f>
        <v>43667</v>
      </c>
      <c r="D2766" s="1" t="e">
        <f aca="false" t="array" ref="D2766:D2766">IF(ISBLANK(_xlfn.xlookup(D$3,daily_items,_xlfn.xlookup($C2766,daily_dates,big_daily_table))),NA(),_xlfn.xlookup(D$3,daily_items,_xlfn.xlookup($C2766,daily_dates,big_daily_table)))</f>
        <v>#NAME?</v>
      </c>
      <c r="E2766" s="1" t="e">
        <f aca="false" t="array" ref="E2766:E2766">IF(ISBLANK(_xlfn.xlookup(E$3,daily_items,_xlfn.xlookup($C2766,daily_dates,big_daily_table))),NA(),_xlfn.xlookup(E$3,daily_items,_xlfn.xlookup($C2766,daily_dates,big_daily_table)))</f>
        <v>#NAME?</v>
      </c>
    </row>
    <row r="2767" customFormat="false" ht="14.25" hidden="false" customHeight="false" outlineLevel="0" collapsed="false">
      <c r="B2767" s="7" t="n">
        <v>43672</v>
      </c>
      <c r="C2767" s="7" t="n">
        <f aca="false">B2767-WEEKDAY(B2767)+1</f>
        <v>43667</v>
      </c>
      <c r="D2767" s="1" t="e">
        <f aca="false" t="array" ref="D2767:D2767">IF(ISBLANK(_xlfn.xlookup(D$3,daily_items,_xlfn.xlookup($C2767,daily_dates,big_daily_table))),NA(),_xlfn.xlookup(D$3,daily_items,_xlfn.xlookup($C2767,daily_dates,big_daily_table)))</f>
        <v>#NAME?</v>
      </c>
      <c r="E2767" s="1" t="e">
        <f aca="false" t="array" ref="E2767:E2767">IF(ISBLANK(_xlfn.xlookup(E$3,daily_items,_xlfn.xlookup($C2767,daily_dates,big_daily_table))),NA(),_xlfn.xlookup(E$3,daily_items,_xlfn.xlookup($C2767,daily_dates,big_daily_table)))</f>
        <v>#NAME?</v>
      </c>
    </row>
    <row r="2768" customFormat="false" ht="14.25" hidden="false" customHeight="false" outlineLevel="0" collapsed="false">
      <c r="B2768" s="7" t="n">
        <v>43673</v>
      </c>
      <c r="C2768" s="7" t="n">
        <f aca="false">B2768-WEEKDAY(B2768)+1</f>
        <v>43667</v>
      </c>
      <c r="D2768" s="1" t="e">
        <f aca="false" t="array" ref="D2768:D2768">IF(ISBLANK(_xlfn.xlookup(D$3,daily_items,_xlfn.xlookup($C2768,daily_dates,big_daily_table))),NA(),_xlfn.xlookup(D$3,daily_items,_xlfn.xlookup($C2768,daily_dates,big_daily_table)))</f>
        <v>#NAME?</v>
      </c>
      <c r="E2768" s="1" t="e">
        <f aca="false" t="array" ref="E2768:E2768">IF(ISBLANK(_xlfn.xlookup(E$3,daily_items,_xlfn.xlookup($C2768,daily_dates,big_daily_table))),NA(),_xlfn.xlookup(E$3,daily_items,_xlfn.xlookup($C2768,daily_dates,big_daily_table)))</f>
        <v>#NAME?</v>
      </c>
    </row>
    <row r="2769" customFormat="false" ht="14.25" hidden="false" customHeight="false" outlineLevel="0" collapsed="false">
      <c r="B2769" s="7" t="n">
        <v>43674</v>
      </c>
      <c r="C2769" s="7" t="n">
        <f aca="false">B2769-WEEKDAY(B2769)+1</f>
        <v>43674</v>
      </c>
      <c r="D2769" s="1" t="e">
        <f aca="false" t="array" ref="D2769:D2769">IF(ISBLANK(_xlfn.xlookup(D$3,daily_items,_xlfn.xlookup($C2769,daily_dates,big_daily_table))),NA(),_xlfn.xlookup(D$3,daily_items,_xlfn.xlookup($C2769,daily_dates,big_daily_table)))</f>
        <v>#NAME?</v>
      </c>
      <c r="E2769" s="1" t="e">
        <f aca="false" t="array" ref="E2769:E2769">IF(ISBLANK(_xlfn.xlookup(E$3,daily_items,_xlfn.xlookup($C2769,daily_dates,big_daily_table))),NA(),_xlfn.xlookup(E$3,daily_items,_xlfn.xlookup($C2769,daily_dates,big_daily_table)))</f>
        <v>#NAME?</v>
      </c>
    </row>
    <row r="2770" customFormat="false" ht="14.25" hidden="false" customHeight="false" outlineLevel="0" collapsed="false">
      <c r="B2770" s="7" t="n">
        <v>43675</v>
      </c>
      <c r="C2770" s="7" t="n">
        <f aca="false">B2770-WEEKDAY(B2770)+1</f>
        <v>43674</v>
      </c>
      <c r="D2770" s="1" t="e">
        <f aca="false" t="array" ref="D2770:D2770">IF(ISBLANK(_xlfn.xlookup(D$3,daily_items,_xlfn.xlookup($C2770,daily_dates,big_daily_table))),NA(),_xlfn.xlookup(D$3,daily_items,_xlfn.xlookup($C2770,daily_dates,big_daily_table)))</f>
        <v>#NAME?</v>
      </c>
      <c r="E2770" s="1" t="e">
        <f aca="false" t="array" ref="E2770:E2770">IF(ISBLANK(_xlfn.xlookup(E$3,daily_items,_xlfn.xlookup($C2770,daily_dates,big_daily_table))),NA(),_xlfn.xlookup(E$3,daily_items,_xlfn.xlookup($C2770,daily_dates,big_daily_table)))</f>
        <v>#NAME?</v>
      </c>
    </row>
    <row r="2771" customFormat="false" ht="14.25" hidden="false" customHeight="false" outlineLevel="0" collapsed="false">
      <c r="B2771" s="7" t="n">
        <v>43676</v>
      </c>
      <c r="C2771" s="7" t="n">
        <f aca="false">B2771-WEEKDAY(B2771)+1</f>
        <v>43674</v>
      </c>
      <c r="D2771" s="1" t="e">
        <f aca="false" t="array" ref="D2771:D2771">IF(ISBLANK(_xlfn.xlookup(D$3,daily_items,_xlfn.xlookup($C2771,daily_dates,big_daily_table))),NA(),_xlfn.xlookup(D$3,daily_items,_xlfn.xlookup($C2771,daily_dates,big_daily_table)))</f>
        <v>#NAME?</v>
      </c>
      <c r="E2771" s="1" t="e">
        <f aca="false" t="array" ref="E2771:E2771">IF(ISBLANK(_xlfn.xlookup(E$3,daily_items,_xlfn.xlookup($C2771,daily_dates,big_daily_table))),NA(),_xlfn.xlookup(E$3,daily_items,_xlfn.xlookup($C2771,daily_dates,big_daily_table)))</f>
        <v>#NAME?</v>
      </c>
    </row>
    <row r="2772" customFormat="false" ht="14.25" hidden="false" customHeight="false" outlineLevel="0" collapsed="false">
      <c r="B2772" s="7" t="n">
        <v>43677</v>
      </c>
      <c r="C2772" s="7" t="n">
        <f aca="false">B2772-WEEKDAY(B2772)+1</f>
        <v>43674</v>
      </c>
      <c r="D2772" s="1" t="e">
        <f aca="false" t="array" ref="D2772:D2772">IF(ISBLANK(_xlfn.xlookup(D$3,daily_items,_xlfn.xlookup($C2772,daily_dates,big_daily_table))),NA(),_xlfn.xlookup(D$3,daily_items,_xlfn.xlookup($C2772,daily_dates,big_daily_table)))</f>
        <v>#NAME?</v>
      </c>
      <c r="E2772" s="1" t="e">
        <f aca="false" t="array" ref="E2772:E2772">IF(ISBLANK(_xlfn.xlookup(E$3,daily_items,_xlfn.xlookup($C2772,daily_dates,big_daily_table))),NA(),_xlfn.xlookup(E$3,daily_items,_xlfn.xlookup($C2772,daily_dates,big_daily_table)))</f>
        <v>#NAME?</v>
      </c>
    </row>
    <row r="2773" customFormat="false" ht="14.25" hidden="false" customHeight="false" outlineLevel="0" collapsed="false">
      <c r="B2773" s="7" t="n">
        <v>43678</v>
      </c>
      <c r="C2773" s="7" t="n">
        <f aca="false">B2773-WEEKDAY(B2773)+1</f>
        <v>43674</v>
      </c>
      <c r="D2773" s="1" t="e">
        <f aca="false" t="array" ref="D2773:D2773">IF(ISBLANK(_xlfn.xlookup(D$3,daily_items,_xlfn.xlookup($C2773,daily_dates,big_daily_table))),NA(),_xlfn.xlookup(D$3,daily_items,_xlfn.xlookup($C2773,daily_dates,big_daily_table)))</f>
        <v>#NAME?</v>
      </c>
      <c r="E2773" s="1" t="e">
        <f aca="false" t="array" ref="E2773:E2773">IF(ISBLANK(_xlfn.xlookup(E$3,daily_items,_xlfn.xlookup($C2773,daily_dates,big_daily_table))),NA(),_xlfn.xlookup(E$3,daily_items,_xlfn.xlookup($C2773,daily_dates,big_daily_table)))</f>
        <v>#NAME?</v>
      </c>
    </row>
    <row r="2774" customFormat="false" ht="14.25" hidden="false" customHeight="false" outlineLevel="0" collapsed="false">
      <c r="B2774" s="7" t="n">
        <v>43679</v>
      </c>
      <c r="C2774" s="7" t="n">
        <f aca="false">B2774-WEEKDAY(B2774)+1</f>
        <v>43674</v>
      </c>
      <c r="D2774" s="1" t="e">
        <f aca="false" t="array" ref="D2774:D2774">IF(ISBLANK(_xlfn.xlookup(D$3,daily_items,_xlfn.xlookup($C2774,daily_dates,big_daily_table))),NA(),_xlfn.xlookup(D$3,daily_items,_xlfn.xlookup($C2774,daily_dates,big_daily_table)))</f>
        <v>#NAME?</v>
      </c>
      <c r="E2774" s="1" t="e">
        <f aca="false" t="array" ref="E2774:E2774">IF(ISBLANK(_xlfn.xlookup(E$3,daily_items,_xlfn.xlookup($C2774,daily_dates,big_daily_table))),NA(),_xlfn.xlookup(E$3,daily_items,_xlfn.xlookup($C2774,daily_dates,big_daily_table)))</f>
        <v>#NAME?</v>
      </c>
    </row>
    <row r="2775" customFormat="false" ht="14.25" hidden="false" customHeight="false" outlineLevel="0" collapsed="false">
      <c r="B2775" s="7" t="n">
        <v>43680</v>
      </c>
      <c r="C2775" s="7" t="n">
        <f aca="false">B2775-WEEKDAY(B2775)+1</f>
        <v>43674</v>
      </c>
      <c r="D2775" s="1" t="e">
        <f aca="false" t="array" ref="D2775:D2775">IF(ISBLANK(_xlfn.xlookup(D$3,daily_items,_xlfn.xlookup($C2775,daily_dates,big_daily_table))),NA(),_xlfn.xlookup(D$3,daily_items,_xlfn.xlookup($C2775,daily_dates,big_daily_table)))</f>
        <v>#NAME?</v>
      </c>
      <c r="E2775" s="1" t="e">
        <f aca="false" t="array" ref="E2775:E2775">IF(ISBLANK(_xlfn.xlookup(E$3,daily_items,_xlfn.xlookup($C2775,daily_dates,big_daily_table))),NA(),_xlfn.xlookup(E$3,daily_items,_xlfn.xlookup($C2775,daily_dates,big_daily_table)))</f>
        <v>#NAME?</v>
      </c>
    </row>
    <row r="2776" customFormat="false" ht="14.25" hidden="false" customHeight="false" outlineLevel="0" collapsed="false">
      <c r="B2776" s="7" t="n">
        <v>43681</v>
      </c>
      <c r="C2776" s="7" t="n">
        <f aca="false">B2776-WEEKDAY(B2776)+1</f>
        <v>43681</v>
      </c>
      <c r="D2776" s="1" t="e">
        <f aca="false" t="array" ref="D2776:D2776">IF(ISBLANK(_xlfn.xlookup(D$3,daily_items,_xlfn.xlookup($C2776,daily_dates,big_daily_table))),NA(),_xlfn.xlookup(D$3,daily_items,_xlfn.xlookup($C2776,daily_dates,big_daily_table)))</f>
        <v>#NAME?</v>
      </c>
      <c r="E2776" s="1" t="e">
        <f aca="false" t="array" ref="E2776:E2776">IF(ISBLANK(_xlfn.xlookup(E$3,daily_items,_xlfn.xlookup($C2776,daily_dates,big_daily_table))),NA(),_xlfn.xlookup(E$3,daily_items,_xlfn.xlookup($C2776,daily_dates,big_daily_table)))</f>
        <v>#NAME?</v>
      </c>
    </row>
    <row r="2777" customFormat="false" ht="14.25" hidden="false" customHeight="false" outlineLevel="0" collapsed="false">
      <c r="B2777" s="7" t="n">
        <v>43682</v>
      </c>
      <c r="C2777" s="7" t="n">
        <f aca="false">B2777-WEEKDAY(B2777)+1</f>
        <v>43681</v>
      </c>
      <c r="D2777" s="1" t="e">
        <f aca="false" t="array" ref="D2777:D2777">IF(ISBLANK(_xlfn.xlookup(D$3,daily_items,_xlfn.xlookup($C2777,daily_dates,big_daily_table))),NA(),_xlfn.xlookup(D$3,daily_items,_xlfn.xlookup($C2777,daily_dates,big_daily_table)))</f>
        <v>#NAME?</v>
      </c>
      <c r="E2777" s="1" t="e">
        <f aca="false" t="array" ref="E2777:E2777">IF(ISBLANK(_xlfn.xlookup(E$3,daily_items,_xlfn.xlookup($C2777,daily_dates,big_daily_table))),NA(),_xlfn.xlookup(E$3,daily_items,_xlfn.xlookup($C2777,daily_dates,big_daily_table)))</f>
        <v>#NAME?</v>
      </c>
    </row>
    <row r="2778" customFormat="false" ht="14.25" hidden="false" customHeight="false" outlineLevel="0" collapsed="false">
      <c r="B2778" s="7" t="n">
        <v>43683</v>
      </c>
      <c r="C2778" s="7" t="n">
        <f aca="false">B2778-WEEKDAY(B2778)+1</f>
        <v>43681</v>
      </c>
      <c r="D2778" s="1" t="e">
        <f aca="false" t="array" ref="D2778:D2778">IF(ISBLANK(_xlfn.xlookup(D$3,daily_items,_xlfn.xlookup($C2778,daily_dates,big_daily_table))),NA(),_xlfn.xlookup(D$3,daily_items,_xlfn.xlookup($C2778,daily_dates,big_daily_table)))</f>
        <v>#NAME?</v>
      </c>
      <c r="E2778" s="1" t="e">
        <f aca="false" t="array" ref="E2778:E2778">IF(ISBLANK(_xlfn.xlookup(E$3,daily_items,_xlfn.xlookup($C2778,daily_dates,big_daily_table))),NA(),_xlfn.xlookup(E$3,daily_items,_xlfn.xlookup($C2778,daily_dates,big_daily_table)))</f>
        <v>#NAME?</v>
      </c>
    </row>
    <row r="2779" customFormat="false" ht="14.25" hidden="false" customHeight="false" outlineLevel="0" collapsed="false">
      <c r="B2779" s="7" t="n">
        <v>43684</v>
      </c>
      <c r="C2779" s="7" t="n">
        <f aca="false">B2779-WEEKDAY(B2779)+1</f>
        <v>43681</v>
      </c>
      <c r="D2779" s="1" t="e">
        <f aca="false" t="array" ref="D2779:D2779">IF(ISBLANK(_xlfn.xlookup(D$3,daily_items,_xlfn.xlookup($C2779,daily_dates,big_daily_table))),NA(),_xlfn.xlookup(D$3,daily_items,_xlfn.xlookup($C2779,daily_dates,big_daily_table)))</f>
        <v>#NAME?</v>
      </c>
      <c r="E2779" s="1" t="e">
        <f aca="false" t="array" ref="E2779:E2779">IF(ISBLANK(_xlfn.xlookup(E$3,daily_items,_xlfn.xlookup($C2779,daily_dates,big_daily_table))),NA(),_xlfn.xlookup(E$3,daily_items,_xlfn.xlookup($C2779,daily_dates,big_daily_table)))</f>
        <v>#NAME?</v>
      </c>
    </row>
    <row r="2780" customFormat="false" ht="14.25" hidden="false" customHeight="false" outlineLevel="0" collapsed="false">
      <c r="B2780" s="7" t="n">
        <v>43685</v>
      </c>
      <c r="C2780" s="7" t="n">
        <f aca="false">B2780-WEEKDAY(B2780)+1</f>
        <v>43681</v>
      </c>
      <c r="D2780" s="1" t="e">
        <f aca="false" t="array" ref="D2780:D2780">IF(ISBLANK(_xlfn.xlookup(D$3,daily_items,_xlfn.xlookup($C2780,daily_dates,big_daily_table))),NA(),_xlfn.xlookup(D$3,daily_items,_xlfn.xlookup($C2780,daily_dates,big_daily_table)))</f>
        <v>#NAME?</v>
      </c>
      <c r="E2780" s="1" t="e">
        <f aca="false" t="array" ref="E2780:E2780">IF(ISBLANK(_xlfn.xlookup(E$3,daily_items,_xlfn.xlookup($C2780,daily_dates,big_daily_table))),NA(),_xlfn.xlookup(E$3,daily_items,_xlfn.xlookup($C2780,daily_dates,big_daily_table)))</f>
        <v>#NAME?</v>
      </c>
    </row>
    <row r="2781" customFormat="false" ht="14.25" hidden="false" customHeight="false" outlineLevel="0" collapsed="false">
      <c r="B2781" s="7" t="n">
        <v>43686</v>
      </c>
      <c r="C2781" s="7" t="n">
        <f aca="false">B2781-WEEKDAY(B2781)+1</f>
        <v>43681</v>
      </c>
      <c r="D2781" s="1" t="e">
        <f aca="false" t="array" ref="D2781:D2781">IF(ISBLANK(_xlfn.xlookup(D$3,daily_items,_xlfn.xlookup($C2781,daily_dates,big_daily_table))),NA(),_xlfn.xlookup(D$3,daily_items,_xlfn.xlookup($C2781,daily_dates,big_daily_table)))</f>
        <v>#NAME?</v>
      </c>
      <c r="E2781" s="1" t="e">
        <f aca="false" t="array" ref="E2781:E2781">IF(ISBLANK(_xlfn.xlookup(E$3,daily_items,_xlfn.xlookup($C2781,daily_dates,big_daily_table))),NA(),_xlfn.xlookup(E$3,daily_items,_xlfn.xlookup($C2781,daily_dates,big_daily_table)))</f>
        <v>#NAME?</v>
      </c>
    </row>
    <row r="2782" customFormat="false" ht="14.25" hidden="false" customHeight="false" outlineLevel="0" collapsed="false">
      <c r="B2782" s="7" t="n">
        <v>43687</v>
      </c>
      <c r="C2782" s="7" t="n">
        <f aca="false">B2782-WEEKDAY(B2782)+1</f>
        <v>43681</v>
      </c>
      <c r="D2782" s="1" t="e">
        <f aca="false" t="array" ref="D2782:D2782">IF(ISBLANK(_xlfn.xlookup(D$3,daily_items,_xlfn.xlookup($C2782,daily_dates,big_daily_table))),NA(),_xlfn.xlookup(D$3,daily_items,_xlfn.xlookup($C2782,daily_dates,big_daily_table)))</f>
        <v>#NAME?</v>
      </c>
      <c r="E2782" s="1" t="e">
        <f aca="false" t="array" ref="E2782:E2782">IF(ISBLANK(_xlfn.xlookup(E$3,daily_items,_xlfn.xlookup($C2782,daily_dates,big_daily_table))),NA(),_xlfn.xlookup(E$3,daily_items,_xlfn.xlookup($C2782,daily_dates,big_daily_table)))</f>
        <v>#NAME?</v>
      </c>
    </row>
    <row r="2783" customFormat="false" ht="14.25" hidden="false" customHeight="false" outlineLevel="0" collapsed="false">
      <c r="B2783" s="7" t="n">
        <v>43688</v>
      </c>
      <c r="C2783" s="7" t="n">
        <f aca="false">B2783-WEEKDAY(B2783)+1</f>
        <v>43688</v>
      </c>
      <c r="D2783" s="1" t="e">
        <f aca="false" t="array" ref="D2783:D2783">IF(ISBLANK(_xlfn.xlookup(D$3,daily_items,_xlfn.xlookup($C2783,daily_dates,big_daily_table))),NA(),_xlfn.xlookup(D$3,daily_items,_xlfn.xlookup($C2783,daily_dates,big_daily_table)))</f>
        <v>#NAME?</v>
      </c>
      <c r="E2783" s="1" t="e">
        <f aca="false" t="array" ref="E2783:E2783">IF(ISBLANK(_xlfn.xlookup(E$3,daily_items,_xlfn.xlookup($C2783,daily_dates,big_daily_table))),NA(),_xlfn.xlookup(E$3,daily_items,_xlfn.xlookup($C2783,daily_dates,big_daily_table)))</f>
        <v>#NAME?</v>
      </c>
    </row>
    <row r="2784" customFormat="false" ht="14.25" hidden="false" customHeight="false" outlineLevel="0" collapsed="false">
      <c r="B2784" s="7" t="n">
        <v>43689</v>
      </c>
      <c r="C2784" s="7" t="n">
        <f aca="false">B2784-WEEKDAY(B2784)+1</f>
        <v>43688</v>
      </c>
      <c r="D2784" s="1" t="e">
        <f aca="false" t="array" ref="D2784:D2784">IF(ISBLANK(_xlfn.xlookup(D$3,daily_items,_xlfn.xlookup($C2784,daily_dates,big_daily_table))),NA(),_xlfn.xlookup(D$3,daily_items,_xlfn.xlookup($C2784,daily_dates,big_daily_table)))</f>
        <v>#NAME?</v>
      </c>
      <c r="E2784" s="1" t="e">
        <f aca="false" t="array" ref="E2784:E2784">IF(ISBLANK(_xlfn.xlookup(E$3,daily_items,_xlfn.xlookup($C2784,daily_dates,big_daily_table))),NA(),_xlfn.xlookup(E$3,daily_items,_xlfn.xlookup($C2784,daily_dates,big_daily_table)))</f>
        <v>#NAME?</v>
      </c>
    </row>
    <row r="2785" customFormat="false" ht="14.25" hidden="false" customHeight="false" outlineLevel="0" collapsed="false">
      <c r="B2785" s="7" t="n">
        <v>43690</v>
      </c>
      <c r="C2785" s="7" t="n">
        <f aca="false">B2785-WEEKDAY(B2785)+1</f>
        <v>43688</v>
      </c>
      <c r="D2785" s="1" t="e">
        <f aca="false" t="array" ref="D2785:D2785">IF(ISBLANK(_xlfn.xlookup(D$3,daily_items,_xlfn.xlookup($C2785,daily_dates,big_daily_table))),NA(),_xlfn.xlookup(D$3,daily_items,_xlfn.xlookup($C2785,daily_dates,big_daily_table)))</f>
        <v>#NAME?</v>
      </c>
      <c r="E2785" s="1" t="e">
        <f aca="false" t="array" ref="E2785:E2785">IF(ISBLANK(_xlfn.xlookup(E$3,daily_items,_xlfn.xlookup($C2785,daily_dates,big_daily_table))),NA(),_xlfn.xlookup(E$3,daily_items,_xlfn.xlookup($C2785,daily_dates,big_daily_table)))</f>
        <v>#NAME?</v>
      </c>
    </row>
    <row r="2786" customFormat="false" ht="14.25" hidden="false" customHeight="false" outlineLevel="0" collapsed="false">
      <c r="B2786" s="7" t="n">
        <v>43691</v>
      </c>
      <c r="C2786" s="7" t="n">
        <f aca="false">B2786-WEEKDAY(B2786)+1</f>
        <v>43688</v>
      </c>
      <c r="D2786" s="1" t="e">
        <f aca="false" t="array" ref="D2786:D2786">IF(ISBLANK(_xlfn.xlookup(D$3,daily_items,_xlfn.xlookup($C2786,daily_dates,big_daily_table))),NA(),_xlfn.xlookup(D$3,daily_items,_xlfn.xlookup($C2786,daily_dates,big_daily_table)))</f>
        <v>#NAME?</v>
      </c>
      <c r="E2786" s="1" t="e">
        <f aca="false" t="array" ref="E2786:E2786">IF(ISBLANK(_xlfn.xlookup(E$3,daily_items,_xlfn.xlookup($C2786,daily_dates,big_daily_table))),NA(),_xlfn.xlookup(E$3,daily_items,_xlfn.xlookup($C2786,daily_dates,big_daily_table)))</f>
        <v>#NAME?</v>
      </c>
    </row>
    <row r="2787" customFormat="false" ht="14.25" hidden="false" customHeight="false" outlineLevel="0" collapsed="false">
      <c r="B2787" s="7" t="n">
        <v>43692</v>
      </c>
      <c r="C2787" s="7" t="n">
        <f aca="false">B2787-WEEKDAY(B2787)+1</f>
        <v>43688</v>
      </c>
      <c r="D2787" s="1" t="e">
        <f aca="false" t="array" ref="D2787:D2787">IF(ISBLANK(_xlfn.xlookup(D$3,daily_items,_xlfn.xlookup($C2787,daily_dates,big_daily_table))),NA(),_xlfn.xlookup(D$3,daily_items,_xlfn.xlookup($C2787,daily_dates,big_daily_table)))</f>
        <v>#NAME?</v>
      </c>
      <c r="E2787" s="1" t="e">
        <f aca="false" t="array" ref="E2787:E2787">IF(ISBLANK(_xlfn.xlookup(E$3,daily_items,_xlfn.xlookup($C2787,daily_dates,big_daily_table))),NA(),_xlfn.xlookup(E$3,daily_items,_xlfn.xlookup($C2787,daily_dates,big_daily_table)))</f>
        <v>#NAME?</v>
      </c>
    </row>
    <row r="2788" customFormat="false" ht="14.25" hidden="false" customHeight="false" outlineLevel="0" collapsed="false">
      <c r="B2788" s="7" t="n">
        <v>43693</v>
      </c>
      <c r="C2788" s="7" t="n">
        <f aca="false">B2788-WEEKDAY(B2788)+1</f>
        <v>43688</v>
      </c>
      <c r="D2788" s="1" t="e">
        <f aca="false" t="array" ref="D2788:D2788">IF(ISBLANK(_xlfn.xlookup(D$3,daily_items,_xlfn.xlookup($C2788,daily_dates,big_daily_table))),NA(),_xlfn.xlookup(D$3,daily_items,_xlfn.xlookup($C2788,daily_dates,big_daily_table)))</f>
        <v>#NAME?</v>
      </c>
      <c r="E2788" s="1" t="e">
        <f aca="false" t="array" ref="E2788:E2788">IF(ISBLANK(_xlfn.xlookup(E$3,daily_items,_xlfn.xlookup($C2788,daily_dates,big_daily_table))),NA(),_xlfn.xlookup(E$3,daily_items,_xlfn.xlookup($C2788,daily_dates,big_daily_table)))</f>
        <v>#NAME?</v>
      </c>
    </row>
    <row r="2789" customFormat="false" ht="14.25" hidden="false" customHeight="false" outlineLevel="0" collapsed="false">
      <c r="B2789" s="7" t="n">
        <v>43694</v>
      </c>
      <c r="C2789" s="7" t="n">
        <f aca="false">B2789-WEEKDAY(B2789)+1</f>
        <v>43688</v>
      </c>
      <c r="D2789" s="1" t="e">
        <f aca="false" t="array" ref="D2789:D2789">IF(ISBLANK(_xlfn.xlookup(D$3,daily_items,_xlfn.xlookup($C2789,daily_dates,big_daily_table))),NA(),_xlfn.xlookup(D$3,daily_items,_xlfn.xlookup($C2789,daily_dates,big_daily_table)))</f>
        <v>#NAME?</v>
      </c>
      <c r="E2789" s="1" t="e">
        <f aca="false" t="array" ref="E2789:E2789">IF(ISBLANK(_xlfn.xlookup(E$3,daily_items,_xlfn.xlookup($C2789,daily_dates,big_daily_table))),NA(),_xlfn.xlookup(E$3,daily_items,_xlfn.xlookup($C2789,daily_dates,big_daily_table)))</f>
        <v>#NAME?</v>
      </c>
    </row>
    <row r="2790" customFormat="false" ht="14.25" hidden="false" customHeight="false" outlineLevel="0" collapsed="false">
      <c r="B2790" s="7" t="n">
        <v>43695</v>
      </c>
      <c r="C2790" s="7" t="n">
        <f aca="false">B2790-WEEKDAY(B2790)+1</f>
        <v>43695</v>
      </c>
      <c r="D2790" s="1" t="e">
        <f aca="false" t="array" ref="D2790:D2790">IF(ISBLANK(_xlfn.xlookup(D$3,daily_items,_xlfn.xlookup($C2790,daily_dates,big_daily_table))),NA(),_xlfn.xlookup(D$3,daily_items,_xlfn.xlookup($C2790,daily_dates,big_daily_table)))</f>
        <v>#NAME?</v>
      </c>
      <c r="E2790" s="1" t="e">
        <f aca="false" t="array" ref="E2790:E2790">IF(ISBLANK(_xlfn.xlookup(E$3,daily_items,_xlfn.xlookup($C2790,daily_dates,big_daily_table))),NA(),_xlfn.xlookup(E$3,daily_items,_xlfn.xlookup($C2790,daily_dates,big_daily_table)))</f>
        <v>#NAME?</v>
      </c>
    </row>
    <row r="2791" customFormat="false" ht="14.25" hidden="false" customHeight="false" outlineLevel="0" collapsed="false">
      <c r="B2791" s="7" t="n">
        <v>43696</v>
      </c>
      <c r="C2791" s="7" t="n">
        <f aca="false">B2791-WEEKDAY(B2791)+1</f>
        <v>43695</v>
      </c>
      <c r="D2791" s="1" t="e">
        <f aca="false" t="array" ref="D2791:D2791">IF(ISBLANK(_xlfn.xlookup(D$3,daily_items,_xlfn.xlookup($C2791,daily_dates,big_daily_table))),NA(),_xlfn.xlookup(D$3,daily_items,_xlfn.xlookup($C2791,daily_dates,big_daily_table)))</f>
        <v>#NAME?</v>
      </c>
      <c r="E2791" s="1" t="e">
        <f aca="false" t="array" ref="E2791:E2791">IF(ISBLANK(_xlfn.xlookup(E$3,daily_items,_xlfn.xlookup($C2791,daily_dates,big_daily_table))),NA(),_xlfn.xlookup(E$3,daily_items,_xlfn.xlookup($C2791,daily_dates,big_daily_table)))</f>
        <v>#NAME?</v>
      </c>
    </row>
    <row r="2792" customFormat="false" ht="14.25" hidden="false" customHeight="false" outlineLevel="0" collapsed="false">
      <c r="B2792" s="7" t="n">
        <v>43697</v>
      </c>
      <c r="C2792" s="7" t="n">
        <f aca="false">B2792-WEEKDAY(B2792)+1</f>
        <v>43695</v>
      </c>
      <c r="D2792" s="1" t="e">
        <f aca="false" t="array" ref="D2792:D2792">IF(ISBLANK(_xlfn.xlookup(D$3,daily_items,_xlfn.xlookup($C2792,daily_dates,big_daily_table))),NA(),_xlfn.xlookup(D$3,daily_items,_xlfn.xlookup($C2792,daily_dates,big_daily_table)))</f>
        <v>#NAME?</v>
      </c>
      <c r="E2792" s="1" t="e">
        <f aca="false" t="array" ref="E2792:E2792">IF(ISBLANK(_xlfn.xlookup(E$3,daily_items,_xlfn.xlookup($C2792,daily_dates,big_daily_table))),NA(),_xlfn.xlookup(E$3,daily_items,_xlfn.xlookup($C2792,daily_dates,big_daily_table)))</f>
        <v>#NAME?</v>
      </c>
    </row>
    <row r="2793" customFormat="false" ht="14.25" hidden="false" customHeight="false" outlineLevel="0" collapsed="false">
      <c r="B2793" s="7" t="n">
        <v>43698</v>
      </c>
      <c r="C2793" s="7" t="n">
        <f aca="false">B2793-WEEKDAY(B2793)+1</f>
        <v>43695</v>
      </c>
      <c r="D2793" s="1" t="e">
        <f aca="false" t="array" ref="D2793:D2793">IF(ISBLANK(_xlfn.xlookup(D$3,daily_items,_xlfn.xlookup($C2793,daily_dates,big_daily_table))),NA(),_xlfn.xlookup(D$3,daily_items,_xlfn.xlookup($C2793,daily_dates,big_daily_table)))</f>
        <v>#NAME?</v>
      </c>
      <c r="E2793" s="1" t="e">
        <f aca="false" t="array" ref="E2793:E2793">IF(ISBLANK(_xlfn.xlookup(E$3,daily_items,_xlfn.xlookup($C2793,daily_dates,big_daily_table))),NA(),_xlfn.xlookup(E$3,daily_items,_xlfn.xlookup($C2793,daily_dates,big_daily_table)))</f>
        <v>#NAME?</v>
      </c>
    </row>
    <row r="2794" customFormat="false" ht="14.25" hidden="false" customHeight="false" outlineLevel="0" collapsed="false">
      <c r="B2794" s="7" t="n">
        <v>43699</v>
      </c>
      <c r="C2794" s="7" t="n">
        <f aca="false">B2794-WEEKDAY(B2794)+1</f>
        <v>43695</v>
      </c>
      <c r="D2794" s="1" t="e">
        <f aca="false" t="array" ref="D2794:D2794">IF(ISBLANK(_xlfn.xlookup(D$3,daily_items,_xlfn.xlookup($C2794,daily_dates,big_daily_table))),NA(),_xlfn.xlookup(D$3,daily_items,_xlfn.xlookup($C2794,daily_dates,big_daily_table)))</f>
        <v>#NAME?</v>
      </c>
      <c r="E2794" s="1" t="e">
        <f aca="false" t="array" ref="E2794:E2794">IF(ISBLANK(_xlfn.xlookup(E$3,daily_items,_xlfn.xlookup($C2794,daily_dates,big_daily_table))),NA(),_xlfn.xlookup(E$3,daily_items,_xlfn.xlookup($C2794,daily_dates,big_daily_table)))</f>
        <v>#NAME?</v>
      </c>
    </row>
    <row r="2795" customFormat="false" ht="14.25" hidden="false" customHeight="false" outlineLevel="0" collapsed="false">
      <c r="B2795" s="7" t="n">
        <v>43700</v>
      </c>
      <c r="C2795" s="7" t="n">
        <f aca="false">B2795-WEEKDAY(B2795)+1</f>
        <v>43695</v>
      </c>
      <c r="D2795" s="1" t="e">
        <f aca="false" t="array" ref="D2795:D2795">IF(ISBLANK(_xlfn.xlookup(D$3,daily_items,_xlfn.xlookup($C2795,daily_dates,big_daily_table))),NA(),_xlfn.xlookup(D$3,daily_items,_xlfn.xlookup($C2795,daily_dates,big_daily_table)))</f>
        <v>#NAME?</v>
      </c>
      <c r="E2795" s="1" t="e">
        <f aca="false" t="array" ref="E2795:E2795">IF(ISBLANK(_xlfn.xlookup(E$3,daily_items,_xlfn.xlookup($C2795,daily_dates,big_daily_table))),NA(),_xlfn.xlookup(E$3,daily_items,_xlfn.xlookup($C2795,daily_dates,big_daily_table)))</f>
        <v>#NAME?</v>
      </c>
    </row>
    <row r="2796" customFormat="false" ht="14.25" hidden="false" customHeight="false" outlineLevel="0" collapsed="false">
      <c r="B2796" s="7" t="n">
        <v>43701</v>
      </c>
      <c r="C2796" s="7" t="n">
        <f aca="false">B2796-WEEKDAY(B2796)+1</f>
        <v>43695</v>
      </c>
      <c r="D2796" s="1" t="e">
        <f aca="false" t="array" ref="D2796:D2796">IF(ISBLANK(_xlfn.xlookup(D$3,daily_items,_xlfn.xlookup($C2796,daily_dates,big_daily_table))),NA(),_xlfn.xlookup(D$3,daily_items,_xlfn.xlookup($C2796,daily_dates,big_daily_table)))</f>
        <v>#NAME?</v>
      </c>
      <c r="E2796" s="1" t="e">
        <f aca="false" t="array" ref="E2796:E2796">IF(ISBLANK(_xlfn.xlookup(E$3,daily_items,_xlfn.xlookup($C2796,daily_dates,big_daily_table))),NA(),_xlfn.xlookup(E$3,daily_items,_xlfn.xlookup($C2796,daily_dates,big_daily_table)))</f>
        <v>#NAME?</v>
      </c>
    </row>
    <row r="2797" customFormat="false" ht="14.25" hidden="false" customHeight="false" outlineLevel="0" collapsed="false">
      <c r="B2797" s="7" t="n">
        <v>43702</v>
      </c>
      <c r="C2797" s="7" t="n">
        <f aca="false">B2797-WEEKDAY(B2797)+1</f>
        <v>43702</v>
      </c>
      <c r="D2797" s="1" t="e">
        <f aca="false" t="array" ref="D2797:D2797">IF(ISBLANK(_xlfn.xlookup(D$3,daily_items,_xlfn.xlookup($C2797,daily_dates,big_daily_table))),NA(),_xlfn.xlookup(D$3,daily_items,_xlfn.xlookup($C2797,daily_dates,big_daily_table)))</f>
        <v>#NAME?</v>
      </c>
      <c r="E2797" s="1" t="e">
        <f aca="false" t="array" ref="E2797:E2797">IF(ISBLANK(_xlfn.xlookup(E$3,daily_items,_xlfn.xlookup($C2797,daily_dates,big_daily_table))),NA(),_xlfn.xlookup(E$3,daily_items,_xlfn.xlookup($C2797,daily_dates,big_daily_table)))</f>
        <v>#NAME?</v>
      </c>
    </row>
    <row r="2798" customFormat="false" ht="14.25" hidden="false" customHeight="false" outlineLevel="0" collapsed="false">
      <c r="B2798" s="7" t="n">
        <v>43703</v>
      </c>
      <c r="C2798" s="7" t="n">
        <f aca="false">B2798-WEEKDAY(B2798)+1</f>
        <v>43702</v>
      </c>
      <c r="D2798" s="1" t="e">
        <f aca="false" t="array" ref="D2798:D2798">IF(ISBLANK(_xlfn.xlookup(D$3,daily_items,_xlfn.xlookup($C2798,daily_dates,big_daily_table))),NA(),_xlfn.xlookup(D$3,daily_items,_xlfn.xlookup($C2798,daily_dates,big_daily_table)))</f>
        <v>#NAME?</v>
      </c>
      <c r="E2798" s="1" t="e">
        <f aca="false" t="array" ref="E2798:E2798">IF(ISBLANK(_xlfn.xlookup(E$3,daily_items,_xlfn.xlookup($C2798,daily_dates,big_daily_table))),NA(),_xlfn.xlookup(E$3,daily_items,_xlfn.xlookup($C2798,daily_dates,big_daily_table)))</f>
        <v>#NAME?</v>
      </c>
    </row>
    <row r="2799" customFormat="false" ht="14.25" hidden="false" customHeight="false" outlineLevel="0" collapsed="false">
      <c r="B2799" s="7" t="n">
        <v>43704</v>
      </c>
      <c r="C2799" s="7" t="n">
        <f aca="false">B2799-WEEKDAY(B2799)+1</f>
        <v>43702</v>
      </c>
      <c r="D2799" s="1" t="e">
        <f aca="false" t="array" ref="D2799:D2799">IF(ISBLANK(_xlfn.xlookup(D$3,daily_items,_xlfn.xlookup($C2799,daily_dates,big_daily_table))),NA(),_xlfn.xlookup(D$3,daily_items,_xlfn.xlookup($C2799,daily_dates,big_daily_table)))</f>
        <v>#NAME?</v>
      </c>
      <c r="E2799" s="1" t="e">
        <f aca="false" t="array" ref="E2799:E2799">IF(ISBLANK(_xlfn.xlookup(E$3,daily_items,_xlfn.xlookup($C2799,daily_dates,big_daily_table))),NA(),_xlfn.xlookup(E$3,daily_items,_xlfn.xlookup($C2799,daily_dates,big_daily_table)))</f>
        <v>#NAME?</v>
      </c>
    </row>
    <row r="2800" customFormat="false" ht="14.25" hidden="false" customHeight="false" outlineLevel="0" collapsed="false">
      <c r="B2800" s="7" t="n">
        <v>43705</v>
      </c>
      <c r="C2800" s="7" t="n">
        <f aca="false">B2800-WEEKDAY(B2800)+1</f>
        <v>43702</v>
      </c>
      <c r="D2800" s="1" t="e">
        <f aca="false" t="array" ref="D2800:D2800">IF(ISBLANK(_xlfn.xlookup(D$3,daily_items,_xlfn.xlookup($C2800,daily_dates,big_daily_table))),NA(),_xlfn.xlookup(D$3,daily_items,_xlfn.xlookup($C2800,daily_dates,big_daily_table)))</f>
        <v>#NAME?</v>
      </c>
      <c r="E2800" s="1" t="e">
        <f aca="false" t="array" ref="E2800:E2800">IF(ISBLANK(_xlfn.xlookup(E$3,daily_items,_xlfn.xlookup($C2800,daily_dates,big_daily_table))),NA(),_xlfn.xlookup(E$3,daily_items,_xlfn.xlookup($C2800,daily_dates,big_daily_table)))</f>
        <v>#NAME?</v>
      </c>
    </row>
    <row r="2801" customFormat="false" ht="14.25" hidden="false" customHeight="false" outlineLevel="0" collapsed="false">
      <c r="B2801" s="7" t="n">
        <v>43706</v>
      </c>
      <c r="C2801" s="7" t="n">
        <f aca="false">B2801-WEEKDAY(B2801)+1</f>
        <v>43702</v>
      </c>
      <c r="D2801" s="1" t="e">
        <f aca="false" t="array" ref="D2801:D2801">IF(ISBLANK(_xlfn.xlookup(D$3,daily_items,_xlfn.xlookup($C2801,daily_dates,big_daily_table))),NA(),_xlfn.xlookup(D$3,daily_items,_xlfn.xlookup($C2801,daily_dates,big_daily_table)))</f>
        <v>#NAME?</v>
      </c>
      <c r="E2801" s="1" t="e">
        <f aca="false" t="array" ref="E2801:E2801">IF(ISBLANK(_xlfn.xlookup(E$3,daily_items,_xlfn.xlookup($C2801,daily_dates,big_daily_table))),NA(),_xlfn.xlookup(E$3,daily_items,_xlfn.xlookup($C2801,daily_dates,big_daily_table)))</f>
        <v>#NAME?</v>
      </c>
    </row>
    <row r="2802" customFormat="false" ht="14.25" hidden="false" customHeight="false" outlineLevel="0" collapsed="false">
      <c r="B2802" s="7" t="n">
        <v>43707</v>
      </c>
      <c r="C2802" s="7" t="n">
        <f aca="false">B2802-WEEKDAY(B2802)+1</f>
        <v>43702</v>
      </c>
      <c r="D2802" s="1" t="e">
        <f aca="false" t="array" ref="D2802:D2802">IF(ISBLANK(_xlfn.xlookup(D$3,daily_items,_xlfn.xlookup($C2802,daily_dates,big_daily_table))),NA(),_xlfn.xlookup(D$3,daily_items,_xlfn.xlookup($C2802,daily_dates,big_daily_table)))</f>
        <v>#NAME?</v>
      </c>
      <c r="E2802" s="1" t="e">
        <f aca="false" t="array" ref="E2802:E2802">IF(ISBLANK(_xlfn.xlookup(E$3,daily_items,_xlfn.xlookup($C2802,daily_dates,big_daily_table))),NA(),_xlfn.xlookup(E$3,daily_items,_xlfn.xlookup($C2802,daily_dates,big_daily_table)))</f>
        <v>#NAME?</v>
      </c>
    </row>
    <row r="2803" customFormat="false" ht="14.25" hidden="false" customHeight="false" outlineLevel="0" collapsed="false">
      <c r="B2803" s="7" t="n">
        <v>43708</v>
      </c>
      <c r="C2803" s="7" t="n">
        <f aca="false">B2803-WEEKDAY(B2803)+1</f>
        <v>43702</v>
      </c>
      <c r="D2803" s="1" t="e">
        <f aca="false" t="array" ref="D2803:D2803">IF(ISBLANK(_xlfn.xlookup(D$3,daily_items,_xlfn.xlookup($C2803,daily_dates,big_daily_table))),NA(),_xlfn.xlookup(D$3,daily_items,_xlfn.xlookup($C2803,daily_dates,big_daily_table)))</f>
        <v>#NAME?</v>
      </c>
      <c r="E2803" s="1" t="e">
        <f aca="false" t="array" ref="E2803:E2803">IF(ISBLANK(_xlfn.xlookup(E$3,daily_items,_xlfn.xlookup($C2803,daily_dates,big_daily_table))),NA(),_xlfn.xlookup(E$3,daily_items,_xlfn.xlookup($C2803,daily_dates,big_daily_table)))</f>
        <v>#NAME?</v>
      </c>
    </row>
    <row r="2804" customFormat="false" ht="14.25" hidden="false" customHeight="false" outlineLevel="0" collapsed="false">
      <c r="B2804" s="7" t="n">
        <v>43709</v>
      </c>
      <c r="C2804" s="7" t="n">
        <f aca="false">B2804-WEEKDAY(B2804)+1</f>
        <v>43709</v>
      </c>
      <c r="D2804" s="1" t="e">
        <f aca="false" t="array" ref="D2804:D2804">IF(ISBLANK(_xlfn.xlookup(D$3,daily_items,_xlfn.xlookup($C2804,daily_dates,big_daily_table))),NA(),_xlfn.xlookup(D$3,daily_items,_xlfn.xlookup($C2804,daily_dates,big_daily_table)))</f>
        <v>#NAME?</v>
      </c>
      <c r="E2804" s="1" t="e">
        <f aca="false" t="array" ref="E2804:E2804">IF(ISBLANK(_xlfn.xlookup(E$3,daily_items,_xlfn.xlookup($C2804,daily_dates,big_daily_table))),NA(),_xlfn.xlookup(E$3,daily_items,_xlfn.xlookup($C2804,daily_dates,big_daily_table)))</f>
        <v>#NAME?</v>
      </c>
    </row>
    <row r="2805" customFormat="false" ht="14.25" hidden="false" customHeight="false" outlineLevel="0" collapsed="false">
      <c r="B2805" s="7" t="n">
        <v>43710</v>
      </c>
      <c r="C2805" s="7" t="n">
        <f aca="false">B2805-WEEKDAY(B2805)+1</f>
        <v>43709</v>
      </c>
      <c r="D2805" s="1" t="e">
        <f aca="false" t="array" ref="D2805:D2805">IF(ISBLANK(_xlfn.xlookup(D$3,daily_items,_xlfn.xlookup($C2805,daily_dates,big_daily_table))),NA(),_xlfn.xlookup(D$3,daily_items,_xlfn.xlookup($C2805,daily_dates,big_daily_table)))</f>
        <v>#NAME?</v>
      </c>
      <c r="E2805" s="1" t="e">
        <f aca="false" t="array" ref="E2805:E2805">IF(ISBLANK(_xlfn.xlookup(E$3,daily_items,_xlfn.xlookup($C2805,daily_dates,big_daily_table))),NA(),_xlfn.xlookup(E$3,daily_items,_xlfn.xlookup($C2805,daily_dates,big_daily_table)))</f>
        <v>#NAME?</v>
      </c>
    </row>
    <row r="2806" customFormat="false" ht="14.25" hidden="false" customHeight="false" outlineLevel="0" collapsed="false">
      <c r="B2806" s="7" t="n">
        <v>43711</v>
      </c>
      <c r="C2806" s="7" t="n">
        <f aca="false">B2806-WEEKDAY(B2806)+1</f>
        <v>43709</v>
      </c>
      <c r="D2806" s="1" t="e">
        <f aca="false" t="array" ref="D2806:D2806">IF(ISBLANK(_xlfn.xlookup(D$3,daily_items,_xlfn.xlookup($C2806,daily_dates,big_daily_table))),NA(),_xlfn.xlookup(D$3,daily_items,_xlfn.xlookup($C2806,daily_dates,big_daily_table)))</f>
        <v>#NAME?</v>
      </c>
      <c r="E2806" s="1" t="e">
        <f aca="false" t="array" ref="E2806:E2806">IF(ISBLANK(_xlfn.xlookup(E$3,daily_items,_xlfn.xlookup($C2806,daily_dates,big_daily_table))),NA(),_xlfn.xlookup(E$3,daily_items,_xlfn.xlookup($C2806,daily_dates,big_daily_table)))</f>
        <v>#NAME?</v>
      </c>
    </row>
    <row r="2807" customFormat="false" ht="14.25" hidden="false" customHeight="false" outlineLevel="0" collapsed="false">
      <c r="B2807" s="7" t="n">
        <v>43712</v>
      </c>
      <c r="C2807" s="7" t="n">
        <f aca="false">B2807-WEEKDAY(B2807)+1</f>
        <v>43709</v>
      </c>
      <c r="D2807" s="1" t="e">
        <f aca="false" t="array" ref="D2807:D2807">IF(ISBLANK(_xlfn.xlookup(D$3,daily_items,_xlfn.xlookup($C2807,daily_dates,big_daily_table))),NA(),_xlfn.xlookup(D$3,daily_items,_xlfn.xlookup($C2807,daily_dates,big_daily_table)))</f>
        <v>#NAME?</v>
      </c>
      <c r="E2807" s="1" t="e">
        <f aca="false" t="array" ref="E2807:E2807">IF(ISBLANK(_xlfn.xlookup(E$3,daily_items,_xlfn.xlookup($C2807,daily_dates,big_daily_table))),NA(),_xlfn.xlookup(E$3,daily_items,_xlfn.xlookup($C2807,daily_dates,big_daily_table)))</f>
        <v>#NAME?</v>
      </c>
    </row>
    <row r="2808" customFormat="false" ht="14.25" hidden="false" customHeight="false" outlineLevel="0" collapsed="false">
      <c r="B2808" s="7" t="n">
        <v>43713</v>
      </c>
      <c r="C2808" s="7" t="n">
        <f aca="false">B2808-WEEKDAY(B2808)+1</f>
        <v>43709</v>
      </c>
      <c r="D2808" s="1" t="e">
        <f aca="false" t="array" ref="D2808:D2808">IF(ISBLANK(_xlfn.xlookup(D$3,daily_items,_xlfn.xlookup($C2808,daily_dates,big_daily_table))),NA(),_xlfn.xlookup(D$3,daily_items,_xlfn.xlookup($C2808,daily_dates,big_daily_table)))</f>
        <v>#NAME?</v>
      </c>
      <c r="E2808" s="1" t="e">
        <f aca="false" t="array" ref="E2808:E2808">IF(ISBLANK(_xlfn.xlookup(E$3,daily_items,_xlfn.xlookup($C2808,daily_dates,big_daily_table))),NA(),_xlfn.xlookup(E$3,daily_items,_xlfn.xlookup($C2808,daily_dates,big_daily_table)))</f>
        <v>#NAME?</v>
      </c>
    </row>
    <row r="2809" customFormat="false" ht="14.25" hidden="false" customHeight="false" outlineLevel="0" collapsed="false">
      <c r="B2809" s="7" t="n">
        <v>43714</v>
      </c>
      <c r="C2809" s="7" t="n">
        <f aca="false">B2809-WEEKDAY(B2809)+1</f>
        <v>43709</v>
      </c>
      <c r="D2809" s="1" t="e">
        <f aca="false" t="array" ref="D2809:D2809">IF(ISBLANK(_xlfn.xlookup(D$3,daily_items,_xlfn.xlookup($C2809,daily_dates,big_daily_table))),NA(),_xlfn.xlookup(D$3,daily_items,_xlfn.xlookup($C2809,daily_dates,big_daily_table)))</f>
        <v>#NAME?</v>
      </c>
      <c r="E2809" s="1" t="e">
        <f aca="false" t="array" ref="E2809:E2809">IF(ISBLANK(_xlfn.xlookup(E$3,daily_items,_xlfn.xlookup($C2809,daily_dates,big_daily_table))),NA(),_xlfn.xlookup(E$3,daily_items,_xlfn.xlookup($C2809,daily_dates,big_daily_table)))</f>
        <v>#NAME?</v>
      </c>
    </row>
    <row r="2810" customFormat="false" ht="14.25" hidden="false" customHeight="false" outlineLevel="0" collapsed="false">
      <c r="B2810" s="7" t="n">
        <v>43715</v>
      </c>
      <c r="C2810" s="7" t="n">
        <f aca="false">B2810-WEEKDAY(B2810)+1</f>
        <v>43709</v>
      </c>
      <c r="D2810" s="1" t="e">
        <f aca="false" t="array" ref="D2810:D2810">IF(ISBLANK(_xlfn.xlookup(D$3,daily_items,_xlfn.xlookup($C2810,daily_dates,big_daily_table))),NA(),_xlfn.xlookup(D$3,daily_items,_xlfn.xlookup($C2810,daily_dates,big_daily_table)))</f>
        <v>#NAME?</v>
      </c>
      <c r="E2810" s="1" t="e">
        <f aca="false" t="array" ref="E2810:E2810">IF(ISBLANK(_xlfn.xlookup(E$3,daily_items,_xlfn.xlookup($C2810,daily_dates,big_daily_table))),NA(),_xlfn.xlookup(E$3,daily_items,_xlfn.xlookup($C2810,daily_dates,big_daily_table)))</f>
        <v>#NAME?</v>
      </c>
    </row>
    <row r="2811" customFormat="false" ht="14.25" hidden="false" customHeight="false" outlineLevel="0" collapsed="false">
      <c r="B2811" s="7" t="n">
        <v>43716</v>
      </c>
      <c r="C2811" s="7" t="n">
        <f aca="false">B2811-WEEKDAY(B2811)+1</f>
        <v>43716</v>
      </c>
      <c r="D2811" s="1" t="e">
        <f aca="false" t="array" ref="D2811:D2811">IF(ISBLANK(_xlfn.xlookup(D$3,daily_items,_xlfn.xlookup($C2811,daily_dates,big_daily_table))),NA(),_xlfn.xlookup(D$3,daily_items,_xlfn.xlookup($C2811,daily_dates,big_daily_table)))</f>
        <v>#NAME?</v>
      </c>
      <c r="E2811" s="1" t="e">
        <f aca="false" t="array" ref="E2811:E2811">IF(ISBLANK(_xlfn.xlookup(E$3,daily_items,_xlfn.xlookup($C2811,daily_dates,big_daily_table))),NA(),_xlfn.xlookup(E$3,daily_items,_xlfn.xlookup($C2811,daily_dates,big_daily_table)))</f>
        <v>#NAME?</v>
      </c>
    </row>
    <row r="2812" customFormat="false" ht="14.25" hidden="false" customHeight="false" outlineLevel="0" collapsed="false">
      <c r="B2812" s="7" t="n">
        <v>43717</v>
      </c>
      <c r="C2812" s="7" t="n">
        <f aca="false">B2812-WEEKDAY(B2812)+1</f>
        <v>43716</v>
      </c>
      <c r="D2812" s="1" t="e">
        <f aca="false" t="array" ref="D2812:D2812">IF(ISBLANK(_xlfn.xlookup(D$3,daily_items,_xlfn.xlookup($C2812,daily_dates,big_daily_table))),NA(),_xlfn.xlookup(D$3,daily_items,_xlfn.xlookup($C2812,daily_dates,big_daily_table)))</f>
        <v>#NAME?</v>
      </c>
      <c r="E2812" s="1" t="e">
        <f aca="false" t="array" ref="E2812:E2812">IF(ISBLANK(_xlfn.xlookup(E$3,daily_items,_xlfn.xlookup($C2812,daily_dates,big_daily_table))),NA(),_xlfn.xlookup(E$3,daily_items,_xlfn.xlookup($C2812,daily_dates,big_daily_table)))</f>
        <v>#NAME?</v>
      </c>
    </row>
    <row r="2813" customFormat="false" ht="14.25" hidden="false" customHeight="false" outlineLevel="0" collapsed="false">
      <c r="B2813" s="7" t="n">
        <v>43718</v>
      </c>
      <c r="C2813" s="7" t="n">
        <f aca="false">B2813-WEEKDAY(B2813)+1</f>
        <v>43716</v>
      </c>
      <c r="D2813" s="1" t="e">
        <f aca="false" t="array" ref="D2813:D2813">IF(ISBLANK(_xlfn.xlookup(D$3,daily_items,_xlfn.xlookup($C2813,daily_dates,big_daily_table))),NA(),_xlfn.xlookup(D$3,daily_items,_xlfn.xlookup($C2813,daily_dates,big_daily_table)))</f>
        <v>#NAME?</v>
      </c>
      <c r="E2813" s="1" t="e">
        <f aca="false" t="array" ref="E2813:E2813">IF(ISBLANK(_xlfn.xlookup(E$3,daily_items,_xlfn.xlookup($C2813,daily_dates,big_daily_table))),NA(),_xlfn.xlookup(E$3,daily_items,_xlfn.xlookup($C2813,daily_dates,big_daily_table)))</f>
        <v>#NAME?</v>
      </c>
    </row>
    <row r="2814" customFormat="false" ht="14.25" hidden="false" customHeight="false" outlineLevel="0" collapsed="false">
      <c r="B2814" s="7" t="n">
        <v>43719</v>
      </c>
      <c r="C2814" s="7" t="n">
        <f aca="false">B2814-WEEKDAY(B2814)+1</f>
        <v>43716</v>
      </c>
      <c r="D2814" s="1" t="e">
        <f aca="false" t="array" ref="D2814:D2814">IF(ISBLANK(_xlfn.xlookup(D$3,daily_items,_xlfn.xlookup($C2814,daily_dates,big_daily_table))),NA(),_xlfn.xlookup(D$3,daily_items,_xlfn.xlookup($C2814,daily_dates,big_daily_table)))</f>
        <v>#NAME?</v>
      </c>
      <c r="E2814" s="1" t="e">
        <f aca="false" t="array" ref="E2814:E2814">IF(ISBLANK(_xlfn.xlookup(E$3,daily_items,_xlfn.xlookup($C2814,daily_dates,big_daily_table))),NA(),_xlfn.xlookup(E$3,daily_items,_xlfn.xlookup($C2814,daily_dates,big_daily_table)))</f>
        <v>#NAME?</v>
      </c>
    </row>
    <row r="2815" customFormat="false" ht="14.25" hidden="false" customHeight="false" outlineLevel="0" collapsed="false">
      <c r="B2815" s="7" t="n">
        <v>43720</v>
      </c>
      <c r="C2815" s="7" t="n">
        <f aca="false">B2815-WEEKDAY(B2815)+1</f>
        <v>43716</v>
      </c>
      <c r="D2815" s="1" t="e">
        <f aca="false" t="array" ref="D2815:D2815">IF(ISBLANK(_xlfn.xlookup(D$3,daily_items,_xlfn.xlookup($C2815,daily_dates,big_daily_table))),NA(),_xlfn.xlookup(D$3,daily_items,_xlfn.xlookup($C2815,daily_dates,big_daily_table)))</f>
        <v>#NAME?</v>
      </c>
      <c r="E2815" s="1" t="e">
        <f aca="false" t="array" ref="E2815:E2815">IF(ISBLANK(_xlfn.xlookup(E$3,daily_items,_xlfn.xlookup($C2815,daily_dates,big_daily_table))),NA(),_xlfn.xlookup(E$3,daily_items,_xlfn.xlookup($C2815,daily_dates,big_daily_table)))</f>
        <v>#NAME?</v>
      </c>
    </row>
    <row r="2816" customFormat="false" ht="14.25" hidden="false" customHeight="false" outlineLevel="0" collapsed="false">
      <c r="B2816" s="7" t="n">
        <v>43721</v>
      </c>
      <c r="C2816" s="7" t="n">
        <f aca="false">B2816-WEEKDAY(B2816)+1</f>
        <v>43716</v>
      </c>
      <c r="D2816" s="1" t="e">
        <f aca="false" t="array" ref="D2816:D2816">IF(ISBLANK(_xlfn.xlookup(D$3,daily_items,_xlfn.xlookup($C2816,daily_dates,big_daily_table))),NA(),_xlfn.xlookup(D$3,daily_items,_xlfn.xlookup($C2816,daily_dates,big_daily_table)))</f>
        <v>#NAME?</v>
      </c>
      <c r="E2816" s="1" t="e">
        <f aca="false" t="array" ref="E2816:E2816">IF(ISBLANK(_xlfn.xlookup(E$3,daily_items,_xlfn.xlookup($C2816,daily_dates,big_daily_table))),NA(),_xlfn.xlookup(E$3,daily_items,_xlfn.xlookup($C2816,daily_dates,big_daily_table)))</f>
        <v>#NAME?</v>
      </c>
    </row>
    <row r="2817" customFormat="false" ht="14.25" hidden="false" customHeight="false" outlineLevel="0" collapsed="false">
      <c r="B2817" s="7" t="n">
        <v>43722</v>
      </c>
      <c r="C2817" s="7" t="n">
        <f aca="false">B2817-WEEKDAY(B2817)+1</f>
        <v>43716</v>
      </c>
      <c r="D2817" s="1" t="e">
        <f aca="false" t="array" ref="D2817:D2817">IF(ISBLANK(_xlfn.xlookup(D$3,daily_items,_xlfn.xlookup($C2817,daily_dates,big_daily_table))),NA(),_xlfn.xlookup(D$3,daily_items,_xlfn.xlookup($C2817,daily_dates,big_daily_table)))</f>
        <v>#NAME?</v>
      </c>
      <c r="E2817" s="1" t="e">
        <f aca="false" t="array" ref="E2817:E2817">IF(ISBLANK(_xlfn.xlookup(E$3,daily_items,_xlfn.xlookup($C2817,daily_dates,big_daily_table))),NA(),_xlfn.xlookup(E$3,daily_items,_xlfn.xlookup($C2817,daily_dates,big_daily_table)))</f>
        <v>#NAME?</v>
      </c>
    </row>
    <row r="2818" customFormat="false" ht="14.25" hidden="false" customHeight="false" outlineLevel="0" collapsed="false">
      <c r="B2818" s="7" t="n">
        <v>43723</v>
      </c>
      <c r="C2818" s="7" t="n">
        <f aca="false">B2818-WEEKDAY(B2818)+1</f>
        <v>43723</v>
      </c>
      <c r="D2818" s="1" t="e">
        <f aca="false" t="array" ref="D2818:D2818">IF(ISBLANK(_xlfn.xlookup(D$3,daily_items,_xlfn.xlookup($C2818,daily_dates,big_daily_table))),NA(),_xlfn.xlookup(D$3,daily_items,_xlfn.xlookup($C2818,daily_dates,big_daily_table)))</f>
        <v>#NAME?</v>
      </c>
      <c r="E2818" s="1" t="e">
        <f aca="false" t="array" ref="E2818:E2818">IF(ISBLANK(_xlfn.xlookup(E$3,daily_items,_xlfn.xlookup($C2818,daily_dates,big_daily_table))),NA(),_xlfn.xlookup(E$3,daily_items,_xlfn.xlookup($C2818,daily_dates,big_daily_table)))</f>
        <v>#NAME?</v>
      </c>
    </row>
    <row r="2819" customFormat="false" ht="14.25" hidden="false" customHeight="false" outlineLevel="0" collapsed="false">
      <c r="B2819" s="7" t="n">
        <v>43724</v>
      </c>
      <c r="C2819" s="7" t="n">
        <f aca="false">B2819-WEEKDAY(B2819)+1</f>
        <v>43723</v>
      </c>
      <c r="D2819" s="1" t="e">
        <f aca="false" t="array" ref="D2819:D2819">IF(ISBLANK(_xlfn.xlookup(D$3,daily_items,_xlfn.xlookup($C2819,daily_dates,big_daily_table))),NA(),_xlfn.xlookup(D$3,daily_items,_xlfn.xlookup($C2819,daily_dates,big_daily_table)))</f>
        <v>#NAME?</v>
      </c>
      <c r="E2819" s="1" t="e">
        <f aca="false" t="array" ref="E2819:E2819">IF(ISBLANK(_xlfn.xlookup(E$3,daily_items,_xlfn.xlookup($C2819,daily_dates,big_daily_table))),NA(),_xlfn.xlookup(E$3,daily_items,_xlfn.xlookup($C2819,daily_dates,big_daily_table)))</f>
        <v>#NAME?</v>
      </c>
    </row>
    <row r="2820" customFormat="false" ht="14.25" hidden="false" customHeight="false" outlineLevel="0" collapsed="false">
      <c r="B2820" s="7" t="n">
        <v>43725</v>
      </c>
      <c r="C2820" s="7" t="n">
        <f aca="false">B2820-WEEKDAY(B2820)+1</f>
        <v>43723</v>
      </c>
      <c r="D2820" s="1" t="e">
        <f aca="false" t="array" ref="D2820:D2820">IF(ISBLANK(_xlfn.xlookup(D$3,daily_items,_xlfn.xlookup($C2820,daily_dates,big_daily_table))),NA(),_xlfn.xlookup(D$3,daily_items,_xlfn.xlookup($C2820,daily_dates,big_daily_table)))</f>
        <v>#NAME?</v>
      </c>
      <c r="E2820" s="1" t="e">
        <f aca="false" t="array" ref="E2820:E2820">IF(ISBLANK(_xlfn.xlookup(E$3,daily_items,_xlfn.xlookup($C2820,daily_dates,big_daily_table))),NA(),_xlfn.xlookup(E$3,daily_items,_xlfn.xlookup($C2820,daily_dates,big_daily_table)))</f>
        <v>#NAME?</v>
      </c>
    </row>
    <row r="2821" customFormat="false" ht="14.25" hidden="false" customHeight="false" outlineLevel="0" collapsed="false">
      <c r="B2821" s="7" t="n">
        <v>43726</v>
      </c>
      <c r="C2821" s="7" t="n">
        <f aca="false">B2821-WEEKDAY(B2821)+1</f>
        <v>43723</v>
      </c>
      <c r="D2821" s="1" t="e">
        <f aca="false" t="array" ref="D2821:D2821">IF(ISBLANK(_xlfn.xlookup(D$3,daily_items,_xlfn.xlookup($C2821,daily_dates,big_daily_table))),NA(),_xlfn.xlookup(D$3,daily_items,_xlfn.xlookup($C2821,daily_dates,big_daily_table)))</f>
        <v>#NAME?</v>
      </c>
      <c r="E2821" s="1" t="e">
        <f aca="false" t="array" ref="E2821:E2821">IF(ISBLANK(_xlfn.xlookup(E$3,daily_items,_xlfn.xlookup($C2821,daily_dates,big_daily_table))),NA(),_xlfn.xlookup(E$3,daily_items,_xlfn.xlookup($C2821,daily_dates,big_daily_table)))</f>
        <v>#NAME?</v>
      </c>
    </row>
    <row r="2822" customFormat="false" ht="14.25" hidden="false" customHeight="false" outlineLevel="0" collapsed="false">
      <c r="B2822" s="7" t="n">
        <v>43727</v>
      </c>
      <c r="C2822" s="7" t="n">
        <f aca="false">B2822-WEEKDAY(B2822)+1</f>
        <v>43723</v>
      </c>
      <c r="D2822" s="1" t="e">
        <f aca="false" t="array" ref="D2822:D2822">IF(ISBLANK(_xlfn.xlookup(D$3,daily_items,_xlfn.xlookup($C2822,daily_dates,big_daily_table))),NA(),_xlfn.xlookup(D$3,daily_items,_xlfn.xlookup($C2822,daily_dates,big_daily_table)))</f>
        <v>#NAME?</v>
      </c>
      <c r="E2822" s="1" t="e">
        <f aca="false" t="array" ref="E2822:E2822">IF(ISBLANK(_xlfn.xlookup(E$3,daily_items,_xlfn.xlookup($C2822,daily_dates,big_daily_table))),NA(),_xlfn.xlookup(E$3,daily_items,_xlfn.xlookup($C2822,daily_dates,big_daily_table)))</f>
        <v>#NAME?</v>
      </c>
    </row>
    <row r="2823" customFormat="false" ht="14.25" hidden="false" customHeight="false" outlineLevel="0" collapsed="false">
      <c r="B2823" s="7" t="n">
        <v>43728</v>
      </c>
      <c r="C2823" s="7" t="n">
        <f aca="false">B2823-WEEKDAY(B2823)+1</f>
        <v>43723</v>
      </c>
      <c r="D2823" s="1" t="e">
        <f aca="false" t="array" ref="D2823:D2823">IF(ISBLANK(_xlfn.xlookup(D$3,daily_items,_xlfn.xlookup($C2823,daily_dates,big_daily_table))),NA(),_xlfn.xlookup(D$3,daily_items,_xlfn.xlookup($C2823,daily_dates,big_daily_table)))</f>
        <v>#NAME?</v>
      </c>
      <c r="E2823" s="1" t="e">
        <f aca="false" t="array" ref="E2823:E2823">IF(ISBLANK(_xlfn.xlookup(E$3,daily_items,_xlfn.xlookup($C2823,daily_dates,big_daily_table))),NA(),_xlfn.xlookup(E$3,daily_items,_xlfn.xlookup($C2823,daily_dates,big_daily_table)))</f>
        <v>#NAME?</v>
      </c>
    </row>
    <row r="2824" customFormat="false" ht="14.25" hidden="false" customHeight="false" outlineLevel="0" collapsed="false">
      <c r="B2824" s="7" t="n">
        <v>43729</v>
      </c>
      <c r="C2824" s="7" t="n">
        <f aca="false">B2824-WEEKDAY(B2824)+1</f>
        <v>43723</v>
      </c>
      <c r="D2824" s="1" t="e">
        <f aca="false" t="array" ref="D2824:D2824">IF(ISBLANK(_xlfn.xlookup(D$3,daily_items,_xlfn.xlookup($C2824,daily_dates,big_daily_table))),NA(),_xlfn.xlookup(D$3,daily_items,_xlfn.xlookup($C2824,daily_dates,big_daily_table)))</f>
        <v>#NAME?</v>
      </c>
      <c r="E2824" s="1" t="e">
        <f aca="false" t="array" ref="E2824:E2824">IF(ISBLANK(_xlfn.xlookup(E$3,daily_items,_xlfn.xlookup($C2824,daily_dates,big_daily_table))),NA(),_xlfn.xlookup(E$3,daily_items,_xlfn.xlookup($C2824,daily_dates,big_daily_table)))</f>
        <v>#NAME?</v>
      </c>
    </row>
    <row r="2825" customFormat="false" ht="14.25" hidden="false" customHeight="false" outlineLevel="0" collapsed="false">
      <c r="B2825" s="7" t="n">
        <v>43730</v>
      </c>
      <c r="C2825" s="7" t="n">
        <f aca="false">B2825-WEEKDAY(B2825)+1</f>
        <v>43730</v>
      </c>
      <c r="D2825" s="1" t="e">
        <f aca="false" t="array" ref="D2825:D2825">IF(ISBLANK(_xlfn.xlookup(D$3,daily_items,_xlfn.xlookup($C2825,daily_dates,big_daily_table))),NA(),_xlfn.xlookup(D$3,daily_items,_xlfn.xlookup($C2825,daily_dates,big_daily_table)))</f>
        <v>#NAME?</v>
      </c>
      <c r="E2825" s="1" t="e">
        <f aca="false" t="array" ref="E2825:E2825">IF(ISBLANK(_xlfn.xlookup(E$3,daily_items,_xlfn.xlookup($C2825,daily_dates,big_daily_table))),NA(),_xlfn.xlookup(E$3,daily_items,_xlfn.xlookup($C2825,daily_dates,big_daily_table)))</f>
        <v>#NAME?</v>
      </c>
    </row>
    <row r="2826" customFormat="false" ht="14.25" hidden="false" customHeight="false" outlineLevel="0" collapsed="false">
      <c r="B2826" s="7" t="n">
        <v>43731</v>
      </c>
      <c r="C2826" s="7" t="n">
        <f aca="false">B2826-WEEKDAY(B2826)+1</f>
        <v>43730</v>
      </c>
      <c r="D2826" s="1" t="e">
        <f aca="false" t="array" ref="D2826:D2826">IF(ISBLANK(_xlfn.xlookup(D$3,daily_items,_xlfn.xlookup($C2826,daily_dates,big_daily_table))),NA(),_xlfn.xlookup(D$3,daily_items,_xlfn.xlookup($C2826,daily_dates,big_daily_table)))</f>
        <v>#NAME?</v>
      </c>
      <c r="E2826" s="1" t="e">
        <f aca="false" t="array" ref="E2826:E2826">IF(ISBLANK(_xlfn.xlookup(E$3,daily_items,_xlfn.xlookup($C2826,daily_dates,big_daily_table))),NA(),_xlfn.xlookup(E$3,daily_items,_xlfn.xlookup($C2826,daily_dates,big_daily_table)))</f>
        <v>#NAME?</v>
      </c>
    </row>
    <row r="2827" customFormat="false" ht="14.25" hidden="false" customHeight="false" outlineLevel="0" collapsed="false">
      <c r="B2827" s="7" t="n">
        <v>43732</v>
      </c>
      <c r="C2827" s="7" t="n">
        <f aca="false">B2827-WEEKDAY(B2827)+1</f>
        <v>43730</v>
      </c>
      <c r="D2827" s="1" t="e">
        <f aca="false" t="array" ref="D2827:D2827">IF(ISBLANK(_xlfn.xlookup(D$3,daily_items,_xlfn.xlookup($C2827,daily_dates,big_daily_table))),NA(),_xlfn.xlookup(D$3,daily_items,_xlfn.xlookup($C2827,daily_dates,big_daily_table)))</f>
        <v>#NAME?</v>
      </c>
      <c r="E2827" s="1" t="e">
        <f aca="false" t="array" ref="E2827:E2827">IF(ISBLANK(_xlfn.xlookup(E$3,daily_items,_xlfn.xlookup($C2827,daily_dates,big_daily_table))),NA(),_xlfn.xlookup(E$3,daily_items,_xlfn.xlookup($C2827,daily_dates,big_daily_table)))</f>
        <v>#NAME?</v>
      </c>
    </row>
    <row r="2828" customFormat="false" ht="14.25" hidden="false" customHeight="false" outlineLevel="0" collapsed="false">
      <c r="B2828" s="7" t="n">
        <v>43733</v>
      </c>
      <c r="C2828" s="7" t="n">
        <f aca="false">B2828-WEEKDAY(B2828)+1</f>
        <v>43730</v>
      </c>
      <c r="D2828" s="1" t="e">
        <f aca="false" t="array" ref="D2828:D2828">IF(ISBLANK(_xlfn.xlookup(D$3,daily_items,_xlfn.xlookup($C2828,daily_dates,big_daily_table))),NA(),_xlfn.xlookup(D$3,daily_items,_xlfn.xlookup($C2828,daily_dates,big_daily_table)))</f>
        <v>#NAME?</v>
      </c>
      <c r="E2828" s="1" t="e">
        <f aca="false" t="array" ref="E2828:E2828">IF(ISBLANK(_xlfn.xlookup(E$3,daily_items,_xlfn.xlookup($C2828,daily_dates,big_daily_table))),NA(),_xlfn.xlookup(E$3,daily_items,_xlfn.xlookup($C2828,daily_dates,big_daily_table)))</f>
        <v>#NAME?</v>
      </c>
    </row>
    <row r="2829" customFormat="false" ht="14.25" hidden="false" customHeight="false" outlineLevel="0" collapsed="false">
      <c r="B2829" s="7" t="n">
        <v>43734</v>
      </c>
      <c r="C2829" s="7" t="n">
        <f aca="false">B2829-WEEKDAY(B2829)+1</f>
        <v>43730</v>
      </c>
      <c r="D2829" s="1" t="e">
        <f aca="false" t="array" ref="D2829:D2829">IF(ISBLANK(_xlfn.xlookup(D$3,daily_items,_xlfn.xlookup($C2829,daily_dates,big_daily_table))),NA(),_xlfn.xlookup(D$3,daily_items,_xlfn.xlookup($C2829,daily_dates,big_daily_table)))</f>
        <v>#NAME?</v>
      </c>
      <c r="E2829" s="1" t="e">
        <f aca="false" t="array" ref="E2829:E2829">IF(ISBLANK(_xlfn.xlookup(E$3,daily_items,_xlfn.xlookup($C2829,daily_dates,big_daily_table))),NA(),_xlfn.xlookup(E$3,daily_items,_xlfn.xlookup($C2829,daily_dates,big_daily_table)))</f>
        <v>#NAME?</v>
      </c>
    </row>
    <row r="2830" customFormat="false" ht="14.25" hidden="false" customHeight="false" outlineLevel="0" collapsed="false">
      <c r="B2830" s="7" t="n">
        <v>43735</v>
      </c>
      <c r="C2830" s="7" t="n">
        <f aca="false">B2830-WEEKDAY(B2830)+1</f>
        <v>43730</v>
      </c>
      <c r="D2830" s="1" t="e">
        <f aca="false" t="array" ref="D2830:D2830">IF(ISBLANK(_xlfn.xlookup(D$3,daily_items,_xlfn.xlookup($C2830,daily_dates,big_daily_table))),NA(),_xlfn.xlookup(D$3,daily_items,_xlfn.xlookup($C2830,daily_dates,big_daily_table)))</f>
        <v>#NAME?</v>
      </c>
      <c r="E2830" s="1" t="e">
        <f aca="false" t="array" ref="E2830:E2830">IF(ISBLANK(_xlfn.xlookup(E$3,daily_items,_xlfn.xlookup($C2830,daily_dates,big_daily_table))),NA(),_xlfn.xlookup(E$3,daily_items,_xlfn.xlookup($C2830,daily_dates,big_daily_table)))</f>
        <v>#NAME?</v>
      </c>
    </row>
    <row r="2831" customFormat="false" ht="14.25" hidden="false" customHeight="false" outlineLevel="0" collapsed="false">
      <c r="B2831" s="7" t="n">
        <v>43736</v>
      </c>
      <c r="C2831" s="7" t="n">
        <f aca="false">B2831-WEEKDAY(B2831)+1</f>
        <v>43730</v>
      </c>
      <c r="D2831" s="1" t="e">
        <f aca="false" t="array" ref="D2831:D2831">IF(ISBLANK(_xlfn.xlookup(D$3,daily_items,_xlfn.xlookup($C2831,daily_dates,big_daily_table))),NA(),_xlfn.xlookup(D$3,daily_items,_xlfn.xlookup($C2831,daily_dates,big_daily_table)))</f>
        <v>#NAME?</v>
      </c>
      <c r="E2831" s="1" t="e">
        <f aca="false" t="array" ref="E2831:E2831">IF(ISBLANK(_xlfn.xlookup(E$3,daily_items,_xlfn.xlookup($C2831,daily_dates,big_daily_table))),NA(),_xlfn.xlookup(E$3,daily_items,_xlfn.xlookup($C2831,daily_dates,big_daily_table)))</f>
        <v>#NAME?</v>
      </c>
    </row>
    <row r="2832" customFormat="false" ht="14.25" hidden="false" customHeight="false" outlineLevel="0" collapsed="false">
      <c r="B2832" s="7" t="n">
        <v>43737</v>
      </c>
      <c r="C2832" s="7" t="n">
        <f aca="false">B2832-WEEKDAY(B2832)+1</f>
        <v>43737</v>
      </c>
      <c r="D2832" s="1" t="e">
        <f aca="false" t="array" ref="D2832:D2832">IF(ISBLANK(_xlfn.xlookup(D$3,daily_items,_xlfn.xlookup($C2832,daily_dates,big_daily_table))),NA(),_xlfn.xlookup(D$3,daily_items,_xlfn.xlookup($C2832,daily_dates,big_daily_table)))</f>
        <v>#NAME?</v>
      </c>
      <c r="E2832" s="1" t="e">
        <f aca="false" t="array" ref="E2832:E2832">IF(ISBLANK(_xlfn.xlookup(E$3,daily_items,_xlfn.xlookup($C2832,daily_dates,big_daily_table))),NA(),_xlfn.xlookup(E$3,daily_items,_xlfn.xlookup($C2832,daily_dates,big_daily_table)))</f>
        <v>#NAME?</v>
      </c>
    </row>
    <row r="2833" customFormat="false" ht="14.25" hidden="false" customHeight="false" outlineLevel="0" collapsed="false">
      <c r="B2833" s="7" t="n">
        <v>43738</v>
      </c>
      <c r="C2833" s="7" t="n">
        <f aca="false">B2833-WEEKDAY(B2833)+1</f>
        <v>43737</v>
      </c>
      <c r="D2833" s="1" t="e">
        <f aca="false" t="array" ref="D2833:D2833">IF(ISBLANK(_xlfn.xlookup(D$3,daily_items,_xlfn.xlookup($C2833,daily_dates,big_daily_table))),NA(),_xlfn.xlookup(D$3,daily_items,_xlfn.xlookup($C2833,daily_dates,big_daily_table)))</f>
        <v>#NAME?</v>
      </c>
      <c r="E2833" s="1" t="e">
        <f aca="false" t="array" ref="E2833:E2833">IF(ISBLANK(_xlfn.xlookup(E$3,daily_items,_xlfn.xlookup($C2833,daily_dates,big_daily_table))),NA(),_xlfn.xlookup(E$3,daily_items,_xlfn.xlookup($C2833,daily_dates,big_daily_table)))</f>
        <v>#NAME?</v>
      </c>
    </row>
    <row r="2834" customFormat="false" ht="14.25" hidden="false" customHeight="false" outlineLevel="0" collapsed="false">
      <c r="B2834" s="7" t="n">
        <v>43739</v>
      </c>
      <c r="C2834" s="7" t="n">
        <f aca="false">B2834-WEEKDAY(B2834)+1</f>
        <v>43737</v>
      </c>
      <c r="D2834" s="1" t="e">
        <f aca="false" t="array" ref="D2834:D2834">IF(ISBLANK(_xlfn.xlookup(D$3,daily_items,_xlfn.xlookup($C2834,daily_dates,big_daily_table))),NA(),_xlfn.xlookup(D$3,daily_items,_xlfn.xlookup($C2834,daily_dates,big_daily_table)))</f>
        <v>#NAME?</v>
      </c>
      <c r="E2834" s="1" t="e">
        <f aca="false" t="array" ref="E2834:E2834">IF(ISBLANK(_xlfn.xlookup(E$3,daily_items,_xlfn.xlookup($C2834,daily_dates,big_daily_table))),NA(),_xlfn.xlookup(E$3,daily_items,_xlfn.xlookup($C2834,daily_dates,big_daily_table)))</f>
        <v>#NAME?</v>
      </c>
    </row>
    <row r="2835" customFormat="false" ht="14.25" hidden="false" customHeight="false" outlineLevel="0" collapsed="false">
      <c r="B2835" s="7" t="n">
        <v>43740</v>
      </c>
      <c r="C2835" s="7" t="n">
        <f aca="false">B2835-WEEKDAY(B2835)+1</f>
        <v>43737</v>
      </c>
      <c r="D2835" s="1" t="e">
        <f aca="false" t="array" ref="D2835:D2835">IF(ISBLANK(_xlfn.xlookup(D$3,daily_items,_xlfn.xlookup($C2835,daily_dates,big_daily_table))),NA(),_xlfn.xlookup(D$3,daily_items,_xlfn.xlookup($C2835,daily_dates,big_daily_table)))</f>
        <v>#NAME?</v>
      </c>
      <c r="E2835" s="1" t="e">
        <f aca="false" t="array" ref="E2835:E2835">IF(ISBLANK(_xlfn.xlookup(E$3,daily_items,_xlfn.xlookup($C2835,daily_dates,big_daily_table))),NA(),_xlfn.xlookup(E$3,daily_items,_xlfn.xlookup($C2835,daily_dates,big_daily_table)))</f>
        <v>#NAME?</v>
      </c>
    </row>
    <row r="2836" customFormat="false" ht="14.25" hidden="false" customHeight="false" outlineLevel="0" collapsed="false">
      <c r="B2836" s="7" t="n">
        <v>43741</v>
      </c>
      <c r="C2836" s="7" t="n">
        <f aca="false">B2836-WEEKDAY(B2836)+1</f>
        <v>43737</v>
      </c>
      <c r="D2836" s="1" t="e">
        <f aca="false" t="array" ref="D2836:D2836">IF(ISBLANK(_xlfn.xlookup(D$3,daily_items,_xlfn.xlookup($C2836,daily_dates,big_daily_table))),NA(),_xlfn.xlookup(D$3,daily_items,_xlfn.xlookup($C2836,daily_dates,big_daily_table)))</f>
        <v>#NAME?</v>
      </c>
      <c r="E2836" s="1" t="e">
        <f aca="false" t="array" ref="E2836:E2836">IF(ISBLANK(_xlfn.xlookup(E$3,daily_items,_xlfn.xlookup($C2836,daily_dates,big_daily_table))),NA(),_xlfn.xlookup(E$3,daily_items,_xlfn.xlookup($C2836,daily_dates,big_daily_table)))</f>
        <v>#NAME?</v>
      </c>
    </row>
    <row r="2837" customFormat="false" ht="14.25" hidden="false" customHeight="false" outlineLevel="0" collapsed="false">
      <c r="B2837" s="7" t="n">
        <v>43742</v>
      </c>
      <c r="C2837" s="7" t="n">
        <f aca="false">B2837-WEEKDAY(B2837)+1</f>
        <v>43737</v>
      </c>
      <c r="D2837" s="1" t="e">
        <f aca="false" t="array" ref="D2837:D2837">IF(ISBLANK(_xlfn.xlookup(D$3,daily_items,_xlfn.xlookup($C2837,daily_dates,big_daily_table))),NA(),_xlfn.xlookup(D$3,daily_items,_xlfn.xlookup($C2837,daily_dates,big_daily_table)))</f>
        <v>#NAME?</v>
      </c>
      <c r="E2837" s="1" t="e">
        <f aca="false" t="array" ref="E2837:E2837">IF(ISBLANK(_xlfn.xlookup(E$3,daily_items,_xlfn.xlookup($C2837,daily_dates,big_daily_table))),NA(),_xlfn.xlookup(E$3,daily_items,_xlfn.xlookup($C2837,daily_dates,big_daily_table)))</f>
        <v>#NAME?</v>
      </c>
    </row>
    <row r="2838" customFormat="false" ht="14.25" hidden="false" customHeight="false" outlineLevel="0" collapsed="false">
      <c r="B2838" s="7" t="n">
        <v>43743</v>
      </c>
      <c r="C2838" s="7" t="n">
        <f aca="false">B2838-WEEKDAY(B2838)+1</f>
        <v>43737</v>
      </c>
      <c r="D2838" s="1" t="e">
        <f aca="false" t="array" ref="D2838:D2838">IF(ISBLANK(_xlfn.xlookup(D$3,daily_items,_xlfn.xlookup($C2838,daily_dates,big_daily_table))),NA(),_xlfn.xlookup(D$3,daily_items,_xlfn.xlookup($C2838,daily_dates,big_daily_table)))</f>
        <v>#NAME?</v>
      </c>
      <c r="E2838" s="1" t="e">
        <f aca="false" t="array" ref="E2838:E2838">IF(ISBLANK(_xlfn.xlookup(E$3,daily_items,_xlfn.xlookup($C2838,daily_dates,big_daily_table))),NA(),_xlfn.xlookup(E$3,daily_items,_xlfn.xlookup($C2838,daily_dates,big_daily_table)))</f>
        <v>#NAME?</v>
      </c>
    </row>
    <row r="2839" customFormat="false" ht="14.25" hidden="false" customHeight="false" outlineLevel="0" collapsed="false">
      <c r="B2839" s="7" t="n">
        <v>43744</v>
      </c>
      <c r="C2839" s="7" t="n">
        <f aca="false">B2839-WEEKDAY(B2839)+1</f>
        <v>43744</v>
      </c>
      <c r="D2839" s="1" t="e">
        <f aca="false" t="array" ref="D2839:D2839">IF(ISBLANK(_xlfn.xlookup(D$3,daily_items,_xlfn.xlookup($C2839,daily_dates,big_daily_table))),NA(),_xlfn.xlookup(D$3,daily_items,_xlfn.xlookup($C2839,daily_dates,big_daily_table)))</f>
        <v>#NAME?</v>
      </c>
      <c r="E2839" s="1" t="e">
        <f aca="false" t="array" ref="E2839:E2839">IF(ISBLANK(_xlfn.xlookup(E$3,daily_items,_xlfn.xlookup($C2839,daily_dates,big_daily_table))),NA(),_xlfn.xlookup(E$3,daily_items,_xlfn.xlookup($C2839,daily_dates,big_daily_table)))</f>
        <v>#NAME?</v>
      </c>
    </row>
    <row r="2840" customFormat="false" ht="14.25" hidden="false" customHeight="false" outlineLevel="0" collapsed="false">
      <c r="B2840" s="7" t="n">
        <v>43745</v>
      </c>
      <c r="C2840" s="7" t="n">
        <f aca="false">B2840-WEEKDAY(B2840)+1</f>
        <v>43744</v>
      </c>
      <c r="D2840" s="1" t="e">
        <f aca="false" t="array" ref="D2840:D2840">IF(ISBLANK(_xlfn.xlookup(D$3,daily_items,_xlfn.xlookup($C2840,daily_dates,big_daily_table))),NA(),_xlfn.xlookup(D$3,daily_items,_xlfn.xlookup($C2840,daily_dates,big_daily_table)))</f>
        <v>#NAME?</v>
      </c>
      <c r="E2840" s="1" t="e">
        <f aca="false" t="array" ref="E2840:E2840">IF(ISBLANK(_xlfn.xlookup(E$3,daily_items,_xlfn.xlookup($C2840,daily_dates,big_daily_table))),NA(),_xlfn.xlookup(E$3,daily_items,_xlfn.xlookup($C2840,daily_dates,big_daily_table)))</f>
        <v>#NAME?</v>
      </c>
    </row>
    <row r="2841" customFormat="false" ht="14.25" hidden="false" customHeight="false" outlineLevel="0" collapsed="false">
      <c r="B2841" s="7" t="n">
        <v>43746</v>
      </c>
      <c r="C2841" s="7" t="n">
        <f aca="false">B2841-WEEKDAY(B2841)+1</f>
        <v>43744</v>
      </c>
      <c r="D2841" s="1" t="e">
        <f aca="false" t="array" ref="D2841:D2841">IF(ISBLANK(_xlfn.xlookup(D$3,daily_items,_xlfn.xlookup($C2841,daily_dates,big_daily_table))),NA(),_xlfn.xlookup(D$3,daily_items,_xlfn.xlookup($C2841,daily_dates,big_daily_table)))</f>
        <v>#NAME?</v>
      </c>
      <c r="E2841" s="1" t="e">
        <f aca="false" t="array" ref="E2841:E2841">IF(ISBLANK(_xlfn.xlookup(E$3,daily_items,_xlfn.xlookup($C2841,daily_dates,big_daily_table))),NA(),_xlfn.xlookup(E$3,daily_items,_xlfn.xlookup($C2841,daily_dates,big_daily_table)))</f>
        <v>#NAME?</v>
      </c>
    </row>
    <row r="2842" customFormat="false" ht="14.25" hidden="false" customHeight="false" outlineLevel="0" collapsed="false">
      <c r="B2842" s="7" t="n">
        <v>43747</v>
      </c>
      <c r="C2842" s="7" t="n">
        <f aca="false">B2842-WEEKDAY(B2842)+1</f>
        <v>43744</v>
      </c>
      <c r="D2842" s="1" t="e">
        <f aca="false" t="array" ref="D2842:D2842">IF(ISBLANK(_xlfn.xlookup(D$3,daily_items,_xlfn.xlookup($C2842,daily_dates,big_daily_table))),NA(),_xlfn.xlookup(D$3,daily_items,_xlfn.xlookup($C2842,daily_dates,big_daily_table)))</f>
        <v>#NAME?</v>
      </c>
      <c r="E2842" s="1" t="e">
        <f aca="false" t="array" ref="E2842:E2842">IF(ISBLANK(_xlfn.xlookup(E$3,daily_items,_xlfn.xlookup($C2842,daily_dates,big_daily_table))),NA(),_xlfn.xlookup(E$3,daily_items,_xlfn.xlookup($C2842,daily_dates,big_daily_table)))</f>
        <v>#NAME?</v>
      </c>
    </row>
    <row r="2843" customFormat="false" ht="14.25" hidden="false" customHeight="false" outlineLevel="0" collapsed="false">
      <c r="B2843" s="7" t="n">
        <v>43748</v>
      </c>
      <c r="C2843" s="7" t="n">
        <f aca="false">B2843-WEEKDAY(B2843)+1</f>
        <v>43744</v>
      </c>
      <c r="D2843" s="1" t="e">
        <f aca="false" t="array" ref="D2843:D2843">IF(ISBLANK(_xlfn.xlookup(D$3,daily_items,_xlfn.xlookup($C2843,daily_dates,big_daily_table))),NA(),_xlfn.xlookup(D$3,daily_items,_xlfn.xlookup($C2843,daily_dates,big_daily_table)))</f>
        <v>#NAME?</v>
      </c>
      <c r="E2843" s="1" t="e">
        <f aca="false" t="array" ref="E2843:E2843">IF(ISBLANK(_xlfn.xlookup(E$3,daily_items,_xlfn.xlookup($C2843,daily_dates,big_daily_table))),NA(),_xlfn.xlookup(E$3,daily_items,_xlfn.xlookup($C2843,daily_dates,big_daily_table)))</f>
        <v>#NAME?</v>
      </c>
    </row>
    <row r="2844" customFormat="false" ht="14.25" hidden="false" customHeight="false" outlineLevel="0" collapsed="false">
      <c r="B2844" s="7" t="n">
        <v>43749</v>
      </c>
      <c r="C2844" s="7" t="n">
        <f aca="false">B2844-WEEKDAY(B2844)+1</f>
        <v>43744</v>
      </c>
      <c r="D2844" s="1" t="e">
        <f aca="false" t="array" ref="D2844:D2844">IF(ISBLANK(_xlfn.xlookup(D$3,daily_items,_xlfn.xlookup($C2844,daily_dates,big_daily_table))),NA(),_xlfn.xlookup(D$3,daily_items,_xlfn.xlookup($C2844,daily_dates,big_daily_table)))</f>
        <v>#NAME?</v>
      </c>
      <c r="E2844" s="1" t="e">
        <f aca="false" t="array" ref="E2844:E2844">IF(ISBLANK(_xlfn.xlookup(E$3,daily_items,_xlfn.xlookup($C2844,daily_dates,big_daily_table))),NA(),_xlfn.xlookup(E$3,daily_items,_xlfn.xlookup($C2844,daily_dates,big_daily_table)))</f>
        <v>#NAME?</v>
      </c>
    </row>
    <row r="2845" customFormat="false" ht="14.25" hidden="false" customHeight="false" outlineLevel="0" collapsed="false">
      <c r="B2845" s="7" t="n">
        <v>43750</v>
      </c>
      <c r="C2845" s="7" t="n">
        <f aca="false">B2845-WEEKDAY(B2845)+1</f>
        <v>43744</v>
      </c>
      <c r="D2845" s="1" t="e">
        <f aca="false" t="array" ref="D2845:D2845">IF(ISBLANK(_xlfn.xlookup(D$3,daily_items,_xlfn.xlookup($C2845,daily_dates,big_daily_table))),NA(),_xlfn.xlookup(D$3,daily_items,_xlfn.xlookup($C2845,daily_dates,big_daily_table)))</f>
        <v>#NAME?</v>
      </c>
      <c r="E2845" s="1" t="e">
        <f aca="false" t="array" ref="E2845:E2845">IF(ISBLANK(_xlfn.xlookup(E$3,daily_items,_xlfn.xlookup($C2845,daily_dates,big_daily_table))),NA(),_xlfn.xlookup(E$3,daily_items,_xlfn.xlookup($C2845,daily_dates,big_daily_table)))</f>
        <v>#NAME?</v>
      </c>
    </row>
    <row r="2846" customFormat="false" ht="14.25" hidden="false" customHeight="false" outlineLevel="0" collapsed="false">
      <c r="B2846" s="7" t="n">
        <v>43751</v>
      </c>
      <c r="C2846" s="7" t="n">
        <f aca="false">B2846-WEEKDAY(B2846)+1</f>
        <v>43751</v>
      </c>
      <c r="D2846" s="1" t="e">
        <f aca="false" t="array" ref="D2846:D2846">IF(ISBLANK(_xlfn.xlookup(D$3,daily_items,_xlfn.xlookup($C2846,daily_dates,big_daily_table))),NA(),_xlfn.xlookup(D$3,daily_items,_xlfn.xlookup($C2846,daily_dates,big_daily_table)))</f>
        <v>#NAME?</v>
      </c>
      <c r="E2846" s="1" t="e">
        <f aca="false" t="array" ref="E2846:E2846">IF(ISBLANK(_xlfn.xlookup(E$3,daily_items,_xlfn.xlookup($C2846,daily_dates,big_daily_table))),NA(),_xlfn.xlookup(E$3,daily_items,_xlfn.xlookup($C2846,daily_dates,big_daily_table)))</f>
        <v>#NAME?</v>
      </c>
    </row>
    <row r="2847" customFormat="false" ht="14.25" hidden="false" customHeight="false" outlineLevel="0" collapsed="false">
      <c r="B2847" s="7" t="n">
        <v>43752</v>
      </c>
      <c r="C2847" s="7" t="n">
        <f aca="false">B2847-WEEKDAY(B2847)+1</f>
        <v>43751</v>
      </c>
      <c r="D2847" s="1" t="e">
        <f aca="false" t="array" ref="D2847:D2847">IF(ISBLANK(_xlfn.xlookup(D$3,daily_items,_xlfn.xlookup($C2847,daily_dates,big_daily_table))),NA(),_xlfn.xlookup(D$3,daily_items,_xlfn.xlookup($C2847,daily_dates,big_daily_table)))</f>
        <v>#NAME?</v>
      </c>
      <c r="E2847" s="1" t="e">
        <f aca="false" t="array" ref="E2847:E2847">IF(ISBLANK(_xlfn.xlookup(E$3,daily_items,_xlfn.xlookup($C2847,daily_dates,big_daily_table))),NA(),_xlfn.xlookup(E$3,daily_items,_xlfn.xlookup($C2847,daily_dates,big_daily_table)))</f>
        <v>#NAME?</v>
      </c>
    </row>
    <row r="2848" customFormat="false" ht="14.25" hidden="false" customHeight="false" outlineLevel="0" collapsed="false">
      <c r="B2848" s="7" t="n">
        <v>43753</v>
      </c>
      <c r="C2848" s="7" t="n">
        <f aca="false">B2848-WEEKDAY(B2848)+1</f>
        <v>43751</v>
      </c>
      <c r="D2848" s="1" t="e">
        <f aca="false" t="array" ref="D2848:D2848">IF(ISBLANK(_xlfn.xlookup(D$3,daily_items,_xlfn.xlookup($C2848,daily_dates,big_daily_table))),NA(),_xlfn.xlookup(D$3,daily_items,_xlfn.xlookup($C2848,daily_dates,big_daily_table)))</f>
        <v>#NAME?</v>
      </c>
      <c r="E2848" s="1" t="e">
        <f aca="false" t="array" ref="E2848:E2848">IF(ISBLANK(_xlfn.xlookup(E$3,daily_items,_xlfn.xlookup($C2848,daily_dates,big_daily_table))),NA(),_xlfn.xlookup(E$3,daily_items,_xlfn.xlookup($C2848,daily_dates,big_daily_table)))</f>
        <v>#NAME?</v>
      </c>
    </row>
    <row r="2849" customFormat="false" ht="14.25" hidden="false" customHeight="false" outlineLevel="0" collapsed="false">
      <c r="B2849" s="7" t="n">
        <v>43754</v>
      </c>
      <c r="C2849" s="7" t="n">
        <f aca="false">B2849-WEEKDAY(B2849)+1</f>
        <v>43751</v>
      </c>
      <c r="D2849" s="1" t="e">
        <f aca="false" t="array" ref="D2849:D2849">IF(ISBLANK(_xlfn.xlookup(D$3,daily_items,_xlfn.xlookup($C2849,daily_dates,big_daily_table))),NA(),_xlfn.xlookup(D$3,daily_items,_xlfn.xlookup($C2849,daily_dates,big_daily_table)))</f>
        <v>#NAME?</v>
      </c>
      <c r="E2849" s="1" t="e">
        <f aca="false" t="array" ref="E2849:E2849">IF(ISBLANK(_xlfn.xlookup(E$3,daily_items,_xlfn.xlookup($C2849,daily_dates,big_daily_table))),NA(),_xlfn.xlookup(E$3,daily_items,_xlfn.xlookup($C2849,daily_dates,big_daily_table)))</f>
        <v>#NAME?</v>
      </c>
    </row>
    <row r="2850" customFormat="false" ht="14.25" hidden="false" customHeight="false" outlineLevel="0" collapsed="false">
      <c r="B2850" s="7" t="n">
        <v>43755</v>
      </c>
      <c r="C2850" s="7" t="n">
        <f aca="false">B2850-WEEKDAY(B2850)+1</f>
        <v>43751</v>
      </c>
      <c r="D2850" s="1" t="e">
        <f aca="false" t="array" ref="D2850:D2850">IF(ISBLANK(_xlfn.xlookup(D$3,daily_items,_xlfn.xlookup($C2850,daily_dates,big_daily_table))),NA(),_xlfn.xlookup(D$3,daily_items,_xlfn.xlookup($C2850,daily_dates,big_daily_table)))</f>
        <v>#NAME?</v>
      </c>
      <c r="E2850" s="1" t="e">
        <f aca="false" t="array" ref="E2850:E2850">IF(ISBLANK(_xlfn.xlookup(E$3,daily_items,_xlfn.xlookup($C2850,daily_dates,big_daily_table))),NA(),_xlfn.xlookup(E$3,daily_items,_xlfn.xlookup($C2850,daily_dates,big_daily_table)))</f>
        <v>#NAME?</v>
      </c>
    </row>
    <row r="2851" customFormat="false" ht="14.25" hidden="false" customHeight="false" outlineLevel="0" collapsed="false">
      <c r="B2851" s="7" t="n">
        <v>43756</v>
      </c>
      <c r="C2851" s="7" t="n">
        <f aca="false">B2851-WEEKDAY(B2851)+1</f>
        <v>43751</v>
      </c>
      <c r="D2851" s="1" t="e">
        <f aca="false" t="array" ref="D2851:D2851">IF(ISBLANK(_xlfn.xlookup(D$3,daily_items,_xlfn.xlookup($C2851,daily_dates,big_daily_table))),NA(),_xlfn.xlookup(D$3,daily_items,_xlfn.xlookup($C2851,daily_dates,big_daily_table)))</f>
        <v>#NAME?</v>
      </c>
      <c r="E2851" s="1" t="e">
        <f aca="false" t="array" ref="E2851:E2851">IF(ISBLANK(_xlfn.xlookup(E$3,daily_items,_xlfn.xlookup($C2851,daily_dates,big_daily_table))),NA(),_xlfn.xlookup(E$3,daily_items,_xlfn.xlookup($C2851,daily_dates,big_daily_table)))</f>
        <v>#NAME?</v>
      </c>
    </row>
    <row r="2852" customFormat="false" ht="14.25" hidden="false" customHeight="false" outlineLevel="0" collapsed="false">
      <c r="B2852" s="7" t="n">
        <v>43757</v>
      </c>
      <c r="C2852" s="7" t="n">
        <f aca="false">B2852-WEEKDAY(B2852)+1</f>
        <v>43751</v>
      </c>
      <c r="D2852" s="1" t="e">
        <f aca="false" t="array" ref="D2852:D2852">IF(ISBLANK(_xlfn.xlookup(D$3,daily_items,_xlfn.xlookup($C2852,daily_dates,big_daily_table))),NA(),_xlfn.xlookup(D$3,daily_items,_xlfn.xlookup($C2852,daily_dates,big_daily_table)))</f>
        <v>#NAME?</v>
      </c>
      <c r="E2852" s="1" t="e">
        <f aca="false" t="array" ref="E2852:E2852">IF(ISBLANK(_xlfn.xlookup(E$3,daily_items,_xlfn.xlookup($C2852,daily_dates,big_daily_table))),NA(),_xlfn.xlookup(E$3,daily_items,_xlfn.xlookup($C2852,daily_dates,big_daily_table)))</f>
        <v>#NAME?</v>
      </c>
    </row>
    <row r="2853" customFormat="false" ht="14.25" hidden="false" customHeight="false" outlineLevel="0" collapsed="false">
      <c r="B2853" s="7" t="n">
        <v>43758</v>
      </c>
      <c r="C2853" s="7" t="n">
        <f aca="false">B2853-WEEKDAY(B2853)+1</f>
        <v>43758</v>
      </c>
      <c r="D2853" s="1" t="e">
        <f aca="false" t="array" ref="D2853:D2853">IF(ISBLANK(_xlfn.xlookup(D$3,daily_items,_xlfn.xlookup($C2853,daily_dates,big_daily_table))),NA(),_xlfn.xlookup(D$3,daily_items,_xlfn.xlookup($C2853,daily_dates,big_daily_table)))</f>
        <v>#NAME?</v>
      </c>
      <c r="E2853" s="1" t="e">
        <f aca="false" t="array" ref="E2853:E2853">IF(ISBLANK(_xlfn.xlookup(E$3,daily_items,_xlfn.xlookup($C2853,daily_dates,big_daily_table))),NA(),_xlfn.xlookup(E$3,daily_items,_xlfn.xlookup($C2853,daily_dates,big_daily_table)))</f>
        <v>#NAME?</v>
      </c>
    </row>
    <row r="2854" customFormat="false" ht="14.25" hidden="false" customHeight="false" outlineLevel="0" collapsed="false">
      <c r="B2854" s="7" t="n">
        <v>43759</v>
      </c>
      <c r="C2854" s="7" t="n">
        <f aca="false">B2854-WEEKDAY(B2854)+1</f>
        <v>43758</v>
      </c>
      <c r="D2854" s="1" t="e">
        <f aca="false" t="array" ref="D2854:D2854">IF(ISBLANK(_xlfn.xlookup(D$3,daily_items,_xlfn.xlookup($C2854,daily_dates,big_daily_table))),NA(),_xlfn.xlookup(D$3,daily_items,_xlfn.xlookup($C2854,daily_dates,big_daily_table)))</f>
        <v>#NAME?</v>
      </c>
      <c r="E2854" s="1" t="e">
        <f aca="false" t="array" ref="E2854:E2854">IF(ISBLANK(_xlfn.xlookup(E$3,daily_items,_xlfn.xlookup($C2854,daily_dates,big_daily_table))),NA(),_xlfn.xlookup(E$3,daily_items,_xlfn.xlookup($C2854,daily_dates,big_daily_table)))</f>
        <v>#NAME?</v>
      </c>
    </row>
    <row r="2855" customFormat="false" ht="14.25" hidden="false" customHeight="false" outlineLevel="0" collapsed="false">
      <c r="B2855" s="7" t="n">
        <v>43760</v>
      </c>
      <c r="C2855" s="7" t="n">
        <f aca="false">B2855-WEEKDAY(B2855)+1</f>
        <v>43758</v>
      </c>
      <c r="D2855" s="1" t="e">
        <f aca="false" t="array" ref="D2855:D2855">IF(ISBLANK(_xlfn.xlookup(D$3,daily_items,_xlfn.xlookup($C2855,daily_dates,big_daily_table))),NA(),_xlfn.xlookup(D$3,daily_items,_xlfn.xlookup($C2855,daily_dates,big_daily_table)))</f>
        <v>#NAME?</v>
      </c>
      <c r="E2855" s="1" t="e">
        <f aca="false" t="array" ref="E2855:E2855">IF(ISBLANK(_xlfn.xlookup(E$3,daily_items,_xlfn.xlookup($C2855,daily_dates,big_daily_table))),NA(),_xlfn.xlookup(E$3,daily_items,_xlfn.xlookup($C2855,daily_dates,big_daily_table)))</f>
        <v>#NAME?</v>
      </c>
    </row>
    <row r="2856" customFormat="false" ht="14.25" hidden="false" customHeight="false" outlineLevel="0" collapsed="false">
      <c r="B2856" s="7" t="n">
        <v>43761</v>
      </c>
      <c r="C2856" s="7" t="n">
        <f aca="false">B2856-WEEKDAY(B2856)+1</f>
        <v>43758</v>
      </c>
      <c r="D2856" s="1" t="e">
        <f aca="false" t="array" ref="D2856:D2856">IF(ISBLANK(_xlfn.xlookup(D$3,daily_items,_xlfn.xlookup($C2856,daily_dates,big_daily_table))),NA(),_xlfn.xlookup(D$3,daily_items,_xlfn.xlookup($C2856,daily_dates,big_daily_table)))</f>
        <v>#NAME?</v>
      </c>
      <c r="E2856" s="1" t="e">
        <f aca="false" t="array" ref="E2856:E2856">IF(ISBLANK(_xlfn.xlookup(E$3,daily_items,_xlfn.xlookup($C2856,daily_dates,big_daily_table))),NA(),_xlfn.xlookup(E$3,daily_items,_xlfn.xlookup($C2856,daily_dates,big_daily_table)))</f>
        <v>#NAME?</v>
      </c>
    </row>
    <row r="2857" customFormat="false" ht="14.25" hidden="false" customHeight="false" outlineLevel="0" collapsed="false">
      <c r="B2857" s="7" t="n">
        <v>43762</v>
      </c>
      <c r="C2857" s="7" t="n">
        <f aca="false">B2857-WEEKDAY(B2857)+1</f>
        <v>43758</v>
      </c>
      <c r="D2857" s="1" t="e">
        <f aca="false" t="array" ref="D2857:D2857">IF(ISBLANK(_xlfn.xlookup(D$3,daily_items,_xlfn.xlookup($C2857,daily_dates,big_daily_table))),NA(),_xlfn.xlookup(D$3,daily_items,_xlfn.xlookup($C2857,daily_dates,big_daily_table)))</f>
        <v>#NAME?</v>
      </c>
      <c r="E2857" s="1" t="e">
        <f aca="false" t="array" ref="E2857:E2857">IF(ISBLANK(_xlfn.xlookup(E$3,daily_items,_xlfn.xlookup($C2857,daily_dates,big_daily_table))),NA(),_xlfn.xlookup(E$3,daily_items,_xlfn.xlookup($C2857,daily_dates,big_daily_table)))</f>
        <v>#NAME?</v>
      </c>
    </row>
    <row r="2858" customFormat="false" ht="14.25" hidden="false" customHeight="false" outlineLevel="0" collapsed="false">
      <c r="B2858" s="7" t="n">
        <v>43763</v>
      </c>
      <c r="C2858" s="7" t="n">
        <f aca="false">B2858-WEEKDAY(B2858)+1</f>
        <v>43758</v>
      </c>
      <c r="D2858" s="1" t="e">
        <f aca="false" t="array" ref="D2858:D2858">IF(ISBLANK(_xlfn.xlookup(D$3,daily_items,_xlfn.xlookup($C2858,daily_dates,big_daily_table))),NA(),_xlfn.xlookup(D$3,daily_items,_xlfn.xlookup($C2858,daily_dates,big_daily_table)))</f>
        <v>#NAME?</v>
      </c>
      <c r="E2858" s="1" t="e">
        <f aca="false" t="array" ref="E2858:E2858">IF(ISBLANK(_xlfn.xlookup(E$3,daily_items,_xlfn.xlookup($C2858,daily_dates,big_daily_table))),NA(),_xlfn.xlookup(E$3,daily_items,_xlfn.xlookup($C2858,daily_dates,big_daily_table)))</f>
        <v>#NAME?</v>
      </c>
    </row>
    <row r="2859" customFormat="false" ht="14.25" hidden="false" customHeight="false" outlineLevel="0" collapsed="false">
      <c r="B2859" s="7" t="n">
        <v>43764</v>
      </c>
      <c r="C2859" s="7" t="n">
        <f aca="false">B2859-WEEKDAY(B2859)+1</f>
        <v>43758</v>
      </c>
      <c r="D2859" s="1" t="e">
        <f aca="false" t="array" ref="D2859:D2859">IF(ISBLANK(_xlfn.xlookup(D$3,daily_items,_xlfn.xlookup($C2859,daily_dates,big_daily_table))),NA(),_xlfn.xlookup(D$3,daily_items,_xlfn.xlookup($C2859,daily_dates,big_daily_table)))</f>
        <v>#NAME?</v>
      </c>
      <c r="E2859" s="1" t="e">
        <f aca="false" t="array" ref="E2859:E2859">IF(ISBLANK(_xlfn.xlookup(E$3,daily_items,_xlfn.xlookup($C2859,daily_dates,big_daily_table))),NA(),_xlfn.xlookup(E$3,daily_items,_xlfn.xlookup($C2859,daily_dates,big_daily_table)))</f>
        <v>#NAME?</v>
      </c>
    </row>
    <row r="2860" customFormat="false" ht="14.25" hidden="false" customHeight="false" outlineLevel="0" collapsed="false">
      <c r="B2860" s="7" t="n">
        <v>43765</v>
      </c>
      <c r="C2860" s="7" t="n">
        <f aca="false">B2860-WEEKDAY(B2860)+1</f>
        <v>43765</v>
      </c>
      <c r="D2860" s="1" t="e">
        <f aca="false" t="array" ref="D2860:D2860">IF(ISBLANK(_xlfn.xlookup(D$3,daily_items,_xlfn.xlookup($C2860,daily_dates,big_daily_table))),NA(),_xlfn.xlookup(D$3,daily_items,_xlfn.xlookup($C2860,daily_dates,big_daily_table)))</f>
        <v>#NAME?</v>
      </c>
      <c r="E2860" s="1" t="e">
        <f aca="false" t="array" ref="E2860:E2860">IF(ISBLANK(_xlfn.xlookup(E$3,daily_items,_xlfn.xlookup($C2860,daily_dates,big_daily_table))),NA(),_xlfn.xlookup(E$3,daily_items,_xlfn.xlookup($C2860,daily_dates,big_daily_table)))</f>
        <v>#NAME?</v>
      </c>
    </row>
    <row r="2861" customFormat="false" ht="14.25" hidden="false" customHeight="false" outlineLevel="0" collapsed="false">
      <c r="B2861" s="7" t="n">
        <v>43766</v>
      </c>
      <c r="C2861" s="7" t="n">
        <f aca="false">B2861-WEEKDAY(B2861)+1</f>
        <v>43765</v>
      </c>
      <c r="D2861" s="1" t="e">
        <f aca="false" t="array" ref="D2861:D2861">IF(ISBLANK(_xlfn.xlookup(D$3,daily_items,_xlfn.xlookup($C2861,daily_dates,big_daily_table))),NA(),_xlfn.xlookup(D$3,daily_items,_xlfn.xlookup($C2861,daily_dates,big_daily_table)))</f>
        <v>#NAME?</v>
      </c>
      <c r="E2861" s="1" t="e">
        <f aca="false" t="array" ref="E2861:E2861">IF(ISBLANK(_xlfn.xlookup(E$3,daily_items,_xlfn.xlookup($C2861,daily_dates,big_daily_table))),NA(),_xlfn.xlookup(E$3,daily_items,_xlfn.xlookup($C2861,daily_dates,big_daily_table)))</f>
        <v>#NAME?</v>
      </c>
    </row>
    <row r="2862" customFormat="false" ht="14.25" hidden="false" customHeight="false" outlineLevel="0" collapsed="false">
      <c r="B2862" s="7" t="n">
        <v>43767</v>
      </c>
      <c r="C2862" s="7" t="n">
        <f aca="false">B2862-WEEKDAY(B2862)+1</f>
        <v>43765</v>
      </c>
      <c r="D2862" s="1" t="e">
        <f aca="false" t="array" ref="D2862:D2862">IF(ISBLANK(_xlfn.xlookup(D$3,daily_items,_xlfn.xlookup($C2862,daily_dates,big_daily_table))),NA(),_xlfn.xlookup(D$3,daily_items,_xlfn.xlookup($C2862,daily_dates,big_daily_table)))</f>
        <v>#NAME?</v>
      </c>
      <c r="E2862" s="1" t="e">
        <f aca="false" t="array" ref="E2862:E2862">IF(ISBLANK(_xlfn.xlookup(E$3,daily_items,_xlfn.xlookup($C2862,daily_dates,big_daily_table))),NA(),_xlfn.xlookup(E$3,daily_items,_xlfn.xlookup($C2862,daily_dates,big_daily_table)))</f>
        <v>#NAME?</v>
      </c>
    </row>
    <row r="2863" customFormat="false" ht="14.25" hidden="false" customHeight="false" outlineLevel="0" collapsed="false">
      <c r="B2863" s="7" t="n">
        <v>43768</v>
      </c>
      <c r="C2863" s="7" t="n">
        <f aca="false">B2863-WEEKDAY(B2863)+1</f>
        <v>43765</v>
      </c>
      <c r="D2863" s="1" t="e">
        <f aca="false" t="array" ref="D2863:D2863">IF(ISBLANK(_xlfn.xlookup(D$3,daily_items,_xlfn.xlookup($C2863,daily_dates,big_daily_table))),NA(),_xlfn.xlookup(D$3,daily_items,_xlfn.xlookup($C2863,daily_dates,big_daily_table)))</f>
        <v>#NAME?</v>
      </c>
      <c r="E2863" s="1" t="e">
        <f aca="false" t="array" ref="E2863:E2863">IF(ISBLANK(_xlfn.xlookup(E$3,daily_items,_xlfn.xlookup($C2863,daily_dates,big_daily_table))),NA(),_xlfn.xlookup(E$3,daily_items,_xlfn.xlookup($C2863,daily_dates,big_daily_table)))</f>
        <v>#NAME?</v>
      </c>
    </row>
    <row r="2864" customFormat="false" ht="14.25" hidden="false" customHeight="false" outlineLevel="0" collapsed="false">
      <c r="B2864" s="7" t="n">
        <v>43769</v>
      </c>
      <c r="C2864" s="7" t="n">
        <f aca="false">B2864-WEEKDAY(B2864)+1</f>
        <v>43765</v>
      </c>
      <c r="D2864" s="1" t="e">
        <f aca="false" t="array" ref="D2864:D2864">IF(ISBLANK(_xlfn.xlookup(D$3,daily_items,_xlfn.xlookup($C2864,daily_dates,big_daily_table))),NA(),_xlfn.xlookup(D$3,daily_items,_xlfn.xlookup($C2864,daily_dates,big_daily_table)))</f>
        <v>#NAME?</v>
      </c>
      <c r="E2864" s="1" t="e">
        <f aca="false" t="array" ref="E2864:E2864">IF(ISBLANK(_xlfn.xlookup(E$3,daily_items,_xlfn.xlookup($C2864,daily_dates,big_daily_table))),NA(),_xlfn.xlookup(E$3,daily_items,_xlfn.xlookup($C2864,daily_dates,big_daily_table)))</f>
        <v>#NAME?</v>
      </c>
    </row>
    <row r="2865" customFormat="false" ht="14.25" hidden="false" customHeight="false" outlineLevel="0" collapsed="false">
      <c r="B2865" s="7" t="n">
        <v>43770</v>
      </c>
      <c r="C2865" s="7" t="n">
        <f aca="false">B2865-WEEKDAY(B2865)+1</f>
        <v>43765</v>
      </c>
      <c r="D2865" s="1" t="e">
        <f aca="false" t="array" ref="D2865:D2865">IF(ISBLANK(_xlfn.xlookup(D$3,daily_items,_xlfn.xlookup($C2865,daily_dates,big_daily_table))),NA(),_xlfn.xlookup(D$3,daily_items,_xlfn.xlookup($C2865,daily_dates,big_daily_table)))</f>
        <v>#NAME?</v>
      </c>
      <c r="E2865" s="1" t="e">
        <f aca="false" t="array" ref="E2865:E2865">IF(ISBLANK(_xlfn.xlookup(E$3,daily_items,_xlfn.xlookup($C2865,daily_dates,big_daily_table))),NA(),_xlfn.xlookup(E$3,daily_items,_xlfn.xlookup($C2865,daily_dates,big_daily_table)))</f>
        <v>#NAME?</v>
      </c>
    </row>
    <row r="2866" customFormat="false" ht="14.25" hidden="false" customHeight="false" outlineLevel="0" collapsed="false">
      <c r="B2866" s="7" t="n">
        <v>43771</v>
      </c>
      <c r="C2866" s="7" t="n">
        <f aca="false">B2866-WEEKDAY(B2866)+1</f>
        <v>43765</v>
      </c>
      <c r="D2866" s="1" t="e">
        <f aca="false" t="array" ref="D2866:D2866">IF(ISBLANK(_xlfn.xlookup(D$3,daily_items,_xlfn.xlookup($C2866,daily_dates,big_daily_table))),NA(),_xlfn.xlookup(D$3,daily_items,_xlfn.xlookup($C2866,daily_dates,big_daily_table)))</f>
        <v>#NAME?</v>
      </c>
      <c r="E2866" s="1" t="e">
        <f aca="false" t="array" ref="E2866:E2866">IF(ISBLANK(_xlfn.xlookup(E$3,daily_items,_xlfn.xlookup($C2866,daily_dates,big_daily_table))),NA(),_xlfn.xlookup(E$3,daily_items,_xlfn.xlookup($C2866,daily_dates,big_daily_table)))</f>
        <v>#NAME?</v>
      </c>
    </row>
    <row r="2867" customFormat="false" ht="14.25" hidden="false" customHeight="false" outlineLevel="0" collapsed="false">
      <c r="B2867" s="7" t="n">
        <v>43772</v>
      </c>
      <c r="C2867" s="7" t="n">
        <f aca="false">B2867-WEEKDAY(B2867)+1</f>
        <v>43772</v>
      </c>
      <c r="D2867" s="1" t="e">
        <f aca="false" t="array" ref="D2867:D2867">IF(ISBLANK(_xlfn.xlookup(D$3,daily_items,_xlfn.xlookup($C2867,daily_dates,big_daily_table))),NA(),_xlfn.xlookup(D$3,daily_items,_xlfn.xlookup($C2867,daily_dates,big_daily_table)))</f>
        <v>#NAME?</v>
      </c>
      <c r="E2867" s="1" t="e">
        <f aca="false" t="array" ref="E2867:E2867">IF(ISBLANK(_xlfn.xlookup(E$3,daily_items,_xlfn.xlookup($C2867,daily_dates,big_daily_table))),NA(),_xlfn.xlookup(E$3,daily_items,_xlfn.xlookup($C2867,daily_dates,big_daily_table)))</f>
        <v>#NAME?</v>
      </c>
    </row>
    <row r="2868" customFormat="false" ht="14.25" hidden="false" customHeight="false" outlineLevel="0" collapsed="false">
      <c r="B2868" s="7" t="n">
        <v>43773</v>
      </c>
      <c r="C2868" s="7" t="n">
        <f aca="false">B2868-WEEKDAY(B2868)+1</f>
        <v>43772</v>
      </c>
      <c r="D2868" s="1" t="e">
        <f aca="false" t="array" ref="D2868:D2868">IF(ISBLANK(_xlfn.xlookup(D$3,daily_items,_xlfn.xlookup($C2868,daily_dates,big_daily_table))),NA(),_xlfn.xlookup(D$3,daily_items,_xlfn.xlookup($C2868,daily_dates,big_daily_table)))</f>
        <v>#NAME?</v>
      </c>
      <c r="E2868" s="1" t="e">
        <f aca="false" t="array" ref="E2868:E2868">IF(ISBLANK(_xlfn.xlookup(E$3,daily_items,_xlfn.xlookup($C2868,daily_dates,big_daily_table))),NA(),_xlfn.xlookup(E$3,daily_items,_xlfn.xlookup($C2868,daily_dates,big_daily_table)))</f>
        <v>#NAME?</v>
      </c>
    </row>
    <row r="2869" customFormat="false" ht="14.25" hidden="false" customHeight="false" outlineLevel="0" collapsed="false">
      <c r="B2869" s="7" t="n">
        <v>43774</v>
      </c>
      <c r="C2869" s="7" t="n">
        <f aca="false">B2869-WEEKDAY(B2869)+1</f>
        <v>43772</v>
      </c>
      <c r="D2869" s="1" t="e">
        <f aca="false" t="array" ref="D2869:D2869">IF(ISBLANK(_xlfn.xlookup(D$3,daily_items,_xlfn.xlookup($C2869,daily_dates,big_daily_table))),NA(),_xlfn.xlookup(D$3,daily_items,_xlfn.xlookup($C2869,daily_dates,big_daily_table)))</f>
        <v>#NAME?</v>
      </c>
      <c r="E2869" s="1" t="e">
        <f aca="false" t="array" ref="E2869:E2869">IF(ISBLANK(_xlfn.xlookup(E$3,daily_items,_xlfn.xlookup($C2869,daily_dates,big_daily_table))),NA(),_xlfn.xlookup(E$3,daily_items,_xlfn.xlookup($C2869,daily_dates,big_daily_table)))</f>
        <v>#NAME?</v>
      </c>
    </row>
    <row r="2870" customFormat="false" ht="14.25" hidden="false" customHeight="false" outlineLevel="0" collapsed="false">
      <c r="B2870" s="7" t="n">
        <v>43775</v>
      </c>
      <c r="C2870" s="7" t="n">
        <f aca="false">B2870-WEEKDAY(B2870)+1</f>
        <v>43772</v>
      </c>
      <c r="D2870" s="1" t="e">
        <f aca="false" t="array" ref="D2870:D2870">IF(ISBLANK(_xlfn.xlookup(D$3,daily_items,_xlfn.xlookup($C2870,daily_dates,big_daily_table))),NA(),_xlfn.xlookup(D$3,daily_items,_xlfn.xlookup($C2870,daily_dates,big_daily_table)))</f>
        <v>#NAME?</v>
      </c>
      <c r="E2870" s="1" t="e">
        <f aca="false" t="array" ref="E2870:E2870">IF(ISBLANK(_xlfn.xlookup(E$3,daily_items,_xlfn.xlookup($C2870,daily_dates,big_daily_table))),NA(),_xlfn.xlookup(E$3,daily_items,_xlfn.xlookup($C2870,daily_dates,big_daily_table)))</f>
        <v>#NAME?</v>
      </c>
    </row>
    <row r="2871" customFormat="false" ht="14.25" hidden="false" customHeight="false" outlineLevel="0" collapsed="false">
      <c r="B2871" s="7" t="n">
        <v>43776</v>
      </c>
      <c r="C2871" s="7" t="n">
        <f aca="false">B2871-WEEKDAY(B2871)+1</f>
        <v>43772</v>
      </c>
      <c r="D2871" s="1" t="e">
        <f aca="false" t="array" ref="D2871:D2871">IF(ISBLANK(_xlfn.xlookup(D$3,daily_items,_xlfn.xlookup($C2871,daily_dates,big_daily_table))),NA(),_xlfn.xlookup(D$3,daily_items,_xlfn.xlookup($C2871,daily_dates,big_daily_table)))</f>
        <v>#NAME?</v>
      </c>
      <c r="E2871" s="1" t="e">
        <f aca="false" t="array" ref="E2871:E2871">IF(ISBLANK(_xlfn.xlookup(E$3,daily_items,_xlfn.xlookup($C2871,daily_dates,big_daily_table))),NA(),_xlfn.xlookup(E$3,daily_items,_xlfn.xlookup($C2871,daily_dates,big_daily_table)))</f>
        <v>#NAME?</v>
      </c>
    </row>
    <row r="2872" customFormat="false" ht="14.25" hidden="false" customHeight="false" outlineLevel="0" collapsed="false">
      <c r="B2872" s="7" t="n">
        <v>43777</v>
      </c>
      <c r="C2872" s="7" t="n">
        <f aca="false">B2872-WEEKDAY(B2872)+1</f>
        <v>43772</v>
      </c>
      <c r="D2872" s="1" t="e">
        <f aca="false" t="array" ref="D2872:D2872">IF(ISBLANK(_xlfn.xlookup(D$3,daily_items,_xlfn.xlookup($C2872,daily_dates,big_daily_table))),NA(),_xlfn.xlookup(D$3,daily_items,_xlfn.xlookup($C2872,daily_dates,big_daily_table)))</f>
        <v>#NAME?</v>
      </c>
      <c r="E2872" s="1" t="e">
        <f aca="false" t="array" ref="E2872:E2872">IF(ISBLANK(_xlfn.xlookup(E$3,daily_items,_xlfn.xlookup($C2872,daily_dates,big_daily_table))),NA(),_xlfn.xlookup(E$3,daily_items,_xlfn.xlookup($C2872,daily_dates,big_daily_table)))</f>
        <v>#NAME?</v>
      </c>
    </row>
    <row r="2873" customFormat="false" ht="14.25" hidden="false" customHeight="false" outlineLevel="0" collapsed="false">
      <c r="B2873" s="7" t="n">
        <v>43778</v>
      </c>
      <c r="C2873" s="7" t="n">
        <f aca="false">B2873-WEEKDAY(B2873)+1</f>
        <v>43772</v>
      </c>
      <c r="D2873" s="1" t="e">
        <f aca="false" t="array" ref="D2873:D2873">IF(ISBLANK(_xlfn.xlookup(D$3,daily_items,_xlfn.xlookup($C2873,daily_dates,big_daily_table))),NA(),_xlfn.xlookup(D$3,daily_items,_xlfn.xlookup($C2873,daily_dates,big_daily_table)))</f>
        <v>#NAME?</v>
      </c>
      <c r="E2873" s="1" t="e">
        <f aca="false" t="array" ref="E2873:E2873">IF(ISBLANK(_xlfn.xlookup(E$3,daily_items,_xlfn.xlookup($C2873,daily_dates,big_daily_table))),NA(),_xlfn.xlookup(E$3,daily_items,_xlfn.xlookup($C2873,daily_dates,big_daily_table)))</f>
        <v>#NAME?</v>
      </c>
    </row>
    <row r="2874" customFormat="false" ht="14.25" hidden="false" customHeight="false" outlineLevel="0" collapsed="false">
      <c r="B2874" s="7" t="n">
        <v>43779</v>
      </c>
      <c r="C2874" s="7" t="n">
        <f aca="false">B2874-WEEKDAY(B2874)+1</f>
        <v>43779</v>
      </c>
      <c r="D2874" s="1" t="e">
        <f aca="false" t="array" ref="D2874:D2874">IF(ISBLANK(_xlfn.xlookup(D$3,daily_items,_xlfn.xlookup($C2874,daily_dates,big_daily_table))),NA(),_xlfn.xlookup(D$3,daily_items,_xlfn.xlookup($C2874,daily_dates,big_daily_table)))</f>
        <v>#NAME?</v>
      </c>
      <c r="E2874" s="1" t="e">
        <f aca="false" t="array" ref="E2874:E2874">IF(ISBLANK(_xlfn.xlookup(E$3,daily_items,_xlfn.xlookup($C2874,daily_dates,big_daily_table))),NA(),_xlfn.xlookup(E$3,daily_items,_xlfn.xlookup($C2874,daily_dates,big_daily_table)))</f>
        <v>#NAME?</v>
      </c>
    </row>
    <row r="2875" customFormat="false" ht="14.25" hidden="false" customHeight="false" outlineLevel="0" collapsed="false">
      <c r="B2875" s="7" t="n">
        <v>43780</v>
      </c>
      <c r="C2875" s="7" t="n">
        <f aca="false">B2875-WEEKDAY(B2875)+1</f>
        <v>43779</v>
      </c>
      <c r="D2875" s="1" t="e">
        <f aca="false" t="array" ref="D2875:D2875">IF(ISBLANK(_xlfn.xlookup(D$3,daily_items,_xlfn.xlookup($C2875,daily_dates,big_daily_table))),NA(),_xlfn.xlookup(D$3,daily_items,_xlfn.xlookup($C2875,daily_dates,big_daily_table)))</f>
        <v>#NAME?</v>
      </c>
      <c r="E2875" s="1" t="e">
        <f aca="false" t="array" ref="E2875:E2875">IF(ISBLANK(_xlfn.xlookup(E$3,daily_items,_xlfn.xlookup($C2875,daily_dates,big_daily_table))),NA(),_xlfn.xlookup(E$3,daily_items,_xlfn.xlookup($C2875,daily_dates,big_daily_table)))</f>
        <v>#NAME?</v>
      </c>
    </row>
    <row r="2876" customFormat="false" ht="14.25" hidden="false" customHeight="false" outlineLevel="0" collapsed="false">
      <c r="B2876" s="7" t="n">
        <v>43781</v>
      </c>
      <c r="C2876" s="7" t="n">
        <f aca="false">B2876-WEEKDAY(B2876)+1</f>
        <v>43779</v>
      </c>
      <c r="D2876" s="1" t="e">
        <f aca="false" t="array" ref="D2876:D2876">IF(ISBLANK(_xlfn.xlookup(D$3,daily_items,_xlfn.xlookup($C2876,daily_dates,big_daily_table))),NA(),_xlfn.xlookup(D$3,daily_items,_xlfn.xlookup($C2876,daily_dates,big_daily_table)))</f>
        <v>#NAME?</v>
      </c>
      <c r="E2876" s="1" t="e">
        <f aca="false" t="array" ref="E2876:E2876">IF(ISBLANK(_xlfn.xlookup(E$3,daily_items,_xlfn.xlookup($C2876,daily_dates,big_daily_table))),NA(),_xlfn.xlookup(E$3,daily_items,_xlfn.xlookup($C2876,daily_dates,big_daily_table)))</f>
        <v>#NAME?</v>
      </c>
    </row>
    <row r="2877" customFormat="false" ht="14.25" hidden="false" customHeight="false" outlineLevel="0" collapsed="false">
      <c r="B2877" s="7" t="n">
        <v>43782</v>
      </c>
      <c r="C2877" s="7" t="n">
        <f aca="false">B2877-WEEKDAY(B2877)+1</f>
        <v>43779</v>
      </c>
      <c r="D2877" s="1" t="e">
        <f aca="false" t="array" ref="D2877:D2877">IF(ISBLANK(_xlfn.xlookup(D$3,daily_items,_xlfn.xlookup($C2877,daily_dates,big_daily_table))),NA(),_xlfn.xlookup(D$3,daily_items,_xlfn.xlookup($C2877,daily_dates,big_daily_table)))</f>
        <v>#NAME?</v>
      </c>
      <c r="E2877" s="1" t="e">
        <f aca="false" t="array" ref="E2877:E2877">IF(ISBLANK(_xlfn.xlookup(E$3,daily_items,_xlfn.xlookup($C2877,daily_dates,big_daily_table))),NA(),_xlfn.xlookup(E$3,daily_items,_xlfn.xlookup($C2877,daily_dates,big_daily_table)))</f>
        <v>#NAME?</v>
      </c>
    </row>
    <row r="2878" customFormat="false" ht="14.25" hidden="false" customHeight="false" outlineLevel="0" collapsed="false">
      <c r="B2878" s="7" t="n">
        <v>43783</v>
      </c>
      <c r="C2878" s="7" t="n">
        <f aca="false">B2878-WEEKDAY(B2878)+1</f>
        <v>43779</v>
      </c>
      <c r="D2878" s="1" t="e">
        <f aca="false" t="array" ref="D2878:D2878">IF(ISBLANK(_xlfn.xlookup(D$3,daily_items,_xlfn.xlookup($C2878,daily_dates,big_daily_table))),NA(),_xlfn.xlookup(D$3,daily_items,_xlfn.xlookup($C2878,daily_dates,big_daily_table)))</f>
        <v>#NAME?</v>
      </c>
      <c r="E2878" s="1" t="e">
        <f aca="false" t="array" ref="E2878:E2878">IF(ISBLANK(_xlfn.xlookup(E$3,daily_items,_xlfn.xlookup($C2878,daily_dates,big_daily_table))),NA(),_xlfn.xlookup(E$3,daily_items,_xlfn.xlookup($C2878,daily_dates,big_daily_table)))</f>
        <v>#NAME?</v>
      </c>
    </row>
    <row r="2879" customFormat="false" ht="14.25" hidden="false" customHeight="false" outlineLevel="0" collapsed="false">
      <c r="B2879" s="7" t="n">
        <v>43784</v>
      </c>
      <c r="C2879" s="7" t="n">
        <f aca="false">B2879-WEEKDAY(B2879)+1</f>
        <v>43779</v>
      </c>
      <c r="D2879" s="1" t="e">
        <f aca="false" t="array" ref="D2879:D2879">IF(ISBLANK(_xlfn.xlookup(D$3,daily_items,_xlfn.xlookup($C2879,daily_dates,big_daily_table))),NA(),_xlfn.xlookup(D$3,daily_items,_xlfn.xlookup($C2879,daily_dates,big_daily_table)))</f>
        <v>#NAME?</v>
      </c>
      <c r="E2879" s="1" t="e">
        <f aca="false" t="array" ref="E2879:E2879">IF(ISBLANK(_xlfn.xlookup(E$3,daily_items,_xlfn.xlookup($C2879,daily_dates,big_daily_table))),NA(),_xlfn.xlookup(E$3,daily_items,_xlfn.xlookup($C2879,daily_dates,big_daily_table)))</f>
        <v>#NAME?</v>
      </c>
    </row>
    <row r="2880" customFormat="false" ht="14.25" hidden="false" customHeight="false" outlineLevel="0" collapsed="false">
      <c r="B2880" s="7" t="n">
        <v>43785</v>
      </c>
      <c r="C2880" s="7" t="n">
        <f aca="false">B2880-WEEKDAY(B2880)+1</f>
        <v>43779</v>
      </c>
      <c r="D2880" s="1" t="e">
        <f aca="false" t="array" ref="D2880:D2880">IF(ISBLANK(_xlfn.xlookup(D$3,daily_items,_xlfn.xlookup($C2880,daily_dates,big_daily_table))),NA(),_xlfn.xlookup(D$3,daily_items,_xlfn.xlookup($C2880,daily_dates,big_daily_table)))</f>
        <v>#NAME?</v>
      </c>
      <c r="E2880" s="1" t="e">
        <f aca="false" t="array" ref="E2880:E2880">IF(ISBLANK(_xlfn.xlookup(E$3,daily_items,_xlfn.xlookup($C2880,daily_dates,big_daily_table))),NA(),_xlfn.xlookup(E$3,daily_items,_xlfn.xlookup($C2880,daily_dates,big_daily_table)))</f>
        <v>#NAME?</v>
      </c>
    </row>
    <row r="2881" customFormat="false" ht="14.25" hidden="false" customHeight="false" outlineLevel="0" collapsed="false">
      <c r="B2881" s="7" t="n">
        <v>43786</v>
      </c>
      <c r="C2881" s="7" t="n">
        <f aca="false">B2881-WEEKDAY(B2881)+1</f>
        <v>43786</v>
      </c>
      <c r="D2881" s="1" t="e">
        <f aca="false" t="array" ref="D2881:D2881">IF(ISBLANK(_xlfn.xlookup(D$3,daily_items,_xlfn.xlookup($C2881,daily_dates,big_daily_table))),NA(),_xlfn.xlookup(D$3,daily_items,_xlfn.xlookup($C2881,daily_dates,big_daily_table)))</f>
        <v>#NAME?</v>
      </c>
      <c r="E2881" s="1" t="e">
        <f aca="false" t="array" ref="E2881:E2881">IF(ISBLANK(_xlfn.xlookup(E$3,daily_items,_xlfn.xlookup($C2881,daily_dates,big_daily_table))),NA(),_xlfn.xlookup(E$3,daily_items,_xlfn.xlookup($C2881,daily_dates,big_daily_table)))</f>
        <v>#NAME?</v>
      </c>
    </row>
    <row r="2882" customFormat="false" ht="14.25" hidden="false" customHeight="false" outlineLevel="0" collapsed="false">
      <c r="B2882" s="7" t="n">
        <v>43787</v>
      </c>
      <c r="C2882" s="7" t="n">
        <f aca="false">B2882-WEEKDAY(B2882)+1</f>
        <v>43786</v>
      </c>
      <c r="D2882" s="1" t="e">
        <f aca="false" t="array" ref="D2882:D2882">IF(ISBLANK(_xlfn.xlookup(D$3,daily_items,_xlfn.xlookup($C2882,daily_dates,big_daily_table))),NA(),_xlfn.xlookup(D$3,daily_items,_xlfn.xlookup($C2882,daily_dates,big_daily_table)))</f>
        <v>#NAME?</v>
      </c>
      <c r="E2882" s="1" t="e">
        <f aca="false" t="array" ref="E2882:E2882">IF(ISBLANK(_xlfn.xlookup(E$3,daily_items,_xlfn.xlookup($C2882,daily_dates,big_daily_table))),NA(),_xlfn.xlookup(E$3,daily_items,_xlfn.xlookup($C2882,daily_dates,big_daily_table)))</f>
        <v>#NAME?</v>
      </c>
    </row>
    <row r="2883" customFormat="false" ht="14.25" hidden="false" customHeight="false" outlineLevel="0" collapsed="false">
      <c r="B2883" s="7" t="n">
        <v>43788</v>
      </c>
      <c r="C2883" s="7" t="n">
        <f aca="false">B2883-WEEKDAY(B2883)+1</f>
        <v>43786</v>
      </c>
      <c r="D2883" s="1" t="e">
        <f aca="false" t="array" ref="D2883:D2883">IF(ISBLANK(_xlfn.xlookup(D$3,daily_items,_xlfn.xlookup($C2883,daily_dates,big_daily_table))),NA(),_xlfn.xlookup(D$3,daily_items,_xlfn.xlookup($C2883,daily_dates,big_daily_table)))</f>
        <v>#NAME?</v>
      </c>
      <c r="E2883" s="1" t="e">
        <f aca="false" t="array" ref="E2883:E2883">IF(ISBLANK(_xlfn.xlookup(E$3,daily_items,_xlfn.xlookup($C2883,daily_dates,big_daily_table))),NA(),_xlfn.xlookup(E$3,daily_items,_xlfn.xlookup($C2883,daily_dates,big_daily_table)))</f>
        <v>#NAME?</v>
      </c>
    </row>
    <row r="2884" customFormat="false" ht="14.25" hidden="false" customHeight="false" outlineLevel="0" collapsed="false">
      <c r="B2884" s="7" t="n">
        <v>43789</v>
      </c>
      <c r="C2884" s="7" t="n">
        <f aca="false">B2884-WEEKDAY(B2884)+1</f>
        <v>43786</v>
      </c>
      <c r="D2884" s="1" t="e">
        <f aca="false" t="array" ref="D2884:D2884">IF(ISBLANK(_xlfn.xlookup(D$3,daily_items,_xlfn.xlookup($C2884,daily_dates,big_daily_table))),NA(),_xlfn.xlookup(D$3,daily_items,_xlfn.xlookup($C2884,daily_dates,big_daily_table)))</f>
        <v>#NAME?</v>
      </c>
      <c r="E2884" s="1" t="e">
        <f aca="false" t="array" ref="E2884:E2884">IF(ISBLANK(_xlfn.xlookup(E$3,daily_items,_xlfn.xlookup($C2884,daily_dates,big_daily_table))),NA(),_xlfn.xlookup(E$3,daily_items,_xlfn.xlookup($C2884,daily_dates,big_daily_table)))</f>
        <v>#NAME?</v>
      </c>
    </row>
    <row r="2885" customFormat="false" ht="14.25" hidden="false" customHeight="false" outlineLevel="0" collapsed="false">
      <c r="B2885" s="7" t="n">
        <v>43790</v>
      </c>
      <c r="C2885" s="7" t="n">
        <f aca="false">B2885-WEEKDAY(B2885)+1</f>
        <v>43786</v>
      </c>
      <c r="D2885" s="1" t="e">
        <f aca="false" t="array" ref="D2885:D2885">IF(ISBLANK(_xlfn.xlookup(D$3,daily_items,_xlfn.xlookup($C2885,daily_dates,big_daily_table))),NA(),_xlfn.xlookup(D$3,daily_items,_xlfn.xlookup($C2885,daily_dates,big_daily_table)))</f>
        <v>#NAME?</v>
      </c>
      <c r="E2885" s="1" t="e">
        <f aca="false" t="array" ref="E2885:E2885">IF(ISBLANK(_xlfn.xlookup(E$3,daily_items,_xlfn.xlookup($C2885,daily_dates,big_daily_table))),NA(),_xlfn.xlookup(E$3,daily_items,_xlfn.xlookup($C2885,daily_dates,big_daily_table)))</f>
        <v>#NAME?</v>
      </c>
    </row>
    <row r="2886" customFormat="false" ht="14.25" hidden="false" customHeight="false" outlineLevel="0" collapsed="false">
      <c r="B2886" s="7" t="n">
        <v>43791</v>
      </c>
      <c r="C2886" s="7" t="n">
        <f aca="false">B2886-WEEKDAY(B2886)+1</f>
        <v>43786</v>
      </c>
      <c r="D2886" s="1" t="e">
        <f aca="false" t="array" ref="D2886:D2886">IF(ISBLANK(_xlfn.xlookup(D$3,daily_items,_xlfn.xlookup($C2886,daily_dates,big_daily_table))),NA(),_xlfn.xlookup(D$3,daily_items,_xlfn.xlookup($C2886,daily_dates,big_daily_table)))</f>
        <v>#NAME?</v>
      </c>
      <c r="E2886" s="1" t="e">
        <f aca="false" t="array" ref="E2886:E2886">IF(ISBLANK(_xlfn.xlookup(E$3,daily_items,_xlfn.xlookup($C2886,daily_dates,big_daily_table))),NA(),_xlfn.xlookup(E$3,daily_items,_xlfn.xlookup($C2886,daily_dates,big_daily_table)))</f>
        <v>#NAME?</v>
      </c>
    </row>
    <row r="2887" customFormat="false" ht="14.25" hidden="false" customHeight="false" outlineLevel="0" collapsed="false">
      <c r="B2887" s="7" t="n">
        <v>43792</v>
      </c>
      <c r="C2887" s="7" t="n">
        <f aca="false">B2887-WEEKDAY(B2887)+1</f>
        <v>43786</v>
      </c>
      <c r="D2887" s="1" t="e">
        <f aca="false" t="array" ref="D2887:D2887">IF(ISBLANK(_xlfn.xlookup(D$3,daily_items,_xlfn.xlookup($C2887,daily_dates,big_daily_table))),NA(),_xlfn.xlookup(D$3,daily_items,_xlfn.xlookup($C2887,daily_dates,big_daily_table)))</f>
        <v>#NAME?</v>
      </c>
      <c r="E2887" s="1" t="e">
        <f aca="false" t="array" ref="E2887:E2887">IF(ISBLANK(_xlfn.xlookup(E$3,daily_items,_xlfn.xlookup($C2887,daily_dates,big_daily_table))),NA(),_xlfn.xlookup(E$3,daily_items,_xlfn.xlookup($C2887,daily_dates,big_daily_table)))</f>
        <v>#NAME?</v>
      </c>
    </row>
    <row r="2888" customFormat="false" ht="14.25" hidden="false" customHeight="false" outlineLevel="0" collapsed="false">
      <c r="B2888" s="7" t="n">
        <v>43793</v>
      </c>
      <c r="C2888" s="7" t="n">
        <f aca="false">B2888-WEEKDAY(B2888)+1</f>
        <v>43793</v>
      </c>
      <c r="D2888" s="1" t="e">
        <f aca="false" t="array" ref="D2888:D2888">IF(ISBLANK(_xlfn.xlookup(D$3,daily_items,_xlfn.xlookup($C2888,daily_dates,big_daily_table))),NA(),_xlfn.xlookup(D$3,daily_items,_xlfn.xlookup($C2888,daily_dates,big_daily_table)))</f>
        <v>#NAME?</v>
      </c>
      <c r="E2888" s="1" t="e">
        <f aca="false" t="array" ref="E2888:E2888">IF(ISBLANK(_xlfn.xlookup(E$3,daily_items,_xlfn.xlookup($C2888,daily_dates,big_daily_table))),NA(),_xlfn.xlookup(E$3,daily_items,_xlfn.xlookup($C2888,daily_dates,big_daily_table)))</f>
        <v>#NAME?</v>
      </c>
    </row>
    <row r="2889" customFormat="false" ht="14.25" hidden="false" customHeight="false" outlineLevel="0" collapsed="false">
      <c r="B2889" s="7" t="n">
        <v>43794</v>
      </c>
      <c r="C2889" s="7" t="n">
        <f aca="false">B2889-WEEKDAY(B2889)+1</f>
        <v>43793</v>
      </c>
      <c r="D2889" s="1" t="e">
        <f aca="false" t="array" ref="D2889:D2889">IF(ISBLANK(_xlfn.xlookup(D$3,daily_items,_xlfn.xlookup($C2889,daily_dates,big_daily_table))),NA(),_xlfn.xlookup(D$3,daily_items,_xlfn.xlookup($C2889,daily_dates,big_daily_table)))</f>
        <v>#NAME?</v>
      </c>
      <c r="E2889" s="1" t="e">
        <f aca="false" t="array" ref="E2889:E2889">IF(ISBLANK(_xlfn.xlookup(E$3,daily_items,_xlfn.xlookup($C2889,daily_dates,big_daily_table))),NA(),_xlfn.xlookup(E$3,daily_items,_xlfn.xlookup($C2889,daily_dates,big_daily_table)))</f>
        <v>#NAME?</v>
      </c>
    </row>
    <row r="2890" customFormat="false" ht="14.25" hidden="false" customHeight="false" outlineLevel="0" collapsed="false">
      <c r="B2890" s="7" t="n">
        <v>43795</v>
      </c>
      <c r="C2890" s="7" t="n">
        <f aca="false">B2890-WEEKDAY(B2890)+1</f>
        <v>43793</v>
      </c>
      <c r="D2890" s="1" t="e">
        <f aca="false" t="array" ref="D2890:D2890">IF(ISBLANK(_xlfn.xlookup(D$3,daily_items,_xlfn.xlookup($C2890,daily_dates,big_daily_table))),NA(),_xlfn.xlookup(D$3,daily_items,_xlfn.xlookup($C2890,daily_dates,big_daily_table)))</f>
        <v>#NAME?</v>
      </c>
      <c r="E2890" s="1" t="e">
        <f aca="false" t="array" ref="E2890:E2890">IF(ISBLANK(_xlfn.xlookup(E$3,daily_items,_xlfn.xlookup($C2890,daily_dates,big_daily_table))),NA(),_xlfn.xlookup(E$3,daily_items,_xlfn.xlookup($C2890,daily_dates,big_daily_table)))</f>
        <v>#NAME?</v>
      </c>
    </row>
    <row r="2891" customFormat="false" ht="14.25" hidden="false" customHeight="false" outlineLevel="0" collapsed="false">
      <c r="B2891" s="7" t="n">
        <v>43796</v>
      </c>
      <c r="C2891" s="7" t="n">
        <f aca="false">B2891-WEEKDAY(B2891)+1</f>
        <v>43793</v>
      </c>
      <c r="D2891" s="1" t="e">
        <f aca="false" t="array" ref="D2891:D2891">IF(ISBLANK(_xlfn.xlookup(D$3,daily_items,_xlfn.xlookup($C2891,daily_dates,big_daily_table))),NA(),_xlfn.xlookup(D$3,daily_items,_xlfn.xlookup($C2891,daily_dates,big_daily_table)))</f>
        <v>#NAME?</v>
      </c>
      <c r="E2891" s="1" t="e">
        <f aca="false" t="array" ref="E2891:E2891">IF(ISBLANK(_xlfn.xlookup(E$3,daily_items,_xlfn.xlookup($C2891,daily_dates,big_daily_table))),NA(),_xlfn.xlookup(E$3,daily_items,_xlfn.xlookup($C2891,daily_dates,big_daily_table)))</f>
        <v>#NAME?</v>
      </c>
    </row>
    <row r="2892" customFormat="false" ht="14.25" hidden="false" customHeight="false" outlineLevel="0" collapsed="false">
      <c r="B2892" s="7" t="n">
        <v>43797</v>
      </c>
      <c r="C2892" s="7" t="n">
        <f aca="false">B2892-WEEKDAY(B2892)+1</f>
        <v>43793</v>
      </c>
      <c r="D2892" s="1" t="e">
        <f aca="false" t="array" ref="D2892:D2892">IF(ISBLANK(_xlfn.xlookup(D$3,daily_items,_xlfn.xlookup($C2892,daily_dates,big_daily_table))),NA(),_xlfn.xlookup(D$3,daily_items,_xlfn.xlookup($C2892,daily_dates,big_daily_table)))</f>
        <v>#NAME?</v>
      </c>
      <c r="E2892" s="1" t="e">
        <f aca="false" t="array" ref="E2892:E2892">IF(ISBLANK(_xlfn.xlookup(E$3,daily_items,_xlfn.xlookup($C2892,daily_dates,big_daily_table))),NA(),_xlfn.xlookup(E$3,daily_items,_xlfn.xlookup($C2892,daily_dates,big_daily_table)))</f>
        <v>#NAME?</v>
      </c>
    </row>
    <row r="2893" customFormat="false" ht="14.25" hidden="false" customHeight="false" outlineLevel="0" collapsed="false">
      <c r="B2893" s="7" t="n">
        <v>43798</v>
      </c>
      <c r="C2893" s="7" t="n">
        <f aca="false">B2893-WEEKDAY(B2893)+1</f>
        <v>43793</v>
      </c>
      <c r="D2893" s="1" t="e">
        <f aca="false" t="array" ref="D2893:D2893">IF(ISBLANK(_xlfn.xlookup(D$3,daily_items,_xlfn.xlookup($C2893,daily_dates,big_daily_table))),NA(),_xlfn.xlookup(D$3,daily_items,_xlfn.xlookup($C2893,daily_dates,big_daily_table)))</f>
        <v>#NAME?</v>
      </c>
      <c r="E2893" s="1" t="e">
        <f aca="false" t="array" ref="E2893:E2893">IF(ISBLANK(_xlfn.xlookup(E$3,daily_items,_xlfn.xlookup($C2893,daily_dates,big_daily_table))),NA(),_xlfn.xlookup(E$3,daily_items,_xlfn.xlookup($C2893,daily_dates,big_daily_table)))</f>
        <v>#NAME?</v>
      </c>
    </row>
    <row r="2894" customFormat="false" ht="14.25" hidden="false" customHeight="false" outlineLevel="0" collapsed="false">
      <c r="B2894" s="7" t="n">
        <v>43799</v>
      </c>
      <c r="C2894" s="7" t="n">
        <f aca="false">B2894-WEEKDAY(B2894)+1</f>
        <v>43793</v>
      </c>
      <c r="D2894" s="1" t="e">
        <f aca="false" t="array" ref="D2894:D2894">IF(ISBLANK(_xlfn.xlookup(D$3,daily_items,_xlfn.xlookup($C2894,daily_dates,big_daily_table))),NA(),_xlfn.xlookup(D$3,daily_items,_xlfn.xlookup($C2894,daily_dates,big_daily_table)))</f>
        <v>#NAME?</v>
      </c>
      <c r="E2894" s="1" t="e">
        <f aca="false" t="array" ref="E2894:E2894">IF(ISBLANK(_xlfn.xlookup(E$3,daily_items,_xlfn.xlookup($C2894,daily_dates,big_daily_table))),NA(),_xlfn.xlookup(E$3,daily_items,_xlfn.xlookup($C2894,daily_dates,big_daily_table)))</f>
        <v>#NAME?</v>
      </c>
    </row>
    <row r="2895" customFormat="false" ht="14.25" hidden="false" customHeight="false" outlineLevel="0" collapsed="false">
      <c r="B2895" s="7" t="n">
        <v>43800</v>
      </c>
      <c r="C2895" s="7" t="n">
        <f aca="false">B2895-WEEKDAY(B2895)+1</f>
        <v>43800</v>
      </c>
      <c r="D2895" s="1" t="e">
        <f aca="false" t="array" ref="D2895:D2895">IF(ISBLANK(_xlfn.xlookup(D$3,daily_items,_xlfn.xlookup($C2895,daily_dates,big_daily_table))),NA(),_xlfn.xlookup(D$3,daily_items,_xlfn.xlookup($C2895,daily_dates,big_daily_table)))</f>
        <v>#NAME?</v>
      </c>
      <c r="E2895" s="1" t="e">
        <f aca="false" t="array" ref="E2895:E2895">IF(ISBLANK(_xlfn.xlookup(E$3,daily_items,_xlfn.xlookup($C2895,daily_dates,big_daily_table))),NA(),_xlfn.xlookup(E$3,daily_items,_xlfn.xlookup($C2895,daily_dates,big_daily_table)))</f>
        <v>#NAME?</v>
      </c>
    </row>
    <row r="2896" customFormat="false" ht="14.25" hidden="false" customHeight="false" outlineLevel="0" collapsed="false">
      <c r="B2896" s="7" t="n">
        <v>43801</v>
      </c>
      <c r="C2896" s="7" t="n">
        <f aca="false">B2896-WEEKDAY(B2896)+1</f>
        <v>43800</v>
      </c>
      <c r="D2896" s="1" t="e">
        <f aca="false" t="array" ref="D2896:D2896">IF(ISBLANK(_xlfn.xlookup(D$3,daily_items,_xlfn.xlookup($C2896,daily_dates,big_daily_table))),NA(),_xlfn.xlookup(D$3,daily_items,_xlfn.xlookup($C2896,daily_dates,big_daily_table)))</f>
        <v>#NAME?</v>
      </c>
      <c r="E2896" s="1" t="e">
        <f aca="false" t="array" ref="E2896:E2896">IF(ISBLANK(_xlfn.xlookup(E$3,daily_items,_xlfn.xlookup($C2896,daily_dates,big_daily_table))),NA(),_xlfn.xlookup(E$3,daily_items,_xlfn.xlookup($C2896,daily_dates,big_daily_table)))</f>
        <v>#NAME?</v>
      </c>
    </row>
    <row r="2897" customFormat="false" ht="14.25" hidden="false" customHeight="false" outlineLevel="0" collapsed="false">
      <c r="B2897" s="7" t="n">
        <v>43802</v>
      </c>
      <c r="C2897" s="7" t="n">
        <f aca="false">B2897-WEEKDAY(B2897)+1</f>
        <v>43800</v>
      </c>
      <c r="D2897" s="1" t="e">
        <f aca="false" t="array" ref="D2897:D2897">IF(ISBLANK(_xlfn.xlookup(D$3,daily_items,_xlfn.xlookup($C2897,daily_dates,big_daily_table))),NA(),_xlfn.xlookup(D$3,daily_items,_xlfn.xlookup($C2897,daily_dates,big_daily_table)))</f>
        <v>#NAME?</v>
      </c>
      <c r="E2897" s="1" t="e">
        <f aca="false" t="array" ref="E2897:E2897">IF(ISBLANK(_xlfn.xlookup(E$3,daily_items,_xlfn.xlookup($C2897,daily_dates,big_daily_table))),NA(),_xlfn.xlookup(E$3,daily_items,_xlfn.xlookup($C2897,daily_dates,big_daily_table)))</f>
        <v>#NAME?</v>
      </c>
    </row>
    <row r="2898" customFormat="false" ht="14.25" hidden="false" customHeight="false" outlineLevel="0" collapsed="false">
      <c r="B2898" s="7" t="n">
        <v>43803</v>
      </c>
      <c r="C2898" s="7" t="n">
        <f aca="false">B2898-WEEKDAY(B2898)+1</f>
        <v>43800</v>
      </c>
      <c r="D2898" s="1" t="e">
        <f aca="false" t="array" ref="D2898:D2898">IF(ISBLANK(_xlfn.xlookup(D$3,daily_items,_xlfn.xlookup($C2898,daily_dates,big_daily_table))),NA(),_xlfn.xlookup(D$3,daily_items,_xlfn.xlookup($C2898,daily_dates,big_daily_table)))</f>
        <v>#NAME?</v>
      </c>
      <c r="E2898" s="1" t="e">
        <f aca="false" t="array" ref="E2898:E2898">IF(ISBLANK(_xlfn.xlookup(E$3,daily_items,_xlfn.xlookup($C2898,daily_dates,big_daily_table))),NA(),_xlfn.xlookup(E$3,daily_items,_xlfn.xlookup($C2898,daily_dates,big_daily_table)))</f>
        <v>#NAME?</v>
      </c>
    </row>
    <row r="2899" customFormat="false" ht="14.25" hidden="false" customHeight="false" outlineLevel="0" collapsed="false">
      <c r="B2899" s="7" t="n">
        <v>43804</v>
      </c>
      <c r="C2899" s="7" t="n">
        <f aca="false">B2899-WEEKDAY(B2899)+1</f>
        <v>43800</v>
      </c>
      <c r="D2899" s="1" t="e">
        <f aca="false" t="array" ref="D2899:D2899">IF(ISBLANK(_xlfn.xlookup(D$3,daily_items,_xlfn.xlookup($C2899,daily_dates,big_daily_table))),NA(),_xlfn.xlookup(D$3,daily_items,_xlfn.xlookup($C2899,daily_dates,big_daily_table)))</f>
        <v>#NAME?</v>
      </c>
      <c r="E2899" s="1" t="e">
        <f aca="false" t="array" ref="E2899:E2899">IF(ISBLANK(_xlfn.xlookup(E$3,daily_items,_xlfn.xlookup($C2899,daily_dates,big_daily_table))),NA(),_xlfn.xlookup(E$3,daily_items,_xlfn.xlookup($C2899,daily_dates,big_daily_table)))</f>
        <v>#NAME?</v>
      </c>
    </row>
    <row r="2900" customFormat="false" ht="14.25" hidden="false" customHeight="false" outlineLevel="0" collapsed="false">
      <c r="B2900" s="7" t="n">
        <v>43805</v>
      </c>
      <c r="C2900" s="7" t="n">
        <f aca="false">B2900-WEEKDAY(B2900)+1</f>
        <v>43800</v>
      </c>
      <c r="D2900" s="1" t="e">
        <f aca="false" t="array" ref="D2900:D2900">IF(ISBLANK(_xlfn.xlookup(D$3,daily_items,_xlfn.xlookup($C2900,daily_dates,big_daily_table))),NA(),_xlfn.xlookup(D$3,daily_items,_xlfn.xlookup($C2900,daily_dates,big_daily_table)))</f>
        <v>#NAME?</v>
      </c>
      <c r="E2900" s="1" t="e">
        <f aca="false" t="array" ref="E2900:E2900">IF(ISBLANK(_xlfn.xlookup(E$3,daily_items,_xlfn.xlookup($C2900,daily_dates,big_daily_table))),NA(),_xlfn.xlookup(E$3,daily_items,_xlfn.xlookup($C2900,daily_dates,big_daily_table)))</f>
        <v>#NAME?</v>
      </c>
    </row>
    <row r="2901" customFormat="false" ht="14.25" hidden="false" customHeight="false" outlineLevel="0" collapsed="false">
      <c r="B2901" s="7" t="n">
        <v>43806</v>
      </c>
      <c r="C2901" s="7" t="n">
        <f aca="false">B2901-WEEKDAY(B2901)+1</f>
        <v>43800</v>
      </c>
      <c r="D2901" s="1" t="e">
        <f aca="false" t="array" ref="D2901:D2901">IF(ISBLANK(_xlfn.xlookup(D$3,daily_items,_xlfn.xlookup($C2901,daily_dates,big_daily_table))),NA(),_xlfn.xlookup(D$3,daily_items,_xlfn.xlookup($C2901,daily_dates,big_daily_table)))</f>
        <v>#NAME?</v>
      </c>
      <c r="E2901" s="1" t="e">
        <f aca="false" t="array" ref="E2901:E2901">IF(ISBLANK(_xlfn.xlookup(E$3,daily_items,_xlfn.xlookup($C2901,daily_dates,big_daily_table))),NA(),_xlfn.xlookup(E$3,daily_items,_xlfn.xlookup($C2901,daily_dates,big_daily_table)))</f>
        <v>#NAME?</v>
      </c>
    </row>
    <row r="2902" customFormat="false" ht="14.25" hidden="false" customHeight="false" outlineLevel="0" collapsed="false">
      <c r="B2902" s="7" t="n">
        <v>43807</v>
      </c>
      <c r="C2902" s="7" t="n">
        <f aca="false">B2902-WEEKDAY(B2902)+1</f>
        <v>43807</v>
      </c>
      <c r="D2902" s="1" t="e">
        <f aca="false" t="array" ref="D2902:D2902">IF(ISBLANK(_xlfn.xlookup(D$3,daily_items,_xlfn.xlookup($C2902,daily_dates,big_daily_table))),NA(),_xlfn.xlookup(D$3,daily_items,_xlfn.xlookup($C2902,daily_dates,big_daily_table)))</f>
        <v>#NAME?</v>
      </c>
      <c r="E2902" s="1" t="e">
        <f aca="false" t="array" ref="E2902:E2902">IF(ISBLANK(_xlfn.xlookup(E$3,daily_items,_xlfn.xlookup($C2902,daily_dates,big_daily_table))),NA(),_xlfn.xlookup(E$3,daily_items,_xlfn.xlookup($C2902,daily_dates,big_daily_table)))</f>
        <v>#NAME?</v>
      </c>
    </row>
    <row r="2903" customFormat="false" ht="14.25" hidden="false" customHeight="false" outlineLevel="0" collapsed="false">
      <c r="B2903" s="7" t="n">
        <v>43808</v>
      </c>
      <c r="C2903" s="7" t="n">
        <f aca="false">B2903-WEEKDAY(B2903)+1</f>
        <v>43807</v>
      </c>
      <c r="D2903" s="1" t="e">
        <f aca="false" t="array" ref="D2903:D2903">IF(ISBLANK(_xlfn.xlookup(D$3,daily_items,_xlfn.xlookup($C2903,daily_dates,big_daily_table))),NA(),_xlfn.xlookup(D$3,daily_items,_xlfn.xlookup($C2903,daily_dates,big_daily_table)))</f>
        <v>#NAME?</v>
      </c>
      <c r="E2903" s="1" t="e">
        <f aca="false" t="array" ref="E2903:E2903">IF(ISBLANK(_xlfn.xlookup(E$3,daily_items,_xlfn.xlookup($C2903,daily_dates,big_daily_table))),NA(),_xlfn.xlookup(E$3,daily_items,_xlfn.xlookup($C2903,daily_dates,big_daily_table)))</f>
        <v>#NAME?</v>
      </c>
    </row>
    <row r="2904" customFormat="false" ht="14.25" hidden="false" customHeight="false" outlineLevel="0" collapsed="false">
      <c r="B2904" s="7" t="n">
        <v>43809</v>
      </c>
      <c r="C2904" s="7" t="n">
        <f aca="false">B2904-WEEKDAY(B2904)+1</f>
        <v>43807</v>
      </c>
      <c r="D2904" s="1" t="e">
        <f aca="false" t="array" ref="D2904:D2904">IF(ISBLANK(_xlfn.xlookup(D$3,daily_items,_xlfn.xlookup($C2904,daily_dates,big_daily_table))),NA(),_xlfn.xlookup(D$3,daily_items,_xlfn.xlookup($C2904,daily_dates,big_daily_table)))</f>
        <v>#NAME?</v>
      </c>
      <c r="E2904" s="1" t="e">
        <f aca="false" t="array" ref="E2904:E2904">IF(ISBLANK(_xlfn.xlookup(E$3,daily_items,_xlfn.xlookup($C2904,daily_dates,big_daily_table))),NA(),_xlfn.xlookup(E$3,daily_items,_xlfn.xlookup($C2904,daily_dates,big_daily_table)))</f>
        <v>#NAME?</v>
      </c>
    </row>
    <row r="2905" customFormat="false" ht="14.25" hidden="false" customHeight="false" outlineLevel="0" collapsed="false">
      <c r="B2905" s="7" t="n">
        <v>43810</v>
      </c>
      <c r="C2905" s="7" t="n">
        <f aca="false">B2905-WEEKDAY(B2905)+1</f>
        <v>43807</v>
      </c>
      <c r="D2905" s="1" t="e">
        <f aca="false" t="array" ref="D2905:D2905">IF(ISBLANK(_xlfn.xlookup(D$3,daily_items,_xlfn.xlookup($C2905,daily_dates,big_daily_table))),NA(),_xlfn.xlookup(D$3,daily_items,_xlfn.xlookup($C2905,daily_dates,big_daily_table)))</f>
        <v>#NAME?</v>
      </c>
      <c r="E2905" s="1" t="e">
        <f aca="false" t="array" ref="E2905:E2905">IF(ISBLANK(_xlfn.xlookup(E$3,daily_items,_xlfn.xlookup($C2905,daily_dates,big_daily_table))),NA(),_xlfn.xlookup(E$3,daily_items,_xlfn.xlookup($C2905,daily_dates,big_daily_table)))</f>
        <v>#NAME?</v>
      </c>
    </row>
    <row r="2906" customFormat="false" ht="14.25" hidden="false" customHeight="false" outlineLevel="0" collapsed="false">
      <c r="B2906" s="7" t="n">
        <v>43811</v>
      </c>
      <c r="C2906" s="7" t="n">
        <f aca="false">B2906-WEEKDAY(B2906)+1</f>
        <v>43807</v>
      </c>
      <c r="D2906" s="1" t="e">
        <f aca="false" t="array" ref="D2906:D2906">IF(ISBLANK(_xlfn.xlookup(D$3,daily_items,_xlfn.xlookup($C2906,daily_dates,big_daily_table))),NA(),_xlfn.xlookup(D$3,daily_items,_xlfn.xlookup($C2906,daily_dates,big_daily_table)))</f>
        <v>#NAME?</v>
      </c>
      <c r="E2906" s="1" t="e">
        <f aca="false" t="array" ref="E2906:E2906">IF(ISBLANK(_xlfn.xlookup(E$3,daily_items,_xlfn.xlookup($C2906,daily_dates,big_daily_table))),NA(),_xlfn.xlookup(E$3,daily_items,_xlfn.xlookup($C2906,daily_dates,big_daily_table)))</f>
        <v>#NAME?</v>
      </c>
    </row>
    <row r="2907" customFormat="false" ht="14.25" hidden="false" customHeight="false" outlineLevel="0" collapsed="false">
      <c r="B2907" s="7" t="n">
        <v>43812</v>
      </c>
      <c r="C2907" s="7" t="n">
        <f aca="false">B2907-WEEKDAY(B2907)+1</f>
        <v>43807</v>
      </c>
      <c r="D2907" s="1" t="e">
        <f aca="false" t="array" ref="D2907:D2907">IF(ISBLANK(_xlfn.xlookup(D$3,daily_items,_xlfn.xlookup($C2907,daily_dates,big_daily_table))),NA(),_xlfn.xlookup(D$3,daily_items,_xlfn.xlookup($C2907,daily_dates,big_daily_table)))</f>
        <v>#NAME?</v>
      </c>
      <c r="E2907" s="1" t="e">
        <f aca="false" t="array" ref="E2907:E2907">IF(ISBLANK(_xlfn.xlookup(E$3,daily_items,_xlfn.xlookup($C2907,daily_dates,big_daily_table))),NA(),_xlfn.xlookup(E$3,daily_items,_xlfn.xlookup($C2907,daily_dates,big_daily_table)))</f>
        <v>#NAME?</v>
      </c>
    </row>
    <row r="2908" customFormat="false" ht="14.25" hidden="false" customHeight="false" outlineLevel="0" collapsed="false">
      <c r="B2908" s="7" t="n">
        <v>43813</v>
      </c>
      <c r="C2908" s="7" t="n">
        <f aca="false">B2908-WEEKDAY(B2908)+1</f>
        <v>43807</v>
      </c>
      <c r="D2908" s="1" t="e">
        <f aca="false" t="array" ref="D2908:D2908">IF(ISBLANK(_xlfn.xlookup(D$3,daily_items,_xlfn.xlookup($C2908,daily_dates,big_daily_table))),NA(),_xlfn.xlookup(D$3,daily_items,_xlfn.xlookup($C2908,daily_dates,big_daily_table)))</f>
        <v>#NAME?</v>
      </c>
      <c r="E2908" s="1" t="e">
        <f aca="false" t="array" ref="E2908:E2908">IF(ISBLANK(_xlfn.xlookup(E$3,daily_items,_xlfn.xlookup($C2908,daily_dates,big_daily_table))),NA(),_xlfn.xlookup(E$3,daily_items,_xlfn.xlookup($C2908,daily_dates,big_daily_table)))</f>
        <v>#NAME?</v>
      </c>
    </row>
    <row r="2909" customFormat="false" ht="14.25" hidden="false" customHeight="false" outlineLevel="0" collapsed="false">
      <c r="B2909" s="7" t="n">
        <v>43814</v>
      </c>
      <c r="C2909" s="7" t="n">
        <f aca="false">B2909-WEEKDAY(B2909)+1</f>
        <v>43814</v>
      </c>
      <c r="D2909" s="1" t="e">
        <f aca="false" t="array" ref="D2909:D2909">IF(ISBLANK(_xlfn.xlookup(D$3,daily_items,_xlfn.xlookup($C2909,daily_dates,big_daily_table))),NA(),_xlfn.xlookup(D$3,daily_items,_xlfn.xlookup($C2909,daily_dates,big_daily_table)))</f>
        <v>#NAME?</v>
      </c>
      <c r="E2909" s="1" t="e">
        <f aca="false" t="array" ref="E2909:E2909">IF(ISBLANK(_xlfn.xlookup(E$3,daily_items,_xlfn.xlookup($C2909,daily_dates,big_daily_table))),NA(),_xlfn.xlookup(E$3,daily_items,_xlfn.xlookup($C2909,daily_dates,big_daily_table)))</f>
        <v>#NAME?</v>
      </c>
    </row>
    <row r="2910" customFormat="false" ht="14.25" hidden="false" customHeight="false" outlineLevel="0" collapsed="false">
      <c r="B2910" s="7" t="n">
        <v>43815</v>
      </c>
      <c r="C2910" s="7" t="n">
        <f aca="false">B2910-WEEKDAY(B2910)+1</f>
        <v>43814</v>
      </c>
      <c r="D2910" s="1" t="e">
        <f aca="false" t="array" ref="D2910:D2910">IF(ISBLANK(_xlfn.xlookup(D$3,daily_items,_xlfn.xlookup($C2910,daily_dates,big_daily_table))),NA(),_xlfn.xlookup(D$3,daily_items,_xlfn.xlookup($C2910,daily_dates,big_daily_table)))</f>
        <v>#NAME?</v>
      </c>
      <c r="E2910" s="1" t="e">
        <f aca="false" t="array" ref="E2910:E2910">IF(ISBLANK(_xlfn.xlookup(E$3,daily_items,_xlfn.xlookup($C2910,daily_dates,big_daily_table))),NA(),_xlfn.xlookup(E$3,daily_items,_xlfn.xlookup($C2910,daily_dates,big_daily_table)))</f>
        <v>#NAME?</v>
      </c>
    </row>
    <row r="2911" customFormat="false" ht="14.25" hidden="false" customHeight="false" outlineLevel="0" collapsed="false">
      <c r="B2911" s="7" t="n">
        <v>43816</v>
      </c>
      <c r="C2911" s="7" t="n">
        <f aca="false">B2911-WEEKDAY(B2911)+1</f>
        <v>43814</v>
      </c>
      <c r="D2911" s="1" t="e">
        <f aca="false" t="array" ref="D2911:D2911">IF(ISBLANK(_xlfn.xlookup(D$3,daily_items,_xlfn.xlookup($C2911,daily_dates,big_daily_table))),NA(),_xlfn.xlookup(D$3,daily_items,_xlfn.xlookup($C2911,daily_dates,big_daily_table)))</f>
        <v>#NAME?</v>
      </c>
      <c r="E2911" s="1" t="e">
        <f aca="false" t="array" ref="E2911:E2911">IF(ISBLANK(_xlfn.xlookup(E$3,daily_items,_xlfn.xlookup($C2911,daily_dates,big_daily_table))),NA(),_xlfn.xlookup(E$3,daily_items,_xlfn.xlookup($C2911,daily_dates,big_daily_table)))</f>
        <v>#NAME?</v>
      </c>
    </row>
    <row r="2912" customFormat="false" ht="14.25" hidden="false" customHeight="false" outlineLevel="0" collapsed="false">
      <c r="B2912" s="7" t="n">
        <v>43817</v>
      </c>
      <c r="C2912" s="7" t="n">
        <f aca="false">B2912-WEEKDAY(B2912)+1</f>
        <v>43814</v>
      </c>
      <c r="D2912" s="1" t="e">
        <f aca="false" t="array" ref="D2912:D2912">IF(ISBLANK(_xlfn.xlookup(D$3,daily_items,_xlfn.xlookup($C2912,daily_dates,big_daily_table))),NA(),_xlfn.xlookup(D$3,daily_items,_xlfn.xlookup($C2912,daily_dates,big_daily_table)))</f>
        <v>#NAME?</v>
      </c>
      <c r="E2912" s="1" t="e">
        <f aca="false" t="array" ref="E2912:E2912">IF(ISBLANK(_xlfn.xlookup(E$3,daily_items,_xlfn.xlookup($C2912,daily_dates,big_daily_table))),NA(),_xlfn.xlookup(E$3,daily_items,_xlfn.xlookup($C2912,daily_dates,big_daily_table)))</f>
        <v>#NAME?</v>
      </c>
    </row>
    <row r="2913" customFormat="false" ht="14.25" hidden="false" customHeight="false" outlineLevel="0" collapsed="false">
      <c r="B2913" s="7" t="n">
        <v>43818</v>
      </c>
      <c r="C2913" s="7" t="n">
        <f aca="false">B2913-WEEKDAY(B2913)+1</f>
        <v>43814</v>
      </c>
      <c r="D2913" s="1" t="e">
        <f aca="false" t="array" ref="D2913:D2913">IF(ISBLANK(_xlfn.xlookup(D$3,daily_items,_xlfn.xlookup($C2913,daily_dates,big_daily_table))),NA(),_xlfn.xlookup(D$3,daily_items,_xlfn.xlookup($C2913,daily_dates,big_daily_table)))</f>
        <v>#NAME?</v>
      </c>
      <c r="E2913" s="1" t="e">
        <f aca="false" t="array" ref="E2913:E2913">IF(ISBLANK(_xlfn.xlookup(E$3,daily_items,_xlfn.xlookup($C2913,daily_dates,big_daily_table))),NA(),_xlfn.xlookup(E$3,daily_items,_xlfn.xlookup($C2913,daily_dates,big_daily_table)))</f>
        <v>#NAME?</v>
      </c>
    </row>
    <row r="2914" customFormat="false" ht="14.25" hidden="false" customHeight="false" outlineLevel="0" collapsed="false">
      <c r="B2914" s="7" t="n">
        <v>43819</v>
      </c>
      <c r="C2914" s="7" t="n">
        <f aca="false">B2914-WEEKDAY(B2914)+1</f>
        <v>43814</v>
      </c>
      <c r="D2914" s="1" t="e">
        <f aca="false" t="array" ref="D2914:D2914">IF(ISBLANK(_xlfn.xlookup(D$3,daily_items,_xlfn.xlookup($C2914,daily_dates,big_daily_table))),NA(),_xlfn.xlookup(D$3,daily_items,_xlfn.xlookup($C2914,daily_dates,big_daily_table)))</f>
        <v>#NAME?</v>
      </c>
      <c r="E2914" s="1" t="e">
        <f aca="false" t="array" ref="E2914:E2914">IF(ISBLANK(_xlfn.xlookup(E$3,daily_items,_xlfn.xlookup($C2914,daily_dates,big_daily_table))),NA(),_xlfn.xlookup(E$3,daily_items,_xlfn.xlookup($C2914,daily_dates,big_daily_table)))</f>
        <v>#NAME?</v>
      </c>
    </row>
    <row r="2915" customFormat="false" ht="14.25" hidden="false" customHeight="false" outlineLevel="0" collapsed="false">
      <c r="B2915" s="7" t="n">
        <v>43820</v>
      </c>
      <c r="C2915" s="7" t="n">
        <f aca="false">B2915-WEEKDAY(B2915)+1</f>
        <v>43814</v>
      </c>
      <c r="D2915" s="1" t="e">
        <f aca="false" t="array" ref="D2915:D2915">IF(ISBLANK(_xlfn.xlookup(D$3,daily_items,_xlfn.xlookup($C2915,daily_dates,big_daily_table))),NA(),_xlfn.xlookup(D$3,daily_items,_xlfn.xlookup($C2915,daily_dates,big_daily_table)))</f>
        <v>#NAME?</v>
      </c>
      <c r="E2915" s="1" t="e">
        <f aca="false" t="array" ref="E2915:E2915">IF(ISBLANK(_xlfn.xlookup(E$3,daily_items,_xlfn.xlookup($C2915,daily_dates,big_daily_table))),NA(),_xlfn.xlookup(E$3,daily_items,_xlfn.xlookup($C2915,daily_dates,big_daily_table)))</f>
        <v>#NAME?</v>
      </c>
    </row>
    <row r="2916" customFormat="false" ht="14.25" hidden="false" customHeight="false" outlineLevel="0" collapsed="false">
      <c r="B2916" s="7" t="n">
        <v>43821</v>
      </c>
      <c r="C2916" s="7" t="n">
        <f aca="false">B2916-WEEKDAY(B2916)+1</f>
        <v>43821</v>
      </c>
      <c r="D2916" s="1" t="e">
        <f aca="false" t="array" ref="D2916:D2916">IF(ISBLANK(_xlfn.xlookup(D$3,daily_items,_xlfn.xlookup($C2916,daily_dates,big_daily_table))),NA(),_xlfn.xlookup(D$3,daily_items,_xlfn.xlookup($C2916,daily_dates,big_daily_table)))</f>
        <v>#NAME?</v>
      </c>
      <c r="E2916" s="1" t="e">
        <f aca="false" t="array" ref="E2916:E2916">IF(ISBLANK(_xlfn.xlookup(E$3,daily_items,_xlfn.xlookup($C2916,daily_dates,big_daily_table))),NA(),_xlfn.xlookup(E$3,daily_items,_xlfn.xlookup($C2916,daily_dates,big_daily_table)))</f>
        <v>#NAME?</v>
      </c>
    </row>
    <row r="2917" customFormat="false" ht="14.25" hidden="false" customHeight="false" outlineLevel="0" collapsed="false">
      <c r="B2917" s="7" t="n">
        <v>43822</v>
      </c>
      <c r="C2917" s="7" t="n">
        <f aca="false">B2917-WEEKDAY(B2917)+1</f>
        <v>43821</v>
      </c>
      <c r="D2917" s="1" t="e">
        <f aca="false" t="array" ref="D2917:D2917">IF(ISBLANK(_xlfn.xlookup(D$3,daily_items,_xlfn.xlookup($C2917,daily_dates,big_daily_table))),NA(),_xlfn.xlookup(D$3,daily_items,_xlfn.xlookup($C2917,daily_dates,big_daily_table)))</f>
        <v>#NAME?</v>
      </c>
      <c r="E2917" s="1" t="e">
        <f aca="false" t="array" ref="E2917:E2917">IF(ISBLANK(_xlfn.xlookup(E$3,daily_items,_xlfn.xlookup($C2917,daily_dates,big_daily_table))),NA(),_xlfn.xlookup(E$3,daily_items,_xlfn.xlookup($C2917,daily_dates,big_daily_table)))</f>
        <v>#NAME?</v>
      </c>
    </row>
    <row r="2918" customFormat="false" ht="14.25" hidden="false" customHeight="false" outlineLevel="0" collapsed="false">
      <c r="B2918" s="7" t="n">
        <v>43823</v>
      </c>
      <c r="C2918" s="7" t="n">
        <f aca="false">B2918-WEEKDAY(B2918)+1</f>
        <v>43821</v>
      </c>
      <c r="D2918" s="1" t="e">
        <f aca="false" t="array" ref="D2918:D2918">IF(ISBLANK(_xlfn.xlookup(D$3,daily_items,_xlfn.xlookup($C2918,daily_dates,big_daily_table))),NA(),_xlfn.xlookup(D$3,daily_items,_xlfn.xlookup($C2918,daily_dates,big_daily_table)))</f>
        <v>#NAME?</v>
      </c>
      <c r="E2918" s="1" t="e">
        <f aca="false" t="array" ref="E2918:E2918">IF(ISBLANK(_xlfn.xlookup(E$3,daily_items,_xlfn.xlookup($C2918,daily_dates,big_daily_table))),NA(),_xlfn.xlookup(E$3,daily_items,_xlfn.xlookup($C2918,daily_dates,big_daily_table)))</f>
        <v>#NAME?</v>
      </c>
    </row>
    <row r="2919" customFormat="false" ht="14.25" hidden="false" customHeight="false" outlineLevel="0" collapsed="false">
      <c r="B2919" s="7" t="n">
        <v>43824</v>
      </c>
      <c r="C2919" s="7" t="n">
        <f aca="false">B2919-WEEKDAY(B2919)+1</f>
        <v>43821</v>
      </c>
      <c r="D2919" s="1" t="e">
        <f aca="false" t="array" ref="D2919:D2919">IF(ISBLANK(_xlfn.xlookup(D$3,daily_items,_xlfn.xlookup($C2919,daily_dates,big_daily_table))),NA(),_xlfn.xlookup(D$3,daily_items,_xlfn.xlookup($C2919,daily_dates,big_daily_table)))</f>
        <v>#NAME?</v>
      </c>
      <c r="E2919" s="1" t="e">
        <f aca="false" t="array" ref="E2919:E2919">IF(ISBLANK(_xlfn.xlookup(E$3,daily_items,_xlfn.xlookup($C2919,daily_dates,big_daily_table))),NA(),_xlfn.xlookup(E$3,daily_items,_xlfn.xlookup($C2919,daily_dates,big_daily_table)))</f>
        <v>#NAME?</v>
      </c>
    </row>
    <row r="2920" customFormat="false" ht="14.25" hidden="false" customHeight="false" outlineLevel="0" collapsed="false">
      <c r="B2920" s="7" t="n">
        <v>43825</v>
      </c>
      <c r="C2920" s="7" t="n">
        <f aca="false">B2920-WEEKDAY(B2920)+1</f>
        <v>43821</v>
      </c>
      <c r="D2920" s="1" t="e">
        <f aca="false" t="array" ref="D2920:D2920">IF(ISBLANK(_xlfn.xlookup(D$3,daily_items,_xlfn.xlookup($C2920,daily_dates,big_daily_table))),NA(),_xlfn.xlookup(D$3,daily_items,_xlfn.xlookup($C2920,daily_dates,big_daily_table)))</f>
        <v>#NAME?</v>
      </c>
      <c r="E2920" s="1" t="e">
        <f aca="false" t="array" ref="E2920:E2920">IF(ISBLANK(_xlfn.xlookup(E$3,daily_items,_xlfn.xlookup($C2920,daily_dates,big_daily_table))),NA(),_xlfn.xlookup(E$3,daily_items,_xlfn.xlookup($C2920,daily_dates,big_daily_table)))</f>
        <v>#NAME?</v>
      </c>
    </row>
    <row r="2921" customFormat="false" ht="14.25" hidden="false" customHeight="false" outlineLevel="0" collapsed="false">
      <c r="B2921" s="7" t="n">
        <v>43826</v>
      </c>
      <c r="C2921" s="7" t="n">
        <f aca="false">B2921-WEEKDAY(B2921)+1</f>
        <v>43821</v>
      </c>
      <c r="D2921" s="1" t="e">
        <f aca="false" t="array" ref="D2921:D2921">IF(ISBLANK(_xlfn.xlookup(D$3,daily_items,_xlfn.xlookup($C2921,daily_dates,big_daily_table))),NA(),_xlfn.xlookup(D$3,daily_items,_xlfn.xlookup($C2921,daily_dates,big_daily_table)))</f>
        <v>#NAME?</v>
      </c>
      <c r="E2921" s="1" t="e">
        <f aca="false" t="array" ref="E2921:E2921">IF(ISBLANK(_xlfn.xlookup(E$3,daily_items,_xlfn.xlookup($C2921,daily_dates,big_daily_table))),NA(),_xlfn.xlookup(E$3,daily_items,_xlfn.xlookup($C2921,daily_dates,big_daily_table)))</f>
        <v>#NAME?</v>
      </c>
    </row>
    <row r="2922" customFormat="false" ht="14.25" hidden="false" customHeight="false" outlineLevel="0" collapsed="false">
      <c r="B2922" s="7" t="n">
        <v>43827</v>
      </c>
      <c r="C2922" s="7" t="n">
        <f aca="false">B2922-WEEKDAY(B2922)+1</f>
        <v>43821</v>
      </c>
      <c r="D2922" s="1" t="e">
        <f aca="false" t="array" ref="D2922:D2922">IF(ISBLANK(_xlfn.xlookup(D$3,daily_items,_xlfn.xlookup($C2922,daily_dates,big_daily_table))),NA(),_xlfn.xlookup(D$3,daily_items,_xlfn.xlookup($C2922,daily_dates,big_daily_table)))</f>
        <v>#NAME?</v>
      </c>
      <c r="E2922" s="1" t="e">
        <f aca="false" t="array" ref="E2922:E2922">IF(ISBLANK(_xlfn.xlookup(E$3,daily_items,_xlfn.xlookup($C2922,daily_dates,big_daily_table))),NA(),_xlfn.xlookup(E$3,daily_items,_xlfn.xlookup($C2922,daily_dates,big_daily_table)))</f>
        <v>#NAME?</v>
      </c>
    </row>
    <row r="2923" customFormat="false" ht="14.25" hidden="false" customHeight="false" outlineLevel="0" collapsed="false">
      <c r="B2923" s="7" t="n">
        <v>43828</v>
      </c>
      <c r="C2923" s="7" t="n">
        <f aca="false">B2923-WEEKDAY(B2923)+1</f>
        <v>43828</v>
      </c>
      <c r="D2923" s="1" t="e">
        <f aca="false" t="array" ref="D2923:D2923">IF(ISBLANK(_xlfn.xlookup(D$3,daily_items,_xlfn.xlookup($C2923,daily_dates,big_daily_table))),NA(),_xlfn.xlookup(D$3,daily_items,_xlfn.xlookup($C2923,daily_dates,big_daily_table)))</f>
        <v>#NAME?</v>
      </c>
      <c r="E2923" s="1" t="e">
        <f aca="false" t="array" ref="E2923:E2923">IF(ISBLANK(_xlfn.xlookup(E$3,daily_items,_xlfn.xlookup($C2923,daily_dates,big_daily_table))),NA(),_xlfn.xlookup(E$3,daily_items,_xlfn.xlookup($C2923,daily_dates,big_daily_table)))</f>
        <v>#NAME?</v>
      </c>
    </row>
    <row r="2924" customFormat="false" ht="14.25" hidden="false" customHeight="false" outlineLevel="0" collapsed="false">
      <c r="B2924" s="7" t="n">
        <v>43829</v>
      </c>
      <c r="C2924" s="7" t="n">
        <f aca="false">B2924-WEEKDAY(B2924)+1</f>
        <v>43828</v>
      </c>
      <c r="D2924" s="1" t="e">
        <f aca="false" t="array" ref="D2924:D2924">IF(ISBLANK(_xlfn.xlookup(D$3,daily_items,_xlfn.xlookup($C2924,daily_dates,big_daily_table))),NA(),_xlfn.xlookup(D$3,daily_items,_xlfn.xlookup($C2924,daily_dates,big_daily_table)))</f>
        <v>#NAME?</v>
      </c>
      <c r="E2924" s="1" t="e">
        <f aca="false" t="array" ref="E2924:E2924">IF(ISBLANK(_xlfn.xlookup(E$3,daily_items,_xlfn.xlookup($C2924,daily_dates,big_daily_table))),NA(),_xlfn.xlookup(E$3,daily_items,_xlfn.xlookup($C2924,daily_dates,big_daily_table)))</f>
        <v>#NAME?</v>
      </c>
    </row>
    <row r="2925" customFormat="false" ht="14.25" hidden="false" customHeight="false" outlineLevel="0" collapsed="false">
      <c r="B2925" s="7" t="n">
        <v>43830</v>
      </c>
      <c r="C2925" s="7" t="n">
        <f aca="false">B2925-WEEKDAY(B2925)+1</f>
        <v>43828</v>
      </c>
      <c r="D2925" s="1" t="e">
        <f aca="false" t="array" ref="D2925:D2925">IF(ISBLANK(_xlfn.xlookup(D$3,daily_items,_xlfn.xlookup($C2925,daily_dates,big_daily_table))),NA(),_xlfn.xlookup(D$3,daily_items,_xlfn.xlookup($C2925,daily_dates,big_daily_table)))</f>
        <v>#NAME?</v>
      </c>
      <c r="E2925" s="1" t="e">
        <f aca="false" t="array" ref="E2925:E2925">IF(ISBLANK(_xlfn.xlookup(E$3,daily_items,_xlfn.xlookup($C2925,daily_dates,big_daily_table))),NA(),_xlfn.xlookup(E$3,daily_items,_xlfn.xlookup($C2925,daily_dates,big_daily_table)))</f>
        <v>#NAME?</v>
      </c>
    </row>
    <row r="2926" customFormat="false" ht="14.25" hidden="false" customHeight="false" outlineLevel="0" collapsed="false">
      <c r="B2926" s="7" t="n">
        <v>43831</v>
      </c>
      <c r="C2926" s="7" t="n">
        <f aca="false">B2926-WEEKDAY(B2926)+1</f>
        <v>43828</v>
      </c>
      <c r="D2926" s="1" t="e">
        <f aca="false" t="array" ref="D2926:D2926">IF(ISBLANK(_xlfn.xlookup(D$3,daily_items,_xlfn.xlookup($C2926,daily_dates,big_daily_table))),NA(),_xlfn.xlookup(D$3,daily_items,_xlfn.xlookup($C2926,daily_dates,big_daily_table)))</f>
        <v>#NAME?</v>
      </c>
      <c r="E2926" s="1" t="e">
        <f aca="false" t="array" ref="E2926:E2926">IF(ISBLANK(_xlfn.xlookup(E$3,daily_items,_xlfn.xlookup($C2926,daily_dates,big_daily_table))),NA(),_xlfn.xlookup(E$3,daily_items,_xlfn.xlookup($C2926,daily_dates,big_daily_table)))</f>
        <v>#NAME?</v>
      </c>
    </row>
    <row r="2927" customFormat="false" ht="14.25" hidden="false" customHeight="false" outlineLevel="0" collapsed="false">
      <c r="B2927" s="7" t="n">
        <v>43832</v>
      </c>
      <c r="C2927" s="7" t="n">
        <f aca="false">B2927-WEEKDAY(B2927)+1</f>
        <v>43828</v>
      </c>
      <c r="D2927" s="1" t="e">
        <f aca="false" t="array" ref="D2927:D2927">IF(ISBLANK(_xlfn.xlookup(D$3,daily_items,_xlfn.xlookup($C2927,daily_dates,big_daily_table))),NA(),_xlfn.xlookup(D$3,daily_items,_xlfn.xlookup($C2927,daily_dates,big_daily_table)))</f>
        <v>#NAME?</v>
      </c>
      <c r="E2927" s="1" t="e">
        <f aca="false" t="array" ref="E2927:E2927">IF(ISBLANK(_xlfn.xlookup(E$3,daily_items,_xlfn.xlookup($C2927,daily_dates,big_daily_table))),NA(),_xlfn.xlookup(E$3,daily_items,_xlfn.xlookup($C2927,daily_dates,big_daily_table)))</f>
        <v>#NAME?</v>
      </c>
    </row>
    <row r="2928" customFormat="false" ht="14.25" hidden="false" customHeight="false" outlineLevel="0" collapsed="false">
      <c r="B2928" s="7" t="n">
        <v>43833</v>
      </c>
      <c r="C2928" s="7" t="n">
        <f aca="false">B2928-WEEKDAY(B2928)+1</f>
        <v>43828</v>
      </c>
      <c r="D2928" s="1" t="e">
        <f aca="false" t="array" ref="D2928:D2928">IF(ISBLANK(_xlfn.xlookup(D$3,daily_items,_xlfn.xlookup($C2928,daily_dates,big_daily_table))),NA(),_xlfn.xlookup(D$3,daily_items,_xlfn.xlookup($C2928,daily_dates,big_daily_table)))</f>
        <v>#NAME?</v>
      </c>
      <c r="E2928" s="1" t="e">
        <f aca="false" t="array" ref="E2928:E2928">IF(ISBLANK(_xlfn.xlookup(E$3,daily_items,_xlfn.xlookup($C2928,daily_dates,big_daily_table))),NA(),_xlfn.xlookup(E$3,daily_items,_xlfn.xlookup($C2928,daily_dates,big_daily_table)))</f>
        <v>#NAME?</v>
      </c>
    </row>
    <row r="2929" customFormat="false" ht="14.25" hidden="false" customHeight="false" outlineLevel="0" collapsed="false">
      <c r="B2929" s="7" t="n">
        <v>43834</v>
      </c>
      <c r="C2929" s="7" t="n">
        <f aca="false">B2929-WEEKDAY(B2929)+1</f>
        <v>43828</v>
      </c>
      <c r="D2929" s="1" t="e">
        <f aca="false" t="array" ref="D2929:D2929">IF(ISBLANK(_xlfn.xlookup(D$3,daily_items,_xlfn.xlookup($C2929,daily_dates,big_daily_table))),NA(),_xlfn.xlookup(D$3,daily_items,_xlfn.xlookup($C2929,daily_dates,big_daily_table)))</f>
        <v>#NAME?</v>
      </c>
      <c r="E2929" s="1" t="e">
        <f aca="false" t="array" ref="E2929:E2929">IF(ISBLANK(_xlfn.xlookup(E$3,daily_items,_xlfn.xlookup($C2929,daily_dates,big_daily_table))),NA(),_xlfn.xlookup(E$3,daily_items,_xlfn.xlookup($C2929,daily_dates,big_daily_table)))</f>
        <v>#NAME?</v>
      </c>
    </row>
    <row r="2930" customFormat="false" ht="14.25" hidden="false" customHeight="false" outlineLevel="0" collapsed="false">
      <c r="B2930" s="7" t="n">
        <v>43835</v>
      </c>
      <c r="C2930" s="7" t="n">
        <f aca="false">B2930-WEEKDAY(B2930)+1</f>
        <v>43835</v>
      </c>
      <c r="D2930" s="1" t="e">
        <f aca="false" t="array" ref="D2930:D2930">IF(ISBLANK(_xlfn.xlookup(D$3,daily_items,_xlfn.xlookup($C2930,daily_dates,big_daily_table))),NA(),_xlfn.xlookup(D$3,daily_items,_xlfn.xlookup($C2930,daily_dates,big_daily_table)))</f>
        <v>#NAME?</v>
      </c>
      <c r="E2930" s="1" t="e">
        <f aca="false" t="array" ref="E2930:E2930">IF(ISBLANK(_xlfn.xlookup(E$3,daily_items,_xlfn.xlookup($C2930,daily_dates,big_daily_table))),NA(),_xlfn.xlookup(E$3,daily_items,_xlfn.xlookup($C2930,daily_dates,big_daily_table)))</f>
        <v>#NAME?</v>
      </c>
    </row>
    <row r="2931" customFormat="false" ht="14.25" hidden="false" customHeight="false" outlineLevel="0" collapsed="false">
      <c r="B2931" s="7" t="n">
        <v>43836</v>
      </c>
      <c r="C2931" s="7" t="n">
        <f aca="false">B2931-WEEKDAY(B2931)+1</f>
        <v>43835</v>
      </c>
      <c r="D2931" s="1" t="e">
        <f aca="false" t="array" ref="D2931:D2931">IF(ISBLANK(_xlfn.xlookup(D$3,daily_items,_xlfn.xlookup($C2931,daily_dates,big_daily_table))),NA(),_xlfn.xlookup(D$3,daily_items,_xlfn.xlookup($C2931,daily_dates,big_daily_table)))</f>
        <v>#NAME?</v>
      </c>
      <c r="E2931" s="1" t="e">
        <f aca="false" t="array" ref="E2931:E2931">IF(ISBLANK(_xlfn.xlookup(E$3,daily_items,_xlfn.xlookup($C2931,daily_dates,big_daily_table))),NA(),_xlfn.xlookup(E$3,daily_items,_xlfn.xlookup($C2931,daily_dates,big_daily_table)))</f>
        <v>#NAME?</v>
      </c>
    </row>
    <row r="2932" customFormat="false" ht="14.25" hidden="false" customHeight="false" outlineLevel="0" collapsed="false">
      <c r="B2932" s="7" t="n">
        <v>43837</v>
      </c>
      <c r="C2932" s="7" t="n">
        <f aca="false">B2932-WEEKDAY(B2932)+1</f>
        <v>43835</v>
      </c>
      <c r="D2932" s="1" t="e">
        <f aca="false" t="array" ref="D2932:D2932">IF(ISBLANK(_xlfn.xlookup(D$3,daily_items,_xlfn.xlookup($C2932,daily_dates,big_daily_table))),NA(),_xlfn.xlookup(D$3,daily_items,_xlfn.xlookup($C2932,daily_dates,big_daily_table)))</f>
        <v>#NAME?</v>
      </c>
      <c r="E2932" s="1" t="e">
        <f aca="false" t="array" ref="E2932:E2932">IF(ISBLANK(_xlfn.xlookup(E$3,daily_items,_xlfn.xlookup($C2932,daily_dates,big_daily_table))),NA(),_xlfn.xlookup(E$3,daily_items,_xlfn.xlookup($C2932,daily_dates,big_daily_table)))</f>
        <v>#NAME?</v>
      </c>
    </row>
    <row r="2933" customFormat="false" ht="14.25" hidden="false" customHeight="false" outlineLevel="0" collapsed="false">
      <c r="B2933" s="7" t="n">
        <v>43838</v>
      </c>
      <c r="C2933" s="7" t="n">
        <f aca="false">B2933-WEEKDAY(B2933)+1</f>
        <v>43835</v>
      </c>
      <c r="D2933" s="1" t="e">
        <f aca="false" t="array" ref="D2933:D2933">IF(ISBLANK(_xlfn.xlookup(D$3,daily_items,_xlfn.xlookup($C2933,daily_dates,big_daily_table))),NA(),_xlfn.xlookup(D$3,daily_items,_xlfn.xlookup($C2933,daily_dates,big_daily_table)))</f>
        <v>#NAME?</v>
      </c>
      <c r="E2933" s="1" t="e">
        <f aca="false" t="array" ref="E2933:E2933">IF(ISBLANK(_xlfn.xlookup(E$3,daily_items,_xlfn.xlookup($C2933,daily_dates,big_daily_table))),NA(),_xlfn.xlookup(E$3,daily_items,_xlfn.xlookup($C2933,daily_dates,big_daily_table)))</f>
        <v>#NAME?</v>
      </c>
    </row>
    <row r="2934" customFormat="false" ht="14.25" hidden="false" customHeight="false" outlineLevel="0" collapsed="false">
      <c r="B2934" s="7" t="n">
        <v>43839</v>
      </c>
      <c r="C2934" s="7" t="n">
        <f aca="false">B2934-WEEKDAY(B2934)+1</f>
        <v>43835</v>
      </c>
      <c r="D2934" s="1" t="e">
        <f aca="false" t="array" ref="D2934:D2934">IF(ISBLANK(_xlfn.xlookup(D$3,daily_items,_xlfn.xlookup($C2934,daily_dates,big_daily_table))),NA(),_xlfn.xlookup(D$3,daily_items,_xlfn.xlookup($C2934,daily_dates,big_daily_table)))</f>
        <v>#NAME?</v>
      </c>
      <c r="E2934" s="1" t="e">
        <f aca="false" t="array" ref="E2934:E2934">IF(ISBLANK(_xlfn.xlookup(E$3,daily_items,_xlfn.xlookup($C2934,daily_dates,big_daily_table))),NA(),_xlfn.xlookup(E$3,daily_items,_xlfn.xlookup($C2934,daily_dates,big_daily_table)))</f>
        <v>#NAME?</v>
      </c>
    </row>
    <row r="2935" customFormat="false" ht="14.25" hidden="false" customHeight="false" outlineLevel="0" collapsed="false">
      <c r="B2935" s="7" t="n">
        <v>43840</v>
      </c>
      <c r="C2935" s="7" t="n">
        <f aca="false">B2935-WEEKDAY(B2935)+1</f>
        <v>43835</v>
      </c>
      <c r="D2935" s="1" t="e">
        <f aca="false" t="array" ref="D2935:D2935">IF(ISBLANK(_xlfn.xlookup(D$3,daily_items,_xlfn.xlookup($C2935,daily_dates,big_daily_table))),NA(),_xlfn.xlookup(D$3,daily_items,_xlfn.xlookup($C2935,daily_dates,big_daily_table)))</f>
        <v>#NAME?</v>
      </c>
      <c r="E2935" s="1" t="e">
        <f aca="false" t="array" ref="E2935:E2935">IF(ISBLANK(_xlfn.xlookup(E$3,daily_items,_xlfn.xlookup($C2935,daily_dates,big_daily_table))),NA(),_xlfn.xlookup(E$3,daily_items,_xlfn.xlookup($C2935,daily_dates,big_daily_table)))</f>
        <v>#NAME?</v>
      </c>
    </row>
    <row r="2936" customFormat="false" ht="14.25" hidden="false" customHeight="false" outlineLevel="0" collapsed="false">
      <c r="B2936" s="7" t="n">
        <v>43841</v>
      </c>
      <c r="C2936" s="7" t="n">
        <f aca="false">B2936-WEEKDAY(B2936)+1</f>
        <v>43835</v>
      </c>
      <c r="D2936" s="1" t="e">
        <f aca="false" t="array" ref="D2936:D2936">IF(ISBLANK(_xlfn.xlookup(D$3,daily_items,_xlfn.xlookup($C2936,daily_dates,big_daily_table))),NA(),_xlfn.xlookup(D$3,daily_items,_xlfn.xlookup($C2936,daily_dates,big_daily_table)))</f>
        <v>#NAME?</v>
      </c>
      <c r="E2936" s="1" t="e">
        <f aca="false" t="array" ref="E2936:E2936">IF(ISBLANK(_xlfn.xlookup(E$3,daily_items,_xlfn.xlookup($C2936,daily_dates,big_daily_table))),NA(),_xlfn.xlookup(E$3,daily_items,_xlfn.xlookup($C2936,daily_dates,big_daily_table)))</f>
        <v>#NAME?</v>
      </c>
    </row>
    <row r="2937" customFormat="false" ht="14.25" hidden="false" customHeight="false" outlineLevel="0" collapsed="false">
      <c r="B2937" s="7" t="n">
        <v>43842</v>
      </c>
      <c r="C2937" s="7" t="n">
        <f aca="false">B2937-WEEKDAY(B2937)+1</f>
        <v>43842</v>
      </c>
      <c r="D2937" s="1" t="e">
        <f aca="false" t="array" ref="D2937:D2937">IF(ISBLANK(_xlfn.xlookup(D$3,daily_items,_xlfn.xlookup($C2937,daily_dates,big_daily_table))),NA(),_xlfn.xlookup(D$3,daily_items,_xlfn.xlookup($C2937,daily_dates,big_daily_table)))</f>
        <v>#NAME?</v>
      </c>
      <c r="E2937" s="1" t="e">
        <f aca="false" t="array" ref="E2937:E2937">IF(ISBLANK(_xlfn.xlookup(E$3,daily_items,_xlfn.xlookup($C2937,daily_dates,big_daily_table))),NA(),_xlfn.xlookup(E$3,daily_items,_xlfn.xlookup($C2937,daily_dates,big_daily_table)))</f>
        <v>#NAME?</v>
      </c>
    </row>
    <row r="2938" customFormat="false" ht="14.25" hidden="false" customHeight="false" outlineLevel="0" collapsed="false">
      <c r="B2938" s="7" t="n">
        <v>43843</v>
      </c>
      <c r="C2938" s="7" t="n">
        <f aca="false">B2938-WEEKDAY(B2938)+1</f>
        <v>43842</v>
      </c>
      <c r="D2938" s="1" t="e">
        <f aca="false" t="array" ref="D2938:D2938">IF(ISBLANK(_xlfn.xlookup(D$3,daily_items,_xlfn.xlookup($C2938,daily_dates,big_daily_table))),NA(),_xlfn.xlookup(D$3,daily_items,_xlfn.xlookup($C2938,daily_dates,big_daily_table)))</f>
        <v>#NAME?</v>
      </c>
      <c r="E2938" s="1" t="e">
        <f aca="false" t="array" ref="E2938:E2938">IF(ISBLANK(_xlfn.xlookup(E$3,daily_items,_xlfn.xlookup($C2938,daily_dates,big_daily_table))),NA(),_xlfn.xlookup(E$3,daily_items,_xlfn.xlookup($C2938,daily_dates,big_daily_table)))</f>
        <v>#NAME?</v>
      </c>
    </row>
    <row r="2939" customFormat="false" ht="14.25" hidden="false" customHeight="false" outlineLevel="0" collapsed="false">
      <c r="B2939" s="7" t="n">
        <v>43844</v>
      </c>
      <c r="C2939" s="7" t="n">
        <f aca="false">B2939-WEEKDAY(B2939)+1</f>
        <v>43842</v>
      </c>
      <c r="D2939" s="1" t="e">
        <f aca="false" t="array" ref="D2939:D2939">IF(ISBLANK(_xlfn.xlookup(D$3,daily_items,_xlfn.xlookup($C2939,daily_dates,big_daily_table))),NA(),_xlfn.xlookup(D$3,daily_items,_xlfn.xlookup($C2939,daily_dates,big_daily_table)))</f>
        <v>#NAME?</v>
      </c>
      <c r="E2939" s="1" t="e">
        <f aca="false" t="array" ref="E2939:E2939">IF(ISBLANK(_xlfn.xlookup(E$3,daily_items,_xlfn.xlookup($C2939,daily_dates,big_daily_table))),NA(),_xlfn.xlookup(E$3,daily_items,_xlfn.xlookup($C2939,daily_dates,big_daily_table)))</f>
        <v>#NAME?</v>
      </c>
    </row>
    <row r="2940" customFormat="false" ht="14.25" hidden="false" customHeight="false" outlineLevel="0" collapsed="false">
      <c r="B2940" s="7" t="n">
        <v>43845</v>
      </c>
      <c r="C2940" s="7" t="n">
        <f aca="false">B2940-WEEKDAY(B2940)+1</f>
        <v>43842</v>
      </c>
      <c r="D2940" s="1" t="e">
        <f aca="false" t="array" ref="D2940:D2940">IF(ISBLANK(_xlfn.xlookup(D$3,daily_items,_xlfn.xlookup($C2940,daily_dates,big_daily_table))),NA(),_xlfn.xlookup(D$3,daily_items,_xlfn.xlookup($C2940,daily_dates,big_daily_table)))</f>
        <v>#NAME?</v>
      </c>
      <c r="E2940" s="1" t="e">
        <f aca="false" t="array" ref="E2940:E2940">IF(ISBLANK(_xlfn.xlookup(E$3,daily_items,_xlfn.xlookup($C2940,daily_dates,big_daily_table))),NA(),_xlfn.xlookup(E$3,daily_items,_xlfn.xlookup($C2940,daily_dates,big_daily_table)))</f>
        <v>#NAME?</v>
      </c>
    </row>
    <row r="2941" customFormat="false" ht="14.25" hidden="false" customHeight="false" outlineLevel="0" collapsed="false">
      <c r="B2941" s="7" t="n">
        <v>43846</v>
      </c>
      <c r="C2941" s="7" t="n">
        <f aca="false">B2941-WEEKDAY(B2941)+1</f>
        <v>43842</v>
      </c>
      <c r="D2941" s="1" t="e">
        <f aca="false" t="array" ref="D2941:D2941">IF(ISBLANK(_xlfn.xlookup(D$3,daily_items,_xlfn.xlookup($C2941,daily_dates,big_daily_table))),NA(),_xlfn.xlookup(D$3,daily_items,_xlfn.xlookup($C2941,daily_dates,big_daily_table)))</f>
        <v>#NAME?</v>
      </c>
      <c r="E2941" s="1" t="e">
        <f aca="false" t="array" ref="E2941:E2941">IF(ISBLANK(_xlfn.xlookup(E$3,daily_items,_xlfn.xlookup($C2941,daily_dates,big_daily_table))),NA(),_xlfn.xlookup(E$3,daily_items,_xlfn.xlookup($C2941,daily_dates,big_daily_table)))</f>
        <v>#NAME?</v>
      </c>
    </row>
    <row r="2942" customFormat="false" ht="14.25" hidden="false" customHeight="false" outlineLevel="0" collapsed="false">
      <c r="B2942" s="7" t="n">
        <v>43847</v>
      </c>
      <c r="C2942" s="7" t="n">
        <f aca="false">B2942-WEEKDAY(B2942)+1</f>
        <v>43842</v>
      </c>
      <c r="D2942" s="1" t="e">
        <f aca="false" t="array" ref="D2942:D2942">IF(ISBLANK(_xlfn.xlookup(D$3,daily_items,_xlfn.xlookup($C2942,daily_dates,big_daily_table))),NA(),_xlfn.xlookup(D$3,daily_items,_xlfn.xlookup($C2942,daily_dates,big_daily_table)))</f>
        <v>#NAME?</v>
      </c>
      <c r="E2942" s="1" t="e">
        <f aca="false" t="array" ref="E2942:E2942">IF(ISBLANK(_xlfn.xlookup(E$3,daily_items,_xlfn.xlookup($C2942,daily_dates,big_daily_table))),NA(),_xlfn.xlookup(E$3,daily_items,_xlfn.xlookup($C2942,daily_dates,big_daily_table)))</f>
        <v>#NAME?</v>
      </c>
    </row>
    <row r="2943" customFormat="false" ht="14.25" hidden="false" customHeight="false" outlineLevel="0" collapsed="false">
      <c r="B2943" s="7" t="n">
        <v>43848</v>
      </c>
      <c r="C2943" s="7" t="n">
        <f aca="false">B2943-WEEKDAY(B2943)+1</f>
        <v>43842</v>
      </c>
      <c r="D2943" s="1" t="e">
        <f aca="false" t="array" ref="D2943:D2943">IF(ISBLANK(_xlfn.xlookup(D$3,daily_items,_xlfn.xlookup($C2943,daily_dates,big_daily_table))),NA(),_xlfn.xlookup(D$3,daily_items,_xlfn.xlookup($C2943,daily_dates,big_daily_table)))</f>
        <v>#NAME?</v>
      </c>
      <c r="E2943" s="1" t="e">
        <f aca="false" t="array" ref="E2943:E2943">IF(ISBLANK(_xlfn.xlookup(E$3,daily_items,_xlfn.xlookup($C2943,daily_dates,big_daily_table))),NA(),_xlfn.xlookup(E$3,daily_items,_xlfn.xlookup($C2943,daily_dates,big_daily_table)))</f>
        <v>#NAME?</v>
      </c>
    </row>
    <row r="2944" customFormat="false" ht="14.25" hidden="false" customHeight="false" outlineLevel="0" collapsed="false">
      <c r="B2944" s="7" t="n">
        <v>43849</v>
      </c>
      <c r="C2944" s="7" t="n">
        <f aca="false">B2944-WEEKDAY(B2944)+1</f>
        <v>43849</v>
      </c>
      <c r="D2944" s="1" t="e">
        <f aca="false" t="array" ref="D2944:D2944">IF(ISBLANK(_xlfn.xlookup(D$3,daily_items,_xlfn.xlookup($C2944,daily_dates,big_daily_table))),NA(),_xlfn.xlookup(D$3,daily_items,_xlfn.xlookup($C2944,daily_dates,big_daily_table)))</f>
        <v>#NAME?</v>
      </c>
      <c r="E2944" s="1" t="e">
        <f aca="false" t="array" ref="E2944:E2944">IF(ISBLANK(_xlfn.xlookup(E$3,daily_items,_xlfn.xlookup($C2944,daily_dates,big_daily_table))),NA(),_xlfn.xlookup(E$3,daily_items,_xlfn.xlookup($C2944,daily_dates,big_daily_table)))</f>
        <v>#NAME?</v>
      </c>
    </row>
    <row r="2945" customFormat="false" ht="14.25" hidden="false" customHeight="false" outlineLevel="0" collapsed="false">
      <c r="B2945" s="7" t="n">
        <v>43850</v>
      </c>
      <c r="C2945" s="7" t="n">
        <f aca="false">B2945-WEEKDAY(B2945)+1</f>
        <v>43849</v>
      </c>
      <c r="D2945" s="1" t="e">
        <f aca="false" t="array" ref="D2945:D2945">IF(ISBLANK(_xlfn.xlookup(D$3,daily_items,_xlfn.xlookup($C2945,daily_dates,big_daily_table))),NA(),_xlfn.xlookup(D$3,daily_items,_xlfn.xlookup($C2945,daily_dates,big_daily_table)))</f>
        <v>#NAME?</v>
      </c>
      <c r="E2945" s="1" t="e">
        <f aca="false" t="array" ref="E2945:E2945">IF(ISBLANK(_xlfn.xlookup(E$3,daily_items,_xlfn.xlookup($C2945,daily_dates,big_daily_table))),NA(),_xlfn.xlookup(E$3,daily_items,_xlfn.xlookup($C2945,daily_dates,big_daily_table)))</f>
        <v>#NAME?</v>
      </c>
    </row>
    <row r="2946" customFormat="false" ht="14.25" hidden="false" customHeight="false" outlineLevel="0" collapsed="false">
      <c r="B2946" s="7" t="n">
        <v>43851</v>
      </c>
      <c r="C2946" s="7" t="n">
        <f aca="false">B2946-WEEKDAY(B2946)+1</f>
        <v>43849</v>
      </c>
      <c r="D2946" s="1" t="e">
        <f aca="false" t="array" ref="D2946:D2946">IF(ISBLANK(_xlfn.xlookup(D$3,daily_items,_xlfn.xlookup($C2946,daily_dates,big_daily_table))),NA(),_xlfn.xlookup(D$3,daily_items,_xlfn.xlookup($C2946,daily_dates,big_daily_table)))</f>
        <v>#NAME?</v>
      </c>
      <c r="E2946" s="1" t="e">
        <f aca="false" t="array" ref="E2946:E2946">IF(ISBLANK(_xlfn.xlookup(E$3,daily_items,_xlfn.xlookup($C2946,daily_dates,big_daily_table))),NA(),_xlfn.xlookup(E$3,daily_items,_xlfn.xlookup($C2946,daily_dates,big_daily_table)))</f>
        <v>#NAME?</v>
      </c>
    </row>
    <row r="2947" customFormat="false" ht="14.25" hidden="false" customHeight="false" outlineLevel="0" collapsed="false">
      <c r="B2947" s="7" t="n">
        <v>43852</v>
      </c>
      <c r="C2947" s="7" t="n">
        <f aca="false">B2947-WEEKDAY(B2947)+1</f>
        <v>43849</v>
      </c>
      <c r="D2947" s="1" t="e">
        <f aca="false" t="array" ref="D2947:D2947">IF(ISBLANK(_xlfn.xlookup(D$3,daily_items,_xlfn.xlookup($C2947,daily_dates,big_daily_table))),NA(),_xlfn.xlookup(D$3,daily_items,_xlfn.xlookup($C2947,daily_dates,big_daily_table)))</f>
        <v>#NAME?</v>
      </c>
      <c r="E2947" s="1" t="e">
        <f aca="false" t="array" ref="E2947:E2947">IF(ISBLANK(_xlfn.xlookup(E$3,daily_items,_xlfn.xlookup($C2947,daily_dates,big_daily_table))),NA(),_xlfn.xlookup(E$3,daily_items,_xlfn.xlookup($C2947,daily_dates,big_daily_table)))</f>
        <v>#NAME?</v>
      </c>
    </row>
    <row r="2948" customFormat="false" ht="14.25" hidden="false" customHeight="false" outlineLevel="0" collapsed="false">
      <c r="B2948" s="7" t="n">
        <v>43853</v>
      </c>
      <c r="C2948" s="7" t="n">
        <f aca="false">B2948-WEEKDAY(B2948)+1</f>
        <v>43849</v>
      </c>
      <c r="D2948" s="1" t="e">
        <f aca="false" t="array" ref="D2948:D2948">IF(ISBLANK(_xlfn.xlookup(D$3,daily_items,_xlfn.xlookup($C2948,daily_dates,big_daily_table))),NA(),_xlfn.xlookup(D$3,daily_items,_xlfn.xlookup($C2948,daily_dates,big_daily_table)))</f>
        <v>#NAME?</v>
      </c>
      <c r="E2948" s="1" t="e">
        <f aca="false" t="array" ref="E2948:E2948">IF(ISBLANK(_xlfn.xlookup(E$3,daily_items,_xlfn.xlookup($C2948,daily_dates,big_daily_table))),NA(),_xlfn.xlookup(E$3,daily_items,_xlfn.xlookup($C2948,daily_dates,big_daily_table)))</f>
        <v>#NAME?</v>
      </c>
    </row>
    <row r="2949" customFormat="false" ht="14.25" hidden="false" customHeight="false" outlineLevel="0" collapsed="false">
      <c r="B2949" s="7" t="n">
        <v>43854</v>
      </c>
      <c r="C2949" s="7" t="n">
        <f aca="false">B2949-WEEKDAY(B2949)+1</f>
        <v>43849</v>
      </c>
      <c r="D2949" s="1" t="e">
        <f aca="false" t="array" ref="D2949:D2949">IF(ISBLANK(_xlfn.xlookup(D$3,daily_items,_xlfn.xlookup($C2949,daily_dates,big_daily_table))),NA(),_xlfn.xlookup(D$3,daily_items,_xlfn.xlookup($C2949,daily_dates,big_daily_table)))</f>
        <v>#NAME?</v>
      </c>
      <c r="E2949" s="1" t="e">
        <f aca="false" t="array" ref="E2949:E2949">IF(ISBLANK(_xlfn.xlookup(E$3,daily_items,_xlfn.xlookup($C2949,daily_dates,big_daily_table))),NA(),_xlfn.xlookup(E$3,daily_items,_xlfn.xlookup($C2949,daily_dates,big_daily_table)))</f>
        <v>#NAME?</v>
      </c>
    </row>
    <row r="2950" customFormat="false" ht="14.25" hidden="false" customHeight="false" outlineLevel="0" collapsed="false">
      <c r="B2950" s="7" t="n">
        <v>43855</v>
      </c>
      <c r="C2950" s="7" t="n">
        <f aca="false">B2950-WEEKDAY(B2950)+1</f>
        <v>43849</v>
      </c>
      <c r="D2950" s="1" t="e">
        <f aca="false" t="array" ref="D2950:D2950">IF(ISBLANK(_xlfn.xlookup(D$3,daily_items,_xlfn.xlookup($C2950,daily_dates,big_daily_table))),NA(),_xlfn.xlookup(D$3,daily_items,_xlfn.xlookup($C2950,daily_dates,big_daily_table)))</f>
        <v>#NAME?</v>
      </c>
      <c r="E2950" s="1" t="e">
        <f aca="false" t="array" ref="E2950:E2950">IF(ISBLANK(_xlfn.xlookup(E$3,daily_items,_xlfn.xlookup($C2950,daily_dates,big_daily_table))),NA(),_xlfn.xlookup(E$3,daily_items,_xlfn.xlookup($C2950,daily_dates,big_daily_table)))</f>
        <v>#NAME?</v>
      </c>
    </row>
    <row r="2951" customFormat="false" ht="14.25" hidden="false" customHeight="false" outlineLevel="0" collapsed="false">
      <c r="B2951" s="7" t="n">
        <v>43856</v>
      </c>
      <c r="C2951" s="7" t="n">
        <f aca="false">B2951-WEEKDAY(B2951)+1</f>
        <v>43856</v>
      </c>
      <c r="D2951" s="1" t="e">
        <f aca="false" t="array" ref="D2951:D2951">IF(ISBLANK(_xlfn.xlookup(D$3,daily_items,_xlfn.xlookup($C2951,daily_dates,big_daily_table))),NA(),_xlfn.xlookup(D$3,daily_items,_xlfn.xlookup($C2951,daily_dates,big_daily_table)))</f>
        <v>#NAME?</v>
      </c>
      <c r="E2951" s="1" t="e">
        <f aca="false" t="array" ref="E2951:E2951">IF(ISBLANK(_xlfn.xlookup(E$3,daily_items,_xlfn.xlookup($C2951,daily_dates,big_daily_table))),NA(),_xlfn.xlookup(E$3,daily_items,_xlfn.xlookup($C2951,daily_dates,big_daily_table)))</f>
        <v>#NAME?</v>
      </c>
    </row>
    <row r="2952" customFormat="false" ht="14.25" hidden="false" customHeight="false" outlineLevel="0" collapsed="false">
      <c r="B2952" s="7" t="n">
        <v>43857</v>
      </c>
      <c r="C2952" s="7" t="n">
        <f aca="false">B2952-WEEKDAY(B2952)+1</f>
        <v>43856</v>
      </c>
      <c r="D2952" s="1" t="e">
        <f aca="false" t="array" ref="D2952:D2952">IF(ISBLANK(_xlfn.xlookup(D$3,daily_items,_xlfn.xlookup($C2952,daily_dates,big_daily_table))),NA(),_xlfn.xlookup(D$3,daily_items,_xlfn.xlookup($C2952,daily_dates,big_daily_table)))</f>
        <v>#NAME?</v>
      </c>
      <c r="E2952" s="1" t="e">
        <f aca="false" t="array" ref="E2952:E2952">IF(ISBLANK(_xlfn.xlookup(E$3,daily_items,_xlfn.xlookup($C2952,daily_dates,big_daily_table))),NA(),_xlfn.xlookup(E$3,daily_items,_xlfn.xlookup($C2952,daily_dates,big_daily_table)))</f>
        <v>#NAME?</v>
      </c>
    </row>
    <row r="2953" customFormat="false" ht="14.25" hidden="false" customHeight="false" outlineLevel="0" collapsed="false">
      <c r="B2953" s="7" t="n">
        <v>43858</v>
      </c>
      <c r="C2953" s="7" t="n">
        <f aca="false">B2953-WEEKDAY(B2953)+1</f>
        <v>43856</v>
      </c>
      <c r="D2953" s="1" t="e">
        <f aca="false" t="array" ref="D2953:D2953">IF(ISBLANK(_xlfn.xlookup(D$3,daily_items,_xlfn.xlookup($C2953,daily_dates,big_daily_table))),NA(),_xlfn.xlookup(D$3,daily_items,_xlfn.xlookup($C2953,daily_dates,big_daily_table)))</f>
        <v>#NAME?</v>
      </c>
      <c r="E2953" s="1" t="e">
        <f aca="false" t="array" ref="E2953:E2953">IF(ISBLANK(_xlfn.xlookup(E$3,daily_items,_xlfn.xlookup($C2953,daily_dates,big_daily_table))),NA(),_xlfn.xlookup(E$3,daily_items,_xlfn.xlookup($C2953,daily_dates,big_daily_table)))</f>
        <v>#NAME?</v>
      </c>
    </row>
    <row r="2954" customFormat="false" ht="14.25" hidden="false" customHeight="false" outlineLevel="0" collapsed="false">
      <c r="B2954" s="7" t="n">
        <v>43859</v>
      </c>
      <c r="C2954" s="7" t="n">
        <f aca="false">B2954-WEEKDAY(B2954)+1</f>
        <v>43856</v>
      </c>
      <c r="D2954" s="1" t="e">
        <f aca="false" t="array" ref="D2954:D2954">IF(ISBLANK(_xlfn.xlookup(D$3,daily_items,_xlfn.xlookup($C2954,daily_dates,big_daily_table))),NA(),_xlfn.xlookup(D$3,daily_items,_xlfn.xlookup($C2954,daily_dates,big_daily_table)))</f>
        <v>#NAME?</v>
      </c>
      <c r="E2954" s="1" t="e">
        <f aca="false" t="array" ref="E2954:E2954">IF(ISBLANK(_xlfn.xlookup(E$3,daily_items,_xlfn.xlookup($C2954,daily_dates,big_daily_table))),NA(),_xlfn.xlookup(E$3,daily_items,_xlfn.xlookup($C2954,daily_dates,big_daily_table)))</f>
        <v>#NAME?</v>
      </c>
    </row>
    <row r="2955" customFormat="false" ht="14.25" hidden="false" customHeight="false" outlineLevel="0" collapsed="false">
      <c r="B2955" s="7" t="n">
        <v>43860</v>
      </c>
      <c r="C2955" s="7" t="n">
        <f aca="false">B2955-WEEKDAY(B2955)+1</f>
        <v>43856</v>
      </c>
      <c r="D2955" s="1" t="e">
        <f aca="false" t="array" ref="D2955:D2955">IF(ISBLANK(_xlfn.xlookup(D$3,daily_items,_xlfn.xlookup($C2955,daily_dates,big_daily_table))),NA(),_xlfn.xlookup(D$3,daily_items,_xlfn.xlookup($C2955,daily_dates,big_daily_table)))</f>
        <v>#NAME?</v>
      </c>
      <c r="E2955" s="1" t="e">
        <f aca="false" t="array" ref="E2955:E2955">IF(ISBLANK(_xlfn.xlookup(E$3,daily_items,_xlfn.xlookup($C2955,daily_dates,big_daily_table))),NA(),_xlfn.xlookup(E$3,daily_items,_xlfn.xlookup($C2955,daily_dates,big_daily_table)))</f>
        <v>#NAME?</v>
      </c>
    </row>
    <row r="2956" customFormat="false" ht="14.25" hidden="false" customHeight="false" outlineLevel="0" collapsed="false">
      <c r="B2956" s="7" t="n">
        <v>43861</v>
      </c>
      <c r="C2956" s="7" t="n">
        <f aca="false">B2956-WEEKDAY(B2956)+1</f>
        <v>43856</v>
      </c>
      <c r="D2956" s="1" t="e">
        <f aca="false" t="array" ref="D2956:D2956">IF(ISBLANK(_xlfn.xlookup(D$3,daily_items,_xlfn.xlookup($C2956,daily_dates,big_daily_table))),NA(),_xlfn.xlookup(D$3,daily_items,_xlfn.xlookup($C2956,daily_dates,big_daily_table)))</f>
        <v>#NAME?</v>
      </c>
      <c r="E2956" s="1" t="e">
        <f aca="false" t="array" ref="E2956:E2956">IF(ISBLANK(_xlfn.xlookup(E$3,daily_items,_xlfn.xlookup($C2956,daily_dates,big_daily_table))),NA(),_xlfn.xlookup(E$3,daily_items,_xlfn.xlookup($C2956,daily_dates,big_daily_table)))</f>
        <v>#NAME?</v>
      </c>
    </row>
    <row r="2957" customFormat="false" ht="14.25" hidden="false" customHeight="false" outlineLevel="0" collapsed="false">
      <c r="B2957" s="7" t="n">
        <v>43862</v>
      </c>
      <c r="C2957" s="7" t="n">
        <f aca="false">B2957-WEEKDAY(B2957)+1</f>
        <v>43856</v>
      </c>
      <c r="D2957" s="1" t="e">
        <f aca="false" t="array" ref="D2957:D2957">IF(ISBLANK(_xlfn.xlookup(D$3,daily_items,_xlfn.xlookup($C2957,daily_dates,big_daily_table))),NA(),_xlfn.xlookup(D$3,daily_items,_xlfn.xlookup($C2957,daily_dates,big_daily_table)))</f>
        <v>#NAME?</v>
      </c>
      <c r="E2957" s="1" t="e">
        <f aca="false" t="array" ref="E2957:E2957">IF(ISBLANK(_xlfn.xlookup(E$3,daily_items,_xlfn.xlookup($C2957,daily_dates,big_daily_table))),NA(),_xlfn.xlookup(E$3,daily_items,_xlfn.xlookup($C2957,daily_dates,big_daily_table)))</f>
        <v>#NAME?</v>
      </c>
    </row>
    <row r="2958" customFormat="false" ht="14.25" hidden="false" customHeight="false" outlineLevel="0" collapsed="false">
      <c r="B2958" s="7" t="n">
        <v>43863</v>
      </c>
      <c r="C2958" s="7" t="n">
        <f aca="false">B2958-WEEKDAY(B2958)+1</f>
        <v>43863</v>
      </c>
      <c r="D2958" s="1" t="e">
        <f aca="false" t="array" ref="D2958:D2958">IF(ISBLANK(_xlfn.xlookup(D$3,daily_items,_xlfn.xlookup($C2958,daily_dates,big_daily_table))),NA(),_xlfn.xlookup(D$3,daily_items,_xlfn.xlookup($C2958,daily_dates,big_daily_table)))</f>
        <v>#NAME?</v>
      </c>
      <c r="E2958" s="1" t="e">
        <f aca="false" t="array" ref="E2958:E2958">IF(ISBLANK(_xlfn.xlookup(E$3,daily_items,_xlfn.xlookup($C2958,daily_dates,big_daily_table))),NA(),_xlfn.xlookup(E$3,daily_items,_xlfn.xlookup($C2958,daily_dates,big_daily_table)))</f>
        <v>#NAME?</v>
      </c>
    </row>
    <row r="2959" customFormat="false" ht="14.25" hidden="false" customHeight="false" outlineLevel="0" collapsed="false">
      <c r="B2959" s="7" t="n">
        <v>43864</v>
      </c>
      <c r="C2959" s="7" t="n">
        <f aca="false">B2959-WEEKDAY(B2959)+1</f>
        <v>43863</v>
      </c>
      <c r="D2959" s="1" t="e">
        <f aca="false" t="array" ref="D2959:D2959">IF(ISBLANK(_xlfn.xlookup(D$3,daily_items,_xlfn.xlookup($C2959,daily_dates,big_daily_table))),NA(),_xlfn.xlookup(D$3,daily_items,_xlfn.xlookup($C2959,daily_dates,big_daily_table)))</f>
        <v>#NAME?</v>
      </c>
      <c r="E2959" s="1" t="e">
        <f aca="false" t="array" ref="E2959:E2959">IF(ISBLANK(_xlfn.xlookup(E$3,daily_items,_xlfn.xlookup($C2959,daily_dates,big_daily_table))),NA(),_xlfn.xlookup(E$3,daily_items,_xlfn.xlookup($C2959,daily_dates,big_daily_table)))</f>
        <v>#NAME?</v>
      </c>
    </row>
    <row r="2960" customFormat="false" ht="14.25" hidden="false" customHeight="false" outlineLevel="0" collapsed="false">
      <c r="B2960" s="7" t="n">
        <v>43865</v>
      </c>
      <c r="C2960" s="7" t="n">
        <f aca="false">B2960-WEEKDAY(B2960)+1</f>
        <v>43863</v>
      </c>
      <c r="D2960" s="1" t="e">
        <f aca="false" t="array" ref="D2960:D2960">IF(ISBLANK(_xlfn.xlookup(D$3,daily_items,_xlfn.xlookup($C2960,daily_dates,big_daily_table))),NA(),_xlfn.xlookup(D$3,daily_items,_xlfn.xlookup($C2960,daily_dates,big_daily_table)))</f>
        <v>#NAME?</v>
      </c>
      <c r="E2960" s="1" t="e">
        <f aca="false" t="array" ref="E2960:E2960">IF(ISBLANK(_xlfn.xlookup(E$3,daily_items,_xlfn.xlookup($C2960,daily_dates,big_daily_table))),NA(),_xlfn.xlookup(E$3,daily_items,_xlfn.xlookup($C2960,daily_dates,big_daily_table)))</f>
        <v>#NAME?</v>
      </c>
    </row>
    <row r="2961" customFormat="false" ht="14.25" hidden="false" customHeight="false" outlineLevel="0" collapsed="false">
      <c r="B2961" s="7" t="n">
        <v>43866</v>
      </c>
      <c r="C2961" s="7" t="n">
        <f aca="false">B2961-WEEKDAY(B2961)+1</f>
        <v>43863</v>
      </c>
      <c r="D2961" s="1" t="e">
        <f aca="false" t="array" ref="D2961:D2961">IF(ISBLANK(_xlfn.xlookup(D$3,daily_items,_xlfn.xlookup($C2961,daily_dates,big_daily_table))),NA(),_xlfn.xlookup(D$3,daily_items,_xlfn.xlookup($C2961,daily_dates,big_daily_table)))</f>
        <v>#NAME?</v>
      </c>
      <c r="E2961" s="1" t="e">
        <f aca="false" t="array" ref="E2961:E2961">IF(ISBLANK(_xlfn.xlookup(E$3,daily_items,_xlfn.xlookup($C2961,daily_dates,big_daily_table))),NA(),_xlfn.xlookup(E$3,daily_items,_xlfn.xlookup($C2961,daily_dates,big_daily_table)))</f>
        <v>#NAME?</v>
      </c>
    </row>
    <row r="2962" customFormat="false" ht="14.25" hidden="false" customHeight="false" outlineLevel="0" collapsed="false">
      <c r="B2962" s="7" t="n">
        <v>43867</v>
      </c>
      <c r="C2962" s="7" t="n">
        <f aca="false">B2962-WEEKDAY(B2962)+1</f>
        <v>43863</v>
      </c>
      <c r="D2962" s="1" t="e">
        <f aca="false" t="array" ref="D2962:D2962">IF(ISBLANK(_xlfn.xlookup(D$3,daily_items,_xlfn.xlookup($C2962,daily_dates,big_daily_table))),NA(),_xlfn.xlookup(D$3,daily_items,_xlfn.xlookup($C2962,daily_dates,big_daily_table)))</f>
        <v>#NAME?</v>
      </c>
      <c r="E2962" s="1" t="e">
        <f aca="false" t="array" ref="E2962:E2962">IF(ISBLANK(_xlfn.xlookup(E$3,daily_items,_xlfn.xlookup($C2962,daily_dates,big_daily_table))),NA(),_xlfn.xlookup(E$3,daily_items,_xlfn.xlookup($C2962,daily_dates,big_daily_table)))</f>
        <v>#NAME?</v>
      </c>
    </row>
    <row r="2963" customFormat="false" ht="14.25" hidden="false" customHeight="false" outlineLevel="0" collapsed="false">
      <c r="B2963" s="7" t="n">
        <v>43868</v>
      </c>
      <c r="C2963" s="7" t="n">
        <f aca="false">B2963-WEEKDAY(B2963)+1</f>
        <v>43863</v>
      </c>
      <c r="D2963" s="1" t="e">
        <f aca="false" t="array" ref="D2963:D2963">IF(ISBLANK(_xlfn.xlookup(D$3,daily_items,_xlfn.xlookup($C2963,daily_dates,big_daily_table))),NA(),_xlfn.xlookup(D$3,daily_items,_xlfn.xlookup($C2963,daily_dates,big_daily_table)))</f>
        <v>#NAME?</v>
      </c>
      <c r="E2963" s="1" t="e">
        <f aca="false" t="array" ref="E2963:E2963">IF(ISBLANK(_xlfn.xlookup(E$3,daily_items,_xlfn.xlookup($C2963,daily_dates,big_daily_table))),NA(),_xlfn.xlookup(E$3,daily_items,_xlfn.xlookup($C2963,daily_dates,big_daily_table)))</f>
        <v>#NAME?</v>
      </c>
    </row>
    <row r="2964" customFormat="false" ht="14.25" hidden="false" customHeight="false" outlineLevel="0" collapsed="false">
      <c r="B2964" s="7" t="n">
        <v>43869</v>
      </c>
      <c r="C2964" s="7" t="n">
        <f aca="false">B2964-WEEKDAY(B2964)+1</f>
        <v>43863</v>
      </c>
      <c r="D2964" s="1" t="e">
        <f aca="false" t="array" ref="D2964:D2964">IF(ISBLANK(_xlfn.xlookup(D$3,daily_items,_xlfn.xlookup($C2964,daily_dates,big_daily_table))),NA(),_xlfn.xlookup(D$3,daily_items,_xlfn.xlookup($C2964,daily_dates,big_daily_table)))</f>
        <v>#NAME?</v>
      </c>
      <c r="E2964" s="1" t="e">
        <f aca="false" t="array" ref="E2964:E2964">IF(ISBLANK(_xlfn.xlookup(E$3,daily_items,_xlfn.xlookup($C2964,daily_dates,big_daily_table))),NA(),_xlfn.xlookup(E$3,daily_items,_xlfn.xlookup($C2964,daily_dates,big_daily_table)))</f>
        <v>#NAME?</v>
      </c>
    </row>
    <row r="2965" customFormat="false" ht="14.25" hidden="false" customHeight="false" outlineLevel="0" collapsed="false">
      <c r="B2965" s="7" t="n">
        <v>43870</v>
      </c>
      <c r="C2965" s="7" t="n">
        <f aca="false">B2965-WEEKDAY(B2965)+1</f>
        <v>43870</v>
      </c>
      <c r="D2965" s="1" t="e">
        <f aca="false" t="array" ref="D2965:D2965">IF(ISBLANK(_xlfn.xlookup(D$3,daily_items,_xlfn.xlookup($C2965,daily_dates,big_daily_table))),NA(),_xlfn.xlookup(D$3,daily_items,_xlfn.xlookup($C2965,daily_dates,big_daily_table)))</f>
        <v>#NAME?</v>
      </c>
      <c r="E2965" s="1" t="e">
        <f aca="false" t="array" ref="E2965:E2965">IF(ISBLANK(_xlfn.xlookup(E$3,daily_items,_xlfn.xlookup($C2965,daily_dates,big_daily_table))),NA(),_xlfn.xlookup(E$3,daily_items,_xlfn.xlookup($C2965,daily_dates,big_daily_table)))</f>
        <v>#NAME?</v>
      </c>
    </row>
    <row r="2966" customFormat="false" ht="14.25" hidden="false" customHeight="false" outlineLevel="0" collapsed="false">
      <c r="B2966" s="7" t="n">
        <v>43871</v>
      </c>
      <c r="C2966" s="7" t="n">
        <f aca="false">B2966-WEEKDAY(B2966)+1</f>
        <v>43870</v>
      </c>
      <c r="D2966" s="1" t="e">
        <f aca="false" t="array" ref="D2966:D2966">IF(ISBLANK(_xlfn.xlookup(D$3,daily_items,_xlfn.xlookup($C2966,daily_dates,big_daily_table))),NA(),_xlfn.xlookup(D$3,daily_items,_xlfn.xlookup($C2966,daily_dates,big_daily_table)))</f>
        <v>#NAME?</v>
      </c>
      <c r="E2966" s="1" t="e">
        <f aca="false" t="array" ref="E2966:E2966">IF(ISBLANK(_xlfn.xlookup(E$3,daily_items,_xlfn.xlookup($C2966,daily_dates,big_daily_table))),NA(),_xlfn.xlookup(E$3,daily_items,_xlfn.xlookup($C2966,daily_dates,big_daily_table)))</f>
        <v>#NAME?</v>
      </c>
    </row>
    <row r="2967" customFormat="false" ht="14.25" hidden="false" customHeight="false" outlineLevel="0" collapsed="false">
      <c r="B2967" s="7" t="n">
        <v>43872</v>
      </c>
      <c r="C2967" s="7" t="n">
        <f aca="false">B2967-WEEKDAY(B2967)+1</f>
        <v>43870</v>
      </c>
      <c r="D2967" s="1" t="e">
        <f aca="false" t="array" ref="D2967:D2967">IF(ISBLANK(_xlfn.xlookup(D$3,daily_items,_xlfn.xlookup($C2967,daily_dates,big_daily_table))),NA(),_xlfn.xlookup(D$3,daily_items,_xlfn.xlookup($C2967,daily_dates,big_daily_table)))</f>
        <v>#NAME?</v>
      </c>
      <c r="E2967" s="1" t="e">
        <f aca="false" t="array" ref="E2967:E2967">IF(ISBLANK(_xlfn.xlookup(E$3,daily_items,_xlfn.xlookup($C2967,daily_dates,big_daily_table))),NA(),_xlfn.xlookup(E$3,daily_items,_xlfn.xlookup($C2967,daily_dates,big_daily_table)))</f>
        <v>#NAME?</v>
      </c>
    </row>
    <row r="2968" customFormat="false" ht="14.25" hidden="false" customHeight="false" outlineLevel="0" collapsed="false">
      <c r="B2968" s="7" t="n">
        <v>43873</v>
      </c>
      <c r="C2968" s="7" t="n">
        <f aca="false">B2968-WEEKDAY(B2968)+1</f>
        <v>43870</v>
      </c>
      <c r="D2968" s="1" t="e">
        <f aca="false" t="array" ref="D2968:D2968">IF(ISBLANK(_xlfn.xlookup(D$3,daily_items,_xlfn.xlookup($C2968,daily_dates,big_daily_table))),NA(),_xlfn.xlookup(D$3,daily_items,_xlfn.xlookup($C2968,daily_dates,big_daily_table)))</f>
        <v>#NAME?</v>
      </c>
      <c r="E2968" s="1" t="e">
        <f aca="false" t="array" ref="E2968:E2968">IF(ISBLANK(_xlfn.xlookup(E$3,daily_items,_xlfn.xlookup($C2968,daily_dates,big_daily_table))),NA(),_xlfn.xlookup(E$3,daily_items,_xlfn.xlookup($C2968,daily_dates,big_daily_table)))</f>
        <v>#NAME?</v>
      </c>
    </row>
    <row r="2969" customFormat="false" ht="14.25" hidden="false" customHeight="false" outlineLevel="0" collapsed="false">
      <c r="B2969" s="7" t="n">
        <v>43874</v>
      </c>
      <c r="C2969" s="7" t="n">
        <f aca="false">B2969-WEEKDAY(B2969)+1</f>
        <v>43870</v>
      </c>
      <c r="D2969" s="1" t="e">
        <f aca="false" t="array" ref="D2969:D2969">IF(ISBLANK(_xlfn.xlookup(D$3,daily_items,_xlfn.xlookup($C2969,daily_dates,big_daily_table))),NA(),_xlfn.xlookup(D$3,daily_items,_xlfn.xlookup($C2969,daily_dates,big_daily_table)))</f>
        <v>#NAME?</v>
      </c>
      <c r="E2969" s="1" t="e">
        <f aca="false" t="array" ref="E2969:E2969">IF(ISBLANK(_xlfn.xlookup(E$3,daily_items,_xlfn.xlookup($C2969,daily_dates,big_daily_table))),NA(),_xlfn.xlookup(E$3,daily_items,_xlfn.xlookup($C2969,daily_dates,big_daily_table)))</f>
        <v>#NAME?</v>
      </c>
    </row>
    <row r="2970" customFormat="false" ht="14.25" hidden="false" customHeight="false" outlineLevel="0" collapsed="false">
      <c r="B2970" s="7" t="n">
        <v>43875</v>
      </c>
      <c r="C2970" s="7" t="n">
        <f aca="false">B2970-WEEKDAY(B2970)+1</f>
        <v>43870</v>
      </c>
      <c r="D2970" s="1" t="e">
        <f aca="false" t="array" ref="D2970:D2970">IF(ISBLANK(_xlfn.xlookup(D$3,daily_items,_xlfn.xlookup($C2970,daily_dates,big_daily_table))),NA(),_xlfn.xlookup(D$3,daily_items,_xlfn.xlookup($C2970,daily_dates,big_daily_table)))</f>
        <v>#NAME?</v>
      </c>
      <c r="E2970" s="1" t="e">
        <f aca="false" t="array" ref="E2970:E2970">IF(ISBLANK(_xlfn.xlookup(E$3,daily_items,_xlfn.xlookup($C2970,daily_dates,big_daily_table))),NA(),_xlfn.xlookup(E$3,daily_items,_xlfn.xlookup($C2970,daily_dates,big_daily_table)))</f>
        <v>#NAME?</v>
      </c>
    </row>
    <row r="2971" customFormat="false" ht="14.25" hidden="false" customHeight="false" outlineLevel="0" collapsed="false">
      <c r="B2971" s="7" t="n">
        <v>43876</v>
      </c>
      <c r="C2971" s="7" t="n">
        <f aca="false">B2971-WEEKDAY(B2971)+1</f>
        <v>43870</v>
      </c>
      <c r="D2971" s="1" t="e">
        <f aca="false" t="array" ref="D2971:D2971">IF(ISBLANK(_xlfn.xlookup(D$3,daily_items,_xlfn.xlookup($C2971,daily_dates,big_daily_table))),NA(),_xlfn.xlookup(D$3,daily_items,_xlfn.xlookup($C2971,daily_dates,big_daily_table)))</f>
        <v>#NAME?</v>
      </c>
      <c r="E2971" s="1" t="e">
        <f aca="false" t="array" ref="E2971:E2971">IF(ISBLANK(_xlfn.xlookup(E$3,daily_items,_xlfn.xlookup($C2971,daily_dates,big_daily_table))),NA(),_xlfn.xlookup(E$3,daily_items,_xlfn.xlookup($C2971,daily_dates,big_daily_table)))</f>
        <v>#NAME?</v>
      </c>
    </row>
    <row r="2972" customFormat="false" ht="14.25" hidden="false" customHeight="false" outlineLevel="0" collapsed="false">
      <c r="B2972" s="7" t="n">
        <v>43877</v>
      </c>
      <c r="C2972" s="7" t="n">
        <f aca="false">B2972-WEEKDAY(B2972)+1</f>
        <v>43877</v>
      </c>
      <c r="D2972" s="1" t="e">
        <f aca="false" t="array" ref="D2972:D2972">IF(ISBLANK(_xlfn.xlookup(D$3,daily_items,_xlfn.xlookup($C2972,daily_dates,big_daily_table))),NA(),_xlfn.xlookup(D$3,daily_items,_xlfn.xlookup($C2972,daily_dates,big_daily_table)))</f>
        <v>#NAME?</v>
      </c>
      <c r="E2972" s="1" t="e">
        <f aca="false" t="array" ref="E2972:E2972">IF(ISBLANK(_xlfn.xlookup(E$3,daily_items,_xlfn.xlookup($C2972,daily_dates,big_daily_table))),NA(),_xlfn.xlookup(E$3,daily_items,_xlfn.xlookup($C2972,daily_dates,big_daily_table)))</f>
        <v>#NAME?</v>
      </c>
    </row>
    <row r="2973" customFormat="false" ht="14.25" hidden="false" customHeight="false" outlineLevel="0" collapsed="false">
      <c r="B2973" s="7" t="n">
        <v>43878</v>
      </c>
      <c r="C2973" s="7" t="n">
        <f aca="false">B2973-WEEKDAY(B2973)+1</f>
        <v>43877</v>
      </c>
      <c r="D2973" s="1" t="e">
        <f aca="false" t="array" ref="D2973:D2973">IF(ISBLANK(_xlfn.xlookup(D$3,daily_items,_xlfn.xlookup($C2973,daily_dates,big_daily_table))),NA(),_xlfn.xlookup(D$3,daily_items,_xlfn.xlookup($C2973,daily_dates,big_daily_table)))</f>
        <v>#NAME?</v>
      </c>
      <c r="E2973" s="1" t="e">
        <f aca="false" t="array" ref="E2973:E2973">IF(ISBLANK(_xlfn.xlookup(E$3,daily_items,_xlfn.xlookup($C2973,daily_dates,big_daily_table))),NA(),_xlfn.xlookup(E$3,daily_items,_xlfn.xlookup($C2973,daily_dates,big_daily_table)))</f>
        <v>#NAME?</v>
      </c>
    </row>
    <row r="2974" customFormat="false" ht="14.25" hidden="false" customHeight="false" outlineLevel="0" collapsed="false">
      <c r="B2974" s="7" t="n">
        <v>43879</v>
      </c>
      <c r="C2974" s="7" t="n">
        <f aca="false">B2974-WEEKDAY(B2974)+1</f>
        <v>43877</v>
      </c>
      <c r="D2974" s="1" t="e">
        <f aca="false" t="array" ref="D2974:D2974">IF(ISBLANK(_xlfn.xlookup(D$3,daily_items,_xlfn.xlookup($C2974,daily_dates,big_daily_table))),NA(),_xlfn.xlookup(D$3,daily_items,_xlfn.xlookup($C2974,daily_dates,big_daily_table)))</f>
        <v>#NAME?</v>
      </c>
      <c r="E2974" s="1" t="e">
        <f aca="false" t="array" ref="E2974:E2974">IF(ISBLANK(_xlfn.xlookup(E$3,daily_items,_xlfn.xlookup($C2974,daily_dates,big_daily_table))),NA(),_xlfn.xlookup(E$3,daily_items,_xlfn.xlookup($C2974,daily_dates,big_daily_table)))</f>
        <v>#NAME?</v>
      </c>
    </row>
    <row r="2975" customFormat="false" ht="14.25" hidden="false" customHeight="false" outlineLevel="0" collapsed="false">
      <c r="B2975" s="7" t="n">
        <v>43880</v>
      </c>
      <c r="C2975" s="7" t="n">
        <f aca="false">B2975-WEEKDAY(B2975)+1</f>
        <v>43877</v>
      </c>
      <c r="D2975" s="1" t="e">
        <f aca="false" t="array" ref="D2975:D2975">IF(ISBLANK(_xlfn.xlookup(D$3,daily_items,_xlfn.xlookup($C2975,daily_dates,big_daily_table))),NA(),_xlfn.xlookup(D$3,daily_items,_xlfn.xlookup($C2975,daily_dates,big_daily_table)))</f>
        <v>#NAME?</v>
      </c>
      <c r="E2975" s="1" t="e">
        <f aca="false" t="array" ref="E2975:E2975">IF(ISBLANK(_xlfn.xlookup(E$3,daily_items,_xlfn.xlookup($C2975,daily_dates,big_daily_table))),NA(),_xlfn.xlookup(E$3,daily_items,_xlfn.xlookup($C2975,daily_dates,big_daily_table)))</f>
        <v>#NAME?</v>
      </c>
    </row>
    <row r="2976" customFormat="false" ht="14.25" hidden="false" customHeight="false" outlineLevel="0" collapsed="false">
      <c r="B2976" s="7" t="n">
        <v>43881</v>
      </c>
      <c r="C2976" s="7" t="n">
        <f aca="false">B2976-WEEKDAY(B2976)+1</f>
        <v>43877</v>
      </c>
      <c r="D2976" s="1" t="e">
        <f aca="false" t="array" ref="D2976:D2976">IF(ISBLANK(_xlfn.xlookup(D$3,daily_items,_xlfn.xlookup($C2976,daily_dates,big_daily_table))),NA(),_xlfn.xlookup(D$3,daily_items,_xlfn.xlookup($C2976,daily_dates,big_daily_table)))</f>
        <v>#NAME?</v>
      </c>
      <c r="E2976" s="1" t="e">
        <f aca="false" t="array" ref="E2976:E2976">IF(ISBLANK(_xlfn.xlookup(E$3,daily_items,_xlfn.xlookup($C2976,daily_dates,big_daily_table))),NA(),_xlfn.xlookup(E$3,daily_items,_xlfn.xlookup($C2976,daily_dates,big_daily_table)))</f>
        <v>#NAME?</v>
      </c>
    </row>
    <row r="2977" customFormat="false" ht="14.25" hidden="false" customHeight="false" outlineLevel="0" collapsed="false">
      <c r="B2977" s="7" t="n">
        <v>43882</v>
      </c>
      <c r="C2977" s="7" t="n">
        <f aca="false">B2977-WEEKDAY(B2977)+1</f>
        <v>43877</v>
      </c>
      <c r="D2977" s="1" t="e">
        <f aca="false" t="array" ref="D2977:D2977">IF(ISBLANK(_xlfn.xlookup(D$3,daily_items,_xlfn.xlookup($C2977,daily_dates,big_daily_table))),NA(),_xlfn.xlookup(D$3,daily_items,_xlfn.xlookup($C2977,daily_dates,big_daily_table)))</f>
        <v>#NAME?</v>
      </c>
      <c r="E2977" s="1" t="e">
        <f aca="false" t="array" ref="E2977:E2977">IF(ISBLANK(_xlfn.xlookup(E$3,daily_items,_xlfn.xlookup($C2977,daily_dates,big_daily_table))),NA(),_xlfn.xlookup(E$3,daily_items,_xlfn.xlookup($C2977,daily_dates,big_daily_table)))</f>
        <v>#NAME?</v>
      </c>
    </row>
    <row r="2978" customFormat="false" ht="14.25" hidden="false" customHeight="false" outlineLevel="0" collapsed="false">
      <c r="B2978" s="7" t="n">
        <v>43883</v>
      </c>
      <c r="C2978" s="7" t="n">
        <f aca="false">B2978-WEEKDAY(B2978)+1</f>
        <v>43877</v>
      </c>
      <c r="D2978" s="1" t="e">
        <f aca="false" t="array" ref="D2978:D2978">IF(ISBLANK(_xlfn.xlookup(D$3,daily_items,_xlfn.xlookup($C2978,daily_dates,big_daily_table))),NA(),_xlfn.xlookup(D$3,daily_items,_xlfn.xlookup($C2978,daily_dates,big_daily_table)))</f>
        <v>#NAME?</v>
      </c>
      <c r="E2978" s="1" t="e">
        <f aca="false" t="array" ref="E2978:E2978">IF(ISBLANK(_xlfn.xlookup(E$3,daily_items,_xlfn.xlookup($C2978,daily_dates,big_daily_table))),NA(),_xlfn.xlookup(E$3,daily_items,_xlfn.xlookup($C2978,daily_dates,big_daily_table)))</f>
        <v>#NAME?</v>
      </c>
    </row>
    <row r="2979" customFormat="false" ht="14.25" hidden="false" customHeight="false" outlineLevel="0" collapsed="false">
      <c r="B2979" s="7" t="n">
        <v>43884</v>
      </c>
      <c r="C2979" s="7" t="n">
        <f aca="false">B2979-WEEKDAY(B2979)+1</f>
        <v>43884</v>
      </c>
      <c r="D2979" s="1" t="e">
        <f aca="false" t="array" ref="D2979:D2979">IF(ISBLANK(_xlfn.xlookup(D$3,daily_items,_xlfn.xlookup($C2979,daily_dates,big_daily_table))),NA(),_xlfn.xlookup(D$3,daily_items,_xlfn.xlookup($C2979,daily_dates,big_daily_table)))</f>
        <v>#NAME?</v>
      </c>
      <c r="E2979" s="1" t="e">
        <f aca="false" t="array" ref="E2979:E2979">IF(ISBLANK(_xlfn.xlookup(E$3,daily_items,_xlfn.xlookup($C2979,daily_dates,big_daily_table))),NA(),_xlfn.xlookup(E$3,daily_items,_xlfn.xlookup($C2979,daily_dates,big_daily_table)))</f>
        <v>#NAME?</v>
      </c>
    </row>
    <row r="2980" customFormat="false" ht="14.25" hidden="false" customHeight="false" outlineLevel="0" collapsed="false">
      <c r="B2980" s="7" t="n">
        <v>43885</v>
      </c>
      <c r="C2980" s="7" t="n">
        <f aca="false">B2980-WEEKDAY(B2980)+1</f>
        <v>43884</v>
      </c>
      <c r="D2980" s="1" t="e">
        <f aca="false" t="array" ref="D2980:D2980">IF(ISBLANK(_xlfn.xlookup(D$3,daily_items,_xlfn.xlookup($C2980,daily_dates,big_daily_table))),NA(),_xlfn.xlookup(D$3,daily_items,_xlfn.xlookup($C2980,daily_dates,big_daily_table)))</f>
        <v>#NAME?</v>
      </c>
      <c r="E2980" s="1" t="e">
        <f aca="false" t="array" ref="E2980:E2980">IF(ISBLANK(_xlfn.xlookup(E$3,daily_items,_xlfn.xlookup($C2980,daily_dates,big_daily_table))),NA(),_xlfn.xlookup(E$3,daily_items,_xlfn.xlookup($C2980,daily_dates,big_daily_table)))</f>
        <v>#NAME?</v>
      </c>
    </row>
    <row r="2981" customFormat="false" ht="14.25" hidden="false" customHeight="false" outlineLevel="0" collapsed="false">
      <c r="B2981" s="7" t="n">
        <v>43886</v>
      </c>
      <c r="C2981" s="7" t="n">
        <f aca="false">B2981-WEEKDAY(B2981)+1</f>
        <v>43884</v>
      </c>
      <c r="D2981" s="1" t="e">
        <f aca="false" t="array" ref="D2981:D2981">IF(ISBLANK(_xlfn.xlookup(D$3,daily_items,_xlfn.xlookup($C2981,daily_dates,big_daily_table))),NA(),_xlfn.xlookup(D$3,daily_items,_xlfn.xlookup($C2981,daily_dates,big_daily_table)))</f>
        <v>#NAME?</v>
      </c>
      <c r="E2981" s="1" t="e">
        <f aca="false" t="array" ref="E2981:E2981">IF(ISBLANK(_xlfn.xlookup(E$3,daily_items,_xlfn.xlookup($C2981,daily_dates,big_daily_table))),NA(),_xlfn.xlookup(E$3,daily_items,_xlfn.xlookup($C2981,daily_dates,big_daily_table)))</f>
        <v>#NAME?</v>
      </c>
    </row>
    <row r="2982" customFormat="false" ht="14.25" hidden="false" customHeight="false" outlineLevel="0" collapsed="false">
      <c r="B2982" s="7" t="n">
        <v>43887</v>
      </c>
      <c r="C2982" s="7" t="n">
        <f aca="false">B2982-WEEKDAY(B2982)+1</f>
        <v>43884</v>
      </c>
      <c r="D2982" s="1" t="e">
        <f aca="false" t="array" ref="D2982:D2982">IF(ISBLANK(_xlfn.xlookup(D$3,daily_items,_xlfn.xlookup($C2982,daily_dates,big_daily_table))),NA(),_xlfn.xlookup(D$3,daily_items,_xlfn.xlookup($C2982,daily_dates,big_daily_table)))</f>
        <v>#NAME?</v>
      </c>
      <c r="E2982" s="1" t="e">
        <f aca="false" t="array" ref="E2982:E2982">IF(ISBLANK(_xlfn.xlookup(E$3,daily_items,_xlfn.xlookup($C2982,daily_dates,big_daily_table))),NA(),_xlfn.xlookup(E$3,daily_items,_xlfn.xlookup($C2982,daily_dates,big_daily_table)))</f>
        <v>#NAME?</v>
      </c>
    </row>
    <row r="2983" customFormat="false" ht="14.25" hidden="false" customHeight="false" outlineLevel="0" collapsed="false">
      <c r="B2983" s="7" t="n">
        <v>43888</v>
      </c>
      <c r="C2983" s="7" t="n">
        <f aca="false">B2983-WEEKDAY(B2983)+1</f>
        <v>43884</v>
      </c>
      <c r="D2983" s="1" t="e">
        <f aca="false" t="array" ref="D2983:D2983">IF(ISBLANK(_xlfn.xlookup(D$3,daily_items,_xlfn.xlookup($C2983,daily_dates,big_daily_table))),NA(),_xlfn.xlookup(D$3,daily_items,_xlfn.xlookup($C2983,daily_dates,big_daily_table)))</f>
        <v>#NAME?</v>
      </c>
      <c r="E2983" s="1" t="e">
        <f aca="false" t="array" ref="E2983:E2983">IF(ISBLANK(_xlfn.xlookup(E$3,daily_items,_xlfn.xlookup($C2983,daily_dates,big_daily_table))),NA(),_xlfn.xlookup(E$3,daily_items,_xlfn.xlookup($C2983,daily_dates,big_daily_table)))</f>
        <v>#NAME?</v>
      </c>
    </row>
    <row r="2984" customFormat="false" ht="14.25" hidden="false" customHeight="false" outlineLevel="0" collapsed="false">
      <c r="B2984" s="7" t="n">
        <v>43889</v>
      </c>
      <c r="C2984" s="7" t="n">
        <f aca="false">B2984-WEEKDAY(B2984)+1</f>
        <v>43884</v>
      </c>
      <c r="D2984" s="1" t="e">
        <f aca="false" t="array" ref="D2984:D2984">IF(ISBLANK(_xlfn.xlookup(D$3,daily_items,_xlfn.xlookup($C2984,daily_dates,big_daily_table))),NA(),_xlfn.xlookup(D$3,daily_items,_xlfn.xlookup($C2984,daily_dates,big_daily_table)))</f>
        <v>#NAME?</v>
      </c>
      <c r="E2984" s="1" t="e">
        <f aca="false" t="array" ref="E2984:E2984">IF(ISBLANK(_xlfn.xlookup(E$3,daily_items,_xlfn.xlookup($C2984,daily_dates,big_daily_table))),NA(),_xlfn.xlookup(E$3,daily_items,_xlfn.xlookup($C2984,daily_dates,big_daily_table)))</f>
        <v>#NAME?</v>
      </c>
    </row>
    <row r="2985" customFormat="false" ht="14.25" hidden="false" customHeight="false" outlineLevel="0" collapsed="false">
      <c r="B2985" s="7" t="n">
        <v>43890</v>
      </c>
      <c r="C2985" s="7" t="n">
        <f aca="false">B2985-WEEKDAY(B2985)+1</f>
        <v>43884</v>
      </c>
      <c r="D2985" s="1" t="e">
        <f aca="false" t="array" ref="D2985:D2985">IF(ISBLANK(_xlfn.xlookup(D$3,daily_items,_xlfn.xlookup($C2985,daily_dates,big_daily_table))),NA(),_xlfn.xlookup(D$3,daily_items,_xlfn.xlookup($C2985,daily_dates,big_daily_table)))</f>
        <v>#NAME?</v>
      </c>
      <c r="E2985" s="1" t="e">
        <f aca="false" t="array" ref="E2985:E2985">IF(ISBLANK(_xlfn.xlookup(E$3,daily_items,_xlfn.xlookup($C2985,daily_dates,big_daily_table))),NA(),_xlfn.xlookup(E$3,daily_items,_xlfn.xlookup($C2985,daily_dates,big_daily_table)))</f>
        <v>#NAME?</v>
      </c>
    </row>
    <row r="2986" customFormat="false" ht="14.25" hidden="false" customHeight="false" outlineLevel="0" collapsed="false">
      <c r="B2986" s="7" t="n">
        <v>43891</v>
      </c>
      <c r="C2986" s="7" t="n">
        <f aca="false">B2986-WEEKDAY(B2986)+1</f>
        <v>43891</v>
      </c>
      <c r="D2986" s="1" t="e">
        <f aca="false" t="array" ref="D2986:D2986">IF(ISBLANK(_xlfn.xlookup(D$3,daily_items,_xlfn.xlookup($C2986,daily_dates,big_daily_table))),NA(),_xlfn.xlookup(D$3,daily_items,_xlfn.xlookup($C2986,daily_dates,big_daily_table)))</f>
        <v>#NAME?</v>
      </c>
      <c r="E2986" s="1" t="e">
        <f aca="false" t="array" ref="E2986:E2986">IF(ISBLANK(_xlfn.xlookup(E$3,daily_items,_xlfn.xlookup($C2986,daily_dates,big_daily_table))),NA(),_xlfn.xlookup(E$3,daily_items,_xlfn.xlookup($C2986,daily_dates,big_daily_table)))</f>
        <v>#NAME?</v>
      </c>
    </row>
    <row r="2987" customFormat="false" ht="14.25" hidden="false" customHeight="false" outlineLevel="0" collapsed="false">
      <c r="B2987" s="7" t="n">
        <v>43892</v>
      </c>
      <c r="C2987" s="7" t="n">
        <f aca="false">B2987-WEEKDAY(B2987)+1</f>
        <v>43891</v>
      </c>
      <c r="D2987" s="1" t="e">
        <f aca="false" t="array" ref="D2987:D2987">IF(ISBLANK(_xlfn.xlookup(D$3,daily_items,_xlfn.xlookup($C2987,daily_dates,big_daily_table))),NA(),_xlfn.xlookup(D$3,daily_items,_xlfn.xlookup($C2987,daily_dates,big_daily_table)))</f>
        <v>#NAME?</v>
      </c>
      <c r="E2987" s="1" t="e">
        <f aca="false" t="array" ref="E2987:E2987">IF(ISBLANK(_xlfn.xlookup(E$3,daily_items,_xlfn.xlookup($C2987,daily_dates,big_daily_table))),NA(),_xlfn.xlookup(E$3,daily_items,_xlfn.xlookup($C2987,daily_dates,big_daily_table)))</f>
        <v>#NAME?</v>
      </c>
    </row>
    <row r="2988" customFormat="false" ht="14.25" hidden="false" customHeight="false" outlineLevel="0" collapsed="false">
      <c r="B2988" s="7" t="n">
        <v>43893</v>
      </c>
      <c r="C2988" s="7" t="n">
        <f aca="false">B2988-WEEKDAY(B2988)+1</f>
        <v>43891</v>
      </c>
      <c r="D2988" s="1" t="e">
        <f aca="false" t="array" ref="D2988:D2988">IF(ISBLANK(_xlfn.xlookup(D$3,daily_items,_xlfn.xlookup($C2988,daily_dates,big_daily_table))),NA(),_xlfn.xlookup(D$3,daily_items,_xlfn.xlookup($C2988,daily_dates,big_daily_table)))</f>
        <v>#NAME?</v>
      </c>
      <c r="E2988" s="1" t="e">
        <f aca="false" t="array" ref="E2988:E2988">IF(ISBLANK(_xlfn.xlookup(E$3,daily_items,_xlfn.xlookup($C2988,daily_dates,big_daily_table))),NA(),_xlfn.xlookup(E$3,daily_items,_xlfn.xlookup($C2988,daily_dates,big_daily_table)))</f>
        <v>#NAME?</v>
      </c>
    </row>
    <row r="2989" customFormat="false" ht="14.25" hidden="false" customHeight="false" outlineLevel="0" collapsed="false">
      <c r="B2989" s="7" t="n">
        <v>43894</v>
      </c>
      <c r="C2989" s="7" t="n">
        <f aca="false">B2989-WEEKDAY(B2989)+1</f>
        <v>43891</v>
      </c>
      <c r="D2989" s="1" t="e">
        <f aca="false" t="array" ref="D2989:D2989">IF(ISBLANK(_xlfn.xlookup(D$3,daily_items,_xlfn.xlookup($C2989,daily_dates,big_daily_table))),NA(),_xlfn.xlookup(D$3,daily_items,_xlfn.xlookup($C2989,daily_dates,big_daily_table)))</f>
        <v>#NAME?</v>
      </c>
      <c r="E2989" s="1" t="e">
        <f aca="false" t="array" ref="E2989:E2989">IF(ISBLANK(_xlfn.xlookup(E$3,daily_items,_xlfn.xlookup($C2989,daily_dates,big_daily_table))),NA(),_xlfn.xlookup(E$3,daily_items,_xlfn.xlookup($C2989,daily_dates,big_daily_table)))</f>
        <v>#NAME?</v>
      </c>
    </row>
    <row r="2990" customFormat="false" ht="14.25" hidden="false" customHeight="false" outlineLevel="0" collapsed="false">
      <c r="B2990" s="7" t="n">
        <v>43895</v>
      </c>
      <c r="C2990" s="7" t="n">
        <f aca="false">B2990-WEEKDAY(B2990)+1</f>
        <v>43891</v>
      </c>
      <c r="D2990" s="1" t="e">
        <f aca="false" t="array" ref="D2990:D2990">IF(ISBLANK(_xlfn.xlookup(D$3,daily_items,_xlfn.xlookup($C2990,daily_dates,big_daily_table))),NA(),_xlfn.xlookup(D$3,daily_items,_xlfn.xlookup($C2990,daily_dates,big_daily_table)))</f>
        <v>#NAME?</v>
      </c>
      <c r="E2990" s="1" t="e">
        <f aca="false" t="array" ref="E2990:E2990">IF(ISBLANK(_xlfn.xlookup(E$3,daily_items,_xlfn.xlookup($C2990,daily_dates,big_daily_table))),NA(),_xlfn.xlookup(E$3,daily_items,_xlfn.xlookup($C2990,daily_dates,big_daily_table)))</f>
        <v>#NAME?</v>
      </c>
    </row>
    <row r="2991" customFormat="false" ht="14.25" hidden="false" customHeight="false" outlineLevel="0" collapsed="false">
      <c r="B2991" s="7" t="n">
        <v>43896</v>
      </c>
      <c r="C2991" s="7" t="n">
        <f aca="false">B2991-WEEKDAY(B2991)+1</f>
        <v>43891</v>
      </c>
      <c r="D2991" s="1" t="e">
        <f aca="false" t="array" ref="D2991:D2991">IF(ISBLANK(_xlfn.xlookup(D$3,daily_items,_xlfn.xlookup($C2991,daily_dates,big_daily_table))),NA(),_xlfn.xlookup(D$3,daily_items,_xlfn.xlookup($C2991,daily_dates,big_daily_table)))</f>
        <v>#NAME?</v>
      </c>
      <c r="E2991" s="1" t="e">
        <f aca="false" t="array" ref="E2991:E2991">IF(ISBLANK(_xlfn.xlookup(E$3,daily_items,_xlfn.xlookup($C2991,daily_dates,big_daily_table))),NA(),_xlfn.xlookup(E$3,daily_items,_xlfn.xlookup($C2991,daily_dates,big_daily_table)))</f>
        <v>#NAME?</v>
      </c>
    </row>
    <row r="2992" customFormat="false" ht="14.25" hidden="false" customHeight="false" outlineLevel="0" collapsed="false">
      <c r="B2992" s="7" t="n">
        <v>43897</v>
      </c>
      <c r="C2992" s="7" t="n">
        <f aca="false">B2992-WEEKDAY(B2992)+1</f>
        <v>43891</v>
      </c>
      <c r="D2992" s="1" t="e">
        <f aca="false" t="array" ref="D2992:D2992">IF(ISBLANK(_xlfn.xlookup(D$3,daily_items,_xlfn.xlookup($C2992,daily_dates,big_daily_table))),NA(),_xlfn.xlookup(D$3,daily_items,_xlfn.xlookup($C2992,daily_dates,big_daily_table)))</f>
        <v>#NAME?</v>
      </c>
      <c r="E2992" s="1" t="e">
        <f aca="false" t="array" ref="E2992:E2992">IF(ISBLANK(_xlfn.xlookup(E$3,daily_items,_xlfn.xlookup($C2992,daily_dates,big_daily_table))),NA(),_xlfn.xlookup(E$3,daily_items,_xlfn.xlookup($C2992,daily_dates,big_daily_table)))</f>
        <v>#NAME?</v>
      </c>
    </row>
    <row r="2993" customFormat="false" ht="14.25" hidden="false" customHeight="false" outlineLevel="0" collapsed="false">
      <c r="B2993" s="7" t="n">
        <v>43898</v>
      </c>
      <c r="C2993" s="7" t="n">
        <f aca="false">B2993-WEEKDAY(B2993)+1</f>
        <v>43898</v>
      </c>
      <c r="D2993" s="1" t="e">
        <f aca="false" t="array" ref="D2993:D2993">IF(ISBLANK(_xlfn.xlookup(D$3,daily_items,_xlfn.xlookup($C2993,daily_dates,big_daily_table))),NA(),_xlfn.xlookup(D$3,daily_items,_xlfn.xlookup($C2993,daily_dates,big_daily_table)))</f>
        <v>#NAME?</v>
      </c>
      <c r="E2993" s="1" t="e">
        <f aca="false" t="array" ref="E2993:E2993">IF(ISBLANK(_xlfn.xlookup(E$3,daily_items,_xlfn.xlookup($C2993,daily_dates,big_daily_table))),NA(),_xlfn.xlookup(E$3,daily_items,_xlfn.xlookup($C2993,daily_dates,big_daily_table)))</f>
        <v>#NAME?</v>
      </c>
    </row>
    <row r="2994" customFormat="false" ht="14.25" hidden="false" customHeight="false" outlineLevel="0" collapsed="false">
      <c r="B2994" s="7" t="n">
        <v>43899</v>
      </c>
      <c r="C2994" s="7" t="n">
        <f aca="false">B2994-WEEKDAY(B2994)+1</f>
        <v>43898</v>
      </c>
      <c r="D2994" s="1" t="e">
        <f aca="false" t="array" ref="D2994:D2994">IF(ISBLANK(_xlfn.xlookup(D$3,daily_items,_xlfn.xlookup($C2994,daily_dates,big_daily_table))),NA(),_xlfn.xlookup(D$3,daily_items,_xlfn.xlookup($C2994,daily_dates,big_daily_table)))</f>
        <v>#NAME?</v>
      </c>
      <c r="E2994" s="1" t="e">
        <f aca="false" t="array" ref="E2994:E2994">IF(ISBLANK(_xlfn.xlookup(E$3,daily_items,_xlfn.xlookup($C2994,daily_dates,big_daily_table))),NA(),_xlfn.xlookup(E$3,daily_items,_xlfn.xlookup($C2994,daily_dates,big_daily_table)))</f>
        <v>#NAME?</v>
      </c>
    </row>
    <row r="2995" customFormat="false" ht="14.25" hidden="false" customHeight="false" outlineLevel="0" collapsed="false">
      <c r="B2995" s="7" t="n">
        <v>43900</v>
      </c>
      <c r="C2995" s="7" t="n">
        <f aca="false">B2995-WEEKDAY(B2995)+1</f>
        <v>43898</v>
      </c>
      <c r="D2995" s="1" t="e">
        <f aca="false" t="array" ref="D2995:D2995">IF(ISBLANK(_xlfn.xlookup(D$3,daily_items,_xlfn.xlookup($C2995,daily_dates,big_daily_table))),NA(),_xlfn.xlookup(D$3,daily_items,_xlfn.xlookup($C2995,daily_dates,big_daily_table)))</f>
        <v>#NAME?</v>
      </c>
      <c r="E2995" s="1" t="e">
        <f aca="false" t="array" ref="E2995:E2995">IF(ISBLANK(_xlfn.xlookup(E$3,daily_items,_xlfn.xlookup($C2995,daily_dates,big_daily_table))),NA(),_xlfn.xlookup(E$3,daily_items,_xlfn.xlookup($C2995,daily_dates,big_daily_table)))</f>
        <v>#NAME?</v>
      </c>
    </row>
    <row r="2996" customFormat="false" ht="14.25" hidden="false" customHeight="false" outlineLevel="0" collapsed="false">
      <c r="B2996" s="7" t="n">
        <v>43901</v>
      </c>
      <c r="C2996" s="7" t="n">
        <f aca="false">B2996-WEEKDAY(B2996)+1</f>
        <v>43898</v>
      </c>
      <c r="D2996" s="1" t="e">
        <f aca="false" t="array" ref="D2996:D2996">IF(ISBLANK(_xlfn.xlookup(D$3,daily_items,_xlfn.xlookup($C2996,daily_dates,big_daily_table))),NA(),_xlfn.xlookup(D$3,daily_items,_xlfn.xlookup($C2996,daily_dates,big_daily_table)))</f>
        <v>#NAME?</v>
      </c>
      <c r="E2996" s="1" t="e">
        <f aca="false" t="array" ref="E2996:E2996">IF(ISBLANK(_xlfn.xlookup(E$3,daily_items,_xlfn.xlookup($C2996,daily_dates,big_daily_table))),NA(),_xlfn.xlookup(E$3,daily_items,_xlfn.xlookup($C2996,daily_dates,big_daily_table)))</f>
        <v>#NAME?</v>
      </c>
    </row>
    <row r="2997" customFormat="false" ht="14.25" hidden="false" customHeight="false" outlineLevel="0" collapsed="false">
      <c r="B2997" s="7" t="n">
        <v>43902</v>
      </c>
      <c r="C2997" s="7" t="n">
        <f aca="false">B2997-WEEKDAY(B2997)+1</f>
        <v>43898</v>
      </c>
      <c r="D2997" s="1" t="e">
        <f aca="false" t="array" ref="D2997:D2997">IF(ISBLANK(_xlfn.xlookup(D$3,daily_items,_xlfn.xlookup($C2997,daily_dates,big_daily_table))),NA(),_xlfn.xlookup(D$3,daily_items,_xlfn.xlookup($C2997,daily_dates,big_daily_table)))</f>
        <v>#NAME?</v>
      </c>
      <c r="E2997" s="1" t="e">
        <f aca="false" t="array" ref="E2997:E2997">IF(ISBLANK(_xlfn.xlookup(E$3,daily_items,_xlfn.xlookup($C2997,daily_dates,big_daily_table))),NA(),_xlfn.xlookup(E$3,daily_items,_xlfn.xlookup($C2997,daily_dates,big_daily_table)))</f>
        <v>#NAME?</v>
      </c>
    </row>
    <row r="2998" customFormat="false" ht="14.25" hidden="false" customHeight="false" outlineLevel="0" collapsed="false">
      <c r="B2998" s="7" t="n">
        <v>43903</v>
      </c>
      <c r="C2998" s="7" t="n">
        <f aca="false">B2998-WEEKDAY(B2998)+1</f>
        <v>43898</v>
      </c>
      <c r="D2998" s="1" t="e">
        <f aca="false" t="array" ref="D2998:D2998">IF(ISBLANK(_xlfn.xlookup(D$3,daily_items,_xlfn.xlookup($C2998,daily_dates,big_daily_table))),NA(),_xlfn.xlookup(D$3,daily_items,_xlfn.xlookup($C2998,daily_dates,big_daily_table)))</f>
        <v>#NAME?</v>
      </c>
      <c r="E2998" s="1" t="e">
        <f aca="false" t="array" ref="E2998:E2998">IF(ISBLANK(_xlfn.xlookup(E$3,daily_items,_xlfn.xlookup($C2998,daily_dates,big_daily_table))),NA(),_xlfn.xlookup(E$3,daily_items,_xlfn.xlookup($C2998,daily_dates,big_daily_table)))</f>
        <v>#NAME?</v>
      </c>
    </row>
    <row r="2999" customFormat="false" ht="14.25" hidden="false" customHeight="false" outlineLevel="0" collapsed="false">
      <c r="B2999" s="7" t="n">
        <v>43904</v>
      </c>
      <c r="C2999" s="7" t="n">
        <f aca="false">B2999-WEEKDAY(B2999)+1</f>
        <v>43898</v>
      </c>
      <c r="D2999" s="1" t="e">
        <f aca="false" t="array" ref="D2999:D2999">IF(ISBLANK(_xlfn.xlookup(D$3,daily_items,_xlfn.xlookup($C2999,daily_dates,big_daily_table))),NA(),_xlfn.xlookup(D$3,daily_items,_xlfn.xlookup($C2999,daily_dates,big_daily_table)))</f>
        <v>#NAME?</v>
      </c>
      <c r="E2999" s="1" t="e">
        <f aca="false" t="array" ref="E2999:E2999">IF(ISBLANK(_xlfn.xlookup(E$3,daily_items,_xlfn.xlookup($C2999,daily_dates,big_daily_table))),NA(),_xlfn.xlookup(E$3,daily_items,_xlfn.xlookup($C2999,daily_dates,big_daily_table)))</f>
        <v>#NAME?</v>
      </c>
    </row>
    <row r="3000" customFormat="false" ht="14.25" hidden="false" customHeight="false" outlineLevel="0" collapsed="false">
      <c r="B3000" s="7" t="n">
        <v>43905</v>
      </c>
      <c r="C3000" s="7" t="n">
        <f aca="false">B3000-WEEKDAY(B3000)+1</f>
        <v>43905</v>
      </c>
      <c r="D3000" s="1" t="e">
        <f aca="false" t="array" ref="D3000:D3000">IF(ISBLANK(_xlfn.xlookup(D$3,daily_items,_xlfn.xlookup($C3000,daily_dates,big_daily_table))),NA(),_xlfn.xlookup(D$3,daily_items,_xlfn.xlookup($C3000,daily_dates,big_daily_table)))</f>
        <v>#NAME?</v>
      </c>
      <c r="E3000" s="1" t="e">
        <f aca="false" t="array" ref="E3000:E3000">IF(ISBLANK(_xlfn.xlookup(E$3,daily_items,_xlfn.xlookup($C3000,daily_dates,big_daily_table))),NA(),_xlfn.xlookup(E$3,daily_items,_xlfn.xlookup($C3000,daily_dates,big_daily_table)))</f>
        <v>#NAME?</v>
      </c>
    </row>
    <row r="3001" customFormat="false" ht="14.25" hidden="false" customHeight="false" outlineLevel="0" collapsed="false">
      <c r="B3001" s="7" t="n">
        <v>43906</v>
      </c>
      <c r="C3001" s="7" t="n">
        <f aca="false">B3001-WEEKDAY(B3001)+1</f>
        <v>43905</v>
      </c>
      <c r="D3001" s="1" t="e">
        <f aca="false" t="array" ref="D3001:D3001">IF(ISBLANK(_xlfn.xlookup(D$3,daily_items,_xlfn.xlookup($C3001,daily_dates,big_daily_table))),NA(),_xlfn.xlookup(D$3,daily_items,_xlfn.xlookup($C3001,daily_dates,big_daily_table)))</f>
        <v>#NAME?</v>
      </c>
      <c r="E3001" s="1" t="e">
        <f aca="false" t="array" ref="E3001:E3001">IF(ISBLANK(_xlfn.xlookup(E$3,daily_items,_xlfn.xlookup($C3001,daily_dates,big_daily_table))),NA(),_xlfn.xlookup(E$3,daily_items,_xlfn.xlookup($C3001,daily_dates,big_daily_table)))</f>
        <v>#NAME?</v>
      </c>
    </row>
    <row r="3002" customFormat="false" ht="14.25" hidden="false" customHeight="false" outlineLevel="0" collapsed="false">
      <c r="B3002" s="7" t="n">
        <v>43907</v>
      </c>
      <c r="C3002" s="7" t="n">
        <f aca="false">B3002-WEEKDAY(B3002)+1</f>
        <v>43905</v>
      </c>
      <c r="D3002" s="1" t="e">
        <f aca="false" t="array" ref="D3002:D3002">IF(ISBLANK(_xlfn.xlookup(D$3,daily_items,_xlfn.xlookup($C3002,daily_dates,big_daily_table))),NA(),_xlfn.xlookup(D$3,daily_items,_xlfn.xlookup($C3002,daily_dates,big_daily_table)))</f>
        <v>#NAME?</v>
      </c>
      <c r="E3002" s="1" t="e">
        <f aca="false" t="array" ref="E3002:E3002">IF(ISBLANK(_xlfn.xlookup(E$3,daily_items,_xlfn.xlookup($C3002,daily_dates,big_daily_table))),NA(),_xlfn.xlookup(E$3,daily_items,_xlfn.xlookup($C3002,daily_dates,big_daily_table)))</f>
        <v>#NAME?</v>
      </c>
    </row>
    <row r="3003" customFormat="false" ht="14.25" hidden="false" customHeight="false" outlineLevel="0" collapsed="false">
      <c r="B3003" s="7" t="n">
        <v>43908</v>
      </c>
      <c r="C3003" s="7" t="n">
        <f aca="false">B3003-WEEKDAY(B3003)+1</f>
        <v>43905</v>
      </c>
      <c r="D3003" s="1" t="e">
        <f aca="false" t="array" ref="D3003:D3003">IF(ISBLANK(_xlfn.xlookup(D$3,daily_items,_xlfn.xlookup($C3003,daily_dates,big_daily_table))),NA(),_xlfn.xlookup(D$3,daily_items,_xlfn.xlookup($C3003,daily_dates,big_daily_table)))</f>
        <v>#NAME?</v>
      </c>
      <c r="E3003" s="1" t="e">
        <f aca="false" t="array" ref="E3003:E3003">IF(ISBLANK(_xlfn.xlookup(E$3,daily_items,_xlfn.xlookup($C3003,daily_dates,big_daily_table))),NA(),_xlfn.xlookup(E$3,daily_items,_xlfn.xlookup($C3003,daily_dates,big_daily_table)))</f>
        <v>#NAME?</v>
      </c>
    </row>
    <row r="3004" customFormat="false" ht="14.25" hidden="false" customHeight="false" outlineLevel="0" collapsed="false">
      <c r="B3004" s="7" t="n">
        <v>43909</v>
      </c>
      <c r="C3004" s="7" t="n">
        <f aca="false">B3004-WEEKDAY(B3004)+1</f>
        <v>43905</v>
      </c>
      <c r="D3004" s="1" t="e">
        <f aca="false" t="array" ref="D3004:D3004">IF(ISBLANK(_xlfn.xlookup(D$3,daily_items,_xlfn.xlookup($C3004,daily_dates,big_daily_table))),NA(),_xlfn.xlookup(D$3,daily_items,_xlfn.xlookup($C3004,daily_dates,big_daily_table)))</f>
        <v>#NAME?</v>
      </c>
      <c r="E3004" s="1" t="e">
        <f aca="false" t="array" ref="E3004:E3004">IF(ISBLANK(_xlfn.xlookup(E$3,daily_items,_xlfn.xlookup($C3004,daily_dates,big_daily_table))),NA(),_xlfn.xlookup(E$3,daily_items,_xlfn.xlookup($C3004,daily_dates,big_daily_table)))</f>
        <v>#NAME?</v>
      </c>
    </row>
    <row r="3005" customFormat="false" ht="14.25" hidden="false" customHeight="false" outlineLevel="0" collapsed="false">
      <c r="B3005" s="7" t="n">
        <v>43910</v>
      </c>
      <c r="C3005" s="7" t="n">
        <f aca="false">B3005-WEEKDAY(B3005)+1</f>
        <v>43905</v>
      </c>
      <c r="D3005" s="1" t="e">
        <f aca="false" t="array" ref="D3005:D3005">IF(ISBLANK(_xlfn.xlookup(D$3,daily_items,_xlfn.xlookup($C3005,daily_dates,big_daily_table))),NA(),_xlfn.xlookup(D$3,daily_items,_xlfn.xlookup($C3005,daily_dates,big_daily_table)))</f>
        <v>#NAME?</v>
      </c>
      <c r="E3005" s="1" t="e">
        <f aca="false" t="array" ref="E3005:E3005">IF(ISBLANK(_xlfn.xlookup(E$3,daily_items,_xlfn.xlookup($C3005,daily_dates,big_daily_table))),NA(),_xlfn.xlookup(E$3,daily_items,_xlfn.xlookup($C3005,daily_dates,big_daily_table)))</f>
        <v>#NAME?</v>
      </c>
    </row>
    <row r="3006" customFormat="false" ht="14.25" hidden="false" customHeight="false" outlineLevel="0" collapsed="false">
      <c r="B3006" s="7" t="n">
        <v>43911</v>
      </c>
      <c r="C3006" s="7" t="n">
        <f aca="false">B3006-WEEKDAY(B3006)+1</f>
        <v>43905</v>
      </c>
      <c r="D3006" s="1" t="e">
        <f aca="false" t="array" ref="D3006:D3006">IF(ISBLANK(_xlfn.xlookup(D$3,daily_items,_xlfn.xlookup($C3006,daily_dates,big_daily_table))),NA(),_xlfn.xlookup(D$3,daily_items,_xlfn.xlookup($C3006,daily_dates,big_daily_table)))</f>
        <v>#NAME?</v>
      </c>
      <c r="E3006" s="1" t="e">
        <f aca="false" t="array" ref="E3006:E3006">IF(ISBLANK(_xlfn.xlookup(E$3,daily_items,_xlfn.xlookup($C3006,daily_dates,big_daily_table))),NA(),_xlfn.xlookup(E$3,daily_items,_xlfn.xlookup($C3006,daily_dates,big_daily_table)))</f>
        <v>#NAME?</v>
      </c>
    </row>
    <row r="3007" customFormat="false" ht="14.25" hidden="false" customHeight="false" outlineLevel="0" collapsed="false">
      <c r="B3007" s="7" t="n">
        <v>43912</v>
      </c>
      <c r="C3007" s="7" t="n">
        <f aca="false">B3007-WEEKDAY(B3007)+1</f>
        <v>43912</v>
      </c>
      <c r="D3007" s="1" t="e">
        <f aca="false" t="array" ref="D3007:D3007">IF(ISBLANK(_xlfn.xlookup(D$3,daily_items,_xlfn.xlookup($C3007,daily_dates,big_daily_table))),NA(),_xlfn.xlookup(D$3,daily_items,_xlfn.xlookup($C3007,daily_dates,big_daily_table)))</f>
        <v>#NAME?</v>
      </c>
      <c r="E3007" s="1" t="e">
        <f aca="false" t="array" ref="E3007:E3007">IF(ISBLANK(_xlfn.xlookup(E$3,daily_items,_xlfn.xlookup($C3007,daily_dates,big_daily_table))),NA(),_xlfn.xlookup(E$3,daily_items,_xlfn.xlookup($C3007,daily_dates,big_daily_table)))</f>
        <v>#NAME?</v>
      </c>
    </row>
    <row r="3008" customFormat="false" ht="14.25" hidden="false" customHeight="false" outlineLevel="0" collapsed="false">
      <c r="B3008" s="7" t="n">
        <v>43913</v>
      </c>
      <c r="C3008" s="7" t="n">
        <f aca="false">B3008-WEEKDAY(B3008)+1</f>
        <v>43912</v>
      </c>
      <c r="D3008" s="1" t="e">
        <f aca="false" t="array" ref="D3008:D3008">IF(ISBLANK(_xlfn.xlookup(D$3,daily_items,_xlfn.xlookup($C3008,daily_dates,big_daily_table))),NA(),_xlfn.xlookup(D$3,daily_items,_xlfn.xlookup($C3008,daily_dates,big_daily_table)))</f>
        <v>#NAME?</v>
      </c>
      <c r="E3008" s="1" t="e">
        <f aca="false" t="array" ref="E3008:E3008">IF(ISBLANK(_xlfn.xlookup(E$3,daily_items,_xlfn.xlookup($C3008,daily_dates,big_daily_table))),NA(),_xlfn.xlookup(E$3,daily_items,_xlfn.xlookup($C3008,daily_dates,big_daily_table)))</f>
        <v>#NAME?</v>
      </c>
    </row>
    <row r="3009" customFormat="false" ht="14.25" hidden="false" customHeight="false" outlineLevel="0" collapsed="false">
      <c r="B3009" s="7" t="n">
        <v>43914</v>
      </c>
      <c r="C3009" s="7" t="n">
        <f aca="false">B3009-WEEKDAY(B3009)+1</f>
        <v>43912</v>
      </c>
      <c r="D3009" s="1" t="e">
        <f aca="false" t="array" ref="D3009:D3009">IF(ISBLANK(_xlfn.xlookup(D$3,daily_items,_xlfn.xlookup($C3009,daily_dates,big_daily_table))),NA(),_xlfn.xlookup(D$3,daily_items,_xlfn.xlookup($C3009,daily_dates,big_daily_table)))</f>
        <v>#NAME?</v>
      </c>
      <c r="E3009" s="1" t="e">
        <f aca="false" t="array" ref="E3009:E3009">IF(ISBLANK(_xlfn.xlookup(E$3,daily_items,_xlfn.xlookup($C3009,daily_dates,big_daily_table))),NA(),_xlfn.xlookup(E$3,daily_items,_xlfn.xlookup($C3009,daily_dates,big_daily_table)))</f>
        <v>#NAME?</v>
      </c>
    </row>
    <row r="3010" customFormat="false" ht="14.25" hidden="false" customHeight="false" outlineLevel="0" collapsed="false">
      <c r="B3010" s="7" t="n">
        <v>43915</v>
      </c>
      <c r="C3010" s="7" t="n">
        <f aca="false">B3010-WEEKDAY(B3010)+1</f>
        <v>43912</v>
      </c>
      <c r="D3010" s="1" t="e">
        <f aca="false" t="array" ref="D3010:D3010">IF(ISBLANK(_xlfn.xlookup(D$3,daily_items,_xlfn.xlookup($C3010,daily_dates,big_daily_table))),NA(),_xlfn.xlookup(D$3,daily_items,_xlfn.xlookup($C3010,daily_dates,big_daily_table)))</f>
        <v>#NAME?</v>
      </c>
      <c r="E3010" s="1" t="e">
        <f aca="false" t="array" ref="E3010:E3010">IF(ISBLANK(_xlfn.xlookup(E$3,daily_items,_xlfn.xlookup($C3010,daily_dates,big_daily_table))),NA(),_xlfn.xlookup(E$3,daily_items,_xlfn.xlookup($C3010,daily_dates,big_daily_table)))</f>
        <v>#NAME?</v>
      </c>
    </row>
    <row r="3011" customFormat="false" ht="14.25" hidden="false" customHeight="false" outlineLevel="0" collapsed="false">
      <c r="B3011" s="7" t="n">
        <v>43916</v>
      </c>
      <c r="C3011" s="7" t="n">
        <f aca="false">B3011-WEEKDAY(B3011)+1</f>
        <v>43912</v>
      </c>
      <c r="D3011" s="1" t="e">
        <f aca="false" t="array" ref="D3011:D3011">IF(ISBLANK(_xlfn.xlookup(D$3,daily_items,_xlfn.xlookup($C3011,daily_dates,big_daily_table))),NA(),_xlfn.xlookup(D$3,daily_items,_xlfn.xlookup($C3011,daily_dates,big_daily_table)))</f>
        <v>#NAME?</v>
      </c>
      <c r="E3011" s="1" t="e">
        <f aca="false" t="array" ref="E3011:E3011">IF(ISBLANK(_xlfn.xlookup(E$3,daily_items,_xlfn.xlookup($C3011,daily_dates,big_daily_table))),NA(),_xlfn.xlookup(E$3,daily_items,_xlfn.xlookup($C3011,daily_dates,big_daily_table)))</f>
        <v>#NAME?</v>
      </c>
    </row>
    <row r="3012" customFormat="false" ht="14.25" hidden="false" customHeight="false" outlineLevel="0" collapsed="false">
      <c r="B3012" s="7" t="n">
        <v>43917</v>
      </c>
      <c r="C3012" s="7" t="n">
        <f aca="false">B3012-WEEKDAY(B3012)+1</f>
        <v>43912</v>
      </c>
      <c r="D3012" s="1" t="e">
        <f aca="false" t="array" ref="D3012:D3012">IF(ISBLANK(_xlfn.xlookup(D$3,daily_items,_xlfn.xlookup($C3012,daily_dates,big_daily_table))),NA(),_xlfn.xlookup(D$3,daily_items,_xlfn.xlookup($C3012,daily_dates,big_daily_table)))</f>
        <v>#NAME?</v>
      </c>
      <c r="E3012" s="1" t="e">
        <f aca="false" t="array" ref="E3012:E3012">IF(ISBLANK(_xlfn.xlookup(E$3,daily_items,_xlfn.xlookup($C3012,daily_dates,big_daily_table))),NA(),_xlfn.xlookup(E$3,daily_items,_xlfn.xlookup($C3012,daily_dates,big_daily_table)))</f>
        <v>#NAME?</v>
      </c>
    </row>
    <row r="3013" customFormat="false" ht="14.25" hidden="false" customHeight="false" outlineLevel="0" collapsed="false">
      <c r="B3013" s="7" t="n">
        <v>43918</v>
      </c>
      <c r="C3013" s="7" t="n">
        <f aca="false">B3013-WEEKDAY(B3013)+1</f>
        <v>43912</v>
      </c>
      <c r="D3013" s="1" t="e">
        <f aca="false" t="array" ref="D3013:D3013">IF(ISBLANK(_xlfn.xlookup(D$3,daily_items,_xlfn.xlookup($C3013,daily_dates,big_daily_table))),NA(),_xlfn.xlookup(D$3,daily_items,_xlfn.xlookup($C3013,daily_dates,big_daily_table)))</f>
        <v>#NAME?</v>
      </c>
      <c r="E3013" s="1" t="e">
        <f aca="false" t="array" ref="E3013:E3013">IF(ISBLANK(_xlfn.xlookup(E$3,daily_items,_xlfn.xlookup($C3013,daily_dates,big_daily_table))),NA(),_xlfn.xlookup(E$3,daily_items,_xlfn.xlookup($C3013,daily_dates,big_daily_table)))</f>
        <v>#NAME?</v>
      </c>
    </row>
    <row r="3014" customFormat="false" ht="14.25" hidden="false" customHeight="false" outlineLevel="0" collapsed="false">
      <c r="B3014" s="7" t="n">
        <v>43919</v>
      </c>
      <c r="C3014" s="7" t="n">
        <f aca="false">B3014-WEEKDAY(B3014)+1</f>
        <v>43919</v>
      </c>
      <c r="D3014" s="1" t="e">
        <f aca="false" t="array" ref="D3014:D3014">IF(ISBLANK(_xlfn.xlookup(D$3,daily_items,_xlfn.xlookup($C3014,daily_dates,big_daily_table))),NA(),_xlfn.xlookup(D$3,daily_items,_xlfn.xlookup($C3014,daily_dates,big_daily_table)))</f>
        <v>#NAME?</v>
      </c>
      <c r="E3014" s="1" t="e">
        <f aca="false" t="array" ref="E3014:E3014">IF(ISBLANK(_xlfn.xlookup(E$3,daily_items,_xlfn.xlookup($C3014,daily_dates,big_daily_table))),NA(),_xlfn.xlookup(E$3,daily_items,_xlfn.xlookup($C3014,daily_dates,big_daily_table)))</f>
        <v>#NAME?</v>
      </c>
    </row>
    <row r="3015" customFormat="false" ht="14.25" hidden="false" customHeight="false" outlineLevel="0" collapsed="false">
      <c r="B3015" s="7" t="n">
        <v>43920</v>
      </c>
      <c r="C3015" s="7" t="n">
        <f aca="false">B3015-WEEKDAY(B3015)+1</f>
        <v>43919</v>
      </c>
      <c r="D3015" s="1" t="e">
        <f aca="false" t="array" ref="D3015:D3015">IF(ISBLANK(_xlfn.xlookup(D$3,daily_items,_xlfn.xlookup($C3015,daily_dates,big_daily_table))),NA(),_xlfn.xlookup(D$3,daily_items,_xlfn.xlookup($C3015,daily_dates,big_daily_table)))</f>
        <v>#NAME?</v>
      </c>
      <c r="E3015" s="1" t="e">
        <f aca="false" t="array" ref="E3015:E3015">IF(ISBLANK(_xlfn.xlookup(E$3,daily_items,_xlfn.xlookup($C3015,daily_dates,big_daily_table))),NA(),_xlfn.xlookup(E$3,daily_items,_xlfn.xlookup($C3015,daily_dates,big_daily_table)))</f>
        <v>#NAME?</v>
      </c>
    </row>
    <row r="3016" customFormat="false" ht="14.25" hidden="false" customHeight="false" outlineLevel="0" collapsed="false">
      <c r="B3016" s="7" t="n">
        <v>43921</v>
      </c>
      <c r="C3016" s="7" t="n">
        <f aca="false">B3016-WEEKDAY(B3016)+1</f>
        <v>43919</v>
      </c>
      <c r="D3016" s="1" t="e">
        <f aca="false" t="array" ref="D3016:D3016">IF(ISBLANK(_xlfn.xlookup(D$3,daily_items,_xlfn.xlookup($C3016,daily_dates,big_daily_table))),NA(),_xlfn.xlookup(D$3,daily_items,_xlfn.xlookup($C3016,daily_dates,big_daily_table)))</f>
        <v>#NAME?</v>
      </c>
      <c r="E3016" s="1" t="e">
        <f aca="false" t="array" ref="E3016:E3016">IF(ISBLANK(_xlfn.xlookup(E$3,daily_items,_xlfn.xlookup($C3016,daily_dates,big_daily_table))),NA(),_xlfn.xlookup(E$3,daily_items,_xlfn.xlookup($C3016,daily_dates,big_daily_table)))</f>
        <v>#NAME?</v>
      </c>
    </row>
    <row r="3017" customFormat="false" ht="14.25" hidden="false" customHeight="false" outlineLevel="0" collapsed="false">
      <c r="B3017" s="7" t="n">
        <v>43922</v>
      </c>
      <c r="C3017" s="7" t="n">
        <f aca="false">B3017-WEEKDAY(B3017)+1</f>
        <v>43919</v>
      </c>
      <c r="D3017" s="1" t="e">
        <f aca="false" t="array" ref="D3017:D3017">IF(ISBLANK(_xlfn.xlookup(D$3,daily_items,_xlfn.xlookup($C3017,daily_dates,big_daily_table))),NA(),_xlfn.xlookup(D$3,daily_items,_xlfn.xlookup($C3017,daily_dates,big_daily_table)))</f>
        <v>#NAME?</v>
      </c>
      <c r="E3017" s="1" t="e">
        <f aca="false" t="array" ref="E3017:E3017">IF(ISBLANK(_xlfn.xlookup(E$3,daily_items,_xlfn.xlookup($C3017,daily_dates,big_daily_table))),NA(),_xlfn.xlookup(E$3,daily_items,_xlfn.xlookup($C3017,daily_dates,big_daily_table)))</f>
        <v>#NAME?</v>
      </c>
    </row>
    <row r="3018" customFormat="false" ht="14.25" hidden="false" customHeight="false" outlineLevel="0" collapsed="false">
      <c r="B3018" s="7" t="n">
        <v>43923</v>
      </c>
      <c r="C3018" s="7" t="n">
        <f aca="false">B3018-WEEKDAY(B3018)+1</f>
        <v>43919</v>
      </c>
      <c r="D3018" s="1" t="e">
        <f aca="false" t="array" ref="D3018:D3018">IF(ISBLANK(_xlfn.xlookup(D$3,daily_items,_xlfn.xlookup($C3018,daily_dates,big_daily_table))),NA(),_xlfn.xlookup(D$3,daily_items,_xlfn.xlookup($C3018,daily_dates,big_daily_table)))</f>
        <v>#NAME?</v>
      </c>
      <c r="E3018" s="1" t="e">
        <f aca="false" t="array" ref="E3018:E3018">IF(ISBLANK(_xlfn.xlookup(E$3,daily_items,_xlfn.xlookup($C3018,daily_dates,big_daily_table))),NA(),_xlfn.xlookup(E$3,daily_items,_xlfn.xlookup($C3018,daily_dates,big_daily_table)))</f>
        <v>#NAME?</v>
      </c>
    </row>
    <row r="3019" customFormat="false" ht="14.25" hidden="false" customHeight="false" outlineLevel="0" collapsed="false">
      <c r="B3019" s="7" t="n">
        <v>43924</v>
      </c>
      <c r="C3019" s="7" t="n">
        <f aca="false">B3019-WEEKDAY(B3019)+1</f>
        <v>43919</v>
      </c>
      <c r="D3019" s="1" t="e">
        <f aca="false" t="array" ref="D3019:D3019">IF(ISBLANK(_xlfn.xlookup(D$3,daily_items,_xlfn.xlookup($C3019,daily_dates,big_daily_table))),NA(),_xlfn.xlookup(D$3,daily_items,_xlfn.xlookup($C3019,daily_dates,big_daily_table)))</f>
        <v>#NAME?</v>
      </c>
      <c r="E3019" s="1" t="e">
        <f aca="false" t="array" ref="E3019:E3019">IF(ISBLANK(_xlfn.xlookup(E$3,daily_items,_xlfn.xlookup($C3019,daily_dates,big_daily_table))),NA(),_xlfn.xlookup(E$3,daily_items,_xlfn.xlookup($C3019,daily_dates,big_daily_table)))</f>
        <v>#NAME?</v>
      </c>
    </row>
    <row r="3020" customFormat="false" ht="14.25" hidden="false" customHeight="false" outlineLevel="0" collapsed="false">
      <c r="B3020" s="7" t="n">
        <v>43925</v>
      </c>
      <c r="C3020" s="7" t="n">
        <f aca="false">B3020-WEEKDAY(B3020)+1</f>
        <v>43919</v>
      </c>
      <c r="D3020" s="1" t="e">
        <f aca="false" t="array" ref="D3020:D3020">IF(ISBLANK(_xlfn.xlookup(D$3,daily_items,_xlfn.xlookup($C3020,daily_dates,big_daily_table))),NA(),_xlfn.xlookup(D$3,daily_items,_xlfn.xlookup($C3020,daily_dates,big_daily_table)))</f>
        <v>#NAME?</v>
      </c>
      <c r="E3020" s="1" t="e">
        <f aca="false" t="array" ref="E3020:E3020">IF(ISBLANK(_xlfn.xlookup(E$3,daily_items,_xlfn.xlookup($C3020,daily_dates,big_daily_table))),NA(),_xlfn.xlookup(E$3,daily_items,_xlfn.xlookup($C3020,daily_dates,big_daily_table)))</f>
        <v>#NAME?</v>
      </c>
    </row>
    <row r="3021" customFormat="false" ht="14.25" hidden="false" customHeight="false" outlineLevel="0" collapsed="false">
      <c r="B3021" s="7" t="n">
        <v>43926</v>
      </c>
      <c r="C3021" s="7" t="n">
        <f aca="false">B3021-WEEKDAY(B3021)+1</f>
        <v>43926</v>
      </c>
      <c r="D3021" s="1" t="e">
        <f aca="false" t="array" ref="D3021:D3021">IF(ISBLANK(_xlfn.xlookup(D$3,daily_items,_xlfn.xlookup($C3021,daily_dates,big_daily_table))),NA(),_xlfn.xlookup(D$3,daily_items,_xlfn.xlookup($C3021,daily_dates,big_daily_table)))</f>
        <v>#NAME?</v>
      </c>
      <c r="E3021" s="1" t="e">
        <f aca="false" t="array" ref="E3021:E3021">IF(ISBLANK(_xlfn.xlookup(E$3,daily_items,_xlfn.xlookup($C3021,daily_dates,big_daily_table))),NA(),_xlfn.xlookup(E$3,daily_items,_xlfn.xlookup($C3021,daily_dates,big_daily_table)))</f>
        <v>#NAME?</v>
      </c>
    </row>
    <row r="3022" customFormat="false" ht="14.25" hidden="false" customHeight="false" outlineLevel="0" collapsed="false">
      <c r="B3022" s="7" t="n">
        <v>43927</v>
      </c>
      <c r="C3022" s="7" t="n">
        <f aca="false">B3022-WEEKDAY(B3022)+1</f>
        <v>43926</v>
      </c>
      <c r="D3022" s="1" t="e">
        <f aca="false" t="array" ref="D3022:D3022">IF(ISBLANK(_xlfn.xlookup(D$3,daily_items,_xlfn.xlookup($C3022,daily_dates,big_daily_table))),NA(),_xlfn.xlookup(D$3,daily_items,_xlfn.xlookup($C3022,daily_dates,big_daily_table)))</f>
        <v>#NAME?</v>
      </c>
      <c r="E3022" s="1" t="e">
        <f aca="false" t="array" ref="E3022:E3022">IF(ISBLANK(_xlfn.xlookup(E$3,daily_items,_xlfn.xlookup($C3022,daily_dates,big_daily_table))),NA(),_xlfn.xlookup(E$3,daily_items,_xlfn.xlookup($C3022,daily_dates,big_daily_table)))</f>
        <v>#NAME?</v>
      </c>
    </row>
    <row r="3023" customFormat="false" ht="14.25" hidden="false" customHeight="false" outlineLevel="0" collapsed="false">
      <c r="B3023" s="7" t="n">
        <v>43928</v>
      </c>
      <c r="C3023" s="7" t="n">
        <f aca="false">B3023-WEEKDAY(B3023)+1</f>
        <v>43926</v>
      </c>
      <c r="D3023" s="1" t="e">
        <f aca="false" t="array" ref="D3023:D3023">IF(ISBLANK(_xlfn.xlookup(D$3,daily_items,_xlfn.xlookup($C3023,daily_dates,big_daily_table))),NA(),_xlfn.xlookup(D$3,daily_items,_xlfn.xlookup($C3023,daily_dates,big_daily_table)))</f>
        <v>#NAME?</v>
      </c>
      <c r="E3023" s="1" t="e">
        <f aca="false" t="array" ref="E3023:E3023">IF(ISBLANK(_xlfn.xlookup(E$3,daily_items,_xlfn.xlookup($C3023,daily_dates,big_daily_table))),NA(),_xlfn.xlookup(E$3,daily_items,_xlfn.xlookup($C3023,daily_dates,big_daily_table)))</f>
        <v>#NAME?</v>
      </c>
    </row>
    <row r="3024" customFormat="false" ht="14.25" hidden="false" customHeight="false" outlineLevel="0" collapsed="false">
      <c r="B3024" s="7" t="n">
        <v>43929</v>
      </c>
      <c r="C3024" s="7" t="n">
        <f aca="false">B3024-WEEKDAY(B3024)+1</f>
        <v>43926</v>
      </c>
      <c r="D3024" s="1" t="e">
        <f aca="false" t="array" ref="D3024:D3024">IF(ISBLANK(_xlfn.xlookup(D$3,daily_items,_xlfn.xlookup($C3024,daily_dates,big_daily_table))),NA(),_xlfn.xlookup(D$3,daily_items,_xlfn.xlookup($C3024,daily_dates,big_daily_table)))</f>
        <v>#NAME?</v>
      </c>
      <c r="E3024" s="1" t="e">
        <f aca="false" t="array" ref="E3024:E3024">IF(ISBLANK(_xlfn.xlookup(E$3,daily_items,_xlfn.xlookup($C3024,daily_dates,big_daily_table))),NA(),_xlfn.xlookup(E$3,daily_items,_xlfn.xlookup($C3024,daily_dates,big_daily_table)))</f>
        <v>#NAME?</v>
      </c>
    </row>
    <row r="3025" customFormat="false" ht="14.25" hidden="false" customHeight="false" outlineLevel="0" collapsed="false">
      <c r="B3025" s="7" t="n">
        <v>43930</v>
      </c>
      <c r="C3025" s="7" t="n">
        <f aca="false">B3025-WEEKDAY(B3025)+1</f>
        <v>43926</v>
      </c>
      <c r="D3025" s="1" t="e">
        <f aca="false" t="array" ref="D3025:D3025">IF(ISBLANK(_xlfn.xlookup(D$3,daily_items,_xlfn.xlookup($C3025,daily_dates,big_daily_table))),NA(),_xlfn.xlookup(D$3,daily_items,_xlfn.xlookup($C3025,daily_dates,big_daily_table)))</f>
        <v>#NAME?</v>
      </c>
      <c r="E3025" s="1" t="e">
        <f aca="false" t="array" ref="E3025:E3025">IF(ISBLANK(_xlfn.xlookup(E$3,daily_items,_xlfn.xlookup($C3025,daily_dates,big_daily_table))),NA(),_xlfn.xlookup(E$3,daily_items,_xlfn.xlookup($C3025,daily_dates,big_daily_table)))</f>
        <v>#NAME?</v>
      </c>
    </row>
    <row r="3026" customFormat="false" ht="14.25" hidden="false" customHeight="false" outlineLevel="0" collapsed="false">
      <c r="B3026" s="7" t="n">
        <v>43931</v>
      </c>
      <c r="C3026" s="7" t="n">
        <f aca="false">B3026-WEEKDAY(B3026)+1</f>
        <v>43926</v>
      </c>
      <c r="D3026" s="1" t="e">
        <f aca="false" t="array" ref="D3026:D3026">IF(ISBLANK(_xlfn.xlookup(D$3,daily_items,_xlfn.xlookup($C3026,daily_dates,big_daily_table))),NA(),_xlfn.xlookup(D$3,daily_items,_xlfn.xlookup($C3026,daily_dates,big_daily_table)))</f>
        <v>#NAME?</v>
      </c>
      <c r="E3026" s="1" t="e">
        <f aca="false" t="array" ref="E3026:E3026">IF(ISBLANK(_xlfn.xlookup(E$3,daily_items,_xlfn.xlookup($C3026,daily_dates,big_daily_table))),NA(),_xlfn.xlookup(E$3,daily_items,_xlfn.xlookup($C3026,daily_dates,big_daily_table)))</f>
        <v>#NAME?</v>
      </c>
    </row>
    <row r="3027" customFormat="false" ht="14.25" hidden="false" customHeight="false" outlineLevel="0" collapsed="false">
      <c r="B3027" s="7" t="n">
        <v>43932</v>
      </c>
      <c r="C3027" s="7" t="n">
        <f aca="false">B3027-WEEKDAY(B3027)+1</f>
        <v>43926</v>
      </c>
      <c r="D3027" s="1" t="e">
        <f aca="false" t="array" ref="D3027:D3027">IF(ISBLANK(_xlfn.xlookup(D$3,daily_items,_xlfn.xlookup($C3027,daily_dates,big_daily_table))),NA(),_xlfn.xlookup(D$3,daily_items,_xlfn.xlookup($C3027,daily_dates,big_daily_table)))</f>
        <v>#NAME?</v>
      </c>
      <c r="E3027" s="1" t="e">
        <f aca="false" t="array" ref="E3027:E3027">IF(ISBLANK(_xlfn.xlookup(E$3,daily_items,_xlfn.xlookup($C3027,daily_dates,big_daily_table))),NA(),_xlfn.xlookup(E$3,daily_items,_xlfn.xlookup($C3027,daily_dates,big_daily_table)))</f>
        <v>#NAME?</v>
      </c>
    </row>
    <row r="3028" customFormat="false" ht="14.25" hidden="false" customHeight="false" outlineLevel="0" collapsed="false">
      <c r="B3028" s="7" t="n">
        <v>43933</v>
      </c>
      <c r="C3028" s="7" t="n">
        <f aca="false">B3028-WEEKDAY(B3028)+1</f>
        <v>43933</v>
      </c>
      <c r="D3028" s="1" t="e">
        <f aca="false" t="array" ref="D3028:D3028">IF(ISBLANK(_xlfn.xlookup(D$3,daily_items,_xlfn.xlookup($C3028,daily_dates,big_daily_table))),NA(),_xlfn.xlookup(D$3,daily_items,_xlfn.xlookup($C3028,daily_dates,big_daily_table)))</f>
        <v>#NAME?</v>
      </c>
      <c r="E3028" s="1" t="e">
        <f aca="false" t="array" ref="E3028:E3028">IF(ISBLANK(_xlfn.xlookup(E$3,daily_items,_xlfn.xlookup($C3028,daily_dates,big_daily_table))),NA(),_xlfn.xlookup(E$3,daily_items,_xlfn.xlookup($C3028,daily_dates,big_daily_table)))</f>
        <v>#NAME?</v>
      </c>
    </row>
    <row r="3029" customFormat="false" ht="14.25" hidden="false" customHeight="false" outlineLevel="0" collapsed="false">
      <c r="B3029" s="7" t="n">
        <v>43934</v>
      </c>
      <c r="C3029" s="7" t="n">
        <f aca="false">B3029-WEEKDAY(B3029)+1</f>
        <v>43933</v>
      </c>
      <c r="D3029" s="1" t="e">
        <f aca="false" t="array" ref="D3029:D3029">IF(ISBLANK(_xlfn.xlookup(D$3,daily_items,_xlfn.xlookup($C3029,daily_dates,big_daily_table))),NA(),_xlfn.xlookup(D$3,daily_items,_xlfn.xlookup($C3029,daily_dates,big_daily_table)))</f>
        <v>#NAME?</v>
      </c>
      <c r="E3029" s="1" t="e">
        <f aca="false" t="array" ref="E3029:E3029">IF(ISBLANK(_xlfn.xlookup(E$3,daily_items,_xlfn.xlookup($C3029,daily_dates,big_daily_table))),NA(),_xlfn.xlookup(E$3,daily_items,_xlfn.xlookup($C3029,daily_dates,big_daily_table)))</f>
        <v>#NAME?</v>
      </c>
    </row>
    <row r="3030" customFormat="false" ht="14.25" hidden="false" customHeight="false" outlineLevel="0" collapsed="false">
      <c r="B3030" s="7" t="n">
        <v>43935</v>
      </c>
      <c r="C3030" s="7" t="n">
        <f aca="false">B3030-WEEKDAY(B3030)+1</f>
        <v>43933</v>
      </c>
      <c r="D3030" s="1" t="e">
        <f aca="false" t="array" ref="D3030:D3030">IF(ISBLANK(_xlfn.xlookup(D$3,daily_items,_xlfn.xlookup($C3030,daily_dates,big_daily_table))),NA(),_xlfn.xlookup(D$3,daily_items,_xlfn.xlookup($C3030,daily_dates,big_daily_table)))</f>
        <v>#NAME?</v>
      </c>
      <c r="E3030" s="1" t="e">
        <f aca="false" t="array" ref="E3030:E3030">IF(ISBLANK(_xlfn.xlookup(E$3,daily_items,_xlfn.xlookup($C3030,daily_dates,big_daily_table))),NA(),_xlfn.xlookup(E$3,daily_items,_xlfn.xlookup($C3030,daily_dates,big_daily_table)))</f>
        <v>#NAME?</v>
      </c>
    </row>
    <row r="3031" customFormat="false" ht="14.25" hidden="false" customHeight="false" outlineLevel="0" collapsed="false">
      <c r="B3031" s="7" t="n">
        <v>43936</v>
      </c>
      <c r="C3031" s="7" t="n">
        <f aca="false">B3031-WEEKDAY(B3031)+1</f>
        <v>43933</v>
      </c>
      <c r="D3031" s="1" t="e">
        <f aca="false" t="array" ref="D3031:D3031">IF(ISBLANK(_xlfn.xlookup(D$3,daily_items,_xlfn.xlookup($C3031,daily_dates,big_daily_table))),NA(),_xlfn.xlookup(D$3,daily_items,_xlfn.xlookup($C3031,daily_dates,big_daily_table)))</f>
        <v>#NAME?</v>
      </c>
      <c r="E3031" s="1" t="e">
        <f aca="false" t="array" ref="E3031:E3031">IF(ISBLANK(_xlfn.xlookup(E$3,daily_items,_xlfn.xlookup($C3031,daily_dates,big_daily_table))),NA(),_xlfn.xlookup(E$3,daily_items,_xlfn.xlookup($C3031,daily_dates,big_daily_table)))</f>
        <v>#NAME?</v>
      </c>
    </row>
    <row r="3032" customFormat="false" ht="14.25" hidden="false" customHeight="false" outlineLevel="0" collapsed="false">
      <c r="B3032" s="7" t="n">
        <v>43937</v>
      </c>
      <c r="C3032" s="7" t="n">
        <f aca="false">B3032-WEEKDAY(B3032)+1</f>
        <v>43933</v>
      </c>
      <c r="D3032" s="1" t="e">
        <f aca="false" t="array" ref="D3032:D3032">IF(ISBLANK(_xlfn.xlookup(D$3,daily_items,_xlfn.xlookup($C3032,daily_dates,big_daily_table))),NA(),_xlfn.xlookup(D$3,daily_items,_xlfn.xlookup($C3032,daily_dates,big_daily_table)))</f>
        <v>#NAME?</v>
      </c>
      <c r="E3032" s="1" t="e">
        <f aca="false" t="array" ref="E3032:E3032">IF(ISBLANK(_xlfn.xlookup(E$3,daily_items,_xlfn.xlookup($C3032,daily_dates,big_daily_table))),NA(),_xlfn.xlookup(E$3,daily_items,_xlfn.xlookup($C3032,daily_dates,big_daily_table)))</f>
        <v>#NAME?</v>
      </c>
    </row>
    <row r="3033" customFormat="false" ht="14.25" hidden="false" customHeight="false" outlineLevel="0" collapsed="false">
      <c r="B3033" s="7" t="n">
        <v>43938</v>
      </c>
      <c r="C3033" s="7" t="n">
        <f aca="false">B3033-WEEKDAY(B3033)+1</f>
        <v>43933</v>
      </c>
      <c r="D3033" s="1" t="e">
        <f aca="false" t="array" ref="D3033:D3033">IF(ISBLANK(_xlfn.xlookup(D$3,daily_items,_xlfn.xlookup($C3033,daily_dates,big_daily_table))),NA(),_xlfn.xlookup(D$3,daily_items,_xlfn.xlookup($C3033,daily_dates,big_daily_table)))</f>
        <v>#NAME?</v>
      </c>
      <c r="E3033" s="1" t="e">
        <f aca="false" t="array" ref="E3033:E3033">IF(ISBLANK(_xlfn.xlookup(E$3,daily_items,_xlfn.xlookup($C3033,daily_dates,big_daily_table))),NA(),_xlfn.xlookup(E$3,daily_items,_xlfn.xlookup($C3033,daily_dates,big_daily_table)))</f>
        <v>#NAME?</v>
      </c>
    </row>
    <row r="3034" customFormat="false" ht="14.25" hidden="false" customHeight="false" outlineLevel="0" collapsed="false">
      <c r="B3034" s="7" t="n">
        <v>43939</v>
      </c>
      <c r="C3034" s="7" t="n">
        <f aca="false">B3034-WEEKDAY(B3034)+1</f>
        <v>43933</v>
      </c>
      <c r="D3034" s="1" t="e">
        <f aca="false" t="array" ref="D3034:D3034">IF(ISBLANK(_xlfn.xlookup(D$3,daily_items,_xlfn.xlookup($C3034,daily_dates,big_daily_table))),NA(),_xlfn.xlookup(D$3,daily_items,_xlfn.xlookup($C3034,daily_dates,big_daily_table)))</f>
        <v>#NAME?</v>
      </c>
      <c r="E3034" s="1" t="e">
        <f aca="false" t="array" ref="E3034:E3034">IF(ISBLANK(_xlfn.xlookup(E$3,daily_items,_xlfn.xlookup($C3034,daily_dates,big_daily_table))),NA(),_xlfn.xlookup(E$3,daily_items,_xlfn.xlookup($C3034,daily_dates,big_daily_table)))</f>
        <v>#NAME?</v>
      </c>
    </row>
    <row r="3035" customFormat="false" ht="14.25" hidden="false" customHeight="false" outlineLevel="0" collapsed="false">
      <c r="B3035" s="7" t="n">
        <v>43940</v>
      </c>
      <c r="C3035" s="7" t="n">
        <f aca="false">B3035-WEEKDAY(B3035)+1</f>
        <v>43940</v>
      </c>
      <c r="D3035" s="1" t="e">
        <f aca="false" t="array" ref="D3035:D3035">IF(ISBLANK(_xlfn.xlookup(D$3,daily_items,_xlfn.xlookup($C3035,daily_dates,big_daily_table))),NA(),_xlfn.xlookup(D$3,daily_items,_xlfn.xlookup($C3035,daily_dates,big_daily_table)))</f>
        <v>#NAME?</v>
      </c>
      <c r="E3035" s="1" t="e">
        <f aca="false" t="array" ref="E3035:E3035">IF(ISBLANK(_xlfn.xlookup(E$3,daily_items,_xlfn.xlookup($C3035,daily_dates,big_daily_table))),NA(),_xlfn.xlookup(E$3,daily_items,_xlfn.xlookup($C3035,daily_dates,big_daily_table)))</f>
        <v>#NAME?</v>
      </c>
    </row>
    <row r="3036" customFormat="false" ht="14.25" hidden="false" customHeight="false" outlineLevel="0" collapsed="false">
      <c r="B3036" s="7" t="n">
        <v>43941</v>
      </c>
      <c r="C3036" s="7" t="n">
        <f aca="false">B3036-WEEKDAY(B3036)+1</f>
        <v>43940</v>
      </c>
      <c r="D3036" s="1" t="e">
        <f aca="false" t="array" ref="D3036:D3036">IF(ISBLANK(_xlfn.xlookup(D$3,daily_items,_xlfn.xlookup($C3036,daily_dates,big_daily_table))),NA(),_xlfn.xlookup(D$3,daily_items,_xlfn.xlookup($C3036,daily_dates,big_daily_table)))</f>
        <v>#NAME?</v>
      </c>
      <c r="E3036" s="1" t="e">
        <f aca="false" t="array" ref="E3036:E3036">IF(ISBLANK(_xlfn.xlookup(E$3,daily_items,_xlfn.xlookup($C3036,daily_dates,big_daily_table))),NA(),_xlfn.xlookup(E$3,daily_items,_xlfn.xlookup($C3036,daily_dates,big_daily_table)))</f>
        <v>#NAME?</v>
      </c>
    </row>
    <row r="3037" customFormat="false" ht="14.25" hidden="false" customHeight="false" outlineLevel="0" collapsed="false">
      <c r="B3037" s="7" t="n">
        <v>43942</v>
      </c>
      <c r="C3037" s="7" t="n">
        <f aca="false">B3037-WEEKDAY(B3037)+1</f>
        <v>43940</v>
      </c>
      <c r="D3037" s="1" t="e">
        <f aca="false" t="array" ref="D3037:D3037">IF(ISBLANK(_xlfn.xlookup(D$3,daily_items,_xlfn.xlookup($C3037,daily_dates,big_daily_table))),NA(),_xlfn.xlookup(D$3,daily_items,_xlfn.xlookup($C3037,daily_dates,big_daily_table)))</f>
        <v>#NAME?</v>
      </c>
      <c r="E3037" s="1" t="e">
        <f aca="false" t="array" ref="E3037:E3037">IF(ISBLANK(_xlfn.xlookup(E$3,daily_items,_xlfn.xlookup($C3037,daily_dates,big_daily_table))),NA(),_xlfn.xlookup(E$3,daily_items,_xlfn.xlookup($C3037,daily_dates,big_daily_table)))</f>
        <v>#NAME?</v>
      </c>
    </row>
    <row r="3038" customFormat="false" ht="14.25" hidden="false" customHeight="false" outlineLevel="0" collapsed="false">
      <c r="B3038" s="7" t="n">
        <v>43943</v>
      </c>
      <c r="C3038" s="7" t="n">
        <f aca="false">B3038-WEEKDAY(B3038)+1</f>
        <v>43940</v>
      </c>
      <c r="D3038" s="1" t="e">
        <f aca="false" t="array" ref="D3038:D3038">IF(ISBLANK(_xlfn.xlookup(D$3,daily_items,_xlfn.xlookup($C3038,daily_dates,big_daily_table))),NA(),_xlfn.xlookup(D$3,daily_items,_xlfn.xlookup($C3038,daily_dates,big_daily_table)))</f>
        <v>#NAME?</v>
      </c>
      <c r="E3038" s="1" t="e">
        <f aca="false" t="array" ref="E3038:E3038">IF(ISBLANK(_xlfn.xlookup(E$3,daily_items,_xlfn.xlookup($C3038,daily_dates,big_daily_table))),NA(),_xlfn.xlookup(E$3,daily_items,_xlfn.xlookup($C3038,daily_dates,big_daily_table)))</f>
        <v>#NAME?</v>
      </c>
    </row>
    <row r="3039" customFormat="false" ht="14.25" hidden="false" customHeight="false" outlineLevel="0" collapsed="false">
      <c r="B3039" s="7" t="n">
        <v>43944</v>
      </c>
      <c r="C3039" s="7" t="n">
        <f aca="false">B3039-WEEKDAY(B3039)+1</f>
        <v>43940</v>
      </c>
      <c r="D3039" s="1" t="e">
        <f aca="false" t="array" ref="D3039:D3039">IF(ISBLANK(_xlfn.xlookup(D$3,daily_items,_xlfn.xlookup($C3039,daily_dates,big_daily_table))),NA(),_xlfn.xlookup(D$3,daily_items,_xlfn.xlookup($C3039,daily_dates,big_daily_table)))</f>
        <v>#NAME?</v>
      </c>
      <c r="E3039" s="1" t="e">
        <f aca="false" t="array" ref="E3039:E3039">IF(ISBLANK(_xlfn.xlookup(E$3,daily_items,_xlfn.xlookup($C3039,daily_dates,big_daily_table))),NA(),_xlfn.xlookup(E$3,daily_items,_xlfn.xlookup($C3039,daily_dates,big_daily_table)))</f>
        <v>#NAME?</v>
      </c>
    </row>
    <row r="3040" customFormat="false" ht="14.25" hidden="false" customHeight="false" outlineLevel="0" collapsed="false">
      <c r="B3040" s="7" t="n">
        <v>43945</v>
      </c>
      <c r="C3040" s="7" t="n">
        <f aca="false">B3040-WEEKDAY(B3040)+1</f>
        <v>43940</v>
      </c>
      <c r="D3040" s="1" t="e">
        <f aca="false" t="array" ref="D3040:D3040">IF(ISBLANK(_xlfn.xlookup(D$3,daily_items,_xlfn.xlookup($C3040,daily_dates,big_daily_table))),NA(),_xlfn.xlookup(D$3,daily_items,_xlfn.xlookup($C3040,daily_dates,big_daily_table)))</f>
        <v>#NAME?</v>
      </c>
      <c r="E3040" s="1" t="e">
        <f aca="false" t="array" ref="E3040:E3040">IF(ISBLANK(_xlfn.xlookup(E$3,daily_items,_xlfn.xlookup($C3040,daily_dates,big_daily_table))),NA(),_xlfn.xlookup(E$3,daily_items,_xlfn.xlookup($C3040,daily_dates,big_daily_table)))</f>
        <v>#NAME?</v>
      </c>
    </row>
    <row r="3041" customFormat="false" ht="14.25" hidden="false" customHeight="false" outlineLevel="0" collapsed="false">
      <c r="B3041" s="7" t="n">
        <v>43946</v>
      </c>
      <c r="C3041" s="7" t="n">
        <f aca="false">B3041-WEEKDAY(B3041)+1</f>
        <v>43940</v>
      </c>
      <c r="D3041" s="1" t="e">
        <f aca="false" t="array" ref="D3041:D3041">IF(ISBLANK(_xlfn.xlookup(D$3,daily_items,_xlfn.xlookup($C3041,daily_dates,big_daily_table))),NA(),_xlfn.xlookup(D$3,daily_items,_xlfn.xlookup($C3041,daily_dates,big_daily_table)))</f>
        <v>#NAME?</v>
      </c>
      <c r="E3041" s="1" t="e">
        <f aca="false" t="array" ref="E3041:E3041">IF(ISBLANK(_xlfn.xlookup(E$3,daily_items,_xlfn.xlookup($C3041,daily_dates,big_daily_table))),NA(),_xlfn.xlookup(E$3,daily_items,_xlfn.xlookup($C3041,daily_dates,big_daily_table)))</f>
        <v>#NAME?</v>
      </c>
    </row>
    <row r="3042" customFormat="false" ht="14.25" hidden="false" customHeight="false" outlineLevel="0" collapsed="false">
      <c r="B3042" s="7" t="n">
        <v>43947</v>
      </c>
      <c r="C3042" s="7" t="n">
        <f aca="false">B3042-WEEKDAY(B3042)+1</f>
        <v>43947</v>
      </c>
      <c r="D3042" s="1" t="e">
        <f aca="false" t="array" ref="D3042:D3042">IF(ISBLANK(_xlfn.xlookup(D$3,daily_items,_xlfn.xlookup($C3042,daily_dates,big_daily_table))),NA(),_xlfn.xlookup(D$3,daily_items,_xlfn.xlookup($C3042,daily_dates,big_daily_table)))</f>
        <v>#NAME?</v>
      </c>
      <c r="E3042" s="1" t="e">
        <f aca="false" t="array" ref="E3042:E3042">IF(ISBLANK(_xlfn.xlookup(E$3,daily_items,_xlfn.xlookup($C3042,daily_dates,big_daily_table))),NA(),_xlfn.xlookup(E$3,daily_items,_xlfn.xlookup($C3042,daily_dates,big_daily_table)))</f>
        <v>#NAME?</v>
      </c>
    </row>
    <row r="3043" customFormat="false" ht="14.25" hidden="false" customHeight="false" outlineLevel="0" collapsed="false">
      <c r="B3043" s="7" t="n">
        <v>43948</v>
      </c>
      <c r="C3043" s="7" t="n">
        <f aca="false">B3043-WEEKDAY(B3043)+1</f>
        <v>43947</v>
      </c>
      <c r="D3043" s="1" t="e">
        <f aca="false" t="array" ref="D3043:D3043">IF(ISBLANK(_xlfn.xlookup(D$3,daily_items,_xlfn.xlookup($C3043,daily_dates,big_daily_table))),NA(),_xlfn.xlookup(D$3,daily_items,_xlfn.xlookup($C3043,daily_dates,big_daily_table)))</f>
        <v>#NAME?</v>
      </c>
      <c r="E3043" s="1" t="e">
        <f aca="false" t="array" ref="E3043:E3043">IF(ISBLANK(_xlfn.xlookup(E$3,daily_items,_xlfn.xlookup($C3043,daily_dates,big_daily_table))),NA(),_xlfn.xlookup(E$3,daily_items,_xlfn.xlookup($C3043,daily_dates,big_daily_table)))</f>
        <v>#NAME?</v>
      </c>
    </row>
    <row r="3044" customFormat="false" ht="14.25" hidden="false" customHeight="false" outlineLevel="0" collapsed="false">
      <c r="B3044" s="7" t="n">
        <v>43949</v>
      </c>
      <c r="C3044" s="7" t="n">
        <f aca="false">B3044-WEEKDAY(B3044)+1</f>
        <v>43947</v>
      </c>
      <c r="D3044" s="1" t="e">
        <f aca="false" t="array" ref="D3044:D3044">IF(ISBLANK(_xlfn.xlookup(D$3,daily_items,_xlfn.xlookup($C3044,daily_dates,big_daily_table))),NA(),_xlfn.xlookup(D$3,daily_items,_xlfn.xlookup($C3044,daily_dates,big_daily_table)))</f>
        <v>#NAME?</v>
      </c>
      <c r="E3044" s="1" t="e">
        <f aca="false" t="array" ref="E3044:E3044">IF(ISBLANK(_xlfn.xlookup(E$3,daily_items,_xlfn.xlookup($C3044,daily_dates,big_daily_table))),NA(),_xlfn.xlookup(E$3,daily_items,_xlfn.xlookup($C3044,daily_dates,big_daily_table)))</f>
        <v>#NAME?</v>
      </c>
    </row>
    <row r="3045" customFormat="false" ht="14.25" hidden="false" customHeight="false" outlineLevel="0" collapsed="false">
      <c r="B3045" s="7" t="n">
        <v>43950</v>
      </c>
      <c r="C3045" s="7" t="n">
        <f aca="false">B3045-WEEKDAY(B3045)+1</f>
        <v>43947</v>
      </c>
      <c r="D3045" s="1" t="e">
        <f aca="false" t="array" ref="D3045:D3045">IF(ISBLANK(_xlfn.xlookup(D$3,daily_items,_xlfn.xlookup($C3045,daily_dates,big_daily_table))),NA(),_xlfn.xlookup(D$3,daily_items,_xlfn.xlookup($C3045,daily_dates,big_daily_table)))</f>
        <v>#NAME?</v>
      </c>
      <c r="E3045" s="1" t="e">
        <f aca="false" t="array" ref="E3045:E3045">IF(ISBLANK(_xlfn.xlookup(E$3,daily_items,_xlfn.xlookup($C3045,daily_dates,big_daily_table))),NA(),_xlfn.xlookup(E$3,daily_items,_xlfn.xlookup($C3045,daily_dates,big_daily_table)))</f>
        <v>#NAME?</v>
      </c>
    </row>
    <row r="3046" customFormat="false" ht="14.25" hidden="false" customHeight="false" outlineLevel="0" collapsed="false">
      <c r="B3046" s="7" t="n">
        <v>43951</v>
      </c>
      <c r="C3046" s="7" t="n">
        <f aca="false">B3046-WEEKDAY(B3046)+1</f>
        <v>43947</v>
      </c>
      <c r="D3046" s="1" t="e">
        <f aca="false" t="array" ref="D3046:D3046">IF(ISBLANK(_xlfn.xlookup(D$3,daily_items,_xlfn.xlookup($C3046,daily_dates,big_daily_table))),NA(),_xlfn.xlookup(D$3,daily_items,_xlfn.xlookup($C3046,daily_dates,big_daily_table)))</f>
        <v>#NAME?</v>
      </c>
      <c r="E3046" s="1" t="e">
        <f aca="false" t="array" ref="E3046:E3046">IF(ISBLANK(_xlfn.xlookup(E$3,daily_items,_xlfn.xlookup($C3046,daily_dates,big_daily_table))),NA(),_xlfn.xlookup(E$3,daily_items,_xlfn.xlookup($C3046,daily_dates,big_daily_table)))</f>
        <v>#NAME?</v>
      </c>
    </row>
    <row r="3047" customFormat="false" ht="14.25" hidden="false" customHeight="false" outlineLevel="0" collapsed="false">
      <c r="B3047" s="7" t="n">
        <v>43952</v>
      </c>
      <c r="C3047" s="7" t="n">
        <f aca="false">B3047-WEEKDAY(B3047)+1</f>
        <v>43947</v>
      </c>
      <c r="D3047" s="1" t="e">
        <f aca="false" t="array" ref="D3047:D3047">IF(ISBLANK(_xlfn.xlookup(D$3,daily_items,_xlfn.xlookup($C3047,daily_dates,big_daily_table))),NA(),_xlfn.xlookup(D$3,daily_items,_xlfn.xlookup($C3047,daily_dates,big_daily_table)))</f>
        <v>#NAME?</v>
      </c>
      <c r="E3047" s="1" t="e">
        <f aca="false" t="array" ref="E3047:E3047">IF(ISBLANK(_xlfn.xlookup(E$3,daily_items,_xlfn.xlookup($C3047,daily_dates,big_daily_table))),NA(),_xlfn.xlookup(E$3,daily_items,_xlfn.xlookup($C3047,daily_dates,big_daily_table)))</f>
        <v>#NAME?</v>
      </c>
    </row>
    <row r="3048" customFormat="false" ht="14.25" hidden="false" customHeight="false" outlineLevel="0" collapsed="false">
      <c r="B3048" s="7" t="n">
        <v>43953</v>
      </c>
      <c r="C3048" s="7" t="n">
        <f aca="false">B3048-WEEKDAY(B3048)+1</f>
        <v>43947</v>
      </c>
      <c r="D3048" s="1" t="e">
        <f aca="false" t="array" ref="D3048:D3048">IF(ISBLANK(_xlfn.xlookup(D$3,daily_items,_xlfn.xlookup($C3048,daily_dates,big_daily_table))),NA(),_xlfn.xlookup(D$3,daily_items,_xlfn.xlookup($C3048,daily_dates,big_daily_table)))</f>
        <v>#NAME?</v>
      </c>
      <c r="E3048" s="1" t="e">
        <f aca="false" t="array" ref="E3048:E3048">IF(ISBLANK(_xlfn.xlookup(E$3,daily_items,_xlfn.xlookup($C3048,daily_dates,big_daily_table))),NA(),_xlfn.xlookup(E$3,daily_items,_xlfn.xlookup($C3048,daily_dates,big_daily_table)))</f>
        <v>#NAME?</v>
      </c>
    </row>
    <row r="3049" customFormat="false" ht="14.25" hidden="false" customHeight="false" outlineLevel="0" collapsed="false">
      <c r="B3049" s="7" t="n">
        <v>43954</v>
      </c>
      <c r="C3049" s="7" t="n">
        <f aca="false">B3049-WEEKDAY(B3049)+1</f>
        <v>43954</v>
      </c>
      <c r="D3049" s="1" t="e">
        <f aca="false" t="array" ref="D3049:D3049">IF(ISBLANK(_xlfn.xlookup(D$3,daily_items,_xlfn.xlookup($C3049,daily_dates,big_daily_table))),NA(),_xlfn.xlookup(D$3,daily_items,_xlfn.xlookup($C3049,daily_dates,big_daily_table)))</f>
        <v>#NAME?</v>
      </c>
      <c r="E3049" s="1" t="e">
        <f aca="false" t="array" ref="E3049:E3049">IF(ISBLANK(_xlfn.xlookup(E$3,daily_items,_xlfn.xlookup($C3049,daily_dates,big_daily_table))),NA(),_xlfn.xlookup(E$3,daily_items,_xlfn.xlookup($C3049,daily_dates,big_daily_table)))</f>
        <v>#NAME?</v>
      </c>
    </row>
    <row r="3050" customFormat="false" ht="14.25" hidden="false" customHeight="false" outlineLevel="0" collapsed="false">
      <c r="B3050" s="7" t="n">
        <v>43955</v>
      </c>
      <c r="C3050" s="7" t="n">
        <f aca="false">B3050-WEEKDAY(B3050)+1</f>
        <v>43954</v>
      </c>
      <c r="D3050" s="1" t="e">
        <f aca="false" t="array" ref="D3050:D3050">IF(ISBLANK(_xlfn.xlookup(D$3,daily_items,_xlfn.xlookup($C3050,daily_dates,big_daily_table))),NA(),_xlfn.xlookup(D$3,daily_items,_xlfn.xlookup($C3050,daily_dates,big_daily_table)))</f>
        <v>#NAME?</v>
      </c>
      <c r="E3050" s="1" t="e">
        <f aca="false" t="array" ref="E3050:E3050">IF(ISBLANK(_xlfn.xlookup(E$3,daily_items,_xlfn.xlookup($C3050,daily_dates,big_daily_table))),NA(),_xlfn.xlookup(E$3,daily_items,_xlfn.xlookup($C3050,daily_dates,big_daily_table)))</f>
        <v>#NAME?</v>
      </c>
    </row>
    <row r="3051" customFormat="false" ht="14.25" hidden="false" customHeight="false" outlineLevel="0" collapsed="false">
      <c r="B3051" s="7" t="n">
        <v>43956</v>
      </c>
      <c r="C3051" s="7" t="n">
        <f aca="false">B3051-WEEKDAY(B3051)+1</f>
        <v>43954</v>
      </c>
      <c r="D3051" s="1" t="e">
        <f aca="false" t="array" ref="D3051:D3051">IF(ISBLANK(_xlfn.xlookup(D$3,daily_items,_xlfn.xlookup($C3051,daily_dates,big_daily_table))),NA(),_xlfn.xlookup(D$3,daily_items,_xlfn.xlookup($C3051,daily_dates,big_daily_table)))</f>
        <v>#NAME?</v>
      </c>
      <c r="E3051" s="1" t="e">
        <f aca="false" t="array" ref="E3051:E3051">IF(ISBLANK(_xlfn.xlookup(E$3,daily_items,_xlfn.xlookup($C3051,daily_dates,big_daily_table))),NA(),_xlfn.xlookup(E$3,daily_items,_xlfn.xlookup($C3051,daily_dates,big_daily_table)))</f>
        <v>#NAME?</v>
      </c>
    </row>
    <row r="3052" customFormat="false" ht="14.25" hidden="false" customHeight="false" outlineLevel="0" collapsed="false">
      <c r="B3052" s="7" t="n">
        <v>43957</v>
      </c>
      <c r="C3052" s="7" t="n">
        <f aca="false">B3052-WEEKDAY(B3052)+1</f>
        <v>43954</v>
      </c>
      <c r="D3052" s="1" t="e">
        <f aca="false" t="array" ref="D3052:D3052">IF(ISBLANK(_xlfn.xlookup(D$3,daily_items,_xlfn.xlookup($C3052,daily_dates,big_daily_table))),NA(),_xlfn.xlookup(D$3,daily_items,_xlfn.xlookup($C3052,daily_dates,big_daily_table)))</f>
        <v>#NAME?</v>
      </c>
      <c r="E3052" s="1" t="e">
        <f aca="false" t="array" ref="E3052:E3052">IF(ISBLANK(_xlfn.xlookup(E$3,daily_items,_xlfn.xlookup($C3052,daily_dates,big_daily_table))),NA(),_xlfn.xlookup(E$3,daily_items,_xlfn.xlookup($C3052,daily_dates,big_daily_table)))</f>
        <v>#NAME?</v>
      </c>
    </row>
    <row r="3053" customFormat="false" ht="14.25" hidden="false" customHeight="false" outlineLevel="0" collapsed="false">
      <c r="B3053" s="7" t="n">
        <v>43958</v>
      </c>
      <c r="C3053" s="7" t="n">
        <f aca="false">B3053-WEEKDAY(B3053)+1</f>
        <v>43954</v>
      </c>
      <c r="D3053" s="1" t="e">
        <f aca="false" t="array" ref="D3053:D3053">IF(ISBLANK(_xlfn.xlookup(D$3,daily_items,_xlfn.xlookup($C3053,daily_dates,big_daily_table))),NA(),_xlfn.xlookup(D$3,daily_items,_xlfn.xlookup($C3053,daily_dates,big_daily_table)))</f>
        <v>#NAME?</v>
      </c>
      <c r="E3053" s="1" t="e">
        <f aca="false" t="array" ref="E3053:E3053">IF(ISBLANK(_xlfn.xlookup(E$3,daily_items,_xlfn.xlookup($C3053,daily_dates,big_daily_table))),NA(),_xlfn.xlookup(E$3,daily_items,_xlfn.xlookup($C3053,daily_dates,big_daily_table)))</f>
        <v>#NAME?</v>
      </c>
    </row>
    <row r="3054" customFormat="false" ht="14.25" hidden="false" customHeight="false" outlineLevel="0" collapsed="false">
      <c r="B3054" s="7" t="n">
        <v>43959</v>
      </c>
      <c r="C3054" s="7" t="n">
        <f aca="false">B3054-WEEKDAY(B3054)+1</f>
        <v>43954</v>
      </c>
      <c r="D3054" s="1" t="e">
        <f aca="false" t="array" ref="D3054:D3054">IF(ISBLANK(_xlfn.xlookup(D$3,daily_items,_xlfn.xlookup($C3054,daily_dates,big_daily_table))),NA(),_xlfn.xlookup(D$3,daily_items,_xlfn.xlookup($C3054,daily_dates,big_daily_table)))</f>
        <v>#NAME?</v>
      </c>
      <c r="E3054" s="1" t="e">
        <f aca="false" t="array" ref="E3054:E3054">IF(ISBLANK(_xlfn.xlookup(E$3,daily_items,_xlfn.xlookup($C3054,daily_dates,big_daily_table))),NA(),_xlfn.xlookup(E$3,daily_items,_xlfn.xlookup($C3054,daily_dates,big_daily_table)))</f>
        <v>#NAME?</v>
      </c>
    </row>
    <row r="3055" customFormat="false" ht="14.25" hidden="false" customHeight="false" outlineLevel="0" collapsed="false">
      <c r="B3055" s="7" t="n">
        <v>43960</v>
      </c>
      <c r="C3055" s="7" t="n">
        <f aca="false">B3055-WEEKDAY(B3055)+1</f>
        <v>43954</v>
      </c>
      <c r="D3055" s="1" t="e">
        <f aca="false" t="array" ref="D3055:D3055">IF(ISBLANK(_xlfn.xlookup(D$3,daily_items,_xlfn.xlookup($C3055,daily_dates,big_daily_table))),NA(),_xlfn.xlookup(D$3,daily_items,_xlfn.xlookup($C3055,daily_dates,big_daily_table)))</f>
        <v>#NAME?</v>
      </c>
      <c r="E3055" s="1" t="e">
        <f aca="false" t="array" ref="E3055:E3055">IF(ISBLANK(_xlfn.xlookup(E$3,daily_items,_xlfn.xlookup($C3055,daily_dates,big_daily_table))),NA(),_xlfn.xlookup(E$3,daily_items,_xlfn.xlookup($C3055,daily_dates,big_daily_table)))</f>
        <v>#NAME?</v>
      </c>
    </row>
    <row r="3056" customFormat="false" ht="14.25" hidden="false" customHeight="false" outlineLevel="0" collapsed="false">
      <c r="B3056" s="7" t="n">
        <v>43961</v>
      </c>
      <c r="C3056" s="7" t="n">
        <f aca="false">B3056-WEEKDAY(B3056)+1</f>
        <v>43961</v>
      </c>
      <c r="D3056" s="1" t="e">
        <f aca="false" t="array" ref="D3056:D3056">IF(ISBLANK(_xlfn.xlookup(D$3,daily_items,_xlfn.xlookup($C3056,daily_dates,big_daily_table))),NA(),_xlfn.xlookup(D$3,daily_items,_xlfn.xlookup($C3056,daily_dates,big_daily_table)))</f>
        <v>#NAME?</v>
      </c>
      <c r="E3056" s="1" t="e">
        <f aca="false" t="array" ref="E3056:E3056">IF(ISBLANK(_xlfn.xlookup(E$3,daily_items,_xlfn.xlookup($C3056,daily_dates,big_daily_table))),NA(),_xlfn.xlookup(E$3,daily_items,_xlfn.xlookup($C3056,daily_dates,big_daily_table)))</f>
        <v>#NAME?</v>
      </c>
    </row>
    <row r="3057" customFormat="false" ht="14.25" hidden="false" customHeight="false" outlineLevel="0" collapsed="false">
      <c r="B3057" s="7" t="n">
        <v>43962</v>
      </c>
      <c r="C3057" s="7" t="n">
        <f aca="false">B3057-WEEKDAY(B3057)+1</f>
        <v>43961</v>
      </c>
      <c r="D3057" s="1" t="e">
        <f aca="false" t="array" ref="D3057:D3057">IF(ISBLANK(_xlfn.xlookup(D$3,daily_items,_xlfn.xlookup($C3057,daily_dates,big_daily_table))),NA(),_xlfn.xlookup(D$3,daily_items,_xlfn.xlookup($C3057,daily_dates,big_daily_table)))</f>
        <v>#NAME?</v>
      </c>
      <c r="E3057" s="1" t="e">
        <f aca="false" t="array" ref="E3057:E3057">IF(ISBLANK(_xlfn.xlookup(E$3,daily_items,_xlfn.xlookup($C3057,daily_dates,big_daily_table))),NA(),_xlfn.xlookup(E$3,daily_items,_xlfn.xlookup($C3057,daily_dates,big_daily_table)))</f>
        <v>#NAME?</v>
      </c>
    </row>
    <row r="3058" customFormat="false" ht="14.25" hidden="false" customHeight="false" outlineLevel="0" collapsed="false">
      <c r="B3058" s="7" t="n">
        <v>43963</v>
      </c>
      <c r="C3058" s="7" t="n">
        <f aca="false">B3058-WEEKDAY(B3058)+1</f>
        <v>43961</v>
      </c>
      <c r="D3058" s="1" t="e">
        <f aca="false" t="array" ref="D3058:D3058">IF(ISBLANK(_xlfn.xlookup(D$3,daily_items,_xlfn.xlookup($C3058,daily_dates,big_daily_table))),NA(),_xlfn.xlookup(D$3,daily_items,_xlfn.xlookup($C3058,daily_dates,big_daily_table)))</f>
        <v>#NAME?</v>
      </c>
      <c r="E3058" s="1" t="e">
        <f aca="false" t="array" ref="E3058:E3058">IF(ISBLANK(_xlfn.xlookup(E$3,daily_items,_xlfn.xlookup($C3058,daily_dates,big_daily_table))),NA(),_xlfn.xlookup(E$3,daily_items,_xlfn.xlookup($C3058,daily_dates,big_daily_table)))</f>
        <v>#NAME?</v>
      </c>
    </row>
    <row r="3059" customFormat="false" ht="14.25" hidden="false" customHeight="false" outlineLevel="0" collapsed="false">
      <c r="B3059" s="7" t="n">
        <v>43964</v>
      </c>
      <c r="C3059" s="7" t="n">
        <f aca="false">B3059-WEEKDAY(B3059)+1</f>
        <v>43961</v>
      </c>
      <c r="D3059" s="1" t="e">
        <f aca="false" t="array" ref="D3059:D3059">IF(ISBLANK(_xlfn.xlookup(D$3,daily_items,_xlfn.xlookup($C3059,daily_dates,big_daily_table))),NA(),_xlfn.xlookup(D$3,daily_items,_xlfn.xlookup($C3059,daily_dates,big_daily_table)))</f>
        <v>#NAME?</v>
      </c>
      <c r="E3059" s="1" t="e">
        <f aca="false" t="array" ref="E3059:E3059">IF(ISBLANK(_xlfn.xlookup(E$3,daily_items,_xlfn.xlookup($C3059,daily_dates,big_daily_table))),NA(),_xlfn.xlookup(E$3,daily_items,_xlfn.xlookup($C3059,daily_dates,big_daily_table)))</f>
        <v>#NAME?</v>
      </c>
    </row>
    <row r="3060" customFormat="false" ht="14.25" hidden="false" customHeight="false" outlineLevel="0" collapsed="false">
      <c r="B3060" s="7" t="n">
        <v>43965</v>
      </c>
      <c r="C3060" s="7" t="n">
        <f aca="false">B3060-WEEKDAY(B3060)+1</f>
        <v>43961</v>
      </c>
      <c r="D3060" s="1" t="e">
        <f aca="false" t="array" ref="D3060:D3060">IF(ISBLANK(_xlfn.xlookup(D$3,daily_items,_xlfn.xlookup($C3060,daily_dates,big_daily_table))),NA(),_xlfn.xlookup(D$3,daily_items,_xlfn.xlookup($C3060,daily_dates,big_daily_table)))</f>
        <v>#NAME?</v>
      </c>
      <c r="E3060" s="1" t="e">
        <f aca="false" t="array" ref="E3060:E3060">IF(ISBLANK(_xlfn.xlookup(E$3,daily_items,_xlfn.xlookup($C3060,daily_dates,big_daily_table))),NA(),_xlfn.xlookup(E$3,daily_items,_xlfn.xlookup($C3060,daily_dates,big_daily_table)))</f>
        <v>#NAME?</v>
      </c>
    </row>
    <row r="3061" customFormat="false" ht="14.25" hidden="false" customHeight="false" outlineLevel="0" collapsed="false">
      <c r="B3061" s="7" t="n">
        <v>43966</v>
      </c>
      <c r="C3061" s="7" t="n">
        <f aca="false">B3061-WEEKDAY(B3061)+1</f>
        <v>43961</v>
      </c>
      <c r="D3061" s="1" t="e">
        <f aca="false" t="array" ref="D3061:D3061">IF(ISBLANK(_xlfn.xlookup(D$3,daily_items,_xlfn.xlookup($C3061,daily_dates,big_daily_table))),NA(),_xlfn.xlookup(D$3,daily_items,_xlfn.xlookup($C3061,daily_dates,big_daily_table)))</f>
        <v>#NAME?</v>
      </c>
      <c r="E3061" s="1" t="e">
        <f aca="false" t="array" ref="E3061:E3061">IF(ISBLANK(_xlfn.xlookup(E$3,daily_items,_xlfn.xlookup($C3061,daily_dates,big_daily_table))),NA(),_xlfn.xlookup(E$3,daily_items,_xlfn.xlookup($C3061,daily_dates,big_daily_table)))</f>
        <v>#NAME?</v>
      </c>
    </row>
    <row r="3062" customFormat="false" ht="14.25" hidden="false" customHeight="false" outlineLevel="0" collapsed="false">
      <c r="B3062" s="7" t="n">
        <v>43967</v>
      </c>
      <c r="C3062" s="7" t="n">
        <f aca="false">B3062-WEEKDAY(B3062)+1</f>
        <v>43961</v>
      </c>
      <c r="D3062" s="1" t="e">
        <f aca="false" t="array" ref="D3062:D3062">IF(ISBLANK(_xlfn.xlookup(D$3,daily_items,_xlfn.xlookup($C3062,daily_dates,big_daily_table))),NA(),_xlfn.xlookup(D$3,daily_items,_xlfn.xlookup($C3062,daily_dates,big_daily_table)))</f>
        <v>#NAME?</v>
      </c>
      <c r="E3062" s="1" t="e">
        <f aca="false" t="array" ref="E3062:E3062">IF(ISBLANK(_xlfn.xlookup(E$3,daily_items,_xlfn.xlookup($C3062,daily_dates,big_daily_table))),NA(),_xlfn.xlookup(E$3,daily_items,_xlfn.xlookup($C3062,daily_dates,big_daily_table)))</f>
        <v>#NAME?</v>
      </c>
    </row>
    <row r="3063" customFormat="false" ht="14.25" hidden="false" customHeight="false" outlineLevel="0" collapsed="false">
      <c r="B3063" s="7" t="n">
        <v>43968</v>
      </c>
      <c r="C3063" s="7" t="n">
        <f aca="false">B3063-WEEKDAY(B3063)+1</f>
        <v>43968</v>
      </c>
      <c r="D3063" s="1" t="e">
        <f aca="false" t="array" ref="D3063:D3063">IF(ISBLANK(_xlfn.xlookup(D$3,daily_items,_xlfn.xlookup($C3063,daily_dates,big_daily_table))),NA(),_xlfn.xlookup(D$3,daily_items,_xlfn.xlookup($C3063,daily_dates,big_daily_table)))</f>
        <v>#NAME?</v>
      </c>
      <c r="E3063" s="1" t="e">
        <f aca="false" t="array" ref="E3063:E3063">IF(ISBLANK(_xlfn.xlookup(E$3,daily_items,_xlfn.xlookup($C3063,daily_dates,big_daily_table))),NA(),_xlfn.xlookup(E$3,daily_items,_xlfn.xlookup($C3063,daily_dates,big_daily_table)))</f>
        <v>#NAME?</v>
      </c>
    </row>
    <row r="3064" customFormat="false" ht="14.25" hidden="false" customHeight="false" outlineLevel="0" collapsed="false">
      <c r="B3064" s="7" t="n">
        <v>43969</v>
      </c>
      <c r="C3064" s="7" t="n">
        <f aca="false">B3064-WEEKDAY(B3064)+1</f>
        <v>43968</v>
      </c>
      <c r="D3064" s="1" t="e">
        <f aca="false" t="array" ref="D3064:D3064">IF(ISBLANK(_xlfn.xlookup(D$3,daily_items,_xlfn.xlookup($C3064,daily_dates,big_daily_table))),NA(),_xlfn.xlookup(D$3,daily_items,_xlfn.xlookup($C3064,daily_dates,big_daily_table)))</f>
        <v>#NAME?</v>
      </c>
      <c r="E3064" s="1" t="e">
        <f aca="false" t="array" ref="E3064:E3064">IF(ISBLANK(_xlfn.xlookup(E$3,daily_items,_xlfn.xlookup($C3064,daily_dates,big_daily_table))),NA(),_xlfn.xlookup(E$3,daily_items,_xlfn.xlookup($C3064,daily_dates,big_daily_table)))</f>
        <v>#NAME?</v>
      </c>
    </row>
    <row r="3065" customFormat="false" ht="14.25" hidden="false" customHeight="false" outlineLevel="0" collapsed="false">
      <c r="B3065" s="7" t="n">
        <v>43970</v>
      </c>
      <c r="C3065" s="7" t="n">
        <f aca="false">B3065-WEEKDAY(B3065)+1</f>
        <v>43968</v>
      </c>
      <c r="D3065" s="1" t="e">
        <f aca="false" t="array" ref="D3065:D3065">IF(ISBLANK(_xlfn.xlookup(D$3,daily_items,_xlfn.xlookup($C3065,daily_dates,big_daily_table))),NA(),_xlfn.xlookup(D$3,daily_items,_xlfn.xlookup($C3065,daily_dates,big_daily_table)))</f>
        <v>#NAME?</v>
      </c>
      <c r="E3065" s="1" t="e">
        <f aca="false" t="array" ref="E3065:E3065">IF(ISBLANK(_xlfn.xlookup(E$3,daily_items,_xlfn.xlookup($C3065,daily_dates,big_daily_table))),NA(),_xlfn.xlookup(E$3,daily_items,_xlfn.xlookup($C3065,daily_dates,big_daily_table)))</f>
        <v>#NAME?</v>
      </c>
    </row>
    <row r="3066" customFormat="false" ht="14.25" hidden="false" customHeight="false" outlineLevel="0" collapsed="false">
      <c r="B3066" s="7" t="n">
        <v>43971</v>
      </c>
      <c r="C3066" s="7" t="n">
        <f aca="false">B3066-WEEKDAY(B3066)+1</f>
        <v>43968</v>
      </c>
      <c r="D3066" s="1" t="e">
        <f aca="false" t="array" ref="D3066:D3066">IF(ISBLANK(_xlfn.xlookup(D$3,daily_items,_xlfn.xlookup($C3066,daily_dates,big_daily_table))),NA(),_xlfn.xlookup(D$3,daily_items,_xlfn.xlookup($C3066,daily_dates,big_daily_table)))</f>
        <v>#NAME?</v>
      </c>
      <c r="E3066" s="1" t="e">
        <f aca="false" t="array" ref="E3066:E3066">IF(ISBLANK(_xlfn.xlookup(E$3,daily_items,_xlfn.xlookup($C3066,daily_dates,big_daily_table))),NA(),_xlfn.xlookup(E$3,daily_items,_xlfn.xlookup($C3066,daily_dates,big_daily_table)))</f>
        <v>#NAME?</v>
      </c>
    </row>
    <row r="3067" customFormat="false" ht="14.25" hidden="false" customHeight="false" outlineLevel="0" collapsed="false">
      <c r="B3067" s="7" t="n">
        <v>43972</v>
      </c>
      <c r="C3067" s="7" t="n">
        <f aca="false">B3067-WEEKDAY(B3067)+1</f>
        <v>43968</v>
      </c>
      <c r="D3067" s="1" t="e">
        <f aca="false" t="array" ref="D3067:D3067">IF(ISBLANK(_xlfn.xlookup(D$3,daily_items,_xlfn.xlookup($C3067,daily_dates,big_daily_table))),NA(),_xlfn.xlookup(D$3,daily_items,_xlfn.xlookup($C3067,daily_dates,big_daily_table)))</f>
        <v>#NAME?</v>
      </c>
      <c r="E3067" s="1" t="e">
        <f aca="false" t="array" ref="E3067:E3067">IF(ISBLANK(_xlfn.xlookup(E$3,daily_items,_xlfn.xlookup($C3067,daily_dates,big_daily_table))),NA(),_xlfn.xlookup(E$3,daily_items,_xlfn.xlookup($C3067,daily_dates,big_daily_table)))</f>
        <v>#NAME?</v>
      </c>
    </row>
    <row r="3068" customFormat="false" ht="14.25" hidden="false" customHeight="false" outlineLevel="0" collapsed="false">
      <c r="B3068" s="7" t="n">
        <v>43973</v>
      </c>
      <c r="C3068" s="7" t="n">
        <f aca="false">B3068-WEEKDAY(B3068)+1</f>
        <v>43968</v>
      </c>
      <c r="D3068" s="1" t="e">
        <f aca="false" t="array" ref="D3068:D3068">IF(ISBLANK(_xlfn.xlookup(D$3,daily_items,_xlfn.xlookup($C3068,daily_dates,big_daily_table))),NA(),_xlfn.xlookup(D$3,daily_items,_xlfn.xlookup($C3068,daily_dates,big_daily_table)))</f>
        <v>#NAME?</v>
      </c>
      <c r="E3068" s="1" t="e">
        <f aca="false" t="array" ref="E3068:E3068">IF(ISBLANK(_xlfn.xlookup(E$3,daily_items,_xlfn.xlookup($C3068,daily_dates,big_daily_table))),NA(),_xlfn.xlookup(E$3,daily_items,_xlfn.xlookup($C3068,daily_dates,big_daily_table)))</f>
        <v>#NAME?</v>
      </c>
    </row>
    <row r="3069" customFormat="false" ht="14.25" hidden="false" customHeight="false" outlineLevel="0" collapsed="false">
      <c r="B3069" s="7" t="n">
        <v>43974</v>
      </c>
      <c r="C3069" s="7" t="n">
        <f aca="false">B3069-WEEKDAY(B3069)+1</f>
        <v>43968</v>
      </c>
      <c r="D3069" s="1" t="e">
        <f aca="false" t="array" ref="D3069:D3069">IF(ISBLANK(_xlfn.xlookup(D$3,daily_items,_xlfn.xlookup($C3069,daily_dates,big_daily_table))),NA(),_xlfn.xlookup(D$3,daily_items,_xlfn.xlookup($C3069,daily_dates,big_daily_table)))</f>
        <v>#NAME?</v>
      </c>
      <c r="E3069" s="1" t="e">
        <f aca="false" t="array" ref="E3069:E3069">IF(ISBLANK(_xlfn.xlookup(E$3,daily_items,_xlfn.xlookup($C3069,daily_dates,big_daily_table))),NA(),_xlfn.xlookup(E$3,daily_items,_xlfn.xlookup($C3069,daily_dates,big_daily_table)))</f>
        <v>#NAME?</v>
      </c>
    </row>
    <row r="3070" customFormat="false" ht="14.25" hidden="false" customHeight="false" outlineLevel="0" collapsed="false">
      <c r="B3070" s="7" t="n">
        <v>43975</v>
      </c>
      <c r="C3070" s="7" t="n">
        <f aca="false">B3070-WEEKDAY(B3070)+1</f>
        <v>43975</v>
      </c>
      <c r="D3070" s="1" t="e">
        <f aca="false" t="array" ref="D3070:D3070">IF(ISBLANK(_xlfn.xlookup(D$3,daily_items,_xlfn.xlookup($C3070,daily_dates,big_daily_table))),NA(),_xlfn.xlookup(D$3,daily_items,_xlfn.xlookup($C3070,daily_dates,big_daily_table)))</f>
        <v>#NAME?</v>
      </c>
      <c r="E3070" s="1" t="e">
        <f aca="false" t="array" ref="E3070:E3070">IF(ISBLANK(_xlfn.xlookup(E$3,daily_items,_xlfn.xlookup($C3070,daily_dates,big_daily_table))),NA(),_xlfn.xlookup(E$3,daily_items,_xlfn.xlookup($C3070,daily_dates,big_daily_table)))</f>
        <v>#NAME?</v>
      </c>
    </row>
    <row r="3071" customFormat="false" ht="14.25" hidden="false" customHeight="false" outlineLevel="0" collapsed="false">
      <c r="B3071" s="7" t="n">
        <v>43976</v>
      </c>
      <c r="C3071" s="7" t="n">
        <f aca="false">B3071-WEEKDAY(B3071)+1</f>
        <v>43975</v>
      </c>
      <c r="D3071" s="1" t="e">
        <f aca="false" t="array" ref="D3071:D3071">IF(ISBLANK(_xlfn.xlookup(D$3,daily_items,_xlfn.xlookup($C3071,daily_dates,big_daily_table))),NA(),_xlfn.xlookup(D$3,daily_items,_xlfn.xlookup($C3071,daily_dates,big_daily_table)))</f>
        <v>#NAME?</v>
      </c>
      <c r="E3071" s="1" t="e">
        <f aca="false" t="array" ref="E3071:E3071">IF(ISBLANK(_xlfn.xlookup(E$3,daily_items,_xlfn.xlookup($C3071,daily_dates,big_daily_table))),NA(),_xlfn.xlookup(E$3,daily_items,_xlfn.xlookup($C3071,daily_dates,big_daily_table)))</f>
        <v>#NAME?</v>
      </c>
    </row>
    <row r="3072" customFormat="false" ht="14.25" hidden="false" customHeight="false" outlineLevel="0" collapsed="false">
      <c r="B3072" s="7" t="n">
        <v>43977</v>
      </c>
      <c r="C3072" s="7" t="n">
        <f aca="false">B3072-WEEKDAY(B3072)+1</f>
        <v>43975</v>
      </c>
      <c r="D3072" s="1" t="e">
        <f aca="false" t="array" ref="D3072:D3072">IF(ISBLANK(_xlfn.xlookup(D$3,daily_items,_xlfn.xlookup($C3072,daily_dates,big_daily_table))),NA(),_xlfn.xlookup(D$3,daily_items,_xlfn.xlookup($C3072,daily_dates,big_daily_table)))</f>
        <v>#NAME?</v>
      </c>
      <c r="E3072" s="1" t="e">
        <f aca="false" t="array" ref="E3072:E3072">IF(ISBLANK(_xlfn.xlookup(E$3,daily_items,_xlfn.xlookup($C3072,daily_dates,big_daily_table))),NA(),_xlfn.xlookup(E$3,daily_items,_xlfn.xlookup($C3072,daily_dates,big_daily_table)))</f>
        <v>#NAME?</v>
      </c>
    </row>
    <row r="3073" customFormat="false" ht="14.25" hidden="false" customHeight="false" outlineLevel="0" collapsed="false">
      <c r="B3073" s="7" t="n">
        <v>43978</v>
      </c>
      <c r="C3073" s="7" t="n">
        <f aca="false">B3073-WEEKDAY(B3073)+1</f>
        <v>43975</v>
      </c>
      <c r="D3073" s="1" t="e">
        <f aca="false" t="array" ref="D3073:D3073">IF(ISBLANK(_xlfn.xlookup(D$3,daily_items,_xlfn.xlookup($C3073,daily_dates,big_daily_table))),NA(),_xlfn.xlookup(D$3,daily_items,_xlfn.xlookup($C3073,daily_dates,big_daily_table)))</f>
        <v>#NAME?</v>
      </c>
      <c r="E3073" s="1" t="e">
        <f aca="false" t="array" ref="E3073:E3073">IF(ISBLANK(_xlfn.xlookup(E$3,daily_items,_xlfn.xlookup($C3073,daily_dates,big_daily_table))),NA(),_xlfn.xlookup(E$3,daily_items,_xlfn.xlookup($C3073,daily_dates,big_daily_table)))</f>
        <v>#NAME?</v>
      </c>
    </row>
    <row r="3074" customFormat="false" ht="14.25" hidden="false" customHeight="false" outlineLevel="0" collapsed="false">
      <c r="B3074" s="7" t="n">
        <v>43979</v>
      </c>
      <c r="C3074" s="7" t="n">
        <f aca="false">B3074-WEEKDAY(B3074)+1</f>
        <v>43975</v>
      </c>
      <c r="D3074" s="1" t="e">
        <f aca="false" t="array" ref="D3074:D3074">IF(ISBLANK(_xlfn.xlookup(D$3,daily_items,_xlfn.xlookup($C3074,daily_dates,big_daily_table))),NA(),_xlfn.xlookup(D$3,daily_items,_xlfn.xlookup($C3074,daily_dates,big_daily_table)))</f>
        <v>#NAME?</v>
      </c>
      <c r="E3074" s="1" t="e">
        <f aca="false" t="array" ref="E3074:E3074">IF(ISBLANK(_xlfn.xlookup(E$3,daily_items,_xlfn.xlookup($C3074,daily_dates,big_daily_table))),NA(),_xlfn.xlookup(E$3,daily_items,_xlfn.xlookup($C3074,daily_dates,big_daily_table)))</f>
        <v>#NAME?</v>
      </c>
    </row>
    <row r="3075" customFormat="false" ht="14.25" hidden="false" customHeight="false" outlineLevel="0" collapsed="false">
      <c r="B3075" s="7" t="n">
        <v>43980</v>
      </c>
      <c r="C3075" s="7" t="n">
        <f aca="false">B3075-WEEKDAY(B3075)+1</f>
        <v>43975</v>
      </c>
      <c r="D3075" s="1" t="e">
        <f aca="false" t="array" ref="D3075:D3075">IF(ISBLANK(_xlfn.xlookup(D$3,daily_items,_xlfn.xlookup($C3075,daily_dates,big_daily_table))),NA(),_xlfn.xlookup(D$3,daily_items,_xlfn.xlookup($C3075,daily_dates,big_daily_table)))</f>
        <v>#NAME?</v>
      </c>
      <c r="E3075" s="1" t="e">
        <f aca="false" t="array" ref="E3075:E3075">IF(ISBLANK(_xlfn.xlookup(E$3,daily_items,_xlfn.xlookup($C3075,daily_dates,big_daily_table))),NA(),_xlfn.xlookup(E$3,daily_items,_xlfn.xlookup($C3075,daily_dates,big_daily_table)))</f>
        <v>#NAME?</v>
      </c>
    </row>
    <row r="3076" customFormat="false" ht="14.25" hidden="false" customHeight="false" outlineLevel="0" collapsed="false">
      <c r="B3076" s="7" t="n">
        <v>43981</v>
      </c>
      <c r="C3076" s="7" t="n">
        <f aca="false">B3076-WEEKDAY(B3076)+1</f>
        <v>43975</v>
      </c>
      <c r="D3076" s="1" t="e">
        <f aca="false" t="array" ref="D3076:D3076">IF(ISBLANK(_xlfn.xlookup(D$3,daily_items,_xlfn.xlookup($C3076,daily_dates,big_daily_table))),NA(),_xlfn.xlookup(D$3,daily_items,_xlfn.xlookup($C3076,daily_dates,big_daily_table)))</f>
        <v>#NAME?</v>
      </c>
      <c r="E3076" s="1" t="e">
        <f aca="false" t="array" ref="E3076:E3076">IF(ISBLANK(_xlfn.xlookup(E$3,daily_items,_xlfn.xlookup($C3076,daily_dates,big_daily_table))),NA(),_xlfn.xlookup(E$3,daily_items,_xlfn.xlookup($C3076,daily_dates,big_daily_table)))</f>
        <v>#NAME?</v>
      </c>
    </row>
    <row r="3077" customFormat="false" ht="14.25" hidden="false" customHeight="false" outlineLevel="0" collapsed="false">
      <c r="B3077" s="7" t="n">
        <v>43982</v>
      </c>
      <c r="C3077" s="7" t="n">
        <f aca="false">B3077-WEEKDAY(B3077)+1</f>
        <v>43982</v>
      </c>
      <c r="D3077" s="1" t="e">
        <f aca="false" t="array" ref="D3077:D3077">IF(ISBLANK(_xlfn.xlookup(D$3,daily_items,_xlfn.xlookup($C3077,daily_dates,big_daily_table))),NA(),_xlfn.xlookup(D$3,daily_items,_xlfn.xlookup($C3077,daily_dates,big_daily_table)))</f>
        <v>#NAME?</v>
      </c>
      <c r="E3077" s="1" t="e">
        <f aca="false" t="array" ref="E3077:E3077">IF(ISBLANK(_xlfn.xlookup(E$3,daily_items,_xlfn.xlookup($C3077,daily_dates,big_daily_table))),NA(),_xlfn.xlookup(E$3,daily_items,_xlfn.xlookup($C3077,daily_dates,big_daily_table)))</f>
        <v>#NAME?</v>
      </c>
    </row>
    <row r="3078" customFormat="false" ht="14.25" hidden="false" customHeight="false" outlineLevel="0" collapsed="false">
      <c r="B3078" s="7" t="n">
        <v>43983</v>
      </c>
      <c r="C3078" s="7" t="n">
        <f aca="false">B3078-WEEKDAY(B3078)+1</f>
        <v>43982</v>
      </c>
      <c r="D3078" s="1" t="e">
        <f aca="false" t="array" ref="D3078:D3078">IF(ISBLANK(_xlfn.xlookup(D$3,daily_items,_xlfn.xlookup($C3078,daily_dates,big_daily_table))),NA(),_xlfn.xlookup(D$3,daily_items,_xlfn.xlookup($C3078,daily_dates,big_daily_table)))</f>
        <v>#NAME?</v>
      </c>
      <c r="E3078" s="1" t="e">
        <f aca="false" t="array" ref="E3078:E3078">IF(ISBLANK(_xlfn.xlookup(E$3,daily_items,_xlfn.xlookup($C3078,daily_dates,big_daily_table))),NA(),_xlfn.xlookup(E$3,daily_items,_xlfn.xlookup($C3078,daily_dates,big_daily_table)))</f>
        <v>#NAME?</v>
      </c>
    </row>
    <row r="3079" customFormat="false" ht="14.25" hidden="false" customHeight="false" outlineLevel="0" collapsed="false">
      <c r="B3079" s="7" t="n">
        <v>43984</v>
      </c>
      <c r="C3079" s="7" t="n">
        <f aca="false">B3079-WEEKDAY(B3079)+1</f>
        <v>43982</v>
      </c>
      <c r="D3079" s="1" t="e">
        <f aca="false" t="array" ref="D3079:D3079">IF(ISBLANK(_xlfn.xlookup(D$3,daily_items,_xlfn.xlookup($C3079,daily_dates,big_daily_table))),NA(),_xlfn.xlookup(D$3,daily_items,_xlfn.xlookup($C3079,daily_dates,big_daily_table)))</f>
        <v>#NAME?</v>
      </c>
      <c r="E3079" s="1" t="e">
        <f aca="false" t="array" ref="E3079:E3079">IF(ISBLANK(_xlfn.xlookup(E$3,daily_items,_xlfn.xlookup($C3079,daily_dates,big_daily_table))),NA(),_xlfn.xlookup(E$3,daily_items,_xlfn.xlookup($C3079,daily_dates,big_daily_table)))</f>
        <v>#NAME?</v>
      </c>
    </row>
    <row r="3080" customFormat="false" ht="14.25" hidden="false" customHeight="false" outlineLevel="0" collapsed="false">
      <c r="B3080" s="7" t="n">
        <v>43985</v>
      </c>
      <c r="C3080" s="7" t="n">
        <f aca="false">B3080-WEEKDAY(B3080)+1</f>
        <v>43982</v>
      </c>
      <c r="D3080" s="1" t="e">
        <f aca="false" t="array" ref="D3080:D3080">IF(ISBLANK(_xlfn.xlookup(D$3,daily_items,_xlfn.xlookup($C3080,daily_dates,big_daily_table))),NA(),_xlfn.xlookup(D$3,daily_items,_xlfn.xlookup($C3080,daily_dates,big_daily_table)))</f>
        <v>#NAME?</v>
      </c>
      <c r="E3080" s="1" t="e">
        <f aca="false" t="array" ref="E3080:E3080">IF(ISBLANK(_xlfn.xlookup(E$3,daily_items,_xlfn.xlookup($C3080,daily_dates,big_daily_table))),NA(),_xlfn.xlookup(E$3,daily_items,_xlfn.xlookup($C3080,daily_dates,big_daily_table)))</f>
        <v>#NAME?</v>
      </c>
    </row>
    <row r="3081" customFormat="false" ht="14.25" hidden="false" customHeight="false" outlineLevel="0" collapsed="false">
      <c r="B3081" s="7" t="n">
        <v>43986</v>
      </c>
      <c r="C3081" s="7" t="n">
        <f aca="false">B3081-WEEKDAY(B3081)+1</f>
        <v>43982</v>
      </c>
      <c r="D3081" s="1" t="e">
        <f aca="false" t="array" ref="D3081:D3081">IF(ISBLANK(_xlfn.xlookup(D$3,daily_items,_xlfn.xlookup($C3081,daily_dates,big_daily_table))),NA(),_xlfn.xlookup(D$3,daily_items,_xlfn.xlookup($C3081,daily_dates,big_daily_table)))</f>
        <v>#NAME?</v>
      </c>
      <c r="E3081" s="1" t="e">
        <f aca="false" t="array" ref="E3081:E3081">IF(ISBLANK(_xlfn.xlookup(E$3,daily_items,_xlfn.xlookup($C3081,daily_dates,big_daily_table))),NA(),_xlfn.xlookup(E$3,daily_items,_xlfn.xlookup($C3081,daily_dates,big_daily_table)))</f>
        <v>#NAME?</v>
      </c>
    </row>
    <row r="3082" customFormat="false" ht="14.25" hidden="false" customHeight="false" outlineLevel="0" collapsed="false">
      <c r="B3082" s="7" t="n">
        <v>43987</v>
      </c>
      <c r="C3082" s="7" t="n">
        <f aca="false">B3082-WEEKDAY(B3082)+1</f>
        <v>43982</v>
      </c>
      <c r="D3082" s="1" t="e">
        <f aca="false" t="array" ref="D3082:D3082">IF(ISBLANK(_xlfn.xlookup(D$3,daily_items,_xlfn.xlookup($C3082,daily_dates,big_daily_table))),NA(),_xlfn.xlookup(D$3,daily_items,_xlfn.xlookup($C3082,daily_dates,big_daily_table)))</f>
        <v>#NAME?</v>
      </c>
      <c r="E3082" s="1" t="e">
        <f aca="false" t="array" ref="E3082:E3082">IF(ISBLANK(_xlfn.xlookup(E$3,daily_items,_xlfn.xlookup($C3082,daily_dates,big_daily_table))),NA(),_xlfn.xlookup(E$3,daily_items,_xlfn.xlookup($C3082,daily_dates,big_daily_table)))</f>
        <v>#NAME?</v>
      </c>
    </row>
    <row r="3083" customFormat="false" ht="14.25" hidden="false" customHeight="false" outlineLevel="0" collapsed="false">
      <c r="B3083" s="7" t="n">
        <v>43988</v>
      </c>
      <c r="C3083" s="7" t="n">
        <f aca="false">B3083-WEEKDAY(B3083)+1</f>
        <v>43982</v>
      </c>
      <c r="D3083" s="1" t="e">
        <f aca="false" t="array" ref="D3083:D3083">IF(ISBLANK(_xlfn.xlookup(D$3,daily_items,_xlfn.xlookup($C3083,daily_dates,big_daily_table))),NA(),_xlfn.xlookup(D$3,daily_items,_xlfn.xlookup($C3083,daily_dates,big_daily_table)))</f>
        <v>#NAME?</v>
      </c>
      <c r="E3083" s="1" t="e">
        <f aca="false" t="array" ref="E3083:E3083">IF(ISBLANK(_xlfn.xlookup(E$3,daily_items,_xlfn.xlookup($C3083,daily_dates,big_daily_table))),NA(),_xlfn.xlookup(E$3,daily_items,_xlfn.xlookup($C3083,daily_dates,big_daily_table)))</f>
        <v>#NAME?</v>
      </c>
    </row>
    <row r="3084" customFormat="false" ht="14.25" hidden="false" customHeight="false" outlineLevel="0" collapsed="false">
      <c r="B3084" s="7" t="n">
        <v>43989</v>
      </c>
      <c r="C3084" s="7" t="n">
        <f aca="false">B3084-WEEKDAY(B3084)+1</f>
        <v>43989</v>
      </c>
      <c r="D3084" s="1" t="e">
        <f aca="false" t="array" ref="D3084:D3084">IF(ISBLANK(_xlfn.xlookup(D$3,daily_items,_xlfn.xlookup($C3084,daily_dates,big_daily_table))),NA(),_xlfn.xlookup(D$3,daily_items,_xlfn.xlookup($C3084,daily_dates,big_daily_table)))</f>
        <v>#NAME?</v>
      </c>
      <c r="E3084" s="1" t="e">
        <f aca="false" t="array" ref="E3084:E3084">IF(ISBLANK(_xlfn.xlookup(E$3,daily_items,_xlfn.xlookup($C3084,daily_dates,big_daily_table))),NA(),_xlfn.xlookup(E$3,daily_items,_xlfn.xlookup($C3084,daily_dates,big_daily_table)))</f>
        <v>#NAME?</v>
      </c>
    </row>
    <row r="3085" customFormat="false" ht="14.25" hidden="false" customHeight="false" outlineLevel="0" collapsed="false">
      <c r="B3085" s="7" t="n">
        <v>43990</v>
      </c>
      <c r="C3085" s="7" t="n">
        <f aca="false">B3085-WEEKDAY(B3085)+1</f>
        <v>43989</v>
      </c>
      <c r="D3085" s="1" t="e">
        <f aca="false" t="array" ref="D3085:D3085">IF(ISBLANK(_xlfn.xlookup(D$3,daily_items,_xlfn.xlookup($C3085,daily_dates,big_daily_table))),NA(),_xlfn.xlookup(D$3,daily_items,_xlfn.xlookup($C3085,daily_dates,big_daily_table)))</f>
        <v>#NAME?</v>
      </c>
      <c r="E3085" s="1" t="e">
        <f aca="false" t="array" ref="E3085:E3085">IF(ISBLANK(_xlfn.xlookup(E$3,daily_items,_xlfn.xlookup($C3085,daily_dates,big_daily_table))),NA(),_xlfn.xlookup(E$3,daily_items,_xlfn.xlookup($C3085,daily_dates,big_daily_table)))</f>
        <v>#NAME?</v>
      </c>
    </row>
    <row r="3086" customFormat="false" ht="14.25" hidden="false" customHeight="false" outlineLevel="0" collapsed="false">
      <c r="B3086" s="7" t="n">
        <v>43991</v>
      </c>
      <c r="C3086" s="7" t="n">
        <f aca="false">B3086-WEEKDAY(B3086)+1</f>
        <v>43989</v>
      </c>
      <c r="D3086" s="1" t="e">
        <f aca="false" t="array" ref="D3086:D3086">IF(ISBLANK(_xlfn.xlookup(D$3,daily_items,_xlfn.xlookup($C3086,daily_dates,big_daily_table))),NA(),_xlfn.xlookup(D$3,daily_items,_xlfn.xlookup($C3086,daily_dates,big_daily_table)))</f>
        <v>#NAME?</v>
      </c>
      <c r="E3086" s="1" t="e">
        <f aca="false" t="array" ref="E3086:E3086">IF(ISBLANK(_xlfn.xlookup(E$3,daily_items,_xlfn.xlookup($C3086,daily_dates,big_daily_table))),NA(),_xlfn.xlookup(E$3,daily_items,_xlfn.xlookup($C3086,daily_dates,big_daily_table)))</f>
        <v>#NAME?</v>
      </c>
    </row>
    <row r="3087" customFormat="false" ht="14.25" hidden="false" customHeight="false" outlineLevel="0" collapsed="false">
      <c r="B3087" s="7" t="n">
        <v>43992</v>
      </c>
      <c r="C3087" s="7" t="n">
        <f aca="false">B3087-WEEKDAY(B3087)+1</f>
        <v>43989</v>
      </c>
      <c r="D3087" s="1" t="e">
        <f aca="false" t="array" ref="D3087:D3087">IF(ISBLANK(_xlfn.xlookup(D$3,daily_items,_xlfn.xlookup($C3087,daily_dates,big_daily_table))),NA(),_xlfn.xlookup(D$3,daily_items,_xlfn.xlookup($C3087,daily_dates,big_daily_table)))</f>
        <v>#NAME?</v>
      </c>
      <c r="E3087" s="1" t="e">
        <f aca="false" t="array" ref="E3087:E3087">IF(ISBLANK(_xlfn.xlookup(E$3,daily_items,_xlfn.xlookup($C3087,daily_dates,big_daily_table))),NA(),_xlfn.xlookup(E$3,daily_items,_xlfn.xlookup($C3087,daily_dates,big_daily_table)))</f>
        <v>#NAME?</v>
      </c>
    </row>
    <row r="3088" customFormat="false" ht="14.25" hidden="false" customHeight="false" outlineLevel="0" collapsed="false">
      <c r="B3088" s="7" t="n">
        <v>43993</v>
      </c>
      <c r="C3088" s="7" t="n">
        <f aca="false">B3088-WEEKDAY(B3088)+1</f>
        <v>43989</v>
      </c>
      <c r="D3088" s="1" t="e">
        <f aca="false" t="array" ref="D3088:D3088">IF(ISBLANK(_xlfn.xlookup(D$3,daily_items,_xlfn.xlookup($C3088,daily_dates,big_daily_table))),NA(),_xlfn.xlookup(D$3,daily_items,_xlfn.xlookup($C3088,daily_dates,big_daily_table)))</f>
        <v>#NAME?</v>
      </c>
      <c r="E3088" s="1" t="e">
        <f aca="false" t="array" ref="E3088:E3088">IF(ISBLANK(_xlfn.xlookup(E$3,daily_items,_xlfn.xlookup($C3088,daily_dates,big_daily_table))),NA(),_xlfn.xlookup(E$3,daily_items,_xlfn.xlookup($C3088,daily_dates,big_daily_table)))</f>
        <v>#NAME?</v>
      </c>
    </row>
    <row r="3089" customFormat="false" ht="14.25" hidden="false" customHeight="false" outlineLevel="0" collapsed="false">
      <c r="B3089" s="7" t="n">
        <v>43994</v>
      </c>
      <c r="C3089" s="7" t="n">
        <f aca="false">B3089-WEEKDAY(B3089)+1</f>
        <v>43989</v>
      </c>
      <c r="D3089" s="1" t="e">
        <f aca="false" t="array" ref="D3089:D3089">IF(ISBLANK(_xlfn.xlookup(D$3,daily_items,_xlfn.xlookup($C3089,daily_dates,big_daily_table))),NA(),_xlfn.xlookup(D$3,daily_items,_xlfn.xlookup($C3089,daily_dates,big_daily_table)))</f>
        <v>#NAME?</v>
      </c>
      <c r="E3089" s="1" t="e">
        <f aca="false" t="array" ref="E3089:E3089">IF(ISBLANK(_xlfn.xlookup(E$3,daily_items,_xlfn.xlookup($C3089,daily_dates,big_daily_table))),NA(),_xlfn.xlookup(E$3,daily_items,_xlfn.xlookup($C3089,daily_dates,big_daily_table)))</f>
        <v>#NAME?</v>
      </c>
    </row>
    <row r="3090" customFormat="false" ht="14.25" hidden="false" customHeight="false" outlineLevel="0" collapsed="false">
      <c r="B3090" s="7" t="n">
        <v>43995</v>
      </c>
      <c r="C3090" s="7" t="n">
        <f aca="false">B3090-WEEKDAY(B3090)+1</f>
        <v>43989</v>
      </c>
      <c r="D3090" s="1" t="e">
        <f aca="false" t="array" ref="D3090:D3090">IF(ISBLANK(_xlfn.xlookup(D$3,daily_items,_xlfn.xlookup($C3090,daily_dates,big_daily_table))),NA(),_xlfn.xlookup(D$3,daily_items,_xlfn.xlookup($C3090,daily_dates,big_daily_table)))</f>
        <v>#NAME?</v>
      </c>
      <c r="E3090" s="1" t="e">
        <f aca="false" t="array" ref="E3090:E3090">IF(ISBLANK(_xlfn.xlookup(E$3,daily_items,_xlfn.xlookup($C3090,daily_dates,big_daily_table))),NA(),_xlfn.xlookup(E$3,daily_items,_xlfn.xlookup($C3090,daily_dates,big_daily_table)))</f>
        <v>#NAME?</v>
      </c>
    </row>
    <row r="3091" customFormat="false" ht="14.25" hidden="false" customHeight="false" outlineLevel="0" collapsed="false">
      <c r="B3091" s="7" t="n">
        <v>43996</v>
      </c>
      <c r="C3091" s="7" t="n">
        <f aca="false">B3091-WEEKDAY(B3091)+1</f>
        <v>43996</v>
      </c>
      <c r="D3091" s="1" t="e">
        <f aca="false" t="array" ref="D3091:D3091">IF(ISBLANK(_xlfn.xlookup(D$3,daily_items,_xlfn.xlookup($C3091,daily_dates,big_daily_table))),NA(),_xlfn.xlookup(D$3,daily_items,_xlfn.xlookup($C3091,daily_dates,big_daily_table)))</f>
        <v>#NAME?</v>
      </c>
      <c r="E3091" s="1" t="e">
        <f aca="false" t="array" ref="E3091:E3091">IF(ISBLANK(_xlfn.xlookup(E$3,daily_items,_xlfn.xlookup($C3091,daily_dates,big_daily_table))),NA(),_xlfn.xlookup(E$3,daily_items,_xlfn.xlookup($C3091,daily_dates,big_daily_table)))</f>
        <v>#NAME?</v>
      </c>
    </row>
    <row r="3092" customFormat="false" ht="14.25" hidden="false" customHeight="false" outlineLevel="0" collapsed="false">
      <c r="B3092" s="7" t="n">
        <v>43997</v>
      </c>
      <c r="C3092" s="7" t="n">
        <f aca="false">B3092-WEEKDAY(B3092)+1</f>
        <v>43996</v>
      </c>
      <c r="D3092" s="1" t="e">
        <f aca="false" t="array" ref="D3092:D3092">IF(ISBLANK(_xlfn.xlookup(D$3,daily_items,_xlfn.xlookup($C3092,daily_dates,big_daily_table))),NA(),_xlfn.xlookup(D$3,daily_items,_xlfn.xlookup($C3092,daily_dates,big_daily_table)))</f>
        <v>#NAME?</v>
      </c>
      <c r="E3092" s="1" t="e">
        <f aca="false" t="array" ref="E3092:E3092">IF(ISBLANK(_xlfn.xlookup(E$3,daily_items,_xlfn.xlookup($C3092,daily_dates,big_daily_table))),NA(),_xlfn.xlookup(E$3,daily_items,_xlfn.xlookup($C3092,daily_dates,big_daily_table)))</f>
        <v>#NAME?</v>
      </c>
    </row>
    <row r="3093" customFormat="false" ht="14.25" hidden="false" customHeight="false" outlineLevel="0" collapsed="false">
      <c r="B3093" s="7" t="n">
        <v>43998</v>
      </c>
      <c r="C3093" s="7" t="n">
        <f aca="false">B3093-WEEKDAY(B3093)+1</f>
        <v>43996</v>
      </c>
      <c r="D3093" s="1" t="e">
        <f aca="false" t="array" ref="D3093:D3093">IF(ISBLANK(_xlfn.xlookup(D$3,daily_items,_xlfn.xlookup($C3093,daily_dates,big_daily_table))),NA(),_xlfn.xlookup(D$3,daily_items,_xlfn.xlookup($C3093,daily_dates,big_daily_table)))</f>
        <v>#NAME?</v>
      </c>
      <c r="E3093" s="1" t="e">
        <f aca="false" t="array" ref="E3093:E3093">IF(ISBLANK(_xlfn.xlookup(E$3,daily_items,_xlfn.xlookup($C3093,daily_dates,big_daily_table))),NA(),_xlfn.xlookup(E$3,daily_items,_xlfn.xlookup($C3093,daily_dates,big_daily_table)))</f>
        <v>#NAME?</v>
      </c>
    </row>
    <row r="3094" customFormat="false" ht="14.25" hidden="false" customHeight="false" outlineLevel="0" collapsed="false">
      <c r="B3094" s="7" t="n">
        <v>43999</v>
      </c>
      <c r="C3094" s="7" t="n">
        <f aca="false">B3094-WEEKDAY(B3094)+1</f>
        <v>43996</v>
      </c>
      <c r="D3094" s="1" t="e">
        <f aca="false" t="array" ref="D3094:D3094">IF(ISBLANK(_xlfn.xlookup(D$3,daily_items,_xlfn.xlookup($C3094,daily_dates,big_daily_table))),NA(),_xlfn.xlookup(D$3,daily_items,_xlfn.xlookup($C3094,daily_dates,big_daily_table)))</f>
        <v>#NAME?</v>
      </c>
      <c r="E3094" s="1" t="e">
        <f aca="false" t="array" ref="E3094:E3094">IF(ISBLANK(_xlfn.xlookup(E$3,daily_items,_xlfn.xlookup($C3094,daily_dates,big_daily_table))),NA(),_xlfn.xlookup(E$3,daily_items,_xlfn.xlookup($C3094,daily_dates,big_daily_table)))</f>
        <v>#NAME?</v>
      </c>
    </row>
    <row r="3095" customFormat="false" ht="14.25" hidden="false" customHeight="false" outlineLevel="0" collapsed="false">
      <c r="B3095" s="7" t="n">
        <v>44000</v>
      </c>
      <c r="C3095" s="7" t="n">
        <f aca="false">B3095-WEEKDAY(B3095)+1</f>
        <v>43996</v>
      </c>
      <c r="D3095" s="1" t="e">
        <f aca="false" t="array" ref="D3095:D3095">IF(ISBLANK(_xlfn.xlookup(D$3,daily_items,_xlfn.xlookup($C3095,daily_dates,big_daily_table))),NA(),_xlfn.xlookup(D$3,daily_items,_xlfn.xlookup($C3095,daily_dates,big_daily_table)))</f>
        <v>#NAME?</v>
      </c>
      <c r="E3095" s="1" t="e">
        <f aca="false" t="array" ref="E3095:E3095">IF(ISBLANK(_xlfn.xlookup(E$3,daily_items,_xlfn.xlookup($C3095,daily_dates,big_daily_table))),NA(),_xlfn.xlookup(E$3,daily_items,_xlfn.xlookup($C3095,daily_dates,big_daily_table)))</f>
        <v>#NAME?</v>
      </c>
    </row>
    <row r="3096" customFormat="false" ht="14.25" hidden="false" customHeight="false" outlineLevel="0" collapsed="false">
      <c r="B3096" s="7" t="n">
        <v>44001</v>
      </c>
      <c r="C3096" s="7" t="n">
        <f aca="false">B3096-WEEKDAY(B3096)+1</f>
        <v>43996</v>
      </c>
      <c r="D3096" s="1" t="e">
        <f aca="false" t="array" ref="D3096:D3096">IF(ISBLANK(_xlfn.xlookup(D$3,daily_items,_xlfn.xlookup($C3096,daily_dates,big_daily_table))),NA(),_xlfn.xlookup(D$3,daily_items,_xlfn.xlookup($C3096,daily_dates,big_daily_table)))</f>
        <v>#NAME?</v>
      </c>
      <c r="E3096" s="1" t="e">
        <f aca="false" t="array" ref="E3096:E3096">IF(ISBLANK(_xlfn.xlookup(E$3,daily_items,_xlfn.xlookup($C3096,daily_dates,big_daily_table))),NA(),_xlfn.xlookup(E$3,daily_items,_xlfn.xlookup($C3096,daily_dates,big_daily_table)))</f>
        <v>#NAME?</v>
      </c>
    </row>
    <row r="3097" customFormat="false" ht="14.25" hidden="false" customHeight="false" outlineLevel="0" collapsed="false">
      <c r="B3097" s="7" t="n">
        <v>44002</v>
      </c>
      <c r="C3097" s="7" t="n">
        <f aca="false">B3097-WEEKDAY(B3097)+1</f>
        <v>43996</v>
      </c>
      <c r="D3097" s="1" t="e">
        <f aca="false" t="array" ref="D3097:D3097">IF(ISBLANK(_xlfn.xlookup(D$3,daily_items,_xlfn.xlookup($C3097,daily_dates,big_daily_table))),NA(),_xlfn.xlookup(D$3,daily_items,_xlfn.xlookup($C3097,daily_dates,big_daily_table)))</f>
        <v>#NAME?</v>
      </c>
      <c r="E3097" s="1" t="e">
        <f aca="false" t="array" ref="E3097:E3097">IF(ISBLANK(_xlfn.xlookup(E$3,daily_items,_xlfn.xlookup($C3097,daily_dates,big_daily_table))),NA(),_xlfn.xlookup(E$3,daily_items,_xlfn.xlookup($C3097,daily_dates,big_daily_table)))</f>
        <v>#NAME?</v>
      </c>
    </row>
    <row r="3098" customFormat="false" ht="14.25" hidden="false" customHeight="false" outlineLevel="0" collapsed="false">
      <c r="B3098" s="7" t="n">
        <v>44003</v>
      </c>
      <c r="C3098" s="7" t="n">
        <f aca="false">B3098-WEEKDAY(B3098)+1</f>
        <v>44003</v>
      </c>
      <c r="D3098" s="1" t="e">
        <f aca="false" t="array" ref="D3098:D3098">IF(ISBLANK(_xlfn.xlookup(D$3,daily_items,_xlfn.xlookup($C3098,daily_dates,big_daily_table))),NA(),_xlfn.xlookup(D$3,daily_items,_xlfn.xlookup($C3098,daily_dates,big_daily_table)))</f>
        <v>#NAME?</v>
      </c>
      <c r="E3098" s="1" t="e">
        <f aca="false" t="array" ref="E3098:E3098">IF(ISBLANK(_xlfn.xlookup(E$3,daily_items,_xlfn.xlookup($C3098,daily_dates,big_daily_table))),NA(),_xlfn.xlookup(E$3,daily_items,_xlfn.xlookup($C3098,daily_dates,big_daily_table)))</f>
        <v>#NAME?</v>
      </c>
    </row>
    <row r="3099" customFormat="false" ht="14.25" hidden="false" customHeight="false" outlineLevel="0" collapsed="false">
      <c r="B3099" s="7" t="n">
        <v>44004</v>
      </c>
      <c r="C3099" s="7" t="n">
        <f aca="false">B3099-WEEKDAY(B3099)+1</f>
        <v>44003</v>
      </c>
      <c r="D3099" s="1" t="e">
        <f aca="false" t="array" ref="D3099:D3099">IF(ISBLANK(_xlfn.xlookup(D$3,daily_items,_xlfn.xlookup($C3099,daily_dates,big_daily_table))),NA(),_xlfn.xlookup(D$3,daily_items,_xlfn.xlookup($C3099,daily_dates,big_daily_table)))</f>
        <v>#NAME?</v>
      </c>
      <c r="E3099" s="1" t="e">
        <f aca="false" t="array" ref="E3099:E3099">IF(ISBLANK(_xlfn.xlookup(E$3,daily_items,_xlfn.xlookup($C3099,daily_dates,big_daily_table))),NA(),_xlfn.xlookup(E$3,daily_items,_xlfn.xlookup($C3099,daily_dates,big_daily_table)))</f>
        <v>#NAME?</v>
      </c>
    </row>
    <row r="3100" customFormat="false" ht="14.25" hidden="false" customHeight="false" outlineLevel="0" collapsed="false">
      <c r="B3100" s="7" t="n">
        <v>44005</v>
      </c>
      <c r="C3100" s="7" t="n">
        <f aca="false">B3100-WEEKDAY(B3100)+1</f>
        <v>44003</v>
      </c>
      <c r="D3100" s="1" t="e">
        <f aca="false" t="array" ref="D3100:D3100">IF(ISBLANK(_xlfn.xlookup(D$3,daily_items,_xlfn.xlookup($C3100,daily_dates,big_daily_table))),NA(),_xlfn.xlookup(D$3,daily_items,_xlfn.xlookup($C3100,daily_dates,big_daily_table)))</f>
        <v>#NAME?</v>
      </c>
      <c r="E3100" s="1" t="e">
        <f aca="false" t="array" ref="E3100:E3100">IF(ISBLANK(_xlfn.xlookup(E$3,daily_items,_xlfn.xlookup($C3100,daily_dates,big_daily_table))),NA(),_xlfn.xlookup(E$3,daily_items,_xlfn.xlookup($C3100,daily_dates,big_daily_table)))</f>
        <v>#NAME?</v>
      </c>
    </row>
    <row r="3101" customFormat="false" ht="14.25" hidden="false" customHeight="false" outlineLevel="0" collapsed="false">
      <c r="B3101" s="7" t="n">
        <v>44006</v>
      </c>
      <c r="C3101" s="7" t="n">
        <f aca="false">B3101-WEEKDAY(B3101)+1</f>
        <v>44003</v>
      </c>
      <c r="D3101" s="1" t="e">
        <f aca="false" t="array" ref="D3101:D3101">IF(ISBLANK(_xlfn.xlookup(D$3,daily_items,_xlfn.xlookup($C3101,daily_dates,big_daily_table))),NA(),_xlfn.xlookup(D$3,daily_items,_xlfn.xlookup($C3101,daily_dates,big_daily_table)))</f>
        <v>#NAME?</v>
      </c>
      <c r="E3101" s="1" t="e">
        <f aca="false" t="array" ref="E3101:E3101">IF(ISBLANK(_xlfn.xlookup(E$3,daily_items,_xlfn.xlookup($C3101,daily_dates,big_daily_table))),NA(),_xlfn.xlookup(E$3,daily_items,_xlfn.xlookup($C3101,daily_dates,big_daily_table)))</f>
        <v>#NAME?</v>
      </c>
    </row>
    <row r="3102" customFormat="false" ht="14.25" hidden="false" customHeight="false" outlineLevel="0" collapsed="false">
      <c r="B3102" s="7" t="n">
        <v>44007</v>
      </c>
      <c r="C3102" s="7" t="n">
        <f aca="false">B3102-WEEKDAY(B3102)+1</f>
        <v>44003</v>
      </c>
      <c r="D3102" s="1" t="e">
        <f aca="false" t="array" ref="D3102:D3102">IF(ISBLANK(_xlfn.xlookup(D$3,daily_items,_xlfn.xlookup($C3102,daily_dates,big_daily_table))),NA(),_xlfn.xlookup(D$3,daily_items,_xlfn.xlookup($C3102,daily_dates,big_daily_table)))</f>
        <v>#NAME?</v>
      </c>
      <c r="E3102" s="1" t="e">
        <f aca="false" t="array" ref="E3102:E3102">IF(ISBLANK(_xlfn.xlookup(E$3,daily_items,_xlfn.xlookup($C3102,daily_dates,big_daily_table))),NA(),_xlfn.xlookup(E$3,daily_items,_xlfn.xlookup($C3102,daily_dates,big_daily_table)))</f>
        <v>#NAME?</v>
      </c>
    </row>
    <row r="3103" customFormat="false" ht="14.25" hidden="false" customHeight="false" outlineLevel="0" collapsed="false">
      <c r="B3103" s="7" t="n">
        <v>44008</v>
      </c>
      <c r="C3103" s="7" t="n">
        <f aca="false">B3103-WEEKDAY(B3103)+1</f>
        <v>44003</v>
      </c>
      <c r="D3103" s="1" t="e">
        <f aca="false" t="array" ref="D3103:D3103">IF(ISBLANK(_xlfn.xlookup(D$3,daily_items,_xlfn.xlookup($C3103,daily_dates,big_daily_table))),NA(),_xlfn.xlookup(D$3,daily_items,_xlfn.xlookup($C3103,daily_dates,big_daily_table)))</f>
        <v>#NAME?</v>
      </c>
      <c r="E3103" s="1" t="e">
        <f aca="false" t="array" ref="E3103:E3103">IF(ISBLANK(_xlfn.xlookup(E$3,daily_items,_xlfn.xlookup($C3103,daily_dates,big_daily_table))),NA(),_xlfn.xlookup(E$3,daily_items,_xlfn.xlookup($C3103,daily_dates,big_daily_table)))</f>
        <v>#NAME?</v>
      </c>
    </row>
    <row r="3104" customFormat="false" ht="14.25" hidden="false" customHeight="false" outlineLevel="0" collapsed="false">
      <c r="B3104" s="7" t="n">
        <v>44009</v>
      </c>
      <c r="C3104" s="7" t="n">
        <f aca="false">B3104-WEEKDAY(B3104)+1</f>
        <v>44003</v>
      </c>
      <c r="D3104" s="1" t="e">
        <f aca="false" t="array" ref="D3104:D3104">IF(ISBLANK(_xlfn.xlookup(D$3,daily_items,_xlfn.xlookup($C3104,daily_dates,big_daily_table))),NA(),_xlfn.xlookup(D$3,daily_items,_xlfn.xlookup($C3104,daily_dates,big_daily_table)))</f>
        <v>#NAME?</v>
      </c>
      <c r="E3104" s="1" t="e">
        <f aca="false" t="array" ref="E3104:E3104">IF(ISBLANK(_xlfn.xlookup(E$3,daily_items,_xlfn.xlookup($C3104,daily_dates,big_daily_table))),NA(),_xlfn.xlookup(E$3,daily_items,_xlfn.xlookup($C3104,daily_dates,big_daily_table)))</f>
        <v>#NAME?</v>
      </c>
    </row>
    <row r="3105" customFormat="false" ht="14.25" hidden="false" customHeight="false" outlineLevel="0" collapsed="false">
      <c r="B3105" s="7" t="n">
        <v>44010</v>
      </c>
      <c r="C3105" s="7" t="n">
        <f aca="false">B3105-WEEKDAY(B3105)+1</f>
        <v>44010</v>
      </c>
      <c r="D3105" s="1" t="e">
        <f aca="false" t="array" ref="D3105:D3105">IF(ISBLANK(_xlfn.xlookup(D$3,daily_items,_xlfn.xlookup($C3105,daily_dates,big_daily_table))),NA(),_xlfn.xlookup(D$3,daily_items,_xlfn.xlookup($C3105,daily_dates,big_daily_table)))</f>
        <v>#NAME?</v>
      </c>
      <c r="E3105" s="1" t="e">
        <f aca="false" t="array" ref="E3105:E3105">IF(ISBLANK(_xlfn.xlookup(E$3,daily_items,_xlfn.xlookup($C3105,daily_dates,big_daily_table))),NA(),_xlfn.xlookup(E$3,daily_items,_xlfn.xlookup($C3105,daily_dates,big_daily_table)))</f>
        <v>#NAME?</v>
      </c>
    </row>
    <row r="3106" customFormat="false" ht="14.25" hidden="false" customHeight="false" outlineLevel="0" collapsed="false">
      <c r="B3106" s="7" t="n">
        <v>44011</v>
      </c>
      <c r="C3106" s="7" t="n">
        <f aca="false">B3106-WEEKDAY(B3106)+1</f>
        <v>44010</v>
      </c>
      <c r="D3106" s="1" t="e">
        <f aca="false" t="array" ref="D3106:D3106">IF(ISBLANK(_xlfn.xlookup(D$3,daily_items,_xlfn.xlookup($C3106,daily_dates,big_daily_table))),NA(),_xlfn.xlookup(D$3,daily_items,_xlfn.xlookup($C3106,daily_dates,big_daily_table)))</f>
        <v>#NAME?</v>
      </c>
      <c r="E3106" s="1" t="e">
        <f aca="false" t="array" ref="E3106:E3106">IF(ISBLANK(_xlfn.xlookup(E$3,daily_items,_xlfn.xlookup($C3106,daily_dates,big_daily_table))),NA(),_xlfn.xlookup(E$3,daily_items,_xlfn.xlookup($C3106,daily_dates,big_daily_table)))</f>
        <v>#NAME?</v>
      </c>
    </row>
    <row r="3107" customFormat="false" ht="14.25" hidden="false" customHeight="false" outlineLevel="0" collapsed="false">
      <c r="B3107" s="7" t="n">
        <v>44012</v>
      </c>
      <c r="C3107" s="7" t="n">
        <f aca="false">B3107-WEEKDAY(B3107)+1</f>
        <v>44010</v>
      </c>
      <c r="D3107" s="1" t="e">
        <f aca="false" t="array" ref="D3107:D3107">IF(ISBLANK(_xlfn.xlookup(D$3,daily_items,_xlfn.xlookup($C3107,daily_dates,big_daily_table))),NA(),_xlfn.xlookup(D$3,daily_items,_xlfn.xlookup($C3107,daily_dates,big_daily_table)))</f>
        <v>#NAME?</v>
      </c>
      <c r="E3107" s="1" t="e">
        <f aca="false" t="array" ref="E3107:E3107">IF(ISBLANK(_xlfn.xlookup(E$3,daily_items,_xlfn.xlookup($C3107,daily_dates,big_daily_table))),NA(),_xlfn.xlookup(E$3,daily_items,_xlfn.xlookup($C3107,daily_dates,big_daily_table)))</f>
        <v>#NAME?</v>
      </c>
    </row>
    <row r="3108" customFormat="false" ht="14.25" hidden="false" customHeight="false" outlineLevel="0" collapsed="false">
      <c r="B3108" s="7" t="n">
        <v>44013</v>
      </c>
      <c r="C3108" s="7" t="n">
        <f aca="false">B3108-WEEKDAY(B3108)+1</f>
        <v>44010</v>
      </c>
      <c r="D3108" s="1" t="e">
        <f aca="false" t="array" ref="D3108:D3108">IF(ISBLANK(_xlfn.xlookup(D$3,daily_items,_xlfn.xlookup($C3108,daily_dates,big_daily_table))),NA(),_xlfn.xlookup(D$3,daily_items,_xlfn.xlookup($C3108,daily_dates,big_daily_table)))</f>
        <v>#NAME?</v>
      </c>
      <c r="E3108" s="1" t="e">
        <f aca="false" t="array" ref="E3108:E3108">IF(ISBLANK(_xlfn.xlookup(E$3,daily_items,_xlfn.xlookup($C3108,daily_dates,big_daily_table))),NA(),_xlfn.xlookup(E$3,daily_items,_xlfn.xlookup($C3108,daily_dates,big_daily_table)))</f>
        <v>#NAME?</v>
      </c>
    </row>
    <row r="3109" customFormat="false" ht="14.25" hidden="false" customHeight="false" outlineLevel="0" collapsed="false">
      <c r="B3109" s="7" t="n">
        <v>44014</v>
      </c>
      <c r="C3109" s="7" t="n">
        <f aca="false">B3109-WEEKDAY(B3109)+1</f>
        <v>44010</v>
      </c>
      <c r="D3109" s="1" t="e">
        <f aca="false" t="array" ref="D3109:D3109">IF(ISBLANK(_xlfn.xlookup(D$3,daily_items,_xlfn.xlookup($C3109,daily_dates,big_daily_table))),NA(),_xlfn.xlookup(D$3,daily_items,_xlfn.xlookup($C3109,daily_dates,big_daily_table)))</f>
        <v>#NAME?</v>
      </c>
      <c r="E3109" s="1" t="e">
        <f aca="false" t="array" ref="E3109:E3109">IF(ISBLANK(_xlfn.xlookup(E$3,daily_items,_xlfn.xlookup($C3109,daily_dates,big_daily_table))),NA(),_xlfn.xlookup(E$3,daily_items,_xlfn.xlookup($C3109,daily_dates,big_daily_table)))</f>
        <v>#NAME?</v>
      </c>
    </row>
    <row r="3110" customFormat="false" ht="14.25" hidden="false" customHeight="false" outlineLevel="0" collapsed="false">
      <c r="B3110" s="7" t="n">
        <v>44015</v>
      </c>
      <c r="C3110" s="7" t="n">
        <f aca="false">B3110-WEEKDAY(B3110)+1</f>
        <v>44010</v>
      </c>
      <c r="D3110" s="1" t="e">
        <f aca="false" t="array" ref="D3110:D3110">IF(ISBLANK(_xlfn.xlookup(D$3,daily_items,_xlfn.xlookup($C3110,daily_dates,big_daily_table))),NA(),_xlfn.xlookup(D$3,daily_items,_xlfn.xlookup($C3110,daily_dates,big_daily_table)))</f>
        <v>#NAME?</v>
      </c>
      <c r="E3110" s="1" t="e">
        <f aca="false" t="array" ref="E3110:E3110">IF(ISBLANK(_xlfn.xlookup(E$3,daily_items,_xlfn.xlookup($C3110,daily_dates,big_daily_table))),NA(),_xlfn.xlookup(E$3,daily_items,_xlfn.xlookup($C3110,daily_dates,big_daily_table)))</f>
        <v>#NAME?</v>
      </c>
    </row>
    <row r="3111" customFormat="false" ht="14.25" hidden="false" customHeight="false" outlineLevel="0" collapsed="false">
      <c r="B3111" s="7" t="n">
        <v>44016</v>
      </c>
      <c r="C3111" s="7" t="n">
        <f aca="false">B3111-WEEKDAY(B3111)+1</f>
        <v>44010</v>
      </c>
      <c r="D3111" s="1" t="e">
        <f aca="false" t="array" ref="D3111:D3111">IF(ISBLANK(_xlfn.xlookup(D$3,daily_items,_xlfn.xlookup($C3111,daily_dates,big_daily_table))),NA(),_xlfn.xlookup(D$3,daily_items,_xlfn.xlookup($C3111,daily_dates,big_daily_table)))</f>
        <v>#NAME?</v>
      </c>
      <c r="E3111" s="1" t="e">
        <f aca="false" t="array" ref="E3111:E3111">IF(ISBLANK(_xlfn.xlookup(E$3,daily_items,_xlfn.xlookup($C3111,daily_dates,big_daily_table))),NA(),_xlfn.xlookup(E$3,daily_items,_xlfn.xlookup($C3111,daily_dates,big_daily_table)))</f>
        <v>#NAME?</v>
      </c>
    </row>
    <row r="3112" customFormat="false" ht="14.25" hidden="false" customHeight="false" outlineLevel="0" collapsed="false">
      <c r="B3112" s="7" t="n">
        <v>44017</v>
      </c>
      <c r="C3112" s="7" t="n">
        <f aca="false">B3112-WEEKDAY(B3112)+1</f>
        <v>44017</v>
      </c>
      <c r="D3112" s="1" t="e">
        <f aca="false" t="array" ref="D3112:D3112">IF(ISBLANK(_xlfn.xlookup(D$3,daily_items,_xlfn.xlookup($C3112,daily_dates,big_daily_table))),NA(),_xlfn.xlookup(D$3,daily_items,_xlfn.xlookup($C3112,daily_dates,big_daily_table)))</f>
        <v>#NAME?</v>
      </c>
      <c r="E3112" s="1" t="e">
        <f aca="false" t="array" ref="E3112:E3112">IF(ISBLANK(_xlfn.xlookup(E$3,daily_items,_xlfn.xlookup($C3112,daily_dates,big_daily_table))),NA(),_xlfn.xlookup(E$3,daily_items,_xlfn.xlookup($C3112,daily_dates,big_daily_table)))</f>
        <v>#NAME?</v>
      </c>
    </row>
    <row r="3113" customFormat="false" ht="14.25" hidden="false" customHeight="false" outlineLevel="0" collapsed="false">
      <c r="B3113" s="7" t="n">
        <v>44018</v>
      </c>
      <c r="C3113" s="7" t="n">
        <f aca="false">B3113-WEEKDAY(B3113)+1</f>
        <v>44017</v>
      </c>
      <c r="D3113" s="1" t="e">
        <f aca="false" t="array" ref="D3113:D3113">IF(ISBLANK(_xlfn.xlookup(D$3,daily_items,_xlfn.xlookup($C3113,daily_dates,big_daily_table))),NA(),_xlfn.xlookup(D$3,daily_items,_xlfn.xlookup($C3113,daily_dates,big_daily_table)))</f>
        <v>#NAME?</v>
      </c>
      <c r="E3113" s="1" t="e">
        <f aca="false" t="array" ref="E3113:E3113">IF(ISBLANK(_xlfn.xlookup(E$3,daily_items,_xlfn.xlookup($C3113,daily_dates,big_daily_table))),NA(),_xlfn.xlookup(E$3,daily_items,_xlfn.xlookup($C3113,daily_dates,big_daily_table)))</f>
        <v>#NAME?</v>
      </c>
    </row>
    <row r="3114" customFormat="false" ht="14.25" hidden="false" customHeight="false" outlineLevel="0" collapsed="false">
      <c r="B3114" s="7" t="n">
        <v>44019</v>
      </c>
      <c r="C3114" s="7" t="n">
        <f aca="false">B3114-WEEKDAY(B3114)+1</f>
        <v>44017</v>
      </c>
      <c r="D3114" s="1" t="e">
        <f aca="false" t="array" ref="D3114:D3114">IF(ISBLANK(_xlfn.xlookup(D$3,daily_items,_xlfn.xlookup($C3114,daily_dates,big_daily_table))),NA(),_xlfn.xlookup(D$3,daily_items,_xlfn.xlookup($C3114,daily_dates,big_daily_table)))</f>
        <v>#NAME?</v>
      </c>
      <c r="E3114" s="1" t="e">
        <f aca="false" t="array" ref="E3114:E3114">IF(ISBLANK(_xlfn.xlookup(E$3,daily_items,_xlfn.xlookup($C3114,daily_dates,big_daily_table))),NA(),_xlfn.xlookup(E$3,daily_items,_xlfn.xlookup($C3114,daily_dates,big_daily_table)))</f>
        <v>#NAME?</v>
      </c>
    </row>
    <row r="3115" customFormat="false" ht="14.25" hidden="false" customHeight="false" outlineLevel="0" collapsed="false">
      <c r="B3115" s="7" t="n">
        <v>44020</v>
      </c>
      <c r="C3115" s="7" t="n">
        <f aca="false">B3115-WEEKDAY(B3115)+1</f>
        <v>44017</v>
      </c>
      <c r="D3115" s="1" t="e">
        <f aca="false" t="array" ref="D3115:D3115">IF(ISBLANK(_xlfn.xlookup(D$3,daily_items,_xlfn.xlookup($C3115,daily_dates,big_daily_table))),NA(),_xlfn.xlookup(D$3,daily_items,_xlfn.xlookup($C3115,daily_dates,big_daily_table)))</f>
        <v>#NAME?</v>
      </c>
      <c r="E3115" s="1" t="e">
        <f aca="false" t="array" ref="E3115:E3115">IF(ISBLANK(_xlfn.xlookup(E$3,daily_items,_xlfn.xlookup($C3115,daily_dates,big_daily_table))),NA(),_xlfn.xlookup(E$3,daily_items,_xlfn.xlookup($C3115,daily_dates,big_daily_table)))</f>
        <v>#NAME?</v>
      </c>
    </row>
    <row r="3116" customFormat="false" ht="14.25" hidden="false" customHeight="false" outlineLevel="0" collapsed="false">
      <c r="B3116" s="7" t="n">
        <v>44021</v>
      </c>
      <c r="C3116" s="7" t="n">
        <f aca="false">B3116-WEEKDAY(B3116)+1</f>
        <v>44017</v>
      </c>
      <c r="D3116" s="1" t="e">
        <f aca="false" t="array" ref="D3116:D3116">IF(ISBLANK(_xlfn.xlookup(D$3,daily_items,_xlfn.xlookup($C3116,daily_dates,big_daily_table))),NA(),_xlfn.xlookup(D$3,daily_items,_xlfn.xlookup($C3116,daily_dates,big_daily_table)))</f>
        <v>#NAME?</v>
      </c>
      <c r="E3116" s="1" t="e">
        <f aca="false" t="array" ref="E3116:E3116">IF(ISBLANK(_xlfn.xlookup(E$3,daily_items,_xlfn.xlookup($C3116,daily_dates,big_daily_table))),NA(),_xlfn.xlookup(E$3,daily_items,_xlfn.xlookup($C3116,daily_dates,big_daily_table)))</f>
        <v>#NAME?</v>
      </c>
    </row>
    <row r="3117" customFormat="false" ht="14.25" hidden="false" customHeight="false" outlineLevel="0" collapsed="false">
      <c r="B3117" s="7" t="n">
        <v>44022</v>
      </c>
      <c r="C3117" s="7" t="n">
        <f aca="false">B3117-WEEKDAY(B3117)+1</f>
        <v>44017</v>
      </c>
      <c r="D3117" s="1" t="e">
        <f aca="false" t="array" ref="D3117:D3117">IF(ISBLANK(_xlfn.xlookup(D$3,daily_items,_xlfn.xlookup($C3117,daily_dates,big_daily_table))),NA(),_xlfn.xlookup(D$3,daily_items,_xlfn.xlookup($C3117,daily_dates,big_daily_table)))</f>
        <v>#NAME?</v>
      </c>
      <c r="E3117" s="1" t="e">
        <f aca="false" t="array" ref="E3117:E3117">IF(ISBLANK(_xlfn.xlookup(E$3,daily_items,_xlfn.xlookup($C3117,daily_dates,big_daily_table))),NA(),_xlfn.xlookup(E$3,daily_items,_xlfn.xlookup($C3117,daily_dates,big_daily_table)))</f>
        <v>#NAME?</v>
      </c>
    </row>
    <row r="3118" customFormat="false" ht="14.25" hidden="false" customHeight="false" outlineLevel="0" collapsed="false">
      <c r="B3118" s="7" t="n">
        <v>44023</v>
      </c>
      <c r="C3118" s="7" t="n">
        <f aca="false">B3118-WEEKDAY(B3118)+1</f>
        <v>44017</v>
      </c>
      <c r="D3118" s="1" t="e">
        <f aca="false" t="array" ref="D3118:D3118">IF(ISBLANK(_xlfn.xlookup(D$3,daily_items,_xlfn.xlookup($C3118,daily_dates,big_daily_table))),NA(),_xlfn.xlookup(D$3,daily_items,_xlfn.xlookup($C3118,daily_dates,big_daily_table)))</f>
        <v>#NAME?</v>
      </c>
      <c r="E3118" s="1" t="e">
        <f aca="false" t="array" ref="E3118:E3118">IF(ISBLANK(_xlfn.xlookup(E$3,daily_items,_xlfn.xlookup($C3118,daily_dates,big_daily_table))),NA(),_xlfn.xlookup(E$3,daily_items,_xlfn.xlookup($C3118,daily_dates,big_daily_table)))</f>
        <v>#NAME?</v>
      </c>
    </row>
    <row r="3119" customFormat="false" ht="14.25" hidden="false" customHeight="false" outlineLevel="0" collapsed="false">
      <c r="B3119" s="7" t="n">
        <v>44024</v>
      </c>
      <c r="C3119" s="7" t="n">
        <f aca="false">B3119-WEEKDAY(B3119)+1</f>
        <v>44024</v>
      </c>
      <c r="D3119" s="1" t="e">
        <f aca="false" t="array" ref="D3119:D3119">IF(ISBLANK(_xlfn.xlookup(D$3,daily_items,_xlfn.xlookup($C3119,daily_dates,big_daily_table))),NA(),_xlfn.xlookup(D$3,daily_items,_xlfn.xlookup($C3119,daily_dates,big_daily_table)))</f>
        <v>#NAME?</v>
      </c>
      <c r="E3119" s="1" t="e">
        <f aca="false" t="array" ref="E3119:E3119">IF(ISBLANK(_xlfn.xlookup(E$3,daily_items,_xlfn.xlookup($C3119,daily_dates,big_daily_table))),NA(),_xlfn.xlookup(E$3,daily_items,_xlfn.xlookup($C3119,daily_dates,big_daily_table)))</f>
        <v>#NAME?</v>
      </c>
    </row>
    <row r="3120" customFormat="false" ht="14.25" hidden="false" customHeight="false" outlineLevel="0" collapsed="false">
      <c r="B3120" s="7" t="n">
        <v>44025</v>
      </c>
      <c r="C3120" s="7" t="n">
        <f aca="false">B3120-WEEKDAY(B3120)+1</f>
        <v>44024</v>
      </c>
      <c r="D3120" s="1" t="e">
        <f aca="false" t="array" ref="D3120:D3120">IF(ISBLANK(_xlfn.xlookup(D$3,daily_items,_xlfn.xlookup($C3120,daily_dates,big_daily_table))),NA(),_xlfn.xlookup(D$3,daily_items,_xlfn.xlookup($C3120,daily_dates,big_daily_table)))</f>
        <v>#NAME?</v>
      </c>
      <c r="E3120" s="1" t="e">
        <f aca="false" t="array" ref="E3120:E3120">IF(ISBLANK(_xlfn.xlookup(E$3,daily_items,_xlfn.xlookup($C3120,daily_dates,big_daily_table))),NA(),_xlfn.xlookup(E$3,daily_items,_xlfn.xlookup($C3120,daily_dates,big_daily_table)))</f>
        <v>#NAME?</v>
      </c>
    </row>
    <row r="3121" customFormat="false" ht="14.25" hidden="false" customHeight="false" outlineLevel="0" collapsed="false">
      <c r="B3121" s="7" t="n">
        <v>44026</v>
      </c>
      <c r="C3121" s="7" t="n">
        <f aca="false">B3121-WEEKDAY(B3121)+1</f>
        <v>44024</v>
      </c>
      <c r="D3121" s="1" t="e">
        <f aca="false" t="array" ref="D3121:D3121">IF(ISBLANK(_xlfn.xlookup(D$3,daily_items,_xlfn.xlookup($C3121,daily_dates,big_daily_table))),NA(),_xlfn.xlookup(D$3,daily_items,_xlfn.xlookup($C3121,daily_dates,big_daily_table)))</f>
        <v>#NAME?</v>
      </c>
      <c r="E3121" s="1" t="e">
        <f aca="false" t="array" ref="E3121:E3121">IF(ISBLANK(_xlfn.xlookup(E$3,daily_items,_xlfn.xlookup($C3121,daily_dates,big_daily_table))),NA(),_xlfn.xlookup(E$3,daily_items,_xlfn.xlookup($C3121,daily_dates,big_daily_table)))</f>
        <v>#NAME?</v>
      </c>
    </row>
    <row r="3122" customFormat="false" ht="14.25" hidden="false" customHeight="false" outlineLevel="0" collapsed="false">
      <c r="B3122" s="7" t="n">
        <v>44027</v>
      </c>
      <c r="C3122" s="7" t="n">
        <f aca="false">B3122-WEEKDAY(B3122)+1</f>
        <v>44024</v>
      </c>
      <c r="D3122" s="1" t="e">
        <f aca="false" t="array" ref="D3122:D3122">IF(ISBLANK(_xlfn.xlookup(D$3,daily_items,_xlfn.xlookup($C3122,daily_dates,big_daily_table))),NA(),_xlfn.xlookup(D$3,daily_items,_xlfn.xlookup($C3122,daily_dates,big_daily_table)))</f>
        <v>#NAME?</v>
      </c>
      <c r="E3122" s="1" t="e">
        <f aca="false" t="array" ref="E3122:E3122">IF(ISBLANK(_xlfn.xlookup(E$3,daily_items,_xlfn.xlookup($C3122,daily_dates,big_daily_table))),NA(),_xlfn.xlookup(E$3,daily_items,_xlfn.xlookup($C3122,daily_dates,big_daily_table)))</f>
        <v>#NAME?</v>
      </c>
    </row>
    <row r="3123" customFormat="false" ht="14.25" hidden="false" customHeight="false" outlineLevel="0" collapsed="false">
      <c r="B3123" s="7" t="n">
        <v>44028</v>
      </c>
      <c r="C3123" s="7" t="n">
        <f aca="false">B3123-WEEKDAY(B3123)+1</f>
        <v>44024</v>
      </c>
      <c r="D3123" s="1" t="e">
        <f aca="false" t="array" ref="D3123:D3123">IF(ISBLANK(_xlfn.xlookup(D$3,daily_items,_xlfn.xlookup($C3123,daily_dates,big_daily_table))),NA(),_xlfn.xlookup(D$3,daily_items,_xlfn.xlookup($C3123,daily_dates,big_daily_table)))</f>
        <v>#NAME?</v>
      </c>
      <c r="E3123" s="1" t="e">
        <f aca="false" t="array" ref="E3123:E3123">IF(ISBLANK(_xlfn.xlookup(E$3,daily_items,_xlfn.xlookup($C3123,daily_dates,big_daily_table))),NA(),_xlfn.xlookup(E$3,daily_items,_xlfn.xlookup($C3123,daily_dates,big_daily_table)))</f>
        <v>#NAME?</v>
      </c>
    </row>
    <row r="3124" customFormat="false" ht="14.25" hidden="false" customHeight="false" outlineLevel="0" collapsed="false">
      <c r="B3124" s="7" t="n">
        <v>44029</v>
      </c>
      <c r="C3124" s="7" t="n">
        <f aca="false">B3124-WEEKDAY(B3124)+1</f>
        <v>44024</v>
      </c>
      <c r="D3124" s="1" t="e">
        <f aca="false" t="array" ref="D3124:D3124">IF(ISBLANK(_xlfn.xlookup(D$3,daily_items,_xlfn.xlookup($C3124,daily_dates,big_daily_table))),NA(),_xlfn.xlookup(D$3,daily_items,_xlfn.xlookup($C3124,daily_dates,big_daily_table)))</f>
        <v>#NAME?</v>
      </c>
      <c r="E3124" s="1" t="e">
        <f aca="false" t="array" ref="E3124:E3124">IF(ISBLANK(_xlfn.xlookup(E$3,daily_items,_xlfn.xlookup($C3124,daily_dates,big_daily_table))),NA(),_xlfn.xlookup(E$3,daily_items,_xlfn.xlookup($C3124,daily_dates,big_daily_table)))</f>
        <v>#NAME?</v>
      </c>
    </row>
    <row r="3125" customFormat="false" ht="14.25" hidden="false" customHeight="false" outlineLevel="0" collapsed="false">
      <c r="B3125" s="7" t="n">
        <v>44030</v>
      </c>
      <c r="C3125" s="7" t="n">
        <f aca="false">B3125-WEEKDAY(B3125)+1</f>
        <v>44024</v>
      </c>
      <c r="D3125" s="1" t="e">
        <f aca="false" t="array" ref="D3125:D3125">IF(ISBLANK(_xlfn.xlookup(D$3,daily_items,_xlfn.xlookup($C3125,daily_dates,big_daily_table))),NA(),_xlfn.xlookup(D$3,daily_items,_xlfn.xlookup($C3125,daily_dates,big_daily_table)))</f>
        <v>#NAME?</v>
      </c>
      <c r="E3125" s="1" t="e">
        <f aca="false" t="array" ref="E3125:E3125">IF(ISBLANK(_xlfn.xlookup(E$3,daily_items,_xlfn.xlookup($C3125,daily_dates,big_daily_table))),NA(),_xlfn.xlookup(E$3,daily_items,_xlfn.xlookup($C3125,daily_dates,big_daily_table)))</f>
        <v>#NAME?</v>
      </c>
    </row>
    <row r="3126" customFormat="false" ht="14.25" hidden="false" customHeight="false" outlineLevel="0" collapsed="false">
      <c r="B3126" s="7" t="n">
        <v>44031</v>
      </c>
      <c r="C3126" s="7" t="n">
        <f aca="false">B3126-WEEKDAY(B3126)+1</f>
        <v>44031</v>
      </c>
      <c r="D3126" s="1" t="e">
        <f aca="false" t="array" ref="D3126:D3126">IF(ISBLANK(_xlfn.xlookup(D$3,daily_items,_xlfn.xlookup($C3126,daily_dates,big_daily_table))),NA(),_xlfn.xlookup(D$3,daily_items,_xlfn.xlookup($C3126,daily_dates,big_daily_table)))</f>
        <v>#NAME?</v>
      </c>
      <c r="E3126" s="1" t="e">
        <f aca="false" t="array" ref="E3126:E3126">IF(ISBLANK(_xlfn.xlookup(E$3,daily_items,_xlfn.xlookup($C3126,daily_dates,big_daily_table))),NA(),_xlfn.xlookup(E$3,daily_items,_xlfn.xlookup($C3126,daily_dates,big_daily_table)))</f>
        <v>#NAME?</v>
      </c>
    </row>
    <row r="3127" customFormat="false" ht="14.25" hidden="false" customHeight="false" outlineLevel="0" collapsed="false">
      <c r="B3127" s="7" t="n">
        <v>44032</v>
      </c>
      <c r="C3127" s="7" t="n">
        <f aca="false">B3127-WEEKDAY(B3127)+1</f>
        <v>44031</v>
      </c>
      <c r="D3127" s="1" t="e">
        <f aca="false" t="array" ref="D3127:D3127">IF(ISBLANK(_xlfn.xlookup(D$3,daily_items,_xlfn.xlookup($C3127,daily_dates,big_daily_table))),NA(),_xlfn.xlookup(D$3,daily_items,_xlfn.xlookup($C3127,daily_dates,big_daily_table)))</f>
        <v>#NAME?</v>
      </c>
      <c r="E3127" s="1" t="e">
        <f aca="false" t="array" ref="E3127:E3127">IF(ISBLANK(_xlfn.xlookup(E$3,daily_items,_xlfn.xlookup($C3127,daily_dates,big_daily_table))),NA(),_xlfn.xlookup(E$3,daily_items,_xlfn.xlookup($C3127,daily_dates,big_daily_table)))</f>
        <v>#NAME?</v>
      </c>
    </row>
    <row r="3128" customFormat="false" ht="14.25" hidden="false" customHeight="false" outlineLevel="0" collapsed="false">
      <c r="B3128" s="7" t="n">
        <v>44033</v>
      </c>
      <c r="C3128" s="7" t="n">
        <f aca="false">B3128-WEEKDAY(B3128)+1</f>
        <v>44031</v>
      </c>
      <c r="D3128" s="1" t="e">
        <f aca="false" t="array" ref="D3128:D3128">IF(ISBLANK(_xlfn.xlookup(D$3,daily_items,_xlfn.xlookup($C3128,daily_dates,big_daily_table))),NA(),_xlfn.xlookup(D$3,daily_items,_xlfn.xlookup($C3128,daily_dates,big_daily_table)))</f>
        <v>#NAME?</v>
      </c>
      <c r="E3128" s="1" t="e">
        <f aca="false" t="array" ref="E3128:E3128">IF(ISBLANK(_xlfn.xlookup(E$3,daily_items,_xlfn.xlookup($C3128,daily_dates,big_daily_table))),NA(),_xlfn.xlookup(E$3,daily_items,_xlfn.xlookup($C3128,daily_dates,big_daily_table)))</f>
        <v>#NAME?</v>
      </c>
    </row>
    <row r="3129" customFormat="false" ht="14.25" hidden="false" customHeight="false" outlineLevel="0" collapsed="false">
      <c r="B3129" s="7" t="n">
        <v>44034</v>
      </c>
      <c r="C3129" s="7" t="n">
        <f aca="false">B3129-WEEKDAY(B3129)+1</f>
        <v>44031</v>
      </c>
      <c r="D3129" s="1" t="e">
        <f aca="false" t="array" ref="D3129:D3129">IF(ISBLANK(_xlfn.xlookup(D$3,daily_items,_xlfn.xlookup($C3129,daily_dates,big_daily_table))),NA(),_xlfn.xlookup(D$3,daily_items,_xlfn.xlookup($C3129,daily_dates,big_daily_table)))</f>
        <v>#NAME?</v>
      </c>
      <c r="E3129" s="1" t="e">
        <f aca="false" t="array" ref="E3129:E3129">IF(ISBLANK(_xlfn.xlookup(E$3,daily_items,_xlfn.xlookup($C3129,daily_dates,big_daily_table))),NA(),_xlfn.xlookup(E$3,daily_items,_xlfn.xlookup($C3129,daily_dates,big_daily_table)))</f>
        <v>#NAME?</v>
      </c>
    </row>
    <row r="3130" customFormat="false" ht="14.25" hidden="false" customHeight="false" outlineLevel="0" collapsed="false">
      <c r="B3130" s="7" t="n">
        <v>44035</v>
      </c>
      <c r="C3130" s="7" t="n">
        <f aca="false">B3130-WEEKDAY(B3130)+1</f>
        <v>44031</v>
      </c>
      <c r="D3130" s="1" t="e">
        <f aca="false" t="array" ref="D3130:D3130">IF(ISBLANK(_xlfn.xlookup(D$3,daily_items,_xlfn.xlookup($C3130,daily_dates,big_daily_table))),NA(),_xlfn.xlookup(D$3,daily_items,_xlfn.xlookup($C3130,daily_dates,big_daily_table)))</f>
        <v>#NAME?</v>
      </c>
      <c r="E3130" s="1" t="e">
        <f aca="false" t="array" ref="E3130:E3130">IF(ISBLANK(_xlfn.xlookup(E$3,daily_items,_xlfn.xlookup($C3130,daily_dates,big_daily_table))),NA(),_xlfn.xlookup(E$3,daily_items,_xlfn.xlookup($C3130,daily_dates,big_daily_table)))</f>
        <v>#NAME?</v>
      </c>
    </row>
    <row r="3131" customFormat="false" ht="14.25" hidden="false" customHeight="false" outlineLevel="0" collapsed="false">
      <c r="B3131" s="7" t="n">
        <v>44036</v>
      </c>
      <c r="C3131" s="7" t="n">
        <f aca="false">B3131-WEEKDAY(B3131)+1</f>
        <v>44031</v>
      </c>
      <c r="D3131" s="1" t="e">
        <f aca="false" t="array" ref="D3131:D3131">IF(ISBLANK(_xlfn.xlookup(D$3,daily_items,_xlfn.xlookup($C3131,daily_dates,big_daily_table))),NA(),_xlfn.xlookup(D$3,daily_items,_xlfn.xlookup($C3131,daily_dates,big_daily_table)))</f>
        <v>#NAME?</v>
      </c>
      <c r="E3131" s="1" t="e">
        <f aca="false" t="array" ref="E3131:E3131">IF(ISBLANK(_xlfn.xlookup(E$3,daily_items,_xlfn.xlookup($C3131,daily_dates,big_daily_table))),NA(),_xlfn.xlookup(E$3,daily_items,_xlfn.xlookup($C3131,daily_dates,big_daily_table)))</f>
        <v>#NAME?</v>
      </c>
    </row>
    <row r="3132" customFormat="false" ht="14.25" hidden="false" customHeight="false" outlineLevel="0" collapsed="false">
      <c r="B3132" s="7" t="n">
        <v>44037</v>
      </c>
      <c r="C3132" s="7" t="n">
        <f aca="false">B3132-WEEKDAY(B3132)+1</f>
        <v>44031</v>
      </c>
      <c r="D3132" s="1" t="e">
        <f aca="false" t="array" ref="D3132:D3132">IF(ISBLANK(_xlfn.xlookup(D$3,daily_items,_xlfn.xlookup($C3132,daily_dates,big_daily_table))),NA(),_xlfn.xlookup(D$3,daily_items,_xlfn.xlookup($C3132,daily_dates,big_daily_table)))</f>
        <v>#NAME?</v>
      </c>
      <c r="E3132" s="1" t="e">
        <f aca="false" t="array" ref="E3132:E3132">IF(ISBLANK(_xlfn.xlookup(E$3,daily_items,_xlfn.xlookup($C3132,daily_dates,big_daily_table))),NA(),_xlfn.xlookup(E$3,daily_items,_xlfn.xlookup($C3132,daily_dates,big_daily_table)))</f>
        <v>#NAME?</v>
      </c>
    </row>
    <row r="3133" customFormat="false" ht="14.25" hidden="false" customHeight="false" outlineLevel="0" collapsed="false">
      <c r="B3133" s="7" t="n">
        <v>44038</v>
      </c>
      <c r="C3133" s="7" t="n">
        <f aca="false">B3133-WEEKDAY(B3133)+1</f>
        <v>44038</v>
      </c>
      <c r="D3133" s="1" t="e">
        <f aca="false" t="array" ref="D3133:D3133">IF(ISBLANK(_xlfn.xlookup(D$3,daily_items,_xlfn.xlookup($C3133,daily_dates,big_daily_table))),NA(),_xlfn.xlookup(D$3,daily_items,_xlfn.xlookup($C3133,daily_dates,big_daily_table)))</f>
        <v>#NAME?</v>
      </c>
      <c r="E3133" s="1" t="e">
        <f aca="false" t="array" ref="E3133:E3133">IF(ISBLANK(_xlfn.xlookup(E$3,daily_items,_xlfn.xlookup($C3133,daily_dates,big_daily_table))),NA(),_xlfn.xlookup(E$3,daily_items,_xlfn.xlookup($C3133,daily_dates,big_daily_table)))</f>
        <v>#NAME?</v>
      </c>
    </row>
    <row r="3134" customFormat="false" ht="14.25" hidden="false" customHeight="false" outlineLevel="0" collapsed="false">
      <c r="B3134" s="7" t="n">
        <v>44039</v>
      </c>
      <c r="C3134" s="7" t="n">
        <f aca="false">B3134-WEEKDAY(B3134)+1</f>
        <v>44038</v>
      </c>
      <c r="D3134" s="1" t="e">
        <f aca="false" t="array" ref="D3134:D3134">IF(ISBLANK(_xlfn.xlookup(D$3,daily_items,_xlfn.xlookup($C3134,daily_dates,big_daily_table))),NA(),_xlfn.xlookup(D$3,daily_items,_xlfn.xlookup($C3134,daily_dates,big_daily_table)))</f>
        <v>#NAME?</v>
      </c>
      <c r="E3134" s="1" t="e">
        <f aca="false" t="array" ref="E3134:E3134">IF(ISBLANK(_xlfn.xlookup(E$3,daily_items,_xlfn.xlookup($C3134,daily_dates,big_daily_table))),NA(),_xlfn.xlookup(E$3,daily_items,_xlfn.xlookup($C3134,daily_dates,big_daily_table)))</f>
        <v>#NAME?</v>
      </c>
    </row>
    <row r="3135" customFormat="false" ht="14.25" hidden="false" customHeight="false" outlineLevel="0" collapsed="false">
      <c r="B3135" s="7" t="n">
        <v>44040</v>
      </c>
      <c r="C3135" s="7" t="n">
        <f aca="false">B3135-WEEKDAY(B3135)+1</f>
        <v>44038</v>
      </c>
      <c r="D3135" s="1" t="e">
        <f aca="false" t="array" ref="D3135:D3135">IF(ISBLANK(_xlfn.xlookup(D$3,daily_items,_xlfn.xlookup($C3135,daily_dates,big_daily_table))),NA(),_xlfn.xlookup(D$3,daily_items,_xlfn.xlookup($C3135,daily_dates,big_daily_table)))</f>
        <v>#NAME?</v>
      </c>
      <c r="E3135" s="1" t="e">
        <f aca="false" t="array" ref="E3135:E3135">IF(ISBLANK(_xlfn.xlookup(E$3,daily_items,_xlfn.xlookup($C3135,daily_dates,big_daily_table))),NA(),_xlfn.xlookup(E$3,daily_items,_xlfn.xlookup($C3135,daily_dates,big_daily_table)))</f>
        <v>#NAME?</v>
      </c>
    </row>
    <row r="3136" customFormat="false" ht="14.25" hidden="false" customHeight="false" outlineLevel="0" collapsed="false">
      <c r="B3136" s="7" t="n">
        <v>44041</v>
      </c>
      <c r="C3136" s="7" t="n">
        <f aca="false">B3136-WEEKDAY(B3136)+1</f>
        <v>44038</v>
      </c>
      <c r="D3136" s="1" t="e">
        <f aca="false" t="array" ref="D3136:D3136">IF(ISBLANK(_xlfn.xlookup(D$3,daily_items,_xlfn.xlookup($C3136,daily_dates,big_daily_table))),NA(),_xlfn.xlookup(D$3,daily_items,_xlfn.xlookup($C3136,daily_dates,big_daily_table)))</f>
        <v>#NAME?</v>
      </c>
      <c r="E3136" s="1" t="e">
        <f aca="false" t="array" ref="E3136:E3136">IF(ISBLANK(_xlfn.xlookup(E$3,daily_items,_xlfn.xlookup($C3136,daily_dates,big_daily_table))),NA(),_xlfn.xlookup(E$3,daily_items,_xlfn.xlookup($C3136,daily_dates,big_daily_table)))</f>
        <v>#NAME?</v>
      </c>
    </row>
    <row r="3137" customFormat="false" ht="14.25" hidden="false" customHeight="false" outlineLevel="0" collapsed="false">
      <c r="B3137" s="7" t="n">
        <v>44042</v>
      </c>
      <c r="C3137" s="7" t="n">
        <f aca="false">B3137-WEEKDAY(B3137)+1</f>
        <v>44038</v>
      </c>
      <c r="D3137" s="1" t="e">
        <f aca="false" t="array" ref="D3137:D3137">IF(ISBLANK(_xlfn.xlookup(D$3,daily_items,_xlfn.xlookup($C3137,daily_dates,big_daily_table))),NA(),_xlfn.xlookup(D$3,daily_items,_xlfn.xlookup($C3137,daily_dates,big_daily_table)))</f>
        <v>#NAME?</v>
      </c>
      <c r="E3137" s="1" t="e">
        <f aca="false" t="array" ref="E3137:E3137">IF(ISBLANK(_xlfn.xlookup(E$3,daily_items,_xlfn.xlookup($C3137,daily_dates,big_daily_table))),NA(),_xlfn.xlookup(E$3,daily_items,_xlfn.xlookup($C3137,daily_dates,big_daily_table)))</f>
        <v>#NAME?</v>
      </c>
    </row>
    <row r="3138" customFormat="false" ht="14.25" hidden="false" customHeight="false" outlineLevel="0" collapsed="false">
      <c r="B3138" s="7" t="n">
        <v>44043</v>
      </c>
      <c r="C3138" s="7" t="n">
        <f aca="false">B3138-WEEKDAY(B3138)+1</f>
        <v>44038</v>
      </c>
      <c r="D3138" s="1" t="e">
        <f aca="false" t="array" ref="D3138:D3138">IF(ISBLANK(_xlfn.xlookup(D$3,daily_items,_xlfn.xlookup($C3138,daily_dates,big_daily_table))),NA(),_xlfn.xlookup(D$3,daily_items,_xlfn.xlookup($C3138,daily_dates,big_daily_table)))</f>
        <v>#NAME?</v>
      </c>
      <c r="E3138" s="1" t="e">
        <f aca="false" t="array" ref="E3138:E3138">IF(ISBLANK(_xlfn.xlookup(E$3,daily_items,_xlfn.xlookup($C3138,daily_dates,big_daily_table))),NA(),_xlfn.xlookup(E$3,daily_items,_xlfn.xlookup($C3138,daily_dates,big_daily_table)))</f>
        <v>#NAME?</v>
      </c>
    </row>
    <row r="3139" customFormat="false" ht="14.25" hidden="false" customHeight="false" outlineLevel="0" collapsed="false">
      <c r="B3139" s="7" t="n">
        <v>44044</v>
      </c>
      <c r="C3139" s="7" t="n">
        <f aca="false">B3139-WEEKDAY(B3139)+1</f>
        <v>44038</v>
      </c>
      <c r="D3139" s="1" t="e">
        <f aca="false" t="array" ref="D3139:D3139">IF(ISBLANK(_xlfn.xlookup(D$3,daily_items,_xlfn.xlookup($C3139,daily_dates,big_daily_table))),NA(),_xlfn.xlookup(D$3,daily_items,_xlfn.xlookup($C3139,daily_dates,big_daily_table)))</f>
        <v>#NAME?</v>
      </c>
      <c r="E3139" s="1" t="e">
        <f aca="false" t="array" ref="E3139:E3139">IF(ISBLANK(_xlfn.xlookup(E$3,daily_items,_xlfn.xlookup($C3139,daily_dates,big_daily_table))),NA(),_xlfn.xlookup(E$3,daily_items,_xlfn.xlookup($C3139,daily_dates,big_daily_table)))</f>
        <v>#NAME?</v>
      </c>
    </row>
    <row r="3140" customFormat="false" ht="14.25" hidden="false" customHeight="false" outlineLevel="0" collapsed="false">
      <c r="B3140" s="7" t="n">
        <v>44045</v>
      </c>
      <c r="C3140" s="7" t="n">
        <f aca="false">B3140-WEEKDAY(B3140)+1</f>
        <v>44045</v>
      </c>
      <c r="D3140" s="1" t="e">
        <f aca="false" t="array" ref="D3140:D3140">IF(ISBLANK(_xlfn.xlookup(D$3,daily_items,_xlfn.xlookup($C3140,daily_dates,big_daily_table))),NA(),_xlfn.xlookup(D$3,daily_items,_xlfn.xlookup($C3140,daily_dates,big_daily_table)))</f>
        <v>#NAME?</v>
      </c>
      <c r="E3140" s="1" t="e">
        <f aca="false" t="array" ref="E3140:E3140">IF(ISBLANK(_xlfn.xlookup(E$3,daily_items,_xlfn.xlookup($C3140,daily_dates,big_daily_table))),NA(),_xlfn.xlookup(E$3,daily_items,_xlfn.xlookup($C3140,daily_dates,big_daily_table)))</f>
        <v>#NAME?</v>
      </c>
    </row>
    <row r="3141" customFormat="false" ht="14.25" hidden="false" customHeight="false" outlineLevel="0" collapsed="false">
      <c r="B3141" s="7" t="n">
        <v>44046</v>
      </c>
      <c r="C3141" s="7" t="n">
        <f aca="false">B3141-WEEKDAY(B3141)+1</f>
        <v>44045</v>
      </c>
      <c r="D3141" s="1" t="e">
        <f aca="false" t="array" ref="D3141:D3141">IF(ISBLANK(_xlfn.xlookup(D$3,daily_items,_xlfn.xlookup($C3141,daily_dates,big_daily_table))),NA(),_xlfn.xlookup(D$3,daily_items,_xlfn.xlookup($C3141,daily_dates,big_daily_table)))</f>
        <v>#NAME?</v>
      </c>
      <c r="E3141" s="1" t="e">
        <f aca="false" t="array" ref="E3141:E3141">IF(ISBLANK(_xlfn.xlookup(E$3,daily_items,_xlfn.xlookup($C3141,daily_dates,big_daily_table))),NA(),_xlfn.xlookup(E$3,daily_items,_xlfn.xlookup($C3141,daily_dates,big_daily_table)))</f>
        <v>#NAME?</v>
      </c>
    </row>
    <row r="3142" customFormat="false" ht="14.25" hidden="false" customHeight="false" outlineLevel="0" collapsed="false">
      <c r="B3142" s="7" t="n">
        <v>44047</v>
      </c>
      <c r="C3142" s="7" t="n">
        <f aca="false">B3142-WEEKDAY(B3142)+1</f>
        <v>44045</v>
      </c>
      <c r="D3142" s="1" t="e">
        <f aca="false" t="array" ref="D3142:D3142">IF(ISBLANK(_xlfn.xlookup(D$3,daily_items,_xlfn.xlookup($C3142,daily_dates,big_daily_table))),NA(),_xlfn.xlookup(D$3,daily_items,_xlfn.xlookup($C3142,daily_dates,big_daily_table)))</f>
        <v>#NAME?</v>
      </c>
      <c r="E3142" s="1" t="e">
        <f aca="false" t="array" ref="E3142:E3142">IF(ISBLANK(_xlfn.xlookup(E$3,daily_items,_xlfn.xlookup($C3142,daily_dates,big_daily_table))),NA(),_xlfn.xlookup(E$3,daily_items,_xlfn.xlookup($C3142,daily_dates,big_daily_table)))</f>
        <v>#NAME?</v>
      </c>
    </row>
    <row r="3143" customFormat="false" ht="14.25" hidden="false" customHeight="false" outlineLevel="0" collapsed="false">
      <c r="B3143" s="7" t="n">
        <v>44048</v>
      </c>
      <c r="C3143" s="7" t="n">
        <f aca="false">B3143-WEEKDAY(B3143)+1</f>
        <v>44045</v>
      </c>
      <c r="D3143" s="1" t="e">
        <f aca="false" t="array" ref="D3143:D3143">IF(ISBLANK(_xlfn.xlookup(D$3,daily_items,_xlfn.xlookup($C3143,daily_dates,big_daily_table))),NA(),_xlfn.xlookup(D$3,daily_items,_xlfn.xlookup($C3143,daily_dates,big_daily_table)))</f>
        <v>#NAME?</v>
      </c>
      <c r="E3143" s="1" t="e">
        <f aca="false" t="array" ref="E3143:E3143">IF(ISBLANK(_xlfn.xlookup(E$3,daily_items,_xlfn.xlookup($C3143,daily_dates,big_daily_table))),NA(),_xlfn.xlookup(E$3,daily_items,_xlfn.xlookup($C3143,daily_dates,big_daily_table)))</f>
        <v>#NAME?</v>
      </c>
    </row>
    <row r="3144" customFormat="false" ht="14.25" hidden="false" customHeight="false" outlineLevel="0" collapsed="false">
      <c r="B3144" s="7" t="n">
        <v>44049</v>
      </c>
      <c r="C3144" s="7" t="n">
        <f aca="false">B3144-WEEKDAY(B3144)+1</f>
        <v>44045</v>
      </c>
      <c r="D3144" s="1" t="e">
        <f aca="false" t="array" ref="D3144:D3144">IF(ISBLANK(_xlfn.xlookup(D$3,daily_items,_xlfn.xlookup($C3144,daily_dates,big_daily_table))),NA(),_xlfn.xlookup(D$3,daily_items,_xlfn.xlookup($C3144,daily_dates,big_daily_table)))</f>
        <v>#NAME?</v>
      </c>
      <c r="E3144" s="1" t="e">
        <f aca="false" t="array" ref="E3144:E3144">IF(ISBLANK(_xlfn.xlookup(E$3,daily_items,_xlfn.xlookup($C3144,daily_dates,big_daily_table))),NA(),_xlfn.xlookup(E$3,daily_items,_xlfn.xlookup($C3144,daily_dates,big_daily_table)))</f>
        <v>#NAME?</v>
      </c>
    </row>
    <row r="3145" customFormat="false" ht="14.25" hidden="false" customHeight="false" outlineLevel="0" collapsed="false">
      <c r="B3145" s="7" t="n">
        <v>44050</v>
      </c>
      <c r="C3145" s="7" t="n">
        <f aca="false">B3145-WEEKDAY(B3145)+1</f>
        <v>44045</v>
      </c>
      <c r="D3145" s="1" t="e">
        <f aca="false" t="array" ref="D3145:D3145">IF(ISBLANK(_xlfn.xlookup(D$3,daily_items,_xlfn.xlookup($C3145,daily_dates,big_daily_table))),NA(),_xlfn.xlookup(D$3,daily_items,_xlfn.xlookup($C3145,daily_dates,big_daily_table)))</f>
        <v>#NAME?</v>
      </c>
      <c r="E3145" s="1" t="e">
        <f aca="false" t="array" ref="E3145:E3145">IF(ISBLANK(_xlfn.xlookup(E$3,daily_items,_xlfn.xlookup($C3145,daily_dates,big_daily_table))),NA(),_xlfn.xlookup(E$3,daily_items,_xlfn.xlookup($C3145,daily_dates,big_daily_table)))</f>
        <v>#NAME?</v>
      </c>
    </row>
    <row r="3146" customFormat="false" ht="14.25" hidden="false" customHeight="false" outlineLevel="0" collapsed="false">
      <c r="B3146" s="7" t="n">
        <v>44051</v>
      </c>
      <c r="C3146" s="7" t="n">
        <f aca="false">B3146-WEEKDAY(B3146)+1</f>
        <v>44045</v>
      </c>
      <c r="D3146" s="1" t="e">
        <f aca="false" t="array" ref="D3146:D3146">IF(ISBLANK(_xlfn.xlookup(D$3,daily_items,_xlfn.xlookup($C3146,daily_dates,big_daily_table))),NA(),_xlfn.xlookup(D$3,daily_items,_xlfn.xlookup($C3146,daily_dates,big_daily_table)))</f>
        <v>#NAME?</v>
      </c>
      <c r="E3146" s="1" t="e">
        <f aca="false" t="array" ref="E3146:E3146">IF(ISBLANK(_xlfn.xlookup(E$3,daily_items,_xlfn.xlookup($C3146,daily_dates,big_daily_table))),NA(),_xlfn.xlookup(E$3,daily_items,_xlfn.xlookup($C3146,daily_dates,big_daily_table)))</f>
        <v>#NAME?</v>
      </c>
    </row>
    <row r="3147" customFormat="false" ht="14.25" hidden="false" customHeight="false" outlineLevel="0" collapsed="false">
      <c r="B3147" s="7" t="n">
        <v>44052</v>
      </c>
      <c r="C3147" s="7" t="n">
        <f aca="false">B3147-WEEKDAY(B3147)+1</f>
        <v>44052</v>
      </c>
      <c r="D3147" s="1" t="e">
        <f aca="false" t="array" ref="D3147:D3147">IF(ISBLANK(_xlfn.xlookup(D$3,daily_items,_xlfn.xlookup($C3147,daily_dates,big_daily_table))),NA(),_xlfn.xlookup(D$3,daily_items,_xlfn.xlookup($C3147,daily_dates,big_daily_table)))</f>
        <v>#NAME?</v>
      </c>
      <c r="E3147" s="1" t="e">
        <f aca="false" t="array" ref="E3147:E3147">IF(ISBLANK(_xlfn.xlookup(E$3,daily_items,_xlfn.xlookup($C3147,daily_dates,big_daily_table))),NA(),_xlfn.xlookup(E$3,daily_items,_xlfn.xlookup($C3147,daily_dates,big_daily_table)))</f>
        <v>#NAME?</v>
      </c>
    </row>
    <row r="3148" customFormat="false" ht="14.25" hidden="false" customHeight="false" outlineLevel="0" collapsed="false">
      <c r="B3148" s="7" t="n">
        <v>44053</v>
      </c>
      <c r="C3148" s="7" t="n">
        <f aca="false">B3148-WEEKDAY(B3148)+1</f>
        <v>44052</v>
      </c>
      <c r="D3148" s="1" t="e">
        <f aca="false" t="array" ref="D3148:D3148">IF(ISBLANK(_xlfn.xlookup(D$3,daily_items,_xlfn.xlookup($C3148,daily_dates,big_daily_table))),NA(),_xlfn.xlookup(D$3,daily_items,_xlfn.xlookup($C3148,daily_dates,big_daily_table)))</f>
        <v>#NAME?</v>
      </c>
      <c r="E3148" s="1" t="e">
        <f aca="false" t="array" ref="E3148:E3148">IF(ISBLANK(_xlfn.xlookup(E$3,daily_items,_xlfn.xlookup($C3148,daily_dates,big_daily_table))),NA(),_xlfn.xlookup(E$3,daily_items,_xlfn.xlookup($C3148,daily_dates,big_daily_table)))</f>
        <v>#NAME?</v>
      </c>
    </row>
    <row r="3149" customFormat="false" ht="14.25" hidden="false" customHeight="false" outlineLevel="0" collapsed="false">
      <c r="B3149" s="7" t="n">
        <v>44054</v>
      </c>
      <c r="C3149" s="7" t="n">
        <f aca="false">B3149-WEEKDAY(B3149)+1</f>
        <v>44052</v>
      </c>
      <c r="D3149" s="1" t="e">
        <f aca="false" t="array" ref="D3149:D3149">IF(ISBLANK(_xlfn.xlookup(D$3,daily_items,_xlfn.xlookup($C3149,daily_dates,big_daily_table))),NA(),_xlfn.xlookup(D$3,daily_items,_xlfn.xlookup($C3149,daily_dates,big_daily_table)))</f>
        <v>#NAME?</v>
      </c>
      <c r="E3149" s="1" t="e">
        <f aca="false" t="array" ref="E3149:E3149">IF(ISBLANK(_xlfn.xlookup(E$3,daily_items,_xlfn.xlookup($C3149,daily_dates,big_daily_table))),NA(),_xlfn.xlookup(E$3,daily_items,_xlfn.xlookup($C3149,daily_dates,big_daily_table)))</f>
        <v>#NAME?</v>
      </c>
    </row>
    <row r="3150" customFormat="false" ht="14.25" hidden="false" customHeight="false" outlineLevel="0" collapsed="false">
      <c r="B3150" s="7" t="n">
        <v>44055</v>
      </c>
      <c r="C3150" s="7" t="n">
        <f aca="false">B3150-WEEKDAY(B3150)+1</f>
        <v>44052</v>
      </c>
      <c r="D3150" s="1" t="e">
        <f aca="false" t="array" ref="D3150:D3150">IF(ISBLANK(_xlfn.xlookup(D$3,daily_items,_xlfn.xlookup($C3150,daily_dates,big_daily_table))),NA(),_xlfn.xlookup(D$3,daily_items,_xlfn.xlookup($C3150,daily_dates,big_daily_table)))</f>
        <v>#NAME?</v>
      </c>
      <c r="E3150" s="1" t="e">
        <f aca="false" t="array" ref="E3150:E3150">IF(ISBLANK(_xlfn.xlookup(E$3,daily_items,_xlfn.xlookup($C3150,daily_dates,big_daily_table))),NA(),_xlfn.xlookup(E$3,daily_items,_xlfn.xlookup($C3150,daily_dates,big_daily_table)))</f>
        <v>#NAME?</v>
      </c>
    </row>
    <row r="3151" customFormat="false" ht="14.25" hidden="false" customHeight="false" outlineLevel="0" collapsed="false">
      <c r="B3151" s="7" t="n">
        <v>44056</v>
      </c>
      <c r="C3151" s="7" t="n">
        <f aca="false">B3151-WEEKDAY(B3151)+1</f>
        <v>44052</v>
      </c>
      <c r="D3151" s="1" t="e">
        <f aca="false" t="array" ref="D3151:D3151">IF(ISBLANK(_xlfn.xlookup(D$3,daily_items,_xlfn.xlookup($C3151,daily_dates,big_daily_table))),NA(),_xlfn.xlookup(D$3,daily_items,_xlfn.xlookup($C3151,daily_dates,big_daily_table)))</f>
        <v>#NAME?</v>
      </c>
      <c r="E3151" s="1" t="e">
        <f aca="false" t="array" ref="E3151:E3151">IF(ISBLANK(_xlfn.xlookup(E$3,daily_items,_xlfn.xlookup($C3151,daily_dates,big_daily_table))),NA(),_xlfn.xlookup(E$3,daily_items,_xlfn.xlookup($C3151,daily_dates,big_daily_table)))</f>
        <v>#NAME?</v>
      </c>
    </row>
    <row r="3152" customFormat="false" ht="14.25" hidden="false" customHeight="false" outlineLevel="0" collapsed="false">
      <c r="B3152" s="7" t="n">
        <v>44057</v>
      </c>
      <c r="C3152" s="7" t="n">
        <f aca="false">B3152-WEEKDAY(B3152)+1</f>
        <v>44052</v>
      </c>
      <c r="D3152" s="1" t="e">
        <f aca="false" t="array" ref="D3152:D3152">IF(ISBLANK(_xlfn.xlookup(D$3,daily_items,_xlfn.xlookup($C3152,daily_dates,big_daily_table))),NA(),_xlfn.xlookup(D$3,daily_items,_xlfn.xlookup($C3152,daily_dates,big_daily_table)))</f>
        <v>#NAME?</v>
      </c>
      <c r="E3152" s="1" t="e">
        <f aca="false" t="array" ref="E3152:E3152">IF(ISBLANK(_xlfn.xlookup(E$3,daily_items,_xlfn.xlookup($C3152,daily_dates,big_daily_table))),NA(),_xlfn.xlookup(E$3,daily_items,_xlfn.xlookup($C3152,daily_dates,big_daily_table)))</f>
        <v>#NAME?</v>
      </c>
    </row>
    <row r="3153" customFormat="false" ht="14.25" hidden="false" customHeight="false" outlineLevel="0" collapsed="false">
      <c r="B3153" s="7" t="n">
        <v>44058</v>
      </c>
      <c r="C3153" s="7" t="n">
        <f aca="false">B3153-WEEKDAY(B3153)+1</f>
        <v>44052</v>
      </c>
      <c r="D3153" s="1" t="e">
        <f aca="false" t="array" ref="D3153:D3153">IF(ISBLANK(_xlfn.xlookup(D$3,daily_items,_xlfn.xlookup($C3153,daily_dates,big_daily_table))),NA(),_xlfn.xlookup(D$3,daily_items,_xlfn.xlookup($C3153,daily_dates,big_daily_table)))</f>
        <v>#NAME?</v>
      </c>
      <c r="E3153" s="1" t="e">
        <f aca="false" t="array" ref="E3153:E3153">IF(ISBLANK(_xlfn.xlookup(E$3,daily_items,_xlfn.xlookup($C3153,daily_dates,big_daily_table))),NA(),_xlfn.xlookup(E$3,daily_items,_xlfn.xlookup($C3153,daily_dates,big_daily_table)))</f>
        <v>#NAME?</v>
      </c>
    </row>
    <row r="3154" customFormat="false" ht="14.25" hidden="false" customHeight="false" outlineLevel="0" collapsed="false">
      <c r="B3154" s="7" t="n">
        <v>44059</v>
      </c>
      <c r="C3154" s="7" t="n">
        <f aca="false">B3154-WEEKDAY(B3154)+1</f>
        <v>44059</v>
      </c>
      <c r="D3154" s="1" t="e">
        <f aca="false" t="array" ref="D3154:D3154">IF(ISBLANK(_xlfn.xlookup(D$3,daily_items,_xlfn.xlookup($C3154,daily_dates,big_daily_table))),NA(),_xlfn.xlookup(D$3,daily_items,_xlfn.xlookup($C3154,daily_dates,big_daily_table)))</f>
        <v>#NAME?</v>
      </c>
      <c r="E3154" s="1" t="e">
        <f aca="false" t="array" ref="E3154:E3154">IF(ISBLANK(_xlfn.xlookup(E$3,daily_items,_xlfn.xlookup($C3154,daily_dates,big_daily_table))),NA(),_xlfn.xlookup(E$3,daily_items,_xlfn.xlookup($C3154,daily_dates,big_daily_table)))</f>
        <v>#NAME?</v>
      </c>
    </row>
    <row r="3155" customFormat="false" ht="14.25" hidden="false" customHeight="false" outlineLevel="0" collapsed="false">
      <c r="B3155" s="7" t="n">
        <v>44060</v>
      </c>
      <c r="C3155" s="7" t="n">
        <f aca="false">B3155-WEEKDAY(B3155)+1</f>
        <v>44059</v>
      </c>
      <c r="D3155" s="1" t="e">
        <f aca="false" t="array" ref="D3155:D3155">IF(ISBLANK(_xlfn.xlookup(D$3,daily_items,_xlfn.xlookup($C3155,daily_dates,big_daily_table))),NA(),_xlfn.xlookup(D$3,daily_items,_xlfn.xlookup($C3155,daily_dates,big_daily_table)))</f>
        <v>#NAME?</v>
      </c>
      <c r="E3155" s="1" t="e">
        <f aca="false" t="array" ref="E3155:E3155">IF(ISBLANK(_xlfn.xlookup(E$3,daily_items,_xlfn.xlookup($C3155,daily_dates,big_daily_table))),NA(),_xlfn.xlookup(E$3,daily_items,_xlfn.xlookup($C3155,daily_dates,big_daily_table)))</f>
        <v>#NAME?</v>
      </c>
    </row>
    <row r="3156" customFormat="false" ht="14.25" hidden="false" customHeight="false" outlineLevel="0" collapsed="false">
      <c r="B3156" s="7" t="n">
        <v>44061</v>
      </c>
      <c r="C3156" s="7" t="n">
        <f aca="false">B3156-WEEKDAY(B3156)+1</f>
        <v>44059</v>
      </c>
      <c r="D3156" s="1" t="e">
        <f aca="false" t="array" ref="D3156:D3156">IF(ISBLANK(_xlfn.xlookup(D$3,daily_items,_xlfn.xlookup($C3156,daily_dates,big_daily_table))),NA(),_xlfn.xlookup(D$3,daily_items,_xlfn.xlookup($C3156,daily_dates,big_daily_table)))</f>
        <v>#NAME?</v>
      </c>
      <c r="E3156" s="1" t="e">
        <f aca="false" t="array" ref="E3156:E3156">IF(ISBLANK(_xlfn.xlookup(E$3,daily_items,_xlfn.xlookup($C3156,daily_dates,big_daily_table))),NA(),_xlfn.xlookup(E$3,daily_items,_xlfn.xlookup($C3156,daily_dates,big_daily_table)))</f>
        <v>#NAME?</v>
      </c>
    </row>
    <row r="3157" customFormat="false" ht="14.25" hidden="false" customHeight="false" outlineLevel="0" collapsed="false">
      <c r="B3157" s="7" t="n">
        <v>44062</v>
      </c>
      <c r="C3157" s="7" t="n">
        <f aca="false">B3157-WEEKDAY(B3157)+1</f>
        <v>44059</v>
      </c>
      <c r="D3157" s="1" t="e">
        <f aca="false" t="array" ref="D3157:D3157">IF(ISBLANK(_xlfn.xlookup(D$3,daily_items,_xlfn.xlookup($C3157,daily_dates,big_daily_table))),NA(),_xlfn.xlookup(D$3,daily_items,_xlfn.xlookup($C3157,daily_dates,big_daily_table)))</f>
        <v>#NAME?</v>
      </c>
      <c r="E3157" s="1" t="e">
        <f aca="false" t="array" ref="E3157:E3157">IF(ISBLANK(_xlfn.xlookup(E$3,daily_items,_xlfn.xlookup($C3157,daily_dates,big_daily_table))),NA(),_xlfn.xlookup(E$3,daily_items,_xlfn.xlookup($C3157,daily_dates,big_daily_table)))</f>
        <v>#NAME?</v>
      </c>
    </row>
    <row r="3158" customFormat="false" ht="14.25" hidden="false" customHeight="false" outlineLevel="0" collapsed="false">
      <c r="B3158" s="7" t="n">
        <v>44063</v>
      </c>
      <c r="C3158" s="7" t="n">
        <f aca="false">B3158-WEEKDAY(B3158)+1</f>
        <v>44059</v>
      </c>
      <c r="D3158" s="1" t="e">
        <f aca="false" t="array" ref="D3158:D3158">IF(ISBLANK(_xlfn.xlookup(D$3,daily_items,_xlfn.xlookup($C3158,daily_dates,big_daily_table))),NA(),_xlfn.xlookup(D$3,daily_items,_xlfn.xlookup($C3158,daily_dates,big_daily_table)))</f>
        <v>#NAME?</v>
      </c>
      <c r="E3158" s="1" t="e">
        <f aca="false" t="array" ref="E3158:E3158">IF(ISBLANK(_xlfn.xlookup(E$3,daily_items,_xlfn.xlookup($C3158,daily_dates,big_daily_table))),NA(),_xlfn.xlookup(E$3,daily_items,_xlfn.xlookup($C3158,daily_dates,big_daily_table)))</f>
        <v>#NAME?</v>
      </c>
    </row>
    <row r="3159" customFormat="false" ht="14.25" hidden="false" customHeight="false" outlineLevel="0" collapsed="false">
      <c r="B3159" s="7" t="n">
        <v>44064</v>
      </c>
      <c r="C3159" s="7" t="n">
        <f aca="false">B3159-WEEKDAY(B3159)+1</f>
        <v>44059</v>
      </c>
      <c r="D3159" s="1" t="e">
        <f aca="false" t="array" ref="D3159:D3159">IF(ISBLANK(_xlfn.xlookup(D$3,daily_items,_xlfn.xlookup($C3159,daily_dates,big_daily_table))),NA(),_xlfn.xlookup(D$3,daily_items,_xlfn.xlookup($C3159,daily_dates,big_daily_table)))</f>
        <v>#NAME?</v>
      </c>
      <c r="E3159" s="1" t="e">
        <f aca="false" t="array" ref="E3159:E3159">IF(ISBLANK(_xlfn.xlookup(E$3,daily_items,_xlfn.xlookup($C3159,daily_dates,big_daily_table))),NA(),_xlfn.xlookup(E$3,daily_items,_xlfn.xlookup($C3159,daily_dates,big_daily_table)))</f>
        <v>#NAME?</v>
      </c>
    </row>
    <row r="3160" customFormat="false" ht="14.25" hidden="false" customHeight="false" outlineLevel="0" collapsed="false">
      <c r="B3160" s="7" t="n">
        <v>44065</v>
      </c>
      <c r="C3160" s="7" t="n">
        <f aca="false">B3160-WEEKDAY(B3160)+1</f>
        <v>44059</v>
      </c>
      <c r="D3160" s="1" t="e">
        <f aca="false" t="array" ref="D3160:D3160">IF(ISBLANK(_xlfn.xlookup(D$3,daily_items,_xlfn.xlookup($C3160,daily_dates,big_daily_table))),NA(),_xlfn.xlookup(D$3,daily_items,_xlfn.xlookup($C3160,daily_dates,big_daily_table)))</f>
        <v>#NAME?</v>
      </c>
      <c r="E3160" s="1" t="e">
        <f aca="false" t="array" ref="E3160:E3160">IF(ISBLANK(_xlfn.xlookup(E$3,daily_items,_xlfn.xlookup($C3160,daily_dates,big_daily_table))),NA(),_xlfn.xlookup(E$3,daily_items,_xlfn.xlookup($C3160,daily_dates,big_daily_table)))</f>
        <v>#NAME?</v>
      </c>
    </row>
    <row r="3161" customFormat="false" ht="14.25" hidden="false" customHeight="false" outlineLevel="0" collapsed="false">
      <c r="B3161" s="7" t="n">
        <v>44066</v>
      </c>
      <c r="C3161" s="7" t="n">
        <f aca="false">B3161-WEEKDAY(B3161)+1</f>
        <v>44066</v>
      </c>
      <c r="D3161" s="1" t="e">
        <f aca="false" t="array" ref="D3161:D3161">IF(ISBLANK(_xlfn.xlookup(D$3,daily_items,_xlfn.xlookup($C3161,daily_dates,big_daily_table))),NA(),_xlfn.xlookup(D$3,daily_items,_xlfn.xlookup($C3161,daily_dates,big_daily_table)))</f>
        <v>#NAME?</v>
      </c>
      <c r="E3161" s="1" t="e">
        <f aca="false" t="array" ref="E3161:E3161">IF(ISBLANK(_xlfn.xlookup(E$3,daily_items,_xlfn.xlookup($C3161,daily_dates,big_daily_table))),NA(),_xlfn.xlookup(E$3,daily_items,_xlfn.xlookup($C3161,daily_dates,big_daily_table)))</f>
        <v>#NAME?</v>
      </c>
    </row>
    <row r="3162" customFormat="false" ht="14.25" hidden="false" customHeight="false" outlineLevel="0" collapsed="false">
      <c r="B3162" s="7" t="n">
        <v>44067</v>
      </c>
      <c r="C3162" s="7" t="n">
        <f aca="false">B3162-WEEKDAY(B3162)+1</f>
        <v>44066</v>
      </c>
      <c r="D3162" s="1" t="e">
        <f aca="false" t="array" ref="D3162:D3162">IF(ISBLANK(_xlfn.xlookup(D$3,daily_items,_xlfn.xlookup($C3162,daily_dates,big_daily_table))),NA(),_xlfn.xlookup(D$3,daily_items,_xlfn.xlookup($C3162,daily_dates,big_daily_table)))</f>
        <v>#NAME?</v>
      </c>
      <c r="E3162" s="1" t="e">
        <f aca="false" t="array" ref="E3162:E3162">IF(ISBLANK(_xlfn.xlookup(E$3,daily_items,_xlfn.xlookup($C3162,daily_dates,big_daily_table))),NA(),_xlfn.xlookup(E$3,daily_items,_xlfn.xlookup($C3162,daily_dates,big_daily_table)))</f>
        <v>#NAME?</v>
      </c>
    </row>
    <row r="3163" customFormat="false" ht="14.25" hidden="false" customHeight="false" outlineLevel="0" collapsed="false">
      <c r="B3163" s="7" t="n">
        <v>44068</v>
      </c>
      <c r="C3163" s="7" t="n">
        <f aca="false">B3163-WEEKDAY(B3163)+1</f>
        <v>44066</v>
      </c>
      <c r="D3163" s="1" t="e">
        <f aca="false" t="array" ref="D3163:D3163">IF(ISBLANK(_xlfn.xlookup(D$3,daily_items,_xlfn.xlookup($C3163,daily_dates,big_daily_table))),NA(),_xlfn.xlookup(D$3,daily_items,_xlfn.xlookup($C3163,daily_dates,big_daily_table)))</f>
        <v>#NAME?</v>
      </c>
      <c r="E3163" s="1" t="e">
        <f aca="false" t="array" ref="E3163:E3163">IF(ISBLANK(_xlfn.xlookup(E$3,daily_items,_xlfn.xlookup($C3163,daily_dates,big_daily_table))),NA(),_xlfn.xlookup(E$3,daily_items,_xlfn.xlookup($C3163,daily_dates,big_daily_table)))</f>
        <v>#NAME?</v>
      </c>
    </row>
    <row r="3164" customFormat="false" ht="14.25" hidden="false" customHeight="false" outlineLevel="0" collapsed="false">
      <c r="B3164" s="7" t="n">
        <v>44069</v>
      </c>
      <c r="C3164" s="7" t="n">
        <f aca="false">B3164-WEEKDAY(B3164)+1</f>
        <v>44066</v>
      </c>
      <c r="D3164" s="1" t="e">
        <f aca="false" t="array" ref="D3164:D3164">IF(ISBLANK(_xlfn.xlookup(D$3,daily_items,_xlfn.xlookup($C3164,daily_dates,big_daily_table))),NA(),_xlfn.xlookup(D$3,daily_items,_xlfn.xlookup($C3164,daily_dates,big_daily_table)))</f>
        <v>#NAME?</v>
      </c>
      <c r="E3164" s="1" t="e">
        <f aca="false" t="array" ref="E3164:E3164">IF(ISBLANK(_xlfn.xlookup(E$3,daily_items,_xlfn.xlookup($C3164,daily_dates,big_daily_table))),NA(),_xlfn.xlookup(E$3,daily_items,_xlfn.xlookup($C3164,daily_dates,big_daily_table)))</f>
        <v>#NAME?</v>
      </c>
    </row>
    <row r="3165" customFormat="false" ht="14.25" hidden="false" customHeight="false" outlineLevel="0" collapsed="false">
      <c r="B3165" s="7" t="n">
        <v>44070</v>
      </c>
      <c r="C3165" s="7" t="n">
        <f aca="false">B3165-WEEKDAY(B3165)+1</f>
        <v>44066</v>
      </c>
      <c r="D3165" s="1" t="e">
        <f aca="false" t="array" ref="D3165:D3165">IF(ISBLANK(_xlfn.xlookup(D$3,daily_items,_xlfn.xlookup($C3165,daily_dates,big_daily_table))),NA(),_xlfn.xlookup(D$3,daily_items,_xlfn.xlookup($C3165,daily_dates,big_daily_table)))</f>
        <v>#NAME?</v>
      </c>
      <c r="E3165" s="1" t="e">
        <f aca="false" t="array" ref="E3165:E3165">IF(ISBLANK(_xlfn.xlookup(E$3,daily_items,_xlfn.xlookup($C3165,daily_dates,big_daily_table))),NA(),_xlfn.xlookup(E$3,daily_items,_xlfn.xlookup($C3165,daily_dates,big_daily_table)))</f>
        <v>#NAME?</v>
      </c>
    </row>
    <row r="3166" customFormat="false" ht="14.25" hidden="false" customHeight="false" outlineLevel="0" collapsed="false">
      <c r="B3166" s="7" t="n">
        <v>44071</v>
      </c>
      <c r="C3166" s="7" t="n">
        <f aca="false">B3166-WEEKDAY(B3166)+1</f>
        <v>44066</v>
      </c>
      <c r="D3166" s="1" t="e">
        <f aca="false" t="array" ref="D3166:D3166">IF(ISBLANK(_xlfn.xlookup(D$3,daily_items,_xlfn.xlookup($C3166,daily_dates,big_daily_table))),NA(),_xlfn.xlookup(D$3,daily_items,_xlfn.xlookup($C3166,daily_dates,big_daily_table)))</f>
        <v>#NAME?</v>
      </c>
      <c r="E3166" s="1" t="e">
        <f aca="false" t="array" ref="E3166:E3166">IF(ISBLANK(_xlfn.xlookup(E$3,daily_items,_xlfn.xlookup($C3166,daily_dates,big_daily_table))),NA(),_xlfn.xlookup(E$3,daily_items,_xlfn.xlookup($C3166,daily_dates,big_daily_table)))</f>
        <v>#NAME?</v>
      </c>
    </row>
    <row r="3167" customFormat="false" ht="14.25" hidden="false" customHeight="false" outlineLevel="0" collapsed="false">
      <c r="B3167" s="7" t="n">
        <v>44072</v>
      </c>
      <c r="C3167" s="7" t="n">
        <f aca="false">B3167-WEEKDAY(B3167)+1</f>
        <v>44066</v>
      </c>
      <c r="D3167" s="1" t="e">
        <f aca="false" t="array" ref="D3167:D3167">IF(ISBLANK(_xlfn.xlookup(D$3,daily_items,_xlfn.xlookup($C3167,daily_dates,big_daily_table))),NA(),_xlfn.xlookup(D$3,daily_items,_xlfn.xlookup($C3167,daily_dates,big_daily_table)))</f>
        <v>#NAME?</v>
      </c>
      <c r="E3167" s="1" t="e">
        <f aca="false" t="array" ref="E3167:E3167">IF(ISBLANK(_xlfn.xlookup(E$3,daily_items,_xlfn.xlookup($C3167,daily_dates,big_daily_table))),NA(),_xlfn.xlookup(E$3,daily_items,_xlfn.xlookup($C3167,daily_dates,big_daily_table)))</f>
        <v>#NAME?</v>
      </c>
    </row>
    <row r="3168" customFormat="false" ht="14.25" hidden="false" customHeight="false" outlineLevel="0" collapsed="false">
      <c r="B3168" s="7" t="n">
        <v>44073</v>
      </c>
      <c r="C3168" s="7" t="n">
        <f aca="false">B3168-WEEKDAY(B3168)+1</f>
        <v>44073</v>
      </c>
      <c r="D3168" s="1" t="e">
        <f aca="false" t="array" ref="D3168:D3168">IF(ISBLANK(_xlfn.xlookup(D$3,daily_items,_xlfn.xlookup($C3168,daily_dates,big_daily_table))),NA(),_xlfn.xlookup(D$3,daily_items,_xlfn.xlookup($C3168,daily_dates,big_daily_table)))</f>
        <v>#NAME?</v>
      </c>
      <c r="E3168" s="1" t="e">
        <f aca="false" t="array" ref="E3168:E3168">IF(ISBLANK(_xlfn.xlookup(E$3,daily_items,_xlfn.xlookup($C3168,daily_dates,big_daily_table))),NA(),_xlfn.xlookup(E$3,daily_items,_xlfn.xlookup($C3168,daily_dates,big_daily_table)))</f>
        <v>#NAME?</v>
      </c>
    </row>
    <row r="3169" customFormat="false" ht="14.25" hidden="false" customHeight="false" outlineLevel="0" collapsed="false">
      <c r="B3169" s="7" t="n">
        <v>44074</v>
      </c>
      <c r="C3169" s="7" t="n">
        <f aca="false">B3169-WEEKDAY(B3169)+1</f>
        <v>44073</v>
      </c>
      <c r="D3169" s="1" t="e">
        <f aca="false" t="array" ref="D3169:D3169">IF(ISBLANK(_xlfn.xlookup(D$3,daily_items,_xlfn.xlookup($C3169,daily_dates,big_daily_table))),NA(),_xlfn.xlookup(D$3,daily_items,_xlfn.xlookup($C3169,daily_dates,big_daily_table)))</f>
        <v>#NAME?</v>
      </c>
      <c r="E3169" s="1" t="e">
        <f aca="false" t="array" ref="E3169:E3169">IF(ISBLANK(_xlfn.xlookup(E$3,daily_items,_xlfn.xlookup($C3169,daily_dates,big_daily_table))),NA(),_xlfn.xlookup(E$3,daily_items,_xlfn.xlookup($C3169,daily_dates,big_daily_table)))</f>
        <v>#NAME?</v>
      </c>
    </row>
    <row r="3170" customFormat="false" ht="14.25" hidden="false" customHeight="false" outlineLevel="0" collapsed="false">
      <c r="B3170" s="7" t="n">
        <v>44075</v>
      </c>
      <c r="C3170" s="7" t="n">
        <f aca="false">B3170-WEEKDAY(B3170)+1</f>
        <v>44073</v>
      </c>
      <c r="D3170" s="1" t="e">
        <f aca="false" t="array" ref="D3170:D3170">IF(ISBLANK(_xlfn.xlookup(D$3,daily_items,_xlfn.xlookup($C3170,daily_dates,big_daily_table))),NA(),_xlfn.xlookup(D$3,daily_items,_xlfn.xlookup($C3170,daily_dates,big_daily_table)))</f>
        <v>#NAME?</v>
      </c>
      <c r="E3170" s="1" t="e">
        <f aca="false" t="array" ref="E3170:E3170">IF(ISBLANK(_xlfn.xlookup(E$3,daily_items,_xlfn.xlookup($C3170,daily_dates,big_daily_table))),NA(),_xlfn.xlookup(E$3,daily_items,_xlfn.xlookup($C3170,daily_dates,big_daily_table)))</f>
        <v>#NAME?</v>
      </c>
    </row>
    <row r="3171" customFormat="false" ht="14.25" hidden="false" customHeight="false" outlineLevel="0" collapsed="false">
      <c r="B3171" s="7" t="n">
        <v>44076</v>
      </c>
      <c r="C3171" s="7" t="n">
        <f aca="false">B3171-WEEKDAY(B3171)+1</f>
        <v>44073</v>
      </c>
      <c r="D3171" s="1" t="e">
        <f aca="false" t="array" ref="D3171:D3171">IF(ISBLANK(_xlfn.xlookup(D$3,daily_items,_xlfn.xlookup($C3171,daily_dates,big_daily_table))),NA(),_xlfn.xlookup(D$3,daily_items,_xlfn.xlookup($C3171,daily_dates,big_daily_table)))</f>
        <v>#NAME?</v>
      </c>
      <c r="E3171" s="1" t="e">
        <f aca="false" t="array" ref="E3171:E3171">IF(ISBLANK(_xlfn.xlookup(E$3,daily_items,_xlfn.xlookup($C3171,daily_dates,big_daily_table))),NA(),_xlfn.xlookup(E$3,daily_items,_xlfn.xlookup($C3171,daily_dates,big_daily_table)))</f>
        <v>#NAME?</v>
      </c>
    </row>
    <row r="3172" customFormat="false" ht="14.25" hidden="false" customHeight="false" outlineLevel="0" collapsed="false">
      <c r="B3172" s="7" t="n">
        <v>44077</v>
      </c>
      <c r="C3172" s="7" t="n">
        <f aca="false">B3172-WEEKDAY(B3172)+1</f>
        <v>44073</v>
      </c>
      <c r="D3172" s="1" t="e">
        <f aca="false" t="array" ref="D3172:D3172">IF(ISBLANK(_xlfn.xlookup(D$3,daily_items,_xlfn.xlookup($C3172,daily_dates,big_daily_table))),NA(),_xlfn.xlookup(D$3,daily_items,_xlfn.xlookup($C3172,daily_dates,big_daily_table)))</f>
        <v>#NAME?</v>
      </c>
      <c r="E3172" s="1" t="e">
        <f aca="false" t="array" ref="E3172:E3172">IF(ISBLANK(_xlfn.xlookup(E$3,daily_items,_xlfn.xlookup($C3172,daily_dates,big_daily_table))),NA(),_xlfn.xlookup(E$3,daily_items,_xlfn.xlookup($C3172,daily_dates,big_daily_table)))</f>
        <v>#NAME?</v>
      </c>
    </row>
    <row r="3173" customFormat="false" ht="14.25" hidden="false" customHeight="false" outlineLevel="0" collapsed="false">
      <c r="B3173" s="7" t="n">
        <v>44078</v>
      </c>
      <c r="C3173" s="7" t="n">
        <f aca="false">B3173-WEEKDAY(B3173)+1</f>
        <v>44073</v>
      </c>
      <c r="D3173" s="1" t="e">
        <f aca="false" t="array" ref="D3173:D3173">IF(ISBLANK(_xlfn.xlookup(D$3,daily_items,_xlfn.xlookup($C3173,daily_dates,big_daily_table))),NA(),_xlfn.xlookup(D$3,daily_items,_xlfn.xlookup($C3173,daily_dates,big_daily_table)))</f>
        <v>#NAME?</v>
      </c>
      <c r="E3173" s="1" t="e">
        <f aca="false" t="array" ref="E3173:E3173">IF(ISBLANK(_xlfn.xlookup(E$3,daily_items,_xlfn.xlookup($C3173,daily_dates,big_daily_table))),NA(),_xlfn.xlookup(E$3,daily_items,_xlfn.xlookup($C3173,daily_dates,big_daily_table)))</f>
        <v>#NAME?</v>
      </c>
    </row>
    <row r="3174" customFormat="false" ht="14.25" hidden="false" customHeight="false" outlineLevel="0" collapsed="false">
      <c r="B3174" s="7" t="n">
        <v>44079</v>
      </c>
      <c r="C3174" s="7" t="n">
        <f aca="false">B3174-WEEKDAY(B3174)+1</f>
        <v>44073</v>
      </c>
      <c r="D3174" s="1" t="e">
        <f aca="false" t="array" ref="D3174:D3174">IF(ISBLANK(_xlfn.xlookup(D$3,daily_items,_xlfn.xlookup($C3174,daily_dates,big_daily_table))),NA(),_xlfn.xlookup(D$3,daily_items,_xlfn.xlookup($C3174,daily_dates,big_daily_table)))</f>
        <v>#NAME?</v>
      </c>
      <c r="E3174" s="1" t="e">
        <f aca="false" t="array" ref="E3174:E3174">IF(ISBLANK(_xlfn.xlookup(E$3,daily_items,_xlfn.xlookup($C3174,daily_dates,big_daily_table))),NA(),_xlfn.xlookup(E$3,daily_items,_xlfn.xlookup($C3174,daily_dates,big_daily_table)))</f>
        <v>#NAME?</v>
      </c>
    </row>
    <row r="3175" customFormat="false" ht="14.25" hidden="false" customHeight="false" outlineLevel="0" collapsed="false">
      <c r="B3175" s="7" t="n">
        <v>44080</v>
      </c>
      <c r="C3175" s="7" t="n">
        <f aca="false">B3175-WEEKDAY(B3175)+1</f>
        <v>44080</v>
      </c>
      <c r="D3175" s="1" t="e">
        <f aca="false" t="array" ref="D3175:D3175">IF(ISBLANK(_xlfn.xlookup(D$3,daily_items,_xlfn.xlookup($C3175,daily_dates,big_daily_table))),NA(),_xlfn.xlookup(D$3,daily_items,_xlfn.xlookup($C3175,daily_dates,big_daily_table)))</f>
        <v>#NAME?</v>
      </c>
      <c r="E3175" s="1" t="e">
        <f aca="false" t="array" ref="E3175:E3175">IF(ISBLANK(_xlfn.xlookup(E$3,daily_items,_xlfn.xlookup($C3175,daily_dates,big_daily_table))),NA(),_xlfn.xlookup(E$3,daily_items,_xlfn.xlookup($C3175,daily_dates,big_daily_table)))</f>
        <v>#NAME?</v>
      </c>
    </row>
    <row r="3176" customFormat="false" ht="14.25" hidden="false" customHeight="false" outlineLevel="0" collapsed="false">
      <c r="B3176" s="7" t="n">
        <v>44081</v>
      </c>
      <c r="C3176" s="7" t="n">
        <f aca="false">B3176-WEEKDAY(B3176)+1</f>
        <v>44080</v>
      </c>
      <c r="D3176" s="1" t="e">
        <f aca="false" t="array" ref="D3176:D3176">IF(ISBLANK(_xlfn.xlookup(D$3,daily_items,_xlfn.xlookup($C3176,daily_dates,big_daily_table))),NA(),_xlfn.xlookup(D$3,daily_items,_xlfn.xlookup($C3176,daily_dates,big_daily_table)))</f>
        <v>#NAME?</v>
      </c>
      <c r="E3176" s="1" t="e">
        <f aca="false" t="array" ref="E3176:E3176">IF(ISBLANK(_xlfn.xlookup(E$3,daily_items,_xlfn.xlookup($C3176,daily_dates,big_daily_table))),NA(),_xlfn.xlookup(E$3,daily_items,_xlfn.xlookup($C3176,daily_dates,big_daily_table)))</f>
        <v>#NAME?</v>
      </c>
    </row>
    <row r="3177" customFormat="false" ht="14.25" hidden="false" customHeight="false" outlineLevel="0" collapsed="false">
      <c r="B3177" s="7" t="n">
        <v>44082</v>
      </c>
      <c r="C3177" s="7" t="n">
        <f aca="false">B3177-WEEKDAY(B3177)+1</f>
        <v>44080</v>
      </c>
      <c r="D3177" s="1" t="e">
        <f aca="false" t="array" ref="D3177:D3177">IF(ISBLANK(_xlfn.xlookup(D$3,daily_items,_xlfn.xlookup($C3177,daily_dates,big_daily_table))),NA(),_xlfn.xlookup(D$3,daily_items,_xlfn.xlookup($C3177,daily_dates,big_daily_table)))</f>
        <v>#NAME?</v>
      </c>
      <c r="E3177" s="1" t="e">
        <f aca="false" t="array" ref="E3177:E3177">IF(ISBLANK(_xlfn.xlookup(E$3,daily_items,_xlfn.xlookup($C3177,daily_dates,big_daily_table))),NA(),_xlfn.xlookup(E$3,daily_items,_xlfn.xlookup($C3177,daily_dates,big_daily_table)))</f>
        <v>#NAME?</v>
      </c>
    </row>
    <row r="3178" customFormat="false" ht="14.25" hidden="false" customHeight="false" outlineLevel="0" collapsed="false">
      <c r="B3178" s="7" t="n">
        <v>44083</v>
      </c>
      <c r="C3178" s="7" t="n">
        <f aca="false">B3178-WEEKDAY(B3178)+1</f>
        <v>44080</v>
      </c>
      <c r="D3178" s="1" t="e">
        <f aca="false" t="array" ref="D3178:D3178">IF(ISBLANK(_xlfn.xlookup(D$3,daily_items,_xlfn.xlookup($C3178,daily_dates,big_daily_table))),NA(),_xlfn.xlookup(D$3,daily_items,_xlfn.xlookup($C3178,daily_dates,big_daily_table)))</f>
        <v>#NAME?</v>
      </c>
      <c r="E3178" s="1" t="e">
        <f aca="false" t="array" ref="E3178:E3178">IF(ISBLANK(_xlfn.xlookup(E$3,daily_items,_xlfn.xlookup($C3178,daily_dates,big_daily_table))),NA(),_xlfn.xlookup(E$3,daily_items,_xlfn.xlookup($C3178,daily_dates,big_daily_table)))</f>
        <v>#NAME?</v>
      </c>
    </row>
    <row r="3179" customFormat="false" ht="14.25" hidden="false" customHeight="false" outlineLevel="0" collapsed="false">
      <c r="B3179" s="7" t="n">
        <v>44084</v>
      </c>
      <c r="C3179" s="7" t="n">
        <f aca="false">B3179-WEEKDAY(B3179)+1</f>
        <v>44080</v>
      </c>
      <c r="D3179" s="1" t="e">
        <f aca="false" t="array" ref="D3179:D3179">IF(ISBLANK(_xlfn.xlookup(D$3,daily_items,_xlfn.xlookup($C3179,daily_dates,big_daily_table))),NA(),_xlfn.xlookup(D$3,daily_items,_xlfn.xlookup($C3179,daily_dates,big_daily_table)))</f>
        <v>#NAME?</v>
      </c>
      <c r="E3179" s="1" t="e">
        <f aca="false" t="array" ref="E3179:E3179">IF(ISBLANK(_xlfn.xlookup(E$3,daily_items,_xlfn.xlookup($C3179,daily_dates,big_daily_table))),NA(),_xlfn.xlookup(E$3,daily_items,_xlfn.xlookup($C3179,daily_dates,big_daily_table)))</f>
        <v>#NAME?</v>
      </c>
    </row>
    <row r="3180" customFormat="false" ht="14.25" hidden="false" customHeight="false" outlineLevel="0" collapsed="false">
      <c r="B3180" s="7" t="n">
        <v>44085</v>
      </c>
      <c r="C3180" s="7" t="n">
        <f aca="false">B3180-WEEKDAY(B3180)+1</f>
        <v>44080</v>
      </c>
      <c r="D3180" s="1" t="e">
        <f aca="false" t="array" ref="D3180:D3180">IF(ISBLANK(_xlfn.xlookup(D$3,daily_items,_xlfn.xlookup($C3180,daily_dates,big_daily_table))),NA(),_xlfn.xlookup(D$3,daily_items,_xlfn.xlookup($C3180,daily_dates,big_daily_table)))</f>
        <v>#NAME?</v>
      </c>
      <c r="E3180" s="1" t="e">
        <f aca="false" t="array" ref="E3180:E3180">IF(ISBLANK(_xlfn.xlookup(E$3,daily_items,_xlfn.xlookup($C3180,daily_dates,big_daily_table))),NA(),_xlfn.xlookup(E$3,daily_items,_xlfn.xlookup($C3180,daily_dates,big_daily_table)))</f>
        <v>#NAME?</v>
      </c>
    </row>
    <row r="3181" customFormat="false" ht="14.25" hidden="false" customHeight="false" outlineLevel="0" collapsed="false">
      <c r="B3181" s="7" t="n">
        <v>44086</v>
      </c>
      <c r="C3181" s="7" t="n">
        <f aca="false">B3181-WEEKDAY(B3181)+1</f>
        <v>44080</v>
      </c>
      <c r="D3181" s="1" t="e">
        <f aca="false" t="array" ref="D3181:D3181">IF(ISBLANK(_xlfn.xlookup(D$3,daily_items,_xlfn.xlookup($C3181,daily_dates,big_daily_table))),NA(),_xlfn.xlookup(D$3,daily_items,_xlfn.xlookup($C3181,daily_dates,big_daily_table)))</f>
        <v>#NAME?</v>
      </c>
      <c r="E3181" s="1" t="e">
        <f aca="false" t="array" ref="E3181:E3181">IF(ISBLANK(_xlfn.xlookup(E$3,daily_items,_xlfn.xlookup($C3181,daily_dates,big_daily_table))),NA(),_xlfn.xlookup(E$3,daily_items,_xlfn.xlookup($C3181,daily_dates,big_daily_table)))</f>
        <v>#NAME?</v>
      </c>
    </row>
    <row r="3182" customFormat="false" ht="14.25" hidden="false" customHeight="false" outlineLevel="0" collapsed="false">
      <c r="B3182" s="7" t="n">
        <v>44087</v>
      </c>
      <c r="C3182" s="7" t="n">
        <f aca="false">B3182-WEEKDAY(B3182)+1</f>
        <v>44087</v>
      </c>
      <c r="D3182" s="1" t="e">
        <f aca="false" t="array" ref="D3182:D3182">IF(ISBLANK(_xlfn.xlookup(D$3,daily_items,_xlfn.xlookup($C3182,daily_dates,big_daily_table))),NA(),_xlfn.xlookup(D$3,daily_items,_xlfn.xlookup($C3182,daily_dates,big_daily_table)))</f>
        <v>#NAME?</v>
      </c>
      <c r="E3182" s="1" t="e">
        <f aca="false" t="array" ref="E3182:E3182">IF(ISBLANK(_xlfn.xlookup(E$3,daily_items,_xlfn.xlookup($C3182,daily_dates,big_daily_table))),NA(),_xlfn.xlookup(E$3,daily_items,_xlfn.xlookup($C3182,daily_dates,big_daily_table)))</f>
        <v>#NAME?</v>
      </c>
    </row>
    <row r="3183" customFormat="false" ht="14.25" hidden="false" customHeight="false" outlineLevel="0" collapsed="false">
      <c r="B3183" s="7" t="n">
        <v>44088</v>
      </c>
      <c r="C3183" s="7" t="n">
        <f aca="false">B3183-WEEKDAY(B3183)+1</f>
        <v>44087</v>
      </c>
      <c r="D3183" s="1" t="e">
        <f aca="false" t="array" ref="D3183:D3183">IF(ISBLANK(_xlfn.xlookup(D$3,daily_items,_xlfn.xlookup($C3183,daily_dates,big_daily_table))),NA(),_xlfn.xlookup(D$3,daily_items,_xlfn.xlookup($C3183,daily_dates,big_daily_table)))</f>
        <v>#NAME?</v>
      </c>
      <c r="E3183" s="1" t="e">
        <f aca="false" t="array" ref="E3183:E3183">IF(ISBLANK(_xlfn.xlookup(E$3,daily_items,_xlfn.xlookup($C3183,daily_dates,big_daily_table))),NA(),_xlfn.xlookup(E$3,daily_items,_xlfn.xlookup($C3183,daily_dates,big_daily_table)))</f>
        <v>#NAME?</v>
      </c>
    </row>
    <row r="3184" customFormat="false" ht="14.25" hidden="false" customHeight="false" outlineLevel="0" collapsed="false">
      <c r="B3184" s="7" t="n">
        <v>44089</v>
      </c>
      <c r="C3184" s="7" t="n">
        <f aca="false">B3184-WEEKDAY(B3184)+1</f>
        <v>44087</v>
      </c>
      <c r="D3184" s="1" t="e">
        <f aca="false" t="array" ref="D3184:D3184">IF(ISBLANK(_xlfn.xlookup(D$3,daily_items,_xlfn.xlookup($C3184,daily_dates,big_daily_table))),NA(),_xlfn.xlookup(D$3,daily_items,_xlfn.xlookup($C3184,daily_dates,big_daily_table)))</f>
        <v>#NAME?</v>
      </c>
      <c r="E3184" s="1" t="e">
        <f aca="false" t="array" ref="E3184:E3184">IF(ISBLANK(_xlfn.xlookup(E$3,daily_items,_xlfn.xlookup($C3184,daily_dates,big_daily_table))),NA(),_xlfn.xlookup(E$3,daily_items,_xlfn.xlookup($C3184,daily_dates,big_daily_table)))</f>
        <v>#NAME?</v>
      </c>
    </row>
    <row r="3185" customFormat="false" ht="14.25" hidden="false" customHeight="false" outlineLevel="0" collapsed="false">
      <c r="B3185" s="7" t="n">
        <v>44090</v>
      </c>
      <c r="C3185" s="7" t="n">
        <f aca="false">B3185-WEEKDAY(B3185)+1</f>
        <v>44087</v>
      </c>
      <c r="D3185" s="1" t="e">
        <f aca="false" t="array" ref="D3185:D3185">IF(ISBLANK(_xlfn.xlookup(D$3,daily_items,_xlfn.xlookup($C3185,daily_dates,big_daily_table))),NA(),_xlfn.xlookup(D$3,daily_items,_xlfn.xlookup($C3185,daily_dates,big_daily_table)))</f>
        <v>#NAME?</v>
      </c>
      <c r="E3185" s="1" t="e">
        <f aca="false" t="array" ref="E3185:E3185">IF(ISBLANK(_xlfn.xlookup(E$3,daily_items,_xlfn.xlookup($C3185,daily_dates,big_daily_table))),NA(),_xlfn.xlookup(E$3,daily_items,_xlfn.xlookup($C3185,daily_dates,big_daily_table)))</f>
        <v>#NAME?</v>
      </c>
    </row>
    <row r="3186" customFormat="false" ht="14.25" hidden="false" customHeight="false" outlineLevel="0" collapsed="false">
      <c r="B3186" s="7" t="n">
        <v>44091</v>
      </c>
      <c r="C3186" s="7" t="n">
        <f aca="false">B3186-WEEKDAY(B3186)+1</f>
        <v>44087</v>
      </c>
      <c r="D3186" s="1" t="e">
        <f aca="false" t="array" ref="D3186:D3186">IF(ISBLANK(_xlfn.xlookup(D$3,daily_items,_xlfn.xlookup($C3186,daily_dates,big_daily_table))),NA(),_xlfn.xlookup(D$3,daily_items,_xlfn.xlookup($C3186,daily_dates,big_daily_table)))</f>
        <v>#NAME?</v>
      </c>
      <c r="E3186" s="1" t="e">
        <f aca="false" t="array" ref="E3186:E3186">IF(ISBLANK(_xlfn.xlookup(E$3,daily_items,_xlfn.xlookup($C3186,daily_dates,big_daily_table))),NA(),_xlfn.xlookup(E$3,daily_items,_xlfn.xlookup($C3186,daily_dates,big_daily_table)))</f>
        <v>#NAME?</v>
      </c>
    </row>
    <row r="3187" customFormat="false" ht="14.25" hidden="false" customHeight="false" outlineLevel="0" collapsed="false">
      <c r="B3187" s="7" t="n">
        <v>44092</v>
      </c>
      <c r="C3187" s="7" t="n">
        <f aca="false">B3187-WEEKDAY(B3187)+1</f>
        <v>44087</v>
      </c>
      <c r="D3187" s="1" t="e">
        <f aca="false" t="array" ref="D3187:D3187">IF(ISBLANK(_xlfn.xlookup(D$3,daily_items,_xlfn.xlookup($C3187,daily_dates,big_daily_table))),NA(),_xlfn.xlookup(D$3,daily_items,_xlfn.xlookup($C3187,daily_dates,big_daily_table)))</f>
        <v>#NAME?</v>
      </c>
      <c r="E3187" s="1" t="e">
        <f aca="false" t="array" ref="E3187:E3187">IF(ISBLANK(_xlfn.xlookup(E$3,daily_items,_xlfn.xlookup($C3187,daily_dates,big_daily_table))),NA(),_xlfn.xlookup(E$3,daily_items,_xlfn.xlookup($C3187,daily_dates,big_daily_table)))</f>
        <v>#NAME?</v>
      </c>
    </row>
    <row r="3188" customFormat="false" ht="14.25" hidden="false" customHeight="false" outlineLevel="0" collapsed="false">
      <c r="B3188" s="7" t="n">
        <v>44093</v>
      </c>
      <c r="C3188" s="7" t="n">
        <f aca="false">B3188-WEEKDAY(B3188)+1</f>
        <v>44087</v>
      </c>
      <c r="D3188" s="1" t="e">
        <f aca="false" t="array" ref="D3188:D3188">IF(ISBLANK(_xlfn.xlookup(D$3,daily_items,_xlfn.xlookup($C3188,daily_dates,big_daily_table))),NA(),_xlfn.xlookup(D$3,daily_items,_xlfn.xlookup($C3188,daily_dates,big_daily_table)))</f>
        <v>#NAME?</v>
      </c>
      <c r="E3188" s="1" t="e">
        <f aca="false" t="array" ref="E3188:E3188">IF(ISBLANK(_xlfn.xlookup(E$3,daily_items,_xlfn.xlookup($C3188,daily_dates,big_daily_table))),NA(),_xlfn.xlookup(E$3,daily_items,_xlfn.xlookup($C3188,daily_dates,big_daily_table)))</f>
        <v>#NAME?</v>
      </c>
    </row>
    <row r="3189" customFormat="false" ht="14.25" hidden="false" customHeight="false" outlineLevel="0" collapsed="false">
      <c r="B3189" s="7" t="n">
        <v>44094</v>
      </c>
      <c r="C3189" s="7" t="n">
        <f aca="false">B3189-WEEKDAY(B3189)+1</f>
        <v>44094</v>
      </c>
      <c r="D3189" s="1" t="e">
        <f aca="false" t="array" ref="D3189:D3189">IF(ISBLANK(_xlfn.xlookup(D$3,daily_items,_xlfn.xlookup($C3189,daily_dates,big_daily_table))),NA(),_xlfn.xlookup(D$3,daily_items,_xlfn.xlookup($C3189,daily_dates,big_daily_table)))</f>
        <v>#NAME?</v>
      </c>
      <c r="E3189" s="1" t="e">
        <f aca="false" t="array" ref="E3189:E3189">IF(ISBLANK(_xlfn.xlookup(E$3,daily_items,_xlfn.xlookup($C3189,daily_dates,big_daily_table))),NA(),_xlfn.xlookup(E$3,daily_items,_xlfn.xlookup($C3189,daily_dates,big_daily_table)))</f>
        <v>#NAME?</v>
      </c>
    </row>
    <row r="3190" customFormat="false" ht="14.25" hidden="false" customHeight="false" outlineLevel="0" collapsed="false">
      <c r="B3190" s="7" t="n">
        <v>44095</v>
      </c>
      <c r="C3190" s="7" t="n">
        <f aca="false">B3190-WEEKDAY(B3190)+1</f>
        <v>44094</v>
      </c>
      <c r="D3190" s="1" t="e">
        <f aca="false" t="array" ref="D3190:D3190">IF(ISBLANK(_xlfn.xlookup(D$3,daily_items,_xlfn.xlookup($C3190,daily_dates,big_daily_table))),NA(),_xlfn.xlookup(D$3,daily_items,_xlfn.xlookup($C3190,daily_dates,big_daily_table)))</f>
        <v>#NAME?</v>
      </c>
      <c r="E3190" s="1" t="e">
        <f aca="false" t="array" ref="E3190:E3190">IF(ISBLANK(_xlfn.xlookup(E$3,daily_items,_xlfn.xlookup($C3190,daily_dates,big_daily_table))),NA(),_xlfn.xlookup(E$3,daily_items,_xlfn.xlookup($C3190,daily_dates,big_daily_table)))</f>
        <v>#NAME?</v>
      </c>
    </row>
    <row r="3191" customFormat="false" ht="14.25" hidden="false" customHeight="false" outlineLevel="0" collapsed="false">
      <c r="B3191" s="7" t="n">
        <v>44096</v>
      </c>
      <c r="C3191" s="7" t="n">
        <f aca="false">B3191-WEEKDAY(B3191)+1</f>
        <v>44094</v>
      </c>
      <c r="D3191" s="1" t="e">
        <f aca="false" t="array" ref="D3191:D3191">IF(ISBLANK(_xlfn.xlookup(D$3,daily_items,_xlfn.xlookup($C3191,daily_dates,big_daily_table))),NA(),_xlfn.xlookup(D$3,daily_items,_xlfn.xlookup($C3191,daily_dates,big_daily_table)))</f>
        <v>#NAME?</v>
      </c>
      <c r="E3191" s="1" t="e">
        <f aca="false" t="array" ref="E3191:E3191">IF(ISBLANK(_xlfn.xlookup(E$3,daily_items,_xlfn.xlookup($C3191,daily_dates,big_daily_table))),NA(),_xlfn.xlookup(E$3,daily_items,_xlfn.xlookup($C3191,daily_dates,big_daily_table)))</f>
        <v>#NAME?</v>
      </c>
    </row>
    <row r="3192" customFormat="false" ht="14.25" hidden="false" customHeight="false" outlineLevel="0" collapsed="false">
      <c r="B3192" s="7" t="n">
        <v>44097</v>
      </c>
      <c r="C3192" s="7" t="n">
        <f aca="false">B3192-WEEKDAY(B3192)+1</f>
        <v>44094</v>
      </c>
      <c r="D3192" s="1" t="e">
        <f aca="false" t="array" ref="D3192:D3192">IF(ISBLANK(_xlfn.xlookup(D$3,daily_items,_xlfn.xlookup($C3192,daily_dates,big_daily_table))),NA(),_xlfn.xlookup(D$3,daily_items,_xlfn.xlookup($C3192,daily_dates,big_daily_table)))</f>
        <v>#NAME?</v>
      </c>
      <c r="E3192" s="1" t="e">
        <f aca="false" t="array" ref="E3192:E3192">IF(ISBLANK(_xlfn.xlookup(E$3,daily_items,_xlfn.xlookup($C3192,daily_dates,big_daily_table))),NA(),_xlfn.xlookup(E$3,daily_items,_xlfn.xlookup($C3192,daily_dates,big_daily_table)))</f>
        <v>#NAME?</v>
      </c>
    </row>
    <row r="3193" customFormat="false" ht="14.25" hidden="false" customHeight="false" outlineLevel="0" collapsed="false">
      <c r="B3193" s="7" t="n">
        <v>44098</v>
      </c>
      <c r="C3193" s="7" t="n">
        <f aca="false">B3193-WEEKDAY(B3193)+1</f>
        <v>44094</v>
      </c>
      <c r="D3193" s="1" t="e">
        <f aca="false" t="array" ref="D3193:D3193">IF(ISBLANK(_xlfn.xlookup(D$3,daily_items,_xlfn.xlookup($C3193,daily_dates,big_daily_table))),NA(),_xlfn.xlookup(D$3,daily_items,_xlfn.xlookup($C3193,daily_dates,big_daily_table)))</f>
        <v>#NAME?</v>
      </c>
      <c r="E3193" s="1" t="e">
        <f aca="false" t="array" ref="E3193:E3193">IF(ISBLANK(_xlfn.xlookup(E$3,daily_items,_xlfn.xlookup($C3193,daily_dates,big_daily_table))),NA(),_xlfn.xlookup(E$3,daily_items,_xlfn.xlookup($C3193,daily_dates,big_daily_table)))</f>
        <v>#NAME?</v>
      </c>
    </row>
    <row r="3194" customFormat="false" ht="14.25" hidden="false" customHeight="false" outlineLevel="0" collapsed="false">
      <c r="B3194" s="7" t="n">
        <v>44099</v>
      </c>
      <c r="C3194" s="7" t="n">
        <f aca="false">B3194-WEEKDAY(B3194)+1</f>
        <v>44094</v>
      </c>
      <c r="D3194" s="1" t="e">
        <f aca="false" t="array" ref="D3194:D3194">IF(ISBLANK(_xlfn.xlookup(D$3,daily_items,_xlfn.xlookup($C3194,daily_dates,big_daily_table))),NA(),_xlfn.xlookup(D$3,daily_items,_xlfn.xlookup($C3194,daily_dates,big_daily_table)))</f>
        <v>#NAME?</v>
      </c>
      <c r="E3194" s="1" t="e">
        <f aca="false" t="array" ref="E3194:E3194">IF(ISBLANK(_xlfn.xlookup(E$3,daily_items,_xlfn.xlookup($C3194,daily_dates,big_daily_table))),NA(),_xlfn.xlookup(E$3,daily_items,_xlfn.xlookup($C3194,daily_dates,big_daily_table)))</f>
        <v>#NAME?</v>
      </c>
    </row>
    <row r="3195" customFormat="false" ht="14.25" hidden="false" customHeight="false" outlineLevel="0" collapsed="false">
      <c r="B3195" s="7" t="n">
        <v>44100</v>
      </c>
      <c r="C3195" s="7" t="n">
        <f aca="false">B3195-WEEKDAY(B3195)+1</f>
        <v>44094</v>
      </c>
      <c r="D3195" s="1" t="e">
        <f aca="false" t="array" ref="D3195:D3195">IF(ISBLANK(_xlfn.xlookup(D$3,daily_items,_xlfn.xlookup($C3195,daily_dates,big_daily_table))),NA(),_xlfn.xlookup(D$3,daily_items,_xlfn.xlookup($C3195,daily_dates,big_daily_table)))</f>
        <v>#NAME?</v>
      </c>
      <c r="E3195" s="1" t="e">
        <f aca="false" t="array" ref="E3195:E3195">IF(ISBLANK(_xlfn.xlookup(E$3,daily_items,_xlfn.xlookup($C3195,daily_dates,big_daily_table))),NA(),_xlfn.xlookup(E$3,daily_items,_xlfn.xlookup($C3195,daily_dates,big_daily_table)))</f>
        <v>#NAME?</v>
      </c>
    </row>
    <row r="3196" customFormat="false" ht="14.25" hidden="false" customHeight="false" outlineLevel="0" collapsed="false">
      <c r="B3196" s="7" t="n">
        <v>44101</v>
      </c>
      <c r="C3196" s="7" t="n">
        <f aca="false">B3196-WEEKDAY(B3196)+1</f>
        <v>44101</v>
      </c>
      <c r="D3196" s="1" t="e">
        <f aca="false" t="array" ref="D3196:D3196">IF(ISBLANK(_xlfn.xlookup(D$3,daily_items,_xlfn.xlookup($C3196,daily_dates,big_daily_table))),NA(),_xlfn.xlookup(D$3,daily_items,_xlfn.xlookup($C3196,daily_dates,big_daily_table)))</f>
        <v>#NAME?</v>
      </c>
      <c r="E3196" s="1" t="e">
        <f aca="false" t="array" ref="E3196:E3196">IF(ISBLANK(_xlfn.xlookup(E$3,daily_items,_xlfn.xlookup($C3196,daily_dates,big_daily_table))),NA(),_xlfn.xlookup(E$3,daily_items,_xlfn.xlookup($C3196,daily_dates,big_daily_table)))</f>
        <v>#NAME?</v>
      </c>
    </row>
    <row r="3197" customFormat="false" ht="14.25" hidden="false" customHeight="false" outlineLevel="0" collapsed="false">
      <c r="B3197" s="7" t="n">
        <v>44102</v>
      </c>
      <c r="C3197" s="7" t="n">
        <f aca="false">B3197-WEEKDAY(B3197)+1</f>
        <v>44101</v>
      </c>
      <c r="D3197" s="1" t="e">
        <f aca="false" t="array" ref="D3197:D3197">IF(ISBLANK(_xlfn.xlookup(D$3,daily_items,_xlfn.xlookup($C3197,daily_dates,big_daily_table))),NA(),_xlfn.xlookup(D$3,daily_items,_xlfn.xlookup($C3197,daily_dates,big_daily_table)))</f>
        <v>#NAME?</v>
      </c>
      <c r="E3197" s="1" t="e">
        <f aca="false" t="array" ref="E3197:E3197">IF(ISBLANK(_xlfn.xlookup(E$3,daily_items,_xlfn.xlookup($C3197,daily_dates,big_daily_table))),NA(),_xlfn.xlookup(E$3,daily_items,_xlfn.xlookup($C3197,daily_dates,big_daily_table)))</f>
        <v>#NAME?</v>
      </c>
    </row>
    <row r="3198" customFormat="false" ht="14.25" hidden="false" customHeight="false" outlineLevel="0" collapsed="false">
      <c r="B3198" s="7" t="n">
        <v>44103</v>
      </c>
      <c r="C3198" s="7" t="n">
        <f aca="false">B3198-WEEKDAY(B3198)+1</f>
        <v>44101</v>
      </c>
      <c r="D3198" s="1" t="e">
        <f aca="false" t="array" ref="D3198:D3198">IF(ISBLANK(_xlfn.xlookup(D$3,daily_items,_xlfn.xlookup($C3198,daily_dates,big_daily_table))),NA(),_xlfn.xlookup(D$3,daily_items,_xlfn.xlookup($C3198,daily_dates,big_daily_table)))</f>
        <v>#NAME?</v>
      </c>
      <c r="E3198" s="1" t="e">
        <f aca="false" t="array" ref="E3198:E3198">IF(ISBLANK(_xlfn.xlookup(E$3,daily_items,_xlfn.xlookup($C3198,daily_dates,big_daily_table))),NA(),_xlfn.xlookup(E$3,daily_items,_xlfn.xlookup($C3198,daily_dates,big_daily_table)))</f>
        <v>#NAME?</v>
      </c>
    </row>
    <row r="3199" customFormat="false" ht="14.25" hidden="false" customHeight="false" outlineLevel="0" collapsed="false">
      <c r="B3199" s="7" t="n">
        <v>44104</v>
      </c>
      <c r="C3199" s="7" t="n">
        <f aca="false">B3199-WEEKDAY(B3199)+1</f>
        <v>44101</v>
      </c>
      <c r="D3199" s="1" t="e">
        <f aca="false" t="array" ref="D3199:D3199">IF(ISBLANK(_xlfn.xlookup(D$3,daily_items,_xlfn.xlookup($C3199,daily_dates,big_daily_table))),NA(),_xlfn.xlookup(D$3,daily_items,_xlfn.xlookup($C3199,daily_dates,big_daily_table)))</f>
        <v>#NAME?</v>
      </c>
      <c r="E3199" s="1" t="e">
        <f aca="false" t="array" ref="E3199:E3199">IF(ISBLANK(_xlfn.xlookup(E$3,daily_items,_xlfn.xlookup($C3199,daily_dates,big_daily_table))),NA(),_xlfn.xlookup(E$3,daily_items,_xlfn.xlookup($C3199,daily_dates,big_daily_table)))</f>
        <v>#NAME?</v>
      </c>
    </row>
    <row r="3200" customFormat="false" ht="14.25" hidden="false" customHeight="false" outlineLevel="0" collapsed="false">
      <c r="B3200" s="7" t="n">
        <v>44105</v>
      </c>
      <c r="C3200" s="7" t="n">
        <f aca="false">B3200-WEEKDAY(B3200)+1</f>
        <v>44101</v>
      </c>
      <c r="D3200" s="1" t="e">
        <f aca="false" t="array" ref="D3200:D3200">IF(ISBLANK(_xlfn.xlookup(D$3,daily_items,_xlfn.xlookup($C3200,daily_dates,big_daily_table))),NA(),_xlfn.xlookup(D$3,daily_items,_xlfn.xlookup($C3200,daily_dates,big_daily_table)))</f>
        <v>#NAME?</v>
      </c>
      <c r="E3200" s="1" t="e">
        <f aca="false" t="array" ref="E3200:E3200">IF(ISBLANK(_xlfn.xlookup(E$3,daily_items,_xlfn.xlookup($C3200,daily_dates,big_daily_table))),NA(),_xlfn.xlookup(E$3,daily_items,_xlfn.xlookup($C3200,daily_dates,big_daily_table)))</f>
        <v>#NAME?</v>
      </c>
    </row>
    <row r="3201" customFormat="false" ht="14.25" hidden="false" customHeight="false" outlineLevel="0" collapsed="false">
      <c r="B3201" s="7" t="n">
        <v>44106</v>
      </c>
      <c r="C3201" s="7" t="n">
        <f aca="false">B3201-WEEKDAY(B3201)+1</f>
        <v>44101</v>
      </c>
      <c r="D3201" s="1" t="e">
        <f aca="false" t="array" ref="D3201:D3201">IF(ISBLANK(_xlfn.xlookup(D$3,daily_items,_xlfn.xlookup($C3201,daily_dates,big_daily_table))),NA(),_xlfn.xlookup(D$3,daily_items,_xlfn.xlookup($C3201,daily_dates,big_daily_table)))</f>
        <v>#NAME?</v>
      </c>
      <c r="E3201" s="1" t="e">
        <f aca="false" t="array" ref="E3201:E3201">IF(ISBLANK(_xlfn.xlookup(E$3,daily_items,_xlfn.xlookup($C3201,daily_dates,big_daily_table))),NA(),_xlfn.xlookup(E$3,daily_items,_xlfn.xlookup($C3201,daily_dates,big_daily_table)))</f>
        <v>#NAME?</v>
      </c>
    </row>
    <row r="3202" customFormat="false" ht="14.25" hidden="false" customHeight="false" outlineLevel="0" collapsed="false">
      <c r="B3202" s="7" t="n">
        <v>44107</v>
      </c>
      <c r="C3202" s="7" t="n">
        <f aca="false">B3202-WEEKDAY(B3202)+1</f>
        <v>44101</v>
      </c>
      <c r="D3202" s="1" t="e">
        <f aca="false" t="array" ref="D3202:D3202">IF(ISBLANK(_xlfn.xlookup(D$3,daily_items,_xlfn.xlookup($C3202,daily_dates,big_daily_table))),NA(),_xlfn.xlookup(D$3,daily_items,_xlfn.xlookup($C3202,daily_dates,big_daily_table)))</f>
        <v>#NAME?</v>
      </c>
      <c r="E3202" s="1" t="e">
        <f aca="false" t="array" ref="E3202:E3202">IF(ISBLANK(_xlfn.xlookup(E$3,daily_items,_xlfn.xlookup($C3202,daily_dates,big_daily_table))),NA(),_xlfn.xlookup(E$3,daily_items,_xlfn.xlookup($C3202,daily_dates,big_daily_table)))</f>
        <v>#NAME?</v>
      </c>
    </row>
    <row r="3203" customFormat="false" ht="14.25" hidden="false" customHeight="false" outlineLevel="0" collapsed="false">
      <c r="B3203" s="7" t="n">
        <v>44108</v>
      </c>
      <c r="C3203" s="7" t="n">
        <f aca="false">B3203-WEEKDAY(B3203)+1</f>
        <v>44108</v>
      </c>
      <c r="D3203" s="1" t="e">
        <f aca="false" t="array" ref="D3203:D3203">IF(ISBLANK(_xlfn.xlookup(D$3,daily_items,_xlfn.xlookup($C3203,daily_dates,big_daily_table))),NA(),_xlfn.xlookup(D$3,daily_items,_xlfn.xlookup($C3203,daily_dates,big_daily_table)))</f>
        <v>#NAME?</v>
      </c>
      <c r="E3203" s="1" t="e">
        <f aca="false" t="array" ref="E3203:E3203">IF(ISBLANK(_xlfn.xlookup(E$3,daily_items,_xlfn.xlookup($C3203,daily_dates,big_daily_table))),NA(),_xlfn.xlookup(E$3,daily_items,_xlfn.xlookup($C3203,daily_dates,big_daily_table)))</f>
        <v>#NAME?</v>
      </c>
    </row>
    <row r="3204" customFormat="false" ht="14.25" hidden="false" customHeight="false" outlineLevel="0" collapsed="false">
      <c r="B3204" s="7" t="n">
        <v>44109</v>
      </c>
      <c r="C3204" s="7" t="n">
        <f aca="false">B3204-WEEKDAY(B3204)+1</f>
        <v>44108</v>
      </c>
      <c r="D3204" s="1" t="e">
        <f aca="false" t="array" ref="D3204:D3204">IF(ISBLANK(_xlfn.xlookup(D$3,daily_items,_xlfn.xlookup($C3204,daily_dates,big_daily_table))),NA(),_xlfn.xlookup(D$3,daily_items,_xlfn.xlookup($C3204,daily_dates,big_daily_table)))</f>
        <v>#NAME?</v>
      </c>
      <c r="E3204" s="1" t="e">
        <f aca="false" t="array" ref="E3204:E3204">IF(ISBLANK(_xlfn.xlookup(E$3,daily_items,_xlfn.xlookup($C3204,daily_dates,big_daily_table))),NA(),_xlfn.xlookup(E$3,daily_items,_xlfn.xlookup($C3204,daily_dates,big_daily_table)))</f>
        <v>#NAME?</v>
      </c>
    </row>
    <row r="3205" customFormat="false" ht="14.25" hidden="false" customHeight="false" outlineLevel="0" collapsed="false">
      <c r="B3205" s="7" t="n">
        <v>44110</v>
      </c>
      <c r="C3205" s="7" t="n">
        <f aca="false">B3205-WEEKDAY(B3205)+1</f>
        <v>44108</v>
      </c>
      <c r="D3205" s="1" t="e">
        <f aca="false" t="array" ref="D3205:D3205">IF(ISBLANK(_xlfn.xlookup(D$3,daily_items,_xlfn.xlookup($C3205,daily_dates,big_daily_table))),NA(),_xlfn.xlookup(D$3,daily_items,_xlfn.xlookup($C3205,daily_dates,big_daily_table)))</f>
        <v>#NAME?</v>
      </c>
      <c r="E3205" s="1" t="e">
        <f aca="false" t="array" ref="E3205:E3205">IF(ISBLANK(_xlfn.xlookup(E$3,daily_items,_xlfn.xlookup($C3205,daily_dates,big_daily_table))),NA(),_xlfn.xlookup(E$3,daily_items,_xlfn.xlookup($C3205,daily_dates,big_daily_table)))</f>
        <v>#NAME?</v>
      </c>
    </row>
    <row r="3206" customFormat="false" ht="14.25" hidden="false" customHeight="false" outlineLevel="0" collapsed="false">
      <c r="B3206" s="7" t="n">
        <v>44111</v>
      </c>
      <c r="C3206" s="7" t="n">
        <f aca="false">B3206-WEEKDAY(B3206)+1</f>
        <v>44108</v>
      </c>
      <c r="D3206" s="1" t="e">
        <f aca="false" t="array" ref="D3206:D3206">IF(ISBLANK(_xlfn.xlookup(D$3,daily_items,_xlfn.xlookup($C3206,daily_dates,big_daily_table))),NA(),_xlfn.xlookup(D$3,daily_items,_xlfn.xlookup($C3206,daily_dates,big_daily_table)))</f>
        <v>#NAME?</v>
      </c>
      <c r="E3206" s="1" t="e">
        <f aca="false" t="array" ref="E3206:E3206">IF(ISBLANK(_xlfn.xlookup(E$3,daily_items,_xlfn.xlookup($C3206,daily_dates,big_daily_table))),NA(),_xlfn.xlookup(E$3,daily_items,_xlfn.xlookup($C3206,daily_dates,big_daily_table)))</f>
        <v>#NAME?</v>
      </c>
    </row>
    <row r="3207" customFormat="false" ht="14.25" hidden="false" customHeight="false" outlineLevel="0" collapsed="false">
      <c r="B3207" s="7" t="n">
        <v>44112</v>
      </c>
      <c r="C3207" s="7" t="n">
        <f aca="false">B3207-WEEKDAY(B3207)+1</f>
        <v>44108</v>
      </c>
      <c r="D3207" s="1" t="e">
        <f aca="false" t="array" ref="D3207:D3207">IF(ISBLANK(_xlfn.xlookup(D$3,daily_items,_xlfn.xlookup($C3207,daily_dates,big_daily_table))),NA(),_xlfn.xlookup(D$3,daily_items,_xlfn.xlookup($C3207,daily_dates,big_daily_table)))</f>
        <v>#NAME?</v>
      </c>
      <c r="E3207" s="1" t="e">
        <f aca="false" t="array" ref="E3207:E3207">IF(ISBLANK(_xlfn.xlookup(E$3,daily_items,_xlfn.xlookup($C3207,daily_dates,big_daily_table))),NA(),_xlfn.xlookup(E$3,daily_items,_xlfn.xlookup($C3207,daily_dates,big_daily_table)))</f>
        <v>#NAME?</v>
      </c>
    </row>
    <row r="3208" customFormat="false" ht="14.25" hidden="false" customHeight="false" outlineLevel="0" collapsed="false">
      <c r="B3208" s="7" t="n">
        <v>44113</v>
      </c>
      <c r="C3208" s="7" t="n">
        <f aca="false">B3208-WEEKDAY(B3208)+1</f>
        <v>44108</v>
      </c>
      <c r="D3208" s="1" t="e">
        <f aca="false" t="array" ref="D3208:D3208">IF(ISBLANK(_xlfn.xlookup(D$3,daily_items,_xlfn.xlookup($C3208,daily_dates,big_daily_table))),NA(),_xlfn.xlookup(D$3,daily_items,_xlfn.xlookup($C3208,daily_dates,big_daily_table)))</f>
        <v>#NAME?</v>
      </c>
      <c r="E3208" s="1" t="e">
        <f aca="false" t="array" ref="E3208:E3208">IF(ISBLANK(_xlfn.xlookup(E$3,daily_items,_xlfn.xlookup($C3208,daily_dates,big_daily_table))),NA(),_xlfn.xlookup(E$3,daily_items,_xlfn.xlookup($C3208,daily_dates,big_daily_table)))</f>
        <v>#NAME?</v>
      </c>
    </row>
    <row r="3209" customFormat="false" ht="14.25" hidden="false" customHeight="false" outlineLevel="0" collapsed="false">
      <c r="B3209" s="7" t="n">
        <v>44114</v>
      </c>
      <c r="C3209" s="7" t="n">
        <f aca="false">B3209-WEEKDAY(B3209)+1</f>
        <v>44108</v>
      </c>
      <c r="D3209" s="1" t="e">
        <f aca="false" t="array" ref="D3209:D3209">IF(ISBLANK(_xlfn.xlookup(D$3,daily_items,_xlfn.xlookup($C3209,daily_dates,big_daily_table))),NA(),_xlfn.xlookup(D$3,daily_items,_xlfn.xlookup($C3209,daily_dates,big_daily_table)))</f>
        <v>#NAME?</v>
      </c>
      <c r="E3209" s="1" t="e">
        <f aca="false" t="array" ref="E3209:E3209">IF(ISBLANK(_xlfn.xlookup(E$3,daily_items,_xlfn.xlookup($C3209,daily_dates,big_daily_table))),NA(),_xlfn.xlookup(E$3,daily_items,_xlfn.xlookup($C3209,daily_dates,big_daily_table)))</f>
        <v>#NAME?</v>
      </c>
    </row>
    <row r="3210" customFormat="false" ht="14.25" hidden="false" customHeight="false" outlineLevel="0" collapsed="false">
      <c r="B3210" s="7" t="n">
        <v>44115</v>
      </c>
      <c r="C3210" s="7" t="n">
        <f aca="false">B3210-WEEKDAY(B3210)+1</f>
        <v>44115</v>
      </c>
      <c r="D3210" s="1" t="e">
        <f aca="false" t="array" ref="D3210:D3210">IF(ISBLANK(_xlfn.xlookup(D$3,daily_items,_xlfn.xlookup($C3210,daily_dates,big_daily_table))),NA(),_xlfn.xlookup(D$3,daily_items,_xlfn.xlookup($C3210,daily_dates,big_daily_table)))</f>
        <v>#NAME?</v>
      </c>
      <c r="E3210" s="1" t="e">
        <f aca="false" t="array" ref="E3210:E3210">IF(ISBLANK(_xlfn.xlookup(E$3,daily_items,_xlfn.xlookup($C3210,daily_dates,big_daily_table))),NA(),_xlfn.xlookup(E$3,daily_items,_xlfn.xlookup($C3210,daily_dates,big_daily_table)))</f>
        <v>#NAME?</v>
      </c>
    </row>
    <row r="3211" customFormat="false" ht="14.25" hidden="false" customHeight="false" outlineLevel="0" collapsed="false">
      <c r="B3211" s="7" t="n">
        <v>44116</v>
      </c>
      <c r="C3211" s="7" t="n">
        <f aca="false">B3211-WEEKDAY(B3211)+1</f>
        <v>44115</v>
      </c>
      <c r="D3211" s="1" t="e">
        <f aca="false" t="array" ref="D3211:D3211">IF(ISBLANK(_xlfn.xlookup(D$3,daily_items,_xlfn.xlookup($C3211,daily_dates,big_daily_table))),NA(),_xlfn.xlookup(D$3,daily_items,_xlfn.xlookup($C3211,daily_dates,big_daily_table)))</f>
        <v>#NAME?</v>
      </c>
      <c r="E3211" s="1" t="e">
        <f aca="false" t="array" ref="E3211:E3211">IF(ISBLANK(_xlfn.xlookup(E$3,daily_items,_xlfn.xlookup($C3211,daily_dates,big_daily_table))),NA(),_xlfn.xlookup(E$3,daily_items,_xlfn.xlookup($C3211,daily_dates,big_daily_table)))</f>
        <v>#NAME?</v>
      </c>
    </row>
    <row r="3212" customFormat="false" ht="14.25" hidden="false" customHeight="false" outlineLevel="0" collapsed="false">
      <c r="B3212" s="7" t="n">
        <v>44117</v>
      </c>
      <c r="C3212" s="7" t="n">
        <f aca="false">B3212-WEEKDAY(B3212)+1</f>
        <v>44115</v>
      </c>
      <c r="D3212" s="1" t="e">
        <f aca="false" t="array" ref="D3212:D3212">IF(ISBLANK(_xlfn.xlookup(D$3,daily_items,_xlfn.xlookup($C3212,daily_dates,big_daily_table))),NA(),_xlfn.xlookup(D$3,daily_items,_xlfn.xlookup($C3212,daily_dates,big_daily_table)))</f>
        <v>#NAME?</v>
      </c>
      <c r="E3212" s="1" t="e">
        <f aca="false" t="array" ref="E3212:E3212">IF(ISBLANK(_xlfn.xlookup(E$3,daily_items,_xlfn.xlookup($C3212,daily_dates,big_daily_table))),NA(),_xlfn.xlookup(E$3,daily_items,_xlfn.xlookup($C3212,daily_dates,big_daily_table)))</f>
        <v>#NAME?</v>
      </c>
    </row>
    <row r="3213" customFormat="false" ht="14.25" hidden="false" customHeight="false" outlineLevel="0" collapsed="false">
      <c r="B3213" s="7" t="n">
        <v>44118</v>
      </c>
      <c r="C3213" s="7" t="n">
        <f aca="false">B3213-WEEKDAY(B3213)+1</f>
        <v>44115</v>
      </c>
      <c r="D3213" s="1" t="e">
        <f aca="false" t="array" ref="D3213:D3213">IF(ISBLANK(_xlfn.xlookup(D$3,daily_items,_xlfn.xlookup($C3213,daily_dates,big_daily_table))),NA(),_xlfn.xlookup(D$3,daily_items,_xlfn.xlookup($C3213,daily_dates,big_daily_table)))</f>
        <v>#NAME?</v>
      </c>
      <c r="E3213" s="1" t="e">
        <f aca="false" t="array" ref="E3213:E3213">IF(ISBLANK(_xlfn.xlookup(E$3,daily_items,_xlfn.xlookup($C3213,daily_dates,big_daily_table))),NA(),_xlfn.xlookup(E$3,daily_items,_xlfn.xlookup($C3213,daily_dates,big_daily_table)))</f>
        <v>#NAME?</v>
      </c>
    </row>
    <row r="3214" customFormat="false" ht="14.25" hidden="false" customHeight="false" outlineLevel="0" collapsed="false">
      <c r="B3214" s="7" t="n">
        <v>44119</v>
      </c>
      <c r="C3214" s="7" t="n">
        <f aca="false">B3214-WEEKDAY(B3214)+1</f>
        <v>44115</v>
      </c>
      <c r="D3214" s="1" t="e">
        <f aca="false" t="array" ref="D3214:D3214">IF(ISBLANK(_xlfn.xlookup(D$3,daily_items,_xlfn.xlookup($C3214,daily_dates,big_daily_table))),NA(),_xlfn.xlookup(D$3,daily_items,_xlfn.xlookup($C3214,daily_dates,big_daily_table)))</f>
        <v>#NAME?</v>
      </c>
      <c r="E3214" s="1" t="e">
        <f aca="false" t="array" ref="E3214:E3214">IF(ISBLANK(_xlfn.xlookup(E$3,daily_items,_xlfn.xlookup($C3214,daily_dates,big_daily_table))),NA(),_xlfn.xlookup(E$3,daily_items,_xlfn.xlookup($C3214,daily_dates,big_daily_table)))</f>
        <v>#NAME?</v>
      </c>
    </row>
    <row r="3215" customFormat="false" ht="14.25" hidden="false" customHeight="false" outlineLevel="0" collapsed="false">
      <c r="B3215" s="7" t="n">
        <v>44120</v>
      </c>
      <c r="C3215" s="7" t="n">
        <f aca="false">B3215-WEEKDAY(B3215)+1</f>
        <v>44115</v>
      </c>
      <c r="D3215" s="1" t="e">
        <f aca="false" t="array" ref="D3215:D3215">IF(ISBLANK(_xlfn.xlookup(D$3,daily_items,_xlfn.xlookup($C3215,daily_dates,big_daily_table))),NA(),_xlfn.xlookup(D$3,daily_items,_xlfn.xlookup($C3215,daily_dates,big_daily_table)))</f>
        <v>#NAME?</v>
      </c>
      <c r="E3215" s="1" t="e">
        <f aca="false" t="array" ref="E3215:E3215">IF(ISBLANK(_xlfn.xlookup(E$3,daily_items,_xlfn.xlookup($C3215,daily_dates,big_daily_table))),NA(),_xlfn.xlookup(E$3,daily_items,_xlfn.xlookup($C3215,daily_dates,big_daily_table)))</f>
        <v>#NAME?</v>
      </c>
    </row>
    <row r="3216" customFormat="false" ht="14.25" hidden="false" customHeight="false" outlineLevel="0" collapsed="false">
      <c r="B3216" s="7" t="n">
        <v>44121</v>
      </c>
      <c r="C3216" s="7" t="n">
        <f aca="false">B3216-WEEKDAY(B3216)+1</f>
        <v>44115</v>
      </c>
      <c r="D3216" s="1" t="e">
        <f aca="false" t="array" ref="D3216:D3216">IF(ISBLANK(_xlfn.xlookup(D$3,daily_items,_xlfn.xlookup($C3216,daily_dates,big_daily_table))),NA(),_xlfn.xlookup(D$3,daily_items,_xlfn.xlookup($C3216,daily_dates,big_daily_table)))</f>
        <v>#NAME?</v>
      </c>
      <c r="E3216" s="1" t="e">
        <f aca="false" t="array" ref="E3216:E3216">IF(ISBLANK(_xlfn.xlookup(E$3,daily_items,_xlfn.xlookup($C3216,daily_dates,big_daily_table))),NA(),_xlfn.xlookup(E$3,daily_items,_xlfn.xlookup($C3216,daily_dates,big_daily_table)))</f>
        <v>#NAME?</v>
      </c>
    </row>
    <row r="3217" customFormat="false" ht="14.25" hidden="false" customHeight="false" outlineLevel="0" collapsed="false">
      <c r="B3217" s="7" t="n">
        <v>44122</v>
      </c>
      <c r="C3217" s="7" t="n">
        <f aca="false">B3217-WEEKDAY(B3217)+1</f>
        <v>44122</v>
      </c>
      <c r="D3217" s="1" t="e">
        <f aca="false" t="array" ref="D3217:D3217">IF(ISBLANK(_xlfn.xlookup(D$3,daily_items,_xlfn.xlookup($C3217,daily_dates,big_daily_table))),NA(),_xlfn.xlookup(D$3,daily_items,_xlfn.xlookup($C3217,daily_dates,big_daily_table)))</f>
        <v>#NAME?</v>
      </c>
      <c r="E3217" s="1" t="e">
        <f aca="false" t="array" ref="E3217:E3217">IF(ISBLANK(_xlfn.xlookup(E$3,daily_items,_xlfn.xlookup($C3217,daily_dates,big_daily_table))),NA(),_xlfn.xlookup(E$3,daily_items,_xlfn.xlookup($C3217,daily_dates,big_daily_table)))</f>
        <v>#NAME?</v>
      </c>
    </row>
    <row r="3218" customFormat="false" ht="14.25" hidden="false" customHeight="false" outlineLevel="0" collapsed="false">
      <c r="B3218" s="7" t="n">
        <v>44123</v>
      </c>
      <c r="C3218" s="7" t="n">
        <f aca="false">B3218-WEEKDAY(B3218)+1</f>
        <v>44122</v>
      </c>
      <c r="D3218" s="1" t="e">
        <f aca="false" t="array" ref="D3218:D3218">IF(ISBLANK(_xlfn.xlookup(D$3,daily_items,_xlfn.xlookup($C3218,daily_dates,big_daily_table))),NA(),_xlfn.xlookup(D$3,daily_items,_xlfn.xlookup($C3218,daily_dates,big_daily_table)))</f>
        <v>#NAME?</v>
      </c>
      <c r="E3218" s="1" t="e">
        <f aca="false" t="array" ref="E3218:E3218">IF(ISBLANK(_xlfn.xlookup(E$3,daily_items,_xlfn.xlookup($C3218,daily_dates,big_daily_table))),NA(),_xlfn.xlookup(E$3,daily_items,_xlfn.xlookup($C3218,daily_dates,big_daily_table)))</f>
        <v>#NAME?</v>
      </c>
    </row>
    <row r="3219" customFormat="false" ht="14.25" hidden="false" customHeight="false" outlineLevel="0" collapsed="false">
      <c r="B3219" s="7" t="n">
        <v>44124</v>
      </c>
      <c r="C3219" s="7" t="n">
        <f aca="false">B3219-WEEKDAY(B3219)+1</f>
        <v>44122</v>
      </c>
      <c r="D3219" s="1" t="e">
        <f aca="false" t="array" ref="D3219:D3219">IF(ISBLANK(_xlfn.xlookup(D$3,daily_items,_xlfn.xlookup($C3219,daily_dates,big_daily_table))),NA(),_xlfn.xlookup(D$3,daily_items,_xlfn.xlookup($C3219,daily_dates,big_daily_table)))</f>
        <v>#NAME?</v>
      </c>
      <c r="E3219" s="1" t="e">
        <f aca="false" t="array" ref="E3219:E3219">IF(ISBLANK(_xlfn.xlookup(E$3,daily_items,_xlfn.xlookup($C3219,daily_dates,big_daily_table))),NA(),_xlfn.xlookup(E$3,daily_items,_xlfn.xlookup($C3219,daily_dates,big_daily_table)))</f>
        <v>#NAME?</v>
      </c>
    </row>
    <row r="3220" customFormat="false" ht="14.25" hidden="false" customHeight="false" outlineLevel="0" collapsed="false">
      <c r="B3220" s="7" t="n">
        <v>44125</v>
      </c>
      <c r="C3220" s="7" t="n">
        <f aca="false">B3220-WEEKDAY(B3220)+1</f>
        <v>44122</v>
      </c>
      <c r="D3220" s="1" t="e">
        <f aca="false" t="array" ref="D3220:D3220">IF(ISBLANK(_xlfn.xlookup(D$3,daily_items,_xlfn.xlookup($C3220,daily_dates,big_daily_table))),NA(),_xlfn.xlookup(D$3,daily_items,_xlfn.xlookup($C3220,daily_dates,big_daily_table)))</f>
        <v>#NAME?</v>
      </c>
      <c r="E3220" s="1" t="e">
        <f aca="false" t="array" ref="E3220:E3220">IF(ISBLANK(_xlfn.xlookup(E$3,daily_items,_xlfn.xlookup($C3220,daily_dates,big_daily_table))),NA(),_xlfn.xlookup(E$3,daily_items,_xlfn.xlookup($C3220,daily_dates,big_daily_table)))</f>
        <v>#NAME?</v>
      </c>
    </row>
    <row r="3221" customFormat="false" ht="14.25" hidden="false" customHeight="false" outlineLevel="0" collapsed="false">
      <c r="B3221" s="7" t="n">
        <v>44126</v>
      </c>
      <c r="C3221" s="7" t="n">
        <f aca="false">B3221-WEEKDAY(B3221)+1</f>
        <v>44122</v>
      </c>
      <c r="D3221" s="1" t="e">
        <f aca="false" t="array" ref="D3221:D3221">IF(ISBLANK(_xlfn.xlookup(D$3,daily_items,_xlfn.xlookup($C3221,daily_dates,big_daily_table))),NA(),_xlfn.xlookup(D$3,daily_items,_xlfn.xlookup($C3221,daily_dates,big_daily_table)))</f>
        <v>#NAME?</v>
      </c>
      <c r="E3221" s="1" t="e">
        <f aca="false" t="array" ref="E3221:E3221">IF(ISBLANK(_xlfn.xlookup(E$3,daily_items,_xlfn.xlookup($C3221,daily_dates,big_daily_table))),NA(),_xlfn.xlookup(E$3,daily_items,_xlfn.xlookup($C3221,daily_dates,big_daily_table)))</f>
        <v>#NAME?</v>
      </c>
    </row>
    <row r="3222" customFormat="false" ht="14.25" hidden="false" customHeight="false" outlineLevel="0" collapsed="false">
      <c r="B3222" s="7" t="n">
        <v>44127</v>
      </c>
      <c r="C3222" s="7" t="n">
        <f aca="false">B3222-WEEKDAY(B3222)+1</f>
        <v>44122</v>
      </c>
      <c r="D3222" s="1" t="e">
        <f aca="false" t="array" ref="D3222:D3222">IF(ISBLANK(_xlfn.xlookup(D$3,daily_items,_xlfn.xlookup($C3222,daily_dates,big_daily_table))),NA(),_xlfn.xlookup(D$3,daily_items,_xlfn.xlookup($C3222,daily_dates,big_daily_table)))</f>
        <v>#NAME?</v>
      </c>
      <c r="E3222" s="1" t="e">
        <f aca="false" t="array" ref="E3222:E3222">IF(ISBLANK(_xlfn.xlookup(E$3,daily_items,_xlfn.xlookup($C3222,daily_dates,big_daily_table))),NA(),_xlfn.xlookup(E$3,daily_items,_xlfn.xlookup($C3222,daily_dates,big_daily_table)))</f>
        <v>#NAME?</v>
      </c>
    </row>
    <row r="3223" customFormat="false" ht="14.25" hidden="false" customHeight="false" outlineLevel="0" collapsed="false">
      <c r="B3223" s="7" t="n">
        <v>44128</v>
      </c>
      <c r="C3223" s="7" t="n">
        <f aca="false">B3223-WEEKDAY(B3223)+1</f>
        <v>44122</v>
      </c>
      <c r="D3223" s="1" t="e">
        <f aca="false" t="array" ref="D3223:D3223">IF(ISBLANK(_xlfn.xlookup(D$3,daily_items,_xlfn.xlookup($C3223,daily_dates,big_daily_table))),NA(),_xlfn.xlookup(D$3,daily_items,_xlfn.xlookup($C3223,daily_dates,big_daily_table)))</f>
        <v>#NAME?</v>
      </c>
      <c r="E3223" s="1" t="e">
        <f aca="false" t="array" ref="E3223:E3223">IF(ISBLANK(_xlfn.xlookup(E$3,daily_items,_xlfn.xlookup($C3223,daily_dates,big_daily_table))),NA(),_xlfn.xlookup(E$3,daily_items,_xlfn.xlookup($C3223,daily_dates,big_daily_table)))</f>
        <v>#NAME?</v>
      </c>
    </row>
    <row r="3224" customFormat="false" ht="14.25" hidden="false" customHeight="false" outlineLevel="0" collapsed="false">
      <c r="B3224" s="7" t="n">
        <v>44129</v>
      </c>
      <c r="C3224" s="7" t="n">
        <f aca="false">B3224-WEEKDAY(B3224)+1</f>
        <v>44129</v>
      </c>
      <c r="D3224" s="1" t="e">
        <f aca="false" t="array" ref="D3224:D3224">IF(ISBLANK(_xlfn.xlookup(D$3,daily_items,_xlfn.xlookup($C3224,daily_dates,big_daily_table))),NA(),_xlfn.xlookup(D$3,daily_items,_xlfn.xlookup($C3224,daily_dates,big_daily_table)))</f>
        <v>#NAME?</v>
      </c>
      <c r="E3224" s="1" t="e">
        <f aca="false" t="array" ref="E3224:E3224">IF(ISBLANK(_xlfn.xlookup(E$3,daily_items,_xlfn.xlookup($C3224,daily_dates,big_daily_table))),NA(),_xlfn.xlookup(E$3,daily_items,_xlfn.xlookup($C3224,daily_dates,big_daily_table)))</f>
        <v>#NAME?</v>
      </c>
    </row>
    <row r="3225" customFormat="false" ht="14.25" hidden="false" customHeight="false" outlineLevel="0" collapsed="false">
      <c r="B3225" s="7" t="n">
        <v>44130</v>
      </c>
      <c r="C3225" s="7" t="n">
        <f aca="false">B3225-WEEKDAY(B3225)+1</f>
        <v>44129</v>
      </c>
      <c r="D3225" s="1" t="e">
        <f aca="false" t="array" ref="D3225:D3225">IF(ISBLANK(_xlfn.xlookup(D$3,daily_items,_xlfn.xlookup($C3225,daily_dates,big_daily_table))),NA(),_xlfn.xlookup(D$3,daily_items,_xlfn.xlookup($C3225,daily_dates,big_daily_table)))</f>
        <v>#NAME?</v>
      </c>
      <c r="E3225" s="1" t="e">
        <f aca="false" t="array" ref="E3225:E3225">IF(ISBLANK(_xlfn.xlookup(E$3,daily_items,_xlfn.xlookup($C3225,daily_dates,big_daily_table))),NA(),_xlfn.xlookup(E$3,daily_items,_xlfn.xlookup($C3225,daily_dates,big_daily_table)))</f>
        <v>#NAME?</v>
      </c>
    </row>
    <row r="3226" customFormat="false" ht="14.25" hidden="false" customHeight="false" outlineLevel="0" collapsed="false">
      <c r="B3226" s="7" t="n">
        <v>44131</v>
      </c>
      <c r="C3226" s="7" t="n">
        <f aca="false">B3226-WEEKDAY(B3226)+1</f>
        <v>44129</v>
      </c>
      <c r="D3226" s="1" t="e">
        <f aca="false" t="array" ref="D3226:D3226">IF(ISBLANK(_xlfn.xlookup(D$3,daily_items,_xlfn.xlookup($C3226,daily_dates,big_daily_table))),NA(),_xlfn.xlookup(D$3,daily_items,_xlfn.xlookup($C3226,daily_dates,big_daily_table)))</f>
        <v>#NAME?</v>
      </c>
      <c r="E3226" s="1" t="e">
        <f aca="false" t="array" ref="E3226:E3226">IF(ISBLANK(_xlfn.xlookup(E$3,daily_items,_xlfn.xlookup($C3226,daily_dates,big_daily_table))),NA(),_xlfn.xlookup(E$3,daily_items,_xlfn.xlookup($C3226,daily_dates,big_daily_table)))</f>
        <v>#NAME?</v>
      </c>
    </row>
    <row r="3227" customFormat="false" ht="14.25" hidden="false" customHeight="false" outlineLevel="0" collapsed="false">
      <c r="B3227" s="7" t="n">
        <v>44132</v>
      </c>
      <c r="C3227" s="7" t="n">
        <f aca="false">B3227-WEEKDAY(B3227)+1</f>
        <v>44129</v>
      </c>
      <c r="D3227" s="1" t="e">
        <f aca="false" t="array" ref="D3227:D3227">IF(ISBLANK(_xlfn.xlookup(D$3,daily_items,_xlfn.xlookup($C3227,daily_dates,big_daily_table))),NA(),_xlfn.xlookup(D$3,daily_items,_xlfn.xlookup($C3227,daily_dates,big_daily_table)))</f>
        <v>#NAME?</v>
      </c>
      <c r="E3227" s="1" t="e">
        <f aca="false" t="array" ref="E3227:E3227">IF(ISBLANK(_xlfn.xlookup(E$3,daily_items,_xlfn.xlookup($C3227,daily_dates,big_daily_table))),NA(),_xlfn.xlookup(E$3,daily_items,_xlfn.xlookup($C3227,daily_dates,big_daily_table)))</f>
        <v>#NAME?</v>
      </c>
    </row>
    <row r="3228" customFormat="false" ht="14.25" hidden="false" customHeight="false" outlineLevel="0" collapsed="false">
      <c r="B3228" s="7" t="n">
        <v>44133</v>
      </c>
      <c r="C3228" s="7" t="n">
        <f aca="false">B3228-WEEKDAY(B3228)+1</f>
        <v>44129</v>
      </c>
      <c r="D3228" s="1" t="e">
        <f aca="false" t="array" ref="D3228:D3228">IF(ISBLANK(_xlfn.xlookup(D$3,daily_items,_xlfn.xlookup($C3228,daily_dates,big_daily_table))),NA(),_xlfn.xlookup(D$3,daily_items,_xlfn.xlookup($C3228,daily_dates,big_daily_table)))</f>
        <v>#NAME?</v>
      </c>
      <c r="E3228" s="1" t="e">
        <f aca="false" t="array" ref="E3228:E3228">IF(ISBLANK(_xlfn.xlookup(E$3,daily_items,_xlfn.xlookup($C3228,daily_dates,big_daily_table))),NA(),_xlfn.xlookup(E$3,daily_items,_xlfn.xlookup($C3228,daily_dates,big_daily_table)))</f>
        <v>#NAME?</v>
      </c>
    </row>
    <row r="3229" customFormat="false" ht="14.25" hidden="false" customHeight="false" outlineLevel="0" collapsed="false">
      <c r="B3229" s="7" t="n">
        <v>44134</v>
      </c>
      <c r="C3229" s="7" t="n">
        <f aca="false">B3229-WEEKDAY(B3229)+1</f>
        <v>44129</v>
      </c>
      <c r="D3229" s="1" t="e">
        <f aca="false" t="array" ref="D3229:D3229">IF(ISBLANK(_xlfn.xlookup(D$3,daily_items,_xlfn.xlookup($C3229,daily_dates,big_daily_table))),NA(),_xlfn.xlookup(D$3,daily_items,_xlfn.xlookup($C3229,daily_dates,big_daily_table)))</f>
        <v>#NAME?</v>
      </c>
      <c r="E3229" s="1" t="e">
        <f aca="false" t="array" ref="E3229:E3229">IF(ISBLANK(_xlfn.xlookup(E$3,daily_items,_xlfn.xlookup($C3229,daily_dates,big_daily_table))),NA(),_xlfn.xlookup(E$3,daily_items,_xlfn.xlookup($C3229,daily_dates,big_daily_table)))</f>
        <v>#NAME?</v>
      </c>
    </row>
    <row r="3230" customFormat="false" ht="14.25" hidden="false" customHeight="false" outlineLevel="0" collapsed="false">
      <c r="B3230" s="7" t="n">
        <v>44135</v>
      </c>
      <c r="C3230" s="7" t="n">
        <f aca="false">B3230-WEEKDAY(B3230)+1</f>
        <v>44129</v>
      </c>
      <c r="D3230" s="1" t="e">
        <f aca="false" t="array" ref="D3230:D3230">IF(ISBLANK(_xlfn.xlookup(D$3,daily_items,_xlfn.xlookup($C3230,daily_dates,big_daily_table))),NA(),_xlfn.xlookup(D$3,daily_items,_xlfn.xlookup($C3230,daily_dates,big_daily_table)))</f>
        <v>#NAME?</v>
      </c>
      <c r="E3230" s="1" t="e">
        <f aca="false" t="array" ref="E3230:E3230">IF(ISBLANK(_xlfn.xlookup(E$3,daily_items,_xlfn.xlookup($C3230,daily_dates,big_daily_table))),NA(),_xlfn.xlookup(E$3,daily_items,_xlfn.xlookup($C3230,daily_dates,big_daily_table)))</f>
        <v>#NAME?</v>
      </c>
    </row>
    <row r="3231" customFormat="false" ht="14.25" hidden="false" customHeight="false" outlineLevel="0" collapsed="false">
      <c r="B3231" s="7" t="n">
        <v>44136</v>
      </c>
      <c r="C3231" s="7" t="n">
        <f aca="false">B3231-WEEKDAY(B3231)+1</f>
        <v>44136</v>
      </c>
      <c r="D3231" s="1" t="e">
        <f aca="false" t="array" ref="D3231:D3231">IF(ISBLANK(_xlfn.xlookup(D$3,daily_items,_xlfn.xlookup($C3231,daily_dates,big_daily_table))),NA(),_xlfn.xlookup(D$3,daily_items,_xlfn.xlookup($C3231,daily_dates,big_daily_table)))</f>
        <v>#NAME?</v>
      </c>
      <c r="E3231" s="1" t="e">
        <f aca="false" t="array" ref="E3231:E3231">IF(ISBLANK(_xlfn.xlookup(E$3,daily_items,_xlfn.xlookup($C3231,daily_dates,big_daily_table))),NA(),_xlfn.xlookup(E$3,daily_items,_xlfn.xlookup($C3231,daily_dates,big_daily_table)))</f>
        <v>#NAME?</v>
      </c>
    </row>
    <row r="3232" customFormat="false" ht="14.25" hidden="false" customHeight="false" outlineLevel="0" collapsed="false">
      <c r="B3232" s="7" t="n">
        <v>44137</v>
      </c>
      <c r="C3232" s="7" t="n">
        <f aca="false">B3232-WEEKDAY(B3232)+1</f>
        <v>44136</v>
      </c>
      <c r="D3232" s="1" t="e">
        <f aca="false" t="array" ref="D3232:D3232">IF(ISBLANK(_xlfn.xlookup(D$3,daily_items,_xlfn.xlookup($C3232,daily_dates,big_daily_table))),NA(),_xlfn.xlookup(D$3,daily_items,_xlfn.xlookup($C3232,daily_dates,big_daily_table)))</f>
        <v>#NAME?</v>
      </c>
      <c r="E3232" s="1" t="e">
        <f aca="false" t="array" ref="E3232:E3232">IF(ISBLANK(_xlfn.xlookup(E$3,daily_items,_xlfn.xlookup($C3232,daily_dates,big_daily_table))),NA(),_xlfn.xlookup(E$3,daily_items,_xlfn.xlookup($C3232,daily_dates,big_daily_table)))</f>
        <v>#NAME?</v>
      </c>
    </row>
    <row r="3233" customFormat="false" ht="14.25" hidden="false" customHeight="false" outlineLevel="0" collapsed="false">
      <c r="B3233" s="7" t="n">
        <v>44138</v>
      </c>
      <c r="C3233" s="7" t="n">
        <f aca="false">B3233-WEEKDAY(B3233)+1</f>
        <v>44136</v>
      </c>
      <c r="D3233" s="1" t="e">
        <f aca="false" t="array" ref="D3233:D3233">IF(ISBLANK(_xlfn.xlookup(D$3,daily_items,_xlfn.xlookup($C3233,daily_dates,big_daily_table))),NA(),_xlfn.xlookup(D$3,daily_items,_xlfn.xlookup($C3233,daily_dates,big_daily_table)))</f>
        <v>#NAME?</v>
      </c>
      <c r="E3233" s="1" t="e">
        <f aca="false" t="array" ref="E3233:E3233">IF(ISBLANK(_xlfn.xlookup(E$3,daily_items,_xlfn.xlookup($C3233,daily_dates,big_daily_table))),NA(),_xlfn.xlookup(E$3,daily_items,_xlfn.xlookup($C3233,daily_dates,big_daily_table)))</f>
        <v>#NAME?</v>
      </c>
    </row>
    <row r="3234" customFormat="false" ht="14.25" hidden="false" customHeight="false" outlineLevel="0" collapsed="false">
      <c r="B3234" s="7" t="n">
        <v>44139</v>
      </c>
      <c r="C3234" s="7" t="n">
        <f aca="false">B3234-WEEKDAY(B3234)+1</f>
        <v>44136</v>
      </c>
      <c r="D3234" s="1" t="e">
        <f aca="false" t="array" ref="D3234:D3234">IF(ISBLANK(_xlfn.xlookup(D$3,daily_items,_xlfn.xlookup($C3234,daily_dates,big_daily_table))),NA(),_xlfn.xlookup(D$3,daily_items,_xlfn.xlookup($C3234,daily_dates,big_daily_table)))</f>
        <v>#NAME?</v>
      </c>
      <c r="E3234" s="1" t="e">
        <f aca="false" t="array" ref="E3234:E3234">IF(ISBLANK(_xlfn.xlookup(E$3,daily_items,_xlfn.xlookup($C3234,daily_dates,big_daily_table))),NA(),_xlfn.xlookup(E$3,daily_items,_xlfn.xlookup($C3234,daily_dates,big_daily_table)))</f>
        <v>#NAME?</v>
      </c>
    </row>
    <row r="3235" customFormat="false" ht="14.25" hidden="false" customHeight="false" outlineLevel="0" collapsed="false">
      <c r="B3235" s="7" t="n">
        <v>44140</v>
      </c>
      <c r="C3235" s="7" t="n">
        <f aca="false">B3235-WEEKDAY(B3235)+1</f>
        <v>44136</v>
      </c>
      <c r="D3235" s="1" t="e">
        <f aca="false" t="array" ref="D3235:D3235">IF(ISBLANK(_xlfn.xlookup(D$3,daily_items,_xlfn.xlookup($C3235,daily_dates,big_daily_table))),NA(),_xlfn.xlookup(D$3,daily_items,_xlfn.xlookup($C3235,daily_dates,big_daily_table)))</f>
        <v>#NAME?</v>
      </c>
      <c r="E3235" s="1" t="e">
        <f aca="false" t="array" ref="E3235:E3235">IF(ISBLANK(_xlfn.xlookup(E$3,daily_items,_xlfn.xlookup($C3235,daily_dates,big_daily_table))),NA(),_xlfn.xlookup(E$3,daily_items,_xlfn.xlookup($C3235,daily_dates,big_daily_table)))</f>
        <v>#NAME?</v>
      </c>
    </row>
    <row r="3236" customFormat="false" ht="14.25" hidden="false" customHeight="false" outlineLevel="0" collapsed="false">
      <c r="B3236" s="7" t="n">
        <v>44141</v>
      </c>
      <c r="C3236" s="7" t="n">
        <f aca="false">B3236-WEEKDAY(B3236)+1</f>
        <v>44136</v>
      </c>
      <c r="D3236" s="1" t="e">
        <f aca="false" t="array" ref="D3236:D3236">IF(ISBLANK(_xlfn.xlookup(D$3,daily_items,_xlfn.xlookup($C3236,daily_dates,big_daily_table))),NA(),_xlfn.xlookup(D$3,daily_items,_xlfn.xlookup($C3236,daily_dates,big_daily_table)))</f>
        <v>#NAME?</v>
      </c>
      <c r="E3236" s="1" t="e">
        <f aca="false" t="array" ref="E3236:E3236">IF(ISBLANK(_xlfn.xlookup(E$3,daily_items,_xlfn.xlookup($C3236,daily_dates,big_daily_table))),NA(),_xlfn.xlookup(E$3,daily_items,_xlfn.xlookup($C3236,daily_dates,big_daily_table)))</f>
        <v>#NAME?</v>
      </c>
    </row>
    <row r="3237" customFormat="false" ht="14.25" hidden="false" customHeight="false" outlineLevel="0" collapsed="false">
      <c r="B3237" s="7" t="n">
        <v>44142</v>
      </c>
      <c r="C3237" s="7" t="n">
        <f aca="false">B3237-WEEKDAY(B3237)+1</f>
        <v>44136</v>
      </c>
      <c r="D3237" s="1" t="e">
        <f aca="false" t="array" ref="D3237:D3237">IF(ISBLANK(_xlfn.xlookup(D$3,daily_items,_xlfn.xlookup($C3237,daily_dates,big_daily_table))),NA(),_xlfn.xlookup(D$3,daily_items,_xlfn.xlookup($C3237,daily_dates,big_daily_table)))</f>
        <v>#NAME?</v>
      </c>
      <c r="E3237" s="1" t="e">
        <f aca="false" t="array" ref="E3237:E3237">IF(ISBLANK(_xlfn.xlookup(E$3,daily_items,_xlfn.xlookup($C3237,daily_dates,big_daily_table))),NA(),_xlfn.xlookup(E$3,daily_items,_xlfn.xlookup($C3237,daily_dates,big_daily_table)))</f>
        <v>#NAME?</v>
      </c>
    </row>
    <row r="3238" customFormat="false" ht="14.25" hidden="false" customHeight="false" outlineLevel="0" collapsed="false">
      <c r="B3238" s="7" t="n">
        <v>44143</v>
      </c>
      <c r="C3238" s="7" t="n">
        <f aca="false">B3238-WEEKDAY(B3238)+1</f>
        <v>44143</v>
      </c>
      <c r="D3238" s="1" t="e">
        <f aca="false" t="array" ref="D3238:D3238">IF(ISBLANK(_xlfn.xlookup(D$3,daily_items,_xlfn.xlookup($C3238,daily_dates,big_daily_table))),NA(),_xlfn.xlookup(D$3,daily_items,_xlfn.xlookup($C3238,daily_dates,big_daily_table)))</f>
        <v>#NAME?</v>
      </c>
      <c r="E3238" s="1" t="e">
        <f aca="false" t="array" ref="E3238:E3238">IF(ISBLANK(_xlfn.xlookup(E$3,daily_items,_xlfn.xlookup($C3238,daily_dates,big_daily_table))),NA(),_xlfn.xlookup(E$3,daily_items,_xlfn.xlookup($C3238,daily_dates,big_daily_table)))</f>
        <v>#NAME?</v>
      </c>
    </row>
    <row r="3239" customFormat="false" ht="14.25" hidden="false" customHeight="false" outlineLevel="0" collapsed="false">
      <c r="B3239" s="7" t="n">
        <v>44144</v>
      </c>
      <c r="C3239" s="7" t="n">
        <f aca="false">B3239-WEEKDAY(B3239)+1</f>
        <v>44143</v>
      </c>
      <c r="D3239" s="1" t="e">
        <f aca="false" t="array" ref="D3239:D3239">IF(ISBLANK(_xlfn.xlookup(D$3,daily_items,_xlfn.xlookup($C3239,daily_dates,big_daily_table))),NA(),_xlfn.xlookup(D$3,daily_items,_xlfn.xlookup($C3239,daily_dates,big_daily_table)))</f>
        <v>#NAME?</v>
      </c>
      <c r="E3239" s="1" t="e">
        <f aca="false" t="array" ref="E3239:E3239">IF(ISBLANK(_xlfn.xlookup(E$3,daily_items,_xlfn.xlookup($C3239,daily_dates,big_daily_table))),NA(),_xlfn.xlookup(E$3,daily_items,_xlfn.xlookup($C3239,daily_dates,big_daily_table)))</f>
        <v>#NAME?</v>
      </c>
    </row>
    <row r="3240" customFormat="false" ht="14.25" hidden="false" customHeight="false" outlineLevel="0" collapsed="false">
      <c r="B3240" s="7" t="n">
        <v>44145</v>
      </c>
      <c r="C3240" s="7" t="n">
        <f aca="false">B3240-WEEKDAY(B3240)+1</f>
        <v>44143</v>
      </c>
      <c r="D3240" s="1" t="e">
        <f aca="false" t="array" ref="D3240:D3240">IF(ISBLANK(_xlfn.xlookup(D$3,daily_items,_xlfn.xlookup($C3240,daily_dates,big_daily_table))),NA(),_xlfn.xlookup(D$3,daily_items,_xlfn.xlookup($C3240,daily_dates,big_daily_table)))</f>
        <v>#NAME?</v>
      </c>
      <c r="E3240" s="1" t="e">
        <f aca="false" t="array" ref="E3240:E3240">IF(ISBLANK(_xlfn.xlookup(E$3,daily_items,_xlfn.xlookup($C3240,daily_dates,big_daily_table))),NA(),_xlfn.xlookup(E$3,daily_items,_xlfn.xlookup($C3240,daily_dates,big_daily_table)))</f>
        <v>#NAME?</v>
      </c>
    </row>
    <row r="3241" customFormat="false" ht="14.25" hidden="false" customHeight="false" outlineLevel="0" collapsed="false">
      <c r="B3241" s="7" t="n">
        <v>44146</v>
      </c>
      <c r="C3241" s="7" t="n">
        <f aca="false">B3241-WEEKDAY(B3241)+1</f>
        <v>44143</v>
      </c>
      <c r="D3241" s="1" t="e">
        <f aca="false" t="array" ref="D3241:D3241">IF(ISBLANK(_xlfn.xlookup(D$3,daily_items,_xlfn.xlookup($C3241,daily_dates,big_daily_table))),NA(),_xlfn.xlookup(D$3,daily_items,_xlfn.xlookup($C3241,daily_dates,big_daily_table)))</f>
        <v>#NAME?</v>
      </c>
      <c r="E3241" s="1" t="e">
        <f aca="false" t="array" ref="E3241:E3241">IF(ISBLANK(_xlfn.xlookup(E$3,daily_items,_xlfn.xlookup($C3241,daily_dates,big_daily_table))),NA(),_xlfn.xlookup(E$3,daily_items,_xlfn.xlookup($C3241,daily_dates,big_daily_table)))</f>
        <v>#NAME?</v>
      </c>
    </row>
    <row r="3242" customFormat="false" ht="14.25" hidden="false" customHeight="false" outlineLevel="0" collapsed="false">
      <c r="B3242" s="7" t="n">
        <v>44147</v>
      </c>
      <c r="C3242" s="7" t="n">
        <f aca="false">B3242-WEEKDAY(B3242)+1</f>
        <v>44143</v>
      </c>
      <c r="D3242" s="1" t="e">
        <f aca="false" t="array" ref="D3242:D3242">IF(ISBLANK(_xlfn.xlookup(D$3,daily_items,_xlfn.xlookup($C3242,daily_dates,big_daily_table))),NA(),_xlfn.xlookup(D$3,daily_items,_xlfn.xlookup($C3242,daily_dates,big_daily_table)))</f>
        <v>#NAME?</v>
      </c>
      <c r="E3242" s="1" t="e">
        <f aca="false" t="array" ref="E3242:E3242">IF(ISBLANK(_xlfn.xlookup(E$3,daily_items,_xlfn.xlookup($C3242,daily_dates,big_daily_table))),NA(),_xlfn.xlookup(E$3,daily_items,_xlfn.xlookup($C3242,daily_dates,big_daily_table)))</f>
        <v>#NAME?</v>
      </c>
    </row>
    <row r="3243" customFormat="false" ht="14.25" hidden="false" customHeight="false" outlineLevel="0" collapsed="false">
      <c r="B3243" s="7" t="n">
        <v>44148</v>
      </c>
      <c r="C3243" s="7" t="n">
        <f aca="false">B3243-WEEKDAY(B3243)+1</f>
        <v>44143</v>
      </c>
      <c r="D3243" s="1" t="e">
        <f aca="false" t="array" ref="D3243:D3243">IF(ISBLANK(_xlfn.xlookup(D$3,daily_items,_xlfn.xlookup($C3243,daily_dates,big_daily_table))),NA(),_xlfn.xlookup(D$3,daily_items,_xlfn.xlookup($C3243,daily_dates,big_daily_table)))</f>
        <v>#NAME?</v>
      </c>
      <c r="E3243" s="1" t="e">
        <f aca="false" t="array" ref="E3243:E3243">IF(ISBLANK(_xlfn.xlookup(E$3,daily_items,_xlfn.xlookup($C3243,daily_dates,big_daily_table))),NA(),_xlfn.xlookup(E$3,daily_items,_xlfn.xlookup($C3243,daily_dates,big_daily_table)))</f>
        <v>#NAME?</v>
      </c>
    </row>
    <row r="3244" customFormat="false" ht="14.25" hidden="false" customHeight="false" outlineLevel="0" collapsed="false">
      <c r="B3244" s="7" t="n">
        <v>44149</v>
      </c>
      <c r="C3244" s="7" t="n">
        <f aca="false">B3244-WEEKDAY(B3244)+1</f>
        <v>44143</v>
      </c>
      <c r="D3244" s="1" t="e">
        <f aca="false" t="array" ref="D3244:D3244">IF(ISBLANK(_xlfn.xlookup(D$3,daily_items,_xlfn.xlookup($C3244,daily_dates,big_daily_table))),NA(),_xlfn.xlookup(D$3,daily_items,_xlfn.xlookup($C3244,daily_dates,big_daily_table)))</f>
        <v>#NAME?</v>
      </c>
      <c r="E3244" s="1" t="e">
        <f aca="false" t="array" ref="E3244:E3244">IF(ISBLANK(_xlfn.xlookup(E$3,daily_items,_xlfn.xlookup($C3244,daily_dates,big_daily_table))),NA(),_xlfn.xlookup(E$3,daily_items,_xlfn.xlookup($C3244,daily_dates,big_daily_table)))</f>
        <v>#NAME?</v>
      </c>
    </row>
    <row r="3245" customFormat="false" ht="14.25" hidden="false" customHeight="false" outlineLevel="0" collapsed="false">
      <c r="B3245" s="7" t="n">
        <v>44150</v>
      </c>
      <c r="C3245" s="7" t="n">
        <f aca="false">B3245-WEEKDAY(B3245)+1</f>
        <v>44150</v>
      </c>
      <c r="D3245" s="1" t="e">
        <f aca="false" t="array" ref="D3245:D3245">IF(ISBLANK(_xlfn.xlookup(D$3,daily_items,_xlfn.xlookup($C3245,daily_dates,big_daily_table))),NA(),_xlfn.xlookup(D$3,daily_items,_xlfn.xlookup($C3245,daily_dates,big_daily_table)))</f>
        <v>#NAME?</v>
      </c>
      <c r="E3245" s="1" t="e">
        <f aca="false" t="array" ref="E3245:E3245">IF(ISBLANK(_xlfn.xlookup(E$3,daily_items,_xlfn.xlookup($C3245,daily_dates,big_daily_table))),NA(),_xlfn.xlookup(E$3,daily_items,_xlfn.xlookup($C3245,daily_dates,big_daily_table)))</f>
        <v>#NAME?</v>
      </c>
    </row>
    <row r="3246" customFormat="false" ht="14.25" hidden="false" customHeight="false" outlineLevel="0" collapsed="false">
      <c r="B3246" s="7" t="n">
        <v>44151</v>
      </c>
      <c r="C3246" s="7" t="n">
        <f aca="false">B3246-WEEKDAY(B3246)+1</f>
        <v>44150</v>
      </c>
      <c r="D3246" s="1" t="e">
        <f aca="false" t="array" ref="D3246:D3246">IF(ISBLANK(_xlfn.xlookup(D$3,daily_items,_xlfn.xlookup($C3246,daily_dates,big_daily_table))),NA(),_xlfn.xlookup(D$3,daily_items,_xlfn.xlookup($C3246,daily_dates,big_daily_table)))</f>
        <v>#NAME?</v>
      </c>
      <c r="E3246" s="1" t="e">
        <f aca="false" t="array" ref="E3246:E3246">IF(ISBLANK(_xlfn.xlookup(E$3,daily_items,_xlfn.xlookup($C3246,daily_dates,big_daily_table))),NA(),_xlfn.xlookup(E$3,daily_items,_xlfn.xlookup($C3246,daily_dates,big_daily_table)))</f>
        <v>#NAME?</v>
      </c>
    </row>
    <row r="3247" customFormat="false" ht="14.25" hidden="false" customHeight="false" outlineLevel="0" collapsed="false">
      <c r="B3247" s="7" t="n">
        <v>44152</v>
      </c>
      <c r="C3247" s="7" t="n">
        <f aca="false">B3247-WEEKDAY(B3247)+1</f>
        <v>44150</v>
      </c>
      <c r="D3247" s="1" t="e">
        <f aca="false" t="array" ref="D3247:D3247">IF(ISBLANK(_xlfn.xlookup(D$3,daily_items,_xlfn.xlookup($C3247,daily_dates,big_daily_table))),NA(),_xlfn.xlookup(D$3,daily_items,_xlfn.xlookup($C3247,daily_dates,big_daily_table)))</f>
        <v>#NAME?</v>
      </c>
      <c r="E3247" s="1" t="e">
        <f aca="false" t="array" ref="E3247:E3247">IF(ISBLANK(_xlfn.xlookup(E$3,daily_items,_xlfn.xlookup($C3247,daily_dates,big_daily_table))),NA(),_xlfn.xlookup(E$3,daily_items,_xlfn.xlookup($C3247,daily_dates,big_daily_table)))</f>
        <v>#NAME?</v>
      </c>
    </row>
    <row r="3248" customFormat="false" ht="14.25" hidden="false" customHeight="false" outlineLevel="0" collapsed="false">
      <c r="B3248" s="7" t="n">
        <v>44153</v>
      </c>
      <c r="C3248" s="7" t="n">
        <f aca="false">B3248-WEEKDAY(B3248)+1</f>
        <v>44150</v>
      </c>
      <c r="D3248" s="1" t="e">
        <f aca="false" t="array" ref="D3248:D3248">IF(ISBLANK(_xlfn.xlookup(D$3,daily_items,_xlfn.xlookup($C3248,daily_dates,big_daily_table))),NA(),_xlfn.xlookup(D$3,daily_items,_xlfn.xlookup($C3248,daily_dates,big_daily_table)))</f>
        <v>#NAME?</v>
      </c>
      <c r="E3248" s="1" t="e">
        <f aca="false" t="array" ref="E3248:E3248">IF(ISBLANK(_xlfn.xlookup(E$3,daily_items,_xlfn.xlookup($C3248,daily_dates,big_daily_table))),NA(),_xlfn.xlookup(E$3,daily_items,_xlfn.xlookup($C3248,daily_dates,big_daily_table)))</f>
        <v>#NAME?</v>
      </c>
    </row>
    <row r="3249" customFormat="false" ht="14.25" hidden="false" customHeight="false" outlineLevel="0" collapsed="false">
      <c r="B3249" s="7" t="n">
        <v>44154</v>
      </c>
      <c r="C3249" s="7" t="n">
        <f aca="false">B3249-WEEKDAY(B3249)+1</f>
        <v>44150</v>
      </c>
      <c r="D3249" s="1" t="e">
        <f aca="false" t="array" ref="D3249:D3249">IF(ISBLANK(_xlfn.xlookup(D$3,daily_items,_xlfn.xlookup($C3249,daily_dates,big_daily_table))),NA(),_xlfn.xlookup(D$3,daily_items,_xlfn.xlookup($C3249,daily_dates,big_daily_table)))</f>
        <v>#NAME?</v>
      </c>
      <c r="E3249" s="1" t="e">
        <f aca="false" t="array" ref="E3249:E3249">IF(ISBLANK(_xlfn.xlookup(E$3,daily_items,_xlfn.xlookup($C3249,daily_dates,big_daily_table))),NA(),_xlfn.xlookup(E$3,daily_items,_xlfn.xlookup($C3249,daily_dates,big_daily_table)))</f>
        <v>#NAME?</v>
      </c>
    </row>
    <row r="3250" customFormat="false" ht="14.25" hidden="false" customHeight="false" outlineLevel="0" collapsed="false">
      <c r="B3250" s="7" t="n">
        <v>44155</v>
      </c>
      <c r="C3250" s="7" t="n">
        <f aca="false">B3250-WEEKDAY(B3250)+1</f>
        <v>44150</v>
      </c>
      <c r="D3250" s="1" t="e">
        <f aca="false" t="array" ref="D3250:D3250">IF(ISBLANK(_xlfn.xlookup(D$3,daily_items,_xlfn.xlookup($C3250,daily_dates,big_daily_table))),NA(),_xlfn.xlookup(D$3,daily_items,_xlfn.xlookup($C3250,daily_dates,big_daily_table)))</f>
        <v>#NAME?</v>
      </c>
      <c r="E3250" s="1" t="e">
        <f aca="false" t="array" ref="E3250:E3250">IF(ISBLANK(_xlfn.xlookup(E$3,daily_items,_xlfn.xlookup($C3250,daily_dates,big_daily_table))),NA(),_xlfn.xlookup(E$3,daily_items,_xlfn.xlookup($C3250,daily_dates,big_daily_table)))</f>
        <v>#NAME?</v>
      </c>
    </row>
    <row r="3251" customFormat="false" ht="14.25" hidden="false" customHeight="false" outlineLevel="0" collapsed="false">
      <c r="B3251" s="7" t="n">
        <v>44156</v>
      </c>
      <c r="C3251" s="7" t="n">
        <f aca="false">B3251-WEEKDAY(B3251)+1</f>
        <v>44150</v>
      </c>
      <c r="D3251" s="1" t="e">
        <f aca="false" t="array" ref="D3251:D3251">IF(ISBLANK(_xlfn.xlookup(D$3,daily_items,_xlfn.xlookup($C3251,daily_dates,big_daily_table))),NA(),_xlfn.xlookup(D$3,daily_items,_xlfn.xlookup($C3251,daily_dates,big_daily_table)))</f>
        <v>#NAME?</v>
      </c>
      <c r="E3251" s="1" t="e">
        <f aca="false" t="array" ref="E3251:E3251">IF(ISBLANK(_xlfn.xlookup(E$3,daily_items,_xlfn.xlookup($C3251,daily_dates,big_daily_table))),NA(),_xlfn.xlookup(E$3,daily_items,_xlfn.xlookup($C3251,daily_dates,big_daily_table)))</f>
        <v>#NAME?</v>
      </c>
    </row>
    <row r="3252" customFormat="false" ht="14.25" hidden="false" customHeight="false" outlineLevel="0" collapsed="false">
      <c r="B3252" s="7" t="n">
        <v>44157</v>
      </c>
      <c r="C3252" s="7" t="n">
        <f aca="false">B3252-WEEKDAY(B3252)+1</f>
        <v>44157</v>
      </c>
      <c r="D3252" s="1" t="e">
        <f aca="false" t="array" ref="D3252:D3252">IF(ISBLANK(_xlfn.xlookup(D$3,daily_items,_xlfn.xlookup($C3252,daily_dates,big_daily_table))),NA(),_xlfn.xlookup(D$3,daily_items,_xlfn.xlookup($C3252,daily_dates,big_daily_table)))</f>
        <v>#NAME?</v>
      </c>
      <c r="E3252" s="1" t="e">
        <f aca="false" t="array" ref="E3252:E3252">IF(ISBLANK(_xlfn.xlookup(E$3,daily_items,_xlfn.xlookup($C3252,daily_dates,big_daily_table))),NA(),_xlfn.xlookup(E$3,daily_items,_xlfn.xlookup($C3252,daily_dates,big_daily_table)))</f>
        <v>#NAME?</v>
      </c>
    </row>
    <row r="3253" customFormat="false" ht="14.25" hidden="false" customHeight="false" outlineLevel="0" collapsed="false">
      <c r="B3253" s="7" t="n">
        <v>44158</v>
      </c>
      <c r="C3253" s="7" t="n">
        <f aca="false">B3253-WEEKDAY(B3253)+1</f>
        <v>44157</v>
      </c>
      <c r="D3253" s="1" t="e">
        <f aca="false" t="array" ref="D3253:D3253">IF(ISBLANK(_xlfn.xlookup(D$3,daily_items,_xlfn.xlookup($C3253,daily_dates,big_daily_table))),NA(),_xlfn.xlookup(D$3,daily_items,_xlfn.xlookup($C3253,daily_dates,big_daily_table)))</f>
        <v>#NAME?</v>
      </c>
      <c r="E3253" s="1" t="e">
        <f aca="false" t="array" ref="E3253:E3253">IF(ISBLANK(_xlfn.xlookup(E$3,daily_items,_xlfn.xlookup($C3253,daily_dates,big_daily_table))),NA(),_xlfn.xlookup(E$3,daily_items,_xlfn.xlookup($C3253,daily_dates,big_daily_table)))</f>
        <v>#NAME?</v>
      </c>
    </row>
    <row r="3254" customFormat="false" ht="14.25" hidden="false" customHeight="false" outlineLevel="0" collapsed="false">
      <c r="B3254" s="7" t="n">
        <v>44159</v>
      </c>
      <c r="C3254" s="7" t="n">
        <f aca="false">B3254-WEEKDAY(B3254)+1</f>
        <v>44157</v>
      </c>
      <c r="D3254" s="1" t="e">
        <f aca="false" t="array" ref="D3254:D3254">IF(ISBLANK(_xlfn.xlookup(D$3,daily_items,_xlfn.xlookup($C3254,daily_dates,big_daily_table))),NA(),_xlfn.xlookup(D$3,daily_items,_xlfn.xlookup($C3254,daily_dates,big_daily_table)))</f>
        <v>#NAME?</v>
      </c>
      <c r="E3254" s="1" t="e">
        <f aca="false" t="array" ref="E3254:E3254">IF(ISBLANK(_xlfn.xlookup(E$3,daily_items,_xlfn.xlookup($C3254,daily_dates,big_daily_table))),NA(),_xlfn.xlookup(E$3,daily_items,_xlfn.xlookup($C3254,daily_dates,big_daily_table)))</f>
        <v>#NAME?</v>
      </c>
    </row>
    <row r="3255" customFormat="false" ht="14.25" hidden="false" customHeight="false" outlineLevel="0" collapsed="false">
      <c r="B3255" s="7" t="n">
        <v>44160</v>
      </c>
      <c r="C3255" s="7" t="n">
        <f aca="false">B3255-WEEKDAY(B3255)+1</f>
        <v>44157</v>
      </c>
      <c r="D3255" s="1" t="e">
        <f aca="false" t="array" ref="D3255:D3255">IF(ISBLANK(_xlfn.xlookup(D$3,daily_items,_xlfn.xlookup($C3255,daily_dates,big_daily_table))),NA(),_xlfn.xlookup(D$3,daily_items,_xlfn.xlookup($C3255,daily_dates,big_daily_table)))</f>
        <v>#NAME?</v>
      </c>
      <c r="E3255" s="1" t="e">
        <f aca="false" t="array" ref="E3255:E3255">IF(ISBLANK(_xlfn.xlookup(E$3,daily_items,_xlfn.xlookup($C3255,daily_dates,big_daily_table))),NA(),_xlfn.xlookup(E$3,daily_items,_xlfn.xlookup($C3255,daily_dates,big_daily_table)))</f>
        <v>#NAME?</v>
      </c>
    </row>
    <row r="3256" customFormat="false" ht="14.25" hidden="false" customHeight="false" outlineLevel="0" collapsed="false">
      <c r="B3256" s="7" t="n">
        <v>44161</v>
      </c>
      <c r="C3256" s="7" t="n">
        <f aca="false">B3256-WEEKDAY(B3256)+1</f>
        <v>44157</v>
      </c>
      <c r="D3256" s="1" t="e">
        <f aca="false" t="array" ref="D3256:D3256">IF(ISBLANK(_xlfn.xlookup(D$3,daily_items,_xlfn.xlookup($C3256,daily_dates,big_daily_table))),NA(),_xlfn.xlookup(D$3,daily_items,_xlfn.xlookup($C3256,daily_dates,big_daily_table)))</f>
        <v>#NAME?</v>
      </c>
      <c r="E3256" s="1" t="e">
        <f aca="false" t="array" ref="E3256:E3256">IF(ISBLANK(_xlfn.xlookup(E$3,daily_items,_xlfn.xlookup($C3256,daily_dates,big_daily_table))),NA(),_xlfn.xlookup(E$3,daily_items,_xlfn.xlookup($C3256,daily_dates,big_daily_table)))</f>
        <v>#NAME?</v>
      </c>
    </row>
    <row r="3257" customFormat="false" ht="14.25" hidden="false" customHeight="false" outlineLevel="0" collapsed="false">
      <c r="B3257" s="7" t="n">
        <v>44162</v>
      </c>
      <c r="C3257" s="7" t="n">
        <f aca="false">B3257-WEEKDAY(B3257)+1</f>
        <v>44157</v>
      </c>
      <c r="D3257" s="1" t="e">
        <f aca="false" t="array" ref="D3257:D3257">IF(ISBLANK(_xlfn.xlookup(D$3,daily_items,_xlfn.xlookup($C3257,daily_dates,big_daily_table))),NA(),_xlfn.xlookup(D$3,daily_items,_xlfn.xlookup($C3257,daily_dates,big_daily_table)))</f>
        <v>#NAME?</v>
      </c>
      <c r="E3257" s="1" t="e">
        <f aca="false" t="array" ref="E3257:E3257">IF(ISBLANK(_xlfn.xlookup(E$3,daily_items,_xlfn.xlookup($C3257,daily_dates,big_daily_table))),NA(),_xlfn.xlookup(E$3,daily_items,_xlfn.xlookup($C3257,daily_dates,big_daily_table)))</f>
        <v>#NAME?</v>
      </c>
    </row>
    <row r="3258" customFormat="false" ht="14.25" hidden="false" customHeight="false" outlineLevel="0" collapsed="false">
      <c r="B3258" s="7" t="n">
        <v>44163</v>
      </c>
      <c r="C3258" s="7" t="n">
        <f aca="false">B3258-WEEKDAY(B3258)+1</f>
        <v>44157</v>
      </c>
      <c r="D3258" s="1" t="e">
        <f aca="false" t="array" ref="D3258:D3258">IF(ISBLANK(_xlfn.xlookup(D$3,daily_items,_xlfn.xlookup($C3258,daily_dates,big_daily_table))),NA(),_xlfn.xlookup(D$3,daily_items,_xlfn.xlookup($C3258,daily_dates,big_daily_table)))</f>
        <v>#NAME?</v>
      </c>
      <c r="E3258" s="1" t="e">
        <f aca="false" t="array" ref="E3258:E3258">IF(ISBLANK(_xlfn.xlookup(E$3,daily_items,_xlfn.xlookup($C3258,daily_dates,big_daily_table))),NA(),_xlfn.xlookup(E$3,daily_items,_xlfn.xlookup($C3258,daily_dates,big_daily_table)))</f>
        <v>#NAME?</v>
      </c>
    </row>
    <row r="3259" customFormat="false" ht="14.25" hidden="false" customHeight="false" outlineLevel="0" collapsed="false">
      <c r="B3259" s="7" t="n">
        <v>44164</v>
      </c>
      <c r="C3259" s="7" t="n">
        <f aca="false">B3259-WEEKDAY(B3259)+1</f>
        <v>44164</v>
      </c>
      <c r="D3259" s="1" t="e">
        <f aca="false" t="array" ref="D3259:D3259">IF(ISBLANK(_xlfn.xlookup(D$3,daily_items,_xlfn.xlookup($C3259,daily_dates,big_daily_table))),NA(),_xlfn.xlookup(D$3,daily_items,_xlfn.xlookup($C3259,daily_dates,big_daily_table)))</f>
        <v>#NAME?</v>
      </c>
      <c r="E3259" s="1" t="e">
        <f aca="false" t="array" ref="E3259:E3259">IF(ISBLANK(_xlfn.xlookup(E$3,daily_items,_xlfn.xlookup($C3259,daily_dates,big_daily_table))),NA(),_xlfn.xlookup(E$3,daily_items,_xlfn.xlookup($C3259,daily_dates,big_daily_table)))</f>
        <v>#NAME?</v>
      </c>
    </row>
    <row r="3260" customFormat="false" ht="14.25" hidden="false" customHeight="false" outlineLevel="0" collapsed="false">
      <c r="B3260" s="7" t="n">
        <v>44165</v>
      </c>
      <c r="C3260" s="7" t="n">
        <f aca="false">B3260-WEEKDAY(B3260)+1</f>
        <v>44164</v>
      </c>
      <c r="D3260" s="1" t="e">
        <f aca="false" t="array" ref="D3260:D3260">IF(ISBLANK(_xlfn.xlookup(D$3,daily_items,_xlfn.xlookup($C3260,daily_dates,big_daily_table))),NA(),_xlfn.xlookup(D$3,daily_items,_xlfn.xlookup($C3260,daily_dates,big_daily_table)))</f>
        <v>#NAME?</v>
      </c>
      <c r="E3260" s="1" t="e">
        <f aca="false" t="array" ref="E3260:E3260">IF(ISBLANK(_xlfn.xlookup(E$3,daily_items,_xlfn.xlookup($C3260,daily_dates,big_daily_table))),NA(),_xlfn.xlookup(E$3,daily_items,_xlfn.xlookup($C3260,daily_dates,big_daily_table)))</f>
        <v>#NAME?</v>
      </c>
    </row>
    <row r="3261" customFormat="false" ht="14.25" hidden="false" customHeight="false" outlineLevel="0" collapsed="false">
      <c r="B3261" s="7" t="n">
        <v>44166</v>
      </c>
      <c r="C3261" s="7" t="n">
        <f aca="false">B3261-WEEKDAY(B3261)+1</f>
        <v>44164</v>
      </c>
      <c r="D3261" s="1" t="e">
        <f aca="false" t="array" ref="D3261:D3261">IF(ISBLANK(_xlfn.xlookup(D$3,daily_items,_xlfn.xlookup($C3261,daily_dates,big_daily_table))),NA(),_xlfn.xlookup(D$3,daily_items,_xlfn.xlookup($C3261,daily_dates,big_daily_table)))</f>
        <v>#NAME?</v>
      </c>
      <c r="E3261" s="1" t="e">
        <f aca="false" t="array" ref="E3261:E3261">IF(ISBLANK(_xlfn.xlookup(E$3,daily_items,_xlfn.xlookup($C3261,daily_dates,big_daily_table))),NA(),_xlfn.xlookup(E$3,daily_items,_xlfn.xlookup($C3261,daily_dates,big_daily_table)))</f>
        <v>#NAME?</v>
      </c>
    </row>
    <row r="3262" customFormat="false" ht="14.25" hidden="false" customHeight="false" outlineLevel="0" collapsed="false">
      <c r="B3262" s="7" t="n">
        <v>44167</v>
      </c>
      <c r="C3262" s="7" t="n">
        <f aca="false">B3262-WEEKDAY(B3262)+1</f>
        <v>44164</v>
      </c>
      <c r="D3262" s="1" t="e">
        <f aca="false" t="array" ref="D3262:D3262">IF(ISBLANK(_xlfn.xlookup(D$3,daily_items,_xlfn.xlookup($C3262,daily_dates,big_daily_table))),NA(),_xlfn.xlookup(D$3,daily_items,_xlfn.xlookup($C3262,daily_dates,big_daily_table)))</f>
        <v>#NAME?</v>
      </c>
      <c r="E3262" s="1" t="e">
        <f aca="false" t="array" ref="E3262:E3262">IF(ISBLANK(_xlfn.xlookup(E$3,daily_items,_xlfn.xlookup($C3262,daily_dates,big_daily_table))),NA(),_xlfn.xlookup(E$3,daily_items,_xlfn.xlookup($C3262,daily_dates,big_daily_table)))</f>
        <v>#NAME?</v>
      </c>
    </row>
    <row r="3263" customFormat="false" ht="14.25" hidden="false" customHeight="false" outlineLevel="0" collapsed="false">
      <c r="B3263" s="7" t="n">
        <v>44168</v>
      </c>
      <c r="C3263" s="7" t="n">
        <f aca="false">B3263-WEEKDAY(B3263)+1</f>
        <v>44164</v>
      </c>
      <c r="D3263" s="1" t="e">
        <f aca="false" t="array" ref="D3263:D3263">IF(ISBLANK(_xlfn.xlookup(D$3,daily_items,_xlfn.xlookup($C3263,daily_dates,big_daily_table))),NA(),_xlfn.xlookup(D$3,daily_items,_xlfn.xlookup($C3263,daily_dates,big_daily_table)))</f>
        <v>#NAME?</v>
      </c>
      <c r="E3263" s="1" t="e">
        <f aca="false" t="array" ref="E3263:E3263">IF(ISBLANK(_xlfn.xlookup(E$3,daily_items,_xlfn.xlookup($C3263,daily_dates,big_daily_table))),NA(),_xlfn.xlookup(E$3,daily_items,_xlfn.xlookup($C3263,daily_dates,big_daily_table)))</f>
        <v>#NAME?</v>
      </c>
    </row>
    <row r="3264" customFormat="false" ht="14.25" hidden="false" customHeight="false" outlineLevel="0" collapsed="false">
      <c r="B3264" s="7" t="n">
        <v>44169</v>
      </c>
      <c r="C3264" s="7" t="n">
        <f aca="false">B3264-WEEKDAY(B3264)+1</f>
        <v>44164</v>
      </c>
      <c r="D3264" s="1" t="e">
        <f aca="false" t="array" ref="D3264:D3264">IF(ISBLANK(_xlfn.xlookup(D$3,daily_items,_xlfn.xlookup($C3264,daily_dates,big_daily_table))),NA(),_xlfn.xlookup(D$3,daily_items,_xlfn.xlookup($C3264,daily_dates,big_daily_table)))</f>
        <v>#NAME?</v>
      </c>
      <c r="E3264" s="1" t="e">
        <f aca="false" t="array" ref="E3264:E3264">IF(ISBLANK(_xlfn.xlookup(E$3,daily_items,_xlfn.xlookup($C3264,daily_dates,big_daily_table))),NA(),_xlfn.xlookup(E$3,daily_items,_xlfn.xlookup($C3264,daily_dates,big_daily_table)))</f>
        <v>#NAME?</v>
      </c>
    </row>
    <row r="3265" customFormat="false" ht="14.25" hidden="false" customHeight="false" outlineLevel="0" collapsed="false">
      <c r="B3265" s="7" t="n">
        <v>44170</v>
      </c>
      <c r="C3265" s="7" t="n">
        <f aca="false">B3265-WEEKDAY(B3265)+1</f>
        <v>44164</v>
      </c>
      <c r="D3265" s="1" t="e">
        <f aca="false" t="array" ref="D3265:D3265">IF(ISBLANK(_xlfn.xlookup(D$3,daily_items,_xlfn.xlookup($C3265,daily_dates,big_daily_table))),NA(),_xlfn.xlookup(D$3,daily_items,_xlfn.xlookup($C3265,daily_dates,big_daily_table)))</f>
        <v>#NAME?</v>
      </c>
      <c r="E3265" s="1" t="e">
        <f aca="false" t="array" ref="E3265:E3265">IF(ISBLANK(_xlfn.xlookup(E$3,daily_items,_xlfn.xlookup($C3265,daily_dates,big_daily_table))),NA(),_xlfn.xlookup(E$3,daily_items,_xlfn.xlookup($C3265,daily_dates,big_daily_table)))</f>
        <v>#NAME?</v>
      </c>
    </row>
    <row r="3266" customFormat="false" ht="14.25" hidden="false" customHeight="false" outlineLevel="0" collapsed="false">
      <c r="B3266" s="7" t="n">
        <v>44171</v>
      </c>
      <c r="C3266" s="7" t="n">
        <f aca="false">B3266-WEEKDAY(B3266)+1</f>
        <v>44171</v>
      </c>
      <c r="D3266" s="1" t="e">
        <f aca="false" t="array" ref="D3266:D3266">IF(ISBLANK(_xlfn.xlookup(D$3,daily_items,_xlfn.xlookup($C3266,daily_dates,big_daily_table))),NA(),_xlfn.xlookup(D$3,daily_items,_xlfn.xlookup($C3266,daily_dates,big_daily_table)))</f>
        <v>#NAME?</v>
      </c>
      <c r="E3266" s="1" t="e">
        <f aca="false" t="array" ref="E3266:E3266">IF(ISBLANK(_xlfn.xlookup(E$3,daily_items,_xlfn.xlookup($C3266,daily_dates,big_daily_table))),NA(),_xlfn.xlookup(E$3,daily_items,_xlfn.xlookup($C3266,daily_dates,big_daily_table)))</f>
        <v>#NAME?</v>
      </c>
    </row>
    <row r="3267" customFormat="false" ht="14.25" hidden="false" customHeight="false" outlineLevel="0" collapsed="false">
      <c r="B3267" s="7" t="n">
        <v>44172</v>
      </c>
      <c r="C3267" s="7" t="n">
        <f aca="false">B3267-WEEKDAY(B3267)+1</f>
        <v>44171</v>
      </c>
      <c r="D3267" s="1" t="e">
        <f aca="false" t="array" ref="D3267:D3267">IF(ISBLANK(_xlfn.xlookup(D$3,daily_items,_xlfn.xlookup($C3267,daily_dates,big_daily_table))),NA(),_xlfn.xlookup(D$3,daily_items,_xlfn.xlookup($C3267,daily_dates,big_daily_table)))</f>
        <v>#NAME?</v>
      </c>
      <c r="E3267" s="1" t="e">
        <f aca="false" t="array" ref="E3267:E3267">IF(ISBLANK(_xlfn.xlookup(E$3,daily_items,_xlfn.xlookup($C3267,daily_dates,big_daily_table))),NA(),_xlfn.xlookup(E$3,daily_items,_xlfn.xlookup($C3267,daily_dates,big_daily_table)))</f>
        <v>#NAME?</v>
      </c>
    </row>
    <row r="3268" customFormat="false" ht="14.25" hidden="false" customHeight="false" outlineLevel="0" collapsed="false">
      <c r="B3268" s="7" t="n">
        <v>44173</v>
      </c>
      <c r="C3268" s="7" t="n">
        <f aca="false">B3268-WEEKDAY(B3268)+1</f>
        <v>44171</v>
      </c>
      <c r="D3268" s="1" t="e">
        <f aca="false" t="array" ref="D3268:D3268">IF(ISBLANK(_xlfn.xlookup(D$3,daily_items,_xlfn.xlookup($C3268,daily_dates,big_daily_table))),NA(),_xlfn.xlookup(D$3,daily_items,_xlfn.xlookup($C3268,daily_dates,big_daily_table)))</f>
        <v>#NAME?</v>
      </c>
      <c r="E3268" s="1" t="e">
        <f aca="false" t="array" ref="E3268:E3268">IF(ISBLANK(_xlfn.xlookup(E$3,daily_items,_xlfn.xlookup($C3268,daily_dates,big_daily_table))),NA(),_xlfn.xlookup(E$3,daily_items,_xlfn.xlookup($C3268,daily_dates,big_daily_table)))</f>
        <v>#NAME?</v>
      </c>
    </row>
    <row r="3269" customFormat="false" ht="14.25" hidden="false" customHeight="false" outlineLevel="0" collapsed="false">
      <c r="B3269" s="7" t="n">
        <v>44174</v>
      </c>
      <c r="C3269" s="7" t="n">
        <f aca="false">B3269-WEEKDAY(B3269)+1</f>
        <v>44171</v>
      </c>
      <c r="D3269" s="1" t="e">
        <f aca="false" t="array" ref="D3269:D3269">IF(ISBLANK(_xlfn.xlookup(D$3,daily_items,_xlfn.xlookup($C3269,daily_dates,big_daily_table))),NA(),_xlfn.xlookup(D$3,daily_items,_xlfn.xlookup($C3269,daily_dates,big_daily_table)))</f>
        <v>#NAME?</v>
      </c>
      <c r="E3269" s="1" t="e">
        <f aca="false" t="array" ref="E3269:E3269">IF(ISBLANK(_xlfn.xlookup(E$3,daily_items,_xlfn.xlookup($C3269,daily_dates,big_daily_table))),NA(),_xlfn.xlookup(E$3,daily_items,_xlfn.xlookup($C3269,daily_dates,big_daily_table)))</f>
        <v>#NAME?</v>
      </c>
    </row>
    <row r="3270" customFormat="false" ht="14.25" hidden="false" customHeight="false" outlineLevel="0" collapsed="false">
      <c r="B3270" s="7" t="n">
        <v>44175</v>
      </c>
      <c r="C3270" s="7" t="n">
        <f aca="false">B3270-WEEKDAY(B3270)+1</f>
        <v>44171</v>
      </c>
      <c r="D3270" s="1" t="e">
        <f aca="false" t="array" ref="D3270:D3270">IF(ISBLANK(_xlfn.xlookup(D$3,daily_items,_xlfn.xlookup($C3270,daily_dates,big_daily_table))),NA(),_xlfn.xlookup(D$3,daily_items,_xlfn.xlookup($C3270,daily_dates,big_daily_table)))</f>
        <v>#NAME?</v>
      </c>
      <c r="E3270" s="1" t="e">
        <f aca="false" t="array" ref="E3270:E3270">IF(ISBLANK(_xlfn.xlookup(E$3,daily_items,_xlfn.xlookup($C3270,daily_dates,big_daily_table))),NA(),_xlfn.xlookup(E$3,daily_items,_xlfn.xlookup($C3270,daily_dates,big_daily_table)))</f>
        <v>#NAME?</v>
      </c>
    </row>
    <row r="3271" customFormat="false" ht="14.25" hidden="false" customHeight="false" outlineLevel="0" collapsed="false">
      <c r="B3271" s="7" t="n">
        <v>44176</v>
      </c>
      <c r="C3271" s="7" t="n">
        <f aca="false">B3271-WEEKDAY(B3271)+1</f>
        <v>44171</v>
      </c>
      <c r="D3271" s="1" t="e">
        <f aca="false" t="array" ref="D3271:D3271">IF(ISBLANK(_xlfn.xlookup(D$3,daily_items,_xlfn.xlookup($C3271,daily_dates,big_daily_table))),NA(),_xlfn.xlookup(D$3,daily_items,_xlfn.xlookup($C3271,daily_dates,big_daily_table)))</f>
        <v>#NAME?</v>
      </c>
      <c r="E3271" s="1" t="e">
        <f aca="false" t="array" ref="E3271:E3271">IF(ISBLANK(_xlfn.xlookup(E$3,daily_items,_xlfn.xlookup($C3271,daily_dates,big_daily_table))),NA(),_xlfn.xlookup(E$3,daily_items,_xlfn.xlookup($C3271,daily_dates,big_daily_table)))</f>
        <v>#NAME?</v>
      </c>
    </row>
    <row r="3272" customFormat="false" ht="14.25" hidden="false" customHeight="false" outlineLevel="0" collapsed="false">
      <c r="B3272" s="7" t="n">
        <v>44177</v>
      </c>
      <c r="C3272" s="7" t="n">
        <f aca="false">B3272-WEEKDAY(B3272)+1</f>
        <v>44171</v>
      </c>
      <c r="D3272" s="1" t="e">
        <f aca="false" t="array" ref="D3272:D3272">IF(ISBLANK(_xlfn.xlookup(D$3,daily_items,_xlfn.xlookup($C3272,daily_dates,big_daily_table))),NA(),_xlfn.xlookup(D$3,daily_items,_xlfn.xlookup($C3272,daily_dates,big_daily_table)))</f>
        <v>#NAME?</v>
      </c>
      <c r="E3272" s="1" t="e">
        <f aca="false" t="array" ref="E3272:E3272">IF(ISBLANK(_xlfn.xlookup(E$3,daily_items,_xlfn.xlookup($C3272,daily_dates,big_daily_table))),NA(),_xlfn.xlookup(E$3,daily_items,_xlfn.xlookup($C3272,daily_dates,big_daily_table)))</f>
        <v>#NAME?</v>
      </c>
    </row>
    <row r="3273" customFormat="false" ht="14.25" hidden="false" customHeight="false" outlineLevel="0" collapsed="false">
      <c r="B3273" s="7" t="n">
        <v>44178</v>
      </c>
      <c r="C3273" s="7" t="n">
        <f aca="false">B3273-WEEKDAY(B3273)+1</f>
        <v>44178</v>
      </c>
      <c r="D3273" s="1" t="e">
        <f aca="false" t="array" ref="D3273:D3273">IF(ISBLANK(_xlfn.xlookup(D$3,daily_items,_xlfn.xlookup($C3273,daily_dates,big_daily_table))),NA(),_xlfn.xlookup(D$3,daily_items,_xlfn.xlookup($C3273,daily_dates,big_daily_table)))</f>
        <v>#NAME?</v>
      </c>
      <c r="E3273" s="1" t="e">
        <f aca="false" t="array" ref="E3273:E3273">IF(ISBLANK(_xlfn.xlookup(E$3,daily_items,_xlfn.xlookup($C3273,daily_dates,big_daily_table))),NA(),_xlfn.xlookup(E$3,daily_items,_xlfn.xlookup($C3273,daily_dates,big_daily_table)))</f>
        <v>#NAME?</v>
      </c>
    </row>
    <row r="3274" customFormat="false" ht="14.25" hidden="false" customHeight="false" outlineLevel="0" collapsed="false">
      <c r="B3274" s="7" t="n">
        <v>44179</v>
      </c>
      <c r="C3274" s="7" t="n">
        <f aca="false">B3274-WEEKDAY(B3274)+1</f>
        <v>44178</v>
      </c>
      <c r="D3274" s="1" t="e">
        <f aca="false" t="array" ref="D3274:D3274">IF(ISBLANK(_xlfn.xlookup(D$3,daily_items,_xlfn.xlookup($C3274,daily_dates,big_daily_table))),NA(),_xlfn.xlookup(D$3,daily_items,_xlfn.xlookup($C3274,daily_dates,big_daily_table)))</f>
        <v>#NAME?</v>
      </c>
      <c r="E3274" s="1" t="e">
        <f aca="false" t="array" ref="E3274:E3274">IF(ISBLANK(_xlfn.xlookup(E$3,daily_items,_xlfn.xlookup($C3274,daily_dates,big_daily_table))),NA(),_xlfn.xlookup(E$3,daily_items,_xlfn.xlookup($C3274,daily_dates,big_daily_table)))</f>
        <v>#NAME?</v>
      </c>
    </row>
    <row r="3275" customFormat="false" ht="14.25" hidden="false" customHeight="false" outlineLevel="0" collapsed="false">
      <c r="B3275" s="7" t="n">
        <v>44180</v>
      </c>
      <c r="C3275" s="7" t="n">
        <f aca="false">B3275-WEEKDAY(B3275)+1</f>
        <v>44178</v>
      </c>
      <c r="D3275" s="1" t="e">
        <f aca="false" t="array" ref="D3275:D3275">IF(ISBLANK(_xlfn.xlookup(D$3,daily_items,_xlfn.xlookup($C3275,daily_dates,big_daily_table))),NA(),_xlfn.xlookup(D$3,daily_items,_xlfn.xlookup($C3275,daily_dates,big_daily_table)))</f>
        <v>#NAME?</v>
      </c>
      <c r="E3275" s="1" t="e">
        <f aca="false" t="array" ref="E3275:E3275">IF(ISBLANK(_xlfn.xlookup(E$3,daily_items,_xlfn.xlookup($C3275,daily_dates,big_daily_table))),NA(),_xlfn.xlookup(E$3,daily_items,_xlfn.xlookup($C3275,daily_dates,big_daily_table)))</f>
        <v>#NAME?</v>
      </c>
    </row>
    <row r="3276" customFormat="false" ht="14.25" hidden="false" customHeight="false" outlineLevel="0" collapsed="false">
      <c r="B3276" s="7" t="n">
        <v>44181</v>
      </c>
      <c r="C3276" s="7" t="n">
        <f aca="false">B3276-WEEKDAY(B3276)+1</f>
        <v>44178</v>
      </c>
      <c r="D3276" s="1" t="e">
        <f aca="false" t="array" ref="D3276:D3276">IF(ISBLANK(_xlfn.xlookup(D$3,daily_items,_xlfn.xlookup($C3276,daily_dates,big_daily_table))),NA(),_xlfn.xlookup(D$3,daily_items,_xlfn.xlookup($C3276,daily_dates,big_daily_table)))</f>
        <v>#NAME?</v>
      </c>
      <c r="E3276" s="1" t="e">
        <f aca="false" t="array" ref="E3276:E3276">IF(ISBLANK(_xlfn.xlookup(E$3,daily_items,_xlfn.xlookup($C3276,daily_dates,big_daily_table))),NA(),_xlfn.xlookup(E$3,daily_items,_xlfn.xlookup($C3276,daily_dates,big_daily_table)))</f>
        <v>#NAME?</v>
      </c>
    </row>
    <row r="3277" customFormat="false" ht="14.25" hidden="false" customHeight="false" outlineLevel="0" collapsed="false">
      <c r="B3277" s="7" t="n">
        <v>44182</v>
      </c>
      <c r="C3277" s="7" t="n">
        <f aca="false">B3277-WEEKDAY(B3277)+1</f>
        <v>44178</v>
      </c>
      <c r="D3277" s="1" t="e">
        <f aca="false" t="array" ref="D3277:D3277">IF(ISBLANK(_xlfn.xlookup(D$3,daily_items,_xlfn.xlookup($C3277,daily_dates,big_daily_table))),NA(),_xlfn.xlookup(D$3,daily_items,_xlfn.xlookup($C3277,daily_dates,big_daily_table)))</f>
        <v>#NAME?</v>
      </c>
      <c r="E3277" s="1" t="e">
        <f aca="false" t="array" ref="E3277:E3277">IF(ISBLANK(_xlfn.xlookup(E$3,daily_items,_xlfn.xlookup($C3277,daily_dates,big_daily_table))),NA(),_xlfn.xlookup(E$3,daily_items,_xlfn.xlookup($C3277,daily_dates,big_daily_table)))</f>
        <v>#NAME?</v>
      </c>
    </row>
    <row r="3278" customFormat="false" ht="14.25" hidden="false" customHeight="false" outlineLevel="0" collapsed="false">
      <c r="B3278" s="7" t="n">
        <v>44183</v>
      </c>
      <c r="C3278" s="7" t="n">
        <f aca="false">B3278-WEEKDAY(B3278)+1</f>
        <v>44178</v>
      </c>
      <c r="D3278" s="1" t="e">
        <f aca="false" t="array" ref="D3278:D3278">IF(ISBLANK(_xlfn.xlookup(D$3,daily_items,_xlfn.xlookup($C3278,daily_dates,big_daily_table))),NA(),_xlfn.xlookup(D$3,daily_items,_xlfn.xlookup($C3278,daily_dates,big_daily_table)))</f>
        <v>#NAME?</v>
      </c>
      <c r="E3278" s="1" t="e">
        <f aca="false" t="array" ref="E3278:E3278">IF(ISBLANK(_xlfn.xlookup(E$3,daily_items,_xlfn.xlookup($C3278,daily_dates,big_daily_table))),NA(),_xlfn.xlookup(E$3,daily_items,_xlfn.xlookup($C3278,daily_dates,big_daily_table)))</f>
        <v>#NAME?</v>
      </c>
    </row>
    <row r="3279" customFormat="false" ht="14.25" hidden="false" customHeight="false" outlineLevel="0" collapsed="false">
      <c r="B3279" s="7" t="n">
        <v>44184</v>
      </c>
      <c r="C3279" s="7" t="n">
        <f aca="false">B3279-WEEKDAY(B3279)+1</f>
        <v>44178</v>
      </c>
      <c r="D3279" s="1" t="e">
        <f aca="false" t="array" ref="D3279:D3279">IF(ISBLANK(_xlfn.xlookup(D$3,daily_items,_xlfn.xlookup($C3279,daily_dates,big_daily_table))),NA(),_xlfn.xlookup(D$3,daily_items,_xlfn.xlookup($C3279,daily_dates,big_daily_table)))</f>
        <v>#NAME?</v>
      </c>
      <c r="E3279" s="1" t="e">
        <f aca="false" t="array" ref="E3279:E3279">IF(ISBLANK(_xlfn.xlookup(E$3,daily_items,_xlfn.xlookup($C3279,daily_dates,big_daily_table))),NA(),_xlfn.xlookup(E$3,daily_items,_xlfn.xlookup($C3279,daily_dates,big_daily_table)))</f>
        <v>#NAME?</v>
      </c>
    </row>
    <row r="3280" customFormat="false" ht="14.25" hidden="false" customHeight="false" outlineLevel="0" collapsed="false">
      <c r="B3280" s="7" t="n">
        <v>44185</v>
      </c>
      <c r="C3280" s="7" t="n">
        <f aca="false">B3280-WEEKDAY(B3280)+1</f>
        <v>44185</v>
      </c>
      <c r="D3280" s="1" t="e">
        <f aca="false" t="array" ref="D3280:D3280">IF(ISBLANK(_xlfn.xlookup(D$3,daily_items,_xlfn.xlookup($C3280,daily_dates,big_daily_table))),NA(),_xlfn.xlookup(D$3,daily_items,_xlfn.xlookup($C3280,daily_dates,big_daily_table)))</f>
        <v>#NAME?</v>
      </c>
      <c r="E3280" s="1" t="e">
        <f aca="false" t="array" ref="E3280:E3280">IF(ISBLANK(_xlfn.xlookup(E$3,daily_items,_xlfn.xlookup($C3280,daily_dates,big_daily_table))),NA(),_xlfn.xlookup(E$3,daily_items,_xlfn.xlookup($C3280,daily_dates,big_daily_table)))</f>
        <v>#NAME?</v>
      </c>
    </row>
    <row r="3281" customFormat="false" ht="14.25" hidden="false" customHeight="false" outlineLevel="0" collapsed="false">
      <c r="B3281" s="7" t="n">
        <v>44186</v>
      </c>
      <c r="C3281" s="7" t="n">
        <f aca="false">B3281-WEEKDAY(B3281)+1</f>
        <v>44185</v>
      </c>
      <c r="D3281" s="1" t="e">
        <f aca="false" t="array" ref="D3281:D3281">IF(ISBLANK(_xlfn.xlookup(D$3,daily_items,_xlfn.xlookup($C3281,daily_dates,big_daily_table))),NA(),_xlfn.xlookup(D$3,daily_items,_xlfn.xlookup($C3281,daily_dates,big_daily_table)))</f>
        <v>#NAME?</v>
      </c>
      <c r="E3281" s="1" t="e">
        <f aca="false" t="array" ref="E3281:E3281">IF(ISBLANK(_xlfn.xlookup(E$3,daily_items,_xlfn.xlookup($C3281,daily_dates,big_daily_table))),NA(),_xlfn.xlookup(E$3,daily_items,_xlfn.xlookup($C3281,daily_dates,big_daily_table)))</f>
        <v>#NAME?</v>
      </c>
    </row>
    <row r="3282" customFormat="false" ht="14.25" hidden="false" customHeight="false" outlineLevel="0" collapsed="false">
      <c r="B3282" s="7" t="n">
        <v>44187</v>
      </c>
      <c r="C3282" s="7" t="n">
        <f aca="false">B3282-WEEKDAY(B3282)+1</f>
        <v>44185</v>
      </c>
      <c r="D3282" s="1" t="e">
        <f aca="false" t="array" ref="D3282:D3282">IF(ISBLANK(_xlfn.xlookup(D$3,daily_items,_xlfn.xlookup($C3282,daily_dates,big_daily_table))),NA(),_xlfn.xlookup(D$3,daily_items,_xlfn.xlookup($C3282,daily_dates,big_daily_table)))</f>
        <v>#NAME?</v>
      </c>
      <c r="E3282" s="1" t="e">
        <f aca="false" t="array" ref="E3282:E3282">IF(ISBLANK(_xlfn.xlookup(E$3,daily_items,_xlfn.xlookup($C3282,daily_dates,big_daily_table))),NA(),_xlfn.xlookup(E$3,daily_items,_xlfn.xlookup($C3282,daily_dates,big_daily_table)))</f>
        <v>#NAME?</v>
      </c>
    </row>
    <row r="3283" customFormat="false" ht="14.25" hidden="false" customHeight="false" outlineLevel="0" collapsed="false">
      <c r="B3283" s="7" t="n">
        <v>44188</v>
      </c>
      <c r="C3283" s="7" t="n">
        <f aca="false">B3283-WEEKDAY(B3283)+1</f>
        <v>44185</v>
      </c>
      <c r="D3283" s="1" t="e">
        <f aca="false" t="array" ref="D3283:D3283">IF(ISBLANK(_xlfn.xlookup(D$3,daily_items,_xlfn.xlookup($C3283,daily_dates,big_daily_table))),NA(),_xlfn.xlookup(D$3,daily_items,_xlfn.xlookup($C3283,daily_dates,big_daily_table)))</f>
        <v>#NAME?</v>
      </c>
      <c r="E3283" s="1" t="e">
        <f aca="false" t="array" ref="E3283:E3283">IF(ISBLANK(_xlfn.xlookup(E$3,daily_items,_xlfn.xlookup($C3283,daily_dates,big_daily_table))),NA(),_xlfn.xlookup(E$3,daily_items,_xlfn.xlookup($C3283,daily_dates,big_daily_table)))</f>
        <v>#NAME?</v>
      </c>
    </row>
    <row r="3284" customFormat="false" ht="14.25" hidden="false" customHeight="false" outlineLevel="0" collapsed="false">
      <c r="B3284" s="7" t="n">
        <v>44189</v>
      </c>
      <c r="C3284" s="7" t="n">
        <f aca="false">B3284-WEEKDAY(B3284)+1</f>
        <v>44185</v>
      </c>
      <c r="D3284" s="1" t="e">
        <f aca="false" t="array" ref="D3284:D3284">IF(ISBLANK(_xlfn.xlookup(D$3,daily_items,_xlfn.xlookup($C3284,daily_dates,big_daily_table))),NA(),_xlfn.xlookup(D$3,daily_items,_xlfn.xlookup($C3284,daily_dates,big_daily_table)))</f>
        <v>#NAME?</v>
      </c>
      <c r="E3284" s="1" t="e">
        <f aca="false" t="array" ref="E3284:E3284">IF(ISBLANK(_xlfn.xlookup(E$3,daily_items,_xlfn.xlookup($C3284,daily_dates,big_daily_table))),NA(),_xlfn.xlookup(E$3,daily_items,_xlfn.xlookup($C3284,daily_dates,big_daily_table)))</f>
        <v>#NAME?</v>
      </c>
    </row>
    <row r="3285" customFormat="false" ht="14.25" hidden="false" customHeight="false" outlineLevel="0" collapsed="false">
      <c r="B3285" s="7" t="n">
        <v>44190</v>
      </c>
      <c r="C3285" s="7" t="n">
        <f aca="false">B3285-WEEKDAY(B3285)+1</f>
        <v>44185</v>
      </c>
      <c r="D3285" s="1" t="e">
        <f aca="false" t="array" ref="D3285:D3285">IF(ISBLANK(_xlfn.xlookup(D$3,daily_items,_xlfn.xlookup($C3285,daily_dates,big_daily_table))),NA(),_xlfn.xlookup(D$3,daily_items,_xlfn.xlookup($C3285,daily_dates,big_daily_table)))</f>
        <v>#NAME?</v>
      </c>
      <c r="E3285" s="1" t="e">
        <f aca="false" t="array" ref="E3285:E3285">IF(ISBLANK(_xlfn.xlookup(E$3,daily_items,_xlfn.xlookup($C3285,daily_dates,big_daily_table))),NA(),_xlfn.xlookup(E$3,daily_items,_xlfn.xlookup($C3285,daily_dates,big_daily_table)))</f>
        <v>#NAME?</v>
      </c>
    </row>
    <row r="3286" customFormat="false" ht="14.25" hidden="false" customHeight="false" outlineLevel="0" collapsed="false">
      <c r="B3286" s="7" t="n">
        <v>44191</v>
      </c>
      <c r="C3286" s="7" t="n">
        <f aca="false">B3286-WEEKDAY(B3286)+1</f>
        <v>44185</v>
      </c>
      <c r="D3286" s="1" t="e">
        <f aca="false" t="array" ref="D3286:D3286">IF(ISBLANK(_xlfn.xlookup(D$3,daily_items,_xlfn.xlookup($C3286,daily_dates,big_daily_table))),NA(),_xlfn.xlookup(D$3,daily_items,_xlfn.xlookup($C3286,daily_dates,big_daily_table)))</f>
        <v>#NAME?</v>
      </c>
      <c r="E3286" s="1" t="e">
        <f aca="false" t="array" ref="E3286:E3286">IF(ISBLANK(_xlfn.xlookup(E$3,daily_items,_xlfn.xlookup($C3286,daily_dates,big_daily_table))),NA(),_xlfn.xlookup(E$3,daily_items,_xlfn.xlookup($C3286,daily_dates,big_daily_table)))</f>
        <v>#NAME?</v>
      </c>
    </row>
    <row r="3287" customFormat="false" ht="14.25" hidden="false" customHeight="false" outlineLevel="0" collapsed="false">
      <c r="B3287" s="7" t="n">
        <v>44192</v>
      </c>
      <c r="C3287" s="7" t="n">
        <f aca="false">B3287-WEEKDAY(B3287)+1</f>
        <v>44192</v>
      </c>
      <c r="D3287" s="1" t="e">
        <f aca="false" t="array" ref="D3287:D3287">IF(ISBLANK(_xlfn.xlookup(D$3,daily_items,_xlfn.xlookup($C3287,daily_dates,big_daily_table))),NA(),_xlfn.xlookup(D$3,daily_items,_xlfn.xlookup($C3287,daily_dates,big_daily_table)))</f>
        <v>#NAME?</v>
      </c>
      <c r="E3287" s="1" t="e">
        <f aca="false" t="array" ref="E3287:E3287">IF(ISBLANK(_xlfn.xlookup(E$3,daily_items,_xlfn.xlookup($C3287,daily_dates,big_daily_table))),NA(),_xlfn.xlookup(E$3,daily_items,_xlfn.xlookup($C3287,daily_dates,big_daily_table)))</f>
        <v>#NAME?</v>
      </c>
    </row>
    <row r="3288" customFormat="false" ht="14.25" hidden="false" customHeight="false" outlineLevel="0" collapsed="false">
      <c r="B3288" s="7" t="n">
        <v>44193</v>
      </c>
      <c r="C3288" s="7" t="n">
        <f aca="false">B3288-WEEKDAY(B3288)+1</f>
        <v>44192</v>
      </c>
      <c r="D3288" s="1" t="e">
        <f aca="false" t="array" ref="D3288:D3288">IF(ISBLANK(_xlfn.xlookup(D$3,daily_items,_xlfn.xlookup($C3288,daily_dates,big_daily_table))),NA(),_xlfn.xlookup(D$3,daily_items,_xlfn.xlookup($C3288,daily_dates,big_daily_table)))</f>
        <v>#NAME?</v>
      </c>
      <c r="E3288" s="1" t="e">
        <f aca="false" t="array" ref="E3288:E3288">IF(ISBLANK(_xlfn.xlookup(E$3,daily_items,_xlfn.xlookup($C3288,daily_dates,big_daily_table))),NA(),_xlfn.xlookup(E$3,daily_items,_xlfn.xlookup($C3288,daily_dates,big_daily_table)))</f>
        <v>#NAME?</v>
      </c>
    </row>
    <row r="3289" customFormat="false" ht="14.25" hidden="false" customHeight="false" outlineLevel="0" collapsed="false">
      <c r="B3289" s="7" t="n">
        <v>44194</v>
      </c>
      <c r="C3289" s="7" t="n">
        <f aca="false">B3289-WEEKDAY(B3289)+1</f>
        <v>44192</v>
      </c>
      <c r="D3289" s="1" t="e">
        <f aca="false" t="array" ref="D3289:D3289">IF(ISBLANK(_xlfn.xlookup(D$3,daily_items,_xlfn.xlookup($C3289,daily_dates,big_daily_table))),NA(),_xlfn.xlookup(D$3,daily_items,_xlfn.xlookup($C3289,daily_dates,big_daily_table)))</f>
        <v>#NAME?</v>
      </c>
      <c r="E3289" s="1" t="e">
        <f aca="false" t="array" ref="E3289:E3289">IF(ISBLANK(_xlfn.xlookup(E$3,daily_items,_xlfn.xlookup($C3289,daily_dates,big_daily_table))),NA(),_xlfn.xlookup(E$3,daily_items,_xlfn.xlookup($C3289,daily_dates,big_daily_table)))</f>
        <v>#NAME?</v>
      </c>
    </row>
    <row r="3290" customFormat="false" ht="14.25" hidden="false" customHeight="false" outlineLevel="0" collapsed="false">
      <c r="B3290" s="7" t="n">
        <v>44195</v>
      </c>
      <c r="C3290" s="7" t="n">
        <f aca="false">B3290-WEEKDAY(B3290)+1</f>
        <v>44192</v>
      </c>
      <c r="D3290" s="1" t="e">
        <f aca="false" t="array" ref="D3290:D3290">IF(ISBLANK(_xlfn.xlookup(D$3,daily_items,_xlfn.xlookup($C3290,daily_dates,big_daily_table))),NA(),_xlfn.xlookup(D$3,daily_items,_xlfn.xlookup($C3290,daily_dates,big_daily_table)))</f>
        <v>#NAME?</v>
      </c>
      <c r="E3290" s="1" t="e">
        <f aca="false" t="array" ref="E3290:E3290">IF(ISBLANK(_xlfn.xlookup(E$3,daily_items,_xlfn.xlookup($C3290,daily_dates,big_daily_table))),NA(),_xlfn.xlookup(E$3,daily_items,_xlfn.xlookup($C3290,daily_dates,big_daily_table)))</f>
        <v>#NAME?</v>
      </c>
    </row>
    <row r="3291" customFormat="false" ht="14.25" hidden="false" customHeight="false" outlineLevel="0" collapsed="false">
      <c r="B3291" s="7" t="n">
        <v>44196</v>
      </c>
      <c r="C3291" s="7" t="n">
        <f aca="false">B3291-WEEKDAY(B3291)+1</f>
        <v>44192</v>
      </c>
      <c r="D3291" s="1" t="e">
        <f aca="false" t="array" ref="D3291:D3291">IF(ISBLANK(_xlfn.xlookup(D$3,daily_items,_xlfn.xlookup($C3291,daily_dates,big_daily_table))),NA(),_xlfn.xlookup(D$3,daily_items,_xlfn.xlookup($C3291,daily_dates,big_daily_table)))</f>
        <v>#NAME?</v>
      </c>
      <c r="E3291" s="1" t="e">
        <f aca="false" t="array" ref="E3291:E3291">IF(ISBLANK(_xlfn.xlookup(E$3,daily_items,_xlfn.xlookup($C3291,daily_dates,big_daily_table))),NA(),_xlfn.xlookup(E$3,daily_items,_xlfn.xlookup($C3291,daily_dates,big_daily_table)))</f>
        <v>#NAME?</v>
      </c>
    </row>
    <row r="3292" customFormat="false" ht="14.25" hidden="false" customHeight="false" outlineLevel="0" collapsed="false">
      <c r="B3292" s="7" t="n">
        <v>44197</v>
      </c>
      <c r="C3292" s="7" t="n">
        <f aca="false">B3292-WEEKDAY(B3292)+1</f>
        <v>44192</v>
      </c>
      <c r="D3292" s="1" t="e">
        <f aca="false" t="array" ref="D3292:D3292">IF(ISBLANK(_xlfn.xlookup(D$3,daily_items,_xlfn.xlookup($C3292,daily_dates,big_daily_table))),NA(),_xlfn.xlookup(D$3,daily_items,_xlfn.xlookup($C3292,daily_dates,big_daily_table)))</f>
        <v>#NAME?</v>
      </c>
      <c r="E3292" s="1" t="e">
        <f aca="false" t="array" ref="E3292:E3292">IF(ISBLANK(_xlfn.xlookup(E$3,daily_items,_xlfn.xlookup($C3292,daily_dates,big_daily_table))),NA(),_xlfn.xlookup(E$3,daily_items,_xlfn.xlookup($C3292,daily_dates,big_daily_table)))</f>
        <v>#NAME?</v>
      </c>
    </row>
    <row r="3293" customFormat="false" ht="14.25" hidden="false" customHeight="false" outlineLevel="0" collapsed="false">
      <c r="B3293" s="7" t="n">
        <v>44198</v>
      </c>
      <c r="C3293" s="7" t="n">
        <f aca="false">B3293-WEEKDAY(B3293)+1</f>
        <v>44192</v>
      </c>
      <c r="D3293" s="1" t="e">
        <f aca="false" t="array" ref="D3293:D3293">IF(ISBLANK(_xlfn.xlookup(D$3,daily_items,_xlfn.xlookup($C3293,daily_dates,big_daily_table))),NA(),_xlfn.xlookup(D$3,daily_items,_xlfn.xlookup($C3293,daily_dates,big_daily_table)))</f>
        <v>#NAME?</v>
      </c>
      <c r="E3293" s="1" t="e">
        <f aca="false" t="array" ref="E3293:E3293">IF(ISBLANK(_xlfn.xlookup(E$3,daily_items,_xlfn.xlookup($C3293,daily_dates,big_daily_table))),NA(),_xlfn.xlookup(E$3,daily_items,_xlfn.xlookup($C3293,daily_dates,big_daily_table)))</f>
        <v>#NAME?</v>
      </c>
    </row>
    <row r="3294" customFormat="false" ht="14.25" hidden="false" customHeight="false" outlineLevel="0" collapsed="false">
      <c r="B3294" s="7" t="n">
        <v>44199</v>
      </c>
      <c r="C3294" s="7" t="n">
        <f aca="false">B3294-WEEKDAY(B3294)+1</f>
        <v>44199</v>
      </c>
      <c r="D3294" s="1" t="e">
        <f aca="false" t="array" ref="D3294:D3294">IF(ISBLANK(_xlfn.xlookup(D$3,daily_items,_xlfn.xlookup($C3294,daily_dates,big_daily_table))),NA(),_xlfn.xlookup(D$3,daily_items,_xlfn.xlookup($C3294,daily_dates,big_daily_table)))</f>
        <v>#NAME?</v>
      </c>
      <c r="E3294" s="1" t="e">
        <f aca="false" t="array" ref="E3294:E3294">IF(ISBLANK(_xlfn.xlookup(E$3,daily_items,_xlfn.xlookup($C3294,daily_dates,big_daily_table))),NA(),_xlfn.xlookup(E$3,daily_items,_xlfn.xlookup($C3294,daily_dates,big_daily_table)))</f>
        <v>#NAME?</v>
      </c>
    </row>
    <row r="3295" customFormat="false" ht="14.25" hidden="false" customHeight="false" outlineLevel="0" collapsed="false">
      <c r="B3295" s="7" t="n">
        <v>44200</v>
      </c>
      <c r="C3295" s="7" t="n">
        <f aca="false">B3295-WEEKDAY(B3295)+1</f>
        <v>44199</v>
      </c>
      <c r="D3295" s="1" t="e">
        <f aca="false" t="array" ref="D3295:D3295">IF(ISBLANK(_xlfn.xlookup(D$3,daily_items,_xlfn.xlookup($C3295,daily_dates,big_daily_table))),NA(),_xlfn.xlookup(D$3,daily_items,_xlfn.xlookup($C3295,daily_dates,big_daily_table)))</f>
        <v>#NAME?</v>
      </c>
      <c r="E3295" s="1" t="e">
        <f aca="false" t="array" ref="E3295:E3295">IF(ISBLANK(_xlfn.xlookup(E$3,daily_items,_xlfn.xlookup($C3295,daily_dates,big_daily_table))),NA(),_xlfn.xlookup(E$3,daily_items,_xlfn.xlookup($C3295,daily_dates,big_daily_table)))</f>
        <v>#NAME?</v>
      </c>
    </row>
    <row r="3296" customFormat="false" ht="14.25" hidden="false" customHeight="false" outlineLevel="0" collapsed="false">
      <c r="B3296" s="7" t="n">
        <v>44201</v>
      </c>
      <c r="C3296" s="7" t="n">
        <f aca="false">B3296-WEEKDAY(B3296)+1</f>
        <v>44199</v>
      </c>
      <c r="D3296" s="1" t="e">
        <f aca="false" t="array" ref="D3296:D3296">IF(ISBLANK(_xlfn.xlookup(D$3,daily_items,_xlfn.xlookup($C3296,daily_dates,big_daily_table))),NA(),_xlfn.xlookup(D$3,daily_items,_xlfn.xlookup($C3296,daily_dates,big_daily_table)))</f>
        <v>#NAME?</v>
      </c>
      <c r="E3296" s="1" t="e">
        <f aca="false" t="array" ref="E3296:E3296">IF(ISBLANK(_xlfn.xlookup(E$3,daily_items,_xlfn.xlookup($C3296,daily_dates,big_daily_table))),NA(),_xlfn.xlookup(E$3,daily_items,_xlfn.xlookup($C3296,daily_dates,big_daily_table)))</f>
        <v>#NAME?</v>
      </c>
    </row>
    <row r="3297" customFormat="false" ht="14.25" hidden="false" customHeight="false" outlineLevel="0" collapsed="false">
      <c r="B3297" s="7" t="n">
        <v>44202</v>
      </c>
      <c r="C3297" s="7" t="n">
        <f aca="false">B3297-WEEKDAY(B3297)+1</f>
        <v>44199</v>
      </c>
      <c r="D3297" s="1" t="e">
        <f aca="false" t="array" ref="D3297:D3297">IF(ISBLANK(_xlfn.xlookup(D$3,daily_items,_xlfn.xlookup($C3297,daily_dates,big_daily_table))),NA(),_xlfn.xlookup(D$3,daily_items,_xlfn.xlookup($C3297,daily_dates,big_daily_table)))</f>
        <v>#NAME?</v>
      </c>
      <c r="E3297" s="1" t="e">
        <f aca="false" t="array" ref="E3297:E3297">IF(ISBLANK(_xlfn.xlookup(E$3,daily_items,_xlfn.xlookup($C3297,daily_dates,big_daily_table))),NA(),_xlfn.xlookup(E$3,daily_items,_xlfn.xlookup($C3297,daily_dates,big_daily_table)))</f>
        <v>#NAME?</v>
      </c>
    </row>
    <row r="3298" customFormat="false" ht="14.25" hidden="false" customHeight="false" outlineLevel="0" collapsed="false">
      <c r="B3298" s="7" t="n">
        <v>44203</v>
      </c>
      <c r="C3298" s="7" t="n">
        <f aca="false">B3298-WEEKDAY(B3298)+1</f>
        <v>44199</v>
      </c>
      <c r="D3298" s="1" t="e">
        <f aca="false" t="array" ref="D3298:D3298">IF(ISBLANK(_xlfn.xlookup(D$3,daily_items,_xlfn.xlookup($C3298,daily_dates,big_daily_table))),NA(),_xlfn.xlookup(D$3,daily_items,_xlfn.xlookup($C3298,daily_dates,big_daily_table)))</f>
        <v>#NAME?</v>
      </c>
      <c r="E3298" s="1" t="e">
        <f aca="false" t="array" ref="E3298:E3298">IF(ISBLANK(_xlfn.xlookup(E$3,daily_items,_xlfn.xlookup($C3298,daily_dates,big_daily_table))),NA(),_xlfn.xlookup(E$3,daily_items,_xlfn.xlookup($C3298,daily_dates,big_daily_table)))</f>
        <v>#NAME?</v>
      </c>
    </row>
    <row r="3299" customFormat="false" ht="14.25" hidden="false" customHeight="false" outlineLevel="0" collapsed="false">
      <c r="B3299" s="7" t="n">
        <v>44204</v>
      </c>
      <c r="C3299" s="7" t="n">
        <f aca="false">B3299-WEEKDAY(B3299)+1</f>
        <v>44199</v>
      </c>
      <c r="D3299" s="1" t="e">
        <f aca="false" t="array" ref="D3299:D3299">IF(ISBLANK(_xlfn.xlookup(D$3,daily_items,_xlfn.xlookup($C3299,daily_dates,big_daily_table))),NA(),_xlfn.xlookup(D$3,daily_items,_xlfn.xlookup($C3299,daily_dates,big_daily_table)))</f>
        <v>#NAME?</v>
      </c>
      <c r="E3299" s="1" t="e">
        <f aca="false" t="array" ref="E3299:E3299">IF(ISBLANK(_xlfn.xlookup(E$3,daily_items,_xlfn.xlookup($C3299,daily_dates,big_daily_table))),NA(),_xlfn.xlookup(E$3,daily_items,_xlfn.xlookup($C3299,daily_dates,big_daily_table)))</f>
        <v>#NAME?</v>
      </c>
    </row>
    <row r="3300" customFormat="false" ht="14.25" hidden="false" customHeight="false" outlineLevel="0" collapsed="false">
      <c r="B3300" s="7" t="n">
        <v>44205</v>
      </c>
      <c r="C3300" s="7" t="n">
        <f aca="false">B3300-WEEKDAY(B3300)+1</f>
        <v>44199</v>
      </c>
      <c r="D3300" s="1" t="e">
        <f aca="false" t="array" ref="D3300:D3300">IF(ISBLANK(_xlfn.xlookup(D$3,daily_items,_xlfn.xlookup($C3300,daily_dates,big_daily_table))),NA(),_xlfn.xlookup(D$3,daily_items,_xlfn.xlookup($C3300,daily_dates,big_daily_table)))</f>
        <v>#NAME?</v>
      </c>
      <c r="E3300" s="1" t="e">
        <f aca="false" t="array" ref="E3300:E3300">IF(ISBLANK(_xlfn.xlookup(E$3,daily_items,_xlfn.xlookup($C3300,daily_dates,big_daily_table))),NA(),_xlfn.xlookup(E$3,daily_items,_xlfn.xlookup($C3300,daily_dates,big_daily_table)))</f>
        <v>#NAME?</v>
      </c>
    </row>
    <row r="3301" customFormat="false" ht="14.25" hidden="false" customHeight="false" outlineLevel="0" collapsed="false">
      <c r="B3301" s="7" t="n">
        <v>44206</v>
      </c>
      <c r="C3301" s="7" t="n">
        <f aca="false">B3301-WEEKDAY(B3301)+1</f>
        <v>44206</v>
      </c>
      <c r="D3301" s="1" t="e">
        <f aca="false" t="array" ref="D3301:D3301">IF(ISBLANK(_xlfn.xlookup(D$3,daily_items,_xlfn.xlookup($C3301,daily_dates,big_daily_table))),NA(),_xlfn.xlookup(D$3,daily_items,_xlfn.xlookup($C3301,daily_dates,big_daily_table)))</f>
        <v>#NAME?</v>
      </c>
      <c r="E3301" s="1" t="e">
        <f aca="false" t="array" ref="E3301:E3301">IF(ISBLANK(_xlfn.xlookup(E$3,daily_items,_xlfn.xlookup($C3301,daily_dates,big_daily_table))),NA(),_xlfn.xlookup(E$3,daily_items,_xlfn.xlookup($C3301,daily_dates,big_daily_table)))</f>
        <v>#NAME?</v>
      </c>
    </row>
    <row r="3302" customFormat="false" ht="14.25" hidden="false" customHeight="false" outlineLevel="0" collapsed="false">
      <c r="B3302" s="7" t="n">
        <v>44207</v>
      </c>
      <c r="C3302" s="7" t="n">
        <f aca="false">B3302-WEEKDAY(B3302)+1</f>
        <v>44206</v>
      </c>
      <c r="D3302" s="1" t="e">
        <f aca="false" t="array" ref="D3302:D3302">IF(ISBLANK(_xlfn.xlookup(D$3,daily_items,_xlfn.xlookup($C3302,daily_dates,big_daily_table))),NA(),_xlfn.xlookup(D$3,daily_items,_xlfn.xlookup($C3302,daily_dates,big_daily_table)))</f>
        <v>#NAME?</v>
      </c>
      <c r="E3302" s="1" t="e">
        <f aca="false" t="array" ref="E3302:E3302">IF(ISBLANK(_xlfn.xlookup(E$3,daily_items,_xlfn.xlookup($C3302,daily_dates,big_daily_table))),NA(),_xlfn.xlookup(E$3,daily_items,_xlfn.xlookup($C3302,daily_dates,big_daily_table)))</f>
        <v>#NAME?</v>
      </c>
    </row>
    <row r="3303" customFormat="false" ht="14.25" hidden="false" customHeight="false" outlineLevel="0" collapsed="false">
      <c r="B3303" s="7" t="n">
        <v>44208</v>
      </c>
      <c r="C3303" s="7" t="n">
        <f aca="false">B3303-WEEKDAY(B3303)+1</f>
        <v>44206</v>
      </c>
      <c r="D3303" s="1" t="e">
        <f aca="false" t="array" ref="D3303:D3303">IF(ISBLANK(_xlfn.xlookup(D$3,daily_items,_xlfn.xlookup($C3303,daily_dates,big_daily_table))),NA(),_xlfn.xlookup(D$3,daily_items,_xlfn.xlookup($C3303,daily_dates,big_daily_table)))</f>
        <v>#NAME?</v>
      </c>
      <c r="E3303" s="1" t="e">
        <f aca="false" t="array" ref="E3303:E3303">IF(ISBLANK(_xlfn.xlookup(E$3,daily_items,_xlfn.xlookup($C3303,daily_dates,big_daily_table))),NA(),_xlfn.xlookup(E$3,daily_items,_xlfn.xlookup($C3303,daily_dates,big_daily_table)))</f>
        <v>#NAME?</v>
      </c>
    </row>
    <row r="3304" customFormat="false" ht="14.25" hidden="false" customHeight="false" outlineLevel="0" collapsed="false">
      <c r="B3304" s="7" t="n">
        <v>44209</v>
      </c>
      <c r="C3304" s="7" t="n">
        <f aca="false">B3304-WEEKDAY(B3304)+1</f>
        <v>44206</v>
      </c>
      <c r="D3304" s="1" t="e">
        <f aca="false" t="array" ref="D3304:D3304">IF(ISBLANK(_xlfn.xlookup(D$3,daily_items,_xlfn.xlookup($C3304,daily_dates,big_daily_table))),NA(),_xlfn.xlookup(D$3,daily_items,_xlfn.xlookup($C3304,daily_dates,big_daily_table)))</f>
        <v>#NAME?</v>
      </c>
      <c r="E3304" s="1" t="e">
        <f aca="false" t="array" ref="E3304:E3304">IF(ISBLANK(_xlfn.xlookup(E$3,daily_items,_xlfn.xlookup($C3304,daily_dates,big_daily_table))),NA(),_xlfn.xlookup(E$3,daily_items,_xlfn.xlookup($C3304,daily_dates,big_daily_table)))</f>
        <v>#NAME?</v>
      </c>
    </row>
    <row r="3305" customFormat="false" ht="14.25" hidden="false" customHeight="false" outlineLevel="0" collapsed="false">
      <c r="B3305" s="7" t="n">
        <v>44210</v>
      </c>
      <c r="C3305" s="7" t="n">
        <f aca="false">B3305-WEEKDAY(B3305)+1</f>
        <v>44206</v>
      </c>
      <c r="D3305" s="1" t="e">
        <f aca="false" t="array" ref="D3305:D3305">IF(ISBLANK(_xlfn.xlookup(D$3,daily_items,_xlfn.xlookup($C3305,daily_dates,big_daily_table))),NA(),_xlfn.xlookup(D$3,daily_items,_xlfn.xlookup($C3305,daily_dates,big_daily_table)))</f>
        <v>#NAME?</v>
      </c>
      <c r="E3305" s="1" t="e">
        <f aca="false" t="array" ref="E3305:E3305">IF(ISBLANK(_xlfn.xlookup(E$3,daily_items,_xlfn.xlookup($C3305,daily_dates,big_daily_table))),NA(),_xlfn.xlookup(E$3,daily_items,_xlfn.xlookup($C3305,daily_dates,big_daily_table)))</f>
        <v>#NAME?</v>
      </c>
    </row>
    <row r="3306" customFormat="false" ht="14.25" hidden="false" customHeight="false" outlineLevel="0" collapsed="false">
      <c r="B3306" s="7" t="n">
        <v>44211</v>
      </c>
      <c r="C3306" s="7" t="n">
        <f aca="false">B3306-WEEKDAY(B3306)+1</f>
        <v>44206</v>
      </c>
      <c r="D3306" s="1" t="e">
        <f aca="false" t="array" ref="D3306:D3306">IF(ISBLANK(_xlfn.xlookup(D$3,daily_items,_xlfn.xlookup($C3306,daily_dates,big_daily_table))),NA(),_xlfn.xlookup(D$3,daily_items,_xlfn.xlookup($C3306,daily_dates,big_daily_table)))</f>
        <v>#NAME?</v>
      </c>
      <c r="E3306" s="1" t="e">
        <f aca="false" t="array" ref="E3306:E3306">IF(ISBLANK(_xlfn.xlookup(E$3,daily_items,_xlfn.xlookup($C3306,daily_dates,big_daily_table))),NA(),_xlfn.xlookup(E$3,daily_items,_xlfn.xlookup($C3306,daily_dates,big_daily_table)))</f>
        <v>#NAME?</v>
      </c>
    </row>
    <row r="3307" customFormat="false" ht="14.25" hidden="false" customHeight="false" outlineLevel="0" collapsed="false">
      <c r="B3307" s="7" t="n">
        <v>44212</v>
      </c>
      <c r="C3307" s="7" t="n">
        <f aca="false">B3307-WEEKDAY(B3307)+1</f>
        <v>44206</v>
      </c>
      <c r="D3307" s="1" t="e">
        <f aca="false" t="array" ref="D3307:D3307">IF(ISBLANK(_xlfn.xlookup(D$3,daily_items,_xlfn.xlookup($C3307,daily_dates,big_daily_table))),NA(),_xlfn.xlookup(D$3,daily_items,_xlfn.xlookup($C3307,daily_dates,big_daily_table)))</f>
        <v>#NAME?</v>
      </c>
      <c r="E3307" s="1" t="e">
        <f aca="false" t="array" ref="E3307:E3307">IF(ISBLANK(_xlfn.xlookup(E$3,daily_items,_xlfn.xlookup($C3307,daily_dates,big_daily_table))),NA(),_xlfn.xlookup(E$3,daily_items,_xlfn.xlookup($C3307,daily_dates,big_daily_table)))</f>
        <v>#NAME?</v>
      </c>
    </row>
    <row r="3308" customFormat="false" ht="14.25" hidden="false" customHeight="false" outlineLevel="0" collapsed="false">
      <c r="B3308" s="7" t="n">
        <v>44213</v>
      </c>
      <c r="C3308" s="7" t="n">
        <f aca="false">B3308-WEEKDAY(B3308)+1</f>
        <v>44213</v>
      </c>
      <c r="D3308" s="1" t="e">
        <f aca="false" t="array" ref="D3308:D3308">IF(ISBLANK(_xlfn.xlookup(D$3,daily_items,_xlfn.xlookup($C3308,daily_dates,big_daily_table))),NA(),_xlfn.xlookup(D$3,daily_items,_xlfn.xlookup($C3308,daily_dates,big_daily_table)))</f>
        <v>#NAME?</v>
      </c>
      <c r="E3308" s="1" t="e">
        <f aca="false" t="array" ref="E3308:E3308">IF(ISBLANK(_xlfn.xlookup(E$3,daily_items,_xlfn.xlookup($C3308,daily_dates,big_daily_table))),NA(),_xlfn.xlookup(E$3,daily_items,_xlfn.xlookup($C3308,daily_dates,big_daily_table)))</f>
        <v>#NAME?</v>
      </c>
    </row>
    <row r="3309" customFormat="false" ht="14.25" hidden="false" customHeight="false" outlineLevel="0" collapsed="false">
      <c r="B3309" s="7" t="n">
        <v>44214</v>
      </c>
      <c r="C3309" s="7" t="n">
        <f aca="false">B3309-WEEKDAY(B3309)+1</f>
        <v>44213</v>
      </c>
      <c r="D3309" s="1" t="e">
        <f aca="false" t="array" ref="D3309:D3309">IF(ISBLANK(_xlfn.xlookup(D$3,daily_items,_xlfn.xlookup($C3309,daily_dates,big_daily_table))),NA(),_xlfn.xlookup(D$3,daily_items,_xlfn.xlookup($C3309,daily_dates,big_daily_table)))</f>
        <v>#NAME?</v>
      </c>
      <c r="E3309" s="1" t="e">
        <f aca="false" t="array" ref="E3309:E3309">IF(ISBLANK(_xlfn.xlookup(E$3,daily_items,_xlfn.xlookup($C3309,daily_dates,big_daily_table))),NA(),_xlfn.xlookup(E$3,daily_items,_xlfn.xlookup($C3309,daily_dates,big_daily_table)))</f>
        <v>#NAME?</v>
      </c>
    </row>
    <row r="3310" customFormat="false" ht="14.25" hidden="false" customHeight="false" outlineLevel="0" collapsed="false">
      <c r="B3310" s="7" t="n">
        <v>44215</v>
      </c>
      <c r="C3310" s="7" t="n">
        <f aca="false">B3310-WEEKDAY(B3310)+1</f>
        <v>44213</v>
      </c>
      <c r="D3310" s="1" t="e">
        <f aca="false" t="array" ref="D3310:D3310">IF(ISBLANK(_xlfn.xlookup(D$3,daily_items,_xlfn.xlookup($C3310,daily_dates,big_daily_table))),NA(),_xlfn.xlookup(D$3,daily_items,_xlfn.xlookup($C3310,daily_dates,big_daily_table)))</f>
        <v>#NAME?</v>
      </c>
      <c r="E3310" s="1" t="e">
        <f aca="false" t="array" ref="E3310:E3310">IF(ISBLANK(_xlfn.xlookup(E$3,daily_items,_xlfn.xlookup($C3310,daily_dates,big_daily_table))),NA(),_xlfn.xlookup(E$3,daily_items,_xlfn.xlookup($C3310,daily_dates,big_daily_table)))</f>
        <v>#NAME?</v>
      </c>
    </row>
    <row r="3311" customFormat="false" ht="14.25" hidden="false" customHeight="false" outlineLevel="0" collapsed="false">
      <c r="B3311" s="7" t="n">
        <v>44216</v>
      </c>
      <c r="C3311" s="7" t="n">
        <f aca="false">B3311-WEEKDAY(B3311)+1</f>
        <v>44213</v>
      </c>
      <c r="D3311" s="1" t="e">
        <f aca="false" t="array" ref="D3311:D3311">IF(ISBLANK(_xlfn.xlookup(D$3,daily_items,_xlfn.xlookup($C3311,daily_dates,big_daily_table))),NA(),_xlfn.xlookup(D$3,daily_items,_xlfn.xlookup($C3311,daily_dates,big_daily_table)))</f>
        <v>#NAME?</v>
      </c>
      <c r="E3311" s="1" t="e">
        <f aca="false" t="array" ref="E3311:E3311">IF(ISBLANK(_xlfn.xlookup(E$3,daily_items,_xlfn.xlookup($C3311,daily_dates,big_daily_table))),NA(),_xlfn.xlookup(E$3,daily_items,_xlfn.xlookup($C3311,daily_dates,big_daily_table)))</f>
        <v>#NAME?</v>
      </c>
    </row>
    <row r="3312" customFormat="false" ht="14.25" hidden="false" customHeight="false" outlineLevel="0" collapsed="false">
      <c r="B3312" s="7" t="n">
        <v>44217</v>
      </c>
      <c r="C3312" s="7" t="n">
        <f aca="false">B3312-WEEKDAY(B3312)+1</f>
        <v>44213</v>
      </c>
      <c r="D3312" s="1" t="e">
        <f aca="false" t="array" ref="D3312:D3312">IF(ISBLANK(_xlfn.xlookup(D$3,daily_items,_xlfn.xlookup($C3312,daily_dates,big_daily_table))),NA(),_xlfn.xlookup(D$3,daily_items,_xlfn.xlookup($C3312,daily_dates,big_daily_table)))</f>
        <v>#NAME?</v>
      </c>
      <c r="E3312" s="1" t="e">
        <f aca="false" t="array" ref="E3312:E3312">IF(ISBLANK(_xlfn.xlookup(E$3,daily_items,_xlfn.xlookup($C3312,daily_dates,big_daily_table))),NA(),_xlfn.xlookup(E$3,daily_items,_xlfn.xlookup($C3312,daily_dates,big_daily_table)))</f>
        <v>#NAME?</v>
      </c>
    </row>
    <row r="3313" customFormat="false" ht="14.25" hidden="false" customHeight="false" outlineLevel="0" collapsed="false">
      <c r="B3313" s="7" t="n">
        <v>44218</v>
      </c>
      <c r="C3313" s="7" t="n">
        <f aca="false">B3313-WEEKDAY(B3313)+1</f>
        <v>44213</v>
      </c>
      <c r="D3313" s="1" t="e">
        <f aca="false" t="array" ref="D3313:D3313">IF(ISBLANK(_xlfn.xlookup(D$3,daily_items,_xlfn.xlookup($C3313,daily_dates,big_daily_table))),NA(),_xlfn.xlookup(D$3,daily_items,_xlfn.xlookup($C3313,daily_dates,big_daily_table)))</f>
        <v>#NAME?</v>
      </c>
      <c r="E3313" s="1" t="e">
        <f aca="false" t="array" ref="E3313:E3313">IF(ISBLANK(_xlfn.xlookup(E$3,daily_items,_xlfn.xlookup($C3313,daily_dates,big_daily_table))),NA(),_xlfn.xlookup(E$3,daily_items,_xlfn.xlookup($C3313,daily_dates,big_daily_table)))</f>
        <v>#NAME?</v>
      </c>
    </row>
    <row r="3314" customFormat="false" ht="14.25" hidden="false" customHeight="false" outlineLevel="0" collapsed="false">
      <c r="B3314" s="7" t="n">
        <v>44219</v>
      </c>
      <c r="C3314" s="7" t="n">
        <f aca="false">B3314-WEEKDAY(B3314)+1</f>
        <v>44213</v>
      </c>
      <c r="D3314" s="1" t="e">
        <f aca="false" t="array" ref="D3314:D3314">IF(ISBLANK(_xlfn.xlookup(D$3,daily_items,_xlfn.xlookup($C3314,daily_dates,big_daily_table))),NA(),_xlfn.xlookup(D$3,daily_items,_xlfn.xlookup($C3314,daily_dates,big_daily_table)))</f>
        <v>#NAME?</v>
      </c>
      <c r="E3314" s="1" t="e">
        <f aca="false" t="array" ref="E3314:E3314">IF(ISBLANK(_xlfn.xlookup(E$3,daily_items,_xlfn.xlookup($C3314,daily_dates,big_daily_table))),NA(),_xlfn.xlookup(E$3,daily_items,_xlfn.xlookup($C3314,daily_dates,big_daily_table)))</f>
        <v>#NAME?</v>
      </c>
    </row>
    <row r="3315" customFormat="false" ht="14.25" hidden="false" customHeight="false" outlineLevel="0" collapsed="false">
      <c r="B3315" s="7" t="n">
        <v>44220</v>
      </c>
      <c r="C3315" s="7" t="n">
        <f aca="false">B3315-WEEKDAY(B3315)+1</f>
        <v>44220</v>
      </c>
      <c r="D3315" s="1" t="e">
        <f aca="false" t="array" ref="D3315:D3315">IF(ISBLANK(_xlfn.xlookup(D$3,daily_items,_xlfn.xlookup($C3315,daily_dates,big_daily_table))),NA(),_xlfn.xlookup(D$3,daily_items,_xlfn.xlookup($C3315,daily_dates,big_daily_table)))</f>
        <v>#NAME?</v>
      </c>
      <c r="E3315" s="1" t="e">
        <f aca="false" t="array" ref="E3315:E3315">IF(ISBLANK(_xlfn.xlookup(E$3,daily_items,_xlfn.xlookup($C3315,daily_dates,big_daily_table))),NA(),_xlfn.xlookup(E$3,daily_items,_xlfn.xlookup($C3315,daily_dates,big_daily_table)))</f>
        <v>#NAME?</v>
      </c>
    </row>
    <row r="3316" customFormat="false" ht="14.25" hidden="false" customHeight="false" outlineLevel="0" collapsed="false">
      <c r="B3316" s="7" t="n">
        <v>44221</v>
      </c>
      <c r="C3316" s="7" t="n">
        <f aca="false">B3316-WEEKDAY(B3316)+1</f>
        <v>44220</v>
      </c>
      <c r="D3316" s="1" t="e">
        <f aca="false" t="array" ref="D3316:D3316">IF(ISBLANK(_xlfn.xlookup(D$3,daily_items,_xlfn.xlookup($C3316,daily_dates,big_daily_table))),NA(),_xlfn.xlookup(D$3,daily_items,_xlfn.xlookup($C3316,daily_dates,big_daily_table)))</f>
        <v>#NAME?</v>
      </c>
      <c r="E3316" s="1" t="e">
        <f aca="false" t="array" ref="E3316:E3316">IF(ISBLANK(_xlfn.xlookup(E$3,daily_items,_xlfn.xlookup($C3316,daily_dates,big_daily_table))),NA(),_xlfn.xlookup(E$3,daily_items,_xlfn.xlookup($C3316,daily_dates,big_daily_table)))</f>
        <v>#NAME?</v>
      </c>
    </row>
    <row r="3317" customFormat="false" ht="14.25" hidden="false" customHeight="false" outlineLevel="0" collapsed="false">
      <c r="B3317" s="7" t="n">
        <v>44222</v>
      </c>
      <c r="C3317" s="7" t="n">
        <f aca="false">B3317-WEEKDAY(B3317)+1</f>
        <v>44220</v>
      </c>
      <c r="D3317" s="1" t="e">
        <f aca="false" t="array" ref="D3317:D3317">IF(ISBLANK(_xlfn.xlookup(D$3,daily_items,_xlfn.xlookup($C3317,daily_dates,big_daily_table))),NA(),_xlfn.xlookup(D$3,daily_items,_xlfn.xlookup($C3317,daily_dates,big_daily_table)))</f>
        <v>#NAME?</v>
      </c>
      <c r="E3317" s="1" t="e">
        <f aca="false" t="array" ref="E3317:E3317">IF(ISBLANK(_xlfn.xlookup(E$3,daily_items,_xlfn.xlookup($C3317,daily_dates,big_daily_table))),NA(),_xlfn.xlookup(E$3,daily_items,_xlfn.xlookup($C3317,daily_dates,big_daily_table)))</f>
        <v>#NAME?</v>
      </c>
    </row>
    <row r="3318" customFormat="false" ht="14.25" hidden="false" customHeight="false" outlineLevel="0" collapsed="false">
      <c r="B3318" s="7" t="n">
        <v>44223</v>
      </c>
      <c r="C3318" s="7" t="n">
        <f aca="false">B3318-WEEKDAY(B3318)+1</f>
        <v>44220</v>
      </c>
      <c r="D3318" s="1" t="e">
        <f aca="false" t="array" ref="D3318:D3318">IF(ISBLANK(_xlfn.xlookup(D$3,daily_items,_xlfn.xlookup($C3318,daily_dates,big_daily_table))),NA(),_xlfn.xlookup(D$3,daily_items,_xlfn.xlookup($C3318,daily_dates,big_daily_table)))</f>
        <v>#NAME?</v>
      </c>
      <c r="E3318" s="1" t="e">
        <f aca="false" t="array" ref="E3318:E3318">IF(ISBLANK(_xlfn.xlookup(E$3,daily_items,_xlfn.xlookup($C3318,daily_dates,big_daily_table))),NA(),_xlfn.xlookup(E$3,daily_items,_xlfn.xlookup($C3318,daily_dates,big_daily_table)))</f>
        <v>#NAME?</v>
      </c>
    </row>
    <row r="3319" customFormat="false" ht="14.25" hidden="false" customHeight="false" outlineLevel="0" collapsed="false">
      <c r="B3319" s="7" t="n">
        <v>44224</v>
      </c>
      <c r="C3319" s="7" t="n">
        <f aca="false">B3319-WEEKDAY(B3319)+1</f>
        <v>44220</v>
      </c>
      <c r="D3319" s="1" t="e">
        <f aca="false" t="array" ref="D3319:D3319">IF(ISBLANK(_xlfn.xlookup(D$3,daily_items,_xlfn.xlookup($C3319,daily_dates,big_daily_table))),NA(),_xlfn.xlookup(D$3,daily_items,_xlfn.xlookup($C3319,daily_dates,big_daily_table)))</f>
        <v>#NAME?</v>
      </c>
      <c r="E3319" s="1" t="e">
        <f aca="false" t="array" ref="E3319:E3319">IF(ISBLANK(_xlfn.xlookup(E$3,daily_items,_xlfn.xlookup($C3319,daily_dates,big_daily_table))),NA(),_xlfn.xlookup(E$3,daily_items,_xlfn.xlookup($C3319,daily_dates,big_daily_table)))</f>
        <v>#NAME?</v>
      </c>
    </row>
    <row r="3320" customFormat="false" ht="14.25" hidden="false" customHeight="false" outlineLevel="0" collapsed="false">
      <c r="B3320" s="7" t="n">
        <v>44225</v>
      </c>
      <c r="C3320" s="7" t="n">
        <f aca="false">B3320-WEEKDAY(B3320)+1</f>
        <v>44220</v>
      </c>
      <c r="D3320" s="1" t="e">
        <f aca="false" t="array" ref="D3320:D3320">IF(ISBLANK(_xlfn.xlookup(D$3,daily_items,_xlfn.xlookup($C3320,daily_dates,big_daily_table))),NA(),_xlfn.xlookup(D$3,daily_items,_xlfn.xlookup($C3320,daily_dates,big_daily_table)))</f>
        <v>#NAME?</v>
      </c>
      <c r="E3320" s="1" t="e">
        <f aca="false" t="array" ref="E3320:E3320">IF(ISBLANK(_xlfn.xlookup(E$3,daily_items,_xlfn.xlookup($C3320,daily_dates,big_daily_table))),NA(),_xlfn.xlookup(E$3,daily_items,_xlfn.xlookup($C3320,daily_dates,big_daily_table)))</f>
        <v>#NAME?</v>
      </c>
    </row>
    <row r="3321" customFormat="false" ht="14.25" hidden="false" customHeight="false" outlineLevel="0" collapsed="false">
      <c r="B3321" s="7" t="n">
        <v>44226</v>
      </c>
      <c r="C3321" s="7" t="n">
        <f aca="false">B3321-WEEKDAY(B3321)+1</f>
        <v>44220</v>
      </c>
      <c r="D3321" s="1" t="e">
        <f aca="false" t="array" ref="D3321:D3321">IF(ISBLANK(_xlfn.xlookup(D$3,daily_items,_xlfn.xlookup($C3321,daily_dates,big_daily_table))),NA(),_xlfn.xlookup(D$3,daily_items,_xlfn.xlookup($C3321,daily_dates,big_daily_table)))</f>
        <v>#NAME?</v>
      </c>
      <c r="E3321" s="1" t="e">
        <f aca="false" t="array" ref="E3321:E3321">IF(ISBLANK(_xlfn.xlookup(E$3,daily_items,_xlfn.xlookup($C3321,daily_dates,big_daily_table))),NA(),_xlfn.xlookup(E$3,daily_items,_xlfn.xlookup($C3321,daily_dates,big_daily_table)))</f>
        <v>#NAME?</v>
      </c>
    </row>
    <row r="3322" customFormat="false" ht="14.25" hidden="false" customHeight="false" outlineLevel="0" collapsed="false">
      <c r="B3322" s="7" t="n">
        <v>44227</v>
      </c>
      <c r="C3322" s="7" t="n">
        <f aca="false">B3322-WEEKDAY(B3322)+1</f>
        <v>44227</v>
      </c>
      <c r="D3322" s="1" t="e">
        <f aca="false" t="array" ref="D3322:D3322">IF(ISBLANK(_xlfn.xlookup(D$3,daily_items,_xlfn.xlookup($C3322,daily_dates,big_daily_table))),NA(),_xlfn.xlookup(D$3,daily_items,_xlfn.xlookup($C3322,daily_dates,big_daily_table)))</f>
        <v>#NAME?</v>
      </c>
      <c r="E3322" s="1" t="e">
        <f aca="false" t="array" ref="E3322:E3322">IF(ISBLANK(_xlfn.xlookup(E$3,daily_items,_xlfn.xlookup($C3322,daily_dates,big_daily_table))),NA(),_xlfn.xlookup(E$3,daily_items,_xlfn.xlookup($C3322,daily_dates,big_daily_table)))</f>
        <v>#NAME?</v>
      </c>
    </row>
    <row r="3323" customFormat="false" ht="14.25" hidden="false" customHeight="false" outlineLevel="0" collapsed="false">
      <c r="B3323" s="7" t="n">
        <v>44228</v>
      </c>
      <c r="C3323" s="7" t="n">
        <f aca="false">B3323-WEEKDAY(B3323)+1</f>
        <v>44227</v>
      </c>
      <c r="D3323" s="1" t="e">
        <f aca="false" t="array" ref="D3323:D3323">IF(ISBLANK(_xlfn.xlookup(D$3,daily_items,_xlfn.xlookup($C3323,daily_dates,big_daily_table))),NA(),_xlfn.xlookup(D$3,daily_items,_xlfn.xlookup($C3323,daily_dates,big_daily_table)))</f>
        <v>#NAME?</v>
      </c>
      <c r="E3323" s="1" t="e">
        <f aca="false" t="array" ref="E3323:E3323">IF(ISBLANK(_xlfn.xlookup(E$3,daily_items,_xlfn.xlookup($C3323,daily_dates,big_daily_table))),NA(),_xlfn.xlookup(E$3,daily_items,_xlfn.xlookup($C3323,daily_dates,big_daily_table)))</f>
        <v>#NAME?</v>
      </c>
    </row>
    <row r="3324" customFormat="false" ht="14.25" hidden="false" customHeight="false" outlineLevel="0" collapsed="false">
      <c r="B3324" s="7" t="n">
        <v>44229</v>
      </c>
      <c r="C3324" s="7" t="n">
        <f aca="false">B3324-WEEKDAY(B3324)+1</f>
        <v>44227</v>
      </c>
      <c r="D3324" s="1" t="e">
        <f aca="false" t="array" ref="D3324:D3324">IF(ISBLANK(_xlfn.xlookup(D$3,daily_items,_xlfn.xlookup($C3324,daily_dates,big_daily_table))),NA(),_xlfn.xlookup(D$3,daily_items,_xlfn.xlookup($C3324,daily_dates,big_daily_table)))</f>
        <v>#NAME?</v>
      </c>
      <c r="E3324" s="1" t="e">
        <f aca="false" t="array" ref="E3324:E3324">IF(ISBLANK(_xlfn.xlookup(E$3,daily_items,_xlfn.xlookup($C3324,daily_dates,big_daily_table))),NA(),_xlfn.xlookup(E$3,daily_items,_xlfn.xlookup($C3324,daily_dates,big_daily_table)))</f>
        <v>#NAME?</v>
      </c>
    </row>
    <row r="3325" customFormat="false" ht="14.25" hidden="false" customHeight="false" outlineLevel="0" collapsed="false">
      <c r="B3325" s="7" t="n">
        <v>44230</v>
      </c>
      <c r="C3325" s="7" t="n">
        <f aca="false">B3325-WEEKDAY(B3325)+1</f>
        <v>44227</v>
      </c>
      <c r="D3325" s="1" t="e">
        <f aca="false" t="array" ref="D3325:D3325">IF(ISBLANK(_xlfn.xlookup(D$3,daily_items,_xlfn.xlookup($C3325,daily_dates,big_daily_table))),NA(),_xlfn.xlookup(D$3,daily_items,_xlfn.xlookup($C3325,daily_dates,big_daily_table)))</f>
        <v>#NAME?</v>
      </c>
      <c r="E3325" s="1" t="e">
        <f aca="false" t="array" ref="E3325:E3325">IF(ISBLANK(_xlfn.xlookup(E$3,daily_items,_xlfn.xlookup($C3325,daily_dates,big_daily_table))),NA(),_xlfn.xlookup(E$3,daily_items,_xlfn.xlookup($C3325,daily_dates,big_daily_table)))</f>
        <v>#NAME?</v>
      </c>
    </row>
    <row r="3326" customFormat="false" ht="14.25" hidden="false" customHeight="false" outlineLevel="0" collapsed="false">
      <c r="B3326" s="7" t="n">
        <v>44231</v>
      </c>
      <c r="C3326" s="7" t="n">
        <f aca="false">B3326-WEEKDAY(B3326)+1</f>
        <v>44227</v>
      </c>
      <c r="D3326" s="1" t="e">
        <f aca="false" t="array" ref="D3326:D3326">IF(ISBLANK(_xlfn.xlookup(D$3,daily_items,_xlfn.xlookup($C3326,daily_dates,big_daily_table))),NA(),_xlfn.xlookup(D$3,daily_items,_xlfn.xlookup($C3326,daily_dates,big_daily_table)))</f>
        <v>#NAME?</v>
      </c>
      <c r="E3326" s="1" t="e">
        <f aca="false" t="array" ref="E3326:E3326">IF(ISBLANK(_xlfn.xlookup(E$3,daily_items,_xlfn.xlookup($C3326,daily_dates,big_daily_table))),NA(),_xlfn.xlookup(E$3,daily_items,_xlfn.xlookup($C3326,daily_dates,big_daily_table)))</f>
        <v>#NAME?</v>
      </c>
    </row>
    <row r="3327" customFormat="false" ht="14.25" hidden="false" customHeight="false" outlineLevel="0" collapsed="false">
      <c r="B3327" s="7" t="n">
        <v>44232</v>
      </c>
      <c r="C3327" s="7" t="n">
        <f aca="false">B3327-WEEKDAY(B3327)+1</f>
        <v>44227</v>
      </c>
      <c r="D3327" s="1" t="e">
        <f aca="false" t="array" ref="D3327:D3327">IF(ISBLANK(_xlfn.xlookup(D$3,daily_items,_xlfn.xlookup($C3327,daily_dates,big_daily_table))),NA(),_xlfn.xlookup(D$3,daily_items,_xlfn.xlookup($C3327,daily_dates,big_daily_table)))</f>
        <v>#NAME?</v>
      </c>
      <c r="E3327" s="1" t="e">
        <f aca="false" t="array" ref="E3327:E3327">IF(ISBLANK(_xlfn.xlookup(E$3,daily_items,_xlfn.xlookup($C3327,daily_dates,big_daily_table))),NA(),_xlfn.xlookup(E$3,daily_items,_xlfn.xlookup($C3327,daily_dates,big_daily_table)))</f>
        <v>#NAME?</v>
      </c>
    </row>
    <row r="3328" customFormat="false" ht="14.25" hidden="false" customHeight="false" outlineLevel="0" collapsed="false">
      <c r="B3328" s="7" t="n">
        <v>44233</v>
      </c>
      <c r="C3328" s="7" t="n">
        <f aca="false">B3328-WEEKDAY(B3328)+1</f>
        <v>44227</v>
      </c>
      <c r="D3328" s="1" t="e">
        <f aca="false" t="array" ref="D3328:D3328">IF(ISBLANK(_xlfn.xlookup(D$3,daily_items,_xlfn.xlookup($C3328,daily_dates,big_daily_table))),NA(),_xlfn.xlookup(D$3,daily_items,_xlfn.xlookup($C3328,daily_dates,big_daily_table)))</f>
        <v>#NAME?</v>
      </c>
      <c r="E3328" s="1" t="e">
        <f aca="false" t="array" ref="E3328:E3328">IF(ISBLANK(_xlfn.xlookup(E$3,daily_items,_xlfn.xlookup($C3328,daily_dates,big_daily_table))),NA(),_xlfn.xlookup(E$3,daily_items,_xlfn.xlookup($C3328,daily_dates,big_daily_table)))</f>
        <v>#NAME?</v>
      </c>
    </row>
    <row r="3329" customFormat="false" ht="14.25" hidden="false" customHeight="false" outlineLevel="0" collapsed="false">
      <c r="B3329" s="7" t="n">
        <v>44234</v>
      </c>
      <c r="C3329" s="7" t="n">
        <f aca="false">B3329-WEEKDAY(B3329)+1</f>
        <v>44234</v>
      </c>
      <c r="D3329" s="1" t="e">
        <f aca="false" t="array" ref="D3329:D3329">IF(ISBLANK(_xlfn.xlookup(D$3,daily_items,_xlfn.xlookup($C3329,daily_dates,big_daily_table))),NA(),_xlfn.xlookup(D$3,daily_items,_xlfn.xlookup($C3329,daily_dates,big_daily_table)))</f>
        <v>#NAME?</v>
      </c>
      <c r="E3329" s="1" t="e">
        <f aca="false" t="array" ref="E3329:E3329">IF(ISBLANK(_xlfn.xlookup(E$3,daily_items,_xlfn.xlookup($C3329,daily_dates,big_daily_table))),NA(),_xlfn.xlookup(E$3,daily_items,_xlfn.xlookup($C3329,daily_dates,big_daily_table)))</f>
        <v>#NAME?</v>
      </c>
    </row>
    <row r="3330" customFormat="false" ht="14.25" hidden="false" customHeight="false" outlineLevel="0" collapsed="false">
      <c r="B3330" s="7" t="n">
        <v>44235</v>
      </c>
      <c r="C3330" s="7" t="n">
        <f aca="false">B3330-WEEKDAY(B3330)+1</f>
        <v>44234</v>
      </c>
      <c r="D3330" s="1" t="e">
        <f aca="false" t="array" ref="D3330:D3330">IF(ISBLANK(_xlfn.xlookup(D$3,daily_items,_xlfn.xlookup($C3330,daily_dates,big_daily_table))),NA(),_xlfn.xlookup(D$3,daily_items,_xlfn.xlookup($C3330,daily_dates,big_daily_table)))</f>
        <v>#NAME?</v>
      </c>
      <c r="E3330" s="1" t="e">
        <f aca="false" t="array" ref="E3330:E3330">IF(ISBLANK(_xlfn.xlookup(E$3,daily_items,_xlfn.xlookup($C3330,daily_dates,big_daily_table))),NA(),_xlfn.xlookup(E$3,daily_items,_xlfn.xlookup($C3330,daily_dates,big_daily_table)))</f>
        <v>#NAME?</v>
      </c>
    </row>
    <row r="3331" customFormat="false" ht="14.25" hidden="false" customHeight="false" outlineLevel="0" collapsed="false">
      <c r="B3331" s="7" t="n">
        <v>44236</v>
      </c>
      <c r="C3331" s="7" t="n">
        <f aca="false">B3331-WEEKDAY(B3331)+1</f>
        <v>44234</v>
      </c>
      <c r="D3331" s="1" t="e">
        <f aca="false" t="array" ref="D3331:D3331">IF(ISBLANK(_xlfn.xlookup(D$3,daily_items,_xlfn.xlookup($C3331,daily_dates,big_daily_table))),NA(),_xlfn.xlookup(D$3,daily_items,_xlfn.xlookup($C3331,daily_dates,big_daily_table)))</f>
        <v>#NAME?</v>
      </c>
      <c r="E3331" s="1" t="e">
        <f aca="false" t="array" ref="E3331:E3331">IF(ISBLANK(_xlfn.xlookup(E$3,daily_items,_xlfn.xlookup($C3331,daily_dates,big_daily_table))),NA(),_xlfn.xlookup(E$3,daily_items,_xlfn.xlookup($C3331,daily_dates,big_daily_table)))</f>
        <v>#NAME?</v>
      </c>
    </row>
    <row r="3332" customFormat="false" ht="14.25" hidden="false" customHeight="false" outlineLevel="0" collapsed="false">
      <c r="B3332" s="7" t="n">
        <v>44237</v>
      </c>
      <c r="C3332" s="7" t="n">
        <f aca="false">B3332-WEEKDAY(B3332)+1</f>
        <v>44234</v>
      </c>
      <c r="D3332" s="1" t="e">
        <f aca="false" t="array" ref="D3332:D3332">IF(ISBLANK(_xlfn.xlookup(D$3,daily_items,_xlfn.xlookup($C3332,daily_dates,big_daily_table))),NA(),_xlfn.xlookup(D$3,daily_items,_xlfn.xlookup($C3332,daily_dates,big_daily_table)))</f>
        <v>#NAME?</v>
      </c>
      <c r="E3332" s="1" t="e">
        <f aca="false" t="array" ref="E3332:E3332">IF(ISBLANK(_xlfn.xlookup(E$3,daily_items,_xlfn.xlookup($C3332,daily_dates,big_daily_table))),NA(),_xlfn.xlookup(E$3,daily_items,_xlfn.xlookup($C3332,daily_dates,big_daily_table)))</f>
        <v>#NAME?</v>
      </c>
    </row>
    <row r="3333" customFormat="false" ht="14.25" hidden="false" customHeight="false" outlineLevel="0" collapsed="false">
      <c r="B3333" s="7" t="n">
        <v>44238</v>
      </c>
      <c r="C3333" s="7" t="n">
        <f aca="false">B3333-WEEKDAY(B3333)+1</f>
        <v>44234</v>
      </c>
      <c r="D3333" s="1" t="e">
        <f aca="false" t="array" ref="D3333:D3333">IF(ISBLANK(_xlfn.xlookup(D$3,daily_items,_xlfn.xlookup($C3333,daily_dates,big_daily_table))),NA(),_xlfn.xlookup(D$3,daily_items,_xlfn.xlookup($C3333,daily_dates,big_daily_table)))</f>
        <v>#NAME?</v>
      </c>
      <c r="E3333" s="1" t="e">
        <f aca="false" t="array" ref="E3333:E3333">IF(ISBLANK(_xlfn.xlookup(E$3,daily_items,_xlfn.xlookup($C3333,daily_dates,big_daily_table))),NA(),_xlfn.xlookup(E$3,daily_items,_xlfn.xlookup($C3333,daily_dates,big_daily_table)))</f>
        <v>#NAME?</v>
      </c>
    </row>
    <row r="3334" customFormat="false" ht="14.25" hidden="false" customHeight="false" outlineLevel="0" collapsed="false">
      <c r="B3334" s="7" t="n">
        <v>44239</v>
      </c>
      <c r="C3334" s="7" t="n">
        <f aca="false">B3334-WEEKDAY(B3334)+1</f>
        <v>44234</v>
      </c>
      <c r="D3334" s="1" t="e">
        <f aca="false" t="array" ref="D3334:D3334">IF(ISBLANK(_xlfn.xlookup(D$3,daily_items,_xlfn.xlookup($C3334,daily_dates,big_daily_table))),NA(),_xlfn.xlookup(D$3,daily_items,_xlfn.xlookup($C3334,daily_dates,big_daily_table)))</f>
        <v>#NAME?</v>
      </c>
      <c r="E3334" s="1" t="e">
        <f aca="false" t="array" ref="E3334:E3334">IF(ISBLANK(_xlfn.xlookup(E$3,daily_items,_xlfn.xlookup($C3334,daily_dates,big_daily_table))),NA(),_xlfn.xlookup(E$3,daily_items,_xlfn.xlookup($C3334,daily_dates,big_daily_table)))</f>
        <v>#NAME?</v>
      </c>
    </row>
    <row r="3335" customFormat="false" ht="14.25" hidden="false" customHeight="false" outlineLevel="0" collapsed="false">
      <c r="B3335" s="7" t="n">
        <v>44240</v>
      </c>
      <c r="C3335" s="7" t="n">
        <f aca="false">B3335-WEEKDAY(B3335)+1</f>
        <v>44234</v>
      </c>
      <c r="D3335" s="1" t="e">
        <f aca="false" t="array" ref="D3335:D3335">IF(ISBLANK(_xlfn.xlookup(D$3,daily_items,_xlfn.xlookup($C3335,daily_dates,big_daily_table))),NA(),_xlfn.xlookup(D$3,daily_items,_xlfn.xlookup($C3335,daily_dates,big_daily_table)))</f>
        <v>#NAME?</v>
      </c>
      <c r="E3335" s="1" t="e">
        <f aca="false" t="array" ref="E3335:E3335">IF(ISBLANK(_xlfn.xlookup(E$3,daily_items,_xlfn.xlookup($C3335,daily_dates,big_daily_table))),NA(),_xlfn.xlookup(E$3,daily_items,_xlfn.xlookup($C3335,daily_dates,big_daily_table)))</f>
        <v>#NAME?</v>
      </c>
    </row>
    <row r="3336" customFormat="false" ht="14.25" hidden="false" customHeight="false" outlineLevel="0" collapsed="false">
      <c r="B3336" s="7" t="n">
        <v>44241</v>
      </c>
      <c r="C3336" s="7" t="n">
        <f aca="false">B3336-WEEKDAY(B3336)+1</f>
        <v>44241</v>
      </c>
      <c r="D3336" s="1" t="e">
        <f aca="false" t="array" ref="D3336:D3336">IF(ISBLANK(_xlfn.xlookup(D$3,daily_items,_xlfn.xlookup($C3336,daily_dates,big_daily_table))),NA(),_xlfn.xlookup(D$3,daily_items,_xlfn.xlookup($C3336,daily_dates,big_daily_table)))</f>
        <v>#NAME?</v>
      </c>
      <c r="E3336" s="1" t="e">
        <f aca="false" t="array" ref="E3336:E3336">IF(ISBLANK(_xlfn.xlookup(E$3,daily_items,_xlfn.xlookup($C3336,daily_dates,big_daily_table))),NA(),_xlfn.xlookup(E$3,daily_items,_xlfn.xlookup($C3336,daily_dates,big_daily_table)))</f>
        <v>#NAME?</v>
      </c>
    </row>
    <row r="3337" customFormat="false" ht="14.25" hidden="false" customHeight="false" outlineLevel="0" collapsed="false">
      <c r="B3337" s="7" t="n">
        <v>44242</v>
      </c>
      <c r="C3337" s="7" t="n">
        <f aca="false">B3337-WEEKDAY(B3337)+1</f>
        <v>44241</v>
      </c>
      <c r="D3337" s="1" t="e">
        <f aca="false" t="array" ref="D3337:D3337">IF(ISBLANK(_xlfn.xlookup(D$3,daily_items,_xlfn.xlookup($C3337,daily_dates,big_daily_table))),NA(),_xlfn.xlookup(D$3,daily_items,_xlfn.xlookup($C3337,daily_dates,big_daily_table)))</f>
        <v>#NAME?</v>
      </c>
      <c r="E3337" s="1" t="e">
        <f aca="false" t="array" ref="E3337:E3337">IF(ISBLANK(_xlfn.xlookup(E$3,daily_items,_xlfn.xlookup($C3337,daily_dates,big_daily_table))),NA(),_xlfn.xlookup(E$3,daily_items,_xlfn.xlookup($C3337,daily_dates,big_daily_table)))</f>
        <v>#NAME?</v>
      </c>
    </row>
    <row r="3338" customFormat="false" ht="14.25" hidden="false" customHeight="false" outlineLevel="0" collapsed="false">
      <c r="B3338" s="7" t="n">
        <v>44243</v>
      </c>
      <c r="C3338" s="7" t="n">
        <f aca="false">B3338-WEEKDAY(B3338)+1</f>
        <v>44241</v>
      </c>
      <c r="D3338" s="1" t="e">
        <f aca="false" t="array" ref="D3338:D3338">IF(ISBLANK(_xlfn.xlookup(D$3,daily_items,_xlfn.xlookup($C3338,daily_dates,big_daily_table))),NA(),_xlfn.xlookup(D$3,daily_items,_xlfn.xlookup($C3338,daily_dates,big_daily_table)))</f>
        <v>#NAME?</v>
      </c>
      <c r="E3338" s="1" t="e">
        <f aca="false" t="array" ref="E3338:E3338">IF(ISBLANK(_xlfn.xlookup(E$3,daily_items,_xlfn.xlookup($C3338,daily_dates,big_daily_table))),NA(),_xlfn.xlookup(E$3,daily_items,_xlfn.xlookup($C3338,daily_dates,big_daily_table)))</f>
        <v>#NAME?</v>
      </c>
    </row>
    <row r="3339" customFormat="false" ht="14.25" hidden="false" customHeight="false" outlineLevel="0" collapsed="false">
      <c r="B3339" s="7" t="n">
        <v>44244</v>
      </c>
      <c r="C3339" s="7" t="n">
        <f aca="false">B3339-WEEKDAY(B3339)+1</f>
        <v>44241</v>
      </c>
      <c r="D3339" s="1" t="e">
        <f aca="false" t="array" ref="D3339:D3339">IF(ISBLANK(_xlfn.xlookup(D$3,daily_items,_xlfn.xlookup($C3339,daily_dates,big_daily_table))),NA(),_xlfn.xlookup(D$3,daily_items,_xlfn.xlookup($C3339,daily_dates,big_daily_table)))</f>
        <v>#NAME?</v>
      </c>
      <c r="E3339" s="1" t="e">
        <f aca="false" t="array" ref="E3339:E3339">IF(ISBLANK(_xlfn.xlookup(E$3,daily_items,_xlfn.xlookup($C3339,daily_dates,big_daily_table))),NA(),_xlfn.xlookup(E$3,daily_items,_xlfn.xlookup($C3339,daily_dates,big_daily_table)))</f>
        <v>#NAME?</v>
      </c>
    </row>
    <row r="3340" customFormat="false" ht="14.25" hidden="false" customHeight="false" outlineLevel="0" collapsed="false">
      <c r="B3340" s="7" t="n">
        <v>44245</v>
      </c>
      <c r="C3340" s="7" t="n">
        <f aca="false">B3340-WEEKDAY(B3340)+1</f>
        <v>44241</v>
      </c>
      <c r="D3340" s="1" t="e">
        <f aca="false" t="array" ref="D3340:D3340">IF(ISBLANK(_xlfn.xlookup(D$3,daily_items,_xlfn.xlookup($C3340,daily_dates,big_daily_table))),NA(),_xlfn.xlookup(D$3,daily_items,_xlfn.xlookup($C3340,daily_dates,big_daily_table)))</f>
        <v>#NAME?</v>
      </c>
      <c r="E3340" s="1" t="e">
        <f aca="false" t="array" ref="E3340:E3340">IF(ISBLANK(_xlfn.xlookup(E$3,daily_items,_xlfn.xlookup($C3340,daily_dates,big_daily_table))),NA(),_xlfn.xlookup(E$3,daily_items,_xlfn.xlookup($C3340,daily_dates,big_daily_table)))</f>
        <v>#NAME?</v>
      </c>
    </row>
    <row r="3341" customFormat="false" ht="14.25" hidden="false" customHeight="false" outlineLevel="0" collapsed="false">
      <c r="B3341" s="7" t="n">
        <v>44246</v>
      </c>
      <c r="C3341" s="7" t="n">
        <f aca="false">B3341-WEEKDAY(B3341)+1</f>
        <v>44241</v>
      </c>
      <c r="D3341" s="1" t="e">
        <f aca="false" t="array" ref="D3341:D3341">IF(ISBLANK(_xlfn.xlookup(D$3,daily_items,_xlfn.xlookup($C3341,daily_dates,big_daily_table))),NA(),_xlfn.xlookup(D$3,daily_items,_xlfn.xlookup($C3341,daily_dates,big_daily_table)))</f>
        <v>#NAME?</v>
      </c>
      <c r="E3341" s="1" t="e">
        <f aca="false" t="array" ref="E3341:E3341">IF(ISBLANK(_xlfn.xlookup(E$3,daily_items,_xlfn.xlookup($C3341,daily_dates,big_daily_table))),NA(),_xlfn.xlookup(E$3,daily_items,_xlfn.xlookup($C3341,daily_dates,big_daily_table)))</f>
        <v>#NAME?</v>
      </c>
    </row>
    <row r="3342" customFormat="false" ht="14.25" hidden="false" customHeight="false" outlineLevel="0" collapsed="false">
      <c r="B3342" s="7" t="n">
        <v>44247</v>
      </c>
      <c r="C3342" s="7" t="n">
        <f aca="false">B3342-WEEKDAY(B3342)+1</f>
        <v>44241</v>
      </c>
      <c r="D3342" s="1" t="e">
        <f aca="false" t="array" ref="D3342:D3342">IF(ISBLANK(_xlfn.xlookup(D$3,daily_items,_xlfn.xlookup($C3342,daily_dates,big_daily_table))),NA(),_xlfn.xlookup(D$3,daily_items,_xlfn.xlookup($C3342,daily_dates,big_daily_table)))</f>
        <v>#NAME?</v>
      </c>
      <c r="E3342" s="1" t="e">
        <f aca="false" t="array" ref="E3342:E3342">IF(ISBLANK(_xlfn.xlookup(E$3,daily_items,_xlfn.xlookup($C3342,daily_dates,big_daily_table))),NA(),_xlfn.xlookup(E$3,daily_items,_xlfn.xlookup($C3342,daily_dates,big_daily_table)))</f>
        <v>#NAME?</v>
      </c>
    </row>
    <row r="3343" customFormat="false" ht="14.25" hidden="false" customHeight="false" outlineLevel="0" collapsed="false">
      <c r="B3343" s="7" t="n">
        <v>44248</v>
      </c>
      <c r="C3343" s="7" t="n">
        <f aca="false">B3343-WEEKDAY(B3343)+1</f>
        <v>44248</v>
      </c>
      <c r="D3343" s="1" t="e">
        <f aca="false" t="array" ref="D3343:D3343">IF(ISBLANK(_xlfn.xlookup(D$3,daily_items,_xlfn.xlookup($C3343,daily_dates,big_daily_table))),NA(),_xlfn.xlookup(D$3,daily_items,_xlfn.xlookup($C3343,daily_dates,big_daily_table)))</f>
        <v>#NAME?</v>
      </c>
      <c r="E3343" s="1" t="e">
        <f aca="false" t="array" ref="E3343:E3343">IF(ISBLANK(_xlfn.xlookup(E$3,daily_items,_xlfn.xlookup($C3343,daily_dates,big_daily_table))),NA(),_xlfn.xlookup(E$3,daily_items,_xlfn.xlookup($C3343,daily_dates,big_daily_table)))</f>
        <v>#NAME?</v>
      </c>
    </row>
    <row r="3344" customFormat="false" ht="14.25" hidden="false" customHeight="false" outlineLevel="0" collapsed="false">
      <c r="B3344" s="7" t="n">
        <v>44249</v>
      </c>
      <c r="C3344" s="7" t="n">
        <f aca="false">B3344-WEEKDAY(B3344)+1</f>
        <v>44248</v>
      </c>
      <c r="D3344" s="1" t="e">
        <f aca="false" t="array" ref="D3344:D3344">IF(ISBLANK(_xlfn.xlookup(D$3,daily_items,_xlfn.xlookup($C3344,daily_dates,big_daily_table))),NA(),_xlfn.xlookup(D$3,daily_items,_xlfn.xlookup($C3344,daily_dates,big_daily_table)))</f>
        <v>#NAME?</v>
      </c>
      <c r="E3344" s="1" t="e">
        <f aca="false" t="array" ref="E3344:E3344">IF(ISBLANK(_xlfn.xlookup(E$3,daily_items,_xlfn.xlookup($C3344,daily_dates,big_daily_table))),NA(),_xlfn.xlookup(E$3,daily_items,_xlfn.xlookup($C3344,daily_dates,big_daily_table)))</f>
        <v>#NAME?</v>
      </c>
    </row>
    <row r="3345" customFormat="false" ht="14.25" hidden="false" customHeight="false" outlineLevel="0" collapsed="false">
      <c r="B3345" s="7" t="n">
        <v>44250</v>
      </c>
      <c r="C3345" s="7" t="n">
        <f aca="false">B3345-WEEKDAY(B3345)+1</f>
        <v>44248</v>
      </c>
      <c r="D3345" s="1" t="e">
        <f aca="false" t="array" ref="D3345:D3345">IF(ISBLANK(_xlfn.xlookup(D$3,daily_items,_xlfn.xlookup($C3345,daily_dates,big_daily_table))),NA(),_xlfn.xlookup(D$3,daily_items,_xlfn.xlookup($C3345,daily_dates,big_daily_table)))</f>
        <v>#NAME?</v>
      </c>
      <c r="E3345" s="1" t="e">
        <f aca="false" t="array" ref="E3345:E3345">IF(ISBLANK(_xlfn.xlookup(E$3,daily_items,_xlfn.xlookup($C3345,daily_dates,big_daily_table))),NA(),_xlfn.xlookup(E$3,daily_items,_xlfn.xlookup($C3345,daily_dates,big_daily_table)))</f>
        <v>#NAME?</v>
      </c>
    </row>
    <row r="3346" customFormat="false" ht="14.25" hidden="false" customHeight="false" outlineLevel="0" collapsed="false">
      <c r="B3346" s="7" t="n">
        <v>44251</v>
      </c>
      <c r="C3346" s="7" t="n">
        <f aca="false">B3346-WEEKDAY(B3346)+1</f>
        <v>44248</v>
      </c>
      <c r="D3346" s="1" t="e">
        <f aca="false" t="array" ref="D3346:D3346">IF(ISBLANK(_xlfn.xlookup(D$3,daily_items,_xlfn.xlookup($C3346,daily_dates,big_daily_table))),NA(),_xlfn.xlookup(D$3,daily_items,_xlfn.xlookup($C3346,daily_dates,big_daily_table)))</f>
        <v>#NAME?</v>
      </c>
      <c r="E3346" s="1" t="e">
        <f aca="false" t="array" ref="E3346:E3346">IF(ISBLANK(_xlfn.xlookup(E$3,daily_items,_xlfn.xlookup($C3346,daily_dates,big_daily_table))),NA(),_xlfn.xlookup(E$3,daily_items,_xlfn.xlookup($C3346,daily_dates,big_daily_table)))</f>
        <v>#NAME?</v>
      </c>
    </row>
    <row r="3347" customFormat="false" ht="14.25" hidden="false" customHeight="false" outlineLevel="0" collapsed="false">
      <c r="B3347" s="7" t="n">
        <v>44252</v>
      </c>
      <c r="C3347" s="7" t="n">
        <f aca="false">B3347-WEEKDAY(B3347)+1</f>
        <v>44248</v>
      </c>
      <c r="D3347" s="1" t="e">
        <f aca="false" t="array" ref="D3347:D3347">IF(ISBLANK(_xlfn.xlookup(D$3,daily_items,_xlfn.xlookup($C3347,daily_dates,big_daily_table))),NA(),_xlfn.xlookup(D$3,daily_items,_xlfn.xlookup($C3347,daily_dates,big_daily_table)))</f>
        <v>#NAME?</v>
      </c>
      <c r="E3347" s="1" t="e">
        <f aca="false" t="array" ref="E3347:E3347">IF(ISBLANK(_xlfn.xlookup(E$3,daily_items,_xlfn.xlookup($C3347,daily_dates,big_daily_table))),NA(),_xlfn.xlookup(E$3,daily_items,_xlfn.xlookup($C3347,daily_dates,big_daily_table)))</f>
        <v>#NAME?</v>
      </c>
    </row>
    <row r="3348" customFormat="false" ht="14.25" hidden="false" customHeight="false" outlineLevel="0" collapsed="false">
      <c r="B3348" s="7" t="n">
        <v>44253</v>
      </c>
      <c r="C3348" s="7" t="n">
        <f aca="false">B3348-WEEKDAY(B3348)+1</f>
        <v>44248</v>
      </c>
      <c r="D3348" s="1" t="e">
        <f aca="false" t="array" ref="D3348:D3348">IF(ISBLANK(_xlfn.xlookup(D$3,daily_items,_xlfn.xlookup($C3348,daily_dates,big_daily_table))),NA(),_xlfn.xlookup(D$3,daily_items,_xlfn.xlookup($C3348,daily_dates,big_daily_table)))</f>
        <v>#NAME?</v>
      </c>
      <c r="E3348" s="1" t="e">
        <f aca="false" t="array" ref="E3348:E3348">IF(ISBLANK(_xlfn.xlookup(E$3,daily_items,_xlfn.xlookup($C3348,daily_dates,big_daily_table))),NA(),_xlfn.xlookup(E$3,daily_items,_xlfn.xlookup($C3348,daily_dates,big_daily_table)))</f>
        <v>#NAME?</v>
      </c>
    </row>
    <row r="3349" customFormat="false" ht="14.25" hidden="false" customHeight="false" outlineLevel="0" collapsed="false">
      <c r="B3349" s="7" t="n">
        <v>44254</v>
      </c>
      <c r="C3349" s="7" t="n">
        <f aca="false">B3349-WEEKDAY(B3349)+1</f>
        <v>44248</v>
      </c>
      <c r="D3349" s="1" t="e">
        <f aca="false" t="array" ref="D3349:D3349">IF(ISBLANK(_xlfn.xlookup(D$3,daily_items,_xlfn.xlookup($C3349,daily_dates,big_daily_table))),NA(),_xlfn.xlookup(D$3,daily_items,_xlfn.xlookup($C3349,daily_dates,big_daily_table)))</f>
        <v>#NAME?</v>
      </c>
      <c r="E3349" s="1" t="e">
        <f aca="false" t="array" ref="E3349:E3349">IF(ISBLANK(_xlfn.xlookup(E$3,daily_items,_xlfn.xlookup($C3349,daily_dates,big_daily_table))),NA(),_xlfn.xlookup(E$3,daily_items,_xlfn.xlookup($C3349,daily_dates,big_daily_table)))</f>
        <v>#NAME?</v>
      </c>
    </row>
    <row r="3350" customFormat="false" ht="14.25" hidden="false" customHeight="false" outlineLevel="0" collapsed="false">
      <c r="B3350" s="7" t="n">
        <v>44255</v>
      </c>
      <c r="C3350" s="7" t="n">
        <f aca="false">B3350-WEEKDAY(B3350)+1</f>
        <v>44255</v>
      </c>
      <c r="D3350" s="1" t="e">
        <f aca="false" t="array" ref="D3350:D3350">IF(ISBLANK(_xlfn.xlookup(D$3,daily_items,_xlfn.xlookup($C3350,daily_dates,big_daily_table))),NA(),_xlfn.xlookup(D$3,daily_items,_xlfn.xlookup($C3350,daily_dates,big_daily_table)))</f>
        <v>#NAME?</v>
      </c>
      <c r="E3350" s="1" t="e">
        <f aca="false" t="array" ref="E3350:E3350">IF(ISBLANK(_xlfn.xlookup(E$3,daily_items,_xlfn.xlookup($C3350,daily_dates,big_daily_table))),NA(),_xlfn.xlookup(E$3,daily_items,_xlfn.xlookup($C3350,daily_dates,big_daily_table)))</f>
        <v>#NAME?</v>
      </c>
    </row>
    <row r="3351" customFormat="false" ht="14.25" hidden="false" customHeight="false" outlineLevel="0" collapsed="false">
      <c r="B3351" s="7" t="n">
        <v>44256</v>
      </c>
      <c r="C3351" s="7" t="n">
        <f aca="false">B3351-WEEKDAY(B3351)+1</f>
        <v>44255</v>
      </c>
      <c r="D3351" s="1" t="e">
        <f aca="false" t="array" ref="D3351:D3351">IF(ISBLANK(_xlfn.xlookup(D$3,daily_items,_xlfn.xlookup($C3351,daily_dates,big_daily_table))),NA(),_xlfn.xlookup(D$3,daily_items,_xlfn.xlookup($C3351,daily_dates,big_daily_table)))</f>
        <v>#NAME?</v>
      </c>
      <c r="E3351" s="1" t="e">
        <f aca="false" t="array" ref="E3351:E3351">IF(ISBLANK(_xlfn.xlookup(E$3,daily_items,_xlfn.xlookup($C3351,daily_dates,big_daily_table))),NA(),_xlfn.xlookup(E$3,daily_items,_xlfn.xlookup($C3351,daily_dates,big_daily_table)))</f>
        <v>#NAME?</v>
      </c>
    </row>
    <row r="3352" customFormat="false" ht="14.25" hidden="false" customHeight="false" outlineLevel="0" collapsed="false">
      <c r="B3352" s="7" t="n">
        <v>44257</v>
      </c>
      <c r="C3352" s="7" t="n">
        <f aca="false">B3352-WEEKDAY(B3352)+1</f>
        <v>44255</v>
      </c>
      <c r="D3352" s="1" t="e">
        <f aca="false" t="array" ref="D3352:D3352">IF(ISBLANK(_xlfn.xlookup(D$3,daily_items,_xlfn.xlookup($C3352,daily_dates,big_daily_table))),NA(),_xlfn.xlookup(D$3,daily_items,_xlfn.xlookup($C3352,daily_dates,big_daily_table)))</f>
        <v>#NAME?</v>
      </c>
      <c r="E3352" s="1" t="e">
        <f aca="false" t="array" ref="E3352:E3352">IF(ISBLANK(_xlfn.xlookup(E$3,daily_items,_xlfn.xlookup($C3352,daily_dates,big_daily_table))),NA(),_xlfn.xlookup(E$3,daily_items,_xlfn.xlookup($C3352,daily_dates,big_daily_table)))</f>
        <v>#NAME?</v>
      </c>
    </row>
    <row r="3353" customFormat="false" ht="14.25" hidden="false" customHeight="false" outlineLevel="0" collapsed="false">
      <c r="B3353" s="7" t="n">
        <v>44258</v>
      </c>
      <c r="C3353" s="7" t="n">
        <f aca="false">B3353-WEEKDAY(B3353)+1</f>
        <v>44255</v>
      </c>
      <c r="D3353" s="1" t="e">
        <f aca="false" t="array" ref="D3353:D3353">IF(ISBLANK(_xlfn.xlookup(D$3,daily_items,_xlfn.xlookup($C3353,daily_dates,big_daily_table))),NA(),_xlfn.xlookup(D$3,daily_items,_xlfn.xlookup($C3353,daily_dates,big_daily_table)))</f>
        <v>#NAME?</v>
      </c>
      <c r="E3353" s="1" t="e">
        <f aca="false" t="array" ref="E3353:E3353">IF(ISBLANK(_xlfn.xlookup(E$3,daily_items,_xlfn.xlookup($C3353,daily_dates,big_daily_table))),NA(),_xlfn.xlookup(E$3,daily_items,_xlfn.xlookup($C3353,daily_dates,big_daily_table)))</f>
        <v>#NAME?</v>
      </c>
    </row>
    <row r="3354" customFormat="false" ht="14.25" hidden="false" customHeight="false" outlineLevel="0" collapsed="false">
      <c r="B3354" s="7" t="n">
        <v>44259</v>
      </c>
      <c r="C3354" s="7" t="n">
        <f aca="false">B3354-WEEKDAY(B3354)+1</f>
        <v>44255</v>
      </c>
      <c r="D3354" s="1" t="e">
        <f aca="false" t="array" ref="D3354:D3354">IF(ISBLANK(_xlfn.xlookup(D$3,daily_items,_xlfn.xlookup($C3354,daily_dates,big_daily_table))),NA(),_xlfn.xlookup(D$3,daily_items,_xlfn.xlookup($C3354,daily_dates,big_daily_table)))</f>
        <v>#NAME?</v>
      </c>
      <c r="E3354" s="1" t="e">
        <f aca="false" t="array" ref="E3354:E3354">IF(ISBLANK(_xlfn.xlookup(E$3,daily_items,_xlfn.xlookup($C3354,daily_dates,big_daily_table))),NA(),_xlfn.xlookup(E$3,daily_items,_xlfn.xlookup($C3354,daily_dates,big_daily_table)))</f>
        <v>#NAME?</v>
      </c>
    </row>
    <row r="3355" customFormat="false" ht="14.25" hidden="false" customHeight="false" outlineLevel="0" collapsed="false">
      <c r="B3355" s="7" t="n">
        <v>44260</v>
      </c>
      <c r="C3355" s="7" t="n">
        <f aca="false">B3355-WEEKDAY(B3355)+1</f>
        <v>44255</v>
      </c>
      <c r="D3355" s="1" t="e">
        <f aca="false" t="array" ref="D3355:D3355">IF(ISBLANK(_xlfn.xlookup(D$3,daily_items,_xlfn.xlookup($C3355,daily_dates,big_daily_table))),NA(),_xlfn.xlookup(D$3,daily_items,_xlfn.xlookup($C3355,daily_dates,big_daily_table)))</f>
        <v>#NAME?</v>
      </c>
      <c r="E3355" s="1" t="e">
        <f aca="false" t="array" ref="E3355:E3355">IF(ISBLANK(_xlfn.xlookup(E$3,daily_items,_xlfn.xlookup($C3355,daily_dates,big_daily_table))),NA(),_xlfn.xlookup(E$3,daily_items,_xlfn.xlookup($C3355,daily_dates,big_daily_table)))</f>
        <v>#NAME?</v>
      </c>
    </row>
    <row r="3356" customFormat="false" ht="14.25" hidden="false" customHeight="false" outlineLevel="0" collapsed="false">
      <c r="B3356" s="7" t="n">
        <v>44261</v>
      </c>
      <c r="C3356" s="7" t="n">
        <f aca="false">B3356-WEEKDAY(B3356)+1</f>
        <v>44255</v>
      </c>
      <c r="D3356" s="1" t="e">
        <f aca="false" t="array" ref="D3356:D3356">IF(ISBLANK(_xlfn.xlookup(D$3,daily_items,_xlfn.xlookup($C3356,daily_dates,big_daily_table))),NA(),_xlfn.xlookup(D$3,daily_items,_xlfn.xlookup($C3356,daily_dates,big_daily_table)))</f>
        <v>#NAME?</v>
      </c>
      <c r="E3356" s="1" t="e">
        <f aca="false" t="array" ref="E3356:E3356">IF(ISBLANK(_xlfn.xlookup(E$3,daily_items,_xlfn.xlookup($C3356,daily_dates,big_daily_table))),NA(),_xlfn.xlookup(E$3,daily_items,_xlfn.xlookup($C3356,daily_dates,big_daily_table)))</f>
        <v>#NAME?</v>
      </c>
    </row>
    <row r="3357" customFormat="false" ht="14.25" hidden="false" customHeight="false" outlineLevel="0" collapsed="false">
      <c r="B3357" s="7" t="n">
        <v>44262</v>
      </c>
      <c r="C3357" s="7" t="n">
        <f aca="false">B3357-WEEKDAY(B3357)+1</f>
        <v>44262</v>
      </c>
      <c r="D3357" s="1" t="e">
        <f aca="false" t="array" ref="D3357:D3357">IF(ISBLANK(_xlfn.xlookup(D$3,daily_items,_xlfn.xlookup($C3357,daily_dates,big_daily_table))),NA(),_xlfn.xlookup(D$3,daily_items,_xlfn.xlookup($C3357,daily_dates,big_daily_table)))</f>
        <v>#NAME?</v>
      </c>
      <c r="E3357" s="1" t="e">
        <f aca="false" t="array" ref="E3357:E3357">IF(ISBLANK(_xlfn.xlookup(E$3,daily_items,_xlfn.xlookup($C3357,daily_dates,big_daily_table))),NA(),_xlfn.xlookup(E$3,daily_items,_xlfn.xlookup($C3357,daily_dates,big_daily_table)))</f>
        <v>#NAME?</v>
      </c>
    </row>
    <row r="3358" customFormat="false" ht="14.25" hidden="false" customHeight="false" outlineLevel="0" collapsed="false">
      <c r="B3358" s="7" t="n">
        <v>44263</v>
      </c>
      <c r="C3358" s="7" t="n">
        <f aca="false">B3358-WEEKDAY(B3358)+1</f>
        <v>44262</v>
      </c>
      <c r="D3358" s="1" t="e">
        <f aca="false" t="array" ref="D3358:D3358">IF(ISBLANK(_xlfn.xlookup(D$3,daily_items,_xlfn.xlookup($C3358,daily_dates,big_daily_table))),NA(),_xlfn.xlookup(D$3,daily_items,_xlfn.xlookup($C3358,daily_dates,big_daily_table)))</f>
        <v>#NAME?</v>
      </c>
      <c r="E3358" s="1" t="e">
        <f aca="false" t="array" ref="E3358:E3358">IF(ISBLANK(_xlfn.xlookup(E$3,daily_items,_xlfn.xlookup($C3358,daily_dates,big_daily_table))),NA(),_xlfn.xlookup(E$3,daily_items,_xlfn.xlookup($C3358,daily_dates,big_daily_table)))</f>
        <v>#NAME?</v>
      </c>
    </row>
    <row r="3359" customFormat="false" ht="14.25" hidden="false" customHeight="false" outlineLevel="0" collapsed="false">
      <c r="B3359" s="7" t="n">
        <v>44264</v>
      </c>
      <c r="C3359" s="7" t="n">
        <f aca="false">B3359-WEEKDAY(B3359)+1</f>
        <v>44262</v>
      </c>
      <c r="D3359" s="1" t="e">
        <f aca="false" t="array" ref="D3359:D3359">IF(ISBLANK(_xlfn.xlookup(D$3,daily_items,_xlfn.xlookup($C3359,daily_dates,big_daily_table))),NA(),_xlfn.xlookup(D$3,daily_items,_xlfn.xlookup($C3359,daily_dates,big_daily_table)))</f>
        <v>#NAME?</v>
      </c>
      <c r="E3359" s="1" t="e">
        <f aca="false" t="array" ref="E3359:E3359">IF(ISBLANK(_xlfn.xlookup(E$3,daily_items,_xlfn.xlookup($C3359,daily_dates,big_daily_table))),NA(),_xlfn.xlookup(E$3,daily_items,_xlfn.xlookup($C3359,daily_dates,big_daily_table)))</f>
        <v>#NAME?</v>
      </c>
    </row>
    <row r="3360" customFormat="false" ht="14.25" hidden="false" customHeight="false" outlineLevel="0" collapsed="false">
      <c r="B3360" s="7" t="n">
        <v>44265</v>
      </c>
      <c r="C3360" s="7" t="n">
        <f aca="false">B3360-WEEKDAY(B3360)+1</f>
        <v>44262</v>
      </c>
      <c r="D3360" s="1" t="e">
        <f aca="false" t="array" ref="D3360:D3360">IF(ISBLANK(_xlfn.xlookup(D$3,daily_items,_xlfn.xlookup($C3360,daily_dates,big_daily_table))),NA(),_xlfn.xlookup(D$3,daily_items,_xlfn.xlookup($C3360,daily_dates,big_daily_table)))</f>
        <v>#NAME?</v>
      </c>
      <c r="E3360" s="1" t="e">
        <f aca="false" t="array" ref="E3360:E3360">IF(ISBLANK(_xlfn.xlookup(E$3,daily_items,_xlfn.xlookup($C3360,daily_dates,big_daily_table))),NA(),_xlfn.xlookup(E$3,daily_items,_xlfn.xlookup($C3360,daily_dates,big_daily_table)))</f>
        <v>#NAME?</v>
      </c>
    </row>
    <row r="3361" customFormat="false" ht="14.25" hidden="false" customHeight="false" outlineLevel="0" collapsed="false">
      <c r="B3361" s="7" t="n">
        <v>44266</v>
      </c>
      <c r="C3361" s="7" t="n">
        <f aca="false">B3361-WEEKDAY(B3361)+1</f>
        <v>44262</v>
      </c>
      <c r="D3361" s="1" t="e">
        <f aca="false" t="array" ref="D3361:D3361">IF(ISBLANK(_xlfn.xlookup(D$3,daily_items,_xlfn.xlookup($C3361,daily_dates,big_daily_table))),NA(),_xlfn.xlookup(D$3,daily_items,_xlfn.xlookup($C3361,daily_dates,big_daily_table)))</f>
        <v>#NAME?</v>
      </c>
      <c r="E3361" s="1" t="e">
        <f aca="false" t="array" ref="E3361:E3361">IF(ISBLANK(_xlfn.xlookup(E$3,daily_items,_xlfn.xlookup($C3361,daily_dates,big_daily_table))),NA(),_xlfn.xlookup(E$3,daily_items,_xlfn.xlookup($C3361,daily_dates,big_daily_table)))</f>
        <v>#NAME?</v>
      </c>
    </row>
    <row r="3362" customFormat="false" ht="14.25" hidden="false" customHeight="false" outlineLevel="0" collapsed="false">
      <c r="B3362" s="7" t="n">
        <v>44267</v>
      </c>
      <c r="C3362" s="7" t="n">
        <f aca="false">B3362-WEEKDAY(B3362)+1</f>
        <v>44262</v>
      </c>
      <c r="D3362" s="1" t="e">
        <f aca="false" t="array" ref="D3362:D3362">IF(ISBLANK(_xlfn.xlookup(D$3,daily_items,_xlfn.xlookup($C3362,daily_dates,big_daily_table))),NA(),_xlfn.xlookup(D$3,daily_items,_xlfn.xlookup($C3362,daily_dates,big_daily_table)))</f>
        <v>#NAME?</v>
      </c>
      <c r="E3362" s="1" t="e">
        <f aca="false" t="array" ref="E3362:E3362">IF(ISBLANK(_xlfn.xlookup(E$3,daily_items,_xlfn.xlookup($C3362,daily_dates,big_daily_table))),NA(),_xlfn.xlookup(E$3,daily_items,_xlfn.xlookup($C3362,daily_dates,big_daily_table)))</f>
        <v>#NAME?</v>
      </c>
    </row>
    <row r="3363" customFormat="false" ht="14.25" hidden="false" customHeight="false" outlineLevel="0" collapsed="false">
      <c r="B3363" s="7" t="n">
        <v>44268</v>
      </c>
      <c r="C3363" s="7" t="n">
        <f aca="false">B3363-WEEKDAY(B3363)+1</f>
        <v>44262</v>
      </c>
      <c r="D3363" s="1" t="e">
        <f aca="false" t="array" ref="D3363:D3363">IF(ISBLANK(_xlfn.xlookup(D$3,daily_items,_xlfn.xlookup($C3363,daily_dates,big_daily_table))),NA(),_xlfn.xlookup(D$3,daily_items,_xlfn.xlookup($C3363,daily_dates,big_daily_table)))</f>
        <v>#NAME?</v>
      </c>
      <c r="E3363" s="1" t="e">
        <f aca="false" t="array" ref="E3363:E3363">IF(ISBLANK(_xlfn.xlookup(E$3,daily_items,_xlfn.xlookup($C3363,daily_dates,big_daily_table))),NA(),_xlfn.xlookup(E$3,daily_items,_xlfn.xlookup($C3363,daily_dates,big_daily_table)))</f>
        <v>#NAME?</v>
      </c>
    </row>
    <row r="3364" customFormat="false" ht="14.25" hidden="false" customHeight="false" outlineLevel="0" collapsed="false">
      <c r="B3364" s="7" t="n">
        <v>44269</v>
      </c>
      <c r="C3364" s="7" t="n">
        <f aca="false">B3364-WEEKDAY(B3364)+1</f>
        <v>44269</v>
      </c>
      <c r="D3364" s="1" t="e">
        <f aca="false" t="array" ref="D3364:D3364">IF(ISBLANK(_xlfn.xlookup(D$3,daily_items,_xlfn.xlookup($C3364,daily_dates,big_daily_table))),NA(),_xlfn.xlookup(D$3,daily_items,_xlfn.xlookup($C3364,daily_dates,big_daily_table)))</f>
        <v>#NAME?</v>
      </c>
      <c r="E3364" s="1" t="e">
        <f aca="false" t="array" ref="E3364:E3364">IF(ISBLANK(_xlfn.xlookup(E$3,daily_items,_xlfn.xlookup($C3364,daily_dates,big_daily_table))),NA(),_xlfn.xlookup(E$3,daily_items,_xlfn.xlookup($C3364,daily_dates,big_daily_table)))</f>
        <v>#NAME?</v>
      </c>
    </row>
    <row r="3365" customFormat="false" ht="14.25" hidden="false" customHeight="false" outlineLevel="0" collapsed="false">
      <c r="B3365" s="7" t="n">
        <v>44270</v>
      </c>
      <c r="C3365" s="7" t="n">
        <f aca="false">B3365-WEEKDAY(B3365)+1</f>
        <v>44269</v>
      </c>
      <c r="D3365" s="1" t="e">
        <f aca="false" t="array" ref="D3365:D3365">IF(ISBLANK(_xlfn.xlookup(D$3,daily_items,_xlfn.xlookup($C3365,daily_dates,big_daily_table))),NA(),_xlfn.xlookup(D$3,daily_items,_xlfn.xlookup($C3365,daily_dates,big_daily_table)))</f>
        <v>#NAME?</v>
      </c>
      <c r="E3365" s="1" t="e">
        <f aca="false" t="array" ref="E3365:E3365">IF(ISBLANK(_xlfn.xlookup(E$3,daily_items,_xlfn.xlookup($C3365,daily_dates,big_daily_table))),NA(),_xlfn.xlookup(E$3,daily_items,_xlfn.xlookup($C3365,daily_dates,big_daily_table)))</f>
        <v>#NAME?</v>
      </c>
    </row>
    <row r="3366" customFormat="false" ht="14.25" hidden="false" customHeight="false" outlineLevel="0" collapsed="false">
      <c r="B3366" s="7" t="n">
        <v>44271</v>
      </c>
      <c r="C3366" s="7" t="n">
        <f aca="false">B3366-WEEKDAY(B3366)+1</f>
        <v>44269</v>
      </c>
      <c r="D3366" s="1" t="e">
        <f aca="false" t="array" ref="D3366:D3366">IF(ISBLANK(_xlfn.xlookup(D$3,daily_items,_xlfn.xlookup($C3366,daily_dates,big_daily_table))),NA(),_xlfn.xlookup(D$3,daily_items,_xlfn.xlookup($C3366,daily_dates,big_daily_table)))</f>
        <v>#NAME?</v>
      </c>
      <c r="E3366" s="1" t="e">
        <f aca="false" t="array" ref="E3366:E3366">IF(ISBLANK(_xlfn.xlookup(E$3,daily_items,_xlfn.xlookup($C3366,daily_dates,big_daily_table))),NA(),_xlfn.xlookup(E$3,daily_items,_xlfn.xlookup($C3366,daily_dates,big_daily_table)))</f>
        <v>#NAME?</v>
      </c>
    </row>
    <row r="3367" customFormat="false" ht="14.25" hidden="false" customHeight="false" outlineLevel="0" collapsed="false">
      <c r="B3367" s="7" t="n">
        <v>44272</v>
      </c>
      <c r="C3367" s="7" t="n">
        <f aca="false">B3367-WEEKDAY(B3367)+1</f>
        <v>44269</v>
      </c>
      <c r="D3367" s="1" t="e">
        <f aca="false" t="array" ref="D3367:D3367">IF(ISBLANK(_xlfn.xlookup(D$3,daily_items,_xlfn.xlookup($C3367,daily_dates,big_daily_table))),NA(),_xlfn.xlookup(D$3,daily_items,_xlfn.xlookup($C3367,daily_dates,big_daily_table)))</f>
        <v>#NAME?</v>
      </c>
      <c r="E3367" s="1" t="e">
        <f aca="false" t="array" ref="E3367:E3367">IF(ISBLANK(_xlfn.xlookup(E$3,daily_items,_xlfn.xlookup($C3367,daily_dates,big_daily_table))),NA(),_xlfn.xlookup(E$3,daily_items,_xlfn.xlookup($C3367,daily_dates,big_daily_table)))</f>
        <v>#NAME?</v>
      </c>
    </row>
    <row r="3368" customFormat="false" ht="14.25" hidden="false" customHeight="false" outlineLevel="0" collapsed="false">
      <c r="B3368" s="7" t="n">
        <v>44273</v>
      </c>
      <c r="C3368" s="7" t="n">
        <f aca="false">B3368-WEEKDAY(B3368)+1</f>
        <v>44269</v>
      </c>
      <c r="D3368" s="1" t="e">
        <f aca="false" t="array" ref="D3368:D3368">IF(ISBLANK(_xlfn.xlookup(D$3,daily_items,_xlfn.xlookup($C3368,daily_dates,big_daily_table))),NA(),_xlfn.xlookup(D$3,daily_items,_xlfn.xlookup($C3368,daily_dates,big_daily_table)))</f>
        <v>#NAME?</v>
      </c>
      <c r="E3368" s="1" t="e">
        <f aca="false" t="array" ref="E3368:E3368">IF(ISBLANK(_xlfn.xlookup(E$3,daily_items,_xlfn.xlookup($C3368,daily_dates,big_daily_table))),NA(),_xlfn.xlookup(E$3,daily_items,_xlfn.xlookup($C3368,daily_dates,big_daily_table)))</f>
        <v>#NAME?</v>
      </c>
    </row>
    <row r="3369" customFormat="false" ht="14.25" hidden="false" customHeight="false" outlineLevel="0" collapsed="false">
      <c r="B3369" s="7" t="n">
        <v>44274</v>
      </c>
      <c r="C3369" s="7" t="n">
        <f aca="false">B3369-WEEKDAY(B3369)+1</f>
        <v>44269</v>
      </c>
      <c r="D3369" s="1" t="e">
        <f aca="false" t="array" ref="D3369:D3369">IF(ISBLANK(_xlfn.xlookup(D$3,daily_items,_xlfn.xlookup($C3369,daily_dates,big_daily_table))),NA(),_xlfn.xlookup(D$3,daily_items,_xlfn.xlookup($C3369,daily_dates,big_daily_table)))</f>
        <v>#NAME?</v>
      </c>
      <c r="E3369" s="1" t="e">
        <f aca="false" t="array" ref="E3369:E3369">IF(ISBLANK(_xlfn.xlookup(E$3,daily_items,_xlfn.xlookup($C3369,daily_dates,big_daily_table))),NA(),_xlfn.xlookup(E$3,daily_items,_xlfn.xlookup($C3369,daily_dates,big_daily_table)))</f>
        <v>#NAME?</v>
      </c>
    </row>
    <row r="3370" customFormat="false" ht="14.25" hidden="false" customHeight="false" outlineLevel="0" collapsed="false">
      <c r="B3370" s="7" t="n">
        <v>44275</v>
      </c>
      <c r="C3370" s="7" t="n">
        <f aca="false">B3370-WEEKDAY(B3370)+1</f>
        <v>44269</v>
      </c>
      <c r="D3370" s="1" t="e">
        <f aca="false" t="array" ref="D3370:D3370">IF(ISBLANK(_xlfn.xlookup(D$3,daily_items,_xlfn.xlookup($C3370,daily_dates,big_daily_table))),NA(),_xlfn.xlookup(D$3,daily_items,_xlfn.xlookup($C3370,daily_dates,big_daily_table)))</f>
        <v>#NAME?</v>
      </c>
      <c r="E3370" s="1" t="e">
        <f aca="false" t="array" ref="E3370:E3370">IF(ISBLANK(_xlfn.xlookup(E$3,daily_items,_xlfn.xlookup($C3370,daily_dates,big_daily_table))),NA(),_xlfn.xlookup(E$3,daily_items,_xlfn.xlookup($C3370,daily_dates,big_daily_table)))</f>
        <v>#NAME?</v>
      </c>
    </row>
    <row r="3371" customFormat="false" ht="14.25" hidden="false" customHeight="false" outlineLevel="0" collapsed="false">
      <c r="B3371" s="7" t="n">
        <v>44276</v>
      </c>
      <c r="C3371" s="7" t="n">
        <f aca="false">B3371-WEEKDAY(B3371)+1</f>
        <v>44276</v>
      </c>
      <c r="D3371" s="1" t="e">
        <f aca="false" t="array" ref="D3371:D3371">IF(ISBLANK(_xlfn.xlookup(D$3,daily_items,_xlfn.xlookup($C3371,daily_dates,big_daily_table))),NA(),_xlfn.xlookup(D$3,daily_items,_xlfn.xlookup($C3371,daily_dates,big_daily_table)))</f>
        <v>#NAME?</v>
      </c>
      <c r="E3371" s="1" t="e">
        <f aca="false" t="array" ref="E3371:E3371">IF(ISBLANK(_xlfn.xlookup(E$3,daily_items,_xlfn.xlookup($C3371,daily_dates,big_daily_table))),NA(),_xlfn.xlookup(E$3,daily_items,_xlfn.xlookup($C3371,daily_dates,big_daily_table)))</f>
        <v>#NAME?</v>
      </c>
    </row>
    <row r="3372" customFormat="false" ht="14.25" hidden="false" customHeight="false" outlineLevel="0" collapsed="false">
      <c r="B3372" s="7" t="n">
        <v>44277</v>
      </c>
      <c r="C3372" s="7" t="n">
        <f aca="false">B3372-WEEKDAY(B3372)+1</f>
        <v>44276</v>
      </c>
      <c r="D3372" s="1" t="e">
        <f aca="false" t="array" ref="D3372:D3372">IF(ISBLANK(_xlfn.xlookup(D$3,daily_items,_xlfn.xlookup($C3372,daily_dates,big_daily_table))),NA(),_xlfn.xlookup(D$3,daily_items,_xlfn.xlookup($C3372,daily_dates,big_daily_table)))</f>
        <v>#NAME?</v>
      </c>
      <c r="E3372" s="1" t="e">
        <f aca="false" t="array" ref="E3372:E3372">IF(ISBLANK(_xlfn.xlookup(E$3,daily_items,_xlfn.xlookup($C3372,daily_dates,big_daily_table))),NA(),_xlfn.xlookup(E$3,daily_items,_xlfn.xlookup($C3372,daily_dates,big_daily_table)))</f>
        <v>#NAME?</v>
      </c>
    </row>
    <row r="3373" customFormat="false" ht="14.25" hidden="false" customHeight="false" outlineLevel="0" collapsed="false">
      <c r="B3373" s="7" t="n">
        <v>44278</v>
      </c>
      <c r="C3373" s="7" t="n">
        <f aca="false">B3373-WEEKDAY(B3373)+1</f>
        <v>44276</v>
      </c>
      <c r="D3373" s="1" t="e">
        <f aca="false" t="array" ref="D3373:D3373">IF(ISBLANK(_xlfn.xlookup(D$3,daily_items,_xlfn.xlookup($C3373,daily_dates,big_daily_table))),NA(),_xlfn.xlookup(D$3,daily_items,_xlfn.xlookup($C3373,daily_dates,big_daily_table)))</f>
        <v>#NAME?</v>
      </c>
      <c r="E3373" s="1" t="e">
        <f aca="false" t="array" ref="E3373:E3373">IF(ISBLANK(_xlfn.xlookup(E$3,daily_items,_xlfn.xlookup($C3373,daily_dates,big_daily_table))),NA(),_xlfn.xlookup(E$3,daily_items,_xlfn.xlookup($C3373,daily_dates,big_daily_table)))</f>
        <v>#NAME?</v>
      </c>
    </row>
    <row r="3374" customFormat="false" ht="14.25" hidden="false" customHeight="false" outlineLevel="0" collapsed="false">
      <c r="B3374" s="7" t="n">
        <v>44279</v>
      </c>
      <c r="C3374" s="7" t="n">
        <f aca="false">B3374-WEEKDAY(B3374)+1</f>
        <v>44276</v>
      </c>
      <c r="D3374" s="1" t="e">
        <f aca="false" t="array" ref="D3374:D3374">IF(ISBLANK(_xlfn.xlookup(D$3,daily_items,_xlfn.xlookup($C3374,daily_dates,big_daily_table))),NA(),_xlfn.xlookup(D$3,daily_items,_xlfn.xlookup($C3374,daily_dates,big_daily_table)))</f>
        <v>#NAME?</v>
      </c>
      <c r="E3374" s="1" t="e">
        <f aca="false" t="array" ref="E3374:E3374">IF(ISBLANK(_xlfn.xlookup(E$3,daily_items,_xlfn.xlookup($C3374,daily_dates,big_daily_table))),NA(),_xlfn.xlookup(E$3,daily_items,_xlfn.xlookup($C3374,daily_dates,big_daily_table)))</f>
        <v>#NAME?</v>
      </c>
    </row>
    <row r="3375" customFormat="false" ht="14.25" hidden="false" customHeight="false" outlineLevel="0" collapsed="false">
      <c r="B3375" s="7" t="n">
        <v>44280</v>
      </c>
      <c r="C3375" s="7" t="n">
        <f aca="false">B3375-WEEKDAY(B3375)+1</f>
        <v>44276</v>
      </c>
      <c r="D3375" s="1" t="e">
        <f aca="false" t="array" ref="D3375:D3375">IF(ISBLANK(_xlfn.xlookup(D$3,daily_items,_xlfn.xlookup($C3375,daily_dates,big_daily_table))),NA(),_xlfn.xlookup(D$3,daily_items,_xlfn.xlookup($C3375,daily_dates,big_daily_table)))</f>
        <v>#NAME?</v>
      </c>
      <c r="E3375" s="1" t="e">
        <f aca="false" t="array" ref="E3375:E3375">IF(ISBLANK(_xlfn.xlookup(E$3,daily_items,_xlfn.xlookup($C3375,daily_dates,big_daily_table))),NA(),_xlfn.xlookup(E$3,daily_items,_xlfn.xlookup($C3375,daily_dates,big_daily_table)))</f>
        <v>#NAME?</v>
      </c>
    </row>
    <row r="3376" customFormat="false" ht="14.25" hidden="false" customHeight="false" outlineLevel="0" collapsed="false">
      <c r="B3376" s="7" t="n">
        <v>44281</v>
      </c>
      <c r="C3376" s="7" t="n">
        <f aca="false">B3376-WEEKDAY(B3376)+1</f>
        <v>44276</v>
      </c>
      <c r="D3376" s="1" t="e">
        <f aca="false" t="array" ref="D3376:D3376">IF(ISBLANK(_xlfn.xlookup(D$3,daily_items,_xlfn.xlookup($C3376,daily_dates,big_daily_table))),NA(),_xlfn.xlookup(D$3,daily_items,_xlfn.xlookup($C3376,daily_dates,big_daily_table)))</f>
        <v>#NAME?</v>
      </c>
      <c r="E3376" s="1" t="e">
        <f aca="false" t="array" ref="E3376:E3376">IF(ISBLANK(_xlfn.xlookup(E$3,daily_items,_xlfn.xlookup($C3376,daily_dates,big_daily_table))),NA(),_xlfn.xlookup(E$3,daily_items,_xlfn.xlookup($C3376,daily_dates,big_daily_table)))</f>
        <v>#NAME?</v>
      </c>
    </row>
    <row r="3377" customFormat="false" ht="14.25" hidden="false" customHeight="false" outlineLevel="0" collapsed="false">
      <c r="B3377" s="7" t="n">
        <v>44282</v>
      </c>
      <c r="C3377" s="7" t="n">
        <f aca="false">B3377-WEEKDAY(B3377)+1</f>
        <v>44276</v>
      </c>
      <c r="D3377" s="1" t="e">
        <f aca="false" t="array" ref="D3377:D3377">IF(ISBLANK(_xlfn.xlookup(D$3,daily_items,_xlfn.xlookup($C3377,daily_dates,big_daily_table))),NA(),_xlfn.xlookup(D$3,daily_items,_xlfn.xlookup($C3377,daily_dates,big_daily_table)))</f>
        <v>#NAME?</v>
      </c>
      <c r="E3377" s="1" t="e">
        <f aca="false" t="array" ref="E3377:E3377">IF(ISBLANK(_xlfn.xlookup(E$3,daily_items,_xlfn.xlookup($C3377,daily_dates,big_daily_table))),NA(),_xlfn.xlookup(E$3,daily_items,_xlfn.xlookup($C3377,daily_dates,big_daily_table)))</f>
        <v>#NAME?</v>
      </c>
    </row>
    <row r="3378" customFormat="false" ht="14.25" hidden="false" customHeight="false" outlineLevel="0" collapsed="false">
      <c r="B3378" s="7" t="n">
        <v>44283</v>
      </c>
      <c r="C3378" s="7" t="n">
        <f aca="false">B3378-WEEKDAY(B3378)+1</f>
        <v>44283</v>
      </c>
      <c r="D3378" s="1" t="e">
        <f aca="false" t="array" ref="D3378:D3378">IF(ISBLANK(_xlfn.xlookup(D$3,daily_items,_xlfn.xlookup($C3378,daily_dates,big_daily_table))),NA(),_xlfn.xlookup(D$3,daily_items,_xlfn.xlookup($C3378,daily_dates,big_daily_table)))</f>
        <v>#NAME?</v>
      </c>
      <c r="E3378" s="1" t="e">
        <f aca="false" t="array" ref="E3378:E3378">IF(ISBLANK(_xlfn.xlookup(E$3,daily_items,_xlfn.xlookup($C3378,daily_dates,big_daily_table))),NA(),_xlfn.xlookup(E$3,daily_items,_xlfn.xlookup($C3378,daily_dates,big_daily_table)))</f>
        <v>#NAME?</v>
      </c>
    </row>
    <row r="3379" customFormat="false" ht="14.25" hidden="false" customHeight="false" outlineLevel="0" collapsed="false">
      <c r="B3379" s="7" t="n">
        <v>44284</v>
      </c>
      <c r="C3379" s="7" t="n">
        <f aca="false">B3379-WEEKDAY(B3379)+1</f>
        <v>44283</v>
      </c>
      <c r="D3379" s="1" t="e">
        <f aca="false" t="array" ref="D3379:D3379">IF(ISBLANK(_xlfn.xlookup(D$3,daily_items,_xlfn.xlookup($C3379,daily_dates,big_daily_table))),NA(),_xlfn.xlookup(D$3,daily_items,_xlfn.xlookup($C3379,daily_dates,big_daily_table)))</f>
        <v>#NAME?</v>
      </c>
      <c r="E3379" s="1" t="e">
        <f aca="false" t="array" ref="E3379:E3379">IF(ISBLANK(_xlfn.xlookup(E$3,daily_items,_xlfn.xlookup($C3379,daily_dates,big_daily_table))),NA(),_xlfn.xlookup(E$3,daily_items,_xlfn.xlookup($C3379,daily_dates,big_daily_table)))</f>
        <v>#NAME?</v>
      </c>
    </row>
    <row r="3380" customFormat="false" ht="14.25" hidden="false" customHeight="false" outlineLevel="0" collapsed="false">
      <c r="B3380" s="7" t="n">
        <v>44285</v>
      </c>
      <c r="C3380" s="7" t="n">
        <f aca="false">B3380-WEEKDAY(B3380)+1</f>
        <v>44283</v>
      </c>
      <c r="D3380" s="1" t="e">
        <f aca="false" t="array" ref="D3380:D3380">IF(ISBLANK(_xlfn.xlookup(D$3,daily_items,_xlfn.xlookup($C3380,daily_dates,big_daily_table))),NA(),_xlfn.xlookup(D$3,daily_items,_xlfn.xlookup($C3380,daily_dates,big_daily_table)))</f>
        <v>#NAME?</v>
      </c>
      <c r="E3380" s="1" t="e">
        <f aca="false" t="array" ref="E3380:E3380">IF(ISBLANK(_xlfn.xlookup(E$3,daily_items,_xlfn.xlookup($C3380,daily_dates,big_daily_table))),NA(),_xlfn.xlookup(E$3,daily_items,_xlfn.xlookup($C3380,daily_dates,big_daily_table)))</f>
        <v>#NAME?</v>
      </c>
    </row>
    <row r="3381" customFormat="false" ht="14.25" hidden="false" customHeight="false" outlineLevel="0" collapsed="false">
      <c r="B3381" s="7" t="n">
        <v>44286</v>
      </c>
      <c r="C3381" s="7" t="n">
        <f aca="false">B3381-WEEKDAY(B3381)+1</f>
        <v>44283</v>
      </c>
      <c r="D3381" s="1" t="e">
        <f aca="false" t="array" ref="D3381:D3381">IF(ISBLANK(_xlfn.xlookup(D$3,daily_items,_xlfn.xlookup($C3381,daily_dates,big_daily_table))),NA(),_xlfn.xlookup(D$3,daily_items,_xlfn.xlookup($C3381,daily_dates,big_daily_table)))</f>
        <v>#NAME?</v>
      </c>
      <c r="E3381" s="1" t="e">
        <f aca="false" t="array" ref="E3381:E3381">IF(ISBLANK(_xlfn.xlookup(E$3,daily_items,_xlfn.xlookup($C3381,daily_dates,big_daily_table))),NA(),_xlfn.xlookup(E$3,daily_items,_xlfn.xlookup($C3381,daily_dates,big_daily_table)))</f>
        <v>#NAME?</v>
      </c>
    </row>
    <row r="3382" customFormat="false" ht="14.25" hidden="false" customHeight="false" outlineLevel="0" collapsed="false">
      <c r="B3382" s="7" t="n">
        <v>44287</v>
      </c>
      <c r="C3382" s="7" t="n">
        <f aca="false">B3382-WEEKDAY(B3382)+1</f>
        <v>44283</v>
      </c>
      <c r="D3382" s="1" t="e">
        <f aca="false" t="array" ref="D3382:D3382">IF(ISBLANK(_xlfn.xlookup(D$3,daily_items,_xlfn.xlookup($C3382,daily_dates,big_daily_table))),NA(),_xlfn.xlookup(D$3,daily_items,_xlfn.xlookup($C3382,daily_dates,big_daily_table)))</f>
        <v>#NAME?</v>
      </c>
      <c r="E3382" s="1" t="e">
        <f aca="false" t="array" ref="E3382:E3382">IF(ISBLANK(_xlfn.xlookup(E$3,daily_items,_xlfn.xlookup($C3382,daily_dates,big_daily_table))),NA(),_xlfn.xlookup(E$3,daily_items,_xlfn.xlookup($C3382,daily_dates,big_daily_table)))</f>
        <v>#NAME?</v>
      </c>
    </row>
    <row r="3383" customFormat="false" ht="14.25" hidden="false" customHeight="false" outlineLevel="0" collapsed="false">
      <c r="B3383" s="7" t="n">
        <v>44288</v>
      </c>
      <c r="C3383" s="7" t="n">
        <f aca="false">B3383-WEEKDAY(B3383)+1</f>
        <v>44283</v>
      </c>
      <c r="D3383" s="1" t="e">
        <f aca="false" t="array" ref="D3383:D3383">IF(ISBLANK(_xlfn.xlookup(D$3,daily_items,_xlfn.xlookup($C3383,daily_dates,big_daily_table))),NA(),_xlfn.xlookup(D$3,daily_items,_xlfn.xlookup($C3383,daily_dates,big_daily_table)))</f>
        <v>#NAME?</v>
      </c>
      <c r="E3383" s="1" t="e">
        <f aca="false" t="array" ref="E3383:E3383">IF(ISBLANK(_xlfn.xlookup(E$3,daily_items,_xlfn.xlookup($C3383,daily_dates,big_daily_table))),NA(),_xlfn.xlookup(E$3,daily_items,_xlfn.xlookup($C3383,daily_dates,big_daily_table)))</f>
        <v>#NAME?</v>
      </c>
    </row>
    <row r="3384" customFormat="false" ht="14.25" hidden="false" customHeight="false" outlineLevel="0" collapsed="false">
      <c r="B3384" s="7" t="n">
        <v>44289</v>
      </c>
      <c r="C3384" s="7" t="n">
        <f aca="false">B3384-WEEKDAY(B3384)+1</f>
        <v>44283</v>
      </c>
      <c r="D3384" s="1" t="e">
        <f aca="false" t="array" ref="D3384:D3384">IF(ISBLANK(_xlfn.xlookup(D$3,daily_items,_xlfn.xlookup($C3384,daily_dates,big_daily_table))),NA(),_xlfn.xlookup(D$3,daily_items,_xlfn.xlookup($C3384,daily_dates,big_daily_table)))</f>
        <v>#NAME?</v>
      </c>
      <c r="E3384" s="1" t="e">
        <f aca="false" t="array" ref="E3384:E3384">IF(ISBLANK(_xlfn.xlookup(E$3,daily_items,_xlfn.xlookup($C3384,daily_dates,big_daily_table))),NA(),_xlfn.xlookup(E$3,daily_items,_xlfn.xlookup($C3384,daily_dates,big_daily_table)))</f>
        <v>#NAME?</v>
      </c>
    </row>
    <row r="3385" customFormat="false" ht="14.25" hidden="false" customHeight="false" outlineLevel="0" collapsed="false">
      <c r="B3385" s="7" t="n">
        <v>44290</v>
      </c>
      <c r="C3385" s="7" t="n">
        <f aca="false">B3385-WEEKDAY(B3385)+1</f>
        <v>44290</v>
      </c>
      <c r="D3385" s="1" t="e">
        <f aca="false" t="array" ref="D3385:D3385">IF(ISBLANK(_xlfn.xlookup(D$3,daily_items,_xlfn.xlookup($C3385,daily_dates,big_daily_table))),NA(),_xlfn.xlookup(D$3,daily_items,_xlfn.xlookup($C3385,daily_dates,big_daily_table)))</f>
        <v>#NAME?</v>
      </c>
      <c r="E3385" s="1" t="e">
        <f aca="false" t="array" ref="E3385:E3385">IF(ISBLANK(_xlfn.xlookup(E$3,daily_items,_xlfn.xlookup($C3385,daily_dates,big_daily_table))),NA(),_xlfn.xlookup(E$3,daily_items,_xlfn.xlookup($C3385,daily_dates,big_daily_table)))</f>
        <v>#NAME?</v>
      </c>
    </row>
    <row r="3386" customFormat="false" ht="14.25" hidden="false" customHeight="false" outlineLevel="0" collapsed="false">
      <c r="B3386" s="7" t="n">
        <v>44291</v>
      </c>
      <c r="C3386" s="7" t="n">
        <f aca="false">B3386-WEEKDAY(B3386)+1</f>
        <v>44290</v>
      </c>
      <c r="D3386" s="1" t="e">
        <f aca="false" t="array" ref="D3386:D3386">IF(ISBLANK(_xlfn.xlookup(D$3,daily_items,_xlfn.xlookup($C3386,daily_dates,big_daily_table))),NA(),_xlfn.xlookup(D$3,daily_items,_xlfn.xlookup($C3386,daily_dates,big_daily_table)))</f>
        <v>#NAME?</v>
      </c>
      <c r="E3386" s="1" t="e">
        <f aca="false" t="array" ref="E3386:E3386">IF(ISBLANK(_xlfn.xlookup(E$3,daily_items,_xlfn.xlookup($C3386,daily_dates,big_daily_table))),NA(),_xlfn.xlookup(E$3,daily_items,_xlfn.xlookup($C3386,daily_dates,big_daily_table)))</f>
        <v>#NAME?</v>
      </c>
    </row>
    <row r="3387" customFormat="false" ht="14.25" hidden="false" customHeight="false" outlineLevel="0" collapsed="false">
      <c r="B3387" s="7" t="n">
        <v>44292</v>
      </c>
      <c r="C3387" s="7" t="n">
        <f aca="false">B3387-WEEKDAY(B3387)+1</f>
        <v>44290</v>
      </c>
      <c r="D3387" s="1" t="e">
        <f aca="false" t="array" ref="D3387:D3387">IF(ISBLANK(_xlfn.xlookup(D$3,daily_items,_xlfn.xlookup($C3387,daily_dates,big_daily_table))),NA(),_xlfn.xlookup(D$3,daily_items,_xlfn.xlookup($C3387,daily_dates,big_daily_table)))</f>
        <v>#NAME?</v>
      </c>
      <c r="E3387" s="1" t="e">
        <f aca="false" t="array" ref="E3387:E3387">IF(ISBLANK(_xlfn.xlookup(E$3,daily_items,_xlfn.xlookup($C3387,daily_dates,big_daily_table))),NA(),_xlfn.xlookup(E$3,daily_items,_xlfn.xlookup($C3387,daily_dates,big_daily_table)))</f>
        <v>#NAME?</v>
      </c>
    </row>
    <row r="3388" customFormat="false" ht="14.25" hidden="false" customHeight="false" outlineLevel="0" collapsed="false">
      <c r="B3388" s="7" t="n">
        <v>44293</v>
      </c>
      <c r="C3388" s="7" t="n">
        <f aca="false">B3388-WEEKDAY(B3388)+1</f>
        <v>44290</v>
      </c>
      <c r="D3388" s="1" t="e">
        <f aca="false" t="array" ref="D3388:D3388">IF(ISBLANK(_xlfn.xlookup(D$3,daily_items,_xlfn.xlookup($C3388,daily_dates,big_daily_table))),NA(),_xlfn.xlookup(D$3,daily_items,_xlfn.xlookup($C3388,daily_dates,big_daily_table)))</f>
        <v>#NAME?</v>
      </c>
      <c r="E3388" s="1" t="e">
        <f aca="false" t="array" ref="E3388:E3388">IF(ISBLANK(_xlfn.xlookup(E$3,daily_items,_xlfn.xlookup($C3388,daily_dates,big_daily_table))),NA(),_xlfn.xlookup(E$3,daily_items,_xlfn.xlookup($C3388,daily_dates,big_daily_table)))</f>
        <v>#NAME?</v>
      </c>
    </row>
    <row r="3389" customFormat="false" ht="14.25" hidden="false" customHeight="false" outlineLevel="0" collapsed="false">
      <c r="B3389" s="7" t="n">
        <v>44294</v>
      </c>
      <c r="C3389" s="7" t="n">
        <f aca="false">B3389-WEEKDAY(B3389)+1</f>
        <v>44290</v>
      </c>
      <c r="D3389" s="1" t="e">
        <f aca="false" t="array" ref="D3389:D3389">IF(ISBLANK(_xlfn.xlookup(D$3,daily_items,_xlfn.xlookup($C3389,daily_dates,big_daily_table))),NA(),_xlfn.xlookup(D$3,daily_items,_xlfn.xlookup($C3389,daily_dates,big_daily_table)))</f>
        <v>#NAME?</v>
      </c>
      <c r="E3389" s="1" t="e">
        <f aca="false" t="array" ref="E3389:E3389">IF(ISBLANK(_xlfn.xlookup(E$3,daily_items,_xlfn.xlookup($C3389,daily_dates,big_daily_table))),NA(),_xlfn.xlookup(E$3,daily_items,_xlfn.xlookup($C3389,daily_dates,big_daily_table)))</f>
        <v>#NAME?</v>
      </c>
    </row>
    <row r="3390" customFormat="false" ht="14.25" hidden="false" customHeight="false" outlineLevel="0" collapsed="false">
      <c r="B3390" s="7" t="n">
        <v>44295</v>
      </c>
      <c r="C3390" s="7" t="n">
        <f aca="false">B3390-WEEKDAY(B3390)+1</f>
        <v>44290</v>
      </c>
      <c r="D3390" s="1" t="e">
        <f aca="false" t="array" ref="D3390:D3390">IF(ISBLANK(_xlfn.xlookup(D$3,daily_items,_xlfn.xlookup($C3390,daily_dates,big_daily_table))),NA(),_xlfn.xlookup(D$3,daily_items,_xlfn.xlookup($C3390,daily_dates,big_daily_table)))</f>
        <v>#NAME?</v>
      </c>
      <c r="E3390" s="1" t="e">
        <f aca="false" t="array" ref="E3390:E3390">IF(ISBLANK(_xlfn.xlookup(E$3,daily_items,_xlfn.xlookup($C3390,daily_dates,big_daily_table))),NA(),_xlfn.xlookup(E$3,daily_items,_xlfn.xlookup($C3390,daily_dates,big_daily_table)))</f>
        <v>#NAME?</v>
      </c>
    </row>
    <row r="3391" customFormat="false" ht="14.25" hidden="false" customHeight="false" outlineLevel="0" collapsed="false">
      <c r="B3391" s="7" t="n">
        <v>44296</v>
      </c>
      <c r="C3391" s="7" t="n">
        <f aca="false">B3391-WEEKDAY(B3391)+1</f>
        <v>44290</v>
      </c>
      <c r="D3391" s="1" t="e">
        <f aca="false" t="array" ref="D3391:D3391">IF(ISBLANK(_xlfn.xlookup(D$3,daily_items,_xlfn.xlookup($C3391,daily_dates,big_daily_table))),NA(),_xlfn.xlookup(D$3,daily_items,_xlfn.xlookup($C3391,daily_dates,big_daily_table)))</f>
        <v>#NAME?</v>
      </c>
      <c r="E3391" s="1" t="e">
        <f aca="false" t="array" ref="E3391:E3391">IF(ISBLANK(_xlfn.xlookup(E$3,daily_items,_xlfn.xlookup($C3391,daily_dates,big_daily_table))),NA(),_xlfn.xlookup(E$3,daily_items,_xlfn.xlookup($C3391,daily_dates,big_daily_table)))</f>
        <v>#NAME?</v>
      </c>
    </row>
    <row r="3392" customFormat="false" ht="14.25" hidden="false" customHeight="false" outlineLevel="0" collapsed="false">
      <c r="B3392" s="7" t="n">
        <v>44297</v>
      </c>
      <c r="C3392" s="7" t="n">
        <f aca="false">B3392-WEEKDAY(B3392)+1</f>
        <v>44297</v>
      </c>
      <c r="D3392" s="1" t="e">
        <f aca="false" t="array" ref="D3392:D3392">IF(ISBLANK(_xlfn.xlookup(D$3,daily_items,_xlfn.xlookup($C3392,daily_dates,big_daily_table))),NA(),_xlfn.xlookup(D$3,daily_items,_xlfn.xlookup($C3392,daily_dates,big_daily_table)))</f>
        <v>#NAME?</v>
      </c>
      <c r="E3392" s="1" t="e">
        <f aca="false" t="array" ref="E3392:E3392">IF(ISBLANK(_xlfn.xlookup(E$3,daily_items,_xlfn.xlookup($C3392,daily_dates,big_daily_table))),NA(),_xlfn.xlookup(E$3,daily_items,_xlfn.xlookup($C3392,daily_dates,big_daily_table)))</f>
        <v>#NAME?</v>
      </c>
    </row>
    <row r="3393" customFormat="false" ht="14.25" hidden="false" customHeight="false" outlineLevel="0" collapsed="false">
      <c r="B3393" s="7" t="n">
        <v>44298</v>
      </c>
      <c r="C3393" s="7" t="n">
        <f aca="false">B3393-WEEKDAY(B3393)+1</f>
        <v>44297</v>
      </c>
      <c r="D3393" s="1" t="e">
        <f aca="false" t="array" ref="D3393:D3393">IF(ISBLANK(_xlfn.xlookup(D$3,daily_items,_xlfn.xlookup($C3393,daily_dates,big_daily_table))),NA(),_xlfn.xlookup(D$3,daily_items,_xlfn.xlookup($C3393,daily_dates,big_daily_table)))</f>
        <v>#NAME?</v>
      </c>
      <c r="E3393" s="1" t="e">
        <f aca="false" t="array" ref="E3393:E3393">IF(ISBLANK(_xlfn.xlookup(E$3,daily_items,_xlfn.xlookup($C3393,daily_dates,big_daily_table))),NA(),_xlfn.xlookup(E$3,daily_items,_xlfn.xlookup($C3393,daily_dates,big_daily_table)))</f>
        <v>#NAME?</v>
      </c>
    </row>
    <row r="3394" customFormat="false" ht="14.25" hidden="false" customHeight="false" outlineLevel="0" collapsed="false">
      <c r="B3394" s="7" t="n">
        <v>44299</v>
      </c>
      <c r="C3394" s="7" t="n">
        <f aca="false">B3394-WEEKDAY(B3394)+1</f>
        <v>44297</v>
      </c>
      <c r="D3394" s="1" t="e">
        <f aca="false" t="array" ref="D3394:D3394">IF(ISBLANK(_xlfn.xlookup(D$3,daily_items,_xlfn.xlookup($C3394,daily_dates,big_daily_table))),NA(),_xlfn.xlookup(D$3,daily_items,_xlfn.xlookup($C3394,daily_dates,big_daily_table)))</f>
        <v>#NAME?</v>
      </c>
      <c r="E3394" s="1" t="e">
        <f aca="false" t="array" ref="E3394:E3394">IF(ISBLANK(_xlfn.xlookup(E$3,daily_items,_xlfn.xlookup($C3394,daily_dates,big_daily_table))),NA(),_xlfn.xlookup(E$3,daily_items,_xlfn.xlookup($C3394,daily_dates,big_daily_table)))</f>
        <v>#NAME?</v>
      </c>
    </row>
    <row r="3395" customFormat="false" ht="14.25" hidden="false" customHeight="false" outlineLevel="0" collapsed="false">
      <c r="B3395" s="7" t="n">
        <v>44300</v>
      </c>
      <c r="C3395" s="7" t="n">
        <f aca="false">B3395-WEEKDAY(B3395)+1</f>
        <v>44297</v>
      </c>
      <c r="D3395" s="1" t="e">
        <f aca="false" t="array" ref="D3395:D3395">IF(ISBLANK(_xlfn.xlookup(D$3,daily_items,_xlfn.xlookup($C3395,daily_dates,big_daily_table))),NA(),_xlfn.xlookup(D$3,daily_items,_xlfn.xlookup($C3395,daily_dates,big_daily_table)))</f>
        <v>#NAME?</v>
      </c>
      <c r="E3395" s="1" t="e">
        <f aca="false" t="array" ref="E3395:E3395">IF(ISBLANK(_xlfn.xlookup(E$3,daily_items,_xlfn.xlookup($C3395,daily_dates,big_daily_table))),NA(),_xlfn.xlookup(E$3,daily_items,_xlfn.xlookup($C3395,daily_dates,big_daily_table)))</f>
        <v>#NAME?</v>
      </c>
    </row>
    <row r="3396" customFormat="false" ht="14.25" hidden="false" customHeight="false" outlineLevel="0" collapsed="false">
      <c r="B3396" s="7" t="n">
        <v>44301</v>
      </c>
      <c r="C3396" s="7" t="n">
        <f aca="false">B3396-WEEKDAY(B3396)+1</f>
        <v>44297</v>
      </c>
      <c r="D3396" s="1" t="e">
        <f aca="false" t="array" ref="D3396:D3396">IF(ISBLANK(_xlfn.xlookup(D$3,daily_items,_xlfn.xlookup($C3396,daily_dates,big_daily_table))),NA(),_xlfn.xlookup(D$3,daily_items,_xlfn.xlookup($C3396,daily_dates,big_daily_table)))</f>
        <v>#NAME?</v>
      </c>
      <c r="E3396" s="1" t="e">
        <f aca="false" t="array" ref="E3396:E3396">IF(ISBLANK(_xlfn.xlookup(E$3,daily_items,_xlfn.xlookup($C3396,daily_dates,big_daily_table))),NA(),_xlfn.xlookup(E$3,daily_items,_xlfn.xlookup($C3396,daily_dates,big_daily_table)))</f>
        <v>#NAME?</v>
      </c>
    </row>
    <row r="3397" customFormat="false" ht="14.25" hidden="false" customHeight="false" outlineLevel="0" collapsed="false">
      <c r="B3397" s="7" t="n">
        <v>44302</v>
      </c>
      <c r="C3397" s="7" t="n">
        <f aca="false">B3397-WEEKDAY(B3397)+1</f>
        <v>44297</v>
      </c>
      <c r="D3397" s="1" t="e">
        <f aca="false" t="array" ref="D3397:D3397">IF(ISBLANK(_xlfn.xlookup(D$3,daily_items,_xlfn.xlookup($C3397,daily_dates,big_daily_table))),NA(),_xlfn.xlookup(D$3,daily_items,_xlfn.xlookup($C3397,daily_dates,big_daily_table)))</f>
        <v>#NAME?</v>
      </c>
      <c r="E3397" s="1" t="e">
        <f aca="false" t="array" ref="E3397:E3397">IF(ISBLANK(_xlfn.xlookup(E$3,daily_items,_xlfn.xlookup($C3397,daily_dates,big_daily_table))),NA(),_xlfn.xlookup(E$3,daily_items,_xlfn.xlookup($C3397,daily_dates,big_daily_table)))</f>
        <v>#NAME?</v>
      </c>
    </row>
    <row r="3398" customFormat="false" ht="14.25" hidden="false" customHeight="false" outlineLevel="0" collapsed="false">
      <c r="B3398" s="7" t="n">
        <v>44303</v>
      </c>
      <c r="C3398" s="7" t="n">
        <f aca="false">B3398-WEEKDAY(B3398)+1</f>
        <v>44297</v>
      </c>
      <c r="D3398" s="1" t="e">
        <f aca="false" t="array" ref="D3398:D3398">IF(ISBLANK(_xlfn.xlookup(D$3,daily_items,_xlfn.xlookup($C3398,daily_dates,big_daily_table))),NA(),_xlfn.xlookup(D$3,daily_items,_xlfn.xlookup($C3398,daily_dates,big_daily_table)))</f>
        <v>#NAME?</v>
      </c>
      <c r="E3398" s="1" t="e">
        <f aca="false" t="array" ref="E3398:E3398">IF(ISBLANK(_xlfn.xlookup(E$3,daily_items,_xlfn.xlookup($C3398,daily_dates,big_daily_table))),NA(),_xlfn.xlookup(E$3,daily_items,_xlfn.xlookup($C3398,daily_dates,big_daily_table)))</f>
        <v>#NAME?</v>
      </c>
    </row>
    <row r="3399" customFormat="false" ht="14.25" hidden="false" customHeight="false" outlineLevel="0" collapsed="false">
      <c r="B3399" s="7" t="n">
        <v>44304</v>
      </c>
      <c r="C3399" s="7" t="n">
        <f aca="false">B3399-WEEKDAY(B3399)+1</f>
        <v>44304</v>
      </c>
      <c r="D3399" s="1" t="e">
        <f aca="false" t="array" ref="D3399:D3399">IF(ISBLANK(_xlfn.xlookup(D$3,daily_items,_xlfn.xlookup($C3399,daily_dates,big_daily_table))),NA(),_xlfn.xlookup(D$3,daily_items,_xlfn.xlookup($C3399,daily_dates,big_daily_table)))</f>
        <v>#NAME?</v>
      </c>
      <c r="E3399" s="1" t="e">
        <f aca="false" t="array" ref="E3399:E3399">IF(ISBLANK(_xlfn.xlookup(E$3,daily_items,_xlfn.xlookup($C3399,daily_dates,big_daily_table))),NA(),_xlfn.xlookup(E$3,daily_items,_xlfn.xlookup($C3399,daily_dates,big_daily_table)))</f>
        <v>#NAME?</v>
      </c>
    </row>
    <row r="3400" customFormat="false" ht="14.25" hidden="false" customHeight="false" outlineLevel="0" collapsed="false">
      <c r="B3400" s="7" t="n">
        <v>44305</v>
      </c>
      <c r="C3400" s="7" t="n">
        <f aca="false">B3400-WEEKDAY(B3400)+1</f>
        <v>44304</v>
      </c>
      <c r="D3400" s="1" t="e">
        <f aca="false" t="array" ref="D3400:D3400">IF(ISBLANK(_xlfn.xlookup(D$3,daily_items,_xlfn.xlookup($C3400,daily_dates,big_daily_table))),NA(),_xlfn.xlookup(D$3,daily_items,_xlfn.xlookup($C3400,daily_dates,big_daily_table)))</f>
        <v>#NAME?</v>
      </c>
      <c r="E3400" s="1" t="e">
        <f aca="false" t="array" ref="E3400:E3400">IF(ISBLANK(_xlfn.xlookup(E$3,daily_items,_xlfn.xlookup($C3400,daily_dates,big_daily_table))),NA(),_xlfn.xlookup(E$3,daily_items,_xlfn.xlookup($C3400,daily_dates,big_daily_table)))</f>
        <v>#NAME?</v>
      </c>
    </row>
    <row r="3401" customFormat="false" ht="14.25" hidden="false" customHeight="false" outlineLevel="0" collapsed="false">
      <c r="B3401" s="7" t="n">
        <v>44306</v>
      </c>
      <c r="C3401" s="7" t="n">
        <f aca="false">B3401-WEEKDAY(B3401)+1</f>
        <v>44304</v>
      </c>
      <c r="D3401" s="1" t="e">
        <f aca="false" t="array" ref="D3401:D3401">IF(ISBLANK(_xlfn.xlookup(D$3,daily_items,_xlfn.xlookup($C3401,daily_dates,big_daily_table))),NA(),_xlfn.xlookup(D$3,daily_items,_xlfn.xlookup($C3401,daily_dates,big_daily_table)))</f>
        <v>#NAME?</v>
      </c>
      <c r="E3401" s="1" t="e">
        <f aca="false" t="array" ref="E3401:E3401">IF(ISBLANK(_xlfn.xlookup(E$3,daily_items,_xlfn.xlookup($C3401,daily_dates,big_daily_table))),NA(),_xlfn.xlookup(E$3,daily_items,_xlfn.xlookup($C3401,daily_dates,big_daily_table)))</f>
        <v>#NAME?</v>
      </c>
    </row>
    <row r="3402" customFormat="false" ht="14.25" hidden="false" customHeight="false" outlineLevel="0" collapsed="false">
      <c r="B3402" s="7" t="n">
        <v>44307</v>
      </c>
      <c r="C3402" s="7" t="n">
        <f aca="false">B3402-WEEKDAY(B3402)+1</f>
        <v>44304</v>
      </c>
      <c r="D3402" s="1" t="e">
        <f aca="false" t="array" ref="D3402:D3402">IF(ISBLANK(_xlfn.xlookup(D$3,daily_items,_xlfn.xlookup($C3402,daily_dates,big_daily_table))),NA(),_xlfn.xlookup(D$3,daily_items,_xlfn.xlookup($C3402,daily_dates,big_daily_table)))</f>
        <v>#NAME?</v>
      </c>
      <c r="E3402" s="1" t="e">
        <f aca="false" t="array" ref="E3402:E3402">IF(ISBLANK(_xlfn.xlookup(E$3,daily_items,_xlfn.xlookup($C3402,daily_dates,big_daily_table))),NA(),_xlfn.xlookup(E$3,daily_items,_xlfn.xlookup($C3402,daily_dates,big_daily_table)))</f>
        <v>#NAME?</v>
      </c>
    </row>
    <row r="3403" customFormat="false" ht="14.25" hidden="false" customHeight="false" outlineLevel="0" collapsed="false">
      <c r="B3403" s="7" t="n">
        <v>44308</v>
      </c>
      <c r="C3403" s="7" t="n">
        <f aca="false">B3403-WEEKDAY(B3403)+1</f>
        <v>44304</v>
      </c>
      <c r="D3403" s="1" t="e">
        <f aca="false" t="array" ref="D3403:D3403">IF(ISBLANK(_xlfn.xlookup(D$3,daily_items,_xlfn.xlookup($C3403,daily_dates,big_daily_table))),NA(),_xlfn.xlookup(D$3,daily_items,_xlfn.xlookup($C3403,daily_dates,big_daily_table)))</f>
        <v>#NAME?</v>
      </c>
      <c r="E3403" s="1" t="e">
        <f aca="false" t="array" ref="E3403:E3403">IF(ISBLANK(_xlfn.xlookup(E$3,daily_items,_xlfn.xlookup($C3403,daily_dates,big_daily_table))),NA(),_xlfn.xlookup(E$3,daily_items,_xlfn.xlookup($C3403,daily_dates,big_daily_table)))</f>
        <v>#NAME?</v>
      </c>
    </row>
    <row r="3404" customFormat="false" ht="14.25" hidden="false" customHeight="false" outlineLevel="0" collapsed="false">
      <c r="B3404" s="7" t="n">
        <v>44309</v>
      </c>
      <c r="C3404" s="7" t="n">
        <f aca="false">B3404-WEEKDAY(B3404)+1</f>
        <v>44304</v>
      </c>
      <c r="D3404" s="1" t="e">
        <f aca="false" t="array" ref="D3404:D3404">IF(ISBLANK(_xlfn.xlookup(D$3,daily_items,_xlfn.xlookup($C3404,daily_dates,big_daily_table))),NA(),_xlfn.xlookup(D$3,daily_items,_xlfn.xlookup($C3404,daily_dates,big_daily_table)))</f>
        <v>#NAME?</v>
      </c>
      <c r="E3404" s="1" t="e">
        <f aca="false" t="array" ref="E3404:E3404">IF(ISBLANK(_xlfn.xlookup(E$3,daily_items,_xlfn.xlookup($C3404,daily_dates,big_daily_table))),NA(),_xlfn.xlookup(E$3,daily_items,_xlfn.xlookup($C3404,daily_dates,big_daily_table)))</f>
        <v>#NAME?</v>
      </c>
    </row>
    <row r="3405" customFormat="false" ht="14.25" hidden="false" customHeight="false" outlineLevel="0" collapsed="false">
      <c r="B3405" s="7" t="n">
        <v>44310</v>
      </c>
      <c r="C3405" s="7" t="n">
        <f aca="false">B3405-WEEKDAY(B3405)+1</f>
        <v>44304</v>
      </c>
      <c r="D3405" s="1" t="e">
        <f aca="false" t="array" ref="D3405:D3405">IF(ISBLANK(_xlfn.xlookup(D$3,daily_items,_xlfn.xlookup($C3405,daily_dates,big_daily_table))),NA(),_xlfn.xlookup(D$3,daily_items,_xlfn.xlookup($C3405,daily_dates,big_daily_table)))</f>
        <v>#NAME?</v>
      </c>
      <c r="E3405" s="1" t="e">
        <f aca="false" t="array" ref="E3405:E3405">IF(ISBLANK(_xlfn.xlookup(E$3,daily_items,_xlfn.xlookup($C3405,daily_dates,big_daily_table))),NA(),_xlfn.xlookup(E$3,daily_items,_xlfn.xlookup($C3405,daily_dates,big_daily_table)))</f>
        <v>#NAME?</v>
      </c>
    </row>
    <row r="3406" customFormat="false" ht="14.25" hidden="false" customHeight="false" outlineLevel="0" collapsed="false">
      <c r="B3406" s="7" t="n">
        <v>44311</v>
      </c>
      <c r="C3406" s="7" t="n">
        <f aca="false">B3406-WEEKDAY(B3406)+1</f>
        <v>44311</v>
      </c>
      <c r="D3406" s="1" t="e">
        <f aca="false" t="array" ref="D3406:D3406">IF(ISBLANK(_xlfn.xlookup(D$3,daily_items,_xlfn.xlookup($C3406,daily_dates,big_daily_table))),NA(),_xlfn.xlookup(D$3,daily_items,_xlfn.xlookup($C3406,daily_dates,big_daily_table)))</f>
        <v>#NAME?</v>
      </c>
      <c r="E3406" s="1" t="e">
        <f aca="false" t="array" ref="E3406:E3406">IF(ISBLANK(_xlfn.xlookup(E$3,daily_items,_xlfn.xlookup($C3406,daily_dates,big_daily_table))),NA(),_xlfn.xlookup(E$3,daily_items,_xlfn.xlookup($C3406,daily_dates,big_daily_table)))</f>
        <v>#NAME?</v>
      </c>
    </row>
    <row r="3407" customFormat="false" ht="14.25" hidden="false" customHeight="false" outlineLevel="0" collapsed="false">
      <c r="B3407" s="7" t="n">
        <v>44312</v>
      </c>
      <c r="C3407" s="7" t="n">
        <f aca="false">B3407-WEEKDAY(B3407)+1</f>
        <v>44311</v>
      </c>
      <c r="D3407" s="1" t="e">
        <f aca="false" t="array" ref="D3407:D3407">IF(ISBLANK(_xlfn.xlookup(D$3,daily_items,_xlfn.xlookup($C3407,daily_dates,big_daily_table))),NA(),_xlfn.xlookup(D$3,daily_items,_xlfn.xlookup($C3407,daily_dates,big_daily_table)))</f>
        <v>#NAME?</v>
      </c>
      <c r="E3407" s="1" t="e">
        <f aca="false" t="array" ref="E3407:E3407">IF(ISBLANK(_xlfn.xlookup(E$3,daily_items,_xlfn.xlookup($C3407,daily_dates,big_daily_table))),NA(),_xlfn.xlookup(E$3,daily_items,_xlfn.xlookup($C3407,daily_dates,big_daily_table)))</f>
        <v>#NAME?</v>
      </c>
    </row>
    <row r="3408" customFormat="false" ht="14.25" hidden="false" customHeight="false" outlineLevel="0" collapsed="false">
      <c r="B3408" s="7" t="n">
        <v>44313</v>
      </c>
      <c r="C3408" s="7" t="n">
        <f aca="false">B3408-WEEKDAY(B3408)+1</f>
        <v>44311</v>
      </c>
      <c r="D3408" s="1" t="e">
        <f aca="false" t="array" ref="D3408:D3408">IF(ISBLANK(_xlfn.xlookup(D$3,daily_items,_xlfn.xlookup($C3408,daily_dates,big_daily_table))),NA(),_xlfn.xlookup(D$3,daily_items,_xlfn.xlookup($C3408,daily_dates,big_daily_table)))</f>
        <v>#NAME?</v>
      </c>
      <c r="E3408" s="1" t="e">
        <f aca="false" t="array" ref="E3408:E3408">IF(ISBLANK(_xlfn.xlookup(E$3,daily_items,_xlfn.xlookup($C3408,daily_dates,big_daily_table))),NA(),_xlfn.xlookup(E$3,daily_items,_xlfn.xlookup($C3408,daily_dates,big_daily_table)))</f>
        <v>#NAME?</v>
      </c>
    </row>
    <row r="3409" customFormat="false" ht="14.25" hidden="false" customHeight="false" outlineLevel="0" collapsed="false">
      <c r="B3409" s="7" t="n">
        <v>44314</v>
      </c>
      <c r="C3409" s="7" t="n">
        <f aca="false">B3409-WEEKDAY(B3409)+1</f>
        <v>44311</v>
      </c>
      <c r="D3409" s="1" t="e">
        <f aca="false" t="array" ref="D3409:D3409">IF(ISBLANK(_xlfn.xlookup(D$3,daily_items,_xlfn.xlookup($C3409,daily_dates,big_daily_table))),NA(),_xlfn.xlookup(D$3,daily_items,_xlfn.xlookup($C3409,daily_dates,big_daily_table)))</f>
        <v>#NAME?</v>
      </c>
      <c r="E3409" s="1" t="e">
        <f aca="false" t="array" ref="E3409:E3409">IF(ISBLANK(_xlfn.xlookup(E$3,daily_items,_xlfn.xlookup($C3409,daily_dates,big_daily_table))),NA(),_xlfn.xlookup(E$3,daily_items,_xlfn.xlookup($C3409,daily_dates,big_daily_table)))</f>
        <v>#NAME?</v>
      </c>
    </row>
    <row r="3410" customFormat="false" ht="14.25" hidden="false" customHeight="false" outlineLevel="0" collapsed="false">
      <c r="B3410" s="7" t="n">
        <v>44315</v>
      </c>
      <c r="C3410" s="7" t="n">
        <f aca="false">B3410-WEEKDAY(B3410)+1</f>
        <v>44311</v>
      </c>
      <c r="D3410" s="1" t="e">
        <f aca="false" t="array" ref="D3410:D3410">IF(ISBLANK(_xlfn.xlookup(D$3,daily_items,_xlfn.xlookup($C3410,daily_dates,big_daily_table))),NA(),_xlfn.xlookup(D$3,daily_items,_xlfn.xlookup($C3410,daily_dates,big_daily_table)))</f>
        <v>#NAME?</v>
      </c>
      <c r="E3410" s="1" t="e">
        <f aca="false" t="array" ref="E3410:E3410">IF(ISBLANK(_xlfn.xlookup(E$3,daily_items,_xlfn.xlookup($C3410,daily_dates,big_daily_table))),NA(),_xlfn.xlookup(E$3,daily_items,_xlfn.xlookup($C3410,daily_dates,big_daily_table)))</f>
        <v>#NAME?</v>
      </c>
    </row>
    <row r="3411" customFormat="false" ht="14.25" hidden="false" customHeight="false" outlineLevel="0" collapsed="false">
      <c r="B3411" s="7" t="n">
        <v>44316</v>
      </c>
      <c r="C3411" s="7" t="n">
        <f aca="false">B3411-WEEKDAY(B3411)+1</f>
        <v>44311</v>
      </c>
      <c r="D3411" s="1" t="e">
        <f aca="false" t="array" ref="D3411:D3411">IF(ISBLANK(_xlfn.xlookup(D$3,daily_items,_xlfn.xlookup($C3411,daily_dates,big_daily_table))),NA(),_xlfn.xlookup(D$3,daily_items,_xlfn.xlookup($C3411,daily_dates,big_daily_table)))</f>
        <v>#NAME?</v>
      </c>
      <c r="E3411" s="1" t="e">
        <f aca="false" t="array" ref="E3411:E3411">IF(ISBLANK(_xlfn.xlookup(E$3,daily_items,_xlfn.xlookup($C3411,daily_dates,big_daily_table))),NA(),_xlfn.xlookup(E$3,daily_items,_xlfn.xlookup($C3411,daily_dates,big_daily_table)))</f>
        <v>#NAME?</v>
      </c>
    </row>
    <row r="3412" customFormat="false" ht="14.25" hidden="false" customHeight="false" outlineLevel="0" collapsed="false">
      <c r="B3412" s="7" t="n">
        <v>44317</v>
      </c>
      <c r="C3412" s="7" t="n">
        <f aca="false">B3412-WEEKDAY(B3412)+1</f>
        <v>44311</v>
      </c>
      <c r="D3412" s="1" t="e">
        <f aca="false" t="array" ref="D3412:D3412">IF(ISBLANK(_xlfn.xlookup(D$3,daily_items,_xlfn.xlookup($C3412,daily_dates,big_daily_table))),NA(),_xlfn.xlookup(D$3,daily_items,_xlfn.xlookup($C3412,daily_dates,big_daily_table)))</f>
        <v>#NAME?</v>
      </c>
      <c r="E3412" s="1" t="e">
        <f aca="false" t="array" ref="E3412:E3412">IF(ISBLANK(_xlfn.xlookup(E$3,daily_items,_xlfn.xlookup($C3412,daily_dates,big_daily_table))),NA(),_xlfn.xlookup(E$3,daily_items,_xlfn.xlookup($C3412,daily_dates,big_daily_table)))</f>
        <v>#NAME?</v>
      </c>
    </row>
    <row r="3413" customFormat="false" ht="14.25" hidden="false" customHeight="false" outlineLevel="0" collapsed="false">
      <c r="B3413" s="7" t="n">
        <v>44318</v>
      </c>
      <c r="C3413" s="7" t="n">
        <f aca="false">B3413-WEEKDAY(B3413)+1</f>
        <v>44318</v>
      </c>
      <c r="D3413" s="1" t="e">
        <f aca="false" t="array" ref="D3413:D3413">IF(ISBLANK(_xlfn.xlookup(D$3,daily_items,_xlfn.xlookup($C3413,daily_dates,big_daily_table))),NA(),_xlfn.xlookup(D$3,daily_items,_xlfn.xlookup($C3413,daily_dates,big_daily_table)))</f>
        <v>#NAME?</v>
      </c>
      <c r="E3413" s="1" t="e">
        <f aca="false" t="array" ref="E3413:E3413">IF(ISBLANK(_xlfn.xlookup(E$3,daily_items,_xlfn.xlookup($C3413,daily_dates,big_daily_table))),NA(),_xlfn.xlookup(E$3,daily_items,_xlfn.xlookup($C3413,daily_dates,big_daily_table)))</f>
        <v>#NAME?</v>
      </c>
    </row>
    <row r="3414" customFormat="false" ht="14.25" hidden="false" customHeight="false" outlineLevel="0" collapsed="false">
      <c r="B3414" s="7" t="n">
        <v>44319</v>
      </c>
      <c r="C3414" s="7" t="n">
        <f aca="false">B3414-WEEKDAY(B3414)+1</f>
        <v>44318</v>
      </c>
      <c r="D3414" s="1" t="e">
        <f aca="false" t="array" ref="D3414:D3414">IF(ISBLANK(_xlfn.xlookup(D$3,daily_items,_xlfn.xlookup($C3414,daily_dates,big_daily_table))),NA(),_xlfn.xlookup(D$3,daily_items,_xlfn.xlookup($C3414,daily_dates,big_daily_table)))</f>
        <v>#NAME?</v>
      </c>
      <c r="E3414" s="1" t="e">
        <f aca="false" t="array" ref="E3414:E3414">IF(ISBLANK(_xlfn.xlookup(E$3,daily_items,_xlfn.xlookup($C3414,daily_dates,big_daily_table))),NA(),_xlfn.xlookup(E$3,daily_items,_xlfn.xlookup($C3414,daily_dates,big_daily_table)))</f>
        <v>#NAME?</v>
      </c>
    </row>
    <row r="3415" customFormat="false" ht="14.25" hidden="false" customHeight="false" outlineLevel="0" collapsed="false">
      <c r="B3415" s="7" t="n">
        <v>44320</v>
      </c>
      <c r="C3415" s="7" t="n">
        <f aca="false">B3415-WEEKDAY(B3415)+1</f>
        <v>44318</v>
      </c>
      <c r="D3415" s="1" t="e">
        <f aca="false" t="array" ref="D3415:D3415">IF(ISBLANK(_xlfn.xlookup(D$3,daily_items,_xlfn.xlookup($C3415,daily_dates,big_daily_table))),NA(),_xlfn.xlookup(D$3,daily_items,_xlfn.xlookup($C3415,daily_dates,big_daily_table)))</f>
        <v>#NAME?</v>
      </c>
      <c r="E3415" s="1" t="e">
        <f aca="false" t="array" ref="E3415:E3415">IF(ISBLANK(_xlfn.xlookup(E$3,daily_items,_xlfn.xlookup($C3415,daily_dates,big_daily_table))),NA(),_xlfn.xlookup(E$3,daily_items,_xlfn.xlookup($C3415,daily_dates,big_daily_table)))</f>
        <v>#NAME?</v>
      </c>
    </row>
    <row r="3416" customFormat="false" ht="14.25" hidden="false" customHeight="false" outlineLevel="0" collapsed="false">
      <c r="B3416" s="7" t="n">
        <v>44321</v>
      </c>
      <c r="C3416" s="7" t="n">
        <f aca="false">B3416-WEEKDAY(B3416)+1</f>
        <v>44318</v>
      </c>
      <c r="D3416" s="1" t="e">
        <f aca="false" t="array" ref="D3416:D3416">IF(ISBLANK(_xlfn.xlookup(D$3,daily_items,_xlfn.xlookup($C3416,daily_dates,big_daily_table))),NA(),_xlfn.xlookup(D$3,daily_items,_xlfn.xlookup($C3416,daily_dates,big_daily_table)))</f>
        <v>#NAME?</v>
      </c>
      <c r="E3416" s="1" t="e">
        <f aca="false" t="array" ref="E3416:E3416">IF(ISBLANK(_xlfn.xlookup(E$3,daily_items,_xlfn.xlookup($C3416,daily_dates,big_daily_table))),NA(),_xlfn.xlookup(E$3,daily_items,_xlfn.xlookup($C3416,daily_dates,big_daily_table)))</f>
        <v>#NAME?</v>
      </c>
    </row>
    <row r="3417" customFormat="false" ht="14.25" hidden="false" customHeight="false" outlineLevel="0" collapsed="false">
      <c r="B3417" s="7" t="n">
        <v>44322</v>
      </c>
      <c r="C3417" s="7" t="n">
        <f aca="false">B3417-WEEKDAY(B3417)+1</f>
        <v>44318</v>
      </c>
      <c r="D3417" s="1" t="e">
        <f aca="false" t="array" ref="D3417:D3417">IF(ISBLANK(_xlfn.xlookup(D$3,daily_items,_xlfn.xlookup($C3417,daily_dates,big_daily_table))),NA(),_xlfn.xlookup(D$3,daily_items,_xlfn.xlookup($C3417,daily_dates,big_daily_table)))</f>
        <v>#NAME?</v>
      </c>
      <c r="E3417" s="1" t="e">
        <f aca="false" t="array" ref="E3417:E3417">IF(ISBLANK(_xlfn.xlookup(E$3,daily_items,_xlfn.xlookup($C3417,daily_dates,big_daily_table))),NA(),_xlfn.xlookup(E$3,daily_items,_xlfn.xlookup($C3417,daily_dates,big_daily_table)))</f>
        <v>#NAME?</v>
      </c>
    </row>
    <row r="3418" customFormat="false" ht="14.25" hidden="false" customHeight="false" outlineLevel="0" collapsed="false">
      <c r="B3418" s="7" t="n">
        <v>44323</v>
      </c>
      <c r="C3418" s="7" t="n">
        <f aca="false">B3418-WEEKDAY(B3418)+1</f>
        <v>44318</v>
      </c>
      <c r="D3418" s="1" t="e">
        <f aca="false" t="array" ref="D3418:D3418">IF(ISBLANK(_xlfn.xlookup(D$3,daily_items,_xlfn.xlookup($C3418,daily_dates,big_daily_table))),NA(),_xlfn.xlookup(D$3,daily_items,_xlfn.xlookup($C3418,daily_dates,big_daily_table)))</f>
        <v>#NAME?</v>
      </c>
      <c r="E3418" s="1" t="e">
        <f aca="false" t="array" ref="E3418:E3418">IF(ISBLANK(_xlfn.xlookup(E$3,daily_items,_xlfn.xlookup($C3418,daily_dates,big_daily_table))),NA(),_xlfn.xlookup(E$3,daily_items,_xlfn.xlookup($C3418,daily_dates,big_daily_table)))</f>
        <v>#NAME?</v>
      </c>
    </row>
    <row r="3419" customFormat="false" ht="14.25" hidden="false" customHeight="false" outlineLevel="0" collapsed="false">
      <c r="B3419" s="7" t="n">
        <v>44324</v>
      </c>
      <c r="C3419" s="7" t="n">
        <f aca="false">B3419-WEEKDAY(B3419)+1</f>
        <v>44318</v>
      </c>
      <c r="D3419" s="1" t="e">
        <f aca="false" t="array" ref="D3419:D3419">IF(ISBLANK(_xlfn.xlookup(D$3,daily_items,_xlfn.xlookup($C3419,daily_dates,big_daily_table))),NA(),_xlfn.xlookup(D$3,daily_items,_xlfn.xlookup($C3419,daily_dates,big_daily_table)))</f>
        <v>#NAME?</v>
      </c>
      <c r="E3419" s="1" t="e">
        <f aca="false" t="array" ref="E3419:E3419">IF(ISBLANK(_xlfn.xlookup(E$3,daily_items,_xlfn.xlookup($C3419,daily_dates,big_daily_table))),NA(),_xlfn.xlookup(E$3,daily_items,_xlfn.xlookup($C3419,daily_dates,big_daily_table)))</f>
        <v>#NAME?</v>
      </c>
    </row>
    <row r="3420" customFormat="false" ht="14.25" hidden="false" customHeight="false" outlineLevel="0" collapsed="false">
      <c r="B3420" s="7" t="n">
        <v>44325</v>
      </c>
      <c r="C3420" s="7" t="n">
        <f aca="false">B3420-WEEKDAY(B3420)+1</f>
        <v>44325</v>
      </c>
      <c r="D3420" s="1" t="e">
        <f aca="false" t="array" ref="D3420:D3420">IF(ISBLANK(_xlfn.xlookup(D$3,daily_items,_xlfn.xlookup($C3420,daily_dates,big_daily_table))),NA(),_xlfn.xlookup(D$3,daily_items,_xlfn.xlookup($C3420,daily_dates,big_daily_table)))</f>
        <v>#NAME?</v>
      </c>
      <c r="E3420" s="1" t="e">
        <f aca="false" t="array" ref="E3420:E3420">IF(ISBLANK(_xlfn.xlookup(E$3,daily_items,_xlfn.xlookup($C3420,daily_dates,big_daily_table))),NA(),_xlfn.xlookup(E$3,daily_items,_xlfn.xlookup($C3420,daily_dates,big_daily_table)))</f>
        <v>#NAME?</v>
      </c>
    </row>
    <row r="3421" customFormat="false" ht="14.25" hidden="false" customHeight="false" outlineLevel="0" collapsed="false">
      <c r="B3421" s="7" t="n">
        <v>44326</v>
      </c>
      <c r="C3421" s="7" t="n">
        <f aca="false">B3421-WEEKDAY(B3421)+1</f>
        <v>44325</v>
      </c>
      <c r="D3421" s="1" t="e">
        <f aca="false" t="array" ref="D3421:D3421">IF(ISBLANK(_xlfn.xlookup(D$3,daily_items,_xlfn.xlookup($C3421,daily_dates,big_daily_table))),NA(),_xlfn.xlookup(D$3,daily_items,_xlfn.xlookup($C3421,daily_dates,big_daily_table)))</f>
        <v>#NAME?</v>
      </c>
      <c r="E3421" s="1" t="e">
        <f aca="false" t="array" ref="E3421:E3421">IF(ISBLANK(_xlfn.xlookup(E$3,daily_items,_xlfn.xlookup($C3421,daily_dates,big_daily_table))),NA(),_xlfn.xlookup(E$3,daily_items,_xlfn.xlookup($C3421,daily_dates,big_daily_table)))</f>
        <v>#NAME?</v>
      </c>
    </row>
    <row r="3422" customFormat="false" ht="14.25" hidden="false" customHeight="false" outlineLevel="0" collapsed="false">
      <c r="B3422" s="7" t="n">
        <v>44327</v>
      </c>
      <c r="C3422" s="7" t="n">
        <f aca="false">B3422-WEEKDAY(B3422)+1</f>
        <v>44325</v>
      </c>
      <c r="D3422" s="1" t="e">
        <f aca="false" t="array" ref="D3422:D3422">IF(ISBLANK(_xlfn.xlookup(D$3,daily_items,_xlfn.xlookup($C3422,daily_dates,big_daily_table))),NA(),_xlfn.xlookup(D$3,daily_items,_xlfn.xlookup($C3422,daily_dates,big_daily_table)))</f>
        <v>#NAME?</v>
      </c>
      <c r="E3422" s="1" t="e">
        <f aca="false" t="array" ref="E3422:E3422">IF(ISBLANK(_xlfn.xlookup(E$3,daily_items,_xlfn.xlookup($C3422,daily_dates,big_daily_table))),NA(),_xlfn.xlookup(E$3,daily_items,_xlfn.xlookup($C3422,daily_dates,big_daily_table)))</f>
        <v>#NAME?</v>
      </c>
    </row>
    <row r="3423" customFormat="false" ht="14.25" hidden="false" customHeight="false" outlineLevel="0" collapsed="false">
      <c r="B3423" s="7" t="n">
        <v>44328</v>
      </c>
      <c r="C3423" s="7" t="n">
        <f aca="false">B3423-WEEKDAY(B3423)+1</f>
        <v>44325</v>
      </c>
      <c r="D3423" s="1" t="e">
        <f aca="false" t="array" ref="D3423:D3423">IF(ISBLANK(_xlfn.xlookup(D$3,daily_items,_xlfn.xlookup($C3423,daily_dates,big_daily_table))),NA(),_xlfn.xlookup(D$3,daily_items,_xlfn.xlookup($C3423,daily_dates,big_daily_table)))</f>
        <v>#NAME?</v>
      </c>
      <c r="E3423" s="1" t="e">
        <f aca="false" t="array" ref="E3423:E3423">IF(ISBLANK(_xlfn.xlookup(E$3,daily_items,_xlfn.xlookup($C3423,daily_dates,big_daily_table))),NA(),_xlfn.xlookup(E$3,daily_items,_xlfn.xlookup($C3423,daily_dates,big_daily_table)))</f>
        <v>#NAME?</v>
      </c>
    </row>
    <row r="3424" customFormat="false" ht="14.25" hidden="false" customHeight="false" outlineLevel="0" collapsed="false">
      <c r="B3424" s="7" t="n">
        <v>44329</v>
      </c>
      <c r="C3424" s="7" t="n">
        <f aca="false">B3424-WEEKDAY(B3424)+1</f>
        <v>44325</v>
      </c>
      <c r="D3424" s="1" t="e">
        <f aca="false" t="array" ref="D3424:D3424">IF(ISBLANK(_xlfn.xlookup(D$3,daily_items,_xlfn.xlookup($C3424,daily_dates,big_daily_table))),NA(),_xlfn.xlookup(D$3,daily_items,_xlfn.xlookup($C3424,daily_dates,big_daily_table)))</f>
        <v>#NAME?</v>
      </c>
      <c r="E3424" s="1" t="e">
        <f aca="false" t="array" ref="E3424:E3424">IF(ISBLANK(_xlfn.xlookup(E$3,daily_items,_xlfn.xlookup($C3424,daily_dates,big_daily_table))),NA(),_xlfn.xlookup(E$3,daily_items,_xlfn.xlookup($C3424,daily_dates,big_daily_table)))</f>
        <v>#NAME?</v>
      </c>
    </row>
    <row r="3425" customFormat="false" ht="14.25" hidden="false" customHeight="false" outlineLevel="0" collapsed="false">
      <c r="B3425" s="7" t="n">
        <v>44330</v>
      </c>
      <c r="C3425" s="7" t="n">
        <f aca="false">B3425-WEEKDAY(B3425)+1</f>
        <v>44325</v>
      </c>
      <c r="D3425" s="1" t="e">
        <f aca="false" t="array" ref="D3425:D3425">IF(ISBLANK(_xlfn.xlookup(D$3,daily_items,_xlfn.xlookup($C3425,daily_dates,big_daily_table))),NA(),_xlfn.xlookup(D$3,daily_items,_xlfn.xlookup($C3425,daily_dates,big_daily_table)))</f>
        <v>#NAME?</v>
      </c>
      <c r="E3425" s="1" t="e">
        <f aca="false" t="array" ref="E3425:E3425">IF(ISBLANK(_xlfn.xlookup(E$3,daily_items,_xlfn.xlookup($C3425,daily_dates,big_daily_table))),NA(),_xlfn.xlookup(E$3,daily_items,_xlfn.xlookup($C3425,daily_dates,big_daily_table)))</f>
        <v>#NAME?</v>
      </c>
    </row>
    <row r="3426" customFormat="false" ht="14.25" hidden="false" customHeight="false" outlineLevel="0" collapsed="false">
      <c r="B3426" s="7" t="n">
        <v>44331</v>
      </c>
      <c r="C3426" s="7" t="n">
        <f aca="false">B3426-WEEKDAY(B3426)+1</f>
        <v>44325</v>
      </c>
      <c r="D3426" s="1" t="e">
        <f aca="false" t="array" ref="D3426:D3426">IF(ISBLANK(_xlfn.xlookup(D$3,daily_items,_xlfn.xlookup($C3426,daily_dates,big_daily_table))),NA(),_xlfn.xlookup(D$3,daily_items,_xlfn.xlookup($C3426,daily_dates,big_daily_table)))</f>
        <v>#NAME?</v>
      </c>
      <c r="E3426" s="1" t="e">
        <f aca="false" t="array" ref="E3426:E3426">IF(ISBLANK(_xlfn.xlookup(E$3,daily_items,_xlfn.xlookup($C3426,daily_dates,big_daily_table))),NA(),_xlfn.xlookup(E$3,daily_items,_xlfn.xlookup($C3426,daily_dates,big_daily_table)))</f>
        <v>#NAME?</v>
      </c>
    </row>
    <row r="3427" customFormat="false" ht="14.25" hidden="false" customHeight="false" outlineLevel="0" collapsed="false">
      <c r="B3427" s="7" t="n">
        <v>44332</v>
      </c>
      <c r="C3427" s="7" t="n">
        <f aca="false">B3427-WEEKDAY(B3427)+1</f>
        <v>44332</v>
      </c>
      <c r="D3427" s="1" t="e">
        <f aca="false" t="array" ref="D3427:D3427">IF(ISBLANK(_xlfn.xlookup(D$3,daily_items,_xlfn.xlookup($C3427,daily_dates,big_daily_table))),NA(),_xlfn.xlookup(D$3,daily_items,_xlfn.xlookup($C3427,daily_dates,big_daily_table)))</f>
        <v>#NAME?</v>
      </c>
      <c r="E3427" s="1" t="e">
        <f aca="false" t="array" ref="E3427:E3427">IF(ISBLANK(_xlfn.xlookup(E$3,daily_items,_xlfn.xlookup($C3427,daily_dates,big_daily_table))),NA(),_xlfn.xlookup(E$3,daily_items,_xlfn.xlookup($C3427,daily_dates,big_daily_table)))</f>
        <v>#NAME?</v>
      </c>
    </row>
    <row r="3428" customFormat="false" ht="14.25" hidden="false" customHeight="false" outlineLevel="0" collapsed="false">
      <c r="B3428" s="7" t="n">
        <v>44333</v>
      </c>
      <c r="C3428" s="7" t="n">
        <f aca="false">B3428-WEEKDAY(B3428)+1</f>
        <v>44332</v>
      </c>
      <c r="D3428" s="1" t="e">
        <f aca="false" t="array" ref="D3428:D3428">IF(ISBLANK(_xlfn.xlookup(D$3,daily_items,_xlfn.xlookup($C3428,daily_dates,big_daily_table))),NA(),_xlfn.xlookup(D$3,daily_items,_xlfn.xlookup($C3428,daily_dates,big_daily_table)))</f>
        <v>#NAME?</v>
      </c>
      <c r="E3428" s="1" t="e">
        <f aca="false" t="array" ref="E3428:E3428">IF(ISBLANK(_xlfn.xlookup(E$3,daily_items,_xlfn.xlookup($C3428,daily_dates,big_daily_table))),NA(),_xlfn.xlookup(E$3,daily_items,_xlfn.xlookup($C3428,daily_dates,big_daily_table)))</f>
        <v>#NAME?</v>
      </c>
    </row>
    <row r="3429" customFormat="false" ht="14.25" hidden="false" customHeight="false" outlineLevel="0" collapsed="false">
      <c r="B3429" s="7" t="n">
        <v>44334</v>
      </c>
      <c r="C3429" s="7" t="n">
        <f aca="false">B3429-WEEKDAY(B3429)+1</f>
        <v>44332</v>
      </c>
      <c r="D3429" s="1" t="e">
        <f aca="false" t="array" ref="D3429:D3429">IF(ISBLANK(_xlfn.xlookup(D$3,daily_items,_xlfn.xlookup($C3429,daily_dates,big_daily_table))),NA(),_xlfn.xlookup(D$3,daily_items,_xlfn.xlookup($C3429,daily_dates,big_daily_table)))</f>
        <v>#NAME?</v>
      </c>
      <c r="E3429" s="1" t="e">
        <f aca="false" t="array" ref="E3429:E3429">IF(ISBLANK(_xlfn.xlookup(E$3,daily_items,_xlfn.xlookup($C3429,daily_dates,big_daily_table))),NA(),_xlfn.xlookup(E$3,daily_items,_xlfn.xlookup($C3429,daily_dates,big_daily_table)))</f>
        <v>#NAME?</v>
      </c>
    </row>
    <row r="3430" customFormat="false" ht="14.25" hidden="false" customHeight="false" outlineLevel="0" collapsed="false">
      <c r="B3430" s="7" t="n">
        <v>44335</v>
      </c>
      <c r="C3430" s="7" t="n">
        <f aca="false">B3430-WEEKDAY(B3430)+1</f>
        <v>44332</v>
      </c>
      <c r="D3430" s="1" t="e">
        <f aca="false" t="array" ref="D3430:D3430">IF(ISBLANK(_xlfn.xlookup(D$3,daily_items,_xlfn.xlookup($C3430,daily_dates,big_daily_table))),NA(),_xlfn.xlookup(D$3,daily_items,_xlfn.xlookup($C3430,daily_dates,big_daily_table)))</f>
        <v>#NAME?</v>
      </c>
      <c r="E3430" s="1" t="e">
        <f aca="false" t="array" ref="E3430:E3430">IF(ISBLANK(_xlfn.xlookup(E$3,daily_items,_xlfn.xlookup($C3430,daily_dates,big_daily_table))),NA(),_xlfn.xlookup(E$3,daily_items,_xlfn.xlookup($C3430,daily_dates,big_daily_table)))</f>
        <v>#NAME?</v>
      </c>
    </row>
    <row r="3431" customFormat="false" ht="14.25" hidden="false" customHeight="false" outlineLevel="0" collapsed="false">
      <c r="B3431" s="7" t="n">
        <v>44336</v>
      </c>
      <c r="C3431" s="7" t="n">
        <f aca="false">B3431-WEEKDAY(B3431)+1</f>
        <v>44332</v>
      </c>
      <c r="D3431" s="1" t="e">
        <f aca="false" t="array" ref="D3431:D3431">IF(ISBLANK(_xlfn.xlookup(D$3,daily_items,_xlfn.xlookup($C3431,daily_dates,big_daily_table))),NA(),_xlfn.xlookup(D$3,daily_items,_xlfn.xlookup($C3431,daily_dates,big_daily_table)))</f>
        <v>#NAME?</v>
      </c>
      <c r="E3431" s="1" t="e">
        <f aca="false" t="array" ref="E3431:E3431">IF(ISBLANK(_xlfn.xlookup(E$3,daily_items,_xlfn.xlookup($C3431,daily_dates,big_daily_table))),NA(),_xlfn.xlookup(E$3,daily_items,_xlfn.xlookup($C3431,daily_dates,big_daily_table)))</f>
        <v>#NAME?</v>
      </c>
    </row>
    <row r="3432" customFormat="false" ht="14.25" hidden="false" customHeight="false" outlineLevel="0" collapsed="false">
      <c r="B3432" s="7" t="n">
        <v>44337</v>
      </c>
      <c r="C3432" s="7" t="n">
        <f aca="false">B3432-WEEKDAY(B3432)+1</f>
        <v>44332</v>
      </c>
      <c r="D3432" s="1" t="e">
        <f aca="false" t="array" ref="D3432:D3432">IF(ISBLANK(_xlfn.xlookup(D$3,daily_items,_xlfn.xlookup($C3432,daily_dates,big_daily_table))),NA(),_xlfn.xlookup(D$3,daily_items,_xlfn.xlookup($C3432,daily_dates,big_daily_table)))</f>
        <v>#NAME?</v>
      </c>
      <c r="E3432" s="1" t="e">
        <f aca="false" t="array" ref="E3432:E3432">IF(ISBLANK(_xlfn.xlookup(E$3,daily_items,_xlfn.xlookup($C3432,daily_dates,big_daily_table))),NA(),_xlfn.xlookup(E$3,daily_items,_xlfn.xlookup($C3432,daily_dates,big_daily_table)))</f>
        <v>#NAME?</v>
      </c>
    </row>
    <row r="3433" customFormat="false" ht="14.25" hidden="false" customHeight="false" outlineLevel="0" collapsed="false">
      <c r="B3433" s="7" t="n">
        <v>44338</v>
      </c>
      <c r="C3433" s="7" t="n">
        <f aca="false">B3433-WEEKDAY(B3433)+1</f>
        <v>44332</v>
      </c>
      <c r="D3433" s="1" t="e">
        <f aca="false" t="array" ref="D3433:D3433">IF(ISBLANK(_xlfn.xlookup(D$3,daily_items,_xlfn.xlookup($C3433,daily_dates,big_daily_table))),NA(),_xlfn.xlookup(D$3,daily_items,_xlfn.xlookup($C3433,daily_dates,big_daily_table)))</f>
        <v>#NAME?</v>
      </c>
      <c r="E3433" s="1" t="e">
        <f aca="false" t="array" ref="E3433:E3433">IF(ISBLANK(_xlfn.xlookup(E$3,daily_items,_xlfn.xlookup($C3433,daily_dates,big_daily_table))),NA(),_xlfn.xlookup(E$3,daily_items,_xlfn.xlookup($C3433,daily_dates,big_daily_table)))</f>
        <v>#NAME?</v>
      </c>
    </row>
    <row r="3434" customFormat="false" ht="14.25" hidden="false" customHeight="false" outlineLevel="0" collapsed="false">
      <c r="B3434" s="7" t="n">
        <v>44339</v>
      </c>
      <c r="C3434" s="7" t="n">
        <f aca="false">B3434-WEEKDAY(B3434)+1</f>
        <v>44339</v>
      </c>
      <c r="D3434" s="1" t="e">
        <f aca="false" t="array" ref="D3434:D3434">IF(ISBLANK(_xlfn.xlookup(D$3,daily_items,_xlfn.xlookup($C3434,daily_dates,big_daily_table))),NA(),_xlfn.xlookup(D$3,daily_items,_xlfn.xlookup($C3434,daily_dates,big_daily_table)))</f>
        <v>#NAME?</v>
      </c>
      <c r="E3434" s="1" t="e">
        <f aca="false" t="array" ref="E3434:E3434">IF(ISBLANK(_xlfn.xlookup(E$3,daily_items,_xlfn.xlookup($C3434,daily_dates,big_daily_table))),NA(),_xlfn.xlookup(E$3,daily_items,_xlfn.xlookup($C3434,daily_dates,big_daily_table)))</f>
        <v>#NAME?</v>
      </c>
    </row>
    <row r="3435" customFormat="false" ht="14.25" hidden="false" customHeight="false" outlineLevel="0" collapsed="false">
      <c r="B3435" s="7" t="n">
        <v>44340</v>
      </c>
      <c r="C3435" s="7" t="n">
        <f aca="false">B3435-WEEKDAY(B3435)+1</f>
        <v>44339</v>
      </c>
      <c r="D3435" s="1" t="e">
        <f aca="false" t="array" ref="D3435:D3435">IF(ISBLANK(_xlfn.xlookup(D$3,daily_items,_xlfn.xlookup($C3435,daily_dates,big_daily_table))),NA(),_xlfn.xlookup(D$3,daily_items,_xlfn.xlookup($C3435,daily_dates,big_daily_table)))</f>
        <v>#NAME?</v>
      </c>
      <c r="E3435" s="1" t="e">
        <f aca="false" t="array" ref="E3435:E3435">IF(ISBLANK(_xlfn.xlookup(E$3,daily_items,_xlfn.xlookup($C3435,daily_dates,big_daily_table))),NA(),_xlfn.xlookup(E$3,daily_items,_xlfn.xlookup($C3435,daily_dates,big_daily_table)))</f>
        <v>#NAME?</v>
      </c>
    </row>
    <row r="3436" customFormat="false" ht="14.25" hidden="false" customHeight="false" outlineLevel="0" collapsed="false">
      <c r="B3436" s="7" t="n">
        <v>44341</v>
      </c>
      <c r="C3436" s="7" t="n">
        <f aca="false">B3436-WEEKDAY(B3436)+1</f>
        <v>44339</v>
      </c>
      <c r="D3436" s="1" t="e">
        <f aca="false" t="array" ref="D3436:D3436">IF(ISBLANK(_xlfn.xlookup(D$3,daily_items,_xlfn.xlookup($C3436,daily_dates,big_daily_table))),NA(),_xlfn.xlookup(D$3,daily_items,_xlfn.xlookup($C3436,daily_dates,big_daily_table)))</f>
        <v>#NAME?</v>
      </c>
      <c r="E3436" s="1" t="e">
        <f aca="false" t="array" ref="E3436:E3436">IF(ISBLANK(_xlfn.xlookup(E$3,daily_items,_xlfn.xlookup($C3436,daily_dates,big_daily_table))),NA(),_xlfn.xlookup(E$3,daily_items,_xlfn.xlookup($C3436,daily_dates,big_daily_table)))</f>
        <v>#NAME?</v>
      </c>
    </row>
    <row r="3437" customFormat="false" ht="14.25" hidden="false" customHeight="false" outlineLevel="0" collapsed="false">
      <c r="B3437" s="7" t="n">
        <v>44342</v>
      </c>
      <c r="C3437" s="7" t="n">
        <f aca="false">B3437-WEEKDAY(B3437)+1</f>
        <v>44339</v>
      </c>
      <c r="D3437" s="1" t="e">
        <f aca="false" t="array" ref="D3437:D3437">IF(ISBLANK(_xlfn.xlookup(D$3,daily_items,_xlfn.xlookup($C3437,daily_dates,big_daily_table))),NA(),_xlfn.xlookup(D$3,daily_items,_xlfn.xlookup($C3437,daily_dates,big_daily_table)))</f>
        <v>#NAME?</v>
      </c>
      <c r="E3437" s="1" t="e">
        <f aca="false" t="array" ref="E3437:E3437">IF(ISBLANK(_xlfn.xlookup(E$3,daily_items,_xlfn.xlookup($C3437,daily_dates,big_daily_table))),NA(),_xlfn.xlookup(E$3,daily_items,_xlfn.xlookup($C3437,daily_dates,big_daily_table)))</f>
        <v>#NAME?</v>
      </c>
    </row>
    <row r="3438" customFormat="false" ht="14.25" hidden="false" customHeight="false" outlineLevel="0" collapsed="false">
      <c r="B3438" s="7" t="n">
        <v>44343</v>
      </c>
      <c r="C3438" s="7" t="n">
        <f aca="false">B3438-WEEKDAY(B3438)+1</f>
        <v>44339</v>
      </c>
      <c r="D3438" s="1" t="e">
        <f aca="false" t="array" ref="D3438:D3438">IF(ISBLANK(_xlfn.xlookup(D$3,daily_items,_xlfn.xlookup($C3438,daily_dates,big_daily_table))),NA(),_xlfn.xlookup(D$3,daily_items,_xlfn.xlookup($C3438,daily_dates,big_daily_table)))</f>
        <v>#NAME?</v>
      </c>
      <c r="E3438" s="1" t="e">
        <f aca="false" t="array" ref="E3438:E3438">IF(ISBLANK(_xlfn.xlookup(E$3,daily_items,_xlfn.xlookup($C3438,daily_dates,big_daily_table))),NA(),_xlfn.xlookup(E$3,daily_items,_xlfn.xlookup($C3438,daily_dates,big_daily_table)))</f>
        <v>#NAME?</v>
      </c>
    </row>
    <row r="3439" customFormat="false" ht="14.25" hidden="false" customHeight="false" outlineLevel="0" collapsed="false">
      <c r="B3439" s="7" t="n">
        <v>44344</v>
      </c>
      <c r="C3439" s="7" t="n">
        <f aca="false">B3439-WEEKDAY(B3439)+1</f>
        <v>44339</v>
      </c>
      <c r="D3439" s="1" t="e">
        <f aca="false" t="array" ref="D3439:D3439">IF(ISBLANK(_xlfn.xlookup(D$3,daily_items,_xlfn.xlookup($C3439,daily_dates,big_daily_table))),NA(),_xlfn.xlookup(D$3,daily_items,_xlfn.xlookup($C3439,daily_dates,big_daily_table)))</f>
        <v>#NAME?</v>
      </c>
      <c r="E3439" s="1" t="e">
        <f aca="false" t="array" ref="E3439:E3439">IF(ISBLANK(_xlfn.xlookup(E$3,daily_items,_xlfn.xlookup($C3439,daily_dates,big_daily_table))),NA(),_xlfn.xlookup(E$3,daily_items,_xlfn.xlookup($C3439,daily_dates,big_daily_table)))</f>
        <v>#NAME?</v>
      </c>
    </row>
    <row r="3440" customFormat="false" ht="14.25" hidden="false" customHeight="false" outlineLevel="0" collapsed="false">
      <c r="B3440" s="7" t="n">
        <v>44345</v>
      </c>
      <c r="C3440" s="7" t="n">
        <f aca="false">B3440-WEEKDAY(B3440)+1</f>
        <v>44339</v>
      </c>
      <c r="D3440" s="1" t="e">
        <f aca="false" t="array" ref="D3440:D3440">IF(ISBLANK(_xlfn.xlookup(D$3,daily_items,_xlfn.xlookup($C3440,daily_dates,big_daily_table))),NA(),_xlfn.xlookup(D$3,daily_items,_xlfn.xlookup($C3440,daily_dates,big_daily_table)))</f>
        <v>#NAME?</v>
      </c>
      <c r="E3440" s="1" t="e">
        <f aca="false" t="array" ref="E3440:E3440">IF(ISBLANK(_xlfn.xlookup(E$3,daily_items,_xlfn.xlookup($C3440,daily_dates,big_daily_table))),NA(),_xlfn.xlookup(E$3,daily_items,_xlfn.xlookup($C3440,daily_dates,big_daily_table)))</f>
        <v>#NAME?</v>
      </c>
    </row>
    <row r="3441" customFormat="false" ht="14.25" hidden="false" customHeight="false" outlineLevel="0" collapsed="false">
      <c r="B3441" s="7" t="n">
        <v>44346</v>
      </c>
      <c r="C3441" s="7" t="n">
        <f aca="false">B3441-WEEKDAY(B3441)+1</f>
        <v>44346</v>
      </c>
      <c r="D3441" s="1" t="e">
        <f aca="false" t="array" ref="D3441:D3441">IF(ISBLANK(_xlfn.xlookup(D$3,daily_items,_xlfn.xlookup($C3441,daily_dates,big_daily_table))),NA(),_xlfn.xlookup(D$3,daily_items,_xlfn.xlookup($C3441,daily_dates,big_daily_table)))</f>
        <v>#NAME?</v>
      </c>
      <c r="E3441" s="1" t="e">
        <f aca="false" t="array" ref="E3441:E3441">IF(ISBLANK(_xlfn.xlookup(E$3,daily_items,_xlfn.xlookup($C3441,daily_dates,big_daily_table))),NA(),_xlfn.xlookup(E$3,daily_items,_xlfn.xlookup($C3441,daily_dates,big_daily_table)))</f>
        <v>#NAME?</v>
      </c>
    </row>
    <row r="3442" customFormat="false" ht="14.25" hidden="false" customHeight="false" outlineLevel="0" collapsed="false">
      <c r="B3442" s="7" t="n">
        <v>44347</v>
      </c>
      <c r="C3442" s="7" t="n">
        <f aca="false">B3442-WEEKDAY(B3442)+1</f>
        <v>44346</v>
      </c>
      <c r="D3442" s="1" t="e">
        <f aca="false" t="array" ref="D3442:D3442">IF(ISBLANK(_xlfn.xlookup(D$3,daily_items,_xlfn.xlookup($C3442,daily_dates,big_daily_table))),NA(),_xlfn.xlookup(D$3,daily_items,_xlfn.xlookup($C3442,daily_dates,big_daily_table)))</f>
        <v>#NAME?</v>
      </c>
      <c r="E3442" s="1" t="e">
        <f aca="false" t="array" ref="E3442:E3442">IF(ISBLANK(_xlfn.xlookup(E$3,daily_items,_xlfn.xlookup($C3442,daily_dates,big_daily_table))),NA(),_xlfn.xlookup(E$3,daily_items,_xlfn.xlookup($C3442,daily_dates,big_daily_table)))</f>
        <v>#NAME?</v>
      </c>
    </row>
    <row r="3443" customFormat="false" ht="14.25" hidden="false" customHeight="false" outlineLevel="0" collapsed="false">
      <c r="B3443" s="7" t="n">
        <v>44348</v>
      </c>
      <c r="C3443" s="7" t="n">
        <f aca="false">B3443-WEEKDAY(B3443)+1</f>
        <v>44346</v>
      </c>
      <c r="D3443" s="1" t="e">
        <f aca="false" t="array" ref="D3443:D3443">IF(ISBLANK(_xlfn.xlookup(D$3,daily_items,_xlfn.xlookup($C3443,daily_dates,big_daily_table))),NA(),_xlfn.xlookup(D$3,daily_items,_xlfn.xlookup($C3443,daily_dates,big_daily_table)))</f>
        <v>#NAME?</v>
      </c>
      <c r="E3443" s="1" t="e">
        <f aca="false" t="array" ref="E3443:E3443">IF(ISBLANK(_xlfn.xlookup(E$3,daily_items,_xlfn.xlookup($C3443,daily_dates,big_daily_table))),NA(),_xlfn.xlookup(E$3,daily_items,_xlfn.xlookup($C3443,daily_dates,big_daily_table)))</f>
        <v>#NAME?</v>
      </c>
    </row>
    <row r="3444" customFormat="false" ht="14.25" hidden="false" customHeight="false" outlineLevel="0" collapsed="false">
      <c r="B3444" s="7" t="n">
        <v>44349</v>
      </c>
      <c r="C3444" s="7" t="n">
        <f aca="false">B3444-WEEKDAY(B3444)+1</f>
        <v>44346</v>
      </c>
      <c r="D3444" s="1" t="e">
        <f aca="false" t="array" ref="D3444:D3444">IF(ISBLANK(_xlfn.xlookup(D$3,daily_items,_xlfn.xlookup($C3444,daily_dates,big_daily_table))),NA(),_xlfn.xlookup(D$3,daily_items,_xlfn.xlookup($C3444,daily_dates,big_daily_table)))</f>
        <v>#NAME?</v>
      </c>
      <c r="E3444" s="1" t="e">
        <f aca="false" t="array" ref="E3444:E3444">IF(ISBLANK(_xlfn.xlookup(E$3,daily_items,_xlfn.xlookup($C3444,daily_dates,big_daily_table))),NA(),_xlfn.xlookup(E$3,daily_items,_xlfn.xlookup($C3444,daily_dates,big_daily_table)))</f>
        <v>#NAME?</v>
      </c>
    </row>
    <row r="3445" customFormat="false" ht="14.25" hidden="false" customHeight="false" outlineLevel="0" collapsed="false">
      <c r="B3445" s="7" t="n">
        <v>44350</v>
      </c>
      <c r="C3445" s="7" t="n">
        <f aca="false">B3445-WEEKDAY(B3445)+1</f>
        <v>44346</v>
      </c>
      <c r="D3445" s="1" t="e">
        <f aca="false" t="array" ref="D3445:D3445">IF(ISBLANK(_xlfn.xlookup(D$3,daily_items,_xlfn.xlookup($C3445,daily_dates,big_daily_table))),NA(),_xlfn.xlookup(D$3,daily_items,_xlfn.xlookup($C3445,daily_dates,big_daily_table)))</f>
        <v>#NAME?</v>
      </c>
      <c r="E3445" s="1" t="e">
        <f aca="false" t="array" ref="E3445:E3445">IF(ISBLANK(_xlfn.xlookup(E$3,daily_items,_xlfn.xlookup($C3445,daily_dates,big_daily_table))),NA(),_xlfn.xlookup(E$3,daily_items,_xlfn.xlookup($C3445,daily_dates,big_daily_table)))</f>
        <v>#NAME?</v>
      </c>
    </row>
    <row r="3446" customFormat="false" ht="14.25" hidden="false" customHeight="false" outlineLevel="0" collapsed="false">
      <c r="B3446" s="7" t="n">
        <v>44351</v>
      </c>
      <c r="C3446" s="7" t="n">
        <f aca="false">B3446-WEEKDAY(B3446)+1</f>
        <v>44346</v>
      </c>
      <c r="D3446" s="1" t="e">
        <f aca="false" t="array" ref="D3446:D3446">IF(ISBLANK(_xlfn.xlookup(D$3,daily_items,_xlfn.xlookup($C3446,daily_dates,big_daily_table))),NA(),_xlfn.xlookup(D$3,daily_items,_xlfn.xlookup($C3446,daily_dates,big_daily_table)))</f>
        <v>#NAME?</v>
      </c>
      <c r="E3446" s="1" t="e">
        <f aca="false" t="array" ref="E3446:E3446">IF(ISBLANK(_xlfn.xlookup(E$3,daily_items,_xlfn.xlookup($C3446,daily_dates,big_daily_table))),NA(),_xlfn.xlookup(E$3,daily_items,_xlfn.xlookup($C3446,daily_dates,big_daily_table)))</f>
        <v>#NAME?</v>
      </c>
    </row>
    <row r="3447" customFormat="false" ht="14.25" hidden="false" customHeight="false" outlineLevel="0" collapsed="false">
      <c r="B3447" s="7" t="n">
        <v>44352</v>
      </c>
      <c r="C3447" s="7" t="n">
        <f aca="false">B3447-WEEKDAY(B3447)+1</f>
        <v>44346</v>
      </c>
      <c r="D3447" s="1" t="e">
        <f aca="false" t="array" ref="D3447:D3447">IF(ISBLANK(_xlfn.xlookup(D$3,daily_items,_xlfn.xlookup($C3447,daily_dates,big_daily_table))),NA(),_xlfn.xlookup(D$3,daily_items,_xlfn.xlookup($C3447,daily_dates,big_daily_table)))</f>
        <v>#NAME?</v>
      </c>
      <c r="E3447" s="1" t="e">
        <f aca="false" t="array" ref="E3447:E3447">IF(ISBLANK(_xlfn.xlookup(E$3,daily_items,_xlfn.xlookup($C3447,daily_dates,big_daily_table))),NA(),_xlfn.xlookup(E$3,daily_items,_xlfn.xlookup($C3447,daily_dates,big_daily_table)))</f>
        <v>#NAME?</v>
      </c>
    </row>
    <row r="3448" customFormat="false" ht="14.25" hidden="false" customHeight="false" outlineLevel="0" collapsed="false">
      <c r="B3448" s="7" t="n">
        <v>44353</v>
      </c>
      <c r="C3448" s="7" t="n">
        <f aca="false">B3448-WEEKDAY(B3448)+1</f>
        <v>44353</v>
      </c>
      <c r="D3448" s="1" t="e">
        <f aca="false" t="array" ref="D3448:D3448">IF(ISBLANK(_xlfn.xlookup(D$3,daily_items,_xlfn.xlookup($C3448,daily_dates,big_daily_table))),NA(),_xlfn.xlookup(D$3,daily_items,_xlfn.xlookup($C3448,daily_dates,big_daily_table)))</f>
        <v>#NAME?</v>
      </c>
      <c r="E3448" s="1" t="e">
        <f aca="false" t="array" ref="E3448:E3448">IF(ISBLANK(_xlfn.xlookup(E$3,daily_items,_xlfn.xlookup($C3448,daily_dates,big_daily_table))),NA(),_xlfn.xlookup(E$3,daily_items,_xlfn.xlookup($C3448,daily_dates,big_daily_table)))</f>
        <v>#NAME?</v>
      </c>
    </row>
    <row r="3449" customFormat="false" ht="14.25" hidden="false" customHeight="false" outlineLevel="0" collapsed="false">
      <c r="B3449" s="7" t="n">
        <v>44354</v>
      </c>
      <c r="C3449" s="7" t="n">
        <f aca="false">B3449-WEEKDAY(B3449)+1</f>
        <v>44353</v>
      </c>
      <c r="D3449" s="1" t="e">
        <f aca="false" t="array" ref="D3449:D3449">IF(ISBLANK(_xlfn.xlookup(D$3,daily_items,_xlfn.xlookup($C3449,daily_dates,big_daily_table))),NA(),_xlfn.xlookup(D$3,daily_items,_xlfn.xlookup($C3449,daily_dates,big_daily_table)))</f>
        <v>#NAME?</v>
      </c>
      <c r="E3449" s="1" t="e">
        <f aca="false" t="array" ref="E3449:E3449">IF(ISBLANK(_xlfn.xlookup(E$3,daily_items,_xlfn.xlookup($C3449,daily_dates,big_daily_table))),NA(),_xlfn.xlookup(E$3,daily_items,_xlfn.xlookup($C3449,daily_dates,big_daily_table)))</f>
        <v>#NAME?</v>
      </c>
    </row>
    <row r="3450" customFormat="false" ht="14.25" hidden="false" customHeight="false" outlineLevel="0" collapsed="false">
      <c r="B3450" s="7" t="n">
        <v>44355</v>
      </c>
      <c r="C3450" s="7" t="n">
        <f aca="false">B3450-WEEKDAY(B3450)+1</f>
        <v>44353</v>
      </c>
      <c r="D3450" s="1" t="e">
        <f aca="false" t="array" ref="D3450:D3450">IF(ISBLANK(_xlfn.xlookup(D$3,daily_items,_xlfn.xlookup($C3450,daily_dates,big_daily_table))),NA(),_xlfn.xlookup(D$3,daily_items,_xlfn.xlookup($C3450,daily_dates,big_daily_table)))</f>
        <v>#NAME?</v>
      </c>
      <c r="E3450" s="1" t="e">
        <f aca="false" t="array" ref="E3450:E3450">IF(ISBLANK(_xlfn.xlookup(E$3,daily_items,_xlfn.xlookup($C3450,daily_dates,big_daily_table))),NA(),_xlfn.xlookup(E$3,daily_items,_xlfn.xlookup($C3450,daily_dates,big_daily_table)))</f>
        <v>#NAME?</v>
      </c>
    </row>
    <row r="3451" customFormat="false" ht="14.25" hidden="false" customHeight="false" outlineLevel="0" collapsed="false">
      <c r="B3451" s="7" t="n">
        <v>44356</v>
      </c>
      <c r="C3451" s="7" t="n">
        <f aca="false">B3451-WEEKDAY(B3451)+1</f>
        <v>44353</v>
      </c>
      <c r="D3451" s="1" t="e">
        <f aca="false" t="array" ref="D3451:D3451">IF(ISBLANK(_xlfn.xlookup(D$3,daily_items,_xlfn.xlookup($C3451,daily_dates,big_daily_table))),NA(),_xlfn.xlookup(D$3,daily_items,_xlfn.xlookup($C3451,daily_dates,big_daily_table)))</f>
        <v>#NAME?</v>
      </c>
      <c r="E3451" s="1" t="e">
        <f aca="false" t="array" ref="E3451:E3451">IF(ISBLANK(_xlfn.xlookup(E$3,daily_items,_xlfn.xlookup($C3451,daily_dates,big_daily_table))),NA(),_xlfn.xlookup(E$3,daily_items,_xlfn.xlookup($C3451,daily_dates,big_daily_table)))</f>
        <v>#NAME?</v>
      </c>
    </row>
    <row r="3452" customFormat="false" ht="14.25" hidden="false" customHeight="false" outlineLevel="0" collapsed="false">
      <c r="B3452" s="7" t="n">
        <v>44357</v>
      </c>
      <c r="C3452" s="7" t="n">
        <f aca="false">B3452-WEEKDAY(B3452)+1</f>
        <v>44353</v>
      </c>
      <c r="D3452" s="1" t="e">
        <f aca="false" t="array" ref="D3452:D3452">IF(ISBLANK(_xlfn.xlookup(D$3,daily_items,_xlfn.xlookup($C3452,daily_dates,big_daily_table))),NA(),_xlfn.xlookup(D$3,daily_items,_xlfn.xlookup($C3452,daily_dates,big_daily_table)))</f>
        <v>#NAME?</v>
      </c>
      <c r="E3452" s="1" t="e">
        <f aca="false" t="array" ref="E3452:E3452">IF(ISBLANK(_xlfn.xlookup(E$3,daily_items,_xlfn.xlookup($C3452,daily_dates,big_daily_table))),NA(),_xlfn.xlookup(E$3,daily_items,_xlfn.xlookup($C3452,daily_dates,big_daily_table)))</f>
        <v>#NAME?</v>
      </c>
    </row>
    <row r="3453" customFormat="false" ht="14.25" hidden="false" customHeight="false" outlineLevel="0" collapsed="false">
      <c r="B3453" s="7" t="n">
        <v>44358</v>
      </c>
      <c r="C3453" s="7" t="n">
        <f aca="false">B3453-WEEKDAY(B3453)+1</f>
        <v>44353</v>
      </c>
      <c r="D3453" s="1" t="e">
        <f aca="false" t="array" ref="D3453:D3453">IF(ISBLANK(_xlfn.xlookup(D$3,daily_items,_xlfn.xlookup($C3453,daily_dates,big_daily_table))),NA(),_xlfn.xlookup(D$3,daily_items,_xlfn.xlookup($C3453,daily_dates,big_daily_table)))</f>
        <v>#NAME?</v>
      </c>
      <c r="E3453" s="1" t="e">
        <f aca="false" t="array" ref="E3453:E3453">IF(ISBLANK(_xlfn.xlookup(E$3,daily_items,_xlfn.xlookup($C3453,daily_dates,big_daily_table))),NA(),_xlfn.xlookup(E$3,daily_items,_xlfn.xlookup($C3453,daily_dates,big_daily_table)))</f>
        <v>#NAME?</v>
      </c>
    </row>
    <row r="3454" customFormat="false" ht="14.25" hidden="false" customHeight="false" outlineLevel="0" collapsed="false">
      <c r="B3454" s="7" t="n">
        <v>44359</v>
      </c>
      <c r="C3454" s="7" t="n">
        <f aca="false">B3454-WEEKDAY(B3454)+1</f>
        <v>44353</v>
      </c>
      <c r="D3454" s="1" t="e">
        <f aca="false" t="array" ref="D3454:D3454">IF(ISBLANK(_xlfn.xlookup(D$3,daily_items,_xlfn.xlookup($C3454,daily_dates,big_daily_table))),NA(),_xlfn.xlookup(D$3,daily_items,_xlfn.xlookup($C3454,daily_dates,big_daily_table)))</f>
        <v>#NAME?</v>
      </c>
      <c r="E3454" s="1" t="e">
        <f aca="false" t="array" ref="E3454:E3454">IF(ISBLANK(_xlfn.xlookup(E$3,daily_items,_xlfn.xlookup($C3454,daily_dates,big_daily_table))),NA(),_xlfn.xlookup(E$3,daily_items,_xlfn.xlookup($C3454,daily_dates,big_daily_table)))</f>
        <v>#NAME?</v>
      </c>
    </row>
    <row r="3455" customFormat="false" ht="14.25" hidden="false" customHeight="false" outlineLevel="0" collapsed="false">
      <c r="B3455" s="7" t="n">
        <v>44360</v>
      </c>
      <c r="C3455" s="7" t="n">
        <f aca="false">B3455-WEEKDAY(B3455)+1</f>
        <v>44360</v>
      </c>
      <c r="D3455" s="1" t="e">
        <f aca="false" t="array" ref="D3455:D3455">IF(ISBLANK(_xlfn.xlookup(D$3,daily_items,_xlfn.xlookup($C3455,daily_dates,big_daily_table))),NA(),_xlfn.xlookup(D$3,daily_items,_xlfn.xlookup($C3455,daily_dates,big_daily_table)))</f>
        <v>#NAME?</v>
      </c>
      <c r="E3455" s="1" t="e">
        <f aca="false" t="array" ref="E3455:E3455">IF(ISBLANK(_xlfn.xlookup(E$3,daily_items,_xlfn.xlookup($C3455,daily_dates,big_daily_table))),NA(),_xlfn.xlookup(E$3,daily_items,_xlfn.xlookup($C3455,daily_dates,big_daily_table)))</f>
        <v>#NAME?</v>
      </c>
    </row>
    <row r="3456" customFormat="false" ht="14.25" hidden="false" customHeight="false" outlineLevel="0" collapsed="false">
      <c r="B3456" s="7" t="n">
        <v>44361</v>
      </c>
      <c r="C3456" s="7" t="n">
        <f aca="false">B3456-WEEKDAY(B3456)+1</f>
        <v>44360</v>
      </c>
      <c r="D3456" s="1" t="e">
        <f aca="false" t="array" ref="D3456:D3456">IF(ISBLANK(_xlfn.xlookup(D$3,daily_items,_xlfn.xlookup($C3456,daily_dates,big_daily_table))),NA(),_xlfn.xlookup(D$3,daily_items,_xlfn.xlookup($C3456,daily_dates,big_daily_table)))</f>
        <v>#NAME?</v>
      </c>
      <c r="E3456" s="1" t="e">
        <f aca="false" t="array" ref="E3456:E3456">IF(ISBLANK(_xlfn.xlookup(E$3,daily_items,_xlfn.xlookup($C3456,daily_dates,big_daily_table))),NA(),_xlfn.xlookup(E$3,daily_items,_xlfn.xlookup($C3456,daily_dates,big_daily_table)))</f>
        <v>#NAME?</v>
      </c>
    </row>
    <row r="3457" customFormat="false" ht="14.25" hidden="false" customHeight="false" outlineLevel="0" collapsed="false">
      <c r="B3457" s="7" t="n">
        <v>44362</v>
      </c>
      <c r="C3457" s="7" t="n">
        <f aca="false">B3457-WEEKDAY(B3457)+1</f>
        <v>44360</v>
      </c>
      <c r="D3457" s="1" t="e">
        <f aca="false" t="array" ref="D3457:D3457">IF(ISBLANK(_xlfn.xlookup(D$3,daily_items,_xlfn.xlookup($C3457,daily_dates,big_daily_table))),NA(),_xlfn.xlookup(D$3,daily_items,_xlfn.xlookup($C3457,daily_dates,big_daily_table)))</f>
        <v>#NAME?</v>
      </c>
      <c r="E3457" s="1" t="e">
        <f aca="false" t="array" ref="E3457:E3457">IF(ISBLANK(_xlfn.xlookup(E$3,daily_items,_xlfn.xlookup($C3457,daily_dates,big_daily_table))),NA(),_xlfn.xlookup(E$3,daily_items,_xlfn.xlookup($C3457,daily_dates,big_daily_table)))</f>
        <v>#NAME?</v>
      </c>
    </row>
    <row r="3458" customFormat="false" ht="14.25" hidden="false" customHeight="false" outlineLevel="0" collapsed="false">
      <c r="B3458" s="7" t="n">
        <v>44363</v>
      </c>
      <c r="C3458" s="7" t="n">
        <f aca="false">B3458-WEEKDAY(B3458)+1</f>
        <v>44360</v>
      </c>
      <c r="D3458" s="1" t="e">
        <f aca="false" t="array" ref="D3458:D3458">IF(ISBLANK(_xlfn.xlookup(D$3,daily_items,_xlfn.xlookup($C3458,daily_dates,big_daily_table))),NA(),_xlfn.xlookup(D$3,daily_items,_xlfn.xlookup($C3458,daily_dates,big_daily_table)))</f>
        <v>#NAME?</v>
      </c>
      <c r="E3458" s="1" t="e">
        <f aca="false" t="array" ref="E3458:E3458">IF(ISBLANK(_xlfn.xlookup(E$3,daily_items,_xlfn.xlookup($C3458,daily_dates,big_daily_table))),NA(),_xlfn.xlookup(E$3,daily_items,_xlfn.xlookup($C3458,daily_dates,big_daily_table)))</f>
        <v>#NAME?</v>
      </c>
    </row>
    <row r="3459" customFormat="false" ht="14.25" hidden="false" customHeight="false" outlineLevel="0" collapsed="false">
      <c r="B3459" s="7" t="n">
        <v>44364</v>
      </c>
      <c r="C3459" s="7" t="n">
        <f aca="false">B3459-WEEKDAY(B3459)+1</f>
        <v>44360</v>
      </c>
      <c r="D3459" s="1" t="e">
        <f aca="false" t="array" ref="D3459:D3459">IF(ISBLANK(_xlfn.xlookup(D$3,daily_items,_xlfn.xlookup($C3459,daily_dates,big_daily_table))),NA(),_xlfn.xlookup(D$3,daily_items,_xlfn.xlookup($C3459,daily_dates,big_daily_table)))</f>
        <v>#NAME?</v>
      </c>
      <c r="E3459" s="1" t="e">
        <f aca="false" t="array" ref="E3459:E3459">IF(ISBLANK(_xlfn.xlookup(E$3,daily_items,_xlfn.xlookup($C3459,daily_dates,big_daily_table))),NA(),_xlfn.xlookup(E$3,daily_items,_xlfn.xlookup($C3459,daily_dates,big_daily_table)))</f>
        <v>#NAME?</v>
      </c>
    </row>
    <row r="3460" customFormat="false" ht="14.25" hidden="false" customHeight="false" outlineLevel="0" collapsed="false">
      <c r="B3460" s="7" t="n">
        <v>44365</v>
      </c>
      <c r="C3460" s="7" t="n">
        <f aca="false">B3460-WEEKDAY(B3460)+1</f>
        <v>44360</v>
      </c>
      <c r="D3460" s="1" t="e">
        <f aca="false" t="array" ref="D3460:D3460">IF(ISBLANK(_xlfn.xlookup(D$3,daily_items,_xlfn.xlookup($C3460,daily_dates,big_daily_table))),NA(),_xlfn.xlookup(D$3,daily_items,_xlfn.xlookup($C3460,daily_dates,big_daily_table)))</f>
        <v>#NAME?</v>
      </c>
      <c r="E3460" s="1" t="e">
        <f aca="false" t="array" ref="E3460:E3460">IF(ISBLANK(_xlfn.xlookup(E$3,daily_items,_xlfn.xlookup($C3460,daily_dates,big_daily_table))),NA(),_xlfn.xlookup(E$3,daily_items,_xlfn.xlookup($C3460,daily_dates,big_daily_table)))</f>
        <v>#NAME?</v>
      </c>
    </row>
    <row r="3461" customFormat="false" ht="14.25" hidden="false" customHeight="false" outlineLevel="0" collapsed="false">
      <c r="B3461" s="7" t="n">
        <v>44366</v>
      </c>
      <c r="C3461" s="7" t="n">
        <f aca="false">B3461-WEEKDAY(B3461)+1</f>
        <v>44360</v>
      </c>
      <c r="D3461" s="1" t="e">
        <f aca="false" t="array" ref="D3461:D3461">IF(ISBLANK(_xlfn.xlookup(D$3,daily_items,_xlfn.xlookup($C3461,daily_dates,big_daily_table))),NA(),_xlfn.xlookup(D$3,daily_items,_xlfn.xlookup($C3461,daily_dates,big_daily_table)))</f>
        <v>#NAME?</v>
      </c>
      <c r="E3461" s="1" t="e">
        <f aca="false" t="array" ref="E3461:E3461">IF(ISBLANK(_xlfn.xlookup(E$3,daily_items,_xlfn.xlookup($C3461,daily_dates,big_daily_table))),NA(),_xlfn.xlookup(E$3,daily_items,_xlfn.xlookup($C3461,daily_dates,big_daily_table)))</f>
        <v>#NAME?</v>
      </c>
    </row>
    <row r="3462" customFormat="false" ht="14.25" hidden="false" customHeight="false" outlineLevel="0" collapsed="false">
      <c r="B3462" s="7" t="n">
        <v>44367</v>
      </c>
      <c r="C3462" s="7" t="n">
        <f aca="false">B3462-WEEKDAY(B3462)+1</f>
        <v>44367</v>
      </c>
      <c r="D3462" s="1" t="e">
        <f aca="false" t="array" ref="D3462:D3462">IF(ISBLANK(_xlfn.xlookup(D$3,daily_items,_xlfn.xlookup($C3462,daily_dates,big_daily_table))),NA(),_xlfn.xlookup(D$3,daily_items,_xlfn.xlookup($C3462,daily_dates,big_daily_table)))</f>
        <v>#NAME?</v>
      </c>
      <c r="E3462" s="1" t="e">
        <f aca="false" t="array" ref="E3462:E3462">IF(ISBLANK(_xlfn.xlookup(E$3,daily_items,_xlfn.xlookup($C3462,daily_dates,big_daily_table))),NA(),_xlfn.xlookup(E$3,daily_items,_xlfn.xlookup($C3462,daily_dates,big_daily_table)))</f>
        <v>#NAME?</v>
      </c>
    </row>
    <row r="3463" customFormat="false" ht="14.25" hidden="false" customHeight="false" outlineLevel="0" collapsed="false">
      <c r="B3463" s="7" t="n">
        <v>44368</v>
      </c>
      <c r="C3463" s="7" t="n">
        <f aca="false">B3463-WEEKDAY(B3463)+1</f>
        <v>44367</v>
      </c>
      <c r="D3463" s="1" t="e">
        <f aca="false" t="array" ref="D3463:D3463">IF(ISBLANK(_xlfn.xlookup(D$3,daily_items,_xlfn.xlookup($C3463,daily_dates,big_daily_table))),NA(),_xlfn.xlookup(D$3,daily_items,_xlfn.xlookup($C3463,daily_dates,big_daily_table)))</f>
        <v>#NAME?</v>
      </c>
      <c r="E3463" s="1" t="e">
        <f aca="false" t="array" ref="E3463:E3463">IF(ISBLANK(_xlfn.xlookup(E$3,daily_items,_xlfn.xlookup($C3463,daily_dates,big_daily_table))),NA(),_xlfn.xlookup(E$3,daily_items,_xlfn.xlookup($C3463,daily_dates,big_daily_table)))</f>
        <v>#NAME?</v>
      </c>
    </row>
    <row r="3464" customFormat="false" ht="14.25" hidden="false" customHeight="false" outlineLevel="0" collapsed="false">
      <c r="B3464" s="7" t="n">
        <v>44369</v>
      </c>
      <c r="C3464" s="7" t="n">
        <f aca="false">B3464-WEEKDAY(B3464)+1</f>
        <v>44367</v>
      </c>
      <c r="D3464" s="1" t="e">
        <f aca="false" t="array" ref="D3464:D3464">IF(ISBLANK(_xlfn.xlookup(D$3,daily_items,_xlfn.xlookup($C3464,daily_dates,big_daily_table))),NA(),_xlfn.xlookup(D$3,daily_items,_xlfn.xlookup($C3464,daily_dates,big_daily_table)))</f>
        <v>#NAME?</v>
      </c>
      <c r="E3464" s="1" t="e">
        <f aca="false" t="array" ref="E3464:E3464">IF(ISBLANK(_xlfn.xlookup(E$3,daily_items,_xlfn.xlookup($C3464,daily_dates,big_daily_table))),NA(),_xlfn.xlookup(E$3,daily_items,_xlfn.xlookup($C3464,daily_dates,big_daily_table)))</f>
        <v>#NAME?</v>
      </c>
    </row>
    <row r="3465" customFormat="false" ht="14.25" hidden="false" customHeight="false" outlineLevel="0" collapsed="false">
      <c r="B3465" s="7" t="n">
        <v>44370</v>
      </c>
      <c r="C3465" s="7" t="n">
        <f aca="false">B3465-WEEKDAY(B3465)+1</f>
        <v>44367</v>
      </c>
      <c r="D3465" s="1" t="e">
        <f aca="false" t="array" ref="D3465:D3465">IF(ISBLANK(_xlfn.xlookup(D$3,daily_items,_xlfn.xlookup($C3465,daily_dates,big_daily_table))),NA(),_xlfn.xlookup(D$3,daily_items,_xlfn.xlookup($C3465,daily_dates,big_daily_table)))</f>
        <v>#NAME?</v>
      </c>
      <c r="E3465" s="1" t="e">
        <f aca="false" t="array" ref="E3465:E3465">IF(ISBLANK(_xlfn.xlookup(E$3,daily_items,_xlfn.xlookup($C3465,daily_dates,big_daily_table))),NA(),_xlfn.xlookup(E$3,daily_items,_xlfn.xlookup($C3465,daily_dates,big_daily_table)))</f>
        <v>#NAME?</v>
      </c>
    </row>
    <row r="3466" customFormat="false" ht="14.25" hidden="false" customHeight="false" outlineLevel="0" collapsed="false">
      <c r="B3466" s="7" t="n">
        <v>44371</v>
      </c>
      <c r="C3466" s="7" t="n">
        <f aca="false">B3466-WEEKDAY(B3466)+1</f>
        <v>44367</v>
      </c>
      <c r="D3466" s="1" t="e">
        <f aca="false" t="array" ref="D3466:D3466">IF(ISBLANK(_xlfn.xlookup(D$3,daily_items,_xlfn.xlookup($C3466,daily_dates,big_daily_table))),NA(),_xlfn.xlookup(D$3,daily_items,_xlfn.xlookup($C3466,daily_dates,big_daily_table)))</f>
        <v>#NAME?</v>
      </c>
      <c r="E3466" s="1" t="e">
        <f aca="false" t="array" ref="E3466:E3466">IF(ISBLANK(_xlfn.xlookup(E$3,daily_items,_xlfn.xlookup($C3466,daily_dates,big_daily_table))),NA(),_xlfn.xlookup(E$3,daily_items,_xlfn.xlookup($C3466,daily_dates,big_daily_table)))</f>
        <v>#NAME?</v>
      </c>
    </row>
    <row r="3467" customFormat="false" ht="14.25" hidden="false" customHeight="false" outlineLevel="0" collapsed="false">
      <c r="B3467" s="7" t="n">
        <v>44372</v>
      </c>
      <c r="C3467" s="7" t="n">
        <f aca="false">B3467-WEEKDAY(B3467)+1</f>
        <v>44367</v>
      </c>
      <c r="D3467" s="1" t="e">
        <f aca="false" t="array" ref="D3467:D3467">IF(ISBLANK(_xlfn.xlookup(D$3,daily_items,_xlfn.xlookup($C3467,daily_dates,big_daily_table))),NA(),_xlfn.xlookup(D$3,daily_items,_xlfn.xlookup($C3467,daily_dates,big_daily_table)))</f>
        <v>#NAME?</v>
      </c>
      <c r="E3467" s="1" t="e">
        <f aca="false" t="array" ref="E3467:E3467">IF(ISBLANK(_xlfn.xlookup(E$3,daily_items,_xlfn.xlookup($C3467,daily_dates,big_daily_table))),NA(),_xlfn.xlookup(E$3,daily_items,_xlfn.xlookup($C3467,daily_dates,big_daily_table)))</f>
        <v>#NAME?</v>
      </c>
    </row>
    <row r="3468" customFormat="false" ht="14.25" hidden="false" customHeight="false" outlineLevel="0" collapsed="false">
      <c r="B3468" s="7" t="n">
        <v>44373</v>
      </c>
      <c r="C3468" s="7" t="n">
        <f aca="false">B3468-WEEKDAY(B3468)+1</f>
        <v>44367</v>
      </c>
      <c r="D3468" s="1" t="e">
        <f aca="false" t="array" ref="D3468:D3468">IF(ISBLANK(_xlfn.xlookup(D$3,daily_items,_xlfn.xlookup($C3468,daily_dates,big_daily_table))),NA(),_xlfn.xlookup(D$3,daily_items,_xlfn.xlookup($C3468,daily_dates,big_daily_table)))</f>
        <v>#NAME?</v>
      </c>
      <c r="E3468" s="1" t="e">
        <f aca="false" t="array" ref="E3468:E3468">IF(ISBLANK(_xlfn.xlookup(E$3,daily_items,_xlfn.xlookup($C3468,daily_dates,big_daily_table))),NA(),_xlfn.xlookup(E$3,daily_items,_xlfn.xlookup($C3468,daily_dates,big_daily_table)))</f>
        <v>#NAME?</v>
      </c>
    </row>
    <row r="3469" customFormat="false" ht="14.25" hidden="false" customHeight="false" outlineLevel="0" collapsed="false">
      <c r="B3469" s="7" t="n">
        <v>44374</v>
      </c>
      <c r="C3469" s="7" t="n">
        <f aca="false">B3469-WEEKDAY(B3469)+1</f>
        <v>44374</v>
      </c>
      <c r="D3469" s="1" t="e">
        <f aca="false" t="array" ref="D3469:D3469">IF(ISBLANK(_xlfn.xlookup(D$3,daily_items,_xlfn.xlookup($C3469,daily_dates,big_daily_table))),NA(),_xlfn.xlookup(D$3,daily_items,_xlfn.xlookup($C3469,daily_dates,big_daily_table)))</f>
        <v>#NAME?</v>
      </c>
      <c r="E3469" s="1" t="e">
        <f aca="false" t="array" ref="E3469:E3469">IF(ISBLANK(_xlfn.xlookup(E$3,daily_items,_xlfn.xlookup($C3469,daily_dates,big_daily_table))),NA(),_xlfn.xlookup(E$3,daily_items,_xlfn.xlookup($C3469,daily_dates,big_daily_table)))</f>
        <v>#NAME?</v>
      </c>
    </row>
    <row r="3470" customFormat="false" ht="14.25" hidden="false" customHeight="false" outlineLevel="0" collapsed="false">
      <c r="B3470" s="7" t="n">
        <v>44375</v>
      </c>
      <c r="C3470" s="7" t="n">
        <f aca="false">B3470-WEEKDAY(B3470)+1</f>
        <v>44374</v>
      </c>
      <c r="D3470" s="1" t="e">
        <f aca="false" t="array" ref="D3470:D3470">IF(ISBLANK(_xlfn.xlookup(D$3,daily_items,_xlfn.xlookup($C3470,daily_dates,big_daily_table))),NA(),_xlfn.xlookup(D$3,daily_items,_xlfn.xlookup($C3470,daily_dates,big_daily_table)))</f>
        <v>#NAME?</v>
      </c>
      <c r="E3470" s="1" t="e">
        <f aca="false" t="array" ref="E3470:E3470">IF(ISBLANK(_xlfn.xlookup(E$3,daily_items,_xlfn.xlookup($C3470,daily_dates,big_daily_table))),NA(),_xlfn.xlookup(E$3,daily_items,_xlfn.xlookup($C3470,daily_dates,big_daily_table)))</f>
        <v>#NAME?</v>
      </c>
    </row>
    <row r="3471" customFormat="false" ht="14.25" hidden="false" customHeight="false" outlineLevel="0" collapsed="false">
      <c r="B3471" s="7" t="n">
        <v>44376</v>
      </c>
      <c r="C3471" s="7" t="n">
        <f aca="false">B3471-WEEKDAY(B3471)+1</f>
        <v>44374</v>
      </c>
      <c r="D3471" s="1" t="e">
        <f aca="false" t="array" ref="D3471:D3471">IF(ISBLANK(_xlfn.xlookup(D$3,daily_items,_xlfn.xlookup($C3471,daily_dates,big_daily_table))),NA(),_xlfn.xlookup(D$3,daily_items,_xlfn.xlookup($C3471,daily_dates,big_daily_table)))</f>
        <v>#NAME?</v>
      </c>
      <c r="E3471" s="1" t="e">
        <f aca="false" t="array" ref="E3471:E3471">IF(ISBLANK(_xlfn.xlookup(E$3,daily_items,_xlfn.xlookup($C3471,daily_dates,big_daily_table))),NA(),_xlfn.xlookup(E$3,daily_items,_xlfn.xlookup($C3471,daily_dates,big_daily_table)))</f>
        <v>#NAME?</v>
      </c>
    </row>
    <row r="3472" customFormat="false" ht="14.25" hidden="false" customHeight="false" outlineLevel="0" collapsed="false">
      <c r="B3472" s="7" t="n">
        <v>44377</v>
      </c>
      <c r="C3472" s="7" t="n">
        <f aca="false">B3472-WEEKDAY(B3472)+1</f>
        <v>44374</v>
      </c>
      <c r="D3472" s="1" t="e">
        <f aca="false" t="array" ref="D3472:D3472">IF(ISBLANK(_xlfn.xlookup(D$3,daily_items,_xlfn.xlookup($C3472,daily_dates,big_daily_table))),NA(),_xlfn.xlookup(D$3,daily_items,_xlfn.xlookup($C3472,daily_dates,big_daily_table)))</f>
        <v>#NAME?</v>
      </c>
      <c r="E3472" s="1" t="e">
        <f aca="false" t="array" ref="E3472:E3472">IF(ISBLANK(_xlfn.xlookup(E$3,daily_items,_xlfn.xlookup($C3472,daily_dates,big_daily_table))),NA(),_xlfn.xlookup(E$3,daily_items,_xlfn.xlookup($C3472,daily_dates,big_daily_table)))</f>
        <v>#NAME?</v>
      </c>
    </row>
    <row r="3473" customFormat="false" ht="14.25" hidden="false" customHeight="false" outlineLevel="0" collapsed="false">
      <c r="B3473" s="7" t="n">
        <v>44378</v>
      </c>
      <c r="C3473" s="7" t="n">
        <f aca="false">B3473-WEEKDAY(B3473)+1</f>
        <v>44374</v>
      </c>
      <c r="D3473" s="1" t="e">
        <f aca="false" t="array" ref="D3473:D3473">IF(ISBLANK(_xlfn.xlookup(D$3,daily_items,_xlfn.xlookup($C3473,daily_dates,big_daily_table))),NA(),_xlfn.xlookup(D$3,daily_items,_xlfn.xlookup($C3473,daily_dates,big_daily_table)))</f>
        <v>#NAME?</v>
      </c>
      <c r="E3473" s="1" t="e">
        <f aca="false" t="array" ref="E3473:E3473">IF(ISBLANK(_xlfn.xlookup(E$3,daily_items,_xlfn.xlookup($C3473,daily_dates,big_daily_table))),NA(),_xlfn.xlookup(E$3,daily_items,_xlfn.xlookup($C3473,daily_dates,big_daily_table)))</f>
        <v>#NAME?</v>
      </c>
    </row>
    <row r="3474" customFormat="false" ht="14.25" hidden="false" customHeight="false" outlineLevel="0" collapsed="false">
      <c r="B3474" s="7" t="n">
        <v>44379</v>
      </c>
      <c r="C3474" s="7" t="n">
        <f aca="false">B3474-WEEKDAY(B3474)+1</f>
        <v>44374</v>
      </c>
      <c r="D3474" s="1" t="e">
        <f aca="false" t="array" ref="D3474:D3474">IF(ISBLANK(_xlfn.xlookup(D$3,daily_items,_xlfn.xlookup($C3474,daily_dates,big_daily_table))),NA(),_xlfn.xlookup(D$3,daily_items,_xlfn.xlookup($C3474,daily_dates,big_daily_table)))</f>
        <v>#NAME?</v>
      </c>
      <c r="E3474" s="1" t="e">
        <f aca="false" t="array" ref="E3474:E3474">IF(ISBLANK(_xlfn.xlookup(E$3,daily_items,_xlfn.xlookup($C3474,daily_dates,big_daily_table))),NA(),_xlfn.xlookup(E$3,daily_items,_xlfn.xlookup($C3474,daily_dates,big_daily_table)))</f>
        <v>#NAME?</v>
      </c>
    </row>
    <row r="3475" customFormat="false" ht="14.25" hidden="false" customHeight="false" outlineLevel="0" collapsed="false">
      <c r="B3475" s="7" t="n">
        <v>44380</v>
      </c>
      <c r="C3475" s="7" t="n">
        <f aca="false">B3475-WEEKDAY(B3475)+1</f>
        <v>44374</v>
      </c>
      <c r="D3475" s="1" t="e">
        <f aca="false" t="array" ref="D3475:D3475">IF(ISBLANK(_xlfn.xlookup(D$3,daily_items,_xlfn.xlookup($C3475,daily_dates,big_daily_table))),NA(),_xlfn.xlookup(D$3,daily_items,_xlfn.xlookup($C3475,daily_dates,big_daily_table)))</f>
        <v>#NAME?</v>
      </c>
      <c r="E3475" s="1" t="e">
        <f aca="false" t="array" ref="E3475:E3475">IF(ISBLANK(_xlfn.xlookup(E$3,daily_items,_xlfn.xlookup($C3475,daily_dates,big_daily_table))),NA(),_xlfn.xlookup(E$3,daily_items,_xlfn.xlookup($C3475,daily_dates,big_daily_table)))</f>
        <v>#NAME?</v>
      </c>
    </row>
    <row r="3476" customFormat="false" ht="14.25" hidden="false" customHeight="false" outlineLevel="0" collapsed="false">
      <c r="B3476" s="7" t="n">
        <v>44381</v>
      </c>
      <c r="C3476" s="7" t="n">
        <f aca="false">B3476-WEEKDAY(B3476)+1</f>
        <v>44381</v>
      </c>
      <c r="D3476" s="1" t="e">
        <f aca="false" t="array" ref="D3476:D3476">IF(ISBLANK(_xlfn.xlookup(D$3,daily_items,_xlfn.xlookup($C3476,daily_dates,big_daily_table))),NA(),_xlfn.xlookup(D$3,daily_items,_xlfn.xlookup($C3476,daily_dates,big_daily_table)))</f>
        <v>#NAME?</v>
      </c>
      <c r="E3476" s="1" t="e">
        <f aca="false" t="array" ref="E3476:E3476">IF(ISBLANK(_xlfn.xlookup(E$3,daily_items,_xlfn.xlookup($C3476,daily_dates,big_daily_table))),NA(),_xlfn.xlookup(E$3,daily_items,_xlfn.xlookup($C3476,daily_dates,big_daily_table)))</f>
        <v>#NAME?</v>
      </c>
    </row>
    <row r="3477" customFormat="false" ht="14.25" hidden="false" customHeight="false" outlineLevel="0" collapsed="false">
      <c r="B3477" s="7" t="n">
        <v>44382</v>
      </c>
      <c r="C3477" s="7" t="n">
        <f aca="false">B3477-WEEKDAY(B3477)+1</f>
        <v>44381</v>
      </c>
      <c r="D3477" s="1" t="e">
        <f aca="false" t="array" ref="D3477:D3477">IF(ISBLANK(_xlfn.xlookup(D$3,daily_items,_xlfn.xlookup($C3477,daily_dates,big_daily_table))),NA(),_xlfn.xlookup(D$3,daily_items,_xlfn.xlookup($C3477,daily_dates,big_daily_table)))</f>
        <v>#NAME?</v>
      </c>
      <c r="E3477" s="1" t="e">
        <f aca="false" t="array" ref="E3477:E3477">IF(ISBLANK(_xlfn.xlookup(E$3,daily_items,_xlfn.xlookup($C3477,daily_dates,big_daily_table))),NA(),_xlfn.xlookup(E$3,daily_items,_xlfn.xlookup($C3477,daily_dates,big_daily_table)))</f>
        <v>#NAME?</v>
      </c>
    </row>
    <row r="3478" customFormat="false" ht="14.25" hidden="false" customHeight="false" outlineLevel="0" collapsed="false">
      <c r="B3478" s="7" t="n">
        <v>44383</v>
      </c>
      <c r="C3478" s="7" t="n">
        <f aca="false">B3478-WEEKDAY(B3478)+1</f>
        <v>44381</v>
      </c>
      <c r="D3478" s="1" t="e">
        <f aca="false" t="array" ref="D3478:D3478">IF(ISBLANK(_xlfn.xlookup(D$3,daily_items,_xlfn.xlookup($C3478,daily_dates,big_daily_table))),NA(),_xlfn.xlookup(D$3,daily_items,_xlfn.xlookup($C3478,daily_dates,big_daily_table)))</f>
        <v>#NAME?</v>
      </c>
      <c r="E3478" s="1" t="e">
        <f aca="false" t="array" ref="E3478:E3478">IF(ISBLANK(_xlfn.xlookup(E$3,daily_items,_xlfn.xlookup($C3478,daily_dates,big_daily_table))),NA(),_xlfn.xlookup(E$3,daily_items,_xlfn.xlookup($C3478,daily_dates,big_daily_table)))</f>
        <v>#NAME?</v>
      </c>
    </row>
    <row r="3479" customFormat="false" ht="14.25" hidden="false" customHeight="false" outlineLevel="0" collapsed="false">
      <c r="B3479" s="7" t="n">
        <v>44384</v>
      </c>
      <c r="C3479" s="7" t="n">
        <f aca="false">B3479-WEEKDAY(B3479)+1</f>
        <v>44381</v>
      </c>
      <c r="D3479" s="1" t="e">
        <f aca="false" t="array" ref="D3479:D3479">IF(ISBLANK(_xlfn.xlookup(D$3,daily_items,_xlfn.xlookup($C3479,daily_dates,big_daily_table))),NA(),_xlfn.xlookup(D$3,daily_items,_xlfn.xlookup($C3479,daily_dates,big_daily_table)))</f>
        <v>#NAME?</v>
      </c>
      <c r="E3479" s="1" t="e">
        <f aca="false" t="array" ref="E3479:E3479">IF(ISBLANK(_xlfn.xlookup(E$3,daily_items,_xlfn.xlookup($C3479,daily_dates,big_daily_table))),NA(),_xlfn.xlookup(E$3,daily_items,_xlfn.xlookup($C3479,daily_dates,big_daily_table)))</f>
        <v>#NAME?</v>
      </c>
    </row>
    <row r="3480" customFormat="false" ht="14.25" hidden="false" customHeight="false" outlineLevel="0" collapsed="false">
      <c r="B3480" s="7" t="n">
        <v>44385</v>
      </c>
      <c r="C3480" s="7" t="n">
        <f aca="false">B3480-WEEKDAY(B3480)+1</f>
        <v>44381</v>
      </c>
      <c r="D3480" s="1" t="e">
        <f aca="false" t="array" ref="D3480:D3480">IF(ISBLANK(_xlfn.xlookup(D$3,daily_items,_xlfn.xlookup($C3480,daily_dates,big_daily_table))),NA(),_xlfn.xlookup(D$3,daily_items,_xlfn.xlookup($C3480,daily_dates,big_daily_table)))</f>
        <v>#NAME?</v>
      </c>
      <c r="E3480" s="1" t="e">
        <f aca="false" t="array" ref="E3480:E3480">IF(ISBLANK(_xlfn.xlookup(E$3,daily_items,_xlfn.xlookup($C3480,daily_dates,big_daily_table))),NA(),_xlfn.xlookup(E$3,daily_items,_xlfn.xlookup($C3480,daily_dates,big_daily_table)))</f>
        <v>#NAME?</v>
      </c>
    </row>
    <row r="3481" customFormat="false" ht="14.25" hidden="false" customHeight="false" outlineLevel="0" collapsed="false">
      <c r="B3481" s="7" t="n">
        <v>44386</v>
      </c>
      <c r="C3481" s="7" t="n">
        <f aca="false">B3481-WEEKDAY(B3481)+1</f>
        <v>44381</v>
      </c>
      <c r="D3481" s="1" t="e">
        <f aca="false" t="array" ref="D3481:D3481">IF(ISBLANK(_xlfn.xlookup(D$3,daily_items,_xlfn.xlookup($C3481,daily_dates,big_daily_table))),NA(),_xlfn.xlookup(D$3,daily_items,_xlfn.xlookup($C3481,daily_dates,big_daily_table)))</f>
        <v>#NAME?</v>
      </c>
      <c r="E3481" s="1" t="e">
        <f aca="false" t="array" ref="E3481:E3481">IF(ISBLANK(_xlfn.xlookup(E$3,daily_items,_xlfn.xlookup($C3481,daily_dates,big_daily_table))),NA(),_xlfn.xlookup(E$3,daily_items,_xlfn.xlookup($C3481,daily_dates,big_daily_table)))</f>
        <v>#NAME?</v>
      </c>
    </row>
    <row r="3482" customFormat="false" ht="14.25" hidden="false" customHeight="false" outlineLevel="0" collapsed="false">
      <c r="B3482" s="7" t="n">
        <v>44387</v>
      </c>
      <c r="C3482" s="7" t="n">
        <f aca="false">B3482-WEEKDAY(B3482)+1</f>
        <v>44381</v>
      </c>
      <c r="D3482" s="1" t="e">
        <f aca="false" t="array" ref="D3482:D3482">IF(ISBLANK(_xlfn.xlookup(D$3,daily_items,_xlfn.xlookup($C3482,daily_dates,big_daily_table))),NA(),_xlfn.xlookup(D$3,daily_items,_xlfn.xlookup($C3482,daily_dates,big_daily_table)))</f>
        <v>#NAME?</v>
      </c>
      <c r="E3482" s="1" t="e">
        <f aca="false" t="array" ref="E3482:E3482">IF(ISBLANK(_xlfn.xlookup(E$3,daily_items,_xlfn.xlookup($C3482,daily_dates,big_daily_table))),NA(),_xlfn.xlookup(E$3,daily_items,_xlfn.xlookup($C3482,daily_dates,big_daily_table)))</f>
        <v>#NAME?</v>
      </c>
    </row>
    <row r="3483" customFormat="false" ht="14.25" hidden="false" customHeight="false" outlineLevel="0" collapsed="false">
      <c r="B3483" s="7" t="n">
        <v>44388</v>
      </c>
      <c r="C3483" s="7" t="n">
        <f aca="false">B3483-WEEKDAY(B3483)+1</f>
        <v>44388</v>
      </c>
      <c r="D3483" s="1" t="e">
        <f aca="false" t="array" ref="D3483:D3483">IF(ISBLANK(_xlfn.xlookup(D$3,daily_items,_xlfn.xlookup($C3483,daily_dates,big_daily_table))),NA(),_xlfn.xlookup(D$3,daily_items,_xlfn.xlookup($C3483,daily_dates,big_daily_table)))</f>
        <v>#NAME?</v>
      </c>
      <c r="E3483" s="1" t="e">
        <f aca="false" t="array" ref="E3483:E3483">IF(ISBLANK(_xlfn.xlookup(E$3,daily_items,_xlfn.xlookup($C3483,daily_dates,big_daily_table))),NA(),_xlfn.xlookup(E$3,daily_items,_xlfn.xlookup($C3483,daily_dates,big_daily_table)))</f>
        <v>#NAME?</v>
      </c>
    </row>
    <row r="3484" customFormat="false" ht="14.25" hidden="false" customHeight="false" outlineLevel="0" collapsed="false">
      <c r="B3484" s="7" t="n">
        <v>44389</v>
      </c>
      <c r="C3484" s="7" t="n">
        <f aca="false">B3484-WEEKDAY(B3484)+1</f>
        <v>44388</v>
      </c>
      <c r="D3484" s="1" t="e">
        <f aca="false" t="array" ref="D3484:D3484">IF(ISBLANK(_xlfn.xlookup(D$3,daily_items,_xlfn.xlookup($C3484,daily_dates,big_daily_table))),NA(),_xlfn.xlookup(D$3,daily_items,_xlfn.xlookup($C3484,daily_dates,big_daily_table)))</f>
        <v>#NAME?</v>
      </c>
      <c r="E3484" s="1" t="e">
        <f aca="false" t="array" ref="E3484:E3484">IF(ISBLANK(_xlfn.xlookup(E$3,daily_items,_xlfn.xlookup($C3484,daily_dates,big_daily_table))),NA(),_xlfn.xlookup(E$3,daily_items,_xlfn.xlookup($C3484,daily_dates,big_daily_table)))</f>
        <v>#NAME?</v>
      </c>
    </row>
    <row r="3485" customFormat="false" ht="14.25" hidden="false" customHeight="false" outlineLevel="0" collapsed="false">
      <c r="B3485" s="7" t="n">
        <v>44390</v>
      </c>
      <c r="C3485" s="7" t="n">
        <f aca="false">B3485-WEEKDAY(B3485)+1</f>
        <v>44388</v>
      </c>
      <c r="D3485" s="1" t="e">
        <f aca="false" t="array" ref="D3485:D3485">IF(ISBLANK(_xlfn.xlookup(D$3,daily_items,_xlfn.xlookup($C3485,daily_dates,big_daily_table))),NA(),_xlfn.xlookup(D$3,daily_items,_xlfn.xlookup($C3485,daily_dates,big_daily_table)))</f>
        <v>#NAME?</v>
      </c>
      <c r="E3485" s="1" t="e">
        <f aca="false" t="array" ref="E3485:E3485">IF(ISBLANK(_xlfn.xlookup(E$3,daily_items,_xlfn.xlookup($C3485,daily_dates,big_daily_table))),NA(),_xlfn.xlookup(E$3,daily_items,_xlfn.xlookup($C3485,daily_dates,big_daily_table)))</f>
        <v>#NAME?</v>
      </c>
    </row>
    <row r="3486" customFormat="false" ht="14.25" hidden="false" customHeight="false" outlineLevel="0" collapsed="false">
      <c r="B3486" s="7" t="n">
        <v>44391</v>
      </c>
      <c r="C3486" s="7" t="n">
        <f aca="false">B3486-WEEKDAY(B3486)+1</f>
        <v>44388</v>
      </c>
      <c r="D3486" s="1" t="e">
        <f aca="false" t="array" ref="D3486:D3486">IF(ISBLANK(_xlfn.xlookup(D$3,daily_items,_xlfn.xlookup($C3486,daily_dates,big_daily_table))),NA(),_xlfn.xlookup(D$3,daily_items,_xlfn.xlookup($C3486,daily_dates,big_daily_table)))</f>
        <v>#NAME?</v>
      </c>
      <c r="E3486" s="1" t="e">
        <f aca="false" t="array" ref="E3486:E3486">IF(ISBLANK(_xlfn.xlookup(E$3,daily_items,_xlfn.xlookup($C3486,daily_dates,big_daily_table))),NA(),_xlfn.xlookup(E$3,daily_items,_xlfn.xlookup($C3486,daily_dates,big_daily_table)))</f>
        <v>#NAME?</v>
      </c>
    </row>
    <row r="3487" customFormat="false" ht="14.25" hidden="false" customHeight="false" outlineLevel="0" collapsed="false">
      <c r="B3487" s="7" t="n">
        <v>44392</v>
      </c>
      <c r="C3487" s="7" t="n">
        <f aca="false">B3487-WEEKDAY(B3487)+1</f>
        <v>44388</v>
      </c>
      <c r="D3487" s="1" t="e">
        <f aca="false" t="array" ref="D3487:D3487">IF(ISBLANK(_xlfn.xlookup(D$3,daily_items,_xlfn.xlookup($C3487,daily_dates,big_daily_table))),NA(),_xlfn.xlookup(D$3,daily_items,_xlfn.xlookup($C3487,daily_dates,big_daily_table)))</f>
        <v>#NAME?</v>
      </c>
      <c r="E3487" s="1" t="e">
        <f aca="false" t="array" ref="E3487:E3487">IF(ISBLANK(_xlfn.xlookup(E$3,daily_items,_xlfn.xlookup($C3487,daily_dates,big_daily_table))),NA(),_xlfn.xlookup(E$3,daily_items,_xlfn.xlookup($C3487,daily_dates,big_daily_table)))</f>
        <v>#NAME?</v>
      </c>
    </row>
    <row r="3488" customFormat="false" ht="14.25" hidden="false" customHeight="false" outlineLevel="0" collapsed="false">
      <c r="B3488" s="7" t="n">
        <v>44393</v>
      </c>
      <c r="C3488" s="7" t="n">
        <f aca="false">B3488-WEEKDAY(B3488)+1</f>
        <v>44388</v>
      </c>
      <c r="D3488" s="1" t="e">
        <f aca="false" t="array" ref="D3488:D3488">IF(ISBLANK(_xlfn.xlookup(D$3,daily_items,_xlfn.xlookup($C3488,daily_dates,big_daily_table))),NA(),_xlfn.xlookup(D$3,daily_items,_xlfn.xlookup($C3488,daily_dates,big_daily_table)))</f>
        <v>#NAME?</v>
      </c>
      <c r="E3488" s="1" t="e">
        <f aca="false" t="array" ref="E3488:E3488">IF(ISBLANK(_xlfn.xlookup(E$3,daily_items,_xlfn.xlookup($C3488,daily_dates,big_daily_table))),NA(),_xlfn.xlookup(E$3,daily_items,_xlfn.xlookup($C3488,daily_dates,big_daily_table)))</f>
        <v>#NAME?</v>
      </c>
    </row>
    <row r="3489" customFormat="false" ht="14.25" hidden="false" customHeight="false" outlineLevel="0" collapsed="false">
      <c r="B3489" s="7" t="n">
        <v>44394</v>
      </c>
      <c r="C3489" s="7" t="n">
        <f aca="false">B3489-WEEKDAY(B3489)+1</f>
        <v>44388</v>
      </c>
      <c r="D3489" s="1" t="e">
        <f aca="false" t="array" ref="D3489:D3489">IF(ISBLANK(_xlfn.xlookup(D$3,daily_items,_xlfn.xlookup($C3489,daily_dates,big_daily_table))),NA(),_xlfn.xlookup(D$3,daily_items,_xlfn.xlookup($C3489,daily_dates,big_daily_table)))</f>
        <v>#NAME?</v>
      </c>
      <c r="E3489" s="1" t="e">
        <f aca="false" t="array" ref="E3489:E3489">IF(ISBLANK(_xlfn.xlookup(E$3,daily_items,_xlfn.xlookup($C3489,daily_dates,big_daily_table))),NA(),_xlfn.xlookup(E$3,daily_items,_xlfn.xlookup($C3489,daily_dates,big_daily_table)))</f>
        <v>#NAME?</v>
      </c>
    </row>
    <row r="3490" customFormat="false" ht="14.25" hidden="false" customHeight="false" outlineLevel="0" collapsed="false">
      <c r="B3490" s="7" t="n">
        <v>44395</v>
      </c>
      <c r="C3490" s="7" t="n">
        <f aca="false">B3490-WEEKDAY(B3490)+1</f>
        <v>44395</v>
      </c>
      <c r="D3490" s="1" t="e">
        <f aca="false" t="array" ref="D3490:D3490">IF(ISBLANK(_xlfn.xlookup(D$3,daily_items,_xlfn.xlookup($C3490,daily_dates,big_daily_table))),NA(),_xlfn.xlookup(D$3,daily_items,_xlfn.xlookup($C3490,daily_dates,big_daily_table)))</f>
        <v>#NAME?</v>
      </c>
      <c r="E3490" s="1" t="e">
        <f aca="false" t="array" ref="E3490:E3490">IF(ISBLANK(_xlfn.xlookup(E$3,daily_items,_xlfn.xlookup($C3490,daily_dates,big_daily_table))),NA(),_xlfn.xlookup(E$3,daily_items,_xlfn.xlookup($C3490,daily_dates,big_daily_table)))</f>
        <v>#NAME?</v>
      </c>
    </row>
    <row r="3491" customFormat="false" ht="14.25" hidden="false" customHeight="false" outlineLevel="0" collapsed="false">
      <c r="B3491" s="7" t="n">
        <v>44396</v>
      </c>
      <c r="C3491" s="7" t="n">
        <f aca="false">B3491-WEEKDAY(B3491)+1</f>
        <v>44395</v>
      </c>
      <c r="D3491" s="1" t="e">
        <f aca="false" t="array" ref="D3491:D3491">IF(ISBLANK(_xlfn.xlookup(D$3,daily_items,_xlfn.xlookup($C3491,daily_dates,big_daily_table))),NA(),_xlfn.xlookup(D$3,daily_items,_xlfn.xlookup($C3491,daily_dates,big_daily_table)))</f>
        <v>#NAME?</v>
      </c>
      <c r="E3491" s="1" t="e">
        <f aca="false" t="array" ref="E3491:E3491">IF(ISBLANK(_xlfn.xlookup(E$3,daily_items,_xlfn.xlookup($C3491,daily_dates,big_daily_table))),NA(),_xlfn.xlookup(E$3,daily_items,_xlfn.xlookup($C3491,daily_dates,big_daily_table)))</f>
        <v>#NAME?</v>
      </c>
    </row>
    <row r="3492" customFormat="false" ht="14.25" hidden="false" customHeight="false" outlineLevel="0" collapsed="false">
      <c r="B3492" s="7" t="n">
        <v>44397</v>
      </c>
      <c r="C3492" s="7" t="n">
        <f aca="false">B3492-WEEKDAY(B3492)+1</f>
        <v>44395</v>
      </c>
      <c r="D3492" s="1" t="e">
        <f aca="false" t="array" ref="D3492:D3492">IF(ISBLANK(_xlfn.xlookup(D$3,daily_items,_xlfn.xlookup($C3492,daily_dates,big_daily_table))),NA(),_xlfn.xlookup(D$3,daily_items,_xlfn.xlookup($C3492,daily_dates,big_daily_table)))</f>
        <v>#NAME?</v>
      </c>
      <c r="E3492" s="1" t="e">
        <f aca="false" t="array" ref="E3492:E3492">IF(ISBLANK(_xlfn.xlookup(E$3,daily_items,_xlfn.xlookup($C3492,daily_dates,big_daily_table))),NA(),_xlfn.xlookup(E$3,daily_items,_xlfn.xlookup($C3492,daily_dates,big_daily_table)))</f>
        <v>#NAME?</v>
      </c>
    </row>
    <row r="3493" customFormat="false" ht="14.25" hidden="false" customHeight="false" outlineLevel="0" collapsed="false">
      <c r="B3493" s="7" t="n">
        <v>44398</v>
      </c>
      <c r="C3493" s="7" t="n">
        <f aca="false">B3493-WEEKDAY(B3493)+1</f>
        <v>44395</v>
      </c>
      <c r="D3493" s="1" t="e">
        <f aca="false" t="array" ref="D3493:D3493">IF(ISBLANK(_xlfn.xlookup(D$3,daily_items,_xlfn.xlookup($C3493,daily_dates,big_daily_table))),NA(),_xlfn.xlookup(D$3,daily_items,_xlfn.xlookup($C3493,daily_dates,big_daily_table)))</f>
        <v>#NAME?</v>
      </c>
      <c r="E3493" s="1" t="e">
        <f aca="false" t="array" ref="E3493:E3493">IF(ISBLANK(_xlfn.xlookup(E$3,daily_items,_xlfn.xlookup($C3493,daily_dates,big_daily_table))),NA(),_xlfn.xlookup(E$3,daily_items,_xlfn.xlookup($C3493,daily_dates,big_daily_table)))</f>
        <v>#NAME?</v>
      </c>
    </row>
    <row r="3494" customFormat="false" ht="14.25" hidden="false" customHeight="false" outlineLevel="0" collapsed="false">
      <c r="B3494" s="7" t="n">
        <v>44399</v>
      </c>
      <c r="C3494" s="7" t="n">
        <f aca="false">B3494-WEEKDAY(B3494)+1</f>
        <v>44395</v>
      </c>
      <c r="D3494" s="1" t="e">
        <f aca="false" t="array" ref="D3494:D3494">IF(ISBLANK(_xlfn.xlookup(D$3,daily_items,_xlfn.xlookup($C3494,daily_dates,big_daily_table))),NA(),_xlfn.xlookup(D$3,daily_items,_xlfn.xlookup($C3494,daily_dates,big_daily_table)))</f>
        <v>#NAME?</v>
      </c>
      <c r="E3494" s="1" t="e">
        <f aca="false" t="array" ref="E3494:E3494">IF(ISBLANK(_xlfn.xlookup(E$3,daily_items,_xlfn.xlookup($C3494,daily_dates,big_daily_table))),NA(),_xlfn.xlookup(E$3,daily_items,_xlfn.xlookup($C3494,daily_dates,big_daily_table)))</f>
        <v>#NAME?</v>
      </c>
    </row>
    <row r="3495" customFormat="false" ht="14.25" hidden="false" customHeight="false" outlineLevel="0" collapsed="false">
      <c r="B3495" s="7" t="n">
        <v>44400</v>
      </c>
      <c r="C3495" s="7" t="n">
        <f aca="false">B3495-WEEKDAY(B3495)+1</f>
        <v>44395</v>
      </c>
      <c r="D3495" s="1" t="e">
        <f aca="false" t="array" ref="D3495:D3495">IF(ISBLANK(_xlfn.xlookup(D$3,daily_items,_xlfn.xlookup($C3495,daily_dates,big_daily_table))),NA(),_xlfn.xlookup(D$3,daily_items,_xlfn.xlookup($C3495,daily_dates,big_daily_table)))</f>
        <v>#NAME?</v>
      </c>
      <c r="E3495" s="1" t="e">
        <f aca="false" t="array" ref="E3495:E3495">IF(ISBLANK(_xlfn.xlookup(E$3,daily_items,_xlfn.xlookup($C3495,daily_dates,big_daily_table))),NA(),_xlfn.xlookup(E$3,daily_items,_xlfn.xlookup($C3495,daily_dates,big_daily_table)))</f>
        <v>#NAME?</v>
      </c>
    </row>
    <row r="3496" customFormat="false" ht="14.25" hidden="false" customHeight="false" outlineLevel="0" collapsed="false">
      <c r="B3496" s="7" t="n">
        <v>44401</v>
      </c>
      <c r="C3496" s="7" t="n">
        <f aca="false">B3496-WEEKDAY(B3496)+1</f>
        <v>44395</v>
      </c>
      <c r="D3496" s="1" t="e">
        <f aca="false" t="array" ref="D3496:D3496">IF(ISBLANK(_xlfn.xlookup(D$3,daily_items,_xlfn.xlookup($C3496,daily_dates,big_daily_table))),NA(),_xlfn.xlookup(D$3,daily_items,_xlfn.xlookup($C3496,daily_dates,big_daily_table)))</f>
        <v>#NAME?</v>
      </c>
      <c r="E3496" s="1" t="e">
        <f aca="false" t="array" ref="E3496:E3496">IF(ISBLANK(_xlfn.xlookup(E$3,daily_items,_xlfn.xlookup($C3496,daily_dates,big_daily_table))),NA(),_xlfn.xlookup(E$3,daily_items,_xlfn.xlookup($C3496,daily_dates,big_daily_table)))</f>
        <v>#NAME?</v>
      </c>
    </row>
    <row r="3497" customFormat="false" ht="14.25" hidden="false" customHeight="false" outlineLevel="0" collapsed="false">
      <c r="B3497" s="7" t="n">
        <v>44402</v>
      </c>
      <c r="C3497" s="7" t="n">
        <f aca="false">B3497-WEEKDAY(B3497)+1</f>
        <v>44402</v>
      </c>
      <c r="D3497" s="1" t="e">
        <f aca="false" t="array" ref="D3497:D3497">IF(ISBLANK(_xlfn.xlookup(D$3,daily_items,_xlfn.xlookup($C3497,daily_dates,big_daily_table))),NA(),_xlfn.xlookup(D$3,daily_items,_xlfn.xlookup($C3497,daily_dates,big_daily_table)))</f>
        <v>#NAME?</v>
      </c>
      <c r="E3497" s="1" t="e">
        <f aca="false" t="array" ref="E3497:E3497">IF(ISBLANK(_xlfn.xlookup(E$3,daily_items,_xlfn.xlookup($C3497,daily_dates,big_daily_table))),NA(),_xlfn.xlookup(E$3,daily_items,_xlfn.xlookup($C3497,daily_dates,big_daily_table)))</f>
        <v>#NAME?</v>
      </c>
    </row>
    <row r="3498" customFormat="false" ht="14.25" hidden="false" customHeight="false" outlineLevel="0" collapsed="false">
      <c r="B3498" s="7" t="n">
        <v>44403</v>
      </c>
      <c r="C3498" s="7" t="n">
        <f aca="false">B3498-WEEKDAY(B3498)+1</f>
        <v>44402</v>
      </c>
      <c r="D3498" s="1" t="e">
        <f aca="false" t="array" ref="D3498:D3498">IF(ISBLANK(_xlfn.xlookup(D$3,daily_items,_xlfn.xlookup($C3498,daily_dates,big_daily_table))),NA(),_xlfn.xlookup(D$3,daily_items,_xlfn.xlookup($C3498,daily_dates,big_daily_table)))</f>
        <v>#NAME?</v>
      </c>
      <c r="E3498" s="1" t="e">
        <f aca="false" t="array" ref="E3498:E3498">IF(ISBLANK(_xlfn.xlookup(E$3,daily_items,_xlfn.xlookup($C3498,daily_dates,big_daily_table))),NA(),_xlfn.xlookup(E$3,daily_items,_xlfn.xlookup($C3498,daily_dates,big_daily_table)))</f>
        <v>#NAME?</v>
      </c>
    </row>
    <row r="3499" customFormat="false" ht="14.25" hidden="false" customHeight="false" outlineLevel="0" collapsed="false">
      <c r="B3499" s="7" t="n">
        <v>44404</v>
      </c>
      <c r="C3499" s="7" t="n">
        <f aca="false">B3499-WEEKDAY(B3499)+1</f>
        <v>44402</v>
      </c>
      <c r="D3499" s="1" t="e">
        <f aca="false" t="array" ref="D3499:D3499">IF(ISBLANK(_xlfn.xlookup(D$3,daily_items,_xlfn.xlookup($C3499,daily_dates,big_daily_table))),NA(),_xlfn.xlookup(D$3,daily_items,_xlfn.xlookup($C3499,daily_dates,big_daily_table)))</f>
        <v>#NAME?</v>
      </c>
      <c r="E3499" s="1" t="e">
        <f aca="false" t="array" ref="E3499:E3499">IF(ISBLANK(_xlfn.xlookup(E$3,daily_items,_xlfn.xlookup($C3499,daily_dates,big_daily_table))),NA(),_xlfn.xlookup(E$3,daily_items,_xlfn.xlookup($C3499,daily_dates,big_daily_table)))</f>
        <v>#NAME?</v>
      </c>
    </row>
    <row r="3500" customFormat="false" ht="14.25" hidden="false" customHeight="false" outlineLevel="0" collapsed="false">
      <c r="B3500" s="7" t="n">
        <v>44405</v>
      </c>
      <c r="C3500" s="7" t="n">
        <f aca="false">B3500-WEEKDAY(B3500)+1</f>
        <v>44402</v>
      </c>
      <c r="D3500" s="1" t="e">
        <f aca="false" t="array" ref="D3500:D3500">IF(ISBLANK(_xlfn.xlookup(D$3,daily_items,_xlfn.xlookup($C3500,daily_dates,big_daily_table))),NA(),_xlfn.xlookup(D$3,daily_items,_xlfn.xlookup($C3500,daily_dates,big_daily_table)))</f>
        <v>#NAME?</v>
      </c>
      <c r="E3500" s="1" t="e">
        <f aca="false" t="array" ref="E3500:E3500">IF(ISBLANK(_xlfn.xlookup(E$3,daily_items,_xlfn.xlookup($C3500,daily_dates,big_daily_table))),NA(),_xlfn.xlookup(E$3,daily_items,_xlfn.xlookup($C3500,daily_dates,big_daily_table)))</f>
        <v>#NAME?</v>
      </c>
    </row>
    <row r="3501" customFormat="false" ht="14.25" hidden="false" customHeight="false" outlineLevel="0" collapsed="false">
      <c r="B3501" s="7" t="n">
        <v>44406</v>
      </c>
      <c r="C3501" s="7" t="n">
        <f aca="false">B3501-WEEKDAY(B3501)+1</f>
        <v>44402</v>
      </c>
      <c r="D3501" s="1" t="e">
        <f aca="false" t="array" ref="D3501:D3501">IF(ISBLANK(_xlfn.xlookup(D$3,daily_items,_xlfn.xlookup($C3501,daily_dates,big_daily_table))),NA(),_xlfn.xlookup(D$3,daily_items,_xlfn.xlookup($C3501,daily_dates,big_daily_table)))</f>
        <v>#NAME?</v>
      </c>
      <c r="E3501" s="1" t="e">
        <f aca="false" t="array" ref="E3501:E3501">IF(ISBLANK(_xlfn.xlookup(E$3,daily_items,_xlfn.xlookup($C3501,daily_dates,big_daily_table))),NA(),_xlfn.xlookup(E$3,daily_items,_xlfn.xlookup($C3501,daily_dates,big_daily_table)))</f>
        <v>#NAME?</v>
      </c>
    </row>
    <row r="3502" customFormat="false" ht="14.25" hidden="false" customHeight="false" outlineLevel="0" collapsed="false">
      <c r="B3502" s="7" t="n">
        <v>44407</v>
      </c>
      <c r="C3502" s="7" t="n">
        <f aca="false">B3502-WEEKDAY(B3502)+1</f>
        <v>44402</v>
      </c>
      <c r="D3502" s="1" t="e">
        <f aca="false" t="array" ref="D3502:D3502">IF(ISBLANK(_xlfn.xlookup(D$3,daily_items,_xlfn.xlookup($C3502,daily_dates,big_daily_table))),NA(),_xlfn.xlookup(D$3,daily_items,_xlfn.xlookup($C3502,daily_dates,big_daily_table)))</f>
        <v>#NAME?</v>
      </c>
      <c r="E3502" s="1" t="e">
        <f aca="false" t="array" ref="E3502:E3502">IF(ISBLANK(_xlfn.xlookup(E$3,daily_items,_xlfn.xlookup($C3502,daily_dates,big_daily_table))),NA(),_xlfn.xlookup(E$3,daily_items,_xlfn.xlookup($C3502,daily_dates,big_daily_table)))</f>
        <v>#NAME?</v>
      </c>
    </row>
    <row r="3503" customFormat="false" ht="14.25" hidden="false" customHeight="false" outlineLevel="0" collapsed="false">
      <c r="B3503" s="7" t="n">
        <v>44408</v>
      </c>
      <c r="C3503" s="7" t="n">
        <f aca="false">B3503-WEEKDAY(B3503)+1</f>
        <v>44402</v>
      </c>
      <c r="D3503" s="1" t="e">
        <f aca="false" t="array" ref="D3503:D3503">IF(ISBLANK(_xlfn.xlookup(D$3,daily_items,_xlfn.xlookup($C3503,daily_dates,big_daily_table))),NA(),_xlfn.xlookup(D$3,daily_items,_xlfn.xlookup($C3503,daily_dates,big_daily_table)))</f>
        <v>#NAME?</v>
      </c>
      <c r="E3503" s="1" t="e">
        <f aca="false" t="array" ref="E3503:E3503">IF(ISBLANK(_xlfn.xlookup(E$3,daily_items,_xlfn.xlookup($C3503,daily_dates,big_daily_table))),NA(),_xlfn.xlookup(E$3,daily_items,_xlfn.xlookup($C3503,daily_dates,big_daily_table)))</f>
        <v>#NAME?</v>
      </c>
    </row>
    <row r="3504" customFormat="false" ht="14.25" hidden="false" customHeight="false" outlineLevel="0" collapsed="false">
      <c r="B3504" s="7" t="n">
        <v>44409</v>
      </c>
      <c r="C3504" s="7" t="n">
        <f aca="false">B3504-WEEKDAY(B3504)+1</f>
        <v>44409</v>
      </c>
      <c r="D3504" s="1" t="e">
        <f aca="false" t="array" ref="D3504:D3504">IF(ISBLANK(_xlfn.xlookup(D$3,daily_items,_xlfn.xlookup($C3504,daily_dates,big_daily_table))),NA(),_xlfn.xlookup(D$3,daily_items,_xlfn.xlookup($C3504,daily_dates,big_daily_table)))</f>
        <v>#NAME?</v>
      </c>
      <c r="E3504" s="1" t="e">
        <f aca="false" t="array" ref="E3504:E3504">IF(ISBLANK(_xlfn.xlookup(E$3,daily_items,_xlfn.xlookup($C3504,daily_dates,big_daily_table))),NA(),_xlfn.xlookup(E$3,daily_items,_xlfn.xlookup($C3504,daily_dates,big_daily_table)))</f>
        <v>#NAME?</v>
      </c>
    </row>
    <row r="3505" customFormat="false" ht="14.25" hidden="false" customHeight="false" outlineLevel="0" collapsed="false">
      <c r="B3505" s="7" t="n">
        <v>44410</v>
      </c>
      <c r="C3505" s="7" t="n">
        <f aca="false">B3505-WEEKDAY(B3505)+1</f>
        <v>44409</v>
      </c>
      <c r="D3505" s="1" t="e">
        <f aca="false" t="array" ref="D3505:D3505">IF(ISBLANK(_xlfn.xlookup(D$3,daily_items,_xlfn.xlookup($C3505,daily_dates,big_daily_table))),NA(),_xlfn.xlookup(D$3,daily_items,_xlfn.xlookup($C3505,daily_dates,big_daily_table)))</f>
        <v>#NAME?</v>
      </c>
      <c r="E3505" s="1" t="e">
        <f aca="false" t="array" ref="E3505:E3505">IF(ISBLANK(_xlfn.xlookup(E$3,daily_items,_xlfn.xlookup($C3505,daily_dates,big_daily_table))),NA(),_xlfn.xlookup(E$3,daily_items,_xlfn.xlookup($C3505,daily_dates,big_daily_table)))</f>
        <v>#NAME?</v>
      </c>
    </row>
    <row r="3506" customFormat="false" ht="14.25" hidden="false" customHeight="false" outlineLevel="0" collapsed="false">
      <c r="B3506" s="7" t="n">
        <v>44411</v>
      </c>
      <c r="C3506" s="7" t="n">
        <f aca="false">B3506-WEEKDAY(B3506)+1</f>
        <v>44409</v>
      </c>
      <c r="D3506" s="1" t="e">
        <f aca="false" t="array" ref="D3506:D3506">IF(ISBLANK(_xlfn.xlookup(D$3,daily_items,_xlfn.xlookup($C3506,daily_dates,big_daily_table))),NA(),_xlfn.xlookup(D$3,daily_items,_xlfn.xlookup($C3506,daily_dates,big_daily_table)))</f>
        <v>#NAME?</v>
      </c>
      <c r="E3506" s="1" t="e">
        <f aca="false" t="array" ref="E3506:E3506">IF(ISBLANK(_xlfn.xlookup(E$3,daily_items,_xlfn.xlookup($C3506,daily_dates,big_daily_table))),NA(),_xlfn.xlookup(E$3,daily_items,_xlfn.xlookup($C3506,daily_dates,big_daily_table)))</f>
        <v>#NAME?</v>
      </c>
    </row>
    <row r="3507" customFormat="false" ht="14.25" hidden="false" customHeight="false" outlineLevel="0" collapsed="false">
      <c r="B3507" s="7" t="n">
        <v>44412</v>
      </c>
      <c r="C3507" s="7" t="n">
        <f aca="false">B3507-WEEKDAY(B3507)+1</f>
        <v>44409</v>
      </c>
      <c r="D3507" s="1" t="e">
        <f aca="false" t="array" ref="D3507:D3507">IF(ISBLANK(_xlfn.xlookup(D$3,daily_items,_xlfn.xlookup($C3507,daily_dates,big_daily_table))),NA(),_xlfn.xlookup(D$3,daily_items,_xlfn.xlookup($C3507,daily_dates,big_daily_table)))</f>
        <v>#NAME?</v>
      </c>
      <c r="E3507" s="1" t="e">
        <f aca="false" t="array" ref="E3507:E3507">IF(ISBLANK(_xlfn.xlookup(E$3,daily_items,_xlfn.xlookup($C3507,daily_dates,big_daily_table))),NA(),_xlfn.xlookup(E$3,daily_items,_xlfn.xlookup($C3507,daily_dates,big_daily_table)))</f>
        <v>#NAME?</v>
      </c>
    </row>
    <row r="3508" customFormat="false" ht="14.25" hidden="false" customHeight="false" outlineLevel="0" collapsed="false">
      <c r="B3508" s="7" t="n">
        <v>44413</v>
      </c>
      <c r="C3508" s="7" t="n">
        <f aca="false">B3508-WEEKDAY(B3508)+1</f>
        <v>44409</v>
      </c>
      <c r="D3508" s="1" t="e">
        <f aca="false" t="array" ref="D3508:D3508">IF(ISBLANK(_xlfn.xlookup(D$3,daily_items,_xlfn.xlookup($C3508,daily_dates,big_daily_table))),NA(),_xlfn.xlookup(D$3,daily_items,_xlfn.xlookup($C3508,daily_dates,big_daily_table)))</f>
        <v>#NAME?</v>
      </c>
      <c r="E3508" s="1" t="e">
        <f aca="false" t="array" ref="E3508:E3508">IF(ISBLANK(_xlfn.xlookup(E$3,daily_items,_xlfn.xlookup($C3508,daily_dates,big_daily_table))),NA(),_xlfn.xlookup(E$3,daily_items,_xlfn.xlookup($C3508,daily_dates,big_daily_table)))</f>
        <v>#NAME?</v>
      </c>
    </row>
    <row r="3509" customFormat="false" ht="14.25" hidden="false" customHeight="false" outlineLevel="0" collapsed="false">
      <c r="B3509" s="7" t="n">
        <v>44414</v>
      </c>
      <c r="C3509" s="7" t="n">
        <f aca="false">B3509-WEEKDAY(B3509)+1</f>
        <v>44409</v>
      </c>
      <c r="D3509" s="1" t="e">
        <f aca="false" t="array" ref="D3509:D3509">IF(ISBLANK(_xlfn.xlookup(D$3,daily_items,_xlfn.xlookup($C3509,daily_dates,big_daily_table))),NA(),_xlfn.xlookup(D$3,daily_items,_xlfn.xlookup($C3509,daily_dates,big_daily_table)))</f>
        <v>#NAME?</v>
      </c>
      <c r="E3509" s="1" t="e">
        <f aca="false" t="array" ref="E3509:E3509">IF(ISBLANK(_xlfn.xlookup(E$3,daily_items,_xlfn.xlookup($C3509,daily_dates,big_daily_table))),NA(),_xlfn.xlookup(E$3,daily_items,_xlfn.xlookup($C3509,daily_dates,big_daily_table)))</f>
        <v>#NAME?</v>
      </c>
    </row>
    <row r="3510" customFormat="false" ht="14.25" hidden="false" customHeight="false" outlineLevel="0" collapsed="false">
      <c r="B3510" s="7" t="n">
        <v>44415</v>
      </c>
      <c r="C3510" s="7" t="n">
        <f aca="false">B3510-WEEKDAY(B3510)+1</f>
        <v>44409</v>
      </c>
      <c r="D3510" s="1" t="e">
        <f aca="false" t="array" ref="D3510:D3510">IF(ISBLANK(_xlfn.xlookup(D$3,daily_items,_xlfn.xlookup($C3510,daily_dates,big_daily_table))),NA(),_xlfn.xlookup(D$3,daily_items,_xlfn.xlookup($C3510,daily_dates,big_daily_table)))</f>
        <v>#NAME?</v>
      </c>
      <c r="E3510" s="1" t="e">
        <f aca="false" t="array" ref="E3510:E3510">IF(ISBLANK(_xlfn.xlookup(E$3,daily_items,_xlfn.xlookup($C3510,daily_dates,big_daily_table))),NA(),_xlfn.xlookup(E$3,daily_items,_xlfn.xlookup($C3510,daily_dates,big_daily_table)))</f>
        <v>#NAME?</v>
      </c>
    </row>
    <row r="3511" customFormat="false" ht="14.25" hidden="false" customHeight="false" outlineLevel="0" collapsed="false">
      <c r="B3511" s="7" t="n">
        <v>44416</v>
      </c>
      <c r="C3511" s="7" t="n">
        <f aca="false">B3511-WEEKDAY(B3511)+1</f>
        <v>44416</v>
      </c>
      <c r="D3511" s="1" t="e">
        <f aca="false" t="array" ref="D3511:D3511">IF(ISBLANK(_xlfn.xlookup(D$3,daily_items,_xlfn.xlookup($C3511,daily_dates,big_daily_table))),NA(),_xlfn.xlookup(D$3,daily_items,_xlfn.xlookup($C3511,daily_dates,big_daily_table)))</f>
        <v>#NAME?</v>
      </c>
      <c r="E3511" s="1" t="e">
        <f aca="false" t="array" ref="E3511:E3511">IF(ISBLANK(_xlfn.xlookup(E$3,daily_items,_xlfn.xlookup($C3511,daily_dates,big_daily_table))),NA(),_xlfn.xlookup(E$3,daily_items,_xlfn.xlookup($C3511,daily_dates,big_daily_table)))</f>
        <v>#NAME?</v>
      </c>
    </row>
    <row r="3512" customFormat="false" ht="14.25" hidden="false" customHeight="false" outlineLevel="0" collapsed="false">
      <c r="B3512" s="7" t="n">
        <v>44417</v>
      </c>
      <c r="C3512" s="7" t="n">
        <f aca="false">B3512-WEEKDAY(B3512)+1</f>
        <v>44416</v>
      </c>
      <c r="D3512" s="1" t="e">
        <f aca="false" t="array" ref="D3512:D3512">IF(ISBLANK(_xlfn.xlookup(D$3,daily_items,_xlfn.xlookup($C3512,daily_dates,big_daily_table))),NA(),_xlfn.xlookup(D$3,daily_items,_xlfn.xlookup($C3512,daily_dates,big_daily_table)))</f>
        <v>#NAME?</v>
      </c>
      <c r="E3512" s="1" t="e">
        <f aca="false" t="array" ref="E3512:E3512">IF(ISBLANK(_xlfn.xlookup(E$3,daily_items,_xlfn.xlookup($C3512,daily_dates,big_daily_table))),NA(),_xlfn.xlookup(E$3,daily_items,_xlfn.xlookup($C3512,daily_dates,big_daily_table)))</f>
        <v>#NAME?</v>
      </c>
    </row>
    <row r="3513" customFormat="false" ht="14.25" hidden="false" customHeight="false" outlineLevel="0" collapsed="false">
      <c r="B3513" s="7" t="n">
        <v>44418</v>
      </c>
      <c r="C3513" s="7" t="n">
        <f aca="false">B3513-WEEKDAY(B3513)+1</f>
        <v>44416</v>
      </c>
      <c r="D3513" s="1" t="e">
        <f aca="false" t="array" ref="D3513:D3513">IF(ISBLANK(_xlfn.xlookup(D$3,daily_items,_xlfn.xlookup($C3513,daily_dates,big_daily_table))),NA(),_xlfn.xlookup(D$3,daily_items,_xlfn.xlookup($C3513,daily_dates,big_daily_table)))</f>
        <v>#NAME?</v>
      </c>
      <c r="E3513" s="1" t="e">
        <f aca="false" t="array" ref="E3513:E3513">IF(ISBLANK(_xlfn.xlookup(E$3,daily_items,_xlfn.xlookup($C3513,daily_dates,big_daily_table))),NA(),_xlfn.xlookup(E$3,daily_items,_xlfn.xlookup($C3513,daily_dates,big_daily_table)))</f>
        <v>#NAME?</v>
      </c>
    </row>
    <row r="3514" customFormat="false" ht="14.25" hidden="false" customHeight="false" outlineLevel="0" collapsed="false">
      <c r="B3514" s="7" t="n">
        <v>44419</v>
      </c>
      <c r="C3514" s="7" t="n">
        <f aca="false">B3514-WEEKDAY(B3514)+1</f>
        <v>44416</v>
      </c>
      <c r="D3514" s="1" t="e">
        <f aca="false" t="array" ref="D3514:D3514">IF(ISBLANK(_xlfn.xlookup(D$3,daily_items,_xlfn.xlookup($C3514,daily_dates,big_daily_table))),NA(),_xlfn.xlookup(D$3,daily_items,_xlfn.xlookup($C3514,daily_dates,big_daily_table)))</f>
        <v>#NAME?</v>
      </c>
      <c r="E3514" s="1" t="e">
        <f aca="false" t="array" ref="E3514:E3514">IF(ISBLANK(_xlfn.xlookup(E$3,daily_items,_xlfn.xlookup($C3514,daily_dates,big_daily_table))),NA(),_xlfn.xlookup(E$3,daily_items,_xlfn.xlookup($C3514,daily_dates,big_daily_table)))</f>
        <v>#NAME?</v>
      </c>
    </row>
    <row r="3515" customFormat="false" ht="14.25" hidden="false" customHeight="false" outlineLevel="0" collapsed="false">
      <c r="B3515" s="7" t="n">
        <v>44420</v>
      </c>
      <c r="C3515" s="7" t="n">
        <f aca="false">B3515-WEEKDAY(B3515)+1</f>
        <v>44416</v>
      </c>
      <c r="D3515" s="1" t="e">
        <f aca="false" t="array" ref="D3515:D3515">IF(ISBLANK(_xlfn.xlookup(D$3,daily_items,_xlfn.xlookup($C3515,daily_dates,big_daily_table))),NA(),_xlfn.xlookup(D$3,daily_items,_xlfn.xlookup($C3515,daily_dates,big_daily_table)))</f>
        <v>#NAME?</v>
      </c>
      <c r="E3515" s="1" t="e">
        <f aca="false" t="array" ref="E3515:E3515">IF(ISBLANK(_xlfn.xlookup(E$3,daily_items,_xlfn.xlookup($C3515,daily_dates,big_daily_table))),NA(),_xlfn.xlookup(E$3,daily_items,_xlfn.xlookup($C3515,daily_dates,big_daily_table)))</f>
        <v>#NAME?</v>
      </c>
    </row>
    <row r="3516" customFormat="false" ht="14.25" hidden="false" customHeight="false" outlineLevel="0" collapsed="false">
      <c r="B3516" s="7" t="n">
        <v>44421</v>
      </c>
      <c r="C3516" s="7" t="n">
        <f aca="false">B3516-WEEKDAY(B3516)+1</f>
        <v>44416</v>
      </c>
      <c r="D3516" s="1" t="e">
        <f aca="false" t="array" ref="D3516:D3516">IF(ISBLANK(_xlfn.xlookup(D$3,daily_items,_xlfn.xlookup($C3516,daily_dates,big_daily_table))),NA(),_xlfn.xlookup(D$3,daily_items,_xlfn.xlookup($C3516,daily_dates,big_daily_table)))</f>
        <v>#NAME?</v>
      </c>
      <c r="E3516" s="1" t="e">
        <f aca="false" t="array" ref="E3516:E3516">IF(ISBLANK(_xlfn.xlookup(E$3,daily_items,_xlfn.xlookup($C3516,daily_dates,big_daily_table))),NA(),_xlfn.xlookup(E$3,daily_items,_xlfn.xlookup($C3516,daily_dates,big_daily_table)))</f>
        <v>#NAME?</v>
      </c>
    </row>
    <row r="3517" customFormat="false" ht="14.25" hidden="false" customHeight="false" outlineLevel="0" collapsed="false">
      <c r="B3517" s="7" t="n">
        <v>44422</v>
      </c>
      <c r="C3517" s="7" t="n">
        <f aca="false">B3517-WEEKDAY(B3517)+1</f>
        <v>44416</v>
      </c>
      <c r="D3517" s="1" t="e">
        <f aca="false" t="array" ref="D3517:D3517">IF(ISBLANK(_xlfn.xlookup(D$3,daily_items,_xlfn.xlookup($C3517,daily_dates,big_daily_table))),NA(),_xlfn.xlookup(D$3,daily_items,_xlfn.xlookup($C3517,daily_dates,big_daily_table)))</f>
        <v>#NAME?</v>
      </c>
      <c r="E3517" s="1" t="e">
        <f aca="false" t="array" ref="E3517:E3517">IF(ISBLANK(_xlfn.xlookup(E$3,daily_items,_xlfn.xlookup($C3517,daily_dates,big_daily_table))),NA(),_xlfn.xlookup(E$3,daily_items,_xlfn.xlookup($C3517,daily_dates,big_daily_table)))</f>
        <v>#NAME?</v>
      </c>
    </row>
    <row r="3518" customFormat="false" ht="14.25" hidden="false" customHeight="false" outlineLevel="0" collapsed="false">
      <c r="B3518" s="7" t="n">
        <v>44423</v>
      </c>
      <c r="C3518" s="7" t="n">
        <f aca="false">B3518-WEEKDAY(B3518)+1</f>
        <v>44423</v>
      </c>
      <c r="D3518" s="1" t="e">
        <f aca="false" t="array" ref="D3518:D3518">IF(ISBLANK(_xlfn.xlookup(D$3,daily_items,_xlfn.xlookup($C3518,daily_dates,big_daily_table))),NA(),_xlfn.xlookup(D$3,daily_items,_xlfn.xlookup($C3518,daily_dates,big_daily_table)))</f>
        <v>#NAME?</v>
      </c>
      <c r="E3518" s="1" t="e">
        <f aca="false" t="array" ref="E3518:E3518">IF(ISBLANK(_xlfn.xlookup(E$3,daily_items,_xlfn.xlookup($C3518,daily_dates,big_daily_table))),NA(),_xlfn.xlookup(E$3,daily_items,_xlfn.xlookup($C3518,daily_dates,big_daily_table)))</f>
        <v>#NAME?</v>
      </c>
    </row>
    <row r="3519" customFormat="false" ht="14.25" hidden="false" customHeight="false" outlineLevel="0" collapsed="false">
      <c r="B3519" s="7" t="n">
        <v>44424</v>
      </c>
      <c r="C3519" s="7" t="n">
        <f aca="false">B3519-WEEKDAY(B3519)+1</f>
        <v>44423</v>
      </c>
      <c r="D3519" s="1" t="e">
        <f aca="false" t="array" ref="D3519:D3519">IF(ISBLANK(_xlfn.xlookup(D$3,daily_items,_xlfn.xlookup($C3519,daily_dates,big_daily_table))),NA(),_xlfn.xlookup(D$3,daily_items,_xlfn.xlookup($C3519,daily_dates,big_daily_table)))</f>
        <v>#NAME?</v>
      </c>
      <c r="E3519" s="1" t="e">
        <f aca="false" t="array" ref="E3519:E3519">IF(ISBLANK(_xlfn.xlookup(E$3,daily_items,_xlfn.xlookup($C3519,daily_dates,big_daily_table))),NA(),_xlfn.xlookup(E$3,daily_items,_xlfn.xlookup($C3519,daily_dates,big_daily_table)))</f>
        <v>#NAME?</v>
      </c>
    </row>
    <row r="3520" customFormat="false" ht="14.25" hidden="false" customHeight="false" outlineLevel="0" collapsed="false">
      <c r="B3520" s="7" t="n">
        <v>44425</v>
      </c>
      <c r="C3520" s="7" t="n">
        <f aca="false">B3520-WEEKDAY(B3520)+1</f>
        <v>44423</v>
      </c>
      <c r="D3520" s="1" t="e">
        <f aca="false" t="array" ref="D3520:D3520">IF(ISBLANK(_xlfn.xlookup(D$3,daily_items,_xlfn.xlookup($C3520,daily_dates,big_daily_table))),NA(),_xlfn.xlookup(D$3,daily_items,_xlfn.xlookup($C3520,daily_dates,big_daily_table)))</f>
        <v>#NAME?</v>
      </c>
      <c r="E3520" s="1" t="e">
        <f aca="false" t="array" ref="E3520:E3520">IF(ISBLANK(_xlfn.xlookup(E$3,daily_items,_xlfn.xlookup($C3520,daily_dates,big_daily_table))),NA(),_xlfn.xlookup(E$3,daily_items,_xlfn.xlookup($C3520,daily_dates,big_daily_table)))</f>
        <v>#NAME?</v>
      </c>
    </row>
    <row r="3521" customFormat="false" ht="14.25" hidden="false" customHeight="false" outlineLevel="0" collapsed="false">
      <c r="B3521" s="7" t="n">
        <v>44426</v>
      </c>
      <c r="C3521" s="7" t="n">
        <f aca="false">B3521-WEEKDAY(B3521)+1</f>
        <v>44423</v>
      </c>
      <c r="D3521" s="1" t="e">
        <f aca="false" t="array" ref="D3521:D3521">IF(ISBLANK(_xlfn.xlookup(D$3,daily_items,_xlfn.xlookup($C3521,daily_dates,big_daily_table))),NA(),_xlfn.xlookup(D$3,daily_items,_xlfn.xlookup($C3521,daily_dates,big_daily_table)))</f>
        <v>#NAME?</v>
      </c>
      <c r="E3521" s="1" t="e">
        <f aca="false" t="array" ref="E3521:E3521">IF(ISBLANK(_xlfn.xlookup(E$3,daily_items,_xlfn.xlookup($C3521,daily_dates,big_daily_table))),NA(),_xlfn.xlookup(E$3,daily_items,_xlfn.xlookup($C3521,daily_dates,big_daily_table)))</f>
        <v>#NAME?</v>
      </c>
    </row>
    <row r="3522" customFormat="false" ht="14.25" hidden="false" customHeight="false" outlineLevel="0" collapsed="false">
      <c r="B3522" s="7" t="n">
        <v>44427</v>
      </c>
      <c r="C3522" s="7" t="n">
        <f aca="false">B3522-WEEKDAY(B3522)+1</f>
        <v>44423</v>
      </c>
      <c r="D3522" s="1" t="e">
        <f aca="false" t="array" ref="D3522:D3522">IF(ISBLANK(_xlfn.xlookup(D$3,daily_items,_xlfn.xlookup($C3522,daily_dates,big_daily_table))),NA(),_xlfn.xlookup(D$3,daily_items,_xlfn.xlookup($C3522,daily_dates,big_daily_table)))</f>
        <v>#NAME?</v>
      </c>
      <c r="E3522" s="1" t="e">
        <f aca="false" t="array" ref="E3522:E3522">IF(ISBLANK(_xlfn.xlookup(E$3,daily_items,_xlfn.xlookup($C3522,daily_dates,big_daily_table))),NA(),_xlfn.xlookup(E$3,daily_items,_xlfn.xlookup($C3522,daily_dates,big_daily_table)))</f>
        <v>#NAME?</v>
      </c>
    </row>
    <row r="3523" customFormat="false" ht="14.25" hidden="false" customHeight="false" outlineLevel="0" collapsed="false">
      <c r="B3523" s="7" t="n">
        <v>44428</v>
      </c>
      <c r="C3523" s="7" t="n">
        <f aca="false">B3523-WEEKDAY(B3523)+1</f>
        <v>44423</v>
      </c>
      <c r="D3523" s="1" t="e">
        <f aca="false" t="array" ref="D3523:D3523">IF(ISBLANK(_xlfn.xlookup(D$3,daily_items,_xlfn.xlookup($C3523,daily_dates,big_daily_table))),NA(),_xlfn.xlookup(D$3,daily_items,_xlfn.xlookup($C3523,daily_dates,big_daily_table)))</f>
        <v>#NAME?</v>
      </c>
      <c r="E3523" s="1" t="e">
        <f aca="false" t="array" ref="E3523:E3523">IF(ISBLANK(_xlfn.xlookup(E$3,daily_items,_xlfn.xlookup($C3523,daily_dates,big_daily_table))),NA(),_xlfn.xlookup(E$3,daily_items,_xlfn.xlookup($C3523,daily_dates,big_daily_table)))</f>
        <v>#NAME?</v>
      </c>
    </row>
    <row r="3524" customFormat="false" ht="14.25" hidden="false" customHeight="false" outlineLevel="0" collapsed="false">
      <c r="B3524" s="7" t="n">
        <v>44429</v>
      </c>
      <c r="C3524" s="7" t="n">
        <f aca="false">B3524-WEEKDAY(B3524)+1</f>
        <v>44423</v>
      </c>
      <c r="D3524" s="1" t="e">
        <f aca="false" t="array" ref="D3524:D3524">IF(ISBLANK(_xlfn.xlookup(D$3,daily_items,_xlfn.xlookup($C3524,daily_dates,big_daily_table))),NA(),_xlfn.xlookup(D$3,daily_items,_xlfn.xlookup($C3524,daily_dates,big_daily_table)))</f>
        <v>#NAME?</v>
      </c>
      <c r="E3524" s="1" t="e">
        <f aca="false" t="array" ref="E3524:E3524">IF(ISBLANK(_xlfn.xlookup(E$3,daily_items,_xlfn.xlookup($C3524,daily_dates,big_daily_table))),NA(),_xlfn.xlookup(E$3,daily_items,_xlfn.xlookup($C3524,daily_dates,big_daily_table)))</f>
        <v>#NAME?</v>
      </c>
    </row>
    <row r="3525" customFormat="false" ht="14.25" hidden="false" customHeight="false" outlineLevel="0" collapsed="false">
      <c r="B3525" s="7" t="n">
        <v>44430</v>
      </c>
      <c r="C3525" s="7" t="n">
        <f aca="false">B3525-WEEKDAY(B3525)+1</f>
        <v>44430</v>
      </c>
      <c r="D3525" s="1" t="e">
        <f aca="false" t="array" ref="D3525:D3525">IF(ISBLANK(_xlfn.xlookup(D$3,daily_items,_xlfn.xlookup($C3525,daily_dates,big_daily_table))),NA(),_xlfn.xlookup(D$3,daily_items,_xlfn.xlookup($C3525,daily_dates,big_daily_table)))</f>
        <v>#NAME?</v>
      </c>
      <c r="E3525" s="1" t="e">
        <f aca="false" t="array" ref="E3525:E3525">IF(ISBLANK(_xlfn.xlookup(E$3,daily_items,_xlfn.xlookup($C3525,daily_dates,big_daily_table))),NA(),_xlfn.xlookup(E$3,daily_items,_xlfn.xlookup($C3525,daily_dates,big_daily_table)))</f>
        <v>#NAME?</v>
      </c>
    </row>
    <row r="3526" customFormat="false" ht="14.25" hidden="false" customHeight="false" outlineLevel="0" collapsed="false">
      <c r="B3526" s="7" t="n">
        <v>44431</v>
      </c>
      <c r="C3526" s="7" t="n">
        <f aca="false">B3526-WEEKDAY(B3526)+1</f>
        <v>44430</v>
      </c>
      <c r="D3526" s="1" t="e">
        <f aca="false" t="array" ref="D3526:D3526">IF(ISBLANK(_xlfn.xlookup(D$3,daily_items,_xlfn.xlookup($C3526,daily_dates,big_daily_table))),NA(),_xlfn.xlookup(D$3,daily_items,_xlfn.xlookup($C3526,daily_dates,big_daily_table)))</f>
        <v>#NAME?</v>
      </c>
      <c r="E3526" s="1" t="e">
        <f aca="false" t="array" ref="E3526:E3526">IF(ISBLANK(_xlfn.xlookup(E$3,daily_items,_xlfn.xlookup($C3526,daily_dates,big_daily_table))),NA(),_xlfn.xlookup(E$3,daily_items,_xlfn.xlookup($C3526,daily_dates,big_daily_table)))</f>
        <v>#NAME?</v>
      </c>
    </row>
    <row r="3527" customFormat="false" ht="14.25" hidden="false" customHeight="false" outlineLevel="0" collapsed="false">
      <c r="B3527" s="7" t="n">
        <v>44432</v>
      </c>
      <c r="C3527" s="7" t="n">
        <f aca="false">B3527-WEEKDAY(B3527)+1</f>
        <v>44430</v>
      </c>
      <c r="D3527" s="1" t="e">
        <f aca="false" t="array" ref="D3527:D3527">IF(ISBLANK(_xlfn.xlookup(D$3,daily_items,_xlfn.xlookup($C3527,daily_dates,big_daily_table))),NA(),_xlfn.xlookup(D$3,daily_items,_xlfn.xlookup($C3527,daily_dates,big_daily_table)))</f>
        <v>#NAME?</v>
      </c>
      <c r="E3527" s="1" t="e">
        <f aca="false" t="array" ref="E3527:E3527">IF(ISBLANK(_xlfn.xlookup(E$3,daily_items,_xlfn.xlookup($C3527,daily_dates,big_daily_table))),NA(),_xlfn.xlookup(E$3,daily_items,_xlfn.xlookup($C3527,daily_dates,big_daily_table)))</f>
        <v>#NAME?</v>
      </c>
    </row>
    <row r="3528" customFormat="false" ht="14.25" hidden="false" customHeight="false" outlineLevel="0" collapsed="false">
      <c r="B3528" s="7" t="n">
        <v>44433</v>
      </c>
      <c r="C3528" s="7" t="n">
        <f aca="false">B3528-WEEKDAY(B3528)+1</f>
        <v>44430</v>
      </c>
      <c r="D3528" s="1" t="e">
        <f aca="false" t="array" ref="D3528:D3528">IF(ISBLANK(_xlfn.xlookup(D$3,daily_items,_xlfn.xlookup($C3528,daily_dates,big_daily_table))),NA(),_xlfn.xlookup(D$3,daily_items,_xlfn.xlookup($C3528,daily_dates,big_daily_table)))</f>
        <v>#NAME?</v>
      </c>
      <c r="E3528" s="1" t="e">
        <f aca="false" t="array" ref="E3528:E3528">IF(ISBLANK(_xlfn.xlookup(E$3,daily_items,_xlfn.xlookup($C3528,daily_dates,big_daily_table))),NA(),_xlfn.xlookup(E$3,daily_items,_xlfn.xlookup($C3528,daily_dates,big_daily_table)))</f>
        <v>#NAME?</v>
      </c>
    </row>
    <row r="3529" customFormat="false" ht="14.25" hidden="false" customHeight="false" outlineLevel="0" collapsed="false">
      <c r="B3529" s="7" t="n">
        <v>44434</v>
      </c>
      <c r="C3529" s="7" t="n">
        <f aca="false">B3529-WEEKDAY(B3529)+1</f>
        <v>44430</v>
      </c>
      <c r="D3529" s="1" t="e">
        <f aca="false" t="array" ref="D3529:D3529">IF(ISBLANK(_xlfn.xlookup(D$3,daily_items,_xlfn.xlookup($C3529,daily_dates,big_daily_table))),NA(),_xlfn.xlookup(D$3,daily_items,_xlfn.xlookup($C3529,daily_dates,big_daily_table)))</f>
        <v>#NAME?</v>
      </c>
      <c r="E3529" s="1" t="e">
        <f aca="false" t="array" ref="E3529:E3529">IF(ISBLANK(_xlfn.xlookup(E$3,daily_items,_xlfn.xlookup($C3529,daily_dates,big_daily_table))),NA(),_xlfn.xlookup(E$3,daily_items,_xlfn.xlookup($C3529,daily_dates,big_daily_table)))</f>
        <v>#NAME?</v>
      </c>
    </row>
    <row r="3530" customFormat="false" ht="14.25" hidden="false" customHeight="false" outlineLevel="0" collapsed="false">
      <c r="B3530" s="7" t="n">
        <v>44435</v>
      </c>
      <c r="C3530" s="7" t="n">
        <f aca="false">B3530-WEEKDAY(B3530)+1</f>
        <v>44430</v>
      </c>
      <c r="D3530" s="1" t="e">
        <f aca="false" t="array" ref="D3530:D3530">IF(ISBLANK(_xlfn.xlookup(D$3,daily_items,_xlfn.xlookup($C3530,daily_dates,big_daily_table))),NA(),_xlfn.xlookup(D$3,daily_items,_xlfn.xlookup($C3530,daily_dates,big_daily_table)))</f>
        <v>#NAME?</v>
      </c>
      <c r="E3530" s="1" t="e">
        <f aca="false" t="array" ref="E3530:E3530">IF(ISBLANK(_xlfn.xlookup(E$3,daily_items,_xlfn.xlookup($C3530,daily_dates,big_daily_table))),NA(),_xlfn.xlookup(E$3,daily_items,_xlfn.xlookup($C3530,daily_dates,big_daily_table)))</f>
        <v>#NAME?</v>
      </c>
    </row>
    <row r="3531" customFormat="false" ht="14.25" hidden="false" customHeight="false" outlineLevel="0" collapsed="false">
      <c r="B3531" s="7" t="n">
        <v>44436</v>
      </c>
      <c r="C3531" s="7" t="n">
        <f aca="false">B3531-WEEKDAY(B3531)+1</f>
        <v>44430</v>
      </c>
      <c r="D3531" s="1" t="e">
        <f aca="false" t="array" ref="D3531:D3531">IF(ISBLANK(_xlfn.xlookup(D$3,daily_items,_xlfn.xlookup($C3531,daily_dates,big_daily_table))),NA(),_xlfn.xlookup(D$3,daily_items,_xlfn.xlookup($C3531,daily_dates,big_daily_table)))</f>
        <v>#NAME?</v>
      </c>
      <c r="E3531" s="1" t="e">
        <f aca="false" t="array" ref="E3531:E3531">IF(ISBLANK(_xlfn.xlookup(E$3,daily_items,_xlfn.xlookup($C3531,daily_dates,big_daily_table))),NA(),_xlfn.xlookup(E$3,daily_items,_xlfn.xlookup($C3531,daily_dates,big_daily_table)))</f>
        <v>#NAME?</v>
      </c>
    </row>
    <row r="3532" customFormat="false" ht="14.25" hidden="false" customHeight="false" outlineLevel="0" collapsed="false">
      <c r="B3532" s="7" t="n">
        <v>44437</v>
      </c>
      <c r="C3532" s="7" t="n">
        <f aca="false">B3532-WEEKDAY(B3532)+1</f>
        <v>44437</v>
      </c>
      <c r="D3532" s="1" t="e">
        <f aca="false" t="array" ref="D3532:D3532">IF(ISBLANK(_xlfn.xlookup(D$3,daily_items,_xlfn.xlookup($C3532,daily_dates,big_daily_table))),NA(),_xlfn.xlookup(D$3,daily_items,_xlfn.xlookup($C3532,daily_dates,big_daily_table)))</f>
        <v>#NAME?</v>
      </c>
      <c r="E3532" s="1" t="e">
        <f aca="false" t="array" ref="E3532:E3532">IF(ISBLANK(_xlfn.xlookup(E$3,daily_items,_xlfn.xlookup($C3532,daily_dates,big_daily_table))),NA(),_xlfn.xlookup(E$3,daily_items,_xlfn.xlookup($C3532,daily_dates,big_daily_table)))</f>
        <v>#NAME?</v>
      </c>
    </row>
    <row r="3533" customFormat="false" ht="14.25" hidden="false" customHeight="false" outlineLevel="0" collapsed="false">
      <c r="B3533" s="7" t="n">
        <v>44438</v>
      </c>
      <c r="C3533" s="7" t="n">
        <f aca="false">B3533-WEEKDAY(B3533)+1</f>
        <v>44437</v>
      </c>
      <c r="D3533" s="1" t="e">
        <f aca="false" t="array" ref="D3533:D3533">IF(ISBLANK(_xlfn.xlookup(D$3,daily_items,_xlfn.xlookup($C3533,daily_dates,big_daily_table))),NA(),_xlfn.xlookup(D$3,daily_items,_xlfn.xlookup($C3533,daily_dates,big_daily_table)))</f>
        <v>#NAME?</v>
      </c>
      <c r="E3533" s="1" t="e">
        <f aca="false" t="array" ref="E3533:E3533">IF(ISBLANK(_xlfn.xlookup(E$3,daily_items,_xlfn.xlookup($C3533,daily_dates,big_daily_table))),NA(),_xlfn.xlookup(E$3,daily_items,_xlfn.xlookup($C3533,daily_dates,big_daily_table)))</f>
        <v>#NAME?</v>
      </c>
    </row>
    <row r="3534" customFormat="false" ht="14.25" hidden="false" customHeight="false" outlineLevel="0" collapsed="false">
      <c r="B3534" s="7" t="n">
        <v>44439</v>
      </c>
      <c r="C3534" s="7" t="n">
        <f aca="false">B3534-WEEKDAY(B3534)+1</f>
        <v>44437</v>
      </c>
      <c r="D3534" s="1" t="e">
        <f aca="false" t="array" ref="D3534:D3534">IF(ISBLANK(_xlfn.xlookup(D$3,daily_items,_xlfn.xlookup($C3534,daily_dates,big_daily_table))),NA(),_xlfn.xlookup(D$3,daily_items,_xlfn.xlookup($C3534,daily_dates,big_daily_table)))</f>
        <v>#NAME?</v>
      </c>
      <c r="E3534" s="1" t="e">
        <f aca="false" t="array" ref="E3534:E3534">IF(ISBLANK(_xlfn.xlookup(E$3,daily_items,_xlfn.xlookup($C3534,daily_dates,big_daily_table))),NA(),_xlfn.xlookup(E$3,daily_items,_xlfn.xlookup($C3534,daily_dates,big_daily_table)))</f>
        <v>#NAME?</v>
      </c>
    </row>
    <row r="3535" customFormat="false" ht="14.25" hidden="false" customHeight="false" outlineLevel="0" collapsed="false">
      <c r="B3535" s="7" t="n">
        <v>44440</v>
      </c>
      <c r="C3535" s="7" t="n">
        <f aca="false">B3535-WEEKDAY(B3535)+1</f>
        <v>44437</v>
      </c>
      <c r="D3535" s="1" t="e">
        <f aca="false" t="array" ref="D3535:D3535">IF(ISBLANK(_xlfn.xlookup(D$3,daily_items,_xlfn.xlookup($C3535,daily_dates,big_daily_table))),NA(),_xlfn.xlookup(D$3,daily_items,_xlfn.xlookup($C3535,daily_dates,big_daily_table)))</f>
        <v>#NAME?</v>
      </c>
      <c r="E3535" s="1" t="e">
        <f aca="false" t="array" ref="E3535:E3535">IF(ISBLANK(_xlfn.xlookup(E$3,daily_items,_xlfn.xlookup($C3535,daily_dates,big_daily_table))),NA(),_xlfn.xlookup(E$3,daily_items,_xlfn.xlookup($C3535,daily_dates,big_daily_table)))</f>
        <v>#NAME?</v>
      </c>
    </row>
    <row r="3536" customFormat="false" ht="14.25" hidden="false" customHeight="false" outlineLevel="0" collapsed="false">
      <c r="B3536" s="7" t="n">
        <v>44441</v>
      </c>
      <c r="C3536" s="7" t="n">
        <f aca="false">B3536-WEEKDAY(B3536)+1</f>
        <v>44437</v>
      </c>
      <c r="D3536" s="1" t="e">
        <f aca="false" t="array" ref="D3536:D3536">IF(ISBLANK(_xlfn.xlookup(D$3,daily_items,_xlfn.xlookup($C3536,daily_dates,big_daily_table))),NA(),_xlfn.xlookup(D$3,daily_items,_xlfn.xlookup($C3536,daily_dates,big_daily_table)))</f>
        <v>#NAME?</v>
      </c>
      <c r="E3536" s="1" t="e">
        <f aca="false" t="array" ref="E3536:E3536">IF(ISBLANK(_xlfn.xlookup(E$3,daily_items,_xlfn.xlookup($C3536,daily_dates,big_daily_table))),NA(),_xlfn.xlookup(E$3,daily_items,_xlfn.xlookup($C3536,daily_dates,big_daily_table)))</f>
        <v>#NAME?</v>
      </c>
    </row>
    <row r="3537" customFormat="false" ht="14.25" hidden="false" customHeight="false" outlineLevel="0" collapsed="false">
      <c r="B3537" s="7" t="n">
        <v>44442</v>
      </c>
      <c r="C3537" s="7" t="n">
        <f aca="false">B3537-WEEKDAY(B3537)+1</f>
        <v>44437</v>
      </c>
      <c r="D3537" s="1" t="e">
        <f aca="false" t="array" ref="D3537:D3537">IF(ISBLANK(_xlfn.xlookup(D$3,daily_items,_xlfn.xlookup($C3537,daily_dates,big_daily_table))),NA(),_xlfn.xlookup(D$3,daily_items,_xlfn.xlookup($C3537,daily_dates,big_daily_table)))</f>
        <v>#NAME?</v>
      </c>
      <c r="E3537" s="1" t="e">
        <f aca="false" t="array" ref="E3537:E3537">IF(ISBLANK(_xlfn.xlookup(E$3,daily_items,_xlfn.xlookup($C3537,daily_dates,big_daily_table))),NA(),_xlfn.xlookup(E$3,daily_items,_xlfn.xlookup($C3537,daily_dates,big_daily_table)))</f>
        <v>#NAME?</v>
      </c>
    </row>
    <row r="3538" customFormat="false" ht="14.25" hidden="false" customHeight="false" outlineLevel="0" collapsed="false">
      <c r="B3538" s="7" t="n">
        <v>44443</v>
      </c>
      <c r="C3538" s="7" t="n">
        <f aca="false">B3538-WEEKDAY(B3538)+1</f>
        <v>44437</v>
      </c>
      <c r="D3538" s="1" t="e">
        <f aca="false" t="array" ref="D3538:D3538">IF(ISBLANK(_xlfn.xlookup(D$3,daily_items,_xlfn.xlookup($C3538,daily_dates,big_daily_table))),NA(),_xlfn.xlookup(D$3,daily_items,_xlfn.xlookup($C3538,daily_dates,big_daily_table)))</f>
        <v>#NAME?</v>
      </c>
      <c r="E3538" s="1" t="e">
        <f aca="false" t="array" ref="E3538:E3538">IF(ISBLANK(_xlfn.xlookup(E$3,daily_items,_xlfn.xlookup($C3538,daily_dates,big_daily_table))),NA(),_xlfn.xlookup(E$3,daily_items,_xlfn.xlookup($C3538,daily_dates,big_daily_table)))</f>
        <v>#NAME?</v>
      </c>
    </row>
    <row r="3539" customFormat="false" ht="14.25" hidden="false" customHeight="false" outlineLevel="0" collapsed="false">
      <c r="B3539" s="7" t="n">
        <v>44444</v>
      </c>
      <c r="C3539" s="7" t="n">
        <f aca="false">B3539-WEEKDAY(B3539)+1</f>
        <v>44444</v>
      </c>
      <c r="D3539" s="1" t="e">
        <f aca="false" t="array" ref="D3539:D3539">IF(ISBLANK(_xlfn.xlookup(D$3,daily_items,_xlfn.xlookup($C3539,daily_dates,big_daily_table))),NA(),_xlfn.xlookup(D$3,daily_items,_xlfn.xlookup($C3539,daily_dates,big_daily_table)))</f>
        <v>#NAME?</v>
      </c>
      <c r="E3539" s="1" t="e">
        <f aca="false" t="array" ref="E3539:E3539">IF(ISBLANK(_xlfn.xlookup(E$3,daily_items,_xlfn.xlookup($C3539,daily_dates,big_daily_table))),NA(),_xlfn.xlookup(E$3,daily_items,_xlfn.xlookup($C3539,daily_dates,big_daily_table)))</f>
        <v>#NAME?</v>
      </c>
    </row>
    <row r="3540" customFormat="false" ht="14.25" hidden="false" customHeight="false" outlineLevel="0" collapsed="false">
      <c r="B3540" s="7" t="n">
        <v>44445</v>
      </c>
      <c r="C3540" s="7" t="n">
        <f aca="false">B3540-WEEKDAY(B3540)+1</f>
        <v>44444</v>
      </c>
      <c r="D3540" s="1" t="e">
        <f aca="false" t="array" ref="D3540:D3540">IF(ISBLANK(_xlfn.xlookup(D$3,daily_items,_xlfn.xlookup($C3540,daily_dates,big_daily_table))),NA(),_xlfn.xlookup(D$3,daily_items,_xlfn.xlookup($C3540,daily_dates,big_daily_table)))</f>
        <v>#NAME?</v>
      </c>
      <c r="E3540" s="1" t="e">
        <f aca="false" t="array" ref="E3540:E3540">IF(ISBLANK(_xlfn.xlookup(E$3,daily_items,_xlfn.xlookup($C3540,daily_dates,big_daily_table))),NA(),_xlfn.xlookup(E$3,daily_items,_xlfn.xlookup($C3540,daily_dates,big_daily_table)))</f>
        <v>#NAME?</v>
      </c>
    </row>
    <row r="3541" customFormat="false" ht="14.25" hidden="false" customHeight="false" outlineLevel="0" collapsed="false">
      <c r="B3541" s="7" t="n">
        <v>44446</v>
      </c>
      <c r="C3541" s="7" t="n">
        <f aca="false">B3541-WEEKDAY(B3541)+1</f>
        <v>44444</v>
      </c>
      <c r="D3541" s="1" t="e">
        <f aca="false" t="array" ref="D3541:D3541">IF(ISBLANK(_xlfn.xlookup(D$3,daily_items,_xlfn.xlookup($C3541,daily_dates,big_daily_table))),NA(),_xlfn.xlookup(D$3,daily_items,_xlfn.xlookup($C3541,daily_dates,big_daily_table)))</f>
        <v>#NAME?</v>
      </c>
      <c r="E3541" s="1" t="e">
        <f aca="false" t="array" ref="E3541:E3541">IF(ISBLANK(_xlfn.xlookup(E$3,daily_items,_xlfn.xlookup($C3541,daily_dates,big_daily_table))),NA(),_xlfn.xlookup(E$3,daily_items,_xlfn.xlookup($C3541,daily_dates,big_daily_table)))</f>
        <v>#NAME?</v>
      </c>
    </row>
    <row r="3542" customFormat="false" ht="14.25" hidden="false" customHeight="false" outlineLevel="0" collapsed="false">
      <c r="B3542" s="7" t="n">
        <v>44447</v>
      </c>
      <c r="C3542" s="7" t="n">
        <f aca="false">B3542-WEEKDAY(B3542)+1</f>
        <v>44444</v>
      </c>
      <c r="D3542" s="1" t="e">
        <f aca="false" t="array" ref="D3542:D3542">IF(ISBLANK(_xlfn.xlookup(D$3,daily_items,_xlfn.xlookup($C3542,daily_dates,big_daily_table))),NA(),_xlfn.xlookup(D$3,daily_items,_xlfn.xlookup($C3542,daily_dates,big_daily_table)))</f>
        <v>#NAME?</v>
      </c>
      <c r="E3542" s="1" t="e">
        <f aca="false" t="array" ref="E3542:E3542">IF(ISBLANK(_xlfn.xlookup(E$3,daily_items,_xlfn.xlookup($C3542,daily_dates,big_daily_table))),NA(),_xlfn.xlookup(E$3,daily_items,_xlfn.xlookup($C3542,daily_dates,big_daily_table)))</f>
        <v>#NAME?</v>
      </c>
    </row>
    <row r="3543" customFormat="false" ht="14.25" hidden="false" customHeight="false" outlineLevel="0" collapsed="false">
      <c r="B3543" s="7" t="n">
        <v>44448</v>
      </c>
      <c r="C3543" s="7" t="n">
        <f aca="false">B3543-WEEKDAY(B3543)+1</f>
        <v>44444</v>
      </c>
      <c r="D3543" s="1" t="e">
        <f aca="false" t="array" ref="D3543:D3543">IF(ISBLANK(_xlfn.xlookup(D$3,daily_items,_xlfn.xlookup($C3543,daily_dates,big_daily_table))),NA(),_xlfn.xlookup(D$3,daily_items,_xlfn.xlookup($C3543,daily_dates,big_daily_table)))</f>
        <v>#NAME?</v>
      </c>
      <c r="E3543" s="1" t="e">
        <f aca="false" t="array" ref="E3543:E3543">IF(ISBLANK(_xlfn.xlookup(E$3,daily_items,_xlfn.xlookup($C3543,daily_dates,big_daily_table))),NA(),_xlfn.xlookup(E$3,daily_items,_xlfn.xlookup($C3543,daily_dates,big_daily_table)))</f>
        <v>#NAME?</v>
      </c>
    </row>
    <row r="3544" customFormat="false" ht="14.25" hidden="false" customHeight="false" outlineLevel="0" collapsed="false">
      <c r="B3544" s="7" t="n">
        <v>44449</v>
      </c>
      <c r="C3544" s="7" t="n">
        <f aca="false">B3544-WEEKDAY(B3544)+1</f>
        <v>44444</v>
      </c>
      <c r="D3544" s="1" t="e">
        <f aca="false" t="array" ref="D3544:D3544">IF(ISBLANK(_xlfn.xlookup(D$3,daily_items,_xlfn.xlookup($C3544,daily_dates,big_daily_table))),NA(),_xlfn.xlookup(D$3,daily_items,_xlfn.xlookup($C3544,daily_dates,big_daily_table)))</f>
        <v>#NAME?</v>
      </c>
      <c r="E3544" s="1" t="e">
        <f aca="false" t="array" ref="E3544:E3544">IF(ISBLANK(_xlfn.xlookup(E$3,daily_items,_xlfn.xlookup($C3544,daily_dates,big_daily_table))),NA(),_xlfn.xlookup(E$3,daily_items,_xlfn.xlookup($C3544,daily_dates,big_daily_table)))</f>
        <v>#NAME?</v>
      </c>
    </row>
    <row r="3545" customFormat="false" ht="14.25" hidden="false" customHeight="false" outlineLevel="0" collapsed="false">
      <c r="B3545" s="7" t="n">
        <v>44450</v>
      </c>
      <c r="C3545" s="7" t="n">
        <f aca="false">B3545-WEEKDAY(B3545)+1</f>
        <v>44444</v>
      </c>
      <c r="D3545" s="1" t="e">
        <f aca="false" t="array" ref="D3545:D3545">IF(ISBLANK(_xlfn.xlookup(D$3,daily_items,_xlfn.xlookup($C3545,daily_dates,big_daily_table))),NA(),_xlfn.xlookup(D$3,daily_items,_xlfn.xlookup($C3545,daily_dates,big_daily_table)))</f>
        <v>#NAME?</v>
      </c>
      <c r="E3545" s="1" t="e">
        <f aca="false" t="array" ref="E3545:E3545">IF(ISBLANK(_xlfn.xlookup(E$3,daily_items,_xlfn.xlookup($C3545,daily_dates,big_daily_table))),NA(),_xlfn.xlookup(E$3,daily_items,_xlfn.xlookup($C3545,daily_dates,big_daily_table)))</f>
        <v>#NAME?</v>
      </c>
    </row>
    <row r="3546" customFormat="false" ht="14.25" hidden="false" customHeight="false" outlineLevel="0" collapsed="false">
      <c r="B3546" s="7" t="n">
        <v>44451</v>
      </c>
      <c r="C3546" s="7" t="n">
        <f aca="false">B3546-WEEKDAY(B3546)+1</f>
        <v>44451</v>
      </c>
      <c r="D3546" s="1" t="e">
        <f aca="false" t="array" ref="D3546:D3546">IF(ISBLANK(_xlfn.xlookup(D$3,daily_items,_xlfn.xlookup($C3546,daily_dates,big_daily_table))),NA(),_xlfn.xlookup(D$3,daily_items,_xlfn.xlookup($C3546,daily_dates,big_daily_table)))</f>
        <v>#NAME?</v>
      </c>
      <c r="E3546" s="1" t="e">
        <f aca="false" t="array" ref="E3546:E3546">IF(ISBLANK(_xlfn.xlookup(E$3,daily_items,_xlfn.xlookup($C3546,daily_dates,big_daily_table))),NA(),_xlfn.xlookup(E$3,daily_items,_xlfn.xlookup($C3546,daily_dates,big_daily_table)))</f>
        <v>#NAME?</v>
      </c>
    </row>
    <row r="3547" customFormat="false" ht="14.25" hidden="false" customHeight="false" outlineLevel="0" collapsed="false">
      <c r="B3547" s="7" t="n">
        <v>44452</v>
      </c>
      <c r="C3547" s="7" t="n">
        <f aca="false">B3547-WEEKDAY(B3547)+1</f>
        <v>44451</v>
      </c>
      <c r="D3547" s="1" t="e">
        <f aca="false" t="array" ref="D3547:D3547">IF(ISBLANK(_xlfn.xlookup(D$3,daily_items,_xlfn.xlookup($C3547,daily_dates,big_daily_table))),NA(),_xlfn.xlookup(D$3,daily_items,_xlfn.xlookup($C3547,daily_dates,big_daily_table)))</f>
        <v>#NAME?</v>
      </c>
      <c r="E3547" s="1" t="e">
        <f aca="false" t="array" ref="E3547:E3547">IF(ISBLANK(_xlfn.xlookup(E$3,daily_items,_xlfn.xlookup($C3547,daily_dates,big_daily_table))),NA(),_xlfn.xlookup(E$3,daily_items,_xlfn.xlookup($C3547,daily_dates,big_daily_table)))</f>
        <v>#NAME?</v>
      </c>
    </row>
    <row r="3548" customFormat="false" ht="14.25" hidden="false" customHeight="false" outlineLevel="0" collapsed="false">
      <c r="B3548" s="7" t="n">
        <v>44453</v>
      </c>
      <c r="C3548" s="7" t="n">
        <f aca="false">B3548-WEEKDAY(B3548)+1</f>
        <v>44451</v>
      </c>
      <c r="D3548" s="1" t="e">
        <f aca="false" t="array" ref="D3548:D3548">IF(ISBLANK(_xlfn.xlookup(D$3,daily_items,_xlfn.xlookup($C3548,daily_dates,big_daily_table))),NA(),_xlfn.xlookup(D$3,daily_items,_xlfn.xlookup($C3548,daily_dates,big_daily_table)))</f>
        <v>#NAME?</v>
      </c>
      <c r="E3548" s="1" t="e">
        <f aca="false" t="array" ref="E3548:E3548">IF(ISBLANK(_xlfn.xlookup(E$3,daily_items,_xlfn.xlookup($C3548,daily_dates,big_daily_table))),NA(),_xlfn.xlookup(E$3,daily_items,_xlfn.xlookup($C3548,daily_dates,big_daily_table)))</f>
        <v>#NAME?</v>
      </c>
    </row>
    <row r="3549" customFormat="false" ht="14.25" hidden="false" customHeight="false" outlineLevel="0" collapsed="false">
      <c r="B3549" s="7" t="n">
        <v>44454</v>
      </c>
      <c r="C3549" s="7" t="n">
        <f aca="false">B3549-WEEKDAY(B3549)+1</f>
        <v>44451</v>
      </c>
      <c r="D3549" s="1" t="e">
        <f aca="false" t="array" ref="D3549:D3549">IF(ISBLANK(_xlfn.xlookup(D$3,daily_items,_xlfn.xlookup($C3549,daily_dates,big_daily_table))),NA(),_xlfn.xlookup(D$3,daily_items,_xlfn.xlookup($C3549,daily_dates,big_daily_table)))</f>
        <v>#NAME?</v>
      </c>
      <c r="E3549" s="1" t="e">
        <f aca="false" t="array" ref="E3549:E3549">IF(ISBLANK(_xlfn.xlookup(E$3,daily_items,_xlfn.xlookup($C3549,daily_dates,big_daily_table))),NA(),_xlfn.xlookup(E$3,daily_items,_xlfn.xlookup($C3549,daily_dates,big_daily_table)))</f>
        <v>#NAME?</v>
      </c>
    </row>
    <row r="3550" customFormat="false" ht="14.25" hidden="false" customHeight="false" outlineLevel="0" collapsed="false">
      <c r="B3550" s="7" t="n">
        <v>44455</v>
      </c>
      <c r="C3550" s="7" t="n">
        <f aca="false">B3550-WEEKDAY(B3550)+1</f>
        <v>44451</v>
      </c>
      <c r="D3550" s="1" t="e">
        <f aca="false" t="array" ref="D3550:D3550">IF(ISBLANK(_xlfn.xlookup(D$3,daily_items,_xlfn.xlookup($C3550,daily_dates,big_daily_table))),NA(),_xlfn.xlookup(D$3,daily_items,_xlfn.xlookup($C3550,daily_dates,big_daily_table)))</f>
        <v>#NAME?</v>
      </c>
      <c r="E3550" s="1" t="e">
        <f aca="false" t="array" ref="E3550:E3550">IF(ISBLANK(_xlfn.xlookup(E$3,daily_items,_xlfn.xlookup($C3550,daily_dates,big_daily_table))),NA(),_xlfn.xlookup(E$3,daily_items,_xlfn.xlookup($C3550,daily_dates,big_daily_table)))</f>
        <v>#NAME?</v>
      </c>
    </row>
    <row r="3551" customFormat="false" ht="14.25" hidden="false" customHeight="false" outlineLevel="0" collapsed="false">
      <c r="B3551" s="7" t="n">
        <v>44456</v>
      </c>
      <c r="C3551" s="7" t="n">
        <f aca="false">B3551-WEEKDAY(B3551)+1</f>
        <v>44451</v>
      </c>
      <c r="D3551" s="1" t="e">
        <f aca="false" t="array" ref="D3551:D3551">IF(ISBLANK(_xlfn.xlookup(D$3,daily_items,_xlfn.xlookup($C3551,daily_dates,big_daily_table))),NA(),_xlfn.xlookup(D$3,daily_items,_xlfn.xlookup($C3551,daily_dates,big_daily_table)))</f>
        <v>#NAME?</v>
      </c>
      <c r="E3551" s="1" t="e">
        <f aca="false" t="array" ref="E3551:E3551">IF(ISBLANK(_xlfn.xlookup(E$3,daily_items,_xlfn.xlookup($C3551,daily_dates,big_daily_table))),NA(),_xlfn.xlookup(E$3,daily_items,_xlfn.xlookup($C3551,daily_dates,big_daily_table)))</f>
        <v>#NAME?</v>
      </c>
    </row>
    <row r="3552" customFormat="false" ht="14.25" hidden="false" customHeight="false" outlineLevel="0" collapsed="false">
      <c r="B3552" s="7" t="n">
        <v>44457</v>
      </c>
      <c r="C3552" s="7" t="n">
        <f aca="false">B3552-WEEKDAY(B3552)+1</f>
        <v>44451</v>
      </c>
      <c r="D3552" s="1" t="e">
        <f aca="false" t="array" ref="D3552:D3552">IF(ISBLANK(_xlfn.xlookup(D$3,daily_items,_xlfn.xlookup($C3552,daily_dates,big_daily_table))),NA(),_xlfn.xlookup(D$3,daily_items,_xlfn.xlookup($C3552,daily_dates,big_daily_table)))</f>
        <v>#NAME?</v>
      </c>
      <c r="E3552" s="1" t="e">
        <f aca="false" t="array" ref="E3552:E3552">IF(ISBLANK(_xlfn.xlookup(E$3,daily_items,_xlfn.xlookup($C3552,daily_dates,big_daily_table))),NA(),_xlfn.xlookup(E$3,daily_items,_xlfn.xlookup($C3552,daily_dates,big_daily_table)))</f>
        <v>#NAME?</v>
      </c>
    </row>
    <row r="3553" customFormat="false" ht="14.25" hidden="false" customHeight="false" outlineLevel="0" collapsed="false">
      <c r="B3553" s="7" t="n">
        <v>44458</v>
      </c>
      <c r="C3553" s="7" t="n">
        <f aca="false">B3553-WEEKDAY(B3553)+1</f>
        <v>44458</v>
      </c>
      <c r="D3553" s="1" t="e">
        <f aca="false" t="array" ref="D3553:D3553">IF(ISBLANK(_xlfn.xlookup(D$3,daily_items,_xlfn.xlookup($C3553,daily_dates,big_daily_table))),NA(),_xlfn.xlookup(D$3,daily_items,_xlfn.xlookup($C3553,daily_dates,big_daily_table)))</f>
        <v>#NAME?</v>
      </c>
      <c r="E3553" s="1" t="e">
        <f aca="false" t="array" ref="E3553:E3553">IF(ISBLANK(_xlfn.xlookup(E$3,daily_items,_xlfn.xlookup($C3553,daily_dates,big_daily_table))),NA(),_xlfn.xlookup(E$3,daily_items,_xlfn.xlookup($C3553,daily_dates,big_daily_table)))</f>
        <v>#NAME?</v>
      </c>
    </row>
    <row r="3554" customFormat="false" ht="14.25" hidden="false" customHeight="false" outlineLevel="0" collapsed="false">
      <c r="B3554" s="7" t="n">
        <v>44459</v>
      </c>
      <c r="C3554" s="7" t="n">
        <f aca="false">B3554-WEEKDAY(B3554)+1</f>
        <v>44458</v>
      </c>
      <c r="D3554" s="1" t="e">
        <f aca="false" t="array" ref="D3554:D3554">IF(ISBLANK(_xlfn.xlookup(D$3,daily_items,_xlfn.xlookup($C3554,daily_dates,big_daily_table))),NA(),_xlfn.xlookup(D$3,daily_items,_xlfn.xlookup($C3554,daily_dates,big_daily_table)))</f>
        <v>#NAME?</v>
      </c>
      <c r="E3554" s="1" t="e">
        <f aca="false" t="array" ref="E3554:E3554">IF(ISBLANK(_xlfn.xlookup(E$3,daily_items,_xlfn.xlookup($C3554,daily_dates,big_daily_table))),NA(),_xlfn.xlookup(E$3,daily_items,_xlfn.xlookup($C3554,daily_dates,big_daily_table)))</f>
        <v>#NAME?</v>
      </c>
    </row>
    <row r="3555" customFormat="false" ht="14.25" hidden="false" customHeight="false" outlineLevel="0" collapsed="false">
      <c r="B3555" s="7" t="n">
        <v>44460</v>
      </c>
      <c r="C3555" s="7" t="n">
        <f aca="false">B3555-WEEKDAY(B3555)+1</f>
        <v>44458</v>
      </c>
      <c r="D3555" s="1" t="e">
        <f aca="false" t="array" ref="D3555:D3555">IF(ISBLANK(_xlfn.xlookup(D$3,daily_items,_xlfn.xlookup($C3555,daily_dates,big_daily_table))),NA(),_xlfn.xlookup(D$3,daily_items,_xlfn.xlookup($C3555,daily_dates,big_daily_table)))</f>
        <v>#NAME?</v>
      </c>
      <c r="E3555" s="1" t="e">
        <f aca="false" t="array" ref="E3555:E3555">IF(ISBLANK(_xlfn.xlookup(E$3,daily_items,_xlfn.xlookup($C3555,daily_dates,big_daily_table))),NA(),_xlfn.xlookup(E$3,daily_items,_xlfn.xlookup($C3555,daily_dates,big_daily_table)))</f>
        <v>#NAME?</v>
      </c>
    </row>
    <row r="3556" customFormat="false" ht="14.25" hidden="false" customHeight="false" outlineLevel="0" collapsed="false">
      <c r="B3556" s="7" t="n">
        <v>44461</v>
      </c>
      <c r="C3556" s="7" t="n">
        <f aca="false">B3556-WEEKDAY(B3556)+1</f>
        <v>44458</v>
      </c>
      <c r="D3556" s="1" t="e">
        <f aca="false" t="array" ref="D3556:D3556">IF(ISBLANK(_xlfn.xlookup(D$3,daily_items,_xlfn.xlookup($C3556,daily_dates,big_daily_table))),NA(),_xlfn.xlookup(D$3,daily_items,_xlfn.xlookup($C3556,daily_dates,big_daily_table)))</f>
        <v>#NAME?</v>
      </c>
      <c r="E3556" s="1" t="e">
        <f aca="false" t="array" ref="E3556:E3556">IF(ISBLANK(_xlfn.xlookup(E$3,daily_items,_xlfn.xlookup($C3556,daily_dates,big_daily_table))),NA(),_xlfn.xlookup(E$3,daily_items,_xlfn.xlookup($C3556,daily_dates,big_daily_table)))</f>
        <v>#NAME?</v>
      </c>
    </row>
    <row r="3557" customFormat="false" ht="14.25" hidden="false" customHeight="false" outlineLevel="0" collapsed="false">
      <c r="B3557" s="7" t="n">
        <v>44462</v>
      </c>
      <c r="C3557" s="7" t="n">
        <f aca="false">B3557-WEEKDAY(B3557)+1</f>
        <v>44458</v>
      </c>
      <c r="D3557" s="1" t="e">
        <f aca="false" t="array" ref="D3557:D3557">IF(ISBLANK(_xlfn.xlookup(D$3,daily_items,_xlfn.xlookup($C3557,daily_dates,big_daily_table))),NA(),_xlfn.xlookup(D$3,daily_items,_xlfn.xlookup($C3557,daily_dates,big_daily_table)))</f>
        <v>#NAME?</v>
      </c>
      <c r="E3557" s="1" t="e">
        <f aca="false" t="array" ref="E3557:E3557">IF(ISBLANK(_xlfn.xlookup(E$3,daily_items,_xlfn.xlookup($C3557,daily_dates,big_daily_table))),NA(),_xlfn.xlookup(E$3,daily_items,_xlfn.xlookup($C3557,daily_dates,big_daily_table)))</f>
        <v>#NAME?</v>
      </c>
    </row>
    <row r="3558" customFormat="false" ht="14.25" hidden="false" customHeight="false" outlineLevel="0" collapsed="false">
      <c r="B3558" s="7" t="n">
        <v>44463</v>
      </c>
      <c r="C3558" s="7" t="n">
        <f aca="false">B3558-WEEKDAY(B3558)+1</f>
        <v>44458</v>
      </c>
      <c r="D3558" s="1" t="e">
        <f aca="false" t="array" ref="D3558:D3558">IF(ISBLANK(_xlfn.xlookup(D$3,daily_items,_xlfn.xlookup($C3558,daily_dates,big_daily_table))),NA(),_xlfn.xlookup(D$3,daily_items,_xlfn.xlookup($C3558,daily_dates,big_daily_table)))</f>
        <v>#NAME?</v>
      </c>
      <c r="E3558" s="1" t="e">
        <f aca="false" t="array" ref="E3558:E3558">IF(ISBLANK(_xlfn.xlookup(E$3,daily_items,_xlfn.xlookup($C3558,daily_dates,big_daily_table))),NA(),_xlfn.xlookup(E$3,daily_items,_xlfn.xlookup($C3558,daily_dates,big_daily_table)))</f>
        <v>#NAME?</v>
      </c>
    </row>
    <row r="3559" customFormat="false" ht="14.25" hidden="false" customHeight="false" outlineLevel="0" collapsed="false">
      <c r="B3559" s="7" t="n">
        <v>44464</v>
      </c>
      <c r="C3559" s="7" t="n">
        <f aca="false">B3559-WEEKDAY(B3559)+1</f>
        <v>44458</v>
      </c>
      <c r="D3559" s="1" t="e">
        <f aca="false" t="array" ref="D3559:D3559">IF(ISBLANK(_xlfn.xlookup(D$3,daily_items,_xlfn.xlookup($C3559,daily_dates,big_daily_table))),NA(),_xlfn.xlookup(D$3,daily_items,_xlfn.xlookup($C3559,daily_dates,big_daily_table)))</f>
        <v>#NAME?</v>
      </c>
      <c r="E3559" s="1" t="e">
        <f aca="false" t="array" ref="E3559:E3559">IF(ISBLANK(_xlfn.xlookup(E$3,daily_items,_xlfn.xlookup($C3559,daily_dates,big_daily_table))),NA(),_xlfn.xlookup(E$3,daily_items,_xlfn.xlookup($C3559,daily_dates,big_daily_table)))</f>
        <v>#NAME?</v>
      </c>
    </row>
    <row r="3560" customFormat="false" ht="14.25" hidden="false" customHeight="false" outlineLevel="0" collapsed="false">
      <c r="B3560" s="7" t="n">
        <v>44465</v>
      </c>
      <c r="C3560" s="7" t="n">
        <f aca="false">B3560-WEEKDAY(B3560)+1</f>
        <v>44465</v>
      </c>
      <c r="D3560" s="1" t="e">
        <f aca="false" t="array" ref="D3560:D3560">IF(ISBLANK(_xlfn.xlookup(D$3,daily_items,_xlfn.xlookup($C3560,daily_dates,big_daily_table))),NA(),_xlfn.xlookup(D$3,daily_items,_xlfn.xlookup($C3560,daily_dates,big_daily_table)))</f>
        <v>#NAME?</v>
      </c>
      <c r="E3560" s="1" t="e">
        <f aca="false" t="array" ref="E3560:E3560">IF(ISBLANK(_xlfn.xlookup(E$3,daily_items,_xlfn.xlookup($C3560,daily_dates,big_daily_table))),NA(),_xlfn.xlookup(E$3,daily_items,_xlfn.xlookup($C3560,daily_dates,big_daily_table)))</f>
        <v>#NAME?</v>
      </c>
    </row>
    <row r="3561" customFormat="false" ht="14.25" hidden="false" customHeight="false" outlineLevel="0" collapsed="false">
      <c r="B3561" s="7" t="n">
        <v>44466</v>
      </c>
      <c r="C3561" s="7" t="n">
        <f aca="false">B3561-WEEKDAY(B3561)+1</f>
        <v>44465</v>
      </c>
      <c r="D3561" s="1" t="e">
        <f aca="false" t="array" ref="D3561:D3561">IF(ISBLANK(_xlfn.xlookup(D$3,daily_items,_xlfn.xlookup($C3561,daily_dates,big_daily_table))),NA(),_xlfn.xlookup(D$3,daily_items,_xlfn.xlookup($C3561,daily_dates,big_daily_table)))</f>
        <v>#NAME?</v>
      </c>
      <c r="E3561" s="1" t="e">
        <f aca="false" t="array" ref="E3561:E3561">IF(ISBLANK(_xlfn.xlookup(E$3,daily_items,_xlfn.xlookup($C3561,daily_dates,big_daily_table))),NA(),_xlfn.xlookup(E$3,daily_items,_xlfn.xlookup($C3561,daily_dates,big_daily_table)))</f>
        <v>#NAME?</v>
      </c>
    </row>
    <row r="3562" customFormat="false" ht="14.25" hidden="false" customHeight="false" outlineLevel="0" collapsed="false">
      <c r="B3562" s="7" t="n">
        <v>44467</v>
      </c>
      <c r="C3562" s="7" t="n">
        <f aca="false">B3562-WEEKDAY(B3562)+1</f>
        <v>44465</v>
      </c>
      <c r="D3562" s="1" t="e">
        <f aca="false" t="array" ref="D3562:D3562">IF(ISBLANK(_xlfn.xlookup(D$3,daily_items,_xlfn.xlookup($C3562,daily_dates,big_daily_table))),NA(),_xlfn.xlookup(D$3,daily_items,_xlfn.xlookup($C3562,daily_dates,big_daily_table)))</f>
        <v>#NAME?</v>
      </c>
      <c r="E3562" s="1" t="e">
        <f aca="false" t="array" ref="E3562:E3562">IF(ISBLANK(_xlfn.xlookup(E$3,daily_items,_xlfn.xlookup($C3562,daily_dates,big_daily_table))),NA(),_xlfn.xlookup(E$3,daily_items,_xlfn.xlookup($C3562,daily_dates,big_daily_table)))</f>
        <v>#NAME?</v>
      </c>
    </row>
    <row r="3563" customFormat="false" ht="14.25" hidden="false" customHeight="false" outlineLevel="0" collapsed="false">
      <c r="B3563" s="7" t="n">
        <v>44468</v>
      </c>
      <c r="C3563" s="7" t="n">
        <f aca="false">B3563-WEEKDAY(B3563)+1</f>
        <v>44465</v>
      </c>
      <c r="D3563" s="1" t="e">
        <f aca="false" t="array" ref="D3563:D3563">IF(ISBLANK(_xlfn.xlookup(D$3,daily_items,_xlfn.xlookup($C3563,daily_dates,big_daily_table))),NA(),_xlfn.xlookup(D$3,daily_items,_xlfn.xlookup($C3563,daily_dates,big_daily_table)))</f>
        <v>#NAME?</v>
      </c>
      <c r="E3563" s="1" t="e">
        <f aca="false" t="array" ref="E3563:E3563">IF(ISBLANK(_xlfn.xlookup(E$3,daily_items,_xlfn.xlookup($C3563,daily_dates,big_daily_table))),NA(),_xlfn.xlookup(E$3,daily_items,_xlfn.xlookup($C3563,daily_dates,big_daily_table)))</f>
        <v>#NAME?</v>
      </c>
    </row>
    <row r="3564" customFormat="false" ht="14.25" hidden="false" customHeight="false" outlineLevel="0" collapsed="false">
      <c r="B3564" s="7" t="n">
        <v>44469</v>
      </c>
      <c r="C3564" s="7" t="n">
        <f aca="false">B3564-WEEKDAY(B3564)+1</f>
        <v>44465</v>
      </c>
      <c r="D3564" s="1" t="e">
        <f aca="false" t="array" ref="D3564:D3564">IF(ISBLANK(_xlfn.xlookup(D$3,daily_items,_xlfn.xlookup($C3564,daily_dates,big_daily_table))),NA(),_xlfn.xlookup(D$3,daily_items,_xlfn.xlookup($C3564,daily_dates,big_daily_table)))</f>
        <v>#NAME?</v>
      </c>
      <c r="E3564" s="1" t="e">
        <f aca="false" t="array" ref="E3564:E3564">IF(ISBLANK(_xlfn.xlookup(E$3,daily_items,_xlfn.xlookup($C3564,daily_dates,big_daily_table))),NA(),_xlfn.xlookup(E$3,daily_items,_xlfn.xlookup($C3564,daily_dates,big_daily_table)))</f>
        <v>#NAME?</v>
      </c>
    </row>
    <row r="3565" customFormat="false" ht="14.25" hidden="false" customHeight="false" outlineLevel="0" collapsed="false">
      <c r="B3565" s="7" t="n">
        <v>44470</v>
      </c>
      <c r="C3565" s="7" t="n">
        <f aca="false">B3565-WEEKDAY(B3565)+1</f>
        <v>44465</v>
      </c>
      <c r="D3565" s="1" t="e">
        <f aca="false" t="array" ref="D3565:D3565">IF(ISBLANK(_xlfn.xlookup(D$3,daily_items,_xlfn.xlookup($C3565,daily_dates,big_daily_table))),NA(),_xlfn.xlookup(D$3,daily_items,_xlfn.xlookup($C3565,daily_dates,big_daily_table)))</f>
        <v>#NAME?</v>
      </c>
      <c r="E3565" s="1" t="e">
        <f aca="false" t="array" ref="E3565:E3565">IF(ISBLANK(_xlfn.xlookup(E$3,daily_items,_xlfn.xlookup($C3565,daily_dates,big_daily_table))),NA(),_xlfn.xlookup(E$3,daily_items,_xlfn.xlookup($C3565,daily_dates,big_daily_table)))</f>
        <v>#NAME?</v>
      </c>
    </row>
    <row r="3566" customFormat="false" ht="14.25" hidden="false" customHeight="false" outlineLevel="0" collapsed="false">
      <c r="B3566" s="7" t="n">
        <v>44471</v>
      </c>
      <c r="C3566" s="7" t="n">
        <f aca="false">B3566-WEEKDAY(B3566)+1</f>
        <v>44465</v>
      </c>
      <c r="D3566" s="1" t="e">
        <f aca="false" t="array" ref="D3566:D3566">IF(ISBLANK(_xlfn.xlookup(D$3,daily_items,_xlfn.xlookup($C3566,daily_dates,big_daily_table))),NA(),_xlfn.xlookup(D$3,daily_items,_xlfn.xlookup($C3566,daily_dates,big_daily_table)))</f>
        <v>#NAME?</v>
      </c>
      <c r="E3566" s="1" t="e">
        <f aca="false" t="array" ref="E3566:E3566">IF(ISBLANK(_xlfn.xlookup(E$3,daily_items,_xlfn.xlookup($C3566,daily_dates,big_daily_table))),NA(),_xlfn.xlookup(E$3,daily_items,_xlfn.xlookup($C3566,daily_dates,big_daily_table)))</f>
        <v>#NAME?</v>
      </c>
    </row>
    <row r="3567" customFormat="false" ht="14.25" hidden="false" customHeight="false" outlineLevel="0" collapsed="false">
      <c r="B3567" s="7" t="n">
        <v>44472</v>
      </c>
      <c r="C3567" s="7" t="n">
        <f aca="false">B3567-WEEKDAY(B3567)+1</f>
        <v>44472</v>
      </c>
      <c r="D3567" s="1" t="e">
        <f aca="false" t="array" ref="D3567:D3567">IF(ISBLANK(_xlfn.xlookup(D$3,daily_items,_xlfn.xlookup($C3567,daily_dates,big_daily_table))),NA(),_xlfn.xlookup(D$3,daily_items,_xlfn.xlookup($C3567,daily_dates,big_daily_table)))</f>
        <v>#NAME?</v>
      </c>
      <c r="E3567" s="1" t="e">
        <f aca="false" t="array" ref="E3567:E3567">IF(ISBLANK(_xlfn.xlookup(E$3,daily_items,_xlfn.xlookup($C3567,daily_dates,big_daily_table))),NA(),_xlfn.xlookup(E$3,daily_items,_xlfn.xlookup($C3567,daily_dates,big_daily_table)))</f>
        <v>#NAME?</v>
      </c>
    </row>
    <row r="3568" customFormat="false" ht="14.25" hidden="false" customHeight="false" outlineLevel="0" collapsed="false">
      <c r="B3568" s="7" t="n">
        <v>44473</v>
      </c>
      <c r="C3568" s="7" t="n">
        <f aca="false">B3568-WEEKDAY(B3568)+1</f>
        <v>44472</v>
      </c>
      <c r="D3568" s="1" t="e">
        <f aca="false" t="array" ref="D3568:D3568">IF(ISBLANK(_xlfn.xlookup(D$3,daily_items,_xlfn.xlookup($C3568,daily_dates,big_daily_table))),NA(),_xlfn.xlookup(D$3,daily_items,_xlfn.xlookup($C3568,daily_dates,big_daily_table)))</f>
        <v>#NAME?</v>
      </c>
      <c r="E3568" s="1" t="e">
        <f aca="false" t="array" ref="E3568:E3568">IF(ISBLANK(_xlfn.xlookup(E$3,daily_items,_xlfn.xlookup($C3568,daily_dates,big_daily_table))),NA(),_xlfn.xlookup(E$3,daily_items,_xlfn.xlookup($C3568,daily_dates,big_daily_table)))</f>
        <v>#NAME?</v>
      </c>
    </row>
    <row r="3569" customFormat="false" ht="14.25" hidden="false" customHeight="false" outlineLevel="0" collapsed="false">
      <c r="B3569" s="7" t="n">
        <v>44474</v>
      </c>
      <c r="C3569" s="7" t="n">
        <f aca="false">B3569-WEEKDAY(B3569)+1</f>
        <v>44472</v>
      </c>
      <c r="D3569" s="1" t="e">
        <f aca="false" t="array" ref="D3569:D3569">IF(ISBLANK(_xlfn.xlookup(D$3,daily_items,_xlfn.xlookup($C3569,daily_dates,big_daily_table))),NA(),_xlfn.xlookup(D$3,daily_items,_xlfn.xlookup($C3569,daily_dates,big_daily_table)))</f>
        <v>#NAME?</v>
      </c>
      <c r="E3569" s="1" t="e">
        <f aca="false" t="array" ref="E3569:E3569">IF(ISBLANK(_xlfn.xlookup(E$3,daily_items,_xlfn.xlookup($C3569,daily_dates,big_daily_table))),NA(),_xlfn.xlookup(E$3,daily_items,_xlfn.xlookup($C3569,daily_dates,big_daily_table)))</f>
        <v>#NAME?</v>
      </c>
    </row>
    <row r="3570" customFormat="false" ht="14.25" hidden="false" customHeight="false" outlineLevel="0" collapsed="false">
      <c r="B3570" s="7" t="n">
        <v>44475</v>
      </c>
      <c r="C3570" s="7" t="n">
        <f aca="false">B3570-WEEKDAY(B3570)+1</f>
        <v>44472</v>
      </c>
      <c r="D3570" s="1" t="e">
        <f aca="false" t="array" ref="D3570:D3570">IF(ISBLANK(_xlfn.xlookup(D$3,daily_items,_xlfn.xlookup($C3570,daily_dates,big_daily_table))),NA(),_xlfn.xlookup(D$3,daily_items,_xlfn.xlookup($C3570,daily_dates,big_daily_table)))</f>
        <v>#NAME?</v>
      </c>
      <c r="E3570" s="1" t="e">
        <f aca="false" t="array" ref="E3570:E3570">IF(ISBLANK(_xlfn.xlookup(E$3,daily_items,_xlfn.xlookup($C3570,daily_dates,big_daily_table))),NA(),_xlfn.xlookup(E$3,daily_items,_xlfn.xlookup($C3570,daily_dates,big_daily_table)))</f>
        <v>#NAME?</v>
      </c>
    </row>
    <row r="3571" customFormat="false" ht="14.25" hidden="false" customHeight="false" outlineLevel="0" collapsed="false">
      <c r="B3571" s="7" t="n">
        <v>44476</v>
      </c>
      <c r="C3571" s="7" t="n">
        <f aca="false">B3571-WEEKDAY(B3571)+1</f>
        <v>44472</v>
      </c>
      <c r="D3571" s="1" t="e">
        <f aca="false" t="array" ref="D3571:D3571">IF(ISBLANK(_xlfn.xlookup(D$3,daily_items,_xlfn.xlookup($C3571,daily_dates,big_daily_table))),NA(),_xlfn.xlookup(D$3,daily_items,_xlfn.xlookup($C3571,daily_dates,big_daily_table)))</f>
        <v>#NAME?</v>
      </c>
      <c r="E3571" s="1" t="e">
        <f aca="false" t="array" ref="E3571:E3571">IF(ISBLANK(_xlfn.xlookup(E$3,daily_items,_xlfn.xlookup($C3571,daily_dates,big_daily_table))),NA(),_xlfn.xlookup(E$3,daily_items,_xlfn.xlookup($C3571,daily_dates,big_daily_table)))</f>
        <v>#NAME?</v>
      </c>
    </row>
    <row r="3572" customFormat="false" ht="14.25" hidden="false" customHeight="false" outlineLevel="0" collapsed="false">
      <c r="B3572" s="7" t="n">
        <v>44477</v>
      </c>
      <c r="C3572" s="7" t="n">
        <f aca="false">B3572-WEEKDAY(B3572)+1</f>
        <v>44472</v>
      </c>
      <c r="D3572" s="1" t="e">
        <f aca="false" t="array" ref="D3572:D3572">IF(ISBLANK(_xlfn.xlookup(D$3,daily_items,_xlfn.xlookup($C3572,daily_dates,big_daily_table))),NA(),_xlfn.xlookup(D$3,daily_items,_xlfn.xlookup($C3572,daily_dates,big_daily_table)))</f>
        <v>#NAME?</v>
      </c>
      <c r="E3572" s="1" t="e">
        <f aca="false" t="array" ref="E3572:E3572">IF(ISBLANK(_xlfn.xlookup(E$3,daily_items,_xlfn.xlookup($C3572,daily_dates,big_daily_table))),NA(),_xlfn.xlookup(E$3,daily_items,_xlfn.xlookup($C3572,daily_dates,big_daily_table)))</f>
        <v>#NAME?</v>
      </c>
    </row>
    <row r="3573" customFormat="false" ht="14.25" hidden="false" customHeight="false" outlineLevel="0" collapsed="false">
      <c r="B3573" s="7" t="n">
        <v>44478</v>
      </c>
      <c r="C3573" s="7" t="n">
        <f aca="false">B3573-WEEKDAY(B3573)+1</f>
        <v>44472</v>
      </c>
      <c r="D3573" s="1" t="e">
        <f aca="false" t="array" ref="D3573:D3573">IF(ISBLANK(_xlfn.xlookup(D$3,daily_items,_xlfn.xlookup($C3573,daily_dates,big_daily_table))),NA(),_xlfn.xlookup(D$3,daily_items,_xlfn.xlookup($C3573,daily_dates,big_daily_table)))</f>
        <v>#NAME?</v>
      </c>
      <c r="E3573" s="1" t="e">
        <f aca="false" t="array" ref="E3573:E3573">IF(ISBLANK(_xlfn.xlookup(E$3,daily_items,_xlfn.xlookup($C3573,daily_dates,big_daily_table))),NA(),_xlfn.xlookup(E$3,daily_items,_xlfn.xlookup($C3573,daily_dates,big_daily_table)))</f>
        <v>#NAME?</v>
      </c>
    </row>
    <row r="3574" customFormat="false" ht="14.25" hidden="false" customHeight="false" outlineLevel="0" collapsed="false">
      <c r="B3574" s="7" t="n">
        <v>44479</v>
      </c>
      <c r="C3574" s="7" t="n">
        <f aca="false">B3574-WEEKDAY(B3574)+1</f>
        <v>44479</v>
      </c>
      <c r="D3574" s="1" t="e">
        <f aca="false" t="array" ref="D3574:D3574">IF(ISBLANK(_xlfn.xlookup(D$3,daily_items,_xlfn.xlookup($C3574,daily_dates,big_daily_table))),NA(),_xlfn.xlookup(D$3,daily_items,_xlfn.xlookup($C3574,daily_dates,big_daily_table)))</f>
        <v>#NAME?</v>
      </c>
      <c r="E3574" s="1" t="e">
        <f aca="false" t="array" ref="E3574:E3574">IF(ISBLANK(_xlfn.xlookup(E$3,daily_items,_xlfn.xlookup($C3574,daily_dates,big_daily_table))),NA(),_xlfn.xlookup(E$3,daily_items,_xlfn.xlookup($C3574,daily_dates,big_daily_table)))</f>
        <v>#NAME?</v>
      </c>
    </row>
    <row r="3575" customFormat="false" ht="14.25" hidden="false" customHeight="false" outlineLevel="0" collapsed="false">
      <c r="B3575" s="7" t="n">
        <v>44480</v>
      </c>
      <c r="C3575" s="7" t="n">
        <f aca="false">B3575-WEEKDAY(B3575)+1</f>
        <v>44479</v>
      </c>
      <c r="D3575" s="1" t="e">
        <f aca="false" t="array" ref="D3575:D3575">IF(ISBLANK(_xlfn.xlookup(D$3,daily_items,_xlfn.xlookup($C3575,daily_dates,big_daily_table))),NA(),_xlfn.xlookup(D$3,daily_items,_xlfn.xlookup($C3575,daily_dates,big_daily_table)))</f>
        <v>#NAME?</v>
      </c>
      <c r="E3575" s="1" t="e">
        <f aca="false" t="array" ref="E3575:E3575">IF(ISBLANK(_xlfn.xlookup(E$3,daily_items,_xlfn.xlookup($C3575,daily_dates,big_daily_table))),NA(),_xlfn.xlookup(E$3,daily_items,_xlfn.xlookup($C3575,daily_dates,big_daily_table)))</f>
        <v>#NAME?</v>
      </c>
    </row>
    <row r="3576" customFormat="false" ht="14.25" hidden="false" customHeight="false" outlineLevel="0" collapsed="false">
      <c r="B3576" s="7" t="n">
        <v>44481</v>
      </c>
      <c r="C3576" s="7" t="n">
        <f aca="false">B3576-WEEKDAY(B3576)+1</f>
        <v>44479</v>
      </c>
      <c r="D3576" s="1" t="e">
        <f aca="false" t="array" ref="D3576:D3576">IF(ISBLANK(_xlfn.xlookup(D$3,daily_items,_xlfn.xlookup($C3576,daily_dates,big_daily_table))),NA(),_xlfn.xlookup(D$3,daily_items,_xlfn.xlookup($C3576,daily_dates,big_daily_table)))</f>
        <v>#NAME?</v>
      </c>
      <c r="E3576" s="1" t="e">
        <f aca="false" t="array" ref="E3576:E3576">IF(ISBLANK(_xlfn.xlookup(E$3,daily_items,_xlfn.xlookup($C3576,daily_dates,big_daily_table))),NA(),_xlfn.xlookup(E$3,daily_items,_xlfn.xlookup($C3576,daily_dates,big_daily_table)))</f>
        <v>#NAME?</v>
      </c>
    </row>
    <row r="3577" customFormat="false" ht="14.25" hidden="false" customHeight="false" outlineLevel="0" collapsed="false">
      <c r="B3577" s="7" t="n">
        <v>44482</v>
      </c>
      <c r="C3577" s="7" t="n">
        <f aca="false">B3577-WEEKDAY(B3577)+1</f>
        <v>44479</v>
      </c>
      <c r="D3577" s="1" t="e">
        <f aca="false" t="array" ref="D3577:D3577">IF(ISBLANK(_xlfn.xlookup(D$3,daily_items,_xlfn.xlookup($C3577,daily_dates,big_daily_table))),NA(),_xlfn.xlookup(D$3,daily_items,_xlfn.xlookup($C3577,daily_dates,big_daily_table)))</f>
        <v>#NAME?</v>
      </c>
      <c r="E3577" s="1" t="e">
        <f aca="false" t="array" ref="E3577:E3577">IF(ISBLANK(_xlfn.xlookup(E$3,daily_items,_xlfn.xlookup($C3577,daily_dates,big_daily_table))),NA(),_xlfn.xlookup(E$3,daily_items,_xlfn.xlookup($C3577,daily_dates,big_daily_table)))</f>
        <v>#NAME?</v>
      </c>
    </row>
    <row r="3578" customFormat="false" ht="14.25" hidden="false" customHeight="false" outlineLevel="0" collapsed="false">
      <c r="B3578" s="7" t="n">
        <v>44483</v>
      </c>
      <c r="C3578" s="7" t="n">
        <f aca="false">B3578-WEEKDAY(B3578)+1</f>
        <v>44479</v>
      </c>
      <c r="D3578" s="1" t="e">
        <f aca="false" t="array" ref="D3578:D3578">IF(ISBLANK(_xlfn.xlookup(D$3,daily_items,_xlfn.xlookup($C3578,daily_dates,big_daily_table))),NA(),_xlfn.xlookup(D$3,daily_items,_xlfn.xlookup($C3578,daily_dates,big_daily_table)))</f>
        <v>#NAME?</v>
      </c>
      <c r="E3578" s="1" t="e">
        <f aca="false" t="array" ref="E3578:E3578">IF(ISBLANK(_xlfn.xlookup(E$3,daily_items,_xlfn.xlookup($C3578,daily_dates,big_daily_table))),NA(),_xlfn.xlookup(E$3,daily_items,_xlfn.xlookup($C3578,daily_dates,big_daily_table)))</f>
        <v>#NAME?</v>
      </c>
    </row>
    <row r="3579" customFormat="false" ht="14.25" hidden="false" customHeight="false" outlineLevel="0" collapsed="false">
      <c r="B3579" s="7" t="n">
        <v>44484</v>
      </c>
      <c r="C3579" s="7" t="n">
        <f aca="false">B3579-WEEKDAY(B3579)+1</f>
        <v>44479</v>
      </c>
      <c r="D3579" s="1" t="e">
        <f aca="false" t="array" ref="D3579:D3579">IF(ISBLANK(_xlfn.xlookup(D$3,daily_items,_xlfn.xlookup($C3579,daily_dates,big_daily_table))),NA(),_xlfn.xlookup(D$3,daily_items,_xlfn.xlookup($C3579,daily_dates,big_daily_table)))</f>
        <v>#NAME?</v>
      </c>
      <c r="E3579" s="1" t="e">
        <f aca="false" t="array" ref="E3579:E3579">IF(ISBLANK(_xlfn.xlookup(E$3,daily_items,_xlfn.xlookup($C3579,daily_dates,big_daily_table))),NA(),_xlfn.xlookup(E$3,daily_items,_xlfn.xlookup($C3579,daily_dates,big_daily_table)))</f>
        <v>#NAME?</v>
      </c>
    </row>
    <row r="3580" customFormat="false" ht="14.25" hidden="false" customHeight="false" outlineLevel="0" collapsed="false">
      <c r="B3580" s="7" t="n">
        <v>44485</v>
      </c>
      <c r="C3580" s="7" t="n">
        <f aca="false">B3580-WEEKDAY(B3580)+1</f>
        <v>44479</v>
      </c>
      <c r="D3580" s="1" t="e">
        <f aca="false" t="array" ref="D3580:D3580">IF(ISBLANK(_xlfn.xlookup(D$3,daily_items,_xlfn.xlookup($C3580,daily_dates,big_daily_table))),NA(),_xlfn.xlookup(D$3,daily_items,_xlfn.xlookup($C3580,daily_dates,big_daily_table)))</f>
        <v>#NAME?</v>
      </c>
      <c r="E3580" s="1" t="e">
        <f aca="false" t="array" ref="E3580:E3580">IF(ISBLANK(_xlfn.xlookup(E$3,daily_items,_xlfn.xlookup($C3580,daily_dates,big_daily_table))),NA(),_xlfn.xlookup(E$3,daily_items,_xlfn.xlookup($C3580,daily_dates,big_daily_table)))</f>
        <v>#NAME?</v>
      </c>
    </row>
    <row r="3581" customFormat="false" ht="14.25" hidden="false" customHeight="false" outlineLevel="0" collapsed="false">
      <c r="B3581" s="7" t="n">
        <v>44486</v>
      </c>
      <c r="C3581" s="7" t="n">
        <f aca="false">B3581-WEEKDAY(B3581)+1</f>
        <v>44486</v>
      </c>
      <c r="D3581" s="1" t="e">
        <f aca="false" t="array" ref="D3581:D3581">IF(ISBLANK(_xlfn.xlookup(D$3,daily_items,_xlfn.xlookup($C3581,daily_dates,big_daily_table))),NA(),_xlfn.xlookup(D$3,daily_items,_xlfn.xlookup($C3581,daily_dates,big_daily_table)))</f>
        <v>#NAME?</v>
      </c>
      <c r="E3581" s="1" t="e">
        <f aca="false" t="array" ref="E3581:E3581">IF(ISBLANK(_xlfn.xlookup(E$3,daily_items,_xlfn.xlookup($C3581,daily_dates,big_daily_table))),NA(),_xlfn.xlookup(E$3,daily_items,_xlfn.xlookup($C3581,daily_dates,big_daily_table)))</f>
        <v>#NAME?</v>
      </c>
    </row>
    <row r="3582" customFormat="false" ht="14.25" hidden="false" customHeight="false" outlineLevel="0" collapsed="false">
      <c r="B3582" s="7" t="n">
        <v>44487</v>
      </c>
      <c r="C3582" s="7" t="n">
        <f aca="false">B3582-WEEKDAY(B3582)+1</f>
        <v>44486</v>
      </c>
      <c r="D3582" s="1" t="e">
        <f aca="false" t="array" ref="D3582:D3582">IF(ISBLANK(_xlfn.xlookup(D$3,daily_items,_xlfn.xlookup($C3582,daily_dates,big_daily_table))),NA(),_xlfn.xlookup(D$3,daily_items,_xlfn.xlookup($C3582,daily_dates,big_daily_table)))</f>
        <v>#NAME?</v>
      </c>
      <c r="E3582" s="1" t="e">
        <f aca="false" t="array" ref="E3582:E3582">IF(ISBLANK(_xlfn.xlookup(E$3,daily_items,_xlfn.xlookup($C3582,daily_dates,big_daily_table))),NA(),_xlfn.xlookup(E$3,daily_items,_xlfn.xlookup($C3582,daily_dates,big_daily_table)))</f>
        <v>#NAME?</v>
      </c>
    </row>
    <row r="3583" customFormat="false" ht="14.25" hidden="false" customHeight="false" outlineLevel="0" collapsed="false">
      <c r="B3583" s="7" t="n">
        <v>44488</v>
      </c>
      <c r="C3583" s="7" t="n">
        <f aca="false">B3583-WEEKDAY(B3583)+1</f>
        <v>44486</v>
      </c>
      <c r="D3583" s="1" t="e">
        <f aca="false" t="array" ref="D3583:D3583">IF(ISBLANK(_xlfn.xlookup(D$3,daily_items,_xlfn.xlookup($C3583,daily_dates,big_daily_table))),NA(),_xlfn.xlookup(D$3,daily_items,_xlfn.xlookup($C3583,daily_dates,big_daily_table)))</f>
        <v>#NAME?</v>
      </c>
      <c r="E3583" s="1" t="e">
        <f aca="false" t="array" ref="E3583:E3583">IF(ISBLANK(_xlfn.xlookup(E$3,daily_items,_xlfn.xlookup($C3583,daily_dates,big_daily_table))),NA(),_xlfn.xlookup(E$3,daily_items,_xlfn.xlookup($C3583,daily_dates,big_daily_table)))</f>
        <v>#NAME?</v>
      </c>
    </row>
    <row r="3584" customFormat="false" ht="14.25" hidden="false" customHeight="false" outlineLevel="0" collapsed="false">
      <c r="B3584" s="7" t="n">
        <v>44489</v>
      </c>
      <c r="C3584" s="7" t="n">
        <f aca="false">B3584-WEEKDAY(B3584)+1</f>
        <v>44486</v>
      </c>
      <c r="D3584" s="1" t="e">
        <f aca="false" t="array" ref="D3584:D3584">IF(ISBLANK(_xlfn.xlookup(D$3,daily_items,_xlfn.xlookup($C3584,daily_dates,big_daily_table))),NA(),_xlfn.xlookup(D$3,daily_items,_xlfn.xlookup($C3584,daily_dates,big_daily_table)))</f>
        <v>#NAME?</v>
      </c>
      <c r="E3584" s="1" t="e">
        <f aca="false" t="array" ref="E3584:E3584">IF(ISBLANK(_xlfn.xlookup(E$3,daily_items,_xlfn.xlookup($C3584,daily_dates,big_daily_table))),NA(),_xlfn.xlookup(E$3,daily_items,_xlfn.xlookup($C3584,daily_dates,big_daily_table)))</f>
        <v>#NAME?</v>
      </c>
    </row>
    <row r="3585" customFormat="false" ht="14.25" hidden="false" customHeight="false" outlineLevel="0" collapsed="false">
      <c r="B3585" s="7" t="n">
        <v>44490</v>
      </c>
      <c r="C3585" s="7" t="n">
        <f aca="false">B3585-WEEKDAY(B3585)+1</f>
        <v>44486</v>
      </c>
      <c r="D3585" s="1" t="e">
        <f aca="false" t="array" ref="D3585:D3585">IF(ISBLANK(_xlfn.xlookup(D$3,daily_items,_xlfn.xlookup($C3585,daily_dates,big_daily_table))),NA(),_xlfn.xlookup(D$3,daily_items,_xlfn.xlookup($C3585,daily_dates,big_daily_table)))</f>
        <v>#NAME?</v>
      </c>
      <c r="E3585" s="1" t="e">
        <f aca="false" t="array" ref="E3585:E3585">IF(ISBLANK(_xlfn.xlookup(E$3,daily_items,_xlfn.xlookup($C3585,daily_dates,big_daily_table))),NA(),_xlfn.xlookup(E$3,daily_items,_xlfn.xlookup($C3585,daily_dates,big_daily_table)))</f>
        <v>#NAME?</v>
      </c>
    </row>
    <row r="3586" customFormat="false" ht="14.25" hidden="false" customHeight="false" outlineLevel="0" collapsed="false">
      <c r="B3586" s="7" t="n">
        <v>44491</v>
      </c>
      <c r="C3586" s="7" t="n">
        <f aca="false">B3586-WEEKDAY(B3586)+1</f>
        <v>44486</v>
      </c>
      <c r="D3586" s="1" t="e">
        <f aca="false" t="array" ref="D3586:D3586">IF(ISBLANK(_xlfn.xlookup(D$3,daily_items,_xlfn.xlookup($C3586,daily_dates,big_daily_table))),NA(),_xlfn.xlookup(D$3,daily_items,_xlfn.xlookup($C3586,daily_dates,big_daily_table)))</f>
        <v>#NAME?</v>
      </c>
      <c r="E3586" s="1" t="e">
        <f aca="false" t="array" ref="E3586:E3586">IF(ISBLANK(_xlfn.xlookup(E$3,daily_items,_xlfn.xlookup($C3586,daily_dates,big_daily_table))),NA(),_xlfn.xlookup(E$3,daily_items,_xlfn.xlookup($C3586,daily_dates,big_daily_table)))</f>
        <v>#NAME?</v>
      </c>
    </row>
    <row r="3587" customFormat="false" ht="14.25" hidden="false" customHeight="false" outlineLevel="0" collapsed="false">
      <c r="B3587" s="7" t="n">
        <v>44492</v>
      </c>
      <c r="C3587" s="7" t="n">
        <f aca="false">B3587-WEEKDAY(B3587)+1</f>
        <v>44486</v>
      </c>
      <c r="D3587" s="1" t="e">
        <f aca="false" t="array" ref="D3587:D3587">IF(ISBLANK(_xlfn.xlookup(D$3,daily_items,_xlfn.xlookup($C3587,daily_dates,big_daily_table))),NA(),_xlfn.xlookup(D$3,daily_items,_xlfn.xlookup($C3587,daily_dates,big_daily_table)))</f>
        <v>#NAME?</v>
      </c>
      <c r="E3587" s="1" t="e">
        <f aca="false" t="array" ref="E3587:E3587">IF(ISBLANK(_xlfn.xlookup(E$3,daily_items,_xlfn.xlookup($C3587,daily_dates,big_daily_table))),NA(),_xlfn.xlookup(E$3,daily_items,_xlfn.xlookup($C3587,daily_dates,big_daily_table)))</f>
        <v>#NAME?</v>
      </c>
    </row>
    <row r="3588" customFormat="false" ht="14.25" hidden="false" customHeight="false" outlineLevel="0" collapsed="false">
      <c r="B3588" s="7" t="n">
        <v>44493</v>
      </c>
      <c r="C3588" s="7" t="n">
        <f aca="false">B3588-WEEKDAY(B3588)+1</f>
        <v>44493</v>
      </c>
      <c r="D3588" s="1" t="e">
        <f aca="false" t="array" ref="D3588:D3588">IF(ISBLANK(_xlfn.xlookup(D$3,daily_items,_xlfn.xlookup($C3588,daily_dates,big_daily_table))),NA(),_xlfn.xlookup(D$3,daily_items,_xlfn.xlookup($C3588,daily_dates,big_daily_table)))</f>
        <v>#NAME?</v>
      </c>
      <c r="E3588" s="1" t="e">
        <f aca="false" t="array" ref="E3588:E3588">IF(ISBLANK(_xlfn.xlookup(E$3,daily_items,_xlfn.xlookup($C3588,daily_dates,big_daily_table))),NA(),_xlfn.xlookup(E$3,daily_items,_xlfn.xlookup($C3588,daily_dates,big_daily_table)))</f>
        <v>#NAME?</v>
      </c>
    </row>
    <row r="3589" customFormat="false" ht="14.25" hidden="false" customHeight="false" outlineLevel="0" collapsed="false">
      <c r="B3589" s="7" t="n">
        <v>44494</v>
      </c>
      <c r="C3589" s="7" t="n">
        <f aca="false">B3589-WEEKDAY(B3589)+1</f>
        <v>44493</v>
      </c>
      <c r="D3589" s="1" t="e">
        <f aca="false" t="array" ref="D3589:D3589">IF(ISBLANK(_xlfn.xlookup(D$3,daily_items,_xlfn.xlookup($C3589,daily_dates,big_daily_table))),NA(),_xlfn.xlookup(D$3,daily_items,_xlfn.xlookup($C3589,daily_dates,big_daily_table)))</f>
        <v>#NAME?</v>
      </c>
      <c r="E3589" s="1" t="e">
        <f aca="false" t="array" ref="E3589:E3589">IF(ISBLANK(_xlfn.xlookup(E$3,daily_items,_xlfn.xlookup($C3589,daily_dates,big_daily_table))),NA(),_xlfn.xlookup(E$3,daily_items,_xlfn.xlookup($C3589,daily_dates,big_daily_table)))</f>
        <v>#NAME?</v>
      </c>
    </row>
    <row r="3590" customFormat="false" ht="14.25" hidden="false" customHeight="false" outlineLevel="0" collapsed="false">
      <c r="B3590" s="7" t="n">
        <v>44495</v>
      </c>
      <c r="C3590" s="7" t="n">
        <f aca="false">B3590-WEEKDAY(B3590)+1</f>
        <v>44493</v>
      </c>
      <c r="D3590" s="1" t="e">
        <f aca="false" t="array" ref="D3590:D3590">IF(ISBLANK(_xlfn.xlookup(D$3,daily_items,_xlfn.xlookup($C3590,daily_dates,big_daily_table))),NA(),_xlfn.xlookup(D$3,daily_items,_xlfn.xlookup($C3590,daily_dates,big_daily_table)))</f>
        <v>#NAME?</v>
      </c>
      <c r="E3590" s="1" t="e">
        <f aca="false" t="array" ref="E3590:E3590">IF(ISBLANK(_xlfn.xlookup(E$3,daily_items,_xlfn.xlookup($C3590,daily_dates,big_daily_table))),NA(),_xlfn.xlookup(E$3,daily_items,_xlfn.xlookup($C3590,daily_dates,big_daily_table)))</f>
        <v>#NAME?</v>
      </c>
    </row>
    <row r="3591" customFormat="false" ht="14.25" hidden="false" customHeight="false" outlineLevel="0" collapsed="false">
      <c r="B3591" s="7" t="n">
        <v>44496</v>
      </c>
      <c r="C3591" s="7" t="n">
        <f aca="false">B3591-WEEKDAY(B3591)+1</f>
        <v>44493</v>
      </c>
      <c r="D3591" s="1" t="e">
        <f aca="false" t="array" ref="D3591:D3591">IF(ISBLANK(_xlfn.xlookup(D$3,daily_items,_xlfn.xlookup($C3591,daily_dates,big_daily_table))),NA(),_xlfn.xlookup(D$3,daily_items,_xlfn.xlookup($C3591,daily_dates,big_daily_table)))</f>
        <v>#NAME?</v>
      </c>
      <c r="E3591" s="1" t="e">
        <f aca="false" t="array" ref="E3591:E3591">IF(ISBLANK(_xlfn.xlookup(E$3,daily_items,_xlfn.xlookup($C3591,daily_dates,big_daily_table))),NA(),_xlfn.xlookup(E$3,daily_items,_xlfn.xlookup($C3591,daily_dates,big_daily_table)))</f>
        <v>#NAME?</v>
      </c>
    </row>
    <row r="3592" customFormat="false" ht="14.25" hidden="false" customHeight="false" outlineLevel="0" collapsed="false">
      <c r="B3592" s="7" t="n">
        <v>44497</v>
      </c>
      <c r="C3592" s="7" t="n">
        <f aca="false">B3592-WEEKDAY(B3592)+1</f>
        <v>44493</v>
      </c>
      <c r="D3592" s="1" t="e">
        <f aca="false" t="array" ref="D3592:D3592">IF(ISBLANK(_xlfn.xlookup(D$3,daily_items,_xlfn.xlookup($C3592,daily_dates,big_daily_table))),NA(),_xlfn.xlookup(D$3,daily_items,_xlfn.xlookup($C3592,daily_dates,big_daily_table)))</f>
        <v>#NAME?</v>
      </c>
      <c r="E3592" s="1" t="e">
        <f aca="false" t="array" ref="E3592:E3592">IF(ISBLANK(_xlfn.xlookup(E$3,daily_items,_xlfn.xlookup($C3592,daily_dates,big_daily_table))),NA(),_xlfn.xlookup(E$3,daily_items,_xlfn.xlookup($C3592,daily_dates,big_daily_table)))</f>
        <v>#NAME?</v>
      </c>
    </row>
    <row r="3593" customFormat="false" ht="14.25" hidden="false" customHeight="false" outlineLevel="0" collapsed="false">
      <c r="B3593" s="7" t="n">
        <v>44498</v>
      </c>
      <c r="C3593" s="7" t="n">
        <f aca="false">B3593-WEEKDAY(B3593)+1</f>
        <v>44493</v>
      </c>
      <c r="D3593" s="1" t="e">
        <f aca="false" t="array" ref="D3593:D3593">IF(ISBLANK(_xlfn.xlookup(D$3,daily_items,_xlfn.xlookup($C3593,daily_dates,big_daily_table))),NA(),_xlfn.xlookup(D$3,daily_items,_xlfn.xlookup($C3593,daily_dates,big_daily_table)))</f>
        <v>#NAME?</v>
      </c>
      <c r="E3593" s="1" t="e">
        <f aca="false" t="array" ref="E3593:E3593">IF(ISBLANK(_xlfn.xlookup(E$3,daily_items,_xlfn.xlookup($C3593,daily_dates,big_daily_table))),NA(),_xlfn.xlookup(E$3,daily_items,_xlfn.xlookup($C3593,daily_dates,big_daily_table)))</f>
        <v>#NAME?</v>
      </c>
    </row>
    <row r="3594" customFormat="false" ht="14.25" hidden="false" customHeight="false" outlineLevel="0" collapsed="false">
      <c r="B3594" s="7" t="n">
        <v>44499</v>
      </c>
      <c r="C3594" s="7" t="n">
        <f aca="false">B3594-WEEKDAY(B3594)+1</f>
        <v>44493</v>
      </c>
      <c r="D3594" s="1" t="e">
        <f aca="false" t="array" ref="D3594:D3594">IF(ISBLANK(_xlfn.xlookup(D$3,daily_items,_xlfn.xlookup($C3594,daily_dates,big_daily_table))),NA(),_xlfn.xlookup(D$3,daily_items,_xlfn.xlookup($C3594,daily_dates,big_daily_table)))</f>
        <v>#NAME?</v>
      </c>
      <c r="E3594" s="1" t="e">
        <f aca="false" t="array" ref="E3594:E3594">IF(ISBLANK(_xlfn.xlookup(E$3,daily_items,_xlfn.xlookup($C3594,daily_dates,big_daily_table))),NA(),_xlfn.xlookup(E$3,daily_items,_xlfn.xlookup($C3594,daily_dates,big_daily_table)))</f>
        <v>#NAME?</v>
      </c>
    </row>
    <row r="3595" customFormat="false" ht="14.25" hidden="false" customHeight="false" outlineLevel="0" collapsed="false">
      <c r="B3595" s="7" t="n">
        <v>44500</v>
      </c>
      <c r="C3595" s="7" t="n">
        <f aca="false">B3595-WEEKDAY(B3595)+1</f>
        <v>44500</v>
      </c>
      <c r="D3595" s="1" t="e">
        <f aca="false" t="array" ref="D3595:D3595">IF(ISBLANK(_xlfn.xlookup(D$3,daily_items,_xlfn.xlookup($C3595,daily_dates,big_daily_table))),NA(),_xlfn.xlookup(D$3,daily_items,_xlfn.xlookup($C3595,daily_dates,big_daily_table)))</f>
        <v>#NAME?</v>
      </c>
      <c r="E3595" s="1" t="e">
        <f aca="false" t="array" ref="E3595:E3595">IF(ISBLANK(_xlfn.xlookup(E$3,daily_items,_xlfn.xlookup($C3595,daily_dates,big_daily_table))),NA(),_xlfn.xlookup(E$3,daily_items,_xlfn.xlookup($C3595,daily_dates,big_daily_table)))</f>
        <v>#NAME?</v>
      </c>
    </row>
    <row r="3596" customFormat="false" ht="14.25" hidden="false" customHeight="false" outlineLevel="0" collapsed="false">
      <c r="B3596" s="7" t="n">
        <v>44501</v>
      </c>
      <c r="C3596" s="7" t="n">
        <f aca="false">B3596-WEEKDAY(B3596)+1</f>
        <v>44500</v>
      </c>
      <c r="D3596" s="1" t="e">
        <f aca="false" t="array" ref="D3596:D3596">IF(ISBLANK(_xlfn.xlookup(D$3,daily_items,_xlfn.xlookup($C3596,daily_dates,big_daily_table))),NA(),_xlfn.xlookup(D$3,daily_items,_xlfn.xlookup($C3596,daily_dates,big_daily_table)))</f>
        <v>#NAME?</v>
      </c>
      <c r="E3596" s="1" t="e">
        <f aca="false" t="array" ref="E3596:E3596">IF(ISBLANK(_xlfn.xlookup(E$3,daily_items,_xlfn.xlookup($C3596,daily_dates,big_daily_table))),NA(),_xlfn.xlookup(E$3,daily_items,_xlfn.xlookup($C3596,daily_dates,big_daily_table)))</f>
        <v>#NAME?</v>
      </c>
    </row>
    <row r="3597" customFormat="false" ht="14.25" hidden="false" customHeight="false" outlineLevel="0" collapsed="false">
      <c r="B3597" s="7" t="n">
        <v>44502</v>
      </c>
      <c r="C3597" s="7" t="n">
        <f aca="false">B3597-WEEKDAY(B3597)+1</f>
        <v>44500</v>
      </c>
      <c r="D3597" s="1" t="e">
        <f aca="false" t="array" ref="D3597:D3597">IF(ISBLANK(_xlfn.xlookup(D$3,daily_items,_xlfn.xlookup($C3597,daily_dates,big_daily_table))),NA(),_xlfn.xlookup(D$3,daily_items,_xlfn.xlookup($C3597,daily_dates,big_daily_table)))</f>
        <v>#NAME?</v>
      </c>
      <c r="E3597" s="1" t="e">
        <f aca="false" t="array" ref="E3597:E3597">IF(ISBLANK(_xlfn.xlookup(E$3,daily_items,_xlfn.xlookup($C3597,daily_dates,big_daily_table))),NA(),_xlfn.xlookup(E$3,daily_items,_xlfn.xlookup($C3597,daily_dates,big_daily_table)))</f>
        <v>#NAME?</v>
      </c>
    </row>
    <row r="3598" customFormat="false" ht="14.25" hidden="false" customHeight="false" outlineLevel="0" collapsed="false">
      <c r="B3598" s="7" t="n">
        <v>44503</v>
      </c>
      <c r="C3598" s="7" t="n">
        <f aca="false">B3598-WEEKDAY(B3598)+1</f>
        <v>44500</v>
      </c>
      <c r="D3598" s="1" t="e">
        <f aca="false" t="array" ref="D3598:D3598">IF(ISBLANK(_xlfn.xlookup(D$3,daily_items,_xlfn.xlookup($C3598,daily_dates,big_daily_table))),NA(),_xlfn.xlookup(D$3,daily_items,_xlfn.xlookup($C3598,daily_dates,big_daily_table)))</f>
        <v>#NAME?</v>
      </c>
      <c r="E3598" s="1" t="e">
        <f aca="false" t="array" ref="E3598:E3598">IF(ISBLANK(_xlfn.xlookup(E$3,daily_items,_xlfn.xlookup($C3598,daily_dates,big_daily_table))),NA(),_xlfn.xlookup(E$3,daily_items,_xlfn.xlookup($C3598,daily_dates,big_daily_table)))</f>
        <v>#NAME?</v>
      </c>
    </row>
    <row r="3599" customFormat="false" ht="14.25" hidden="false" customHeight="false" outlineLevel="0" collapsed="false">
      <c r="B3599" s="7" t="n">
        <v>44504</v>
      </c>
      <c r="C3599" s="7" t="n">
        <f aca="false">B3599-WEEKDAY(B3599)+1</f>
        <v>44500</v>
      </c>
      <c r="D3599" s="1" t="e">
        <f aca="false" t="array" ref="D3599:D3599">IF(ISBLANK(_xlfn.xlookup(D$3,daily_items,_xlfn.xlookup($C3599,daily_dates,big_daily_table))),NA(),_xlfn.xlookup(D$3,daily_items,_xlfn.xlookup($C3599,daily_dates,big_daily_table)))</f>
        <v>#NAME?</v>
      </c>
      <c r="E3599" s="1" t="e">
        <f aca="false" t="array" ref="E3599:E3599">IF(ISBLANK(_xlfn.xlookup(E$3,daily_items,_xlfn.xlookup($C3599,daily_dates,big_daily_table))),NA(),_xlfn.xlookup(E$3,daily_items,_xlfn.xlookup($C3599,daily_dates,big_daily_table)))</f>
        <v>#NAME?</v>
      </c>
    </row>
    <row r="3600" customFormat="false" ht="14.25" hidden="false" customHeight="false" outlineLevel="0" collapsed="false">
      <c r="B3600" s="7" t="n">
        <v>44505</v>
      </c>
      <c r="C3600" s="7" t="n">
        <f aca="false">B3600-WEEKDAY(B3600)+1</f>
        <v>44500</v>
      </c>
      <c r="D3600" s="1" t="e">
        <f aca="false" t="array" ref="D3600:D3600">IF(ISBLANK(_xlfn.xlookup(D$3,daily_items,_xlfn.xlookup($C3600,daily_dates,big_daily_table))),NA(),_xlfn.xlookup(D$3,daily_items,_xlfn.xlookup($C3600,daily_dates,big_daily_table)))</f>
        <v>#NAME?</v>
      </c>
      <c r="E3600" s="1" t="e">
        <f aca="false" t="array" ref="E3600:E3600">IF(ISBLANK(_xlfn.xlookup(E$3,daily_items,_xlfn.xlookup($C3600,daily_dates,big_daily_table))),NA(),_xlfn.xlookup(E$3,daily_items,_xlfn.xlookup($C3600,daily_dates,big_daily_table)))</f>
        <v>#NAME?</v>
      </c>
    </row>
    <row r="3601" customFormat="false" ht="14.25" hidden="false" customHeight="false" outlineLevel="0" collapsed="false">
      <c r="B3601" s="7" t="n">
        <v>44506</v>
      </c>
      <c r="C3601" s="7" t="n">
        <f aca="false">B3601-WEEKDAY(B3601)+1</f>
        <v>44500</v>
      </c>
      <c r="D3601" s="1" t="e">
        <f aca="false" t="array" ref="D3601:D3601">IF(ISBLANK(_xlfn.xlookup(D$3,daily_items,_xlfn.xlookup($C3601,daily_dates,big_daily_table))),NA(),_xlfn.xlookup(D$3,daily_items,_xlfn.xlookup($C3601,daily_dates,big_daily_table)))</f>
        <v>#NAME?</v>
      </c>
      <c r="E3601" s="1" t="e">
        <f aca="false" t="array" ref="E3601:E3601">IF(ISBLANK(_xlfn.xlookup(E$3,daily_items,_xlfn.xlookup($C3601,daily_dates,big_daily_table))),NA(),_xlfn.xlookup(E$3,daily_items,_xlfn.xlookup($C3601,daily_dates,big_daily_table)))</f>
        <v>#NAME?</v>
      </c>
    </row>
    <row r="3602" customFormat="false" ht="14.25" hidden="false" customHeight="false" outlineLevel="0" collapsed="false">
      <c r="B3602" s="7" t="n">
        <v>44507</v>
      </c>
      <c r="C3602" s="7" t="n">
        <f aca="false">B3602-WEEKDAY(B3602)+1</f>
        <v>44507</v>
      </c>
      <c r="D3602" s="1" t="e">
        <f aca="false" t="array" ref="D3602:D3602">IF(ISBLANK(_xlfn.xlookup(D$3,daily_items,_xlfn.xlookup($C3602,daily_dates,big_daily_table))),NA(),_xlfn.xlookup(D$3,daily_items,_xlfn.xlookup($C3602,daily_dates,big_daily_table)))</f>
        <v>#NAME?</v>
      </c>
      <c r="E3602" s="1" t="e">
        <f aca="false" t="array" ref="E3602:E3602">IF(ISBLANK(_xlfn.xlookup(E$3,daily_items,_xlfn.xlookup($C3602,daily_dates,big_daily_table))),NA(),_xlfn.xlookup(E$3,daily_items,_xlfn.xlookup($C3602,daily_dates,big_daily_table)))</f>
        <v>#NAME?</v>
      </c>
    </row>
    <row r="3603" customFormat="false" ht="14.25" hidden="false" customHeight="false" outlineLevel="0" collapsed="false">
      <c r="B3603" s="7" t="n">
        <v>44508</v>
      </c>
      <c r="C3603" s="7" t="n">
        <f aca="false">B3603-WEEKDAY(B3603)+1</f>
        <v>44507</v>
      </c>
      <c r="D3603" s="1" t="e">
        <f aca="false" t="array" ref="D3603:D3603">IF(ISBLANK(_xlfn.xlookup(D$3,daily_items,_xlfn.xlookup($C3603,daily_dates,big_daily_table))),NA(),_xlfn.xlookup(D$3,daily_items,_xlfn.xlookup($C3603,daily_dates,big_daily_table)))</f>
        <v>#NAME?</v>
      </c>
      <c r="E3603" s="1" t="e">
        <f aca="false" t="array" ref="E3603:E3603">IF(ISBLANK(_xlfn.xlookup(E$3,daily_items,_xlfn.xlookup($C3603,daily_dates,big_daily_table))),NA(),_xlfn.xlookup(E$3,daily_items,_xlfn.xlookup($C3603,daily_dates,big_daily_table)))</f>
        <v>#NAME?</v>
      </c>
    </row>
    <row r="3604" customFormat="false" ht="14.25" hidden="false" customHeight="false" outlineLevel="0" collapsed="false">
      <c r="B3604" s="7" t="n">
        <v>44509</v>
      </c>
      <c r="C3604" s="7" t="n">
        <f aca="false">B3604-WEEKDAY(B3604)+1</f>
        <v>44507</v>
      </c>
      <c r="D3604" s="1" t="e">
        <f aca="false" t="array" ref="D3604:D3604">IF(ISBLANK(_xlfn.xlookup(D$3,daily_items,_xlfn.xlookup($C3604,daily_dates,big_daily_table))),NA(),_xlfn.xlookup(D$3,daily_items,_xlfn.xlookup($C3604,daily_dates,big_daily_table)))</f>
        <v>#NAME?</v>
      </c>
      <c r="E3604" s="1" t="e">
        <f aca="false" t="array" ref="E3604:E3604">IF(ISBLANK(_xlfn.xlookup(E$3,daily_items,_xlfn.xlookup($C3604,daily_dates,big_daily_table))),NA(),_xlfn.xlookup(E$3,daily_items,_xlfn.xlookup($C3604,daily_dates,big_daily_table)))</f>
        <v>#NAME?</v>
      </c>
    </row>
    <row r="3605" customFormat="false" ht="14.25" hidden="false" customHeight="false" outlineLevel="0" collapsed="false">
      <c r="B3605" s="7" t="n">
        <v>44510</v>
      </c>
      <c r="C3605" s="7" t="n">
        <f aca="false">B3605-WEEKDAY(B3605)+1</f>
        <v>44507</v>
      </c>
      <c r="D3605" s="1" t="e">
        <f aca="false" t="array" ref="D3605:D3605">IF(ISBLANK(_xlfn.xlookup(D$3,daily_items,_xlfn.xlookup($C3605,daily_dates,big_daily_table))),NA(),_xlfn.xlookup(D$3,daily_items,_xlfn.xlookup($C3605,daily_dates,big_daily_table)))</f>
        <v>#NAME?</v>
      </c>
      <c r="E3605" s="1" t="e">
        <f aca="false" t="array" ref="E3605:E3605">IF(ISBLANK(_xlfn.xlookup(E$3,daily_items,_xlfn.xlookup($C3605,daily_dates,big_daily_table))),NA(),_xlfn.xlookup(E$3,daily_items,_xlfn.xlookup($C3605,daily_dates,big_daily_table)))</f>
        <v>#NAME?</v>
      </c>
    </row>
    <row r="3606" customFormat="false" ht="14.25" hidden="false" customHeight="false" outlineLevel="0" collapsed="false">
      <c r="B3606" s="7" t="n">
        <v>44511</v>
      </c>
      <c r="C3606" s="7" t="n">
        <f aca="false">B3606-WEEKDAY(B3606)+1</f>
        <v>44507</v>
      </c>
      <c r="D3606" s="1" t="e">
        <f aca="false" t="array" ref="D3606:D3606">IF(ISBLANK(_xlfn.xlookup(D$3,daily_items,_xlfn.xlookup($C3606,daily_dates,big_daily_table))),NA(),_xlfn.xlookup(D$3,daily_items,_xlfn.xlookup($C3606,daily_dates,big_daily_table)))</f>
        <v>#NAME?</v>
      </c>
      <c r="E3606" s="1" t="e">
        <f aca="false" t="array" ref="E3606:E3606">IF(ISBLANK(_xlfn.xlookup(E$3,daily_items,_xlfn.xlookup($C3606,daily_dates,big_daily_table))),NA(),_xlfn.xlookup(E$3,daily_items,_xlfn.xlookup($C3606,daily_dates,big_daily_table)))</f>
        <v>#NAME?</v>
      </c>
    </row>
    <row r="3607" customFormat="false" ht="14.25" hidden="false" customHeight="false" outlineLevel="0" collapsed="false">
      <c r="B3607" s="7" t="n">
        <v>44512</v>
      </c>
      <c r="C3607" s="7" t="n">
        <f aca="false">B3607-WEEKDAY(B3607)+1</f>
        <v>44507</v>
      </c>
      <c r="D3607" s="1" t="e">
        <f aca="false" t="array" ref="D3607:D3607">IF(ISBLANK(_xlfn.xlookup(D$3,daily_items,_xlfn.xlookup($C3607,daily_dates,big_daily_table))),NA(),_xlfn.xlookup(D$3,daily_items,_xlfn.xlookup($C3607,daily_dates,big_daily_table)))</f>
        <v>#NAME?</v>
      </c>
      <c r="E3607" s="1" t="e">
        <f aca="false" t="array" ref="E3607:E3607">IF(ISBLANK(_xlfn.xlookup(E$3,daily_items,_xlfn.xlookup($C3607,daily_dates,big_daily_table))),NA(),_xlfn.xlookup(E$3,daily_items,_xlfn.xlookup($C3607,daily_dates,big_daily_table)))</f>
        <v>#NAME?</v>
      </c>
    </row>
    <row r="3608" customFormat="false" ht="14.25" hidden="false" customHeight="false" outlineLevel="0" collapsed="false">
      <c r="B3608" s="7" t="n">
        <v>44513</v>
      </c>
      <c r="C3608" s="7" t="n">
        <f aca="false">B3608-WEEKDAY(B3608)+1</f>
        <v>44507</v>
      </c>
      <c r="D3608" s="1" t="e">
        <f aca="false" t="array" ref="D3608:D3608">IF(ISBLANK(_xlfn.xlookup(D$3,daily_items,_xlfn.xlookup($C3608,daily_dates,big_daily_table))),NA(),_xlfn.xlookup(D$3,daily_items,_xlfn.xlookup($C3608,daily_dates,big_daily_table)))</f>
        <v>#NAME?</v>
      </c>
      <c r="E3608" s="1" t="e">
        <f aca="false" t="array" ref="E3608:E3608">IF(ISBLANK(_xlfn.xlookup(E$3,daily_items,_xlfn.xlookup($C3608,daily_dates,big_daily_table))),NA(),_xlfn.xlookup(E$3,daily_items,_xlfn.xlookup($C3608,daily_dates,big_daily_table)))</f>
        <v>#NAME?</v>
      </c>
    </row>
    <row r="3609" customFormat="false" ht="14.25" hidden="false" customHeight="false" outlineLevel="0" collapsed="false">
      <c r="B3609" s="7" t="n">
        <v>44514</v>
      </c>
      <c r="C3609" s="7" t="n">
        <f aca="false">B3609-WEEKDAY(B3609)+1</f>
        <v>44514</v>
      </c>
      <c r="D3609" s="1" t="e">
        <f aca="false" t="array" ref="D3609:D3609">IF(ISBLANK(_xlfn.xlookup(D$3,daily_items,_xlfn.xlookup($C3609,daily_dates,big_daily_table))),NA(),_xlfn.xlookup(D$3,daily_items,_xlfn.xlookup($C3609,daily_dates,big_daily_table)))</f>
        <v>#NAME?</v>
      </c>
      <c r="E3609" s="1" t="e">
        <f aca="false" t="array" ref="E3609:E3609">IF(ISBLANK(_xlfn.xlookup(E$3,daily_items,_xlfn.xlookup($C3609,daily_dates,big_daily_table))),NA(),_xlfn.xlookup(E$3,daily_items,_xlfn.xlookup($C3609,daily_dates,big_daily_table)))</f>
        <v>#NAME?</v>
      </c>
    </row>
    <row r="3610" customFormat="false" ht="14.25" hidden="false" customHeight="false" outlineLevel="0" collapsed="false">
      <c r="B3610" s="7" t="n">
        <v>44515</v>
      </c>
      <c r="C3610" s="7" t="n">
        <f aca="false">B3610-WEEKDAY(B3610)+1</f>
        <v>44514</v>
      </c>
      <c r="D3610" s="1" t="e">
        <f aca="false" t="array" ref="D3610:D3610">IF(ISBLANK(_xlfn.xlookup(D$3,daily_items,_xlfn.xlookup($C3610,daily_dates,big_daily_table))),NA(),_xlfn.xlookup(D$3,daily_items,_xlfn.xlookup($C3610,daily_dates,big_daily_table)))</f>
        <v>#NAME?</v>
      </c>
      <c r="E3610" s="1" t="e">
        <f aca="false" t="array" ref="E3610:E3610">IF(ISBLANK(_xlfn.xlookup(E$3,daily_items,_xlfn.xlookup($C3610,daily_dates,big_daily_table))),NA(),_xlfn.xlookup(E$3,daily_items,_xlfn.xlookup($C3610,daily_dates,big_daily_table)))</f>
        <v>#NAME?</v>
      </c>
    </row>
    <row r="3611" customFormat="false" ht="14.25" hidden="false" customHeight="false" outlineLevel="0" collapsed="false">
      <c r="B3611" s="7" t="n">
        <v>44516</v>
      </c>
      <c r="C3611" s="7" t="n">
        <f aca="false">B3611-WEEKDAY(B3611)+1</f>
        <v>44514</v>
      </c>
      <c r="D3611" s="1" t="e">
        <f aca="false" t="array" ref="D3611:D3611">IF(ISBLANK(_xlfn.xlookup(D$3,daily_items,_xlfn.xlookup($C3611,daily_dates,big_daily_table))),NA(),_xlfn.xlookup(D$3,daily_items,_xlfn.xlookup($C3611,daily_dates,big_daily_table)))</f>
        <v>#NAME?</v>
      </c>
      <c r="E3611" s="1" t="e">
        <f aca="false" t="array" ref="E3611:E3611">IF(ISBLANK(_xlfn.xlookup(E$3,daily_items,_xlfn.xlookup($C3611,daily_dates,big_daily_table))),NA(),_xlfn.xlookup(E$3,daily_items,_xlfn.xlookup($C3611,daily_dates,big_daily_table)))</f>
        <v>#NAME?</v>
      </c>
    </row>
    <row r="3612" customFormat="false" ht="14.25" hidden="false" customHeight="false" outlineLevel="0" collapsed="false">
      <c r="B3612" s="7" t="n">
        <v>44517</v>
      </c>
      <c r="C3612" s="7" t="n">
        <f aca="false">B3612-WEEKDAY(B3612)+1</f>
        <v>44514</v>
      </c>
      <c r="D3612" s="1" t="e">
        <f aca="false" t="array" ref="D3612:D3612">IF(ISBLANK(_xlfn.xlookup(D$3,daily_items,_xlfn.xlookup($C3612,daily_dates,big_daily_table))),NA(),_xlfn.xlookup(D$3,daily_items,_xlfn.xlookup($C3612,daily_dates,big_daily_table)))</f>
        <v>#NAME?</v>
      </c>
      <c r="E3612" s="1" t="e">
        <f aca="false" t="array" ref="E3612:E3612">IF(ISBLANK(_xlfn.xlookup(E$3,daily_items,_xlfn.xlookup($C3612,daily_dates,big_daily_table))),NA(),_xlfn.xlookup(E$3,daily_items,_xlfn.xlookup($C3612,daily_dates,big_daily_table)))</f>
        <v>#NAME?</v>
      </c>
    </row>
    <row r="3613" customFormat="false" ht="14.25" hidden="false" customHeight="false" outlineLevel="0" collapsed="false">
      <c r="B3613" s="7" t="n">
        <v>44518</v>
      </c>
      <c r="C3613" s="7" t="n">
        <f aca="false">B3613-WEEKDAY(B3613)+1</f>
        <v>44514</v>
      </c>
      <c r="D3613" s="1" t="e">
        <f aca="false" t="array" ref="D3613:D3613">IF(ISBLANK(_xlfn.xlookup(D$3,daily_items,_xlfn.xlookup($C3613,daily_dates,big_daily_table))),NA(),_xlfn.xlookup(D$3,daily_items,_xlfn.xlookup($C3613,daily_dates,big_daily_table)))</f>
        <v>#NAME?</v>
      </c>
      <c r="E3613" s="1" t="e">
        <f aca="false" t="array" ref="E3613:E3613">IF(ISBLANK(_xlfn.xlookup(E$3,daily_items,_xlfn.xlookup($C3613,daily_dates,big_daily_table))),NA(),_xlfn.xlookup(E$3,daily_items,_xlfn.xlookup($C3613,daily_dates,big_daily_table)))</f>
        <v>#NAME?</v>
      </c>
    </row>
    <row r="3614" customFormat="false" ht="14.25" hidden="false" customHeight="false" outlineLevel="0" collapsed="false">
      <c r="B3614" s="7" t="n">
        <v>44519</v>
      </c>
      <c r="C3614" s="7" t="n">
        <f aca="false">B3614-WEEKDAY(B3614)+1</f>
        <v>44514</v>
      </c>
      <c r="D3614" s="1" t="e">
        <f aca="false" t="array" ref="D3614:D3614">IF(ISBLANK(_xlfn.xlookup(D$3,daily_items,_xlfn.xlookup($C3614,daily_dates,big_daily_table))),NA(),_xlfn.xlookup(D$3,daily_items,_xlfn.xlookup($C3614,daily_dates,big_daily_table)))</f>
        <v>#NAME?</v>
      </c>
      <c r="E3614" s="1" t="e">
        <f aca="false" t="array" ref="E3614:E3614">IF(ISBLANK(_xlfn.xlookup(E$3,daily_items,_xlfn.xlookup($C3614,daily_dates,big_daily_table))),NA(),_xlfn.xlookup(E$3,daily_items,_xlfn.xlookup($C3614,daily_dates,big_daily_table)))</f>
        <v>#NAME?</v>
      </c>
    </row>
    <row r="3615" customFormat="false" ht="14.25" hidden="false" customHeight="false" outlineLevel="0" collapsed="false">
      <c r="B3615" s="7" t="n">
        <v>44520</v>
      </c>
      <c r="C3615" s="7" t="n">
        <f aca="false">B3615-WEEKDAY(B3615)+1</f>
        <v>44514</v>
      </c>
      <c r="D3615" s="1" t="e">
        <f aca="false" t="array" ref="D3615:D3615">IF(ISBLANK(_xlfn.xlookup(D$3,daily_items,_xlfn.xlookup($C3615,daily_dates,big_daily_table))),NA(),_xlfn.xlookup(D$3,daily_items,_xlfn.xlookup($C3615,daily_dates,big_daily_table)))</f>
        <v>#NAME?</v>
      </c>
      <c r="E3615" s="1" t="e">
        <f aca="false" t="array" ref="E3615:E3615">IF(ISBLANK(_xlfn.xlookup(E$3,daily_items,_xlfn.xlookup($C3615,daily_dates,big_daily_table))),NA(),_xlfn.xlookup(E$3,daily_items,_xlfn.xlookup($C3615,daily_dates,big_daily_table)))</f>
        <v>#NAME?</v>
      </c>
    </row>
    <row r="3616" customFormat="false" ht="14.25" hidden="false" customHeight="false" outlineLevel="0" collapsed="false">
      <c r="B3616" s="7" t="n">
        <v>44521</v>
      </c>
      <c r="C3616" s="7" t="n">
        <f aca="false">B3616-WEEKDAY(B3616)+1</f>
        <v>44521</v>
      </c>
      <c r="D3616" s="1" t="e">
        <f aca="false" t="array" ref="D3616:D3616">IF(ISBLANK(_xlfn.xlookup(D$3,daily_items,_xlfn.xlookup($C3616,daily_dates,big_daily_table))),NA(),_xlfn.xlookup(D$3,daily_items,_xlfn.xlookup($C3616,daily_dates,big_daily_table)))</f>
        <v>#NAME?</v>
      </c>
      <c r="E3616" s="1" t="e">
        <f aca="false" t="array" ref="E3616:E3616">IF(ISBLANK(_xlfn.xlookup(E$3,daily_items,_xlfn.xlookup($C3616,daily_dates,big_daily_table))),NA(),_xlfn.xlookup(E$3,daily_items,_xlfn.xlookup($C3616,daily_dates,big_daily_table)))</f>
        <v>#NAME?</v>
      </c>
    </row>
    <row r="3617" customFormat="false" ht="14.25" hidden="false" customHeight="false" outlineLevel="0" collapsed="false">
      <c r="B3617" s="7" t="n">
        <v>44522</v>
      </c>
      <c r="C3617" s="7" t="n">
        <f aca="false">B3617-WEEKDAY(B3617)+1</f>
        <v>44521</v>
      </c>
      <c r="D3617" s="1" t="e">
        <f aca="false" t="array" ref="D3617:D3617">IF(ISBLANK(_xlfn.xlookup(D$3,daily_items,_xlfn.xlookup($C3617,daily_dates,big_daily_table))),NA(),_xlfn.xlookup(D$3,daily_items,_xlfn.xlookup($C3617,daily_dates,big_daily_table)))</f>
        <v>#NAME?</v>
      </c>
      <c r="E3617" s="1" t="e">
        <f aca="false" t="array" ref="E3617:E3617">IF(ISBLANK(_xlfn.xlookup(E$3,daily_items,_xlfn.xlookup($C3617,daily_dates,big_daily_table))),NA(),_xlfn.xlookup(E$3,daily_items,_xlfn.xlookup($C3617,daily_dates,big_daily_table)))</f>
        <v>#NAME?</v>
      </c>
    </row>
    <row r="3618" customFormat="false" ht="14.25" hidden="false" customHeight="false" outlineLevel="0" collapsed="false">
      <c r="B3618" s="7" t="n">
        <v>44523</v>
      </c>
      <c r="C3618" s="7" t="n">
        <f aca="false">B3618-WEEKDAY(B3618)+1</f>
        <v>44521</v>
      </c>
      <c r="D3618" s="1" t="e">
        <f aca="false" t="array" ref="D3618:D3618">IF(ISBLANK(_xlfn.xlookup(D$3,daily_items,_xlfn.xlookup($C3618,daily_dates,big_daily_table))),NA(),_xlfn.xlookup(D$3,daily_items,_xlfn.xlookup($C3618,daily_dates,big_daily_table)))</f>
        <v>#NAME?</v>
      </c>
      <c r="E3618" s="1" t="e">
        <f aca="false" t="array" ref="E3618:E3618">IF(ISBLANK(_xlfn.xlookup(E$3,daily_items,_xlfn.xlookup($C3618,daily_dates,big_daily_table))),NA(),_xlfn.xlookup(E$3,daily_items,_xlfn.xlookup($C3618,daily_dates,big_daily_table)))</f>
        <v>#NAME?</v>
      </c>
    </row>
    <row r="3619" customFormat="false" ht="14.25" hidden="false" customHeight="false" outlineLevel="0" collapsed="false">
      <c r="B3619" s="7" t="n">
        <v>44524</v>
      </c>
      <c r="C3619" s="7" t="n">
        <f aca="false">B3619-WEEKDAY(B3619)+1</f>
        <v>44521</v>
      </c>
      <c r="D3619" s="1" t="e">
        <f aca="false" t="array" ref="D3619:D3619">IF(ISBLANK(_xlfn.xlookup(D$3,daily_items,_xlfn.xlookup($C3619,daily_dates,big_daily_table))),NA(),_xlfn.xlookup(D$3,daily_items,_xlfn.xlookup($C3619,daily_dates,big_daily_table)))</f>
        <v>#NAME?</v>
      </c>
      <c r="E3619" s="1" t="e">
        <f aca="false" t="array" ref="E3619:E3619">IF(ISBLANK(_xlfn.xlookup(E$3,daily_items,_xlfn.xlookup($C3619,daily_dates,big_daily_table))),NA(),_xlfn.xlookup(E$3,daily_items,_xlfn.xlookup($C3619,daily_dates,big_daily_table)))</f>
        <v>#NAME?</v>
      </c>
    </row>
    <row r="3620" customFormat="false" ht="14.25" hidden="false" customHeight="false" outlineLevel="0" collapsed="false">
      <c r="B3620" s="7" t="n">
        <v>44525</v>
      </c>
      <c r="C3620" s="7" t="n">
        <f aca="false">B3620-WEEKDAY(B3620)+1</f>
        <v>44521</v>
      </c>
      <c r="D3620" s="1" t="e">
        <f aca="false" t="array" ref="D3620:D3620">IF(ISBLANK(_xlfn.xlookup(D$3,daily_items,_xlfn.xlookup($C3620,daily_dates,big_daily_table))),NA(),_xlfn.xlookup(D$3,daily_items,_xlfn.xlookup($C3620,daily_dates,big_daily_table)))</f>
        <v>#NAME?</v>
      </c>
      <c r="E3620" s="1" t="e">
        <f aca="false" t="array" ref="E3620:E3620">IF(ISBLANK(_xlfn.xlookup(E$3,daily_items,_xlfn.xlookup($C3620,daily_dates,big_daily_table))),NA(),_xlfn.xlookup(E$3,daily_items,_xlfn.xlookup($C3620,daily_dates,big_daily_table)))</f>
        <v>#NAME?</v>
      </c>
    </row>
    <row r="3621" customFormat="false" ht="14.25" hidden="false" customHeight="false" outlineLevel="0" collapsed="false">
      <c r="B3621" s="7" t="n">
        <v>44526</v>
      </c>
      <c r="C3621" s="7" t="n">
        <f aca="false">B3621-WEEKDAY(B3621)+1</f>
        <v>44521</v>
      </c>
      <c r="D3621" s="1" t="e">
        <f aca="false" t="array" ref="D3621:D3621">IF(ISBLANK(_xlfn.xlookup(D$3,daily_items,_xlfn.xlookup($C3621,daily_dates,big_daily_table))),NA(),_xlfn.xlookup(D$3,daily_items,_xlfn.xlookup($C3621,daily_dates,big_daily_table)))</f>
        <v>#NAME?</v>
      </c>
      <c r="E3621" s="1" t="e">
        <f aca="false" t="array" ref="E3621:E3621">IF(ISBLANK(_xlfn.xlookup(E$3,daily_items,_xlfn.xlookup($C3621,daily_dates,big_daily_table))),NA(),_xlfn.xlookup(E$3,daily_items,_xlfn.xlookup($C3621,daily_dates,big_daily_table)))</f>
        <v>#NAME?</v>
      </c>
    </row>
    <row r="3622" customFormat="false" ht="14.25" hidden="false" customHeight="false" outlineLevel="0" collapsed="false">
      <c r="B3622" s="7" t="n">
        <v>44527</v>
      </c>
      <c r="C3622" s="7" t="n">
        <f aca="false">B3622-WEEKDAY(B3622)+1</f>
        <v>44521</v>
      </c>
      <c r="D3622" s="1" t="e">
        <f aca="false" t="array" ref="D3622:D3622">IF(ISBLANK(_xlfn.xlookup(D$3,daily_items,_xlfn.xlookup($C3622,daily_dates,big_daily_table))),NA(),_xlfn.xlookup(D$3,daily_items,_xlfn.xlookup($C3622,daily_dates,big_daily_table)))</f>
        <v>#NAME?</v>
      </c>
      <c r="E3622" s="1" t="e">
        <f aca="false" t="array" ref="E3622:E3622">IF(ISBLANK(_xlfn.xlookup(E$3,daily_items,_xlfn.xlookup($C3622,daily_dates,big_daily_table))),NA(),_xlfn.xlookup(E$3,daily_items,_xlfn.xlookup($C3622,daily_dates,big_daily_table)))</f>
        <v>#NAME?</v>
      </c>
    </row>
    <row r="3623" customFormat="false" ht="14.25" hidden="false" customHeight="false" outlineLevel="0" collapsed="false">
      <c r="B3623" s="7" t="n">
        <v>44528</v>
      </c>
      <c r="C3623" s="7" t="n">
        <f aca="false">B3623-WEEKDAY(B3623)+1</f>
        <v>44528</v>
      </c>
      <c r="D3623" s="1" t="e">
        <f aca="false" t="array" ref="D3623:D3623">IF(ISBLANK(_xlfn.xlookup(D$3,daily_items,_xlfn.xlookup($C3623,daily_dates,big_daily_table))),NA(),_xlfn.xlookup(D$3,daily_items,_xlfn.xlookup($C3623,daily_dates,big_daily_table)))</f>
        <v>#NAME?</v>
      </c>
      <c r="E3623" s="1" t="e">
        <f aca="false" t="array" ref="E3623:E3623">IF(ISBLANK(_xlfn.xlookup(E$3,daily_items,_xlfn.xlookup($C3623,daily_dates,big_daily_table))),NA(),_xlfn.xlookup(E$3,daily_items,_xlfn.xlookup($C3623,daily_dates,big_daily_table)))</f>
        <v>#NAME?</v>
      </c>
    </row>
    <row r="3624" customFormat="false" ht="14.25" hidden="false" customHeight="false" outlineLevel="0" collapsed="false">
      <c r="B3624" s="7" t="n">
        <v>44529</v>
      </c>
      <c r="C3624" s="7" t="n">
        <f aca="false">B3624-WEEKDAY(B3624)+1</f>
        <v>44528</v>
      </c>
      <c r="D3624" s="1" t="e">
        <f aca="false" t="array" ref="D3624:D3624">IF(ISBLANK(_xlfn.xlookup(D$3,daily_items,_xlfn.xlookup($C3624,daily_dates,big_daily_table))),NA(),_xlfn.xlookup(D$3,daily_items,_xlfn.xlookup($C3624,daily_dates,big_daily_table)))</f>
        <v>#NAME?</v>
      </c>
      <c r="E3624" s="1" t="e">
        <f aca="false" t="array" ref="E3624:E3624">IF(ISBLANK(_xlfn.xlookup(E$3,daily_items,_xlfn.xlookup($C3624,daily_dates,big_daily_table))),NA(),_xlfn.xlookup(E$3,daily_items,_xlfn.xlookup($C3624,daily_dates,big_daily_table)))</f>
        <v>#NAME?</v>
      </c>
    </row>
    <row r="3625" customFormat="false" ht="14.25" hidden="false" customHeight="false" outlineLevel="0" collapsed="false">
      <c r="B3625" s="7" t="n">
        <v>44530</v>
      </c>
      <c r="C3625" s="7" t="n">
        <f aca="false">B3625-WEEKDAY(B3625)+1</f>
        <v>44528</v>
      </c>
      <c r="D3625" s="1" t="e">
        <f aca="false" t="array" ref="D3625:D3625">IF(ISBLANK(_xlfn.xlookup(D$3,daily_items,_xlfn.xlookup($C3625,daily_dates,big_daily_table))),NA(),_xlfn.xlookup(D$3,daily_items,_xlfn.xlookup($C3625,daily_dates,big_daily_table)))</f>
        <v>#NAME?</v>
      </c>
      <c r="E3625" s="1" t="e">
        <f aca="false" t="array" ref="E3625:E3625">IF(ISBLANK(_xlfn.xlookup(E$3,daily_items,_xlfn.xlookup($C3625,daily_dates,big_daily_table))),NA(),_xlfn.xlookup(E$3,daily_items,_xlfn.xlookup($C3625,daily_dates,big_daily_table)))</f>
        <v>#NAME?</v>
      </c>
    </row>
    <row r="3626" customFormat="false" ht="14.25" hidden="false" customHeight="false" outlineLevel="0" collapsed="false">
      <c r="B3626" s="7" t="n">
        <v>44531</v>
      </c>
      <c r="C3626" s="7" t="n">
        <f aca="false">B3626-WEEKDAY(B3626)+1</f>
        <v>44528</v>
      </c>
      <c r="D3626" s="1" t="e">
        <f aca="false" t="array" ref="D3626:D3626">IF(ISBLANK(_xlfn.xlookup(D$3,daily_items,_xlfn.xlookup($C3626,daily_dates,big_daily_table))),NA(),_xlfn.xlookup(D$3,daily_items,_xlfn.xlookup($C3626,daily_dates,big_daily_table)))</f>
        <v>#NAME?</v>
      </c>
      <c r="E3626" s="1" t="e">
        <f aca="false" t="array" ref="E3626:E3626">IF(ISBLANK(_xlfn.xlookup(E$3,daily_items,_xlfn.xlookup($C3626,daily_dates,big_daily_table))),NA(),_xlfn.xlookup(E$3,daily_items,_xlfn.xlookup($C3626,daily_dates,big_daily_table)))</f>
        <v>#NAME?</v>
      </c>
    </row>
    <row r="3627" customFormat="false" ht="14.25" hidden="false" customHeight="false" outlineLevel="0" collapsed="false">
      <c r="B3627" s="7" t="n">
        <v>44532</v>
      </c>
      <c r="C3627" s="7" t="n">
        <f aca="false">B3627-WEEKDAY(B3627)+1</f>
        <v>44528</v>
      </c>
      <c r="D3627" s="1" t="e">
        <f aca="false" t="array" ref="D3627:D3627">IF(ISBLANK(_xlfn.xlookup(D$3,daily_items,_xlfn.xlookup($C3627,daily_dates,big_daily_table))),NA(),_xlfn.xlookup(D$3,daily_items,_xlfn.xlookup($C3627,daily_dates,big_daily_table)))</f>
        <v>#NAME?</v>
      </c>
      <c r="E3627" s="1" t="e">
        <f aca="false" t="array" ref="E3627:E3627">IF(ISBLANK(_xlfn.xlookup(E$3,daily_items,_xlfn.xlookup($C3627,daily_dates,big_daily_table))),NA(),_xlfn.xlookup(E$3,daily_items,_xlfn.xlookup($C3627,daily_dates,big_daily_table)))</f>
        <v>#NAME?</v>
      </c>
    </row>
    <row r="3628" customFormat="false" ht="14.25" hidden="false" customHeight="false" outlineLevel="0" collapsed="false">
      <c r="B3628" s="7" t="n">
        <v>44533</v>
      </c>
      <c r="C3628" s="7" t="n">
        <f aca="false">B3628-WEEKDAY(B3628)+1</f>
        <v>44528</v>
      </c>
      <c r="D3628" s="1" t="e">
        <f aca="false" t="array" ref="D3628:D3628">IF(ISBLANK(_xlfn.xlookup(D$3,daily_items,_xlfn.xlookup($C3628,daily_dates,big_daily_table))),NA(),_xlfn.xlookup(D$3,daily_items,_xlfn.xlookup($C3628,daily_dates,big_daily_table)))</f>
        <v>#NAME?</v>
      </c>
      <c r="E3628" s="1" t="e">
        <f aca="false" t="array" ref="E3628:E3628">IF(ISBLANK(_xlfn.xlookup(E$3,daily_items,_xlfn.xlookup($C3628,daily_dates,big_daily_table))),NA(),_xlfn.xlookup(E$3,daily_items,_xlfn.xlookup($C3628,daily_dates,big_daily_table)))</f>
        <v>#NAME?</v>
      </c>
    </row>
    <row r="3629" customFormat="false" ht="14.25" hidden="false" customHeight="false" outlineLevel="0" collapsed="false">
      <c r="B3629" s="7" t="n">
        <v>44534</v>
      </c>
      <c r="C3629" s="7" t="n">
        <f aca="false">B3629-WEEKDAY(B3629)+1</f>
        <v>44528</v>
      </c>
      <c r="D3629" s="1" t="e">
        <f aca="false" t="array" ref="D3629:D3629">IF(ISBLANK(_xlfn.xlookup(D$3,daily_items,_xlfn.xlookup($C3629,daily_dates,big_daily_table))),NA(),_xlfn.xlookup(D$3,daily_items,_xlfn.xlookup($C3629,daily_dates,big_daily_table)))</f>
        <v>#NAME?</v>
      </c>
      <c r="E3629" s="1" t="e">
        <f aca="false" t="array" ref="E3629:E3629">IF(ISBLANK(_xlfn.xlookup(E$3,daily_items,_xlfn.xlookup($C3629,daily_dates,big_daily_table))),NA(),_xlfn.xlookup(E$3,daily_items,_xlfn.xlookup($C3629,daily_dates,big_daily_table)))</f>
        <v>#NAME?</v>
      </c>
    </row>
    <row r="3630" customFormat="false" ht="14.25" hidden="false" customHeight="false" outlineLevel="0" collapsed="false">
      <c r="B3630" s="7" t="n">
        <v>44535</v>
      </c>
      <c r="C3630" s="7" t="n">
        <f aca="false">B3630-WEEKDAY(B3630)+1</f>
        <v>44535</v>
      </c>
      <c r="D3630" s="1" t="e">
        <f aca="false" t="array" ref="D3630:D3630">IF(ISBLANK(_xlfn.xlookup(D$3,daily_items,_xlfn.xlookup($C3630,daily_dates,big_daily_table))),NA(),_xlfn.xlookup(D$3,daily_items,_xlfn.xlookup($C3630,daily_dates,big_daily_table)))</f>
        <v>#NAME?</v>
      </c>
      <c r="E3630" s="1" t="e">
        <f aca="false" t="array" ref="E3630:E3630">IF(ISBLANK(_xlfn.xlookup(E$3,daily_items,_xlfn.xlookup($C3630,daily_dates,big_daily_table))),NA(),_xlfn.xlookup(E$3,daily_items,_xlfn.xlookup($C3630,daily_dates,big_daily_table)))</f>
        <v>#NAME?</v>
      </c>
    </row>
    <row r="3631" customFormat="false" ht="14.25" hidden="false" customHeight="false" outlineLevel="0" collapsed="false">
      <c r="B3631" s="7" t="n">
        <v>44536</v>
      </c>
      <c r="C3631" s="7" t="n">
        <f aca="false">B3631-WEEKDAY(B3631)+1</f>
        <v>44535</v>
      </c>
      <c r="D3631" s="1" t="e">
        <f aca="false" t="array" ref="D3631:D3631">IF(ISBLANK(_xlfn.xlookup(D$3,daily_items,_xlfn.xlookup($C3631,daily_dates,big_daily_table))),NA(),_xlfn.xlookup(D$3,daily_items,_xlfn.xlookup($C3631,daily_dates,big_daily_table)))</f>
        <v>#NAME?</v>
      </c>
      <c r="E3631" s="1" t="e">
        <f aca="false" t="array" ref="E3631:E3631">IF(ISBLANK(_xlfn.xlookup(E$3,daily_items,_xlfn.xlookup($C3631,daily_dates,big_daily_table))),NA(),_xlfn.xlookup(E$3,daily_items,_xlfn.xlookup($C3631,daily_dates,big_daily_table)))</f>
        <v>#NAME?</v>
      </c>
    </row>
    <row r="3632" customFormat="false" ht="14.25" hidden="false" customHeight="false" outlineLevel="0" collapsed="false">
      <c r="B3632" s="7" t="n">
        <v>44537</v>
      </c>
      <c r="C3632" s="7" t="n">
        <f aca="false">B3632-WEEKDAY(B3632)+1</f>
        <v>44535</v>
      </c>
      <c r="D3632" s="1" t="e">
        <f aca="false" t="array" ref="D3632:D3632">IF(ISBLANK(_xlfn.xlookup(D$3,daily_items,_xlfn.xlookup($C3632,daily_dates,big_daily_table))),NA(),_xlfn.xlookup(D$3,daily_items,_xlfn.xlookup($C3632,daily_dates,big_daily_table)))</f>
        <v>#NAME?</v>
      </c>
      <c r="E3632" s="1" t="e">
        <f aca="false" t="array" ref="E3632:E3632">IF(ISBLANK(_xlfn.xlookup(E$3,daily_items,_xlfn.xlookup($C3632,daily_dates,big_daily_table))),NA(),_xlfn.xlookup(E$3,daily_items,_xlfn.xlookup($C3632,daily_dates,big_daily_table)))</f>
        <v>#NAME?</v>
      </c>
    </row>
    <row r="3633" customFormat="false" ht="14.25" hidden="false" customHeight="false" outlineLevel="0" collapsed="false">
      <c r="B3633" s="7" t="n">
        <v>44538</v>
      </c>
      <c r="C3633" s="7" t="n">
        <f aca="false">B3633-WEEKDAY(B3633)+1</f>
        <v>44535</v>
      </c>
      <c r="D3633" s="1" t="e">
        <f aca="false" t="array" ref="D3633:D3633">IF(ISBLANK(_xlfn.xlookup(D$3,daily_items,_xlfn.xlookup($C3633,daily_dates,big_daily_table))),NA(),_xlfn.xlookup(D$3,daily_items,_xlfn.xlookup($C3633,daily_dates,big_daily_table)))</f>
        <v>#NAME?</v>
      </c>
      <c r="E3633" s="1" t="e">
        <f aca="false" t="array" ref="E3633:E3633">IF(ISBLANK(_xlfn.xlookup(E$3,daily_items,_xlfn.xlookup($C3633,daily_dates,big_daily_table))),NA(),_xlfn.xlookup(E$3,daily_items,_xlfn.xlookup($C3633,daily_dates,big_daily_table)))</f>
        <v>#NAME?</v>
      </c>
    </row>
    <row r="3634" customFormat="false" ht="14.25" hidden="false" customHeight="false" outlineLevel="0" collapsed="false">
      <c r="B3634" s="7" t="n">
        <v>44539</v>
      </c>
      <c r="C3634" s="7" t="n">
        <f aca="false">B3634-WEEKDAY(B3634)+1</f>
        <v>44535</v>
      </c>
      <c r="D3634" s="1" t="e">
        <f aca="false" t="array" ref="D3634:D3634">IF(ISBLANK(_xlfn.xlookup(D$3,daily_items,_xlfn.xlookup($C3634,daily_dates,big_daily_table))),NA(),_xlfn.xlookup(D$3,daily_items,_xlfn.xlookup($C3634,daily_dates,big_daily_table)))</f>
        <v>#NAME?</v>
      </c>
      <c r="E3634" s="1" t="e">
        <f aca="false" t="array" ref="E3634:E3634">IF(ISBLANK(_xlfn.xlookup(E$3,daily_items,_xlfn.xlookup($C3634,daily_dates,big_daily_table))),NA(),_xlfn.xlookup(E$3,daily_items,_xlfn.xlookup($C3634,daily_dates,big_daily_table)))</f>
        <v>#NAME?</v>
      </c>
    </row>
    <row r="3635" customFormat="false" ht="14.25" hidden="false" customHeight="false" outlineLevel="0" collapsed="false">
      <c r="B3635" s="7" t="n">
        <v>44540</v>
      </c>
      <c r="C3635" s="7" t="n">
        <f aca="false">B3635-WEEKDAY(B3635)+1</f>
        <v>44535</v>
      </c>
      <c r="D3635" s="1" t="e">
        <f aca="false" t="array" ref="D3635:D3635">IF(ISBLANK(_xlfn.xlookup(D$3,daily_items,_xlfn.xlookup($C3635,daily_dates,big_daily_table))),NA(),_xlfn.xlookup(D$3,daily_items,_xlfn.xlookup($C3635,daily_dates,big_daily_table)))</f>
        <v>#NAME?</v>
      </c>
      <c r="E3635" s="1" t="e">
        <f aca="false" t="array" ref="E3635:E3635">IF(ISBLANK(_xlfn.xlookup(E$3,daily_items,_xlfn.xlookup($C3635,daily_dates,big_daily_table))),NA(),_xlfn.xlookup(E$3,daily_items,_xlfn.xlookup($C3635,daily_dates,big_daily_table)))</f>
        <v>#NAME?</v>
      </c>
    </row>
    <row r="3636" customFormat="false" ht="14.25" hidden="false" customHeight="false" outlineLevel="0" collapsed="false">
      <c r="B3636" s="7" t="n">
        <v>44541</v>
      </c>
      <c r="C3636" s="7" t="n">
        <f aca="false">B3636-WEEKDAY(B3636)+1</f>
        <v>44535</v>
      </c>
      <c r="D3636" s="1" t="e">
        <f aca="false" t="array" ref="D3636:D3636">IF(ISBLANK(_xlfn.xlookup(D$3,daily_items,_xlfn.xlookup($C3636,daily_dates,big_daily_table))),NA(),_xlfn.xlookup(D$3,daily_items,_xlfn.xlookup($C3636,daily_dates,big_daily_table)))</f>
        <v>#NAME?</v>
      </c>
      <c r="E3636" s="1" t="e">
        <f aca="false" t="array" ref="E3636:E3636">IF(ISBLANK(_xlfn.xlookup(E$3,daily_items,_xlfn.xlookup($C3636,daily_dates,big_daily_table))),NA(),_xlfn.xlookup(E$3,daily_items,_xlfn.xlookup($C3636,daily_dates,big_daily_table)))</f>
        <v>#NAME?</v>
      </c>
    </row>
    <row r="3637" customFormat="false" ht="14.25" hidden="false" customHeight="false" outlineLevel="0" collapsed="false">
      <c r="B3637" s="7" t="n">
        <v>44542</v>
      </c>
      <c r="C3637" s="7" t="n">
        <f aca="false">B3637-WEEKDAY(B3637)+1</f>
        <v>44542</v>
      </c>
      <c r="D3637" s="1" t="e">
        <f aca="false" t="array" ref="D3637:D3637">IF(ISBLANK(_xlfn.xlookup(D$3,daily_items,_xlfn.xlookup($C3637,daily_dates,big_daily_table))),NA(),_xlfn.xlookup(D$3,daily_items,_xlfn.xlookup($C3637,daily_dates,big_daily_table)))</f>
        <v>#NAME?</v>
      </c>
      <c r="E3637" s="1" t="e">
        <f aca="false" t="array" ref="E3637:E3637">IF(ISBLANK(_xlfn.xlookup(E$3,daily_items,_xlfn.xlookup($C3637,daily_dates,big_daily_table))),NA(),_xlfn.xlookup(E$3,daily_items,_xlfn.xlookup($C3637,daily_dates,big_daily_table)))</f>
        <v>#NAME?</v>
      </c>
    </row>
    <row r="3638" customFormat="false" ht="14.25" hidden="false" customHeight="false" outlineLevel="0" collapsed="false">
      <c r="B3638" s="7" t="n">
        <v>44543</v>
      </c>
      <c r="C3638" s="7" t="n">
        <f aca="false">B3638-WEEKDAY(B3638)+1</f>
        <v>44542</v>
      </c>
      <c r="D3638" s="1" t="e">
        <f aca="false" t="array" ref="D3638:D3638">IF(ISBLANK(_xlfn.xlookup(D$3,daily_items,_xlfn.xlookup($C3638,daily_dates,big_daily_table))),NA(),_xlfn.xlookup(D$3,daily_items,_xlfn.xlookup($C3638,daily_dates,big_daily_table)))</f>
        <v>#NAME?</v>
      </c>
      <c r="E3638" s="1" t="e">
        <f aca="false" t="array" ref="E3638:E3638">IF(ISBLANK(_xlfn.xlookup(E$3,daily_items,_xlfn.xlookup($C3638,daily_dates,big_daily_table))),NA(),_xlfn.xlookup(E$3,daily_items,_xlfn.xlookup($C3638,daily_dates,big_daily_table)))</f>
        <v>#NAME?</v>
      </c>
    </row>
    <row r="3639" customFormat="false" ht="14.25" hidden="false" customHeight="false" outlineLevel="0" collapsed="false">
      <c r="B3639" s="7" t="n">
        <v>44544</v>
      </c>
      <c r="C3639" s="7" t="n">
        <f aca="false">B3639-WEEKDAY(B3639)+1</f>
        <v>44542</v>
      </c>
      <c r="D3639" s="1" t="e">
        <f aca="false" t="array" ref="D3639:D3639">IF(ISBLANK(_xlfn.xlookup(D$3,daily_items,_xlfn.xlookup($C3639,daily_dates,big_daily_table))),NA(),_xlfn.xlookup(D$3,daily_items,_xlfn.xlookup($C3639,daily_dates,big_daily_table)))</f>
        <v>#NAME?</v>
      </c>
      <c r="E3639" s="1" t="e">
        <f aca="false" t="array" ref="E3639:E3639">IF(ISBLANK(_xlfn.xlookup(E$3,daily_items,_xlfn.xlookup($C3639,daily_dates,big_daily_table))),NA(),_xlfn.xlookup(E$3,daily_items,_xlfn.xlookup($C3639,daily_dates,big_daily_table)))</f>
        <v>#NAME?</v>
      </c>
    </row>
    <row r="3640" customFormat="false" ht="14.25" hidden="false" customHeight="false" outlineLevel="0" collapsed="false">
      <c r="B3640" s="7" t="n">
        <v>44545</v>
      </c>
      <c r="C3640" s="7" t="n">
        <f aca="false">B3640-WEEKDAY(B3640)+1</f>
        <v>44542</v>
      </c>
      <c r="D3640" s="1" t="e">
        <f aca="false" t="array" ref="D3640:D3640">IF(ISBLANK(_xlfn.xlookup(D$3,daily_items,_xlfn.xlookup($C3640,daily_dates,big_daily_table))),NA(),_xlfn.xlookup(D$3,daily_items,_xlfn.xlookup($C3640,daily_dates,big_daily_table)))</f>
        <v>#NAME?</v>
      </c>
      <c r="E3640" s="1" t="e">
        <f aca="false" t="array" ref="E3640:E3640">IF(ISBLANK(_xlfn.xlookup(E$3,daily_items,_xlfn.xlookup($C3640,daily_dates,big_daily_table))),NA(),_xlfn.xlookup(E$3,daily_items,_xlfn.xlookup($C3640,daily_dates,big_daily_table)))</f>
        <v>#NAME?</v>
      </c>
    </row>
    <row r="3641" customFormat="false" ht="14.25" hidden="false" customHeight="false" outlineLevel="0" collapsed="false">
      <c r="B3641" s="7" t="n">
        <v>44546</v>
      </c>
      <c r="C3641" s="7" t="n">
        <f aca="false">B3641-WEEKDAY(B3641)+1</f>
        <v>44542</v>
      </c>
      <c r="D3641" s="1" t="e">
        <f aca="false" t="array" ref="D3641:D3641">IF(ISBLANK(_xlfn.xlookup(D$3,daily_items,_xlfn.xlookup($C3641,daily_dates,big_daily_table))),NA(),_xlfn.xlookup(D$3,daily_items,_xlfn.xlookup($C3641,daily_dates,big_daily_table)))</f>
        <v>#NAME?</v>
      </c>
      <c r="E3641" s="1" t="e">
        <f aca="false" t="array" ref="E3641:E3641">IF(ISBLANK(_xlfn.xlookup(E$3,daily_items,_xlfn.xlookup($C3641,daily_dates,big_daily_table))),NA(),_xlfn.xlookup(E$3,daily_items,_xlfn.xlookup($C3641,daily_dates,big_daily_table)))</f>
        <v>#NAME?</v>
      </c>
    </row>
    <row r="3642" customFormat="false" ht="14.25" hidden="false" customHeight="false" outlineLevel="0" collapsed="false">
      <c r="B3642" s="7" t="n">
        <v>44547</v>
      </c>
      <c r="C3642" s="7" t="n">
        <f aca="false">B3642-WEEKDAY(B3642)+1</f>
        <v>44542</v>
      </c>
      <c r="D3642" s="1" t="e">
        <f aca="false" t="array" ref="D3642:D3642">IF(ISBLANK(_xlfn.xlookup(D$3,daily_items,_xlfn.xlookup($C3642,daily_dates,big_daily_table))),NA(),_xlfn.xlookup(D$3,daily_items,_xlfn.xlookup($C3642,daily_dates,big_daily_table)))</f>
        <v>#NAME?</v>
      </c>
      <c r="E3642" s="1" t="e">
        <f aca="false" t="array" ref="E3642:E3642">IF(ISBLANK(_xlfn.xlookup(E$3,daily_items,_xlfn.xlookup($C3642,daily_dates,big_daily_table))),NA(),_xlfn.xlookup(E$3,daily_items,_xlfn.xlookup($C3642,daily_dates,big_daily_table)))</f>
        <v>#NAME?</v>
      </c>
    </row>
    <row r="3643" customFormat="false" ht="14.25" hidden="false" customHeight="false" outlineLevel="0" collapsed="false">
      <c r="B3643" s="7" t="n">
        <v>44548</v>
      </c>
      <c r="C3643" s="7" t="n">
        <f aca="false">B3643-WEEKDAY(B3643)+1</f>
        <v>44542</v>
      </c>
      <c r="D3643" s="1" t="e">
        <f aca="false" t="array" ref="D3643:D3643">IF(ISBLANK(_xlfn.xlookup(D$3,daily_items,_xlfn.xlookup($C3643,daily_dates,big_daily_table))),NA(),_xlfn.xlookup(D$3,daily_items,_xlfn.xlookup($C3643,daily_dates,big_daily_table)))</f>
        <v>#NAME?</v>
      </c>
      <c r="E3643" s="1" t="e">
        <f aca="false" t="array" ref="E3643:E3643">IF(ISBLANK(_xlfn.xlookup(E$3,daily_items,_xlfn.xlookup($C3643,daily_dates,big_daily_table))),NA(),_xlfn.xlookup(E$3,daily_items,_xlfn.xlookup($C3643,daily_dates,big_daily_table)))</f>
        <v>#NAME?</v>
      </c>
    </row>
    <row r="3644" customFormat="false" ht="14.25" hidden="false" customHeight="false" outlineLevel="0" collapsed="false">
      <c r="B3644" s="7" t="n">
        <v>44549</v>
      </c>
      <c r="C3644" s="7" t="n">
        <f aca="false">B3644-WEEKDAY(B3644)+1</f>
        <v>44549</v>
      </c>
      <c r="D3644" s="1" t="e">
        <f aca="false" t="array" ref="D3644:D3644">IF(ISBLANK(_xlfn.xlookup(D$3,daily_items,_xlfn.xlookup($C3644,daily_dates,big_daily_table))),NA(),_xlfn.xlookup(D$3,daily_items,_xlfn.xlookup($C3644,daily_dates,big_daily_table)))</f>
        <v>#NAME?</v>
      </c>
      <c r="E3644" s="1" t="e">
        <f aca="false" t="array" ref="E3644:E3644">IF(ISBLANK(_xlfn.xlookup(E$3,daily_items,_xlfn.xlookup($C3644,daily_dates,big_daily_table))),NA(),_xlfn.xlookup(E$3,daily_items,_xlfn.xlookup($C3644,daily_dates,big_daily_table)))</f>
        <v>#NAME?</v>
      </c>
    </row>
    <row r="3645" customFormat="false" ht="14.25" hidden="false" customHeight="false" outlineLevel="0" collapsed="false">
      <c r="B3645" s="7" t="n">
        <v>44550</v>
      </c>
      <c r="C3645" s="7" t="n">
        <f aca="false">B3645-WEEKDAY(B3645)+1</f>
        <v>44549</v>
      </c>
      <c r="D3645" s="1" t="e">
        <f aca="false" t="array" ref="D3645:D3645">IF(ISBLANK(_xlfn.xlookup(D$3,daily_items,_xlfn.xlookup($C3645,daily_dates,big_daily_table))),NA(),_xlfn.xlookup(D$3,daily_items,_xlfn.xlookup($C3645,daily_dates,big_daily_table)))</f>
        <v>#NAME?</v>
      </c>
      <c r="E3645" s="1" t="e">
        <f aca="false" t="array" ref="E3645:E3645">IF(ISBLANK(_xlfn.xlookup(E$3,daily_items,_xlfn.xlookup($C3645,daily_dates,big_daily_table))),NA(),_xlfn.xlookup(E$3,daily_items,_xlfn.xlookup($C3645,daily_dates,big_daily_table)))</f>
        <v>#NAME?</v>
      </c>
    </row>
    <row r="3646" customFormat="false" ht="14.25" hidden="false" customHeight="false" outlineLevel="0" collapsed="false">
      <c r="B3646" s="7" t="n">
        <v>44551</v>
      </c>
      <c r="C3646" s="7" t="n">
        <f aca="false">B3646-WEEKDAY(B3646)+1</f>
        <v>44549</v>
      </c>
      <c r="D3646" s="1" t="e">
        <f aca="false" t="array" ref="D3646:D3646">IF(ISBLANK(_xlfn.xlookup(D$3,daily_items,_xlfn.xlookup($C3646,daily_dates,big_daily_table))),NA(),_xlfn.xlookup(D$3,daily_items,_xlfn.xlookup($C3646,daily_dates,big_daily_table)))</f>
        <v>#NAME?</v>
      </c>
      <c r="E3646" s="1" t="e">
        <f aca="false" t="array" ref="E3646:E3646">IF(ISBLANK(_xlfn.xlookup(E$3,daily_items,_xlfn.xlookup($C3646,daily_dates,big_daily_table))),NA(),_xlfn.xlookup(E$3,daily_items,_xlfn.xlookup($C3646,daily_dates,big_daily_table)))</f>
        <v>#NAME?</v>
      </c>
    </row>
    <row r="3647" customFormat="false" ht="14.25" hidden="false" customHeight="false" outlineLevel="0" collapsed="false">
      <c r="B3647" s="7" t="n">
        <v>44552</v>
      </c>
      <c r="C3647" s="7" t="n">
        <f aca="false">B3647-WEEKDAY(B3647)+1</f>
        <v>44549</v>
      </c>
      <c r="D3647" s="1" t="e">
        <f aca="false" t="array" ref="D3647:D3647">IF(ISBLANK(_xlfn.xlookup(D$3,daily_items,_xlfn.xlookup($C3647,daily_dates,big_daily_table))),NA(),_xlfn.xlookup(D$3,daily_items,_xlfn.xlookup($C3647,daily_dates,big_daily_table)))</f>
        <v>#NAME?</v>
      </c>
      <c r="E3647" s="1" t="e">
        <f aca="false" t="array" ref="E3647:E3647">IF(ISBLANK(_xlfn.xlookup(E$3,daily_items,_xlfn.xlookup($C3647,daily_dates,big_daily_table))),NA(),_xlfn.xlookup(E$3,daily_items,_xlfn.xlookup($C3647,daily_dates,big_daily_table)))</f>
        <v>#NAME?</v>
      </c>
    </row>
    <row r="3648" customFormat="false" ht="14.25" hidden="false" customHeight="false" outlineLevel="0" collapsed="false">
      <c r="B3648" s="7" t="n">
        <v>44553</v>
      </c>
      <c r="C3648" s="7" t="n">
        <f aca="false">B3648-WEEKDAY(B3648)+1</f>
        <v>44549</v>
      </c>
      <c r="D3648" s="1" t="e">
        <f aca="false" t="array" ref="D3648:D3648">IF(ISBLANK(_xlfn.xlookup(D$3,daily_items,_xlfn.xlookup($C3648,daily_dates,big_daily_table))),NA(),_xlfn.xlookup(D$3,daily_items,_xlfn.xlookup($C3648,daily_dates,big_daily_table)))</f>
        <v>#NAME?</v>
      </c>
      <c r="E3648" s="1" t="e">
        <f aca="false" t="array" ref="E3648:E3648">IF(ISBLANK(_xlfn.xlookup(E$3,daily_items,_xlfn.xlookup($C3648,daily_dates,big_daily_table))),NA(),_xlfn.xlookup(E$3,daily_items,_xlfn.xlookup($C3648,daily_dates,big_daily_table)))</f>
        <v>#NAME?</v>
      </c>
    </row>
    <row r="3649" customFormat="false" ht="14.25" hidden="false" customHeight="false" outlineLevel="0" collapsed="false">
      <c r="B3649" s="7" t="n">
        <v>44554</v>
      </c>
      <c r="C3649" s="7" t="n">
        <f aca="false">B3649-WEEKDAY(B3649)+1</f>
        <v>44549</v>
      </c>
      <c r="D3649" s="1" t="e">
        <f aca="false" t="array" ref="D3649:D3649">IF(ISBLANK(_xlfn.xlookup(D$3,daily_items,_xlfn.xlookup($C3649,daily_dates,big_daily_table))),NA(),_xlfn.xlookup(D$3,daily_items,_xlfn.xlookup($C3649,daily_dates,big_daily_table)))</f>
        <v>#NAME?</v>
      </c>
      <c r="E3649" s="1" t="e">
        <f aca="false" t="array" ref="E3649:E3649">IF(ISBLANK(_xlfn.xlookup(E$3,daily_items,_xlfn.xlookup($C3649,daily_dates,big_daily_table))),NA(),_xlfn.xlookup(E$3,daily_items,_xlfn.xlookup($C3649,daily_dates,big_daily_table)))</f>
        <v>#NAME?</v>
      </c>
    </row>
    <row r="3650" customFormat="false" ht="14.25" hidden="false" customHeight="false" outlineLevel="0" collapsed="false">
      <c r="B3650" s="7" t="n">
        <v>44555</v>
      </c>
      <c r="C3650" s="7" t="n">
        <f aca="false">B3650-WEEKDAY(B3650)+1</f>
        <v>44549</v>
      </c>
      <c r="D3650" s="1" t="e">
        <f aca="false" t="array" ref="D3650:D3650">IF(ISBLANK(_xlfn.xlookup(D$3,daily_items,_xlfn.xlookup($C3650,daily_dates,big_daily_table))),NA(),_xlfn.xlookup(D$3,daily_items,_xlfn.xlookup($C3650,daily_dates,big_daily_table)))</f>
        <v>#NAME?</v>
      </c>
      <c r="E3650" s="1" t="e">
        <f aca="false" t="array" ref="E3650:E3650">IF(ISBLANK(_xlfn.xlookup(E$3,daily_items,_xlfn.xlookup($C3650,daily_dates,big_daily_table))),NA(),_xlfn.xlookup(E$3,daily_items,_xlfn.xlookup($C3650,daily_dates,big_daily_table)))</f>
        <v>#NAME?</v>
      </c>
    </row>
    <row r="3651" customFormat="false" ht="14.25" hidden="false" customHeight="false" outlineLevel="0" collapsed="false">
      <c r="B3651" s="7" t="n">
        <v>44556</v>
      </c>
      <c r="C3651" s="7" t="n">
        <f aca="false">B3651-WEEKDAY(B3651)+1</f>
        <v>44556</v>
      </c>
      <c r="D3651" s="1" t="e">
        <f aca="false" t="array" ref="D3651:D3651">IF(ISBLANK(_xlfn.xlookup(D$3,daily_items,_xlfn.xlookup($C3651,daily_dates,big_daily_table))),NA(),_xlfn.xlookup(D$3,daily_items,_xlfn.xlookup($C3651,daily_dates,big_daily_table)))</f>
        <v>#NAME?</v>
      </c>
      <c r="E3651" s="1" t="e">
        <f aca="false" t="array" ref="E3651:E3651">IF(ISBLANK(_xlfn.xlookup(E$3,daily_items,_xlfn.xlookup($C3651,daily_dates,big_daily_table))),NA(),_xlfn.xlookup(E$3,daily_items,_xlfn.xlookup($C3651,daily_dates,big_daily_table)))</f>
        <v>#NAME?</v>
      </c>
    </row>
    <row r="3652" customFormat="false" ht="14.25" hidden="false" customHeight="false" outlineLevel="0" collapsed="false">
      <c r="B3652" s="7" t="n">
        <v>44557</v>
      </c>
      <c r="C3652" s="7" t="n">
        <f aca="false">B3652-WEEKDAY(B3652)+1</f>
        <v>44556</v>
      </c>
      <c r="D3652" s="1" t="e">
        <f aca="false" t="array" ref="D3652:D3652">IF(ISBLANK(_xlfn.xlookup(D$3,daily_items,_xlfn.xlookup($C3652,daily_dates,big_daily_table))),NA(),_xlfn.xlookup(D$3,daily_items,_xlfn.xlookup($C3652,daily_dates,big_daily_table)))</f>
        <v>#NAME?</v>
      </c>
      <c r="E3652" s="1" t="e">
        <f aca="false" t="array" ref="E3652:E3652">IF(ISBLANK(_xlfn.xlookup(E$3,daily_items,_xlfn.xlookup($C3652,daily_dates,big_daily_table))),NA(),_xlfn.xlookup(E$3,daily_items,_xlfn.xlookup($C3652,daily_dates,big_daily_table)))</f>
        <v>#NAME?</v>
      </c>
    </row>
    <row r="3653" customFormat="false" ht="14.25" hidden="false" customHeight="false" outlineLevel="0" collapsed="false">
      <c r="B3653" s="7" t="n">
        <v>44558</v>
      </c>
      <c r="C3653" s="7" t="n">
        <f aca="false">B3653-WEEKDAY(B3653)+1</f>
        <v>44556</v>
      </c>
      <c r="D3653" s="1" t="e">
        <f aca="false" t="array" ref="D3653:D3653">IF(ISBLANK(_xlfn.xlookup(D$3,daily_items,_xlfn.xlookup($C3653,daily_dates,big_daily_table))),NA(),_xlfn.xlookup(D$3,daily_items,_xlfn.xlookup($C3653,daily_dates,big_daily_table)))</f>
        <v>#NAME?</v>
      </c>
      <c r="E3653" s="1" t="e">
        <f aca="false" t="array" ref="E3653:E3653">IF(ISBLANK(_xlfn.xlookup(E$3,daily_items,_xlfn.xlookup($C3653,daily_dates,big_daily_table))),NA(),_xlfn.xlookup(E$3,daily_items,_xlfn.xlookup($C3653,daily_dates,big_daily_table)))</f>
        <v>#NAME?</v>
      </c>
    </row>
    <row r="3654" customFormat="false" ht="14.25" hidden="false" customHeight="false" outlineLevel="0" collapsed="false">
      <c r="B3654" s="7" t="n">
        <v>44559</v>
      </c>
      <c r="C3654" s="7" t="n">
        <f aca="false">B3654-WEEKDAY(B3654)+1</f>
        <v>44556</v>
      </c>
      <c r="D3654" s="1" t="e">
        <f aca="false" t="array" ref="D3654:D3654">IF(ISBLANK(_xlfn.xlookup(D$3,daily_items,_xlfn.xlookup($C3654,daily_dates,big_daily_table))),NA(),_xlfn.xlookup(D$3,daily_items,_xlfn.xlookup($C3654,daily_dates,big_daily_table)))</f>
        <v>#NAME?</v>
      </c>
      <c r="E3654" s="1" t="e">
        <f aca="false" t="array" ref="E3654:E3654">IF(ISBLANK(_xlfn.xlookup(E$3,daily_items,_xlfn.xlookup($C3654,daily_dates,big_daily_table))),NA(),_xlfn.xlookup(E$3,daily_items,_xlfn.xlookup($C3654,daily_dates,big_daily_table)))</f>
        <v>#NAME?</v>
      </c>
    </row>
    <row r="3655" customFormat="false" ht="14.25" hidden="false" customHeight="false" outlineLevel="0" collapsed="false">
      <c r="B3655" s="7" t="n">
        <v>44560</v>
      </c>
      <c r="C3655" s="7" t="n">
        <f aca="false">B3655-WEEKDAY(B3655)+1</f>
        <v>44556</v>
      </c>
      <c r="D3655" s="1" t="e">
        <f aca="false" t="array" ref="D3655:D3655">IF(ISBLANK(_xlfn.xlookup(D$3,daily_items,_xlfn.xlookup($C3655,daily_dates,big_daily_table))),NA(),_xlfn.xlookup(D$3,daily_items,_xlfn.xlookup($C3655,daily_dates,big_daily_table)))</f>
        <v>#NAME?</v>
      </c>
      <c r="E3655" s="1" t="e">
        <f aca="false" t="array" ref="E3655:E3655">IF(ISBLANK(_xlfn.xlookup(E$3,daily_items,_xlfn.xlookup($C3655,daily_dates,big_daily_table))),NA(),_xlfn.xlookup(E$3,daily_items,_xlfn.xlookup($C3655,daily_dates,big_daily_table)))</f>
        <v>#NAME?</v>
      </c>
    </row>
    <row r="3656" customFormat="false" ht="14.25" hidden="false" customHeight="false" outlineLevel="0" collapsed="false">
      <c r="B3656" s="7" t="n">
        <v>44561</v>
      </c>
      <c r="C3656" s="7" t="n">
        <f aca="false">B3656-WEEKDAY(B3656)+1</f>
        <v>44556</v>
      </c>
      <c r="D3656" s="1" t="e">
        <f aca="false" t="array" ref="D3656:D3656">IF(ISBLANK(_xlfn.xlookup(D$3,daily_items,_xlfn.xlookup($C3656,daily_dates,big_daily_table))),NA(),_xlfn.xlookup(D$3,daily_items,_xlfn.xlookup($C3656,daily_dates,big_daily_table)))</f>
        <v>#NAME?</v>
      </c>
      <c r="E3656" s="1" t="e">
        <f aca="false" t="array" ref="E3656:E3656">IF(ISBLANK(_xlfn.xlookup(E$3,daily_items,_xlfn.xlookup($C3656,daily_dates,big_daily_table))),NA(),_xlfn.xlookup(E$3,daily_items,_xlfn.xlookup($C3656,daily_dates,big_daily_table)))</f>
        <v>#NAME?</v>
      </c>
    </row>
    <row r="3657" customFormat="false" ht="14.25" hidden="false" customHeight="false" outlineLevel="0" collapsed="false">
      <c r="B3657" s="7" t="n">
        <v>44562</v>
      </c>
      <c r="C3657" s="7" t="n">
        <f aca="false">B3657-WEEKDAY(B3657)+1</f>
        <v>44556</v>
      </c>
      <c r="D3657" s="1" t="e">
        <f aca="false" t="array" ref="D3657:D3657">IF(ISBLANK(_xlfn.xlookup(D$3,daily_items,_xlfn.xlookup($C3657,daily_dates,big_daily_table))),NA(),_xlfn.xlookup(D$3,daily_items,_xlfn.xlookup($C3657,daily_dates,big_daily_table)))</f>
        <v>#NAME?</v>
      </c>
      <c r="E3657" s="1" t="e">
        <f aca="false" t="array" ref="E3657:E3657">IF(ISBLANK(_xlfn.xlookup(E$3,daily_items,_xlfn.xlookup($C3657,daily_dates,big_daily_table))),NA(),_xlfn.xlookup(E$3,daily_items,_xlfn.xlookup($C3657,daily_dates,big_daily_table)))</f>
        <v>#NAME?</v>
      </c>
    </row>
    <row r="3658" customFormat="false" ht="14.25" hidden="false" customHeight="false" outlineLevel="0" collapsed="false">
      <c r="B3658" s="7" t="n">
        <v>44563</v>
      </c>
      <c r="C3658" s="7" t="n">
        <f aca="false">B3658-WEEKDAY(B3658)+1</f>
        <v>44563</v>
      </c>
      <c r="D3658" s="1" t="e">
        <f aca="false" t="array" ref="D3658:D3658">IF(ISBLANK(_xlfn.xlookup(D$3,daily_items,_xlfn.xlookup($C3658,daily_dates,big_daily_table))),NA(),_xlfn.xlookup(D$3,daily_items,_xlfn.xlookup($C3658,daily_dates,big_daily_table)))</f>
        <v>#NAME?</v>
      </c>
      <c r="E3658" s="1" t="e">
        <f aca="false" t="array" ref="E3658:E3658">IF(ISBLANK(_xlfn.xlookup(E$3,daily_items,_xlfn.xlookup($C3658,daily_dates,big_daily_table))),NA(),_xlfn.xlookup(E$3,daily_items,_xlfn.xlookup($C3658,daily_dates,big_daily_table)))</f>
        <v>#NAME?</v>
      </c>
    </row>
    <row r="3659" customFormat="false" ht="14.25" hidden="false" customHeight="false" outlineLevel="0" collapsed="false">
      <c r="B3659" s="7" t="n">
        <v>44564</v>
      </c>
      <c r="C3659" s="7" t="n">
        <f aca="false">B3659-WEEKDAY(B3659)+1</f>
        <v>44563</v>
      </c>
      <c r="D3659" s="1" t="e">
        <f aca="false" t="array" ref="D3659:D3659">IF(ISBLANK(_xlfn.xlookup(D$3,daily_items,_xlfn.xlookup($C3659,daily_dates,big_daily_table))),NA(),_xlfn.xlookup(D$3,daily_items,_xlfn.xlookup($C3659,daily_dates,big_daily_table)))</f>
        <v>#NAME?</v>
      </c>
      <c r="E3659" s="1" t="e">
        <f aca="false" t="array" ref="E3659:E3659">IF(ISBLANK(_xlfn.xlookup(E$3,daily_items,_xlfn.xlookup($C3659,daily_dates,big_daily_table))),NA(),_xlfn.xlookup(E$3,daily_items,_xlfn.xlookup($C3659,daily_dates,big_daily_table)))</f>
        <v>#NAME?</v>
      </c>
    </row>
    <row r="3660" customFormat="false" ht="14.25" hidden="false" customHeight="false" outlineLevel="0" collapsed="false">
      <c r="B3660" s="7" t="n">
        <v>44565</v>
      </c>
      <c r="C3660" s="7" t="n">
        <f aca="false">B3660-WEEKDAY(B3660)+1</f>
        <v>44563</v>
      </c>
      <c r="D3660" s="1" t="e">
        <f aca="false" t="array" ref="D3660:D3660">IF(ISBLANK(_xlfn.xlookup(D$3,daily_items,_xlfn.xlookup($C3660,daily_dates,big_daily_table))),NA(),_xlfn.xlookup(D$3,daily_items,_xlfn.xlookup($C3660,daily_dates,big_daily_table)))</f>
        <v>#NAME?</v>
      </c>
      <c r="E3660" s="1" t="e">
        <f aca="false" t="array" ref="E3660:E3660">IF(ISBLANK(_xlfn.xlookup(E$3,daily_items,_xlfn.xlookup($C3660,daily_dates,big_daily_table))),NA(),_xlfn.xlookup(E$3,daily_items,_xlfn.xlookup($C3660,daily_dates,big_daily_table)))</f>
        <v>#NAME?</v>
      </c>
    </row>
    <row r="3661" customFormat="false" ht="14.25" hidden="false" customHeight="false" outlineLevel="0" collapsed="false">
      <c r="B3661" s="7" t="n">
        <v>44566</v>
      </c>
      <c r="C3661" s="7" t="n">
        <f aca="false">B3661-WEEKDAY(B3661)+1</f>
        <v>44563</v>
      </c>
      <c r="D3661" s="1" t="e">
        <f aca="false" t="array" ref="D3661:D3661">IF(ISBLANK(_xlfn.xlookup(D$3,daily_items,_xlfn.xlookup($C3661,daily_dates,big_daily_table))),NA(),_xlfn.xlookup(D$3,daily_items,_xlfn.xlookup($C3661,daily_dates,big_daily_table)))</f>
        <v>#NAME?</v>
      </c>
      <c r="E3661" s="1" t="e">
        <f aca="false" t="array" ref="E3661:E3661">IF(ISBLANK(_xlfn.xlookup(E$3,daily_items,_xlfn.xlookup($C3661,daily_dates,big_daily_table))),NA(),_xlfn.xlookup(E$3,daily_items,_xlfn.xlookup($C3661,daily_dates,big_daily_table)))</f>
        <v>#NAME?</v>
      </c>
    </row>
    <row r="3662" customFormat="false" ht="14.25" hidden="false" customHeight="false" outlineLevel="0" collapsed="false">
      <c r="B3662" s="7" t="n">
        <v>44567</v>
      </c>
      <c r="C3662" s="7" t="n">
        <f aca="false">B3662-WEEKDAY(B3662)+1</f>
        <v>44563</v>
      </c>
      <c r="D3662" s="1" t="e">
        <f aca="false" t="array" ref="D3662:D3662">IF(ISBLANK(_xlfn.xlookup(D$3,daily_items,_xlfn.xlookup($C3662,daily_dates,big_daily_table))),NA(),_xlfn.xlookup(D$3,daily_items,_xlfn.xlookup($C3662,daily_dates,big_daily_table)))</f>
        <v>#NAME?</v>
      </c>
      <c r="E3662" s="1" t="e">
        <f aca="false" t="array" ref="E3662:E3662">IF(ISBLANK(_xlfn.xlookup(E$3,daily_items,_xlfn.xlookup($C3662,daily_dates,big_daily_table))),NA(),_xlfn.xlookup(E$3,daily_items,_xlfn.xlookup($C3662,daily_dates,big_daily_table)))</f>
        <v>#NAME?</v>
      </c>
    </row>
    <row r="3663" customFormat="false" ht="14.25" hidden="false" customHeight="false" outlineLevel="0" collapsed="false">
      <c r="B3663" s="7" t="n">
        <v>44568</v>
      </c>
      <c r="C3663" s="7" t="n">
        <f aca="false">B3663-WEEKDAY(B3663)+1</f>
        <v>44563</v>
      </c>
      <c r="D3663" s="1" t="e">
        <f aca="false" t="array" ref="D3663:D3663">IF(ISBLANK(_xlfn.xlookup(D$3,daily_items,_xlfn.xlookup($C3663,daily_dates,big_daily_table))),NA(),_xlfn.xlookup(D$3,daily_items,_xlfn.xlookup($C3663,daily_dates,big_daily_table)))</f>
        <v>#NAME?</v>
      </c>
      <c r="E3663" s="1" t="e">
        <f aca="false" t="array" ref="E3663:E3663">IF(ISBLANK(_xlfn.xlookup(E$3,daily_items,_xlfn.xlookup($C3663,daily_dates,big_daily_table))),NA(),_xlfn.xlookup(E$3,daily_items,_xlfn.xlookup($C3663,daily_dates,big_daily_table)))</f>
        <v>#NAME?</v>
      </c>
    </row>
    <row r="3664" customFormat="false" ht="14.25" hidden="false" customHeight="false" outlineLevel="0" collapsed="false">
      <c r="B3664" s="7" t="n">
        <v>44569</v>
      </c>
      <c r="C3664" s="7" t="n">
        <f aca="false">B3664-WEEKDAY(B3664)+1</f>
        <v>44563</v>
      </c>
      <c r="D3664" s="1" t="e">
        <f aca="false" t="array" ref="D3664:D3664">IF(ISBLANK(_xlfn.xlookup(D$3,daily_items,_xlfn.xlookup($C3664,daily_dates,big_daily_table))),NA(),_xlfn.xlookup(D$3,daily_items,_xlfn.xlookup($C3664,daily_dates,big_daily_table)))</f>
        <v>#NAME?</v>
      </c>
      <c r="E3664" s="1" t="e">
        <f aca="false" t="array" ref="E3664:E3664">IF(ISBLANK(_xlfn.xlookup(E$3,daily_items,_xlfn.xlookup($C3664,daily_dates,big_daily_table))),NA(),_xlfn.xlookup(E$3,daily_items,_xlfn.xlookup($C3664,daily_dates,big_daily_table)))</f>
        <v>#NAME?</v>
      </c>
    </row>
    <row r="3665" customFormat="false" ht="14.25" hidden="false" customHeight="false" outlineLevel="0" collapsed="false">
      <c r="B3665" s="7" t="n">
        <v>44570</v>
      </c>
      <c r="C3665" s="7" t="n">
        <f aca="false">B3665-WEEKDAY(B3665)+1</f>
        <v>44570</v>
      </c>
      <c r="D3665" s="1" t="e">
        <f aca="false" t="array" ref="D3665:D3665">IF(ISBLANK(_xlfn.xlookup(D$3,daily_items,_xlfn.xlookup($C3665,daily_dates,big_daily_table))),NA(),_xlfn.xlookup(D$3,daily_items,_xlfn.xlookup($C3665,daily_dates,big_daily_table)))</f>
        <v>#NAME?</v>
      </c>
      <c r="E3665" s="1" t="e">
        <f aca="false" t="array" ref="E3665:E3665">IF(ISBLANK(_xlfn.xlookup(E$3,daily_items,_xlfn.xlookup($C3665,daily_dates,big_daily_table))),NA(),_xlfn.xlookup(E$3,daily_items,_xlfn.xlookup($C3665,daily_dates,big_daily_table)))</f>
        <v>#NAME?</v>
      </c>
    </row>
    <row r="3666" customFormat="false" ht="14.25" hidden="false" customHeight="false" outlineLevel="0" collapsed="false">
      <c r="B3666" s="7" t="n">
        <v>44571</v>
      </c>
      <c r="C3666" s="7" t="n">
        <f aca="false">B3666-WEEKDAY(B3666)+1</f>
        <v>44570</v>
      </c>
      <c r="D3666" s="1" t="e">
        <f aca="false" t="array" ref="D3666:D3666">IF(ISBLANK(_xlfn.xlookup(D$3,daily_items,_xlfn.xlookup($C3666,daily_dates,big_daily_table))),NA(),_xlfn.xlookup(D$3,daily_items,_xlfn.xlookup($C3666,daily_dates,big_daily_table)))</f>
        <v>#NAME?</v>
      </c>
      <c r="E3666" s="1" t="e">
        <f aca="false" t="array" ref="E3666:E3666">IF(ISBLANK(_xlfn.xlookup(E$3,daily_items,_xlfn.xlookup($C3666,daily_dates,big_daily_table))),NA(),_xlfn.xlookup(E$3,daily_items,_xlfn.xlookup($C3666,daily_dates,big_daily_table)))</f>
        <v>#NAME?</v>
      </c>
    </row>
    <row r="3667" customFormat="false" ht="14.25" hidden="false" customHeight="false" outlineLevel="0" collapsed="false">
      <c r="B3667" s="7" t="n">
        <v>44572</v>
      </c>
      <c r="C3667" s="7" t="n">
        <f aca="false">B3667-WEEKDAY(B3667)+1</f>
        <v>44570</v>
      </c>
      <c r="D3667" s="1" t="e">
        <f aca="false" t="array" ref="D3667:D3667">IF(ISBLANK(_xlfn.xlookup(D$3,daily_items,_xlfn.xlookup($C3667,daily_dates,big_daily_table))),NA(),_xlfn.xlookup(D$3,daily_items,_xlfn.xlookup($C3667,daily_dates,big_daily_table)))</f>
        <v>#NAME?</v>
      </c>
      <c r="E3667" s="1" t="e">
        <f aca="false" t="array" ref="E3667:E3667">IF(ISBLANK(_xlfn.xlookup(E$3,daily_items,_xlfn.xlookup($C3667,daily_dates,big_daily_table))),NA(),_xlfn.xlookup(E$3,daily_items,_xlfn.xlookup($C3667,daily_dates,big_daily_table)))</f>
        <v>#NAME?</v>
      </c>
    </row>
    <row r="3668" customFormat="false" ht="14.25" hidden="false" customHeight="false" outlineLevel="0" collapsed="false">
      <c r="B3668" s="7" t="n">
        <v>44573</v>
      </c>
      <c r="C3668" s="7" t="n">
        <f aca="false">B3668-WEEKDAY(B3668)+1</f>
        <v>44570</v>
      </c>
      <c r="D3668" s="1" t="e">
        <f aca="false" t="array" ref="D3668:D3668">IF(ISBLANK(_xlfn.xlookup(D$3,daily_items,_xlfn.xlookup($C3668,daily_dates,big_daily_table))),NA(),_xlfn.xlookup(D$3,daily_items,_xlfn.xlookup($C3668,daily_dates,big_daily_table)))</f>
        <v>#NAME?</v>
      </c>
      <c r="E3668" s="1" t="e">
        <f aca="false" t="array" ref="E3668:E3668">IF(ISBLANK(_xlfn.xlookup(E$3,daily_items,_xlfn.xlookup($C3668,daily_dates,big_daily_table))),NA(),_xlfn.xlookup(E$3,daily_items,_xlfn.xlookup($C3668,daily_dates,big_daily_table)))</f>
        <v>#NAME?</v>
      </c>
    </row>
    <row r="3669" customFormat="false" ht="14.25" hidden="false" customHeight="false" outlineLevel="0" collapsed="false">
      <c r="B3669" s="7" t="n">
        <v>44574</v>
      </c>
      <c r="C3669" s="7" t="n">
        <f aca="false">B3669-WEEKDAY(B3669)+1</f>
        <v>44570</v>
      </c>
      <c r="D3669" s="1" t="e">
        <f aca="false" t="array" ref="D3669:D3669">IF(ISBLANK(_xlfn.xlookup(D$3,daily_items,_xlfn.xlookup($C3669,daily_dates,big_daily_table))),NA(),_xlfn.xlookup(D$3,daily_items,_xlfn.xlookup($C3669,daily_dates,big_daily_table)))</f>
        <v>#NAME?</v>
      </c>
      <c r="E3669" s="1" t="e">
        <f aca="false" t="array" ref="E3669:E3669">IF(ISBLANK(_xlfn.xlookup(E$3,daily_items,_xlfn.xlookup($C3669,daily_dates,big_daily_table))),NA(),_xlfn.xlookup(E$3,daily_items,_xlfn.xlookup($C3669,daily_dates,big_daily_table)))</f>
        <v>#NAME?</v>
      </c>
    </row>
    <row r="3670" customFormat="false" ht="14.25" hidden="false" customHeight="false" outlineLevel="0" collapsed="false">
      <c r="B3670" s="7" t="n">
        <v>44575</v>
      </c>
      <c r="C3670" s="7" t="n">
        <f aca="false">B3670-WEEKDAY(B3670)+1</f>
        <v>44570</v>
      </c>
      <c r="D3670" s="1" t="e">
        <f aca="false" t="array" ref="D3670:D3670">IF(ISBLANK(_xlfn.xlookup(D$3,daily_items,_xlfn.xlookup($C3670,daily_dates,big_daily_table))),NA(),_xlfn.xlookup(D$3,daily_items,_xlfn.xlookup($C3670,daily_dates,big_daily_table)))</f>
        <v>#NAME?</v>
      </c>
      <c r="E3670" s="1" t="e">
        <f aca="false" t="array" ref="E3670:E3670">IF(ISBLANK(_xlfn.xlookup(E$3,daily_items,_xlfn.xlookup($C3670,daily_dates,big_daily_table))),NA(),_xlfn.xlookup(E$3,daily_items,_xlfn.xlookup($C3670,daily_dates,big_daily_table)))</f>
        <v>#NAME?</v>
      </c>
    </row>
    <row r="3671" customFormat="false" ht="14.25" hidden="false" customHeight="false" outlineLevel="0" collapsed="false">
      <c r="B3671" s="7" t="n">
        <v>44576</v>
      </c>
      <c r="C3671" s="7" t="n">
        <f aca="false">B3671-WEEKDAY(B3671)+1</f>
        <v>44570</v>
      </c>
      <c r="D3671" s="1" t="e">
        <f aca="false" t="array" ref="D3671:D3671">IF(ISBLANK(_xlfn.xlookup(D$3,daily_items,_xlfn.xlookup($C3671,daily_dates,big_daily_table))),NA(),_xlfn.xlookup(D$3,daily_items,_xlfn.xlookup($C3671,daily_dates,big_daily_table)))</f>
        <v>#NAME?</v>
      </c>
      <c r="E3671" s="1" t="e">
        <f aca="false" t="array" ref="E3671:E3671">IF(ISBLANK(_xlfn.xlookup(E$3,daily_items,_xlfn.xlookup($C3671,daily_dates,big_daily_table))),NA(),_xlfn.xlookup(E$3,daily_items,_xlfn.xlookup($C3671,daily_dates,big_daily_table)))</f>
        <v>#NAME?</v>
      </c>
    </row>
    <row r="3672" customFormat="false" ht="14.25" hidden="false" customHeight="false" outlineLevel="0" collapsed="false">
      <c r="B3672" s="7" t="n">
        <v>44577</v>
      </c>
      <c r="C3672" s="7" t="n">
        <f aca="false">B3672-WEEKDAY(B3672)+1</f>
        <v>44577</v>
      </c>
      <c r="D3672" s="1" t="e">
        <f aca="false" t="array" ref="D3672:D3672">IF(ISBLANK(_xlfn.xlookup(D$3,daily_items,_xlfn.xlookup($C3672,daily_dates,big_daily_table))),NA(),_xlfn.xlookup(D$3,daily_items,_xlfn.xlookup($C3672,daily_dates,big_daily_table)))</f>
        <v>#NAME?</v>
      </c>
      <c r="E3672" s="1" t="e">
        <f aca="false" t="array" ref="E3672:E3672">IF(ISBLANK(_xlfn.xlookup(E$3,daily_items,_xlfn.xlookup($C3672,daily_dates,big_daily_table))),NA(),_xlfn.xlookup(E$3,daily_items,_xlfn.xlookup($C3672,daily_dates,big_daily_table)))</f>
        <v>#NAME?</v>
      </c>
    </row>
    <row r="3673" customFormat="false" ht="14.25" hidden="false" customHeight="false" outlineLevel="0" collapsed="false">
      <c r="B3673" s="7" t="n">
        <v>44578</v>
      </c>
      <c r="C3673" s="7" t="n">
        <f aca="false">B3673-WEEKDAY(B3673)+1</f>
        <v>44577</v>
      </c>
      <c r="D3673" s="1" t="e">
        <f aca="false" t="array" ref="D3673:D3673">IF(ISBLANK(_xlfn.xlookup(D$3,daily_items,_xlfn.xlookup($C3673,daily_dates,big_daily_table))),NA(),_xlfn.xlookup(D$3,daily_items,_xlfn.xlookup($C3673,daily_dates,big_daily_table)))</f>
        <v>#NAME?</v>
      </c>
      <c r="E3673" s="1" t="e">
        <f aca="false" t="array" ref="E3673:E3673">IF(ISBLANK(_xlfn.xlookup(E$3,daily_items,_xlfn.xlookup($C3673,daily_dates,big_daily_table))),NA(),_xlfn.xlookup(E$3,daily_items,_xlfn.xlookup($C3673,daily_dates,big_daily_table)))</f>
        <v>#NAME?</v>
      </c>
    </row>
    <row r="3674" customFormat="false" ht="14.25" hidden="false" customHeight="false" outlineLevel="0" collapsed="false">
      <c r="B3674" s="7" t="n">
        <v>44579</v>
      </c>
      <c r="C3674" s="7" t="n">
        <f aca="false">B3674-WEEKDAY(B3674)+1</f>
        <v>44577</v>
      </c>
      <c r="D3674" s="1" t="e">
        <f aca="false" t="array" ref="D3674:D3674">IF(ISBLANK(_xlfn.xlookup(D$3,daily_items,_xlfn.xlookup($C3674,daily_dates,big_daily_table))),NA(),_xlfn.xlookup(D$3,daily_items,_xlfn.xlookup($C3674,daily_dates,big_daily_table)))</f>
        <v>#NAME?</v>
      </c>
      <c r="E3674" s="1" t="e">
        <f aca="false" t="array" ref="E3674:E3674">IF(ISBLANK(_xlfn.xlookup(E$3,daily_items,_xlfn.xlookup($C3674,daily_dates,big_daily_table))),NA(),_xlfn.xlookup(E$3,daily_items,_xlfn.xlookup($C3674,daily_dates,big_daily_table)))</f>
        <v>#NAME?</v>
      </c>
    </row>
    <row r="3675" customFormat="false" ht="14.25" hidden="false" customHeight="false" outlineLevel="0" collapsed="false">
      <c r="B3675" s="7" t="n">
        <v>44580</v>
      </c>
      <c r="C3675" s="7" t="n">
        <f aca="false">B3675-WEEKDAY(B3675)+1</f>
        <v>44577</v>
      </c>
      <c r="D3675" s="1" t="e">
        <f aca="false" t="array" ref="D3675:D3675">IF(ISBLANK(_xlfn.xlookup(D$3,daily_items,_xlfn.xlookup($C3675,daily_dates,big_daily_table))),NA(),_xlfn.xlookup(D$3,daily_items,_xlfn.xlookup($C3675,daily_dates,big_daily_table)))</f>
        <v>#NAME?</v>
      </c>
      <c r="E3675" s="1" t="e">
        <f aca="false" t="array" ref="E3675:E3675">IF(ISBLANK(_xlfn.xlookup(E$3,daily_items,_xlfn.xlookup($C3675,daily_dates,big_daily_table))),NA(),_xlfn.xlookup(E$3,daily_items,_xlfn.xlookup($C3675,daily_dates,big_daily_table)))</f>
        <v>#NAME?</v>
      </c>
    </row>
    <row r="3676" customFormat="false" ht="14.25" hidden="false" customHeight="false" outlineLevel="0" collapsed="false">
      <c r="B3676" s="7" t="n">
        <v>44581</v>
      </c>
      <c r="C3676" s="7" t="n">
        <f aca="false">B3676-WEEKDAY(B3676)+1</f>
        <v>44577</v>
      </c>
      <c r="D3676" s="1" t="e">
        <f aca="false" t="array" ref="D3676:D3676">IF(ISBLANK(_xlfn.xlookup(D$3,daily_items,_xlfn.xlookup($C3676,daily_dates,big_daily_table))),NA(),_xlfn.xlookup(D$3,daily_items,_xlfn.xlookup($C3676,daily_dates,big_daily_table)))</f>
        <v>#NAME?</v>
      </c>
      <c r="E3676" s="1" t="e">
        <f aca="false" t="array" ref="E3676:E3676">IF(ISBLANK(_xlfn.xlookup(E$3,daily_items,_xlfn.xlookup($C3676,daily_dates,big_daily_table))),NA(),_xlfn.xlookup(E$3,daily_items,_xlfn.xlookup($C3676,daily_dates,big_daily_table)))</f>
        <v>#NAME?</v>
      </c>
    </row>
    <row r="3677" customFormat="false" ht="14.25" hidden="false" customHeight="false" outlineLevel="0" collapsed="false">
      <c r="B3677" s="7" t="n">
        <v>44582</v>
      </c>
      <c r="C3677" s="7" t="n">
        <f aca="false">B3677-WEEKDAY(B3677)+1</f>
        <v>44577</v>
      </c>
      <c r="D3677" s="1" t="e">
        <f aca="false" t="array" ref="D3677:D3677">IF(ISBLANK(_xlfn.xlookup(D$3,daily_items,_xlfn.xlookup($C3677,daily_dates,big_daily_table))),NA(),_xlfn.xlookup(D$3,daily_items,_xlfn.xlookup($C3677,daily_dates,big_daily_table)))</f>
        <v>#NAME?</v>
      </c>
      <c r="E3677" s="1" t="e">
        <f aca="false" t="array" ref="E3677:E3677">IF(ISBLANK(_xlfn.xlookup(E$3,daily_items,_xlfn.xlookup($C3677,daily_dates,big_daily_table))),NA(),_xlfn.xlookup(E$3,daily_items,_xlfn.xlookup($C3677,daily_dates,big_daily_table)))</f>
        <v>#NAME?</v>
      </c>
    </row>
    <row r="3678" customFormat="false" ht="14.25" hidden="false" customHeight="false" outlineLevel="0" collapsed="false">
      <c r="B3678" s="7" t="n">
        <v>44583</v>
      </c>
      <c r="C3678" s="7" t="n">
        <f aca="false">B3678-WEEKDAY(B3678)+1</f>
        <v>44577</v>
      </c>
      <c r="D3678" s="1" t="e">
        <f aca="false" t="array" ref="D3678:D3678">IF(ISBLANK(_xlfn.xlookup(D$3,daily_items,_xlfn.xlookup($C3678,daily_dates,big_daily_table))),NA(),_xlfn.xlookup(D$3,daily_items,_xlfn.xlookup($C3678,daily_dates,big_daily_table)))</f>
        <v>#NAME?</v>
      </c>
      <c r="E3678" s="1" t="e">
        <f aca="false" t="array" ref="E3678:E3678">IF(ISBLANK(_xlfn.xlookup(E$3,daily_items,_xlfn.xlookup($C3678,daily_dates,big_daily_table))),NA(),_xlfn.xlookup(E$3,daily_items,_xlfn.xlookup($C3678,daily_dates,big_daily_table)))</f>
        <v>#NAME?</v>
      </c>
    </row>
    <row r="3679" customFormat="false" ht="14.25" hidden="false" customHeight="false" outlineLevel="0" collapsed="false">
      <c r="B3679" s="7" t="n">
        <v>44584</v>
      </c>
      <c r="C3679" s="7" t="n">
        <f aca="false">B3679-WEEKDAY(B3679)+1</f>
        <v>44584</v>
      </c>
      <c r="D3679" s="1" t="e">
        <f aca="false" t="array" ref="D3679:D3679">IF(ISBLANK(_xlfn.xlookup(D$3,daily_items,_xlfn.xlookup($C3679,daily_dates,big_daily_table))),NA(),_xlfn.xlookup(D$3,daily_items,_xlfn.xlookup($C3679,daily_dates,big_daily_table)))</f>
        <v>#NAME?</v>
      </c>
      <c r="E3679" s="1" t="e">
        <f aca="false" t="array" ref="E3679:E3679">IF(ISBLANK(_xlfn.xlookup(E$3,daily_items,_xlfn.xlookup($C3679,daily_dates,big_daily_table))),NA(),_xlfn.xlookup(E$3,daily_items,_xlfn.xlookup($C3679,daily_dates,big_daily_table)))</f>
        <v>#NAME?</v>
      </c>
    </row>
    <row r="3680" customFormat="false" ht="14.25" hidden="false" customHeight="false" outlineLevel="0" collapsed="false">
      <c r="B3680" s="7" t="n">
        <v>44585</v>
      </c>
      <c r="C3680" s="7" t="n">
        <f aca="false">B3680-WEEKDAY(B3680)+1</f>
        <v>44584</v>
      </c>
      <c r="D3680" s="1" t="e">
        <f aca="false" t="array" ref="D3680:D3680">IF(ISBLANK(_xlfn.xlookup(D$3,daily_items,_xlfn.xlookup($C3680,daily_dates,big_daily_table))),NA(),_xlfn.xlookup(D$3,daily_items,_xlfn.xlookup($C3680,daily_dates,big_daily_table)))</f>
        <v>#NAME?</v>
      </c>
      <c r="E3680" s="1" t="e">
        <f aca="false" t="array" ref="E3680:E3680">IF(ISBLANK(_xlfn.xlookup(E$3,daily_items,_xlfn.xlookup($C3680,daily_dates,big_daily_table))),NA(),_xlfn.xlookup(E$3,daily_items,_xlfn.xlookup($C3680,daily_dates,big_daily_table)))</f>
        <v>#NAME?</v>
      </c>
    </row>
    <row r="3681" customFormat="false" ht="14.25" hidden="false" customHeight="false" outlineLevel="0" collapsed="false">
      <c r="B3681" s="7" t="n">
        <v>44586</v>
      </c>
      <c r="C3681" s="7" t="n">
        <f aca="false">B3681-WEEKDAY(B3681)+1</f>
        <v>44584</v>
      </c>
      <c r="D3681" s="1" t="e">
        <f aca="false" t="array" ref="D3681:D3681">IF(ISBLANK(_xlfn.xlookup(D$3,daily_items,_xlfn.xlookup($C3681,daily_dates,big_daily_table))),NA(),_xlfn.xlookup(D$3,daily_items,_xlfn.xlookup($C3681,daily_dates,big_daily_table)))</f>
        <v>#NAME?</v>
      </c>
      <c r="E3681" s="1" t="e">
        <f aca="false" t="array" ref="E3681:E3681">IF(ISBLANK(_xlfn.xlookup(E$3,daily_items,_xlfn.xlookup($C3681,daily_dates,big_daily_table))),NA(),_xlfn.xlookup(E$3,daily_items,_xlfn.xlookup($C3681,daily_dates,big_daily_table)))</f>
        <v>#NAME?</v>
      </c>
    </row>
    <row r="3682" customFormat="false" ht="14.25" hidden="false" customHeight="false" outlineLevel="0" collapsed="false">
      <c r="B3682" s="7" t="n">
        <v>44587</v>
      </c>
      <c r="C3682" s="7" t="n">
        <f aca="false">B3682-WEEKDAY(B3682)+1</f>
        <v>44584</v>
      </c>
      <c r="D3682" s="1" t="e">
        <f aca="false" t="array" ref="D3682:D3682">IF(ISBLANK(_xlfn.xlookup(D$3,daily_items,_xlfn.xlookup($C3682,daily_dates,big_daily_table))),NA(),_xlfn.xlookup(D$3,daily_items,_xlfn.xlookup($C3682,daily_dates,big_daily_table)))</f>
        <v>#NAME?</v>
      </c>
      <c r="E3682" s="1" t="e">
        <f aca="false" t="array" ref="E3682:E3682">IF(ISBLANK(_xlfn.xlookup(E$3,daily_items,_xlfn.xlookup($C3682,daily_dates,big_daily_table))),NA(),_xlfn.xlookup(E$3,daily_items,_xlfn.xlookup($C3682,daily_dates,big_daily_table)))</f>
        <v>#NAME?</v>
      </c>
    </row>
    <row r="3683" customFormat="false" ht="14.25" hidden="false" customHeight="false" outlineLevel="0" collapsed="false">
      <c r="B3683" s="7" t="n">
        <v>44588</v>
      </c>
      <c r="C3683" s="7" t="n">
        <f aca="false">B3683-WEEKDAY(B3683)+1</f>
        <v>44584</v>
      </c>
      <c r="D3683" s="1" t="e">
        <f aca="false" t="array" ref="D3683:D3683">IF(ISBLANK(_xlfn.xlookup(D$3,daily_items,_xlfn.xlookup($C3683,daily_dates,big_daily_table))),NA(),_xlfn.xlookup(D$3,daily_items,_xlfn.xlookup($C3683,daily_dates,big_daily_table)))</f>
        <v>#NAME?</v>
      </c>
      <c r="E3683" s="1" t="e">
        <f aca="false" t="array" ref="E3683:E3683">IF(ISBLANK(_xlfn.xlookup(E$3,daily_items,_xlfn.xlookup($C3683,daily_dates,big_daily_table))),NA(),_xlfn.xlookup(E$3,daily_items,_xlfn.xlookup($C3683,daily_dates,big_daily_table)))</f>
        <v>#NAME?</v>
      </c>
    </row>
    <row r="3684" customFormat="false" ht="14.25" hidden="false" customHeight="false" outlineLevel="0" collapsed="false">
      <c r="B3684" s="7" t="n">
        <v>44589</v>
      </c>
      <c r="C3684" s="7" t="n">
        <f aca="false">B3684-WEEKDAY(B3684)+1</f>
        <v>44584</v>
      </c>
      <c r="D3684" s="1" t="e">
        <f aca="false" t="array" ref="D3684:D3684">IF(ISBLANK(_xlfn.xlookup(D$3,daily_items,_xlfn.xlookup($C3684,daily_dates,big_daily_table))),NA(),_xlfn.xlookup(D$3,daily_items,_xlfn.xlookup($C3684,daily_dates,big_daily_table)))</f>
        <v>#NAME?</v>
      </c>
      <c r="E3684" s="1" t="e">
        <f aca="false" t="array" ref="E3684:E3684">IF(ISBLANK(_xlfn.xlookup(E$3,daily_items,_xlfn.xlookup($C3684,daily_dates,big_daily_table))),NA(),_xlfn.xlookup(E$3,daily_items,_xlfn.xlookup($C3684,daily_dates,big_daily_table)))</f>
        <v>#NAME?</v>
      </c>
    </row>
    <row r="3685" customFormat="false" ht="14.25" hidden="false" customHeight="false" outlineLevel="0" collapsed="false">
      <c r="B3685" s="7" t="n">
        <v>44590</v>
      </c>
      <c r="C3685" s="7" t="n">
        <f aca="false">B3685-WEEKDAY(B3685)+1</f>
        <v>44584</v>
      </c>
      <c r="D3685" s="1" t="e">
        <f aca="false" t="array" ref="D3685:D3685">IF(ISBLANK(_xlfn.xlookup(D$3,daily_items,_xlfn.xlookup($C3685,daily_dates,big_daily_table))),NA(),_xlfn.xlookup(D$3,daily_items,_xlfn.xlookup($C3685,daily_dates,big_daily_table)))</f>
        <v>#NAME?</v>
      </c>
      <c r="E3685" s="1" t="e">
        <f aca="false" t="array" ref="E3685:E3685">IF(ISBLANK(_xlfn.xlookup(E$3,daily_items,_xlfn.xlookup($C3685,daily_dates,big_daily_table))),NA(),_xlfn.xlookup(E$3,daily_items,_xlfn.xlookup($C3685,daily_dates,big_daily_table)))</f>
        <v>#NAME?</v>
      </c>
    </row>
    <row r="3686" customFormat="false" ht="14.25" hidden="false" customHeight="false" outlineLevel="0" collapsed="false">
      <c r="B3686" s="7" t="n">
        <v>44591</v>
      </c>
      <c r="C3686" s="7" t="n">
        <f aca="false">B3686-WEEKDAY(B3686)+1</f>
        <v>44591</v>
      </c>
      <c r="D3686" s="1" t="e">
        <f aca="false" t="array" ref="D3686:D3686">IF(ISBLANK(_xlfn.xlookup(D$3,daily_items,_xlfn.xlookup($C3686,daily_dates,big_daily_table))),NA(),_xlfn.xlookup(D$3,daily_items,_xlfn.xlookup($C3686,daily_dates,big_daily_table)))</f>
        <v>#NAME?</v>
      </c>
      <c r="E3686" s="1" t="e">
        <f aca="false" t="array" ref="E3686:E3686">IF(ISBLANK(_xlfn.xlookup(E$3,daily_items,_xlfn.xlookup($C3686,daily_dates,big_daily_table))),NA(),_xlfn.xlookup(E$3,daily_items,_xlfn.xlookup($C3686,daily_dates,big_daily_table)))</f>
        <v>#NAME?</v>
      </c>
    </row>
    <row r="3687" customFormat="false" ht="14.25" hidden="false" customHeight="false" outlineLevel="0" collapsed="false">
      <c r="B3687" s="7" t="n">
        <v>44592</v>
      </c>
      <c r="C3687" s="7" t="n">
        <f aca="false">B3687-WEEKDAY(B3687)+1</f>
        <v>44591</v>
      </c>
      <c r="D3687" s="1" t="e">
        <f aca="false" t="array" ref="D3687:D3687">IF(ISBLANK(_xlfn.xlookup(D$3,daily_items,_xlfn.xlookup($C3687,daily_dates,big_daily_table))),NA(),_xlfn.xlookup(D$3,daily_items,_xlfn.xlookup($C3687,daily_dates,big_daily_table)))</f>
        <v>#NAME?</v>
      </c>
      <c r="E3687" s="1" t="e">
        <f aca="false" t="array" ref="E3687:E3687">IF(ISBLANK(_xlfn.xlookup(E$3,daily_items,_xlfn.xlookup($C3687,daily_dates,big_daily_table))),NA(),_xlfn.xlookup(E$3,daily_items,_xlfn.xlookup($C3687,daily_dates,big_daily_table)))</f>
        <v>#NAME?</v>
      </c>
    </row>
    <row r="3688" customFormat="false" ht="14.25" hidden="false" customHeight="false" outlineLevel="0" collapsed="false">
      <c r="B3688" s="7" t="n">
        <v>44593</v>
      </c>
      <c r="C3688" s="7" t="n">
        <f aca="false">B3688-WEEKDAY(B3688)+1</f>
        <v>44591</v>
      </c>
      <c r="D3688" s="1" t="e">
        <f aca="false" t="array" ref="D3688:D3688">IF(ISBLANK(_xlfn.xlookup(D$3,daily_items,_xlfn.xlookup($C3688,daily_dates,big_daily_table))),NA(),_xlfn.xlookup(D$3,daily_items,_xlfn.xlookup($C3688,daily_dates,big_daily_table)))</f>
        <v>#NAME?</v>
      </c>
      <c r="E3688" s="1" t="e">
        <f aca="false" t="array" ref="E3688:E3688">IF(ISBLANK(_xlfn.xlookup(E$3,daily_items,_xlfn.xlookup($C3688,daily_dates,big_daily_table))),NA(),_xlfn.xlookup(E$3,daily_items,_xlfn.xlookup($C3688,daily_dates,big_daily_table)))</f>
        <v>#NAME?</v>
      </c>
    </row>
    <row r="3689" customFormat="false" ht="14.25" hidden="false" customHeight="false" outlineLevel="0" collapsed="false">
      <c r="B3689" s="7" t="n">
        <v>44594</v>
      </c>
      <c r="C3689" s="7" t="n">
        <f aca="false">B3689-WEEKDAY(B3689)+1</f>
        <v>44591</v>
      </c>
      <c r="D3689" s="1" t="e">
        <f aca="false" t="array" ref="D3689:D3689">IF(ISBLANK(_xlfn.xlookup(D$3,daily_items,_xlfn.xlookup($C3689,daily_dates,big_daily_table))),NA(),_xlfn.xlookup(D$3,daily_items,_xlfn.xlookup($C3689,daily_dates,big_daily_table)))</f>
        <v>#NAME?</v>
      </c>
      <c r="E3689" s="1" t="e">
        <f aca="false" t="array" ref="E3689:E3689">IF(ISBLANK(_xlfn.xlookup(E$3,daily_items,_xlfn.xlookup($C3689,daily_dates,big_daily_table))),NA(),_xlfn.xlookup(E$3,daily_items,_xlfn.xlookup($C3689,daily_dates,big_daily_table)))</f>
        <v>#NAME?</v>
      </c>
    </row>
    <row r="3690" customFormat="false" ht="14.25" hidden="false" customHeight="false" outlineLevel="0" collapsed="false">
      <c r="B3690" s="7" t="n">
        <v>44595</v>
      </c>
      <c r="C3690" s="7" t="n">
        <f aca="false">B3690-WEEKDAY(B3690)+1</f>
        <v>44591</v>
      </c>
      <c r="D3690" s="1" t="e">
        <f aca="false" t="array" ref="D3690:D3690">IF(ISBLANK(_xlfn.xlookup(D$3,daily_items,_xlfn.xlookup($C3690,daily_dates,big_daily_table))),NA(),_xlfn.xlookup(D$3,daily_items,_xlfn.xlookup($C3690,daily_dates,big_daily_table)))</f>
        <v>#NAME?</v>
      </c>
      <c r="E3690" s="1" t="e">
        <f aca="false" t="array" ref="E3690:E3690">IF(ISBLANK(_xlfn.xlookup(E$3,daily_items,_xlfn.xlookup($C3690,daily_dates,big_daily_table))),NA(),_xlfn.xlookup(E$3,daily_items,_xlfn.xlookup($C3690,daily_dates,big_daily_table)))</f>
        <v>#NAME?</v>
      </c>
    </row>
    <row r="3691" customFormat="false" ht="14.25" hidden="false" customHeight="false" outlineLevel="0" collapsed="false">
      <c r="B3691" s="7" t="n">
        <v>44596</v>
      </c>
      <c r="C3691" s="7" t="n">
        <f aca="false">B3691-WEEKDAY(B3691)+1</f>
        <v>44591</v>
      </c>
      <c r="D3691" s="1" t="e">
        <f aca="false" t="array" ref="D3691:D3691">IF(ISBLANK(_xlfn.xlookup(D$3,daily_items,_xlfn.xlookup($C3691,daily_dates,big_daily_table))),NA(),_xlfn.xlookup(D$3,daily_items,_xlfn.xlookup($C3691,daily_dates,big_daily_table)))</f>
        <v>#NAME?</v>
      </c>
      <c r="E3691" s="1" t="e">
        <f aca="false" t="array" ref="E3691:E3691">IF(ISBLANK(_xlfn.xlookup(E$3,daily_items,_xlfn.xlookup($C3691,daily_dates,big_daily_table))),NA(),_xlfn.xlookup(E$3,daily_items,_xlfn.xlookup($C3691,daily_dates,big_daily_table)))</f>
        <v>#NAME?</v>
      </c>
    </row>
    <row r="3692" customFormat="false" ht="14.25" hidden="false" customHeight="false" outlineLevel="0" collapsed="false">
      <c r="B3692" s="7" t="n">
        <v>44597</v>
      </c>
      <c r="C3692" s="7" t="n">
        <f aca="false">B3692-WEEKDAY(B3692)+1</f>
        <v>44591</v>
      </c>
      <c r="D3692" s="1" t="e">
        <f aca="false" t="array" ref="D3692:D3692">IF(ISBLANK(_xlfn.xlookup(D$3,daily_items,_xlfn.xlookup($C3692,daily_dates,big_daily_table))),NA(),_xlfn.xlookup(D$3,daily_items,_xlfn.xlookup($C3692,daily_dates,big_daily_table)))</f>
        <v>#NAME?</v>
      </c>
      <c r="E3692" s="1" t="e">
        <f aca="false" t="array" ref="E3692:E3692">IF(ISBLANK(_xlfn.xlookup(E$3,daily_items,_xlfn.xlookup($C3692,daily_dates,big_daily_table))),NA(),_xlfn.xlookup(E$3,daily_items,_xlfn.xlookup($C3692,daily_dates,big_daily_table)))</f>
        <v>#NAME?</v>
      </c>
    </row>
    <row r="3693" customFormat="false" ht="14.25" hidden="false" customHeight="false" outlineLevel="0" collapsed="false">
      <c r="B3693" s="7" t="n">
        <v>44598</v>
      </c>
      <c r="C3693" s="7" t="n">
        <f aca="false">B3693-WEEKDAY(B3693)+1</f>
        <v>44598</v>
      </c>
      <c r="D3693" s="1" t="e">
        <f aca="false" t="array" ref="D3693:D3693">IF(ISBLANK(_xlfn.xlookup(D$3,daily_items,_xlfn.xlookup($C3693,daily_dates,big_daily_table))),NA(),_xlfn.xlookup(D$3,daily_items,_xlfn.xlookup($C3693,daily_dates,big_daily_table)))</f>
        <v>#NAME?</v>
      </c>
      <c r="E3693" s="1" t="e">
        <f aca="false" t="array" ref="E3693:E3693">IF(ISBLANK(_xlfn.xlookup(E$3,daily_items,_xlfn.xlookup($C3693,daily_dates,big_daily_table))),NA(),_xlfn.xlookup(E$3,daily_items,_xlfn.xlookup($C3693,daily_dates,big_daily_table)))</f>
        <v>#NAME?</v>
      </c>
    </row>
    <row r="3694" customFormat="false" ht="14.25" hidden="false" customHeight="false" outlineLevel="0" collapsed="false">
      <c r="B3694" s="7" t="n">
        <v>44599</v>
      </c>
      <c r="C3694" s="7" t="n">
        <f aca="false">B3694-WEEKDAY(B3694)+1</f>
        <v>44598</v>
      </c>
      <c r="D3694" s="1" t="e">
        <f aca="false" t="array" ref="D3694:D3694">IF(ISBLANK(_xlfn.xlookup(D$3,daily_items,_xlfn.xlookup($C3694,daily_dates,big_daily_table))),NA(),_xlfn.xlookup(D$3,daily_items,_xlfn.xlookup($C3694,daily_dates,big_daily_table)))</f>
        <v>#NAME?</v>
      </c>
      <c r="E3694" s="1" t="e">
        <f aca="false" t="array" ref="E3694:E3694">IF(ISBLANK(_xlfn.xlookup(E$3,daily_items,_xlfn.xlookup($C3694,daily_dates,big_daily_table))),NA(),_xlfn.xlookup(E$3,daily_items,_xlfn.xlookup($C3694,daily_dates,big_daily_table)))</f>
        <v>#NAME?</v>
      </c>
    </row>
    <row r="3695" customFormat="false" ht="14.25" hidden="false" customHeight="false" outlineLevel="0" collapsed="false">
      <c r="B3695" s="7" t="n">
        <v>44600</v>
      </c>
      <c r="C3695" s="7" t="n">
        <f aca="false">B3695-WEEKDAY(B3695)+1</f>
        <v>44598</v>
      </c>
      <c r="D3695" s="1" t="e">
        <f aca="false" t="array" ref="D3695:D3695">IF(ISBLANK(_xlfn.xlookup(D$3,daily_items,_xlfn.xlookup($C3695,daily_dates,big_daily_table))),NA(),_xlfn.xlookup(D$3,daily_items,_xlfn.xlookup($C3695,daily_dates,big_daily_table)))</f>
        <v>#NAME?</v>
      </c>
      <c r="E3695" s="1" t="e">
        <f aca="false" t="array" ref="E3695:E3695">IF(ISBLANK(_xlfn.xlookup(E$3,daily_items,_xlfn.xlookup($C3695,daily_dates,big_daily_table))),NA(),_xlfn.xlookup(E$3,daily_items,_xlfn.xlookup($C3695,daily_dates,big_daily_table)))</f>
        <v>#NAME?</v>
      </c>
    </row>
    <row r="3696" customFormat="false" ht="14.25" hidden="false" customHeight="false" outlineLevel="0" collapsed="false">
      <c r="B3696" s="7" t="n">
        <v>44601</v>
      </c>
      <c r="C3696" s="7" t="n">
        <f aca="false">B3696-WEEKDAY(B3696)+1</f>
        <v>44598</v>
      </c>
      <c r="D3696" s="1" t="e">
        <f aca="false" t="array" ref="D3696:D3696">IF(ISBLANK(_xlfn.xlookup(D$3,daily_items,_xlfn.xlookup($C3696,daily_dates,big_daily_table))),NA(),_xlfn.xlookup(D$3,daily_items,_xlfn.xlookup($C3696,daily_dates,big_daily_table)))</f>
        <v>#NAME?</v>
      </c>
      <c r="E3696" s="1" t="e">
        <f aca="false" t="array" ref="E3696:E3696">IF(ISBLANK(_xlfn.xlookup(E$3,daily_items,_xlfn.xlookup($C3696,daily_dates,big_daily_table))),NA(),_xlfn.xlookup(E$3,daily_items,_xlfn.xlookup($C3696,daily_dates,big_daily_table)))</f>
        <v>#NAME?</v>
      </c>
    </row>
    <row r="3697" customFormat="false" ht="14.25" hidden="false" customHeight="false" outlineLevel="0" collapsed="false">
      <c r="B3697" s="7" t="n">
        <v>44602</v>
      </c>
      <c r="C3697" s="7" t="n">
        <f aca="false">B3697-WEEKDAY(B3697)+1</f>
        <v>44598</v>
      </c>
      <c r="D3697" s="1" t="e">
        <f aca="false" t="array" ref="D3697:D3697">IF(ISBLANK(_xlfn.xlookup(D$3,daily_items,_xlfn.xlookup($C3697,daily_dates,big_daily_table))),NA(),_xlfn.xlookup(D$3,daily_items,_xlfn.xlookup($C3697,daily_dates,big_daily_table)))</f>
        <v>#NAME?</v>
      </c>
      <c r="E3697" s="1" t="e">
        <f aca="false" t="array" ref="E3697:E3697">IF(ISBLANK(_xlfn.xlookup(E$3,daily_items,_xlfn.xlookup($C3697,daily_dates,big_daily_table))),NA(),_xlfn.xlookup(E$3,daily_items,_xlfn.xlookup($C3697,daily_dates,big_daily_table)))</f>
        <v>#NAME?</v>
      </c>
    </row>
    <row r="3698" customFormat="false" ht="14.25" hidden="false" customHeight="false" outlineLevel="0" collapsed="false">
      <c r="B3698" s="7" t="n">
        <v>44603</v>
      </c>
      <c r="C3698" s="7" t="n">
        <f aca="false">B3698-WEEKDAY(B3698)+1</f>
        <v>44598</v>
      </c>
      <c r="D3698" s="1" t="e">
        <f aca="false" t="array" ref="D3698:D3698">IF(ISBLANK(_xlfn.xlookup(D$3,daily_items,_xlfn.xlookup($C3698,daily_dates,big_daily_table))),NA(),_xlfn.xlookup(D$3,daily_items,_xlfn.xlookup($C3698,daily_dates,big_daily_table)))</f>
        <v>#NAME?</v>
      </c>
      <c r="E3698" s="1" t="e">
        <f aca="false" t="array" ref="E3698:E3698">IF(ISBLANK(_xlfn.xlookup(E$3,daily_items,_xlfn.xlookup($C3698,daily_dates,big_daily_table))),NA(),_xlfn.xlookup(E$3,daily_items,_xlfn.xlookup($C3698,daily_dates,big_daily_table)))</f>
        <v>#NAME?</v>
      </c>
    </row>
    <row r="3699" customFormat="false" ht="14.25" hidden="false" customHeight="false" outlineLevel="0" collapsed="false">
      <c r="B3699" s="7" t="n">
        <v>44604</v>
      </c>
      <c r="C3699" s="7" t="n">
        <f aca="false">B3699-WEEKDAY(B3699)+1</f>
        <v>44598</v>
      </c>
      <c r="D3699" s="1" t="e">
        <f aca="false" t="array" ref="D3699:D3699">IF(ISBLANK(_xlfn.xlookup(D$3,daily_items,_xlfn.xlookup($C3699,daily_dates,big_daily_table))),NA(),_xlfn.xlookup(D$3,daily_items,_xlfn.xlookup($C3699,daily_dates,big_daily_table)))</f>
        <v>#NAME?</v>
      </c>
      <c r="E3699" s="1" t="e">
        <f aca="false" t="array" ref="E3699:E3699">IF(ISBLANK(_xlfn.xlookup(E$3,daily_items,_xlfn.xlookup($C3699,daily_dates,big_daily_table))),NA(),_xlfn.xlookup(E$3,daily_items,_xlfn.xlookup($C3699,daily_dates,big_daily_table)))</f>
        <v>#NAME?</v>
      </c>
    </row>
    <row r="3700" customFormat="false" ht="14.25" hidden="false" customHeight="false" outlineLevel="0" collapsed="false">
      <c r="B3700" s="7" t="n">
        <v>44605</v>
      </c>
      <c r="C3700" s="7" t="n">
        <f aca="false">B3700-WEEKDAY(B3700)+1</f>
        <v>44605</v>
      </c>
      <c r="D3700" s="1" t="e">
        <f aca="false" t="array" ref="D3700:D3700">IF(ISBLANK(_xlfn.xlookup(D$3,daily_items,_xlfn.xlookup($C3700,daily_dates,big_daily_table))),NA(),_xlfn.xlookup(D$3,daily_items,_xlfn.xlookup($C3700,daily_dates,big_daily_table)))</f>
        <v>#NAME?</v>
      </c>
      <c r="E3700" s="1" t="e">
        <f aca="false" t="array" ref="E3700:E3700">IF(ISBLANK(_xlfn.xlookup(E$3,daily_items,_xlfn.xlookup($C3700,daily_dates,big_daily_table))),NA(),_xlfn.xlookup(E$3,daily_items,_xlfn.xlookup($C3700,daily_dates,big_daily_table)))</f>
        <v>#NAME?</v>
      </c>
    </row>
    <row r="3701" customFormat="false" ht="14.25" hidden="false" customHeight="false" outlineLevel="0" collapsed="false">
      <c r="B3701" s="7" t="n">
        <v>44606</v>
      </c>
      <c r="C3701" s="7" t="n">
        <f aca="false">B3701-WEEKDAY(B3701)+1</f>
        <v>44605</v>
      </c>
      <c r="D3701" s="1" t="e">
        <f aca="false" t="array" ref="D3701:D3701">IF(ISBLANK(_xlfn.xlookup(D$3,daily_items,_xlfn.xlookup($C3701,daily_dates,big_daily_table))),NA(),_xlfn.xlookup(D$3,daily_items,_xlfn.xlookup($C3701,daily_dates,big_daily_table)))</f>
        <v>#NAME?</v>
      </c>
      <c r="E3701" s="1" t="e">
        <f aca="false" t="array" ref="E3701:E3701">IF(ISBLANK(_xlfn.xlookup(E$3,daily_items,_xlfn.xlookup($C3701,daily_dates,big_daily_table))),NA(),_xlfn.xlookup(E$3,daily_items,_xlfn.xlookup($C3701,daily_dates,big_daily_table)))</f>
        <v>#NAME?</v>
      </c>
    </row>
    <row r="3702" customFormat="false" ht="14.25" hidden="false" customHeight="false" outlineLevel="0" collapsed="false">
      <c r="B3702" s="7" t="n">
        <v>44607</v>
      </c>
      <c r="C3702" s="7" t="n">
        <f aca="false">B3702-WEEKDAY(B3702)+1</f>
        <v>44605</v>
      </c>
      <c r="D3702" s="1" t="e">
        <f aca="false" t="array" ref="D3702:D3702">IF(ISBLANK(_xlfn.xlookup(D$3,daily_items,_xlfn.xlookup($C3702,daily_dates,big_daily_table))),NA(),_xlfn.xlookup(D$3,daily_items,_xlfn.xlookup($C3702,daily_dates,big_daily_table)))</f>
        <v>#NAME?</v>
      </c>
      <c r="E3702" s="1" t="e">
        <f aca="false" t="array" ref="E3702:E3702">IF(ISBLANK(_xlfn.xlookup(E$3,daily_items,_xlfn.xlookup($C3702,daily_dates,big_daily_table))),NA(),_xlfn.xlookup(E$3,daily_items,_xlfn.xlookup($C3702,daily_dates,big_daily_table)))</f>
        <v>#NAME?</v>
      </c>
    </row>
    <row r="3703" customFormat="false" ht="14.25" hidden="false" customHeight="false" outlineLevel="0" collapsed="false">
      <c r="B3703" s="7" t="n">
        <v>44608</v>
      </c>
      <c r="C3703" s="7" t="n">
        <f aca="false">B3703-WEEKDAY(B3703)+1</f>
        <v>44605</v>
      </c>
      <c r="D3703" s="1" t="e">
        <f aca="false" t="array" ref="D3703:D3703">IF(ISBLANK(_xlfn.xlookup(D$3,daily_items,_xlfn.xlookup($C3703,daily_dates,big_daily_table))),NA(),_xlfn.xlookup(D$3,daily_items,_xlfn.xlookup($C3703,daily_dates,big_daily_table)))</f>
        <v>#NAME?</v>
      </c>
      <c r="E3703" s="1" t="e">
        <f aca="false" t="array" ref="E3703:E3703">IF(ISBLANK(_xlfn.xlookup(E$3,daily_items,_xlfn.xlookup($C3703,daily_dates,big_daily_table))),NA(),_xlfn.xlookup(E$3,daily_items,_xlfn.xlookup($C3703,daily_dates,big_daily_table)))</f>
        <v>#NAME?</v>
      </c>
    </row>
    <row r="3704" customFormat="false" ht="14.25" hidden="false" customHeight="false" outlineLevel="0" collapsed="false">
      <c r="B3704" s="7" t="n">
        <v>44609</v>
      </c>
      <c r="C3704" s="7" t="n">
        <f aca="false">B3704-WEEKDAY(B3704)+1</f>
        <v>44605</v>
      </c>
      <c r="D3704" s="1" t="e">
        <f aca="false" t="array" ref="D3704:D3704">IF(ISBLANK(_xlfn.xlookup(D$3,daily_items,_xlfn.xlookup($C3704,daily_dates,big_daily_table))),NA(),_xlfn.xlookup(D$3,daily_items,_xlfn.xlookup($C3704,daily_dates,big_daily_table)))</f>
        <v>#NAME?</v>
      </c>
      <c r="E3704" s="1" t="e">
        <f aca="false" t="array" ref="E3704:E3704">IF(ISBLANK(_xlfn.xlookup(E$3,daily_items,_xlfn.xlookup($C3704,daily_dates,big_daily_table))),NA(),_xlfn.xlookup(E$3,daily_items,_xlfn.xlookup($C3704,daily_dates,big_daily_table)))</f>
        <v>#NAME?</v>
      </c>
    </row>
    <row r="3705" customFormat="false" ht="14.25" hidden="false" customHeight="false" outlineLevel="0" collapsed="false">
      <c r="B3705" s="7" t="n">
        <v>44610</v>
      </c>
      <c r="C3705" s="7" t="n">
        <f aca="false">B3705-WEEKDAY(B3705)+1</f>
        <v>44605</v>
      </c>
      <c r="D3705" s="1" t="e">
        <f aca="false" t="array" ref="D3705:D3705">IF(ISBLANK(_xlfn.xlookup(D$3,daily_items,_xlfn.xlookup($C3705,daily_dates,big_daily_table))),NA(),_xlfn.xlookup(D$3,daily_items,_xlfn.xlookup($C3705,daily_dates,big_daily_table)))</f>
        <v>#NAME?</v>
      </c>
      <c r="E3705" s="1" t="e">
        <f aca="false" t="array" ref="E3705:E3705">IF(ISBLANK(_xlfn.xlookup(E$3,daily_items,_xlfn.xlookup($C3705,daily_dates,big_daily_table))),NA(),_xlfn.xlookup(E$3,daily_items,_xlfn.xlookup($C3705,daily_dates,big_daily_table)))</f>
        <v>#NAME?</v>
      </c>
    </row>
    <row r="3706" customFormat="false" ht="14.25" hidden="false" customHeight="false" outlineLevel="0" collapsed="false">
      <c r="B3706" s="7" t="n">
        <v>44611</v>
      </c>
      <c r="C3706" s="7" t="n">
        <f aca="false">B3706-WEEKDAY(B3706)+1</f>
        <v>44605</v>
      </c>
      <c r="D3706" s="1" t="e">
        <f aca="false" t="array" ref="D3706:D3706">IF(ISBLANK(_xlfn.xlookup(D$3,daily_items,_xlfn.xlookup($C3706,daily_dates,big_daily_table))),NA(),_xlfn.xlookup(D$3,daily_items,_xlfn.xlookup($C3706,daily_dates,big_daily_table)))</f>
        <v>#NAME?</v>
      </c>
      <c r="E3706" s="1" t="e">
        <f aca="false" t="array" ref="E3706:E3706">IF(ISBLANK(_xlfn.xlookup(E$3,daily_items,_xlfn.xlookup($C3706,daily_dates,big_daily_table))),NA(),_xlfn.xlookup(E$3,daily_items,_xlfn.xlookup($C3706,daily_dates,big_daily_table)))</f>
        <v>#NAME?</v>
      </c>
    </row>
    <row r="3707" customFormat="false" ht="14.25" hidden="false" customHeight="false" outlineLevel="0" collapsed="false">
      <c r="B3707" s="7" t="n">
        <v>44612</v>
      </c>
      <c r="C3707" s="7" t="n">
        <f aca="false">B3707-WEEKDAY(B3707)+1</f>
        <v>44612</v>
      </c>
      <c r="D3707" s="1" t="e">
        <f aca="false" t="array" ref="D3707:D3707">IF(ISBLANK(_xlfn.xlookup(D$3,daily_items,_xlfn.xlookup($C3707,daily_dates,big_daily_table))),NA(),_xlfn.xlookup(D$3,daily_items,_xlfn.xlookup($C3707,daily_dates,big_daily_table)))</f>
        <v>#NAME?</v>
      </c>
      <c r="E3707" s="1" t="e">
        <f aca="false" t="array" ref="E3707:E3707">IF(ISBLANK(_xlfn.xlookup(E$3,daily_items,_xlfn.xlookup($C3707,daily_dates,big_daily_table))),NA(),_xlfn.xlookup(E$3,daily_items,_xlfn.xlookup($C3707,daily_dates,big_daily_table)))</f>
        <v>#NAME?</v>
      </c>
    </row>
    <row r="3708" customFormat="false" ht="14.25" hidden="false" customHeight="false" outlineLevel="0" collapsed="false">
      <c r="B3708" s="7" t="n">
        <v>44613</v>
      </c>
      <c r="C3708" s="7" t="n">
        <f aca="false">B3708-WEEKDAY(B3708)+1</f>
        <v>44612</v>
      </c>
      <c r="D3708" s="1" t="e">
        <f aca="false" t="array" ref="D3708:D3708">IF(ISBLANK(_xlfn.xlookup(D$3,daily_items,_xlfn.xlookup($C3708,daily_dates,big_daily_table))),NA(),_xlfn.xlookup(D$3,daily_items,_xlfn.xlookup($C3708,daily_dates,big_daily_table)))</f>
        <v>#NAME?</v>
      </c>
      <c r="E3708" s="1" t="e">
        <f aca="false" t="array" ref="E3708:E3708">IF(ISBLANK(_xlfn.xlookup(E$3,daily_items,_xlfn.xlookup($C3708,daily_dates,big_daily_table))),NA(),_xlfn.xlookup(E$3,daily_items,_xlfn.xlookup($C3708,daily_dates,big_daily_table)))</f>
        <v>#NAME?</v>
      </c>
    </row>
    <row r="3709" customFormat="false" ht="14.25" hidden="false" customHeight="false" outlineLevel="0" collapsed="false">
      <c r="B3709" s="7" t="n">
        <v>44614</v>
      </c>
      <c r="C3709" s="7" t="n">
        <f aca="false">B3709-WEEKDAY(B3709)+1</f>
        <v>44612</v>
      </c>
      <c r="D3709" s="1" t="e">
        <f aca="false" t="array" ref="D3709:D3709">IF(ISBLANK(_xlfn.xlookup(D$3,daily_items,_xlfn.xlookup($C3709,daily_dates,big_daily_table))),NA(),_xlfn.xlookup(D$3,daily_items,_xlfn.xlookup($C3709,daily_dates,big_daily_table)))</f>
        <v>#NAME?</v>
      </c>
      <c r="E3709" s="1" t="e">
        <f aca="false" t="array" ref="E3709:E3709">IF(ISBLANK(_xlfn.xlookup(E$3,daily_items,_xlfn.xlookup($C3709,daily_dates,big_daily_table))),NA(),_xlfn.xlookup(E$3,daily_items,_xlfn.xlookup($C3709,daily_dates,big_daily_table)))</f>
        <v>#NAME?</v>
      </c>
    </row>
    <row r="3710" customFormat="false" ht="14.25" hidden="false" customHeight="false" outlineLevel="0" collapsed="false">
      <c r="B3710" s="7" t="n">
        <v>44615</v>
      </c>
      <c r="C3710" s="7" t="n">
        <f aca="false">B3710-WEEKDAY(B3710)+1</f>
        <v>44612</v>
      </c>
      <c r="D3710" s="1" t="e">
        <f aca="false" t="array" ref="D3710:D3710">IF(ISBLANK(_xlfn.xlookup(D$3,daily_items,_xlfn.xlookup($C3710,daily_dates,big_daily_table))),NA(),_xlfn.xlookup(D$3,daily_items,_xlfn.xlookup($C3710,daily_dates,big_daily_table)))</f>
        <v>#NAME?</v>
      </c>
      <c r="E3710" s="1" t="e">
        <f aca="false" t="array" ref="E3710:E3710">IF(ISBLANK(_xlfn.xlookup(E$3,daily_items,_xlfn.xlookup($C3710,daily_dates,big_daily_table))),NA(),_xlfn.xlookup(E$3,daily_items,_xlfn.xlookup($C3710,daily_dates,big_daily_table)))</f>
        <v>#NAME?</v>
      </c>
    </row>
    <row r="3711" customFormat="false" ht="14.25" hidden="false" customHeight="false" outlineLevel="0" collapsed="false">
      <c r="B3711" s="7" t="n">
        <v>44616</v>
      </c>
      <c r="C3711" s="7" t="n">
        <f aca="false">B3711-WEEKDAY(B3711)+1</f>
        <v>44612</v>
      </c>
      <c r="D3711" s="1" t="e">
        <f aca="false" t="array" ref="D3711:D3711">IF(ISBLANK(_xlfn.xlookup(D$3,daily_items,_xlfn.xlookup($C3711,daily_dates,big_daily_table))),NA(),_xlfn.xlookup(D$3,daily_items,_xlfn.xlookup($C3711,daily_dates,big_daily_table)))</f>
        <v>#NAME?</v>
      </c>
      <c r="E3711" s="1" t="e">
        <f aca="false" t="array" ref="E3711:E3711">IF(ISBLANK(_xlfn.xlookup(E$3,daily_items,_xlfn.xlookup($C3711,daily_dates,big_daily_table))),NA(),_xlfn.xlookup(E$3,daily_items,_xlfn.xlookup($C3711,daily_dates,big_daily_table)))</f>
        <v>#NAME?</v>
      </c>
    </row>
    <row r="3712" customFormat="false" ht="14.25" hidden="false" customHeight="false" outlineLevel="0" collapsed="false">
      <c r="B3712" s="7" t="n">
        <v>44617</v>
      </c>
      <c r="C3712" s="7" t="n">
        <f aca="false">B3712-WEEKDAY(B3712)+1</f>
        <v>44612</v>
      </c>
      <c r="D3712" s="1" t="e">
        <f aca="false" t="array" ref="D3712:D3712">IF(ISBLANK(_xlfn.xlookup(D$3,daily_items,_xlfn.xlookup($C3712,daily_dates,big_daily_table))),NA(),_xlfn.xlookup(D$3,daily_items,_xlfn.xlookup($C3712,daily_dates,big_daily_table)))</f>
        <v>#NAME?</v>
      </c>
      <c r="E3712" s="1" t="e">
        <f aca="false" t="array" ref="E3712:E3712">IF(ISBLANK(_xlfn.xlookup(E$3,daily_items,_xlfn.xlookup($C3712,daily_dates,big_daily_table))),NA(),_xlfn.xlookup(E$3,daily_items,_xlfn.xlookup($C3712,daily_dates,big_daily_table)))</f>
        <v>#NAME?</v>
      </c>
    </row>
    <row r="3713" customFormat="false" ht="14.25" hidden="false" customHeight="false" outlineLevel="0" collapsed="false">
      <c r="B3713" s="7" t="n">
        <v>44618</v>
      </c>
      <c r="C3713" s="7" t="n">
        <f aca="false">B3713-WEEKDAY(B3713)+1</f>
        <v>44612</v>
      </c>
      <c r="D3713" s="1" t="e">
        <f aca="false" t="array" ref="D3713:D3713">IF(ISBLANK(_xlfn.xlookup(D$3,daily_items,_xlfn.xlookup($C3713,daily_dates,big_daily_table))),NA(),_xlfn.xlookup(D$3,daily_items,_xlfn.xlookup($C3713,daily_dates,big_daily_table)))</f>
        <v>#NAME?</v>
      </c>
      <c r="E3713" s="1" t="e">
        <f aca="false" t="array" ref="E3713:E3713">IF(ISBLANK(_xlfn.xlookup(E$3,daily_items,_xlfn.xlookup($C3713,daily_dates,big_daily_table))),NA(),_xlfn.xlookup(E$3,daily_items,_xlfn.xlookup($C3713,daily_dates,big_daily_table)))</f>
        <v>#NAME?</v>
      </c>
    </row>
    <row r="3714" customFormat="false" ht="14.25" hidden="false" customHeight="false" outlineLevel="0" collapsed="false">
      <c r="B3714" s="7" t="n">
        <v>44619</v>
      </c>
      <c r="C3714" s="7" t="n">
        <f aca="false">B3714-WEEKDAY(B3714)+1</f>
        <v>44619</v>
      </c>
      <c r="D3714" s="1" t="e">
        <f aca="false" t="array" ref="D3714:D3714">IF(ISBLANK(_xlfn.xlookup(D$3,daily_items,_xlfn.xlookup($C3714,daily_dates,big_daily_table))),NA(),_xlfn.xlookup(D$3,daily_items,_xlfn.xlookup($C3714,daily_dates,big_daily_table)))</f>
        <v>#NAME?</v>
      </c>
      <c r="E3714" s="1" t="e">
        <f aca="false" t="array" ref="E3714:E3714">IF(ISBLANK(_xlfn.xlookup(E$3,daily_items,_xlfn.xlookup($C3714,daily_dates,big_daily_table))),NA(),_xlfn.xlookup(E$3,daily_items,_xlfn.xlookup($C3714,daily_dates,big_daily_table)))</f>
        <v>#NAME?</v>
      </c>
    </row>
    <row r="3715" customFormat="false" ht="14.25" hidden="false" customHeight="false" outlineLevel="0" collapsed="false">
      <c r="B3715" s="7" t="n">
        <v>44620</v>
      </c>
      <c r="C3715" s="7" t="n">
        <f aca="false">B3715-WEEKDAY(B3715)+1</f>
        <v>44619</v>
      </c>
      <c r="D3715" s="1" t="e">
        <f aca="false" t="array" ref="D3715:D3715">IF(ISBLANK(_xlfn.xlookup(D$3,daily_items,_xlfn.xlookup($C3715,daily_dates,big_daily_table))),NA(),_xlfn.xlookup(D$3,daily_items,_xlfn.xlookup($C3715,daily_dates,big_daily_table)))</f>
        <v>#NAME?</v>
      </c>
      <c r="E3715" s="1" t="e">
        <f aca="false" t="array" ref="E3715:E3715">IF(ISBLANK(_xlfn.xlookup(E$3,daily_items,_xlfn.xlookup($C3715,daily_dates,big_daily_table))),NA(),_xlfn.xlookup(E$3,daily_items,_xlfn.xlookup($C3715,daily_dates,big_daily_table)))</f>
        <v>#NAME?</v>
      </c>
    </row>
    <row r="3716" customFormat="false" ht="14.25" hidden="false" customHeight="false" outlineLevel="0" collapsed="false">
      <c r="B3716" s="7" t="n">
        <v>44621</v>
      </c>
      <c r="C3716" s="7" t="n">
        <f aca="false">B3716-WEEKDAY(B3716)+1</f>
        <v>44619</v>
      </c>
      <c r="D3716" s="1" t="e">
        <f aca="false" t="array" ref="D3716:D3716">IF(ISBLANK(_xlfn.xlookup(D$3,daily_items,_xlfn.xlookup($C3716,daily_dates,big_daily_table))),NA(),_xlfn.xlookup(D$3,daily_items,_xlfn.xlookup($C3716,daily_dates,big_daily_table)))</f>
        <v>#NAME?</v>
      </c>
      <c r="E3716" s="1" t="e">
        <f aca="false" t="array" ref="E3716:E3716">IF(ISBLANK(_xlfn.xlookup(E$3,daily_items,_xlfn.xlookup($C3716,daily_dates,big_daily_table))),NA(),_xlfn.xlookup(E$3,daily_items,_xlfn.xlookup($C3716,daily_dates,big_daily_table)))</f>
        <v>#NAME?</v>
      </c>
    </row>
    <row r="3717" customFormat="false" ht="14.25" hidden="false" customHeight="false" outlineLevel="0" collapsed="false">
      <c r="B3717" s="7" t="n">
        <v>44622</v>
      </c>
      <c r="C3717" s="7" t="n">
        <f aca="false">B3717-WEEKDAY(B3717)+1</f>
        <v>44619</v>
      </c>
      <c r="D3717" s="1" t="e">
        <f aca="false" t="array" ref="D3717:D3717">IF(ISBLANK(_xlfn.xlookup(D$3,daily_items,_xlfn.xlookup($C3717,daily_dates,big_daily_table))),NA(),_xlfn.xlookup(D$3,daily_items,_xlfn.xlookup($C3717,daily_dates,big_daily_table)))</f>
        <v>#NAME?</v>
      </c>
      <c r="E3717" s="1" t="e">
        <f aca="false" t="array" ref="E3717:E3717">IF(ISBLANK(_xlfn.xlookup(E$3,daily_items,_xlfn.xlookup($C3717,daily_dates,big_daily_table))),NA(),_xlfn.xlookup(E$3,daily_items,_xlfn.xlookup($C3717,daily_dates,big_daily_table)))</f>
        <v>#NAME?</v>
      </c>
    </row>
    <row r="3718" customFormat="false" ht="14.25" hidden="false" customHeight="false" outlineLevel="0" collapsed="false">
      <c r="B3718" s="7" t="n">
        <v>44623</v>
      </c>
      <c r="C3718" s="7" t="n">
        <f aca="false">B3718-WEEKDAY(B3718)+1</f>
        <v>44619</v>
      </c>
      <c r="D3718" s="1" t="e">
        <f aca="false" t="array" ref="D3718:D3718">IF(ISBLANK(_xlfn.xlookup(D$3,daily_items,_xlfn.xlookup($C3718,daily_dates,big_daily_table))),NA(),_xlfn.xlookup(D$3,daily_items,_xlfn.xlookup($C3718,daily_dates,big_daily_table)))</f>
        <v>#NAME?</v>
      </c>
      <c r="E3718" s="1" t="e">
        <f aca="false" t="array" ref="E3718:E3718">IF(ISBLANK(_xlfn.xlookup(E$3,daily_items,_xlfn.xlookup($C3718,daily_dates,big_daily_table))),NA(),_xlfn.xlookup(E$3,daily_items,_xlfn.xlookup($C3718,daily_dates,big_daily_table)))</f>
        <v>#NAME?</v>
      </c>
    </row>
    <row r="3719" customFormat="false" ht="14.25" hidden="false" customHeight="false" outlineLevel="0" collapsed="false">
      <c r="B3719" s="7" t="n">
        <v>44624</v>
      </c>
      <c r="C3719" s="7" t="n">
        <f aca="false">B3719-WEEKDAY(B3719)+1</f>
        <v>44619</v>
      </c>
      <c r="D3719" s="1" t="e">
        <f aca="false" t="array" ref="D3719:D3719">IF(ISBLANK(_xlfn.xlookup(D$3,daily_items,_xlfn.xlookup($C3719,daily_dates,big_daily_table))),NA(),_xlfn.xlookup(D$3,daily_items,_xlfn.xlookup($C3719,daily_dates,big_daily_table)))</f>
        <v>#NAME?</v>
      </c>
      <c r="E3719" s="1" t="e">
        <f aca="false" t="array" ref="E3719:E3719">IF(ISBLANK(_xlfn.xlookup(E$3,daily_items,_xlfn.xlookup($C3719,daily_dates,big_daily_table))),NA(),_xlfn.xlookup(E$3,daily_items,_xlfn.xlookup($C3719,daily_dates,big_daily_table)))</f>
        <v>#NAME?</v>
      </c>
    </row>
    <row r="3720" customFormat="false" ht="14.25" hidden="false" customHeight="false" outlineLevel="0" collapsed="false">
      <c r="B3720" s="7" t="n">
        <v>44625</v>
      </c>
      <c r="C3720" s="7" t="n">
        <f aca="false">B3720-WEEKDAY(B3720)+1</f>
        <v>44619</v>
      </c>
      <c r="D3720" s="1" t="e">
        <f aca="false" t="array" ref="D3720:D3720">IF(ISBLANK(_xlfn.xlookup(D$3,daily_items,_xlfn.xlookup($C3720,daily_dates,big_daily_table))),NA(),_xlfn.xlookup(D$3,daily_items,_xlfn.xlookup($C3720,daily_dates,big_daily_table)))</f>
        <v>#NAME?</v>
      </c>
      <c r="E3720" s="1" t="e">
        <f aca="false" t="array" ref="E3720:E3720">IF(ISBLANK(_xlfn.xlookup(E$3,daily_items,_xlfn.xlookup($C3720,daily_dates,big_daily_table))),NA(),_xlfn.xlookup(E$3,daily_items,_xlfn.xlookup($C3720,daily_dates,big_daily_table)))</f>
        <v>#NAME?</v>
      </c>
    </row>
    <row r="3721" customFormat="false" ht="14.25" hidden="false" customHeight="false" outlineLevel="0" collapsed="false">
      <c r="B3721" s="7" t="n">
        <v>44626</v>
      </c>
      <c r="C3721" s="7" t="n">
        <f aca="false">B3721-WEEKDAY(B3721)+1</f>
        <v>44626</v>
      </c>
      <c r="D3721" s="1" t="e">
        <f aca="false" t="array" ref="D3721:D3721">IF(ISBLANK(_xlfn.xlookup(D$3,daily_items,_xlfn.xlookup($C3721,daily_dates,big_daily_table))),NA(),_xlfn.xlookup(D$3,daily_items,_xlfn.xlookup($C3721,daily_dates,big_daily_table)))</f>
        <v>#NAME?</v>
      </c>
      <c r="E3721" s="1" t="e">
        <f aca="false" t="array" ref="E3721:E3721">IF(ISBLANK(_xlfn.xlookup(E$3,daily_items,_xlfn.xlookup($C3721,daily_dates,big_daily_table))),NA(),_xlfn.xlookup(E$3,daily_items,_xlfn.xlookup($C3721,daily_dates,big_daily_table)))</f>
        <v>#NAME?</v>
      </c>
    </row>
    <row r="3722" customFormat="false" ht="14.25" hidden="false" customHeight="false" outlineLevel="0" collapsed="false">
      <c r="B3722" s="7" t="n">
        <v>44627</v>
      </c>
      <c r="C3722" s="7" t="n">
        <f aca="false">B3722-WEEKDAY(B3722)+1</f>
        <v>44626</v>
      </c>
      <c r="D3722" s="1" t="e">
        <f aca="false" t="array" ref="D3722:D3722">IF(ISBLANK(_xlfn.xlookup(D$3,daily_items,_xlfn.xlookup($C3722,daily_dates,big_daily_table))),NA(),_xlfn.xlookup(D$3,daily_items,_xlfn.xlookup($C3722,daily_dates,big_daily_table)))</f>
        <v>#NAME?</v>
      </c>
      <c r="E3722" s="1" t="e">
        <f aca="false" t="array" ref="E3722:E3722">IF(ISBLANK(_xlfn.xlookup(E$3,daily_items,_xlfn.xlookup($C3722,daily_dates,big_daily_table))),NA(),_xlfn.xlookup(E$3,daily_items,_xlfn.xlookup($C3722,daily_dates,big_daily_table)))</f>
        <v>#NAME?</v>
      </c>
    </row>
    <row r="3723" customFormat="false" ht="14.25" hidden="false" customHeight="false" outlineLevel="0" collapsed="false">
      <c r="B3723" s="7" t="n">
        <v>44628</v>
      </c>
      <c r="C3723" s="7" t="n">
        <f aca="false">B3723-WEEKDAY(B3723)+1</f>
        <v>44626</v>
      </c>
      <c r="D3723" s="1" t="e">
        <f aca="false" t="array" ref="D3723:D3723">IF(ISBLANK(_xlfn.xlookup(D$3,daily_items,_xlfn.xlookup($C3723,daily_dates,big_daily_table))),NA(),_xlfn.xlookup(D$3,daily_items,_xlfn.xlookup($C3723,daily_dates,big_daily_table)))</f>
        <v>#NAME?</v>
      </c>
      <c r="E3723" s="1" t="e">
        <f aca="false" t="array" ref="E3723:E3723">IF(ISBLANK(_xlfn.xlookup(E$3,daily_items,_xlfn.xlookup($C3723,daily_dates,big_daily_table))),NA(),_xlfn.xlookup(E$3,daily_items,_xlfn.xlookup($C3723,daily_dates,big_daily_table)))</f>
        <v>#NAME?</v>
      </c>
    </row>
    <row r="3724" customFormat="false" ht="14.25" hidden="false" customHeight="false" outlineLevel="0" collapsed="false">
      <c r="B3724" s="7" t="n">
        <v>44629</v>
      </c>
      <c r="C3724" s="7" t="n">
        <f aca="false">B3724-WEEKDAY(B3724)+1</f>
        <v>44626</v>
      </c>
      <c r="D3724" s="1" t="e">
        <f aca="false" t="array" ref="D3724:D3724">IF(ISBLANK(_xlfn.xlookup(D$3,daily_items,_xlfn.xlookup($C3724,daily_dates,big_daily_table))),NA(),_xlfn.xlookup(D$3,daily_items,_xlfn.xlookup($C3724,daily_dates,big_daily_table)))</f>
        <v>#NAME?</v>
      </c>
      <c r="E3724" s="1" t="e">
        <f aca="false" t="array" ref="E3724:E3724">IF(ISBLANK(_xlfn.xlookup(E$3,daily_items,_xlfn.xlookup($C3724,daily_dates,big_daily_table))),NA(),_xlfn.xlookup(E$3,daily_items,_xlfn.xlookup($C3724,daily_dates,big_daily_table)))</f>
        <v>#NAME?</v>
      </c>
    </row>
    <row r="3725" customFormat="false" ht="14.25" hidden="false" customHeight="false" outlineLevel="0" collapsed="false">
      <c r="B3725" s="7" t="n">
        <v>44630</v>
      </c>
      <c r="C3725" s="7" t="n">
        <f aca="false">B3725-WEEKDAY(B3725)+1</f>
        <v>44626</v>
      </c>
      <c r="D3725" s="1" t="e">
        <f aca="false" t="array" ref="D3725:D3725">IF(ISBLANK(_xlfn.xlookup(D$3,daily_items,_xlfn.xlookup($C3725,daily_dates,big_daily_table))),NA(),_xlfn.xlookup(D$3,daily_items,_xlfn.xlookup($C3725,daily_dates,big_daily_table)))</f>
        <v>#NAME?</v>
      </c>
      <c r="E3725" s="1" t="e">
        <f aca="false" t="array" ref="E3725:E3725">IF(ISBLANK(_xlfn.xlookup(E$3,daily_items,_xlfn.xlookup($C3725,daily_dates,big_daily_table))),NA(),_xlfn.xlookup(E$3,daily_items,_xlfn.xlookup($C3725,daily_dates,big_daily_table)))</f>
        <v>#NAME?</v>
      </c>
    </row>
    <row r="3726" customFormat="false" ht="14.25" hidden="false" customHeight="false" outlineLevel="0" collapsed="false">
      <c r="B3726" s="7" t="n">
        <v>44631</v>
      </c>
      <c r="C3726" s="7" t="n">
        <f aca="false">B3726-WEEKDAY(B3726)+1</f>
        <v>44626</v>
      </c>
      <c r="D3726" s="1" t="e">
        <f aca="false" t="array" ref="D3726:D3726">IF(ISBLANK(_xlfn.xlookup(D$3,daily_items,_xlfn.xlookup($C3726,daily_dates,big_daily_table))),NA(),_xlfn.xlookup(D$3,daily_items,_xlfn.xlookup($C3726,daily_dates,big_daily_table)))</f>
        <v>#NAME?</v>
      </c>
      <c r="E3726" s="1" t="e">
        <f aca="false" t="array" ref="E3726:E3726">IF(ISBLANK(_xlfn.xlookup(E$3,daily_items,_xlfn.xlookup($C3726,daily_dates,big_daily_table))),NA(),_xlfn.xlookup(E$3,daily_items,_xlfn.xlookup($C3726,daily_dates,big_daily_table)))</f>
        <v>#NAME?</v>
      </c>
    </row>
    <row r="3727" customFormat="false" ht="14.25" hidden="false" customHeight="false" outlineLevel="0" collapsed="false">
      <c r="B3727" s="7" t="n">
        <v>44632</v>
      </c>
      <c r="C3727" s="7" t="n">
        <f aca="false">B3727-WEEKDAY(B3727)+1</f>
        <v>44626</v>
      </c>
      <c r="D3727" s="1" t="e">
        <f aca="false" t="array" ref="D3727:D3727">IF(ISBLANK(_xlfn.xlookup(D$3,daily_items,_xlfn.xlookup($C3727,daily_dates,big_daily_table))),NA(),_xlfn.xlookup(D$3,daily_items,_xlfn.xlookup($C3727,daily_dates,big_daily_table)))</f>
        <v>#NAME?</v>
      </c>
      <c r="E3727" s="1" t="e">
        <f aca="false" t="array" ref="E3727:E3727">IF(ISBLANK(_xlfn.xlookup(E$3,daily_items,_xlfn.xlookup($C3727,daily_dates,big_daily_table))),NA(),_xlfn.xlookup(E$3,daily_items,_xlfn.xlookup($C3727,daily_dates,big_daily_table)))</f>
        <v>#NAME?</v>
      </c>
    </row>
    <row r="3728" customFormat="false" ht="14.25" hidden="false" customHeight="false" outlineLevel="0" collapsed="false">
      <c r="B3728" s="7" t="n">
        <v>44633</v>
      </c>
      <c r="C3728" s="7" t="n">
        <f aca="false">B3728-WEEKDAY(B3728)+1</f>
        <v>44633</v>
      </c>
      <c r="D3728" s="1" t="e">
        <f aca="false" t="array" ref="D3728:D3728">IF(ISBLANK(_xlfn.xlookup(D$3,daily_items,_xlfn.xlookup($C3728,daily_dates,big_daily_table))),NA(),_xlfn.xlookup(D$3,daily_items,_xlfn.xlookup($C3728,daily_dates,big_daily_table)))</f>
        <v>#NAME?</v>
      </c>
      <c r="E3728" s="1" t="e">
        <f aca="false" t="array" ref="E3728:E3728">IF(ISBLANK(_xlfn.xlookup(E$3,daily_items,_xlfn.xlookup($C3728,daily_dates,big_daily_table))),NA(),_xlfn.xlookup(E$3,daily_items,_xlfn.xlookup($C3728,daily_dates,big_daily_table)))</f>
        <v>#NAME?</v>
      </c>
    </row>
    <row r="3729" customFormat="false" ht="14.25" hidden="false" customHeight="false" outlineLevel="0" collapsed="false">
      <c r="B3729" s="7" t="n">
        <v>44634</v>
      </c>
      <c r="C3729" s="7" t="n">
        <f aca="false">B3729-WEEKDAY(B3729)+1</f>
        <v>44633</v>
      </c>
      <c r="D3729" s="1" t="e">
        <f aca="false" t="array" ref="D3729:D3729">IF(ISBLANK(_xlfn.xlookup(D$3,daily_items,_xlfn.xlookup($C3729,daily_dates,big_daily_table))),NA(),_xlfn.xlookup(D$3,daily_items,_xlfn.xlookup($C3729,daily_dates,big_daily_table)))</f>
        <v>#NAME?</v>
      </c>
      <c r="E3729" s="1" t="e">
        <f aca="false" t="array" ref="E3729:E3729">IF(ISBLANK(_xlfn.xlookup(E$3,daily_items,_xlfn.xlookup($C3729,daily_dates,big_daily_table))),NA(),_xlfn.xlookup(E$3,daily_items,_xlfn.xlookup($C3729,daily_dates,big_daily_table)))</f>
        <v>#NAME?</v>
      </c>
    </row>
    <row r="3730" customFormat="false" ht="14.25" hidden="false" customHeight="false" outlineLevel="0" collapsed="false">
      <c r="B3730" s="7" t="n">
        <v>44635</v>
      </c>
      <c r="C3730" s="7" t="n">
        <f aca="false">B3730-WEEKDAY(B3730)+1</f>
        <v>44633</v>
      </c>
      <c r="D3730" s="1" t="e">
        <f aca="false" t="array" ref="D3730:D3730">IF(ISBLANK(_xlfn.xlookup(D$3,daily_items,_xlfn.xlookup($C3730,daily_dates,big_daily_table))),NA(),_xlfn.xlookup(D$3,daily_items,_xlfn.xlookup($C3730,daily_dates,big_daily_table)))</f>
        <v>#NAME?</v>
      </c>
      <c r="E3730" s="1" t="e">
        <f aca="false" t="array" ref="E3730:E3730">IF(ISBLANK(_xlfn.xlookup(E$3,daily_items,_xlfn.xlookup($C3730,daily_dates,big_daily_table))),NA(),_xlfn.xlookup(E$3,daily_items,_xlfn.xlookup($C3730,daily_dates,big_daily_table)))</f>
        <v>#NAME?</v>
      </c>
    </row>
    <row r="3731" customFormat="false" ht="14.25" hidden="false" customHeight="false" outlineLevel="0" collapsed="false">
      <c r="B3731" s="7" t="n">
        <v>44636</v>
      </c>
      <c r="C3731" s="7" t="n">
        <f aca="false">B3731-WEEKDAY(B3731)+1</f>
        <v>44633</v>
      </c>
      <c r="D3731" s="1" t="e">
        <f aca="false" t="array" ref="D3731:D3731">IF(ISBLANK(_xlfn.xlookup(D$3,daily_items,_xlfn.xlookup($C3731,daily_dates,big_daily_table))),NA(),_xlfn.xlookup(D$3,daily_items,_xlfn.xlookup($C3731,daily_dates,big_daily_table)))</f>
        <v>#NAME?</v>
      </c>
      <c r="E3731" s="1" t="e">
        <f aca="false" t="array" ref="E3731:E3731">IF(ISBLANK(_xlfn.xlookup(E$3,daily_items,_xlfn.xlookup($C3731,daily_dates,big_daily_table))),NA(),_xlfn.xlookup(E$3,daily_items,_xlfn.xlookup($C3731,daily_dates,big_daily_table)))</f>
        <v>#NAME?</v>
      </c>
    </row>
    <row r="3732" customFormat="false" ht="14.25" hidden="false" customHeight="false" outlineLevel="0" collapsed="false">
      <c r="B3732" s="7" t="n">
        <v>44637</v>
      </c>
      <c r="C3732" s="7" t="n">
        <f aca="false">B3732-WEEKDAY(B3732)+1</f>
        <v>44633</v>
      </c>
      <c r="D3732" s="1" t="e">
        <f aca="false" t="array" ref="D3732:D3732">IF(ISBLANK(_xlfn.xlookup(D$3,daily_items,_xlfn.xlookup($C3732,daily_dates,big_daily_table))),NA(),_xlfn.xlookup(D$3,daily_items,_xlfn.xlookup($C3732,daily_dates,big_daily_table)))</f>
        <v>#NAME?</v>
      </c>
      <c r="E3732" s="1" t="e">
        <f aca="false" t="array" ref="E3732:E3732">IF(ISBLANK(_xlfn.xlookup(E$3,daily_items,_xlfn.xlookup($C3732,daily_dates,big_daily_table))),NA(),_xlfn.xlookup(E$3,daily_items,_xlfn.xlookup($C3732,daily_dates,big_daily_table)))</f>
        <v>#NAME?</v>
      </c>
    </row>
    <row r="3733" customFormat="false" ht="14.25" hidden="false" customHeight="false" outlineLevel="0" collapsed="false">
      <c r="B3733" s="7" t="n">
        <v>44638</v>
      </c>
      <c r="C3733" s="7" t="n">
        <f aca="false">B3733-WEEKDAY(B3733)+1</f>
        <v>44633</v>
      </c>
      <c r="D3733" s="1" t="e">
        <f aca="false" t="array" ref="D3733:D3733">IF(ISBLANK(_xlfn.xlookup(D$3,daily_items,_xlfn.xlookup($C3733,daily_dates,big_daily_table))),NA(),_xlfn.xlookup(D$3,daily_items,_xlfn.xlookup($C3733,daily_dates,big_daily_table)))</f>
        <v>#NAME?</v>
      </c>
      <c r="E3733" s="1" t="e">
        <f aca="false" t="array" ref="E3733:E3733">IF(ISBLANK(_xlfn.xlookup(E$3,daily_items,_xlfn.xlookup($C3733,daily_dates,big_daily_table))),NA(),_xlfn.xlookup(E$3,daily_items,_xlfn.xlookup($C3733,daily_dates,big_daily_table)))</f>
        <v>#NAME?</v>
      </c>
    </row>
    <row r="3734" customFormat="false" ht="14.25" hidden="false" customHeight="false" outlineLevel="0" collapsed="false">
      <c r="B3734" s="7" t="n">
        <v>44639</v>
      </c>
      <c r="C3734" s="7" t="n">
        <f aca="false">B3734-WEEKDAY(B3734)+1</f>
        <v>44633</v>
      </c>
      <c r="D3734" s="1" t="e">
        <f aca="false" t="array" ref="D3734:D3734">IF(ISBLANK(_xlfn.xlookup(D$3,daily_items,_xlfn.xlookup($C3734,daily_dates,big_daily_table))),NA(),_xlfn.xlookup(D$3,daily_items,_xlfn.xlookup($C3734,daily_dates,big_daily_table)))</f>
        <v>#NAME?</v>
      </c>
      <c r="E3734" s="1" t="e">
        <f aca="false" t="array" ref="E3734:E3734">IF(ISBLANK(_xlfn.xlookup(E$3,daily_items,_xlfn.xlookup($C3734,daily_dates,big_daily_table))),NA(),_xlfn.xlookup(E$3,daily_items,_xlfn.xlookup($C3734,daily_dates,big_daily_table)))</f>
        <v>#NAME?</v>
      </c>
    </row>
    <row r="3735" customFormat="false" ht="14.25" hidden="false" customHeight="false" outlineLevel="0" collapsed="false">
      <c r="B3735" s="7" t="n">
        <v>44640</v>
      </c>
      <c r="C3735" s="7" t="n">
        <f aca="false">B3735-WEEKDAY(B3735)+1</f>
        <v>44640</v>
      </c>
      <c r="D3735" s="1" t="e">
        <f aca="false" t="array" ref="D3735:D3735">IF(ISBLANK(_xlfn.xlookup(D$3,daily_items,_xlfn.xlookup($C3735,daily_dates,big_daily_table))),NA(),_xlfn.xlookup(D$3,daily_items,_xlfn.xlookup($C3735,daily_dates,big_daily_table)))</f>
        <v>#NAME?</v>
      </c>
      <c r="E3735" s="1" t="e">
        <f aca="false" t="array" ref="E3735:E3735">IF(ISBLANK(_xlfn.xlookup(E$3,daily_items,_xlfn.xlookup($C3735,daily_dates,big_daily_table))),NA(),_xlfn.xlookup(E$3,daily_items,_xlfn.xlookup($C3735,daily_dates,big_daily_table)))</f>
        <v>#NAME?</v>
      </c>
    </row>
    <row r="3736" customFormat="false" ht="14.25" hidden="false" customHeight="false" outlineLevel="0" collapsed="false">
      <c r="B3736" s="7" t="n">
        <v>44641</v>
      </c>
      <c r="C3736" s="7" t="n">
        <f aca="false">B3736-WEEKDAY(B3736)+1</f>
        <v>44640</v>
      </c>
      <c r="D3736" s="1" t="e">
        <f aca="false" t="array" ref="D3736:D3736">IF(ISBLANK(_xlfn.xlookup(D$3,daily_items,_xlfn.xlookup($C3736,daily_dates,big_daily_table))),NA(),_xlfn.xlookup(D$3,daily_items,_xlfn.xlookup($C3736,daily_dates,big_daily_table)))</f>
        <v>#NAME?</v>
      </c>
      <c r="E3736" s="1" t="e">
        <f aca="false" t="array" ref="E3736:E3736">IF(ISBLANK(_xlfn.xlookup(E$3,daily_items,_xlfn.xlookup($C3736,daily_dates,big_daily_table))),NA(),_xlfn.xlookup(E$3,daily_items,_xlfn.xlookup($C3736,daily_dates,big_daily_table)))</f>
        <v>#NAME?</v>
      </c>
    </row>
    <row r="3737" customFormat="false" ht="14.25" hidden="false" customHeight="false" outlineLevel="0" collapsed="false">
      <c r="B3737" s="7" t="n">
        <v>44642</v>
      </c>
      <c r="C3737" s="7" t="n">
        <f aca="false">B3737-WEEKDAY(B3737)+1</f>
        <v>44640</v>
      </c>
      <c r="D3737" s="1" t="e">
        <f aca="false" t="array" ref="D3737:D3737">IF(ISBLANK(_xlfn.xlookup(D$3,daily_items,_xlfn.xlookup($C3737,daily_dates,big_daily_table))),NA(),_xlfn.xlookup(D$3,daily_items,_xlfn.xlookup($C3737,daily_dates,big_daily_table)))</f>
        <v>#NAME?</v>
      </c>
      <c r="E3737" s="1" t="e">
        <f aca="false" t="array" ref="E3737:E3737">IF(ISBLANK(_xlfn.xlookup(E$3,daily_items,_xlfn.xlookup($C3737,daily_dates,big_daily_table))),NA(),_xlfn.xlookup(E$3,daily_items,_xlfn.xlookup($C3737,daily_dates,big_daily_table)))</f>
        <v>#NAME?</v>
      </c>
    </row>
    <row r="3738" customFormat="false" ht="14.25" hidden="false" customHeight="false" outlineLevel="0" collapsed="false">
      <c r="B3738" s="7" t="n">
        <v>44643</v>
      </c>
      <c r="C3738" s="7" t="n">
        <f aca="false">B3738-WEEKDAY(B3738)+1</f>
        <v>44640</v>
      </c>
      <c r="D3738" s="1" t="e">
        <f aca="false" t="array" ref="D3738:D3738">IF(ISBLANK(_xlfn.xlookup(D$3,daily_items,_xlfn.xlookup($C3738,daily_dates,big_daily_table))),NA(),_xlfn.xlookup(D$3,daily_items,_xlfn.xlookup($C3738,daily_dates,big_daily_table)))</f>
        <v>#NAME?</v>
      </c>
      <c r="E3738" s="1" t="e">
        <f aca="false" t="array" ref="E3738:E3738">IF(ISBLANK(_xlfn.xlookup(E$3,daily_items,_xlfn.xlookup($C3738,daily_dates,big_daily_table))),NA(),_xlfn.xlookup(E$3,daily_items,_xlfn.xlookup($C3738,daily_dates,big_daily_table)))</f>
        <v>#NAME?</v>
      </c>
    </row>
    <row r="3739" customFormat="false" ht="14.25" hidden="false" customHeight="false" outlineLevel="0" collapsed="false">
      <c r="B3739" s="7" t="n">
        <v>44644</v>
      </c>
      <c r="C3739" s="7" t="n">
        <f aca="false">B3739-WEEKDAY(B3739)+1</f>
        <v>44640</v>
      </c>
      <c r="D3739" s="1" t="e">
        <f aca="false" t="array" ref="D3739:D3739">IF(ISBLANK(_xlfn.xlookup(D$3,daily_items,_xlfn.xlookup($C3739,daily_dates,big_daily_table))),NA(),_xlfn.xlookup(D$3,daily_items,_xlfn.xlookup($C3739,daily_dates,big_daily_table)))</f>
        <v>#NAME?</v>
      </c>
      <c r="E3739" s="1" t="e">
        <f aca="false" t="array" ref="E3739:E3739">IF(ISBLANK(_xlfn.xlookup(E$3,daily_items,_xlfn.xlookup($C3739,daily_dates,big_daily_table))),NA(),_xlfn.xlookup(E$3,daily_items,_xlfn.xlookup($C3739,daily_dates,big_daily_table)))</f>
        <v>#NAME?</v>
      </c>
    </row>
    <row r="3740" customFormat="false" ht="14.25" hidden="false" customHeight="false" outlineLevel="0" collapsed="false">
      <c r="B3740" s="7" t="n">
        <v>44645</v>
      </c>
      <c r="C3740" s="7" t="n">
        <f aca="false">B3740-WEEKDAY(B3740)+1</f>
        <v>44640</v>
      </c>
      <c r="D3740" s="1" t="e">
        <f aca="false" t="array" ref="D3740:D3740">IF(ISBLANK(_xlfn.xlookup(D$3,daily_items,_xlfn.xlookup($C3740,daily_dates,big_daily_table))),NA(),_xlfn.xlookup(D$3,daily_items,_xlfn.xlookup($C3740,daily_dates,big_daily_table)))</f>
        <v>#NAME?</v>
      </c>
      <c r="E3740" s="1" t="e">
        <f aca="false" t="array" ref="E3740:E3740">IF(ISBLANK(_xlfn.xlookup(E$3,daily_items,_xlfn.xlookup($C3740,daily_dates,big_daily_table))),NA(),_xlfn.xlookup(E$3,daily_items,_xlfn.xlookup($C3740,daily_dates,big_daily_table)))</f>
        <v>#NAME?</v>
      </c>
    </row>
    <row r="3741" customFormat="false" ht="14.25" hidden="false" customHeight="false" outlineLevel="0" collapsed="false">
      <c r="B3741" s="7" t="n">
        <v>44646</v>
      </c>
      <c r="C3741" s="7" t="n">
        <f aca="false">B3741-WEEKDAY(B3741)+1</f>
        <v>44640</v>
      </c>
      <c r="D3741" s="1" t="e">
        <f aca="false" t="array" ref="D3741:D3741">IF(ISBLANK(_xlfn.xlookup(D$3,daily_items,_xlfn.xlookup($C3741,daily_dates,big_daily_table))),NA(),_xlfn.xlookup(D$3,daily_items,_xlfn.xlookup($C3741,daily_dates,big_daily_table)))</f>
        <v>#NAME?</v>
      </c>
      <c r="E3741" s="1" t="e">
        <f aca="false" t="array" ref="E3741:E3741">IF(ISBLANK(_xlfn.xlookup(E$3,daily_items,_xlfn.xlookup($C3741,daily_dates,big_daily_table))),NA(),_xlfn.xlookup(E$3,daily_items,_xlfn.xlookup($C3741,daily_dates,big_daily_table)))</f>
        <v>#NAME?</v>
      </c>
    </row>
    <row r="3742" customFormat="false" ht="14.25" hidden="false" customHeight="false" outlineLevel="0" collapsed="false">
      <c r="B3742" s="7" t="n">
        <v>44647</v>
      </c>
      <c r="C3742" s="7" t="n">
        <f aca="false">B3742-WEEKDAY(B3742)+1</f>
        <v>44647</v>
      </c>
      <c r="D3742" s="1" t="e">
        <f aca="false" t="array" ref="D3742:D3742">IF(ISBLANK(_xlfn.xlookup(D$3,daily_items,_xlfn.xlookup($C3742,daily_dates,big_daily_table))),NA(),_xlfn.xlookup(D$3,daily_items,_xlfn.xlookup($C3742,daily_dates,big_daily_table)))</f>
        <v>#NAME?</v>
      </c>
      <c r="E3742" s="1" t="e">
        <f aca="false" t="array" ref="E3742:E3742">IF(ISBLANK(_xlfn.xlookup(E$3,daily_items,_xlfn.xlookup($C3742,daily_dates,big_daily_table))),NA(),_xlfn.xlookup(E$3,daily_items,_xlfn.xlookup($C3742,daily_dates,big_daily_table)))</f>
        <v>#NAME?</v>
      </c>
    </row>
    <row r="3743" customFormat="false" ht="14.25" hidden="false" customHeight="false" outlineLevel="0" collapsed="false">
      <c r="B3743" s="7" t="n">
        <v>44648</v>
      </c>
      <c r="C3743" s="7" t="n">
        <f aca="false">B3743-WEEKDAY(B3743)+1</f>
        <v>44647</v>
      </c>
      <c r="D3743" s="1" t="e">
        <f aca="false" t="array" ref="D3743:D3743">IF(ISBLANK(_xlfn.xlookup(D$3,daily_items,_xlfn.xlookup($C3743,daily_dates,big_daily_table))),NA(),_xlfn.xlookup(D$3,daily_items,_xlfn.xlookup($C3743,daily_dates,big_daily_table)))</f>
        <v>#NAME?</v>
      </c>
      <c r="E3743" s="1" t="e">
        <f aca="false" t="array" ref="E3743:E3743">IF(ISBLANK(_xlfn.xlookup(E$3,daily_items,_xlfn.xlookup($C3743,daily_dates,big_daily_table))),NA(),_xlfn.xlookup(E$3,daily_items,_xlfn.xlookup($C3743,daily_dates,big_daily_table)))</f>
        <v>#NAME?</v>
      </c>
    </row>
    <row r="3744" customFormat="false" ht="14.25" hidden="false" customHeight="false" outlineLevel="0" collapsed="false">
      <c r="B3744" s="7" t="n">
        <v>44649</v>
      </c>
      <c r="C3744" s="7" t="n">
        <f aca="false">B3744-WEEKDAY(B3744)+1</f>
        <v>44647</v>
      </c>
      <c r="D3744" s="1" t="e">
        <f aca="false" t="array" ref="D3744:D3744">IF(ISBLANK(_xlfn.xlookup(D$3,daily_items,_xlfn.xlookup($C3744,daily_dates,big_daily_table))),NA(),_xlfn.xlookup(D$3,daily_items,_xlfn.xlookup($C3744,daily_dates,big_daily_table)))</f>
        <v>#NAME?</v>
      </c>
      <c r="E3744" s="1" t="e">
        <f aca="false" t="array" ref="E3744:E3744">IF(ISBLANK(_xlfn.xlookup(E$3,daily_items,_xlfn.xlookup($C3744,daily_dates,big_daily_table))),NA(),_xlfn.xlookup(E$3,daily_items,_xlfn.xlookup($C3744,daily_dates,big_daily_table)))</f>
        <v>#NAME?</v>
      </c>
    </row>
    <row r="3745" customFormat="false" ht="14.25" hidden="false" customHeight="false" outlineLevel="0" collapsed="false">
      <c r="B3745" s="7" t="n">
        <v>44650</v>
      </c>
      <c r="C3745" s="7" t="n">
        <f aca="false">B3745-WEEKDAY(B3745)+1</f>
        <v>44647</v>
      </c>
      <c r="D3745" s="1" t="e">
        <f aca="false" t="array" ref="D3745:D3745">IF(ISBLANK(_xlfn.xlookup(D$3,daily_items,_xlfn.xlookup($C3745,daily_dates,big_daily_table))),NA(),_xlfn.xlookup(D$3,daily_items,_xlfn.xlookup($C3745,daily_dates,big_daily_table)))</f>
        <v>#NAME?</v>
      </c>
      <c r="E3745" s="1" t="e">
        <f aca="false" t="array" ref="E3745:E3745">IF(ISBLANK(_xlfn.xlookup(E$3,daily_items,_xlfn.xlookup($C3745,daily_dates,big_daily_table))),NA(),_xlfn.xlookup(E$3,daily_items,_xlfn.xlookup($C3745,daily_dates,big_daily_table)))</f>
        <v>#NAME?</v>
      </c>
    </row>
    <row r="3746" customFormat="false" ht="14.25" hidden="false" customHeight="false" outlineLevel="0" collapsed="false">
      <c r="B3746" s="7" t="n">
        <v>44651</v>
      </c>
      <c r="C3746" s="7" t="n">
        <f aca="false">B3746-WEEKDAY(B3746)+1</f>
        <v>44647</v>
      </c>
      <c r="D3746" s="1" t="e">
        <f aca="false" t="array" ref="D3746:D3746">IF(ISBLANK(_xlfn.xlookup(D$3,daily_items,_xlfn.xlookup($C3746,daily_dates,big_daily_table))),NA(),_xlfn.xlookup(D$3,daily_items,_xlfn.xlookup($C3746,daily_dates,big_daily_table)))</f>
        <v>#NAME?</v>
      </c>
      <c r="E3746" s="1" t="e">
        <f aca="false" t="array" ref="E3746:E3746">IF(ISBLANK(_xlfn.xlookup(E$3,daily_items,_xlfn.xlookup($C3746,daily_dates,big_daily_table))),NA(),_xlfn.xlookup(E$3,daily_items,_xlfn.xlookup($C3746,daily_dates,big_daily_table)))</f>
        <v>#NAME?</v>
      </c>
    </row>
    <row r="3747" customFormat="false" ht="14.25" hidden="false" customHeight="false" outlineLevel="0" collapsed="false">
      <c r="B3747" s="7" t="n">
        <v>44652</v>
      </c>
      <c r="C3747" s="7" t="n">
        <f aca="false">B3747-WEEKDAY(B3747)+1</f>
        <v>44647</v>
      </c>
      <c r="D3747" s="1" t="e">
        <f aca="false" t="array" ref="D3747:D3747">IF(ISBLANK(_xlfn.xlookup(D$3,daily_items,_xlfn.xlookup($C3747,daily_dates,big_daily_table))),NA(),_xlfn.xlookup(D$3,daily_items,_xlfn.xlookup($C3747,daily_dates,big_daily_table)))</f>
        <v>#NAME?</v>
      </c>
      <c r="E3747" s="1" t="e">
        <f aca="false" t="array" ref="E3747:E3747">IF(ISBLANK(_xlfn.xlookup(E$3,daily_items,_xlfn.xlookup($C3747,daily_dates,big_daily_table))),NA(),_xlfn.xlookup(E$3,daily_items,_xlfn.xlookup($C3747,daily_dates,big_daily_table)))</f>
        <v>#NAME?</v>
      </c>
    </row>
    <row r="3748" customFormat="false" ht="14.25" hidden="false" customHeight="false" outlineLevel="0" collapsed="false">
      <c r="B3748" s="7" t="n">
        <v>44653</v>
      </c>
      <c r="C3748" s="7" t="n">
        <f aca="false">B3748-WEEKDAY(B3748)+1</f>
        <v>44647</v>
      </c>
      <c r="D3748" s="1" t="e">
        <f aca="false" t="array" ref="D3748:D3748">IF(ISBLANK(_xlfn.xlookup(D$3,daily_items,_xlfn.xlookup($C3748,daily_dates,big_daily_table))),NA(),_xlfn.xlookup(D$3,daily_items,_xlfn.xlookup($C3748,daily_dates,big_daily_table)))</f>
        <v>#NAME?</v>
      </c>
      <c r="E3748" s="1" t="e">
        <f aca="false" t="array" ref="E3748:E3748">IF(ISBLANK(_xlfn.xlookup(E$3,daily_items,_xlfn.xlookup($C3748,daily_dates,big_daily_table))),NA(),_xlfn.xlookup(E$3,daily_items,_xlfn.xlookup($C3748,daily_dates,big_daily_table)))</f>
        <v>#NAME?</v>
      </c>
    </row>
    <row r="3749" customFormat="false" ht="14.25" hidden="false" customHeight="false" outlineLevel="0" collapsed="false">
      <c r="B3749" s="7" t="n">
        <v>44654</v>
      </c>
      <c r="C3749" s="7" t="n">
        <f aca="false">B3749-WEEKDAY(B3749)+1</f>
        <v>44654</v>
      </c>
      <c r="D3749" s="1" t="e">
        <f aca="false" t="array" ref="D3749:D3749">IF(ISBLANK(_xlfn.xlookup(D$3,daily_items,_xlfn.xlookup($C3749,daily_dates,big_daily_table))),NA(),_xlfn.xlookup(D$3,daily_items,_xlfn.xlookup($C3749,daily_dates,big_daily_table)))</f>
        <v>#NAME?</v>
      </c>
      <c r="E3749" s="1" t="e">
        <f aca="false" t="array" ref="E3749:E3749">IF(ISBLANK(_xlfn.xlookup(E$3,daily_items,_xlfn.xlookup($C3749,daily_dates,big_daily_table))),NA(),_xlfn.xlookup(E$3,daily_items,_xlfn.xlookup($C3749,daily_dates,big_daily_table)))</f>
        <v>#NAME?</v>
      </c>
    </row>
    <row r="3750" customFormat="false" ht="14.25" hidden="false" customHeight="false" outlineLevel="0" collapsed="false">
      <c r="B3750" s="7" t="n">
        <v>44655</v>
      </c>
      <c r="C3750" s="7" t="n">
        <f aca="false">B3750-WEEKDAY(B3750)+1</f>
        <v>44654</v>
      </c>
      <c r="D3750" s="1" t="e">
        <f aca="false" t="array" ref="D3750:D3750">IF(ISBLANK(_xlfn.xlookup(D$3,daily_items,_xlfn.xlookup($C3750,daily_dates,big_daily_table))),NA(),_xlfn.xlookup(D$3,daily_items,_xlfn.xlookup($C3750,daily_dates,big_daily_table)))</f>
        <v>#NAME?</v>
      </c>
      <c r="E3750" s="1" t="e">
        <f aca="false" t="array" ref="E3750:E3750">IF(ISBLANK(_xlfn.xlookup(E$3,daily_items,_xlfn.xlookup($C3750,daily_dates,big_daily_table))),NA(),_xlfn.xlookup(E$3,daily_items,_xlfn.xlookup($C3750,daily_dates,big_daily_table)))</f>
        <v>#NAME?</v>
      </c>
    </row>
    <row r="3751" customFormat="false" ht="14.25" hidden="false" customHeight="false" outlineLevel="0" collapsed="false">
      <c r="B3751" s="7" t="n">
        <v>44656</v>
      </c>
      <c r="C3751" s="7" t="n">
        <f aca="false">B3751-WEEKDAY(B3751)+1</f>
        <v>44654</v>
      </c>
      <c r="D3751" s="1" t="e">
        <f aca="false" t="array" ref="D3751:D3751">IF(ISBLANK(_xlfn.xlookup(D$3,daily_items,_xlfn.xlookup($C3751,daily_dates,big_daily_table))),NA(),_xlfn.xlookup(D$3,daily_items,_xlfn.xlookup($C3751,daily_dates,big_daily_table)))</f>
        <v>#NAME?</v>
      </c>
      <c r="E3751" s="1" t="e">
        <f aca="false" t="array" ref="E3751:E3751">IF(ISBLANK(_xlfn.xlookup(E$3,daily_items,_xlfn.xlookup($C3751,daily_dates,big_daily_table))),NA(),_xlfn.xlookup(E$3,daily_items,_xlfn.xlookup($C3751,daily_dates,big_daily_table)))</f>
        <v>#NAME?</v>
      </c>
    </row>
    <row r="3752" customFormat="false" ht="14.25" hidden="false" customHeight="false" outlineLevel="0" collapsed="false">
      <c r="B3752" s="7" t="n">
        <v>44657</v>
      </c>
      <c r="C3752" s="7" t="n">
        <f aca="false">B3752-WEEKDAY(B3752)+1</f>
        <v>44654</v>
      </c>
      <c r="D3752" s="1" t="e">
        <f aca="false" t="array" ref="D3752:D3752">IF(ISBLANK(_xlfn.xlookup(D$3,daily_items,_xlfn.xlookup($C3752,daily_dates,big_daily_table))),NA(),_xlfn.xlookup(D$3,daily_items,_xlfn.xlookup($C3752,daily_dates,big_daily_table)))</f>
        <v>#NAME?</v>
      </c>
      <c r="E3752" s="1" t="e">
        <f aca="false" t="array" ref="E3752:E3752">IF(ISBLANK(_xlfn.xlookup(E$3,daily_items,_xlfn.xlookup($C3752,daily_dates,big_daily_table))),NA(),_xlfn.xlookup(E$3,daily_items,_xlfn.xlookup($C3752,daily_dates,big_daily_table)))</f>
        <v>#NAME?</v>
      </c>
    </row>
    <row r="3753" customFormat="false" ht="14.25" hidden="false" customHeight="false" outlineLevel="0" collapsed="false">
      <c r="B3753" s="7" t="n">
        <v>44658</v>
      </c>
      <c r="C3753" s="7" t="n">
        <f aca="false">B3753-WEEKDAY(B3753)+1</f>
        <v>44654</v>
      </c>
      <c r="D3753" s="1" t="e">
        <f aca="false" t="array" ref="D3753:D3753">IF(ISBLANK(_xlfn.xlookup(D$3,daily_items,_xlfn.xlookup($C3753,daily_dates,big_daily_table))),NA(),_xlfn.xlookup(D$3,daily_items,_xlfn.xlookup($C3753,daily_dates,big_daily_table)))</f>
        <v>#NAME?</v>
      </c>
      <c r="E3753" s="1" t="e">
        <f aca="false" t="array" ref="E3753:E3753">IF(ISBLANK(_xlfn.xlookup(E$3,daily_items,_xlfn.xlookup($C3753,daily_dates,big_daily_table))),NA(),_xlfn.xlookup(E$3,daily_items,_xlfn.xlookup($C3753,daily_dates,big_daily_table)))</f>
        <v>#NAME?</v>
      </c>
    </row>
    <row r="3754" customFormat="false" ht="14.25" hidden="false" customHeight="false" outlineLevel="0" collapsed="false">
      <c r="B3754" s="7" t="n">
        <v>44659</v>
      </c>
      <c r="C3754" s="7" t="n">
        <f aca="false">B3754-WEEKDAY(B3754)+1</f>
        <v>44654</v>
      </c>
      <c r="D3754" s="1" t="e">
        <f aca="false" t="array" ref="D3754:D3754">IF(ISBLANK(_xlfn.xlookup(D$3,daily_items,_xlfn.xlookup($C3754,daily_dates,big_daily_table))),NA(),_xlfn.xlookup(D$3,daily_items,_xlfn.xlookup($C3754,daily_dates,big_daily_table)))</f>
        <v>#NAME?</v>
      </c>
      <c r="E3754" s="1" t="e">
        <f aca="false" t="array" ref="E3754:E3754">IF(ISBLANK(_xlfn.xlookup(E$3,daily_items,_xlfn.xlookup($C3754,daily_dates,big_daily_table))),NA(),_xlfn.xlookup(E$3,daily_items,_xlfn.xlookup($C3754,daily_dates,big_daily_table)))</f>
        <v>#NAME?</v>
      </c>
    </row>
    <row r="3755" customFormat="false" ht="14.25" hidden="false" customHeight="false" outlineLevel="0" collapsed="false">
      <c r="B3755" s="7" t="n">
        <v>44660</v>
      </c>
      <c r="C3755" s="7" t="n">
        <f aca="false">B3755-WEEKDAY(B3755)+1</f>
        <v>44654</v>
      </c>
      <c r="D3755" s="1" t="e">
        <f aca="false" t="array" ref="D3755:D3755">IF(ISBLANK(_xlfn.xlookup(D$3,daily_items,_xlfn.xlookup($C3755,daily_dates,big_daily_table))),NA(),_xlfn.xlookup(D$3,daily_items,_xlfn.xlookup($C3755,daily_dates,big_daily_table)))</f>
        <v>#NAME?</v>
      </c>
      <c r="E3755" s="1" t="e">
        <f aca="false" t="array" ref="E3755:E3755">IF(ISBLANK(_xlfn.xlookup(E$3,daily_items,_xlfn.xlookup($C3755,daily_dates,big_daily_table))),NA(),_xlfn.xlookup(E$3,daily_items,_xlfn.xlookup($C3755,daily_dates,big_daily_table)))</f>
        <v>#NAME?</v>
      </c>
    </row>
    <row r="3756" customFormat="false" ht="14.25" hidden="false" customHeight="false" outlineLevel="0" collapsed="false">
      <c r="B3756" s="7" t="n">
        <v>44661</v>
      </c>
      <c r="C3756" s="7" t="n">
        <f aca="false">B3756-WEEKDAY(B3756)+1</f>
        <v>44661</v>
      </c>
      <c r="D3756" s="1" t="e">
        <f aca="false" t="array" ref="D3756:D3756">IF(ISBLANK(_xlfn.xlookup(D$3,daily_items,_xlfn.xlookup($C3756,daily_dates,big_daily_table))),NA(),_xlfn.xlookup(D$3,daily_items,_xlfn.xlookup($C3756,daily_dates,big_daily_table)))</f>
        <v>#NAME?</v>
      </c>
      <c r="E3756" s="1" t="e">
        <f aca="false" t="array" ref="E3756:E3756">IF(ISBLANK(_xlfn.xlookup(E$3,daily_items,_xlfn.xlookup($C3756,daily_dates,big_daily_table))),NA(),_xlfn.xlookup(E$3,daily_items,_xlfn.xlookup($C3756,daily_dates,big_daily_table)))</f>
        <v>#NAME?</v>
      </c>
    </row>
    <row r="3757" customFormat="false" ht="14.25" hidden="false" customHeight="false" outlineLevel="0" collapsed="false">
      <c r="B3757" s="7" t="n">
        <v>44662</v>
      </c>
      <c r="C3757" s="7" t="n">
        <f aca="false">B3757-WEEKDAY(B3757)+1</f>
        <v>44661</v>
      </c>
      <c r="D3757" s="1" t="e">
        <f aca="false" t="array" ref="D3757:D3757">IF(ISBLANK(_xlfn.xlookup(D$3,daily_items,_xlfn.xlookup($C3757,daily_dates,big_daily_table))),NA(),_xlfn.xlookup(D$3,daily_items,_xlfn.xlookup($C3757,daily_dates,big_daily_table)))</f>
        <v>#NAME?</v>
      </c>
      <c r="E3757" s="1" t="e">
        <f aca="false" t="array" ref="E3757:E3757">IF(ISBLANK(_xlfn.xlookup(E$3,daily_items,_xlfn.xlookup($C3757,daily_dates,big_daily_table))),NA(),_xlfn.xlookup(E$3,daily_items,_xlfn.xlookup($C3757,daily_dates,big_daily_table)))</f>
        <v>#NAME?</v>
      </c>
    </row>
    <row r="3758" customFormat="false" ht="14.25" hidden="false" customHeight="false" outlineLevel="0" collapsed="false">
      <c r="B3758" s="7" t="n">
        <v>44663</v>
      </c>
      <c r="C3758" s="7" t="n">
        <f aca="false">B3758-WEEKDAY(B3758)+1</f>
        <v>44661</v>
      </c>
      <c r="D3758" s="1" t="e">
        <f aca="false" t="array" ref="D3758:D3758">IF(ISBLANK(_xlfn.xlookup(D$3,daily_items,_xlfn.xlookup($C3758,daily_dates,big_daily_table))),NA(),_xlfn.xlookup(D$3,daily_items,_xlfn.xlookup($C3758,daily_dates,big_daily_table)))</f>
        <v>#NAME?</v>
      </c>
      <c r="E3758" s="1" t="e">
        <f aca="false" t="array" ref="E3758:E3758">IF(ISBLANK(_xlfn.xlookup(E$3,daily_items,_xlfn.xlookup($C3758,daily_dates,big_daily_table))),NA(),_xlfn.xlookup(E$3,daily_items,_xlfn.xlookup($C3758,daily_dates,big_daily_table)))</f>
        <v>#NAME?</v>
      </c>
    </row>
    <row r="3759" customFormat="false" ht="14.25" hidden="false" customHeight="false" outlineLevel="0" collapsed="false">
      <c r="B3759" s="7" t="n">
        <v>44664</v>
      </c>
      <c r="C3759" s="7" t="n">
        <f aca="false">B3759-WEEKDAY(B3759)+1</f>
        <v>44661</v>
      </c>
      <c r="D3759" s="1" t="e">
        <f aca="false" t="array" ref="D3759:D3759">IF(ISBLANK(_xlfn.xlookup(D$3,daily_items,_xlfn.xlookup($C3759,daily_dates,big_daily_table))),NA(),_xlfn.xlookup(D$3,daily_items,_xlfn.xlookup($C3759,daily_dates,big_daily_table)))</f>
        <v>#NAME?</v>
      </c>
      <c r="E3759" s="1" t="e">
        <f aca="false" t="array" ref="E3759:E3759">IF(ISBLANK(_xlfn.xlookup(E$3,daily_items,_xlfn.xlookup($C3759,daily_dates,big_daily_table))),NA(),_xlfn.xlookup(E$3,daily_items,_xlfn.xlookup($C3759,daily_dates,big_daily_table)))</f>
        <v>#NAME?</v>
      </c>
    </row>
    <row r="3760" customFormat="false" ht="14.25" hidden="false" customHeight="false" outlineLevel="0" collapsed="false">
      <c r="B3760" s="7" t="n">
        <v>44665</v>
      </c>
      <c r="C3760" s="7" t="n">
        <f aca="false">B3760-WEEKDAY(B3760)+1</f>
        <v>44661</v>
      </c>
      <c r="D3760" s="1" t="e">
        <f aca="false" t="array" ref="D3760:D3760">IF(ISBLANK(_xlfn.xlookup(D$3,daily_items,_xlfn.xlookup($C3760,daily_dates,big_daily_table))),NA(),_xlfn.xlookup(D$3,daily_items,_xlfn.xlookup($C3760,daily_dates,big_daily_table)))</f>
        <v>#NAME?</v>
      </c>
      <c r="E3760" s="1" t="e">
        <f aca="false" t="array" ref="E3760:E3760">IF(ISBLANK(_xlfn.xlookup(E$3,daily_items,_xlfn.xlookup($C3760,daily_dates,big_daily_table))),NA(),_xlfn.xlookup(E$3,daily_items,_xlfn.xlookup($C3760,daily_dates,big_daily_table)))</f>
        <v>#NAME?</v>
      </c>
    </row>
    <row r="3761" customFormat="false" ht="14.25" hidden="false" customHeight="false" outlineLevel="0" collapsed="false">
      <c r="B3761" s="7" t="n">
        <v>44666</v>
      </c>
      <c r="C3761" s="7" t="n">
        <f aca="false">B3761-WEEKDAY(B3761)+1</f>
        <v>44661</v>
      </c>
      <c r="D3761" s="1" t="e">
        <f aca="false" t="array" ref="D3761:D3761">IF(ISBLANK(_xlfn.xlookup(D$3,daily_items,_xlfn.xlookup($C3761,daily_dates,big_daily_table))),NA(),_xlfn.xlookup(D$3,daily_items,_xlfn.xlookup($C3761,daily_dates,big_daily_table)))</f>
        <v>#NAME?</v>
      </c>
      <c r="E3761" s="1" t="e">
        <f aca="false" t="array" ref="E3761:E3761">IF(ISBLANK(_xlfn.xlookup(E$3,daily_items,_xlfn.xlookup($C3761,daily_dates,big_daily_table))),NA(),_xlfn.xlookup(E$3,daily_items,_xlfn.xlookup($C3761,daily_dates,big_daily_table)))</f>
        <v>#NAME?</v>
      </c>
    </row>
    <row r="3762" customFormat="false" ht="14.25" hidden="false" customHeight="false" outlineLevel="0" collapsed="false">
      <c r="B3762" s="7" t="n">
        <v>44667</v>
      </c>
      <c r="C3762" s="7" t="n">
        <f aca="false">B3762-WEEKDAY(B3762)+1</f>
        <v>44661</v>
      </c>
      <c r="D3762" s="1" t="e">
        <f aca="false" t="array" ref="D3762:D3762">IF(ISBLANK(_xlfn.xlookup(D$3,daily_items,_xlfn.xlookup($C3762,daily_dates,big_daily_table))),NA(),_xlfn.xlookup(D$3,daily_items,_xlfn.xlookup($C3762,daily_dates,big_daily_table)))</f>
        <v>#NAME?</v>
      </c>
      <c r="E3762" s="1" t="e">
        <f aca="false" t="array" ref="E3762:E3762">IF(ISBLANK(_xlfn.xlookup(E$3,daily_items,_xlfn.xlookup($C3762,daily_dates,big_daily_table))),NA(),_xlfn.xlookup(E$3,daily_items,_xlfn.xlookup($C3762,daily_dates,big_daily_table)))</f>
        <v>#NAME?</v>
      </c>
    </row>
    <row r="3763" customFormat="false" ht="14.25" hidden="false" customHeight="false" outlineLevel="0" collapsed="false">
      <c r="B3763" s="7" t="n">
        <v>44668</v>
      </c>
      <c r="C3763" s="7" t="n">
        <f aca="false">B3763-WEEKDAY(B3763)+1</f>
        <v>44668</v>
      </c>
      <c r="D3763" s="1" t="e">
        <f aca="false" t="array" ref="D3763:D3763">IF(ISBLANK(_xlfn.xlookup(D$3,daily_items,_xlfn.xlookup($C3763,daily_dates,big_daily_table))),NA(),_xlfn.xlookup(D$3,daily_items,_xlfn.xlookup($C3763,daily_dates,big_daily_table)))</f>
        <v>#NAME?</v>
      </c>
      <c r="E3763" s="1" t="e">
        <f aca="false" t="array" ref="E3763:E3763">IF(ISBLANK(_xlfn.xlookup(E$3,daily_items,_xlfn.xlookup($C3763,daily_dates,big_daily_table))),NA(),_xlfn.xlookup(E$3,daily_items,_xlfn.xlookup($C3763,daily_dates,big_daily_table)))</f>
        <v>#NAME?</v>
      </c>
    </row>
    <row r="3764" customFormat="false" ht="14.25" hidden="false" customHeight="false" outlineLevel="0" collapsed="false">
      <c r="B3764" s="7" t="n">
        <v>44669</v>
      </c>
      <c r="C3764" s="7" t="n">
        <f aca="false">B3764-WEEKDAY(B3764)+1</f>
        <v>44668</v>
      </c>
      <c r="D3764" s="1" t="e">
        <f aca="false" t="array" ref="D3764:D3764">IF(ISBLANK(_xlfn.xlookup(D$3,daily_items,_xlfn.xlookup($C3764,daily_dates,big_daily_table))),NA(),_xlfn.xlookup(D$3,daily_items,_xlfn.xlookup($C3764,daily_dates,big_daily_table)))</f>
        <v>#NAME?</v>
      </c>
      <c r="E3764" s="1" t="e">
        <f aca="false" t="array" ref="E3764:E3764">IF(ISBLANK(_xlfn.xlookup(E$3,daily_items,_xlfn.xlookup($C3764,daily_dates,big_daily_table))),NA(),_xlfn.xlookup(E$3,daily_items,_xlfn.xlookup($C3764,daily_dates,big_daily_table)))</f>
        <v>#NAME?</v>
      </c>
    </row>
    <row r="3765" customFormat="false" ht="14.25" hidden="false" customHeight="false" outlineLevel="0" collapsed="false">
      <c r="B3765" s="7" t="n">
        <v>44670</v>
      </c>
      <c r="C3765" s="7" t="n">
        <f aca="false">B3765-WEEKDAY(B3765)+1</f>
        <v>44668</v>
      </c>
      <c r="D3765" s="1" t="e">
        <f aca="false" t="array" ref="D3765:D3765">IF(ISBLANK(_xlfn.xlookup(D$3,daily_items,_xlfn.xlookup($C3765,daily_dates,big_daily_table))),NA(),_xlfn.xlookup(D$3,daily_items,_xlfn.xlookup($C3765,daily_dates,big_daily_table)))</f>
        <v>#NAME?</v>
      </c>
      <c r="E3765" s="1" t="e">
        <f aca="false" t="array" ref="E3765:E3765">IF(ISBLANK(_xlfn.xlookup(E$3,daily_items,_xlfn.xlookup($C3765,daily_dates,big_daily_table))),NA(),_xlfn.xlookup(E$3,daily_items,_xlfn.xlookup($C3765,daily_dates,big_daily_table)))</f>
        <v>#NAME?</v>
      </c>
    </row>
    <row r="3766" customFormat="false" ht="14.25" hidden="false" customHeight="false" outlineLevel="0" collapsed="false">
      <c r="B3766" s="7" t="n">
        <v>44671</v>
      </c>
      <c r="C3766" s="7" t="n">
        <f aca="false">B3766-WEEKDAY(B3766)+1</f>
        <v>44668</v>
      </c>
      <c r="D3766" s="1" t="e">
        <f aca="false" t="array" ref="D3766:D3766">IF(ISBLANK(_xlfn.xlookup(D$3,daily_items,_xlfn.xlookup($C3766,daily_dates,big_daily_table))),NA(),_xlfn.xlookup(D$3,daily_items,_xlfn.xlookup($C3766,daily_dates,big_daily_table)))</f>
        <v>#NAME?</v>
      </c>
      <c r="E3766" s="1" t="e">
        <f aca="false" t="array" ref="E3766:E3766">IF(ISBLANK(_xlfn.xlookup(E$3,daily_items,_xlfn.xlookup($C3766,daily_dates,big_daily_table))),NA(),_xlfn.xlookup(E$3,daily_items,_xlfn.xlookup($C3766,daily_dates,big_daily_table)))</f>
        <v>#NAME?</v>
      </c>
    </row>
    <row r="3767" customFormat="false" ht="14.25" hidden="false" customHeight="false" outlineLevel="0" collapsed="false">
      <c r="B3767" s="7" t="n">
        <v>44672</v>
      </c>
      <c r="C3767" s="7" t="n">
        <f aca="false">B3767-WEEKDAY(B3767)+1</f>
        <v>44668</v>
      </c>
      <c r="D3767" s="1" t="e">
        <f aca="false" t="array" ref="D3767:D3767">IF(ISBLANK(_xlfn.xlookup(D$3,daily_items,_xlfn.xlookup($C3767,daily_dates,big_daily_table))),NA(),_xlfn.xlookup(D$3,daily_items,_xlfn.xlookup($C3767,daily_dates,big_daily_table)))</f>
        <v>#NAME?</v>
      </c>
      <c r="E3767" s="1" t="e">
        <f aca="false" t="array" ref="E3767:E3767">IF(ISBLANK(_xlfn.xlookup(E$3,daily_items,_xlfn.xlookup($C3767,daily_dates,big_daily_table))),NA(),_xlfn.xlookup(E$3,daily_items,_xlfn.xlookup($C3767,daily_dates,big_daily_table)))</f>
        <v>#NAME?</v>
      </c>
    </row>
    <row r="3768" customFormat="false" ht="14.25" hidden="false" customHeight="false" outlineLevel="0" collapsed="false">
      <c r="B3768" s="7" t="n">
        <v>44673</v>
      </c>
      <c r="C3768" s="7" t="n">
        <f aca="false">B3768-WEEKDAY(B3768)+1</f>
        <v>44668</v>
      </c>
      <c r="D3768" s="1" t="e">
        <f aca="false" t="array" ref="D3768:D3768">IF(ISBLANK(_xlfn.xlookup(D$3,daily_items,_xlfn.xlookup($C3768,daily_dates,big_daily_table))),NA(),_xlfn.xlookup(D$3,daily_items,_xlfn.xlookup($C3768,daily_dates,big_daily_table)))</f>
        <v>#NAME?</v>
      </c>
      <c r="E3768" s="1" t="e">
        <f aca="false" t="array" ref="E3768:E3768">IF(ISBLANK(_xlfn.xlookup(E$3,daily_items,_xlfn.xlookup($C3768,daily_dates,big_daily_table))),NA(),_xlfn.xlookup(E$3,daily_items,_xlfn.xlookup($C3768,daily_dates,big_daily_table)))</f>
        <v>#NAME?</v>
      </c>
    </row>
    <row r="3769" customFormat="false" ht="14.25" hidden="false" customHeight="false" outlineLevel="0" collapsed="false">
      <c r="B3769" s="7" t="n">
        <v>44674</v>
      </c>
      <c r="C3769" s="7" t="n">
        <f aca="false">B3769-WEEKDAY(B3769)+1</f>
        <v>44668</v>
      </c>
      <c r="D3769" s="1" t="e">
        <f aca="false" t="array" ref="D3769:D3769">IF(ISBLANK(_xlfn.xlookup(D$3,daily_items,_xlfn.xlookup($C3769,daily_dates,big_daily_table))),NA(),_xlfn.xlookup(D$3,daily_items,_xlfn.xlookup($C3769,daily_dates,big_daily_table)))</f>
        <v>#NAME?</v>
      </c>
      <c r="E3769" s="1" t="e">
        <f aca="false" t="array" ref="E3769:E3769">IF(ISBLANK(_xlfn.xlookup(E$3,daily_items,_xlfn.xlookup($C3769,daily_dates,big_daily_table))),NA(),_xlfn.xlookup(E$3,daily_items,_xlfn.xlookup($C3769,daily_dates,big_daily_table)))</f>
        <v>#NAME?</v>
      </c>
    </row>
    <row r="3770" customFormat="false" ht="14.25" hidden="false" customHeight="false" outlineLevel="0" collapsed="false">
      <c r="B3770" s="7" t="n">
        <v>44675</v>
      </c>
      <c r="C3770" s="7" t="n">
        <f aca="false">B3770-WEEKDAY(B3770)+1</f>
        <v>44675</v>
      </c>
      <c r="D3770" s="1" t="e">
        <f aca="false" t="array" ref="D3770:D3770">IF(ISBLANK(_xlfn.xlookup(D$3,daily_items,_xlfn.xlookup($C3770,daily_dates,big_daily_table))),NA(),_xlfn.xlookup(D$3,daily_items,_xlfn.xlookup($C3770,daily_dates,big_daily_table)))</f>
        <v>#NAME?</v>
      </c>
      <c r="E3770" s="1" t="e">
        <f aca="false" t="array" ref="E3770:E3770">IF(ISBLANK(_xlfn.xlookup(E$3,daily_items,_xlfn.xlookup($C3770,daily_dates,big_daily_table))),NA(),_xlfn.xlookup(E$3,daily_items,_xlfn.xlookup($C3770,daily_dates,big_daily_table)))</f>
        <v>#NAME?</v>
      </c>
    </row>
    <row r="3771" customFormat="false" ht="14.25" hidden="false" customHeight="false" outlineLevel="0" collapsed="false">
      <c r="B3771" s="7" t="n">
        <v>44676</v>
      </c>
      <c r="C3771" s="7" t="n">
        <f aca="false">B3771-WEEKDAY(B3771)+1</f>
        <v>44675</v>
      </c>
      <c r="D3771" s="1" t="e">
        <f aca="false" t="array" ref="D3771:D3771">IF(ISBLANK(_xlfn.xlookup(D$3,daily_items,_xlfn.xlookup($C3771,daily_dates,big_daily_table))),NA(),_xlfn.xlookup(D$3,daily_items,_xlfn.xlookup($C3771,daily_dates,big_daily_table)))</f>
        <v>#NAME?</v>
      </c>
      <c r="E3771" s="1" t="e">
        <f aca="false" t="array" ref="E3771:E3771">IF(ISBLANK(_xlfn.xlookup(E$3,daily_items,_xlfn.xlookup($C3771,daily_dates,big_daily_table))),NA(),_xlfn.xlookup(E$3,daily_items,_xlfn.xlookup($C3771,daily_dates,big_daily_table)))</f>
        <v>#NAME?</v>
      </c>
    </row>
    <row r="3772" customFormat="false" ht="14.25" hidden="false" customHeight="false" outlineLevel="0" collapsed="false">
      <c r="B3772" s="7" t="n">
        <v>44677</v>
      </c>
      <c r="C3772" s="7" t="n">
        <f aca="false">B3772-WEEKDAY(B3772)+1</f>
        <v>44675</v>
      </c>
      <c r="D3772" s="1" t="e">
        <f aca="false" t="array" ref="D3772:D3772">IF(ISBLANK(_xlfn.xlookup(D$3,daily_items,_xlfn.xlookup($C3772,daily_dates,big_daily_table))),NA(),_xlfn.xlookup(D$3,daily_items,_xlfn.xlookup($C3772,daily_dates,big_daily_table)))</f>
        <v>#NAME?</v>
      </c>
      <c r="E3772" s="1" t="e">
        <f aca="false" t="array" ref="E3772:E3772">IF(ISBLANK(_xlfn.xlookup(E$3,daily_items,_xlfn.xlookup($C3772,daily_dates,big_daily_table))),NA(),_xlfn.xlookup(E$3,daily_items,_xlfn.xlookup($C3772,daily_dates,big_daily_table)))</f>
        <v>#NAME?</v>
      </c>
    </row>
    <row r="3773" customFormat="false" ht="14.25" hidden="false" customHeight="false" outlineLevel="0" collapsed="false">
      <c r="B3773" s="7" t="n">
        <v>44678</v>
      </c>
      <c r="C3773" s="7" t="n">
        <f aca="false">B3773-WEEKDAY(B3773)+1</f>
        <v>44675</v>
      </c>
      <c r="D3773" s="1" t="e">
        <f aca="false" t="array" ref="D3773:D3773">IF(ISBLANK(_xlfn.xlookup(D$3,daily_items,_xlfn.xlookup($C3773,daily_dates,big_daily_table))),NA(),_xlfn.xlookup(D$3,daily_items,_xlfn.xlookup($C3773,daily_dates,big_daily_table)))</f>
        <v>#NAME?</v>
      </c>
      <c r="E3773" s="1" t="e">
        <f aca="false" t="array" ref="E3773:E3773">IF(ISBLANK(_xlfn.xlookup(E$3,daily_items,_xlfn.xlookup($C3773,daily_dates,big_daily_table))),NA(),_xlfn.xlookup(E$3,daily_items,_xlfn.xlookup($C3773,daily_dates,big_daily_table)))</f>
        <v>#NAME?</v>
      </c>
    </row>
    <row r="3774" customFormat="false" ht="14.25" hidden="false" customHeight="false" outlineLevel="0" collapsed="false">
      <c r="B3774" s="7" t="n">
        <v>44679</v>
      </c>
      <c r="C3774" s="7" t="n">
        <f aca="false">B3774-WEEKDAY(B3774)+1</f>
        <v>44675</v>
      </c>
      <c r="D3774" s="1" t="e">
        <f aca="false" t="array" ref="D3774:D3774">IF(ISBLANK(_xlfn.xlookup(D$3,daily_items,_xlfn.xlookup($C3774,daily_dates,big_daily_table))),NA(),_xlfn.xlookup(D$3,daily_items,_xlfn.xlookup($C3774,daily_dates,big_daily_table)))</f>
        <v>#NAME?</v>
      </c>
      <c r="E3774" s="1" t="e">
        <f aca="false" t="array" ref="E3774:E3774">IF(ISBLANK(_xlfn.xlookup(E$3,daily_items,_xlfn.xlookup($C3774,daily_dates,big_daily_table))),NA(),_xlfn.xlookup(E$3,daily_items,_xlfn.xlookup($C3774,daily_dates,big_daily_table)))</f>
        <v>#NAME?</v>
      </c>
    </row>
    <row r="3775" customFormat="false" ht="14.25" hidden="false" customHeight="false" outlineLevel="0" collapsed="false">
      <c r="B3775" s="7" t="n">
        <v>44680</v>
      </c>
      <c r="C3775" s="7" t="n">
        <f aca="false">B3775-WEEKDAY(B3775)+1</f>
        <v>44675</v>
      </c>
      <c r="D3775" s="1" t="e">
        <f aca="false" t="array" ref="D3775:D3775">IF(ISBLANK(_xlfn.xlookup(D$3,daily_items,_xlfn.xlookup($C3775,daily_dates,big_daily_table))),NA(),_xlfn.xlookup(D$3,daily_items,_xlfn.xlookup($C3775,daily_dates,big_daily_table)))</f>
        <v>#NAME?</v>
      </c>
      <c r="E3775" s="1" t="e">
        <f aca="false" t="array" ref="E3775:E3775">IF(ISBLANK(_xlfn.xlookup(E$3,daily_items,_xlfn.xlookup($C3775,daily_dates,big_daily_table))),NA(),_xlfn.xlookup(E$3,daily_items,_xlfn.xlookup($C3775,daily_dates,big_daily_table)))</f>
        <v>#NAME?</v>
      </c>
    </row>
    <row r="3776" customFormat="false" ht="14.25" hidden="false" customHeight="false" outlineLevel="0" collapsed="false">
      <c r="B3776" s="7" t="n">
        <v>44681</v>
      </c>
      <c r="C3776" s="7" t="n">
        <f aca="false">B3776-WEEKDAY(B3776)+1</f>
        <v>44675</v>
      </c>
      <c r="D3776" s="1" t="e">
        <f aca="false" t="array" ref="D3776:D3776">IF(ISBLANK(_xlfn.xlookup(D$3,daily_items,_xlfn.xlookup($C3776,daily_dates,big_daily_table))),NA(),_xlfn.xlookup(D$3,daily_items,_xlfn.xlookup($C3776,daily_dates,big_daily_table)))</f>
        <v>#NAME?</v>
      </c>
      <c r="E3776" s="1" t="e">
        <f aca="false" t="array" ref="E3776:E3776">IF(ISBLANK(_xlfn.xlookup(E$3,daily_items,_xlfn.xlookup($C3776,daily_dates,big_daily_table))),NA(),_xlfn.xlookup(E$3,daily_items,_xlfn.xlookup($C3776,daily_dates,big_daily_table)))</f>
        <v>#NAME?</v>
      </c>
    </row>
    <row r="3777" customFormat="false" ht="14.25" hidden="false" customHeight="false" outlineLevel="0" collapsed="false">
      <c r="B3777" s="7" t="n">
        <v>44682</v>
      </c>
      <c r="C3777" s="7" t="n">
        <f aca="false">B3777-WEEKDAY(B3777)+1</f>
        <v>44682</v>
      </c>
      <c r="D3777" s="1" t="e">
        <f aca="false" t="array" ref="D3777:D3777">IF(ISBLANK(_xlfn.xlookup(D$3,daily_items,_xlfn.xlookup($C3777,daily_dates,big_daily_table))),NA(),_xlfn.xlookup(D$3,daily_items,_xlfn.xlookup($C3777,daily_dates,big_daily_table)))</f>
        <v>#NAME?</v>
      </c>
      <c r="E3777" s="1" t="e">
        <f aca="false" t="array" ref="E3777:E3777">IF(ISBLANK(_xlfn.xlookup(E$3,daily_items,_xlfn.xlookup($C3777,daily_dates,big_daily_table))),NA(),_xlfn.xlookup(E$3,daily_items,_xlfn.xlookup($C3777,daily_dates,big_daily_table)))</f>
        <v>#NAME?</v>
      </c>
    </row>
    <row r="3778" customFormat="false" ht="14.25" hidden="false" customHeight="false" outlineLevel="0" collapsed="false">
      <c r="B3778" s="7" t="n">
        <v>44683</v>
      </c>
      <c r="C3778" s="7" t="n">
        <f aca="false">B3778-WEEKDAY(B3778)+1</f>
        <v>44682</v>
      </c>
      <c r="D3778" s="1" t="e">
        <f aca="false" t="array" ref="D3778:D3778">IF(ISBLANK(_xlfn.xlookup(D$3,daily_items,_xlfn.xlookup($C3778,daily_dates,big_daily_table))),NA(),_xlfn.xlookup(D$3,daily_items,_xlfn.xlookup($C3778,daily_dates,big_daily_table)))</f>
        <v>#NAME?</v>
      </c>
      <c r="E3778" s="1" t="e">
        <f aca="false" t="array" ref="E3778:E3778">IF(ISBLANK(_xlfn.xlookup(E$3,daily_items,_xlfn.xlookup($C3778,daily_dates,big_daily_table))),NA(),_xlfn.xlookup(E$3,daily_items,_xlfn.xlookup($C3778,daily_dates,big_daily_table)))</f>
        <v>#NAME?</v>
      </c>
    </row>
    <row r="3779" customFormat="false" ht="14.25" hidden="false" customHeight="false" outlineLevel="0" collapsed="false">
      <c r="B3779" s="7" t="n">
        <v>44684</v>
      </c>
      <c r="C3779" s="7" t="n">
        <f aca="false">B3779-WEEKDAY(B3779)+1</f>
        <v>44682</v>
      </c>
      <c r="D3779" s="1" t="e">
        <f aca="false" t="array" ref="D3779:D3779">IF(ISBLANK(_xlfn.xlookup(D$3,daily_items,_xlfn.xlookup($C3779,daily_dates,big_daily_table))),NA(),_xlfn.xlookup(D$3,daily_items,_xlfn.xlookup($C3779,daily_dates,big_daily_table)))</f>
        <v>#NAME?</v>
      </c>
      <c r="E3779" s="1" t="e">
        <f aca="false" t="array" ref="E3779:E3779">IF(ISBLANK(_xlfn.xlookup(E$3,daily_items,_xlfn.xlookup($C3779,daily_dates,big_daily_table))),NA(),_xlfn.xlookup(E$3,daily_items,_xlfn.xlookup($C3779,daily_dates,big_daily_table)))</f>
        <v>#NAME?</v>
      </c>
    </row>
    <row r="3780" customFormat="false" ht="14.25" hidden="false" customHeight="false" outlineLevel="0" collapsed="false">
      <c r="B3780" s="7" t="n">
        <v>44685</v>
      </c>
      <c r="C3780" s="7" t="n">
        <f aca="false">B3780-WEEKDAY(B3780)+1</f>
        <v>44682</v>
      </c>
      <c r="D3780" s="1" t="e">
        <f aca="false" t="array" ref="D3780:D3780">IF(ISBLANK(_xlfn.xlookup(D$3,daily_items,_xlfn.xlookup($C3780,daily_dates,big_daily_table))),NA(),_xlfn.xlookup(D$3,daily_items,_xlfn.xlookup($C3780,daily_dates,big_daily_table)))</f>
        <v>#NAME?</v>
      </c>
      <c r="E3780" s="1" t="e">
        <f aca="false" t="array" ref="E3780:E3780">IF(ISBLANK(_xlfn.xlookup(E$3,daily_items,_xlfn.xlookup($C3780,daily_dates,big_daily_table))),NA(),_xlfn.xlookup(E$3,daily_items,_xlfn.xlookup($C3780,daily_dates,big_daily_table)))</f>
        <v>#NAME?</v>
      </c>
    </row>
    <row r="3781" customFormat="false" ht="14.25" hidden="false" customHeight="false" outlineLevel="0" collapsed="false">
      <c r="B3781" s="7" t="n">
        <v>44686</v>
      </c>
      <c r="C3781" s="7" t="n">
        <f aca="false">B3781-WEEKDAY(B3781)+1</f>
        <v>44682</v>
      </c>
      <c r="D3781" s="1" t="e">
        <f aca="false" t="array" ref="D3781:D3781">IF(ISBLANK(_xlfn.xlookup(D$3,daily_items,_xlfn.xlookup($C3781,daily_dates,big_daily_table))),NA(),_xlfn.xlookup(D$3,daily_items,_xlfn.xlookup($C3781,daily_dates,big_daily_table)))</f>
        <v>#NAME?</v>
      </c>
      <c r="E3781" s="1" t="e">
        <f aca="false" t="array" ref="E3781:E3781">IF(ISBLANK(_xlfn.xlookup(E$3,daily_items,_xlfn.xlookup($C3781,daily_dates,big_daily_table))),NA(),_xlfn.xlookup(E$3,daily_items,_xlfn.xlookup($C3781,daily_dates,big_daily_table)))</f>
        <v>#NAME?</v>
      </c>
    </row>
    <row r="3782" customFormat="false" ht="14.25" hidden="false" customHeight="false" outlineLevel="0" collapsed="false">
      <c r="B3782" s="7" t="n">
        <v>44687</v>
      </c>
      <c r="C3782" s="7" t="n">
        <f aca="false">B3782-WEEKDAY(B3782)+1</f>
        <v>44682</v>
      </c>
      <c r="D3782" s="1" t="e">
        <f aca="false" t="array" ref="D3782:D3782">IF(ISBLANK(_xlfn.xlookup(D$3,daily_items,_xlfn.xlookup($C3782,daily_dates,big_daily_table))),NA(),_xlfn.xlookup(D$3,daily_items,_xlfn.xlookup($C3782,daily_dates,big_daily_table)))</f>
        <v>#NAME?</v>
      </c>
      <c r="E3782" s="1" t="e">
        <f aca="false" t="array" ref="E3782:E3782">IF(ISBLANK(_xlfn.xlookup(E$3,daily_items,_xlfn.xlookup($C3782,daily_dates,big_daily_table))),NA(),_xlfn.xlookup(E$3,daily_items,_xlfn.xlookup($C3782,daily_dates,big_daily_table)))</f>
        <v>#NAME?</v>
      </c>
    </row>
    <row r="3783" customFormat="false" ht="14.25" hidden="false" customHeight="false" outlineLevel="0" collapsed="false">
      <c r="B3783" s="7" t="n">
        <v>44688</v>
      </c>
      <c r="C3783" s="7" t="n">
        <f aca="false">B3783-WEEKDAY(B3783)+1</f>
        <v>44682</v>
      </c>
      <c r="D3783" s="1" t="e">
        <f aca="false" t="array" ref="D3783:D3783">IF(ISBLANK(_xlfn.xlookup(D$3,daily_items,_xlfn.xlookup($C3783,daily_dates,big_daily_table))),NA(),_xlfn.xlookup(D$3,daily_items,_xlfn.xlookup($C3783,daily_dates,big_daily_table)))</f>
        <v>#NAME?</v>
      </c>
      <c r="E3783" s="1" t="e">
        <f aca="false" t="array" ref="E3783:E3783">IF(ISBLANK(_xlfn.xlookup(E$3,daily_items,_xlfn.xlookup($C3783,daily_dates,big_daily_table))),NA(),_xlfn.xlookup(E$3,daily_items,_xlfn.xlookup($C3783,daily_dates,big_daily_table)))</f>
        <v>#NAME?</v>
      </c>
    </row>
    <row r="3784" customFormat="false" ht="14.25" hidden="false" customHeight="false" outlineLevel="0" collapsed="false">
      <c r="B3784" s="7" t="n">
        <v>44689</v>
      </c>
      <c r="C3784" s="7" t="n">
        <f aca="false">B3784-WEEKDAY(B3784)+1</f>
        <v>44689</v>
      </c>
      <c r="D3784" s="1" t="e">
        <f aca="false" t="array" ref="D3784:D3784">IF(ISBLANK(_xlfn.xlookup(D$3,daily_items,_xlfn.xlookup($C3784,daily_dates,big_daily_table))),NA(),_xlfn.xlookup(D$3,daily_items,_xlfn.xlookup($C3784,daily_dates,big_daily_table)))</f>
        <v>#NAME?</v>
      </c>
      <c r="E3784" s="1" t="e">
        <f aca="false" t="array" ref="E3784:E3784">IF(ISBLANK(_xlfn.xlookup(E$3,daily_items,_xlfn.xlookup($C3784,daily_dates,big_daily_table))),NA(),_xlfn.xlookup(E$3,daily_items,_xlfn.xlookup($C3784,daily_dates,big_daily_table)))</f>
        <v>#NAME?</v>
      </c>
    </row>
    <row r="3785" customFormat="false" ht="14.25" hidden="false" customHeight="false" outlineLevel="0" collapsed="false">
      <c r="B3785" s="7" t="n">
        <v>44690</v>
      </c>
      <c r="C3785" s="7" t="n">
        <f aca="false">B3785-WEEKDAY(B3785)+1</f>
        <v>44689</v>
      </c>
      <c r="D3785" s="1" t="e">
        <f aca="false" t="array" ref="D3785:D3785">IF(ISBLANK(_xlfn.xlookup(D$3,daily_items,_xlfn.xlookup($C3785,daily_dates,big_daily_table))),NA(),_xlfn.xlookup(D$3,daily_items,_xlfn.xlookup($C3785,daily_dates,big_daily_table)))</f>
        <v>#NAME?</v>
      </c>
      <c r="E3785" s="1" t="e">
        <f aca="false" t="array" ref="E3785:E3785">IF(ISBLANK(_xlfn.xlookup(E$3,daily_items,_xlfn.xlookup($C3785,daily_dates,big_daily_table))),NA(),_xlfn.xlookup(E$3,daily_items,_xlfn.xlookup($C3785,daily_dates,big_daily_table)))</f>
        <v>#NAME?</v>
      </c>
    </row>
    <row r="3786" customFormat="false" ht="14.25" hidden="false" customHeight="false" outlineLevel="0" collapsed="false">
      <c r="B3786" s="7" t="n">
        <v>44691</v>
      </c>
      <c r="C3786" s="7" t="n">
        <f aca="false">B3786-WEEKDAY(B3786)+1</f>
        <v>44689</v>
      </c>
      <c r="D3786" s="1" t="e">
        <f aca="false" t="array" ref="D3786:D3786">IF(ISBLANK(_xlfn.xlookup(D$3,daily_items,_xlfn.xlookup($C3786,daily_dates,big_daily_table))),NA(),_xlfn.xlookup(D$3,daily_items,_xlfn.xlookup($C3786,daily_dates,big_daily_table)))</f>
        <v>#NAME?</v>
      </c>
      <c r="E3786" s="1" t="e">
        <f aca="false" t="array" ref="E3786:E3786">IF(ISBLANK(_xlfn.xlookup(E$3,daily_items,_xlfn.xlookup($C3786,daily_dates,big_daily_table))),NA(),_xlfn.xlookup(E$3,daily_items,_xlfn.xlookup($C3786,daily_dates,big_daily_table)))</f>
        <v>#NAME?</v>
      </c>
    </row>
    <row r="3787" customFormat="false" ht="14.25" hidden="false" customHeight="false" outlineLevel="0" collapsed="false">
      <c r="B3787" s="7" t="n">
        <v>44692</v>
      </c>
      <c r="C3787" s="7" t="n">
        <f aca="false">B3787-WEEKDAY(B3787)+1</f>
        <v>44689</v>
      </c>
      <c r="D3787" s="1" t="e">
        <f aca="false" t="array" ref="D3787:D3787">IF(ISBLANK(_xlfn.xlookup(D$3,daily_items,_xlfn.xlookup($C3787,daily_dates,big_daily_table))),NA(),_xlfn.xlookup(D$3,daily_items,_xlfn.xlookup($C3787,daily_dates,big_daily_table)))</f>
        <v>#NAME?</v>
      </c>
      <c r="E3787" s="1" t="e">
        <f aca="false" t="array" ref="E3787:E3787">IF(ISBLANK(_xlfn.xlookup(E$3,daily_items,_xlfn.xlookup($C3787,daily_dates,big_daily_table))),NA(),_xlfn.xlookup(E$3,daily_items,_xlfn.xlookup($C3787,daily_dates,big_daily_table)))</f>
        <v>#NAME?</v>
      </c>
    </row>
    <row r="3788" customFormat="false" ht="14.25" hidden="false" customHeight="false" outlineLevel="0" collapsed="false">
      <c r="B3788" s="7" t="n">
        <v>44693</v>
      </c>
      <c r="C3788" s="7" t="n">
        <f aca="false">B3788-WEEKDAY(B3788)+1</f>
        <v>44689</v>
      </c>
      <c r="D3788" s="1" t="e">
        <f aca="false" t="array" ref="D3788:D3788">IF(ISBLANK(_xlfn.xlookup(D$3,daily_items,_xlfn.xlookup($C3788,daily_dates,big_daily_table))),NA(),_xlfn.xlookup(D$3,daily_items,_xlfn.xlookup($C3788,daily_dates,big_daily_table)))</f>
        <v>#NAME?</v>
      </c>
      <c r="E3788" s="1" t="e">
        <f aca="false" t="array" ref="E3788:E3788">IF(ISBLANK(_xlfn.xlookup(E$3,daily_items,_xlfn.xlookup($C3788,daily_dates,big_daily_table))),NA(),_xlfn.xlookup(E$3,daily_items,_xlfn.xlookup($C3788,daily_dates,big_daily_table)))</f>
        <v>#NAME?</v>
      </c>
    </row>
    <row r="3789" customFormat="false" ht="14.25" hidden="false" customHeight="false" outlineLevel="0" collapsed="false">
      <c r="B3789" s="7" t="n">
        <v>44694</v>
      </c>
      <c r="C3789" s="7" t="n">
        <f aca="false">B3789-WEEKDAY(B3789)+1</f>
        <v>44689</v>
      </c>
      <c r="D3789" s="1" t="e">
        <f aca="false" t="array" ref="D3789:D3789">IF(ISBLANK(_xlfn.xlookup(D$3,daily_items,_xlfn.xlookup($C3789,daily_dates,big_daily_table))),NA(),_xlfn.xlookup(D$3,daily_items,_xlfn.xlookup($C3789,daily_dates,big_daily_table)))</f>
        <v>#NAME?</v>
      </c>
      <c r="E3789" s="1" t="e">
        <f aca="false" t="array" ref="E3789:E3789">IF(ISBLANK(_xlfn.xlookup(E$3,daily_items,_xlfn.xlookup($C3789,daily_dates,big_daily_table))),NA(),_xlfn.xlookup(E$3,daily_items,_xlfn.xlookup($C3789,daily_dates,big_daily_table)))</f>
        <v>#NAME?</v>
      </c>
    </row>
    <row r="3790" customFormat="false" ht="14.25" hidden="false" customHeight="false" outlineLevel="0" collapsed="false">
      <c r="B3790" s="7" t="n">
        <v>44695</v>
      </c>
      <c r="C3790" s="7" t="n">
        <f aca="false">B3790-WEEKDAY(B3790)+1</f>
        <v>44689</v>
      </c>
      <c r="D3790" s="1" t="e">
        <f aca="false" t="array" ref="D3790:D3790">IF(ISBLANK(_xlfn.xlookup(D$3,daily_items,_xlfn.xlookup($C3790,daily_dates,big_daily_table))),NA(),_xlfn.xlookup(D$3,daily_items,_xlfn.xlookup($C3790,daily_dates,big_daily_table)))</f>
        <v>#NAME?</v>
      </c>
      <c r="E3790" s="1" t="e">
        <f aca="false" t="array" ref="E3790:E3790">IF(ISBLANK(_xlfn.xlookup(E$3,daily_items,_xlfn.xlookup($C3790,daily_dates,big_daily_table))),NA(),_xlfn.xlookup(E$3,daily_items,_xlfn.xlookup($C3790,daily_dates,big_daily_table)))</f>
        <v>#NAME?</v>
      </c>
    </row>
    <row r="3791" customFormat="false" ht="14.25" hidden="false" customHeight="false" outlineLevel="0" collapsed="false">
      <c r="B3791" s="7" t="n">
        <v>44696</v>
      </c>
      <c r="C3791" s="7" t="n">
        <f aca="false">B3791-WEEKDAY(B3791)+1</f>
        <v>44696</v>
      </c>
      <c r="D3791" s="1" t="e">
        <f aca="false" t="array" ref="D3791:D3791">IF(ISBLANK(_xlfn.xlookup(D$3,daily_items,_xlfn.xlookup($C3791,daily_dates,big_daily_table))),NA(),_xlfn.xlookup(D$3,daily_items,_xlfn.xlookup($C3791,daily_dates,big_daily_table)))</f>
        <v>#NAME?</v>
      </c>
      <c r="E3791" s="1" t="e">
        <f aca="false" t="array" ref="E3791:E3791">IF(ISBLANK(_xlfn.xlookup(E$3,daily_items,_xlfn.xlookup($C3791,daily_dates,big_daily_table))),NA(),_xlfn.xlookup(E$3,daily_items,_xlfn.xlookup($C3791,daily_dates,big_daily_table)))</f>
        <v>#NAME?</v>
      </c>
    </row>
    <row r="3792" customFormat="false" ht="14.25" hidden="false" customHeight="false" outlineLevel="0" collapsed="false">
      <c r="B3792" s="7" t="n">
        <v>44697</v>
      </c>
      <c r="C3792" s="7" t="n">
        <f aca="false">B3792-WEEKDAY(B3792)+1</f>
        <v>44696</v>
      </c>
      <c r="D3792" s="1" t="e">
        <f aca="false" t="array" ref="D3792:D3792">IF(ISBLANK(_xlfn.xlookup(D$3,daily_items,_xlfn.xlookup($C3792,daily_dates,big_daily_table))),NA(),_xlfn.xlookup(D$3,daily_items,_xlfn.xlookup($C3792,daily_dates,big_daily_table)))</f>
        <v>#NAME?</v>
      </c>
      <c r="E3792" s="1" t="e">
        <f aca="false" t="array" ref="E3792:E3792">IF(ISBLANK(_xlfn.xlookup(E$3,daily_items,_xlfn.xlookup($C3792,daily_dates,big_daily_table))),NA(),_xlfn.xlookup(E$3,daily_items,_xlfn.xlookup($C3792,daily_dates,big_daily_table)))</f>
        <v>#NAME?</v>
      </c>
    </row>
    <row r="3793" customFormat="false" ht="14.25" hidden="false" customHeight="false" outlineLevel="0" collapsed="false">
      <c r="B3793" s="7" t="n">
        <v>44698</v>
      </c>
      <c r="C3793" s="7" t="n">
        <f aca="false">B3793-WEEKDAY(B3793)+1</f>
        <v>44696</v>
      </c>
      <c r="D3793" s="1" t="e">
        <f aca="false" t="array" ref="D3793:D3793">IF(ISBLANK(_xlfn.xlookup(D$3,daily_items,_xlfn.xlookup($C3793,daily_dates,big_daily_table))),NA(),_xlfn.xlookup(D$3,daily_items,_xlfn.xlookup($C3793,daily_dates,big_daily_table)))</f>
        <v>#NAME?</v>
      </c>
      <c r="E3793" s="1" t="e">
        <f aca="false" t="array" ref="E3793:E3793">IF(ISBLANK(_xlfn.xlookup(E$3,daily_items,_xlfn.xlookup($C3793,daily_dates,big_daily_table))),NA(),_xlfn.xlookup(E$3,daily_items,_xlfn.xlookup($C3793,daily_dates,big_daily_table)))</f>
        <v>#NAME?</v>
      </c>
    </row>
    <row r="3794" customFormat="false" ht="14.25" hidden="false" customHeight="false" outlineLevel="0" collapsed="false">
      <c r="B3794" s="7" t="n">
        <v>44699</v>
      </c>
      <c r="C3794" s="7" t="n">
        <f aca="false">B3794-WEEKDAY(B3794)+1</f>
        <v>44696</v>
      </c>
      <c r="D3794" s="1" t="e">
        <f aca="false" t="array" ref="D3794:D3794">IF(ISBLANK(_xlfn.xlookup(D$3,daily_items,_xlfn.xlookup($C3794,daily_dates,big_daily_table))),NA(),_xlfn.xlookup(D$3,daily_items,_xlfn.xlookup($C3794,daily_dates,big_daily_table)))</f>
        <v>#NAME?</v>
      </c>
      <c r="E3794" s="1" t="e">
        <f aca="false" t="array" ref="E3794:E3794">IF(ISBLANK(_xlfn.xlookup(E$3,daily_items,_xlfn.xlookup($C3794,daily_dates,big_daily_table))),NA(),_xlfn.xlookup(E$3,daily_items,_xlfn.xlookup($C3794,daily_dates,big_daily_table)))</f>
        <v>#NAME?</v>
      </c>
    </row>
    <row r="3795" customFormat="false" ht="14.25" hidden="false" customHeight="false" outlineLevel="0" collapsed="false">
      <c r="B3795" s="7" t="n">
        <v>44700</v>
      </c>
      <c r="C3795" s="7" t="n">
        <f aca="false">B3795-WEEKDAY(B3795)+1</f>
        <v>44696</v>
      </c>
      <c r="D3795" s="1" t="e">
        <f aca="false" t="array" ref="D3795:D3795">IF(ISBLANK(_xlfn.xlookup(D$3,daily_items,_xlfn.xlookup($C3795,daily_dates,big_daily_table))),NA(),_xlfn.xlookup(D$3,daily_items,_xlfn.xlookup($C3795,daily_dates,big_daily_table)))</f>
        <v>#NAME?</v>
      </c>
      <c r="E3795" s="1" t="e">
        <f aca="false" t="array" ref="E3795:E3795">IF(ISBLANK(_xlfn.xlookup(E$3,daily_items,_xlfn.xlookup($C3795,daily_dates,big_daily_table))),NA(),_xlfn.xlookup(E$3,daily_items,_xlfn.xlookup($C3795,daily_dates,big_daily_table)))</f>
        <v>#NAME?</v>
      </c>
    </row>
    <row r="3796" customFormat="false" ht="14.25" hidden="false" customHeight="false" outlineLevel="0" collapsed="false">
      <c r="B3796" s="7" t="n">
        <v>44701</v>
      </c>
      <c r="C3796" s="7" t="n">
        <f aca="false">B3796-WEEKDAY(B3796)+1</f>
        <v>44696</v>
      </c>
      <c r="D3796" s="1" t="e">
        <f aca="false" t="array" ref="D3796:D3796">IF(ISBLANK(_xlfn.xlookup(D$3,daily_items,_xlfn.xlookup($C3796,daily_dates,big_daily_table))),NA(),_xlfn.xlookup(D$3,daily_items,_xlfn.xlookup($C3796,daily_dates,big_daily_table)))</f>
        <v>#NAME?</v>
      </c>
      <c r="E3796" s="1" t="e">
        <f aca="false" t="array" ref="E3796:E3796">IF(ISBLANK(_xlfn.xlookup(E$3,daily_items,_xlfn.xlookup($C3796,daily_dates,big_daily_table))),NA(),_xlfn.xlookup(E$3,daily_items,_xlfn.xlookup($C3796,daily_dates,big_daily_table)))</f>
        <v>#NAME?</v>
      </c>
    </row>
    <row r="3797" customFormat="false" ht="14.25" hidden="false" customHeight="false" outlineLevel="0" collapsed="false">
      <c r="B3797" s="7" t="n">
        <v>44702</v>
      </c>
      <c r="C3797" s="7" t="n">
        <f aca="false">B3797-WEEKDAY(B3797)+1</f>
        <v>44696</v>
      </c>
      <c r="D3797" s="1" t="e">
        <f aca="false" t="array" ref="D3797:D3797">IF(ISBLANK(_xlfn.xlookup(D$3,daily_items,_xlfn.xlookup($C3797,daily_dates,big_daily_table))),NA(),_xlfn.xlookup(D$3,daily_items,_xlfn.xlookup($C3797,daily_dates,big_daily_table)))</f>
        <v>#NAME?</v>
      </c>
      <c r="E3797" s="1" t="e">
        <f aca="false" t="array" ref="E3797:E3797">IF(ISBLANK(_xlfn.xlookup(E$3,daily_items,_xlfn.xlookup($C3797,daily_dates,big_daily_table))),NA(),_xlfn.xlookup(E$3,daily_items,_xlfn.xlookup($C3797,daily_dates,big_daily_table)))</f>
        <v>#NAME?</v>
      </c>
    </row>
    <row r="3798" customFormat="false" ht="14.25" hidden="false" customHeight="false" outlineLevel="0" collapsed="false">
      <c r="B3798" s="7" t="n">
        <v>44703</v>
      </c>
      <c r="C3798" s="7" t="n">
        <f aca="false">B3798-WEEKDAY(B3798)+1</f>
        <v>44703</v>
      </c>
      <c r="D3798" s="1" t="e">
        <f aca="false" t="array" ref="D3798:D3798">IF(ISBLANK(_xlfn.xlookup(D$3,daily_items,_xlfn.xlookup($C3798,daily_dates,big_daily_table))),NA(),_xlfn.xlookup(D$3,daily_items,_xlfn.xlookup($C3798,daily_dates,big_daily_table)))</f>
        <v>#NAME?</v>
      </c>
      <c r="E3798" s="1" t="e">
        <f aca="false" t="array" ref="E3798:E3798">IF(ISBLANK(_xlfn.xlookup(E$3,daily_items,_xlfn.xlookup($C3798,daily_dates,big_daily_table))),NA(),_xlfn.xlookup(E$3,daily_items,_xlfn.xlookup($C3798,daily_dates,big_daily_table)))</f>
        <v>#NAME?</v>
      </c>
    </row>
    <row r="3799" customFormat="false" ht="14.25" hidden="false" customHeight="false" outlineLevel="0" collapsed="false">
      <c r="B3799" s="7" t="n">
        <v>44704</v>
      </c>
      <c r="C3799" s="7" t="n">
        <f aca="false">B3799-WEEKDAY(B3799)+1</f>
        <v>44703</v>
      </c>
      <c r="D3799" s="1" t="e">
        <f aca="false" t="array" ref="D3799:D3799">IF(ISBLANK(_xlfn.xlookup(D$3,daily_items,_xlfn.xlookup($C3799,daily_dates,big_daily_table))),NA(),_xlfn.xlookup(D$3,daily_items,_xlfn.xlookup($C3799,daily_dates,big_daily_table)))</f>
        <v>#NAME?</v>
      </c>
      <c r="E3799" s="1" t="e">
        <f aca="false" t="array" ref="E3799:E3799">IF(ISBLANK(_xlfn.xlookup(E$3,daily_items,_xlfn.xlookup($C3799,daily_dates,big_daily_table))),NA(),_xlfn.xlookup(E$3,daily_items,_xlfn.xlookup($C3799,daily_dates,big_daily_table)))</f>
        <v>#NAME?</v>
      </c>
    </row>
    <row r="3800" customFormat="false" ht="14.25" hidden="false" customHeight="false" outlineLevel="0" collapsed="false">
      <c r="B3800" s="7" t="n">
        <v>44705</v>
      </c>
      <c r="C3800" s="7" t="n">
        <f aca="false">B3800-WEEKDAY(B3800)+1</f>
        <v>44703</v>
      </c>
      <c r="D3800" s="1" t="e">
        <f aca="false" t="array" ref="D3800:D3800">IF(ISBLANK(_xlfn.xlookup(D$3,daily_items,_xlfn.xlookup($C3800,daily_dates,big_daily_table))),NA(),_xlfn.xlookup(D$3,daily_items,_xlfn.xlookup($C3800,daily_dates,big_daily_table)))</f>
        <v>#NAME?</v>
      </c>
      <c r="E3800" s="1" t="e">
        <f aca="false" t="array" ref="E3800:E3800">IF(ISBLANK(_xlfn.xlookup(E$3,daily_items,_xlfn.xlookup($C3800,daily_dates,big_daily_table))),NA(),_xlfn.xlookup(E$3,daily_items,_xlfn.xlookup($C3800,daily_dates,big_daily_table)))</f>
        <v>#NAME?</v>
      </c>
    </row>
    <row r="3801" customFormat="false" ht="14.25" hidden="false" customHeight="false" outlineLevel="0" collapsed="false">
      <c r="B3801" s="7" t="n">
        <v>44706</v>
      </c>
      <c r="C3801" s="7" t="n">
        <f aca="false">B3801-WEEKDAY(B3801)+1</f>
        <v>44703</v>
      </c>
      <c r="D3801" s="1" t="e">
        <f aca="false" t="array" ref="D3801:D3801">IF(ISBLANK(_xlfn.xlookup(D$3,daily_items,_xlfn.xlookup($C3801,daily_dates,big_daily_table))),NA(),_xlfn.xlookup(D$3,daily_items,_xlfn.xlookup($C3801,daily_dates,big_daily_table)))</f>
        <v>#NAME?</v>
      </c>
      <c r="E3801" s="1" t="e">
        <f aca="false" t="array" ref="E3801:E3801">IF(ISBLANK(_xlfn.xlookup(E$3,daily_items,_xlfn.xlookup($C3801,daily_dates,big_daily_table))),NA(),_xlfn.xlookup(E$3,daily_items,_xlfn.xlookup($C3801,daily_dates,big_daily_table)))</f>
        <v>#NAME?</v>
      </c>
    </row>
    <row r="3802" customFormat="false" ht="14.25" hidden="false" customHeight="false" outlineLevel="0" collapsed="false">
      <c r="B3802" s="7" t="n">
        <v>44707</v>
      </c>
      <c r="C3802" s="7" t="n">
        <f aca="false">B3802-WEEKDAY(B3802)+1</f>
        <v>44703</v>
      </c>
      <c r="D3802" s="1" t="e">
        <f aca="false" t="array" ref="D3802:D3802">IF(ISBLANK(_xlfn.xlookup(D$3,daily_items,_xlfn.xlookup($C3802,daily_dates,big_daily_table))),NA(),_xlfn.xlookup(D$3,daily_items,_xlfn.xlookup($C3802,daily_dates,big_daily_table)))</f>
        <v>#NAME?</v>
      </c>
      <c r="E3802" s="1" t="e">
        <f aca="false" t="array" ref="E3802:E3802">IF(ISBLANK(_xlfn.xlookup(E$3,daily_items,_xlfn.xlookup($C3802,daily_dates,big_daily_table))),NA(),_xlfn.xlookup(E$3,daily_items,_xlfn.xlookup($C3802,daily_dates,big_daily_table)))</f>
        <v>#NAME?</v>
      </c>
    </row>
    <row r="3803" customFormat="false" ht="14.25" hidden="false" customHeight="false" outlineLevel="0" collapsed="false">
      <c r="B3803" s="7" t="n">
        <v>44708</v>
      </c>
      <c r="C3803" s="7" t="n">
        <f aca="false">B3803-WEEKDAY(B3803)+1</f>
        <v>44703</v>
      </c>
      <c r="D3803" s="1" t="e">
        <f aca="false" t="array" ref="D3803:D3803">IF(ISBLANK(_xlfn.xlookup(D$3,daily_items,_xlfn.xlookup($C3803,daily_dates,big_daily_table))),NA(),_xlfn.xlookup(D$3,daily_items,_xlfn.xlookup($C3803,daily_dates,big_daily_table)))</f>
        <v>#NAME?</v>
      </c>
      <c r="E3803" s="1" t="e">
        <f aca="false" t="array" ref="E3803:E3803">IF(ISBLANK(_xlfn.xlookup(E$3,daily_items,_xlfn.xlookup($C3803,daily_dates,big_daily_table))),NA(),_xlfn.xlookup(E$3,daily_items,_xlfn.xlookup($C3803,daily_dates,big_daily_table)))</f>
        <v>#NAME?</v>
      </c>
    </row>
    <row r="3804" customFormat="false" ht="14.25" hidden="false" customHeight="false" outlineLevel="0" collapsed="false">
      <c r="B3804" s="7" t="n">
        <v>44709</v>
      </c>
      <c r="C3804" s="7" t="n">
        <f aca="false">B3804-WEEKDAY(B3804)+1</f>
        <v>44703</v>
      </c>
      <c r="D3804" s="1" t="e">
        <f aca="false" t="array" ref="D3804:D3804">IF(ISBLANK(_xlfn.xlookup(D$3,daily_items,_xlfn.xlookup($C3804,daily_dates,big_daily_table))),NA(),_xlfn.xlookup(D$3,daily_items,_xlfn.xlookup($C3804,daily_dates,big_daily_table)))</f>
        <v>#NAME?</v>
      </c>
      <c r="E3804" s="1" t="e">
        <f aca="false" t="array" ref="E3804:E3804">IF(ISBLANK(_xlfn.xlookup(E$3,daily_items,_xlfn.xlookup($C3804,daily_dates,big_daily_table))),NA(),_xlfn.xlookup(E$3,daily_items,_xlfn.xlookup($C3804,daily_dates,big_daily_table)))</f>
        <v>#NAME?</v>
      </c>
    </row>
    <row r="3805" customFormat="false" ht="14.25" hidden="false" customHeight="false" outlineLevel="0" collapsed="false">
      <c r="B3805" s="7" t="n">
        <v>44710</v>
      </c>
      <c r="C3805" s="7" t="n">
        <f aca="false">B3805-WEEKDAY(B3805)+1</f>
        <v>44710</v>
      </c>
      <c r="D3805" s="1" t="e">
        <f aca="false" t="array" ref="D3805:D3805">IF(ISBLANK(_xlfn.xlookup(D$3,daily_items,_xlfn.xlookup($C3805,daily_dates,big_daily_table))),NA(),_xlfn.xlookup(D$3,daily_items,_xlfn.xlookup($C3805,daily_dates,big_daily_table)))</f>
        <v>#NAME?</v>
      </c>
      <c r="E3805" s="1" t="e">
        <f aca="false" t="array" ref="E3805:E3805">IF(ISBLANK(_xlfn.xlookup(E$3,daily_items,_xlfn.xlookup($C3805,daily_dates,big_daily_table))),NA(),_xlfn.xlookup(E$3,daily_items,_xlfn.xlookup($C3805,daily_dates,big_daily_table)))</f>
        <v>#NAME?</v>
      </c>
    </row>
    <row r="3806" customFormat="false" ht="14.25" hidden="false" customHeight="false" outlineLevel="0" collapsed="false">
      <c r="B3806" s="7" t="n">
        <v>44711</v>
      </c>
      <c r="C3806" s="7" t="n">
        <f aca="false">B3806-WEEKDAY(B3806)+1</f>
        <v>44710</v>
      </c>
      <c r="D3806" s="1" t="e">
        <f aca="false" t="array" ref="D3806:D3806">IF(ISBLANK(_xlfn.xlookup(D$3,daily_items,_xlfn.xlookup($C3806,daily_dates,big_daily_table))),NA(),_xlfn.xlookup(D$3,daily_items,_xlfn.xlookup($C3806,daily_dates,big_daily_table)))</f>
        <v>#NAME?</v>
      </c>
      <c r="E3806" s="1" t="e">
        <f aca="false" t="array" ref="E3806:E3806">IF(ISBLANK(_xlfn.xlookup(E$3,daily_items,_xlfn.xlookup($C3806,daily_dates,big_daily_table))),NA(),_xlfn.xlookup(E$3,daily_items,_xlfn.xlookup($C3806,daily_dates,big_daily_table)))</f>
        <v>#NAME?</v>
      </c>
    </row>
    <row r="3807" customFormat="false" ht="14.25" hidden="false" customHeight="false" outlineLevel="0" collapsed="false">
      <c r="B3807" s="7" t="n">
        <v>44712</v>
      </c>
      <c r="C3807" s="7" t="n">
        <f aca="false">B3807-WEEKDAY(B3807)+1</f>
        <v>44710</v>
      </c>
      <c r="D3807" s="1" t="e">
        <f aca="false" t="array" ref="D3807:D3807">IF(ISBLANK(_xlfn.xlookup(D$3,daily_items,_xlfn.xlookup($C3807,daily_dates,big_daily_table))),NA(),_xlfn.xlookup(D$3,daily_items,_xlfn.xlookup($C3807,daily_dates,big_daily_table)))</f>
        <v>#NAME?</v>
      </c>
      <c r="E3807" s="1" t="e">
        <f aca="false" t="array" ref="E3807:E3807">IF(ISBLANK(_xlfn.xlookup(E$3,daily_items,_xlfn.xlookup($C3807,daily_dates,big_daily_table))),NA(),_xlfn.xlookup(E$3,daily_items,_xlfn.xlookup($C3807,daily_dates,big_daily_table)))</f>
        <v>#NAME?</v>
      </c>
    </row>
    <row r="3808" customFormat="false" ht="14.25" hidden="false" customHeight="false" outlineLevel="0" collapsed="false">
      <c r="B3808" s="7" t="n">
        <v>44713</v>
      </c>
      <c r="C3808" s="7" t="n">
        <f aca="false">B3808-WEEKDAY(B3808)+1</f>
        <v>44710</v>
      </c>
      <c r="D3808" s="1" t="e">
        <f aca="false" t="array" ref="D3808:D3808">IF(ISBLANK(_xlfn.xlookup(D$3,daily_items,_xlfn.xlookup($C3808,daily_dates,big_daily_table))),NA(),_xlfn.xlookup(D$3,daily_items,_xlfn.xlookup($C3808,daily_dates,big_daily_table)))</f>
        <v>#NAME?</v>
      </c>
      <c r="E3808" s="1" t="e">
        <f aca="false" t="array" ref="E3808:E3808">IF(ISBLANK(_xlfn.xlookup(E$3,daily_items,_xlfn.xlookup($C3808,daily_dates,big_daily_table))),NA(),_xlfn.xlookup(E$3,daily_items,_xlfn.xlookup($C3808,daily_dates,big_daily_table)))</f>
        <v>#NAME?</v>
      </c>
    </row>
    <row r="3809" customFormat="false" ht="14.25" hidden="false" customHeight="false" outlineLevel="0" collapsed="false">
      <c r="B3809" s="7" t="n">
        <v>44714</v>
      </c>
      <c r="C3809" s="7" t="n">
        <f aca="false">B3809-WEEKDAY(B3809)+1</f>
        <v>44710</v>
      </c>
      <c r="D3809" s="1" t="e">
        <f aca="false" t="array" ref="D3809:D3809">IF(ISBLANK(_xlfn.xlookup(D$3,daily_items,_xlfn.xlookup($C3809,daily_dates,big_daily_table))),NA(),_xlfn.xlookup(D$3,daily_items,_xlfn.xlookup($C3809,daily_dates,big_daily_table)))</f>
        <v>#NAME?</v>
      </c>
      <c r="E3809" s="1" t="e">
        <f aca="false" t="array" ref="E3809:E3809">IF(ISBLANK(_xlfn.xlookup(E$3,daily_items,_xlfn.xlookup($C3809,daily_dates,big_daily_table))),NA(),_xlfn.xlookup(E$3,daily_items,_xlfn.xlookup($C3809,daily_dates,big_daily_table)))</f>
        <v>#NAME?</v>
      </c>
    </row>
    <row r="3810" customFormat="false" ht="14.25" hidden="false" customHeight="false" outlineLevel="0" collapsed="false">
      <c r="B3810" s="7" t="n">
        <v>44715</v>
      </c>
      <c r="C3810" s="7" t="n">
        <f aca="false">B3810-WEEKDAY(B3810)+1</f>
        <v>44710</v>
      </c>
      <c r="D3810" s="1" t="e">
        <f aca="false" t="array" ref="D3810:D3810">IF(ISBLANK(_xlfn.xlookup(D$3,daily_items,_xlfn.xlookup($C3810,daily_dates,big_daily_table))),NA(),_xlfn.xlookup(D$3,daily_items,_xlfn.xlookup($C3810,daily_dates,big_daily_table)))</f>
        <v>#NAME?</v>
      </c>
      <c r="E3810" s="1" t="e">
        <f aca="false" t="array" ref="E3810:E3810">IF(ISBLANK(_xlfn.xlookup(E$3,daily_items,_xlfn.xlookup($C3810,daily_dates,big_daily_table))),NA(),_xlfn.xlookup(E$3,daily_items,_xlfn.xlookup($C3810,daily_dates,big_daily_table)))</f>
        <v>#NAME?</v>
      </c>
    </row>
    <row r="3811" customFormat="false" ht="14.25" hidden="false" customHeight="false" outlineLevel="0" collapsed="false">
      <c r="B3811" s="7" t="n">
        <v>44716</v>
      </c>
      <c r="C3811" s="7" t="n">
        <f aca="false">B3811-WEEKDAY(B3811)+1</f>
        <v>44710</v>
      </c>
      <c r="D3811" s="1" t="e">
        <f aca="false" t="array" ref="D3811:D3811">IF(ISBLANK(_xlfn.xlookup(D$3,daily_items,_xlfn.xlookup($C3811,daily_dates,big_daily_table))),NA(),_xlfn.xlookup(D$3,daily_items,_xlfn.xlookup($C3811,daily_dates,big_daily_table)))</f>
        <v>#NAME?</v>
      </c>
      <c r="E3811" s="1" t="e">
        <f aca="false" t="array" ref="E3811:E3811">IF(ISBLANK(_xlfn.xlookup(E$3,daily_items,_xlfn.xlookup($C3811,daily_dates,big_daily_table))),NA(),_xlfn.xlookup(E$3,daily_items,_xlfn.xlookup($C3811,daily_dates,big_daily_table)))</f>
        <v>#NAME?</v>
      </c>
    </row>
    <row r="3812" customFormat="false" ht="14.25" hidden="false" customHeight="false" outlineLevel="0" collapsed="false">
      <c r="B3812" s="7" t="n">
        <v>44717</v>
      </c>
      <c r="C3812" s="7" t="n">
        <f aca="false">B3812-WEEKDAY(B3812)+1</f>
        <v>44717</v>
      </c>
      <c r="D3812" s="1" t="e">
        <f aca="false" t="array" ref="D3812:D3812">IF(ISBLANK(_xlfn.xlookup(D$3,daily_items,_xlfn.xlookup($C3812,daily_dates,big_daily_table))),NA(),_xlfn.xlookup(D$3,daily_items,_xlfn.xlookup($C3812,daily_dates,big_daily_table)))</f>
        <v>#NAME?</v>
      </c>
      <c r="E3812" s="1" t="e">
        <f aca="false" t="array" ref="E3812:E3812">IF(ISBLANK(_xlfn.xlookup(E$3,daily_items,_xlfn.xlookup($C3812,daily_dates,big_daily_table))),NA(),_xlfn.xlookup(E$3,daily_items,_xlfn.xlookup($C3812,daily_dates,big_daily_table)))</f>
        <v>#NAME?</v>
      </c>
    </row>
    <row r="3813" customFormat="false" ht="14.25" hidden="false" customHeight="false" outlineLevel="0" collapsed="false">
      <c r="B3813" s="7" t="n">
        <v>44718</v>
      </c>
      <c r="C3813" s="7" t="n">
        <f aca="false">B3813-WEEKDAY(B3813)+1</f>
        <v>44717</v>
      </c>
      <c r="D3813" s="1" t="e">
        <f aca="false" t="array" ref="D3813:D3813">IF(ISBLANK(_xlfn.xlookup(D$3,daily_items,_xlfn.xlookup($C3813,daily_dates,big_daily_table))),NA(),_xlfn.xlookup(D$3,daily_items,_xlfn.xlookup($C3813,daily_dates,big_daily_table)))</f>
        <v>#NAME?</v>
      </c>
      <c r="E3813" s="1" t="e">
        <f aca="false" t="array" ref="E3813:E3813">IF(ISBLANK(_xlfn.xlookup(E$3,daily_items,_xlfn.xlookup($C3813,daily_dates,big_daily_table))),NA(),_xlfn.xlookup(E$3,daily_items,_xlfn.xlookup($C3813,daily_dates,big_daily_table)))</f>
        <v>#NAME?</v>
      </c>
    </row>
    <row r="3814" customFormat="false" ht="14.25" hidden="false" customHeight="false" outlineLevel="0" collapsed="false">
      <c r="B3814" s="7" t="n">
        <v>44719</v>
      </c>
      <c r="C3814" s="7" t="n">
        <f aca="false">B3814-WEEKDAY(B3814)+1</f>
        <v>44717</v>
      </c>
      <c r="D3814" s="1" t="e">
        <f aca="false" t="array" ref="D3814:D3814">IF(ISBLANK(_xlfn.xlookup(D$3,daily_items,_xlfn.xlookup($C3814,daily_dates,big_daily_table))),NA(),_xlfn.xlookup(D$3,daily_items,_xlfn.xlookup($C3814,daily_dates,big_daily_table)))</f>
        <v>#NAME?</v>
      </c>
      <c r="E3814" s="1" t="e">
        <f aca="false" t="array" ref="E3814:E3814">IF(ISBLANK(_xlfn.xlookup(E$3,daily_items,_xlfn.xlookup($C3814,daily_dates,big_daily_table))),NA(),_xlfn.xlookup(E$3,daily_items,_xlfn.xlookup($C3814,daily_dates,big_daily_table)))</f>
        <v>#NAME?</v>
      </c>
    </row>
    <row r="3815" customFormat="false" ht="14.25" hidden="false" customHeight="false" outlineLevel="0" collapsed="false">
      <c r="B3815" s="7" t="n">
        <v>44720</v>
      </c>
      <c r="C3815" s="7" t="n">
        <f aca="false">B3815-WEEKDAY(B3815)+1</f>
        <v>44717</v>
      </c>
      <c r="D3815" s="1" t="e">
        <f aca="false" t="array" ref="D3815:D3815">IF(ISBLANK(_xlfn.xlookup(D$3,daily_items,_xlfn.xlookup($C3815,daily_dates,big_daily_table))),NA(),_xlfn.xlookup(D$3,daily_items,_xlfn.xlookup($C3815,daily_dates,big_daily_table)))</f>
        <v>#NAME?</v>
      </c>
      <c r="E3815" s="1" t="e">
        <f aca="false" t="array" ref="E3815:E3815">IF(ISBLANK(_xlfn.xlookup(E$3,daily_items,_xlfn.xlookup($C3815,daily_dates,big_daily_table))),NA(),_xlfn.xlookup(E$3,daily_items,_xlfn.xlookup($C3815,daily_dates,big_daily_table)))</f>
        <v>#NAME?</v>
      </c>
    </row>
    <row r="3816" customFormat="false" ht="14.25" hidden="false" customHeight="false" outlineLevel="0" collapsed="false">
      <c r="B3816" s="7" t="n">
        <v>44721</v>
      </c>
      <c r="C3816" s="7" t="n">
        <f aca="false">B3816-WEEKDAY(B3816)+1</f>
        <v>44717</v>
      </c>
      <c r="D3816" s="1" t="e">
        <f aca="false" t="array" ref="D3816:D3816">IF(ISBLANK(_xlfn.xlookup(D$3,daily_items,_xlfn.xlookup($C3816,daily_dates,big_daily_table))),NA(),_xlfn.xlookup(D$3,daily_items,_xlfn.xlookup($C3816,daily_dates,big_daily_table)))</f>
        <v>#NAME?</v>
      </c>
      <c r="E3816" s="1" t="e">
        <f aca="false" t="array" ref="E3816:E3816">IF(ISBLANK(_xlfn.xlookup(E$3,daily_items,_xlfn.xlookup($C3816,daily_dates,big_daily_table))),NA(),_xlfn.xlookup(E$3,daily_items,_xlfn.xlookup($C3816,daily_dates,big_daily_table)))</f>
        <v>#NAME?</v>
      </c>
    </row>
    <row r="3817" customFormat="false" ht="14.25" hidden="false" customHeight="false" outlineLevel="0" collapsed="false">
      <c r="B3817" s="7" t="n">
        <v>44722</v>
      </c>
      <c r="C3817" s="7" t="n">
        <f aca="false">B3817-WEEKDAY(B3817)+1</f>
        <v>44717</v>
      </c>
      <c r="D3817" s="1" t="e">
        <f aca="false" t="array" ref="D3817:D3817">IF(ISBLANK(_xlfn.xlookup(D$3,daily_items,_xlfn.xlookup($C3817,daily_dates,big_daily_table))),NA(),_xlfn.xlookup(D$3,daily_items,_xlfn.xlookup($C3817,daily_dates,big_daily_table)))</f>
        <v>#NAME?</v>
      </c>
      <c r="E3817" s="1" t="e">
        <f aca="false" t="array" ref="E3817:E3817">IF(ISBLANK(_xlfn.xlookup(E$3,daily_items,_xlfn.xlookup($C3817,daily_dates,big_daily_table))),NA(),_xlfn.xlookup(E$3,daily_items,_xlfn.xlookup($C3817,daily_dates,big_daily_table)))</f>
        <v>#NAME?</v>
      </c>
    </row>
    <row r="3818" customFormat="false" ht="14.25" hidden="false" customHeight="false" outlineLevel="0" collapsed="false">
      <c r="B3818" s="7" t="n">
        <v>44723</v>
      </c>
      <c r="C3818" s="7" t="n">
        <f aca="false">B3818-WEEKDAY(B3818)+1</f>
        <v>44717</v>
      </c>
      <c r="D3818" s="1" t="e">
        <f aca="false" t="array" ref="D3818:D3818">IF(ISBLANK(_xlfn.xlookup(D$3,daily_items,_xlfn.xlookup($C3818,daily_dates,big_daily_table))),NA(),_xlfn.xlookup(D$3,daily_items,_xlfn.xlookup($C3818,daily_dates,big_daily_table)))</f>
        <v>#NAME?</v>
      </c>
      <c r="E3818" s="1" t="e">
        <f aca="false" t="array" ref="E3818:E3818">IF(ISBLANK(_xlfn.xlookup(E$3,daily_items,_xlfn.xlookup($C3818,daily_dates,big_daily_table))),NA(),_xlfn.xlookup(E$3,daily_items,_xlfn.xlookup($C3818,daily_dates,big_daily_table)))</f>
        <v>#NAME?</v>
      </c>
    </row>
    <row r="3819" customFormat="false" ht="14.25" hidden="false" customHeight="false" outlineLevel="0" collapsed="false">
      <c r="B3819" s="7" t="n">
        <v>44724</v>
      </c>
      <c r="C3819" s="7" t="n">
        <f aca="false">B3819-WEEKDAY(B3819)+1</f>
        <v>44724</v>
      </c>
      <c r="D3819" s="1" t="e">
        <f aca="false" t="array" ref="D3819:D3819">IF(ISBLANK(_xlfn.xlookup(D$3,daily_items,_xlfn.xlookup($C3819,daily_dates,big_daily_table))),NA(),_xlfn.xlookup(D$3,daily_items,_xlfn.xlookup($C3819,daily_dates,big_daily_table)))</f>
        <v>#NAME?</v>
      </c>
      <c r="E3819" s="1" t="e">
        <f aca="false" t="array" ref="E3819:E3819">IF(ISBLANK(_xlfn.xlookup(E$3,daily_items,_xlfn.xlookup($C3819,daily_dates,big_daily_table))),NA(),_xlfn.xlookup(E$3,daily_items,_xlfn.xlookup($C3819,daily_dates,big_daily_table)))</f>
        <v>#NAME?</v>
      </c>
    </row>
    <row r="3820" customFormat="false" ht="14.25" hidden="false" customHeight="false" outlineLevel="0" collapsed="false">
      <c r="B3820" s="7" t="n">
        <v>44725</v>
      </c>
      <c r="C3820" s="7" t="n">
        <f aca="false">B3820-WEEKDAY(B3820)+1</f>
        <v>44724</v>
      </c>
      <c r="D3820" s="1" t="e">
        <f aca="false" t="array" ref="D3820:D3820">IF(ISBLANK(_xlfn.xlookup(D$3,daily_items,_xlfn.xlookup($C3820,daily_dates,big_daily_table))),NA(),_xlfn.xlookup(D$3,daily_items,_xlfn.xlookup($C3820,daily_dates,big_daily_table)))</f>
        <v>#NAME?</v>
      </c>
      <c r="E3820" s="1" t="e">
        <f aca="false" t="array" ref="E3820:E3820">IF(ISBLANK(_xlfn.xlookup(E$3,daily_items,_xlfn.xlookup($C3820,daily_dates,big_daily_table))),NA(),_xlfn.xlookup(E$3,daily_items,_xlfn.xlookup($C3820,daily_dates,big_daily_table)))</f>
        <v>#NAME?</v>
      </c>
    </row>
    <row r="3821" customFormat="false" ht="14.25" hidden="false" customHeight="false" outlineLevel="0" collapsed="false">
      <c r="B3821" s="7" t="n">
        <v>44726</v>
      </c>
      <c r="C3821" s="7" t="n">
        <f aca="false">B3821-WEEKDAY(B3821)+1</f>
        <v>44724</v>
      </c>
      <c r="D3821" s="1" t="e">
        <f aca="false" t="array" ref="D3821:D3821">IF(ISBLANK(_xlfn.xlookup(D$3,daily_items,_xlfn.xlookup($C3821,daily_dates,big_daily_table))),NA(),_xlfn.xlookup(D$3,daily_items,_xlfn.xlookup($C3821,daily_dates,big_daily_table)))</f>
        <v>#NAME?</v>
      </c>
      <c r="E3821" s="1" t="e">
        <f aca="false" t="array" ref="E3821:E3821">IF(ISBLANK(_xlfn.xlookup(E$3,daily_items,_xlfn.xlookup($C3821,daily_dates,big_daily_table))),NA(),_xlfn.xlookup(E$3,daily_items,_xlfn.xlookup($C3821,daily_dates,big_daily_table)))</f>
        <v>#NAME?</v>
      </c>
    </row>
    <row r="3822" customFormat="false" ht="14.25" hidden="false" customHeight="false" outlineLevel="0" collapsed="false">
      <c r="B3822" s="7" t="n">
        <v>44727</v>
      </c>
      <c r="C3822" s="7" t="n">
        <f aca="false">B3822-WEEKDAY(B3822)+1</f>
        <v>44724</v>
      </c>
      <c r="D3822" s="1" t="e">
        <f aca="false" t="array" ref="D3822:D3822">IF(ISBLANK(_xlfn.xlookup(D$3,daily_items,_xlfn.xlookup($C3822,daily_dates,big_daily_table))),NA(),_xlfn.xlookup(D$3,daily_items,_xlfn.xlookup($C3822,daily_dates,big_daily_table)))</f>
        <v>#NAME?</v>
      </c>
      <c r="E3822" s="1" t="e">
        <f aca="false" t="array" ref="E3822:E3822">IF(ISBLANK(_xlfn.xlookup(E$3,daily_items,_xlfn.xlookup($C3822,daily_dates,big_daily_table))),NA(),_xlfn.xlookup(E$3,daily_items,_xlfn.xlookup($C3822,daily_dates,big_daily_table)))</f>
        <v>#NAME?</v>
      </c>
    </row>
    <row r="3823" customFormat="false" ht="14.25" hidden="false" customHeight="false" outlineLevel="0" collapsed="false">
      <c r="B3823" s="7" t="n">
        <v>44728</v>
      </c>
      <c r="C3823" s="7" t="n">
        <f aca="false">B3823-WEEKDAY(B3823)+1</f>
        <v>44724</v>
      </c>
      <c r="D3823" s="1" t="e">
        <f aca="false" t="array" ref="D3823:D3823">IF(ISBLANK(_xlfn.xlookup(D$3,daily_items,_xlfn.xlookup($C3823,daily_dates,big_daily_table))),NA(),_xlfn.xlookup(D$3,daily_items,_xlfn.xlookup($C3823,daily_dates,big_daily_table)))</f>
        <v>#NAME?</v>
      </c>
      <c r="E3823" s="1" t="e">
        <f aca="false" t="array" ref="E3823:E3823">IF(ISBLANK(_xlfn.xlookup(E$3,daily_items,_xlfn.xlookup($C3823,daily_dates,big_daily_table))),NA(),_xlfn.xlookup(E$3,daily_items,_xlfn.xlookup($C3823,daily_dates,big_daily_table)))</f>
        <v>#NAME?</v>
      </c>
    </row>
    <row r="3824" customFormat="false" ht="14.25" hidden="false" customHeight="false" outlineLevel="0" collapsed="false">
      <c r="B3824" s="7" t="n">
        <v>44729</v>
      </c>
      <c r="C3824" s="7" t="n">
        <f aca="false">B3824-WEEKDAY(B3824)+1</f>
        <v>44724</v>
      </c>
      <c r="D3824" s="1" t="e">
        <f aca="false" t="array" ref="D3824:D3824">IF(ISBLANK(_xlfn.xlookup(D$3,daily_items,_xlfn.xlookup($C3824,daily_dates,big_daily_table))),NA(),_xlfn.xlookup(D$3,daily_items,_xlfn.xlookup($C3824,daily_dates,big_daily_table)))</f>
        <v>#NAME?</v>
      </c>
      <c r="E3824" s="1" t="e">
        <f aca="false" t="array" ref="E3824:E3824">IF(ISBLANK(_xlfn.xlookup(E$3,daily_items,_xlfn.xlookup($C3824,daily_dates,big_daily_table))),NA(),_xlfn.xlookup(E$3,daily_items,_xlfn.xlookup($C3824,daily_dates,big_daily_table)))</f>
        <v>#NAME?</v>
      </c>
    </row>
    <row r="3825" customFormat="false" ht="14.25" hidden="false" customHeight="false" outlineLevel="0" collapsed="false">
      <c r="B3825" s="7" t="n">
        <v>44730</v>
      </c>
      <c r="C3825" s="7" t="n">
        <f aca="false">B3825-WEEKDAY(B3825)+1</f>
        <v>44724</v>
      </c>
      <c r="D3825" s="1" t="e">
        <f aca="false" t="array" ref="D3825:D3825">IF(ISBLANK(_xlfn.xlookup(D$3,daily_items,_xlfn.xlookup($C3825,daily_dates,big_daily_table))),NA(),_xlfn.xlookup(D$3,daily_items,_xlfn.xlookup($C3825,daily_dates,big_daily_table)))</f>
        <v>#NAME?</v>
      </c>
      <c r="E3825" s="1" t="e">
        <f aca="false" t="array" ref="E3825:E3825">IF(ISBLANK(_xlfn.xlookup(E$3,daily_items,_xlfn.xlookup($C3825,daily_dates,big_daily_table))),NA(),_xlfn.xlookup(E$3,daily_items,_xlfn.xlookup($C3825,daily_dates,big_daily_table)))</f>
        <v>#NAME?</v>
      </c>
    </row>
    <row r="3826" customFormat="false" ht="14.25" hidden="false" customHeight="false" outlineLevel="0" collapsed="false">
      <c r="B3826" s="7" t="n">
        <v>44731</v>
      </c>
      <c r="C3826" s="7" t="n">
        <f aca="false">B3826-WEEKDAY(B3826)+1</f>
        <v>44731</v>
      </c>
      <c r="D3826" s="1" t="e">
        <f aca="false" t="array" ref="D3826:D3826">IF(ISBLANK(_xlfn.xlookup(D$3,daily_items,_xlfn.xlookup($C3826,daily_dates,big_daily_table))),NA(),_xlfn.xlookup(D$3,daily_items,_xlfn.xlookup($C3826,daily_dates,big_daily_table)))</f>
        <v>#NAME?</v>
      </c>
      <c r="E3826" s="1" t="e">
        <f aca="false" t="array" ref="E3826:E3826">IF(ISBLANK(_xlfn.xlookup(E$3,daily_items,_xlfn.xlookup($C3826,daily_dates,big_daily_table))),NA(),_xlfn.xlookup(E$3,daily_items,_xlfn.xlookup($C3826,daily_dates,big_daily_table)))</f>
        <v>#NAME?</v>
      </c>
    </row>
    <row r="3827" customFormat="false" ht="14.25" hidden="false" customHeight="false" outlineLevel="0" collapsed="false">
      <c r="B3827" s="7" t="n">
        <v>44732</v>
      </c>
      <c r="C3827" s="7" t="n">
        <f aca="false">B3827-WEEKDAY(B3827)+1</f>
        <v>44731</v>
      </c>
      <c r="D3827" s="1" t="e">
        <f aca="false" t="array" ref="D3827:D3827">IF(ISBLANK(_xlfn.xlookup(D$3,daily_items,_xlfn.xlookup($C3827,daily_dates,big_daily_table))),NA(),_xlfn.xlookup(D$3,daily_items,_xlfn.xlookup($C3827,daily_dates,big_daily_table)))</f>
        <v>#NAME?</v>
      </c>
      <c r="E3827" s="1" t="e">
        <f aca="false" t="array" ref="E3827:E3827">IF(ISBLANK(_xlfn.xlookup(E$3,daily_items,_xlfn.xlookup($C3827,daily_dates,big_daily_table))),NA(),_xlfn.xlookup(E$3,daily_items,_xlfn.xlookup($C3827,daily_dates,big_daily_table)))</f>
        <v>#NAME?</v>
      </c>
    </row>
    <row r="3828" customFormat="false" ht="14.25" hidden="false" customHeight="false" outlineLevel="0" collapsed="false">
      <c r="B3828" s="7" t="n">
        <v>44733</v>
      </c>
      <c r="C3828" s="7" t="n">
        <f aca="false">B3828-WEEKDAY(B3828)+1</f>
        <v>44731</v>
      </c>
      <c r="D3828" s="1" t="e">
        <f aca="false" t="array" ref="D3828:D3828">IF(ISBLANK(_xlfn.xlookup(D$3,daily_items,_xlfn.xlookup($C3828,daily_dates,big_daily_table))),NA(),_xlfn.xlookup(D$3,daily_items,_xlfn.xlookup($C3828,daily_dates,big_daily_table)))</f>
        <v>#NAME?</v>
      </c>
      <c r="E3828" s="1" t="e">
        <f aca="false" t="array" ref="E3828:E3828">IF(ISBLANK(_xlfn.xlookup(E$3,daily_items,_xlfn.xlookup($C3828,daily_dates,big_daily_table))),NA(),_xlfn.xlookup(E$3,daily_items,_xlfn.xlookup($C3828,daily_dates,big_daily_table)))</f>
        <v>#NAME?</v>
      </c>
    </row>
    <row r="3829" customFormat="false" ht="14.25" hidden="false" customHeight="false" outlineLevel="0" collapsed="false">
      <c r="B3829" s="7" t="n">
        <v>44734</v>
      </c>
      <c r="C3829" s="7" t="n">
        <f aca="false">B3829-WEEKDAY(B3829)+1</f>
        <v>44731</v>
      </c>
      <c r="D3829" s="1" t="e">
        <f aca="false" t="array" ref="D3829:D3829">IF(ISBLANK(_xlfn.xlookup(D$3,daily_items,_xlfn.xlookup($C3829,daily_dates,big_daily_table))),NA(),_xlfn.xlookup(D$3,daily_items,_xlfn.xlookup($C3829,daily_dates,big_daily_table)))</f>
        <v>#NAME?</v>
      </c>
      <c r="E3829" s="1" t="e">
        <f aca="false" t="array" ref="E3829:E3829">IF(ISBLANK(_xlfn.xlookup(E$3,daily_items,_xlfn.xlookup($C3829,daily_dates,big_daily_table))),NA(),_xlfn.xlookup(E$3,daily_items,_xlfn.xlookup($C3829,daily_dates,big_daily_table)))</f>
        <v>#NAME?</v>
      </c>
    </row>
    <row r="3830" customFormat="false" ht="14.25" hidden="false" customHeight="false" outlineLevel="0" collapsed="false">
      <c r="B3830" s="7" t="n">
        <v>44735</v>
      </c>
      <c r="C3830" s="7" t="n">
        <f aca="false">B3830-WEEKDAY(B3830)+1</f>
        <v>44731</v>
      </c>
      <c r="D3830" s="1" t="e">
        <f aca="false" t="array" ref="D3830:D3830">IF(ISBLANK(_xlfn.xlookup(D$3,daily_items,_xlfn.xlookup($C3830,daily_dates,big_daily_table))),NA(),_xlfn.xlookup(D$3,daily_items,_xlfn.xlookup($C3830,daily_dates,big_daily_table)))</f>
        <v>#NAME?</v>
      </c>
      <c r="E3830" s="1" t="e">
        <f aca="false" t="array" ref="E3830:E3830">IF(ISBLANK(_xlfn.xlookup(E$3,daily_items,_xlfn.xlookup($C3830,daily_dates,big_daily_table))),NA(),_xlfn.xlookup(E$3,daily_items,_xlfn.xlookup($C3830,daily_dates,big_daily_table)))</f>
        <v>#NAME?</v>
      </c>
    </row>
    <row r="3831" customFormat="false" ht="14.25" hidden="false" customHeight="false" outlineLevel="0" collapsed="false">
      <c r="B3831" s="7" t="n">
        <v>44736</v>
      </c>
      <c r="C3831" s="7" t="n">
        <f aca="false">B3831-WEEKDAY(B3831)+1</f>
        <v>44731</v>
      </c>
      <c r="D3831" s="1" t="e">
        <f aca="false" t="array" ref="D3831:D3831">IF(ISBLANK(_xlfn.xlookup(D$3,daily_items,_xlfn.xlookup($C3831,daily_dates,big_daily_table))),NA(),_xlfn.xlookup(D$3,daily_items,_xlfn.xlookup($C3831,daily_dates,big_daily_table)))</f>
        <v>#NAME?</v>
      </c>
      <c r="E3831" s="1" t="e">
        <f aca="false" t="array" ref="E3831:E3831">IF(ISBLANK(_xlfn.xlookup(E$3,daily_items,_xlfn.xlookup($C3831,daily_dates,big_daily_table))),NA(),_xlfn.xlookup(E$3,daily_items,_xlfn.xlookup($C3831,daily_dates,big_daily_table)))</f>
        <v>#NAME?</v>
      </c>
    </row>
    <row r="3832" customFormat="false" ht="14.25" hidden="false" customHeight="false" outlineLevel="0" collapsed="false">
      <c r="B3832" s="7" t="n">
        <v>44737</v>
      </c>
      <c r="C3832" s="7" t="n">
        <f aca="false">B3832-WEEKDAY(B3832)+1</f>
        <v>44731</v>
      </c>
      <c r="D3832" s="1" t="e">
        <f aca="false" t="array" ref="D3832:D3832">IF(ISBLANK(_xlfn.xlookup(D$3,daily_items,_xlfn.xlookup($C3832,daily_dates,big_daily_table))),NA(),_xlfn.xlookup(D$3,daily_items,_xlfn.xlookup($C3832,daily_dates,big_daily_table)))</f>
        <v>#NAME?</v>
      </c>
      <c r="E3832" s="1" t="e">
        <f aca="false" t="array" ref="E3832:E3832">IF(ISBLANK(_xlfn.xlookup(E$3,daily_items,_xlfn.xlookup($C3832,daily_dates,big_daily_table))),NA(),_xlfn.xlookup(E$3,daily_items,_xlfn.xlookup($C3832,daily_dates,big_daily_table)))</f>
        <v>#NAME?</v>
      </c>
    </row>
    <row r="3833" customFormat="false" ht="14.25" hidden="false" customHeight="false" outlineLevel="0" collapsed="false">
      <c r="B3833" s="7" t="n">
        <v>44738</v>
      </c>
      <c r="C3833" s="7" t="n">
        <f aca="false">B3833-WEEKDAY(B3833)+1</f>
        <v>44738</v>
      </c>
      <c r="D3833" s="1" t="e">
        <f aca="false" t="array" ref="D3833:D3833">IF(ISBLANK(_xlfn.xlookup(D$3,daily_items,_xlfn.xlookup($C3833,daily_dates,big_daily_table))),NA(),_xlfn.xlookup(D$3,daily_items,_xlfn.xlookup($C3833,daily_dates,big_daily_table)))</f>
        <v>#NAME?</v>
      </c>
      <c r="E3833" s="1" t="e">
        <f aca="false" t="array" ref="E3833:E3833">IF(ISBLANK(_xlfn.xlookup(E$3,daily_items,_xlfn.xlookup($C3833,daily_dates,big_daily_table))),NA(),_xlfn.xlookup(E$3,daily_items,_xlfn.xlookup($C3833,daily_dates,big_daily_table)))</f>
        <v>#NAME?</v>
      </c>
    </row>
    <row r="3834" customFormat="false" ht="14.25" hidden="false" customHeight="false" outlineLevel="0" collapsed="false">
      <c r="B3834" s="7" t="n">
        <v>44739</v>
      </c>
      <c r="C3834" s="7" t="n">
        <f aca="false">B3834-WEEKDAY(B3834)+1</f>
        <v>44738</v>
      </c>
      <c r="D3834" s="1" t="e">
        <f aca="false" t="array" ref="D3834:D3834">IF(ISBLANK(_xlfn.xlookup(D$3,daily_items,_xlfn.xlookup($C3834,daily_dates,big_daily_table))),NA(),_xlfn.xlookup(D$3,daily_items,_xlfn.xlookup($C3834,daily_dates,big_daily_table)))</f>
        <v>#NAME?</v>
      </c>
      <c r="E3834" s="1" t="e">
        <f aca="false" t="array" ref="E3834:E3834">IF(ISBLANK(_xlfn.xlookup(E$3,daily_items,_xlfn.xlookup($C3834,daily_dates,big_daily_table))),NA(),_xlfn.xlookup(E$3,daily_items,_xlfn.xlookup($C3834,daily_dates,big_daily_table)))</f>
        <v>#NAME?</v>
      </c>
    </row>
    <row r="3835" customFormat="false" ht="14.25" hidden="false" customHeight="false" outlineLevel="0" collapsed="false">
      <c r="B3835" s="7" t="n">
        <v>44740</v>
      </c>
      <c r="C3835" s="7" t="n">
        <f aca="false">B3835-WEEKDAY(B3835)+1</f>
        <v>44738</v>
      </c>
      <c r="D3835" s="1" t="e">
        <f aca="false" t="array" ref="D3835:D3835">IF(ISBLANK(_xlfn.xlookup(D$3,daily_items,_xlfn.xlookup($C3835,daily_dates,big_daily_table))),NA(),_xlfn.xlookup(D$3,daily_items,_xlfn.xlookup($C3835,daily_dates,big_daily_table)))</f>
        <v>#NAME?</v>
      </c>
      <c r="E3835" s="1" t="e">
        <f aca="false" t="array" ref="E3835:E3835">IF(ISBLANK(_xlfn.xlookup(E$3,daily_items,_xlfn.xlookup($C3835,daily_dates,big_daily_table))),NA(),_xlfn.xlookup(E$3,daily_items,_xlfn.xlookup($C3835,daily_dates,big_daily_table)))</f>
        <v>#NAME?</v>
      </c>
    </row>
    <row r="3836" customFormat="false" ht="14.25" hidden="false" customHeight="false" outlineLevel="0" collapsed="false">
      <c r="B3836" s="7" t="n">
        <v>44741</v>
      </c>
      <c r="C3836" s="7" t="n">
        <f aca="false">B3836-WEEKDAY(B3836)+1</f>
        <v>44738</v>
      </c>
      <c r="D3836" s="1" t="e">
        <f aca="false" t="array" ref="D3836:D3836">IF(ISBLANK(_xlfn.xlookup(D$3,daily_items,_xlfn.xlookup($C3836,daily_dates,big_daily_table))),NA(),_xlfn.xlookup(D$3,daily_items,_xlfn.xlookup($C3836,daily_dates,big_daily_table)))</f>
        <v>#NAME?</v>
      </c>
      <c r="E3836" s="1" t="e">
        <f aca="false" t="array" ref="E3836:E3836">IF(ISBLANK(_xlfn.xlookup(E$3,daily_items,_xlfn.xlookup($C3836,daily_dates,big_daily_table))),NA(),_xlfn.xlookup(E$3,daily_items,_xlfn.xlookup($C3836,daily_dates,big_daily_table)))</f>
        <v>#NAME?</v>
      </c>
    </row>
    <row r="3837" customFormat="false" ht="14.25" hidden="false" customHeight="false" outlineLevel="0" collapsed="false">
      <c r="B3837" s="7" t="n">
        <v>44742</v>
      </c>
      <c r="C3837" s="7" t="n">
        <f aca="false">B3837-WEEKDAY(B3837)+1</f>
        <v>44738</v>
      </c>
      <c r="D3837" s="1" t="e">
        <f aca="false" t="array" ref="D3837:D3837">IF(ISBLANK(_xlfn.xlookup(D$3,daily_items,_xlfn.xlookup($C3837,daily_dates,big_daily_table))),NA(),_xlfn.xlookup(D$3,daily_items,_xlfn.xlookup($C3837,daily_dates,big_daily_table)))</f>
        <v>#NAME?</v>
      </c>
      <c r="E3837" s="1" t="e">
        <f aca="false" t="array" ref="E3837:E3837">IF(ISBLANK(_xlfn.xlookup(E$3,daily_items,_xlfn.xlookup($C3837,daily_dates,big_daily_table))),NA(),_xlfn.xlookup(E$3,daily_items,_xlfn.xlookup($C3837,daily_dates,big_daily_table)))</f>
        <v>#NAME?</v>
      </c>
    </row>
    <row r="3838" customFormat="false" ht="14.25" hidden="false" customHeight="false" outlineLevel="0" collapsed="false">
      <c r="B3838" s="7" t="n">
        <v>44743</v>
      </c>
      <c r="C3838" s="7" t="n">
        <f aca="false">B3838-WEEKDAY(B3838)+1</f>
        <v>44738</v>
      </c>
      <c r="D3838" s="1" t="e">
        <f aca="false" t="array" ref="D3838:D3838">IF(ISBLANK(_xlfn.xlookup(D$3,daily_items,_xlfn.xlookup($C3838,daily_dates,big_daily_table))),NA(),_xlfn.xlookup(D$3,daily_items,_xlfn.xlookup($C3838,daily_dates,big_daily_table)))</f>
        <v>#NAME?</v>
      </c>
      <c r="E3838" s="1" t="e">
        <f aca="false" t="array" ref="E3838:E3838">IF(ISBLANK(_xlfn.xlookup(E$3,daily_items,_xlfn.xlookup($C3838,daily_dates,big_daily_table))),NA(),_xlfn.xlookup(E$3,daily_items,_xlfn.xlookup($C3838,daily_dates,big_daily_table)))</f>
        <v>#NAME?</v>
      </c>
    </row>
    <row r="3839" customFormat="false" ht="14.25" hidden="false" customHeight="false" outlineLevel="0" collapsed="false">
      <c r="B3839" s="7" t="n">
        <v>44744</v>
      </c>
      <c r="C3839" s="7" t="n">
        <f aca="false">B3839-WEEKDAY(B3839)+1</f>
        <v>44738</v>
      </c>
      <c r="D3839" s="1" t="e">
        <f aca="false" t="array" ref="D3839:D3839">IF(ISBLANK(_xlfn.xlookup(D$3,daily_items,_xlfn.xlookup($C3839,daily_dates,big_daily_table))),NA(),_xlfn.xlookup(D$3,daily_items,_xlfn.xlookup($C3839,daily_dates,big_daily_table)))</f>
        <v>#NAME?</v>
      </c>
      <c r="E3839" s="1" t="e">
        <f aca="false" t="array" ref="E3839:E3839">IF(ISBLANK(_xlfn.xlookup(E$3,daily_items,_xlfn.xlookup($C3839,daily_dates,big_daily_table))),NA(),_xlfn.xlookup(E$3,daily_items,_xlfn.xlookup($C3839,daily_dates,big_daily_table)))</f>
        <v>#NAME?</v>
      </c>
    </row>
    <row r="3840" customFormat="false" ht="14.25" hidden="false" customHeight="false" outlineLevel="0" collapsed="false">
      <c r="B3840" s="7" t="n">
        <v>44745</v>
      </c>
      <c r="C3840" s="7" t="n">
        <f aca="false">B3840-WEEKDAY(B3840)+1</f>
        <v>44745</v>
      </c>
      <c r="D3840" s="1" t="e">
        <f aca="false" t="array" ref="D3840:D3840">IF(ISBLANK(_xlfn.xlookup(D$3,daily_items,_xlfn.xlookup($C3840,daily_dates,big_daily_table))),NA(),_xlfn.xlookup(D$3,daily_items,_xlfn.xlookup($C3840,daily_dates,big_daily_table)))</f>
        <v>#NAME?</v>
      </c>
      <c r="E3840" s="1" t="e">
        <f aca="false" t="array" ref="E3840:E3840">IF(ISBLANK(_xlfn.xlookup(E$3,daily_items,_xlfn.xlookup($C3840,daily_dates,big_daily_table))),NA(),_xlfn.xlookup(E$3,daily_items,_xlfn.xlookup($C3840,daily_dates,big_daily_table)))</f>
        <v>#NAME?</v>
      </c>
    </row>
    <row r="3841" customFormat="false" ht="14.25" hidden="false" customHeight="false" outlineLevel="0" collapsed="false">
      <c r="B3841" s="7" t="n">
        <v>44746</v>
      </c>
      <c r="C3841" s="7" t="n">
        <f aca="false">B3841-WEEKDAY(B3841)+1</f>
        <v>44745</v>
      </c>
      <c r="D3841" s="1" t="e">
        <f aca="false" t="array" ref="D3841:D3841">IF(ISBLANK(_xlfn.xlookup(D$3,daily_items,_xlfn.xlookup($C3841,daily_dates,big_daily_table))),NA(),_xlfn.xlookup(D$3,daily_items,_xlfn.xlookup($C3841,daily_dates,big_daily_table)))</f>
        <v>#NAME?</v>
      </c>
      <c r="E3841" s="1" t="e">
        <f aca="false" t="array" ref="E3841:E3841">IF(ISBLANK(_xlfn.xlookup(E$3,daily_items,_xlfn.xlookup($C3841,daily_dates,big_daily_table))),NA(),_xlfn.xlookup(E$3,daily_items,_xlfn.xlookup($C3841,daily_dates,big_daily_table)))</f>
        <v>#NAME?</v>
      </c>
    </row>
    <row r="3842" customFormat="false" ht="14.25" hidden="false" customHeight="false" outlineLevel="0" collapsed="false">
      <c r="B3842" s="7" t="n">
        <v>44747</v>
      </c>
      <c r="C3842" s="7" t="n">
        <f aca="false">B3842-WEEKDAY(B3842)+1</f>
        <v>44745</v>
      </c>
      <c r="D3842" s="1" t="e">
        <f aca="false" t="array" ref="D3842:D3842">IF(ISBLANK(_xlfn.xlookup(D$3,daily_items,_xlfn.xlookup($C3842,daily_dates,big_daily_table))),NA(),_xlfn.xlookup(D$3,daily_items,_xlfn.xlookup($C3842,daily_dates,big_daily_table)))</f>
        <v>#NAME?</v>
      </c>
      <c r="E3842" s="1" t="e">
        <f aca="false" t="array" ref="E3842:E3842">IF(ISBLANK(_xlfn.xlookup(E$3,daily_items,_xlfn.xlookup($C3842,daily_dates,big_daily_table))),NA(),_xlfn.xlookup(E$3,daily_items,_xlfn.xlookup($C3842,daily_dates,big_daily_table)))</f>
        <v>#NAME?</v>
      </c>
    </row>
    <row r="3843" customFormat="false" ht="14.25" hidden="false" customHeight="false" outlineLevel="0" collapsed="false">
      <c r="B3843" s="7" t="n">
        <v>44748</v>
      </c>
      <c r="C3843" s="7" t="n">
        <f aca="false">B3843-WEEKDAY(B3843)+1</f>
        <v>44745</v>
      </c>
      <c r="D3843" s="1" t="e">
        <f aca="false" t="array" ref="D3843:D3843">IF(ISBLANK(_xlfn.xlookup(D$3,daily_items,_xlfn.xlookup($C3843,daily_dates,big_daily_table))),NA(),_xlfn.xlookup(D$3,daily_items,_xlfn.xlookup($C3843,daily_dates,big_daily_table)))</f>
        <v>#NAME?</v>
      </c>
      <c r="E3843" s="1" t="e">
        <f aca="false" t="array" ref="E3843:E3843">IF(ISBLANK(_xlfn.xlookup(E$3,daily_items,_xlfn.xlookup($C3843,daily_dates,big_daily_table))),NA(),_xlfn.xlookup(E$3,daily_items,_xlfn.xlookup($C3843,daily_dates,big_daily_table)))</f>
        <v>#NAME?</v>
      </c>
    </row>
    <row r="3844" customFormat="false" ht="14.25" hidden="false" customHeight="false" outlineLevel="0" collapsed="false">
      <c r="B3844" s="7" t="n">
        <v>44749</v>
      </c>
      <c r="C3844" s="7" t="n">
        <f aca="false">B3844-WEEKDAY(B3844)+1</f>
        <v>44745</v>
      </c>
      <c r="D3844" s="1" t="e">
        <f aca="false" t="array" ref="D3844:D3844">IF(ISBLANK(_xlfn.xlookup(D$3,daily_items,_xlfn.xlookup($C3844,daily_dates,big_daily_table))),NA(),_xlfn.xlookup(D$3,daily_items,_xlfn.xlookup($C3844,daily_dates,big_daily_table)))</f>
        <v>#NAME?</v>
      </c>
      <c r="E3844" s="1" t="e">
        <f aca="false" t="array" ref="E3844:E3844">IF(ISBLANK(_xlfn.xlookup(E$3,daily_items,_xlfn.xlookup($C3844,daily_dates,big_daily_table))),NA(),_xlfn.xlookup(E$3,daily_items,_xlfn.xlookup($C3844,daily_dates,big_daily_table)))</f>
        <v>#NAME?</v>
      </c>
    </row>
    <row r="3845" customFormat="false" ht="14.25" hidden="false" customHeight="false" outlineLevel="0" collapsed="false">
      <c r="B3845" s="7" t="n">
        <v>44750</v>
      </c>
      <c r="C3845" s="7" t="n">
        <f aca="false">B3845-WEEKDAY(B3845)+1</f>
        <v>44745</v>
      </c>
      <c r="D3845" s="1" t="e">
        <f aca="false" t="array" ref="D3845:D3845">IF(ISBLANK(_xlfn.xlookup(D$3,daily_items,_xlfn.xlookup($C3845,daily_dates,big_daily_table))),NA(),_xlfn.xlookup(D$3,daily_items,_xlfn.xlookup($C3845,daily_dates,big_daily_table)))</f>
        <v>#NAME?</v>
      </c>
      <c r="E3845" s="1" t="e">
        <f aca="false" t="array" ref="E3845:E3845">IF(ISBLANK(_xlfn.xlookup(E$3,daily_items,_xlfn.xlookup($C3845,daily_dates,big_daily_table))),NA(),_xlfn.xlookup(E$3,daily_items,_xlfn.xlookup($C3845,daily_dates,big_daily_table)))</f>
        <v>#NAME?</v>
      </c>
    </row>
    <row r="3846" customFormat="false" ht="14.25" hidden="false" customHeight="false" outlineLevel="0" collapsed="false">
      <c r="B3846" s="7" t="n">
        <v>44751</v>
      </c>
      <c r="C3846" s="7" t="n">
        <f aca="false">B3846-WEEKDAY(B3846)+1</f>
        <v>44745</v>
      </c>
      <c r="D3846" s="1" t="e">
        <f aca="false" t="array" ref="D3846:D3846">IF(ISBLANK(_xlfn.xlookup(D$3,daily_items,_xlfn.xlookup($C3846,daily_dates,big_daily_table))),NA(),_xlfn.xlookup(D$3,daily_items,_xlfn.xlookup($C3846,daily_dates,big_daily_table)))</f>
        <v>#NAME?</v>
      </c>
      <c r="E3846" s="1" t="e">
        <f aca="false" t="array" ref="E3846:E3846">IF(ISBLANK(_xlfn.xlookup(E$3,daily_items,_xlfn.xlookup($C3846,daily_dates,big_daily_table))),NA(),_xlfn.xlookup(E$3,daily_items,_xlfn.xlookup($C3846,daily_dates,big_daily_table)))</f>
        <v>#NAME?</v>
      </c>
    </row>
    <row r="3847" customFormat="false" ht="14.25" hidden="false" customHeight="false" outlineLevel="0" collapsed="false">
      <c r="B3847" s="7" t="n">
        <v>44752</v>
      </c>
      <c r="C3847" s="7" t="n">
        <f aca="false">B3847-WEEKDAY(B3847)+1</f>
        <v>44752</v>
      </c>
      <c r="D3847" s="1" t="e">
        <f aca="false" t="array" ref="D3847:D3847">IF(ISBLANK(_xlfn.xlookup(D$3,daily_items,_xlfn.xlookup($C3847,daily_dates,big_daily_table))),NA(),_xlfn.xlookup(D$3,daily_items,_xlfn.xlookup($C3847,daily_dates,big_daily_table)))</f>
        <v>#NAME?</v>
      </c>
      <c r="E3847" s="1" t="e">
        <f aca="false" t="array" ref="E3847:E3847">IF(ISBLANK(_xlfn.xlookup(E$3,daily_items,_xlfn.xlookup($C3847,daily_dates,big_daily_table))),NA(),_xlfn.xlookup(E$3,daily_items,_xlfn.xlookup($C3847,daily_dates,big_daily_table)))</f>
        <v>#NAME?</v>
      </c>
    </row>
    <row r="3848" customFormat="false" ht="14.25" hidden="false" customHeight="false" outlineLevel="0" collapsed="false">
      <c r="B3848" s="7" t="n">
        <v>44753</v>
      </c>
      <c r="C3848" s="7" t="n">
        <f aca="false">B3848-WEEKDAY(B3848)+1</f>
        <v>44752</v>
      </c>
      <c r="D3848" s="1" t="e">
        <f aca="false" t="array" ref="D3848:D3848">IF(ISBLANK(_xlfn.xlookup(D$3,daily_items,_xlfn.xlookup($C3848,daily_dates,big_daily_table))),NA(),_xlfn.xlookup(D$3,daily_items,_xlfn.xlookup($C3848,daily_dates,big_daily_table)))</f>
        <v>#NAME?</v>
      </c>
      <c r="E3848" s="1" t="e">
        <f aca="false" t="array" ref="E3848:E3848">IF(ISBLANK(_xlfn.xlookup(E$3,daily_items,_xlfn.xlookup($C3848,daily_dates,big_daily_table))),NA(),_xlfn.xlookup(E$3,daily_items,_xlfn.xlookup($C3848,daily_dates,big_daily_table)))</f>
        <v>#NAME?</v>
      </c>
    </row>
    <row r="3849" customFormat="false" ht="14.25" hidden="false" customHeight="false" outlineLevel="0" collapsed="false">
      <c r="B3849" s="7" t="n">
        <v>44754</v>
      </c>
      <c r="C3849" s="7" t="n">
        <f aca="false">B3849-WEEKDAY(B3849)+1</f>
        <v>44752</v>
      </c>
      <c r="D3849" s="1" t="e">
        <f aca="false" t="array" ref="D3849:D3849">IF(ISBLANK(_xlfn.xlookup(D$3,daily_items,_xlfn.xlookup($C3849,daily_dates,big_daily_table))),NA(),_xlfn.xlookup(D$3,daily_items,_xlfn.xlookup($C3849,daily_dates,big_daily_table)))</f>
        <v>#NAME?</v>
      </c>
      <c r="E3849" s="1" t="e">
        <f aca="false" t="array" ref="E3849:E3849">IF(ISBLANK(_xlfn.xlookup(E$3,daily_items,_xlfn.xlookup($C3849,daily_dates,big_daily_table))),NA(),_xlfn.xlookup(E$3,daily_items,_xlfn.xlookup($C3849,daily_dates,big_daily_table)))</f>
        <v>#NAME?</v>
      </c>
    </row>
    <row r="3850" customFormat="false" ht="14.25" hidden="false" customHeight="false" outlineLevel="0" collapsed="false">
      <c r="B3850" s="7" t="n">
        <v>44755</v>
      </c>
      <c r="C3850" s="7" t="n">
        <f aca="false">B3850-WEEKDAY(B3850)+1</f>
        <v>44752</v>
      </c>
      <c r="D3850" s="1" t="e">
        <f aca="false" t="array" ref="D3850:D3850">IF(ISBLANK(_xlfn.xlookup(D$3,daily_items,_xlfn.xlookup($C3850,daily_dates,big_daily_table))),NA(),_xlfn.xlookup(D$3,daily_items,_xlfn.xlookup($C3850,daily_dates,big_daily_table)))</f>
        <v>#NAME?</v>
      </c>
      <c r="E3850" s="1" t="e">
        <f aca="false" t="array" ref="E3850:E3850">IF(ISBLANK(_xlfn.xlookup(E$3,daily_items,_xlfn.xlookup($C3850,daily_dates,big_daily_table))),NA(),_xlfn.xlookup(E$3,daily_items,_xlfn.xlookup($C3850,daily_dates,big_daily_table)))</f>
        <v>#NAME?</v>
      </c>
    </row>
    <row r="3851" customFormat="false" ht="14.25" hidden="false" customHeight="false" outlineLevel="0" collapsed="false">
      <c r="B3851" s="7" t="n">
        <v>44756</v>
      </c>
      <c r="C3851" s="7" t="n">
        <f aca="false">B3851-WEEKDAY(B3851)+1</f>
        <v>44752</v>
      </c>
      <c r="D3851" s="1" t="e">
        <f aca="false" t="array" ref="D3851:D3851">IF(ISBLANK(_xlfn.xlookup(D$3,daily_items,_xlfn.xlookup($C3851,daily_dates,big_daily_table))),NA(),_xlfn.xlookup(D$3,daily_items,_xlfn.xlookup($C3851,daily_dates,big_daily_table)))</f>
        <v>#NAME?</v>
      </c>
      <c r="E3851" s="1" t="e">
        <f aca="false" t="array" ref="E3851:E3851">IF(ISBLANK(_xlfn.xlookup(E$3,daily_items,_xlfn.xlookup($C3851,daily_dates,big_daily_table))),NA(),_xlfn.xlookup(E$3,daily_items,_xlfn.xlookup($C3851,daily_dates,big_daily_table)))</f>
        <v>#NAME?</v>
      </c>
    </row>
    <row r="3852" customFormat="false" ht="14.25" hidden="false" customHeight="false" outlineLevel="0" collapsed="false">
      <c r="B3852" s="7" t="n">
        <v>44757</v>
      </c>
      <c r="C3852" s="7" t="n">
        <f aca="false">B3852-WEEKDAY(B3852)+1</f>
        <v>44752</v>
      </c>
      <c r="D3852" s="1" t="e">
        <f aca="false" t="array" ref="D3852:D3852">IF(ISBLANK(_xlfn.xlookup(D$3,daily_items,_xlfn.xlookup($C3852,daily_dates,big_daily_table))),NA(),_xlfn.xlookup(D$3,daily_items,_xlfn.xlookup($C3852,daily_dates,big_daily_table)))</f>
        <v>#NAME?</v>
      </c>
      <c r="E3852" s="1" t="e">
        <f aca="false" t="array" ref="E3852:E3852">IF(ISBLANK(_xlfn.xlookup(E$3,daily_items,_xlfn.xlookup($C3852,daily_dates,big_daily_table))),NA(),_xlfn.xlookup(E$3,daily_items,_xlfn.xlookup($C3852,daily_dates,big_daily_table)))</f>
        <v>#NAME?</v>
      </c>
    </row>
    <row r="3853" customFormat="false" ht="14.25" hidden="false" customHeight="false" outlineLevel="0" collapsed="false">
      <c r="B3853" s="7" t="n">
        <v>44758</v>
      </c>
      <c r="C3853" s="7" t="n">
        <f aca="false">B3853-WEEKDAY(B3853)+1</f>
        <v>44752</v>
      </c>
      <c r="D3853" s="1" t="e">
        <f aca="false" t="array" ref="D3853:D3853">IF(ISBLANK(_xlfn.xlookup(D$3,daily_items,_xlfn.xlookup($C3853,daily_dates,big_daily_table))),NA(),_xlfn.xlookup(D$3,daily_items,_xlfn.xlookup($C3853,daily_dates,big_daily_table)))</f>
        <v>#NAME?</v>
      </c>
      <c r="E3853" s="1" t="e">
        <f aca="false" t="array" ref="E3853:E3853">IF(ISBLANK(_xlfn.xlookup(E$3,daily_items,_xlfn.xlookup($C3853,daily_dates,big_daily_table))),NA(),_xlfn.xlookup(E$3,daily_items,_xlfn.xlookup($C3853,daily_dates,big_daily_table)))</f>
        <v>#NAME?</v>
      </c>
    </row>
    <row r="3854" customFormat="false" ht="14.25" hidden="false" customHeight="false" outlineLevel="0" collapsed="false">
      <c r="B3854" s="7" t="n">
        <v>44759</v>
      </c>
      <c r="C3854" s="7" t="n">
        <f aca="false">B3854-WEEKDAY(B3854)+1</f>
        <v>44759</v>
      </c>
      <c r="D3854" s="1" t="e">
        <f aca="false" t="array" ref="D3854:D3854">IF(ISBLANK(_xlfn.xlookup(D$3,daily_items,_xlfn.xlookup($C3854,daily_dates,big_daily_table))),NA(),_xlfn.xlookup(D$3,daily_items,_xlfn.xlookup($C3854,daily_dates,big_daily_table)))</f>
        <v>#NAME?</v>
      </c>
      <c r="E3854" s="1" t="e">
        <f aca="false" t="array" ref="E3854:E3854">IF(ISBLANK(_xlfn.xlookup(E$3,daily_items,_xlfn.xlookup($C3854,daily_dates,big_daily_table))),NA(),_xlfn.xlookup(E$3,daily_items,_xlfn.xlookup($C3854,daily_dates,big_daily_table)))</f>
        <v>#NAME?</v>
      </c>
    </row>
    <row r="3855" customFormat="false" ht="14.25" hidden="false" customHeight="false" outlineLevel="0" collapsed="false">
      <c r="B3855" s="7" t="n">
        <v>44760</v>
      </c>
      <c r="C3855" s="7" t="n">
        <f aca="false">B3855-WEEKDAY(B3855)+1</f>
        <v>44759</v>
      </c>
      <c r="D3855" s="1" t="e">
        <f aca="false" t="array" ref="D3855:D3855">IF(ISBLANK(_xlfn.xlookup(D$3,daily_items,_xlfn.xlookup($C3855,daily_dates,big_daily_table))),NA(),_xlfn.xlookup(D$3,daily_items,_xlfn.xlookup($C3855,daily_dates,big_daily_table)))</f>
        <v>#NAME?</v>
      </c>
      <c r="E3855" s="1" t="e">
        <f aca="false" t="array" ref="E3855:E3855">IF(ISBLANK(_xlfn.xlookup(E$3,daily_items,_xlfn.xlookup($C3855,daily_dates,big_daily_table))),NA(),_xlfn.xlookup(E$3,daily_items,_xlfn.xlookup($C3855,daily_dates,big_daily_table)))</f>
        <v>#NAME?</v>
      </c>
    </row>
    <row r="3856" customFormat="false" ht="14.25" hidden="false" customHeight="false" outlineLevel="0" collapsed="false">
      <c r="B3856" s="7" t="n">
        <v>44761</v>
      </c>
      <c r="C3856" s="7" t="n">
        <f aca="false">B3856-WEEKDAY(B3856)+1</f>
        <v>44759</v>
      </c>
      <c r="D3856" s="1" t="e">
        <f aca="false" t="array" ref="D3856:D3856">IF(ISBLANK(_xlfn.xlookup(D$3,daily_items,_xlfn.xlookup($C3856,daily_dates,big_daily_table))),NA(),_xlfn.xlookup(D$3,daily_items,_xlfn.xlookup($C3856,daily_dates,big_daily_table)))</f>
        <v>#NAME?</v>
      </c>
      <c r="E3856" s="1" t="e">
        <f aca="false" t="array" ref="E3856:E3856">IF(ISBLANK(_xlfn.xlookup(E$3,daily_items,_xlfn.xlookup($C3856,daily_dates,big_daily_table))),NA(),_xlfn.xlookup(E$3,daily_items,_xlfn.xlookup($C3856,daily_dates,big_daily_table)))</f>
        <v>#NAME?</v>
      </c>
    </row>
    <row r="3857" customFormat="false" ht="14.25" hidden="false" customHeight="false" outlineLevel="0" collapsed="false">
      <c r="B3857" s="7" t="n">
        <v>44762</v>
      </c>
      <c r="C3857" s="7" t="n">
        <f aca="false">B3857-WEEKDAY(B3857)+1</f>
        <v>44759</v>
      </c>
      <c r="D3857" s="1" t="e">
        <f aca="false" t="array" ref="D3857:D3857">IF(ISBLANK(_xlfn.xlookup(D$3,daily_items,_xlfn.xlookup($C3857,daily_dates,big_daily_table))),NA(),_xlfn.xlookup(D$3,daily_items,_xlfn.xlookup($C3857,daily_dates,big_daily_table)))</f>
        <v>#NAME?</v>
      </c>
      <c r="E3857" s="1" t="e">
        <f aca="false" t="array" ref="E3857:E3857">IF(ISBLANK(_xlfn.xlookup(E$3,daily_items,_xlfn.xlookup($C3857,daily_dates,big_daily_table))),NA(),_xlfn.xlookup(E$3,daily_items,_xlfn.xlookup($C3857,daily_dates,big_daily_table)))</f>
        <v>#NAME?</v>
      </c>
    </row>
    <row r="3858" customFormat="false" ht="14.25" hidden="false" customHeight="false" outlineLevel="0" collapsed="false">
      <c r="B3858" s="7" t="n">
        <v>44763</v>
      </c>
      <c r="C3858" s="7" t="n">
        <f aca="false">B3858-WEEKDAY(B3858)+1</f>
        <v>44759</v>
      </c>
      <c r="D3858" s="1" t="e">
        <f aca="false" t="array" ref="D3858:D3858">IF(ISBLANK(_xlfn.xlookup(D$3,daily_items,_xlfn.xlookup($C3858,daily_dates,big_daily_table))),NA(),_xlfn.xlookup(D$3,daily_items,_xlfn.xlookup($C3858,daily_dates,big_daily_table)))</f>
        <v>#NAME?</v>
      </c>
      <c r="E3858" s="1" t="e">
        <f aca="false" t="array" ref="E3858:E3858">IF(ISBLANK(_xlfn.xlookup(E$3,daily_items,_xlfn.xlookup($C3858,daily_dates,big_daily_table))),NA(),_xlfn.xlookup(E$3,daily_items,_xlfn.xlookup($C3858,daily_dates,big_daily_table)))</f>
        <v>#NAME?</v>
      </c>
    </row>
    <row r="3859" customFormat="false" ht="14.25" hidden="false" customHeight="false" outlineLevel="0" collapsed="false">
      <c r="B3859" s="7" t="n">
        <v>44764</v>
      </c>
      <c r="C3859" s="7" t="n">
        <f aca="false">B3859-WEEKDAY(B3859)+1</f>
        <v>44759</v>
      </c>
      <c r="D3859" s="1" t="e">
        <f aca="false" t="array" ref="D3859:D3859">IF(ISBLANK(_xlfn.xlookup(D$3,daily_items,_xlfn.xlookup($C3859,daily_dates,big_daily_table))),NA(),_xlfn.xlookup(D$3,daily_items,_xlfn.xlookup($C3859,daily_dates,big_daily_table)))</f>
        <v>#NAME?</v>
      </c>
      <c r="E3859" s="1" t="e">
        <f aca="false" t="array" ref="E3859:E3859">IF(ISBLANK(_xlfn.xlookup(E$3,daily_items,_xlfn.xlookup($C3859,daily_dates,big_daily_table))),NA(),_xlfn.xlookup(E$3,daily_items,_xlfn.xlookup($C3859,daily_dates,big_daily_table)))</f>
        <v>#NAME?</v>
      </c>
    </row>
    <row r="3860" customFormat="false" ht="14.25" hidden="false" customHeight="false" outlineLevel="0" collapsed="false">
      <c r="B3860" s="7" t="n">
        <v>44765</v>
      </c>
      <c r="C3860" s="7" t="n">
        <f aca="false">B3860-WEEKDAY(B3860)+1</f>
        <v>44759</v>
      </c>
      <c r="D3860" s="1" t="e">
        <f aca="false" t="array" ref="D3860:D3860">IF(ISBLANK(_xlfn.xlookup(D$3,daily_items,_xlfn.xlookup($C3860,daily_dates,big_daily_table))),NA(),_xlfn.xlookup(D$3,daily_items,_xlfn.xlookup($C3860,daily_dates,big_daily_table)))</f>
        <v>#NAME?</v>
      </c>
      <c r="E3860" s="1" t="e">
        <f aca="false" t="array" ref="E3860:E3860">IF(ISBLANK(_xlfn.xlookup(E$3,daily_items,_xlfn.xlookup($C3860,daily_dates,big_daily_table))),NA(),_xlfn.xlookup(E$3,daily_items,_xlfn.xlookup($C3860,daily_dates,big_daily_table)))</f>
        <v>#NAME?</v>
      </c>
    </row>
    <row r="3861" customFormat="false" ht="14.25" hidden="false" customHeight="false" outlineLevel="0" collapsed="false">
      <c r="B3861" s="7" t="n">
        <v>44766</v>
      </c>
      <c r="C3861" s="7" t="n">
        <f aca="false">B3861-WEEKDAY(B3861)+1</f>
        <v>44766</v>
      </c>
      <c r="D3861" s="1" t="e">
        <f aca="false" t="array" ref="D3861:D3861">IF(ISBLANK(_xlfn.xlookup(D$3,daily_items,_xlfn.xlookup($C3861,daily_dates,big_daily_table))),NA(),_xlfn.xlookup(D$3,daily_items,_xlfn.xlookup($C3861,daily_dates,big_daily_table)))</f>
        <v>#NAME?</v>
      </c>
      <c r="E3861" s="1" t="e">
        <f aca="false" t="array" ref="E3861:E3861">IF(ISBLANK(_xlfn.xlookup(E$3,daily_items,_xlfn.xlookup($C3861,daily_dates,big_daily_table))),NA(),_xlfn.xlookup(E$3,daily_items,_xlfn.xlookup($C3861,daily_dates,big_daily_table)))</f>
        <v>#NAME?</v>
      </c>
    </row>
    <row r="3862" customFormat="false" ht="14.25" hidden="false" customHeight="false" outlineLevel="0" collapsed="false">
      <c r="B3862" s="7" t="n">
        <v>44767</v>
      </c>
      <c r="C3862" s="7" t="n">
        <f aca="false">B3862-WEEKDAY(B3862)+1</f>
        <v>44766</v>
      </c>
      <c r="D3862" s="1" t="e">
        <f aca="false" t="array" ref="D3862:D3862">IF(ISBLANK(_xlfn.xlookup(D$3,daily_items,_xlfn.xlookup($C3862,daily_dates,big_daily_table))),NA(),_xlfn.xlookup(D$3,daily_items,_xlfn.xlookup($C3862,daily_dates,big_daily_table)))</f>
        <v>#NAME?</v>
      </c>
      <c r="E3862" s="1" t="e">
        <f aca="false" t="array" ref="E3862:E3862">IF(ISBLANK(_xlfn.xlookup(E$3,daily_items,_xlfn.xlookup($C3862,daily_dates,big_daily_table))),NA(),_xlfn.xlookup(E$3,daily_items,_xlfn.xlookup($C3862,daily_dates,big_daily_table)))</f>
        <v>#NAME?</v>
      </c>
    </row>
    <row r="3863" customFormat="false" ht="14.25" hidden="false" customHeight="false" outlineLevel="0" collapsed="false">
      <c r="B3863" s="7" t="n">
        <v>44768</v>
      </c>
      <c r="C3863" s="7" t="n">
        <f aca="false">B3863-WEEKDAY(B3863)+1</f>
        <v>44766</v>
      </c>
      <c r="D3863" s="1" t="e">
        <f aca="false" t="array" ref="D3863:D3863">IF(ISBLANK(_xlfn.xlookup(D$3,daily_items,_xlfn.xlookup($C3863,daily_dates,big_daily_table))),NA(),_xlfn.xlookup(D$3,daily_items,_xlfn.xlookup($C3863,daily_dates,big_daily_table)))</f>
        <v>#NAME?</v>
      </c>
      <c r="E3863" s="1" t="e">
        <f aca="false" t="array" ref="E3863:E3863">IF(ISBLANK(_xlfn.xlookup(E$3,daily_items,_xlfn.xlookup($C3863,daily_dates,big_daily_table))),NA(),_xlfn.xlookup(E$3,daily_items,_xlfn.xlookup($C3863,daily_dates,big_daily_table)))</f>
        <v>#NAME?</v>
      </c>
    </row>
    <row r="3864" customFormat="false" ht="14.25" hidden="false" customHeight="false" outlineLevel="0" collapsed="false">
      <c r="B3864" s="7" t="n">
        <v>44769</v>
      </c>
      <c r="C3864" s="7" t="n">
        <f aca="false">B3864-WEEKDAY(B3864)+1</f>
        <v>44766</v>
      </c>
      <c r="D3864" s="1" t="e">
        <f aca="false" t="array" ref="D3864:D3864">IF(ISBLANK(_xlfn.xlookup(D$3,daily_items,_xlfn.xlookup($C3864,daily_dates,big_daily_table))),NA(),_xlfn.xlookup(D$3,daily_items,_xlfn.xlookup($C3864,daily_dates,big_daily_table)))</f>
        <v>#NAME?</v>
      </c>
      <c r="E3864" s="1" t="e">
        <f aca="false" t="array" ref="E3864:E3864">IF(ISBLANK(_xlfn.xlookup(E$3,daily_items,_xlfn.xlookup($C3864,daily_dates,big_daily_table))),NA(),_xlfn.xlookup(E$3,daily_items,_xlfn.xlookup($C3864,daily_dates,big_daily_table)))</f>
        <v>#NAME?</v>
      </c>
    </row>
    <row r="3865" customFormat="false" ht="14.25" hidden="false" customHeight="false" outlineLevel="0" collapsed="false">
      <c r="B3865" s="7" t="n">
        <v>44770</v>
      </c>
      <c r="C3865" s="7" t="n">
        <f aca="false">B3865-WEEKDAY(B3865)+1</f>
        <v>44766</v>
      </c>
      <c r="D3865" s="1" t="e">
        <f aca="false" t="array" ref="D3865:D3865">IF(ISBLANK(_xlfn.xlookup(D$3,daily_items,_xlfn.xlookup($C3865,daily_dates,big_daily_table))),NA(),_xlfn.xlookup(D$3,daily_items,_xlfn.xlookup($C3865,daily_dates,big_daily_table)))</f>
        <v>#NAME?</v>
      </c>
      <c r="E3865" s="1" t="e">
        <f aca="false" t="array" ref="E3865:E3865">IF(ISBLANK(_xlfn.xlookup(E$3,daily_items,_xlfn.xlookup($C3865,daily_dates,big_daily_table))),NA(),_xlfn.xlookup(E$3,daily_items,_xlfn.xlookup($C3865,daily_dates,big_daily_table)))</f>
        <v>#NAME?</v>
      </c>
    </row>
    <row r="3866" customFormat="false" ht="14.25" hidden="false" customHeight="false" outlineLevel="0" collapsed="false">
      <c r="B3866" s="7" t="n">
        <v>44771</v>
      </c>
      <c r="C3866" s="7" t="n">
        <f aca="false">B3866-WEEKDAY(B3866)+1</f>
        <v>44766</v>
      </c>
      <c r="D3866" s="1" t="e">
        <f aca="false" t="array" ref="D3866:D3866">IF(ISBLANK(_xlfn.xlookup(D$3,daily_items,_xlfn.xlookup($C3866,daily_dates,big_daily_table))),NA(),_xlfn.xlookup(D$3,daily_items,_xlfn.xlookup($C3866,daily_dates,big_daily_table)))</f>
        <v>#NAME?</v>
      </c>
      <c r="E3866" s="1" t="e">
        <f aca="false" t="array" ref="E3866:E3866">IF(ISBLANK(_xlfn.xlookup(E$3,daily_items,_xlfn.xlookup($C3866,daily_dates,big_daily_table))),NA(),_xlfn.xlookup(E$3,daily_items,_xlfn.xlookup($C3866,daily_dates,big_daily_table)))</f>
        <v>#NAME?</v>
      </c>
    </row>
    <row r="3867" customFormat="false" ht="14.25" hidden="false" customHeight="false" outlineLevel="0" collapsed="false">
      <c r="B3867" s="7" t="n">
        <v>44772</v>
      </c>
      <c r="C3867" s="7" t="n">
        <f aca="false">B3867-WEEKDAY(B3867)+1</f>
        <v>44766</v>
      </c>
      <c r="D3867" s="1" t="e">
        <f aca="false" t="array" ref="D3867:D3867">IF(ISBLANK(_xlfn.xlookup(D$3,daily_items,_xlfn.xlookup($C3867,daily_dates,big_daily_table))),NA(),_xlfn.xlookup(D$3,daily_items,_xlfn.xlookup($C3867,daily_dates,big_daily_table)))</f>
        <v>#NAME?</v>
      </c>
      <c r="E3867" s="1" t="e">
        <f aca="false" t="array" ref="E3867:E3867">IF(ISBLANK(_xlfn.xlookup(E$3,daily_items,_xlfn.xlookup($C3867,daily_dates,big_daily_table))),NA(),_xlfn.xlookup(E$3,daily_items,_xlfn.xlookup($C3867,daily_dates,big_daily_table)))</f>
        <v>#NAME?</v>
      </c>
    </row>
    <row r="3868" customFormat="false" ht="14.25" hidden="false" customHeight="false" outlineLevel="0" collapsed="false">
      <c r="B3868" s="7" t="n">
        <v>44773</v>
      </c>
      <c r="C3868" s="7" t="n">
        <f aca="false">B3868-WEEKDAY(B3868)+1</f>
        <v>44773</v>
      </c>
      <c r="D3868" s="1" t="e">
        <f aca="false" t="array" ref="D3868:D3868">IF(ISBLANK(_xlfn.xlookup(D$3,daily_items,_xlfn.xlookup($C3868,daily_dates,big_daily_table))),NA(),_xlfn.xlookup(D$3,daily_items,_xlfn.xlookup($C3868,daily_dates,big_daily_table)))</f>
        <v>#NAME?</v>
      </c>
      <c r="E3868" s="1" t="e">
        <f aca="false" t="array" ref="E3868:E3868">IF(ISBLANK(_xlfn.xlookup(E$3,daily_items,_xlfn.xlookup($C3868,daily_dates,big_daily_table))),NA(),_xlfn.xlookup(E$3,daily_items,_xlfn.xlookup($C3868,daily_dates,big_daily_table)))</f>
        <v>#NAME?</v>
      </c>
    </row>
    <row r="3869" customFormat="false" ht="14.25" hidden="false" customHeight="false" outlineLevel="0" collapsed="false">
      <c r="B3869" s="7" t="n">
        <v>44774</v>
      </c>
      <c r="C3869" s="7" t="n">
        <f aca="false">B3869-WEEKDAY(B3869)+1</f>
        <v>44773</v>
      </c>
      <c r="D3869" s="1" t="e">
        <f aca="false" t="array" ref="D3869:D3869">IF(ISBLANK(_xlfn.xlookup(D$3,daily_items,_xlfn.xlookup($C3869,daily_dates,big_daily_table))),NA(),_xlfn.xlookup(D$3,daily_items,_xlfn.xlookup($C3869,daily_dates,big_daily_table)))</f>
        <v>#NAME?</v>
      </c>
      <c r="E3869" s="1" t="e">
        <f aca="false" t="array" ref="E3869:E3869">IF(ISBLANK(_xlfn.xlookup(E$3,daily_items,_xlfn.xlookup($C3869,daily_dates,big_daily_table))),NA(),_xlfn.xlookup(E$3,daily_items,_xlfn.xlookup($C3869,daily_dates,big_daily_table)))</f>
        <v>#NAME?</v>
      </c>
    </row>
    <row r="3870" customFormat="false" ht="14.25" hidden="false" customHeight="false" outlineLevel="0" collapsed="false">
      <c r="B3870" s="7" t="n">
        <v>44775</v>
      </c>
      <c r="C3870" s="7" t="n">
        <f aca="false">B3870-WEEKDAY(B3870)+1</f>
        <v>44773</v>
      </c>
      <c r="D3870" s="1" t="e">
        <f aca="false" t="array" ref="D3870:D3870">IF(ISBLANK(_xlfn.xlookup(D$3,daily_items,_xlfn.xlookup($C3870,daily_dates,big_daily_table))),NA(),_xlfn.xlookup(D$3,daily_items,_xlfn.xlookup($C3870,daily_dates,big_daily_table)))</f>
        <v>#NAME?</v>
      </c>
      <c r="E3870" s="1" t="e">
        <f aca="false" t="array" ref="E3870:E3870">IF(ISBLANK(_xlfn.xlookup(E$3,daily_items,_xlfn.xlookup($C3870,daily_dates,big_daily_table))),NA(),_xlfn.xlookup(E$3,daily_items,_xlfn.xlookup($C3870,daily_dates,big_daily_table)))</f>
        <v>#NAME?</v>
      </c>
    </row>
    <row r="3871" customFormat="false" ht="14.25" hidden="false" customHeight="false" outlineLevel="0" collapsed="false">
      <c r="B3871" s="7" t="n">
        <v>44776</v>
      </c>
      <c r="C3871" s="7" t="n">
        <f aca="false">B3871-WEEKDAY(B3871)+1</f>
        <v>44773</v>
      </c>
      <c r="D3871" s="1" t="e">
        <f aca="false" t="array" ref="D3871:D3871">IF(ISBLANK(_xlfn.xlookup(D$3,daily_items,_xlfn.xlookup($C3871,daily_dates,big_daily_table))),NA(),_xlfn.xlookup(D$3,daily_items,_xlfn.xlookup($C3871,daily_dates,big_daily_table)))</f>
        <v>#NAME?</v>
      </c>
      <c r="E3871" s="1" t="e">
        <f aca="false" t="array" ref="E3871:E3871">IF(ISBLANK(_xlfn.xlookup(E$3,daily_items,_xlfn.xlookup($C3871,daily_dates,big_daily_table))),NA(),_xlfn.xlookup(E$3,daily_items,_xlfn.xlookup($C3871,daily_dates,big_daily_table)))</f>
        <v>#NAME?</v>
      </c>
    </row>
    <row r="3872" customFormat="false" ht="14.25" hidden="false" customHeight="false" outlineLevel="0" collapsed="false">
      <c r="B3872" s="7" t="n">
        <v>44777</v>
      </c>
      <c r="C3872" s="7" t="n">
        <f aca="false">B3872-WEEKDAY(B3872)+1</f>
        <v>44773</v>
      </c>
      <c r="D3872" s="1" t="e">
        <f aca="false" t="array" ref="D3872:D3872">IF(ISBLANK(_xlfn.xlookup(D$3,daily_items,_xlfn.xlookup($C3872,daily_dates,big_daily_table))),NA(),_xlfn.xlookup(D$3,daily_items,_xlfn.xlookup($C3872,daily_dates,big_daily_table)))</f>
        <v>#NAME?</v>
      </c>
      <c r="E3872" s="1" t="e">
        <f aca="false" t="array" ref="E3872:E3872">IF(ISBLANK(_xlfn.xlookup(E$3,daily_items,_xlfn.xlookup($C3872,daily_dates,big_daily_table))),NA(),_xlfn.xlookup(E$3,daily_items,_xlfn.xlookup($C3872,daily_dates,big_daily_table)))</f>
        <v>#NAME?</v>
      </c>
    </row>
    <row r="3873" customFormat="false" ht="14.25" hidden="false" customHeight="false" outlineLevel="0" collapsed="false">
      <c r="B3873" s="7" t="n">
        <v>44778</v>
      </c>
      <c r="C3873" s="7" t="n">
        <f aca="false">B3873-WEEKDAY(B3873)+1</f>
        <v>44773</v>
      </c>
      <c r="D3873" s="1" t="e">
        <f aca="false" t="array" ref="D3873:D3873">IF(ISBLANK(_xlfn.xlookup(D$3,daily_items,_xlfn.xlookup($C3873,daily_dates,big_daily_table))),NA(),_xlfn.xlookup(D$3,daily_items,_xlfn.xlookup($C3873,daily_dates,big_daily_table)))</f>
        <v>#NAME?</v>
      </c>
      <c r="E3873" s="1" t="e">
        <f aca="false" t="array" ref="E3873:E3873">IF(ISBLANK(_xlfn.xlookup(E$3,daily_items,_xlfn.xlookup($C3873,daily_dates,big_daily_table))),NA(),_xlfn.xlookup(E$3,daily_items,_xlfn.xlookup($C3873,daily_dates,big_daily_table)))</f>
        <v>#NAME?</v>
      </c>
    </row>
    <row r="3874" customFormat="false" ht="14.25" hidden="false" customHeight="false" outlineLevel="0" collapsed="false">
      <c r="B3874" s="7" t="n">
        <v>44779</v>
      </c>
      <c r="C3874" s="7" t="n">
        <f aca="false">B3874-WEEKDAY(B3874)+1</f>
        <v>44773</v>
      </c>
      <c r="D3874" s="1" t="e">
        <f aca="false" t="array" ref="D3874:D3874">IF(ISBLANK(_xlfn.xlookup(D$3,daily_items,_xlfn.xlookup($C3874,daily_dates,big_daily_table))),NA(),_xlfn.xlookup(D$3,daily_items,_xlfn.xlookup($C3874,daily_dates,big_daily_table)))</f>
        <v>#NAME?</v>
      </c>
      <c r="E3874" s="1" t="e">
        <f aca="false" t="array" ref="E3874:E3874">IF(ISBLANK(_xlfn.xlookup(E$3,daily_items,_xlfn.xlookup($C3874,daily_dates,big_daily_table))),NA(),_xlfn.xlookup(E$3,daily_items,_xlfn.xlookup($C3874,daily_dates,big_daily_table)))</f>
        <v>#NAME?</v>
      </c>
    </row>
    <row r="3875" customFormat="false" ht="14.25" hidden="false" customHeight="false" outlineLevel="0" collapsed="false">
      <c r="B3875" s="7" t="n">
        <v>44780</v>
      </c>
      <c r="C3875" s="7" t="n">
        <f aca="false">B3875-WEEKDAY(B3875)+1</f>
        <v>44780</v>
      </c>
      <c r="D3875" s="1" t="e">
        <f aca="false" t="array" ref="D3875:D3875">IF(ISBLANK(_xlfn.xlookup(D$3,daily_items,_xlfn.xlookup($C3875,daily_dates,big_daily_table))),NA(),_xlfn.xlookup(D$3,daily_items,_xlfn.xlookup($C3875,daily_dates,big_daily_table)))</f>
        <v>#NAME?</v>
      </c>
      <c r="E3875" s="1" t="e">
        <f aca="false" t="array" ref="E3875:E3875">IF(ISBLANK(_xlfn.xlookup(E$3,daily_items,_xlfn.xlookup($C3875,daily_dates,big_daily_table))),NA(),_xlfn.xlookup(E$3,daily_items,_xlfn.xlookup($C3875,daily_dates,big_daily_table)))</f>
        <v>#NAME?</v>
      </c>
    </row>
    <row r="3876" customFormat="false" ht="14.25" hidden="false" customHeight="false" outlineLevel="0" collapsed="false">
      <c r="B3876" s="7" t="n">
        <v>44781</v>
      </c>
      <c r="C3876" s="7" t="n">
        <f aca="false">B3876-WEEKDAY(B3876)+1</f>
        <v>44780</v>
      </c>
      <c r="D3876" s="1" t="e">
        <f aca="false" t="array" ref="D3876:D3876">IF(ISBLANK(_xlfn.xlookup(D$3,daily_items,_xlfn.xlookup($C3876,daily_dates,big_daily_table))),NA(),_xlfn.xlookup(D$3,daily_items,_xlfn.xlookup($C3876,daily_dates,big_daily_table)))</f>
        <v>#NAME?</v>
      </c>
      <c r="E3876" s="1" t="e">
        <f aca="false" t="array" ref="E3876:E3876">IF(ISBLANK(_xlfn.xlookup(E$3,daily_items,_xlfn.xlookup($C3876,daily_dates,big_daily_table))),NA(),_xlfn.xlookup(E$3,daily_items,_xlfn.xlookup($C3876,daily_dates,big_daily_table)))</f>
        <v>#NAME?</v>
      </c>
    </row>
    <row r="3877" customFormat="false" ht="14.25" hidden="false" customHeight="false" outlineLevel="0" collapsed="false">
      <c r="B3877" s="7" t="n">
        <v>44782</v>
      </c>
      <c r="C3877" s="7" t="n">
        <f aca="false">B3877-WEEKDAY(B3877)+1</f>
        <v>44780</v>
      </c>
      <c r="D3877" s="1" t="e">
        <f aca="false" t="array" ref="D3877:D3877">IF(ISBLANK(_xlfn.xlookup(D$3,daily_items,_xlfn.xlookup($C3877,daily_dates,big_daily_table))),NA(),_xlfn.xlookup(D$3,daily_items,_xlfn.xlookup($C3877,daily_dates,big_daily_table)))</f>
        <v>#NAME?</v>
      </c>
      <c r="E3877" s="1" t="e">
        <f aca="false" t="array" ref="E3877:E3877">IF(ISBLANK(_xlfn.xlookup(E$3,daily_items,_xlfn.xlookup($C3877,daily_dates,big_daily_table))),NA(),_xlfn.xlookup(E$3,daily_items,_xlfn.xlookup($C3877,daily_dates,big_daily_table)))</f>
        <v>#NAME?</v>
      </c>
    </row>
    <row r="3878" customFormat="false" ht="14.25" hidden="false" customHeight="false" outlineLevel="0" collapsed="false">
      <c r="B3878" s="7" t="n">
        <v>44783</v>
      </c>
      <c r="C3878" s="7" t="n">
        <f aca="false">B3878-WEEKDAY(B3878)+1</f>
        <v>44780</v>
      </c>
      <c r="D3878" s="1" t="e">
        <f aca="false" t="array" ref="D3878:D3878">IF(ISBLANK(_xlfn.xlookup(D$3,daily_items,_xlfn.xlookup($C3878,daily_dates,big_daily_table))),NA(),_xlfn.xlookup(D$3,daily_items,_xlfn.xlookup($C3878,daily_dates,big_daily_table)))</f>
        <v>#NAME?</v>
      </c>
      <c r="E3878" s="1" t="e">
        <f aca="false" t="array" ref="E3878:E3878">IF(ISBLANK(_xlfn.xlookup(E$3,daily_items,_xlfn.xlookup($C3878,daily_dates,big_daily_table))),NA(),_xlfn.xlookup(E$3,daily_items,_xlfn.xlookup($C3878,daily_dates,big_daily_table)))</f>
        <v>#NAME?</v>
      </c>
    </row>
    <row r="3879" customFormat="false" ht="14.25" hidden="false" customHeight="false" outlineLevel="0" collapsed="false">
      <c r="B3879" s="7" t="n">
        <v>44784</v>
      </c>
      <c r="C3879" s="7" t="n">
        <f aca="false">B3879-WEEKDAY(B3879)+1</f>
        <v>44780</v>
      </c>
      <c r="D3879" s="1" t="e">
        <f aca="false" t="array" ref="D3879:D3879">IF(ISBLANK(_xlfn.xlookup(D$3,daily_items,_xlfn.xlookup($C3879,daily_dates,big_daily_table))),NA(),_xlfn.xlookup(D$3,daily_items,_xlfn.xlookup($C3879,daily_dates,big_daily_table)))</f>
        <v>#NAME?</v>
      </c>
      <c r="E3879" s="1" t="e">
        <f aca="false" t="array" ref="E3879:E3879">IF(ISBLANK(_xlfn.xlookup(E$3,daily_items,_xlfn.xlookup($C3879,daily_dates,big_daily_table))),NA(),_xlfn.xlookup(E$3,daily_items,_xlfn.xlookup($C3879,daily_dates,big_daily_table)))</f>
        <v>#NAME?</v>
      </c>
    </row>
    <row r="3880" customFormat="false" ht="14.25" hidden="false" customHeight="false" outlineLevel="0" collapsed="false">
      <c r="B3880" s="7" t="n">
        <v>44785</v>
      </c>
      <c r="C3880" s="7" t="n">
        <f aca="false">B3880-WEEKDAY(B3880)+1</f>
        <v>44780</v>
      </c>
      <c r="D3880" s="1" t="e">
        <f aca="false" t="array" ref="D3880:D3880">IF(ISBLANK(_xlfn.xlookup(D$3,daily_items,_xlfn.xlookup($C3880,daily_dates,big_daily_table))),NA(),_xlfn.xlookup(D$3,daily_items,_xlfn.xlookup($C3880,daily_dates,big_daily_table)))</f>
        <v>#NAME?</v>
      </c>
      <c r="E3880" s="1" t="e">
        <f aca="false" t="array" ref="E3880:E3880">IF(ISBLANK(_xlfn.xlookup(E$3,daily_items,_xlfn.xlookup($C3880,daily_dates,big_daily_table))),NA(),_xlfn.xlookup(E$3,daily_items,_xlfn.xlookup($C3880,daily_dates,big_daily_table)))</f>
        <v>#NAME?</v>
      </c>
    </row>
    <row r="3881" customFormat="false" ht="14.25" hidden="false" customHeight="false" outlineLevel="0" collapsed="false">
      <c r="B3881" s="7" t="n">
        <v>44786</v>
      </c>
      <c r="C3881" s="7" t="n">
        <f aca="false">B3881-WEEKDAY(B3881)+1</f>
        <v>44780</v>
      </c>
      <c r="D3881" s="1" t="e">
        <f aca="false" t="array" ref="D3881:D3881">IF(ISBLANK(_xlfn.xlookup(D$3,daily_items,_xlfn.xlookup($C3881,daily_dates,big_daily_table))),NA(),_xlfn.xlookup(D$3,daily_items,_xlfn.xlookup($C3881,daily_dates,big_daily_table)))</f>
        <v>#NAME?</v>
      </c>
      <c r="E3881" s="1" t="e">
        <f aca="false" t="array" ref="E3881:E3881">IF(ISBLANK(_xlfn.xlookup(E$3,daily_items,_xlfn.xlookup($C3881,daily_dates,big_daily_table))),NA(),_xlfn.xlookup(E$3,daily_items,_xlfn.xlookup($C3881,daily_dates,big_daily_table)))</f>
        <v>#NAME?</v>
      </c>
    </row>
    <row r="3882" customFormat="false" ht="14.25" hidden="false" customHeight="false" outlineLevel="0" collapsed="false">
      <c r="B3882" s="7" t="n">
        <v>44787</v>
      </c>
      <c r="C3882" s="7" t="n">
        <f aca="false">B3882-WEEKDAY(B3882)+1</f>
        <v>44787</v>
      </c>
      <c r="D3882" s="1" t="e">
        <f aca="false" t="array" ref="D3882:D3882">IF(ISBLANK(_xlfn.xlookup(D$3,daily_items,_xlfn.xlookup($C3882,daily_dates,big_daily_table))),NA(),_xlfn.xlookup(D$3,daily_items,_xlfn.xlookup($C3882,daily_dates,big_daily_table)))</f>
        <v>#NAME?</v>
      </c>
      <c r="E3882" s="1" t="e">
        <f aca="false" t="array" ref="E3882:E3882">IF(ISBLANK(_xlfn.xlookup(E$3,daily_items,_xlfn.xlookup($C3882,daily_dates,big_daily_table))),NA(),_xlfn.xlookup(E$3,daily_items,_xlfn.xlookup($C3882,daily_dates,big_daily_table)))</f>
        <v>#NAME?</v>
      </c>
    </row>
    <row r="3883" customFormat="false" ht="14.25" hidden="false" customHeight="false" outlineLevel="0" collapsed="false">
      <c r="B3883" s="7" t="n">
        <v>44788</v>
      </c>
      <c r="C3883" s="7" t="n">
        <f aca="false">B3883-WEEKDAY(B3883)+1</f>
        <v>44787</v>
      </c>
      <c r="D3883" s="1" t="e">
        <f aca="false" t="array" ref="D3883:D3883">IF(ISBLANK(_xlfn.xlookup(D$3,daily_items,_xlfn.xlookup($C3883,daily_dates,big_daily_table))),NA(),_xlfn.xlookup(D$3,daily_items,_xlfn.xlookup($C3883,daily_dates,big_daily_table)))</f>
        <v>#NAME?</v>
      </c>
      <c r="E3883" s="1" t="e">
        <f aca="false" t="array" ref="E3883:E3883">IF(ISBLANK(_xlfn.xlookup(E$3,daily_items,_xlfn.xlookup($C3883,daily_dates,big_daily_table))),NA(),_xlfn.xlookup(E$3,daily_items,_xlfn.xlookup($C3883,daily_dates,big_daily_table)))</f>
        <v>#NAME?</v>
      </c>
    </row>
    <row r="3884" customFormat="false" ht="14.25" hidden="false" customHeight="false" outlineLevel="0" collapsed="false">
      <c r="B3884" s="7" t="n">
        <v>44789</v>
      </c>
      <c r="C3884" s="7" t="n">
        <f aca="false">B3884-WEEKDAY(B3884)+1</f>
        <v>44787</v>
      </c>
      <c r="D3884" s="1" t="e">
        <f aca="false" t="array" ref="D3884:D3884">IF(ISBLANK(_xlfn.xlookup(D$3,daily_items,_xlfn.xlookup($C3884,daily_dates,big_daily_table))),NA(),_xlfn.xlookup(D$3,daily_items,_xlfn.xlookup($C3884,daily_dates,big_daily_table)))</f>
        <v>#NAME?</v>
      </c>
      <c r="E3884" s="1" t="e">
        <f aca="false" t="array" ref="E3884:E3884">IF(ISBLANK(_xlfn.xlookup(E$3,daily_items,_xlfn.xlookup($C3884,daily_dates,big_daily_table))),NA(),_xlfn.xlookup(E$3,daily_items,_xlfn.xlookup($C3884,daily_dates,big_daily_table)))</f>
        <v>#NAME?</v>
      </c>
    </row>
    <row r="3885" customFormat="false" ht="14.25" hidden="false" customHeight="false" outlineLevel="0" collapsed="false">
      <c r="B3885" s="7" t="n">
        <v>44790</v>
      </c>
      <c r="C3885" s="7" t="n">
        <f aca="false">B3885-WEEKDAY(B3885)+1</f>
        <v>44787</v>
      </c>
      <c r="D3885" s="1" t="e">
        <f aca="false" t="array" ref="D3885:D3885">IF(ISBLANK(_xlfn.xlookup(D$3,daily_items,_xlfn.xlookup($C3885,daily_dates,big_daily_table))),NA(),_xlfn.xlookup(D$3,daily_items,_xlfn.xlookup($C3885,daily_dates,big_daily_table)))</f>
        <v>#NAME?</v>
      </c>
      <c r="E3885" s="1" t="e">
        <f aca="false" t="array" ref="E3885:E3885">IF(ISBLANK(_xlfn.xlookup(E$3,daily_items,_xlfn.xlookup($C3885,daily_dates,big_daily_table))),NA(),_xlfn.xlookup(E$3,daily_items,_xlfn.xlookup($C3885,daily_dates,big_daily_table)))</f>
        <v>#NAME?</v>
      </c>
    </row>
    <row r="3886" customFormat="false" ht="14.25" hidden="false" customHeight="false" outlineLevel="0" collapsed="false">
      <c r="B3886" s="7" t="n">
        <v>44791</v>
      </c>
      <c r="C3886" s="7" t="n">
        <f aca="false">B3886-WEEKDAY(B3886)+1</f>
        <v>44787</v>
      </c>
      <c r="D3886" s="1" t="e">
        <f aca="false" t="array" ref="D3886:D3886">IF(ISBLANK(_xlfn.xlookup(D$3,daily_items,_xlfn.xlookup($C3886,daily_dates,big_daily_table))),NA(),_xlfn.xlookup(D$3,daily_items,_xlfn.xlookup($C3886,daily_dates,big_daily_table)))</f>
        <v>#NAME?</v>
      </c>
      <c r="E3886" s="1" t="e">
        <f aca="false" t="array" ref="E3886:E3886">IF(ISBLANK(_xlfn.xlookup(E$3,daily_items,_xlfn.xlookup($C3886,daily_dates,big_daily_table))),NA(),_xlfn.xlookup(E$3,daily_items,_xlfn.xlookup($C3886,daily_dates,big_daily_table)))</f>
        <v>#NAME?</v>
      </c>
    </row>
    <row r="3887" customFormat="false" ht="14.25" hidden="false" customHeight="false" outlineLevel="0" collapsed="false">
      <c r="B3887" s="7" t="n">
        <v>44792</v>
      </c>
      <c r="C3887" s="7" t="n">
        <f aca="false">B3887-WEEKDAY(B3887)+1</f>
        <v>44787</v>
      </c>
      <c r="D3887" s="1" t="e">
        <f aca="false" t="array" ref="D3887:D3887">IF(ISBLANK(_xlfn.xlookup(D$3,daily_items,_xlfn.xlookup($C3887,daily_dates,big_daily_table))),NA(),_xlfn.xlookup(D$3,daily_items,_xlfn.xlookup($C3887,daily_dates,big_daily_table)))</f>
        <v>#NAME?</v>
      </c>
      <c r="E3887" s="1" t="e">
        <f aca="false" t="array" ref="E3887:E3887">IF(ISBLANK(_xlfn.xlookup(E$3,daily_items,_xlfn.xlookup($C3887,daily_dates,big_daily_table))),NA(),_xlfn.xlookup(E$3,daily_items,_xlfn.xlookup($C3887,daily_dates,big_daily_table)))</f>
        <v>#NAME?</v>
      </c>
    </row>
    <row r="3888" customFormat="false" ht="14.25" hidden="false" customHeight="false" outlineLevel="0" collapsed="false">
      <c r="B3888" s="7" t="n">
        <v>44793</v>
      </c>
      <c r="C3888" s="7" t="n">
        <f aca="false">B3888-WEEKDAY(B3888)+1</f>
        <v>44787</v>
      </c>
      <c r="D3888" s="1" t="e">
        <f aca="false" t="array" ref="D3888:D3888">IF(ISBLANK(_xlfn.xlookup(D$3,daily_items,_xlfn.xlookup($C3888,daily_dates,big_daily_table))),NA(),_xlfn.xlookup(D$3,daily_items,_xlfn.xlookup($C3888,daily_dates,big_daily_table)))</f>
        <v>#NAME?</v>
      </c>
      <c r="E3888" s="1" t="e">
        <f aca="false" t="array" ref="E3888:E3888">IF(ISBLANK(_xlfn.xlookup(E$3,daily_items,_xlfn.xlookup($C3888,daily_dates,big_daily_table))),NA(),_xlfn.xlookup(E$3,daily_items,_xlfn.xlookup($C3888,daily_dates,big_daily_table)))</f>
        <v>#NAME?</v>
      </c>
    </row>
    <row r="3889" customFormat="false" ht="14.25" hidden="false" customHeight="false" outlineLevel="0" collapsed="false">
      <c r="B3889" s="7" t="n">
        <v>44794</v>
      </c>
      <c r="C3889" s="7" t="n">
        <f aca="false">B3889-WEEKDAY(B3889)+1</f>
        <v>44794</v>
      </c>
      <c r="D3889" s="1" t="e">
        <f aca="false" t="array" ref="D3889:D3889">IF(ISBLANK(_xlfn.xlookup(D$3,daily_items,_xlfn.xlookup($C3889,daily_dates,big_daily_table))),NA(),_xlfn.xlookup(D$3,daily_items,_xlfn.xlookup($C3889,daily_dates,big_daily_table)))</f>
        <v>#NAME?</v>
      </c>
      <c r="E3889" s="1" t="e">
        <f aca="false" t="array" ref="E3889:E3889">IF(ISBLANK(_xlfn.xlookup(E$3,daily_items,_xlfn.xlookup($C3889,daily_dates,big_daily_table))),NA(),_xlfn.xlookup(E$3,daily_items,_xlfn.xlookup($C3889,daily_dates,big_daily_table)))</f>
        <v>#NAME?</v>
      </c>
    </row>
    <row r="3890" customFormat="false" ht="14.25" hidden="false" customHeight="false" outlineLevel="0" collapsed="false">
      <c r="B3890" s="7" t="n">
        <v>44795</v>
      </c>
      <c r="C3890" s="7" t="n">
        <f aca="false">B3890-WEEKDAY(B3890)+1</f>
        <v>44794</v>
      </c>
      <c r="D3890" s="1" t="e">
        <f aca="false" t="array" ref="D3890:D3890">IF(ISBLANK(_xlfn.xlookup(D$3,daily_items,_xlfn.xlookup($C3890,daily_dates,big_daily_table))),NA(),_xlfn.xlookup(D$3,daily_items,_xlfn.xlookup($C3890,daily_dates,big_daily_table)))</f>
        <v>#NAME?</v>
      </c>
      <c r="E3890" s="1" t="e">
        <f aca="false" t="array" ref="E3890:E3890">IF(ISBLANK(_xlfn.xlookup(E$3,daily_items,_xlfn.xlookup($C3890,daily_dates,big_daily_table))),NA(),_xlfn.xlookup(E$3,daily_items,_xlfn.xlookup($C3890,daily_dates,big_daily_table)))</f>
        <v>#NAME?</v>
      </c>
    </row>
    <row r="3891" customFormat="false" ht="14.25" hidden="false" customHeight="false" outlineLevel="0" collapsed="false">
      <c r="B3891" s="7" t="n">
        <v>44796</v>
      </c>
      <c r="C3891" s="7" t="n">
        <f aca="false">B3891-WEEKDAY(B3891)+1</f>
        <v>44794</v>
      </c>
      <c r="D3891" s="1" t="e">
        <f aca="false" t="array" ref="D3891:D3891">IF(ISBLANK(_xlfn.xlookup(D$3,daily_items,_xlfn.xlookup($C3891,daily_dates,big_daily_table))),NA(),_xlfn.xlookup(D$3,daily_items,_xlfn.xlookup($C3891,daily_dates,big_daily_table)))</f>
        <v>#NAME?</v>
      </c>
      <c r="E3891" s="1" t="e">
        <f aca="false" t="array" ref="E3891:E3891">IF(ISBLANK(_xlfn.xlookup(E$3,daily_items,_xlfn.xlookup($C3891,daily_dates,big_daily_table))),NA(),_xlfn.xlookup(E$3,daily_items,_xlfn.xlookup($C3891,daily_dates,big_daily_table)))</f>
        <v>#NAME?</v>
      </c>
    </row>
    <row r="3892" customFormat="false" ht="14.25" hidden="false" customHeight="false" outlineLevel="0" collapsed="false">
      <c r="B3892" s="7" t="n">
        <v>44797</v>
      </c>
      <c r="C3892" s="7" t="n">
        <f aca="false">B3892-WEEKDAY(B3892)+1</f>
        <v>44794</v>
      </c>
      <c r="D3892" s="1" t="e">
        <f aca="false" t="array" ref="D3892:D3892">IF(ISBLANK(_xlfn.xlookup(D$3,daily_items,_xlfn.xlookup($C3892,daily_dates,big_daily_table))),NA(),_xlfn.xlookup(D$3,daily_items,_xlfn.xlookup($C3892,daily_dates,big_daily_table)))</f>
        <v>#NAME?</v>
      </c>
      <c r="E3892" s="1" t="e">
        <f aca="false" t="array" ref="E3892:E3892">IF(ISBLANK(_xlfn.xlookup(E$3,daily_items,_xlfn.xlookup($C3892,daily_dates,big_daily_table))),NA(),_xlfn.xlookup(E$3,daily_items,_xlfn.xlookup($C3892,daily_dates,big_daily_table)))</f>
        <v>#NAME?</v>
      </c>
    </row>
    <row r="3893" customFormat="false" ht="14.25" hidden="false" customHeight="false" outlineLevel="0" collapsed="false">
      <c r="B3893" s="7" t="n">
        <v>44798</v>
      </c>
      <c r="C3893" s="7" t="n">
        <f aca="false">B3893-WEEKDAY(B3893)+1</f>
        <v>44794</v>
      </c>
      <c r="D3893" s="1" t="e">
        <f aca="false" t="array" ref="D3893:D3893">IF(ISBLANK(_xlfn.xlookup(D$3,daily_items,_xlfn.xlookup($C3893,daily_dates,big_daily_table))),NA(),_xlfn.xlookup(D$3,daily_items,_xlfn.xlookup($C3893,daily_dates,big_daily_table)))</f>
        <v>#NAME?</v>
      </c>
      <c r="E3893" s="1" t="e">
        <f aca="false" t="array" ref="E3893:E3893">IF(ISBLANK(_xlfn.xlookup(E$3,daily_items,_xlfn.xlookup($C3893,daily_dates,big_daily_table))),NA(),_xlfn.xlookup(E$3,daily_items,_xlfn.xlookup($C3893,daily_dates,big_daily_table)))</f>
        <v>#NAME?</v>
      </c>
    </row>
    <row r="3894" customFormat="false" ht="14.25" hidden="false" customHeight="false" outlineLevel="0" collapsed="false">
      <c r="B3894" s="7" t="n">
        <v>44799</v>
      </c>
      <c r="C3894" s="7" t="n">
        <f aca="false">B3894-WEEKDAY(B3894)+1</f>
        <v>44794</v>
      </c>
      <c r="D3894" s="1" t="e">
        <f aca="false" t="array" ref="D3894:D3894">IF(ISBLANK(_xlfn.xlookup(D$3,daily_items,_xlfn.xlookup($C3894,daily_dates,big_daily_table))),NA(),_xlfn.xlookup(D$3,daily_items,_xlfn.xlookup($C3894,daily_dates,big_daily_table)))</f>
        <v>#NAME?</v>
      </c>
      <c r="E3894" s="1" t="e">
        <f aca="false" t="array" ref="E3894:E3894">IF(ISBLANK(_xlfn.xlookup(E$3,daily_items,_xlfn.xlookup($C3894,daily_dates,big_daily_table))),NA(),_xlfn.xlookup(E$3,daily_items,_xlfn.xlookup($C3894,daily_dates,big_daily_table)))</f>
        <v>#NAME?</v>
      </c>
    </row>
    <row r="3895" customFormat="false" ht="14.25" hidden="false" customHeight="false" outlineLevel="0" collapsed="false">
      <c r="B3895" s="7" t="n">
        <v>44800</v>
      </c>
      <c r="C3895" s="7" t="n">
        <f aca="false">B3895-WEEKDAY(B3895)+1</f>
        <v>44794</v>
      </c>
      <c r="D3895" s="1" t="e">
        <f aca="false" t="array" ref="D3895:D3895">IF(ISBLANK(_xlfn.xlookup(D$3,daily_items,_xlfn.xlookup($C3895,daily_dates,big_daily_table))),NA(),_xlfn.xlookup(D$3,daily_items,_xlfn.xlookup($C3895,daily_dates,big_daily_table)))</f>
        <v>#NAME?</v>
      </c>
      <c r="E3895" s="1" t="e">
        <f aca="false" t="array" ref="E3895:E3895">IF(ISBLANK(_xlfn.xlookup(E$3,daily_items,_xlfn.xlookup($C3895,daily_dates,big_daily_table))),NA(),_xlfn.xlookup(E$3,daily_items,_xlfn.xlookup($C3895,daily_dates,big_daily_table)))</f>
        <v>#NAME?</v>
      </c>
    </row>
    <row r="3896" customFormat="false" ht="14.25" hidden="false" customHeight="false" outlineLevel="0" collapsed="false">
      <c r="B3896" s="7" t="n">
        <v>44801</v>
      </c>
      <c r="C3896" s="7" t="n">
        <f aca="false">B3896-WEEKDAY(B3896)+1</f>
        <v>44801</v>
      </c>
      <c r="D3896" s="1" t="e">
        <f aca="false" t="array" ref="D3896:D3896">IF(ISBLANK(_xlfn.xlookup(D$3,daily_items,_xlfn.xlookup($C3896,daily_dates,big_daily_table))),NA(),_xlfn.xlookup(D$3,daily_items,_xlfn.xlookup($C3896,daily_dates,big_daily_table)))</f>
        <v>#NAME?</v>
      </c>
      <c r="E3896" s="1" t="e">
        <f aca="false" t="array" ref="E3896:E3896">IF(ISBLANK(_xlfn.xlookup(E$3,daily_items,_xlfn.xlookup($C3896,daily_dates,big_daily_table))),NA(),_xlfn.xlookup(E$3,daily_items,_xlfn.xlookup($C3896,daily_dates,big_daily_table)))</f>
        <v>#NAME?</v>
      </c>
    </row>
    <row r="3897" customFormat="false" ht="14.25" hidden="false" customHeight="false" outlineLevel="0" collapsed="false">
      <c r="B3897" s="7" t="n">
        <v>44802</v>
      </c>
      <c r="C3897" s="7" t="n">
        <f aca="false">B3897-WEEKDAY(B3897)+1</f>
        <v>44801</v>
      </c>
      <c r="D3897" s="1" t="e">
        <f aca="false" t="array" ref="D3897:D3897">IF(ISBLANK(_xlfn.xlookup(D$3,daily_items,_xlfn.xlookup($C3897,daily_dates,big_daily_table))),NA(),_xlfn.xlookup(D$3,daily_items,_xlfn.xlookup($C3897,daily_dates,big_daily_table)))</f>
        <v>#NAME?</v>
      </c>
      <c r="E3897" s="1" t="e">
        <f aca="false" t="array" ref="E3897:E3897">IF(ISBLANK(_xlfn.xlookup(E$3,daily_items,_xlfn.xlookup($C3897,daily_dates,big_daily_table))),NA(),_xlfn.xlookup(E$3,daily_items,_xlfn.xlookup($C3897,daily_dates,big_daily_table)))</f>
        <v>#NAME?</v>
      </c>
    </row>
    <row r="3898" customFormat="false" ht="14.25" hidden="false" customHeight="false" outlineLevel="0" collapsed="false">
      <c r="B3898" s="7" t="n">
        <v>44803</v>
      </c>
      <c r="C3898" s="7" t="n">
        <f aca="false">B3898-WEEKDAY(B3898)+1</f>
        <v>44801</v>
      </c>
      <c r="D3898" s="1" t="e">
        <f aca="false" t="array" ref="D3898:D3898">IF(ISBLANK(_xlfn.xlookup(D$3,daily_items,_xlfn.xlookup($C3898,daily_dates,big_daily_table))),NA(),_xlfn.xlookup(D$3,daily_items,_xlfn.xlookup($C3898,daily_dates,big_daily_table)))</f>
        <v>#NAME?</v>
      </c>
      <c r="E3898" s="1" t="e">
        <f aca="false" t="array" ref="E3898:E3898">IF(ISBLANK(_xlfn.xlookup(E$3,daily_items,_xlfn.xlookup($C3898,daily_dates,big_daily_table))),NA(),_xlfn.xlookup(E$3,daily_items,_xlfn.xlookup($C3898,daily_dates,big_daily_table)))</f>
        <v>#NAME?</v>
      </c>
    </row>
    <row r="3899" customFormat="false" ht="14.25" hidden="false" customHeight="false" outlineLevel="0" collapsed="false">
      <c r="B3899" s="7" t="n">
        <v>44804</v>
      </c>
      <c r="C3899" s="7" t="n">
        <f aca="false">B3899-WEEKDAY(B3899)+1</f>
        <v>44801</v>
      </c>
      <c r="D3899" s="1" t="e">
        <f aca="false" t="array" ref="D3899:D3899">IF(ISBLANK(_xlfn.xlookup(D$3,daily_items,_xlfn.xlookup($C3899,daily_dates,big_daily_table))),NA(),_xlfn.xlookup(D$3,daily_items,_xlfn.xlookup($C3899,daily_dates,big_daily_table)))</f>
        <v>#NAME?</v>
      </c>
      <c r="E3899" s="1" t="e">
        <f aca="false" t="array" ref="E3899:E3899">IF(ISBLANK(_xlfn.xlookup(E$3,daily_items,_xlfn.xlookup($C3899,daily_dates,big_daily_table))),NA(),_xlfn.xlookup(E$3,daily_items,_xlfn.xlookup($C3899,daily_dates,big_daily_table)))</f>
        <v>#NAME?</v>
      </c>
    </row>
    <row r="3900" customFormat="false" ht="14.25" hidden="false" customHeight="false" outlineLevel="0" collapsed="false">
      <c r="B3900" s="7" t="n">
        <v>44805</v>
      </c>
      <c r="C3900" s="7" t="n">
        <f aca="false">B3900-WEEKDAY(B3900)+1</f>
        <v>44801</v>
      </c>
      <c r="D3900" s="1" t="e">
        <f aca="false" t="array" ref="D3900:D3900">IF(ISBLANK(_xlfn.xlookup(D$3,daily_items,_xlfn.xlookup($C3900,daily_dates,big_daily_table))),NA(),_xlfn.xlookup(D$3,daily_items,_xlfn.xlookup($C3900,daily_dates,big_daily_table)))</f>
        <v>#NAME?</v>
      </c>
      <c r="E3900" s="1" t="e">
        <f aca="false" t="array" ref="E3900:E3900">IF(ISBLANK(_xlfn.xlookup(E$3,daily_items,_xlfn.xlookup($C3900,daily_dates,big_daily_table))),NA(),_xlfn.xlookup(E$3,daily_items,_xlfn.xlookup($C3900,daily_dates,big_daily_table)))</f>
        <v>#NAME?</v>
      </c>
    </row>
    <row r="3901" customFormat="false" ht="14.25" hidden="false" customHeight="false" outlineLevel="0" collapsed="false">
      <c r="B3901" s="7" t="n">
        <v>44806</v>
      </c>
      <c r="C3901" s="7" t="n">
        <f aca="false">B3901-WEEKDAY(B3901)+1</f>
        <v>44801</v>
      </c>
      <c r="D3901" s="1" t="e">
        <f aca="false" t="array" ref="D3901:D3901">IF(ISBLANK(_xlfn.xlookup(D$3,daily_items,_xlfn.xlookup($C3901,daily_dates,big_daily_table))),NA(),_xlfn.xlookup(D$3,daily_items,_xlfn.xlookup($C3901,daily_dates,big_daily_table)))</f>
        <v>#NAME?</v>
      </c>
      <c r="E3901" s="1" t="e">
        <f aca="false" t="array" ref="E3901:E3901">IF(ISBLANK(_xlfn.xlookup(E$3,daily_items,_xlfn.xlookup($C3901,daily_dates,big_daily_table))),NA(),_xlfn.xlookup(E$3,daily_items,_xlfn.xlookup($C3901,daily_dates,big_daily_table)))</f>
        <v>#NAME?</v>
      </c>
    </row>
    <row r="3902" customFormat="false" ht="14.25" hidden="false" customHeight="false" outlineLevel="0" collapsed="false">
      <c r="B3902" s="7" t="n">
        <v>44807</v>
      </c>
      <c r="C3902" s="7" t="n">
        <f aca="false">B3902-WEEKDAY(B3902)+1</f>
        <v>44801</v>
      </c>
      <c r="D3902" s="1" t="e">
        <f aca="false" t="array" ref="D3902:D3902">IF(ISBLANK(_xlfn.xlookup(D$3,daily_items,_xlfn.xlookup($C3902,daily_dates,big_daily_table))),NA(),_xlfn.xlookup(D$3,daily_items,_xlfn.xlookup($C3902,daily_dates,big_daily_table)))</f>
        <v>#NAME?</v>
      </c>
      <c r="E3902" s="1" t="e">
        <f aca="false" t="array" ref="E3902:E3902">IF(ISBLANK(_xlfn.xlookup(E$3,daily_items,_xlfn.xlookup($C3902,daily_dates,big_daily_table))),NA(),_xlfn.xlookup(E$3,daily_items,_xlfn.xlookup($C3902,daily_dates,big_daily_table)))</f>
        <v>#NAME?</v>
      </c>
    </row>
    <row r="3903" customFormat="false" ht="14.25" hidden="false" customHeight="false" outlineLevel="0" collapsed="false">
      <c r="B3903" s="7" t="n">
        <v>44808</v>
      </c>
      <c r="C3903" s="7" t="n">
        <f aca="false">B3903-WEEKDAY(B3903)+1</f>
        <v>44808</v>
      </c>
      <c r="D3903" s="1" t="e">
        <f aca="false" t="array" ref="D3903:D3903">IF(ISBLANK(_xlfn.xlookup(D$3,daily_items,_xlfn.xlookup($C3903,daily_dates,big_daily_table))),NA(),_xlfn.xlookup(D$3,daily_items,_xlfn.xlookup($C3903,daily_dates,big_daily_table)))</f>
        <v>#NAME?</v>
      </c>
      <c r="E3903" s="1" t="e">
        <f aca="false" t="array" ref="E3903:E3903">IF(ISBLANK(_xlfn.xlookup(E$3,daily_items,_xlfn.xlookup($C3903,daily_dates,big_daily_table))),NA(),_xlfn.xlookup(E$3,daily_items,_xlfn.xlookup($C3903,daily_dates,big_daily_table)))</f>
        <v>#NAME?</v>
      </c>
    </row>
    <row r="3904" customFormat="false" ht="14.25" hidden="false" customHeight="false" outlineLevel="0" collapsed="false">
      <c r="B3904" s="7" t="n">
        <v>44809</v>
      </c>
      <c r="C3904" s="7" t="n">
        <f aca="false">B3904-WEEKDAY(B3904)+1</f>
        <v>44808</v>
      </c>
      <c r="D3904" s="1" t="e">
        <f aca="false" t="array" ref="D3904:D3904">IF(ISBLANK(_xlfn.xlookup(D$3,daily_items,_xlfn.xlookup($C3904,daily_dates,big_daily_table))),NA(),_xlfn.xlookup(D$3,daily_items,_xlfn.xlookup($C3904,daily_dates,big_daily_table)))</f>
        <v>#NAME?</v>
      </c>
      <c r="E3904" s="1" t="e">
        <f aca="false" t="array" ref="E3904:E3904">IF(ISBLANK(_xlfn.xlookup(E$3,daily_items,_xlfn.xlookup($C3904,daily_dates,big_daily_table))),NA(),_xlfn.xlookup(E$3,daily_items,_xlfn.xlookup($C3904,daily_dates,big_daily_table)))</f>
        <v>#NAME?</v>
      </c>
    </row>
    <row r="3905" customFormat="false" ht="14.25" hidden="false" customHeight="false" outlineLevel="0" collapsed="false">
      <c r="B3905" s="7" t="n">
        <v>44810</v>
      </c>
      <c r="C3905" s="7" t="n">
        <f aca="false">B3905-WEEKDAY(B3905)+1</f>
        <v>44808</v>
      </c>
      <c r="D3905" s="1" t="e">
        <f aca="false" t="array" ref="D3905:D3905">IF(ISBLANK(_xlfn.xlookup(D$3,daily_items,_xlfn.xlookup($C3905,daily_dates,big_daily_table))),NA(),_xlfn.xlookup(D$3,daily_items,_xlfn.xlookup($C3905,daily_dates,big_daily_table)))</f>
        <v>#NAME?</v>
      </c>
      <c r="E3905" s="1" t="e">
        <f aca="false" t="array" ref="E3905:E3905">IF(ISBLANK(_xlfn.xlookup(E$3,daily_items,_xlfn.xlookup($C3905,daily_dates,big_daily_table))),NA(),_xlfn.xlookup(E$3,daily_items,_xlfn.xlookup($C3905,daily_dates,big_daily_table)))</f>
        <v>#NAME?</v>
      </c>
    </row>
    <row r="3906" customFormat="false" ht="14.25" hidden="false" customHeight="false" outlineLevel="0" collapsed="false">
      <c r="B3906" s="7" t="n">
        <v>44811</v>
      </c>
      <c r="C3906" s="7" t="n">
        <f aca="false">B3906-WEEKDAY(B3906)+1</f>
        <v>44808</v>
      </c>
      <c r="D3906" s="1" t="e">
        <f aca="false" t="array" ref="D3906:D3906">IF(ISBLANK(_xlfn.xlookup(D$3,daily_items,_xlfn.xlookup($C3906,daily_dates,big_daily_table))),NA(),_xlfn.xlookup(D$3,daily_items,_xlfn.xlookup($C3906,daily_dates,big_daily_table)))</f>
        <v>#NAME?</v>
      </c>
      <c r="E3906" s="1" t="e">
        <f aca="false" t="array" ref="E3906:E3906">IF(ISBLANK(_xlfn.xlookup(E$3,daily_items,_xlfn.xlookup($C3906,daily_dates,big_daily_table))),NA(),_xlfn.xlookup(E$3,daily_items,_xlfn.xlookup($C3906,daily_dates,big_daily_table)))</f>
        <v>#NAME?</v>
      </c>
    </row>
    <row r="3907" customFormat="false" ht="14.25" hidden="false" customHeight="false" outlineLevel="0" collapsed="false">
      <c r="B3907" s="7" t="n">
        <v>44812</v>
      </c>
      <c r="C3907" s="7" t="n">
        <f aca="false">B3907-WEEKDAY(B3907)+1</f>
        <v>44808</v>
      </c>
      <c r="D3907" s="1" t="e">
        <f aca="false" t="array" ref="D3907:D3907">IF(ISBLANK(_xlfn.xlookup(D$3,daily_items,_xlfn.xlookup($C3907,daily_dates,big_daily_table))),NA(),_xlfn.xlookup(D$3,daily_items,_xlfn.xlookup($C3907,daily_dates,big_daily_table)))</f>
        <v>#NAME?</v>
      </c>
      <c r="E3907" s="1" t="e">
        <f aca="false" t="array" ref="E3907:E3907">IF(ISBLANK(_xlfn.xlookup(E$3,daily_items,_xlfn.xlookup($C3907,daily_dates,big_daily_table))),NA(),_xlfn.xlookup(E$3,daily_items,_xlfn.xlookup($C3907,daily_dates,big_daily_table)))</f>
        <v>#NAME?</v>
      </c>
    </row>
    <row r="3908" customFormat="false" ht="14.25" hidden="false" customHeight="false" outlineLevel="0" collapsed="false">
      <c r="B3908" s="7" t="n">
        <v>44813</v>
      </c>
      <c r="C3908" s="7" t="n">
        <f aca="false">B3908-WEEKDAY(B3908)+1</f>
        <v>44808</v>
      </c>
      <c r="D3908" s="1" t="e">
        <f aca="false" t="array" ref="D3908:D3908">IF(ISBLANK(_xlfn.xlookup(D$3,daily_items,_xlfn.xlookup($C3908,daily_dates,big_daily_table))),NA(),_xlfn.xlookup(D$3,daily_items,_xlfn.xlookup($C3908,daily_dates,big_daily_table)))</f>
        <v>#NAME?</v>
      </c>
      <c r="E3908" s="1" t="e">
        <f aca="false" t="array" ref="E3908:E3908">IF(ISBLANK(_xlfn.xlookup(E$3,daily_items,_xlfn.xlookup($C3908,daily_dates,big_daily_table))),NA(),_xlfn.xlookup(E$3,daily_items,_xlfn.xlookup($C3908,daily_dates,big_daily_table)))</f>
        <v>#NAME?</v>
      </c>
    </row>
    <row r="3909" customFormat="false" ht="14.25" hidden="false" customHeight="false" outlineLevel="0" collapsed="false">
      <c r="B3909" s="7" t="n">
        <v>44814</v>
      </c>
      <c r="C3909" s="7" t="n">
        <f aca="false">B3909-WEEKDAY(B3909)+1</f>
        <v>44808</v>
      </c>
      <c r="D3909" s="1" t="e">
        <f aca="false" t="array" ref="D3909:D3909">IF(ISBLANK(_xlfn.xlookup(D$3,daily_items,_xlfn.xlookup($C3909,daily_dates,big_daily_table))),NA(),_xlfn.xlookup(D$3,daily_items,_xlfn.xlookup($C3909,daily_dates,big_daily_table)))</f>
        <v>#NAME?</v>
      </c>
      <c r="E3909" s="1" t="e">
        <f aca="false" t="array" ref="E3909:E3909">IF(ISBLANK(_xlfn.xlookup(E$3,daily_items,_xlfn.xlookup($C3909,daily_dates,big_daily_table))),NA(),_xlfn.xlookup(E$3,daily_items,_xlfn.xlookup($C3909,daily_dates,big_daily_table)))</f>
        <v>#NAME?</v>
      </c>
    </row>
    <row r="3910" customFormat="false" ht="14.25" hidden="false" customHeight="false" outlineLevel="0" collapsed="false">
      <c r="B3910" s="7" t="n">
        <v>44815</v>
      </c>
      <c r="C3910" s="7" t="n">
        <f aca="false">B3910-WEEKDAY(B3910)+1</f>
        <v>44815</v>
      </c>
      <c r="D3910" s="1" t="e">
        <f aca="false" t="array" ref="D3910:D3910">IF(ISBLANK(_xlfn.xlookup(D$3,daily_items,_xlfn.xlookup($C3910,daily_dates,big_daily_table))),NA(),_xlfn.xlookup(D$3,daily_items,_xlfn.xlookup($C3910,daily_dates,big_daily_table)))</f>
        <v>#NAME?</v>
      </c>
      <c r="E3910" s="1" t="e">
        <f aca="false" t="array" ref="E3910:E3910">IF(ISBLANK(_xlfn.xlookup(E$3,daily_items,_xlfn.xlookup($C3910,daily_dates,big_daily_table))),NA(),_xlfn.xlookup(E$3,daily_items,_xlfn.xlookup($C3910,daily_dates,big_daily_table)))</f>
        <v>#NAME?</v>
      </c>
    </row>
    <row r="3911" customFormat="false" ht="14.25" hidden="false" customHeight="false" outlineLevel="0" collapsed="false">
      <c r="B3911" s="7" t="n">
        <v>44816</v>
      </c>
      <c r="C3911" s="7" t="n">
        <f aca="false">B3911-WEEKDAY(B3911)+1</f>
        <v>44815</v>
      </c>
      <c r="D3911" s="1" t="e">
        <f aca="false" t="array" ref="D3911:D3911">IF(ISBLANK(_xlfn.xlookup(D$3,daily_items,_xlfn.xlookup($C3911,daily_dates,big_daily_table))),NA(),_xlfn.xlookup(D$3,daily_items,_xlfn.xlookup($C3911,daily_dates,big_daily_table)))</f>
        <v>#NAME?</v>
      </c>
      <c r="E3911" s="1" t="e">
        <f aca="false" t="array" ref="E3911:E3911">IF(ISBLANK(_xlfn.xlookup(E$3,daily_items,_xlfn.xlookup($C3911,daily_dates,big_daily_table))),NA(),_xlfn.xlookup(E$3,daily_items,_xlfn.xlookup($C3911,daily_dates,big_daily_table)))</f>
        <v>#NAME?</v>
      </c>
    </row>
    <row r="3912" customFormat="false" ht="14.25" hidden="false" customHeight="false" outlineLevel="0" collapsed="false">
      <c r="B3912" s="7" t="n">
        <v>44817</v>
      </c>
      <c r="C3912" s="7" t="n">
        <f aca="false">B3912-WEEKDAY(B3912)+1</f>
        <v>44815</v>
      </c>
      <c r="D3912" s="1" t="e">
        <f aca="false" t="array" ref="D3912:D3912">IF(ISBLANK(_xlfn.xlookup(D$3,daily_items,_xlfn.xlookup($C3912,daily_dates,big_daily_table))),NA(),_xlfn.xlookup(D$3,daily_items,_xlfn.xlookup($C3912,daily_dates,big_daily_table)))</f>
        <v>#NAME?</v>
      </c>
      <c r="E3912" s="1" t="e">
        <f aca="false" t="array" ref="E3912:E3912">IF(ISBLANK(_xlfn.xlookup(E$3,daily_items,_xlfn.xlookup($C3912,daily_dates,big_daily_table))),NA(),_xlfn.xlookup(E$3,daily_items,_xlfn.xlookup($C3912,daily_dates,big_daily_table)))</f>
        <v>#NAME?</v>
      </c>
    </row>
    <row r="3913" customFormat="false" ht="14.25" hidden="false" customHeight="false" outlineLevel="0" collapsed="false">
      <c r="B3913" s="7" t="n">
        <v>44818</v>
      </c>
      <c r="C3913" s="7" t="n">
        <f aca="false">B3913-WEEKDAY(B3913)+1</f>
        <v>44815</v>
      </c>
      <c r="D3913" s="1" t="e">
        <f aca="false" t="array" ref="D3913:D3913">IF(ISBLANK(_xlfn.xlookup(D$3,daily_items,_xlfn.xlookup($C3913,daily_dates,big_daily_table))),NA(),_xlfn.xlookup(D$3,daily_items,_xlfn.xlookup($C3913,daily_dates,big_daily_table)))</f>
        <v>#NAME?</v>
      </c>
      <c r="E3913" s="1" t="e">
        <f aca="false" t="array" ref="E3913:E3913">IF(ISBLANK(_xlfn.xlookup(E$3,daily_items,_xlfn.xlookup($C3913,daily_dates,big_daily_table))),NA(),_xlfn.xlookup(E$3,daily_items,_xlfn.xlookup($C3913,daily_dates,big_daily_table)))</f>
        <v>#NAME?</v>
      </c>
    </row>
    <row r="3914" customFormat="false" ht="14.25" hidden="false" customHeight="false" outlineLevel="0" collapsed="false">
      <c r="B3914" s="7" t="n">
        <v>44819</v>
      </c>
      <c r="C3914" s="7" t="n">
        <f aca="false">B3914-WEEKDAY(B3914)+1</f>
        <v>44815</v>
      </c>
      <c r="D3914" s="1" t="e">
        <f aca="false" t="array" ref="D3914:D3914">IF(ISBLANK(_xlfn.xlookup(D$3,daily_items,_xlfn.xlookup($C3914,daily_dates,big_daily_table))),NA(),_xlfn.xlookup(D$3,daily_items,_xlfn.xlookup($C3914,daily_dates,big_daily_table)))</f>
        <v>#NAME?</v>
      </c>
      <c r="E3914" s="1" t="e">
        <f aca="false" t="array" ref="E3914:E3914">IF(ISBLANK(_xlfn.xlookup(E$3,daily_items,_xlfn.xlookup($C3914,daily_dates,big_daily_table))),NA(),_xlfn.xlookup(E$3,daily_items,_xlfn.xlookup($C3914,daily_dates,big_daily_table)))</f>
        <v>#NAME?</v>
      </c>
    </row>
    <row r="3915" customFormat="false" ht="14.25" hidden="false" customHeight="false" outlineLevel="0" collapsed="false">
      <c r="B3915" s="7" t="n">
        <v>44820</v>
      </c>
      <c r="C3915" s="7" t="n">
        <f aca="false">B3915-WEEKDAY(B3915)+1</f>
        <v>44815</v>
      </c>
      <c r="D3915" s="1" t="e">
        <f aca="false" t="array" ref="D3915:D3915">IF(ISBLANK(_xlfn.xlookup(D$3,daily_items,_xlfn.xlookup($C3915,daily_dates,big_daily_table))),NA(),_xlfn.xlookup(D$3,daily_items,_xlfn.xlookup($C3915,daily_dates,big_daily_table)))</f>
        <v>#NAME?</v>
      </c>
      <c r="E3915" s="1" t="e">
        <f aca="false" t="array" ref="E3915:E3915">IF(ISBLANK(_xlfn.xlookup(E$3,daily_items,_xlfn.xlookup($C3915,daily_dates,big_daily_table))),NA(),_xlfn.xlookup(E$3,daily_items,_xlfn.xlookup($C3915,daily_dates,big_daily_table)))</f>
        <v>#NAME?</v>
      </c>
    </row>
    <row r="3916" customFormat="false" ht="14.25" hidden="false" customHeight="false" outlineLevel="0" collapsed="false">
      <c r="B3916" s="7" t="n">
        <v>44821</v>
      </c>
      <c r="C3916" s="7" t="n">
        <f aca="false">B3916-WEEKDAY(B3916)+1</f>
        <v>44815</v>
      </c>
      <c r="D3916" s="1" t="e">
        <f aca="false" t="array" ref="D3916:D3916">IF(ISBLANK(_xlfn.xlookup(D$3,daily_items,_xlfn.xlookup($C3916,daily_dates,big_daily_table))),NA(),_xlfn.xlookup(D$3,daily_items,_xlfn.xlookup($C3916,daily_dates,big_daily_table)))</f>
        <v>#NAME?</v>
      </c>
      <c r="E3916" s="1" t="e">
        <f aca="false" t="array" ref="E3916:E3916">IF(ISBLANK(_xlfn.xlookup(E$3,daily_items,_xlfn.xlookup($C3916,daily_dates,big_daily_table))),NA(),_xlfn.xlookup(E$3,daily_items,_xlfn.xlookup($C3916,daily_dates,big_daily_table)))</f>
        <v>#NAME?</v>
      </c>
    </row>
    <row r="3917" customFormat="false" ht="14.25" hidden="false" customHeight="false" outlineLevel="0" collapsed="false">
      <c r="B3917" s="7" t="n">
        <v>44822</v>
      </c>
      <c r="C3917" s="7" t="n">
        <f aca="false">B3917-WEEKDAY(B3917)+1</f>
        <v>44822</v>
      </c>
      <c r="D3917" s="1" t="e">
        <f aca="false" t="array" ref="D3917:D3917">IF(ISBLANK(_xlfn.xlookup(D$3,daily_items,_xlfn.xlookup($C3917,daily_dates,big_daily_table))),NA(),_xlfn.xlookup(D$3,daily_items,_xlfn.xlookup($C3917,daily_dates,big_daily_table)))</f>
        <v>#NAME?</v>
      </c>
      <c r="E3917" s="1" t="e">
        <f aca="false" t="array" ref="E3917:E3917">IF(ISBLANK(_xlfn.xlookup(E$3,daily_items,_xlfn.xlookup($C3917,daily_dates,big_daily_table))),NA(),_xlfn.xlookup(E$3,daily_items,_xlfn.xlookup($C3917,daily_dates,big_daily_table)))</f>
        <v>#NAME?</v>
      </c>
    </row>
    <row r="3918" customFormat="false" ht="14.25" hidden="false" customHeight="false" outlineLevel="0" collapsed="false">
      <c r="B3918" s="7" t="n">
        <v>44823</v>
      </c>
      <c r="C3918" s="7" t="n">
        <f aca="false">B3918-WEEKDAY(B3918)+1</f>
        <v>44822</v>
      </c>
      <c r="D3918" s="1" t="e">
        <f aca="false" t="array" ref="D3918:D3918">IF(ISBLANK(_xlfn.xlookup(D$3,daily_items,_xlfn.xlookup($C3918,daily_dates,big_daily_table))),NA(),_xlfn.xlookup(D$3,daily_items,_xlfn.xlookup($C3918,daily_dates,big_daily_table)))</f>
        <v>#NAME?</v>
      </c>
      <c r="E3918" s="1" t="e">
        <f aca="false" t="array" ref="E3918:E3918">IF(ISBLANK(_xlfn.xlookup(E$3,daily_items,_xlfn.xlookup($C3918,daily_dates,big_daily_table))),NA(),_xlfn.xlookup(E$3,daily_items,_xlfn.xlookup($C3918,daily_dates,big_daily_table)))</f>
        <v>#NAME?</v>
      </c>
    </row>
    <row r="3919" customFormat="false" ht="14.25" hidden="false" customHeight="false" outlineLevel="0" collapsed="false">
      <c r="B3919" s="7" t="n">
        <v>44824</v>
      </c>
      <c r="C3919" s="7" t="n">
        <f aca="false">B3919-WEEKDAY(B3919)+1</f>
        <v>44822</v>
      </c>
      <c r="D3919" s="1" t="e">
        <f aca="false" t="array" ref="D3919:D3919">IF(ISBLANK(_xlfn.xlookup(D$3,daily_items,_xlfn.xlookup($C3919,daily_dates,big_daily_table))),NA(),_xlfn.xlookup(D$3,daily_items,_xlfn.xlookup($C3919,daily_dates,big_daily_table)))</f>
        <v>#NAME?</v>
      </c>
      <c r="E3919" s="1" t="e">
        <f aca="false" t="array" ref="E3919:E3919">IF(ISBLANK(_xlfn.xlookup(E$3,daily_items,_xlfn.xlookup($C3919,daily_dates,big_daily_table))),NA(),_xlfn.xlookup(E$3,daily_items,_xlfn.xlookup($C3919,daily_dates,big_daily_table)))</f>
        <v>#NAME?</v>
      </c>
    </row>
    <row r="3920" customFormat="false" ht="14.25" hidden="false" customHeight="false" outlineLevel="0" collapsed="false">
      <c r="B3920" s="7" t="n">
        <v>44825</v>
      </c>
      <c r="C3920" s="7" t="n">
        <f aca="false">B3920-WEEKDAY(B3920)+1</f>
        <v>44822</v>
      </c>
      <c r="D3920" s="1" t="e">
        <f aca="false" t="array" ref="D3920:D3920">IF(ISBLANK(_xlfn.xlookup(D$3,daily_items,_xlfn.xlookup($C3920,daily_dates,big_daily_table))),NA(),_xlfn.xlookup(D$3,daily_items,_xlfn.xlookup($C3920,daily_dates,big_daily_table)))</f>
        <v>#NAME?</v>
      </c>
      <c r="E3920" s="1" t="e">
        <f aca="false" t="array" ref="E3920:E3920">IF(ISBLANK(_xlfn.xlookup(E$3,daily_items,_xlfn.xlookup($C3920,daily_dates,big_daily_table))),NA(),_xlfn.xlookup(E$3,daily_items,_xlfn.xlookup($C3920,daily_dates,big_daily_table)))</f>
        <v>#NAME?</v>
      </c>
    </row>
    <row r="3921" customFormat="false" ht="14.25" hidden="false" customHeight="false" outlineLevel="0" collapsed="false">
      <c r="B3921" s="7" t="n">
        <v>44826</v>
      </c>
      <c r="C3921" s="7" t="n">
        <f aca="false">B3921-WEEKDAY(B3921)+1</f>
        <v>44822</v>
      </c>
      <c r="D3921" s="1" t="e">
        <f aca="false" t="array" ref="D3921:D3921">IF(ISBLANK(_xlfn.xlookup(D$3,daily_items,_xlfn.xlookup($C3921,daily_dates,big_daily_table))),NA(),_xlfn.xlookup(D$3,daily_items,_xlfn.xlookup($C3921,daily_dates,big_daily_table)))</f>
        <v>#NAME?</v>
      </c>
      <c r="E3921" s="1" t="e">
        <f aca="false" t="array" ref="E3921:E3921">IF(ISBLANK(_xlfn.xlookup(E$3,daily_items,_xlfn.xlookup($C3921,daily_dates,big_daily_table))),NA(),_xlfn.xlookup(E$3,daily_items,_xlfn.xlookup($C3921,daily_dates,big_daily_table)))</f>
        <v>#NAME?</v>
      </c>
    </row>
    <row r="3922" customFormat="false" ht="14.25" hidden="false" customHeight="false" outlineLevel="0" collapsed="false">
      <c r="B3922" s="7" t="n">
        <v>44827</v>
      </c>
      <c r="C3922" s="7" t="n">
        <f aca="false">B3922-WEEKDAY(B3922)+1</f>
        <v>44822</v>
      </c>
      <c r="D3922" s="1" t="e">
        <f aca="false" t="array" ref="D3922:D3922">IF(ISBLANK(_xlfn.xlookup(D$3,daily_items,_xlfn.xlookup($C3922,daily_dates,big_daily_table))),NA(),_xlfn.xlookup(D$3,daily_items,_xlfn.xlookup($C3922,daily_dates,big_daily_table)))</f>
        <v>#NAME?</v>
      </c>
      <c r="E3922" s="1" t="e">
        <f aca="false" t="array" ref="E3922:E3922">IF(ISBLANK(_xlfn.xlookup(E$3,daily_items,_xlfn.xlookup($C3922,daily_dates,big_daily_table))),NA(),_xlfn.xlookup(E$3,daily_items,_xlfn.xlookup($C3922,daily_dates,big_daily_table)))</f>
        <v>#NAME?</v>
      </c>
    </row>
    <row r="3923" customFormat="false" ht="14.25" hidden="false" customHeight="false" outlineLevel="0" collapsed="false">
      <c r="B3923" s="7" t="n">
        <v>44828</v>
      </c>
      <c r="C3923" s="7" t="n">
        <f aca="false">B3923-WEEKDAY(B3923)+1</f>
        <v>44822</v>
      </c>
      <c r="D3923" s="1" t="e">
        <f aca="false" t="array" ref="D3923:D3923">IF(ISBLANK(_xlfn.xlookup(D$3,daily_items,_xlfn.xlookup($C3923,daily_dates,big_daily_table))),NA(),_xlfn.xlookup(D$3,daily_items,_xlfn.xlookup($C3923,daily_dates,big_daily_table)))</f>
        <v>#NAME?</v>
      </c>
      <c r="E3923" s="1" t="e">
        <f aca="false" t="array" ref="E3923:E3923">IF(ISBLANK(_xlfn.xlookup(E$3,daily_items,_xlfn.xlookup($C3923,daily_dates,big_daily_table))),NA(),_xlfn.xlookup(E$3,daily_items,_xlfn.xlookup($C3923,daily_dates,big_daily_table)))</f>
        <v>#NAME?</v>
      </c>
    </row>
    <row r="3924" customFormat="false" ht="14.25" hidden="false" customHeight="false" outlineLevel="0" collapsed="false">
      <c r="B3924" s="7" t="n">
        <v>44829</v>
      </c>
      <c r="C3924" s="7" t="n">
        <f aca="false">B3924-WEEKDAY(B3924)+1</f>
        <v>44829</v>
      </c>
      <c r="D3924" s="1" t="e">
        <f aca="false" t="array" ref="D3924:D3924">IF(ISBLANK(_xlfn.xlookup(D$3,daily_items,_xlfn.xlookup($C3924,daily_dates,big_daily_table))),NA(),_xlfn.xlookup(D$3,daily_items,_xlfn.xlookup($C3924,daily_dates,big_daily_table)))</f>
        <v>#NAME?</v>
      </c>
      <c r="E3924" s="1" t="e">
        <f aca="false" t="array" ref="E3924:E3924">IF(ISBLANK(_xlfn.xlookup(E$3,daily_items,_xlfn.xlookup($C3924,daily_dates,big_daily_table))),NA(),_xlfn.xlookup(E$3,daily_items,_xlfn.xlookup($C3924,daily_dates,big_daily_table)))</f>
        <v>#NAME?</v>
      </c>
    </row>
    <row r="3925" customFormat="false" ht="14.25" hidden="false" customHeight="false" outlineLevel="0" collapsed="false">
      <c r="B3925" s="7" t="n">
        <v>44830</v>
      </c>
      <c r="C3925" s="7" t="n">
        <f aca="false">B3925-WEEKDAY(B3925)+1</f>
        <v>44829</v>
      </c>
      <c r="D3925" s="1" t="e">
        <f aca="false" t="array" ref="D3925:D3925">IF(ISBLANK(_xlfn.xlookup(D$3,daily_items,_xlfn.xlookup($C3925,daily_dates,big_daily_table))),NA(),_xlfn.xlookup(D$3,daily_items,_xlfn.xlookup($C3925,daily_dates,big_daily_table)))</f>
        <v>#NAME?</v>
      </c>
      <c r="E3925" s="1" t="e">
        <f aca="false" t="array" ref="E3925:E3925">IF(ISBLANK(_xlfn.xlookup(E$3,daily_items,_xlfn.xlookup($C3925,daily_dates,big_daily_table))),NA(),_xlfn.xlookup(E$3,daily_items,_xlfn.xlookup($C3925,daily_dates,big_daily_table)))</f>
        <v>#NAME?</v>
      </c>
    </row>
    <row r="3926" customFormat="false" ht="14.25" hidden="false" customHeight="false" outlineLevel="0" collapsed="false">
      <c r="B3926" s="7" t="n">
        <v>44831</v>
      </c>
      <c r="C3926" s="7" t="n">
        <f aca="false">B3926-WEEKDAY(B3926)+1</f>
        <v>44829</v>
      </c>
      <c r="D3926" s="1" t="e">
        <f aca="false" t="array" ref="D3926:D3926">IF(ISBLANK(_xlfn.xlookup(D$3,daily_items,_xlfn.xlookup($C3926,daily_dates,big_daily_table))),NA(),_xlfn.xlookup(D$3,daily_items,_xlfn.xlookup($C3926,daily_dates,big_daily_table)))</f>
        <v>#NAME?</v>
      </c>
      <c r="E3926" s="1" t="e">
        <f aca="false" t="array" ref="E3926:E3926">IF(ISBLANK(_xlfn.xlookup(E$3,daily_items,_xlfn.xlookup($C3926,daily_dates,big_daily_table))),NA(),_xlfn.xlookup(E$3,daily_items,_xlfn.xlookup($C3926,daily_dates,big_daily_table)))</f>
        <v>#NAME?</v>
      </c>
    </row>
    <row r="3927" customFormat="false" ht="14.25" hidden="false" customHeight="false" outlineLevel="0" collapsed="false">
      <c r="B3927" s="7" t="n">
        <v>44832</v>
      </c>
      <c r="C3927" s="7" t="n">
        <f aca="false">B3927-WEEKDAY(B3927)+1</f>
        <v>44829</v>
      </c>
      <c r="D3927" s="1" t="e">
        <f aca="false" t="array" ref="D3927:D3927">IF(ISBLANK(_xlfn.xlookup(D$3,daily_items,_xlfn.xlookup($C3927,daily_dates,big_daily_table))),NA(),_xlfn.xlookup(D$3,daily_items,_xlfn.xlookup($C3927,daily_dates,big_daily_table)))</f>
        <v>#NAME?</v>
      </c>
      <c r="E3927" s="1" t="e">
        <f aca="false" t="array" ref="E3927:E3927">IF(ISBLANK(_xlfn.xlookup(E$3,daily_items,_xlfn.xlookup($C3927,daily_dates,big_daily_table))),NA(),_xlfn.xlookup(E$3,daily_items,_xlfn.xlookup($C3927,daily_dates,big_daily_table)))</f>
        <v>#NAME?</v>
      </c>
    </row>
    <row r="3928" customFormat="false" ht="14.25" hidden="false" customHeight="false" outlineLevel="0" collapsed="false">
      <c r="B3928" s="7" t="n">
        <v>44833</v>
      </c>
      <c r="C3928" s="7" t="n">
        <f aca="false">B3928-WEEKDAY(B3928)+1</f>
        <v>44829</v>
      </c>
      <c r="D3928" s="1" t="e">
        <f aca="false" t="array" ref="D3928:D3928">IF(ISBLANK(_xlfn.xlookup(D$3,daily_items,_xlfn.xlookup($C3928,daily_dates,big_daily_table))),NA(),_xlfn.xlookup(D$3,daily_items,_xlfn.xlookup($C3928,daily_dates,big_daily_table)))</f>
        <v>#NAME?</v>
      </c>
      <c r="E3928" s="1" t="e">
        <f aca="false" t="array" ref="E3928:E3928">IF(ISBLANK(_xlfn.xlookup(E$3,daily_items,_xlfn.xlookup($C3928,daily_dates,big_daily_table))),NA(),_xlfn.xlookup(E$3,daily_items,_xlfn.xlookup($C3928,daily_dates,big_daily_table)))</f>
        <v>#NAME?</v>
      </c>
    </row>
    <row r="3929" customFormat="false" ht="14.25" hidden="false" customHeight="false" outlineLevel="0" collapsed="false">
      <c r="B3929" s="7" t="n">
        <v>44834</v>
      </c>
      <c r="C3929" s="7" t="n">
        <f aca="false">B3929-WEEKDAY(B3929)+1</f>
        <v>44829</v>
      </c>
      <c r="D3929" s="1" t="e">
        <f aca="false" t="array" ref="D3929:D3929">IF(ISBLANK(_xlfn.xlookup(D$3,daily_items,_xlfn.xlookup($C3929,daily_dates,big_daily_table))),NA(),_xlfn.xlookup(D$3,daily_items,_xlfn.xlookup($C3929,daily_dates,big_daily_table)))</f>
        <v>#NAME?</v>
      </c>
      <c r="E3929" s="1" t="e">
        <f aca="false" t="array" ref="E3929:E3929">IF(ISBLANK(_xlfn.xlookup(E$3,daily_items,_xlfn.xlookup($C3929,daily_dates,big_daily_table))),NA(),_xlfn.xlookup(E$3,daily_items,_xlfn.xlookup($C3929,daily_dates,big_daily_table)))</f>
        <v>#NAME?</v>
      </c>
    </row>
    <row r="3930" customFormat="false" ht="14.25" hidden="false" customHeight="false" outlineLevel="0" collapsed="false">
      <c r="B3930" s="7" t="n">
        <v>44835</v>
      </c>
      <c r="C3930" s="7" t="n">
        <f aca="false">B3930-WEEKDAY(B3930)+1</f>
        <v>44829</v>
      </c>
      <c r="D3930" s="1" t="e">
        <f aca="false" t="array" ref="D3930:D3930">IF(ISBLANK(_xlfn.xlookup(D$3,daily_items,_xlfn.xlookup($C3930,daily_dates,big_daily_table))),NA(),_xlfn.xlookup(D$3,daily_items,_xlfn.xlookup($C3930,daily_dates,big_daily_table)))</f>
        <v>#NAME?</v>
      </c>
      <c r="E3930" s="1" t="e">
        <f aca="false" t="array" ref="E3930:E3930">IF(ISBLANK(_xlfn.xlookup(E$3,daily_items,_xlfn.xlookup($C3930,daily_dates,big_daily_table))),NA(),_xlfn.xlookup(E$3,daily_items,_xlfn.xlookup($C3930,daily_dates,big_daily_table)))</f>
        <v>#NAME?</v>
      </c>
    </row>
    <row r="3931" customFormat="false" ht="14.25" hidden="false" customHeight="false" outlineLevel="0" collapsed="false">
      <c r="B3931" s="7" t="n">
        <v>44836</v>
      </c>
      <c r="C3931" s="7" t="n">
        <f aca="false">B3931-WEEKDAY(B3931)+1</f>
        <v>44836</v>
      </c>
      <c r="D3931" s="1" t="e">
        <f aca="false" t="array" ref="D3931:D3931">IF(ISBLANK(_xlfn.xlookup(D$3,daily_items,_xlfn.xlookup($C3931,daily_dates,big_daily_table))),NA(),_xlfn.xlookup(D$3,daily_items,_xlfn.xlookup($C3931,daily_dates,big_daily_table)))</f>
        <v>#NAME?</v>
      </c>
      <c r="E3931" s="1" t="e">
        <f aca="false" t="array" ref="E3931:E3931">IF(ISBLANK(_xlfn.xlookup(E$3,daily_items,_xlfn.xlookup($C3931,daily_dates,big_daily_table))),NA(),_xlfn.xlookup(E$3,daily_items,_xlfn.xlookup($C3931,daily_dates,big_daily_table)))</f>
        <v>#NAME?</v>
      </c>
    </row>
    <row r="3932" customFormat="false" ht="14.25" hidden="false" customHeight="false" outlineLevel="0" collapsed="false">
      <c r="B3932" s="7" t="n">
        <v>44837</v>
      </c>
      <c r="C3932" s="7" t="n">
        <f aca="false">B3932-WEEKDAY(B3932)+1</f>
        <v>44836</v>
      </c>
      <c r="D3932" s="1" t="e">
        <f aca="false" t="array" ref="D3932:D3932">IF(ISBLANK(_xlfn.xlookup(D$3,daily_items,_xlfn.xlookup($C3932,daily_dates,big_daily_table))),NA(),_xlfn.xlookup(D$3,daily_items,_xlfn.xlookup($C3932,daily_dates,big_daily_table)))</f>
        <v>#NAME?</v>
      </c>
      <c r="E3932" s="1" t="e">
        <f aca="false" t="array" ref="E3932:E3932">IF(ISBLANK(_xlfn.xlookup(E$3,daily_items,_xlfn.xlookup($C3932,daily_dates,big_daily_table))),NA(),_xlfn.xlookup(E$3,daily_items,_xlfn.xlookup($C3932,daily_dates,big_daily_table)))</f>
        <v>#NAME?</v>
      </c>
    </row>
    <row r="3933" customFormat="false" ht="14.25" hidden="false" customHeight="false" outlineLevel="0" collapsed="false">
      <c r="B3933" s="7" t="n">
        <v>44838</v>
      </c>
      <c r="C3933" s="7" t="n">
        <f aca="false">B3933-WEEKDAY(B3933)+1</f>
        <v>44836</v>
      </c>
      <c r="D3933" s="1" t="e">
        <f aca="false" t="array" ref="D3933:D3933">IF(ISBLANK(_xlfn.xlookup(D$3,daily_items,_xlfn.xlookup($C3933,daily_dates,big_daily_table))),NA(),_xlfn.xlookup(D$3,daily_items,_xlfn.xlookup($C3933,daily_dates,big_daily_table)))</f>
        <v>#NAME?</v>
      </c>
      <c r="E3933" s="1" t="e">
        <f aca="false" t="array" ref="E3933:E3933">IF(ISBLANK(_xlfn.xlookup(E$3,daily_items,_xlfn.xlookup($C3933,daily_dates,big_daily_table))),NA(),_xlfn.xlookup(E$3,daily_items,_xlfn.xlookup($C3933,daily_dates,big_daily_table)))</f>
        <v>#NAME?</v>
      </c>
    </row>
    <row r="3934" customFormat="false" ht="14.25" hidden="false" customHeight="false" outlineLevel="0" collapsed="false">
      <c r="B3934" s="7" t="n">
        <v>44839</v>
      </c>
      <c r="C3934" s="7" t="n">
        <f aca="false">B3934-WEEKDAY(B3934)+1</f>
        <v>44836</v>
      </c>
      <c r="D3934" s="1" t="e">
        <f aca="false" t="array" ref="D3934:D3934">IF(ISBLANK(_xlfn.xlookup(D$3,daily_items,_xlfn.xlookup($C3934,daily_dates,big_daily_table))),NA(),_xlfn.xlookup(D$3,daily_items,_xlfn.xlookup($C3934,daily_dates,big_daily_table)))</f>
        <v>#NAME?</v>
      </c>
      <c r="E3934" s="1" t="e">
        <f aca="false" t="array" ref="E3934:E3934">IF(ISBLANK(_xlfn.xlookup(E$3,daily_items,_xlfn.xlookup($C3934,daily_dates,big_daily_table))),NA(),_xlfn.xlookup(E$3,daily_items,_xlfn.xlookup($C3934,daily_dates,big_daily_table)))</f>
        <v>#NAME?</v>
      </c>
    </row>
    <row r="3935" customFormat="false" ht="14.25" hidden="false" customHeight="false" outlineLevel="0" collapsed="false">
      <c r="B3935" s="7" t="n">
        <v>44840</v>
      </c>
      <c r="C3935" s="7" t="n">
        <f aca="false">B3935-WEEKDAY(B3935)+1</f>
        <v>44836</v>
      </c>
      <c r="D3935" s="1" t="e">
        <f aca="false" t="array" ref="D3935:D3935">IF(ISBLANK(_xlfn.xlookup(D$3,daily_items,_xlfn.xlookup($C3935,daily_dates,big_daily_table))),NA(),_xlfn.xlookup(D$3,daily_items,_xlfn.xlookup($C3935,daily_dates,big_daily_table)))</f>
        <v>#NAME?</v>
      </c>
      <c r="E3935" s="1" t="e">
        <f aca="false" t="array" ref="E3935:E3935">IF(ISBLANK(_xlfn.xlookup(E$3,daily_items,_xlfn.xlookup($C3935,daily_dates,big_daily_table))),NA(),_xlfn.xlookup(E$3,daily_items,_xlfn.xlookup($C3935,daily_dates,big_daily_table)))</f>
        <v>#NAME?</v>
      </c>
    </row>
    <row r="3936" customFormat="false" ht="14.25" hidden="false" customHeight="false" outlineLevel="0" collapsed="false">
      <c r="B3936" s="7" t="n">
        <v>44841</v>
      </c>
      <c r="C3936" s="7" t="n">
        <f aca="false">B3936-WEEKDAY(B3936)+1</f>
        <v>44836</v>
      </c>
      <c r="D3936" s="1" t="e">
        <f aca="false" t="array" ref="D3936:D3936">IF(ISBLANK(_xlfn.xlookup(D$3,daily_items,_xlfn.xlookup($C3936,daily_dates,big_daily_table))),NA(),_xlfn.xlookup(D$3,daily_items,_xlfn.xlookup($C3936,daily_dates,big_daily_table)))</f>
        <v>#NAME?</v>
      </c>
      <c r="E3936" s="1" t="e">
        <f aca="false" t="array" ref="E3936:E3936">IF(ISBLANK(_xlfn.xlookup(E$3,daily_items,_xlfn.xlookup($C3936,daily_dates,big_daily_table))),NA(),_xlfn.xlookup(E$3,daily_items,_xlfn.xlookup($C3936,daily_dates,big_daily_table)))</f>
        <v>#NAME?</v>
      </c>
    </row>
    <row r="3937" customFormat="false" ht="14.25" hidden="false" customHeight="false" outlineLevel="0" collapsed="false">
      <c r="B3937" s="7" t="n">
        <v>44842</v>
      </c>
      <c r="C3937" s="7" t="n">
        <f aca="false">B3937-WEEKDAY(B3937)+1</f>
        <v>44836</v>
      </c>
      <c r="D3937" s="1" t="e">
        <f aca="false" t="array" ref="D3937:D3937">IF(ISBLANK(_xlfn.xlookup(D$3,daily_items,_xlfn.xlookup($C3937,daily_dates,big_daily_table))),NA(),_xlfn.xlookup(D$3,daily_items,_xlfn.xlookup($C3937,daily_dates,big_daily_table)))</f>
        <v>#NAME?</v>
      </c>
      <c r="E3937" s="1" t="e">
        <f aca="false" t="array" ref="E3937:E3937">IF(ISBLANK(_xlfn.xlookup(E$3,daily_items,_xlfn.xlookup($C3937,daily_dates,big_daily_table))),NA(),_xlfn.xlookup(E$3,daily_items,_xlfn.xlookup($C3937,daily_dates,big_daily_table)))</f>
        <v>#NAME?</v>
      </c>
    </row>
    <row r="3938" customFormat="false" ht="14.25" hidden="false" customHeight="false" outlineLevel="0" collapsed="false">
      <c r="B3938" s="7" t="n">
        <v>44843</v>
      </c>
      <c r="C3938" s="7" t="n">
        <f aca="false">B3938-WEEKDAY(B3938)+1</f>
        <v>44843</v>
      </c>
      <c r="D3938" s="1" t="e">
        <f aca="false" t="array" ref="D3938:D3938">IF(ISBLANK(_xlfn.xlookup(D$3,daily_items,_xlfn.xlookup($C3938,daily_dates,big_daily_table))),NA(),_xlfn.xlookup(D$3,daily_items,_xlfn.xlookup($C3938,daily_dates,big_daily_table)))</f>
        <v>#NAME?</v>
      </c>
      <c r="E3938" s="1" t="e">
        <f aca="false" t="array" ref="E3938:E3938">IF(ISBLANK(_xlfn.xlookup(E$3,daily_items,_xlfn.xlookup($C3938,daily_dates,big_daily_table))),NA(),_xlfn.xlookup(E$3,daily_items,_xlfn.xlookup($C3938,daily_dates,big_daily_table)))</f>
        <v>#NAME?</v>
      </c>
    </row>
    <row r="3939" customFormat="false" ht="14.25" hidden="false" customHeight="false" outlineLevel="0" collapsed="false">
      <c r="B3939" s="7" t="n">
        <v>44844</v>
      </c>
      <c r="C3939" s="7" t="n">
        <f aca="false">B3939-WEEKDAY(B3939)+1</f>
        <v>44843</v>
      </c>
      <c r="D3939" s="1" t="e">
        <f aca="false" t="array" ref="D3939:D3939">IF(ISBLANK(_xlfn.xlookup(D$3,daily_items,_xlfn.xlookup($C3939,daily_dates,big_daily_table))),NA(),_xlfn.xlookup(D$3,daily_items,_xlfn.xlookup($C3939,daily_dates,big_daily_table)))</f>
        <v>#NAME?</v>
      </c>
      <c r="E3939" s="1" t="e">
        <f aca="false" t="array" ref="E3939:E3939">IF(ISBLANK(_xlfn.xlookup(E$3,daily_items,_xlfn.xlookup($C3939,daily_dates,big_daily_table))),NA(),_xlfn.xlookup(E$3,daily_items,_xlfn.xlookup($C3939,daily_dates,big_daily_table)))</f>
        <v>#NAME?</v>
      </c>
    </row>
    <row r="3940" customFormat="false" ht="14.25" hidden="false" customHeight="false" outlineLevel="0" collapsed="false">
      <c r="B3940" s="7" t="n">
        <v>44845</v>
      </c>
      <c r="C3940" s="7" t="n">
        <f aca="false">B3940-WEEKDAY(B3940)+1</f>
        <v>44843</v>
      </c>
      <c r="D3940" s="1" t="e">
        <f aca="false" t="array" ref="D3940:D3940">IF(ISBLANK(_xlfn.xlookup(D$3,daily_items,_xlfn.xlookup($C3940,daily_dates,big_daily_table))),NA(),_xlfn.xlookup(D$3,daily_items,_xlfn.xlookup($C3940,daily_dates,big_daily_table)))</f>
        <v>#NAME?</v>
      </c>
      <c r="E3940" s="1" t="e">
        <f aca="false" t="array" ref="E3940:E3940">IF(ISBLANK(_xlfn.xlookup(E$3,daily_items,_xlfn.xlookup($C3940,daily_dates,big_daily_table))),NA(),_xlfn.xlookup(E$3,daily_items,_xlfn.xlookup($C3940,daily_dates,big_daily_table)))</f>
        <v>#NAME?</v>
      </c>
    </row>
    <row r="3941" customFormat="false" ht="14.25" hidden="false" customHeight="false" outlineLevel="0" collapsed="false">
      <c r="B3941" s="7" t="n">
        <v>44846</v>
      </c>
      <c r="C3941" s="7" t="n">
        <f aca="false">B3941-WEEKDAY(B3941)+1</f>
        <v>44843</v>
      </c>
      <c r="D3941" s="1" t="e">
        <f aca="false" t="array" ref="D3941:D3941">IF(ISBLANK(_xlfn.xlookup(D$3,daily_items,_xlfn.xlookup($C3941,daily_dates,big_daily_table))),NA(),_xlfn.xlookup(D$3,daily_items,_xlfn.xlookup($C3941,daily_dates,big_daily_table)))</f>
        <v>#NAME?</v>
      </c>
      <c r="E3941" s="1" t="e">
        <f aca="false" t="array" ref="E3941:E3941">IF(ISBLANK(_xlfn.xlookup(E$3,daily_items,_xlfn.xlookup($C3941,daily_dates,big_daily_table))),NA(),_xlfn.xlookup(E$3,daily_items,_xlfn.xlookup($C3941,daily_dates,big_daily_table)))</f>
        <v>#NAME?</v>
      </c>
    </row>
    <row r="3942" customFormat="false" ht="14.25" hidden="false" customHeight="false" outlineLevel="0" collapsed="false">
      <c r="B3942" s="7" t="n">
        <v>44847</v>
      </c>
      <c r="C3942" s="7" t="n">
        <f aca="false">B3942-WEEKDAY(B3942)+1</f>
        <v>44843</v>
      </c>
      <c r="D3942" s="1" t="e">
        <f aca="false" t="array" ref="D3942:D3942">IF(ISBLANK(_xlfn.xlookup(D$3,daily_items,_xlfn.xlookup($C3942,daily_dates,big_daily_table))),NA(),_xlfn.xlookup(D$3,daily_items,_xlfn.xlookup($C3942,daily_dates,big_daily_table)))</f>
        <v>#NAME?</v>
      </c>
      <c r="E3942" s="1" t="e">
        <f aca="false" t="array" ref="E3942:E3942">IF(ISBLANK(_xlfn.xlookup(E$3,daily_items,_xlfn.xlookup($C3942,daily_dates,big_daily_table))),NA(),_xlfn.xlookup(E$3,daily_items,_xlfn.xlookup($C3942,daily_dates,big_daily_table)))</f>
        <v>#NAME?</v>
      </c>
    </row>
    <row r="3943" customFormat="false" ht="14.25" hidden="false" customHeight="false" outlineLevel="0" collapsed="false">
      <c r="B3943" s="7" t="n">
        <v>44848</v>
      </c>
      <c r="C3943" s="7" t="n">
        <f aca="false">B3943-WEEKDAY(B3943)+1</f>
        <v>44843</v>
      </c>
      <c r="D3943" s="1" t="e">
        <f aca="false" t="array" ref="D3943:D3943">IF(ISBLANK(_xlfn.xlookup(D$3,daily_items,_xlfn.xlookup($C3943,daily_dates,big_daily_table))),NA(),_xlfn.xlookup(D$3,daily_items,_xlfn.xlookup($C3943,daily_dates,big_daily_table)))</f>
        <v>#NAME?</v>
      </c>
      <c r="E3943" s="1" t="e">
        <f aca="false" t="array" ref="E3943:E3943">IF(ISBLANK(_xlfn.xlookup(E$3,daily_items,_xlfn.xlookup($C3943,daily_dates,big_daily_table))),NA(),_xlfn.xlookup(E$3,daily_items,_xlfn.xlookup($C3943,daily_dates,big_daily_table)))</f>
        <v>#NAME?</v>
      </c>
    </row>
    <row r="3944" customFormat="false" ht="14.25" hidden="false" customHeight="false" outlineLevel="0" collapsed="false">
      <c r="B3944" s="7" t="n">
        <v>44849</v>
      </c>
      <c r="C3944" s="7" t="n">
        <f aca="false">B3944-WEEKDAY(B3944)+1</f>
        <v>44843</v>
      </c>
      <c r="D3944" s="1" t="e">
        <f aca="false" t="array" ref="D3944:D3944">IF(ISBLANK(_xlfn.xlookup(D$3,daily_items,_xlfn.xlookup($C3944,daily_dates,big_daily_table))),NA(),_xlfn.xlookup(D$3,daily_items,_xlfn.xlookup($C3944,daily_dates,big_daily_table)))</f>
        <v>#NAME?</v>
      </c>
      <c r="E3944" s="1" t="e">
        <f aca="false" t="array" ref="E3944:E3944">IF(ISBLANK(_xlfn.xlookup(E$3,daily_items,_xlfn.xlookup($C3944,daily_dates,big_daily_table))),NA(),_xlfn.xlookup(E$3,daily_items,_xlfn.xlookup($C3944,daily_dates,big_daily_table)))</f>
        <v>#NAME?</v>
      </c>
    </row>
    <row r="3945" customFormat="false" ht="14.25" hidden="false" customHeight="false" outlineLevel="0" collapsed="false">
      <c r="B3945" s="7" t="n">
        <v>44850</v>
      </c>
      <c r="C3945" s="7" t="n">
        <f aca="false">B3945-WEEKDAY(B3945)+1</f>
        <v>44850</v>
      </c>
      <c r="D3945" s="1" t="e">
        <f aca="false" t="array" ref="D3945:D3945">IF(ISBLANK(_xlfn.xlookup(D$3,daily_items,_xlfn.xlookup($C3945,daily_dates,big_daily_table))),NA(),_xlfn.xlookup(D$3,daily_items,_xlfn.xlookup($C3945,daily_dates,big_daily_table)))</f>
        <v>#NAME?</v>
      </c>
      <c r="E3945" s="1" t="e">
        <f aca="false" t="array" ref="E3945:E3945">IF(ISBLANK(_xlfn.xlookup(E$3,daily_items,_xlfn.xlookup($C3945,daily_dates,big_daily_table))),NA(),_xlfn.xlookup(E$3,daily_items,_xlfn.xlookup($C3945,daily_dates,big_daily_table)))</f>
        <v>#NAME?</v>
      </c>
    </row>
    <row r="3946" customFormat="false" ht="14.25" hidden="false" customHeight="false" outlineLevel="0" collapsed="false">
      <c r="B3946" s="7" t="n">
        <v>44851</v>
      </c>
      <c r="C3946" s="7" t="n">
        <f aca="false">B3946-WEEKDAY(B3946)+1</f>
        <v>44850</v>
      </c>
      <c r="D3946" s="1" t="e">
        <f aca="false" t="array" ref="D3946:D3946">IF(ISBLANK(_xlfn.xlookup(D$3,daily_items,_xlfn.xlookup($C3946,daily_dates,big_daily_table))),NA(),_xlfn.xlookup(D$3,daily_items,_xlfn.xlookup($C3946,daily_dates,big_daily_table)))</f>
        <v>#NAME?</v>
      </c>
      <c r="E3946" s="1" t="e">
        <f aca="false" t="array" ref="E3946:E3946">IF(ISBLANK(_xlfn.xlookup(E$3,daily_items,_xlfn.xlookup($C3946,daily_dates,big_daily_table))),NA(),_xlfn.xlookup(E$3,daily_items,_xlfn.xlookup($C3946,daily_dates,big_daily_table)))</f>
        <v>#NAME?</v>
      </c>
    </row>
    <row r="3947" customFormat="false" ht="14.25" hidden="false" customHeight="false" outlineLevel="0" collapsed="false">
      <c r="B3947" s="7" t="n">
        <v>44852</v>
      </c>
      <c r="C3947" s="7" t="n">
        <f aca="false">B3947-WEEKDAY(B3947)+1</f>
        <v>44850</v>
      </c>
      <c r="D3947" s="1" t="e">
        <f aca="false" t="array" ref="D3947:D3947">IF(ISBLANK(_xlfn.xlookup(D$3,daily_items,_xlfn.xlookup($C3947,daily_dates,big_daily_table))),NA(),_xlfn.xlookup(D$3,daily_items,_xlfn.xlookup($C3947,daily_dates,big_daily_table)))</f>
        <v>#NAME?</v>
      </c>
      <c r="E3947" s="1" t="e">
        <f aca="false" t="array" ref="E3947:E3947">IF(ISBLANK(_xlfn.xlookup(E$3,daily_items,_xlfn.xlookup($C3947,daily_dates,big_daily_table))),NA(),_xlfn.xlookup(E$3,daily_items,_xlfn.xlookup($C3947,daily_dates,big_daily_table)))</f>
        <v>#NAME?</v>
      </c>
    </row>
    <row r="3948" customFormat="false" ht="14.25" hidden="false" customHeight="false" outlineLevel="0" collapsed="false">
      <c r="B3948" s="7" t="n">
        <v>44853</v>
      </c>
      <c r="C3948" s="7" t="n">
        <f aca="false">B3948-WEEKDAY(B3948)+1</f>
        <v>44850</v>
      </c>
      <c r="D3948" s="1" t="e">
        <f aca="false" t="array" ref="D3948:D3948">IF(ISBLANK(_xlfn.xlookup(D$3,daily_items,_xlfn.xlookup($C3948,daily_dates,big_daily_table))),NA(),_xlfn.xlookup(D$3,daily_items,_xlfn.xlookup($C3948,daily_dates,big_daily_table)))</f>
        <v>#NAME?</v>
      </c>
      <c r="E3948" s="1" t="e">
        <f aca="false" t="array" ref="E3948:E3948">IF(ISBLANK(_xlfn.xlookup(E$3,daily_items,_xlfn.xlookup($C3948,daily_dates,big_daily_table))),NA(),_xlfn.xlookup(E$3,daily_items,_xlfn.xlookup($C3948,daily_dates,big_daily_table)))</f>
        <v>#NAME?</v>
      </c>
    </row>
    <row r="3949" customFormat="false" ht="14.25" hidden="false" customHeight="false" outlineLevel="0" collapsed="false">
      <c r="B3949" s="7" t="n">
        <v>44854</v>
      </c>
      <c r="C3949" s="7" t="n">
        <f aca="false">B3949-WEEKDAY(B3949)+1</f>
        <v>44850</v>
      </c>
      <c r="D3949" s="1" t="e">
        <f aca="false" t="array" ref="D3949:D3949">IF(ISBLANK(_xlfn.xlookup(D$3,daily_items,_xlfn.xlookup($C3949,daily_dates,big_daily_table))),NA(),_xlfn.xlookup(D$3,daily_items,_xlfn.xlookup($C3949,daily_dates,big_daily_table)))</f>
        <v>#NAME?</v>
      </c>
      <c r="E3949" s="1" t="e">
        <f aca="false" t="array" ref="E3949:E3949">IF(ISBLANK(_xlfn.xlookup(E$3,daily_items,_xlfn.xlookup($C3949,daily_dates,big_daily_table))),NA(),_xlfn.xlookup(E$3,daily_items,_xlfn.xlookup($C3949,daily_dates,big_daily_table)))</f>
        <v>#NAME?</v>
      </c>
    </row>
    <row r="3950" customFormat="false" ht="14.25" hidden="false" customHeight="false" outlineLevel="0" collapsed="false">
      <c r="B3950" s="7" t="n">
        <v>44855</v>
      </c>
      <c r="C3950" s="7" t="n">
        <f aca="false">B3950-WEEKDAY(B3950)+1</f>
        <v>44850</v>
      </c>
      <c r="D3950" s="1" t="e">
        <f aca="false" t="array" ref="D3950:D3950">IF(ISBLANK(_xlfn.xlookup(D$3,daily_items,_xlfn.xlookup($C3950,daily_dates,big_daily_table))),NA(),_xlfn.xlookup(D$3,daily_items,_xlfn.xlookup($C3950,daily_dates,big_daily_table)))</f>
        <v>#NAME?</v>
      </c>
      <c r="E3950" s="1" t="e">
        <f aca="false" t="array" ref="E3950:E3950">IF(ISBLANK(_xlfn.xlookup(E$3,daily_items,_xlfn.xlookup($C3950,daily_dates,big_daily_table))),NA(),_xlfn.xlookup(E$3,daily_items,_xlfn.xlookup($C3950,daily_dates,big_daily_table)))</f>
        <v>#NAME?</v>
      </c>
    </row>
    <row r="3951" customFormat="false" ht="14.25" hidden="false" customHeight="false" outlineLevel="0" collapsed="false">
      <c r="B3951" s="7" t="n">
        <v>44856</v>
      </c>
      <c r="C3951" s="7" t="n">
        <f aca="false">B3951-WEEKDAY(B3951)+1</f>
        <v>44850</v>
      </c>
      <c r="D3951" s="1" t="e">
        <f aca="false" t="array" ref="D3951:D3951">IF(ISBLANK(_xlfn.xlookup(D$3,daily_items,_xlfn.xlookup($C3951,daily_dates,big_daily_table))),NA(),_xlfn.xlookup(D$3,daily_items,_xlfn.xlookup($C3951,daily_dates,big_daily_table)))</f>
        <v>#NAME?</v>
      </c>
      <c r="E3951" s="1" t="e">
        <f aca="false" t="array" ref="E3951:E3951">IF(ISBLANK(_xlfn.xlookup(E$3,daily_items,_xlfn.xlookup($C3951,daily_dates,big_daily_table))),NA(),_xlfn.xlookup(E$3,daily_items,_xlfn.xlookup($C3951,daily_dates,big_daily_table)))</f>
        <v>#NAME?</v>
      </c>
    </row>
    <row r="3952" customFormat="false" ht="14.25" hidden="false" customHeight="false" outlineLevel="0" collapsed="false">
      <c r="B3952" s="7" t="n">
        <v>44857</v>
      </c>
      <c r="C3952" s="7" t="n">
        <f aca="false">B3952-WEEKDAY(B3952)+1</f>
        <v>44857</v>
      </c>
      <c r="D3952" s="1" t="e">
        <f aca="false" t="array" ref="D3952:D3952">IF(ISBLANK(_xlfn.xlookup(D$3,daily_items,_xlfn.xlookup($C3952,daily_dates,big_daily_table))),NA(),_xlfn.xlookup(D$3,daily_items,_xlfn.xlookup($C3952,daily_dates,big_daily_table)))</f>
        <v>#NAME?</v>
      </c>
      <c r="E3952" s="1" t="e">
        <f aca="false" t="array" ref="E3952:E3952">IF(ISBLANK(_xlfn.xlookup(E$3,daily_items,_xlfn.xlookup($C3952,daily_dates,big_daily_table))),NA(),_xlfn.xlookup(E$3,daily_items,_xlfn.xlookup($C3952,daily_dates,big_daily_table)))</f>
        <v>#NAME?</v>
      </c>
    </row>
    <row r="3953" customFormat="false" ht="14.25" hidden="false" customHeight="false" outlineLevel="0" collapsed="false">
      <c r="B3953" s="7" t="n">
        <v>44858</v>
      </c>
      <c r="C3953" s="7" t="n">
        <f aca="false">B3953-WEEKDAY(B3953)+1</f>
        <v>44857</v>
      </c>
      <c r="D3953" s="1" t="e">
        <f aca="false" t="array" ref="D3953:D3953">IF(ISBLANK(_xlfn.xlookup(D$3,daily_items,_xlfn.xlookup($C3953,daily_dates,big_daily_table))),NA(),_xlfn.xlookup(D$3,daily_items,_xlfn.xlookup($C3953,daily_dates,big_daily_table)))</f>
        <v>#NAME?</v>
      </c>
      <c r="E3953" s="1" t="e">
        <f aca="false" t="array" ref="E3953:E3953">IF(ISBLANK(_xlfn.xlookup(E$3,daily_items,_xlfn.xlookup($C3953,daily_dates,big_daily_table))),NA(),_xlfn.xlookup(E$3,daily_items,_xlfn.xlookup($C3953,daily_dates,big_daily_table)))</f>
        <v>#NAME?</v>
      </c>
    </row>
    <row r="3954" customFormat="false" ht="14.25" hidden="false" customHeight="false" outlineLevel="0" collapsed="false">
      <c r="B3954" s="7" t="n">
        <v>44859</v>
      </c>
      <c r="C3954" s="7" t="n">
        <f aca="false">B3954-WEEKDAY(B3954)+1</f>
        <v>44857</v>
      </c>
      <c r="D3954" s="1" t="e">
        <f aca="false" t="array" ref="D3954:D3954">IF(ISBLANK(_xlfn.xlookup(D$3,daily_items,_xlfn.xlookup($C3954,daily_dates,big_daily_table))),NA(),_xlfn.xlookup(D$3,daily_items,_xlfn.xlookup($C3954,daily_dates,big_daily_table)))</f>
        <v>#NAME?</v>
      </c>
      <c r="E3954" s="1" t="e">
        <f aca="false" t="array" ref="E3954:E3954">IF(ISBLANK(_xlfn.xlookup(E$3,daily_items,_xlfn.xlookup($C3954,daily_dates,big_daily_table))),NA(),_xlfn.xlookup(E$3,daily_items,_xlfn.xlookup($C3954,daily_dates,big_daily_table)))</f>
        <v>#NAME?</v>
      </c>
    </row>
    <row r="3955" customFormat="false" ht="14.25" hidden="false" customHeight="false" outlineLevel="0" collapsed="false">
      <c r="B3955" s="7" t="n">
        <v>44860</v>
      </c>
      <c r="C3955" s="7" t="n">
        <f aca="false">B3955-WEEKDAY(B3955)+1</f>
        <v>44857</v>
      </c>
      <c r="D3955" s="1" t="e">
        <f aca="false" t="array" ref="D3955:D3955">IF(ISBLANK(_xlfn.xlookup(D$3,daily_items,_xlfn.xlookup($C3955,daily_dates,big_daily_table))),NA(),_xlfn.xlookup(D$3,daily_items,_xlfn.xlookup($C3955,daily_dates,big_daily_table)))</f>
        <v>#NAME?</v>
      </c>
      <c r="E3955" s="1" t="e">
        <f aca="false" t="array" ref="E3955:E3955">IF(ISBLANK(_xlfn.xlookup(E$3,daily_items,_xlfn.xlookup($C3955,daily_dates,big_daily_table))),NA(),_xlfn.xlookup(E$3,daily_items,_xlfn.xlookup($C3955,daily_dates,big_daily_table)))</f>
        <v>#NAME?</v>
      </c>
    </row>
    <row r="3956" customFormat="false" ht="14.25" hidden="false" customHeight="false" outlineLevel="0" collapsed="false">
      <c r="B3956" s="7" t="n">
        <v>44861</v>
      </c>
      <c r="C3956" s="7" t="n">
        <f aca="false">B3956-WEEKDAY(B3956)+1</f>
        <v>44857</v>
      </c>
      <c r="D3956" s="1" t="e">
        <f aca="false" t="array" ref="D3956:D3956">IF(ISBLANK(_xlfn.xlookup(D$3,daily_items,_xlfn.xlookup($C3956,daily_dates,big_daily_table))),NA(),_xlfn.xlookup(D$3,daily_items,_xlfn.xlookup($C3956,daily_dates,big_daily_table)))</f>
        <v>#NAME?</v>
      </c>
      <c r="E3956" s="1" t="e">
        <f aca="false" t="array" ref="E3956:E3956">IF(ISBLANK(_xlfn.xlookup(E$3,daily_items,_xlfn.xlookup($C3956,daily_dates,big_daily_table))),NA(),_xlfn.xlookup(E$3,daily_items,_xlfn.xlookup($C3956,daily_dates,big_daily_table)))</f>
        <v>#NAME?</v>
      </c>
    </row>
    <row r="3957" customFormat="false" ht="14.25" hidden="false" customHeight="false" outlineLevel="0" collapsed="false">
      <c r="B3957" s="7" t="n">
        <v>44862</v>
      </c>
      <c r="C3957" s="7" t="n">
        <f aca="false">B3957-WEEKDAY(B3957)+1</f>
        <v>44857</v>
      </c>
      <c r="D3957" s="1" t="e">
        <f aca="false" t="array" ref="D3957:D3957">IF(ISBLANK(_xlfn.xlookup(D$3,daily_items,_xlfn.xlookup($C3957,daily_dates,big_daily_table))),NA(),_xlfn.xlookup(D$3,daily_items,_xlfn.xlookup($C3957,daily_dates,big_daily_table)))</f>
        <v>#NAME?</v>
      </c>
      <c r="E3957" s="1" t="e">
        <f aca="false" t="array" ref="E3957:E3957">IF(ISBLANK(_xlfn.xlookup(E$3,daily_items,_xlfn.xlookup($C3957,daily_dates,big_daily_table))),NA(),_xlfn.xlookup(E$3,daily_items,_xlfn.xlookup($C3957,daily_dates,big_daily_table)))</f>
        <v>#NAME?</v>
      </c>
    </row>
    <row r="3958" customFormat="false" ht="14.25" hidden="false" customHeight="false" outlineLevel="0" collapsed="false">
      <c r="B3958" s="7" t="n">
        <v>44863</v>
      </c>
      <c r="C3958" s="7" t="n">
        <f aca="false">B3958-WEEKDAY(B3958)+1</f>
        <v>44857</v>
      </c>
      <c r="D3958" s="1" t="e">
        <f aca="false" t="array" ref="D3958:D3958">IF(ISBLANK(_xlfn.xlookup(D$3,daily_items,_xlfn.xlookup($C3958,daily_dates,big_daily_table))),NA(),_xlfn.xlookup(D$3,daily_items,_xlfn.xlookup($C3958,daily_dates,big_daily_table)))</f>
        <v>#NAME?</v>
      </c>
      <c r="E3958" s="1" t="e">
        <f aca="false" t="array" ref="E3958:E3958">IF(ISBLANK(_xlfn.xlookup(E$3,daily_items,_xlfn.xlookup($C3958,daily_dates,big_daily_table))),NA(),_xlfn.xlookup(E$3,daily_items,_xlfn.xlookup($C3958,daily_dates,big_daily_table)))</f>
        <v>#NAME?</v>
      </c>
    </row>
    <row r="3959" customFormat="false" ht="14.25" hidden="false" customHeight="false" outlineLevel="0" collapsed="false">
      <c r="B3959" s="7" t="n">
        <v>44864</v>
      </c>
      <c r="C3959" s="7" t="n">
        <f aca="false">B3959-WEEKDAY(B3959)+1</f>
        <v>44864</v>
      </c>
      <c r="D3959" s="1" t="e">
        <f aca="false" t="array" ref="D3959:D3959">IF(ISBLANK(_xlfn.xlookup(D$3,daily_items,_xlfn.xlookup($C3959,daily_dates,big_daily_table))),NA(),_xlfn.xlookup(D$3,daily_items,_xlfn.xlookup($C3959,daily_dates,big_daily_table)))</f>
        <v>#NAME?</v>
      </c>
      <c r="E3959" s="1" t="e">
        <f aca="false" t="array" ref="E3959:E3959">IF(ISBLANK(_xlfn.xlookup(E$3,daily_items,_xlfn.xlookup($C3959,daily_dates,big_daily_table))),NA(),_xlfn.xlookup(E$3,daily_items,_xlfn.xlookup($C3959,daily_dates,big_daily_table)))</f>
        <v>#NAME?</v>
      </c>
    </row>
    <row r="3960" customFormat="false" ht="14.25" hidden="false" customHeight="false" outlineLevel="0" collapsed="false">
      <c r="B3960" s="7" t="n">
        <v>44865</v>
      </c>
      <c r="C3960" s="7" t="n">
        <f aca="false">B3960-WEEKDAY(B3960)+1</f>
        <v>44864</v>
      </c>
      <c r="D3960" s="1" t="e">
        <f aca="false" t="array" ref="D3960:D3960">IF(ISBLANK(_xlfn.xlookup(D$3,daily_items,_xlfn.xlookup($C3960,daily_dates,big_daily_table))),NA(),_xlfn.xlookup(D$3,daily_items,_xlfn.xlookup($C3960,daily_dates,big_daily_table)))</f>
        <v>#NAME?</v>
      </c>
      <c r="E3960" s="1" t="e">
        <f aca="false" t="array" ref="E3960:E3960">IF(ISBLANK(_xlfn.xlookup(E$3,daily_items,_xlfn.xlookup($C3960,daily_dates,big_daily_table))),NA(),_xlfn.xlookup(E$3,daily_items,_xlfn.xlookup($C3960,daily_dates,big_daily_table)))</f>
        <v>#NAME?</v>
      </c>
    </row>
    <row r="3961" customFormat="false" ht="14.25" hidden="false" customHeight="false" outlineLevel="0" collapsed="false">
      <c r="B3961" s="7" t="n">
        <v>44866</v>
      </c>
      <c r="C3961" s="7" t="n">
        <f aca="false">B3961-WEEKDAY(B3961)+1</f>
        <v>44864</v>
      </c>
      <c r="D3961" s="1" t="e">
        <f aca="false" t="array" ref="D3961:D3961">IF(ISBLANK(_xlfn.xlookup(D$3,daily_items,_xlfn.xlookup($C3961,daily_dates,big_daily_table))),NA(),_xlfn.xlookup(D$3,daily_items,_xlfn.xlookup($C3961,daily_dates,big_daily_table)))</f>
        <v>#NAME?</v>
      </c>
      <c r="E3961" s="1" t="e">
        <f aca="false" t="array" ref="E3961:E3961">IF(ISBLANK(_xlfn.xlookup(E$3,daily_items,_xlfn.xlookup($C3961,daily_dates,big_daily_table))),NA(),_xlfn.xlookup(E$3,daily_items,_xlfn.xlookup($C3961,daily_dates,big_daily_table)))</f>
        <v>#NAME?</v>
      </c>
    </row>
    <row r="3962" customFormat="false" ht="14.25" hidden="false" customHeight="false" outlineLevel="0" collapsed="false">
      <c r="B3962" s="7" t="n">
        <v>44867</v>
      </c>
      <c r="C3962" s="7" t="n">
        <f aca="false">B3962-WEEKDAY(B3962)+1</f>
        <v>44864</v>
      </c>
      <c r="D3962" s="1" t="e">
        <f aca="false" t="array" ref="D3962:D3962">IF(ISBLANK(_xlfn.xlookup(D$3,daily_items,_xlfn.xlookup($C3962,daily_dates,big_daily_table))),NA(),_xlfn.xlookup(D$3,daily_items,_xlfn.xlookup($C3962,daily_dates,big_daily_table)))</f>
        <v>#NAME?</v>
      </c>
      <c r="E3962" s="1" t="e">
        <f aca="false" t="array" ref="E3962:E3962">IF(ISBLANK(_xlfn.xlookup(E$3,daily_items,_xlfn.xlookup($C3962,daily_dates,big_daily_table))),NA(),_xlfn.xlookup(E$3,daily_items,_xlfn.xlookup($C3962,daily_dates,big_daily_table)))</f>
        <v>#NAME?</v>
      </c>
    </row>
    <row r="3963" customFormat="false" ht="14.25" hidden="false" customHeight="false" outlineLevel="0" collapsed="false">
      <c r="B3963" s="7" t="n">
        <v>44868</v>
      </c>
      <c r="C3963" s="7" t="n">
        <f aca="false">B3963-WEEKDAY(B3963)+1</f>
        <v>44864</v>
      </c>
      <c r="D3963" s="1" t="e">
        <f aca="false" t="array" ref="D3963:D3963">IF(ISBLANK(_xlfn.xlookup(D$3,daily_items,_xlfn.xlookup($C3963,daily_dates,big_daily_table))),NA(),_xlfn.xlookup(D$3,daily_items,_xlfn.xlookup($C3963,daily_dates,big_daily_table)))</f>
        <v>#NAME?</v>
      </c>
      <c r="E3963" s="1" t="e">
        <f aca="false" t="array" ref="E3963:E3963">IF(ISBLANK(_xlfn.xlookup(E$3,daily_items,_xlfn.xlookup($C3963,daily_dates,big_daily_table))),NA(),_xlfn.xlookup(E$3,daily_items,_xlfn.xlookup($C3963,daily_dates,big_daily_table)))</f>
        <v>#NAME?</v>
      </c>
    </row>
    <row r="3964" customFormat="false" ht="14.25" hidden="false" customHeight="false" outlineLevel="0" collapsed="false">
      <c r="B3964" s="7" t="n">
        <v>44869</v>
      </c>
      <c r="C3964" s="7" t="n">
        <f aca="false">B3964-WEEKDAY(B3964)+1</f>
        <v>44864</v>
      </c>
      <c r="D3964" s="1" t="e">
        <f aca="false" t="array" ref="D3964:D3964">IF(ISBLANK(_xlfn.xlookup(D$3,daily_items,_xlfn.xlookup($C3964,daily_dates,big_daily_table))),NA(),_xlfn.xlookup(D$3,daily_items,_xlfn.xlookup($C3964,daily_dates,big_daily_table)))</f>
        <v>#NAME?</v>
      </c>
      <c r="E3964" s="1" t="e">
        <f aca="false" t="array" ref="E3964:E3964">IF(ISBLANK(_xlfn.xlookup(E$3,daily_items,_xlfn.xlookup($C3964,daily_dates,big_daily_table))),NA(),_xlfn.xlookup(E$3,daily_items,_xlfn.xlookup($C3964,daily_dates,big_daily_table)))</f>
        <v>#NAME?</v>
      </c>
    </row>
    <row r="3965" customFormat="false" ht="14.25" hidden="false" customHeight="false" outlineLevel="0" collapsed="false">
      <c r="B3965" s="7" t="n">
        <v>44870</v>
      </c>
      <c r="C3965" s="7" t="n">
        <f aca="false">B3965-WEEKDAY(B3965)+1</f>
        <v>44864</v>
      </c>
      <c r="D3965" s="1" t="e">
        <f aca="false" t="array" ref="D3965:D3965">IF(ISBLANK(_xlfn.xlookup(D$3,daily_items,_xlfn.xlookup($C3965,daily_dates,big_daily_table))),NA(),_xlfn.xlookup(D$3,daily_items,_xlfn.xlookup($C3965,daily_dates,big_daily_table)))</f>
        <v>#NAME?</v>
      </c>
      <c r="E3965" s="1" t="e">
        <f aca="false" t="array" ref="E3965:E3965">IF(ISBLANK(_xlfn.xlookup(E$3,daily_items,_xlfn.xlookup($C3965,daily_dates,big_daily_table))),NA(),_xlfn.xlookup(E$3,daily_items,_xlfn.xlookup($C3965,daily_dates,big_daily_table)))</f>
        <v>#NAME?</v>
      </c>
    </row>
    <row r="3966" customFormat="false" ht="14.25" hidden="false" customHeight="false" outlineLevel="0" collapsed="false">
      <c r="B3966" s="7" t="n">
        <v>44871</v>
      </c>
      <c r="C3966" s="7" t="n">
        <f aca="false">B3966-WEEKDAY(B3966)+1</f>
        <v>44871</v>
      </c>
      <c r="D3966" s="1" t="e">
        <f aca="false" t="array" ref="D3966:D3966">IF(ISBLANK(_xlfn.xlookup(D$3,daily_items,_xlfn.xlookup($C3966,daily_dates,big_daily_table))),NA(),_xlfn.xlookup(D$3,daily_items,_xlfn.xlookup($C3966,daily_dates,big_daily_table)))</f>
        <v>#NAME?</v>
      </c>
      <c r="E3966" s="1" t="e">
        <f aca="false" t="array" ref="E3966:E3966">IF(ISBLANK(_xlfn.xlookup(E$3,daily_items,_xlfn.xlookup($C3966,daily_dates,big_daily_table))),NA(),_xlfn.xlookup(E$3,daily_items,_xlfn.xlookup($C3966,daily_dates,big_daily_table)))</f>
        <v>#NAME?</v>
      </c>
    </row>
    <row r="3967" customFormat="false" ht="14.25" hidden="false" customHeight="false" outlineLevel="0" collapsed="false">
      <c r="B3967" s="7" t="n">
        <v>44872</v>
      </c>
      <c r="C3967" s="7" t="n">
        <f aca="false">B3967-WEEKDAY(B3967)+1</f>
        <v>44871</v>
      </c>
      <c r="D3967" s="1" t="e">
        <f aca="false" t="array" ref="D3967:D3967">IF(ISBLANK(_xlfn.xlookup(D$3,daily_items,_xlfn.xlookup($C3967,daily_dates,big_daily_table))),NA(),_xlfn.xlookup(D$3,daily_items,_xlfn.xlookup($C3967,daily_dates,big_daily_table)))</f>
        <v>#NAME?</v>
      </c>
      <c r="E3967" s="1" t="e">
        <f aca="false" t="array" ref="E3967:E3967">IF(ISBLANK(_xlfn.xlookup(E$3,daily_items,_xlfn.xlookup($C3967,daily_dates,big_daily_table))),NA(),_xlfn.xlookup(E$3,daily_items,_xlfn.xlookup($C3967,daily_dates,big_daily_table)))</f>
        <v>#NAME?</v>
      </c>
    </row>
    <row r="3968" customFormat="false" ht="14.25" hidden="false" customHeight="false" outlineLevel="0" collapsed="false">
      <c r="B3968" s="7" t="n">
        <v>44873</v>
      </c>
      <c r="C3968" s="7" t="n">
        <f aca="false">B3968-WEEKDAY(B3968)+1</f>
        <v>44871</v>
      </c>
      <c r="D3968" s="1" t="e">
        <f aca="false" t="array" ref="D3968:D3968">IF(ISBLANK(_xlfn.xlookup(D$3,daily_items,_xlfn.xlookup($C3968,daily_dates,big_daily_table))),NA(),_xlfn.xlookup(D$3,daily_items,_xlfn.xlookup($C3968,daily_dates,big_daily_table)))</f>
        <v>#NAME?</v>
      </c>
      <c r="E3968" s="1" t="e">
        <f aca="false" t="array" ref="E3968:E3968">IF(ISBLANK(_xlfn.xlookup(E$3,daily_items,_xlfn.xlookup($C3968,daily_dates,big_daily_table))),NA(),_xlfn.xlookup(E$3,daily_items,_xlfn.xlookup($C3968,daily_dates,big_daily_table)))</f>
        <v>#NAME?</v>
      </c>
    </row>
    <row r="3969" customFormat="false" ht="14.25" hidden="false" customHeight="false" outlineLevel="0" collapsed="false">
      <c r="B3969" s="7" t="n">
        <v>44874</v>
      </c>
      <c r="C3969" s="7" t="n">
        <f aca="false">B3969-WEEKDAY(B3969)+1</f>
        <v>44871</v>
      </c>
      <c r="D3969" s="1" t="e">
        <f aca="false" t="array" ref="D3969:D3969">IF(ISBLANK(_xlfn.xlookup(D$3,daily_items,_xlfn.xlookup($C3969,daily_dates,big_daily_table))),NA(),_xlfn.xlookup(D$3,daily_items,_xlfn.xlookup($C3969,daily_dates,big_daily_table)))</f>
        <v>#NAME?</v>
      </c>
      <c r="E3969" s="1" t="e">
        <f aca="false" t="array" ref="E3969:E3969">IF(ISBLANK(_xlfn.xlookup(E$3,daily_items,_xlfn.xlookup($C3969,daily_dates,big_daily_table))),NA(),_xlfn.xlookup(E$3,daily_items,_xlfn.xlookup($C3969,daily_dates,big_daily_table)))</f>
        <v>#NAME?</v>
      </c>
    </row>
    <row r="3970" customFormat="false" ht="14.25" hidden="false" customHeight="false" outlineLevel="0" collapsed="false">
      <c r="B3970" s="7" t="n">
        <v>44875</v>
      </c>
      <c r="C3970" s="7" t="n">
        <f aca="false">B3970-WEEKDAY(B3970)+1</f>
        <v>44871</v>
      </c>
      <c r="D3970" s="1" t="e">
        <f aca="false" t="array" ref="D3970:D3970">IF(ISBLANK(_xlfn.xlookup(D$3,daily_items,_xlfn.xlookup($C3970,daily_dates,big_daily_table))),NA(),_xlfn.xlookup(D$3,daily_items,_xlfn.xlookup($C3970,daily_dates,big_daily_table)))</f>
        <v>#NAME?</v>
      </c>
      <c r="E3970" s="1" t="e">
        <f aca="false" t="array" ref="E3970:E3970">IF(ISBLANK(_xlfn.xlookup(E$3,daily_items,_xlfn.xlookup($C3970,daily_dates,big_daily_table))),NA(),_xlfn.xlookup(E$3,daily_items,_xlfn.xlookup($C3970,daily_dates,big_daily_table)))</f>
        <v>#NAME?</v>
      </c>
    </row>
    <row r="3971" customFormat="false" ht="14.25" hidden="false" customHeight="false" outlineLevel="0" collapsed="false">
      <c r="B3971" s="7" t="n">
        <v>44876</v>
      </c>
      <c r="C3971" s="7" t="n">
        <f aca="false">B3971-WEEKDAY(B3971)+1</f>
        <v>44871</v>
      </c>
      <c r="D3971" s="1" t="e">
        <f aca="false" t="array" ref="D3971:D3971">IF(ISBLANK(_xlfn.xlookup(D$3,daily_items,_xlfn.xlookup($C3971,daily_dates,big_daily_table))),NA(),_xlfn.xlookup(D$3,daily_items,_xlfn.xlookup($C3971,daily_dates,big_daily_table)))</f>
        <v>#NAME?</v>
      </c>
      <c r="E3971" s="1" t="e">
        <f aca="false" t="array" ref="E3971:E3971">IF(ISBLANK(_xlfn.xlookup(E$3,daily_items,_xlfn.xlookup($C3971,daily_dates,big_daily_table))),NA(),_xlfn.xlookup(E$3,daily_items,_xlfn.xlookup($C3971,daily_dates,big_daily_table)))</f>
        <v>#NAME?</v>
      </c>
    </row>
    <row r="3972" customFormat="false" ht="14.25" hidden="false" customHeight="false" outlineLevel="0" collapsed="false">
      <c r="B3972" s="7" t="n">
        <v>44877</v>
      </c>
      <c r="C3972" s="7" t="n">
        <f aca="false">B3972-WEEKDAY(B3972)+1</f>
        <v>44871</v>
      </c>
      <c r="D3972" s="1" t="e">
        <f aca="false" t="array" ref="D3972:D3972">IF(ISBLANK(_xlfn.xlookup(D$3,daily_items,_xlfn.xlookup($C3972,daily_dates,big_daily_table))),NA(),_xlfn.xlookup(D$3,daily_items,_xlfn.xlookup($C3972,daily_dates,big_daily_table)))</f>
        <v>#NAME?</v>
      </c>
      <c r="E3972" s="1" t="e">
        <f aca="false" t="array" ref="E3972:E3972">IF(ISBLANK(_xlfn.xlookup(E$3,daily_items,_xlfn.xlookup($C3972,daily_dates,big_daily_table))),NA(),_xlfn.xlookup(E$3,daily_items,_xlfn.xlookup($C3972,daily_dates,big_daily_table)))</f>
        <v>#NAME?</v>
      </c>
    </row>
    <row r="3973" customFormat="false" ht="14.25" hidden="false" customHeight="false" outlineLevel="0" collapsed="false">
      <c r="B3973" s="7" t="n">
        <v>44878</v>
      </c>
      <c r="C3973" s="7" t="n">
        <f aca="false">B3973-WEEKDAY(B3973)+1</f>
        <v>44878</v>
      </c>
      <c r="D3973" s="1" t="e">
        <f aca="false" t="array" ref="D3973:D3973">IF(ISBLANK(_xlfn.xlookup(D$3,daily_items,_xlfn.xlookup($C3973,daily_dates,big_daily_table))),NA(),_xlfn.xlookup(D$3,daily_items,_xlfn.xlookup($C3973,daily_dates,big_daily_table)))</f>
        <v>#NAME?</v>
      </c>
      <c r="E3973" s="1" t="e">
        <f aca="false" t="array" ref="E3973:E3973">IF(ISBLANK(_xlfn.xlookup(E$3,daily_items,_xlfn.xlookup($C3973,daily_dates,big_daily_table))),NA(),_xlfn.xlookup(E$3,daily_items,_xlfn.xlookup($C3973,daily_dates,big_daily_table)))</f>
        <v>#NAME?</v>
      </c>
    </row>
    <row r="3974" customFormat="false" ht="14.25" hidden="false" customHeight="false" outlineLevel="0" collapsed="false">
      <c r="B3974" s="7" t="n">
        <v>44879</v>
      </c>
      <c r="C3974" s="7" t="n">
        <f aca="false">B3974-WEEKDAY(B3974)+1</f>
        <v>44878</v>
      </c>
      <c r="D3974" s="1" t="e">
        <f aca="false" t="array" ref="D3974:D3974">IF(ISBLANK(_xlfn.xlookup(D$3,daily_items,_xlfn.xlookup($C3974,daily_dates,big_daily_table))),NA(),_xlfn.xlookup(D$3,daily_items,_xlfn.xlookup($C3974,daily_dates,big_daily_table)))</f>
        <v>#NAME?</v>
      </c>
      <c r="E3974" s="1" t="e">
        <f aca="false" t="array" ref="E3974:E3974">IF(ISBLANK(_xlfn.xlookup(E$3,daily_items,_xlfn.xlookup($C3974,daily_dates,big_daily_table))),NA(),_xlfn.xlookup(E$3,daily_items,_xlfn.xlookup($C3974,daily_dates,big_daily_table)))</f>
        <v>#NAME?</v>
      </c>
    </row>
    <row r="3975" customFormat="false" ht="14.25" hidden="false" customHeight="false" outlineLevel="0" collapsed="false">
      <c r="B3975" s="7" t="n">
        <v>44880</v>
      </c>
      <c r="C3975" s="7" t="n">
        <f aca="false">B3975-WEEKDAY(B3975)+1</f>
        <v>44878</v>
      </c>
      <c r="D3975" s="1" t="e">
        <f aca="false" t="array" ref="D3975:D3975">IF(ISBLANK(_xlfn.xlookup(D$3,daily_items,_xlfn.xlookup($C3975,daily_dates,big_daily_table))),NA(),_xlfn.xlookup(D$3,daily_items,_xlfn.xlookup($C3975,daily_dates,big_daily_table)))</f>
        <v>#NAME?</v>
      </c>
      <c r="E3975" s="1" t="e">
        <f aca="false" t="array" ref="E3975:E3975">IF(ISBLANK(_xlfn.xlookup(E$3,daily_items,_xlfn.xlookup($C3975,daily_dates,big_daily_table))),NA(),_xlfn.xlookup(E$3,daily_items,_xlfn.xlookup($C3975,daily_dates,big_daily_table)))</f>
        <v>#NAME?</v>
      </c>
    </row>
    <row r="3976" customFormat="false" ht="14.25" hidden="false" customHeight="false" outlineLevel="0" collapsed="false">
      <c r="B3976" s="7" t="n">
        <v>44881</v>
      </c>
      <c r="C3976" s="7" t="n">
        <f aca="false">B3976-WEEKDAY(B3976)+1</f>
        <v>44878</v>
      </c>
      <c r="D3976" s="1" t="e">
        <f aca="false" t="array" ref="D3976:D3976">IF(ISBLANK(_xlfn.xlookup(D$3,daily_items,_xlfn.xlookup($C3976,daily_dates,big_daily_table))),NA(),_xlfn.xlookup(D$3,daily_items,_xlfn.xlookup($C3976,daily_dates,big_daily_table)))</f>
        <v>#NAME?</v>
      </c>
      <c r="E3976" s="1" t="e">
        <f aca="false" t="array" ref="E3976:E3976">IF(ISBLANK(_xlfn.xlookup(E$3,daily_items,_xlfn.xlookup($C3976,daily_dates,big_daily_table))),NA(),_xlfn.xlookup(E$3,daily_items,_xlfn.xlookup($C3976,daily_dates,big_daily_table)))</f>
        <v>#NAME?</v>
      </c>
    </row>
    <row r="3977" customFormat="false" ht="14.25" hidden="false" customHeight="false" outlineLevel="0" collapsed="false">
      <c r="B3977" s="7" t="n">
        <v>44882</v>
      </c>
      <c r="C3977" s="7" t="n">
        <f aca="false">B3977-WEEKDAY(B3977)+1</f>
        <v>44878</v>
      </c>
      <c r="D3977" s="1" t="e">
        <f aca="false" t="array" ref="D3977:D3977">IF(ISBLANK(_xlfn.xlookup(D$3,daily_items,_xlfn.xlookup($C3977,daily_dates,big_daily_table))),NA(),_xlfn.xlookup(D$3,daily_items,_xlfn.xlookup($C3977,daily_dates,big_daily_table)))</f>
        <v>#NAME?</v>
      </c>
      <c r="E3977" s="1" t="e">
        <f aca="false" t="array" ref="E3977:E3977">IF(ISBLANK(_xlfn.xlookup(E$3,daily_items,_xlfn.xlookup($C3977,daily_dates,big_daily_table))),NA(),_xlfn.xlookup(E$3,daily_items,_xlfn.xlookup($C3977,daily_dates,big_daily_table)))</f>
        <v>#NAME?</v>
      </c>
    </row>
    <row r="3978" customFormat="false" ht="14.25" hidden="false" customHeight="false" outlineLevel="0" collapsed="false">
      <c r="B3978" s="7" t="n">
        <v>44883</v>
      </c>
      <c r="C3978" s="7" t="n">
        <f aca="false">B3978-WEEKDAY(B3978)+1</f>
        <v>44878</v>
      </c>
      <c r="D3978" s="1" t="e">
        <f aca="false" t="array" ref="D3978:D3978">IF(ISBLANK(_xlfn.xlookup(D$3,daily_items,_xlfn.xlookup($C3978,daily_dates,big_daily_table))),NA(),_xlfn.xlookup(D$3,daily_items,_xlfn.xlookup($C3978,daily_dates,big_daily_table)))</f>
        <v>#NAME?</v>
      </c>
      <c r="E3978" s="1" t="e">
        <f aca="false" t="array" ref="E3978:E3978">IF(ISBLANK(_xlfn.xlookup(E$3,daily_items,_xlfn.xlookup($C3978,daily_dates,big_daily_table))),NA(),_xlfn.xlookup(E$3,daily_items,_xlfn.xlookup($C3978,daily_dates,big_daily_table)))</f>
        <v>#NAME?</v>
      </c>
    </row>
    <row r="3979" customFormat="false" ht="14.25" hidden="false" customHeight="false" outlineLevel="0" collapsed="false">
      <c r="B3979" s="7" t="n">
        <v>44884</v>
      </c>
      <c r="C3979" s="7" t="n">
        <f aca="false">B3979-WEEKDAY(B3979)+1</f>
        <v>44878</v>
      </c>
      <c r="D3979" s="1" t="e">
        <f aca="false" t="array" ref="D3979:D3979">IF(ISBLANK(_xlfn.xlookup(D$3,daily_items,_xlfn.xlookup($C3979,daily_dates,big_daily_table))),NA(),_xlfn.xlookup(D$3,daily_items,_xlfn.xlookup($C3979,daily_dates,big_daily_table)))</f>
        <v>#NAME?</v>
      </c>
      <c r="E3979" s="1" t="e">
        <f aca="false" t="array" ref="E3979:E3979">IF(ISBLANK(_xlfn.xlookup(E$3,daily_items,_xlfn.xlookup($C3979,daily_dates,big_daily_table))),NA(),_xlfn.xlookup(E$3,daily_items,_xlfn.xlookup($C3979,daily_dates,big_daily_table)))</f>
        <v>#NAME?</v>
      </c>
    </row>
    <row r="3980" customFormat="false" ht="14.25" hidden="false" customHeight="false" outlineLevel="0" collapsed="false">
      <c r="B3980" s="7" t="n">
        <v>44885</v>
      </c>
      <c r="C3980" s="7" t="n">
        <f aca="false">B3980-WEEKDAY(B3980)+1</f>
        <v>44885</v>
      </c>
      <c r="D3980" s="1" t="e">
        <f aca="false" t="array" ref="D3980:D3980">IF(ISBLANK(_xlfn.xlookup(D$3,daily_items,_xlfn.xlookup($C3980,daily_dates,big_daily_table))),NA(),_xlfn.xlookup(D$3,daily_items,_xlfn.xlookup($C3980,daily_dates,big_daily_table)))</f>
        <v>#NAME?</v>
      </c>
      <c r="E3980" s="1" t="e">
        <f aca="false" t="array" ref="E3980:E3980">IF(ISBLANK(_xlfn.xlookup(E$3,daily_items,_xlfn.xlookup($C3980,daily_dates,big_daily_table))),NA(),_xlfn.xlookup(E$3,daily_items,_xlfn.xlookup($C3980,daily_dates,big_daily_table)))</f>
        <v>#NAME?</v>
      </c>
    </row>
    <row r="3981" customFormat="false" ht="14.25" hidden="false" customHeight="false" outlineLevel="0" collapsed="false">
      <c r="B3981" s="7" t="n">
        <v>44886</v>
      </c>
      <c r="C3981" s="7" t="n">
        <f aca="false">B3981-WEEKDAY(B3981)+1</f>
        <v>44885</v>
      </c>
      <c r="D3981" s="1" t="e">
        <f aca="false" t="array" ref="D3981:D3981">IF(ISBLANK(_xlfn.xlookup(D$3,daily_items,_xlfn.xlookup($C3981,daily_dates,big_daily_table))),NA(),_xlfn.xlookup(D$3,daily_items,_xlfn.xlookup($C3981,daily_dates,big_daily_table)))</f>
        <v>#NAME?</v>
      </c>
      <c r="E3981" s="1" t="e">
        <f aca="false" t="array" ref="E3981:E3981">IF(ISBLANK(_xlfn.xlookup(E$3,daily_items,_xlfn.xlookup($C3981,daily_dates,big_daily_table))),NA(),_xlfn.xlookup(E$3,daily_items,_xlfn.xlookup($C3981,daily_dates,big_daily_table)))</f>
        <v>#NAME?</v>
      </c>
    </row>
    <row r="3982" customFormat="false" ht="14.25" hidden="false" customHeight="false" outlineLevel="0" collapsed="false">
      <c r="B3982" s="7" t="n">
        <v>44887</v>
      </c>
      <c r="C3982" s="7" t="n">
        <f aca="false">B3982-WEEKDAY(B3982)+1</f>
        <v>44885</v>
      </c>
      <c r="D3982" s="1" t="e">
        <f aca="false" t="array" ref="D3982:D3982">IF(ISBLANK(_xlfn.xlookup(D$3,daily_items,_xlfn.xlookup($C3982,daily_dates,big_daily_table))),NA(),_xlfn.xlookup(D$3,daily_items,_xlfn.xlookup($C3982,daily_dates,big_daily_table)))</f>
        <v>#NAME?</v>
      </c>
      <c r="E3982" s="1" t="e">
        <f aca="false" t="array" ref="E3982:E3982">IF(ISBLANK(_xlfn.xlookup(E$3,daily_items,_xlfn.xlookup($C3982,daily_dates,big_daily_table))),NA(),_xlfn.xlookup(E$3,daily_items,_xlfn.xlookup($C3982,daily_dates,big_daily_table)))</f>
        <v>#NAME?</v>
      </c>
    </row>
    <row r="3983" customFormat="false" ht="14.25" hidden="false" customHeight="false" outlineLevel="0" collapsed="false">
      <c r="B3983" s="7" t="n">
        <v>44888</v>
      </c>
      <c r="C3983" s="7" t="n">
        <f aca="false">B3983-WEEKDAY(B3983)+1</f>
        <v>44885</v>
      </c>
      <c r="D3983" s="1" t="e">
        <f aca="false" t="array" ref="D3983:D3983">IF(ISBLANK(_xlfn.xlookup(D$3,daily_items,_xlfn.xlookup($C3983,daily_dates,big_daily_table))),NA(),_xlfn.xlookup(D$3,daily_items,_xlfn.xlookup($C3983,daily_dates,big_daily_table)))</f>
        <v>#NAME?</v>
      </c>
      <c r="E3983" s="1" t="e">
        <f aca="false" t="array" ref="E3983:E3983">IF(ISBLANK(_xlfn.xlookup(E$3,daily_items,_xlfn.xlookup($C3983,daily_dates,big_daily_table))),NA(),_xlfn.xlookup(E$3,daily_items,_xlfn.xlookup($C3983,daily_dates,big_daily_table)))</f>
        <v>#NAME?</v>
      </c>
    </row>
    <row r="3984" customFormat="false" ht="14.25" hidden="false" customHeight="false" outlineLevel="0" collapsed="false">
      <c r="B3984" s="7" t="n">
        <v>44889</v>
      </c>
      <c r="C3984" s="7" t="n">
        <f aca="false">B3984-WEEKDAY(B3984)+1</f>
        <v>44885</v>
      </c>
      <c r="D3984" s="1" t="e">
        <f aca="false" t="array" ref="D3984:D3984">IF(ISBLANK(_xlfn.xlookup(D$3,daily_items,_xlfn.xlookup($C3984,daily_dates,big_daily_table))),NA(),_xlfn.xlookup(D$3,daily_items,_xlfn.xlookup($C3984,daily_dates,big_daily_table)))</f>
        <v>#NAME?</v>
      </c>
      <c r="E3984" s="1" t="e">
        <f aca="false" t="array" ref="E3984:E3984">IF(ISBLANK(_xlfn.xlookup(E$3,daily_items,_xlfn.xlookup($C3984,daily_dates,big_daily_table))),NA(),_xlfn.xlookup(E$3,daily_items,_xlfn.xlookup($C3984,daily_dates,big_daily_table)))</f>
        <v>#NAME?</v>
      </c>
    </row>
    <row r="3985" customFormat="false" ht="14.25" hidden="false" customHeight="false" outlineLevel="0" collapsed="false">
      <c r="B3985" s="7" t="n">
        <v>44890</v>
      </c>
      <c r="C3985" s="7" t="n">
        <f aca="false">B3985-WEEKDAY(B3985)+1</f>
        <v>44885</v>
      </c>
      <c r="D3985" s="1" t="e">
        <f aca="false" t="array" ref="D3985:D3985">IF(ISBLANK(_xlfn.xlookup(D$3,daily_items,_xlfn.xlookup($C3985,daily_dates,big_daily_table))),NA(),_xlfn.xlookup(D$3,daily_items,_xlfn.xlookup($C3985,daily_dates,big_daily_table)))</f>
        <v>#NAME?</v>
      </c>
      <c r="E3985" s="1" t="e">
        <f aca="false" t="array" ref="E3985:E3985">IF(ISBLANK(_xlfn.xlookup(E$3,daily_items,_xlfn.xlookup($C3985,daily_dates,big_daily_table))),NA(),_xlfn.xlookup(E$3,daily_items,_xlfn.xlookup($C3985,daily_dates,big_daily_table)))</f>
        <v>#NAME?</v>
      </c>
    </row>
    <row r="3986" customFormat="false" ht="14.25" hidden="false" customHeight="false" outlineLevel="0" collapsed="false">
      <c r="B3986" s="7" t="n">
        <v>44891</v>
      </c>
      <c r="C3986" s="7" t="n">
        <f aca="false">B3986-WEEKDAY(B3986)+1</f>
        <v>44885</v>
      </c>
      <c r="D3986" s="1" t="e">
        <f aca="false" t="array" ref="D3986:D3986">IF(ISBLANK(_xlfn.xlookup(D$3,daily_items,_xlfn.xlookup($C3986,daily_dates,big_daily_table))),NA(),_xlfn.xlookup(D$3,daily_items,_xlfn.xlookup($C3986,daily_dates,big_daily_table)))</f>
        <v>#NAME?</v>
      </c>
      <c r="E3986" s="1" t="e">
        <f aca="false" t="array" ref="E3986:E3986">IF(ISBLANK(_xlfn.xlookup(E$3,daily_items,_xlfn.xlookup($C3986,daily_dates,big_daily_table))),NA(),_xlfn.xlookup(E$3,daily_items,_xlfn.xlookup($C3986,daily_dates,big_daily_table)))</f>
        <v>#NAME?</v>
      </c>
    </row>
    <row r="3987" customFormat="false" ht="14.25" hidden="false" customHeight="false" outlineLevel="0" collapsed="false">
      <c r="B3987" s="7" t="n">
        <v>44892</v>
      </c>
      <c r="C3987" s="7" t="n">
        <f aca="false">B3987-WEEKDAY(B3987)+1</f>
        <v>44892</v>
      </c>
      <c r="D3987" s="1" t="e">
        <f aca="false" t="array" ref="D3987:D3987">IF(ISBLANK(_xlfn.xlookup(D$3,daily_items,_xlfn.xlookup($C3987,daily_dates,big_daily_table))),NA(),_xlfn.xlookup(D$3,daily_items,_xlfn.xlookup($C3987,daily_dates,big_daily_table)))</f>
        <v>#NAME?</v>
      </c>
      <c r="E3987" s="1" t="e">
        <f aca="false" t="array" ref="E3987:E3987">IF(ISBLANK(_xlfn.xlookup(E$3,daily_items,_xlfn.xlookup($C3987,daily_dates,big_daily_table))),NA(),_xlfn.xlookup(E$3,daily_items,_xlfn.xlookup($C3987,daily_dates,big_daily_table)))</f>
        <v>#NAME?</v>
      </c>
    </row>
    <row r="3988" customFormat="false" ht="14.25" hidden="false" customHeight="false" outlineLevel="0" collapsed="false">
      <c r="B3988" s="7" t="n">
        <v>44893</v>
      </c>
      <c r="C3988" s="7" t="n">
        <f aca="false">B3988-WEEKDAY(B3988)+1</f>
        <v>44892</v>
      </c>
      <c r="D3988" s="1" t="e">
        <f aca="false" t="array" ref="D3988:D3988">IF(ISBLANK(_xlfn.xlookup(D$3,daily_items,_xlfn.xlookup($C3988,daily_dates,big_daily_table))),NA(),_xlfn.xlookup(D$3,daily_items,_xlfn.xlookup($C3988,daily_dates,big_daily_table)))</f>
        <v>#NAME?</v>
      </c>
      <c r="E3988" s="1" t="e">
        <f aca="false" t="array" ref="E3988:E3988">IF(ISBLANK(_xlfn.xlookup(E$3,daily_items,_xlfn.xlookup($C3988,daily_dates,big_daily_table))),NA(),_xlfn.xlookup(E$3,daily_items,_xlfn.xlookup($C3988,daily_dates,big_daily_table)))</f>
        <v>#NAME?</v>
      </c>
    </row>
    <row r="3989" customFormat="false" ht="14.25" hidden="false" customHeight="false" outlineLevel="0" collapsed="false">
      <c r="B3989" s="7" t="n">
        <v>44894</v>
      </c>
      <c r="C3989" s="7" t="n">
        <f aca="false">B3989-WEEKDAY(B3989)+1</f>
        <v>44892</v>
      </c>
      <c r="D3989" s="1" t="e">
        <f aca="false" t="array" ref="D3989:D3989">IF(ISBLANK(_xlfn.xlookup(D$3,daily_items,_xlfn.xlookup($C3989,daily_dates,big_daily_table))),NA(),_xlfn.xlookup(D$3,daily_items,_xlfn.xlookup($C3989,daily_dates,big_daily_table)))</f>
        <v>#NAME?</v>
      </c>
      <c r="E3989" s="1" t="e">
        <f aca="false" t="array" ref="E3989:E3989">IF(ISBLANK(_xlfn.xlookup(E$3,daily_items,_xlfn.xlookup($C3989,daily_dates,big_daily_table))),NA(),_xlfn.xlookup(E$3,daily_items,_xlfn.xlookup($C3989,daily_dates,big_daily_table)))</f>
        <v>#NAME?</v>
      </c>
    </row>
    <row r="3990" customFormat="false" ht="14.25" hidden="false" customHeight="false" outlineLevel="0" collapsed="false">
      <c r="B3990" s="7" t="n">
        <v>44895</v>
      </c>
      <c r="C3990" s="7" t="n">
        <f aca="false">B3990-WEEKDAY(B3990)+1</f>
        <v>44892</v>
      </c>
      <c r="D3990" s="1" t="e">
        <f aca="false" t="array" ref="D3990:D3990">IF(ISBLANK(_xlfn.xlookup(D$3,daily_items,_xlfn.xlookup($C3990,daily_dates,big_daily_table))),NA(),_xlfn.xlookup(D$3,daily_items,_xlfn.xlookup($C3990,daily_dates,big_daily_table)))</f>
        <v>#NAME?</v>
      </c>
      <c r="E3990" s="1" t="e">
        <f aca="false" t="array" ref="E3990:E3990">IF(ISBLANK(_xlfn.xlookup(E$3,daily_items,_xlfn.xlookup($C3990,daily_dates,big_daily_table))),NA(),_xlfn.xlookup(E$3,daily_items,_xlfn.xlookup($C3990,daily_dates,big_daily_table)))</f>
        <v>#NAME?</v>
      </c>
    </row>
    <row r="3991" customFormat="false" ht="14.25" hidden="false" customHeight="false" outlineLevel="0" collapsed="false">
      <c r="B3991" s="7" t="n">
        <v>44896</v>
      </c>
      <c r="C3991" s="7" t="n">
        <f aca="false">B3991-WEEKDAY(B3991)+1</f>
        <v>44892</v>
      </c>
      <c r="D3991" s="1" t="e">
        <f aca="false" t="array" ref="D3991:D3991">IF(ISBLANK(_xlfn.xlookup(D$3,daily_items,_xlfn.xlookup($C3991,daily_dates,big_daily_table))),NA(),_xlfn.xlookup(D$3,daily_items,_xlfn.xlookup($C3991,daily_dates,big_daily_table)))</f>
        <v>#NAME?</v>
      </c>
      <c r="E3991" s="1" t="e">
        <f aca="false" t="array" ref="E3991:E3991">IF(ISBLANK(_xlfn.xlookup(E$3,daily_items,_xlfn.xlookup($C3991,daily_dates,big_daily_table))),NA(),_xlfn.xlookup(E$3,daily_items,_xlfn.xlookup($C3991,daily_dates,big_daily_table)))</f>
        <v>#NAME?</v>
      </c>
    </row>
    <row r="3992" customFormat="false" ht="14.25" hidden="false" customHeight="false" outlineLevel="0" collapsed="false">
      <c r="B3992" s="7" t="n">
        <v>44897</v>
      </c>
      <c r="C3992" s="7" t="n">
        <f aca="false">B3992-WEEKDAY(B3992)+1</f>
        <v>44892</v>
      </c>
      <c r="D3992" s="1" t="e">
        <f aca="false" t="array" ref="D3992:D3992">IF(ISBLANK(_xlfn.xlookup(D$3,daily_items,_xlfn.xlookup($C3992,daily_dates,big_daily_table))),NA(),_xlfn.xlookup(D$3,daily_items,_xlfn.xlookup($C3992,daily_dates,big_daily_table)))</f>
        <v>#NAME?</v>
      </c>
      <c r="E3992" s="1" t="e">
        <f aca="false" t="array" ref="E3992:E3992">IF(ISBLANK(_xlfn.xlookup(E$3,daily_items,_xlfn.xlookup($C3992,daily_dates,big_daily_table))),NA(),_xlfn.xlookup(E$3,daily_items,_xlfn.xlookup($C3992,daily_dates,big_daily_table)))</f>
        <v>#NAME?</v>
      </c>
    </row>
    <row r="3993" customFormat="false" ht="14.25" hidden="false" customHeight="false" outlineLevel="0" collapsed="false">
      <c r="B3993" s="7" t="n">
        <v>44898</v>
      </c>
      <c r="C3993" s="7" t="n">
        <f aca="false">B3993-WEEKDAY(B3993)+1</f>
        <v>44892</v>
      </c>
      <c r="D3993" s="1" t="e">
        <f aca="false" t="array" ref="D3993:D3993">IF(ISBLANK(_xlfn.xlookup(D$3,daily_items,_xlfn.xlookup($C3993,daily_dates,big_daily_table))),NA(),_xlfn.xlookup(D$3,daily_items,_xlfn.xlookup($C3993,daily_dates,big_daily_table)))</f>
        <v>#NAME?</v>
      </c>
      <c r="E3993" s="1" t="e">
        <f aca="false" t="array" ref="E3993:E3993">IF(ISBLANK(_xlfn.xlookup(E$3,daily_items,_xlfn.xlookup($C3993,daily_dates,big_daily_table))),NA(),_xlfn.xlookup(E$3,daily_items,_xlfn.xlookup($C3993,daily_dates,big_daily_table)))</f>
        <v>#NAME?</v>
      </c>
    </row>
    <row r="3994" customFormat="false" ht="14.25" hidden="false" customHeight="false" outlineLevel="0" collapsed="false">
      <c r="B3994" s="7" t="n">
        <v>44899</v>
      </c>
      <c r="C3994" s="7" t="n">
        <f aca="false">B3994-WEEKDAY(B3994)+1</f>
        <v>44899</v>
      </c>
      <c r="D3994" s="1" t="e">
        <f aca="false" t="array" ref="D3994:D3994">IF(ISBLANK(_xlfn.xlookup(D$3,daily_items,_xlfn.xlookup($C3994,daily_dates,big_daily_table))),NA(),_xlfn.xlookup(D$3,daily_items,_xlfn.xlookup($C3994,daily_dates,big_daily_table)))</f>
        <v>#NAME?</v>
      </c>
      <c r="E3994" s="1" t="e">
        <f aca="false" t="array" ref="E3994:E3994">IF(ISBLANK(_xlfn.xlookup(E$3,daily_items,_xlfn.xlookup($C3994,daily_dates,big_daily_table))),NA(),_xlfn.xlookup(E$3,daily_items,_xlfn.xlookup($C3994,daily_dates,big_daily_table)))</f>
        <v>#NAME?</v>
      </c>
    </row>
    <row r="3995" customFormat="false" ht="14.25" hidden="false" customHeight="false" outlineLevel="0" collapsed="false">
      <c r="B3995" s="7" t="n">
        <v>44900</v>
      </c>
      <c r="C3995" s="7" t="n">
        <f aca="false">B3995-WEEKDAY(B3995)+1</f>
        <v>44899</v>
      </c>
      <c r="D3995" s="1" t="e">
        <f aca="false" t="array" ref="D3995:D3995">IF(ISBLANK(_xlfn.xlookup(D$3,daily_items,_xlfn.xlookup($C3995,daily_dates,big_daily_table))),NA(),_xlfn.xlookup(D$3,daily_items,_xlfn.xlookup($C3995,daily_dates,big_daily_table)))</f>
        <v>#NAME?</v>
      </c>
      <c r="E3995" s="1" t="e">
        <f aca="false" t="array" ref="E3995:E3995">IF(ISBLANK(_xlfn.xlookup(E$3,daily_items,_xlfn.xlookup($C3995,daily_dates,big_daily_table))),NA(),_xlfn.xlookup(E$3,daily_items,_xlfn.xlookup($C3995,daily_dates,big_daily_table)))</f>
        <v>#NAME?</v>
      </c>
    </row>
    <row r="3996" customFormat="false" ht="14.25" hidden="false" customHeight="false" outlineLevel="0" collapsed="false">
      <c r="B3996" s="7" t="n">
        <v>44901</v>
      </c>
      <c r="C3996" s="7" t="n">
        <f aca="false">B3996-WEEKDAY(B3996)+1</f>
        <v>44899</v>
      </c>
      <c r="D3996" s="1" t="e">
        <f aca="false" t="array" ref="D3996:D3996">IF(ISBLANK(_xlfn.xlookup(D$3,daily_items,_xlfn.xlookup($C3996,daily_dates,big_daily_table))),NA(),_xlfn.xlookup(D$3,daily_items,_xlfn.xlookup($C3996,daily_dates,big_daily_table)))</f>
        <v>#NAME?</v>
      </c>
      <c r="E3996" s="1" t="e">
        <f aca="false" t="array" ref="E3996:E3996">IF(ISBLANK(_xlfn.xlookup(E$3,daily_items,_xlfn.xlookup($C3996,daily_dates,big_daily_table))),NA(),_xlfn.xlookup(E$3,daily_items,_xlfn.xlookup($C3996,daily_dates,big_daily_table)))</f>
        <v>#NAME?</v>
      </c>
    </row>
    <row r="3997" customFormat="false" ht="14.25" hidden="false" customHeight="false" outlineLevel="0" collapsed="false">
      <c r="B3997" s="7" t="n">
        <v>44902</v>
      </c>
      <c r="C3997" s="7" t="n">
        <f aca="false">B3997-WEEKDAY(B3997)+1</f>
        <v>44899</v>
      </c>
      <c r="D3997" s="1" t="e">
        <f aca="false" t="array" ref="D3997:D3997">IF(ISBLANK(_xlfn.xlookup(D$3,daily_items,_xlfn.xlookup($C3997,daily_dates,big_daily_table))),NA(),_xlfn.xlookup(D$3,daily_items,_xlfn.xlookup($C3997,daily_dates,big_daily_table)))</f>
        <v>#NAME?</v>
      </c>
      <c r="E3997" s="1" t="e">
        <f aca="false" t="array" ref="E3997:E3997">IF(ISBLANK(_xlfn.xlookup(E$3,daily_items,_xlfn.xlookup($C3997,daily_dates,big_daily_table))),NA(),_xlfn.xlookup(E$3,daily_items,_xlfn.xlookup($C3997,daily_dates,big_daily_table)))</f>
        <v>#NAME?</v>
      </c>
    </row>
    <row r="3998" customFormat="false" ht="14.25" hidden="false" customHeight="false" outlineLevel="0" collapsed="false">
      <c r="B3998" s="7" t="n">
        <v>44903</v>
      </c>
      <c r="C3998" s="7" t="n">
        <f aca="false">B3998-WEEKDAY(B3998)+1</f>
        <v>44899</v>
      </c>
      <c r="D3998" s="1" t="e">
        <f aca="false" t="array" ref="D3998:D3998">IF(ISBLANK(_xlfn.xlookup(D$3,daily_items,_xlfn.xlookup($C3998,daily_dates,big_daily_table))),NA(),_xlfn.xlookup(D$3,daily_items,_xlfn.xlookup($C3998,daily_dates,big_daily_table)))</f>
        <v>#NAME?</v>
      </c>
      <c r="E3998" s="1" t="e">
        <f aca="false" t="array" ref="E3998:E3998">IF(ISBLANK(_xlfn.xlookup(E$3,daily_items,_xlfn.xlookup($C3998,daily_dates,big_daily_table))),NA(),_xlfn.xlookup(E$3,daily_items,_xlfn.xlookup($C3998,daily_dates,big_daily_table)))</f>
        <v>#NAME?</v>
      </c>
    </row>
    <row r="3999" customFormat="false" ht="14.25" hidden="false" customHeight="false" outlineLevel="0" collapsed="false">
      <c r="B3999" s="7" t="n">
        <v>44904</v>
      </c>
      <c r="C3999" s="7" t="n">
        <f aca="false">B3999-WEEKDAY(B3999)+1</f>
        <v>44899</v>
      </c>
      <c r="D3999" s="1" t="e">
        <f aca="false" t="array" ref="D3999:D3999">IF(ISBLANK(_xlfn.xlookup(D$3,daily_items,_xlfn.xlookup($C3999,daily_dates,big_daily_table))),NA(),_xlfn.xlookup(D$3,daily_items,_xlfn.xlookup($C3999,daily_dates,big_daily_table)))</f>
        <v>#NAME?</v>
      </c>
      <c r="E3999" s="1" t="e">
        <f aca="false" t="array" ref="E3999:E3999">IF(ISBLANK(_xlfn.xlookup(E$3,daily_items,_xlfn.xlookup($C3999,daily_dates,big_daily_table))),NA(),_xlfn.xlookup(E$3,daily_items,_xlfn.xlookup($C3999,daily_dates,big_daily_table)))</f>
        <v>#NAME?</v>
      </c>
    </row>
    <row r="4000" customFormat="false" ht="14.25" hidden="false" customHeight="false" outlineLevel="0" collapsed="false">
      <c r="B4000" s="7" t="n">
        <v>44905</v>
      </c>
      <c r="C4000" s="7" t="n">
        <f aca="false">B4000-WEEKDAY(B4000)+1</f>
        <v>44899</v>
      </c>
      <c r="D4000" s="1" t="e">
        <f aca="false" t="array" ref="D4000:D4000">IF(ISBLANK(_xlfn.xlookup(D$3,daily_items,_xlfn.xlookup($C4000,daily_dates,big_daily_table))),NA(),_xlfn.xlookup(D$3,daily_items,_xlfn.xlookup($C4000,daily_dates,big_daily_table)))</f>
        <v>#NAME?</v>
      </c>
      <c r="E4000" s="1" t="e">
        <f aca="false" t="array" ref="E4000:E4000">IF(ISBLANK(_xlfn.xlookup(E$3,daily_items,_xlfn.xlookup($C4000,daily_dates,big_daily_table))),NA(),_xlfn.xlookup(E$3,daily_items,_xlfn.xlookup($C4000,daily_dates,big_daily_table)))</f>
        <v>#NAME?</v>
      </c>
    </row>
    <row r="4001" customFormat="false" ht="14.25" hidden="false" customHeight="false" outlineLevel="0" collapsed="false">
      <c r="B4001" s="7" t="n">
        <v>44906</v>
      </c>
      <c r="C4001" s="7" t="n">
        <f aca="false">B4001-WEEKDAY(B4001)+1</f>
        <v>44906</v>
      </c>
      <c r="D4001" s="1" t="e">
        <f aca="false" t="array" ref="D4001:D4001">IF(ISBLANK(_xlfn.xlookup(D$3,daily_items,_xlfn.xlookup($C4001,daily_dates,big_daily_table))),NA(),_xlfn.xlookup(D$3,daily_items,_xlfn.xlookup($C4001,daily_dates,big_daily_table)))</f>
        <v>#NAME?</v>
      </c>
      <c r="E4001" s="1" t="e">
        <f aca="false" t="array" ref="E4001:E4001">IF(ISBLANK(_xlfn.xlookup(E$3,daily_items,_xlfn.xlookup($C4001,daily_dates,big_daily_table))),NA(),_xlfn.xlookup(E$3,daily_items,_xlfn.xlookup($C4001,daily_dates,big_daily_table)))</f>
        <v>#NAME?</v>
      </c>
    </row>
    <row r="4002" customFormat="false" ht="14.25" hidden="false" customHeight="false" outlineLevel="0" collapsed="false">
      <c r="B4002" s="7" t="n">
        <v>44907</v>
      </c>
      <c r="C4002" s="7" t="n">
        <f aca="false">B4002-WEEKDAY(B4002)+1</f>
        <v>44906</v>
      </c>
      <c r="D4002" s="1" t="e">
        <f aca="false" t="array" ref="D4002:D4002">IF(ISBLANK(_xlfn.xlookup(D$3,daily_items,_xlfn.xlookup($C4002,daily_dates,big_daily_table))),NA(),_xlfn.xlookup(D$3,daily_items,_xlfn.xlookup($C4002,daily_dates,big_daily_table)))</f>
        <v>#NAME?</v>
      </c>
      <c r="E4002" s="1" t="e">
        <f aca="false" t="array" ref="E4002:E4002">IF(ISBLANK(_xlfn.xlookup(E$3,daily_items,_xlfn.xlookup($C4002,daily_dates,big_daily_table))),NA(),_xlfn.xlookup(E$3,daily_items,_xlfn.xlookup($C4002,daily_dates,big_daily_table)))</f>
        <v>#NAME?</v>
      </c>
    </row>
    <row r="4003" customFormat="false" ht="14.25" hidden="false" customHeight="false" outlineLevel="0" collapsed="false">
      <c r="B4003" s="7" t="n">
        <v>44908</v>
      </c>
      <c r="C4003" s="7" t="n">
        <f aca="false">B4003-WEEKDAY(B4003)+1</f>
        <v>44906</v>
      </c>
      <c r="D4003" s="1" t="e">
        <f aca="false" t="array" ref="D4003:D4003">IF(ISBLANK(_xlfn.xlookup(D$3,daily_items,_xlfn.xlookup($C4003,daily_dates,big_daily_table))),NA(),_xlfn.xlookup(D$3,daily_items,_xlfn.xlookup($C4003,daily_dates,big_daily_table)))</f>
        <v>#NAME?</v>
      </c>
      <c r="E4003" s="1" t="e">
        <f aca="false" t="array" ref="E4003:E4003">IF(ISBLANK(_xlfn.xlookup(E$3,daily_items,_xlfn.xlookup($C4003,daily_dates,big_daily_table))),NA(),_xlfn.xlookup(E$3,daily_items,_xlfn.xlookup($C4003,daily_dates,big_daily_table)))</f>
        <v>#NAME?</v>
      </c>
    </row>
    <row r="4004" customFormat="false" ht="14.25" hidden="false" customHeight="false" outlineLevel="0" collapsed="false">
      <c r="B4004" s="7" t="n">
        <v>44909</v>
      </c>
      <c r="C4004" s="7" t="n">
        <f aca="false">B4004-WEEKDAY(B4004)+1</f>
        <v>44906</v>
      </c>
      <c r="D4004" s="1" t="e">
        <f aca="false" t="array" ref="D4004:D4004">IF(ISBLANK(_xlfn.xlookup(D$3,daily_items,_xlfn.xlookup($C4004,daily_dates,big_daily_table))),NA(),_xlfn.xlookup(D$3,daily_items,_xlfn.xlookup($C4004,daily_dates,big_daily_table)))</f>
        <v>#NAME?</v>
      </c>
      <c r="E4004" s="1" t="e">
        <f aca="false" t="array" ref="E4004:E4004">IF(ISBLANK(_xlfn.xlookup(E$3,daily_items,_xlfn.xlookup($C4004,daily_dates,big_daily_table))),NA(),_xlfn.xlookup(E$3,daily_items,_xlfn.xlookup($C4004,daily_dates,big_daily_table)))</f>
        <v>#NAME?</v>
      </c>
    </row>
    <row r="4005" customFormat="false" ht="14.25" hidden="false" customHeight="false" outlineLevel="0" collapsed="false">
      <c r="B4005" s="7" t="n">
        <v>44910</v>
      </c>
      <c r="C4005" s="7" t="n">
        <f aca="false">B4005-WEEKDAY(B4005)+1</f>
        <v>44906</v>
      </c>
      <c r="D4005" s="1" t="e">
        <f aca="false" t="array" ref="D4005:D4005">IF(ISBLANK(_xlfn.xlookup(D$3,daily_items,_xlfn.xlookup($C4005,daily_dates,big_daily_table))),NA(),_xlfn.xlookup(D$3,daily_items,_xlfn.xlookup($C4005,daily_dates,big_daily_table)))</f>
        <v>#NAME?</v>
      </c>
      <c r="E4005" s="1" t="e">
        <f aca="false" t="array" ref="E4005:E4005">IF(ISBLANK(_xlfn.xlookup(E$3,daily_items,_xlfn.xlookup($C4005,daily_dates,big_daily_table))),NA(),_xlfn.xlookup(E$3,daily_items,_xlfn.xlookup($C4005,daily_dates,big_daily_table)))</f>
        <v>#NAME?</v>
      </c>
    </row>
    <row r="4006" customFormat="false" ht="14.25" hidden="false" customHeight="false" outlineLevel="0" collapsed="false">
      <c r="B4006" s="7" t="n">
        <v>44911</v>
      </c>
      <c r="C4006" s="7" t="n">
        <f aca="false">B4006-WEEKDAY(B4006)+1</f>
        <v>44906</v>
      </c>
      <c r="D4006" s="1" t="e">
        <f aca="false" t="array" ref="D4006:D4006">IF(ISBLANK(_xlfn.xlookup(D$3,daily_items,_xlfn.xlookup($C4006,daily_dates,big_daily_table))),NA(),_xlfn.xlookup(D$3,daily_items,_xlfn.xlookup($C4006,daily_dates,big_daily_table)))</f>
        <v>#NAME?</v>
      </c>
      <c r="E4006" s="1" t="e">
        <f aca="false" t="array" ref="E4006:E4006">IF(ISBLANK(_xlfn.xlookup(E$3,daily_items,_xlfn.xlookup($C4006,daily_dates,big_daily_table))),NA(),_xlfn.xlookup(E$3,daily_items,_xlfn.xlookup($C4006,daily_dates,big_daily_table)))</f>
        <v>#NAME?</v>
      </c>
    </row>
    <row r="4007" customFormat="false" ht="14.25" hidden="false" customHeight="false" outlineLevel="0" collapsed="false">
      <c r="B4007" s="7" t="n">
        <v>44912</v>
      </c>
      <c r="C4007" s="7" t="n">
        <f aca="false">B4007-WEEKDAY(B4007)+1</f>
        <v>44906</v>
      </c>
      <c r="D4007" s="1" t="e">
        <f aca="false" t="array" ref="D4007:D4007">IF(ISBLANK(_xlfn.xlookup(D$3,daily_items,_xlfn.xlookup($C4007,daily_dates,big_daily_table))),NA(),_xlfn.xlookup(D$3,daily_items,_xlfn.xlookup($C4007,daily_dates,big_daily_table)))</f>
        <v>#NAME?</v>
      </c>
      <c r="E4007" s="1" t="e">
        <f aca="false" t="array" ref="E4007:E4007">IF(ISBLANK(_xlfn.xlookup(E$3,daily_items,_xlfn.xlookup($C4007,daily_dates,big_daily_table))),NA(),_xlfn.xlookup(E$3,daily_items,_xlfn.xlookup($C4007,daily_dates,big_daily_table)))</f>
        <v>#NAME?</v>
      </c>
    </row>
    <row r="4008" customFormat="false" ht="14.25" hidden="false" customHeight="false" outlineLevel="0" collapsed="false">
      <c r="B4008" s="7" t="n">
        <v>44913</v>
      </c>
      <c r="C4008" s="7" t="n">
        <f aca="false">B4008-WEEKDAY(B4008)+1</f>
        <v>44913</v>
      </c>
      <c r="D4008" s="1" t="e">
        <f aca="false" t="array" ref="D4008:D4008">IF(ISBLANK(_xlfn.xlookup(D$3,daily_items,_xlfn.xlookup($C4008,daily_dates,big_daily_table))),NA(),_xlfn.xlookup(D$3,daily_items,_xlfn.xlookup($C4008,daily_dates,big_daily_table)))</f>
        <v>#NAME?</v>
      </c>
      <c r="E4008" s="1" t="e">
        <f aca="false" t="array" ref="E4008:E4008">IF(ISBLANK(_xlfn.xlookup(E$3,daily_items,_xlfn.xlookup($C4008,daily_dates,big_daily_table))),NA(),_xlfn.xlookup(E$3,daily_items,_xlfn.xlookup($C4008,daily_dates,big_daily_table)))</f>
        <v>#NAME?</v>
      </c>
    </row>
    <row r="4009" customFormat="false" ht="14.25" hidden="false" customHeight="false" outlineLevel="0" collapsed="false">
      <c r="B4009" s="7" t="n">
        <v>44914</v>
      </c>
      <c r="C4009" s="7" t="n">
        <f aca="false">B4009-WEEKDAY(B4009)+1</f>
        <v>44913</v>
      </c>
      <c r="D4009" s="1" t="e">
        <f aca="false" t="array" ref="D4009:D4009">IF(ISBLANK(_xlfn.xlookup(D$3,daily_items,_xlfn.xlookup($C4009,daily_dates,big_daily_table))),NA(),_xlfn.xlookup(D$3,daily_items,_xlfn.xlookup($C4009,daily_dates,big_daily_table)))</f>
        <v>#NAME?</v>
      </c>
      <c r="E4009" s="1" t="e">
        <f aca="false" t="array" ref="E4009:E4009">IF(ISBLANK(_xlfn.xlookup(E$3,daily_items,_xlfn.xlookup($C4009,daily_dates,big_daily_table))),NA(),_xlfn.xlookup(E$3,daily_items,_xlfn.xlookup($C4009,daily_dates,big_daily_table)))</f>
        <v>#NAME?</v>
      </c>
    </row>
    <row r="4010" customFormat="false" ht="14.25" hidden="false" customHeight="false" outlineLevel="0" collapsed="false">
      <c r="B4010" s="7" t="n">
        <v>44915</v>
      </c>
      <c r="C4010" s="7" t="n">
        <f aca="false">B4010-WEEKDAY(B4010)+1</f>
        <v>44913</v>
      </c>
      <c r="D4010" s="1" t="e">
        <f aca="false" t="array" ref="D4010:D4010">IF(ISBLANK(_xlfn.xlookup(D$3,daily_items,_xlfn.xlookup($C4010,daily_dates,big_daily_table))),NA(),_xlfn.xlookup(D$3,daily_items,_xlfn.xlookup($C4010,daily_dates,big_daily_table)))</f>
        <v>#NAME?</v>
      </c>
      <c r="E4010" s="1" t="e">
        <f aca="false" t="array" ref="E4010:E4010">IF(ISBLANK(_xlfn.xlookup(E$3,daily_items,_xlfn.xlookup($C4010,daily_dates,big_daily_table))),NA(),_xlfn.xlookup(E$3,daily_items,_xlfn.xlookup($C4010,daily_dates,big_daily_table)))</f>
        <v>#NAME?</v>
      </c>
    </row>
    <row r="4011" customFormat="false" ht="14.25" hidden="false" customHeight="false" outlineLevel="0" collapsed="false">
      <c r="B4011" s="7" t="n">
        <v>44916</v>
      </c>
      <c r="C4011" s="7" t="n">
        <f aca="false">B4011-WEEKDAY(B4011)+1</f>
        <v>44913</v>
      </c>
      <c r="D4011" s="1" t="e">
        <f aca="false" t="array" ref="D4011:D4011">IF(ISBLANK(_xlfn.xlookup(D$3,daily_items,_xlfn.xlookup($C4011,daily_dates,big_daily_table))),NA(),_xlfn.xlookup(D$3,daily_items,_xlfn.xlookup($C4011,daily_dates,big_daily_table)))</f>
        <v>#NAME?</v>
      </c>
      <c r="E4011" s="1" t="e">
        <f aca="false" t="array" ref="E4011:E4011">IF(ISBLANK(_xlfn.xlookup(E$3,daily_items,_xlfn.xlookup($C4011,daily_dates,big_daily_table))),NA(),_xlfn.xlookup(E$3,daily_items,_xlfn.xlookup($C4011,daily_dates,big_daily_table)))</f>
        <v>#NAME?</v>
      </c>
    </row>
    <row r="4012" customFormat="false" ht="14.25" hidden="false" customHeight="false" outlineLevel="0" collapsed="false">
      <c r="B4012" s="7" t="n">
        <v>44917</v>
      </c>
      <c r="C4012" s="7" t="n">
        <f aca="false">B4012-WEEKDAY(B4012)+1</f>
        <v>44913</v>
      </c>
      <c r="D4012" s="1" t="e">
        <f aca="false" t="array" ref="D4012:D4012">IF(ISBLANK(_xlfn.xlookup(D$3,daily_items,_xlfn.xlookup($C4012,daily_dates,big_daily_table))),NA(),_xlfn.xlookup(D$3,daily_items,_xlfn.xlookup($C4012,daily_dates,big_daily_table)))</f>
        <v>#NAME?</v>
      </c>
      <c r="E4012" s="1" t="e">
        <f aca="false" t="array" ref="E4012:E4012">IF(ISBLANK(_xlfn.xlookup(E$3,daily_items,_xlfn.xlookup($C4012,daily_dates,big_daily_table))),NA(),_xlfn.xlookup(E$3,daily_items,_xlfn.xlookup($C4012,daily_dates,big_daily_table)))</f>
        <v>#NAME?</v>
      </c>
    </row>
    <row r="4013" customFormat="false" ht="14.25" hidden="false" customHeight="false" outlineLevel="0" collapsed="false">
      <c r="B4013" s="7" t="n">
        <v>44918</v>
      </c>
      <c r="C4013" s="7" t="n">
        <f aca="false">B4013-WEEKDAY(B4013)+1</f>
        <v>44913</v>
      </c>
      <c r="D4013" s="1" t="e">
        <f aca="false" t="array" ref="D4013:D4013">IF(ISBLANK(_xlfn.xlookup(D$3,daily_items,_xlfn.xlookup($C4013,daily_dates,big_daily_table))),NA(),_xlfn.xlookup(D$3,daily_items,_xlfn.xlookup($C4013,daily_dates,big_daily_table)))</f>
        <v>#NAME?</v>
      </c>
      <c r="E4013" s="1" t="e">
        <f aca="false" t="array" ref="E4013:E4013">IF(ISBLANK(_xlfn.xlookup(E$3,daily_items,_xlfn.xlookup($C4013,daily_dates,big_daily_table))),NA(),_xlfn.xlookup(E$3,daily_items,_xlfn.xlookup($C4013,daily_dates,big_daily_table)))</f>
        <v>#NAME?</v>
      </c>
    </row>
    <row r="4014" customFormat="false" ht="14.25" hidden="false" customHeight="false" outlineLevel="0" collapsed="false">
      <c r="B4014" s="7" t="n">
        <v>44919</v>
      </c>
      <c r="C4014" s="7" t="n">
        <f aca="false">B4014-WEEKDAY(B4014)+1</f>
        <v>44913</v>
      </c>
      <c r="D4014" s="1" t="e">
        <f aca="false" t="array" ref="D4014:D4014">IF(ISBLANK(_xlfn.xlookup(D$3,daily_items,_xlfn.xlookup($C4014,daily_dates,big_daily_table))),NA(),_xlfn.xlookup(D$3,daily_items,_xlfn.xlookup($C4014,daily_dates,big_daily_table)))</f>
        <v>#NAME?</v>
      </c>
      <c r="E4014" s="1" t="e">
        <f aca="false" t="array" ref="E4014:E4014">IF(ISBLANK(_xlfn.xlookup(E$3,daily_items,_xlfn.xlookup($C4014,daily_dates,big_daily_table))),NA(),_xlfn.xlookup(E$3,daily_items,_xlfn.xlookup($C4014,daily_dates,big_daily_table)))</f>
        <v>#NAME?</v>
      </c>
    </row>
    <row r="4015" customFormat="false" ht="14.25" hidden="false" customHeight="false" outlineLevel="0" collapsed="false">
      <c r="B4015" s="7" t="n">
        <v>44920</v>
      </c>
      <c r="C4015" s="7" t="n">
        <f aca="false">B4015-WEEKDAY(B4015)+1</f>
        <v>44920</v>
      </c>
      <c r="D4015" s="1" t="e">
        <f aca="false" t="array" ref="D4015:D4015">IF(ISBLANK(_xlfn.xlookup(D$3,daily_items,_xlfn.xlookup($C4015,daily_dates,big_daily_table))),NA(),_xlfn.xlookup(D$3,daily_items,_xlfn.xlookup($C4015,daily_dates,big_daily_table)))</f>
        <v>#NAME?</v>
      </c>
      <c r="E4015" s="1" t="e">
        <f aca="false" t="array" ref="E4015:E4015">IF(ISBLANK(_xlfn.xlookup(E$3,daily_items,_xlfn.xlookup($C4015,daily_dates,big_daily_table))),NA(),_xlfn.xlookup(E$3,daily_items,_xlfn.xlookup($C4015,daily_dates,big_daily_table)))</f>
        <v>#NAME?</v>
      </c>
    </row>
    <row r="4016" customFormat="false" ht="14.25" hidden="false" customHeight="false" outlineLevel="0" collapsed="false">
      <c r="B4016" s="7" t="n">
        <v>44921</v>
      </c>
      <c r="C4016" s="7" t="n">
        <f aca="false">B4016-WEEKDAY(B4016)+1</f>
        <v>44920</v>
      </c>
      <c r="D4016" s="1" t="e">
        <f aca="false" t="array" ref="D4016:D4016">IF(ISBLANK(_xlfn.xlookup(D$3,daily_items,_xlfn.xlookup($C4016,daily_dates,big_daily_table))),NA(),_xlfn.xlookup(D$3,daily_items,_xlfn.xlookup($C4016,daily_dates,big_daily_table)))</f>
        <v>#NAME?</v>
      </c>
      <c r="E4016" s="1" t="e">
        <f aca="false" t="array" ref="E4016:E4016">IF(ISBLANK(_xlfn.xlookup(E$3,daily_items,_xlfn.xlookup($C4016,daily_dates,big_daily_table))),NA(),_xlfn.xlookup(E$3,daily_items,_xlfn.xlookup($C4016,daily_dates,big_daily_table)))</f>
        <v>#NAME?</v>
      </c>
    </row>
    <row r="4017" customFormat="false" ht="14.25" hidden="false" customHeight="false" outlineLevel="0" collapsed="false">
      <c r="B4017" s="7" t="n">
        <v>44922</v>
      </c>
      <c r="C4017" s="7" t="n">
        <f aca="false">B4017-WEEKDAY(B4017)+1</f>
        <v>44920</v>
      </c>
      <c r="D4017" s="1" t="e">
        <f aca="false" t="array" ref="D4017:D4017">IF(ISBLANK(_xlfn.xlookup(D$3,daily_items,_xlfn.xlookup($C4017,daily_dates,big_daily_table))),NA(),_xlfn.xlookup(D$3,daily_items,_xlfn.xlookup($C4017,daily_dates,big_daily_table)))</f>
        <v>#NAME?</v>
      </c>
      <c r="E4017" s="1" t="e">
        <f aca="false" t="array" ref="E4017:E4017">IF(ISBLANK(_xlfn.xlookup(E$3,daily_items,_xlfn.xlookup($C4017,daily_dates,big_daily_table))),NA(),_xlfn.xlookup(E$3,daily_items,_xlfn.xlookup($C4017,daily_dates,big_daily_table)))</f>
        <v>#NAME?</v>
      </c>
    </row>
    <row r="4018" customFormat="false" ht="14.25" hidden="false" customHeight="false" outlineLevel="0" collapsed="false">
      <c r="B4018" s="7" t="n">
        <v>44923</v>
      </c>
      <c r="C4018" s="7" t="n">
        <f aca="false">B4018-WEEKDAY(B4018)+1</f>
        <v>44920</v>
      </c>
      <c r="D4018" s="1" t="e">
        <f aca="false" t="array" ref="D4018:D4018">IF(ISBLANK(_xlfn.xlookup(D$3,daily_items,_xlfn.xlookup($C4018,daily_dates,big_daily_table))),NA(),_xlfn.xlookup(D$3,daily_items,_xlfn.xlookup($C4018,daily_dates,big_daily_table)))</f>
        <v>#NAME?</v>
      </c>
      <c r="E4018" s="1" t="e">
        <f aca="false" t="array" ref="E4018:E4018">IF(ISBLANK(_xlfn.xlookup(E$3,daily_items,_xlfn.xlookup($C4018,daily_dates,big_daily_table))),NA(),_xlfn.xlookup(E$3,daily_items,_xlfn.xlookup($C4018,daily_dates,big_daily_table)))</f>
        <v>#NAME?</v>
      </c>
    </row>
    <row r="4019" customFormat="false" ht="14.25" hidden="false" customHeight="false" outlineLevel="0" collapsed="false">
      <c r="B4019" s="7" t="n">
        <v>44924</v>
      </c>
      <c r="C4019" s="7" t="n">
        <f aca="false">B4019-WEEKDAY(B4019)+1</f>
        <v>44920</v>
      </c>
      <c r="D4019" s="1" t="e">
        <f aca="false" t="array" ref="D4019:D4019">IF(ISBLANK(_xlfn.xlookup(D$3,daily_items,_xlfn.xlookup($C4019,daily_dates,big_daily_table))),NA(),_xlfn.xlookup(D$3,daily_items,_xlfn.xlookup($C4019,daily_dates,big_daily_table)))</f>
        <v>#NAME?</v>
      </c>
      <c r="E4019" s="1" t="e">
        <f aca="false" t="array" ref="E4019:E4019">IF(ISBLANK(_xlfn.xlookup(E$3,daily_items,_xlfn.xlookup($C4019,daily_dates,big_daily_table))),NA(),_xlfn.xlookup(E$3,daily_items,_xlfn.xlookup($C4019,daily_dates,big_daily_table)))</f>
        <v>#NAME?</v>
      </c>
    </row>
    <row r="4020" customFormat="false" ht="14.25" hidden="false" customHeight="false" outlineLevel="0" collapsed="false">
      <c r="B4020" s="7" t="n">
        <v>44925</v>
      </c>
      <c r="C4020" s="7" t="n">
        <f aca="false">B4020-WEEKDAY(B4020)+1</f>
        <v>44920</v>
      </c>
      <c r="D4020" s="1" t="e">
        <f aca="false" t="array" ref="D4020:D4020">IF(ISBLANK(_xlfn.xlookup(D$3,daily_items,_xlfn.xlookup($C4020,daily_dates,big_daily_table))),NA(),_xlfn.xlookup(D$3,daily_items,_xlfn.xlookup($C4020,daily_dates,big_daily_table)))</f>
        <v>#NAME?</v>
      </c>
      <c r="E4020" s="1" t="e">
        <f aca="false" t="array" ref="E4020:E4020">IF(ISBLANK(_xlfn.xlookup(E$3,daily_items,_xlfn.xlookup($C4020,daily_dates,big_daily_table))),NA(),_xlfn.xlookup(E$3,daily_items,_xlfn.xlookup($C4020,daily_dates,big_daily_table)))</f>
        <v>#NAME?</v>
      </c>
    </row>
    <row r="4021" customFormat="false" ht="14.25" hidden="false" customHeight="false" outlineLevel="0" collapsed="false">
      <c r="B4021" s="7" t="n">
        <v>44926</v>
      </c>
      <c r="C4021" s="7" t="n">
        <f aca="false">B4021-WEEKDAY(B4021)+1</f>
        <v>44920</v>
      </c>
      <c r="D4021" s="1" t="e">
        <f aca="false" t="array" ref="D4021:D4021">IF(ISBLANK(_xlfn.xlookup(D$3,daily_items,_xlfn.xlookup($C4021,daily_dates,big_daily_table))),NA(),_xlfn.xlookup(D$3,daily_items,_xlfn.xlookup($C4021,daily_dates,big_daily_table)))</f>
        <v>#NAME?</v>
      </c>
      <c r="E4021" s="1" t="e">
        <f aca="false" t="array" ref="E4021:E4021">IF(ISBLANK(_xlfn.xlookup(E$3,daily_items,_xlfn.xlookup($C4021,daily_dates,big_daily_table))),NA(),_xlfn.xlookup(E$3,daily_items,_xlfn.xlookup($C4021,daily_dates,big_daily_table)))</f>
        <v>#NAME?</v>
      </c>
    </row>
    <row r="4022" customFormat="false" ht="14.25" hidden="false" customHeight="false" outlineLevel="0" collapsed="false">
      <c r="B4022" s="7" t="n">
        <v>44927</v>
      </c>
      <c r="C4022" s="7" t="n">
        <f aca="false">B4022-WEEKDAY(B4022)+1</f>
        <v>44927</v>
      </c>
      <c r="D4022" s="1" t="e">
        <f aca="false" t="array" ref="D4022:D4022">IF(ISBLANK(_xlfn.xlookup(D$3,daily_items,_xlfn.xlookup($C4022,daily_dates,big_daily_table))),NA(),_xlfn.xlookup(D$3,daily_items,_xlfn.xlookup($C4022,daily_dates,big_daily_table)))</f>
        <v>#NAME?</v>
      </c>
      <c r="E4022" s="1" t="e">
        <f aca="false" t="array" ref="E4022:E4022">IF(ISBLANK(_xlfn.xlookup(E$3,daily_items,_xlfn.xlookup($C4022,daily_dates,big_daily_table))),NA(),_xlfn.xlookup(E$3,daily_items,_xlfn.xlookup($C4022,daily_dates,big_daily_table)))</f>
        <v>#NAME?</v>
      </c>
    </row>
    <row r="4023" customFormat="false" ht="14.25" hidden="false" customHeight="false" outlineLevel="0" collapsed="false">
      <c r="B4023" s="7" t="n">
        <v>44928</v>
      </c>
      <c r="C4023" s="7" t="n">
        <f aca="false">B4023-WEEKDAY(B4023)+1</f>
        <v>44927</v>
      </c>
      <c r="D4023" s="1" t="e">
        <f aca="false" t="array" ref="D4023:D4023">IF(ISBLANK(_xlfn.xlookup(D$3,daily_items,_xlfn.xlookup($C4023,daily_dates,big_daily_table))),NA(),_xlfn.xlookup(D$3,daily_items,_xlfn.xlookup($C4023,daily_dates,big_daily_table)))</f>
        <v>#NAME?</v>
      </c>
      <c r="E4023" s="1" t="e">
        <f aca="false" t="array" ref="E4023:E4023">IF(ISBLANK(_xlfn.xlookup(E$3,daily_items,_xlfn.xlookup($C4023,daily_dates,big_daily_table))),NA(),_xlfn.xlookup(E$3,daily_items,_xlfn.xlookup($C4023,daily_dates,big_daily_table)))</f>
        <v>#NAME?</v>
      </c>
    </row>
    <row r="4024" customFormat="false" ht="14.25" hidden="false" customHeight="false" outlineLevel="0" collapsed="false">
      <c r="B4024" s="7" t="n">
        <v>44929</v>
      </c>
      <c r="C4024" s="7" t="n">
        <f aca="false">B4024-WEEKDAY(B4024)+1</f>
        <v>44927</v>
      </c>
      <c r="D4024" s="1" t="e">
        <f aca="false" t="array" ref="D4024:D4024">IF(ISBLANK(_xlfn.xlookup(D$3,daily_items,_xlfn.xlookup($C4024,daily_dates,big_daily_table))),NA(),_xlfn.xlookup(D$3,daily_items,_xlfn.xlookup($C4024,daily_dates,big_daily_table)))</f>
        <v>#NAME?</v>
      </c>
      <c r="E4024" s="1" t="e">
        <f aca="false" t="array" ref="E4024:E4024">IF(ISBLANK(_xlfn.xlookup(E$3,daily_items,_xlfn.xlookup($C4024,daily_dates,big_daily_table))),NA(),_xlfn.xlookup(E$3,daily_items,_xlfn.xlookup($C4024,daily_dates,big_daily_table)))</f>
        <v>#NAME?</v>
      </c>
    </row>
    <row r="4025" customFormat="false" ht="14.25" hidden="false" customHeight="false" outlineLevel="0" collapsed="false">
      <c r="B4025" s="7" t="n">
        <v>44930</v>
      </c>
      <c r="C4025" s="7" t="n">
        <f aca="false">B4025-WEEKDAY(B4025)+1</f>
        <v>44927</v>
      </c>
      <c r="D4025" s="1" t="e">
        <f aca="false" t="array" ref="D4025:D4025">IF(ISBLANK(_xlfn.xlookup(D$3,daily_items,_xlfn.xlookup($C4025,daily_dates,big_daily_table))),NA(),_xlfn.xlookup(D$3,daily_items,_xlfn.xlookup($C4025,daily_dates,big_daily_table)))</f>
        <v>#NAME?</v>
      </c>
      <c r="E4025" s="1" t="e">
        <f aca="false" t="array" ref="E4025:E4025">IF(ISBLANK(_xlfn.xlookup(E$3,daily_items,_xlfn.xlookup($C4025,daily_dates,big_daily_table))),NA(),_xlfn.xlookup(E$3,daily_items,_xlfn.xlookup($C4025,daily_dates,big_daily_table)))</f>
        <v>#NAME?</v>
      </c>
    </row>
    <row r="4026" customFormat="false" ht="14.25" hidden="false" customHeight="false" outlineLevel="0" collapsed="false">
      <c r="B4026" s="7" t="n">
        <v>44931</v>
      </c>
      <c r="C4026" s="7" t="n">
        <f aca="false">B4026-WEEKDAY(B4026)+1</f>
        <v>44927</v>
      </c>
      <c r="D4026" s="1" t="e">
        <f aca="false" t="array" ref="D4026:D4026">IF(ISBLANK(_xlfn.xlookup(D$3,daily_items,_xlfn.xlookup($C4026,daily_dates,big_daily_table))),NA(),_xlfn.xlookup(D$3,daily_items,_xlfn.xlookup($C4026,daily_dates,big_daily_table)))</f>
        <v>#NAME?</v>
      </c>
      <c r="E4026" s="1" t="e">
        <f aca="false" t="array" ref="E4026:E4026">IF(ISBLANK(_xlfn.xlookup(E$3,daily_items,_xlfn.xlookup($C4026,daily_dates,big_daily_table))),NA(),_xlfn.xlookup(E$3,daily_items,_xlfn.xlookup($C4026,daily_dates,big_daily_table)))</f>
        <v>#NAME?</v>
      </c>
    </row>
    <row r="4027" customFormat="false" ht="14.25" hidden="false" customHeight="false" outlineLevel="0" collapsed="false">
      <c r="B4027" s="7" t="n">
        <v>44932</v>
      </c>
      <c r="C4027" s="7" t="n">
        <f aca="false">B4027-WEEKDAY(B4027)+1</f>
        <v>44927</v>
      </c>
      <c r="D4027" s="1" t="e">
        <f aca="false" t="array" ref="D4027:D4027">IF(ISBLANK(_xlfn.xlookup(D$3,daily_items,_xlfn.xlookup($C4027,daily_dates,big_daily_table))),NA(),_xlfn.xlookup(D$3,daily_items,_xlfn.xlookup($C4027,daily_dates,big_daily_table)))</f>
        <v>#NAME?</v>
      </c>
      <c r="E4027" s="1" t="e">
        <f aca="false" t="array" ref="E4027:E4027">IF(ISBLANK(_xlfn.xlookup(E$3,daily_items,_xlfn.xlookup($C4027,daily_dates,big_daily_table))),NA(),_xlfn.xlookup(E$3,daily_items,_xlfn.xlookup($C4027,daily_dates,big_daily_table)))</f>
        <v>#NAME?</v>
      </c>
    </row>
    <row r="4028" customFormat="false" ht="14.25" hidden="false" customHeight="false" outlineLevel="0" collapsed="false">
      <c r="B4028" s="7" t="n">
        <v>44933</v>
      </c>
      <c r="C4028" s="7" t="n">
        <f aca="false">B4028-WEEKDAY(B4028)+1</f>
        <v>44927</v>
      </c>
      <c r="D4028" s="1" t="e">
        <f aca="false" t="array" ref="D4028:D4028">IF(ISBLANK(_xlfn.xlookup(D$3,daily_items,_xlfn.xlookup($C4028,daily_dates,big_daily_table))),NA(),_xlfn.xlookup(D$3,daily_items,_xlfn.xlookup($C4028,daily_dates,big_daily_table)))</f>
        <v>#NAME?</v>
      </c>
      <c r="E4028" s="1" t="e">
        <f aca="false" t="array" ref="E4028:E4028">IF(ISBLANK(_xlfn.xlookup(E$3,daily_items,_xlfn.xlookup($C4028,daily_dates,big_daily_table))),NA(),_xlfn.xlookup(E$3,daily_items,_xlfn.xlookup($C4028,daily_dates,big_daily_table)))</f>
        <v>#NAME?</v>
      </c>
    </row>
    <row r="4029" customFormat="false" ht="14.25" hidden="false" customHeight="false" outlineLevel="0" collapsed="false">
      <c r="B4029" s="7" t="n">
        <v>44934</v>
      </c>
      <c r="C4029" s="7" t="n">
        <f aca="false">B4029-WEEKDAY(B4029)+1</f>
        <v>44934</v>
      </c>
      <c r="D4029" s="1" t="e">
        <f aca="false" t="array" ref="D4029:D4029">IF(ISBLANK(_xlfn.xlookup(D$3,daily_items,_xlfn.xlookup($C4029,daily_dates,big_daily_table))),NA(),_xlfn.xlookup(D$3,daily_items,_xlfn.xlookup($C4029,daily_dates,big_daily_table)))</f>
        <v>#NAME?</v>
      </c>
      <c r="E4029" s="1" t="e">
        <f aca="false" t="array" ref="E4029:E4029">IF(ISBLANK(_xlfn.xlookup(E$3,daily_items,_xlfn.xlookup($C4029,daily_dates,big_daily_table))),NA(),_xlfn.xlookup(E$3,daily_items,_xlfn.xlookup($C4029,daily_dates,big_daily_table)))</f>
        <v>#NAME?</v>
      </c>
    </row>
    <row r="4030" customFormat="false" ht="14.25" hidden="false" customHeight="false" outlineLevel="0" collapsed="false">
      <c r="B4030" s="7" t="n">
        <v>44935</v>
      </c>
      <c r="C4030" s="7" t="n">
        <f aca="false">B4030-WEEKDAY(B4030)+1</f>
        <v>44934</v>
      </c>
      <c r="D4030" s="1" t="e">
        <f aca="false" t="array" ref="D4030:D4030">IF(ISBLANK(_xlfn.xlookup(D$3,daily_items,_xlfn.xlookup($C4030,daily_dates,big_daily_table))),NA(),_xlfn.xlookup(D$3,daily_items,_xlfn.xlookup($C4030,daily_dates,big_daily_table)))</f>
        <v>#NAME?</v>
      </c>
      <c r="E4030" s="1" t="e">
        <f aca="false" t="array" ref="E4030:E4030">IF(ISBLANK(_xlfn.xlookup(E$3,daily_items,_xlfn.xlookup($C4030,daily_dates,big_daily_table))),NA(),_xlfn.xlookup(E$3,daily_items,_xlfn.xlookup($C4030,daily_dates,big_daily_table)))</f>
        <v>#NAME?</v>
      </c>
    </row>
    <row r="4031" customFormat="false" ht="14.25" hidden="false" customHeight="false" outlineLevel="0" collapsed="false">
      <c r="B4031" s="7" t="n">
        <v>44936</v>
      </c>
      <c r="C4031" s="7" t="n">
        <f aca="false">B4031-WEEKDAY(B4031)+1</f>
        <v>44934</v>
      </c>
      <c r="D4031" s="1" t="e">
        <f aca="false" t="array" ref="D4031:D4031">IF(ISBLANK(_xlfn.xlookup(D$3,daily_items,_xlfn.xlookup($C4031,daily_dates,big_daily_table))),NA(),_xlfn.xlookup(D$3,daily_items,_xlfn.xlookup($C4031,daily_dates,big_daily_table)))</f>
        <v>#NAME?</v>
      </c>
      <c r="E4031" s="1" t="e">
        <f aca="false" t="array" ref="E4031:E4031">IF(ISBLANK(_xlfn.xlookup(E$3,daily_items,_xlfn.xlookup($C4031,daily_dates,big_daily_table))),NA(),_xlfn.xlookup(E$3,daily_items,_xlfn.xlookup($C4031,daily_dates,big_daily_table)))</f>
        <v>#NAME?</v>
      </c>
    </row>
    <row r="4032" customFormat="false" ht="14.25" hidden="false" customHeight="false" outlineLevel="0" collapsed="false">
      <c r="B4032" s="7" t="n">
        <v>44937</v>
      </c>
      <c r="C4032" s="7" t="n">
        <f aca="false">B4032-WEEKDAY(B4032)+1</f>
        <v>44934</v>
      </c>
      <c r="D4032" s="1" t="e">
        <f aca="false" t="array" ref="D4032:D4032">IF(ISBLANK(_xlfn.xlookup(D$3,daily_items,_xlfn.xlookup($C4032,daily_dates,big_daily_table))),NA(),_xlfn.xlookup(D$3,daily_items,_xlfn.xlookup($C4032,daily_dates,big_daily_table)))</f>
        <v>#NAME?</v>
      </c>
      <c r="E4032" s="1" t="e">
        <f aca="false" t="array" ref="E4032:E4032">IF(ISBLANK(_xlfn.xlookup(E$3,daily_items,_xlfn.xlookup($C4032,daily_dates,big_daily_table))),NA(),_xlfn.xlookup(E$3,daily_items,_xlfn.xlookup($C4032,daily_dates,big_daily_table)))</f>
        <v>#NAME?</v>
      </c>
    </row>
    <row r="4033" customFormat="false" ht="14.25" hidden="false" customHeight="false" outlineLevel="0" collapsed="false">
      <c r="B4033" s="7" t="n">
        <v>44938</v>
      </c>
      <c r="C4033" s="7" t="n">
        <f aca="false">B4033-WEEKDAY(B4033)+1</f>
        <v>44934</v>
      </c>
      <c r="D4033" s="1" t="e">
        <f aca="false" t="array" ref="D4033:D4033">IF(ISBLANK(_xlfn.xlookup(D$3,daily_items,_xlfn.xlookup($C4033,daily_dates,big_daily_table))),NA(),_xlfn.xlookup(D$3,daily_items,_xlfn.xlookup($C4033,daily_dates,big_daily_table)))</f>
        <v>#NAME?</v>
      </c>
      <c r="E4033" s="1" t="e">
        <f aca="false" t="array" ref="E4033:E4033">IF(ISBLANK(_xlfn.xlookup(E$3,daily_items,_xlfn.xlookup($C4033,daily_dates,big_daily_table))),NA(),_xlfn.xlookup(E$3,daily_items,_xlfn.xlookup($C4033,daily_dates,big_daily_table)))</f>
        <v>#NAME?</v>
      </c>
    </row>
    <row r="4034" customFormat="false" ht="14.25" hidden="false" customHeight="false" outlineLevel="0" collapsed="false">
      <c r="B4034" s="7" t="n">
        <v>44939</v>
      </c>
      <c r="C4034" s="7" t="n">
        <f aca="false">B4034-WEEKDAY(B4034)+1</f>
        <v>44934</v>
      </c>
      <c r="D4034" s="1" t="e">
        <f aca="false" t="array" ref="D4034:D4034">IF(ISBLANK(_xlfn.xlookup(D$3,daily_items,_xlfn.xlookup($C4034,daily_dates,big_daily_table))),NA(),_xlfn.xlookup(D$3,daily_items,_xlfn.xlookup($C4034,daily_dates,big_daily_table)))</f>
        <v>#NAME?</v>
      </c>
      <c r="E4034" s="1" t="e">
        <f aca="false" t="array" ref="E4034:E4034">IF(ISBLANK(_xlfn.xlookup(E$3,daily_items,_xlfn.xlookup($C4034,daily_dates,big_daily_table))),NA(),_xlfn.xlookup(E$3,daily_items,_xlfn.xlookup($C4034,daily_dates,big_daily_table)))</f>
        <v>#NAME?</v>
      </c>
    </row>
    <row r="4035" customFormat="false" ht="14.25" hidden="false" customHeight="false" outlineLevel="0" collapsed="false">
      <c r="B4035" s="7" t="n">
        <v>44940</v>
      </c>
      <c r="C4035" s="7" t="n">
        <f aca="false">B4035-WEEKDAY(B4035)+1</f>
        <v>44934</v>
      </c>
      <c r="D4035" s="1" t="e">
        <f aca="false" t="array" ref="D4035:D4035">IF(ISBLANK(_xlfn.xlookup(D$3,daily_items,_xlfn.xlookup($C4035,daily_dates,big_daily_table))),NA(),_xlfn.xlookup(D$3,daily_items,_xlfn.xlookup($C4035,daily_dates,big_daily_table)))</f>
        <v>#NAME?</v>
      </c>
      <c r="E4035" s="1" t="e">
        <f aca="false" t="array" ref="E4035:E4035">IF(ISBLANK(_xlfn.xlookup(E$3,daily_items,_xlfn.xlookup($C4035,daily_dates,big_daily_table))),NA(),_xlfn.xlookup(E$3,daily_items,_xlfn.xlookup($C4035,daily_dates,big_daily_table)))</f>
        <v>#NAME?</v>
      </c>
    </row>
    <row r="4036" customFormat="false" ht="14.25" hidden="false" customHeight="false" outlineLevel="0" collapsed="false">
      <c r="B4036" s="7" t="n">
        <v>44941</v>
      </c>
      <c r="C4036" s="7" t="n">
        <f aca="false">B4036-WEEKDAY(B4036)+1</f>
        <v>44941</v>
      </c>
      <c r="D4036" s="1" t="e">
        <f aca="false" t="array" ref="D4036:D4036">IF(ISBLANK(_xlfn.xlookup(D$3,daily_items,_xlfn.xlookup($C4036,daily_dates,big_daily_table))),NA(),_xlfn.xlookup(D$3,daily_items,_xlfn.xlookup($C4036,daily_dates,big_daily_table)))</f>
        <v>#NAME?</v>
      </c>
      <c r="E4036" s="1" t="e">
        <f aca="false" t="array" ref="E4036:E4036">IF(ISBLANK(_xlfn.xlookup(E$3,daily_items,_xlfn.xlookup($C4036,daily_dates,big_daily_table))),NA(),_xlfn.xlookup(E$3,daily_items,_xlfn.xlookup($C4036,daily_dates,big_daily_table)))</f>
        <v>#NAME?</v>
      </c>
    </row>
    <row r="4037" customFormat="false" ht="14.25" hidden="false" customHeight="false" outlineLevel="0" collapsed="false">
      <c r="B4037" s="7" t="n">
        <v>44942</v>
      </c>
      <c r="C4037" s="7" t="n">
        <f aca="false">B4037-WEEKDAY(B4037)+1</f>
        <v>44941</v>
      </c>
      <c r="D4037" s="1" t="e">
        <f aca="false" t="array" ref="D4037:D4037">IF(ISBLANK(_xlfn.xlookup(D$3,daily_items,_xlfn.xlookup($C4037,daily_dates,big_daily_table))),NA(),_xlfn.xlookup(D$3,daily_items,_xlfn.xlookup($C4037,daily_dates,big_daily_table)))</f>
        <v>#NAME?</v>
      </c>
      <c r="E4037" s="1" t="e">
        <f aca="false" t="array" ref="E4037:E4037">IF(ISBLANK(_xlfn.xlookup(E$3,daily_items,_xlfn.xlookup($C4037,daily_dates,big_daily_table))),NA(),_xlfn.xlookup(E$3,daily_items,_xlfn.xlookup($C4037,daily_dates,big_daily_table)))</f>
        <v>#NAME?</v>
      </c>
    </row>
    <row r="4038" customFormat="false" ht="14.25" hidden="false" customHeight="false" outlineLevel="0" collapsed="false">
      <c r="B4038" s="7" t="n">
        <v>44943</v>
      </c>
      <c r="C4038" s="7" t="n">
        <f aca="false">B4038-WEEKDAY(B4038)+1</f>
        <v>44941</v>
      </c>
      <c r="D4038" s="1" t="e">
        <f aca="false" t="array" ref="D4038:D4038">IF(ISBLANK(_xlfn.xlookup(D$3,daily_items,_xlfn.xlookup($C4038,daily_dates,big_daily_table))),NA(),_xlfn.xlookup(D$3,daily_items,_xlfn.xlookup($C4038,daily_dates,big_daily_table)))</f>
        <v>#NAME?</v>
      </c>
      <c r="E4038" s="1" t="e">
        <f aca="false" t="array" ref="E4038:E4038">IF(ISBLANK(_xlfn.xlookup(E$3,daily_items,_xlfn.xlookup($C4038,daily_dates,big_daily_table))),NA(),_xlfn.xlookup(E$3,daily_items,_xlfn.xlookup($C4038,daily_dates,big_daily_table)))</f>
        <v>#NAME?</v>
      </c>
    </row>
    <row r="4039" customFormat="false" ht="14.25" hidden="false" customHeight="false" outlineLevel="0" collapsed="false">
      <c r="B4039" s="7" t="n">
        <v>44944</v>
      </c>
      <c r="C4039" s="7" t="n">
        <f aca="false">B4039-WEEKDAY(B4039)+1</f>
        <v>44941</v>
      </c>
      <c r="D4039" s="1" t="e">
        <f aca="false" t="array" ref="D4039:D4039">IF(ISBLANK(_xlfn.xlookup(D$3,daily_items,_xlfn.xlookup($C4039,daily_dates,big_daily_table))),NA(),_xlfn.xlookup(D$3,daily_items,_xlfn.xlookup($C4039,daily_dates,big_daily_table)))</f>
        <v>#NAME?</v>
      </c>
      <c r="E4039" s="1" t="e">
        <f aca="false" t="array" ref="E4039:E4039">IF(ISBLANK(_xlfn.xlookup(E$3,daily_items,_xlfn.xlookup($C4039,daily_dates,big_daily_table))),NA(),_xlfn.xlookup(E$3,daily_items,_xlfn.xlookup($C4039,daily_dates,big_daily_table)))</f>
        <v>#NAME?</v>
      </c>
    </row>
    <row r="4040" customFormat="false" ht="14.25" hidden="false" customHeight="false" outlineLevel="0" collapsed="false">
      <c r="B4040" s="7" t="n">
        <v>44945</v>
      </c>
      <c r="C4040" s="7" t="n">
        <f aca="false">B4040-WEEKDAY(B4040)+1</f>
        <v>44941</v>
      </c>
      <c r="D4040" s="1" t="e">
        <f aca="false" t="array" ref="D4040:D4040">IF(ISBLANK(_xlfn.xlookup(D$3,daily_items,_xlfn.xlookup($C4040,daily_dates,big_daily_table))),NA(),_xlfn.xlookup(D$3,daily_items,_xlfn.xlookup($C4040,daily_dates,big_daily_table)))</f>
        <v>#NAME?</v>
      </c>
      <c r="E4040" s="1" t="e">
        <f aca="false" t="array" ref="E4040:E4040">IF(ISBLANK(_xlfn.xlookup(E$3,daily_items,_xlfn.xlookup($C4040,daily_dates,big_daily_table))),NA(),_xlfn.xlookup(E$3,daily_items,_xlfn.xlookup($C4040,daily_dates,big_daily_table)))</f>
        <v>#NAME?</v>
      </c>
    </row>
    <row r="4041" customFormat="false" ht="14.25" hidden="false" customHeight="false" outlineLevel="0" collapsed="false">
      <c r="B4041" s="7" t="n">
        <v>44946</v>
      </c>
      <c r="C4041" s="7" t="n">
        <f aca="false">B4041-WEEKDAY(B4041)+1</f>
        <v>44941</v>
      </c>
      <c r="D4041" s="1" t="e">
        <f aca="false" t="array" ref="D4041:D4041">IF(ISBLANK(_xlfn.xlookup(D$3,daily_items,_xlfn.xlookup($C4041,daily_dates,big_daily_table))),NA(),_xlfn.xlookup(D$3,daily_items,_xlfn.xlookup($C4041,daily_dates,big_daily_table)))</f>
        <v>#NAME?</v>
      </c>
      <c r="E4041" s="1" t="e">
        <f aca="false" t="array" ref="E4041:E4041">IF(ISBLANK(_xlfn.xlookup(E$3,daily_items,_xlfn.xlookup($C4041,daily_dates,big_daily_table))),NA(),_xlfn.xlookup(E$3,daily_items,_xlfn.xlookup($C4041,daily_dates,big_daily_table)))</f>
        <v>#NAME?</v>
      </c>
    </row>
    <row r="4042" customFormat="false" ht="14.25" hidden="false" customHeight="false" outlineLevel="0" collapsed="false">
      <c r="B4042" s="7" t="n">
        <v>44947</v>
      </c>
      <c r="C4042" s="7" t="n">
        <f aca="false">B4042-WEEKDAY(B4042)+1</f>
        <v>44941</v>
      </c>
      <c r="D4042" s="1" t="e">
        <f aca="false" t="array" ref="D4042:D4042">IF(ISBLANK(_xlfn.xlookup(D$3,daily_items,_xlfn.xlookup($C4042,daily_dates,big_daily_table))),NA(),_xlfn.xlookup(D$3,daily_items,_xlfn.xlookup($C4042,daily_dates,big_daily_table)))</f>
        <v>#NAME?</v>
      </c>
      <c r="E4042" s="1" t="e">
        <f aca="false" t="array" ref="E4042:E4042">IF(ISBLANK(_xlfn.xlookup(E$3,daily_items,_xlfn.xlookup($C4042,daily_dates,big_daily_table))),NA(),_xlfn.xlookup(E$3,daily_items,_xlfn.xlookup($C4042,daily_dates,big_daily_table)))</f>
        <v>#NAME?</v>
      </c>
    </row>
    <row r="4043" customFormat="false" ht="14.25" hidden="false" customHeight="false" outlineLevel="0" collapsed="false">
      <c r="B4043" s="7" t="n">
        <v>44948</v>
      </c>
      <c r="C4043" s="7" t="n">
        <f aca="false">B4043-WEEKDAY(B4043)+1</f>
        <v>44948</v>
      </c>
      <c r="D4043" s="1" t="e">
        <f aca="false" t="array" ref="D4043:D4043">IF(ISBLANK(_xlfn.xlookup(D$3,daily_items,_xlfn.xlookup($C4043,daily_dates,big_daily_table))),NA(),_xlfn.xlookup(D$3,daily_items,_xlfn.xlookup($C4043,daily_dates,big_daily_table)))</f>
        <v>#NAME?</v>
      </c>
      <c r="E4043" s="1" t="e">
        <f aca="false" t="array" ref="E4043:E4043">IF(ISBLANK(_xlfn.xlookup(E$3,daily_items,_xlfn.xlookup($C4043,daily_dates,big_daily_table))),NA(),_xlfn.xlookup(E$3,daily_items,_xlfn.xlookup($C4043,daily_dates,big_daily_table)))</f>
        <v>#NAME?</v>
      </c>
    </row>
    <row r="4044" customFormat="false" ht="14.25" hidden="false" customHeight="false" outlineLevel="0" collapsed="false">
      <c r="B4044" s="7" t="n">
        <v>44949</v>
      </c>
      <c r="C4044" s="7" t="n">
        <f aca="false">B4044-WEEKDAY(B4044)+1</f>
        <v>44948</v>
      </c>
      <c r="D4044" s="1" t="e">
        <f aca="false" t="array" ref="D4044:D4044">IF(ISBLANK(_xlfn.xlookup(D$3,daily_items,_xlfn.xlookup($C4044,daily_dates,big_daily_table))),NA(),_xlfn.xlookup(D$3,daily_items,_xlfn.xlookup($C4044,daily_dates,big_daily_table)))</f>
        <v>#NAME?</v>
      </c>
      <c r="E4044" s="1" t="e">
        <f aca="false" t="array" ref="E4044:E4044">IF(ISBLANK(_xlfn.xlookup(E$3,daily_items,_xlfn.xlookup($C4044,daily_dates,big_daily_table))),NA(),_xlfn.xlookup(E$3,daily_items,_xlfn.xlookup($C4044,daily_dates,big_daily_table)))</f>
        <v>#NAME?</v>
      </c>
    </row>
    <row r="4045" customFormat="false" ht="14.25" hidden="false" customHeight="false" outlineLevel="0" collapsed="false">
      <c r="B4045" s="7" t="n">
        <v>44950</v>
      </c>
      <c r="C4045" s="7" t="n">
        <f aca="false">B4045-WEEKDAY(B4045)+1</f>
        <v>44948</v>
      </c>
      <c r="D4045" s="1" t="e">
        <f aca="false" t="array" ref="D4045:D4045">IF(ISBLANK(_xlfn.xlookup(D$3,daily_items,_xlfn.xlookup($C4045,daily_dates,big_daily_table))),NA(),_xlfn.xlookup(D$3,daily_items,_xlfn.xlookup($C4045,daily_dates,big_daily_table)))</f>
        <v>#NAME?</v>
      </c>
      <c r="E4045" s="1" t="e">
        <f aca="false" t="array" ref="E4045:E4045">IF(ISBLANK(_xlfn.xlookup(E$3,daily_items,_xlfn.xlookup($C4045,daily_dates,big_daily_table))),NA(),_xlfn.xlookup(E$3,daily_items,_xlfn.xlookup($C4045,daily_dates,big_daily_table)))</f>
        <v>#NAME?</v>
      </c>
    </row>
    <row r="4046" customFormat="false" ht="14.25" hidden="false" customHeight="false" outlineLevel="0" collapsed="false">
      <c r="B4046" s="7" t="n">
        <v>44951</v>
      </c>
      <c r="C4046" s="7" t="n">
        <f aca="false">B4046-WEEKDAY(B4046)+1</f>
        <v>44948</v>
      </c>
      <c r="D4046" s="1" t="e">
        <f aca="false" t="array" ref="D4046:D4046">IF(ISBLANK(_xlfn.xlookup(D$3,daily_items,_xlfn.xlookup($C4046,daily_dates,big_daily_table))),NA(),_xlfn.xlookup(D$3,daily_items,_xlfn.xlookup($C4046,daily_dates,big_daily_table)))</f>
        <v>#NAME?</v>
      </c>
      <c r="E4046" s="1" t="e">
        <f aca="false" t="array" ref="E4046:E4046">IF(ISBLANK(_xlfn.xlookup(E$3,daily_items,_xlfn.xlookup($C4046,daily_dates,big_daily_table))),NA(),_xlfn.xlookup(E$3,daily_items,_xlfn.xlookup($C4046,daily_dates,big_daily_table)))</f>
        <v>#NAME?</v>
      </c>
    </row>
    <row r="4047" customFormat="false" ht="14.25" hidden="false" customHeight="false" outlineLevel="0" collapsed="false">
      <c r="B4047" s="7" t="n">
        <v>44952</v>
      </c>
      <c r="C4047" s="7" t="n">
        <f aca="false">B4047-WEEKDAY(B4047)+1</f>
        <v>44948</v>
      </c>
      <c r="D4047" s="1" t="e">
        <f aca="false" t="array" ref="D4047:D4047">IF(ISBLANK(_xlfn.xlookup(D$3,daily_items,_xlfn.xlookup($C4047,daily_dates,big_daily_table))),NA(),_xlfn.xlookup(D$3,daily_items,_xlfn.xlookup($C4047,daily_dates,big_daily_table)))</f>
        <v>#NAME?</v>
      </c>
      <c r="E4047" s="1" t="e">
        <f aca="false" t="array" ref="E4047:E4047">IF(ISBLANK(_xlfn.xlookup(E$3,daily_items,_xlfn.xlookup($C4047,daily_dates,big_daily_table))),NA(),_xlfn.xlookup(E$3,daily_items,_xlfn.xlookup($C4047,daily_dates,big_daily_table)))</f>
        <v>#NAME?</v>
      </c>
    </row>
    <row r="4048" customFormat="false" ht="14.25" hidden="false" customHeight="false" outlineLevel="0" collapsed="false">
      <c r="B4048" s="7" t="n">
        <v>44953</v>
      </c>
      <c r="C4048" s="7" t="n">
        <f aca="false">B4048-WEEKDAY(B4048)+1</f>
        <v>44948</v>
      </c>
      <c r="D4048" s="1" t="e">
        <f aca="false" t="array" ref="D4048:D4048">IF(ISBLANK(_xlfn.xlookup(D$3,daily_items,_xlfn.xlookup($C4048,daily_dates,big_daily_table))),NA(),_xlfn.xlookup(D$3,daily_items,_xlfn.xlookup($C4048,daily_dates,big_daily_table)))</f>
        <v>#NAME?</v>
      </c>
      <c r="E4048" s="1" t="e">
        <f aca="false" t="array" ref="E4048:E4048">IF(ISBLANK(_xlfn.xlookup(E$3,daily_items,_xlfn.xlookup($C4048,daily_dates,big_daily_table))),NA(),_xlfn.xlookup(E$3,daily_items,_xlfn.xlookup($C4048,daily_dates,big_daily_table)))</f>
        <v>#NAME?</v>
      </c>
    </row>
    <row r="4049" customFormat="false" ht="14.25" hidden="false" customHeight="false" outlineLevel="0" collapsed="false">
      <c r="B4049" s="7" t="n">
        <v>44954</v>
      </c>
      <c r="C4049" s="7" t="n">
        <f aca="false">B4049-WEEKDAY(B4049)+1</f>
        <v>44948</v>
      </c>
      <c r="D4049" s="1" t="e">
        <f aca="false" t="array" ref="D4049:D4049">IF(ISBLANK(_xlfn.xlookup(D$3,daily_items,_xlfn.xlookup($C4049,daily_dates,big_daily_table))),NA(),_xlfn.xlookup(D$3,daily_items,_xlfn.xlookup($C4049,daily_dates,big_daily_table)))</f>
        <v>#NAME?</v>
      </c>
      <c r="E4049" s="1" t="e">
        <f aca="false" t="array" ref="E4049:E4049">IF(ISBLANK(_xlfn.xlookup(E$3,daily_items,_xlfn.xlookup($C4049,daily_dates,big_daily_table))),NA(),_xlfn.xlookup(E$3,daily_items,_xlfn.xlookup($C4049,daily_dates,big_daily_table)))</f>
        <v>#NAME?</v>
      </c>
    </row>
    <row r="4050" customFormat="false" ht="14.25" hidden="false" customHeight="false" outlineLevel="0" collapsed="false">
      <c r="B4050" s="7" t="n">
        <v>44955</v>
      </c>
      <c r="C4050" s="7" t="n">
        <f aca="false">B4050-WEEKDAY(B4050)+1</f>
        <v>44955</v>
      </c>
      <c r="D4050" s="1" t="e">
        <f aca="false" t="array" ref="D4050:D4050">IF(ISBLANK(_xlfn.xlookup(D$3,daily_items,_xlfn.xlookup($C4050,daily_dates,big_daily_table))),NA(),_xlfn.xlookup(D$3,daily_items,_xlfn.xlookup($C4050,daily_dates,big_daily_table)))</f>
        <v>#NAME?</v>
      </c>
      <c r="E4050" s="1" t="e">
        <f aca="false" t="array" ref="E4050:E4050">IF(ISBLANK(_xlfn.xlookup(E$3,daily_items,_xlfn.xlookup($C4050,daily_dates,big_daily_table))),NA(),_xlfn.xlookup(E$3,daily_items,_xlfn.xlookup($C4050,daily_dates,big_daily_table)))</f>
        <v>#NAME?</v>
      </c>
    </row>
    <row r="4051" customFormat="false" ht="14.25" hidden="false" customHeight="false" outlineLevel="0" collapsed="false">
      <c r="B4051" s="7" t="n">
        <v>44956</v>
      </c>
      <c r="C4051" s="7" t="n">
        <f aca="false">B4051-WEEKDAY(B4051)+1</f>
        <v>44955</v>
      </c>
      <c r="D4051" s="1" t="e">
        <f aca="false" t="array" ref="D4051:D4051">IF(ISBLANK(_xlfn.xlookup(D$3,daily_items,_xlfn.xlookup($C4051,daily_dates,big_daily_table))),NA(),_xlfn.xlookup(D$3,daily_items,_xlfn.xlookup($C4051,daily_dates,big_daily_table)))</f>
        <v>#NAME?</v>
      </c>
      <c r="E4051" s="1" t="e">
        <f aca="false" t="array" ref="E4051:E4051">IF(ISBLANK(_xlfn.xlookup(E$3,daily_items,_xlfn.xlookup($C4051,daily_dates,big_daily_table))),NA(),_xlfn.xlookup(E$3,daily_items,_xlfn.xlookup($C4051,daily_dates,big_daily_table)))</f>
        <v>#NAME?</v>
      </c>
    </row>
    <row r="4052" customFormat="false" ht="14.25" hidden="false" customHeight="false" outlineLevel="0" collapsed="false">
      <c r="B4052" s="7" t="n">
        <v>44957</v>
      </c>
      <c r="C4052" s="7" t="n">
        <f aca="false">B4052-WEEKDAY(B4052)+1</f>
        <v>44955</v>
      </c>
      <c r="D4052" s="1" t="e">
        <f aca="false" t="array" ref="D4052:D4052">IF(ISBLANK(_xlfn.xlookup(D$3,daily_items,_xlfn.xlookup($C4052,daily_dates,big_daily_table))),NA(),_xlfn.xlookup(D$3,daily_items,_xlfn.xlookup($C4052,daily_dates,big_daily_table)))</f>
        <v>#NAME?</v>
      </c>
      <c r="E4052" s="1" t="e">
        <f aca="false" t="array" ref="E4052:E4052">IF(ISBLANK(_xlfn.xlookup(E$3,daily_items,_xlfn.xlookup($C4052,daily_dates,big_daily_table))),NA(),_xlfn.xlookup(E$3,daily_items,_xlfn.xlookup($C4052,daily_dates,big_daily_table)))</f>
        <v>#NAME?</v>
      </c>
    </row>
    <row r="4053" customFormat="false" ht="14.25" hidden="false" customHeight="false" outlineLevel="0" collapsed="false">
      <c r="B4053" s="7" t="n">
        <v>44958</v>
      </c>
      <c r="C4053" s="7" t="n">
        <f aca="false">B4053-WEEKDAY(B4053)+1</f>
        <v>44955</v>
      </c>
      <c r="D4053" s="1" t="e">
        <f aca="false" t="array" ref="D4053:D4053">IF(ISBLANK(_xlfn.xlookup(D$3,daily_items,_xlfn.xlookup($C4053,daily_dates,big_daily_table))),NA(),_xlfn.xlookup(D$3,daily_items,_xlfn.xlookup($C4053,daily_dates,big_daily_table)))</f>
        <v>#NAME?</v>
      </c>
      <c r="E4053" s="1" t="e">
        <f aca="false" t="array" ref="E4053:E4053">IF(ISBLANK(_xlfn.xlookup(E$3,daily_items,_xlfn.xlookup($C4053,daily_dates,big_daily_table))),NA(),_xlfn.xlookup(E$3,daily_items,_xlfn.xlookup($C4053,daily_dates,big_daily_table)))</f>
        <v>#NAME?</v>
      </c>
    </row>
    <row r="4054" customFormat="false" ht="14.25" hidden="false" customHeight="false" outlineLevel="0" collapsed="false">
      <c r="B4054" s="7" t="n">
        <v>44959</v>
      </c>
      <c r="C4054" s="7" t="n">
        <f aca="false">B4054-WEEKDAY(B4054)+1</f>
        <v>44955</v>
      </c>
      <c r="D4054" s="1" t="e">
        <f aca="false" t="array" ref="D4054:D4054">IF(ISBLANK(_xlfn.xlookup(D$3,daily_items,_xlfn.xlookup($C4054,daily_dates,big_daily_table))),NA(),_xlfn.xlookup(D$3,daily_items,_xlfn.xlookup($C4054,daily_dates,big_daily_table)))</f>
        <v>#NAME?</v>
      </c>
      <c r="E4054" s="1" t="e">
        <f aca="false" t="array" ref="E4054:E4054">IF(ISBLANK(_xlfn.xlookup(E$3,daily_items,_xlfn.xlookup($C4054,daily_dates,big_daily_table))),NA(),_xlfn.xlookup(E$3,daily_items,_xlfn.xlookup($C4054,daily_dates,big_daily_table)))</f>
        <v>#NAME?</v>
      </c>
    </row>
    <row r="4055" customFormat="false" ht="14.25" hidden="false" customHeight="false" outlineLevel="0" collapsed="false">
      <c r="B4055" s="7" t="n">
        <v>44960</v>
      </c>
      <c r="C4055" s="7" t="n">
        <f aca="false">B4055-WEEKDAY(B4055)+1</f>
        <v>44955</v>
      </c>
      <c r="D4055" s="1" t="e">
        <f aca="false" t="array" ref="D4055:D4055">IF(ISBLANK(_xlfn.xlookup(D$3,daily_items,_xlfn.xlookup($C4055,daily_dates,big_daily_table))),NA(),_xlfn.xlookup(D$3,daily_items,_xlfn.xlookup($C4055,daily_dates,big_daily_table)))</f>
        <v>#NAME?</v>
      </c>
      <c r="E4055" s="1" t="e">
        <f aca="false" t="array" ref="E4055:E4055">IF(ISBLANK(_xlfn.xlookup(E$3,daily_items,_xlfn.xlookup($C4055,daily_dates,big_daily_table))),NA(),_xlfn.xlookup(E$3,daily_items,_xlfn.xlookup($C4055,daily_dates,big_daily_table)))</f>
        <v>#NAME?</v>
      </c>
    </row>
    <row r="4056" customFormat="false" ht="14.25" hidden="false" customHeight="false" outlineLevel="0" collapsed="false">
      <c r="B4056" s="7" t="n">
        <v>44961</v>
      </c>
      <c r="C4056" s="7" t="n">
        <f aca="false">B4056-WEEKDAY(B4056)+1</f>
        <v>44955</v>
      </c>
      <c r="D4056" s="1" t="e">
        <f aca="false" t="array" ref="D4056:D4056">IF(ISBLANK(_xlfn.xlookup(D$3,daily_items,_xlfn.xlookup($C4056,daily_dates,big_daily_table))),NA(),_xlfn.xlookup(D$3,daily_items,_xlfn.xlookup($C4056,daily_dates,big_daily_table)))</f>
        <v>#NAME?</v>
      </c>
      <c r="E4056" s="1" t="e">
        <f aca="false" t="array" ref="E4056:E4056">IF(ISBLANK(_xlfn.xlookup(E$3,daily_items,_xlfn.xlookup($C4056,daily_dates,big_daily_table))),NA(),_xlfn.xlookup(E$3,daily_items,_xlfn.xlookup($C4056,daily_dates,big_daily_table)))</f>
        <v>#NAME?</v>
      </c>
    </row>
    <row r="4057" customFormat="false" ht="14.25" hidden="false" customHeight="false" outlineLevel="0" collapsed="false">
      <c r="B4057" s="7" t="n">
        <v>44962</v>
      </c>
      <c r="C4057" s="7" t="n">
        <f aca="false">B4057-WEEKDAY(B4057)+1</f>
        <v>44962</v>
      </c>
      <c r="D4057" s="1" t="e">
        <f aca="false" t="array" ref="D4057:D4057">IF(ISBLANK(_xlfn.xlookup(D$3,daily_items,_xlfn.xlookup($C4057,daily_dates,big_daily_table))),NA(),_xlfn.xlookup(D$3,daily_items,_xlfn.xlookup($C4057,daily_dates,big_daily_table)))</f>
        <v>#NAME?</v>
      </c>
      <c r="E4057" s="1" t="e">
        <f aca="false" t="array" ref="E4057:E4057">IF(ISBLANK(_xlfn.xlookup(E$3,daily_items,_xlfn.xlookup($C4057,daily_dates,big_daily_table))),NA(),_xlfn.xlookup(E$3,daily_items,_xlfn.xlookup($C4057,daily_dates,big_daily_table)))</f>
        <v>#NAME?</v>
      </c>
    </row>
    <row r="4058" customFormat="false" ht="14.25" hidden="false" customHeight="false" outlineLevel="0" collapsed="false">
      <c r="B4058" s="7" t="n">
        <v>44963</v>
      </c>
      <c r="C4058" s="7" t="n">
        <f aca="false">B4058-WEEKDAY(B4058)+1</f>
        <v>44962</v>
      </c>
      <c r="D4058" s="1" t="e">
        <f aca="false" t="array" ref="D4058:D4058">IF(ISBLANK(_xlfn.xlookup(D$3,daily_items,_xlfn.xlookup($C4058,daily_dates,big_daily_table))),NA(),_xlfn.xlookup(D$3,daily_items,_xlfn.xlookup($C4058,daily_dates,big_daily_table)))</f>
        <v>#NAME?</v>
      </c>
      <c r="E4058" s="1" t="e">
        <f aca="false" t="array" ref="E4058:E4058">IF(ISBLANK(_xlfn.xlookup(E$3,daily_items,_xlfn.xlookup($C4058,daily_dates,big_daily_table))),NA(),_xlfn.xlookup(E$3,daily_items,_xlfn.xlookup($C4058,daily_dates,big_daily_table)))</f>
        <v>#NAME?</v>
      </c>
    </row>
    <row r="4059" customFormat="false" ht="14.25" hidden="false" customHeight="false" outlineLevel="0" collapsed="false">
      <c r="B4059" s="7" t="n">
        <v>44964</v>
      </c>
      <c r="C4059" s="7" t="n">
        <f aca="false">B4059-WEEKDAY(B4059)+1</f>
        <v>44962</v>
      </c>
      <c r="D4059" s="1" t="e">
        <f aca="false" t="array" ref="D4059:D4059">IF(ISBLANK(_xlfn.xlookup(D$3,daily_items,_xlfn.xlookup($C4059,daily_dates,big_daily_table))),NA(),_xlfn.xlookup(D$3,daily_items,_xlfn.xlookup($C4059,daily_dates,big_daily_table)))</f>
        <v>#NAME?</v>
      </c>
      <c r="E4059" s="1" t="e">
        <f aca="false" t="array" ref="E4059:E4059">IF(ISBLANK(_xlfn.xlookup(E$3,daily_items,_xlfn.xlookup($C4059,daily_dates,big_daily_table))),NA(),_xlfn.xlookup(E$3,daily_items,_xlfn.xlookup($C4059,daily_dates,big_daily_table)))</f>
        <v>#NAME?</v>
      </c>
    </row>
    <row r="4060" customFormat="false" ht="14.25" hidden="false" customHeight="false" outlineLevel="0" collapsed="false">
      <c r="B4060" s="7" t="n">
        <v>44965</v>
      </c>
      <c r="C4060" s="7" t="n">
        <f aca="false">B4060-WEEKDAY(B4060)+1</f>
        <v>44962</v>
      </c>
      <c r="D4060" s="1" t="e">
        <f aca="false" t="array" ref="D4060:D4060">IF(ISBLANK(_xlfn.xlookup(D$3,daily_items,_xlfn.xlookup($C4060,daily_dates,big_daily_table))),NA(),_xlfn.xlookup(D$3,daily_items,_xlfn.xlookup($C4060,daily_dates,big_daily_table)))</f>
        <v>#NAME?</v>
      </c>
      <c r="E4060" s="1" t="e">
        <f aca="false" t="array" ref="E4060:E4060">IF(ISBLANK(_xlfn.xlookup(E$3,daily_items,_xlfn.xlookup($C4060,daily_dates,big_daily_table))),NA(),_xlfn.xlookup(E$3,daily_items,_xlfn.xlookup($C4060,daily_dates,big_daily_table)))</f>
        <v>#NAME?</v>
      </c>
    </row>
    <row r="4061" customFormat="false" ht="14.25" hidden="false" customHeight="false" outlineLevel="0" collapsed="false">
      <c r="B4061" s="7" t="n">
        <v>44966</v>
      </c>
      <c r="C4061" s="7" t="n">
        <f aca="false">B4061-WEEKDAY(B4061)+1</f>
        <v>44962</v>
      </c>
      <c r="D4061" s="1" t="e">
        <f aca="false" t="array" ref="D4061:D4061">IF(ISBLANK(_xlfn.xlookup(D$3,daily_items,_xlfn.xlookup($C4061,daily_dates,big_daily_table))),NA(),_xlfn.xlookup(D$3,daily_items,_xlfn.xlookup($C4061,daily_dates,big_daily_table)))</f>
        <v>#NAME?</v>
      </c>
      <c r="E4061" s="1" t="e">
        <f aca="false" t="array" ref="E4061:E4061">IF(ISBLANK(_xlfn.xlookup(E$3,daily_items,_xlfn.xlookup($C4061,daily_dates,big_daily_table))),NA(),_xlfn.xlookup(E$3,daily_items,_xlfn.xlookup($C4061,daily_dates,big_daily_table)))</f>
        <v>#NAME?</v>
      </c>
    </row>
    <row r="4062" customFormat="false" ht="14.25" hidden="false" customHeight="false" outlineLevel="0" collapsed="false">
      <c r="B4062" s="7" t="n">
        <v>44967</v>
      </c>
      <c r="C4062" s="7" t="n">
        <f aca="false">B4062-WEEKDAY(B4062)+1</f>
        <v>44962</v>
      </c>
      <c r="D4062" s="1" t="e">
        <f aca="false" t="array" ref="D4062:D4062">IF(ISBLANK(_xlfn.xlookup(D$3,daily_items,_xlfn.xlookup($C4062,daily_dates,big_daily_table))),NA(),_xlfn.xlookup(D$3,daily_items,_xlfn.xlookup($C4062,daily_dates,big_daily_table)))</f>
        <v>#NAME?</v>
      </c>
      <c r="E4062" s="1" t="e">
        <f aca="false" t="array" ref="E4062:E4062">IF(ISBLANK(_xlfn.xlookup(E$3,daily_items,_xlfn.xlookup($C4062,daily_dates,big_daily_table))),NA(),_xlfn.xlookup(E$3,daily_items,_xlfn.xlookup($C4062,daily_dates,big_daily_table)))</f>
        <v>#NAME?</v>
      </c>
    </row>
    <row r="4063" customFormat="false" ht="14.25" hidden="false" customHeight="false" outlineLevel="0" collapsed="false">
      <c r="B4063" s="7" t="n">
        <v>44968</v>
      </c>
      <c r="C4063" s="7" t="n">
        <f aca="false">B4063-WEEKDAY(B4063)+1</f>
        <v>44962</v>
      </c>
      <c r="D4063" s="1" t="e">
        <f aca="false" t="array" ref="D4063:D4063">IF(ISBLANK(_xlfn.xlookup(D$3,daily_items,_xlfn.xlookup($C4063,daily_dates,big_daily_table))),NA(),_xlfn.xlookup(D$3,daily_items,_xlfn.xlookup($C4063,daily_dates,big_daily_table)))</f>
        <v>#NAME?</v>
      </c>
      <c r="E4063" s="1" t="e">
        <f aca="false" t="array" ref="E4063:E4063">IF(ISBLANK(_xlfn.xlookup(E$3,daily_items,_xlfn.xlookup($C4063,daily_dates,big_daily_table))),NA(),_xlfn.xlookup(E$3,daily_items,_xlfn.xlookup($C4063,daily_dates,big_daily_table)))</f>
        <v>#NAME?</v>
      </c>
    </row>
    <row r="4064" customFormat="false" ht="14.25" hidden="false" customHeight="false" outlineLevel="0" collapsed="false">
      <c r="B4064" s="7" t="n">
        <v>44969</v>
      </c>
      <c r="C4064" s="7" t="n">
        <f aca="false">B4064-WEEKDAY(B4064)+1</f>
        <v>44969</v>
      </c>
      <c r="D4064" s="1" t="e">
        <f aca="false" t="array" ref="D4064:D4064">IF(ISBLANK(_xlfn.xlookup(D$3,daily_items,_xlfn.xlookup($C4064,daily_dates,big_daily_table))),NA(),_xlfn.xlookup(D$3,daily_items,_xlfn.xlookup($C4064,daily_dates,big_daily_table)))</f>
        <v>#NAME?</v>
      </c>
      <c r="E4064" s="1" t="e">
        <f aca="false" t="array" ref="E4064:E4064">IF(ISBLANK(_xlfn.xlookup(E$3,daily_items,_xlfn.xlookup($C4064,daily_dates,big_daily_table))),NA(),_xlfn.xlookup(E$3,daily_items,_xlfn.xlookup($C4064,daily_dates,big_daily_table)))</f>
        <v>#NAME?</v>
      </c>
    </row>
    <row r="4065" customFormat="false" ht="14.25" hidden="false" customHeight="false" outlineLevel="0" collapsed="false">
      <c r="B4065" s="7" t="n">
        <v>44970</v>
      </c>
      <c r="C4065" s="7" t="n">
        <f aca="false">B4065-WEEKDAY(B4065)+1</f>
        <v>44969</v>
      </c>
      <c r="D4065" s="1" t="e">
        <f aca="false" t="array" ref="D4065:D4065">IF(ISBLANK(_xlfn.xlookup(D$3,daily_items,_xlfn.xlookup($C4065,daily_dates,big_daily_table))),NA(),_xlfn.xlookup(D$3,daily_items,_xlfn.xlookup($C4065,daily_dates,big_daily_table)))</f>
        <v>#NAME?</v>
      </c>
      <c r="E4065" s="1" t="e">
        <f aca="false" t="array" ref="E4065:E4065">IF(ISBLANK(_xlfn.xlookup(E$3,daily_items,_xlfn.xlookup($C4065,daily_dates,big_daily_table))),NA(),_xlfn.xlookup(E$3,daily_items,_xlfn.xlookup($C4065,daily_dates,big_daily_table)))</f>
        <v>#NAME?</v>
      </c>
    </row>
    <row r="4066" customFormat="false" ht="14.25" hidden="false" customHeight="false" outlineLevel="0" collapsed="false">
      <c r="B4066" s="7" t="n">
        <v>44971</v>
      </c>
      <c r="C4066" s="7" t="n">
        <f aca="false">B4066-WEEKDAY(B4066)+1</f>
        <v>44969</v>
      </c>
      <c r="D4066" s="1" t="e">
        <f aca="false" t="array" ref="D4066:D4066">IF(ISBLANK(_xlfn.xlookup(D$3,daily_items,_xlfn.xlookup($C4066,daily_dates,big_daily_table))),NA(),_xlfn.xlookup(D$3,daily_items,_xlfn.xlookup($C4066,daily_dates,big_daily_table)))</f>
        <v>#NAME?</v>
      </c>
      <c r="E4066" s="1" t="e">
        <f aca="false" t="array" ref="E4066:E4066">IF(ISBLANK(_xlfn.xlookup(E$3,daily_items,_xlfn.xlookup($C4066,daily_dates,big_daily_table))),NA(),_xlfn.xlookup(E$3,daily_items,_xlfn.xlookup($C4066,daily_dates,big_daily_table)))</f>
        <v>#NAME?</v>
      </c>
    </row>
    <row r="4067" customFormat="false" ht="14.25" hidden="false" customHeight="false" outlineLevel="0" collapsed="false">
      <c r="B4067" s="7" t="n">
        <v>44972</v>
      </c>
      <c r="C4067" s="7" t="n">
        <f aca="false">B4067-WEEKDAY(B4067)+1</f>
        <v>44969</v>
      </c>
      <c r="D4067" s="1" t="e">
        <f aca="false" t="array" ref="D4067:D4067">IF(ISBLANK(_xlfn.xlookup(D$3,daily_items,_xlfn.xlookup($C4067,daily_dates,big_daily_table))),NA(),_xlfn.xlookup(D$3,daily_items,_xlfn.xlookup($C4067,daily_dates,big_daily_table)))</f>
        <v>#NAME?</v>
      </c>
      <c r="E4067" s="1" t="e">
        <f aca="false" t="array" ref="E4067:E4067">IF(ISBLANK(_xlfn.xlookup(E$3,daily_items,_xlfn.xlookup($C4067,daily_dates,big_daily_table))),NA(),_xlfn.xlookup(E$3,daily_items,_xlfn.xlookup($C4067,daily_dates,big_daily_table)))</f>
        <v>#NAME?</v>
      </c>
    </row>
    <row r="4068" customFormat="false" ht="14.25" hidden="false" customHeight="false" outlineLevel="0" collapsed="false">
      <c r="B4068" s="7" t="n">
        <v>44973</v>
      </c>
      <c r="C4068" s="7" t="n">
        <f aca="false">B4068-WEEKDAY(B4068)+1</f>
        <v>44969</v>
      </c>
      <c r="D4068" s="1" t="e">
        <f aca="false" t="array" ref="D4068:D4068">IF(ISBLANK(_xlfn.xlookup(D$3,daily_items,_xlfn.xlookup($C4068,daily_dates,big_daily_table))),NA(),_xlfn.xlookup(D$3,daily_items,_xlfn.xlookup($C4068,daily_dates,big_daily_table)))</f>
        <v>#NAME?</v>
      </c>
      <c r="E4068" s="1" t="e">
        <f aca="false" t="array" ref="E4068:E4068">IF(ISBLANK(_xlfn.xlookup(E$3,daily_items,_xlfn.xlookup($C4068,daily_dates,big_daily_table))),NA(),_xlfn.xlookup(E$3,daily_items,_xlfn.xlookup($C4068,daily_dates,big_daily_table)))</f>
        <v>#NAME?</v>
      </c>
    </row>
    <row r="4069" customFormat="false" ht="14.25" hidden="false" customHeight="false" outlineLevel="0" collapsed="false">
      <c r="B4069" s="7" t="n">
        <v>44974</v>
      </c>
      <c r="C4069" s="7" t="n">
        <f aca="false">B4069-WEEKDAY(B4069)+1</f>
        <v>44969</v>
      </c>
      <c r="D4069" s="1" t="e">
        <f aca="false" t="array" ref="D4069:D4069">IF(ISBLANK(_xlfn.xlookup(D$3,daily_items,_xlfn.xlookup($C4069,daily_dates,big_daily_table))),NA(),_xlfn.xlookup(D$3,daily_items,_xlfn.xlookup($C4069,daily_dates,big_daily_table)))</f>
        <v>#NAME?</v>
      </c>
      <c r="E4069" s="1" t="e">
        <f aca="false" t="array" ref="E4069:E4069">IF(ISBLANK(_xlfn.xlookup(E$3,daily_items,_xlfn.xlookup($C4069,daily_dates,big_daily_table))),NA(),_xlfn.xlookup(E$3,daily_items,_xlfn.xlookup($C4069,daily_dates,big_daily_table)))</f>
        <v>#NAME?</v>
      </c>
    </row>
    <row r="4070" customFormat="false" ht="14.25" hidden="false" customHeight="false" outlineLevel="0" collapsed="false">
      <c r="B4070" s="7" t="n">
        <v>44975</v>
      </c>
      <c r="C4070" s="7" t="n">
        <f aca="false">B4070-WEEKDAY(B4070)+1</f>
        <v>44969</v>
      </c>
      <c r="D4070" s="1" t="e">
        <f aca="false" t="array" ref="D4070:D4070">IF(ISBLANK(_xlfn.xlookup(D$3,daily_items,_xlfn.xlookup($C4070,daily_dates,big_daily_table))),NA(),_xlfn.xlookup(D$3,daily_items,_xlfn.xlookup($C4070,daily_dates,big_daily_table)))</f>
        <v>#NAME?</v>
      </c>
      <c r="E4070" s="1" t="e">
        <f aca="false" t="array" ref="E4070:E4070">IF(ISBLANK(_xlfn.xlookup(E$3,daily_items,_xlfn.xlookup($C4070,daily_dates,big_daily_table))),NA(),_xlfn.xlookup(E$3,daily_items,_xlfn.xlookup($C4070,daily_dates,big_daily_table)))</f>
        <v>#NAME?</v>
      </c>
    </row>
    <row r="4071" customFormat="false" ht="14.25" hidden="false" customHeight="false" outlineLevel="0" collapsed="false">
      <c r="B4071" s="7" t="n">
        <v>44976</v>
      </c>
      <c r="C4071" s="7" t="n">
        <f aca="false">B4071-WEEKDAY(B4071)+1</f>
        <v>44976</v>
      </c>
      <c r="D4071" s="1" t="e">
        <f aca="false" t="array" ref="D4071:D4071">IF(ISBLANK(_xlfn.xlookup(D$3,daily_items,_xlfn.xlookup($C4071,daily_dates,big_daily_table))),NA(),_xlfn.xlookup(D$3,daily_items,_xlfn.xlookup($C4071,daily_dates,big_daily_table)))</f>
        <v>#NAME?</v>
      </c>
      <c r="E4071" s="1" t="e">
        <f aca="false" t="array" ref="E4071:E4071">IF(ISBLANK(_xlfn.xlookup(E$3,daily_items,_xlfn.xlookup($C4071,daily_dates,big_daily_table))),NA(),_xlfn.xlookup(E$3,daily_items,_xlfn.xlookup($C4071,daily_dates,big_daily_table)))</f>
        <v>#NAME?</v>
      </c>
    </row>
    <row r="4072" customFormat="false" ht="14.25" hidden="false" customHeight="false" outlineLevel="0" collapsed="false">
      <c r="B4072" s="7" t="n">
        <v>44977</v>
      </c>
      <c r="C4072" s="7" t="n">
        <f aca="false">B4072-WEEKDAY(B4072)+1</f>
        <v>44976</v>
      </c>
      <c r="D4072" s="1" t="e">
        <f aca="false" t="array" ref="D4072:D4072">IF(ISBLANK(_xlfn.xlookup(D$3,daily_items,_xlfn.xlookup($C4072,daily_dates,big_daily_table))),NA(),_xlfn.xlookup(D$3,daily_items,_xlfn.xlookup($C4072,daily_dates,big_daily_table)))</f>
        <v>#NAME?</v>
      </c>
      <c r="E4072" s="1" t="e">
        <f aca="false" t="array" ref="E4072:E4072">IF(ISBLANK(_xlfn.xlookup(E$3,daily_items,_xlfn.xlookup($C4072,daily_dates,big_daily_table))),NA(),_xlfn.xlookup(E$3,daily_items,_xlfn.xlookup($C4072,daily_dates,big_daily_table)))</f>
        <v>#NAME?</v>
      </c>
    </row>
    <row r="4073" customFormat="false" ht="14.25" hidden="false" customHeight="false" outlineLevel="0" collapsed="false">
      <c r="B4073" s="7" t="n">
        <v>44978</v>
      </c>
      <c r="C4073" s="7" t="n">
        <f aca="false">B4073-WEEKDAY(B4073)+1</f>
        <v>44976</v>
      </c>
      <c r="D4073" s="1" t="e">
        <f aca="false" t="array" ref="D4073:D4073">IF(ISBLANK(_xlfn.xlookup(D$3,daily_items,_xlfn.xlookup($C4073,daily_dates,big_daily_table))),NA(),_xlfn.xlookup(D$3,daily_items,_xlfn.xlookup($C4073,daily_dates,big_daily_table)))</f>
        <v>#NAME?</v>
      </c>
      <c r="E4073" s="1" t="e">
        <f aca="false" t="array" ref="E4073:E4073">IF(ISBLANK(_xlfn.xlookup(E$3,daily_items,_xlfn.xlookup($C4073,daily_dates,big_daily_table))),NA(),_xlfn.xlookup(E$3,daily_items,_xlfn.xlookup($C4073,daily_dates,big_daily_table)))</f>
        <v>#NAME?</v>
      </c>
    </row>
    <row r="4074" customFormat="false" ht="14.25" hidden="false" customHeight="false" outlineLevel="0" collapsed="false">
      <c r="B4074" s="7" t="n">
        <v>44979</v>
      </c>
      <c r="C4074" s="7" t="n">
        <f aca="false">B4074-WEEKDAY(B4074)+1</f>
        <v>44976</v>
      </c>
      <c r="D4074" s="1" t="e">
        <f aca="false" t="array" ref="D4074:D4074">IF(ISBLANK(_xlfn.xlookup(D$3,daily_items,_xlfn.xlookup($C4074,daily_dates,big_daily_table))),NA(),_xlfn.xlookup(D$3,daily_items,_xlfn.xlookup($C4074,daily_dates,big_daily_table)))</f>
        <v>#NAME?</v>
      </c>
      <c r="E4074" s="1" t="e">
        <f aca="false" t="array" ref="E4074:E4074">IF(ISBLANK(_xlfn.xlookup(E$3,daily_items,_xlfn.xlookup($C4074,daily_dates,big_daily_table))),NA(),_xlfn.xlookup(E$3,daily_items,_xlfn.xlookup($C4074,daily_dates,big_daily_table)))</f>
        <v>#NAME?</v>
      </c>
    </row>
    <row r="4075" customFormat="false" ht="14.25" hidden="false" customHeight="false" outlineLevel="0" collapsed="false">
      <c r="B4075" s="7" t="n">
        <v>44980</v>
      </c>
      <c r="C4075" s="7" t="n">
        <f aca="false">B4075-WEEKDAY(B4075)+1</f>
        <v>44976</v>
      </c>
      <c r="D4075" s="1" t="e">
        <f aca="false" t="array" ref="D4075:D4075">IF(ISBLANK(_xlfn.xlookup(D$3,daily_items,_xlfn.xlookup($C4075,daily_dates,big_daily_table))),NA(),_xlfn.xlookup(D$3,daily_items,_xlfn.xlookup($C4075,daily_dates,big_daily_table)))</f>
        <v>#NAME?</v>
      </c>
      <c r="E4075" s="1" t="e">
        <f aca="false" t="array" ref="E4075:E4075">IF(ISBLANK(_xlfn.xlookup(E$3,daily_items,_xlfn.xlookup($C4075,daily_dates,big_daily_table))),NA(),_xlfn.xlookup(E$3,daily_items,_xlfn.xlookup($C4075,daily_dates,big_daily_table)))</f>
        <v>#NAME?</v>
      </c>
    </row>
    <row r="4076" customFormat="false" ht="14.25" hidden="false" customHeight="false" outlineLevel="0" collapsed="false">
      <c r="B4076" s="7" t="n">
        <v>44981</v>
      </c>
      <c r="C4076" s="7" t="n">
        <f aca="false">B4076-WEEKDAY(B4076)+1</f>
        <v>44976</v>
      </c>
      <c r="D4076" s="1" t="e">
        <f aca="false" t="array" ref="D4076:D4076">IF(ISBLANK(_xlfn.xlookup(D$3,daily_items,_xlfn.xlookup($C4076,daily_dates,big_daily_table))),NA(),_xlfn.xlookup(D$3,daily_items,_xlfn.xlookup($C4076,daily_dates,big_daily_table)))</f>
        <v>#NAME?</v>
      </c>
      <c r="E4076" s="1" t="e">
        <f aca="false" t="array" ref="E4076:E4076">IF(ISBLANK(_xlfn.xlookup(E$3,daily_items,_xlfn.xlookup($C4076,daily_dates,big_daily_table))),NA(),_xlfn.xlookup(E$3,daily_items,_xlfn.xlookup($C4076,daily_dates,big_daily_table)))</f>
        <v>#NAME?</v>
      </c>
    </row>
    <row r="4077" customFormat="false" ht="14.25" hidden="false" customHeight="false" outlineLevel="0" collapsed="false">
      <c r="B4077" s="7" t="n">
        <v>44982</v>
      </c>
      <c r="C4077" s="7" t="n">
        <f aca="false">B4077-WEEKDAY(B4077)+1</f>
        <v>44976</v>
      </c>
      <c r="D4077" s="1" t="e">
        <f aca="false" t="array" ref="D4077:D4077">IF(ISBLANK(_xlfn.xlookup(D$3,daily_items,_xlfn.xlookup($C4077,daily_dates,big_daily_table))),NA(),_xlfn.xlookup(D$3,daily_items,_xlfn.xlookup($C4077,daily_dates,big_daily_table)))</f>
        <v>#NAME?</v>
      </c>
      <c r="E4077" s="1" t="e">
        <f aca="false" t="array" ref="E4077:E4077">IF(ISBLANK(_xlfn.xlookup(E$3,daily_items,_xlfn.xlookup($C4077,daily_dates,big_daily_table))),NA(),_xlfn.xlookup(E$3,daily_items,_xlfn.xlookup($C4077,daily_dates,big_daily_table)))</f>
        <v>#NAME?</v>
      </c>
    </row>
    <row r="4078" customFormat="false" ht="14.25" hidden="false" customHeight="false" outlineLevel="0" collapsed="false">
      <c r="B4078" s="7" t="n">
        <v>44983</v>
      </c>
      <c r="C4078" s="7" t="n">
        <f aca="false">B4078-WEEKDAY(B4078)+1</f>
        <v>44983</v>
      </c>
      <c r="D4078" s="1" t="e">
        <f aca="false" t="array" ref="D4078:D4078">IF(ISBLANK(_xlfn.xlookup(D$3,daily_items,_xlfn.xlookup($C4078,daily_dates,big_daily_table))),NA(),_xlfn.xlookup(D$3,daily_items,_xlfn.xlookup($C4078,daily_dates,big_daily_table)))</f>
        <v>#NAME?</v>
      </c>
      <c r="E4078" s="1" t="e">
        <f aca="false" t="array" ref="E4078:E4078">IF(ISBLANK(_xlfn.xlookup(E$3,daily_items,_xlfn.xlookup($C4078,daily_dates,big_daily_table))),NA(),_xlfn.xlookup(E$3,daily_items,_xlfn.xlookup($C4078,daily_dates,big_daily_table)))</f>
        <v>#NAME?</v>
      </c>
    </row>
    <row r="4079" customFormat="false" ht="14.25" hidden="false" customHeight="false" outlineLevel="0" collapsed="false">
      <c r="B4079" s="7" t="n">
        <v>44984</v>
      </c>
      <c r="C4079" s="7" t="n">
        <f aca="false">B4079-WEEKDAY(B4079)+1</f>
        <v>44983</v>
      </c>
      <c r="D4079" s="1" t="e">
        <f aca="false" t="array" ref="D4079:D4079">IF(ISBLANK(_xlfn.xlookup(D$3,daily_items,_xlfn.xlookup($C4079,daily_dates,big_daily_table))),NA(),_xlfn.xlookup(D$3,daily_items,_xlfn.xlookup($C4079,daily_dates,big_daily_table)))</f>
        <v>#NAME?</v>
      </c>
      <c r="E4079" s="1" t="e">
        <f aca="false" t="array" ref="E4079:E4079">IF(ISBLANK(_xlfn.xlookup(E$3,daily_items,_xlfn.xlookup($C4079,daily_dates,big_daily_table))),NA(),_xlfn.xlookup(E$3,daily_items,_xlfn.xlookup($C4079,daily_dates,big_daily_table)))</f>
        <v>#NAME?</v>
      </c>
    </row>
    <row r="4080" customFormat="false" ht="14.25" hidden="false" customHeight="false" outlineLevel="0" collapsed="false">
      <c r="B4080" s="7" t="n">
        <v>44985</v>
      </c>
      <c r="C4080" s="7" t="n">
        <f aca="false">B4080-WEEKDAY(B4080)+1</f>
        <v>44983</v>
      </c>
      <c r="D4080" s="1" t="e">
        <f aca="false" t="array" ref="D4080:D4080">IF(ISBLANK(_xlfn.xlookup(D$3,daily_items,_xlfn.xlookup($C4080,daily_dates,big_daily_table))),NA(),_xlfn.xlookup(D$3,daily_items,_xlfn.xlookup($C4080,daily_dates,big_daily_table)))</f>
        <v>#NAME?</v>
      </c>
      <c r="E4080" s="1" t="e">
        <f aca="false" t="array" ref="E4080:E4080">IF(ISBLANK(_xlfn.xlookup(E$3,daily_items,_xlfn.xlookup($C4080,daily_dates,big_daily_table))),NA(),_xlfn.xlookup(E$3,daily_items,_xlfn.xlookup($C4080,daily_dates,big_daily_table)))</f>
        <v>#NAME?</v>
      </c>
    </row>
    <row r="4081" customFormat="false" ht="14.25" hidden="false" customHeight="false" outlineLevel="0" collapsed="false">
      <c r="B4081" s="7" t="n">
        <v>44986</v>
      </c>
      <c r="C4081" s="7" t="n">
        <f aca="false">B4081-WEEKDAY(B4081)+1</f>
        <v>44983</v>
      </c>
      <c r="D4081" s="1" t="e">
        <f aca="false" t="array" ref="D4081:D4081">IF(ISBLANK(_xlfn.xlookup(D$3,daily_items,_xlfn.xlookup($C4081,daily_dates,big_daily_table))),NA(),_xlfn.xlookup(D$3,daily_items,_xlfn.xlookup($C4081,daily_dates,big_daily_table)))</f>
        <v>#NAME?</v>
      </c>
      <c r="E4081" s="1" t="e">
        <f aca="false" t="array" ref="E4081:E4081">IF(ISBLANK(_xlfn.xlookup(E$3,daily_items,_xlfn.xlookup($C4081,daily_dates,big_daily_table))),NA(),_xlfn.xlookup(E$3,daily_items,_xlfn.xlookup($C4081,daily_dates,big_daily_table)))</f>
        <v>#NAME?</v>
      </c>
    </row>
    <row r="4082" customFormat="false" ht="14.25" hidden="false" customHeight="false" outlineLevel="0" collapsed="false">
      <c r="B4082" s="7" t="n">
        <v>44987</v>
      </c>
      <c r="C4082" s="7" t="n">
        <f aca="false">B4082-WEEKDAY(B4082)+1</f>
        <v>44983</v>
      </c>
      <c r="D4082" s="1" t="e">
        <f aca="false" t="array" ref="D4082:D4082">IF(ISBLANK(_xlfn.xlookup(D$3,daily_items,_xlfn.xlookup($C4082,daily_dates,big_daily_table))),NA(),_xlfn.xlookup(D$3,daily_items,_xlfn.xlookup($C4082,daily_dates,big_daily_table)))</f>
        <v>#NAME?</v>
      </c>
      <c r="E4082" s="1" t="e">
        <f aca="false" t="array" ref="E4082:E4082">IF(ISBLANK(_xlfn.xlookup(E$3,daily_items,_xlfn.xlookup($C4082,daily_dates,big_daily_table))),NA(),_xlfn.xlookup(E$3,daily_items,_xlfn.xlookup($C4082,daily_dates,big_daily_table)))</f>
        <v>#NAME?</v>
      </c>
    </row>
    <row r="4083" customFormat="false" ht="14.25" hidden="false" customHeight="false" outlineLevel="0" collapsed="false">
      <c r="B4083" s="7" t="n">
        <v>44988</v>
      </c>
      <c r="C4083" s="7" t="n">
        <f aca="false">B4083-WEEKDAY(B4083)+1</f>
        <v>44983</v>
      </c>
      <c r="D4083" s="1" t="e">
        <f aca="false" t="array" ref="D4083:D4083">IF(ISBLANK(_xlfn.xlookup(D$3,daily_items,_xlfn.xlookup($C4083,daily_dates,big_daily_table))),NA(),_xlfn.xlookup(D$3,daily_items,_xlfn.xlookup($C4083,daily_dates,big_daily_table)))</f>
        <v>#NAME?</v>
      </c>
      <c r="E4083" s="1" t="e">
        <f aca="false" t="array" ref="E4083:E4083">IF(ISBLANK(_xlfn.xlookup(E$3,daily_items,_xlfn.xlookup($C4083,daily_dates,big_daily_table))),NA(),_xlfn.xlookup(E$3,daily_items,_xlfn.xlookup($C4083,daily_dates,big_daily_table)))</f>
        <v>#NAME?</v>
      </c>
    </row>
    <row r="4084" customFormat="false" ht="14.25" hidden="false" customHeight="false" outlineLevel="0" collapsed="false">
      <c r="B4084" s="7" t="n">
        <v>44989</v>
      </c>
      <c r="C4084" s="7" t="n">
        <f aca="false">B4084-WEEKDAY(B4084)+1</f>
        <v>44983</v>
      </c>
      <c r="D4084" s="1" t="e">
        <f aca="false" t="array" ref="D4084:D4084">IF(ISBLANK(_xlfn.xlookup(D$3,daily_items,_xlfn.xlookup($C4084,daily_dates,big_daily_table))),NA(),_xlfn.xlookup(D$3,daily_items,_xlfn.xlookup($C4084,daily_dates,big_daily_table)))</f>
        <v>#NAME?</v>
      </c>
      <c r="E4084" s="1" t="e">
        <f aca="false" t="array" ref="E4084:E4084">IF(ISBLANK(_xlfn.xlookup(E$3,daily_items,_xlfn.xlookup($C4084,daily_dates,big_daily_table))),NA(),_xlfn.xlookup(E$3,daily_items,_xlfn.xlookup($C4084,daily_dates,big_daily_table)))</f>
        <v>#NAME?</v>
      </c>
    </row>
    <row r="4085" customFormat="false" ht="14.25" hidden="false" customHeight="false" outlineLevel="0" collapsed="false">
      <c r="B4085" s="7" t="n">
        <v>44990</v>
      </c>
      <c r="C4085" s="7" t="n">
        <f aca="false">B4085-WEEKDAY(B4085)+1</f>
        <v>44990</v>
      </c>
      <c r="D4085" s="1" t="e">
        <f aca="false" t="array" ref="D4085:D4085">IF(ISBLANK(_xlfn.xlookup(D$3,daily_items,_xlfn.xlookup($C4085,daily_dates,big_daily_table))),NA(),_xlfn.xlookup(D$3,daily_items,_xlfn.xlookup($C4085,daily_dates,big_daily_table)))</f>
        <v>#NAME?</v>
      </c>
      <c r="E4085" s="1" t="e">
        <f aca="false" t="array" ref="E4085:E4085">IF(ISBLANK(_xlfn.xlookup(E$3,daily_items,_xlfn.xlookup($C4085,daily_dates,big_daily_table))),NA(),_xlfn.xlookup(E$3,daily_items,_xlfn.xlookup($C4085,daily_dates,big_daily_table)))</f>
        <v>#NAME?</v>
      </c>
    </row>
    <row r="4086" customFormat="false" ht="14.25" hidden="false" customHeight="false" outlineLevel="0" collapsed="false">
      <c r="B4086" s="7" t="n">
        <v>44991</v>
      </c>
      <c r="C4086" s="7" t="n">
        <f aca="false">B4086-WEEKDAY(B4086)+1</f>
        <v>44990</v>
      </c>
      <c r="D4086" s="1" t="e">
        <f aca="false" t="array" ref="D4086:D4086">IF(ISBLANK(_xlfn.xlookup(D$3,daily_items,_xlfn.xlookup($C4086,daily_dates,big_daily_table))),NA(),_xlfn.xlookup(D$3,daily_items,_xlfn.xlookup($C4086,daily_dates,big_daily_table)))</f>
        <v>#NAME?</v>
      </c>
      <c r="E4086" s="1" t="e">
        <f aca="false" t="array" ref="E4086:E4086">IF(ISBLANK(_xlfn.xlookup(E$3,daily_items,_xlfn.xlookup($C4086,daily_dates,big_daily_table))),NA(),_xlfn.xlookup(E$3,daily_items,_xlfn.xlookup($C4086,daily_dates,big_daily_table)))</f>
        <v>#NAME?</v>
      </c>
    </row>
    <row r="4087" customFormat="false" ht="14.25" hidden="false" customHeight="false" outlineLevel="0" collapsed="false">
      <c r="B4087" s="7" t="n">
        <v>44992</v>
      </c>
      <c r="C4087" s="7" t="n">
        <f aca="false">B4087-WEEKDAY(B4087)+1</f>
        <v>44990</v>
      </c>
      <c r="D4087" s="1" t="e">
        <f aca="false" t="array" ref="D4087:D4087">IF(ISBLANK(_xlfn.xlookup(D$3,daily_items,_xlfn.xlookup($C4087,daily_dates,big_daily_table))),NA(),_xlfn.xlookup(D$3,daily_items,_xlfn.xlookup($C4087,daily_dates,big_daily_table)))</f>
        <v>#NAME?</v>
      </c>
      <c r="E4087" s="1" t="e">
        <f aca="false" t="array" ref="E4087:E4087">IF(ISBLANK(_xlfn.xlookup(E$3,daily_items,_xlfn.xlookup($C4087,daily_dates,big_daily_table))),NA(),_xlfn.xlookup(E$3,daily_items,_xlfn.xlookup($C4087,daily_dates,big_daily_table)))</f>
        <v>#NAME?</v>
      </c>
    </row>
    <row r="4088" customFormat="false" ht="14.25" hidden="false" customHeight="false" outlineLevel="0" collapsed="false">
      <c r="B4088" s="7" t="n">
        <v>44993</v>
      </c>
      <c r="C4088" s="7" t="n">
        <f aca="false">B4088-WEEKDAY(B4088)+1</f>
        <v>44990</v>
      </c>
      <c r="D4088" s="1" t="e">
        <f aca="false" t="array" ref="D4088:D4088">IF(ISBLANK(_xlfn.xlookup(D$3,daily_items,_xlfn.xlookup($C4088,daily_dates,big_daily_table))),NA(),_xlfn.xlookup(D$3,daily_items,_xlfn.xlookup($C4088,daily_dates,big_daily_table)))</f>
        <v>#NAME?</v>
      </c>
      <c r="E4088" s="1" t="e">
        <f aca="false" t="array" ref="E4088:E4088">IF(ISBLANK(_xlfn.xlookup(E$3,daily_items,_xlfn.xlookup($C4088,daily_dates,big_daily_table))),NA(),_xlfn.xlookup(E$3,daily_items,_xlfn.xlookup($C4088,daily_dates,big_daily_table)))</f>
        <v>#NAME?</v>
      </c>
    </row>
    <row r="4089" customFormat="false" ht="14.25" hidden="false" customHeight="false" outlineLevel="0" collapsed="false">
      <c r="B4089" s="7" t="n">
        <v>44994</v>
      </c>
      <c r="C4089" s="7" t="n">
        <f aca="false">B4089-WEEKDAY(B4089)+1</f>
        <v>44990</v>
      </c>
      <c r="D4089" s="1" t="e">
        <f aca="false" t="array" ref="D4089:D4089">IF(ISBLANK(_xlfn.xlookup(D$3,daily_items,_xlfn.xlookup($C4089,daily_dates,big_daily_table))),NA(),_xlfn.xlookup(D$3,daily_items,_xlfn.xlookup($C4089,daily_dates,big_daily_table)))</f>
        <v>#NAME?</v>
      </c>
      <c r="E4089" s="1" t="e">
        <f aca="false" t="array" ref="E4089:E4089">IF(ISBLANK(_xlfn.xlookup(E$3,daily_items,_xlfn.xlookup($C4089,daily_dates,big_daily_table))),NA(),_xlfn.xlookup(E$3,daily_items,_xlfn.xlookup($C4089,daily_dates,big_daily_table)))</f>
        <v>#NAME?</v>
      </c>
    </row>
    <row r="4090" customFormat="false" ht="14.25" hidden="false" customHeight="false" outlineLevel="0" collapsed="false">
      <c r="B4090" s="7" t="n">
        <v>44995</v>
      </c>
      <c r="C4090" s="7" t="n">
        <f aca="false">B4090-WEEKDAY(B4090)+1</f>
        <v>44990</v>
      </c>
      <c r="D4090" s="1" t="e">
        <f aca="false" t="array" ref="D4090:D4090">IF(ISBLANK(_xlfn.xlookup(D$3,daily_items,_xlfn.xlookup($C4090,daily_dates,big_daily_table))),NA(),_xlfn.xlookup(D$3,daily_items,_xlfn.xlookup($C4090,daily_dates,big_daily_table)))</f>
        <v>#NAME?</v>
      </c>
      <c r="E4090" s="1" t="e">
        <f aca="false" t="array" ref="E4090:E4090">IF(ISBLANK(_xlfn.xlookup(E$3,daily_items,_xlfn.xlookup($C4090,daily_dates,big_daily_table))),NA(),_xlfn.xlookup(E$3,daily_items,_xlfn.xlookup($C4090,daily_dates,big_daily_table)))</f>
        <v>#NAME?</v>
      </c>
    </row>
    <row r="4091" customFormat="false" ht="14.25" hidden="false" customHeight="false" outlineLevel="0" collapsed="false">
      <c r="B4091" s="7" t="n">
        <v>44996</v>
      </c>
      <c r="C4091" s="7" t="n">
        <f aca="false">B4091-WEEKDAY(B4091)+1</f>
        <v>44990</v>
      </c>
      <c r="D4091" s="1" t="e">
        <f aca="false" t="array" ref="D4091:D4091">IF(ISBLANK(_xlfn.xlookup(D$3,daily_items,_xlfn.xlookup($C4091,daily_dates,big_daily_table))),NA(),_xlfn.xlookup(D$3,daily_items,_xlfn.xlookup($C4091,daily_dates,big_daily_table)))</f>
        <v>#NAME?</v>
      </c>
      <c r="E4091" s="1" t="e">
        <f aca="false" t="array" ref="E4091:E4091">IF(ISBLANK(_xlfn.xlookup(E$3,daily_items,_xlfn.xlookup($C4091,daily_dates,big_daily_table))),NA(),_xlfn.xlookup(E$3,daily_items,_xlfn.xlookup($C4091,daily_dates,big_daily_table)))</f>
        <v>#NAME?</v>
      </c>
    </row>
    <row r="4092" customFormat="false" ht="14.25" hidden="false" customHeight="false" outlineLevel="0" collapsed="false">
      <c r="B4092" s="7" t="n">
        <v>44997</v>
      </c>
      <c r="C4092" s="7" t="n">
        <f aca="false">B4092-WEEKDAY(B4092)+1</f>
        <v>44997</v>
      </c>
      <c r="D4092" s="1" t="e">
        <f aca="false" t="array" ref="D4092:D4092">IF(ISBLANK(_xlfn.xlookup(D$3,daily_items,_xlfn.xlookup($C4092,daily_dates,big_daily_table))),NA(),_xlfn.xlookup(D$3,daily_items,_xlfn.xlookup($C4092,daily_dates,big_daily_table)))</f>
        <v>#NAME?</v>
      </c>
      <c r="E4092" s="1" t="e">
        <f aca="false" t="array" ref="E4092:E4092">IF(ISBLANK(_xlfn.xlookup(E$3,daily_items,_xlfn.xlookup($C4092,daily_dates,big_daily_table))),NA(),_xlfn.xlookup(E$3,daily_items,_xlfn.xlookup($C4092,daily_dates,big_daily_table)))</f>
        <v>#NAME?</v>
      </c>
    </row>
    <row r="4093" customFormat="false" ht="14.25" hidden="false" customHeight="false" outlineLevel="0" collapsed="false">
      <c r="B4093" s="7" t="n">
        <v>44998</v>
      </c>
      <c r="C4093" s="7" t="n">
        <f aca="false">B4093-WEEKDAY(B4093)+1</f>
        <v>44997</v>
      </c>
      <c r="D4093" s="1" t="e">
        <f aca="false" t="array" ref="D4093:D4093">IF(ISBLANK(_xlfn.xlookup(D$3,daily_items,_xlfn.xlookup($C4093,daily_dates,big_daily_table))),NA(),_xlfn.xlookup(D$3,daily_items,_xlfn.xlookup($C4093,daily_dates,big_daily_table)))</f>
        <v>#NAME?</v>
      </c>
      <c r="E4093" s="1" t="e">
        <f aca="false" t="array" ref="E4093:E4093">IF(ISBLANK(_xlfn.xlookup(E$3,daily_items,_xlfn.xlookup($C4093,daily_dates,big_daily_table))),NA(),_xlfn.xlookup(E$3,daily_items,_xlfn.xlookup($C4093,daily_dates,big_daily_table)))</f>
        <v>#NAME?</v>
      </c>
    </row>
    <row r="4094" customFormat="false" ht="14.25" hidden="false" customHeight="false" outlineLevel="0" collapsed="false">
      <c r="B4094" s="7" t="n">
        <v>44999</v>
      </c>
      <c r="C4094" s="7" t="n">
        <f aca="false">B4094-WEEKDAY(B4094)+1</f>
        <v>44997</v>
      </c>
      <c r="D4094" s="1" t="e">
        <f aca="false" t="array" ref="D4094:D4094">IF(ISBLANK(_xlfn.xlookup(D$3,daily_items,_xlfn.xlookup($C4094,daily_dates,big_daily_table))),NA(),_xlfn.xlookup(D$3,daily_items,_xlfn.xlookup($C4094,daily_dates,big_daily_table)))</f>
        <v>#NAME?</v>
      </c>
      <c r="E4094" s="1" t="e">
        <f aca="false" t="array" ref="E4094:E4094">IF(ISBLANK(_xlfn.xlookup(E$3,daily_items,_xlfn.xlookup($C4094,daily_dates,big_daily_table))),NA(),_xlfn.xlookup(E$3,daily_items,_xlfn.xlookup($C4094,daily_dates,big_daily_table)))</f>
        <v>#NAME?</v>
      </c>
    </row>
    <row r="4095" customFormat="false" ht="14.25" hidden="false" customHeight="false" outlineLevel="0" collapsed="false">
      <c r="B4095" s="7" t="n">
        <v>45000</v>
      </c>
      <c r="C4095" s="7" t="n">
        <f aca="false">B4095-WEEKDAY(B4095)+1</f>
        <v>44997</v>
      </c>
      <c r="D4095" s="1" t="e">
        <f aca="false" t="array" ref="D4095:D4095">IF(ISBLANK(_xlfn.xlookup(D$3,daily_items,_xlfn.xlookup($C4095,daily_dates,big_daily_table))),NA(),_xlfn.xlookup(D$3,daily_items,_xlfn.xlookup($C4095,daily_dates,big_daily_table)))</f>
        <v>#NAME?</v>
      </c>
      <c r="E4095" s="1" t="e">
        <f aca="false" t="array" ref="E4095:E4095">IF(ISBLANK(_xlfn.xlookup(E$3,daily_items,_xlfn.xlookup($C4095,daily_dates,big_daily_table))),NA(),_xlfn.xlookup(E$3,daily_items,_xlfn.xlookup($C4095,daily_dates,big_daily_table)))</f>
        <v>#NAME?</v>
      </c>
    </row>
    <row r="4096" customFormat="false" ht="14.25" hidden="false" customHeight="false" outlineLevel="0" collapsed="false">
      <c r="B4096" s="7" t="n">
        <v>45001</v>
      </c>
      <c r="C4096" s="7" t="n">
        <f aca="false">B4096-WEEKDAY(B4096)+1</f>
        <v>44997</v>
      </c>
      <c r="D4096" s="1" t="e">
        <f aca="false" t="array" ref="D4096:D4096">IF(ISBLANK(_xlfn.xlookup(D$3,daily_items,_xlfn.xlookup($C4096,daily_dates,big_daily_table))),NA(),_xlfn.xlookup(D$3,daily_items,_xlfn.xlookup($C4096,daily_dates,big_daily_table)))</f>
        <v>#NAME?</v>
      </c>
      <c r="E4096" s="1" t="e">
        <f aca="false" t="array" ref="E4096:E4096">IF(ISBLANK(_xlfn.xlookup(E$3,daily_items,_xlfn.xlookup($C4096,daily_dates,big_daily_table))),NA(),_xlfn.xlookup(E$3,daily_items,_xlfn.xlookup($C4096,daily_dates,big_daily_table)))</f>
        <v>#NAME?</v>
      </c>
    </row>
    <row r="4097" customFormat="false" ht="14.25" hidden="false" customHeight="false" outlineLevel="0" collapsed="false">
      <c r="B4097" s="7" t="n">
        <v>45002</v>
      </c>
      <c r="C4097" s="7" t="n">
        <f aca="false">B4097-WEEKDAY(B4097)+1</f>
        <v>44997</v>
      </c>
      <c r="D4097" s="1" t="e">
        <f aca="false" t="array" ref="D4097:D4097">IF(ISBLANK(_xlfn.xlookup(D$3,daily_items,_xlfn.xlookup($C4097,daily_dates,big_daily_table))),NA(),_xlfn.xlookup(D$3,daily_items,_xlfn.xlookup($C4097,daily_dates,big_daily_table)))</f>
        <v>#NAME?</v>
      </c>
      <c r="E4097" s="1" t="e">
        <f aca="false" t="array" ref="E4097:E4097">IF(ISBLANK(_xlfn.xlookup(E$3,daily_items,_xlfn.xlookup($C4097,daily_dates,big_daily_table))),NA(),_xlfn.xlookup(E$3,daily_items,_xlfn.xlookup($C4097,daily_dates,big_daily_table)))</f>
        <v>#NAME?</v>
      </c>
    </row>
    <row r="4098" customFormat="false" ht="14.25" hidden="false" customHeight="false" outlineLevel="0" collapsed="false">
      <c r="B4098" s="7" t="n">
        <v>45003</v>
      </c>
      <c r="C4098" s="7" t="n">
        <f aca="false">B4098-WEEKDAY(B4098)+1</f>
        <v>44997</v>
      </c>
      <c r="D4098" s="1" t="e">
        <f aca="false" t="array" ref="D4098:D4098">IF(ISBLANK(_xlfn.xlookup(D$3,daily_items,_xlfn.xlookup($C4098,daily_dates,big_daily_table))),NA(),_xlfn.xlookup(D$3,daily_items,_xlfn.xlookup($C4098,daily_dates,big_daily_table)))</f>
        <v>#NAME?</v>
      </c>
      <c r="E4098" s="1" t="e">
        <f aca="false" t="array" ref="E4098:E4098">IF(ISBLANK(_xlfn.xlookup(E$3,daily_items,_xlfn.xlookup($C4098,daily_dates,big_daily_table))),NA(),_xlfn.xlookup(E$3,daily_items,_xlfn.xlookup($C4098,daily_dates,big_daily_table)))</f>
        <v>#NAME?</v>
      </c>
    </row>
    <row r="4099" customFormat="false" ht="14.25" hidden="false" customHeight="false" outlineLevel="0" collapsed="false">
      <c r="B4099" s="7" t="n">
        <v>45004</v>
      </c>
      <c r="C4099" s="7" t="n">
        <f aca="false">B4099-WEEKDAY(B4099)+1</f>
        <v>45004</v>
      </c>
      <c r="D4099" s="1" t="e">
        <f aca="false" t="array" ref="D4099:D4099">IF(ISBLANK(_xlfn.xlookup(D$3,daily_items,_xlfn.xlookup($C4099,daily_dates,big_daily_table))),NA(),_xlfn.xlookup(D$3,daily_items,_xlfn.xlookup($C4099,daily_dates,big_daily_table)))</f>
        <v>#NAME?</v>
      </c>
      <c r="E4099" s="1" t="e">
        <f aca="false" t="array" ref="E4099:E4099">IF(ISBLANK(_xlfn.xlookup(E$3,daily_items,_xlfn.xlookup($C4099,daily_dates,big_daily_table))),NA(),_xlfn.xlookup(E$3,daily_items,_xlfn.xlookup($C4099,daily_dates,big_daily_table)))</f>
        <v>#NAME?</v>
      </c>
    </row>
    <row r="4100" customFormat="false" ht="14.25" hidden="false" customHeight="false" outlineLevel="0" collapsed="false">
      <c r="B4100" s="7" t="n">
        <v>45005</v>
      </c>
      <c r="C4100" s="7" t="n">
        <f aca="false">B4100-WEEKDAY(B4100)+1</f>
        <v>45004</v>
      </c>
      <c r="D4100" s="1" t="e">
        <f aca="false" t="array" ref="D4100:D4100">IF(ISBLANK(_xlfn.xlookup(D$3,daily_items,_xlfn.xlookup($C4100,daily_dates,big_daily_table))),NA(),_xlfn.xlookup(D$3,daily_items,_xlfn.xlookup($C4100,daily_dates,big_daily_table)))</f>
        <v>#NAME?</v>
      </c>
      <c r="E4100" s="1" t="e">
        <f aca="false" t="array" ref="E4100:E4100">IF(ISBLANK(_xlfn.xlookup(E$3,daily_items,_xlfn.xlookup($C4100,daily_dates,big_daily_table))),NA(),_xlfn.xlookup(E$3,daily_items,_xlfn.xlookup($C4100,daily_dates,big_daily_table)))</f>
        <v>#NAME?</v>
      </c>
    </row>
    <row r="4101" customFormat="false" ht="14.25" hidden="false" customHeight="false" outlineLevel="0" collapsed="false">
      <c r="B4101" s="7" t="n">
        <v>45006</v>
      </c>
      <c r="C4101" s="7" t="n">
        <f aca="false">B4101-WEEKDAY(B4101)+1</f>
        <v>45004</v>
      </c>
      <c r="D4101" s="1" t="e">
        <f aca="false" t="array" ref="D4101:D4101">IF(ISBLANK(_xlfn.xlookup(D$3,daily_items,_xlfn.xlookup($C4101,daily_dates,big_daily_table))),NA(),_xlfn.xlookup(D$3,daily_items,_xlfn.xlookup($C4101,daily_dates,big_daily_table)))</f>
        <v>#NAME?</v>
      </c>
      <c r="E4101" s="1" t="e">
        <f aca="false" t="array" ref="E4101:E4101">IF(ISBLANK(_xlfn.xlookup(E$3,daily_items,_xlfn.xlookup($C4101,daily_dates,big_daily_table))),NA(),_xlfn.xlookup(E$3,daily_items,_xlfn.xlookup($C4101,daily_dates,big_daily_table)))</f>
        <v>#NAME?</v>
      </c>
    </row>
    <row r="4102" customFormat="false" ht="14.25" hidden="false" customHeight="false" outlineLevel="0" collapsed="false">
      <c r="B4102" s="7" t="n">
        <v>45007</v>
      </c>
      <c r="C4102" s="7" t="n">
        <f aca="false">B4102-WEEKDAY(B4102)+1</f>
        <v>45004</v>
      </c>
      <c r="D4102" s="1" t="e">
        <f aca="false" t="array" ref="D4102:D4102">IF(ISBLANK(_xlfn.xlookup(D$3,daily_items,_xlfn.xlookup($C4102,daily_dates,big_daily_table))),NA(),_xlfn.xlookup(D$3,daily_items,_xlfn.xlookup($C4102,daily_dates,big_daily_table)))</f>
        <v>#NAME?</v>
      </c>
      <c r="E4102" s="1" t="e">
        <f aca="false" t="array" ref="E4102:E4102">IF(ISBLANK(_xlfn.xlookup(E$3,daily_items,_xlfn.xlookup($C4102,daily_dates,big_daily_table))),NA(),_xlfn.xlookup(E$3,daily_items,_xlfn.xlookup($C4102,daily_dates,big_daily_table)))</f>
        <v>#NAME?</v>
      </c>
    </row>
    <row r="4103" customFormat="false" ht="14.25" hidden="false" customHeight="false" outlineLevel="0" collapsed="false">
      <c r="B4103" s="7" t="n">
        <v>45008</v>
      </c>
      <c r="C4103" s="7" t="n">
        <f aca="false">B4103-WEEKDAY(B4103)+1</f>
        <v>45004</v>
      </c>
      <c r="D4103" s="1" t="e">
        <f aca="false" t="array" ref="D4103:D4103">IF(ISBLANK(_xlfn.xlookup(D$3,daily_items,_xlfn.xlookup($C4103,daily_dates,big_daily_table))),NA(),_xlfn.xlookup(D$3,daily_items,_xlfn.xlookup($C4103,daily_dates,big_daily_table)))</f>
        <v>#NAME?</v>
      </c>
      <c r="E4103" s="1" t="e">
        <f aca="false" t="array" ref="E4103:E4103">IF(ISBLANK(_xlfn.xlookup(E$3,daily_items,_xlfn.xlookup($C4103,daily_dates,big_daily_table))),NA(),_xlfn.xlookup(E$3,daily_items,_xlfn.xlookup($C4103,daily_dates,big_daily_table)))</f>
        <v>#NAME?</v>
      </c>
    </row>
    <row r="4104" customFormat="false" ht="14.25" hidden="false" customHeight="false" outlineLevel="0" collapsed="false">
      <c r="B4104" s="7" t="n">
        <v>45009</v>
      </c>
      <c r="C4104" s="7" t="n">
        <f aca="false">B4104-WEEKDAY(B4104)+1</f>
        <v>45004</v>
      </c>
      <c r="D4104" s="1" t="e">
        <f aca="false" t="array" ref="D4104:D4104">IF(ISBLANK(_xlfn.xlookup(D$3,daily_items,_xlfn.xlookup($C4104,daily_dates,big_daily_table))),NA(),_xlfn.xlookup(D$3,daily_items,_xlfn.xlookup($C4104,daily_dates,big_daily_table)))</f>
        <v>#NAME?</v>
      </c>
      <c r="E4104" s="1" t="e">
        <f aca="false" t="array" ref="E4104:E4104">IF(ISBLANK(_xlfn.xlookup(E$3,daily_items,_xlfn.xlookup($C4104,daily_dates,big_daily_table))),NA(),_xlfn.xlookup(E$3,daily_items,_xlfn.xlookup($C4104,daily_dates,big_daily_table)))</f>
        <v>#NAME?</v>
      </c>
    </row>
    <row r="4105" customFormat="false" ht="14.25" hidden="false" customHeight="false" outlineLevel="0" collapsed="false">
      <c r="B4105" s="7" t="n">
        <v>45010</v>
      </c>
      <c r="C4105" s="7" t="n">
        <f aca="false">B4105-WEEKDAY(B4105)+1</f>
        <v>45004</v>
      </c>
      <c r="D4105" s="1" t="e">
        <f aca="false" t="array" ref="D4105:D4105">IF(ISBLANK(_xlfn.xlookup(D$3,daily_items,_xlfn.xlookup($C4105,daily_dates,big_daily_table))),NA(),_xlfn.xlookup(D$3,daily_items,_xlfn.xlookup($C4105,daily_dates,big_daily_table)))</f>
        <v>#NAME?</v>
      </c>
      <c r="E4105" s="1" t="e">
        <f aca="false" t="array" ref="E4105:E4105">IF(ISBLANK(_xlfn.xlookup(E$3,daily_items,_xlfn.xlookup($C4105,daily_dates,big_daily_table))),NA(),_xlfn.xlookup(E$3,daily_items,_xlfn.xlookup($C4105,daily_dates,big_daily_table)))</f>
        <v>#NAME?</v>
      </c>
    </row>
    <row r="4106" customFormat="false" ht="14.25" hidden="false" customHeight="false" outlineLevel="0" collapsed="false">
      <c r="B4106" s="7" t="n">
        <v>45011</v>
      </c>
      <c r="C4106" s="7" t="n">
        <f aca="false">B4106-WEEKDAY(B4106)+1</f>
        <v>45011</v>
      </c>
      <c r="D4106" s="1" t="e">
        <f aca="false" t="array" ref="D4106:D4106">IF(ISBLANK(_xlfn.xlookup(D$3,daily_items,_xlfn.xlookup($C4106,daily_dates,big_daily_table))),NA(),_xlfn.xlookup(D$3,daily_items,_xlfn.xlookup($C4106,daily_dates,big_daily_table)))</f>
        <v>#NAME?</v>
      </c>
      <c r="E4106" s="1" t="e">
        <f aca="false" t="array" ref="E4106:E4106">IF(ISBLANK(_xlfn.xlookup(E$3,daily_items,_xlfn.xlookup($C4106,daily_dates,big_daily_table))),NA(),_xlfn.xlookup(E$3,daily_items,_xlfn.xlookup($C4106,daily_dates,big_daily_table)))</f>
        <v>#NAME?</v>
      </c>
    </row>
    <row r="4107" customFormat="false" ht="14.25" hidden="false" customHeight="false" outlineLevel="0" collapsed="false">
      <c r="B4107" s="7" t="n">
        <v>45012</v>
      </c>
      <c r="C4107" s="7" t="n">
        <f aca="false">B4107-WEEKDAY(B4107)+1</f>
        <v>45011</v>
      </c>
      <c r="D4107" s="1" t="e">
        <f aca="false" t="array" ref="D4107:D4107">IF(ISBLANK(_xlfn.xlookup(D$3,daily_items,_xlfn.xlookup($C4107,daily_dates,big_daily_table))),NA(),_xlfn.xlookup(D$3,daily_items,_xlfn.xlookup($C4107,daily_dates,big_daily_table)))</f>
        <v>#NAME?</v>
      </c>
      <c r="E4107" s="1" t="e">
        <f aca="false" t="array" ref="E4107:E4107">IF(ISBLANK(_xlfn.xlookup(E$3,daily_items,_xlfn.xlookup($C4107,daily_dates,big_daily_table))),NA(),_xlfn.xlookup(E$3,daily_items,_xlfn.xlookup($C4107,daily_dates,big_daily_table)))</f>
        <v>#NAME?</v>
      </c>
    </row>
    <row r="4108" customFormat="false" ht="14.25" hidden="false" customHeight="false" outlineLevel="0" collapsed="false">
      <c r="B4108" s="7" t="n">
        <v>45013</v>
      </c>
      <c r="C4108" s="7" t="n">
        <f aca="false">B4108-WEEKDAY(B4108)+1</f>
        <v>45011</v>
      </c>
      <c r="D4108" s="1" t="e">
        <f aca="false" t="array" ref="D4108:D4108">IF(ISBLANK(_xlfn.xlookup(D$3,daily_items,_xlfn.xlookup($C4108,daily_dates,big_daily_table))),NA(),_xlfn.xlookup(D$3,daily_items,_xlfn.xlookup($C4108,daily_dates,big_daily_table)))</f>
        <v>#NAME?</v>
      </c>
      <c r="E4108" s="1" t="e">
        <f aca="false" t="array" ref="E4108:E4108">IF(ISBLANK(_xlfn.xlookup(E$3,daily_items,_xlfn.xlookup($C4108,daily_dates,big_daily_table))),NA(),_xlfn.xlookup(E$3,daily_items,_xlfn.xlookup($C4108,daily_dates,big_daily_table)))</f>
        <v>#NAME?</v>
      </c>
    </row>
    <row r="4109" customFormat="false" ht="14.25" hidden="false" customHeight="false" outlineLevel="0" collapsed="false">
      <c r="B4109" s="7" t="n">
        <v>45014</v>
      </c>
      <c r="C4109" s="7" t="n">
        <f aca="false">B4109-WEEKDAY(B4109)+1</f>
        <v>45011</v>
      </c>
      <c r="D4109" s="1" t="e">
        <f aca="false" t="array" ref="D4109:D4109">IF(ISBLANK(_xlfn.xlookup(D$3,daily_items,_xlfn.xlookup($C4109,daily_dates,big_daily_table))),NA(),_xlfn.xlookup(D$3,daily_items,_xlfn.xlookup($C4109,daily_dates,big_daily_table)))</f>
        <v>#NAME?</v>
      </c>
      <c r="E4109" s="1" t="e">
        <f aca="false" t="array" ref="E4109:E4109">IF(ISBLANK(_xlfn.xlookup(E$3,daily_items,_xlfn.xlookup($C4109,daily_dates,big_daily_table))),NA(),_xlfn.xlookup(E$3,daily_items,_xlfn.xlookup($C4109,daily_dates,big_daily_table)))</f>
        <v>#NAME?</v>
      </c>
    </row>
    <row r="4110" customFormat="false" ht="14.25" hidden="false" customHeight="false" outlineLevel="0" collapsed="false">
      <c r="B4110" s="7" t="n">
        <v>45015</v>
      </c>
      <c r="C4110" s="7" t="n">
        <f aca="false">B4110-WEEKDAY(B4110)+1</f>
        <v>45011</v>
      </c>
      <c r="D4110" s="1" t="e">
        <f aca="false" t="array" ref="D4110:D4110">IF(ISBLANK(_xlfn.xlookup(D$3,daily_items,_xlfn.xlookup($C4110,daily_dates,big_daily_table))),NA(),_xlfn.xlookup(D$3,daily_items,_xlfn.xlookup($C4110,daily_dates,big_daily_table)))</f>
        <v>#NAME?</v>
      </c>
      <c r="E4110" s="1" t="e">
        <f aca="false" t="array" ref="E4110:E4110">IF(ISBLANK(_xlfn.xlookup(E$3,daily_items,_xlfn.xlookup($C4110,daily_dates,big_daily_table))),NA(),_xlfn.xlookup(E$3,daily_items,_xlfn.xlookup($C4110,daily_dates,big_daily_table)))</f>
        <v>#NAME?</v>
      </c>
    </row>
    <row r="4111" customFormat="false" ht="14.25" hidden="false" customHeight="false" outlineLevel="0" collapsed="false">
      <c r="B4111" s="7" t="n">
        <v>45016</v>
      </c>
      <c r="C4111" s="7" t="n">
        <f aca="false">B4111-WEEKDAY(B4111)+1</f>
        <v>45011</v>
      </c>
      <c r="D4111" s="1" t="e">
        <f aca="false" t="array" ref="D4111:D4111">IF(ISBLANK(_xlfn.xlookup(D$3,daily_items,_xlfn.xlookup($C4111,daily_dates,big_daily_table))),NA(),_xlfn.xlookup(D$3,daily_items,_xlfn.xlookup($C4111,daily_dates,big_daily_table)))</f>
        <v>#NAME?</v>
      </c>
      <c r="E4111" s="1" t="e">
        <f aca="false" t="array" ref="E4111:E4111">IF(ISBLANK(_xlfn.xlookup(E$3,daily_items,_xlfn.xlookup($C4111,daily_dates,big_daily_table))),NA(),_xlfn.xlookup(E$3,daily_items,_xlfn.xlookup($C4111,daily_dates,big_daily_table)))</f>
        <v>#NAME?</v>
      </c>
    </row>
    <row r="4112" customFormat="false" ht="14.25" hidden="false" customHeight="false" outlineLevel="0" collapsed="false">
      <c r="B4112" s="7" t="n">
        <v>45017</v>
      </c>
      <c r="C4112" s="7" t="n">
        <f aca="false">B4112-WEEKDAY(B4112)+1</f>
        <v>45011</v>
      </c>
      <c r="D4112" s="1" t="e">
        <f aca="false" t="array" ref="D4112:D4112">IF(ISBLANK(_xlfn.xlookup(D$3,daily_items,_xlfn.xlookup($C4112,daily_dates,big_daily_table))),NA(),_xlfn.xlookup(D$3,daily_items,_xlfn.xlookup($C4112,daily_dates,big_daily_table)))</f>
        <v>#NAME?</v>
      </c>
      <c r="E4112" s="1" t="e">
        <f aca="false" t="array" ref="E4112:E4112">IF(ISBLANK(_xlfn.xlookup(E$3,daily_items,_xlfn.xlookup($C4112,daily_dates,big_daily_table))),NA(),_xlfn.xlookup(E$3,daily_items,_xlfn.xlookup($C4112,daily_dates,big_daily_table)))</f>
        <v>#NAME?</v>
      </c>
    </row>
    <row r="4113" customFormat="false" ht="14.25" hidden="false" customHeight="false" outlineLevel="0" collapsed="false">
      <c r="B4113" s="7" t="n">
        <v>45018</v>
      </c>
      <c r="C4113" s="7" t="n">
        <f aca="false">B4113-WEEKDAY(B4113)+1</f>
        <v>45018</v>
      </c>
      <c r="D4113" s="1" t="e">
        <f aca="false" t="array" ref="D4113:D4113">IF(ISBLANK(_xlfn.xlookup(D$3,daily_items,_xlfn.xlookup($C4113,daily_dates,big_daily_table))),NA(),_xlfn.xlookup(D$3,daily_items,_xlfn.xlookup($C4113,daily_dates,big_daily_table)))</f>
        <v>#NAME?</v>
      </c>
      <c r="E4113" s="1" t="e">
        <f aca="false" t="array" ref="E4113:E4113">IF(ISBLANK(_xlfn.xlookup(E$3,daily_items,_xlfn.xlookup($C4113,daily_dates,big_daily_table))),NA(),_xlfn.xlookup(E$3,daily_items,_xlfn.xlookup($C4113,daily_dates,big_daily_table)))</f>
        <v>#NAME?</v>
      </c>
    </row>
    <row r="4114" customFormat="false" ht="14.25" hidden="false" customHeight="false" outlineLevel="0" collapsed="false">
      <c r="B4114" s="7" t="n">
        <v>45019</v>
      </c>
      <c r="C4114" s="7" t="n">
        <f aca="false">B4114-WEEKDAY(B4114)+1</f>
        <v>45018</v>
      </c>
      <c r="D4114" s="1" t="e">
        <f aca="false" t="array" ref="D4114:D4114">IF(ISBLANK(_xlfn.xlookup(D$3,daily_items,_xlfn.xlookup($C4114,daily_dates,big_daily_table))),NA(),_xlfn.xlookup(D$3,daily_items,_xlfn.xlookup($C4114,daily_dates,big_daily_table)))</f>
        <v>#NAME?</v>
      </c>
      <c r="E4114" s="1" t="e">
        <f aca="false" t="array" ref="E4114:E4114">IF(ISBLANK(_xlfn.xlookup(E$3,daily_items,_xlfn.xlookup($C4114,daily_dates,big_daily_table))),NA(),_xlfn.xlookup(E$3,daily_items,_xlfn.xlookup($C4114,daily_dates,big_daily_table)))</f>
        <v>#NAME?</v>
      </c>
    </row>
    <row r="4115" customFormat="false" ht="14.25" hidden="false" customHeight="false" outlineLevel="0" collapsed="false">
      <c r="B4115" s="7" t="n">
        <v>45020</v>
      </c>
      <c r="C4115" s="7" t="n">
        <f aca="false">B4115-WEEKDAY(B4115)+1</f>
        <v>45018</v>
      </c>
      <c r="D4115" s="1" t="e">
        <f aca="false" t="array" ref="D4115:D4115">IF(ISBLANK(_xlfn.xlookup(D$3,daily_items,_xlfn.xlookup($C4115,daily_dates,big_daily_table))),NA(),_xlfn.xlookup(D$3,daily_items,_xlfn.xlookup($C4115,daily_dates,big_daily_table)))</f>
        <v>#NAME?</v>
      </c>
      <c r="E4115" s="1" t="e">
        <f aca="false" t="array" ref="E4115:E4115">IF(ISBLANK(_xlfn.xlookup(E$3,daily_items,_xlfn.xlookup($C4115,daily_dates,big_daily_table))),NA(),_xlfn.xlookup(E$3,daily_items,_xlfn.xlookup($C4115,daily_dates,big_daily_table)))</f>
        <v>#NAME?</v>
      </c>
    </row>
    <row r="4116" customFormat="false" ht="14.25" hidden="false" customHeight="false" outlineLevel="0" collapsed="false">
      <c r="B4116" s="7" t="n">
        <v>45021</v>
      </c>
      <c r="C4116" s="7" t="n">
        <f aca="false">B4116-WEEKDAY(B4116)+1</f>
        <v>45018</v>
      </c>
      <c r="D4116" s="1" t="e">
        <f aca="false" t="array" ref="D4116:D4116">IF(ISBLANK(_xlfn.xlookup(D$3,daily_items,_xlfn.xlookup($C4116,daily_dates,big_daily_table))),NA(),_xlfn.xlookup(D$3,daily_items,_xlfn.xlookup($C4116,daily_dates,big_daily_table)))</f>
        <v>#NAME?</v>
      </c>
      <c r="E4116" s="1" t="e">
        <f aca="false" t="array" ref="E4116:E4116">IF(ISBLANK(_xlfn.xlookup(E$3,daily_items,_xlfn.xlookup($C4116,daily_dates,big_daily_table))),NA(),_xlfn.xlookup(E$3,daily_items,_xlfn.xlookup($C4116,daily_dates,big_daily_table)))</f>
        <v>#NAME?</v>
      </c>
    </row>
    <row r="4117" customFormat="false" ht="14.25" hidden="false" customHeight="false" outlineLevel="0" collapsed="false">
      <c r="B4117" s="7" t="n">
        <v>45022</v>
      </c>
      <c r="C4117" s="7" t="n">
        <f aca="false">B4117-WEEKDAY(B4117)+1</f>
        <v>45018</v>
      </c>
      <c r="D4117" s="1" t="e">
        <f aca="false" t="array" ref="D4117:D4117">IF(ISBLANK(_xlfn.xlookup(D$3,daily_items,_xlfn.xlookup($C4117,daily_dates,big_daily_table))),NA(),_xlfn.xlookup(D$3,daily_items,_xlfn.xlookup($C4117,daily_dates,big_daily_table)))</f>
        <v>#NAME?</v>
      </c>
      <c r="E4117" s="1" t="e">
        <f aca="false" t="array" ref="E4117:E4117">IF(ISBLANK(_xlfn.xlookup(E$3,daily_items,_xlfn.xlookup($C4117,daily_dates,big_daily_table))),NA(),_xlfn.xlookup(E$3,daily_items,_xlfn.xlookup($C4117,daily_dates,big_daily_table)))</f>
        <v>#NAME?</v>
      </c>
    </row>
    <row r="4118" customFormat="false" ht="14.25" hidden="false" customHeight="false" outlineLevel="0" collapsed="false">
      <c r="B4118" s="7" t="n">
        <v>45023</v>
      </c>
      <c r="C4118" s="7" t="n">
        <f aca="false">B4118-WEEKDAY(B4118)+1</f>
        <v>45018</v>
      </c>
      <c r="D4118" s="1" t="e">
        <f aca="false" t="array" ref="D4118:D4118">IF(ISBLANK(_xlfn.xlookup(D$3,daily_items,_xlfn.xlookup($C4118,daily_dates,big_daily_table))),NA(),_xlfn.xlookup(D$3,daily_items,_xlfn.xlookup($C4118,daily_dates,big_daily_table)))</f>
        <v>#NAME?</v>
      </c>
      <c r="E4118" s="1" t="e">
        <f aca="false" t="array" ref="E4118:E4118">IF(ISBLANK(_xlfn.xlookup(E$3,daily_items,_xlfn.xlookup($C4118,daily_dates,big_daily_table))),NA(),_xlfn.xlookup(E$3,daily_items,_xlfn.xlookup($C4118,daily_dates,big_daily_table)))</f>
        <v>#NAME?</v>
      </c>
    </row>
    <row r="4119" customFormat="false" ht="14.25" hidden="false" customHeight="false" outlineLevel="0" collapsed="false">
      <c r="B4119" s="7" t="n">
        <v>45024</v>
      </c>
      <c r="C4119" s="7" t="n">
        <f aca="false">B4119-WEEKDAY(B4119)+1</f>
        <v>45018</v>
      </c>
      <c r="D4119" s="1" t="e">
        <f aca="false" t="array" ref="D4119:D4119">IF(ISBLANK(_xlfn.xlookup(D$3,daily_items,_xlfn.xlookup($C4119,daily_dates,big_daily_table))),NA(),_xlfn.xlookup(D$3,daily_items,_xlfn.xlookup($C4119,daily_dates,big_daily_table)))</f>
        <v>#NAME?</v>
      </c>
      <c r="E4119" s="1" t="e">
        <f aca="false" t="array" ref="E4119:E4119">IF(ISBLANK(_xlfn.xlookup(E$3,daily_items,_xlfn.xlookup($C4119,daily_dates,big_daily_table))),NA(),_xlfn.xlookup(E$3,daily_items,_xlfn.xlookup($C4119,daily_dates,big_daily_table)))</f>
        <v>#NAME?</v>
      </c>
    </row>
    <row r="4120" customFormat="false" ht="14.25" hidden="false" customHeight="false" outlineLevel="0" collapsed="false">
      <c r="B4120" s="7" t="n">
        <v>45025</v>
      </c>
      <c r="C4120" s="7" t="n">
        <f aca="false">B4120-WEEKDAY(B4120)+1</f>
        <v>45025</v>
      </c>
      <c r="D4120" s="1" t="e">
        <f aca="false" t="array" ref="D4120:D4120">IF(ISBLANK(_xlfn.xlookup(D$3,daily_items,_xlfn.xlookup($C4120,daily_dates,big_daily_table))),NA(),_xlfn.xlookup(D$3,daily_items,_xlfn.xlookup($C4120,daily_dates,big_daily_table)))</f>
        <v>#NAME?</v>
      </c>
      <c r="E4120" s="1" t="e">
        <f aca="false" t="array" ref="E4120:E4120">IF(ISBLANK(_xlfn.xlookup(E$3,daily_items,_xlfn.xlookup($C4120,daily_dates,big_daily_table))),NA(),_xlfn.xlookup(E$3,daily_items,_xlfn.xlookup($C4120,daily_dates,big_daily_table)))</f>
        <v>#NAME?</v>
      </c>
    </row>
    <row r="4121" customFormat="false" ht="14.25" hidden="false" customHeight="false" outlineLevel="0" collapsed="false">
      <c r="B4121" s="7" t="n">
        <v>45026</v>
      </c>
      <c r="C4121" s="7" t="n">
        <f aca="false">B4121-WEEKDAY(B4121)+1</f>
        <v>45025</v>
      </c>
      <c r="D4121" s="1" t="e">
        <f aca="false" t="array" ref="D4121:D4121">IF(ISBLANK(_xlfn.xlookup(D$3,daily_items,_xlfn.xlookup($C4121,daily_dates,big_daily_table))),NA(),_xlfn.xlookup(D$3,daily_items,_xlfn.xlookup($C4121,daily_dates,big_daily_table)))</f>
        <v>#NAME?</v>
      </c>
      <c r="E4121" s="1" t="e">
        <f aca="false" t="array" ref="E4121:E4121">IF(ISBLANK(_xlfn.xlookup(E$3,daily_items,_xlfn.xlookup($C4121,daily_dates,big_daily_table))),NA(),_xlfn.xlookup(E$3,daily_items,_xlfn.xlookup($C4121,daily_dates,big_daily_table)))</f>
        <v>#NAME?</v>
      </c>
    </row>
    <row r="4122" customFormat="false" ht="14.25" hidden="false" customHeight="false" outlineLevel="0" collapsed="false">
      <c r="B4122" s="7" t="n">
        <v>45027</v>
      </c>
      <c r="C4122" s="7" t="n">
        <f aca="false">B4122-WEEKDAY(B4122)+1</f>
        <v>45025</v>
      </c>
      <c r="D4122" s="1" t="e">
        <f aca="false" t="array" ref="D4122:D4122">IF(ISBLANK(_xlfn.xlookup(D$3,daily_items,_xlfn.xlookup($C4122,daily_dates,big_daily_table))),NA(),_xlfn.xlookup(D$3,daily_items,_xlfn.xlookup($C4122,daily_dates,big_daily_table)))</f>
        <v>#NAME?</v>
      </c>
      <c r="E4122" s="1" t="e">
        <f aca="false" t="array" ref="E4122:E4122">IF(ISBLANK(_xlfn.xlookup(E$3,daily_items,_xlfn.xlookup($C4122,daily_dates,big_daily_table))),NA(),_xlfn.xlookup(E$3,daily_items,_xlfn.xlookup($C4122,daily_dates,big_daily_table)))</f>
        <v>#NAME?</v>
      </c>
    </row>
    <row r="4123" customFormat="false" ht="14.25" hidden="false" customHeight="false" outlineLevel="0" collapsed="false">
      <c r="B4123" s="7" t="n">
        <v>45028</v>
      </c>
      <c r="C4123" s="7" t="n">
        <f aca="false">B4123-WEEKDAY(B4123)+1</f>
        <v>45025</v>
      </c>
      <c r="D4123" s="1" t="e">
        <f aca="false" t="array" ref="D4123:D4123">IF(ISBLANK(_xlfn.xlookup(D$3,daily_items,_xlfn.xlookup($C4123,daily_dates,big_daily_table))),NA(),_xlfn.xlookup(D$3,daily_items,_xlfn.xlookup($C4123,daily_dates,big_daily_table)))</f>
        <v>#NAME?</v>
      </c>
      <c r="E4123" s="1" t="e">
        <f aca="false" t="array" ref="E4123:E4123">IF(ISBLANK(_xlfn.xlookup(E$3,daily_items,_xlfn.xlookup($C4123,daily_dates,big_daily_table))),NA(),_xlfn.xlookup(E$3,daily_items,_xlfn.xlookup($C4123,daily_dates,big_daily_table)))</f>
        <v>#NAME?</v>
      </c>
    </row>
    <row r="4124" customFormat="false" ht="14.25" hidden="false" customHeight="false" outlineLevel="0" collapsed="false">
      <c r="B4124" s="7" t="n">
        <v>45029</v>
      </c>
      <c r="C4124" s="7" t="n">
        <f aca="false">B4124-WEEKDAY(B4124)+1</f>
        <v>45025</v>
      </c>
      <c r="D4124" s="1" t="e">
        <f aca="false" t="array" ref="D4124:D4124">IF(ISBLANK(_xlfn.xlookup(D$3,daily_items,_xlfn.xlookup($C4124,daily_dates,big_daily_table))),NA(),_xlfn.xlookup(D$3,daily_items,_xlfn.xlookup($C4124,daily_dates,big_daily_table)))</f>
        <v>#NAME?</v>
      </c>
      <c r="E4124" s="1" t="e">
        <f aca="false" t="array" ref="E4124:E4124">IF(ISBLANK(_xlfn.xlookup(E$3,daily_items,_xlfn.xlookup($C4124,daily_dates,big_daily_table))),NA(),_xlfn.xlookup(E$3,daily_items,_xlfn.xlookup($C4124,daily_dates,big_daily_table)))</f>
        <v>#NAME?</v>
      </c>
    </row>
    <row r="4125" customFormat="false" ht="14.25" hidden="false" customHeight="false" outlineLevel="0" collapsed="false">
      <c r="B4125" s="7" t="n">
        <v>45030</v>
      </c>
      <c r="C4125" s="7" t="n">
        <f aca="false">B4125-WEEKDAY(B4125)+1</f>
        <v>45025</v>
      </c>
      <c r="D4125" s="1" t="e">
        <f aca="false" t="array" ref="D4125:D4125">IF(ISBLANK(_xlfn.xlookup(D$3,daily_items,_xlfn.xlookup($C4125,daily_dates,big_daily_table))),NA(),_xlfn.xlookup(D$3,daily_items,_xlfn.xlookup($C4125,daily_dates,big_daily_table)))</f>
        <v>#NAME?</v>
      </c>
      <c r="E4125" s="1" t="e">
        <f aca="false" t="array" ref="E4125:E4125">IF(ISBLANK(_xlfn.xlookup(E$3,daily_items,_xlfn.xlookup($C4125,daily_dates,big_daily_table))),NA(),_xlfn.xlookup(E$3,daily_items,_xlfn.xlookup($C4125,daily_dates,big_daily_table)))</f>
        <v>#NAME?</v>
      </c>
    </row>
    <row r="4126" customFormat="false" ht="14.25" hidden="false" customHeight="false" outlineLevel="0" collapsed="false">
      <c r="B4126" s="7" t="n">
        <v>45031</v>
      </c>
      <c r="C4126" s="7" t="n">
        <f aca="false">B4126-WEEKDAY(B4126)+1</f>
        <v>45025</v>
      </c>
      <c r="D4126" s="1" t="e">
        <f aca="false" t="array" ref="D4126:D4126">IF(ISBLANK(_xlfn.xlookup(D$3,daily_items,_xlfn.xlookup($C4126,daily_dates,big_daily_table))),NA(),_xlfn.xlookup(D$3,daily_items,_xlfn.xlookup($C4126,daily_dates,big_daily_table)))</f>
        <v>#NAME?</v>
      </c>
      <c r="E4126" s="1" t="e">
        <f aca="false" t="array" ref="E4126:E4126">IF(ISBLANK(_xlfn.xlookup(E$3,daily_items,_xlfn.xlookup($C4126,daily_dates,big_daily_table))),NA(),_xlfn.xlookup(E$3,daily_items,_xlfn.xlookup($C4126,daily_dates,big_daily_table)))</f>
        <v>#NAME?</v>
      </c>
    </row>
    <row r="4127" customFormat="false" ht="14.25" hidden="false" customHeight="false" outlineLevel="0" collapsed="false">
      <c r="B4127" s="7" t="n">
        <v>45032</v>
      </c>
      <c r="C4127" s="7" t="n">
        <f aca="false">B4127-WEEKDAY(B4127)+1</f>
        <v>45032</v>
      </c>
      <c r="D4127" s="1" t="e">
        <f aca="false" t="array" ref="D4127:D4127">IF(ISBLANK(_xlfn.xlookup(D$3,daily_items,_xlfn.xlookup($C4127,daily_dates,big_daily_table))),NA(),_xlfn.xlookup(D$3,daily_items,_xlfn.xlookup($C4127,daily_dates,big_daily_table)))</f>
        <v>#NAME?</v>
      </c>
      <c r="E4127" s="1" t="e">
        <f aca="false" t="array" ref="E4127:E4127">IF(ISBLANK(_xlfn.xlookup(E$3,daily_items,_xlfn.xlookup($C4127,daily_dates,big_daily_table))),NA(),_xlfn.xlookup(E$3,daily_items,_xlfn.xlookup($C4127,daily_dates,big_daily_table)))</f>
        <v>#NAME?</v>
      </c>
    </row>
    <row r="4128" customFormat="false" ht="14.25" hidden="false" customHeight="false" outlineLevel="0" collapsed="false">
      <c r="B4128" s="7" t="n">
        <v>45033</v>
      </c>
      <c r="C4128" s="7" t="n">
        <f aca="false">B4128-WEEKDAY(B4128)+1</f>
        <v>45032</v>
      </c>
      <c r="D4128" s="1" t="e">
        <f aca="false" t="array" ref="D4128:D4128">IF(ISBLANK(_xlfn.xlookup(D$3,daily_items,_xlfn.xlookup($C4128,daily_dates,big_daily_table))),NA(),_xlfn.xlookup(D$3,daily_items,_xlfn.xlookup($C4128,daily_dates,big_daily_table)))</f>
        <v>#NAME?</v>
      </c>
      <c r="E4128" s="1" t="e">
        <f aca="false" t="array" ref="E4128:E4128">IF(ISBLANK(_xlfn.xlookup(E$3,daily_items,_xlfn.xlookup($C4128,daily_dates,big_daily_table))),NA(),_xlfn.xlookup(E$3,daily_items,_xlfn.xlookup($C4128,daily_dates,big_daily_table)))</f>
        <v>#NAME?</v>
      </c>
    </row>
    <row r="4129" customFormat="false" ht="14.25" hidden="false" customHeight="false" outlineLevel="0" collapsed="false">
      <c r="B4129" s="7" t="n">
        <v>45034</v>
      </c>
      <c r="C4129" s="7" t="n">
        <f aca="false">B4129-WEEKDAY(B4129)+1</f>
        <v>45032</v>
      </c>
      <c r="D4129" s="1" t="e">
        <f aca="false" t="array" ref="D4129:D4129">IF(ISBLANK(_xlfn.xlookup(D$3,daily_items,_xlfn.xlookup($C4129,daily_dates,big_daily_table))),NA(),_xlfn.xlookup(D$3,daily_items,_xlfn.xlookup($C4129,daily_dates,big_daily_table)))</f>
        <v>#NAME?</v>
      </c>
      <c r="E4129" s="1" t="e">
        <f aca="false" t="array" ref="E4129:E4129">IF(ISBLANK(_xlfn.xlookup(E$3,daily_items,_xlfn.xlookup($C4129,daily_dates,big_daily_table))),NA(),_xlfn.xlookup(E$3,daily_items,_xlfn.xlookup($C4129,daily_dates,big_daily_table)))</f>
        <v>#NAME?</v>
      </c>
    </row>
    <row r="4130" customFormat="false" ht="14.25" hidden="false" customHeight="false" outlineLevel="0" collapsed="false">
      <c r="B4130" s="7" t="n">
        <v>45035</v>
      </c>
      <c r="C4130" s="7" t="n">
        <f aca="false">B4130-WEEKDAY(B4130)+1</f>
        <v>45032</v>
      </c>
      <c r="D4130" s="1" t="e">
        <f aca="false" t="array" ref="D4130:D4130">IF(ISBLANK(_xlfn.xlookup(D$3,daily_items,_xlfn.xlookup($C4130,daily_dates,big_daily_table))),NA(),_xlfn.xlookup(D$3,daily_items,_xlfn.xlookup($C4130,daily_dates,big_daily_table)))</f>
        <v>#NAME?</v>
      </c>
      <c r="E4130" s="1" t="e">
        <f aca="false" t="array" ref="E4130:E4130">IF(ISBLANK(_xlfn.xlookup(E$3,daily_items,_xlfn.xlookup($C4130,daily_dates,big_daily_table))),NA(),_xlfn.xlookup(E$3,daily_items,_xlfn.xlookup($C4130,daily_dates,big_daily_table)))</f>
        <v>#NAME?</v>
      </c>
    </row>
    <row r="4131" customFormat="false" ht="14.25" hidden="false" customHeight="false" outlineLevel="0" collapsed="false">
      <c r="B4131" s="7" t="n">
        <v>45036</v>
      </c>
      <c r="C4131" s="7" t="n">
        <f aca="false">B4131-WEEKDAY(B4131)+1</f>
        <v>45032</v>
      </c>
      <c r="D4131" s="1" t="e">
        <f aca="false" t="array" ref="D4131:D4131">IF(ISBLANK(_xlfn.xlookup(D$3,daily_items,_xlfn.xlookup($C4131,daily_dates,big_daily_table))),NA(),_xlfn.xlookup(D$3,daily_items,_xlfn.xlookup($C4131,daily_dates,big_daily_table)))</f>
        <v>#NAME?</v>
      </c>
      <c r="E4131" s="1" t="e">
        <f aca="false" t="array" ref="E4131:E4131">IF(ISBLANK(_xlfn.xlookup(E$3,daily_items,_xlfn.xlookup($C4131,daily_dates,big_daily_table))),NA(),_xlfn.xlookup(E$3,daily_items,_xlfn.xlookup($C4131,daily_dates,big_daily_table)))</f>
        <v>#NAME?</v>
      </c>
    </row>
    <row r="4132" customFormat="false" ht="14.25" hidden="false" customHeight="false" outlineLevel="0" collapsed="false">
      <c r="B4132" s="7" t="n">
        <v>45037</v>
      </c>
      <c r="C4132" s="7" t="n">
        <f aca="false">B4132-WEEKDAY(B4132)+1</f>
        <v>45032</v>
      </c>
      <c r="D4132" s="1" t="e">
        <f aca="false" t="array" ref="D4132:D4132">IF(ISBLANK(_xlfn.xlookup(D$3,daily_items,_xlfn.xlookup($C4132,daily_dates,big_daily_table))),NA(),_xlfn.xlookup(D$3,daily_items,_xlfn.xlookup($C4132,daily_dates,big_daily_table)))</f>
        <v>#NAME?</v>
      </c>
      <c r="E4132" s="1" t="e">
        <f aca="false" t="array" ref="E4132:E4132">IF(ISBLANK(_xlfn.xlookup(E$3,daily_items,_xlfn.xlookup($C4132,daily_dates,big_daily_table))),NA(),_xlfn.xlookup(E$3,daily_items,_xlfn.xlookup($C4132,daily_dates,big_daily_table)))</f>
        <v>#NAME?</v>
      </c>
    </row>
    <row r="4133" customFormat="false" ht="14.25" hidden="false" customHeight="false" outlineLevel="0" collapsed="false">
      <c r="B4133" s="7" t="n">
        <v>45038</v>
      </c>
      <c r="C4133" s="7" t="n">
        <f aca="false">B4133-WEEKDAY(B4133)+1</f>
        <v>45032</v>
      </c>
      <c r="D4133" s="1" t="e">
        <f aca="false" t="array" ref="D4133:D4133">IF(ISBLANK(_xlfn.xlookup(D$3,daily_items,_xlfn.xlookup($C4133,daily_dates,big_daily_table))),NA(),_xlfn.xlookup(D$3,daily_items,_xlfn.xlookup($C4133,daily_dates,big_daily_table)))</f>
        <v>#NAME?</v>
      </c>
      <c r="E4133" s="1" t="e">
        <f aca="false" t="array" ref="E4133:E4133">IF(ISBLANK(_xlfn.xlookup(E$3,daily_items,_xlfn.xlookup($C4133,daily_dates,big_daily_table))),NA(),_xlfn.xlookup(E$3,daily_items,_xlfn.xlookup($C4133,daily_dates,big_daily_table)))</f>
        <v>#NAME?</v>
      </c>
    </row>
    <row r="4134" customFormat="false" ht="14.25" hidden="false" customHeight="false" outlineLevel="0" collapsed="false">
      <c r="B4134" s="7" t="n">
        <v>45039</v>
      </c>
      <c r="C4134" s="7" t="n">
        <f aca="false">B4134-WEEKDAY(B4134)+1</f>
        <v>45039</v>
      </c>
      <c r="D4134" s="1" t="e">
        <f aca="false" t="array" ref="D4134:D4134">IF(ISBLANK(_xlfn.xlookup(D$3,daily_items,_xlfn.xlookup($C4134,daily_dates,big_daily_table))),NA(),_xlfn.xlookup(D$3,daily_items,_xlfn.xlookup($C4134,daily_dates,big_daily_table)))</f>
        <v>#NAME?</v>
      </c>
      <c r="E4134" s="1" t="e">
        <f aca="false" t="array" ref="E4134:E4134">IF(ISBLANK(_xlfn.xlookup(E$3,daily_items,_xlfn.xlookup($C4134,daily_dates,big_daily_table))),NA(),_xlfn.xlookup(E$3,daily_items,_xlfn.xlookup($C4134,daily_dates,big_daily_table)))</f>
        <v>#NAME?</v>
      </c>
    </row>
    <row r="4135" customFormat="false" ht="14.25" hidden="false" customHeight="false" outlineLevel="0" collapsed="false">
      <c r="B4135" s="7" t="n">
        <v>45040</v>
      </c>
      <c r="C4135" s="7" t="n">
        <f aca="false">B4135-WEEKDAY(B4135)+1</f>
        <v>45039</v>
      </c>
      <c r="D4135" s="1" t="e">
        <f aca="false" t="array" ref="D4135:D4135">IF(ISBLANK(_xlfn.xlookup(D$3,daily_items,_xlfn.xlookup($C4135,daily_dates,big_daily_table))),NA(),_xlfn.xlookup(D$3,daily_items,_xlfn.xlookup($C4135,daily_dates,big_daily_table)))</f>
        <v>#NAME?</v>
      </c>
      <c r="E4135" s="1" t="e">
        <f aca="false" t="array" ref="E4135:E4135">IF(ISBLANK(_xlfn.xlookup(E$3,daily_items,_xlfn.xlookup($C4135,daily_dates,big_daily_table))),NA(),_xlfn.xlookup(E$3,daily_items,_xlfn.xlookup($C4135,daily_dates,big_daily_table)))</f>
        <v>#NAME?</v>
      </c>
    </row>
    <row r="4136" customFormat="false" ht="14.25" hidden="false" customHeight="false" outlineLevel="0" collapsed="false">
      <c r="B4136" s="7" t="n">
        <v>45041</v>
      </c>
      <c r="C4136" s="7" t="n">
        <f aca="false">B4136-WEEKDAY(B4136)+1</f>
        <v>45039</v>
      </c>
      <c r="D4136" s="1" t="e">
        <f aca="false" t="array" ref="D4136:D4136">IF(ISBLANK(_xlfn.xlookup(D$3,daily_items,_xlfn.xlookup($C4136,daily_dates,big_daily_table))),NA(),_xlfn.xlookup(D$3,daily_items,_xlfn.xlookup($C4136,daily_dates,big_daily_table)))</f>
        <v>#NAME?</v>
      </c>
      <c r="E4136" s="1" t="e">
        <f aca="false" t="array" ref="E4136:E4136">IF(ISBLANK(_xlfn.xlookup(E$3,daily_items,_xlfn.xlookup($C4136,daily_dates,big_daily_table))),NA(),_xlfn.xlookup(E$3,daily_items,_xlfn.xlookup($C4136,daily_dates,big_daily_table)))</f>
        <v>#NAME?</v>
      </c>
    </row>
    <row r="4137" customFormat="false" ht="14.25" hidden="false" customHeight="false" outlineLevel="0" collapsed="false">
      <c r="B4137" s="7" t="n">
        <v>45042</v>
      </c>
      <c r="C4137" s="7" t="n">
        <f aca="false">B4137-WEEKDAY(B4137)+1</f>
        <v>45039</v>
      </c>
      <c r="D4137" s="1" t="e">
        <f aca="false" t="array" ref="D4137:D4137">IF(ISBLANK(_xlfn.xlookup(D$3,daily_items,_xlfn.xlookup($C4137,daily_dates,big_daily_table))),NA(),_xlfn.xlookup(D$3,daily_items,_xlfn.xlookup($C4137,daily_dates,big_daily_table)))</f>
        <v>#NAME?</v>
      </c>
      <c r="E4137" s="1" t="e">
        <f aca="false" t="array" ref="E4137:E4137">IF(ISBLANK(_xlfn.xlookup(E$3,daily_items,_xlfn.xlookup($C4137,daily_dates,big_daily_table))),NA(),_xlfn.xlookup(E$3,daily_items,_xlfn.xlookup($C4137,daily_dates,big_daily_table)))</f>
        <v>#NAME?</v>
      </c>
    </row>
    <row r="4138" customFormat="false" ht="14.25" hidden="false" customHeight="false" outlineLevel="0" collapsed="false">
      <c r="B4138" s="7" t="n">
        <v>45043</v>
      </c>
      <c r="C4138" s="7" t="n">
        <f aca="false">B4138-WEEKDAY(B4138)+1</f>
        <v>45039</v>
      </c>
      <c r="D4138" s="1" t="e">
        <f aca="false" t="array" ref="D4138:D4138">IF(ISBLANK(_xlfn.xlookup(D$3,daily_items,_xlfn.xlookup($C4138,daily_dates,big_daily_table))),NA(),_xlfn.xlookup(D$3,daily_items,_xlfn.xlookup($C4138,daily_dates,big_daily_table)))</f>
        <v>#NAME?</v>
      </c>
      <c r="E4138" s="1" t="e">
        <f aca="false" t="array" ref="E4138:E4138">IF(ISBLANK(_xlfn.xlookup(E$3,daily_items,_xlfn.xlookup($C4138,daily_dates,big_daily_table))),NA(),_xlfn.xlookup(E$3,daily_items,_xlfn.xlookup($C4138,daily_dates,big_daily_table)))</f>
        <v>#NAME?</v>
      </c>
    </row>
    <row r="4139" customFormat="false" ht="14.25" hidden="false" customHeight="false" outlineLevel="0" collapsed="false">
      <c r="B4139" s="7" t="n">
        <v>45044</v>
      </c>
      <c r="C4139" s="7" t="n">
        <f aca="false">B4139-WEEKDAY(B4139)+1</f>
        <v>45039</v>
      </c>
      <c r="D4139" s="1" t="e">
        <f aca="false" t="array" ref="D4139:D4139">IF(ISBLANK(_xlfn.xlookup(D$3,daily_items,_xlfn.xlookup($C4139,daily_dates,big_daily_table))),NA(),_xlfn.xlookup(D$3,daily_items,_xlfn.xlookup($C4139,daily_dates,big_daily_table)))</f>
        <v>#NAME?</v>
      </c>
      <c r="E4139" s="1" t="e">
        <f aca="false" t="array" ref="E4139:E4139">IF(ISBLANK(_xlfn.xlookup(E$3,daily_items,_xlfn.xlookup($C4139,daily_dates,big_daily_table))),NA(),_xlfn.xlookup(E$3,daily_items,_xlfn.xlookup($C4139,daily_dates,big_daily_table)))</f>
        <v>#NAME?</v>
      </c>
    </row>
    <row r="4140" customFormat="false" ht="14.25" hidden="false" customHeight="false" outlineLevel="0" collapsed="false">
      <c r="B4140" s="7" t="n">
        <v>45045</v>
      </c>
      <c r="C4140" s="7" t="n">
        <f aca="false">B4140-WEEKDAY(B4140)+1</f>
        <v>45039</v>
      </c>
      <c r="D4140" s="1" t="e">
        <f aca="false" t="array" ref="D4140:D4140">IF(ISBLANK(_xlfn.xlookup(D$3,daily_items,_xlfn.xlookup($C4140,daily_dates,big_daily_table))),NA(),_xlfn.xlookup(D$3,daily_items,_xlfn.xlookup($C4140,daily_dates,big_daily_table)))</f>
        <v>#NAME?</v>
      </c>
      <c r="E4140" s="1" t="e">
        <f aca="false" t="array" ref="E4140:E4140">IF(ISBLANK(_xlfn.xlookup(E$3,daily_items,_xlfn.xlookup($C4140,daily_dates,big_daily_table))),NA(),_xlfn.xlookup(E$3,daily_items,_xlfn.xlookup($C4140,daily_dates,big_daily_table)))</f>
        <v>#NAME?</v>
      </c>
    </row>
    <row r="4141" customFormat="false" ht="14.25" hidden="false" customHeight="false" outlineLevel="0" collapsed="false">
      <c r="B4141" s="7" t="n">
        <v>45046</v>
      </c>
      <c r="C4141" s="7" t="n">
        <f aca="false">B4141-WEEKDAY(B4141)+1</f>
        <v>45046</v>
      </c>
      <c r="D4141" s="1" t="e">
        <f aca="false" t="array" ref="D4141:D4141">IF(ISBLANK(_xlfn.xlookup(D$3,daily_items,_xlfn.xlookup($C4141,daily_dates,big_daily_table))),NA(),_xlfn.xlookup(D$3,daily_items,_xlfn.xlookup($C4141,daily_dates,big_daily_table)))</f>
        <v>#NAME?</v>
      </c>
      <c r="E4141" s="1" t="e">
        <f aca="false" t="array" ref="E4141:E4141">IF(ISBLANK(_xlfn.xlookup(E$3,daily_items,_xlfn.xlookup($C4141,daily_dates,big_daily_table))),NA(),_xlfn.xlookup(E$3,daily_items,_xlfn.xlookup($C4141,daily_dates,big_daily_table)))</f>
        <v>#NAME?</v>
      </c>
    </row>
    <row r="4142" customFormat="false" ht="14.25" hidden="false" customHeight="false" outlineLevel="0" collapsed="false">
      <c r="B4142" s="7" t="n">
        <v>45047</v>
      </c>
      <c r="C4142" s="7" t="n">
        <f aca="false">B4142-WEEKDAY(B4142)+1</f>
        <v>45046</v>
      </c>
      <c r="D4142" s="1" t="e">
        <f aca="false" t="array" ref="D4142:D4142">IF(ISBLANK(_xlfn.xlookup(D$3,daily_items,_xlfn.xlookup($C4142,daily_dates,big_daily_table))),NA(),_xlfn.xlookup(D$3,daily_items,_xlfn.xlookup($C4142,daily_dates,big_daily_table)))</f>
        <v>#NAME?</v>
      </c>
      <c r="E4142" s="1" t="e">
        <f aca="false" t="array" ref="E4142:E4142">IF(ISBLANK(_xlfn.xlookup(E$3,daily_items,_xlfn.xlookup($C4142,daily_dates,big_daily_table))),NA(),_xlfn.xlookup(E$3,daily_items,_xlfn.xlookup($C4142,daily_dates,big_daily_table)))</f>
        <v>#NAME?</v>
      </c>
    </row>
    <row r="4143" customFormat="false" ht="14.25" hidden="false" customHeight="false" outlineLevel="0" collapsed="false">
      <c r="B4143" s="7" t="n">
        <v>45048</v>
      </c>
      <c r="C4143" s="7" t="n">
        <f aca="false">B4143-WEEKDAY(B4143)+1</f>
        <v>45046</v>
      </c>
      <c r="D4143" s="1" t="e">
        <f aca="false" t="array" ref="D4143:D4143">IF(ISBLANK(_xlfn.xlookup(D$3,daily_items,_xlfn.xlookup($C4143,daily_dates,big_daily_table))),NA(),_xlfn.xlookup(D$3,daily_items,_xlfn.xlookup($C4143,daily_dates,big_daily_table)))</f>
        <v>#NAME?</v>
      </c>
      <c r="E4143" s="1" t="e">
        <f aca="false" t="array" ref="E4143:E4143">IF(ISBLANK(_xlfn.xlookup(E$3,daily_items,_xlfn.xlookup($C4143,daily_dates,big_daily_table))),NA(),_xlfn.xlookup(E$3,daily_items,_xlfn.xlookup($C4143,daily_dates,big_daily_table)))</f>
        <v>#NAME?</v>
      </c>
    </row>
    <row r="4144" customFormat="false" ht="14.25" hidden="false" customHeight="false" outlineLevel="0" collapsed="false">
      <c r="B4144" s="7" t="n">
        <v>45049</v>
      </c>
      <c r="C4144" s="7" t="n">
        <f aca="false">B4144-WEEKDAY(B4144)+1</f>
        <v>45046</v>
      </c>
      <c r="D4144" s="1" t="e">
        <f aca="false" t="array" ref="D4144:D4144">IF(ISBLANK(_xlfn.xlookup(D$3,daily_items,_xlfn.xlookup($C4144,daily_dates,big_daily_table))),NA(),_xlfn.xlookup(D$3,daily_items,_xlfn.xlookup($C4144,daily_dates,big_daily_table)))</f>
        <v>#NAME?</v>
      </c>
      <c r="E4144" s="1" t="e">
        <f aca="false" t="array" ref="E4144:E4144">IF(ISBLANK(_xlfn.xlookup(E$3,daily_items,_xlfn.xlookup($C4144,daily_dates,big_daily_table))),NA(),_xlfn.xlookup(E$3,daily_items,_xlfn.xlookup($C4144,daily_dates,big_daily_table)))</f>
        <v>#NAME?</v>
      </c>
    </row>
    <row r="4145" customFormat="false" ht="14.25" hidden="false" customHeight="false" outlineLevel="0" collapsed="false">
      <c r="B4145" s="7" t="n">
        <v>45050</v>
      </c>
      <c r="C4145" s="7" t="n">
        <f aca="false">B4145-WEEKDAY(B4145)+1</f>
        <v>45046</v>
      </c>
      <c r="D4145" s="1" t="e">
        <f aca="false" t="array" ref="D4145:D4145">IF(ISBLANK(_xlfn.xlookup(D$3,daily_items,_xlfn.xlookup($C4145,daily_dates,big_daily_table))),NA(),_xlfn.xlookup(D$3,daily_items,_xlfn.xlookup($C4145,daily_dates,big_daily_table)))</f>
        <v>#NAME?</v>
      </c>
      <c r="E4145" s="1" t="e">
        <f aca="false" t="array" ref="E4145:E4145">IF(ISBLANK(_xlfn.xlookup(E$3,daily_items,_xlfn.xlookup($C4145,daily_dates,big_daily_table))),NA(),_xlfn.xlookup(E$3,daily_items,_xlfn.xlookup($C4145,daily_dates,big_daily_table)))</f>
        <v>#NAME?</v>
      </c>
    </row>
    <row r="4146" customFormat="false" ht="14.25" hidden="false" customHeight="false" outlineLevel="0" collapsed="false">
      <c r="B4146" s="7" t="n">
        <v>45051</v>
      </c>
      <c r="C4146" s="7" t="n">
        <f aca="false">B4146-WEEKDAY(B4146)+1</f>
        <v>45046</v>
      </c>
      <c r="D4146" s="1" t="e">
        <f aca="false" t="array" ref="D4146:D4146">IF(ISBLANK(_xlfn.xlookup(D$3,daily_items,_xlfn.xlookup($C4146,daily_dates,big_daily_table))),NA(),_xlfn.xlookup(D$3,daily_items,_xlfn.xlookup($C4146,daily_dates,big_daily_table)))</f>
        <v>#NAME?</v>
      </c>
      <c r="E4146" s="1" t="e">
        <f aca="false" t="array" ref="E4146:E4146">IF(ISBLANK(_xlfn.xlookup(E$3,daily_items,_xlfn.xlookup($C4146,daily_dates,big_daily_table))),NA(),_xlfn.xlookup(E$3,daily_items,_xlfn.xlookup($C4146,daily_dates,big_daily_table)))</f>
        <v>#NAME?</v>
      </c>
    </row>
    <row r="4147" customFormat="false" ht="14.25" hidden="false" customHeight="false" outlineLevel="0" collapsed="false">
      <c r="B4147" s="7" t="n">
        <v>45052</v>
      </c>
      <c r="C4147" s="7" t="n">
        <f aca="false">B4147-WEEKDAY(B4147)+1</f>
        <v>45046</v>
      </c>
      <c r="D4147" s="1" t="e">
        <f aca="false" t="array" ref="D4147:D4147">IF(ISBLANK(_xlfn.xlookup(D$3,daily_items,_xlfn.xlookup($C4147,daily_dates,big_daily_table))),NA(),_xlfn.xlookup(D$3,daily_items,_xlfn.xlookup($C4147,daily_dates,big_daily_table)))</f>
        <v>#NAME?</v>
      </c>
      <c r="E4147" s="1" t="e">
        <f aca="false" t="array" ref="E4147:E4147">IF(ISBLANK(_xlfn.xlookup(E$3,daily_items,_xlfn.xlookup($C4147,daily_dates,big_daily_table))),NA(),_xlfn.xlookup(E$3,daily_items,_xlfn.xlookup($C4147,daily_dates,big_daily_table)))</f>
        <v>#NAME?</v>
      </c>
    </row>
    <row r="4148" customFormat="false" ht="14.25" hidden="false" customHeight="false" outlineLevel="0" collapsed="false">
      <c r="B4148" s="7" t="n">
        <v>45053</v>
      </c>
      <c r="C4148" s="7" t="n">
        <f aca="false">B4148-WEEKDAY(B4148)+1</f>
        <v>45053</v>
      </c>
      <c r="D4148" s="1" t="e">
        <f aca="false" t="array" ref="D4148:D4148">IF(ISBLANK(_xlfn.xlookup(D$3,daily_items,_xlfn.xlookup($C4148,daily_dates,big_daily_table))),NA(),_xlfn.xlookup(D$3,daily_items,_xlfn.xlookup($C4148,daily_dates,big_daily_table)))</f>
        <v>#NAME?</v>
      </c>
      <c r="E4148" s="1" t="e">
        <f aca="false" t="array" ref="E4148:E4148">IF(ISBLANK(_xlfn.xlookup(E$3,daily_items,_xlfn.xlookup($C4148,daily_dates,big_daily_table))),NA(),_xlfn.xlookup(E$3,daily_items,_xlfn.xlookup($C4148,daily_dates,big_daily_table)))</f>
        <v>#NAME?</v>
      </c>
    </row>
    <row r="4149" customFormat="false" ht="14.25" hidden="false" customHeight="false" outlineLevel="0" collapsed="false">
      <c r="B4149" s="7" t="n">
        <v>45054</v>
      </c>
      <c r="C4149" s="7" t="n">
        <f aca="false">B4149-WEEKDAY(B4149)+1</f>
        <v>45053</v>
      </c>
      <c r="D4149" s="1" t="e">
        <f aca="false" t="array" ref="D4149:D4149">IF(ISBLANK(_xlfn.xlookup(D$3,daily_items,_xlfn.xlookup($C4149,daily_dates,big_daily_table))),NA(),_xlfn.xlookup(D$3,daily_items,_xlfn.xlookup($C4149,daily_dates,big_daily_table)))</f>
        <v>#NAME?</v>
      </c>
      <c r="E4149" s="1" t="e">
        <f aca="false" t="array" ref="E4149:E4149">IF(ISBLANK(_xlfn.xlookup(E$3,daily_items,_xlfn.xlookup($C4149,daily_dates,big_daily_table))),NA(),_xlfn.xlookup(E$3,daily_items,_xlfn.xlookup($C4149,daily_dates,big_daily_table)))</f>
        <v>#NAME?</v>
      </c>
    </row>
    <row r="4150" customFormat="false" ht="14.25" hidden="false" customHeight="false" outlineLevel="0" collapsed="false">
      <c r="B4150" s="7" t="n">
        <v>45055</v>
      </c>
      <c r="C4150" s="7" t="n">
        <f aca="false">B4150-WEEKDAY(B4150)+1</f>
        <v>45053</v>
      </c>
      <c r="D4150" s="1" t="e">
        <f aca="false" t="array" ref="D4150:D4150">IF(ISBLANK(_xlfn.xlookup(D$3,daily_items,_xlfn.xlookup($C4150,daily_dates,big_daily_table))),NA(),_xlfn.xlookup(D$3,daily_items,_xlfn.xlookup($C4150,daily_dates,big_daily_table)))</f>
        <v>#NAME?</v>
      </c>
      <c r="E4150" s="1" t="e">
        <f aca="false" t="array" ref="E4150:E4150">IF(ISBLANK(_xlfn.xlookup(E$3,daily_items,_xlfn.xlookup($C4150,daily_dates,big_daily_table))),NA(),_xlfn.xlookup(E$3,daily_items,_xlfn.xlookup($C4150,daily_dates,big_daily_table)))</f>
        <v>#NAME?</v>
      </c>
    </row>
    <row r="4151" customFormat="false" ht="14.25" hidden="false" customHeight="false" outlineLevel="0" collapsed="false">
      <c r="B4151" s="7" t="n">
        <v>45056</v>
      </c>
      <c r="C4151" s="7" t="n">
        <f aca="false">B4151-WEEKDAY(B4151)+1</f>
        <v>45053</v>
      </c>
      <c r="D4151" s="1" t="e">
        <f aca="false" t="array" ref="D4151:D4151">IF(ISBLANK(_xlfn.xlookup(D$3,daily_items,_xlfn.xlookup($C4151,daily_dates,big_daily_table))),NA(),_xlfn.xlookup(D$3,daily_items,_xlfn.xlookup($C4151,daily_dates,big_daily_table)))</f>
        <v>#NAME?</v>
      </c>
      <c r="E4151" s="1" t="e">
        <f aca="false" t="array" ref="E4151:E4151">IF(ISBLANK(_xlfn.xlookup(E$3,daily_items,_xlfn.xlookup($C4151,daily_dates,big_daily_table))),NA(),_xlfn.xlookup(E$3,daily_items,_xlfn.xlookup($C4151,daily_dates,big_daily_table)))</f>
        <v>#NAME?</v>
      </c>
    </row>
    <row r="4152" customFormat="false" ht="14.25" hidden="false" customHeight="false" outlineLevel="0" collapsed="false">
      <c r="B4152" s="7" t="n">
        <v>45057</v>
      </c>
      <c r="C4152" s="7" t="n">
        <f aca="false">B4152-WEEKDAY(B4152)+1</f>
        <v>45053</v>
      </c>
      <c r="D4152" s="1" t="e">
        <f aca="false" t="array" ref="D4152:D4152">IF(ISBLANK(_xlfn.xlookup(D$3,daily_items,_xlfn.xlookup($C4152,daily_dates,big_daily_table))),NA(),_xlfn.xlookup(D$3,daily_items,_xlfn.xlookup($C4152,daily_dates,big_daily_table)))</f>
        <v>#NAME?</v>
      </c>
      <c r="E4152" s="1" t="e">
        <f aca="false" t="array" ref="E4152:E4152">IF(ISBLANK(_xlfn.xlookup(E$3,daily_items,_xlfn.xlookup($C4152,daily_dates,big_daily_table))),NA(),_xlfn.xlookup(E$3,daily_items,_xlfn.xlookup($C4152,daily_dates,big_daily_table)))</f>
        <v>#NAME?</v>
      </c>
    </row>
    <row r="4153" customFormat="false" ht="14.25" hidden="false" customHeight="false" outlineLevel="0" collapsed="false">
      <c r="B4153" s="7" t="n">
        <v>45058</v>
      </c>
      <c r="C4153" s="7" t="n">
        <f aca="false">B4153-WEEKDAY(B4153)+1</f>
        <v>45053</v>
      </c>
      <c r="D4153" s="1" t="e">
        <f aca="false" t="array" ref="D4153:D4153">IF(ISBLANK(_xlfn.xlookup(D$3,daily_items,_xlfn.xlookup($C4153,daily_dates,big_daily_table))),NA(),_xlfn.xlookup(D$3,daily_items,_xlfn.xlookup($C4153,daily_dates,big_daily_table)))</f>
        <v>#NAME?</v>
      </c>
      <c r="E4153" s="1" t="e">
        <f aca="false" t="array" ref="E4153:E4153">IF(ISBLANK(_xlfn.xlookup(E$3,daily_items,_xlfn.xlookup($C4153,daily_dates,big_daily_table))),NA(),_xlfn.xlookup(E$3,daily_items,_xlfn.xlookup($C4153,daily_dates,big_daily_table)))</f>
        <v>#NAME?</v>
      </c>
    </row>
    <row r="4154" customFormat="false" ht="14.25" hidden="false" customHeight="false" outlineLevel="0" collapsed="false">
      <c r="B4154" s="7" t="n">
        <v>45059</v>
      </c>
      <c r="C4154" s="7" t="n">
        <f aca="false">B4154-WEEKDAY(B4154)+1</f>
        <v>45053</v>
      </c>
      <c r="D4154" s="1" t="e">
        <f aca="false" t="array" ref="D4154:D4154">IF(ISBLANK(_xlfn.xlookup(D$3,daily_items,_xlfn.xlookup($C4154,daily_dates,big_daily_table))),NA(),_xlfn.xlookup(D$3,daily_items,_xlfn.xlookup($C4154,daily_dates,big_daily_table)))</f>
        <v>#NAME?</v>
      </c>
      <c r="E4154" s="1" t="e">
        <f aca="false" t="array" ref="E4154:E4154">IF(ISBLANK(_xlfn.xlookup(E$3,daily_items,_xlfn.xlookup($C4154,daily_dates,big_daily_table))),NA(),_xlfn.xlookup(E$3,daily_items,_xlfn.xlookup($C4154,daily_dates,big_daily_table)))</f>
        <v>#NAME?</v>
      </c>
    </row>
    <row r="4155" customFormat="false" ht="14.25" hidden="false" customHeight="false" outlineLevel="0" collapsed="false">
      <c r="B4155" s="7" t="n">
        <v>45060</v>
      </c>
      <c r="C4155" s="7" t="n">
        <f aca="false">B4155-WEEKDAY(B4155)+1</f>
        <v>45060</v>
      </c>
      <c r="D4155" s="1" t="e">
        <f aca="false" t="array" ref="D4155:D4155">IF(ISBLANK(_xlfn.xlookup(D$3,daily_items,_xlfn.xlookup($C4155,daily_dates,big_daily_table))),NA(),_xlfn.xlookup(D$3,daily_items,_xlfn.xlookup($C4155,daily_dates,big_daily_table)))</f>
        <v>#NAME?</v>
      </c>
      <c r="E4155" s="1" t="e">
        <f aca="false" t="array" ref="E4155:E4155">IF(ISBLANK(_xlfn.xlookup(E$3,daily_items,_xlfn.xlookup($C4155,daily_dates,big_daily_table))),NA(),_xlfn.xlookup(E$3,daily_items,_xlfn.xlookup($C4155,daily_dates,big_daily_table)))</f>
        <v>#NAME?</v>
      </c>
    </row>
    <row r="4156" customFormat="false" ht="14.25" hidden="false" customHeight="false" outlineLevel="0" collapsed="false">
      <c r="B4156" s="7" t="n">
        <v>45061</v>
      </c>
      <c r="C4156" s="7" t="n">
        <f aca="false">B4156-WEEKDAY(B4156)+1</f>
        <v>45060</v>
      </c>
      <c r="D4156" s="1" t="e">
        <f aca="false" t="array" ref="D4156:D4156">IF(ISBLANK(_xlfn.xlookup(D$3,daily_items,_xlfn.xlookup($C4156,daily_dates,big_daily_table))),NA(),_xlfn.xlookup(D$3,daily_items,_xlfn.xlookup($C4156,daily_dates,big_daily_table)))</f>
        <v>#NAME?</v>
      </c>
      <c r="E4156" s="1" t="e">
        <f aca="false" t="array" ref="E4156:E4156">IF(ISBLANK(_xlfn.xlookup(E$3,daily_items,_xlfn.xlookup($C4156,daily_dates,big_daily_table))),NA(),_xlfn.xlookup(E$3,daily_items,_xlfn.xlookup($C4156,daily_dates,big_daily_table)))</f>
        <v>#NAME?</v>
      </c>
    </row>
    <row r="4157" customFormat="false" ht="14.25" hidden="false" customHeight="false" outlineLevel="0" collapsed="false">
      <c r="B4157" s="7" t="n">
        <v>45062</v>
      </c>
      <c r="C4157" s="7" t="n">
        <f aca="false">B4157-WEEKDAY(B4157)+1</f>
        <v>45060</v>
      </c>
      <c r="D4157" s="1" t="e">
        <f aca="false" t="array" ref="D4157:D4157">IF(ISBLANK(_xlfn.xlookup(D$3,daily_items,_xlfn.xlookup($C4157,daily_dates,big_daily_table))),NA(),_xlfn.xlookup(D$3,daily_items,_xlfn.xlookup($C4157,daily_dates,big_daily_table)))</f>
        <v>#NAME?</v>
      </c>
      <c r="E4157" s="1" t="e">
        <f aca="false" t="array" ref="E4157:E4157">IF(ISBLANK(_xlfn.xlookup(E$3,daily_items,_xlfn.xlookup($C4157,daily_dates,big_daily_table))),NA(),_xlfn.xlookup(E$3,daily_items,_xlfn.xlookup($C4157,daily_dates,big_daily_table)))</f>
        <v>#NAME?</v>
      </c>
    </row>
    <row r="4158" customFormat="false" ht="14.25" hidden="false" customHeight="false" outlineLevel="0" collapsed="false">
      <c r="B4158" s="7" t="n">
        <v>45063</v>
      </c>
      <c r="C4158" s="7" t="n">
        <f aca="false">B4158-WEEKDAY(B4158)+1</f>
        <v>45060</v>
      </c>
      <c r="D4158" s="1" t="e">
        <f aca="false" t="array" ref="D4158:D4158">IF(ISBLANK(_xlfn.xlookup(D$3,daily_items,_xlfn.xlookup($C4158,daily_dates,big_daily_table))),NA(),_xlfn.xlookup(D$3,daily_items,_xlfn.xlookup($C4158,daily_dates,big_daily_table)))</f>
        <v>#NAME?</v>
      </c>
      <c r="E4158" s="1" t="e">
        <f aca="false" t="array" ref="E4158:E4158">IF(ISBLANK(_xlfn.xlookup(E$3,daily_items,_xlfn.xlookup($C4158,daily_dates,big_daily_table))),NA(),_xlfn.xlookup(E$3,daily_items,_xlfn.xlookup($C4158,daily_dates,big_daily_table)))</f>
        <v>#NAME?</v>
      </c>
    </row>
    <row r="4159" customFormat="false" ht="14.25" hidden="false" customHeight="false" outlineLevel="0" collapsed="false">
      <c r="B4159" s="7" t="n">
        <v>45064</v>
      </c>
      <c r="C4159" s="7" t="n">
        <f aca="false">B4159-WEEKDAY(B4159)+1</f>
        <v>45060</v>
      </c>
      <c r="D4159" s="1" t="e">
        <f aca="false" t="array" ref="D4159:D4159">IF(ISBLANK(_xlfn.xlookup(D$3,daily_items,_xlfn.xlookup($C4159,daily_dates,big_daily_table))),NA(),_xlfn.xlookup(D$3,daily_items,_xlfn.xlookup($C4159,daily_dates,big_daily_table)))</f>
        <v>#NAME?</v>
      </c>
      <c r="E4159" s="1" t="e">
        <f aca="false" t="array" ref="E4159:E4159">IF(ISBLANK(_xlfn.xlookup(E$3,daily_items,_xlfn.xlookup($C4159,daily_dates,big_daily_table))),NA(),_xlfn.xlookup(E$3,daily_items,_xlfn.xlookup($C4159,daily_dates,big_daily_table)))</f>
        <v>#NAME?</v>
      </c>
    </row>
    <row r="4160" customFormat="false" ht="14.25" hidden="false" customHeight="false" outlineLevel="0" collapsed="false">
      <c r="B4160" s="7" t="n">
        <v>45065</v>
      </c>
      <c r="C4160" s="7" t="n">
        <f aca="false">B4160-WEEKDAY(B4160)+1</f>
        <v>45060</v>
      </c>
      <c r="D4160" s="1" t="e">
        <f aca="false" t="array" ref="D4160:D4160">IF(ISBLANK(_xlfn.xlookup(D$3,daily_items,_xlfn.xlookup($C4160,daily_dates,big_daily_table))),NA(),_xlfn.xlookup(D$3,daily_items,_xlfn.xlookup($C4160,daily_dates,big_daily_table)))</f>
        <v>#NAME?</v>
      </c>
      <c r="E4160" s="1" t="e">
        <f aca="false" t="array" ref="E4160:E4160">IF(ISBLANK(_xlfn.xlookup(E$3,daily_items,_xlfn.xlookup($C4160,daily_dates,big_daily_table))),NA(),_xlfn.xlookup(E$3,daily_items,_xlfn.xlookup($C4160,daily_dates,big_daily_table)))</f>
        <v>#NAME?</v>
      </c>
    </row>
    <row r="4161" customFormat="false" ht="14.25" hidden="false" customHeight="false" outlineLevel="0" collapsed="false">
      <c r="B4161" s="7" t="n">
        <v>45066</v>
      </c>
      <c r="C4161" s="7" t="n">
        <f aca="false">B4161-WEEKDAY(B4161)+1</f>
        <v>45060</v>
      </c>
      <c r="D4161" s="1" t="e">
        <f aca="false" t="array" ref="D4161:D4161">IF(ISBLANK(_xlfn.xlookup(D$3,daily_items,_xlfn.xlookup($C4161,daily_dates,big_daily_table))),NA(),_xlfn.xlookup(D$3,daily_items,_xlfn.xlookup($C4161,daily_dates,big_daily_table)))</f>
        <v>#NAME?</v>
      </c>
      <c r="E4161" s="1" t="e">
        <f aca="false" t="array" ref="E4161:E4161">IF(ISBLANK(_xlfn.xlookup(E$3,daily_items,_xlfn.xlookup($C4161,daily_dates,big_daily_table))),NA(),_xlfn.xlookup(E$3,daily_items,_xlfn.xlookup($C4161,daily_dates,big_daily_table)))</f>
        <v>#NAME?</v>
      </c>
    </row>
    <row r="4162" customFormat="false" ht="14.25" hidden="false" customHeight="false" outlineLevel="0" collapsed="false">
      <c r="B4162" s="7" t="n">
        <v>45067</v>
      </c>
      <c r="C4162" s="7" t="n">
        <f aca="false">B4162-WEEKDAY(B4162)+1</f>
        <v>45067</v>
      </c>
      <c r="D4162" s="1" t="e">
        <f aca="false" t="array" ref="D4162:D4162">IF(ISBLANK(_xlfn.xlookup(D$3,daily_items,_xlfn.xlookup($C4162,daily_dates,big_daily_table))),NA(),_xlfn.xlookup(D$3,daily_items,_xlfn.xlookup($C4162,daily_dates,big_daily_table)))</f>
        <v>#NAME?</v>
      </c>
      <c r="E4162" s="1" t="e">
        <f aca="false" t="array" ref="E4162:E4162">IF(ISBLANK(_xlfn.xlookup(E$3,daily_items,_xlfn.xlookup($C4162,daily_dates,big_daily_table))),NA(),_xlfn.xlookup(E$3,daily_items,_xlfn.xlookup($C4162,daily_dates,big_daily_table)))</f>
        <v>#NAME?</v>
      </c>
    </row>
    <row r="4163" customFormat="false" ht="14.25" hidden="false" customHeight="false" outlineLevel="0" collapsed="false">
      <c r="B4163" s="7" t="n">
        <v>45068</v>
      </c>
      <c r="C4163" s="7" t="n">
        <f aca="false">B4163-WEEKDAY(B4163)+1</f>
        <v>45067</v>
      </c>
      <c r="D4163" s="1" t="e">
        <f aca="false" t="array" ref="D4163:D4163">IF(ISBLANK(_xlfn.xlookup(D$3,daily_items,_xlfn.xlookup($C4163,daily_dates,big_daily_table))),NA(),_xlfn.xlookup(D$3,daily_items,_xlfn.xlookup($C4163,daily_dates,big_daily_table)))</f>
        <v>#NAME?</v>
      </c>
      <c r="E4163" s="1" t="e">
        <f aca="false" t="array" ref="E4163:E4163">IF(ISBLANK(_xlfn.xlookup(E$3,daily_items,_xlfn.xlookup($C4163,daily_dates,big_daily_table))),NA(),_xlfn.xlookup(E$3,daily_items,_xlfn.xlookup($C4163,daily_dates,big_daily_table)))</f>
        <v>#NAME?</v>
      </c>
    </row>
    <row r="4164" customFormat="false" ht="14.25" hidden="false" customHeight="false" outlineLevel="0" collapsed="false">
      <c r="B4164" s="7" t="n">
        <v>45069</v>
      </c>
      <c r="C4164" s="7" t="n">
        <f aca="false">B4164-WEEKDAY(B4164)+1</f>
        <v>45067</v>
      </c>
      <c r="D4164" s="1" t="e">
        <f aca="false" t="array" ref="D4164:D4164">IF(ISBLANK(_xlfn.xlookup(D$3,daily_items,_xlfn.xlookup($C4164,daily_dates,big_daily_table))),NA(),_xlfn.xlookup(D$3,daily_items,_xlfn.xlookup($C4164,daily_dates,big_daily_table)))</f>
        <v>#NAME?</v>
      </c>
      <c r="E4164" s="1" t="e">
        <f aca="false" t="array" ref="E4164:E4164">IF(ISBLANK(_xlfn.xlookup(E$3,daily_items,_xlfn.xlookup($C4164,daily_dates,big_daily_table))),NA(),_xlfn.xlookup(E$3,daily_items,_xlfn.xlookup($C4164,daily_dates,big_daily_table)))</f>
        <v>#NAME?</v>
      </c>
    </row>
    <row r="4165" customFormat="false" ht="14.25" hidden="false" customHeight="false" outlineLevel="0" collapsed="false">
      <c r="B4165" s="7" t="n">
        <v>45070</v>
      </c>
      <c r="C4165" s="7" t="n">
        <f aca="false">B4165-WEEKDAY(B4165)+1</f>
        <v>45067</v>
      </c>
      <c r="D4165" s="1" t="e">
        <f aca="false" t="array" ref="D4165:D4165">IF(ISBLANK(_xlfn.xlookup(D$3,daily_items,_xlfn.xlookup($C4165,daily_dates,big_daily_table))),NA(),_xlfn.xlookup(D$3,daily_items,_xlfn.xlookup($C4165,daily_dates,big_daily_table)))</f>
        <v>#NAME?</v>
      </c>
      <c r="E4165" s="1" t="e">
        <f aca="false" t="array" ref="E4165:E4165">IF(ISBLANK(_xlfn.xlookup(E$3,daily_items,_xlfn.xlookup($C4165,daily_dates,big_daily_table))),NA(),_xlfn.xlookup(E$3,daily_items,_xlfn.xlookup($C4165,daily_dates,big_daily_table)))</f>
        <v>#NAME?</v>
      </c>
    </row>
    <row r="4166" customFormat="false" ht="14.25" hidden="false" customHeight="false" outlineLevel="0" collapsed="false">
      <c r="B4166" s="7" t="n">
        <v>45071</v>
      </c>
      <c r="C4166" s="7" t="n">
        <f aca="false">B4166-WEEKDAY(B4166)+1</f>
        <v>45067</v>
      </c>
      <c r="D4166" s="1" t="e">
        <f aca="false" t="array" ref="D4166:D4166">IF(ISBLANK(_xlfn.xlookup(D$3,daily_items,_xlfn.xlookup($C4166,daily_dates,big_daily_table))),NA(),_xlfn.xlookup(D$3,daily_items,_xlfn.xlookup($C4166,daily_dates,big_daily_table)))</f>
        <v>#NAME?</v>
      </c>
      <c r="E4166" s="1" t="e">
        <f aca="false" t="array" ref="E4166:E4166">IF(ISBLANK(_xlfn.xlookup(E$3,daily_items,_xlfn.xlookup($C4166,daily_dates,big_daily_table))),NA(),_xlfn.xlookup(E$3,daily_items,_xlfn.xlookup($C4166,daily_dates,big_daily_table)))</f>
        <v>#NAME?</v>
      </c>
    </row>
    <row r="4167" customFormat="false" ht="14.25" hidden="false" customHeight="false" outlineLevel="0" collapsed="false">
      <c r="B4167" s="7" t="n">
        <v>45072</v>
      </c>
      <c r="C4167" s="7" t="n">
        <f aca="false">B4167-WEEKDAY(B4167)+1</f>
        <v>45067</v>
      </c>
      <c r="D4167" s="1" t="e">
        <f aca="false" t="array" ref="D4167:D4167">IF(ISBLANK(_xlfn.xlookup(D$3,daily_items,_xlfn.xlookup($C4167,daily_dates,big_daily_table))),NA(),_xlfn.xlookup(D$3,daily_items,_xlfn.xlookup($C4167,daily_dates,big_daily_table)))</f>
        <v>#NAME?</v>
      </c>
      <c r="E4167" s="1" t="e">
        <f aca="false" t="array" ref="E4167:E4167">IF(ISBLANK(_xlfn.xlookup(E$3,daily_items,_xlfn.xlookup($C4167,daily_dates,big_daily_table))),NA(),_xlfn.xlookup(E$3,daily_items,_xlfn.xlookup($C4167,daily_dates,big_daily_table)))</f>
        <v>#NAME?</v>
      </c>
    </row>
    <row r="4168" customFormat="false" ht="14.25" hidden="false" customHeight="false" outlineLevel="0" collapsed="false">
      <c r="B4168" s="7" t="n">
        <v>45073</v>
      </c>
      <c r="C4168" s="7" t="n">
        <f aca="false">B4168-WEEKDAY(B4168)+1</f>
        <v>45067</v>
      </c>
      <c r="D4168" s="1" t="e">
        <f aca="false" t="array" ref="D4168:D4168">IF(ISBLANK(_xlfn.xlookup(D$3,daily_items,_xlfn.xlookup($C4168,daily_dates,big_daily_table))),NA(),_xlfn.xlookup(D$3,daily_items,_xlfn.xlookup($C4168,daily_dates,big_daily_table)))</f>
        <v>#NAME?</v>
      </c>
      <c r="E4168" s="1" t="e">
        <f aca="false" t="array" ref="E4168:E4168">IF(ISBLANK(_xlfn.xlookup(E$3,daily_items,_xlfn.xlookup($C4168,daily_dates,big_daily_table))),NA(),_xlfn.xlookup(E$3,daily_items,_xlfn.xlookup($C4168,daily_dates,big_daily_table)))</f>
        <v>#NAME?</v>
      </c>
    </row>
    <row r="4169" customFormat="false" ht="14.25" hidden="false" customHeight="false" outlineLevel="0" collapsed="false">
      <c r="B4169" s="7" t="n">
        <v>45074</v>
      </c>
      <c r="C4169" s="7" t="n">
        <f aca="false">B4169-WEEKDAY(B4169)+1</f>
        <v>45074</v>
      </c>
      <c r="D4169" s="1" t="e">
        <f aca="false" t="array" ref="D4169:D4169">IF(ISBLANK(_xlfn.xlookup(D$3,daily_items,_xlfn.xlookup($C4169,daily_dates,big_daily_table))),NA(),_xlfn.xlookup(D$3,daily_items,_xlfn.xlookup($C4169,daily_dates,big_daily_table)))</f>
        <v>#NAME?</v>
      </c>
      <c r="E4169" s="1" t="e">
        <f aca="false" t="array" ref="E4169:E4169">IF(ISBLANK(_xlfn.xlookup(E$3,daily_items,_xlfn.xlookup($C4169,daily_dates,big_daily_table))),NA(),_xlfn.xlookup(E$3,daily_items,_xlfn.xlookup($C4169,daily_dates,big_daily_table)))</f>
        <v>#NAME?</v>
      </c>
    </row>
    <row r="4170" customFormat="false" ht="14.25" hidden="false" customHeight="false" outlineLevel="0" collapsed="false">
      <c r="B4170" s="7" t="n">
        <v>45075</v>
      </c>
      <c r="C4170" s="7" t="n">
        <f aca="false">B4170-WEEKDAY(B4170)+1</f>
        <v>45074</v>
      </c>
      <c r="D4170" s="1" t="e">
        <f aca="false" t="array" ref="D4170:D4170">IF(ISBLANK(_xlfn.xlookup(D$3,daily_items,_xlfn.xlookup($C4170,daily_dates,big_daily_table))),NA(),_xlfn.xlookup(D$3,daily_items,_xlfn.xlookup($C4170,daily_dates,big_daily_table)))</f>
        <v>#NAME?</v>
      </c>
      <c r="E4170" s="1" t="e">
        <f aca="false" t="array" ref="E4170:E4170">IF(ISBLANK(_xlfn.xlookup(E$3,daily_items,_xlfn.xlookup($C4170,daily_dates,big_daily_table))),NA(),_xlfn.xlookup(E$3,daily_items,_xlfn.xlookup($C4170,daily_dates,big_daily_table)))</f>
        <v>#NAME?</v>
      </c>
    </row>
    <row r="4171" customFormat="false" ht="14.25" hidden="false" customHeight="false" outlineLevel="0" collapsed="false">
      <c r="B4171" s="7" t="n">
        <v>45076</v>
      </c>
      <c r="C4171" s="7" t="n">
        <f aca="false">B4171-WEEKDAY(B4171)+1</f>
        <v>45074</v>
      </c>
      <c r="D4171" s="1" t="e">
        <f aca="false" t="array" ref="D4171:D4171">IF(ISBLANK(_xlfn.xlookup(D$3,daily_items,_xlfn.xlookup($C4171,daily_dates,big_daily_table))),NA(),_xlfn.xlookup(D$3,daily_items,_xlfn.xlookup($C4171,daily_dates,big_daily_table)))</f>
        <v>#NAME?</v>
      </c>
      <c r="E4171" s="1" t="e">
        <f aca="false" t="array" ref="E4171:E4171">IF(ISBLANK(_xlfn.xlookup(E$3,daily_items,_xlfn.xlookup($C4171,daily_dates,big_daily_table))),NA(),_xlfn.xlookup(E$3,daily_items,_xlfn.xlookup($C4171,daily_dates,big_daily_table)))</f>
        <v>#NAME?</v>
      </c>
    </row>
    <row r="4172" customFormat="false" ht="14.25" hidden="false" customHeight="false" outlineLevel="0" collapsed="false">
      <c r="B4172" s="7" t="n">
        <v>45077</v>
      </c>
      <c r="C4172" s="7" t="n">
        <f aca="false">B4172-WEEKDAY(B4172)+1</f>
        <v>45074</v>
      </c>
      <c r="D4172" s="1" t="e">
        <f aca="false" t="array" ref="D4172:D4172">IF(ISBLANK(_xlfn.xlookup(D$3,daily_items,_xlfn.xlookup($C4172,daily_dates,big_daily_table))),NA(),_xlfn.xlookup(D$3,daily_items,_xlfn.xlookup($C4172,daily_dates,big_daily_table)))</f>
        <v>#NAME?</v>
      </c>
      <c r="E4172" s="1" t="e">
        <f aca="false" t="array" ref="E4172:E4172">IF(ISBLANK(_xlfn.xlookup(E$3,daily_items,_xlfn.xlookup($C4172,daily_dates,big_daily_table))),NA(),_xlfn.xlookup(E$3,daily_items,_xlfn.xlookup($C4172,daily_dates,big_daily_table)))</f>
        <v>#NAME?</v>
      </c>
    </row>
    <row r="4173" customFormat="false" ht="14.25" hidden="false" customHeight="false" outlineLevel="0" collapsed="false">
      <c r="B4173" s="7" t="n">
        <v>45078</v>
      </c>
      <c r="C4173" s="7" t="n">
        <f aca="false">B4173-WEEKDAY(B4173)+1</f>
        <v>45074</v>
      </c>
      <c r="D4173" s="1" t="e">
        <f aca="false" t="array" ref="D4173:D4173">IF(ISBLANK(_xlfn.xlookup(D$3,daily_items,_xlfn.xlookup($C4173,daily_dates,big_daily_table))),NA(),_xlfn.xlookup(D$3,daily_items,_xlfn.xlookup($C4173,daily_dates,big_daily_table)))</f>
        <v>#NAME?</v>
      </c>
      <c r="E4173" s="1" t="e">
        <f aca="false" t="array" ref="E4173:E4173">IF(ISBLANK(_xlfn.xlookup(E$3,daily_items,_xlfn.xlookup($C4173,daily_dates,big_daily_table))),NA(),_xlfn.xlookup(E$3,daily_items,_xlfn.xlookup($C4173,daily_dates,big_daily_table)))</f>
        <v>#NAME?</v>
      </c>
    </row>
    <row r="4174" customFormat="false" ht="14.25" hidden="false" customHeight="false" outlineLevel="0" collapsed="false">
      <c r="B4174" s="7" t="n">
        <v>45079</v>
      </c>
      <c r="C4174" s="7" t="n">
        <f aca="false">B4174-WEEKDAY(B4174)+1</f>
        <v>45074</v>
      </c>
      <c r="D4174" s="1" t="e">
        <f aca="false" t="array" ref="D4174:D4174">IF(ISBLANK(_xlfn.xlookup(D$3,daily_items,_xlfn.xlookup($C4174,daily_dates,big_daily_table))),NA(),_xlfn.xlookup(D$3,daily_items,_xlfn.xlookup($C4174,daily_dates,big_daily_table)))</f>
        <v>#NAME?</v>
      </c>
      <c r="E4174" s="1" t="e">
        <f aca="false" t="array" ref="E4174:E4174">IF(ISBLANK(_xlfn.xlookup(E$3,daily_items,_xlfn.xlookup($C4174,daily_dates,big_daily_table))),NA(),_xlfn.xlookup(E$3,daily_items,_xlfn.xlookup($C4174,daily_dates,big_daily_table)))</f>
        <v>#NAME?</v>
      </c>
    </row>
    <row r="4175" customFormat="false" ht="14.25" hidden="false" customHeight="false" outlineLevel="0" collapsed="false">
      <c r="B4175" s="7" t="n">
        <v>45080</v>
      </c>
      <c r="C4175" s="7" t="n">
        <f aca="false">B4175-WEEKDAY(B4175)+1</f>
        <v>45074</v>
      </c>
      <c r="D4175" s="1" t="e">
        <f aca="false" t="array" ref="D4175:D4175">IF(ISBLANK(_xlfn.xlookup(D$3,daily_items,_xlfn.xlookup($C4175,daily_dates,big_daily_table))),NA(),_xlfn.xlookup(D$3,daily_items,_xlfn.xlookup($C4175,daily_dates,big_daily_table)))</f>
        <v>#NAME?</v>
      </c>
      <c r="E4175" s="1" t="e">
        <f aca="false" t="array" ref="E4175:E4175">IF(ISBLANK(_xlfn.xlookup(E$3,daily_items,_xlfn.xlookup($C4175,daily_dates,big_daily_table))),NA(),_xlfn.xlookup(E$3,daily_items,_xlfn.xlookup($C4175,daily_dates,big_daily_table)))</f>
        <v>#NAME?</v>
      </c>
    </row>
    <row r="4176" customFormat="false" ht="14.25" hidden="false" customHeight="false" outlineLevel="0" collapsed="false">
      <c r="B4176" s="7" t="n">
        <v>45081</v>
      </c>
      <c r="C4176" s="7" t="n">
        <f aca="false">B4176-WEEKDAY(B4176)+1</f>
        <v>45081</v>
      </c>
      <c r="D4176" s="1" t="e">
        <f aca="false" t="array" ref="D4176:D4176">IF(ISBLANK(_xlfn.xlookup(D$3,daily_items,_xlfn.xlookup($C4176,daily_dates,big_daily_table))),NA(),_xlfn.xlookup(D$3,daily_items,_xlfn.xlookup($C4176,daily_dates,big_daily_table)))</f>
        <v>#NAME?</v>
      </c>
      <c r="E4176" s="1" t="e">
        <f aca="false" t="array" ref="E4176:E4176">IF(ISBLANK(_xlfn.xlookup(E$3,daily_items,_xlfn.xlookup($C4176,daily_dates,big_daily_table))),NA(),_xlfn.xlookup(E$3,daily_items,_xlfn.xlookup($C4176,daily_dates,big_daily_table)))</f>
        <v>#NAME?</v>
      </c>
    </row>
    <row r="4177" customFormat="false" ht="14.25" hidden="false" customHeight="false" outlineLevel="0" collapsed="false">
      <c r="B4177" s="7" t="n">
        <v>45082</v>
      </c>
      <c r="C4177" s="7" t="n">
        <f aca="false">B4177-WEEKDAY(B4177)+1</f>
        <v>45081</v>
      </c>
      <c r="D4177" s="1" t="e">
        <f aca="false" t="array" ref="D4177:D4177">IF(ISBLANK(_xlfn.xlookup(D$3,daily_items,_xlfn.xlookup($C4177,daily_dates,big_daily_table))),NA(),_xlfn.xlookup(D$3,daily_items,_xlfn.xlookup($C4177,daily_dates,big_daily_table)))</f>
        <v>#NAME?</v>
      </c>
      <c r="E4177" s="1" t="e">
        <f aca="false" t="array" ref="E4177:E4177">IF(ISBLANK(_xlfn.xlookup(E$3,daily_items,_xlfn.xlookup($C4177,daily_dates,big_daily_table))),NA(),_xlfn.xlookup(E$3,daily_items,_xlfn.xlookup($C4177,daily_dates,big_daily_table)))</f>
        <v>#NAME?</v>
      </c>
    </row>
    <row r="4178" customFormat="false" ht="14.25" hidden="false" customHeight="false" outlineLevel="0" collapsed="false">
      <c r="B4178" s="7" t="n">
        <v>45083</v>
      </c>
      <c r="C4178" s="7" t="n">
        <f aca="false">B4178-WEEKDAY(B4178)+1</f>
        <v>45081</v>
      </c>
      <c r="D4178" s="1" t="e">
        <f aca="false" t="array" ref="D4178:D4178">IF(ISBLANK(_xlfn.xlookup(D$3,daily_items,_xlfn.xlookup($C4178,daily_dates,big_daily_table))),NA(),_xlfn.xlookup(D$3,daily_items,_xlfn.xlookup($C4178,daily_dates,big_daily_table)))</f>
        <v>#NAME?</v>
      </c>
      <c r="E4178" s="1" t="e">
        <f aca="false" t="array" ref="E4178:E4178">IF(ISBLANK(_xlfn.xlookup(E$3,daily_items,_xlfn.xlookup($C4178,daily_dates,big_daily_table))),NA(),_xlfn.xlookup(E$3,daily_items,_xlfn.xlookup($C4178,daily_dates,big_daily_table)))</f>
        <v>#NAME?</v>
      </c>
    </row>
    <row r="4179" customFormat="false" ht="14.25" hidden="false" customHeight="false" outlineLevel="0" collapsed="false">
      <c r="B4179" s="7" t="n">
        <v>45084</v>
      </c>
      <c r="C4179" s="7" t="n">
        <f aca="false">B4179-WEEKDAY(B4179)+1</f>
        <v>45081</v>
      </c>
      <c r="D4179" s="1" t="e">
        <f aca="false" t="array" ref="D4179:D4179">IF(ISBLANK(_xlfn.xlookup(D$3,daily_items,_xlfn.xlookup($C4179,daily_dates,big_daily_table))),NA(),_xlfn.xlookup(D$3,daily_items,_xlfn.xlookup($C4179,daily_dates,big_daily_table)))</f>
        <v>#NAME?</v>
      </c>
      <c r="E4179" s="1" t="e">
        <f aca="false" t="array" ref="E4179:E4179">IF(ISBLANK(_xlfn.xlookup(E$3,daily_items,_xlfn.xlookup($C4179,daily_dates,big_daily_table))),NA(),_xlfn.xlookup(E$3,daily_items,_xlfn.xlookup($C4179,daily_dates,big_daily_table)))</f>
        <v>#NAME?</v>
      </c>
    </row>
    <row r="4180" customFormat="false" ht="14.25" hidden="false" customHeight="false" outlineLevel="0" collapsed="false">
      <c r="B4180" s="7" t="n">
        <v>45085</v>
      </c>
      <c r="C4180" s="7" t="n">
        <f aca="false">B4180-WEEKDAY(B4180)+1</f>
        <v>45081</v>
      </c>
      <c r="D4180" s="1" t="e">
        <f aca="false" t="array" ref="D4180:D4180">IF(ISBLANK(_xlfn.xlookup(D$3,daily_items,_xlfn.xlookup($C4180,daily_dates,big_daily_table))),NA(),_xlfn.xlookup(D$3,daily_items,_xlfn.xlookup($C4180,daily_dates,big_daily_table)))</f>
        <v>#NAME?</v>
      </c>
      <c r="E4180" s="1" t="e">
        <f aca="false" t="array" ref="E4180:E4180">IF(ISBLANK(_xlfn.xlookup(E$3,daily_items,_xlfn.xlookup($C4180,daily_dates,big_daily_table))),NA(),_xlfn.xlookup(E$3,daily_items,_xlfn.xlookup($C4180,daily_dates,big_daily_table)))</f>
        <v>#NAME?</v>
      </c>
    </row>
    <row r="4181" customFormat="false" ht="14.25" hidden="false" customHeight="false" outlineLevel="0" collapsed="false">
      <c r="B4181" s="7" t="n">
        <v>45086</v>
      </c>
      <c r="C4181" s="7" t="n">
        <f aca="false">B4181-WEEKDAY(B4181)+1</f>
        <v>45081</v>
      </c>
      <c r="D4181" s="1" t="e">
        <f aca="false" t="array" ref="D4181:D4181">IF(ISBLANK(_xlfn.xlookup(D$3,daily_items,_xlfn.xlookup($C4181,daily_dates,big_daily_table))),NA(),_xlfn.xlookup(D$3,daily_items,_xlfn.xlookup($C4181,daily_dates,big_daily_table)))</f>
        <v>#NAME?</v>
      </c>
      <c r="E4181" s="1" t="e">
        <f aca="false" t="array" ref="E4181:E4181">IF(ISBLANK(_xlfn.xlookup(E$3,daily_items,_xlfn.xlookup($C4181,daily_dates,big_daily_table))),NA(),_xlfn.xlookup(E$3,daily_items,_xlfn.xlookup($C4181,daily_dates,big_daily_table)))</f>
        <v>#NAME?</v>
      </c>
    </row>
    <row r="4182" customFormat="false" ht="14.25" hidden="false" customHeight="false" outlineLevel="0" collapsed="false">
      <c r="B4182" s="7" t="n">
        <v>45087</v>
      </c>
      <c r="C4182" s="7" t="n">
        <f aca="false">B4182-WEEKDAY(B4182)+1</f>
        <v>45081</v>
      </c>
      <c r="D4182" s="1" t="e">
        <f aca="false" t="array" ref="D4182:D4182">IF(ISBLANK(_xlfn.xlookup(D$3,daily_items,_xlfn.xlookup($C4182,daily_dates,big_daily_table))),NA(),_xlfn.xlookup(D$3,daily_items,_xlfn.xlookup($C4182,daily_dates,big_daily_table)))</f>
        <v>#NAME?</v>
      </c>
      <c r="E4182" s="1" t="e">
        <f aca="false" t="array" ref="E4182:E4182">IF(ISBLANK(_xlfn.xlookup(E$3,daily_items,_xlfn.xlookup($C4182,daily_dates,big_daily_table))),NA(),_xlfn.xlookup(E$3,daily_items,_xlfn.xlookup($C4182,daily_dates,big_daily_table)))</f>
        <v>#NAME?</v>
      </c>
    </row>
    <row r="4183" customFormat="false" ht="14.25" hidden="false" customHeight="false" outlineLevel="0" collapsed="false">
      <c r="B4183" s="7" t="n">
        <v>45088</v>
      </c>
      <c r="C4183" s="7" t="n">
        <f aca="false">B4183-WEEKDAY(B4183)+1</f>
        <v>45088</v>
      </c>
      <c r="D4183" s="1" t="e">
        <f aca="false" t="array" ref="D4183:D4183">IF(ISBLANK(_xlfn.xlookup(D$3,daily_items,_xlfn.xlookup($C4183,daily_dates,big_daily_table))),NA(),_xlfn.xlookup(D$3,daily_items,_xlfn.xlookup($C4183,daily_dates,big_daily_table)))</f>
        <v>#NAME?</v>
      </c>
      <c r="E4183" s="1" t="e">
        <f aca="false" t="array" ref="E4183:E4183">IF(ISBLANK(_xlfn.xlookup(E$3,daily_items,_xlfn.xlookup($C4183,daily_dates,big_daily_table))),NA(),_xlfn.xlookup(E$3,daily_items,_xlfn.xlookup($C4183,daily_dates,big_daily_table)))</f>
        <v>#NAME?</v>
      </c>
    </row>
    <row r="4184" customFormat="false" ht="14.25" hidden="false" customHeight="false" outlineLevel="0" collapsed="false">
      <c r="B4184" s="7" t="n">
        <v>45089</v>
      </c>
      <c r="C4184" s="7" t="n">
        <f aca="false">B4184-WEEKDAY(B4184)+1</f>
        <v>45088</v>
      </c>
      <c r="D4184" s="1" t="e">
        <f aca="false" t="array" ref="D4184:D4184">IF(ISBLANK(_xlfn.xlookup(D$3,daily_items,_xlfn.xlookup($C4184,daily_dates,big_daily_table))),NA(),_xlfn.xlookup(D$3,daily_items,_xlfn.xlookup($C4184,daily_dates,big_daily_table)))</f>
        <v>#NAME?</v>
      </c>
      <c r="E4184" s="1" t="e">
        <f aca="false" t="array" ref="E4184:E4184">IF(ISBLANK(_xlfn.xlookup(E$3,daily_items,_xlfn.xlookup($C4184,daily_dates,big_daily_table))),NA(),_xlfn.xlookup(E$3,daily_items,_xlfn.xlookup($C4184,daily_dates,big_daily_table)))</f>
        <v>#NAME?</v>
      </c>
    </row>
    <row r="4185" customFormat="false" ht="14.25" hidden="false" customHeight="false" outlineLevel="0" collapsed="false">
      <c r="B4185" s="7" t="n">
        <v>45090</v>
      </c>
      <c r="C4185" s="7" t="n">
        <f aca="false">B4185-WEEKDAY(B4185)+1</f>
        <v>45088</v>
      </c>
      <c r="D4185" s="1" t="e">
        <f aca="false" t="array" ref="D4185:D4185">IF(ISBLANK(_xlfn.xlookup(D$3,daily_items,_xlfn.xlookup($C4185,daily_dates,big_daily_table))),NA(),_xlfn.xlookup(D$3,daily_items,_xlfn.xlookup($C4185,daily_dates,big_daily_table)))</f>
        <v>#NAME?</v>
      </c>
      <c r="E4185" s="1" t="e">
        <f aca="false" t="array" ref="E4185:E4185">IF(ISBLANK(_xlfn.xlookup(E$3,daily_items,_xlfn.xlookup($C4185,daily_dates,big_daily_table))),NA(),_xlfn.xlookup(E$3,daily_items,_xlfn.xlookup($C4185,daily_dates,big_daily_table)))</f>
        <v>#NAME?</v>
      </c>
    </row>
    <row r="4186" customFormat="false" ht="14.25" hidden="false" customHeight="false" outlineLevel="0" collapsed="false">
      <c r="B4186" s="7" t="n">
        <v>45091</v>
      </c>
      <c r="C4186" s="7" t="n">
        <f aca="false">B4186-WEEKDAY(B4186)+1</f>
        <v>45088</v>
      </c>
      <c r="D4186" s="1" t="e">
        <f aca="false" t="array" ref="D4186:D4186">IF(ISBLANK(_xlfn.xlookup(D$3,daily_items,_xlfn.xlookup($C4186,daily_dates,big_daily_table))),NA(),_xlfn.xlookup(D$3,daily_items,_xlfn.xlookup($C4186,daily_dates,big_daily_table)))</f>
        <v>#NAME?</v>
      </c>
      <c r="E4186" s="1" t="e">
        <f aca="false" t="array" ref="E4186:E4186">IF(ISBLANK(_xlfn.xlookup(E$3,daily_items,_xlfn.xlookup($C4186,daily_dates,big_daily_table))),NA(),_xlfn.xlookup(E$3,daily_items,_xlfn.xlookup($C4186,daily_dates,big_daily_table)))</f>
        <v>#NAME?</v>
      </c>
    </row>
    <row r="4187" customFormat="false" ht="14.25" hidden="false" customHeight="false" outlineLevel="0" collapsed="false">
      <c r="B4187" s="7" t="n">
        <v>45092</v>
      </c>
      <c r="C4187" s="7" t="n">
        <f aca="false">B4187-WEEKDAY(B4187)+1</f>
        <v>45088</v>
      </c>
      <c r="D4187" s="1" t="e">
        <f aca="false" t="array" ref="D4187:D4187">IF(ISBLANK(_xlfn.xlookup(D$3,daily_items,_xlfn.xlookup($C4187,daily_dates,big_daily_table))),NA(),_xlfn.xlookup(D$3,daily_items,_xlfn.xlookup($C4187,daily_dates,big_daily_table)))</f>
        <v>#NAME?</v>
      </c>
      <c r="E4187" s="1" t="e">
        <f aca="false" t="array" ref="E4187:E4187">IF(ISBLANK(_xlfn.xlookup(E$3,daily_items,_xlfn.xlookup($C4187,daily_dates,big_daily_table))),NA(),_xlfn.xlookup(E$3,daily_items,_xlfn.xlookup($C4187,daily_dates,big_daily_table)))</f>
        <v>#NAME?</v>
      </c>
    </row>
    <row r="4188" customFormat="false" ht="14.25" hidden="false" customHeight="false" outlineLevel="0" collapsed="false">
      <c r="B4188" s="7" t="n">
        <v>45093</v>
      </c>
      <c r="C4188" s="7" t="n">
        <f aca="false">B4188-WEEKDAY(B4188)+1</f>
        <v>45088</v>
      </c>
      <c r="D4188" s="1" t="e">
        <f aca="false" t="array" ref="D4188:D4188">IF(ISBLANK(_xlfn.xlookup(D$3,daily_items,_xlfn.xlookup($C4188,daily_dates,big_daily_table))),NA(),_xlfn.xlookup(D$3,daily_items,_xlfn.xlookup($C4188,daily_dates,big_daily_table)))</f>
        <v>#NAME?</v>
      </c>
      <c r="E4188" s="1" t="e">
        <f aca="false" t="array" ref="E4188:E4188">IF(ISBLANK(_xlfn.xlookup(E$3,daily_items,_xlfn.xlookup($C4188,daily_dates,big_daily_table))),NA(),_xlfn.xlookup(E$3,daily_items,_xlfn.xlookup($C4188,daily_dates,big_daily_table)))</f>
        <v>#NAME?</v>
      </c>
    </row>
    <row r="4189" customFormat="false" ht="14.25" hidden="false" customHeight="false" outlineLevel="0" collapsed="false">
      <c r="B4189" s="7" t="n">
        <v>45094</v>
      </c>
      <c r="C4189" s="7" t="n">
        <f aca="false">B4189-WEEKDAY(B4189)+1</f>
        <v>45088</v>
      </c>
      <c r="D4189" s="1" t="e">
        <f aca="false" t="array" ref="D4189:D4189">IF(ISBLANK(_xlfn.xlookup(D$3,daily_items,_xlfn.xlookup($C4189,daily_dates,big_daily_table))),NA(),_xlfn.xlookup(D$3,daily_items,_xlfn.xlookup($C4189,daily_dates,big_daily_table)))</f>
        <v>#NAME?</v>
      </c>
      <c r="E4189" s="1" t="e">
        <f aca="false" t="array" ref="E4189:E4189">IF(ISBLANK(_xlfn.xlookup(E$3,daily_items,_xlfn.xlookup($C4189,daily_dates,big_daily_table))),NA(),_xlfn.xlookup(E$3,daily_items,_xlfn.xlookup($C4189,daily_dates,big_daily_table)))</f>
        <v>#NAME?</v>
      </c>
    </row>
    <row r="4190" customFormat="false" ht="14.25" hidden="false" customHeight="false" outlineLevel="0" collapsed="false">
      <c r="B4190" s="7" t="n">
        <v>45095</v>
      </c>
      <c r="C4190" s="7" t="n">
        <f aca="false">B4190-WEEKDAY(B4190)+1</f>
        <v>45095</v>
      </c>
      <c r="D4190" s="1" t="e">
        <f aca="false" t="array" ref="D4190:D4190">IF(ISBLANK(_xlfn.xlookup(D$3,daily_items,_xlfn.xlookup($C4190,daily_dates,big_daily_table))),NA(),_xlfn.xlookup(D$3,daily_items,_xlfn.xlookup($C4190,daily_dates,big_daily_table)))</f>
        <v>#NAME?</v>
      </c>
      <c r="E4190" s="1" t="e">
        <f aca="false" t="array" ref="E4190:E4190">IF(ISBLANK(_xlfn.xlookup(E$3,daily_items,_xlfn.xlookup($C4190,daily_dates,big_daily_table))),NA(),_xlfn.xlookup(E$3,daily_items,_xlfn.xlookup($C4190,daily_dates,big_daily_table)))</f>
        <v>#NAME?</v>
      </c>
    </row>
    <row r="4191" customFormat="false" ht="14.25" hidden="false" customHeight="false" outlineLevel="0" collapsed="false">
      <c r="B4191" s="7" t="n">
        <v>45096</v>
      </c>
      <c r="C4191" s="7" t="n">
        <f aca="false">B4191-WEEKDAY(B4191)+1</f>
        <v>45095</v>
      </c>
      <c r="D4191" s="1" t="e">
        <f aca="false" t="array" ref="D4191:D4191">IF(ISBLANK(_xlfn.xlookup(D$3,daily_items,_xlfn.xlookup($C4191,daily_dates,big_daily_table))),NA(),_xlfn.xlookup(D$3,daily_items,_xlfn.xlookup($C4191,daily_dates,big_daily_table)))</f>
        <v>#NAME?</v>
      </c>
      <c r="E4191" s="1" t="e">
        <f aca="false" t="array" ref="E4191:E4191">IF(ISBLANK(_xlfn.xlookup(E$3,daily_items,_xlfn.xlookup($C4191,daily_dates,big_daily_table))),NA(),_xlfn.xlookup(E$3,daily_items,_xlfn.xlookup($C4191,daily_dates,big_daily_table)))</f>
        <v>#NAME?</v>
      </c>
    </row>
    <row r="4192" customFormat="false" ht="14.25" hidden="false" customHeight="false" outlineLevel="0" collapsed="false">
      <c r="B4192" s="7" t="n">
        <v>45097</v>
      </c>
      <c r="C4192" s="7" t="n">
        <f aca="false">B4192-WEEKDAY(B4192)+1</f>
        <v>45095</v>
      </c>
      <c r="D4192" s="1" t="e">
        <f aca="false" t="array" ref="D4192:D4192">IF(ISBLANK(_xlfn.xlookup(D$3,daily_items,_xlfn.xlookup($C4192,daily_dates,big_daily_table))),NA(),_xlfn.xlookup(D$3,daily_items,_xlfn.xlookup($C4192,daily_dates,big_daily_table)))</f>
        <v>#NAME?</v>
      </c>
      <c r="E4192" s="1" t="e">
        <f aca="false" t="array" ref="E4192:E4192">IF(ISBLANK(_xlfn.xlookup(E$3,daily_items,_xlfn.xlookup($C4192,daily_dates,big_daily_table))),NA(),_xlfn.xlookup(E$3,daily_items,_xlfn.xlookup($C4192,daily_dates,big_daily_table)))</f>
        <v>#NAME?</v>
      </c>
    </row>
    <row r="4193" customFormat="false" ht="14.25" hidden="false" customHeight="false" outlineLevel="0" collapsed="false">
      <c r="B4193" s="7" t="n">
        <v>45098</v>
      </c>
      <c r="C4193" s="7" t="n">
        <f aca="false">B4193-WEEKDAY(B4193)+1</f>
        <v>45095</v>
      </c>
      <c r="D4193" s="1" t="e">
        <f aca="false" t="array" ref="D4193:D4193">IF(ISBLANK(_xlfn.xlookup(D$3,daily_items,_xlfn.xlookup($C4193,daily_dates,big_daily_table))),NA(),_xlfn.xlookup(D$3,daily_items,_xlfn.xlookup($C4193,daily_dates,big_daily_table)))</f>
        <v>#NAME?</v>
      </c>
      <c r="E4193" s="1" t="e">
        <f aca="false" t="array" ref="E4193:E4193">IF(ISBLANK(_xlfn.xlookup(E$3,daily_items,_xlfn.xlookup($C4193,daily_dates,big_daily_table))),NA(),_xlfn.xlookup(E$3,daily_items,_xlfn.xlookup($C4193,daily_dates,big_daily_table)))</f>
        <v>#NAME?</v>
      </c>
    </row>
    <row r="4194" customFormat="false" ht="14.25" hidden="false" customHeight="false" outlineLevel="0" collapsed="false">
      <c r="B4194" s="7" t="n">
        <v>45099</v>
      </c>
      <c r="C4194" s="7" t="n">
        <f aca="false">B4194-WEEKDAY(B4194)+1</f>
        <v>45095</v>
      </c>
      <c r="D4194" s="1" t="e">
        <f aca="false" t="array" ref="D4194:D4194">IF(ISBLANK(_xlfn.xlookup(D$3,daily_items,_xlfn.xlookup($C4194,daily_dates,big_daily_table))),NA(),_xlfn.xlookup(D$3,daily_items,_xlfn.xlookup($C4194,daily_dates,big_daily_table)))</f>
        <v>#NAME?</v>
      </c>
      <c r="E4194" s="1" t="e">
        <f aca="false" t="array" ref="E4194:E4194">IF(ISBLANK(_xlfn.xlookup(E$3,daily_items,_xlfn.xlookup($C4194,daily_dates,big_daily_table))),NA(),_xlfn.xlookup(E$3,daily_items,_xlfn.xlookup($C4194,daily_dates,big_daily_table)))</f>
        <v>#NAME?</v>
      </c>
    </row>
    <row r="4195" customFormat="false" ht="14.25" hidden="false" customHeight="false" outlineLevel="0" collapsed="false">
      <c r="B4195" s="7" t="n">
        <v>45100</v>
      </c>
      <c r="C4195" s="7" t="n">
        <f aca="false">B4195-WEEKDAY(B4195)+1</f>
        <v>45095</v>
      </c>
      <c r="D4195" s="1" t="e">
        <f aca="false" t="array" ref="D4195:D4195">IF(ISBLANK(_xlfn.xlookup(D$3,daily_items,_xlfn.xlookup($C4195,daily_dates,big_daily_table))),NA(),_xlfn.xlookup(D$3,daily_items,_xlfn.xlookup($C4195,daily_dates,big_daily_table)))</f>
        <v>#NAME?</v>
      </c>
      <c r="E4195" s="1" t="e">
        <f aca="false" t="array" ref="E4195:E4195">IF(ISBLANK(_xlfn.xlookup(E$3,daily_items,_xlfn.xlookup($C4195,daily_dates,big_daily_table))),NA(),_xlfn.xlookup(E$3,daily_items,_xlfn.xlookup($C4195,daily_dates,big_daily_table)))</f>
        <v>#NAME?</v>
      </c>
    </row>
    <row r="4196" customFormat="false" ht="14.25" hidden="false" customHeight="false" outlineLevel="0" collapsed="false">
      <c r="B4196" s="7" t="n">
        <v>45101</v>
      </c>
      <c r="C4196" s="7" t="n">
        <f aca="false">B4196-WEEKDAY(B4196)+1</f>
        <v>45095</v>
      </c>
      <c r="D4196" s="1" t="e">
        <f aca="false" t="array" ref="D4196:D4196">IF(ISBLANK(_xlfn.xlookup(D$3,daily_items,_xlfn.xlookup($C4196,daily_dates,big_daily_table))),NA(),_xlfn.xlookup(D$3,daily_items,_xlfn.xlookup($C4196,daily_dates,big_daily_table)))</f>
        <v>#NAME?</v>
      </c>
      <c r="E4196" s="1" t="e">
        <f aca="false" t="array" ref="E4196:E4196">IF(ISBLANK(_xlfn.xlookup(E$3,daily_items,_xlfn.xlookup($C4196,daily_dates,big_daily_table))),NA(),_xlfn.xlookup(E$3,daily_items,_xlfn.xlookup($C4196,daily_dates,big_daily_table)))</f>
        <v>#NAME?</v>
      </c>
    </row>
    <row r="4197" customFormat="false" ht="14.25" hidden="false" customHeight="false" outlineLevel="0" collapsed="false">
      <c r="B4197" s="7" t="n">
        <v>45102</v>
      </c>
      <c r="C4197" s="7" t="n">
        <f aca="false">B4197-WEEKDAY(B4197)+1</f>
        <v>45102</v>
      </c>
      <c r="D4197" s="1" t="e">
        <f aca="false" t="array" ref="D4197:D4197">IF(ISBLANK(_xlfn.xlookup(D$3,daily_items,_xlfn.xlookup($C4197,daily_dates,big_daily_table))),NA(),_xlfn.xlookup(D$3,daily_items,_xlfn.xlookup($C4197,daily_dates,big_daily_table)))</f>
        <v>#NAME?</v>
      </c>
      <c r="E4197" s="1" t="e">
        <f aca="false" t="array" ref="E4197:E4197">IF(ISBLANK(_xlfn.xlookup(E$3,daily_items,_xlfn.xlookup($C4197,daily_dates,big_daily_table))),NA(),_xlfn.xlookup(E$3,daily_items,_xlfn.xlookup($C4197,daily_dates,big_daily_table)))</f>
        <v>#NAME?</v>
      </c>
    </row>
    <row r="4198" customFormat="false" ht="14.25" hidden="false" customHeight="false" outlineLevel="0" collapsed="false">
      <c r="B4198" s="7" t="n">
        <v>45103</v>
      </c>
      <c r="C4198" s="7" t="n">
        <f aca="false">B4198-WEEKDAY(B4198)+1</f>
        <v>45102</v>
      </c>
      <c r="D4198" s="1" t="e">
        <f aca="false" t="array" ref="D4198:D4198">IF(ISBLANK(_xlfn.xlookup(D$3,daily_items,_xlfn.xlookup($C4198,daily_dates,big_daily_table))),NA(),_xlfn.xlookup(D$3,daily_items,_xlfn.xlookup($C4198,daily_dates,big_daily_table)))</f>
        <v>#NAME?</v>
      </c>
      <c r="E4198" s="1" t="e">
        <f aca="false" t="array" ref="E4198:E4198">IF(ISBLANK(_xlfn.xlookup(E$3,daily_items,_xlfn.xlookup($C4198,daily_dates,big_daily_table))),NA(),_xlfn.xlookup(E$3,daily_items,_xlfn.xlookup($C4198,daily_dates,big_daily_table)))</f>
        <v>#NAME?</v>
      </c>
    </row>
    <row r="4199" customFormat="false" ht="14.25" hidden="false" customHeight="false" outlineLevel="0" collapsed="false">
      <c r="B4199" s="7" t="n">
        <v>45104</v>
      </c>
      <c r="C4199" s="7" t="n">
        <f aca="false">B4199-WEEKDAY(B4199)+1</f>
        <v>45102</v>
      </c>
      <c r="D4199" s="1" t="e">
        <f aca="false" t="array" ref="D4199:D4199">IF(ISBLANK(_xlfn.xlookup(D$3,daily_items,_xlfn.xlookup($C4199,daily_dates,big_daily_table))),NA(),_xlfn.xlookup(D$3,daily_items,_xlfn.xlookup($C4199,daily_dates,big_daily_table)))</f>
        <v>#NAME?</v>
      </c>
      <c r="E4199" s="1" t="e">
        <f aca="false" t="array" ref="E4199:E4199">IF(ISBLANK(_xlfn.xlookup(E$3,daily_items,_xlfn.xlookup($C4199,daily_dates,big_daily_table))),NA(),_xlfn.xlookup(E$3,daily_items,_xlfn.xlookup($C4199,daily_dates,big_daily_table)))</f>
        <v>#NAME?</v>
      </c>
    </row>
    <row r="4200" customFormat="false" ht="14.25" hidden="false" customHeight="false" outlineLevel="0" collapsed="false">
      <c r="B4200" s="7" t="n">
        <v>45105</v>
      </c>
      <c r="C4200" s="7" t="n">
        <f aca="false">B4200-WEEKDAY(B4200)+1</f>
        <v>45102</v>
      </c>
      <c r="D4200" s="1" t="e">
        <f aca="false" t="array" ref="D4200:D4200">IF(ISBLANK(_xlfn.xlookup(D$3,daily_items,_xlfn.xlookup($C4200,daily_dates,big_daily_table))),NA(),_xlfn.xlookup(D$3,daily_items,_xlfn.xlookup($C4200,daily_dates,big_daily_table)))</f>
        <v>#NAME?</v>
      </c>
      <c r="E4200" s="1" t="e">
        <f aca="false" t="array" ref="E4200:E4200">IF(ISBLANK(_xlfn.xlookup(E$3,daily_items,_xlfn.xlookup($C4200,daily_dates,big_daily_table))),NA(),_xlfn.xlookup(E$3,daily_items,_xlfn.xlookup($C4200,daily_dates,big_daily_table)))</f>
        <v>#NAME?</v>
      </c>
    </row>
    <row r="4201" customFormat="false" ht="14.25" hidden="false" customHeight="false" outlineLevel="0" collapsed="false">
      <c r="B4201" s="7" t="n">
        <v>45106</v>
      </c>
      <c r="C4201" s="7" t="n">
        <f aca="false">B4201-WEEKDAY(B4201)+1</f>
        <v>45102</v>
      </c>
      <c r="D4201" s="1" t="e">
        <f aca="false" t="array" ref="D4201:D4201">IF(ISBLANK(_xlfn.xlookup(D$3,daily_items,_xlfn.xlookup($C4201,daily_dates,big_daily_table))),NA(),_xlfn.xlookup(D$3,daily_items,_xlfn.xlookup($C4201,daily_dates,big_daily_table)))</f>
        <v>#NAME?</v>
      </c>
      <c r="E4201" s="1" t="e">
        <f aca="false" t="array" ref="E4201:E4201">IF(ISBLANK(_xlfn.xlookup(E$3,daily_items,_xlfn.xlookup($C4201,daily_dates,big_daily_table))),NA(),_xlfn.xlookup(E$3,daily_items,_xlfn.xlookup($C4201,daily_dates,big_daily_table)))</f>
        <v>#NAME?</v>
      </c>
    </row>
    <row r="4202" customFormat="false" ht="14.25" hidden="false" customHeight="false" outlineLevel="0" collapsed="false">
      <c r="B4202" s="7" t="n">
        <v>45107</v>
      </c>
      <c r="C4202" s="7" t="n">
        <f aca="false">B4202-WEEKDAY(B4202)+1</f>
        <v>45102</v>
      </c>
      <c r="D4202" s="1" t="e">
        <f aca="false" t="array" ref="D4202:D4202">IF(ISBLANK(_xlfn.xlookup(D$3,daily_items,_xlfn.xlookup($C4202,daily_dates,big_daily_table))),NA(),_xlfn.xlookup(D$3,daily_items,_xlfn.xlookup($C4202,daily_dates,big_daily_table)))</f>
        <v>#NAME?</v>
      </c>
      <c r="E4202" s="1" t="e">
        <f aca="false" t="array" ref="E4202:E4202">IF(ISBLANK(_xlfn.xlookup(E$3,daily_items,_xlfn.xlookup($C4202,daily_dates,big_daily_table))),NA(),_xlfn.xlookup(E$3,daily_items,_xlfn.xlookup($C4202,daily_dates,big_daily_table)))</f>
        <v>#NAME?</v>
      </c>
    </row>
    <row r="4203" customFormat="false" ht="14.25" hidden="false" customHeight="false" outlineLevel="0" collapsed="false">
      <c r="B4203" s="7" t="n">
        <v>45108</v>
      </c>
      <c r="C4203" s="7" t="n">
        <f aca="false">B4203-WEEKDAY(B4203)+1</f>
        <v>45102</v>
      </c>
      <c r="D4203" s="1" t="e">
        <f aca="false" t="array" ref="D4203:D4203">IF(ISBLANK(_xlfn.xlookup(D$3,daily_items,_xlfn.xlookup($C4203,daily_dates,big_daily_table))),NA(),_xlfn.xlookup(D$3,daily_items,_xlfn.xlookup($C4203,daily_dates,big_daily_table)))</f>
        <v>#NAME?</v>
      </c>
      <c r="E4203" s="1" t="e">
        <f aca="false" t="array" ref="E4203:E4203">IF(ISBLANK(_xlfn.xlookup(E$3,daily_items,_xlfn.xlookup($C4203,daily_dates,big_daily_table))),NA(),_xlfn.xlookup(E$3,daily_items,_xlfn.xlookup($C4203,daily_dates,big_daily_table)))</f>
        <v>#NAME?</v>
      </c>
    </row>
    <row r="4204" customFormat="false" ht="14.25" hidden="false" customHeight="false" outlineLevel="0" collapsed="false">
      <c r="B4204" s="7" t="n">
        <v>45109</v>
      </c>
      <c r="C4204" s="7" t="n">
        <f aca="false">B4204-WEEKDAY(B4204)+1</f>
        <v>45109</v>
      </c>
      <c r="D4204" s="1" t="e">
        <f aca="false" t="array" ref="D4204:D4204">IF(ISBLANK(_xlfn.xlookup(D$3,daily_items,_xlfn.xlookup($C4204,daily_dates,big_daily_table))),NA(),_xlfn.xlookup(D$3,daily_items,_xlfn.xlookup($C4204,daily_dates,big_daily_table)))</f>
        <v>#NAME?</v>
      </c>
      <c r="E4204" s="1" t="e">
        <f aca="false" t="array" ref="E4204:E4204">IF(ISBLANK(_xlfn.xlookup(E$3,daily_items,_xlfn.xlookup($C4204,daily_dates,big_daily_table))),NA(),_xlfn.xlookup(E$3,daily_items,_xlfn.xlookup($C4204,daily_dates,big_daily_table)))</f>
        <v>#NAME?</v>
      </c>
    </row>
    <row r="4205" customFormat="false" ht="14.25" hidden="false" customHeight="false" outlineLevel="0" collapsed="false">
      <c r="B4205" s="7" t="n">
        <v>45110</v>
      </c>
      <c r="C4205" s="7" t="n">
        <f aca="false">B4205-WEEKDAY(B4205)+1</f>
        <v>45109</v>
      </c>
      <c r="D4205" s="1" t="e">
        <f aca="false" t="array" ref="D4205:D4205">IF(ISBLANK(_xlfn.xlookup(D$3,daily_items,_xlfn.xlookup($C4205,daily_dates,big_daily_table))),NA(),_xlfn.xlookup(D$3,daily_items,_xlfn.xlookup($C4205,daily_dates,big_daily_table)))</f>
        <v>#NAME?</v>
      </c>
      <c r="E4205" s="1" t="e">
        <f aca="false" t="array" ref="E4205:E4205">IF(ISBLANK(_xlfn.xlookup(E$3,daily_items,_xlfn.xlookup($C4205,daily_dates,big_daily_table))),NA(),_xlfn.xlookup(E$3,daily_items,_xlfn.xlookup($C4205,daily_dates,big_daily_table)))</f>
        <v>#NAME?</v>
      </c>
    </row>
    <row r="4206" customFormat="false" ht="14.25" hidden="false" customHeight="false" outlineLevel="0" collapsed="false">
      <c r="B4206" s="7" t="n">
        <v>45111</v>
      </c>
      <c r="C4206" s="7" t="n">
        <f aca="false">B4206-WEEKDAY(B4206)+1</f>
        <v>45109</v>
      </c>
      <c r="D4206" s="1" t="e">
        <f aca="false" t="array" ref="D4206:D4206">IF(ISBLANK(_xlfn.xlookup(D$3,daily_items,_xlfn.xlookup($C4206,daily_dates,big_daily_table))),NA(),_xlfn.xlookup(D$3,daily_items,_xlfn.xlookup($C4206,daily_dates,big_daily_table)))</f>
        <v>#NAME?</v>
      </c>
      <c r="E4206" s="1" t="e">
        <f aca="false" t="array" ref="E4206:E4206">IF(ISBLANK(_xlfn.xlookup(E$3,daily_items,_xlfn.xlookup($C4206,daily_dates,big_daily_table))),NA(),_xlfn.xlookup(E$3,daily_items,_xlfn.xlookup($C4206,daily_dates,big_daily_table)))</f>
        <v>#NAME?</v>
      </c>
    </row>
    <row r="4207" customFormat="false" ht="14.25" hidden="false" customHeight="false" outlineLevel="0" collapsed="false">
      <c r="B4207" s="7" t="n">
        <v>45112</v>
      </c>
      <c r="C4207" s="7" t="n">
        <f aca="false">B4207-WEEKDAY(B4207)+1</f>
        <v>45109</v>
      </c>
      <c r="D4207" s="1" t="e">
        <f aca="false" t="array" ref="D4207:D4207">IF(ISBLANK(_xlfn.xlookup(D$3,daily_items,_xlfn.xlookup($C4207,daily_dates,big_daily_table))),NA(),_xlfn.xlookup(D$3,daily_items,_xlfn.xlookup($C4207,daily_dates,big_daily_table)))</f>
        <v>#NAME?</v>
      </c>
      <c r="E4207" s="1" t="e">
        <f aca="false" t="array" ref="E4207:E4207">IF(ISBLANK(_xlfn.xlookup(E$3,daily_items,_xlfn.xlookup($C4207,daily_dates,big_daily_table))),NA(),_xlfn.xlookup(E$3,daily_items,_xlfn.xlookup($C4207,daily_dates,big_daily_table)))</f>
        <v>#NAME?</v>
      </c>
    </row>
    <row r="4208" customFormat="false" ht="14.25" hidden="false" customHeight="false" outlineLevel="0" collapsed="false">
      <c r="B4208" s="7" t="n">
        <v>45113</v>
      </c>
      <c r="C4208" s="7" t="n">
        <f aca="false">B4208-WEEKDAY(B4208)+1</f>
        <v>45109</v>
      </c>
      <c r="D4208" s="1" t="e">
        <f aca="false" t="array" ref="D4208:D4208">IF(ISBLANK(_xlfn.xlookup(D$3,daily_items,_xlfn.xlookup($C4208,daily_dates,big_daily_table))),NA(),_xlfn.xlookup(D$3,daily_items,_xlfn.xlookup($C4208,daily_dates,big_daily_table)))</f>
        <v>#NAME?</v>
      </c>
      <c r="E4208" s="1" t="e">
        <f aca="false" t="array" ref="E4208:E4208">IF(ISBLANK(_xlfn.xlookup(E$3,daily_items,_xlfn.xlookup($C4208,daily_dates,big_daily_table))),NA(),_xlfn.xlookup(E$3,daily_items,_xlfn.xlookup($C4208,daily_dates,big_daily_table)))</f>
        <v>#NAME?</v>
      </c>
    </row>
    <row r="4209" customFormat="false" ht="14.25" hidden="false" customHeight="false" outlineLevel="0" collapsed="false">
      <c r="B4209" s="7" t="n">
        <v>45114</v>
      </c>
      <c r="C4209" s="7" t="n">
        <f aca="false">B4209-WEEKDAY(B4209)+1</f>
        <v>45109</v>
      </c>
      <c r="D4209" s="1" t="e">
        <f aca="false" t="array" ref="D4209:D4209">IF(ISBLANK(_xlfn.xlookup(D$3,daily_items,_xlfn.xlookup($C4209,daily_dates,big_daily_table))),NA(),_xlfn.xlookup(D$3,daily_items,_xlfn.xlookup($C4209,daily_dates,big_daily_table)))</f>
        <v>#NAME?</v>
      </c>
      <c r="E4209" s="1" t="e">
        <f aca="false" t="array" ref="E4209:E4209">IF(ISBLANK(_xlfn.xlookup(E$3,daily_items,_xlfn.xlookup($C4209,daily_dates,big_daily_table))),NA(),_xlfn.xlookup(E$3,daily_items,_xlfn.xlookup($C4209,daily_dates,big_daily_table)))</f>
        <v>#NAME?</v>
      </c>
    </row>
    <row r="4210" customFormat="false" ht="14.25" hidden="false" customHeight="false" outlineLevel="0" collapsed="false">
      <c r="B4210" s="7" t="n">
        <v>45115</v>
      </c>
      <c r="C4210" s="7" t="n">
        <f aca="false">B4210-WEEKDAY(B4210)+1</f>
        <v>45109</v>
      </c>
      <c r="D4210" s="1" t="e">
        <f aca="false" t="array" ref="D4210:D4210">IF(ISBLANK(_xlfn.xlookup(D$3,daily_items,_xlfn.xlookup($C4210,daily_dates,big_daily_table))),NA(),_xlfn.xlookup(D$3,daily_items,_xlfn.xlookup($C4210,daily_dates,big_daily_table)))</f>
        <v>#NAME?</v>
      </c>
      <c r="E4210" s="1" t="e">
        <f aca="false" t="array" ref="E4210:E4210">IF(ISBLANK(_xlfn.xlookup(E$3,daily_items,_xlfn.xlookup($C4210,daily_dates,big_daily_table))),NA(),_xlfn.xlookup(E$3,daily_items,_xlfn.xlookup($C4210,daily_dates,big_daily_table)))</f>
        <v>#NAME?</v>
      </c>
    </row>
    <row r="4211" customFormat="false" ht="14.25" hidden="false" customHeight="false" outlineLevel="0" collapsed="false">
      <c r="B4211" s="7" t="n">
        <v>45116</v>
      </c>
      <c r="C4211" s="7" t="n">
        <f aca="false">B4211-WEEKDAY(B4211)+1</f>
        <v>45116</v>
      </c>
      <c r="D4211" s="1" t="e">
        <f aca="false" t="array" ref="D4211:D4211">IF(ISBLANK(_xlfn.xlookup(D$3,daily_items,_xlfn.xlookup($C4211,daily_dates,big_daily_table))),NA(),_xlfn.xlookup(D$3,daily_items,_xlfn.xlookup($C4211,daily_dates,big_daily_table)))</f>
        <v>#NAME?</v>
      </c>
      <c r="E4211" s="1" t="e">
        <f aca="false" t="array" ref="E4211:E4211">IF(ISBLANK(_xlfn.xlookup(E$3,daily_items,_xlfn.xlookup($C4211,daily_dates,big_daily_table))),NA(),_xlfn.xlookup(E$3,daily_items,_xlfn.xlookup($C4211,daily_dates,big_daily_table)))</f>
        <v>#NAME?</v>
      </c>
    </row>
    <row r="4212" customFormat="false" ht="14.25" hidden="false" customHeight="false" outlineLevel="0" collapsed="false">
      <c r="B4212" s="7" t="n">
        <v>45117</v>
      </c>
      <c r="C4212" s="7" t="n">
        <f aca="false">B4212-WEEKDAY(B4212)+1</f>
        <v>45116</v>
      </c>
      <c r="D4212" s="1" t="e">
        <f aca="false" t="array" ref="D4212:D4212">IF(ISBLANK(_xlfn.xlookup(D$3,daily_items,_xlfn.xlookup($C4212,daily_dates,big_daily_table))),NA(),_xlfn.xlookup(D$3,daily_items,_xlfn.xlookup($C4212,daily_dates,big_daily_table)))</f>
        <v>#NAME?</v>
      </c>
      <c r="E4212" s="1" t="e">
        <f aca="false" t="array" ref="E4212:E4212">IF(ISBLANK(_xlfn.xlookup(E$3,daily_items,_xlfn.xlookup($C4212,daily_dates,big_daily_table))),NA(),_xlfn.xlookup(E$3,daily_items,_xlfn.xlookup($C4212,daily_dates,big_daily_table)))</f>
        <v>#NAME?</v>
      </c>
    </row>
    <row r="4213" customFormat="false" ht="14.25" hidden="false" customHeight="false" outlineLevel="0" collapsed="false">
      <c r="B4213" s="7" t="n">
        <v>45118</v>
      </c>
      <c r="C4213" s="7" t="n">
        <f aca="false">B4213-WEEKDAY(B4213)+1</f>
        <v>45116</v>
      </c>
      <c r="D4213" s="1" t="e">
        <f aca="false" t="array" ref="D4213:D4213">IF(ISBLANK(_xlfn.xlookup(D$3,daily_items,_xlfn.xlookup($C4213,daily_dates,big_daily_table))),NA(),_xlfn.xlookup(D$3,daily_items,_xlfn.xlookup($C4213,daily_dates,big_daily_table)))</f>
        <v>#NAME?</v>
      </c>
      <c r="E4213" s="1" t="e">
        <f aca="false" t="array" ref="E4213:E4213">IF(ISBLANK(_xlfn.xlookup(E$3,daily_items,_xlfn.xlookup($C4213,daily_dates,big_daily_table))),NA(),_xlfn.xlookup(E$3,daily_items,_xlfn.xlookup($C4213,daily_dates,big_daily_table)))</f>
        <v>#NAME?</v>
      </c>
    </row>
    <row r="4214" customFormat="false" ht="14.25" hidden="false" customHeight="false" outlineLevel="0" collapsed="false">
      <c r="B4214" s="7" t="n">
        <v>45119</v>
      </c>
      <c r="C4214" s="7" t="n">
        <f aca="false">B4214-WEEKDAY(B4214)+1</f>
        <v>45116</v>
      </c>
      <c r="D4214" s="1" t="e">
        <f aca="false" t="array" ref="D4214:D4214">IF(ISBLANK(_xlfn.xlookup(D$3,daily_items,_xlfn.xlookup($C4214,daily_dates,big_daily_table))),NA(),_xlfn.xlookup(D$3,daily_items,_xlfn.xlookup($C4214,daily_dates,big_daily_table)))</f>
        <v>#NAME?</v>
      </c>
      <c r="E4214" s="1" t="e">
        <f aca="false" t="array" ref="E4214:E4214">IF(ISBLANK(_xlfn.xlookup(E$3,daily_items,_xlfn.xlookup($C4214,daily_dates,big_daily_table))),NA(),_xlfn.xlookup(E$3,daily_items,_xlfn.xlookup($C4214,daily_dates,big_daily_table)))</f>
        <v>#NAME?</v>
      </c>
    </row>
    <row r="4215" customFormat="false" ht="14.25" hidden="false" customHeight="false" outlineLevel="0" collapsed="false">
      <c r="B4215" s="7" t="n">
        <v>45120</v>
      </c>
      <c r="C4215" s="7" t="n">
        <f aca="false">B4215-WEEKDAY(B4215)+1</f>
        <v>45116</v>
      </c>
      <c r="D4215" s="1" t="e">
        <f aca="false" t="array" ref="D4215:D4215">IF(ISBLANK(_xlfn.xlookup(D$3,daily_items,_xlfn.xlookup($C4215,daily_dates,big_daily_table))),NA(),_xlfn.xlookup(D$3,daily_items,_xlfn.xlookup($C4215,daily_dates,big_daily_table)))</f>
        <v>#NAME?</v>
      </c>
      <c r="E4215" s="1" t="e">
        <f aca="false" t="array" ref="E4215:E4215">IF(ISBLANK(_xlfn.xlookup(E$3,daily_items,_xlfn.xlookup($C4215,daily_dates,big_daily_table))),NA(),_xlfn.xlookup(E$3,daily_items,_xlfn.xlookup($C4215,daily_dates,big_daily_table)))</f>
        <v>#NAME?</v>
      </c>
    </row>
    <row r="4216" customFormat="false" ht="14.25" hidden="false" customHeight="false" outlineLevel="0" collapsed="false">
      <c r="B4216" s="7" t="n">
        <v>45121</v>
      </c>
      <c r="C4216" s="7" t="n">
        <f aca="false">B4216-WEEKDAY(B4216)+1</f>
        <v>45116</v>
      </c>
      <c r="D4216" s="1" t="e">
        <f aca="false" t="array" ref="D4216:D4216">IF(ISBLANK(_xlfn.xlookup(D$3,daily_items,_xlfn.xlookup($C4216,daily_dates,big_daily_table))),NA(),_xlfn.xlookup(D$3,daily_items,_xlfn.xlookup($C4216,daily_dates,big_daily_table)))</f>
        <v>#NAME?</v>
      </c>
      <c r="E4216" s="1" t="e">
        <f aca="false" t="array" ref="E4216:E4216">IF(ISBLANK(_xlfn.xlookup(E$3,daily_items,_xlfn.xlookup($C4216,daily_dates,big_daily_table))),NA(),_xlfn.xlookup(E$3,daily_items,_xlfn.xlookup($C4216,daily_dates,big_daily_table)))</f>
        <v>#NAME?</v>
      </c>
    </row>
    <row r="4217" customFormat="false" ht="14.25" hidden="false" customHeight="false" outlineLevel="0" collapsed="false">
      <c r="B4217" s="7" t="n">
        <v>45122</v>
      </c>
      <c r="C4217" s="7" t="n">
        <f aca="false">B4217-WEEKDAY(B4217)+1</f>
        <v>45116</v>
      </c>
      <c r="D4217" s="1" t="e">
        <f aca="false" t="array" ref="D4217:D4217">IF(ISBLANK(_xlfn.xlookup(D$3,daily_items,_xlfn.xlookup($C4217,daily_dates,big_daily_table))),NA(),_xlfn.xlookup(D$3,daily_items,_xlfn.xlookup($C4217,daily_dates,big_daily_table)))</f>
        <v>#NAME?</v>
      </c>
      <c r="E4217" s="1" t="e">
        <f aca="false" t="array" ref="E4217:E4217">IF(ISBLANK(_xlfn.xlookup(E$3,daily_items,_xlfn.xlookup($C4217,daily_dates,big_daily_table))),NA(),_xlfn.xlookup(E$3,daily_items,_xlfn.xlookup($C4217,daily_dates,big_daily_table)))</f>
        <v>#NAME?</v>
      </c>
    </row>
    <row r="4218" customFormat="false" ht="14.25" hidden="false" customHeight="false" outlineLevel="0" collapsed="false">
      <c r="B4218" s="7" t="n">
        <v>45123</v>
      </c>
      <c r="C4218" s="7" t="n">
        <f aca="false">B4218-WEEKDAY(B4218)+1</f>
        <v>45123</v>
      </c>
      <c r="D4218" s="1" t="e">
        <f aca="false" t="array" ref="D4218:D4218">IF(ISBLANK(_xlfn.xlookup(D$3,daily_items,_xlfn.xlookup($C4218,daily_dates,big_daily_table))),NA(),_xlfn.xlookup(D$3,daily_items,_xlfn.xlookup($C4218,daily_dates,big_daily_table)))</f>
        <v>#NAME?</v>
      </c>
      <c r="E4218" s="1" t="e">
        <f aca="false" t="array" ref="E4218:E4218">IF(ISBLANK(_xlfn.xlookup(E$3,daily_items,_xlfn.xlookup($C4218,daily_dates,big_daily_table))),NA(),_xlfn.xlookup(E$3,daily_items,_xlfn.xlookup($C4218,daily_dates,big_daily_table)))</f>
        <v>#NAME?</v>
      </c>
    </row>
    <row r="4219" customFormat="false" ht="14.25" hidden="false" customHeight="false" outlineLevel="0" collapsed="false">
      <c r="B4219" s="7" t="n">
        <v>45124</v>
      </c>
      <c r="C4219" s="7" t="n">
        <f aca="false">B4219-WEEKDAY(B4219)+1</f>
        <v>45123</v>
      </c>
      <c r="D4219" s="1" t="e">
        <f aca="false" t="array" ref="D4219:D4219">IF(ISBLANK(_xlfn.xlookup(D$3,daily_items,_xlfn.xlookup($C4219,daily_dates,big_daily_table))),NA(),_xlfn.xlookup(D$3,daily_items,_xlfn.xlookup($C4219,daily_dates,big_daily_table)))</f>
        <v>#NAME?</v>
      </c>
      <c r="E4219" s="1" t="e">
        <f aca="false" t="array" ref="E4219:E4219">IF(ISBLANK(_xlfn.xlookup(E$3,daily_items,_xlfn.xlookup($C4219,daily_dates,big_daily_table))),NA(),_xlfn.xlookup(E$3,daily_items,_xlfn.xlookup($C4219,daily_dates,big_daily_table)))</f>
        <v>#NAME?</v>
      </c>
    </row>
    <row r="4220" customFormat="false" ht="14.25" hidden="false" customHeight="false" outlineLevel="0" collapsed="false">
      <c r="B4220" s="7" t="n">
        <v>45125</v>
      </c>
      <c r="C4220" s="7" t="n">
        <f aca="false">B4220-WEEKDAY(B4220)+1</f>
        <v>45123</v>
      </c>
      <c r="D4220" s="1" t="e">
        <f aca="false" t="array" ref="D4220:D4220">IF(ISBLANK(_xlfn.xlookup(D$3,daily_items,_xlfn.xlookup($C4220,daily_dates,big_daily_table))),NA(),_xlfn.xlookup(D$3,daily_items,_xlfn.xlookup($C4220,daily_dates,big_daily_table)))</f>
        <v>#NAME?</v>
      </c>
      <c r="E4220" s="1" t="e">
        <f aca="false" t="array" ref="E4220:E4220">IF(ISBLANK(_xlfn.xlookup(E$3,daily_items,_xlfn.xlookup($C4220,daily_dates,big_daily_table))),NA(),_xlfn.xlookup(E$3,daily_items,_xlfn.xlookup($C4220,daily_dates,big_daily_table)))</f>
        <v>#NAME?</v>
      </c>
    </row>
    <row r="4221" customFormat="false" ht="14.25" hidden="false" customHeight="false" outlineLevel="0" collapsed="false">
      <c r="B4221" s="7" t="n">
        <v>45126</v>
      </c>
      <c r="C4221" s="7" t="n">
        <f aca="false">B4221-WEEKDAY(B4221)+1</f>
        <v>45123</v>
      </c>
      <c r="D4221" s="1" t="e">
        <f aca="false" t="array" ref="D4221:D4221">IF(ISBLANK(_xlfn.xlookup(D$3,daily_items,_xlfn.xlookup($C4221,daily_dates,big_daily_table))),NA(),_xlfn.xlookup(D$3,daily_items,_xlfn.xlookup($C4221,daily_dates,big_daily_table)))</f>
        <v>#NAME?</v>
      </c>
      <c r="E4221" s="1" t="e">
        <f aca="false" t="array" ref="E4221:E4221">IF(ISBLANK(_xlfn.xlookup(E$3,daily_items,_xlfn.xlookup($C4221,daily_dates,big_daily_table))),NA(),_xlfn.xlookup(E$3,daily_items,_xlfn.xlookup($C4221,daily_dates,big_daily_table)))</f>
        <v>#NAME?</v>
      </c>
    </row>
    <row r="4222" customFormat="false" ht="14.25" hidden="false" customHeight="false" outlineLevel="0" collapsed="false">
      <c r="B4222" s="7" t="n">
        <v>45127</v>
      </c>
      <c r="C4222" s="7" t="n">
        <f aca="false">B4222-WEEKDAY(B4222)+1</f>
        <v>45123</v>
      </c>
      <c r="D4222" s="1" t="e">
        <f aca="false" t="array" ref="D4222:D4222">IF(ISBLANK(_xlfn.xlookup(D$3,daily_items,_xlfn.xlookup($C4222,daily_dates,big_daily_table))),NA(),_xlfn.xlookup(D$3,daily_items,_xlfn.xlookup($C4222,daily_dates,big_daily_table)))</f>
        <v>#NAME?</v>
      </c>
      <c r="E4222" s="1" t="e">
        <f aca="false" t="array" ref="E4222:E4222">IF(ISBLANK(_xlfn.xlookup(E$3,daily_items,_xlfn.xlookup($C4222,daily_dates,big_daily_table))),NA(),_xlfn.xlookup(E$3,daily_items,_xlfn.xlookup($C4222,daily_dates,big_daily_table)))</f>
        <v>#NAME?</v>
      </c>
    </row>
    <row r="4223" customFormat="false" ht="14.25" hidden="false" customHeight="false" outlineLevel="0" collapsed="false">
      <c r="B4223" s="7" t="n">
        <v>45128</v>
      </c>
      <c r="C4223" s="7" t="n">
        <f aca="false">B4223-WEEKDAY(B4223)+1</f>
        <v>45123</v>
      </c>
      <c r="D4223" s="1" t="e">
        <f aca="false" t="array" ref="D4223:D4223">IF(ISBLANK(_xlfn.xlookup(D$3,daily_items,_xlfn.xlookup($C4223,daily_dates,big_daily_table))),NA(),_xlfn.xlookup(D$3,daily_items,_xlfn.xlookup($C4223,daily_dates,big_daily_table)))</f>
        <v>#NAME?</v>
      </c>
      <c r="E4223" s="1" t="e">
        <f aca="false" t="array" ref="E4223:E4223">IF(ISBLANK(_xlfn.xlookup(E$3,daily_items,_xlfn.xlookup($C4223,daily_dates,big_daily_table))),NA(),_xlfn.xlookup(E$3,daily_items,_xlfn.xlookup($C4223,daily_dates,big_daily_table)))</f>
        <v>#NAME?</v>
      </c>
    </row>
    <row r="4224" customFormat="false" ht="14.25" hidden="false" customHeight="false" outlineLevel="0" collapsed="false">
      <c r="B4224" s="7" t="n">
        <v>45129</v>
      </c>
      <c r="C4224" s="7" t="n">
        <f aca="false">B4224-WEEKDAY(B4224)+1</f>
        <v>45123</v>
      </c>
      <c r="D4224" s="1" t="e">
        <f aca="false" t="array" ref="D4224:D4224">IF(ISBLANK(_xlfn.xlookup(D$3,daily_items,_xlfn.xlookup($C4224,daily_dates,big_daily_table))),NA(),_xlfn.xlookup(D$3,daily_items,_xlfn.xlookup($C4224,daily_dates,big_daily_table)))</f>
        <v>#NAME?</v>
      </c>
      <c r="E4224" s="1" t="e">
        <f aca="false" t="array" ref="E4224:E4224">IF(ISBLANK(_xlfn.xlookup(E$3,daily_items,_xlfn.xlookup($C4224,daily_dates,big_daily_table))),NA(),_xlfn.xlookup(E$3,daily_items,_xlfn.xlookup($C4224,daily_dates,big_daily_table)))</f>
        <v>#NAME?</v>
      </c>
    </row>
    <row r="4225" customFormat="false" ht="14.25" hidden="false" customHeight="false" outlineLevel="0" collapsed="false">
      <c r="B4225" s="7" t="n">
        <v>45130</v>
      </c>
      <c r="C4225" s="7" t="n">
        <f aca="false">B4225-WEEKDAY(B4225)+1</f>
        <v>45130</v>
      </c>
      <c r="D4225" s="1" t="e">
        <f aca="false" t="array" ref="D4225:D4225">IF(ISBLANK(_xlfn.xlookup(D$3,daily_items,_xlfn.xlookup($C4225,daily_dates,big_daily_table))),NA(),_xlfn.xlookup(D$3,daily_items,_xlfn.xlookup($C4225,daily_dates,big_daily_table)))</f>
        <v>#NAME?</v>
      </c>
      <c r="E4225" s="1" t="e">
        <f aca="false" t="array" ref="E4225:E4225">IF(ISBLANK(_xlfn.xlookup(E$3,daily_items,_xlfn.xlookup($C4225,daily_dates,big_daily_table))),NA(),_xlfn.xlookup(E$3,daily_items,_xlfn.xlookup($C4225,daily_dates,big_daily_table)))</f>
        <v>#NAME?</v>
      </c>
    </row>
    <row r="4226" customFormat="false" ht="14.25" hidden="false" customHeight="false" outlineLevel="0" collapsed="false">
      <c r="B4226" s="7" t="n">
        <v>45131</v>
      </c>
      <c r="C4226" s="7" t="n">
        <f aca="false">B4226-WEEKDAY(B4226)+1</f>
        <v>45130</v>
      </c>
      <c r="D4226" s="1" t="e">
        <f aca="false" t="array" ref="D4226:D4226">IF(ISBLANK(_xlfn.xlookup(D$3,daily_items,_xlfn.xlookup($C4226,daily_dates,big_daily_table))),NA(),_xlfn.xlookup(D$3,daily_items,_xlfn.xlookup($C4226,daily_dates,big_daily_table)))</f>
        <v>#NAME?</v>
      </c>
      <c r="E4226" s="1" t="e">
        <f aca="false" t="array" ref="E4226:E4226">IF(ISBLANK(_xlfn.xlookup(E$3,daily_items,_xlfn.xlookup($C4226,daily_dates,big_daily_table))),NA(),_xlfn.xlookup(E$3,daily_items,_xlfn.xlookup($C4226,daily_dates,big_daily_table)))</f>
        <v>#NAME?</v>
      </c>
    </row>
    <row r="4227" customFormat="false" ht="14.25" hidden="false" customHeight="false" outlineLevel="0" collapsed="false">
      <c r="B4227" s="7" t="n">
        <v>45132</v>
      </c>
      <c r="C4227" s="7" t="n">
        <f aca="false">B4227-WEEKDAY(B4227)+1</f>
        <v>45130</v>
      </c>
      <c r="D4227" s="1" t="e">
        <f aca="false" t="array" ref="D4227:D4227">IF(ISBLANK(_xlfn.xlookup(D$3,daily_items,_xlfn.xlookup($C4227,daily_dates,big_daily_table))),NA(),_xlfn.xlookup(D$3,daily_items,_xlfn.xlookup($C4227,daily_dates,big_daily_table)))</f>
        <v>#NAME?</v>
      </c>
      <c r="E4227" s="1" t="e">
        <f aca="false" t="array" ref="E4227:E4227">IF(ISBLANK(_xlfn.xlookup(E$3,daily_items,_xlfn.xlookup($C4227,daily_dates,big_daily_table))),NA(),_xlfn.xlookup(E$3,daily_items,_xlfn.xlookup($C4227,daily_dates,big_daily_table)))</f>
        <v>#NAME?</v>
      </c>
    </row>
    <row r="4228" customFormat="false" ht="14.25" hidden="false" customHeight="false" outlineLevel="0" collapsed="false">
      <c r="B4228" s="7" t="n">
        <v>45133</v>
      </c>
      <c r="C4228" s="7" t="n">
        <f aca="false">B4228-WEEKDAY(B4228)+1</f>
        <v>45130</v>
      </c>
      <c r="D4228" s="1" t="e">
        <f aca="false" t="array" ref="D4228:D4228">IF(ISBLANK(_xlfn.xlookup(D$3,daily_items,_xlfn.xlookup($C4228,daily_dates,big_daily_table))),NA(),_xlfn.xlookup(D$3,daily_items,_xlfn.xlookup($C4228,daily_dates,big_daily_table)))</f>
        <v>#NAME?</v>
      </c>
      <c r="E4228" s="1" t="e">
        <f aca="false" t="array" ref="E4228:E4228">IF(ISBLANK(_xlfn.xlookup(E$3,daily_items,_xlfn.xlookup($C4228,daily_dates,big_daily_table))),NA(),_xlfn.xlookup(E$3,daily_items,_xlfn.xlookup($C4228,daily_dates,big_daily_table)))</f>
        <v>#NAME?</v>
      </c>
    </row>
    <row r="4229" customFormat="false" ht="14.25" hidden="false" customHeight="false" outlineLevel="0" collapsed="false">
      <c r="B4229" s="7" t="n">
        <v>45134</v>
      </c>
      <c r="C4229" s="7" t="n">
        <f aca="false">B4229-WEEKDAY(B4229)+1</f>
        <v>45130</v>
      </c>
      <c r="D4229" s="1" t="e">
        <f aca="false" t="array" ref="D4229:D4229">IF(ISBLANK(_xlfn.xlookup(D$3,daily_items,_xlfn.xlookup($C4229,daily_dates,big_daily_table))),NA(),_xlfn.xlookup(D$3,daily_items,_xlfn.xlookup($C4229,daily_dates,big_daily_table)))</f>
        <v>#NAME?</v>
      </c>
      <c r="E4229" s="1" t="e">
        <f aca="false" t="array" ref="E4229:E4229">IF(ISBLANK(_xlfn.xlookup(E$3,daily_items,_xlfn.xlookup($C4229,daily_dates,big_daily_table))),NA(),_xlfn.xlookup(E$3,daily_items,_xlfn.xlookup($C4229,daily_dates,big_daily_table)))</f>
        <v>#NAME?</v>
      </c>
    </row>
    <row r="4230" customFormat="false" ht="14.25" hidden="false" customHeight="false" outlineLevel="0" collapsed="false">
      <c r="B4230" s="7" t="n">
        <v>45135</v>
      </c>
      <c r="C4230" s="7" t="n">
        <f aca="false">B4230-WEEKDAY(B4230)+1</f>
        <v>45130</v>
      </c>
      <c r="D4230" s="1" t="e">
        <f aca="false" t="array" ref="D4230:D4230">IF(ISBLANK(_xlfn.xlookup(D$3,daily_items,_xlfn.xlookup($C4230,daily_dates,big_daily_table))),NA(),_xlfn.xlookup(D$3,daily_items,_xlfn.xlookup($C4230,daily_dates,big_daily_table)))</f>
        <v>#NAME?</v>
      </c>
      <c r="E4230" s="1" t="e">
        <f aca="false" t="array" ref="E4230:E4230">IF(ISBLANK(_xlfn.xlookup(E$3,daily_items,_xlfn.xlookup($C4230,daily_dates,big_daily_table))),NA(),_xlfn.xlookup(E$3,daily_items,_xlfn.xlookup($C4230,daily_dates,big_daily_table)))</f>
        <v>#NAME?</v>
      </c>
    </row>
    <row r="4231" customFormat="false" ht="14.25" hidden="false" customHeight="false" outlineLevel="0" collapsed="false">
      <c r="B4231" s="7" t="n">
        <v>45136</v>
      </c>
      <c r="C4231" s="7" t="n">
        <f aca="false">B4231-WEEKDAY(B4231)+1</f>
        <v>45130</v>
      </c>
      <c r="D4231" s="1" t="e">
        <f aca="false" t="array" ref="D4231:D4231">IF(ISBLANK(_xlfn.xlookup(D$3,daily_items,_xlfn.xlookup($C4231,daily_dates,big_daily_table))),NA(),_xlfn.xlookup(D$3,daily_items,_xlfn.xlookup($C4231,daily_dates,big_daily_table)))</f>
        <v>#NAME?</v>
      </c>
      <c r="E4231" s="1" t="e">
        <f aca="false" t="array" ref="E4231:E4231">IF(ISBLANK(_xlfn.xlookup(E$3,daily_items,_xlfn.xlookup($C4231,daily_dates,big_daily_table))),NA(),_xlfn.xlookup(E$3,daily_items,_xlfn.xlookup($C4231,daily_dates,big_daily_table)))</f>
        <v>#NAME?</v>
      </c>
    </row>
    <row r="4232" customFormat="false" ht="14.25" hidden="false" customHeight="false" outlineLevel="0" collapsed="false">
      <c r="B4232" s="7" t="n">
        <v>45137</v>
      </c>
      <c r="C4232" s="7" t="n">
        <f aca="false">B4232-WEEKDAY(B4232)+1</f>
        <v>45137</v>
      </c>
      <c r="D4232" s="1" t="e">
        <f aca="false" t="array" ref="D4232:D4232">IF(ISBLANK(_xlfn.xlookup(D$3,daily_items,_xlfn.xlookup($C4232,daily_dates,big_daily_table))),NA(),_xlfn.xlookup(D$3,daily_items,_xlfn.xlookup($C4232,daily_dates,big_daily_table)))</f>
        <v>#NAME?</v>
      </c>
      <c r="E4232" s="1" t="e">
        <f aca="false" t="array" ref="E4232:E4232">IF(ISBLANK(_xlfn.xlookup(E$3,daily_items,_xlfn.xlookup($C4232,daily_dates,big_daily_table))),NA(),_xlfn.xlookup(E$3,daily_items,_xlfn.xlookup($C4232,daily_dates,big_daily_table)))</f>
        <v>#NAME?</v>
      </c>
    </row>
    <row r="4233" customFormat="false" ht="14.25" hidden="false" customHeight="false" outlineLevel="0" collapsed="false">
      <c r="B4233" s="7" t="n">
        <v>45138</v>
      </c>
      <c r="C4233" s="7" t="n">
        <f aca="false">B4233-WEEKDAY(B4233)+1</f>
        <v>45137</v>
      </c>
      <c r="D4233" s="1" t="e">
        <f aca="false" t="array" ref="D4233:D4233">IF(ISBLANK(_xlfn.xlookup(D$3,daily_items,_xlfn.xlookup($C4233,daily_dates,big_daily_table))),NA(),_xlfn.xlookup(D$3,daily_items,_xlfn.xlookup($C4233,daily_dates,big_daily_table)))</f>
        <v>#NAME?</v>
      </c>
      <c r="E4233" s="1" t="e">
        <f aca="false" t="array" ref="E4233:E4233">IF(ISBLANK(_xlfn.xlookup(E$3,daily_items,_xlfn.xlookup($C4233,daily_dates,big_daily_table))),NA(),_xlfn.xlookup(E$3,daily_items,_xlfn.xlookup($C4233,daily_dates,big_daily_table)))</f>
        <v>#NAME?</v>
      </c>
    </row>
    <row r="4234" customFormat="false" ht="14.25" hidden="false" customHeight="false" outlineLevel="0" collapsed="false">
      <c r="B4234" s="7" t="n">
        <v>45139</v>
      </c>
      <c r="C4234" s="7" t="n">
        <f aca="false">B4234-WEEKDAY(B4234)+1</f>
        <v>45137</v>
      </c>
      <c r="D4234" s="1" t="e">
        <f aca="false" t="array" ref="D4234:D4234">IF(ISBLANK(_xlfn.xlookup(D$3,daily_items,_xlfn.xlookup($C4234,daily_dates,big_daily_table))),NA(),_xlfn.xlookup(D$3,daily_items,_xlfn.xlookup($C4234,daily_dates,big_daily_table)))</f>
        <v>#NAME?</v>
      </c>
      <c r="E4234" s="1" t="e">
        <f aca="false" t="array" ref="E4234:E4234">IF(ISBLANK(_xlfn.xlookup(E$3,daily_items,_xlfn.xlookup($C4234,daily_dates,big_daily_table))),NA(),_xlfn.xlookup(E$3,daily_items,_xlfn.xlookup($C4234,daily_dates,big_daily_table)))</f>
        <v>#NAME?</v>
      </c>
    </row>
    <row r="4235" customFormat="false" ht="14.25" hidden="false" customHeight="false" outlineLevel="0" collapsed="false">
      <c r="B4235" s="7" t="n">
        <v>45140</v>
      </c>
      <c r="C4235" s="7" t="n">
        <f aca="false">B4235-WEEKDAY(B4235)+1</f>
        <v>45137</v>
      </c>
      <c r="D4235" s="1" t="e">
        <f aca="false" t="array" ref="D4235:D4235">IF(ISBLANK(_xlfn.xlookup(D$3,daily_items,_xlfn.xlookup($C4235,daily_dates,big_daily_table))),NA(),_xlfn.xlookup(D$3,daily_items,_xlfn.xlookup($C4235,daily_dates,big_daily_table)))</f>
        <v>#NAME?</v>
      </c>
      <c r="E4235" s="1" t="e">
        <f aca="false" t="array" ref="E4235:E4235">IF(ISBLANK(_xlfn.xlookup(E$3,daily_items,_xlfn.xlookup($C4235,daily_dates,big_daily_table))),NA(),_xlfn.xlookup(E$3,daily_items,_xlfn.xlookup($C4235,daily_dates,big_daily_table)))</f>
        <v>#NAME?</v>
      </c>
    </row>
    <row r="4236" customFormat="false" ht="14.25" hidden="false" customHeight="false" outlineLevel="0" collapsed="false">
      <c r="B4236" s="7" t="n">
        <v>45141</v>
      </c>
      <c r="C4236" s="7" t="n">
        <f aca="false">B4236-WEEKDAY(B4236)+1</f>
        <v>45137</v>
      </c>
      <c r="D4236" s="1" t="e">
        <f aca="false" t="array" ref="D4236:D4236">IF(ISBLANK(_xlfn.xlookup(D$3,daily_items,_xlfn.xlookup($C4236,daily_dates,big_daily_table))),NA(),_xlfn.xlookup(D$3,daily_items,_xlfn.xlookup($C4236,daily_dates,big_daily_table)))</f>
        <v>#NAME?</v>
      </c>
      <c r="E4236" s="1" t="e">
        <f aca="false" t="array" ref="E4236:E4236">IF(ISBLANK(_xlfn.xlookup(E$3,daily_items,_xlfn.xlookup($C4236,daily_dates,big_daily_table))),NA(),_xlfn.xlookup(E$3,daily_items,_xlfn.xlookup($C4236,daily_dates,big_daily_table)))</f>
        <v>#NAME?</v>
      </c>
    </row>
    <row r="4237" customFormat="false" ht="14.25" hidden="false" customHeight="false" outlineLevel="0" collapsed="false">
      <c r="B4237" s="7" t="n">
        <v>45142</v>
      </c>
      <c r="C4237" s="7" t="n">
        <f aca="false">B4237-WEEKDAY(B4237)+1</f>
        <v>45137</v>
      </c>
      <c r="D4237" s="1" t="e">
        <f aca="false" t="array" ref="D4237:D4237">IF(ISBLANK(_xlfn.xlookup(D$3,daily_items,_xlfn.xlookup($C4237,daily_dates,big_daily_table))),NA(),_xlfn.xlookup(D$3,daily_items,_xlfn.xlookup($C4237,daily_dates,big_daily_table)))</f>
        <v>#NAME?</v>
      </c>
      <c r="E4237" s="1" t="e">
        <f aca="false" t="array" ref="E4237:E4237">IF(ISBLANK(_xlfn.xlookup(E$3,daily_items,_xlfn.xlookup($C4237,daily_dates,big_daily_table))),NA(),_xlfn.xlookup(E$3,daily_items,_xlfn.xlookup($C4237,daily_dates,big_daily_table)))</f>
        <v>#NAME?</v>
      </c>
    </row>
    <row r="4238" customFormat="false" ht="14.25" hidden="false" customHeight="false" outlineLevel="0" collapsed="false">
      <c r="B4238" s="7" t="n">
        <v>45143</v>
      </c>
      <c r="C4238" s="7" t="n">
        <f aca="false">B4238-WEEKDAY(B4238)+1</f>
        <v>45137</v>
      </c>
      <c r="D4238" s="1" t="e">
        <f aca="false" t="array" ref="D4238:D4238">IF(ISBLANK(_xlfn.xlookup(D$3,daily_items,_xlfn.xlookup($C4238,daily_dates,big_daily_table))),NA(),_xlfn.xlookup(D$3,daily_items,_xlfn.xlookup($C4238,daily_dates,big_daily_table)))</f>
        <v>#NAME?</v>
      </c>
      <c r="E4238" s="1" t="e">
        <f aca="false" t="array" ref="E4238:E4238">IF(ISBLANK(_xlfn.xlookup(E$3,daily_items,_xlfn.xlookup($C4238,daily_dates,big_daily_table))),NA(),_xlfn.xlookup(E$3,daily_items,_xlfn.xlookup($C4238,daily_dates,big_daily_table)))</f>
        <v>#NAME?</v>
      </c>
    </row>
    <row r="4239" customFormat="false" ht="14.25" hidden="false" customHeight="false" outlineLevel="0" collapsed="false">
      <c r="B4239" s="7" t="n">
        <v>45144</v>
      </c>
      <c r="C4239" s="7" t="n">
        <f aca="false">B4239-WEEKDAY(B4239)+1</f>
        <v>45144</v>
      </c>
      <c r="D4239" s="1" t="e">
        <f aca="false" t="array" ref="D4239:D4239">IF(ISBLANK(_xlfn.xlookup(D$3,daily_items,_xlfn.xlookup($C4239,daily_dates,big_daily_table))),NA(),_xlfn.xlookup(D$3,daily_items,_xlfn.xlookup($C4239,daily_dates,big_daily_table)))</f>
        <v>#NAME?</v>
      </c>
      <c r="E4239" s="1" t="e">
        <f aca="false" t="array" ref="E4239:E4239">IF(ISBLANK(_xlfn.xlookup(E$3,daily_items,_xlfn.xlookup($C4239,daily_dates,big_daily_table))),NA(),_xlfn.xlookup(E$3,daily_items,_xlfn.xlookup($C4239,daily_dates,big_daily_table)))</f>
        <v>#NAME?</v>
      </c>
    </row>
    <row r="4240" customFormat="false" ht="14.25" hidden="false" customHeight="false" outlineLevel="0" collapsed="false">
      <c r="B4240" s="7" t="n">
        <v>45145</v>
      </c>
      <c r="C4240" s="7" t="n">
        <f aca="false">B4240-WEEKDAY(B4240)+1</f>
        <v>45144</v>
      </c>
      <c r="D4240" s="1" t="e">
        <f aca="false" t="array" ref="D4240:D4240">IF(ISBLANK(_xlfn.xlookup(D$3,daily_items,_xlfn.xlookup($C4240,daily_dates,big_daily_table))),NA(),_xlfn.xlookup(D$3,daily_items,_xlfn.xlookup($C4240,daily_dates,big_daily_table)))</f>
        <v>#NAME?</v>
      </c>
      <c r="E4240" s="1" t="e">
        <f aca="false" t="array" ref="E4240:E4240">IF(ISBLANK(_xlfn.xlookup(E$3,daily_items,_xlfn.xlookup($C4240,daily_dates,big_daily_table))),NA(),_xlfn.xlookup(E$3,daily_items,_xlfn.xlookup($C4240,daily_dates,big_daily_table)))</f>
        <v>#NAME?</v>
      </c>
    </row>
    <row r="4241" customFormat="false" ht="14.25" hidden="false" customHeight="false" outlineLevel="0" collapsed="false">
      <c r="B4241" s="7" t="n">
        <v>45146</v>
      </c>
      <c r="C4241" s="7" t="n">
        <f aca="false">B4241-WEEKDAY(B4241)+1</f>
        <v>45144</v>
      </c>
      <c r="D4241" s="1" t="e">
        <f aca="false" t="array" ref="D4241:D4241">IF(ISBLANK(_xlfn.xlookup(D$3,daily_items,_xlfn.xlookup($C4241,daily_dates,big_daily_table))),NA(),_xlfn.xlookup(D$3,daily_items,_xlfn.xlookup($C4241,daily_dates,big_daily_table)))</f>
        <v>#NAME?</v>
      </c>
      <c r="E4241" s="1" t="e">
        <f aca="false" t="array" ref="E4241:E4241">IF(ISBLANK(_xlfn.xlookup(E$3,daily_items,_xlfn.xlookup($C4241,daily_dates,big_daily_table))),NA(),_xlfn.xlookup(E$3,daily_items,_xlfn.xlookup($C4241,daily_dates,big_daily_table)))</f>
        <v>#NAME?</v>
      </c>
    </row>
    <row r="4242" customFormat="false" ht="14.25" hidden="false" customHeight="false" outlineLevel="0" collapsed="false">
      <c r="B4242" s="7" t="n">
        <v>45147</v>
      </c>
      <c r="C4242" s="7" t="n">
        <f aca="false">B4242-WEEKDAY(B4242)+1</f>
        <v>45144</v>
      </c>
      <c r="D4242" s="1" t="e">
        <f aca="false" t="array" ref="D4242:D4242">IF(ISBLANK(_xlfn.xlookup(D$3,daily_items,_xlfn.xlookup($C4242,daily_dates,big_daily_table))),NA(),_xlfn.xlookup(D$3,daily_items,_xlfn.xlookup($C4242,daily_dates,big_daily_table)))</f>
        <v>#NAME?</v>
      </c>
      <c r="E4242" s="1" t="e">
        <f aca="false" t="array" ref="E4242:E4242">IF(ISBLANK(_xlfn.xlookup(E$3,daily_items,_xlfn.xlookup($C4242,daily_dates,big_daily_table))),NA(),_xlfn.xlookup(E$3,daily_items,_xlfn.xlookup($C4242,daily_dates,big_daily_table)))</f>
        <v>#NAME?</v>
      </c>
    </row>
    <row r="4243" customFormat="false" ht="14.25" hidden="false" customHeight="false" outlineLevel="0" collapsed="false">
      <c r="B4243" s="7" t="n">
        <v>45148</v>
      </c>
      <c r="C4243" s="7" t="n">
        <f aca="false">B4243-WEEKDAY(B4243)+1</f>
        <v>45144</v>
      </c>
      <c r="D4243" s="1" t="e">
        <f aca="false" t="array" ref="D4243:D4243">IF(ISBLANK(_xlfn.xlookup(D$3,daily_items,_xlfn.xlookup($C4243,daily_dates,big_daily_table))),NA(),_xlfn.xlookup(D$3,daily_items,_xlfn.xlookup($C4243,daily_dates,big_daily_table)))</f>
        <v>#NAME?</v>
      </c>
      <c r="E4243" s="1" t="e">
        <f aca="false" t="array" ref="E4243:E4243">IF(ISBLANK(_xlfn.xlookup(E$3,daily_items,_xlfn.xlookup($C4243,daily_dates,big_daily_table))),NA(),_xlfn.xlookup(E$3,daily_items,_xlfn.xlookup($C4243,daily_dates,big_daily_table)))</f>
        <v>#NAME?</v>
      </c>
    </row>
    <row r="4244" customFormat="false" ht="14.25" hidden="false" customHeight="false" outlineLevel="0" collapsed="false">
      <c r="B4244" s="7" t="n">
        <v>45149</v>
      </c>
      <c r="C4244" s="7" t="n">
        <f aca="false">B4244-WEEKDAY(B4244)+1</f>
        <v>45144</v>
      </c>
      <c r="D4244" s="1" t="e">
        <f aca="false" t="array" ref="D4244:D4244">IF(ISBLANK(_xlfn.xlookup(D$3,daily_items,_xlfn.xlookup($C4244,daily_dates,big_daily_table))),NA(),_xlfn.xlookup(D$3,daily_items,_xlfn.xlookup($C4244,daily_dates,big_daily_table)))</f>
        <v>#NAME?</v>
      </c>
      <c r="E4244" s="1" t="e">
        <f aca="false" t="array" ref="E4244:E4244">IF(ISBLANK(_xlfn.xlookup(E$3,daily_items,_xlfn.xlookup($C4244,daily_dates,big_daily_table))),NA(),_xlfn.xlookup(E$3,daily_items,_xlfn.xlookup($C4244,daily_dates,big_daily_table)))</f>
        <v>#NAME?</v>
      </c>
    </row>
    <row r="4245" customFormat="false" ht="14.25" hidden="false" customHeight="false" outlineLevel="0" collapsed="false">
      <c r="B4245" s="7" t="n">
        <v>45150</v>
      </c>
      <c r="C4245" s="7" t="n">
        <f aca="false">B4245-WEEKDAY(B4245)+1</f>
        <v>45144</v>
      </c>
      <c r="D4245" s="1" t="e">
        <f aca="false" t="array" ref="D4245:D4245">IF(ISBLANK(_xlfn.xlookup(D$3,daily_items,_xlfn.xlookup($C4245,daily_dates,big_daily_table))),NA(),_xlfn.xlookup(D$3,daily_items,_xlfn.xlookup($C4245,daily_dates,big_daily_table)))</f>
        <v>#NAME?</v>
      </c>
      <c r="E4245" s="1" t="e">
        <f aca="false" t="array" ref="E4245:E4245">IF(ISBLANK(_xlfn.xlookup(E$3,daily_items,_xlfn.xlookup($C4245,daily_dates,big_daily_table))),NA(),_xlfn.xlookup(E$3,daily_items,_xlfn.xlookup($C4245,daily_dates,big_daily_table)))</f>
        <v>#NAME?</v>
      </c>
    </row>
    <row r="4246" customFormat="false" ht="14.25" hidden="false" customHeight="false" outlineLevel="0" collapsed="false">
      <c r="B4246" s="7" t="n">
        <v>45151</v>
      </c>
      <c r="C4246" s="7" t="n">
        <f aca="false">B4246-WEEKDAY(B4246)+1</f>
        <v>45151</v>
      </c>
      <c r="D4246" s="1" t="e">
        <f aca="false" t="array" ref="D4246:D4246">IF(ISBLANK(_xlfn.xlookup(D$3,daily_items,_xlfn.xlookup($C4246,daily_dates,big_daily_table))),NA(),_xlfn.xlookup(D$3,daily_items,_xlfn.xlookup($C4246,daily_dates,big_daily_table)))</f>
        <v>#NAME?</v>
      </c>
      <c r="E4246" s="1" t="e">
        <f aca="false" t="array" ref="E4246:E4246">IF(ISBLANK(_xlfn.xlookup(E$3,daily_items,_xlfn.xlookup($C4246,daily_dates,big_daily_table))),NA(),_xlfn.xlookup(E$3,daily_items,_xlfn.xlookup($C4246,daily_dates,big_daily_table)))</f>
        <v>#NAME?</v>
      </c>
    </row>
    <row r="4247" customFormat="false" ht="14.25" hidden="false" customHeight="false" outlineLevel="0" collapsed="false">
      <c r="B4247" s="7" t="n">
        <v>45152</v>
      </c>
      <c r="C4247" s="7" t="n">
        <f aca="false">B4247-WEEKDAY(B4247)+1</f>
        <v>45151</v>
      </c>
      <c r="D4247" s="1" t="e">
        <f aca="false" t="array" ref="D4247:D4247">IF(ISBLANK(_xlfn.xlookup(D$3,daily_items,_xlfn.xlookup($C4247,daily_dates,big_daily_table))),NA(),_xlfn.xlookup(D$3,daily_items,_xlfn.xlookup($C4247,daily_dates,big_daily_table)))</f>
        <v>#NAME?</v>
      </c>
      <c r="E4247" s="1" t="e">
        <f aca="false" t="array" ref="E4247:E4247">IF(ISBLANK(_xlfn.xlookup(E$3,daily_items,_xlfn.xlookup($C4247,daily_dates,big_daily_table))),NA(),_xlfn.xlookup(E$3,daily_items,_xlfn.xlookup($C4247,daily_dates,big_daily_table)))</f>
        <v>#NAME?</v>
      </c>
    </row>
    <row r="4248" customFormat="false" ht="14.25" hidden="false" customHeight="false" outlineLevel="0" collapsed="false">
      <c r="B4248" s="7" t="n">
        <v>45153</v>
      </c>
      <c r="C4248" s="7" t="n">
        <f aca="false">B4248-WEEKDAY(B4248)+1</f>
        <v>45151</v>
      </c>
      <c r="D4248" s="1" t="e">
        <f aca="false" t="array" ref="D4248:D4248">IF(ISBLANK(_xlfn.xlookup(D$3,daily_items,_xlfn.xlookup($C4248,daily_dates,big_daily_table))),NA(),_xlfn.xlookup(D$3,daily_items,_xlfn.xlookup($C4248,daily_dates,big_daily_table)))</f>
        <v>#NAME?</v>
      </c>
      <c r="E4248" s="1" t="e">
        <f aca="false" t="array" ref="E4248:E4248">IF(ISBLANK(_xlfn.xlookup(E$3,daily_items,_xlfn.xlookup($C4248,daily_dates,big_daily_table))),NA(),_xlfn.xlookup(E$3,daily_items,_xlfn.xlookup($C4248,daily_dates,big_daily_table)))</f>
        <v>#NAME?</v>
      </c>
    </row>
    <row r="4249" customFormat="false" ht="14.25" hidden="false" customHeight="false" outlineLevel="0" collapsed="false">
      <c r="B4249" s="7" t="n">
        <v>45154</v>
      </c>
      <c r="C4249" s="7" t="n">
        <f aca="false">B4249-WEEKDAY(B4249)+1</f>
        <v>45151</v>
      </c>
      <c r="D4249" s="1" t="e">
        <f aca="false" t="array" ref="D4249:D4249">IF(ISBLANK(_xlfn.xlookup(D$3,daily_items,_xlfn.xlookup($C4249,daily_dates,big_daily_table))),NA(),_xlfn.xlookup(D$3,daily_items,_xlfn.xlookup($C4249,daily_dates,big_daily_table)))</f>
        <v>#NAME?</v>
      </c>
      <c r="E4249" s="1" t="e">
        <f aca="false" t="array" ref="E4249:E4249">IF(ISBLANK(_xlfn.xlookup(E$3,daily_items,_xlfn.xlookup($C4249,daily_dates,big_daily_table))),NA(),_xlfn.xlookup(E$3,daily_items,_xlfn.xlookup($C4249,daily_dates,big_daily_table)))</f>
        <v>#NAME?</v>
      </c>
    </row>
    <row r="4250" customFormat="false" ht="14.25" hidden="false" customHeight="false" outlineLevel="0" collapsed="false">
      <c r="B4250" s="7" t="n">
        <v>45155</v>
      </c>
      <c r="C4250" s="7" t="n">
        <f aca="false">B4250-WEEKDAY(B4250)+1</f>
        <v>45151</v>
      </c>
      <c r="D4250" s="1" t="e">
        <f aca="false" t="array" ref="D4250:D4250">IF(ISBLANK(_xlfn.xlookup(D$3,daily_items,_xlfn.xlookup($C4250,daily_dates,big_daily_table))),NA(),_xlfn.xlookup(D$3,daily_items,_xlfn.xlookup($C4250,daily_dates,big_daily_table)))</f>
        <v>#NAME?</v>
      </c>
      <c r="E4250" s="1" t="e">
        <f aca="false" t="array" ref="E4250:E4250">IF(ISBLANK(_xlfn.xlookup(E$3,daily_items,_xlfn.xlookup($C4250,daily_dates,big_daily_table))),NA(),_xlfn.xlookup(E$3,daily_items,_xlfn.xlookup($C4250,daily_dates,big_daily_table)))</f>
        <v>#NAME?</v>
      </c>
    </row>
    <row r="4251" customFormat="false" ht="14.25" hidden="false" customHeight="false" outlineLevel="0" collapsed="false">
      <c r="B4251" s="7" t="n">
        <v>45156</v>
      </c>
      <c r="C4251" s="7" t="n">
        <f aca="false">B4251-WEEKDAY(B4251)+1</f>
        <v>45151</v>
      </c>
      <c r="D4251" s="1" t="e">
        <f aca="false" t="array" ref="D4251:D4251">IF(ISBLANK(_xlfn.xlookup(D$3,daily_items,_xlfn.xlookup($C4251,daily_dates,big_daily_table))),NA(),_xlfn.xlookup(D$3,daily_items,_xlfn.xlookup($C4251,daily_dates,big_daily_table)))</f>
        <v>#NAME?</v>
      </c>
      <c r="E4251" s="1" t="e">
        <f aca="false" t="array" ref="E4251:E4251">IF(ISBLANK(_xlfn.xlookup(E$3,daily_items,_xlfn.xlookup($C4251,daily_dates,big_daily_table))),NA(),_xlfn.xlookup(E$3,daily_items,_xlfn.xlookup($C4251,daily_dates,big_daily_table)))</f>
        <v>#NAME?</v>
      </c>
    </row>
    <row r="4252" customFormat="false" ht="14.25" hidden="false" customHeight="false" outlineLevel="0" collapsed="false">
      <c r="B4252" s="7" t="n">
        <v>45157</v>
      </c>
      <c r="C4252" s="7" t="n">
        <f aca="false">B4252-WEEKDAY(B4252)+1</f>
        <v>45151</v>
      </c>
      <c r="D4252" s="1" t="e">
        <f aca="false" t="array" ref="D4252:D4252">IF(ISBLANK(_xlfn.xlookup(D$3,daily_items,_xlfn.xlookup($C4252,daily_dates,big_daily_table))),NA(),_xlfn.xlookup(D$3,daily_items,_xlfn.xlookup($C4252,daily_dates,big_daily_table)))</f>
        <v>#NAME?</v>
      </c>
      <c r="E4252" s="1" t="e">
        <f aca="false" t="array" ref="E4252:E4252">IF(ISBLANK(_xlfn.xlookup(E$3,daily_items,_xlfn.xlookup($C4252,daily_dates,big_daily_table))),NA(),_xlfn.xlookup(E$3,daily_items,_xlfn.xlookup($C4252,daily_dates,big_daily_table)))</f>
        <v>#NAME?</v>
      </c>
    </row>
    <row r="4253" customFormat="false" ht="14.25" hidden="false" customHeight="false" outlineLevel="0" collapsed="false">
      <c r="B4253" s="7" t="n">
        <v>45158</v>
      </c>
      <c r="C4253" s="7" t="n">
        <f aca="false">B4253-WEEKDAY(B4253)+1</f>
        <v>45158</v>
      </c>
      <c r="D4253" s="1" t="e">
        <f aca="false" t="array" ref="D4253:D4253">IF(ISBLANK(_xlfn.xlookup(D$3,daily_items,_xlfn.xlookup($C4253,daily_dates,big_daily_table))),NA(),_xlfn.xlookup(D$3,daily_items,_xlfn.xlookup($C4253,daily_dates,big_daily_table)))</f>
        <v>#NAME?</v>
      </c>
      <c r="E4253" s="1" t="e">
        <f aca="false" t="array" ref="E4253:E4253">IF(ISBLANK(_xlfn.xlookup(E$3,daily_items,_xlfn.xlookup($C4253,daily_dates,big_daily_table))),NA(),_xlfn.xlookup(E$3,daily_items,_xlfn.xlookup($C4253,daily_dates,big_daily_table)))</f>
        <v>#NAME?</v>
      </c>
    </row>
    <row r="4254" customFormat="false" ht="14.25" hidden="false" customHeight="false" outlineLevel="0" collapsed="false">
      <c r="B4254" s="7" t="n">
        <v>45159</v>
      </c>
      <c r="C4254" s="7" t="n">
        <f aca="false">B4254-WEEKDAY(B4254)+1</f>
        <v>45158</v>
      </c>
      <c r="D4254" s="1" t="e">
        <f aca="false" t="array" ref="D4254:D4254">IF(ISBLANK(_xlfn.xlookup(D$3,daily_items,_xlfn.xlookup($C4254,daily_dates,big_daily_table))),NA(),_xlfn.xlookup(D$3,daily_items,_xlfn.xlookup($C4254,daily_dates,big_daily_table)))</f>
        <v>#NAME?</v>
      </c>
      <c r="E4254" s="1" t="e">
        <f aca="false" t="array" ref="E4254:E4254">IF(ISBLANK(_xlfn.xlookup(E$3,daily_items,_xlfn.xlookup($C4254,daily_dates,big_daily_table))),NA(),_xlfn.xlookup(E$3,daily_items,_xlfn.xlookup($C4254,daily_dates,big_daily_table)))</f>
        <v>#NAME?</v>
      </c>
    </row>
    <row r="4255" customFormat="false" ht="14.25" hidden="false" customHeight="false" outlineLevel="0" collapsed="false">
      <c r="B4255" s="7" t="n">
        <v>45160</v>
      </c>
      <c r="C4255" s="7" t="n">
        <f aca="false">B4255-WEEKDAY(B4255)+1</f>
        <v>45158</v>
      </c>
      <c r="D4255" s="1" t="e">
        <f aca="false" t="array" ref="D4255:D4255">IF(ISBLANK(_xlfn.xlookup(D$3,daily_items,_xlfn.xlookup($C4255,daily_dates,big_daily_table))),NA(),_xlfn.xlookup(D$3,daily_items,_xlfn.xlookup($C4255,daily_dates,big_daily_table)))</f>
        <v>#NAME?</v>
      </c>
      <c r="E4255" s="1" t="e">
        <f aca="false" t="array" ref="E4255:E4255">IF(ISBLANK(_xlfn.xlookup(E$3,daily_items,_xlfn.xlookup($C4255,daily_dates,big_daily_table))),NA(),_xlfn.xlookup(E$3,daily_items,_xlfn.xlookup($C4255,daily_dates,big_daily_table)))</f>
        <v>#NAME?</v>
      </c>
    </row>
    <row r="4256" customFormat="false" ht="14.25" hidden="false" customHeight="false" outlineLevel="0" collapsed="false">
      <c r="B4256" s="7" t="n">
        <v>45161</v>
      </c>
      <c r="C4256" s="7" t="n">
        <f aca="false">B4256-WEEKDAY(B4256)+1</f>
        <v>45158</v>
      </c>
      <c r="D4256" s="1" t="e">
        <f aca="false" t="array" ref="D4256:D4256">IF(ISBLANK(_xlfn.xlookup(D$3,daily_items,_xlfn.xlookup($C4256,daily_dates,big_daily_table))),NA(),_xlfn.xlookup(D$3,daily_items,_xlfn.xlookup($C4256,daily_dates,big_daily_table)))</f>
        <v>#NAME?</v>
      </c>
      <c r="E4256" s="1" t="e">
        <f aca="false" t="array" ref="E4256:E4256">IF(ISBLANK(_xlfn.xlookup(E$3,daily_items,_xlfn.xlookup($C4256,daily_dates,big_daily_table))),NA(),_xlfn.xlookup(E$3,daily_items,_xlfn.xlookup($C4256,daily_dates,big_daily_table)))</f>
        <v>#NAME?</v>
      </c>
    </row>
    <row r="4257" customFormat="false" ht="14.25" hidden="false" customHeight="false" outlineLevel="0" collapsed="false">
      <c r="B4257" s="7" t="n">
        <v>45162</v>
      </c>
      <c r="C4257" s="7" t="n">
        <f aca="false">B4257-WEEKDAY(B4257)+1</f>
        <v>45158</v>
      </c>
      <c r="D4257" s="1" t="e">
        <f aca="false" t="array" ref="D4257:D4257">IF(ISBLANK(_xlfn.xlookup(D$3,daily_items,_xlfn.xlookup($C4257,daily_dates,big_daily_table))),NA(),_xlfn.xlookup(D$3,daily_items,_xlfn.xlookup($C4257,daily_dates,big_daily_table)))</f>
        <v>#NAME?</v>
      </c>
      <c r="E4257" s="1" t="e">
        <f aca="false" t="array" ref="E4257:E4257">IF(ISBLANK(_xlfn.xlookup(E$3,daily_items,_xlfn.xlookup($C4257,daily_dates,big_daily_table))),NA(),_xlfn.xlookup(E$3,daily_items,_xlfn.xlookup($C4257,daily_dates,big_daily_table)))</f>
        <v>#NAME?</v>
      </c>
    </row>
    <row r="4258" customFormat="false" ht="14.25" hidden="false" customHeight="false" outlineLevel="0" collapsed="false">
      <c r="B4258" s="7" t="n">
        <v>45163</v>
      </c>
      <c r="C4258" s="7" t="n">
        <f aca="false">B4258-WEEKDAY(B4258)+1</f>
        <v>45158</v>
      </c>
      <c r="D4258" s="1" t="e">
        <f aca="false" t="array" ref="D4258:D4258">IF(ISBLANK(_xlfn.xlookup(D$3,daily_items,_xlfn.xlookup($C4258,daily_dates,big_daily_table))),NA(),_xlfn.xlookup(D$3,daily_items,_xlfn.xlookup($C4258,daily_dates,big_daily_table)))</f>
        <v>#NAME?</v>
      </c>
      <c r="E4258" s="1" t="e">
        <f aca="false" t="array" ref="E4258:E4258">IF(ISBLANK(_xlfn.xlookup(E$3,daily_items,_xlfn.xlookup($C4258,daily_dates,big_daily_table))),NA(),_xlfn.xlookup(E$3,daily_items,_xlfn.xlookup($C4258,daily_dates,big_daily_table)))</f>
        <v>#NAME?</v>
      </c>
    </row>
    <row r="4259" customFormat="false" ht="14.25" hidden="false" customHeight="false" outlineLevel="0" collapsed="false">
      <c r="B4259" s="7" t="n">
        <v>45164</v>
      </c>
      <c r="C4259" s="7" t="n">
        <f aca="false">B4259-WEEKDAY(B4259)+1</f>
        <v>45158</v>
      </c>
      <c r="D4259" s="1" t="e">
        <f aca="false" t="array" ref="D4259:D4259">IF(ISBLANK(_xlfn.xlookup(D$3,daily_items,_xlfn.xlookup($C4259,daily_dates,big_daily_table))),NA(),_xlfn.xlookup(D$3,daily_items,_xlfn.xlookup($C4259,daily_dates,big_daily_table)))</f>
        <v>#NAME?</v>
      </c>
      <c r="E4259" s="1" t="e">
        <f aca="false" t="array" ref="E4259:E4259">IF(ISBLANK(_xlfn.xlookup(E$3,daily_items,_xlfn.xlookup($C4259,daily_dates,big_daily_table))),NA(),_xlfn.xlookup(E$3,daily_items,_xlfn.xlookup($C4259,daily_dates,big_daily_table)))</f>
        <v>#NAME?</v>
      </c>
    </row>
    <row r="4260" customFormat="false" ht="14.25" hidden="false" customHeight="false" outlineLevel="0" collapsed="false">
      <c r="B4260" s="7" t="n">
        <v>45165</v>
      </c>
      <c r="C4260" s="7" t="n">
        <f aca="false">B4260-WEEKDAY(B4260)+1</f>
        <v>45165</v>
      </c>
      <c r="D4260" s="1" t="e">
        <f aca="false" t="array" ref="D4260:D4260">IF(ISBLANK(_xlfn.xlookup(D$3,daily_items,_xlfn.xlookup($C4260,daily_dates,big_daily_table))),NA(),_xlfn.xlookup(D$3,daily_items,_xlfn.xlookup($C4260,daily_dates,big_daily_table)))</f>
        <v>#NAME?</v>
      </c>
      <c r="E4260" s="1" t="e">
        <f aca="false" t="array" ref="E4260:E4260">IF(ISBLANK(_xlfn.xlookup(E$3,daily_items,_xlfn.xlookup($C4260,daily_dates,big_daily_table))),NA(),_xlfn.xlookup(E$3,daily_items,_xlfn.xlookup($C4260,daily_dates,big_daily_table)))</f>
        <v>#NAME?</v>
      </c>
    </row>
    <row r="4261" customFormat="false" ht="14.25" hidden="false" customHeight="false" outlineLevel="0" collapsed="false">
      <c r="B4261" s="7" t="n">
        <v>45166</v>
      </c>
      <c r="C4261" s="7" t="n">
        <f aca="false">B4261-WEEKDAY(B4261)+1</f>
        <v>45165</v>
      </c>
      <c r="D4261" s="1" t="e">
        <f aca="false" t="array" ref="D4261:D4261">IF(ISBLANK(_xlfn.xlookup(D$3,daily_items,_xlfn.xlookup($C4261,daily_dates,big_daily_table))),NA(),_xlfn.xlookup(D$3,daily_items,_xlfn.xlookup($C4261,daily_dates,big_daily_table)))</f>
        <v>#NAME?</v>
      </c>
      <c r="E4261" s="1" t="e">
        <f aca="false" t="array" ref="E4261:E4261">IF(ISBLANK(_xlfn.xlookup(E$3,daily_items,_xlfn.xlookup($C4261,daily_dates,big_daily_table))),NA(),_xlfn.xlookup(E$3,daily_items,_xlfn.xlookup($C4261,daily_dates,big_daily_table)))</f>
        <v>#NAME?</v>
      </c>
    </row>
    <row r="4262" customFormat="false" ht="14.25" hidden="false" customHeight="false" outlineLevel="0" collapsed="false">
      <c r="B4262" s="7" t="n">
        <v>45167</v>
      </c>
      <c r="C4262" s="7" t="n">
        <f aca="false">B4262-WEEKDAY(B4262)+1</f>
        <v>45165</v>
      </c>
      <c r="D4262" s="1" t="e">
        <f aca="false" t="array" ref="D4262:D4262">IF(ISBLANK(_xlfn.xlookup(D$3,daily_items,_xlfn.xlookup($C4262,daily_dates,big_daily_table))),NA(),_xlfn.xlookup(D$3,daily_items,_xlfn.xlookup($C4262,daily_dates,big_daily_table)))</f>
        <v>#NAME?</v>
      </c>
      <c r="E4262" s="1" t="e">
        <f aca="false" t="array" ref="E4262:E4262">IF(ISBLANK(_xlfn.xlookup(E$3,daily_items,_xlfn.xlookup($C4262,daily_dates,big_daily_table))),NA(),_xlfn.xlookup(E$3,daily_items,_xlfn.xlookup($C4262,daily_dates,big_daily_table)))</f>
        <v>#NAME?</v>
      </c>
    </row>
    <row r="4263" customFormat="false" ht="14.25" hidden="false" customHeight="false" outlineLevel="0" collapsed="false">
      <c r="B4263" s="7" t="n">
        <v>45168</v>
      </c>
      <c r="C4263" s="7" t="n">
        <f aca="false">B4263-WEEKDAY(B4263)+1</f>
        <v>45165</v>
      </c>
      <c r="D4263" s="1" t="e">
        <f aca="false" t="array" ref="D4263:D4263">IF(ISBLANK(_xlfn.xlookup(D$3,daily_items,_xlfn.xlookup($C4263,daily_dates,big_daily_table))),NA(),_xlfn.xlookup(D$3,daily_items,_xlfn.xlookup($C4263,daily_dates,big_daily_table)))</f>
        <v>#NAME?</v>
      </c>
      <c r="E4263" s="1" t="e">
        <f aca="false" t="array" ref="E4263:E4263">IF(ISBLANK(_xlfn.xlookup(E$3,daily_items,_xlfn.xlookup($C4263,daily_dates,big_daily_table))),NA(),_xlfn.xlookup(E$3,daily_items,_xlfn.xlookup($C4263,daily_dates,big_daily_table)))</f>
        <v>#NAME?</v>
      </c>
    </row>
    <row r="4264" customFormat="false" ht="14.25" hidden="false" customHeight="false" outlineLevel="0" collapsed="false">
      <c r="B4264" s="7" t="n">
        <v>45169</v>
      </c>
      <c r="C4264" s="7" t="n">
        <f aca="false">B4264-WEEKDAY(B4264)+1</f>
        <v>45165</v>
      </c>
      <c r="D4264" s="1" t="e">
        <f aca="false" t="array" ref="D4264:D4264">IF(ISBLANK(_xlfn.xlookup(D$3,daily_items,_xlfn.xlookup($C4264,daily_dates,big_daily_table))),NA(),_xlfn.xlookup(D$3,daily_items,_xlfn.xlookup($C4264,daily_dates,big_daily_table)))</f>
        <v>#NAME?</v>
      </c>
      <c r="E4264" s="1" t="e">
        <f aca="false" t="array" ref="E4264:E4264">IF(ISBLANK(_xlfn.xlookup(E$3,daily_items,_xlfn.xlookup($C4264,daily_dates,big_daily_table))),NA(),_xlfn.xlookup(E$3,daily_items,_xlfn.xlookup($C4264,daily_dates,big_daily_table)))</f>
        <v>#NAME?</v>
      </c>
    </row>
    <row r="4265" customFormat="false" ht="14.25" hidden="false" customHeight="false" outlineLevel="0" collapsed="false">
      <c r="B4265" s="7" t="n">
        <v>45170</v>
      </c>
      <c r="C4265" s="7" t="n">
        <f aca="false">B4265-WEEKDAY(B4265)+1</f>
        <v>45165</v>
      </c>
      <c r="D4265" s="1" t="e">
        <f aca="false" t="array" ref="D4265:D4265">IF(ISBLANK(_xlfn.xlookup(D$3,daily_items,_xlfn.xlookup($C4265,daily_dates,big_daily_table))),NA(),_xlfn.xlookup(D$3,daily_items,_xlfn.xlookup($C4265,daily_dates,big_daily_table)))</f>
        <v>#NAME?</v>
      </c>
      <c r="E4265" s="1" t="e">
        <f aca="false" t="array" ref="E4265:E4265">IF(ISBLANK(_xlfn.xlookup(E$3,daily_items,_xlfn.xlookup($C4265,daily_dates,big_daily_table))),NA(),_xlfn.xlookup(E$3,daily_items,_xlfn.xlookup($C4265,daily_dates,big_daily_table)))</f>
        <v>#NAME?</v>
      </c>
    </row>
    <row r="4266" customFormat="false" ht="14.25" hidden="false" customHeight="false" outlineLevel="0" collapsed="false">
      <c r="B4266" s="7" t="n">
        <v>45171</v>
      </c>
      <c r="C4266" s="7" t="n">
        <f aca="false">B4266-WEEKDAY(B4266)+1</f>
        <v>45165</v>
      </c>
      <c r="D4266" s="1" t="e">
        <f aca="false" t="array" ref="D4266:D4266">IF(ISBLANK(_xlfn.xlookup(D$3,daily_items,_xlfn.xlookup($C4266,daily_dates,big_daily_table))),NA(),_xlfn.xlookup(D$3,daily_items,_xlfn.xlookup($C4266,daily_dates,big_daily_table)))</f>
        <v>#NAME?</v>
      </c>
      <c r="E4266" s="1" t="e">
        <f aca="false" t="array" ref="E4266:E4266">IF(ISBLANK(_xlfn.xlookup(E$3,daily_items,_xlfn.xlookup($C4266,daily_dates,big_daily_table))),NA(),_xlfn.xlookup(E$3,daily_items,_xlfn.xlookup($C4266,daily_dates,big_daily_table)))</f>
        <v>#NAME?</v>
      </c>
    </row>
    <row r="4267" customFormat="false" ht="14.25" hidden="false" customHeight="false" outlineLevel="0" collapsed="false">
      <c r="B4267" s="7" t="n">
        <v>45172</v>
      </c>
      <c r="C4267" s="7" t="n">
        <f aca="false">B4267-WEEKDAY(B4267)+1</f>
        <v>45172</v>
      </c>
      <c r="D4267" s="1" t="e">
        <f aca="false" t="array" ref="D4267:D4267">IF(ISBLANK(_xlfn.xlookup(D$3,daily_items,_xlfn.xlookup($C4267,daily_dates,big_daily_table))),NA(),_xlfn.xlookup(D$3,daily_items,_xlfn.xlookup($C4267,daily_dates,big_daily_table)))</f>
        <v>#NAME?</v>
      </c>
      <c r="E4267" s="1" t="e">
        <f aca="false" t="array" ref="E4267:E4267">IF(ISBLANK(_xlfn.xlookup(E$3,daily_items,_xlfn.xlookup($C4267,daily_dates,big_daily_table))),NA(),_xlfn.xlookup(E$3,daily_items,_xlfn.xlookup($C4267,daily_dates,big_daily_table)))</f>
        <v>#NAME?</v>
      </c>
    </row>
    <row r="4268" customFormat="false" ht="14.25" hidden="false" customHeight="false" outlineLevel="0" collapsed="false">
      <c r="B4268" s="7" t="n">
        <v>45173</v>
      </c>
      <c r="C4268" s="7" t="n">
        <f aca="false">B4268-WEEKDAY(B4268)+1</f>
        <v>45172</v>
      </c>
      <c r="D4268" s="1" t="e">
        <f aca="false" t="array" ref="D4268:D4268">IF(ISBLANK(_xlfn.xlookup(D$3,daily_items,_xlfn.xlookup($C4268,daily_dates,big_daily_table))),NA(),_xlfn.xlookup(D$3,daily_items,_xlfn.xlookup($C4268,daily_dates,big_daily_table)))</f>
        <v>#NAME?</v>
      </c>
      <c r="E4268" s="1" t="e">
        <f aca="false" t="array" ref="E4268:E4268">IF(ISBLANK(_xlfn.xlookup(E$3,daily_items,_xlfn.xlookup($C4268,daily_dates,big_daily_table))),NA(),_xlfn.xlookup(E$3,daily_items,_xlfn.xlookup($C4268,daily_dates,big_daily_table)))</f>
        <v>#NAME?</v>
      </c>
    </row>
    <row r="4269" customFormat="false" ht="14.25" hidden="false" customHeight="false" outlineLevel="0" collapsed="false">
      <c r="B4269" s="7" t="n">
        <v>45174</v>
      </c>
      <c r="C4269" s="7" t="n">
        <f aca="false">B4269-WEEKDAY(B4269)+1</f>
        <v>45172</v>
      </c>
      <c r="D4269" s="1" t="e">
        <f aca="false" t="array" ref="D4269:D4269">IF(ISBLANK(_xlfn.xlookup(D$3,daily_items,_xlfn.xlookup($C4269,daily_dates,big_daily_table))),NA(),_xlfn.xlookup(D$3,daily_items,_xlfn.xlookup($C4269,daily_dates,big_daily_table)))</f>
        <v>#NAME?</v>
      </c>
      <c r="E4269" s="1" t="e">
        <f aca="false" t="array" ref="E4269:E4269">IF(ISBLANK(_xlfn.xlookup(E$3,daily_items,_xlfn.xlookup($C4269,daily_dates,big_daily_table))),NA(),_xlfn.xlookup(E$3,daily_items,_xlfn.xlookup($C4269,daily_dates,big_daily_table)))</f>
        <v>#NAME?</v>
      </c>
    </row>
    <row r="4270" customFormat="false" ht="14.25" hidden="false" customHeight="false" outlineLevel="0" collapsed="false">
      <c r="B4270" s="7" t="n">
        <v>45175</v>
      </c>
      <c r="C4270" s="7" t="n">
        <f aca="false">B4270-WEEKDAY(B4270)+1</f>
        <v>45172</v>
      </c>
      <c r="D4270" s="1" t="e">
        <f aca="false" t="array" ref="D4270:D4270">IF(ISBLANK(_xlfn.xlookup(D$3,daily_items,_xlfn.xlookup($C4270,daily_dates,big_daily_table))),NA(),_xlfn.xlookup(D$3,daily_items,_xlfn.xlookup($C4270,daily_dates,big_daily_table)))</f>
        <v>#NAME?</v>
      </c>
      <c r="E4270" s="1" t="e">
        <f aca="false" t="array" ref="E4270:E4270">IF(ISBLANK(_xlfn.xlookup(E$3,daily_items,_xlfn.xlookup($C4270,daily_dates,big_daily_table))),NA(),_xlfn.xlookup(E$3,daily_items,_xlfn.xlookup($C4270,daily_dates,big_daily_table)))</f>
        <v>#NAME?</v>
      </c>
    </row>
    <row r="4271" customFormat="false" ht="14.25" hidden="false" customHeight="false" outlineLevel="0" collapsed="false">
      <c r="B4271" s="7" t="n">
        <v>45176</v>
      </c>
      <c r="C4271" s="7" t="n">
        <f aca="false">B4271-WEEKDAY(B4271)+1</f>
        <v>45172</v>
      </c>
      <c r="D4271" s="1" t="e">
        <f aca="false" t="array" ref="D4271:D4271">IF(ISBLANK(_xlfn.xlookup(D$3,daily_items,_xlfn.xlookup($C4271,daily_dates,big_daily_table))),NA(),_xlfn.xlookup(D$3,daily_items,_xlfn.xlookup($C4271,daily_dates,big_daily_table)))</f>
        <v>#NAME?</v>
      </c>
      <c r="E4271" s="1" t="e">
        <f aca="false" t="array" ref="E4271:E4271">IF(ISBLANK(_xlfn.xlookup(E$3,daily_items,_xlfn.xlookup($C4271,daily_dates,big_daily_table))),NA(),_xlfn.xlookup(E$3,daily_items,_xlfn.xlookup($C4271,daily_dates,big_daily_table)))</f>
        <v>#NAME?</v>
      </c>
    </row>
    <row r="4272" customFormat="false" ht="14.25" hidden="false" customHeight="false" outlineLevel="0" collapsed="false">
      <c r="B4272" s="7" t="n">
        <v>45177</v>
      </c>
      <c r="C4272" s="7" t="n">
        <f aca="false">B4272-WEEKDAY(B4272)+1</f>
        <v>45172</v>
      </c>
      <c r="D4272" s="1" t="e">
        <f aca="false" t="array" ref="D4272:D4272">IF(ISBLANK(_xlfn.xlookup(D$3,daily_items,_xlfn.xlookup($C4272,daily_dates,big_daily_table))),NA(),_xlfn.xlookup(D$3,daily_items,_xlfn.xlookup($C4272,daily_dates,big_daily_table)))</f>
        <v>#NAME?</v>
      </c>
      <c r="E4272" s="1" t="e">
        <f aca="false" t="array" ref="E4272:E4272">IF(ISBLANK(_xlfn.xlookup(E$3,daily_items,_xlfn.xlookup($C4272,daily_dates,big_daily_table))),NA(),_xlfn.xlookup(E$3,daily_items,_xlfn.xlookup($C4272,daily_dates,big_daily_table)))</f>
        <v>#NAME?</v>
      </c>
    </row>
    <row r="4273" customFormat="false" ht="14.25" hidden="false" customHeight="false" outlineLevel="0" collapsed="false">
      <c r="B4273" s="7" t="n">
        <v>45178</v>
      </c>
      <c r="C4273" s="7" t="n">
        <f aca="false">B4273-WEEKDAY(B4273)+1</f>
        <v>45172</v>
      </c>
      <c r="D4273" s="1" t="e">
        <f aca="false" t="array" ref="D4273:D4273">IF(ISBLANK(_xlfn.xlookup(D$3,daily_items,_xlfn.xlookup($C4273,daily_dates,big_daily_table))),NA(),_xlfn.xlookup(D$3,daily_items,_xlfn.xlookup($C4273,daily_dates,big_daily_table)))</f>
        <v>#NAME?</v>
      </c>
      <c r="E4273" s="1" t="e">
        <f aca="false" t="array" ref="E4273:E4273">IF(ISBLANK(_xlfn.xlookup(E$3,daily_items,_xlfn.xlookup($C4273,daily_dates,big_daily_table))),NA(),_xlfn.xlookup(E$3,daily_items,_xlfn.xlookup($C4273,daily_dates,big_daily_table)))</f>
        <v>#NAME?</v>
      </c>
    </row>
    <row r="4274" customFormat="false" ht="14.25" hidden="false" customHeight="false" outlineLevel="0" collapsed="false">
      <c r="B4274" s="7" t="n">
        <v>45179</v>
      </c>
      <c r="C4274" s="7" t="n">
        <f aca="false">B4274-WEEKDAY(B4274)+1</f>
        <v>45179</v>
      </c>
      <c r="D4274" s="1" t="e">
        <f aca="false" t="array" ref="D4274:D4274">IF(ISBLANK(_xlfn.xlookup(D$3,daily_items,_xlfn.xlookup($C4274,daily_dates,big_daily_table))),NA(),_xlfn.xlookup(D$3,daily_items,_xlfn.xlookup($C4274,daily_dates,big_daily_table)))</f>
        <v>#NAME?</v>
      </c>
      <c r="E4274" s="1" t="e">
        <f aca="false" t="array" ref="E4274:E4274">IF(ISBLANK(_xlfn.xlookup(E$3,daily_items,_xlfn.xlookup($C4274,daily_dates,big_daily_table))),NA(),_xlfn.xlookup(E$3,daily_items,_xlfn.xlookup($C4274,daily_dates,big_daily_table)))</f>
        <v>#NAME?</v>
      </c>
    </row>
    <row r="4275" customFormat="false" ht="14.25" hidden="false" customHeight="false" outlineLevel="0" collapsed="false">
      <c r="B4275" s="7" t="n">
        <v>45180</v>
      </c>
      <c r="C4275" s="7" t="n">
        <f aca="false">B4275-WEEKDAY(B4275)+1</f>
        <v>45179</v>
      </c>
      <c r="D4275" s="1" t="e">
        <f aca="false" t="array" ref="D4275:D4275">IF(ISBLANK(_xlfn.xlookup(D$3,daily_items,_xlfn.xlookup($C4275,daily_dates,big_daily_table))),NA(),_xlfn.xlookup(D$3,daily_items,_xlfn.xlookup($C4275,daily_dates,big_daily_table)))</f>
        <v>#NAME?</v>
      </c>
      <c r="E4275" s="1" t="e">
        <f aca="false" t="array" ref="E4275:E4275">IF(ISBLANK(_xlfn.xlookup(E$3,daily_items,_xlfn.xlookup($C4275,daily_dates,big_daily_table))),NA(),_xlfn.xlookup(E$3,daily_items,_xlfn.xlookup($C4275,daily_dates,big_daily_table)))</f>
        <v>#NAME?</v>
      </c>
    </row>
    <row r="4276" customFormat="false" ht="14.25" hidden="false" customHeight="false" outlineLevel="0" collapsed="false">
      <c r="B4276" s="7" t="n">
        <v>45181</v>
      </c>
      <c r="C4276" s="7" t="n">
        <f aca="false">B4276-WEEKDAY(B4276)+1</f>
        <v>45179</v>
      </c>
      <c r="D4276" s="1" t="e">
        <f aca="false" t="array" ref="D4276:D4276">IF(ISBLANK(_xlfn.xlookup(D$3,daily_items,_xlfn.xlookup($C4276,daily_dates,big_daily_table))),NA(),_xlfn.xlookup(D$3,daily_items,_xlfn.xlookup($C4276,daily_dates,big_daily_table)))</f>
        <v>#NAME?</v>
      </c>
      <c r="E4276" s="1" t="e">
        <f aca="false" t="array" ref="E4276:E4276">IF(ISBLANK(_xlfn.xlookup(E$3,daily_items,_xlfn.xlookup($C4276,daily_dates,big_daily_table))),NA(),_xlfn.xlookup(E$3,daily_items,_xlfn.xlookup($C4276,daily_dates,big_daily_table)))</f>
        <v>#NAME?</v>
      </c>
    </row>
    <row r="4277" customFormat="false" ht="14.25" hidden="false" customHeight="false" outlineLevel="0" collapsed="false">
      <c r="B4277" s="7" t="n">
        <v>45182</v>
      </c>
      <c r="C4277" s="7" t="n">
        <f aca="false">B4277-WEEKDAY(B4277)+1</f>
        <v>45179</v>
      </c>
      <c r="D4277" s="1" t="e">
        <f aca="false" t="array" ref="D4277:D4277">IF(ISBLANK(_xlfn.xlookup(D$3,daily_items,_xlfn.xlookup($C4277,daily_dates,big_daily_table))),NA(),_xlfn.xlookup(D$3,daily_items,_xlfn.xlookup($C4277,daily_dates,big_daily_table)))</f>
        <v>#NAME?</v>
      </c>
      <c r="E4277" s="1" t="e">
        <f aca="false" t="array" ref="E4277:E4277">IF(ISBLANK(_xlfn.xlookup(E$3,daily_items,_xlfn.xlookup($C4277,daily_dates,big_daily_table))),NA(),_xlfn.xlookup(E$3,daily_items,_xlfn.xlookup($C4277,daily_dates,big_daily_table)))</f>
        <v>#NAME?</v>
      </c>
    </row>
    <row r="4278" customFormat="false" ht="14.25" hidden="false" customHeight="false" outlineLevel="0" collapsed="false">
      <c r="B4278" s="7" t="n">
        <v>45183</v>
      </c>
      <c r="C4278" s="7" t="n">
        <f aca="false">B4278-WEEKDAY(B4278)+1</f>
        <v>45179</v>
      </c>
      <c r="D4278" s="1" t="e">
        <f aca="false" t="array" ref="D4278:D4278">IF(ISBLANK(_xlfn.xlookup(D$3,daily_items,_xlfn.xlookup($C4278,daily_dates,big_daily_table))),NA(),_xlfn.xlookup(D$3,daily_items,_xlfn.xlookup($C4278,daily_dates,big_daily_table)))</f>
        <v>#NAME?</v>
      </c>
      <c r="E4278" s="1" t="e">
        <f aca="false" t="array" ref="E4278:E4278">IF(ISBLANK(_xlfn.xlookup(E$3,daily_items,_xlfn.xlookup($C4278,daily_dates,big_daily_table))),NA(),_xlfn.xlookup(E$3,daily_items,_xlfn.xlookup($C4278,daily_dates,big_daily_table)))</f>
        <v>#NAME?</v>
      </c>
    </row>
    <row r="4279" customFormat="false" ht="14.25" hidden="false" customHeight="false" outlineLevel="0" collapsed="false">
      <c r="B4279" s="7" t="n">
        <v>45184</v>
      </c>
      <c r="C4279" s="7" t="n">
        <f aca="false">B4279-WEEKDAY(B4279)+1</f>
        <v>45179</v>
      </c>
      <c r="D4279" s="1" t="e">
        <f aca="false" t="array" ref="D4279:D4279">IF(ISBLANK(_xlfn.xlookup(D$3,daily_items,_xlfn.xlookup($C4279,daily_dates,big_daily_table))),NA(),_xlfn.xlookup(D$3,daily_items,_xlfn.xlookup($C4279,daily_dates,big_daily_table)))</f>
        <v>#NAME?</v>
      </c>
      <c r="E4279" s="1" t="e">
        <f aca="false" t="array" ref="E4279:E4279">IF(ISBLANK(_xlfn.xlookup(E$3,daily_items,_xlfn.xlookup($C4279,daily_dates,big_daily_table))),NA(),_xlfn.xlookup(E$3,daily_items,_xlfn.xlookup($C4279,daily_dates,big_daily_table)))</f>
        <v>#NAME?</v>
      </c>
    </row>
    <row r="4280" customFormat="false" ht="14.25" hidden="false" customHeight="false" outlineLevel="0" collapsed="false">
      <c r="B4280" s="7" t="n">
        <v>45185</v>
      </c>
      <c r="C4280" s="7" t="n">
        <f aca="false">B4280-WEEKDAY(B4280)+1</f>
        <v>45179</v>
      </c>
      <c r="D4280" s="1" t="e">
        <f aca="false" t="array" ref="D4280:D4280">IF(ISBLANK(_xlfn.xlookup(D$3,daily_items,_xlfn.xlookup($C4280,daily_dates,big_daily_table))),NA(),_xlfn.xlookup(D$3,daily_items,_xlfn.xlookup($C4280,daily_dates,big_daily_table)))</f>
        <v>#NAME?</v>
      </c>
      <c r="E4280" s="1" t="e">
        <f aca="false" t="array" ref="E4280:E4280">IF(ISBLANK(_xlfn.xlookup(E$3,daily_items,_xlfn.xlookup($C4280,daily_dates,big_daily_table))),NA(),_xlfn.xlookup(E$3,daily_items,_xlfn.xlookup($C4280,daily_dates,big_daily_table)))</f>
        <v>#NAME?</v>
      </c>
    </row>
    <row r="4281" customFormat="false" ht="14.25" hidden="false" customHeight="false" outlineLevel="0" collapsed="false">
      <c r="B4281" s="7" t="n">
        <v>45186</v>
      </c>
      <c r="C4281" s="7" t="n">
        <f aca="false">B4281-WEEKDAY(B4281)+1</f>
        <v>45186</v>
      </c>
      <c r="D4281" s="1" t="e">
        <f aca="false" t="array" ref="D4281:D4281">IF(ISBLANK(_xlfn.xlookup(D$3,daily_items,_xlfn.xlookup($C4281,daily_dates,big_daily_table))),NA(),_xlfn.xlookup(D$3,daily_items,_xlfn.xlookup($C4281,daily_dates,big_daily_table)))</f>
        <v>#NAME?</v>
      </c>
      <c r="E4281" s="1" t="e">
        <f aca="false" t="array" ref="E4281:E4281">IF(ISBLANK(_xlfn.xlookup(E$3,daily_items,_xlfn.xlookup($C4281,daily_dates,big_daily_table))),NA(),_xlfn.xlookup(E$3,daily_items,_xlfn.xlookup($C4281,daily_dates,big_daily_table)))</f>
        <v>#NAME?</v>
      </c>
    </row>
    <row r="4282" customFormat="false" ht="14.25" hidden="false" customHeight="false" outlineLevel="0" collapsed="false">
      <c r="B4282" s="7" t="n">
        <v>45187</v>
      </c>
      <c r="C4282" s="7" t="n">
        <f aca="false">B4282-WEEKDAY(B4282)+1</f>
        <v>45186</v>
      </c>
      <c r="D4282" s="1" t="e">
        <f aca="false" t="array" ref="D4282:D4282">IF(ISBLANK(_xlfn.xlookup(D$3,daily_items,_xlfn.xlookup($C4282,daily_dates,big_daily_table))),NA(),_xlfn.xlookup(D$3,daily_items,_xlfn.xlookup($C4282,daily_dates,big_daily_table)))</f>
        <v>#NAME?</v>
      </c>
      <c r="E4282" s="1" t="e">
        <f aca="false" t="array" ref="E4282:E4282">IF(ISBLANK(_xlfn.xlookup(E$3,daily_items,_xlfn.xlookup($C4282,daily_dates,big_daily_table))),NA(),_xlfn.xlookup(E$3,daily_items,_xlfn.xlookup($C4282,daily_dates,big_daily_table)))</f>
        <v>#NAME?</v>
      </c>
    </row>
    <row r="4283" customFormat="false" ht="14.25" hidden="false" customHeight="false" outlineLevel="0" collapsed="false">
      <c r="B4283" s="7" t="n">
        <v>45188</v>
      </c>
      <c r="C4283" s="7" t="n">
        <f aca="false">B4283-WEEKDAY(B4283)+1</f>
        <v>45186</v>
      </c>
      <c r="D4283" s="1" t="e">
        <f aca="false" t="array" ref="D4283:D4283">IF(ISBLANK(_xlfn.xlookup(D$3,daily_items,_xlfn.xlookup($C4283,daily_dates,big_daily_table))),NA(),_xlfn.xlookup(D$3,daily_items,_xlfn.xlookup($C4283,daily_dates,big_daily_table)))</f>
        <v>#NAME?</v>
      </c>
      <c r="E4283" s="1" t="e">
        <f aca="false" t="array" ref="E4283:E4283">IF(ISBLANK(_xlfn.xlookup(E$3,daily_items,_xlfn.xlookup($C4283,daily_dates,big_daily_table))),NA(),_xlfn.xlookup(E$3,daily_items,_xlfn.xlookup($C4283,daily_dates,big_daily_table)))</f>
        <v>#NAME?</v>
      </c>
    </row>
    <row r="4284" customFormat="false" ht="14.25" hidden="false" customHeight="false" outlineLevel="0" collapsed="false">
      <c r="B4284" s="7" t="n">
        <v>45189</v>
      </c>
      <c r="C4284" s="7" t="n">
        <f aca="false">B4284-WEEKDAY(B4284)+1</f>
        <v>45186</v>
      </c>
      <c r="D4284" s="1" t="e">
        <f aca="false" t="array" ref="D4284:D4284">IF(ISBLANK(_xlfn.xlookup(D$3,daily_items,_xlfn.xlookup($C4284,daily_dates,big_daily_table))),NA(),_xlfn.xlookup(D$3,daily_items,_xlfn.xlookup($C4284,daily_dates,big_daily_table)))</f>
        <v>#NAME?</v>
      </c>
      <c r="E4284" s="1" t="e">
        <f aca="false" t="array" ref="E4284:E4284">IF(ISBLANK(_xlfn.xlookup(E$3,daily_items,_xlfn.xlookup($C4284,daily_dates,big_daily_table))),NA(),_xlfn.xlookup(E$3,daily_items,_xlfn.xlookup($C4284,daily_dates,big_daily_table)))</f>
        <v>#NAME?</v>
      </c>
    </row>
    <row r="4285" customFormat="false" ht="14.25" hidden="false" customHeight="false" outlineLevel="0" collapsed="false">
      <c r="B4285" s="7" t="n">
        <v>45190</v>
      </c>
      <c r="C4285" s="7" t="n">
        <f aca="false">B4285-WEEKDAY(B4285)+1</f>
        <v>45186</v>
      </c>
      <c r="D4285" s="1" t="e">
        <f aca="false" t="array" ref="D4285:D4285">IF(ISBLANK(_xlfn.xlookup(D$3,daily_items,_xlfn.xlookup($C4285,daily_dates,big_daily_table))),NA(),_xlfn.xlookup(D$3,daily_items,_xlfn.xlookup($C4285,daily_dates,big_daily_table)))</f>
        <v>#NAME?</v>
      </c>
      <c r="E4285" s="1" t="e">
        <f aca="false" t="array" ref="E4285:E4285">IF(ISBLANK(_xlfn.xlookup(E$3,daily_items,_xlfn.xlookup($C4285,daily_dates,big_daily_table))),NA(),_xlfn.xlookup(E$3,daily_items,_xlfn.xlookup($C4285,daily_dates,big_daily_table)))</f>
        <v>#NAME?</v>
      </c>
    </row>
    <row r="4286" customFormat="false" ht="14.25" hidden="false" customHeight="false" outlineLevel="0" collapsed="false">
      <c r="B4286" s="7" t="n">
        <v>45191</v>
      </c>
      <c r="C4286" s="7" t="n">
        <f aca="false">B4286-WEEKDAY(B4286)+1</f>
        <v>45186</v>
      </c>
      <c r="D4286" s="1" t="e">
        <f aca="false" t="array" ref="D4286:D4286">IF(ISBLANK(_xlfn.xlookup(D$3,daily_items,_xlfn.xlookup($C4286,daily_dates,big_daily_table))),NA(),_xlfn.xlookup(D$3,daily_items,_xlfn.xlookup($C4286,daily_dates,big_daily_table)))</f>
        <v>#NAME?</v>
      </c>
      <c r="E4286" s="1" t="e">
        <f aca="false" t="array" ref="E4286:E4286">IF(ISBLANK(_xlfn.xlookup(E$3,daily_items,_xlfn.xlookup($C4286,daily_dates,big_daily_table))),NA(),_xlfn.xlookup(E$3,daily_items,_xlfn.xlookup($C4286,daily_dates,big_daily_table)))</f>
        <v>#NAME?</v>
      </c>
    </row>
    <row r="4287" customFormat="false" ht="14.25" hidden="false" customHeight="false" outlineLevel="0" collapsed="false">
      <c r="B4287" s="7" t="n">
        <v>45192</v>
      </c>
      <c r="C4287" s="7" t="n">
        <f aca="false">B4287-WEEKDAY(B4287)+1</f>
        <v>45186</v>
      </c>
      <c r="D4287" s="1" t="e">
        <f aca="false" t="array" ref="D4287:D4287">IF(ISBLANK(_xlfn.xlookup(D$3,daily_items,_xlfn.xlookup($C4287,daily_dates,big_daily_table))),NA(),_xlfn.xlookup(D$3,daily_items,_xlfn.xlookup($C4287,daily_dates,big_daily_table)))</f>
        <v>#NAME?</v>
      </c>
      <c r="E4287" s="1" t="e">
        <f aca="false" t="array" ref="E4287:E4287">IF(ISBLANK(_xlfn.xlookup(E$3,daily_items,_xlfn.xlookup($C4287,daily_dates,big_daily_table))),NA(),_xlfn.xlookup(E$3,daily_items,_xlfn.xlookup($C4287,daily_dates,big_daily_table)))</f>
        <v>#NAME?</v>
      </c>
    </row>
    <row r="4288" customFormat="false" ht="14.25" hidden="false" customHeight="false" outlineLevel="0" collapsed="false">
      <c r="B4288" s="7" t="n">
        <v>45193</v>
      </c>
      <c r="C4288" s="7" t="n">
        <f aca="false">B4288-WEEKDAY(B4288)+1</f>
        <v>45193</v>
      </c>
      <c r="D4288" s="1" t="e">
        <f aca="false" t="array" ref="D4288:D4288">IF(ISBLANK(_xlfn.xlookup(D$3,daily_items,_xlfn.xlookup($C4288,daily_dates,big_daily_table))),NA(),_xlfn.xlookup(D$3,daily_items,_xlfn.xlookup($C4288,daily_dates,big_daily_table)))</f>
        <v>#NAME?</v>
      </c>
      <c r="E4288" s="1" t="e">
        <f aca="false" t="array" ref="E4288:E4288">IF(ISBLANK(_xlfn.xlookup(E$3,daily_items,_xlfn.xlookup($C4288,daily_dates,big_daily_table))),NA(),_xlfn.xlookup(E$3,daily_items,_xlfn.xlookup($C4288,daily_dates,big_daily_table)))</f>
        <v>#NAME?</v>
      </c>
    </row>
    <row r="4289" customFormat="false" ht="14.25" hidden="false" customHeight="false" outlineLevel="0" collapsed="false">
      <c r="B4289" s="7" t="n">
        <v>45194</v>
      </c>
      <c r="C4289" s="7" t="n">
        <f aca="false">B4289-WEEKDAY(B4289)+1</f>
        <v>45193</v>
      </c>
      <c r="D4289" s="1" t="e">
        <f aca="false" t="array" ref="D4289:D4289">IF(ISBLANK(_xlfn.xlookup(D$3,daily_items,_xlfn.xlookup($C4289,daily_dates,big_daily_table))),NA(),_xlfn.xlookup(D$3,daily_items,_xlfn.xlookup($C4289,daily_dates,big_daily_table)))</f>
        <v>#NAME?</v>
      </c>
      <c r="E4289" s="1" t="e">
        <f aca="false" t="array" ref="E4289:E4289">IF(ISBLANK(_xlfn.xlookup(E$3,daily_items,_xlfn.xlookup($C4289,daily_dates,big_daily_table))),NA(),_xlfn.xlookup(E$3,daily_items,_xlfn.xlookup($C4289,daily_dates,big_daily_table)))</f>
        <v>#NAME?</v>
      </c>
    </row>
    <row r="4290" customFormat="false" ht="14.25" hidden="false" customHeight="false" outlineLevel="0" collapsed="false">
      <c r="B4290" s="7" t="n">
        <v>45195</v>
      </c>
      <c r="C4290" s="7" t="n">
        <f aca="false">B4290-WEEKDAY(B4290)+1</f>
        <v>45193</v>
      </c>
      <c r="D4290" s="1" t="e">
        <f aca="false" t="array" ref="D4290:D4290">IF(ISBLANK(_xlfn.xlookup(D$3,daily_items,_xlfn.xlookup($C4290,daily_dates,big_daily_table))),NA(),_xlfn.xlookup(D$3,daily_items,_xlfn.xlookup($C4290,daily_dates,big_daily_table)))</f>
        <v>#NAME?</v>
      </c>
      <c r="E4290" s="1" t="e">
        <f aca="false" t="array" ref="E4290:E4290">IF(ISBLANK(_xlfn.xlookup(E$3,daily_items,_xlfn.xlookup($C4290,daily_dates,big_daily_table))),NA(),_xlfn.xlookup(E$3,daily_items,_xlfn.xlookup($C4290,daily_dates,big_daily_table)))</f>
        <v>#NAME?</v>
      </c>
    </row>
    <row r="4291" customFormat="false" ht="14.25" hidden="false" customHeight="false" outlineLevel="0" collapsed="false">
      <c r="B4291" s="7" t="n">
        <v>45196</v>
      </c>
      <c r="C4291" s="7" t="n">
        <f aca="false">B4291-WEEKDAY(B4291)+1</f>
        <v>45193</v>
      </c>
      <c r="D4291" s="1" t="e">
        <f aca="false" t="array" ref="D4291:D4291">IF(ISBLANK(_xlfn.xlookup(D$3,daily_items,_xlfn.xlookup($C4291,daily_dates,big_daily_table))),NA(),_xlfn.xlookup(D$3,daily_items,_xlfn.xlookup($C4291,daily_dates,big_daily_table)))</f>
        <v>#NAME?</v>
      </c>
      <c r="E4291" s="1" t="e">
        <f aca="false" t="array" ref="E4291:E4291">IF(ISBLANK(_xlfn.xlookup(E$3,daily_items,_xlfn.xlookup($C4291,daily_dates,big_daily_table))),NA(),_xlfn.xlookup(E$3,daily_items,_xlfn.xlookup($C4291,daily_dates,big_daily_table)))</f>
        <v>#NAME?</v>
      </c>
    </row>
    <row r="4292" customFormat="false" ht="14.25" hidden="false" customHeight="false" outlineLevel="0" collapsed="false">
      <c r="B4292" s="7" t="n">
        <v>45197</v>
      </c>
      <c r="C4292" s="7" t="n">
        <f aca="false">B4292-WEEKDAY(B4292)+1</f>
        <v>45193</v>
      </c>
      <c r="D4292" s="1" t="e">
        <f aca="false" t="array" ref="D4292:D4292">IF(ISBLANK(_xlfn.xlookup(D$3,daily_items,_xlfn.xlookup($C4292,daily_dates,big_daily_table))),NA(),_xlfn.xlookup(D$3,daily_items,_xlfn.xlookup($C4292,daily_dates,big_daily_table)))</f>
        <v>#NAME?</v>
      </c>
      <c r="E4292" s="1" t="e">
        <f aca="false" t="array" ref="E4292:E4292">IF(ISBLANK(_xlfn.xlookup(E$3,daily_items,_xlfn.xlookup($C4292,daily_dates,big_daily_table))),NA(),_xlfn.xlookup(E$3,daily_items,_xlfn.xlookup($C4292,daily_dates,big_daily_table)))</f>
        <v>#NAME?</v>
      </c>
    </row>
    <row r="4293" customFormat="false" ht="14.25" hidden="false" customHeight="false" outlineLevel="0" collapsed="false">
      <c r="B4293" s="7" t="n">
        <v>45198</v>
      </c>
      <c r="C4293" s="7" t="n">
        <f aca="false">B4293-WEEKDAY(B4293)+1</f>
        <v>45193</v>
      </c>
      <c r="D4293" s="1" t="e">
        <f aca="false" t="array" ref="D4293:D4293">IF(ISBLANK(_xlfn.xlookup(D$3,daily_items,_xlfn.xlookup($C4293,daily_dates,big_daily_table))),NA(),_xlfn.xlookup(D$3,daily_items,_xlfn.xlookup($C4293,daily_dates,big_daily_table)))</f>
        <v>#NAME?</v>
      </c>
      <c r="E4293" s="1" t="e">
        <f aca="false" t="array" ref="E4293:E4293">IF(ISBLANK(_xlfn.xlookup(E$3,daily_items,_xlfn.xlookup($C4293,daily_dates,big_daily_table))),NA(),_xlfn.xlookup(E$3,daily_items,_xlfn.xlookup($C4293,daily_dates,big_daily_table)))</f>
        <v>#NAME?</v>
      </c>
    </row>
    <row r="4294" customFormat="false" ht="14.25" hidden="false" customHeight="false" outlineLevel="0" collapsed="false">
      <c r="B4294" s="7" t="n">
        <v>45199</v>
      </c>
      <c r="C4294" s="7" t="n">
        <f aca="false">B4294-WEEKDAY(B4294)+1</f>
        <v>45193</v>
      </c>
      <c r="D4294" s="1" t="e">
        <f aca="false" t="array" ref="D4294:D4294">IF(ISBLANK(_xlfn.xlookup(D$3,daily_items,_xlfn.xlookup($C4294,daily_dates,big_daily_table))),NA(),_xlfn.xlookup(D$3,daily_items,_xlfn.xlookup($C4294,daily_dates,big_daily_table)))</f>
        <v>#NAME?</v>
      </c>
      <c r="E4294" s="1" t="e">
        <f aca="false" t="array" ref="E4294:E4294">IF(ISBLANK(_xlfn.xlookup(E$3,daily_items,_xlfn.xlookup($C4294,daily_dates,big_daily_table))),NA(),_xlfn.xlookup(E$3,daily_items,_xlfn.xlookup($C4294,daily_dates,big_daily_table)))</f>
        <v>#NAME?</v>
      </c>
    </row>
    <row r="4295" customFormat="false" ht="14.25" hidden="false" customHeight="false" outlineLevel="0" collapsed="false">
      <c r="B4295" s="7" t="n">
        <v>45200</v>
      </c>
      <c r="C4295" s="7" t="n">
        <f aca="false">B4295-WEEKDAY(B4295)+1</f>
        <v>45200</v>
      </c>
      <c r="D4295" s="1" t="e">
        <f aca="false" t="array" ref="D4295:D4295">IF(ISBLANK(_xlfn.xlookup(D$3,daily_items,_xlfn.xlookup($C4295,daily_dates,big_daily_table))),NA(),_xlfn.xlookup(D$3,daily_items,_xlfn.xlookup($C4295,daily_dates,big_daily_table)))</f>
        <v>#NAME?</v>
      </c>
      <c r="E4295" s="1" t="e">
        <f aca="false" t="array" ref="E4295:E4295">IF(ISBLANK(_xlfn.xlookup(E$3,daily_items,_xlfn.xlookup($C4295,daily_dates,big_daily_table))),NA(),_xlfn.xlookup(E$3,daily_items,_xlfn.xlookup($C4295,daily_dates,big_daily_table)))</f>
        <v>#NAME?</v>
      </c>
    </row>
    <row r="4296" customFormat="false" ht="14.25" hidden="false" customHeight="false" outlineLevel="0" collapsed="false">
      <c r="B4296" s="7" t="n">
        <v>45201</v>
      </c>
      <c r="C4296" s="7" t="n">
        <f aca="false">B4296-WEEKDAY(B4296)+1</f>
        <v>45200</v>
      </c>
      <c r="D4296" s="1" t="e">
        <f aca="false" t="array" ref="D4296:D4296">IF(ISBLANK(_xlfn.xlookup(D$3,daily_items,_xlfn.xlookup($C4296,daily_dates,big_daily_table))),NA(),_xlfn.xlookup(D$3,daily_items,_xlfn.xlookup($C4296,daily_dates,big_daily_table)))</f>
        <v>#NAME?</v>
      </c>
      <c r="E4296" s="1" t="e">
        <f aca="false" t="array" ref="E4296:E4296">IF(ISBLANK(_xlfn.xlookup(E$3,daily_items,_xlfn.xlookup($C4296,daily_dates,big_daily_table))),NA(),_xlfn.xlookup(E$3,daily_items,_xlfn.xlookup($C4296,daily_dates,big_daily_table)))</f>
        <v>#NAME?</v>
      </c>
    </row>
    <row r="4297" customFormat="false" ht="14.25" hidden="false" customHeight="false" outlineLevel="0" collapsed="false">
      <c r="B4297" s="7" t="n">
        <v>45202</v>
      </c>
      <c r="C4297" s="7" t="n">
        <f aca="false">B4297-WEEKDAY(B4297)+1</f>
        <v>45200</v>
      </c>
      <c r="D4297" s="1" t="e">
        <f aca="false" t="array" ref="D4297:D4297">IF(ISBLANK(_xlfn.xlookup(D$3,daily_items,_xlfn.xlookup($C4297,daily_dates,big_daily_table))),NA(),_xlfn.xlookup(D$3,daily_items,_xlfn.xlookup($C4297,daily_dates,big_daily_table)))</f>
        <v>#NAME?</v>
      </c>
      <c r="E4297" s="1" t="e">
        <f aca="false" t="array" ref="E4297:E4297">IF(ISBLANK(_xlfn.xlookup(E$3,daily_items,_xlfn.xlookup($C4297,daily_dates,big_daily_table))),NA(),_xlfn.xlookup(E$3,daily_items,_xlfn.xlookup($C4297,daily_dates,big_daily_table)))</f>
        <v>#NAME?</v>
      </c>
    </row>
    <row r="4298" customFormat="false" ht="14.25" hidden="false" customHeight="false" outlineLevel="0" collapsed="false">
      <c r="B4298" s="7" t="n">
        <v>45203</v>
      </c>
      <c r="C4298" s="7" t="n">
        <f aca="false">B4298-WEEKDAY(B4298)+1</f>
        <v>45200</v>
      </c>
      <c r="D4298" s="1" t="e">
        <f aca="false" t="array" ref="D4298:D4298">IF(ISBLANK(_xlfn.xlookup(D$3,daily_items,_xlfn.xlookup($C4298,daily_dates,big_daily_table))),NA(),_xlfn.xlookup(D$3,daily_items,_xlfn.xlookup($C4298,daily_dates,big_daily_table)))</f>
        <v>#NAME?</v>
      </c>
      <c r="E4298" s="1" t="e">
        <f aca="false" t="array" ref="E4298:E4298">IF(ISBLANK(_xlfn.xlookup(E$3,daily_items,_xlfn.xlookup($C4298,daily_dates,big_daily_table))),NA(),_xlfn.xlookup(E$3,daily_items,_xlfn.xlookup($C4298,daily_dates,big_daily_table)))</f>
        <v>#NAME?</v>
      </c>
    </row>
    <row r="4299" customFormat="false" ht="14.25" hidden="false" customHeight="false" outlineLevel="0" collapsed="false">
      <c r="B4299" s="7" t="n">
        <v>45204</v>
      </c>
      <c r="C4299" s="7" t="n">
        <f aca="false">B4299-WEEKDAY(B4299)+1</f>
        <v>45200</v>
      </c>
      <c r="D4299" s="1" t="e">
        <f aca="false" t="array" ref="D4299:D4299">IF(ISBLANK(_xlfn.xlookup(D$3,daily_items,_xlfn.xlookup($C4299,daily_dates,big_daily_table))),NA(),_xlfn.xlookup(D$3,daily_items,_xlfn.xlookup($C4299,daily_dates,big_daily_table)))</f>
        <v>#NAME?</v>
      </c>
      <c r="E4299" s="1" t="e">
        <f aca="false" t="array" ref="E4299:E4299">IF(ISBLANK(_xlfn.xlookup(E$3,daily_items,_xlfn.xlookup($C4299,daily_dates,big_daily_table))),NA(),_xlfn.xlookup(E$3,daily_items,_xlfn.xlookup($C4299,daily_dates,big_daily_table)))</f>
        <v>#NAME?</v>
      </c>
    </row>
    <row r="4300" customFormat="false" ht="14.25" hidden="false" customHeight="false" outlineLevel="0" collapsed="false">
      <c r="B4300" s="7" t="n">
        <v>45205</v>
      </c>
      <c r="C4300" s="7" t="n">
        <f aca="false">B4300-WEEKDAY(B4300)+1</f>
        <v>45200</v>
      </c>
      <c r="D4300" s="1" t="e">
        <f aca="false" t="array" ref="D4300:D4300">IF(ISBLANK(_xlfn.xlookup(D$3,daily_items,_xlfn.xlookup($C4300,daily_dates,big_daily_table))),NA(),_xlfn.xlookup(D$3,daily_items,_xlfn.xlookup($C4300,daily_dates,big_daily_table)))</f>
        <v>#NAME?</v>
      </c>
      <c r="E4300" s="1" t="e">
        <f aca="false" t="array" ref="E4300:E4300">IF(ISBLANK(_xlfn.xlookup(E$3,daily_items,_xlfn.xlookup($C4300,daily_dates,big_daily_table))),NA(),_xlfn.xlookup(E$3,daily_items,_xlfn.xlookup($C4300,daily_dates,big_daily_table)))</f>
        <v>#NAME?</v>
      </c>
    </row>
    <row r="4301" customFormat="false" ht="14.25" hidden="false" customHeight="false" outlineLevel="0" collapsed="false">
      <c r="B4301" s="7" t="n">
        <v>45206</v>
      </c>
      <c r="C4301" s="7" t="n">
        <f aca="false">B4301-WEEKDAY(B4301)+1</f>
        <v>45200</v>
      </c>
      <c r="D4301" s="1" t="e">
        <f aca="false" t="array" ref="D4301:D4301">IF(ISBLANK(_xlfn.xlookup(D$3,daily_items,_xlfn.xlookup($C4301,daily_dates,big_daily_table))),NA(),_xlfn.xlookup(D$3,daily_items,_xlfn.xlookup($C4301,daily_dates,big_daily_table)))</f>
        <v>#NAME?</v>
      </c>
      <c r="E4301" s="1" t="e">
        <f aca="false" t="array" ref="E4301:E4301">IF(ISBLANK(_xlfn.xlookup(E$3,daily_items,_xlfn.xlookup($C4301,daily_dates,big_daily_table))),NA(),_xlfn.xlookup(E$3,daily_items,_xlfn.xlookup($C4301,daily_dates,big_daily_table)))</f>
        <v>#NAME?</v>
      </c>
    </row>
    <row r="4302" customFormat="false" ht="14.25" hidden="false" customHeight="false" outlineLevel="0" collapsed="false">
      <c r="B4302" s="7" t="n">
        <v>45207</v>
      </c>
      <c r="C4302" s="7" t="n">
        <f aca="false">B4302-WEEKDAY(B4302)+1</f>
        <v>45207</v>
      </c>
      <c r="D4302" s="1" t="e">
        <f aca="false" t="array" ref="D4302:D4302">IF(ISBLANK(_xlfn.xlookup(D$3,daily_items,_xlfn.xlookup($C4302,daily_dates,big_daily_table))),NA(),_xlfn.xlookup(D$3,daily_items,_xlfn.xlookup($C4302,daily_dates,big_daily_table)))</f>
        <v>#NAME?</v>
      </c>
      <c r="E4302" s="1" t="e">
        <f aca="false" t="array" ref="E4302:E4302">IF(ISBLANK(_xlfn.xlookup(E$3,daily_items,_xlfn.xlookup($C4302,daily_dates,big_daily_table))),NA(),_xlfn.xlookup(E$3,daily_items,_xlfn.xlookup($C4302,daily_dates,big_daily_table)))</f>
        <v>#NAME?</v>
      </c>
    </row>
    <row r="4303" customFormat="false" ht="14.25" hidden="false" customHeight="false" outlineLevel="0" collapsed="false">
      <c r="B4303" s="7" t="n">
        <v>45208</v>
      </c>
      <c r="C4303" s="7" t="n">
        <f aca="false">B4303-WEEKDAY(B4303)+1</f>
        <v>45207</v>
      </c>
      <c r="D4303" s="1" t="e">
        <f aca="false" t="array" ref="D4303:D4303">IF(ISBLANK(_xlfn.xlookup(D$3,daily_items,_xlfn.xlookup($C4303,daily_dates,big_daily_table))),NA(),_xlfn.xlookup(D$3,daily_items,_xlfn.xlookup($C4303,daily_dates,big_daily_table)))</f>
        <v>#NAME?</v>
      </c>
      <c r="E4303" s="1" t="e">
        <f aca="false" t="array" ref="E4303:E4303">IF(ISBLANK(_xlfn.xlookup(E$3,daily_items,_xlfn.xlookup($C4303,daily_dates,big_daily_table))),NA(),_xlfn.xlookup(E$3,daily_items,_xlfn.xlookup($C4303,daily_dates,big_daily_table)))</f>
        <v>#NAME?</v>
      </c>
    </row>
    <row r="4304" customFormat="false" ht="14.25" hidden="false" customHeight="false" outlineLevel="0" collapsed="false">
      <c r="B4304" s="7" t="n">
        <v>45209</v>
      </c>
      <c r="C4304" s="7" t="n">
        <f aca="false">B4304-WEEKDAY(B4304)+1</f>
        <v>45207</v>
      </c>
      <c r="D4304" s="1" t="e">
        <f aca="false" t="array" ref="D4304:D4304">IF(ISBLANK(_xlfn.xlookup(D$3,daily_items,_xlfn.xlookup($C4304,daily_dates,big_daily_table))),NA(),_xlfn.xlookup(D$3,daily_items,_xlfn.xlookup($C4304,daily_dates,big_daily_table)))</f>
        <v>#NAME?</v>
      </c>
      <c r="E4304" s="1" t="e">
        <f aca="false" t="array" ref="E4304:E4304">IF(ISBLANK(_xlfn.xlookup(E$3,daily_items,_xlfn.xlookup($C4304,daily_dates,big_daily_table))),NA(),_xlfn.xlookup(E$3,daily_items,_xlfn.xlookup($C4304,daily_dates,big_daily_table)))</f>
        <v>#NAME?</v>
      </c>
    </row>
    <row r="4305" customFormat="false" ht="14.25" hidden="false" customHeight="false" outlineLevel="0" collapsed="false">
      <c r="B4305" s="7" t="n">
        <v>45210</v>
      </c>
      <c r="C4305" s="7" t="n">
        <f aca="false">B4305-WEEKDAY(B4305)+1</f>
        <v>45207</v>
      </c>
      <c r="D4305" s="1" t="e">
        <f aca="false" t="array" ref="D4305:D4305">IF(ISBLANK(_xlfn.xlookup(D$3,daily_items,_xlfn.xlookup($C4305,daily_dates,big_daily_table))),NA(),_xlfn.xlookup(D$3,daily_items,_xlfn.xlookup($C4305,daily_dates,big_daily_table)))</f>
        <v>#NAME?</v>
      </c>
      <c r="E4305" s="1" t="e">
        <f aca="false" t="array" ref="E4305:E4305">IF(ISBLANK(_xlfn.xlookup(E$3,daily_items,_xlfn.xlookup($C4305,daily_dates,big_daily_table))),NA(),_xlfn.xlookup(E$3,daily_items,_xlfn.xlookup($C4305,daily_dates,big_daily_table)))</f>
        <v>#NAME?</v>
      </c>
    </row>
    <row r="4306" customFormat="false" ht="14.25" hidden="false" customHeight="false" outlineLevel="0" collapsed="false">
      <c r="B4306" s="7" t="n">
        <v>45211</v>
      </c>
      <c r="C4306" s="7" t="n">
        <f aca="false">B4306-WEEKDAY(B4306)+1</f>
        <v>45207</v>
      </c>
      <c r="D4306" s="1" t="e">
        <f aca="false" t="array" ref="D4306:D4306">IF(ISBLANK(_xlfn.xlookup(D$3,daily_items,_xlfn.xlookup($C4306,daily_dates,big_daily_table))),NA(),_xlfn.xlookup(D$3,daily_items,_xlfn.xlookup($C4306,daily_dates,big_daily_table)))</f>
        <v>#NAME?</v>
      </c>
      <c r="E4306" s="1" t="e">
        <f aca="false" t="array" ref="E4306:E4306">IF(ISBLANK(_xlfn.xlookup(E$3,daily_items,_xlfn.xlookup($C4306,daily_dates,big_daily_table))),NA(),_xlfn.xlookup(E$3,daily_items,_xlfn.xlookup($C4306,daily_dates,big_daily_table)))</f>
        <v>#NAME?</v>
      </c>
    </row>
    <row r="4307" customFormat="false" ht="14.25" hidden="false" customHeight="false" outlineLevel="0" collapsed="false">
      <c r="B4307" s="7" t="n">
        <v>45212</v>
      </c>
      <c r="C4307" s="7" t="n">
        <f aca="false">B4307-WEEKDAY(B4307)+1</f>
        <v>45207</v>
      </c>
      <c r="D4307" s="1" t="e">
        <f aca="false" t="array" ref="D4307:D4307">IF(ISBLANK(_xlfn.xlookup(D$3,daily_items,_xlfn.xlookup($C4307,daily_dates,big_daily_table))),NA(),_xlfn.xlookup(D$3,daily_items,_xlfn.xlookup($C4307,daily_dates,big_daily_table)))</f>
        <v>#NAME?</v>
      </c>
      <c r="E4307" s="1" t="e">
        <f aca="false" t="array" ref="E4307:E4307">IF(ISBLANK(_xlfn.xlookup(E$3,daily_items,_xlfn.xlookup($C4307,daily_dates,big_daily_table))),NA(),_xlfn.xlookup(E$3,daily_items,_xlfn.xlookup($C4307,daily_dates,big_daily_table)))</f>
        <v>#NAME?</v>
      </c>
    </row>
    <row r="4308" customFormat="false" ht="14.25" hidden="false" customHeight="false" outlineLevel="0" collapsed="false">
      <c r="B4308" s="7" t="n">
        <v>45213</v>
      </c>
      <c r="C4308" s="7" t="n">
        <f aca="false">B4308-WEEKDAY(B4308)+1</f>
        <v>45207</v>
      </c>
      <c r="D4308" s="1" t="e">
        <f aca="false" t="array" ref="D4308:D4308">IF(ISBLANK(_xlfn.xlookup(D$3,daily_items,_xlfn.xlookup($C4308,daily_dates,big_daily_table))),NA(),_xlfn.xlookup(D$3,daily_items,_xlfn.xlookup($C4308,daily_dates,big_daily_table)))</f>
        <v>#NAME?</v>
      </c>
      <c r="E4308" s="1" t="e">
        <f aca="false" t="array" ref="E4308:E4308">IF(ISBLANK(_xlfn.xlookup(E$3,daily_items,_xlfn.xlookup($C4308,daily_dates,big_daily_table))),NA(),_xlfn.xlookup(E$3,daily_items,_xlfn.xlookup($C4308,daily_dates,big_daily_table)))</f>
        <v>#NAME?</v>
      </c>
    </row>
    <row r="4309" customFormat="false" ht="14.25" hidden="false" customHeight="false" outlineLevel="0" collapsed="false">
      <c r="B4309" s="7" t="n">
        <v>45214</v>
      </c>
      <c r="C4309" s="7" t="n">
        <f aca="false">B4309-WEEKDAY(B4309)+1</f>
        <v>45214</v>
      </c>
      <c r="D4309" s="1" t="e">
        <f aca="false" t="array" ref="D4309:D4309">IF(ISBLANK(_xlfn.xlookup(D$3,daily_items,_xlfn.xlookup($C4309,daily_dates,big_daily_table))),NA(),_xlfn.xlookup(D$3,daily_items,_xlfn.xlookup($C4309,daily_dates,big_daily_table)))</f>
        <v>#NAME?</v>
      </c>
      <c r="E4309" s="1" t="e">
        <f aca="false" t="array" ref="E4309:E4309">IF(ISBLANK(_xlfn.xlookup(E$3,daily_items,_xlfn.xlookup($C4309,daily_dates,big_daily_table))),NA(),_xlfn.xlookup(E$3,daily_items,_xlfn.xlookup($C4309,daily_dates,big_daily_table)))</f>
        <v>#NAME?</v>
      </c>
    </row>
    <row r="4310" customFormat="false" ht="14.25" hidden="false" customHeight="false" outlineLevel="0" collapsed="false">
      <c r="B4310" s="7" t="n">
        <v>45215</v>
      </c>
      <c r="C4310" s="7" t="n">
        <f aca="false">B4310-WEEKDAY(B4310)+1</f>
        <v>45214</v>
      </c>
      <c r="D4310" s="1" t="e">
        <f aca="false" t="array" ref="D4310:D4310">IF(ISBLANK(_xlfn.xlookup(D$3,daily_items,_xlfn.xlookup($C4310,daily_dates,big_daily_table))),NA(),_xlfn.xlookup(D$3,daily_items,_xlfn.xlookup($C4310,daily_dates,big_daily_table)))</f>
        <v>#NAME?</v>
      </c>
      <c r="E4310" s="1" t="e">
        <f aca="false" t="array" ref="E4310:E4310">IF(ISBLANK(_xlfn.xlookup(E$3,daily_items,_xlfn.xlookup($C4310,daily_dates,big_daily_table))),NA(),_xlfn.xlookup(E$3,daily_items,_xlfn.xlookup($C4310,daily_dates,big_daily_table)))</f>
        <v>#NAME?</v>
      </c>
    </row>
    <row r="4311" customFormat="false" ht="14.25" hidden="false" customHeight="false" outlineLevel="0" collapsed="false">
      <c r="B4311" s="7" t="n">
        <v>45216</v>
      </c>
      <c r="C4311" s="7" t="n">
        <f aca="false">B4311-WEEKDAY(B4311)+1</f>
        <v>45214</v>
      </c>
      <c r="D4311" s="1" t="e">
        <f aca="false" t="array" ref="D4311:D4311">IF(ISBLANK(_xlfn.xlookup(D$3,daily_items,_xlfn.xlookup($C4311,daily_dates,big_daily_table))),NA(),_xlfn.xlookup(D$3,daily_items,_xlfn.xlookup($C4311,daily_dates,big_daily_table)))</f>
        <v>#NAME?</v>
      </c>
      <c r="E4311" s="1" t="e">
        <f aca="false" t="array" ref="E4311:E4311">IF(ISBLANK(_xlfn.xlookup(E$3,daily_items,_xlfn.xlookup($C4311,daily_dates,big_daily_table))),NA(),_xlfn.xlookup(E$3,daily_items,_xlfn.xlookup($C4311,daily_dates,big_daily_table)))</f>
        <v>#NAME?</v>
      </c>
    </row>
    <row r="4312" customFormat="false" ht="14.25" hidden="false" customHeight="false" outlineLevel="0" collapsed="false">
      <c r="B4312" s="7" t="n">
        <v>45217</v>
      </c>
      <c r="C4312" s="7" t="n">
        <f aca="false">B4312-WEEKDAY(B4312)+1</f>
        <v>45214</v>
      </c>
      <c r="D4312" s="1" t="e">
        <f aca="false" t="array" ref="D4312:D4312">IF(ISBLANK(_xlfn.xlookup(D$3,daily_items,_xlfn.xlookup($C4312,daily_dates,big_daily_table))),NA(),_xlfn.xlookup(D$3,daily_items,_xlfn.xlookup($C4312,daily_dates,big_daily_table)))</f>
        <v>#NAME?</v>
      </c>
      <c r="E4312" s="1" t="e">
        <f aca="false" t="array" ref="E4312:E4312">IF(ISBLANK(_xlfn.xlookup(E$3,daily_items,_xlfn.xlookup($C4312,daily_dates,big_daily_table))),NA(),_xlfn.xlookup(E$3,daily_items,_xlfn.xlookup($C4312,daily_dates,big_daily_table)))</f>
        <v>#NAME?</v>
      </c>
    </row>
    <row r="4313" customFormat="false" ht="14.25" hidden="false" customHeight="false" outlineLevel="0" collapsed="false">
      <c r="B4313" s="7" t="n">
        <v>45218</v>
      </c>
      <c r="C4313" s="7" t="n">
        <f aca="false">B4313-WEEKDAY(B4313)+1</f>
        <v>45214</v>
      </c>
      <c r="D4313" s="1" t="e">
        <f aca="false" t="array" ref="D4313:D4313">IF(ISBLANK(_xlfn.xlookup(D$3,daily_items,_xlfn.xlookup($C4313,daily_dates,big_daily_table))),NA(),_xlfn.xlookup(D$3,daily_items,_xlfn.xlookup($C4313,daily_dates,big_daily_table)))</f>
        <v>#NAME?</v>
      </c>
      <c r="E4313" s="1" t="e">
        <f aca="false" t="array" ref="E4313:E4313">IF(ISBLANK(_xlfn.xlookup(E$3,daily_items,_xlfn.xlookup($C4313,daily_dates,big_daily_table))),NA(),_xlfn.xlookup(E$3,daily_items,_xlfn.xlookup($C4313,daily_dates,big_daily_table)))</f>
        <v>#NAME?</v>
      </c>
    </row>
    <row r="4314" customFormat="false" ht="14.25" hidden="false" customHeight="false" outlineLevel="0" collapsed="false">
      <c r="B4314" s="7" t="n">
        <v>45219</v>
      </c>
      <c r="C4314" s="7" t="n">
        <f aca="false">B4314-WEEKDAY(B4314)+1</f>
        <v>45214</v>
      </c>
      <c r="D4314" s="1" t="e">
        <f aca="false" t="array" ref="D4314:D4314">IF(ISBLANK(_xlfn.xlookup(D$3,daily_items,_xlfn.xlookup($C4314,daily_dates,big_daily_table))),NA(),_xlfn.xlookup(D$3,daily_items,_xlfn.xlookup($C4314,daily_dates,big_daily_table)))</f>
        <v>#NAME?</v>
      </c>
      <c r="E4314" s="1" t="e">
        <f aca="false" t="array" ref="E4314:E4314">IF(ISBLANK(_xlfn.xlookup(E$3,daily_items,_xlfn.xlookup($C4314,daily_dates,big_daily_table))),NA(),_xlfn.xlookup(E$3,daily_items,_xlfn.xlookup($C4314,daily_dates,big_daily_table)))</f>
        <v>#NAME?</v>
      </c>
    </row>
    <row r="4315" customFormat="false" ht="14.25" hidden="false" customHeight="false" outlineLevel="0" collapsed="false">
      <c r="B4315" s="7" t="n">
        <v>45220</v>
      </c>
      <c r="C4315" s="7" t="n">
        <f aca="false">B4315-WEEKDAY(B4315)+1</f>
        <v>45214</v>
      </c>
      <c r="D4315" s="1" t="e">
        <f aca="false" t="array" ref="D4315:D4315">IF(ISBLANK(_xlfn.xlookup(D$3,daily_items,_xlfn.xlookup($C4315,daily_dates,big_daily_table))),NA(),_xlfn.xlookup(D$3,daily_items,_xlfn.xlookup($C4315,daily_dates,big_daily_table)))</f>
        <v>#NAME?</v>
      </c>
      <c r="E4315" s="1" t="e">
        <f aca="false" t="array" ref="E4315:E4315">IF(ISBLANK(_xlfn.xlookup(E$3,daily_items,_xlfn.xlookup($C4315,daily_dates,big_daily_table))),NA(),_xlfn.xlookup(E$3,daily_items,_xlfn.xlookup($C4315,daily_dates,big_daily_table)))</f>
        <v>#NAME?</v>
      </c>
    </row>
    <row r="4316" customFormat="false" ht="14.25" hidden="false" customHeight="false" outlineLevel="0" collapsed="false">
      <c r="B4316" s="7" t="n">
        <v>45221</v>
      </c>
      <c r="C4316" s="7" t="n">
        <f aca="false">B4316-WEEKDAY(B4316)+1</f>
        <v>45221</v>
      </c>
      <c r="D4316" s="1" t="e">
        <f aca="false" t="array" ref="D4316:D4316">IF(ISBLANK(_xlfn.xlookup(D$3,daily_items,_xlfn.xlookup($C4316,daily_dates,big_daily_table))),NA(),_xlfn.xlookup(D$3,daily_items,_xlfn.xlookup($C4316,daily_dates,big_daily_table)))</f>
        <v>#NAME?</v>
      </c>
      <c r="E4316" s="1" t="e">
        <f aca="false" t="array" ref="E4316:E4316">IF(ISBLANK(_xlfn.xlookup(E$3,daily_items,_xlfn.xlookup($C4316,daily_dates,big_daily_table))),NA(),_xlfn.xlookup(E$3,daily_items,_xlfn.xlookup($C4316,daily_dates,big_daily_table)))</f>
        <v>#NAME?</v>
      </c>
    </row>
    <row r="4317" customFormat="false" ht="14.25" hidden="false" customHeight="false" outlineLevel="0" collapsed="false">
      <c r="B4317" s="7" t="n">
        <v>45222</v>
      </c>
      <c r="C4317" s="7" t="n">
        <f aca="false">B4317-WEEKDAY(B4317)+1</f>
        <v>45221</v>
      </c>
      <c r="D4317" s="1" t="e">
        <f aca="false" t="array" ref="D4317:D4317">IF(ISBLANK(_xlfn.xlookup(D$3,daily_items,_xlfn.xlookup($C4317,daily_dates,big_daily_table))),NA(),_xlfn.xlookup(D$3,daily_items,_xlfn.xlookup($C4317,daily_dates,big_daily_table)))</f>
        <v>#NAME?</v>
      </c>
      <c r="E4317" s="1" t="e">
        <f aca="false" t="array" ref="E4317:E4317">IF(ISBLANK(_xlfn.xlookup(E$3,daily_items,_xlfn.xlookup($C4317,daily_dates,big_daily_table))),NA(),_xlfn.xlookup(E$3,daily_items,_xlfn.xlookup($C4317,daily_dates,big_daily_table)))</f>
        <v>#NAME?</v>
      </c>
    </row>
    <row r="4318" customFormat="false" ht="14.25" hidden="false" customHeight="false" outlineLevel="0" collapsed="false">
      <c r="B4318" s="7" t="n">
        <v>45223</v>
      </c>
      <c r="C4318" s="7" t="n">
        <f aca="false">B4318-WEEKDAY(B4318)+1</f>
        <v>45221</v>
      </c>
      <c r="D4318" s="1" t="e">
        <f aca="false" t="array" ref="D4318:D4318">IF(ISBLANK(_xlfn.xlookup(D$3,daily_items,_xlfn.xlookup($C4318,daily_dates,big_daily_table))),NA(),_xlfn.xlookup(D$3,daily_items,_xlfn.xlookup($C4318,daily_dates,big_daily_table)))</f>
        <v>#NAME?</v>
      </c>
      <c r="E4318" s="1" t="e">
        <f aca="false" t="array" ref="E4318:E4318">IF(ISBLANK(_xlfn.xlookup(E$3,daily_items,_xlfn.xlookup($C4318,daily_dates,big_daily_table))),NA(),_xlfn.xlookup(E$3,daily_items,_xlfn.xlookup($C4318,daily_dates,big_daily_table)))</f>
        <v>#NAME?</v>
      </c>
    </row>
    <row r="4319" customFormat="false" ht="14.25" hidden="false" customHeight="false" outlineLevel="0" collapsed="false">
      <c r="B4319" s="7" t="n">
        <v>45224</v>
      </c>
      <c r="C4319" s="7" t="n">
        <f aca="false">B4319-WEEKDAY(B4319)+1</f>
        <v>45221</v>
      </c>
      <c r="D4319" s="1" t="e">
        <f aca="false" t="array" ref="D4319:D4319">IF(ISBLANK(_xlfn.xlookup(D$3,daily_items,_xlfn.xlookup($C4319,daily_dates,big_daily_table))),NA(),_xlfn.xlookup(D$3,daily_items,_xlfn.xlookup($C4319,daily_dates,big_daily_table)))</f>
        <v>#NAME?</v>
      </c>
      <c r="E4319" s="1" t="e">
        <f aca="false" t="array" ref="E4319:E4319">IF(ISBLANK(_xlfn.xlookup(E$3,daily_items,_xlfn.xlookup($C4319,daily_dates,big_daily_table))),NA(),_xlfn.xlookup(E$3,daily_items,_xlfn.xlookup($C4319,daily_dates,big_daily_table)))</f>
        <v>#NAME?</v>
      </c>
    </row>
    <row r="4320" customFormat="false" ht="14.25" hidden="false" customHeight="false" outlineLevel="0" collapsed="false">
      <c r="B4320" s="7" t="n">
        <v>45225</v>
      </c>
      <c r="C4320" s="7" t="n">
        <f aca="false">B4320-WEEKDAY(B4320)+1</f>
        <v>45221</v>
      </c>
      <c r="D4320" s="1" t="e">
        <f aca="false" t="array" ref="D4320:D4320">IF(ISBLANK(_xlfn.xlookup(D$3,daily_items,_xlfn.xlookup($C4320,daily_dates,big_daily_table))),NA(),_xlfn.xlookup(D$3,daily_items,_xlfn.xlookup($C4320,daily_dates,big_daily_table)))</f>
        <v>#NAME?</v>
      </c>
      <c r="E4320" s="1" t="e">
        <f aca="false" t="array" ref="E4320:E4320">IF(ISBLANK(_xlfn.xlookup(E$3,daily_items,_xlfn.xlookup($C4320,daily_dates,big_daily_table))),NA(),_xlfn.xlookup(E$3,daily_items,_xlfn.xlookup($C4320,daily_dates,big_daily_table)))</f>
        <v>#NAME?</v>
      </c>
    </row>
    <row r="4321" customFormat="false" ht="14.25" hidden="false" customHeight="false" outlineLevel="0" collapsed="false">
      <c r="B4321" s="7" t="n">
        <v>45226</v>
      </c>
      <c r="C4321" s="7" t="n">
        <f aca="false">B4321-WEEKDAY(B4321)+1</f>
        <v>45221</v>
      </c>
      <c r="D4321" s="1" t="e">
        <f aca="false" t="array" ref="D4321:D4321">IF(ISBLANK(_xlfn.xlookup(D$3,daily_items,_xlfn.xlookup($C4321,daily_dates,big_daily_table))),NA(),_xlfn.xlookup(D$3,daily_items,_xlfn.xlookup($C4321,daily_dates,big_daily_table)))</f>
        <v>#NAME?</v>
      </c>
      <c r="E4321" s="1" t="e">
        <f aca="false" t="array" ref="E4321:E4321">IF(ISBLANK(_xlfn.xlookup(E$3,daily_items,_xlfn.xlookup($C4321,daily_dates,big_daily_table))),NA(),_xlfn.xlookup(E$3,daily_items,_xlfn.xlookup($C4321,daily_dates,big_daily_table)))</f>
        <v>#NAME?</v>
      </c>
    </row>
    <row r="4322" customFormat="false" ht="14.25" hidden="false" customHeight="false" outlineLevel="0" collapsed="false">
      <c r="B4322" s="7" t="n">
        <v>45227</v>
      </c>
      <c r="C4322" s="7" t="n">
        <f aca="false">B4322-WEEKDAY(B4322)+1</f>
        <v>45221</v>
      </c>
      <c r="D4322" s="1" t="e">
        <f aca="false" t="array" ref="D4322:D4322">IF(ISBLANK(_xlfn.xlookup(D$3,daily_items,_xlfn.xlookup($C4322,daily_dates,big_daily_table))),NA(),_xlfn.xlookup(D$3,daily_items,_xlfn.xlookup($C4322,daily_dates,big_daily_table)))</f>
        <v>#NAME?</v>
      </c>
      <c r="E4322" s="1" t="e">
        <f aca="false" t="array" ref="E4322:E4322">IF(ISBLANK(_xlfn.xlookup(E$3,daily_items,_xlfn.xlookup($C4322,daily_dates,big_daily_table))),NA(),_xlfn.xlookup(E$3,daily_items,_xlfn.xlookup($C4322,daily_dates,big_daily_table)))</f>
        <v>#NAME?</v>
      </c>
    </row>
    <row r="4323" customFormat="false" ht="14.25" hidden="false" customHeight="false" outlineLevel="0" collapsed="false">
      <c r="B4323" s="7" t="n">
        <v>45228</v>
      </c>
      <c r="C4323" s="7" t="n">
        <f aca="false">B4323-WEEKDAY(B4323)+1</f>
        <v>45228</v>
      </c>
      <c r="D4323" s="1" t="e">
        <f aca="false" t="array" ref="D4323:D4323">IF(ISBLANK(_xlfn.xlookup(D$3,daily_items,_xlfn.xlookup($C4323,daily_dates,big_daily_table))),NA(),_xlfn.xlookup(D$3,daily_items,_xlfn.xlookup($C4323,daily_dates,big_daily_table)))</f>
        <v>#NAME?</v>
      </c>
      <c r="E4323" s="1" t="e">
        <f aca="false" t="array" ref="E4323:E4323">IF(ISBLANK(_xlfn.xlookup(E$3,daily_items,_xlfn.xlookup($C4323,daily_dates,big_daily_table))),NA(),_xlfn.xlookup(E$3,daily_items,_xlfn.xlookup($C4323,daily_dates,big_daily_table)))</f>
        <v>#NAME?</v>
      </c>
    </row>
    <row r="4324" customFormat="false" ht="14.25" hidden="false" customHeight="false" outlineLevel="0" collapsed="false">
      <c r="B4324" s="7" t="n">
        <v>45229</v>
      </c>
      <c r="C4324" s="7" t="n">
        <f aca="false">B4324-WEEKDAY(B4324)+1</f>
        <v>45228</v>
      </c>
      <c r="D4324" s="1" t="e">
        <f aca="false" t="array" ref="D4324:D4324">IF(ISBLANK(_xlfn.xlookup(D$3,daily_items,_xlfn.xlookup($C4324,daily_dates,big_daily_table))),NA(),_xlfn.xlookup(D$3,daily_items,_xlfn.xlookup($C4324,daily_dates,big_daily_table)))</f>
        <v>#NAME?</v>
      </c>
      <c r="E4324" s="1" t="e">
        <f aca="false" t="array" ref="E4324:E4324">IF(ISBLANK(_xlfn.xlookup(E$3,daily_items,_xlfn.xlookup($C4324,daily_dates,big_daily_table))),NA(),_xlfn.xlookup(E$3,daily_items,_xlfn.xlookup($C4324,daily_dates,big_daily_table)))</f>
        <v>#NAME?</v>
      </c>
    </row>
    <row r="4325" customFormat="false" ht="14.25" hidden="false" customHeight="false" outlineLevel="0" collapsed="false">
      <c r="B4325" s="7" t="n">
        <v>45230</v>
      </c>
      <c r="C4325" s="7" t="n">
        <f aca="false">B4325-WEEKDAY(B4325)+1</f>
        <v>45228</v>
      </c>
      <c r="D4325" s="1" t="e">
        <f aca="false" t="array" ref="D4325:D4325">IF(ISBLANK(_xlfn.xlookup(D$3,daily_items,_xlfn.xlookup($C4325,daily_dates,big_daily_table))),NA(),_xlfn.xlookup(D$3,daily_items,_xlfn.xlookup($C4325,daily_dates,big_daily_table)))</f>
        <v>#NAME?</v>
      </c>
      <c r="E4325" s="1" t="e">
        <f aca="false" t="array" ref="E4325:E4325">IF(ISBLANK(_xlfn.xlookup(E$3,daily_items,_xlfn.xlookup($C4325,daily_dates,big_daily_table))),NA(),_xlfn.xlookup(E$3,daily_items,_xlfn.xlookup($C4325,daily_dates,big_daily_table)))</f>
        <v>#NAME?</v>
      </c>
    </row>
    <row r="4326" customFormat="false" ht="14.25" hidden="false" customHeight="false" outlineLevel="0" collapsed="false">
      <c r="B4326" s="7" t="n">
        <v>45231</v>
      </c>
      <c r="C4326" s="7" t="n">
        <f aca="false">B4326-WEEKDAY(B4326)+1</f>
        <v>45228</v>
      </c>
      <c r="D4326" s="1" t="e">
        <f aca="false" t="array" ref="D4326:D4326">IF(ISBLANK(_xlfn.xlookup(D$3,daily_items,_xlfn.xlookup($C4326,daily_dates,big_daily_table))),NA(),_xlfn.xlookup(D$3,daily_items,_xlfn.xlookup($C4326,daily_dates,big_daily_table)))</f>
        <v>#NAME?</v>
      </c>
      <c r="E4326" s="1" t="e">
        <f aca="false" t="array" ref="E4326:E4326">IF(ISBLANK(_xlfn.xlookup(E$3,daily_items,_xlfn.xlookup($C4326,daily_dates,big_daily_table))),NA(),_xlfn.xlookup(E$3,daily_items,_xlfn.xlookup($C4326,daily_dates,big_daily_table)))</f>
        <v>#NAME?</v>
      </c>
    </row>
    <row r="4327" customFormat="false" ht="14.25" hidden="false" customHeight="false" outlineLevel="0" collapsed="false">
      <c r="B4327" s="7" t="n">
        <v>45232</v>
      </c>
      <c r="C4327" s="7" t="n">
        <f aca="false">B4327-WEEKDAY(B4327)+1</f>
        <v>45228</v>
      </c>
      <c r="D4327" s="1" t="e">
        <f aca="false" t="array" ref="D4327:D4327">IF(ISBLANK(_xlfn.xlookup(D$3,daily_items,_xlfn.xlookup($C4327,daily_dates,big_daily_table))),NA(),_xlfn.xlookup(D$3,daily_items,_xlfn.xlookup($C4327,daily_dates,big_daily_table)))</f>
        <v>#NAME?</v>
      </c>
      <c r="E4327" s="1" t="e">
        <f aca="false" t="array" ref="E4327:E4327">IF(ISBLANK(_xlfn.xlookup(E$3,daily_items,_xlfn.xlookup($C4327,daily_dates,big_daily_table))),NA(),_xlfn.xlookup(E$3,daily_items,_xlfn.xlookup($C4327,daily_dates,big_daily_table)))</f>
        <v>#NAME?</v>
      </c>
    </row>
    <row r="4328" customFormat="false" ht="14.25" hidden="false" customHeight="false" outlineLevel="0" collapsed="false">
      <c r="B4328" s="7" t="n">
        <v>45233</v>
      </c>
      <c r="C4328" s="7" t="n">
        <f aca="false">B4328-WEEKDAY(B4328)+1</f>
        <v>45228</v>
      </c>
      <c r="D4328" s="1" t="e">
        <f aca="false" t="array" ref="D4328:D4328">IF(ISBLANK(_xlfn.xlookup(D$3,daily_items,_xlfn.xlookup($C4328,daily_dates,big_daily_table))),NA(),_xlfn.xlookup(D$3,daily_items,_xlfn.xlookup($C4328,daily_dates,big_daily_table)))</f>
        <v>#NAME?</v>
      </c>
      <c r="E4328" s="1" t="e">
        <f aca="false" t="array" ref="E4328:E4328">IF(ISBLANK(_xlfn.xlookup(E$3,daily_items,_xlfn.xlookup($C4328,daily_dates,big_daily_table))),NA(),_xlfn.xlookup(E$3,daily_items,_xlfn.xlookup($C4328,daily_dates,big_daily_table)))</f>
        <v>#NAME?</v>
      </c>
    </row>
    <row r="4329" customFormat="false" ht="14.25" hidden="false" customHeight="false" outlineLevel="0" collapsed="false">
      <c r="B4329" s="7" t="n">
        <v>45234</v>
      </c>
      <c r="C4329" s="7" t="n">
        <f aca="false">B4329-WEEKDAY(B4329)+1</f>
        <v>45228</v>
      </c>
      <c r="D4329" s="1" t="e">
        <f aca="false" t="array" ref="D4329:D4329">IF(ISBLANK(_xlfn.xlookup(D$3,daily_items,_xlfn.xlookup($C4329,daily_dates,big_daily_table))),NA(),_xlfn.xlookup(D$3,daily_items,_xlfn.xlookup($C4329,daily_dates,big_daily_table)))</f>
        <v>#NAME?</v>
      </c>
      <c r="E4329" s="1" t="e">
        <f aca="false" t="array" ref="E4329:E4329">IF(ISBLANK(_xlfn.xlookup(E$3,daily_items,_xlfn.xlookup($C4329,daily_dates,big_daily_table))),NA(),_xlfn.xlookup(E$3,daily_items,_xlfn.xlookup($C4329,daily_dates,big_daily_table)))</f>
        <v>#NAME?</v>
      </c>
    </row>
    <row r="4330" customFormat="false" ht="14.25" hidden="false" customHeight="false" outlineLevel="0" collapsed="false">
      <c r="B4330" s="7" t="n">
        <v>45235</v>
      </c>
      <c r="C4330" s="7" t="n">
        <f aca="false">B4330-WEEKDAY(B4330)+1</f>
        <v>45235</v>
      </c>
      <c r="D4330" s="1" t="e">
        <f aca="false" t="array" ref="D4330:D4330">IF(ISBLANK(_xlfn.xlookup(D$3,daily_items,_xlfn.xlookup($C4330,daily_dates,big_daily_table))),NA(),_xlfn.xlookup(D$3,daily_items,_xlfn.xlookup($C4330,daily_dates,big_daily_table)))</f>
        <v>#NAME?</v>
      </c>
      <c r="E4330" s="1" t="e">
        <f aca="false" t="array" ref="E4330:E4330">IF(ISBLANK(_xlfn.xlookup(E$3,daily_items,_xlfn.xlookup($C4330,daily_dates,big_daily_table))),NA(),_xlfn.xlookup(E$3,daily_items,_xlfn.xlookup($C4330,daily_dates,big_daily_table)))</f>
        <v>#NAME?</v>
      </c>
    </row>
    <row r="4331" customFormat="false" ht="14.25" hidden="false" customHeight="false" outlineLevel="0" collapsed="false">
      <c r="B4331" s="7" t="n">
        <v>45236</v>
      </c>
      <c r="C4331" s="7" t="n">
        <f aca="false">B4331-WEEKDAY(B4331)+1</f>
        <v>45235</v>
      </c>
      <c r="D4331" s="1" t="e">
        <f aca="false" t="array" ref="D4331:D4331">IF(ISBLANK(_xlfn.xlookup(D$3,daily_items,_xlfn.xlookup($C4331,daily_dates,big_daily_table))),NA(),_xlfn.xlookup(D$3,daily_items,_xlfn.xlookup($C4331,daily_dates,big_daily_table)))</f>
        <v>#NAME?</v>
      </c>
      <c r="E4331" s="1" t="e">
        <f aca="false" t="array" ref="E4331:E4331">IF(ISBLANK(_xlfn.xlookup(E$3,daily_items,_xlfn.xlookup($C4331,daily_dates,big_daily_table))),NA(),_xlfn.xlookup(E$3,daily_items,_xlfn.xlookup($C4331,daily_dates,big_daily_table)))</f>
        <v>#NAME?</v>
      </c>
    </row>
    <row r="4332" customFormat="false" ht="14.25" hidden="false" customHeight="false" outlineLevel="0" collapsed="false">
      <c r="B4332" s="7" t="n">
        <v>45237</v>
      </c>
      <c r="C4332" s="7" t="n">
        <f aca="false">B4332-WEEKDAY(B4332)+1</f>
        <v>45235</v>
      </c>
      <c r="D4332" s="1" t="e">
        <f aca="false" t="array" ref="D4332:D4332">IF(ISBLANK(_xlfn.xlookup(D$3,daily_items,_xlfn.xlookup($C4332,daily_dates,big_daily_table))),NA(),_xlfn.xlookup(D$3,daily_items,_xlfn.xlookup($C4332,daily_dates,big_daily_table)))</f>
        <v>#NAME?</v>
      </c>
      <c r="E4332" s="1" t="e">
        <f aca="false" t="array" ref="E4332:E4332">IF(ISBLANK(_xlfn.xlookup(E$3,daily_items,_xlfn.xlookup($C4332,daily_dates,big_daily_table))),NA(),_xlfn.xlookup(E$3,daily_items,_xlfn.xlookup($C4332,daily_dates,big_daily_table)))</f>
        <v>#NAME?</v>
      </c>
    </row>
    <row r="4333" customFormat="false" ht="14.25" hidden="false" customHeight="false" outlineLevel="0" collapsed="false">
      <c r="B4333" s="7" t="n">
        <v>45238</v>
      </c>
      <c r="C4333" s="7" t="n">
        <f aca="false">B4333-WEEKDAY(B4333)+1</f>
        <v>45235</v>
      </c>
      <c r="D4333" s="1" t="e">
        <f aca="false" t="array" ref="D4333:D4333">IF(ISBLANK(_xlfn.xlookup(D$3,daily_items,_xlfn.xlookup($C4333,daily_dates,big_daily_table))),NA(),_xlfn.xlookup(D$3,daily_items,_xlfn.xlookup($C4333,daily_dates,big_daily_table)))</f>
        <v>#NAME?</v>
      </c>
      <c r="E4333" s="1" t="e">
        <f aca="false" t="array" ref="E4333:E4333">IF(ISBLANK(_xlfn.xlookup(E$3,daily_items,_xlfn.xlookup($C4333,daily_dates,big_daily_table))),NA(),_xlfn.xlookup(E$3,daily_items,_xlfn.xlookup($C4333,daily_dates,big_daily_table)))</f>
        <v>#NAME?</v>
      </c>
    </row>
    <row r="4334" customFormat="false" ht="14.25" hidden="false" customHeight="false" outlineLevel="0" collapsed="false">
      <c r="B4334" s="7" t="n">
        <v>45239</v>
      </c>
      <c r="C4334" s="7" t="n">
        <f aca="false">B4334-WEEKDAY(B4334)+1</f>
        <v>45235</v>
      </c>
      <c r="D4334" s="1" t="e">
        <f aca="false" t="array" ref="D4334:D4334">IF(ISBLANK(_xlfn.xlookup(D$3,daily_items,_xlfn.xlookup($C4334,daily_dates,big_daily_table))),NA(),_xlfn.xlookup(D$3,daily_items,_xlfn.xlookup($C4334,daily_dates,big_daily_table)))</f>
        <v>#NAME?</v>
      </c>
      <c r="E4334" s="1" t="e">
        <f aca="false" t="array" ref="E4334:E4334">IF(ISBLANK(_xlfn.xlookup(E$3,daily_items,_xlfn.xlookup($C4334,daily_dates,big_daily_table))),NA(),_xlfn.xlookup(E$3,daily_items,_xlfn.xlookup($C4334,daily_dates,big_daily_table)))</f>
        <v>#NAME?</v>
      </c>
    </row>
    <row r="4335" customFormat="false" ht="14.25" hidden="false" customHeight="false" outlineLevel="0" collapsed="false">
      <c r="B4335" s="7" t="n">
        <v>45240</v>
      </c>
      <c r="C4335" s="7" t="n">
        <f aca="false">B4335-WEEKDAY(B4335)+1</f>
        <v>45235</v>
      </c>
      <c r="D4335" s="1" t="e">
        <f aca="false" t="array" ref="D4335:D4335">IF(ISBLANK(_xlfn.xlookup(D$3,daily_items,_xlfn.xlookup($C4335,daily_dates,big_daily_table))),NA(),_xlfn.xlookup(D$3,daily_items,_xlfn.xlookup($C4335,daily_dates,big_daily_table)))</f>
        <v>#NAME?</v>
      </c>
      <c r="E4335" s="1" t="e">
        <f aca="false" t="array" ref="E4335:E4335">IF(ISBLANK(_xlfn.xlookup(E$3,daily_items,_xlfn.xlookup($C4335,daily_dates,big_daily_table))),NA(),_xlfn.xlookup(E$3,daily_items,_xlfn.xlookup($C4335,daily_dates,big_daily_table)))</f>
        <v>#NAME?</v>
      </c>
    </row>
    <row r="4336" customFormat="false" ht="14.25" hidden="false" customHeight="false" outlineLevel="0" collapsed="false">
      <c r="B4336" s="7" t="n">
        <v>45241</v>
      </c>
      <c r="C4336" s="7" t="n">
        <f aca="false">B4336-WEEKDAY(B4336)+1</f>
        <v>45235</v>
      </c>
      <c r="D4336" s="1" t="e">
        <f aca="false" t="array" ref="D4336:D4336">IF(ISBLANK(_xlfn.xlookup(D$3,daily_items,_xlfn.xlookup($C4336,daily_dates,big_daily_table))),NA(),_xlfn.xlookup(D$3,daily_items,_xlfn.xlookup($C4336,daily_dates,big_daily_table)))</f>
        <v>#NAME?</v>
      </c>
      <c r="E4336" s="1" t="e">
        <f aca="false" t="array" ref="E4336:E4336">IF(ISBLANK(_xlfn.xlookup(E$3,daily_items,_xlfn.xlookup($C4336,daily_dates,big_daily_table))),NA(),_xlfn.xlookup(E$3,daily_items,_xlfn.xlookup($C4336,daily_dates,big_daily_table)))</f>
        <v>#NAME?</v>
      </c>
    </row>
    <row r="4337" customFormat="false" ht="14.25" hidden="false" customHeight="false" outlineLevel="0" collapsed="false">
      <c r="B4337" s="7" t="n">
        <v>45242</v>
      </c>
      <c r="C4337" s="7" t="n">
        <f aca="false">B4337-WEEKDAY(B4337)+1</f>
        <v>45242</v>
      </c>
      <c r="D4337" s="1" t="e">
        <f aca="false" t="array" ref="D4337:D4337">IF(ISBLANK(_xlfn.xlookup(D$3,daily_items,_xlfn.xlookup($C4337,daily_dates,big_daily_table))),NA(),_xlfn.xlookup(D$3,daily_items,_xlfn.xlookup($C4337,daily_dates,big_daily_table)))</f>
        <v>#NAME?</v>
      </c>
      <c r="E4337" s="1" t="e">
        <f aca="false" t="array" ref="E4337:E4337">IF(ISBLANK(_xlfn.xlookup(E$3,daily_items,_xlfn.xlookup($C4337,daily_dates,big_daily_table))),NA(),_xlfn.xlookup(E$3,daily_items,_xlfn.xlookup($C4337,daily_dates,big_daily_table)))</f>
        <v>#NAME?</v>
      </c>
    </row>
    <row r="4338" customFormat="false" ht="14.25" hidden="false" customHeight="false" outlineLevel="0" collapsed="false">
      <c r="B4338" s="7" t="n">
        <v>45243</v>
      </c>
      <c r="C4338" s="7" t="n">
        <f aca="false">B4338-WEEKDAY(B4338)+1</f>
        <v>45242</v>
      </c>
      <c r="D4338" s="1" t="e">
        <f aca="false" t="array" ref="D4338:D4338">IF(ISBLANK(_xlfn.xlookup(D$3,daily_items,_xlfn.xlookup($C4338,daily_dates,big_daily_table))),NA(),_xlfn.xlookup(D$3,daily_items,_xlfn.xlookup($C4338,daily_dates,big_daily_table)))</f>
        <v>#NAME?</v>
      </c>
      <c r="E4338" s="1" t="e">
        <f aca="false" t="array" ref="E4338:E4338">IF(ISBLANK(_xlfn.xlookup(E$3,daily_items,_xlfn.xlookup($C4338,daily_dates,big_daily_table))),NA(),_xlfn.xlookup(E$3,daily_items,_xlfn.xlookup($C4338,daily_dates,big_daily_table)))</f>
        <v>#NAME?</v>
      </c>
    </row>
    <row r="4339" customFormat="false" ht="14.25" hidden="false" customHeight="false" outlineLevel="0" collapsed="false">
      <c r="B4339" s="7" t="n">
        <v>45244</v>
      </c>
      <c r="C4339" s="7" t="n">
        <f aca="false">B4339-WEEKDAY(B4339)+1</f>
        <v>45242</v>
      </c>
      <c r="D4339" s="1" t="e">
        <f aca="false" t="array" ref="D4339:D4339">IF(ISBLANK(_xlfn.xlookup(D$3,daily_items,_xlfn.xlookup($C4339,daily_dates,big_daily_table))),NA(),_xlfn.xlookup(D$3,daily_items,_xlfn.xlookup($C4339,daily_dates,big_daily_table)))</f>
        <v>#NAME?</v>
      </c>
      <c r="E4339" s="1" t="e">
        <f aca="false" t="array" ref="E4339:E4339">IF(ISBLANK(_xlfn.xlookup(E$3,daily_items,_xlfn.xlookup($C4339,daily_dates,big_daily_table))),NA(),_xlfn.xlookup(E$3,daily_items,_xlfn.xlookup($C4339,daily_dates,big_daily_table)))</f>
        <v>#NAME?</v>
      </c>
    </row>
    <row r="4340" customFormat="false" ht="14.25" hidden="false" customHeight="false" outlineLevel="0" collapsed="false">
      <c r="B4340" s="7" t="n">
        <v>45245</v>
      </c>
      <c r="C4340" s="7" t="n">
        <f aca="false">B4340-WEEKDAY(B4340)+1</f>
        <v>45242</v>
      </c>
      <c r="D4340" s="1" t="e">
        <f aca="false" t="array" ref="D4340:D4340">IF(ISBLANK(_xlfn.xlookup(D$3,daily_items,_xlfn.xlookup($C4340,daily_dates,big_daily_table))),NA(),_xlfn.xlookup(D$3,daily_items,_xlfn.xlookup($C4340,daily_dates,big_daily_table)))</f>
        <v>#NAME?</v>
      </c>
      <c r="E4340" s="1" t="e">
        <f aca="false" t="array" ref="E4340:E4340">IF(ISBLANK(_xlfn.xlookup(E$3,daily_items,_xlfn.xlookup($C4340,daily_dates,big_daily_table))),NA(),_xlfn.xlookup(E$3,daily_items,_xlfn.xlookup($C4340,daily_dates,big_daily_table)))</f>
        <v>#NAME?</v>
      </c>
    </row>
    <row r="4341" customFormat="false" ht="14.25" hidden="false" customHeight="false" outlineLevel="0" collapsed="false">
      <c r="B4341" s="7" t="n">
        <v>45246</v>
      </c>
      <c r="C4341" s="7" t="n">
        <f aca="false">B4341-WEEKDAY(B4341)+1</f>
        <v>45242</v>
      </c>
      <c r="D4341" s="1" t="e">
        <f aca="false" t="array" ref="D4341:D4341">IF(ISBLANK(_xlfn.xlookup(D$3,daily_items,_xlfn.xlookup($C4341,daily_dates,big_daily_table))),NA(),_xlfn.xlookup(D$3,daily_items,_xlfn.xlookup($C4341,daily_dates,big_daily_table)))</f>
        <v>#NAME?</v>
      </c>
      <c r="E4341" s="1" t="e">
        <f aca="false" t="array" ref="E4341:E4341">IF(ISBLANK(_xlfn.xlookup(E$3,daily_items,_xlfn.xlookup($C4341,daily_dates,big_daily_table))),NA(),_xlfn.xlookup(E$3,daily_items,_xlfn.xlookup($C4341,daily_dates,big_daily_table)))</f>
        <v>#NAME?</v>
      </c>
    </row>
    <row r="4342" customFormat="false" ht="14.25" hidden="false" customHeight="false" outlineLevel="0" collapsed="false">
      <c r="B4342" s="7" t="n">
        <v>45247</v>
      </c>
      <c r="C4342" s="7" t="n">
        <f aca="false">B4342-WEEKDAY(B4342)+1</f>
        <v>45242</v>
      </c>
      <c r="D4342" s="1" t="e">
        <f aca="false" t="array" ref="D4342:D4342">IF(ISBLANK(_xlfn.xlookup(D$3,daily_items,_xlfn.xlookup($C4342,daily_dates,big_daily_table))),NA(),_xlfn.xlookup(D$3,daily_items,_xlfn.xlookup($C4342,daily_dates,big_daily_table)))</f>
        <v>#NAME?</v>
      </c>
      <c r="E4342" s="1" t="e">
        <f aca="false" t="array" ref="E4342:E4342">IF(ISBLANK(_xlfn.xlookup(E$3,daily_items,_xlfn.xlookup($C4342,daily_dates,big_daily_table))),NA(),_xlfn.xlookup(E$3,daily_items,_xlfn.xlookup($C4342,daily_dates,big_daily_table)))</f>
        <v>#NAME?</v>
      </c>
    </row>
    <row r="4343" customFormat="false" ht="14.25" hidden="false" customHeight="false" outlineLevel="0" collapsed="false">
      <c r="B4343" s="7" t="n">
        <v>45248</v>
      </c>
      <c r="C4343" s="7" t="n">
        <f aca="false">B4343-WEEKDAY(B4343)+1</f>
        <v>45242</v>
      </c>
      <c r="D4343" s="1" t="e">
        <f aca="false" t="array" ref="D4343:D4343">IF(ISBLANK(_xlfn.xlookup(D$3,daily_items,_xlfn.xlookup($C4343,daily_dates,big_daily_table))),NA(),_xlfn.xlookup(D$3,daily_items,_xlfn.xlookup($C4343,daily_dates,big_daily_table)))</f>
        <v>#NAME?</v>
      </c>
      <c r="E4343" s="1" t="e">
        <f aca="false" t="array" ref="E4343:E4343">IF(ISBLANK(_xlfn.xlookup(E$3,daily_items,_xlfn.xlookup($C4343,daily_dates,big_daily_table))),NA(),_xlfn.xlookup(E$3,daily_items,_xlfn.xlookup($C4343,daily_dates,big_daily_table)))</f>
        <v>#NAME?</v>
      </c>
    </row>
    <row r="4344" customFormat="false" ht="14.25" hidden="false" customHeight="false" outlineLevel="0" collapsed="false">
      <c r="B4344" s="7" t="n">
        <v>45249</v>
      </c>
      <c r="C4344" s="7" t="n">
        <f aca="false">B4344-WEEKDAY(B4344)+1</f>
        <v>45249</v>
      </c>
      <c r="D4344" s="1" t="e">
        <f aca="false" t="array" ref="D4344:D4344">IF(ISBLANK(_xlfn.xlookup(D$3,daily_items,_xlfn.xlookup($C4344,daily_dates,big_daily_table))),NA(),_xlfn.xlookup(D$3,daily_items,_xlfn.xlookup($C4344,daily_dates,big_daily_table)))</f>
        <v>#NAME?</v>
      </c>
      <c r="E4344" s="1" t="e">
        <f aca="false" t="array" ref="E4344:E4344">IF(ISBLANK(_xlfn.xlookup(E$3,daily_items,_xlfn.xlookup($C4344,daily_dates,big_daily_table))),NA(),_xlfn.xlookup(E$3,daily_items,_xlfn.xlookup($C4344,daily_dates,big_daily_table)))</f>
        <v>#NAME?</v>
      </c>
    </row>
    <row r="4345" customFormat="false" ht="14.25" hidden="false" customHeight="false" outlineLevel="0" collapsed="false">
      <c r="B4345" s="7" t="n">
        <v>45250</v>
      </c>
      <c r="C4345" s="7" t="n">
        <f aca="false">B4345-WEEKDAY(B4345)+1</f>
        <v>45249</v>
      </c>
      <c r="D4345" s="1" t="e">
        <f aca="false" t="array" ref="D4345:D4345">IF(ISBLANK(_xlfn.xlookup(D$3,daily_items,_xlfn.xlookup($C4345,daily_dates,big_daily_table))),NA(),_xlfn.xlookup(D$3,daily_items,_xlfn.xlookup($C4345,daily_dates,big_daily_table)))</f>
        <v>#NAME?</v>
      </c>
      <c r="E4345" s="1" t="e">
        <f aca="false" t="array" ref="E4345:E4345">IF(ISBLANK(_xlfn.xlookup(E$3,daily_items,_xlfn.xlookup($C4345,daily_dates,big_daily_table))),NA(),_xlfn.xlookup(E$3,daily_items,_xlfn.xlookup($C4345,daily_dates,big_daily_table)))</f>
        <v>#NAME?</v>
      </c>
    </row>
    <row r="4346" customFormat="false" ht="14.25" hidden="false" customHeight="false" outlineLevel="0" collapsed="false">
      <c r="B4346" s="7" t="n">
        <v>45251</v>
      </c>
      <c r="C4346" s="7" t="n">
        <f aca="false">B4346-WEEKDAY(B4346)+1</f>
        <v>45249</v>
      </c>
      <c r="D4346" s="1" t="e">
        <f aca="false" t="array" ref="D4346:D4346">IF(ISBLANK(_xlfn.xlookup(D$3,daily_items,_xlfn.xlookup($C4346,daily_dates,big_daily_table))),NA(),_xlfn.xlookup(D$3,daily_items,_xlfn.xlookup($C4346,daily_dates,big_daily_table)))</f>
        <v>#NAME?</v>
      </c>
      <c r="E4346" s="1" t="e">
        <f aca="false" t="array" ref="E4346:E4346">IF(ISBLANK(_xlfn.xlookup(E$3,daily_items,_xlfn.xlookup($C4346,daily_dates,big_daily_table))),NA(),_xlfn.xlookup(E$3,daily_items,_xlfn.xlookup($C4346,daily_dates,big_daily_table)))</f>
        <v>#NAME?</v>
      </c>
    </row>
    <row r="4347" customFormat="false" ht="14.25" hidden="false" customHeight="false" outlineLevel="0" collapsed="false">
      <c r="B4347" s="7" t="n">
        <v>45252</v>
      </c>
      <c r="C4347" s="7" t="n">
        <f aca="false">B4347-WEEKDAY(B4347)+1</f>
        <v>45249</v>
      </c>
      <c r="D4347" s="1" t="e">
        <f aca="false" t="array" ref="D4347:D4347">IF(ISBLANK(_xlfn.xlookup(D$3,daily_items,_xlfn.xlookup($C4347,daily_dates,big_daily_table))),NA(),_xlfn.xlookup(D$3,daily_items,_xlfn.xlookup($C4347,daily_dates,big_daily_table)))</f>
        <v>#NAME?</v>
      </c>
      <c r="E4347" s="1" t="e">
        <f aca="false" t="array" ref="E4347:E4347">IF(ISBLANK(_xlfn.xlookup(E$3,daily_items,_xlfn.xlookup($C4347,daily_dates,big_daily_table))),NA(),_xlfn.xlookup(E$3,daily_items,_xlfn.xlookup($C4347,daily_dates,big_daily_table)))</f>
        <v>#NAME?</v>
      </c>
    </row>
    <row r="4348" customFormat="false" ht="14.25" hidden="false" customHeight="false" outlineLevel="0" collapsed="false">
      <c r="B4348" s="7" t="n">
        <v>45253</v>
      </c>
      <c r="C4348" s="7" t="n">
        <f aca="false">B4348-WEEKDAY(B4348)+1</f>
        <v>45249</v>
      </c>
      <c r="D4348" s="1" t="e">
        <f aca="false" t="array" ref="D4348:D4348">IF(ISBLANK(_xlfn.xlookup(D$3,daily_items,_xlfn.xlookup($C4348,daily_dates,big_daily_table))),NA(),_xlfn.xlookup(D$3,daily_items,_xlfn.xlookup($C4348,daily_dates,big_daily_table)))</f>
        <v>#NAME?</v>
      </c>
      <c r="E4348" s="1" t="e">
        <f aca="false" t="array" ref="E4348:E4348">IF(ISBLANK(_xlfn.xlookup(E$3,daily_items,_xlfn.xlookup($C4348,daily_dates,big_daily_table))),NA(),_xlfn.xlookup(E$3,daily_items,_xlfn.xlookup($C4348,daily_dates,big_daily_table)))</f>
        <v>#NAME?</v>
      </c>
    </row>
    <row r="4349" customFormat="false" ht="14.25" hidden="false" customHeight="false" outlineLevel="0" collapsed="false">
      <c r="B4349" s="7" t="n">
        <v>45254</v>
      </c>
      <c r="C4349" s="7" t="n">
        <f aca="false">B4349-WEEKDAY(B4349)+1</f>
        <v>45249</v>
      </c>
      <c r="D4349" s="1" t="e">
        <f aca="false" t="array" ref="D4349:D4349">IF(ISBLANK(_xlfn.xlookup(D$3,daily_items,_xlfn.xlookup($C4349,daily_dates,big_daily_table))),NA(),_xlfn.xlookup(D$3,daily_items,_xlfn.xlookup($C4349,daily_dates,big_daily_table)))</f>
        <v>#NAME?</v>
      </c>
      <c r="E4349" s="1" t="e">
        <f aca="false" t="array" ref="E4349:E4349">IF(ISBLANK(_xlfn.xlookup(E$3,daily_items,_xlfn.xlookup($C4349,daily_dates,big_daily_table))),NA(),_xlfn.xlookup(E$3,daily_items,_xlfn.xlookup($C4349,daily_dates,big_daily_table)))</f>
        <v>#NAME?</v>
      </c>
    </row>
    <row r="4350" customFormat="false" ht="14.25" hidden="false" customHeight="false" outlineLevel="0" collapsed="false">
      <c r="B4350" s="7" t="n">
        <v>45255</v>
      </c>
      <c r="C4350" s="7" t="n">
        <f aca="false">B4350-WEEKDAY(B4350)+1</f>
        <v>45249</v>
      </c>
      <c r="D4350" s="1" t="e">
        <f aca="false" t="array" ref="D4350:D4350">IF(ISBLANK(_xlfn.xlookup(D$3,daily_items,_xlfn.xlookup($C4350,daily_dates,big_daily_table))),NA(),_xlfn.xlookup(D$3,daily_items,_xlfn.xlookup($C4350,daily_dates,big_daily_table)))</f>
        <v>#NAME?</v>
      </c>
      <c r="E4350" s="1" t="e">
        <f aca="false" t="array" ref="E4350:E4350">IF(ISBLANK(_xlfn.xlookup(E$3,daily_items,_xlfn.xlookup($C4350,daily_dates,big_daily_table))),NA(),_xlfn.xlookup(E$3,daily_items,_xlfn.xlookup($C4350,daily_dates,big_daily_table)))</f>
        <v>#NAME?</v>
      </c>
    </row>
    <row r="4351" customFormat="false" ht="14.25" hidden="false" customHeight="false" outlineLevel="0" collapsed="false">
      <c r="B4351" s="7" t="n">
        <v>45256</v>
      </c>
      <c r="C4351" s="7" t="n">
        <f aca="false">B4351-WEEKDAY(B4351)+1</f>
        <v>45256</v>
      </c>
      <c r="D4351" s="1" t="e">
        <f aca="false" t="array" ref="D4351:D4351">IF(ISBLANK(_xlfn.xlookup(D$3,daily_items,_xlfn.xlookup($C4351,daily_dates,big_daily_table))),NA(),_xlfn.xlookup(D$3,daily_items,_xlfn.xlookup($C4351,daily_dates,big_daily_table)))</f>
        <v>#NAME?</v>
      </c>
      <c r="E4351" s="1" t="e">
        <f aca="false" t="array" ref="E4351:E4351">IF(ISBLANK(_xlfn.xlookup(E$3,daily_items,_xlfn.xlookup($C4351,daily_dates,big_daily_table))),NA(),_xlfn.xlookup(E$3,daily_items,_xlfn.xlookup($C4351,daily_dates,big_daily_table)))</f>
        <v>#NAME?</v>
      </c>
    </row>
    <row r="4352" customFormat="false" ht="14.25" hidden="false" customHeight="false" outlineLevel="0" collapsed="false">
      <c r="B4352" s="7" t="n">
        <v>45257</v>
      </c>
      <c r="C4352" s="7" t="n">
        <f aca="false">B4352-WEEKDAY(B4352)+1</f>
        <v>45256</v>
      </c>
      <c r="D4352" s="1" t="e">
        <f aca="false" t="array" ref="D4352:D4352">IF(ISBLANK(_xlfn.xlookup(D$3,daily_items,_xlfn.xlookup($C4352,daily_dates,big_daily_table))),NA(),_xlfn.xlookup(D$3,daily_items,_xlfn.xlookup($C4352,daily_dates,big_daily_table)))</f>
        <v>#NAME?</v>
      </c>
      <c r="E4352" s="1" t="e">
        <f aca="false" t="array" ref="E4352:E4352">IF(ISBLANK(_xlfn.xlookup(E$3,daily_items,_xlfn.xlookup($C4352,daily_dates,big_daily_table))),NA(),_xlfn.xlookup(E$3,daily_items,_xlfn.xlookup($C4352,daily_dates,big_daily_table)))</f>
        <v>#NAME?</v>
      </c>
    </row>
    <row r="4353" customFormat="false" ht="14.25" hidden="false" customHeight="false" outlineLevel="0" collapsed="false">
      <c r="B4353" s="7" t="n">
        <v>45258</v>
      </c>
      <c r="C4353" s="7" t="n">
        <f aca="false">B4353-WEEKDAY(B4353)+1</f>
        <v>45256</v>
      </c>
      <c r="D4353" s="1" t="e">
        <f aca="false" t="array" ref="D4353:D4353">IF(ISBLANK(_xlfn.xlookup(D$3,daily_items,_xlfn.xlookup($C4353,daily_dates,big_daily_table))),NA(),_xlfn.xlookup(D$3,daily_items,_xlfn.xlookup($C4353,daily_dates,big_daily_table)))</f>
        <v>#NAME?</v>
      </c>
      <c r="E4353" s="1" t="e">
        <f aca="false" t="array" ref="E4353:E4353">IF(ISBLANK(_xlfn.xlookup(E$3,daily_items,_xlfn.xlookup($C4353,daily_dates,big_daily_table))),NA(),_xlfn.xlookup(E$3,daily_items,_xlfn.xlookup($C4353,daily_dates,big_daily_table)))</f>
        <v>#NAME?</v>
      </c>
    </row>
    <row r="4354" customFormat="false" ht="14.25" hidden="false" customHeight="false" outlineLevel="0" collapsed="false">
      <c r="B4354" s="7" t="n">
        <v>45259</v>
      </c>
      <c r="C4354" s="7" t="n">
        <f aca="false">B4354-WEEKDAY(B4354)+1</f>
        <v>45256</v>
      </c>
      <c r="D4354" s="1" t="e">
        <f aca="false" t="array" ref="D4354:D4354">IF(ISBLANK(_xlfn.xlookup(D$3,daily_items,_xlfn.xlookup($C4354,daily_dates,big_daily_table))),NA(),_xlfn.xlookup(D$3,daily_items,_xlfn.xlookup($C4354,daily_dates,big_daily_table)))</f>
        <v>#NAME?</v>
      </c>
      <c r="E4354" s="1" t="e">
        <f aca="false" t="array" ref="E4354:E4354">IF(ISBLANK(_xlfn.xlookup(E$3,daily_items,_xlfn.xlookup($C4354,daily_dates,big_daily_table))),NA(),_xlfn.xlookup(E$3,daily_items,_xlfn.xlookup($C4354,daily_dates,big_daily_table)))</f>
        <v>#NAME?</v>
      </c>
    </row>
    <row r="4355" customFormat="false" ht="14.25" hidden="false" customHeight="false" outlineLevel="0" collapsed="false">
      <c r="B4355" s="7" t="n">
        <v>45260</v>
      </c>
      <c r="C4355" s="7" t="n">
        <f aca="false">B4355-WEEKDAY(B4355)+1</f>
        <v>45256</v>
      </c>
      <c r="D4355" s="1" t="e">
        <f aca="false" t="array" ref="D4355:D4355">IF(ISBLANK(_xlfn.xlookup(D$3,daily_items,_xlfn.xlookup($C4355,daily_dates,big_daily_table))),NA(),_xlfn.xlookup(D$3,daily_items,_xlfn.xlookup($C4355,daily_dates,big_daily_table)))</f>
        <v>#NAME?</v>
      </c>
      <c r="E4355" s="1" t="e">
        <f aca="false" t="array" ref="E4355:E4355">IF(ISBLANK(_xlfn.xlookup(E$3,daily_items,_xlfn.xlookup($C4355,daily_dates,big_daily_table))),NA(),_xlfn.xlookup(E$3,daily_items,_xlfn.xlookup($C4355,daily_dates,big_daily_table)))</f>
        <v>#NAME?</v>
      </c>
    </row>
    <row r="4356" customFormat="false" ht="14.25" hidden="false" customHeight="false" outlineLevel="0" collapsed="false">
      <c r="B4356" s="7" t="n">
        <v>45261</v>
      </c>
      <c r="C4356" s="7" t="n">
        <f aca="false">B4356-WEEKDAY(B4356)+1</f>
        <v>45256</v>
      </c>
      <c r="D4356" s="1" t="e">
        <f aca="false" t="array" ref="D4356:D4356">IF(ISBLANK(_xlfn.xlookup(D$3,daily_items,_xlfn.xlookup($C4356,daily_dates,big_daily_table))),NA(),_xlfn.xlookup(D$3,daily_items,_xlfn.xlookup($C4356,daily_dates,big_daily_table)))</f>
        <v>#NAME?</v>
      </c>
      <c r="E4356" s="1" t="e">
        <f aca="false" t="array" ref="E4356:E4356">IF(ISBLANK(_xlfn.xlookup(E$3,daily_items,_xlfn.xlookup($C4356,daily_dates,big_daily_table))),NA(),_xlfn.xlookup(E$3,daily_items,_xlfn.xlookup($C4356,daily_dates,big_daily_table)))</f>
        <v>#NAME?</v>
      </c>
    </row>
    <row r="4357" customFormat="false" ht="14.25" hidden="false" customHeight="false" outlineLevel="0" collapsed="false">
      <c r="B4357" s="7" t="n">
        <v>45262</v>
      </c>
      <c r="C4357" s="7" t="n">
        <f aca="false">B4357-WEEKDAY(B4357)+1</f>
        <v>45256</v>
      </c>
      <c r="D4357" s="1" t="e">
        <f aca="false" t="array" ref="D4357:D4357">IF(ISBLANK(_xlfn.xlookup(D$3,daily_items,_xlfn.xlookup($C4357,daily_dates,big_daily_table))),NA(),_xlfn.xlookup(D$3,daily_items,_xlfn.xlookup($C4357,daily_dates,big_daily_table)))</f>
        <v>#NAME?</v>
      </c>
      <c r="E4357" s="1" t="e">
        <f aca="false" t="array" ref="E4357:E4357">IF(ISBLANK(_xlfn.xlookup(E$3,daily_items,_xlfn.xlookup($C4357,daily_dates,big_daily_table))),NA(),_xlfn.xlookup(E$3,daily_items,_xlfn.xlookup($C4357,daily_dates,big_daily_table)))</f>
        <v>#NAME?</v>
      </c>
    </row>
    <row r="4358" customFormat="false" ht="14.25" hidden="false" customHeight="false" outlineLevel="0" collapsed="false">
      <c r="B4358" s="7" t="n">
        <v>45263</v>
      </c>
      <c r="C4358" s="7" t="n">
        <f aca="false">B4358-WEEKDAY(B4358)+1</f>
        <v>45263</v>
      </c>
      <c r="D4358" s="1" t="e">
        <f aca="false" t="array" ref="D4358:D4358">IF(ISBLANK(_xlfn.xlookup(D$3,daily_items,_xlfn.xlookup($C4358,daily_dates,big_daily_table))),NA(),_xlfn.xlookup(D$3,daily_items,_xlfn.xlookup($C4358,daily_dates,big_daily_table)))</f>
        <v>#NAME?</v>
      </c>
      <c r="E4358" s="1" t="e">
        <f aca="false" t="array" ref="E4358:E4358">IF(ISBLANK(_xlfn.xlookup(E$3,daily_items,_xlfn.xlookup($C4358,daily_dates,big_daily_table))),NA(),_xlfn.xlookup(E$3,daily_items,_xlfn.xlookup($C4358,daily_dates,big_daily_table)))</f>
        <v>#NAME?</v>
      </c>
    </row>
    <row r="4359" customFormat="false" ht="14.25" hidden="false" customHeight="false" outlineLevel="0" collapsed="false">
      <c r="B4359" s="7" t="n">
        <v>45264</v>
      </c>
      <c r="C4359" s="7" t="n">
        <f aca="false">B4359-WEEKDAY(B4359)+1</f>
        <v>45263</v>
      </c>
      <c r="D4359" s="1" t="e">
        <f aca="false" t="array" ref="D4359:D4359">IF(ISBLANK(_xlfn.xlookup(D$3,daily_items,_xlfn.xlookup($C4359,daily_dates,big_daily_table))),NA(),_xlfn.xlookup(D$3,daily_items,_xlfn.xlookup($C4359,daily_dates,big_daily_table)))</f>
        <v>#NAME?</v>
      </c>
      <c r="E4359" s="1" t="e">
        <f aca="false" t="array" ref="E4359:E4359">IF(ISBLANK(_xlfn.xlookup(E$3,daily_items,_xlfn.xlookup($C4359,daily_dates,big_daily_table))),NA(),_xlfn.xlookup(E$3,daily_items,_xlfn.xlookup($C4359,daily_dates,big_daily_table)))</f>
        <v>#NAME?</v>
      </c>
    </row>
    <row r="4360" customFormat="false" ht="14.25" hidden="false" customHeight="false" outlineLevel="0" collapsed="false">
      <c r="B4360" s="7" t="n">
        <v>45265</v>
      </c>
      <c r="C4360" s="7" t="n">
        <f aca="false">B4360-WEEKDAY(B4360)+1</f>
        <v>45263</v>
      </c>
      <c r="D4360" s="1" t="e">
        <f aca="false" t="array" ref="D4360:D4360">IF(ISBLANK(_xlfn.xlookup(D$3,daily_items,_xlfn.xlookup($C4360,daily_dates,big_daily_table))),NA(),_xlfn.xlookup(D$3,daily_items,_xlfn.xlookup($C4360,daily_dates,big_daily_table)))</f>
        <v>#NAME?</v>
      </c>
      <c r="E4360" s="1" t="e">
        <f aca="false" t="array" ref="E4360:E4360">IF(ISBLANK(_xlfn.xlookup(E$3,daily_items,_xlfn.xlookup($C4360,daily_dates,big_daily_table))),NA(),_xlfn.xlookup(E$3,daily_items,_xlfn.xlookup($C4360,daily_dates,big_daily_table)))</f>
        <v>#NAME?</v>
      </c>
    </row>
    <row r="4361" customFormat="false" ht="14.25" hidden="false" customHeight="false" outlineLevel="0" collapsed="false">
      <c r="B4361" s="7" t="n">
        <v>45266</v>
      </c>
      <c r="C4361" s="7" t="n">
        <f aca="false">B4361-WEEKDAY(B4361)+1</f>
        <v>45263</v>
      </c>
      <c r="D4361" s="1" t="e">
        <f aca="false" t="array" ref="D4361:D4361">IF(ISBLANK(_xlfn.xlookup(D$3,daily_items,_xlfn.xlookup($C4361,daily_dates,big_daily_table))),NA(),_xlfn.xlookup(D$3,daily_items,_xlfn.xlookup($C4361,daily_dates,big_daily_table)))</f>
        <v>#NAME?</v>
      </c>
      <c r="E4361" s="1" t="e">
        <f aca="false" t="array" ref="E4361:E4361">IF(ISBLANK(_xlfn.xlookup(E$3,daily_items,_xlfn.xlookup($C4361,daily_dates,big_daily_table))),NA(),_xlfn.xlookup(E$3,daily_items,_xlfn.xlookup($C4361,daily_dates,big_daily_table)))</f>
        <v>#NAME?</v>
      </c>
    </row>
    <row r="4362" customFormat="false" ht="14.25" hidden="false" customHeight="false" outlineLevel="0" collapsed="false">
      <c r="B4362" s="7" t="n">
        <v>45267</v>
      </c>
      <c r="C4362" s="7" t="n">
        <f aca="false">B4362-WEEKDAY(B4362)+1</f>
        <v>45263</v>
      </c>
      <c r="D4362" s="1" t="e">
        <f aca="false" t="array" ref="D4362:D4362">IF(ISBLANK(_xlfn.xlookup(D$3,daily_items,_xlfn.xlookup($C4362,daily_dates,big_daily_table))),NA(),_xlfn.xlookup(D$3,daily_items,_xlfn.xlookup($C4362,daily_dates,big_daily_table)))</f>
        <v>#NAME?</v>
      </c>
      <c r="E4362" s="1" t="e">
        <f aca="false" t="array" ref="E4362:E4362">IF(ISBLANK(_xlfn.xlookup(E$3,daily_items,_xlfn.xlookup($C4362,daily_dates,big_daily_table))),NA(),_xlfn.xlookup(E$3,daily_items,_xlfn.xlookup($C4362,daily_dates,big_daily_table)))</f>
        <v>#NAME?</v>
      </c>
    </row>
    <row r="4363" customFormat="false" ht="14.25" hidden="false" customHeight="false" outlineLevel="0" collapsed="false">
      <c r="B4363" s="7" t="n">
        <v>45268</v>
      </c>
      <c r="C4363" s="7" t="n">
        <f aca="false">B4363-WEEKDAY(B4363)+1</f>
        <v>45263</v>
      </c>
      <c r="D4363" s="1" t="e">
        <f aca="false" t="array" ref="D4363:D4363">IF(ISBLANK(_xlfn.xlookup(D$3,daily_items,_xlfn.xlookup($C4363,daily_dates,big_daily_table))),NA(),_xlfn.xlookup(D$3,daily_items,_xlfn.xlookup($C4363,daily_dates,big_daily_table)))</f>
        <v>#NAME?</v>
      </c>
      <c r="E4363" s="1" t="e">
        <f aca="false" t="array" ref="E4363:E4363">IF(ISBLANK(_xlfn.xlookup(E$3,daily_items,_xlfn.xlookup($C4363,daily_dates,big_daily_table))),NA(),_xlfn.xlookup(E$3,daily_items,_xlfn.xlookup($C4363,daily_dates,big_daily_table)))</f>
        <v>#NAME?</v>
      </c>
    </row>
    <row r="4364" customFormat="false" ht="14.25" hidden="false" customHeight="false" outlineLevel="0" collapsed="false">
      <c r="B4364" s="7" t="n">
        <v>45269</v>
      </c>
      <c r="C4364" s="7" t="n">
        <f aca="false">B4364-WEEKDAY(B4364)+1</f>
        <v>45263</v>
      </c>
      <c r="D4364" s="1" t="e">
        <f aca="false" t="array" ref="D4364:D4364">IF(ISBLANK(_xlfn.xlookup(D$3,daily_items,_xlfn.xlookup($C4364,daily_dates,big_daily_table))),NA(),_xlfn.xlookup(D$3,daily_items,_xlfn.xlookup($C4364,daily_dates,big_daily_table)))</f>
        <v>#NAME?</v>
      </c>
      <c r="E4364" s="1" t="e">
        <f aca="false" t="array" ref="E4364:E4364">IF(ISBLANK(_xlfn.xlookup(E$3,daily_items,_xlfn.xlookup($C4364,daily_dates,big_daily_table))),NA(),_xlfn.xlookup(E$3,daily_items,_xlfn.xlookup($C4364,daily_dates,big_daily_table)))</f>
        <v>#NAME?</v>
      </c>
    </row>
    <row r="4365" customFormat="false" ht="14.25" hidden="false" customHeight="false" outlineLevel="0" collapsed="false">
      <c r="B4365" s="7" t="n">
        <v>45270</v>
      </c>
      <c r="C4365" s="7" t="n">
        <f aca="false">B4365-WEEKDAY(B4365)+1</f>
        <v>45270</v>
      </c>
      <c r="D4365" s="1" t="e">
        <f aca="false" t="array" ref="D4365:D4365">IF(ISBLANK(_xlfn.xlookup(D$3,daily_items,_xlfn.xlookup($C4365,daily_dates,big_daily_table))),NA(),_xlfn.xlookup(D$3,daily_items,_xlfn.xlookup($C4365,daily_dates,big_daily_table)))</f>
        <v>#NAME?</v>
      </c>
      <c r="E4365" s="1" t="e">
        <f aca="false" t="array" ref="E4365:E4365">IF(ISBLANK(_xlfn.xlookup(E$3,daily_items,_xlfn.xlookup($C4365,daily_dates,big_daily_table))),NA(),_xlfn.xlookup(E$3,daily_items,_xlfn.xlookup($C4365,daily_dates,big_daily_table)))</f>
        <v>#NAME?</v>
      </c>
    </row>
    <row r="4366" customFormat="false" ht="14.25" hidden="false" customHeight="false" outlineLevel="0" collapsed="false">
      <c r="B4366" s="7" t="n">
        <v>45271</v>
      </c>
      <c r="C4366" s="7" t="n">
        <f aca="false">B4366-WEEKDAY(B4366)+1</f>
        <v>45270</v>
      </c>
      <c r="D4366" s="1" t="e">
        <f aca="false" t="array" ref="D4366:D4366">IF(ISBLANK(_xlfn.xlookup(D$3,daily_items,_xlfn.xlookup($C4366,daily_dates,big_daily_table))),NA(),_xlfn.xlookup(D$3,daily_items,_xlfn.xlookup($C4366,daily_dates,big_daily_table)))</f>
        <v>#NAME?</v>
      </c>
      <c r="E4366" s="1" t="e">
        <f aca="false" t="array" ref="E4366:E4366">IF(ISBLANK(_xlfn.xlookup(E$3,daily_items,_xlfn.xlookup($C4366,daily_dates,big_daily_table))),NA(),_xlfn.xlookup(E$3,daily_items,_xlfn.xlookup($C4366,daily_dates,big_daily_table)))</f>
        <v>#NAME?</v>
      </c>
    </row>
    <row r="4367" customFormat="false" ht="14.25" hidden="false" customHeight="false" outlineLevel="0" collapsed="false">
      <c r="B4367" s="7" t="n">
        <v>45272</v>
      </c>
      <c r="C4367" s="7" t="n">
        <f aca="false">B4367-WEEKDAY(B4367)+1</f>
        <v>45270</v>
      </c>
      <c r="D4367" s="1" t="e">
        <f aca="false" t="array" ref="D4367:D4367">IF(ISBLANK(_xlfn.xlookup(D$3,daily_items,_xlfn.xlookup($C4367,daily_dates,big_daily_table))),NA(),_xlfn.xlookup(D$3,daily_items,_xlfn.xlookup($C4367,daily_dates,big_daily_table)))</f>
        <v>#NAME?</v>
      </c>
      <c r="E4367" s="1" t="e">
        <f aca="false" t="array" ref="E4367:E4367">IF(ISBLANK(_xlfn.xlookup(E$3,daily_items,_xlfn.xlookup($C4367,daily_dates,big_daily_table))),NA(),_xlfn.xlookup(E$3,daily_items,_xlfn.xlookup($C4367,daily_dates,big_daily_table)))</f>
        <v>#NAME?</v>
      </c>
    </row>
    <row r="4368" customFormat="false" ht="14.25" hidden="false" customHeight="false" outlineLevel="0" collapsed="false">
      <c r="B4368" s="7" t="n">
        <v>45273</v>
      </c>
      <c r="C4368" s="7" t="n">
        <f aca="false">B4368-WEEKDAY(B4368)+1</f>
        <v>45270</v>
      </c>
      <c r="D4368" s="1" t="e">
        <f aca="false" t="array" ref="D4368:D4368">IF(ISBLANK(_xlfn.xlookup(D$3,daily_items,_xlfn.xlookup($C4368,daily_dates,big_daily_table))),NA(),_xlfn.xlookup(D$3,daily_items,_xlfn.xlookup($C4368,daily_dates,big_daily_table)))</f>
        <v>#NAME?</v>
      </c>
      <c r="E4368" s="1" t="e">
        <f aca="false" t="array" ref="E4368:E4368">IF(ISBLANK(_xlfn.xlookup(E$3,daily_items,_xlfn.xlookup($C4368,daily_dates,big_daily_table))),NA(),_xlfn.xlookup(E$3,daily_items,_xlfn.xlookup($C4368,daily_dates,big_daily_table)))</f>
        <v>#NAME?</v>
      </c>
    </row>
    <row r="4369" customFormat="false" ht="14.25" hidden="false" customHeight="false" outlineLevel="0" collapsed="false">
      <c r="B4369" s="7" t="n">
        <v>45274</v>
      </c>
      <c r="C4369" s="7" t="n">
        <f aca="false">B4369-WEEKDAY(B4369)+1</f>
        <v>45270</v>
      </c>
      <c r="D4369" s="1" t="e">
        <f aca="false" t="array" ref="D4369:D4369">IF(ISBLANK(_xlfn.xlookup(D$3,daily_items,_xlfn.xlookup($C4369,daily_dates,big_daily_table))),NA(),_xlfn.xlookup(D$3,daily_items,_xlfn.xlookup($C4369,daily_dates,big_daily_table)))</f>
        <v>#NAME?</v>
      </c>
      <c r="E4369" s="1" t="e">
        <f aca="false" t="array" ref="E4369:E4369">IF(ISBLANK(_xlfn.xlookup(E$3,daily_items,_xlfn.xlookup($C4369,daily_dates,big_daily_table))),NA(),_xlfn.xlookup(E$3,daily_items,_xlfn.xlookup($C4369,daily_dates,big_daily_table)))</f>
        <v>#NAME?</v>
      </c>
    </row>
    <row r="4370" customFormat="false" ht="14.25" hidden="false" customHeight="false" outlineLevel="0" collapsed="false">
      <c r="B4370" s="7" t="n">
        <v>45275</v>
      </c>
      <c r="C4370" s="7" t="n">
        <f aca="false">B4370-WEEKDAY(B4370)+1</f>
        <v>45270</v>
      </c>
      <c r="D4370" s="1" t="e">
        <f aca="false" t="array" ref="D4370:D4370">IF(ISBLANK(_xlfn.xlookup(D$3,daily_items,_xlfn.xlookup($C4370,daily_dates,big_daily_table))),NA(),_xlfn.xlookup(D$3,daily_items,_xlfn.xlookup($C4370,daily_dates,big_daily_table)))</f>
        <v>#NAME?</v>
      </c>
      <c r="E4370" s="1" t="e">
        <f aca="false" t="array" ref="E4370:E4370">IF(ISBLANK(_xlfn.xlookup(E$3,daily_items,_xlfn.xlookup($C4370,daily_dates,big_daily_table))),NA(),_xlfn.xlookup(E$3,daily_items,_xlfn.xlookup($C4370,daily_dates,big_daily_table)))</f>
        <v>#NAME?</v>
      </c>
    </row>
    <row r="4371" customFormat="false" ht="14.25" hidden="false" customHeight="false" outlineLevel="0" collapsed="false">
      <c r="B4371" s="7" t="n">
        <v>45276</v>
      </c>
      <c r="C4371" s="7" t="n">
        <f aca="false">B4371-WEEKDAY(B4371)+1</f>
        <v>45270</v>
      </c>
      <c r="D4371" s="1" t="e">
        <f aca="false" t="array" ref="D4371:D4371">IF(ISBLANK(_xlfn.xlookup(D$3,daily_items,_xlfn.xlookup($C4371,daily_dates,big_daily_table))),NA(),_xlfn.xlookup(D$3,daily_items,_xlfn.xlookup($C4371,daily_dates,big_daily_table)))</f>
        <v>#NAME?</v>
      </c>
      <c r="E4371" s="1" t="e">
        <f aca="false" t="array" ref="E4371:E4371">IF(ISBLANK(_xlfn.xlookup(E$3,daily_items,_xlfn.xlookup($C4371,daily_dates,big_daily_table))),NA(),_xlfn.xlookup(E$3,daily_items,_xlfn.xlookup($C4371,daily_dates,big_daily_table)))</f>
        <v>#NAME?</v>
      </c>
    </row>
    <row r="4372" customFormat="false" ht="14.25" hidden="false" customHeight="false" outlineLevel="0" collapsed="false">
      <c r="B4372" s="7" t="n">
        <v>45277</v>
      </c>
      <c r="C4372" s="7" t="n">
        <f aca="false">B4372-WEEKDAY(B4372)+1</f>
        <v>45277</v>
      </c>
      <c r="D4372" s="1" t="e">
        <f aca="false" t="array" ref="D4372:D4372">IF(ISBLANK(_xlfn.xlookup(D$3,daily_items,_xlfn.xlookup($C4372,daily_dates,big_daily_table))),NA(),_xlfn.xlookup(D$3,daily_items,_xlfn.xlookup($C4372,daily_dates,big_daily_table)))</f>
        <v>#NAME?</v>
      </c>
      <c r="E4372" s="1" t="e">
        <f aca="false" t="array" ref="E4372:E4372">IF(ISBLANK(_xlfn.xlookup(E$3,daily_items,_xlfn.xlookup($C4372,daily_dates,big_daily_table))),NA(),_xlfn.xlookup(E$3,daily_items,_xlfn.xlookup($C4372,daily_dates,big_daily_table)))</f>
        <v>#NAME?</v>
      </c>
    </row>
    <row r="4373" customFormat="false" ht="14.25" hidden="false" customHeight="false" outlineLevel="0" collapsed="false">
      <c r="B4373" s="7" t="n">
        <v>45278</v>
      </c>
      <c r="C4373" s="7" t="n">
        <f aca="false">B4373-WEEKDAY(B4373)+1</f>
        <v>45277</v>
      </c>
      <c r="D4373" s="1" t="e">
        <f aca="false" t="array" ref="D4373:D4373">IF(ISBLANK(_xlfn.xlookup(D$3,daily_items,_xlfn.xlookup($C4373,daily_dates,big_daily_table))),NA(),_xlfn.xlookup(D$3,daily_items,_xlfn.xlookup($C4373,daily_dates,big_daily_table)))</f>
        <v>#NAME?</v>
      </c>
      <c r="E4373" s="1" t="e">
        <f aca="false" t="array" ref="E4373:E4373">IF(ISBLANK(_xlfn.xlookup(E$3,daily_items,_xlfn.xlookup($C4373,daily_dates,big_daily_table))),NA(),_xlfn.xlookup(E$3,daily_items,_xlfn.xlookup($C4373,daily_dates,big_daily_table)))</f>
        <v>#NAME?</v>
      </c>
    </row>
    <row r="4374" customFormat="false" ht="14.25" hidden="false" customHeight="false" outlineLevel="0" collapsed="false">
      <c r="B4374" s="7" t="n">
        <v>45279</v>
      </c>
      <c r="C4374" s="7" t="n">
        <f aca="false">B4374-WEEKDAY(B4374)+1</f>
        <v>45277</v>
      </c>
      <c r="D4374" s="1" t="e">
        <f aca="false" t="array" ref="D4374:D4374">IF(ISBLANK(_xlfn.xlookup(D$3,daily_items,_xlfn.xlookup($C4374,daily_dates,big_daily_table))),NA(),_xlfn.xlookup(D$3,daily_items,_xlfn.xlookup($C4374,daily_dates,big_daily_table)))</f>
        <v>#NAME?</v>
      </c>
      <c r="E4374" s="1" t="e">
        <f aca="false" t="array" ref="E4374:E4374">IF(ISBLANK(_xlfn.xlookup(E$3,daily_items,_xlfn.xlookup($C4374,daily_dates,big_daily_table))),NA(),_xlfn.xlookup(E$3,daily_items,_xlfn.xlookup($C4374,daily_dates,big_daily_table)))</f>
        <v>#NAME?</v>
      </c>
    </row>
    <row r="4375" customFormat="false" ht="14.25" hidden="false" customHeight="false" outlineLevel="0" collapsed="false">
      <c r="B4375" s="7" t="n">
        <v>45280</v>
      </c>
      <c r="C4375" s="7" t="n">
        <f aca="false">B4375-WEEKDAY(B4375)+1</f>
        <v>45277</v>
      </c>
      <c r="D4375" s="1" t="e">
        <f aca="false" t="array" ref="D4375:D4375">IF(ISBLANK(_xlfn.xlookup(D$3,daily_items,_xlfn.xlookup($C4375,daily_dates,big_daily_table))),NA(),_xlfn.xlookup(D$3,daily_items,_xlfn.xlookup($C4375,daily_dates,big_daily_table)))</f>
        <v>#NAME?</v>
      </c>
      <c r="E4375" s="1" t="e">
        <f aca="false" t="array" ref="E4375:E4375">IF(ISBLANK(_xlfn.xlookup(E$3,daily_items,_xlfn.xlookup($C4375,daily_dates,big_daily_table))),NA(),_xlfn.xlookup(E$3,daily_items,_xlfn.xlookup($C4375,daily_dates,big_daily_table)))</f>
        <v>#NAME?</v>
      </c>
    </row>
    <row r="4376" customFormat="false" ht="14.25" hidden="false" customHeight="false" outlineLevel="0" collapsed="false">
      <c r="B4376" s="7" t="n">
        <v>45281</v>
      </c>
      <c r="C4376" s="7" t="n">
        <f aca="false">B4376-WEEKDAY(B4376)+1</f>
        <v>45277</v>
      </c>
      <c r="D4376" s="1" t="e">
        <f aca="false" t="array" ref="D4376:D4376">IF(ISBLANK(_xlfn.xlookup(D$3,daily_items,_xlfn.xlookup($C4376,daily_dates,big_daily_table))),NA(),_xlfn.xlookup(D$3,daily_items,_xlfn.xlookup($C4376,daily_dates,big_daily_table)))</f>
        <v>#NAME?</v>
      </c>
      <c r="E4376" s="1" t="e">
        <f aca="false" t="array" ref="E4376:E4376">IF(ISBLANK(_xlfn.xlookup(E$3,daily_items,_xlfn.xlookup($C4376,daily_dates,big_daily_table))),NA(),_xlfn.xlookup(E$3,daily_items,_xlfn.xlookup($C4376,daily_dates,big_daily_table)))</f>
        <v>#NAME?</v>
      </c>
    </row>
    <row r="4377" customFormat="false" ht="14.25" hidden="false" customHeight="false" outlineLevel="0" collapsed="false">
      <c r="B4377" s="7" t="n">
        <v>45282</v>
      </c>
      <c r="C4377" s="7" t="n">
        <f aca="false">B4377-WEEKDAY(B4377)+1</f>
        <v>45277</v>
      </c>
      <c r="D4377" s="1" t="e">
        <f aca="false" t="array" ref="D4377:D4377">IF(ISBLANK(_xlfn.xlookup(D$3,daily_items,_xlfn.xlookup($C4377,daily_dates,big_daily_table))),NA(),_xlfn.xlookup(D$3,daily_items,_xlfn.xlookup($C4377,daily_dates,big_daily_table)))</f>
        <v>#NAME?</v>
      </c>
      <c r="E4377" s="1" t="e">
        <f aca="false" t="array" ref="E4377:E4377">IF(ISBLANK(_xlfn.xlookup(E$3,daily_items,_xlfn.xlookup($C4377,daily_dates,big_daily_table))),NA(),_xlfn.xlookup(E$3,daily_items,_xlfn.xlookup($C4377,daily_dates,big_daily_table)))</f>
        <v>#NAME?</v>
      </c>
    </row>
    <row r="4378" customFormat="false" ht="14.25" hidden="false" customHeight="false" outlineLevel="0" collapsed="false">
      <c r="B4378" s="7" t="n">
        <v>45283</v>
      </c>
      <c r="C4378" s="7" t="n">
        <f aca="false">B4378-WEEKDAY(B4378)+1</f>
        <v>45277</v>
      </c>
      <c r="D4378" s="1" t="e">
        <f aca="false" t="array" ref="D4378:D4378">IF(ISBLANK(_xlfn.xlookup(D$3,daily_items,_xlfn.xlookup($C4378,daily_dates,big_daily_table))),NA(),_xlfn.xlookup(D$3,daily_items,_xlfn.xlookup($C4378,daily_dates,big_daily_table)))</f>
        <v>#NAME?</v>
      </c>
      <c r="E4378" s="1" t="e">
        <f aca="false" t="array" ref="E4378:E4378">IF(ISBLANK(_xlfn.xlookup(E$3,daily_items,_xlfn.xlookup($C4378,daily_dates,big_daily_table))),NA(),_xlfn.xlookup(E$3,daily_items,_xlfn.xlookup($C4378,daily_dates,big_daily_table)))</f>
        <v>#NAME?</v>
      </c>
    </row>
    <row r="4379" customFormat="false" ht="14.25" hidden="false" customHeight="false" outlineLevel="0" collapsed="false">
      <c r="B4379" s="7" t="n">
        <v>45284</v>
      </c>
      <c r="C4379" s="7" t="n">
        <f aca="false">B4379-WEEKDAY(B4379)+1</f>
        <v>45284</v>
      </c>
      <c r="D4379" s="1" t="e">
        <f aca="false" t="array" ref="D4379:D4379">IF(ISBLANK(_xlfn.xlookup(D$3,daily_items,_xlfn.xlookup($C4379,daily_dates,big_daily_table))),NA(),_xlfn.xlookup(D$3,daily_items,_xlfn.xlookup($C4379,daily_dates,big_daily_table)))</f>
        <v>#NAME?</v>
      </c>
      <c r="E4379" s="1" t="e">
        <f aca="false" t="array" ref="E4379:E4379">IF(ISBLANK(_xlfn.xlookup(E$3,daily_items,_xlfn.xlookup($C4379,daily_dates,big_daily_table))),NA(),_xlfn.xlookup(E$3,daily_items,_xlfn.xlookup($C4379,daily_dates,big_daily_table)))</f>
        <v>#NAME?</v>
      </c>
    </row>
    <row r="4380" customFormat="false" ht="14.25" hidden="false" customHeight="false" outlineLevel="0" collapsed="false">
      <c r="B4380" s="7" t="n">
        <v>45285</v>
      </c>
      <c r="C4380" s="7" t="n">
        <f aca="false">B4380-WEEKDAY(B4380)+1</f>
        <v>45284</v>
      </c>
      <c r="D4380" s="1" t="e">
        <f aca="false" t="array" ref="D4380:D4380">IF(ISBLANK(_xlfn.xlookup(D$3,daily_items,_xlfn.xlookup($C4380,daily_dates,big_daily_table))),NA(),_xlfn.xlookup(D$3,daily_items,_xlfn.xlookup($C4380,daily_dates,big_daily_table)))</f>
        <v>#NAME?</v>
      </c>
      <c r="E4380" s="1" t="e">
        <f aca="false" t="array" ref="E4380:E4380">IF(ISBLANK(_xlfn.xlookup(E$3,daily_items,_xlfn.xlookup($C4380,daily_dates,big_daily_table))),NA(),_xlfn.xlookup(E$3,daily_items,_xlfn.xlookup($C4380,daily_dates,big_daily_table)))</f>
        <v>#NAME?</v>
      </c>
    </row>
    <row r="4381" customFormat="false" ht="14.25" hidden="false" customHeight="false" outlineLevel="0" collapsed="false">
      <c r="B4381" s="7" t="n">
        <v>45286</v>
      </c>
      <c r="C4381" s="7" t="n">
        <f aca="false">B4381-WEEKDAY(B4381)+1</f>
        <v>45284</v>
      </c>
      <c r="D4381" s="1" t="e">
        <f aca="false" t="array" ref="D4381:D4381">IF(ISBLANK(_xlfn.xlookup(D$3,daily_items,_xlfn.xlookup($C4381,daily_dates,big_daily_table))),NA(),_xlfn.xlookup(D$3,daily_items,_xlfn.xlookup($C4381,daily_dates,big_daily_table)))</f>
        <v>#NAME?</v>
      </c>
      <c r="E4381" s="1" t="e">
        <f aca="false" t="array" ref="E4381:E4381">IF(ISBLANK(_xlfn.xlookup(E$3,daily_items,_xlfn.xlookup($C4381,daily_dates,big_daily_table))),NA(),_xlfn.xlookup(E$3,daily_items,_xlfn.xlookup($C4381,daily_dates,big_daily_table)))</f>
        <v>#NAME?</v>
      </c>
    </row>
    <row r="4382" customFormat="false" ht="14.25" hidden="false" customHeight="false" outlineLevel="0" collapsed="false">
      <c r="B4382" s="7" t="n">
        <v>45287</v>
      </c>
      <c r="C4382" s="7" t="n">
        <f aca="false">B4382-WEEKDAY(B4382)+1</f>
        <v>45284</v>
      </c>
      <c r="D4382" s="1" t="e">
        <f aca="false" t="array" ref="D4382:D4382">IF(ISBLANK(_xlfn.xlookup(D$3,daily_items,_xlfn.xlookup($C4382,daily_dates,big_daily_table))),NA(),_xlfn.xlookup(D$3,daily_items,_xlfn.xlookup($C4382,daily_dates,big_daily_table)))</f>
        <v>#NAME?</v>
      </c>
      <c r="E4382" s="1" t="e">
        <f aca="false" t="array" ref="E4382:E4382">IF(ISBLANK(_xlfn.xlookup(E$3,daily_items,_xlfn.xlookup($C4382,daily_dates,big_daily_table))),NA(),_xlfn.xlookup(E$3,daily_items,_xlfn.xlookup($C4382,daily_dates,big_daily_table)))</f>
        <v>#NAME?</v>
      </c>
    </row>
    <row r="4383" customFormat="false" ht="14.25" hidden="false" customHeight="false" outlineLevel="0" collapsed="false">
      <c r="B4383" s="7" t="n">
        <v>45288</v>
      </c>
      <c r="C4383" s="7" t="n">
        <f aca="false">B4383-WEEKDAY(B4383)+1</f>
        <v>45284</v>
      </c>
      <c r="D4383" s="1" t="e">
        <f aca="false" t="array" ref="D4383:D4383">IF(ISBLANK(_xlfn.xlookup(D$3,daily_items,_xlfn.xlookup($C4383,daily_dates,big_daily_table))),NA(),_xlfn.xlookup(D$3,daily_items,_xlfn.xlookup($C4383,daily_dates,big_daily_table)))</f>
        <v>#NAME?</v>
      </c>
      <c r="E4383" s="1" t="e">
        <f aca="false" t="array" ref="E4383:E4383">IF(ISBLANK(_xlfn.xlookup(E$3,daily_items,_xlfn.xlookup($C4383,daily_dates,big_daily_table))),NA(),_xlfn.xlookup(E$3,daily_items,_xlfn.xlookup($C4383,daily_dates,big_daily_table)))</f>
        <v>#NAME?</v>
      </c>
    </row>
    <row r="4384" customFormat="false" ht="14.25" hidden="false" customHeight="false" outlineLevel="0" collapsed="false">
      <c r="B4384" s="7" t="n">
        <v>45289</v>
      </c>
      <c r="C4384" s="7" t="n">
        <f aca="false">B4384-WEEKDAY(B4384)+1</f>
        <v>45284</v>
      </c>
      <c r="D4384" s="1" t="e">
        <f aca="false" t="array" ref="D4384:D4384">IF(ISBLANK(_xlfn.xlookup(D$3,daily_items,_xlfn.xlookup($C4384,daily_dates,big_daily_table))),NA(),_xlfn.xlookup(D$3,daily_items,_xlfn.xlookup($C4384,daily_dates,big_daily_table)))</f>
        <v>#NAME?</v>
      </c>
      <c r="E4384" s="1" t="e">
        <f aca="false" t="array" ref="E4384:E4384">IF(ISBLANK(_xlfn.xlookup(E$3,daily_items,_xlfn.xlookup($C4384,daily_dates,big_daily_table))),NA(),_xlfn.xlookup(E$3,daily_items,_xlfn.xlookup($C4384,daily_dates,big_daily_table)))</f>
        <v>#NAME?</v>
      </c>
    </row>
    <row r="4385" customFormat="false" ht="14.25" hidden="false" customHeight="false" outlineLevel="0" collapsed="false">
      <c r="B4385" s="7" t="n">
        <v>45290</v>
      </c>
      <c r="C4385" s="7" t="n">
        <f aca="false">B4385-WEEKDAY(B4385)+1</f>
        <v>45284</v>
      </c>
      <c r="D4385" s="1" t="e">
        <f aca="false" t="array" ref="D4385:D4385">IF(ISBLANK(_xlfn.xlookup(D$3,daily_items,_xlfn.xlookup($C4385,daily_dates,big_daily_table))),NA(),_xlfn.xlookup(D$3,daily_items,_xlfn.xlookup($C4385,daily_dates,big_daily_table)))</f>
        <v>#NAME?</v>
      </c>
      <c r="E4385" s="1" t="e">
        <f aca="false" t="array" ref="E4385:E4385">IF(ISBLANK(_xlfn.xlookup(E$3,daily_items,_xlfn.xlookup($C4385,daily_dates,big_daily_table))),NA(),_xlfn.xlookup(E$3,daily_items,_xlfn.xlookup($C4385,daily_dates,big_daily_table)))</f>
        <v>#NAME?</v>
      </c>
    </row>
    <row r="4386" customFormat="false" ht="14.25" hidden="false" customHeight="false" outlineLevel="0" collapsed="false">
      <c r="B4386" s="7" t="n">
        <v>45291</v>
      </c>
      <c r="C4386" s="7" t="n">
        <f aca="false">B4386-WEEKDAY(B4386)+1</f>
        <v>45291</v>
      </c>
      <c r="D4386" s="1" t="e">
        <f aca="false" t="array" ref="D4386:D4386">IF(ISBLANK(_xlfn.xlookup(D$3,daily_items,_xlfn.xlookup($C4386,daily_dates,big_daily_table))),NA(),_xlfn.xlookup(D$3,daily_items,_xlfn.xlookup($C4386,daily_dates,big_daily_table)))</f>
        <v>#NAME?</v>
      </c>
      <c r="E4386" s="1" t="e">
        <f aca="false" t="array" ref="E4386:E4386">IF(ISBLANK(_xlfn.xlookup(E$3,daily_items,_xlfn.xlookup($C4386,daily_dates,big_daily_table))),NA(),_xlfn.xlookup(E$3,daily_items,_xlfn.xlookup($C4386,daily_dates,big_daily_table)))</f>
        <v>#NAME?</v>
      </c>
    </row>
  </sheetData>
  <dataValidations count="2">
    <dataValidation allowBlank="true" errorStyle="stop" operator="between" showDropDown="false" showErrorMessage="true" showInputMessage="true" sqref="D3:E3" type="list">
      <formula1>daily_items</formula1>
      <formula2>0</formula2>
    </dataValidation>
    <dataValidation allowBlank="true" errorStyle="stop" operator="between" showDropDown="false" showErrorMessage="true" showInputMessage="true" sqref="R13" type="list">
      <formula1>items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</TotalTime>
  <Application>LibreOffice/7.6.2.1$Windows_X86_64 LibreOffice_project/56f7684011345957bbf33a7ee678afaf4d2ba333</Application>
  <AppVersion>15.0000</AppVersion>
  <Company>Petroineos Trading Limited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2023-07-11T09:46:34Z</dcterms:created>
  <dc:creator/>
  <dc:description/>
  <dc:language>fr-FR</dc:language>
  <cp:lastModifiedBy/>
  <dcterms:modified xsi:type="dcterms:W3CDTF">2023-09-27T15:15:28Z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